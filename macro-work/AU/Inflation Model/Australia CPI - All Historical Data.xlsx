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 and Weight Checks" sheetId="1" r:id="rId1"/>
    <sheet name="All National CPI Data" sheetId="2" r:id="rId2"/>
    <sheet name="Tier 1" sheetId="3" r:id="rId3"/>
    <sheet name="Tier 2" sheetId="4" r:id="rId4"/>
    <sheet name="Tier 3" sheetId="5" r:id="rId5"/>
    <sheet name="Hierarchy and Weights" sheetId="6" r:id="rId6"/>
  </sheets>
  <definedNames>
    <definedName name="_xlnm._FilterDatabase" localSheetId="1" hidden="1">'All National CPI Data'!$A$1:$PK$1859</definedName>
    <definedName name="_xlnm._FilterDatabase" localSheetId="2" hidden="1">'Tier 1'!$A$3:$AKR$14</definedName>
    <definedName name="_xlnm._FilterDatabase" localSheetId="3" hidden="1">'Tier 2'!$A$3:$AKR$36</definedName>
    <definedName name="_xlnm._FilterDatabase" localSheetId="4" hidden="1">'Tier 3'!$A$3:$AKR$90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62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45.7109375" customWidth="1"/>
    <col min="2" max="6" width="22.7109375" customWidth="1"/>
  </cols>
  <sheetData>
    <row r="1">
      <c r="A1" t="inlineStr">
        <is>
          <t>Australia CPI | Official ABS national history and complete basket tiers</t>
        </is>
      </c>
    </row>
    <row r="2">
      <c r="A2" t="inlineStr">
        <is>
          <t>National coverage is the weighted average of eight capital cities; this is the ABS national CPI concept.</t>
        </is>
      </c>
    </row>
    <row r="3">
      <c r="A3" t="inlineStr">
        <is>
          <t>Monthly and quarterly series are separate. Latest release: July 2026; quarterly data through June 2026.</t>
        </is>
      </c>
    </row>
    <row r="4">
      <c r="A4" t="inlineStr">
        <is>
          <t>Index reference period and methodological changes follow the ABS source tables; no artificial splicing or imputation.</t>
        </is>
      </c>
    </row>
    <row r="5">
      <c r="A5" t="inlineStr">
        <is>
          <t>Original rounded 2025 weights are preserved. Their tier totals are 100.00%, 100.01%, and 99.96%.</t>
        </is>
      </c>
    </row>
    <row r="6">
      <c r="A6" t="inlineStr">
        <is>
          <t>Reconciled shares are DERIVED: parent share times child published weight / sum of published sibling weights.</t>
        </is>
      </c>
    </row>
    <row r="7">
      <c r="A7" t="inlineStr">
        <is>
          <t>This produces coherent parent-child shares and every complete tier sums to 1. It does not recover unpublished exact ABS weights.</t>
        </is>
      </c>
    </row>
    <row r="8">
      <c r="A8" t="inlineStr">
        <is>
          <t>2025 weights remain in use in 2026; they are not historical time-varying basket weights.</t>
        </is>
      </c>
    </row>
    <row r="9">
      <c r="A9" t="inlineStr">
        <is>
          <t>Each tier has one row per component and all detailed monthly/quarterly measures across columns.</t>
        </is>
      </c>
    </row>
    <row r="10">
      <c r="A10" t="inlineStr">
        <is>
          <t>Master includes national tables 1-9 and 17-18; city-specific tables 10-16 are outside this national scope.</t>
        </is>
      </c>
    </row>
    <row r="11">
      <c r="A11" t="inlineStr">
        <is>
          <t>Blank observations are unavailable; overlapping analytical series in the master are not part of the basket tiers.</t>
        </is>
      </c>
    </row>
    <row r="12">
      <c r="A12" t="inlineStr">
        <is>
          <t>Source: https://www.abs.gov.au/statistics/economy/price-indexes-and-inflation/consumer-price-index-australia/jul-2026/</t>
        </is>
      </c>
    </row>
    <row r="13">
      <c r="A13" t="inlineStr">
        <is>
          <t>Weights: https://www.abs.gov.au/system/files/83cf3a8e846b6b3f91ae7ea99ef968ab/Consumer%20Price%20Index%20-%202025%20Weighting%20Pattern.xlsx</t>
        </is>
      </c>
    </row>
    <row r="16">
      <c r="A16" s="1" t="inlineStr">
        <is>
          <t>Tier</t>
        </is>
      </c>
      <c r="B16" s="1" t="inlineStr">
        <is>
          <t>Components</t>
        </is>
      </c>
      <c r="C16" s="1" t="inlineStr">
        <is>
          <t>Published weight sum (%)</t>
        </is>
      </c>
      <c r="D16" s="1" t="inlineStr">
        <is>
          <t>Reconciled share sum</t>
        </is>
      </c>
      <c r="E16" s="1" t="inlineStr">
        <is>
          <t>Deviation from 1</t>
        </is>
      </c>
      <c r="F16" s="1" t="inlineStr">
        <is>
          <t>Check</t>
        </is>
      </c>
    </row>
    <row r="17">
      <c r="A17">
        <v>1</v>
      </c>
      <c r="B17">
        <v>11</v>
      </c>
      <c r="C17">
        <v>100</v>
      </c>
      <c r="D17" s="3">
        <f>'Tier 1'!E2</f>
        <v>1.0</v>
      </c>
      <c r="E17" s="3">
        <f>D17-1</f>
        <v>0.0</v>
      </c>
      <c r="F17" t="str">
        <f>IF(ABS(E17)&lt;1E-12,"PASS","FAIL")</f>
        <v>PASS</v>
      </c>
    </row>
    <row r="18">
      <c r="A18">
        <v>2</v>
      </c>
      <c r="B18">
        <v>33</v>
      </c>
      <c r="C18">
        <v>100.01</v>
      </c>
      <c r="D18" s="3">
        <f>'Tier 2'!E2</f>
        <v>1.0</v>
      </c>
      <c r="E18" s="3">
        <f>D18-1</f>
        <v>0.0</v>
      </c>
      <c r="F18" t="str">
        <f>IF(ABS(E18)&lt;1E-12,"PASS","FAIL")</f>
        <v>PASS</v>
      </c>
    </row>
    <row r="19">
      <c r="A19">
        <v>3</v>
      </c>
      <c r="B19">
        <v>87</v>
      </c>
      <c r="C19">
        <v>99.95999999999999</v>
      </c>
      <c r="D19" s="3">
        <f>'Tier 3'!E2</f>
        <v>1.0</v>
      </c>
      <c r="E19" s="3">
        <f>D19-1</f>
        <v>0.0</v>
      </c>
      <c r="F19" t="str">
        <f>IF(ABS(E19)&lt;1E-12,"PASS","FAIL")</f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K185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65.7109375" customWidth="1"/>
    <col min="3" max="8" width="18.7109375" customWidth="1"/>
    <col min="9" max="427" width="12.7109375" style="2" customWidth="1"/>
  </cols>
  <sheetData>
    <row r="1">
      <c r="A1" s="1" t="inlineStr">
        <is>
          <t>Series ID</t>
        </is>
      </c>
      <c r="B1" s="1" t="inlineStr">
        <is>
          <t>Description</t>
        </is>
      </c>
      <c r="C1" s="1" t="inlineStr">
        <is>
          <t>Frequency</t>
        </is>
      </c>
      <c r="D1" s="1" t="inlineStr">
        <is>
          <t>Unit</t>
        </is>
      </c>
      <c r="E1" s="1" t="inlineStr">
        <is>
          <t>Adjustment</t>
        </is>
      </c>
      <c r="F1" s="1" t="inlineStr">
        <is>
          <t>Source file</t>
        </is>
      </c>
      <c r="G1" s="1" t="inlineStr">
        <is>
          <t>First period</t>
        </is>
      </c>
      <c r="H1" s="1" t="inlineStr">
        <is>
          <t>Last period</t>
        </is>
      </c>
      <c r="I1" s="1" t="inlineStr">
        <is>
          <t>1948Q3</t>
        </is>
      </c>
      <c r="J1" s="1" t="inlineStr">
        <is>
          <t>1948Q4</t>
        </is>
      </c>
      <c r="K1" s="1" t="inlineStr">
        <is>
          <t>1949Q1</t>
        </is>
      </c>
      <c r="L1" s="1" t="inlineStr">
        <is>
          <t>1949Q2</t>
        </is>
      </c>
      <c r="M1" s="1" t="inlineStr">
        <is>
          <t>1949Q3</t>
        </is>
      </c>
      <c r="N1" s="1" t="inlineStr">
        <is>
          <t>1949Q4</t>
        </is>
      </c>
      <c r="O1" s="1" t="inlineStr">
        <is>
          <t>1950Q1</t>
        </is>
      </c>
      <c r="P1" s="1" t="inlineStr">
        <is>
          <t>1950Q2</t>
        </is>
      </c>
      <c r="Q1" s="1" t="inlineStr">
        <is>
          <t>1950Q3</t>
        </is>
      </c>
      <c r="R1" s="1" t="inlineStr">
        <is>
          <t>1950Q4</t>
        </is>
      </c>
      <c r="S1" s="1" t="inlineStr">
        <is>
          <t>1951Q1</t>
        </is>
      </c>
      <c r="T1" s="1" t="inlineStr">
        <is>
          <t>1951Q2</t>
        </is>
      </c>
      <c r="U1" s="1" t="inlineStr">
        <is>
          <t>1951Q3</t>
        </is>
      </c>
      <c r="V1" s="1" t="inlineStr">
        <is>
          <t>1951Q4</t>
        </is>
      </c>
      <c r="W1" s="1" t="inlineStr">
        <is>
          <t>1952Q1</t>
        </is>
      </c>
      <c r="X1" s="1" t="inlineStr">
        <is>
          <t>1952Q2</t>
        </is>
      </c>
      <c r="Y1" s="1" t="inlineStr">
        <is>
          <t>1952Q3</t>
        </is>
      </c>
      <c r="Z1" s="1" t="inlineStr">
        <is>
          <t>1952Q4</t>
        </is>
      </c>
      <c r="AA1" s="1" t="inlineStr">
        <is>
          <t>1953Q1</t>
        </is>
      </c>
      <c r="AB1" s="1" t="inlineStr">
        <is>
          <t>1953Q2</t>
        </is>
      </c>
      <c r="AC1" s="1" t="inlineStr">
        <is>
          <t>1953Q3</t>
        </is>
      </c>
      <c r="AD1" s="1" t="inlineStr">
        <is>
          <t>1953Q4</t>
        </is>
      </c>
      <c r="AE1" s="1" t="inlineStr">
        <is>
          <t>1954Q1</t>
        </is>
      </c>
      <c r="AF1" s="1" t="inlineStr">
        <is>
          <t>1954Q2</t>
        </is>
      </c>
      <c r="AG1" s="1" t="inlineStr">
        <is>
          <t>1954Q3</t>
        </is>
      </c>
      <c r="AH1" s="1" t="inlineStr">
        <is>
          <t>1954Q4</t>
        </is>
      </c>
      <c r="AI1" s="1" t="inlineStr">
        <is>
          <t>1955Q1</t>
        </is>
      </c>
      <c r="AJ1" s="1" t="inlineStr">
        <is>
          <t>1955Q2</t>
        </is>
      </c>
      <c r="AK1" s="1" t="inlineStr">
        <is>
          <t>1955Q3</t>
        </is>
      </c>
      <c r="AL1" s="1" t="inlineStr">
        <is>
          <t>1955Q4</t>
        </is>
      </c>
      <c r="AM1" s="1" t="inlineStr">
        <is>
          <t>1956Q1</t>
        </is>
      </c>
      <c r="AN1" s="1" t="inlineStr">
        <is>
          <t>1956Q2</t>
        </is>
      </c>
      <c r="AO1" s="1" t="inlineStr">
        <is>
          <t>1956Q3</t>
        </is>
      </c>
      <c r="AP1" s="1" t="inlineStr">
        <is>
          <t>1956Q4</t>
        </is>
      </c>
      <c r="AQ1" s="1" t="inlineStr">
        <is>
          <t>1957Q1</t>
        </is>
      </c>
      <c r="AR1" s="1" t="inlineStr">
        <is>
          <t>1957Q2</t>
        </is>
      </c>
      <c r="AS1" s="1" t="inlineStr">
        <is>
          <t>1957Q3</t>
        </is>
      </c>
      <c r="AT1" s="1" t="inlineStr">
        <is>
          <t>1957Q4</t>
        </is>
      </c>
      <c r="AU1" s="1" t="inlineStr">
        <is>
          <t>1958Q1</t>
        </is>
      </c>
      <c r="AV1" s="1" t="inlineStr">
        <is>
          <t>1958Q2</t>
        </is>
      </c>
      <c r="AW1" s="1" t="inlineStr">
        <is>
          <t>1958Q3</t>
        </is>
      </c>
      <c r="AX1" s="1" t="inlineStr">
        <is>
          <t>1958Q4</t>
        </is>
      </c>
      <c r="AY1" s="1" t="inlineStr">
        <is>
          <t>1959Q1</t>
        </is>
      </c>
      <c r="AZ1" s="1" t="inlineStr">
        <is>
          <t>1959Q2</t>
        </is>
      </c>
      <c r="BA1" s="1" t="inlineStr">
        <is>
          <t>1959Q3</t>
        </is>
      </c>
      <c r="BB1" s="1" t="inlineStr">
        <is>
          <t>1959Q4</t>
        </is>
      </c>
      <c r="BC1" s="1" t="inlineStr">
        <is>
          <t>1960Q1</t>
        </is>
      </c>
      <c r="BD1" s="1" t="inlineStr">
        <is>
          <t>1960Q2</t>
        </is>
      </c>
      <c r="BE1" s="1" t="inlineStr">
        <is>
          <t>1960Q3</t>
        </is>
      </c>
      <c r="BF1" s="1" t="inlineStr">
        <is>
          <t>1960Q4</t>
        </is>
      </c>
      <c r="BG1" s="1" t="inlineStr">
        <is>
          <t>1961Q1</t>
        </is>
      </c>
      <c r="BH1" s="1" t="inlineStr">
        <is>
          <t>1961Q2</t>
        </is>
      </c>
      <c r="BI1" s="1" t="inlineStr">
        <is>
          <t>1961Q3</t>
        </is>
      </c>
      <c r="BJ1" s="1" t="inlineStr">
        <is>
          <t>1961Q4</t>
        </is>
      </c>
      <c r="BK1" s="1" t="inlineStr">
        <is>
          <t>1962Q1</t>
        </is>
      </c>
      <c r="BL1" s="1" t="inlineStr">
        <is>
          <t>1962Q2</t>
        </is>
      </c>
      <c r="BM1" s="1" t="inlineStr">
        <is>
          <t>1962Q3</t>
        </is>
      </c>
      <c r="BN1" s="1" t="inlineStr">
        <is>
          <t>1962Q4</t>
        </is>
      </c>
      <c r="BO1" s="1" t="inlineStr">
        <is>
          <t>1963Q1</t>
        </is>
      </c>
      <c r="BP1" s="1" t="inlineStr">
        <is>
          <t>1963Q2</t>
        </is>
      </c>
      <c r="BQ1" s="1" t="inlineStr">
        <is>
          <t>1963Q3</t>
        </is>
      </c>
      <c r="BR1" s="1" t="inlineStr">
        <is>
          <t>1963Q4</t>
        </is>
      </c>
      <c r="BS1" s="1" t="inlineStr">
        <is>
          <t>1964Q1</t>
        </is>
      </c>
      <c r="BT1" s="1" t="inlineStr">
        <is>
          <t>1964Q2</t>
        </is>
      </c>
      <c r="BU1" s="1" t="inlineStr">
        <is>
          <t>1964Q3</t>
        </is>
      </c>
      <c r="BV1" s="1" t="inlineStr">
        <is>
          <t>1964Q4</t>
        </is>
      </c>
      <c r="BW1" s="1" t="inlineStr">
        <is>
          <t>1965Q1</t>
        </is>
      </c>
      <c r="BX1" s="1" t="inlineStr">
        <is>
          <t>1965Q2</t>
        </is>
      </c>
      <c r="BY1" s="1" t="inlineStr">
        <is>
          <t>1965Q3</t>
        </is>
      </c>
      <c r="BZ1" s="1" t="inlineStr">
        <is>
          <t>1965Q4</t>
        </is>
      </c>
      <c r="CA1" s="1" t="inlineStr">
        <is>
          <t>1966Q1</t>
        </is>
      </c>
      <c r="CB1" s="1" t="inlineStr">
        <is>
          <t>1966Q2</t>
        </is>
      </c>
      <c r="CC1" s="1" t="inlineStr">
        <is>
          <t>1966Q3</t>
        </is>
      </c>
      <c r="CD1" s="1" t="inlineStr">
        <is>
          <t>1966Q4</t>
        </is>
      </c>
      <c r="CE1" s="1" t="inlineStr">
        <is>
          <t>1967Q1</t>
        </is>
      </c>
      <c r="CF1" s="1" t="inlineStr">
        <is>
          <t>1967Q2</t>
        </is>
      </c>
      <c r="CG1" s="1" t="inlineStr">
        <is>
          <t>1967Q3</t>
        </is>
      </c>
      <c r="CH1" s="1" t="inlineStr">
        <is>
          <t>1967Q4</t>
        </is>
      </c>
      <c r="CI1" s="1" t="inlineStr">
        <is>
          <t>1968Q1</t>
        </is>
      </c>
      <c r="CJ1" s="1" t="inlineStr">
        <is>
          <t>1968Q2</t>
        </is>
      </c>
      <c r="CK1" s="1" t="inlineStr">
        <is>
          <t>1968Q3</t>
        </is>
      </c>
      <c r="CL1" s="1" t="inlineStr">
        <is>
          <t>1968Q4</t>
        </is>
      </c>
      <c r="CM1" s="1" t="inlineStr">
        <is>
          <t>1969Q1</t>
        </is>
      </c>
      <c r="CN1" s="1" t="inlineStr">
        <is>
          <t>1969Q2</t>
        </is>
      </c>
      <c r="CO1" s="1" t="inlineStr">
        <is>
          <t>1969Q3</t>
        </is>
      </c>
      <c r="CP1" s="1" t="inlineStr">
        <is>
          <t>1969Q4</t>
        </is>
      </c>
      <c r="CQ1" s="1" t="inlineStr">
        <is>
          <t>1970Q1</t>
        </is>
      </c>
      <c r="CR1" s="1" t="inlineStr">
        <is>
          <t>1970Q2</t>
        </is>
      </c>
      <c r="CS1" s="1" t="inlineStr">
        <is>
          <t>1970Q3</t>
        </is>
      </c>
      <c r="CT1" s="1" t="inlineStr">
        <is>
          <t>1970Q4</t>
        </is>
      </c>
      <c r="CU1" s="1" t="inlineStr">
        <is>
          <t>1971Q1</t>
        </is>
      </c>
      <c r="CV1" s="1" t="inlineStr">
        <is>
          <t>1971Q2</t>
        </is>
      </c>
      <c r="CW1" s="1" t="inlineStr">
        <is>
          <t>1971Q3</t>
        </is>
      </c>
      <c r="CX1" s="1" t="inlineStr">
        <is>
          <t>1971Q4</t>
        </is>
      </c>
      <c r="CY1" s="1" t="inlineStr">
        <is>
          <t>1972Q1</t>
        </is>
      </c>
      <c r="CZ1" s="1" t="inlineStr">
        <is>
          <t>1972Q2</t>
        </is>
      </c>
      <c r="DA1" s="1" t="inlineStr">
        <is>
          <t>1972Q3</t>
        </is>
      </c>
      <c r="DB1" s="1" t="inlineStr">
        <is>
          <t>1972Q4</t>
        </is>
      </c>
      <c r="DC1" s="1" t="inlineStr">
        <is>
          <t>1973Q1</t>
        </is>
      </c>
      <c r="DD1" s="1" t="inlineStr">
        <is>
          <t>1973Q2</t>
        </is>
      </c>
      <c r="DE1" s="1" t="inlineStr">
        <is>
          <t>1973Q3</t>
        </is>
      </c>
      <c r="DF1" s="1" t="inlineStr">
        <is>
          <t>1973Q4</t>
        </is>
      </c>
      <c r="DG1" s="1" t="inlineStr">
        <is>
          <t>1974Q1</t>
        </is>
      </c>
      <c r="DH1" s="1" t="inlineStr">
        <is>
          <t>1974Q2</t>
        </is>
      </c>
      <c r="DI1" s="1" t="inlineStr">
        <is>
          <t>1974Q3</t>
        </is>
      </c>
      <c r="DJ1" s="1" t="inlineStr">
        <is>
          <t>1974Q4</t>
        </is>
      </c>
      <c r="DK1" s="1" t="inlineStr">
        <is>
          <t>1975Q1</t>
        </is>
      </c>
      <c r="DL1" s="1" t="inlineStr">
        <is>
          <t>1975Q2</t>
        </is>
      </c>
      <c r="DM1" s="1" t="inlineStr">
        <is>
          <t>1975Q3</t>
        </is>
      </c>
      <c r="DN1" s="1" t="inlineStr">
        <is>
          <t>1975Q4</t>
        </is>
      </c>
      <c r="DO1" s="1" t="inlineStr">
        <is>
          <t>1976Q1</t>
        </is>
      </c>
      <c r="DP1" s="1" t="inlineStr">
        <is>
          <t>1976Q2</t>
        </is>
      </c>
      <c r="DQ1" s="1" t="inlineStr">
        <is>
          <t>1976Q3</t>
        </is>
      </c>
      <c r="DR1" s="1" t="inlineStr">
        <is>
          <t>1976Q4</t>
        </is>
      </c>
      <c r="DS1" s="1" t="inlineStr">
        <is>
          <t>1977Q1</t>
        </is>
      </c>
      <c r="DT1" s="1" t="inlineStr">
        <is>
          <t>1977Q2</t>
        </is>
      </c>
      <c r="DU1" s="1" t="inlineStr">
        <is>
          <t>1977Q3</t>
        </is>
      </c>
      <c r="DV1" s="1" t="inlineStr">
        <is>
          <t>1977Q4</t>
        </is>
      </c>
      <c r="DW1" s="1" t="inlineStr">
        <is>
          <t>1978Q1</t>
        </is>
      </c>
      <c r="DX1" s="1" t="inlineStr">
        <is>
          <t>1978Q2</t>
        </is>
      </c>
      <c r="DY1" s="1" t="inlineStr">
        <is>
          <t>1978Q3</t>
        </is>
      </c>
      <c r="DZ1" s="1" t="inlineStr">
        <is>
          <t>1978Q4</t>
        </is>
      </c>
      <c r="EA1" s="1" t="inlineStr">
        <is>
          <t>1979Q1</t>
        </is>
      </c>
      <c r="EB1" s="1" t="inlineStr">
        <is>
          <t>1979Q2</t>
        </is>
      </c>
      <c r="EC1" s="1" t="inlineStr">
        <is>
          <t>1979Q3</t>
        </is>
      </c>
      <c r="ED1" s="1" t="inlineStr">
        <is>
          <t>1979Q4</t>
        </is>
      </c>
      <c r="EE1" s="1" t="inlineStr">
        <is>
          <t>1980Q1</t>
        </is>
      </c>
      <c r="EF1" s="1" t="inlineStr">
        <is>
          <t>1980Q2</t>
        </is>
      </c>
      <c r="EG1" s="1" t="inlineStr">
        <is>
          <t>1980Q3</t>
        </is>
      </c>
      <c r="EH1" s="1" t="inlineStr">
        <is>
          <t>1980Q4</t>
        </is>
      </c>
      <c r="EI1" s="1" t="inlineStr">
        <is>
          <t>1981Q1</t>
        </is>
      </c>
      <c r="EJ1" s="1" t="inlineStr">
        <is>
          <t>1981Q2</t>
        </is>
      </c>
      <c r="EK1" s="1" t="inlineStr">
        <is>
          <t>1981Q3</t>
        </is>
      </c>
      <c r="EL1" s="1" t="inlineStr">
        <is>
          <t>1981Q4</t>
        </is>
      </c>
      <c r="EM1" s="1" t="inlineStr">
        <is>
          <t>1982Q1</t>
        </is>
      </c>
      <c r="EN1" s="1" t="inlineStr">
        <is>
          <t>1982Q2</t>
        </is>
      </c>
      <c r="EO1" s="1" t="inlineStr">
        <is>
          <t>1982Q3</t>
        </is>
      </c>
      <c r="EP1" s="1" t="inlineStr">
        <is>
          <t>1982Q4</t>
        </is>
      </c>
      <c r="EQ1" s="1" t="inlineStr">
        <is>
          <t>1983Q1</t>
        </is>
      </c>
      <c r="ER1" s="1" t="inlineStr">
        <is>
          <t>1983Q2</t>
        </is>
      </c>
      <c r="ES1" s="1" t="inlineStr">
        <is>
          <t>1983Q3</t>
        </is>
      </c>
      <c r="ET1" s="1" t="inlineStr">
        <is>
          <t>1983Q4</t>
        </is>
      </c>
      <c r="EU1" s="1" t="inlineStr">
        <is>
          <t>1984Q1</t>
        </is>
      </c>
      <c r="EV1" s="1" t="inlineStr">
        <is>
          <t>1984Q2</t>
        </is>
      </c>
      <c r="EW1" s="1" t="inlineStr">
        <is>
          <t>1984Q3</t>
        </is>
      </c>
      <c r="EX1" s="1" t="inlineStr">
        <is>
          <t>1984Q4</t>
        </is>
      </c>
      <c r="EY1" s="1" t="inlineStr">
        <is>
          <t>1985Q1</t>
        </is>
      </c>
      <c r="EZ1" s="1" t="inlineStr">
        <is>
          <t>1985Q2</t>
        </is>
      </c>
      <c r="FA1" s="1" t="inlineStr">
        <is>
          <t>1985Q3</t>
        </is>
      </c>
      <c r="FB1" s="1" t="inlineStr">
        <is>
          <t>1985Q4</t>
        </is>
      </c>
      <c r="FC1" s="1" t="inlineStr">
        <is>
          <t>1986Q1</t>
        </is>
      </c>
      <c r="FD1" s="1" t="inlineStr">
        <is>
          <t>1986Q2</t>
        </is>
      </c>
      <c r="FE1" s="1" t="inlineStr">
        <is>
          <t>1986Q3</t>
        </is>
      </c>
      <c r="FF1" s="1" t="inlineStr">
        <is>
          <t>1986Q4</t>
        </is>
      </c>
      <c r="FG1" s="1" t="inlineStr">
        <is>
          <t>1987Q1</t>
        </is>
      </c>
      <c r="FH1" s="1" t="inlineStr">
        <is>
          <t>1987Q2</t>
        </is>
      </c>
      <c r="FI1" s="1" t="inlineStr">
        <is>
          <t>1987Q3</t>
        </is>
      </c>
      <c r="FJ1" s="1" t="inlineStr">
        <is>
          <t>1987Q4</t>
        </is>
      </c>
      <c r="FK1" s="1" t="inlineStr">
        <is>
          <t>1988Q1</t>
        </is>
      </c>
      <c r="FL1" s="1" t="inlineStr">
        <is>
          <t>1988Q2</t>
        </is>
      </c>
      <c r="FM1" s="1" t="inlineStr">
        <is>
          <t>1988Q3</t>
        </is>
      </c>
      <c r="FN1" s="1" t="inlineStr">
        <is>
          <t>1988Q4</t>
        </is>
      </c>
      <c r="FO1" s="1" t="inlineStr">
        <is>
          <t>1989Q1</t>
        </is>
      </c>
      <c r="FP1" s="1" t="inlineStr">
        <is>
          <t>1989Q2</t>
        </is>
      </c>
      <c r="FQ1" s="1" t="inlineStr">
        <is>
          <t>1989Q3</t>
        </is>
      </c>
      <c r="FR1" s="1" t="inlineStr">
        <is>
          <t>1989Q4</t>
        </is>
      </c>
      <c r="FS1" s="1" t="inlineStr">
        <is>
          <t>1990Q1</t>
        </is>
      </c>
      <c r="FT1" s="1" t="inlineStr">
        <is>
          <t>1990Q2</t>
        </is>
      </c>
      <c r="FU1" s="1" t="inlineStr">
        <is>
          <t>1990Q3</t>
        </is>
      </c>
      <c r="FV1" s="1" t="inlineStr">
        <is>
          <t>1990Q4</t>
        </is>
      </c>
      <c r="FW1" s="1" t="inlineStr">
        <is>
          <t>1991Q1</t>
        </is>
      </c>
      <c r="FX1" s="1" t="inlineStr">
        <is>
          <t>1991Q2</t>
        </is>
      </c>
      <c r="FY1" s="1" t="inlineStr">
        <is>
          <t>1991Q3</t>
        </is>
      </c>
      <c r="FZ1" s="1" t="inlineStr">
        <is>
          <t>1991Q4</t>
        </is>
      </c>
      <c r="GA1" s="1" t="inlineStr">
        <is>
          <t>1992Q1</t>
        </is>
      </c>
      <c r="GB1" s="1" t="inlineStr">
        <is>
          <t>1992Q2</t>
        </is>
      </c>
      <c r="GC1" s="1" t="inlineStr">
        <is>
          <t>1992Q3</t>
        </is>
      </c>
      <c r="GD1" s="1" t="inlineStr">
        <is>
          <t>1992Q4</t>
        </is>
      </c>
      <c r="GE1" s="1" t="inlineStr">
        <is>
          <t>1993Q1</t>
        </is>
      </c>
      <c r="GF1" s="1" t="inlineStr">
        <is>
          <t>1993Q2</t>
        </is>
      </c>
      <c r="GG1" s="1" t="inlineStr">
        <is>
          <t>1993Q3</t>
        </is>
      </c>
      <c r="GH1" s="1" t="inlineStr">
        <is>
          <t>1993Q4</t>
        </is>
      </c>
      <c r="GI1" s="1" t="inlineStr">
        <is>
          <t>1994Q1</t>
        </is>
      </c>
      <c r="GJ1" s="1" t="inlineStr">
        <is>
          <t>1994Q2</t>
        </is>
      </c>
      <c r="GK1" s="1" t="inlineStr">
        <is>
          <t>1994Q3</t>
        </is>
      </c>
      <c r="GL1" s="1" t="inlineStr">
        <is>
          <t>1994Q4</t>
        </is>
      </c>
      <c r="GM1" s="1" t="inlineStr">
        <is>
          <t>1995Q1</t>
        </is>
      </c>
      <c r="GN1" s="1" t="inlineStr">
        <is>
          <t>1995Q2</t>
        </is>
      </c>
      <c r="GO1" s="1" t="inlineStr">
        <is>
          <t>1995Q3</t>
        </is>
      </c>
      <c r="GP1" s="1" t="inlineStr">
        <is>
          <t>1995Q4</t>
        </is>
      </c>
      <c r="GQ1" s="1" t="inlineStr">
        <is>
          <t>1996Q1</t>
        </is>
      </c>
      <c r="GR1" s="1" t="inlineStr">
        <is>
          <t>1996Q2</t>
        </is>
      </c>
      <c r="GS1" s="1" t="inlineStr">
        <is>
          <t>1996Q3</t>
        </is>
      </c>
      <c r="GT1" s="1" t="inlineStr">
        <is>
          <t>1996Q4</t>
        </is>
      </c>
      <c r="GU1" s="1" t="inlineStr">
        <is>
          <t>1997Q1</t>
        </is>
      </c>
      <c r="GV1" s="1" t="inlineStr">
        <is>
          <t>1997Q2</t>
        </is>
      </c>
      <c r="GW1" s="1" t="inlineStr">
        <is>
          <t>1997Q3</t>
        </is>
      </c>
      <c r="GX1" s="1" t="inlineStr">
        <is>
          <t>1997Q4</t>
        </is>
      </c>
      <c r="GY1" s="1" t="inlineStr">
        <is>
          <t>1998Q1</t>
        </is>
      </c>
      <c r="GZ1" s="1" t="inlineStr">
        <is>
          <t>1998Q2</t>
        </is>
      </c>
      <c r="HA1" s="1" t="inlineStr">
        <is>
          <t>1998Q3</t>
        </is>
      </c>
      <c r="HB1" s="1" t="inlineStr">
        <is>
          <t>1998Q4</t>
        </is>
      </c>
      <c r="HC1" s="1" t="inlineStr">
        <is>
          <t>1999Q1</t>
        </is>
      </c>
      <c r="HD1" s="1" t="inlineStr">
        <is>
          <t>1999Q2</t>
        </is>
      </c>
      <c r="HE1" s="1" t="inlineStr">
        <is>
          <t>1999Q3</t>
        </is>
      </c>
      <c r="HF1" s="1" t="inlineStr">
        <is>
          <t>1999Q4</t>
        </is>
      </c>
      <c r="HG1" s="1" t="inlineStr">
        <is>
          <t>2000Q1</t>
        </is>
      </c>
      <c r="HH1" s="1" t="inlineStr">
        <is>
          <t>2000Q2</t>
        </is>
      </c>
      <c r="HI1" s="1" t="inlineStr">
        <is>
          <t>2000Q3</t>
        </is>
      </c>
      <c r="HJ1" s="1" t="inlineStr">
        <is>
          <t>2000Q4</t>
        </is>
      </c>
      <c r="HK1" s="1" t="inlineStr">
        <is>
          <t>2001Q1</t>
        </is>
      </c>
      <c r="HL1" s="1" t="inlineStr">
        <is>
          <t>2001Q2</t>
        </is>
      </c>
      <c r="HM1" s="1" t="inlineStr">
        <is>
          <t>2001Q3</t>
        </is>
      </c>
      <c r="HN1" s="1" t="inlineStr">
        <is>
          <t>2001Q4</t>
        </is>
      </c>
      <c r="HO1" s="1" t="inlineStr">
        <is>
          <t>2002Q1</t>
        </is>
      </c>
      <c r="HP1" s="1" t="inlineStr">
        <is>
          <t>2002Q2</t>
        </is>
      </c>
      <c r="HQ1" s="1" t="inlineStr">
        <is>
          <t>2002Q3</t>
        </is>
      </c>
      <c r="HR1" s="1" t="inlineStr">
        <is>
          <t>2002Q4</t>
        </is>
      </c>
      <c r="HS1" s="1" t="inlineStr">
        <is>
          <t>2003Q1</t>
        </is>
      </c>
      <c r="HT1" s="1" t="inlineStr">
        <is>
          <t>2003Q2</t>
        </is>
      </c>
      <c r="HU1" s="1" t="inlineStr">
        <is>
          <t>2003Q3</t>
        </is>
      </c>
      <c r="HV1" s="1" t="inlineStr">
        <is>
          <t>2003Q4</t>
        </is>
      </c>
      <c r="HW1" s="1" t="inlineStr">
        <is>
          <t>2004Q1</t>
        </is>
      </c>
      <c r="HX1" s="1" t="inlineStr">
        <is>
          <t>2004Q2</t>
        </is>
      </c>
      <c r="HY1" s="1" t="inlineStr">
        <is>
          <t>2004Q3</t>
        </is>
      </c>
      <c r="HZ1" s="1" t="inlineStr">
        <is>
          <t>2004Q4</t>
        </is>
      </c>
      <c r="IA1" s="1" t="inlineStr">
        <is>
          <t>2005Q1</t>
        </is>
      </c>
      <c r="IB1" s="1" t="inlineStr">
        <is>
          <t>2005Q2</t>
        </is>
      </c>
      <c r="IC1" s="1" t="inlineStr">
        <is>
          <t>2005Q3</t>
        </is>
      </c>
      <c r="ID1" s="1" t="inlineStr">
        <is>
          <t>2005Q4</t>
        </is>
      </c>
      <c r="IE1" s="1" t="inlineStr">
        <is>
          <t>2006Q1</t>
        </is>
      </c>
      <c r="IF1" s="1" t="inlineStr">
        <is>
          <t>2006Q2</t>
        </is>
      </c>
      <c r="IG1" s="1" t="inlineStr">
        <is>
          <t>2006Q3</t>
        </is>
      </c>
      <c r="IH1" s="1" t="inlineStr">
        <is>
          <t>2006Q4</t>
        </is>
      </c>
      <c r="II1" s="1" t="inlineStr">
        <is>
          <t>2007Q1</t>
        </is>
      </c>
      <c r="IJ1" s="1" t="inlineStr">
        <is>
          <t>2007Q2</t>
        </is>
      </c>
      <c r="IK1" s="1" t="inlineStr">
        <is>
          <t>2007Q3</t>
        </is>
      </c>
      <c r="IL1" s="1" t="inlineStr">
        <is>
          <t>2007Q4</t>
        </is>
      </c>
      <c r="IM1" s="1" t="inlineStr">
        <is>
          <t>2008Q1</t>
        </is>
      </c>
      <c r="IN1" s="1" t="inlineStr">
        <is>
          <t>2008Q2</t>
        </is>
      </c>
      <c r="IO1" s="1" t="inlineStr">
        <is>
          <t>2008Q3</t>
        </is>
      </c>
      <c r="IP1" s="1" t="inlineStr">
        <is>
          <t>2008Q4</t>
        </is>
      </c>
      <c r="IQ1" s="1" t="inlineStr">
        <is>
          <t>2009Q1</t>
        </is>
      </c>
      <c r="IR1" s="1" t="inlineStr">
        <is>
          <t>2009Q2</t>
        </is>
      </c>
      <c r="IS1" s="1" t="inlineStr">
        <is>
          <t>2009Q3</t>
        </is>
      </c>
      <c r="IT1" s="1" t="inlineStr">
        <is>
          <t>2009Q4</t>
        </is>
      </c>
      <c r="IU1" s="1" t="inlineStr">
        <is>
          <t>2010Q1</t>
        </is>
      </c>
      <c r="IV1" s="1" t="inlineStr">
        <is>
          <t>2010Q2</t>
        </is>
      </c>
      <c r="IW1" s="1" t="inlineStr">
        <is>
          <t>2010Q3</t>
        </is>
      </c>
      <c r="IX1" s="1" t="inlineStr">
        <is>
          <t>2010Q4</t>
        </is>
      </c>
      <c r="IY1" s="1" t="inlineStr">
        <is>
          <t>2011Q1</t>
        </is>
      </c>
      <c r="IZ1" s="1" t="inlineStr">
        <is>
          <t>2011Q2</t>
        </is>
      </c>
      <c r="JA1" s="1" t="inlineStr">
        <is>
          <t>2011Q3</t>
        </is>
      </c>
      <c r="JB1" s="1" t="inlineStr">
        <is>
          <t>2011Q4</t>
        </is>
      </c>
      <c r="JC1" s="1" t="inlineStr">
        <is>
          <t>2012Q1</t>
        </is>
      </c>
      <c r="JD1" s="1" t="inlineStr">
        <is>
          <t>2012Q2</t>
        </is>
      </c>
      <c r="JE1" s="1" t="inlineStr">
        <is>
          <t>2012Q3</t>
        </is>
      </c>
      <c r="JF1" s="1" t="inlineStr">
        <is>
          <t>2012Q4</t>
        </is>
      </c>
      <c r="JG1" s="1" t="inlineStr">
        <is>
          <t>2013Q1</t>
        </is>
      </c>
      <c r="JH1" s="1" t="inlineStr">
        <is>
          <t>2013Q2</t>
        </is>
      </c>
      <c r="JI1" s="1" t="inlineStr">
        <is>
          <t>2013Q3</t>
        </is>
      </c>
      <c r="JJ1" s="1" t="inlineStr">
        <is>
          <t>2013Q4</t>
        </is>
      </c>
      <c r="JK1" s="1" t="inlineStr">
        <is>
          <t>2014Q1</t>
        </is>
      </c>
      <c r="JL1" s="1" t="inlineStr">
        <is>
          <t>2014Q2</t>
        </is>
      </c>
      <c r="JM1" s="1" t="inlineStr">
        <is>
          <t>2014Q3</t>
        </is>
      </c>
      <c r="JN1" s="1" t="inlineStr">
        <is>
          <t>2014Q4</t>
        </is>
      </c>
      <c r="JO1" s="1" t="inlineStr">
        <is>
          <t>2015Q1</t>
        </is>
      </c>
      <c r="JP1" s="1" t="inlineStr">
        <is>
          <t>2015Q2</t>
        </is>
      </c>
      <c r="JQ1" s="1" t="inlineStr">
        <is>
          <t>2015Q3</t>
        </is>
      </c>
      <c r="JR1" s="1" t="inlineStr">
        <is>
          <t>2015Q4</t>
        </is>
      </c>
      <c r="JS1" s="1" t="inlineStr">
        <is>
          <t>2016Q1</t>
        </is>
      </c>
      <c r="JT1" s="1" t="inlineStr">
        <is>
          <t>2016Q2</t>
        </is>
      </c>
      <c r="JU1" s="1" t="inlineStr">
        <is>
          <t>2016Q3</t>
        </is>
      </c>
      <c r="JV1" s="1" t="inlineStr">
        <is>
          <t>2016Q4</t>
        </is>
      </c>
      <c r="JW1" s="1" t="inlineStr">
        <is>
          <t>2017-09</t>
        </is>
      </c>
      <c r="JX1" s="1" t="inlineStr">
        <is>
          <t>2017-10</t>
        </is>
      </c>
      <c r="JY1" s="1" t="inlineStr">
        <is>
          <t>2017-11</t>
        </is>
      </c>
      <c r="JZ1" s="1" t="inlineStr">
        <is>
          <t>2017-12</t>
        </is>
      </c>
      <c r="KA1" s="1" t="inlineStr">
        <is>
          <t>2017Q1</t>
        </is>
      </c>
      <c r="KB1" s="1" t="inlineStr">
        <is>
          <t>2017Q2</t>
        </is>
      </c>
      <c r="KC1" s="1" t="inlineStr">
        <is>
          <t>2017Q3</t>
        </is>
      </c>
      <c r="KD1" s="1" t="inlineStr">
        <is>
          <t>2017Q4</t>
        </is>
      </c>
      <c r="KE1" s="1" t="inlineStr">
        <is>
          <t>2018-01</t>
        </is>
      </c>
      <c r="KF1" s="1" t="inlineStr">
        <is>
          <t>2018-02</t>
        </is>
      </c>
      <c r="KG1" s="1" t="inlineStr">
        <is>
          <t>2018-03</t>
        </is>
      </c>
      <c r="KH1" s="1" t="inlineStr">
        <is>
          <t>2018-04</t>
        </is>
      </c>
      <c r="KI1" s="1" t="inlineStr">
        <is>
          <t>2018-05</t>
        </is>
      </c>
      <c r="KJ1" s="1" t="inlineStr">
        <is>
          <t>2018-06</t>
        </is>
      </c>
      <c r="KK1" s="1" t="inlineStr">
        <is>
          <t>2018-07</t>
        </is>
      </c>
      <c r="KL1" s="1" t="inlineStr">
        <is>
          <t>2018-08</t>
        </is>
      </c>
      <c r="KM1" s="1" t="inlineStr">
        <is>
          <t>2018-09</t>
        </is>
      </c>
      <c r="KN1" s="1" t="inlineStr">
        <is>
          <t>2018-10</t>
        </is>
      </c>
      <c r="KO1" s="1" t="inlineStr">
        <is>
          <t>2018-11</t>
        </is>
      </c>
      <c r="KP1" s="1" t="inlineStr">
        <is>
          <t>2018-12</t>
        </is>
      </c>
      <c r="KQ1" s="1" t="inlineStr">
        <is>
          <t>2018Q1</t>
        </is>
      </c>
      <c r="KR1" s="1" t="inlineStr">
        <is>
          <t>2018Q2</t>
        </is>
      </c>
      <c r="KS1" s="1" t="inlineStr">
        <is>
          <t>2018Q3</t>
        </is>
      </c>
      <c r="KT1" s="1" t="inlineStr">
        <is>
          <t>2018Q4</t>
        </is>
      </c>
      <c r="KU1" s="1" t="inlineStr">
        <is>
          <t>2019-01</t>
        </is>
      </c>
      <c r="KV1" s="1" t="inlineStr">
        <is>
          <t>2019-02</t>
        </is>
      </c>
      <c r="KW1" s="1" t="inlineStr">
        <is>
          <t>2019-03</t>
        </is>
      </c>
      <c r="KX1" s="1" t="inlineStr">
        <is>
          <t>2019-04</t>
        </is>
      </c>
      <c r="KY1" s="1" t="inlineStr">
        <is>
          <t>2019-05</t>
        </is>
      </c>
      <c r="KZ1" s="1" t="inlineStr">
        <is>
          <t>2019-06</t>
        </is>
      </c>
      <c r="LA1" s="1" t="inlineStr">
        <is>
          <t>2019-07</t>
        </is>
      </c>
      <c r="LB1" s="1" t="inlineStr">
        <is>
          <t>2019-08</t>
        </is>
      </c>
      <c r="LC1" s="1" t="inlineStr">
        <is>
          <t>2019-09</t>
        </is>
      </c>
      <c r="LD1" s="1" t="inlineStr">
        <is>
          <t>2019-10</t>
        </is>
      </c>
      <c r="LE1" s="1" t="inlineStr">
        <is>
          <t>2019-11</t>
        </is>
      </c>
      <c r="LF1" s="1" t="inlineStr">
        <is>
          <t>2019-12</t>
        </is>
      </c>
      <c r="LG1" s="1" t="inlineStr">
        <is>
          <t>2019Q1</t>
        </is>
      </c>
      <c r="LH1" s="1" t="inlineStr">
        <is>
          <t>2019Q2</t>
        </is>
      </c>
      <c r="LI1" s="1" t="inlineStr">
        <is>
          <t>2019Q3</t>
        </is>
      </c>
      <c r="LJ1" s="1" t="inlineStr">
        <is>
          <t>2019Q4</t>
        </is>
      </c>
      <c r="LK1" s="1" t="inlineStr">
        <is>
          <t>2020-01</t>
        </is>
      </c>
      <c r="LL1" s="1" t="inlineStr">
        <is>
          <t>2020-02</t>
        </is>
      </c>
      <c r="LM1" s="1" t="inlineStr">
        <is>
          <t>2020-03</t>
        </is>
      </c>
      <c r="LN1" s="1" t="inlineStr">
        <is>
          <t>2020-04</t>
        </is>
      </c>
      <c r="LO1" s="1" t="inlineStr">
        <is>
          <t>2020-05</t>
        </is>
      </c>
      <c r="LP1" s="1" t="inlineStr">
        <is>
          <t>2020-06</t>
        </is>
      </c>
      <c r="LQ1" s="1" t="inlineStr">
        <is>
          <t>2020-07</t>
        </is>
      </c>
      <c r="LR1" s="1" t="inlineStr">
        <is>
          <t>2020-08</t>
        </is>
      </c>
      <c r="LS1" s="1" t="inlineStr">
        <is>
          <t>2020-09</t>
        </is>
      </c>
      <c r="LT1" s="1" t="inlineStr">
        <is>
          <t>2020-10</t>
        </is>
      </c>
      <c r="LU1" s="1" t="inlineStr">
        <is>
          <t>2020-11</t>
        </is>
      </c>
      <c r="LV1" s="1" t="inlineStr">
        <is>
          <t>2020-12</t>
        </is>
      </c>
      <c r="LW1" s="1" t="inlineStr">
        <is>
          <t>2020Q1</t>
        </is>
      </c>
      <c r="LX1" s="1" t="inlineStr">
        <is>
          <t>2020Q2</t>
        </is>
      </c>
      <c r="LY1" s="1" t="inlineStr">
        <is>
          <t>2020Q3</t>
        </is>
      </c>
      <c r="LZ1" s="1" t="inlineStr">
        <is>
          <t>2020Q4</t>
        </is>
      </c>
      <c r="MA1" s="1" t="inlineStr">
        <is>
          <t>2021-01</t>
        </is>
      </c>
      <c r="MB1" s="1" t="inlineStr">
        <is>
          <t>2021-02</t>
        </is>
      </c>
      <c r="MC1" s="1" t="inlineStr">
        <is>
          <t>2021-03</t>
        </is>
      </c>
      <c r="MD1" s="1" t="inlineStr">
        <is>
          <t>2021-04</t>
        </is>
      </c>
      <c r="ME1" s="1" t="inlineStr">
        <is>
          <t>2021-05</t>
        </is>
      </c>
      <c r="MF1" s="1" t="inlineStr">
        <is>
          <t>2021-06</t>
        </is>
      </c>
      <c r="MG1" s="1" t="inlineStr">
        <is>
          <t>2021-07</t>
        </is>
      </c>
      <c r="MH1" s="1" t="inlineStr">
        <is>
          <t>2021-08</t>
        </is>
      </c>
      <c r="MI1" s="1" t="inlineStr">
        <is>
          <t>2021-09</t>
        </is>
      </c>
      <c r="MJ1" s="1" t="inlineStr">
        <is>
          <t>2021-10</t>
        </is>
      </c>
      <c r="MK1" s="1" t="inlineStr">
        <is>
          <t>2021-11</t>
        </is>
      </c>
      <c r="ML1" s="1" t="inlineStr">
        <is>
          <t>2021-12</t>
        </is>
      </c>
      <c r="MM1" s="1" t="inlineStr">
        <is>
          <t>2021Q1</t>
        </is>
      </c>
      <c r="MN1" s="1" t="inlineStr">
        <is>
          <t>2021Q2</t>
        </is>
      </c>
      <c r="MO1" s="1" t="inlineStr">
        <is>
          <t>2021Q3</t>
        </is>
      </c>
      <c r="MP1" s="1" t="inlineStr">
        <is>
          <t>2021Q4</t>
        </is>
      </c>
      <c r="MQ1" s="1" t="inlineStr">
        <is>
          <t>2022-01</t>
        </is>
      </c>
      <c r="MR1" s="1" t="inlineStr">
        <is>
          <t>2022-02</t>
        </is>
      </c>
      <c r="MS1" s="1" t="inlineStr">
        <is>
          <t>2022-03</t>
        </is>
      </c>
      <c r="MT1" s="1" t="inlineStr">
        <is>
          <t>2022-04</t>
        </is>
      </c>
      <c r="MU1" s="1" t="inlineStr">
        <is>
          <t>2022-05</t>
        </is>
      </c>
      <c r="MV1" s="1" t="inlineStr">
        <is>
          <t>2022-06</t>
        </is>
      </c>
      <c r="MW1" s="1" t="inlineStr">
        <is>
          <t>2022-07</t>
        </is>
      </c>
      <c r="MX1" s="1" t="inlineStr">
        <is>
          <t>2022-08</t>
        </is>
      </c>
      <c r="MY1" s="1" t="inlineStr">
        <is>
          <t>2022-09</t>
        </is>
      </c>
      <c r="MZ1" s="1" t="inlineStr">
        <is>
          <t>2022-10</t>
        </is>
      </c>
      <c r="NA1" s="1" t="inlineStr">
        <is>
          <t>2022-11</t>
        </is>
      </c>
      <c r="NB1" s="1" t="inlineStr">
        <is>
          <t>2022-12</t>
        </is>
      </c>
      <c r="NC1" s="1" t="inlineStr">
        <is>
          <t>2022Q1</t>
        </is>
      </c>
      <c r="ND1" s="1" t="inlineStr">
        <is>
          <t>2022Q2</t>
        </is>
      </c>
      <c r="NE1" s="1" t="inlineStr">
        <is>
          <t>2022Q3</t>
        </is>
      </c>
      <c r="NF1" s="1" t="inlineStr">
        <is>
          <t>2022Q4</t>
        </is>
      </c>
      <c r="NG1" s="1" t="inlineStr">
        <is>
          <t>2023-01</t>
        </is>
      </c>
      <c r="NH1" s="1" t="inlineStr">
        <is>
          <t>2023-02</t>
        </is>
      </c>
      <c r="NI1" s="1" t="inlineStr">
        <is>
          <t>2023-03</t>
        </is>
      </c>
      <c r="NJ1" s="1" t="inlineStr">
        <is>
          <t>2023-04</t>
        </is>
      </c>
      <c r="NK1" s="1" t="inlineStr">
        <is>
          <t>2023-05</t>
        </is>
      </c>
      <c r="NL1" s="1" t="inlineStr">
        <is>
          <t>2023-06</t>
        </is>
      </c>
      <c r="NM1" s="1" t="inlineStr">
        <is>
          <t>2023-07</t>
        </is>
      </c>
      <c r="NN1" s="1" t="inlineStr">
        <is>
          <t>2023-08</t>
        </is>
      </c>
      <c r="NO1" s="1" t="inlineStr">
        <is>
          <t>2023-09</t>
        </is>
      </c>
      <c r="NP1" s="1" t="inlineStr">
        <is>
          <t>2023-10</t>
        </is>
      </c>
      <c r="NQ1" s="1" t="inlineStr">
        <is>
          <t>2023-11</t>
        </is>
      </c>
      <c r="NR1" s="1" t="inlineStr">
        <is>
          <t>2023-12</t>
        </is>
      </c>
      <c r="NS1" s="1" t="inlineStr">
        <is>
          <t>2023Q1</t>
        </is>
      </c>
      <c r="NT1" s="1" t="inlineStr">
        <is>
          <t>2023Q2</t>
        </is>
      </c>
      <c r="NU1" s="1" t="inlineStr">
        <is>
          <t>2023Q3</t>
        </is>
      </c>
      <c r="NV1" s="1" t="inlineStr">
        <is>
          <t>2023Q4</t>
        </is>
      </c>
      <c r="NW1" s="1" t="inlineStr">
        <is>
          <t>2024-01</t>
        </is>
      </c>
      <c r="NX1" s="1" t="inlineStr">
        <is>
          <t>2024-02</t>
        </is>
      </c>
      <c r="NY1" s="1" t="inlineStr">
        <is>
          <t>2024-03</t>
        </is>
      </c>
      <c r="NZ1" s="1" t="inlineStr">
        <is>
          <t>2024-04</t>
        </is>
      </c>
      <c r="OA1" s="1" t="inlineStr">
        <is>
          <t>2024-05</t>
        </is>
      </c>
      <c r="OB1" s="1" t="inlineStr">
        <is>
          <t>2024-06</t>
        </is>
      </c>
      <c r="OC1" s="1" t="inlineStr">
        <is>
          <t>2024-07</t>
        </is>
      </c>
      <c r="OD1" s="1" t="inlineStr">
        <is>
          <t>2024-08</t>
        </is>
      </c>
      <c r="OE1" s="1" t="inlineStr">
        <is>
          <t>2024-09</t>
        </is>
      </c>
      <c r="OF1" s="1" t="inlineStr">
        <is>
          <t>2024-10</t>
        </is>
      </c>
      <c r="OG1" s="1" t="inlineStr">
        <is>
          <t>2024-11</t>
        </is>
      </c>
      <c r="OH1" s="1" t="inlineStr">
        <is>
          <t>2024-12</t>
        </is>
      </c>
      <c r="OI1" s="1" t="inlineStr">
        <is>
          <t>2024Q1</t>
        </is>
      </c>
      <c r="OJ1" s="1" t="inlineStr">
        <is>
          <t>2024Q2</t>
        </is>
      </c>
      <c r="OK1" s="1" t="inlineStr">
        <is>
          <t>2024Q3</t>
        </is>
      </c>
      <c r="OL1" s="1" t="inlineStr">
        <is>
          <t>2024Q4</t>
        </is>
      </c>
      <c r="OM1" s="1" t="inlineStr">
        <is>
          <t>2025-01</t>
        </is>
      </c>
      <c r="ON1" s="1" t="inlineStr">
        <is>
          <t>2025-02</t>
        </is>
      </c>
      <c r="OO1" s="1" t="inlineStr">
        <is>
          <t>2025-03</t>
        </is>
      </c>
      <c r="OP1" s="1" t="inlineStr">
        <is>
          <t>2025-04</t>
        </is>
      </c>
      <c r="OQ1" s="1" t="inlineStr">
        <is>
          <t>2025-05</t>
        </is>
      </c>
      <c r="OR1" s="1" t="inlineStr">
        <is>
          <t>2025-06</t>
        </is>
      </c>
      <c r="OS1" s="1" t="inlineStr">
        <is>
          <t>2025-07</t>
        </is>
      </c>
      <c r="OT1" s="1" t="inlineStr">
        <is>
          <t>2025-08</t>
        </is>
      </c>
      <c r="OU1" s="1" t="inlineStr">
        <is>
          <t>2025-09</t>
        </is>
      </c>
      <c r="OV1" s="1" t="inlineStr">
        <is>
          <t>2025-10</t>
        </is>
      </c>
      <c r="OW1" s="1" t="inlineStr">
        <is>
          <t>2025-11</t>
        </is>
      </c>
      <c r="OX1" s="1" t="inlineStr">
        <is>
          <t>2025-12</t>
        </is>
      </c>
      <c r="OY1" s="1" t="inlineStr">
        <is>
          <t>2025Q1</t>
        </is>
      </c>
      <c r="OZ1" s="1" t="inlineStr">
        <is>
          <t>2025Q2</t>
        </is>
      </c>
      <c r="PA1" s="1" t="inlineStr">
        <is>
          <t>2025Q3</t>
        </is>
      </c>
      <c r="PB1" s="1" t="inlineStr">
        <is>
          <t>2025Q4</t>
        </is>
      </c>
      <c r="PC1" s="1" t="inlineStr">
        <is>
          <t>2026-01</t>
        </is>
      </c>
      <c r="PD1" s="1" t="inlineStr">
        <is>
          <t>2026-02</t>
        </is>
      </c>
      <c r="PE1" s="1" t="inlineStr">
        <is>
          <t>2026-03</t>
        </is>
      </c>
      <c r="PF1" s="1" t="inlineStr">
        <is>
          <t>2026-04</t>
        </is>
      </c>
      <c r="PG1" s="1" t="inlineStr">
        <is>
          <t>2026-05</t>
        </is>
      </c>
      <c r="PH1" s="1" t="inlineStr">
        <is>
          <t>2026-06</t>
        </is>
      </c>
      <c r="PI1" s="1" t="inlineStr">
        <is>
          <t>2026-07</t>
        </is>
      </c>
      <c r="PJ1" s="1" t="inlineStr">
        <is>
          <t>2026Q1</t>
        </is>
      </c>
      <c r="PK1" s="1" t="inlineStr">
        <is>
          <t>2026Q2</t>
        </is>
      </c>
    </row>
    <row r="2">
      <c r="A2" t="inlineStr">
        <is>
          <t>A130393720C</t>
        </is>
      </c>
      <c r="B2" t="inlineStr">
        <is>
          <t>Index Numbers ;  All groups CPI ;  Australia ;</t>
        </is>
      </c>
      <c r="C2" t="inlineStr">
        <is>
          <t>Month</t>
        </is>
      </c>
      <c r="D2" t="inlineStr">
        <is>
          <t>Index Numbers</t>
        </is>
      </c>
      <c r="E2" t="inlineStr">
        <is>
          <t>Original</t>
        </is>
      </c>
      <c r="F2" t="inlineStr">
        <is>
          <t>640101.xlsx</t>
        </is>
      </c>
      <c r="G2" t="inlineStr">
        <is>
          <t>2024-04</t>
        </is>
      </c>
      <c r="H2" t="inlineStr">
        <is>
          <t>2026-07</t>
        </is>
      </c>
      <c r="NZ2" s="2">
        <v>96.40000000000001</v>
      </c>
      <c r="OA2" s="2">
        <v>96.17</v>
      </c>
      <c r="OB2" s="2">
        <v>96.52</v>
      </c>
      <c r="OC2" s="2">
        <v>96.77</v>
      </c>
      <c r="OD2" s="2">
        <v>96.48999999999999</v>
      </c>
      <c r="OE2" s="2">
        <v>96.54000000000001</v>
      </c>
      <c r="OF2" s="2">
        <v>96.31999999999999</v>
      </c>
      <c r="OG2" s="2">
        <v>96.68000000000001</v>
      </c>
      <c r="OH2" s="2">
        <v>97.31</v>
      </c>
      <c r="OM2" s="2">
        <v>97.58</v>
      </c>
      <c r="ON2" s="2">
        <v>97.67</v>
      </c>
      <c r="OO2" s="2">
        <v>97.95999999999999</v>
      </c>
      <c r="OP2" s="2">
        <v>98.68000000000001</v>
      </c>
      <c r="OQ2" s="2">
        <v>98.2</v>
      </c>
      <c r="OR2" s="2">
        <v>98.34</v>
      </c>
      <c r="OS2" s="2">
        <v>99.63</v>
      </c>
      <c r="OT2" s="2">
        <v>99.55</v>
      </c>
      <c r="OU2" s="2">
        <v>100</v>
      </c>
      <c r="OV2" s="2">
        <v>99.98999999999999</v>
      </c>
      <c r="OW2" s="2">
        <v>100.01</v>
      </c>
      <c r="OX2" s="2">
        <v>100.97</v>
      </c>
      <c r="PC2" s="2">
        <v>101.33</v>
      </c>
      <c r="PD2" s="2">
        <v>101.31</v>
      </c>
      <c r="PE2" s="2">
        <v>102.44</v>
      </c>
      <c r="PF2" s="2">
        <v>102.8</v>
      </c>
      <c r="PG2" s="2">
        <v>102.09</v>
      </c>
      <c r="PH2" s="2">
        <v>102.03</v>
      </c>
      <c r="PI2" s="2">
        <v>103.07</v>
      </c>
    </row>
    <row r="3">
      <c r="A3" t="inlineStr">
        <is>
          <t>A130397375X</t>
        </is>
      </c>
      <c r="B3" t="inlineStr">
        <is>
          <t>Index Numbers ;  All groups CPI ;  Sydney ;</t>
        </is>
      </c>
      <c r="C3" t="inlineStr">
        <is>
          <t>Month</t>
        </is>
      </c>
      <c r="D3" t="inlineStr">
        <is>
          <t>Index Numbers</t>
        </is>
      </c>
      <c r="E3" t="inlineStr">
        <is>
          <t>Original</t>
        </is>
      </c>
      <c r="F3" t="inlineStr">
        <is>
          <t>640101.xlsx</t>
        </is>
      </c>
      <c r="G3" t="inlineStr">
        <is>
          <t>2024-04</t>
        </is>
      </c>
      <c r="H3" t="inlineStr">
        <is>
          <t>2026-07</t>
        </is>
      </c>
      <c r="NZ3" s="2">
        <v>96.69</v>
      </c>
      <c r="OA3" s="2">
        <v>96.09</v>
      </c>
      <c r="OB3" s="2">
        <v>96.73</v>
      </c>
      <c r="OC3" s="2">
        <v>97.25</v>
      </c>
      <c r="OD3" s="2">
        <v>97.04000000000001</v>
      </c>
      <c r="OE3" s="2">
        <v>96.75</v>
      </c>
      <c r="OF3" s="2">
        <v>96.45999999999999</v>
      </c>
      <c r="OG3" s="2">
        <v>96.73</v>
      </c>
      <c r="OH3" s="2">
        <v>97.56999999999999</v>
      </c>
      <c r="OM3" s="2">
        <v>97.76000000000001</v>
      </c>
      <c r="ON3" s="2">
        <v>97.69</v>
      </c>
      <c r="OO3" s="2">
        <v>98.09</v>
      </c>
      <c r="OP3" s="2">
        <v>98.72</v>
      </c>
      <c r="OQ3" s="2">
        <v>98.16</v>
      </c>
      <c r="OR3" s="2">
        <v>98.34</v>
      </c>
      <c r="OS3" s="2">
        <v>100.05</v>
      </c>
      <c r="OT3" s="2">
        <v>99.69</v>
      </c>
      <c r="OU3" s="2">
        <v>100</v>
      </c>
      <c r="OV3" s="2">
        <v>99.89</v>
      </c>
      <c r="OW3" s="2">
        <v>100.06</v>
      </c>
      <c r="OX3" s="2">
        <v>101.19</v>
      </c>
      <c r="PC3" s="2">
        <v>101.61</v>
      </c>
      <c r="PD3" s="2">
        <v>101.4</v>
      </c>
      <c r="PE3" s="2">
        <v>102.41</v>
      </c>
      <c r="PF3" s="2">
        <v>102.87</v>
      </c>
      <c r="PG3" s="2">
        <v>102.31</v>
      </c>
      <c r="PH3" s="2">
        <v>102.28</v>
      </c>
      <c r="PI3" s="2">
        <v>103.22</v>
      </c>
    </row>
    <row r="4">
      <c r="A4" t="inlineStr">
        <is>
          <t>A130396086K</t>
        </is>
      </c>
      <c r="B4" t="inlineStr">
        <is>
          <t>Index Numbers ;  All groups CPI ;  Melbourne ;</t>
        </is>
      </c>
      <c r="C4" t="inlineStr">
        <is>
          <t>Month</t>
        </is>
      </c>
      <c r="D4" t="inlineStr">
        <is>
          <t>Index Numbers</t>
        </is>
      </c>
      <c r="E4" t="inlineStr">
        <is>
          <t>Original</t>
        </is>
      </c>
      <c r="F4" t="inlineStr">
        <is>
          <t>640101.xlsx</t>
        </is>
      </c>
      <c r="G4" t="inlineStr">
        <is>
          <t>2024-04</t>
        </is>
      </c>
      <c r="H4" t="inlineStr">
        <is>
          <t>2026-07</t>
        </is>
      </c>
      <c r="NZ4" s="2">
        <v>96.51000000000001</v>
      </c>
      <c r="OA4" s="2">
        <v>96.51000000000001</v>
      </c>
      <c r="OB4" s="2">
        <v>96.81</v>
      </c>
      <c r="OC4" s="2">
        <v>97.19</v>
      </c>
      <c r="OD4" s="2">
        <v>97.12</v>
      </c>
      <c r="OE4" s="2">
        <v>97.40000000000001</v>
      </c>
      <c r="OF4" s="2">
        <v>96.83</v>
      </c>
      <c r="OG4" s="2">
        <v>97.2</v>
      </c>
      <c r="OH4" s="2">
        <v>97.95</v>
      </c>
      <c r="OM4" s="2">
        <v>98.25</v>
      </c>
      <c r="ON4" s="2">
        <v>98.09999999999999</v>
      </c>
      <c r="OO4" s="2">
        <v>98.03</v>
      </c>
      <c r="OP4" s="2">
        <v>98.73</v>
      </c>
      <c r="OQ4" s="2">
        <v>98.23</v>
      </c>
      <c r="OR4" s="2">
        <v>98.48</v>
      </c>
      <c r="OS4" s="2">
        <v>99.45</v>
      </c>
      <c r="OT4" s="2">
        <v>99.54000000000001</v>
      </c>
      <c r="OU4" s="2">
        <v>100</v>
      </c>
      <c r="OV4" s="2">
        <v>100.01</v>
      </c>
      <c r="OW4" s="2">
        <v>100.07</v>
      </c>
      <c r="OX4" s="2">
        <v>100.98</v>
      </c>
      <c r="PC4" s="2">
        <v>101.45</v>
      </c>
      <c r="PD4" s="2">
        <v>101.36</v>
      </c>
      <c r="PE4" s="2">
        <v>102.57</v>
      </c>
      <c r="PF4" s="2">
        <v>102.58</v>
      </c>
      <c r="PG4" s="2">
        <v>101.63</v>
      </c>
      <c r="PH4" s="2">
        <v>101.66</v>
      </c>
      <c r="PI4" s="2">
        <v>102.65</v>
      </c>
    </row>
    <row r="5">
      <c r="A5" t="inlineStr">
        <is>
          <t>A130397382W</t>
        </is>
      </c>
      <c r="B5" t="inlineStr">
        <is>
          <t>Index Numbers ;  All groups CPI ;  Brisbane ;</t>
        </is>
      </c>
      <c r="C5" t="inlineStr">
        <is>
          <t>Month</t>
        </is>
      </c>
      <c r="D5" t="inlineStr">
        <is>
          <t>Index Numbers</t>
        </is>
      </c>
      <c r="E5" t="inlineStr">
        <is>
          <t>Original</t>
        </is>
      </c>
      <c r="F5" t="inlineStr">
        <is>
          <t>640101.xlsx</t>
        </is>
      </c>
      <c r="G5" t="inlineStr">
        <is>
          <t>2024-04</t>
        </is>
      </c>
      <c r="H5" t="inlineStr">
        <is>
          <t>2026-07</t>
        </is>
      </c>
      <c r="NZ5" s="2">
        <v>95.48999999999999</v>
      </c>
      <c r="OA5" s="2">
        <v>95.42</v>
      </c>
      <c r="OB5" s="2">
        <v>95.75</v>
      </c>
      <c r="OC5" s="2">
        <v>94.69</v>
      </c>
      <c r="OD5" s="2">
        <v>94.79000000000001</v>
      </c>
      <c r="OE5" s="2">
        <v>95.06</v>
      </c>
      <c r="OF5" s="2">
        <v>95.23</v>
      </c>
      <c r="OG5" s="2">
        <v>95.11</v>
      </c>
      <c r="OH5" s="2">
        <v>96.02</v>
      </c>
      <c r="OM5" s="2">
        <v>96.94</v>
      </c>
      <c r="ON5" s="2">
        <v>97.44</v>
      </c>
      <c r="OO5" s="2">
        <v>97.53</v>
      </c>
      <c r="OP5" s="2">
        <v>98.17</v>
      </c>
      <c r="OQ5" s="2">
        <v>97.98</v>
      </c>
      <c r="OR5" s="2">
        <v>97.95999999999999</v>
      </c>
      <c r="OS5" s="2">
        <v>99.20999999999999</v>
      </c>
      <c r="OT5" s="2">
        <v>99.23</v>
      </c>
      <c r="OU5" s="2">
        <v>100</v>
      </c>
      <c r="OV5" s="2">
        <v>100.21</v>
      </c>
      <c r="OW5" s="2">
        <v>99.95999999999999</v>
      </c>
      <c r="OX5" s="2">
        <v>100.98</v>
      </c>
      <c r="PC5" s="2">
        <v>101.08</v>
      </c>
      <c r="PD5" s="2">
        <v>101.05</v>
      </c>
      <c r="PE5" s="2">
        <v>102.14</v>
      </c>
      <c r="PF5" s="2">
        <v>102.66</v>
      </c>
      <c r="PG5" s="2">
        <v>101.95</v>
      </c>
      <c r="PH5" s="2">
        <v>101.89</v>
      </c>
      <c r="PI5" s="2">
        <v>102.93</v>
      </c>
    </row>
    <row r="6">
      <c r="A6" t="inlineStr">
        <is>
          <t>A130395001V</t>
        </is>
      </c>
      <c r="B6" t="inlineStr">
        <is>
          <t>Index Numbers ;  All groups CPI ;  Adelaide ;</t>
        </is>
      </c>
      <c r="C6" t="inlineStr">
        <is>
          <t>Month</t>
        </is>
      </c>
      <c r="D6" t="inlineStr">
        <is>
          <t>Index Numbers</t>
        </is>
      </c>
      <c r="E6" t="inlineStr">
        <is>
          <t>Original</t>
        </is>
      </c>
      <c r="F6" t="inlineStr">
        <is>
          <t>640101.xlsx</t>
        </is>
      </c>
      <c r="G6" t="inlineStr">
        <is>
          <t>2024-04</t>
        </is>
      </c>
      <c r="H6" t="inlineStr">
        <is>
          <t>2026-07</t>
        </is>
      </c>
      <c r="NZ6" s="2">
        <v>96.91</v>
      </c>
      <c r="OA6" s="2">
        <v>96.63</v>
      </c>
      <c r="OB6" s="2">
        <v>96.58</v>
      </c>
      <c r="OC6" s="2">
        <v>97.72</v>
      </c>
      <c r="OD6" s="2">
        <v>97.01000000000001</v>
      </c>
      <c r="OE6" s="2">
        <v>97.06</v>
      </c>
      <c r="OF6" s="2">
        <v>96.5</v>
      </c>
      <c r="OG6" s="2">
        <v>96.95999999999999</v>
      </c>
      <c r="OH6" s="2">
        <v>97.77</v>
      </c>
      <c r="OM6" s="2">
        <v>97.86</v>
      </c>
      <c r="ON6" s="2">
        <v>98.09999999999999</v>
      </c>
      <c r="OO6" s="2">
        <v>97.93000000000001</v>
      </c>
      <c r="OP6" s="2">
        <v>98.84</v>
      </c>
      <c r="OQ6" s="2">
        <v>98.31</v>
      </c>
      <c r="OR6" s="2">
        <v>98.3</v>
      </c>
      <c r="OS6" s="2">
        <v>99.40000000000001</v>
      </c>
      <c r="OT6" s="2">
        <v>99.52</v>
      </c>
      <c r="OU6" s="2">
        <v>100</v>
      </c>
      <c r="OV6" s="2">
        <v>100.11</v>
      </c>
      <c r="OW6" s="2">
        <v>100.17</v>
      </c>
      <c r="OX6" s="2">
        <v>101</v>
      </c>
      <c r="PC6" s="2">
        <v>101.27</v>
      </c>
      <c r="PD6" s="2">
        <v>101.41</v>
      </c>
      <c r="PE6" s="2">
        <v>102.7</v>
      </c>
      <c r="PF6" s="2">
        <v>103.38</v>
      </c>
      <c r="PG6" s="2">
        <v>102.67</v>
      </c>
      <c r="PH6" s="2">
        <v>102.45</v>
      </c>
      <c r="PI6" s="2">
        <v>103.75</v>
      </c>
    </row>
    <row r="7">
      <c r="A7" t="inlineStr">
        <is>
          <t>A130393713F</t>
        </is>
      </c>
      <c r="B7" t="inlineStr">
        <is>
          <t>Index Numbers ;  All groups CPI ;  Perth ;</t>
        </is>
      </c>
      <c r="C7" t="inlineStr">
        <is>
          <t>Month</t>
        </is>
      </c>
      <c r="D7" t="inlineStr">
        <is>
          <t>Index Numbers</t>
        </is>
      </c>
      <c r="E7" t="inlineStr">
        <is>
          <t>Original</t>
        </is>
      </c>
      <c r="F7" t="inlineStr">
        <is>
          <t>640101.xlsx</t>
        </is>
      </c>
      <c r="G7" t="inlineStr">
        <is>
          <t>2024-04</t>
        </is>
      </c>
      <c r="H7" t="inlineStr">
        <is>
          <t>2026-07</t>
        </is>
      </c>
      <c r="NZ7" s="2">
        <v>95.88</v>
      </c>
      <c r="OA7" s="2">
        <v>96</v>
      </c>
      <c r="OB7" s="2">
        <v>95.95999999999999</v>
      </c>
      <c r="OC7" s="2">
        <v>96.18000000000001</v>
      </c>
      <c r="OD7" s="2">
        <v>95.12</v>
      </c>
      <c r="OE7" s="2">
        <v>95.2</v>
      </c>
      <c r="OF7" s="2">
        <v>95.69</v>
      </c>
      <c r="OG7" s="2">
        <v>96.81</v>
      </c>
      <c r="OH7" s="2">
        <v>96.09999999999999</v>
      </c>
      <c r="OM7" s="2">
        <v>95.86</v>
      </c>
      <c r="ON7" s="2">
        <v>96.45</v>
      </c>
      <c r="OO7" s="2">
        <v>97.90000000000001</v>
      </c>
      <c r="OP7" s="2">
        <v>98.98999999999999</v>
      </c>
      <c r="OQ7" s="2">
        <v>98.45999999999999</v>
      </c>
      <c r="OR7" s="2">
        <v>98.48999999999999</v>
      </c>
      <c r="OS7" s="2">
        <v>99.52</v>
      </c>
      <c r="OT7" s="2">
        <v>99.65000000000001</v>
      </c>
      <c r="OU7" s="2">
        <v>100</v>
      </c>
      <c r="OV7" s="2">
        <v>99.81999999999999</v>
      </c>
      <c r="OW7" s="2">
        <v>99.56</v>
      </c>
      <c r="OX7" s="2">
        <v>100.29</v>
      </c>
      <c r="PC7" s="2">
        <v>100.57</v>
      </c>
      <c r="PD7" s="2">
        <v>101.21</v>
      </c>
      <c r="PE7" s="2">
        <v>102.45</v>
      </c>
      <c r="PF7" s="2">
        <v>102.89</v>
      </c>
      <c r="PG7" s="2">
        <v>102.35</v>
      </c>
      <c r="PH7" s="2">
        <v>102.16</v>
      </c>
      <c r="PI7" s="2">
        <v>103.31</v>
      </c>
    </row>
    <row r="8">
      <c r="A8" t="inlineStr">
        <is>
          <t>A130392355X</t>
        </is>
      </c>
      <c r="B8" t="inlineStr">
        <is>
          <t>Index Numbers ;  All groups CPI ;  Hobart ;</t>
        </is>
      </c>
      <c r="C8" t="inlineStr">
        <is>
          <t>Month</t>
        </is>
      </c>
      <c r="D8" t="inlineStr">
        <is>
          <t>Index Numbers</t>
        </is>
      </c>
      <c r="E8" t="inlineStr">
        <is>
          <t>Original</t>
        </is>
      </c>
      <c r="F8" t="inlineStr">
        <is>
          <t>640101.xlsx</t>
        </is>
      </c>
      <c r="G8" t="inlineStr">
        <is>
          <t>2024-04</t>
        </is>
      </c>
      <c r="H8" t="inlineStr">
        <is>
          <t>2026-07</t>
        </is>
      </c>
      <c r="NZ8" s="2">
        <v>96.64</v>
      </c>
      <c r="OA8" s="2">
        <v>96.38</v>
      </c>
      <c r="OB8" s="2">
        <v>96.44</v>
      </c>
      <c r="OC8" s="2">
        <v>95.67</v>
      </c>
      <c r="OD8" s="2">
        <v>95.27</v>
      </c>
      <c r="OE8" s="2">
        <v>95.45</v>
      </c>
      <c r="OF8" s="2">
        <v>96.53</v>
      </c>
      <c r="OG8" s="2">
        <v>96.81</v>
      </c>
      <c r="OH8" s="2">
        <v>97.47</v>
      </c>
      <c r="OM8" s="2">
        <v>97.73</v>
      </c>
      <c r="ON8" s="2">
        <v>97.52</v>
      </c>
      <c r="OO8" s="2">
        <v>97.87</v>
      </c>
      <c r="OP8" s="2">
        <v>98.41</v>
      </c>
      <c r="OQ8" s="2">
        <v>97.59999999999999</v>
      </c>
      <c r="OR8" s="2">
        <v>98.16</v>
      </c>
      <c r="OS8" s="2">
        <v>99.2</v>
      </c>
      <c r="OT8" s="2">
        <v>99.44</v>
      </c>
      <c r="OU8" s="2">
        <v>100</v>
      </c>
      <c r="OV8" s="2">
        <v>100.46</v>
      </c>
      <c r="OW8" s="2">
        <v>100.32</v>
      </c>
      <c r="OX8" s="2">
        <v>101.17</v>
      </c>
      <c r="PC8" s="2">
        <v>101.28</v>
      </c>
      <c r="PD8" s="2">
        <v>101.46</v>
      </c>
      <c r="PE8" s="2">
        <v>102.82</v>
      </c>
      <c r="PF8" s="2">
        <v>103.33</v>
      </c>
      <c r="PG8" s="2">
        <v>102.48</v>
      </c>
      <c r="PH8" s="2">
        <v>102.33</v>
      </c>
      <c r="PI8" s="2">
        <v>103.62</v>
      </c>
    </row>
    <row r="9">
      <c r="A9" t="inlineStr">
        <is>
          <t>A130395008K</t>
        </is>
      </c>
      <c r="B9" t="inlineStr">
        <is>
          <t>Index Numbers ;  All groups CPI ;  Darwin ;</t>
        </is>
      </c>
      <c r="C9" t="inlineStr">
        <is>
          <t>Month</t>
        </is>
      </c>
      <c r="D9" t="inlineStr">
        <is>
          <t>Index Numbers</t>
        </is>
      </c>
      <c r="E9" t="inlineStr">
        <is>
          <t>Original</t>
        </is>
      </c>
      <c r="F9" t="inlineStr">
        <is>
          <t>640101.xlsx</t>
        </is>
      </c>
      <c r="G9" t="inlineStr">
        <is>
          <t>2024-04</t>
        </is>
      </c>
      <c r="H9" t="inlineStr">
        <is>
          <t>2026-07</t>
        </is>
      </c>
      <c r="NZ9" s="2">
        <v>96.91</v>
      </c>
      <c r="OA9" s="2">
        <v>96.89</v>
      </c>
      <c r="OB9" s="2">
        <v>97.37</v>
      </c>
      <c r="OC9" s="2">
        <v>97.42</v>
      </c>
      <c r="OD9" s="2">
        <v>96.92</v>
      </c>
      <c r="OE9" s="2">
        <v>97.20999999999999</v>
      </c>
      <c r="OF9" s="2">
        <v>96.58</v>
      </c>
      <c r="OG9" s="2">
        <v>97</v>
      </c>
      <c r="OH9" s="2">
        <v>97.69</v>
      </c>
      <c r="OM9" s="2">
        <v>97.76000000000001</v>
      </c>
      <c r="ON9" s="2">
        <v>97.81999999999999</v>
      </c>
      <c r="OO9" s="2">
        <v>97.98</v>
      </c>
      <c r="OP9" s="2">
        <v>98.59999999999999</v>
      </c>
      <c r="OQ9" s="2">
        <v>98.34999999999999</v>
      </c>
      <c r="OR9" s="2">
        <v>98.36</v>
      </c>
      <c r="OS9" s="2">
        <v>99.52</v>
      </c>
      <c r="OT9" s="2">
        <v>99.47</v>
      </c>
      <c r="OU9" s="2">
        <v>100</v>
      </c>
      <c r="OV9" s="2">
        <v>100.18</v>
      </c>
      <c r="OW9" s="2">
        <v>100.11</v>
      </c>
      <c r="OX9" s="2">
        <v>100.71</v>
      </c>
      <c r="PC9" s="2">
        <v>100.83</v>
      </c>
      <c r="PD9" s="2">
        <v>100.91</v>
      </c>
      <c r="PE9" s="2">
        <v>102.08</v>
      </c>
      <c r="PF9" s="2">
        <v>102.73</v>
      </c>
      <c r="PG9" s="2">
        <v>102.16</v>
      </c>
      <c r="PH9" s="2">
        <v>102.17</v>
      </c>
      <c r="PI9" s="2">
        <v>103.24</v>
      </c>
    </row>
    <row r="10">
      <c r="A10" t="inlineStr">
        <is>
          <t>A130393727V</t>
        </is>
      </c>
      <c r="B10" t="inlineStr">
        <is>
          <t>Index Numbers ;  All groups CPI ;  Canberra ;</t>
        </is>
      </c>
      <c r="C10" t="inlineStr">
        <is>
          <t>Month</t>
        </is>
      </c>
      <c r="D10" t="inlineStr">
        <is>
          <t>Index Numbers</t>
        </is>
      </c>
      <c r="E10" t="inlineStr">
        <is>
          <t>Original</t>
        </is>
      </c>
      <c r="F10" t="inlineStr">
        <is>
          <t>640101.xlsx</t>
        </is>
      </c>
      <c r="G10" t="inlineStr">
        <is>
          <t>2024-04</t>
        </is>
      </c>
      <c r="H10" t="inlineStr">
        <is>
          <t>2026-07</t>
        </is>
      </c>
      <c r="NZ10" s="2">
        <v>96.95</v>
      </c>
      <c r="OA10" s="2">
        <v>96.67</v>
      </c>
      <c r="OB10" s="2">
        <v>96.84999999999999</v>
      </c>
      <c r="OC10" s="2">
        <v>97.54000000000001</v>
      </c>
      <c r="OD10" s="2">
        <v>97.01000000000001</v>
      </c>
      <c r="OE10" s="2">
        <v>97.06</v>
      </c>
      <c r="OF10" s="2">
        <v>96.73999999999999</v>
      </c>
      <c r="OG10" s="2">
        <v>97.05</v>
      </c>
      <c r="OH10" s="2">
        <v>97.78</v>
      </c>
      <c r="OM10" s="2">
        <v>97.94</v>
      </c>
      <c r="ON10" s="2">
        <v>97.97</v>
      </c>
      <c r="OO10" s="2">
        <v>98.16</v>
      </c>
      <c r="OP10" s="2">
        <v>98.77</v>
      </c>
      <c r="OQ10" s="2">
        <v>98.23</v>
      </c>
      <c r="OR10" s="2">
        <v>98.25</v>
      </c>
      <c r="OS10" s="2">
        <v>100.01</v>
      </c>
      <c r="OT10" s="2">
        <v>99.56</v>
      </c>
      <c r="OU10" s="2">
        <v>100</v>
      </c>
      <c r="OV10" s="2">
        <v>99.98999999999999</v>
      </c>
      <c r="OW10" s="2">
        <v>100.26</v>
      </c>
      <c r="OX10" s="2">
        <v>100.97</v>
      </c>
      <c r="PC10" s="2">
        <v>101.46</v>
      </c>
      <c r="PD10" s="2">
        <v>101.42</v>
      </c>
      <c r="PE10" s="2">
        <v>102.25</v>
      </c>
      <c r="PF10" s="2">
        <v>102.71</v>
      </c>
      <c r="PG10" s="2">
        <v>102.21</v>
      </c>
      <c r="PH10" s="2">
        <v>101.96</v>
      </c>
      <c r="PI10" s="2">
        <v>103.18</v>
      </c>
    </row>
    <row r="11">
      <c r="A11" t="inlineStr">
        <is>
          <t>A130393721F</t>
        </is>
      </c>
      <c r="B11" t="inlineStr">
        <is>
          <t>Percentage Change from Corresponding Month of Previous Year ;  All groups CPI ;  Australia ;</t>
        </is>
      </c>
      <c r="C11" t="inlineStr">
        <is>
          <t>Month</t>
        </is>
      </c>
      <c r="D11" t="inlineStr">
        <is>
          <t>Percent</t>
        </is>
      </c>
      <c r="E11" t="inlineStr">
        <is>
          <t>Original</t>
        </is>
      </c>
      <c r="F11" t="inlineStr">
        <is>
          <t>640101.xlsx</t>
        </is>
      </c>
      <c r="G11" t="inlineStr">
        <is>
          <t>2025-04</t>
        </is>
      </c>
      <c r="H11" t="inlineStr">
        <is>
          <t>2026-07</t>
        </is>
      </c>
      <c r="OP11" s="2">
        <v>2.4</v>
      </c>
      <c r="OQ11" s="2">
        <v>2.1</v>
      </c>
      <c r="OR11" s="2">
        <v>1.9</v>
      </c>
      <c r="OS11" s="2">
        <v>3</v>
      </c>
      <c r="OT11" s="2">
        <v>3.2</v>
      </c>
      <c r="OU11" s="2">
        <v>3.6</v>
      </c>
      <c r="OV11" s="2">
        <v>3.8</v>
      </c>
      <c r="OW11" s="2">
        <v>3.4</v>
      </c>
      <c r="OX11" s="2">
        <v>3.8</v>
      </c>
      <c r="PC11" s="2">
        <v>3.8</v>
      </c>
      <c r="PD11" s="2">
        <v>3.7</v>
      </c>
      <c r="PE11" s="2">
        <v>4.6</v>
      </c>
      <c r="PF11" s="2">
        <v>4.2</v>
      </c>
      <c r="PG11" s="2">
        <v>4</v>
      </c>
      <c r="PH11" s="2">
        <v>3.8</v>
      </c>
      <c r="PI11" s="2">
        <v>3.5</v>
      </c>
    </row>
    <row r="12">
      <c r="A12" t="inlineStr">
        <is>
          <t>A130397376A</t>
        </is>
      </c>
      <c r="B12" t="inlineStr">
        <is>
          <t>Percentage Change from Corresponding Month of Previous Year ;  All groups CPI ;  Sydney ;</t>
        </is>
      </c>
      <c r="C12" t="inlineStr">
        <is>
          <t>Month</t>
        </is>
      </c>
      <c r="D12" t="inlineStr">
        <is>
          <t>Percent</t>
        </is>
      </c>
      <c r="E12" t="inlineStr">
        <is>
          <t>Original</t>
        </is>
      </c>
      <c r="F12" t="inlineStr">
        <is>
          <t>640101.xlsx</t>
        </is>
      </c>
      <c r="G12" t="inlineStr">
        <is>
          <t>2025-04</t>
        </is>
      </c>
      <c r="H12" t="inlineStr">
        <is>
          <t>2026-07</t>
        </is>
      </c>
      <c r="OP12" s="2">
        <v>2.1</v>
      </c>
      <c r="OQ12" s="2">
        <v>2.2</v>
      </c>
      <c r="OR12" s="2">
        <v>1.7</v>
      </c>
      <c r="OS12" s="2">
        <v>2.9</v>
      </c>
      <c r="OT12" s="2">
        <v>2.7</v>
      </c>
      <c r="OU12" s="2">
        <v>3.4</v>
      </c>
      <c r="OV12" s="2">
        <v>3.6</v>
      </c>
      <c r="OW12" s="2">
        <v>3.4</v>
      </c>
      <c r="OX12" s="2">
        <v>3.7</v>
      </c>
      <c r="PC12" s="2">
        <v>3.9</v>
      </c>
      <c r="PD12" s="2">
        <v>3.8</v>
      </c>
      <c r="PE12" s="2">
        <v>4.4</v>
      </c>
      <c r="PF12" s="2">
        <v>4.2</v>
      </c>
      <c r="PG12" s="2">
        <v>4.2</v>
      </c>
      <c r="PH12" s="2">
        <v>4</v>
      </c>
      <c r="PI12" s="2">
        <v>3.2</v>
      </c>
    </row>
    <row r="13">
      <c r="A13" t="inlineStr">
        <is>
          <t>A130396087L</t>
        </is>
      </c>
      <c r="B13" t="inlineStr">
        <is>
          <t>Percentage Change from Corresponding Month of Previous Year ;  All groups CPI ;  Melbourne ;</t>
        </is>
      </c>
      <c r="C13" t="inlineStr">
        <is>
          <t>Month</t>
        </is>
      </c>
      <c r="D13" t="inlineStr">
        <is>
          <t>Percent</t>
        </is>
      </c>
      <c r="E13" t="inlineStr">
        <is>
          <t>Original</t>
        </is>
      </c>
      <c r="F13" t="inlineStr">
        <is>
          <t>640101.xlsx</t>
        </is>
      </c>
      <c r="G13" t="inlineStr">
        <is>
          <t>2025-04</t>
        </is>
      </c>
      <c r="H13" t="inlineStr">
        <is>
          <t>2026-07</t>
        </is>
      </c>
      <c r="OP13" s="2">
        <v>2.3</v>
      </c>
      <c r="OQ13" s="2">
        <v>1.8</v>
      </c>
      <c r="OR13" s="2">
        <v>1.7</v>
      </c>
      <c r="OS13" s="2">
        <v>2.3</v>
      </c>
      <c r="OT13" s="2">
        <v>2.5</v>
      </c>
      <c r="OU13" s="2">
        <v>2.7</v>
      </c>
      <c r="OV13" s="2">
        <v>3.3</v>
      </c>
      <c r="OW13" s="2">
        <v>3</v>
      </c>
      <c r="OX13" s="2">
        <v>3.1</v>
      </c>
      <c r="PC13" s="2">
        <v>3.3</v>
      </c>
      <c r="PD13" s="2">
        <v>3.3</v>
      </c>
      <c r="PE13" s="2">
        <v>4.6</v>
      </c>
      <c r="PF13" s="2">
        <v>3.9</v>
      </c>
      <c r="PG13" s="2">
        <v>3.5</v>
      </c>
      <c r="PH13" s="2">
        <v>3.2</v>
      </c>
      <c r="PI13" s="2">
        <v>3.2</v>
      </c>
    </row>
    <row r="14">
      <c r="A14" t="inlineStr">
        <is>
          <t>A130397383X</t>
        </is>
      </c>
      <c r="B14" t="inlineStr">
        <is>
          <t>Percentage Change from Corresponding Month of Previous Year ;  All groups CPI ;  Brisbane ;</t>
        </is>
      </c>
      <c r="C14" t="inlineStr">
        <is>
          <t>Month</t>
        </is>
      </c>
      <c r="D14" t="inlineStr">
        <is>
          <t>Percent</t>
        </is>
      </c>
      <c r="E14" t="inlineStr">
        <is>
          <t>Original</t>
        </is>
      </c>
      <c r="F14" t="inlineStr">
        <is>
          <t>640101.xlsx</t>
        </is>
      </c>
      <c r="G14" t="inlineStr">
        <is>
          <t>2025-04</t>
        </is>
      </c>
      <c r="H14" t="inlineStr">
        <is>
          <t>2026-07</t>
        </is>
      </c>
      <c r="OP14" s="2">
        <v>2.8</v>
      </c>
      <c r="OQ14" s="2">
        <v>2.7</v>
      </c>
      <c r="OR14" s="2">
        <v>2.3</v>
      </c>
      <c r="OS14" s="2">
        <v>4.8</v>
      </c>
      <c r="OT14" s="2">
        <v>4.7</v>
      </c>
      <c r="OU14" s="2">
        <v>5.2</v>
      </c>
      <c r="OV14" s="2">
        <v>5.2</v>
      </c>
      <c r="OW14" s="2">
        <v>5.1</v>
      </c>
      <c r="OX14" s="2">
        <v>5.2</v>
      </c>
      <c r="PC14" s="2">
        <v>4.3</v>
      </c>
      <c r="PD14" s="2">
        <v>3.7</v>
      </c>
      <c r="PE14" s="2">
        <v>4.7</v>
      </c>
      <c r="PF14" s="2">
        <v>4.6</v>
      </c>
      <c r="PG14" s="2">
        <v>4.1</v>
      </c>
      <c r="PH14" s="2">
        <v>4</v>
      </c>
      <c r="PI14" s="2">
        <v>3.7</v>
      </c>
    </row>
    <row r="15">
      <c r="A15" t="inlineStr">
        <is>
          <t>A130395002W</t>
        </is>
      </c>
      <c r="B15" t="inlineStr">
        <is>
          <t>Percentage Change from Corresponding Month of Previous Year ;  All groups CPI ;  Adelaide ;</t>
        </is>
      </c>
      <c r="C15" t="inlineStr">
        <is>
          <t>Month</t>
        </is>
      </c>
      <c r="D15" t="inlineStr">
        <is>
          <t>Percent</t>
        </is>
      </c>
      <c r="E15" t="inlineStr">
        <is>
          <t>Original</t>
        </is>
      </c>
      <c r="F15" t="inlineStr">
        <is>
          <t>640101.xlsx</t>
        </is>
      </c>
      <c r="G15" t="inlineStr">
        <is>
          <t>2025-04</t>
        </is>
      </c>
      <c r="H15" t="inlineStr">
        <is>
          <t>2026-07</t>
        </is>
      </c>
      <c r="OP15" s="2">
        <v>2</v>
      </c>
      <c r="OQ15" s="2">
        <v>1.7</v>
      </c>
      <c r="OR15" s="2">
        <v>1.8</v>
      </c>
      <c r="OS15" s="2">
        <v>1.7</v>
      </c>
      <c r="OT15" s="2">
        <v>2.6</v>
      </c>
      <c r="OU15" s="2">
        <v>3</v>
      </c>
      <c r="OV15" s="2">
        <v>3.7</v>
      </c>
      <c r="OW15" s="2">
        <v>3.3</v>
      </c>
      <c r="OX15" s="2">
        <v>3.3</v>
      </c>
      <c r="PC15" s="2">
        <v>3.5</v>
      </c>
      <c r="PD15" s="2">
        <v>3.4</v>
      </c>
      <c r="PE15" s="2">
        <v>4.9</v>
      </c>
      <c r="PF15" s="2">
        <v>4.6</v>
      </c>
      <c r="PG15" s="2">
        <v>4.4</v>
      </c>
      <c r="PH15" s="2">
        <v>4.2</v>
      </c>
      <c r="PI15" s="2">
        <v>4.4</v>
      </c>
    </row>
    <row r="16">
      <c r="A16" t="inlineStr">
        <is>
          <t>A130393714J</t>
        </is>
      </c>
      <c r="B16" t="inlineStr">
        <is>
          <t>Percentage Change from Corresponding Month of Previous Year ;  All groups CPI ;  Perth ;</t>
        </is>
      </c>
      <c r="C16" t="inlineStr">
        <is>
          <t>Month</t>
        </is>
      </c>
      <c r="D16" t="inlineStr">
        <is>
          <t>Percent</t>
        </is>
      </c>
      <c r="E16" t="inlineStr">
        <is>
          <t>Original</t>
        </is>
      </c>
      <c r="F16" t="inlineStr">
        <is>
          <t>640101.xlsx</t>
        </is>
      </c>
      <c r="G16" t="inlineStr">
        <is>
          <t>2025-04</t>
        </is>
      </c>
      <c r="H16" t="inlineStr">
        <is>
          <t>2026-07</t>
        </is>
      </c>
      <c r="OP16" s="2">
        <v>3.2</v>
      </c>
      <c r="OQ16" s="2">
        <v>2.6</v>
      </c>
      <c r="OR16" s="2">
        <v>2.6</v>
      </c>
      <c r="OS16" s="2">
        <v>3.5</v>
      </c>
      <c r="OT16" s="2">
        <v>4.8</v>
      </c>
      <c r="OU16" s="2">
        <v>5</v>
      </c>
      <c r="OV16" s="2">
        <v>4.3</v>
      </c>
      <c r="OW16" s="2">
        <v>2.8</v>
      </c>
      <c r="OX16" s="2">
        <v>4.4</v>
      </c>
      <c r="PC16" s="2">
        <v>4.9</v>
      </c>
      <c r="PD16" s="2">
        <v>4.9</v>
      </c>
      <c r="PE16" s="2">
        <v>4.6</v>
      </c>
      <c r="PF16" s="2">
        <v>3.9</v>
      </c>
      <c r="PG16" s="2">
        <v>4</v>
      </c>
      <c r="PH16" s="2">
        <v>3.7</v>
      </c>
      <c r="PI16" s="2">
        <v>3.8</v>
      </c>
    </row>
    <row r="17">
      <c r="A17" t="inlineStr">
        <is>
          <t>A130392356A</t>
        </is>
      </c>
      <c r="B17" t="inlineStr">
        <is>
          <t>Percentage Change from Corresponding Month of Previous Year ;  All groups CPI ;  Hobart ;</t>
        </is>
      </c>
      <c r="C17" t="inlineStr">
        <is>
          <t>Month</t>
        </is>
      </c>
      <c r="D17" t="inlineStr">
        <is>
          <t>Percent</t>
        </is>
      </c>
      <c r="E17" t="inlineStr">
        <is>
          <t>Original</t>
        </is>
      </c>
      <c r="F17" t="inlineStr">
        <is>
          <t>640101.xlsx</t>
        </is>
      </c>
      <c r="G17" t="inlineStr">
        <is>
          <t>2025-04</t>
        </is>
      </c>
      <c r="H17" t="inlineStr">
        <is>
          <t>2026-07</t>
        </is>
      </c>
      <c r="OP17" s="2">
        <v>1.8</v>
      </c>
      <c r="OQ17" s="2">
        <v>1.3</v>
      </c>
      <c r="OR17" s="2">
        <v>1.8</v>
      </c>
      <c r="OS17" s="2">
        <v>3.7</v>
      </c>
      <c r="OT17" s="2">
        <v>4.4</v>
      </c>
      <c r="OU17" s="2">
        <v>4.8</v>
      </c>
      <c r="OV17" s="2">
        <v>4.1</v>
      </c>
      <c r="OW17" s="2">
        <v>3.6</v>
      </c>
      <c r="OX17" s="2">
        <v>3.8</v>
      </c>
      <c r="PC17" s="2">
        <v>3.6</v>
      </c>
      <c r="PD17" s="2">
        <v>4</v>
      </c>
      <c r="PE17" s="2">
        <v>5.1</v>
      </c>
      <c r="PF17" s="2">
        <v>5</v>
      </c>
      <c r="PG17" s="2">
        <v>5</v>
      </c>
      <c r="PH17" s="2">
        <v>4.2</v>
      </c>
      <c r="PI17" s="2">
        <v>4.5</v>
      </c>
    </row>
    <row r="18">
      <c r="A18" t="inlineStr">
        <is>
          <t>A130395009L</t>
        </is>
      </c>
      <c r="B18" t="inlineStr">
        <is>
          <t>Percentage Change from Corresponding Month of Previous Year ;  All groups CPI ;  Darwin ;</t>
        </is>
      </c>
      <c r="C18" t="inlineStr">
        <is>
          <t>Month</t>
        </is>
      </c>
      <c r="D18" t="inlineStr">
        <is>
          <t>Percent</t>
        </is>
      </c>
      <c r="E18" t="inlineStr">
        <is>
          <t>Original</t>
        </is>
      </c>
      <c r="F18" t="inlineStr">
        <is>
          <t>640101.xlsx</t>
        </is>
      </c>
      <c r="G18" t="inlineStr">
        <is>
          <t>2025-04</t>
        </is>
      </c>
      <c r="H18" t="inlineStr">
        <is>
          <t>2026-07</t>
        </is>
      </c>
      <c r="OP18" s="2">
        <v>1.7</v>
      </c>
      <c r="OQ18" s="2">
        <v>1.5</v>
      </c>
      <c r="OR18" s="2">
        <v>1</v>
      </c>
      <c r="OS18" s="2">
        <v>2.2</v>
      </c>
      <c r="OT18" s="2">
        <v>2.6</v>
      </c>
      <c r="OU18" s="2">
        <v>2.9</v>
      </c>
      <c r="OV18" s="2">
        <v>3.7</v>
      </c>
      <c r="OW18" s="2">
        <v>3.2</v>
      </c>
      <c r="OX18" s="2">
        <v>3.1</v>
      </c>
      <c r="PC18" s="2">
        <v>3.1</v>
      </c>
      <c r="PD18" s="2">
        <v>3.2</v>
      </c>
      <c r="PE18" s="2">
        <v>4.2</v>
      </c>
      <c r="PF18" s="2">
        <v>4.2</v>
      </c>
      <c r="PG18" s="2">
        <v>3.9</v>
      </c>
      <c r="PH18" s="2">
        <v>3.9</v>
      </c>
      <c r="PI18" s="2">
        <v>3.7</v>
      </c>
    </row>
    <row r="19">
      <c r="A19" t="inlineStr">
        <is>
          <t>A130393728W</t>
        </is>
      </c>
      <c r="B19" t="inlineStr">
        <is>
          <t>Percentage Change from Corresponding Month of Previous Year ;  All groups CPI ;  Canberra ;</t>
        </is>
      </c>
      <c r="C19" t="inlineStr">
        <is>
          <t>Month</t>
        </is>
      </c>
      <c r="D19" t="inlineStr">
        <is>
          <t>Percent</t>
        </is>
      </c>
      <c r="E19" t="inlineStr">
        <is>
          <t>Original</t>
        </is>
      </c>
      <c r="F19" t="inlineStr">
        <is>
          <t>640101.xlsx</t>
        </is>
      </c>
      <c r="G19" t="inlineStr">
        <is>
          <t>2025-04</t>
        </is>
      </c>
      <c r="H19" t="inlineStr">
        <is>
          <t>2026-07</t>
        </is>
      </c>
      <c r="OP19" s="2">
        <v>1.9</v>
      </c>
      <c r="OQ19" s="2">
        <v>1.6</v>
      </c>
      <c r="OR19" s="2">
        <v>1.4</v>
      </c>
      <c r="OS19" s="2">
        <v>2.5</v>
      </c>
      <c r="OT19" s="2">
        <v>2.6</v>
      </c>
      <c r="OU19" s="2">
        <v>3</v>
      </c>
      <c r="OV19" s="2">
        <v>3.4</v>
      </c>
      <c r="OW19" s="2">
        <v>3.3</v>
      </c>
      <c r="OX19" s="2">
        <v>3.3</v>
      </c>
      <c r="PC19" s="2">
        <v>3.6</v>
      </c>
      <c r="PD19" s="2">
        <v>3.5</v>
      </c>
      <c r="PE19" s="2">
        <v>4.2</v>
      </c>
      <c r="PF19" s="2">
        <v>4</v>
      </c>
      <c r="PG19" s="2">
        <v>4.1</v>
      </c>
      <c r="PH19" s="2">
        <v>3.8</v>
      </c>
      <c r="PI19" s="2">
        <v>3.2</v>
      </c>
    </row>
    <row r="20">
      <c r="A20" t="inlineStr">
        <is>
          <t>A130393722J</t>
        </is>
      </c>
      <c r="B20" t="inlineStr">
        <is>
          <t>Percentage Change from Previous Period ;  All groups CPI ;  Australia ;</t>
        </is>
      </c>
      <c r="C20" t="inlineStr">
        <is>
          <t>Month</t>
        </is>
      </c>
      <c r="D20" t="inlineStr">
        <is>
          <t>Percent</t>
        </is>
      </c>
      <c r="E20" t="inlineStr">
        <is>
          <t>Original</t>
        </is>
      </c>
      <c r="F20" t="inlineStr">
        <is>
          <t>640101.xlsx</t>
        </is>
      </c>
      <c r="G20" t="inlineStr">
        <is>
          <t>2024-05</t>
        </is>
      </c>
      <c r="H20" t="inlineStr">
        <is>
          <t>2026-07</t>
        </is>
      </c>
      <c r="OA20" s="2">
        <v>-0.2</v>
      </c>
      <c r="OB20" s="2">
        <v>0.4</v>
      </c>
      <c r="OC20" s="2">
        <v>0.3</v>
      </c>
      <c r="OD20" s="2">
        <v>-0.3</v>
      </c>
      <c r="OE20" s="2">
        <v>0.1</v>
      </c>
      <c r="OF20" s="2">
        <v>-0.2</v>
      </c>
      <c r="OG20" s="2">
        <v>0.4</v>
      </c>
      <c r="OH20" s="2">
        <v>0.7</v>
      </c>
      <c r="OM20" s="2">
        <v>0.3</v>
      </c>
      <c r="ON20" s="2">
        <v>0.1</v>
      </c>
      <c r="OO20" s="2">
        <v>0.3</v>
      </c>
      <c r="OP20" s="2">
        <v>0.7</v>
      </c>
      <c r="OQ20" s="2">
        <v>-0.5</v>
      </c>
      <c r="OR20" s="2">
        <v>0.1</v>
      </c>
      <c r="OS20" s="2">
        <v>1.3</v>
      </c>
      <c r="OT20" s="2">
        <v>-0.1</v>
      </c>
      <c r="OU20" s="2">
        <v>0.5</v>
      </c>
      <c r="OV20" s="2">
        <v>0</v>
      </c>
      <c r="OW20" s="2">
        <v>0</v>
      </c>
      <c r="OX20" s="2">
        <v>1</v>
      </c>
      <c r="PC20" s="2">
        <v>0.4</v>
      </c>
      <c r="PD20" s="2">
        <v>0</v>
      </c>
      <c r="PE20" s="2">
        <v>1.1</v>
      </c>
      <c r="PF20" s="2">
        <v>0.4</v>
      </c>
      <c r="PG20" s="2">
        <v>-0.7</v>
      </c>
      <c r="PH20" s="2">
        <v>-0.1</v>
      </c>
      <c r="PI20" s="2">
        <v>1</v>
      </c>
    </row>
    <row r="21">
      <c r="A21" t="inlineStr">
        <is>
          <t>A130397377C</t>
        </is>
      </c>
      <c r="B21" t="inlineStr">
        <is>
          <t>Percentage Change from Previous Period ;  All groups CPI ;  Sydney ;</t>
        </is>
      </c>
      <c r="C21" t="inlineStr">
        <is>
          <t>Month</t>
        </is>
      </c>
      <c r="D21" t="inlineStr">
        <is>
          <t>Percent</t>
        </is>
      </c>
      <c r="E21" t="inlineStr">
        <is>
          <t>Original</t>
        </is>
      </c>
      <c r="F21" t="inlineStr">
        <is>
          <t>640101.xlsx</t>
        </is>
      </c>
      <c r="G21" t="inlineStr">
        <is>
          <t>2024-05</t>
        </is>
      </c>
      <c r="H21" t="inlineStr">
        <is>
          <t>2026-07</t>
        </is>
      </c>
      <c r="OA21" s="2">
        <v>-0.6</v>
      </c>
      <c r="OB21" s="2">
        <v>0.7</v>
      </c>
      <c r="OC21" s="2">
        <v>0.5</v>
      </c>
      <c r="OD21" s="2">
        <v>-0.2</v>
      </c>
      <c r="OE21" s="2">
        <v>-0.3</v>
      </c>
      <c r="OF21" s="2">
        <v>-0.3</v>
      </c>
      <c r="OG21" s="2">
        <v>0.3</v>
      </c>
      <c r="OH21" s="2">
        <v>0.9</v>
      </c>
      <c r="OM21" s="2">
        <v>0.2</v>
      </c>
      <c r="ON21" s="2">
        <v>-0.1</v>
      </c>
      <c r="OO21" s="2">
        <v>0.4</v>
      </c>
      <c r="OP21" s="2">
        <v>0.6</v>
      </c>
      <c r="OQ21" s="2">
        <v>-0.6</v>
      </c>
      <c r="OR21" s="2">
        <v>0.2</v>
      </c>
      <c r="OS21" s="2">
        <v>1.7</v>
      </c>
      <c r="OT21" s="2">
        <v>-0.4</v>
      </c>
      <c r="OU21" s="2">
        <v>0.3</v>
      </c>
      <c r="OV21" s="2">
        <v>-0.1</v>
      </c>
      <c r="OW21" s="2">
        <v>0.2</v>
      </c>
      <c r="OX21" s="2">
        <v>1.1</v>
      </c>
      <c r="PC21" s="2">
        <v>0.4</v>
      </c>
      <c r="PD21" s="2">
        <v>-0.2</v>
      </c>
      <c r="PE21" s="2">
        <v>1</v>
      </c>
      <c r="PF21" s="2">
        <v>0.4</v>
      </c>
      <c r="PG21" s="2">
        <v>-0.5</v>
      </c>
      <c r="PH21" s="2">
        <v>0</v>
      </c>
      <c r="PI21" s="2">
        <v>0.9</v>
      </c>
    </row>
    <row r="22">
      <c r="A22" t="inlineStr">
        <is>
          <t>A130396088R</t>
        </is>
      </c>
      <c r="B22" t="inlineStr">
        <is>
          <t>Percentage Change from Previous Period ;  All groups CPI ;  Melbourne ;</t>
        </is>
      </c>
      <c r="C22" t="inlineStr">
        <is>
          <t>Month</t>
        </is>
      </c>
      <c r="D22" t="inlineStr">
        <is>
          <t>Percent</t>
        </is>
      </c>
      <c r="E22" t="inlineStr">
        <is>
          <t>Original</t>
        </is>
      </c>
      <c r="F22" t="inlineStr">
        <is>
          <t>640101.xlsx</t>
        </is>
      </c>
      <c r="G22" t="inlineStr">
        <is>
          <t>2024-05</t>
        </is>
      </c>
      <c r="H22" t="inlineStr">
        <is>
          <t>2026-07</t>
        </is>
      </c>
      <c r="OA22" s="2">
        <v>0</v>
      </c>
      <c r="OB22" s="2">
        <v>0.3</v>
      </c>
      <c r="OC22" s="2">
        <v>0.4</v>
      </c>
      <c r="OD22" s="2">
        <v>-0.1</v>
      </c>
      <c r="OE22" s="2">
        <v>0.3</v>
      </c>
      <c r="OF22" s="2">
        <v>-0.6</v>
      </c>
      <c r="OG22" s="2">
        <v>0.4</v>
      </c>
      <c r="OH22" s="2">
        <v>0.8</v>
      </c>
      <c r="OM22" s="2">
        <v>0.3</v>
      </c>
      <c r="ON22" s="2">
        <v>-0.2</v>
      </c>
      <c r="OO22" s="2">
        <v>-0.1</v>
      </c>
      <c r="OP22" s="2">
        <v>0.7</v>
      </c>
      <c r="OQ22" s="2">
        <v>-0.5</v>
      </c>
      <c r="OR22" s="2">
        <v>0.3</v>
      </c>
      <c r="OS22" s="2">
        <v>1</v>
      </c>
      <c r="OT22" s="2">
        <v>0.1</v>
      </c>
      <c r="OU22" s="2">
        <v>0.5</v>
      </c>
      <c r="OV22" s="2">
        <v>0</v>
      </c>
      <c r="OW22" s="2">
        <v>0.1</v>
      </c>
      <c r="OX22" s="2">
        <v>0.9</v>
      </c>
      <c r="PC22" s="2">
        <v>0.5</v>
      </c>
      <c r="PD22" s="2">
        <v>-0.1</v>
      </c>
      <c r="PE22" s="2">
        <v>1.2</v>
      </c>
      <c r="PF22" s="2">
        <v>0</v>
      </c>
      <c r="PG22" s="2">
        <v>-0.9</v>
      </c>
      <c r="PH22" s="2">
        <v>0</v>
      </c>
      <c r="PI22" s="2">
        <v>1</v>
      </c>
    </row>
    <row r="23">
      <c r="A23" t="inlineStr">
        <is>
          <t>A130397384A</t>
        </is>
      </c>
      <c r="B23" t="inlineStr">
        <is>
          <t>Percentage Change from Previous Period ;  All groups CPI ;  Brisbane ;</t>
        </is>
      </c>
      <c r="C23" t="inlineStr">
        <is>
          <t>Month</t>
        </is>
      </c>
      <c r="D23" t="inlineStr">
        <is>
          <t>Percent</t>
        </is>
      </c>
      <c r="E23" t="inlineStr">
        <is>
          <t>Original</t>
        </is>
      </c>
      <c r="F23" t="inlineStr">
        <is>
          <t>640101.xlsx</t>
        </is>
      </c>
      <c r="G23" t="inlineStr">
        <is>
          <t>2024-05</t>
        </is>
      </c>
      <c r="H23" t="inlineStr">
        <is>
          <t>2026-07</t>
        </is>
      </c>
      <c r="OA23" s="2">
        <v>-0.1</v>
      </c>
      <c r="OB23" s="2">
        <v>0.3</v>
      </c>
      <c r="OC23" s="2">
        <v>-1.1</v>
      </c>
      <c r="OD23" s="2">
        <v>0.1</v>
      </c>
      <c r="OE23" s="2">
        <v>0.3</v>
      </c>
      <c r="OF23" s="2">
        <v>0.2</v>
      </c>
      <c r="OG23" s="2">
        <v>-0.1</v>
      </c>
      <c r="OH23" s="2">
        <v>1</v>
      </c>
      <c r="OM23" s="2">
        <v>1</v>
      </c>
      <c r="ON23" s="2">
        <v>0.5</v>
      </c>
      <c r="OO23" s="2">
        <v>0.1</v>
      </c>
      <c r="OP23" s="2">
        <v>0.7</v>
      </c>
      <c r="OQ23" s="2">
        <v>-0.2</v>
      </c>
      <c r="OR23" s="2">
        <v>0</v>
      </c>
      <c r="OS23" s="2">
        <v>1.3</v>
      </c>
      <c r="OT23" s="2">
        <v>0</v>
      </c>
      <c r="OU23" s="2">
        <v>0.8</v>
      </c>
      <c r="OV23" s="2">
        <v>0.2</v>
      </c>
      <c r="OW23" s="2">
        <v>-0.2</v>
      </c>
      <c r="OX23" s="2">
        <v>1</v>
      </c>
      <c r="PC23" s="2">
        <v>0.1</v>
      </c>
      <c r="PD23" s="2">
        <v>0</v>
      </c>
      <c r="PE23" s="2">
        <v>1.1</v>
      </c>
      <c r="PF23" s="2">
        <v>0.5</v>
      </c>
      <c r="PG23" s="2">
        <v>-0.7</v>
      </c>
      <c r="PH23" s="2">
        <v>-0.1</v>
      </c>
      <c r="PI23" s="2">
        <v>1</v>
      </c>
    </row>
    <row r="24">
      <c r="A24" t="inlineStr">
        <is>
          <t>A130395003X</t>
        </is>
      </c>
      <c r="B24" t="inlineStr">
        <is>
          <t>Percentage Change from Previous Period ;  All groups CPI ;  Adelaide ;</t>
        </is>
      </c>
      <c r="C24" t="inlineStr">
        <is>
          <t>Month</t>
        </is>
      </c>
      <c r="D24" t="inlineStr">
        <is>
          <t>Percent</t>
        </is>
      </c>
      <c r="E24" t="inlineStr">
        <is>
          <t>Original</t>
        </is>
      </c>
      <c r="F24" t="inlineStr">
        <is>
          <t>640101.xlsx</t>
        </is>
      </c>
      <c r="G24" t="inlineStr">
        <is>
          <t>2024-05</t>
        </is>
      </c>
      <c r="H24" t="inlineStr">
        <is>
          <t>2026-07</t>
        </is>
      </c>
      <c r="OA24" s="2">
        <v>-0.3</v>
      </c>
      <c r="OB24" s="2">
        <v>-0.1</v>
      </c>
      <c r="OC24" s="2">
        <v>1.2</v>
      </c>
      <c r="OD24" s="2">
        <v>-0.7</v>
      </c>
      <c r="OE24" s="2">
        <v>0.1</v>
      </c>
      <c r="OF24" s="2">
        <v>-0.6</v>
      </c>
      <c r="OG24" s="2">
        <v>0.5</v>
      </c>
      <c r="OH24" s="2">
        <v>0.8</v>
      </c>
      <c r="OM24" s="2">
        <v>0.1</v>
      </c>
      <c r="ON24" s="2">
        <v>0.2</v>
      </c>
      <c r="OO24" s="2">
        <v>-0.2</v>
      </c>
      <c r="OP24" s="2">
        <v>0.9</v>
      </c>
      <c r="OQ24" s="2">
        <v>-0.5</v>
      </c>
      <c r="OR24" s="2">
        <v>0</v>
      </c>
      <c r="OS24" s="2">
        <v>1.1</v>
      </c>
      <c r="OT24" s="2">
        <v>0.1</v>
      </c>
      <c r="OU24" s="2">
        <v>0.5</v>
      </c>
      <c r="OV24" s="2">
        <v>0.1</v>
      </c>
      <c r="OW24" s="2">
        <v>0.1</v>
      </c>
      <c r="OX24" s="2">
        <v>0.8</v>
      </c>
      <c r="PC24" s="2">
        <v>0.3</v>
      </c>
      <c r="PD24" s="2">
        <v>0.1</v>
      </c>
      <c r="PE24" s="2">
        <v>1.3</v>
      </c>
      <c r="PF24" s="2">
        <v>0.7</v>
      </c>
      <c r="PG24" s="2">
        <v>-0.7</v>
      </c>
      <c r="PH24" s="2">
        <v>-0.2</v>
      </c>
      <c r="PI24" s="2">
        <v>1.3</v>
      </c>
    </row>
    <row r="25">
      <c r="A25" t="inlineStr">
        <is>
          <t>A130393715K</t>
        </is>
      </c>
      <c r="B25" t="inlineStr">
        <is>
          <t>Percentage Change from Previous Period ;  All groups CPI ;  Perth ;</t>
        </is>
      </c>
      <c r="C25" t="inlineStr">
        <is>
          <t>Month</t>
        </is>
      </c>
      <c r="D25" t="inlineStr">
        <is>
          <t>Percent</t>
        </is>
      </c>
      <c r="E25" t="inlineStr">
        <is>
          <t>Original</t>
        </is>
      </c>
      <c r="F25" t="inlineStr">
        <is>
          <t>640101.xlsx</t>
        </is>
      </c>
      <c r="G25" t="inlineStr">
        <is>
          <t>2024-05</t>
        </is>
      </c>
      <c r="H25" t="inlineStr">
        <is>
          <t>2026-07</t>
        </is>
      </c>
      <c r="OA25" s="2">
        <v>0.1</v>
      </c>
      <c r="OB25" s="2">
        <v>0</v>
      </c>
      <c r="OC25" s="2">
        <v>0.2</v>
      </c>
      <c r="OD25" s="2">
        <v>-1.1</v>
      </c>
      <c r="OE25" s="2">
        <v>0.1</v>
      </c>
      <c r="OF25" s="2">
        <v>0.5</v>
      </c>
      <c r="OG25" s="2">
        <v>1.2</v>
      </c>
      <c r="OH25" s="2">
        <v>-0.7</v>
      </c>
      <c r="OM25" s="2">
        <v>-0.2</v>
      </c>
      <c r="ON25" s="2">
        <v>0.6</v>
      </c>
      <c r="OO25" s="2">
        <v>1.5</v>
      </c>
      <c r="OP25" s="2">
        <v>1.1</v>
      </c>
      <c r="OQ25" s="2">
        <v>-0.5</v>
      </c>
      <c r="OR25" s="2">
        <v>0</v>
      </c>
      <c r="OS25" s="2">
        <v>1</v>
      </c>
      <c r="OT25" s="2">
        <v>0.1</v>
      </c>
      <c r="OU25" s="2">
        <v>0.4</v>
      </c>
      <c r="OV25" s="2">
        <v>-0.2</v>
      </c>
      <c r="OW25" s="2">
        <v>-0.3</v>
      </c>
      <c r="OX25" s="2">
        <v>0.7</v>
      </c>
      <c r="PC25" s="2">
        <v>0.3</v>
      </c>
      <c r="PD25" s="2">
        <v>0.6</v>
      </c>
      <c r="PE25" s="2">
        <v>1.2</v>
      </c>
      <c r="PF25" s="2">
        <v>0.4</v>
      </c>
      <c r="PG25" s="2">
        <v>-0.5</v>
      </c>
      <c r="PH25" s="2">
        <v>-0.2</v>
      </c>
      <c r="PI25" s="2">
        <v>1.1</v>
      </c>
    </row>
    <row r="26">
      <c r="A26" t="inlineStr">
        <is>
          <t>A130392357C</t>
        </is>
      </c>
      <c r="B26" t="inlineStr">
        <is>
          <t>Percentage Change from Previous Period ;  All groups CPI ;  Hobart ;</t>
        </is>
      </c>
      <c r="C26" t="inlineStr">
        <is>
          <t>Month</t>
        </is>
      </c>
      <c r="D26" t="inlineStr">
        <is>
          <t>Percent</t>
        </is>
      </c>
      <c r="E26" t="inlineStr">
        <is>
          <t>Original</t>
        </is>
      </c>
      <c r="F26" t="inlineStr">
        <is>
          <t>640101.xlsx</t>
        </is>
      </c>
      <c r="G26" t="inlineStr">
        <is>
          <t>2024-05</t>
        </is>
      </c>
      <c r="H26" t="inlineStr">
        <is>
          <t>2026-07</t>
        </is>
      </c>
      <c r="OA26" s="2">
        <v>-0.3</v>
      </c>
      <c r="OB26" s="2">
        <v>0.1</v>
      </c>
      <c r="OC26" s="2">
        <v>-0.8</v>
      </c>
      <c r="OD26" s="2">
        <v>-0.4</v>
      </c>
      <c r="OE26" s="2">
        <v>0.2</v>
      </c>
      <c r="OF26" s="2">
        <v>1.1</v>
      </c>
      <c r="OG26" s="2">
        <v>0.3</v>
      </c>
      <c r="OH26" s="2">
        <v>0.7</v>
      </c>
      <c r="OM26" s="2">
        <v>0.3</v>
      </c>
      <c r="ON26" s="2">
        <v>-0.2</v>
      </c>
      <c r="OO26" s="2">
        <v>0.4</v>
      </c>
      <c r="OP26" s="2">
        <v>0.6</v>
      </c>
      <c r="OQ26" s="2">
        <v>-0.8</v>
      </c>
      <c r="OR26" s="2">
        <v>0.6</v>
      </c>
      <c r="OS26" s="2">
        <v>1.1</v>
      </c>
      <c r="OT26" s="2">
        <v>0.2</v>
      </c>
      <c r="OU26" s="2">
        <v>0.6</v>
      </c>
      <c r="OV26" s="2">
        <v>0.5</v>
      </c>
      <c r="OW26" s="2">
        <v>-0.1</v>
      </c>
      <c r="OX26" s="2">
        <v>0.8</v>
      </c>
      <c r="PC26" s="2">
        <v>0.1</v>
      </c>
      <c r="PD26" s="2">
        <v>0.2</v>
      </c>
      <c r="PE26" s="2">
        <v>1.3</v>
      </c>
      <c r="PF26" s="2">
        <v>0.5</v>
      </c>
      <c r="PG26" s="2">
        <v>-0.8</v>
      </c>
      <c r="PH26" s="2">
        <v>-0.1</v>
      </c>
      <c r="PI26" s="2">
        <v>1.3</v>
      </c>
    </row>
    <row r="27">
      <c r="A27" t="inlineStr">
        <is>
          <t>A130395010W</t>
        </is>
      </c>
      <c r="B27" t="inlineStr">
        <is>
          <t>Percentage Change from Previous Period ;  All groups CPI ;  Darwin ;</t>
        </is>
      </c>
      <c r="C27" t="inlineStr">
        <is>
          <t>Month</t>
        </is>
      </c>
      <c r="D27" t="inlineStr">
        <is>
          <t>Percent</t>
        </is>
      </c>
      <c r="E27" t="inlineStr">
        <is>
          <t>Original</t>
        </is>
      </c>
      <c r="F27" t="inlineStr">
        <is>
          <t>640101.xlsx</t>
        </is>
      </c>
      <c r="G27" t="inlineStr">
        <is>
          <t>2024-05</t>
        </is>
      </c>
      <c r="H27" t="inlineStr">
        <is>
          <t>2026-07</t>
        </is>
      </c>
      <c r="OA27" s="2">
        <v>0</v>
      </c>
      <c r="OB27" s="2">
        <v>0.5</v>
      </c>
      <c r="OC27" s="2">
        <v>0.1</v>
      </c>
      <c r="OD27" s="2">
        <v>-0.5</v>
      </c>
      <c r="OE27" s="2">
        <v>0.3</v>
      </c>
      <c r="OF27" s="2">
        <v>-0.6</v>
      </c>
      <c r="OG27" s="2">
        <v>0.4</v>
      </c>
      <c r="OH27" s="2">
        <v>0.7</v>
      </c>
      <c r="OM27" s="2">
        <v>0.1</v>
      </c>
      <c r="ON27" s="2">
        <v>0.1</v>
      </c>
      <c r="OO27" s="2">
        <v>0.2</v>
      </c>
      <c r="OP27" s="2">
        <v>0.6</v>
      </c>
      <c r="OQ27" s="2">
        <v>-0.3</v>
      </c>
      <c r="OR27" s="2">
        <v>0</v>
      </c>
      <c r="OS27" s="2">
        <v>1.2</v>
      </c>
      <c r="OT27" s="2">
        <v>-0.1</v>
      </c>
      <c r="OU27" s="2">
        <v>0.5</v>
      </c>
      <c r="OV27" s="2">
        <v>0.2</v>
      </c>
      <c r="OW27" s="2">
        <v>-0.1</v>
      </c>
      <c r="OX27" s="2">
        <v>0.6</v>
      </c>
      <c r="PC27" s="2">
        <v>0.1</v>
      </c>
      <c r="PD27" s="2">
        <v>0.1</v>
      </c>
      <c r="PE27" s="2">
        <v>1.2</v>
      </c>
      <c r="PF27" s="2">
        <v>0.6</v>
      </c>
      <c r="PG27" s="2">
        <v>-0.6</v>
      </c>
      <c r="PH27" s="2">
        <v>0</v>
      </c>
      <c r="PI27" s="2">
        <v>1</v>
      </c>
    </row>
    <row r="28">
      <c r="A28" t="inlineStr">
        <is>
          <t>A130393729X</t>
        </is>
      </c>
      <c r="B28" t="inlineStr">
        <is>
          <t>Percentage Change from Previous Period ;  All groups CPI ;  Canberra ;</t>
        </is>
      </c>
      <c r="C28" t="inlineStr">
        <is>
          <t>Month</t>
        </is>
      </c>
      <c r="D28" t="inlineStr">
        <is>
          <t>Percent</t>
        </is>
      </c>
      <c r="E28" t="inlineStr">
        <is>
          <t>Original</t>
        </is>
      </c>
      <c r="F28" t="inlineStr">
        <is>
          <t>640101.xlsx</t>
        </is>
      </c>
      <c r="G28" t="inlineStr">
        <is>
          <t>2024-05</t>
        </is>
      </c>
      <c r="H28" t="inlineStr">
        <is>
          <t>2026-07</t>
        </is>
      </c>
      <c r="OA28" s="2">
        <v>-0.3</v>
      </c>
      <c r="OB28" s="2">
        <v>0.2</v>
      </c>
      <c r="OC28" s="2">
        <v>0.7</v>
      </c>
      <c r="OD28" s="2">
        <v>-0.5</v>
      </c>
      <c r="OE28" s="2">
        <v>0.1</v>
      </c>
      <c r="OF28" s="2">
        <v>-0.3</v>
      </c>
      <c r="OG28" s="2">
        <v>0.3</v>
      </c>
      <c r="OH28" s="2">
        <v>0.8</v>
      </c>
      <c r="OM28" s="2">
        <v>0.2</v>
      </c>
      <c r="ON28" s="2">
        <v>0</v>
      </c>
      <c r="OO28" s="2">
        <v>0.2</v>
      </c>
      <c r="OP28" s="2">
        <v>0.6</v>
      </c>
      <c r="OQ28" s="2">
        <v>-0.5</v>
      </c>
      <c r="OR28" s="2">
        <v>0</v>
      </c>
      <c r="OS28" s="2">
        <v>1.8</v>
      </c>
      <c r="OT28" s="2">
        <v>-0.4</v>
      </c>
      <c r="OU28" s="2">
        <v>0.4</v>
      </c>
      <c r="OV28" s="2">
        <v>0</v>
      </c>
      <c r="OW28" s="2">
        <v>0.3</v>
      </c>
      <c r="OX28" s="2">
        <v>0.7</v>
      </c>
      <c r="PC28" s="2">
        <v>0.5</v>
      </c>
      <c r="PD28" s="2">
        <v>0</v>
      </c>
      <c r="PE28" s="2">
        <v>0.8</v>
      </c>
      <c r="PF28" s="2">
        <v>0.4</v>
      </c>
      <c r="PG28" s="2">
        <v>-0.5</v>
      </c>
      <c r="PH28" s="2">
        <v>-0.2</v>
      </c>
      <c r="PI28" s="2">
        <v>1.2</v>
      </c>
    </row>
    <row r="29">
      <c r="A29" t="inlineStr">
        <is>
          <t>A130393720C</t>
        </is>
      </c>
      <c r="B29" t="inlineStr">
        <is>
          <t>Index Numbers ;  All groups CPI ;  Australia ;</t>
        </is>
      </c>
      <c r="C29" t="inlineStr">
        <is>
          <t>Month</t>
        </is>
      </c>
      <c r="D29" t="inlineStr">
        <is>
          <t>Index Numbers</t>
        </is>
      </c>
      <c r="E29" t="inlineStr">
        <is>
          <t>Original</t>
        </is>
      </c>
      <c r="F29" t="inlineStr">
        <is>
          <t>640102.xlsx</t>
        </is>
      </c>
      <c r="G29" t="inlineStr">
        <is>
          <t>2024-04</t>
        </is>
      </c>
      <c r="H29" t="inlineStr">
        <is>
          <t>2026-07</t>
        </is>
      </c>
      <c r="NZ29" s="2">
        <v>96.40000000000001</v>
      </c>
      <c r="OA29" s="2">
        <v>96.17</v>
      </c>
      <c r="OB29" s="2">
        <v>96.52</v>
      </c>
      <c r="OC29" s="2">
        <v>96.77</v>
      </c>
      <c r="OD29" s="2">
        <v>96.48999999999999</v>
      </c>
      <c r="OE29" s="2">
        <v>96.54000000000001</v>
      </c>
      <c r="OF29" s="2">
        <v>96.31999999999999</v>
      </c>
      <c r="OG29" s="2">
        <v>96.68000000000001</v>
      </c>
      <c r="OH29" s="2">
        <v>97.31</v>
      </c>
      <c r="OM29" s="2">
        <v>97.58</v>
      </c>
      <c r="ON29" s="2">
        <v>97.67</v>
      </c>
      <c r="OO29" s="2">
        <v>97.95999999999999</v>
      </c>
      <c r="OP29" s="2">
        <v>98.68000000000001</v>
      </c>
      <c r="OQ29" s="2">
        <v>98.2</v>
      </c>
      <c r="OR29" s="2">
        <v>98.34</v>
      </c>
      <c r="OS29" s="2">
        <v>99.63</v>
      </c>
      <c r="OT29" s="2">
        <v>99.55</v>
      </c>
      <c r="OU29" s="2">
        <v>100</v>
      </c>
      <c r="OV29" s="2">
        <v>99.98999999999999</v>
      </c>
      <c r="OW29" s="2">
        <v>100.01</v>
      </c>
      <c r="OX29" s="2">
        <v>100.97</v>
      </c>
      <c r="PC29" s="2">
        <v>101.33</v>
      </c>
      <c r="PD29" s="2">
        <v>101.31</v>
      </c>
      <c r="PE29" s="2">
        <v>102.44</v>
      </c>
      <c r="PF29" s="2">
        <v>102.8</v>
      </c>
      <c r="PG29" s="2">
        <v>102.09</v>
      </c>
      <c r="PH29" s="2">
        <v>102.03</v>
      </c>
      <c r="PI29" s="2">
        <v>103.07</v>
      </c>
    </row>
    <row r="30">
      <c r="A30" t="inlineStr">
        <is>
          <t>A130395477A</t>
        </is>
      </c>
      <c r="B30" t="inlineStr">
        <is>
          <t>Index Numbers ;  Food and non-alcoholic beverages ;  Australia ;</t>
        </is>
      </c>
      <c r="C30" t="inlineStr">
        <is>
          <t>Month</t>
        </is>
      </c>
      <c r="D30" t="inlineStr">
        <is>
          <t>Index Numbers</t>
        </is>
      </c>
      <c r="E30" t="inlineStr">
        <is>
          <t>Original</t>
        </is>
      </c>
      <c r="F30" t="inlineStr">
        <is>
          <t>640102.xlsx</t>
        </is>
      </c>
      <c r="G30" t="inlineStr">
        <is>
          <t>2024-04</t>
        </is>
      </c>
      <c r="H30" t="inlineStr">
        <is>
          <t>2026-07</t>
        </is>
      </c>
      <c r="NZ30" s="2">
        <v>96.18000000000001</v>
      </c>
      <c r="OA30" s="2">
        <v>96.61</v>
      </c>
      <c r="OB30" s="2">
        <v>96.48</v>
      </c>
      <c r="OC30" s="2">
        <v>97.16</v>
      </c>
      <c r="OD30" s="2">
        <v>97.36</v>
      </c>
      <c r="OE30" s="2">
        <v>96.89</v>
      </c>
      <c r="OF30" s="2">
        <v>97.03</v>
      </c>
      <c r="OG30" s="2">
        <v>97.31999999999999</v>
      </c>
      <c r="OH30" s="2">
        <v>97.56</v>
      </c>
      <c r="OM30" s="2">
        <v>98.36</v>
      </c>
      <c r="ON30" s="2">
        <v>98.23</v>
      </c>
      <c r="OO30" s="2">
        <v>98.89</v>
      </c>
      <c r="OP30" s="2">
        <v>99.27</v>
      </c>
      <c r="OQ30" s="2">
        <v>99.38</v>
      </c>
      <c r="OR30" s="2">
        <v>99.81</v>
      </c>
      <c r="OS30" s="2">
        <v>100.16</v>
      </c>
      <c r="OT30" s="2">
        <v>100.26</v>
      </c>
      <c r="OU30" s="2">
        <v>100</v>
      </c>
      <c r="OV30" s="2">
        <v>100.15</v>
      </c>
      <c r="OW30" s="2">
        <v>100.53</v>
      </c>
      <c r="OX30" s="2">
        <v>100.91</v>
      </c>
      <c r="PC30" s="2">
        <v>101.42</v>
      </c>
      <c r="PD30" s="2">
        <v>101.28</v>
      </c>
      <c r="PE30" s="2">
        <v>101.96</v>
      </c>
      <c r="PF30" s="2">
        <v>102.03</v>
      </c>
      <c r="PG30" s="2">
        <v>102.63</v>
      </c>
      <c r="PH30" s="2">
        <v>103.06</v>
      </c>
      <c r="PI30" s="2">
        <v>103.34</v>
      </c>
    </row>
    <row r="31">
      <c r="A31" t="inlineStr">
        <is>
          <t>A130393027F</t>
        </is>
      </c>
      <c r="B31" t="inlineStr">
        <is>
          <t>Index Numbers ;  Alcohol and tobacco ;  Australia ;</t>
        </is>
      </c>
      <c r="C31" t="inlineStr">
        <is>
          <t>Month</t>
        </is>
      </c>
      <c r="D31" t="inlineStr">
        <is>
          <t>Index Numbers</t>
        </is>
      </c>
      <c r="E31" t="inlineStr">
        <is>
          <t>Original</t>
        </is>
      </c>
      <c r="F31" t="inlineStr">
        <is>
          <t>640102.xlsx</t>
        </is>
      </c>
      <c r="G31" t="inlineStr">
        <is>
          <t>2024-04</t>
        </is>
      </c>
      <c r="H31" t="inlineStr">
        <is>
          <t>2026-07</t>
        </is>
      </c>
      <c r="NZ31" s="2">
        <v>92.14</v>
      </c>
      <c r="OA31" s="2">
        <v>92.36</v>
      </c>
      <c r="OB31" s="2">
        <v>92.38</v>
      </c>
      <c r="OC31" s="2">
        <v>92.66</v>
      </c>
      <c r="OD31" s="2">
        <v>93.2</v>
      </c>
      <c r="OE31" s="2">
        <v>94.79000000000001</v>
      </c>
      <c r="OF31" s="2">
        <v>95.75</v>
      </c>
      <c r="OG31" s="2">
        <v>95.98999999999999</v>
      </c>
      <c r="OH31" s="2">
        <v>95.42</v>
      </c>
      <c r="OM31" s="2">
        <v>96.13</v>
      </c>
      <c r="ON31" s="2">
        <v>96.98</v>
      </c>
      <c r="OO31" s="2">
        <v>97.65000000000001</v>
      </c>
      <c r="OP31" s="2">
        <v>97.31</v>
      </c>
      <c r="OQ31" s="2">
        <v>97.76000000000001</v>
      </c>
      <c r="OR31" s="2">
        <v>97.56999999999999</v>
      </c>
      <c r="OS31" s="2">
        <v>98.63</v>
      </c>
      <c r="OT31" s="2">
        <v>98.81999999999999</v>
      </c>
      <c r="OU31" s="2">
        <v>100</v>
      </c>
      <c r="OV31" s="2">
        <v>100</v>
      </c>
      <c r="OW31" s="2">
        <v>100.09</v>
      </c>
      <c r="OX31" s="2">
        <v>100.06</v>
      </c>
      <c r="PC31" s="2">
        <v>100.95</v>
      </c>
      <c r="PD31" s="2">
        <v>101.13</v>
      </c>
      <c r="PE31" s="2">
        <v>101.98</v>
      </c>
      <c r="PF31" s="2">
        <v>101.49</v>
      </c>
      <c r="PG31" s="2">
        <v>102.36</v>
      </c>
      <c r="PH31" s="2">
        <v>101.85</v>
      </c>
      <c r="PI31" s="2">
        <v>103.05</v>
      </c>
    </row>
    <row r="32">
      <c r="A32" t="inlineStr">
        <is>
          <t>A130391669W</t>
        </is>
      </c>
      <c r="B32" t="inlineStr">
        <is>
          <t>Index Numbers ;  Clothing and footwear ;  Australia ;</t>
        </is>
      </c>
      <c r="C32" t="inlineStr">
        <is>
          <t>Month</t>
        </is>
      </c>
      <c r="D32" t="inlineStr">
        <is>
          <t>Index Numbers</t>
        </is>
      </c>
      <c r="E32" t="inlineStr">
        <is>
          <t>Original</t>
        </is>
      </c>
      <c r="F32" t="inlineStr">
        <is>
          <t>640102.xlsx</t>
        </is>
      </c>
      <c r="G32" t="inlineStr">
        <is>
          <t>2024-04</t>
        </is>
      </c>
      <c r="H32" t="inlineStr">
        <is>
          <t>2026-07</t>
        </is>
      </c>
      <c r="NZ32" s="2">
        <v>98.76000000000001</v>
      </c>
      <c r="OA32" s="2">
        <v>95.67</v>
      </c>
      <c r="OB32" s="2">
        <v>94.11</v>
      </c>
      <c r="OC32" s="2">
        <v>97.01000000000001</v>
      </c>
      <c r="OD32" s="2">
        <v>96.45</v>
      </c>
      <c r="OE32" s="2">
        <v>96.31999999999999</v>
      </c>
      <c r="OF32" s="2">
        <v>96.95999999999999</v>
      </c>
      <c r="OG32" s="2">
        <v>94.20999999999999</v>
      </c>
      <c r="OH32" s="2">
        <v>95.01000000000001</v>
      </c>
      <c r="OM32" s="2">
        <v>95.64</v>
      </c>
      <c r="ON32" s="2">
        <v>98.73</v>
      </c>
      <c r="OO32" s="2">
        <v>94.91</v>
      </c>
      <c r="OP32" s="2">
        <v>99.73</v>
      </c>
      <c r="OQ32" s="2">
        <v>97.67</v>
      </c>
      <c r="OR32" s="2">
        <v>96.8</v>
      </c>
      <c r="OS32" s="2">
        <v>99.25</v>
      </c>
      <c r="OT32" s="2">
        <v>100.64</v>
      </c>
      <c r="OU32" s="2">
        <v>100</v>
      </c>
      <c r="OV32" s="2">
        <v>102.23</v>
      </c>
      <c r="OW32" s="2">
        <v>99.04000000000001</v>
      </c>
      <c r="OX32" s="2">
        <v>98.2</v>
      </c>
      <c r="PC32" s="2">
        <v>101.04</v>
      </c>
      <c r="PD32" s="2">
        <v>103.66</v>
      </c>
      <c r="PE32" s="2">
        <v>101.67</v>
      </c>
      <c r="PF32" s="2">
        <v>105.59</v>
      </c>
      <c r="PG32" s="2">
        <v>102.57</v>
      </c>
      <c r="PH32" s="2">
        <v>101.54</v>
      </c>
      <c r="PI32" s="2">
        <v>104.15</v>
      </c>
    </row>
    <row r="33">
      <c r="A33" t="inlineStr">
        <is>
          <t>A130399184V</t>
        </is>
      </c>
      <c r="B33" t="inlineStr">
        <is>
          <t>Index Numbers ;  Housing ;  Australia ;</t>
        </is>
      </c>
      <c r="C33" t="inlineStr">
        <is>
          <t>Month</t>
        </is>
      </c>
      <c r="D33" t="inlineStr">
        <is>
          <t>Index Numbers</t>
        </is>
      </c>
      <c r="E33" t="inlineStr">
        <is>
          <t>Original</t>
        </is>
      </c>
      <c r="F33" t="inlineStr">
        <is>
          <t>640102.xlsx</t>
        </is>
      </c>
      <c r="G33" t="inlineStr">
        <is>
          <t>2024-04</t>
        </is>
      </c>
      <c r="H33" t="inlineStr">
        <is>
          <t>2026-07</t>
        </is>
      </c>
      <c r="NZ33" s="2">
        <v>95.20999999999999</v>
      </c>
      <c r="OA33" s="2">
        <v>95.68000000000001</v>
      </c>
      <c r="OB33" s="2">
        <v>96.14</v>
      </c>
      <c r="OC33" s="2">
        <v>96.16</v>
      </c>
      <c r="OD33" s="2">
        <v>94.95999999999999</v>
      </c>
      <c r="OE33" s="2">
        <v>94.63</v>
      </c>
      <c r="OF33" s="2">
        <v>93.67</v>
      </c>
      <c r="OG33" s="2">
        <v>95.31999999999999</v>
      </c>
      <c r="OH33" s="2">
        <v>95.2</v>
      </c>
      <c r="OM33" s="2">
        <v>96.09</v>
      </c>
      <c r="ON33" s="2">
        <v>95.97</v>
      </c>
      <c r="OO33" s="2">
        <v>96.83</v>
      </c>
      <c r="OP33" s="2">
        <v>97.25</v>
      </c>
      <c r="OQ33" s="2">
        <v>97.48</v>
      </c>
      <c r="OR33" s="2">
        <v>97.62</v>
      </c>
      <c r="OS33" s="2">
        <v>99.7</v>
      </c>
      <c r="OT33" s="2">
        <v>99.23999999999999</v>
      </c>
      <c r="OU33" s="2">
        <v>100</v>
      </c>
      <c r="OV33" s="2">
        <v>99.16</v>
      </c>
      <c r="OW33" s="2">
        <v>100.28</v>
      </c>
      <c r="OX33" s="2">
        <v>100.42</v>
      </c>
      <c r="PC33" s="2">
        <v>102.6</v>
      </c>
      <c r="PD33" s="2">
        <v>102.89</v>
      </c>
      <c r="PE33" s="2">
        <v>103.13</v>
      </c>
      <c r="PF33" s="2">
        <v>103.33</v>
      </c>
      <c r="PG33" s="2">
        <v>103.8</v>
      </c>
      <c r="PH33" s="2">
        <v>104.27</v>
      </c>
      <c r="PI33" s="2">
        <v>104.71</v>
      </c>
    </row>
    <row r="34">
      <c r="A34" t="inlineStr">
        <is>
          <t>A130399198J</t>
        </is>
      </c>
      <c r="B34" t="inlineStr">
        <is>
          <t>Index Numbers ;  Furnishings, household equipment and services ;  Australia ;</t>
        </is>
      </c>
      <c r="C34" t="inlineStr">
        <is>
          <t>Month</t>
        </is>
      </c>
      <c r="D34" t="inlineStr">
        <is>
          <t>Index Numbers</t>
        </is>
      </c>
      <c r="E34" t="inlineStr">
        <is>
          <t>Original</t>
        </is>
      </c>
      <c r="F34" t="inlineStr">
        <is>
          <t>640102.xlsx</t>
        </is>
      </c>
      <c r="G34" t="inlineStr">
        <is>
          <t>2024-04</t>
        </is>
      </c>
      <c r="H34" t="inlineStr">
        <is>
          <t>2026-07</t>
        </is>
      </c>
      <c r="NZ34" s="2">
        <v>97.23999999999999</v>
      </c>
      <c r="OA34" s="2">
        <v>97.20999999999999</v>
      </c>
      <c r="OB34" s="2">
        <v>95.93000000000001</v>
      </c>
      <c r="OC34" s="2">
        <v>97.75</v>
      </c>
      <c r="OD34" s="2">
        <v>98.64</v>
      </c>
      <c r="OE34" s="2">
        <v>98.26000000000001</v>
      </c>
      <c r="OF34" s="2">
        <v>98.68000000000001</v>
      </c>
      <c r="OG34" s="2">
        <v>98.5</v>
      </c>
      <c r="OH34" s="2">
        <v>97.65000000000001</v>
      </c>
      <c r="OM34" s="2">
        <v>97.86</v>
      </c>
      <c r="ON34" s="2">
        <v>98.83</v>
      </c>
      <c r="OO34" s="2">
        <v>98.56</v>
      </c>
      <c r="OP34" s="2">
        <v>99.03</v>
      </c>
      <c r="OQ34" s="2">
        <v>98.64</v>
      </c>
      <c r="OR34" s="2">
        <v>97.56</v>
      </c>
      <c r="OS34" s="2">
        <v>99.54000000000001</v>
      </c>
      <c r="OT34" s="2">
        <v>100.33</v>
      </c>
      <c r="OU34" s="2">
        <v>100</v>
      </c>
      <c r="OV34" s="2">
        <v>100.72</v>
      </c>
      <c r="OW34" s="2">
        <v>99.77</v>
      </c>
      <c r="OX34" s="2">
        <v>99.62</v>
      </c>
      <c r="PC34" s="2">
        <v>99.20999999999999</v>
      </c>
      <c r="PD34" s="2">
        <v>100.14</v>
      </c>
      <c r="PE34" s="2">
        <v>99.92</v>
      </c>
      <c r="PF34" s="2">
        <v>100.25</v>
      </c>
      <c r="PG34" s="2">
        <v>100.3</v>
      </c>
      <c r="PH34" s="2">
        <v>99.09</v>
      </c>
      <c r="PI34" s="2">
        <v>101.09</v>
      </c>
    </row>
    <row r="35">
      <c r="A35" t="inlineStr">
        <is>
          <t>A130389989T</t>
        </is>
      </c>
      <c r="B35" t="inlineStr">
        <is>
          <t>Index Numbers ;  Health ;  Australia ;</t>
        </is>
      </c>
      <c r="C35" t="inlineStr">
        <is>
          <t>Month</t>
        </is>
      </c>
      <c r="D35" t="inlineStr">
        <is>
          <t>Index Numbers</t>
        </is>
      </c>
      <c r="E35" t="inlineStr">
        <is>
          <t>Original</t>
        </is>
      </c>
      <c r="F35" t="inlineStr">
        <is>
          <t>640102.xlsx</t>
        </is>
      </c>
      <c r="G35" t="inlineStr">
        <is>
          <t>2024-04</t>
        </is>
      </c>
      <c r="H35" t="inlineStr">
        <is>
          <t>2026-07</t>
        </is>
      </c>
      <c r="NZ35" s="2">
        <v>96.23</v>
      </c>
      <c r="OA35" s="2">
        <v>96.23</v>
      </c>
      <c r="OB35" s="2">
        <v>96.18000000000001</v>
      </c>
      <c r="OC35" s="2">
        <v>96.18000000000001</v>
      </c>
      <c r="OD35" s="2">
        <v>96.09</v>
      </c>
      <c r="OE35" s="2">
        <v>95.98</v>
      </c>
      <c r="OF35" s="2">
        <v>96.15000000000001</v>
      </c>
      <c r="OG35" s="2">
        <v>96.02</v>
      </c>
      <c r="OH35" s="2">
        <v>95.69</v>
      </c>
      <c r="OM35" s="2">
        <v>98.58</v>
      </c>
      <c r="ON35" s="2">
        <v>98.68000000000001</v>
      </c>
      <c r="OO35" s="2">
        <v>98.68000000000001</v>
      </c>
      <c r="OP35" s="2">
        <v>100.37</v>
      </c>
      <c r="OQ35" s="2">
        <v>100.07</v>
      </c>
      <c r="OR35" s="2">
        <v>99.97</v>
      </c>
      <c r="OS35" s="2">
        <v>100.02</v>
      </c>
      <c r="OT35" s="2">
        <v>100.04</v>
      </c>
      <c r="OU35" s="2">
        <v>100</v>
      </c>
      <c r="OV35" s="2">
        <v>100.02</v>
      </c>
      <c r="OW35" s="2">
        <v>99.5</v>
      </c>
      <c r="OX35" s="2">
        <v>99.09999999999999</v>
      </c>
      <c r="PC35" s="2">
        <v>101.78</v>
      </c>
      <c r="PD35" s="2">
        <v>101.84</v>
      </c>
      <c r="PE35" s="2">
        <v>101.68</v>
      </c>
      <c r="PF35" s="2">
        <v>104.35</v>
      </c>
      <c r="PG35" s="2">
        <v>103.83</v>
      </c>
      <c r="PH35" s="2">
        <v>103.71</v>
      </c>
      <c r="PI35" s="2">
        <v>103.84</v>
      </c>
    </row>
    <row r="36">
      <c r="A36" t="inlineStr">
        <is>
          <t>A130396688V</t>
        </is>
      </c>
      <c r="B36" t="inlineStr">
        <is>
          <t>Index Numbers ;  Transport ;  Australia ;</t>
        </is>
      </c>
      <c r="C36" t="inlineStr">
        <is>
          <t>Month</t>
        </is>
      </c>
      <c r="D36" t="inlineStr">
        <is>
          <t>Index Numbers</t>
        </is>
      </c>
      <c r="E36" t="inlineStr">
        <is>
          <t>Original</t>
        </is>
      </c>
      <c r="F36" t="inlineStr">
        <is>
          <t>640102.xlsx</t>
        </is>
      </c>
      <c r="G36" t="inlineStr">
        <is>
          <t>2024-04</t>
        </is>
      </c>
      <c r="H36" t="inlineStr">
        <is>
          <t>2026-07</t>
        </is>
      </c>
      <c r="NZ36" s="2">
        <v>102.23</v>
      </c>
      <c r="OA36" s="2">
        <v>100.48</v>
      </c>
      <c r="OB36" s="2">
        <v>100.7</v>
      </c>
      <c r="OC36" s="2">
        <v>100</v>
      </c>
      <c r="OD36" s="2">
        <v>98.98999999999999</v>
      </c>
      <c r="OE36" s="2">
        <v>97.79000000000001</v>
      </c>
      <c r="OF36" s="2">
        <v>97.61</v>
      </c>
      <c r="OG36" s="2">
        <v>97.95999999999999</v>
      </c>
      <c r="OH36" s="2">
        <v>99.02</v>
      </c>
      <c r="OM36" s="2">
        <v>98.84</v>
      </c>
      <c r="ON36" s="2">
        <v>99.47</v>
      </c>
      <c r="OO36" s="2">
        <v>99.51000000000001</v>
      </c>
      <c r="OP36" s="2">
        <v>98.88</v>
      </c>
      <c r="OQ36" s="2">
        <v>98.12</v>
      </c>
      <c r="OR36" s="2">
        <v>98.56</v>
      </c>
      <c r="OS36" s="2">
        <v>99.62</v>
      </c>
      <c r="OT36" s="2">
        <v>99.89</v>
      </c>
      <c r="OU36" s="2">
        <v>100</v>
      </c>
      <c r="OV36" s="2">
        <v>100.26</v>
      </c>
      <c r="OW36" s="2">
        <v>100.58</v>
      </c>
      <c r="OX36" s="2">
        <v>100.62</v>
      </c>
      <c r="PC36" s="2">
        <v>99.93000000000001</v>
      </c>
      <c r="PD36" s="2">
        <v>99.28</v>
      </c>
      <c r="PE36" s="2">
        <v>108.37</v>
      </c>
      <c r="PF36" s="2">
        <v>105.42</v>
      </c>
      <c r="PG36" s="2">
        <v>101.36</v>
      </c>
      <c r="PH36" s="2">
        <v>98.64</v>
      </c>
      <c r="PI36" s="2">
        <v>101.24</v>
      </c>
    </row>
    <row r="37">
      <c r="A37" t="inlineStr">
        <is>
          <t>A130391291F</t>
        </is>
      </c>
      <c r="B37" t="inlineStr">
        <is>
          <t>Index Numbers ;  Communication ;  Australia ;</t>
        </is>
      </c>
      <c r="C37" t="inlineStr">
        <is>
          <t>Month</t>
        </is>
      </c>
      <c r="D37" t="inlineStr">
        <is>
          <t>Index Numbers</t>
        </is>
      </c>
      <c r="E37" t="inlineStr">
        <is>
          <t>Original</t>
        </is>
      </c>
      <c r="F37" t="inlineStr">
        <is>
          <t>640102.xlsx</t>
        </is>
      </c>
      <c r="G37" t="inlineStr">
        <is>
          <t>2024-04</t>
        </is>
      </c>
      <c r="H37" t="inlineStr">
        <is>
          <t>2026-07</t>
        </is>
      </c>
      <c r="NZ37" s="2">
        <v>98.53</v>
      </c>
      <c r="OA37" s="2">
        <v>97.89</v>
      </c>
      <c r="OB37" s="2">
        <v>97.25</v>
      </c>
      <c r="OC37" s="2">
        <v>98.89</v>
      </c>
      <c r="OD37" s="2">
        <v>98.38</v>
      </c>
      <c r="OE37" s="2">
        <v>98.42</v>
      </c>
      <c r="OF37" s="2">
        <v>99.05</v>
      </c>
      <c r="OG37" s="2">
        <v>98.94</v>
      </c>
      <c r="OH37" s="2">
        <v>98.72</v>
      </c>
      <c r="OM37" s="2">
        <v>98.36</v>
      </c>
      <c r="ON37" s="2">
        <v>99.09</v>
      </c>
      <c r="OO37" s="2">
        <v>98.95</v>
      </c>
      <c r="OP37" s="2">
        <v>99.20999999999999</v>
      </c>
      <c r="OQ37" s="2">
        <v>98.84999999999999</v>
      </c>
      <c r="OR37" s="2">
        <v>98.01000000000001</v>
      </c>
      <c r="OS37" s="2">
        <v>99.48999999999999</v>
      </c>
      <c r="OT37" s="2">
        <v>100.2</v>
      </c>
      <c r="OU37" s="2">
        <v>100</v>
      </c>
      <c r="OV37" s="2">
        <v>99.8</v>
      </c>
      <c r="OW37" s="2">
        <v>100.24</v>
      </c>
      <c r="OX37" s="2">
        <v>99.8</v>
      </c>
      <c r="PC37" s="2">
        <v>99.70999999999999</v>
      </c>
      <c r="PD37" s="2">
        <v>99.89</v>
      </c>
      <c r="PE37" s="2">
        <v>100.35</v>
      </c>
      <c r="PF37" s="2">
        <v>100.74</v>
      </c>
      <c r="PG37" s="2">
        <v>100.9</v>
      </c>
      <c r="PH37" s="2">
        <v>100.21</v>
      </c>
      <c r="PI37" s="2">
        <v>101.99</v>
      </c>
    </row>
    <row r="38">
      <c r="A38" t="inlineStr">
        <is>
          <t>A130393832W</t>
        </is>
      </c>
      <c r="B38" t="inlineStr">
        <is>
          <t>Index Numbers ;  Recreation and culture ;  Australia ;</t>
        </is>
      </c>
      <c r="C38" t="inlineStr">
        <is>
          <t>Month</t>
        </is>
      </c>
      <c r="D38" t="inlineStr">
        <is>
          <t>Index Numbers</t>
        </is>
      </c>
      <c r="E38" t="inlineStr">
        <is>
          <t>Original</t>
        </is>
      </c>
      <c r="F38" t="inlineStr">
        <is>
          <t>640102.xlsx</t>
        </is>
      </c>
      <c r="G38" t="inlineStr">
        <is>
          <t>2024-04</t>
        </is>
      </c>
      <c r="H38" t="inlineStr">
        <is>
          <t>2026-07</t>
        </is>
      </c>
      <c r="NZ38" s="2">
        <v>95.51000000000001</v>
      </c>
      <c r="OA38" s="2">
        <v>94.56</v>
      </c>
      <c r="OB38" s="2">
        <v>97.56999999999999</v>
      </c>
      <c r="OC38" s="2">
        <v>96.73</v>
      </c>
      <c r="OD38" s="2">
        <v>96.51000000000001</v>
      </c>
      <c r="OE38" s="2">
        <v>98.25</v>
      </c>
      <c r="OF38" s="2">
        <v>96.78</v>
      </c>
      <c r="OG38" s="2">
        <v>96.87</v>
      </c>
      <c r="OH38" s="2">
        <v>101.6</v>
      </c>
      <c r="OM38" s="2">
        <v>98.87</v>
      </c>
      <c r="ON38" s="2">
        <v>95.51000000000001</v>
      </c>
      <c r="OO38" s="2">
        <v>96.01000000000001</v>
      </c>
      <c r="OP38" s="2">
        <v>98.79000000000001</v>
      </c>
      <c r="OQ38" s="2">
        <v>95.84999999999999</v>
      </c>
      <c r="OR38" s="2">
        <v>96.68000000000001</v>
      </c>
      <c r="OS38" s="2">
        <v>99.09999999999999</v>
      </c>
      <c r="OT38" s="2">
        <v>97.84</v>
      </c>
      <c r="OU38" s="2">
        <v>100</v>
      </c>
      <c r="OV38" s="2">
        <v>99.84</v>
      </c>
      <c r="OW38" s="2">
        <v>98.77</v>
      </c>
      <c r="OX38" s="2">
        <v>106.05</v>
      </c>
      <c r="PC38" s="2">
        <v>102.48</v>
      </c>
      <c r="PD38" s="2">
        <v>99.44</v>
      </c>
      <c r="PE38" s="2">
        <v>98.73999999999999</v>
      </c>
      <c r="PF38" s="2">
        <v>101.26</v>
      </c>
      <c r="PG38" s="2">
        <v>98.14</v>
      </c>
      <c r="PH38" s="2">
        <v>99.91</v>
      </c>
      <c r="PI38" s="2">
        <v>101.67</v>
      </c>
    </row>
    <row r="39">
      <c r="A39" t="inlineStr">
        <is>
          <t>A130390024V</t>
        </is>
      </c>
      <c r="B39" t="inlineStr">
        <is>
          <t>Index Numbers ;  Education ;  Australia ;</t>
        </is>
      </c>
      <c r="C39" t="inlineStr">
        <is>
          <t>Month</t>
        </is>
      </c>
      <c r="D39" t="inlineStr">
        <is>
          <t>Index Numbers</t>
        </is>
      </c>
      <c r="E39" t="inlineStr">
        <is>
          <t>Original</t>
        </is>
      </c>
      <c r="F39" t="inlineStr">
        <is>
          <t>640102.xlsx</t>
        </is>
      </c>
      <c r="G39" t="inlineStr">
        <is>
          <t>2024-04</t>
        </is>
      </c>
      <c r="H39" t="inlineStr">
        <is>
          <t>2026-07</t>
        </is>
      </c>
      <c r="NZ39" s="2">
        <v>94.69</v>
      </c>
      <c r="OA39" s="2">
        <v>94.7</v>
      </c>
      <c r="OB39" s="2">
        <v>94.72</v>
      </c>
      <c r="OC39" s="2">
        <v>94.73</v>
      </c>
      <c r="OD39" s="2">
        <v>94.87</v>
      </c>
      <c r="OE39" s="2">
        <v>94.90000000000001</v>
      </c>
      <c r="OF39" s="2">
        <v>94.91</v>
      </c>
      <c r="OG39" s="2">
        <v>94.92</v>
      </c>
      <c r="OH39" s="2">
        <v>94.93000000000001</v>
      </c>
      <c r="OM39" s="2">
        <v>94.92</v>
      </c>
      <c r="ON39" s="2">
        <v>99.76000000000001</v>
      </c>
      <c r="OO39" s="2">
        <v>99.8</v>
      </c>
      <c r="OP39" s="2">
        <v>99.79000000000001</v>
      </c>
      <c r="OQ39" s="2">
        <v>99.79000000000001</v>
      </c>
      <c r="OR39" s="2">
        <v>99.83</v>
      </c>
      <c r="OS39" s="2">
        <v>99.84999999999999</v>
      </c>
      <c r="OT39" s="2">
        <v>99.98</v>
      </c>
      <c r="OU39" s="2">
        <v>100</v>
      </c>
      <c r="OV39" s="2">
        <v>100.02</v>
      </c>
      <c r="OW39" s="2">
        <v>100.04</v>
      </c>
      <c r="OX39" s="2">
        <v>100.05</v>
      </c>
      <c r="PC39" s="2">
        <v>100.01</v>
      </c>
      <c r="PD39" s="2">
        <v>104.54</v>
      </c>
      <c r="PE39" s="2">
        <v>104.58</v>
      </c>
      <c r="PF39" s="2">
        <v>104.57</v>
      </c>
      <c r="PG39" s="2">
        <v>104.57</v>
      </c>
      <c r="PH39" s="2">
        <v>104.59</v>
      </c>
      <c r="PI39" s="2">
        <v>104.6</v>
      </c>
    </row>
    <row r="40">
      <c r="A40" t="inlineStr">
        <is>
          <t>A130392761F</t>
        </is>
      </c>
      <c r="B40" t="inlineStr">
        <is>
          <t>Index Numbers ;  Insurance and financial services ;  Australia ;</t>
        </is>
      </c>
      <c r="C40" t="inlineStr">
        <is>
          <t>Month</t>
        </is>
      </c>
      <c r="D40" t="inlineStr">
        <is>
          <t>Index Numbers</t>
        </is>
      </c>
      <c r="E40" t="inlineStr">
        <is>
          <t>Original</t>
        </is>
      </c>
      <c r="F40" t="inlineStr">
        <is>
          <t>640102.xlsx</t>
        </is>
      </c>
      <c r="G40" t="inlineStr">
        <is>
          <t>2024-04</t>
        </is>
      </c>
      <c r="H40" t="inlineStr">
        <is>
          <t>2026-07</t>
        </is>
      </c>
      <c r="NZ40" s="2">
        <v>95.66</v>
      </c>
      <c r="OA40" s="2">
        <v>95.88</v>
      </c>
      <c r="OB40" s="2">
        <v>96.56999999999999</v>
      </c>
      <c r="OC40" s="2">
        <v>96.76000000000001</v>
      </c>
      <c r="OD40" s="2">
        <v>96.87</v>
      </c>
      <c r="OE40" s="2">
        <v>97.58</v>
      </c>
      <c r="OF40" s="2">
        <v>97.81999999999999</v>
      </c>
      <c r="OG40" s="2">
        <v>97.81</v>
      </c>
      <c r="OH40" s="2">
        <v>98.34</v>
      </c>
      <c r="OM40" s="2">
        <v>98.76000000000001</v>
      </c>
      <c r="ON40" s="2">
        <v>98.8</v>
      </c>
      <c r="OO40" s="2">
        <v>99.20999999999999</v>
      </c>
      <c r="OP40" s="2">
        <v>99.14</v>
      </c>
      <c r="OQ40" s="2">
        <v>99.03</v>
      </c>
      <c r="OR40" s="2">
        <v>99.61</v>
      </c>
      <c r="OS40" s="2">
        <v>99.84</v>
      </c>
      <c r="OT40" s="2">
        <v>99.7</v>
      </c>
      <c r="OU40" s="2">
        <v>100</v>
      </c>
      <c r="OV40" s="2">
        <v>100.23</v>
      </c>
      <c r="OW40" s="2">
        <v>100.29</v>
      </c>
      <c r="OX40" s="2">
        <v>100.76</v>
      </c>
      <c r="PC40" s="2">
        <v>101.11</v>
      </c>
      <c r="PD40" s="2">
        <v>101.21</v>
      </c>
      <c r="PE40" s="2">
        <v>102.02</v>
      </c>
      <c r="PF40" s="2">
        <v>102.08</v>
      </c>
      <c r="PG40" s="2">
        <v>102.24</v>
      </c>
      <c r="PH40" s="2">
        <v>102.8</v>
      </c>
      <c r="PI40" s="2">
        <v>102.98</v>
      </c>
    </row>
    <row r="41">
      <c r="A41" t="inlineStr">
        <is>
          <t>A130393721F</t>
        </is>
      </c>
      <c r="B41" t="inlineStr">
        <is>
          <t>Percentage Change from Corresponding Month of Previous Year ;  All groups CPI ;  Australia ;</t>
        </is>
      </c>
      <c r="C41" t="inlineStr">
        <is>
          <t>Month</t>
        </is>
      </c>
      <c r="D41" t="inlineStr">
        <is>
          <t>Percent</t>
        </is>
      </c>
      <c r="E41" t="inlineStr">
        <is>
          <t>Original</t>
        </is>
      </c>
      <c r="F41" t="inlineStr">
        <is>
          <t>640102.xlsx</t>
        </is>
      </c>
      <c r="G41" t="inlineStr">
        <is>
          <t>2025-04</t>
        </is>
      </c>
      <c r="H41" t="inlineStr">
        <is>
          <t>2026-07</t>
        </is>
      </c>
      <c r="OP41" s="2">
        <v>2.4</v>
      </c>
      <c r="OQ41" s="2">
        <v>2.1</v>
      </c>
      <c r="OR41" s="2">
        <v>1.9</v>
      </c>
      <c r="OS41" s="2">
        <v>3</v>
      </c>
      <c r="OT41" s="2">
        <v>3.2</v>
      </c>
      <c r="OU41" s="2">
        <v>3.6</v>
      </c>
      <c r="OV41" s="2">
        <v>3.8</v>
      </c>
      <c r="OW41" s="2">
        <v>3.4</v>
      </c>
      <c r="OX41" s="2">
        <v>3.8</v>
      </c>
      <c r="PC41" s="2">
        <v>3.8</v>
      </c>
      <c r="PD41" s="2">
        <v>3.7</v>
      </c>
      <c r="PE41" s="2">
        <v>4.6</v>
      </c>
      <c r="PF41" s="2">
        <v>4.2</v>
      </c>
      <c r="PG41" s="2">
        <v>4</v>
      </c>
      <c r="PH41" s="2">
        <v>3.8</v>
      </c>
      <c r="PI41" s="2">
        <v>3.5</v>
      </c>
    </row>
    <row r="42">
      <c r="A42" t="inlineStr">
        <is>
          <t>A130395478C</t>
        </is>
      </c>
      <c r="B42" t="inlineStr">
        <is>
          <t>Percentage Change from Corresponding Month of Previous Year ;  Food and non-alcoholic beverages ;  Australia ;</t>
        </is>
      </c>
      <c r="C42" t="inlineStr">
        <is>
          <t>Month</t>
        </is>
      </c>
      <c r="D42" t="inlineStr">
        <is>
          <t>Percent</t>
        </is>
      </c>
      <c r="E42" t="inlineStr">
        <is>
          <t>Original</t>
        </is>
      </c>
      <c r="F42" t="inlineStr">
        <is>
          <t>640102.xlsx</t>
        </is>
      </c>
      <c r="G42" t="inlineStr">
        <is>
          <t>2025-04</t>
        </is>
      </c>
      <c r="H42" t="inlineStr">
        <is>
          <t>2026-07</t>
        </is>
      </c>
      <c r="OP42" s="2">
        <v>3.2</v>
      </c>
      <c r="OQ42" s="2">
        <v>2.9</v>
      </c>
      <c r="OR42" s="2">
        <v>3.5</v>
      </c>
      <c r="OS42" s="2">
        <v>3.1</v>
      </c>
      <c r="OT42" s="2">
        <v>3</v>
      </c>
      <c r="OU42" s="2">
        <v>3.2</v>
      </c>
      <c r="OV42" s="2">
        <v>3.2</v>
      </c>
      <c r="OW42" s="2">
        <v>3.3</v>
      </c>
      <c r="OX42" s="2">
        <v>3.4</v>
      </c>
      <c r="PC42" s="2">
        <v>3.1</v>
      </c>
      <c r="PD42" s="2">
        <v>3.1</v>
      </c>
      <c r="PE42" s="2">
        <v>3.1</v>
      </c>
      <c r="PF42" s="2">
        <v>2.8</v>
      </c>
      <c r="PG42" s="2">
        <v>3.3</v>
      </c>
      <c r="PH42" s="2">
        <v>3.3</v>
      </c>
      <c r="PI42" s="2">
        <v>3.2</v>
      </c>
    </row>
    <row r="43">
      <c r="A43" t="inlineStr">
        <is>
          <t>A130393028J</t>
        </is>
      </c>
      <c r="B43" t="inlineStr">
        <is>
          <t>Percentage Change from Corresponding Month of Previous Year ;  Alcohol and tobacco ;  Australia ;</t>
        </is>
      </c>
      <c r="C43" t="inlineStr">
        <is>
          <t>Month</t>
        </is>
      </c>
      <c r="D43" t="inlineStr">
        <is>
          <t>Percent</t>
        </is>
      </c>
      <c r="E43" t="inlineStr">
        <is>
          <t>Original</t>
        </is>
      </c>
      <c r="F43" t="inlineStr">
        <is>
          <t>640102.xlsx</t>
        </is>
      </c>
      <c r="G43" t="inlineStr">
        <is>
          <t>2025-04</t>
        </is>
      </c>
      <c r="H43" t="inlineStr">
        <is>
          <t>2026-07</t>
        </is>
      </c>
      <c r="OP43" s="2">
        <v>5.6</v>
      </c>
      <c r="OQ43" s="2">
        <v>5.8</v>
      </c>
      <c r="OR43" s="2">
        <v>5.6</v>
      </c>
      <c r="OS43" s="2">
        <v>6.4</v>
      </c>
      <c r="OT43" s="2">
        <v>6</v>
      </c>
      <c r="OU43" s="2">
        <v>5.5</v>
      </c>
      <c r="OV43" s="2">
        <v>4.4</v>
      </c>
      <c r="OW43" s="2">
        <v>4.3</v>
      </c>
      <c r="OX43" s="2">
        <v>4.9</v>
      </c>
      <c r="PC43" s="2">
        <v>5</v>
      </c>
      <c r="PD43" s="2">
        <v>4.3</v>
      </c>
      <c r="PE43" s="2">
        <v>4.4</v>
      </c>
      <c r="PF43" s="2">
        <v>4.3</v>
      </c>
      <c r="PG43" s="2">
        <v>4.7</v>
      </c>
      <c r="PH43" s="2">
        <v>4.4</v>
      </c>
      <c r="PI43" s="2">
        <v>4.5</v>
      </c>
    </row>
    <row r="44">
      <c r="A44" t="inlineStr">
        <is>
          <t>A130391670F</t>
        </is>
      </c>
      <c r="B44" t="inlineStr">
        <is>
          <t>Percentage Change from Corresponding Month of Previous Year ;  Clothing and footwear ;  Australia ;</t>
        </is>
      </c>
      <c r="C44" t="inlineStr">
        <is>
          <t>Month</t>
        </is>
      </c>
      <c r="D44" t="inlineStr">
        <is>
          <t>Percent</t>
        </is>
      </c>
      <c r="E44" t="inlineStr">
        <is>
          <t>Original</t>
        </is>
      </c>
      <c r="F44" t="inlineStr">
        <is>
          <t>640102.xlsx</t>
        </is>
      </c>
      <c r="G44" t="inlineStr">
        <is>
          <t>2025-04</t>
        </is>
      </c>
      <c r="H44" t="inlineStr">
        <is>
          <t>2026-07</t>
        </is>
      </c>
      <c r="OP44" s="2">
        <v>1</v>
      </c>
      <c r="OQ44" s="2">
        <v>2.1</v>
      </c>
      <c r="OR44" s="2">
        <v>2.9</v>
      </c>
      <c r="OS44" s="2">
        <v>2.3</v>
      </c>
      <c r="OT44" s="2">
        <v>4.3</v>
      </c>
      <c r="OU44" s="2">
        <v>3.8</v>
      </c>
      <c r="OV44" s="2">
        <v>5.4</v>
      </c>
      <c r="OW44" s="2">
        <v>5.1</v>
      </c>
      <c r="OX44" s="2">
        <v>3.4</v>
      </c>
      <c r="PC44" s="2">
        <v>5.6</v>
      </c>
      <c r="PD44" s="2">
        <v>5</v>
      </c>
      <c r="PE44" s="2">
        <v>7.1</v>
      </c>
      <c r="PF44" s="2">
        <v>5.9</v>
      </c>
      <c r="PG44" s="2">
        <v>5</v>
      </c>
      <c r="PH44" s="2">
        <v>4.9</v>
      </c>
      <c r="PI44" s="2">
        <v>4.9</v>
      </c>
    </row>
    <row r="45">
      <c r="A45" t="inlineStr">
        <is>
          <t>A130399185W</t>
        </is>
      </c>
      <c r="B45" t="inlineStr">
        <is>
          <t>Percentage Change from Corresponding Month of Previous Year ;  Housing ;  Australia ;</t>
        </is>
      </c>
      <c r="C45" t="inlineStr">
        <is>
          <t>Month</t>
        </is>
      </c>
      <c r="D45" t="inlineStr">
        <is>
          <t>Percent</t>
        </is>
      </c>
      <c r="E45" t="inlineStr">
        <is>
          <t>Original</t>
        </is>
      </c>
      <c r="F45" t="inlineStr">
        <is>
          <t>640102.xlsx</t>
        </is>
      </c>
      <c r="G45" t="inlineStr">
        <is>
          <t>2025-04</t>
        </is>
      </c>
      <c r="H45" t="inlineStr">
        <is>
          <t>2026-07</t>
        </is>
      </c>
      <c r="OP45" s="2">
        <v>2.1</v>
      </c>
      <c r="OQ45" s="2">
        <v>1.9</v>
      </c>
      <c r="OR45" s="2">
        <v>1.5</v>
      </c>
      <c r="OS45" s="2">
        <v>3.7</v>
      </c>
      <c r="OT45" s="2">
        <v>4.5</v>
      </c>
      <c r="OU45" s="2">
        <v>5.7</v>
      </c>
      <c r="OV45" s="2">
        <v>5.9</v>
      </c>
      <c r="OW45" s="2">
        <v>5.2</v>
      </c>
      <c r="OX45" s="2">
        <v>5.5</v>
      </c>
      <c r="PC45" s="2">
        <v>6.8</v>
      </c>
      <c r="PD45" s="2">
        <v>7.2</v>
      </c>
      <c r="PE45" s="2">
        <v>6.5</v>
      </c>
      <c r="PF45" s="2">
        <v>6.3</v>
      </c>
      <c r="PG45" s="2">
        <v>6.5</v>
      </c>
      <c r="PH45" s="2">
        <v>6.8</v>
      </c>
      <c r="PI45" s="2">
        <v>5</v>
      </c>
    </row>
    <row r="46">
      <c r="A46" t="inlineStr">
        <is>
          <t>A130399199K</t>
        </is>
      </c>
      <c r="B46" t="inlineStr">
        <is>
          <t>Percentage Change from Corresponding Month of Previous Year ;  Furnishings, household equipment and services ;  Australia ;</t>
        </is>
      </c>
      <c r="C46" t="inlineStr">
        <is>
          <t>Month</t>
        </is>
      </c>
      <c r="D46" t="inlineStr">
        <is>
          <t>Percent</t>
        </is>
      </c>
      <c r="E46" t="inlineStr">
        <is>
          <t>Original</t>
        </is>
      </c>
      <c r="F46" t="inlineStr">
        <is>
          <t>640102.xlsx</t>
        </is>
      </c>
      <c r="G46" t="inlineStr">
        <is>
          <t>2025-04</t>
        </is>
      </c>
      <c r="H46" t="inlineStr">
        <is>
          <t>2026-07</t>
        </is>
      </c>
      <c r="OP46" s="2">
        <v>1.8</v>
      </c>
      <c r="OQ46" s="2">
        <v>1.5</v>
      </c>
      <c r="OR46" s="2">
        <v>1.7</v>
      </c>
      <c r="OS46" s="2">
        <v>1.8</v>
      </c>
      <c r="OT46" s="2">
        <v>1.7</v>
      </c>
      <c r="OU46" s="2">
        <v>1.8</v>
      </c>
      <c r="OV46" s="2">
        <v>2.1</v>
      </c>
      <c r="OW46" s="2">
        <v>1.3</v>
      </c>
      <c r="OX46" s="2">
        <v>2</v>
      </c>
      <c r="PC46" s="2">
        <v>1.4</v>
      </c>
      <c r="PD46" s="2">
        <v>1.3</v>
      </c>
      <c r="PE46" s="2">
        <v>1.4</v>
      </c>
      <c r="PF46" s="2">
        <v>1.2</v>
      </c>
      <c r="PG46" s="2">
        <v>1.7</v>
      </c>
      <c r="PH46" s="2">
        <v>1.6</v>
      </c>
      <c r="PI46" s="2">
        <v>1.6</v>
      </c>
    </row>
    <row r="47">
      <c r="A47" t="inlineStr">
        <is>
          <t>A130389990A</t>
        </is>
      </c>
      <c r="B47" t="inlineStr">
        <is>
          <t>Percentage Change from Corresponding Month of Previous Year ;  Health ;  Australia ;</t>
        </is>
      </c>
      <c r="C47" t="inlineStr">
        <is>
          <t>Month</t>
        </is>
      </c>
      <c r="D47" t="inlineStr">
        <is>
          <t>Percent</t>
        </is>
      </c>
      <c r="E47" t="inlineStr">
        <is>
          <t>Original</t>
        </is>
      </c>
      <c r="F47" t="inlineStr">
        <is>
          <t>640102.xlsx</t>
        </is>
      </c>
      <c r="G47" t="inlineStr">
        <is>
          <t>2025-04</t>
        </is>
      </c>
      <c r="H47" t="inlineStr">
        <is>
          <t>2026-07</t>
        </is>
      </c>
      <c r="OP47" s="2">
        <v>4.3</v>
      </c>
      <c r="OQ47" s="2">
        <v>4</v>
      </c>
      <c r="OR47" s="2">
        <v>3.9</v>
      </c>
      <c r="OS47" s="2">
        <v>4</v>
      </c>
      <c r="OT47" s="2">
        <v>4.1</v>
      </c>
      <c r="OU47" s="2">
        <v>4.2</v>
      </c>
      <c r="OV47" s="2">
        <v>4</v>
      </c>
      <c r="OW47" s="2">
        <v>3.6</v>
      </c>
      <c r="OX47" s="2">
        <v>3.6</v>
      </c>
      <c r="PC47" s="2">
        <v>3.2</v>
      </c>
      <c r="PD47" s="2">
        <v>3.2</v>
      </c>
      <c r="PE47" s="2">
        <v>3</v>
      </c>
      <c r="PF47" s="2">
        <v>4</v>
      </c>
      <c r="PG47" s="2">
        <v>3.8</v>
      </c>
      <c r="PH47" s="2">
        <v>3.7</v>
      </c>
      <c r="PI47" s="2">
        <v>3.8</v>
      </c>
    </row>
    <row r="48">
      <c r="A48" t="inlineStr">
        <is>
          <t>A130396689W</t>
        </is>
      </c>
      <c r="B48" t="inlineStr">
        <is>
          <t>Percentage Change from Corresponding Month of Previous Year ;  Transport ;  Australia ;</t>
        </is>
      </c>
      <c r="C48" t="inlineStr">
        <is>
          <t>Month</t>
        </is>
      </c>
      <c r="D48" t="inlineStr">
        <is>
          <t>Percent</t>
        </is>
      </c>
      <c r="E48" t="inlineStr">
        <is>
          <t>Original</t>
        </is>
      </c>
      <c r="F48" t="inlineStr">
        <is>
          <t>640102.xlsx</t>
        </is>
      </c>
      <c r="G48" t="inlineStr">
        <is>
          <t>2025-04</t>
        </is>
      </c>
      <c r="H48" t="inlineStr">
        <is>
          <t>2026-07</t>
        </is>
      </c>
      <c r="OP48" s="2">
        <v>-3.3</v>
      </c>
      <c r="OQ48" s="2">
        <v>-2.3</v>
      </c>
      <c r="OR48" s="2">
        <v>-2.1</v>
      </c>
      <c r="OS48" s="2">
        <v>-0.4</v>
      </c>
      <c r="OT48" s="2">
        <v>0.9</v>
      </c>
      <c r="OU48" s="2">
        <v>2.3</v>
      </c>
      <c r="OV48" s="2">
        <v>2.7</v>
      </c>
      <c r="OW48" s="2">
        <v>2.7</v>
      </c>
      <c r="OX48" s="2">
        <v>1.6</v>
      </c>
      <c r="PC48" s="2">
        <v>1.1</v>
      </c>
      <c r="PD48" s="2">
        <v>-0.2</v>
      </c>
      <c r="PE48" s="2">
        <v>8.9</v>
      </c>
      <c r="PF48" s="2">
        <v>6.6</v>
      </c>
      <c r="PG48" s="2">
        <v>3.3</v>
      </c>
      <c r="PH48" s="2">
        <v>0.1</v>
      </c>
      <c r="PI48" s="2">
        <v>1.6</v>
      </c>
    </row>
    <row r="49">
      <c r="A49" t="inlineStr">
        <is>
          <t>A130391292J</t>
        </is>
      </c>
      <c r="B49" t="inlineStr">
        <is>
          <t>Percentage Change from Corresponding Month of Previous Year ;  Communication ;  Australia ;</t>
        </is>
      </c>
      <c r="C49" t="inlineStr">
        <is>
          <t>Month</t>
        </is>
      </c>
      <c r="D49" t="inlineStr">
        <is>
          <t>Percent</t>
        </is>
      </c>
      <c r="E49" t="inlineStr">
        <is>
          <t>Original</t>
        </is>
      </c>
      <c r="F49" t="inlineStr">
        <is>
          <t>640102.xlsx</t>
        </is>
      </c>
      <c r="G49" t="inlineStr">
        <is>
          <t>2025-04</t>
        </is>
      </c>
      <c r="H49" t="inlineStr">
        <is>
          <t>2026-07</t>
        </is>
      </c>
      <c r="OP49" s="2">
        <v>0.7</v>
      </c>
      <c r="OQ49" s="2">
        <v>1</v>
      </c>
      <c r="OR49" s="2">
        <v>0.8</v>
      </c>
      <c r="OS49" s="2">
        <v>0.6</v>
      </c>
      <c r="OT49" s="2">
        <v>1.8</v>
      </c>
      <c r="OU49" s="2">
        <v>1.6</v>
      </c>
      <c r="OV49" s="2">
        <v>0.8</v>
      </c>
      <c r="OW49" s="2">
        <v>1.3</v>
      </c>
      <c r="OX49" s="2">
        <v>1.1</v>
      </c>
      <c r="PC49" s="2">
        <v>1.4</v>
      </c>
      <c r="PD49" s="2">
        <v>0.8</v>
      </c>
      <c r="PE49" s="2">
        <v>1.4</v>
      </c>
      <c r="PF49" s="2">
        <v>1.5</v>
      </c>
      <c r="PG49" s="2">
        <v>2.1</v>
      </c>
      <c r="PH49" s="2">
        <v>2.2</v>
      </c>
      <c r="PI49" s="2">
        <v>2.5</v>
      </c>
    </row>
    <row r="50">
      <c r="A50" t="inlineStr">
        <is>
          <t>A130393833X</t>
        </is>
      </c>
      <c r="B50" t="inlineStr">
        <is>
          <t>Percentage Change from Corresponding Month of Previous Year ;  Recreation and culture ;  Australia ;</t>
        </is>
      </c>
      <c r="C50" t="inlineStr">
        <is>
          <t>Month</t>
        </is>
      </c>
      <c r="D50" t="inlineStr">
        <is>
          <t>Percent</t>
        </is>
      </c>
      <c r="E50" t="inlineStr">
        <is>
          <t>Original</t>
        </is>
      </c>
      <c r="F50" t="inlineStr">
        <is>
          <t>640102.xlsx</t>
        </is>
      </c>
      <c r="G50" t="inlineStr">
        <is>
          <t>2025-04</t>
        </is>
      </c>
      <c r="H50" t="inlineStr">
        <is>
          <t>2026-07</t>
        </is>
      </c>
      <c r="OP50" s="2">
        <v>3.4</v>
      </c>
      <c r="OQ50" s="2">
        <v>1.4</v>
      </c>
      <c r="OR50" s="2">
        <v>-0.9</v>
      </c>
      <c r="OS50" s="2">
        <v>2.5</v>
      </c>
      <c r="OT50" s="2">
        <v>1.4</v>
      </c>
      <c r="OU50" s="2">
        <v>1.8</v>
      </c>
      <c r="OV50" s="2">
        <v>3.2</v>
      </c>
      <c r="OW50" s="2">
        <v>2</v>
      </c>
      <c r="OX50" s="2">
        <v>4.4</v>
      </c>
      <c r="PC50" s="2">
        <v>3.7</v>
      </c>
      <c r="PD50" s="2">
        <v>4.1</v>
      </c>
      <c r="PE50" s="2">
        <v>2.8</v>
      </c>
      <c r="PF50" s="2">
        <v>2.5</v>
      </c>
      <c r="PG50" s="2">
        <v>2.4</v>
      </c>
      <c r="PH50" s="2">
        <v>3.3</v>
      </c>
      <c r="PI50" s="2">
        <v>2.6</v>
      </c>
    </row>
    <row r="51">
      <c r="A51" t="inlineStr">
        <is>
          <t>A130390025W</t>
        </is>
      </c>
      <c r="B51" t="inlineStr">
        <is>
          <t>Percentage Change from Corresponding Month of Previous Year ;  Education ;  Australia ;</t>
        </is>
      </c>
      <c r="C51" t="inlineStr">
        <is>
          <t>Month</t>
        </is>
      </c>
      <c r="D51" t="inlineStr">
        <is>
          <t>Percent</t>
        </is>
      </c>
      <c r="E51" t="inlineStr">
        <is>
          <t>Original</t>
        </is>
      </c>
      <c r="F51" t="inlineStr">
        <is>
          <t>640102.xlsx</t>
        </is>
      </c>
      <c r="G51" t="inlineStr">
        <is>
          <t>2025-04</t>
        </is>
      </c>
      <c r="H51" t="inlineStr">
        <is>
          <t>2026-07</t>
        </is>
      </c>
      <c r="OP51" s="2">
        <v>5.4</v>
      </c>
      <c r="OQ51" s="2">
        <v>5.4</v>
      </c>
      <c r="OR51" s="2">
        <v>5.4</v>
      </c>
      <c r="OS51" s="2">
        <v>5.4</v>
      </c>
      <c r="OT51" s="2">
        <v>5.4</v>
      </c>
      <c r="OU51" s="2">
        <v>5.4</v>
      </c>
      <c r="OV51" s="2">
        <v>5.4</v>
      </c>
      <c r="OW51" s="2">
        <v>5.4</v>
      </c>
      <c r="OX51" s="2">
        <v>5.4</v>
      </c>
      <c r="PC51" s="2">
        <v>5.4</v>
      </c>
      <c r="PD51" s="2">
        <v>4.8</v>
      </c>
      <c r="PE51" s="2">
        <v>4.8</v>
      </c>
      <c r="PF51" s="2">
        <v>4.8</v>
      </c>
      <c r="PG51" s="2">
        <v>4.8</v>
      </c>
      <c r="PH51" s="2">
        <v>4.8</v>
      </c>
      <c r="PI51" s="2">
        <v>4.8</v>
      </c>
    </row>
    <row r="52">
      <c r="A52" t="inlineStr">
        <is>
          <t>A130392762J</t>
        </is>
      </c>
      <c r="B52" t="inlineStr">
        <is>
          <t>Percentage Change from Corresponding Month of Previous Year ;  Insurance and financial services ;  Australia ;</t>
        </is>
      </c>
      <c r="C52" t="inlineStr">
        <is>
          <t>Month</t>
        </is>
      </c>
      <c r="D52" t="inlineStr">
        <is>
          <t>Percent</t>
        </is>
      </c>
      <c r="E52" t="inlineStr">
        <is>
          <t>Original</t>
        </is>
      </c>
      <c r="F52" t="inlineStr">
        <is>
          <t>640102.xlsx</t>
        </is>
      </c>
      <c r="G52" t="inlineStr">
        <is>
          <t>2025-04</t>
        </is>
      </c>
      <c r="H52" t="inlineStr">
        <is>
          <t>2026-07</t>
        </is>
      </c>
      <c r="OP52" s="2">
        <v>3.6</v>
      </c>
      <c r="OQ52" s="2">
        <v>3.3</v>
      </c>
      <c r="OR52" s="2">
        <v>3.1</v>
      </c>
      <c r="OS52" s="2">
        <v>3.2</v>
      </c>
      <c r="OT52" s="2">
        <v>2.9</v>
      </c>
      <c r="OU52" s="2">
        <v>2.5</v>
      </c>
      <c r="OV52" s="2">
        <v>2.5</v>
      </c>
      <c r="OW52" s="2">
        <v>2.5</v>
      </c>
      <c r="OX52" s="2">
        <v>2.5</v>
      </c>
      <c r="PC52" s="2">
        <v>2.4</v>
      </c>
      <c r="PD52" s="2">
        <v>2.4</v>
      </c>
      <c r="PE52" s="2">
        <v>2.8</v>
      </c>
      <c r="PF52" s="2">
        <v>3</v>
      </c>
      <c r="PG52" s="2">
        <v>3.2</v>
      </c>
      <c r="PH52" s="2">
        <v>3.2</v>
      </c>
      <c r="PI52" s="2">
        <v>3.1</v>
      </c>
    </row>
    <row r="53">
      <c r="A53" t="inlineStr">
        <is>
          <t>A130393722J</t>
        </is>
      </c>
      <c r="B53" t="inlineStr">
        <is>
          <t>Percentage Change from Previous Period ;  All groups CPI ;  Australia ;</t>
        </is>
      </c>
      <c r="C53" t="inlineStr">
        <is>
          <t>Month</t>
        </is>
      </c>
      <c r="D53" t="inlineStr">
        <is>
          <t>Percent</t>
        </is>
      </c>
      <c r="E53" t="inlineStr">
        <is>
          <t>Original</t>
        </is>
      </c>
      <c r="F53" t="inlineStr">
        <is>
          <t>640102.xlsx</t>
        </is>
      </c>
      <c r="G53" t="inlineStr">
        <is>
          <t>2024-05</t>
        </is>
      </c>
      <c r="H53" t="inlineStr">
        <is>
          <t>2026-07</t>
        </is>
      </c>
      <c r="OA53" s="2">
        <v>-0.2</v>
      </c>
      <c r="OB53" s="2">
        <v>0.4</v>
      </c>
      <c r="OC53" s="2">
        <v>0.3</v>
      </c>
      <c r="OD53" s="2">
        <v>-0.3</v>
      </c>
      <c r="OE53" s="2">
        <v>0.1</v>
      </c>
      <c r="OF53" s="2">
        <v>-0.2</v>
      </c>
      <c r="OG53" s="2">
        <v>0.4</v>
      </c>
      <c r="OH53" s="2">
        <v>0.7</v>
      </c>
      <c r="OM53" s="2">
        <v>0.3</v>
      </c>
      <c r="ON53" s="2">
        <v>0.1</v>
      </c>
      <c r="OO53" s="2">
        <v>0.3</v>
      </c>
      <c r="OP53" s="2">
        <v>0.7</v>
      </c>
      <c r="OQ53" s="2">
        <v>-0.5</v>
      </c>
      <c r="OR53" s="2">
        <v>0.1</v>
      </c>
      <c r="OS53" s="2">
        <v>1.3</v>
      </c>
      <c r="OT53" s="2">
        <v>-0.1</v>
      </c>
      <c r="OU53" s="2">
        <v>0.5</v>
      </c>
      <c r="OV53" s="2">
        <v>0</v>
      </c>
      <c r="OW53" s="2">
        <v>0</v>
      </c>
      <c r="OX53" s="2">
        <v>1</v>
      </c>
      <c r="PC53" s="2">
        <v>0.4</v>
      </c>
      <c r="PD53" s="2">
        <v>0</v>
      </c>
      <c r="PE53" s="2">
        <v>1.1</v>
      </c>
      <c r="PF53" s="2">
        <v>0.4</v>
      </c>
      <c r="PG53" s="2">
        <v>-0.7</v>
      </c>
      <c r="PH53" s="2">
        <v>-0.1</v>
      </c>
      <c r="PI53" s="2">
        <v>1</v>
      </c>
    </row>
    <row r="54">
      <c r="A54" t="inlineStr">
        <is>
          <t>A130395479F</t>
        </is>
      </c>
      <c r="B54" t="inlineStr">
        <is>
          <t>Percentage Change from Previous Period ;  Food and non-alcoholic beverages ;  Australia ;</t>
        </is>
      </c>
      <c r="C54" t="inlineStr">
        <is>
          <t>Month</t>
        </is>
      </c>
      <c r="D54" t="inlineStr">
        <is>
          <t>Percent</t>
        </is>
      </c>
      <c r="E54" t="inlineStr">
        <is>
          <t>Original</t>
        </is>
      </c>
      <c r="F54" t="inlineStr">
        <is>
          <t>640102.xlsx</t>
        </is>
      </c>
      <c r="G54" t="inlineStr">
        <is>
          <t>2024-05</t>
        </is>
      </c>
      <c r="H54" t="inlineStr">
        <is>
          <t>2026-07</t>
        </is>
      </c>
      <c r="OA54" s="2">
        <v>0.4</v>
      </c>
      <c r="OB54" s="2">
        <v>-0.1</v>
      </c>
      <c r="OC54" s="2">
        <v>0.7</v>
      </c>
      <c r="OD54" s="2">
        <v>0.2</v>
      </c>
      <c r="OE54" s="2">
        <v>-0.5</v>
      </c>
      <c r="OF54" s="2">
        <v>0.1</v>
      </c>
      <c r="OG54" s="2">
        <v>0.3</v>
      </c>
      <c r="OH54" s="2">
        <v>0.2</v>
      </c>
      <c r="OM54" s="2">
        <v>0.8</v>
      </c>
      <c r="ON54" s="2">
        <v>-0.1</v>
      </c>
      <c r="OO54" s="2">
        <v>0.7</v>
      </c>
      <c r="OP54" s="2">
        <v>0.4</v>
      </c>
      <c r="OQ54" s="2">
        <v>0.1</v>
      </c>
      <c r="OR54" s="2">
        <v>0.4</v>
      </c>
      <c r="OS54" s="2">
        <v>0.4</v>
      </c>
      <c r="OT54" s="2">
        <v>0.1</v>
      </c>
      <c r="OU54" s="2">
        <v>-0.3</v>
      </c>
      <c r="OV54" s="2">
        <v>0.2</v>
      </c>
      <c r="OW54" s="2">
        <v>0.4</v>
      </c>
      <c r="OX54" s="2">
        <v>0.4</v>
      </c>
      <c r="PC54" s="2">
        <v>0.5</v>
      </c>
      <c r="PD54" s="2">
        <v>-0.1</v>
      </c>
      <c r="PE54" s="2">
        <v>0.7</v>
      </c>
      <c r="PF54" s="2">
        <v>0.1</v>
      </c>
      <c r="PG54" s="2">
        <v>0.6</v>
      </c>
      <c r="PH54" s="2">
        <v>0.4</v>
      </c>
      <c r="PI54" s="2">
        <v>0.3</v>
      </c>
    </row>
    <row r="55">
      <c r="A55" t="inlineStr">
        <is>
          <t>A130393029K</t>
        </is>
      </c>
      <c r="B55" t="inlineStr">
        <is>
          <t>Percentage Change from Previous Period ;  Alcohol and tobacco ;  Australia ;</t>
        </is>
      </c>
      <c r="C55" t="inlineStr">
        <is>
          <t>Month</t>
        </is>
      </c>
      <c r="D55" t="inlineStr">
        <is>
          <t>Percent</t>
        </is>
      </c>
      <c r="E55" t="inlineStr">
        <is>
          <t>Original</t>
        </is>
      </c>
      <c r="F55" t="inlineStr">
        <is>
          <t>640102.xlsx</t>
        </is>
      </c>
      <c r="G55" t="inlineStr">
        <is>
          <t>2024-05</t>
        </is>
      </c>
      <c r="H55" t="inlineStr">
        <is>
          <t>2026-07</t>
        </is>
      </c>
      <c r="OA55" s="2">
        <v>0.2</v>
      </c>
      <c r="OB55" s="2">
        <v>0</v>
      </c>
      <c r="OC55" s="2">
        <v>0.3</v>
      </c>
      <c r="OD55" s="2">
        <v>0.6</v>
      </c>
      <c r="OE55" s="2">
        <v>1.7</v>
      </c>
      <c r="OF55" s="2">
        <v>1</v>
      </c>
      <c r="OG55" s="2">
        <v>0.3</v>
      </c>
      <c r="OH55" s="2">
        <v>-0.6</v>
      </c>
      <c r="OM55" s="2">
        <v>0.7</v>
      </c>
      <c r="ON55" s="2">
        <v>0.9</v>
      </c>
      <c r="OO55" s="2">
        <v>0.7</v>
      </c>
      <c r="OP55" s="2">
        <v>-0.3</v>
      </c>
      <c r="OQ55" s="2">
        <v>0.5</v>
      </c>
      <c r="OR55" s="2">
        <v>-0.2</v>
      </c>
      <c r="OS55" s="2">
        <v>1.1</v>
      </c>
      <c r="OT55" s="2">
        <v>0.2</v>
      </c>
      <c r="OU55" s="2">
        <v>1.2</v>
      </c>
      <c r="OV55" s="2">
        <v>0</v>
      </c>
      <c r="OW55" s="2">
        <v>0.1</v>
      </c>
      <c r="OX55" s="2">
        <v>0</v>
      </c>
      <c r="PC55" s="2">
        <v>0.9</v>
      </c>
      <c r="PD55" s="2">
        <v>0.2</v>
      </c>
      <c r="PE55" s="2">
        <v>0.8</v>
      </c>
      <c r="PF55" s="2">
        <v>-0.5</v>
      </c>
      <c r="PG55" s="2">
        <v>0.9</v>
      </c>
      <c r="PH55" s="2">
        <v>-0.5</v>
      </c>
      <c r="PI55" s="2">
        <v>1.2</v>
      </c>
    </row>
    <row r="56">
      <c r="A56" t="inlineStr">
        <is>
          <t>A130391671J</t>
        </is>
      </c>
      <c r="B56" t="inlineStr">
        <is>
          <t>Percentage Change from Previous Period ;  Clothing and footwear ;  Australia ;</t>
        </is>
      </c>
      <c r="C56" t="inlineStr">
        <is>
          <t>Month</t>
        </is>
      </c>
      <c r="D56" t="inlineStr">
        <is>
          <t>Percent</t>
        </is>
      </c>
      <c r="E56" t="inlineStr">
        <is>
          <t>Original</t>
        </is>
      </c>
      <c r="F56" t="inlineStr">
        <is>
          <t>640102.xlsx</t>
        </is>
      </c>
      <c r="G56" t="inlineStr">
        <is>
          <t>2024-05</t>
        </is>
      </c>
      <c r="H56" t="inlineStr">
        <is>
          <t>2026-07</t>
        </is>
      </c>
      <c r="OA56" s="2">
        <v>-3.1</v>
      </c>
      <c r="OB56" s="2">
        <v>-1.6</v>
      </c>
      <c r="OC56" s="2">
        <v>3.1</v>
      </c>
      <c r="OD56" s="2">
        <v>-0.6</v>
      </c>
      <c r="OE56" s="2">
        <v>-0.1</v>
      </c>
      <c r="OF56" s="2">
        <v>0.7</v>
      </c>
      <c r="OG56" s="2">
        <v>-2.8</v>
      </c>
      <c r="OH56" s="2">
        <v>0.8</v>
      </c>
      <c r="OM56" s="2">
        <v>0.7</v>
      </c>
      <c r="ON56" s="2">
        <v>3.2</v>
      </c>
      <c r="OO56" s="2">
        <v>-3.9</v>
      </c>
      <c r="OP56" s="2">
        <v>5.1</v>
      </c>
      <c r="OQ56" s="2">
        <v>-2.1</v>
      </c>
      <c r="OR56" s="2">
        <v>-0.9</v>
      </c>
      <c r="OS56" s="2">
        <v>2.5</v>
      </c>
      <c r="OT56" s="2">
        <v>1.4</v>
      </c>
      <c r="OU56" s="2">
        <v>-0.6</v>
      </c>
      <c r="OV56" s="2">
        <v>2.2</v>
      </c>
      <c r="OW56" s="2">
        <v>-3.1</v>
      </c>
      <c r="OX56" s="2">
        <v>-0.8</v>
      </c>
      <c r="PC56" s="2">
        <v>2.9</v>
      </c>
      <c r="PD56" s="2">
        <v>2.6</v>
      </c>
      <c r="PE56" s="2">
        <v>-1.9</v>
      </c>
      <c r="PF56" s="2">
        <v>3.9</v>
      </c>
      <c r="PG56" s="2">
        <v>-2.9</v>
      </c>
      <c r="PH56" s="2">
        <v>-1</v>
      </c>
      <c r="PI56" s="2">
        <v>2.6</v>
      </c>
    </row>
    <row r="57">
      <c r="A57" t="inlineStr">
        <is>
          <t>A130399186X</t>
        </is>
      </c>
      <c r="B57" t="inlineStr">
        <is>
          <t>Percentage Change from Previous Period ;  Housing ;  Australia ;</t>
        </is>
      </c>
      <c r="C57" t="inlineStr">
        <is>
          <t>Month</t>
        </is>
      </c>
      <c r="D57" t="inlineStr">
        <is>
          <t>Percent</t>
        </is>
      </c>
      <c r="E57" t="inlineStr">
        <is>
          <t>Original</t>
        </is>
      </c>
      <c r="F57" t="inlineStr">
        <is>
          <t>640102.xlsx</t>
        </is>
      </c>
      <c r="G57" t="inlineStr">
        <is>
          <t>2024-05</t>
        </is>
      </c>
      <c r="H57" t="inlineStr">
        <is>
          <t>2026-07</t>
        </is>
      </c>
      <c r="OA57" s="2">
        <v>0.5</v>
      </c>
      <c r="OB57" s="2">
        <v>0.5</v>
      </c>
      <c r="OC57" s="2">
        <v>0</v>
      </c>
      <c r="OD57" s="2">
        <v>-1.2</v>
      </c>
      <c r="OE57" s="2">
        <v>-0.3</v>
      </c>
      <c r="OF57" s="2">
        <v>-1</v>
      </c>
      <c r="OG57" s="2">
        <v>1.8</v>
      </c>
      <c r="OH57" s="2">
        <v>-0.1</v>
      </c>
      <c r="OM57" s="2">
        <v>0.9</v>
      </c>
      <c r="ON57" s="2">
        <v>-0.1</v>
      </c>
      <c r="OO57" s="2">
        <v>0.9</v>
      </c>
      <c r="OP57" s="2">
        <v>0.4</v>
      </c>
      <c r="OQ57" s="2">
        <v>0.2</v>
      </c>
      <c r="OR57" s="2">
        <v>0.1</v>
      </c>
      <c r="OS57" s="2">
        <v>2.1</v>
      </c>
      <c r="OT57" s="2">
        <v>-0.5</v>
      </c>
      <c r="OU57" s="2">
        <v>0.8</v>
      </c>
      <c r="OV57" s="2">
        <v>-0.8</v>
      </c>
      <c r="OW57" s="2">
        <v>1.1</v>
      </c>
      <c r="OX57" s="2">
        <v>0.1</v>
      </c>
      <c r="PC57" s="2">
        <v>2.2</v>
      </c>
      <c r="PD57" s="2">
        <v>0.3</v>
      </c>
      <c r="PE57" s="2">
        <v>0.2</v>
      </c>
      <c r="PF57" s="2">
        <v>0.2</v>
      </c>
      <c r="PG57" s="2">
        <v>0.5</v>
      </c>
      <c r="PH57" s="2">
        <v>0.5</v>
      </c>
      <c r="PI57" s="2">
        <v>0.4</v>
      </c>
    </row>
    <row r="58">
      <c r="A58" t="inlineStr">
        <is>
          <t>A130399200J</t>
        </is>
      </c>
      <c r="B58" t="inlineStr">
        <is>
          <t>Percentage Change from Previous Period ;  Furnishings, household equipment and services ;  Australia ;</t>
        </is>
      </c>
      <c r="C58" t="inlineStr">
        <is>
          <t>Month</t>
        </is>
      </c>
      <c r="D58" t="inlineStr">
        <is>
          <t>Percent</t>
        </is>
      </c>
      <c r="E58" t="inlineStr">
        <is>
          <t>Original</t>
        </is>
      </c>
      <c r="F58" t="inlineStr">
        <is>
          <t>640102.xlsx</t>
        </is>
      </c>
      <c r="G58" t="inlineStr">
        <is>
          <t>2024-05</t>
        </is>
      </c>
      <c r="H58" t="inlineStr">
        <is>
          <t>2026-07</t>
        </is>
      </c>
      <c r="OA58" s="2">
        <v>0</v>
      </c>
      <c r="OB58" s="2">
        <v>-1.3</v>
      </c>
      <c r="OC58" s="2">
        <v>1.9</v>
      </c>
      <c r="OD58" s="2">
        <v>0.9</v>
      </c>
      <c r="OE58" s="2">
        <v>-0.4</v>
      </c>
      <c r="OF58" s="2">
        <v>0.4</v>
      </c>
      <c r="OG58" s="2">
        <v>-0.2</v>
      </c>
      <c r="OH58" s="2">
        <v>-0.9</v>
      </c>
      <c r="OM58" s="2">
        <v>0.2</v>
      </c>
      <c r="ON58" s="2">
        <v>1</v>
      </c>
      <c r="OO58" s="2">
        <v>-0.3</v>
      </c>
      <c r="OP58" s="2">
        <v>0.5</v>
      </c>
      <c r="OQ58" s="2">
        <v>-0.4</v>
      </c>
      <c r="OR58" s="2">
        <v>-1.1</v>
      </c>
      <c r="OS58" s="2">
        <v>2</v>
      </c>
      <c r="OT58" s="2">
        <v>0.8</v>
      </c>
      <c r="OU58" s="2">
        <v>-0.3</v>
      </c>
      <c r="OV58" s="2">
        <v>0.7</v>
      </c>
      <c r="OW58" s="2">
        <v>-0.9</v>
      </c>
      <c r="OX58" s="2">
        <v>-0.2</v>
      </c>
      <c r="PC58" s="2">
        <v>-0.4</v>
      </c>
      <c r="PD58" s="2">
        <v>0.9</v>
      </c>
      <c r="PE58" s="2">
        <v>-0.2</v>
      </c>
      <c r="PF58" s="2">
        <v>0.3</v>
      </c>
      <c r="PG58" s="2">
        <v>0</v>
      </c>
      <c r="PH58" s="2">
        <v>-1.2</v>
      </c>
      <c r="PI58" s="2">
        <v>2</v>
      </c>
    </row>
    <row r="59">
      <c r="A59" t="inlineStr">
        <is>
          <t>A130389991C</t>
        </is>
      </c>
      <c r="B59" t="inlineStr">
        <is>
          <t>Percentage Change from Previous Period ;  Health ;  Australia ;</t>
        </is>
      </c>
      <c r="C59" t="inlineStr">
        <is>
          <t>Month</t>
        </is>
      </c>
      <c r="D59" t="inlineStr">
        <is>
          <t>Percent</t>
        </is>
      </c>
      <c r="E59" t="inlineStr">
        <is>
          <t>Original</t>
        </is>
      </c>
      <c r="F59" t="inlineStr">
        <is>
          <t>640102.xlsx</t>
        </is>
      </c>
      <c r="G59" t="inlineStr">
        <is>
          <t>2024-05</t>
        </is>
      </c>
      <c r="H59" t="inlineStr">
        <is>
          <t>2026-07</t>
        </is>
      </c>
      <c r="OA59" s="2">
        <v>0</v>
      </c>
      <c r="OB59" s="2">
        <v>-0.1</v>
      </c>
      <c r="OC59" s="2">
        <v>0</v>
      </c>
      <c r="OD59" s="2">
        <v>-0.1</v>
      </c>
      <c r="OE59" s="2">
        <v>-0.1</v>
      </c>
      <c r="OF59" s="2">
        <v>0.2</v>
      </c>
      <c r="OG59" s="2">
        <v>-0.1</v>
      </c>
      <c r="OH59" s="2">
        <v>-0.3</v>
      </c>
      <c r="OM59" s="2">
        <v>3</v>
      </c>
      <c r="ON59" s="2">
        <v>0.1</v>
      </c>
      <c r="OO59" s="2">
        <v>0</v>
      </c>
      <c r="OP59" s="2">
        <v>1.7</v>
      </c>
      <c r="OQ59" s="2">
        <v>-0.3</v>
      </c>
      <c r="OR59" s="2">
        <v>-0.1</v>
      </c>
      <c r="OS59" s="2">
        <v>0.1</v>
      </c>
      <c r="OT59" s="2">
        <v>0</v>
      </c>
      <c r="OU59" s="2">
        <v>0</v>
      </c>
      <c r="OV59" s="2">
        <v>0</v>
      </c>
      <c r="OW59" s="2">
        <v>-0.5</v>
      </c>
      <c r="OX59" s="2">
        <v>-0.4</v>
      </c>
      <c r="PC59" s="2">
        <v>2.7</v>
      </c>
      <c r="PD59" s="2">
        <v>0.1</v>
      </c>
      <c r="PE59" s="2">
        <v>-0.2</v>
      </c>
      <c r="PF59" s="2">
        <v>2.6</v>
      </c>
      <c r="PG59" s="2">
        <v>-0.5</v>
      </c>
      <c r="PH59" s="2">
        <v>-0.1</v>
      </c>
      <c r="PI59" s="2">
        <v>0.1</v>
      </c>
    </row>
    <row r="60">
      <c r="A60" t="inlineStr">
        <is>
          <t>A130396690F</t>
        </is>
      </c>
      <c r="B60" t="inlineStr">
        <is>
          <t>Percentage Change from Previous Period ;  Transport ;  Australia ;</t>
        </is>
      </c>
      <c r="C60" t="inlineStr">
        <is>
          <t>Month</t>
        </is>
      </c>
      <c r="D60" t="inlineStr">
        <is>
          <t>Percent</t>
        </is>
      </c>
      <c r="E60" t="inlineStr">
        <is>
          <t>Original</t>
        </is>
      </c>
      <c r="F60" t="inlineStr">
        <is>
          <t>640102.xlsx</t>
        </is>
      </c>
      <c r="G60" t="inlineStr">
        <is>
          <t>2024-05</t>
        </is>
      </c>
      <c r="H60" t="inlineStr">
        <is>
          <t>2026-07</t>
        </is>
      </c>
      <c r="OA60" s="2">
        <v>-1.7</v>
      </c>
      <c r="OB60" s="2">
        <v>0.2</v>
      </c>
      <c r="OC60" s="2">
        <v>-0.7</v>
      </c>
      <c r="OD60" s="2">
        <v>-1</v>
      </c>
      <c r="OE60" s="2">
        <v>-1.2</v>
      </c>
      <c r="OF60" s="2">
        <v>-0.2</v>
      </c>
      <c r="OG60" s="2">
        <v>0.4</v>
      </c>
      <c r="OH60" s="2">
        <v>1.1</v>
      </c>
      <c r="OM60" s="2">
        <v>-0.2</v>
      </c>
      <c r="ON60" s="2">
        <v>0.6</v>
      </c>
      <c r="OO60" s="2">
        <v>0</v>
      </c>
      <c r="OP60" s="2">
        <v>-0.6</v>
      </c>
      <c r="OQ60" s="2">
        <v>-0.8</v>
      </c>
      <c r="OR60" s="2">
        <v>0.4</v>
      </c>
      <c r="OS60" s="2">
        <v>1.1</v>
      </c>
      <c r="OT60" s="2">
        <v>0.3</v>
      </c>
      <c r="OU60" s="2">
        <v>0.1</v>
      </c>
      <c r="OV60" s="2">
        <v>0.3</v>
      </c>
      <c r="OW60" s="2">
        <v>0.3</v>
      </c>
      <c r="OX60" s="2">
        <v>0</v>
      </c>
      <c r="PC60" s="2">
        <v>-0.7</v>
      </c>
      <c r="PD60" s="2">
        <v>-0.7</v>
      </c>
      <c r="PE60" s="2">
        <v>9.199999999999999</v>
      </c>
      <c r="PF60" s="2">
        <v>-2.7</v>
      </c>
      <c r="PG60" s="2">
        <v>-3.9</v>
      </c>
      <c r="PH60" s="2">
        <v>-2.7</v>
      </c>
      <c r="PI60" s="2">
        <v>2.6</v>
      </c>
    </row>
    <row r="61">
      <c r="A61" t="inlineStr">
        <is>
          <t>A130391293K</t>
        </is>
      </c>
      <c r="B61" t="inlineStr">
        <is>
          <t>Percentage Change from Previous Period ;  Communication ;  Australia ;</t>
        </is>
      </c>
      <c r="C61" t="inlineStr">
        <is>
          <t>Month</t>
        </is>
      </c>
      <c r="D61" t="inlineStr">
        <is>
          <t>Percent</t>
        </is>
      </c>
      <c r="E61" t="inlineStr">
        <is>
          <t>Original</t>
        </is>
      </c>
      <c r="F61" t="inlineStr">
        <is>
          <t>640102.xlsx</t>
        </is>
      </c>
      <c r="G61" t="inlineStr">
        <is>
          <t>2024-05</t>
        </is>
      </c>
      <c r="H61" t="inlineStr">
        <is>
          <t>2026-07</t>
        </is>
      </c>
      <c r="OA61" s="2">
        <v>-0.6</v>
      </c>
      <c r="OB61" s="2">
        <v>-0.7</v>
      </c>
      <c r="OC61" s="2">
        <v>1.7</v>
      </c>
      <c r="OD61" s="2">
        <v>-0.5</v>
      </c>
      <c r="OE61" s="2">
        <v>0</v>
      </c>
      <c r="OF61" s="2">
        <v>0.6</v>
      </c>
      <c r="OG61" s="2">
        <v>-0.1</v>
      </c>
      <c r="OH61" s="2">
        <v>-0.2</v>
      </c>
      <c r="OM61" s="2">
        <v>-0.4</v>
      </c>
      <c r="ON61" s="2">
        <v>0.7</v>
      </c>
      <c r="OO61" s="2">
        <v>-0.1</v>
      </c>
      <c r="OP61" s="2">
        <v>0.3</v>
      </c>
      <c r="OQ61" s="2">
        <v>-0.4</v>
      </c>
      <c r="OR61" s="2">
        <v>-0.8</v>
      </c>
      <c r="OS61" s="2">
        <v>1.5</v>
      </c>
      <c r="OT61" s="2">
        <v>0.7</v>
      </c>
      <c r="OU61" s="2">
        <v>-0.2</v>
      </c>
      <c r="OV61" s="2">
        <v>-0.2</v>
      </c>
      <c r="OW61" s="2">
        <v>0.4</v>
      </c>
      <c r="OX61" s="2">
        <v>-0.4</v>
      </c>
      <c r="PC61" s="2">
        <v>-0.1</v>
      </c>
      <c r="PD61" s="2">
        <v>0.2</v>
      </c>
      <c r="PE61" s="2">
        <v>0.5</v>
      </c>
      <c r="PF61" s="2">
        <v>0.4</v>
      </c>
      <c r="PG61" s="2">
        <v>0.2</v>
      </c>
      <c r="PH61" s="2">
        <v>-0.7</v>
      </c>
      <c r="PI61" s="2">
        <v>1.8</v>
      </c>
    </row>
    <row r="62">
      <c r="A62" t="inlineStr">
        <is>
          <t>A130393834A</t>
        </is>
      </c>
      <c r="B62" t="inlineStr">
        <is>
          <t>Percentage Change from Previous Period ;  Recreation and culture ;  Australia ;</t>
        </is>
      </c>
      <c r="C62" t="inlineStr">
        <is>
          <t>Month</t>
        </is>
      </c>
      <c r="D62" t="inlineStr">
        <is>
          <t>Percent</t>
        </is>
      </c>
      <c r="E62" t="inlineStr">
        <is>
          <t>Original</t>
        </is>
      </c>
      <c r="F62" t="inlineStr">
        <is>
          <t>640102.xlsx</t>
        </is>
      </c>
      <c r="G62" t="inlineStr">
        <is>
          <t>2024-05</t>
        </is>
      </c>
      <c r="H62" t="inlineStr">
        <is>
          <t>2026-07</t>
        </is>
      </c>
      <c r="OA62" s="2">
        <v>-1</v>
      </c>
      <c r="OB62" s="2">
        <v>3.2</v>
      </c>
      <c r="OC62" s="2">
        <v>-0.9</v>
      </c>
      <c r="OD62" s="2">
        <v>-0.2</v>
      </c>
      <c r="OE62" s="2">
        <v>1.8</v>
      </c>
      <c r="OF62" s="2">
        <v>-1.5</v>
      </c>
      <c r="OG62" s="2">
        <v>0.1</v>
      </c>
      <c r="OH62" s="2">
        <v>4.9</v>
      </c>
      <c r="OM62" s="2">
        <v>-2.7</v>
      </c>
      <c r="ON62" s="2">
        <v>-3.4</v>
      </c>
      <c r="OO62" s="2">
        <v>0.5</v>
      </c>
      <c r="OP62" s="2">
        <v>2.9</v>
      </c>
      <c r="OQ62" s="2">
        <v>-3</v>
      </c>
      <c r="OR62" s="2">
        <v>0.9</v>
      </c>
      <c r="OS62" s="2">
        <v>2.5</v>
      </c>
      <c r="OT62" s="2">
        <v>-1.3</v>
      </c>
      <c r="OU62" s="2">
        <v>2.2</v>
      </c>
      <c r="OV62" s="2">
        <v>-0.2</v>
      </c>
      <c r="OW62" s="2">
        <v>-1.1</v>
      </c>
      <c r="OX62" s="2">
        <v>7.4</v>
      </c>
      <c r="PC62" s="2">
        <v>-3.4</v>
      </c>
      <c r="PD62" s="2">
        <v>-3</v>
      </c>
      <c r="PE62" s="2">
        <v>-0.7</v>
      </c>
      <c r="PF62" s="2">
        <v>2.6</v>
      </c>
      <c r="PG62" s="2">
        <v>-3.1</v>
      </c>
      <c r="PH62" s="2">
        <v>1.8</v>
      </c>
      <c r="PI62" s="2">
        <v>1.8</v>
      </c>
    </row>
    <row r="63">
      <c r="A63" t="inlineStr">
        <is>
          <t>A130390026X</t>
        </is>
      </c>
      <c r="B63" t="inlineStr">
        <is>
          <t>Percentage Change from Previous Period ;  Education ;  Australia ;</t>
        </is>
      </c>
      <c r="C63" t="inlineStr">
        <is>
          <t>Month</t>
        </is>
      </c>
      <c r="D63" t="inlineStr">
        <is>
          <t>Percent</t>
        </is>
      </c>
      <c r="E63" t="inlineStr">
        <is>
          <t>Original</t>
        </is>
      </c>
      <c r="F63" t="inlineStr">
        <is>
          <t>640102.xlsx</t>
        </is>
      </c>
      <c r="G63" t="inlineStr">
        <is>
          <t>2024-05</t>
        </is>
      </c>
      <c r="H63" t="inlineStr">
        <is>
          <t>2026-07</t>
        </is>
      </c>
      <c r="OA63" s="2">
        <v>0</v>
      </c>
      <c r="OB63" s="2">
        <v>0</v>
      </c>
      <c r="OC63" s="2">
        <v>0</v>
      </c>
      <c r="OD63" s="2">
        <v>0.1</v>
      </c>
      <c r="OE63" s="2">
        <v>0</v>
      </c>
      <c r="OF63" s="2">
        <v>0</v>
      </c>
      <c r="OG63" s="2">
        <v>0</v>
      </c>
      <c r="OH63" s="2">
        <v>0</v>
      </c>
      <c r="OM63" s="2">
        <v>0</v>
      </c>
      <c r="ON63" s="2">
        <v>5.1</v>
      </c>
      <c r="OO63" s="2">
        <v>0</v>
      </c>
      <c r="OP63" s="2">
        <v>0</v>
      </c>
      <c r="OQ63" s="2">
        <v>0</v>
      </c>
      <c r="OR63" s="2">
        <v>0</v>
      </c>
      <c r="OS63" s="2">
        <v>0</v>
      </c>
      <c r="OT63" s="2">
        <v>0.1</v>
      </c>
      <c r="OU63" s="2">
        <v>0</v>
      </c>
      <c r="OV63" s="2">
        <v>0</v>
      </c>
      <c r="OW63" s="2">
        <v>0</v>
      </c>
      <c r="OX63" s="2">
        <v>0</v>
      </c>
      <c r="PC63" s="2">
        <v>0</v>
      </c>
      <c r="PD63" s="2">
        <v>4.5</v>
      </c>
      <c r="PE63" s="2">
        <v>0</v>
      </c>
      <c r="PF63" s="2">
        <v>0</v>
      </c>
      <c r="PG63" s="2">
        <v>0</v>
      </c>
      <c r="PH63" s="2">
        <v>0</v>
      </c>
      <c r="PI63" s="2">
        <v>0</v>
      </c>
    </row>
    <row r="64">
      <c r="A64" t="inlineStr">
        <is>
          <t>A130392763K</t>
        </is>
      </c>
      <c r="B64" t="inlineStr">
        <is>
          <t>Percentage Change from Previous Period ;  Insurance and financial services ;  Australia ;</t>
        </is>
      </c>
      <c r="C64" t="inlineStr">
        <is>
          <t>Month</t>
        </is>
      </c>
      <c r="D64" t="inlineStr">
        <is>
          <t>Percent</t>
        </is>
      </c>
      <c r="E64" t="inlineStr">
        <is>
          <t>Original</t>
        </is>
      </c>
      <c r="F64" t="inlineStr">
        <is>
          <t>640102.xlsx</t>
        </is>
      </c>
      <c r="G64" t="inlineStr">
        <is>
          <t>2024-05</t>
        </is>
      </c>
      <c r="H64" t="inlineStr">
        <is>
          <t>2026-07</t>
        </is>
      </c>
      <c r="OA64" s="2">
        <v>0.2</v>
      </c>
      <c r="OB64" s="2">
        <v>0.7</v>
      </c>
      <c r="OC64" s="2">
        <v>0.2</v>
      </c>
      <c r="OD64" s="2">
        <v>0.1</v>
      </c>
      <c r="OE64" s="2">
        <v>0.7</v>
      </c>
      <c r="OF64" s="2">
        <v>0.2</v>
      </c>
      <c r="OG64" s="2">
        <v>0</v>
      </c>
      <c r="OH64" s="2">
        <v>0.5</v>
      </c>
      <c r="OM64" s="2">
        <v>0.4</v>
      </c>
      <c r="ON64" s="2">
        <v>0</v>
      </c>
      <c r="OO64" s="2">
        <v>0.4</v>
      </c>
      <c r="OP64" s="2">
        <v>-0.1</v>
      </c>
      <c r="OQ64" s="2">
        <v>-0.1</v>
      </c>
      <c r="OR64" s="2">
        <v>0.6</v>
      </c>
      <c r="OS64" s="2">
        <v>0.2</v>
      </c>
      <c r="OT64" s="2">
        <v>-0.1</v>
      </c>
      <c r="OU64" s="2">
        <v>0.3</v>
      </c>
      <c r="OV64" s="2">
        <v>0.2</v>
      </c>
      <c r="OW64" s="2">
        <v>0.1</v>
      </c>
      <c r="OX64" s="2">
        <v>0.5</v>
      </c>
      <c r="PC64" s="2">
        <v>0.3</v>
      </c>
      <c r="PD64" s="2">
        <v>0.1</v>
      </c>
      <c r="PE64" s="2">
        <v>0.8</v>
      </c>
      <c r="PF64" s="2">
        <v>0.1</v>
      </c>
      <c r="PG64" s="2">
        <v>0.2</v>
      </c>
      <c r="PH64" s="2">
        <v>0.5</v>
      </c>
      <c r="PI64" s="2">
        <v>0.2</v>
      </c>
    </row>
    <row r="65">
      <c r="A65" t="inlineStr">
        <is>
          <t>A130393720C</t>
        </is>
      </c>
      <c r="B65" t="inlineStr">
        <is>
          <t>Index Numbers ;  All groups CPI ;  Australia ;</t>
        </is>
      </c>
      <c r="C65" t="inlineStr">
        <is>
          <t>Month</t>
        </is>
      </c>
      <c r="D65" t="inlineStr">
        <is>
          <t>Index Numbers</t>
        </is>
      </c>
      <c r="E65" t="inlineStr">
        <is>
          <t>Original</t>
        </is>
      </c>
      <c r="F65" t="inlineStr">
        <is>
          <t>640103.xlsx</t>
        </is>
      </c>
      <c r="G65" t="inlineStr">
        <is>
          <t>2024-04</t>
        </is>
      </c>
      <c r="H65" t="inlineStr">
        <is>
          <t>2026-07</t>
        </is>
      </c>
      <c r="NZ65" s="2">
        <v>96.40000000000001</v>
      </c>
      <c r="OA65" s="2">
        <v>96.17</v>
      </c>
      <c r="OB65" s="2">
        <v>96.52</v>
      </c>
      <c r="OC65" s="2">
        <v>96.77</v>
      </c>
      <c r="OD65" s="2">
        <v>96.48999999999999</v>
      </c>
      <c r="OE65" s="2">
        <v>96.54000000000001</v>
      </c>
      <c r="OF65" s="2">
        <v>96.31999999999999</v>
      </c>
      <c r="OG65" s="2">
        <v>96.68000000000001</v>
      </c>
      <c r="OH65" s="2">
        <v>97.31</v>
      </c>
      <c r="OM65" s="2">
        <v>97.58</v>
      </c>
      <c r="ON65" s="2">
        <v>97.67</v>
      </c>
      <c r="OO65" s="2">
        <v>97.95999999999999</v>
      </c>
      <c r="OP65" s="2">
        <v>98.68000000000001</v>
      </c>
      <c r="OQ65" s="2">
        <v>98.2</v>
      </c>
      <c r="OR65" s="2">
        <v>98.34</v>
      </c>
      <c r="OS65" s="2">
        <v>99.63</v>
      </c>
      <c r="OT65" s="2">
        <v>99.55</v>
      </c>
      <c r="OU65" s="2">
        <v>100</v>
      </c>
      <c r="OV65" s="2">
        <v>99.98999999999999</v>
      </c>
      <c r="OW65" s="2">
        <v>100.01</v>
      </c>
      <c r="OX65" s="2">
        <v>100.97</v>
      </c>
      <c r="PC65" s="2">
        <v>101.33</v>
      </c>
      <c r="PD65" s="2">
        <v>101.31</v>
      </c>
      <c r="PE65" s="2">
        <v>102.44</v>
      </c>
      <c r="PF65" s="2">
        <v>102.8</v>
      </c>
      <c r="PG65" s="2">
        <v>102.09</v>
      </c>
      <c r="PH65" s="2">
        <v>102.03</v>
      </c>
      <c r="PI65" s="2">
        <v>103.07</v>
      </c>
    </row>
    <row r="66">
      <c r="A66" t="inlineStr">
        <is>
          <t>A130395477A</t>
        </is>
      </c>
      <c r="B66" t="inlineStr">
        <is>
          <t>Index Numbers ;  Food and non-alcoholic beverages ;  Australia ;</t>
        </is>
      </c>
      <c r="C66" t="inlineStr">
        <is>
          <t>Month</t>
        </is>
      </c>
      <c r="D66" t="inlineStr">
        <is>
          <t>Index Numbers</t>
        </is>
      </c>
      <c r="E66" t="inlineStr">
        <is>
          <t>Original</t>
        </is>
      </c>
      <c r="F66" t="inlineStr">
        <is>
          <t>640103.xlsx</t>
        </is>
      </c>
      <c r="G66" t="inlineStr">
        <is>
          <t>2024-04</t>
        </is>
      </c>
      <c r="H66" t="inlineStr">
        <is>
          <t>2026-07</t>
        </is>
      </c>
      <c r="NZ66" s="2">
        <v>96.18000000000001</v>
      </c>
      <c r="OA66" s="2">
        <v>96.61</v>
      </c>
      <c r="OB66" s="2">
        <v>96.48</v>
      </c>
      <c r="OC66" s="2">
        <v>97.16</v>
      </c>
      <c r="OD66" s="2">
        <v>97.36</v>
      </c>
      <c r="OE66" s="2">
        <v>96.89</v>
      </c>
      <c r="OF66" s="2">
        <v>97.03</v>
      </c>
      <c r="OG66" s="2">
        <v>97.31999999999999</v>
      </c>
      <c r="OH66" s="2">
        <v>97.56</v>
      </c>
      <c r="OM66" s="2">
        <v>98.36</v>
      </c>
      <c r="ON66" s="2">
        <v>98.23</v>
      </c>
      <c r="OO66" s="2">
        <v>98.89</v>
      </c>
      <c r="OP66" s="2">
        <v>99.27</v>
      </c>
      <c r="OQ66" s="2">
        <v>99.38</v>
      </c>
      <c r="OR66" s="2">
        <v>99.81</v>
      </c>
      <c r="OS66" s="2">
        <v>100.16</v>
      </c>
      <c r="OT66" s="2">
        <v>100.26</v>
      </c>
      <c r="OU66" s="2">
        <v>100</v>
      </c>
      <c r="OV66" s="2">
        <v>100.15</v>
      </c>
      <c r="OW66" s="2">
        <v>100.53</v>
      </c>
      <c r="OX66" s="2">
        <v>100.91</v>
      </c>
      <c r="PC66" s="2">
        <v>101.42</v>
      </c>
      <c r="PD66" s="2">
        <v>101.28</v>
      </c>
      <c r="PE66" s="2">
        <v>101.96</v>
      </c>
      <c r="PF66" s="2">
        <v>102.03</v>
      </c>
      <c r="PG66" s="2">
        <v>102.63</v>
      </c>
      <c r="PH66" s="2">
        <v>103.06</v>
      </c>
      <c r="PI66" s="2">
        <v>103.34</v>
      </c>
    </row>
    <row r="67">
      <c r="A67" t="inlineStr">
        <is>
          <t>A130391704T</t>
        </is>
      </c>
      <c r="B67" t="inlineStr">
        <is>
          <t>Index Numbers ;  Bread and cereal products ;  Australia ;</t>
        </is>
      </c>
      <c r="C67" t="inlineStr">
        <is>
          <t>Month</t>
        </is>
      </c>
      <c r="D67" t="inlineStr">
        <is>
          <t>Index Numbers</t>
        </is>
      </c>
      <c r="E67" t="inlineStr">
        <is>
          <t>Original</t>
        </is>
      </c>
      <c r="F67" t="inlineStr">
        <is>
          <t>640103.xlsx</t>
        </is>
      </c>
      <c r="G67" t="inlineStr">
        <is>
          <t>2017-09</t>
        </is>
      </c>
      <c r="H67" t="inlineStr">
        <is>
          <t>2026-07</t>
        </is>
      </c>
      <c r="JW67" s="2">
        <v>73.41</v>
      </c>
      <c r="JX67" s="2">
        <v>73.94</v>
      </c>
      <c r="JY67" s="2">
        <v>74.31999999999999</v>
      </c>
      <c r="JZ67" s="2">
        <v>74.95999999999999</v>
      </c>
      <c r="KE67" s="2">
        <v>74.81</v>
      </c>
      <c r="KF67" s="2">
        <v>73.95</v>
      </c>
      <c r="KG67" s="2">
        <v>74.17</v>
      </c>
      <c r="KH67" s="2">
        <v>73.88</v>
      </c>
      <c r="KI67" s="2">
        <v>73.81</v>
      </c>
      <c r="KJ67" s="2">
        <v>73.65000000000001</v>
      </c>
      <c r="KK67" s="2">
        <v>74.06999999999999</v>
      </c>
      <c r="KL67" s="2">
        <v>73.98</v>
      </c>
      <c r="KM67" s="2">
        <v>74.09999999999999</v>
      </c>
      <c r="KN67" s="2">
        <v>74.56</v>
      </c>
      <c r="KO67" s="2">
        <v>74.39</v>
      </c>
      <c r="KP67" s="2">
        <v>75.31</v>
      </c>
      <c r="KU67" s="2">
        <v>75.45999999999999</v>
      </c>
      <c r="KV67" s="2">
        <v>75.73</v>
      </c>
      <c r="KW67" s="2">
        <v>76.26000000000001</v>
      </c>
      <c r="KX67" s="2">
        <v>76.38</v>
      </c>
      <c r="KY67" s="2">
        <v>75.62</v>
      </c>
      <c r="KZ67" s="2">
        <v>76.23</v>
      </c>
      <c r="LA67" s="2">
        <v>76.3</v>
      </c>
      <c r="LB67" s="2">
        <v>77.38</v>
      </c>
      <c r="LC67" s="2">
        <v>77.23</v>
      </c>
      <c r="LD67" s="2">
        <v>77.40000000000001</v>
      </c>
      <c r="LE67" s="2">
        <v>77.65000000000001</v>
      </c>
      <c r="LF67" s="2">
        <v>78.48</v>
      </c>
      <c r="LK67" s="2">
        <v>78.48</v>
      </c>
      <c r="LL67" s="2">
        <v>78.31999999999999</v>
      </c>
      <c r="LM67" s="2">
        <v>80.76000000000001</v>
      </c>
      <c r="LN67" s="2">
        <v>81.58</v>
      </c>
      <c r="LO67" s="2">
        <v>80.02</v>
      </c>
      <c r="LP67" s="2">
        <v>79.13</v>
      </c>
      <c r="LQ67" s="2">
        <v>78.26000000000001</v>
      </c>
      <c r="LR67" s="2">
        <v>78.95999999999999</v>
      </c>
      <c r="LS67" s="2">
        <v>78.68000000000001</v>
      </c>
      <c r="LT67" s="2">
        <v>79.02</v>
      </c>
      <c r="LU67" s="2">
        <v>79.40000000000001</v>
      </c>
      <c r="LV67" s="2">
        <v>79.40000000000001</v>
      </c>
      <c r="MA67" s="2">
        <v>79.73999999999999</v>
      </c>
      <c r="MB67" s="2">
        <v>79.3</v>
      </c>
      <c r="MC67" s="2">
        <v>79.16</v>
      </c>
      <c r="MD67" s="2">
        <v>79.31</v>
      </c>
      <c r="ME67" s="2">
        <v>79.45</v>
      </c>
      <c r="MF67" s="2">
        <v>79.11</v>
      </c>
      <c r="MG67" s="2">
        <v>78.98</v>
      </c>
      <c r="MH67" s="2">
        <v>79.34999999999999</v>
      </c>
      <c r="MI67" s="2">
        <v>79.22</v>
      </c>
      <c r="MJ67" s="2">
        <v>79.45999999999999</v>
      </c>
      <c r="MK67" s="2">
        <v>80.09999999999999</v>
      </c>
      <c r="ML67" s="2">
        <v>80.73</v>
      </c>
      <c r="MQ67" s="2">
        <v>81.15000000000001</v>
      </c>
      <c r="MR67" s="2">
        <v>81.01000000000001</v>
      </c>
      <c r="MS67" s="2">
        <v>82.56</v>
      </c>
      <c r="MT67" s="2">
        <v>83.44</v>
      </c>
      <c r="MU67" s="2">
        <v>83.86</v>
      </c>
      <c r="MV67" s="2">
        <v>84.88</v>
      </c>
      <c r="MW67" s="2">
        <v>85.69</v>
      </c>
      <c r="MX67" s="2">
        <v>86.87</v>
      </c>
      <c r="MY67" s="2">
        <v>88.5</v>
      </c>
      <c r="MZ67" s="2">
        <v>88.97</v>
      </c>
      <c r="NA67" s="2">
        <v>89.73</v>
      </c>
      <c r="NB67" s="2">
        <v>91.2</v>
      </c>
      <c r="NG67" s="2">
        <v>91.36</v>
      </c>
      <c r="NH67" s="2">
        <v>91.16</v>
      </c>
      <c r="NI67" s="2">
        <v>91.45999999999999</v>
      </c>
      <c r="NJ67" s="2">
        <v>93.01000000000001</v>
      </c>
      <c r="NK67" s="2">
        <v>94.58</v>
      </c>
      <c r="NL67" s="2">
        <v>94.13</v>
      </c>
      <c r="NM67" s="2">
        <v>94.18000000000001</v>
      </c>
      <c r="NN67" s="2">
        <v>95.84999999999999</v>
      </c>
      <c r="NO67" s="2">
        <v>96.34999999999999</v>
      </c>
      <c r="NP67" s="2">
        <v>96.56</v>
      </c>
      <c r="NQ67" s="2">
        <v>97.12</v>
      </c>
      <c r="NR67" s="2">
        <v>98.25</v>
      </c>
      <c r="NW67" s="2">
        <v>98.14</v>
      </c>
      <c r="NX67" s="2">
        <v>97.54000000000001</v>
      </c>
      <c r="NY67" s="2">
        <v>98.15000000000001</v>
      </c>
      <c r="NZ67" s="2">
        <v>97.67</v>
      </c>
      <c r="OA67" s="2">
        <v>97.77</v>
      </c>
      <c r="OB67" s="2">
        <v>97.37</v>
      </c>
      <c r="OC67" s="2">
        <v>98.26000000000001</v>
      </c>
      <c r="OD67" s="2">
        <v>98.23999999999999</v>
      </c>
      <c r="OE67" s="2">
        <v>98.13</v>
      </c>
      <c r="OF67" s="2">
        <v>99.41</v>
      </c>
      <c r="OG67" s="2">
        <v>99.75</v>
      </c>
      <c r="OH67" s="2">
        <v>100.35</v>
      </c>
      <c r="OM67" s="2">
        <v>101.08</v>
      </c>
      <c r="ON67" s="2">
        <v>99.84</v>
      </c>
      <c r="OO67" s="2">
        <v>100.61</v>
      </c>
      <c r="OP67" s="2">
        <v>100.23</v>
      </c>
      <c r="OQ67" s="2">
        <v>99.66</v>
      </c>
      <c r="OR67" s="2">
        <v>99.52</v>
      </c>
      <c r="OS67" s="2">
        <v>100.22</v>
      </c>
      <c r="OT67" s="2">
        <v>100.27</v>
      </c>
      <c r="OU67" s="2">
        <v>100</v>
      </c>
      <c r="OV67" s="2">
        <v>100.09</v>
      </c>
      <c r="OW67" s="2">
        <v>100.91</v>
      </c>
      <c r="OX67" s="2">
        <v>101.83</v>
      </c>
      <c r="PC67" s="2">
        <v>102.03</v>
      </c>
      <c r="PD67" s="2">
        <v>100.85</v>
      </c>
      <c r="PE67" s="2">
        <v>101.19</v>
      </c>
      <c r="PF67" s="2">
        <v>100.93</v>
      </c>
      <c r="PG67" s="2">
        <v>101.18</v>
      </c>
      <c r="PH67" s="2">
        <v>101.85</v>
      </c>
      <c r="PI67" s="2">
        <v>101.54</v>
      </c>
    </row>
    <row r="68">
      <c r="A68" t="inlineStr">
        <is>
          <t>A130393202C</t>
        </is>
      </c>
      <c r="B68" t="inlineStr">
        <is>
          <t>Index Numbers ;  Bread ;  Australia ;</t>
        </is>
      </c>
      <c r="C68" t="inlineStr">
        <is>
          <t>Month</t>
        </is>
      </c>
      <c r="D68" t="inlineStr">
        <is>
          <t>Index Numbers</t>
        </is>
      </c>
      <c r="E68" t="inlineStr">
        <is>
          <t>Original</t>
        </is>
      </c>
      <c r="F68" t="inlineStr">
        <is>
          <t>640103.xlsx</t>
        </is>
      </c>
      <c r="G68" t="inlineStr">
        <is>
          <t>2017-09</t>
        </is>
      </c>
      <c r="H68" t="inlineStr">
        <is>
          <t>2026-07</t>
        </is>
      </c>
      <c r="JW68" s="2">
        <v>72.18000000000001</v>
      </c>
      <c r="JX68" s="2">
        <v>73.09</v>
      </c>
      <c r="JY68" s="2">
        <v>73.36</v>
      </c>
      <c r="JZ68" s="2">
        <v>74.11</v>
      </c>
      <c r="KE68" s="2">
        <v>73.69</v>
      </c>
      <c r="KF68" s="2">
        <v>73.43000000000001</v>
      </c>
      <c r="KG68" s="2">
        <v>73.45</v>
      </c>
      <c r="KH68" s="2">
        <v>72.84999999999999</v>
      </c>
      <c r="KI68" s="2">
        <v>73.56</v>
      </c>
      <c r="KJ68" s="2">
        <v>73.5</v>
      </c>
      <c r="KK68" s="2">
        <v>74.31</v>
      </c>
      <c r="KL68" s="2">
        <v>74.42</v>
      </c>
      <c r="KM68" s="2">
        <v>74.33</v>
      </c>
      <c r="KN68" s="2">
        <v>74.48</v>
      </c>
      <c r="KO68" s="2">
        <v>74.26000000000001</v>
      </c>
      <c r="KP68" s="2">
        <v>75.56</v>
      </c>
      <c r="KU68" s="2">
        <v>75.44</v>
      </c>
      <c r="KV68" s="2">
        <v>75.79000000000001</v>
      </c>
      <c r="KW68" s="2">
        <v>77.03</v>
      </c>
      <c r="KX68" s="2">
        <v>77.09</v>
      </c>
      <c r="KY68" s="2">
        <v>76.63</v>
      </c>
      <c r="KZ68" s="2">
        <v>76.59999999999999</v>
      </c>
      <c r="LA68" s="2">
        <v>76.75</v>
      </c>
      <c r="LB68" s="2">
        <v>77</v>
      </c>
      <c r="LC68" s="2">
        <v>76.55</v>
      </c>
      <c r="LD68" s="2">
        <v>76.70999999999999</v>
      </c>
      <c r="LE68" s="2">
        <v>76.73999999999999</v>
      </c>
      <c r="LF68" s="2">
        <v>77.28</v>
      </c>
      <c r="LK68" s="2">
        <v>77.40000000000001</v>
      </c>
      <c r="LL68" s="2">
        <v>77.45</v>
      </c>
      <c r="LM68" s="2">
        <v>78.73999999999999</v>
      </c>
      <c r="LN68" s="2">
        <v>78.54000000000001</v>
      </c>
      <c r="LO68" s="2">
        <v>77.78</v>
      </c>
      <c r="LP68" s="2">
        <v>77.54000000000001</v>
      </c>
      <c r="LQ68" s="2">
        <v>77.45</v>
      </c>
      <c r="LR68" s="2">
        <v>77.64</v>
      </c>
      <c r="LS68" s="2">
        <v>77.58</v>
      </c>
      <c r="LT68" s="2">
        <v>77.98999999999999</v>
      </c>
      <c r="LU68" s="2">
        <v>78.3</v>
      </c>
      <c r="LV68" s="2">
        <v>78.95</v>
      </c>
      <c r="MA68" s="2">
        <v>78.65000000000001</v>
      </c>
      <c r="MB68" s="2">
        <v>78.3</v>
      </c>
      <c r="MC68" s="2">
        <v>78.18000000000001</v>
      </c>
      <c r="MD68" s="2">
        <v>78.47</v>
      </c>
      <c r="ME68" s="2">
        <v>78.33</v>
      </c>
      <c r="MF68" s="2">
        <v>78.2</v>
      </c>
      <c r="MG68" s="2">
        <v>78.27</v>
      </c>
      <c r="MH68" s="2">
        <v>78.03</v>
      </c>
      <c r="MI68" s="2">
        <v>78.38</v>
      </c>
      <c r="MJ68" s="2">
        <v>78.29000000000001</v>
      </c>
      <c r="MK68" s="2">
        <v>78.73</v>
      </c>
      <c r="ML68" s="2">
        <v>79.16</v>
      </c>
      <c r="MQ68" s="2">
        <v>79.16</v>
      </c>
      <c r="MR68" s="2">
        <v>79.58</v>
      </c>
      <c r="MS68" s="2">
        <v>81.66</v>
      </c>
      <c r="MT68" s="2">
        <v>82.98</v>
      </c>
      <c r="MU68" s="2">
        <v>83.73</v>
      </c>
      <c r="MV68" s="2">
        <v>84.45</v>
      </c>
      <c r="MW68" s="2">
        <v>84.73</v>
      </c>
      <c r="MX68" s="2">
        <v>85.14</v>
      </c>
      <c r="MY68" s="2">
        <v>88.81</v>
      </c>
      <c r="MZ68" s="2">
        <v>88.54000000000001</v>
      </c>
      <c r="NA68" s="2">
        <v>88.92</v>
      </c>
      <c r="NB68" s="2">
        <v>89.92</v>
      </c>
      <c r="NG68" s="2">
        <v>90.98</v>
      </c>
      <c r="NH68" s="2">
        <v>90.84999999999999</v>
      </c>
      <c r="NI68" s="2">
        <v>90.73</v>
      </c>
      <c r="NJ68" s="2">
        <v>93.34</v>
      </c>
      <c r="NK68" s="2">
        <v>96.61</v>
      </c>
      <c r="NL68" s="2">
        <v>96.73</v>
      </c>
      <c r="NM68" s="2">
        <v>96.84999999999999</v>
      </c>
      <c r="NN68" s="2">
        <v>97.05</v>
      </c>
      <c r="NO68" s="2">
        <v>97.31</v>
      </c>
      <c r="NP68" s="2">
        <v>97.36</v>
      </c>
      <c r="NQ68" s="2">
        <v>97.59</v>
      </c>
      <c r="NR68" s="2">
        <v>98.06</v>
      </c>
      <c r="NW68" s="2">
        <v>98.27</v>
      </c>
      <c r="NX68" s="2">
        <v>98.59</v>
      </c>
      <c r="NY68" s="2">
        <v>98.37</v>
      </c>
      <c r="NZ68" s="2">
        <v>98.64</v>
      </c>
      <c r="OA68" s="2">
        <v>98.43000000000001</v>
      </c>
      <c r="OB68" s="2">
        <v>98.54000000000001</v>
      </c>
      <c r="OC68" s="2">
        <v>98.81999999999999</v>
      </c>
      <c r="OD68" s="2">
        <v>98.54000000000001</v>
      </c>
      <c r="OE68" s="2">
        <v>98.25</v>
      </c>
      <c r="OF68" s="2">
        <v>99.40000000000001</v>
      </c>
      <c r="OG68" s="2">
        <v>100.21</v>
      </c>
      <c r="OH68" s="2">
        <v>100.94</v>
      </c>
      <c r="OM68" s="2">
        <v>101.19</v>
      </c>
      <c r="ON68" s="2">
        <v>100.96</v>
      </c>
      <c r="OO68" s="2">
        <v>101.12</v>
      </c>
      <c r="OP68" s="2">
        <v>100.83</v>
      </c>
      <c r="OQ68" s="2">
        <v>100.37</v>
      </c>
      <c r="OR68" s="2">
        <v>100.03</v>
      </c>
      <c r="OS68" s="2">
        <v>100.14</v>
      </c>
      <c r="OT68" s="2">
        <v>100.09</v>
      </c>
      <c r="OU68" s="2">
        <v>100</v>
      </c>
      <c r="OV68" s="2">
        <v>100.49</v>
      </c>
      <c r="OW68" s="2">
        <v>100.84</v>
      </c>
      <c r="OX68" s="2">
        <v>101.31</v>
      </c>
      <c r="PC68" s="2">
        <v>101.65</v>
      </c>
      <c r="PD68" s="2">
        <v>101.68</v>
      </c>
      <c r="PE68" s="2">
        <v>102.05</v>
      </c>
      <c r="PF68" s="2">
        <v>101.98</v>
      </c>
      <c r="PG68" s="2">
        <v>102.47</v>
      </c>
      <c r="PH68" s="2">
        <v>102.71</v>
      </c>
      <c r="PI68" s="2">
        <v>102.75</v>
      </c>
    </row>
    <row r="69">
      <c r="A69" t="inlineStr">
        <is>
          <t>A130399324K</t>
        </is>
      </c>
      <c r="B69" t="inlineStr">
        <is>
          <t>Index Numbers ;  Cakes and biscuits ;  Australia ;</t>
        </is>
      </c>
      <c r="C69" t="inlineStr">
        <is>
          <t>Month</t>
        </is>
      </c>
      <c r="D69" t="inlineStr">
        <is>
          <t>Index Numbers</t>
        </is>
      </c>
      <c r="E69" t="inlineStr">
        <is>
          <t>Original</t>
        </is>
      </c>
      <c r="F69" t="inlineStr">
        <is>
          <t>640103.xlsx</t>
        </is>
      </c>
      <c r="G69" t="inlineStr">
        <is>
          <t>2017-09</t>
        </is>
      </c>
      <c r="H69" t="inlineStr">
        <is>
          <t>2026-07</t>
        </is>
      </c>
      <c r="JW69" s="2">
        <v>74.05</v>
      </c>
      <c r="JX69" s="2">
        <v>74.52</v>
      </c>
      <c r="JY69" s="2">
        <v>74.87</v>
      </c>
      <c r="JZ69" s="2">
        <v>74.56</v>
      </c>
      <c r="KE69" s="2">
        <v>75.66</v>
      </c>
      <c r="KF69" s="2">
        <v>74.41</v>
      </c>
      <c r="KG69" s="2">
        <v>74.61</v>
      </c>
      <c r="KH69" s="2">
        <v>74.5</v>
      </c>
      <c r="KI69" s="2">
        <v>73.67</v>
      </c>
      <c r="KJ69" s="2">
        <v>73.56</v>
      </c>
      <c r="KK69" s="2">
        <v>74.22</v>
      </c>
      <c r="KL69" s="2">
        <v>73.51000000000001</v>
      </c>
      <c r="KM69" s="2">
        <v>73.75</v>
      </c>
      <c r="KN69" s="2">
        <v>74.70999999999999</v>
      </c>
      <c r="KO69" s="2">
        <v>74.40000000000001</v>
      </c>
      <c r="KP69" s="2">
        <v>74.34</v>
      </c>
      <c r="KU69" s="2">
        <v>75.28</v>
      </c>
      <c r="KV69" s="2">
        <v>75.39</v>
      </c>
      <c r="KW69" s="2">
        <v>75.19</v>
      </c>
      <c r="KX69" s="2">
        <v>75.14</v>
      </c>
      <c r="KY69" s="2">
        <v>74.5</v>
      </c>
      <c r="KZ69" s="2">
        <v>76.11</v>
      </c>
      <c r="LA69" s="2">
        <v>75.55</v>
      </c>
      <c r="LB69" s="2">
        <v>77.40000000000001</v>
      </c>
      <c r="LC69" s="2">
        <v>77.7</v>
      </c>
      <c r="LD69" s="2">
        <v>77.89</v>
      </c>
      <c r="LE69" s="2">
        <v>78.34999999999999</v>
      </c>
      <c r="LF69" s="2">
        <v>78.67</v>
      </c>
      <c r="LK69" s="2">
        <v>79.02</v>
      </c>
      <c r="LL69" s="2">
        <v>78.28</v>
      </c>
      <c r="LM69" s="2">
        <v>80.48999999999999</v>
      </c>
      <c r="LN69" s="2">
        <v>81.36</v>
      </c>
      <c r="LO69" s="2">
        <v>79.23</v>
      </c>
      <c r="LP69" s="2">
        <v>78.91</v>
      </c>
      <c r="LQ69" s="2">
        <v>77.45999999999999</v>
      </c>
      <c r="LR69" s="2">
        <v>78.61</v>
      </c>
      <c r="LS69" s="2">
        <v>78.34</v>
      </c>
      <c r="LT69" s="2">
        <v>78.8</v>
      </c>
      <c r="LU69" s="2">
        <v>78.78</v>
      </c>
      <c r="LV69" s="2">
        <v>78.03</v>
      </c>
      <c r="MA69" s="2">
        <v>79.75</v>
      </c>
      <c r="MB69" s="2">
        <v>79.91</v>
      </c>
      <c r="MC69" s="2">
        <v>79.31</v>
      </c>
      <c r="MD69" s="2">
        <v>79.25</v>
      </c>
      <c r="ME69" s="2">
        <v>79.75</v>
      </c>
      <c r="MF69" s="2">
        <v>79.13</v>
      </c>
      <c r="MG69" s="2">
        <v>78.79000000000001</v>
      </c>
      <c r="MH69" s="2">
        <v>79.47</v>
      </c>
      <c r="MI69" s="2">
        <v>78.59</v>
      </c>
      <c r="MJ69" s="2">
        <v>79.47</v>
      </c>
      <c r="MK69" s="2">
        <v>80.23</v>
      </c>
      <c r="ML69" s="2">
        <v>80.66</v>
      </c>
      <c r="MQ69" s="2">
        <v>81.53</v>
      </c>
      <c r="MR69" s="2">
        <v>81.19</v>
      </c>
      <c r="MS69" s="2">
        <v>81.20999999999999</v>
      </c>
      <c r="MT69" s="2">
        <v>81.83</v>
      </c>
      <c r="MU69" s="2">
        <v>82.15000000000001</v>
      </c>
      <c r="MV69" s="2">
        <v>83.43000000000001</v>
      </c>
      <c r="MW69" s="2">
        <v>84.18000000000001</v>
      </c>
      <c r="MX69" s="2">
        <v>85.67</v>
      </c>
      <c r="MY69" s="2">
        <v>86.45</v>
      </c>
      <c r="MZ69" s="2">
        <v>88.05</v>
      </c>
      <c r="NA69" s="2">
        <v>88.28</v>
      </c>
      <c r="NB69" s="2">
        <v>89.73</v>
      </c>
      <c r="NG69" s="2">
        <v>89.84999999999999</v>
      </c>
      <c r="NH69" s="2">
        <v>90.05</v>
      </c>
      <c r="NI69" s="2">
        <v>89.79000000000001</v>
      </c>
      <c r="NJ69" s="2">
        <v>91.52</v>
      </c>
      <c r="NK69" s="2">
        <v>91.75</v>
      </c>
      <c r="NL69" s="2">
        <v>90.81</v>
      </c>
      <c r="NM69" s="2">
        <v>90.88</v>
      </c>
      <c r="NN69" s="2">
        <v>94.16</v>
      </c>
      <c r="NO69" s="2">
        <v>94.53</v>
      </c>
      <c r="NP69" s="2">
        <v>95.17</v>
      </c>
      <c r="NQ69" s="2">
        <v>95.43000000000001</v>
      </c>
      <c r="NR69" s="2">
        <v>96.42</v>
      </c>
      <c r="NW69" s="2">
        <v>96.8</v>
      </c>
      <c r="NX69" s="2">
        <v>96.03</v>
      </c>
      <c r="NY69" s="2">
        <v>97.15000000000001</v>
      </c>
      <c r="NZ69" s="2">
        <v>96.06999999999999</v>
      </c>
      <c r="OA69" s="2">
        <v>96.39</v>
      </c>
      <c r="OB69" s="2">
        <v>95.73999999999999</v>
      </c>
      <c r="OC69" s="2">
        <v>97.33</v>
      </c>
      <c r="OD69" s="2">
        <v>97.18000000000001</v>
      </c>
      <c r="OE69" s="2">
        <v>96.97</v>
      </c>
      <c r="OF69" s="2">
        <v>99.53</v>
      </c>
      <c r="OG69" s="2">
        <v>99.31</v>
      </c>
      <c r="OH69" s="2">
        <v>98.84</v>
      </c>
      <c r="OM69" s="2">
        <v>100.8</v>
      </c>
      <c r="ON69" s="2">
        <v>98.72</v>
      </c>
      <c r="OO69" s="2">
        <v>99.94</v>
      </c>
      <c r="OP69" s="2">
        <v>99.94</v>
      </c>
      <c r="OQ69" s="2">
        <v>99.08</v>
      </c>
      <c r="OR69" s="2">
        <v>99.31</v>
      </c>
      <c r="OS69" s="2">
        <v>100.81</v>
      </c>
      <c r="OT69" s="2">
        <v>100.75</v>
      </c>
      <c r="OU69" s="2">
        <v>100</v>
      </c>
      <c r="OV69" s="2">
        <v>100.1</v>
      </c>
      <c r="OW69" s="2">
        <v>100.83</v>
      </c>
      <c r="OX69" s="2">
        <v>101.17</v>
      </c>
      <c r="PC69" s="2">
        <v>102.62</v>
      </c>
      <c r="PD69" s="2">
        <v>99.93000000000001</v>
      </c>
      <c r="PE69" s="2">
        <v>100.46</v>
      </c>
      <c r="PF69" s="2">
        <v>100.03</v>
      </c>
      <c r="PG69" s="2">
        <v>100.38</v>
      </c>
      <c r="PH69" s="2">
        <v>101.18</v>
      </c>
      <c r="PI69" s="2">
        <v>101.13</v>
      </c>
    </row>
    <row r="70">
      <c r="A70" t="inlineStr">
        <is>
          <t>A130393223R</t>
        </is>
      </c>
      <c r="B70" t="inlineStr">
        <is>
          <t>Index Numbers ;  Breakfast cereals ;  Australia ;</t>
        </is>
      </c>
      <c r="C70" t="inlineStr">
        <is>
          <t>Month</t>
        </is>
      </c>
      <c r="D70" t="inlineStr">
        <is>
          <t>Index Numbers</t>
        </is>
      </c>
      <c r="E70" t="inlineStr">
        <is>
          <t>Original</t>
        </is>
      </c>
      <c r="F70" t="inlineStr">
        <is>
          <t>640103.xlsx</t>
        </is>
      </c>
      <c r="G70" t="inlineStr">
        <is>
          <t>2017-09</t>
        </is>
      </c>
      <c r="H70" t="inlineStr">
        <is>
          <t>2026-07</t>
        </is>
      </c>
      <c r="JW70" s="2">
        <v>72.89</v>
      </c>
      <c r="JX70" s="2">
        <v>71.86</v>
      </c>
      <c r="JY70" s="2">
        <v>73.61</v>
      </c>
      <c r="JZ70" s="2">
        <v>76.47</v>
      </c>
      <c r="KE70" s="2">
        <v>73.45999999999999</v>
      </c>
      <c r="KF70" s="2">
        <v>73.31</v>
      </c>
      <c r="KG70" s="2">
        <v>71.81</v>
      </c>
      <c r="KH70" s="2">
        <v>71.75</v>
      </c>
      <c r="KI70" s="2">
        <v>72.59</v>
      </c>
      <c r="KJ70" s="2">
        <v>72.75</v>
      </c>
      <c r="KK70" s="2">
        <v>71.55</v>
      </c>
      <c r="KL70" s="2">
        <v>72.81</v>
      </c>
      <c r="KM70" s="2">
        <v>73.59</v>
      </c>
      <c r="KN70" s="2">
        <v>74.22</v>
      </c>
      <c r="KO70" s="2">
        <v>75.16</v>
      </c>
      <c r="KP70" s="2">
        <v>76.87</v>
      </c>
      <c r="KU70" s="2">
        <v>75.5</v>
      </c>
      <c r="KV70" s="2">
        <v>75.75</v>
      </c>
      <c r="KW70" s="2">
        <v>77.18000000000001</v>
      </c>
      <c r="KX70" s="2">
        <v>77.47</v>
      </c>
      <c r="KY70" s="2">
        <v>74.83</v>
      </c>
      <c r="KZ70" s="2">
        <v>74.8</v>
      </c>
      <c r="LA70" s="2">
        <v>77.65000000000001</v>
      </c>
      <c r="LB70" s="2">
        <v>79.23999999999999</v>
      </c>
      <c r="LC70" s="2">
        <v>77.95</v>
      </c>
      <c r="LD70" s="2">
        <v>77.3</v>
      </c>
      <c r="LE70" s="2">
        <v>79.09</v>
      </c>
      <c r="LF70" s="2">
        <v>81.05</v>
      </c>
      <c r="LK70" s="2">
        <v>80.36</v>
      </c>
      <c r="LL70" s="2">
        <v>80.65000000000001</v>
      </c>
      <c r="LM70" s="2">
        <v>85.25</v>
      </c>
      <c r="LN70" s="2">
        <v>87.73999999999999</v>
      </c>
      <c r="LO70" s="2">
        <v>84.81999999999999</v>
      </c>
      <c r="LP70" s="2">
        <v>79.70999999999999</v>
      </c>
      <c r="LQ70" s="2">
        <v>78.86</v>
      </c>
      <c r="LR70" s="2">
        <v>81.09</v>
      </c>
      <c r="LS70" s="2">
        <v>80.47</v>
      </c>
      <c r="LT70" s="2">
        <v>79.77</v>
      </c>
      <c r="LU70" s="2">
        <v>83.14</v>
      </c>
      <c r="LV70" s="2">
        <v>82.84999999999999</v>
      </c>
      <c r="MA70" s="2">
        <v>82.08</v>
      </c>
      <c r="MB70" s="2">
        <v>79.53</v>
      </c>
      <c r="MC70" s="2">
        <v>80.34999999999999</v>
      </c>
      <c r="MD70" s="2">
        <v>80.11</v>
      </c>
      <c r="ME70" s="2">
        <v>80.66</v>
      </c>
      <c r="MF70" s="2">
        <v>80.83</v>
      </c>
      <c r="MG70" s="2">
        <v>80.36</v>
      </c>
      <c r="MH70" s="2">
        <v>80.68000000000001</v>
      </c>
      <c r="MI70" s="2">
        <v>81.95999999999999</v>
      </c>
      <c r="MJ70" s="2">
        <v>79.31</v>
      </c>
      <c r="MK70" s="2">
        <v>81.16</v>
      </c>
      <c r="ML70" s="2">
        <v>82.84</v>
      </c>
      <c r="MQ70" s="2">
        <v>82.90000000000001</v>
      </c>
      <c r="MR70" s="2">
        <v>78.97</v>
      </c>
      <c r="MS70" s="2">
        <v>87.09999999999999</v>
      </c>
      <c r="MT70" s="2">
        <v>87.87</v>
      </c>
      <c r="MU70" s="2">
        <v>85.90000000000001</v>
      </c>
      <c r="MV70" s="2">
        <v>88.06</v>
      </c>
      <c r="MW70" s="2">
        <v>88.89</v>
      </c>
      <c r="MX70" s="2">
        <v>92</v>
      </c>
      <c r="MY70" s="2">
        <v>92.55</v>
      </c>
      <c r="MZ70" s="2">
        <v>89.73999999999999</v>
      </c>
      <c r="NA70" s="2">
        <v>93.98</v>
      </c>
      <c r="NB70" s="2">
        <v>97.8</v>
      </c>
      <c r="NG70" s="2">
        <v>95.31</v>
      </c>
      <c r="NH70" s="2">
        <v>90.5</v>
      </c>
      <c r="NI70" s="2">
        <v>94.69</v>
      </c>
      <c r="NJ70" s="2">
        <v>92.17</v>
      </c>
      <c r="NK70" s="2">
        <v>95.7</v>
      </c>
      <c r="NL70" s="2">
        <v>95.34</v>
      </c>
      <c r="NM70" s="2">
        <v>94.59</v>
      </c>
      <c r="NN70" s="2">
        <v>96.09999999999999</v>
      </c>
      <c r="NO70" s="2">
        <v>98.27</v>
      </c>
      <c r="NP70" s="2">
        <v>98.22</v>
      </c>
      <c r="NQ70" s="2">
        <v>102.03</v>
      </c>
      <c r="NR70" s="2">
        <v>105.08</v>
      </c>
      <c r="NW70" s="2">
        <v>101.29</v>
      </c>
      <c r="NX70" s="2">
        <v>97.98</v>
      </c>
      <c r="NY70" s="2">
        <v>99.06999999999999</v>
      </c>
      <c r="NZ70" s="2">
        <v>99.03</v>
      </c>
      <c r="OA70" s="2">
        <v>98.58</v>
      </c>
      <c r="OB70" s="2">
        <v>97.22</v>
      </c>
      <c r="OC70" s="2">
        <v>97.20999999999999</v>
      </c>
      <c r="OD70" s="2">
        <v>100.84</v>
      </c>
      <c r="OE70" s="2">
        <v>101.1</v>
      </c>
      <c r="OF70" s="2">
        <v>97.7</v>
      </c>
      <c r="OG70" s="2">
        <v>99.83</v>
      </c>
      <c r="OH70" s="2">
        <v>103.96</v>
      </c>
      <c r="OM70" s="2">
        <v>102.28</v>
      </c>
      <c r="ON70" s="2">
        <v>100.07</v>
      </c>
      <c r="OO70" s="2">
        <v>101.07</v>
      </c>
      <c r="OP70" s="2">
        <v>99.67</v>
      </c>
      <c r="OQ70" s="2">
        <v>98.98</v>
      </c>
      <c r="OR70" s="2">
        <v>99.20999999999999</v>
      </c>
      <c r="OS70" s="2">
        <v>99.08</v>
      </c>
      <c r="OT70" s="2">
        <v>99.54000000000001</v>
      </c>
      <c r="OU70" s="2">
        <v>100</v>
      </c>
      <c r="OV70" s="2">
        <v>100.45</v>
      </c>
      <c r="OW70" s="2">
        <v>103.83</v>
      </c>
      <c r="OX70" s="2">
        <v>111.04</v>
      </c>
      <c r="PC70" s="2">
        <v>104.78</v>
      </c>
      <c r="PD70" s="2">
        <v>104.44</v>
      </c>
      <c r="PE70" s="2">
        <v>106.2</v>
      </c>
      <c r="PF70" s="2">
        <v>103.35</v>
      </c>
      <c r="PG70" s="2">
        <v>102.44</v>
      </c>
      <c r="PH70" s="2">
        <v>103.86</v>
      </c>
      <c r="PI70" s="2">
        <v>102.41</v>
      </c>
    </row>
    <row r="71">
      <c r="A71" t="inlineStr">
        <is>
          <t>A130398061A</t>
        </is>
      </c>
      <c r="B71" t="inlineStr">
        <is>
          <t>Index Numbers ;  Other cereal products ;  Australia ;</t>
        </is>
      </c>
      <c r="C71" t="inlineStr">
        <is>
          <t>Month</t>
        </is>
      </c>
      <c r="D71" t="inlineStr">
        <is>
          <t>Index Numbers</t>
        </is>
      </c>
      <c r="E71" t="inlineStr">
        <is>
          <t>Original</t>
        </is>
      </c>
      <c r="F71" t="inlineStr">
        <is>
          <t>640103.xlsx</t>
        </is>
      </c>
      <c r="G71" t="inlineStr">
        <is>
          <t>2017-09</t>
        </is>
      </c>
      <c r="H71" t="inlineStr">
        <is>
          <t>2026-07</t>
        </is>
      </c>
      <c r="JW71" s="2">
        <v>75.98</v>
      </c>
      <c r="JX71" s="2">
        <v>76.78</v>
      </c>
      <c r="JY71" s="2">
        <v>76.52</v>
      </c>
      <c r="JZ71" s="2">
        <v>78.81</v>
      </c>
      <c r="KE71" s="2">
        <v>76.83</v>
      </c>
      <c r="KF71" s="2">
        <v>74.92</v>
      </c>
      <c r="KG71" s="2">
        <v>77.28</v>
      </c>
      <c r="KH71" s="2">
        <v>77.17</v>
      </c>
      <c r="KI71" s="2">
        <v>76.81999999999999</v>
      </c>
      <c r="KJ71" s="2">
        <v>75.78</v>
      </c>
      <c r="KK71" s="2">
        <v>75.2</v>
      </c>
      <c r="KL71" s="2">
        <v>75.86</v>
      </c>
      <c r="KM71" s="2">
        <v>75.63</v>
      </c>
      <c r="KN71" s="2">
        <v>75.12</v>
      </c>
      <c r="KO71" s="2">
        <v>74.78</v>
      </c>
      <c r="KP71" s="2">
        <v>77.77</v>
      </c>
      <c r="KU71" s="2">
        <v>76.78</v>
      </c>
      <c r="KV71" s="2">
        <v>77.44</v>
      </c>
      <c r="KW71" s="2">
        <v>77.8</v>
      </c>
      <c r="KX71" s="2">
        <v>78.72</v>
      </c>
      <c r="KY71" s="2">
        <v>77.89</v>
      </c>
      <c r="KZ71" s="2">
        <v>77.20999999999999</v>
      </c>
      <c r="LA71" s="2">
        <v>77.36</v>
      </c>
      <c r="LB71" s="2">
        <v>77.73</v>
      </c>
      <c r="LC71" s="2">
        <v>77.76000000000001</v>
      </c>
      <c r="LD71" s="2">
        <v>78.44</v>
      </c>
      <c r="LE71" s="2">
        <v>77.43000000000001</v>
      </c>
      <c r="LF71" s="2">
        <v>80.38</v>
      </c>
      <c r="LK71" s="2">
        <v>79.15000000000001</v>
      </c>
      <c r="LL71" s="2">
        <v>80.17</v>
      </c>
      <c r="LM71" s="2">
        <v>85.75</v>
      </c>
      <c r="LN71" s="2">
        <v>88.59999999999999</v>
      </c>
      <c r="LO71" s="2">
        <v>87.52</v>
      </c>
      <c r="LP71" s="2">
        <v>85.53</v>
      </c>
      <c r="LQ71" s="2">
        <v>84.26000000000001</v>
      </c>
      <c r="LR71" s="2">
        <v>83.68000000000001</v>
      </c>
      <c r="LS71" s="2">
        <v>82.91</v>
      </c>
      <c r="LT71" s="2">
        <v>83.31</v>
      </c>
      <c r="LU71" s="2">
        <v>83.18000000000001</v>
      </c>
      <c r="LV71" s="2">
        <v>84.09999999999999</v>
      </c>
      <c r="MA71" s="2">
        <v>82.22</v>
      </c>
      <c r="MB71" s="2">
        <v>80.84999999999999</v>
      </c>
      <c r="MC71" s="2">
        <v>81.59999999999999</v>
      </c>
      <c r="MD71" s="2">
        <v>82.40000000000001</v>
      </c>
      <c r="ME71" s="2">
        <v>81.75</v>
      </c>
      <c r="MF71" s="2">
        <v>81.45</v>
      </c>
      <c r="MG71" s="2">
        <v>81.73</v>
      </c>
      <c r="MH71" s="2">
        <v>82.97</v>
      </c>
      <c r="MI71" s="2">
        <v>82.97</v>
      </c>
      <c r="MJ71" s="2">
        <v>83.93000000000001</v>
      </c>
      <c r="MK71" s="2">
        <v>83.97</v>
      </c>
      <c r="ML71" s="2">
        <v>85.23</v>
      </c>
      <c r="MQ71" s="2">
        <v>85.68000000000001</v>
      </c>
      <c r="MR71" s="2">
        <v>87.04000000000001</v>
      </c>
      <c r="MS71" s="2">
        <v>87.95999999999999</v>
      </c>
      <c r="MT71" s="2">
        <v>88.48</v>
      </c>
      <c r="MU71" s="2">
        <v>89.86</v>
      </c>
      <c r="MV71" s="2">
        <v>90.14</v>
      </c>
      <c r="MW71" s="2">
        <v>92.89</v>
      </c>
      <c r="MX71" s="2">
        <v>94.08</v>
      </c>
      <c r="MY71" s="2">
        <v>92.97</v>
      </c>
      <c r="MZ71" s="2">
        <v>93.76000000000001</v>
      </c>
      <c r="NA71" s="2">
        <v>95.45999999999999</v>
      </c>
      <c r="NB71" s="2">
        <v>96.95</v>
      </c>
      <c r="NG71" s="2">
        <v>96.09999999999999</v>
      </c>
      <c r="NH71" s="2">
        <v>97.2</v>
      </c>
      <c r="NI71" s="2">
        <v>98.38</v>
      </c>
      <c r="NJ71" s="2">
        <v>98.62</v>
      </c>
      <c r="NK71" s="2">
        <v>98.29000000000001</v>
      </c>
      <c r="NL71" s="2">
        <v>97.77</v>
      </c>
      <c r="NM71" s="2">
        <v>98.03</v>
      </c>
      <c r="NN71" s="2">
        <v>98.56999999999999</v>
      </c>
      <c r="NO71" s="2">
        <v>99.26000000000001</v>
      </c>
      <c r="NP71" s="2">
        <v>98.55</v>
      </c>
      <c r="NQ71" s="2">
        <v>99.16</v>
      </c>
      <c r="NR71" s="2">
        <v>101.69</v>
      </c>
      <c r="NW71" s="2">
        <v>100.84</v>
      </c>
      <c r="NX71" s="2">
        <v>99.39</v>
      </c>
      <c r="NY71" s="2">
        <v>100.53</v>
      </c>
      <c r="NZ71" s="2">
        <v>99.59999999999999</v>
      </c>
      <c r="OA71" s="2">
        <v>100.17</v>
      </c>
      <c r="OB71" s="2">
        <v>99.54000000000001</v>
      </c>
      <c r="OC71" s="2">
        <v>100.45</v>
      </c>
      <c r="OD71" s="2">
        <v>99.70999999999999</v>
      </c>
      <c r="OE71" s="2">
        <v>100.24</v>
      </c>
      <c r="OF71" s="2">
        <v>100.04</v>
      </c>
      <c r="OG71" s="2">
        <v>99.84</v>
      </c>
      <c r="OH71" s="2">
        <v>101.89</v>
      </c>
      <c r="OM71" s="2">
        <v>101.1</v>
      </c>
      <c r="ON71" s="2">
        <v>100.06</v>
      </c>
      <c r="OO71" s="2">
        <v>101.04</v>
      </c>
      <c r="OP71" s="2">
        <v>99.56</v>
      </c>
      <c r="OQ71" s="2">
        <v>99.76000000000001</v>
      </c>
      <c r="OR71" s="2">
        <v>98.76000000000001</v>
      </c>
      <c r="OS71" s="2">
        <v>99.01000000000001</v>
      </c>
      <c r="OT71" s="2">
        <v>99.56</v>
      </c>
      <c r="OU71" s="2">
        <v>100</v>
      </c>
      <c r="OV71" s="2">
        <v>98.52</v>
      </c>
      <c r="OW71" s="2">
        <v>99.87</v>
      </c>
      <c r="OX71" s="2">
        <v>101.04</v>
      </c>
      <c r="PC71" s="2">
        <v>99.72</v>
      </c>
      <c r="PD71" s="2">
        <v>99.45999999999999</v>
      </c>
      <c r="PE71" s="2">
        <v>98.31</v>
      </c>
      <c r="PF71" s="2">
        <v>99.40000000000001</v>
      </c>
      <c r="PG71" s="2">
        <v>99.09</v>
      </c>
      <c r="PH71" s="2">
        <v>100.32</v>
      </c>
      <c r="PI71" s="2">
        <v>98.52</v>
      </c>
    </row>
    <row r="72">
      <c r="A72" t="inlineStr">
        <is>
          <t>A130394364L</t>
        </is>
      </c>
      <c r="B72" t="inlineStr">
        <is>
          <t>Index Numbers ;  Meat and seafoods ;  Australia ;</t>
        </is>
      </c>
      <c r="C72" t="inlineStr">
        <is>
          <t>Month</t>
        </is>
      </c>
      <c r="D72" t="inlineStr">
        <is>
          <t>Index Numbers</t>
        </is>
      </c>
      <c r="E72" t="inlineStr">
        <is>
          <t>Original</t>
        </is>
      </c>
      <c r="F72" t="inlineStr">
        <is>
          <t>640103.xlsx</t>
        </is>
      </c>
      <c r="G72" t="inlineStr">
        <is>
          <t>2017-09</t>
        </is>
      </c>
      <c r="H72" t="inlineStr">
        <is>
          <t>2026-07</t>
        </is>
      </c>
      <c r="JW72" s="2">
        <v>75.65000000000001</v>
      </c>
      <c r="JX72" s="2">
        <v>76</v>
      </c>
      <c r="JY72" s="2">
        <v>76.27</v>
      </c>
      <c r="JZ72" s="2">
        <v>75.81999999999999</v>
      </c>
      <c r="KE72" s="2">
        <v>76.38</v>
      </c>
      <c r="KF72" s="2">
        <v>76.03</v>
      </c>
      <c r="KG72" s="2">
        <v>76.09</v>
      </c>
      <c r="KH72" s="2">
        <v>76.34999999999999</v>
      </c>
      <c r="KI72" s="2">
        <v>76.17</v>
      </c>
      <c r="KJ72" s="2">
        <v>76.15000000000001</v>
      </c>
      <c r="KK72" s="2">
        <v>76.11</v>
      </c>
      <c r="KL72" s="2">
        <v>76.65000000000001</v>
      </c>
      <c r="KM72" s="2">
        <v>76.89</v>
      </c>
      <c r="KN72" s="2">
        <v>77.38</v>
      </c>
      <c r="KO72" s="2">
        <v>77.78</v>
      </c>
      <c r="KP72" s="2">
        <v>78.02</v>
      </c>
      <c r="KU72" s="2">
        <v>78.98</v>
      </c>
      <c r="KV72" s="2">
        <v>79.45999999999999</v>
      </c>
      <c r="KW72" s="2">
        <v>79.13</v>
      </c>
      <c r="KX72" s="2">
        <v>78.72</v>
      </c>
      <c r="KY72" s="2">
        <v>79.59</v>
      </c>
      <c r="KZ72" s="2">
        <v>79.76000000000001</v>
      </c>
      <c r="LA72" s="2">
        <v>79.92</v>
      </c>
      <c r="LB72" s="2">
        <v>80.75</v>
      </c>
      <c r="LC72" s="2">
        <v>81.42</v>
      </c>
      <c r="LD72" s="2">
        <v>81.98999999999999</v>
      </c>
      <c r="LE72" s="2">
        <v>81.83</v>
      </c>
      <c r="LF72" s="2">
        <v>82.53</v>
      </c>
      <c r="LK72" s="2">
        <v>82.98</v>
      </c>
      <c r="LL72" s="2">
        <v>82.89</v>
      </c>
      <c r="LM72" s="2">
        <v>85.23</v>
      </c>
      <c r="LN72" s="2">
        <v>84.2</v>
      </c>
      <c r="LO72" s="2">
        <v>84.70999999999999</v>
      </c>
      <c r="LP72" s="2">
        <v>84.87</v>
      </c>
      <c r="LQ72" s="2">
        <v>85.29000000000001</v>
      </c>
      <c r="LR72" s="2">
        <v>85.81</v>
      </c>
      <c r="LS72" s="2">
        <v>85.37</v>
      </c>
      <c r="LT72" s="2">
        <v>85.14</v>
      </c>
      <c r="LU72" s="2">
        <v>85.59999999999999</v>
      </c>
      <c r="LV72" s="2">
        <v>86.45999999999999</v>
      </c>
      <c r="MA72" s="2">
        <v>86.63</v>
      </c>
      <c r="MB72" s="2">
        <v>86.70999999999999</v>
      </c>
      <c r="MC72" s="2">
        <v>86.79000000000001</v>
      </c>
      <c r="MD72" s="2">
        <v>87.17</v>
      </c>
      <c r="ME72" s="2">
        <v>87.44</v>
      </c>
      <c r="MF72" s="2">
        <v>87.31999999999999</v>
      </c>
      <c r="MG72" s="2">
        <v>87.53</v>
      </c>
      <c r="MH72" s="2">
        <v>87.8</v>
      </c>
      <c r="MI72" s="2">
        <v>87.68000000000001</v>
      </c>
      <c r="MJ72" s="2">
        <v>87.47</v>
      </c>
      <c r="MK72" s="2">
        <v>87.84999999999999</v>
      </c>
      <c r="ML72" s="2">
        <v>88.20999999999999</v>
      </c>
      <c r="MQ72" s="2">
        <v>91.05</v>
      </c>
      <c r="MR72" s="2">
        <v>92.92</v>
      </c>
      <c r="MS72" s="2">
        <v>91.8</v>
      </c>
      <c r="MT72" s="2">
        <v>91.90000000000001</v>
      </c>
      <c r="MU72" s="2">
        <v>92.81</v>
      </c>
      <c r="MV72" s="2">
        <v>92.88</v>
      </c>
      <c r="MW72" s="2">
        <v>93.73999999999999</v>
      </c>
      <c r="MX72" s="2">
        <v>94.11</v>
      </c>
      <c r="MY72" s="2">
        <v>94.3</v>
      </c>
      <c r="MZ72" s="2">
        <v>94.33</v>
      </c>
      <c r="NA72" s="2">
        <v>94.91</v>
      </c>
      <c r="NB72" s="2">
        <v>95.62</v>
      </c>
      <c r="NG72" s="2">
        <v>95.69</v>
      </c>
      <c r="NH72" s="2">
        <v>95.94</v>
      </c>
      <c r="NI72" s="2">
        <v>95.77</v>
      </c>
      <c r="NJ72" s="2">
        <v>96.01000000000001</v>
      </c>
      <c r="NK72" s="2">
        <v>96.38</v>
      </c>
      <c r="NL72" s="2">
        <v>95.37</v>
      </c>
      <c r="NM72" s="2">
        <v>95.98</v>
      </c>
      <c r="NN72" s="2">
        <v>96.53</v>
      </c>
      <c r="NO72" s="2">
        <v>95.95999999999999</v>
      </c>
      <c r="NP72" s="2">
        <v>96.01000000000001</v>
      </c>
      <c r="NQ72" s="2">
        <v>95.16</v>
      </c>
      <c r="NR72" s="2">
        <v>93.78</v>
      </c>
      <c r="NW72" s="2">
        <v>93.77</v>
      </c>
      <c r="NX72" s="2">
        <v>94.06999999999999</v>
      </c>
      <c r="NY72" s="2">
        <v>94.92</v>
      </c>
      <c r="NZ72" s="2">
        <v>95.5</v>
      </c>
      <c r="OA72" s="2">
        <v>95.77</v>
      </c>
      <c r="OB72" s="2">
        <v>95.23</v>
      </c>
      <c r="OC72" s="2">
        <v>96.2</v>
      </c>
      <c r="OD72" s="2">
        <v>96.77</v>
      </c>
      <c r="OE72" s="2">
        <v>96.73999999999999</v>
      </c>
      <c r="OF72" s="2">
        <v>97.20999999999999</v>
      </c>
      <c r="OG72" s="2">
        <v>97.45</v>
      </c>
      <c r="OH72" s="2">
        <v>97.56</v>
      </c>
      <c r="OM72" s="2">
        <v>98.22</v>
      </c>
      <c r="ON72" s="2">
        <v>98.23</v>
      </c>
      <c r="OO72" s="2">
        <v>98.5</v>
      </c>
      <c r="OP72" s="2">
        <v>97.91</v>
      </c>
      <c r="OQ72" s="2">
        <v>98.7</v>
      </c>
      <c r="OR72" s="2">
        <v>98.42</v>
      </c>
      <c r="OS72" s="2">
        <v>98.45999999999999</v>
      </c>
      <c r="OT72" s="2">
        <v>99.56</v>
      </c>
      <c r="OU72" s="2">
        <v>100</v>
      </c>
      <c r="OV72" s="2">
        <v>100.95</v>
      </c>
      <c r="OW72" s="2">
        <v>101.27</v>
      </c>
      <c r="OX72" s="2">
        <v>101.85</v>
      </c>
      <c r="PC72" s="2">
        <v>102.09</v>
      </c>
      <c r="PD72" s="2">
        <v>102.65</v>
      </c>
      <c r="PE72" s="2">
        <v>103.2</v>
      </c>
      <c r="PF72" s="2">
        <v>102.85</v>
      </c>
      <c r="PG72" s="2">
        <v>103.99</v>
      </c>
      <c r="PH72" s="2">
        <v>103.72</v>
      </c>
      <c r="PI72" s="2">
        <v>103.95</v>
      </c>
    </row>
    <row r="73">
      <c r="A73" t="inlineStr">
        <is>
          <t>A130393244A</t>
        </is>
      </c>
      <c r="B73" t="inlineStr">
        <is>
          <t>Index Numbers ;  Beef and veal ;  Australia ;</t>
        </is>
      </c>
      <c r="C73" t="inlineStr">
        <is>
          <t>Month</t>
        </is>
      </c>
      <c r="D73" t="inlineStr">
        <is>
          <t>Index Numbers</t>
        </is>
      </c>
      <c r="E73" t="inlineStr">
        <is>
          <t>Original</t>
        </is>
      </c>
      <c r="F73" t="inlineStr">
        <is>
          <t>640103.xlsx</t>
        </is>
      </c>
      <c r="G73" t="inlineStr">
        <is>
          <t>2017-09</t>
        </is>
      </c>
      <c r="H73" t="inlineStr">
        <is>
          <t>2026-07</t>
        </is>
      </c>
      <c r="JW73" s="2">
        <v>69.06</v>
      </c>
      <c r="JX73" s="2">
        <v>69.41</v>
      </c>
      <c r="JY73" s="2">
        <v>69.22</v>
      </c>
      <c r="JZ73" s="2">
        <v>68.88</v>
      </c>
      <c r="KE73" s="2">
        <v>69.73</v>
      </c>
      <c r="KF73" s="2">
        <v>69.78</v>
      </c>
      <c r="KG73" s="2">
        <v>69.67</v>
      </c>
      <c r="KH73" s="2">
        <v>69.29000000000001</v>
      </c>
      <c r="KI73" s="2">
        <v>68.40000000000001</v>
      </c>
      <c r="KJ73" s="2">
        <v>68.34</v>
      </c>
      <c r="KK73" s="2">
        <v>67.97</v>
      </c>
      <c r="KL73" s="2">
        <v>69.51000000000001</v>
      </c>
      <c r="KM73" s="2">
        <v>69.8</v>
      </c>
      <c r="KN73" s="2">
        <v>69.98</v>
      </c>
      <c r="KO73" s="2">
        <v>70.44</v>
      </c>
      <c r="KP73" s="2">
        <v>70.73999999999999</v>
      </c>
      <c r="KU73" s="2">
        <v>71.52</v>
      </c>
      <c r="KV73" s="2">
        <v>72.73</v>
      </c>
      <c r="KW73" s="2">
        <v>73.09</v>
      </c>
      <c r="KX73" s="2">
        <v>72.36</v>
      </c>
      <c r="KY73" s="2">
        <v>72.98</v>
      </c>
      <c r="KZ73" s="2">
        <v>73.06999999999999</v>
      </c>
      <c r="LA73" s="2">
        <v>73.06</v>
      </c>
      <c r="LB73" s="2">
        <v>73.56</v>
      </c>
      <c r="LC73" s="2">
        <v>75.31</v>
      </c>
      <c r="LD73" s="2">
        <v>76.05</v>
      </c>
      <c r="LE73" s="2">
        <v>75.8</v>
      </c>
      <c r="LF73" s="2">
        <v>77.08</v>
      </c>
      <c r="LK73" s="2">
        <v>77.84</v>
      </c>
      <c r="LL73" s="2">
        <v>77.91</v>
      </c>
      <c r="LM73" s="2">
        <v>79.53</v>
      </c>
      <c r="LN73" s="2">
        <v>75.88</v>
      </c>
      <c r="LO73" s="2">
        <v>78.88</v>
      </c>
      <c r="LP73" s="2">
        <v>79.63</v>
      </c>
      <c r="LQ73" s="2">
        <v>79.95</v>
      </c>
      <c r="LR73" s="2">
        <v>80.38</v>
      </c>
      <c r="LS73" s="2">
        <v>80.14</v>
      </c>
      <c r="LT73" s="2">
        <v>80.95999999999999</v>
      </c>
      <c r="LU73" s="2">
        <v>82.11</v>
      </c>
      <c r="LV73" s="2">
        <v>84.13</v>
      </c>
      <c r="MA73" s="2">
        <v>84.48</v>
      </c>
      <c r="MB73" s="2">
        <v>85.45</v>
      </c>
      <c r="MC73" s="2">
        <v>86.18000000000001</v>
      </c>
      <c r="MD73" s="2">
        <v>88.16</v>
      </c>
      <c r="ME73" s="2">
        <v>89.29000000000001</v>
      </c>
      <c r="MF73" s="2">
        <v>89.23999999999999</v>
      </c>
      <c r="MG73" s="2">
        <v>89.56</v>
      </c>
      <c r="MH73" s="2">
        <v>89.33</v>
      </c>
      <c r="MI73" s="2">
        <v>88.70999999999999</v>
      </c>
      <c r="MJ73" s="2">
        <v>88.78</v>
      </c>
      <c r="MK73" s="2">
        <v>88.95999999999999</v>
      </c>
      <c r="ML73" s="2">
        <v>90.45999999999999</v>
      </c>
      <c r="MQ73" s="2">
        <v>94.98</v>
      </c>
      <c r="MR73" s="2">
        <v>96.18000000000001</v>
      </c>
      <c r="MS73" s="2">
        <v>96.87</v>
      </c>
      <c r="MT73" s="2">
        <v>97.23999999999999</v>
      </c>
      <c r="MU73" s="2">
        <v>97.64</v>
      </c>
      <c r="MV73" s="2">
        <v>97.06</v>
      </c>
      <c r="MW73" s="2">
        <v>97.63</v>
      </c>
      <c r="MX73" s="2">
        <v>97.62</v>
      </c>
      <c r="MY73" s="2">
        <v>97.61</v>
      </c>
      <c r="MZ73" s="2">
        <v>97.38</v>
      </c>
      <c r="NA73" s="2">
        <v>97.04000000000001</v>
      </c>
      <c r="NB73" s="2">
        <v>97.62</v>
      </c>
      <c r="NG73" s="2">
        <v>97.40000000000001</v>
      </c>
      <c r="NH73" s="2">
        <v>97.17</v>
      </c>
      <c r="NI73" s="2">
        <v>96.8</v>
      </c>
      <c r="NJ73" s="2">
        <v>96.47</v>
      </c>
      <c r="NK73" s="2">
        <v>95.70999999999999</v>
      </c>
      <c r="NL73" s="2">
        <v>94.44</v>
      </c>
      <c r="NM73" s="2">
        <v>94.5</v>
      </c>
      <c r="NN73" s="2">
        <v>95</v>
      </c>
      <c r="NO73" s="2">
        <v>93.48</v>
      </c>
      <c r="NP73" s="2">
        <v>93.33</v>
      </c>
      <c r="NQ73" s="2">
        <v>92.95999999999999</v>
      </c>
      <c r="NR73" s="2">
        <v>92.55</v>
      </c>
      <c r="NW73" s="2">
        <v>92.31999999999999</v>
      </c>
      <c r="NX73" s="2">
        <v>90.90000000000001</v>
      </c>
      <c r="NY73" s="2">
        <v>91.29000000000001</v>
      </c>
      <c r="NZ73" s="2">
        <v>91.83</v>
      </c>
      <c r="OA73" s="2">
        <v>92.51000000000001</v>
      </c>
      <c r="OB73" s="2">
        <v>91.84999999999999</v>
      </c>
      <c r="OC73" s="2">
        <v>92.20999999999999</v>
      </c>
      <c r="OD73" s="2">
        <v>92.95</v>
      </c>
      <c r="OE73" s="2">
        <v>93.17</v>
      </c>
      <c r="OF73" s="2">
        <v>93.09</v>
      </c>
      <c r="OG73" s="2">
        <v>93.59</v>
      </c>
      <c r="OH73" s="2">
        <v>93.8</v>
      </c>
      <c r="OM73" s="2">
        <v>94.90000000000001</v>
      </c>
      <c r="ON73" s="2">
        <v>93.91</v>
      </c>
      <c r="OO73" s="2">
        <v>95.90000000000001</v>
      </c>
      <c r="OP73" s="2">
        <v>95.61</v>
      </c>
      <c r="OQ73" s="2">
        <v>95.84999999999999</v>
      </c>
      <c r="OR73" s="2">
        <v>97.40000000000001</v>
      </c>
      <c r="OS73" s="2">
        <v>96.87</v>
      </c>
      <c r="OT73" s="2">
        <v>98.52</v>
      </c>
      <c r="OU73" s="2">
        <v>100</v>
      </c>
      <c r="OV73" s="2">
        <v>102.86</v>
      </c>
      <c r="OW73" s="2">
        <v>104.21</v>
      </c>
      <c r="OX73" s="2">
        <v>103.95</v>
      </c>
      <c r="PC73" s="2">
        <v>105.56</v>
      </c>
      <c r="PD73" s="2">
        <v>106.6</v>
      </c>
      <c r="PE73" s="2">
        <v>107.26</v>
      </c>
      <c r="PF73" s="2">
        <v>107.02</v>
      </c>
      <c r="PG73" s="2">
        <v>108.57</v>
      </c>
      <c r="PH73" s="2">
        <v>109.03</v>
      </c>
      <c r="PI73" s="2">
        <v>109.06</v>
      </c>
    </row>
    <row r="74">
      <c r="A74" t="inlineStr">
        <is>
          <t>A130395337X</t>
        </is>
      </c>
      <c r="B74" t="inlineStr">
        <is>
          <t>Index Numbers ;  Pork ;  Australia ;</t>
        </is>
      </c>
      <c r="C74" t="inlineStr">
        <is>
          <t>Month</t>
        </is>
      </c>
      <c r="D74" t="inlineStr">
        <is>
          <t>Index Numbers</t>
        </is>
      </c>
      <c r="E74" t="inlineStr">
        <is>
          <t>Original</t>
        </is>
      </c>
      <c r="F74" t="inlineStr">
        <is>
          <t>640103.xlsx</t>
        </is>
      </c>
      <c r="G74" t="inlineStr">
        <is>
          <t>2017-09</t>
        </is>
      </c>
      <c r="H74" t="inlineStr">
        <is>
          <t>2026-07</t>
        </is>
      </c>
      <c r="JW74" s="2">
        <v>77.81</v>
      </c>
      <c r="JX74" s="2">
        <v>77.84</v>
      </c>
      <c r="JY74" s="2">
        <v>77.69</v>
      </c>
      <c r="JZ74" s="2">
        <v>77.92</v>
      </c>
      <c r="KE74" s="2">
        <v>77.97</v>
      </c>
      <c r="KF74" s="2">
        <v>78.20999999999999</v>
      </c>
      <c r="KG74" s="2">
        <v>78.84999999999999</v>
      </c>
      <c r="KH74" s="2">
        <v>77.84999999999999</v>
      </c>
      <c r="KI74" s="2">
        <v>77.5</v>
      </c>
      <c r="KJ74" s="2">
        <v>76.51000000000001</v>
      </c>
      <c r="KK74" s="2">
        <v>76.75</v>
      </c>
      <c r="KL74" s="2">
        <v>76.98</v>
      </c>
      <c r="KM74" s="2">
        <v>77.12</v>
      </c>
      <c r="KN74" s="2">
        <v>76.69</v>
      </c>
      <c r="KO74" s="2">
        <v>77.44</v>
      </c>
      <c r="KP74" s="2">
        <v>77.73</v>
      </c>
      <c r="KU74" s="2">
        <v>77.87</v>
      </c>
      <c r="KV74" s="2">
        <v>78.34999999999999</v>
      </c>
      <c r="KW74" s="2">
        <v>78.34999999999999</v>
      </c>
      <c r="KX74" s="2">
        <v>78.01000000000001</v>
      </c>
      <c r="KY74" s="2">
        <v>78.34</v>
      </c>
      <c r="KZ74" s="2">
        <v>78.43000000000001</v>
      </c>
      <c r="LA74" s="2">
        <v>78.95</v>
      </c>
      <c r="LB74" s="2">
        <v>79.81999999999999</v>
      </c>
      <c r="LC74" s="2">
        <v>80.98</v>
      </c>
      <c r="LD74" s="2">
        <v>83.23</v>
      </c>
      <c r="LE74" s="2">
        <v>83.95</v>
      </c>
      <c r="LF74" s="2">
        <v>83.70999999999999</v>
      </c>
      <c r="LK74" s="2">
        <v>84</v>
      </c>
      <c r="LL74" s="2">
        <v>84.3</v>
      </c>
      <c r="LM74" s="2">
        <v>86.45999999999999</v>
      </c>
      <c r="LN74" s="2">
        <v>86.81999999999999</v>
      </c>
      <c r="LO74" s="2">
        <v>86.25</v>
      </c>
      <c r="LP74" s="2">
        <v>85.66</v>
      </c>
      <c r="LQ74" s="2">
        <v>86.22</v>
      </c>
      <c r="LR74" s="2">
        <v>86.81</v>
      </c>
      <c r="LS74" s="2">
        <v>87.09999999999999</v>
      </c>
      <c r="LT74" s="2">
        <v>86.65000000000001</v>
      </c>
      <c r="LU74" s="2">
        <v>87.2</v>
      </c>
      <c r="LV74" s="2">
        <v>86.90000000000001</v>
      </c>
      <c r="MA74" s="2">
        <v>87.18000000000001</v>
      </c>
      <c r="MB74" s="2">
        <v>87.34</v>
      </c>
      <c r="MC74" s="2">
        <v>86.58</v>
      </c>
      <c r="MD74" s="2">
        <v>85.59</v>
      </c>
      <c r="ME74" s="2">
        <v>86.06999999999999</v>
      </c>
      <c r="MF74" s="2">
        <v>85.37</v>
      </c>
      <c r="MG74" s="2">
        <v>85.2</v>
      </c>
      <c r="MH74" s="2">
        <v>86.29000000000001</v>
      </c>
      <c r="MI74" s="2">
        <v>86.81999999999999</v>
      </c>
      <c r="MJ74" s="2">
        <v>86.81999999999999</v>
      </c>
      <c r="MK74" s="2">
        <v>87.94</v>
      </c>
      <c r="ML74" s="2">
        <v>86.84999999999999</v>
      </c>
      <c r="MQ74" s="2">
        <v>89.05</v>
      </c>
      <c r="MR74" s="2">
        <v>90.7</v>
      </c>
      <c r="MS74" s="2">
        <v>89.33</v>
      </c>
      <c r="MT74" s="2">
        <v>88.81999999999999</v>
      </c>
      <c r="MU74" s="2">
        <v>89.84</v>
      </c>
      <c r="MV74" s="2">
        <v>88.88</v>
      </c>
      <c r="MW74" s="2">
        <v>89.13</v>
      </c>
      <c r="MX74" s="2">
        <v>89.38</v>
      </c>
      <c r="MY74" s="2">
        <v>89.47</v>
      </c>
      <c r="MZ74" s="2">
        <v>90.28</v>
      </c>
      <c r="NA74" s="2">
        <v>91.47</v>
      </c>
      <c r="NB74" s="2">
        <v>92.40000000000001</v>
      </c>
      <c r="NG74" s="2">
        <v>92.45</v>
      </c>
      <c r="NH74" s="2">
        <v>93.40000000000001</v>
      </c>
      <c r="NI74" s="2">
        <v>93.45999999999999</v>
      </c>
      <c r="NJ74" s="2">
        <v>92.68000000000001</v>
      </c>
      <c r="NK74" s="2">
        <v>92.77</v>
      </c>
      <c r="NL74" s="2">
        <v>92.03</v>
      </c>
      <c r="NM74" s="2">
        <v>92.76000000000001</v>
      </c>
      <c r="NN74" s="2">
        <v>93.33</v>
      </c>
      <c r="NO74" s="2">
        <v>93.97</v>
      </c>
      <c r="NP74" s="2">
        <v>95.98999999999999</v>
      </c>
      <c r="NQ74" s="2">
        <v>96.88</v>
      </c>
      <c r="NR74" s="2">
        <v>96.29000000000001</v>
      </c>
      <c r="NW74" s="2">
        <v>97.2</v>
      </c>
      <c r="NX74" s="2">
        <v>96.66</v>
      </c>
      <c r="NY74" s="2">
        <v>96.97</v>
      </c>
      <c r="NZ74" s="2">
        <v>97.17</v>
      </c>
      <c r="OA74" s="2">
        <v>97.3</v>
      </c>
      <c r="OB74" s="2">
        <v>96.09</v>
      </c>
      <c r="OC74" s="2">
        <v>96.48999999999999</v>
      </c>
      <c r="OD74" s="2">
        <v>96.76000000000001</v>
      </c>
      <c r="OE74" s="2">
        <v>96.76000000000001</v>
      </c>
      <c r="OF74" s="2">
        <v>98.23</v>
      </c>
      <c r="OG74" s="2">
        <v>99.14</v>
      </c>
      <c r="OH74" s="2">
        <v>99.06999999999999</v>
      </c>
      <c r="OM74" s="2">
        <v>100.28</v>
      </c>
      <c r="ON74" s="2">
        <v>100.34</v>
      </c>
      <c r="OO74" s="2">
        <v>101.16</v>
      </c>
      <c r="OP74" s="2">
        <v>99.47</v>
      </c>
      <c r="OQ74" s="2">
        <v>100.64</v>
      </c>
      <c r="OR74" s="2">
        <v>99.44</v>
      </c>
      <c r="OS74" s="2">
        <v>99.86</v>
      </c>
      <c r="OT74" s="2">
        <v>100.16</v>
      </c>
      <c r="OU74" s="2">
        <v>100</v>
      </c>
      <c r="OV74" s="2">
        <v>99.61</v>
      </c>
      <c r="OW74" s="2">
        <v>100.39</v>
      </c>
      <c r="OX74" s="2">
        <v>99.76000000000001</v>
      </c>
      <c r="PC74" s="2">
        <v>100.78</v>
      </c>
      <c r="PD74" s="2">
        <v>100.87</v>
      </c>
      <c r="PE74" s="2">
        <v>101.05</v>
      </c>
      <c r="PF74" s="2">
        <v>101.2</v>
      </c>
      <c r="PG74" s="2">
        <v>101.94</v>
      </c>
      <c r="PH74" s="2">
        <v>101.9</v>
      </c>
      <c r="PI74" s="2">
        <v>101.19</v>
      </c>
    </row>
    <row r="75">
      <c r="A75" t="inlineStr">
        <is>
          <t>A130399373F</t>
        </is>
      </c>
      <c r="B75" t="inlineStr">
        <is>
          <t>Index Numbers ;  Lamb and goat ;  Australia ;</t>
        </is>
      </c>
      <c r="C75" t="inlineStr">
        <is>
          <t>Month</t>
        </is>
      </c>
      <c r="D75" t="inlineStr">
        <is>
          <t>Index Numbers</t>
        </is>
      </c>
      <c r="E75" t="inlineStr">
        <is>
          <t>Original</t>
        </is>
      </c>
      <c r="F75" t="inlineStr">
        <is>
          <t>640103.xlsx</t>
        </is>
      </c>
      <c r="G75" t="inlineStr">
        <is>
          <t>2017-09</t>
        </is>
      </c>
      <c r="H75" t="inlineStr">
        <is>
          <t>2026-07</t>
        </is>
      </c>
      <c r="JW75" s="2">
        <v>68.53</v>
      </c>
      <c r="JX75" s="2">
        <v>69.19</v>
      </c>
      <c r="JY75" s="2">
        <v>69.69</v>
      </c>
      <c r="JZ75" s="2">
        <v>68.81</v>
      </c>
      <c r="KE75" s="2">
        <v>69.05</v>
      </c>
      <c r="KF75" s="2">
        <v>68.95</v>
      </c>
      <c r="KG75" s="2">
        <v>69.48</v>
      </c>
      <c r="KH75" s="2">
        <v>70.88</v>
      </c>
      <c r="KI75" s="2">
        <v>70.34999999999999</v>
      </c>
      <c r="KJ75" s="2">
        <v>70.63</v>
      </c>
      <c r="KK75" s="2">
        <v>70.42</v>
      </c>
      <c r="KL75" s="2">
        <v>72.09</v>
      </c>
      <c r="KM75" s="2">
        <v>73.95999999999999</v>
      </c>
      <c r="KN75" s="2">
        <v>76.98</v>
      </c>
      <c r="KO75" s="2">
        <v>77.19</v>
      </c>
      <c r="KP75" s="2">
        <v>77.36</v>
      </c>
      <c r="KU75" s="2">
        <v>79.89</v>
      </c>
      <c r="KV75" s="2">
        <v>80.01000000000001</v>
      </c>
      <c r="KW75" s="2">
        <v>80.27</v>
      </c>
      <c r="KX75" s="2">
        <v>80.28</v>
      </c>
      <c r="KY75" s="2">
        <v>80.59</v>
      </c>
      <c r="KZ75" s="2">
        <v>80.91</v>
      </c>
      <c r="LA75" s="2">
        <v>81.23999999999999</v>
      </c>
      <c r="LB75" s="2">
        <v>83.17</v>
      </c>
      <c r="LC75" s="2">
        <v>83.59999999999999</v>
      </c>
      <c r="LD75" s="2">
        <v>82.94</v>
      </c>
      <c r="LE75" s="2">
        <v>81.81</v>
      </c>
      <c r="LF75" s="2">
        <v>81.51000000000001</v>
      </c>
      <c r="LK75" s="2">
        <v>82.7</v>
      </c>
      <c r="LL75" s="2">
        <v>83.73</v>
      </c>
      <c r="LM75" s="2">
        <v>87.11</v>
      </c>
      <c r="LN75" s="2">
        <v>84.54000000000001</v>
      </c>
      <c r="LO75" s="2">
        <v>84.45999999999999</v>
      </c>
      <c r="LP75" s="2">
        <v>86.02</v>
      </c>
      <c r="LQ75" s="2">
        <v>86.77</v>
      </c>
      <c r="LR75" s="2">
        <v>87.31999999999999</v>
      </c>
      <c r="LS75" s="2">
        <v>83.98999999999999</v>
      </c>
      <c r="LT75" s="2">
        <v>83.01000000000001</v>
      </c>
      <c r="LU75" s="2">
        <v>83.31999999999999</v>
      </c>
      <c r="LV75" s="2">
        <v>85.27</v>
      </c>
      <c r="MA75" s="2">
        <v>85.79000000000001</v>
      </c>
      <c r="MB75" s="2">
        <v>86.73999999999999</v>
      </c>
      <c r="MC75" s="2">
        <v>87.47</v>
      </c>
      <c r="MD75" s="2">
        <v>86.95999999999999</v>
      </c>
      <c r="ME75" s="2">
        <v>86.23999999999999</v>
      </c>
      <c r="MF75" s="2">
        <v>86.34</v>
      </c>
      <c r="MG75" s="2">
        <v>86.77</v>
      </c>
      <c r="MH75" s="2">
        <v>86.97</v>
      </c>
      <c r="MI75" s="2">
        <v>86.03</v>
      </c>
      <c r="MJ75" s="2">
        <v>86.22</v>
      </c>
      <c r="MK75" s="2">
        <v>86.13</v>
      </c>
      <c r="ML75" s="2">
        <v>86.39</v>
      </c>
      <c r="MQ75" s="2">
        <v>91.31</v>
      </c>
      <c r="MR75" s="2">
        <v>93.66</v>
      </c>
      <c r="MS75" s="2">
        <v>91.87</v>
      </c>
      <c r="MT75" s="2">
        <v>91.7</v>
      </c>
      <c r="MU75" s="2">
        <v>93</v>
      </c>
      <c r="MV75" s="2">
        <v>92.84</v>
      </c>
      <c r="MW75" s="2">
        <v>92.83</v>
      </c>
      <c r="MX75" s="2">
        <v>91.58</v>
      </c>
      <c r="MY75" s="2">
        <v>90.27</v>
      </c>
      <c r="MZ75" s="2">
        <v>89.14</v>
      </c>
      <c r="NA75" s="2">
        <v>89.56999999999999</v>
      </c>
      <c r="NB75" s="2">
        <v>89.09</v>
      </c>
      <c r="NG75" s="2">
        <v>90.51000000000001</v>
      </c>
      <c r="NH75" s="2">
        <v>90.70999999999999</v>
      </c>
      <c r="NI75" s="2">
        <v>89.83</v>
      </c>
      <c r="NJ75" s="2">
        <v>90.92</v>
      </c>
      <c r="NK75" s="2">
        <v>91.16</v>
      </c>
      <c r="NL75" s="2">
        <v>89.5</v>
      </c>
      <c r="NM75" s="2">
        <v>88.54000000000001</v>
      </c>
      <c r="NN75" s="2">
        <v>87.59</v>
      </c>
      <c r="NO75" s="2">
        <v>82.90000000000001</v>
      </c>
      <c r="NP75" s="2">
        <v>80.90000000000001</v>
      </c>
      <c r="NQ75" s="2">
        <v>75.69</v>
      </c>
      <c r="NR75" s="2">
        <v>70.87</v>
      </c>
      <c r="NW75" s="2">
        <v>71.12</v>
      </c>
      <c r="NX75" s="2">
        <v>75.59</v>
      </c>
      <c r="NY75" s="2">
        <v>78.92</v>
      </c>
      <c r="NZ75" s="2">
        <v>79.59999999999999</v>
      </c>
      <c r="OA75" s="2">
        <v>80.70999999999999</v>
      </c>
      <c r="OB75" s="2">
        <v>81.66</v>
      </c>
      <c r="OC75" s="2">
        <v>84.90000000000001</v>
      </c>
      <c r="OD75" s="2">
        <v>87.31999999999999</v>
      </c>
      <c r="OE75" s="2">
        <v>88.54000000000001</v>
      </c>
      <c r="OF75" s="2">
        <v>88.63</v>
      </c>
      <c r="OG75" s="2">
        <v>89.48</v>
      </c>
      <c r="OH75" s="2">
        <v>88.88</v>
      </c>
      <c r="OM75" s="2">
        <v>89.62</v>
      </c>
      <c r="ON75" s="2">
        <v>90.61</v>
      </c>
      <c r="OO75" s="2">
        <v>89.8</v>
      </c>
      <c r="OP75" s="2">
        <v>89.70999999999999</v>
      </c>
      <c r="OQ75" s="2">
        <v>90.98999999999999</v>
      </c>
      <c r="OR75" s="2">
        <v>90.48999999999999</v>
      </c>
      <c r="OS75" s="2">
        <v>91.84999999999999</v>
      </c>
      <c r="OT75" s="2">
        <v>95.16</v>
      </c>
      <c r="OU75" s="2">
        <v>100</v>
      </c>
      <c r="OV75" s="2">
        <v>101.59</v>
      </c>
      <c r="OW75" s="2">
        <v>100.47</v>
      </c>
      <c r="OX75" s="2">
        <v>100.76</v>
      </c>
      <c r="PC75" s="2">
        <v>99.01000000000001</v>
      </c>
      <c r="PD75" s="2">
        <v>102.27</v>
      </c>
      <c r="PE75" s="2">
        <v>103.73</v>
      </c>
      <c r="PF75" s="2">
        <v>102.77</v>
      </c>
      <c r="PG75" s="2">
        <v>104.43</v>
      </c>
      <c r="PH75" s="2">
        <v>103.93</v>
      </c>
      <c r="PI75" s="2">
        <v>104.95</v>
      </c>
    </row>
    <row r="76">
      <c r="A76" t="inlineStr">
        <is>
          <t>A130391921L</t>
        </is>
      </c>
      <c r="B76" t="inlineStr">
        <is>
          <t>Index Numbers ;  Poultry ;  Australia ;</t>
        </is>
      </c>
      <c r="C76" t="inlineStr">
        <is>
          <t>Month</t>
        </is>
      </c>
      <c r="D76" t="inlineStr">
        <is>
          <t>Index Numbers</t>
        </is>
      </c>
      <c r="E76" t="inlineStr">
        <is>
          <t>Original</t>
        </is>
      </c>
      <c r="F76" t="inlineStr">
        <is>
          <t>640103.xlsx</t>
        </is>
      </c>
      <c r="G76" t="inlineStr">
        <is>
          <t>2017-09</t>
        </is>
      </c>
      <c r="H76" t="inlineStr">
        <is>
          <t>2026-07</t>
        </is>
      </c>
      <c r="JW76" s="2">
        <v>81.37</v>
      </c>
      <c r="JX76" s="2">
        <v>81.65000000000001</v>
      </c>
      <c r="JY76" s="2">
        <v>82.25</v>
      </c>
      <c r="JZ76" s="2">
        <v>81.67</v>
      </c>
      <c r="KE76" s="2">
        <v>82.45</v>
      </c>
      <c r="KF76" s="2">
        <v>82.34</v>
      </c>
      <c r="KG76" s="2">
        <v>81.95999999999999</v>
      </c>
      <c r="KH76" s="2">
        <v>82.08</v>
      </c>
      <c r="KI76" s="2">
        <v>81.69</v>
      </c>
      <c r="KJ76" s="2">
        <v>82.23999999999999</v>
      </c>
      <c r="KK76" s="2">
        <v>83.13</v>
      </c>
      <c r="KL76" s="2">
        <v>82.51000000000001</v>
      </c>
      <c r="KM76" s="2">
        <v>82.69</v>
      </c>
      <c r="KN76" s="2">
        <v>82.65000000000001</v>
      </c>
      <c r="KO76" s="2">
        <v>83.3</v>
      </c>
      <c r="KP76" s="2">
        <v>83.97</v>
      </c>
      <c r="KU76" s="2">
        <v>85.62</v>
      </c>
      <c r="KV76" s="2">
        <v>86.2</v>
      </c>
      <c r="KW76" s="2">
        <v>85.5</v>
      </c>
      <c r="KX76" s="2">
        <v>85.23999999999999</v>
      </c>
      <c r="KY76" s="2">
        <v>85.77</v>
      </c>
      <c r="KZ76" s="2">
        <v>86.31999999999999</v>
      </c>
      <c r="LA76" s="2">
        <v>86.56</v>
      </c>
      <c r="LB76" s="2">
        <v>87.55</v>
      </c>
      <c r="LC76" s="2">
        <v>87.02</v>
      </c>
      <c r="LD76" s="2">
        <v>86.20999999999999</v>
      </c>
      <c r="LE76" s="2">
        <v>86.26000000000001</v>
      </c>
      <c r="LF76" s="2">
        <v>86.54000000000001</v>
      </c>
      <c r="LK76" s="2">
        <v>86.59</v>
      </c>
      <c r="LL76" s="2">
        <v>86.51000000000001</v>
      </c>
      <c r="LM76" s="2">
        <v>88.06</v>
      </c>
      <c r="LN76" s="2">
        <v>85.87</v>
      </c>
      <c r="LO76" s="2">
        <v>85.81</v>
      </c>
      <c r="LP76" s="2">
        <v>85.79000000000001</v>
      </c>
      <c r="LQ76" s="2">
        <v>87.05</v>
      </c>
      <c r="LR76" s="2">
        <v>87.41</v>
      </c>
      <c r="LS76" s="2">
        <v>87.12</v>
      </c>
      <c r="LT76" s="2">
        <v>85.93000000000001</v>
      </c>
      <c r="LU76" s="2">
        <v>86.20999999999999</v>
      </c>
      <c r="LV76" s="2">
        <v>87.54000000000001</v>
      </c>
      <c r="MA76" s="2">
        <v>87.56</v>
      </c>
      <c r="MB76" s="2">
        <v>87.5</v>
      </c>
      <c r="MC76" s="2">
        <v>87.14</v>
      </c>
      <c r="MD76" s="2">
        <v>87.3</v>
      </c>
      <c r="ME76" s="2">
        <v>86.78</v>
      </c>
      <c r="MF76" s="2">
        <v>86.81</v>
      </c>
      <c r="MG76" s="2">
        <v>86.97</v>
      </c>
      <c r="MH76" s="2">
        <v>86.67</v>
      </c>
      <c r="MI76" s="2">
        <v>87.23</v>
      </c>
      <c r="MJ76" s="2">
        <v>86.40000000000001</v>
      </c>
      <c r="MK76" s="2">
        <v>86.13</v>
      </c>
      <c r="ML76" s="2">
        <v>86.40000000000001</v>
      </c>
      <c r="MQ76" s="2">
        <v>88.54000000000001</v>
      </c>
      <c r="MR76" s="2">
        <v>90.38</v>
      </c>
      <c r="MS76" s="2">
        <v>90.64</v>
      </c>
      <c r="MT76" s="2">
        <v>91.28</v>
      </c>
      <c r="MU76" s="2">
        <v>91.88</v>
      </c>
      <c r="MV76" s="2">
        <v>91.16</v>
      </c>
      <c r="MW76" s="2">
        <v>92.59999999999999</v>
      </c>
      <c r="MX76" s="2">
        <v>94.61</v>
      </c>
      <c r="MY76" s="2">
        <v>95.78</v>
      </c>
      <c r="MZ76" s="2">
        <v>94.95</v>
      </c>
      <c r="NA76" s="2">
        <v>95.3</v>
      </c>
      <c r="NB76" s="2">
        <v>95.98999999999999</v>
      </c>
      <c r="NG76" s="2">
        <v>95.95</v>
      </c>
      <c r="NH76" s="2">
        <v>96.43000000000001</v>
      </c>
      <c r="NI76" s="2">
        <v>97.16</v>
      </c>
      <c r="NJ76" s="2">
        <v>98.15000000000001</v>
      </c>
      <c r="NK76" s="2">
        <v>99.20999999999999</v>
      </c>
      <c r="NL76" s="2">
        <v>98.45</v>
      </c>
      <c r="NM76" s="2">
        <v>99.37</v>
      </c>
      <c r="NN76" s="2">
        <v>99.98999999999999</v>
      </c>
      <c r="NO76" s="2">
        <v>99.73999999999999</v>
      </c>
      <c r="NP76" s="2">
        <v>99</v>
      </c>
      <c r="NQ76" s="2">
        <v>98.06</v>
      </c>
      <c r="NR76" s="2">
        <v>97.7</v>
      </c>
      <c r="NW76" s="2">
        <v>98.36</v>
      </c>
      <c r="NX76" s="2">
        <v>98.31999999999999</v>
      </c>
      <c r="NY76" s="2">
        <v>98.8</v>
      </c>
      <c r="NZ76" s="2">
        <v>99.11</v>
      </c>
      <c r="OA76" s="2">
        <v>99.56999999999999</v>
      </c>
      <c r="OB76" s="2">
        <v>98.81</v>
      </c>
      <c r="OC76" s="2">
        <v>100.77</v>
      </c>
      <c r="OD76" s="2">
        <v>101.1</v>
      </c>
      <c r="OE76" s="2">
        <v>100.4</v>
      </c>
      <c r="OF76" s="2">
        <v>101.15</v>
      </c>
      <c r="OG76" s="2">
        <v>100.85</v>
      </c>
      <c r="OH76" s="2">
        <v>100.47</v>
      </c>
      <c r="OM76" s="2">
        <v>101.94</v>
      </c>
      <c r="ON76" s="2">
        <v>101.61</v>
      </c>
      <c r="OO76" s="2">
        <v>101.4</v>
      </c>
      <c r="OP76" s="2">
        <v>100.13</v>
      </c>
      <c r="OQ76" s="2">
        <v>100.6</v>
      </c>
      <c r="OR76" s="2">
        <v>99.92</v>
      </c>
      <c r="OS76" s="2">
        <v>100.21</v>
      </c>
      <c r="OT76" s="2">
        <v>100.72</v>
      </c>
      <c r="OU76" s="2">
        <v>100</v>
      </c>
      <c r="OV76" s="2">
        <v>100.06</v>
      </c>
      <c r="OW76" s="2">
        <v>100.06</v>
      </c>
      <c r="OX76" s="2">
        <v>100.65</v>
      </c>
      <c r="PC76" s="2">
        <v>100.77</v>
      </c>
      <c r="PD76" s="2">
        <v>100.95</v>
      </c>
      <c r="PE76" s="2">
        <v>101.56</v>
      </c>
      <c r="PF76" s="2">
        <v>101.14</v>
      </c>
      <c r="PG76" s="2">
        <v>101.62</v>
      </c>
      <c r="PH76" s="2">
        <v>101.96</v>
      </c>
      <c r="PI76" s="2">
        <v>101.6</v>
      </c>
    </row>
    <row r="77">
      <c r="A77" t="inlineStr">
        <is>
          <t>A130391928C</t>
        </is>
      </c>
      <c r="B77" t="inlineStr">
        <is>
          <t>Index Numbers ;  Other meats ;  Australia ;</t>
        </is>
      </c>
      <c r="C77" t="inlineStr">
        <is>
          <t>Month</t>
        </is>
      </c>
      <c r="D77" t="inlineStr">
        <is>
          <t>Index Numbers</t>
        </is>
      </c>
      <c r="E77" t="inlineStr">
        <is>
          <t>Original</t>
        </is>
      </c>
      <c r="F77" t="inlineStr">
        <is>
          <t>640103.xlsx</t>
        </is>
      </c>
      <c r="G77" t="inlineStr">
        <is>
          <t>2017-09</t>
        </is>
      </c>
      <c r="H77" t="inlineStr">
        <is>
          <t>2026-07</t>
        </is>
      </c>
      <c r="JW77" s="2">
        <v>77.63</v>
      </c>
      <c r="JX77" s="2">
        <v>77.43000000000001</v>
      </c>
      <c r="JY77" s="2">
        <v>78.26000000000001</v>
      </c>
      <c r="JZ77" s="2">
        <v>77.83</v>
      </c>
      <c r="KE77" s="2">
        <v>77.42</v>
      </c>
      <c r="KF77" s="2">
        <v>77.34999999999999</v>
      </c>
      <c r="KG77" s="2">
        <v>77.81999999999999</v>
      </c>
      <c r="KH77" s="2">
        <v>77.79000000000001</v>
      </c>
      <c r="KI77" s="2">
        <v>78.44</v>
      </c>
      <c r="KJ77" s="2">
        <v>77.55</v>
      </c>
      <c r="KK77" s="2">
        <v>76.98</v>
      </c>
      <c r="KL77" s="2">
        <v>77.59999999999999</v>
      </c>
      <c r="KM77" s="2">
        <v>77.41</v>
      </c>
      <c r="KN77" s="2">
        <v>77.34999999999999</v>
      </c>
      <c r="KO77" s="2">
        <v>78.06</v>
      </c>
      <c r="KP77" s="2">
        <v>77.75</v>
      </c>
      <c r="KU77" s="2">
        <v>78.01000000000001</v>
      </c>
      <c r="KV77" s="2">
        <v>78.73</v>
      </c>
      <c r="KW77" s="2">
        <v>78.23</v>
      </c>
      <c r="KX77" s="2">
        <v>78.17</v>
      </c>
      <c r="KY77" s="2">
        <v>78.92</v>
      </c>
      <c r="KZ77" s="2">
        <v>78.86</v>
      </c>
      <c r="LA77" s="2">
        <v>79.04000000000001</v>
      </c>
      <c r="LB77" s="2">
        <v>80.23</v>
      </c>
      <c r="LC77" s="2">
        <v>81.53</v>
      </c>
      <c r="LD77" s="2">
        <v>82.68000000000001</v>
      </c>
      <c r="LE77" s="2">
        <v>82.73999999999999</v>
      </c>
      <c r="LF77" s="2">
        <v>83.66</v>
      </c>
      <c r="LK77" s="2">
        <v>83.8</v>
      </c>
      <c r="LL77" s="2">
        <v>83.73</v>
      </c>
      <c r="LM77" s="2">
        <v>86.94</v>
      </c>
      <c r="LN77" s="2">
        <v>87.08</v>
      </c>
      <c r="LO77" s="2">
        <v>86.45999999999999</v>
      </c>
      <c r="LP77" s="2">
        <v>87.02</v>
      </c>
      <c r="LQ77" s="2">
        <v>87.59</v>
      </c>
      <c r="LR77" s="2">
        <v>88.54000000000001</v>
      </c>
      <c r="LS77" s="2">
        <v>88.3</v>
      </c>
      <c r="LT77" s="2">
        <v>87.45</v>
      </c>
      <c r="LU77" s="2">
        <v>88.13</v>
      </c>
      <c r="LV77" s="2">
        <v>88.25</v>
      </c>
      <c r="MA77" s="2">
        <v>88.17</v>
      </c>
      <c r="MB77" s="2">
        <v>87.08</v>
      </c>
      <c r="MC77" s="2">
        <v>88.54000000000001</v>
      </c>
      <c r="MD77" s="2">
        <v>89.23999999999999</v>
      </c>
      <c r="ME77" s="2">
        <v>89.68000000000001</v>
      </c>
      <c r="MF77" s="2">
        <v>89.03</v>
      </c>
      <c r="MG77" s="2">
        <v>89.14</v>
      </c>
      <c r="MH77" s="2">
        <v>90.14</v>
      </c>
      <c r="MI77" s="2">
        <v>89.58</v>
      </c>
      <c r="MJ77" s="2">
        <v>89.23999999999999</v>
      </c>
      <c r="MK77" s="2">
        <v>90.36</v>
      </c>
      <c r="ML77" s="2">
        <v>90.33</v>
      </c>
      <c r="MQ77" s="2">
        <v>92.93000000000001</v>
      </c>
      <c r="MR77" s="2">
        <v>95</v>
      </c>
      <c r="MS77" s="2">
        <v>94.53</v>
      </c>
      <c r="MT77" s="2">
        <v>94.39</v>
      </c>
      <c r="MU77" s="2">
        <v>95.23</v>
      </c>
      <c r="MV77" s="2">
        <v>96.40000000000001</v>
      </c>
      <c r="MW77" s="2">
        <v>96.95</v>
      </c>
      <c r="MX77" s="2">
        <v>97.59999999999999</v>
      </c>
      <c r="MY77" s="2">
        <v>97.77</v>
      </c>
      <c r="MZ77" s="2">
        <v>97.64</v>
      </c>
      <c r="NA77" s="2">
        <v>98.76000000000001</v>
      </c>
      <c r="NB77" s="2">
        <v>100.19</v>
      </c>
      <c r="NG77" s="2">
        <v>99.94</v>
      </c>
      <c r="NH77" s="2">
        <v>100.36</v>
      </c>
      <c r="NI77" s="2">
        <v>100.67</v>
      </c>
      <c r="NJ77" s="2">
        <v>100.04</v>
      </c>
      <c r="NK77" s="2">
        <v>100.52</v>
      </c>
      <c r="NL77" s="2">
        <v>99.83</v>
      </c>
      <c r="NM77" s="2">
        <v>100.74</v>
      </c>
      <c r="NN77" s="2">
        <v>101.7</v>
      </c>
      <c r="NO77" s="2">
        <v>100.92</v>
      </c>
      <c r="NP77" s="2">
        <v>102.05</v>
      </c>
      <c r="NQ77" s="2">
        <v>101.78</v>
      </c>
      <c r="NR77" s="2">
        <v>98.62</v>
      </c>
      <c r="NW77" s="2">
        <v>97.81</v>
      </c>
      <c r="NX77" s="2">
        <v>99.34</v>
      </c>
      <c r="NY77" s="2">
        <v>101.48</v>
      </c>
      <c r="NZ77" s="2">
        <v>100.67</v>
      </c>
      <c r="OA77" s="2">
        <v>100.33</v>
      </c>
      <c r="OB77" s="2">
        <v>99.8</v>
      </c>
      <c r="OC77" s="2">
        <v>99.90000000000001</v>
      </c>
      <c r="OD77" s="2">
        <v>99.23</v>
      </c>
      <c r="OE77" s="2">
        <v>98.81</v>
      </c>
      <c r="OF77" s="2">
        <v>100.18</v>
      </c>
      <c r="OG77" s="2">
        <v>100.42</v>
      </c>
      <c r="OH77" s="2">
        <v>101.34</v>
      </c>
      <c r="OM77" s="2">
        <v>100.99</v>
      </c>
      <c r="ON77" s="2">
        <v>102.01</v>
      </c>
      <c r="OO77" s="2">
        <v>102.34</v>
      </c>
      <c r="OP77" s="2">
        <v>101.66</v>
      </c>
      <c r="OQ77" s="2">
        <v>101.77</v>
      </c>
      <c r="OR77" s="2">
        <v>101.26</v>
      </c>
      <c r="OS77" s="2">
        <v>100.88</v>
      </c>
      <c r="OT77" s="2">
        <v>101.37</v>
      </c>
      <c r="OU77" s="2">
        <v>100</v>
      </c>
      <c r="OV77" s="2">
        <v>101.1</v>
      </c>
      <c r="OW77" s="2">
        <v>101.97</v>
      </c>
      <c r="OX77" s="2">
        <v>103.5</v>
      </c>
      <c r="PC77" s="2">
        <v>102.91</v>
      </c>
      <c r="PD77" s="2">
        <v>102.89</v>
      </c>
      <c r="PE77" s="2">
        <v>104</v>
      </c>
      <c r="PF77" s="2">
        <v>103.4</v>
      </c>
      <c r="PG77" s="2">
        <v>104.17</v>
      </c>
      <c r="PH77" s="2">
        <v>104.03</v>
      </c>
      <c r="PI77" s="2">
        <v>104.12</v>
      </c>
    </row>
    <row r="78">
      <c r="A78" t="inlineStr">
        <is>
          <t>A130390598F</t>
        </is>
      </c>
      <c r="B78" t="inlineStr">
        <is>
          <t>Index Numbers ;  Fish and other seafood ;  Australia ;</t>
        </is>
      </c>
      <c r="C78" t="inlineStr">
        <is>
          <t>Month</t>
        </is>
      </c>
      <c r="D78" t="inlineStr">
        <is>
          <t>Index Numbers</t>
        </is>
      </c>
      <c r="E78" t="inlineStr">
        <is>
          <t>Original</t>
        </is>
      </c>
      <c r="F78" t="inlineStr">
        <is>
          <t>640103.xlsx</t>
        </is>
      </c>
      <c r="G78" t="inlineStr">
        <is>
          <t>2017-09</t>
        </is>
      </c>
      <c r="H78" t="inlineStr">
        <is>
          <t>2026-07</t>
        </is>
      </c>
      <c r="JW78" s="2">
        <v>78.39</v>
      </c>
      <c r="JX78" s="2">
        <v>79.40000000000001</v>
      </c>
      <c r="JY78" s="2">
        <v>79.56</v>
      </c>
      <c r="JZ78" s="2">
        <v>78.87</v>
      </c>
      <c r="KE78" s="2">
        <v>80.31999999999999</v>
      </c>
      <c r="KF78" s="2">
        <v>78.23999999999999</v>
      </c>
      <c r="KG78" s="2">
        <v>77.86</v>
      </c>
      <c r="KH78" s="2">
        <v>79.67</v>
      </c>
      <c r="KI78" s="2">
        <v>80.23999999999999</v>
      </c>
      <c r="KJ78" s="2">
        <v>81.11</v>
      </c>
      <c r="KK78" s="2">
        <v>80.91</v>
      </c>
      <c r="KL78" s="2">
        <v>80.78</v>
      </c>
      <c r="KM78" s="2">
        <v>80.41</v>
      </c>
      <c r="KN78" s="2">
        <v>81.52</v>
      </c>
      <c r="KO78" s="2">
        <v>81.15000000000001</v>
      </c>
      <c r="KP78" s="2">
        <v>81.38</v>
      </c>
      <c r="KU78" s="2">
        <v>82.16</v>
      </c>
      <c r="KV78" s="2">
        <v>81.56</v>
      </c>
      <c r="KW78" s="2">
        <v>80.2</v>
      </c>
      <c r="KX78" s="2">
        <v>79.44</v>
      </c>
      <c r="KY78" s="2">
        <v>81.87</v>
      </c>
      <c r="KZ78" s="2">
        <v>81.91</v>
      </c>
      <c r="LA78" s="2">
        <v>81.84</v>
      </c>
      <c r="LB78" s="2">
        <v>81.84</v>
      </c>
      <c r="LC78" s="2">
        <v>81.45999999999999</v>
      </c>
      <c r="LD78" s="2">
        <v>82.18000000000001</v>
      </c>
      <c r="LE78" s="2">
        <v>81.69</v>
      </c>
      <c r="LF78" s="2">
        <v>83.17</v>
      </c>
      <c r="LK78" s="2">
        <v>83.56</v>
      </c>
      <c r="LL78" s="2">
        <v>82.23</v>
      </c>
      <c r="LM78" s="2">
        <v>84.91</v>
      </c>
      <c r="LN78" s="2">
        <v>87.45999999999999</v>
      </c>
      <c r="LO78" s="2">
        <v>87.47</v>
      </c>
      <c r="LP78" s="2">
        <v>86.31</v>
      </c>
      <c r="LQ78" s="2">
        <v>85.51000000000001</v>
      </c>
      <c r="LR78" s="2">
        <v>85.86</v>
      </c>
      <c r="LS78" s="2">
        <v>86.09</v>
      </c>
      <c r="LT78" s="2">
        <v>86.75</v>
      </c>
      <c r="LU78" s="2">
        <v>86.40000000000001</v>
      </c>
      <c r="LV78" s="2">
        <v>86.05</v>
      </c>
      <c r="MA78" s="2">
        <v>86.06</v>
      </c>
      <c r="MB78" s="2">
        <v>85.56999999999999</v>
      </c>
      <c r="MC78" s="2">
        <v>84.23999999999999</v>
      </c>
      <c r="MD78" s="2">
        <v>84.15000000000001</v>
      </c>
      <c r="ME78" s="2">
        <v>84.53</v>
      </c>
      <c r="MF78" s="2">
        <v>84.93000000000001</v>
      </c>
      <c r="MG78" s="2">
        <v>85.25</v>
      </c>
      <c r="MH78" s="2">
        <v>85.51000000000001</v>
      </c>
      <c r="MI78" s="2">
        <v>85.81</v>
      </c>
      <c r="MJ78" s="2">
        <v>85.55</v>
      </c>
      <c r="MK78" s="2">
        <v>86</v>
      </c>
      <c r="ML78" s="2">
        <v>86.55</v>
      </c>
      <c r="MQ78" s="2">
        <v>87.26000000000001</v>
      </c>
      <c r="MR78" s="2">
        <v>89.59999999999999</v>
      </c>
      <c r="MS78" s="2">
        <v>85.08</v>
      </c>
      <c r="MT78" s="2">
        <v>85.14</v>
      </c>
      <c r="MU78" s="2">
        <v>86.66</v>
      </c>
      <c r="MV78" s="2">
        <v>88.27</v>
      </c>
      <c r="MW78" s="2">
        <v>90.2</v>
      </c>
      <c r="MX78" s="2">
        <v>90.33</v>
      </c>
      <c r="MY78" s="2">
        <v>90.89</v>
      </c>
      <c r="MZ78" s="2">
        <v>92.52</v>
      </c>
      <c r="NA78" s="2">
        <v>93.66</v>
      </c>
      <c r="NB78" s="2">
        <v>94.62</v>
      </c>
      <c r="NG78" s="2">
        <v>94.48999999999999</v>
      </c>
      <c r="NH78" s="2">
        <v>94.43000000000001</v>
      </c>
      <c r="NI78" s="2">
        <v>93.48999999999999</v>
      </c>
      <c r="NJ78" s="2">
        <v>94.54000000000001</v>
      </c>
      <c r="NK78" s="2">
        <v>95.81</v>
      </c>
      <c r="NL78" s="2">
        <v>94.81999999999999</v>
      </c>
      <c r="NM78" s="2">
        <v>96.62</v>
      </c>
      <c r="NN78" s="2">
        <v>97.88</v>
      </c>
      <c r="NO78" s="2">
        <v>100.42</v>
      </c>
      <c r="NP78" s="2">
        <v>100.66</v>
      </c>
      <c r="NQ78" s="2">
        <v>100.71</v>
      </c>
      <c r="NR78" s="2">
        <v>100.6</v>
      </c>
      <c r="NW78" s="2">
        <v>99.98</v>
      </c>
      <c r="NX78" s="2">
        <v>99.18000000000001</v>
      </c>
      <c r="NY78" s="2">
        <v>98.44</v>
      </c>
      <c r="NZ78" s="2">
        <v>100.86</v>
      </c>
      <c r="OA78" s="2">
        <v>100.48</v>
      </c>
      <c r="OB78" s="2">
        <v>99.75</v>
      </c>
      <c r="OC78" s="2">
        <v>99.92</v>
      </c>
      <c r="OD78" s="2">
        <v>100.57</v>
      </c>
      <c r="OE78" s="2">
        <v>100.43</v>
      </c>
      <c r="OF78" s="2">
        <v>99.97</v>
      </c>
      <c r="OG78" s="2">
        <v>99.56999999999999</v>
      </c>
      <c r="OH78" s="2">
        <v>100.01</v>
      </c>
      <c r="OM78" s="2">
        <v>99.84</v>
      </c>
      <c r="ON78" s="2">
        <v>99.64</v>
      </c>
      <c r="OO78" s="2">
        <v>98.75</v>
      </c>
      <c r="OP78" s="2">
        <v>99.06999999999999</v>
      </c>
      <c r="OQ78" s="2">
        <v>100.9</v>
      </c>
      <c r="OR78" s="2">
        <v>99.98999999999999</v>
      </c>
      <c r="OS78" s="2">
        <v>99.64</v>
      </c>
      <c r="OT78" s="2">
        <v>100.36</v>
      </c>
      <c r="OU78" s="2">
        <v>100</v>
      </c>
      <c r="OV78" s="2">
        <v>100.04</v>
      </c>
      <c r="OW78" s="2">
        <v>99.58</v>
      </c>
      <c r="OX78" s="2">
        <v>101.25</v>
      </c>
      <c r="PC78" s="2">
        <v>101.75</v>
      </c>
      <c r="PD78" s="2">
        <v>101.13</v>
      </c>
      <c r="PE78" s="2">
        <v>100.52</v>
      </c>
      <c r="PF78" s="2">
        <v>100.48</v>
      </c>
      <c r="PG78" s="2">
        <v>102.14</v>
      </c>
      <c r="PH78" s="2">
        <v>100.22</v>
      </c>
      <c r="PI78" s="2">
        <v>101.55</v>
      </c>
    </row>
    <row r="79">
      <c r="A79" t="inlineStr">
        <is>
          <t>A130393034C</t>
        </is>
      </c>
      <c r="B79" t="inlineStr">
        <is>
          <t>Index Numbers ;  Dairy and related products ;  Australia ;</t>
        </is>
      </c>
      <c r="C79" t="inlineStr">
        <is>
          <t>Month</t>
        </is>
      </c>
      <c r="D79" t="inlineStr">
        <is>
          <t>Index Numbers</t>
        </is>
      </c>
      <c r="E79" t="inlineStr">
        <is>
          <t>Original</t>
        </is>
      </c>
      <c r="F79" t="inlineStr">
        <is>
          <t>640103.xlsx</t>
        </is>
      </c>
      <c r="G79" t="inlineStr">
        <is>
          <t>2017-09</t>
        </is>
      </c>
      <c r="H79" t="inlineStr">
        <is>
          <t>2026-07</t>
        </is>
      </c>
      <c r="JW79" s="2">
        <v>71.97</v>
      </c>
      <c r="JX79" s="2">
        <v>72.44</v>
      </c>
      <c r="JY79" s="2">
        <v>72.31999999999999</v>
      </c>
      <c r="JZ79" s="2">
        <v>73.15000000000001</v>
      </c>
      <c r="KE79" s="2">
        <v>72.93000000000001</v>
      </c>
      <c r="KF79" s="2">
        <v>72.66</v>
      </c>
      <c r="KG79" s="2">
        <v>72.89</v>
      </c>
      <c r="KH79" s="2">
        <v>73.19</v>
      </c>
      <c r="KI79" s="2">
        <v>73.06999999999999</v>
      </c>
      <c r="KJ79" s="2">
        <v>73.15000000000001</v>
      </c>
      <c r="KK79" s="2">
        <v>73.17</v>
      </c>
      <c r="KL79" s="2">
        <v>72.77</v>
      </c>
      <c r="KM79" s="2">
        <v>72.94</v>
      </c>
      <c r="KN79" s="2">
        <v>73.16</v>
      </c>
      <c r="KO79" s="2">
        <v>73.28</v>
      </c>
      <c r="KP79" s="2">
        <v>74.15000000000001</v>
      </c>
      <c r="KU79" s="2">
        <v>73.91</v>
      </c>
      <c r="KV79" s="2">
        <v>73.59999999999999</v>
      </c>
      <c r="KW79" s="2">
        <v>74.06</v>
      </c>
      <c r="KX79" s="2">
        <v>74.48999999999999</v>
      </c>
      <c r="KY79" s="2">
        <v>74.48</v>
      </c>
      <c r="KZ79" s="2">
        <v>74.98</v>
      </c>
      <c r="LA79" s="2">
        <v>75.63</v>
      </c>
      <c r="LB79" s="2">
        <v>76.37</v>
      </c>
      <c r="LC79" s="2">
        <v>77.09999999999999</v>
      </c>
      <c r="LD79" s="2">
        <v>76.97</v>
      </c>
      <c r="LE79" s="2">
        <v>77.52</v>
      </c>
      <c r="LF79" s="2">
        <v>78.33</v>
      </c>
      <c r="LK79" s="2">
        <v>78.45999999999999</v>
      </c>
      <c r="LL79" s="2">
        <v>78.09</v>
      </c>
      <c r="LM79" s="2">
        <v>79.5</v>
      </c>
      <c r="LN79" s="2">
        <v>80.03</v>
      </c>
      <c r="LO79" s="2">
        <v>79.39</v>
      </c>
      <c r="LP79" s="2">
        <v>79.16</v>
      </c>
      <c r="LQ79" s="2">
        <v>79.51000000000001</v>
      </c>
      <c r="LR79" s="2">
        <v>79.36</v>
      </c>
      <c r="LS79" s="2">
        <v>79.39</v>
      </c>
      <c r="LT79" s="2">
        <v>79.17</v>
      </c>
      <c r="LU79" s="2">
        <v>79.31</v>
      </c>
      <c r="LV79" s="2">
        <v>80.17</v>
      </c>
      <c r="MA79" s="2">
        <v>79.48999999999999</v>
      </c>
      <c r="MB79" s="2">
        <v>78.93000000000001</v>
      </c>
      <c r="MC79" s="2">
        <v>79.3</v>
      </c>
      <c r="MD79" s="2">
        <v>79.3</v>
      </c>
      <c r="ME79" s="2">
        <v>79.17</v>
      </c>
      <c r="MF79" s="2">
        <v>79.47</v>
      </c>
      <c r="MG79" s="2">
        <v>79.62</v>
      </c>
      <c r="MH79" s="2">
        <v>79.58</v>
      </c>
      <c r="MI79" s="2">
        <v>79.69</v>
      </c>
      <c r="MJ79" s="2">
        <v>79.73</v>
      </c>
      <c r="MK79" s="2">
        <v>80.40000000000001</v>
      </c>
      <c r="ML79" s="2">
        <v>82.56</v>
      </c>
      <c r="MQ79" s="2">
        <v>82.12</v>
      </c>
      <c r="MR79" s="2">
        <v>82.19</v>
      </c>
      <c r="MS79" s="2">
        <v>83.11</v>
      </c>
      <c r="MT79" s="2">
        <v>83.69</v>
      </c>
      <c r="MU79" s="2">
        <v>83.2</v>
      </c>
      <c r="MV79" s="2">
        <v>83.81999999999999</v>
      </c>
      <c r="MW79" s="2">
        <v>87.13</v>
      </c>
      <c r="MX79" s="2">
        <v>89.25</v>
      </c>
      <c r="MY79" s="2">
        <v>90.48999999999999</v>
      </c>
      <c r="MZ79" s="2">
        <v>91.23999999999999</v>
      </c>
      <c r="NA79" s="2">
        <v>92.67</v>
      </c>
      <c r="NB79" s="2">
        <v>94.44</v>
      </c>
      <c r="NG79" s="2">
        <v>93.95</v>
      </c>
      <c r="NH79" s="2">
        <v>93.90000000000001</v>
      </c>
      <c r="NI79" s="2">
        <v>95.65000000000001</v>
      </c>
      <c r="NJ79" s="2">
        <v>95.83</v>
      </c>
      <c r="NK79" s="2">
        <v>95.7</v>
      </c>
      <c r="NL79" s="2">
        <v>96.41</v>
      </c>
      <c r="NM79" s="2">
        <v>98.23</v>
      </c>
      <c r="NN79" s="2">
        <v>98.25</v>
      </c>
      <c r="NO79" s="2">
        <v>97.73999999999999</v>
      </c>
      <c r="NP79" s="2">
        <v>98.40000000000001</v>
      </c>
      <c r="NQ79" s="2">
        <v>98.29000000000001</v>
      </c>
      <c r="NR79" s="2">
        <v>99.34</v>
      </c>
      <c r="NW79" s="2">
        <v>98.68000000000001</v>
      </c>
      <c r="NX79" s="2">
        <v>97.89</v>
      </c>
      <c r="NY79" s="2">
        <v>98.47</v>
      </c>
      <c r="NZ79" s="2">
        <v>98.45999999999999</v>
      </c>
      <c r="OA79" s="2">
        <v>98.05</v>
      </c>
      <c r="OB79" s="2">
        <v>98.03</v>
      </c>
      <c r="OC79" s="2">
        <v>98.03</v>
      </c>
      <c r="OD79" s="2">
        <v>98.03</v>
      </c>
      <c r="OE79" s="2">
        <v>97.48999999999999</v>
      </c>
      <c r="OF79" s="2">
        <v>96.58</v>
      </c>
      <c r="OG79" s="2">
        <v>97.45</v>
      </c>
      <c r="OH79" s="2">
        <v>98.36</v>
      </c>
      <c r="OM79" s="2">
        <v>98.27</v>
      </c>
      <c r="ON79" s="2">
        <v>97.56</v>
      </c>
      <c r="OO79" s="2">
        <v>98.52</v>
      </c>
      <c r="OP79" s="2">
        <v>98.56</v>
      </c>
      <c r="OQ79" s="2">
        <v>98.13</v>
      </c>
      <c r="OR79" s="2">
        <v>98.3</v>
      </c>
      <c r="OS79" s="2">
        <v>98.25</v>
      </c>
      <c r="OT79" s="2">
        <v>99.31</v>
      </c>
      <c r="OU79" s="2">
        <v>100</v>
      </c>
      <c r="OV79" s="2">
        <v>99.5</v>
      </c>
      <c r="OW79" s="2">
        <v>100.53</v>
      </c>
      <c r="OX79" s="2">
        <v>101.23</v>
      </c>
      <c r="PC79" s="2">
        <v>100.84</v>
      </c>
      <c r="PD79" s="2">
        <v>100.21</v>
      </c>
      <c r="PE79" s="2">
        <v>101.02</v>
      </c>
      <c r="PF79" s="2">
        <v>100.84</v>
      </c>
      <c r="PG79" s="2">
        <v>103.19</v>
      </c>
      <c r="PH79" s="2">
        <v>104.52</v>
      </c>
      <c r="PI79" s="2">
        <v>104.78</v>
      </c>
    </row>
    <row r="80">
      <c r="A80" t="inlineStr">
        <is>
          <t>A130391844V</t>
        </is>
      </c>
      <c r="B80" t="inlineStr">
        <is>
          <t>Index Numbers ;  Milk ;  Australia ;</t>
        </is>
      </c>
      <c r="C80" t="inlineStr">
        <is>
          <t>Month</t>
        </is>
      </c>
      <c r="D80" t="inlineStr">
        <is>
          <t>Index Numbers</t>
        </is>
      </c>
      <c r="E80" t="inlineStr">
        <is>
          <t>Original</t>
        </is>
      </c>
      <c r="F80" t="inlineStr">
        <is>
          <t>640103.xlsx</t>
        </is>
      </c>
      <c r="G80" t="inlineStr">
        <is>
          <t>2017-09</t>
        </is>
      </c>
      <c r="H80" t="inlineStr">
        <is>
          <t>2026-07</t>
        </is>
      </c>
      <c r="JW80" s="2">
        <v>70.8</v>
      </c>
      <c r="JX80" s="2">
        <v>70.86</v>
      </c>
      <c r="JY80" s="2">
        <v>71.18000000000001</v>
      </c>
      <c r="JZ80" s="2">
        <v>72.05</v>
      </c>
      <c r="KE80" s="2">
        <v>71.29000000000001</v>
      </c>
      <c r="KF80" s="2">
        <v>71.09999999999999</v>
      </c>
      <c r="KG80" s="2">
        <v>71.47</v>
      </c>
      <c r="KH80" s="2">
        <v>71.69</v>
      </c>
      <c r="KI80" s="2">
        <v>71.33</v>
      </c>
      <c r="KJ80" s="2">
        <v>71.48</v>
      </c>
      <c r="KK80" s="2">
        <v>71.40000000000001</v>
      </c>
      <c r="KL80" s="2">
        <v>70.98</v>
      </c>
      <c r="KM80" s="2">
        <v>71.66</v>
      </c>
      <c r="KN80" s="2">
        <v>72.15000000000001</v>
      </c>
      <c r="KO80" s="2">
        <v>72.38</v>
      </c>
      <c r="KP80" s="2">
        <v>73.34999999999999</v>
      </c>
      <c r="KU80" s="2">
        <v>72.73999999999999</v>
      </c>
      <c r="KV80" s="2">
        <v>71.84</v>
      </c>
      <c r="KW80" s="2">
        <v>72.7</v>
      </c>
      <c r="KX80" s="2">
        <v>73.8</v>
      </c>
      <c r="KY80" s="2">
        <v>73.51000000000001</v>
      </c>
      <c r="KZ80" s="2">
        <v>74.15000000000001</v>
      </c>
      <c r="LA80" s="2">
        <v>74.43000000000001</v>
      </c>
      <c r="LB80" s="2">
        <v>76.27</v>
      </c>
      <c r="LC80" s="2">
        <v>77.31999999999999</v>
      </c>
      <c r="LD80" s="2">
        <v>76.81</v>
      </c>
      <c r="LE80" s="2">
        <v>77.20999999999999</v>
      </c>
      <c r="LF80" s="2">
        <v>78.31</v>
      </c>
      <c r="LK80" s="2">
        <v>78.04000000000001</v>
      </c>
      <c r="LL80" s="2">
        <v>77.40000000000001</v>
      </c>
      <c r="LM80" s="2">
        <v>79.67</v>
      </c>
      <c r="LN80" s="2">
        <v>79.54000000000001</v>
      </c>
      <c r="LO80" s="2">
        <v>78.93000000000001</v>
      </c>
      <c r="LP80" s="2">
        <v>78.41</v>
      </c>
      <c r="LQ80" s="2">
        <v>78.62</v>
      </c>
      <c r="LR80" s="2">
        <v>78.65000000000001</v>
      </c>
      <c r="LS80" s="2">
        <v>78.98999999999999</v>
      </c>
      <c r="LT80" s="2">
        <v>78.73</v>
      </c>
      <c r="LU80" s="2">
        <v>78.81999999999999</v>
      </c>
      <c r="LV80" s="2">
        <v>80.2</v>
      </c>
      <c r="MA80" s="2">
        <v>79.20999999999999</v>
      </c>
      <c r="MB80" s="2">
        <v>78.70999999999999</v>
      </c>
      <c r="MC80" s="2">
        <v>79.14</v>
      </c>
      <c r="MD80" s="2">
        <v>79.03</v>
      </c>
      <c r="ME80" s="2">
        <v>78.53</v>
      </c>
      <c r="MF80" s="2">
        <v>79.27</v>
      </c>
      <c r="MG80" s="2">
        <v>79.31</v>
      </c>
      <c r="MH80" s="2">
        <v>79.28</v>
      </c>
      <c r="MI80" s="2">
        <v>79.37</v>
      </c>
      <c r="MJ80" s="2">
        <v>78.97</v>
      </c>
      <c r="MK80" s="2">
        <v>79.12</v>
      </c>
      <c r="ML80" s="2">
        <v>82.75</v>
      </c>
      <c r="MQ80" s="2">
        <v>82.45999999999999</v>
      </c>
      <c r="MR80" s="2">
        <v>82.18000000000001</v>
      </c>
      <c r="MS80" s="2">
        <v>82.72</v>
      </c>
      <c r="MT80" s="2">
        <v>83.28</v>
      </c>
      <c r="MU80" s="2">
        <v>82.27</v>
      </c>
      <c r="MV80" s="2">
        <v>83.84999999999999</v>
      </c>
      <c r="MW80" s="2">
        <v>88.88</v>
      </c>
      <c r="MX80" s="2">
        <v>92.70999999999999</v>
      </c>
      <c r="MY80" s="2">
        <v>93.31</v>
      </c>
      <c r="MZ80" s="2">
        <v>92.92</v>
      </c>
      <c r="NA80" s="2">
        <v>94.22</v>
      </c>
      <c r="NB80" s="2">
        <v>95.64</v>
      </c>
      <c r="NG80" s="2">
        <v>94.73</v>
      </c>
      <c r="NH80" s="2">
        <v>95.11</v>
      </c>
      <c r="NI80" s="2">
        <v>96.3</v>
      </c>
      <c r="NJ80" s="2">
        <v>95.41</v>
      </c>
      <c r="NK80" s="2">
        <v>95.28</v>
      </c>
      <c r="NL80" s="2">
        <v>95.64</v>
      </c>
      <c r="NM80" s="2">
        <v>96.77</v>
      </c>
      <c r="NN80" s="2">
        <v>97.05</v>
      </c>
      <c r="NO80" s="2">
        <v>96.11</v>
      </c>
      <c r="NP80" s="2">
        <v>97.84999999999999</v>
      </c>
      <c r="NQ80" s="2">
        <v>97.63</v>
      </c>
      <c r="NR80" s="2">
        <v>98.36</v>
      </c>
      <c r="NW80" s="2">
        <v>97.81999999999999</v>
      </c>
      <c r="NX80" s="2">
        <v>97.3</v>
      </c>
      <c r="NY80" s="2">
        <v>98.23</v>
      </c>
      <c r="NZ80" s="2">
        <v>97.8</v>
      </c>
      <c r="OA80" s="2">
        <v>97.36</v>
      </c>
      <c r="OB80" s="2">
        <v>97.59999999999999</v>
      </c>
      <c r="OC80" s="2">
        <v>97.28</v>
      </c>
      <c r="OD80" s="2">
        <v>98.22</v>
      </c>
      <c r="OE80" s="2">
        <v>97.81</v>
      </c>
      <c r="OF80" s="2">
        <v>96.34999999999999</v>
      </c>
      <c r="OG80" s="2">
        <v>97.40000000000001</v>
      </c>
      <c r="OH80" s="2">
        <v>97.91</v>
      </c>
      <c r="OM80" s="2">
        <v>97.52</v>
      </c>
      <c r="ON80" s="2">
        <v>96.98999999999999</v>
      </c>
      <c r="OO80" s="2">
        <v>97.17</v>
      </c>
      <c r="OP80" s="2">
        <v>97.54000000000001</v>
      </c>
      <c r="OQ80" s="2">
        <v>97.16</v>
      </c>
      <c r="OR80" s="2">
        <v>98.01000000000001</v>
      </c>
      <c r="OS80" s="2">
        <v>97.62</v>
      </c>
      <c r="OT80" s="2">
        <v>99.59999999999999</v>
      </c>
      <c r="OU80" s="2">
        <v>100</v>
      </c>
      <c r="OV80" s="2">
        <v>99.56</v>
      </c>
      <c r="OW80" s="2">
        <v>101.45</v>
      </c>
      <c r="OX80" s="2">
        <v>101.77</v>
      </c>
      <c r="PC80" s="2">
        <v>101.37</v>
      </c>
      <c r="PD80" s="2">
        <v>100.54</v>
      </c>
      <c r="PE80" s="2">
        <v>101.08</v>
      </c>
      <c r="PF80" s="2">
        <v>101.41</v>
      </c>
      <c r="PG80" s="2">
        <v>106.13</v>
      </c>
      <c r="PH80" s="2">
        <v>106.74</v>
      </c>
      <c r="PI80" s="2">
        <v>106.94</v>
      </c>
    </row>
    <row r="81">
      <c r="A81" t="inlineStr">
        <is>
          <t>A130390535W</t>
        </is>
      </c>
      <c r="B81" t="inlineStr">
        <is>
          <t>Index Numbers ;  Cheese ;  Australia ;</t>
        </is>
      </c>
      <c r="C81" t="inlineStr">
        <is>
          <t>Month</t>
        </is>
      </c>
      <c r="D81" t="inlineStr">
        <is>
          <t>Index Numbers</t>
        </is>
      </c>
      <c r="E81" t="inlineStr">
        <is>
          <t>Original</t>
        </is>
      </c>
      <c r="F81" t="inlineStr">
        <is>
          <t>640103.xlsx</t>
        </is>
      </c>
      <c r="G81" t="inlineStr">
        <is>
          <t>2017-09</t>
        </is>
      </c>
      <c r="H81" t="inlineStr">
        <is>
          <t>2026-07</t>
        </is>
      </c>
      <c r="JW81" s="2">
        <v>71.61</v>
      </c>
      <c r="JX81" s="2">
        <v>72.47</v>
      </c>
      <c r="JY81" s="2">
        <v>72.48</v>
      </c>
      <c r="JZ81" s="2">
        <v>72.7</v>
      </c>
      <c r="KE81" s="2">
        <v>72.84999999999999</v>
      </c>
      <c r="KF81" s="2">
        <v>72.91</v>
      </c>
      <c r="KG81" s="2">
        <v>73</v>
      </c>
      <c r="KH81" s="2">
        <v>73.34999999999999</v>
      </c>
      <c r="KI81" s="2">
        <v>73.5</v>
      </c>
      <c r="KJ81" s="2">
        <v>73.23</v>
      </c>
      <c r="KK81" s="2">
        <v>73.38</v>
      </c>
      <c r="KL81" s="2">
        <v>73.3</v>
      </c>
      <c r="KM81" s="2">
        <v>73.06</v>
      </c>
      <c r="KN81" s="2">
        <v>73.23</v>
      </c>
      <c r="KO81" s="2">
        <v>73.61</v>
      </c>
      <c r="KP81" s="2">
        <v>73.65000000000001</v>
      </c>
      <c r="KU81" s="2">
        <v>73.90000000000001</v>
      </c>
      <c r="KV81" s="2">
        <v>74.56999999999999</v>
      </c>
      <c r="KW81" s="2">
        <v>74.40000000000001</v>
      </c>
      <c r="KX81" s="2">
        <v>73.94</v>
      </c>
      <c r="KY81" s="2">
        <v>74.39</v>
      </c>
      <c r="KZ81" s="2">
        <v>74.58</v>
      </c>
      <c r="LA81" s="2">
        <v>75.12</v>
      </c>
      <c r="LB81" s="2">
        <v>76.12</v>
      </c>
      <c r="LC81" s="2">
        <v>77.26000000000001</v>
      </c>
      <c r="LD81" s="2">
        <v>77.87</v>
      </c>
      <c r="LE81" s="2">
        <v>78.59999999999999</v>
      </c>
      <c r="LF81" s="2">
        <v>78.64</v>
      </c>
      <c r="LK81" s="2">
        <v>79.20999999999999</v>
      </c>
      <c r="LL81" s="2">
        <v>79.95</v>
      </c>
      <c r="LM81" s="2">
        <v>80.48999999999999</v>
      </c>
      <c r="LN81" s="2">
        <v>80.8</v>
      </c>
      <c r="LO81" s="2">
        <v>80.81999999999999</v>
      </c>
      <c r="LP81" s="2">
        <v>80.86</v>
      </c>
      <c r="LQ81" s="2">
        <v>81.13</v>
      </c>
      <c r="LR81" s="2">
        <v>80.53</v>
      </c>
      <c r="LS81" s="2">
        <v>80.26000000000001</v>
      </c>
      <c r="LT81" s="2">
        <v>80.06</v>
      </c>
      <c r="LU81" s="2">
        <v>80.5</v>
      </c>
      <c r="LV81" s="2">
        <v>79.84</v>
      </c>
      <c r="MA81" s="2">
        <v>80.04000000000001</v>
      </c>
      <c r="MB81" s="2">
        <v>79.93000000000001</v>
      </c>
      <c r="MC81" s="2">
        <v>79.81</v>
      </c>
      <c r="MD81" s="2">
        <v>79.47</v>
      </c>
      <c r="ME81" s="2">
        <v>80.20999999999999</v>
      </c>
      <c r="MF81" s="2">
        <v>80.20999999999999</v>
      </c>
      <c r="MG81" s="2">
        <v>80.19</v>
      </c>
      <c r="MH81" s="2">
        <v>80.23999999999999</v>
      </c>
      <c r="MI81" s="2">
        <v>80.47</v>
      </c>
      <c r="MJ81" s="2">
        <v>80.67</v>
      </c>
      <c r="MK81" s="2">
        <v>82.06999999999999</v>
      </c>
      <c r="ML81" s="2">
        <v>82.2</v>
      </c>
      <c r="MQ81" s="2">
        <v>81.56999999999999</v>
      </c>
      <c r="MR81" s="2">
        <v>82.02</v>
      </c>
      <c r="MS81" s="2">
        <v>83.86</v>
      </c>
      <c r="MT81" s="2">
        <v>83.79000000000001</v>
      </c>
      <c r="MU81" s="2">
        <v>84.13</v>
      </c>
      <c r="MV81" s="2">
        <v>83.84</v>
      </c>
      <c r="MW81" s="2">
        <v>85.98999999999999</v>
      </c>
      <c r="MX81" s="2">
        <v>87.42</v>
      </c>
      <c r="MY81" s="2">
        <v>89.25</v>
      </c>
      <c r="MZ81" s="2">
        <v>90.67</v>
      </c>
      <c r="NA81" s="2">
        <v>93.44</v>
      </c>
      <c r="NB81" s="2">
        <v>95.19</v>
      </c>
      <c r="NG81" s="2">
        <v>95.59999999999999</v>
      </c>
      <c r="NH81" s="2">
        <v>96.05</v>
      </c>
      <c r="NI81" s="2">
        <v>97.09</v>
      </c>
      <c r="NJ81" s="2">
        <v>96.77</v>
      </c>
      <c r="NK81" s="2">
        <v>96.94</v>
      </c>
      <c r="NL81" s="2">
        <v>98.34</v>
      </c>
      <c r="NM81" s="2">
        <v>102.1</v>
      </c>
      <c r="NN81" s="2">
        <v>101.11</v>
      </c>
      <c r="NO81" s="2">
        <v>101.35</v>
      </c>
      <c r="NP81" s="2">
        <v>100.89</v>
      </c>
      <c r="NQ81" s="2">
        <v>100.96</v>
      </c>
      <c r="NR81" s="2">
        <v>101.09</v>
      </c>
      <c r="NW81" s="2">
        <v>101.51</v>
      </c>
      <c r="NX81" s="2">
        <v>100.72</v>
      </c>
      <c r="NY81" s="2">
        <v>100.46</v>
      </c>
      <c r="NZ81" s="2">
        <v>100.49</v>
      </c>
      <c r="OA81" s="2">
        <v>100.14</v>
      </c>
      <c r="OB81" s="2">
        <v>99.70999999999999</v>
      </c>
      <c r="OC81" s="2">
        <v>100.18</v>
      </c>
      <c r="OD81" s="2">
        <v>98.97</v>
      </c>
      <c r="OE81" s="2">
        <v>98.59999999999999</v>
      </c>
      <c r="OF81" s="2">
        <v>98.23</v>
      </c>
      <c r="OG81" s="2">
        <v>99.37</v>
      </c>
      <c r="OH81" s="2">
        <v>99.90000000000001</v>
      </c>
      <c r="OM81" s="2">
        <v>100.63</v>
      </c>
      <c r="ON81" s="2">
        <v>100.28</v>
      </c>
      <c r="OO81" s="2">
        <v>101.08</v>
      </c>
      <c r="OP81" s="2">
        <v>100.75</v>
      </c>
      <c r="OQ81" s="2">
        <v>100.87</v>
      </c>
      <c r="OR81" s="2">
        <v>100.25</v>
      </c>
      <c r="OS81" s="2">
        <v>99.89</v>
      </c>
      <c r="OT81" s="2">
        <v>99.97</v>
      </c>
      <c r="OU81" s="2">
        <v>100</v>
      </c>
      <c r="OV81" s="2">
        <v>99.86</v>
      </c>
      <c r="OW81" s="2">
        <v>99.68000000000001</v>
      </c>
      <c r="OX81" s="2">
        <v>100.38</v>
      </c>
      <c r="PC81" s="2">
        <v>100.79</v>
      </c>
      <c r="PD81" s="2">
        <v>100.16</v>
      </c>
      <c r="PE81" s="2">
        <v>99.8</v>
      </c>
      <c r="PF81" s="2">
        <v>99.31999999999999</v>
      </c>
      <c r="PG81" s="2">
        <v>100.97</v>
      </c>
      <c r="PH81" s="2">
        <v>102.35</v>
      </c>
      <c r="PI81" s="2">
        <v>102.28</v>
      </c>
    </row>
    <row r="82">
      <c r="A82" t="inlineStr">
        <is>
          <t>A130393195T</t>
        </is>
      </c>
      <c r="B82" t="inlineStr">
        <is>
          <t>Index Numbers ;  Ice cream and other dairy products ;  Australia ;</t>
        </is>
      </c>
      <c r="C82" t="inlineStr">
        <is>
          <t>Month</t>
        </is>
      </c>
      <c r="D82" t="inlineStr">
        <is>
          <t>Index Numbers</t>
        </is>
      </c>
      <c r="E82" t="inlineStr">
        <is>
          <t>Original</t>
        </is>
      </c>
      <c r="F82" t="inlineStr">
        <is>
          <t>640103.xlsx</t>
        </is>
      </c>
      <c r="G82" t="inlineStr">
        <is>
          <t>2017-09</t>
        </is>
      </c>
      <c r="H82" t="inlineStr">
        <is>
          <t>2026-07</t>
        </is>
      </c>
      <c r="JW82" s="2">
        <v>73.51000000000001</v>
      </c>
      <c r="JX82" s="2">
        <v>74.09</v>
      </c>
      <c r="JY82" s="2">
        <v>73.37</v>
      </c>
      <c r="JZ82" s="2">
        <v>74.72</v>
      </c>
      <c r="KE82" s="2">
        <v>74.77</v>
      </c>
      <c r="KF82" s="2">
        <v>74.11</v>
      </c>
      <c r="KG82" s="2">
        <v>74.29000000000001</v>
      </c>
      <c r="KH82" s="2">
        <v>74.63</v>
      </c>
      <c r="KI82" s="2">
        <v>74.56</v>
      </c>
      <c r="KJ82" s="2">
        <v>74.87</v>
      </c>
      <c r="KK82" s="2">
        <v>74.88</v>
      </c>
      <c r="KL82" s="2">
        <v>74.2</v>
      </c>
      <c r="KM82" s="2">
        <v>74.18000000000001</v>
      </c>
      <c r="KN82" s="2">
        <v>74.13</v>
      </c>
      <c r="KO82" s="2">
        <v>73.90000000000001</v>
      </c>
      <c r="KP82" s="2">
        <v>75.41</v>
      </c>
      <c r="KU82" s="2">
        <v>75.14</v>
      </c>
      <c r="KV82" s="2">
        <v>74.61</v>
      </c>
      <c r="KW82" s="2">
        <v>75.18000000000001</v>
      </c>
      <c r="KX82" s="2">
        <v>75.65000000000001</v>
      </c>
      <c r="KY82" s="2">
        <v>75.56</v>
      </c>
      <c r="KZ82" s="2">
        <v>76.17</v>
      </c>
      <c r="LA82" s="2">
        <v>77.34999999999999</v>
      </c>
      <c r="LB82" s="2">
        <v>76.59</v>
      </c>
      <c r="LC82" s="2">
        <v>76.58</v>
      </c>
      <c r="LD82" s="2">
        <v>76.23999999999999</v>
      </c>
      <c r="LE82" s="2">
        <v>76.77</v>
      </c>
      <c r="LF82" s="2">
        <v>77.95999999999999</v>
      </c>
      <c r="LK82" s="2">
        <v>78.15000000000001</v>
      </c>
      <c r="LL82" s="2">
        <v>77.09999999999999</v>
      </c>
      <c r="LM82" s="2">
        <v>78.28</v>
      </c>
      <c r="LN82" s="2">
        <v>79.78</v>
      </c>
      <c r="LO82" s="2">
        <v>78.5</v>
      </c>
      <c r="LP82" s="2">
        <v>78.34999999999999</v>
      </c>
      <c r="LQ82" s="2">
        <v>78.95999999999999</v>
      </c>
      <c r="LR82" s="2">
        <v>79.01000000000001</v>
      </c>
      <c r="LS82" s="2">
        <v>78.95</v>
      </c>
      <c r="LT82" s="2">
        <v>78.75</v>
      </c>
      <c r="LU82" s="2">
        <v>78.66</v>
      </c>
      <c r="LV82" s="2">
        <v>80.34999999999999</v>
      </c>
      <c r="MA82" s="2">
        <v>79.22</v>
      </c>
      <c r="MB82" s="2">
        <v>78.15000000000001</v>
      </c>
      <c r="MC82" s="2">
        <v>78.92</v>
      </c>
      <c r="MD82" s="2">
        <v>79.39</v>
      </c>
      <c r="ME82" s="2">
        <v>78.87</v>
      </c>
      <c r="MF82" s="2">
        <v>78.92</v>
      </c>
      <c r="MG82" s="2">
        <v>79.37</v>
      </c>
      <c r="MH82" s="2">
        <v>79.23</v>
      </c>
      <c r="MI82" s="2">
        <v>79.23</v>
      </c>
      <c r="MJ82" s="2">
        <v>79.72</v>
      </c>
      <c r="MK82" s="2">
        <v>80.28</v>
      </c>
      <c r="ML82" s="2">
        <v>82.63</v>
      </c>
      <c r="MQ82" s="2">
        <v>82.19</v>
      </c>
      <c r="MR82" s="2">
        <v>82.34</v>
      </c>
      <c r="MS82" s="2">
        <v>82.76000000000001</v>
      </c>
      <c r="MT82" s="2">
        <v>84.08</v>
      </c>
      <c r="MU82" s="2">
        <v>83.40000000000001</v>
      </c>
      <c r="MV82" s="2">
        <v>83.70999999999999</v>
      </c>
      <c r="MW82" s="2">
        <v>85.93000000000001</v>
      </c>
      <c r="MX82" s="2">
        <v>86.45</v>
      </c>
      <c r="MY82" s="2">
        <v>87.92</v>
      </c>
      <c r="MZ82" s="2">
        <v>89.53</v>
      </c>
      <c r="NA82" s="2">
        <v>89.73999999999999</v>
      </c>
      <c r="NB82" s="2">
        <v>92.01000000000001</v>
      </c>
      <c r="NG82" s="2">
        <v>91.18000000000001</v>
      </c>
      <c r="NH82" s="2">
        <v>90.03</v>
      </c>
      <c r="NI82" s="2">
        <v>93.25</v>
      </c>
      <c r="NJ82" s="2">
        <v>95.41</v>
      </c>
      <c r="NK82" s="2">
        <v>94.98</v>
      </c>
      <c r="NL82" s="2">
        <v>95.43000000000001</v>
      </c>
      <c r="NM82" s="2">
        <v>96.23</v>
      </c>
      <c r="NN82" s="2">
        <v>96.92</v>
      </c>
      <c r="NO82" s="2">
        <v>96.2</v>
      </c>
      <c r="NP82" s="2">
        <v>96.55</v>
      </c>
      <c r="NQ82" s="2">
        <v>96.41</v>
      </c>
      <c r="NR82" s="2">
        <v>98.81999999999999</v>
      </c>
      <c r="NW82" s="2">
        <v>96.86</v>
      </c>
      <c r="NX82" s="2">
        <v>95.7</v>
      </c>
      <c r="NY82" s="2">
        <v>96.7</v>
      </c>
      <c r="NZ82" s="2">
        <v>97.22</v>
      </c>
      <c r="OA82" s="2">
        <v>96.78</v>
      </c>
      <c r="OB82" s="2">
        <v>96.84</v>
      </c>
      <c r="OC82" s="2">
        <v>96.8</v>
      </c>
      <c r="OD82" s="2">
        <v>96.77</v>
      </c>
      <c r="OE82" s="2">
        <v>95.88</v>
      </c>
      <c r="OF82" s="2">
        <v>95.14</v>
      </c>
      <c r="OG82" s="2">
        <v>95.48999999999999</v>
      </c>
      <c r="OH82" s="2">
        <v>97.34999999999999</v>
      </c>
      <c r="OM82" s="2">
        <v>96.79000000000001</v>
      </c>
      <c r="ON82" s="2">
        <v>95.47</v>
      </c>
      <c r="OO82" s="2">
        <v>97.62</v>
      </c>
      <c r="OP82" s="2">
        <v>97.61</v>
      </c>
      <c r="OQ82" s="2">
        <v>96.54000000000001</v>
      </c>
      <c r="OR82" s="2">
        <v>96.65000000000001</v>
      </c>
      <c r="OS82" s="2">
        <v>97.37</v>
      </c>
      <c r="OT82" s="2">
        <v>98.23999999999999</v>
      </c>
      <c r="OU82" s="2">
        <v>100</v>
      </c>
      <c r="OV82" s="2">
        <v>99.03</v>
      </c>
      <c r="OW82" s="2">
        <v>100.22</v>
      </c>
      <c r="OX82" s="2">
        <v>101.43</v>
      </c>
      <c r="PC82" s="2">
        <v>100.18</v>
      </c>
      <c r="PD82" s="2">
        <v>99.84</v>
      </c>
      <c r="PE82" s="2">
        <v>102.19</v>
      </c>
      <c r="PF82" s="2">
        <v>101.68</v>
      </c>
      <c r="PG82" s="2">
        <v>101.65</v>
      </c>
      <c r="PH82" s="2">
        <v>103.88</v>
      </c>
      <c r="PI82" s="2">
        <v>104.57</v>
      </c>
    </row>
    <row r="83">
      <c r="A83" t="inlineStr">
        <is>
          <t>A130395092L</t>
        </is>
      </c>
      <c r="B83" t="inlineStr">
        <is>
          <t>Index Numbers ;  Fruit and vegetables ;  Australia ;</t>
        </is>
      </c>
      <c r="C83" t="inlineStr">
        <is>
          <t>Month</t>
        </is>
      </c>
      <c r="D83" t="inlineStr">
        <is>
          <t>Index Numbers</t>
        </is>
      </c>
      <c r="E83" t="inlineStr">
        <is>
          <t>Original</t>
        </is>
      </c>
      <c r="F83" t="inlineStr">
        <is>
          <t>640103.xlsx</t>
        </is>
      </c>
      <c r="G83" t="inlineStr">
        <is>
          <t>2017-09</t>
        </is>
      </c>
      <c r="H83" t="inlineStr">
        <is>
          <t>2026-07</t>
        </is>
      </c>
      <c r="JW83" s="2">
        <v>71.88</v>
      </c>
      <c r="JX83" s="2">
        <v>76.45999999999999</v>
      </c>
      <c r="JY83" s="2">
        <v>80.27</v>
      </c>
      <c r="JZ83" s="2">
        <v>80.47</v>
      </c>
      <c r="KE83" s="2">
        <v>80.06999999999999</v>
      </c>
      <c r="KF83" s="2">
        <v>80.73</v>
      </c>
      <c r="KG83" s="2">
        <v>79.40000000000001</v>
      </c>
      <c r="KH83" s="2">
        <v>77.62</v>
      </c>
      <c r="KI83" s="2">
        <v>76.58</v>
      </c>
      <c r="KJ83" s="2">
        <v>78.56999999999999</v>
      </c>
      <c r="KK83" s="2">
        <v>78.58</v>
      </c>
      <c r="KL83" s="2">
        <v>78.84</v>
      </c>
      <c r="KM83" s="2">
        <v>78.54000000000001</v>
      </c>
      <c r="KN83" s="2">
        <v>80.58</v>
      </c>
      <c r="KO83" s="2">
        <v>79.5</v>
      </c>
      <c r="KP83" s="2">
        <v>80.43000000000001</v>
      </c>
      <c r="KU83" s="2">
        <v>79.95999999999999</v>
      </c>
      <c r="KV83" s="2">
        <v>85.89</v>
      </c>
      <c r="KW83" s="2">
        <v>87.43000000000001</v>
      </c>
      <c r="KX83" s="2">
        <v>81.98999999999999</v>
      </c>
      <c r="KY83" s="2">
        <v>81.97</v>
      </c>
      <c r="KZ83" s="2">
        <v>80.7</v>
      </c>
      <c r="LA83" s="2">
        <v>80.01000000000001</v>
      </c>
      <c r="LB83" s="2">
        <v>79.33</v>
      </c>
      <c r="LC83" s="2">
        <v>77.87</v>
      </c>
      <c r="LD83" s="2">
        <v>79.66</v>
      </c>
      <c r="LE83" s="2">
        <v>81.05</v>
      </c>
      <c r="LF83" s="2">
        <v>84.97</v>
      </c>
      <c r="LK83" s="2">
        <v>83.95</v>
      </c>
      <c r="LL83" s="2">
        <v>86.55</v>
      </c>
      <c r="LM83" s="2">
        <v>90.93000000000001</v>
      </c>
      <c r="LN83" s="2">
        <v>87.51000000000001</v>
      </c>
      <c r="LO83" s="2">
        <v>84.90000000000001</v>
      </c>
      <c r="LP83" s="2">
        <v>88.42</v>
      </c>
      <c r="LQ83" s="2">
        <v>86.06999999999999</v>
      </c>
      <c r="LR83" s="2">
        <v>87.38</v>
      </c>
      <c r="LS83" s="2">
        <v>84.33</v>
      </c>
      <c r="LT83" s="2">
        <v>83.51000000000001</v>
      </c>
      <c r="LU83" s="2">
        <v>85.11</v>
      </c>
      <c r="LV83" s="2">
        <v>86.84</v>
      </c>
      <c r="MA83" s="2">
        <v>85.37</v>
      </c>
      <c r="MB83" s="2">
        <v>84.56</v>
      </c>
      <c r="MC83" s="2">
        <v>82.65000000000001</v>
      </c>
      <c r="MD83" s="2">
        <v>86.51000000000001</v>
      </c>
      <c r="ME83" s="2">
        <v>90.37</v>
      </c>
      <c r="MF83" s="2">
        <v>89.09</v>
      </c>
      <c r="MG83" s="2">
        <v>87.55</v>
      </c>
      <c r="MH83" s="2">
        <v>86.08</v>
      </c>
      <c r="MI83" s="2">
        <v>82.01000000000001</v>
      </c>
      <c r="MJ83" s="2">
        <v>82.36</v>
      </c>
      <c r="MK83" s="2">
        <v>84.34999999999999</v>
      </c>
      <c r="ML83" s="2">
        <v>86.58</v>
      </c>
      <c r="MQ83" s="2">
        <v>87.89</v>
      </c>
      <c r="MR83" s="2">
        <v>90.12</v>
      </c>
      <c r="MS83" s="2">
        <v>91.02</v>
      </c>
      <c r="MT83" s="2">
        <v>92.44</v>
      </c>
      <c r="MU83" s="2">
        <v>94.51000000000001</v>
      </c>
      <c r="MV83" s="2">
        <v>97.14</v>
      </c>
      <c r="MW83" s="2">
        <v>100.58</v>
      </c>
      <c r="MX83" s="2">
        <v>102.51</v>
      </c>
      <c r="MY83" s="2">
        <v>96.23</v>
      </c>
      <c r="MZ83" s="2">
        <v>90.16</v>
      </c>
      <c r="NA83" s="2">
        <v>92.31999999999999</v>
      </c>
      <c r="NB83" s="2">
        <v>95.09</v>
      </c>
      <c r="NG83" s="2">
        <v>92.40000000000001</v>
      </c>
      <c r="NH83" s="2">
        <v>95.37</v>
      </c>
      <c r="NI83" s="2">
        <v>96.40000000000001</v>
      </c>
      <c r="NJ83" s="2">
        <v>95.7</v>
      </c>
      <c r="NK83" s="2">
        <v>97.06999999999999</v>
      </c>
      <c r="NL83" s="2">
        <v>98.08</v>
      </c>
      <c r="NM83" s="2">
        <v>95.17</v>
      </c>
      <c r="NN83" s="2">
        <v>93.95999999999999</v>
      </c>
      <c r="NO83" s="2">
        <v>91.09999999999999</v>
      </c>
      <c r="NP83" s="2">
        <v>91.02</v>
      </c>
      <c r="NQ83" s="2">
        <v>92.92</v>
      </c>
      <c r="NR83" s="2">
        <v>93</v>
      </c>
      <c r="NW83" s="2">
        <v>93.8</v>
      </c>
      <c r="NX83" s="2">
        <v>94.84999999999999</v>
      </c>
      <c r="NY83" s="2">
        <v>95.27</v>
      </c>
      <c r="NZ83" s="2">
        <v>98.97</v>
      </c>
      <c r="OA83" s="2">
        <v>101.31</v>
      </c>
      <c r="OB83" s="2">
        <v>101.54</v>
      </c>
      <c r="OC83" s="2">
        <v>102.3</v>
      </c>
      <c r="OD83" s="2">
        <v>102.99</v>
      </c>
      <c r="OE83" s="2">
        <v>99.33</v>
      </c>
      <c r="OF83" s="2">
        <v>98.79000000000001</v>
      </c>
      <c r="OG83" s="2">
        <v>98.56999999999999</v>
      </c>
      <c r="OH83" s="2">
        <v>97.17</v>
      </c>
      <c r="OM83" s="2">
        <v>100.37</v>
      </c>
      <c r="ON83" s="2">
        <v>99.86</v>
      </c>
      <c r="OO83" s="2">
        <v>102.54</v>
      </c>
      <c r="OP83" s="2">
        <v>104.99</v>
      </c>
      <c r="OQ83" s="2">
        <v>104.16</v>
      </c>
      <c r="OR83" s="2">
        <v>106.52</v>
      </c>
      <c r="OS83" s="2">
        <v>107.27</v>
      </c>
      <c r="OT83" s="2">
        <v>104.18</v>
      </c>
      <c r="OU83" s="2">
        <v>100</v>
      </c>
      <c r="OV83" s="2">
        <v>100.54</v>
      </c>
      <c r="OW83" s="2">
        <v>101.22</v>
      </c>
      <c r="OX83" s="2">
        <v>101.04</v>
      </c>
      <c r="PC83" s="2">
        <v>101.8</v>
      </c>
      <c r="PD83" s="2">
        <v>101.8</v>
      </c>
      <c r="PE83" s="2">
        <v>104.42</v>
      </c>
      <c r="PF83" s="2">
        <v>105.13</v>
      </c>
      <c r="PG83" s="2">
        <v>106.24</v>
      </c>
      <c r="PH83" s="2">
        <v>107.25</v>
      </c>
      <c r="PI83" s="2">
        <v>106.34</v>
      </c>
    </row>
    <row r="84">
      <c r="A84" t="inlineStr">
        <is>
          <t>A130392446F</t>
        </is>
      </c>
      <c r="B84" t="inlineStr">
        <is>
          <t>Index Numbers ;  Fruit ;  Australia ;</t>
        </is>
      </c>
      <c r="C84" t="inlineStr">
        <is>
          <t>Month</t>
        </is>
      </c>
      <c r="D84" t="inlineStr">
        <is>
          <t>Index Numbers</t>
        </is>
      </c>
      <c r="E84" t="inlineStr">
        <is>
          <t>Original</t>
        </is>
      </c>
      <c r="F84" t="inlineStr">
        <is>
          <t>640103.xlsx</t>
        </is>
      </c>
      <c r="G84" t="inlineStr">
        <is>
          <t>2017-09</t>
        </is>
      </c>
      <c r="H84" t="inlineStr">
        <is>
          <t>2026-07</t>
        </is>
      </c>
      <c r="JW84" s="2">
        <v>68.33</v>
      </c>
      <c r="JX84" s="2">
        <v>77.26000000000001</v>
      </c>
      <c r="JY84" s="2">
        <v>81.31</v>
      </c>
      <c r="JZ84" s="2">
        <v>82.3</v>
      </c>
      <c r="KE84" s="2">
        <v>78.84999999999999</v>
      </c>
      <c r="KF84" s="2">
        <v>80.29000000000001</v>
      </c>
      <c r="KG84" s="2">
        <v>78.7</v>
      </c>
      <c r="KH84" s="2">
        <v>76.40000000000001</v>
      </c>
      <c r="KI84" s="2">
        <v>76.22</v>
      </c>
      <c r="KJ84" s="2">
        <v>77.94</v>
      </c>
      <c r="KK84" s="2">
        <v>79.53</v>
      </c>
      <c r="KL84" s="2">
        <v>77.47</v>
      </c>
      <c r="KM84" s="2">
        <v>76.59</v>
      </c>
      <c r="KN84" s="2">
        <v>82.77</v>
      </c>
      <c r="KO84" s="2">
        <v>81.94</v>
      </c>
      <c r="KP84" s="2">
        <v>81.34</v>
      </c>
      <c r="KU84" s="2">
        <v>79.26000000000001</v>
      </c>
      <c r="KV84" s="2">
        <v>87.78</v>
      </c>
      <c r="KW84" s="2">
        <v>87.09</v>
      </c>
      <c r="KX84" s="2">
        <v>78.28</v>
      </c>
      <c r="KY84" s="2">
        <v>81.81</v>
      </c>
      <c r="KZ84" s="2">
        <v>80.66</v>
      </c>
      <c r="LA84" s="2">
        <v>79.42</v>
      </c>
      <c r="LB84" s="2">
        <v>78.09999999999999</v>
      </c>
      <c r="LC84" s="2">
        <v>74.48999999999999</v>
      </c>
      <c r="LD84" s="2">
        <v>78.94</v>
      </c>
      <c r="LE84" s="2">
        <v>81.33</v>
      </c>
      <c r="LF84" s="2">
        <v>87.63</v>
      </c>
      <c r="LK84" s="2">
        <v>82.61</v>
      </c>
      <c r="LL84" s="2">
        <v>85.59999999999999</v>
      </c>
      <c r="LM84" s="2">
        <v>89.69</v>
      </c>
      <c r="LN84" s="2">
        <v>85.72</v>
      </c>
      <c r="LO84" s="2">
        <v>83.77</v>
      </c>
      <c r="LP84" s="2">
        <v>88.90000000000001</v>
      </c>
      <c r="LQ84" s="2">
        <v>84.68000000000001</v>
      </c>
      <c r="LR84" s="2">
        <v>85.88</v>
      </c>
      <c r="LS84" s="2">
        <v>84.33</v>
      </c>
      <c r="LT84" s="2">
        <v>85.42</v>
      </c>
      <c r="LU84" s="2">
        <v>88.41</v>
      </c>
      <c r="LV84" s="2">
        <v>91.65000000000001</v>
      </c>
      <c r="MA84" s="2">
        <v>86.40000000000001</v>
      </c>
      <c r="MB84" s="2">
        <v>87.81</v>
      </c>
      <c r="MC84" s="2">
        <v>83.92</v>
      </c>
      <c r="MD84" s="2">
        <v>89.98999999999999</v>
      </c>
      <c r="ME84" s="2">
        <v>92.33</v>
      </c>
      <c r="MF84" s="2">
        <v>88.12</v>
      </c>
      <c r="MG84" s="2">
        <v>86.47</v>
      </c>
      <c r="MH84" s="2">
        <v>82.83</v>
      </c>
      <c r="MI84" s="2">
        <v>76.29000000000001</v>
      </c>
      <c r="MJ84" s="2">
        <v>77.84</v>
      </c>
      <c r="MK84" s="2">
        <v>81.03</v>
      </c>
      <c r="ML84" s="2">
        <v>82.68000000000001</v>
      </c>
      <c r="MQ84" s="2">
        <v>83.22</v>
      </c>
      <c r="MR84" s="2">
        <v>86.84</v>
      </c>
      <c r="MS84" s="2">
        <v>85.18000000000001</v>
      </c>
      <c r="MT84" s="2">
        <v>85.88</v>
      </c>
      <c r="MU84" s="2">
        <v>88.8</v>
      </c>
      <c r="MV84" s="2">
        <v>89.51000000000001</v>
      </c>
      <c r="MW84" s="2">
        <v>95.68000000000001</v>
      </c>
      <c r="MX84" s="2">
        <v>98.04000000000001</v>
      </c>
      <c r="MY84" s="2">
        <v>91.09</v>
      </c>
      <c r="MZ84" s="2">
        <v>88.11</v>
      </c>
      <c r="NA84" s="2">
        <v>92.56</v>
      </c>
      <c r="NB84" s="2">
        <v>95.73999999999999</v>
      </c>
      <c r="NG84" s="2">
        <v>91.36</v>
      </c>
      <c r="NH84" s="2">
        <v>96.34</v>
      </c>
      <c r="NI84" s="2">
        <v>96.95999999999999</v>
      </c>
      <c r="NJ84" s="2">
        <v>93.20999999999999</v>
      </c>
      <c r="NK84" s="2">
        <v>93.73999999999999</v>
      </c>
      <c r="NL84" s="2">
        <v>98.90000000000001</v>
      </c>
      <c r="NM84" s="2">
        <v>97.47</v>
      </c>
      <c r="NN84" s="2">
        <v>94.7</v>
      </c>
      <c r="NO84" s="2">
        <v>90.77</v>
      </c>
      <c r="NP84" s="2">
        <v>93.33</v>
      </c>
      <c r="NQ84" s="2">
        <v>94.09999999999999</v>
      </c>
      <c r="NR84" s="2">
        <v>92.3</v>
      </c>
      <c r="NW84" s="2">
        <v>90.04000000000001</v>
      </c>
      <c r="NX84" s="2">
        <v>90.29000000000001</v>
      </c>
      <c r="NY84" s="2">
        <v>90.28</v>
      </c>
      <c r="NZ84" s="2">
        <v>96.8</v>
      </c>
      <c r="OA84" s="2">
        <v>99.47</v>
      </c>
      <c r="OB84" s="2">
        <v>103.02</v>
      </c>
      <c r="OC84" s="2">
        <v>106.66</v>
      </c>
      <c r="OD84" s="2">
        <v>104.8</v>
      </c>
      <c r="OE84" s="2">
        <v>98.59999999999999</v>
      </c>
      <c r="OF84" s="2">
        <v>100.75</v>
      </c>
      <c r="OG84" s="2">
        <v>100.83</v>
      </c>
      <c r="OH84" s="2">
        <v>97.88</v>
      </c>
      <c r="OM84" s="2">
        <v>101.11</v>
      </c>
      <c r="ON84" s="2">
        <v>100.06</v>
      </c>
      <c r="OO84" s="2">
        <v>102.67</v>
      </c>
      <c r="OP84" s="2">
        <v>106.85</v>
      </c>
      <c r="OQ84" s="2">
        <v>104.02</v>
      </c>
      <c r="OR84" s="2">
        <v>105.19</v>
      </c>
      <c r="OS84" s="2">
        <v>107.16</v>
      </c>
      <c r="OT84" s="2">
        <v>106.32</v>
      </c>
      <c r="OU84" s="2">
        <v>100</v>
      </c>
      <c r="OV84" s="2">
        <v>103.1</v>
      </c>
      <c r="OW84" s="2">
        <v>104.03</v>
      </c>
      <c r="OX84" s="2">
        <v>102</v>
      </c>
      <c r="PC84" s="2">
        <v>101.84</v>
      </c>
      <c r="PD84" s="2">
        <v>103.79</v>
      </c>
      <c r="PE84" s="2">
        <v>107.12</v>
      </c>
      <c r="PF84" s="2">
        <v>104.74</v>
      </c>
      <c r="PG84" s="2">
        <v>108.39</v>
      </c>
      <c r="PH84" s="2">
        <v>112.41</v>
      </c>
      <c r="PI84" s="2">
        <v>110.5</v>
      </c>
    </row>
    <row r="85">
      <c r="A85" t="inlineStr">
        <is>
          <t>A130397487T</t>
        </is>
      </c>
      <c r="B85" t="inlineStr">
        <is>
          <t>Index Numbers ;  Vegetables ;  Australia ;</t>
        </is>
      </c>
      <c r="C85" t="inlineStr">
        <is>
          <t>Month</t>
        </is>
      </c>
      <c r="D85" t="inlineStr">
        <is>
          <t>Index Numbers</t>
        </is>
      </c>
      <c r="E85" t="inlineStr">
        <is>
          <t>Original</t>
        </is>
      </c>
      <c r="F85" t="inlineStr">
        <is>
          <t>640103.xlsx</t>
        </is>
      </c>
      <c r="G85" t="inlineStr">
        <is>
          <t>2017-09</t>
        </is>
      </c>
      <c r="H85" t="inlineStr">
        <is>
          <t>2026-07</t>
        </is>
      </c>
      <c r="JW85" s="2">
        <v>74.84</v>
      </c>
      <c r="JX85" s="2">
        <v>75.39</v>
      </c>
      <c r="JY85" s="2">
        <v>78.97</v>
      </c>
      <c r="JZ85" s="2">
        <v>78.44</v>
      </c>
      <c r="KE85" s="2">
        <v>80.84</v>
      </c>
      <c r="KF85" s="2">
        <v>80.78</v>
      </c>
      <c r="KG85" s="2">
        <v>79.7</v>
      </c>
      <c r="KH85" s="2">
        <v>78.41</v>
      </c>
      <c r="KI85" s="2">
        <v>76.56999999999999</v>
      </c>
      <c r="KJ85" s="2">
        <v>78.8</v>
      </c>
      <c r="KK85" s="2">
        <v>77.37</v>
      </c>
      <c r="KL85" s="2">
        <v>79.75</v>
      </c>
      <c r="KM85" s="2">
        <v>80</v>
      </c>
      <c r="KN85" s="2">
        <v>78.3</v>
      </c>
      <c r="KO85" s="2">
        <v>77</v>
      </c>
      <c r="KP85" s="2">
        <v>79.31</v>
      </c>
      <c r="KU85" s="2">
        <v>80.29000000000001</v>
      </c>
      <c r="KV85" s="2">
        <v>83.87</v>
      </c>
      <c r="KW85" s="2">
        <v>87.40000000000001</v>
      </c>
      <c r="KX85" s="2">
        <v>85</v>
      </c>
      <c r="KY85" s="2">
        <v>81.8</v>
      </c>
      <c r="KZ85" s="2">
        <v>80.42</v>
      </c>
      <c r="LA85" s="2">
        <v>80.23</v>
      </c>
      <c r="LB85" s="2">
        <v>80.13</v>
      </c>
      <c r="LC85" s="2">
        <v>80.59999999999999</v>
      </c>
      <c r="LD85" s="2">
        <v>80.05</v>
      </c>
      <c r="LE85" s="2">
        <v>80.54000000000001</v>
      </c>
      <c r="LF85" s="2">
        <v>82.36</v>
      </c>
      <c r="LK85" s="2">
        <v>84.88</v>
      </c>
      <c r="LL85" s="2">
        <v>87.12</v>
      </c>
      <c r="LM85" s="2">
        <v>91.75</v>
      </c>
      <c r="LN85" s="2">
        <v>88.83</v>
      </c>
      <c r="LO85" s="2">
        <v>85.62</v>
      </c>
      <c r="LP85" s="2">
        <v>87.72</v>
      </c>
      <c r="LQ85" s="2">
        <v>87.02</v>
      </c>
      <c r="LR85" s="2">
        <v>88.42</v>
      </c>
      <c r="LS85" s="2">
        <v>84.06</v>
      </c>
      <c r="LT85" s="2">
        <v>81.72</v>
      </c>
      <c r="LU85" s="2">
        <v>82.16</v>
      </c>
      <c r="LV85" s="2">
        <v>82.68000000000001</v>
      </c>
      <c r="MA85" s="2">
        <v>84.26000000000001</v>
      </c>
      <c r="MB85" s="2">
        <v>81.67</v>
      </c>
      <c r="MC85" s="2">
        <v>81.36</v>
      </c>
      <c r="MD85" s="2">
        <v>83.43000000000001</v>
      </c>
      <c r="ME85" s="2">
        <v>88.5</v>
      </c>
      <c r="MF85" s="2">
        <v>89.59999999999999</v>
      </c>
      <c r="MG85" s="2">
        <v>88.15000000000001</v>
      </c>
      <c r="MH85" s="2">
        <v>88.45</v>
      </c>
      <c r="MI85" s="2">
        <v>86.39</v>
      </c>
      <c r="MJ85" s="2">
        <v>85.75</v>
      </c>
      <c r="MK85" s="2">
        <v>86.76000000000001</v>
      </c>
      <c r="ML85" s="2">
        <v>89.45999999999999</v>
      </c>
      <c r="MQ85" s="2">
        <v>91.40000000000001</v>
      </c>
      <c r="MR85" s="2">
        <v>92.48</v>
      </c>
      <c r="MS85" s="2">
        <v>95.47</v>
      </c>
      <c r="MT85" s="2">
        <v>97.45999999999999</v>
      </c>
      <c r="MU85" s="2">
        <v>98.83</v>
      </c>
      <c r="MV85" s="2">
        <v>103.01</v>
      </c>
      <c r="MW85" s="2">
        <v>104.21</v>
      </c>
      <c r="MX85" s="2">
        <v>105.79</v>
      </c>
      <c r="MY85" s="2">
        <v>100.08</v>
      </c>
      <c r="MZ85" s="2">
        <v>91.72</v>
      </c>
      <c r="NA85" s="2">
        <v>92.17</v>
      </c>
      <c r="NB85" s="2">
        <v>94.64</v>
      </c>
      <c r="NG85" s="2">
        <v>93.20999999999999</v>
      </c>
      <c r="NH85" s="2">
        <v>94.67</v>
      </c>
      <c r="NI85" s="2">
        <v>96</v>
      </c>
      <c r="NJ85" s="2">
        <v>97.58</v>
      </c>
      <c r="NK85" s="2">
        <v>99.58</v>
      </c>
      <c r="NL85" s="2">
        <v>97.5</v>
      </c>
      <c r="NM85" s="2">
        <v>93.53</v>
      </c>
      <c r="NN85" s="2">
        <v>93.44</v>
      </c>
      <c r="NO85" s="2">
        <v>91.33</v>
      </c>
      <c r="NP85" s="2">
        <v>89.38</v>
      </c>
      <c r="NQ85" s="2">
        <v>92.06999999999999</v>
      </c>
      <c r="NR85" s="2">
        <v>93.51000000000001</v>
      </c>
      <c r="NW85" s="2">
        <v>96.62</v>
      </c>
      <c r="NX85" s="2">
        <v>98.28</v>
      </c>
      <c r="NY85" s="2">
        <v>99.04000000000001</v>
      </c>
      <c r="NZ85" s="2">
        <v>100.58</v>
      </c>
      <c r="OA85" s="2">
        <v>102.66</v>
      </c>
      <c r="OB85" s="2">
        <v>100.39</v>
      </c>
      <c r="OC85" s="2">
        <v>98.94</v>
      </c>
      <c r="OD85" s="2">
        <v>101.58</v>
      </c>
      <c r="OE85" s="2">
        <v>99.84999999999999</v>
      </c>
      <c r="OF85" s="2">
        <v>97.26000000000001</v>
      </c>
      <c r="OG85" s="2">
        <v>96.81999999999999</v>
      </c>
      <c r="OH85" s="2">
        <v>96.59</v>
      </c>
      <c r="OM85" s="2">
        <v>99.78</v>
      </c>
      <c r="ON85" s="2">
        <v>99.7</v>
      </c>
      <c r="OO85" s="2">
        <v>102.43</v>
      </c>
      <c r="OP85" s="2">
        <v>103.49</v>
      </c>
      <c r="OQ85" s="2">
        <v>104.27</v>
      </c>
      <c r="OR85" s="2">
        <v>107.59</v>
      </c>
      <c r="OS85" s="2">
        <v>107.36</v>
      </c>
      <c r="OT85" s="2">
        <v>102.45</v>
      </c>
      <c r="OU85" s="2">
        <v>100</v>
      </c>
      <c r="OV85" s="2">
        <v>98.48</v>
      </c>
      <c r="OW85" s="2">
        <v>98.95999999999999</v>
      </c>
      <c r="OX85" s="2">
        <v>100.27</v>
      </c>
      <c r="PC85" s="2">
        <v>101.77</v>
      </c>
      <c r="PD85" s="2">
        <v>100.19</v>
      </c>
      <c r="PE85" s="2">
        <v>102.23</v>
      </c>
      <c r="PF85" s="2">
        <v>105.44</v>
      </c>
      <c r="PG85" s="2">
        <v>104.5</v>
      </c>
      <c r="PH85" s="2">
        <v>103.08</v>
      </c>
      <c r="PI85" s="2">
        <v>102.98</v>
      </c>
    </row>
    <row r="86">
      <c r="A86" t="inlineStr">
        <is>
          <t>A130391480T</t>
        </is>
      </c>
      <c r="B86" t="inlineStr">
        <is>
          <t>Index Numbers ;  Food products n.e.c. ;  Australia ;</t>
        </is>
      </c>
      <c r="C86" t="inlineStr">
        <is>
          <t>Month</t>
        </is>
      </c>
      <c r="D86" t="inlineStr">
        <is>
          <t>Index Numbers</t>
        </is>
      </c>
      <c r="E86" t="inlineStr">
        <is>
          <t>Original</t>
        </is>
      </c>
      <c r="F86" t="inlineStr">
        <is>
          <t>640103.xlsx</t>
        </is>
      </c>
      <c r="G86" t="inlineStr">
        <is>
          <t>2017-09</t>
        </is>
      </c>
      <c r="H86" t="inlineStr">
        <is>
          <t>2026-07</t>
        </is>
      </c>
      <c r="JW86" s="2">
        <v>73.53</v>
      </c>
      <c r="JX86" s="2">
        <v>73.73999999999999</v>
      </c>
      <c r="JY86" s="2">
        <v>73.90000000000001</v>
      </c>
      <c r="JZ86" s="2">
        <v>74.47</v>
      </c>
      <c r="KE86" s="2">
        <v>74.72</v>
      </c>
      <c r="KF86" s="2">
        <v>73.95999999999999</v>
      </c>
      <c r="KG86" s="2">
        <v>73.91</v>
      </c>
      <c r="KH86" s="2">
        <v>73.86</v>
      </c>
      <c r="KI86" s="2">
        <v>73.28</v>
      </c>
      <c r="KJ86" s="2">
        <v>73.28</v>
      </c>
      <c r="KK86" s="2">
        <v>73.69</v>
      </c>
      <c r="KL86" s="2">
        <v>73.98999999999999</v>
      </c>
      <c r="KM86" s="2">
        <v>73.06999999999999</v>
      </c>
      <c r="KN86" s="2">
        <v>73.79000000000001</v>
      </c>
      <c r="KO86" s="2">
        <v>73.75</v>
      </c>
      <c r="KP86" s="2">
        <v>74.3</v>
      </c>
      <c r="KU86" s="2">
        <v>74.77</v>
      </c>
      <c r="KV86" s="2">
        <v>74.37</v>
      </c>
      <c r="KW86" s="2">
        <v>74.09999999999999</v>
      </c>
      <c r="KX86" s="2">
        <v>74.15000000000001</v>
      </c>
      <c r="KY86" s="2">
        <v>73.66</v>
      </c>
      <c r="KZ86" s="2">
        <v>73.62</v>
      </c>
      <c r="LA86" s="2">
        <v>74.33</v>
      </c>
      <c r="LB86" s="2">
        <v>74.34</v>
      </c>
      <c r="LC86" s="2">
        <v>73.90000000000001</v>
      </c>
      <c r="LD86" s="2">
        <v>74.73</v>
      </c>
      <c r="LE86" s="2">
        <v>75.44</v>
      </c>
      <c r="LF86" s="2">
        <v>75.8</v>
      </c>
      <c r="LK86" s="2">
        <v>76.69</v>
      </c>
      <c r="LL86" s="2">
        <v>75.95</v>
      </c>
      <c r="LM86" s="2">
        <v>78.34999999999999</v>
      </c>
      <c r="LN86" s="2">
        <v>80.65000000000001</v>
      </c>
      <c r="LO86" s="2">
        <v>77.65000000000001</v>
      </c>
      <c r="LP86" s="2">
        <v>76.90000000000001</v>
      </c>
      <c r="LQ86" s="2">
        <v>77.31999999999999</v>
      </c>
      <c r="LR86" s="2">
        <v>77.16</v>
      </c>
      <c r="LS86" s="2">
        <v>76.88</v>
      </c>
      <c r="LT86" s="2">
        <v>77.44</v>
      </c>
      <c r="LU86" s="2">
        <v>77.45999999999999</v>
      </c>
      <c r="LV86" s="2">
        <v>78.03</v>
      </c>
      <c r="MA86" s="2">
        <v>78.62</v>
      </c>
      <c r="MB86" s="2">
        <v>77.65000000000001</v>
      </c>
      <c r="MC86" s="2">
        <v>77.5</v>
      </c>
      <c r="MD86" s="2">
        <v>77.59</v>
      </c>
      <c r="ME86" s="2">
        <v>76.92</v>
      </c>
      <c r="MF86" s="2">
        <v>77.28</v>
      </c>
      <c r="MG86" s="2">
        <v>77.87</v>
      </c>
      <c r="MH86" s="2">
        <v>78.05</v>
      </c>
      <c r="MI86" s="2">
        <v>78.03</v>
      </c>
      <c r="MJ86" s="2">
        <v>78.43000000000001</v>
      </c>
      <c r="MK86" s="2">
        <v>78.81</v>
      </c>
      <c r="ML86" s="2">
        <v>79.3</v>
      </c>
      <c r="MQ86" s="2">
        <v>80.73999999999999</v>
      </c>
      <c r="MR86" s="2">
        <v>81.09</v>
      </c>
      <c r="MS86" s="2">
        <v>81.56999999999999</v>
      </c>
      <c r="MT86" s="2">
        <v>82.02</v>
      </c>
      <c r="MU86" s="2">
        <v>81.88</v>
      </c>
      <c r="MV86" s="2">
        <v>82.97</v>
      </c>
      <c r="MW86" s="2">
        <v>84.45999999999999</v>
      </c>
      <c r="MX86" s="2">
        <v>85.76000000000001</v>
      </c>
      <c r="MY86" s="2">
        <v>86.22</v>
      </c>
      <c r="MZ86" s="2">
        <v>87.01000000000001</v>
      </c>
      <c r="NA86" s="2">
        <v>87.43000000000001</v>
      </c>
      <c r="NB86" s="2">
        <v>88.79000000000001</v>
      </c>
      <c r="NG86" s="2">
        <v>89.69</v>
      </c>
      <c r="NH86" s="2">
        <v>90.66</v>
      </c>
      <c r="NI86" s="2">
        <v>91.2</v>
      </c>
      <c r="NJ86" s="2">
        <v>91.54000000000001</v>
      </c>
      <c r="NK86" s="2">
        <v>91.3</v>
      </c>
      <c r="NL86" s="2">
        <v>91.65000000000001</v>
      </c>
      <c r="NM86" s="2">
        <v>91.48</v>
      </c>
      <c r="NN86" s="2">
        <v>91.66</v>
      </c>
      <c r="NO86" s="2">
        <v>92.12</v>
      </c>
      <c r="NP86" s="2">
        <v>92.38</v>
      </c>
      <c r="NQ86" s="2">
        <v>93.23999999999999</v>
      </c>
      <c r="NR86" s="2">
        <v>94.75</v>
      </c>
      <c r="NW86" s="2">
        <v>95.87</v>
      </c>
      <c r="NX86" s="2">
        <v>95.04000000000001</v>
      </c>
      <c r="NY86" s="2">
        <v>94.75</v>
      </c>
      <c r="NZ86" s="2">
        <v>95.38</v>
      </c>
      <c r="OA86" s="2">
        <v>95</v>
      </c>
      <c r="OB86" s="2">
        <v>95.02</v>
      </c>
      <c r="OC86" s="2">
        <v>95.48</v>
      </c>
      <c r="OD86" s="2">
        <v>95.48999999999999</v>
      </c>
      <c r="OE86" s="2">
        <v>95.87</v>
      </c>
      <c r="OF86" s="2">
        <v>95.88</v>
      </c>
      <c r="OG86" s="2">
        <v>96.34</v>
      </c>
      <c r="OH86" s="2">
        <v>97.58</v>
      </c>
      <c r="OM86" s="2">
        <v>98.88</v>
      </c>
      <c r="ON86" s="2">
        <v>97.62</v>
      </c>
      <c r="OO86" s="2">
        <v>97.89</v>
      </c>
      <c r="OP86" s="2">
        <v>98.84999999999999</v>
      </c>
      <c r="OQ86" s="2">
        <v>98.56</v>
      </c>
      <c r="OR86" s="2">
        <v>98.61</v>
      </c>
      <c r="OS86" s="2">
        <v>98.98</v>
      </c>
      <c r="OT86" s="2">
        <v>99.45</v>
      </c>
      <c r="OU86" s="2">
        <v>100</v>
      </c>
      <c r="OV86" s="2">
        <v>99.53</v>
      </c>
      <c r="OW86" s="2">
        <v>99.77</v>
      </c>
      <c r="OX86" s="2">
        <v>100.66</v>
      </c>
      <c r="PC86" s="2">
        <v>101.76</v>
      </c>
      <c r="PD86" s="2">
        <v>100.66</v>
      </c>
      <c r="PE86" s="2">
        <v>100.76</v>
      </c>
      <c r="PF86" s="2">
        <v>101</v>
      </c>
      <c r="PG86" s="2">
        <v>100.11</v>
      </c>
      <c r="PH86" s="2">
        <v>99.89</v>
      </c>
      <c r="PI86" s="2">
        <v>99.91</v>
      </c>
    </row>
    <row r="87">
      <c r="A87" t="inlineStr">
        <is>
          <t>A130390619F</t>
        </is>
      </c>
      <c r="B87" t="inlineStr">
        <is>
          <t>Index Numbers ;  Eggs ;  Australia ;</t>
        </is>
      </c>
      <c r="C87" t="inlineStr">
        <is>
          <t>Month</t>
        </is>
      </c>
      <c r="D87" t="inlineStr">
        <is>
          <t>Index Numbers</t>
        </is>
      </c>
      <c r="E87" t="inlineStr">
        <is>
          <t>Original</t>
        </is>
      </c>
      <c r="F87" t="inlineStr">
        <is>
          <t>640103.xlsx</t>
        </is>
      </c>
      <c r="G87" t="inlineStr">
        <is>
          <t>2017-09</t>
        </is>
      </c>
      <c r="H87" t="inlineStr">
        <is>
          <t>2026-07</t>
        </is>
      </c>
      <c r="JW87" s="2">
        <v>63.4</v>
      </c>
      <c r="JX87" s="2">
        <v>62.94</v>
      </c>
      <c r="JY87" s="2">
        <v>63.23</v>
      </c>
      <c r="JZ87" s="2">
        <v>63.33</v>
      </c>
      <c r="KE87" s="2">
        <v>62.86</v>
      </c>
      <c r="KF87" s="2">
        <v>63.14</v>
      </c>
      <c r="KG87" s="2">
        <v>63.62</v>
      </c>
      <c r="KH87" s="2">
        <v>63.93</v>
      </c>
      <c r="KI87" s="2">
        <v>63.4</v>
      </c>
      <c r="KJ87" s="2">
        <v>63.6</v>
      </c>
      <c r="KK87" s="2">
        <v>63.26</v>
      </c>
      <c r="KL87" s="2">
        <v>63.09</v>
      </c>
      <c r="KM87" s="2">
        <v>62.97</v>
      </c>
      <c r="KN87" s="2">
        <v>63.3</v>
      </c>
      <c r="KO87" s="2">
        <v>63.33</v>
      </c>
      <c r="KP87" s="2">
        <v>63.65</v>
      </c>
      <c r="KU87" s="2">
        <v>63.65</v>
      </c>
      <c r="KV87" s="2">
        <v>63.45</v>
      </c>
      <c r="KW87" s="2">
        <v>63.67</v>
      </c>
      <c r="KX87" s="2">
        <v>64.14</v>
      </c>
      <c r="KY87" s="2">
        <v>64.20999999999999</v>
      </c>
      <c r="KZ87" s="2">
        <v>64.53</v>
      </c>
      <c r="LA87" s="2">
        <v>65.45</v>
      </c>
      <c r="LB87" s="2">
        <v>66.09999999999999</v>
      </c>
      <c r="LC87" s="2">
        <v>66.29000000000001</v>
      </c>
      <c r="LD87" s="2">
        <v>66.73999999999999</v>
      </c>
      <c r="LE87" s="2">
        <v>66.73</v>
      </c>
      <c r="LF87" s="2">
        <v>66.87</v>
      </c>
      <c r="LK87" s="2">
        <v>66.97</v>
      </c>
      <c r="LL87" s="2">
        <v>67.31</v>
      </c>
      <c r="LM87" s="2">
        <v>67.84999999999999</v>
      </c>
      <c r="LN87" s="2">
        <v>68.81</v>
      </c>
      <c r="LO87" s="2">
        <v>68.69</v>
      </c>
      <c r="LP87" s="2">
        <v>68.58</v>
      </c>
      <c r="LQ87" s="2">
        <v>68.56999999999999</v>
      </c>
      <c r="LR87" s="2">
        <v>68.54000000000001</v>
      </c>
      <c r="LS87" s="2">
        <v>68.5</v>
      </c>
      <c r="LT87" s="2">
        <v>68.12</v>
      </c>
      <c r="LU87" s="2">
        <v>67.8</v>
      </c>
      <c r="LV87" s="2">
        <v>68.17</v>
      </c>
      <c r="MA87" s="2">
        <v>68.25</v>
      </c>
      <c r="MB87" s="2">
        <v>68.26000000000001</v>
      </c>
      <c r="MC87" s="2">
        <v>67.73</v>
      </c>
      <c r="MD87" s="2">
        <v>67.72</v>
      </c>
      <c r="ME87" s="2">
        <v>67.70999999999999</v>
      </c>
      <c r="MF87" s="2">
        <v>68.39</v>
      </c>
      <c r="MG87" s="2">
        <v>68.53</v>
      </c>
      <c r="MH87" s="2">
        <v>68.56999999999999</v>
      </c>
      <c r="MI87" s="2">
        <v>68.31999999999999</v>
      </c>
      <c r="MJ87" s="2">
        <v>68.58</v>
      </c>
      <c r="MK87" s="2">
        <v>67.84999999999999</v>
      </c>
      <c r="ML87" s="2">
        <v>68.12</v>
      </c>
      <c r="MQ87" s="2">
        <v>68.72</v>
      </c>
      <c r="MR87" s="2">
        <v>69.05</v>
      </c>
      <c r="MS87" s="2">
        <v>69.53</v>
      </c>
      <c r="MT87" s="2">
        <v>70</v>
      </c>
      <c r="MU87" s="2">
        <v>70.36</v>
      </c>
      <c r="MV87" s="2">
        <v>73.91</v>
      </c>
      <c r="MW87" s="2">
        <v>74.8</v>
      </c>
      <c r="MX87" s="2">
        <v>75.5</v>
      </c>
      <c r="MY87" s="2">
        <v>75.75</v>
      </c>
      <c r="MZ87" s="2">
        <v>75.87</v>
      </c>
      <c r="NA87" s="2">
        <v>75.97</v>
      </c>
      <c r="NB87" s="2">
        <v>76.04000000000001</v>
      </c>
      <c r="NG87" s="2">
        <v>76.23999999999999</v>
      </c>
      <c r="NH87" s="2">
        <v>78.63</v>
      </c>
      <c r="NI87" s="2">
        <v>78.98999999999999</v>
      </c>
      <c r="NJ87" s="2">
        <v>79.02</v>
      </c>
      <c r="NK87" s="2">
        <v>79.5</v>
      </c>
      <c r="NL87" s="2">
        <v>80.19</v>
      </c>
      <c r="NM87" s="2">
        <v>80.59</v>
      </c>
      <c r="NN87" s="2">
        <v>80.72</v>
      </c>
      <c r="NO87" s="2">
        <v>82.54000000000001</v>
      </c>
      <c r="NP87" s="2">
        <v>84.06999999999999</v>
      </c>
      <c r="NQ87" s="2">
        <v>83.88</v>
      </c>
      <c r="NR87" s="2">
        <v>84.14</v>
      </c>
      <c r="NW87" s="2">
        <v>84</v>
      </c>
      <c r="NX87" s="2">
        <v>84.2</v>
      </c>
      <c r="NY87" s="2">
        <v>84.41</v>
      </c>
      <c r="NZ87" s="2">
        <v>84.40000000000001</v>
      </c>
      <c r="OA87" s="2">
        <v>84.70999999999999</v>
      </c>
      <c r="OB87" s="2">
        <v>85.02</v>
      </c>
      <c r="OC87" s="2">
        <v>86</v>
      </c>
      <c r="OD87" s="2">
        <v>87.97</v>
      </c>
      <c r="OE87" s="2">
        <v>92.18000000000001</v>
      </c>
      <c r="OF87" s="2">
        <v>93.08</v>
      </c>
      <c r="OG87" s="2">
        <v>93.59</v>
      </c>
      <c r="OH87" s="2">
        <v>93.78</v>
      </c>
      <c r="OM87" s="2">
        <v>94.13</v>
      </c>
      <c r="ON87" s="2">
        <v>94.23999999999999</v>
      </c>
      <c r="OO87" s="2">
        <v>95.79000000000001</v>
      </c>
      <c r="OP87" s="2">
        <v>100.1</v>
      </c>
      <c r="OQ87" s="2">
        <v>101.04</v>
      </c>
      <c r="OR87" s="2">
        <v>101.55</v>
      </c>
      <c r="OS87" s="2">
        <v>101.42</v>
      </c>
      <c r="OT87" s="2">
        <v>101.15</v>
      </c>
      <c r="OU87" s="2">
        <v>100</v>
      </c>
      <c r="OV87" s="2">
        <v>98.84999999999999</v>
      </c>
      <c r="OW87" s="2">
        <v>97.73999999999999</v>
      </c>
      <c r="OX87" s="2">
        <v>96.68000000000001</v>
      </c>
      <c r="PC87" s="2">
        <v>96.62</v>
      </c>
      <c r="PD87" s="2">
        <v>97.39</v>
      </c>
      <c r="PE87" s="2">
        <v>97.47</v>
      </c>
      <c r="PF87" s="2">
        <v>96.45999999999999</v>
      </c>
      <c r="PG87" s="2">
        <v>96.84</v>
      </c>
      <c r="PH87" s="2">
        <v>96.02</v>
      </c>
      <c r="PI87" s="2">
        <v>96.08</v>
      </c>
    </row>
    <row r="88">
      <c r="A88" t="inlineStr">
        <is>
          <t>A130391963K</t>
        </is>
      </c>
      <c r="B88" t="inlineStr">
        <is>
          <t>Index Numbers ;  Jams, honey and spreads ;  Australia ;</t>
        </is>
      </c>
      <c r="C88" t="inlineStr">
        <is>
          <t>Month</t>
        </is>
      </c>
      <c r="D88" t="inlineStr">
        <is>
          <t>Index Numbers</t>
        </is>
      </c>
      <c r="E88" t="inlineStr">
        <is>
          <t>Original</t>
        </is>
      </c>
      <c r="F88" t="inlineStr">
        <is>
          <t>640103.xlsx</t>
        </is>
      </c>
      <c r="G88" t="inlineStr">
        <is>
          <t>2017-09</t>
        </is>
      </c>
      <c r="H88" t="inlineStr">
        <is>
          <t>2026-07</t>
        </is>
      </c>
      <c r="JW88" s="2">
        <v>80.18000000000001</v>
      </c>
      <c r="JX88" s="2">
        <v>80.67</v>
      </c>
      <c r="JY88" s="2">
        <v>80.34</v>
      </c>
      <c r="JZ88" s="2">
        <v>80.37</v>
      </c>
      <c r="KE88" s="2">
        <v>80.34</v>
      </c>
      <c r="KF88" s="2">
        <v>78.90000000000001</v>
      </c>
      <c r="KG88" s="2">
        <v>80.44</v>
      </c>
      <c r="KH88" s="2">
        <v>78.06</v>
      </c>
      <c r="KI88" s="2">
        <v>80.3</v>
      </c>
      <c r="KJ88" s="2">
        <v>79.29000000000001</v>
      </c>
      <c r="KK88" s="2">
        <v>80.22</v>
      </c>
      <c r="KL88" s="2">
        <v>79.84999999999999</v>
      </c>
      <c r="KM88" s="2">
        <v>79.98999999999999</v>
      </c>
      <c r="KN88" s="2">
        <v>79.89</v>
      </c>
      <c r="KO88" s="2">
        <v>79.56</v>
      </c>
      <c r="KP88" s="2">
        <v>80.47</v>
      </c>
      <c r="KU88" s="2">
        <v>80.28</v>
      </c>
      <c r="KV88" s="2">
        <v>80.45999999999999</v>
      </c>
      <c r="KW88" s="2">
        <v>80.73999999999999</v>
      </c>
      <c r="KX88" s="2">
        <v>80.95999999999999</v>
      </c>
      <c r="KY88" s="2">
        <v>80.52</v>
      </c>
      <c r="KZ88" s="2">
        <v>81.03</v>
      </c>
      <c r="LA88" s="2">
        <v>80.20999999999999</v>
      </c>
      <c r="LB88" s="2">
        <v>81.31999999999999</v>
      </c>
      <c r="LC88" s="2">
        <v>80.48999999999999</v>
      </c>
      <c r="LD88" s="2">
        <v>80.59999999999999</v>
      </c>
      <c r="LE88" s="2">
        <v>80.34999999999999</v>
      </c>
      <c r="LF88" s="2">
        <v>82.25</v>
      </c>
      <c r="LK88" s="2">
        <v>81.92</v>
      </c>
      <c r="LL88" s="2">
        <v>81.44</v>
      </c>
      <c r="LM88" s="2">
        <v>85</v>
      </c>
      <c r="LN88" s="2">
        <v>86.18000000000001</v>
      </c>
      <c r="LO88" s="2">
        <v>85.06</v>
      </c>
      <c r="LP88" s="2">
        <v>84.64</v>
      </c>
      <c r="LQ88" s="2">
        <v>84.2</v>
      </c>
      <c r="LR88" s="2">
        <v>85.37</v>
      </c>
      <c r="LS88" s="2">
        <v>85.48999999999999</v>
      </c>
      <c r="LT88" s="2">
        <v>84.79000000000001</v>
      </c>
      <c r="LU88" s="2">
        <v>84.45999999999999</v>
      </c>
      <c r="LV88" s="2">
        <v>85.68000000000001</v>
      </c>
      <c r="MA88" s="2">
        <v>84.31999999999999</v>
      </c>
      <c r="MB88" s="2">
        <v>83.84999999999999</v>
      </c>
      <c r="MC88" s="2">
        <v>84.90000000000001</v>
      </c>
      <c r="MD88" s="2">
        <v>84.98</v>
      </c>
      <c r="ME88" s="2">
        <v>84.81</v>
      </c>
      <c r="MF88" s="2">
        <v>85.23</v>
      </c>
      <c r="MG88" s="2">
        <v>84.53</v>
      </c>
      <c r="MH88" s="2">
        <v>84.91</v>
      </c>
      <c r="MI88" s="2">
        <v>85.5</v>
      </c>
      <c r="MJ88" s="2">
        <v>85.62</v>
      </c>
      <c r="MK88" s="2">
        <v>85.34999999999999</v>
      </c>
      <c r="ML88" s="2">
        <v>86.28</v>
      </c>
      <c r="MQ88" s="2">
        <v>85.95999999999999</v>
      </c>
      <c r="MR88" s="2">
        <v>86.05</v>
      </c>
      <c r="MS88" s="2">
        <v>87.28</v>
      </c>
      <c r="MT88" s="2">
        <v>87.58</v>
      </c>
      <c r="MU88" s="2">
        <v>86.98</v>
      </c>
      <c r="MV88" s="2">
        <v>88.63</v>
      </c>
      <c r="MW88" s="2">
        <v>90.42</v>
      </c>
      <c r="MX88" s="2">
        <v>92.06999999999999</v>
      </c>
      <c r="MY88" s="2">
        <v>91.81</v>
      </c>
      <c r="MZ88" s="2">
        <v>91.86</v>
      </c>
      <c r="NA88" s="2">
        <v>92.03</v>
      </c>
      <c r="NB88" s="2">
        <v>93.11</v>
      </c>
      <c r="NG88" s="2">
        <v>92.76000000000001</v>
      </c>
      <c r="NH88" s="2">
        <v>92.31</v>
      </c>
      <c r="NI88" s="2">
        <v>93.75</v>
      </c>
      <c r="NJ88" s="2">
        <v>92.55</v>
      </c>
      <c r="NK88" s="2">
        <v>92.61</v>
      </c>
      <c r="NL88" s="2">
        <v>93.70999999999999</v>
      </c>
      <c r="NM88" s="2">
        <v>94.37</v>
      </c>
      <c r="NN88" s="2">
        <v>95.55</v>
      </c>
      <c r="NO88" s="2">
        <v>95.28</v>
      </c>
      <c r="NP88" s="2">
        <v>96.33</v>
      </c>
      <c r="NQ88" s="2">
        <v>96.43000000000001</v>
      </c>
      <c r="NR88" s="2">
        <v>97.31999999999999</v>
      </c>
      <c r="NW88" s="2">
        <v>96.83</v>
      </c>
      <c r="NX88" s="2">
        <v>96.36</v>
      </c>
      <c r="NY88" s="2">
        <v>97.05</v>
      </c>
      <c r="NZ88" s="2">
        <v>96.04000000000001</v>
      </c>
      <c r="OA88" s="2">
        <v>95.81</v>
      </c>
      <c r="OB88" s="2">
        <v>96.37</v>
      </c>
      <c r="OC88" s="2">
        <v>95.86</v>
      </c>
      <c r="OD88" s="2">
        <v>97.62</v>
      </c>
      <c r="OE88" s="2">
        <v>96.59999999999999</v>
      </c>
      <c r="OF88" s="2">
        <v>97.70999999999999</v>
      </c>
      <c r="OG88" s="2">
        <v>97.81999999999999</v>
      </c>
      <c r="OH88" s="2">
        <v>97.61</v>
      </c>
      <c r="OM88" s="2">
        <v>97.62</v>
      </c>
      <c r="ON88" s="2">
        <v>97.15000000000001</v>
      </c>
      <c r="OO88" s="2">
        <v>97.83</v>
      </c>
      <c r="OP88" s="2">
        <v>97.58</v>
      </c>
      <c r="OQ88" s="2">
        <v>97.18000000000001</v>
      </c>
      <c r="OR88" s="2">
        <v>97.87</v>
      </c>
      <c r="OS88" s="2">
        <v>97.70999999999999</v>
      </c>
      <c r="OT88" s="2">
        <v>98.94</v>
      </c>
      <c r="OU88" s="2">
        <v>100</v>
      </c>
      <c r="OV88" s="2">
        <v>99.53</v>
      </c>
      <c r="OW88" s="2">
        <v>100.17</v>
      </c>
      <c r="OX88" s="2">
        <v>100.23</v>
      </c>
      <c r="PC88" s="2">
        <v>101.03</v>
      </c>
      <c r="PD88" s="2">
        <v>100.14</v>
      </c>
      <c r="PE88" s="2">
        <v>101.33</v>
      </c>
      <c r="PF88" s="2">
        <v>100.58</v>
      </c>
      <c r="PG88" s="2">
        <v>100.56</v>
      </c>
      <c r="PH88" s="2">
        <v>100.38</v>
      </c>
      <c r="PI88" s="2">
        <v>101.01</v>
      </c>
    </row>
    <row r="89">
      <c r="A89" t="inlineStr">
        <is>
          <t>A130392215W</t>
        </is>
      </c>
      <c r="B89" t="inlineStr">
        <is>
          <t>Index Numbers ;  Food additives and condiments ;  Australia ;</t>
        </is>
      </c>
      <c r="C89" t="inlineStr">
        <is>
          <t>Month</t>
        </is>
      </c>
      <c r="D89" t="inlineStr">
        <is>
          <t>Index Numbers</t>
        </is>
      </c>
      <c r="E89" t="inlineStr">
        <is>
          <t>Original</t>
        </is>
      </c>
      <c r="F89" t="inlineStr">
        <is>
          <t>640103.xlsx</t>
        </is>
      </c>
      <c r="G89" t="inlineStr">
        <is>
          <t>2017-09</t>
        </is>
      </c>
      <c r="H89" t="inlineStr">
        <is>
          <t>2026-07</t>
        </is>
      </c>
      <c r="JW89" s="2">
        <v>80.94</v>
      </c>
      <c r="JX89" s="2">
        <v>81.45</v>
      </c>
      <c r="JY89" s="2">
        <v>81.81</v>
      </c>
      <c r="JZ89" s="2">
        <v>80.79000000000001</v>
      </c>
      <c r="KE89" s="2">
        <v>82.45999999999999</v>
      </c>
      <c r="KF89" s="2">
        <v>82.06</v>
      </c>
      <c r="KG89" s="2">
        <v>82</v>
      </c>
      <c r="KH89" s="2">
        <v>80.91</v>
      </c>
      <c r="KI89" s="2">
        <v>80.68000000000001</v>
      </c>
      <c r="KJ89" s="2">
        <v>80.89</v>
      </c>
      <c r="KK89" s="2">
        <v>81.05</v>
      </c>
      <c r="KL89" s="2">
        <v>80.95</v>
      </c>
      <c r="KM89" s="2">
        <v>79.2</v>
      </c>
      <c r="KN89" s="2">
        <v>81.16</v>
      </c>
      <c r="KO89" s="2">
        <v>80.98</v>
      </c>
      <c r="KP89" s="2">
        <v>79.70999999999999</v>
      </c>
      <c r="KU89" s="2">
        <v>81.5</v>
      </c>
      <c r="KV89" s="2">
        <v>81.76000000000001</v>
      </c>
      <c r="KW89" s="2">
        <v>81.63</v>
      </c>
      <c r="KX89" s="2">
        <v>79.8</v>
      </c>
      <c r="KY89" s="2">
        <v>80.34</v>
      </c>
      <c r="KZ89" s="2">
        <v>80.68000000000001</v>
      </c>
      <c r="LA89" s="2">
        <v>80.89</v>
      </c>
      <c r="LB89" s="2">
        <v>81.34999999999999</v>
      </c>
      <c r="LC89" s="2">
        <v>80.03</v>
      </c>
      <c r="LD89" s="2">
        <v>81.34</v>
      </c>
      <c r="LE89" s="2">
        <v>81.76000000000001</v>
      </c>
      <c r="LF89" s="2">
        <v>80.61</v>
      </c>
      <c r="LK89" s="2">
        <v>82.34</v>
      </c>
      <c r="LL89" s="2">
        <v>82.48999999999999</v>
      </c>
      <c r="LM89" s="2">
        <v>84.27</v>
      </c>
      <c r="LN89" s="2">
        <v>85.33</v>
      </c>
      <c r="LO89" s="2">
        <v>83.16</v>
      </c>
      <c r="LP89" s="2">
        <v>82.41</v>
      </c>
      <c r="LQ89" s="2">
        <v>82.76000000000001</v>
      </c>
      <c r="LR89" s="2">
        <v>82.84</v>
      </c>
      <c r="LS89" s="2">
        <v>83.01000000000001</v>
      </c>
      <c r="LT89" s="2">
        <v>82.66</v>
      </c>
      <c r="LU89" s="2">
        <v>83.11</v>
      </c>
      <c r="LV89" s="2">
        <v>82.08</v>
      </c>
      <c r="MA89" s="2">
        <v>83.84</v>
      </c>
      <c r="MB89" s="2">
        <v>83.59</v>
      </c>
      <c r="MC89" s="2">
        <v>83.36</v>
      </c>
      <c r="MD89" s="2">
        <v>82.41</v>
      </c>
      <c r="ME89" s="2">
        <v>82.56</v>
      </c>
      <c r="MF89" s="2">
        <v>82.67</v>
      </c>
      <c r="MG89" s="2">
        <v>83.61</v>
      </c>
      <c r="MH89" s="2">
        <v>83.76000000000001</v>
      </c>
      <c r="MI89" s="2">
        <v>83.77</v>
      </c>
      <c r="MJ89" s="2">
        <v>84.36</v>
      </c>
      <c r="MK89" s="2">
        <v>84.70999999999999</v>
      </c>
      <c r="ML89" s="2">
        <v>83.88</v>
      </c>
      <c r="MQ89" s="2">
        <v>86.20999999999999</v>
      </c>
      <c r="MR89" s="2">
        <v>88.36</v>
      </c>
      <c r="MS89" s="2">
        <v>88.42</v>
      </c>
      <c r="MT89" s="2">
        <v>88.20999999999999</v>
      </c>
      <c r="MU89" s="2">
        <v>89</v>
      </c>
      <c r="MV89" s="2">
        <v>89.63</v>
      </c>
      <c r="MW89" s="2">
        <v>91.11</v>
      </c>
      <c r="MX89" s="2">
        <v>91.42</v>
      </c>
      <c r="MY89" s="2">
        <v>91.83</v>
      </c>
      <c r="MZ89" s="2">
        <v>92.64</v>
      </c>
      <c r="NA89" s="2">
        <v>92.86</v>
      </c>
      <c r="NB89" s="2">
        <v>91.98</v>
      </c>
      <c r="NG89" s="2">
        <v>93.97</v>
      </c>
      <c r="NH89" s="2">
        <v>96.16</v>
      </c>
      <c r="NI89" s="2">
        <v>95.81</v>
      </c>
      <c r="NJ89" s="2">
        <v>96.25</v>
      </c>
      <c r="NK89" s="2">
        <v>96.34999999999999</v>
      </c>
      <c r="NL89" s="2">
        <v>96.3</v>
      </c>
      <c r="NM89" s="2">
        <v>96.39</v>
      </c>
      <c r="NN89" s="2">
        <v>97.20999999999999</v>
      </c>
      <c r="NO89" s="2">
        <v>97.19</v>
      </c>
      <c r="NP89" s="2">
        <v>97.56999999999999</v>
      </c>
      <c r="NQ89" s="2">
        <v>96.70999999999999</v>
      </c>
      <c r="NR89" s="2">
        <v>97.36</v>
      </c>
      <c r="NW89" s="2">
        <v>98.70999999999999</v>
      </c>
      <c r="NX89" s="2">
        <v>99.13</v>
      </c>
      <c r="NY89" s="2">
        <v>98.26000000000001</v>
      </c>
      <c r="NZ89" s="2">
        <v>98.79000000000001</v>
      </c>
      <c r="OA89" s="2">
        <v>98.06999999999999</v>
      </c>
      <c r="OB89" s="2">
        <v>98.23999999999999</v>
      </c>
      <c r="OC89" s="2">
        <v>97.69</v>
      </c>
      <c r="OD89" s="2">
        <v>98.58</v>
      </c>
      <c r="OE89" s="2">
        <v>98.03</v>
      </c>
      <c r="OF89" s="2">
        <v>98.61</v>
      </c>
      <c r="OG89" s="2">
        <v>98.39</v>
      </c>
      <c r="OH89" s="2">
        <v>98.8</v>
      </c>
      <c r="OM89" s="2">
        <v>100.19</v>
      </c>
      <c r="ON89" s="2">
        <v>99.67</v>
      </c>
      <c r="OO89" s="2">
        <v>99.63</v>
      </c>
      <c r="OP89" s="2">
        <v>98.84999999999999</v>
      </c>
      <c r="OQ89" s="2">
        <v>99.19</v>
      </c>
      <c r="OR89" s="2">
        <v>99.04000000000001</v>
      </c>
      <c r="OS89" s="2">
        <v>99.28</v>
      </c>
      <c r="OT89" s="2">
        <v>100.03</v>
      </c>
      <c r="OU89" s="2">
        <v>100</v>
      </c>
      <c r="OV89" s="2">
        <v>100.62</v>
      </c>
      <c r="OW89" s="2">
        <v>100.52</v>
      </c>
      <c r="OX89" s="2">
        <v>99.90000000000001</v>
      </c>
      <c r="PC89" s="2">
        <v>101.57</v>
      </c>
      <c r="PD89" s="2">
        <v>100.47</v>
      </c>
      <c r="PE89" s="2">
        <v>100.37</v>
      </c>
      <c r="PF89" s="2">
        <v>100.27</v>
      </c>
      <c r="PG89" s="2">
        <v>100.7</v>
      </c>
      <c r="PH89" s="2">
        <v>100.19</v>
      </c>
      <c r="PI89" s="2">
        <v>100.01</v>
      </c>
    </row>
    <row r="90">
      <c r="A90" t="inlineStr">
        <is>
          <t>A130394819W</t>
        </is>
      </c>
      <c r="B90" t="inlineStr">
        <is>
          <t>Index Numbers ;  Oils and fats ;  Australia ;</t>
        </is>
      </c>
      <c r="C90" t="inlineStr">
        <is>
          <t>Month</t>
        </is>
      </c>
      <c r="D90" t="inlineStr">
        <is>
          <t>Index Numbers</t>
        </is>
      </c>
      <c r="E90" t="inlineStr">
        <is>
          <t>Original</t>
        </is>
      </c>
      <c r="F90" t="inlineStr">
        <is>
          <t>640103.xlsx</t>
        </is>
      </c>
      <c r="G90" t="inlineStr">
        <is>
          <t>2017-09</t>
        </is>
      </c>
      <c r="H90" t="inlineStr">
        <is>
          <t>2026-07</t>
        </is>
      </c>
      <c r="JW90" s="2">
        <v>63.41</v>
      </c>
      <c r="JX90" s="2">
        <v>64.23</v>
      </c>
      <c r="JY90" s="2">
        <v>65.25</v>
      </c>
      <c r="JZ90" s="2">
        <v>66.36</v>
      </c>
      <c r="KE90" s="2">
        <v>65.54000000000001</v>
      </c>
      <c r="KF90" s="2">
        <v>65.26000000000001</v>
      </c>
      <c r="KG90" s="2">
        <v>65.27</v>
      </c>
      <c r="KH90" s="2">
        <v>66.02</v>
      </c>
      <c r="KI90" s="2">
        <v>65.15000000000001</v>
      </c>
      <c r="KJ90" s="2">
        <v>64.83</v>
      </c>
      <c r="KK90" s="2">
        <v>66.26000000000001</v>
      </c>
      <c r="KL90" s="2">
        <v>66.7</v>
      </c>
      <c r="KM90" s="2">
        <v>66.06999999999999</v>
      </c>
      <c r="KN90" s="2">
        <v>67.04000000000001</v>
      </c>
      <c r="KO90" s="2">
        <v>66.8</v>
      </c>
      <c r="KP90" s="2">
        <v>67.48999999999999</v>
      </c>
      <c r="KU90" s="2">
        <v>67.31</v>
      </c>
      <c r="KV90" s="2">
        <v>67.06</v>
      </c>
      <c r="KW90" s="2">
        <v>65.98999999999999</v>
      </c>
      <c r="KX90" s="2">
        <v>66.8</v>
      </c>
      <c r="KY90" s="2">
        <v>66.09</v>
      </c>
      <c r="KZ90" s="2">
        <v>66.37</v>
      </c>
      <c r="LA90" s="2">
        <v>66.93000000000001</v>
      </c>
      <c r="LB90" s="2">
        <v>66.65000000000001</v>
      </c>
      <c r="LC90" s="2">
        <v>66.38</v>
      </c>
      <c r="LD90" s="2">
        <v>66.84999999999999</v>
      </c>
      <c r="LE90" s="2">
        <v>67.05</v>
      </c>
      <c r="LF90" s="2">
        <v>66.8</v>
      </c>
      <c r="LK90" s="2">
        <v>67.59999999999999</v>
      </c>
      <c r="LL90" s="2">
        <v>66.72</v>
      </c>
      <c r="LM90" s="2">
        <v>68.44</v>
      </c>
      <c r="LN90" s="2">
        <v>71.36</v>
      </c>
      <c r="LO90" s="2">
        <v>68.78</v>
      </c>
      <c r="LP90" s="2">
        <v>67.19</v>
      </c>
      <c r="LQ90" s="2">
        <v>68.34999999999999</v>
      </c>
      <c r="LR90" s="2">
        <v>67.94</v>
      </c>
      <c r="LS90" s="2">
        <v>67.02</v>
      </c>
      <c r="LT90" s="2">
        <v>67.67</v>
      </c>
      <c r="LU90" s="2">
        <v>67.95</v>
      </c>
      <c r="LV90" s="2">
        <v>67.5</v>
      </c>
      <c r="MA90" s="2">
        <v>68.72</v>
      </c>
      <c r="MB90" s="2">
        <v>68.25</v>
      </c>
      <c r="MC90" s="2">
        <v>69</v>
      </c>
      <c r="MD90" s="2">
        <v>69.09</v>
      </c>
      <c r="ME90" s="2">
        <v>68.73999999999999</v>
      </c>
      <c r="MF90" s="2">
        <v>68.64</v>
      </c>
      <c r="MG90" s="2">
        <v>70.29000000000001</v>
      </c>
      <c r="MH90" s="2">
        <v>70.29000000000001</v>
      </c>
      <c r="MI90" s="2">
        <v>70.45999999999999</v>
      </c>
      <c r="MJ90" s="2">
        <v>70.70999999999999</v>
      </c>
      <c r="MK90" s="2">
        <v>71.54000000000001</v>
      </c>
      <c r="ML90" s="2">
        <v>70.66</v>
      </c>
      <c r="MQ90" s="2">
        <v>72.84999999999999</v>
      </c>
      <c r="MR90" s="2">
        <v>74.40000000000001</v>
      </c>
      <c r="MS90" s="2">
        <v>75.36</v>
      </c>
      <c r="MT90" s="2">
        <v>77.23999999999999</v>
      </c>
      <c r="MU90" s="2">
        <v>77.69</v>
      </c>
      <c r="MV90" s="2">
        <v>79.34</v>
      </c>
      <c r="MW90" s="2">
        <v>82.93000000000001</v>
      </c>
      <c r="MX90" s="2">
        <v>84.75</v>
      </c>
      <c r="MY90" s="2">
        <v>84.2</v>
      </c>
      <c r="MZ90" s="2">
        <v>84.06999999999999</v>
      </c>
      <c r="NA90" s="2">
        <v>86.09</v>
      </c>
      <c r="NB90" s="2">
        <v>87.20999999999999</v>
      </c>
      <c r="NG90" s="2">
        <v>87.87</v>
      </c>
      <c r="NH90" s="2">
        <v>88.63</v>
      </c>
      <c r="NI90" s="2">
        <v>89.06999999999999</v>
      </c>
      <c r="NJ90" s="2">
        <v>89.28</v>
      </c>
      <c r="NK90" s="2">
        <v>89.55</v>
      </c>
      <c r="NL90" s="2">
        <v>89.38</v>
      </c>
      <c r="NM90" s="2">
        <v>90.92</v>
      </c>
      <c r="NN90" s="2">
        <v>92.73999999999999</v>
      </c>
      <c r="NO90" s="2">
        <v>91.77</v>
      </c>
      <c r="NP90" s="2">
        <v>92.14</v>
      </c>
      <c r="NQ90" s="2">
        <v>93.83</v>
      </c>
      <c r="NR90" s="2">
        <v>93.03</v>
      </c>
      <c r="NW90" s="2">
        <v>95.22</v>
      </c>
      <c r="NX90" s="2">
        <v>95.61</v>
      </c>
      <c r="NY90" s="2">
        <v>94.77</v>
      </c>
      <c r="NZ90" s="2">
        <v>99.08</v>
      </c>
      <c r="OA90" s="2">
        <v>99.7</v>
      </c>
      <c r="OB90" s="2">
        <v>100.48</v>
      </c>
      <c r="OC90" s="2">
        <v>100.91</v>
      </c>
      <c r="OD90" s="2">
        <v>100.68</v>
      </c>
      <c r="OE90" s="2">
        <v>99.7</v>
      </c>
      <c r="OF90" s="2">
        <v>100</v>
      </c>
      <c r="OG90" s="2">
        <v>100.34</v>
      </c>
      <c r="OH90" s="2">
        <v>99.68000000000001</v>
      </c>
      <c r="OM90" s="2">
        <v>100.91</v>
      </c>
      <c r="ON90" s="2">
        <v>100.88</v>
      </c>
      <c r="OO90" s="2">
        <v>99.19</v>
      </c>
      <c r="OP90" s="2">
        <v>99.84999999999999</v>
      </c>
      <c r="OQ90" s="2">
        <v>100.16</v>
      </c>
      <c r="OR90" s="2">
        <v>98.95</v>
      </c>
      <c r="OS90" s="2">
        <v>99.45999999999999</v>
      </c>
      <c r="OT90" s="2">
        <v>99.42</v>
      </c>
      <c r="OU90" s="2">
        <v>100</v>
      </c>
      <c r="OV90" s="2">
        <v>98.36</v>
      </c>
      <c r="OW90" s="2">
        <v>98.31</v>
      </c>
      <c r="OX90" s="2">
        <v>97.67</v>
      </c>
      <c r="PC90" s="2">
        <v>98.68000000000001</v>
      </c>
      <c r="PD90" s="2">
        <v>99.68000000000001</v>
      </c>
      <c r="PE90" s="2">
        <v>99.33</v>
      </c>
      <c r="PF90" s="2">
        <v>99.61</v>
      </c>
      <c r="PG90" s="2">
        <v>99.73999999999999</v>
      </c>
      <c r="PH90" s="2">
        <v>101.22</v>
      </c>
      <c r="PI90" s="2">
        <v>101.62</v>
      </c>
    </row>
    <row r="91">
      <c r="A91" t="inlineStr">
        <is>
          <t>A130396254K</t>
        </is>
      </c>
      <c r="B91" t="inlineStr">
        <is>
          <t>Index Numbers ;  Snacks and confectionery ;  Australia ;</t>
        </is>
      </c>
      <c r="C91" t="inlineStr">
        <is>
          <t>Month</t>
        </is>
      </c>
      <c r="D91" t="inlineStr">
        <is>
          <t>Index Numbers</t>
        </is>
      </c>
      <c r="E91" t="inlineStr">
        <is>
          <t>Original</t>
        </is>
      </c>
      <c r="F91" t="inlineStr">
        <is>
          <t>640103.xlsx</t>
        </is>
      </c>
      <c r="G91" t="inlineStr">
        <is>
          <t>2017-09</t>
        </is>
      </c>
      <c r="H91" t="inlineStr">
        <is>
          <t>2026-07</t>
        </is>
      </c>
      <c r="JW91" s="2">
        <v>71.97</v>
      </c>
      <c r="JX91" s="2">
        <v>72.03</v>
      </c>
      <c r="JY91" s="2">
        <v>71.61</v>
      </c>
      <c r="JZ91" s="2">
        <v>72.67</v>
      </c>
      <c r="KE91" s="2">
        <v>73.16</v>
      </c>
      <c r="KF91" s="2">
        <v>72.41</v>
      </c>
      <c r="KG91" s="2">
        <v>72.17</v>
      </c>
      <c r="KH91" s="2">
        <v>72.93000000000001</v>
      </c>
      <c r="KI91" s="2">
        <v>72.03</v>
      </c>
      <c r="KJ91" s="2">
        <v>71.90000000000001</v>
      </c>
      <c r="KK91" s="2">
        <v>72.29000000000001</v>
      </c>
      <c r="KL91" s="2">
        <v>72.88</v>
      </c>
      <c r="KM91" s="2">
        <v>71.64</v>
      </c>
      <c r="KN91" s="2">
        <v>72.17</v>
      </c>
      <c r="KO91" s="2">
        <v>71.79000000000001</v>
      </c>
      <c r="KP91" s="2">
        <v>72.55</v>
      </c>
      <c r="KU91" s="2">
        <v>73.3</v>
      </c>
      <c r="KV91" s="2">
        <v>72.94</v>
      </c>
      <c r="KW91" s="2">
        <v>73.06999999999999</v>
      </c>
      <c r="KX91" s="2">
        <v>73.23999999999999</v>
      </c>
      <c r="KY91" s="2">
        <v>72.84999999999999</v>
      </c>
      <c r="KZ91" s="2">
        <v>72.36</v>
      </c>
      <c r="LA91" s="2">
        <v>73.31999999999999</v>
      </c>
      <c r="LB91" s="2">
        <v>73</v>
      </c>
      <c r="LC91" s="2">
        <v>72.42</v>
      </c>
      <c r="LD91" s="2">
        <v>73.43000000000001</v>
      </c>
      <c r="LE91" s="2">
        <v>73.98999999999999</v>
      </c>
      <c r="LF91" s="2">
        <v>74.29000000000001</v>
      </c>
      <c r="LK91" s="2">
        <v>75.89</v>
      </c>
      <c r="LL91" s="2">
        <v>74.79000000000001</v>
      </c>
      <c r="LM91" s="2">
        <v>77.18000000000001</v>
      </c>
      <c r="LN91" s="2">
        <v>79.09999999999999</v>
      </c>
      <c r="LO91" s="2">
        <v>75.38</v>
      </c>
      <c r="LP91" s="2">
        <v>75.23999999999999</v>
      </c>
      <c r="LQ91" s="2">
        <v>75.92</v>
      </c>
      <c r="LR91" s="2">
        <v>76.04000000000001</v>
      </c>
      <c r="LS91" s="2">
        <v>75.5</v>
      </c>
      <c r="LT91" s="2">
        <v>76.28</v>
      </c>
      <c r="LU91" s="2">
        <v>75.92</v>
      </c>
      <c r="LV91" s="2">
        <v>76.78</v>
      </c>
      <c r="MA91" s="2">
        <v>77.95999999999999</v>
      </c>
      <c r="MB91" s="2">
        <v>76.17</v>
      </c>
      <c r="MC91" s="2">
        <v>76.38</v>
      </c>
      <c r="MD91" s="2">
        <v>76.34</v>
      </c>
      <c r="ME91" s="2">
        <v>75.45</v>
      </c>
      <c r="MF91" s="2">
        <v>76.04000000000001</v>
      </c>
      <c r="MG91" s="2">
        <v>76.18000000000001</v>
      </c>
      <c r="MH91" s="2">
        <v>76.31</v>
      </c>
      <c r="MI91" s="2">
        <v>76.27</v>
      </c>
      <c r="MJ91" s="2">
        <v>76.73999999999999</v>
      </c>
      <c r="MK91" s="2">
        <v>76.7</v>
      </c>
      <c r="ML91" s="2">
        <v>77.34999999999999</v>
      </c>
      <c r="MQ91" s="2">
        <v>79.31</v>
      </c>
      <c r="MR91" s="2">
        <v>78.55</v>
      </c>
      <c r="MS91" s="2">
        <v>79.70999999999999</v>
      </c>
      <c r="MT91" s="2">
        <v>79.84</v>
      </c>
      <c r="MU91" s="2">
        <v>78.81999999999999</v>
      </c>
      <c r="MV91" s="2">
        <v>80.22</v>
      </c>
      <c r="MW91" s="2">
        <v>80.98999999999999</v>
      </c>
      <c r="MX91" s="2">
        <v>82.17</v>
      </c>
      <c r="MY91" s="2">
        <v>83.26000000000001</v>
      </c>
      <c r="MZ91" s="2">
        <v>83.65000000000001</v>
      </c>
      <c r="NA91" s="2">
        <v>83.56999999999999</v>
      </c>
      <c r="NB91" s="2">
        <v>85.65000000000001</v>
      </c>
      <c r="NG91" s="2">
        <v>87.02</v>
      </c>
      <c r="NH91" s="2">
        <v>87.69</v>
      </c>
      <c r="NI91" s="2">
        <v>88.54000000000001</v>
      </c>
      <c r="NJ91" s="2">
        <v>88.67</v>
      </c>
      <c r="NK91" s="2">
        <v>88.3</v>
      </c>
      <c r="NL91" s="2">
        <v>88.90000000000001</v>
      </c>
      <c r="NM91" s="2">
        <v>88.15000000000001</v>
      </c>
      <c r="NN91" s="2">
        <v>87.55</v>
      </c>
      <c r="NO91" s="2">
        <v>88.7</v>
      </c>
      <c r="NP91" s="2">
        <v>88.23999999999999</v>
      </c>
      <c r="NQ91" s="2">
        <v>89.59</v>
      </c>
      <c r="NR91" s="2">
        <v>92.27</v>
      </c>
      <c r="NW91" s="2">
        <v>94.28</v>
      </c>
      <c r="NX91" s="2">
        <v>92.28</v>
      </c>
      <c r="NY91" s="2">
        <v>92.28</v>
      </c>
      <c r="NZ91" s="2">
        <v>93.3</v>
      </c>
      <c r="OA91" s="2">
        <v>92.5</v>
      </c>
      <c r="OB91" s="2">
        <v>92.20999999999999</v>
      </c>
      <c r="OC91" s="2">
        <v>93.05</v>
      </c>
      <c r="OD91" s="2">
        <v>92.14</v>
      </c>
      <c r="OE91" s="2">
        <v>92.92</v>
      </c>
      <c r="OF91" s="2">
        <v>92.06999999999999</v>
      </c>
      <c r="OG91" s="2">
        <v>92.81999999999999</v>
      </c>
      <c r="OH91" s="2">
        <v>95.01000000000001</v>
      </c>
      <c r="OM91" s="2">
        <v>97.55</v>
      </c>
      <c r="ON91" s="2">
        <v>95.03</v>
      </c>
      <c r="OO91" s="2">
        <v>95.84999999999999</v>
      </c>
      <c r="OP91" s="2">
        <v>98.27</v>
      </c>
      <c r="OQ91" s="2">
        <v>97.34</v>
      </c>
      <c r="OR91" s="2">
        <v>97.79000000000001</v>
      </c>
      <c r="OS91" s="2">
        <v>98.22</v>
      </c>
      <c r="OT91" s="2">
        <v>99</v>
      </c>
      <c r="OU91" s="2">
        <v>100</v>
      </c>
      <c r="OV91" s="2">
        <v>99.09999999999999</v>
      </c>
      <c r="OW91" s="2">
        <v>99.40000000000001</v>
      </c>
      <c r="OX91" s="2">
        <v>101.14</v>
      </c>
      <c r="PC91" s="2">
        <v>103.06</v>
      </c>
      <c r="PD91" s="2">
        <v>101.35</v>
      </c>
      <c r="PE91" s="2">
        <v>101.34</v>
      </c>
      <c r="PF91" s="2">
        <v>102.32</v>
      </c>
      <c r="PG91" s="2">
        <v>100.27</v>
      </c>
      <c r="PH91" s="2">
        <v>99.98999999999999</v>
      </c>
      <c r="PI91" s="2">
        <v>99.68000000000001</v>
      </c>
    </row>
    <row r="92">
      <c r="A92" t="inlineStr">
        <is>
          <t>A130390647R</t>
        </is>
      </c>
      <c r="B92" t="inlineStr">
        <is>
          <t>Index Numbers ;  Other food products n.e.c. ;  Australia ;</t>
        </is>
      </c>
      <c r="C92" t="inlineStr">
        <is>
          <t>Month</t>
        </is>
      </c>
      <c r="D92" t="inlineStr">
        <is>
          <t>Index Numbers</t>
        </is>
      </c>
      <c r="E92" t="inlineStr">
        <is>
          <t>Original</t>
        </is>
      </c>
      <c r="F92" t="inlineStr">
        <is>
          <t>640103.xlsx</t>
        </is>
      </c>
      <c r="G92" t="inlineStr">
        <is>
          <t>2017-09</t>
        </is>
      </c>
      <c r="H92" t="inlineStr">
        <is>
          <t>2026-07</t>
        </is>
      </c>
      <c r="JW92" s="2">
        <v>78.11</v>
      </c>
      <c r="JX92" s="2">
        <v>78.29000000000001</v>
      </c>
      <c r="JY92" s="2">
        <v>79.2</v>
      </c>
      <c r="JZ92" s="2">
        <v>79.72</v>
      </c>
      <c r="KE92" s="2">
        <v>79.47</v>
      </c>
      <c r="KF92" s="2">
        <v>78.2</v>
      </c>
      <c r="KG92" s="2">
        <v>77.95999999999999</v>
      </c>
      <c r="KH92" s="2">
        <v>77.11</v>
      </c>
      <c r="KI92" s="2">
        <v>76.39</v>
      </c>
      <c r="KJ92" s="2">
        <v>76.81999999999999</v>
      </c>
      <c r="KK92" s="2">
        <v>77.12</v>
      </c>
      <c r="KL92" s="2">
        <v>77.28</v>
      </c>
      <c r="KM92" s="2">
        <v>76.79000000000001</v>
      </c>
      <c r="KN92" s="2">
        <v>77.45</v>
      </c>
      <c r="KO92" s="2">
        <v>78.19</v>
      </c>
      <c r="KP92" s="2">
        <v>79.23</v>
      </c>
      <c r="KU92" s="2">
        <v>79.08</v>
      </c>
      <c r="KV92" s="2">
        <v>78.02</v>
      </c>
      <c r="KW92" s="2">
        <v>77</v>
      </c>
      <c r="KX92" s="2">
        <v>77.34</v>
      </c>
      <c r="KY92" s="2">
        <v>76.06</v>
      </c>
      <c r="KZ92" s="2">
        <v>76.26000000000001</v>
      </c>
      <c r="LA92" s="2">
        <v>77.17</v>
      </c>
      <c r="LB92" s="2">
        <v>77.23</v>
      </c>
      <c r="LC92" s="2">
        <v>77.36</v>
      </c>
      <c r="LD92" s="2">
        <v>78.03</v>
      </c>
      <c r="LE92" s="2">
        <v>79.77</v>
      </c>
      <c r="LF92" s="2">
        <v>80.95999999999999</v>
      </c>
      <c r="LK92" s="2">
        <v>80.73</v>
      </c>
      <c r="LL92" s="2">
        <v>79.88</v>
      </c>
      <c r="LM92" s="2">
        <v>83.15000000000001</v>
      </c>
      <c r="LN92" s="2">
        <v>87.11</v>
      </c>
      <c r="LO92" s="2">
        <v>83.53</v>
      </c>
      <c r="LP92" s="2">
        <v>81.83</v>
      </c>
      <c r="LQ92" s="2">
        <v>81.81999999999999</v>
      </c>
      <c r="LR92" s="2">
        <v>80.81</v>
      </c>
      <c r="LS92" s="2">
        <v>80.90000000000001</v>
      </c>
      <c r="LT92" s="2">
        <v>82.09</v>
      </c>
      <c r="LU92" s="2">
        <v>82.61</v>
      </c>
      <c r="LV92" s="2">
        <v>83.89</v>
      </c>
      <c r="MA92" s="2">
        <v>83.16</v>
      </c>
      <c r="MB92" s="2">
        <v>82.58</v>
      </c>
      <c r="MC92" s="2">
        <v>81.29000000000001</v>
      </c>
      <c r="MD92" s="2">
        <v>82.2</v>
      </c>
      <c r="ME92" s="2">
        <v>81.01000000000001</v>
      </c>
      <c r="MF92" s="2">
        <v>81.20999999999999</v>
      </c>
      <c r="MG92" s="2">
        <v>82.33</v>
      </c>
      <c r="MH92" s="2">
        <v>82.68000000000001</v>
      </c>
      <c r="MI92" s="2">
        <v>82.48999999999999</v>
      </c>
      <c r="MJ92" s="2">
        <v>82.84</v>
      </c>
      <c r="MK92" s="2">
        <v>84.28</v>
      </c>
      <c r="ML92" s="2">
        <v>85.87</v>
      </c>
      <c r="MQ92" s="2">
        <v>86.18000000000001</v>
      </c>
      <c r="MR92" s="2">
        <v>86.97</v>
      </c>
      <c r="MS92" s="2">
        <v>86.06</v>
      </c>
      <c r="MT92" s="2">
        <v>86.81999999999999</v>
      </c>
      <c r="MU92" s="2">
        <v>87.42</v>
      </c>
      <c r="MV92" s="2">
        <v>87.06</v>
      </c>
      <c r="MW92" s="2">
        <v>88.97</v>
      </c>
      <c r="MX92" s="2">
        <v>90.95</v>
      </c>
      <c r="MY92" s="2">
        <v>91.01000000000001</v>
      </c>
      <c r="MZ92" s="2">
        <v>93.39</v>
      </c>
      <c r="NA92" s="2">
        <v>94.23</v>
      </c>
      <c r="NB92" s="2">
        <v>96.18000000000001</v>
      </c>
      <c r="NG92" s="2">
        <v>96.2</v>
      </c>
      <c r="NH92" s="2">
        <v>96.98</v>
      </c>
      <c r="NI92" s="2">
        <v>97.39</v>
      </c>
      <c r="NJ92" s="2">
        <v>98.59999999999999</v>
      </c>
      <c r="NK92" s="2">
        <v>97.81999999999999</v>
      </c>
      <c r="NL92" s="2">
        <v>97.90000000000001</v>
      </c>
      <c r="NM92" s="2">
        <v>97.45999999999999</v>
      </c>
      <c r="NN92" s="2">
        <v>97.67</v>
      </c>
      <c r="NO92" s="2">
        <v>97.63</v>
      </c>
      <c r="NP92" s="2">
        <v>98.5</v>
      </c>
      <c r="NQ92" s="2">
        <v>99.63</v>
      </c>
      <c r="NR92" s="2">
        <v>101.16</v>
      </c>
      <c r="NW92" s="2">
        <v>100.63</v>
      </c>
      <c r="NX92" s="2">
        <v>100.26</v>
      </c>
      <c r="NY92" s="2">
        <v>99.67</v>
      </c>
      <c r="NZ92" s="2">
        <v>98.28</v>
      </c>
      <c r="OA92" s="2">
        <v>98.15000000000001</v>
      </c>
      <c r="OB92" s="2">
        <v>98.05</v>
      </c>
      <c r="OC92" s="2">
        <v>98.51000000000001</v>
      </c>
      <c r="OD92" s="2">
        <v>98.92</v>
      </c>
      <c r="OE92" s="2">
        <v>99.03</v>
      </c>
      <c r="OF92" s="2">
        <v>99.67</v>
      </c>
      <c r="OG92" s="2">
        <v>100.14</v>
      </c>
      <c r="OH92" s="2">
        <v>101.68</v>
      </c>
      <c r="OM92" s="2">
        <v>101.18</v>
      </c>
      <c r="ON92" s="2">
        <v>100.69</v>
      </c>
      <c r="OO92" s="2">
        <v>100.63</v>
      </c>
      <c r="OP92" s="2">
        <v>99.37</v>
      </c>
      <c r="OQ92" s="2">
        <v>99.31</v>
      </c>
      <c r="OR92" s="2">
        <v>99.06999999999999</v>
      </c>
      <c r="OS92" s="2">
        <v>99.61</v>
      </c>
      <c r="OT92" s="2">
        <v>99.59</v>
      </c>
      <c r="OU92" s="2">
        <v>100</v>
      </c>
      <c r="OV92" s="2">
        <v>100.44</v>
      </c>
      <c r="OW92" s="2">
        <v>101.24</v>
      </c>
      <c r="OX92" s="2">
        <v>102.92</v>
      </c>
      <c r="PC92" s="2">
        <v>102.57</v>
      </c>
      <c r="PD92" s="2">
        <v>100.99</v>
      </c>
      <c r="PE92" s="2">
        <v>101.38</v>
      </c>
      <c r="PF92" s="2">
        <v>100.99</v>
      </c>
      <c r="PG92" s="2">
        <v>100.45</v>
      </c>
      <c r="PH92" s="2">
        <v>99.81</v>
      </c>
      <c r="PI92" s="2">
        <v>100.24</v>
      </c>
    </row>
    <row r="93">
      <c r="A93" t="inlineStr">
        <is>
          <t>A130390227V</t>
        </is>
      </c>
      <c r="B93" t="inlineStr">
        <is>
          <t>Index Numbers ;  Non-alcoholic beverages ;  Australia ;</t>
        </is>
      </c>
      <c r="C93" t="inlineStr">
        <is>
          <t>Month</t>
        </is>
      </c>
      <c r="D93" t="inlineStr">
        <is>
          <t>Index Numbers</t>
        </is>
      </c>
      <c r="E93" t="inlineStr">
        <is>
          <t>Original</t>
        </is>
      </c>
      <c r="F93" t="inlineStr">
        <is>
          <t>640103.xlsx</t>
        </is>
      </c>
      <c r="G93" t="inlineStr">
        <is>
          <t>2017-09</t>
        </is>
      </c>
      <c r="H93" t="inlineStr">
        <is>
          <t>2026-07</t>
        </is>
      </c>
      <c r="JW93" s="2">
        <v>73.02</v>
      </c>
      <c r="JX93" s="2">
        <v>73.23999999999999</v>
      </c>
      <c r="JY93" s="2">
        <v>73.39</v>
      </c>
      <c r="JZ93" s="2">
        <v>74.34999999999999</v>
      </c>
      <c r="KE93" s="2">
        <v>75.51000000000001</v>
      </c>
      <c r="KF93" s="2">
        <v>75.20999999999999</v>
      </c>
      <c r="KG93" s="2">
        <v>75.18000000000001</v>
      </c>
      <c r="KH93" s="2">
        <v>75.31</v>
      </c>
      <c r="KI93" s="2">
        <v>75.08</v>
      </c>
      <c r="KJ93" s="2">
        <v>74.48</v>
      </c>
      <c r="KK93" s="2">
        <v>75.42</v>
      </c>
      <c r="KL93" s="2">
        <v>75.26000000000001</v>
      </c>
      <c r="KM93" s="2">
        <v>74.33</v>
      </c>
      <c r="KN93" s="2">
        <v>74.34</v>
      </c>
      <c r="KO93" s="2">
        <v>75.59</v>
      </c>
      <c r="KP93" s="2">
        <v>74.76000000000001</v>
      </c>
      <c r="KU93" s="2">
        <v>75.81999999999999</v>
      </c>
      <c r="KV93" s="2">
        <v>76.48</v>
      </c>
      <c r="KW93" s="2">
        <v>76.43000000000001</v>
      </c>
      <c r="KX93" s="2">
        <v>75.83</v>
      </c>
      <c r="KY93" s="2">
        <v>76.53</v>
      </c>
      <c r="KZ93" s="2">
        <v>75.76000000000001</v>
      </c>
      <c r="LA93" s="2">
        <v>76.87</v>
      </c>
      <c r="LB93" s="2">
        <v>76.53</v>
      </c>
      <c r="LC93" s="2">
        <v>75.72</v>
      </c>
      <c r="LD93" s="2">
        <v>75.59999999999999</v>
      </c>
      <c r="LE93" s="2">
        <v>75.36</v>
      </c>
      <c r="LF93" s="2">
        <v>74.64</v>
      </c>
      <c r="LK93" s="2">
        <v>75.84999999999999</v>
      </c>
      <c r="LL93" s="2">
        <v>76</v>
      </c>
      <c r="LM93" s="2">
        <v>77.95</v>
      </c>
      <c r="LN93" s="2">
        <v>79.68000000000001</v>
      </c>
      <c r="LO93" s="2">
        <v>78.5</v>
      </c>
      <c r="LP93" s="2">
        <v>77.51000000000001</v>
      </c>
      <c r="LQ93" s="2">
        <v>78.59999999999999</v>
      </c>
      <c r="LR93" s="2">
        <v>78.23999999999999</v>
      </c>
      <c r="LS93" s="2">
        <v>77.62</v>
      </c>
      <c r="LT93" s="2">
        <v>78.14</v>
      </c>
      <c r="LU93" s="2">
        <v>78.16</v>
      </c>
      <c r="LV93" s="2">
        <v>76.86</v>
      </c>
      <c r="MA93" s="2">
        <v>78.16</v>
      </c>
      <c r="MB93" s="2">
        <v>78.66</v>
      </c>
      <c r="MC93" s="2">
        <v>78.26000000000001</v>
      </c>
      <c r="MD93" s="2">
        <v>78.22</v>
      </c>
      <c r="ME93" s="2">
        <v>78.89</v>
      </c>
      <c r="MF93" s="2">
        <v>78.78</v>
      </c>
      <c r="MG93" s="2">
        <v>79.26000000000001</v>
      </c>
      <c r="MH93" s="2">
        <v>79.41</v>
      </c>
      <c r="MI93" s="2">
        <v>78.84</v>
      </c>
      <c r="MJ93" s="2">
        <v>78.97</v>
      </c>
      <c r="MK93" s="2">
        <v>78.62</v>
      </c>
      <c r="ML93" s="2">
        <v>79.05</v>
      </c>
      <c r="MQ93" s="2">
        <v>81.03</v>
      </c>
      <c r="MR93" s="2">
        <v>84.72</v>
      </c>
      <c r="MS93" s="2">
        <v>84.76000000000001</v>
      </c>
      <c r="MT93" s="2">
        <v>84.54000000000001</v>
      </c>
      <c r="MU93" s="2">
        <v>84.83</v>
      </c>
      <c r="MV93" s="2">
        <v>85.02</v>
      </c>
      <c r="MW93" s="2">
        <v>85.81999999999999</v>
      </c>
      <c r="MX93" s="2">
        <v>87.02</v>
      </c>
      <c r="MY93" s="2">
        <v>87.05</v>
      </c>
      <c r="MZ93" s="2">
        <v>87.78</v>
      </c>
      <c r="NA93" s="2">
        <v>87.34999999999999</v>
      </c>
      <c r="NB93" s="2">
        <v>86.61</v>
      </c>
      <c r="NG93" s="2">
        <v>89.08</v>
      </c>
      <c r="NH93" s="2">
        <v>90.26000000000001</v>
      </c>
      <c r="NI93" s="2">
        <v>90.92</v>
      </c>
      <c r="NJ93" s="2">
        <v>92.76000000000001</v>
      </c>
      <c r="NK93" s="2">
        <v>92.66</v>
      </c>
      <c r="NL93" s="2">
        <v>90.79000000000001</v>
      </c>
      <c r="NM93" s="2">
        <v>91.66</v>
      </c>
      <c r="NN93" s="2">
        <v>91.42</v>
      </c>
      <c r="NO93" s="2">
        <v>91.28</v>
      </c>
      <c r="NP93" s="2">
        <v>90.77</v>
      </c>
      <c r="NQ93" s="2">
        <v>92.02</v>
      </c>
      <c r="NR93" s="2">
        <v>92.7</v>
      </c>
      <c r="NW93" s="2">
        <v>94.19</v>
      </c>
      <c r="NX93" s="2">
        <v>94.73</v>
      </c>
      <c r="NY93" s="2">
        <v>95.90000000000001</v>
      </c>
      <c r="NZ93" s="2">
        <v>95.38</v>
      </c>
      <c r="OA93" s="2">
        <v>96.17</v>
      </c>
      <c r="OB93" s="2">
        <v>96.29000000000001</v>
      </c>
      <c r="OC93" s="2">
        <v>96.15000000000001</v>
      </c>
      <c r="OD93" s="2">
        <v>96.09</v>
      </c>
      <c r="OE93" s="2">
        <v>94.86</v>
      </c>
      <c r="OF93" s="2">
        <v>94.98</v>
      </c>
      <c r="OG93" s="2">
        <v>95.31</v>
      </c>
      <c r="OH93" s="2">
        <v>95.61</v>
      </c>
      <c r="OM93" s="2">
        <v>96.75</v>
      </c>
      <c r="ON93" s="2">
        <v>98.78</v>
      </c>
      <c r="OO93" s="2">
        <v>99.68000000000001</v>
      </c>
      <c r="OP93" s="2">
        <v>99.09999999999999</v>
      </c>
      <c r="OQ93" s="2">
        <v>101.13</v>
      </c>
      <c r="OR93" s="2">
        <v>101.53</v>
      </c>
      <c r="OS93" s="2">
        <v>101.61</v>
      </c>
      <c r="OT93" s="2">
        <v>100.81</v>
      </c>
      <c r="OU93" s="2">
        <v>100</v>
      </c>
      <c r="OV93" s="2">
        <v>99.58</v>
      </c>
      <c r="OW93" s="2">
        <v>99.78</v>
      </c>
      <c r="OX93" s="2">
        <v>99.47</v>
      </c>
      <c r="PC93" s="2">
        <v>100.03</v>
      </c>
      <c r="PD93" s="2">
        <v>100.75</v>
      </c>
      <c r="PE93" s="2">
        <v>101.84</v>
      </c>
      <c r="PF93" s="2">
        <v>101.13</v>
      </c>
      <c r="PG93" s="2">
        <v>102.62</v>
      </c>
      <c r="PH93" s="2">
        <v>103.61</v>
      </c>
      <c r="PI93" s="2">
        <v>103.61</v>
      </c>
    </row>
    <row r="94">
      <c r="A94" t="inlineStr">
        <is>
          <t>A130390640X</t>
        </is>
      </c>
      <c r="B94" t="inlineStr">
        <is>
          <t>Index Numbers ;  Coffee, tea and cocoa ;  Australia ;</t>
        </is>
      </c>
      <c r="C94" t="inlineStr">
        <is>
          <t>Month</t>
        </is>
      </c>
      <c r="D94" t="inlineStr">
        <is>
          <t>Index Numbers</t>
        </is>
      </c>
      <c r="E94" t="inlineStr">
        <is>
          <t>Original</t>
        </is>
      </c>
      <c r="F94" t="inlineStr">
        <is>
          <t>640103.xlsx</t>
        </is>
      </c>
      <c r="G94" t="inlineStr">
        <is>
          <t>2017-09</t>
        </is>
      </c>
      <c r="H94" t="inlineStr">
        <is>
          <t>2026-07</t>
        </is>
      </c>
      <c r="JW94" s="2">
        <v>69.29000000000001</v>
      </c>
      <c r="JX94" s="2">
        <v>69.76000000000001</v>
      </c>
      <c r="JY94" s="2">
        <v>70.53</v>
      </c>
      <c r="JZ94" s="2">
        <v>70.37</v>
      </c>
      <c r="KE94" s="2">
        <v>72.14</v>
      </c>
      <c r="KF94" s="2">
        <v>70.43000000000001</v>
      </c>
      <c r="KG94" s="2">
        <v>71.08</v>
      </c>
      <c r="KH94" s="2">
        <v>69.65000000000001</v>
      </c>
      <c r="KI94" s="2">
        <v>68.75</v>
      </c>
      <c r="KJ94" s="2">
        <v>68.69</v>
      </c>
      <c r="KK94" s="2">
        <v>70.81</v>
      </c>
      <c r="KL94" s="2">
        <v>69.76000000000001</v>
      </c>
      <c r="KM94" s="2">
        <v>69.84</v>
      </c>
      <c r="KN94" s="2">
        <v>69.86</v>
      </c>
      <c r="KO94" s="2">
        <v>71.06</v>
      </c>
      <c r="KP94" s="2">
        <v>71.92</v>
      </c>
      <c r="KU94" s="2">
        <v>71.72</v>
      </c>
      <c r="KV94" s="2">
        <v>71.8</v>
      </c>
      <c r="KW94" s="2">
        <v>71.83</v>
      </c>
      <c r="KX94" s="2">
        <v>70.81</v>
      </c>
      <c r="KY94" s="2">
        <v>70.95999999999999</v>
      </c>
      <c r="KZ94" s="2">
        <v>69.31999999999999</v>
      </c>
      <c r="LA94" s="2">
        <v>70.44</v>
      </c>
      <c r="LB94" s="2">
        <v>70.63</v>
      </c>
      <c r="LC94" s="2">
        <v>70.68000000000001</v>
      </c>
      <c r="LD94" s="2">
        <v>70.45</v>
      </c>
      <c r="LE94" s="2">
        <v>70.76000000000001</v>
      </c>
      <c r="LF94" s="2">
        <v>71.78</v>
      </c>
      <c r="LK94" s="2">
        <v>72.98999999999999</v>
      </c>
      <c r="LL94" s="2">
        <v>71.93000000000001</v>
      </c>
      <c r="LM94" s="2">
        <v>75.03</v>
      </c>
      <c r="LN94" s="2">
        <v>79.75</v>
      </c>
      <c r="LO94" s="2">
        <v>74.84999999999999</v>
      </c>
      <c r="LP94" s="2">
        <v>72.18000000000001</v>
      </c>
      <c r="LQ94" s="2">
        <v>73.91</v>
      </c>
      <c r="LR94" s="2">
        <v>72.52</v>
      </c>
      <c r="LS94" s="2">
        <v>73.77</v>
      </c>
      <c r="LT94" s="2">
        <v>73.97</v>
      </c>
      <c r="LU94" s="2">
        <v>72.18000000000001</v>
      </c>
      <c r="LV94" s="2">
        <v>72.84999999999999</v>
      </c>
      <c r="MA94" s="2">
        <v>73.78</v>
      </c>
      <c r="MB94" s="2">
        <v>72.45999999999999</v>
      </c>
      <c r="MC94" s="2">
        <v>72.06999999999999</v>
      </c>
      <c r="MD94" s="2">
        <v>72.43000000000001</v>
      </c>
      <c r="ME94" s="2">
        <v>72.3</v>
      </c>
      <c r="MF94" s="2">
        <v>71.81</v>
      </c>
      <c r="MG94" s="2">
        <v>72.37</v>
      </c>
      <c r="MH94" s="2">
        <v>71.97</v>
      </c>
      <c r="MI94" s="2">
        <v>73.23</v>
      </c>
      <c r="MJ94" s="2">
        <v>74.14</v>
      </c>
      <c r="MK94" s="2">
        <v>72.90000000000001</v>
      </c>
      <c r="ML94" s="2">
        <v>74.58</v>
      </c>
      <c r="MQ94" s="2">
        <v>77.33</v>
      </c>
      <c r="MR94" s="2">
        <v>77.94</v>
      </c>
      <c r="MS94" s="2">
        <v>81.16</v>
      </c>
      <c r="MT94" s="2">
        <v>80.28</v>
      </c>
      <c r="MU94" s="2">
        <v>79.17</v>
      </c>
      <c r="MV94" s="2">
        <v>78.98999999999999</v>
      </c>
      <c r="MW94" s="2">
        <v>79.81</v>
      </c>
      <c r="MX94" s="2">
        <v>80.64</v>
      </c>
      <c r="MY94" s="2">
        <v>82.5</v>
      </c>
      <c r="MZ94" s="2">
        <v>82.45</v>
      </c>
      <c r="NA94" s="2">
        <v>83.08</v>
      </c>
      <c r="NB94" s="2">
        <v>83.83</v>
      </c>
      <c r="NG94" s="2">
        <v>85</v>
      </c>
      <c r="NH94" s="2">
        <v>85.67</v>
      </c>
      <c r="NI94" s="2">
        <v>84.56</v>
      </c>
      <c r="NJ94" s="2">
        <v>85.22</v>
      </c>
      <c r="NK94" s="2">
        <v>84.36</v>
      </c>
      <c r="NL94" s="2">
        <v>84.15000000000001</v>
      </c>
      <c r="NM94" s="2">
        <v>84.65000000000001</v>
      </c>
      <c r="NN94" s="2">
        <v>84.65000000000001</v>
      </c>
      <c r="NO94" s="2">
        <v>85.62</v>
      </c>
      <c r="NP94" s="2">
        <v>85.22</v>
      </c>
      <c r="NQ94" s="2">
        <v>85.17</v>
      </c>
      <c r="NR94" s="2">
        <v>87.42</v>
      </c>
      <c r="NW94" s="2">
        <v>86.01000000000001</v>
      </c>
      <c r="NX94" s="2">
        <v>85.98999999999999</v>
      </c>
      <c r="NY94" s="2">
        <v>87.2</v>
      </c>
      <c r="NZ94" s="2">
        <v>85.93000000000001</v>
      </c>
      <c r="OA94" s="2">
        <v>85.56999999999999</v>
      </c>
      <c r="OB94" s="2">
        <v>84.91</v>
      </c>
      <c r="OC94" s="2">
        <v>85.38</v>
      </c>
      <c r="OD94" s="2">
        <v>85.81999999999999</v>
      </c>
      <c r="OE94" s="2">
        <v>86.43000000000001</v>
      </c>
      <c r="OF94" s="2">
        <v>85.5</v>
      </c>
      <c r="OG94" s="2">
        <v>87.04000000000001</v>
      </c>
      <c r="OH94" s="2">
        <v>89.41</v>
      </c>
      <c r="OM94" s="2">
        <v>88.5</v>
      </c>
      <c r="ON94" s="2">
        <v>90.06999999999999</v>
      </c>
      <c r="OO94" s="2">
        <v>90.38</v>
      </c>
      <c r="OP94" s="2">
        <v>92.11</v>
      </c>
      <c r="OQ94" s="2">
        <v>92.72</v>
      </c>
      <c r="OR94" s="2">
        <v>95.59999999999999</v>
      </c>
      <c r="OS94" s="2">
        <v>97.70999999999999</v>
      </c>
      <c r="OT94" s="2">
        <v>97.73</v>
      </c>
      <c r="OU94" s="2">
        <v>100</v>
      </c>
      <c r="OV94" s="2">
        <v>99.48999999999999</v>
      </c>
      <c r="OW94" s="2">
        <v>100.31</v>
      </c>
      <c r="OX94" s="2">
        <v>103.13</v>
      </c>
      <c r="PC94" s="2">
        <v>100.46</v>
      </c>
      <c r="PD94" s="2">
        <v>100.32</v>
      </c>
      <c r="PE94" s="2">
        <v>100.05</v>
      </c>
      <c r="PF94" s="2">
        <v>100.5</v>
      </c>
      <c r="PG94" s="2">
        <v>99.53</v>
      </c>
      <c r="PH94" s="2">
        <v>100.49</v>
      </c>
      <c r="PI94" s="2">
        <v>99.45</v>
      </c>
    </row>
    <row r="95">
      <c r="A95" t="inlineStr">
        <is>
          <t>A130395211T</t>
        </is>
      </c>
      <c r="B95" t="inlineStr">
        <is>
          <t>Index Numbers ;  Waters, soft drinks and juices ;  Australia ;</t>
        </is>
      </c>
      <c r="C95" t="inlineStr">
        <is>
          <t>Month</t>
        </is>
      </c>
      <c r="D95" t="inlineStr">
        <is>
          <t>Index Numbers</t>
        </is>
      </c>
      <c r="E95" t="inlineStr">
        <is>
          <t>Original</t>
        </is>
      </c>
      <c r="F95" t="inlineStr">
        <is>
          <t>640103.xlsx</t>
        </is>
      </c>
      <c r="G95" t="inlineStr">
        <is>
          <t>2017-09</t>
        </is>
      </c>
      <c r="H95" t="inlineStr">
        <is>
          <t>2026-07</t>
        </is>
      </c>
      <c r="JW95" s="2">
        <v>74.11</v>
      </c>
      <c r="JX95" s="2">
        <v>74.23999999999999</v>
      </c>
      <c r="JY95" s="2">
        <v>74.19</v>
      </c>
      <c r="JZ95" s="2">
        <v>75.52</v>
      </c>
      <c r="KE95" s="2">
        <v>76.48</v>
      </c>
      <c r="KF95" s="2">
        <v>76.64</v>
      </c>
      <c r="KG95" s="2">
        <v>76.38</v>
      </c>
      <c r="KH95" s="2">
        <v>77.03</v>
      </c>
      <c r="KI95" s="2">
        <v>77.02</v>
      </c>
      <c r="KJ95" s="2">
        <v>76.25</v>
      </c>
      <c r="KK95" s="2">
        <v>76.8</v>
      </c>
      <c r="KL95" s="2">
        <v>76.93000000000001</v>
      </c>
      <c r="KM95" s="2">
        <v>75.67</v>
      </c>
      <c r="KN95" s="2">
        <v>75.67</v>
      </c>
      <c r="KO95" s="2">
        <v>76.95</v>
      </c>
      <c r="KP95" s="2">
        <v>75.59</v>
      </c>
      <c r="KU95" s="2">
        <v>77.04000000000001</v>
      </c>
      <c r="KV95" s="2">
        <v>77.88</v>
      </c>
      <c r="KW95" s="2">
        <v>77.8</v>
      </c>
      <c r="KX95" s="2">
        <v>77.34</v>
      </c>
      <c r="KY95" s="2">
        <v>78.20999999999999</v>
      </c>
      <c r="KZ95" s="2">
        <v>77.7</v>
      </c>
      <c r="LA95" s="2">
        <v>78.81</v>
      </c>
      <c r="LB95" s="2">
        <v>78.31</v>
      </c>
      <c r="LC95" s="2">
        <v>77.23</v>
      </c>
      <c r="LD95" s="2">
        <v>77.15000000000001</v>
      </c>
      <c r="LE95" s="2">
        <v>76.73999999999999</v>
      </c>
      <c r="LF95" s="2">
        <v>75.48999999999999</v>
      </c>
      <c r="LK95" s="2">
        <v>76.68000000000001</v>
      </c>
      <c r="LL95" s="2">
        <v>77.20999999999999</v>
      </c>
      <c r="LM95" s="2">
        <v>78.81</v>
      </c>
      <c r="LN95" s="2">
        <v>79.62</v>
      </c>
      <c r="LO95" s="2">
        <v>79.58</v>
      </c>
      <c r="LP95" s="2">
        <v>79.11</v>
      </c>
      <c r="LQ95" s="2">
        <v>80</v>
      </c>
      <c r="LR95" s="2">
        <v>79.95</v>
      </c>
      <c r="LS95" s="2">
        <v>78.77</v>
      </c>
      <c r="LT95" s="2">
        <v>79.39</v>
      </c>
      <c r="LU95" s="2">
        <v>80</v>
      </c>
      <c r="LV95" s="2">
        <v>78.06</v>
      </c>
      <c r="MA95" s="2">
        <v>79.47</v>
      </c>
      <c r="MB95" s="2">
        <v>80.56999999999999</v>
      </c>
      <c r="MC95" s="2">
        <v>80.17</v>
      </c>
      <c r="MD95" s="2">
        <v>79.98999999999999</v>
      </c>
      <c r="ME95" s="2">
        <v>80.93000000000001</v>
      </c>
      <c r="MF95" s="2">
        <v>80.95</v>
      </c>
      <c r="MG95" s="2">
        <v>81.40000000000001</v>
      </c>
      <c r="MH95" s="2">
        <v>81.73</v>
      </c>
      <c r="MI95" s="2">
        <v>80.56</v>
      </c>
      <c r="MJ95" s="2">
        <v>80.44</v>
      </c>
      <c r="MK95" s="2">
        <v>80.37</v>
      </c>
      <c r="ML95" s="2">
        <v>80.41</v>
      </c>
      <c r="MQ95" s="2">
        <v>82.14</v>
      </c>
      <c r="MR95" s="2">
        <v>86.81</v>
      </c>
      <c r="MS95" s="2">
        <v>85.84</v>
      </c>
      <c r="MT95" s="2">
        <v>85.83</v>
      </c>
      <c r="MU95" s="2">
        <v>86.56</v>
      </c>
      <c r="MV95" s="2">
        <v>86.86</v>
      </c>
      <c r="MW95" s="2">
        <v>87.67</v>
      </c>
      <c r="MX95" s="2">
        <v>88.98</v>
      </c>
      <c r="MY95" s="2">
        <v>88.42</v>
      </c>
      <c r="MZ95" s="2">
        <v>89.40000000000001</v>
      </c>
      <c r="NA95" s="2">
        <v>88.64</v>
      </c>
      <c r="NB95" s="2">
        <v>87.42</v>
      </c>
      <c r="NG95" s="2">
        <v>90.3</v>
      </c>
      <c r="NH95" s="2">
        <v>91.64</v>
      </c>
      <c r="NI95" s="2">
        <v>92.87</v>
      </c>
      <c r="NJ95" s="2">
        <v>95.08</v>
      </c>
      <c r="NK95" s="2">
        <v>95.20999999999999</v>
      </c>
      <c r="NL95" s="2">
        <v>92.81999999999999</v>
      </c>
      <c r="NM95" s="2">
        <v>93.8</v>
      </c>
      <c r="NN95" s="2">
        <v>93.5</v>
      </c>
      <c r="NO95" s="2">
        <v>93</v>
      </c>
      <c r="NP95" s="2">
        <v>92.47</v>
      </c>
      <c r="NQ95" s="2">
        <v>94.11</v>
      </c>
      <c r="NR95" s="2">
        <v>94.3</v>
      </c>
      <c r="NW95" s="2">
        <v>96.70999999999999</v>
      </c>
      <c r="NX95" s="2">
        <v>97.43000000000001</v>
      </c>
      <c r="NY95" s="2">
        <v>98.59</v>
      </c>
      <c r="NZ95" s="2">
        <v>98.3</v>
      </c>
      <c r="OA95" s="2">
        <v>99.45</v>
      </c>
      <c r="OB95" s="2">
        <v>99.81999999999999</v>
      </c>
      <c r="OC95" s="2">
        <v>99.48999999999999</v>
      </c>
      <c r="OD95" s="2">
        <v>99.28</v>
      </c>
      <c r="OE95" s="2">
        <v>97.47</v>
      </c>
      <c r="OF95" s="2">
        <v>97.91</v>
      </c>
      <c r="OG95" s="2">
        <v>97.87</v>
      </c>
      <c r="OH95" s="2">
        <v>97.51000000000001</v>
      </c>
      <c r="OM95" s="2">
        <v>99.27</v>
      </c>
      <c r="ON95" s="2">
        <v>101.44</v>
      </c>
      <c r="OO95" s="2">
        <v>102.53</v>
      </c>
      <c r="OP95" s="2">
        <v>101.24</v>
      </c>
      <c r="OQ95" s="2">
        <v>103.7</v>
      </c>
      <c r="OR95" s="2">
        <v>103.35</v>
      </c>
      <c r="OS95" s="2">
        <v>102.8</v>
      </c>
      <c r="OT95" s="2">
        <v>101.75</v>
      </c>
      <c r="OU95" s="2">
        <v>100</v>
      </c>
      <c r="OV95" s="2">
        <v>99.61</v>
      </c>
      <c r="OW95" s="2">
        <v>99.62</v>
      </c>
      <c r="OX95" s="2">
        <v>98.34999999999999</v>
      </c>
      <c r="PC95" s="2">
        <v>99.90000000000001</v>
      </c>
      <c r="PD95" s="2">
        <v>100.89</v>
      </c>
      <c r="PE95" s="2">
        <v>102.39</v>
      </c>
      <c r="PF95" s="2">
        <v>101.32</v>
      </c>
      <c r="PG95" s="2">
        <v>103.57</v>
      </c>
      <c r="PH95" s="2">
        <v>104.57</v>
      </c>
      <c r="PI95" s="2">
        <v>104.89</v>
      </c>
    </row>
    <row r="96">
      <c r="A96" t="inlineStr">
        <is>
          <t>A130390437T</t>
        </is>
      </c>
      <c r="B96" t="inlineStr">
        <is>
          <t>Index Numbers ;  Meals out and take away foods ;  Australia ;</t>
        </is>
      </c>
      <c r="C96" t="inlineStr">
        <is>
          <t>Month</t>
        </is>
      </c>
      <c r="D96" t="inlineStr">
        <is>
          <t>Index Numbers</t>
        </is>
      </c>
      <c r="E96" t="inlineStr">
        <is>
          <t>Original</t>
        </is>
      </c>
      <c r="F96" t="inlineStr">
        <is>
          <t>640103.xlsx</t>
        </is>
      </c>
      <c r="G96" t="inlineStr">
        <is>
          <t>2024-04</t>
        </is>
      </c>
      <c r="H96" t="inlineStr">
        <is>
          <t>2026-07</t>
        </is>
      </c>
      <c r="NZ96" s="2">
        <v>95.31999999999999</v>
      </c>
      <c r="OA96" s="2">
        <v>95.65000000000001</v>
      </c>
      <c r="OB96" s="2">
        <v>95.48</v>
      </c>
      <c r="OC96" s="2">
        <v>96.31</v>
      </c>
      <c r="OD96" s="2">
        <v>96.44</v>
      </c>
      <c r="OE96" s="2">
        <v>96.54000000000001</v>
      </c>
      <c r="OF96" s="2">
        <v>96.75</v>
      </c>
      <c r="OG96" s="2">
        <v>97.05</v>
      </c>
      <c r="OH96" s="2">
        <v>97.29000000000001</v>
      </c>
      <c r="OM96" s="2">
        <v>97.39</v>
      </c>
      <c r="ON96" s="2">
        <v>97.64</v>
      </c>
      <c r="OO96" s="2">
        <v>97.84999999999999</v>
      </c>
      <c r="OP96" s="2">
        <v>98.14</v>
      </c>
      <c r="OQ96" s="2">
        <v>98.34</v>
      </c>
      <c r="OR96" s="2">
        <v>98.72</v>
      </c>
      <c r="OS96" s="2">
        <v>99.08</v>
      </c>
      <c r="OT96" s="2">
        <v>99.68000000000001</v>
      </c>
      <c r="OU96" s="2">
        <v>100</v>
      </c>
      <c r="OV96" s="2">
        <v>100.21</v>
      </c>
      <c r="OW96" s="2">
        <v>100.41</v>
      </c>
      <c r="OX96" s="2">
        <v>100.68</v>
      </c>
      <c r="PC96" s="2">
        <v>101.2</v>
      </c>
      <c r="PD96" s="2">
        <v>101.28</v>
      </c>
      <c r="PE96" s="2">
        <v>101.62</v>
      </c>
      <c r="PF96" s="2">
        <v>101.8</v>
      </c>
      <c r="PG96" s="2">
        <v>102.26</v>
      </c>
      <c r="PH96" s="2">
        <v>102.66</v>
      </c>
      <c r="PI96" s="2">
        <v>103.54</v>
      </c>
    </row>
    <row r="97">
      <c r="A97" t="inlineStr">
        <is>
          <t>A130391942X</t>
        </is>
      </c>
      <c r="B97" t="inlineStr">
        <is>
          <t>Index Numbers ;  Restaurant meals ;  Australia ;</t>
        </is>
      </c>
      <c r="C97" t="inlineStr">
        <is>
          <t>Month</t>
        </is>
      </c>
      <c r="D97" t="inlineStr">
        <is>
          <t>Index Numbers</t>
        </is>
      </c>
      <c r="E97" t="inlineStr">
        <is>
          <t>Original</t>
        </is>
      </c>
      <c r="F97" t="inlineStr">
        <is>
          <t>640103.xlsx</t>
        </is>
      </c>
      <c r="G97" t="inlineStr">
        <is>
          <t>2024-04</t>
        </is>
      </c>
      <c r="H97" t="inlineStr">
        <is>
          <t>2026-07</t>
        </is>
      </c>
      <c r="NZ97" s="2">
        <v>95.68000000000001</v>
      </c>
      <c r="OA97" s="2">
        <v>96.04000000000001</v>
      </c>
      <c r="OB97" s="2">
        <v>96.20999999999999</v>
      </c>
      <c r="OC97" s="2">
        <v>96.64</v>
      </c>
      <c r="OD97" s="2">
        <v>96.76000000000001</v>
      </c>
      <c r="OE97" s="2">
        <v>96.84</v>
      </c>
      <c r="OF97" s="2">
        <v>97.11</v>
      </c>
      <c r="OG97" s="2">
        <v>97.47</v>
      </c>
      <c r="OH97" s="2">
        <v>97.73999999999999</v>
      </c>
      <c r="OM97" s="2">
        <v>97.8</v>
      </c>
      <c r="ON97" s="2">
        <v>98.02</v>
      </c>
      <c r="OO97" s="2">
        <v>98.2</v>
      </c>
      <c r="OP97" s="2">
        <v>98.38</v>
      </c>
      <c r="OQ97" s="2">
        <v>98.41</v>
      </c>
      <c r="OR97" s="2">
        <v>98.81</v>
      </c>
      <c r="OS97" s="2">
        <v>98.98</v>
      </c>
      <c r="OT97" s="2">
        <v>99.61</v>
      </c>
      <c r="OU97" s="2">
        <v>100</v>
      </c>
      <c r="OV97" s="2">
        <v>100.28</v>
      </c>
      <c r="OW97" s="2">
        <v>100.52</v>
      </c>
      <c r="OX97" s="2">
        <v>101.17</v>
      </c>
      <c r="PC97" s="2">
        <v>101.49</v>
      </c>
      <c r="PD97" s="2">
        <v>101.54</v>
      </c>
      <c r="PE97" s="2">
        <v>101.71</v>
      </c>
      <c r="PF97" s="2">
        <v>101.86</v>
      </c>
      <c r="PG97" s="2">
        <v>102.23</v>
      </c>
      <c r="PH97" s="2">
        <v>102.47</v>
      </c>
      <c r="PI97" s="2">
        <v>103.65</v>
      </c>
    </row>
    <row r="98">
      <c r="A98" t="inlineStr">
        <is>
          <t>A130390612R</t>
        </is>
      </c>
      <c r="B98" t="inlineStr">
        <is>
          <t>Index Numbers ;  Take away and fast foods ;  Australia ;</t>
        </is>
      </c>
      <c r="C98" t="inlineStr">
        <is>
          <t>Month</t>
        </is>
      </c>
      <c r="D98" t="inlineStr">
        <is>
          <t>Index Numbers</t>
        </is>
      </c>
      <c r="E98" t="inlineStr">
        <is>
          <t>Original</t>
        </is>
      </c>
      <c r="F98" t="inlineStr">
        <is>
          <t>640103.xlsx</t>
        </is>
      </c>
      <c r="G98" t="inlineStr">
        <is>
          <t>2024-04</t>
        </is>
      </c>
      <c r="H98" t="inlineStr">
        <is>
          <t>2026-07</t>
        </is>
      </c>
      <c r="NZ98" s="2">
        <v>94.89</v>
      </c>
      <c r="OA98" s="2">
        <v>95.17</v>
      </c>
      <c r="OB98" s="2">
        <v>94.58</v>
      </c>
      <c r="OC98" s="2">
        <v>95.92</v>
      </c>
      <c r="OD98" s="2">
        <v>96.05</v>
      </c>
      <c r="OE98" s="2">
        <v>96.18000000000001</v>
      </c>
      <c r="OF98" s="2">
        <v>96.3</v>
      </c>
      <c r="OG98" s="2">
        <v>96.53</v>
      </c>
      <c r="OH98" s="2">
        <v>96.73999999999999</v>
      </c>
      <c r="OM98" s="2">
        <v>96.88</v>
      </c>
      <c r="ON98" s="2">
        <v>97.17</v>
      </c>
      <c r="OO98" s="2">
        <v>97.42</v>
      </c>
      <c r="OP98" s="2">
        <v>97.84</v>
      </c>
      <c r="OQ98" s="2">
        <v>98.26000000000001</v>
      </c>
      <c r="OR98" s="2">
        <v>98.59999999999999</v>
      </c>
      <c r="OS98" s="2">
        <v>99.2</v>
      </c>
      <c r="OT98" s="2">
        <v>99.76000000000001</v>
      </c>
      <c r="OU98" s="2">
        <v>100</v>
      </c>
      <c r="OV98" s="2">
        <v>100.12</v>
      </c>
      <c r="OW98" s="2">
        <v>100.27</v>
      </c>
      <c r="OX98" s="2">
        <v>100.08</v>
      </c>
      <c r="PC98" s="2">
        <v>100.84</v>
      </c>
      <c r="PD98" s="2">
        <v>100.95</v>
      </c>
      <c r="PE98" s="2">
        <v>101.5</v>
      </c>
      <c r="PF98" s="2">
        <v>101.73</v>
      </c>
      <c r="PG98" s="2">
        <v>102.28</v>
      </c>
      <c r="PH98" s="2">
        <v>102.88</v>
      </c>
      <c r="PI98" s="2">
        <v>103.41</v>
      </c>
    </row>
    <row r="99">
      <c r="A99" t="inlineStr">
        <is>
          <t>A130393027F</t>
        </is>
      </c>
      <c r="B99" t="inlineStr">
        <is>
          <t>Index Numbers ;  Alcohol and tobacco ;  Australia ;</t>
        </is>
      </c>
      <c r="C99" t="inlineStr">
        <is>
          <t>Month</t>
        </is>
      </c>
      <c r="D99" t="inlineStr">
        <is>
          <t>Index Numbers</t>
        </is>
      </c>
      <c r="E99" t="inlineStr">
        <is>
          <t>Original</t>
        </is>
      </c>
      <c r="F99" t="inlineStr">
        <is>
          <t>640103.xlsx</t>
        </is>
      </c>
      <c r="G99" t="inlineStr">
        <is>
          <t>2024-04</t>
        </is>
      </c>
      <c r="H99" t="inlineStr">
        <is>
          <t>2026-07</t>
        </is>
      </c>
      <c r="NZ99" s="2">
        <v>92.14</v>
      </c>
      <c r="OA99" s="2">
        <v>92.36</v>
      </c>
      <c r="OB99" s="2">
        <v>92.38</v>
      </c>
      <c r="OC99" s="2">
        <v>92.66</v>
      </c>
      <c r="OD99" s="2">
        <v>93.2</v>
      </c>
      <c r="OE99" s="2">
        <v>94.79000000000001</v>
      </c>
      <c r="OF99" s="2">
        <v>95.75</v>
      </c>
      <c r="OG99" s="2">
        <v>95.98999999999999</v>
      </c>
      <c r="OH99" s="2">
        <v>95.42</v>
      </c>
      <c r="OM99" s="2">
        <v>96.13</v>
      </c>
      <c r="ON99" s="2">
        <v>96.98</v>
      </c>
      <c r="OO99" s="2">
        <v>97.65000000000001</v>
      </c>
      <c r="OP99" s="2">
        <v>97.31</v>
      </c>
      <c r="OQ99" s="2">
        <v>97.76000000000001</v>
      </c>
      <c r="OR99" s="2">
        <v>97.56999999999999</v>
      </c>
      <c r="OS99" s="2">
        <v>98.63</v>
      </c>
      <c r="OT99" s="2">
        <v>98.81999999999999</v>
      </c>
      <c r="OU99" s="2">
        <v>100</v>
      </c>
      <c r="OV99" s="2">
        <v>100</v>
      </c>
      <c r="OW99" s="2">
        <v>100.09</v>
      </c>
      <c r="OX99" s="2">
        <v>100.06</v>
      </c>
      <c r="PC99" s="2">
        <v>100.95</v>
      </c>
      <c r="PD99" s="2">
        <v>101.13</v>
      </c>
      <c r="PE99" s="2">
        <v>101.98</v>
      </c>
      <c r="PF99" s="2">
        <v>101.49</v>
      </c>
      <c r="PG99" s="2">
        <v>102.36</v>
      </c>
      <c r="PH99" s="2">
        <v>101.85</v>
      </c>
      <c r="PI99" s="2">
        <v>103.05</v>
      </c>
    </row>
    <row r="100">
      <c r="A100" t="inlineStr">
        <is>
          <t>A130394413W</t>
        </is>
      </c>
      <c r="B100" t="inlineStr">
        <is>
          <t>Index Numbers ;  Alcoholic beverages ;  Australia ;</t>
        </is>
      </c>
      <c r="C100" t="inlineStr">
        <is>
          <t>Month</t>
        </is>
      </c>
      <c r="D100" t="inlineStr">
        <is>
          <t>Index Numbers</t>
        </is>
      </c>
      <c r="E100" t="inlineStr">
        <is>
          <t>Original</t>
        </is>
      </c>
      <c r="F100" t="inlineStr">
        <is>
          <t>640103.xlsx</t>
        </is>
      </c>
      <c r="G100" t="inlineStr">
        <is>
          <t>2024-04</t>
        </is>
      </c>
      <c r="H100" t="inlineStr">
        <is>
          <t>2026-07</t>
        </is>
      </c>
      <c r="NZ100" s="2">
        <v>95.98999999999999</v>
      </c>
      <c r="OA100" s="2">
        <v>96.23999999999999</v>
      </c>
      <c r="OB100" s="2">
        <v>96.18000000000001</v>
      </c>
      <c r="OC100" s="2">
        <v>96.56999999999999</v>
      </c>
      <c r="OD100" s="2">
        <v>97.44</v>
      </c>
      <c r="OE100" s="2">
        <v>97.89</v>
      </c>
      <c r="OF100" s="2">
        <v>98.05</v>
      </c>
      <c r="OG100" s="2">
        <v>98.38</v>
      </c>
      <c r="OH100" s="2">
        <v>97.41</v>
      </c>
      <c r="OM100" s="2">
        <v>98.23</v>
      </c>
      <c r="ON100" s="2">
        <v>99.18000000000001</v>
      </c>
      <c r="OO100" s="2">
        <v>99.59</v>
      </c>
      <c r="OP100" s="2">
        <v>98.67</v>
      </c>
      <c r="OQ100" s="2">
        <v>99.38</v>
      </c>
      <c r="OR100" s="2">
        <v>99.22</v>
      </c>
      <c r="OS100" s="2">
        <v>100.22</v>
      </c>
      <c r="OT100" s="2">
        <v>100.44</v>
      </c>
      <c r="OU100" s="2">
        <v>100</v>
      </c>
      <c r="OV100" s="2">
        <v>99.56999999999999</v>
      </c>
      <c r="OW100" s="2">
        <v>99.41</v>
      </c>
      <c r="OX100" s="2">
        <v>99.17</v>
      </c>
      <c r="PC100" s="2">
        <v>100.47</v>
      </c>
      <c r="PD100" s="2">
        <v>100.59</v>
      </c>
      <c r="PE100" s="2">
        <v>101.29</v>
      </c>
      <c r="PF100" s="2">
        <v>100.29</v>
      </c>
      <c r="PG100" s="2">
        <v>101.56</v>
      </c>
      <c r="PH100" s="2">
        <v>100.84</v>
      </c>
      <c r="PI100" s="2">
        <v>102.03</v>
      </c>
    </row>
    <row r="101">
      <c r="A101" t="inlineStr">
        <is>
          <t>A130393440K</t>
        </is>
      </c>
      <c r="B101" t="inlineStr">
        <is>
          <t>Index Numbers ;  Spirits ;  Australia ;</t>
        </is>
      </c>
      <c r="C101" t="inlineStr">
        <is>
          <t>Month</t>
        </is>
      </c>
      <c r="D101" t="inlineStr">
        <is>
          <t>Index Numbers</t>
        </is>
      </c>
      <c r="E101" t="inlineStr">
        <is>
          <t>Original</t>
        </is>
      </c>
      <c r="F101" t="inlineStr">
        <is>
          <t>640103.xlsx</t>
        </is>
      </c>
      <c r="G101" t="inlineStr">
        <is>
          <t>2017-09</t>
        </is>
      </c>
      <c r="H101" t="inlineStr">
        <is>
          <t>2026-07</t>
        </is>
      </c>
      <c r="JW101" s="2">
        <v>76.51000000000001</v>
      </c>
      <c r="JX101" s="2">
        <v>76.56</v>
      </c>
      <c r="JY101" s="2">
        <v>76.95</v>
      </c>
      <c r="JZ101" s="2">
        <v>75.12</v>
      </c>
      <c r="KE101" s="2">
        <v>77</v>
      </c>
      <c r="KF101" s="2">
        <v>77.56999999999999</v>
      </c>
      <c r="KG101" s="2">
        <v>77.45999999999999</v>
      </c>
      <c r="KH101" s="2">
        <v>77.89</v>
      </c>
      <c r="KI101" s="2">
        <v>77.94</v>
      </c>
      <c r="KJ101" s="2">
        <v>78.18000000000001</v>
      </c>
      <c r="KK101" s="2">
        <v>78.3</v>
      </c>
      <c r="KL101" s="2">
        <v>78.29000000000001</v>
      </c>
      <c r="KM101" s="2">
        <v>78.06</v>
      </c>
      <c r="KN101" s="2">
        <v>78.75</v>
      </c>
      <c r="KO101" s="2">
        <v>77.87</v>
      </c>
      <c r="KP101" s="2">
        <v>77.76000000000001</v>
      </c>
      <c r="KU101" s="2">
        <v>79.05</v>
      </c>
      <c r="KV101" s="2">
        <v>79.33</v>
      </c>
      <c r="KW101" s="2">
        <v>78.8</v>
      </c>
      <c r="KX101" s="2">
        <v>79.16</v>
      </c>
      <c r="KY101" s="2">
        <v>79.61</v>
      </c>
      <c r="KZ101" s="2">
        <v>78.95999999999999</v>
      </c>
      <c r="LA101" s="2">
        <v>79.70999999999999</v>
      </c>
      <c r="LB101" s="2">
        <v>80.26000000000001</v>
      </c>
      <c r="LC101" s="2">
        <v>79.43000000000001</v>
      </c>
      <c r="LD101" s="2">
        <v>79.54000000000001</v>
      </c>
      <c r="LE101" s="2">
        <v>79.84</v>
      </c>
      <c r="LF101" s="2">
        <v>79.06</v>
      </c>
      <c r="LK101" s="2">
        <v>80.95</v>
      </c>
      <c r="LL101" s="2">
        <v>81.13</v>
      </c>
      <c r="LM101" s="2">
        <v>81.5</v>
      </c>
      <c r="LN101" s="2">
        <v>81.11</v>
      </c>
      <c r="LO101" s="2">
        <v>82.01000000000001</v>
      </c>
      <c r="LP101" s="2">
        <v>80.28</v>
      </c>
      <c r="LQ101" s="2">
        <v>81.3</v>
      </c>
      <c r="LR101" s="2">
        <v>80.8</v>
      </c>
      <c r="LS101" s="2">
        <v>82.34999999999999</v>
      </c>
      <c r="LT101" s="2">
        <v>81.12</v>
      </c>
      <c r="LU101" s="2">
        <v>81.8</v>
      </c>
      <c r="LV101" s="2">
        <v>80.64</v>
      </c>
      <c r="MA101" s="2">
        <v>81.41</v>
      </c>
      <c r="MB101" s="2">
        <v>82.26000000000001</v>
      </c>
      <c r="MC101" s="2">
        <v>83.23</v>
      </c>
      <c r="MD101" s="2">
        <v>82.48</v>
      </c>
      <c r="ME101" s="2">
        <v>82.81</v>
      </c>
      <c r="MF101" s="2">
        <v>82.65000000000001</v>
      </c>
      <c r="MG101" s="2">
        <v>82.23</v>
      </c>
      <c r="MH101" s="2">
        <v>83.01000000000001</v>
      </c>
      <c r="MI101" s="2">
        <v>82.38</v>
      </c>
      <c r="MJ101" s="2">
        <v>83.31</v>
      </c>
      <c r="MK101" s="2">
        <v>83.08</v>
      </c>
      <c r="ML101" s="2">
        <v>82.93000000000001</v>
      </c>
      <c r="MQ101" s="2">
        <v>82.93000000000001</v>
      </c>
      <c r="MR101" s="2">
        <v>84.43000000000001</v>
      </c>
      <c r="MS101" s="2">
        <v>84.51000000000001</v>
      </c>
      <c r="MT101" s="2">
        <v>84.39</v>
      </c>
      <c r="MU101" s="2">
        <v>84.69</v>
      </c>
      <c r="MV101" s="2">
        <v>84.86</v>
      </c>
      <c r="MW101" s="2">
        <v>85.09</v>
      </c>
      <c r="MX101" s="2">
        <v>88.59999999999999</v>
      </c>
      <c r="MY101" s="2">
        <v>88.97</v>
      </c>
      <c r="MZ101" s="2">
        <v>89.03</v>
      </c>
      <c r="NA101" s="2">
        <v>89.93000000000001</v>
      </c>
      <c r="NB101" s="2">
        <v>89.09999999999999</v>
      </c>
      <c r="NG101" s="2">
        <v>89.64</v>
      </c>
      <c r="NH101" s="2">
        <v>93.03</v>
      </c>
      <c r="NI101" s="2">
        <v>93.92</v>
      </c>
      <c r="NJ101" s="2">
        <v>93.67</v>
      </c>
      <c r="NK101" s="2">
        <v>93.62</v>
      </c>
      <c r="NL101" s="2">
        <v>93.48</v>
      </c>
      <c r="NM101" s="2">
        <v>93.98</v>
      </c>
      <c r="NN101" s="2">
        <v>94.88</v>
      </c>
      <c r="NO101" s="2">
        <v>95.73</v>
      </c>
      <c r="NP101" s="2">
        <v>95.17</v>
      </c>
      <c r="NQ101" s="2">
        <v>94.08</v>
      </c>
      <c r="NR101" s="2">
        <v>94.06999999999999</v>
      </c>
      <c r="NW101" s="2">
        <v>94.05</v>
      </c>
      <c r="NX101" s="2">
        <v>95.45999999999999</v>
      </c>
      <c r="NY101" s="2">
        <v>96.64</v>
      </c>
      <c r="NZ101" s="2">
        <v>95.16</v>
      </c>
      <c r="OA101" s="2">
        <v>97.01000000000001</v>
      </c>
      <c r="OB101" s="2">
        <v>95.56</v>
      </c>
      <c r="OC101" s="2">
        <v>96.31999999999999</v>
      </c>
      <c r="OD101" s="2">
        <v>96.3</v>
      </c>
      <c r="OE101" s="2">
        <v>96.98999999999999</v>
      </c>
      <c r="OF101" s="2">
        <v>97.26000000000001</v>
      </c>
      <c r="OG101" s="2">
        <v>98.18000000000001</v>
      </c>
      <c r="OH101" s="2">
        <v>97.19</v>
      </c>
      <c r="OM101" s="2">
        <v>97.56</v>
      </c>
      <c r="ON101" s="2">
        <v>100.13</v>
      </c>
      <c r="OO101" s="2">
        <v>99.84999999999999</v>
      </c>
      <c r="OP101" s="2">
        <v>98.78</v>
      </c>
      <c r="OQ101" s="2">
        <v>99.25</v>
      </c>
      <c r="OR101" s="2">
        <v>99.75</v>
      </c>
      <c r="OS101" s="2">
        <v>99.94</v>
      </c>
      <c r="OT101" s="2">
        <v>100.06</v>
      </c>
      <c r="OU101" s="2">
        <v>100</v>
      </c>
      <c r="OV101" s="2">
        <v>99.64</v>
      </c>
      <c r="OW101" s="2">
        <v>99.90000000000001</v>
      </c>
      <c r="OX101" s="2">
        <v>99.01000000000001</v>
      </c>
      <c r="PC101" s="2">
        <v>100.81</v>
      </c>
      <c r="PD101" s="2">
        <v>101.05</v>
      </c>
      <c r="PE101" s="2">
        <v>101.95</v>
      </c>
      <c r="PF101" s="2">
        <v>100.82</v>
      </c>
      <c r="PG101" s="2">
        <v>102.19</v>
      </c>
      <c r="PH101" s="2">
        <v>101.86</v>
      </c>
      <c r="PI101" s="2">
        <v>102.42</v>
      </c>
    </row>
    <row r="102">
      <c r="A102" t="inlineStr">
        <is>
          <t>A130390892V</t>
        </is>
      </c>
      <c r="B102" t="inlineStr">
        <is>
          <t>Index Numbers ;  Wine ;  Australia ;</t>
        </is>
      </c>
      <c r="C102" t="inlineStr">
        <is>
          <t>Month</t>
        </is>
      </c>
      <c r="D102" t="inlineStr">
        <is>
          <t>Index Numbers</t>
        </is>
      </c>
      <c r="E102" t="inlineStr">
        <is>
          <t>Original</t>
        </is>
      </c>
      <c r="F102" t="inlineStr">
        <is>
          <t>640103.xlsx</t>
        </is>
      </c>
      <c r="G102" t="inlineStr">
        <is>
          <t>2024-04</t>
        </is>
      </c>
      <c r="H102" t="inlineStr">
        <is>
          <t>2026-07</t>
        </is>
      </c>
      <c r="NZ102" s="2">
        <v>97.78</v>
      </c>
      <c r="OA102" s="2">
        <v>97.3</v>
      </c>
      <c r="OB102" s="2">
        <v>97.98999999999999</v>
      </c>
      <c r="OC102" s="2">
        <v>97.95</v>
      </c>
      <c r="OD102" s="2">
        <v>99.34999999999999</v>
      </c>
      <c r="OE102" s="2">
        <v>99.7</v>
      </c>
      <c r="OF102" s="2">
        <v>99.5</v>
      </c>
      <c r="OG102" s="2">
        <v>99.64</v>
      </c>
      <c r="OH102" s="2">
        <v>97.48999999999999</v>
      </c>
      <c r="OM102" s="2">
        <v>99.19</v>
      </c>
      <c r="ON102" s="2">
        <v>98.38</v>
      </c>
      <c r="OO102" s="2">
        <v>100.11</v>
      </c>
      <c r="OP102" s="2">
        <v>98.76000000000001</v>
      </c>
      <c r="OQ102" s="2">
        <v>99.90000000000001</v>
      </c>
      <c r="OR102" s="2">
        <v>99.06999999999999</v>
      </c>
      <c r="OS102" s="2">
        <v>101.18</v>
      </c>
      <c r="OT102" s="2">
        <v>101.24</v>
      </c>
      <c r="OU102" s="2">
        <v>100</v>
      </c>
      <c r="OV102" s="2">
        <v>98.76000000000001</v>
      </c>
      <c r="OW102" s="2">
        <v>98.43000000000001</v>
      </c>
      <c r="OX102" s="2">
        <v>97.83</v>
      </c>
      <c r="PC102" s="2">
        <v>100.29</v>
      </c>
      <c r="PD102" s="2">
        <v>99.97</v>
      </c>
      <c r="PE102" s="2">
        <v>100.85</v>
      </c>
      <c r="PF102" s="2">
        <v>98.98999999999999</v>
      </c>
      <c r="PG102" s="2">
        <v>101.39</v>
      </c>
      <c r="PH102" s="2">
        <v>99.22</v>
      </c>
      <c r="PI102" s="2">
        <v>101.15</v>
      </c>
    </row>
    <row r="103">
      <c r="A103" t="inlineStr">
        <is>
          <t>A130393412A</t>
        </is>
      </c>
      <c r="B103" t="inlineStr">
        <is>
          <t>Index Numbers ;  Beer ;  Australia ;</t>
        </is>
      </c>
      <c r="C103" t="inlineStr">
        <is>
          <t>Month</t>
        </is>
      </c>
      <c r="D103" t="inlineStr">
        <is>
          <t>Index Numbers</t>
        </is>
      </c>
      <c r="E103" t="inlineStr">
        <is>
          <t>Original</t>
        </is>
      </c>
      <c r="F103" t="inlineStr">
        <is>
          <t>640103.xlsx</t>
        </is>
      </c>
      <c r="G103" t="inlineStr">
        <is>
          <t>2017-09</t>
        </is>
      </c>
      <c r="H103" t="inlineStr">
        <is>
          <t>2026-07</t>
        </is>
      </c>
      <c r="JW103" s="2">
        <v>76.5</v>
      </c>
      <c r="JX103" s="2">
        <v>76.45</v>
      </c>
      <c r="JY103" s="2">
        <v>76.64</v>
      </c>
      <c r="JZ103" s="2">
        <v>76.84</v>
      </c>
      <c r="KE103" s="2">
        <v>77.77</v>
      </c>
      <c r="KF103" s="2">
        <v>78.45</v>
      </c>
      <c r="KG103" s="2">
        <v>78.38</v>
      </c>
      <c r="KH103" s="2">
        <v>78.79000000000001</v>
      </c>
      <c r="KI103" s="2">
        <v>78.61</v>
      </c>
      <c r="KJ103" s="2">
        <v>78.40000000000001</v>
      </c>
      <c r="KK103" s="2">
        <v>78.81</v>
      </c>
      <c r="KL103" s="2">
        <v>80.19</v>
      </c>
      <c r="KM103" s="2">
        <v>78.98</v>
      </c>
      <c r="KN103" s="2">
        <v>79.97</v>
      </c>
      <c r="KO103" s="2">
        <v>79.22</v>
      </c>
      <c r="KP103" s="2">
        <v>78.73999999999999</v>
      </c>
      <c r="KU103" s="2">
        <v>79.56999999999999</v>
      </c>
      <c r="KV103" s="2">
        <v>80.38</v>
      </c>
      <c r="KW103" s="2">
        <v>80.62</v>
      </c>
      <c r="KX103" s="2">
        <v>80.48999999999999</v>
      </c>
      <c r="KY103" s="2">
        <v>80.61</v>
      </c>
      <c r="KZ103" s="2">
        <v>80.65000000000001</v>
      </c>
      <c r="LA103" s="2">
        <v>80.81999999999999</v>
      </c>
      <c r="LB103" s="2">
        <v>81.14</v>
      </c>
      <c r="LC103" s="2">
        <v>81.2</v>
      </c>
      <c r="LD103" s="2">
        <v>81.2</v>
      </c>
      <c r="LE103" s="2">
        <v>80.90000000000001</v>
      </c>
      <c r="LF103" s="2">
        <v>80.84</v>
      </c>
      <c r="LK103" s="2">
        <v>81.33</v>
      </c>
      <c r="LL103" s="2">
        <v>82.17</v>
      </c>
      <c r="LM103" s="2">
        <v>82.34</v>
      </c>
      <c r="LN103" s="2">
        <v>83.02</v>
      </c>
      <c r="LO103" s="2">
        <v>82.34</v>
      </c>
      <c r="LP103" s="2">
        <v>82.41</v>
      </c>
      <c r="LQ103" s="2">
        <v>82.04000000000001</v>
      </c>
      <c r="LR103" s="2">
        <v>82.72</v>
      </c>
      <c r="LS103" s="2">
        <v>82.23999999999999</v>
      </c>
      <c r="LT103" s="2">
        <v>82.70999999999999</v>
      </c>
      <c r="LU103" s="2">
        <v>82.23</v>
      </c>
      <c r="LV103" s="2">
        <v>82.36</v>
      </c>
      <c r="MA103" s="2">
        <v>82.31</v>
      </c>
      <c r="MB103" s="2">
        <v>83.40000000000001</v>
      </c>
      <c r="MC103" s="2">
        <v>83.77</v>
      </c>
      <c r="MD103" s="2">
        <v>83.68000000000001</v>
      </c>
      <c r="ME103" s="2">
        <v>84.01000000000001</v>
      </c>
      <c r="MF103" s="2">
        <v>83.98999999999999</v>
      </c>
      <c r="MG103" s="2">
        <v>83.48</v>
      </c>
      <c r="MH103" s="2">
        <v>83.34</v>
      </c>
      <c r="MI103" s="2">
        <v>83.37</v>
      </c>
      <c r="MJ103" s="2">
        <v>83.86</v>
      </c>
      <c r="MK103" s="2">
        <v>84.02</v>
      </c>
      <c r="ML103" s="2">
        <v>83.58</v>
      </c>
      <c r="MQ103" s="2">
        <v>84.17</v>
      </c>
      <c r="MR103" s="2">
        <v>84.73</v>
      </c>
      <c r="MS103" s="2">
        <v>84.44</v>
      </c>
      <c r="MT103" s="2">
        <v>84.83</v>
      </c>
      <c r="MU103" s="2">
        <v>85.13</v>
      </c>
      <c r="MV103" s="2">
        <v>84.73999999999999</v>
      </c>
      <c r="MW103" s="2">
        <v>84.73</v>
      </c>
      <c r="MX103" s="2">
        <v>86.7</v>
      </c>
      <c r="MY103" s="2">
        <v>86.8</v>
      </c>
      <c r="MZ103" s="2">
        <v>87.39</v>
      </c>
      <c r="NA103" s="2">
        <v>87.45</v>
      </c>
      <c r="NB103" s="2">
        <v>87.29000000000001</v>
      </c>
      <c r="NG103" s="2">
        <v>87.68000000000001</v>
      </c>
      <c r="NH103" s="2">
        <v>89.45</v>
      </c>
      <c r="NI103" s="2">
        <v>89.83</v>
      </c>
      <c r="NJ103" s="2">
        <v>90.09999999999999</v>
      </c>
      <c r="NK103" s="2">
        <v>90.44</v>
      </c>
      <c r="NL103" s="2">
        <v>90.27</v>
      </c>
      <c r="NM103" s="2">
        <v>90.20999999999999</v>
      </c>
      <c r="NN103" s="2">
        <v>92.3</v>
      </c>
      <c r="NO103" s="2">
        <v>93.15000000000001</v>
      </c>
      <c r="NP103" s="2">
        <v>93.2</v>
      </c>
      <c r="NQ103" s="2">
        <v>93.69</v>
      </c>
      <c r="NR103" s="2">
        <v>93.41</v>
      </c>
      <c r="NW103" s="2">
        <v>93.84</v>
      </c>
      <c r="NX103" s="2">
        <v>94.78</v>
      </c>
      <c r="NY103" s="2">
        <v>95.09999999999999</v>
      </c>
      <c r="NZ103" s="2">
        <v>94.95</v>
      </c>
      <c r="OA103" s="2">
        <v>95.06999999999999</v>
      </c>
      <c r="OB103" s="2">
        <v>95.04000000000001</v>
      </c>
      <c r="OC103" s="2">
        <v>95.61</v>
      </c>
      <c r="OD103" s="2">
        <v>96.45</v>
      </c>
      <c r="OE103" s="2">
        <v>96.88</v>
      </c>
      <c r="OF103" s="2">
        <v>97.27</v>
      </c>
      <c r="OG103" s="2">
        <v>97.48999999999999</v>
      </c>
      <c r="OH103" s="2">
        <v>97.45</v>
      </c>
      <c r="OM103" s="2">
        <v>97.76000000000001</v>
      </c>
      <c r="ON103" s="2">
        <v>99.40000000000001</v>
      </c>
      <c r="OO103" s="2">
        <v>99.06999999999999</v>
      </c>
      <c r="OP103" s="2">
        <v>98.54000000000001</v>
      </c>
      <c r="OQ103" s="2">
        <v>99.03</v>
      </c>
      <c r="OR103" s="2">
        <v>99.11</v>
      </c>
      <c r="OS103" s="2">
        <v>99.58</v>
      </c>
      <c r="OT103" s="2">
        <v>99.98</v>
      </c>
      <c r="OU103" s="2">
        <v>100</v>
      </c>
      <c r="OV103" s="2">
        <v>100.17</v>
      </c>
      <c r="OW103" s="2">
        <v>99.97</v>
      </c>
      <c r="OX103" s="2">
        <v>100.31</v>
      </c>
      <c r="PC103" s="2">
        <v>100.47</v>
      </c>
      <c r="PD103" s="2">
        <v>100.87</v>
      </c>
      <c r="PE103" s="2">
        <v>101.35</v>
      </c>
      <c r="PF103" s="2">
        <v>101.09</v>
      </c>
      <c r="PG103" s="2">
        <v>101.42</v>
      </c>
      <c r="PH103" s="2">
        <v>101.68</v>
      </c>
      <c r="PI103" s="2">
        <v>102.55</v>
      </c>
    </row>
    <row r="104">
      <c r="A104" t="inlineStr">
        <is>
          <t>A130398012F</t>
        </is>
      </c>
      <c r="B104" t="inlineStr">
        <is>
          <t>Index Numbers ;  Tobacco ;  Australia ;</t>
        </is>
      </c>
      <c r="C104" t="inlineStr">
        <is>
          <t>Month</t>
        </is>
      </c>
      <c r="D104" t="inlineStr">
        <is>
          <t>Index Numbers</t>
        </is>
      </c>
      <c r="E104" t="inlineStr">
        <is>
          <t>Original</t>
        </is>
      </c>
      <c r="F104" t="inlineStr">
        <is>
          <t>640103.xlsx</t>
        </is>
      </c>
      <c r="G104" t="inlineStr">
        <is>
          <t>2017-09</t>
        </is>
      </c>
      <c r="H104" t="inlineStr">
        <is>
          <t>2026-07</t>
        </is>
      </c>
      <c r="JW104" s="2">
        <v>42.27</v>
      </c>
      <c r="JX104" s="2">
        <v>43.82</v>
      </c>
      <c r="JY104" s="2">
        <v>44.02</v>
      </c>
      <c r="JZ104" s="2">
        <v>44.22</v>
      </c>
      <c r="KE104" s="2">
        <v>44.35</v>
      </c>
      <c r="KF104" s="2">
        <v>43.89</v>
      </c>
      <c r="KG104" s="2">
        <v>44.44</v>
      </c>
      <c r="KH104" s="2">
        <v>45.01</v>
      </c>
      <c r="KI104" s="2">
        <v>45.47</v>
      </c>
      <c r="KJ104" s="2">
        <v>45.37</v>
      </c>
      <c r="KK104" s="2">
        <v>45.48</v>
      </c>
      <c r="KL104" s="2">
        <v>45.59</v>
      </c>
      <c r="KM104" s="2">
        <v>47.68</v>
      </c>
      <c r="KN104" s="2">
        <v>50.15</v>
      </c>
      <c r="KO104" s="2">
        <v>51.05</v>
      </c>
      <c r="KP104" s="2">
        <v>50.82</v>
      </c>
      <c r="KU104" s="2">
        <v>50.5</v>
      </c>
      <c r="KV104" s="2">
        <v>50.31</v>
      </c>
      <c r="KW104" s="2">
        <v>50.54</v>
      </c>
      <c r="KX104" s="2">
        <v>51.31</v>
      </c>
      <c r="KY104" s="2">
        <v>51.66</v>
      </c>
      <c r="KZ104" s="2">
        <v>51.93</v>
      </c>
      <c r="LA104" s="2">
        <v>52.42</v>
      </c>
      <c r="LB104" s="2">
        <v>52.28</v>
      </c>
      <c r="LC104" s="2">
        <v>55.44</v>
      </c>
      <c r="LD104" s="2">
        <v>57.33</v>
      </c>
      <c r="LE104" s="2">
        <v>57.79</v>
      </c>
      <c r="LF104" s="2">
        <v>58.06</v>
      </c>
      <c r="LK104" s="2">
        <v>58.48</v>
      </c>
      <c r="LL104" s="2">
        <v>58.66</v>
      </c>
      <c r="LM104" s="2">
        <v>59.55</v>
      </c>
      <c r="LN104" s="2">
        <v>60.15</v>
      </c>
      <c r="LO104" s="2">
        <v>60.46</v>
      </c>
      <c r="LP104" s="2">
        <v>60.67</v>
      </c>
      <c r="LQ104" s="2">
        <v>60.98</v>
      </c>
      <c r="LR104" s="2">
        <v>60.95</v>
      </c>
      <c r="LS104" s="2">
        <v>65.5</v>
      </c>
      <c r="LT104" s="2">
        <v>69.05</v>
      </c>
      <c r="LU104" s="2">
        <v>69.59</v>
      </c>
      <c r="LV104" s="2">
        <v>69.20999999999999</v>
      </c>
      <c r="MA104" s="2">
        <v>69.09</v>
      </c>
      <c r="MB104" s="2">
        <v>68.70999999999999</v>
      </c>
      <c r="MC104" s="2">
        <v>68.54000000000001</v>
      </c>
      <c r="MD104" s="2">
        <v>68.86</v>
      </c>
      <c r="ME104" s="2">
        <v>69.33</v>
      </c>
      <c r="MF104" s="2">
        <v>69</v>
      </c>
      <c r="MG104" s="2">
        <v>68.56</v>
      </c>
      <c r="MH104" s="2">
        <v>68.29000000000001</v>
      </c>
      <c r="MI104" s="2">
        <v>68.72</v>
      </c>
      <c r="MJ104" s="2">
        <v>69.37</v>
      </c>
      <c r="MK104" s="2">
        <v>69.88</v>
      </c>
      <c r="ML104" s="2">
        <v>70.25</v>
      </c>
      <c r="MQ104" s="2">
        <v>70.45</v>
      </c>
      <c r="MR104" s="2">
        <v>70.41</v>
      </c>
      <c r="MS104" s="2">
        <v>71.12</v>
      </c>
      <c r="MT104" s="2">
        <v>71.34</v>
      </c>
      <c r="MU104" s="2">
        <v>71.34</v>
      </c>
      <c r="MV104" s="2">
        <v>71.42</v>
      </c>
      <c r="MW104" s="2">
        <v>71.58</v>
      </c>
      <c r="MX104" s="2">
        <v>71.78</v>
      </c>
      <c r="MY104" s="2">
        <v>72.59</v>
      </c>
      <c r="MZ104" s="2">
        <v>73.06</v>
      </c>
      <c r="NA104" s="2">
        <v>73.09</v>
      </c>
      <c r="NB104" s="2">
        <v>73.06</v>
      </c>
      <c r="NG104" s="2">
        <v>73.18000000000001</v>
      </c>
      <c r="NH104" s="2">
        <v>73.3</v>
      </c>
      <c r="NI104" s="2">
        <v>73.89</v>
      </c>
      <c r="NJ104" s="2">
        <v>74.40000000000001</v>
      </c>
      <c r="NK104" s="2">
        <v>74.26000000000001</v>
      </c>
      <c r="NL104" s="2">
        <v>74.13</v>
      </c>
      <c r="NM104" s="2">
        <v>74.14</v>
      </c>
      <c r="NN104" s="2">
        <v>74.45</v>
      </c>
      <c r="NO104" s="2">
        <v>78.03</v>
      </c>
      <c r="NP104" s="2">
        <v>80.68000000000001</v>
      </c>
      <c r="NQ104" s="2">
        <v>80.76000000000001</v>
      </c>
      <c r="NR104" s="2">
        <v>80.95</v>
      </c>
      <c r="NW104" s="2">
        <v>81.01000000000001</v>
      </c>
      <c r="NX104" s="2">
        <v>81.16</v>
      </c>
      <c r="NY104" s="2">
        <v>83.02</v>
      </c>
      <c r="NZ104" s="2">
        <v>84.06</v>
      </c>
      <c r="OA104" s="2">
        <v>84.23</v>
      </c>
      <c r="OB104" s="2">
        <v>84.39</v>
      </c>
      <c r="OC104" s="2">
        <v>84.45999999999999</v>
      </c>
      <c r="OD104" s="2">
        <v>84.39</v>
      </c>
      <c r="OE104" s="2">
        <v>88.09999999999999</v>
      </c>
      <c r="OF104" s="2">
        <v>90.54000000000001</v>
      </c>
      <c r="OG104" s="2">
        <v>90.59999999999999</v>
      </c>
      <c r="OH104" s="2">
        <v>90.78</v>
      </c>
      <c r="OM104" s="2">
        <v>91.25</v>
      </c>
      <c r="ON104" s="2">
        <v>91.84999999999999</v>
      </c>
      <c r="OO104" s="2">
        <v>93.15000000000001</v>
      </c>
      <c r="OP104" s="2">
        <v>94.17</v>
      </c>
      <c r="OQ104" s="2">
        <v>93.98</v>
      </c>
      <c r="OR104" s="2">
        <v>93.72</v>
      </c>
      <c r="OS104" s="2">
        <v>94.93000000000001</v>
      </c>
      <c r="OT104" s="2">
        <v>95.06</v>
      </c>
      <c r="OU104" s="2">
        <v>100</v>
      </c>
      <c r="OV104" s="2">
        <v>101</v>
      </c>
      <c r="OW104" s="2">
        <v>101.66</v>
      </c>
      <c r="OX104" s="2">
        <v>102.12</v>
      </c>
      <c r="PC104" s="2">
        <v>102.04</v>
      </c>
      <c r="PD104" s="2">
        <v>102.41</v>
      </c>
      <c r="PE104" s="2">
        <v>103.58</v>
      </c>
      <c r="PF104" s="2">
        <v>104.29</v>
      </c>
      <c r="PG104" s="2">
        <v>104.2</v>
      </c>
      <c r="PH104" s="2">
        <v>104.2</v>
      </c>
      <c r="PI104" s="2">
        <v>105.43</v>
      </c>
    </row>
    <row r="105">
      <c r="A105" t="inlineStr">
        <is>
          <t>A130397115C</t>
        </is>
      </c>
      <c r="B105" t="inlineStr">
        <is>
          <t>Index Numbers ;  Tobacco ;  Australia ;</t>
        </is>
      </c>
      <c r="C105" t="inlineStr">
        <is>
          <t>Month</t>
        </is>
      </c>
      <c r="D105" t="inlineStr">
        <is>
          <t>Index Numbers</t>
        </is>
      </c>
      <c r="E105" t="inlineStr">
        <is>
          <t>Original</t>
        </is>
      </c>
      <c r="F105" t="inlineStr">
        <is>
          <t>640103.xlsx</t>
        </is>
      </c>
      <c r="G105" t="inlineStr">
        <is>
          <t>2017-09</t>
        </is>
      </c>
      <c r="H105" t="inlineStr">
        <is>
          <t>2026-07</t>
        </is>
      </c>
      <c r="JW105" s="2">
        <v>42.27</v>
      </c>
      <c r="JX105" s="2">
        <v>43.82</v>
      </c>
      <c r="JY105" s="2">
        <v>44.02</v>
      </c>
      <c r="JZ105" s="2">
        <v>44.22</v>
      </c>
      <c r="KE105" s="2">
        <v>44.35</v>
      </c>
      <c r="KF105" s="2">
        <v>43.89</v>
      </c>
      <c r="KG105" s="2">
        <v>44.44</v>
      </c>
      <c r="KH105" s="2">
        <v>45.01</v>
      </c>
      <c r="KI105" s="2">
        <v>45.47</v>
      </c>
      <c r="KJ105" s="2">
        <v>45.37</v>
      </c>
      <c r="KK105" s="2">
        <v>45.48</v>
      </c>
      <c r="KL105" s="2">
        <v>45.59</v>
      </c>
      <c r="KM105" s="2">
        <v>47.68</v>
      </c>
      <c r="KN105" s="2">
        <v>50.15</v>
      </c>
      <c r="KO105" s="2">
        <v>51.05</v>
      </c>
      <c r="KP105" s="2">
        <v>50.82</v>
      </c>
      <c r="KU105" s="2">
        <v>50.5</v>
      </c>
      <c r="KV105" s="2">
        <v>50.31</v>
      </c>
      <c r="KW105" s="2">
        <v>50.54</v>
      </c>
      <c r="KX105" s="2">
        <v>51.31</v>
      </c>
      <c r="KY105" s="2">
        <v>51.66</v>
      </c>
      <c r="KZ105" s="2">
        <v>51.93</v>
      </c>
      <c r="LA105" s="2">
        <v>52.42</v>
      </c>
      <c r="LB105" s="2">
        <v>52.28</v>
      </c>
      <c r="LC105" s="2">
        <v>55.44</v>
      </c>
      <c r="LD105" s="2">
        <v>57.33</v>
      </c>
      <c r="LE105" s="2">
        <v>57.79</v>
      </c>
      <c r="LF105" s="2">
        <v>58.06</v>
      </c>
      <c r="LK105" s="2">
        <v>58.48</v>
      </c>
      <c r="LL105" s="2">
        <v>58.66</v>
      </c>
      <c r="LM105" s="2">
        <v>59.55</v>
      </c>
      <c r="LN105" s="2">
        <v>60.15</v>
      </c>
      <c r="LO105" s="2">
        <v>60.46</v>
      </c>
      <c r="LP105" s="2">
        <v>60.67</v>
      </c>
      <c r="LQ105" s="2">
        <v>60.98</v>
      </c>
      <c r="LR105" s="2">
        <v>60.95</v>
      </c>
      <c r="LS105" s="2">
        <v>65.5</v>
      </c>
      <c r="LT105" s="2">
        <v>69.05</v>
      </c>
      <c r="LU105" s="2">
        <v>69.59</v>
      </c>
      <c r="LV105" s="2">
        <v>69.20999999999999</v>
      </c>
      <c r="MA105" s="2">
        <v>69.09</v>
      </c>
      <c r="MB105" s="2">
        <v>68.70999999999999</v>
      </c>
      <c r="MC105" s="2">
        <v>68.54000000000001</v>
      </c>
      <c r="MD105" s="2">
        <v>68.86</v>
      </c>
      <c r="ME105" s="2">
        <v>69.33</v>
      </c>
      <c r="MF105" s="2">
        <v>69</v>
      </c>
      <c r="MG105" s="2">
        <v>68.56</v>
      </c>
      <c r="MH105" s="2">
        <v>68.29000000000001</v>
      </c>
      <c r="MI105" s="2">
        <v>68.72</v>
      </c>
      <c r="MJ105" s="2">
        <v>69.37</v>
      </c>
      <c r="MK105" s="2">
        <v>69.88</v>
      </c>
      <c r="ML105" s="2">
        <v>70.25</v>
      </c>
      <c r="MQ105" s="2">
        <v>70.45</v>
      </c>
      <c r="MR105" s="2">
        <v>70.41</v>
      </c>
      <c r="MS105" s="2">
        <v>71.12</v>
      </c>
      <c r="MT105" s="2">
        <v>71.34</v>
      </c>
      <c r="MU105" s="2">
        <v>71.34</v>
      </c>
      <c r="MV105" s="2">
        <v>71.42</v>
      </c>
      <c r="MW105" s="2">
        <v>71.58</v>
      </c>
      <c r="MX105" s="2">
        <v>71.78</v>
      </c>
      <c r="MY105" s="2">
        <v>72.59</v>
      </c>
      <c r="MZ105" s="2">
        <v>73.06</v>
      </c>
      <c r="NA105" s="2">
        <v>73.09</v>
      </c>
      <c r="NB105" s="2">
        <v>73.06</v>
      </c>
      <c r="NG105" s="2">
        <v>73.18000000000001</v>
      </c>
      <c r="NH105" s="2">
        <v>73.3</v>
      </c>
      <c r="NI105" s="2">
        <v>73.89</v>
      </c>
      <c r="NJ105" s="2">
        <v>74.40000000000001</v>
      </c>
      <c r="NK105" s="2">
        <v>74.26000000000001</v>
      </c>
      <c r="NL105" s="2">
        <v>74.13</v>
      </c>
      <c r="NM105" s="2">
        <v>74.14</v>
      </c>
      <c r="NN105" s="2">
        <v>74.45</v>
      </c>
      <c r="NO105" s="2">
        <v>78.03</v>
      </c>
      <c r="NP105" s="2">
        <v>80.68000000000001</v>
      </c>
      <c r="NQ105" s="2">
        <v>80.76000000000001</v>
      </c>
      <c r="NR105" s="2">
        <v>80.95</v>
      </c>
      <c r="NW105" s="2">
        <v>81.01000000000001</v>
      </c>
      <c r="NX105" s="2">
        <v>81.16</v>
      </c>
      <c r="NY105" s="2">
        <v>83.02</v>
      </c>
      <c r="NZ105" s="2">
        <v>84.06</v>
      </c>
      <c r="OA105" s="2">
        <v>84.23</v>
      </c>
      <c r="OB105" s="2">
        <v>84.39</v>
      </c>
      <c r="OC105" s="2">
        <v>84.45999999999999</v>
      </c>
      <c r="OD105" s="2">
        <v>84.39</v>
      </c>
      <c r="OE105" s="2">
        <v>88.09999999999999</v>
      </c>
      <c r="OF105" s="2">
        <v>90.54000000000001</v>
      </c>
      <c r="OG105" s="2">
        <v>90.59999999999999</v>
      </c>
      <c r="OH105" s="2">
        <v>90.78</v>
      </c>
      <c r="OM105" s="2">
        <v>91.25</v>
      </c>
      <c r="ON105" s="2">
        <v>91.84999999999999</v>
      </c>
      <c r="OO105" s="2">
        <v>93.15000000000001</v>
      </c>
      <c r="OP105" s="2">
        <v>94.17</v>
      </c>
      <c r="OQ105" s="2">
        <v>93.98</v>
      </c>
      <c r="OR105" s="2">
        <v>93.72</v>
      </c>
      <c r="OS105" s="2">
        <v>94.93000000000001</v>
      </c>
      <c r="OT105" s="2">
        <v>95.06</v>
      </c>
      <c r="OU105" s="2">
        <v>100</v>
      </c>
      <c r="OV105" s="2">
        <v>101</v>
      </c>
      <c r="OW105" s="2">
        <v>101.66</v>
      </c>
      <c r="OX105" s="2">
        <v>102.12</v>
      </c>
      <c r="PC105" s="2">
        <v>102.04</v>
      </c>
      <c r="PD105" s="2">
        <v>102.41</v>
      </c>
      <c r="PE105" s="2">
        <v>103.58</v>
      </c>
      <c r="PF105" s="2">
        <v>104.29</v>
      </c>
      <c r="PG105" s="2">
        <v>104.2</v>
      </c>
      <c r="PH105" s="2">
        <v>104.2</v>
      </c>
      <c r="PI105" s="2">
        <v>105.43</v>
      </c>
    </row>
    <row r="106">
      <c r="A106" t="inlineStr">
        <is>
          <t>A130391669W</t>
        </is>
      </c>
      <c r="B106" t="inlineStr">
        <is>
          <t>Index Numbers ;  Clothing and footwear ;  Australia ;</t>
        </is>
      </c>
      <c r="C106" t="inlineStr">
        <is>
          <t>Month</t>
        </is>
      </c>
      <c r="D106" t="inlineStr">
        <is>
          <t>Index Numbers</t>
        </is>
      </c>
      <c r="E106" t="inlineStr">
        <is>
          <t>Original</t>
        </is>
      </c>
      <c r="F106" t="inlineStr">
        <is>
          <t>640103.xlsx</t>
        </is>
      </c>
      <c r="G106" t="inlineStr">
        <is>
          <t>2024-04</t>
        </is>
      </c>
      <c r="H106" t="inlineStr">
        <is>
          <t>2026-07</t>
        </is>
      </c>
      <c r="NZ106" s="2">
        <v>98.76000000000001</v>
      </c>
      <c r="OA106" s="2">
        <v>95.67</v>
      </c>
      <c r="OB106" s="2">
        <v>94.11</v>
      </c>
      <c r="OC106" s="2">
        <v>97.01000000000001</v>
      </c>
      <c r="OD106" s="2">
        <v>96.45</v>
      </c>
      <c r="OE106" s="2">
        <v>96.31999999999999</v>
      </c>
      <c r="OF106" s="2">
        <v>96.95999999999999</v>
      </c>
      <c r="OG106" s="2">
        <v>94.20999999999999</v>
      </c>
      <c r="OH106" s="2">
        <v>95.01000000000001</v>
      </c>
      <c r="OM106" s="2">
        <v>95.64</v>
      </c>
      <c r="ON106" s="2">
        <v>98.73</v>
      </c>
      <c r="OO106" s="2">
        <v>94.91</v>
      </c>
      <c r="OP106" s="2">
        <v>99.73</v>
      </c>
      <c r="OQ106" s="2">
        <v>97.67</v>
      </c>
      <c r="OR106" s="2">
        <v>96.8</v>
      </c>
      <c r="OS106" s="2">
        <v>99.25</v>
      </c>
      <c r="OT106" s="2">
        <v>100.64</v>
      </c>
      <c r="OU106" s="2">
        <v>100</v>
      </c>
      <c r="OV106" s="2">
        <v>102.23</v>
      </c>
      <c r="OW106" s="2">
        <v>99.04000000000001</v>
      </c>
      <c r="OX106" s="2">
        <v>98.2</v>
      </c>
      <c r="PC106" s="2">
        <v>101.04</v>
      </c>
      <c r="PD106" s="2">
        <v>103.66</v>
      </c>
      <c r="PE106" s="2">
        <v>101.67</v>
      </c>
      <c r="PF106" s="2">
        <v>105.59</v>
      </c>
      <c r="PG106" s="2">
        <v>102.57</v>
      </c>
      <c r="PH106" s="2">
        <v>101.54</v>
      </c>
      <c r="PI106" s="2">
        <v>104.15</v>
      </c>
    </row>
    <row r="107">
      <c r="A107" t="inlineStr">
        <is>
          <t>A130394105V</t>
        </is>
      </c>
      <c r="B107" t="inlineStr">
        <is>
          <t>Index Numbers ;  Garments ;  Australia ;</t>
        </is>
      </c>
      <c r="C107" t="inlineStr">
        <is>
          <t>Month</t>
        </is>
      </c>
      <c r="D107" t="inlineStr">
        <is>
          <t>Index Numbers</t>
        </is>
      </c>
      <c r="E107" t="inlineStr">
        <is>
          <t>Original</t>
        </is>
      </c>
      <c r="F107" t="inlineStr">
        <is>
          <t>640103.xlsx</t>
        </is>
      </c>
      <c r="G107" t="inlineStr">
        <is>
          <t>2024-04</t>
        </is>
      </c>
      <c r="H107" t="inlineStr">
        <is>
          <t>2026-07</t>
        </is>
      </c>
      <c r="NZ107" s="2">
        <v>102.74</v>
      </c>
      <c r="OA107" s="2">
        <v>98.41</v>
      </c>
      <c r="OB107" s="2">
        <v>96.78</v>
      </c>
      <c r="OC107" s="2">
        <v>99.73999999999999</v>
      </c>
      <c r="OD107" s="2">
        <v>99.95999999999999</v>
      </c>
      <c r="OE107" s="2">
        <v>98.66</v>
      </c>
      <c r="OF107" s="2">
        <v>99</v>
      </c>
      <c r="OG107" s="2">
        <v>98.03</v>
      </c>
      <c r="OH107" s="2">
        <v>98.31</v>
      </c>
      <c r="OM107" s="2">
        <v>97.02</v>
      </c>
      <c r="ON107" s="2">
        <v>100.83</v>
      </c>
      <c r="OO107" s="2">
        <v>97.31999999999999</v>
      </c>
      <c r="OP107" s="2">
        <v>103.07</v>
      </c>
      <c r="OQ107" s="2">
        <v>100.74</v>
      </c>
      <c r="OR107" s="2">
        <v>98.17</v>
      </c>
      <c r="OS107" s="2">
        <v>100.89</v>
      </c>
      <c r="OT107" s="2">
        <v>103.07</v>
      </c>
      <c r="OU107" s="2">
        <v>100</v>
      </c>
      <c r="OV107" s="2">
        <v>102.58</v>
      </c>
      <c r="OW107" s="2">
        <v>100.21</v>
      </c>
      <c r="OX107" s="2">
        <v>98.95</v>
      </c>
      <c r="PC107" s="2">
        <v>101.13</v>
      </c>
      <c r="PD107" s="2">
        <v>104.08</v>
      </c>
      <c r="PE107" s="2">
        <v>101.46</v>
      </c>
      <c r="PF107" s="2">
        <v>106.31</v>
      </c>
      <c r="PG107" s="2">
        <v>102.85</v>
      </c>
      <c r="PH107" s="2">
        <v>99.69</v>
      </c>
      <c r="PI107" s="2">
        <v>102.84</v>
      </c>
    </row>
    <row r="108">
      <c r="A108" t="inlineStr">
        <is>
          <t>A130399709X</t>
        </is>
      </c>
      <c r="B108" t="inlineStr">
        <is>
          <t>Index Numbers ;  Garments for men ;  Australia ;</t>
        </is>
      </c>
      <c r="C108" t="inlineStr">
        <is>
          <t>Month</t>
        </is>
      </c>
      <c r="D108" t="inlineStr">
        <is>
          <t>Index Numbers</t>
        </is>
      </c>
      <c r="E108" t="inlineStr">
        <is>
          <t>Original</t>
        </is>
      </c>
      <c r="F108" t="inlineStr">
        <is>
          <t>640103.xlsx</t>
        </is>
      </c>
      <c r="G108" t="inlineStr">
        <is>
          <t>2024-04</t>
        </is>
      </c>
      <c r="H108" t="inlineStr">
        <is>
          <t>2026-07</t>
        </is>
      </c>
      <c r="NZ108" s="2">
        <v>107.18</v>
      </c>
      <c r="OA108" s="2">
        <v>102.45</v>
      </c>
      <c r="OB108" s="2">
        <v>99.34</v>
      </c>
      <c r="OC108" s="2">
        <v>103.04</v>
      </c>
      <c r="OD108" s="2">
        <v>104.5</v>
      </c>
      <c r="OE108" s="2">
        <v>102.88</v>
      </c>
      <c r="OF108" s="2">
        <v>102.14</v>
      </c>
      <c r="OG108" s="2">
        <v>101.01</v>
      </c>
      <c r="OH108" s="2">
        <v>99.78</v>
      </c>
      <c r="OM108" s="2">
        <v>99.2</v>
      </c>
      <c r="ON108" s="2">
        <v>102.02</v>
      </c>
      <c r="OO108" s="2">
        <v>98.59999999999999</v>
      </c>
      <c r="OP108" s="2">
        <v>104.95</v>
      </c>
      <c r="OQ108" s="2">
        <v>101.94</v>
      </c>
      <c r="OR108" s="2">
        <v>98.05</v>
      </c>
      <c r="OS108" s="2">
        <v>99.81999999999999</v>
      </c>
      <c r="OT108" s="2">
        <v>103.72</v>
      </c>
      <c r="OU108" s="2">
        <v>100</v>
      </c>
      <c r="OV108" s="2">
        <v>103.24</v>
      </c>
      <c r="OW108" s="2">
        <v>101.09</v>
      </c>
      <c r="OX108" s="2">
        <v>98.51000000000001</v>
      </c>
      <c r="PC108" s="2">
        <v>101.18</v>
      </c>
      <c r="PD108" s="2">
        <v>103.85</v>
      </c>
      <c r="PE108" s="2">
        <v>99.40000000000001</v>
      </c>
      <c r="PF108" s="2">
        <v>103.39</v>
      </c>
      <c r="PG108" s="2">
        <v>101.54</v>
      </c>
      <c r="PH108" s="2">
        <v>100.02</v>
      </c>
      <c r="PI108" s="2">
        <v>104.03</v>
      </c>
    </row>
    <row r="109">
      <c r="A109" t="inlineStr">
        <is>
          <t>A130398467A</t>
        </is>
      </c>
      <c r="B109" t="inlineStr">
        <is>
          <t>Index Numbers ;  Garments for women ;  Australia ;</t>
        </is>
      </c>
      <c r="C109" t="inlineStr">
        <is>
          <t>Month</t>
        </is>
      </c>
      <c r="D109" t="inlineStr">
        <is>
          <t>Index Numbers</t>
        </is>
      </c>
      <c r="E109" t="inlineStr">
        <is>
          <t>Original</t>
        </is>
      </c>
      <c r="F109" t="inlineStr">
        <is>
          <t>640103.xlsx</t>
        </is>
      </c>
      <c r="G109" t="inlineStr">
        <is>
          <t>2024-04</t>
        </is>
      </c>
      <c r="H109" t="inlineStr">
        <is>
          <t>2026-07</t>
        </is>
      </c>
      <c r="NZ109" s="2">
        <v>101.34</v>
      </c>
      <c r="OA109" s="2">
        <v>96.62</v>
      </c>
      <c r="OB109" s="2">
        <v>95.23</v>
      </c>
      <c r="OC109" s="2">
        <v>98.63</v>
      </c>
      <c r="OD109" s="2">
        <v>98.2</v>
      </c>
      <c r="OE109" s="2">
        <v>97.15000000000001</v>
      </c>
      <c r="OF109" s="2">
        <v>97.90000000000001</v>
      </c>
      <c r="OG109" s="2">
        <v>96.97</v>
      </c>
      <c r="OH109" s="2">
        <v>98.38</v>
      </c>
      <c r="OM109" s="2">
        <v>96.64</v>
      </c>
      <c r="ON109" s="2">
        <v>101.78</v>
      </c>
      <c r="OO109" s="2">
        <v>97.76000000000001</v>
      </c>
      <c r="OP109" s="2">
        <v>103.63</v>
      </c>
      <c r="OQ109" s="2">
        <v>101.19</v>
      </c>
      <c r="OR109" s="2">
        <v>99.41</v>
      </c>
      <c r="OS109" s="2">
        <v>102.48</v>
      </c>
      <c r="OT109" s="2">
        <v>103.23</v>
      </c>
      <c r="OU109" s="2">
        <v>100</v>
      </c>
      <c r="OV109" s="2">
        <v>102.57</v>
      </c>
      <c r="OW109" s="2">
        <v>99.79000000000001</v>
      </c>
      <c r="OX109" s="2">
        <v>99.25</v>
      </c>
      <c r="PC109" s="2">
        <v>101.39</v>
      </c>
      <c r="PD109" s="2">
        <v>104.98</v>
      </c>
      <c r="PE109" s="2">
        <v>103.18</v>
      </c>
      <c r="PF109" s="2">
        <v>109.46</v>
      </c>
      <c r="PG109" s="2">
        <v>105.36</v>
      </c>
      <c r="PH109" s="2">
        <v>100.5</v>
      </c>
      <c r="PI109" s="2">
        <v>103.7</v>
      </c>
    </row>
    <row r="110">
      <c r="A110" t="inlineStr">
        <is>
          <t>A130391018T</t>
        </is>
      </c>
      <c r="B110" t="inlineStr">
        <is>
          <t>Index Numbers ;  Garments for infants and children ;  Australia ;</t>
        </is>
      </c>
      <c r="C110" t="inlineStr">
        <is>
          <t>Month</t>
        </is>
      </c>
      <c r="D110" t="inlineStr">
        <is>
          <t>Index Numbers</t>
        </is>
      </c>
      <c r="E110" t="inlineStr">
        <is>
          <t>Original</t>
        </is>
      </c>
      <c r="F110" t="inlineStr">
        <is>
          <t>640103.xlsx</t>
        </is>
      </c>
      <c r="G110" t="inlineStr">
        <is>
          <t>2024-04</t>
        </is>
      </c>
      <c r="H110" t="inlineStr">
        <is>
          <t>2026-07</t>
        </is>
      </c>
      <c r="NZ110" s="2">
        <v>100.51</v>
      </c>
      <c r="OA110" s="2">
        <v>98.11</v>
      </c>
      <c r="OB110" s="2">
        <v>97.97</v>
      </c>
      <c r="OC110" s="2">
        <v>98.38</v>
      </c>
      <c r="OD110" s="2">
        <v>98.75</v>
      </c>
      <c r="OE110" s="2">
        <v>97.18000000000001</v>
      </c>
      <c r="OF110" s="2">
        <v>97.83</v>
      </c>
      <c r="OG110" s="2">
        <v>96.95</v>
      </c>
      <c r="OH110" s="2">
        <v>95.84</v>
      </c>
      <c r="OM110" s="2">
        <v>94.89</v>
      </c>
      <c r="ON110" s="2">
        <v>95.88</v>
      </c>
      <c r="OO110" s="2">
        <v>93.91</v>
      </c>
      <c r="OP110" s="2">
        <v>98.34</v>
      </c>
      <c r="OQ110" s="2">
        <v>97.43000000000001</v>
      </c>
      <c r="OR110" s="2">
        <v>94.33</v>
      </c>
      <c r="OS110" s="2">
        <v>97.34</v>
      </c>
      <c r="OT110" s="2">
        <v>101.57</v>
      </c>
      <c r="OU110" s="2">
        <v>100</v>
      </c>
      <c r="OV110" s="2">
        <v>101.62</v>
      </c>
      <c r="OW110" s="2">
        <v>100.25</v>
      </c>
      <c r="OX110" s="2">
        <v>98.68000000000001</v>
      </c>
      <c r="PC110" s="2">
        <v>100.19</v>
      </c>
      <c r="PD110" s="2">
        <v>101.51</v>
      </c>
      <c r="PE110" s="2">
        <v>99.02</v>
      </c>
      <c r="PF110" s="2">
        <v>100.54</v>
      </c>
      <c r="PG110" s="2">
        <v>96.70999999999999</v>
      </c>
      <c r="PH110" s="2">
        <v>96.52</v>
      </c>
      <c r="PI110" s="2">
        <v>98.20999999999999</v>
      </c>
    </row>
    <row r="111">
      <c r="A111" t="inlineStr">
        <is>
          <t>A130391760K</t>
        </is>
      </c>
      <c r="B111" t="inlineStr">
        <is>
          <t>Index Numbers ;  Footwear ;  Australia ;</t>
        </is>
      </c>
      <c r="C111" t="inlineStr">
        <is>
          <t>Month</t>
        </is>
      </c>
      <c r="D111" t="inlineStr">
        <is>
          <t>Index Numbers</t>
        </is>
      </c>
      <c r="E111" t="inlineStr">
        <is>
          <t>Original</t>
        </is>
      </c>
      <c r="F111" t="inlineStr">
        <is>
          <t>640103.xlsx</t>
        </is>
      </c>
      <c r="G111" t="inlineStr">
        <is>
          <t>2024-04</t>
        </is>
      </c>
      <c r="H111" t="inlineStr">
        <is>
          <t>2026-07</t>
        </is>
      </c>
      <c r="NZ111" s="2">
        <v>100.36</v>
      </c>
      <c r="OA111" s="2">
        <v>94.95</v>
      </c>
      <c r="OB111" s="2">
        <v>97.38</v>
      </c>
      <c r="OC111" s="2">
        <v>98.61</v>
      </c>
      <c r="OD111" s="2">
        <v>95.47</v>
      </c>
      <c r="OE111" s="2">
        <v>95.56</v>
      </c>
      <c r="OF111" s="2">
        <v>99.59</v>
      </c>
      <c r="OG111" s="2">
        <v>94.77</v>
      </c>
      <c r="OH111" s="2">
        <v>93.98999999999999</v>
      </c>
      <c r="OM111" s="2">
        <v>96.28</v>
      </c>
      <c r="ON111" s="2">
        <v>101.57</v>
      </c>
      <c r="OO111" s="2">
        <v>97.90000000000001</v>
      </c>
      <c r="OP111" s="2">
        <v>101.64</v>
      </c>
      <c r="OQ111" s="2">
        <v>98.81999999999999</v>
      </c>
      <c r="OR111" s="2">
        <v>99.5</v>
      </c>
      <c r="OS111" s="2">
        <v>98.34999999999999</v>
      </c>
      <c r="OT111" s="2">
        <v>96.01000000000001</v>
      </c>
      <c r="OU111" s="2">
        <v>100</v>
      </c>
      <c r="OV111" s="2">
        <v>102</v>
      </c>
      <c r="OW111" s="2">
        <v>96.44</v>
      </c>
      <c r="OX111" s="2">
        <v>96.42</v>
      </c>
      <c r="PC111" s="2">
        <v>97.8</v>
      </c>
      <c r="PD111" s="2">
        <v>102.2</v>
      </c>
      <c r="PE111" s="2">
        <v>100.27</v>
      </c>
      <c r="PF111" s="2">
        <v>102.77</v>
      </c>
      <c r="PG111" s="2">
        <v>100.42</v>
      </c>
      <c r="PH111" s="2">
        <v>99.54000000000001</v>
      </c>
      <c r="PI111" s="2">
        <v>100.5</v>
      </c>
    </row>
    <row r="112">
      <c r="A112" t="inlineStr">
        <is>
          <t>A130393279A</t>
        </is>
      </c>
      <c r="B112" t="inlineStr">
        <is>
          <t>Index Numbers ;  Footwear for men ;  Australia ;</t>
        </is>
      </c>
      <c r="C112" t="inlineStr">
        <is>
          <t>Month</t>
        </is>
      </c>
      <c r="D112" t="inlineStr">
        <is>
          <t>Index Numbers</t>
        </is>
      </c>
      <c r="E112" t="inlineStr">
        <is>
          <t>Original</t>
        </is>
      </c>
      <c r="F112" t="inlineStr">
        <is>
          <t>640103.xlsx</t>
        </is>
      </c>
      <c r="G112" t="inlineStr">
        <is>
          <t>2024-04</t>
        </is>
      </c>
      <c r="H112" t="inlineStr">
        <is>
          <t>2026-07</t>
        </is>
      </c>
      <c r="NZ112" s="2">
        <v>103.25</v>
      </c>
      <c r="OA112" s="2">
        <v>100.27</v>
      </c>
      <c r="OB112" s="2">
        <v>98.31</v>
      </c>
      <c r="OC112" s="2">
        <v>102.9</v>
      </c>
      <c r="OD112" s="2">
        <v>100.24</v>
      </c>
      <c r="OE112" s="2">
        <v>104.38</v>
      </c>
      <c r="OF112" s="2">
        <v>105.37</v>
      </c>
      <c r="OG112" s="2">
        <v>99.70999999999999</v>
      </c>
      <c r="OH112" s="2">
        <v>100.22</v>
      </c>
      <c r="OM112" s="2">
        <v>100.32</v>
      </c>
      <c r="ON112" s="2">
        <v>106.37</v>
      </c>
      <c r="OO112" s="2">
        <v>100.57</v>
      </c>
      <c r="OP112" s="2">
        <v>105.94</v>
      </c>
      <c r="OQ112" s="2">
        <v>102.28</v>
      </c>
      <c r="OR112" s="2">
        <v>103.19</v>
      </c>
      <c r="OS112" s="2">
        <v>102.57</v>
      </c>
      <c r="OT112" s="2">
        <v>98.61</v>
      </c>
      <c r="OU112" s="2">
        <v>100</v>
      </c>
      <c r="OV112" s="2">
        <v>102.78</v>
      </c>
      <c r="OW112" s="2">
        <v>98.48</v>
      </c>
      <c r="OX112" s="2">
        <v>98.01000000000001</v>
      </c>
      <c r="PC112" s="2">
        <v>102.11</v>
      </c>
      <c r="PD112" s="2">
        <v>105.24</v>
      </c>
      <c r="PE112" s="2">
        <v>102.27</v>
      </c>
      <c r="PF112" s="2">
        <v>104.47</v>
      </c>
      <c r="PG112" s="2">
        <v>105.77</v>
      </c>
      <c r="PH112" s="2">
        <v>103.34</v>
      </c>
      <c r="PI112" s="2">
        <v>102.4</v>
      </c>
    </row>
    <row r="113">
      <c r="A113" t="inlineStr">
        <is>
          <t>A130395743F</t>
        </is>
      </c>
      <c r="B113" t="inlineStr">
        <is>
          <t>Index Numbers ;  Footwear for women ;  Australia ;</t>
        </is>
      </c>
      <c r="C113" t="inlineStr">
        <is>
          <t>Month</t>
        </is>
      </c>
      <c r="D113" t="inlineStr">
        <is>
          <t>Index Numbers</t>
        </is>
      </c>
      <c r="E113" t="inlineStr">
        <is>
          <t>Original</t>
        </is>
      </c>
      <c r="F113" t="inlineStr">
        <is>
          <t>640103.xlsx</t>
        </is>
      </c>
      <c r="G113" t="inlineStr">
        <is>
          <t>2024-04</t>
        </is>
      </c>
      <c r="H113" t="inlineStr">
        <is>
          <t>2026-07</t>
        </is>
      </c>
      <c r="NZ113" s="2">
        <v>98.59</v>
      </c>
      <c r="OA113" s="2">
        <v>91.59</v>
      </c>
      <c r="OB113" s="2">
        <v>95.76000000000001</v>
      </c>
      <c r="OC113" s="2">
        <v>95.7</v>
      </c>
      <c r="OD113" s="2">
        <v>92.16</v>
      </c>
      <c r="OE113" s="2">
        <v>90.95999999999999</v>
      </c>
      <c r="OF113" s="2">
        <v>96.18000000000001</v>
      </c>
      <c r="OG113" s="2">
        <v>91.06999999999999</v>
      </c>
      <c r="OH113" s="2">
        <v>90.14</v>
      </c>
      <c r="OM113" s="2">
        <v>92.62</v>
      </c>
      <c r="ON113" s="2">
        <v>98.27</v>
      </c>
      <c r="OO113" s="2">
        <v>94.62</v>
      </c>
      <c r="OP113" s="2">
        <v>99.29000000000001</v>
      </c>
      <c r="OQ113" s="2">
        <v>96.53</v>
      </c>
      <c r="OR113" s="2">
        <v>98.12</v>
      </c>
      <c r="OS113" s="2">
        <v>96.04000000000001</v>
      </c>
      <c r="OT113" s="2">
        <v>94.64</v>
      </c>
      <c r="OU113" s="2">
        <v>100</v>
      </c>
      <c r="OV113" s="2">
        <v>101.24</v>
      </c>
      <c r="OW113" s="2">
        <v>94.81999999999999</v>
      </c>
      <c r="OX113" s="2">
        <v>94.20999999999999</v>
      </c>
      <c r="PC113" s="2">
        <v>94.53</v>
      </c>
      <c r="PD113" s="2">
        <v>99.75</v>
      </c>
      <c r="PE113" s="2">
        <v>98.61</v>
      </c>
      <c r="PF113" s="2">
        <v>101.42</v>
      </c>
      <c r="PG113" s="2">
        <v>97</v>
      </c>
      <c r="PH113" s="2">
        <v>97.15000000000001</v>
      </c>
      <c r="PI113" s="2">
        <v>99.53</v>
      </c>
    </row>
    <row r="114">
      <c r="A114" t="inlineStr">
        <is>
          <t>A130391991V</t>
        </is>
      </c>
      <c r="B114" t="inlineStr">
        <is>
          <t>Index Numbers ;  Footwear for infants and children ;  Australia ;</t>
        </is>
      </c>
      <c r="C114" t="inlineStr">
        <is>
          <t>Month</t>
        </is>
      </c>
      <c r="D114" t="inlineStr">
        <is>
          <t>Index Numbers</t>
        </is>
      </c>
      <c r="E114" t="inlineStr">
        <is>
          <t>Original</t>
        </is>
      </c>
      <c r="F114" t="inlineStr">
        <is>
          <t>640103.xlsx</t>
        </is>
      </c>
      <c r="G114" t="inlineStr">
        <is>
          <t>2024-04</t>
        </is>
      </c>
      <c r="H114" t="inlineStr">
        <is>
          <t>2026-07</t>
        </is>
      </c>
      <c r="NZ114" s="2">
        <v>103.3</v>
      </c>
      <c r="OA114" s="2">
        <v>100.4</v>
      </c>
      <c r="OB114" s="2">
        <v>102.83</v>
      </c>
      <c r="OC114" s="2">
        <v>103.88</v>
      </c>
      <c r="OD114" s="2">
        <v>101.6</v>
      </c>
      <c r="OE114" s="2">
        <v>100.39</v>
      </c>
      <c r="OF114" s="2">
        <v>104.48</v>
      </c>
      <c r="OG114" s="2">
        <v>102.2</v>
      </c>
      <c r="OH114" s="2">
        <v>99.95</v>
      </c>
      <c r="OM114" s="2">
        <v>104.97</v>
      </c>
      <c r="ON114" s="2">
        <v>107.52</v>
      </c>
      <c r="OO114" s="2">
        <v>107.19</v>
      </c>
      <c r="OP114" s="2">
        <v>104.51</v>
      </c>
      <c r="OQ114" s="2">
        <v>102.72</v>
      </c>
      <c r="OR114" s="2">
        <v>99.34</v>
      </c>
      <c r="OS114" s="2">
        <v>101.12</v>
      </c>
      <c r="OT114" s="2">
        <v>97.55</v>
      </c>
      <c r="OU114" s="2">
        <v>100</v>
      </c>
      <c r="OV114" s="2">
        <v>103.89</v>
      </c>
      <c r="OW114" s="2">
        <v>99.87</v>
      </c>
      <c r="OX114" s="2">
        <v>103</v>
      </c>
      <c r="PC114" s="2">
        <v>104.41</v>
      </c>
      <c r="PD114" s="2">
        <v>107.42</v>
      </c>
      <c r="PE114" s="2">
        <v>103.94</v>
      </c>
      <c r="PF114" s="2">
        <v>105.67</v>
      </c>
      <c r="PG114" s="2">
        <v>105.96</v>
      </c>
      <c r="PH114" s="2">
        <v>103.39</v>
      </c>
      <c r="PI114" s="2">
        <v>101.45</v>
      </c>
    </row>
    <row r="115">
      <c r="A115" t="inlineStr">
        <is>
          <t>A130397290L</t>
        </is>
      </c>
      <c r="B115" t="inlineStr">
        <is>
          <t>Index Numbers ;  Accessories and clothing services ;  Australia ;</t>
        </is>
      </c>
      <c r="C115" t="inlineStr">
        <is>
          <t>Month</t>
        </is>
      </c>
      <c r="D115" t="inlineStr">
        <is>
          <t>Index Numbers</t>
        </is>
      </c>
      <c r="E115" t="inlineStr">
        <is>
          <t>Original</t>
        </is>
      </c>
      <c r="F115" t="inlineStr">
        <is>
          <t>640103.xlsx</t>
        </is>
      </c>
      <c r="G115" t="inlineStr">
        <is>
          <t>2024-04</t>
        </is>
      </c>
      <c r="H115" t="inlineStr">
        <is>
          <t>2026-07</t>
        </is>
      </c>
      <c r="NZ115" s="2">
        <v>88.73999999999999</v>
      </c>
      <c r="OA115" s="2">
        <v>89.84999999999999</v>
      </c>
      <c r="OB115" s="2">
        <v>86.22</v>
      </c>
      <c r="OC115" s="2">
        <v>89.90000000000001</v>
      </c>
      <c r="OD115" s="2">
        <v>88.97</v>
      </c>
      <c r="OE115" s="2">
        <v>91.43000000000001</v>
      </c>
      <c r="OF115" s="2">
        <v>90.90000000000001</v>
      </c>
      <c r="OG115" s="2">
        <v>85.14</v>
      </c>
      <c r="OH115" s="2">
        <v>88</v>
      </c>
      <c r="OM115" s="2">
        <v>92.13</v>
      </c>
      <c r="ON115" s="2">
        <v>92.38</v>
      </c>
      <c r="OO115" s="2">
        <v>87.77</v>
      </c>
      <c r="OP115" s="2">
        <v>91.04000000000001</v>
      </c>
      <c r="OQ115" s="2">
        <v>90.05</v>
      </c>
      <c r="OR115" s="2">
        <v>92.20999999999999</v>
      </c>
      <c r="OS115" s="2">
        <v>96.01000000000001</v>
      </c>
      <c r="OT115" s="2">
        <v>97.59</v>
      </c>
      <c r="OU115" s="2">
        <v>100</v>
      </c>
      <c r="OV115" s="2">
        <v>101.55</v>
      </c>
      <c r="OW115" s="2">
        <v>97.79000000000001</v>
      </c>
      <c r="OX115" s="2">
        <v>97.45999999999999</v>
      </c>
      <c r="PC115" s="2">
        <v>102.6</v>
      </c>
      <c r="PD115" s="2">
        <v>103.49</v>
      </c>
      <c r="PE115" s="2">
        <v>102.91</v>
      </c>
      <c r="PF115" s="2">
        <v>105.48</v>
      </c>
      <c r="PG115" s="2">
        <v>103.09</v>
      </c>
      <c r="PH115" s="2">
        <v>106.86</v>
      </c>
      <c r="PI115" s="2">
        <v>109.14</v>
      </c>
    </row>
    <row r="116">
      <c r="A116" t="inlineStr">
        <is>
          <t>A130396016C</t>
        </is>
      </c>
      <c r="B116" t="inlineStr">
        <is>
          <t>Index Numbers ;  Accessories ;  Australia ;</t>
        </is>
      </c>
      <c r="C116" t="inlineStr">
        <is>
          <t>Month</t>
        </is>
      </c>
      <c r="D116" t="inlineStr">
        <is>
          <t>Index Numbers</t>
        </is>
      </c>
      <c r="E116" t="inlineStr">
        <is>
          <t>Original</t>
        </is>
      </c>
      <c r="F116" t="inlineStr">
        <is>
          <t>640103.xlsx</t>
        </is>
      </c>
      <c r="G116" t="inlineStr">
        <is>
          <t>2024-04</t>
        </is>
      </c>
      <c r="H116" t="inlineStr">
        <is>
          <t>2026-07</t>
        </is>
      </c>
      <c r="NZ116" s="2">
        <v>88.18000000000001</v>
      </c>
      <c r="OA116" s="2">
        <v>89.36</v>
      </c>
      <c r="OB116" s="2">
        <v>85.44</v>
      </c>
      <c r="OC116" s="2">
        <v>89.40000000000001</v>
      </c>
      <c r="OD116" s="2">
        <v>88.38</v>
      </c>
      <c r="OE116" s="2">
        <v>91.03</v>
      </c>
      <c r="OF116" s="2">
        <v>90.43000000000001</v>
      </c>
      <c r="OG116" s="2">
        <v>84.14</v>
      </c>
      <c r="OH116" s="2">
        <v>87.20999999999999</v>
      </c>
      <c r="OM116" s="2">
        <v>91.75</v>
      </c>
      <c r="ON116" s="2">
        <v>92</v>
      </c>
      <c r="OO116" s="2">
        <v>86.91</v>
      </c>
      <c r="OP116" s="2">
        <v>90.41</v>
      </c>
      <c r="OQ116" s="2">
        <v>89.33</v>
      </c>
      <c r="OR116" s="2">
        <v>91.59999999999999</v>
      </c>
      <c r="OS116" s="2">
        <v>95.7</v>
      </c>
      <c r="OT116" s="2">
        <v>97.39</v>
      </c>
      <c r="OU116" s="2">
        <v>100</v>
      </c>
      <c r="OV116" s="2">
        <v>101.65</v>
      </c>
      <c r="OW116" s="2">
        <v>97.53</v>
      </c>
      <c r="OX116" s="2">
        <v>97.17</v>
      </c>
      <c r="PC116" s="2">
        <v>102.74</v>
      </c>
      <c r="PD116" s="2">
        <v>103.71</v>
      </c>
      <c r="PE116" s="2">
        <v>103.06</v>
      </c>
      <c r="PF116" s="2">
        <v>105.79</v>
      </c>
      <c r="PG116" s="2">
        <v>103.17</v>
      </c>
      <c r="PH116" s="2">
        <v>107.26</v>
      </c>
      <c r="PI116" s="2">
        <v>109.65</v>
      </c>
    </row>
    <row r="117">
      <c r="A117" t="inlineStr">
        <is>
          <t>A130399478A</t>
        </is>
      </c>
      <c r="B117" t="inlineStr">
        <is>
          <t>Index Numbers ;  Cleaning, repair and hire of clothing and footwear ;  Australia ;</t>
        </is>
      </c>
      <c r="C117" t="inlineStr">
        <is>
          <t>Month</t>
        </is>
      </c>
      <c r="D117" t="inlineStr">
        <is>
          <t>Index Numbers</t>
        </is>
      </c>
      <c r="E117" t="inlineStr">
        <is>
          <t>Original</t>
        </is>
      </c>
      <c r="F117" t="inlineStr">
        <is>
          <t>640103.xlsx</t>
        </is>
      </c>
      <c r="G117" t="inlineStr">
        <is>
          <t>2024-04</t>
        </is>
      </c>
      <c r="H117" t="inlineStr">
        <is>
          <t>2026-07</t>
        </is>
      </c>
      <c r="NZ117" s="2">
        <v>94.98999999999999</v>
      </c>
      <c r="OA117" s="2">
        <v>95.08</v>
      </c>
      <c r="OB117" s="2">
        <v>95.18000000000001</v>
      </c>
      <c r="OC117" s="2">
        <v>95.34999999999999</v>
      </c>
      <c r="OD117" s="2">
        <v>95.48</v>
      </c>
      <c r="OE117" s="2">
        <v>95.62</v>
      </c>
      <c r="OF117" s="2">
        <v>95.98999999999999</v>
      </c>
      <c r="OG117" s="2">
        <v>96.72</v>
      </c>
      <c r="OH117" s="2">
        <v>97.01000000000001</v>
      </c>
      <c r="OM117" s="2">
        <v>96.52</v>
      </c>
      <c r="ON117" s="2">
        <v>96.69</v>
      </c>
      <c r="OO117" s="2">
        <v>97.5</v>
      </c>
      <c r="OP117" s="2">
        <v>98.18000000000001</v>
      </c>
      <c r="OQ117" s="2">
        <v>98.15000000000001</v>
      </c>
      <c r="OR117" s="2">
        <v>99.08</v>
      </c>
      <c r="OS117" s="2">
        <v>99.56999999999999</v>
      </c>
      <c r="OT117" s="2">
        <v>99.84</v>
      </c>
      <c r="OU117" s="2">
        <v>100</v>
      </c>
      <c r="OV117" s="2">
        <v>100.34</v>
      </c>
      <c r="OW117" s="2">
        <v>100.75</v>
      </c>
      <c r="OX117" s="2">
        <v>100.75</v>
      </c>
      <c r="PC117" s="2">
        <v>100.95</v>
      </c>
      <c r="PD117" s="2">
        <v>100.95</v>
      </c>
      <c r="PE117" s="2">
        <v>101.25</v>
      </c>
      <c r="PF117" s="2">
        <v>101.99</v>
      </c>
      <c r="PG117" s="2">
        <v>102.17</v>
      </c>
      <c r="PH117" s="2">
        <v>102.33</v>
      </c>
      <c r="PI117" s="2">
        <v>103.37</v>
      </c>
    </row>
    <row r="118">
      <c r="A118" t="inlineStr">
        <is>
          <t>A130399184V</t>
        </is>
      </c>
      <c r="B118" t="inlineStr">
        <is>
          <t>Index Numbers ;  Housing ;  Australia ;</t>
        </is>
      </c>
      <c r="C118" t="inlineStr">
        <is>
          <t>Month</t>
        </is>
      </c>
      <c r="D118" t="inlineStr">
        <is>
          <t>Index Numbers</t>
        </is>
      </c>
      <c r="E118" t="inlineStr">
        <is>
          <t>Original</t>
        </is>
      </c>
      <c r="F118" t="inlineStr">
        <is>
          <t>640103.xlsx</t>
        </is>
      </c>
      <c r="G118" t="inlineStr">
        <is>
          <t>2024-04</t>
        </is>
      </c>
      <c r="H118" t="inlineStr">
        <is>
          <t>2026-07</t>
        </is>
      </c>
      <c r="NZ118" s="2">
        <v>95.20999999999999</v>
      </c>
      <c r="OA118" s="2">
        <v>95.68000000000001</v>
      </c>
      <c r="OB118" s="2">
        <v>96.14</v>
      </c>
      <c r="OC118" s="2">
        <v>96.16</v>
      </c>
      <c r="OD118" s="2">
        <v>94.95999999999999</v>
      </c>
      <c r="OE118" s="2">
        <v>94.63</v>
      </c>
      <c r="OF118" s="2">
        <v>93.67</v>
      </c>
      <c r="OG118" s="2">
        <v>95.31999999999999</v>
      </c>
      <c r="OH118" s="2">
        <v>95.2</v>
      </c>
      <c r="OM118" s="2">
        <v>96.09</v>
      </c>
      <c r="ON118" s="2">
        <v>95.97</v>
      </c>
      <c r="OO118" s="2">
        <v>96.83</v>
      </c>
      <c r="OP118" s="2">
        <v>97.25</v>
      </c>
      <c r="OQ118" s="2">
        <v>97.48</v>
      </c>
      <c r="OR118" s="2">
        <v>97.62</v>
      </c>
      <c r="OS118" s="2">
        <v>99.7</v>
      </c>
      <c r="OT118" s="2">
        <v>99.23999999999999</v>
      </c>
      <c r="OU118" s="2">
        <v>100</v>
      </c>
      <c r="OV118" s="2">
        <v>99.16</v>
      </c>
      <c r="OW118" s="2">
        <v>100.28</v>
      </c>
      <c r="OX118" s="2">
        <v>100.42</v>
      </c>
      <c r="PC118" s="2">
        <v>102.6</v>
      </c>
      <c r="PD118" s="2">
        <v>102.89</v>
      </c>
      <c r="PE118" s="2">
        <v>103.13</v>
      </c>
      <c r="PF118" s="2">
        <v>103.33</v>
      </c>
      <c r="PG118" s="2">
        <v>103.8</v>
      </c>
      <c r="PH118" s="2">
        <v>104.27</v>
      </c>
      <c r="PI118" s="2">
        <v>104.71</v>
      </c>
    </row>
    <row r="119">
      <c r="A119" t="inlineStr">
        <is>
          <t>A130390094A</t>
        </is>
      </c>
      <c r="B119" t="inlineStr">
        <is>
          <t>Index Numbers ;  Rents ;  Australia ;</t>
        </is>
      </c>
      <c r="C119" t="inlineStr">
        <is>
          <t>Month</t>
        </is>
      </c>
      <c r="D119" t="inlineStr">
        <is>
          <t>Index Numbers</t>
        </is>
      </c>
      <c r="E119" t="inlineStr">
        <is>
          <t>Original</t>
        </is>
      </c>
      <c r="F119" t="inlineStr">
        <is>
          <t>640103.xlsx</t>
        </is>
      </c>
      <c r="G119" t="inlineStr">
        <is>
          <t>2022-07</t>
        </is>
      </c>
      <c r="H119" t="inlineStr">
        <is>
          <t>2026-07</t>
        </is>
      </c>
      <c r="MW119" s="2">
        <v>83.19</v>
      </c>
      <c r="MX119" s="2">
        <v>83.63</v>
      </c>
      <c r="MY119" s="2">
        <v>84.04000000000001</v>
      </c>
      <c r="MZ119" s="2">
        <v>84.45999999999999</v>
      </c>
      <c r="NA119" s="2">
        <v>84.65000000000001</v>
      </c>
      <c r="NB119" s="2">
        <v>85.06999999999999</v>
      </c>
      <c r="NG119" s="2">
        <v>85.61</v>
      </c>
      <c r="NH119" s="2">
        <v>86.23999999999999</v>
      </c>
      <c r="NI119" s="2">
        <v>86.61</v>
      </c>
      <c r="NJ119" s="2">
        <v>87.28</v>
      </c>
      <c r="NK119" s="2">
        <v>88.03</v>
      </c>
      <c r="NL119" s="2">
        <v>88.81999999999999</v>
      </c>
      <c r="NM119" s="2">
        <v>89.52</v>
      </c>
      <c r="NN119" s="2">
        <v>90.16</v>
      </c>
      <c r="NO119" s="2">
        <v>90.34999999999999</v>
      </c>
      <c r="NP119" s="2">
        <v>90.06</v>
      </c>
      <c r="NQ119" s="2">
        <v>90.68000000000001</v>
      </c>
      <c r="NR119" s="2">
        <v>91.37</v>
      </c>
      <c r="NW119" s="2">
        <v>92.01000000000001</v>
      </c>
      <c r="NX119" s="2">
        <v>92.72</v>
      </c>
      <c r="NY119" s="2">
        <v>93.3</v>
      </c>
      <c r="NZ119" s="2">
        <v>93.81</v>
      </c>
      <c r="OA119" s="2">
        <v>94.53</v>
      </c>
      <c r="OB119" s="2">
        <v>95.11</v>
      </c>
      <c r="OC119" s="2">
        <v>95.7</v>
      </c>
      <c r="OD119" s="2">
        <v>96.23</v>
      </c>
      <c r="OE119" s="2">
        <v>96.34999999999999</v>
      </c>
      <c r="OF119" s="2">
        <v>96.14</v>
      </c>
      <c r="OG119" s="2">
        <v>96.68000000000001</v>
      </c>
      <c r="OH119" s="2">
        <v>97.01000000000001</v>
      </c>
      <c r="OM119" s="2">
        <v>97.37</v>
      </c>
      <c r="ON119" s="2">
        <v>97.83</v>
      </c>
      <c r="OO119" s="2">
        <v>98.14</v>
      </c>
      <c r="OP119" s="2">
        <v>98.45</v>
      </c>
      <c r="OQ119" s="2">
        <v>98.81999999999999</v>
      </c>
      <c r="OR119" s="2">
        <v>99.11</v>
      </c>
      <c r="OS119" s="2">
        <v>99.44</v>
      </c>
      <c r="OT119" s="2">
        <v>99.77</v>
      </c>
      <c r="OU119" s="2">
        <v>100</v>
      </c>
      <c r="OV119" s="2">
        <v>100.18</v>
      </c>
      <c r="OW119" s="2">
        <v>100.58</v>
      </c>
      <c r="OX119" s="2">
        <v>100.83</v>
      </c>
      <c r="PC119" s="2">
        <v>101.15</v>
      </c>
      <c r="PD119" s="2">
        <v>101.52</v>
      </c>
      <c r="PE119" s="2">
        <v>101.73</v>
      </c>
      <c r="PF119" s="2">
        <v>101.9</v>
      </c>
      <c r="PG119" s="2">
        <v>102.33</v>
      </c>
      <c r="PH119" s="2">
        <v>102.64</v>
      </c>
      <c r="PI119" s="2">
        <v>103</v>
      </c>
    </row>
    <row r="120">
      <c r="A120" t="inlineStr">
        <is>
          <t>A130397970T</t>
        </is>
      </c>
      <c r="B120" t="inlineStr">
        <is>
          <t>Index Numbers ;  Rents ;  Australia ;</t>
        </is>
      </c>
      <c r="C120" t="inlineStr">
        <is>
          <t>Month</t>
        </is>
      </c>
      <c r="D120" t="inlineStr">
        <is>
          <t>Index Numbers</t>
        </is>
      </c>
      <c r="E120" t="inlineStr">
        <is>
          <t>Original</t>
        </is>
      </c>
      <c r="F120" t="inlineStr">
        <is>
          <t>640103.xlsx</t>
        </is>
      </c>
      <c r="G120" t="inlineStr">
        <is>
          <t>2022-07</t>
        </is>
      </c>
      <c r="H120" t="inlineStr">
        <is>
          <t>2026-07</t>
        </is>
      </c>
      <c r="MW120" s="2">
        <v>83.19</v>
      </c>
      <c r="MX120" s="2">
        <v>83.63</v>
      </c>
      <c r="MY120" s="2">
        <v>84.04000000000001</v>
      </c>
      <c r="MZ120" s="2">
        <v>84.45999999999999</v>
      </c>
      <c r="NA120" s="2">
        <v>84.65000000000001</v>
      </c>
      <c r="NB120" s="2">
        <v>85.06999999999999</v>
      </c>
      <c r="NG120" s="2">
        <v>85.61</v>
      </c>
      <c r="NH120" s="2">
        <v>86.23999999999999</v>
      </c>
      <c r="NI120" s="2">
        <v>86.61</v>
      </c>
      <c r="NJ120" s="2">
        <v>87.28</v>
      </c>
      <c r="NK120" s="2">
        <v>88.03</v>
      </c>
      <c r="NL120" s="2">
        <v>88.81999999999999</v>
      </c>
      <c r="NM120" s="2">
        <v>89.52</v>
      </c>
      <c r="NN120" s="2">
        <v>90.16</v>
      </c>
      <c r="NO120" s="2">
        <v>90.34999999999999</v>
      </c>
      <c r="NP120" s="2">
        <v>90.06</v>
      </c>
      <c r="NQ120" s="2">
        <v>90.68000000000001</v>
      </c>
      <c r="NR120" s="2">
        <v>91.37</v>
      </c>
      <c r="NW120" s="2">
        <v>92.01000000000001</v>
      </c>
      <c r="NX120" s="2">
        <v>92.72</v>
      </c>
      <c r="NY120" s="2">
        <v>93.3</v>
      </c>
      <c r="NZ120" s="2">
        <v>93.81</v>
      </c>
      <c r="OA120" s="2">
        <v>94.53</v>
      </c>
      <c r="OB120" s="2">
        <v>95.11</v>
      </c>
      <c r="OC120" s="2">
        <v>95.7</v>
      </c>
      <c r="OD120" s="2">
        <v>96.23</v>
      </c>
      <c r="OE120" s="2">
        <v>96.34999999999999</v>
      </c>
      <c r="OF120" s="2">
        <v>96.14</v>
      </c>
      <c r="OG120" s="2">
        <v>96.68000000000001</v>
      </c>
      <c r="OH120" s="2">
        <v>97.01000000000001</v>
      </c>
      <c r="OM120" s="2">
        <v>97.37</v>
      </c>
      <c r="ON120" s="2">
        <v>97.83</v>
      </c>
      <c r="OO120" s="2">
        <v>98.14</v>
      </c>
      <c r="OP120" s="2">
        <v>98.45</v>
      </c>
      <c r="OQ120" s="2">
        <v>98.81999999999999</v>
      </c>
      <c r="OR120" s="2">
        <v>99.11</v>
      </c>
      <c r="OS120" s="2">
        <v>99.44</v>
      </c>
      <c r="OT120" s="2">
        <v>99.77</v>
      </c>
      <c r="OU120" s="2">
        <v>100</v>
      </c>
      <c r="OV120" s="2">
        <v>100.18</v>
      </c>
      <c r="OW120" s="2">
        <v>100.58</v>
      </c>
      <c r="OX120" s="2">
        <v>100.83</v>
      </c>
      <c r="PC120" s="2">
        <v>101.15</v>
      </c>
      <c r="PD120" s="2">
        <v>101.52</v>
      </c>
      <c r="PE120" s="2">
        <v>101.73</v>
      </c>
      <c r="PF120" s="2">
        <v>101.9</v>
      </c>
      <c r="PG120" s="2">
        <v>102.33</v>
      </c>
      <c r="PH120" s="2">
        <v>102.64</v>
      </c>
      <c r="PI120" s="2">
        <v>103</v>
      </c>
    </row>
    <row r="121">
      <c r="A121" t="inlineStr">
        <is>
          <t>A130391536T</t>
        </is>
      </c>
      <c r="B121" t="inlineStr">
        <is>
          <t>Index Numbers ;  New dwelling purchase by owner-occupiers ;  Australia ;</t>
        </is>
      </c>
      <c r="C121" t="inlineStr">
        <is>
          <t>Month</t>
        </is>
      </c>
      <c r="D121" t="inlineStr">
        <is>
          <t>Index Numbers</t>
        </is>
      </c>
      <c r="E121" t="inlineStr">
        <is>
          <t>Original</t>
        </is>
      </c>
      <c r="F121" t="inlineStr">
        <is>
          <t>640103.xlsx</t>
        </is>
      </c>
      <c r="G121" t="inlineStr">
        <is>
          <t>2017-09</t>
        </is>
      </c>
      <c r="H121" t="inlineStr">
        <is>
          <t>2026-07</t>
        </is>
      </c>
      <c r="JW121" s="2">
        <v>69.2</v>
      </c>
      <c r="JX121" s="2">
        <v>68.92</v>
      </c>
      <c r="JY121" s="2">
        <v>69.3</v>
      </c>
      <c r="JZ121" s="2">
        <v>69.72</v>
      </c>
      <c r="KE121" s="2">
        <v>69.63</v>
      </c>
      <c r="KF121" s="2">
        <v>69.65000000000001</v>
      </c>
      <c r="KG121" s="2">
        <v>69.81</v>
      </c>
      <c r="KH121" s="2">
        <v>69.97</v>
      </c>
      <c r="KI121" s="2">
        <v>70.15000000000001</v>
      </c>
      <c r="KJ121" s="2">
        <v>70.52</v>
      </c>
      <c r="KK121" s="2">
        <v>70.37</v>
      </c>
      <c r="KL121" s="2">
        <v>70.13</v>
      </c>
      <c r="KM121" s="2">
        <v>70.34999999999999</v>
      </c>
      <c r="KN121" s="2">
        <v>70.48</v>
      </c>
      <c r="KO121" s="2">
        <v>70.58</v>
      </c>
      <c r="KP121" s="2">
        <v>70.70999999999999</v>
      </c>
      <c r="KU121" s="2">
        <v>70.43000000000001</v>
      </c>
      <c r="KV121" s="2">
        <v>70.45999999999999</v>
      </c>
      <c r="KW121" s="2">
        <v>70.59999999999999</v>
      </c>
      <c r="KX121" s="2">
        <v>70.45999999999999</v>
      </c>
      <c r="KY121" s="2">
        <v>70.31</v>
      </c>
      <c r="KZ121" s="2">
        <v>70.36</v>
      </c>
      <c r="LA121" s="2">
        <v>70.37</v>
      </c>
      <c r="LB121" s="2">
        <v>70.09</v>
      </c>
      <c r="LC121" s="2">
        <v>70.45999999999999</v>
      </c>
      <c r="LD121" s="2">
        <v>70.48999999999999</v>
      </c>
      <c r="LE121" s="2">
        <v>70.48999999999999</v>
      </c>
      <c r="LF121" s="2">
        <v>70.67</v>
      </c>
      <c r="LK121" s="2">
        <v>70.75</v>
      </c>
      <c r="LL121" s="2">
        <v>71</v>
      </c>
      <c r="LM121" s="2">
        <v>70.95999999999999</v>
      </c>
      <c r="LN121" s="2">
        <v>70.92</v>
      </c>
      <c r="LO121" s="2">
        <v>70.75</v>
      </c>
      <c r="LP121" s="2">
        <v>71.05</v>
      </c>
      <c r="LQ121" s="2">
        <v>71.18000000000001</v>
      </c>
      <c r="LR121" s="2">
        <v>71.36</v>
      </c>
      <c r="LS121" s="2">
        <v>71.36</v>
      </c>
      <c r="LT121" s="2">
        <v>71.47</v>
      </c>
      <c r="LU121" s="2">
        <v>71.78</v>
      </c>
      <c r="LV121" s="2">
        <v>71.79000000000001</v>
      </c>
      <c r="MA121" s="2">
        <v>72.34</v>
      </c>
      <c r="MB121" s="2">
        <v>71.62</v>
      </c>
      <c r="MC121" s="2">
        <v>71.54000000000001</v>
      </c>
      <c r="MD121" s="2">
        <v>70.91</v>
      </c>
      <c r="ME121" s="2">
        <v>71.87</v>
      </c>
      <c r="MF121" s="2">
        <v>72.38</v>
      </c>
      <c r="MG121" s="2">
        <v>72.73</v>
      </c>
      <c r="MH121" s="2">
        <v>74.27</v>
      </c>
      <c r="MI121" s="2">
        <v>74.97</v>
      </c>
      <c r="MJ121" s="2">
        <v>75.11</v>
      </c>
      <c r="MK121" s="2">
        <v>76.75</v>
      </c>
      <c r="ML121" s="2">
        <v>78.69</v>
      </c>
      <c r="MQ121" s="2">
        <v>79.90000000000001</v>
      </c>
      <c r="MR121" s="2">
        <v>81.27</v>
      </c>
      <c r="MS121" s="2">
        <v>82.83</v>
      </c>
      <c r="MT121" s="2">
        <v>84.62</v>
      </c>
      <c r="MU121" s="2">
        <v>85.73999999999999</v>
      </c>
      <c r="MV121" s="2">
        <v>87.34999999999999</v>
      </c>
      <c r="MW121" s="2">
        <v>88.48999999999999</v>
      </c>
      <c r="MX121" s="2">
        <v>89.47</v>
      </c>
      <c r="MY121" s="2">
        <v>89.98</v>
      </c>
      <c r="MZ121" s="2">
        <v>90.38</v>
      </c>
      <c r="NA121" s="2">
        <v>90.45999999999999</v>
      </c>
      <c r="NB121" s="2">
        <v>91.26000000000001</v>
      </c>
      <c r="NG121" s="2">
        <v>91.70999999999999</v>
      </c>
      <c r="NH121" s="2">
        <v>91.84999999999999</v>
      </c>
      <c r="NI121" s="2">
        <v>92.01000000000001</v>
      </c>
      <c r="NJ121" s="2">
        <v>92.47</v>
      </c>
      <c r="NK121" s="2">
        <v>92.89</v>
      </c>
      <c r="NL121" s="2">
        <v>93.09999999999999</v>
      </c>
      <c r="NM121" s="2">
        <v>93.69</v>
      </c>
      <c r="NN121" s="2">
        <v>93.78</v>
      </c>
      <c r="NO121" s="2">
        <v>94.42</v>
      </c>
      <c r="NP121" s="2">
        <v>94.62</v>
      </c>
      <c r="NQ121" s="2">
        <v>95.43000000000001</v>
      </c>
      <c r="NR121" s="2">
        <v>95.92</v>
      </c>
      <c r="NW121" s="2">
        <v>96.08</v>
      </c>
      <c r="NX121" s="2">
        <v>96.3</v>
      </c>
      <c r="NY121" s="2">
        <v>96.77</v>
      </c>
      <c r="NZ121" s="2">
        <v>97.06999999999999</v>
      </c>
      <c r="OA121" s="2">
        <v>97.54000000000001</v>
      </c>
      <c r="OB121" s="2">
        <v>98.06999999999999</v>
      </c>
      <c r="OC121" s="2">
        <v>98.45</v>
      </c>
      <c r="OD121" s="2">
        <v>98.69</v>
      </c>
      <c r="OE121" s="2">
        <v>98.5</v>
      </c>
      <c r="OF121" s="2">
        <v>98.68000000000001</v>
      </c>
      <c r="OG121" s="2">
        <v>98.13</v>
      </c>
      <c r="OH121" s="2">
        <v>98.12</v>
      </c>
      <c r="OM121" s="2">
        <v>98.04000000000001</v>
      </c>
      <c r="ON121" s="2">
        <v>97.95</v>
      </c>
      <c r="OO121" s="2">
        <v>97.69</v>
      </c>
      <c r="OP121" s="2">
        <v>98.27</v>
      </c>
      <c r="OQ121" s="2">
        <v>98.28</v>
      </c>
      <c r="OR121" s="2">
        <v>98.45999999999999</v>
      </c>
      <c r="OS121" s="2">
        <v>98.91</v>
      </c>
      <c r="OT121" s="2">
        <v>99.34</v>
      </c>
      <c r="OU121" s="2">
        <v>100</v>
      </c>
      <c r="OV121" s="2">
        <v>100.4</v>
      </c>
      <c r="OW121" s="2">
        <v>100.89</v>
      </c>
      <c r="OX121" s="2">
        <v>101.07</v>
      </c>
      <c r="PC121" s="2">
        <v>101.47</v>
      </c>
      <c r="PD121" s="2">
        <v>101.62</v>
      </c>
      <c r="PE121" s="2">
        <v>102.11</v>
      </c>
      <c r="PF121" s="2">
        <v>102.84</v>
      </c>
      <c r="PG121" s="2">
        <v>103.74</v>
      </c>
      <c r="PH121" s="2">
        <v>104.13</v>
      </c>
      <c r="PI121" s="2">
        <v>104.52</v>
      </c>
    </row>
    <row r="122">
      <c r="A122" t="inlineStr">
        <is>
          <t>A130399772R</t>
        </is>
      </c>
      <c r="B122" t="inlineStr">
        <is>
          <t>Index Numbers ;  New dwelling purchase by owner-occupiers ;  Australia ;</t>
        </is>
      </c>
      <c r="C122" t="inlineStr">
        <is>
          <t>Month</t>
        </is>
      </c>
      <c r="D122" t="inlineStr">
        <is>
          <t>Index Numbers</t>
        </is>
      </c>
      <c r="E122" t="inlineStr">
        <is>
          <t>Original</t>
        </is>
      </c>
      <c r="F122" t="inlineStr">
        <is>
          <t>640103.xlsx</t>
        </is>
      </c>
      <c r="G122" t="inlineStr">
        <is>
          <t>2017-09</t>
        </is>
      </c>
      <c r="H122" t="inlineStr">
        <is>
          <t>2026-07</t>
        </is>
      </c>
      <c r="JW122" s="2">
        <v>69.2</v>
      </c>
      <c r="JX122" s="2">
        <v>68.92</v>
      </c>
      <c r="JY122" s="2">
        <v>69.3</v>
      </c>
      <c r="JZ122" s="2">
        <v>69.72</v>
      </c>
      <c r="KE122" s="2">
        <v>69.63</v>
      </c>
      <c r="KF122" s="2">
        <v>69.65000000000001</v>
      </c>
      <c r="KG122" s="2">
        <v>69.81</v>
      </c>
      <c r="KH122" s="2">
        <v>69.97</v>
      </c>
      <c r="KI122" s="2">
        <v>70.15000000000001</v>
      </c>
      <c r="KJ122" s="2">
        <v>70.52</v>
      </c>
      <c r="KK122" s="2">
        <v>70.37</v>
      </c>
      <c r="KL122" s="2">
        <v>70.13</v>
      </c>
      <c r="KM122" s="2">
        <v>70.34999999999999</v>
      </c>
      <c r="KN122" s="2">
        <v>70.48</v>
      </c>
      <c r="KO122" s="2">
        <v>70.58</v>
      </c>
      <c r="KP122" s="2">
        <v>70.70999999999999</v>
      </c>
      <c r="KU122" s="2">
        <v>70.43000000000001</v>
      </c>
      <c r="KV122" s="2">
        <v>70.45999999999999</v>
      </c>
      <c r="KW122" s="2">
        <v>70.59999999999999</v>
      </c>
      <c r="KX122" s="2">
        <v>70.45999999999999</v>
      </c>
      <c r="KY122" s="2">
        <v>70.31</v>
      </c>
      <c r="KZ122" s="2">
        <v>70.36</v>
      </c>
      <c r="LA122" s="2">
        <v>70.37</v>
      </c>
      <c r="LB122" s="2">
        <v>70.09</v>
      </c>
      <c r="LC122" s="2">
        <v>70.45999999999999</v>
      </c>
      <c r="LD122" s="2">
        <v>70.48999999999999</v>
      </c>
      <c r="LE122" s="2">
        <v>70.48999999999999</v>
      </c>
      <c r="LF122" s="2">
        <v>70.67</v>
      </c>
      <c r="LK122" s="2">
        <v>70.75</v>
      </c>
      <c r="LL122" s="2">
        <v>71</v>
      </c>
      <c r="LM122" s="2">
        <v>70.95999999999999</v>
      </c>
      <c r="LN122" s="2">
        <v>70.92</v>
      </c>
      <c r="LO122" s="2">
        <v>70.75</v>
      </c>
      <c r="LP122" s="2">
        <v>71.05</v>
      </c>
      <c r="LQ122" s="2">
        <v>71.18000000000001</v>
      </c>
      <c r="LR122" s="2">
        <v>71.36</v>
      </c>
      <c r="LS122" s="2">
        <v>71.36</v>
      </c>
      <c r="LT122" s="2">
        <v>71.47</v>
      </c>
      <c r="LU122" s="2">
        <v>71.78</v>
      </c>
      <c r="LV122" s="2">
        <v>71.79000000000001</v>
      </c>
      <c r="MA122" s="2">
        <v>72.34</v>
      </c>
      <c r="MB122" s="2">
        <v>71.62</v>
      </c>
      <c r="MC122" s="2">
        <v>71.54000000000001</v>
      </c>
      <c r="MD122" s="2">
        <v>70.91</v>
      </c>
      <c r="ME122" s="2">
        <v>71.87</v>
      </c>
      <c r="MF122" s="2">
        <v>72.38</v>
      </c>
      <c r="MG122" s="2">
        <v>72.73</v>
      </c>
      <c r="MH122" s="2">
        <v>74.27</v>
      </c>
      <c r="MI122" s="2">
        <v>74.97</v>
      </c>
      <c r="MJ122" s="2">
        <v>75.11</v>
      </c>
      <c r="MK122" s="2">
        <v>76.75</v>
      </c>
      <c r="ML122" s="2">
        <v>78.69</v>
      </c>
      <c r="MQ122" s="2">
        <v>79.90000000000001</v>
      </c>
      <c r="MR122" s="2">
        <v>81.27</v>
      </c>
      <c r="MS122" s="2">
        <v>82.83</v>
      </c>
      <c r="MT122" s="2">
        <v>84.62</v>
      </c>
      <c r="MU122" s="2">
        <v>85.73999999999999</v>
      </c>
      <c r="MV122" s="2">
        <v>87.34999999999999</v>
      </c>
      <c r="MW122" s="2">
        <v>88.48999999999999</v>
      </c>
      <c r="MX122" s="2">
        <v>89.47</v>
      </c>
      <c r="MY122" s="2">
        <v>89.98</v>
      </c>
      <c r="MZ122" s="2">
        <v>90.38</v>
      </c>
      <c r="NA122" s="2">
        <v>90.45999999999999</v>
      </c>
      <c r="NB122" s="2">
        <v>91.26000000000001</v>
      </c>
      <c r="NG122" s="2">
        <v>91.70999999999999</v>
      </c>
      <c r="NH122" s="2">
        <v>91.84999999999999</v>
      </c>
      <c r="NI122" s="2">
        <v>92.01000000000001</v>
      </c>
      <c r="NJ122" s="2">
        <v>92.47</v>
      </c>
      <c r="NK122" s="2">
        <v>92.89</v>
      </c>
      <c r="NL122" s="2">
        <v>93.09999999999999</v>
      </c>
      <c r="NM122" s="2">
        <v>93.69</v>
      </c>
      <c r="NN122" s="2">
        <v>93.78</v>
      </c>
      <c r="NO122" s="2">
        <v>94.42</v>
      </c>
      <c r="NP122" s="2">
        <v>94.62</v>
      </c>
      <c r="NQ122" s="2">
        <v>95.43000000000001</v>
      </c>
      <c r="NR122" s="2">
        <v>95.92</v>
      </c>
      <c r="NW122" s="2">
        <v>96.08</v>
      </c>
      <c r="NX122" s="2">
        <v>96.3</v>
      </c>
      <c r="NY122" s="2">
        <v>96.77</v>
      </c>
      <c r="NZ122" s="2">
        <v>97.06999999999999</v>
      </c>
      <c r="OA122" s="2">
        <v>97.54000000000001</v>
      </c>
      <c r="OB122" s="2">
        <v>98.06999999999999</v>
      </c>
      <c r="OC122" s="2">
        <v>98.45</v>
      </c>
      <c r="OD122" s="2">
        <v>98.69</v>
      </c>
      <c r="OE122" s="2">
        <v>98.5</v>
      </c>
      <c r="OF122" s="2">
        <v>98.68000000000001</v>
      </c>
      <c r="OG122" s="2">
        <v>98.13</v>
      </c>
      <c r="OH122" s="2">
        <v>98.12</v>
      </c>
      <c r="OM122" s="2">
        <v>98.04000000000001</v>
      </c>
      <c r="ON122" s="2">
        <v>97.95</v>
      </c>
      <c r="OO122" s="2">
        <v>97.69</v>
      </c>
      <c r="OP122" s="2">
        <v>98.27</v>
      </c>
      <c r="OQ122" s="2">
        <v>98.28</v>
      </c>
      <c r="OR122" s="2">
        <v>98.45999999999999</v>
      </c>
      <c r="OS122" s="2">
        <v>98.91</v>
      </c>
      <c r="OT122" s="2">
        <v>99.34</v>
      </c>
      <c r="OU122" s="2">
        <v>100</v>
      </c>
      <c r="OV122" s="2">
        <v>100.4</v>
      </c>
      <c r="OW122" s="2">
        <v>100.89</v>
      </c>
      <c r="OX122" s="2">
        <v>101.07</v>
      </c>
      <c r="PC122" s="2">
        <v>101.47</v>
      </c>
      <c r="PD122" s="2">
        <v>101.62</v>
      </c>
      <c r="PE122" s="2">
        <v>102.11</v>
      </c>
      <c r="PF122" s="2">
        <v>102.84</v>
      </c>
      <c r="PG122" s="2">
        <v>103.74</v>
      </c>
      <c r="PH122" s="2">
        <v>104.13</v>
      </c>
      <c r="PI122" s="2">
        <v>104.52</v>
      </c>
    </row>
    <row r="123">
      <c r="A123" t="inlineStr">
        <is>
          <t>A130397844C</t>
        </is>
      </c>
      <c r="B123" t="inlineStr">
        <is>
          <t>Index Numbers ;  Other housing ;  Australia ;</t>
        </is>
      </c>
      <c r="C123" t="inlineStr">
        <is>
          <t>Month</t>
        </is>
      </c>
      <c r="D123" t="inlineStr">
        <is>
          <t>Index Numbers</t>
        </is>
      </c>
      <c r="E123" t="inlineStr">
        <is>
          <t>Original</t>
        </is>
      </c>
      <c r="F123" t="inlineStr">
        <is>
          <t>640103.xlsx</t>
        </is>
      </c>
      <c r="G123" t="inlineStr">
        <is>
          <t>2024-04</t>
        </is>
      </c>
      <c r="H123" t="inlineStr">
        <is>
          <t>2026-07</t>
        </is>
      </c>
      <c r="NZ123" s="2">
        <v>93.43000000000001</v>
      </c>
      <c r="OA123" s="2">
        <v>93.7</v>
      </c>
      <c r="OB123" s="2">
        <v>93.68000000000001</v>
      </c>
      <c r="OC123" s="2">
        <v>93.98999999999999</v>
      </c>
      <c r="OD123" s="2">
        <v>93.90000000000001</v>
      </c>
      <c r="OE123" s="2">
        <v>95.91</v>
      </c>
      <c r="OF123" s="2">
        <v>96.28</v>
      </c>
      <c r="OG123" s="2">
        <v>96.41</v>
      </c>
      <c r="OH123" s="2">
        <v>96.28</v>
      </c>
      <c r="OM123" s="2">
        <v>96.59</v>
      </c>
      <c r="ON123" s="2">
        <v>96.54000000000001</v>
      </c>
      <c r="OO123" s="2">
        <v>96.73</v>
      </c>
      <c r="OP123" s="2">
        <v>96.81999999999999</v>
      </c>
      <c r="OQ123" s="2">
        <v>96.84999999999999</v>
      </c>
      <c r="OR123" s="2">
        <v>96.91</v>
      </c>
      <c r="OS123" s="2">
        <v>97.39</v>
      </c>
      <c r="OT123" s="2">
        <v>97.47</v>
      </c>
      <c r="OU123" s="2">
        <v>100</v>
      </c>
      <c r="OV123" s="2">
        <v>100.46</v>
      </c>
      <c r="OW123" s="2">
        <v>100.52</v>
      </c>
      <c r="OX123" s="2">
        <v>100.56</v>
      </c>
      <c r="PC123" s="2">
        <v>100.69</v>
      </c>
      <c r="PD123" s="2">
        <v>100.77</v>
      </c>
      <c r="PE123" s="2">
        <v>100.81</v>
      </c>
      <c r="PF123" s="2">
        <v>101.06</v>
      </c>
      <c r="PG123" s="2">
        <v>101.44</v>
      </c>
      <c r="PH123" s="2">
        <v>101.67</v>
      </c>
      <c r="PI123" s="2">
        <v>101.93</v>
      </c>
    </row>
    <row r="124">
      <c r="A124" t="inlineStr">
        <is>
          <t>A130394588X</t>
        </is>
      </c>
      <c r="B124" t="inlineStr">
        <is>
          <t>Index Numbers ;  Maintenance and repair of the dwelling ;  Australia ;</t>
        </is>
      </c>
      <c r="C124" t="inlineStr">
        <is>
          <t>Month</t>
        </is>
      </c>
      <c r="D124" t="inlineStr">
        <is>
          <t>Index Numbers</t>
        </is>
      </c>
      <c r="E124" t="inlineStr">
        <is>
          <t>Original</t>
        </is>
      </c>
      <c r="F124" t="inlineStr">
        <is>
          <t>640103.xlsx</t>
        </is>
      </c>
      <c r="G124" t="inlineStr">
        <is>
          <t>2024-04</t>
        </is>
      </c>
      <c r="H124" t="inlineStr">
        <is>
          <t>2026-07</t>
        </is>
      </c>
      <c r="NZ124" s="2">
        <v>96.25</v>
      </c>
      <c r="OA124" s="2">
        <v>96.72</v>
      </c>
      <c r="OB124" s="2">
        <v>96.69</v>
      </c>
      <c r="OC124" s="2">
        <v>97.23</v>
      </c>
      <c r="OD124" s="2">
        <v>97.06999999999999</v>
      </c>
      <c r="OE124" s="2">
        <v>97.25</v>
      </c>
      <c r="OF124" s="2">
        <v>97.89</v>
      </c>
      <c r="OG124" s="2">
        <v>98.12</v>
      </c>
      <c r="OH124" s="2">
        <v>97.90000000000001</v>
      </c>
      <c r="OM124" s="2">
        <v>98.43000000000001</v>
      </c>
      <c r="ON124" s="2">
        <v>98.34999999999999</v>
      </c>
      <c r="OO124" s="2">
        <v>98.69</v>
      </c>
      <c r="OP124" s="2">
        <v>98.84</v>
      </c>
      <c r="OQ124" s="2">
        <v>98.90000000000001</v>
      </c>
      <c r="OR124" s="2">
        <v>99</v>
      </c>
      <c r="OS124" s="2">
        <v>99.84</v>
      </c>
      <c r="OT124" s="2">
        <v>99.98</v>
      </c>
      <c r="OU124" s="2">
        <v>100</v>
      </c>
      <c r="OV124" s="2">
        <v>100.8</v>
      </c>
      <c r="OW124" s="2">
        <v>100.91</v>
      </c>
      <c r="OX124" s="2">
        <v>100.97</v>
      </c>
      <c r="PC124" s="2">
        <v>101.21</v>
      </c>
      <c r="PD124" s="2">
        <v>101.36</v>
      </c>
      <c r="PE124" s="2">
        <v>101.42</v>
      </c>
      <c r="PF124" s="2">
        <v>101.85</v>
      </c>
      <c r="PG124" s="2">
        <v>102.51</v>
      </c>
      <c r="PH124" s="2">
        <v>102.92</v>
      </c>
      <c r="PI124" s="2">
        <v>103.37</v>
      </c>
    </row>
    <row r="125">
      <c r="A125" t="inlineStr">
        <is>
          <t>A130399779F</t>
        </is>
      </c>
      <c r="B125" t="inlineStr">
        <is>
          <t>Index Numbers ;  Property rates and charges ;  Australia ;</t>
        </is>
      </c>
      <c r="C125" t="inlineStr">
        <is>
          <t>Month</t>
        </is>
      </c>
      <c r="D125" t="inlineStr">
        <is>
          <t>Index Numbers</t>
        </is>
      </c>
      <c r="E125" t="inlineStr">
        <is>
          <t>Original</t>
        </is>
      </c>
      <c r="F125" t="inlineStr">
        <is>
          <t>640103.xlsx</t>
        </is>
      </c>
      <c r="G125" t="inlineStr">
        <is>
          <t>2017-09</t>
        </is>
      </c>
      <c r="H125" t="inlineStr">
        <is>
          <t>2026-07</t>
        </is>
      </c>
      <c r="JW125" s="2">
        <v>75.61</v>
      </c>
      <c r="JX125" s="2">
        <v>75.61</v>
      </c>
      <c r="JY125" s="2">
        <v>75.61</v>
      </c>
      <c r="JZ125" s="2">
        <v>75.61</v>
      </c>
      <c r="KE125" s="2">
        <v>75.61</v>
      </c>
      <c r="KF125" s="2">
        <v>75.61</v>
      </c>
      <c r="KG125" s="2">
        <v>75.61</v>
      </c>
      <c r="KH125" s="2">
        <v>75.61</v>
      </c>
      <c r="KI125" s="2">
        <v>75.61</v>
      </c>
      <c r="KJ125" s="2">
        <v>75.61</v>
      </c>
      <c r="KK125" s="2">
        <v>75.61</v>
      </c>
      <c r="KL125" s="2">
        <v>75.61</v>
      </c>
      <c r="KM125" s="2">
        <v>77.31999999999999</v>
      </c>
      <c r="KN125" s="2">
        <v>77.31999999999999</v>
      </c>
      <c r="KO125" s="2">
        <v>77.31999999999999</v>
      </c>
      <c r="KP125" s="2">
        <v>77.31999999999999</v>
      </c>
      <c r="KU125" s="2">
        <v>77.31999999999999</v>
      </c>
      <c r="KV125" s="2">
        <v>77.31999999999999</v>
      </c>
      <c r="KW125" s="2">
        <v>77.31999999999999</v>
      </c>
      <c r="KX125" s="2">
        <v>77.31999999999999</v>
      </c>
      <c r="KY125" s="2">
        <v>77.31999999999999</v>
      </c>
      <c r="KZ125" s="2">
        <v>77.31999999999999</v>
      </c>
      <c r="LA125" s="2">
        <v>77.31999999999999</v>
      </c>
      <c r="LB125" s="2">
        <v>77.31999999999999</v>
      </c>
      <c r="LC125" s="2">
        <v>79.28</v>
      </c>
      <c r="LD125" s="2">
        <v>79.28</v>
      </c>
      <c r="LE125" s="2">
        <v>79.28</v>
      </c>
      <c r="LF125" s="2">
        <v>79.28</v>
      </c>
      <c r="LK125" s="2">
        <v>79.28</v>
      </c>
      <c r="LL125" s="2">
        <v>79.28</v>
      </c>
      <c r="LM125" s="2">
        <v>79.28</v>
      </c>
      <c r="LN125" s="2">
        <v>79.28</v>
      </c>
      <c r="LO125" s="2">
        <v>79.28</v>
      </c>
      <c r="LP125" s="2">
        <v>79.28</v>
      </c>
      <c r="LQ125" s="2">
        <v>79.28</v>
      </c>
      <c r="LR125" s="2">
        <v>79.28</v>
      </c>
      <c r="LS125" s="2">
        <v>80.3</v>
      </c>
      <c r="LT125" s="2">
        <v>80.3</v>
      </c>
      <c r="LU125" s="2">
        <v>80.3</v>
      </c>
      <c r="LV125" s="2">
        <v>80.3</v>
      </c>
      <c r="MA125" s="2">
        <v>80.3</v>
      </c>
      <c r="MB125" s="2">
        <v>80.3</v>
      </c>
      <c r="MC125" s="2">
        <v>80.3</v>
      </c>
      <c r="MD125" s="2">
        <v>80.3</v>
      </c>
      <c r="ME125" s="2">
        <v>80.3</v>
      </c>
      <c r="MF125" s="2">
        <v>80.3</v>
      </c>
      <c r="MG125" s="2">
        <v>80.3</v>
      </c>
      <c r="MH125" s="2">
        <v>80.3</v>
      </c>
      <c r="MI125" s="2">
        <v>82.93000000000001</v>
      </c>
      <c r="MJ125" s="2">
        <v>82.93000000000001</v>
      </c>
      <c r="MK125" s="2">
        <v>82.93000000000001</v>
      </c>
      <c r="ML125" s="2">
        <v>82.93000000000001</v>
      </c>
      <c r="MQ125" s="2">
        <v>82.93000000000001</v>
      </c>
      <c r="MR125" s="2">
        <v>82.93000000000001</v>
      </c>
      <c r="MS125" s="2">
        <v>82.93000000000001</v>
      </c>
      <c r="MT125" s="2">
        <v>82.93000000000001</v>
      </c>
      <c r="MU125" s="2">
        <v>82.93000000000001</v>
      </c>
      <c r="MV125" s="2">
        <v>82.93000000000001</v>
      </c>
      <c r="MW125" s="2">
        <v>82.93000000000001</v>
      </c>
      <c r="MX125" s="2">
        <v>82.93000000000001</v>
      </c>
      <c r="MY125" s="2">
        <v>85.95</v>
      </c>
      <c r="MZ125" s="2">
        <v>85.95</v>
      </c>
      <c r="NA125" s="2">
        <v>85.95</v>
      </c>
      <c r="NB125" s="2">
        <v>85.95</v>
      </c>
      <c r="NG125" s="2">
        <v>85.95</v>
      </c>
      <c r="NH125" s="2">
        <v>85.95</v>
      </c>
      <c r="NI125" s="2">
        <v>85.95</v>
      </c>
      <c r="NJ125" s="2">
        <v>85.95</v>
      </c>
      <c r="NK125" s="2">
        <v>85.95</v>
      </c>
      <c r="NL125" s="2">
        <v>85.95</v>
      </c>
      <c r="NM125" s="2">
        <v>85.95</v>
      </c>
      <c r="NN125" s="2">
        <v>85.95</v>
      </c>
      <c r="NO125" s="2">
        <v>89.68000000000001</v>
      </c>
      <c r="NP125" s="2">
        <v>89.68000000000001</v>
      </c>
      <c r="NQ125" s="2">
        <v>89.68000000000001</v>
      </c>
      <c r="NR125" s="2">
        <v>89.68000000000001</v>
      </c>
      <c r="NW125" s="2">
        <v>89.68000000000001</v>
      </c>
      <c r="NX125" s="2">
        <v>89.68000000000001</v>
      </c>
      <c r="NY125" s="2">
        <v>89.68000000000001</v>
      </c>
      <c r="NZ125" s="2">
        <v>89.68000000000001</v>
      </c>
      <c r="OA125" s="2">
        <v>89.68000000000001</v>
      </c>
      <c r="OB125" s="2">
        <v>89.68000000000001</v>
      </c>
      <c r="OC125" s="2">
        <v>89.68000000000001</v>
      </c>
      <c r="OD125" s="2">
        <v>89.68000000000001</v>
      </c>
      <c r="OE125" s="2">
        <v>94.12</v>
      </c>
      <c r="OF125" s="2">
        <v>94.12</v>
      </c>
      <c r="OG125" s="2">
        <v>94.12</v>
      </c>
      <c r="OH125" s="2">
        <v>94.12</v>
      </c>
      <c r="OM125" s="2">
        <v>94.12</v>
      </c>
      <c r="ON125" s="2">
        <v>94.12</v>
      </c>
      <c r="OO125" s="2">
        <v>94.12</v>
      </c>
      <c r="OP125" s="2">
        <v>94.12</v>
      </c>
      <c r="OQ125" s="2">
        <v>94.12</v>
      </c>
      <c r="OR125" s="2">
        <v>94.12</v>
      </c>
      <c r="OS125" s="2">
        <v>94.12</v>
      </c>
      <c r="OT125" s="2">
        <v>94.12</v>
      </c>
      <c r="OU125" s="2">
        <v>100</v>
      </c>
      <c r="OV125" s="2">
        <v>100</v>
      </c>
      <c r="OW125" s="2">
        <v>100</v>
      </c>
      <c r="OX125" s="2">
        <v>100</v>
      </c>
      <c r="PC125" s="2">
        <v>100</v>
      </c>
      <c r="PD125" s="2">
        <v>100</v>
      </c>
      <c r="PE125" s="2">
        <v>100</v>
      </c>
      <c r="PF125" s="2">
        <v>100</v>
      </c>
      <c r="PG125" s="2">
        <v>100</v>
      </c>
      <c r="PH125" s="2">
        <v>100</v>
      </c>
      <c r="PI125" s="2">
        <v>100</v>
      </c>
    </row>
    <row r="126">
      <c r="A126" t="inlineStr">
        <is>
          <t>A130393090W</t>
        </is>
      </c>
      <c r="B126" t="inlineStr">
        <is>
          <t>Index Numbers ;  Utilities ;  Australia ;</t>
        </is>
      </c>
      <c r="C126" t="inlineStr">
        <is>
          <t>Month</t>
        </is>
      </c>
      <c r="D126" t="inlineStr">
        <is>
          <t>Index Numbers</t>
        </is>
      </c>
      <c r="E126" t="inlineStr">
        <is>
          <t>Original</t>
        </is>
      </c>
      <c r="F126" t="inlineStr">
        <is>
          <t>640103.xlsx</t>
        </is>
      </c>
      <c r="G126" t="inlineStr">
        <is>
          <t>2024-04</t>
        </is>
      </c>
      <c r="H126" t="inlineStr">
        <is>
          <t>2026-07</t>
        </is>
      </c>
      <c r="NZ126" s="2">
        <v>95.62</v>
      </c>
      <c r="OA126" s="2">
        <v>95.86</v>
      </c>
      <c r="OB126" s="2">
        <v>96.42</v>
      </c>
      <c r="OC126" s="2">
        <v>94.61</v>
      </c>
      <c r="OD126" s="2">
        <v>87.14</v>
      </c>
      <c r="OE126" s="2">
        <v>83.86</v>
      </c>
      <c r="OF126" s="2">
        <v>78.48</v>
      </c>
      <c r="OG126" s="2">
        <v>87.31999999999999</v>
      </c>
      <c r="OH126" s="2">
        <v>86.28</v>
      </c>
      <c r="OM126" s="2">
        <v>90.23999999999999</v>
      </c>
      <c r="ON126" s="2">
        <v>89.06999999999999</v>
      </c>
      <c r="OO126" s="2">
        <v>93.34</v>
      </c>
      <c r="OP126" s="2">
        <v>93.95999999999999</v>
      </c>
      <c r="OQ126" s="2">
        <v>94.51000000000001</v>
      </c>
      <c r="OR126" s="2">
        <v>94.40000000000001</v>
      </c>
      <c r="OS126" s="2">
        <v>103.44</v>
      </c>
      <c r="OT126" s="2">
        <v>99.72</v>
      </c>
      <c r="OU126" s="2">
        <v>100</v>
      </c>
      <c r="OV126" s="2">
        <v>94.3</v>
      </c>
      <c r="OW126" s="2">
        <v>98.48999999999999</v>
      </c>
      <c r="OX126" s="2">
        <v>98.48999999999999</v>
      </c>
      <c r="PC126" s="2">
        <v>108.45</v>
      </c>
      <c r="PD126" s="2">
        <v>109.06</v>
      </c>
      <c r="PE126" s="2">
        <v>109.06</v>
      </c>
      <c r="PF126" s="2">
        <v>108.33</v>
      </c>
      <c r="PG126" s="2">
        <v>108.19</v>
      </c>
      <c r="PH126" s="2">
        <v>109.23</v>
      </c>
      <c r="PI126" s="2">
        <v>110.05</v>
      </c>
    </row>
    <row r="127">
      <c r="A127" t="inlineStr">
        <is>
          <t>A130391060W</t>
        </is>
      </c>
      <c r="B127" t="inlineStr">
        <is>
          <t>Index Numbers ;  Water and sewerage ;  Australia ;</t>
        </is>
      </c>
      <c r="C127" t="inlineStr">
        <is>
          <t>Month</t>
        </is>
      </c>
      <c r="D127" t="inlineStr">
        <is>
          <t>Index Numbers</t>
        </is>
      </c>
      <c r="E127" t="inlineStr">
        <is>
          <t>Original</t>
        </is>
      </c>
      <c r="F127" t="inlineStr">
        <is>
          <t>640103.xlsx</t>
        </is>
      </c>
      <c r="G127" t="inlineStr">
        <is>
          <t>2024-04</t>
        </is>
      </c>
      <c r="H127" t="inlineStr">
        <is>
          <t>2026-07</t>
        </is>
      </c>
      <c r="NZ127" s="2">
        <v>94.73999999999999</v>
      </c>
      <c r="OA127" s="2">
        <v>94.73999999999999</v>
      </c>
      <c r="OB127" s="2">
        <v>94.73999999999999</v>
      </c>
      <c r="OC127" s="2">
        <v>97.33</v>
      </c>
      <c r="OD127" s="2">
        <v>97.33</v>
      </c>
      <c r="OE127" s="2">
        <v>97.33</v>
      </c>
      <c r="OF127" s="2">
        <v>97.33</v>
      </c>
      <c r="OG127" s="2">
        <v>97.33</v>
      </c>
      <c r="OH127" s="2">
        <v>97.33</v>
      </c>
      <c r="OM127" s="2">
        <v>97.33</v>
      </c>
      <c r="ON127" s="2">
        <v>97.33</v>
      </c>
      <c r="OO127" s="2">
        <v>97.33</v>
      </c>
      <c r="OP127" s="2">
        <v>97.33</v>
      </c>
      <c r="OQ127" s="2">
        <v>97.33</v>
      </c>
      <c r="OR127" s="2">
        <v>97.33</v>
      </c>
      <c r="OS127" s="2">
        <v>100</v>
      </c>
      <c r="OT127" s="2">
        <v>100</v>
      </c>
      <c r="OU127" s="2">
        <v>100</v>
      </c>
      <c r="OV127" s="2">
        <v>104.21</v>
      </c>
      <c r="OW127" s="2">
        <v>104.21</v>
      </c>
      <c r="OX127" s="2">
        <v>104.21</v>
      </c>
      <c r="PC127" s="2">
        <v>104.21</v>
      </c>
      <c r="PD127" s="2">
        <v>104.21</v>
      </c>
      <c r="PE127" s="2">
        <v>104.21</v>
      </c>
      <c r="PF127" s="2">
        <v>104.21</v>
      </c>
      <c r="PG127" s="2">
        <v>104.21</v>
      </c>
      <c r="PH127" s="2">
        <v>104.21</v>
      </c>
      <c r="PI127" s="2">
        <v>110.22</v>
      </c>
    </row>
    <row r="128">
      <c r="A128" t="inlineStr">
        <is>
          <t>A130390731F</t>
        </is>
      </c>
      <c r="B128" t="inlineStr">
        <is>
          <t>Index Numbers ;  Electricity ;  Australia ;</t>
        </is>
      </c>
      <c r="C128" t="inlineStr">
        <is>
          <t>Month</t>
        </is>
      </c>
      <c r="D128" t="inlineStr">
        <is>
          <t>Index Numbers</t>
        </is>
      </c>
      <c r="E128" t="inlineStr">
        <is>
          <t>Original</t>
        </is>
      </c>
      <c r="F128" t="inlineStr">
        <is>
          <t>640103.xlsx</t>
        </is>
      </c>
      <c r="G128" t="inlineStr">
        <is>
          <t>2021-10</t>
        </is>
      </c>
      <c r="H128" t="inlineStr">
        <is>
          <t>2026-07</t>
        </is>
      </c>
      <c r="MJ128" s="2">
        <v>82.55</v>
      </c>
      <c r="MK128" s="2">
        <v>83.42</v>
      </c>
      <c r="ML128" s="2">
        <v>83.64</v>
      </c>
      <c r="MQ128" s="2">
        <v>83.55</v>
      </c>
      <c r="MR128" s="2">
        <v>83.28</v>
      </c>
      <c r="MS128" s="2">
        <v>83.22</v>
      </c>
      <c r="MT128" s="2">
        <v>82.79000000000001</v>
      </c>
      <c r="MU128" s="2">
        <v>82.98</v>
      </c>
      <c r="MV128" s="2">
        <v>85.09999999999999</v>
      </c>
      <c r="MW128" s="2">
        <v>86.03</v>
      </c>
      <c r="MX128" s="2">
        <v>87.2</v>
      </c>
      <c r="MY128" s="2">
        <v>83.40000000000001</v>
      </c>
      <c r="MZ128" s="2">
        <v>92.38</v>
      </c>
      <c r="NA128" s="2">
        <v>92.22</v>
      </c>
      <c r="NB128" s="2">
        <v>95.86</v>
      </c>
      <c r="NG128" s="2">
        <v>96.34999999999999</v>
      </c>
      <c r="NH128" s="2">
        <v>96.34999999999999</v>
      </c>
      <c r="NI128" s="2">
        <v>96.23999999999999</v>
      </c>
      <c r="NJ128" s="2">
        <v>95.31999999999999</v>
      </c>
      <c r="NK128" s="2">
        <v>94.56999999999999</v>
      </c>
      <c r="NL128" s="2">
        <v>93.79000000000001</v>
      </c>
      <c r="NM128" s="2">
        <v>99.45999999999999</v>
      </c>
      <c r="NN128" s="2">
        <v>98.19</v>
      </c>
      <c r="NO128" s="2">
        <v>98.40000000000001</v>
      </c>
      <c r="NP128" s="2">
        <v>101.7</v>
      </c>
      <c r="NQ128" s="2">
        <v>102.09</v>
      </c>
      <c r="NR128" s="2">
        <v>96.22</v>
      </c>
      <c r="NW128" s="2">
        <v>97.12</v>
      </c>
      <c r="NX128" s="2">
        <v>96.58</v>
      </c>
      <c r="NY128" s="2">
        <v>101.29</v>
      </c>
      <c r="NZ128" s="2">
        <v>99.34999999999999</v>
      </c>
      <c r="OA128" s="2">
        <v>100.77</v>
      </c>
      <c r="OB128" s="2">
        <v>100.77</v>
      </c>
      <c r="OC128" s="2">
        <v>94.37</v>
      </c>
      <c r="OD128" s="2">
        <v>80.59</v>
      </c>
      <c r="OE128" s="2">
        <v>74.68000000000001</v>
      </c>
      <c r="OF128" s="2">
        <v>65.53</v>
      </c>
      <c r="OG128" s="2">
        <v>80.11</v>
      </c>
      <c r="OH128" s="2">
        <v>78.95999999999999</v>
      </c>
      <c r="OM128" s="2">
        <v>86</v>
      </c>
      <c r="ON128" s="2">
        <v>83.84</v>
      </c>
      <c r="OO128" s="2">
        <v>91.55</v>
      </c>
      <c r="OP128" s="2">
        <v>92.89</v>
      </c>
      <c r="OQ128" s="2">
        <v>94.78</v>
      </c>
      <c r="OR128" s="2">
        <v>94.41</v>
      </c>
      <c r="OS128" s="2">
        <v>107.16</v>
      </c>
      <c r="OT128" s="2">
        <v>100.45</v>
      </c>
      <c r="OU128" s="2">
        <v>100</v>
      </c>
      <c r="OV128" s="2">
        <v>89.81999999999999</v>
      </c>
      <c r="OW128" s="2">
        <v>95.90000000000001</v>
      </c>
      <c r="OX128" s="2">
        <v>95.92</v>
      </c>
      <c r="PC128" s="2">
        <v>113.68</v>
      </c>
      <c r="PD128" s="2">
        <v>114.83</v>
      </c>
      <c r="PE128" s="2">
        <v>114.83</v>
      </c>
      <c r="PF128" s="2">
        <v>113.78</v>
      </c>
      <c r="PG128" s="2">
        <v>114.81</v>
      </c>
      <c r="PH128" s="2">
        <v>115.59</v>
      </c>
      <c r="PI128" s="2">
        <v>113.69</v>
      </c>
    </row>
    <row r="129">
      <c r="A129" t="inlineStr">
        <is>
          <t>A130392614F</t>
        </is>
      </c>
      <c r="B129" t="inlineStr">
        <is>
          <t>Index Numbers ;  Gas and other household fuels ;  Australia ;</t>
        </is>
      </c>
      <c r="C129" t="inlineStr">
        <is>
          <t>Month</t>
        </is>
      </c>
      <c r="D129" t="inlineStr">
        <is>
          <t>Index Numbers</t>
        </is>
      </c>
      <c r="E129" t="inlineStr">
        <is>
          <t>Original</t>
        </is>
      </c>
      <c r="F129" t="inlineStr">
        <is>
          <t>640103.xlsx</t>
        </is>
      </c>
      <c r="G129" t="inlineStr">
        <is>
          <t>2021-10</t>
        </is>
      </c>
      <c r="H129" t="inlineStr">
        <is>
          <t>2026-07</t>
        </is>
      </c>
      <c r="MJ129" s="2">
        <v>67.13</v>
      </c>
      <c r="MK129" s="2">
        <v>68.75</v>
      </c>
      <c r="ML129" s="2">
        <v>70.29000000000001</v>
      </c>
      <c r="MQ129" s="2">
        <v>70.93000000000001</v>
      </c>
      <c r="MR129" s="2">
        <v>72.27</v>
      </c>
      <c r="MS129" s="2">
        <v>72.3</v>
      </c>
      <c r="MT129" s="2">
        <v>72.20999999999999</v>
      </c>
      <c r="MU129" s="2">
        <v>70.17</v>
      </c>
      <c r="MV129" s="2">
        <v>72.54000000000001</v>
      </c>
      <c r="MW129" s="2">
        <v>79.63</v>
      </c>
      <c r="MX129" s="2">
        <v>80.61</v>
      </c>
      <c r="MY129" s="2">
        <v>80.88</v>
      </c>
      <c r="MZ129" s="2">
        <v>78.65000000000001</v>
      </c>
      <c r="NA129" s="2">
        <v>80.48</v>
      </c>
      <c r="NB129" s="2">
        <v>83.40000000000001</v>
      </c>
      <c r="NG129" s="2">
        <v>90.12</v>
      </c>
      <c r="NH129" s="2">
        <v>90.95</v>
      </c>
      <c r="NI129" s="2">
        <v>91.25</v>
      </c>
      <c r="NJ129" s="2">
        <v>91.23</v>
      </c>
      <c r="NK129" s="2">
        <v>89.26000000000001</v>
      </c>
      <c r="NL129" s="2">
        <v>88.61</v>
      </c>
      <c r="NM129" s="2">
        <v>90.65000000000001</v>
      </c>
      <c r="NN129" s="2">
        <v>91.04000000000001</v>
      </c>
      <c r="NO129" s="2">
        <v>91.18000000000001</v>
      </c>
      <c r="NP129" s="2">
        <v>88.84999999999999</v>
      </c>
      <c r="NQ129" s="2">
        <v>90.90000000000001</v>
      </c>
      <c r="NR129" s="2">
        <v>90.5</v>
      </c>
      <c r="NW129" s="2">
        <v>88.86</v>
      </c>
      <c r="NX129" s="2">
        <v>88.75</v>
      </c>
      <c r="NY129" s="2">
        <v>88.56</v>
      </c>
      <c r="NZ129" s="2">
        <v>88</v>
      </c>
      <c r="OA129" s="2">
        <v>85.77</v>
      </c>
      <c r="OB129" s="2">
        <v>88.06999999999999</v>
      </c>
      <c r="OC129" s="2">
        <v>93.11</v>
      </c>
      <c r="OD129" s="2">
        <v>93.89</v>
      </c>
      <c r="OE129" s="2">
        <v>93.94</v>
      </c>
      <c r="OF129" s="2">
        <v>92.76000000000001</v>
      </c>
      <c r="OG129" s="2">
        <v>95.73</v>
      </c>
      <c r="OH129" s="2">
        <v>94.09999999999999</v>
      </c>
      <c r="OM129" s="2">
        <v>94.18000000000001</v>
      </c>
      <c r="ON129" s="2">
        <v>94.34</v>
      </c>
      <c r="OO129" s="2">
        <v>94.14</v>
      </c>
      <c r="OP129" s="2">
        <v>93.56</v>
      </c>
      <c r="OQ129" s="2">
        <v>91.37</v>
      </c>
      <c r="OR129" s="2">
        <v>91.8</v>
      </c>
      <c r="OS129" s="2">
        <v>97.51000000000001</v>
      </c>
      <c r="OT129" s="2">
        <v>97.72</v>
      </c>
      <c r="OU129" s="2">
        <v>100</v>
      </c>
      <c r="OV129" s="2">
        <v>96.31</v>
      </c>
      <c r="OW129" s="2">
        <v>99.64</v>
      </c>
      <c r="OX129" s="2">
        <v>99.59999999999999</v>
      </c>
      <c r="PC129" s="2">
        <v>99.63</v>
      </c>
      <c r="PD129" s="2">
        <v>99.48999999999999</v>
      </c>
      <c r="PE129" s="2">
        <v>99.48999999999999</v>
      </c>
      <c r="PF129" s="2">
        <v>98.90000000000001</v>
      </c>
      <c r="PG129" s="2">
        <v>95.81</v>
      </c>
      <c r="PH129" s="2">
        <v>98.37</v>
      </c>
      <c r="PI129" s="2">
        <v>101.13</v>
      </c>
    </row>
    <row r="130">
      <c r="A130" t="inlineStr">
        <is>
          <t>A130399198J</t>
        </is>
      </c>
      <c r="B130" t="inlineStr">
        <is>
          <t>Index Numbers ;  Furnishings, household equipment and services ;  Australia ;</t>
        </is>
      </c>
      <c r="C130" t="inlineStr">
        <is>
          <t>Month</t>
        </is>
      </c>
      <c r="D130" t="inlineStr">
        <is>
          <t>Index Numbers</t>
        </is>
      </c>
      <c r="E130" t="inlineStr">
        <is>
          <t>Original</t>
        </is>
      </c>
      <c r="F130" t="inlineStr">
        <is>
          <t>640103.xlsx</t>
        </is>
      </c>
      <c r="G130" t="inlineStr">
        <is>
          <t>2024-04</t>
        </is>
      </c>
      <c r="H130" t="inlineStr">
        <is>
          <t>2026-07</t>
        </is>
      </c>
      <c r="NZ130" s="2">
        <v>97.23999999999999</v>
      </c>
      <c r="OA130" s="2">
        <v>97.20999999999999</v>
      </c>
      <c r="OB130" s="2">
        <v>95.93000000000001</v>
      </c>
      <c r="OC130" s="2">
        <v>97.75</v>
      </c>
      <c r="OD130" s="2">
        <v>98.64</v>
      </c>
      <c r="OE130" s="2">
        <v>98.26000000000001</v>
      </c>
      <c r="OF130" s="2">
        <v>98.68000000000001</v>
      </c>
      <c r="OG130" s="2">
        <v>98.5</v>
      </c>
      <c r="OH130" s="2">
        <v>97.65000000000001</v>
      </c>
      <c r="OM130" s="2">
        <v>97.86</v>
      </c>
      <c r="ON130" s="2">
        <v>98.83</v>
      </c>
      <c r="OO130" s="2">
        <v>98.56</v>
      </c>
      <c r="OP130" s="2">
        <v>99.03</v>
      </c>
      <c r="OQ130" s="2">
        <v>98.64</v>
      </c>
      <c r="OR130" s="2">
        <v>97.56</v>
      </c>
      <c r="OS130" s="2">
        <v>99.54000000000001</v>
      </c>
      <c r="OT130" s="2">
        <v>100.33</v>
      </c>
      <c r="OU130" s="2">
        <v>100</v>
      </c>
      <c r="OV130" s="2">
        <v>100.72</v>
      </c>
      <c r="OW130" s="2">
        <v>99.77</v>
      </c>
      <c r="OX130" s="2">
        <v>99.62</v>
      </c>
      <c r="PC130" s="2">
        <v>99.20999999999999</v>
      </c>
      <c r="PD130" s="2">
        <v>100.14</v>
      </c>
      <c r="PE130" s="2">
        <v>99.92</v>
      </c>
      <c r="PF130" s="2">
        <v>100.25</v>
      </c>
      <c r="PG130" s="2">
        <v>100.3</v>
      </c>
      <c r="PH130" s="2">
        <v>99.09</v>
      </c>
      <c r="PI130" s="2">
        <v>101.09</v>
      </c>
    </row>
    <row r="131">
      <c r="A131" t="inlineStr">
        <is>
          <t>A130397795V</t>
        </is>
      </c>
      <c r="B131" t="inlineStr">
        <is>
          <t>Index Numbers ;  Furniture and furnishings ;  Australia ;</t>
        </is>
      </c>
      <c r="C131" t="inlineStr">
        <is>
          <t>Month</t>
        </is>
      </c>
      <c r="D131" t="inlineStr">
        <is>
          <t>Index Numbers</t>
        </is>
      </c>
      <c r="E131" t="inlineStr">
        <is>
          <t>Original</t>
        </is>
      </c>
      <c r="F131" t="inlineStr">
        <is>
          <t>640103.xlsx</t>
        </is>
      </c>
      <c r="G131" t="inlineStr">
        <is>
          <t>2024-04</t>
        </is>
      </c>
      <c r="H131" t="inlineStr">
        <is>
          <t>2026-07</t>
        </is>
      </c>
      <c r="NZ131" s="2">
        <v>97.91</v>
      </c>
      <c r="OA131" s="2">
        <v>98.15000000000001</v>
      </c>
      <c r="OB131" s="2">
        <v>94.52</v>
      </c>
      <c r="OC131" s="2">
        <v>98.87</v>
      </c>
      <c r="OD131" s="2">
        <v>98.27</v>
      </c>
      <c r="OE131" s="2">
        <v>99.38</v>
      </c>
      <c r="OF131" s="2">
        <v>101.08</v>
      </c>
      <c r="OG131" s="2">
        <v>98.14</v>
      </c>
      <c r="OH131" s="2">
        <v>98.17</v>
      </c>
      <c r="OM131" s="2">
        <v>96.54000000000001</v>
      </c>
      <c r="ON131" s="2">
        <v>100.52</v>
      </c>
      <c r="OO131" s="2">
        <v>99.23</v>
      </c>
      <c r="OP131" s="2">
        <v>98.98</v>
      </c>
      <c r="OQ131" s="2">
        <v>97.73</v>
      </c>
      <c r="OR131" s="2">
        <v>95.06999999999999</v>
      </c>
      <c r="OS131" s="2">
        <v>99.23999999999999</v>
      </c>
      <c r="OT131" s="2">
        <v>97.98</v>
      </c>
      <c r="OU131" s="2">
        <v>100</v>
      </c>
      <c r="OV131" s="2">
        <v>101.97</v>
      </c>
      <c r="OW131" s="2">
        <v>98.05</v>
      </c>
      <c r="OX131" s="2">
        <v>99.03</v>
      </c>
      <c r="PC131" s="2">
        <v>95.48</v>
      </c>
      <c r="PD131" s="2">
        <v>99.2</v>
      </c>
      <c r="PE131" s="2">
        <v>99.48999999999999</v>
      </c>
      <c r="PF131" s="2">
        <v>99.16</v>
      </c>
      <c r="PG131" s="2">
        <v>99.45999999999999</v>
      </c>
      <c r="PH131" s="2">
        <v>95.31</v>
      </c>
      <c r="PI131" s="2">
        <v>99.47</v>
      </c>
    </row>
    <row r="132">
      <c r="A132" t="inlineStr">
        <is>
          <t>A130394595W</t>
        </is>
      </c>
      <c r="B132" t="inlineStr">
        <is>
          <t>Index Numbers ;  Furniture ;  Australia ;</t>
        </is>
      </c>
      <c r="C132" t="inlineStr">
        <is>
          <t>Month</t>
        </is>
      </c>
      <c r="D132" t="inlineStr">
        <is>
          <t>Index Numbers</t>
        </is>
      </c>
      <c r="E132" t="inlineStr">
        <is>
          <t>Original</t>
        </is>
      </c>
      <c r="F132" t="inlineStr">
        <is>
          <t>640103.xlsx</t>
        </is>
      </c>
      <c r="G132" t="inlineStr">
        <is>
          <t>2024-04</t>
        </is>
      </c>
      <c r="H132" t="inlineStr">
        <is>
          <t>2026-07</t>
        </is>
      </c>
      <c r="NZ132" s="2">
        <v>97.72</v>
      </c>
      <c r="OA132" s="2">
        <v>98.3</v>
      </c>
      <c r="OB132" s="2">
        <v>93.73999999999999</v>
      </c>
      <c r="OC132" s="2">
        <v>99.01000000000001</v>
      </c>
      <c r="OD132" s="2">
        <v>98.28</v>
      </c>
      <c r="OE132" s="2">
        <v>99.61</v>
      </c>
      <c r="OF132" s="2">
        <v>101.89</v>
      </c>
      <c r="OG132" s="2">
        <v>98.19</v>
      </c>
      <c r="OH132" s="2">
        <v>98.09999999999999</v>
      </c>
      <c r="OM132" s="2">
        <v>96.38</v>
      </c>
      <c r="ON132" s="2">
        <v>101.07</v>
      </c>
      <c r="OO132" s="2">
        <v>99.47</v>
      </c>
      <c r="OP132" s="2">
        <v>99.23999999999999</v>
      </c>
      <c r="OQ132" s="2">
        <v>97.62</v>
      </c>
      <c r="OR132" s="2">
        <v>94.59999999999999</v>
      </c>
      <c r="OS132" s="2">
        <v>99.3</v>
      </c>
      <c r="OT132" s="2">
        <v>97.56</v>
      </c>
      <c r="OU132" s="2">
        <v>100</v>
      </c>
      <c r="OV132" s="2">
        <v>102.53</v>
      </c>
      <c r="OW132" s="2">
        <v>97.78</v>
      </c>
      <c r="OX132" s="2">
        <v>98.78</v>
      </c>
      <c r="PC132" s="2">
        <v>94.48999999999999</v>
      </c>
      <c r="PD132" s="2">
        <v>98.87</v>
      </c>
      <c r="PE132" s="2">
        <v>99.03</v>
      </c>
      <c r="PF132" s="2">
        <v>98.75</v>
      </c>
      <c r="PG132" s="2">
        <v>99.18000000000001</v>
      </c>
      <c r="PH132" s="2">
        <v>94.11</v>
      </c>
      <c r="PI132" s="2">
        <v>98.81</v>
      </c>
    </row>
    <row r="133">
      <c r="A133" t="inlineStr">
        <is>
          <t>A130397823T</t>
        </is>
      </c>
      <c r="B133" t="inlineStr">
        <is>
          <t>Index Numbers ;  Carpets and other floor coverings ;  Australia ;</t>
        </is>
      </c>
      <c r="C133" t="inlineStr">
        <is>
          <t>Month</t>
        </is>
      </c>
      <c r="D133" t="inlineStr">
        <is>
          <t>Index Numbers</t>
        </is>
      </c>
      <c r="E133" t="inlineStr">
        <is>
          <t>Original</t>
        </is>
      </c>
      <c r="F133" t="inlineStr">
        <is>
          <t>640103.xlsx</t>
        </is>
      </c>
      <c r="G133" t="inlineStr">
        <is>
          <t>2024-04</t>
        </is>
      </c>
      <c r="H133" t="inlineStr">
        <is>
          <t>2026-07</t>
        </is>
      </c>
      <c r="NZ133" s="2">
        <v>98.75</v>
      </c>
      <c r="OA133" s="2">
        <v>97.5</v>
      </c>
      <c r="OB133" s="2">
        <v>97.90000000000001</v>
      </c>
      <c r="OC133" s="2">
        <v>98.28</v>
      </c>
      <c r="OD133" s="2">
        <v>98.26000000000001</v>
      </c>
      <c r="OE133" s="2">
        <v>98.36</v>
      </c>
      <c r="OF133" s="2">
        <v>97.58</v>
      </c>
      <c r="OG133" s="2">
        <v>97.95999999999999</v>
      </c>
      <c r="OH133" s="2">
        <v>98.48999999999999</v>
      </c>
      <c r="OM133" s="2">
        <v>97.23999999999999</v>
      </c>
      <c r="ON133" s="2">
        <v>98.05</v>
      </c>
      <c r="OO133" s="2">
        <v>98.14</v>
      </c>
      <c r="OP133" s="2">
        <v>97.81</v>
      </c>
      <c r="OQ133" s="2">
        <v>98.22</v>
      </c>
      <c r="OR133" s="2">
        <v>97.22</v>
      </c>
      <c r="OS133" s="2">
        <v>98.94</v>
      </c>
      <c r="OT133" s="2">
        <v>99.88</v>
      </c>
      <c r="OU133" s="2">
        <v>100</v>
      </c>
      <c r="OV133" s="2">
        <v>99.38</v>
      </c>
      <c r="OW133" s="2">
        <v>99.26000000000001</v>
      </c>
      <c r="OX133" s="2">
        <v>100.15</v>
      </c>
      <c r="PC133" s="2">
        <v>99.97</v>
      </c>
      <c r="PD133" s="2">
        <v>100.75</v>
      </c>
      <c r="PE133" s="2">
        <v>101.6</v>
      </c>
      <c r="PF133" s="2">
        <v>101.04</v>
      </c>
      <c r="PG133" s="2">
        <v>100.72</v>
      </c>
      <c r="PH133" s="2">
        <v>100.81</v>
      </c>
      <c r="PI133" s="2">
        <v>102.44</v>
      </c>
    </row>
    <row r="134">
      <c r="A134" t="inlineStr">
        <is>
          <t>A130396492T</t>
        </is>
      </c>
      <c r="B134" t="inlineStr">
        <is>
          <t>Index Numbers ;  Household textiles ;  Australia ;</t>
        </is>
      </c>
      <c r="C134" t="inlineStr">
        <is>
          <t>Month</t>
        </is>
      </c>
      <c r="D134" t="inlineStr">
        <is>
          <t>Index Numbers</t>
        </is>
      </c>
      <c r="E134" t="inlineStr">
        <is>
          <t>Original</t>
        </is>
      </c>
      <c r="F134" t="inlineStr">
        <is>
          <t>640103.xlsx</t>
        </is>
      </c>
      <c r="G134" t="inlineStr">
        <is>
          <t>2024-04</t>
        </is>
      </c>
      <c r="H134" t="inlineStr">
        <is>
          <t>2026-07</t>
        </is>
      </c>
      <c r="NZ134" s="2">
        <v>99.59999999999999</v>
      </c>
      <c r="OA134" s="2">
        <v>99.7</v>
      </c>
      <c r="OB134" s="2">
        <v>93.37</v>
      </c>
      <c r="OC134" s="2">
        <v>100.57</v>
      </c>
      <c r="OD134" s="2">
        <v>105.51</v>
      </c>
      <c r="OE134" s="2">
        <v>100.02</v>
      </c>
      <c r="OF134" s="2">
        <v>98.13</v>
      </c>
      <c r="OG134" s="2">
        <v>104.45</v>
      </c>
      <c r="OH134" s="2">
        <v>92.15000000000001</v>
      </c>
      <c r="OM134" s="2">
        <v>94.63</v>
      </c>
      <c r="ON134" s="2">
        <v>100.15</v>
      </c>
      <c r="OO134" s="2">
        <v>100.34</v>
      </c>
      <c r="OP134" s="2">
        <v>98</v>
      </c>
      <c r="OQ134" s="2">
        <v>100.09</v>
      </c>
      <c r="OR134" s="2">
        <v>93.09999999999999</v>
      </c>
      <c r="OS134" s="2">
        <v>102.45</v>
      </c>
      <c r="OT134" s="2">
        <v>101.48</v>
      </c>
      <c r="OU134" s="2">
        <v>100</v>
      </c>
      <c r="OV134" s="2">
        <v>101.69</v>
      </c>
      <c r="OW134" s="2">
        <v>100.8</v>
      </c>
      <c r="OX134" s="2">
        <v>96.88</v>
      </c>
      <c r="PC134" s="2">
        <v>95.36</v>
      </c>
      <c r="PD134" s="2">
        <v>100.32</v>
      </c>
      <c r="PE134" s="2">
        <v>98.14</v>
      </c>
      <c r="PF134" s="2">
        <v>96.52</v>
      </c>
      <c r="PG134" s="2">
        <v>95.36</v>
      </c>
      <c r="PH134" s="2">
        <v>92.56999999999999</v>
      </c>
      <c r="PI134" s="2">
        <v>103.25</v>
      </c>
    </row>
    <row r="135">
      <c r="A135" t="inlineStr">
        <is>
          <t>A130395379W</t>
        </is>
      </c>
      <c r="B135" t="inlineStr">
        <is>
          <t>Index Numbers ;  Household textiles ;  Australia ;</t>
        </is>
      </c>
      <c r="C135" t="inlineStr">
        <is>
          <t>Month</t>
        </is>
      </c>
      <c r="D135" t="inlineStr">
        <is>
          <t>Index Numbers</t>
        </is>
      </c>
      <c r="E135" t="inlineStr">
        <is>
          <t>Original</t>
        </is>
      </c>
      <c r="F135" t="inlineStr">
        <is>
          <t>640103.xlsx</t>
        </is>
      </c>
      <c r="G135" t="inlineStr">
        <is>
          <t>2024-04</t>
        </is>
      </c>
      <c r="H135" t="inlineStr">
        <is>
          <t>2026-07</t>
        </is>
      </c>
      <c r="NZ135" s="2">
        <v>99.59999999999999</v>
      </c>
      <c r="OA135" s="2">
        <v>99.7</v>
      </c>
      <c r="OB135" s="2">
        <v>93.37</v>
      </c>
      <c r="OC135" s="2">
        <v>100.57</v>
      </c>
      <c r="OD135" s="2">
        <v>105.51</v>
      </c>
      <c r="OE135" s="2">
        <v>100.02</v>
      </c>
      <c r="OF135" s="2">
        <v>98.13</v>
      </c>
      <c r="OG135" s="2">
        <v>104.45</v>
      </c>
      <c r="OH135" s="2">
        <v>92.15000000000001</v>
      </c>
      <c r="OM135" s="2">
        <v>94.63</v>
      </c>
      <c r="ON135" s="2">
        <v>100.15</v>
      </c>
      <c r="OO135" s="2">
        <v>100.34</v>
      </c>
      <c r="OP135" s="2">
        <v>98</v>
      </c>
      <c r="OQ135" s="2">
        <v>100.09</v>
      </c>
      <c r="OR135" s="2">
        <v>93.09999999999999</v>
      </c>
      <c r="OS135" s="2">
        <v>102.45</v>
      </c>
      <c r="OT135" s="2">
        <v>101.48</v>
      </c>
      <c r="OU135" s="2">
        <v>100</v>
      </c>
      <c r="OV135" s="2">
        <v>101.69</v>
      </c>
      <c r="OW135" s="2">
        <v>100.8</v>
      </c>
      <c r="OX135" s="2">
        <v>96.88</v>
      </c>
      <c r="PC135" s="2">
        <v>95.36</v>
      </c>
      <c r="PD135" s="2">
        <v>100.32</v>
      </c>
      <c r="PE135" s="2">
        <v>98.14</v>
      </c>
      <c r="PF135" s="2">
        <v>96.52</v>
      </c>
      <c r="PG135" s="2">
        <v>95.36</v>
      </c>
      <c r="PH135" s="2">
        <v>92.56999999999999</v>
      </c>
      <c r="PI135" s="2">
        <v>103.25</v>
      </c>
    </row>
    <row r="136">
      <c r="A136" t="inlineStr">
        <is>
          <t>A130398516K</t>
        </is>
      </c>
      <c r="B136" t="inlineStr">
        <is>
          <t>Index Numbers ;  Household appliances, utensils and tools ;  Australia ;</t>
        </is>
      </c>
      <c r="C136" t="inlineStr">
        <is>
          <t>Month</t>
        </is>
      </c>
      <c r="D136" t="inlineStr">
        <is>
          <t>Index Numbers</t>
        </is>
      </c>
      <c r="E136" t="inlineStr">
        <is>
          <t>Original</t>
        </is>
      </c>
      <c r="F136" t="inlineStr">
        <is>
          <t>640103.xlsx</t>
        </is>
      </c>
      <c r="G136" t="inlineStr">
        <is>
          <t>2024-04</t>
        </is>
      </c>
      <c r="H136" t="inlineStr">
        <is>
          <t>2026-07</t>
        </is>
      </c>
      <c r="NZ136" s="2">
        <v>101.1</v>
      </c>
      <c r="OA136" s="2">
        <v>101.08</v>
      </c>
      <c r="OB136" s="2">
        <v>98.75</v>
      </c>
      <c r="OC136" s="2">
        <v>102.09</v>
      </c>
      <c r="OD136" s="2">
        <v>102.37</v>
      </c>
      <c r="OE136" s="2">
        <v>100.34</v>
      </c>
      <c r="OF136" s="2">
        <v>101.84</v>
      </c>
      <c r="OG136" s="2">
        <v>101.21</v>
      </c>
      <c r="OH136" s="2">
        <v>98.15000000000001</v>
      </c>
      <c r="OM136" s="2">
        <v>99.84999999999999</v>
      </c>
      <c r="ON136" s="2">
        <v>99.55</v>
      </c>
      <c r="OO136" s="2">
        <v>97.70999999999999</v>
      </c>
      <c r="OP136" s="2">
        <v>100.67</v>
      </c>
      <c r="OQ136" s="2">
        <v>100.04</v>
      </c>
      <c r="OR136" s="2">
        <v>98.39</v>
      </c>
      <c r="OS136" s="2">
        <v>100.17</v>
      </c>
      <c r="OT136" s="2">
        <v>103.23</v>
      </c>
      <c r="OU136" s="2">
        <v>100</v>
      </c>
      <c r="OV136" s="2">
        <v>101.06</v>
      </c>
      <c r="OW136" s="2">
        <v>100.18</v>
      </c>
      <c r="OX136" s="2">
        <v>96.13</v>
      </c>
      <c r="PC136" s="2">
        <v>99.44</v>
      </c>
      <c r="PD136" s="2">
        <v>99.87</v>
      </c>
      <c r="PE136" s="2">
        <v>97.63</v>
      </c>
      <c r="PF136" s="2">
        <v>99.17</v>
      </c>
      <c r="PG136" s="2">
        <v>99.83</v>
      </c>
      <c r="PH136" s="2">
        <v>97.95999999999999</v>
      </c>
      <c r="PI136" s="2">
        <v>100.86</v>
      </c>
    </row>
    <row r="137">
      <c r="A137" t="inlineStr">
        <is>
          <t>A130399506X</t>
        </is>
      </c>
      <c r="B137" t="inlineStr">
        <is>
          <t>Index Numbers ;  Major household appliances ;  Australia ;</t>
        </is>
      </c>
      <c r="C137" t="inlineStr">
        <is>
          <t>Month</t>
        </is>
      </c>
      <c r="D137" t="inlineStr">
        <is>
          <t>Index Numbers</t>
        </is>
      </c>
      <c r="E137" t="inlineStr">
        <is>
          <t>Original</t>
        </is>
      </c>
      <c r="F137" t="inlineStr">
        <is>
          <t>640103.xlsx</t>
        </is>
      </c>
      <c r="G137" t="inlineStr">
        <is>
          <t>2024-04</t>
        </is>
      </c>
      <c r="H137" t="inlineStr">
        <is>
          <t>2026-07</t>
        </is>
      </c>
      <c r="NZ137" s="2">
        <v>101.35</v>
      </c>
      <c r="OA137" s="2">
        <v>100.49</v>
      </c>
      <c r="OB137" s="2">
        <v>99.37</v>
      </c>
      <c r="OC137" s="2">
        <v>101.1</v>
      </c>
      <c r="OD137" s="2">
        <v>100.01</v>
      </c>
      <c r="OE137" s="2">
        <v>99.18000000000001</v>
      </c>
      <c r="OF137" s="2">
        <v>100.67</v>
      </c>
      <c r="OG137" s="2">
        <v>100.42</v>
      </c>
      <c r="OH137" s="2">
        <v>97.16</v>
      </c>
      <c r="OM137" s="2">
        <v>98.45</v>
      </c>
      <c r="ON137" s="2">
        <v>98.95</v>
      </c>
      <c r="OO137" s="2">
        <v>97.41</v>
      </c>
      <c r="OP137" s="2">
        <v>99.81999999999999</v>
      </c>
      <c r="OQ137" s="2">
        <v>101.62</v>
      </c>
      <c r="OR137" s="2">
        <v>101.6</v>
      </c>
      <c r="OS137" s="2">
        <v>100.08</v>
      </c>
      <c r="OT137" s="2">
        <v>100.45</v>
      </c>
      <c r="OU137" s="2">
        <v>100</v>
      </c>
      <c r="OV137" s="2">
        <v>99.27</v>
      </c>
      <c r="OW137" s="2">
        <v>99.44</v>
      </c>
      <c r="OX137" s="2">
        <v>96.23999999999999</v>
      </c>
      <c r="PC137" s="2">
        <v>98.90000000000001</v>
      </c>
      <c r="PD137" s="2">
        <v>99.40000000000001</v>
      </c>
      <c r="PE137" s="2">
        <v>96.97</v>
      </c>
      <c r="PF137" s="2">
        <v>98.92</v>
      </c>
      <c r="PG137" s="2">
        <v>99.2</v>
      </c>
      <c r="PH137" s="2">
        <v>96.65000000000001</v>
      </c>
      <c r="PI137" s="2">
        <v>100.51</v>
      </c>
    </row>
    <row r="138">
      <c r="A138" t="inlineStr">
        <is>
          <t>A130391249A</t>
        </is>
      </c>
      <c r="B138" t="inlineStr">
        <is>
          <t>Index Numbers ;  Small electric household appliances ;  Australia ;</t>
        </is>
      </c>
      <c r="C138" t="inlineStr">
        <is>
          <t>Month</t>
        </is>
      </c>
      <c r="D138" t="inlineStr">
        <is>
          <t>Index Numbers</t>
        </is>
      </c>
      <c r="E138" t="inlineStr">
        <is>
          <t>Original</t>
        </is>
      </c>
      <c r="F138" t="inlineStr">
        <is>
          <t>640103.xlsx</t>
        </is>
      </c>
      <c r="G138" t="inlineStr">
        <is>
          <t>2024-04</t>
        </is>
      </c>
      <c r="H138" t="inlineStr">
        <is>
          <t>2026-07</t>
        </is>
      </c>
      <c r="NZ138" s="2">
        <v>101.48</v>
      </c>
      <c r="OA138" s="2">
        <v>104.09</v>
      </c>
      <c r="OB138" s="2">
        <v>100.77</v>
      </c>
      <c r="OC138" s="2">
        <v>103.88</v>
      </c>
      <c r="OD138" s="2">
        <v>103.77</v>
      </c>
      <c r="OE138" s="2">
        <v>100.04</v>
      </c>
      <c r="OF138" s="2">
        <v>101.33</v>
      </c>
      <c r="OG138" s="2">
        <v>102.36</v>
      </c>
      <c r="OH138" s="2">
        <v>96.52</v>
      </c>
      <c r="OM138" s="2">
        <v>99.76000000000001</v>
      </c>
      <c r="ON138" s="2">
        <v>100.94</v>
      </c>
      <c r="OO138" s="2">
        <v>99.16</v>
      </c>
      <c r="OP138" s="2">
        <v>100.91</v>
      </c>
      <c r="OQ138" s="2">
        <v>100.65</v>
      </c>
      <c r="OR138" s="2">
        <v>98.94</v>
      </c>
      <c r="OS138" s="2">
        <v>99.62</v>
      </c>
      <c r="OT138" s="2">
        <v>103.44</v>
      </c>
      <c r="OU138" s="2">
        <v>100</v>
      </c>
      <c r="OV138" s="2">
        <v>101.49</v>
      </c>
      <c r="OW138" s="2">
        <v>102.13</v>
      </c>
      <c r="OX138" s="2">
        <v>96.08</v>
      </c>
      <c r="PC138" s="2">
        <v>97.56</v>
      </c>
      <c r="PD138" s="2">
        <v>100.82</v>
      </c>
      <c r="PE138" s="2">
        <v>99.06999999999999</v>
      </c>
      <c r="PF138" s="2">
        <v>98.90000000000001</v>
      </c>
      <c r="PG138" s="2">
        <v>99</v>
      </c>
      <c r="PH138" s="2">
        <v>98.43000000000001</v>
      </c>
      <c r="PI138" s="2">
        <v>100.27</v>
      </c>
    </row>
    <row r="139">
      <c r="A139" t="inlineStr">
        <is>
          <t>A130391263W</t>
        </is>
      </c>
      <c r="B139" t="inlineStr">
        <is>
          <t>Index Numbers ;  Glassware, tableware and household utensils ;  Australia ;</t>
        </is>
      </c>
      <c r="C139" t="inlineStr">
        <is>
          <t>Month</t>
        </is>
      </c>
      <c r="D139" t="inlineStr">
        <is>
          <t>Index Numbers</t>
        </is>
      </c>
      <c r="E139" t="inlineStr">
        <is>
          <t>Original</t>
        </is>
      </c>
      <c r="F139" t="inlineStr">
        <is>
          <t>640103.xlsx</t>
        </is>
      </c>
      <c r="G139" t="inlineStr">
        <is>
          <t>2024-04</t>
        </is>
      </c>
      <c r="H139" t="inlineStr">
        <is>
          <t>2026-07</t>
        </is>
      </c>
      <c r="NZ139" s="2">
        <v>100.01</v>
      </c>
      <c r="OA139" s="2">
        <v>99.06</v>
      </c>
      <c r="OB139" s="2">
        <v>93.76000000000001</v>
      </c>
      <c r="OC139" s="2">
        <v>101.44</v>
      </c>
      <c r="OD139" s="2">
        <v>103.83</v>
      </c>
      <c r="OE139" s="2">
        <v>100.45</v>
      </c>
      <c r="OF139" s="2">
        <v>104.26</v>
      </c>
      <c r="OG139" s="2">
        <v>101.99</v>
      </c>
      <c r="OH139" s="2">
        <v>97.52</v>
      </c>
      <c r="OM139" s="2">
        <v>100.26</v>
      </c>
      <c r="ON139" s="2">
        <v>98.92</v>
      </c>
      <c r="OO139" s="2">
        <v>94.73999999999999</v>
      </c>
      <c r="OP139" s="2">
        <v>101</v>
      </c>
      <c r="OQ139" s="2">
        <v>97.25</v>
      </c>
      <c r="OR139" s="2">
        <v>92.42</v>
      </c>
      <c r="OS139" s="2">
        <v>100.55</v>
      </c>
      <c r="OT139" s="2">
        <v>108.5</v>
      </c>
      <c r="OU139" s="2">
        <v>100</v>
      </c>
      <c r="OV139" s="2">
        <v>103.5</v>
      </c>
      <c r="OW139" s="2">
        <v>99.81999999999999</v>
      </c>
      <c r="OX139" s="2">
        <v>92.73</v>
      </c>
      <c r="PC139" s="2">
        <v>101.59</v>
      </c>
      <c r="PD139" s="2">
        <v>99.75</v>
      </c>
      <c r="PE139" s="2">
        <v>96.03</v>
      </c>
      <c r="PF139" s="2">
        <v>98.52</v>
      </c>
      <c r="PG139" s="2">
        <v>100.14</v>
      </c>
      <c r="PH139" s="2">
        <v>94.98999999999999</v>
      </c>
      <c r="PI139" s="2">
        <v>100.14</v>
      </c>
    </row>
    <row r="140">
      <c r="A140" t="inlineStr">
        <is>
          <t>A130392033J</t>
        </is>
      </c>
      <c r="B140" t="inlineStr">
        <is>
          <t>Index Numbers ;  Tools and equipment for house and garden ;  Australia ;</t>
        </is>
      </c>
      <c r="C140" t="inlineStr">
        <is>
          <t>Month</t>
        </is>
      </c>
      <c r="D140" t="inlineStr">
        <is>
          <t>Index Numbers</t>
        </is>
      </c>
      <c r="E140" t="inlineStr">
        <is>
          <t>Original</t>
        </is>
      </c>
      <c r="F140" t="inlineStr">
        <is>
          <t>640103.xlsx</t>
        </is>
      </c>
      <c r="G140" t="inlineStr">
        <is>
          <t>2024-04</t>
        </is>
      </c>
      <c r="H140" t="inlineStr">
        <is>
          <t>2026-07</t>
        </is>
      </c>
      <c r="NZ140" s="2">
        <v>101.6</v>
      </c>
      <c r="OA140" s="2">
        <v>101.36</v>
      </c>
      <c r="OB140" s="2">
        <v>101.55</v>
      </c>
      <c r="OC140" s="2">
        <v>102.31</v>
      </c>
      <c r="OD140" s="2">
        <v>102.15</v>
      </c>
      <c r="OE140" s="2">
        <v>101.57</v>
      </c>
      <c r="OF140" s="2">
        <v>100.89</v>
      </c>
      <c r="OG140" s="2">
        <v>100.26</v>
      </c>
      <c r="OH140" s="2">
        <v>100.95</v>
      </c>
      <c r="OM140" s="2">
        <v>100.89</v>
      </c>
      <c r="ON140" s="2">
        <v>99.76000000000001</v>
      </c>
      <c r="OO140" s="2">
        <v>99.95</v>
      </c>
      <c r="OP140" s="2">
        <v>100.98</v>
      </c>
      <c r="OQ140" s="2">
        <v>100.86</v>
      </c>
      <c r="OR140" s="2">
        <v>100.84</v>
      </c>
      <c r="OS140" s="2">
        <v>100.29</v>
      </c>
      <c r="OT140" s="2">
        <v>100.47</v>
      </c>
      <c r="OU140" s="2">
        <v>100</v>
      </c>
      <c r="OV140" s="2">
        <v>100.06</v>
      </c>
      <c r="OW140" s="2">
        <v>99.83</v>
      </c>
      <c r="OX140" s="2">
        <v>99.5</v>
      </c>
      <c r="PC140" s="2">
        <v>99.2</v>
      </c>
      <c r="PD140" s="2">
        <v>99.72</v>
      </c>
      <c r="PE140" s="2">
        <v>98.81999999999999</v>
      </c>
      <c r="PF140" s="2">
        <v>100.26</v>
      </c>
      <c r="PG140" s="2">
        <v>100.76</v>
      </c>
      <c r="PH140" s="2">
        <v>101.91</v>
      </c>
      <c r="PI140" s="2">
        <v>102.37</v>
      </c>
    </row>
    <row r="141">
      <c r="A141" t="inlineStr">
        <is>
          <t>A130394917A</t>
        </is>
      </c>
      <c r="B141" t="inlineStr">
        <is>
          <t>Index Numbers ;  Non-durable household products ;  Australia ;</t>
        </is>
      </c>
      <c r="C141" t="inlineStr">
        <is>
          <t>Month</t>
        </is>
      </c>
      <c r="D141" t="inlineStr">
        <is>
          <t>Index Numbers</t>
        </is>
      </c>
      <c r="E141" t="inlineStr">
        <is>
          <t>Original</t>
        </is>
      </c>
      <c r="F141" t="inlineStr">
        <is>
          <t>640103.xlsx</t>
        </is>
      </c>
      <c r="G141" t="inlineStr">
        <is>
          <t>2017-09</t>
        </is>
      </c>
      <c r="H141" t="inlineStr">
        <is>
          <t>2026-07</t>
        </is>
      </c>
      <c r="JW141" s="2">
        <v>83.36</v>
      </c>
      <c r="JX141" s="2">
        <v>82.41</v>
      </c>
      <c r="JY141" s="2">
        <v>82.7</v>
      </c>
      <c r="JZ141" s="2">
        <v>83.2</v>
      </c>
      <c r="KE141" s="2">
        <v>83.53</v>
      </c>
      <c r="KF141" s="2">
        <v>82.58</v>
      </c>
      <c r="KG141" s="2">
        <v>83.20999999999999</v>
      </c>
      <c r="KH141" s="2">
        <v>82.65000000000001</v>
      </c>
      <c r="KI141" s="2">
        <v>82.47</v>
      </c>
      <c r="KJ141" s="2">
        <v>82.3</v>
      </c>
      <c r="KK141" s="2">
        <v>82.52</v>
      </c>
      <c r="KL141" s="2">
        <v>82.25</v>
      </c>
      <c r="KM141" s="2">
        <v>82.06</v>
      </c>
      <c r="KN141" s="2">
        <v>81.39</v>
      </c>
      <c r="KO141" s="2">
        <v>82</v>
      </c>
      <c r="KP141" s="2">
        <v>82.26000000000001</v>
      </c>
      <c r="KU141" s="2">
        <v>82.09</v>
      </c>
      <c r="KV141" s="2">
        <v>82.31</v>
      </c>
      <c r="KW141" s="2">
        <v>82.34999999999999</v>
      </c>
      <c r="KX141" s="2">
        <v>83.23999999999999</v>
      </c>
      <c r="KY141" s="2">
        <v>82.8</v>
      </c>
      <c r="KZ141" s="2">
        <v>82.03</v>
      </c>
      <c r="LA141" s="2">
        <v>83.18000000000001</v>
      </c>
      <c r="LB141" s="2">
        <v>82.63</v>
      </c>
      <c r="LC141" s="2">
        <v>82.2</v>
      </c>
      <c r="LD141" s="2">
        <v>82.39</v>
      </c>
      <c r="LE141" s="2">
        <v>83.3</v>
      </c>
      <c r="LF141" s="2">
        <v>82.92</v>
      </c>
      <c r="LK141" s="2">
        <v>82.95999999999999</v>
      </c>
      <c r="LL141" s="2">
        <v>83.17</v>
      </c>
      <c r="LM141" s="2">
        <v>88.45999999999999</v>
      </c>
      <c r="LN141" s="2">
        <v>92.75</v>
      </c>
      <c r="LO141" s="2">
        <v>88.56</v>
      </c>
      <c r="LP141" s="2">
        <v>85.31999999999999</v>
      </c>
      <c r="LQ141" s="2">
        <v>86.62</v>
      </c>
      <c r="LR141" s="2">
        <v>85.27</v>
      </c>
      <c r="LS141" s="2">
        <v>84.88</v>
      </c>
      <c r="LT141" s="2">
        <v>84.56999999999999</v>
      </c>
      <c r="LU141" s="2">
        <v>84.34999999999999</v>
      </c>
      <c r="LV141" s="2">
        <v>84.73999999999999</v>
      </c>
      <c r="MA141" s="2">
        <v>84.5</v>
      </c>
      <c r="MB141" s="2">
        <v>84.93000000000001</v>
      </c>
      <c r="MC141" s="2">
        <v>85.09</v>
      </c>
      <c r="MD141" s="2">
        <v>84.93000000000001</v>
      </c>
      <c r="ME141" s="2">
        <v>84.73</v>
      </c>
      <c r="MF141" s="2">
        <v>84.3</v>
      </c>
      <c r="MG141" s="2">
        <v>85.23</v>
      </c>
      <c r="MH141" s="2">
        <v>85.42</v>
      </c>
      <c r="MI141" s="2">
        <v>86.11</v>
      </c>
      <c r="MJ141" s="2">
        <v>86.2</v>
      </c>
      <c r="MK141" s="2">
        <v>86.77</v>
      </c>
      <c r="ML141" s="2">
        <v>88.43000000000001</v>
      </c>
      <c r="MQ141" s="2">
        <v>89.78</v>
      </c>
      <c r="MR141" s="2">
        <v>91.44</v>
      </c>
      <c r="MS141" s="2">
        <v>92.45999999999999</v>
      </c>
      <c r="MT141" s="2">
        <v>93.01000000000001</v>
      </c>
      <c r="MU141" s="2">
        <v>93.88</v>
      </c>
      <c r="MV141" s="2">
        <v>93.97</v>
      </c>
      <c r="MW141" s="2">
        <v>95</v>
      </c>
      <c r="MX141" s="2">
        <v>95.73</v>
      </c>
      <c r="MY141" s="2">
        <v>96.48</v>
      </c>
      <c r="MZ141" s="2">
        <v>96.25</v>
      </c>
      <c r="NA141" s="2">
        <v>98.2</v>
      </c>
      <c r="NB141" s="2">
        <v>99.26000000000001</v>
      </c>
      <c r="NG141" s="2">
        <v>98.59</v>
      </c>
      <c r="NH141" s="2">
        <v>99.98</v>
      </c>
      <c r="NI141" s="2">
        <v>100.33</v>
      </c>
      <c r="NJ141" s="2">
        <v>100.27</v>
      </c>
      <c r="NK141" s="2">
        <v>100.73</v>
      </c>
      <c r="NL141" s="2">
        <v>100.4</v>
      </c>
      <c r="NM141" s="2">
        <v>100.57</v>
      </c>
      <c r="NN141" s="2">
        <v>100.69</v>
      </c>
      <c r="NO141" s="2">
        <v>100.36</v>
      </c>
      <c r="NP141" s="2">
        <v>98.81</v>
      </c>
      <c r="NQ141" s="2">
        <v>98.87</v>
      </c>
      <c r="NR141" s="2">
        <v>100.58</v>
      </c>
      <c r="NW141" s="2">
        <v>100.17</v>
      </c>
      <c r="NX141" s="2">
        <v>99.68000000000001</v>
      </c>
      <c r="NY141" s="2">
        <v>100.48</v>
      </c>
      <c r="NZ141" s="2">
        <v>100.57</v>
      </c>
      <c r="OA141" s="2">
        <v>100.31</v>
      </c>
      <c r="OB141" s="2">
        <v>100.15</v>
      </c>
      <c r="OC141" s="2">
        <v>99.86</v>
      </c>
      <c r="OD141" s="2">
        <v>100.03</v>
      </c>
      <c r="OE141" s="2">
        <v>99.25</v>
      </c>
      <c r="OF141" s="2">
        <v>98.62</v>
      </c>
      <c r="OG141" s="2">
        <v>98.7</v>
      </c>
      <c r="OH141" s="2">
        <v>99.41</v>
      </c>
      <c r="OM141" s="2">
        <v>99.78</v>
      </c>
      <c r="ON141" s="2">
        <v>99.64</v>
      </c>
      <c r="OO141" s="2">
        <v>99.81</v>
      </c>
      <c r="OP141" s="2">
        <v>100.61</v>
      </c>
      <c r="OQ141" s="2">
        <v>100.08</v>
      </c>
      <c r="OR141" s="2">
        <v>99.78</v>
      </c>
      <c r="OS141" s="2">
        <v>100.46</v>
      </c>
      <c r="OT141" s="2">
        <v>100.49</v>
      </c>
      <c r="OU141" s="2">
        <v>100</v>
      </c>
      <c r="OV141" s="2">
        <v>99.67</v>
      </c>
      <c r="OW141" s="2">
        <v>98.88</v>
      </c>
      <c r="OX141" s="2">
        <v>100.34</v>
      </c>
      <c r="PC141" s="2">
        <v>99.53</v>
      </c>
      <c r="PD141" s="2">
        <v>99.61</v>
      </c>
      <c r="PE141" s="2">
        <v>99.45</v>
      </c>
      <c r="PF141" s="2">
        <v>100.2</v>
      </c>
      <c r="PG141" s="2">
        <v>100.1</v>
      </c>
      <c r="PH141" s="2">
        <v>99.78</v>
      </c>
      <c r="PI141" s="2">
        <v>99.76000000000001</v>
      </c>
    </row>
    <row r="142">
      <c r="A142" t="inlineStr">
        <is>
          <t>A130399520V</t>
        </is>
      </c>
      <c r="B142" t="inlineStr">
        <is>
          <t>Index Numbers ;  Cleaning and maintenance products ;  Australia ;</t>
        </is>
      </c>
      <c r="C142" t="inlineStr">
        <is>
          <t>Month</t>
        </is>
      </c>
      <c r="D142" t="inlineStr">
        <is>
          <t>Index Numbers</t>
        </is>
      </c>
      <c r="E142" t="inlineStr">
        <is>
          <t>Original</t>
        </is>
      </c>
      <c r="F142" t="inlineStr">
        <is>
          <t>640103.xlsx</t>
        </is>
      </c>
      <c r="G142" t="inlineStr">
        <is>
          <t>2017-09</t>
        </is>
      </c>
      <c r="H142" t="inlineStr">
        <is>
          <t>2026-07</t>
        </is>
      </c>
      <c r="JW142" s="2">
        <v>79.31999999999999</v>
      </c>
      <c r="JX142" s="2">
        <v>79.91</v>
      </c>
      <c r="JY142" s="2">
        <v>78.44</v>
      </c>
      <c r="JZ142" s="2">
        <v>79.58</v>
      </c>
      <c r="KE142" s="2">
        <v>78.34</v>
      </c>
      <c r="KF142" s="2">
        <v>78.33</v>
      </c>
      <c r="KG142" s="2">
        <v>78.84999999999999</v>
      </c>
      <c r="KH142" s="2">
        <v>77.79000000000001</v>
      </c>
      <c r="KI142" s="2">
        <v>76.44</v>
      </c>
      <c r="KJ142" s="2">
        <v>76.67</v>
      </c>
      <c r="KK142" s="2">
        <v>77.62</v>
      </c>
      <c r="KL142" s="2">
        <v>77.34</v>
      </c>
      <c r="KM142" s="2">
        <v>76.83</v>
      </c>
      <c r="KN142" s="2">
        <v>77.84</v>
      </c>
      <c r="KO142" s="2">
        <v>77.62</v>
      </c>
      <c r="KP142" s="2">
        <v>79.44</v>
      </c>
      <c r="KU142" s="2">
        <v>77.26000000000001</v>
      </c>
      <c r="KV142" s="2">
        <v>78.22</v>
      </c>
      <c r="KW142" s="2">
        <v>78.56999999999999</v>
      </c>
      <c r="KX142" s="2">
        <v>79.22</v>
      </c>
      <c r="KY142" s="2">
        <v>78.51000000000001</v>
      </c>
      <c r="KZ142" s="2">
        <v>77.8</v>
      </c>
      <c r="LA142" s="2">
        <v>79.73999999999999</v>
      </c>
      <c r="LB142" s="2">
        <v>78.75</v>
      </c>
      <c r="LC142" s="2">
        <v>78.27</v>
      </c>
      <c r="LD142" s="2">
        <v>79.23</v>
      </c>
      <c r="LE142" s="2">
        <v>79.66</v>
      </c>
      <c r="LF142" s="2">
        <v>81.58</v>
      </c>
      <c r="LK142" s="2">
        <v>78.88</v>
      </c>
      <c r="LL142" s="2">
        <v>80.78</v>
      </c>
      <c r="LM142" s="2">
        <v>85.09999999999999</v>
      </c>
      <c r="LN142" s="2">
        <v>89.51000000000001</v>
      </c>
      <c r="LO142" s="2">
        <v>84.81999999999999</v>
      </c>
      <c r="LP142" s="2">
        <v>82.27</v>
      </c>
      <c r="LQ142" s="2">
        <v>82.26000000000001</v>
      </c>
      <c r="LR142" s="2">
        <v>81.79000000000001</v>
      </c>
      <c r="LS142" s="2">
        <v>81.02</v>
      </c>
      <c r="LT142" s="2">
        <v>81.39</v>
      </c>
      <c r="LU142" s="2">
        <v>82.56999999999999</v>
      </c>
      <c r="LV142" s="2">
        <v>84.40000000000001</v>
      </c>
      <c r="MA142" s="2">
        <v>81.73</v>
      </c>
      <c r="MB142" s="2">
        <v>82.47</v>
      </c>
      <c r="MC142" s="2">
        <v>81.29000000000001</v>
      </c>
      <c r="MD142" s="2">
        <v>82.13</v>
      </c>
      <c r="ME142" s="2">
        <v>82.5</v>
      </c>
      <c r="MF142" s="2">
        <v>81.83</v>
      </c>
      <c r="MG142" s="2">
        <v>82.8</v>
      </c>
      <c r="MH142" s="2">
        <v>82.98</v>
      </c>
      <c r="MI142" s="2">
        <v>82.37</v>
      </c>
      <c r="MJ142" s="2">
        <v>83.04000000000001</v>
      </c>
      <c r="MK142" s="2">
        <v>83.68000000000001</v>
      </c>
      <c r="ML142" s="2">
        <v>86.34999999999999</v>
      </c>
      <c r="MQ142" s="2">
        <v>86.09999999999999</v>
      </c>
      <c r="MR142" s="2">
        <v>88.28</v>
      </c>
      <c r="MS142" s="2">
        <v>89.09999999999999</v>
      </c>
      <c r="MT142" s="2">
        <v>90.22</v>
      </c>
      <c r="MU142" s="2">
        <v>91.44</v>
      </c>
      <c r="MV142" s="2">
        <v>91.02</v>
      </c>
      <c r="MW142" s="2">
        <v>91.68000000000001</v>
      </c>
      <c r="MX142" s="2">
        <v>92.26000000000001</v>
      </c>
      <c r="MY142" s="2">
        <v>93.23999999999999</v>
      </c>
      <c r="MZ142" s="2">
        <v>93.23999999999999</v>
      </c>
      <c r="NA142" s="2">
        <v>98.98999999999999</v>
      </c>
      <c r="NB142" s="2">
        <v>99.84</v>
      </c>
      <c r="NG142" s="2">
        <v>98.2</v>
      </c>
      <c r="NH142" s="2">
        <v>98.54000000000001</v>
      </c>
      <c r="NI142" s="2">
        <v>99.02</v>
      </c>
      <c r="NJ142" s="2">
        <v>98.87</v>
      </c>
      <c r="NK142" s="2">
        <v>99.62</v>
      </c>
      <c r="NL142" s="2">
        <v>99.25</v>
      </c>
      <c r="NM142" s="2">
        <v>100.15</v>
      </c>
      <c r="NN142" s="2">
        <v>99.63</v>
      </c>
      <c r="NO142" s="2">
        <v>100.65</v>
      </c>
      <c r="NP142" s="2">
        <v>100.92</v>
      </c>
      <c r="NQ142" s="2">
        <v>100.64</v>
      </c>
      <c r="NR142" s="2">
        <v>102.03</v>
      </c>
      <c r="NW142" s="2">
        <v>99.92</v>
      </c>
      <c r="NX142" s="2">
        <v>100.26</v>
      </c>
      <c r="NY142" s="2">
        <v>100.78</v>
      </c>
      <c r="NZ142" s="2">
        <v>99.84999999999999</v>
      </c>
      <c r="OA142" s="2">
        <v>98.95</v>
      </c>
      <c r="OB142" s="2">
        <v>98.81</v>
      </c>
      <c r="OC142" s="2">
        <v>99.77</v>
      </c>
      <c r="OD142" s="2">
        <v>99.19</v>
      </c>
      <c r="OE142" s="2">
        <v>98.48999999999999</v>
      </c>
      <c r="OF142" s="2">
        <v>99.11</v>
      </c>
      <c r="OG142" s="2">
        <v>97.87</v>
      </c>
      <c r="OH142" s="2">
        <v>100.23</v>
      </c>
      <c r="OM142" s="2">
        <v>98.84999999999999</v>
      </c>
      <c r="ON142" s="2">
        <v>99.04000000000001</v>
      </c>
      <c r="OO142" s="2">
        <v>99.37</v>
      </c>
      <c r="OP142" s="2">
        <v>98.59999999999999</v>
      </c>
      <c r="OQ142" s="2">
        <v>98.78</v>
      </c>
      <c r="OR142" s="2">
        <v>99.19</v>
      </c>
      <c r="OS142" s="2">
        <v>100.99</v>
      </c>
      <c r="OT142" s="2">
        <v>99.81</v>
      </c>
      <c r="OU142" s="2">
        <v>100</v>
      </c>
      <c r="OV142" s="2">
        <v>100.28</v>
      </c>
      <c r="OW142" s="2">
        <v>99.26000000000001</v>
      </c>
      <c r="OX142" s="2">
        <v>102.11</v>
      </c>
      <c r="PC142" s="2">
        <v>100.03</v>
      </c>
      <c r="PD142" s="2">
        <v>99.23</v>
      </c>
      <c r="PE142" s="2">
        <v>99.36</v>
      </c>
      <c r="PF142" s="2">
        <v>99.63</v>
      </c>
      <c r="PG142" s="2">
        <v>99.67</v>
      </c>
      <c r="PH142" s="2">
        <v>99.29000000000001</v>
      </c>
      <c r="PI142" s="2">
        <v>101.95</v>
      </c>
    </row>
    <row r="143">
      <c r="A143" t="inlineStr">
        <is>
          <t>A130393531T</t>
        </is>
      </c>
      <c r="B143" t="inlineStr">
        <is>
          <t>Index Numbers ;  Personal care products ;  Australia ;</t>
        </is>
      </c>
      <c r="C143" t="inlineStr">
        <is>
          <t>Month</t>
        </is>
      </c>
      <c r="D143" t="inlineStr">
        <is>
          <t>Index Numbers</t>
        </is>
      </c>
      <c r="E143" t="inlineStr">
        <is>
          <t>Original</t>
        </is>
      </c>
      <c r="F143" t="inlineStr">
        <is>
          <t>640103.xlsx</t>
        </is>
      </c>
      <c r="G143" t="inlineStr">
        <is>
          <t>2017-09</t>
        </is>
      </c>
      <c r="H143" t="inlineStr">
        <is>
          <t>2026-07</t>
        </is>
      </c>
      <c r="JW143" s="2">
        <v>86.45</v>
      </c>
      <c r="JX143" s="2">
        <v>84.54000000000001</v>
      </c>
      <c r="JY143" s="2">
        <v>85.12</v>
      </c>
      <c r="JZ143" s="2">
        <v>86.56999999999999</v>
      </c>
      <c r="KE143" s="2">
        <v>86.90000000000001</v>
      </c>
      <c r="KF143" s="2">
        <v>85.13</v>
      </c>
      <c r="KG143" s="2">
        <v>85.83</v>
      </c>
      <c r="KH143" s="2">
        <v>84.69</v>
      </c>
      <c r="KI143" s="2">
        <v>84.68000000000001</v>
      </c>
      <c r="KJ143" s="2">
        <v>85.03</v>
      </c>
      <c r="KK143" s="2">
        <v>85.11</v>
      </c>
      <c r="KL143" s="2">
        <v>84.53</v>
      </c>
      <c r="KM143" s="2">
        <v>84.56999999999999</v>
      </c>
      <c r="KN143" s="2">
        <v>82.86</v>
      </c>
      <c r="KO143" s="2">
        <v>83.56</v>
      </c>
      <c r="KP143" s="2">
        <v>84.75</v>
      </c>
      <c r="KU143" s="2">
        <v>85.23</v>
      </c>
      <c r="KV143" s="2">
        <v>84.86</v>
      </c>
      <c r="KW143" s="2">
        <v>84.45999999999999</v>
      </c>
      <c r="KX143" s="2">
        <v>85.98</v>
      </c>
      <c r="KY143" s="2">
        <v>85.52</v>
      </c>
      <c r="KZ143" s="2">
        <v>84.51000000000001</v>
      </c>
      <c r="LA143" s="2">
        <v>85.98</v>
      </c>
      <c r="LB143" s="2">
        <v>84.65000000000001</v>
      </c>
      <c r="LC143" s="2">
        <v>84.66</v>
      </c>
      <c r="LD143" s="2">
        <v>83.93000000000001</v>
      </c>
      <c r="LE143" s="2">
        <v>85.31999999999999</v>
      </c>
      <c r="LF143" s="2">
        <v>84.90000000000001</v>
      </c>
      <c r="LK143" s="2">
        <v>86.04000000000001</v>
      </c>
      <c r="LL143" s="2">
        <v>85.02</v>
      </c>
      <c r="LM143" s="2">
        <v>89.61</v>
      </c>
      <c r="LN143" s="2">
        <v>94.22</v>
      </c>
      <c r="LO143" s="2">
        <v>89.81999999999999</v>
      </c>
      <c r="LP143" s="2">
        <v>86.64</v>
      </c>
      <c r="LQ143" s="2">
        <v>88.14</v>
      </c>
      <c r="LR143" s="2">
        <v>87.59</v>
      </c>
      <c r="LS143" s="2">
        <v>87.48999999999999</v>
      </c>
      <c r="LT143" s="2">
        <v>86.3</v>
      </c>
      <c r="LU143" s="2">
        <v>86.04000000000001</v>
      </c>
      <c r="LV143" s="2">
        <v>86.97</v>
      </c>
      <c r="MA143" s="2">
        <v>87.23</v>
      </c>
      <c r="MB143" s="2">
        <v>86.72</v>
      </c>
      <c r="MC143" s="2">
        <v>86.56</v>
      </c>
      <c r="MD143" s="2">
        <v>87.14</v>
      </c>
      <c r="ME143" s="2">
        <v>86.33</v>
      </c>
      <c r="MF143" s="2">
        <v>86.09999999999999</v>
      </c>
      <c r="MG143" s="2">
        <v>86.68000000000001</v>
      </c>
      <c r="MH143" s="2">
        <v>87.8</v>
      </c>
      <c r="MI143" s="2">
        <v>88.2</v>
      </c>
      <c r="MJ143" s="2">
        <v>87.18000000000001</v>
      </c>
      <c r="MK143" s="2">
        <v>87.40000000000001</v>
      </c>
      <c r="ML143" s="2">
        <v>88.86</v>
      </c>
      <c r="MQ143" s="2">
        <v>89.98</v>
      </c>
      <c r="MR143" s="2">
        <v>88.97</v>
      </c>
      <c r="MS143" s="2">
        <v>90.42</v>
      </c>
      <c r="MT143" s="2">
        <v>91.67</v>
      </c>
      <c r="MU143" s="2">
        <v>92.25</v>
      </c>
      <c r="MV143" s="2">
        <v>92.09</v>
      </c>
      <c r="MW143" s="2">
        <v>92.78</v>
      </c>
      <c r="MX143" s="2">
        <v>94.51000000000001</v>
      </c>
      <c r="MY143" s="2">
        <v>94.83</v>
      </c>
      <c r="MZ143" s="2">
        <v>94.05</v>
      </c>
      <c r="NA143" s="2">
        <v>94.86</v>
      </c>
      <c r="NB143" s="2">
        <v>97.38</v>
      </c>
      <c r="NG143" s="2">
        <v>96.23999999999999</v>
      </c>
      <c r="NH143" s="2">
        <v>97.8</v>
      </c>
      <c r="NI143" s="2">
        <v>98.2</v>
      </c>
      <c r="NJ143" s="2">
        <v>98.25</v>
      </c>
      <c r="NK143" s="2">
        <v>98.48999999999999</v>
      </c>
      <c r="NL143" s="2">
        <v>98.43000000000001</v>
      </c>
      <c r="NM143" s="2">
        <v>98.48</v>
      </c>
      <c r="NN143" s="2">
        <v>98.83</v>
      </c>
      <c r="NO143" s="2">
        <v>99.23</v>
      </c>
      <c r="NP143" s="2">
        <v>96.72</v>
      </c>
      <c r="NQ143" s="2">
        <v>97.09999999999999</v>
      </c>
      <c r="NR143" s="2">
        <v>100.1</v>
      </c>
      <c r="NW143" s="2">
        <v>99.91</v>
      </c>
      <c r="NX143" s="2">
        <v>98.38</v>
      </c>
      <c r="NY143" s="2">
        <v>99.78</v>
      </c>
      <c r="NZ143" s="2">
        <v>98.98</v>
      </c>
      <c r="OA143" s="2">
        <v>99.11</v>
      </c>
      <c r="OB143" s="2">
        <v>99.04000000000001</v>
      </c>
      <c r="OC143" s="2">
        <v>98.73</v>
      </c>
      <c r="OD143" s="2">
        <v>99.11</v>
      </c>
      <c r="OE143" s="2">
        <v>97.84999999999999</v>
      </c>
      <c r="OF143" s="2">
        <v>97.11</v>
      </c>
      <c r="OG143" s="2">
        <v>96.81</v>
      </c>
      <c r="OH143" s="2">
        <v>97.86</v>
      </c>
      <c r="OM143" s="2">
        <v>99.59999999999999</v>
      </c>
      <c r="ON143" s="2">
        <v>99.2</v>
      </c>
      <c r="OO143" s="2">
        <v>99.29000000000001</v>
      </c>
      <c r="OP143" s="2">
        <v>100.68</v>
      </c>
      <c r="OQ143" s="2">
        <v>99.20999999999999</v>
      </c>
      <c r="OR143" s="2">
        <v>98.7</v>
      </c>
      <c r="OS143" s="2">
        <v>100.03</v>
      </c>
      <c r="OT143" s="2">
        <v>100.36</v>
      </c>
      <c r="OU143" s="2">
        <v>100</v>
      </c>
      <c r="OV143" s="2">
        <v>99.18000000000001</v>
      </c>
      <c r="OW143" s="2">
        <v>98.55</v>
      </c>
      <c r="OX143" s="2">
        <v>101.34</v>
      </c>
      <c r="PC143" s="2">
        <v>100.77</v>
      </c>
      <c r="PD143" s="2">
        <v>100.98</v>
      </c>
      <c r="PE143" s="2">
        <v>100.05</v>
      </c>
      <c r="PF143" s="2">
        <v>101.54</v>
      </c>
      <c r="PG143" s="2">
        <v>100.57</v>
      </c>
      <c r="PH143" s="2">
        <v>100.29</v>
      </c>
      <c r="PI143" s="2">
        <v>99.15000000000001</v>
      </c>
    </row>
    <row r="144">
      <c r="A144" t="inlineStr">
        <is>
          <t>A130391116W</t>
        </is>
      </c>
      <c r="B144" t="inlineStr">
        <is>
          <t>Index Numbers ;  Other non-durable household products ;  Australia ;</t>
        </is>
      </c>
      <c r="C144" t="inlineStr">
        <is>
          <t>Month</t>
        </is>
      </c>
      <c r="D144" t="inlineStr">
        <is>
          <t>Index Numbers</t>
        </is>
      </c>
      <c r="E144" t="inlineStr">
        <is>
          <t>Original</t>
        </is>
      </c>
      <c r="F144" t="inlineStr">
        <is>
          <t>640103.xlsx</t>
        </is>
      </c>
      <c r="G144" t="inlineStr">
        <is>
          <t>2017-09</t>
        </is>
      </c>
      <c r="H144" t="inlineStr">
        <is>
          <t>2026-07</t>
        </is>
      </c>
      <c r="JW144" s="2">
        <v>81.98999999999999</v>
      </c>
      <c r="JX144" s="2">
        <v>81.45999999999999</v>
      </c>
      <c r="JY144" s="2">
        <v>81.89</v>
      </c>
      <c r="JZ144" s="2">
        <v>81.54000000000001</v>
      </c>
      <c r="KE144" s="2">
        <v>82.18000000000001</v>
      </c>
      <c r="KF144" s="2">
        <v>81.67</v>
      </c>
      <c r="KG144" s="2">
        <v>82.28</v>
      </c>
      <c r="KH144" s="2">
        <v>82.26000000000001</v>
      </c>
      <c r="KI144" s="2">
        <v>82.18000000000001</v>
      </c>
      <c r="KJ144" s="2">
        <v>81.53</v>
      </c>
      <c r="KK144" s="2">
        <v>81.70999999999999</v>
      </c>
      <c r="KL144" s="2">
        <v>81.69</v>
      </c>
      <c r="KM144" s="2">
        <v>81.37</v>
      </c>
      <c r="KN144" s="2">
        <v>81.16</v>
      </c>
      <c r="KO144" s="2">
        <v>81.87</v>
      </c>
      <c r="KP144" s="2">
        <v>81.11</v>
      </c>
      <c r="KU144" s="2">
        <v>80.84999999999999</v>
      </c>
      <c r="KV144" s="2">
        <v>81.37</v>
      </c>
      <c r="KW144" s="2">
        <v>81.68000000000001</v>
      </c>
      <c r="KX144" s="2">
        <v>82.14</v>
      </c>
      <c r="KY144" s="2">
        <v>81.77</v>
      </c>
      <c r="KZ144" s="2">
        <v>81.17</v>
      </c>
      <c r="LA144" s="2">
        <v>81.92</v>
      </c>
      <c r="LB144" s="2">
        <v>82.05</v>
      </c>
      <c r="LC144" s="2">
        <v>81.3</v>
      </c>
      <c r="LD144" s="2">
        <v>82.02</v>
      </c>
      <c r="LE144" s="2">
        <v>82.67</v>
      </c>
      <c r="LF144" s="2">
        <v>81.87</v>
      </c>
      <c r="LK144" s="2">
        <v>81.63</v>
      </c>
      <c r="LL144" s="2">
        <v>82.42</v>
      </c>
      <c r="LM144" s="2">
        <v>88.43000000000001</v>
      </c>
      <c r="LN144" s="2">
        <v>92.45999999999999</v>
      </c>
      <c r="LO144" s="2">
        <v>88.52</v>
      </c>
      <c r="LP144" s="2">
        <v>85.09</v>
      </c>
      <c r="LQ144" s="2">
        <v>86.48999999999999</v>
      </c>
      <c r="LR144" s="2">
        <v>84.39</v>
      </c>
      <c r="LS144" s="2">
        <v>83.86</v>
      </c>
      <c r="LT144" s="2">
        <v>84.02</v>
      </c>
      <c r="LU144" s="2">
        <v>83.56</v>
      </c>
      <c r="LV144" s="2">
        <v>83.31</v>
      </c>
      <c r="MA144" s="2">
        <v>83.2</v>
      </c>
      <c r="MB144" s="2">
        <v>84.2</v>
      </c>
      <c r="MC144" s="2">
        <v>84.84</v>
      </c>
      <c r="MD144" s="2">
        <v>83.98</v>
      </c>
      <c r="ME144" s="2">
        <v>84.09</v>
      </c>
      <c r="MF144" s="2">
        <v>83.56</v>
      </c>
      <c r="MG144" s="2">
        <v>84.73</v>
      </c>
      <c r="MH144" s="2">
        <v>84.28</v>
      </c>
      <c r="MI144" s="2">
        <v>85.41</v>
      </c>
      <c r="MJ144" s="2">
        <v>86.15000000000001</v>
      </c>
      <c r="MK144" s="2">
        <v>86.95</v>
      </c>
      <c r="ML144" s="2">
        <v>88.56</v>
      </c>
      <c r="MQ144" s="2">
        <v>90.36</v>
      </c>
      <c r="MR144" s="2">
        <v>93.75</v>
      </c>
      <c r="MS144" s="2">
        <v>94.5</v>
      </c>
      <c r="MT144" s="2">
        <v>94.47</v>
      </c>
      <c r="MU144" s="2">
        <v>95.48</v>
      </c>
      <c r="MV144" s="2">
        <v>95.83</v>
      </c>
      <c r="MW144" s="2">
        <v>97.16</v>
      </c>
      <c r="MX144" s="2">
        <v>97.23</v>
      </c>
      <c r="MY144" s="2">
        <v>98.25</v>
      </c>
      <c r="MZ144" s="2">
        <v>98.34</v>
      </c>
      <c r="NA144" s="2">
        <v>100.39</v>
      </c>
      <c r="NB144" s="2">
        <v>100.46</v>
      </c>
      <c r="NG144" s="2">
        <v>100.31</v>
      </c>
      <c r="NH144" s="2">
        <v>101.76</v>
      </c>
      <c r="NI144" s="2">
        <v>102.07</v>
      </c>
      <c r="NJ144" s="2">
        <v>101.94</v>
      </c>
      <c r="NK144" s="2">
        <v>102.5</v>
      </c>
      <c r="NL144" s="2">
        <v>101.98</v>
      </c>
      <c r="NM144" s="2">
        <v>102.11</v>
      </c>
      <c r="NN144" s="2">
        <v>102.18</v>
      </c>
      <c r="NO144" s="2">
        <v>101.09</v>
      </c>
      <c r="NP144" s="2">
        <v>99.86</v>
      </c>
      <c r="NQ144" s="2">
        <v>99.76000000000001</v>
      </c>
      <c r="NR144" s="2">
        <v>100.64</v>
      </c>
      <c r="NW144" s="2">
        <v>100.38</v>
      </c>
      <c r="NX144" s="2">
        <v>100.48</v>
      </c>
      <c r="NY144" s="2">
        <v>100.91</v>
      </c>
      <c r="NZ144" s="2">
        <v>101.82</v>
      </c>
      <c r="OA144" s="2">
        <v>101.4</v>
      </c>
      <c r="OB144" s="2">
        <v>101.17</v>
      </c>
      <c r="OC144" s="2">
        <v>100.66</v>
      </c>
      <c r="OD144" s="2">
        <v>100.83</v>
      </c>
      <c r="OE144" s="2">
        <v>100.36</v>
      </c>
      <c r="OF144" s="2">
        <v>99.58</v>
      </c>
      <c r="OG144" s="2">
        <v>100.17</v>
      </c>
      <c r="OH144" s="2">
        <v>100.34</v>
      </c>
      <c r="OM144" s="2">
        <v>100.08</v>
      </c>
      <c r="ON144" s="2">
        <v>100.05</v>
      </c>
      <c r="OO144" s="2">
        <v>100.26</v>
      </c>
      <c r="OP144" s="2">
        <v>100.94</v>
      </c>
      <c r="OQ144" s="2">
        <v>100.92</v>
      </c>
      <c r="OR144" s="2">
        <v>100.64</v>
      </c>
      <c r="OS144" s="2">
        <v>100.66</v>
      </c>
      <c r="OT144" s="2">
        <v>100.71</v>
      </c>
      <c r="OU144" s="2">
        <v>100</v>
      </c>
      <c r="OV144" s="2">
        <v>99.89</v>
      </c>
      <c r="OW144" s="2">
        <v>99.04000000000001</v>
      </c>
      <c r="OX144" s="2">
        <v>99.33</v>
      </c>
      <c r="PC144" s="2">
        <v>98.58</v>
      </c>
      <c r="PD144" s="2">
        <v>98.73</v>
      </c>
      <c r="PE144" s="2">
        <v>99.05</v>
      </c>
      <c r="PF144" s="2">
        <v>99.39</v>
      </c>
      <c r="PG144" s="2">
        <v>99.86</v>
      </c>
      <c r="PH144" s="2">
        <v>99.52</v>
      </c>
      <c r="PI144" s="2">
        <v>99.78</v>
      </c>
    </row>
    <row r="145">
      <c r="A145" t="inlineStr">
        <is>
          <t>A130397339R</t>
        </is>
      </c>
      <c r="B145" t="inlineStr">
        <is>
          <t>Index Numbers ;  Domestic and household services ;  Australia ;</t>
        </is>
      </c>
      <c r="C145" t="inlineStr">
        <is>
          <t>Month</t>
        </is>
      </c>
      <c r="D145" t="inlineStr">
        <is>
          <t>Index Numbers</t>
        </is>
      </c>
      <c r="E145" t="inlineStr">
        <is>
          <t>Original</t>
        </is>
      </c>
      <c r="F145" t="inlineStr">
        <is>
          <t>640103.xlsx</t>
        </is>
      </c>
      <c r="G145" t="inlineStr">
        <is>
          <t>2024-04</t>
        </is>
      </c>
      <c r="H145" t="inlineStr">
        <is>
          <t>2026-07</t>
        </is>
      </c>
      <c r="NZ145" s="2">
        <v>92.15000000000001</v>
      </c>
      <c r="OA145" s="2">
        <v>92.09999999999999</v>
      </c>
      <c r="OB145" s="2">
        <v>92.51000000000001</v>
      </c>
      <c r="OC145" s="2">
        <v>93.05</v>
      </c>
      <c r="OD145" s="2">
        <v>94.92</v>
      </c>
      <c r="OE145" s="2">
        <v>95.62</v>
      </c>
      <c r="OF145" s="2">
        <v>96.02</v>
      </c>
      <c r="OG145" s="2">
        <v>96.31</v>
      </c>
      <c r="OH145" s="2">
        <v>96.59999999999999</v>
      </c>
      <c r="OM145" s="2">
        <v>96.56</v>
      </c>
      <c r="ON145" s="2">
        <v>96.59</v>
      </c>
      <c r="OO145" s="2">
        <v>97.23999999999999</v>
      </c>
      <c r="OP145" s="2">
        <v>97.08</v>
      </c>
      <c r="OQ145" s="2">
        <v>96.97</v>
      </c>
      <c r="OR145" s="2">
        <v>97.48</v>
      </c>
      <c r="OS145" s="2">
        <v>98.08</v>
      </c>
      <c r="OT145" s="2">
        <v>99.84999999999999</v>
      </c>
      <c r="OU145" s="2">
        <v>100</v>
      </c>
      <c r="OV145" s="2">
        <v>100.55</v>
      </c>
      <c r="OW145" s="2">
        <v>101.1</v>
      </c>
      <c r="OX145" s="2">
        <v>101.59</v>
      </c>
      <c r="PC145" s="2">
        <v>101.6</v>
      </c>
      <c r="PD145" s="2">
        <v>101.21</v>
      </c>
      <c r="PE145" s="2">
        <v>102.02</v>
      </c>
      <c r="PF145" s="2">
        <v>102.11</v>
      </c>
      <c r="PG145" s="2">
        <v>102.05</v>
      </c>
      <c r="PH145" s="2">
        <v>102.37</v>
      </c>
      <c r="PI145" s="2">
        <v>102.86</v>
      </c>
    </row>
    <row r="146">
      <c r="A146" t="inlineStr">
        <is>
          <t>A130390059V</t>
        </is>
      </c>
      <c r="B146" t="inlineStr">
        <is>
          <t>Index Numbers ;  Child care ;  Australia ;</t>
        </is>
      </c>
      <c r="C146" t="inlineStr">
        <is>
          <t>Month</t>
        </is>
      </c>
      <c r="D146" t="inlineStr">
        <is>
          <t>Index Numbers</t>
        </is>
      </c>
      <c r="E146" t="inlineStr">
        <is>
          <t>Original</t>
        </is>
      </c>
      <c r="F146" t="inlineStr">
        <is>
          <t>640103.xlsx</t>
        </is>
      </c>
      <c r="G146" t="inlineStr">
        <is>
          <t>2024-04</t>
        </is>
      </c>
      <c r="H146" t="inlineStr">
        <is>
          <t>2026-07</t>
        </is>
      </c>
      <c r="NZ146" s="2">
        <v>83.79000000000001</v>
      </c>
      <c r="OA146" s="2">
        <v>83.47</v>
      </c>
      <c r="OB146" s="2">
        <v>84.20999999999999</v>
      </c>
      <c r="OC146" s="2">
        <v>84.43000000000001</v>
      </c>
      <c r="OD146" s="2">
        <v>89.39</v>
      </c>
      <c r="OE146" s="2">
        <v>90.69</v>
      </c>
      <c r="OF146" s="2">
        <v>91.2</v>
      </c>
      <c r="OG146" s="2">
        <v>91.45</v>
      </c>
      <c r="OH146" s="2">
        <v>91.84999999999999</v>
      </c>
      <c r="OM146" s="2">
        <v>91.51000000000001</v>
      </c>
      <c r="ON146" s="2">
        <v>92</v>
      </c>
      <c r="OO146" s="2">
        <v>93.58</v>
      </c>
      <c r="OP146" s="2">
        <v>93.22</v>
      </c>
      <c r="OQ146" s="2">
        <v>92.54000000000001</v>
      </c>
      <c r="OR146" s="2">
        <v>94.45</v>
      </c>
      <c r="OS146" s="2">
        <v>94.87</v>
      </c>
      <c r="OT146" s="2">
        <v>98.98</v>
      </c>
      <c r="OU146" s="2">
        <v>100</v>
      </c>
      <c r="OV146" s="2">
        <v>101.09</v>
      </c>
      <c r="OW146" s="2">
        <v>101.66</v>
      </c>
      <c r="OX146" s="2">
        <v>102.16</v>
      </c>
      <c r="PC146" s="2">
        <v>101.99</v>
      </c>
      <c r="PD146" s="2">
        <v>100.35</v>
      </c>
      <c r="PE146" s="2">
        <v>102.06</v>
      </c>
      <c r="PF146" s="2">
        <v>101.64</v>
      </c>
      <c r="PG146" s="2">
        <v>101.26</v>
      </c>
      <c r="PH146" s="2">
        <v>101.6</v>
      </c>
      <c r="PI146" s="2">
        <v>101.79</v>
      </c>
    </row>
    <row r="147">
      <c r="A147" t="inlineStr">
        <is>
          <t>A130393545F</t>
        </is>
      </c>
      <c r="B147" t="inlineStr">
        <is>
          <t>Index Numbers ;  Hairdressing and personal grooming services ;  Australia ;</t>
        </is>
      </c>
      <c r="C147" t="inlineStr">
        <is>
          <t>Month</t>
        </is>
      </c>
      <c r="D147" t="inlineStr">
        <is>
          <t>Index Numbers</t>
        </is>
      </c>
      <c r="E147" t="inlineStr">
        <is>
          <t>Original</t>
        </is>
      </c>
      <c r="F147" t="inlineStr">
        <is>
          <t>640103.xlsx</t>
        </is>
      </c>
      <c r="G147" t="inlineStr">
        <is>
          <t>2024-04</t>
        </is>
      </c>
      <c r="H147" t="inlineStr">
        <is>
          <t>2026-07</t>
        </is>
      </c>
      <c r="NZ147" s="2">
        <v>95.16</v>
      </c>
      <c r="OA147" s="2">
        <v>95.59</v>
      </c>
      <c r="OB147" s="2">
        <v>95.97</v>
      </c>
      <c r="OC147" s="2">
        <v>96.59999999999999</v>
      </c>
      <c r="OD147" s="2">
        <v>97.09999999999999</v>
      </c>
      <c r="OE147" s="2">
        <v>97.51000000000001</v>
      </c>
      <c r="OF147" s="2">
        <v>97.67</v>
      </c>
      <c r="OG147" s="2">
        <v>98.02</v>
      </c>
      <c r="OH147" s="2">
        <v>98.17</v>
      </c>
      <c r="OM147" s="2">
        <v>98.3</v>
      </c>
      <c r="ON147" s="2">
        <v>98.27</v>
      </c>
      <c r="OO147" s="2">
        <v>98.40000000000001</v>
      </c>
      <c r="OP147" s="2">
        <v>98.45</v>
      </c>
      <c r="OQ147" s="2">
        <v>98.72</v>
      </c>
      <c r="OR147" s="2">
        <v>98.73</v>
      </c>
      <c r="OS147" s="2">
        <v>99.17</v>
      </c>
      <c r="OT147" s="2">
        <v>99.45</v>
      </c>
      <c r="OU147" s="2">
        <v>100</v>
      </c>
      <c r="OV147" s="2">
        <v>100.32</v>
      </c>
      <c r="OW147" s="2">
        <v>100.77</v>
      </c>
      <c r="OX147" s="2">
        <v>101.28</v>
      </c>
      <c r="PC147" s="2">
        <v>101.47</v>
      </c>
      <c r="PD147" s="2">
        <v>101.74</v>
      </c>
      <c r="PE147" s="2">
        <v>102.27</v>
      </c>
      <c r="PF147" s="2">
        <v>102.3</v>
      </c>
      <c r="PG147" s="2">
        <v>102.46</v>
      </c>
      <c r="PH147" s="2">
        <v>102.88</v>
      </c>
      <c r="PI147" s="2">
        <v>103.54</v>
      </c>
    </row>
    <row r="148">
      <c r="A148" t="inlineStr">
        <is>
          <t>A130395197J</t>
        </is>
      </c>
      <c r="B148" t="inlineStr">
        <is>
          <t>Index Numbers ;  Other household services ;  Australia ;</t>
        </is>
      </c>
      <c r="C148" t="inlineStr">
        <is>
          <t>Month</t>
        </is>
      </c>
      <c r="D148" t="inlineStr">
        <is>
          <t>Index Numbers</t>
        </is>
      </c>
      <c r="E148" t="inlineStr">
        <is>
          <t>Original</t>
        </is>
      </c>
      <c r="F148" t="inlineStr">
        <is>
          <t>640103.xlsx</t>
        </is>
      </c>
      <c r="G148" t="inlineStr">
        <is>
          <t>2024-04</t>
        </is>
      </c>
      <c r="H148" t="inlineStr">
        <is>
          <t>2026-07</t>
        </is>
      </c>
      <c r="NZ148" s="2">
        <v>97.78</v>
      </c>
      <c r="OA148" s="2">
        <v>97.29000000000001</v>
      </c>
      <c r="OB148" s="2">
        <v>97.29000000000001</v>
      </c>
      <c r="OC148" s="2">
        <v>98.06999999999999</v>
      </c>
      <c r="OD148" s="2">
        <v>98.14</v>
      </c>
      <c r="OE148" s="2">
        <v>98.52</v>
      </c>
      <c r="OF148" s="2">
        <v>99.20999999999999</v>
      </c>
      <c r="OG148" s="2">
        <v>99.43000000000001</v>
      </c>
      <c r="OH148" s="2">
        <v>99.81</v>
      </c>
      <c r="OM148" s="2">
        <v>99.84999999999999</v>
      </c>
      <c r="ON148" s="2">
        <v>99.44</v>
      </c>
      <c r="OO148" s="2">
        <v>99.79000000000001</v>
      </c>
      <c r="OP148" s="2">
        <v>99.53</v>
      </c>
      <c r="OQ148" s="2">
        <v>99.54000000000001</v>
      </c>
      <c r="OR148" s="2">
        <v>99.16</v>
      </c>
      <c r="OS148" s="2">
        <v>100.22</v>
      </c>
      <c r="OT148" s="2">
        <v>101.48</v>
      </c>
      <c r="OU148" s="2">
        <v>100</v>
      </c>
      <c r="OV148" s="2">
        <v>100.26</v>
      </c>
      <c r="OW148" s="2">
        <v>100.94</v>
      </c>
      <c r="OX148" s="2">
        <v>101.37</v>
      </c>
      <c r="PC148" s="2">
        <v>101.37</v>
      </c>
      <c r="PD148" s="2">
        <v>101.42</v>
      </c>
      <c r="PE148" s="2">
        <v>101.59</v>
      </c>
      <c r="PF148" s="2">
        <v>102.39</v>
      </c>
      <c r="PG148" s="2">
        <v>102.37</v>
      </c>
      <c r="PH148" s="2">
        <v>102.5</v>
      </c>
      <c r="PI148" s="2">
        <v>103.09</v>
      </c>
    </row>
    <row r="149">
      <c r="A149" t="inlineStr">
        <is>
          <t>A130389989T</t>
        </is>
      </c>
      <c r="B149" t="inlineStr">
        <is>
          <t>Index Numbers ;  Health ;  Australia ;</t>
        </is>
      </c>
      <c r="C149" t="inlineStr">
        <is>
          <t>Month</t>
        </is>
      </c>
      <c r="D149" t="inlineStr">
        <is>
          <t>Index Numbers</t>
        </is>
      </c>
      <c r="E149" t="inlineStr">
        <is>
          <t>Original</t>
        </is>
      </c>
      <c r="F149" t="inlineStr">
        <is>
          <t>640103.xlsx</t>
        </is>
      </c>
      <c r="G149" t="inlineStr">
        <is>
          <t>2024-04</t>
        </is>
      </c>
      <c r="H149" t="inlineStr">
        <is>
          <t>2026-07</t>
        </is>
      </c>
      <c r="NZ149" s="2">
        <v>96.23</v>
      </c>
      <c r="OA149" s="2">
        <v>96.23</v>
      </c>
      <c r="OB149" s="2">
        <v>96.18000000000001</v>
      </c>
      <c r="OC149" s="2">
        <v>96.18000000000001</v>
      </c>
      <c r="OD149" s="2">
        <v>96.09</v>
      </c>
      <c r="OE149" s="2">
        <v>95.98</v>
      </c>
      <c r="OF149" s="2">
        <v>96.15000000000001</v>
      </c>
      <c r="OG149" s="2">
        <v>96.02</v>
      </c>
      <c r="OH149" s="2">
        <v>95.69</v>
      </c>
      <c r="OM149" s="2">
        <v>98.58</v>
      </c>
      <c r="ON149" s="2">
        <v>98.68000000000001</v>
      </c>
      <c r="OO149" s="2">
        <v>98.68000000000001</v>
      </c>
      <c r="OP149" s="2">
        <v>100.37</v>
      </c>
      <c r="OQ149" s="2">
        <v>100.07</v>
      </c>
      <c r="OR149" s="2">
        <v>99.97</v>
      </c>
      <c r="OS149" s="2">
        <v>100.02</v>
      </c>
      <c r="OT149" s="2">
        <v>100.04</v>
      </c>
      <c r="OU149" s="2">
        <v>100</v>
      </c>
      <c r="OV149" s="2">
        <v>100.02</v>
      </c>
      <c r="OW149" s="2">
        <v>99.5</v>
      </c>
      <c r="OX149" s="2">
        <v>99.09999999999999</v>
      </c>
      <c r="PC149" s="2">
        <v>101.78</v>
      </c>
      <c r="PD149" s="2">
        <v>101.84</v>
      </c>
      <c r="PE149" s="2">
        <v>101.68</v>
      </c>
      <c r="PF149" s="2">
        <v>104.35</v>
      </c>
      <c r="PG149" s="2">
        <v>103.83</v>
      </c>
      <c r="PH149" s="2">
        <v>103.71</v>
      </c>
      <c r="PI149" s="2">
        <v>103.84</v>
      </c>
    </row>
    <row r="150">
      <c r="A150" t="inlineStr">
        <is>
          <t>A130397851A</t>
        </is>
      </c>
      <c r="B150" t="inlineStr">
        <is>
          <t>Index Numbers ;  Medical products, appliances and equipment ;  Australia ;</t>
        </is>
      </c>
      <c r="C150" t="inlineStr">
        <is>
          <t>Month</t>
        </is>
      </c>
      <c r="D150" t="inlineStr">
        <is>
          <t>Index Numbers</t>
        </is>
      </c>
      <c r="E150" t="inlineStr">
        <is>
          <t>Original</t>
        </is>
      </c>
      <c r="F150" t="inlineStr">
        <is>
          <t>640103.xlsx</t>
        </is>
      </c>
      <c r="G150" t="inlineStr">
        <is>
          <t>2024-04</t>
        </is>
      </c>
      <c r="H150" t="inlineStr">
        <is>
          <t>2026-07</t>
        </is>
      </c>
      <c r="NZ150" s="2">
        <v>101.79</v>
      </c>
      <c r="OA150" s="2">
        <v>101.88</v>
      </c>
      <c r="OB150" s="2">
        <v>101.26</v>
      </c>
      <c r="OC150" s="2">
        <v>101.04</v>
      </c>
      <c r="OD150" s="2">
        <v>100.69</v>
      </c>
      <c r="OE150" s="2">
        <v>100.23</v>
      </c>
      <c r="OF150" s="2">
        <v>100.45</v>
      </c>
      <c r="OG150" s="2">
        <v>99.5</v>
      </c>
      <c r="OH150" s="2">
        <v>98.63</v>
      </c>
      <c r="OM150" s="2">
        <v>103.46</v>
      </c>
      <c r="ON150" s="2">
        <v>104</v>
      </c>
      <c r="OO150" s="2">
        <v>103.44</v>
      </c>
      <c r="OP150" s="2">
        <v>102.73</v>
      </c>
      <c r="OQ150" s="2">
        <v>101.95</v>
      </c>
      <c r="OR150" s="2">
        <v>101.15</v>
      </c>
      <c r="OS150" s="2">
        <v>101.04</v>
      </c>
      <c r="OT150" s="2">
        <v>100.62</v>
      </c>
      <c r="OU150" s="2">
        <v>100</v>
      </c>
      <c r="OV150" s="2">
        <v>100.08</v>
      </c>
      <c r="OW150" s="2">
        <v>99.19</v>
      </c>
      <c r="OX150" s="2">
        <v>98.83</v>
      </c>
      <c r="PC150" s="2">
        <v>102.42</v>
      </c>
      <c r="PD150" s="2">
        <v>101.77</v>
      </c>
      <c r="PE150" s="2">
        <v>102.95</v>
      </c>
      <c r="PF150" s="2">
        <v>102.56</v>
      </c>
      <c r="PG150" s="2">
        <v>100.06</v>
      </c>
      <c r="PH150" s="2">
        <v>99.31</v>
      </c>
      <c r="PI150" s="2">
        <v>99.61</v>
      </c>
    </row>
    <row r="151">
      <c r="A151" t="inlineStr">
        <is>
          <t>A130393517W</t>
        </is>
      </c>
      <c r="B151" t="inlineStr">
        <is>
          <t>Index Numbers ;  Pharmaceutical products ;  Australia ;</t>
        </is>
      </c>
      <c r="C151" t="inlineStr">
        <is>
          <t>Month</t>
        </is>
      </c>
      <c r="D151" t="inlineStr">
        <is>
          <t>Index Numbers</t>
        </is>
      </c>
      <c r="E151" t="inlineStr">
        <is>
          <t>Original</t>
        </is>
      </c>
      <c r="F151" t="inlineStr">
        <is>
          <t>640103.xlsx</t>
        </is>
      </c>
      <c r="G151" t="inlineStr">
        <is>
          <t>2024-04</t>
        </is>
      </c>
      <c r="H151" t="inlineStr">
        <is>
          <t>2026-07</t>
        </is>
      </c>
      <c r="NZ151" s="2">
        <v>102.56</v>
      </c>
      <c r="OA151" s="2">
        <v>102.63</v>
      </c>
      <c r="OB151" s="2">
        <v>101.93</v>
      </c>
      <c r="OC151" s="2">
        <v>101.65</v>
      </c>
      <c r="OD151" s="2">
        <v>101.24</v>
      </c>
      <c r="OE151" s="2">
        <v>100.7</v>
      </c>
      <c r="OF151" s="2">
        <v>100.91</v>
      </c>
      <c r="OG151" s="2">
        <v>99.84</v>
      </c>
      <c r="OH151" s="2">
        <v>98.98</v>
      </c>
      <c r="OM151" s="2">
        <v>104.3</v>
      </c>
      <c r="ON151" s="2">
        <v>104.99</v>
      </c>
      <c r="OO151" s="2">
        <v>104.31</v>
      </c>
      <c r="OP151" s="2">
        <v>103.33</v>
      </c>
      <c r="OQ151" s="2">
        <v>102.46</v>
      </c>
      <c r="OR151" s="2">
        <v>101.47</v>
      </c>
      <c r="OS151" s="2">
        <v>101.27</v>
      </c>
      <c r="OT151" s="2">
        <v>100.74</v>
      </c>
      <c r="OU151" s="2">
        <v>100</v>
      </c>
      <c r="OV151" s="2">
        <v>100.11</v>
      </c>
      <c r="OW151" s="2">
        <v>99.08</v>
      </c>
      <c r="OX151" s="2">
        <v>98.78</v>
      </c>
      <c r="PC151" s="2">
        <v>102.98</v>
      </c>
      <c r="PD151" s="2">
        <v>102.14</v>
      </c>
      <c r="PE151" s="2">
        <v>103.48</v>
      </c>
      <c r="PF151" s="2">
        <v>103.01</v>
      </c>
      <c r="PG151" s="2">
        <v>100.02</v>
      </c>
      <c r="PH151" s="2">
        <v>99.52</v>
      </c>
      <c r="PI151" s="2">
        <v>99.47</v>
      </c>
    </row>
    <row r="152">
      <c r="A152" t="inlineStr">
        <is>
          <t>A130393482J</t>
        </is>
      </c>
      <c r="B152" t="inlineStr">
        <is>
          <t>Index Numbers ;  Therapeutic appliances and equipment ;  Australia ;</t>
        </is>
      </c>
      <c r="C152" t="inlineStr">
        <is>
          <t>Month</t>
        </is>
      </c>
      <c r="D152" t="inlineStr">
        <is>
          <t>Index Numbers</t>
        </is>
      </c>
      <c r="E152" t="inlineStr">
        <is>
          <t>Original</t>
        </is>
      </c>
      <c r="F152" t="inlineStr">
        <is>
          <t>640103.xlsx</t>
        </is>
      </c>
      <c r="G152" t="inlineStr">
        <is>
          <t>2024-04</t>
        </is>
      </c>
      <c r="H152" t="inlineStr">
        <is>
          <t>2026-07</t>
        </is>
      </c>
      <c r="NZ152" s="2">
        <v>96.8</v>
      </c>
      <c r="OA152" s="2">
        <v>97.05</v>
      </c>
      <c r="OB152" s="2">
        <v>96.94</v>
      </c>
      <c r="OC152" s="2">
        <v>97.09999999999999</v>
      </c>
      <c r="OD152" s="2">
        <v>97.08</v>
      </c>
      <c r="OE152" s="2">
        <v>97.20999999999999</v>
      </c>
      <c r="OF152" s="2">
        <v>97.44</v>
      </c>
      <c r="OG152" s="2">
        <v>97.26000000000001</v>
      </c>
      <c r="OH152" s="2">
        <v>96.39</v>
      </c>
      <c r="OM152" s="2">
        <v>98.06</v>
      </c>
      <c r="ON152" s="2">
        <v>97.54000000000001</v>
      </c>
      <c r="OO152" s="2">
        <v>97.8</v>
      </c>
      <c r="OP152" s="2">
        <v>98.84</v>
      </c>
      <c r="OQ152" s="2">
        <v>98.67</v>
      </c>
      <c r="OR152" s="2">
        <v>99.11</v>
      </c>
      <c r="OS152" s="2">
        <v>99.56999999999999</v>
      </c>
      <c r="OT152" s="2">
        <v>99.81999999999999</v>
      </c>
      <c r="OU152" s="2">
        <v>100</v>
      </c>
      <c r="OV152" s="2">
        <v>99.89</v>
      </c>
      <c r="OW152" s="2">
        <v>99.89</v>
      </c>
      <c r="OX152" s="2">
        <v>99.16</v>
      </c>
      <c r="PC152" s="2">
        <v>98.77</v>
      </c>
      <c r="PD152" s="2">
        <v>99.38</v>
      </c>
      <c r="PE152" s="2">
        <v>99.48999999999999</v>
      </c>
      <c r="PF152" s="2">
        <v>99.62</v>
      </c>
      <c r="PG152" s="2">
        <v>100.27</v>
      </c>
      <c r="PH152" s="2">
        <v>97.94</v>
      </c>
      <c r="PI152" s="2">
        <v>100.47</v>
      </c>
    </row>
    <row r="153">
      <c r="A153" t="inlineStr">
        <is>
          <t>A130390283L</t>
        </is>
      </c>
      <c r="B153" t="inlineStr">
        <is>
          <t>Index Numbers ;  Medical, dental and hospital services ;  Australia ;</t>
        </is>
      </c>
      <c r="C153" t="inlineStr">
        <is>
          <t>Month</t>
        </is>
      </c>
      <c r="D153" t="inlineStr">
        <is>
          <t>Index Numbers</t>
        </is>
      </c>
      <c r="E153" t="inlineStr">
        <is>
          <t>Original</t>
        </is>
      </c>
      <c r="F153" t="inlineStr">
        <is>
          <t>640103.xlsx</t>
        </is>
      </c>
      <c r="G153" t="inlineStr">
        <is>
          <t>2024-04</t>
        </is>
      </c>
      <c r="H153" t="inlineStr">
        <is>
          <t>2026-07</t>
        </is>
      </c>
      <c r="NZ153" s="2">
        <v>95.17</v>
      </c>
      <c r="OA153" s="2">
        <v>95.16</v>
      </c>
      <c r="OB153" s="2">
        <v>95.22</v>
      </c>
      <c r="OC153" s="2">
        <v>95.26000000000001</v>
      </c>
      <c r="OD153" s="2">
        <v>95.22</v>
      </c>
      <c r="OE153" s="2">
        <v>95.17</v>
      </c>
      <c r="OF153" s="2">
        <v>95.34</v>
      </c>
      <c r="OG153" s="2">
        <v>95.36</v>
      </c>
      <c r="OH153" s="2">
        <v>95.14</v>
      </c>
      <c r="OM153" s="2">
        <v>97.67</v>
      </c>
      <c r="ON153" s="2">
        <v>97.69</v>
      </c>
      <c r="OO153" s="2">
        <v>97.78</v>
      </c>
      <c r="OP153" s="2">
        <v>99.93000000000001</v>
      </c>
      <c r="OQ153" s="2">
        <v>99.72</v>
      </c>
      <c r="OR153" s="2">
        <v>99.75</v>
      </c>
      <c r="OS153" s="2">
        <v>99.83</v>
      </c>
      <c r="OT153" s="2">
        <v>99.93000000000001</v>
      </c>
      <c r="OU153" s="2">
        <v>100</v>
      </c>
      <c r="OV153" s="2">
        <v>100.01</v>
      </c>
      <c r="OW153" s="2">
        <v>99.55</v>
      </c>
      <c r="OX153" s="2">
        <v>99.16</v>
      </c>
      <c r="PC153" s="2">
        <v>101.66</v>
      </c>
      <c r="PD153" s="2">
        <v>101.85</v>
      </c>
      <c r="PE153" s="2">
        <v>101.44</v>
      </c>
      <c r="PF153" s="2">
        <v>104.68</v>
      </c>
      <c r="PG153" s="2">
        <v>104.53</v>
      </c>
      <c r="PH153" s="2">
        <v>104.53</v>
      </c>
      <c r="PI153" s="2">
        <v>104.63</v>
      </c>
    </row>
    <row r="154">
      <c r="A154" t="inlineStr">
        <is>
          <t>A130390920T</t>
        </is>
      </c>
      <c r="B154" t="inlineStr">
        <is>
          <t>Index Numbers ;  Medical and hospital services ;  Australia ;</t>
        </is>
      </c>
      <c r="C154" t="inlineStr">
        <is>
          <t>Month</t>
        </is>
      </c>
      <c r="D154" t="inlineStr">
        <is>
          <t>Index Numbers</t>
        </is>
      </c>
      <c r="E154" t="inlineStr">
        <is>
          <t>Original</t>
        </is>
      </c>
      <c r="F154" t="inlineStr">
        <is>
          <t>640103.xlsx</t>
        </is>
      </c>
      <c r="G154" t="inlineStr">
        <is>
          <t>2024-04</t>
        </is>
      </c>
      <c r="H154" t="inlineStr">
        <is>
          <t>2026-07</t>
        </is>
      </c>
      <c r="NZ154" s="2">
        <v>95.12</v>
      </c>
      <c r="OA154" s="2">
        <v>95.08</v>
      </c>
      <c r="OB154" s="2">
        <v>95.14</v>
      </c>
      <c r="OC154" s="2">
        <v>95.13</v>
      </c>
      <c r="OD154" s="2">
        <v>95.05</v>
      </c>
      <c r="OE154" s="2">
        <v>94.95999999999999</v>
      </c>
      <c r="OF154" s="2">
        <v>95.13</v>
      </c>
      <c r="OG154" s="2">
        <v>95.15000000000001</v>
      </c>
      <c r="OH154" s="2">
        <v>94.90000000000001</v>
      </c>
      <c r="OM154" s="2">
        <v>97.70999999999999</v>
      </c>
      <c r="ON154" s="2">
        <v>97.7</v>
      </c>
      <c r="OO154" s="2">
        <v>97.8</v>
      </c>
      <c r="OP154" s="2">
        <v>100.13</v>
      </c>
      <c r="OQ154" s="2">
        <v>99.89</v>
      </c>
      <c r="OR154" s="2">
        <v>99.93000000000001</v>
      </c>
      <c r="OS154" s="2">
        <v>99.95999999999999</v>
      </c>
      <c r="OT154" s="2">
        <v>99.94</v>
      </c>
      <c r="OU154" s="2">
        <v>100</v>
      </c>
      <c r="OV154" s="2">
        <v>100</v>
      </c>
      <c r="OW154" s="2">
        <v>99.48</v>
      </c>
      <c r="OX154" s="2">
        <v>99.02</v>
      </c>
      <c r="PC154" s="2">
        <v>101.79</v>
      </c>
      <c r="PD154" s="2">
        <v>101.97</v>
      </c>
      <c r="PE154" s="2">
        <v>101.5</v>
      </c>
      <c r="PF154" s="2">
        <v>105.07</v>
      </c>
      <c r="PG154" s="2">
        <v>104.89</v>
      </c>
      <c r="PH154" s="2">
        <v>104.89</v>
      </c>
      <c r="PI154" s="2">
        <v>104.88</v>
      </c>
    </row>
    <row r="155">
      <c r="A155" t="inlineStr">
        <is>
          <t>A130393496W</t>
        </is>
      </c>
      <c r="B155" t="inlineStr">
        <is>
          <t>Index Numbers ;  Dental services ;  Australia ;</t>
        </is>
      </c>
      <c r="C155" t="inlineStr">
        <is>
          <t>Month</t>
        </is>
      </c>
      <c r="D155" t="inlineStr">
        <is>
          <t>Index Numbers</t>
        </is>
      </c>
      <c r="E155" t="inlineStr">
        <is>
          <t>Original</t>
        </is>
      </c>
      <c r="F155" t="inlineStr">
        <is>
          <t>640103.xlsx</t>
        </is>
      </c>
      <c r="G155" t="inlineStr">
        <is>
          <t>2024-04</t>
        </is>
      </c>
      <c r="H155" t="inlineStr">
        <is>
          <t>2026-07</t>
        </is>
      </c>
      <c r="NZ155" s="2">
        <v>95.79000000000001</v>
      </c>
      <c r="OA155" s="2">
        <v>95.98999999999999</v>
      </c>
      <c r="OB155" s="2">
        <v>96.09</v>
      </c>
      <c r="OC155" s="2">
        <v>96.42</v>
      </c>
      <c r="OD155" s="2">
        <v>96.72</v>
      </c>
      <c r="OE155" s="2">
        <v>96.98</v>
      </c>
      <c r="OF155" s="2">
        <v>97.20999999999999</v>
      </c>
      <c r="OG155" s="2">
        <v>97.18000000000001</v>
      </c>
      <c r="OH155" s="2">
        <v>97.22</v>
      </c>
      <c r="OM155" s="2">
        <v>97.34999999999999</v>
      </c>
      <c r="ON155" s="2">
        <v>97.53</v>
      </c>
      <c r="OO155" s="2">
        <v>97.62</v>
      </c>
      <c r="OP155" s="2">
        <v>98.23</v>
      </c>
      <c r="OQ155" s="2">
        <v>98.20999999999999</v>
      </c>
      <c r="OR155" s="2">
        <v>98.20999999999999</v>
      </c>
      <c r="OS155" s="2">
        <v>98.73</v>
      </c>
      <c r="OT155" s="2">
        <v>99.87</v>
      </c>
      <c r="OU155" s="2">
        <v>100</v>
      </c>
      <c r="OV155" s="2">
        <v>100.12</v>
      </c>
      <c r="OW155" s="2">
        <v>100.16</v>
      </c>
      <c r="OX155" s="2">
        <v>100.32</v>
      </c>
      <c r="PC155" s="2">
        <v>100.56</v>
      </c>
      <c r="PD155" s="2">
        <v>100.81</v>
      </c>
      <c r="PE155" s="2">
        <v>100.9</v>
      </c>
      <c r="PF155" s="2">
        <v>101.33</v>
      </c>
      <c r="PG155" s="2">
        <v>101.48</v>
      </c>
      <c r="PH155" s="2">
        <v>101.51</v>
      </c>
      <c r="PI155" s="2">
        <v>102.44</v>
      </c>
    </row>
    <row r="156">
      <c r="A156" t="inlineStr">
        <is>
          <t>A130396688V</t>
        </is>
      </c>
      <c r="B156" t="inlineStr">
        <is>
          <t>Index Numbers ;  Transport ;  Australia ;</t>
        </is>
      </c>
      <c r="C156" t="inlineStr">
        <is>
          <t>Month</t>
        </is>
      </c>
      <c r="D156" t="inlineStr">
        <is>
          <t>Index Numbers</t>
        </is>
      </c>
      <c r="E156" t="inlineStr">
        <is>
          <t>Original</t>
        </is>
      </c>
      <c r="F156" t="inlineStr">
        <is>
          <t>640103.xlsx</t>
        </is>
      </c>
      <c r="G156" t="inlineStr">
        <is>
          <t>2024-04</t>
        </is>
      </c>
      <c r="H156" t="inlineStr">
        <is>
          <t>2026-07</t>
        </is>
      </c>
      <c r="NZ156" s="2">
        <v>102.23</v>
      </c>
      <c r="OA156" s="2">
        <v>100.48</v>
      </c>
      <c r="OB156" s="2">
        <v>100.7</v>
      </c>
      <c r="OC156" s="2">
        <v>100</v>
      </c>
      <c r="OD156" s="2">
        <v>98.98999999999999</v>
      </c>
      <c r="OE156" s="2">
        <v>97.79000000000001</v>
      </c>
      <c r="OF156" s="2">
        <v>97.61</v>
      </c>
      <c r="OG156" s="2">
        <v>97.95999999999999</v>
      </c>
      <c r="OH156" s="2">
        <v>99.02</v>
      </c>
      <c r="OM156" s="2">
        <v>98.84</v>
      </c>
      <c r="ON156" s="2">
        <v>99.47</v>
      </c>
      <c r="OO156" s="2">
        <v>99.51000000000001</v>
      </c>
      <c r="OP156" s="2">
        <v>98.88</v>
      </c>
      <c r="OQ156" s="2">
        <v>98.12</v>
      </c>
      <c r="OR156" s="2">
        <v>98.56</v>
      </c>
      <c r="OS156" s="2">
        <v>99.62</v>
      </c>
      <c r="OT156" s="2">
        <v>99.89</v>
      </c>
      <c r="OU156" s="2">
        <v>100</v>
      </c>
      <c r="OV156" s="2">
        <v>100.26</v>
      </c>
      <c r="OW156" s="2">
        <v>100.58</v>
      </c>
      <c r="OX156" s="2">
        <v>100.62</v>
      </c>
      <c r="PC156" s="2">
        <v>99.93000000000001</v>
      </c>
      <c r="PD156" s="2">
        <v>99.28</v>
      </c>
      <c r="PE156" s="2">
        <v>108.37</v>
      </c>
      <c r="PF156" s="2">
        <v>105.42</v>
      </c>
      <c r="PG156" s="2">
        <v>101.36</v>
      </c>
      <c r="PH156" s="2">
        <v>98.64</v>
      </c>
      <c r="PI156" s="2">
        <v>101.24</v>
      </c>
    </row>
    <row r="157">
      <c r="A157" t="inlineStr">
        <is>
          <t>A130391788L</t>
        </is>
      </c>
      <c r="B157" t="inlineStr">
        <is>
          <t>Index Numbers ;  Private motoring ;  Australia ;</t>
        </is>
      </c>
      <c r="C157" t="inlineStr">
        <is>
          <t>Month</t>
        </is>
      </c>
      <c r="D157" t="inlineStr">
        <is>
          <t>Index Numbers</t>
        </is>
      </c>
      <c r="E157" t="inlineStr">
        <is>
          <t>Original</t>
        </is>
      </c>
      <c r="F157" t="inlineStr">
        <is>
          <t>640103.xlsx</t>
        </is>
      </c>
      <c r="G157" t="inlineStr">
        <is>
          <t>2024-04</t>
        </is>
      </c>
      <c r="H157" t="inlineStr">
        <is>
          <t>2026-07</t>
        </is>
      </c>
      <c r="NZ157" s="2">
        <v>102.25</v>
      </c>
      <c r="OA157" s="2">
        <v>100.44</v>
      </c>
      <c r="OB157" s="2">
        <v>100.68</v>
      </c>
      <c r="OC157" s="2">
        <v>99.92</v>
      </c>
      <c r="OD157" s="2">
        <v>99.04000000000001</v>
      </c>
      <c r="OE157" s="2">
        <v>97.83</v>
      </c>
      <c r="OF157" s="2">
        <v>97.65000000000001</v>
      </c>
      <c r="OG157" s="2">
        <v>98.01000000000001</v>
      </c>
      <c r="OH157" s="2">
        <v>99.15000000000001</v>
      </c>
      <c r="OM157" s="2">
        <v>98.98999999999999</v>
      </c>
      <c r="ON157" s="2">
        <v>99.53</v>
      </c>
      <c r="OO157" s="2">
        <v>99.56</v>
      </c>
      <c r="OP157" s="2">
        <v>98.91</v>
      </c>
      <c r="OQ157" s="2">
        <v>98.12</v>
      </c>
      <c r="OR157" s="2">
        <v>98.56999999999999</v>
      </c>
      <c r="OS157" s="2">
        <v>99.59999999999999</v>
      </c>
      <c r="OT157" s="2">
        <v>99.89</v>
      </c>
      <c r="OU157" s="2">
        <v>100</v>
      </c>
      <c r="OV157" s="2">
        <v>100.28</v>
      </c>
      <c r="OW157" s="2">
        <v>100.62</v>
      </c>
      <c r="OX157" s="2">
        <v>100.82</v>
      </c>
      <c r="PC157" s="2">
        <v>100.16</v>
      </c>
      <c r="PD157" s="2">
        <v>99.37</v>
      </c>
      <c r="PE157" s="2">
        <v>108.74</v>
      </c>
      <c r="PF157" s="2">
        <v>106.32</v>
      </c>
      <c r="PG157" s="2">
        <v>102.13</v>
      </c>
      <c r="PH157" s="2">
        <v>99.01000000000001</v>
      </c>
      <c r="PI157" s="2">
        <v>101.68</v>
      </c>
    </row>
    <row r="158">
      <c r="A158" t="inlineStr">
        <is>
          <t>A130395834L</t>
        </is>
      </c>
      <c r="B158" t="inlineStr">
        <is>
          <t>Index Numbers ;  Motor vehicles ;  Australia ;</t>
        </is>
      </c>
      <c r="C158" t="inlineStr">
        <is>
          <t>Month</t>
        </is>
      </c>
      <c r="D158" t="inlineStr">
        <is>
          <t>Index Numbers</t>
        </is>
      </c>
      <c r="E158" t="inlineStr">
        <is>
          <t>Original</t>
        </is>
      </c>
      <c r="F158" t="inlineStr">
        <is>
          <t>640103.xlsx</t>
        </is>
      </c>
      <c r="G158" t="inlineStr">
        <is>
          <t>2024-04</t>
        </is>
      </c>
      <c r="H158" t="inlineStr">
        <is>
          <t>2026-07</t>
        </is>
      </c>
      <c r="NZ158" s="2">
        <v>101.37</v>
      </c>
      <c r="OA158" s="2">
        <v>100.98</v>
      </c>
      <c r="OB158" s="2">
        <v>100.43</v>
      </c>
      <c r="OC158" s="2">
        <v>100.29</v>
      </c>
      <c r="OD158" s="2">
        <v>100.15</v>
      </c>
      <c r="OE158" s="2">
        <v>99.95</v>
      </c>
      <c r="OF158" s="2">
        <v>100.18</v>
      </c>
      <c r="OG158" s="2">
        <v>99.86</v>
      </c>
      <c r="OH158" s="2">
        <v>99.94</v>
      </c>
      <c r="OM158" s="2">
        <v>99.98</v>
      </c>
      <c r="ON158" s="2">
        <v>100.13</v>
      </c>
      <c r="OO158" s="2">
        <v>100.36</v>
      </c>
      <c r="OP158" s="2">
        <v>100.56</v>
      </c>
      <c r="OQ158" s="2">
        <v>100.45</v>
      </c>
      <c r="OR158" s="2">
        <v>98.83</v>
      </c>
      <c r="OS158" s="2">
        <v>100.83</v>
      </c>
      <c r="OT158" s="2">
        <v>100.82</v>
      </c>
      <c r="OU158" s="2">
        <v>100</v>
      </c>
      <c r="OV158" s="2">
        <v>100.93</v>
      </c>
      <c r="OW158" s="2">
        <v>99.29000000000001</v>
      </c>
      <c r="OX158" s="2">
        <v>101.07</v>
      </c>
      <c r="PC158" s="2">
        <v>101.46</v>
      </c>
      <c r="PD158" s="2">
        <v>101.35</v>
      </c>
      <c r="PE158" s="2">
        <v>101.5</v>
      </c>
      <c r="PF158" s="2">
        <v>101.71</v>
      </c>
      <c r="PG158" s="2">
        <v>100.69</v>
      </c>
      <c r="PH158" s="2">
        <v>101.02</v>
      </c>
      <c r="PI158" s="2">
        <v>101.59</v>
      </c>
    </row>
    <row r="159">
      <c r="A159" t="inlineStr">
        <is>
          <t>A130393391A</t>
        </is>
      </c>
      <c r="B159" t="inlineStr">
        <is>
          <t>Index Numbers ;  Spare parts and accessories for motor vehicles ;  Australia ;</t>
        </is>
      </c>
      <c r="C159" t="inlineStr">
        <is>
          <t>Month</t>
        </is>
      </c>
      <c r="D159" t="inlineStr">
        <is>
          <t>Index Numbers</t>
        </is>
      </c>
      <c r="E159" t="inlineStr">
        <is>
          <t>Original</t>
        </is>
      </c>
      <c r="F159" t="inlineStr">
        <is>
          <t>640103.xlsx</t>
        </is>
      </c>
      <c r="G159" t="inlineStr">
        <is>
          <t>2024-04</t>
        </is>
      </c>
      <c r="H159" t="inlineStr">
        <is>
          <t>2026-07</t>
        </is>
      </c>
      <c r="NZ159" s="2">
        <v>99.16</v>
      </c>
      <c r="OA159" s="2">
        <v>99.06</v>
      </c>
      <c r="OB159" s="2">
        <v>99.47</v>
      </c>
      <c r="OC159" s="2">
        <v>99.38</v>
      </c>
      <c r="OD159" s="2">
        <v>100.28</v>
      </c>
      <c r="OE159" s="2">
        <v>99.22</v>
      </c>
      <c r="OF159" s="2">
        <v>99.98</v>
      </c>
      <c r="OG159" s="2">
        <v>100.14</v>
      </c>
      <c r="OH159" s="2">
        <v>98.64</v>
      </c>
      <c r="OM159" s="2">
        <v>100.65</v>
      </c>
      <c r="ON159" s="2">
        <v>101.58</v>
      </c>
      <c r="OO159" s="2">
        <v>102.84</v>
      </c>
      <c r="OP159" s="2">
        <v>101.68</v>
      </c>
      <c r="OQ159" s="2">
        <v>102.24</v>
      </c>
      <c r="OR159" s="2">
        <v>101.23</v>
      </c>
      <c r="OS159" s="2">
        <v>101.11</v>
      </c>
      <c r="OT159" s="2">
        <v>100.84</v>
      </c>
      <c r="OU159" s="2">
        <v>100</v>
      </c>
      <c r="OV159" s="2">
        <v>102.07</v>
      </c>
      <c r="OW159" s="2">
        <v>101.52</v>
      </c>
      <c r="OX159" s="2">
        <v>99.15000000000001</v>
      </c>
      <c r="PC159" s="2">
        <v>100.26</v>
      </c>
      <c r="PD159" s="2">
        <v>100.48</v>
      </c>
      <c r="PE159" s="2">
        <v>100.53</v>
      </c>
      <c r="PF159" s="2">
        <v>100.59</v>
      </c>
      <c r="PG159" s="2">
        <v>101.65</v>
      </c>
      <c r="PH159" s="2">
        <v>102.36</v>
      </c>
      <c r="PI159" s="2">
        <v>102.67</v>
      </c>
    </row>
    <row r="160">
      <c r="A160" t="inlineStr">
        <is>
          <t>A130398320J</t>
        </is>
      </c>
      <c r="B160" t="inlineStr">
        <is>
          <t>Index Numbers ;  Automotive fuel ;  Australia ;</t>
        </is>
      </c>
      <c r="C160" t="inlineStr">
        <is>
          <t>Month</t>
        </is>
      </c>
      <c r="D160" t="inlineStr">
        <is>
          <t>Index Numbers</t>
        </is>
      </c>
      <c r="E160" t="inlineStr">
        <is>
          <t>Original</t>
        </is>
      </c>
      <c r="F160" t="inlineStr">
        <is>
          <t>640103.xlsx</t>
        </is>
      </c>
      <c r="G160" t="inlineStr">
        <is>
          <t>2017-09</t>
        </is>
      </c>
      <c r="H160" t="inlineStr">
        <is>
          <t>2026-07</t>
        </is>
      </c>
      <c r="JW160" s="2">
        <v>68.95</v>
      </c>
      <c r="JX160" s="2">
        <v>71.63</v>
      </c>
      <c r="JY160" s="2">
        <v>75.02</v>
      </c>
      <c r="JZ160" s="2">
        <v>76.61</v>
      </c>
      <c r="KE160" s="2">
        <v>75.66</v>
      </c>
      <c r="KF160" s="2">
        <v>75.26000000000001</v>
      </c>
      <c r="KG160" s="2">
        <v>74.42</v>
      </c>
      <c r="KH160" s="2">
        <v>78.04000000000001</v>
      </c>
      <c r="KI160" s="2">
        <v>81.13</v>
      </c>
      <c r="KJ160" s="2">
        <v>81.72</v>
      </c>
      <c r="KK160" s="2">
        <v>80.11</v>
      </c>
      <c r="KL160" s="2">
        <v>80.09</v>
      </c>
      <c r="KM160" s="2">
        <v>84.23</v>
      </c>
      <c r="KN160" s="2">
        <v>86.95999999999999</v>
      </c>
      <c r="KO160" s="2">
        <v>77.58</v>
      </c>
      <c r="KP160" s="2">
        <v>73.73999999999999</v>
      </c>
      <c r="KU160" s="2">
        <v>69.28</v>
      </c>
      <c r="KV160" s="2">
        <v>72.23999999999999</v>
      </c>
      <c r="KW160" s="2">
        <v>75.98999999999999</v>
      </c>
      <c r="KX160" s="2">
        <v>80.29000000000001</v>
      </c>
      <c r="KY160" s="2">
        <v>81.65000000000001</v>
      </c>
      <c r="KZ160" s="2">
        <v>77.78</v>
      </c>
      <c r="LA160" s="2">
        <v>78.03</v>
      </c>
      <c r="LB160" s="2">
        <v>77.33</v>
      </c>
      <c r="LC160" s="2">
        <v>79.47</v>
      </c>
      <c r="LD160" s="2">
        <v>82.59</v>
      </c>
      <c r="LE160" s="2">
        <v>80.93000000000001</v>
      </c>
      <c r="LF160" s="2">
        <v>81.72</v>
      </c>
      <c r="LK160" s="2">
        <v>81.14</v>
      </c>
      <c r="LL160" s="2">
        <v>78.38</v>
      </c>
      <c r="LM160" s="2">
        <v>71.06</v>
      </c>
      <c r="LN160" s="2">
        <v>59.74</v>
      </c>
      <c r="LO160" s="2">
        <v>60.3</v>
      </c>
      <c r="LP160" s="2">
        <v>65.81</v>
      </c>
      <c r="LQ160" s="2">
        <v>68.13</v>
      </c>
      <c r="LR160" s="2">
        <v>67.42</v>
      </c>
      <c r="LS160" s="2">
        <v>67.84</v>
      </c>
      <c r="LT160" s="2">
        <v>67.58</v>
      </c>
      <c r="LU160" s="2">
        <v>66.89</v>
      </c>
      <c r="LV160" s="2">
        <v>69.95999999999999</v>
      </c>
      <c r="MA160" s="2">
        <v>71.14</v>
      </c>
      <c r="MB160" s="2">
        <v>73.02</v>
      </c>
      <c r="MC160" s="2">
        <v>78.13</v>
      </c>
      <c r="MD160" s="2">
        <v>79.41</v>
      </c>
      <c r="ME160" s="2">
        <v>78.81</v>
      </c>
      <c r="MF160" s="2">
        <v>78.58</v>
      </c>
      <c r="MG160" s="2">
        <v>84.17</v>
      </c>
      <c r="MH160" s="2">
        <v>83.65000000000001</v>
      </c>
      <c r="MI160" s="2">
        <v>85.81999999999999</v>
      </c>
      <c r="MJ160" s="2">
        <v>90.44</v>
      </c>
      <c r="MK160" s="2">
        <v>91.61</v>
      </c>
      <c r="ML160" s="2">
        <v>88.55</v>
      </c>
      <c r="MQ160" s="2">
        <v>92.34999999999999</v>
      </c>
      <c r="MR160" s="2">
        <v>97.83</v>
      </c>
      <c r="MS160" s="2">
        <v>110.04</v>
      </c>
      <c r="MT160" s="2">
        <v>94.88</v>
      </c>
      <c r="MU160" s="2">
        <v>105.36</v>
      </c>
      <c r="MV160" s="2">
        <v>112.57</v>
      </c>
      <c r="MW160" s="2">
        <v>108.74</v>
      </c>
      <c r="MX160" s="2">
        <v>96.18000000000001</v>
      </c>
      <c r="MY160" s="2">
        <v>94.48999999999999</v>
      </c>
      <c r="MZ160" s="2">
        <v>101.17</v>
      </c>
      <c r="NA160" s="2">
        <v>106.82</v>
      </c>
      <c r="NB160" s="2">
        <v>98.13</v>
      </c>
      <c r="NG160" s="2">
        <v>99.20999999999999</v>
      </c>
      <c r="NH160" s="2">
        <v>103.25</v>
      </c>
      <c r="NI160" s="2">
        <v>100.98</v>
      </c>
      <c r="NJ160" s="2">
        <v>103.88</v>
      </c>
      <c r="NK160" s="2">
        <v>96.92</v>
      </c>
      <c r="NL160" s="2">
        <v>100.67</v>
      </c>
      <c r="NM160" s="2">
        <v>100.42</v>
      </c>
      <c r="NN160" s="2">
        <v>109.56</v>
      </c>
      <c r="NO160" s="2">
        <v>113.17</v>
      </c>
      <c r="NP160" s="2">
        <v>109.82</v>
      </c>
      <c r="NQ160" s="2">
        <v>109.31</v>
      </c>
      <c r="NR160" s="2">
        <v>103.29</v>
      </c>
      <c r="NW160" s="2">
        <v>102.32</v>
      </c>
      <c r="NX160" s="2">
        <v>107.59</v>
      </c>
      <c r="NY160" s="2">
        <v>109.22</v>
      </c>
      <c r="NZ160" s="2">
        <v>111.64</v>
      </c>
      <c r="OA160" s="2">
        <v>105.94</v>
      </c>
      <c r="OB160" s="2">
        <v>107.26</v>
      </c>
      <c r="OC160" s="2">
        <v>104.49</v>
      </c>
      <c r="OD160" s="2">
        <v>101.24</v>
      </c>
      <c r="OE160" s="2">
        <v>97.25</v>
      </c>
      <c r="OF160" s="2">
        <v>97.20999999999999</v>
      </c>
      <c r="OG160" s="2">
        <v>98.09</v>
      </c>
      <c r="OH160" s="2">
        <v>101.81</v>
      </c>
      <c r="OM160" s="2">
        <v>100.4</v>
      </c>
      <c r="ON160" s="2">
        <v>101.62</v>
      </c>
      <c r="OO160" s="2">
        <v>100.84</v>
      </c>
      <c r="OP160" s="2">
        <v>98.28</v>
      </c>
      <c r="OQ160" s="2">
        <v>95.34</v>
      </c>
      <c r="OR160" s="2">
        <v>98.75</v>
      </c>
      <c r="OS160" s="2">
        <v>98.75</v>
      </c>
      <c r="OT160" s="2">
        <v>99.48999999999999</v>
      </c>
      <c r="OU160" s="2">
        <v>100</v>
      </c>
      <c r="OV160" s="2">
        <v>99.09999999999999</v>
      </c>
      <c r="OW160" s="2">
        <v>101.55</v>
      </c>
      <c r="OX160" s="2">
        <v>101</v>
      </c>
      <c r="PC160" s="2">
        <v>97.72</v>
      </c>
      <c r="PD160" s="2">
        <v>94.34999999999999</v>
      </c>
      <c r="PE160" s="2">
        <v>125.29</v>
      </c>
      <c r="PF160" s="2">
        <v>116.53</v>
      </c>
      <c r="PG160" s="2">
        <v>102.69</v>
      </c>
      <c r="PH160" s="2">
        <v>91.53</v>
      </c>
      <c r="PI160" s="2">
        <v>98.40000000000001</v>
      </c>
    </row>
    <row r="161">
      <c r="A161" t="inlineStr">
        <is>
          <t>A130392110A</t>
        </is>
      </c>
      <c r="B161" t="inlineStr">
        <is>
          <t>Index Numbers ;  Maintenance and repair of motor vehicles ;  Australia ;</t>
        </is>
      </c>
      <c r="C161" t="inlineStr">
        <is>
          <t>Month</t>
        </is>
      </c>
      <c r="D161" t="inlineStr">
        <is>
          <t>Index Numbers</t>
        </is>
      </c>
      <c r="E161" t="inlineStr">
        <is>
          <t>Original</t>
        </is>
      </c>
      <c r="F161" t="inlineStr">
        <is>
          <t>640103.xlsx</t>
        </is>
      </c>
      <c r="G161" t="inlineStr">
        <is>
          <t>2024-04</t>
        </is>
      </c>
      <c r="H161" t="inlineStr">
        <is>
          <t>2026-07</t>
        </is>
      </c>
      <c r="NZ161" s="2">
        <v>94.55</v>
      </c>
      <c r="OA161" s="2">
        <v>95.02</v>
      </c>
      <c r="OB161" s="2">
        <v>94.78</v>
      </c>
      <c r="OC161" s="2">
        <v>94.59</v>
      </c>
      <c r="OD161" s="2">
        <v>95.25</v>
      </c>
      <c r="OE161" s="2">
        <v>95.5</v>
      </c>
      <c r="OF161" s="2">
        <v>95.66</v>
      </c>
      <c r="OG161" s="2">
        <v>96.34</v>
      </c>
      <c r="OH161" s="2">
        <v>96.65000000000001</v>
      </c>
      <c r="OM161" s="2">
        <v>96.7</v>
      </c>
      <c r="ON161" s="2">
        <v>97.02</v>
      </c>
      <c r="OO161" s="2">
        <v>97.40000000000001</v>
      </c>
      <c r="OP161" s="2">
        <v>98.09999999999999</v>
      </c>
      <c r="OQ161" s="2">
        <v>98.44</v>
      </c>
      <c r="OR161" s="2">
        <v>98.47</v>
      </c>
      <c r="OS161" s="2">
        <v>99.43000000000001</v>
      </c>
      <c r="OT161" s="2">
        <v>99.92</v>
      </c>
      <c r="OU161" s="2">
        <v>100</v>
      </c>
      <c r="OV161" s="2">
        <v>100.48</v>
      </c>
      <c r="OW161" s="2">
        <v>101.25</v>
      </c>
      <c r="OX161" s="2">
        <v>101.2</v>
      </c>
      <c r="PC161" s="2">
        <v>101.63</v>
      </c>
      <c r="PD161" s="2">
        <v>102.8</v>
      </c>
      <c r="PE161" s="2">
        <v>103.2</v>
      </c>
      <c r="PF161" s="2">
        <v>103.68</v>
      </c>
      <c r="PG161" s="2">
        <v>104.63</v>
      </c>
      <c r="PH161" s="2">
        <v>104.91</v>
      </c>
      <c r="PI161" s="2">
        <v>105.25</v>
      </c>
    </row>
    <row r="162">
      <c r="A162" t="inlineStr">
        <is>
          <t>A130390850W</t>
        </is>
      </c>
      <c r="B162" t="inlineStr">
        <is>
          <t>Index Numbers ;  Other services in respect of motor vehicles ;  Australia ;</t>
        </is>
      </c>
      <c r="C162" t="inlineStr">
        <is>
          <t>Month</t>
        </is>
      </c>
      <c r="D162" t="inlineStr">
        <is>
          <t>Index Numbers</t>
        </is>
      </c>
      <c r="E162" t="inlineStr">
        <is>
          <t>Original</t>
        </is>
      </c>
      <c r="F162" t="inlineStr">
        <is>
          <t>640103.xlsx</t>
        </is>
      </c>
      <c r="G162" t="inlineStr">
        <is>
          <t>2024-04</t>
        </is>
      </c>
      <c r="H162" t="inlineStr">
        <is>
          <t>2026-07</t>
        </is>
      </c>
      <c r="NZ162" s="2">
        <v>94.67</v>
      </c>
      <c r="OA162" s="2">
        <v>94.69</v>
      </c>
      <c r="OB162" s="2">
        <v>94.70999999999999</v>
      </c>
      <c r="OC162" s="2">
        <v>96.22</v>
      </c>
      <c r="OD162" s="2">
        <v>96.09</v>
      </c>
      <c r="OE162" s="2">
        <v>97.11</v>
      </c>
      <c r="OF162" s="2">
        <v>94.51000000000001</v>
      </c>
      <c r="OG162" s="2">
        <v>94.78</v>
      </c>
      <c r="OH162" s="2">
        <v>94.84</v>
      </c>
      <c r="OM162" s="2">
        <v>95.5</v>
      </c>
      <c r="ON162" s="2">
        <v>95.5</v>
      </c>
      <c r="OO162" s="2">
        <v>95.59999999999999</v>
      </c>
      <c r="OP162" s="2">
        <v>95.68000000000001</v>
      </c>
      <c r="OQ162" s="2">
        <v>95.83</v>
      </c>
      <c r="OR162" s="2">
        <v>95.89</v>
      </c>
      <c r="OS162" s="2">
        <v>97.84999999999999</v>
      </c>
      <c r="OT162" s="2">
        <v>97.81</v>
      </c>
      <c r="OU162" s="2">
        <v>100</v>
      </c>
      <c r="OV162" s="2">
        <v>100</v>
      </c>
      <c r="OW162" s="2">
        <v>100.14</v>
      </c>
      <c r="OX162" s="2">
        <v>100.24</v>
      </c>
      <c r="PC162" s="2">
        <v>100.52</v>
      </c>
      <c r="PD162" s="2">
        <v>100.58</v>
      </c>
      <c r="PE162" s="2">
        <v>100.6</v>
      </c>
      <c r="PF162" s="2">
        <v>100.86</v>
      </c>
      <c r="PG162" s="2">
        <v>100.86</v>
      </c>
      <c r="PH162" s="2">
        <v>100.87</v>
      </c>
      <c r="PI162" s="2">
        <v>103.73</v>
      </c>
    </row>
    <row r="163">
      <c r="A163" t="inlineStr">
        <is>
          <t>A130393118L</t>
        </is>
      </c>
      <c r="B163" t="inlineStr">
        <is>
          <t>Index Numbers ;  Urban transport fares ;  Australia ;</t>
        </is>
      </c>
      <c r="C163" t="inlineStr">
        <is>
          <t>Month</t>
        </is>
      </c>
      <c r="D163" t="inlineStr">
        <is>
          <t>Index Numbers</t>
        </is>
      </c>
      <c r="E163" t="inlineStr">
        <is>
          <t>Original</t>
        </is>
      </c>
      <c r="F163" t="inlineStr">
        <is>
          <t>640103.xlsx</t>
        </is>
      </c>
      <c r="G163" t="inlineStr">
        <is>
          <t>2024-04</t>
        </is>
      </c>
      <c r="H163" t="inlineStr">
        <is>
          <t>2026-07</t>
        </is>
      </c>
      <c r="NZ163" s="2">
        <v>101.77</v>
      </c>
      <c r="OA163" s="2">
        <v>101.8</v>
      </c>
      <c r="OB163" s="2">
        <v>101.44</v>
      </c>
      <c r="OC163" s="2">
        <v>102.91</v>
      </c>
      <c r="OD163" s="2">
        <v>97.51000000000001</v>
      </c>
      <c r="OE163" s="2">
        <v>96.58</v>
      </c>
      <c r="OF163" s="2">
        <v>96.34999999999999</v>
      </c>
      <c r="OG163" s="2">
        <v>96.27</v>
      </c>
      <c r="OH163" s="2">
        <v>94.95999999999999</v>
      </c>
      <c r="OM163" s="2">
        <v>94.28</v>
      </c>
      <c r="ON163" s="2">
        <v>97.42</v>
      </c>
      <c r="OO163" s="2">
        <v>97.97</v>
      </c>
      <c r="OP163" s="2">
        <v>98.02</v>
      </c>
      <c r="OQ163" s="2">
        <v>98.12</v>
      </c>
      <c r="OR163" s="2">
        <v>98.22</v>
      </c>
      <c r="OS163" s="2">
        <v>99.98999999999999</v>
      </c>
      <c r="OT163" s="2">
        <v>99.98999999999999</v>
      </c>
      <c r="OU163" s="2">
        <v>100</v>
      </c>
      <c r="OV163" s="2">
        <v>99.89</v>
      </c>
      <c r="OW163" s="2">
        <v>99.39</v>
      </c>
      <c r="OX163" s="2">
        <v>94.34999999999999</v>
      </c>
      <c r="PC163" s="2">
        <v>92.54000000000001</v>
      </c>
      <c r="PD163" s="2">
        <v>96.54000000000001</v>
      </c>
      <c r="PE163" s="2">
        <v>96.87</v>
      </c>
      <c r="PF163" s="2">
        <v>77.64</v>
      </c>
      <c r="PG163" s="2">
        <v>77.56</v>
      </c>
      <c r="PH163" s="2">
        <v>87.37</v>
      </c>
      <c r="PI163" s="2">
        <v>87.67</v>
      </c>
    </row>
    <row r="164">
      <c r="A164" t="inlineStr">
        <is>
          <t>A130398362F</t>
        </is>
      </c>
      <c r="B164" t="inlineStr">
        <is>
          <t>Index Numbers ;  Urban transport fares ;  Australia ;</t>
        </is>
      </c>
      <c r="C164" t="inlineStr">
        <is>
          <t>Month</t>
        </is>
      </c>
      <c r="D164" t="inlineStr">
        <is>
          <t>Index Numbers</t>
        </is>
      </c>
      <c r="E164" t="inlineStr">
        <is>
          <t>Original</t>
        </is>
      </c>
      <c r="F164" t="inlineStr">
        <is>
          <t>640103.xlsx</t>
        </is>
      </c>
      <c r="G164" t="inlineStr">
        <is>
          <t>2024-04</t>
        </is>
      </c>
      <c r="H164" t="inlineStr">
        <is>
          <t>2026-07</t>
        </is>
      </c>
      <c r="NZ164" s="2">
        <v>101.77</v>
      </c>
      <c r="OA164" s="2">
        <v>101.8</v>
      </c>
      <c r="OB164" s="2">
        <v>101.44</v>
      </c>
      <c r="OC164" s="2">
        <v>102.91</v>
      </c>
      <c r="OD164" s="2">
        <v>97.51000000000001</v>
      </c>
      <c r="OE164" s="2">
        <v>96.58</v>
      </c>
      <c r="OF164" s="2">
        <v>96.34999999999999</v>
      </c>
      <c r="OG164" s="2">
        <v>96.27</v>
      </c>
      <c r="OH164" s="2">
        <v>94.95999999999999</v>
      </c>
      <c r="OM164" s="2">
        <v>94.28</v>
      </c>
      <c r="ON164" s="2">
        <v>97.42</v>
      </c>
      <c r="OO164" s="2">
        <v>97.97</v>
      </c>
      <c r="OP164" s="2">
        <v>98.02</v>
      </c>
      <c r="OQ164" s="2">
        <v>98.12</v>
      </c>
      <c r="OR164" s="2">
        <v>98.22</v>
      </c>
      <c r="OS164" s="2">
        <v>99.98999999999999</v>
      </c>
      <c r="OT164" s="2">
        <v>99.98999999999999</v>
      </c>
      <c r="OU164" s="2">
        <v>100</v>
      </c>
      <c r="OV164" s="2">
        <v>99.89</v>
      </c>
      <c r="OW164" s="2">
        <v>99.39</v>
      </c>
      <c r="OX164" s="2">
        <v>94.34999999999999</v>
      </c>
      <c r="PC164" s="2">
        <v>92.54000000000001</v>
      </c>
      <c r="PD164" s="2">
        <v>96.54000000000001</v>
      </c>
      <c r="PE164" s="2">
        <v>96.87</v>
      </c>
      <c r="PF164" s="2">
        <v>77.64</v>
      </c>
      <c r="PG164" s="2">
        <v>77.56</v>
      </c>
      <c r="PH164" s="2">
        <v>87.37</v>
      </c>
      <c r="PI164" s="2">
        <v>87.67</v>
      </c>
    </row>
    <row r="165">
      <c r="A165" t="inlineStr">
        <is>
          <t>A130391291F</t>
        </is>
      </c>
      <c r="B165" t="inlineStr">
        <is>
          <t>Index Numbers ;  Communication ;  Australia ;</t>
        </is>
      </c>
      <c r="C165" t="inlineStr">
        <is>
          <t>Month</t>
        </is>
      </c>
      <c r="D165" t="inlineStr">
        <is>
          <t>Index Numbers</t>
        </is>
      </c>
      <c r="E165" t="inlineStr">
        <is>
          <t>Original</t>
        </is>
      </c>
      <c r="F165" t="inlineStr">
        <is>
          <t>640103.xlsx</t>
        </is>
      </c>
      <c r="G165" t="inlineStr">
        <is>
          <t>2024-04</t>
        </is>
      </c>
      <c r="H165" t="inlineStr">
        <is>
          <t>2026-07</t>
        </is>
      </c>
      <c r="NZ165" s="2">
        <v>98.53</v>
      </c>
      <c r="OA165" s="2">
        <v>97.89</v>
      </c>
      <c r="OB165" s="2">
        <v>97.25</v>
      </c>
      <c r="OC165" s="2">
        <v>98.89</v>
      </c>
      <c r="OD165" s="2">
        <v>98.38</v>
      </c>
      <c r="OE165" s="2">
        <v>98.42</v>
      </c>
      <c r="OF165" s="2">
        <v>99.05</v>
      </c>
      <c r="OG165" s="2">
        <v>98.94</v>
      </c>
      <c r="OH165" s="2">
        <v>98.72</v>
      </c>
      <c r="OM165" s="2">
        <v>98.36</v>
      </c>
      <c r="ON165" s="2">
        <v>99.09</v>
      </c>
      <c r="OO165" s="2">
        <v>98.95</v>
      </c>
      <c r="OP165" s="2">
        <v>99.20999999999999</v>
      </c>
      <c r="OQ165" s="2">
        <v>98.84999999999999</v>
      </c>
      <c r="OR165" s="2">
        <v>98.01000000000001</v>
      </c>
      <c r="OS165" s="2">
        <v>99.48999999999999</v>
      </c>
      <c r="OT165" s="2">
        <v>100.2</v>
      </c>
      <c r="OU165" s="2">
        <v>100</v>
      </c>
      <c r="OV165" s="2">
        <v>99.8</v>
      </c>
      <c r="OW165" s="2">
        <v>100.24</v>
      </c>
      <c r="OX165" s="2">
        <v>99.8</v>
      </c>
      <c r="PC165" s="2">
        <v>99.70999999999999</v>
      </c>
      <c r="PD165" s="2">
        <v>99.89</v>
      </c>
      <c r="PE165" s="2">
        <v>100.35</v>
      </c>
      <c r="PF165" s="2">
        <v>100.74</v>
      </c>
      <c r="PG165" s="2">
        <v>100.9</v>
      </c>
      <c r="PH165" s="2">
        <v>100.21</v>
      </c>
      <c r="PI165" s="2">
        <v>101.99</v>
      </c>
    </row>
    <row r="166">
      <c r="A166" t="inlineStr">
        <is>
          <t>A130390479R</t>
        </is>
      </c>
      <c r="B166" t="inlineStr">
        <is>
          <t>Index Numbers ;  Communication ;  Australia ;</t>
        </is>
      </c>
      <c r="C166" t="inlineStr">
        <is>
          <t>Month</t>
        </is>
      </c>
      <c r="D166" t="inlineStr">
        <is>
          <t>Index Numbers</t>
        </is>
      </c>
      <c r="E166" t="inlineStr">
        <is>
          <t>Original</t>
        </is>
      </c>
      <c r="F166" t="inlineStr">
        <is>
          <t>640103.xlsx</t>
        </is>
      </c>
      <c r="G166" t="inlineStr">
        <is>
          <t>2024-04</t>
        </is>
      </c>
      <c r="H166" t="inlineStr">
        <is>
          <t>2026-07</t>
        </is>
      </c>
      <c r="NZ166" s="2">
        <v>98.53</v>
      </c>
      <c r="OA166" s="2">
        <v>97.89</v>
      </c>
      <c r="OB166" s="2">
        <v>97.25</v>
      </c>
      <c r="OC166" s="2">
        <v>98.89</v>
      </c>
      <c r="OD166" s="2">
        <v>98.38</v>
      </c>
      <c r="OE166" s="2">
        <v>98.42</v>
      </c>
      <c r="OF166" s="2">
        <v>99.05</v>
      </c>
      <c r="OG166" s="2">
        <v>98.94</v>
      </c>
      <c r="OH166" s="2">
        <v>98.72</v>
      </c>
      <c r="OM166" s="2">
        <v>98.36</v>
      </c>
      <c r="ON166" s="2">
        <v>99.09</v>
      </c>
      <c r="OO166" s="2">
        <v>98.95</v>
      </c>
      <c r="OP166" s="2">
        <v>99.20999999999999</v>
      </c>
      <c r="OQ166" s="2">
        <v>98.84999999999999</v>
      </c>
      <c r="OR166" s="2">
        <v>98.01000000000001</v>
      </c>
      <c r="OS166" s="2">
        <v>99.48999999999999</v>
      </c>
      <c r="OT166" s="2">
        <v>100.2</v>
      </c>
      <c r="OU166" s="2">
        <v>100</v>
      </c>
      <c r="OV166" s="2">
        <v>99.8</v>
      </c>
      <c r="OW166" s="2">
        <v>100.24</v>
      </c>
      <c r="OX166" s="2">
        <v>99.8</v>
      </c>
      <c r="PC166" s="2">
        <v>99.70999999999999</v>
      </c>
      <c r="PD166" s="2">
        <v>99.89</v>
      </c>
      <c r="PE166" s="2">
        <v>100.35</v>
      </c>
      <c r="PF166" s="2">
        <v>100.74</v>
      </c>
      <c r="PG166" s="2">
        <v>100.9</v>
      </c>
      <c r="PH166" s="2">
        <v>100.21</v>
      </c>
      <c r="PI166" s="2">
        <v>101.99</v>
      </c>
    </row>
    <row r="167">
      <c r="A167" t="inlineStr">
        <is>
          <t>A130399548W</t>
        </is>
      </c>
      <c r="B167" t="inlineStr">
        <is>
          <t>Index Numbers ;  Postal services ;  Australia ;</t>
        </is>
      </c>
      <c r="C167" t="inlineStr">
        <is>
          <t>Month</t>
        </is>
      </c>
      <c r="D167" t="inlineStr">
        <is>
          <t>Index Numbers</t>
        </is>
      </c>
      <c r="E167" t="inlineStr">
        <is>
          <t>Original</t>
        </is>
      </c>
      <c r="F167" t="inlineStr">
        <is>
          <t>640103.xlsx</t>
        </is>
      </c>
      <c r="G167" t="inlineStr">
        <is>
          <t>2022-07</t>
        </is>
      </c>
      <c r="H167" t="inlineStr">
        <is>
          <t>2026-07</t>
        </is>
      </c>
      <c r="MW167" s="2">
        <v>80.95</v>
      </c>
      <c r="MX167" s="2">
        <v>81.15000000000001</v>
      </c>
      <c r="MY167" s="2">
        <v>81.84</v>
      </c>
      <c r="MZ167" s="2">
        <v>81.81999999999999</v>
      </c>
      <c r="NA167" s="2">
        <v>81.73</v>
      </c>
      <c r="NB167" s="2">
        <v>81.41</v>
      </c>
      <c r="NG167" s="2">
        <v>81.81999999999999</v>
      </c>
      <c r="NH167" s="2">
        <v>81.40000000000001</v>
      </c>
      <c r="NI167" s="2">
        <v>85.88</v>
      </c>
      <c r="NJ167" s="2">
        <v>85.15000000000001</v>
      </c>
      <c r="NK167" s="2">
        <v>86.33</v>
      </c>
      <c r="NL167" s="2">
        <v>86.04000000000001</v>
      </c>
      <c r="NM167" s="2">
        <v>90.95</v>
      </c>
      <c r="NN167" s="2">
        <v>93.58</v>
      </c>
      <c r="NO167" s="2">
        <v>94.06</v>
      </c>
      <c r="NP167" s="2">
        <v>94.42</v>
      </c>
      <c r="NQ167" s="2">
        <v>95</v>
      </c>
      <c r="NR167" s="2">
        <v>95.39</v>
      </c>
      <c r="NW167" s="2">
        <v>95.02</v>
      </c>
      <c r="NX167" s="2">
        <v>96.22</v>
      </c>
      <c r="NY167" s="2">
        <v>96.20999999999999</v>
      </c>
      <c r="NZ167" s="2">
        <v>96.77</v>
      </c>
      <c r="OA167" s="2">
        <v>94.61</v>
      </c>
      <c r="OB167" s="2">
        <v>92.38</v>
      </c>
      <c r="OC167" s="2">
        <v>96.26000000000001</v>
      </c>
      <c r="OD167" s="2">
        <v>96.17</v>
      </c>
      <c r="OE167" s="2">
        <v>95.95999999999999</v>
      </c>
      <c r="OF167" s="2">
        <v>95.36</v>
      </c>
      <c r="OG167" s="2">
        <v>95.19</v>
      </c>
      <c r="OH167" s="2">
        <v>95.05</v>
      </c>
      <c r="OM167" s="2">
        <v>95.03</v>
      </c>
      <c r="ON167" s="2">
        <v>96.36</v>
      </c>
      <c r="OO167" s="2">
        <v>96.76000000000001</v>
      </c>
      <c r="OP167" s="2">
        <v>98.13</v>
      </c>
      <c r="OQ167" s="2">
        <v>97.98</v>
      </c>
      <c r="OR167" s="2">
        <v>98.29000000000001</v>
      </c>
      <c r="OS167" s="2">
        <v>99.40000000000001</v>
      </c>
      <c r="OT167" s="2">
        <v>99.59</v>
      </c>
      <c r="OU167" s="2">
        <v>100</v>
      </c>
      <c r="OV167" s="2">
        <v>100.56</v>
      </c>
      <c r="OW167" s="2">
        <v>100.63</v>
      </c>
      <c r="OX167" s="2">
        <v>100.87</v>
      </c>
      <c r="PC167" s="2">
        <v>100.78</v>
      </c>
      <c r="PD167" s="2">
        <v>100.46</v>
      </c>
      <c r="PE167" s="2">
        <v>104.04</v>
      </c>
      <c r="PF167" s="2">
        <v>110.3</v>
      </c>
      <c r="PG167" s="2">
        <v>109.33</v>
      </c>
      <c r="PH167" s="2">
        <v>106.88</v>
      </c>
      <c r="PI167" s="2">
        <v>106.12</v>
      </c>
    </row>
    <row r="168">
      <c r="A168" t="inlineStr">
        <is>
          <t>A130398292K</t>
        </is>
      </c>
      <c r="B168" t="inlineStr">
        <is>
          <t>Index Numbers ;  Telecommunication equipment and services ;  Australia ;</t>
        </is>
      </c>
      <c r="C168" t="inlineStr">
        <is>
          <t>Month</t>
        </is>
      </c>
      <c r="D168" t="inlineStr">
        <is>
          <t>Index Numbers</t>
        </is>
      </c>
      <c r="E168" t="inlineStr">
        <is>
          <t>Original</t>
        </is>
      </c>
      <c r="F168" t="inlineStr">
        <is>
          <t>640103.xlsx</t>
        </is>
      </c>
      <c r="G168" t="inlineStr">
        <is>
          <t>2024-04</t>
        </is>
      </c>
      <c r="H168" t="inlineStr">
        <is>
          <t>2026-07</t>
        </is>
      </c>
      <c r="NZ168" s="2">
        <v>98.61</v>
      </c>
      <c r="OA168" s="2">
        <v>98.06</v>
      </c>
      <c r="OB168" s="2">
        <v>97.52</v>
      </c>
      <c r="OC168" s="2">
        <v>99.02</v>
      </c>
      <c r="OD168" s="2">
        <v>98.48</v>
      </c>
      <c r="OE168" s="2">
        <v>98.54000000000001</v>
      </c>
      <c r="OF168" s="2">
        <v>99.25</v>
      </c>
      <c r="OG168" s="2">
        <v>99.14</v>
      </c>
      <c r="OH168" s="2">
        <v>98.92</v>
      </c>
      <c r="OM168" s="2">
        <v>98.54000000000001</v>
      </c>
      <c r="ON168" s="2">
        <v>99.23999999999999</v>
      </c>
      <c r="OO168" s="2">
        <v>99.06999999999999</v>
      </c>
      <c r="OP168" s="2">
        <v>99.27</v>
      </c>
      <c r="OQ168" s="2">
        <v>98.89</v>
      </c>
      <c r="OR168" s="2">
        <v>97.98999999999999</v>
      </c>
      <c r="OS168" s="2">
        <v>99.5</v>
      </c>
      <c r="OT168" s="2">
        <v>100.23</v>
      </c>
      <c r="OU168" s="2">
        <v>100</v>
      </c>
      <c r="OV168" s="2">
        <v>99.76000000000001</v>
      </c>
      <c r="OW168" s="2">
        <v>100.22</v>
      </c>
      <c r="OX168" s="2">
        <v>99.73999999999999</v>
      </c>
      <c r="PC168" s="2">
        <v>99.65000000000001</v>
      </c>
      <c r="PD168" s="2">
        <v>99.86</v>
      </c>
      <c r="PE168" s="2">
        <v>100.16</v>
      </c>
      <c r="PF168" s="2">
        <v>100.23</v>
      </c>
      <c r="PG168" s="2">
        <v>100.46</v>
      </c>
      <c r="PH168" s="2">
        <v>99.86</v>
      </c>
      <c r="PI168" s="2">
        <v>101.77</v>
      </c>
    </row>
    <row r="169">
      <c r="A169" t="inlineStr">
        <is>
          <t>A130393832W</t>
        </is>
      </c>
      <c r="B169" t="inlineStr">
        <is>
          <t>Index Numbers ;  Recreation and culture ;  Australia ;</t>
        </is>
      </c>
      <c r="C169" t="inlineStr">
        <is>
          <t>Month</t>
        </is>
      </c>
      <c r="D169" t="inlineStr">
        <is>
          <t>Index Numbers</t>
        </is>
      </c>
      <c r="E169" t="inlineStr">
        <is>
          <t>Original</t>
        </is>
      </c>
      <c r="F169" t="inlineStr">
        <is>
          <t>640103.xlsx</t>
        </is>
      </c>
      <c r="G169" t="inlineStr">
        <is>
          <t>2024-04</t>
        </is>
      </c>
      <c r="H169" t="inlineStr">
        <is>
          <t>2026-07</t>
        </is>
      </c>
      <c r="NZ169" s="2">
        <v>95.51000000000001</v>
      </c>
      <c r="OA169" s="2">
        <v>94.56</v>
      </c>
      <c r="OB169" s="2">
        <v>97.56999999999999</v>
      </c>
      <c r="OC169" s="2">
        <v>96.73</v>
      </c>
      <c r="OD169" s="2">
        <v>96.51000000000001</v>
      </c>
      <c r="OE169" s="2">
        <v>98.25</v>
      </c>
      <c r="OF169" s="2">
        <v>96.78</v>
      </c>
      <c r="OG169" s="2">
        <v>96.87</v>
      </c>
      <c r="OH169" s="2">
        <v>101.6</v>
      </c>
      <c r="OM169" s="2">
        <v>98.87</v>
      </c>
      <c r="ON169" s="2">
        <v>95.51000000000001</v>
      </c>
      <c r="OO169" s="2">
        <v>96.01000000000001</v>
      </c>
      <c r="OP169" s="2">
        <v>98.79000000000001</v>
      </c>
      <c r="OQ169" s="2">
        <v>95.84999999999999</v>
      </c>
      <c r="OR169" s="2">
        <v>96.68000000000001</v>
      </c>
      <c r="OS169" s="2">
        <v>99.09999999999999</v>
      </c>
      <c r="OT169" s="2">
        <v>97.84</v>
      </c>
      <c r="OU169" s="2">
        <v>100</v>
      </c>
      <c r="OV169" s="2">
        <v>99.84</v>
      </c>
      <c r="OW169" s="2">
        <v>98.77</v>
      </c>
      <c r="OX169" s="2">
        <v>106.05</v>
      </c>
      <c r="PC169" s="2">
        <v>102.48</v>
      </c>
      <c r="PD169" s="2">
        <v>99.44</v>
      </c>
      <c r="PE169" s="2">
        <v>98.73999999999999</v>
      </c>
      <c r="PF169" s="2">
        <v>101.26</v>
      </c>
      <c r="PG169" s="2">
        <v>98.14</v>
      </c>
      <c r="PH169" s="2">
        <v>99.91</v>
      </c>
      <c r="PI169" s="2">
        <v>101.67</v>
      </c>
    </row>
    <row r="170">
      <c r="A170" t="inlineStr">
        <is>
          <t>A130399079T</t>
        </is>
      </c>
      <c r="B170" t="inlineStr">
        <is>
          <t>Index Numbers ;  Audio, visual and computing equipment and services ;  Australia ;</t>
        </is>
      </c>
      <c r="C170" t="inlineStr">
        <is>
          <t>Month</t>
        </is>
      </c>
      <c r="D170" t="inlineStr">
        <is>
          <t>Index Numbers</t>
        </is>
      </c>
      <c r="E170" t="inlineStr">
        <is>
          <t>Original</t>
        </is>
      </c>
      <c r="F170" t="inlineStr">
        <is>
          <t>640103.xlsx</t>
        </is>
      </c>
      <c r="G170" t="inlineStr">
        <is>
          <t>2024-04</t>
        </is>
      </c>
      <c r="H170" t="inlineStr">
        <is>
          <t>2026-07</t>
        </is>
      </c>
      <c r="NZ170" s="2">
        <v>94.7</v>
      </c>
      <c r="OA170" s="2">
        <v>96.31</v>
      </c>
      <c r="OB170" s="2">
        <v>95.33</v>
      </c>
      <c r="OC170" s="2">
        <v>96.55</v>
      </c>
      <c r="OD170" s="2">
        <v>96.62</v>
      </c>
      <c r="OE170" s="2">
        <v>96.14</v>
      </c>
      <c r="OF170" s="2">
        <v>95.84</v>
      </c>
      <c r="OG170" s="2">
        <v>96.94</v>
      </c>
      <c r="OH170" s="2">
        <v>95</v>
      </c>
      <c r="OM170" s="2">
        <v>95.05</v>
      </c>
      <c r="ON170" s="2">
        <v>95.78</v>
      </c>
      <c r="OO170" s="2">
        <v>96.63</v>
      </c>
      <c r="OP170" s="2">
        <v>96.98999999999999</v>
      </c>
      <c r="OQ170" s="2">
        <v>97.84</v>
      </c>
      <c r="OR170" s="2">
        <v>97.40000000000001</v>
      </c>
      <c r="OS170" s="2">
        <v>97.93000000000001</v>
      </c>
      <c r="OT170" s="2">
        <v>100.37</v>
      </c>
      <c r="OU170" s="2">
        <v>100</v>
      </c>
      <c r="OV170" s="2">
        <v>99.92</v>
      </c>
      <c r="OW170" s="2">
        <v>100.31</v>
      </c>
      <c r="OX170" s="2">
        <v>98.70999999999999</v>
      </c>
      <c r="PC170" s="2">
        <v>100.5</v>
      </c>
      <c r="PD170" s="2">
        <v>101.3</v>
      </c>
      <c r="PE170" s="2">
        <v>100.5</v>
      </c>
      <c r="PF170" s="2">
        <v>100.96</v>
      </c>
      <c r="PG170" s="2">
        <v>101.7</v>
      </c>
      <c r="PH170" s="2">
        <v>100.25</v>
      </c>
      <c r="PI170" s="2">
        <v>104.45</v>
      </c>
    </row>
    <row r="171">
      <c r="A171" t="inlineStr">
        <is>
          <t>A130397185K</t>
        </is>
      </c>
      <c r="B171" t="inlineStr">
        <is>
          <t>Index Numbers ;  Audio, visual and computing equipment ;  Australia ;</t>
        </is>
      </c>
      <c r="C171" t="inlineStr">
        <is>
          <t>Month</t>
        </is>
      </c>
      <c r="D171" t="inlineStr">
        <is>
          <t>Index Numbers</t>
        </is>
      </c>
      <c r="E171" t="inlineStr">
        <is>
          <t>Original</t>
        </is>
      </c>
      <c r="F171" t="inlineStr">
        <is>
          <t>640103.xlsx</t>
        </is>
      </c>
      <c r="G171" t="inlineStr">
        <is>
          <t>2024-04</t>
        </is>
      </c>
      <c r="H171" t="inlineStr">
        <is>
          <t>2026-07</t>
        </is>
      </c>
      <c r="NZ171" s="2">
        <v>102.39</v>
      </c>
      <c r="OA171" s="2">
        <v>103.19</v>
      </c>
      <c r="OB171" s="2">
        <v>100.63</v>
      </c>
      <c r="OC171" s="2">
        <v>102.19</v>
      </c>
      <c r="OD171" s="2">
        <v>102.07</v>
      </c>
      <c r="OE171" s="2">
        <v>101.01</v>
      </c>
      <c r="OF171" s="2">
        <v>100.36</v>
      </c>
      <c r="OG171" s="2">
        <v>101.76</v>
      </c>
      <c r="OH171" s="2">
        <v>98.26000000000001</v>
      </c>
      <c r="OM171" s="2">
        <v>98.34</v>
      </c>
      <c r="ON171" s="2">
        <v>99.23</v>
      </c>
      <c r="OO171" s="2">
        <v>99.91</v>
      </c>
      <c r="OP171" s="2">
        <v>100.51</v>
      </c>
      <c r="OQ171" s="2">
        <v>101.91</v>
      </c>
      <c r="OR171" s="2">
        <v>100.33</v>
      </c>
      <c r="OS171" s="2">
        <v>101.5</v>
      </c>
      <c r="OT171" s="2">
        <v>101.43</v>
      </c>
      <c r="OU171" s="2">
        <v>100</v>
      </c>
      <c r="OV171" s="2">
        <v>99.88</v>
      </c>
      <c r="OW171" s="2">
        <v>100.05</v>
      </c>
      <c r="OX171" s="2">
        <v>96.7</v>
      </c>
      <c r="PC171" s="2">
        <v>100.14</v>
      </c>
      <c r="PD171" s="2">
        <v>101.04</v>
      </c>
      <c r="PE171" s="2">
        <v>99.22</v>
      </c>
      <c r="PF171" s="2">
        <v>99.7</v>
      </c>
      <c r="PG171" s="2">
        <v>99.98999999999999</v>
      </c>
      <c r="PH171" s="2">
        <v>97.34</v>
      </c>
      <c r="PI171" s="2">
        <v>104.84</v>
      </c>
    </row>
    <row r="172">
      <c r="A172" t="inlineStr">
        <is>
          <t>A130397865R</t>
        </is>
      </c>
      <c r="B172" t="inlineStr">
        <is>
          <t>Index Numbers ;  Audio, visual and computing media and services ;  Australia ;</t>
        </is>
      </c>
      <c r="C172" t="inlineStr">
        <is>
          <t>Month</t>
        </is>
      </c>
      <c r="D172" t="inlineStr">
        <is>
          <t>Index Numbers</t>
        </is>
      </c>
      <c r="E172" t="inlineStr">
        <is>
          <t>Original</t>
        </is>
      </c>
      <c r="F172" t="inlineStr">
        <is>
          <t>640103.xlsx</t>
        </is>
      </c>
      <c r="G172" t="inlineStr">
        <is>
          <t>2024-04</t>
        </is>
      </c>
      <c r="H172" t="inlineStr">
        <is>
          <t>2026-07</t>
        </is>
      </c>
      <c r="NZ172" s="2">
        <v>86.37</v>
      </c>
      <c r="OA172" s="2">
        <v>88.89</v>
      </c>
      <c r="OB172" s="2">
        <v>89.67</v>
      </c>
      <c r="OC172" s="2">
        <v>90.5</v>
      </c>
      <c r="OD172" s="2">
        <v>90.78</v>
      </c>
      <c r="OE172" s="2">
        <v>90.95999999999999</v>
      </c>
      <c r="OF172" s="2">
        <v>91.05</v>
      </c>
      <c r="OG172" s="2">
        <v>91.81</v>
      </c>
      <c r="OH172" s="2">
        <v>91.62</v>
      </c>
      <c r="OM172" s="2">
        <v>91.63</v>
      </c>
      <c r="ON172" s="2">
        <v>92.2</v>
      </c>
      <c r="OO172" s="2">
        <v>93.22</v>
      </c>
      <c r="OP172" s="2">
        <v>93.33</v>
      </c>
      <c r="OQ172" s="2">
        <v>93.61</v>
      </c>
      <c r="OR172" s="2">
        <v>94.34</v>
      </c>
      <c r="OS172" s="2">
        <v>94.20999999999999</v>
      </c>
      <c r="OT172" s="2">
        <v>99.27</v>
      </c>
      <c r="OU172" s="2">
        <v>100</v>
      </c>
      <c r="OV172" s="2">
        <v>99.95999999999999</v>
      </c>
      <c r="OW172" s="2">
        <v>100.57</v>
      </c>
      <c r="OX172" s="2">
        <v>100.79</v>
      </c>
      <c r="PC172" s="2">
        <v>100.88</v>
      </c>
      <c r="PD172" s="2">
        <v>101.57</v>
      </c>
      <c r="PE172" s="2">
        <v>101.84</v>
      </c>
      <c r="PF172" s="2">
        <v>102.27</v>
      </c>
      <c r="PG172" s="2">
        <v>103.48</v>
      </c>
      <c r="PH172" s="2">
        <v>103.27</v>
      </c>
      <c r="PI172" s="2">
        <v>104.04</v>
      </c>
    </row>
    <row r="173">
      <c r="A173" t="inlineStr">
        <is>
          <t>A130394196L</t>
        </is>
      </c>
      <c r="B173" t="inlineStr">
        <is>
          <t>Index Numbers ;  Newspapers, books and stationery ;  Australia ;</t>
        </is>
      </c>
      <c r="C173" t="inlineStr">
        <is>
          <t>Month</t>
        </is>
      </c>
      <c r="D173" t="inlineStr">
        <is>
          <t>Index Numbers</t>
        </is>
      </c>
      <c r="E173" t="inlineStr">
        <is>
          <t>Original</t>
        </is>
      </c>
      <c r="F173" t="inlineStr">
        <is>
          <t>640103.xlsx</t>
        </is>
      </c>
      <c r="G173" t="inlineStr">
        <is>
          <t>2024-04</t>
        </is>
      </c>
      <c r="H173" t="inlineStr">
        <is>
          <t>2026-07</t>
        </is>
      </c>
      <c r="NZ173" s="2">
        <v>96.48</v>
      </c>
      <c r="OA173" s="2">
        <v>96.29000000000001</v>
      </c>
      <c r="OB173" s="2">
        <v>96.59</v>
      </c>
      <c r="OC173" s="2">
        <v>97.06</v>
      </c>
      <c r="OD173" s="2">
        <v>97.61</v>
      </c>
      <c r="OE173" s="2">
        <v>96.77</v>
      </c>
      <c r="OF173" s="2">
        <v>97.23999999999999</v>
      </c>
      <c r="OG173" s="2">
        <v>97.48999999999999</v>
      </c>
      <c r="OH173" s="2">
        <v>96.68000000000001</v>
      </c>
      <c r="OM173" s="2">
        <v>96.61</v>
      </c>
      <c r="ON173" s="2">
        <v>98.27</v>
      </c>
      <c r="OO173" s="2">
        <v>96.97</v>
      </c>
      <c r="OP173" s="2">
        <v>98.16</v>
      </c>
      <c r="OQ173" s="2">
        <v>98.5</v>
      </c>
      <c r="OR173" s="2">
        <v>98.59</v>
      </c>
      <c r="OS173" s="2">
        <v>100.46</v>
      </c>
      <c r="OT173" s="2">
        <v>100.47</v>
      </c>
      <c r="OU173" s="2">
        <v>100</v>
      </c>
      <c r="OV173" s="2">
        <v>100.06</v>
      </c>
      <c r="OW173" s="2">
        <v>100.96</v>
      </c>
      <c r="OX173" s="2">
        <v>100.1</v>
      </c>
      <c r="PC173" s="2">
        <v>99.54000000000001</v>
      </c>
      <c r="PD173" s="2">
        <v>101.73</v>
      </c>
      <c r="PE173" s="2">
        <v>101.62</v>
      </c>
      <c r="PF173" s="2">
        <v>100.41</v>
      </c>
      <c r="PG173" s="2">
        <v>101.83</v>
      </c>
      <c r="PH173" s="2">
        <v>101.69</v>
      </c>
      <c r="PI173" s="2">
        <v>102.89</v>
      </c>
    </row>
    <row r="174">
      <c r="A174" t="inlineStr">
        <is>
          <t>A130394952J</t>
        </is>
      </c>
      <c r="B174" t="inlineStr">
        <is>
          <t>Index Numbers ;  Books ;  Australia ;</t>
        </is>
      </c>
      <c r="C174" t="inlineStr">
        <is>
          <t>Month</t>
        </is>
      </c>
      <c r="D174" t="inlineStr">
        <is>
          <t>Index Numbers</t>
        </is>
      </c>
      <c r="E174" t="inlineStr">
        <is>
          <t>Original</t>
        </is>
      </c>
      <c r="F174" t="inlineStr">
        <is>
          <t>640103.xlsx</t>
        </is>
      </c>
      <c r="G174" t="inlineStr">
        <is>
          <t>2024-04</t>
        </is>
      </c>
      <c r="H174" t="inlineStr">
        <is>
          <t>2026-07</t>
        </is>
      </c>
      <c r="NZ174" s="2">
        <v>101.32</v>
      </c>
      <c r="OA174" s="2">
        <v>101.33</v>
      </c>
      <c r="OB174" s="2">
        <v>101.97</v>
      </c>
      <c r="OC174" s="2">
        <v>102.27</v>
      </c>
      <c r="OD174" s="2">
        <v>103.12</v>
      </c>
      <c r="OE174" s="2">
        <v>99.48</v>
      </c>
      <c r="OF174" s="2">
        <v>99.56999999999999</v>
      </c>
      <c r="OG174" s="2">
        <v>100.45</v>
      </c>
      <c r="OH174" s="2">
        <v>99.62</v>
      </c>
      <c r="OM174" s="2">
        <v>102.28</v>
      </c>
      <c r="ON174" s="2">
        <v>102.46</v>
      </c>
      <c r="OO174" s="2">
        <v>99.91</v>
      </c>
      <c r="OP174" s="2">
        <v>101.62</v>
      </c>
      <c r="OQ174" s="2">
        <v>102.06</v>
      </c>
      <c r="OR174" s="2">
        <v>100.09</v>
      </c>
      <c r="OS174" s="2">
        <v>102.04</v>
      </c>
      <c r="OT174" s="2">
        <v>100.97</v>
      </c>
      <c r="OU174" s="2">
        <v>100</v>
      </c>
      <c r="OV174" s="2">
        <v>101.84</v>
      </c>
      <c r="OW174" s="2">
        <v>101.67</v>
      </c>
      <c r="OX174" s="2">
        <v>99.36</v>
      </c>
      <c r="PC174" s="2">
        <v>103.36</v>
      </c>
      <c r="PD174" s="2">
        <v>102.74</v>
      </c>
      <c r="PE174" s="2">
        <v>101.73</v>
      </c>
      <c r="PF174" s="2">
        <v>98.45999999999999</v>
      </c>
      <c r="PG174" s="2">
        <v>101.61</v>
      </c>
      <c r="PH174" s="2">
        <v>100.47</v>
      </c>
      <c r="PI174" s="2">
        <v>104.14</v>
      </c>
    </row>
    <row r="175">
      <c r="A175" t="inlineStr">
        <is>
          <t>A130392880W</t>
        </is>
      </c>
      <c r="B175" t="inlineStr">
        <is>
          <t>Index Numbers ;  Newspapers, magazines and stationery ;  Australia ;</t>
        </is>
      </c>
      <c r="C175" t="inlineStr">
        <is>
          <t>Month</t>
        </is>
      </c>
      <c r="D175" t="inlineStr">
        <is>
          <t>Index Numbers</t>
        </is>
      </c>
      <c r="E175" t="inlineStr">
        <is>
          <t>Original</t>
        </is>
      </c>
      <c r="F175" t="inlineStr">
        <is>
          <t>640103.xlsx</t>
        </is>
      </c>
      <c r="G175" t="inlineStr">
        <is>
          <t>2024-04</t>
        </is>
      </c>
      <c r="H175" t="inlineStr">
        <is>
          <t>2026-07</t>
        </is>
      </c>
      <c r="NZ175" s="2">
        <v>94.66</v>
      </c>
      <c r="OA175" s="2">
        <v>94.40000000000001</v>
      </c>
      <c r="OB175" s="2">
        <v>94.56999999999999</v>
      </c>
      <c r="OC175" s="2">
        <v>95.11</v>
      </c>
      <c r="OD175" s="2">
        <v>95.54000000000001</v>
      </c>
      <c r="OE175" s="2">
        <v>95.73999999999999</v>
      </c>
      <c r="OF175" s="2">
        <v>96.34999999999999</v>
      </c>
      <c r="OG175" s="2">
        <v>96.37</v>
      </c>
      <c r="OH175" s="2">
        <v>95.56</v>
      </c>
      <c r="OM175" s="2">
        <v>94.44</v>
      </c>
      <c r="ON175" s="2">
        <v>96.68000000000001</v>
      </c>
      <c r="OO175" s="2">
        <v>95.84999999999999</v>
      </c>
      <c r="OP175" s="2">
        <v>96.84</v>
      </c>
      <c r="OQ175" s="2">
        <v>97.15000000000001</v>
      </c>
      <c r="OR175" s="2">
        <v>98.02</v>
      </c>
      <c r="OS175" s="2">
        <v>99.86</v>
      </c>
      <c r="OT175" s="2">
        <v>100.27</v>
      </c>
      <c r="OU175" s="2">
        <v>100</v>
      </c>
      <c r="OV175" s="2">
        <v>99.38</v>
      </c>
      <c r="OW175" s="2">
        <v>100.69</v>
      </c>
      <c r="OX175" s="2">
        <v>100.39</v>
      </c>
      <c r="PC175" s="2">
        <v>98.08</v>
      </c>
      <c r="PD175" s="2">
        <v>101.34</v>
      </c>
      <c r="PE175" s="2">
        <v>101.58</v>
      </c>
      <c r="PF175" s="2">
        <v>101.15</v>
      </c>
      <c r="PG175" s="2">
        <v>101.91</v>
      </c>
      <c r="PH175" s="2">
        <v>102.15</v>
      </c>
      <c r="PI175" s="2">
        <v>102.41</v>
      </c>
    </row>
    <row r="176">
      <c r="A176" t="inlineStr">
        <is>
          <t>A130391830F</t>
        </is>
      </c>
      <c r="B176" t="inlineStr">
        <is>
          <t>Index Numbers ;  Holiday travel and accommodation ;  Australia ;</t>
        </is>
      </c>
      <c r="C176" t="inlineStr">
        <is>
          <t>Month</t>
        </is>
      </c>
      <c r="D176" t="inlineStr">
        <is>
          <t>Index Numbers</t>
        </is>
      </c>
      <c r="E176" t="inlineStr">
        <is>
          <t>Original</t>
        </is>
      </c>
      <c r="F176" t="inlineStr">
        <is>
          <t>640103.xlsx</t>
        </is>
      </c>
      <c r="G176" t="inlineStr">
        <is>
          <t>2017-09</t>
        </is>
      </c>
      <c r="H176" t="inlineStr">
        <is>
          <t>2026-07</t>
        </is>
      </c>
      <c r="JW176" s="2">
        <v>81.75</v>
      </c>
      <c r="JX176" s="2">
        <v>81.92</v>
      </c>
      <c r="JY176" s="2">
        <v>80.42</v>
      </c>
      <c r="JZ176" s="2">
        <v>89.95999999999999</v>
      </c>
      <c r="KE176" s="2">
        <v>88.63</v>
      </c>
      <c r="KF176" s="2">
        <v>81.58</v>
      </c>
      <c r="KG176" s="2">
        <v>80.75</v>
      </c>
      <c r="KH176" s="2">
        <v>85.09</v>
      </c>
      <c r="KI176" s="2">
        <v>80.81999999999999</v>
      </c>
      <c r="KJ176" s="2">
        <v>82.29000000000001</v>
      </c>
      <c r="KK176" s="2">
        <v>89.43000000000001</v>
      </c>
      <c r="KL176" s="2">
        <v>82.09999999999999</v>
      </c>
      <c r="KM176" s="2">
        <v>85.28</v>
      </c>
      <c r="KN176" s="2">
        <v>86.09</v>
      </c>
      <c r="KO176" s="2">
        <v>83.27</v>
      </c>
      <c r="KP176" s="2">
        <v>94.45</v>
      </c>
      <c r="KU176" s="2">
        <v>92.02</v>
      </c>
      <c r="KV176" s="2">
        <v>83.13</v>
      </c>
      <c r="KW176" s="2">
        <v>80.79000000000001</v>
      </c>
      <c r="KX176" s="2">
        <v>89.27</v>
      </c>
      <c r="KY176" s="2">
        <v>82.95999999999999</v>
      </c>
      <c r="KZ176" s="2">
        <v>85.28</v>
      </c>
      <c r="LA176" s="2">
        <v>92.28</v>
      </c>
      <c r="LB176" s="2">
        <v>86</v>
      </c>
      <c r="LC176" s="2">
        <v>87.31999999999999</v>
      </c>
      <c r="LD176" s="2">
        <v>89.8</v>
      </c>
      <c r="LE176" s="2">
        <v>84.28</v>
      </c>
      <c r="LF176" s="2">
        <v>96.63</v>
      </c>
      <c r="LK176" s="2">
        <v>95.55</v>
      </c>
      <c r="LL176" s="2">
        <v>82.72</v>
      </c>
      <c r="LM176" s="2">
        <v>84.25</v>
      </c>
      <c r="LN176" s="2">
        <v>86.56</v>
      </c>
      <c r="LO176" s="2">
        <v>84.88</v>
      </c>
      <c r="LP176" s="2">
        <v>84.54000000000001</v>
      </c>
      <c r="LQ176" s="2">
        <v>89.59</v>
      </c>
      <c r="LR176" s="2">
        <v>89.17</v>
      </c>
      <c r="LS176" s="2">
        <v>81.09</v>
      </c>
      <c r="LT176" s="2">
        <v>80.17</v>
      </c>
      <c r="LU176" s="2">
        <v>79.48999999999999</v>
      </c>
      <c r="LV176" s="2">
        <v>88.7</v>
      </c>
      <c r="MA176" s="2">
        <v>86.40000000000001</v>
      </c>
      <c r="MB176" s="2">
        <v>79.55</v>
      </c>
      <c r="MC176" s="2">
        <v>78.29000000000001</v>
      </c>
      <c r="MD176" s="2">
        <v>82.91</v>
      </c>
      <c r="ME176" s="2">
        <v>77.8</v>
      </c>
      <c r="MF176" s="2">
        <v>81.16</v>
      </c>
      <c r="MG176" s="2">
        <v>80.03</v>
      </c>
      <c r="MH176" s="2">
        <v>79.75</v>
      </c>
      <c r="MI176" s="2">
        <v>83.41</v>
      </c>
      <c r="MJ176" s="2">
        <v>84.75</v>
      </c>
      <c r="MK176" s="2">
        <v>81.3</v>
      </c>
      <c r="ML176" s="2">
        <v>89.98999999999999</v>
      </c>
      <c r="MQ176" s="2">
        <v>91.68000000000001</v>
      </c>
      <c r="MR176" s="2">
        <v>80.34</v>
      </c>
      <c r="MS176" s="2">
        <v>82.27</v>
      </c>
      <c r="MT176" s="2">
        <v>89.7</v>
      </c>
      <c r="MU176" s="2">
        <v>82.98999999999999</v>
      </c>
      <c r="MV176" s="2">
        <v>87.43000000000001</v>
      </c>
      <c r="MW176" s="2">
        <v>90.66</v>
      </c>
      <c r="MX176" s="2">
        <v>86.12</v>
      </c>
      <c r="MY176" s="2">
        <v>93.92</v>
      </c>
      <c r="MZ176" s="2">
        <v>87.91</v>
      </c>
      <c r="NA176" s="2">
        <v>91.63</v>
      </c>
      <c r="NB176" s="2">
        <v>116.41</v>
      </c>
      <c r="NG176" s="2">
        <v>108.09</v>
      </c>
      <c r="NH176" s="2">
        <v>92.29000000000001</v>
      </c>
      <c r="NI176" s="2">
        <v>93.7</v>
      </c>
      <c r="NJ176" s="2">
        <v>100.35</v>
      </c>
      <c r="NK176" s="2">
        <v>89.04000000000001</v>
      </c>
      <c r="NL176" s="2">
        <v>98.73999999999999</v>
      </c>
      <c r="NM176" s="2">
        <v>95.48</v>
      </c>
      <c r="NN176" s="2">
        <v>91.78</v>
      </c>
      <c r="NO176" s="2">
        <v>95.73</v>
      </c>
      <c r="NP176" s="2">
        <v>89.04000000000001</v>
      </c>
      <c r="NQ176" s="2">
        <v>91.41</v>
      </c>
      <c r="NR176" s="2">
        <v>105.85</v>
      </c>
      <c r="NW176" s="2">
        <v>100.35</v>
      </c>
      <c r="NX176" s="2">
        <v>91.09</v>
      </c>
      <c r="NY176" s="2">
        <v>89.97</v>
      </c>
      <c r="NZ176" s="2">
        <v>94.17</v>
      </c>
      <c r="OA176" s="2">
        <v>91.66</v>
      </c>
      <c r="OB176" s="2">
        <v>98.04000000000001</v>
      </c>
      <c r="OC176" s="2">
        <v>95.66</v>
      </c>
      <c r="OD176" s="2">
        <v>94.36</v>
      </c>
      <c r="OE176" s="2">
        <v>98.06999999999999</v>
      </c>
      <c r="OF176" s="2">
        <v>96.17</v>
      </c>
      <c r="OG176" s="2">
        <v>94.90000000000001</v>
      </c>
      <c r="OH176" s="2">
        <v>105.81</v>
      </c>
      <c r="OM176" s="2">
        <v>99.56999999999999</v>
      </c>
      <c r="ON176" s="2">
        <v>91.97</v>
      </c>
      <c r="OO176" s="2">
        <v>93.54000000000001</v>
      </c>
      <c r="OP176" s="2">
        <v>99.2</v>
      </c>
      <c r="OQ176" s="2">
        <v>92.18000000000001</v>
      </c>
      <c r="OR176" s="2">
        <v>94.40000000000001</v>
      </c>
      <c r="OS176" s="2">
        <v>98.81</v>
      </c>
      <c r="OT176" s="2">
        <v>95.38</v>
      </c>
      <c r="OU176" s="2">
        <v>100</v>
      </c>
      <c r="OV176" s="2">
        <v>99.05</v>
      </c>
      <c r="OW176" s="2">
        <v>96.59999999999999</v>
      </c>
      <c r="OX176" s="2">
        <v>111.94</v>
      </c>
      <c r="PC176" s="2">
        <v>103.43</v>
      </c>
      <c r="PD176" s="2">
        <v>96.89</v>
      </c>
      <c r="PE176" s="2">
        <v>95.58</v>
      </c>
      <c r="PF176" s="2">
        <v>100.87</v>
      </c>
      <c r="PG176" s="2">
        <v>93.89</v>
      </c>
      <c r="PH176" s="2">
        <v>98.17</v>
      </c>
      <c r="PI176" s="2">
        <v>99.95</v>
      </c>
    </row>
    <row r="177">
      <c r="A177" t="inlineStr">
        <is>
          <t>A130392194W</t>
        </is>
      </c>
      <c r="B177" t="inlineStr">
        <is>
          <t>Index Numbers ;  Domestic holiday travel and accommodation ;  Australia ;</t>
        </is>
      </c>
      <c r="C177" t="inlineStr">
        <is>
          <t>Month</t>
        </is>
      </c>
      <c r="D177" t="inlineStr">
        <is>
          <t>Index Numbers</t>
        </is>
      </c>
      <c r="E177" t="inlineStr">
        <is>
          <t>Original</t>
        </is>
      </c>
      <c r="F177" t="inlineStr">
        <is>
          <t>640103.xlsx</t>
        </is>
      </c>
      <c r="G177" t="inlineStr">
        <is>
          <t>2017-09</t>
        </is>
      </c>
      <c r="H177" t="inlineStr">
        <is>
          <t>2026-07</t>
        </is>
      </c>
      <c r="JW177" s="2">
        <v>68.15000000000001</v>
      </c>
      <c r="JX177" s="2">
        <v>71.01000000000001</v>
      </c>
      <c r="JY177" s="2">
        <v>69.48</v>
      </c>
      <c r="JZ177" s="2">
        <v>76.40000000000001</v>
      </c>
      <c r="KE177" s="2">
        <v>77.75</v>
      </c>
      <c r="KF177" s="2">
        <v>70.73999999999999</v>
      </c>
      <c r="KG177" s="2">
        <v>71.59</v>
      </c>
      <c r="KH177" s="2">
        <v>73.42</v>
      </c>
      <c r="KI177" s="2">
        <v>69.14</v>
      </c>
      <c r="KJ177" s="2">
        <v>69.41</v>
      </c>
      <c r="KK177" s="2">
        <v>73.37</v>
      </c>
      <c r="KL177" s="2">
        <v>70.81</v>
      </c>
      <c r="KM177" s="2">
        <v>73.31</v>
      </c>
      <c r="KN177" s="2">
        <v>74.23999999999999</v>
      </c>
      <c r="KO177" s="2">
        <v>73.27</v>
      </c>
      <c r="KP177" s="2">
        <v>84.14</v>
      </c>
      <c r="KU177" s="2">
        <v>80.3</v>
      </c>
      <c r="KV177" s="2">
        <v>71.41</v>
      </c>
      <c r="KW177" s="2">
        <v>71</v>
      </c>
      <c r="KX177" s="2">
        <v>76.63</v>
      </c>
      <c r="KY177" s="2">
        <v>71.23999999999999</v>
      </c>
      <c r="KZ177" s="2">
        <v>71.61</v>
      </c>
      <c r="LA177" s="2">
        <v>74.65000000000001</v>
      </c>
      <c r="LB177" s="2">
        <v>71.7</v>
      </c>
      <c r="LC177" s="2">
        <v>73.18000000000001</v>
      </c>
      <c r="LD177" s="2">
        <v>77.12</v>
      </c>
      <c r="LE177" s="2">
        <v>73.54000000000001</v>
      </c>
      <c r="LF177" s="2">
        <v>85.04000000000001</v>
      </c>
      <c r="LK177" s="2">
        <v>83.03</v>
      </c>
      <c r="LL177" s="2">
        <v>72.69</v>
      </c>
      <c r="LM177" s="2">
        <v>72.95</v>
      </c>
      <c r="LN177" s="2">
        <v>72.89</v>
      </c>
      <c r="LO177" s="2">
        <v>72.90000000000001</v>
      </c>
      <c r="LP177" s="2">
        <v>75.93000000000001</v>
      </c>
      <c r="LQ177" s="2">
        <v>73.31</v>
      </c>
      <c r="LR177" s="2">
        <v>73.26000000000001</v>
      </c>
      <c r="LS177" s="2">
        <v>78.48999999999999</v>
      </c>
      <c r="LT177" s="2">
        <v>77.23999999999999</v>
      </c>
      <c r="LU177" s="2">
        <v>76.75</v>
      </c>
      <c r="LV177" s="2">
        <v>85.02</v>
      </c>
      <c r="MA177" s="2">
        <v>83.63</v>
      </c>
      <c r="MB177" s="2">
        <v>76.52</v>
      </c>
      <c r="MC177" s="2">
        <v>74.7</v>
      </c>
      <c r="MD177" s="2">
        <v>79.69</v>
      </c>
      <c r="ME177" s="2">
        <v>74.43000000000001</v>
      </c>
      <c r="MF177" s="2">
        <v>77.62</v>
      </c>
      <c r="MG177" s="2">
        <v>76.72</v>
      </c>
      <c r="MH177" s="2">
        <v>76.72</v>
      </c>
      <c r="MI177" s="2">
        <v>80.08</v>
      </c>
      <c r="MJ177" s="2">
        <v>81.03</v>
      </c>
      <c r="MK177" s="2">
        <v>77.58</v>
      </c>
      <c r="ML177" s="2">
        <v>86.23</v>
      </c>
      <c r="MQ177" s="2">
        <v>88.63</v>
      </c>
      <c r="MR177" s="2">
        <v>77.51000000000001</v>
      </c>
      <c r="MS177" s="2">
        <v>79.38</v>
      </c>
      <c r="MT177" s="2">
        <v>86.45999999999999</v>
      </c>
      <c r="MU177" s="2">
        <v>79.58</v>
      </c>
      <c r="MV177" s="2">
        <v>83.70999999999999</v>
      </c>
      <c r="MW177" s="2">
        <v>86.81999999999999</v>
      </c>
      <c r="MX177" s="2">
        <v>82.20999999999999</v>
      </c>
      <c r="MY177" s="2">
        <v>89.62</v>
      </c>
      <c r="MZ177" s="2">
        <v>88.43000000000001</v>
      </c>
      <c r="NA177" s="2">
        <v>93.31999999999999</v>
      </c>
      <c r="NB177" s="2">
        <v>110.83</v>
      </c>
      <c r="NG177" s="2">
        <v>111.91</v>
      </c>
      <c r="NH177" s="2">
        <v>96.87</v>
      </c>
      <c r="NI177" s="2">
        <v>97.86</v>
      </c>
      <c r="NJ177" s="2">
        <v>103.88</v>
      </c>
      <c r="NK177" s="2">
        <v>87.76000000000001</v>
      </c>
      <c r="NL177" s="2">
        <v>93.05</v>
      </c>
      <c r="NM177" s="2">
        <v>94.31999999999999</v>
      </c>
      <c r="NN177" s="2">
        <v>89.75</v>
      </c>
      <c r="NO177" s="2">
        <v>93.88</v>
      </c>
      <c r="NP177" s="2">
        <v>92.14</v>
      </c>
      <c r="NQ177" s="2">
        <v>93.8</v>
      </c>
      <c r="NR177" s="2">
        <v>102.85</v>
      </c>
      <c r="NW177" s="2">
        <v>103.5</v>
      </c>
      <c r="NX177" s="2">
        <v>94.22</v>
      </c>
      <c r="NY177" s="2">
        <v>95.09999999999999</v>
      </c>
      <c r="NZ177" s="2">
        <v>95.25</v>
      </c>
      <c r="OA177" s="2">
        <v>88.98</v>
      </c>
      <c r="OB177" s="2">
        <v>94.51000000000001</v>
      </c>
      <c r="OC177" s="2">
        <v>94.3</v>
      </c>
      <c r="OD177" s="2">
        <v>91.86</v>
      </c>
      <c r="OE177" s="2">
        <v>95.62</v>
      </c>
      <c r="OF177" s="2">
        <v>98.88</v>
      </c>
      <c r="OG177" s="2">
        <v>98.37</v>
      </c>
      <c r="OH177" s="2">
        <v>100.34</v>
      </c>
      <c r="OM177" s="2">
        <v>105.57</v>
      </c>
      <c r="ON177" s="2">
        <v>94.86</v>
      </c>
      <c r="OO177" s="2">
        <v>98.03</v>
      </c>
      <c r="OP177" s="2">
        <v>101.82</v>
      </c>
      <c r="OQ177" s="2">
        <v>92.45</v>
      </c>
      <c r="OR177" s="2">
        <v>92.95999999999999</v>
      </c>
      <c r="OS177" s="2">
        <v>100.35</v>
      </c>
      <c r="OT177" s="2">
        <v>96.12</v>
      </c>
      <c r="OU177" s="2">
        <v>100</v>
      </c>
      <c r="OV177" s="2">
        <v>105.94</v>
      </c>
      <c r="OW177" s="2">
        <v>101.6</v>
      </c>
      <c r="OX177" s="2">
        <v>109.96</v>
      </c>
      <c r="PC177" s="2">
        <v>111.44</v>
      </c>
      <c r="PD177" s="2">
        <v>103.22</v>
      </c>
      <c r="PE177" s="2">
        <v>100.92</v>
      </c>
      <c r="PF177" s="2">
        <v>108.41</v>
      </c>
      <c r="PG177" s="2">
        <v>95.26000000000001</v>
      </c>
      <c r="PH177" s="2">
        <v>96.45999999999999</v>
      </c>
      <c r="PI177" s="2">
        <v>102.44</v>
      </c>
    </row>
    <row r="178">
      <c r="A178" t="inlineStr">
        <is>
          <t>A130394798W</t>
        </is>
      </c>
      <c r="B178" t="inlineStr">
        <is>
          <t>Index Numbers ;  International holiday travel and accommodation ;  Australia ;</t>
        </is>
      </c>
      <c r="C178" t="inlineStr">
        <is>
          <t>Month</t>
        </is>
      </c>
      <c r="D178" t="inlineStr">
        <is>
          <t>Index Numbers</t>
        </is>
      </c>
      <c r="E178" t="inlineStr">
        <is>
          <t>Original</t>
        </is>
      </c>
      <c r="F178" t="inlineStr">
        <is>
          <t>640103.xlsx</t>
        </is>
      </c>
      <c r="G178" t="inlineStr">
        <is>
          <t>2017-09</t>
        </is>
      </c>
      <c r="H178" t="inlineStr">
        <is>
          <t>2026-07</t>
        </is>
      </c>
      <c r="JW178" s="2">
        <v>67.41</v>
      </c>
      <c r="JX178" s="2">
        <v>65.22</v>
      </c>
      <c r="JY178" s="2">
        <v>64.22</v>
      </c>
      <c r="JZ178" s="2">
        <v>72.98</v>
      </c>
      <c r="KE178" s="2">
        <v>69.78</v>
      </c>
      <c r="KF178" s="2">
        <v>64.93000000000001</v>
      </c>
      <c r="KG178" s="2">
        <v>62.93</v>
      </c>
      <c r="KH178" s="2">
        <v>68.04000000000001</v>
      </c>
      <c r="KI178" s="2">
        <v>65.13</v>
      </c>
      <c r="KJ178" s="2">
        <v>67.16</v>
      </c>
      <c r="KK178" s="2">
        <v>74.76000000000001</v>
      </c>
      <c r="KL178" s="2">
        <v>65.66</v>
      </c>
      <c r="KM178" s="2">
        <v>68.43000000000001</v>
      </c>
      <c r="KN178" s="2">
        <v>68.87</v>
      </c>
      <c r="KO178" s="2">
        <v>65.29000000000001</v>
      </c>
      <c r="KP178" s="2">
        <v>73.12</v>
      </c>
      <c r="KU178" s="2">
        <v>72.75</v>
      </c>
      <c r="KV178" s="2">
        <v>66.75</v>
      </c>
      <c r="KW178" s="2">
        <v>63.43</v>
      </c>
      <c r="KX178" s="2">
        <v>71.73</v>
      </c>
      <c r="KY178" s="2">
        <v>66.64</v>
      </c>
      <c r="KZ178" s="2">
        <v>69.95</v>
      </c>
      <c r="LA178" s="2">
        <v>78.27</v>
      </c>
      <c r="LB178" s="2">
        <v>71.03</v>
      </c>
      <c r="LC178" s="2">
        <v>71.77</v>
      </c>
      <c r="LD178" s="2">
        <v>72.17</v>
      </c>
      <c r="LE178" s="2">
        <v>66.70999999999999</v>
      </c>
      <c r="LF178" s="2">
        <v>75.84999999999999</v>
      </c>
      <c r="LK178" s="2">
        <v>75.93000000000001</v>
      </c>
      <c r="LL178" s="2">
        <v>65.02</v>
      </c>
      <c r="LM178" s="2">
        <v>67.19</v>
      </c>
      <c r="LN178" s="2">
        <v>70.83</v>
      </c>
      <c r="LO178" s="2">
        <v>68.2</v>
      </c>
      <c r="LP178" s="2">
        <v>65.02</v>
      </c>
      <c r="LQ178" s="2">
        <v>75.19</v>
      </c>
      <c r="LR178" s="2">
        <v>74.56999999999999</v>
      </c>
      <c r="LS178" s="2">
        <v>57.39</v>
      </c>
      <c r="LT178" s="2">
        <v>65.38</v>
      </c>
      <c r="LU178" s="2">
        <v>60.8</v>
      </c>
      <c r="LV178" s="2">
        <v>82.93000000000001</v>
      </c>
      <c r="MA178" s="2">
        <v>61.16</v>
      </c>
      <c r="MB178" s="2">
        <v>67.94</v>
      </c>
      <c r="MC178" s="2">
        <v>81.12</v>
      </c>
      <c r="MD178" s="2">
        <v>72.38</v>
      </c>
      <c r="ME178" s="2">
        <v>76.19</v>
      </c>
      <c r="MF178" s="2">
        <v>79.76000000000001</v>
      </c>
      <c r="MG178" s="2">
        <v>74.45999999999999</v>
      </c>
      <c r="MH178" s="2">
        <v>67.92</v>
      </c>
      <c r="MI178" s="2">
        <v>74.76000000000001</v>
      </c>
      <c r="MJ178" s="2">
        <v>84.08</v>
      </c>
      <c r="MK178" s="2">
        <v>84.36</v>
      </c>
      <c r="ML178" s="2">
        <v>84.56</v>
      </c>
      <c r="MQ178" s="2">
        <v>67.51000000000001</v>
      </c>
      <c r="MR178" s="2">
        <v>62.84</v>
      </c>
      <c r="MS178" s="2">
        <v>64.28</v>
      </c>
      <c r="MT178" s="2">
        <v>72.31999999999999</v>
      </c>
      <c r="MU178" s="2">
        <v>76.84999999999999</v>
      </c>
      <c r="MV178" s="2">
        <v>84.04000000000001</v>
      </c>
      <c r="MW178" s="2">
        <v>86.45</v>
      </c>
      <c r="MX178" s="2">
        <v>88.44</v>
      </c>
      <c r="MY178" s="2">
        <v>97.5</v>
      </c>
      <c r="MZ178" s="2">
        <v>84.95999999999999</v>
      </c>
      <c r="NA178" s="2">
        <v>86.95</v>
      </c>
      <c r="NB178" s="2">
        <v>121.19</v>
      </c>
      <c r="NG178" s="2">
        <v>100.04</v>
      </c>
      <c r="NH178" s="2">
        <v>83.59999999999999</v>
      </c>
      <c r="NI178" s="2">
        <v>85.54000000000001</v>
      </c>
      <c r="NJ178" s="2">
        <v>92.91</v>
      </c>
      <c r="NK178" s="2">
        <v>88.54000000000001</v>
      </c>
      <c r="NL178" s="2">
        <v>104.12</v>
      </c>
      <c r="NM178" s="2">
        <v>96.31999999999999</v>
      </c>
      <c r="NN178" s="2">
        <v>93.51000000000001</v>
      </c>
      <c r="NO178" s="2">
        <v>97.27</v>
      </c>
      <c r="NP178" s="2">
        <v>85.63</v>
      </c>
      <c r="NQ178" s="2">
        <v>88.7</v>
      </c>
      <c r="NR178" s="2">
        <v>108.52</v>
      </c>
      <c r="NW178" s="2">
        <v>95.97</v>
      </c>
      <c r="NX178" s="2">
        <v>86.81</v>
      </c>
      <c r="NY178" s="2">
        <v>83.38</v>
      </c>
      <c r="NZ178" s="2">
        <v>92.22</v>
      </c>
      <c r="OA178" s="2">
        <v>94.05</v>
      </c>
      <c r="OB178" s="2">
        <v>101.37</v>
      </c>
      <c r="OC178" s="2">
        <v>96.51000000000001</v>
      </c>
      <c r="OD178" s="2">
        <v>96.52</v>
      </c>
      <c r="OE178" s="2">
        <v>100.15</v>
      </c>
      <c r="OF178" s="2">
        <v>92.33</v>
      </c>
      <c r="OG178" s="2">
        <v>90.20999999999999</v>
      </c>
      <c r="OH178" s="2">
        <v>111.31</v>
      </c>
      <c r="OM178" s="2">
        <v>93.53</v>
      </c>
      <c r="ON178" s="2">
        <v>89.08</v>
      </c>
      <c r="OO178" s="2">
        <v>89.02</v>
      </c>
      <c r="OP178" s="2">
        <v>96.56999999999999</v>
      </c>
      <c r="OQ178" s="2">
        <v>91.90000000000001</v>
      </c>
      <c r="OR178" s="2">
        <v>95.86</v>
      </c>
      <c r="OS178" s="2">
        <v>97.26000000000001</v>
      </c>
      <c r="OT178" s="2">
        <v>94.64</v>
      </c>
      <c r="OU178" s="2">
        <v>100</v>
      </c>
      <c r="OV178" s="2">
        <v>92.12</v>
      </c>
      <c r="OW178" s="2">
        <v>91.56999999999999</v>
      </c>
      <c r="OX178" s="2">
        <v>113.94</v>
      </c>
      <c r="PC178" s="2">
        <v>95.38</v>
      </c>
      <c r="PD178" s="2">
        <v>90.52</v>
      </c>
      <c r="PE178" s="2">
        <v>90.20999999999999</v>
      </c>
      <c r="PF178" s="2">
        <v>93.29000000000001</v>
      </c>
      <c r="PG178" s="2">
        <v>92.52</v>
      </c>
      <c r="PH178" s="2">
        <v>99.89</v>
      </c>
      <c r="PI178" s="2">
        <v>97.44</v>
      </c>
    </row>
    <row r="179">
      <c r="A179" t="inlineStr">
        <is>
          <t>A130395148L</t>
        </is>
      </c>
      <c r="B179" t="inlineStr">
        <is>
          <t>Index Numbers ;  Other recreation, sport and culture ;  Australia ;</t>
        </is>
      </c>
      <c r="C179" t="inlineStr">
        <is>
          <t>Month</t>
        </is>
      </c>
      <c r="D179" t="inlineStr">
        <is>
          <t>Index Numbers</t>
        </is>
      </c>
      <c r="E179" t="inlineStr">
        <is>
          <t>Original</t>
        </is>
      </c>
      <c r="F179" t="inlineStr">
        <is>
          <t>640103.xlsx</t>
        </is>
      </c>
      <c r="G179" t="inlineStr">
        <is>
          <t>2024-04</t>
        </is>
      </c>
      <c r="H179" t="inlineStr">
        <is>
          <t>2026-07</t>
        </is>
      </c>
      <c r="NZ179" s="2">
        <v>97.5</v>
      </c>
      <c r="OA179" s="2">
        <v>97.52</v>
      </c>
      <c r="OB179" s="2">
        <v>97.81999999999999</v>
      </c>
      <c r="OC179" s="2">
        <v>98.09999999999999</v>
      </c>
      <c r="OD179" s="2">
        <v>99.23999999999999</v>
      </c>
      <c r="OE179" s="2">
        <v>99.44</v>
      </c>
      <c r="OF179" s="2">
        <v>97.81</v>
      </c>
      <c r="OG179" s="2">
        <v>99.40000000000001</v>
      </c>
      <c r="OH179" s="2">
        <v>98.89</v>
      </c>
      <c r="OM179" s="2">
        <v>99.89</v>
      </c>
      <c r="ON179" s="2">
        <v>100.46</v>
      </c>
      <c r="OO179" s="2">
        <v>99.37</v>
      </c>
      <c r="OP179" s="2">
        <v>99.12</v>
      </c>
      <c r="OQ179" s="2">
        <v>100.22</v>
      </c>
      <c r="OR179" s="2">
        <v>99.61</v>
      </c>
      <c r="OS179" s="2">
        <v>99.94</v>
      </c>
      <c r="OT179" s="2">
        <v>100.07</v>
      </c>
      <c r="OU179" s="2">
        <v>100</v>
      </c>
      <c r="OV179" s="2">
        <v>100.99</v>
      </c>
      <c r="OW179" s="2">
        <v>101.09</v>
      </c>
      <c r="OX179" s="2">
        <v>101.24</v>
      </c>
      <c r="PC179" s="2">
        <v>102.3</v>
      </c>
      <c r="PD179" s="2">
        <v>102.19</v>
      </c>
      <c r="PE179" s="2">
        <v>102.4</v>
      </c>
      <c r="PF179" s="2">
        <v>102.1</v>
      </c>
      <c r="PG179" s="2">
        <v>102.49</v>
      </c>
      <c r="PH179" s="2">
        <v>102.2</v>
      </c>
      <c r="PI179" s="2">
        <v>102.82</v>
      </c>
    </row>
    <row r="180">
      <c r="A180" t="inlineStr">
        <is>
          <t>A130397360J</t>
        </is>
      </c>
      <c r="B180" t="inlineStr">
        <is>
          <t>Index Numbers ;  Equipment for sports, camping and open-air recreation ;  Australia ;</t>
        </is>
      </c>
      <c r="C180" t="inlineStr">
        <is>
          <t>Month</t>
        </is>
      </c>
      <c r="D180" t="inlineStr">
        <is>
          <t>Index Numbers</t>
        </is>
      </c>
      <c r="E180" t="inlineStr">
        <is>
          <t>Original</t>
        </is>
      </c>
      <c r="F180" t="inlineStr">
        <is>
          <t>640103.xlsx</t>
        </is>
      </c>
      <c r="G180" t="inlineStr">
        <is>
          <t>2024-04</t>
        </is>
      </c>
      <c r="H180" t="inlineStr">
        <is>
          <t>2026-07</t>
        </is>
      </c>
      <c r="NZ180" s="2">
        <v>100.48</v>
      </c>
      <c r="OA180" s="2">
        <v>101.04</v>
      </c>
      <c r="OB180" s="2">
        <v>99.44</v>
      </c>
      <c r="OC180" s="2">
        <v>99.45999999999999</v>
      </c>
      <c r="OD180" s="2">
        <v>100.44</v>
      </c>
      <c r="OE180" s="2">
        <v>101</v>
      </c>
      <c r="OF180" s="2">
        <v>100.42</v>
      </c>
      <c r="OG180" s="2">
        <v>101.37</v>
      </c>
      <c r="OH180" s="2">
        <v>100.55</v>
      </c>
      <c r="OM180" s="2">
        <v>99.36</v>
      </c>
      <c r="ON180" s="2">
        <v>100.43</v>
      </c>
      <c r="OO180" s="2">
        <v>99.91</v>
      </c>
      <c r="OP180" s="2">
        <v>99.05</v>
      </c>
      <c r="OQ180" s="2">
        <v>100.47</v>
      </c>
      <c r="OR180" s="2">
        <v>99.37</v>
      </c>
      <c r="OS180" s="2">
        <v>100.47</v>
      </c>
      <c r="OT180" s="2">
        <v>100.21</v>
      </c>
      <c r="OU180" s="2">
        <v>100</v>
      </c>
      <c r="OV180" s="2">
        <v>99.75</v>
      </c>
      <c r="OW180" s="2">
        <v>99.20999999999999</v>
      </c>
      <c r="OX180" s="2">
        <v>98.15000000000001</v>
      </c>
      <c r="PC180" s="2">
        <v>99.92</v>
      </c>
      <c r="PD180" s="2">
        <v>99.01000000000001</v>
      </c>
      <c r="PE180" s="2">
        <v>99.3</v>
      </c>
      <c r="PF180" s="2">
        <v>99.73999999999999</v>
      </c>
      <c r="PG180" s="2">
        <v>101.18</v>
      </c>
      <c r="PH180" s="2">
        <v>100.18</v>
      </c>
      <c r="PI180" s="2">
        <v>100.29</v>
      </c>
    </row>
    <row r="181">
      <c r="A181" t="inlineStr">
        <is>
          <t>A130392334L</t>
        </is>
      </c>
      <c r="B181" t="inlineStr">
        <is>
          <t>Index Numbers ;  Games, toys and hobbies ;  Australia ;</t>
        </is>
      </c>
      <c r="C181" t="inlineStr">
        <is>
          <t>Month</t>
        </is>
      </c>
      <c r="D181" t="inlineStr">
        <is>
          <t>Index Numbers</t>
        </is>
      </c>
      <c r="E181" t="inlineStr">
        <is>
          <t>Original</t>
        </is>
      </c>
      <c r="F181" t="inlineStr">
        <is>
          <t>640103.xlsx</t>
        </is>
      </c>
      <c r="G181" t="inlineStr">
        <is>
          <t>2024-04</t>
        </is>
      </c>
      <c r="H181" t="inlineStr">
        <is>
          <t>2026-07</t>
        </is>
      </c>
      <c r="NZ181" s="2">
        <v>98.19</v>
      </c>
      <c r="OA181" s="2">
        <v>97.78</v>
      </c>
      <c r="OB181" s="2">
        <v>97.06999999999999</v>
      </c>
      <c r="OC181" s="2">
        <v>94.59</v>
      </c>
      <c r="OD181" s="2">
        <v>98.06</v>
      </c>
      <c r="OE181" s="2">
        <v>99.87</v>
      </c>
      <c r="OF181" s="2">
        <v>98.09</v>
      </c>
      <c r="OG181" s="2">
        <v>100.99</v>
      </c>
      <c r="OH181" s="2">
        <v>94.20999999999999</v>
      </c>
      <c r="OM181" s="2">
        <v>102.13</v>
      </c>
      <c r="ON181" s="2">
        <v>101.21</v>
      </c>
      <c r="OO181" s="2">
        <v>99.04000000000001</v>
      </c>
      <c r="OP181" s="2">
        <v>97.51000000000001</v>
      </c>
      <c r="OQ181" s="2">
        <v>100.98</v>
      </c>
      <c r="OR181" s="2">
        <v>98.81999999999999</v>
      </c>
      <c r="OS181" s="2">
        <v>96.77</v>
      </c>
      <c r="OT181" s="2">
        <v>97.40000000000001</v>
      </c>
      <c r="OU181" s="2">
        <v>100</v>
      </c>
      <c r="OV181" s="2">
        <v>101.17</v>
      </c>
      <c r="OW181" s="2">
        <v>100.26</v>
      </c>
      <c r="OX181" s="2">
        <v>99.23999999999999</v>
      </c>
      <c r="PC181" s="2">
        <v>104.85</v>
      </c>
      <c r="PD181" s="2">
        <v>103.9</v>
      </c>
      <c r="PE181" s="2">
        <v>105.96</v>
      </c>
      <c r="PF181" s="2">
        <v>103.83</v>
      </c>
      <c r="PG181" s="2">
        <v>103.56</v>
      </c>
      <c r="PH181" s="2">
        <v>101.81</v>
      </c>
      <c r="PI181" s="2">
        <v>99.55</v>
      </c>
    </row>
    <row r="182">
      <c r="A182" t="inlineStr">
        <is>
          <t>A130390808T</t>
        </is>
      </c>
      <c r="B182" t="inlineStr">
        <is>
          <t>Index Numbers ;  Pets and related products ;  Australia ;</t>
        </is>
      </c>
      <c r="C182" t="inlineStr">
        <is>
          <t>Month</t>
        </is>
      </c>
      <c r="D182" t="inlineStr">
        <is>
          <t>Index Numbers</t>
        </is>
      </c>
      <c r="E182" t="inlineStr">
        <is>
          <t>Original</t>
        </is>
      </c>
      <c r="F182" t="inlineStr">
        <is>
          <t>640103.xlsx</t>
        </is>
      </c>
      <c r="G182" t="inlineStr">
        <is>
          <t>2017-09</t>
        </is>
      </c>
      <c r="H182" t="inlineStr">
        <is>
          <t>2026-07</t>
        </is>
      </c>
      <c r="JW182" s="2">
        <v>73.91</v>
      </c>
      <c r="JX182" s="2">
        <v>72.84999999999999</v>
      </c>
      <c r="JY182" s="2">
        <v>73.42</v>
      </c>
      <c r="JZ182" s="2">
        <v>73.26000000000001</v>
      </c>
      <c r="KE182" s="2">
        <v>73.72</v>
      </c>
      <c r="KF182" s="2">
        <v>72.79000000000001</v>
      </c>
      <c r="KG182" s="2">
        <v>72.61</v>
      </c>
      <c r="KH182" s="2">
        <v>73.03</v>
      </c>
      <c r="KI182" s="2">
        <v>73.14</v>
      </c>
      <c r="KJ182" s="2">
        <v>72.3</v>
      </c>
      <c r="KK182" s="2">
        <v>72.70999999999999</v>
      </c>
      <c r="KL182" s="2">
        <v>72.75</v>
      </c>
      <c r="KM182" s="2">
        <v>73.18000000000001</v>
      </c>
      <c r="KN182" s="2">
        <v>72.12</v>
      </c>
      <c r="KO182" s="2">
        <v>74.17</v>
      </c>
      <c r="KP182" s="2">
        <v>74.14</v>
      </c>
      <c r="KU182" s="2">
        <v>74.98999999999999</v>
      </c>
      <c r="KV182" s="2">
        <v>73.56</v>
      </c>
      <c r="KW182" s="2">
        <v>75.73999999999999</v>
      </c>
      <c r="KX182" s="2">
        <v>77.53</v>
      </c>
      <c r="KY182" s="2">
        <v>77.69</v>
      </c>
      <c r="KZ182" s="2">
        <v>76.88</v>
      </c>
      <c r="LA182" s="2">
        <v>78.52</v>
      </c>
      <c r="LB182" s="2">
        <v>77.98999999999999</v>
      </c>
      <c r="LC182" s="2">
        <v>77.59</v>
      </c>
      <c r="LD182" s="2">
        <v>77.59</v>
      </c>
      <c r="LE182" s="2">
        <v>78.09999999999999</v>
      </c>
      <c r="LF182" s="2">
        <v>78.54000000000001</v>
      </c>
      <c r="LK182" s="2">
        <v>80.11</v>
      </c>
      <c r="LL182" s="2">
        <v>78.68000000000001</v>
      </c>
      <c r="LM182" s="2">
        <v>80.37</v>
      </c>
      <c r="LN182" s="2">
        <v>82.17</v>
      </c>
      <c r="LO182" s="2">
        <v>80.2</v>
      </c>
      <c r="LP182" s="2">
        <v>80.22</v>
      </c>
      <c r="LQ182" s="2">
        <v>80.19</v>
      </c>
      <c r="LR182" s="2">
        <v>80.23</v>
      </c>
      <c r="LS182" s="2">
        <v>80.58</v>
      </c>
      <c r="LT182" s="2">
        <v>80</v>
      </c>
      <c r="LU182" s="2">
        <v>80.76000000000001</v>
      </c>
      <c r="LV182" s="2">
        <v>81.14</v>
      </c>
      <c r="MA182" s="2">
        <v>81.87</v>
      </c>
      <c r="MB182" s="2">
        <v>80.84</v>
      </c>
      <c r="MC182" s="2">
        <v>81.09999999999999</v>
      </c>
      <c r="MD182" s="2">
        <v>80.97</v>
      </c>
      <c r="ME182" s="2">
        <v>80.95999999999999</v>
      </c>
      <c r="MF182" s="2">
        <v>81.09999999999999</v>
      </c>
      <c r="MG182" s="2">
        <v>81.41</v>
      </c>
      <c r="MH182" s="2">
        <v>80.88</v>
      </c>
      <c r="MI182" s="2">
        <v>81.13</v>
      </c>
      <c r="MJ182" s="2">
        <v>80.16</v>
      </c>
      <c r="MK182" s="2">
        <v>80.84999999999999</v>
      </c>
      <c r="ML182" s="2">
        <v>83.09</v>
      </c>
      <c r="MQ182" s="2">
        <v>84.91</v>
      </c>
      <c r="MR182" s="2">
        <v>85.01000000000001</v>
      </c>
      <c r="MS182" s="2">
        <v>89.97</v>
      </c>
      <c r="MT182" s="2">
        <v>91.23</v>
      </c>
      <c r="MU182" s="2">
        <v>90.11</v>
      </c>
      <c r="MV182" s="2">
        <v>91.73999999999999</v>
      </c>
      <c r="MW182" s="2">
        <v>92.02</v>
      </c>
      <c r="MX182" s="2">
        <v>92.38</v>
      </c>
      <c r="MY182" s="2">
        <v>94.01000000000001</v>
      </c>
      <c r="MZ182" s="2">
        <v>95.18000000000001</v>
      </c>
      <c r="NA182" s="2">
        <v>97.76000000000001</v>
      </c>
      <c r="NB182" s="2">
        <v>99.26000000000001</v>
      </c>
      <c r="NG182" s="2">
        <v>99.8</v>
      </c>
      <c r="NH182" s="2">
        <v>99.26000000000001</v>
      </c>
      <c r="NI182" s="2">
        <v>100.03</v>
      </c>
      <c r="NJ182" s="2">
        <v>99.15000000000001</v>
      </c>
      <c r="NK182" s="2">
        <v>98.56999999999999</v>
      </c>
      <c r="NL182" s="2">
        <v>101.78</v>
      </c>
      <c r="NM182" s="2">
        <v>101.78</v>
      </c>
      <c r="NN182" s="2">
        <v>100.37</v>
      </c>
      <c r="NO182" s="2">
        <v>100.22</v>
      </c>
      <c r="NP182" s="2">
        <v>99.01000000000001</v>
      </c>
      <c r="NQ182" s="2">
        <v>99.79000000000001</v>
      </c>
      <c r="NR182" s="2">
        <v>101.52</v>
      </c>
      <c r="NW182" s="2">
        <v>102.41</v>
      </c>
      <c r="NX182" s="2">
        <v>101.12</v>
      </c>
      <c r="NY182" s="2">
        <v>101.67</v>
      </c>
      <c r="NZ182" s="2">
        <v>100.6</v>
      </c>
      <c r="OA182" s="2">
        <v>100.03</v>
      </c>
      <c r="OB182" s="2">
        <v>102.18</v>
      </c>
      <c r="OC182" s="2">
        <v>102.89</v>
      </c>
      <c r="OD182" s="2">
        <v>102.26</v>
      </c>
      <c r="OE182" s="2">
        <v>101.53</v>
      </c>
      <c r="OF182" s="2">
        <v>97.43000000000001</v>
      </c>
      <c r="OG182" s="2">
        <v>99.48999999999999</v>
      </c>
      <c r="OH182" s="2">
        <v>101.18</v>
      </c>
      <c r="OM182" s="2">
        <v>102.56</v>
      </c>
      <c r="ON182" s="2">
        <v>100.84</v>
      </c>
      <c r="OO182" s="2">
        <v>100.88</v>
      </c>
      <c r="OP182" s="2">
        <v>101.41</v>
      </c>
      <c r="OQ182" s="2">
        <v>99.94</v>
      </c>
      <c r="OR182" s="2">
        <v>101.06</v>
      </c>
      <c r="OS182" s="2">
        <v>100.66</v>
      </c>
      <c r="OT182" s="2">
        <v>100.53</v>
      </c>
      <c r="OU182" s="2">
        <v>100</v>
      </c>
      <c r="OV182" s="2">
        <v>99.78</v>
      </c>
      <c r="OW182" s="2">
        <v>101.93</v>
      </c>
      <c r="OX182" s="2">
        <v>102.81</v>
      </c>
      <c r="PC182" s="2">
        <v>102.5</v>
      </c>
      <c r="PD182" s="2">
        <v>100.51</v>
      </c>
      <c r="PE182" s="2">
        <v>100.12</v>
      </c>
      <c r="PF182" s="2">
        <v>99.59999999999999</v>
      </c>
      <c r="PG182" s="2">
        <v>99.75</v>
      </c>
      <c r="PH182" s="2">
        <v>100.49</v>
      </c>
      <c r="PI182" s="2">
        <v>100.2</v>
      </c>
    </row>
    <row r="183">
      <c r="A183" t="inlineStr">
        <is>
          <t>A130392054V</t>
        </is>
      </c>
      <c r="B183" t="inlineStr">
        <is>
          <t>Index Numbers ;  Veterinary and other services for pets ;  Australia ;</t>
        </is>
      </c>
      <c r="C183" t="inlineStr">
        <is>
          <t>Month</t>
        </is>
      </c>
      <c r="D183" t="inlineStr">
        <is>
          <t>Index Numbers</t>
        </is>
      </c>
      <c r="E183" t="inlineStr">
        <is>
          <t>Original</t>
        </is>
      </c>
      <c r="F183" t="inlineStr">
        <is>
          <t>640103.xlsx</t>
        </is>
      </c>
      <c r="G183" t="inlineStr">
        <is>
          <t>2024-04</t>
        </is>
      </c>
      <c r="H183" t="inlineStr">
        <is>
          <t>2026-07</t>
        </is>
      </c>
      <c r="NZ183" s="2">
        <v>92.90000000000001</v>
      </c>
      <c r="OA183" s="2">
        <v>93.36</v>
      </c>
      <c r="OB183" s="2">
        <v>94.02</v>
      </c>
      <c r="OC183" s="2">
        <v>94.54000000000001</v>
      </c>
      <c r="OD183" s="2">
        <v>95.23</v>
      </c>
      <c r="OE183" s="2">
        <v>95.34999999999999</v>
      </c>
      <c r="OF183" s="2">
        <v>95.89</v>
      </c>
      <c r="OG183" s="2">
        <v>95.84</v>
      </c>
      <c r="OH183" s="2">
        <v>96.31999999999999</v>
      </c>
      <c r="OM183" s="2">
        <v>96.37</v>
      </c>
      <c r="ON183" s="2">
        <v>96.87</v>
      </c>
      <c r="OO183" s="2">
        <v>97.61</v>
      </c>
      <c r="OP183" s="2">
        <v>97.78</v>
      </c>
      <c r="OQ183" s="2">
        <v>98.17</v>
      </c>
      <c r="OR183" s="2">
        <v>98.31</v>
      </c>
      <c r="OS183" s="2">
        <v>99.38</v>
      </c>
      <c r="OT183" s="2">
        <v>99.56</v>
      </c>
      <c r="OU183" s="2">
        <v>100</v>
      </c>
      <c r="OV183" s="2">
        <v>100.25</v>
      </c>
      <c r="OW183" s="2">
        <v>100.25</v>
      </c>
      <c r="OX183" s="2">
        <v>100.48</v>
      </c>
      <c r="PC183" s="2">
        <v>101.36</v>
      </c>
      <c r="PD183" s="2">
        <v>101.64</v>
      </c>
      <c r="PE183" s="2">
        <v>101.68</v>
      </c>
      <c r="PF183" s="2">
        <v>101.62</v>
      </c>
      <c r="PG183" s="2">
        <v>101.74</v>
      </c>
      <c r="PH183" s="2">
        <v>101.82</v>
      </c>
      <c r="PI183" s="2">
        <v>102.64</v>
      </c>
    </row>
    <row r="184">
      <c r="A184" t="inlineStr">
        <is>
          <t>A130399821X</t>
        </is>
      </c>
      <c r="B184" t="inlineStr">
        <is>
          <t>Index Numbers ;  Sports participation ;  Australia ;</t>
        </is>
      </c>
      <c r="C184" t="inlineStr">
        <is>
          <t>Month</t>
        </is>
      </c>
      <c r="D184" t="inlineStr">
        <is>
          <t>Index Numbers</t>
        </is>
      </c>
      <c r="E184" t="inlineStr">
        <is>
          <t>Original</t>
        </is>
      </c>
      <c r="F184" t="inlineStr">
        <is>
          <t>640103.xlsx</t>
        </is>
      </c>
      <c r="G184" t="inlineStr">
        <is>
          <t>2024-04</t>
        </is>
      </c>
      <c r="H184" t="inlineStr">
        <is>
          <t>2026-07</t>
        </is>
      </c>
      <c r="NZ184" s="2">
        <v>93.34</v>
      </c>
      <c r="OA184" s="2">
        <v>93.54000000000001</v>
      </c>
      <c r="OB184" s="2">
        <v>93.65000000000001</v>
      </c>
      <c r="OC184" s="2">
        <v>95.66</v>
      </c>
      <c r="OD184" s="2">
        <v>96.17</v>
      </c>
      <c r="OE184" s="2">
        <v>96.59</v>
      </c>
      <c r="OF184" s="2">
        <v>96.66</v>
      </c>
      <c r="OG184" s="2">
        <v>96.75</v>
      </c>
      <c r="OH184" s="2">
        <v>96.70999999999999</v>
      </c>
      <c r="OM184" s="2">
        <v>97</v>
      </c>
      <c r="ON184" s="2">
        <v>97.97</v>
      </c>
      <c r="OO184" s="2">
        <v>97.78</v>
      </c>
      <c r="OP184" s="2">
        <v>98.23999999999999</v>
      </c>
      <c r="OQ184" s="2">
        <v>98.28</v>
      </c>
      <c r="OR184" s="2">
        <v>98.38</v>
      </c>
      <c r="OS184" s="2">
        <v>99.48</v>
      </c>
      <c r="OT184" s="2">
        <v>99.79000000000001</v>
      </c>
      <c r="OU184" s="2">
        <v>100</v>
      </c>
      <c r="OV184" s="2">
        <v>100.44</v>
      </c>
      <c r="OW184" s="2">
        <v>100.54</v>
      </c>
      <c r="OX184" s="2">
        <v>100.69</v>
      </c>
      <c r="PC184" s="2">
        <v>101.07</v>
      </c>
      <c r="PD184" s="2">
        <v>101.23</v>
      </c>
      <c r="PE184" s="2">
        <v>101.41</v>
      </c>
      <c r="PF184" s="2">
        <v>102.18</v>
      </c>
      <c r="PG184" s="2">
        <v>102.19</v>
      </c>
      <c r="PH184" s="2">
        <v>102.77</v>
      </c>
      <c r="PI184" s="2">
        <v>104.43</v>
      </c>
    </row>
    <row r="185">
      <c r="A185" t="inlineStr">
        <is>
          <t>A130398635A</t>
        </is>
      </c>
      <c r="B185" t="inlineStr">
        <is>
          <t>Index Numbers ;  Other recreational, sporting and cultural services ;  Australia ;</t>
        </is>
      </c>
      <c r="C185" t="inlineStr">
        <is>
          <t>Month</t>
        </is>
      </c>
      <c r="D185" t="inlineStr">
        <is>
          <t>Index Numbers</t>
        </is>
      </c>
      <c r="E185" t="inlineStr">
        <is>
          <t>Original</t>
        </is>
      </c>
      <c r="F185" t="inlineStr">
        <is>
          <t>640103.xlsx</t>
        </is>
      </c>
      <c r="G185" t="inlineStr">
        <is>
          <t>2024-04</t>
        </is>
      </c>
      <c r="H185" t="inlineStr">
        <is>
          <t>2026-07</t>
        </is>
      </c>
      <c r="NZ185" s="2">
        <v>101.2</v>
      </c>
      <c r="OA185" s="2">
        <v>101.06</v>
      </c>
      <c r="OB185" s="2">
        <v>102.21</v>
      </c>
      <c r="OC185" s="2">
        <v>102.16</v>
      </c>
      <c r="OD185" s="2">
        <v>103.77</v>
      </c>
      <c r="OE185" s="2">
        <v>102.9</v>
      </c>
      <c r="OF185" s="2">
        <v>98.79000000000001</v>
      </c>
      <c r="OG185" s="2">
        <v>102.36</v>
      </c>
      <c r="OH185" s="2">
        <v>104.16</v>
      </c>
      <c r="OM185" s="2">
        <v>102.74</v>
      </c>
      <c r="ON185" s="2">
        <v>104.9</v>
      </c>
      <c r="OO185" s="2">
        <v>101.44</v>
      </c>
      <c r="OP185" s="2">
        <v>100.83</v>
      </c>
      <c r="OQ185" s="2">
        <v>103.27</v>
      </c>
      <c r="OR185" s="2">
        <v>101.73</v>
      </c>
      <c r="OS185" s="2">
        <v>102.34</v>
      </c>
      <c r="OT185" s="2">
        <v>102.22</v>
      </c>
      <c r="OU185" s="2">
        <v>100</v>
      </c>
      <c r="OV185" s="2">
        <v>103.3</v>
      </c>
      <c r="OW185" s="2">
        <v>103.34</v>
      </c>
      <c r="OX185" s="2">
        <v>104.45</v>
      </c>
      <c r="PC185" s="2">
        <v>103.75</v>
      </c>
      <c r="PD185" s="2">
        <v>105.09</v>
      </c>
      <c r="PE185" s="2">
        <v>104.48</v>
      </c>
      <c r="PF185" s="2">
        <v>103.7</v>
      </c>
      <c r="PG185" s="2">
        <v>104.76</v>
      </c>
      <c r="PH185" s="2">
        <v>104.03</v>
      </c>
      <c r="PI185" s="2">
        <v>105.98</v>
      </c>
    </row>
    <row r="186">
      <c r="A186" t="inlineStr">
        <is>
          <t>A130390024V</t>
        </is>
      </c>
      <c r="B186" t="inlineStr">
        <is>
          <t>Index Numbers ;  Education ;  Australia ;</t>
        </is>
      </c>
      <c r="C186" t="inlineStr">
        <is>
          <t>Month</t>
        </is>
      </c>
      <c r="D186" t="inlineStr">
        <is>
          <t>Index Numbers</t>
        </is>
      </c>
      <c r="E186" t="inlineStr">
        <is>
          <t>Original</t>
        </is>
      </c>
      <c r="F186" t="inlineStr">
        <is>
          <t>640103.xlsx</t>
        </is>
      </c>
      <c r="G186" t="inlineStr">
        <is>
          <t>2024-04</t>
        </is>
      </c>
      <c r="H186" t="inlineStr">
        <is>
          <t>2026-07</t>
        </is>
      </c>
      <c r="NZ186" s="2">
        <v>94.69</v>
      </c>
      <c r="OA186" s="2">
        <v>94.7</v>
      </c>
      <c r="OB186" s="2">
        <v>94.72</v>
      </c>
      <c r="OC186" s="2">
        <v>94.73</v>
      </c>
      <c r="OD186" s="2">
        <v>94.87</v>
      </c>
      <c r="OE186" s="2">
        <v>94.90000000000001</v>
      </c>
      <c r="OF186" s="2">
        <v>94.91</v>
      </c>
      <c r="OG186" s="2">
        <v>94.92</v>
      </c>
      <c r="OH186" s="2">
        <v>94.93000000000001</v>
      </c>
      <c r="OM186" s="2">
        <v>94.92</v>
      </c>
      <c r="ON186" s="2">
        <v>99.76000000000001</v>
      </c>
      <c r="OO186" s="2">
        <v>99.8</v>
      </c>
      <c r="OP186" s="2">
        <v>99.79000000000001</v>
      </c>
      <c r="OQ186" s="2">
        <v>99.79000000000001</v>
      </c>
      <c r="OR186" s="2">
        <v>99.83</v>
      </c>
      <c r="OS186" s="2">
        <v>99.84999999999999</v>
      </c>
      <c r="OT186" s="2">
        <v>99.98</v>
      </c>
      <c r="OU186" s="2">
        <v>100</v>
      </c>
      <c r="OV186" s="2">
        <v>100.02</v>
      </c>
      <c r="OW186" s="2">
        <v>100.04</v>
      </c>
      <c r="OX186" s="2">
        <v>100.05</v>
      </c>
      <c r="PC186" s="2">
        <v>100.01</v>
      </c>
      <c r="PD186" s="2">
        <v>104.54</v>
      </c>
      <c r="PE186" s="2">
        <v>104.58</v>
      </c>
      <c r="PF186" s="2">
        <v>104.57</v>
      </c>
      <c r="PG186" s="2">
        <v>104.57</v>
      </c>
      <c r="PH186" s="2">
        <v>104.59</v>
      </c>
      <c r="PI186" s="2">
        <v>104.6</v>
      </c>
    </row>
    <row r="187">
      <c r="A187" t="inlineStr">
        <is>
          <t>A130393573R</t>
        </is>
      </c>
      <c r="B187" t="inlineStr">
        <is>
          <t>Index Numbers ;  Education ;  Australia ;</t>
        </is>
      </c>
      <c r="C187" t="inlineStr">
        <is>
          <t>Month</t>
        </is>
      </c>
      <c r="D187" t="inlineStr">
        <is>
          <t>Index Numbers</t>
        </is>
      </c>
      <c r="E187" t="inlineStr">
        <is>
          <t>Original</t>
        </is>
      </c>
      <c r="F187" t="inlineStr">
        <is>
          <t>640103.xlsx</t>
        </is>
      </c>
      <c r="G187" t="inlineStr">
        <is>
          <t>2024-04</t>
        </is>
      </c>
      <c r="H187" t="inlineStr">
        <is>
          <t>2026-07</t>
        </is>
      </c>
      <c r="NZ187" s="2">
        <v>94.69</v>
      </c>
      <c r="OA187" s="2">
        <v>94.7</v>
      </c>
      <c r="OB187" s="2">
        <v>94.72</v>
      </c>
      <c r="OC187" s="2">
        <v>94.73</v>
      </c>
      <c r="OD187" s="2">
        <v>94.87</v>
      </c>
      <c r="OE187" s="2">
        <v>94.90000000000001</v>
      </c>
      <c r="OF187" s="2">
        <v>94.91</v>
      </c>
      <c r="OG187" s="2">
        <v>94.92</v>
      </c>
      <c r="OH187" s="2">
        <v>94.93000000000001</v>
      </c>
      <c r="OM187" s="2">
        <v>94.92</v>
      </c>
      <c r="ON187" s="2">
        <v>99.76000000000001</v>
      </c>
      <c r="OO187" s="2">
        <v>99.8</v>
      </c>
      <c r="OP187" s="2">
        <v>99.79000000000001</v>
      </c>
      <c r="OQ187" s="2">
        <v>99.79000000000001</v>
      </c>
      <c r="OR187" s="2">
        <v>99.83</v>
      </c>
      <c r="OS187" s="2">
        <v>99.84999999999999</v>
      </c>
      <c r="OT187" s="2">
        <v>99.98</v>
      </c>
      <c r="OU187" s="2">
        <v>100</v>
      </c>
      <c r="OV187" s="2">
        <v>100.02</v>
      </c>
      <c r="OW187" s="2">
        <v>100.04</v>
      </c>
      <c r="OX187" s="2">
        <v>100.05</v>
      </c>
      <c r="PC187" s="2">
        <v>100.01</v>
      </c>
      <c r="PD187" s="2">
        <v>104.54</v>
      </c>
      <c r="PE187" s="2">
        <v>104.58</v>
      </c>
      <c r="PF187" s="2">
        <v>104.57</v>
      </c>
      <c r="PG187" s="2">
        <v>104.57</v>
      </c>
      <c r="PH187" s="2">
        <v>104.59</v>
      </c>
      <c r="PI187" s="2">
        <v>104.6</v>
      </c>
    </row>
    <row r="188">
      <c r="A188" t="inlineStr">
        <is>
          <t>A130398757X</t>
        </is>
      </c>
      <c r="B188" t="inlineStr">
        <is>
          <t>Index Numbers ;  Preschool and primary education ;  Australia ;</t>
        </is>
      </c>
      <c r="C188" t="inlineStr">
        <is>
          <t>Month</t>
        </is>
      </c>
      <c r="D188" t="inlineStr">
        <is>
          <t>Index Numbers</t>
        </is>
      </c>
      <c r="E188" t="inlineStr">
        <is>
          <t>Original</t>
        </is>
      </c>
      <c r="F188" t="inlineStr">
        <is>
          <t>640103.xlsx</t>
        </is>
      </c>
      <c r="G188" t="inlineStr">
        <is>
          <t>2024-04</t>
        </is>
      </c>
      <c r="H188" t="inlineStr">
        <is>
          <t>2026-07</t>
        </is>
      </c>
      <c r="NZ188" s="2">
        <v>93.23999999999999</v>
      </c>
      <c r="OA188" s="2">
        <v>93.29000000000001</v>
      </c>
      <c r="OB188" s="2">
        <v>93.41</v>
      </c>
      <c r="OC188" s="2">
        <v>93.47</v>
      </c>
      <c r="OD188" s="2">
        <v>93.91</v>
      </c>
      <c r="OE188" s="2">
        <v>94.06</v>
      </c>
      <c r="OF188" s="2">
        <v>94.12</v>
      </c>
      <c r="OG188" s="2">
        <v>94.17</v>
      </c>
      <c r="OH188" s="2">
        <v>94.25</v>
      </c>
      <c r="OM188" s="2">
        <v>94.17</v>
      </c>
      <c r="ON188" s="2">
        <v>99.06</v>
      </c>
      <c r="OO188" s="2">
        <v>99.23</v>
      </c>
      <c r="OP188" s="2">
        <v>99.20999999999999</v>
      </c>
      <c r="OQ188" s="2">
        <v>99.19</v>
      </c>
      <c r="OR188" s="2">
        <v>99.41</v>
      </c>
      <c r="OS188" s="2">
        <v>99.48999999999999</v>
      </c>
      <c r="OT188" s="2">
        <v>99.90000000000001</v>
      </c>
      <c r="OU188" s="2">
        <v>100</v>
      </c>
      <c r="OV188" s="2">
        <v>100.11</v>
      </c>
      <c r="OW188" s="2">
        <v>100.19</v>
      </c>
      <c r="OX188" s="2">
        <v>100.27</v>
      </c>
      <c r="PC188" s="2">
        <v>100.05</v>
      </c>
      <c r="PD188" s="2">
        <v>104.41</v>
      </c>
      <c r="PE188" s="2">
        <v>104.62</v>
      </c>
      <c r="PF188" s="2">
        <v>104.59</v>
      </c>
      <c r="PG188" s="2">
        <v>104.59</v>
      </c>
      <c r="PH188" s="2">
        <v>104.65</v>
      </c>
      <c r="PI188" s="2">
        <v>104.71</v>
      </c>
    </row>
    <row r="189">
      <c r="A189" t="inlineStr">
        <is>
          <t>A130390052C</t>
        </is>
      </c>
      <c r="B189" t="inlineStr">
        <is>
          <t>Index Numbers ;  Secondary education ;  Australia ;</t>
        </is>
      </c>
      <c r="C189" t="inlineStr">
        <is>
          <t>Month</t>
        </is>
      </c>
      <c r="D189" t="inlineStr">
        <is>
          <t>Index Numbers</t>
        </is>
      </c>
      <c r="E189" t="inlineStr">
        <is>
          <t>Original</t>
        </is>
      </c>
      <c r="F189" t="inlineStr">
        <is>
          <t>640103.xlsx</t>
        </is>
      </c>
      <c r="G189" t="inlineStr">
        <is>
          <t>2017-09</t>
        </is>
      </c>
      <c r="H189" t="inlineStr">
        <is>
          <t>2026-07</t>
        </is>
      </c>
      <c r="JW189" s="2">
        <v>72.47</v>
      </c>
      <c r="JX189" s="2">
        <v>72.47</v>
      </c>
      <c r="JY189" s="2">
        <v>72.47</v>
      </c>
      <c r="JZ189" s="2">
        <v>72.47</v>
      </c>
      <c r="KE189" s="2">
        <v>72.47</v>
      </c>
      <c r="KF189" s="2">
        <v>74.92</v>
      </c>
      <c r="KG189" s="2">
        <v>74.92</v>
      </c>
      <c r="KH189" s="2">
        <v>74.92</v>
      </c>
      <c r="KI189" s="2">
        <v>74.92</v>
      </c>
      <c r="KJ189" s="2">
        <v>74.92</v>
      </c>
      <c r="KK189" s="2">
        <v>74.92</v>
      </c>
      <c r="KL189" s="2">
        <v>74.92</v>
      </c>
      <c r="KM189" s="2">
        <v>74.92</v>
      </c>
      <c r="KN189" s="2">
        <v>74.92</v>
      </c>
      <c r="KO189" s="2">
        <v>74.92</v>
      </c>
      <c r="KP189" s="2">
        <v>74.92</v>
      </c>
      <c r="KU189" s="2">
        <v>74.92</v>
      </c>
      <c r="KV189" s="2">
        <v>78.03</v>
      </c>
      <c r="KW189" s="2">
        <v>78.03</v>
      </c>
      <c r="KX189" s="2">
        <v>78.03</v>
      </c>
      <c r="KY189" s="2">
        <v>78.03</v>
      </c>
      <c r="KZ189" s="2">
        <v>78.03</v>
      </c>
      <c r="LA189" s="2">
        <v>78.03</v>
      </c>
      <c r="LB189" s="2">
        <v>78.03</v>
      </c>
      <c r="LC189" s="2">
        <v>78.03</v>
      </c>
      <c r="LD189" s="2">
        <v>78.03</v>
      </c>
      <c r="LE189" s="2">
        <v>78.03</v>
      </c>
      <c r="LF189" s="2">
        <v>78.03</v>
      </c>
      <c r="LK189" s="2">
        <v>78.03</v>
      </c>
      <c r="LL189" s="2">
        <v>80.69</v>
      </c>
      <c r="LM189" s="2">
        <v>80.69</v>
      </c>
      <c r="LN189" s="2">
        <v>80.69</v>
      </c>
      <c r="LO189" s="2">
        <v>80.59</v>
      </c>
      <c r="LP189" s="2">
        <v>80.59</v>
      </c>
      <c r="LQ189" s="2">
        <v>80.59</v>
      </c>
      <c r="LR189" s="2">
        <v>80.59</v>
      </c>
      <c r="LS189" s="2">
        <v>80.59</v>
      </c>
      <c r="LT189" s="2">
        <v>80.59</v>
      </c>
      <c r="LU189" s="2">
        <v>80.59</v>
      </c>
      <c r="LV189" s="2">
        <v>80.59</v>
      </c>
      <c r="MA189" s="2">
        <v>80.59</v>
      </c>
      <c r="MB189" s="2">
        <v>82.06999999999999</v>
      </c>
      <c r="MC189" s="2">
        <v>82.06999999999999</v>
      </c>
      <c r="MD189" s="2">
        <v>82.06999999999999</v>
      </c>
      <c r="ME189" s="2">
        <v>82.06999999999999</v>
      </c>
      <c r="MF189" s="2">
        <v>82.06999999999999</v>
      </c>
      <c r="MG189" s="2">
        <v>82.06999999999999</v>
      </c>
      <c r="MH189" s="2">
        <v>82.06999999999999</v>
      </c>
      <c r="MI189" s="2">
        <v>82.06999999999999</v>
      </c>
      <c r="MJ189" s="2">
        <v>82.06999999999999</v>
      </c>
      <c r="MK189" s="2">
        <v>82.06999999999999</v>
      </c>
      <c r="ML189" s="2">
        <v>82.06999999999999</v>
      </c>
      <c r="MQ189" s="2">
        <v>82.06999999999999</v>
      </c>
      <c r="MR189" s="2">
        <v>84.53</v>
      </c>
      <c r="MS189" s="2">
        <v>84.53</v>
      </c>
      <c r="MT189" s="2">
        <v>84.53</v>
      </c>
      <c r="MU189" s="2">
        <v>84.53</v>
      </c>
      <c r="MV189" s="2">
        <v>84.53</v>
      </c>
      <c r="MW189" s="2">
        <v>84.53</v>
      </c>
      <c r="MX189" s="2">
        <v>84.53</v>
      </c>
      <c r="MY189" s="2">
        <v>84.53</v>
      </c>
      <c r="MZ189" s="2">
        <v>84.53</v>
      </c>
      <c r="NA189" s="2">
        <v>84.53</v>
      </c>
      <c r="NB189" s="2">
        <v>84.53</v>
      </c>
      <c r="NG189" s="2">
        <v>84.53</v>
      </c>
      <c r="NH189" s="2">
        <v>88.64</v>
      </c>
      <c r="NI189" s="2">
        <v>88.64</v>
      </c>
      <c r="NJ189" s="2">
        <v>88.64</v>
      </c>
      <c r="NK189" s="2">
        <v>88.64</v>
      </c>
      <c r="NL189" s="2">
        <v>88.64</v>
      </c>
      <c r="NM189" s="2">
        <v>88.64</v>
      </c>
      <c r="NN189" s="2">
        <v>88.64</v>
      </c>
      <c r="NO189" s="2">
        <v>88.64</v>
      </c>
      <c r="NP189" s="2">
        <v>88.64</v>
      </c>
      <c r="NQ189" s="2">
        <v>88.64</v>
      </c>
      <c r="NR189" s="2">
        <v>88.64</v>
      </c>
      <c r="NW189" s="2">
        <v>88.64</v>
      </c>
      <c r="NX189" s="2">
        <v>94.04000000000001</v>
      </c>
      <c r="NY189" s="2">
        <v>94.04000000000001</v>
      </c>
      <c r="NZ189" s="2">
        <v>94.04000000000001</v>
      </c>
      <c r="OA189" s="2">
        <v>94.04000000000001</v>
      </c>
      <c r="OB189" s="2">
        <v>94.04000000000001</v>
      </c>
      <c r="OC189" s="2">
        <v>94.04000000000001</v>
      </c>
      <c r="OD189" s="2">
        <v>94.04000000000001</v>
      </c>
      <c r="OE189" s="2">
        <v>94.04000000000001</v>
      </c>
      <c r="OF189" s="2">
        <v>94.04000000000001</v>
      </c>
      <c r="OG189" s="2">
        <v>94.04000000000001</v>
      </c>
      <c r="OH189" s="2">
        <v>94.04000000000001</v>
      </c>
      <c r="OM189" s="2">
        <v>94.04000000000001</v>
      </c>
      <c r="ON189" s="2">
        <v>100</v>
      </c>
      <c r="OO189" s="2">
        <v>100</v>
      </c>
      <c r="OP189" s="2">
        <v>100</v>
      </c>
      <c r="OQ189" s="2">
        <v>100</v>
      </c>
      <c r="OR189" s="2">
        <v>100</v>
      </c>
      <c r="OS189" s="2">
        <v>100</v>
      </c>
      <c r="OT189" s="2">
        <v>100</v>
      </c>
      <c r="OU189" s="2">
        <v>100</v>
      </c>
      <c r="OV189" s="2">
        <v>100</v>
      </c>
      <c r="OW189" s="2">
        <v>100</v>
      </c>
      <c r="OX189" s="2">
        <v>100</v>
      </c>
      <c r="PC189" s="2">
        <v>100</v>
      </c>
      <c r="PD189" s="2">
        <v>106.57</v>
      </c>
      <c r="PE189" s="2">
        <v>106.57</v>
      </c>
      <c r="PF189" s="2">
        <v>106.57</v>
      </c>
      <c r="PG189" s="2">
        <v>106.57</v>
      </c>
      <c r="PH189" s="2">
        <v>106.57</v>
      </c>
      <c r="PI189" s="2">
        <v>106.57</v>
      </c>
    </row>
    <row r="190">
      <c r="A190" t="inlineStr">
        <is>
          <t>A130396240W</t>
        </is>
      </c>
      <c r="B190" t="inlineStr">
        <is>
          <t>Index Numbers ;  Tertiary education ;  Australia ;</t>
        </is>
      </c>
      <c r="C190" t="inlineStr">
        <is>
          <t>Month</t>
        </is>
      </c>
      <c r="D190" t="inlineStr">
        <is>
          <t>Index Numbers</t>
        </is>
      </c>
      <c r="E190" t="inlineStr">
        <is>
          <t>Original</t>
        </is>
      </c>
      <c r="F190" t="inlineStr">
        <is>
          <t>640103.xlsx</t>
        </is>
      </c>
      <c r="G190" t="inlineStr">
        <is>
          <t>2017-09</t>
        </is>
      </c>
      <c r="H190" t="inlineStr">
        <is>
          <t>2026-07</t>
        </is>
      </c>
      <c r="JW190" s="2">
        <v>74.47</v>
      </c>
      <c r="JX190" s="2">
        <v>74.47</v>
      </c>
      <c r="JY190" s="2">
        <v>74.47</v>
      </c>
      <c r="JZ190" s="2">
        <v>74.47</v>
      </c>
      <c r="KE190" s="2">
        <v>74.47</v>
      </c>
      <c r="KF190" s="2">
        <v>75.51000000000001</v>
      </c>
      <c r="KG190" s="2">
        <v>75.51000000000001</v>
      </c>
      <c r="KH190" s="2">
        <v>75.51000000000001</v>
      </c>
      <c r="KI190" s="2">
        <v>75.51000000000001</v>
      </c>
      <c r="KJ190" s="2">
        <v>75.51000000000001</v>
      </c>
      <c r="KK190" s="2">
        <v>75.51000000000001</v>
      </c>
      <c r="KL190" s="2">
        <v>76.31</v>
      </c>
      <c r="KM190" s="2">
        <v>76.31</v>
      </c>
      <c r="KN190" s="2">
        <v>76.31</v>
      </c>
      <c r="KO190" s="2">
        <v>76.31</v>
      </c>
      <c r="KP190" s="2">
        <v>76.31</v>
      </c>
      <c r="KU190" s="2">
        <v>76.31</v>
      </c>
      <c r="KV190" s="2">
        <v>77.42</v>
      </c>
      <c r="KW190" s="2">
        <v>77.42</v>
      </c>
      <c r="KX190" s="2">
        <v>77.42</v>
      </c>
      <c r="KY190" s="2">
        <v>77.42</v>
      </c>
      <c r="KZ190" s="2">
        <v>77.42</v>
      </c>
      <c r="LA190" s="2">
        <v>77.42</v>
      </c>
      <c r="LB190" s="2">
        <v>77.45</v>
      </c>
      <c r="LC190" s="2">
        <v>77.45</v>
      </c>
      <c r="LD190" s="2">
        <v>77.45</v>
      </c>
      <c r="LE190" s="2">
        <v>77.45</v>
      </c>
      <c r="LF190" s="2">
        <v>77.45</v>
      </c>
      <c r="LK190" s="2">
        <v>77.45</v>
      </c>
      <c r="LL190" s="2">
        <v>78.48999999999999</v>
      </c>
      <c r="LM190" s="2">
        <v>78.48999999999999</v>
      </c>
      <c r="LN190" s="2">
        <v>78.48999999999999</v>
      </c>
      <c r="LO190" s="2">
        <v>78.48999999999999</v>
      </c>
      <c r="LP190" s="2">
        <v>78.48999999999999</v>
      </c>
      <c r="LQ190" s="2">
        <v>78.48999999999999</v>
      </c>
      <c r="LR190" s="2">
        <v>78.42</v>
      </c>
      <c r="LS190" s="2">
        <v>78.42</v>
      </c>
      <c r="LT190" s="2">
        <v>78.42</v>
      </c>
      <c r="LU190" s="2">
        <v>78.42</v>
      </c>
      <c r="LV190" s="2">
        <v>78.42</v>
      </c>
      <c r="MA190" s="2">
        <v>80.56999999999999</v>
      </c>
      <c r="MB190" s="2">
        <v>77.15000000000001</v>
      </c>
      <c r="MC190" s="2">
        <v>77.15000000000001</v>
      </c>
      <c r="MD190" s="2">
        <v>77.15000000000001</v>
      </c>
      <c r="ME190" s="2">
        <v>77.15000000000001</v>
      </c>
      <c r="MF190" s="2">
        <v>77.15000000000001</v>
      </c>
      <c r="MG190" s="2">
        <v>77.15000000000001</v>
      </c>
      <c r="MH190" s="2">
        <v>77.16</v>
      </c>
      <c r="MI190" s="2">
        <v>77.16</v>
      </c>
      <c r="MJ190" s="2">
        <v>77.16</v>
      </c>
      <c r="MK190" s="2">
        <v>77.16</v>
      </c>
      <c r="ML190" s="2">
        <v>77.16</v>
      </c>
      <c r="MQ190" s="2">
        <v>77.16</v>
      </c>
      <c r="MR190" s="2">
        <v>82.08</v>
      </c>
      <c r="MS190" s="2">
        <v>82.08</v>
      </c>
      <c r="MT190" s="2">
        <v>82.08</v>
      </c>
      <c r="MU190" s="2">
        <v>82.08</v>
      </c>
      <c r="MV190" s="2">
        <v>82.08</v>
      </c>
      <c r="MW190" s="2">
        <v>82.08</v>
      </c>
      <c r="MX190" s="2">
        <v>81.98</v>
      </c>
      <c r="MY190" s="2">
        <v>81.98</v>
      </c>
      <c r="MZ190" s="2">
        <v>81.98</v>
      </c>
      <c r="NA190" s="2">
        <v>81.98</v>
      </c>
      <c r="NB190" s="2">
        <v>81.98</v>
      </c>
      <c r="NG190" s="2">
        <v>81.98</v>
      </c>
      <c r="NH190" s="2">
        <v>89.93000000000001</v>
      </c>
      <c r="NI190" s="2">
        <v>89.93000000000001</v>
      </c>
      <c r="NJ190" s="2">
        <v>89.93000000000001</v>
      </c>
      <c r="NK190" s="2">
        <v>89.93000000000001</v>
      </c>
      <c r="NL190" s="2">
        <v>89.93000000000001</v>
      </c>
      <c r="NM190" s="2">
        <v>89.93000000000001</v>
      </c>
      <c r="NN190" s="2">
        <v>90.39</v>
      </c>
      <c r="NO190" s="2">
        <v>90.39</v>
      </c>
      <c r="NP190" s="2">
        <v>90.39</v>
      </c>
      <c r="NQ190" s="2">
        <v>90.39</v>
      </c>
      <c r="NR190" s="2">
        <v>90.39</v>
      </c>
      <c r="NW190" s="2">
        <v>90.39</v>
      </c>
      <c r="NX190" s="2">
        <v>96.23999999999999</v>
      </c>
      <c r="NY190" s="2">
        <v>96.23999999999999</v>
      </c>
      <c r="NZ190" s="2">
        <v>96.23999999999999</v>
      </c>
      <c r="OA190" s="2">
        <v>96.23999999999999</v>
      </c>
      <c r="OB190" s="2">
        <v>96.23999999999999</v>
      </c>
      <c r="OC190" s="2">
        <v>96.23999999999999</v>
      </c>
      <c r="OD190" s="2">
        <v>96.36</v>
      </c>
      <c r="OE190" s="2">
        <v>96.36</v>
      </c>
      <c r="OF190" s="2">
        <v>96.36</v>
      </c>
      <c r="OG190" s="2">
        <v>96.36</v>
      </c>
      <c r="OH190" s="2">
        <v>96.36</v>
      </c>
      <c r="OM190" s="2">
        <v>96.36</v>
      </c>
      <c r="ON190" s="2">
        <v>99.86</v>
      </c>
      <c r="OO190" s="2">
        <v>99.86</v>
      </c>
      <c r="OP190" s="2">
        <v>99.86</v>
      </c>
      <c r="OQ190" s="2">
        <v>99.86</v>
      </c>
      <c r="OR190" s="2">
        <v>99.86</v>
      </c>
      <c r="OS190" s="2">
        <v>99.86</v>
      </c>
      <c r="OT190" s="2">
        <v>100</v>
      </c>
      <c r="OU190" s="2">
        <v>100</v>
      </c>
      <c r="OV190" s="2">
        <v>100</v>
      </c>
      <c r="OW190" s="2">
        <v>100</v>
      </c>
      <c r="OX190" s="2">
        <v>100</v>
      </c>
      <c r="PC190" s="2">
        <v>100</v>
      </c>
      <c r="PD190" s="2">
        <v>102.2</v>
      </c>
      <c r="PE190" s="2">
        <v>102.2</v>
      </c>
      <c r="PF190" s="2">
        <v>102.2</v>
      </c>
      <c r="PG190" s="2">
        <v>102.2</v>
      </c>
      <c r="PH190" s="2">
        <v>102.2</v>
      </c>
      <c r="PI190" s="2">
        <v>102.2</v>
      </c>
    </row>
    <row r="191">
      <c r="A191" t="inlineStr">
        <is>
          <t>A130392761F</t>
        </is>
      </c>
      <c r="B191" t="inlineStr">
        <is>
          <t>Index Numbers ;  Insurance and financial services ;  Australia ;</t>
        </is>
      </c>
      <c r="C191" t="inlineStr">
        <is>
          <t>Month</t>
        </is>
      </c>
      <c r="D191" t="inlineStr">
        <is>
          <t>Index Numbers</t>
        </is>
      </c>
      <c r="E191" t="inlineStr">
        <is>
          <t>Original</t>
        </is>
      </c>
      <c r="F191" t="inlineStr">
        <is>
          <t>640103.xlsx</t>
        </is>
      </c>
      <c r="G191" t="inlineStr">
        <is>
          <t>2024-04</t>
        </is>
      </c>
      <c r="H191" t="inlineStr">
        <is>
          <t>2026-07</t>
        </is>
      </c>
      <c r="NZ191" s="2">
        <v>95.66</v>
      </c>
      <c r="OA191" s="2">
        <v>95.88</v>
      </c>
      <c r="OB191" s="2">
        <v>96.56999999999999</v>
      </c>
      <c r="OC191" s="2">
        <v>96.76000000000001</v>
      </c>
      <c r="OD191" s="2">
        <v>96.87</v>
      </c>
      <c r="OE191" s="2">
        <v>97.58</v>
      </c>
      <c r="OF191" s="2">
        <v>97.81999999999999</v>
      </c>
      <c r="OG191" s="2">
        <v>97.81</v>
      </c>
      <c r="OH191" s="2">
        <v>98.34</v>
      </c>
      <c r="OM191" s="2">
        <v>98.76000000000001</v>
      </c>
      <c r="ON191" s="2">
        <v>98.8</v>
      </c>
      <c r="OO191" s="2">
        <v>99.20999999999999</v>
      </c>
      <c r="OP191" s="2">
        <v>99.14</v>
      </c>
      <c r="OQ191" s="2">
        <v>99.03</v>
      </c>
      <c r="OR191" s="2">
        <v>99.61</v>
      </c>
      <c r="OS191" s="2">
        <v>99.84</v>
      </c>
      <c r="OT191" s="2">
        <v>99.7</v>
      </c>
      <c r="OU191" s="2">
        <v>100</v>
      </c>
      <c r="OV191" s="2">
        <v>100.23</v>
      </c>
      <c r="OW191" s="2">
        <v>100.29</v>
      </c>
      <c r="OX191" s="2">
        <v>100.76</v>
      </c>
      <c r="PC191" s="2">
        <v>101.11</v>
      </c>
      <c r="PD191" s="2">
        <v>101.21</v>
      </c>
      <c r="PE191" s="2">
        <v>102.02</v>
      </c>
      <c r="PF191" s="2">
        <v>102.08</v>
      </c>
      <c r="PG191" s="2">
        <v>102.24</v>
      </c>
      <c r="PH191" s="2">
        <v>102.8</v>
      </c>
      <c r="PI191" s="2">
        <v>102.98</v>
      </c>
    </row>
    <row r="192">
      <c r="A192" t="inlineStr">
        <is>
          <t>A130393944R</t>
        </is>
      </c>
      <c r="B192" t="inlineStr">
        <is>
          <t>Index Numbers ;  Insurance ;  Australia ;</t>
        </is>
      </c>
      <c r="C192" t="inlineStr">
        <is>
          <t>Month</t>
        </is>
      </c>
      <c r="D192" t="inlineStr">
        <is>
          <t>Index Numbers</t>
        </is>
      </c>
      <c r="E192" t="inlineStr">
        <is>
          <t>Original</t>
        </is>
      </c>
      <c r="F192" t="inlineStr">
        <is>
          <t>640103.xlsx</t>
        </is>
      </c>
      <c r="G192" t="inlineStr">
        <is>
          <t>2024-04</t>
        </is>
      </c>
      <c r="H192" t="inlineStr">
        <is>
          <t>2026-07</t>
        </is>
      </c>
      <c r="NZ192" s="2">
        <v>94.04000000000001</v>
      </c>
      <c r="OA192" s="2">
        <v>94.93000000000001</v>
      </c>
      <c r="OB192" s="2">
        <v>95.72</v>
      </c>
      <c r="OC192" s="2">
        <v>96.5</v>
      </c>
      <c r="OD192" s="2">
        <v>97.59</v>
      </c>
      <c r="OE192" s="2">
        <v>97.95</v>
      </c>
      <c r="OF192" s="2">
        <v>98.31999999999999</v>
      </c>
      <c r="OG192" s="2">
        <v>98.75</v>
      </c>
      <c r="OH192" s="2">
        <v>98.87</v>
      </c>
      <c r="OM192" s="2">
        <v>100.61</v>
      </c>
      <c r="ON192" s="2">
        <v>100.66</v>
      </c>
      <c r="OO192" s="2">
        <v>100.17</v>
      </c>
      <c r="OP192" s="2">
        <v>99.70999999999999</v>
      </c>
      <c r="OQ192" s="2">
        <v>99.27</v>
      </c>
      <c r="OR192" s="2">
        <v>99.53</v>
      </c>
      <c r="OS192" s="2">
        <v>100.33</v>
      </c>
      <c r="OT192" s="2">
        <v>99.70999999999999</v>
      </c>
      <c r="OU192" s="2">
        <v>100</v>
      </c>
      <c r="OV192" s="2">
        <v>100.61</v>
      </c>
      <c r="OW192" s="2">
        <v>101.17</v>
      </c>
      <c r="OX192" s="2">
        <v>101.41</v>
      </c>
      <c r="PC192" s="2">
        <v>102.84</v>
      </c>
      <c r="PD192" s="2">
        <v>103.21</v>
      </c>
      <c r="PE192" s="2">
        <v>103.91</v>
      </c>
      <c r="PF192" s="2">
        <v>104.19</v>
      </c>
      <c r="PG192" s="2">
        <v>104.7</v>
      </c>
      <c r="PH192" s="2">
        <v>104.37</v>
      </c>
      <c r="PI192" s="2">
        <v>104.57</v>
      </c>
    </row>
    <row r="193">
      <c r="A193" t="inlineStr">
        <is>
          <t>A130392635T</t>
        </is>
      </c>
      <c r="B193" t="inlineStr">
        <is>
          <t>Index Numbers ;  Insurance ;  Australia ;</t>
        </is>
      </c>
      <c r="C193" t="inlineStr">
        <is>
          <t>Month</t>
        </is>
      </c>
      <c r="D193" t="inlineStr">
        <is>
          <t>Index Numbers</t>
        </is>
      </c>
      <c r="E193" t="inlineStr">
        <is>
          <t>Original</t>
        </is>
      </c>
      <c r="F193" t="inlineStr">
        <is>
          <t>640103.xlsx</t>
        </is>
      </c>
      <c r="G193" t="inlineStr">
        <is>
          <t>2024-04</t>
        </is>
      </c>
      <c r="H193" t="inlineStr">
        <is>
          <t>2026-07</t>
        </is>
      </c>
      <c r="NZ193" s="2">
        <v>94.04000000000001</v>
      </c>
      <c r="OA193" s="2">
        <v>94.93000000000001</v>
      </c>
      <c r="OB193" s="2">
        <v>95.72</v>
      </c>
      <c r="OC193" s="2">
        <v>96.5</v>
      </c>
      <c r="OD193" s="2">
        <v>97.59</v>
      </c>
      <c r="OE193" s="2">
        <v>97.95</v>
      </c>
      <c r="OF193" s="2">
        <v>98.31999999999999</v>
      </c>
      <c r="OG193" s="2">
        <v>98.75</v>
      </c>
      <c r="OH193" s="2">
        <v>98.87</v>
      </c>
      <c r="OM193" s="2">
        <v>100.61</v>
      </c>
      <c r="ON193" s="2">
        <v>100.66</v>
      </c>
      <c r="OO193" s="2">
        <v>100.17</v>
      </c>
      <c r="OP193" s="2">
        <v>99.70999999999999</v>
      </c>
      <c r="OQ193" s="2">
        <v>99.27</v>
      </c>
      <c r="OR193" s="2">
        <v>99.53</v>
      </c>
      <c r="OS193" s="2">
        <v>100.33</v>
      </c>
      <c r="OT193" s="2">
        <v>99.70999999999999</v>
      </c>
      <c r="OU193" s="2">
        <v>100</v>
      </c>
      <c r="OV193" s="2">
        <v>100.61</v>
      </c>
      <c r="OW193" s="2">
        <v>101.17</v>
      </c>
      <c r="OX193" s="2">
        <v>101.41</v>
      </c>
      <c r="PC193" s="2">
        <v>102.84</v>
      </c>
      <c r="PD193" s="2">
        <v>103.21</v>
      </c>
      <c r="PE193" s="2">
        <v>103.91</v>
      </c>
      <c r="PF193" s="2">
        <v>104.19</v>
      </c>
      <c r="PG193" s="2">
        <v>104.7</v>
      </c>
      <c r="PH193" s="2">
        <v>104.37</v>
      </c>
      <c r="PI193" s="2">
        <v>104.57</v>
      </c>
    </row>
    <row r="194">
      <c r="A194" t="inlineStr">
        <is>
          <t>A130399114L</t>
        </is>
      </c>
      <c r="B194" t="inlineStr">
        <is>
          <t>Index Numbers ;  Financial services ;  Australia ;</t>
        </is>
      </c>
      <c r="C194" t="inlineStr">
        <is>
          <t>Month</t>
        </is>
      </c>
      <c r="D194" t="inlineStr">
        <is>
          <t>Index Numbers</t>
        </is>
      </c>
      <c r="E194" t="inlineStr">
        <is>
          <t>Original</t>
        </is>
      </c>
      <c r="F194" t="inlineStr">
        <is>
          <t>640103.xlsx</t>
        </is>
      </c>
      <c r="G194" t="inlineStr">
        <is>
          <t>2017-09</t>
        </is>
      </c>
      <c r="H194" t="inlineStr">
        <is>
          <t>2026-07</t>
        </is>
      </c>
      <c r="JW194" s="2">
        <v>81.91</v>
      </c>
      <c r="JX194" s="2">
        <v>81.62</v>
      </c>
      <c r="JY194" s="2">
        <v>81.62</v>
      </c>
      <c r="JZ194" s="2">
        <v>81.61</v>
      </c>
      <c r="KE194" s="2">
        <v>81.61</v>
      </c>
      <c r="KF194" s="2">
        <v>81.62</v>
      </c>
      <c r="KG194" s="2">
        <v>81.83</v>
      </c>
      <c r="KH194" s="2">
        <v>81.83</v>
      </c>
      <c r="KI194" s="2">
        <v>81.83</v>
      </c>
      <c r="KJ194" s="2">
        <v>82.06999999999999</v>
      </c>
      <c r="KK194" s="2">
        <v>82.06999999999999</v>
      </c>
      <c r="KL194" s="2">
        <v>82.08</v>
      </c>
      <c r="KM194" s="2">
        <v>82.44</v>
      </c>
      <c r="KN194" s="2">
        <v>82.44</v>
      </c>
      <c r="KO194" s="2">
        <v>82.44</v>
      </c>
      <c r="KP194" s="2">
        <v>82.59999999999999</v>
      </c>
      <c r="KU194" s="2">
        <v>82.62</v>
      </c>
      <c r="KV194" s="2">
        <v>82.62</v>
      </c>
      <c r="KW194" s="2">
        <v>82.5</v>
      </c>
      <c r="KX194" s="2">
        <v>82.51000000000001</v>
      </c>
      <c r="KY194" s="2">
        <v>82.51000000000001</v>
      </c>
      <c r="KZ194" s="2">
        <v>82.56999999999999</v>
      </c>
      <c r="LA194" s="2">
        <v>82.63</v>
      </c>
      <c r="LB194" s="2">
        <v>82.63</v>
      </c>
      <c r="LC194" s="2">
        <v>82.81</v>
      </c>
      <c r="LD194" s="2">
        <v>82.81</v>
      </c>
      <c r="LE194" s="2">
        <v>82.86</v>
      </c>
      <c r="LF194" s="2">
        <v>83.27</v>
      </c>
      <c r="LK194" s="2">
        <v>83.23999999999999</v>
      </c>
      <c r="LL194" s="2">
        <v>83.23999999999999</v>
      </c>
      <c r="LM194" s="2">
        <v>83.7</v>
      </c>
      <c r="LN194" s="2">
        <v>83.55</v>
      </c>
      <c r="LO194" s="2">
        <v>83.56</v>
      </c>
      <c r="LP194" s="2">
        <v>83.97</v>
      </c>
      <c r="LQ194" s="2">
        <v>83.97</v>
      </c>
      <c r="LR194" s="2">
        <v>83.97</v>
      </c>
      <c r="LS194" s="2">
        <v>83.86</v>
      </c>
      <c r="LT194" s="2">
        <v>83.93000000000001</v>
      </c>
      <c r="LU194" s="2">
        <v>83.93000000000001</v>
      </c>
      <c r="LV194" s="2">
        <v>83.83</v>
      </c>
      <c r="MA194" s="2">
        <v>83.83</v>
      </c>
      <c r="MB194" s="2">
        <v>83.8</v>
      </c>
      <c r="MC194" s="2">
        <v>83.75</v>
      </c>
      <c r="MD194" s="2">
        <v>83.75</v>
      </c>
      <c r="ME194" s="2">
        <v>83.61</v>
      </c>
      <c r="MF194" s="2">
        <v>83.83</v>
      </c>
      <c r="MG194" s="2">
        <v>83.62</v>
      </c>
      <c r="MH194" s="2">
        <v>83.63</v>
      </c>
      <c r="MI194" s="2">
        <v>84.11</v>
      </c>
      <c r="MJ194" s="2">
        <v>84.12</v>
      </c>
      <c r="MK194" s="2">
        <v>84.16</v>
      </c>
      <c r="ML194" s="2">
        <v>85.31</v>
      </c>
      <c r="MQ194" s="2">
        <v>85.3</v>
      </c>
      <c r="MR194" s="2">
        <v>85.3</v>
      </c>
      <c r="MS194" s="2">
        <v>85.65000000000001</v>
      </c>
      <c r="MT194" s="2">
        <v>85.5</v>
      </c>
      <c r="MU194" s="2">
        <v>85.5</v>
      </c>
      <c r="MV194" s="2">
        <v>86.70999999999999</v>
      </c>
      <c r="MW194" s="2">
        <v>86.70999999999999</v>
      </c>
      <c r="MX194" s="2">
        <v>86.61</v>
      </c>
      <c r="MY194" s="2">
        <v>87.64</v>
      </c>
      <c r="MZ194" s="2">
        <v>87.66</v>
      </c>
      <c r="NA194" s="2">
        <v>87.77</v>
      </c>
      <c r="NB194" s="2">
        <v>89.31</v>
      </c>
      <c r="NG194" s="2">
        <v>89.31999999999999</v>
      </c>
      <c r="NH194" s="2">
        <v>89.33</v>
      </c>
      <c r="NI194" s="2">
        <v>90.73999999999999</v>
      </c>
      <c r="NJ194" s="2">
        <v>90.75</v>
      </c>
      <c r="NK194" s="2">
        <v>90.76000000000001</v>
      </c>
      <c r="NL194" s="2">
        <v>92.86</v>
      </c>
      <c r="NM194" s="2">
        <v>92.86</v>
      </c>
      <c r="NN194" s="2">
        <v>92.95</v>
      </c>
      <c r="NO194" s="2">
        <v>93.81999999999999</v>
      </c>
      <c r="NP194" s="2">
        <v>93.81999999999999</v>
      </c>
      <c r="NQ194" s="2">
        <v>93.86</v>
      </c>
      <c r="NR194" s="2">
        <v>94.77</v>
      </c>
      <c r="NW194" s="2">
        <v>94.79000000000001</v>
      </c>
      <c r="NX194" s="2">
        <v>94.8</v>
      </c>
      <c r="NY194" s="2">
        <v>96.12</v>
      </c>
      <c r="NZ194" s="2">
        <v>96.15000000000001</v>
      </c>
      <c r="OA194" s="2">
        <v>96.16</v>
      </c>
      <c r="OB194" s="2">
        <v>96.81999999999999</v>
      </c>
      <c r="OC194" s="2">
        <v>96.83</v>
      </c>
      <c r="OD194" s="2">
        <v>96.64</v>
      </c>
      <c r="OE194" s="2">
        <v>97.45</v>
      </c>
      <c r="OF194" s="2">
        <v>97.66</v>
      </c>
      <c r="OG194" s="2">
        <v>97.51000000000001</v>
      </c>
      <c r="OH194" s="2">
        <v>98.17</v>
      </c>
      <c r="OM194" s="2">
        <v>98.17</v>
      </c>
      <c r="ON194" s="2">
        <v>98.2</v>
      </c>
      <c r="OO194" s="2">
        <v>98.90000000000001</v>
      </c>
      <c r="OP194" s="2">
        <v>98.95</v>
      </c>
      <c r="OQ194" s="2">
        <v>98.95999999999999</v>
      </c>
      <c r="OR194" s="2">
        <v>99.63</v>
      </c>
      <c r="OS194" s="2">
        <v>99.68000000000001</v>
      </c>
      <c r="OT194" s="2">
        <v>99.7</v>
      </c>
      <c r="OU194" s="2">
        <v>100</v>
      </c>
      <c r="OV194" s="2">
        <v>100.11</v>
      </c>
      <c r="OW194" s="2">
        <v>100.01</v>
      </c>
      <c r="OX194" s="2">
        <v>100.55</v>
      </c>
      <c r="PC194" s="2">
        <v>100.56</v>
      </c>
      <c r="PD194" s="2">
        <v>100.56</v>
      </c>
      <c r="PE194" s="2">
        <v>101.41</v>
      </c>
      <c r="PF194" s="2">
        <v>101.41</v>
      </c>
      <c r="PG194" s="2">
        <v>101.45</v>
      </c>
      <c r="PH194" s="2">
        <v>102.3</v>
      </c>
      <c r="PI194" s="2">
        <v>102.47</v>
      </c>
    </row>
    <row r="195">
      <c r="A195" t="inlineStr">
        <is>
          <t>A130399100X</t>
        </is>
      </c>
      <c r="B195" t="inlineStr">
        <is>
          <t>Index Numbers ;  Deposit and loan facilities (direct charges) ;  Australia ;</t>
        </is>
      </c>
      <c r="C195" t="inlineStr">
        <is>
          <t>Month</t>
        </is>
      </c>
      <c r="D195" t="inlineStr">
        <is>
          <t>Index Numbers</t>
        </is>
      </c>
      <c r="E195" t="inlineStr">
        <is>
          <t>Original</t>
        </is>
      </c>
      <c r="F195" t="inlineStr">
        <is>
          <t>640103.xlsx</t>
        </is>
      </c>
      <c r="G195" t="inlineStr">
        <is>
          <t>2017-09</t>
        </is>
      </c>
      <c r="H195" t="inlineStr">
        <is>
          <t>2026-07</t>
        </is>
      </c>
      <c r="JW195" s="2">
        <v>96.97</v>
      </c>
      <c r="JX195" s="2">
        <v>94.3</v>
      </c>
      <c r="JY195" s="2">
        <v>94.31999999999999</v>
      </c>
      <c r="JZ195" s="2">
        <v>93.48999999999999</v>
      </c>
      <c r="KE195" s="2">
        <v>93.51000000000001</v>
      </c>
      <c r="KF195" s="2">
        <v>93.53</v>
      </c>
      <c r="KG195" s="2">
        <v>93.55</v>
      </c>
      <c r="KH195" s="2">
        <v>93.56999999999999</v>
      </c>
      <c r="KI195" s="2">
        <v>93.59</v>
      </c>
      <c r="KJ195" s="2">
        <v>93.59999999999999</v>
      </c>
      <c r="KK195" s="2">
        <v>93.63</v>
      </c>
      <c r="KL195" s="2">
        <v>93.66</v>
      </c>
      <c r="KM195" s="2">
        <v>93.69</v>
      </c>
      <c r="KN195" s="2">
        <v>93.70999999999999</v>
      </c>
      <c r="KO195" s="2">
        <v>93.73</v>
      </c>
      <c r="KP195" s="2">
        <v>93.73999999999999</v>
      </c>
      <c r="KU195" s="2">
        <v>93.89</v>
      </c>
      <c r="KV195" s="2">
        <v>93.91</v>
      </c>
      <c r="KW195" s="2">
        <v>93.93000000000001</v>
      </c>
      <c r="KX195" s="2">
        <v>93.95</v>
      </c>
      <c r="KY195" s="2">
        <v>93.97</v>
      </c>
      <c r="KZ195" s="2">
        <v>92.08</v>
      </c>
      <c r="LA195" s="2">
        <v>92.64</v>
      </c>
      <c r="LB195" s="2">
        <v>92.66</v>
      </c>
      <c r="LC195" s="2">
        <v>92.68000000000001</v>
      </c>
      <c r="LD195" s="2">
        <v>92.7</v>
      </c>
      <c r="LE195" s="2">
        <v>93.15000000000001</v>
      </c>
      <c r="LF195" s="2">
        <v>94.33</v>
      </c>
      <c r="LK195" s="2">
        <v>93.98999999999999</v>
      </c>
      <c r="LL195" s="2">
        <v>94.01000000000001</v>
      </c>
      <c r="LM195" s="2">
        <v>94.02</v>
      </c>
      <c r="LN195" s="2">
        <v>92.59</v>
      </c>
      <c r="LO195" s="2">
        <v>92.61</v>
      </c>
      <c r="LP195" s="2">
        <v>92.95999999999999</v>
      </c>
      <c r="LQ195" s="2">
        <v>92.95</v>
      </c>
      <c r="LR195" s="2">
        <v>92.94</v>
      </c>
      <c r="LS195" s="2">
        <v>92.93000000000001</v>
      </c>
      <c r="LT195" s="2">
        <v>93.58</v>
      </c>
      <c r="LU195" s="2">
        <v>93.59</v>
      </c>
      <c r="LV195" s="2">
        <v>93.59999999999999</v>
      </c>
      <c r="MA195" s="2">
        <v>93.61</v>
      </c>
      <c r="MB195" s="2">
        <v>93.31</v>
      </c>
      <c r="MC195" s="2">
        <v>93.31999999999999</v>
      </c>
      <c r="MD195" s="2">
        <v>93.34</v>
      </c>
      <c r="ME195" s="2">
        <v>92.04000000000001</v>
      </c>
      <c r="MF195" s="2">
        <v>92.06</v>
      </c>
      <c r="MG195" s="2">
        <v>90.2</v>
      </c>
      <c r="MH195" s="2">
        <v>90.25</v>
      </c>
      <c r="MI195" s="2">
        <v>90.3</v>
      </c>
      <c r="MJ195" s="2">
        <v>90.34999999999999</v>
      </c>
      <c r="MK195" s="2">
        <v>90.81999999999999</v>
      </c>
      <c r="ML195" s="2">
        <v>90.95999999999999</v>
      </c>
      <c r="MQ195" s="2">
        <v>90.81999999999999</v>
      </c>
      <c r="MR195" s="2">
        <v>90.87</v>
      </c>
      <c r="MS195" s="2">
        <v>90.91</v>
      </c>
      <c r="MT195" s="2">
        <v>89.23</v>
      </c>
      <c r="MU195" s="2">
        <v>89.3</v>
      </c>
      <c r="MV195" s="2">
        <v>89.81</v>
      </c>
      <c r="MW195" s="2">
        <v>89.90000000000001</v>
      </c>
      <c r="MX195" s="2">
        <v>88.73</v>
      </c>
      <c r="MY195" s="2">
        <v>88.81999999999999</v>
      </c>
      <c r="MZ195" s="2">
        <v>89</v>
      </c>
      <c r="NA195" s="2">
        <v>90.23999999999999</v>
      </c>
      <c r="NB195" s="2">
        <v>89.12</v>
      </c>
      <c r="NG195" s="2">
        <v>89.23999999999999</v>
      </c>
      <c r="NH195" s="2">
        <v>89.34999999999999</v>
      </c>
      <c r="NI195" s="2">
        <v>90.73</v>
      </c>
      <c r="NJ195" s="2">
        <v>90.84</v>
      </c>
      <c r="NK195" s="2">
        <v>90.94</v>
      </c>
      <c r="NL195" s="2">
        <v>91.31</v>
      </c>
      <c r="NM195" s="2">
        <v>91.40000000000001</v>
      </c>
      <c r="NN195" s="2">
        <v>92.39</v>
      </c>
      <c r="NO195" s="2">
        <v>94.34</v>
      </c>
      <c r="NP195" s="2">
        <v>94.42</v>
      </c>
      <c r="NQ195" s="2">
        <v>94.81</v>
      </c>
      <c r="NR195" s="2">
        <v>95.61</v>
      </c>
      <c r="NW195" s="2">
        <v>95.81</v>
      </c>
      <c r="NX195" s="2">
        <v>95.90000000000001</v>
      </c>
      <c r="NY195" s="2">
        <v>96.22</v>
      </c>
      <c r="NZ195" s="2">
        <v>96.53</v>
      </c>
      <c r="OA195" s="2">
        <v>96.59</v>
      </c>
      <c r="OB195" s="2">
        <v>96.92</v>
      </c>
      <c r="OC195" s="2">
        <v>96.98</v>
      </c>
      <c r="OD195" s="2">
        <v>94.95</v>
      </c>
      <c r="OE195" s="2">
        <v>95.16</v>
      </c>
      <c r="OF195" s="2">
        <v>97.31999999999999</v>
      </c>
      <c r="OG195" s="2">
        <v>95.75</v>
      </c>
      <c r="OH195" s="2">
        <v>95.94</v>
      </c>
      <c r="OM195" s="2">
        <v>95.98999999999999</v>
      </c>
      <c r="ON195" s="2">
        <v>96.31999999999999</v>
      </c>
      <c r="OO195" s="2">
        <v>98.47</v>
      </c>
      <c r="OP195" s="2">
        <v>99.05</v>
      </c>
      <c r="OQ195" s="2">
        <v>99.08</v>
      </c>
      <c r="OR195" s="2">
        <v>100.3</v>
      </c>
      <c r="OS195" s="2">
        <v>100.79</v>
      </c>
      <c r="OT195" s="2">
        <v>101.03</v>
      </c>
      <c r="OU195" s="2">
        <v>100</v>
      </c>
      <c r="OV195" s="2">
        <v>101.1</v>
      </c>
      <c r="OW195" s="2">
        <v>100.09</v>
      </c>
      <c r="OX195" s="2">
        <v>99.92</v>
      </c>
      <c r="PC195" s="2">
        <v>99.95999999999999</v>
      </c>
      <c r="PD195" s="2">
        <v>100.01</v>
      </c>
      <c r="PE195" s="2">
        <v>100.88</v>
      </c>
      <c r="PF195" s="2">
        <v>100.82</v>
      </c>
      <c r="PG195" s="2">
        <v>101.24</v>
      </c>
      <c r="PH195" s="2">
        <v>101.29</v>
      </c>
      <c r="PI195" s="2">
        <v>103.04</v>
      </c>
    </row>
    <row r="196">
      <c r="A196" t="inlineStr">
        <is>
          <t>A130392474R</t>
        </is>
      </c>
      <c r="B196" t="inlineStr">
        <is>
          <t>Index Numbers ;  Other financial services ;  Australia ;</t>
        </is>
      </c>
      <c r="C196" t="inlineStr">
        <is>
          <t>Month</t>
        </is>
      </c>
      <c r="D196" t="inlineStr">
        <is>
          <t>Index Numbers</t>
        </is>
      </c>
      <c r="E196" t="inlineStr">
        <is>
          <t>Original</t>
        </is>
      </c>
      <c r="F196" t="inlineStr">
        <is>
          <t>640103.xlsx</t>
        </is>
      </c>
      <c r="G196" t="inlineStr">
        <is>
          <t>2017-09</t>
        </is>
      </c>
      <c r="H196" t="inlineStr">
        <is>
          <t>2026-07</t>
        </is>
      </c>
      <c r="JW196" s="2">
        <v>80.2</v>
      </c>
      <c r="JX196" s="2">
        <v>80.2</v>
      </c>
      <c r="JY196" s="2">
        <v>80.2</v>
      </c>
      <c r="JZ196" s="2">
        <v>80.29000000000001</v>
      </c>
      <c r="KE196" s="2">
        <v>80.29000000000001</v>
      </c>
      <c r="KF196" s="2">
        <v>80.29000000000001</v>
      </c>
      <c r="KG196" s="2">
        <v>80.53</v>
      </c>
      <c r="KH196" s="2">
        <v>80.53</v>
      </c>
      <c r="KI196" s="2">
        <v>80.53</v>
      </c>
      <c r="KJ196" s="2">
        <v>80.79000000000001</v>
      </c>
      <c r="KK196" s="2">
        <v>80.79000000000001</v>
      </c>
      <c r="KL196" s="2">
        <v>80.79000000000001</v>
      </c>
      <c r="KM196" s="2">
        <v>81.2</v>
      </c>
      <c r="KN196" s="2">
        <v>81.2</v>
      </c>
      <c r="KO196" s="2">
        <v>81.2</v>
      </c>
      <c r="KP196" s="2">
        <v>81.37</v>
      </c>
      <c r="KU196" s="2">
        <v>81.37</v>
      </c>
      <c r="KV196" s="2">
        <v>81.37</v>
      </c>
      <c r="KW196" s="2">
        <v>81.23999999999999</v>
      </c>
      <c r="KX196" s="2">
        <v>81.23999999999999</v>
      </c>
      <c r="KY196" s="2">
        <v>81.23999999999999</v>
      </c>
      <c r="KZ196" s="2">
        <v>81.55</v>
      </c>
      <c r="LA196" s="2">
        <v>81.55</v>
      </c>
      <c r="LB196" s="2">
        <v>81.55</v>
      </c>
      <c r="LC196" s="2">
        <v>81.73999999999999</v>
      </c>
      <c r="LD196" s="2">
        <v>81.73999999999999</v>
      </c>
      <c r="LE196" s="2">
        <v>81.73999999999999</v>
      </c>
      <c r="LF196" s="2">
        <v>82.06999999999999</v>
      </c>
      <c r="LK196" s="2">
        <v>82.06999999999999</v>
      </c>
      <c r="LL196" s="2">
        <v>82.06999999999999</v>
      </c>
      <c r="LM196" s="2">
        <v>82.59</v>
      </c>
      <c r="LN196" s="2">
        <v>82.59</v>
      </c>
      <c r="LO196" s="2">
        <v>82.59</v>
      </c>
      <c r="LP196" s="2">
        <v>83.01000000000001</v>
      </c>
      <c r="LQ196" s="2">
        <v>83.01000000000001</v>
      </c>
      <c r="LR196" s="2">
        <v>83.01000000000001</v>
      </c>
      <c r="LS196" s="2">
        <v>82.89</v>
      </c>
      <c r="LT196" s="2">
        <v>82.89</v>
      </c>
      <c r="LU196" s="2">
        <v>82.89</v>
      </c>
      <c r="LV196" s="2">
        <v>82.78</v>
      </c>
      <c r="MA196" s="2">
        <v>82.78</v>
      </c>
      <c r="MB196" s="2">
        <v>82.78</v>
      </c>
      <c r="MC196" s="2">
        <v>82.70999999999999</v>
      </c>
      <c r="MD196" s="2">
        <v>82.70999999999999</v>
      </c>
      <c r="ME196" s="2">
        <v>82.70999999999999</v>
      </c>
      <c r="MF196" s="2">
        <v>82.95999999999999</v>
      </c>
      <c r="MG196" s="2">
        <v>82.95999999999999</v>
      </c>
      <c r="MH196" s="2">
        <v>82.95999999999999</v>
      </c>
      <c r="MI196" s="2">
        <v>83.5</v>
      </c>
      <c r="MJ196" s="2">
        <v>83.5</v>
      </c>
      <c r="MK196" s="2">
        <v>83.5</v>
      </c>
      <c r="ML196" s="2">
        <v>84.75</v>
      </c>
      <c r="MQ196" s="2">
        <v>84.75</v>
      </c>
      <c r="MR196" s="2">
        <v>84.75</v>
      </c>
      <c r="MS196" s="2">
        <v>85.13</v>
      </c>
      <c r="MT196" s="2">
        <v>85.13</v>
      </c>
      <c r="MU196" s="2">
        <v>85.13</v>
      </c>
      <c r="MV196" s="2">
        <v>86.40000000000001</v>
      </c>
      <c r="MW196" s="2">
        <v>86.40000000000001</v>
      </c>
      <c r="MX196" s="2">
        <v>86.40000000000001</v>
      </c>
      <c r="MY196" s="2">
        <v>87.53</v>
      </c>
      <c r="MZ196" s="2">
        <v>87.53</v>
      </c>
      <c r="NA196" s="2">
        <v>87.53</v>
      </c>
      <c r="NB196" s="2">
        <v>89.33</v>
      </c>
      <c r="NG196" s="2">
        <v>89.33</v>
      </c>
      <c r="NH196" s="2">
        <v>89.33</v>
      </c>
      <c r="NI196" s="2">
        <v>90.75</v>
      </c>
      <c r="NJ196" s="2">
        <v>90.75</v>
      </c>
      <c r="NK196" s="2">
        <v>90.75</v>
      </c>
      <c r="NL196" s="2">
        <v>93.01000000000001</v>
      </c>
      <c r="NM196" s="2">
        <v>93.01000000000001</v>
      </c>
      <c r="NN196" s="2">
        <v>93.01000000000001</v>
      </c>
      <c r="NO196" s="2">
        <v>93.77</v>
      </c>
      <c r="NP196" s="2">
        <v>93.77</v>
      </c>
      <c r="NQ196" s="2">
        <v>93.77</v>
      </c>
      <c r="NR196" s="2">
        <v>94.69</v>
      </c>
      <c r="NW196" s="2">
        <v>94.69</v>
      </c>
      <c r="NX196" s="2">
        <v>94.69</v>
      </c>
      <c r="NY196" s="2">
        <v>96.12</v>
      </c>
      <c r="NZ196" s="2">
        <v>96.12</v>
      </c>
      <c r="OA196" s="2">
        <v>96.12</v>
      </c>
      <c r="OB196" s="2">
        <v>96.81999999999999</v>
      </c>
      <c r="OC196" s="2">
        <v>96.81999999999999</v>
      </c>
      <c r="OD196" s="2">
        <v>96.81999999999999</v>
      </c>
      <c r="OE196" s="2">
        <v>97.7</v>
      </c>
      <c r="OF196" s="2">
        <v>97.7</v>
      </c>
      <c r="OG196" s="2">
        <v>97.7</v>
      </c>
      <c r="OH196" s="2">
        <v>98.40000000000001</v>
      </c>
      <c r="OM196" s="2">
        <v>98.40000000000001</v>
      </c>
      <c r="ON196" s="2">
        <v>98.40000000000001</v>
      </c>
      <c r="OO196" s="2">
        <v>98.94</v>
      </c>
      <c r="OP196" s="2">
        <v>98.94</v>
      </c>
      <c r="OQ196" s="2">
        <v>98.94</v>
      </c>
      <c r="OR196" s="2">
        <v>99.56</v>
      </c>
      <c r="OS196" s="2">
        <v>99.56</v>
      </c>
      <c r="OT196" s="2">
        <v>99.56</v>
      </c>
      <c r="OU196" s="2">
        <v>100</v>
      </c>
      <c r="OV196" s="2">
        <v>100</v>
      </c>
      <c r="OW196" s="2">
        <v>100</v>
      </c>
      <c r="OX196" s="2">
        <v>100.62</v>
      </c>
      <c r="PC196" s="2">
        <v>100.62</v>
      </c>
      <c r="PD196" s="2">
        <v>100.62</v>
      </c>
      <c r="PE196" s="2">
        <v>101.47</v>
      </c>
      <c r="PF196" s="2">
        <v>101.47</v>
      </c>
      <c r="PG196" s="2">
        <v>101.47</v>
      </c>
      <c r="PH196" s="2">
        <v>102.41</v>
      </c>
      <c r="PI196" s="2">
        <v>102.41</v>
      </c>
    </row>
    <row r="197">
      <c r="A197" t="inlineStr">
        <is>
          <t>A130393721F</t>
        </is>
      </c>
      <c r="B197" t="inlineStr">
        <is>
          <t>Percentage Change from Corresponding Month of Previous Year ;  All groups CPI ;  Australia ;</t>
        </is>
      </c>
      <c r="C197" t="inlineStr">
        <is>
          <t>Month</t>
        </is>
      </c>
      <c r="D197" t="inlineStr">
        <is>
          <t>Percent</t>
        </is>
      </c>
      <c r="E197" t="inlineStr">
        <is>
          <t>Original</t>
        </is>
      </c>
      <c r="F197" t="inlineStr">
        <is>
          <t>640103.xlsx</t>
        </is>
      </c>
      <c r="G197" t="inlineStr">
        <is>
          <t>2025-04</t>
        </is>
      </c>
      <c r="H197" t="inlineStr">
        <is>
          <t>2026-07</t>
        </is>
      </c>
      <c r="OP197" s="2">
        <v>2.4</v>
      </c>
      <c r="OQ197" s="2">
        <v>2.1</v>
      </c>
      <c r="OR197" s="2">
        <v>1.9</v>
      </c>
      <c r="OS197" s="2">
        <v>3</v>
      </c>
      <c r="OT197" s="2">
        <v>3.2</v>
      </c>
      <c r="OU197" s="2">
        <v>3.6</v>
      </c>
      <c r="OV197" s="2">
        <v>3.8</v>
      </c>
      <c r="OW197" s="2">
        <v>3.4</v>
      </c>
      <c r="OX197" s="2">
        <v>3.8</v>
      </c>
      <c r="PC197" s="2">
        <v>3.8</v>
      </c>
      <c r="PD197" s="2">
        <v>3.7</v>
      </c>
      <c r="PE197" s="2">
        <v>4.6</v>
      </c>
      <c r="PF197" s="2">
        <v>4.2</v>
      </c>
      <c r="PG197" s="2">
        <v>4</v>
      </c>
      <c r="PH197" s="2">
        <v>3.8</v>
      </c>
      <c r="PI197" s="2">
        <v>3.5</v>
      </c>
    </row>
    <row r="198">
      <c r="A198" t="inlineStr">
        <is>
          <t>A130395478C</t>
        </is>
      </c>
      <c r="B198" t="inlineStr">
        <is>
          <t>Percentage Change from Corresponding Month of Previous Year ;  Food and non-alcoholic beverages ;  Australia ;</t>
        </is>
      </c>
      <c r="C198" t="inlineStr">
        <is>
          <t>Month</t>
        </is>
      </c>
      <c r="D198" t="inlineStr">
        <is>
          <t>Percent</t>
        </is>
      </c>
      <c r="E198" t="inlineStr">
        <is>
          <t>Original</t>
        </is>
      </c>
      <c r="F198" t="inlineStr">
        <is>
          <t>640103.xlsx</t>
        </is>
      </c>
      <c r="G198" t="inlineStr">
        <is>
          <t>2025-04</t>
        </is>
      </c>
      <c r="H198" t="inlineStr">
        <is>
          <t>2026-07</t>
        </is>
      </c>
      <c r="OP198" s="2">
        <v>3.2</v>
      </c>
      <c r="OQ198" s="2">
        <v>2.9</v>
      </c>
      <c r="OR198" s="2">
        <v>3.5</v>
      </c>
      <c r="OS198" s="2">
        <v>3.1</v>
      </c>
      <c r="OT198" s="2">
        <v>3</v>
      </c>
      <c r="OU198" s="2">
        <v>3.2</v>
      </c>
      <c r="OV198" s="2">
        <v>3.2</v>
      </c>
      <c r="OW198" s="2">
        <v>3.3</v>
      </c>
      <c r="OX198" s="2">
        <v>3.4</v>
      </c>
      <c r="PC198" s="2">
        <v>3.1</v>
      </c>
      <c r="PD198" s="2">
        <v>3.1</v>
      </c>
      <c r="PE198" s="2">
        <v>3.1</v>
      </c>
      <c r="PF198" s="2">
        <v>2.8</v>
      </c>
      <c r="PG198" s="2">
        <v>3.3</v>
      </c>
      <c r="PH198" s="2">
        <v>3.3</v>
      </c>
      <c r="PI198" s="2">
        <v>3.2</v>
      </c>
    </row>
    <row r="199">
      <c r="A199" t="inlineStr">
        <is>
          <t>A130391705V</t>
        </is>
      </c>
      <c r="B199" t="inlineStr">
        <is>
          <t>Percentage Change from Corresponding Month of Previous Year ;  Bread and cereal products ;  Australia ;</t>
        </is>
      </c>
      <c r="C199" t="inlineStr">
        <is>
          <t>Month</t>
        </is>
      </c>
      <c r="D199" t="inlineStr">
        <is>
          <t>Percent</t>
        </is>
      </c>
      <c r="E199" t="inlineStr">
        <is>
          <t>Original</t>
        </is>
      </c>
      <c r="F199" t="inlineStr">
        <is>
          <t>640103.xlsx</t>
        </is>
      </c>
      <c r="G199" t="inlineStr">
        <is>
          <t>2018-09</t>
        </is>
      </c>
      <c r="H199" t="inlineStr">
        <is>
          <t>2026-07</t>
        </is>
      </c>
      <c r="KM199" s="2">
        <v>0.9</v>
      </c>
      <c r="KN199" s="2">
        <v>0.8</v>
      </c>
      <c r="KO199" s="2">
        <v>0.1</v>
      </c>
      <c r="KP199" s="2">
        <v>0.5</v>
      </c>
      <c r="KU199" s="2">
        <v>0.9</v>
      </c>
      <c r="KV199" s="2">
        <v>2.4</v>
      </c>
      <c r="KW199" s="2">
        <v>2.8</v>
      </c>
      <c r="KX199" s="2">
        <v>3.4</v>
      </c>
      <c r="KY199" s="2">
        <v>2.5</v>
      </c>
      <c r="KZ199" s="2">
        <v>3.5</v>
      </c>
      <c r="LA199" s="2">
        <v>3</v>
      </c>
      <c r="LB199" s="2">
        <v>4.6</v>
      </c>
      <c r="LC199" s="2">
        <v>4.2</v>
      </c>
      <c r="LD199" s="2">
        <v>3.8</v>
      </c>
      <c r="LE199" s="2">
        <v>4.4</v>
      </c>
      <c r="LF199" s="2">
        <v>4.2</v>
      </c>
      <c r="LK199" s="2">
        <v>4</v>
      </c>
      <c r="LL199" s="2">
        <v>3.4</v>
      </c>
      <c r="LM199" s="2">
        <v>5.9</v>
      </c>
      <c r="LN199" s="2">
        <v>6.8</v>
      </c>
      <c r="LO199" s="2">
        <v>5.8</v>
      </c>
      <c r="LP199" s="2">
        <v>3.8</v>
      </c>
      <c r="LQ199" s="2">
        <v>2.6</v>
      </c>
      <c r="LR199" s="2">
        <v>2</v>
      </c>
      <c r="LS199" s="2">
        <v>1.9</v>
      </c>
      <c r="LT199" s="2">
        <v>2.1</v>
      </c>
      <c r="LU199" s="2">
        <v>2.3</v>
      </c>
      <c r="LV199" s="2">
        <v>1.2</v>
      </c>
      <c r="MA199" s="2">
        <v>1.6</v>
      </c>
      <c r="MB199" s="2">
        <v>1.3</v>
      </c>
      <c r="MC199" s="2">
        <v>-2</v>
      </c>
      <c r="MD199" s="2">
        <v>-2.8</v>
      </c>
      <c r="ME199" s="2">
        <v>-0.7</v>
      </c>
      <c r="MF199" s="2">
        <v>0</v>
      </c>
      <c r="MG199" s="2">
        <v>0.9</v>
      </c>
      <c r="MH199" s="2">
        <v>0.5</v>
      </c>
      <c r="MI199" s="2">
        <v>0.7</v>
      </c>
      <c r="MJ199" s="2">
        <v>0.6</v>
      </c>
      <c r="MK199" s="2">
        <v>0.9</v>
      </c>
      <c r="ML199" s="2">
        <v>1.7</v>
      </c>
      <c r="MQ199" s="2">
        <v>1.8</v>
      </c>
      <c r="MR199" s="2">
        <v>2.2</v>
      </c>
      <c r="MS199" s="2">
        <v>4.3</v>
      </c>
      <c r="MT199" s="2">
        <v>5.2</v>
      </c>
      <c r="MU199" s="2">
        <v>5.6</v>
      </c>
      <c r="MV199" s="2">
        <v>7.3</v>
      </c>
      <c r="MW199" s="2">
        <v>8.5</v>
      </c>
      <c r="MX199" s="2">
        <v>9.5</v>
      </c>
      <c r="MY199" s="2">
        <v>11.7</v>
      </c>
      <c r="MZ199" s="2">
        <v>12</v>
      </c>
      <c r="NA199" s="2">
        <v>12</v>
      </c>
      <c r="NB199" s="2">
        <v>13</v>
      </c>
      <c r="NG199" s="2">
        <v>12.6</v>
      </c>
      <c r="NH199" s="2">
        <v>12.5</v>
      </c>
      <c r="NI199" s="2">
        <v>10.8</v>
      </c>
      <c r="NJ199" s="2">
        <v>11.5</v>
      </c>
      <c r="NK199" s="2">
        <v>12.8</v>
      </c>
      <c r="NL199" s="2">
        <v>10.9</v>
      </c>
      <c r="NM199" s="2">
        <v>9.9</v>
      </c>
      <c r="NN199" s="2">
        <v>10.3</v>
      </c>
      <c r="NO199" s="2">
        <v>8.9</v>
      </c>
      <c r="NP199" s="2">
        <v>8.5</v>
      </c>
      <c r="NQ199" s="2">
        <v>8.199999999999999</v>
      </c>
      <c r="NR199" s="2">
        <v>7.7</v>
      </c>
      <c r="NW199" s="2">
        <v>7.4</v>
      </c>
      <c r="NX199" s="2">
        <v>7</v>
      </c>
      <c r="NY199" s="2">
        <v>7.3</v>
      </c>
      <c r="NZ199" s="2">
        <v>5</v>
      </c>
      <c r="OA199" s="2">
        <v>3.4</v>
      </c>
      <c r="OB199" s="2">
        <v>3.4</v>
      </c>
      <c r="OC199" s="2">
        <v>4.3</v>
      </c>
      <c r="OD199" s="2">
        <v>2.5</v>
      </c>
      <c r="OE199" s="2">
        <v>1.8</v>
      </c>
      <c r="OF199" s="2">
        <v>3</v>
      </c>
      <c r="OG199" s="2">
        <v>2.7</v>
      </c>
      <c r="OH199" s="2">
        <v>2.1</v>
      </c>
      <c r="OM199" s="2">
        <v>3</v>
      </c>
      <c r="ON199" s="2">
        <v>2.4</v>
      </c>
      <c r="OO199" s="2">
        <v>2.5</v>
      </c>
      <c r="OP199" s="2">
        <v>2.6</v>
      </c>
      <c r="OQ199" s="2">
        <v>1.9</v>
      </c>
      <c r="OR199" s="2">
        <v>2.2</v>
      </c>
      <c r="OS199" s="2">
        <v>2</v>
      </c>
      <c r="OT199" s="2">
        <v>2.1</v>
      </c>
      <c r="OU199" s="2">
        <v>1.9</v>
      </c>
      <c r="OV199" s="2">
        <v>0.7</v>
      </c>
      <c r="OW199" s="2">
        <v>1.2</v>
      </c>
      <c r="OX199" s="2">
        <v>1.5</v>
      </c>
      <c r="PC199" s="2">
        <v>0.9</v>
      </c>
      <c r="PD199" s="2">
        <v>1</v>
      </c>
      <c r="PE199" s="2">
        <v>0.6</v>
      </c>
      <c r="PF199" s="2">
        <v>0.7</v>
      </c>
      <c r="PG199" s="2">
        <v>1.5</v>
      </c>
      <c r="PH199" s="2">
        <v>2.3</v>
      </c>
      <c r="PI199" s="2">
        <v>1.3</v>
      </c>
    </row>
    <row r="200">
      <c r="A200" t="inlineStr">
        <is>
          <t>A130393203F</t>
        </is>
      </c>
      <c r="B200" t="inlineStr">
        <is>
          <t>Percentage Change from Corresponding Month of Previous Year ;  Bread ;  Australia ;</t>
        </is>
      </c>
      <c r="C200" t="inlineStr">
        <is>
          <t>Month</t>
        </is>
      </c>
      <c r="D200" t="inlineStr">
        <is>
          <t>Percent</t>
        </is>
      </c>
      <c r="E200" t="inlineStr">
        <is>
          <t>Original</t>
        </is>
      </c>
      <c r="F200" t="inlineStr">
        <is>
          <t>640103.xlsx</t>
        </is>
      </c>
      <c r="G200" t="inlineStr">
        <is>
          <t>2018-09</t>
        </is>
      </c>
      <c r="H200" t="inlineStr">
        <is>
          <t>2026-07</t>
        </is>
      </c>
      <c r="KM200" s="2">
        <v>3</v>
      </c>
      <c r="KN200" s="2">
        <v>1.9</v>
      </c>
      <c r="KO200" s="2">
        <v>1.2</v>
      </c>
      <c r="KP200" s="2">
        <v>2</v>
      </c>
      <c r="KU200" s="2">
        <v>2.4</v>
      </c>
      <c r="KV200" s="2">
        <v>3.2</v>
      </c>
      <c r="KW200" s="2">
        <v>4.9</v>
      </c>
      <c r="KX200" s="2">
        <v>5.8</v>
      </c>
      <c r="KY200" s="2">
        <v>4.2</v>
      </c>
      <c r="KZ200" s="2">
        <v>4.2</v>
      </c>
      <c r="LA200" s="2">
        <v>3.3</v>
      </c>
      <c r="LB200" s="2">
        <v>3.5</v>
      </c>
      <c r="LC200" s="2">
        <v>3</v>
      </c>
      <c r="LD200" s="2">
        <v>3</v>
      </c>
      <c r="LE200" s="2">
        <v>3.3</v>
      </c>
      <c r="LF200" s="2">
        <v>2.3</v>
      </c>
      <c r="LK200" s="2">
        <v>2.6</v>
      </c>
      <c r="LL200" s="2">
        <v>2.2</v>
      </c>
      <c r="LM200" s="2">
        <v>2.2</v>
      </c>
      <c r="LN200" s="2">
        <v>1.9</v>
      </c>
      <c r="LO200" s="2">
        <v>1.5</v>
      </c>
      <c r="LP200" s="2">
        <v>1.2</v>
      </c>
      <c r="LQ200" s="2">
        <v>0.9</v>
      </c>
      <c r="LR200" s="2">
        <v>0.8</v>
      </c>
      <c r="LS200" s="2">
        <v>1.3</v>
      </c>
      <c r="LT200" s="2">
        <v>1.7</v>
      </c>
      <c r="LU200" s="2">
        <v>2</v>
      </c>
      <c r="LV200" s="2">
        <v>2.2</v>
      </c>
      <c r="MA200" s="2">
        <v>1.6</v>
      </c>
      <c r="MB200" s="2">
        <v>1.1</v>
      </c>
      <c r="MC200" s="2">
        <v>-0.7</v>
      </c>
      <c r="MD200" s="2">
        <v>-0.1</v>
      </c>
      <c r="ME200" s="2">
        <v>0.7</v>
      </c>
      <c r="MF200" s="2">
        <v>0.9</v>
      </c>
      <c r="MG200" s="2">
        <v>1.1</v>
      </c>
      <c r="MH200" s="2">
        <v>0.5</v>
      </c>
      <c r="MI200" s="2">
        <v>1</v>
      </c>
      <c r="MJ200" s="2">
        <v>0.4</v>
      </c>
      <c r="MK200" s="2">
        <v>0.5</v>
      </c>
      <c r="ML200" s="2">
        <v>0.3</v>
      </c>
      <c r="MQ200" s="2">
        <v>0.6</v>
      </c>
      <c r="MR200" s="2">
        <v>1.6</v>
      </c>
      <c r="MS200" s="2">
        <v>4.5</v>
      </c>
      <c r="MT200" s="2">
        <v>5.7</v>
      </c>
      <c r="MU200" s="2">
        <v>6.9</v>
      </c>
      <c r="MV200" s="2">
        <v>8</v>
      </c>
      <c r="MW200" s="2">
        <v>8.300000000000001</v>
      </c>
      <c r="MX200" s="2">
        <v>9.1</v>
      </c>
      <c r="MY200" s="2">
        <v>13.3</v>
      </c>
      <c r="MZ200" s="2">
        <v>13.1</v>
      </c>
      <c r="NA200" s="2">
        <v>12.9</v>
      </c>
      <c r="NB200" s="2">
        <v>13.6</v>
      </c>
      <c r="NG200" s="2">
        <v>14.9</v>
      </c>
      <c r="NH200" s="2">
        <v>14.2</v>
      </c>
      <c r="NI200" s="2">
        <v>11.1</v>
      </c>
      <c r="NJ200" s="2">
        <v>12.5</v>
      </c>
      <c r="NK200" s="2">
        <v>15.4</v>
      </c>
      <c r="NL200" s="2">
        <v>14.5</v>
      </c>
      <c r="NM200" s="2">
        <v>14.3</v>
      </c>
      <c r="NN200" s="2">
        <v>14</v>
      </c>
      <c r="NO200" s="2">
        <v>9.6</v>
      </c>
      <c r="NP200" s="2">
        <v>10</v>
      </c>
      <c r="NQ200" s="2">
        <v>9.800000000000001</v>
      </c>
      <c r="NR200" s="2">
        <v>9.1</v>
      </c>
      <c r="NW200" s="2">
        <v>8</v>
      </c>
      <c r="NX200" s="2">
        <v>8.5</v>
      </c>
      <c r="NY200" s="2">
        <v>8.4</v>
      </c>
      <c r="NZ200" s="2">
        <v>5.7</v>
      </c>
      <c r="OA200" s="2">
        <v>1.9</v>
      </c>
      <c r="OB200" s="2">
        <v>1.9</v>
      </c>
      <c r="OC200" s="2">
        <v>2</v>
      </c>
      <c r="OD200" s="2">
        <v>1.5</v>
      </c>
      <c r="OE200" s="2">
        <v>1</v>
      </c>
      <c r="OF200" s="2">
        <v>2.1</v>
      </c>
      <c r="OG200" s="2">
        <v>2.7</v>
      </c>
      <c r="OH200" s="2">
        <v>2.9</v>
      </c>
      <c r="OM200" s="2">
        <v>3</v>
      </c>
      <c r="ON200" s="2">
        <v>2.4</v>
      </c>
      <c r="OO200" s="2">
        <v>2.8</v>
      </c>
      <c r="OP200" s="2">
        <v>2.2</v>
      </c>
      <c r="OQ200" s="2">
        <v>2</v>
      </c>
      <c r="OR200" s="2">
        <v>1.5</v>
      </c>
      <c r="OS200" s="2">
        <v>1.3</v>
      </c>
      <c r="OT200" s="2">
        <v>1.6</v>
      </c>
      <c r="OU200" s="2">
        <v>1.8</v>
      </c>
      <c r="OV200" s="2">
        <v>1.1</v>
      </c>
      <c r="OW200" s="2">
        <v>0.6</v>
      </c>
      <c r="OX200" s="2">
        <v>0.4</v>
      </c>
      <c r="PC200" s="2">
        <v>0.5</v>
      </c>
      <c r="PD200" s="2">
        <v>0.7</v>
      </c>
      <c r="PE200" s="2">
        <v>0.9</v>
      </c>
      <c r="PF200" s="2">
        <v>1.1</v>
      </c>
      <c r="PG200" s="2">
        <v>2.1</v>
      </c>
      <c r="PH200" s="2">
        <v>2.7</v>
      </c>
      <c r="PI200" s="2">
        <v>2.6</v>
      </c>
    </row>
    <row r="201">
      <c r="A201" t="inlineStr">
        <is>
          <t>A130399325L</t>
        </is>
      </c>
      <c r="B201" t="inlineStr">
        <is>
          <t>Percentage Change from Corresponding Month of Previous Year ;  Cakes and biscuits ;  Australia ;</t>
        </is>
      </c>
      <c r="C201" t="inlineStr">
        <is>
          <t>Month</t>
        </is>
      </c>
      <c r="D201" t="inlineStr">
        <is>
          <t>Percent</t>
        </is>
      </c>
      <c r="E201" t="inlineStr">
        <is>
          <t>Original</t>
        </is>
      </c>
      <c r="F201" t="inlineStr">
        <is>
          <t>640103.xlsx</t>
        </is>
      </c>
      <c r="G201" t="inlineStr">
        <is>
          <t>2018-09</t>
        </is>
      </c>
      <c r="H201" t="inlineStr">
        <is>
          <t>2026-07</t>
        </is>
      </c>
      <c r="KM201" s="2">
        <v>-0.4</v>
      </c>
      <c r="KN201" s="2">
        <v>0.3</v>
      </c>
      <c r="KO201" s="2">
        <v>-0.6</v>
      </c>
      <c r="KP201" s="2">
        <v>-0.3</v>
      </c>
      <c r="KU201" s="2">
        <v>-0.5</v>
      </c>
      <c r="KV201" s="2">
        <v>1.3</v>
      </c>
      <c r="KW201" s="2">
        <v>0.8</v>
      </c>
      <c r="KX201" s="2">
        <v>0.9</v>
      </c>
      <c r="KY201" s="2">
        <v>1.1</v>
      </c>
      <c r="KZ201" s="2">
        <v>3.5</v>
      </c>
      <c r="LA201" s="2">
        <v>1.8</v>
      </c>
      <c r="LB201" s="2">
        <v>5.3</v>
      </c>
      <c r="LC201" s="2">
        <v>5.4</v>
      </c>
      <c r="LD201" s="2">
        <v>4.3</v>
      </c>
      <c r="LE201" s="2">
        <v>5.3</v>
      </c>
      <c r="LF201" s="2">
        <v>5.8</v>
      </c>
      <c r="LK201" s="2">
        <v>5</v>
      </c>
      <c r="LL201" s="2">
        <v>3.8</v>
      </c>
      <c r="LM201" s="2">
        <v>7</v>
      </c>
      <c r="LN201" s="2">
        <v>8.300000000000001</v>
      </c>
      <c r="LO201" s="2">
        <v>6.3</v>
      </c>
      <c r="LP201" s="2">
        <v>3.7</v>
      </c>
      <c r="LQ201" s="2">
        <v>2.5</v>
      </c>
      <c r="LR201" s="2">
        <v>1.6</v>
      </c>
      <c r="LS201" s="2">
        <v>0.8</v>
      </c>
      <c r="LT201" s="2">
        <v>1.2</v>
      </c>
      <c r="LU201" s="2">
        <v>0.5</v>
      </c>
      <c r="LV201" s="2">
        <v>-0.8</v>
      </c>
      <c r="MA201" s="2">
        <v>0.9</v>
      </c>
      <c r="MB201" s="2">
        <v>2.1</v>
      </c>
      <c r="MC201" s="2">
        <v>-1.5</v>
      </c>
      <c r="MD201" s="2">
        <v>-2.6</v>
      </c>
      <c r="ME201" s="2">
        <v>0.7</v>
      </c>
      <c r="MF201" s="2">
        <v>0.3</v>
      </c>
      <c r="MG201" s="2">
        <v>1.7</v>
      </c>
      <c r="MH201" s="2">
        <v>1.1</v>
      </c>
      <c r="MI201" s="2">
        <v>0.3</v>
      </c>
      <c r="MJ201" s="2">
        <v>0.9</v>
      </c>
      <c r="MK201" s="2">
        <v>1.8</v>
      </c>
      <c r="ML201" s="2">
        <v>3.4</v>
      </c>
      <c r="MQ201" s="2">
        <v>2.2</v>
      </c>
      <c r="MR201" s="2">
        <v>1.6</v>
      </c>
      <c r="MS201" s="2">
        <v>2.4</v>
      </c>
      <c r="MT201" s="2">
        <v>3.3</v>
      </c>
      <c r="MU201" s="2">
        <v>3</v>
      </c>
      <c r="MV201" s="2">
        <v>5.4</v>
      </c>
      <c r="MW201" s="2">
        <v>6.8</v>
      </c>
      <c r="MX201" s="2">
        <v>7.8</v>
      </c>
      <c r="MY201" s="2">
        <v>10</v>
      </c>
      <c r="MZ201" s="2">
        <v>10.8</v>
      </c>
      <c r="NA201" s="2">
        <v>10</v>
      </c>
      <c r="NB201" s="2">
        <v>11.2</v>
      </c>
      <c r="NG201" s="2">
        <v>10.2</v>
      </c>
      <c r="NH201" s="2">
        <v>10.9</v>
      </c>
      <c r="NI201" s="2">
        <v>10.6</v>
      </c>
      <c r="NJ201" s="2">
        <v>11.8</v>
      </c>
      <c r="NK201" s="2">
        <v>11.7</v>
      </c>
      <c r="NL201" s="2">
        <v>8.800000000000001</v>
      </c>
      <c r="NM201" s="2">
        <v>8</v>
      </c>
      <c r="NN201" s="2">
        <v>9.9</v>
      </c>
      <c r="NO201" s="2">
        <v>9.300000000000001</v>
      </c>
      <c r="NP201" s="2">
        <v>8.1</v>
      </c>
      <c r="NQ201" s="2">
        <v>8.1</v>
      </c>
      <c r="NR201" s="2">
        <v>7.5</v>
      </c>
      <c r="NW201" s="2">
        <v>7.7</v>
      </c>
      <c r="NX201" s="2">
        <v>6.6</v>
      </c>
      <c r="NY201" s="2">
        <v>8.199999999999999</v>
      </c>
      <c r="NZ201" s="2">
        <v>5</v>
      </c>
      <c r="OA201" s="2">
        <v>5.1</v>
      </c>
      <c r="OB201" s="2">
        <v>5.4</v>
      </c>
      <c r="OC201" s="2">
        <v>7.1</v>
      </c>
      <c r="OD201" s="2">
        <v>3.2</v>
      </c>
      <c r="OE201" s="2">
        <v>2.6</v>
      </c>
      <c r="OF201" s="2">
        <v>4.6</v>
      </c>
      <c r="OG201" s="2">
        <v>4.1</v>
      </c>
      <c r="OH201" s="2">
        <v>2.5</v>
      </c>
      <c r="OM201" s="2">
        <v>4.1</v>
      </c>
      <c r="ON201" s="2">
        <v>2.8</v>
      </c>
      <c r="OO201" s="2">
        <v>2.9</v>
      </c>
      <c r="OP201" s="2">
        <v>4</v>
      </c>
      <c r="OQ201" s="2">
        <v>2.8</v>
      </c>
      <c r="OR201" s="2">
        <v>3.7</v>
      </c>
      <c r="OS201" s="2">
        <v>3.6</v>
      </c>
      <c r="OT201" s="2">
        <v>3.7</v>
      </c>
      <c r="OU201" s="2">
        <v>3.1</v>
      </c>
      <c r="OV201" s="2">
        <v>0.6</v>
      </c>
      <c r="OW201" s="2">
        <v>1.5</v>
      </c>
      <c r="OX201" s="2">
        <v>2.4</v>
      </c>
      <c r="PC201" s="2">
        <v>1.8</v>
      </c>
      <c r="PD201" s="2">
        <v>1.2</v>
      </c>
      <c r="PE201" s="2">
        <v>0.5</v>
      </c>
      <c r="PF201" s="2">
        <v>0.1</v>
      </c>
      <c r="PG201" s="2">
        <v>1.3</v>
      </c>
      <c r="PH201" s="2">
        <v>1.9</v>
      </c>
      <c r="PI201" s="2">
        <v>0.3</v>
      </c>
    </row>
    <row r="202">
      <c r="A202" t="inlineStr">
        <is>
          <t>A130393224T</t>
        </is>
      </c>
      <c r="B202" t="inlineStr">
        <is>
          <t>Percentage Change from Corresponding Month of Previous Year ;  Breakfast cereals ;  Australia ;</t>
        </is>
      </c>
      <c r="C202" t="inlineStr">
        <is>
          <t>Month</t>
        </is>
      </c>
      <c r="D202" t="inlineStr">
        <is>
          <t>Percent</t>
        </is>
      </c>
      <c r="E202" t="inlineStr">
        <is>
          <t>Original</t>
        </is>
      </c>
      <c r="F202" t="inlineStr">
        <is>
          <t>640103.xlsx</t>
        </is>
      </c>
      <c r="G202" t="inlineStr">
        <is>
          <t>2018-09</t>
        </is>
      </c>
      <c r="H202" t="inlineStr">
        <is>
          <t>2026-07</t>
        </is>
      </c>
      <c r="KM202" s="2">
        <v>1</v>
      </c>
      <c r="KN202" s="2">
        <v>3.3</v>
      </c>
      <c r="KO202" s="2">
        <v>2.1</v>
      </c>
      <c r="KP202" s="2">
        <v>0.5</v>
      </c>
      <c r="KU202" s="2">
        <v>2.8</v>
      </c>
      <c r="KV202" s="2">
        <v>3.3</v>
      </c>
      <c r="KW202" s="2">
        <v>7.5</v>
      </c>
      <c r="KX202" s="2">
        <v>8</v>
      </c>
      <c r="KY202" s="2">
        <v>3.1</v>
      </c>
      <c r="KZ202" s="2">
        <v>2.8</v>
      </c>
      <c r="LA202" s="2">
        <v>8.5</v>
      </c>
      <c r="LB202" s="2">
        <v>8.800000000000001</v>
      </c>
      <c r="LC202" s="2">
        <v>5.9</v>
      </c>
      <c r="LD202" s="2">
        <v>4.1</v>
      </c>
      <c r="LE202" s="2">
        <v>5.2</v>
      </c>
      <c r="LF202" s="2">
        <v>5.4</v>
      </c>
      <c r="LK202" s="2">
        <v>6.4</v>
      </c>
      <c r="LL202" s="2">
        <v>6.5</v>
      </c>
      <c r="LM202" s="2">
        <v>10.5</v>
      </c>
      <c r="LN202" s="2">
        <v>13.3</v>
      </c>
      <c r="LO202" s="2">
        <v>13.4</v>
      </c>
      <c r="LP202" s="2">
        <v>6.6</v>
      </c>
      <c r="LQ202" s="2">
        <v>1.6</v>
      </c>
      <c r="LR202" s="2">
        <v>2.3</v>
      </c>
      <c r="LS202" s="2">
        <v>3.2</v>
      </c>
      <c r="LT202" s="2">
        <v>3.2</v>
      </c>
      <c r="LU202" s="2">
        <v>5.1</v>
      </c>
      <c r="LV202" s="2">
        <v>2.2</v>
      </c>
      <c r="MA202" s="2">
        <v>2.1</v>
      </c>
      <c r="MB202" s="2">
        <v>-1.4</v>
      </c>
      <c r="MC202" s="2">
        <v>-5.7</v>
      </c>
      <c r="MD202" s="2">
        <v>-8.699999999999999</v>
      </c>
      <c r="ME202" s="2">
        <v>-4.9</v>
      </c>
      <c r="MF202" s="2">
        <v>1.4</v>
      </c>
      <c r="MG202" s="2">
        <v>1.9</v>
      </c>
      <c r="MH202" s="2">
        <v>-0.5</v>
      </c>
      <c r="MI202" s="2">
        <v>1.9</v>
      </c>
      <c r="MJ202" s="2">
        <v>-0.6</v>
      </c>
      <c r="MK202" s="2">
        <v>-2.4</v>
      </c>
      <c r="ML202" s="2">
        <v>0</v>
      </c>
      <c r="MQ202" s="2">
        <v>1</v>
      </c>
      <c r="MR202" s="2">
        <v>-0.7</v>
      </c>
      <c r="MS202" s="2">
        <v>8.4</v>
      </c>
      <c r="MT202" s="2">
        <v>9.699999999999999</v>
      </c>
      <c r="MU202" s="2">
        <v>6.5</v>
      </c>
      <c r="MV202" s="2">
        <v>8.9</v>
      </c>
      <c r="MW202" s="2">
        <v>10.6</v>
      </c>
      <c r="MX202" s="2">
        <v>14</v>
      </c>
      <c r="MY202" s="2">
        <v>12.9</v>
      </c>
      <c r="MZ202" s="2">
        <v>13.2</v>
      </c>
      <c r="NA202" s="2">
        <v>15.8</v>
      </c>
      <c r="NB202" s="2">
        <v>18.1</v>
      </c>
      <c r="NG202" s="2">
        <v>15</v>
      </c>
      <c r="NH202" s="2">
        <v>14.6</v>
      </c>
      <c r="NI202" s="2">
        <v>8.699999999999999</v>
      </c>
      <c r="NJ202" s="2">
        <v>4.9</v>
      </c>
      <c r="NK202" s="2">
        <v>11.4</v>
      </c>
      <c r="NL202" s="2">
        <v>8.300000000000001</v>
      </c>
      <c r="NM202" s="2">
        <v>6.4</v>
      </c>
      <c r="NN202" s="2">
        <v>4.5</v>
      </c>
      <c r="NO202" s="2">
        <v>6.2</v>
      </c>
      <c r="NP202" s="2">
        <v>9.4</v>
      </c>
      <c r="NQ202" s="2">
        <v>8.6</v>
      </c>
      <c r="NR202" s="2">
        <v>7.4</v>
      </c>
      <c r="NW202" s="2">
        <v>6.3</v>
      </c>
      <c r="NX202" s="2">
        <v>8.300000000000001</v>
      </c>
      <c r="NY202" s="2">
        <v>4.6</v>
      </c>
      <c r="NZ202" s="2">
        <v>7.4</v>
      </c>
      <c r="OA202" s="2">
        <v>3</v>
      </c>
      <c r="OB202" s="2">
        <v>2</v>
      </c>
      <c r="OC202" s="2">
        <v>2.8</v>
      </c>
      <c r="OD202" s="2">
        <v>4.9</v>
      </c>
      <c r="OE202" s="2">
        <v>2.9</v>
      </c>
      <c r="OF202" s="2">
        <v>-0.5</v>
      </c>
      <c r="OG202" s="2">
        <v>-2.2</v>
      </c>
      <c r="OH202" s="2">
        <v>-1.1</v>
      </c>
      <c r="OM202" s="2">
        <v>1</v>
      </c>
      <c r="ON202" s="2">
        <v>2.1</v>
      </c>
      <c r="OO202" s="2">
        <v>2</v>
      </c>
      <c r="OP202" s="2">
        <v>0.6</v>
      </c>
      <c r="OQ202" s="2">
        <v>0.4</v>
      </c>
      <c r="OR202" s="2">
        <v>2</v>
      </c>
      <c r="OS202" s="2">
        <v>1.9</v>
      </c>
      <c r="OT202" s="2">
        <v>-1.3</v>
      </c>
      <c r="OU202" s="2">
        <v>-1.1</v>
      </c>
      <c r="OV202" s="2">
        <v>2.8</v>
      </c>
      <c r="OW202" s="2">
        <v>4</v>
      </c>
      <c r="OX202" s="2">
        <v>6.8</v>
      </c>
      <c r="PC202" s="2">
        <v>2.4</v>
      </c>
      <c r="PD202" s="2">
        <v>4.4</v>
      </c>
      <c r="PE202" s="2">
        <v>5.1</v>
      </c>
      <c r="PF202" s="2">
        <v>3.7</v>
      </c>
      <c r="PG202" s="2">
        <v>3.5</v>
      </c>
      <c r="PH202" s="2">
        <v>4.7</v>
      </c>
      <c r="PI202" s="2">
        <v>3.4</v>
      </c>
    </row>
    <row r="203">
      <c r="A203" t="inlineStr">
        <is>
          <t>A130398062C</t>
        </is>
      </c>
      <c r="B203" t="inlineStr">
        <is>
          <t>Percentage Change from Corresponding Month of Previous Year ;  Other cereal products ;  Australia ;</t>
        </is>
      </c>
      <c r="C203" t="inlineStr">
        <is>
          <t>Month</t>
        </is>
      </c>
      <c r="D203" t="inlineStr">
        <is>
          <t>Percent</t>
        </is>
      </c>
      <c r="E203" t="inlineStr">
        <is>
          <t>Original</t>
        </is>
      </c>
      <c r="F203" t="inlineStr">
        <is>
          <t>640103.xlsx</t>
        </is>
      </c>
      <c r="G203" t="inlineStr">
        <is>
          <t>2018-09</t>
        </is>
      </c>
      <c r="H203" t="inlineStr">
        <is>
          <t>2026-07</t>
        </is>
      </c>
      <c r="KM203" s="2">
        <v>-0.5</v>
      </c>
      <c r="KN203" s="2">
        <v>-2.2</v>
      </c>
      <c r="KO203" s="2">
        <v>-2.3</v>
      </c>
      <c r="KP203" s="2">
        <v>-1.3</v>
      </c>
      <c r="KU203" s="2">
        <v>-0.1</v>
      </c>
      <c r="KV203" s="2">
        <v>3.4</v>
      </c>
      <c r="KW203" s="2">
        <v>0.7</v>
      </c>
      <c r="KX203" s="2">
        <v>2</v>
      </c>
      <c r="KY203" s="2">
        <v>1.4</v>
      </c>
      <c r="KZ203" s="2">
        <v>1.9</v>
      </c>
      <c r="LA203" s="2">
        <v>2.9</v>
      </c>
      <c r="LB203" s="2">
        <v>2.5</v>
      </c>
      <c r="LC203" s="2">
        <v>2.8</v>
      </c>
      <c r="LD203" s="2">
        <v>4.4</v>
      </c>
      <c r="LE203" s="2">
        <v>3.5</v>
      </c>
      <c r="LF203" s="2">
        <v>3.4</v>
      </c>
      <c r="LK203" s="2">
        <v>3.1</v>
      </c>
      <c r="LL203" s="2">
        <v>3.5</v>
      </c>
      <c r="LM203" s="2">
        <v>10.2</v>
      </c>
      <c r="LN203" s="2">
        <v>12.6</v>
      </c>
      <c r="LO203" s="2">
        <v>12.4</v>
      </c>
      <c r="LP203" s="2">
        <v>10.8</v>
      </c>
      <c r="LQ203" s="2">
        <v>8.9</v>
      </c>
      <c r="LR203" s="2">
        <v>7.7</v>
      </c>
      <c r="LS203" s="2">
        <v>6.6</v>
      </c>
      <c r="LT203" s="2">
        <v>6.2</v>
      </c>
      <c r="LU203" s="2">
        <v>7.4</v>
      </c>
      <c r="LV203" s="2">
        <v>4.6</v>
      </c>
      <c r="MA203" s="2">
        <v>3.9</v>
      </c>
      <c r="MB203" s="2">
        <v>0.8</v>
      </c>
      <c r="MC203" s="2">
        <v>-4.8</v>
      </c>
      <c r="MD203" s="2">
        <v>-7</v>
      </c>
      <c r="ME203" s="2">
        <v>-6.6</v>
      </c>
      <c r="MF203" s="2">
        <v>-4.8</v>
      </c>
      <c r="MG203" s="2">
        <v>-3</v>
      </c>
      <c r="MH203" s="2">
        <v>-0.8</v>
      </c>
      <c r="MI203" s="2">
        <v>0.1</v>
      </c>
      <c r="MJ203" s="2">
        <v>0.7</v>
      </c>
      <c r="MK203" s="2">
        <v>0.9</v>
      </c>
      <c r="ML203" s="2">
        <v>1.3</v>
      </c>
      <c r="MQ203" s="2">
        <v>4.2</v>
      </c>
      <c r="MR203" s="2">
        <v>7.7</v>
      </c>
      <c r="MS203" s="2">
        <v>7.8</v>
      </c>
      <c r="MT203" s="2">
        <v>7.4</v>
      </c>
      <c r="MU203" s="2">
        <v>9.9</v>
      </c>
      <c r="MV203" s="2">
        <v>10.7</v>
      </c>
      <c r="MW203" s="2">
        <v>13.7</v>
      </c>
      <c r="MX203" s="2">
        <v>13.4</v>
      </c>
      <c r="MY203" s="2">
        <v>12.1</v>
      </c>
      <c r="MZ203" s="2">
        <v>11.7</v>
      </c>
      <c r="NA203" s="2">
        <v>13.7</v>
      </c>
      <c r="NB203" s="2">
        <v>13.8</v>
      </c>
      <c r="NG203" s="2">
        <v>12.2</v>
      </c>
      <c r="NH203" s="2">
        <v>11.7</v>
      </c>
      <c r="NI203" s="2">
        <v>11.8</v>
      </c>
      <c r="NJ203" s="2">
        <v>11.5</v>
      </c>
      <c r="NK203" s="2">
        <v>9.4</v>
      </c>
      <c r="NL203" s="2">
        <v>8.5</v>
      </c>
      <c r="NM203" s="2">
        <v>5.5</v>
      </c>
      <c r="NN203" s="2">
        <v>4.8</v>
      </c>
      <c r="NO203" s="2">
        <v>6.8</v>
      </c>
      <c r="NP203" s="2">
        <v>5.1</v>
      </c>
      <c r="NQ203" s="2">
        <v>3.9</v>
      </c>
      <c r="NR203" s="2">
        <v>4.9</v>
      </c>
      <c r="NW203" s="2">
        <v>4.9</v>
      </c>
      <c r="NX203" s="2">
        <v>2.3</v>
      </c>
      <c r="NY203" s="2">
        <v>2.2</v>
      </c>
      <c r="NZ203" s="2">
        <v>1</v>
      </c>
      <c r="OA203" s="2">
        <v>1.9</v>
      </c>
      <c r="OB203" s="2">
        <v>1.8</v>
      </c>
      <c r="OC203" s="2">
        <v>2.5</v>
      </c>
      <c r="OD203" s="2">
        <v>1.2</v>
      </c>
      <c r="OE203" s="2">
        <v>1</v>
      </c>
      <c r="OF203" s="2">
        <v>1.5</v>
      </c>
      <c r="OG203" s="2">
        <v>0.7</v>
      </c>
      <c r="OH203" s="2">
        <v>0.2</v>
      </c>
      <c r="OM203" s="2">
        <v>0.3</v>
      </c>
      <c r="ON203" s="2">
        <v>0.7</v>
      </c>
      <c r="OO203" s="2">
        <v>0.5</v>
      </c>
      <c r="OP203" s="2">
        <v>0</v>
      </c>
      <c r="OQ203" s="2">
        <v>-0.4</v>
      </c>
      <c r="OR203" s="2">
        <v>-0.8</v>
      </c>
      <c r="OS203" s="2">
        <v>-1.4</v>
      </c>
      <c r="OT203" s="2">
        <v>-0.2</v>
      </c>
      <c r="OU203" s="2">
        <v>-0.2</v>
      </c>
      <c r="OV203" s="2">
        <v>-1.5</v>
      </c>
      <c r="OW203" s="2">
        <v>0</v>
      </c>
      <c r="OX203" s="2">
        <v>-0.8</v>
      </c>
      <c r="PC203" s="2">
        <v>-1.4</v>
      </c>
      <c r="PD203" s="2">
        <v>-0.6</v>
      </c>
      <c r="PE203" s="2">
        <v>-2.7</v>
      </c>
      <c r="PF203" s="2">
        <v>-0.2</v>
      </c>
      <c r="PG203" s="2">
        <v>-0.7</v>
      </c>
      <c r="PH203" s="2">
        <v>1.6</v>
      </c>
      <c r="PI203" s="2">
        <v>-0.5</v>
      </c>
    </row>
    <row r="204">
      <c r="A204" t="inlineStr">
        <is>
          <t>A130394365R</t>
        </is>
      </c>
      <c r="B204" t="inlineStr">
        <is>
          <t>Percentage Change from Corresponding Month of Previous Year ;  Meat and seafoods ;  Australia ;</t>
        </is>
      </c>
      <c r="C204" t="inlineStr">
        <is>
          <t>Month</t>
        </is>
      </c>
      <c r="D204" t="inlineStr">
        <is>
          <t>Percent</t>
        </is>
      </c>
      <c r="E204" t="inlineStr">
        <is>
          <t>Original</t>
        </is>
      </c>
      <c r="F204" t="inlineStr">
        <is>
          <t>640103.xlsx</t>
        </is>
      </c>
      <c r="G204" t="inlineStr">
        <is>
          <t>2018-09</t>
        </is>
      </c>
      <c r="H204" t="inlineStr">
        <is>
          <t>2026-07</t>
        </is>
      </c>
      <c r="KM204" s="2">
        <v>1.6</v>
      </c>
      <c r="KN204" s="2">
        <v>1.8</v>
      </c>
      <c r="KO204" s="2">
        <v>2</v>
      </c>
      <c r="KP204" s="2">
        <v>2.9</v>
      </c>
      <c r="KU204" s="2">
        <v>3.4</v>
      </c>
      <c r="KV204" s="2">
        <v>4.5</v>
      </c>
      <c r="KW204" s="2">
        <v>4</v>
      </c>
      <c r="KX204" s="2">
        <v>3.1</v>
      </c>
      <c r="KY204" s="2">
        <v>4.5</v>
      </c>
      <c r="KZ204" s="2">
        <v>4.7</v>
      </c>
      <c r="LA204" s="2">
        <v>5</v>
      </c>
      <c r="LB204" s="2">
        <v>5.3</v>
      </c>
      <c r="LC204" s="2">
        <v>5.9</v>
      </c>
      <c r="LD204" s="2">
        <v>6</v>
      </c>
      <c r="LE204" s="2">
        <v>5.2</v>
      </c>
      <c r="LF204" s="2">
        <v>5.8</v>
      </c>
      <c r="LK204" s="2">
        <v>5.1</v>
      </c>
      <c r="LL204" s="2">
        <v>4.3</v>
      </c>
      <c r="LM204" s="2">
        <v>7.7</v>
      </c>
      <c r="LN204" s="2">
        <v>7</v>
      </c>
      <c r="LO204" s="2">
        <v>6.4</v>
      </c>
      <c r="LP204" s="2">
        <v>6.4</v>
      </c>
      <c r="LQ204" s="2">
        <v>6.7</v>
      </c>
      <c r="LR204" s="2">
        <v>6.3</v>
      </c>
      <c r="LS204" s="2">
        <v>4.9</v>
      </c>
      <c r="LT204" s="2">
        <v>3.8</v>
      </c>
      <c r="LU204" s="2">
        <v>4.6</v>
      </c>
      <c r="LV204" s="2">
        <v>4.8</v>
      </c>
      <c r="MA204" s="2">
        <v>4.4</v>
      </c>
      <c r="MB204" s="2">
        <v>4.6</v>
      </c>
      <c r="MC204" s="2">
        <v>1.8</v>
      </c>
      <c r="MD204" s="2">
        <v>3.5</v>
      </c>
      <c r="ME204" s="2">
        <v>3.2</v>
      </c>
      <c r="MF204" s="2">
        <v>2.9</v>
      </c>
      <c r="MG204" s="2">
        <v>2.6</v>
      </c>
      <c r="MH204" s="2">
        <v>2.3</v>
      </c>
      <c r="MI204" s="2">
        <v>2.7</v>
      </c>
      <c r="MJ204" s="2">
        <v>2.7</v>
      </c>
      <c r="MK204" s="2">
        <v>2.6</v>
      </c>
      <c r="ML204" s="2">
        <v>2</v>
      </c>
      <c r="MQ204" s="2">
        <v>5.1</v>
      </c>
      <c r="MR204" s="2">
        <v>7.2</v>
      </c>
      <c r="MS204" s="2">
        <v>5.8</v>
      </c>
      <c r="MT204" s="2">
        <v>5.4</v>
      </c>
      <c r="MU204" s="2">
        <v>6.1</v>
      </c>
      <c r="MV204" s="2">
        <v>6.4</v>
      </c>
      <c r="MW204" s="2">
        <v>7.1</v>
      </c>
      <c r="MX204" s="2">
        <v>7.2</v>
      </c>
      <c r="MY204" s="2">
        <v>7.6</v>
      </c>
      <c r="MZ204" s="2">
        <v>7.8</v>
      </c>
      <c r="NA204" s="2">
        <v>8</v>
      </c>
      <c r="NB204" s="2">
        <v>8.4</v>
      </c>
      <c r="NG204" s="2">
        <v>5.1</v>
      </c>
      <c r="NH204" s="2">
        <v>3.3</v>
      </c>
      <c r="NI204" s="2">
        <v>4.3</v>
      </c>
      <c r="NJ204" s="2">
        <v>4.5</v>
      </c>
      <c r="NK204" s="2">
        <v>3.8</v>
      </c>
      <c r="NL204" s="2">
        <v>2.7</v>
      </c>
      <c r="NM204" s="2">
        <v>2.4</v>
      </c>
      <c r="NN204" s="2">
        <v>2.6</v>
      </c>
      <c r="NO204" s="2">
        <v>1.8</v>
      </c>
      <c r="NP204" s="2">
        <v>1.8</v>
      </c>
      <c r="NQ204" s="2">
        <v>0.3</v>
      </c>
      <c r="NR204" s="2">
        <v>-1.9</v>
      </c>
      <c r="NW204" s="2">
        <v>-2</v>
      </c>
      <c r="NX204" s="2">
        <v>-1.9</v>
      </c>
      <c r="NY204" s="2">
        <v>-0.9</v>
      </c>
      <c r="NZ204" s="2">
        <v>-0.5</v>
      </c>
      <c r="OA204" s="2">
        <v>-0.6</v>
      </c>
      <c r="OB204" s="2">
        <v>-0.1</v>
      </c>
      <c r="OC204" s="2">
        <v>0.2</v>
      </c>
      <c r="OD204" s="2">
        <v>0.2</v>
      </c>
      <c r="OE204" s="2">
        <v>0.8</v>
      </c>
      <c r="OF204" s="2">
        <v>1.2</v>
      </c>
      <c r="OG204" s="2">
        <v>2.4</v>
      </c>
      <c r="OH204" s="2">
        <v>4</v>
      </c>
      <c r="OM204" s="2">
        <v>4.7</v>
      </c>
      <c r="ON204" s="2">
        <v>4.4</v>
      </c>
      <c r="OO204" s="2">
        <v>3.8</v>
      </c>
      <c r="OP204" s="2">
        <v>2.5</v>
      </c>
      <c r="OQ204" s="2">
        <v>3.1</v>
      </c>
      <c r="OR204" s="2">
        <v>3.3</v>
      </c>
      <c r="OS204" s="2">
        <v>2.3</v>
      </c>
      <c r="OT204" s="2">
        <v>2.9</v>
      </c>
      <c r="OU204" s="2">
        <v>3.4</v>
      </c>
      <c r="OV204" s="2">
        <v>3.8</v>
      </c>
      <c r="OW204" s="2">
        <v>3.9</v>
      </c>
      <c r="OX204" s="2">
        <v>4.4</v>
      </c>
      <c r="PC204" s="2">
        <v>3.9</v>
      </c>
      <c r="PD204" s="2">
        <v>4.5</v>
      </c>
      <c r="PE204" s="2">
        <v>4.8</v>
      </c>
      <c r="PF204" s="2">
        <v>5</v>
      </c>
      <c r="PG204" s="2">
        <v>5.4</v>
      </c>
      <c r="PH204" s="2">
        <v>5.4</v>
      </c>
      <c r="PI204" s="2">
        <v>5.6</v>
      </c>
    </row>
    <row r="205">
      <c r="A205" t="inlineStr">
        <is>
          <t>A130393245C</t>
        </is>
      </c>
      <c r="B205" t="inlineStr">
        <is>
          <t>Percentage Change from Corresponding Month of Previous Year ;  Beef and veal ;  Australia ;</t>
        </is>
      </c>
      <c r="C205" t="inlineStr">
        <is>
          <t>Month</t>
        </is>
      </c>
      <c r="D205" t="inlineStr">
        <is>
          <t>Percent</t>
        </is>
      </c>
      <c r="E205" t="inlineStr">
        <is>
          <t>Original</t>
        </is>
      </c>
      <c r="F205" t="inlineStr">
        <is>
          <t>640103.xlsx</t>
        </is>
      </c>
      <c r="G205" t="inlineStr">
        <is>
          <t>2018-09</t>
        </is>
      </c>
      <c r="H205" t="inlineStr">
        <is>
          <t>2026-07</t>
        </is>
      </c>
      <c r="KM205" s="2">
        <v>1.1</v>
      </c>
      <c r="KN205" s="2">
        <v>0.8</v>
      </c>
      <c r="KO205" s="2">
        <v>1.8</v>
      </c>
      <c r="KP205" s="2">
        <v>2.7</v>
      </c>
      <c r="KU205" s="2">
        <v>2.6</v>
      </c>
      <c r="KV205" s="2">
        <v>4.2</v>
      </c>
      <c r="KW205" s="2">
        <v>4.9</v>
      </c>
      <c r="KX205" s="2">
        <v>4.4</v>
      </c>
      <c r="KY205" s="2">
        <v>6.7</v>
      </c>
      <c r="KZ205" s="2">
        <v>6.9</v>
      </c>
      <c r="LA205" s="2">
        <v>7.5</v>
      </c>
      <c r="LB205" s="2">
        <v>5.8</v>
      </c>
      <c r="LC205" s="2">
        <v>7.9</v>
      </c>
      <c r="LD205" s="2">
        <v>8.699999999999999</v>
      </c>
      <c r="LE205" s="2">
        <v>7.6</v>
      </c>
      <c r="LF205" s="2">
        <v>9</v>
      </c>
      <c r="LK205" s="2">
        <v>8.800000000000001</v>
      </c>
      <c r="LL205" s="2">
        <v>7.1</v>
      </c>
      <c r="LM205" s="2">
        <v>8.800000000000001</v>
      </c>
      <c r="LN205" s="2">
        <v>4.9</v>
      </c>
      <c r="LO205" s="2">
        <v>8.1</v>
      </c>
      <c r="LP205" s="2">
        <v>9</v>
      </c>
      <c r="LQ205" s="2">
        <v>9.4</v>
      </c>
      <c r="LR205" s="2">
        <v>9.300000000000001</v>
      </c>
      <c r="LS205" s="2">
        <v>6.4</v>
      </c>
      <c r="LT205" s="2">
        <v>6.5</v>
      </c>
      <c r="LU205" s="2">
        <v>8.300000000000001</v>
      </c>
      <c r="LV205" s="2">
        <v>9.1</v>
      </c>
      <c r="MA205" s="2">
        <v>8.5</v>
      </c>
      <c r="MB205" s="2">
        <v>9.699999999999999</v>
      </c>
      <c r="MC205" s="2">
        <v>8.4</v>
      </c>
      <c r="MD205" s="2">
        <v>16.2</v>
      </c>
      <c r="ME205" s="2">
        <v>13.2</v>
      </c>
      <c r="MF205" s="2">
        <v>12.1</v>
      </c>
      <c r="MG205" s="2">
        <v>12</v>
      </c>
      <c r="MH205" s="2">
        <v>11.1</v>
      </c>
      <c r="MI205" s="2">
        <v>10.7</v>
      </c>
      <c r="MJ205" s="2">
        <v>9.699999999999999</v>
      </c>
      <c r="MK205" s="2">
        <v>8.300000000000001</v>
      </c>
      <c r="ML205" s="2">
        <v>7.5</v>
      </c>
      <c r="MQ205" s="2">
        <v>12.4</v>
      </c>
      <c r="MR205" s="2">
        <v>12.6</v>
      </c>
      <c r="MS205" s="2">
        <v>12.4</v>
      </c>
      <c r="MT205" s="2">
        <v>10.3</v>
      </c>
      <c r="MU205" s="2">
        <v>9.4</v>
      </c>
      <c r="MV205" s="2">
        <v>8.800000000000001</v>
      </c>
      <c r="MW205" s="2">
        <v>9</v>
      </c>
      <c r="MX205" s="2">
        <v>9.300000000000001</v>
      </c>
      <c r="MY205" s="2">
        <v>10</v>
      </c>
      <c r="MZ205" s="2">
        <v>9.699999999999999</v>
      </c>
      <c r="NA205" s="2">
        <v>9.1</v>
      </c>
      <c r="NB205" s="2">
        <v>7.9</v>
      </c>
      <c r="NG205" s="2">
        <v>2.5</v>
      </c>
      <c r="NH205" s="2">
        <v>1</v>
      </c>
      <c r="NI205" s="2">
        <v>-0.1</v>
      </c>
      <c r="NJ205" s="2">
        <v>-0.8</v>
      </c>
      <c r="NK205" s="2">
        <v>-2</v>
      </c>
      <c r="NL205" s="2">
        <v>-2.7</v>
      </c>
      <c r="NM205" s="2">
        <v>-3.2</v>
      </c>
      <c r="NN205" s="2">
        <v>-2.7</v>
      </c>
      <c r="NO205" s="2">
        <v>-4.2</v>
      </c>
      <c r="NP205" s="2">
        <v>-4.2</v>
      </c>
      <c r="NQ205" s="2">
        <v>-4.2</v>
      </c>
      <c r="NR205" s="2">
        <v>-5.2</v>
      </c>
      <c r="NW205" s="2">
        <v>-5.2</v>
      </c>
      <c r="NX205" s="2">
        <v>-6.5</v>
      </c>
      <c r="NY205" s="2">
        <v>-5.7</v>
      </c>
      <c r="NZ205" s="2">
        <v>-4.8</v>
      </c>
      <c r="OA205" s="2">
        <v>-3.3</v>
      </c>
      <c r="OB205" s="2">
        <v>-2.7</v>
      </c>
      <c r="OC205" s="2">
        <v>-2.4</v>
      </c>
      <c r="OD205" s="2">
        <v>-2.2</v>
      </c>
      <c r="OE205" s="2">
        <v>-0.3</v>
      </c>
      <c r="OF205" s="2">
        <v>-0.3</v>
      </c>
      <c r="OG205" s="2">
        <v>0.7</v>
      </c>
      <c r="OH205" s="2">
        <v>1.4</v>
      </c>
      <c r="OM205" s="2">
        <v>2.8</v>
      </c>
      <c r="ON205" s="2">
        <v>3.3</v>
      </c>
      <c r="OO205" s="2">
        <v>5</v>
      </c>
      <c r="OP205" s="2">
        <v>4.1</v>
      </c>
      <c r="OQ205" s="2">
        <v>3.6</v>
      </c>
      <c r="OR205" s="2">
        <v>6</v>
      </c>
      <c r="OS205" s="2">
        <v>5.1</v>
      </c>
      <c r="OT205" s="2">
        <v>6</v>
      </c>
      <c r="OU205" s="2">
        <v>7.3</v>
      </c>
      <c r="OV205" s="2">
        <v>10.5</v>
      </c>
      <c r="OW205" s="2">
        <v>11.3</v>
      </c>
      <c r="OX205" s="2">
        <v>10.8</v>
      </c>
      <c r="PC205" s="2">
        <v>11.2</v>
      </c>
      <c r="PD205" s="2">
        <v>13.5</v>
      </c>
      <c r="PE205" s="2">
        <v>11.8</v>
      </c>
      <c r="PF205" s="2">
        <v>11.9</v>
      </c>
      <c r="PG205" s="2">
        <v>13.3</v>
      </c>
      <c r="PH205" s="2">
        <v>11.9</v>
      </c>
      <c r="PI205" s="2">
        <v>12.6</v>
      </c>
    </row>
    <row r="206">
      <c r="A206" t="inlineStr">
        <is>
          <t>A130395338A</t>
        </is>
      </c>
      <c r="B206" t="inlineStr">
        <is>
          <t>Percentage Change from Corresponding Month of Previous Year ;  Pork ;  Australia ;</t>
        </is>
      </c>
      <c r="C206" t="inlineStr">
        <is>
          <t>Month</t>
        </is>
      </c>
      <c r="D206" t="inlineStr">
        <is>
          <t>Percent</t>
        </is>
      </c>
      <c r="E206" t="inlineStr">
        <is>
          <t>Original</t>
        </is>
      </c>
      <c r="F206" t="inlineStr">
        <is>
          <t>640103.xlsx</t>
        </is>
      </c>
      <c r="G206" t="inlineStr">
        <is>
          <t>2018-09</t>
        </is>
      </c>
      <c r="H206" t="inlineStr">
        <is>
          <t>2026-07</t>
        </is>
      </c>
      <c r="KM206" s="2">
        <v>-0.9</v>
      </c>
      <c r="KN206" s="2">
        <v>-1.5</v>
      </c>
      <c r="KO206" s="2">
        <v>-0.3</v>
      </c>
      <c r="KP206" s="2">
        <v>-0.2</v>
      </c>
      <c r="KU206" s="2">
        <v>-0.1</v>
      </c>
      <c r="KV206" s="2">
        <v>0.2</v>
      </c>
      <c r="KW206" s="2">
        <v>-0.6</v>
      </c>
      <c r="KX206" s="2">
        <v>0.2</v>
      </c>
      <c r="KY206" s="2">
        <v>1.1</v>
      </c>
      <c r="KZ206" s="2">
        <v>2.5</v>
      </c>
      <c r="LA206" s="2">
        <v>2.9</v>
      </c>
      <c r="LB206" s="2">
        <v>3.7</v>
      </c>
      <c r="LC206" s="2">
        <v>5</v>
      </c>
      <c r="LD206" s="2">
        <v>8.5</v>
      </c>
      <c r="LE206" s="2">
        <v>8.4</v>
      </c>
      <c r="LF206" s="2">
        <v>7.7</v>
      </c>
      <c r="LK206" s="2">
        <v>7.9</v>
      </c>
      <c r="LL206" s="2">
        <v>7.6</v>
      </c>
      <c r="LM206" s="2">
        <v>10.4</v>
      </c>
      <c r="LN206" s="2">
        <v>11.3</v>
      </c>
      <c r="LO206" s="2">
        <v>10.1</v>
      </c>
      <c r="LP206" s="2">
        <v>9.199999999999999</v>
      </c>
      <c r="LQ206" s="2">
        <v>9.199999999999999</v>
      </c>
      <c r="LR206" s="2">
        <v>8.800000000000001</v>
      </c>
      <c r="LS206" s="2">
        <v>7.6</v>
      </c>
      <c r="LT206" s="2">
        <v>4.1</v>
      </c>
      <c r="LU206" s="2">
        <v>3.9</v>
      </c>
      <c r="LV206" s="2">
        <v>3.8</v>
      </c>
      <c r="MA206" s="2">
        <v>3.8</v>
      </c>
      <c r="MB206" s="2">
        <v>3.6</v>
      </c>
      <c r="MC206" s="2">
        <v>0.1</v>
      </c>
      <c r="MD206" s="2">
        <v>-1.4</v>
      </c>
      <c r="ME206" s="2">
        <v>-0.2</v>
      </c>
      <c r="MF206" s="2">
        <v>-0.3</v>
      </c>
      <c r="MG206" s="2">
        <v>-1.2</v>
      </c>
      <c r="MH206" s="2">
        <v>-0.6</v>
      </c>
      <c r="MI206" s="2">
        <v>-0.3</v>
      </c>
      <c r="MJ206" s="2">
        <v>0.2</v>
      </c>
      <c r="MK206" s="2">
        <v>0.8</v>
      </c>
      <c r="ML206" s="2">
        <v>-0.1</v>
      </c>
      <c r="MQ206" s="2">
        <v>2.1</v>
      </c>
      <c r="MR206" s="2">
        <v>3.8</v>
      </c>
      <c r="MS206" s="2">
        <v>3.2</v>
      </c>
      <c r="MT206" s="2">
        <v>3.8</v>
      </c>
      <c r="MU206" s="2">
        <v>4.4</v>
      </c>
      <c r="MV206" s="2">
        <v>4.1</v>
      </c>
      <c r="MW206" s="2">
        <v>4.6</v>
      </c>
      <c r="MX206" s="2">
        <v>3.6</v>
      </c>
      <c r="MY206" s="2">
        <v>3.1</v>
      </c>
      <c r="MZ206" s="2">
        <v>4</v>
      </c>
      <c r="NA206" s="2">
        <v>4</v>
      </c>
      <c r="NB206" s="2">
        <v>6.4</v>
      </c>
      <c r="NG206" s="2">
        <v>3.8</v>
      </c>
      <c r="NH206" s="2">
        <v>3</v>
      </c>
      <c r="NI206" s="2">
        <v>4.6</v>
      </c>
      <c r="NJ206" s="2">
        <v>4.3</v>
      </c>
      <c r="NK206" s="2">
        <v>3.3</v>
      </c>
      <c r="NL206" s="2">
        <v>3.5</v>
      </c>
      <c r="NM206" s="2">
        <v>4.1</v>
      </c>
      <c r="NN206" s="2">
        <v>4.4</v>
      </c>
      <c r="NO206" s="2">
        <v>5</v>
      </c>
      <c r="NP206" s="2">
        <v>6.3</v>
      </c>
      <c r="NQ206" s="2">
        <v>5.9</v>
      </c>
      <c r="NR206" s="2">
        <v>4.2</v>
      </c>
      <c r="NW206" s="2">
        <v>5.1</v>
      </c>
      <c r="NX206" s="2">
        <v>3.5</v>
      </c>
      <c r="NY206" s="2">
        <v>3.8</v>
      </c>
      <c r="NZ206" s="2">
        <v>4.8</v>
      </c>
      <c r="OA206" s="2">
        <v>4.9</v>
      </c>
      <c r="OB206" s="2">
        <v>4.4</v>
      </c>
      <c r="OC206" s="2">
        <v>4</v>
      </c>
      <c r="OD206" s="2">
        <v>3.7</v>
      </c>
      <c r="OE206" s="2">
        <v>3</v>
      </c>
      <c r="OF206" s="2">
        <v>2.3</v>
      </c>
      <c r="OG206" s="2">
        <v>2.3</v>
      </c>
      <c r="OH206" s="2">
        <v>2.9</v>
      </c>
      <c r="OM206" s="2">
        <v>3.2</v>
      </c>
      <c r="ON206" s="2">
        <v>3.8</v>
      </c>
      <c r="OO206" s="2">
        <v>4.3</v>
      </c>
      <c r="OP206" s="2">
        <v>2.4</v>
      </c>
      <c r="OQ206" s="2">
        <v>3.4</v>
      </c>
      <c r="OR206" s="2">
        <v>3.5</v>
      </c>
      <c r="OS206" s="2">
        <v>3.5</v>
      </c>
      <c r="OT206" s="2">
        <v>3.5</v>
      </c>
      <c r="OU206" s="2">
        <v>3.3</v>
      </c>
      <c r="OV206" s="2">
        <v>1.4</v>
      </c>
      <c r="OW206" s="2">
        <v>1.3</v>
      </c>
      <c r="OX206" s="2">
        <v>0.7</v>
      </c>
      <c r="PC206" s="2">
        <v>0.5</v>
      </c>
      <c r="PD206" s="2">
        <v>0.5</v>
      </c>
      <c r="PE206" s="2">
        <v>-0.1</v>
      </c>
      <c r="PF206" s="2">
        <v>1.7</v>
      </c>
      <c r="PG206" s="2">
        <v>1.3</v>
      </c>
      <c r="PH206" s="2">
        <v>2.5</v>
      </c>
      <c r="PI206" s="2">
        <v>1.3</v>
      </c>
    </row>
    <row r="207">
      <c r="A207" t="inlineStr">
        <is>
          <t>A130399374J</t>
        </is>
      </c>
      <c r="B207" t="inlineStr">
        <is>
          <t>Percentage Change from Corresponding Month of Previous Year ;  Lamb and goat ;  Australia ;</t>
        </is>
      </c>
      <c r="C207" t="inlineStr">
        <is>
          <t>Month</t>
        </is>
      </c>
      <c r="D207" t="inlineStr">
        <is>
          <t>Percent</t>
        </is>
      </c>
      <c r="E207" t="inlineStr">
        <is>
          <t>Original</t>
        </is>
      </c>
      <c r="F207" t="inlineStr">
        <is>
          <t>640103.xlsx</t>
        </is>
      </c>
      <c r="G207" t="inlineStr">
        <is>
          <t>2018-09</t>
        </is>
      </c>
      <c r="H207" t="inlineStr">
        <is>
          <t>2026-07</t>
        </is>
      </c>
      <c r="KM207" s="2">
        <v>7.9</v>
      </c>
      <c r="KN207" s="2">
        <v>11.3</v>
      </c>
      <c r="KO207" s="2">
        <v>10.8</v>
      </c>
      <c r="KP207" s="2">
        <v>12.4</v>
      </c>
      <c r="KU207" s="2">
        <v>15.7</v>
      </c>
      <c r="KV207" s="2">
        <v>16</v>
      </c>
      <c r="KW207" s="2">
        <v>15.5</v>
      </c>
      <c r="KX207" s="2">
        <v>13.3</v>
      </c>
      <c r="KY207" s="2">
        <v>14.6</v>
      </c>
      <c r="KZ207" s="2">
        <v>14.6</v>
      </c>
      <c r="LA207" s="2">
        <v>15.4</v>
      </c>
      <c r="LB207" s="2">
        <v>15.4</v>
      </c>
      <c r="LC207" s="2">
        <v>13</v>
      </c>
      <c r="LD207" s="2">
        <v>7.7</v>
      </c>
      <c r="LE207" s="2">
        <v>6</v>
      </c>
      <c r="LF207" s="2">
        <v>5.4</v>
      </c>
      <c r="LK207" s="2">
        <v>3.5</v>
      </c>
      <c r="LL207" s="2">
        <v>4.6</v>
      </c>
      <c r="LM207" s="2">
        <v>8.5</v>
      </c>
      <c r="LN207" s="2">
        <v>5.3</v>
      </c>
      <c r="LO207" s="2">
        <v>4.8</v>
      </c>
      <c r="LP207" s="2">
        <v>6.3</v>
      </c>
      <c r="LQ207" s="2">
        <v>6.8</v>
      </c>
      <c r="LR207" s="2">
        <v>5</v>
      </c>
      <c r="LS207" s="2">
        <v>0.5</v>
      </c>
      <c r="LT207" s="2">
        <v>0.1</v>
      </c>
      <c r="LU207" s="2">
        <v>1.8</v>
      </c>
      <c r="LV207" s="2">
        <v>4.6</v>
      </c>
      <c r="MA207" s="2">
        <v>3.7</v>
      </c>
      <c r="MB207" s="2">
        <v>3.6</v>
      </c>
      <c r="MC207" s="2">
        <v>0.4</v>
      </c>
      <c r="MD207" s="2">
        <v>2.9</v>
      </c>
      <c r="ME207" s="2">
        <v>2.1</v>
      </c>
      <c r="MF207" s="2">
        <v>0.4</v>
      </c>
      <c r="MG207" s="2">
        <v>0</v>
      </c>
      <c r="MH207" s="2">
        <v>-0.4</v>
      </c>
      <c r="MI207" s="2">
        <v>2.4</v>
      </c>
      <c r="MJ207" s="2">
        <v>3.9</v>
      </c>
      <c r="MK207" s="2">
        <v>3.4</v>
      </c>
      <c r="ML207" s="2">
        <v>1.3</v>
      </c>
      <c r="MQ207" s="2">
        <v>6.4</v>
      </c>
      <c r="MR207" s="2">
        <v>8</v>
      </c>
      <c r="MS207" s="2">
        <v>5</v>
      </c>
      <c r="MT207" s="2">
        <v>5.5</v>
      </c>
      <c r="MU207" s="2">
        <v>7.8</v>
      </c>
      <c r="MV207" s="2">
        <v>7.5</v>
      </c>
      <c r="MW207" s="2">
        <v>7</v>
      </c>
      <c r="MX207" s="2">
        <v>5.3</v>
      </c>
      <c r="MY207" s="2">
        <v>4.9</v>
      </c>
      <c r="MZ207" s="2">
        <v>3.4</v>
      </c>
      <c r="NA207" s="2">
        <v>4</v>
      </c>
      <c r="NB207" s="2">
        <v>3.1</v>
      </c>
      <c r="NG207" s="2">
        <v>-0.9</v>
      </c>
      <c r="NH207" s="2">
        <v>-3.1</v>
      </c>
      <c r="NI207" s="2">
        <v>-2.2</v>
      </c>
      <c r="NJ207" s="2">
        <v>-0.9</v>
      </c>
      <c r="NK207" s="2">
        <v>-2</v>
      </c>
      <c r="NL207" s="2">
        <v>-3.6</v>
      </c>
      <c r="NM207" s="2">
        <v>-4.6</v>
      </c>
      <c r="NN207" s="2">
        <v>-4.4</v>
      </c>
      <c r="NO207" s="2">
        <v>-8.199999999999999</v>
      </c>
      <c r="NP207" s="2">
        <v>-9.199999999999999</v>
      </c>
      <c r="NQ207" s="2">
        <v>-15.5</v>
      </c>
      <c r="NR207" s="2">
        <v>-20.5</v>
      </c>
      <c r="NW207" s="2">
        <v>-21.4</v>
      </c>
      <c r="NX207" s="2">
        <v>-16.7</v>
      </c>
      <c r="NY207" s="2">
        <v>-12.1</v>
      </c>
      <c r="NZ207" s="2">
        <v>-12.5</v>
      </c>
      <c r="OA207" s="2">
        <v>-11.5</v>
      </c>
      <c r="OB207" s="2">
        <v>-8.800000000000001</v>
      </c>
      <c r="OC207" s="2">
        <v>-4.1</v>
      </c>
      <c r="OD207" s="2">
        <v>-0.3</v>
      </c>
      <c r="OE207" s="2">
        <v>6.8</v>
      </c>
      <c r="OF207" s="2">
        <v>9.6</v>
      </c>
      <c r="OG207" s="2">
        <v>18.2</v>
      </c>
      <c r="OH207" s="2">
        <v>25.4</v>
      </c>
      <c r="OM207" s="2">
        <v>26</v>
      </c>
      <c r="ON207" s="2">
        <v>19.9</v>
      </c>
      <c r="OO207" s="2">
        <v>13.8</v>
      </c>
      <c r="OP207" s="2">
        <v>12.7</v>
      </c>
      <c r="OQ207" s="2">
        <v>12.7</v>
      </c>
      <c r="OR207" s="2">
        <v>10.8</v>
      </c>
      <c r="OS207" s="2">
        <v>8.199999999999999</v>
      </c>
      <c r="OT207" s="2">
        <v>9</v>
      </c>
      <c r="OU207" s="2">
        <v>12.9</v>
      </c>
      <c r="OV207" s="2">
        <v>14.6</v>
      </c>
      <c r="OW207" s="2">
        <v>12.3</v>
      </c>
      <c r="OX207" s="2">
        <v>13.4</v>
      </c>
      <c r="PC207" s="2">
        <v>10.5</v>
      </c>
      <c r="PD207" s="2">
        <v>12.9</v>
      </c>
      <c r="PE207" s="2">
        <v>15.5</v>
      </c>
      <c r="PF207" s="2">
        <v>14.6</v>
      </c>
      <c r="PG207" s="2">
        <v>14.8</v>
      </c>
      <c r="PH207" s="2">
        <v>14.9</v>
      </c>
      <c r="PI207" s="2">
        <v>14.3</v>
      </c>
    </row>
    <row r="208">
      <c r="A208" t="inlineStr">
        <is>
          <t>A130391922R</t>
        </is>
      </c>
      <c r="B208" t="inlineStr">
        <is>
          <t>Percentage Change from Corresponding Month of Previous Year ;  Poultry ;  Australia ;</t>
        </is>
      </c>
      <c r="C208" t="inlineStr">
        <is>
          <t>Month</t>
        </is>
      </c>
      <c r="D208" t="inlineStr">
        <is>
          <t>Percent</t>
        </is>
      </c>
      <c r="E208" t="inlineStr">
        <is>
          <t>Original</t>
        </is>
      </c>
      <c r="F208" t="inlineStr">
        <is>
          <t>640103.xlsx</t>
        </is>
      </c>
      <c r="G208" t="inlineStr">
        <is>
          <t>2018-09</t>
        </is>
      </c>
      <c r="H208" t="inlineStr">
        <is>
          <t>2026-07</t>
        </is>
      </c>
      <c r="KM208" s="2">
        <v>1.6</v>
      </c>
      <c r="KN208" s="2">
        <v>1.2</v>
      </c>
      <c r="KO208" s="2">
        <v>1.3</v>
      </c>
      <c r="KP208" s="2">
        <v>2.8</v>
      </c>
      <c r="KU208" s="2">
        <v>3.8</v>
      </c>
      <c r="KV208" s="2">
        <v>4.7</v>
      </c>
      <c r="KW208" s="2">
        <v>4.3</v>
      </c>
      <c r="KX208" s="2">
        <v>3.8</v>
      </c>
      <c r="KY208" s="2">
        <v>5</v>
      </c>
      <c r="KZ208" s="2">
        <v>5</v>
      </c>
      <c r="LA208" s="2">
        <v>4.1</v>
      </c>
      <c r="LB208" s="2">
        <v>6.1</v>
      </c>
      <c r="LC208" s="2">
        <v>5.2</v>
      </c>
      <c r="LD208" s="2">
        <v>4.3</v>
      </c>
      <c r="LE208" s="2">
        <v>3.6</v>
      </c>
      <c r="LF208" s="2">
        <v>3.1</v>
      </c>
      <c r="LK208" s="2">
        <v>1.1</v>
      </c>
      <c r="LL208" s="2">
        <v>0.4</v>
      </c>
      <c r="LM208" s="2">
        <v>3</v>
      </c>
      <c r="LN208" s="2">
        <v>0.7</v>
      </c>
      <c r="LO208" s="2">
        <v>0</v>
      </c>
      <c r="LP208" s="2">
        <v>-0.6</v>
      </c>
      <c r="LQ208" s="2">
        <v>0.6</v>
      </c>
      <c r="LR208" s="2">
        <v>-0.2</v>
      </c>
      <c r="LS208" s="2">
        <v>0.1</v>
      </c>
      <c r="LT208" s="2">
        <v>-0.3</v>
      </c>
      <c r="LU208" s="2">
        <v>-0.1</v>
      </c>
      <c r="LV208" s="2">
        <v>1.2</v>
      </c>
      <c r="MA208" s="2">
        <v>1.1</v>
      </c>
      <c r="MB208" s="2">
        <v>1.1</v>
      </c>
      <c r="MC208" s="2">
        <v>-1</v>
      </c>
      <c r="MD208" s="2">
        <v>1.7</v>
      </c>
      <c r="ME208" s="2">
        <v>1.1</v>
      </c>
      <c r="MF208" s="2">
        <v>1.2</v>
      </c>
      <c r="MG208" s="2">
        <v>-0.1</v>
      </c>
      <c r="MH208" s="2">
        <v>-0.8</v>
      </c>
      <c r="MI208" s="2">
        <v>0.1</v>
      </c>
      <c r="MJ208" s="2">
        <v>0.5</v>
      </c>
      <c r="MK208" s="2">
        <v>-0.1</v>
      </c>
      <c r="ML208" s="2">
        <v>-1.3</v>
      </c>
      <c r="MQ208" s="2">
        <v>1.1</v>
      </c>
      <c r="MR208" s="2">
        <v>3.3</v>
      </c>
      <c r="MS208" s="2">
        <v>4</v>
      </c>
      <c r="MT208" s="2">
        <v>4.6</v>
      </c>
      <c r="MU208" s="2">
        <v>5.9</v>
      </c>
      <c r="MV208" s="2">
        <v>5</v>
      </c>
      <c r="MW208" s="2">
        <v>6.5</v>
      </c>
      <c r="MX208" s="2">
        <v>9.199999999999999</v>
      </c>
      <c r="MY208" s="2">
        <v>9.800000000000001</v>
      </c>
      <c r="MZ208" s="2">
        <v>9.9</v>
      </c>
      <c r="NA208" s="2">
        <v>10.6</v>
      </c>
      <c r="NB208" s="2">
        <v>11.1</v>
      </c>
      <c r="NG208" s="2">
        <v>8.4</v>
      </c>
      <c r="NH208" s="2">
        <v>6.7</v>
      </c>
      <c r="NI208" s="2">
        <v>7.2</v>
      </c>
      <c r="NJ208" s="2">
        <v>7.5</v>
      </c>
      <c r="NK208" s="2">
        <v>8</v>
      </c>
      <c r="NL208" s="2">
        <v>8</v>
      </c>
      <c r="NM208" s="2">
        <v>7.3</v>
      </c>
      <c r="NN208" s="2">
        <v>5.7</v>
      </c>
      <c r="NO208" s="2">
        <v>4.1</v>
      </c>
      <c r="NP208" s="2">
        <v>4.3</v>
      </c>
      <c r="NQ208" s="2">
        <v>2.9</v>
      </c>
      <c r="NR208" s="2">
        <v>1.8</v>
      </c>
      <c r="NW208" s="2">
        <v>2.5</v>
      </c>
      <c r="NX208" s="2">
        <v>2</v>
      </c>
      <c r="NY208" s="2">
        <v>1.7</v>
      </c>
      <c r="NZ208" s="2">
        <v>1</v>
      </c>
      <c r="OA208" s="2">
        <v>0.4</v>
      </c>
      <c r="OB208" s="2">
        <v>0.4</v>
      </c>
      <c r="OC208" s="2">
        <v>1.4</v>
      </c>
      <c r="OD208" s="2">
        <v>1.1</v>
      </c>
      <c r="OE208" s="2">
        <v>0.7</v>
      </c>
      <c r="OF208" s="2">
        <v>2.2</v>
      </c>
      <c r="OG208" s="2">
        <v>2.8</v>
      </c>
      <c r="OH208" s="2">
        <v>2.8</v>
      </c>
      <c r="OM208" s="2">
        <v>3.6</v>
      </c>
      <c r="ON208" s="2">
        <v>3.3</v>
      </c>
      <c r="OO208" s="2">
        <v>2.6</v>
      </c>
      <c r="OP208" s="2">
        <v>1</v>
      </c>
      <c r="OQ208" s="2">
        <v>1</v>
      </c>
      <c r="OR208" s="2">
        <v>1.1</v>
      </c>
      <c r="OS208" s="2">
        <v>-0.6</v>
      </c>
      <c r="OT208" s="2">
        <v>-0.4</v>
      </c>
      <c r="OU208" s="2">
        <v>-0.4</v>
      </c>
      <c r="OV208" s="2">
        <v>-1.1</v>
      </c>
      <c r="OW208" s="2">
        <v>-0.8</v>
      </c>
      <c r="OX208" s="2">
        <v>0.2</v>
      </c>
      <c r="PC208" s="2">
        <v>-1.1</v>
      </c>
      <c r="PD208" s="2">
        <v>-0.6</v>
      </c>
      <c r="PE208" s="2">
        <v>0.2</v>
      </c>
      <c r="PF208" s="2">
        <v>1</v>
      </c>
      <c r="PG208" s="2">
        <v>1</v>
      </c>
      <c r="PH208" s="2">
        <v>2</v>
      </c>
      <c r="PI208" s="2">
        <v>1.4</v>
      </c>
    </row>
    <row r="209">
      <c r="A209" t="inlineStr">
        <is>
          <t>A130391929F</t>
        </is>
      </c>
      <c r="B209" t="inlineStr">
        <is>
          <t>Percentage Change from Corresponding Month of Previous Year ;  Other meats ;  Australia ;</t>
        </is>
      </c>
      <c r="C209" t="inlineStr">
        <is>
          <t>Month</t>
        </is>
      </c>
      <c r="D209" t="inlineStr">
        <is>
          <t>Percent</t>
        </is>
      </c>
      <c r="E209" t="inlineStr">
        <is>
          <t>Original</t>
        </is>
      </c>
      <c r="F209" t="inlineStr">
        <is>
          <t>640103.xlsx</t>
        </is>
      </c>
      <c r="G209" t="inlineStr">
        <is>
          <t>2018-09</t>
        </is>
      </c>
      <c r="H209" t="inlineStr">
        <is>
          <t>2026-07</t>
        </is>
      </c>
      <c r="KM209" s="2">
        <v>-0.3</v>
      </c>
      <c r="KN209" s="2">
        <v>-0.1</v>
      </c>
      <c r="KO209" s="2">
        <v>-0.3</v>
      </c>
      <c r="KP209" s="2">
        <v>-0.1</v>
      </c>
      <c r="KU209" s="2">
        <v>0.8</v>
      </c>
      <c r="KV209" s="2">
        <v>1.8</v>
      </c>
      <c r="KW209" s="2">
        <v>0.5</v>
      </c>
      <c r="KX209" s="2">
        <v>0.5</v>
      </c>
      <c r="KY209" s="2">
        <v>0.6</v>
      </c>
      <c r="KZ209" s="2">
        <v>1.7</v>
      </c>
      <c r="LA209" s="2">
        <v>2.7</v>
      </c>
      <c r="LB209" s="2">
        <v>3.4</v>
      </c>
      <c r="LC209" s="2">
        <v>5.3</v>
      </c>
      <c r="LD209" s="2">
        <v>6.9</v>
      </c>
      <c r="LE209" s="2">
        <v>6</v>
      </c>
      <c r="LF209" s="2">
        <v>7.6</v>
      </c>
      <c r="LK209" s="2">
        <v>7.4</v>
      </c>
      <c r="LL209" s="2">
        <v>6.4</v>
      </c>
      <c r="LM209" s="2">
        <v>11.1</v>
      </c>
      <c r="LN209" s="2">
        <v>11.4</v>
      </c>
      <c r="LO209" s="2">
        <v>9.6</v>
      </c>
      <c r="LP209" s="2">
        <v>10.3</v>
      </c>
      <c r="LQ209" s="2">
        <v>10.8</v>
      </c>
      <c r="LR209" s="2">
        <v>10.4</v>
      </c>
      <c r="LS209" s="2">
        <v>8.300000000000001</v>
      </c>
      <c r="LT209" s="2">
        <v>5.8</v>
      </c>
      <c r="LU209" s="2">
        <v>6.5</v>
      </c>
      <c r="LV209" s="2">
        <v>5.5</v>
      </c>
      <c r="MA209" s="2">
        <v>5.2</v>
      </c>
      <c r="MB209" s="2">
        <v>4</v>
      </c>
      <c r="MC209" s="2">
        <v>1.8</v>
      </c>
      <c r="MD209" s="2">
        <v>2.5</v>
      </c>
      <c r="ME209" s="2">
        <v>3.7</v>
      </c>
      <c r="MF209" s="2">
        <v>2.3</v>
      </c>
      <c r="MG209" s="2">
        <v>1.8</v>
      </c>
      <c r="MH209" s="2">
        <v>1.8</v>
      </c>
      <c r="MI209" s="2">
        <v>1.4</v>
      </c>
      <c r="MJ209" s="2">
        <v>2</v>
      </c>
      <c r="MK209" s="2">
        <v>2.5</v>
      </c>
      <c r="ML209" s="2">
        <v>2.4</v>
      </c>
      <c r="MQ209" s="2">
        <v>5.4</v>
      </c>
      <c r="MR209" s="2">
        <v>9.1</v>
      </c>
      <c r="MS209" s="2">
        <v>6.8</v>
      </c>
      <c r="MT209" s="2">
        <v>5.8</v>
      </c>
      <c r="MU209" s="2">
        <v>6.2</v>
      </c>
      <c r="MV209" s="2">
        <v>8.300000000000001</v>
      </c>
      <c r="MW209" s="2">
        <v>8.800000000000001</v>
      </c>
      <c r="MX209" s="2">
        <v>8.300000000000001</v>
      </c>
      <c r="MY209" s="2">
        <v>9.1</v>
      </c>
      <c r="MZ209" s="2">
        <v>9.4</v>
      </c>
      <c r="NA209" s="2">
        <v>9.300000000000001</v>
      </c>
      <c r="NB209" s="2">
        <v>10.9</v>
      </c>
      <c r="NG209" s="2">
        <v>7.5</v>
      </c>
      <c r="NH209" s="2">
        <v>5.6</v>
      </c>
      <c r="NI209" s="2">
        <v>6.5</v>
      </c>
      <c r="NJ209" s="2">
        <v>6</v>
      </c>
      <c r="NK209" s="2">
        <v>5.6</v>
      </c>
      <c r="NL209" s="2">
        <v>3.6</v>
      </c>
      <c r="NM209" s="2">
        <v>3.9</v>
      </c>
      <c r="NN209" s="2">
        <v>4.2</v>
      </c>
      <c r="NO209" s="2">
        <v>3.2</v>
      </c>
      <c r="NP209" s="2">
        <v>4.5</v>
      </c>
      <c r="NQ209" s="2">
        <v>3.1</v>
      </c>
      <c r="NR209" s="2">
        <v>-1.6</v>
      </c>
      <c r="NW209" s="2">
        <v>-2.1</v>
      </c>
      <c r="NX209" s="2">
        <v>-1</v>
      </c>
      <c r="NY209" s="2">
        <v>0.8</v>
      </c>
      <c r="NZ209" s="2">
        <v>0.6</v>
      </c>
      <c r="OA209" s="2">
        <v>-0.2</v>
      </c>
      <c r="OB209" s="2">
        <v>0</v>
      </c>
      <c r="OC209" s="2">
        <v>-0.8</v>
      </c>
      <c r="OD209" s="2">
        <v>-2.4</v>
      </c>
      <c r="OE209" s="2">
        <v>-2.1</v>
      </c>
      <c r="OF209" s="2">
        <v>-1.8</v>
      </c>
      <c r="OG209" s="2">
        <v>-1.3</v>
      </c>
      <c r="OH209" s="2">
        <v>2.8</v>
      </c>
      <c r="OM209" s="2">
        <v>3.3</v>
      </c>
      <c r="ON209" s="2">
        <v>2.7</v>
      </c>
      <c r="OO209" s="2">
        <v>0.8</v>
      </c>
      <c r="OP209" s="2">
        <v>1</v>
      </c>
      <c r="OQ209" s="2">
        <v>1.4</v>
      </c>
      <c r="OR209" s="2">
        <v>1.5</v>
      </c>
      <c r="OS209" s="2">
        <v>1</v>
      </c>
      <c r="OT209" s="2">
        <v>2.2</v>
      </c>
      <c r="OU209" s="2">
        <v>1.2</v>
      </c>
      <c r="OV209" s="2">
        <v>0.9</v>
      </c>
      <c r="OW209" s="2">
        <v>1.5</v>
      </c>
      <c r="OX209" s="2">
        <v>2.1</v>
      </c>
      <c r="PC209" s="2">
        <v>1.9</v>
      </c>
      <c r="PD209" s="2">
        <v>0.9</v>
      </c>
      <c r="PE209" s="2">
        <v>1.6</v>
      </c>
      <c r="PF209" s="2">
        <v>1.7</v>
      </c>
      <c r="PG209" s="2">
        <v>2.4</v>
      </c>
      <c r="PH209" s="2">
        <v>2.7</v>
      </c>
      <c r="PI209" s="2">
        <v>3.2</v>
      </c>
    </row>
    <row r="210">
      <c r="A210" t="inlineStr">
        <is>
          <t>A130390599J</t>
        </is>
      </c>
      <c r="B210" t="inlineStr">
        <is>
          <t>Percentage Change from Corresponding Month of Previous Year ;  Fish and other seafood ;  Australia ;</t>
        </is>
      </c>
      <c r="C210" t="inlineStr">
        <is>
          <t>Month</t>
        </is>
      </c>
      <c r="D210" t="inlineStr">
        <is>
          <t>Percent</t>
        </is>
      </c>
      <c r="E210" t="inlineStr">
        <is>
          <t>Original</t>
        </is>
      </c>
      <c r="F210" t="inlineStr">
        <is>
          <t>640103.xlsx</t>
        </is>
      </c>
      <c r="G210" t="inlineStr">
        <is>
          <t>2018-09</t>
        </is>
      </c>
      <c r="H210" t="inlineStr">
        <is>
          <t>2026-07</t>
        </is>
      </c>
      <c r="KM210" s="2">
        <v>2.6</v>
      </c>
      <c r="KN210" s="2">
        <v>2.7</v>
      </c>
      <c r="KO210" s="2">
        <v>2</v>
      </c>
      <c r="KP210" s="2">
        <v>3.2</v>
      </c>
      <c r="KU210" s="2">
        <v>2.3</v>
      </c>
      <c r="KV210" s="2">
        <v>4.2</v>
      </c>
      <c r="KW210" s="2">
        <v>3</v>
      </c>
      <c r="KX210" s="2">
        <v>-0.3</v>
      </c>
      <c r="KY210" s="2">
        <v>2</v>
      </c>
      <c r="KZ210" s="2">
        <v>1</v>
      </c>
      <c r="LA210" s="2">
        <v>1.1</v>
      </c>
      <c r="LB210" s="2">
        <v>1.3</v>
      </c>
      <c r="LC210" s="2">
        <v>1.3</v>
      </c>
      <c r="LD210" s="2">
        <v>0.8</v>
      </c>
      <c r="LE210" s="2">
        <v>0.7</v>
      </c>
      <c r="LF210" s="2">
        <v>2.2</v>
      </c>
      <c r="LK210" s="2">
        <v>1.7</v>
      </c>
      <c r="LL210" s="2">
        <v>0.8</v>
      </c>
      <c r="LM210" s="2">
        <v>5.9</v>
      </c>
      <c r="LN210" s="2">
        <v>10.1</v>
      </c>
      <c r="LO210" s="2">
        <v>6.8</v>
      </c>
      <c r="LP210" s="2">
        <v>5.4</v>
      </c>
      <c r="LQ210" s="2">
        <v>4.5</v>
      </c>
      <c r="LR210" s="2">
        <v>4.9</v>
      </c>
      <c r="LS210" s="2">
        <v>5.7</v>
      </c>
      <c r="LT210" s="2">
        <v>5.6</v>
      </c>
      <c r="LU210" s="2">
        <v>5.8</v>
      </c>
      <c r="LV210" s="2">
        <v>3.5</v>
      </c>
      <c r="MA210" s="2">
        <v>3</v>
      </c>
      <c r="MB210" s="2">
        <v>4.1</v>
      </c>
      <c r="MC210" s="2">
        <v>-0.8</v>
      </c>
      <c r="MD210" s="2">
        <v>-3.8</v>
      </c>
      <c r="ME210" s="2">
        <v>-3.4</v>
      </c>
      <c r="MF210" s="2">
        <v>-1.6</v>
      </c>
      <c r="MG210" s="2">
        <v>-0.3</v>
      </c>
      <c r="MH210" s="2">
        <v>-0.4</v>
      </c>
      <c r="MI210" s="2">
        <v>-0.3</v>
      </c>
      <c r="MJ210" s="2">
        <v>-1.4</v>
      </c>
      <c r="MK210" s="2">
        <v>-0.5</v>
      </c>
      <c r="ML210" s="2">
        <v>0.6</v>
      </c>
      <c r="MQ210" s="2">
        <v>1.4</v>
      </c>
      <c r="MR210" s="2">
        <v>4.7</v>
      </c>
      <c r="MS210" s="2">
        <v>1</v>
      </c>
      <c r="MT210" s="2">
        <v>1.2</v>
      </c>
      <c r="MU210" s="2">
        <v>2.5</v>
      </c>
      <c r="MV210" s="2">
        <v>3.9</v>
      </c>
      <c r="MW210" s="2">
        <v>5.8</v>
      </c>
      <c r="MX210" s="2">
        <v>5.6</v>
      </c>
      <c r="MY210" s="2">
        <v>5.9</v>
      </c>
      <c r="MZ210" s="2">
        <v>8.1</v>
      </c>
      <c r="NA210" s="2">
        <v>8.9</v>
      </c>
      <c r="NB210" s="2">
        <v>9.300000000000001</v>
      </c>
      <c r="NG210" s="2">
        <v>8.300000000000001</v>
      </c>
      <c r="NH210" s="2">
        <v>5.4</v>
      </c>
      <c r="NI210" s="2">
        <v>9.9</v>
      </c>
      <c r="NJ210" s="2">
        <v>11</v>
      </c>
      <c r="NK210" s="2">
        <v>10.6</v>
      </c>
      <c r="NL210" s="2">
        <v>7.4</v>
      </c>
      <c r="NM210" s="2">
        <v>7.1</v>
      </c>
      <c r="NN210" s="2">
        <v>8.4</v>
      </c>
      <c r="NO210" s="2">
        <v>10.5</v>
      </c>
      <c r="NP210" s="2">
        <v>8.800000000000001</v>
      </c>
      <c r="NQ210" s="2">
        <v>7.5</v>
      </c>
      <c r="NR210" s="2">
        <v>6.3</v>
      </c>
      <c r="NW210" s="2">
        <v>5.8</v>
      </c>
      <c r="NX210" s="2">
        <v>5</v>
      </c>
      <c r="NY210" s="2">
        <v>5.3</v>
      </c>
      <c r="NZ210" s="2">
        <v>6.7</v>
      </c>
      <c r="OA210" s="2">
        <v>4.9</v>
      </c>
      <c r="OB210" s="2">
        <v>5.2</v>
      </c>
      <c r="OC210" s="2">
        <v>3.4</v>
      </c>
      <c r="OD210" s="2">
        <v>2.7</v>
      </c>
      <c r="OE210" s="2">
        <v>0</v>
      </c>
      <c r="OF210" s="2">
        <v>-0.7</v>
      </c>
      <c r="OG210" s="2">
        <v>-1.1</v>
      </c>
      <c r="OH210" s="2">
        <v>-0.6</v>
      </c>
      <c r="OM210" s="2">
        <v>-0.1</v>
      </c>
      <c r="ON210" s="2">
        <v>0.5</v>
      </c>
      <c r="OO210" s="2">
        <v>0.3</v>
      </c>
      <c r="OP210" s="2">
        <v>-1.8</v>
      </c>
      <c r="OQ210" s="2">
        <v>0.4</v>
      </c>
      <c r="OR210" s="2">
        <v>0.2</v>
      </c>
      <c r="OS210" s="2">
        <v>-0.3</v>
      </c>
      <c r="OT210" s="2">
        <v>-0.2</v>
      </c>
      <c r="OU210" s="2">
        <v>-0.4</v>
      </c>
      <c r="OV210" s="2">
        <v>0.1</v>
      </c>
      <c r="OW210" s="2">
        <v>0</v>
      </c>
      <c r="OX210" s="2">
        <v>1.2</v>
      </c>
      <c r="PC210" s="2">
        <v>1.9</v>
      </c>
      <c r="PD210" s="2">
        <v>1.5</v>
      </c>
      <c r="PE210" s="2">
        <v>1.8</v>
      </c>
      <c r="PF210" s="2">
        <v>1.4</v>
      </c>
      <c r="PG210" s="2">
        <v>1.2</v>
      </c>
      <c r="PH210" s="2">
        <v>0.2</v>
      </c>
      <c r="PI210" s="2">
        <v>1.9</v>
      </c>
    </row>
    <row r="211">
      <c r="A211" t="inlineStr">
        <is>
          <t>A130393035F</t>
        </is>
      </c>
      <c r="B211" t="inlineStr">
        <is>
          <t>Percentage Change from Corresponding Month of Previous Year ;  Dairy and related products ;  Australia ;</t>
        </is>
      </c>
      <c r="C211" t="inlineStr">
        <is>
          <t>Month</t>
        </is>
      </c>
      <c r="D211" t="inlineStr">
        <is>
          <t>Percent</t>
        </is>
      </c>
      <c r="E211" t="inlineStr">
        <is>
          <t>Original</t>
        </is>
      </c>
      <c r="F211" t="inlineStr">
        <is>
          <t>640103.xlsx</t>
        </is>
      </c>
      <c r="G211" t="inlineStr">
        <is>
          <t>2018-09</t>
        </is>
      </c>
      <c r="H211" t="inlineStr">
        <is>
          <t>2026-07</t>
        </is>
      </c>
      <c r="KM211" s="2">
        <v>1.3</v>
      </c>
      <c r="KN211" s="2">
        <v>1</v>
      </c>
      <c r="KO211" s="2">
        <v>1.3</v>
      </c>
      <c r="KP211" s="2">
        <v>1.4</v>
      </c>
      <c r="KU211" s="2">
        <v>1.3</v>
      </c>
      <c r="KV211" s="2">
        <v>1.3</v>
      </c>
      <c r="KW211" s="2">
        <v>1.6</v>
      </c>
      <c r="KX211" s="2">
        <v>1.8</v>
      </c>
      <c r="KY211" s="2">
        <v>1.9</v>
      </c>
      <c r="KZ211" s="2">
        <v>2.5</v>
      </c>
      <c r="LA211" s="2">
        <v>3.4</v>
      </c>
      <c r="LB211" s="2">
        <v>4.9</v>
      </c>
      <c r="LC211" s="2">
        <v>5.7</v>
      </c>
      <c r="LD211" s="2">
        <v>5.2</v>
      </c>
      <c r="LE211" s="2">
        <v>5.8</v>
      </c>
      <c r="LF211" s="2">
        <v>5.6</v>
      </c>
      <c r="LK211" s="2">
        <v>6.2</v>
      </c>
      <c r="LL211" s="2">
        <v>6.1</v>
      </c>
      <c r="LM211" s="2">
        <v>7.3</v>
      </c>
      <c r="LN211" s="2">
        <v>7.4</v>
      </c>
      <c r="LO211" s="2">
        <v>6.6</v>
      </c>
      <c r="LP211" s="2">
        <v>5.6</v>
      </c>
      <c r="LQ211" s="2">
        <v>5.1</v>
      </c>
      <c r="LR211" s="2">
        <v>3.9</v>
      </c>
      <c r="LS211" s="2">
        <v>3</v>
      </c>
      <c r="LT211" s="2">
        <v>2.9</v>
      </c>
      <c r="LU211" s="2">
        <v>2.3</v>
      </c>
      <c r="LV211" s="2">
        <v>2.3</v>
      </c>
      <c r="MA211" s="2">
        <v>1.3</v>
      </c>
      <c r="MB211" s="2">
        <v>1.1</v>
      </c>
      <c r="MC211" s="2">
        <v>-0.3</v>
      </c>
      <c r="MD211" s="2">
        <v>-0.9</v>
      </c>
      <c r="ME211" s="2">
        <v>-0.3</v>
      </c>
      <c r="MF211" s="2">
        <v>0.4</v>
      </c>
      <c r="MG211" s="2">
        <v>0.1</v>
      </c>
      <c r="MH211" s="2">
        <v>0.3</v>
      </c>
      <c r="MI211" s="2">
        <v>0.4</v>
      </c>
      <c r="MJ211" s="2">
        <v>0.7</v>
      </c>
      <c r="MK211" s="2">
        <v>1.4</v>
      </c>
      <c r="ML211" s="2">
        <v>3</v>
      </c>
      <c r="MQ211" s="2">
        <v>3.3</v>
      </c>
      <c r="MR211" s="2">
        <v>4.1</v>
      </c>
      <c r="MS211" s="2">
        <v>4.8</v>
      </c>
      <c r="MT211" s="2">
        <v>5.5</v>
      </c>
      <c r="MU211" s="2">
        <v>5.1</v>
      </c>
      <c r="MV211" s="2">
        <v>5.5</v>
      </c>
      <c r="MW211" s="2">
        <v>9.4</v>
      </c>
      <c r="MX211" s="2">
        <v>12.2</v>
      </c>
      <c r="MY211" s="2">
        <v>13.6</v>
      </c>
      <c r="MZ211" s="2">
        <v>14.4</v>
      </c>
      <c r="NA211" s="2">
        <v>15.3</v>
      </c>
      <c r="NB211" s="2">
        <v>14.4</v>
      </c>
      <c r="NG211" s="2">
        <v>14.4</v>
      </c>
      <c r="NH211" s="2">
        <v>14.2</v>
      </c>
      <c r="NI211" s="2">
        <v>15.1</v>
      </c>
      <c r="NJ211" s="2">
        <v>14.5</v>
      </c>
      <c r="NK211" s="2">
        <v>15</v>
      </c>
      <c r="NL211" s="2">
        <v>15</v>
      </c>
      <c r="NM211" s="2">
        <v>12.7</v>
      </c>
      <c r="NN211" s="2">
        <v>10.1</v>
      </c>
      <c r="NO211" s="2">
        <v>8</v>
      </c>
      <c r="NP211" s="2">
        <v>7.8</v>
      </c>
      <c r="NQ211" s="2">
        <v>6.1</v>
      </c>
      <c r="NR211" s="2">
        <v>5.2</v>
      </c>
      <c r="NW211" s="2">
        <v>5</v>
      </c>
      <c r="NX211" s="2">
        <v>4.2</v>
      </c>
      <c r="NY211" s="2">
        <v>2.9</v>
      </c>
      <c r="NZ211" s="2">
        <v>2.7</v>
      </c>
      <c r="OA211" s="2">
        <v>2.5</v>
      </c>
      <c r="OB211" s="2">
        <v>1.7</v>
      </c>
      <c r="OC211" s="2">
        <v>-0.2</v>
      </c>
      <c r="OD211" s="2">
        <v>-0.2</v>
      </c>
      <c r="OE211" s="2">
        <v>-0.3</v>
      </c>
      <c r="OF211" s="2">
        <v>-1.8</v>
      </c>
      <c r="OG211" s="2">
        <v>-0.9</v>
      </c>
      <c r="OH211" s="2">
        <v>-1</v>
      </c>
      <c r="OM211" s="2">
        <v>-0.4</v>
      </c>
      <c r="ON211" s="2">
        <v>-0.3</v>
      </c>
      <c r="OO211" s="2">
        <v>0.1</v>
      </c>
      <c r="OP211" s="2">
        <v>0.1</v>
      </c>
      <c r="OQ211" s="2">
        <v>0.1</v>
      </c>
      <c r="OR211" s="2">
        <v>0.3</v>
      </c>
      <c r="OS211" s="2">
        <v>0.2</v>
      </c>
      <c r="OT211" s="2">
        <v>1.3</v>
      </c>
      <c r="OU211" s="2">
        <v>2.6</v>
      </c>
      <c r="OV211" s="2">
        <v>3</v>
      </c>
      <c r="OW211" s="2">
        <v>3.2</v>
      </c>
      <c r="OX211" s="2">
        <v>2.9</v>
      </c>
      <c r="PC211" s="2">
        <v>2.6</v>
      </c>
      <c r="PD211" s="2">
        <v>2.7</v>
      </c>
      <c r="PE211" s="2">
        <v>2.5</v>
      </c>
      <c r="PF211" s="2">
        <v>2.3</v>
      </c>
      <c r="PG211" s="2">
        <v>5.2</v>
      </c>
      <c r="PH211" s="2">
        <v>6.3</v>
      </c>
      <c r="PI211" s="2">
        <v>6.6</v>
      </c>
    </row>
    <row r="212">
      <c r="A212" t="inlineStr">
        <is>
          <t>A130391845W</t>
        </is>
      </c>
      <c r="B212" t="inlineStr">
        <is>
          <t>Percentage Change from Corresponding Month of Previous Year ;  Milk ;  Australia ;</t>
        </is>
      </c>
      <c r="C212" t="inlineStr">
        <is>
          <t>Month</t>
        </is>
      </c>
      <c r="D212" t="inlineStr">
        <is>
          <t>Percent</t>
        </is>
      </c>
      <c r="E212" t="inlineStr">
        <is>
          <t>Original</t>
        </is>
      </c>
      <c r="F212" t="inlineStr">
        <is>
          <t>640103.xlsx</t>
        </is>
      </c>
      <c r="G212" t="inlineStr">
        <is>
          <t>2018-09</t>
        </is>
      </c>
      <c r="H212" t="inlineStr">
        <is>
          <t>2026-07</t>
        </is>
      </c>
      <c r="KM212" s="2">
        <v>1.2</v>
      </c>
      <c r="KN212" s="2">
        <v>1.8</v>
      </c>
      <c r="KO212" s="2">
        <v>1.7</v>
      </c>
      <c r="KP212" s="2">
        <v>1.8</v>
      </c>
      <c r="KU212" s="2">
        <v>2</v>
      </c>
      <c r="KV212" s="2">
        <v>1</v>
      </c>
      <c r="KW212" s="2">
        <v>1.7</v>
      </c>
      <c r="KX212" s="2">
        <v>2.9</v>
      </c>
      <c r="KY212" s="2">
        <v>3.1</v>
      </c>
      <c r="KZ212" s="2">
        <v>3.7</v>
      </c>
      <c r="LA212" s="2">
        <v>4.2</v>
      </c>
      <c r="LB212" s="2">
        <v>7.5</v>
      </c>
      <c r="LC212" s="2">
        <v>7.9</v>
      </c>
      <c r="LD212" s="2">
        <v>6.5</v>
      </c>
      <c r="LE212" s="2">
        <v>6.7</v>
      </c>
      <c r="LF212" s="2">
        <v>6.8</v>
      </c>
      <c r="LK212" s="2">
        <v>7.3</v>
      </c>
      <c r="LL212" s="2">
        <v>7.7</v>
      </c>
      <c r="LM212" s="2">
        <v>9.6</v>
      </c>
      <c r="LN212" s="2">
        <v>7.8</v>
      </c>
      <c r="LO212" s="2">
        <v>7.4</v>
      </c>
      <c r="LP212" s="2">
        <v>5.7</v>
      </c>
      <c r="LQ212" s="2">
        <v>5.6</v>
      </c>
      <c r="LR212" s="2">
        <v>3.1</v>
      </c>
      <c r="LS212" s="2">
        <v>2.2</v>
      </c>
      <c r="LT212" s="2">
        <v>2.5</v>
      </c>
      <c r="LU212" s="2">
        <v>2.1</v>
      </c>
      <c r="LV212" s="2">
        <v>2.4</v>
      </c>
      <c r="MA212" s="2">
        <v>1.5</v>
      </c>
      <c r="MB212" s="2">
        <v>1.7</v>
      </c>
      <c r="MC212" s="2">
        <v>-0.7</v>
      </c>
      <c r="MD212" s="2">
        <v>-0.6</v>
      </c>
      <c r="ME212" s="2">
        <v>-0.5</v>
      </c>
      <c r="MF212" s="2">
        <v>1.1</v>
      </c>
      <c r="MG212" s="2">
        <v>0.9</v>
      </c>
      <c r="MH212" s="2">
        <v>0.8</v>
      </c>
      <c r="MI212" s="2">
        <v>0.5</v>
      </c>
      <c r="MJ212" s="2">
        <v>0.3</v>
      </c>
      <c r="MK212" s="2">
        <v>0.4</v>
      </c>
      <c r="ML212" s="2">
        <v>3.2</v>
      </c>
      <c r="MQ212" s="2">
        <v>4.1</v>
      </c>
      <c r="MR212" s="2">
        <v>4.4</v>
      </c>
      <c r="MS212" s="2">
        <v>4.5</v>
      </c>
      <c r="MT212" s="2">
        <v>5.4</v>
      </c>
      <c r="MU212" s="2">
        <v>4.8</v>
      </c>
      <c r="MV212" s="2">
        <v>5.8</v>
      </c>
      <c r="MW212" s="2">
        <v>12.1</v>
      </c>
      <c r="MX212" s="2">
        <v>16.9</v>
      </c>
      <c r="MY212" s="2">
        <v>17.6</v>
      </c>
      <c r="MZ212" s="2">
        <v>17.7</v>
      </c>
      <c r="NA212" s="2">
        <v>19.1</v>
      </c>
      <c r="NB212" s="2">
        <v>15.6</v>
      </c>
      <c r="NG212" s="2">
        <v>14.9</v>
      </c>
      <c r="NH212" s="2">
        <v>15.7</v>
      </c>
      <c r="NI212" s="2">
        <v>16.4</v>
      </c>
      <c r="NJ212" s="2">
        <v>14.6</v>
      </c>
      <c r="NK212" s="2">
        <v>15.8</v>
      </c>
      <c r="NL212" s="2">
        <v>14.1</v>
      </c>
      <c r="NM212" s="2">
        <v>8.9</v>
      </c>
      <c r="NN212" s="2">
        <v>4.7</v>
      </c>
      <c r="NO212" s="2">
        <v>3</v>
      </c>
      <c r="NP212" s="2">
        <v>5.3</v>
      </c>
      <c r="NQ212" s="2">
        <v>3.6</v>
      </c>
      <c r="NR212" s="2">
        <v>2.8</v>
      </c>
      <c r="NW212" s="2">
        <v>3.3</v>
      </c>
      <c r="NX212" s="2">
        <v>2.3</v>
      </c>
      <c r="NY212" s="2">
        <v>2</v>
      </c>
      <c r="NZ212" s="2">
        <v>2.5</v>
      </c>
      <c r="OA212" s="2">
        <v>2.2</v>
      </c>
      <c r="OB212" s="2">
        <v>2</v>
      </c>
      <c r="OC212" s="2">
        <v>0.5</v>
      </c>
      <c r="OD212" s="2">
        <v>1.2</v>
      </c>
      <c r="OE212" s="2">
        <v>1.8</v>
      </c>
      <c r="OF212" s="2">
        <v>-1.5</v>
      </c>
      <c r="OG212" s="2">
        <v>-0.2</v>
      </c>
      <c r="OH212" s="2">
        <v>-0.5</v>
      </c>
      <c r="OM212" s="2">
        <v>-0.3</v>
      </c>
      <c r="ON212" s="2">
        <v>-0.3</v>
      </c>
      <c r="OO212" s="2">
        <v>-1.1</v>
      </c>
      <c r="OP212" s="2">
        <v>-0.3</v>
      </c>
      <c r="OQ212" s="2">
        <v>-0.2</v>
      </c>
      <c r="OR212" s="2">
        <v>0.4</v>
      </c>
      <c r="OS212" s="2">
        <v>0.3</v>
      </c>
      <c r="OT212" s="2">
        <v>1.4</v>
      </c>
      <c r="OU212" s="2">
        <v>2.2</v>
      </c>
      <c r="OV212" s="2">
        <v>3.3</v>
      </c>
      <c r="OW212" s="2">
        <v>4.2</v>
      </c>
      <c r="OX212" s="2">
        <v>3.9</v>
      </c>
      <c r="PC212" s="2">
        <v>3.9</v>
      </c>
      <c r="PD212" s="2">
        <v>3.7</v>
      </c>
      <c r="PE212" s="2">
        <v>4</v>
      </c>
      <c r="PF212" s="2">
        <v>4</v>
      </c>
      <c r="PG212" s="2">
        <v>9.199999999999999</v>
      </c>
      <c r="PH212" s="2">
        <v>8.9</v>
      </c>
      <c r="PI212" s="2">
        <v>9.5</v>
      </c>
    </row>
    <row r="213">
      <c r="A213" t="inlineStr">
        <is>
          <t>A130390536X</t>
        </is>
      </c>
      <c r="B213" t="inlineStr">
        <is>
          <t>Percentage Change from Corresponding Month of Previous Year ;  Cheese ;  Australia ;</t>
        </is>
      </c>
      <c r="C213" t="inlineStr">
        <is>
          <t>Month</t>
        </is>
      </c>
      <c r="D213" t="inlineStr">
        <is>
          <t>Percent</t>
        </is>
      </c>
      <c r="E213" t="inlineStr">
        <is>
          <t>Original</t>
        </is>
      </c>
      <c r="F213" t="inlineStr">
        <is>
          <t>640103.xlsx</t>
        </is>
      </c>
      <c r="G213" t="inlineStr">
        <is>
          <t>2018-09</t>
        </is>
      </c>
      <c r="H213" t="inlineStr">
        <is>
          <t>2026-07</t>
        </is>
      </c>
      <c r="KM213" s="2">
        <v>2</v>
      </c>
      <c r="KN213" s="2">
        <v>1</v>
      </c>
      <c r="KO213" s="2">
        <v>1.6</v>
      </c>
      <c r="KP213" s="2">
        <v>1.3</v>
      </c>
      <c r="KU213" s="2">
        <v>1.4</v>
      </c>
      <c r="KV213" s="2">
        <v>2.3</v>
      </c>
      <c r="KW213" s="2">
        <v>1.9</v>
      </c>
      <c r="KX213" s="2">
        <v>0.8</v>
      </c>
      <c r="KY213" s="2">
        <v>1.2</v>
      </c>
      <c r="KZ213" s="2">
        <v>1.8</v>
      </c>
      <c r="LA213" s="2">
        <v>2.4</v>
      </c>
      <c r="LB213" s="2">
        <v>3.8</v>
      </c>
      <c r="LC213" s="2">
        <v>5.7</v>
      </c>
      <c r="LD213" s="2">
        <v>6.3</v>
      </c>
      <c r="LE213" s="2">
        <v>6.8</v>
      </c>
      <c r="LF213" s="2">
        <v>6.8</v>
      </c>
      <c r="LK213" s="2">
        <v>7.2</v>
      </c>
      <c r="LL213" s="2">
        <v>7.2</v>
      </c>
      <c r="LM213" s="2">
        <v>8.199999999999999</v>
      </c>
      <c r="LN213" s="2">
        <v>9.300000000000001</v>
      </c>
      <c r="LO213" s="2">
        <v>8.6</v>
      </c>
      <c r="LP213" s="2">
        <v>8.4</v>
      </c>
      <c r="LQ213" s="2">
        <v>8</v>
      </c>
      <c r="LR213" s="2">
        <v>5.8</v>
      </c>
      <c r="LS213" s="2">
        <v>3.9</v>
      </c>
      <c r="LT213" s="2">
        <v>2.8</v>
      </c>
      <c r="LU213" s="2">
        <v>2.4</v>
      </c>
      <c r="LV213" s="2">
        <v>1.5</v>
      </c>
      <c r="MA213" s="2">
        <v>1</v>
      </c>
      <c r="MB213" s="2">
        <v>0</v>
      </c>
      <c r="MC213" s="2">
        <v>-0.8</v>
      </c>
      <c r="MD213" s="2">
        <v>-1.6</v>
      </c>
      <c r="ME213" s="2">
        <v>-0.8</v>
      </c>
      <c r="MF213" s="2">
        <v>-0.8</v>
      </c>
      <c r="MG213" s="2">
        <v>-1.2</v>
      </c>
      <c r="MH213" s="2">
        <v>-0.4</v>
      </c>
      <c r="MI213" s="2">
        <v>0.3</v>
      </c>
      <c r="MJ213" s="2">
        <v>0.8</v>
      </c>
      <c r="MK213" s="2">
        <v>2</v>
      </c>
      <c r="ML213" s="2">
        <v>3</v>
      </c>
      <c r="MQ213" s="2">
        <v>1.9</v>
      </c>
      <c r="MR213" s="2">
        <v>2.6</v>
      </c>
      <c r="MS213" s="2">
        <v>5.1</v>
      </c>
      <c r="MT213" s="2">
        <v>5.4</v>
      </c>
      <c r="MU213" s="2">
        <v>4.9</v>
      </c>
      <c r="MV213" s="2">
        <v>4.5</v>
      </c>
      <c r="MW213" s="2">
        <v>7.2</v>
      </c>
      <c r="MX213" s="2">
        <v>8.9</v>
      </c>
      <c r="MY213" s="2">
        <v>10.9</v>
      </c>
      <c r="MZ213" s="2">
        <v>12.4</v>
      </c>
      <c r="NA213" s="2">
        <v>13.9</v>
      </c>
      <c r="NB213" s="2">
        <v>15.8</v>
      </c>
      <c r="NG213" s="2">
        <v>17.2</v>
      </c>
      <c r="NH213" s="2">
        <v>17.1</v>
      </c>
      <c r="NI213" s="2">
        <v>15.8</v>
      </c>
      <c r="NJ213" s="2">
        <v>15.5</v>
      </c>
      <c r="NK213" s="2">
        <v>15.2</v>
      </c>
      <c r="NL213" s="2">
        <v>17.3</v>
      </c>
      <c r="NM213" s="2">
        <v>18.7</v>
      </c>
      <c r="NN213" s="2">
        <v>15.7</v>
      </c>
      <c r="NO213" s="2">
        <v>13.6</v>
      </c>
      <c r="NP213" s="2">
        <v>11.3</v>
      </c>
      <c r="NQ213" s="2">
        <v>8</v>
      </c>
      <c r="NR213" s="2">
        <v>6.2</v>
      </c>
      <c r="NW213" s="2">
        <v>6.2</v>
      </c>
      <c r="NX213" s="2">
        <v>4.9</v>
      </c>
      <c r="NY213" s="2">
        <v>3.5</v>
      </c>
      <c r="NZ213" s="2">
        <v>3.8</v>
      </c>
      <c r="OA213" s="2">
        <v>3.3</v>
      </c>
      <c r="OB213" s="2">
        <v>1.4</v>
      </c>
      <c r="OC213" s="2">
        <v>-1.9</v>
      </c>
      <c r="OD213" s="2">
        <v>-2.1</v>
      </c>
      <c r="OE213" s="2">
        <v>-2.7</v>
      </c>
      <c r="OF213" s="2">
        <v>-2.6</v>
      </c>
      <c r="OG213" s="2">
        <v>-1.6</v>
      </c>
      <c r="OH213" s="2">
        <v>-1.2</v>
      </c>
      <c r="OM213" s="2">
        <v>-0.9</v>
      </c>
      <c r="ON213" s="2">
        <v>-0.4</v>
      </c>
      <c r="OO213" s="2">
        <v>0.6</v>
      </c>
      <c r="OP213" s="2">
        <v>0.3</v>
      </c>
      <c r="OQ213" s="2">
        <v>0.7</v>
      </c>
      <c r="OR213" s="2">
        <v>0.5</v>
      </c>
      <c r="OS213" s="2">
        <v>-0.3</v>
      </c>
      <c r="OT213" s="2">
        <v>1</v>
      </c>
      <c r="OU213" s="2">
        <v>1.4</v>
      </c>
      <c r="OV213" s="2">
        <v>1.7</v>
      </c>
      <c r="OW213" s="2">
        <v>0.3</v>
      </c>
      <c r="OX213" s="2">
        <v>0.5</v>
      </c>
      <c r="PC213" s="2">
        <v>0.2</v>
      </c>
      <c r="PD213" s="2">
        <v>-0.1</v>
      </c>
      <c r="PE213" s="2">
        <v>-1.3</v>
      </c>
      <c r="PF213" s="2">
        <v>-1.4</v>
      </c>
      <c r="PG213" s="2">
        <v>0.1</v>
      </c>
      <c r="PH213" s="2">
        <v>2.1</v>
      </c>
      <c r="PI213" s="2">
        <v>2.4</v>
      </c>
    </row>
    <row r="214">
      <c r="A214" t="inlineStr">
        <is>
          <t>A130393196V</t>
        </is>
      </c>
      <c r="B214" t="inlineStr">
        <is>
          <t>Percentage Change from Corresponding Month of Previous Year ;  Ice cream and other dairy products ;  Australia ;</t>
        </is>
      </c>
      <c r="C214" t="inlineStr">
        <is>
          <t>Month</t>
        </is>
      </c>
      <c r="D214" t="inlineStr">
        <is>
          <t>Percent</t>
        </is>
      </c>
      <c r="E214" t="inlineStr">
        <is>
          <t>Original</t>
        </is>
      </c>
      <c r="F214" t="inlineStr">
        <is>
          <t>640103.xlsx</t>
        </is>
      </c>
      <c r="G214" t="inlineStr">
        <is>
          <t>2018-09</t>
        </is>
      </c>
      <c r="H214" t="inlineStr">
        <is>
          <t>2026-07</t>
        </is>
      </c>
      <c r="KM214" s="2">
        <v>0.9</v>
      </c>
      <c r="KN214" s="2">
        <v>0.1</v>
      </c>
      <c r="KO214" s="2">
        <v>0.7</v>
      </c>
      <c r="KP214" s="2">
        <v>0.9</v>
      </c>
      <c r="KU214" s="2">
        <v>0.5</v>
      </c>
      <c r="KV214" s="2">
        <v>0.7</v>
      </c>
      <c r="KW214" s="2">
        <v>1.2</v>
      </c>
      <c r="KX214" s="2">
        <v>1.4</v>
      </c>
      <c r="KY214" s="2">
        <v>1.3</v>
      </c>
      <c r="KZ214" s="2">
        <v>1.7</v>
      </c>
      <c r="LA214" s="2">
        <v>3.3</v>
      </c>
      <c r="LB214" s="2">
        <v>3.2</v>
      </c>
      <c r="LC214" s="2">
        <v>3.2</v>
      </c>
      <c r="LD214" s="2">
        <v>2.8</v>
      </c>
      <c r="LE214" s="2">
        <v>3.9</v>
      </c>
      <c r="LF214" s="2">
        <v>3.4</v>
      </c>
      <c r="LK214" s="2">
        <v>4</v>
      </c>
      <c r="LL214" s="2">
        <v>3.3</v>
      </c>
      <c r="LM214" s="2">
        <v>4.1</v>
      </c>
      <c r="LN214" s="2">
        <v>5.5</v>
      </c>
      <c r="LO214" s="2">
        <v>3.9</v>
      </c>
      <c r="LP214" s="2">
        <v>2.9</v>
      </c>
      <c r="LQ214" s="2">
        <v>2.1</v>
      </c>
      <c r="LR214" s="2">
        <v>3.2</v>
      </c>
      <c r="LS214" s="2">
        <v>3.1</v>
      </c>
      <c r="LT214" s="2">
        <v>3.3</v>
      </c>
      <c r="LU214" s="2">
        <v>2.5</v>
      </c>
      <c r="LV214" s="2">
        <v>3.1</v>
      </c>
      <c r="MA214" s="2">
        <v>1.4</v>
      </c>
      <c r="MB214" s="2">
        <v>1.4</v>
      </c>
      <c r="MC214" s="2">
        <v>0.8</v>
      </c>
      <c r="MD214" s="2">
        <v>-0.5</v>
      </c>
      <c r="ME214" s="2">
        <v>0.5</v>
      </c>
      <c r="MF214" s="2">
        <v>0.7</v>
      </c>
      <c r="MG214" s="2">
        <v>0.5</v>
      </c>
      <c r="MH214" s="2">
        <v>0.3</v>
      </c>
      <c r="MI214" s="2">
        <v>0.4</v>
      </c>
      <c r="MJ214" s="2">
        <v>1.2</v>
      </c>
      <c r="MK214" s="2">
        <v>2.1</v>
      </c>
      <c r="ML214" s="2">
        <v>2.8</v>
      </c>
      <c r="MQ214" s="2">
        <v>3.7</v>
      </c>
      <c r="MR214" s="2">
        <v>5.4</v>
      </c>
      <c r="MS214" s="2">
        <v>4.9</v>
      </c>
      <c r="MT214" s="2">
        <v>5.9</v>
      </c>
      <c r="MU214" s="2">
        <v>5.7</v>
      </c>
      <c r="MV214" s="2">
        <v>6.1</v>
      </c>
      <c r="MW214" s="2">
        <v>8.300000000000001</v>
      </c>
      <c r="MX214" s="2">
        <v>9.1</v>
      </c>
      <c r="MY214" s="2">
        <v>11</v>
      </c>
      <c r="MZ214" s="2">
        <v>12.3</v>
      </c>
      <c r="NA214" s="2">
        <v>11.8</v>
      </c>
      <c r="NB214" s="2">
        <v>11.4</v>
      </c>
      <c r="NG214" s="2">
        <v>10.9</v>
      </c>
      <c r="NH214" s="2">
        <v>9.300000000000001</v>
      </c>
      <c r="NI214" s="2">
        <v>12.7</v>
      </c>
      <c r="NJ214" s="2">
        <v>13.5</v>
      </c>
      <c r="NK214" s="2">
        <v>13.9</v>
      </c>
      <c r="NL214" s="2">
        <v>14</v>
      </c>
      <c r="NM214" s="2">
        <v>12</v>
      </c>
      <c r="NN214" s="2">
        <v>12.1</v>
      </c>
      <c r="NO214" s="2">
        <v>9.4</v>
      </c>
      <c r="NP214" s="2">
        <v>7.8</v>
      </c>
      <c r="NQ214" s="2">
        <v>7.4</v>
      </c>
      <c r="NR214" s="2">
        <v>7.4</v>
      </c>
      <c r="NW214" s="2">
        <v>6.2</v>
      </c>
      <c r="NX214" s="2">
        <v>6.3</v>
      </c>
      <c r="NY214" s="2">
        <v>3.7</v>
      </c>
      <c r="NZ214" s="2">
        <v>1.9</v>
      </c>
      <c r="OA214" s="2">
        <v>1.9</v>
      </c>
      <c r="OB214" s="2">
        <v>1.5</v>
      </c>
      <c r="OC214" s="2">
        <v>0.6</v>
      </c>
      <c r="OD214" s="2">
        <v>-0.2</v>
      </c>
      <c r="OE214" s="2">
        <v>-0.3</v>
      </c>
      <c r="OF214" s="2">
        <v>-1.5</v>
      </c>
      <c r="OG214" s="2">
        <v>-1</v>
      </c>
      <c r="OH214" s="2">
        <v>-1.5</v>
      </c>
      <c r="OM214" s="2">
        <v>-0.1</v>
      </c>
      <c r="ON214" s="2">
        <v>-0.2</v>
      </c>
      <c r="OO214" s="2">
        <v>1</v>
      </c>
      <c r="OP214" s="2">
        <v>0.4</v>
      </c>
      <c r="OQ214" s="2">
        <v>-0.2</v>
      </c>
      <c r="OR214" s="2">
        <v>-0.2</v>
      </c>
      <c r="OS214" s="2">
        <v>0.6</v>
      </c>
      <c r="OT214" s="2">
        <v>1.5</v>
      </c>
      <c r="OU214" s="2">
        <v>4.3</v>
      </c>
      <c r="OV214" s="2">
        <v>4.1</v>
      </c>
      <c r="OW214" s="2">
        <v>5</v>
      </c>
      <c r="OX214" s="2">
        <v>4.2</v>
      </c>
      <c r="PC214" s="2">
        <v>3.5</v>
      </c>
      <c r="PD214" s="2">
        <v>4.6</v>
      </c>
      <c r="PE214" s="2">
        <v>4.7</v>
      </c>
      <c r="PF214" s="2">
        <v>4.2</v>
      </c>
      <c r="PG214" s="2">
        <v>5.3</v>
      </c>
      <c r="PH214" s="2">
        <v>7.5</v>
      </c>
      <c r="PI214" s="2">
        <v>7.4</v>
      </c>
    </row>
    <row r="215">
      <c r="A215" t="inlineStr">
        <is>
          <t>A130395093R</t>
        </is>
      </c>
      <c r="B215" t="inlineStr">
        <is>
          <t>Percentage Change from Corresponding Month of Previous Year ;  Fruit and vegetables ;  Australia ;</t>
        </is>
      </c>
      <c r="C215" t="inlineStr">
        <is>
          <t>Month</t>
        </is>
      </c>
      <c r="D215" t="inlineStr">
        <is>
          <t>Percent</t>
        </is>
      </c>
      <c r="E215" t="inlineStr">
        <is>
          <t>Original</t>
        </is>
      </c>
      <c r="F215" t="inlineStr">
        <is>
          <t>640103.xlsx</t>
        </is>
      </c>
      <c r="G215" t="inlineStr">
        <is>
          <t>2018-09</t>
        </is>
      </c>
      <c r="H215" t="inlineStr">
        <is>
          <t>2026-07</t>
        </is>
      </c>
      <c r="KM215" s="2">
        <v>9.300000000000001</v>
      </c>
      <c r="KN215" s="2">
        <v>5.4</v>
      </c>
      <c r="KO215" s="2">
        <v>-1</v>
      </c>
      <c r="KP215" s="2">
        <v>0</v>
      </c>
      <c r="KU215" s="2">
        <v>-0.1</v>
      </c>
      <c r="KV215" s="2">
        <v>6.4</v>
      </c>
      <c r="KW215" s="2">
        <v>10.1</v>
      </c>
      <c r="KX215" s="2">
        <v>5.6</v>
      </c>
      <c r="KY215" s="2">
        <v>7</v>
      </c>
      <c r="KZ215" s="2">
        <v>2.7</v>
      </c>
      <c r="LA215" s="2">
        <v>1.8</v>
      </c>
      <c r="LB215" s="2">
        <v>0.6</v>
      </c>
      <c r="LC215" s="2">
        <v>-0.9</v>
      </c>
      <c r="LD215" s="2">
        <v>-1.1</v>
      </c>
      <c r="LE215" s="2">
        <v>1.9</v>
      </c>
      <c r="LF215" s="2">
        <v>5.6</v>
      </c>
      <c r="LK215" s="2">
        <v>5</v>
      </c>
      <c r="LL215" s="2">
        <v>0.8</v>
      </c>
      <c r="LM215" s="2">
        <v>4</v>
      </c>
      <c r="LN215" s="2">
        <v>6.7</v>
      </c>
      <c r="LO215" s="2">
        <v>3.6</v>
      </c>
      <c r="LP215" s="2">
        <v>9.6</v>
      </c>
      <c r="LQ215" s="2">
        <v>7.6</v>
      </c>
      <c r="LR215" s="2">
        <v>10.1</v>
      </c>
      <c r="LS215" s="2">
        <v>8.300000000000001</v>
      </c>
      <c r="LT215" s="2">
        <v>4.8</v>
      </c>
      <c r="LU215" s="2">
        <v>5</v>
      </c>
      <c r="LV215" s="2">
        <v>2.2</v>
      </c>
      <c r="MA215" s="2">
        <v>1.7</v>
      </c>
      <c r="MB215" s="2">
        <v>-2.3</v>
      </c>
      <c r="MC215" s="2">
        <v>-9.1</v>
      </c>
      <c r="MD215" s="2">
        <v>-1.1</v>
      </c>
      <c r="ME215" s="2">
        <v>6.4</v>
      </c>
      <c r="MF215" s="2">
        <v>0.8</v>
      </c>
      <c r="MG215" s="2">
        <v>1.7</v>
      </c>
      <c r="MH215" s="2">
        <v>-1.5</v>
      </c>
      <c r="MI215" s="2">
        <v>-2.8</v>
      </c>
      <c r="MJ215" s="2">
        <v>-1.4</v>
      </c>
      <c r="MK215" s="2">
        <v>-0.9</v>
      </c>
      <c r="ML215" s="2">
        <v>-0.3</v>
      </c>
      <c r="MQ215" s="2">
        <v>3</v>
      </c>
      <c r="MR215" s="2">
        <v>6.6</v>
      </c>
      <c r="MS215" s="2">
        <v>10.1</v>
      </c>
      <c r="MT215" s="2">
        <v>6.9</v>
      </c>
      <c r="MU215" s="2">
        <v>4.6</v>
      </c>
      <c r="MV215" s="2">
        <v>9</v>
      </c>
      <c r="MW215" s="2">
        <v>14.9</v>
      </c>
      <c r="MX215" s="2">
        <v>19.1</v>
      </c>
      <c r="MY215" s="2">
        <v>17.3</v>
      </c>
      <c r="MZ215" s="2">
        <v>9.5</v>
      </c>
      <c r="NA215" s="2">
        <v>9.4</v>
      </c>
      <c r="NB215" s="2">
        <v>9.800000000000001</v>
      </c>
      <c r="NG215" s="2">
        <v>5.1</v>
      </c>
      <c r="NH215" s="2">
        <v>5.8</v>
      </c>
      <c r="NI215" s="2">
        <v>5.9</v>
      </c>
      <c r="NJ215" s="2">
        <v>3.5</v>
      </c>
      <c r="NK215" s="2">
        <v>2.7</v>
      </c>
      <c r="NL215" s="2">
        <v>1</v>
      </c>
      <c r="NM215" s="2">
        <v>-5.4</v>
      </c>
      <c r="NN215" s="2">
        <v>-8.300000000000001</v>
      </c>
      <c r="NO215" s="2">
        <v>-5.3</v>
      </c>
      <c r="NP215" s="2">
        <v>1</v>
      </c>
      <c r="NQ215" s="2">
        <v>0.6</v>
      </c>
      <c r="NR215" s="2">
        <v>-2.2</v>
      </c>
      <c r="NW215" s="2">
        <v>1.5</v>
      </c>
      <c r="NX215" s="2">
        <v>-0.5</v>
      </c>
      <c r="NY215" s="2">
        <v>-1.2</v>
      </c>
      <c r="NZ215" s="2">
        <v>3.4</v>
      </c>
      <c r="OA215" s="2">
        <v>4.4</v>
      </c>
      <c r="OB215" s="2">
        <v>3.5</v>
      </c>
      <c r="OC215" s="2">
        <v>7.5</v>
      </c>
      <c r="OD215" s="2">
        <v>9.6</v>
      </c>
      <c r="OE215" s="2">
        <v>9</v>
      </c>
      <c r="OF215" s="2">
        <v>8.5</v>
      </c>
      <c r="OG215" s="2">
        <v>6.1</v>
      </c>
      <c r="OH215" s="2">
        <v>4.5</v>
      </c>
      <c r="OM215" s="2">
        <v>7</v>
      </c>
      <c r="ON215" s="2">
        <v>5.3</v>
      </c>
      <c r="OO215" s="2">
        <v>7.6</v>
      </c>
      <c r="OP215" s="2">
        <v>6.1</v>
      </c>
      <c r="OQ215" s="2">
        <v>2.8</v>
      </c>
      <c r="OR215" s="2">
        <v>4.9</v>
      </c>
      <c r="OS215" s="2">
        <v>4.9</v>
      </c>
      <c r="OT215" s="2">
        <v>1.2</v>
      </c>
      <c r="OU215" s="2">
        <v>0.7</v>
      </c>
      <c r="OV215" s="2">
        <v>1.8</v>
      </c>
      <c r="OW215" s="2">
        <v>2.7</v>
      </c>
      <c r="OX215" s="2">
        <v>4</v>
      </c>
      <c r="PC215" s="2">
        <v>1.4</v>
      </c>
      <c r="PD215" s="2">
        <v>1.9</v>
      </c>
      <c r="PE215" s="2">
        <v>1.8</v>
      </c>
      <c r="PF215" s="2">
        <v>0.1</v>
      </c>
      <c r="PG215" s="2">
        <v>2</v>
      </c>
      <c r="PH215" s="2">
        <v>0.7</v>
      </c>
      <c r="PI215" s="2">
        <v>-0.9</v>
      </c>
    </row>
    <row r="216">
      <c r="A216" t="inlineStr">
        <is>
          <t>A130392447J</t>
        </is>
      </c>
      <c r="B216" t="inlineStr">
        <is>
          <t>Percentage Change from Corresponding Month of Previous Year ;  Fruit ;  Australia ;</t>
        </is>
      </c>
      <c r="C216" t="inlineStr">
        <is>
          <t>Month</t>
        </is>
      </c>
      <c r="D216" t="inlineStr">
        <is>
          <t>Percent</t>
        </is>
      </c>
      <c r="E216" t="inlineStr">
        <is>
          <t>Original</t>
        </is>
      </c>
      <c r="F216" t="inlineStr">
        <is>
          <t>640103.xlsx</t>
        </is>
      </c>
      <c r="G216" t="inlineStr">
        <is>
          <t>2018-09</t>
        </is>
      </c>
      <c r="H216" t="inlineStr">
        <is>
          <t>2026-07</t>
        </is>
      </c>
      <c r="KM216" s="2">
        <v>12.1</v>
      </c>
      <c r="KN216" s="2">
        <v>7.1</v>
      </c>
      <c r="KO216" s="2">
        <v>0.8</v>
      </c>
      <c r="KP216" s="2">
        <v>-1.2</v>
      </c>
      <c r="KU216" s="2">
        <v>0.5</v>
      </c>
      <c r="KV216" s="2">
        <v>9.300000000000001</v>
      </c>
      <c r="KW216" s="2">
        <v>10.7</v>
      </c>
      <c r="KX216" s="2">
        <v>2.5</v>
      </c>
      <c r="KY216" s="2">
        <v>7.3</v>
      </c>
      <c r="KZ216" s="2">
        <v>3.5</v>
      </c>
      <c r="LA216" s="2">
        <v>-0.1</v>
      </c>
      <c r="LB216" s="2">
        <v>0.8</v>
      </c>
      <c r="LC216" s="2">
        <v>-2.7</v>
      </c>
      <c r="LD216" s="2">
        <v>-4.6</v>
      </c>
      <c r="LE216" s="2">
        <v>-0.7</v>
      </c>
      <c r="LF216" s="2">
        <v>7.7</v>
      </c>
      <c r="LK216" s="2">
        <v>4.2</v>
      </c>
      <c r="LL216" s="2">
        <v>-2.5</v>
      </c>
      <c r="LM216" s="2">
        <v>3</v>
      </c>
      <c r="LN216" s="2">
        <v>9.5</v>
      </c>
      <c r="LO216" s="2">
        <v>2.4</v>
      </c>
      <c r="LP216" s="2">
        <v>10.2</v>
      </c>
      <c r="LQ216" s="2">
        <v>6.6</v>
      </c>
      <c r="LR216" s="2">
        <v>10</v>
      </c>
      <c r="LS216" s="2">
        <v>13.2</v>
      </c>
      <c r="LT216" s="2">
        <v>8.199999999999999</v>
      </c>
      <c r="LU216" s="2">
        <v>8.699999999999999</v>
      </c>
      <c r="LV216" s="2">
        <v>4.6</v>
      </c>
      <c r="MA216" s="2">
        <v>4.6</v>
      </c>
      <c r="MB216" s="2">
        <v>2.6</v>
      </c>
      <c r="MC216" s="2">
        <v>-6.4</v>
      </c>
      <c r="MD216" s="2">
        <v>5</v>
      </c>
      <c r="ME216" s="2">
        <v>10.2</v>
      </c>
      <c r="MF216" s="2">
        <v>-0.9</v>
      </c>
      <c r="MG216" s="2">
        <v>2.1</v>
      </c>
      <c r="MH216" s="2">
        <v>-3.6</v>
      </c>
      <c r="MI216" s="2">
        <v>-9.5</v>
      </c>
      <c r="MJ216" s="2">
        <v>-8.9</v>
      </c>
      <c r="MK216" s="2">
        <v>-8.300000000000001</v>
      </c>
      <c r="ML216" s="2">
        <v>-9.800000000000001</v>
      </c>
      <c r="MQ216" s="2">
        <v>-3.7</v>
      </c>
      <c r="MR216" s="2">
        <v>-1.1</v>
      </c>
      <c r="MS216" s="2">
        <v>1.5</v>
      </c>
      <c r="MT216" s="2">
        <v>-4.6</v>
      </c>
      <c r="MU216" s="2">
        <v>-3.8</v>
      </c>
      <c r="MV216" s="2">
        <v>1.6</v>
      </c>
      <c r="MW216" s="2">
        <v>10.7</v>
      </c>
      <c r="MX216" s="2">
        <v>18.4</v>
      </c>
      <c r="MY216" s="2">
        <v>19.4</v>
      </c>
      <c r="MZ216" s="2">
        <v>13.2</v>
      </c>
      <c r="NA216" s="2">
        <v>14.2</v>
      </c>
      <c r="NB216" s="2">
        <v>15.8</v>
      </c>
      <c r="NG216" s="2">
        <v>9.800000000000001</v>
      </c>
      <c r="NH216" s="2">
        <v>10.9</v>
      </c>
      <c r="NI216" s="2">
        <v>13.8</v>
      </c>
      <c r="NJ216" s="2">
        <v>8.5</v>
      </c>
      <c r="NK216" s="2">
        <v>5.6</v>
      </c>
      <c r="NL216" s="2">
        <v>10.5</v>
      </c>
      <c r="NM216" s="2">
        <v>1.9</v>
      </c>
      <c r="NN216" s="2">
        <v>-3.4</v>
      </c>
      <c r="NO216" s="2">
        <v>-0.4</v>
      </c>
      <c r="NP216" s="2">
        <v>5.9</v>
      </c>
      <c r="NQ216" s="2">
        <v>1.7</v>
      </c>
      <c r="NR216" s="2">
        <v>-3.6</v>
      </c>
      <c r="NW216" s="2">
        <v>-1.4</v>
      </c>
      <c r="NX216" s="2">
        <v>-6.3</v>
      </c>
      <c r="NY216" s="2">
        <v>-6.9</v>
      </c>
      <c r="NZ216" s="2">
        <v>3.9</v>
      </c>
      <c r="OA216" s="2">
        <v>6.1</v>
      </c>
      <c r="OB216" s="2">
        <v>4.2</v>
      </c>
      <c r="OC216" s="2">
        <v>9.4</v>
      </c>
      <c r="OD216" s="2">
        <v>10.7</v>
      </c>
      <c r="OE216" s="2">
        <v>8.6</v>
      </c>
      <c r="OF216" s="2">
        <v>8</v>
      </c>
      <c r="OG216" s="2">
        <v>7.2</v>
      </c>
      <c r="OH216" s="2">
        <v>6</v>
      </c>
      <c r="OM216" s="2">
        <v>12.3</v>
      </c>
      <c r="ON216" s="2">
        <v>10.8</v>
      </c>
      <c r="OO216" s="2">
        <v>13.7</v>
      </c>
      <c r="OP216" s="2">
        <v>10.4</v>
      </c>
      <c r="OQ216" s="2">
        <v>4.6</v>
      </c>
      <c r="OR216" s="2">
        <v>2.1</v>
      </c>
      <c r="OS216" s="2">
        <v>0.5</v>
      </c>
      <c r="OT216" s="2">
        <v>1.5</v>
      </c>
      <c r="OU216" s="2">
        <v>1.4</v>
      </c>
      <c r="OV216" s="2">
        <v>2.3</v>
      </c>
      <c r="OW216" s="2">
        <v>3.2</v>
      </c>
      <c r="OX216" s="2">
        <v>4.2</v>
      </c>
      <c r="PC216" s="2">
        <v>0.7</v>
      </c>
      <c r="PD216" s="2">
        <v>3.7</v>
      </c>
      <c r="PE216" s="2">
        <v>4.3</v>
      </c>
      <c r="PF216" s="2">
        <v>-2</v>
      </c>
      <c r="PG216" s="2">
        <v>4.2</v>
      </c>
      <c r="PH216" s="2">
        <v>6.9</v>
      </c>
      <c r="PI216" s="2">
        <v>3.1</v>
      </c>
    </row>
    <row r="217">
      <c r="A217" t="inlineStr">
        <is>
          <t>A130397488V</t>
        </is>
      </c>
      <c r="B217" t="inlineStr">
        <is>
          <t>Percentage Change from Corresponding Month of Previous Year ;  Vegetables ;  Australia ;</t>
        </is>
      </c>
      <c r="C217" t="inlineStr">
        <is>
          <t>Month</t>
        </is>
      </c>
      <c r="D217" t="inlineStr">
        <is>
          <t>Percent</t>
        </is>
      </c>
      <c r="E217" t="inlineStr">
        <is>
          <t>Original</t>
        </is>
      </c>
      <c r="F217" t="inlineStr">
        <is>
          <t>640103.xlsx</t>
        </is>
      </c>
      <c r="G217" t="inlineStr">
        <is>
          <t>2018-09</t>
        </is>
      </c>
      <c r="H217" t="inlineStr">
        <is>
          <t>2026-07</t>
        </is>
      </c>
      <c r="KM217" s="2">
        <v>6.9</v>
      </c>
      <c r="KN217" s="2">
        <v>3.9</v>
      </c>
      <c r="KO217" s="2">
        <v>-2.5</v>
      </c>
      <c r="KP217" s="2">
        <v>1.1</v>
      </c>
      <c r="KU217" s="2">
        <v>-0.7</v>
      </c>
      <c r="KV217" s="2">
        <v>3.8</v>
      </c>
      <c r="KW217" s="2">
        <v>9.699999999999999</v>
      </c>
      <c r="KX217" s="2">
        <v>8.4</v>
      </c>
      <c r="KY217" s="2">
        <v>6.8</v>
      </c>
      <c r="KZ217" s="2">
        <v>2.1</v>
      </c>
      <c r="LA217" s="2">
        <v>3.7</v>
      </c>
      <c r="LB217" s="2">
        <v>0.5</v>
      </c>
      <c r="LC217" s="2">
        <v>0.8</v>
      </c>
      <c r="LD217" s="2">
        <v>2.2</v>
      </c>
      <c r="LE217" s="2">
        <v>4.6</v>
      </c>
      <c r="LF217" s="2">
        <v>3.8</v>
      </c>
      <c r="LK217" s="2">
        <v>5.7</v>
      </c>
      <c r="LL217" s="2">
        <v>3.9</v>
      </c>
      <c r="LM217" s="2">
        <v>5</v>
      </c>
      <c r="LN217" s="2">
        <v>4.5</v>
      </c>
      <c r="LO217" s="2">
        <v>4.7</v>
      </c>
      <c r="LP217" s="2">
        <v>9.1</v>
      </c>
      <c r="LQ217" s="2">
        <v>8.5</v>
      </c>
      <c r="LR217" s="2">
        <v>10.3</v>
      </c>
      <c r="LS217" s="2">
        <v>4.3</v>
      </c>
      <c r="LT217" s="2">
        <v>2.1</v>
      </c>
      <c r="LU217" s="2">
        <v>2</v>
      </c>
      <c r="LV217" s="2">
        <v>0.4</v>
      </c>
      <c r="MA217" s="2">
        <v>-0.7</v>
      </c>
      <c r="MB217" s="2">
        <v>-6.3</v>
      </c>
      <c r="MC217" s="2">
        <v>-11.3</v>
      </c>
      <c r="MD217" s="2">
        <v>-6.1</v>
      </c>
      <c r="ME217" s="2">
        <v>3.4</v>
      </c>
      <c r="MF217" s="2">
        <v>2.1</v>
      </c>
      <c r="MG217" s="2">
        <v>1.3</v>
      </c>
      <c r="MH217" s="2">
        <v>0</v>
      </c>
      <c r="MI217" s="2">
        <v>2.8</v>
      </c>
      <c r="MJ217" s="2">
        <v>4.9</v>
      </c>
      <c r="MK217" s="2">
        <v>5.6</v>
      </c>
      <c r="ML217" s="2">
        <v>8.199999999999999</v>
      </c>
      <c r="MQ217" s="2">
        <v>8.5</v>
      </c>
      <c r="MR217" s="2">
        <v>13.2</v>
      </c>
      <c r="MS217" s="2">
        <v>17.3</v>
      </c>
      <c r="MT217" s="2">
        <v>16.8</v>
      </c>
      <c r="MU217" s="2">
        <v>11.7</v>
      </c>
      <c r="MV217" s="2">
        <v>15</v>
      </c>
      <c r="MW217" s="2">
        <v>18.2</v>
      </c>
      <c r="MX217" s="2">
        <v>19.6</v>
      </c>
      <c r="MY217" s="2">
        <v>15.8</v>
      </c>
      <c r="MZ217" s="2">
        <v>7</v>
      </c>
      <c r="NA217" s="2">
        <v>6.2</v>
      </c>
      <c r="NB217" s="2">
        <v>5.8</v>
      </c>
      <c r="NG217" s="2">
        <v>2</v>
      </c>
      <c r="NH217" s="2">
        <v>2.4</v>
      </c>
      <c r="NI217" s="2">
        <v>0.6</v>
      </c>
      <c r="NJ217" s="2">
        <v>0.1</v>
      </c>
      <c r="NK217" s="2">
        <v>0.8</v>
      </c>
      <c r="NL217" s="2">
        <v>-5.3</v>
      </c>
      <c r="NM217" s="2">
        <v>-10.2</v>
      </c>
      <c r="NN217" s="2">
        <v>-11.7</v>
      </c>
      <c r="NO217" s="2">
        <v>-8.699999999999999</v>
      </c>
      <c r="NP217" s="2">
        <v>-2.6</v>
      </c>
      <c r="NQ217" s="2">
        <v>-0.1</v>
      </c>
      <c r="NR217" s="2">
        <v>-1.2</v>
      </c>
      <c r="NW217" s="2">
        <v>3.7</v>
      </c>
      <c r="NX217" s="2">
        <v>3.8</v>
      </c>
      <c r="NY217" s="2">
        <v>3.2</v>
      </c>
      <c r="NZ217" s="2">
        <v>3.1</v>
      </c>
      <c r="OA217" s="2">
        <v>3.1</v>
      </c>
      <c r="OB217" s="2">
        <v>3</v>
      </c>
      <c r="OC217" s="2">
        <v>5.8</v>
      </c>
      <c r="OD217" s="2">
        <v>8.699999999999999</v>
      </c>
      <c r="OE217" s="2">
        <v>9.300000000000001</v>
      </c>
      <c r="OF217" s="2">
        <v>8.800000000000001</v>
      </c>
      <c r="OG217" s="2">
        <v>5.2</v>
      </c>
      <c r="OH217" s="2">
        <v>3.3</v>
      </c>
      <c r="OM217" s="2">
        <v>3.3</v>
      </c>
      <c r="ON217" s="2">
        <v>1.4</v>
      </c>
      <c r="OO217" s="2">
        <v>3.4</v>
      </c>
      <c r="OP217" s="2">
        <v>2.9</v>
      </c>
      <c r="OQ217" s="2">
        <v>1.6</v>
      </c>
      <c r="OR217" s="2">
        <v>7.2</v>
      </c>
      <c r="OS217" s="2">
        <v>8.5</v>
      </c>
      <c r="OT217" s="2">
        <v>0.9</v>
      </c>
      <c r="OU217" s="2">
        <v>0.2</v>
      </c>
      <c r="OV217" s="2">
        <v>1.3</v>
      </c>
      <c r="OW217" s="2">
        <v>2.2</v>
      </c>
      <c r="OX217" s="2">
        <v>3.8</v>
      </c>
      <c r="PC217" s="2">
        <v>2</v>
      </c>
      <c r="PD217" s="2">
        <v>0.5</v>
      </c>
      <c r="PE217" s="2">
        <v>-0.2</v>
      </c>
      <c r="PF217" s="2">
        <v>1.9</v>
      </c>
      <c r="PG217" s="2">
        <v>0.2</v>
      </c>
      <c r="PH217" s="2">
        <v>-4.2</v>
      </c>
      <c r="PI217" s="2">
        <v>-4.1</v>
      </c>
    </row>
    <row r="218">
      <c r="A218" t="inlineStr">
        <is>
          <t>A130391481V</t>
        </is>
      </c>
      <c r="B218" t="inlineStr">
        <is>
          <t>Percentage Change from Corresponding Month of Previous Year ;  Food products n.e.c. ;  Australia ;</t>
        </is>
      </c>
      <c r="C218" t="inlineStr">
        <is>
          <t>Month</t>
        </is>
      </c>
      <c r="D218" t="inlineStr">
        <is>
          <t>Percent</t>
        </is>
      </c>
      <c r="E218" t="inlineStr">
        <is>
          <t>Original</t>
        </is>
      </c>
      <c r="F218" t="inlineStr">
        <is>
          <t>640103.xlsx</t>
        </is>
      </c>
      <c r="G218" t="inlineStr">
        <is>
          <t>2018-09</t>
        </is>
      </c>
      <c r="H218" t="inlineStr">
        <is>
          <t>2026-07</t>
        </is>
      </c>
      <c r="KM218" s="2">
        <v>-0.6</v>
      </c>
      <c r="KN218" s="2">
        <v>0.1</v>
      </c>
      <c r="KO218" s="2">
        <v>-0.2</v>
      </c>
      <c r="KP218" s="2">
        <v>-0.2</v>
      </c>
      <c r="KU218" s="2">
        <v>0.1</v>
      </c>
      <c r="KV218" s="2">
        <v>0.6</v>
      </c>
      <c r="KW218" s="2">
        <v>0.3</v>
      </c>
      <c r="KX218" s="2">
        <v>0.4</v>
      </c>
      <c r="KY218" s="2">
        <v>0.5</v>
      </c>
      <c r="KZ218" s="2">
        <v>0.5</v>
      </c>
      <c r="LA218" s="2">
        <v>0.9</v>
      </c>
      <c r="LB218" s="2">
        <v>0.5</v>
      </c>
      <c r="LC218" s="2">
        <v>1.1</v>
      </c>
      <c r="LD218" s="2">
        <v>1.3</v>
      </c>
      <c r="LE218" s="2">
        <v>2.3</v>
      </c>
      <c r="LF218" s="2">
        <v>2</v>
      </c>
      <c r="LK218" s="2">
        <v>2.6</v>
      </c>
      <c r="LL218" s="2">
        <v>2.1</v>
      </c>
      <c r="LM218" s="2">
        <v>5.7</v>
      </c>
      <c r="LN218" s="2">
        <v>8.800000000000001</v>
      </c>
      <c r="LO218" s="2">
        <v>5.4</v>
      </c>
      <c r="LP218" s="2">
        <v>4.5</v>
      </c>
      <c r="LQ218" s="2">
        <v>4</v>
      </c>
      <c r="LR218" s="2">
        <v>3.8</v>
      </c>
      <c r="LS218" s="2">
        <v>4</v>
      </c>
      <c r="LT218" s="2">
        <v>3.6</v>
      </c>
      <c r="LU218" s="2">
        <v>2.7</v>
      </c>
      <c r="LV218" s="2">
        <v>2.9</v>
      </c>
      <c r="MA218" s="2">
        <v>2.5</v>
      </c>
      <c r="MB218" s="2">
        <v>2.2</v>
      </c>
      <c r="MC218" s="2">
        <v>-1.1</v>
      </c>
      <c r="MD218" s="2">
        <v>-3.8</v>
      </c>
      <c r="ME218" s="2">
        <v>-0.9</v>
      </c>
      <c r="MF218" s="2">
        <v>0.5</v>
      </c>
      <c r="MG218" s="2">
        <v>0.7</v>
      </c>
      <c r="MH218" s="2">
        <v>1.2</v>
      </c>
      <c r="MI218" s="2">
        <v>1.5</v>
      </c>
      <c r="MJ218" s="2">
        <v>1.3</v>
      </c>
      <c r="MK218" s="2">
        <v>1.7</v>
      </c>
      <c r="ML218" s="2">
        <v>1.6</v>
      </c>
      <c r="MQ218" s="2">
        <v>2.7</v>
      </c>
      <c r="MR218" s="2">
        <v>4.4</v>
      </c>
      <c r="MS218" s="2">
        <v>5.3</v>
      </c>
      <c r="MT218" s="2">
        <v>5.7</v>
      </c>
      <c r="MU218" s="2">
        <v>6.4</v>
      </c>
      <c r="MV218" s="2">
        <v>7.4</v>
      </c>
      <c r="MW218" s="2">
        <v>8.5</v>
      </c>
      <c r="MX218" s="2">
        <v>9.9</v>
      </c>
      <c r="MY218" s="2">
        <v>10.5</v>
      </c>
      <c r="MZ218" s="2">
        <v>10.9</v>
      </c>
      <c r="NA218" s="2">
        <v>10.9</v>
      </c>
      <c r="NB218" s="2">
        <v>12</v>
      </c>
      <c r="NG218" s="2">
        <v>11.1</v>
      </c>
      <c r="NH218" s="2">
        <v>11.8</v>
      </c>
      <c r="NI218" s="2">
        <v>11.8</v>
      </c>
      <c r="NJ218" s="2">
        <v>11.6</v>
      </c>
      <c r="NK218" s="2">
        <v>11.5</v>
      </c>
      <c r="NL218" s="2">
        <v>10.5</v>
      </c>
      <c r="NM218" s="2">
        <v>8.300000000000001</v>
      </c>
      <c r="NN218" s="2">
        <v>6.9</v>
      </c>
      <c r="NO218" s="2">
        <v>6.8</v>
      </c>
      <c r="NP218" s="2">
        <v>6.2</v>
      </c>
      <c r="NQ218" s="2">
        <v>6.6</v>
      </c>
      <c r="NR218" s="2">
        <v>6.7</v>
      </c>
      <c r="NW218" s="2">
        <v>6.9</v>
      </c>
      <c r="NX218" s="2">
        <v>4.8</v>
      </c>
      <c r="NY218" s="2">
        <v>3.9</v>
      </c>
      <c r="NZ218" s="2">
        <v>4.2</v>
      </c>
      <c r="OA218" s="2">
        <v>4.1</v>
      </c>
      <c r="OB218" s="2">
        <v>3.7</v>
      </c>
      <c r="OC218" s="2">
        <v>4.4</v>
      </c>
      <c r="OD218" s="2">
        <v>4.2</v>
      </c>
      <c r="OE218" s="2">
        <v>4.1</v>
      </c>
      <c r="OF218" s="2">
        <v>3.8</v>
      </c>
      <c r="OG218" s="2">
        <v>3.3</v>
      </c>
      <c r="OH218" s="2">
        <v>3</v>
      </c>
      <c r="OM218" s="2">
        <v>3.1</v>
      </c>
      <c r="ON218" s="2">
        <v>2.7</v>
      </c>
      <c r="OO218" s="2">
        <v>3.3</v>
      </c>
      <c r="OP218" s="2">
        <v>3.6</v>
      </c>
      <c r="OQ218" s="2">
        <v>3.7</v>
      </c>
      <c r="OR218" s="2">
        <v>3.8</v>
      </c>
      <c r="OS218" s="2">
        <v>3.7</v>
      </c>
      <c r="OT218" s="2">
        <v>4.1</v>
      </c>
      <c r="OU218" s="2">
        <v>4.3</v>
      </c>
      <c r="OV218" s="2">
        <v>3.8</v>
      </c>
      <c r="OW218" s="2">
        <v>3.6</v>
      </c>
      <c r="OX218" s="2">
        <v>3.2</v>
      </c>
      <c r="PC218" s="2">
        <v>2.9</v>
      </c>
      <c r="PD218" s="2">
        <v>3.1</v>
      </c>
      <c r="PE218" s="2">
        <v>2.9</v>
      </c>
      <c r="PF218" s="2">
        <v>2.2</v>
      </c>
      <c r="PG218" s="2">
        <v>1.6</v>
      </c>
      <c r="PH218" s="2">
        <v>1.3</v>
      </c>
      <c r="PI218" s="2">
        <v>0.9</v>
      </c>
    </row>
    <row r="219">
      <c r="A219" t="inlineStr">
        <is>
          <t>A130390620R</t>
        </is>
      </c>
      <c r="B219" t="inlineStr">
        <is>
          <t>Percentage Change from Corresponding Month of Previous Year ;  Eggs ;  Australia ;</t>
        </is>
      </c>
      <c r="C219" t="inlineStr">
        <is>
          <t>Month</t>
        </is>
      </c>
      <c r="D219" t="inlineStr">
        <is>
          <t>Percent</t>
        </is>
      </c>
      <c r="E219" t="inlineStr">
        <is>
          <t>Original</t>
        </is>
      </c>
      <c r="F219" t="inlineStr">
        <is>
          <t>640103.xlsx</t>
        </is>
      </c>
      <c r="G219" t="inlineStr">
        <is>
          <t>2018-09</t>
        </is>
      </c>
      <c r="H219" t="inlineStr">
        <is>
          <t>2026-07</t>
        </is>
      </c>
      <c r="KM219" s="2">
        <v>-0.7</v>
      </c>
      <c r="KN219" s="2">
        <v>0.6</v>
      </c>
      <c r="KO219" s="2">
        <v>0.2</v>
      </c>
      <c r="KP219" s="2">
        <v>0.5</v>
      </c>
      <c r="KU219" s="2">
        <v>1.3</v>
      </c>
      <c r="KV219" s="2">
        <v>0.5</v>
      </c>
      <c r="KW219" s="2">
        <v>0.1</v>
      </c>
      <c r="KX219" s="2">
        <v>0.3</v>
      </c>
      <c r="KY219" s="2">
        <v>1.3</v>
      </c>
      <c r="KZ219" s="2">
        <v>1.5</v>
      </c>
      <c r="LA219" s="2">
        <v>3.5</v>
      </c>
      <c r="LB219" s="2">
        <v>4.8</v>
      </c>
      <c r="LC219" s="2">
        <v>5.3</v>
      </c>
      <c r="LD219" s="2">
        <v>5.4</v>
      </c>
      <c r="LE219" s="2">
        <v>5.4</v>
      </c>
      <c r="LF219" s="2">
        <v>5.1</v>
      </c>
      <c r="LK219" s="2">
        <v>5.2</v>
      </c>
      <c r="LL219" s="2">
        <v>6.1</v>
      </c>
      <c r="LM219" s="2">
        <v>6.6</v>
      </c>
      <c r="LN219" s="2">
        <v>7.3</v>
      </c>
      <c r="LO219" s="2">
        <v>7</v>
      </c>
      <c r="LP219" s="2">
        <v>6.3</v>
      </c>
      <c r="LQ219" s="2">
        <v>4.8</v>
      </c>
      <c r="LR219" s="2">
        <v>3.7</v>
      </c>
      <c r="LS219" s="2">
        <v>3.3</v>
      </c>
      <c r="LT219" s="2">
        <v>2.1</v>
      </c>
      <c r="LU219" s="2">
        <v>1.6</v>
      </c>
      <c r="LV219" s="2">
        <v>1.9</v>
      </c>
      <c r="MA219" s="2">
        <v>1.9</v>
      </c>
      <c r="MB219" s="2">
        <v>1.4</v>
      </c>
      <c r="MC219" s="2">
        <v>-0.2</v>
      </c>
      <c r="MD219" s="2">
        <v>-1.6</v>
      </c>
      <c r="ME219" s="2">
        <v>-1.4</v>
      </c>
      <c r="MF219" s="2">
        <v>-0.3</v>
      </c>
      <c r="MG219" s="2">
        <v>-0.1</v>
      </c>
      <c r="MH219" s="2">
        <v>0</v>
      </c>
      <c r="MI219" s="2">
        <v>-0.3</v>
      </c>
      <c r="MJ219" s="2">
        <v>0.7</v>
      </c>
      <c r="MK219" s="2">
        <v>0.1</v>
      </c>
      <c r="ML219" s="2">
        <v>-0.1</v>
      </c>
      <c r="MQ219" s="2">
        <v>0.7</v>
      </c>
      <c r="MR219" s="2">
        <v>1.2</v>
      </c>
      <c r="MS219" s="2">
        <v>2.7</v>
      </c>
      <c r="MT219" s="2">
        <v>3.4</v>
      </c>
      <c r="MU219" s="2">
        <v>3.9</v>
      </c>
      <c r="MV219" s="2">
        <v>8.1</v>
      </c>
      <c r="MW219" s="2">
        <v>9.1</v>
      </c>
      <c r="MX219" s="2">
        <v>10.1</v>
      </c>
      <c r="MY219" s="2">
        <v>10.9</v>
      </c>
      <c r="MZ219" s="2">
        <v>10.6</v>
      </c>
      <c r="NA219" s="2">
        <v>12</v>
      </c>
      <c r="NB219" s="2">
        <v>11.6</v>
      </c>
      <c r="NG219" s="2">
        <v>10.9</v>
      </c>
      <c r="NH219" s="2">
        <v>13.9</v>
      </c>
      <c r="NI219" s="2">
        <v>13.6</v>
      </c>
      <c r="NJ219" s="2">
        <v>12.9</v>
      </c>
      <c r="NK219" s="2">
        <v>13</v>
      </c>
      <c r="NL219" s="2">
        <v>8.5</v>
      </c>
      <c r="NM219" s="2">
        <v>7.7</v>
      </c>
      <c r="NN219" s="2">
        <v>6.9</v>
      </c>
      <c r="NO219" s="2">
        <v>9</v>
      </c>
      <c r="NP219" s="2">
        <v>10.8</v>
      </c>
      <c r="NQ219" s="2">
        <v>10.4</v>
      </c>
      <c r="NR219" s="2">
        <v>10.7</v>
      </c>
      <c r="NW219" s="2">
        <v>10.2</v>
      </c>
      <c r="NX219" s="2">
        <v>7.1</v>
      </c>
      <c r="NY219" s="2">
        <v>6.9</v>
      </c>
      <c r="NZ219" s="2">
        <v>6.8</v>
      </c>
      <c r="OA219" s="2">
        <v>6.6</v>
      </c>
      <c r="OB219" s="2">
        <v>6</v>
      </c>
      <c r="OC219" s="2">
        <v>6.7</v>
      </c>
      <c r="OD219" s="2">
        <v>9</v>
      </c>
      <c r="OE219" s="2">
        <v>11.7</v>
      </c>
      <c r="OF219" s="2">
        <v>10.7</v>
      </c>
      <c r="OG219" s="2">
        <v>11.6</v>
      </c>
      <c r="OH219" s="2">
        <v>11.5</v>
      </c>
      <c r="OM219" s="2">
        <v>12.1</v>
      </c>
      <c r="ON219" s="2">
        <v>11.9</v>
      </c>
      <c r="OO219" s="2">
        <v>13.5</v>
      </c>
      <c r="OP219" s="2">
        <v>18.6</v>
      </c>
      <c r="OQ219" s="2">
        <v>19.3</v>
      </c>
      <c r="OR219" s="2">
        <v>19.4</v>
      </c>
      <c r="OS219" s="2">
        <v>17.9</v>
      </c>
      <c r="OT219" s="2">
        <v>15</v>
      </c>
      <c r="OU219" s="2">
        <v>8.5</v>
      </c>
      <c r="OV219" s="2">
        <v>6.2</v>
      </c>
      <c r="OW219" s="2">
        <v>4.4</v>
      </c>
      <c r="OX219" s="2">
        <v>3.1</v>
      </c>
      <c r="PC219" s="2">
        <v>2.6</v>
      </c>
      <c r="PD219" s="2">
        <v>3.3</v>
      </c>
      <c r="PE219" s="2">
        <v>1.8</v>
      </c>
      <c r="PF219" s="2">
        <v>-3.6</v>
      </c>
      <c r="PG219" s="2">
        <v>-4.2</v>
      </c>
      <c r="PH219" s="2">
        <v>-5.4</v>
      </c>
      <c r="PI219" s="2">
        <v>-5.3</v>
      </c>
    </row>
    <row r="220">
      <c r="A220" t="inlineStr">
        <is>
          <t>A130391964L</t>
        </is>
      </c>
      <c r="B220" t="inlineStr">
        <is>
          <t>Percentage Change from Corresponding Month of Previous Year ;  Jams, honey and spreads ;  Australia ;</t>
        </is>
      </c>
      <c r="C220" t="inlineStr">
        <is>
          <t>Month</t>
        </is>
      </c>
      <c r="D220" t="inlineStr">
        <is>
          <t>Percent</t>
        </is>
      </c>
      <c r="E220" t="inlineStr">
        <is>
          <t>Original</t>
        </is>
      </c>
      <c r="F220" t="inlineStr">
        <is>
          <t>640103.xlsx</t>
        </is>
      </c>
      <c r="G220" t="inlineStr">
        <is>
          <t>2018-09</t>
        </is>
      </c>
      <c r="H220" t="inlineStr">
        <is>
          <t>2026-07</t>
        </is>
      </c>
      <c r="KM220" s="2">
        <v>-0.2</v>
      </c>
      <c r="KN220" s="2">
        <v>-1</v>
      </c>
      <c r="KO220" s="2">
        <v>-1</v>
      </c>
      <c r="KP220" s="2">
        <v>0.1</v>
      </c>
      <c r="KU220" s="2">
        <v>-0.1</v>
      </c>
      <c r="KV220" s="2">
        <v>2</v>
      </c>
      <c r="KW220" s="2">
        <v>0.4</v>
      </c>
      <c r="KX220" s="2">
        <v>3.7</v>
      </c>
      <c r="KY220" s="2">
        <v>0.3</v>
      </c>
      <c r="KZ220" s="2">
        <v>2.2</v>
      </c>
      <c r="LA220" s="2">
        <v>0</v>
      </c>
      <c r="LB220" s="2">
        <v>1.8</v>
      </c>
      <c r="LC220" s="2">
        <v>0.6</v>
      </c>
      <c r="LD220" s="2">
        <v>0.9</v>
      </c>
      <c r="LE220" s="2">
        <v>1</v>
      </c>
      <c r="LF220" s="2">
        <v>2.2</v>
      </c>
      <c r="LK220" s="2">
        <v>2</v>
      </c>
      <c r="LL220" s="2">
        <v>1.2</v>
      </c>
      <c r="LM220" s="2">
        <v>5.3</v>
      </c>
      <c r="LN220" s="2">
        <v>6.4</v>
      </c>
      <c r="LO220" s="2">
        <v>5.6</v>
      </c>
      <c r="LP220" s="2">
        <v>4.5</v>
      </c>
      <c r="LQ220" s="2">
        <v>5</v>
      </c>
      <c r="LR220" s="2">
        <v>5</v>
      </c>
      <c r="LS220" s="2">
        <v>6.2</v>
      </c>
      <c r="LT220" s="2">
        <v>5.2</v>
      </c>
      <c r="LU220" s="2">
        <v>5.1</v>
      </c>
      <c r="LV220" s="2">
        <v>4.2</v>
      </c>
      <c r="MA220" s="2">
        <v>2.9</v>
      </c>
      <c r="MB220" s="2">
        <v>3</v>
      </c>
      <c r="MC220" s="2">
        <v>-0.1</v>
      </c>
      <c r="MD220" s="2">
        <v>-1.4</v>
      </c>
      <c r="ME220" s="2">
        <v>-0.3</v>
      </c>
      <c r="MF220" s="2">
        <v>0.7</v>
      </c>
      <c r="MG220" s="2">
        <v>0.4</v>
      </c>
      <c r="MH220" s="2">
        <v>-0.5</v>
      </c>
      <c r="MI220" s="2">
        <v>0</v>
      </c>
      <c r="MJ220" s="2">
        <v>1</v>
      </c>
      <c r="MK220" s="2">
        <v>1.1</v>
      </c>
      <c r="ML220" s="2">
        <v>0.7</v>
      </c>
      <c r="MQ220" s="2">
        <v>1.9</v>
      </c>
      <c r="MR220" s="2">
        <v>2.6</v>
      </c>
      <c r="MS220" s="2">
        <v>2.8</v>
      </c>
      <c r="MT220" s="2">
        <v>3.1</v>
      </c>
      <c r="MU220" s="2">
        <v>2.6</v>
      </c>
      <c r="MV220" s="2">
        <v>4</v>
      </c>
      <c r="MW220" s="2">
        <v>7</v>
      </c>
      <c r="MX220" s="2">
        <v>8.4</v>
      </c>
      <c r="MY220" s="2">
        <v>7.4</v>
      </c>
      <c r="MZ220" s="2">
        <v>7.3</v>
      </c>
      <c r="NA220" s="2">
        <v>7.8</v>
      </c>
      <c r="NB220" s="2">
        <v>7.9</v>
      </c>
      <c r="NG220" s="2">
        <v>7.9</v>
      </c>
      <c r="NH220" s="2">
        <v>7.3</v>
      </c>
      <c r="NI220" s="2">
        <v>7.4</v>
      </c>
      <c r="NJ220" s="2">
        <v>5.7</v>
      </c>
      <c r="NK220" s="2">
        <v>6.5</v>
      </c>
      <c r="NL220" s="2">
        <v>5.7</v>
      </c>
      <c r="NM220" s="2">
        <v>4.4</v>
      </c>
      <c r="NN220" s="2">
        <v>3.8</v>
      </c>
      <c r="NO220" s="2">
        <v>3.8</v>
      </c>
      <c r="NP220" s="2">
        <v>4.9</v>
      </c>
      <c r="NQ220" s="2">
        <v>4.8</v>
      </c>
      <c r="NR220" s="2">
        <v>4.5</v>
      </c>
      <c r="NW220" s="2">
        <v>4.4</v>
      </c>
      <c r="NX220" s="2">
        <v>4.4</v>
      </c>
      <c r="NY220" s="2">
        <v>3.5</v>
      </c>
      <c r="NZ220" s="2">
        <v>3.8</v>
      </c>
      <c r="OA220" s="2">
        <v>3.5</v>
      </c>
      <c r="OB220" s="2">
        <v>2.8</v>
      </c>
      <c r="OC220" s="2">
        <v>1.6</v>
      </c>
      <c r="OD220" s="2">
        <v>2.2</v>
      </c>
      <c r="OE220" s="2">
        <v>1.4</v>
      </c>
      <c r="OF220" s="2">
        <v>1.4</v>
      </c>
      <c r="OG220" s="2">
        <v>1.4</v>
      </c>
      <c r="OH220" s="2">
        <v>0.3</v>
      </c>
      <c r="OM220" s="2">
        <v>0.8</v>
      </c>
      <c r="ON220" s="2">
        <v>0.8</v>
      </c>
      <c r="OO220" s="2">
        <v>0.8</v>
      </c>
      <c r="OP220" s="2">
        <v>1.6</v>
      </c>
      <c r="OQ220" s="2">
        <v>1.4</v>
      </c>
      <c r="OR220" s="2">
        <v>1.6</v>
      </c>
      <c r="OS220" s="2">
        <v>1.9</v>
      </c>
      <c r="OT220" s="2">
        <v>1.4</v>
      </c>
      <c r="OU220" s="2">
        <v>3.5</v>
      </c>
      <c r="OV220" s="2">
        <v>1.9</v>
      </c>
      <c r="OW220" s="2">
        <v>2.4</v>
      </c>
      <c r="OX220" s="2">
        <v>2.7</v>
      </c>
      <c r="PC220" s="2">
        <v>3.5</v>
      </c>
      <c r="PD220" s="2">
        <v>3.1</v>
      </c>
      <c r="PE220" s="2">
        <v>3.6</v>
      </c>
      <c r="PF220" s="2">
        <v>3.1</v>
      </c>
      <c r="PG220" s="2">
        <v>3.5</v>
      </c>
      <c r="PH220" s="2">
        <v>2.6</v>
      </c>
      <c r="PI220" s="2">
        <v>3.4</v>
      </c>
    </row>
    <row r="221">
      <c r="A221" t="inlineStr">
        <is>
          <t>A130392216X</t>
        </is>
      </c>
      <c r="B221" t="inlineStr">
        <is>
          <t>Percentage Change from Corresponding Month of Previous Year ;  Food additives and condiments ;  Australia ;</t>
        </is>
      </c>
      <c r="C221" t="inlineStr">
        <is>
          <t>Month</t>
        </is>
      </c>
      <c r="D221" t="inlineStr">
        <is>
          <t>Percent</t>
        </is>
      </c>
      <c r="E221" t="inlineStr">
        <is>
          <t>Original</t>
        </is>
      </c>
      <c r="F221" t="inlineStr">
        <is>
          <t>640103.xlsx</t>
        </is>
      </c>
      <c r="G221" t="inlineStr">
        <is>
          <t>2018-09</t>
        </is>
      </c>
      <c r="H221" t="inlineStr">
        <is>
          <t>2026-07</t>
        </is>
      </c>
      <c r="KM221" s="2">
        <v>-2.1</v>
      </c>
      <c r="KN221" s="2">
        <v>-0.4</v>
      </c>
      <c r="KO221" s="2">
        <v>-1</v>
      </c>
      <c r="KP221" s="2">
        <v>-1.3</v>
      </c>
      <c r="KU221" s="2">
        <v>-1.2</v>
      </c>
      <c r="KV221" s="2">
        <v>-0.4</v>
      </c>
      <c r="KW221" s="2">
        <v>-0.5</v>
      </c>
      <c r="KX221" s="2">
        <v>-1.4</v>
      </c>
      <c r="KY221" s="2">
        <v>-0.4</v>
      </c>
      <c r="KZ221" s="2">
        <v>-0.3</v>
      </c>
      <c r="LA221" s="2">
        <v>-0.2</v>
      </c>
      <c r="LB221" s="2">
        <v>0.5</v>
      </c>
      <c r="LC221" s="2">
        <v>1</v>
      </c>
      <c r="LD221" s="2">
        <v>0.2</v>
      </c>
      <c r="LE221" s="2">
        <v>1</v>
      </c>
      <c r="LF221" s="2">
        <v>1.1</v>
      </c>
      <c r="LK221" s="2">
        <v>1</v>
      </c>
      <c r="LL221" s="2">
        <v>0.9</v>
      </c>
      <c r="LM221" s="2">
        <v>3.2</v>
      </c>
      <c r="LN221" s="2">
        <v>6.9</v>
      </c>
      <c r="LO221" s="2">
        <v>3.5</v>
      </c>
      <c r="LP221" s="2">
        <v>2.1</v>
      </c>
      <c r="LQ221" s="2">
        <v>2.3</v>
      </c>
      <c r="LR221" s="2">
        <v>1.8</v>
      </c>
      <c r="LS221" s="2">
        <v>3.7</v>
      </c>
      <c r="LT221" s="2">
        <v>1.6</v>
      </c>
      <c r="LU221" s="2">
        <v>1.7</v>
      </c>
      <c r="LV221" s="2">
        <v>1.8</v>
      </c>
      <c r="MA221" s="2">
        <v>1.8</v>
      </c>
      <c r="MB221" s="2">
        <v>1.3</v>
      </c>
      <c r="MC221" s="2">
        <v>-1.1</v>
      </c>
      <c r="MD221" s="2">
        <v>-3.4</v>
      </c>
      <c r="ME221" s="2">
        <v>-0.7</v>
      </c>
      <c r="MF221" s="2">
        <v>0.3</v>
      </c>
      <c r="MG221" s="2">
        <v>1</v>
      </c>
      <c r="MH221" s="2">
        <v>1.1</v>
      </c>
      <c r="MI221" s="2">
        <v>0.9</v>
      </c>
      <c r="MJ221" s="2">
        <v>2.1</v>
      </c>
      <c r="MK221" s="2">
        <v>1.9</v>
      </c>
      <c r="ML221" s="2">
        <v>2.2</v>
      </c>
      <c r="MQ221" s="2">
        <v>2.8</v>
      </c>
      <c r="MR221" s="2">
        <v>5.7</v>
      </c>
      <c r="MS221" s="2">
        <v>6.1</v>
      </c>
      <c r="MT221" s="2">
        <v>7</v>
      </c>
      <c r="MU221" s="2">
        <v>7.8</v>
      </c>
      <c r="MV221" s="2">
        <v>8.4</v>
      </c>
      <c r="MW221" s="2">
        <v>9</v>
      </c>
      <c r="MX221" s="2">
        <v>9.1</v>
      </c>
      <c r="MY221" s="2">
        <v>9.6</v>
      </c>
      <c r="MZ221" s="2">
        <v>9.800000000000001</v>
      </c>
      <c r="NA221" s="2">
        <v>9.6</v>
      </c>
      <c r="NB221" s="2">
        <v>9.699999999999999</v>
      </c>
      <c r="NG221" s="2">
        <v>9</v>
      </c>
      <c r="NH221" s="2">
        <v>8.800000000000001</v>
      </c>
      <c r="NI221" s="2">
        <v>8.4</v>
      </c>
      <c r="NJ221" s="2">
        <v>9.1</v>
      </c>
      <c r="NK221" s="2">
        <v>8.300000000000001</v>
      </c>
      <c r="NL221" s="2">
        <v>7.4</v>
      </c>
      <c r="NM221" s="2">
        <v>5.8</v>
      </c>
      <c r="NN221" s="2">
        <v>6.3</v>
      </c>
      <c r="NO221" s="2">
        <v>5.8</v>
      </c>
      <c r="NP221" s="2">
        <v>5.3</v>
      </c>
      <c r="NQ221" s="2">
        <v>4.1</v>
      </c>
      <c r="NR221" s="2">
        <v>5.8</v>
      </c>
      <c r="NW221" s="2">
        <v>5</v>
      </c>
      <c r="NX221" s="2">
        <v>3.1</v>
      </c>
      <c r="NY221" s="2">
        <v>2.6</v>
      </c>
      <c r="NZ221" s="2">
        <v>2.6</v>
      </c>
      <c r="OA221" s="2">
        <v>1.8</v>
      </c>
      <c r="OB221" s="2">
        <v>2</v>
      </c>
      <c r="OC221" s="2">
        <v>1.3</v>
      </c>
      <c r="OD221" s="2">
        <v>1.4</v>
      </c>
      <c r="OE221" s="2">
        <v>0.9</v>
      </c>
      <c r="OF221" s="2">
        <v>1.1</v>
      </c>
      <c r="OG221" s="2">
        <v>1.7</v>
      </c>
      <c r="OH221" s="2">
        <v>1.5</v>
      </c>
      <c r="OM221" s="2">
        <v>1.5</v>
      </c>
      <c r="ON221" s="2">
        <v>0.5</v>
      </c>
      <c r="OO221" s="2">
        <v>1.4</v>
      </c>
      <c r="OP221" s="2">
        <v>0.1</v>
      </c>
      <c r="OQ221" s="2">
        <v>1.1</v>
      </c>
      <c r="OR221" s="2">
        <v>0.8</v>
      </c>
      <c r="OS221" s="2">
        <v>1.6</v>
      </c>
      <c r="OT221" s="2">
        <v>1.5</v>
      </c>
      <c r="OU221" s="2">
        <v>2</v>
      </c>
      <c r="OV221" s="2">
        <v>2</v>
      </c>
      <c r="OW221" s="2">
        <v>2.2</v>
      </c>
      <c r="OX221" s="2">
        <v>1.1</v>
      </c>
      <c r="PC221" s="2">
        <v>1.4</v>
      </c>
      <c r="PD221" s="2">
        <v>0.8</v>
      </c>
      <c r="PE221" s="2">
        <v>0.7</v>
      </c>
      <c r="PF221" s="2">
        <v>1.4</v>
      </c>
      <c r="PG221" s="2">
        <v>1.5</v>
      </c>
      <c r="PH221" s="2">
        <v>1.2</v>
      </c>
      <c r="PI221" s="2">
        <v>0.7</v>
      </c>
    </row>
    <row r="222">
      <c r="A222" t="inlineStr">
        <is>
          <t>A130394820F</t>
        </is>
      </c>
      <c r="B222" t="inlineStr">
        <is>
          <t>Percentage Change from Corresponding Month of Previous Year ;  Oils and fats ;  Australia ;</t>
        </is>
      </c>
      <c r="C222" t="inlineStr">
        <is>
          <t>Month</t>
        </is>
      </c>
      <c r="D222" t="inlineStr">
        <is>
          <t>Percent</t>
        </is>
      </c>
      <c r="E222" t="inlineStr">
        <is>
          <t>Original</t>
        </is>
      </c>
      <c r="F222" t="inlineStr">
        <is>
          <t>640103.xlsx</t>
        </is>
      </c>
      <c r="G222" t="inlineStr">
        <is>
          <t>2018-09</t>
        </is>
      </c>
      <c r="H222" t="inlineStr">
        <is>
          <t>2026-07</t>
        </is>
      </c>
      <c r="KM222" s="2">
        <v>4.2</v>
      </c>
      <c r="KN222" s="2">
        <v>4.4</v>
      </c>
      <c r="KO222" s="2">
        <v>2.4</v>
      </c>
      <c r="KP222" s="2">
        <v>1.7</v>
      </c>
      <c r="KU222" s="2">
        <v>2.7</v>
      </c>
      <c r="KV222" s="2">
        <v>2.8</v>
      </c>
      <c r="KW222" s="2">
        <v>1.1</v>
      </c>
      <c r="KX222" s="2">
        <v>1.2</v>
      </c>
      <c r="KY222" s="2">
        <v>1.4</v>
      </c>
      <c r="KZ222" s="2">
        <v>2.4</v>
      </c>
      <c r="LA222" s="2">
        <v>1</v>
      </c>
      <c r="LB222" s="2">
        <v>-0.1</v>
      </c>
      <c r="LC222" s="2">
        <v>0.5</v>
      </c>
      <c r="LD222" s="2">
        <v>-0.3</v>
      </c>
      <c r="LE222" s="2">
        <v>0.4</v>
      </c>
      <c r="LF222" s="2">
        <v>-1</v>
      </c>
      <c r="LK222" s="2">
        <v>0.4</v>
      </c>
      <c r="LL222" s="2">
        <v>-0.5</v>
      </c>
      <c r="LM222" s="2">
        <v>3.7</v>
      </c>
      <c r="LN222" s="2">
        <v>6.8</v>
      </c>
      <c r="LO222" s="2">
        <v>4.1</v>
      </c>
      <c r="LP222" s="2">
        <v>1.2</v>
      </c>
      <c r="LQ222" s="2">
        <v>2.1</v>
      </c>
      <c r="LR222" s="2">
        <v>1.9</v>
      </c>
      <c r="LS222" s="2">
        <v>1</v>
      </c>
      <c r="LT222" s="2">
        <v>1.2</v>
      </c>
      <c r="LU222" s="2">
        <v>1.3</v>
      </c>
      <c r="LV222" s="2">
        <v>1</v>
      </c>
      <c r="MA222" s="2">
        <v>1.7</v>
      </c>
      <c r="MB222" s="2">
        <v>2.3</v>
      </c>
      <c r="MC222" s="2">
        <v>0.8</v>
      </c>
      <c r="MD222" s="2">
        <v>-3.2</v>
      </c>
      <c r="ME222" s="2">
        <v>-0.1</v>
      </c>
      <c r="MF222" s="2">
        <v>2.2</v>
      </c>
      <c r="MG222" s="2">
        <v>2.8</v>
      </c>
      <c r="MH222" s="2">
        <v>3.5</v>
      </c>
      <c r="MI222" s="2">
        <v>5.1</v>
      </c>
      <c r="MJ222" s="2">
        <v>4.5</v>
      </c>
      <c r="MK222" s="2">
        <v>5.3</v>
      </c>
      <c r="ML222" s="2">
        <v>4.7</v>
      </c>
      <c r="MQ222" s="2">
        <v>6</v>
      </c>
      <c r="MR222" s="2">
        <v>9</v>
      </c>
      <c r="MS222" s="2">
        <v>9.199999999999999</v>
      </c>
      <c r="MT222" s="2">
        <v>11.8</v>
      </c>
      <c r="MU222" s="2">
        <v>13</v>
      </c>
      <c r="MV222" s="2">
        <v>15.6</v>
      </c>
      <c r="MW222" s="2">
        <v>18</v>
      </c>
      <c r="MX222" s="2">
        <v>20.6</v>
      </c>
      <c r="MY222" s="2">
        <v>19.5</v>
      </c>
      <c r="MZ222" s="2">
        <v>18.9</v>
      </c>
      <c r="NA222" s="2">
        <v>20.3</v>
      </c>
      <c r="NB222" s="2">
        <v>23.4</v>
      </c>
      <c r="NG222" s="2">
        <v>20.6</v>
      </c>
      <c r="NH222" s="2">
        <v>19.1</v>
      </c>
      <c r="NI222" s="2">
        <v>18.2</v>
      </c>
      <c r="NJ222" s="2">
        <v>15.6</v>
      </c>
      <c r="NK222" s="2">
        <v>15.3</v>
      </c>
      <c r="NL222" s="2">
        <v>12.7</v>
      </c>
      <c r="NM222" s="2">
        <v>9.6</v>
      </c>
      <c r="NN222" s="2">
        <v>9.4</v>
      </c>
      <c r="NO222" s="2">
        <v>9</v>
      </c>
      <c r="NP222" s="2">
        <v>9.6</v>
      </c>
      <c r="NQ222" s="2">
        <v>9</v>
      </c>
      <c r="NR222" s="2">
        <v>6.7</v>
      </c>
      <c r="NW222" s="2">
        <v>8.4</v>
      </c>
      <c r="NX222" s="2">
        <v>7.9</v>
      </c>
      <c r="NY222" s="2">
        <v>6.4</v>
      </c>
      <c r="NZ222" s="2">
        <v>11</v>
      </c>
      <c r="OA222" s="2">
        <v>11.3</v>
      </c>
      <c r="OB222" s="2">
        <v>12.4</v>
      </c>
      <c r="OC222" s="2">
        <v>11</v>
      </c>
      <c r="OD222" s="2">
        <v>8.6</v>
      </c>
      <c r="OE222" s="2">
        <v>8.6</v>
      </c>
      <c r="OF222" s="2">
        <v>8.5</v>
      </c>
      <c r="OG222" s="2">
        <v>6.9</v>
      </c>
      <c r="OH222" s="2">
        <v>7.1</v>
      </c>
      <c r="OM222" s="2">
        <v>6</v>
      </c>
      <c r="ON222" s="2">
        <v>5.5</v>
      </c>
      <c r="OO222" s="2">
        <v>4.7</v>
      </c>
      <c r="OP222" s="2">
        <v>0.8</v>
      </c>
      <c r="OQ222" s="2">
        <v>0.5</v>
      </c>
      <c r="OR222" s="2">
        <v>-1.5</v>
      </c>
      <c r="OS222" s="2">
        <v>-1.4</v>
      </c>
      <c r="OT222" s="2">
        <v>-1.3</v>
      </c>
      <c r="OU222" s="2">
        <v>0.3</v>
      </c>
      <c r="OV222" s="2">
        <v>-1.6</v>
      </c>
      <c r="OW222" s="2">
        <v>-2</v>
      </c>
      <c r="OX222" s="2">
        <v>-2</v>
      </c>
      <c r="PC222" s="2">
        <v>-2.2</v>
      </c>
      <c r="PD222" s="2">
        <v>-1.2</v>
      </c>
      <c r="PE222" s="2">
        <v>0.1</v>
      </c>
      <c r="PF222" s="2">
        <v>-0.2</v>
      </c>
      <c r="PG222" s="2">
        <v>-0.4</v>
      </c>
      <c r="PH222" s="2">
        <v>2.3</v>
      </c>
      <c r="PI222" s="2">
        <v>2.2</v>
      </c>
    </row>
    <row r="223">
      <c r="A223" t="inlineStr">
        <is>
          <t>A130396255L</t>
        </is>
      </c>
      <c r="B223" t="inlineStr">
        <is>
          <t>Percentage Change from Corresponding Month of Previous Year ;  Snacks and confectionery ;  Australia ;</t>
        </is>
      </c>
      <c r="C223" t="inlineStr">
        <is>
          <t>Month</t>
        </is>
      </c>
      <c r="D223" t="inlineStr">
        <is>
          <t>Percent</t>
        </is>
      </c>
      <c r="E223" t="inlineStr">
        <is>
          <t>Original</t>
        </is>
      </c>
      <c r="F223" t="inlineStr">
        <is>
          <t>640103.xlsx</t>
        </is>
      </c>
      <c r="G223" t="inlineStr">
        <is>
          <t>2018-09</t>
        </is>
      </c>
      <c r="H223" t="inlineStr">
        <is>
          <t>2026-07</t>
        </is>
      </c>
      <c r="KM223" s="2">
        <v>-0.5</v>
      </c>
      <c r="KN223" s="2">
        <v>0.2</v>
      </c>
      <c r="KO223" s="2">
        <v>0.3</v>
      </c>
      <c r="KP223" s="2">
        <v>-0.2</v>
      </c>
      <c r="KU223" s="2">
        <v>0.2</v>
      </c>
      <c r="KV223" s="2">
        <v>0.7</v>
      </c>
      <c r="KW223" s="2">
        <v>1.2</v>
      </c>
      <c r="KX223" s="2">
        <v>0.4</v>
      </c>
      <c r="KY223" s="2">
        <v>1.1</v>
      </c>
      <c r="KZ223" s="2">
        <v>0.6</v>
      </c>
      <c r="LA223" s="2">
        <v>1.4</v>
      </c>
      <c r="LB223" s="2">
        <v>0.2</v>
      </c>
      <c r="LC223" s="2">
        <v>1.1</v>
      </c>
      <c r="LD223" s="2">
        <v>1.7</v>
      </c>
      <c r="LE223" s="2">
        <v>3.1</v>
      </c>
      <c r="LF223" s="2">
        <v>2.4</v>
      </c>
      <c r="LK223" s="2">
        <v>3.5</v>
      </c>
      <c r="LL223" s="2">
        <v>2.5</v>
      </c>
      <c r="LM223" s="2">
        <v>5.6</v>
      </c>
      <c r="LN223" s="2">
        <v>8</v>
      </c>
      <c r="LO223" s="2">
        <v>3.5</v>
      </c>
      <c r="LP223" s="2">
        <v>4</v>
      </c>
      <c r="LQ223" s="2">
        <v>3.5</v>
      </c>
      <c r="LR223" s="2">
        <v>4.2</v>
      </c>
      <c r="LS223" s="2">
        <v>4.3</v>
      </c>
      <c r="LT223" s="2">
        <v>3.9</v>
      </c>
      <c r="LU223" s="2">
        <v>2.6</v>
      </c>
      <c r="LV223" s="2">
        <v>3.4</v>
      </c>
      <c r="MA223" s="2">
        <v>2.7</v>
      </c>
      <c r="MB223" s="2">
        <v>1.8</v>
      </c>
      <c r="MC223" s="2">
        <v>-1</v>
      </c>
      <c r="MD223" s="2">
        <v>-3.5</v>
      </c>
      <c r="ME223" s="2">
        <v>0.1</v>
      </c>
      <c r="MF223" s="2">
        <v>1.1</v>
      </c>
      <c r="MG223" s="2">
        <v>0.3</v>
      </c>
      <c r="MH223" s="2">
        <v>0.4</v>
      </c>
      <c r="MI223" s="2">
        <v>1</v>
      </c>
      <c r="MJ223" s="2">
        <v>0.6</v>
      </c>
      <c r="MK223" s="2">
        <v>1</v>
      </c>
      <c r="ML223" s="2">
        <v>0.7</v>
      </c>
      <c r="MQ223" s="2">
        <v>1.7</v>
      </c>
      <c r="MR223" s="2">
        <v>3.1</v>
      </c>
      <c r="MS223" s="2">
        <v>4.4</v>
      </c>
      <c r="MT223" s="2">
        <v>4.6</v>
      </c>
      <c r="MU223" s="2">
        <v>4.5</v>
      </c>
      <c r="MV223" s="2">
        <v>5.5</v>
      </c>
      <c r="MW223" s="2">
        <v>6.3</v>
      </c>
      <c r="MX223" s="2">
        <v>7.7</v>
      </c>
      <c r="MY223" s="2">
        <v>9.199999999999999</v>
      </c>
      <c r="MZ223" s="2">
        <v>9</v>
      </c>
      <c r="NA223" s="2">
        <v>9</v>
      </c>
      <c r="NB223" s="2">
        <v>10.7</v>
      </c>
      <c r="NG223" s="2">
        <v>9.699999999999999</v>
      </c>
      <c r="NH223" s="2">
        <v>11.6</v>
      </c>
      <c r="NI223" s="2">
        <v>11.1</v>
      </c>
      <c r="NJ223" s="2">
        <v>11.1</v>
      </c>
      <c r="NK223" s="2">
        <v>12</v>
      </c>
      <c r="NL223" s="2">
        <v>10.8</v>
      </c>
      <c r="NM223" s="2">
        <v>8.800000000000001</v>
      </c>
      <c r="NN223" s="2">
        <v>6.5</v>
      </c>
      <c r="NO223" s="2">
        <v>6.5</v>
      </c>
      <c r="NP223" s="2">
        <v>5.5</v>
      </c>
      <c r="NQ223" s="2">
        <v>7.2</v>
      </c>
      <c r="NR223" s="2">
        <v>7.7</v>
      </c>
      <c r="NW223" s="2">
        <v>8.300000000000001</v>
      </c>
      <c r="NX223" s="2">
        <v>5.2</v>
      </c>
      <c r="NY223" s="2">
        <v>4.2</v>
      </c>
      <c r="NZ223" s="2">
        <v>5.2</v>
      </c>
      <c r="OA223" s="2">
        <v>4.8</v>
      </c>
      <c r="OB223" s="2">
        <v>3.7</v>
      </c>
      <c r="OC223" s="2">
        <v>5.6</v>
      </c>
      <c r="OD223" s="2">
        <v>5.2</v>
      </c>
      <c r="OE223" s="2">
        <v>4.8</v>
      </c>
      <c r="OF223" s="2">
        <v>4.3</v>
      </c>
      <c r="OG223" s="2">
        <v>3.6</v>
      </c>
      <c r="OH223" s="2">
        <v>3</v>
      </c>
      <c r="OM223" s="2">
        <v>3.5</v>
      </c>
      <c r="ON223" s="2">
        <v>3</v>
      </c>
      <c r="OO223" s="2">
        <v>3.9</v>
      </c>
      <c r="OP223" s="2">
        <v>5.3</v>
      </c>
      <c r="OQ223" s="2">
        <v>5.2</v>
      </c>
      <c r="OR223" s="2">
        <v>6.1</v>
      </c>
      <c r="OS223" s="2">
        <v>5.6</v>
      </c>
      <c r="OT223" s="2">
        <v>7.4</v>
      </c>
      <c r="OU223" s="2">
        <v>7.6</v>
      </c>
      <c r="OV223" s="2">
        <v>7.6</v>
      </c>
      <c r="OW223" s="2">
        <v>7.1</v>
      </c>
      <c r="OX223" s="2">
        <v>6.5</v>
      </c>
      <c r="PC223" s="2">
        <v>5.6</v>
      </c>
      <c r="PD223" s="2">
        <v>6.7</v>
      </c>
      <c r="PE223" s="2">
        <v>5.7</v>
      </c>
      <c r="PF223" s="2">
        <v>4.1</v>
      </c>
      <c r="PG223" s="2">
        <v>3</v>
      </c>
      <c r="PH223" s="2">
        <v>2.2</v>
      </c>
      <c r="PI223" s="2">
        <v>1.5</v>
      </c>
    </row>
    <row r="224">
      <c r="A224" t="inlineStr">
        <is>
          <t>A130390648T</t>
        </is>
      </c>
      <c r="B224" t="inlineStr">
        <is>
          <t>Percentage Change from Corresponding Month of Previous Year ;  Other food products n.e.c. ;  Australia ;</t>
        </is>
      </c>
      <c r="C224" t="inlineStr">
        <is>
          <t>Month</t>
        </is>
      </c>
      <c r="D224" t="inlineStr">
        <is>
          <t>Percent</t>
        </is>
      </c>
      <c r="E224" t="inlineStr">
        <is>
          <t>Original</t>
        </is>
      </c>
      <c r="F224" t="inlineStr">
        <is>
          <t>640103.xlsx</t>
        </is>
      </c>
      <c r="G224" t="inlineStr">
        <is>
          <t>2018-09</t>
        </is>
      </c>
      <c r="H224" t="inlineStr">
        <is>
          <t>2026-07</t>
        </is>
      </c>
      <c r="KM224" s="2">
        <v>-1.7</v>
      </c>
      <c r="KN224" s="2">
        <v>-1.1</v>
      </c>
      <c r="KO224" s="2">
        <v>-1.3</v>
      </c>
      <c r="KP224" s="2">
        <v>-0.6</v>
      </c>
      <c r="KU224" s="2">
        <v>-0.5</v>
      </c>
      <c r="KV224" s="2">
        <v>-0.2</v>
      </c>
      <c r="KW224" s="2">
        <v>-1.2</v>
      </c>
      <c r="KX224" s="2">
        <v>0.3</v>
      </c>
      <c r="KY224" s="2">
        <v>-0.4</v>
      </c>
      <c r="KZ224" s="2">
        <v>-0.7</v>
      </c>
      <c r="LA224" s="2">
        <v>0.1</v>
      </c>
      <c r="LB224" s="2">
        <v>-0.1</v>
      </c>
      <c r="LC224" s="2">
        <v>0.7</v>
      </c>
      <c r="LD224" s="2">
        <v>0.7</v>
      </c>
      <c r="LE224" s="2">
        <v>2</v>
      </c>
      <c r="LF224" s="2">
        <v>2.2</v>
      </c>
      <c r="LK224" s="2">
        <v>2.1</v>
      </c>
      <c r="LL224" s="2">
        <v>2.4</v>
      </c>
      <c r="LM224" s="2">
        <v>8</v>
      </c>
      <c r="LN224" s="2">
        <v>12.6</v>
      </c>
      <c r="LO224" s="2">
        <v>9.800000000000001</v>
      </c>
      <c r="LP224" s="2">
        <v>7.3</v>
      </c>
      <c r="LQ224" s="2">
        <v>6</v>
      </c>
      <c r="LR224" s="2">
        <v>4.6</v>
      </c>
      <c r="LS224" s="2">
        <v>4.6</v>
      </c>
      <c r="LT224" s="2">
        <v>5.2</v>
      </c>
      <c r="LU224" s="2">
        <v>3.6</v>
      </c>
      <c r="LV224" s="2">
        <v>3.6</v>
      </c>
      <c r="MA224" s="2">
        <v>3</v>
      </c>
      <c r="MB224" s="2">
        <v>3.4</v>
      </c>
      <c r="MC224" s="2">
        <v>-2.2</v>
      </c>
      <c r="MD224" s="2">
        <v>-5.6</v>
      </c>
      <c r="ME224" s="2">
        <v>-3</v>
      </c>
      <c r="MF224" s="2">
        <v>-0.8</v>
      </c>
      <c r="MG224" s="2">
        <v>0.6</v>
      </c>
      <c r="MH224" s="2">
        <v>2.3</v>
      </c>
      <c r="MI224" s="2">
        <v>2</v>
      </c>
      <c r="MJ224" s="2">
        <v>0.9</v>
      </c>
      <c r="MK224" s="2">
        <v>2</v>
      </c>
      <c r="ML224" s="2">
        <v>2.4</v>
      </c>
      <c r="MQ224" s="2">
        <v>3.6</v>
      </c>
      <c r="MR224" s="2">
        <v>5.3</v>
      </c>
      <c r="MS224" s="2">
        <v>5.9</v>
      </c>
      <c r="MT224" s="2">
        <v>5.6</v>
      </c>
      <c r="MU224" s="2">
        <v>7.9</v>
      </c>
      <c r="MV224" s="2">
        <v>7.2</v>
      </c>
      <c r="MW224" s="2">
        <v>8.1</v>
      </c>
      <c r="MX224" s="2">
        <v>10</v>
      </c>
      <c r="MY224" s="2">
        <v>10.3</v>
      </c>
      <c r="MZ224" s="2">
        <v>12.7</v>
      </c>
      <c r="NA224" s="2">
        <v>11.8</v>
      </c>
      <c r="NB224" s="2">
        <v>12</v>
      </c>
      <c r="NG224" s="2">
        <v>11.6</v>
      </c>
      <c r="NH224" s="2">
        <v>11.5</v>
      </c>
      <c r="NI224" s="2">
        <v>13.2</v>
      </c>
      <c r="NJ224" s="2">
        <v>13.6</v>
      </c>
      <c r="NK224" s="2">
        <v>11.9</v>
      </c>
      <c r="NL224" s="2">
        <v>12.5</v>
      </c>
      <c r="NM224" s="2">
        <v>9.5</v>
      </c>
      <c r="NN224" s="2">
        <v>7.4</v>
      </c>
      <c r="NO224" s="2">
        <v>7.3</v>
      </c>
      <c r="NP224" s="2">
        <v>5.5</v>
      </c>
      <c r="NQ224" s="2">
        <v>5.7</v>
      </c>
      <c r="NR224" s="2">
        <v>5.2</v>
      </c>
      <c r="NW224" s="2">
        <v>4.6</v>
      </c>
      <c r="NX224" s="2">
        <v>3.4</v>
      </c>
      <c r="NY224" s="2">
        <v>2.3</v>
      </c>
      <c r="NZ224" s="2">
        <v>-0.3</v>
      </c>
      <c r="OA224" s="2">
        <v>0.3</v>
      </c>
      <c r="OB224" s="2">
        <v>0.2</v>
      </c>
      <c r="OC224" s="2">
        <v>1.1</v>
      </c>
      <c r="OD224" s="2">
        <v>1.3</v>
      </c>
      <c r="OE224" s="2">
        <v>1.4</v>
      </c>
      <c r="OF224" s="2">
        <v>1.2</v>
      </c>
      <c r="OG224" s="2">
        <v>0.5</v>
      </c>
      <c r="OH224" s="2">
        <v>0.5</v>
      </c>
      <c r="OM224" s="2">
        <v>0.5</v>
      </c>
      <c r="ON224" s="2">
        <v>0.4</v>
      </c>
      <c r="OO224" s="2">
        <v>1</v>
      </c>
      <c r="OP224" s="2">
        <v>1.1</v>
      </c>
      <c r="OQ224" s="2">
        <v>1.2</v>
      </c>
      <c r="OR224" s="2">
        <v>1</v>
      </c>
      <c r="OS224" s="2">
        <v>1.1</v>
      </c>
      <c r="OT224" s="2">
        <v>0.7</v>
      </c>
      <c r="OU224" s="2">
        <v>1</v>
      </c>
      <c r="OV224" s="2">
        <v>0.8</v>
      </c>
      <c r="OW224" s="2">
        <v>1.1</v>
      </c>
      <c r="OX224" s="2">
        <v>1.2</v>
      </c>
      <c r="PC224" s="2">
        <v>1.4</v>
      </c>
      <c r="PD224" s="2">
        <v>0.3</v>
      </c>
      <c r="PE224" s="2">
        <v>0.7</v>
      </c>
      <c r="PF224" s="2">
        <v>1.6</v>
      </c>
      <c r="PG224" s="2">
        <v>1.1</v>
      </c>
      <c r="PH224" s="2">
        <v>0.7</v>
      </c>
      <c r="PI224" s="2">
        <v>0.6</v>
      </c>
    </row>
    <row r="225">
      <c r="A225" t="inlineStr">
        <is>
          <t>A130390228W</t>
        </is>
      </c>
      <c r="B225" t="inlineStr">
        <is>
          <t>Percentage Change from Corresponding Month of Previous Year ;  Non-alcoholic beverages ;  Australia ;</t>
        </is>
      </c>
      <c r="C225" t="inlineStr">
        <is>
          <t>Month</t>
        </is>
      </c>
      <c r="D225" t="inlineStr">
        <is>
          <t>Percent</t>
        </is>
      </c>
      <c r="E225" t="inlineStr">
        <is>
          <t>Original</t>
        </is>
      </c>
      <c r="F225" t="inlineStr">
        <is>
          <t>640103.xlsx</t>
        </is>
      </c>
      <c r="G225" t="inlineStr">
        <is>
          <t>2018-09</t>
        </is>
      </c>
      <c r="H225" t="inlineStr">
        <is>
          <t>2026-07</t>
        </is>
      </c>
      <c r="KM225" s="2">
        <v>1.8</v>
      </c>
      <c r="KN225" s="2">
        <v>1.5</v>
      </c>
      <c r="KO225" s="2">
        <v>3</v>
      </c>
      <c r="KP225" s="2">
        <v>0.6</v>
      </c>
      <c r="KU225" s="2">
        <v>0.4</v>
      </c>
      <c r="KV225" s="2">
        <v>1.7</v>
      </c>
      <c r="KW225" s="2">
        <v>1.7</v>
      </c>
      <c r="KX225" s="2">
        <v>0.7</v>
      </c>
      <c r="KY225" s="2">
        <v>1.9</v>
      </c>
      <c r="KZ225" s="2">
        <v>1.7</v>
      </c>
      <c r="LA225" s="2">
        <v>1.9</v>
      </c>
      <c r="LB225" s="2">
        <v>1.7</v>
      </c>
      <c r="LC225" s="2">
        <v>1.9</v>
      </c>
      <c r="LD225" s="2">
        <v>1.7</v>
      </c>
      <c r="LE225" s="2">
        <v>-0.3</v>
      </c>
      <c r="LF225" s="2">
        <v>-0.2</v>
      </c>
      <c r="LK225" s="2">
        <v>0</v>
      </c>
      <c r="LL225" s="2">
        <v>-0.6</v>
      </c>
      <c r="LM225" s="2">
        <v>2</v>
      </c>
      <c r="LN225" s="2">
        <v>5.1</v>
      </c>
      <c r="LO225" s="2">
        <v>2.6</v>
      </c>
      <c r="LP225" s="2">
        <v>2.3</v>
      </c>
      <c r="LQ225" s="2">
        <v>2.3</v>
      </c>
      <c r="LR225" s="2">
        <v>2.2</v>
      </c>
      <c r="LS225" s="2">
        <v>2.5</v>
      </c>
      <c r="LT225" s="2">
        <v>3.4</v>
      </c>
      <c r="LU225" s="2">
        <v>3.7</v>
      </c>
      <c r="LV225" s="2">
        <v>3</v>
      </c>
      <c r="MA225" s="2">
        <v>3</v>
      </c>
      <c r="MB225" s="2">
        <v>3.5</v>
      </c>
      <c r="MC225" s="2">
        <v>0.4</v>
      </c>
      <c r="MD225" s="2">
        <v>-1.8</v>
      </c>
      <c r="ME225" s="2">
        <v>0.5</v>
      </c>
      <c r="MF225" s="2">
        <v>1.6</v>
      </c>
      <c r="MG225" s="2">
        <v>0.8</v>
      </c>
      <c r="MH225" s="2">
        <v>1.5</v>
      </c>
      <c r="MI225" s="2">
        <v>1.6</v>
      </c>
      <c r="MJ225" s="2">
        <v>1.1</v>
      </c>
      <c r="MK225" s="2">
        <v>0.6</v>
      </c>
      <c r="ML225" s="2">
        <v>2.8</v>
      </c>
      <c r="MQ225" s="2">
        <v>3.7</v>
      </c>
      <c r="MR225" s="2">
        <v>7.7</v>
      </c>
      <c r="MS225" s="2">
        <v>8.300000000000001</v>
      </c>
      <c r="MT225" s="2">
        <v>8.1</v>
      </c>
      <c r="MU225" s="2">
        <v>7.5</v>
      </c>
      <c r="MV225" s="2">
        <v>7.9</v>
      </c>
      <c r="MW225" s="2">
        <v>8.300000000000001</v>
      </c>
      <c r="MX225" s="2">
        <v>9.6</v>
      </c>
      <c r="MY225" s="2">
        <v>10.4</v>
      </c>
      <c r="MZ225" s="2">
        <v>11.2</v>
      </c>
      <c r="NA225" s="2">
        <v>11.1</v>
      </c>
      <c r="NB225" s="2">
        <v>9.6</v>
      </c>
      <c r="NG225" s="2">
        <v>9.9</v>
      </c>
      <c r="NH225" s="2">
        <v>6.5</v>
      </c>
      <c r="NI225" s="2">
        <v>7.3</v>
      </c>
      <c r="NJ225" s="2">
        <v>9.699999999999999</v>
      </c>
      <c r="NK225" s="2">
        <v>9.199999999999999</v>
      </c>
      <c r="NL225" s="2">
        <v>6.8</v>
      </c>
      <c r="NM225" s="2">
        <v>6.8</v>
      </c>
      <c r="NN225" s="2">
        <v>5.1</v>
      </c>
      <c r="NO225" s="2">
        <v>4.9</v>
      </c>
      <c r="NP225" s="2">
        <v>3.4</v>
      </c>
      <c r="NQ225" s="2">
        <v>5.3</v>
      </c>
      <c r="NR225" s="2">
        <v>7</v>
      </c>
      <c r="NW225" s="2">
        <v>5.7</v>
      </c>
      <c r="NX225" s="2">
        <v>5</v>
      </c>
      <c r="NY225" s="2">
        <v>5.5</v>
      </c>
      <c r="NZ225" s="2">
        <v>2.8</v>
      </c>
      <c r="OA225" s="2">
        <v>3.8</v>
      </c>
      <c r="OB225" s="2">
        <v>6.1</v>
      </c>
      <c r="OC225" s="2">
        <v>4.9</v>
      </c>
      <c r="OD225" s="2">
        <v>5.1</v>
      </c>
      <c r="OE225" s="2">
        <v>3.9</v>
      </c>
      <c r="OF225" s="2">
        <v>4.6</v>
      </c>
      <c r="OG225" s="2">
        <v>3.6</v>
      </c>
      <c r="OH225" s="2">
        <v>3.1</v>
      </c>
      <c r="OM225" s="2">
        <v>2.7</v>
      </c>
      <c r="ON225" s="2">
        <v>4.3</v>
      </c>
      <c r="OO225" s="2">
        <v>3.9</v>
      </c>
      <c r="OP225" s="2">
        <v>3.9</v>
      </c>
      <c r="OQ225" s="2">
        <v>5.2</v>
      </c>
      <c r="OR225" s="2">
        <v>5.4</v>
      </c>
      <c r="OS225" s="2">
        <v>5.7</v>
      </c>
      <c r="OT225" s="2">
        <v>4.9</v>
      </c>
      <c r="OU225" s="2">
        <v>5.4</v>
      </c>
      <c r="OV225" s="2">
        <v>4.8</v>
      </c>
      <c r="OW225" s="2">
        <v>4.7</v>
      </c>
      <c r="OX225" s="2">
        <v>4</v>
      </c>
      <c r="PC225" s="2">
        <v>3.4</v>
      </c>
      <c r="PD225" s="2">
        <v>2</v>
      </c>
      <c r="PE225" s="2">
        <v>2.2</v>
      </c>
      <c r="PF225" s="2">
        <v>2</v>
      </c>
      <c r="PG225" s="2">
        <v>1.5</v>
      </c>
      <c r="PH225" s="2">
        <v>2</v>
      </c>
      <c r="PI225" s="2">
        <v>2</v>
      </c>
    </row>
    <row r="226">
      <c r="A226" t="inlineStr">
        <is>
          <t>A130390641A</t>
        </is>
      </c>
      <c r="B226" t="inlineStr">
        <is>
          <t>Percentage Change from Corresponding Month of Previous Year ;  Coffee, tea and cocoa ;  Australia ;</t>
        </is>
      </c>
      <c r="C226" t="inlineStr">
        <is>
          <t>Month</t>
        </is>
      </c>
      <c r="D226" t="inlineStr">
        <is>
          <t>Percent</t>
        </is>
      </c>
      <c r="E226" t="inlineStr">
        <is>
          <t>Original</t>
        </is>
      </c>
      <c r="F226" t="inlineStr">
        <is>
          <t>640103.xlsx</t>
        </is>
      </c>
      <c r="G226" t="inlineStr">
        <is>
          <t>2018-09</t>
        </is>
      </c>
      <c r="H226" t="inlineStr">
        <is>
          <t>2026-07</t>
        </is>
      </c>
      <c r="KM226" s="2">
        <v>0.8</v>
      </c>
      <c r="KN226" s="2">
        <v>0.1</v>
      </c>
      <c r="KO226" s="2">
        <v>0.8</v>
      </c>
      <c r="KP226" s="2">
        <v>2.2</v>
      </c>
      <c r="KU226" s="2">
        <v>-0.6</v>
      </c>
      <c r="KV226" s="2">
        <v>1.9</v>
      </c>
      <c r="KW226" s="2">
        <v>1.1</v>
      </c>
      <c r="KX226" s="2">
        <v>1.7</v>
      </c>
      <c r="KY226" s="2">
        <v>3.2</v>
      </c>
      <c r="KZ226" s="2">
        <v>0.9</v>
      </c>
      <c r="LA226" s="2">
        <v>-0.5</v>
      </c>
      <c r="LB226" s="2">
        <v>1.2</v>
      </c>
      <c r="LC226" s="2">
        <v>1.2</v>
      </c>
      <c r="LD226" s="2">
        <v>0.8</v>
      </c>
      <c r="LE226" s="2">
        <v>-0.4</v>
      </c>
      <c r="LF226" s="2">
        <v>-0.2</v>
      </c>
      <c r="LK226" s="2">
        <v>1.8</v>
      </c>
      <c r="LL226" s="2">
        <v>0.2</v>
      </c>
      <c r="LM226" s="2">
        <v>4.5</v>
      </c>
      <c r="LN226" s="2">
        <v>12.6</v>
      </c>
      <c r="LO226" s="2">
        <v>5.5</v>
      </c>
      <c r="LP226" s="2">
        <v>4.1</v>
      </c>
      <c r="LQ226" s="2">
        <v>4.9</v>
      </c>
      <c r="LR226" s="2">
        <v>2.7</v>
      </c>
      <c r="LS226" s="2">
        <v>4.4</v>
      </c>
      <c r="LT226" s="2">
        <v>5</v>
      </c>
      <c r="LU226" s="2">
        <v>2</v>
      </c>
      <c r="LV226" s="2">
        <v>1.5</v>
      </c>
      <c r="MA226" s="2">
        <v>1.1</v>
      </c>
      <c r="MB226" s="2">
        <v>0.7</v>
      </c>
      <c r="MC226" s="2">
        <v>-3.9</v>
      </c>
      <c r="MD226" s="2">
        <v>-9.199999999999999</v>
      </c>
      <c r="ME226" s="2">
        <v>-3.4</v>
      </c>
      <c r="MF226" s="2">
        <v>-0.5</v>
      </c>
      <c r="MG226" s="2">
        <v>-2.1</v>
      </c>
      <c r="MH226" s="2">
        <v>-0.8</v>
      </c>
      <c r="MI226" s="2">
        <v>-0.7</v>
      </c>
      <c r="MJ226" s="2">
        <v>0.2</v>
      </c>
      <c r="MK226" s="2">
        <v>1</v>
      </c>
      <c r="ML226" s="2">
        <v>2.4</v>
      </c>
      <c r="MQ226" s="2">
        <v>4.8</v>
      </c>
      <c r="MR226" s="2">
        <v>7.6</v>
      </c>
      <c r="MS226" s="2">
        <v>12.6</v>
      </c>
      <c r="MT226" s="2">
        <v>10.8</v>
      </c>
      <c r="MU226" s="2">
        <v>9.5</v>
      </c>
      <c r="MV226" s="2">
        <v>10</v>
      </c>
      <c r="MW226" s="2">
        <v>10.3</v>
      </c>
      <c r="MX226" s="2">
        <v>12</v>
      </c>
      <c r="MY226" s="2">
        <v>12.7</v>
      </c>
      <c r="MZ226" s="2">
        <v>11.2</v>
      </c>
      <c r="NA226" s="2">
        <v>14</v>
      </c>
      <c r="NB226" s="2">
        <v>12.4</v>
      </c>
      <c r="NG226" s="2">
        <v>9.9</v>
      </c>
      <c r="NH226" s="2">
        <v>9.9</v>
      </c>
      <c r="NI226" s="2">
        <v>4.2</v>
      </c>
      <c r="NJ226" s="2">
        <v>6.2</v>
      </c>
      <c r="NK226" s="2">
        <v>6.6</v>
      </c>
      <c r="NL226" s="2">
        <v>6.5</v>
      </c>
      <c r="NM226" s="2">
        <v>6.1</v>
      </c>
      <c r="NN226" s="2">
        <v>5</v>
      </c>
      <c r="NO226" s="2">
        <v>3.8</v>
      </c>
      <c r="NP226" s="2">
        <v>3.4</v>
      </c>
      <c r="NQ226" s="2">
        <v>2.5</v>
      </c>
      <c r="NR226" s="2">
        <v>4.3</v>
      </c>
      <c r="NW226" s="2">
        <v>1.2</v>
      </c>
      <c r="NX226" s="2">
        <v>0.4</v>
      </c>
      <c r="NY226" s="2">
        <v>3.1</v>
      </c>
      <c r="NZ226" s="2">
        <v>0.8</v>
      </c>
      <c r="OA226" s="2">
        <v>1.4</v>
      </c>
      <c r="OB226" s="2">
        <v>0.9</v>
      </c>
      <c r="OC226" s="2">
        <v>0.9</v>
      </c>
      <c r="OD226" s="2">
        <v>1.4</v>
      </c>
      <c r="OE226" s="2">
        <v>0.9</v>
      </c>
      <c r="OF226" s="2">
        <v>0.3</v>
      </c>
      <c r="OG226" s="2">
        <v>2.2</v>
      </c>
      <c r="OH226" s="2">
        <v>2.3</v>
      </c>
      <c r="OM226" s="2">
        <v>2.9</v>
      </c>
      <c r="ON226" s="2">
        <v>4.7</v>
      </c>
      <c r="OO226" s="2">
        <v>3.6</v>
      </c>
      <c r="OP226" s="2">
        <v>7.2</v>
      </c>
      <c r="OQ226" s="2">
        <v>8.4</v>
      </c>
      <c r="OR226" s="2">
        <v>12.6</v>
      </c>
      <c r="OS226" s="2">
        <v>14.4</v>
      </c>
      <c r="OT226" s="2">
        <v>13.9</v>
      </c>
      <c r="OU226" s="2">
        <v>15.7</v>
      </c>
      <c r="OV226" s="2">
        <v>16.4</v>
      </c>
      <c r="OW226" s="2">
        <v>15.2</v>
      </c>
      <c r="OX226" s="2">
        <v>15.3</v>
      </c>
      <c r="PC226" s="2">
        <v>13.5</v>
      </c>
      <c r="PD226" s="2">
        <v>11.4</v>
      </c>
      <c r="PE226" s="2">
        <v>10.7</v>
      </c>
      <c r="PF226" s="2">
        <v>9.1</v>
      </c>
      <c r="PG226" s="2">
        <v>7.3</v>
      </c>
      <c r="PH226" s="2">
        <v>5.1</v>
      </c>
      <c r="PI226" s="2">
        <v>1.8</v>
      </c>
    </row>
    <row r="227">
      <c r="A227" t="inlineStr">
        <is>
          <t>A130395212V</t>
        </is>
      </c>
      <c r="B227" t="inlineStr">
        <is>
          <t>Percentage Change from Corresponding Month of Previous Year ;  Waters, soft drinks and juices ;  Australia ;</t>
        </is>
      </c>
      <c r="C227" t="inlineStr">
        <is>
          <t>Month</t>
        </is>
      </c>
      <c r="D227" t="inlineStr">
        <is>
          <t>Percent</t>
        </is>
      </c>
      <c r="E227" t="inlineStr">
        <is>
          <t>Original</t>
        </is>
      </c>
      <c r="F227" t="inlineStr">
        <is>
          <t>640103.xlsx</t>
        </is>
      </c>
      <c r="G227" t="inlineStr">
        <is>
          <t>2018-09</t>
        </is>
      </c>
      <c r="H227" t="inlineStr">
        <is>
          <t>2026-07</t>
        </is>
      </c>
      <c r="KM227" s="2">
        <v>2.1</v>
      </c>
      <c r="KN227" s="2">
        <v>1.9</v>
      </c>
      <c r="KO227" s="2">
        <v>3.7</v>
      </c>
      <c r="KP227" s="2">
        <v>0.1</v>
      </c>
      <c r="KU227" s="2">
        <v>0.7</v>
      </c>
      <c r="KV227" s="2">
        <v>1.6</v>
      </c>
      <c r="KW227" s="2">
        <v>1.9</v>
      </c>
      <c r="KX227" s="2">
        <v>0.4</v>
      </c>
      <c r="KY227" s="2">
        <v>1.5</v>
      </c>
      <c r="KZ227" s="2">
        <v>1.9</v>
      </c>
      <c r="LA227" s="2">
        <v>2.6</v>
      </c>
      <c r="LB227" s="2">
        <v>1.8</v>
      </c>
      <c r="LC227" s="2">
        <v>2.1</v>
      </c>
      <c r="LD227" s="2">
        <v>2</v>
      </c>
      <c r="LE227" s="2">
        <v>-0.3</v>
      </c>
      <c r="LF227" s="2">
        <v>-0.1</v>
      </c>
      <c r="LK227" s="2">
        <v>-0.5</v>
      </c>
      <c r="LL227" s="2">
        <v>-0.9</v>
      </c>
      <c r="LM227" s="2">
        <v>1.3</v>
      </c>
      <c r="LN227" s="2">
        <v>2.9</v>
      </c>
      <c r="LO227" s="2">
        <v>1.8</v>
      </c>
      <c r="LP227" s="2">
        <v>1.8</v>
      </c>
      <c r="LQ227" s="2">
        <v>1.5</v>
      </c>
      <c r="LR227" s="2">
        <v>2.1</v>
      </c>
      <c r="LS227" s="2">
        <v>2</v>
      </c>
      <c r="LT227" s="2">
        <v>2.9</v>
      </c>
      <c r="LU227" s="2">
        <v>4.2</v>
      </c>
      <c r="LV227" s="2">
        <v>3.4</v>
      </c>
      <c r="MA227" s="2">
        <v>3.6</v>
      </c>
      <c r="MB227" s="2">
        <v>4.4</v>
      </c>
      <c r="MC227" s="2">
        <v>1.7</v>
      </c>
      <c r="MD227" s="2">
        <v>0.5</v>
      </c>
      <c r="ME227" s="2">
        <v>1.7</v>
      </c>
      <c r="MF227" s="2">
        <v>2.3</v>
      </c>
      <c r="MG227" s="2">
        <v>1.8</v>
      </c>
      <c r="MH227" s="2">
        <v>2.2</v>
      </c>
      <c r="MI227" s="2">
        <v>2.3</v>
      </c>
      <c r="MJ227" s="2">
        <v>1.3</v>
      </c>
      <c r="MK227" s="2">
        <v>0.5</v>
      </c>
      <c r="ML227" s="2">
        <v>3</v>
      </c>
      <c r="MQ227" s="2">
        <v>3.4</v>
      </c>
      <c r="MR227" s="2">
        <v>7.7</v>
      </c>
      <c r="MS227" s="2">
        <v>7.1</v>
      </c>
      <c r="MT227" s="2">
        <v>7.3</v>
      </c>
      <c r="MU227" s="2">
        <v>7</v>
      </c>
      <c r="MV227" s="2">
        <v>7.3</v>
      </c>
      <c r="MW227" s="2">
        <v>7.7</v>
      </c>
      <c r="MX227" s="2">
        <v>8.9</v>
      </c>
      <c r="MY227" s="2">
        <v>9.800000000000001</v>
      </c>
      <c r="MZ227" s="2">
        <v>11.1</v>
      </c>
      <c r="NA227" s="2">
        <v>10.3</v>
      </c>
      <c r="NB227" s="2">
        <v>8.699999999999999</v>
      </c>
      <c r="NG227" s="2">
        <v>9.9</v>
      </c>
      <c r="NH227" s="2">
        <v>5.6</v>
      </c>
      <c r="NI227" s="2">
        <v>8.199999999999999</v>
      </c>
      <c r="NJ227" s="2">
        <v>10.8</v>
      </c>
      <c r="NK227" s="2">
        <v>10</v>
      </c>
      <c r="NL227" s="2">
        <v>6.9</v>
      </c>
      <c r="NM227" s="2">
        <v>7</v>
      </c>
      <c r="NN227" s="2">
        <v>5.1</v>
      </c>
      <c r="NO227" s="2">
        <v>5.2</v>
      </c>
      <c r="NP227" s="2">
        <v>3.4</v>
      </c>
      <c r="NQ227" s="2">
        <v>6.2</v>
      </c>
      <c r="NR227" s="2">
        <v>7.9</v>
      </c>
      <c r="NW227" s="2">
        <v>7.1</v>
      </c>
      <c r="NX227" s="2">
        <v>6.3</v>
      </c>
      <c r="NY227" s="2">
        <v>6.2</v>
      </c>
      <c r="NZ227" s="2">
        <v>3.4</v>
      </c>
      <c r="OA227" s="2">
        <v>4.5</v>
      </c>
      <c r="OB227" s="2">
        <v>7.5</v>
      </c>
      <c r="OC227" s="2">
        <v>6.1</v>
      </c>
      <c r="OD227" s="2">
        <v>6.2</v>
      </c>
      <c r="OE227" s="2">
        <v>4.8</v>
      </c>
      <c r="OF227" s="2">
        <v>5.9</v>
      </c>
      <c r="OG227" s="2">
        <v>4</v>
      </c>
      <c r="OH227" s="2">
        <v>3.4</v>
      </c>
      <c r="OM227" s="2">
        <v>2.6</v>
      </c>
      <c r="ON227" s="2">
        <v>4.1</v>
      </c>
      <c r="OO227" s="2">
        <v>4</v>
      </c>
      <c r="OP227" s="2">
        <v>3</v>
      </c>
      <c r="OQ227" s="2">
        <v>4.3</v>
      </c>
      <c r="OR227" s="2">
        <v>3.5</v>
      </c>
      <c r="OS227" s="2">
        <v>3.3</v>
      </c>
      <c r="OT227" s="2">
        <v>2.5</v>
      </c>
      <c r="OU227" s="2">
        <v>2.6</v>
      </c>
      <c r="OV227" s="2">
        <v>1.7</v>
      </c>
      <c r="OW227" s="2">
        <v>1.8</v>
      </c>
      <c r="OX227" s="2">
        <v>0.9</v>
      </c>
      <c r="PC227" s="2">
        <v>0.6</v>
      </c>
      <c r="PD227" s="2">
        <v>-0.5</v>
      </c>
      <c r="PE227" s="2">
        <v>-0.1</v>
      </c>
      <c r="PF227" s="2">
        <v>0.1</v>
      </c>
      <c r="PG227" s="2">
        <v>-0.1</v>
      </c>
      <c r="PH227" s="2">
        <v>1.2</v>
      </c>
      <c r="PI227" s="2">
        <v>2</v>
      </c>
    </row>
    <row r="228">
      <c r="A228" t="inlineStr">
        <is>
          <t>A130390438V</t>
        </is>
      </c>
      <c r="B228" t="inlineStr">
        <is>
          <t>Percentage Change from Corresponding Month of Previous Year ;  Meals out and take away foods ;  Australia ;</t>
        </is>
      </c>
      <c r="C228" t="inlineStr">
        <is>
          <t>Month</t>
        </is>
      </c>
      <c r="D228" t="inlineStr">
        <is>
          <t>Percent</t>
        </is>
      </c>
      <c r="E228" t="inlineStr">
        <is>
          <t>Original</t>
        </is>
      </c>
      <c r="F228" t="inlineStr">
        <is>
          <t>640103.xlsx</t>
        </is>
      </c>
      <c r="G228" t="inlineStr">
        <is>
          <t>2025-04</t>
        </is>
      </c>
      <c r="H228" t="inlineStr">
        <is>
          <t>2026-07</t>
        </is>
      </c>
      <c r="OP228" s="2">
        <v>3</v>
      </c>
      <c r="OQ228" s="2">
        <v>2.8</v>
      </c>
      <c r="OR228" s="2">
        <v>3.4</v>
      </c>
      <c r="OS228" s="2">
        <v>2.9</v>
      </c>
      <c r="OT228" s="2">
        <v>3.4</v>
      </c>
      <c r="OU228" s="2">
        <v>3.6</v>
      </c>
      <c r="OV228" s="2">
        <v>3.6</v>
      </c>
      <c r="OW228" s="2">
        <v>3.5</v>
      </c>
      <c r="OX228" s="2">
        <v>3.5</v>
      </c>
      <c r="PC228" s="2">
        <v>3.9</v>
      </c>
      <c r="PD228" s="2">
        <v>3.7</v>
      </c>
      <c r="PE228" s="2">
        <v>3.9</v>
      </c>
      <c r="PF228" s="2">
        <v>3.7</v>
      </c>
      <c r="PG228" s="2">
        <v>4</v>
      </c>
      <c r="PH228" s="2">
        <v>4</v>
      </c>
      <c r="PI228" s="2">
        <v>4.5</v>
      </c>
    </row>
    <row r="229">
      <c r="A229" t="inlineStr">
        <is>
          <t>A130391943A</t>
        </is>
      </c>
      <c r="B229" t="inlineStr">
        <is>
          <t>Percentage Change from Corresponding Month of Previous Year ;  Restaurant meals ;  Australia ;</t>
        </is>
      </c>
      <c r="C229" t="inlineStr">
        <is>
          <t>Month</t>
        </is>
      </c>
      <c r="D229" t="inlineStr">
        <is>
          <t>Percent</t>
        </is>
      </c>
      <c r="E229" t="inlineStr">
        <is>
          <t>Original</t>
        </is>
      </c>
      <c r="F229" t="inlineStr">
        <is>
          <t>640103.xlsx</t>
        </is>
      </c>
      <c r="G229" t="inlineStr">
        <is>
          <t>2025-04</t>
        </is>
      </c>
      <c r="H229" t="inlineStr">
        <is>
          <t>2026-07</t>
        </is>
      </c>
      <c r="OP229" s="2">
        <v>2.8</v>
      </c>
      <c r="OQ229" s="2">
        <v>2.5</v>
      </c>
      <c r="OR229" s="2">
        <v>2.7</v>
      </c>
      <c r="OS229" s="2">
        <v>2.4</v>
      </c>
      <c r="OT229" s="2">
        <v>2.9</v>
      </c>
      <c r="OU229" s="2">
        <v>3.3</v>
      </c>
      <c r="OV229" s="2">
        <v>3.3</v>
      </c>
      <c r="OW229" s="2">
        <v>3.1</v>
      </c>
      <c r="OX229" s="2">
        <v>3.5</v>
      </c>
      <c r="PC229" s="2">
        <v>3.8</v>
      </c>
      <c r="PD229" s="2">
        <v>3.6</v>
      </c>
      <c r="PE229" s="2">
        <v>3.6</v>
      </c>
      <c r="PF229" s="2">
        <v>3.5</v>
      </c>
      <c r="PG229" s="2">
        <v>3.9</v>
      </c>
      <c r="PH229" s="2">
        <v>3.7</v>
      </c>
      <c r="PI229" s="2">
        <v>4.7</v>
      </c>
    </row>
    <row r="230">
      <c r="A230" t="inlineStr">
        <is>
          <t>A130390613T</t>
        </is>
      </c>
      <c r="B230" t="inlineStr">
        <is>
          <t>Percentage Change from Corresponding Month of Previous Year ;  Take away and fast foods ;  Australia ;</t>
        </is>
      </c>
      <c r="C230" t="inlineStr">
        <is>
          <t>Month</t>
        </is>
      </c>
      <c r="D230" t="inlineStr">
        <is>
          <t>Percent</t>
        </is>
      </c>
      <c r="E230" t="inlineStr">
        <is>
          <t>Original</t>
        </is>
      </c>
      <c r="F230" t="inlineStr">
        <is>
          <t>640103.xlsx</t>
        </is>
      </c>
      <c r="G230" t="inlineStr">
        <is>
          <t>2025-04</t>
        </is>
      </c>
      <c r="H230" t="inlineStr">
        <is>
          <t>2026-07</t>
        </is>
      </c>
      <c r="OP230" s="2">
        <v>3.1</v>
      </c>
      <c r="OQ230" s="2">
        <v>3.2</v>
      </c>
      <c r="OR230" s="2">
        <v>4.3</v>
      </c>
      <c r="OS230" s="2">
        <v>3.4</v>
      </c>
      <c r="OT230" s="2">
        <v>3.9</v>
      </c>
      <c r="OU230" s="2">
        <v>4</v>
      </c>
      <c r="OV230" s="2">
        <v>4</v>
      </c>
      <c r="OW230" s="2">
        <v>3.9</v>
      </c>
      <c r="OX230" s="2">
        <v>3.5</v>
      </c>
      <c r="PC230" s="2">
        <v>4.1</v>
      </c>
      <c r="PD230" s="2">
        <v>3.9</v>
      </c>
      <c r="PE230" s="2">
        <v>4.2</v>
      </c>
      <c r="PF230" s="2">
        <v>4</v>
      </c>
      <c r="PG230" s="2">
        <v>4.1</v>
      </c>
      <c r="PH230" s="2">
        <v>4.3</v>
      </c>
      <c r="PI230" s="2">
        <v>4.2</v>
      </c>
    </row>
    <row r="231">
      <c r="A231" t="inlineStr">
        <is>
          <t>A130393028J</t>
        </is>
      </c>
      <c r="B231" t="inlineStr">
        <is>
          <t>Percentage Change from Corresponding Month of Previous Year ;  Alcohol and tobacco ;  Australia ;</t>
        </is>
      </c>
      <c r="C231" t="inlineStr">
        <is>
          <t>Month</t>
        </is>
      </c>
      <c r="D231" t="inlineStr">
        <is>
          <t>Percent</t>
        </is>
      </c>
      <c r="E231" t="inlineStr">
        <is>
          <t>Original</t>
        </is>
      </c>
      <c r="F231" t="inlineStr">
        <is>
          <t>640103.xlsx</t>
        </is>
      </c>
      <c r="G231" t="inlineStr">
        <is>
          <t>2025-04</t>
        </is>
      </c>
      <c r="H231" t="inlineStr">
        <is>
          <t>2026-07</t>
        </is>
      </c>
      <c r="OP231" s="2">
        <v>5.6</v>
      </c>
      <c r="OQ231" s="2">
        <v>5.8</v>
      </c>
      <c r="OR231" s="2">
        <v>5.6</v>
      </c>
      <c r="OS231" s="2">
        <v>6.4</v>
      </c>
      <c r="OT231" s="2">
        <v>6</v>
      </c>
      <c r="OU231" s="2">
        <v>5.5</v>
      </c>
      <c r="OV231" s="2">
        <v>4.4</v>
      </c>
      <c r="OW231" s="2">
        <v>4.3</v>
      </c>
      <c r="OX231" s="2">
        <v>4.9</v>
      </c>
      <c r="PC231" s="2">
        <v>5</v>
      </c>
      <c r="PD231" s="2">
        <v>4.3</v>
      </c>
      <c r="PE231" s="2">
        <v>4.4</v>
      </c>
      <c r="PF231" s="2">
        <v>4.3</v>
      </c>
      <c r="PG231" s="2">
        <v>4.7</v>
      </c>
      <c r="PH231" s="2">
        <v>4.4</v>
      </c>
      <c r="PI231" s="2">
        <v>4.5</v>
      </c>
    </row>
    <row r="232">
      <c r="A232" t="inlineStr">
        <is>
          <t>A130394414X</t>
        </is>
      </c>
      <c r="B232" t="inlineStr">
        <is>
          <t>Percentage Change from Corresponding Month of Previous Year ;  Alcoholic beverages ;  Australia ;</t>
        </is>
      </c>
      <c r="C232" t="inlineStr">
        <is>
          <t>Month</t>
        </is>
      </c>
      <c r="D232" t="inlineStr">
        <is>
          <t>Percent</t>
        </is>
      </c>
      <c r="E232" t="inlineStr">
        <is>
          <t>Original</t>
        </is>
      </c>
      <c r="F232" t="inlineStr">
        <is>
          <t>640103.xlsx</t>
        </is>
      </c>
      <c r="G232" t="inlineStr">
        <is>
          <t>2025-04</t>
        </is>
      </c>
      <c r="H232" t="inlineStr">
        <is>
          <t>2026-07</t>
        </is>
      </c>
      <c r="OP232" s="2">
        <v>2.8</v>
      </c>
      <c r="OQ232" s="2">
        <v>3.3</v>
      </c>
      <c r="OR232" s="2">
        <v>3.2</v>
      </c>
      <c r="OS232" s="2">
        <v>3.8</v>
      </c>
      <c r="OT232" s="2">
        <v>3.1</v>
      </c>
      <c r="OU232" s="2">
        <v>2.2</v>
      </c>
      <c r="OV232" s="2">
        <v>1.6</v>
      </c>
      <c r="OW232" s="2">
        <v>1</v>
      </c>
      <c r="OX232" s="2">
        <v>1.8</v>
      </c>
      <c r="PC232" s="2">
        <v>2.3</v>
      </c>
      <c r="PD232" s="2">
        <v>1.4</v>
      </c>
      <c r="PE232" s="2">
        <v>1.7</v>
      </c>
      <c r="PF232" s="2">
        <v>1.6</v>
      </c>
      <c r="PG232" s="2">
        <v>2.2</v>
      </c>
      <c r="PH232" s="2">
        <v>1.6</v>
      </c>
      <c r="PI232" s="2">
        <v>1.8</v>
      </c>
    </row>
    <row r="233">
      <c r="A233" t="inlineStr">
        <is>
          <t>A130393441L</t>
        </is>
      </c>
      <c r="B233" t="inlineStr">
        <is>
          <t>Percentage Change from Corresponding Month of Previous Year ;  Spirits ;  Australia ;</t>
        </is>
      </c>
      <c r="C233" t="inlineStr">
        <is>
          <t>Month</t>
        </is>
      </c>
      <c r="D233" t="inlineStr">
        <is>
          <t>Percent</t>
        </is>
      </c>
      <c r="E233" t="inlineStr">
        <is>
          <t>Original</t>
        </is>
      </c>
      <c r="F233" t="inlineStr">
        <is>
          <t>640103.xlsx</t>
        </is>
      </c>
      <c r="G233" t="inlineStr">
        <is>
          <t>2018-09</t>
        </is>
      </c>
      <c r="H233" t="inlineStr">
        <is>
          <t>2026-07</t>
        </is>
      </c>
      <c r="KM233" s="2">
        <v>2</v>
      </c>
      <c r="KN233" s="2">
        <v>2.9</v>
      </c>
      <c r="KO233" s="2">
        <v>1.2</v>
      </c>
      <c r="KP233" s="2">
        <v>3.5</v>
      </c>
      <c r="KU233" s="2">
        <v>2.7</v>
      </c>
      <c r="KV233" s="2">
        <v>2.3</v>
      </c>
      <c r="KW233" s="2">
        <v>1.7</v>
      </c>
      <c r="KX233" s="2">
        <v>1.6</v>
      </c>
      <c r="KY233" s="2">
        <v>2.1</v>
      </c>
      <c r="KZ233" s="2">
        <v>1</v>
      </c>
      <c r="LA233" s="2">
        <v>1.8</v>
      </c>
      <c r="LB233" s="2">
        <v>2.5</v>
      </c>
      <c r="LC233" s="2">
        <v>1.8</v>
      </c>
      <c r="LD233" s="2">
        <v>1</v>
      </c>
      <c r="LE233" s="2">
        <v>2.5</v>
      </c>
      <c r="LF233" s="2">
        <v>1.7</v>
      </c>
      <c r="LK233" s="2">
        <v>2.4</v>
      </c>
      <c r="LL233" s="2">
        <v>2.3</v>
      </c>
      <c r="LM233" s="2">
        <v>3.4</v>
      </c>
      <c r="LN233" s="2">
        <v>2.5</v>
      </c>
      <c r="LO233" s="2">
        <v>3</v>
      </c>
      <c r="LP233" s="2">
        <v>1.7</v>
      </c>
      <c r="LQ233" s="2">
        <v>2</v>
      </c>
      <c r="LR233" s="2">
        <v>0.7</v>
      </c>
      <c r="LS233" s="2">
        <v>3.7</v>
      </c>
      <c r="LT233" s="2">
        <v>2</v>
      </c>
      <c r="LU233" s="2">
        <v>2.5</v>
      </c>
      <c r="LV233" s="2">
        <v>2</v>
      </c>
      <c r="MA233" s="2">
        <v>0.6</v>
      </c>
      <c r="MB233" s="2">
        <v>1.4</v>
      </c>
      <c r="MC233" s="2">
        <v>2.1</v>
      </c>
      <c r="MD233" s="2">
        <v>1.7</v>
      </c>
      <c r="ME233" s="2">
        <v>1</v>
      </c>
      <c r="MF233" s="2">
        <v>3</v>
      </c>
      <c r="MG233" s="2">
        <v>1.1</v>
      </c>
      <c r="MH233" s="2">
        <v>2.7</v>
      </c>
      <c r="MI233" s="2">
        <v>0</v>
      </c>
      <c r="MJ233" s="2">
        <v>2.7</v>
      </c>
      <c r="MK233" s="2">
        <v>1.6</v>
      </c>
      <c r="ML233" s="2">
        <v>2.8</v>
      </c>
      <c r="MQ233" s="2">
        <v>1.9</v>
      </c>
      <c r="MR233" s="2">
        <v>2.6</v>
      </c>
      <c r="MS233" s="2">
        <v>1.5</v>
      </c>
      <c r="MT233" s="2">
        <v>2.3</v>
      </c>
      <c r="MU233" s="2">
        <v>2.3</v>
      </c>
      <c r="MV233" s="2">
        <v>2.7</v>
      </c>
      <c r="MW233" s="2">
        <v>3.5</v>
      </c>
      <c r="MX233" s="2">
        <v>6.7</v>
      </c>
      <c r="MY233" s="2">
        <v>8</v>
      </c>
      <c r="MZ233" s="2">
        <v>6.9</v>
      </c>
      <c r="NA233" s="2">
        <v>8.199999999999999</v>
      </c>
      <c r="NB233" s="2">
        <v>7.4</v>
      </c>
      <c r="NG233" s="2">
        <v>8.1</v>
      </c>
      <c r="NH233" s="2">
        <v>10.2</v>
      </c>
      <c r="NI233" s="2">
        <v>11.1</v>
      </c>
      <c r="NJ233" s="2">
        <v>11</v>
      </c>
      <c r="NK233" s="2">
        <v>10.5</v>
      </c>
      <c r="NL233" s="2">
        <v>10.2</v>
      </c>
      <c r="NM233" s="2">
        <v>10.4</v>
      </c>
      <c r="NN233" s="2">
        <v>7.1</v>
      </c>
      <c r="NO233" s="2">
        <v>7.6</v>
      </c>
      <c r="NP233" s="2">
        <v>6.9</v>
      </c>
      <c r="NQ233" s="2">
        <v>4.6</v>
      </c>
      <c r="NR233" s="2">
        <v>5.6</v>
      </c>
      <c r="NW233" s="2">
        <v>4.9</v>
      </c>
      <c r="NX233" s="2">
        <v>2.6</v>
      </c>
      <c r="NY233" s="2">
        <v>2.9</v>
      </c>
      <c r="NZ233" s="2">
        <v>1.6</v>
      </c>
      <c r="OA233" s="2">
        <v>3.6</v>
      </c>
      <c r="OB233" s="2">
        <v>2.2</v>
      </c>
      <c r="OC233" s="2">
        <v>2.5</v>
      </c>
      <c r="OD233" s="2">
        <v>1.5</v>
      </c>
      <c r="OE233" s="2">
        <v>1.3</v>
      </c>
      <c r="OF233" s="2">
        <v>2.2</v>
      </c>
      <c r="OG233" s="2">
        <v>4.4</v>
      </c>
      <c r="OH233" s="2">
        <v>3.3</v>
      </c>
      <c r="OM233" s="2">
        <v>3.7</v>
      </c>
      <c r="ON233" s="2">
        <v>4.9</v>
      </c>
      <c r="OO233" s="2">
        <v>3.3</v>
      </c>
      <c r="OP233" s="2">
        <v>3.8</v>
      </c>
      <c r="OQ233" s="2">
        <v>2.3</v>
      </c>
      <c r="OR233" s="2">
        <v>4.4</v>
      </c>
      <c r="OS233" s="2">
        <v>3.8</v>
      </c>
      <c r="OT233" s="2">
        <v>3.9</v>
      </c>
      <c r="OU233" s="2">
        <v>3.1</v>
      </c>
      <c r="OV233" s="2">
        <v>2.4</v>
      </c>
      <c r="OW233" s="2">
        <v>1.8</v>
      </c>
      <c r="OX233" s="2">
        <v>1.9</v>
      </c>
      <c r="PC233" s="2">
        <v>3.3</v>
      </c>
      <c r="PD233" s="2">
        <v>0.9</v>
      </c>
      <c r="PE233" s="2">
        <v>2.1</v>
      </c>
      <c r="PF233" s="2">
        <v>2.1</v>
      </c>
      <c r="PG233" s="2">
        <v>3</v>
      </c>
      <c r="PH233" s="2">
        <v>2.1</v>
      </c>
      <c r="PI233" s="2">
        <v>2.5</v>
      </c>
    </row>
    <row r="234">
      <c r="A234" t="inlineStr">
        <is>
          <t>A130390893W</t>
        </is>
      </c>
      <c r="B234" t="inlineStr">
        <is>
          <t>Percentage Change from Corresponding Month of Previous Year ;  Wine ;  Australia ;</t>
        </is>
      </c>
      <c r="C234" t="inlineStr">
        <is>
          <t>Month</t>
        </is>
      </c>
      <c r="D234" t="inlineStr">
        <is>
          <t>Percent</t>
        </is>
      </c>
      <c r="E234" t="inlineStr">
        <is>
          <t>Original</t>
        </is>
      </c>
      <c r="F234" t="inlineStr">
        <is>
          <t>640103.xlsx</t>
        </is>
      </c>
      <c r="G234" t="inlineStr">
        <is>
          <t>2025-04</t>
        </is>
      </c>
      <c r="H234" t="inlineStr">
        <is>
          <t>2026-07</t>
        </is>
      </c>
      <c r="OP234" s="2">
        <v>1</v>
      </c>
      <c r="OQ234" s="2">
        <v>2.7</v>
      </c>
      <c r="OR234" s="2">
        <v>1.1</v>
      </c>
      <c r="OS234" s="2">
        <v>3.3</v>
      </c>
      <c r="OT234" s="2">
        <v>1.9</v>
      </c>
      <c r="OU234" s="2">
        <v>0.3</v>
      </c>
      <c r="OV234" s="2">
        <v>-0.7</v>
      </c>
      <c r="OW234" s="2">
        <v>-1.2</v>
      </c>
      <c r="OX234" s="2">
        <v>0.3</v>
      </c>
      <c r="PC234" s="2">
        <v>1.1</v>
      </c>
      <c r="PD234" s="2">
        <v>1.6</v>
      </c>
      <c r="PE234" s="2">
        <v>0.7</v>
      </c>
      <c r="PF234" s="2">
        <v>0.2</v>
      </c>
      <c r="PG234" s="2">
        <v>1.5</v>
      </c>
      <c r="PH234" s="2">
        <v>0.2</v>
      </c>
      <c r="PI234" s="2">
        <v>0</v>
      </c>
    </row>
    <row r="235">
      <c r="A235" t="inlineStr">
        <is>
          <t>A130393413C</t>
        </is>
      </c>
      <c r="B235" t="inlineStr">
        <is>
          <t>Percentage Change from Corresponding Month of Previous Year ;  Beer ;  Australia ;</t>
        </is>
      </c>
      <c r="C235" t="inlineStr">
        <is>
          <t>Month</t>
        </is>
      </c>
      <c r="D235" t="inlineStr">
        <is>
          <t>Percent</t>
        </is>
      </c>
      <c r="E235" t="inlineStr">
        <is>
          <t>Original</t>
        </is>
      </c>
      <c r="F235" t="inlineStr">
        <is>
          <t>640103.xlsx</t>
        </is>
      </c>
      <c r="G235" t="inlineStr">
        <is>
          <t>2018-09</t>
        </is>
      </c>
      <c r="H235" t="inlineStr">
        <is>
          <t>2026-07</t>
        </is>
      </c>
      <c r="KM235" s="2">
        <v>3.2</v>
      </c>
      <c r="KN235" s="2">
        <v>4.6</v>
      </c>
      <c r="KO235" s="2">
        <v>3.4</v>
      </c>
      <c r="KP235" s="2">
        <v>2.5</v>
      </c>
      <c r="KU235" s="2">
        <v>2.3</v>
      </c>
      <c r="KV235" s="2">
        <v>2.5</v>
      </c>
      <c r="KW235" s="2">
        <v>2.9</v>
      </c>
      <c r="KX235" s="2">
        <v>2.2</v>
      </c>
      <c r="KY235" s="2">
        <v>2.5</v>
      </c>
      <c r="KZ235" s="2">
        <v>2.9</v>
      </c>
      <c r="LA235" s="2">
        <v>2.6</v>
      </c>
      <c r="LB235" s="2">
        <v>1.2</v>
      </c>
      <c r="LC235" s="2">
        <v>2.8</v>
      </c>
      <c r="LD235" s="2">
        <v>1.5</v>
      </c>
      <c r="LE235" s="2">
        <v>2.1</v>
      </c>
      <c r="LF235" s="2">
        <v>2.7</v>
      </c>
      <c r="LK235" s="2">
        <v>2.2</v>
      </c>
      <c r="LL235" s="2">
        <v>2.2</v>
      </c>
      <c r="LM235" s="2">
        <v>2.1</v>
      </c>
      <c r="LN235" s="2">
        <v>3.1</v>
      </c>
      <c r="LO235" s="2">
        <v>2.1</v>
      </c>
      <c r="LP235" s="2">
        <v>2.2</v>
      </c>
      <c r="LQ235" s="2">
        <v>1.5</v>
      </c>
      <c r="LR235" s="2">
        <v>1.9</v>
      </c>
      <c r="LS235" s="2">
        <v>1.3</v>
      </c>
      <c r="LT235" s="2">
        <v>1.9</v>
      </c>
      <c r="LU235" s="2">
        <v>1.6</v>
      </c>
      <c r="LV235" s="2">
        <v>1.9</v>
      </c>
      <c r="MA235" s="2">
        <v>1.2</v>
      </c>
      <c r="MB235" s="2">
        <v>1.5</v>
      </c>
      <c r="MC235" s="2">
        <v>1.7</v>
      </c>
      <c r="MD235" s="2">
        <v>0.8</v>
      </c>
      <c r="ME235" s="2">
        <v>2</v>
      </c>
      <c r="MF235" s="2">
        <v>1.9</v>
      </c>
      <c r="MG235" s="2">
        <v>1.8</v>
      </c>
      <c r="MH235" s="2">
        <v>0.7</v>
      </c>
      <c r="MI235" s="2">
        <v>1.4</v>
      </c>
      <c r="MJ235" s="2">
        <v>1.4</v>
      </c>
      <c r="MK235" s="2">
        <v>2.2</v>
      </c>
      <c r="ML235" s="2">
        <v>1.5</v>
      </c>
      <c r="MQ235" s="2">
        <v>2.3</v>
      </c>
      <c r="MR235" s="2">
        <v>1.6</v>
      </c>
      <c r="MS235" s="2">
        <v>0.8</v>
      </c>
      <c r="MT235" s="2">
        <v>1.4</v>
      </c>
      <c r="MU235" s="2">
        <v>1.3</v>
      </c>
      <c r="MV235" s="2">
        <v>0.9</v>
      </c>
      <c r="MW235" s="2">
        <v>1.5</v>
      </c>
      <c r="MX235" s="2">
        <v>4</v>
      </c>
      <c r="MY235" s="2">
        <v>4.1</v>
      </c>
      <c r="MZ235" s="2">
        <v>4.2</v>
      </c>
      <c r="NA235" s="2">
        <v>4.1</v>
      </c>
      <c r="NB235" s="2">
        <v>4.4</v>
      </c>
      <c r="NG235" s="2">
        <v>4.2</v>
      </c>
      <c r="NH235" s="2">
        <v>5.6</v>
      </c>
      <c r="NI235" s="2">
        <v>6.4</v>
      </c>
      <c r="NJ235" s="2">
        <v>6.2</v>
      </c>
      <c r="NK235" s="2">
        <v>6.2</v>
      </c>
      <c r="NL235" s="2">
        <v>6.5</v>
      </c>
      <c r="NM235" s="2">
        <v>6.5</v>
      </c>
      <c r="NN235" s="2">
        <v>6.5</v>
      </c>
      <c r="NO235" s="2">
        <v>7.3</v>
      </c>
      <c r="NP235" s="2">
        <v>6.6</v>
      </c>
      <c r="NQ235" s="2">
        <v>7.1</v>
      </c>
      <c r="NR235" s="2">
        <v>7</v>
      </c>
      <c r="NW235" s="2">
        <v>7</v>
      </c>
      <c r="NX235" s="2">
        <v>6</v>
      </c>
      <c r="NY235" s="2">
        <v>5.9</v>
      </c>
      <c r="NZ235" s="2">
        <v>5.4</v>
      </c>
      <c r="OA235" s="2">
        <v>5.1</v>
      </c>
      <c r="OB235" s="2">
        <v>5.3</v>
      </c>
      <c r="OC235" s="2">
        <v>6</v>
      </c>
      <c r="OD235" s="2">
        <v>4.5</v>
      </c>
      <c r="OE235" s="2">
        <v>4</v>
      </c>
      <c r="OF235" s="2">
        <v>4.4</v>
      </c>
      <c r="OG235" s="2">
        <v>4.1</v>
      </c>
      <c r="OH235" s="2">
        <v>4.3</v>
      </c>
      <c r="OM235" s="2">
        <v>4.2</v>
      </c>
      <c r="ON235" s="2">
        <v>4.9</v>
      </c>
      <c r="OO235" s="2">
        <v>4.2</v>
      </c>
      <c r="OP235" s="2">
        <v>3.8</v>
      </c>
      <c r="OQ235" s="2">
        <v>4.2</v>
      </c>
      <c r="OR235" s="2">
        <v>4.3</v>
      </c>
      <c r="OS235" s="2">
        <v>4.2</v>
      </c>
      <c r="OT235" s="2">
        <v>3.7</v>
      </c>
      <c r="OU235" s="2">
        <v>3.2</v>
      </c>
      <c r="OV235" s="2">
        <v>3</v>
      </c>
      <c r="OW235" s="2">
        <v>2.5</v>
      </c>
      <c r="OX235" s="2">
        <v>2.9</v>
      </c>
      <c r="PC235" s="2">
        <v>2.8</v>
      </c>
      <c r="PD235" s="2">
        <v>1.5</v>
      </c>
      <c r="PE235" s="2">
        <v>2.3</v>
      </c>
      <c r="PF235" s="2">
        <v>2.6</v>
      </c>
      <c r="PG235" s="2">
        <v>2.4</v>
      </c>
      <c r="PH235" s="2">
        <v>2.6</v>
      </c>
      <c r="PI235" s="2">
        <v>3</v>
      </c>
    </row>
    <row r="236">
      <c r="A236" t="inlineStr">
        <is>
          <t>A130398013J</t>
        </is>
      </c>
      <c r="B236" t="inlineStr">
        <is>
          <t>Percentage Change from Corresponding Month of Previous Year ;  Tobacco ;  Australia ;</t>
        </is>
      </c>
      <c r="C236" t="inlineStr">
        <is>
          <t>Month</t>
        </is>
      </c>
      <c r="D236" t="inlineStr">
        <is>
          <t>Percent</t>
        </is>
      </c>
      <c r="E236" t="inlineStr">
        <is>
          <t>Original</t>
        </is>
      </c>
      <c r="F236" t="inlineStr">
        <is>
          <t>640103.xlsx</t>
        </is>
      </c>
      <c r="G236" t="inlineStr">
        <is>
          <t>2018-09</t>
        </is>
      </c>
      <c r="H236" t="inlineStr">
        <is>
          <t>2026-07</t>
        </is>
      </c>
      <c r="KM236" s="2">
        <v>12.8</v>
      </c>
      <c r="KN236" s="2">
        <v>14.4</v>
      </c>
      <c r="KO236" s="2">
        <v>16</v>
      </c>
      <c r="KP236" s="2">
        <v>14.9</v>
      </c>
      <c r="KU236" s="2">
        <v>13.9</v>
      </c>
      <c r="KV236" s="2">
        <v>14.6</v>
      </c>
      <c r="KW236" s="2">
        <v>13.7</v>
      </c>
      <c r="KX236" s="2">
        <v>14</v>
      </c>
      <c r="KY236" s="2">
        <v>13.6</v>
      </c>
      <c r="KZ236" s="2">
        <v>14.5</v>
      </c>
      <c r="LA236" s="2">
        <v>15.3</v>
      </c>
      <c r="LB236" s="2">
        <v>14.7</v>
      </c>
      <c r="LC236" s="2">
        <v>16.3</v>
      </c>
      <c r="LD236" s="2">
        <v>14.3</v>
      </c>
      <c r="LE236" s="2">
        <v>13.2</v>
      </c>
      <c r="LF236" s="2">
        <v>14.2</v>
      </c>
      <c r="LK236" s="2">
        <v>15.8</v>
      </c>
      <c r="LL236" s="2">
        <v>16.6</v>
      </c>
      <c r="LM236" s="2">
        <v>17.8</v>
      </c>
      <c r="LN236" s="2">
        <v>17.2</v>
      </c>
      <c r="LO236" s="2">
        <v>17</v>
      </c>
      <c r="LP236" s="2">
        <v>16.8</v>
      </c>
      <c r="LQ236" s="2">
        <v>16.3</v>
      </c>
      <c r="LR236" s="2">
        <v>16.6</v>
      </c>
      <c r="LS236" s="2">
        <v>18.1</v>
      </c>
      <c r="LT236" s="2">
        <v>20.4</v>
      </c>
      <c r="LU236" s="2">
        <v>20.4</v>
      </c>
      <c r="LV236" s="2">
        <v>19.2</v>
      </c>
      <c r="MA236" s="2">
        <v>18.1</v>
      </c>
      <c r="MB236" s="2">
        <v>17.1</v>
      </c>
      <c r="MC236" s="2">
        <v>15.1</v>
      </c>
      <c r="MD236" s="2">
        <v>14.5</v>
      </c>
      <c r="ME236" s="2">
        <v>14.7</v>
      </c>
      <c r="MF236" s="2">
        <v>13.7</v>
      </c>
      <c r="MG236" s="2">
        <v>12.4</v>
      </c>
      <c r="MH236" s="2">
        <v>12</v>
      </c>
      <c r="MI236" s="2">
        <v>4.9</v>
      </c>
      <c r="MJ236" s="2">
        <v>0.5</v>
      </c>
      <c r="MK236" s="2">
        <v>0.4</v>
      </c>
      <c r="ML236" s="2">
        <v>1.5</v>
      </c>
      <c r="MQ236" s="2">
        <v>2</v>
      </c>
      <c r="MR236" s="2">
        <v>2.5</v>
      </c>
      <c r="MS236" s="2">
        <v>3.8</v>
      </c>
      <c r="MT236" s="2">
        <v>3.6</v>
      </c>
      <c r="MU236" s="2">
        <v>2.9</v>
      </c>
      <c r="MV236" s="2">
        <v>3.5</v>
      </c>
      <c r="MW236" s="2">
        <v>4.4</v>
      </c>
      <c r="MX236" s="2">
        <v>5.1</v>
      </c>
      <c r="MY236" s="2">
        <v>5.6</v>
      </c>
      <c r="MZ236" s="2">
        <v>5.3</v>
      </c>
      <c r="NA236" s="2">
        <v>4.6</v>
      </c>
      <c r="NB236" s="2">
        <v>4</v>
      </c>
      <c r="NG236" s="2">
        <v>3.9</v>
      </c>
      <c r="NH236" s="2">
        <v>4.1</v>
      </c>
      <c r="NI236" s="2">
        <v>3.9</v>
      </c>
      <c r="NJ236" s="2">
        <v>4.3</v>
      </c>
      <c r="NK236" s="2">
        <v>4.1</v>
      </c>
      <c r="NL236" s="2">
        <v>3.8</v>
      </c>
      <c r="NM236" s="2">
        <v>3.6</v>
      </c>
      <c r="NN236" s="2">
        <v>3.7</v>
      </c>
      <c r="NO236" s="2">
        <v>7.5</v>
      </c>
      <c r="NP236" s="2">
        <v>10.4</v>
      </c>
      <c r="NQ236" s="2">
        <v>10.5</v>
      </c>
      <c r="NR236" s="2">
        <v>10.8</v>
      </c>
      <c r="NW236" s="2">
        <v>10.7</v>
      </c>
      <c r="NX236" s="2">
        <v>10.7</v>
      </c>
      <c r="NY236" s="2">
        <v>12.4</v>
      </c>
      <c r="NZ236" s="2">
        <v>13</v>
      </c>
      <c r="OA236" s="2">
        <v>13.4</v>
      </c>
      <c r="OB236" s="2">
        <v>13.8</v>
      </c>
      <c r="OC236" s="2">
        <v>13.9</v>
      </c>
      <c r="OD236" s="2">
        <v>13.4</v>
      </c>
      <c r="OE236" s="2">
        <v>12.9</v>
      </c>
      <c r="OF236" s="2">
        <v>12.2</v>
      </c>
      <c r="OG236" s="2">
        <v>12.2</v>
      </c>
      <c r="OH236" s="2">
        <v>12.1</v>
      </c>
      <c r="OM236" s="2">
        <v>12.6</v>
      </c>
      <c r="ON236" s="2">
        <v>13.2</v>
      </c>
      <c r="OO236" s="2">
        <v>12.2</v>
      </c>
      <c r="OP236" s="2">
        <v>12</v>
      </c>
      <c r="OQ236" s="2">
        <v>11.6</v>
      </c>
      <c r="OR236" s="2">
        <v>11.1</v>
      </c>
      <c r="OS236" s="2">
        <v>12.4</v>
      </c>
      <c r="OT236" s="2">
        <v>12.6</v>
      </c>
      <c r="OU236" s="2">
        <v>13.5</v>
      </c>
      <c r="OV236" s="2">
        <v>11.6</v>
      </c>
      <c r="OW236" s="2">
        <v>12.2</v>
      </c>
      <c r="OX236" s="2">
        <v>12.5</v>
      </c>
      <c r="PC236" s="2">
        <v>11.8</v>
      </c>
      <c r="PD236" s="2">
        <v>11.5</v>
      </c>
      <c r="PE236" s="2">
        <v>11.2</v>
      </c>
      <c r="PF236" s="2">
        <v>10.7</v>
      </c>
      <c r="PG236" s="2">
        <v>10.9</v>
      </c>
      <c r="PH236" s="2">
        <v>11.2</v>
      </c>
      <c r="PI236" s="2">
        <v>11.1</v>
      </c>
    </row>
    <row r="237">
      <c r="A237" t="inlineStr">
        <is>
          <t>A130397116F</t>
        </is>
      </c>
      <c r="B237" t="inlineStr">
        <is>
          <t>Percentage Change from Corresponding Month of Previous Year ;  Tobacco ;  Australia ;</t>
        </is>
      </c>
      <c r="C237" t="inlineStr">
        <is>
          <t>Month</t>
        </is>
      </c>
      <c r="D237" t="inlineStr">
        <is>
          <t>Percent</t>
        </is>
      </c>
      <c r="E237" t="inlineStr">
        <is>
          <t>Original</t>
        </is>
      </c>
      <c r="F237" t="inlineStr">
        <is>
          <t>640103.xlsx</t>
        </is>
      </c>
      <c r="G237" t="inlineStr">
        <is>
          <t>2018-09</t>
        </is>
      </c>
      <c r="H237" t="inlineStr">
        <is>
          <t>2026-07</t>
        </is>
      </c>
      <c r="KM237" s="2">
        <v>12.8</v>
      </c>
      <c r="KN237" s="2">
        <v>14.4</v>
      </c>
      <c r="KO237" s="2">
        <v>16</v>
      </c>
      <c r="KP237" s="2">
        <v>14.9</v>
      </c>
      <c r="KU237" s="2">
        <v>13.9</v>
      </c>
      <c r="KV237" s="2">
        <v>14.6</v>
      </c>
      <c r="KW237" s="2">
        <v>13.7</v>
      </c>
      <c r="KX237" s="2">
        <v>14</v>
      </c>
      <c r="KY237" s="2">
        <v>13.6</v>
      </c>
      <c r="KZ237" s="2">
        <v>14.5</v>
      </c>
      <c r="LA237" s="2">
        <v>15.3</v>
      </c>
      <c r="LB237" s="2">
        <v>14.7</v>
      </c>
      <c r="LC237" s="2">
        <v>16.3</v>
      </c>
      <c r="LD237" s="2">
        <v>14.3</v>
      </c>
      <c r="LE237" s="2">
        <v>13.2</v>
      </c>
      <c r="LF237" s="2">
        <v>14.2</v>
      </c>
      <c r="LK237" s="2">
        <v>15.8</v>
      </c>
      <c r="LL237" s="2">
        <v>16.6</v>
      </c>
      <c r="LM237" s="2">
        <v>17.8</v>
      </c>
      <c r="LN237" s="2">
        <v>17.2</v>
      </c>
      <c r="LO237" s="2">
        <v>17</v>
      </c>
      <c r="LP237" s="2">
        <v>16.8</v>
      </c>
      <c r="LQ237" s="2">
        <v>16.3</v>
      </c>
      <c r="LR237" s="2">
        <v>16.6</v>
      </c>
      <c r="LS237" s="2">
        <v>18.1</v>
      </c>
      <c r="LT237" s="2">
        <v>20.4</v>
      </c>
      <c r="LU237" s="2">
        <v>20.4</v>
      </c>
      <c r="LV237" s="2">
        <v>19.2</v>
      </c>
      <c r="MA237" s="2">
        <v>18.1</v>
      </c>
      <c r="MB237" s="2">
        <v>17.1</v>
      </c>
      <c r="MC237" s="2">
        <v>15.1</v>
      </c>
      <c r="MD237" s="2">
        <v>14.5</v>
      </c>
      <c r="ME237" s="2">
        <v>14.7</v>
      </c>
      <c r="MF237" s="2">
        <v>13.7</v>
      </c>
      <c r="MG237" s="2">
        <v>12.4</v>
      </c>
      <c r="MH237" s="2">
        <v>12</v>
      </c>
      <c r="MI237" s="2">
        <v>4.9</v>
      </c>
      <c r="MJ237" s="2">
        <v>0.5</v>
      </c>
      <c r="MK237" s="2">
        <v>0.4</v>
      </c>
      <c r="ML237" s="2">
        <v>1.5</v>
      </c>
      <c r="MQ237" s="2">
        <v>2</v>
      </c>
      <c r="MR237" s="2">
        <v>2.5</v>
      </c>
      <c r="MS237" s="2">
        <v>3.8</v>
      </c>
      <c r="MT237" s="2">
        <v>3.6</v>
      </c>
      <c r="MU237" s="2">
        <v>2.9</v>
      </c>
      <c r="MV237" s="2">
        <v>3.5</v>
      </c>
      <c r="MW237" s="2">
        <v>4.4</v>
      </c>
      <c r="MX237" s="2">
        <v>5.1</v>
      </c>
      <c r="MY237" s="2">
        <v>5.6</v>
      </c>
      <c r="MZ237" s="2">
        <v>5.3</v>
      </c>
      <c r="NA237" s="2">
        <v>4.6</v>
      </c>
      <c r="NB237" s="2">
        <v>4</v>
      </c>
      <c r="NG237" s="2">
        <v>3.9</v>
      </c>
      <c r="NH237" s="2">
        <v>4.1</v>
      </c>
      <c r="NI237" s="2">
        <v>3.9</v>
      </c>
      <c r="NJ237" s="2">
        <v>4.3</v>
      </c>
      <c r="NK237" s="2">
        <v>4.1</v>
      </c>
      <c r="NL237" s="2">
        <v>3.8</v>
      </c>
      <c r="NM237" s="2">
        <v>3.6</v>
      </c>
      <c r="NN237" s="2">
        <v>3.7</v>
      </c>
      <c r="NO237" s="2">
        <v>7.5</v>
      </c>
      <c r="NP237" s="2">
        <v>10.4</v>
      </c>
      <c r="NQ237" s="2">
        <v>10.5</v>
      </c>
      <c r="NR237" s="2">
        <v>10.8</v>
      </c>
      <c r="NW237" s="2">
        <v>10.7</v>
      </c>
      <c r="NX237" s="2">
        <v>10.7</v>
      </c>
      <c r="NY237" s="2">
        <v>12.4</v>
      </c>
      <c r="NZ237" s="2">
        <v>13</v>
      </c>
      <c r="OA237" s="2">
        <v>13.4</v>
      </c>
      <c r="OB237" s="2">
        <v>13.8</v>
      </c>
      <c r="OC237" s="2">
        <v>13.9</v>
      </c>
      <c r="OD237" s="2">
        <v>13.4</v>
      </c>
      <c r="OE237" s="2">
        <v>12.9</v>
      </c>
      <c r="OF237" s="2">
        <v>12.2</v>
      </c>
      <c r="OG237" s="2">
        <v>12.2</v>
      </c>
      <c r="OH237" s="2">
        <v>12.1</v>
      </c>
      <c r="OM237" s="2">
        <v>12.6</v>
      </c>
      <c r="ON237" s="2">
        <v>13.2</v>
      </c>
      <c r="OO237" s="2">
        <v>12.2</v>
      </c>
      <c r="OP237" s="2">
        <v>12</v>
      </c>
      <c r="OQ237" s="2">
        <v>11.6</v>
      </c>
      <c r="OR237" s="2">
        <v>11.1</v>
      </c>
      <c r="OS237" s="2">
        <v>12.4</v>
      </c>
      <c r="OT237" s="2">
        <v>12.6</v>
      </c>
      <c r="OU237" s="2">
        <v>13.5</v>
      </c>
      <c r="OV237" s="2">
        <v>11.6</v>
      </c>
      <c r="OW237" s="2">
        <v>12.2</v>
      </c>
      <c r="OX237" s="2">
        <v>12.5</v>
      </c>
      <c r="PC237" s="2">
        <v>11.8</v>
      </c>
      <c r="PD237" s="2">
        <v>11.5</v>
      </c>
      <c r="PE237" s="2">
        <v>11.2</v>
      </c>
      <c r="PF237" s="2">
        <v>10.7</v>
      </c>
      <c r="PG237" s="2">
        <v>10.9</v>
      </c>
      <c r="PH237" s="2">
        <v>11.2</v>
      </c>
      <c r="PI237" s="2">
        <v>11.1</v>
      </c>
    </row>
    <row r="238">
      <c r="A238" t="inlineStr">
        <is>
          <t>A130391670F</t>
        </is>
      </c>
      <c r="B238" t="inlineStr">
        <is>
          <t>Percentage Change from Corresponding Month of Previous Year ;  Clothing and footwear ;  Australia ;</t>
        </is>
      </c>
      <c r="C238" t="inlineStr">
        <is>
          <t>Month</t>
        </is>
      </c>
      <c r="D238" t="inlineStr">
        <is>
          <t>Percent</t>
        </is>
      </c>
      <c r="E238" t="inlineStr">
        <is>
          <t>Original</t>
        </is>
      </c>
      <c r="F238" t="inlineStr">
        <is>
          <t>640103.xlsx</t>
        </is>
      </c>
      <c r="G238" t="inlineStr">
        <is>
          <t>2025-04</t>
        </is>
      </c>
      <c r="H238" t="inlineStr">
        <is>
          <t>2026-07</t>
        </is>
      </c>
      <c r="OP238" s="2">
        <v>1</v>
      </c>
      <c r="OQ238" s="2">
        <v>2.1</v>
      </c>
      <c r="OR238" s="2">
        <v>2.9</v>
      </c>
      <c r="OS238" s="2">
        <v>2.3</v>
      </c>
      <c r="OT238" s="2">
        <v>4.3</v>
      </c>
      <c r="OU238" s="2">
        <v>3.8</v>
      </c>
      <c r="OV238" s="2">
        <v>5.4</v>
      </c>
      <c r="OW238" s="2">
        <v>5.1</v>
      </c>
      <c r="OX238" s="2">
        <v>3.4</v>
      </c>
      <c r="PC238" s="2">
        <v>5.6</v>
      </c>
      <c r="PD238" s="2">
        <v>5</v>
      </c>
      <c r="PE238" s="2">
        <v>7.1</v>
      </c>
      <c r="PF238" s="2">
        <v>5.9</v>
      </c>
      <c r="PG238" s="2">
        <v>5</v>
      </c>
      <c r="PH238" s="2">
        <v>4.9</v>
      </c>
      <c r="PI238" s="2">
        <v>4.9</v>
      </c>
    </row>
    <row r="239">
      <c r="A239" t="inlineStr">
        <is>
          <t>A130394106W</t>
        </is>
      </c>
      <c r="B239" t="inlineStr">
        <is>
          <t>Percentage Change from Corresponding Month of Previous Year ;  Garments ;  Australia ;</t>
        </is>
      </c>
      <c r="C239" t="inlineStr">
        <is>
          <t>Month</t>
        </is>
      </c>
      <c r="D239" t="inlineStr">
        <is>
          <t>Percent</t>
        </is>
      </c>
      <c r="E239" t="inlineStr">
        <is>
          <t>Original</t>
        </is>
      </c>
      <c r="F239" t="inlineStr">
        <is>
          <t>640103.xlsx</t>
        </is>
      </c>
      <c r="G239" t="inlineStr">
        <is>
          <t>2025-04</t>
        </is>
      </c>
      <c r="H239" t="inlineStr">
        <is>
          <t>2026-07</t>
        </is>
      </c>
      <c r="OP239" s="2">
        <v>0.3</v>
      </c>
      <c r="OQ239" s="2">
        <v>2.4</v>
      </c>
      <c r="OR239" s="2">
        <v>1.4</v>
      </c>
      <c r="OS239" s="2">
        <v>1.2</v>
      </c>
      <c r="OT239" s="2">
        <v>3.1</v>
      </c>
      <c r="OU239" s="2">
        <v>1.4</v>
      </c>
      <c r="OV239" s="2">
        <v>3.6</v>
      </c>
      <c r="OW239" s="2">
        <v>2.2</v>
      </c>
      <c r="OX239" s="2">
        <v>0.7</v>
      </c>
      <c r="PC239" s="2">
        <v>4.2</v>
      </c>
      <c r="PD239" s="2">
        <v>3.2</v>
      </c>
      <c r="PE239" s="2">
        <v>4.3</v>
      </c>
      <c r="PF239" s="2">
        <v>3.1</v>
      </c>
      <c r="PG239" s="2">
        <v>2.1</v>
      </c>
      <c r="PH239" s="2">
        <v>1.5</v>
      </c>
      <c r="PI239" s="2">
        <v>1.9</v>
      </c>
    </row>
    <row r="240">
      <c r="A240" t="inlineStr">
        <is>
          <t>A130399710J</t>
        </is>
      </c>
      <c r="B240" t="inlineStr">
        <is>
          <t>Percentage Change from Corresponding Month of Previous Year ;  Garments for men ;  Australia ;</t>
        </is>
      </c>
      <c r="C240" t="inlineStr">
        <is>
          <t>Month</t>
        </is>
      </c>
      <c r="D240" t="inlineStr">
        <is>
          <t>Percent</t>
        </is>
      </c>
      <c r="E240" t="inlineStr">
        <is>
          <t>Original</t>
        </is>
      </c>
      <c r="F240" t="inlineStr">
        <is>
          <t>640103.xlsx</t>
        </is>
      </c>
      <c r="G240" t="inlineStr">
        <is>
          <t>2025-04</t>
        </is>
      </c>
      <c r="H240" t="inlineStr">
        <is>
          <t>2026-07</t>
        </is>
      </c>
      <c r="OP240" s="2">
        <v>-2.1</v>
      </c>
      <c r="OQ240" s="2">
        <v>-0.5</v>
      </c>
      <c r="OR240" s="2">
        <v>-1.3</v>
      </c>
      <c r="OS240" s="2">
        <v>-3.1</v>
      </c>
      <c r="OT240" s="2">
        <v>-0.7</v>
      </c>
      <c r="OU240" s="2">
        <v>-2.8</v>
      </c>
      <c r="OV240" s="2">
        <v>1.1</v>
      </c>
      <c r="OW240" s="2">
        <v>0.1</v>
      </c>
      <c r="OX240" s="2">
        <v>-1.3</v>
      </c>
      <c r="PC240" s="2">
        <v>2</v>
      </c>
      <c r="PD240" s="2">
        <v>1.8</v>
      </c>
      <c r="PE240" s="2">
        <v>0.8</v>
      </c>
      <c r="PF240" s="2">
        <v>-1.5</v>
      </c>
      <c r="PG240" s="2">
        <v>-0.4</v>
      </c>
      <c r="PH240" s="2">
        <v>2</v>
      </c>
      <c r="PI240" s="2">
        <v>4.2</v>
      </c>
    </row>
    <row r="241">
      <c r="A241" t="inlineStr">
        <is>
          <t>A130398468C</t>
        </is>
      </c>
      <c r="B241" t="inlineStr">
        <is>
          <t>Percentage Change from Corresponding Month of Previous Year ;  Garments for women ;  Australia ;</t>
        </is>
      </c>
      <c r="C241" t="inlineStr">
        <is>
          <t>Month</t>
        </is>
      </c>
      <c r="D241" t="inlineStr">
        <is>
          <t>Percent</t>
        </is>
      </c>
      <c r="E241" t="inlineStr">
        <is>
          <t>Original</t>
        </is>
      </c>
      <c r="F241" t="inlineStr">
        <is>
          <t>640103.xlsx</t>
        </is>
      </c>
      <c r="G241" t="inlineStr">
        <is>
          <t>2025-04</t>
        </is>
      </c>
      <c r="H241" t="inlineStr">
        <is>
          <t>2026-07</t>
        </is>
      </c>
      <c r="OP241" s="2">
        <v>2.3</v>
      </c>
      <c r="OQ241" s="2">
        <v>4.7</v>
      </c>
      <c r="OR241" s="2">
        <v>4.4</v>
      </c>
      <c r="OS241" s="2">
        <v>3.9</v>
      </c>
      <c r="OT241" s="2">
        <v>5.1</v>
      </c>
      <c r="OU241" s="2">
        <v>2.9</v>
      </c>
      <c r="OV241" s="2">
        <v>4.8</v>
      </c>
      <c r="OW241" s="2">
        <v>2.9</v>
      </c>
      <c r="OX241" s="2">
        <v>0.9</v>
      </c>
      <c r="PC241" s="2">
        <v>4.9</v>
      </c>
      <c r="PD241" s="2">
        <v>3.1</v>
      </c>
      <c r="PE241" s="2">
        <v>5.5</v>
      </c>
      <c r="PF241" s="2">
        <v>5.6</v>
      </c>
      <c r="PG241" s="2">
        <v>4.1</v>
      </c>
      <c r="PH241" s="2">
        <v>1.1</v>
      </c>
      <c r="PI241" s="2">
        <v>1.2</v>
      </c>
    </row>
    <row r="242">
      <c r="A242" t="inlineStr">
        <is>
          <t>A130391019V</t>
        </is>
      </c>
      <c r="B242" t="inlineStr">
        <is>
          <t>Percentage Change from Corresponding Month of Previous Year ;  Garments for infants and children ;  Australia ;</t>
        </is>
      </c>
      <c r="C242" t="inlineStr">
        <is>
          <t>Month</t>
        </is>
      </c>
      <c r="D242" t="inlineStr">
        <is>
          <t>Percent</t>
        </is>
      </c>
      <c r="E242" t="inlineStr">
        <is>
          <t>Original</t>
        </is>
      </c>
      <c r="F242" t="inlineStr">
        <is>
          <t>640103.xlsx</t>
        </is>
      </c>
      <c r="G242" t="inlineStr">
        <is>
          <t>2025-04</t>
        </is>
      </c>
      <c r="H242" t="inlineStr">
        <is>
          <t>2026-07</t>
        </is>
      </c>
      <c r="OP242" s="2">
        <v>-2.2</v>
      </c>
      <c r="OQ242" s="2">
        <v>-0.7</v>
      </c>
      <c r="OR242" s="2">
        <v>-3.7</v>
      </c>
      <c r="OS242" s="2">
        <v>-1.1</v>
      </c>
      <c r="OT242" s="2">
        <v>2.9</v>
      </c>
      <c r="OU242" s="2">
        <v>2.9</v>
      </c>
      <c r="OV242" s="2">
        <v>3.9</v>
      </c>
      <c r="OW242" s="2">
        <v>3.4</v>
      </c>
      <c r="OX242" s="2">
        <v>3</v>
      </c>
      <c r="PC242" s="2">
        <v>5.6</v>
      </c>
      <c r="PD242" s="2">
        <v>5.9</v>
      </c>
      <c r="PE242" s="2">
        <v>5.4</v>
      </c>
      <c r="PF242" s="2">
        <v>2.2</v>
      </c>
      <c r="PG242" s="2">
        <v>-0.7</v>
      </c>
      <c r="PH242" s="2">
        <v>2.3</v>
      </c>
      <c r="PI242" s="2">
        <v>0.9</v>
      </c>
    </row>
    <row r="243">
      <c r="A243" t="inlineStr">
        <is>
          <t>A130391761L</t>
        </is>
      </c>
      <c r="B243" t="inlineStr">
        <is>
          <t>Percentage Change from Corresponding Month of Previous Year ;  Footwear ;  Australia ;</t>
        </is>
      </c>
      <c r="C243" t="inlineStr">
        <is>
          <t>Month</t>
        </is>
      </c>
      <c r="D243" t="inlineStr">
        <is>
          <t>Percent</t>
        </is>
      </c>
      <c r="E243" t="inlineStr">
        <is>
          <t>Original</t>
        </is>
      </c>
      <c r="F243" t="inlineStr">
        <is>
          <t>640103.xlsx</t>
        </is>
      </c>
      <c r="G243" t="inlineStr">
        <is>
          <t>2025-04</t>
        </is>
      </c>
      <c r="H243" t="inlineStr">
        <is>
          <t>2026-07</t>
        </is>
      </c>
      <c r="OP243" s="2">
        <v>1.3</v>
      </c>
      <c r="OQ243" s="2">
        <v>4.1</v>
      </c>
      <c r="OR243" s="2">
        <v>2.2</v>
      </c>
      <c r="OS243" s="2">
        <v>-0.3</v>
      </c>
      <c r="OT243" s="2">
        <v>0.6</v>
      </c>
      <c r="OU243" s="2">
        <v>4.6</v>
      </c>
      <c r="OV243" s="2">
        <v>2.4</v>
      </c>
      <c r="OW243" s="2">
        <v>1.8</v>
      </c>
      <c r="OX243" s="2">
        <v>2.6</v>
      </c>
      <c r="PC243" s="2">
        <v>1.6</v>
      </c>
      <c r="PD243" s="2">
        <v>0.6</v>
      </c>
      <c r="PE243" s="2">
        <v>2.4</v>
      </c>
      <c r="PF243" s="2">
        <v>1.1</v>
      </c>
      <c r="PG243" s="2">
        <v>1.6</v>
      </c>
      <c r="PH243" s="2">
        <v>0</v>
      </c>
      <c r="PI243" s="2">
        <v>2.2</v>
      </c>
    </row>
    <row r="244">
      <c r="A244" t="inlineStr">
        <is>
          <t>A130393280K</t>
        </is>
      </c>
      <c r="B244" t="inlineStr">
        <is>
          <t>Percentage Change from Corresponding Month of Previous Year ;  Footwear for men ;  Australia ;</t>
        </is>
      </c>
      <c r="C244" t="inlineStr">
        <is>
          <t>Month</t>
        </is>
      </c>
      <c r="D244" t="inlineStr">
        <is>
          <t>Percent</t>
        </is>
      </c>
      <c r="E244" t="inlineStr">
        <is>
          <t>Original</t>
        </is>
      </c>
      <c r="F244" t="inlineStr">
        <is>
          <t>640103.xlsx</t>
        </is>
      </c>
      <c r="G244" t="inlineStr">
        <is>
          <t>2025-04</t>
        </is>
      </c>
      <c r="H244" t="inlineStr">
        <is>
          <t>2026-07</t>
        </is>
      </c>
      <c r="OP244" s="2">
        <v>2.6</v>
      </c>
      <c r="OQ244" s="2">
        <v>2</v>
      </c>
      <c r="OR244" s="2">
        <v>5</v>
      </c>
      <c r="OS244" s="2">
        <v>-0.3</v>
      </c>
      <c r="OT244" s="2">
        <v>-1.6</v>
      </c>
      <c r="OU244" s="2">
        <v>-4.2</v>
      </c>
      <c r="OV244" s="2">
        <v>-2.5</v>
      </c>
      <c r="OW244" s="2">
        <v>-1.2</v>
      </c>
      <c r="OX244" s="2">
        <v>-2.2</v>
      </c>
      <c r="PC244" s="2">
        <v>1.8</v>
      </c>
      <c r="PD244" s="2">
        <v>-1.1</v>
      </c>
      <c r="PE244" s="2">
        <v>1.7</v>
      </c>
      <c r="PF244" s="2">
        <v>-1.4</v>
      </c>
      <c r="PG244" s="2">
        <v>3.4</v>
      </c>
      <c r="PH244" s="2">
        <v>0.1</v>
      </c>
      <c r="PI244" s="2">
        <v>-0.2</v>
      </c>
    </row>
    <row r="245">
      <c r="A245" t="inlineStr">
        <is>
          <t>A130395744J</t>
        </is>
      </c>
      <c r="B245" t="inlineStr">
        <is>
          <t>Percentage Change from Corresponding Month of Previous Year ;  Footwear for women ;  Australia ;</t>
        </is>
      </c>
      <c r="C245" t="inlineStr">
        <is>
          <t>Month</t>
        </is>
      </c>
      <c r="D245" t="inlineStr">
        <is>
          <t>Percent</t>
        </is>
      </c>
      <c r="E245" t="inlineStr">
        <is>
          <t>Original</t>
        </is>
      </c>
      <c r="F245" t="inlineStr">
        <is>
          <t>640103.xlsx</t>
        </is>
      </c>
      <c r="G245" t="inlineStr">
        <is>
          <t>2025-04</t>
        </is>
      </c>
      <c r="H245" t="inlineStr">
        <is>
          <t>2026-07</t>
        </is>
      </c>
      <c r="OP245" s="2">
        <v>0.7</v>
      </c>
      <c r="OQ245" s="2">
        <v>5.4</v>
      </c>
      <c r="OR245" s="2">
        <v>2.5</v>
      </c>
      <c r="OS245" s="2">
        <v>0.4</v>
      </c>
      <c r="OT245" s="2">
        <v>2.7</v>
      </c>
      <c r="OU245" s="2">
        <v>9.9</v>
      </c>
      <c r="OV245" s="2">
        <v>5.3</v>
      </c>
      <c r="OW245" s="2">
        <v>4.1</v>
      </c>
      <c r="OX245" s="2">
        <v>4.5</v>
      </c>
      <c r="PC245" s="2">
        <v>2.1</v>
      </c>
      <c r="PD245" s="2">
        <v>1.5</v>
      </c>
      <c r="PE245" s="2">
        <v>4.2</v>
      </c>
      <c r="PF245" s="2">
        <v>2.1</v>
      </c>
      <c r="PG245" s="2">
        <v>0.5</v>
      </c>
      <c r="PH245" s="2">
        <v>-1</v>
      </c>
      <c r="PI245" s="2">
        <v>3.6</v>
      </c>
    </row>
    <row r="246">
      <c r="A246" t="inlineStr">
        <is>
          <t>A130391992W</t>
        </is>
      </c>
      <c r="B246" t="inlineStr">
        <is>
          <t>Percentage Change from Corresponding Month of Previous Year ;  Footwear for infants and children ;  Australia ;</t>
        </is>
      </c>
      <c r="C246" t="inlineStr">
        <is>
          <t>Month</t>
        </is>
      </c>
      <c r="D246" t="inlineStr">
        <is>
          <t>Percent</t>
        </is>
      </c>
      <c r="E246" t="inlineStr">
        <is>
          <t>Original</t>
        </is>
      </c>
      <c r="F246" t="inlineStr">
        <is>
          <t>640103.xlsx</t>
        </is>
      </c>
      <c r="G246" t="inlineStr">
        <is>
          <t>2025-04</t>
        </is>
      </c>
      <c r="H246" t="inlineStr">
        <is>
          <t>2026-07</t>
        </is>
      </c>
      <c r="OP246" s="2">
        <v>1.2</v>
      </c>
      <c r="OQ246" s="2">
        <v>2.3</v>
      </c>
      <c r="OR246" s="2">
        <v>-3.4</v>
      </c>
      <c r="OS246" s="2">
        <v>-2.7</v>
      </c>
      <c r="OT246" s="2">
        <v>-4</v>
      </c>
      <c r="OU246" s="2">
        <v>-0.4</v>
      </c>
      <c r="OV246" s="2">
        <v>-0.6</v>
      </c>
      <c r="OW246" s="2">
        <v>-2.3</v>
      </c>
      <c r="OX246" s="2">
        <v>3.1</v>
      </c>
      <c r="PC246" s="2">
        <v>-0.5</v>
      </c>
      <c r="PD246" s="2">
        <v>-0.1</v>
      </c>
      <c r="PE246" s="2">
        <v>-3</v>
      </c>
      <c r="PF246" s="2">
        <v>1.1</v>
      </c>
      <c r="PG246" s="2">
        <v>3.2</v>
      </c>
      <c r="PH246" s="2">
        <v>4.1</v>
      </c>
      <c r="PI246" s="2">
        <v>0.3</v>
      </c>
    </row>
    <row r="247">
      <c r="A247" t="inlineStr">
        <is>
          <t>A130397291R</t>
        </is>
      </c>
      <c r="B247" t="inlineStr">
        <is>
          <t>Percentage Change from Corresponding Month of Previous Year ;  Accessories and clothing services ;  Australia ;</t>
        </is>
      </c>
      <c r="C247" t="inlineStr">
        <is>
          <t>Month</t>
        </is>
      </c>
      <c r="D247" t="inlineStr">
        <is>
          <t>Percent</t>
        </is>
      </c>
      <c r="E247" t="inlineStr">
        <is>
          <t>Original</t>
        </is>
      </c>
      <c r="F247" t="inlineStr">
        <is>
          <t>640103.xlsx</t>
        </is>
      </c>
      <c r="G247" t="inlineStr">
        <is>
          <t>2025-04</t>
        </is>
      </c>
      <c r="H247" t="inlineStr">
        <is>
          <t>2026-07</t>
        </is>
      </c>
      <c r="OP247" s="2">
        <v>2.6</v>
      </c>
      <c r="OQ247" s="2">
        <v>0.2</v>
      </c>
      <c r="OR247" s="2">
        <v>6.9</v>
      </c>
      <c r="OS247" s="2">
        <v>6.8</v>
      </c>
      <c r="OT247" s="2">
        <v>9.699999999999999</v>
      </c>
      <c r="OU247" s="2">
        <v>9.4</v>
      </c>
      <c r="OV247" s="2">
        <v>11.7</v>
      </c>
      <c r="OW247" s="2">
        <v>14.9</v>
      </c>
      <c r="OX247" s="2">
        <v>10.8</v>
      </c>
      <c r="PC247" s="2">
        <v>11.4</v>
      </c>
      <c r="PD247" s="2">
        <v>12</v>
      </c>
      <c r="PE247" s="2">
        <v>17.2</v>
      </c>
      <c r="PF247" s="2">
        <v>15.9</v>
      </c>
      <c r="PG247" s="2">
        <v>14.5</v>
      </c>
      <c r="PH247" s="2">
        <v>15.9</v>
      </c>
      <c r="PI247" s="2">
        <v>13.7</v>
      </c>
    </row>
    <row r="248">
      <c r="A248" t="inlineStr">
        <is>
          <t>A130396017F</t>
        </is>
      </c>
      <c r="B248" t="inlineStr">
        <is>
          <t>Percentage Change from Corresponding Month of Previous Year ;  Accessories ;  Australia ;</t>
        </is>
      </c>
      <c r="C248" t="inlineStr">
        <is>
          <t>Month</t>
        </is>
      </c>
      <c r="D248" t="inlineStr">
        <is>
          <t>Percent</t>
        </is>
      </c>
      <c r="E248" t="inlineStr">
        <is>
          <t>Original</t>
        </is>
      </c>
      <c r="F248" t="inlineStr">
        <is>
          <t>640103.xlsx</t>
        </is>
      </c>
      <c r="G248" t="inlineStr">
        <is>
          <t>2025-04</t>
        </is>
      </c>
      <c r="H248" t="inlineStr">
        <is>
          <t>2026-07</t>
        </is>
      </c>
      <c r="OP248" s="2">
        <v>2.5</v>
      </c>
      <c r="OQ248" s="2">
        <v>0</v>
      </c>
      <c r="OR248" s="2">
        <v>7.2</v>
      </c>
      <c r="OS248" s="2">
        <v>7</v>
      </c>
      <c r="OT248" s="2">
        <v>10.2</v>
      </c>
      <c r="OU248" s="2">
        <v>9.9</v>
      </c>
      <c r="OV248" s="2">
        <v>12.4</v>
      </c>
      <c r="OW248" s="2">
        <v>15.9</v>
      </c>
      <c r="OX248" s="2">
        <v>11.4</v>
      </c>
      <c r="PC248" s="2">
        <v>12</v>
      </c>
      <c r="PD248" s="2">
        <v>12.7</v>
      </c>
      <c r="PE248" s="2">
        <v>18.6</v>
      </c>
      <c r="PF248" s="2">
        <v>17</v>
      </c>
      <c r="PG248" s="2">
        <v>15.5</v>
      </c>
      <c r="PH248" s="2">
        <v>17.1</v>
      </c>
      <c r="PI248" s="2">
        <v>14.6</v>
      </c>
    </row>
    <row r="249">
      <c r="A249" t="inlineStr">
        <is>
          <t>A130399479C</t>
        </is>
      </c>
      <c r="B249" t="inlineStr">
        <is>
          <t>Percentage Change from Corresponding Month of Previous Year ;  Cleaning, repair and hire of clothing and footwear ;  Australia ;</t>
        </is>
      </c>
      <c r="C249" t="inlineStr">
        <is>
          <t>Month</t>
        </is>
      </c>
      <c r="D249" t="inlineStr">
        <is>
          <t>Percent</t>
        </is>
      </c>
      <c r="E249" t="inlineStr">
        <is>
          <t>Original</t>
        </is>
      </c>
      <c r="F249" t="inlineStr">
        <is>
          <t>640103.xlsx</t>
        </is>
      </c>
      <c r="G249" t="inlineStr">
        <is>
          <t>2025-04</t>
        </is>
      </c>
      <c r="H249" t="inlineStr">
        <is>
          <t>2026-07</t>
        </is>
      </c>
      <c r="OP249" s="2">
        <v>3.4</v>
      </c>
      <c r="OQ249" s="2">
        <v>3.2</v>
      </c>
      <c r="OR249" s="2">
        <v>4.1</v>
      </c>
      <c r="OS249" s="2">
        <v>4.4</v>
      </c>
      <c r="OT249" s="2">
        <v>4.6</v>
      </c>
      <c r="OU249" s="2">
        <v>4.6</v>
      </c>
      <c r="OV249" s="2">
        <v>4.5</v>
      </c>
      <c r="OW249" s="2">
        <v>4.2</v>
      </c>
      <c r="OX249" s="2">
        <v>3.9</v>
      </c>
      <c r="PC249" s="2">
        <v>4.6</v>
      </c>
      <c r="PD249" s="2">
        <v>4.4</v>
      </c>
      <c r="PE249" s="2">
        <v>3.8</v>
      </c>
      <c r="PF249" s="2">
        <v>3.9</v>
      </c>
      <c r="PG249" s="2">
        <v>4.1</v>
      </c>
      <c r="PH249" s="2">
        <v>3.3</v>
      </c>
      <c r="PI249" s="2">
        <v>3.8</v>
      </c>
    </row>
    <row r="250">
      <c r="A250" t="inlineStr">
        <is>
          <t>A130399185W</t>
        </is>
      </c>
      <c r="B250" t="inlineStr">
        <is>
          <t>Percentage Change from Corresponding Month of Previous Year ;  Housing ;  Australia ;</t>
        </is>
      </c>
      <c r="C250" t="inlineStr">
        <is>
          <t>Month</t>
        </is>
      </c>
      <c r="D250" t="inlineStr">
        <is>
          <t>Percent</t>
        </is>
      </c>
      <c r="E250" t="inlineStr">
        <is>
          <t>Original</t>
        </is>
      </c>
      <c r="F250" t="inlineStr">
        <is>
          <t>640103.xlsx</t>
        </is>
      </c>
      <c r="G250" t="inlineStr">
        <is>
          <t>2025-04</t>
        </is>
      </c>
      <c r="H250" t="inlineStr">
        <is>
          <t>2026-07</t>
        </is>
      </c>
      <c r="OP250" s="2">
        <v>2.1</v>
      </c>
      <c r="OQ250" s="2">
        <v>1.9</v>
      </c>
      <c r="OR250" s="2">
        <v>1.5</v>
      </c>
      <c r="OS250" s="2">
        <v>3.7</v>
      </c>
      <c r="OT250" s="2">
        <v>4.5</v>
      </c>
      <c r="OU250" s="2">
        <v>5.7</v>
      </c>
      <c r="OV250" s="2">
        <v>5.9</v>
      </c>
      <c r="OW250" s="2">
        <v>5.2</v>
      </c>
      <c r="OX250" s="2">
        <v>5.5</v>
      </c>
      <c r="PC250" s="2">
        <v>6.8</v>
      </c>
      <c r="PD250" s="2">
        <v>7.2</v>
      </c>
      <c r="PE250" s="2">
        <v>6.5</v>
      </c>
      <c r="PF250" s="2">
        <v>6.3</v>
      </c>
      <c r="PG250" s="2">
        <v>6.5</v>
      </c>
      <c r="PH250" s="2">
        <v>6.8</v>
      </c>
      <c r="PI250" s="2">
        <v>5</v>
      </c>
    </row>
    <row r="251">
      <c r="A251" t="inlineStr">
        <is>
          <t>A130390095C</t>
        </is>
      </c>
      <c r="B251" t="inlineStr">
        <is>
          <t>Percentage Change from Corresponding Month of Previous Year ;  Rents ;  Australia ;</t>
        </is>
      </c>
      <c r="C251" t="inlineStr">
        <is>
          <t>Month</t>
        </is>
      </c>
      <c r="D251" t="inlineStr">
        <is>
          <t>Percent</t>
        </is>
      </c>
      <c r="E251" t="inlineStr">
        <is>
          <t>Original</t>
        </is>
      </c>
      <c r="F251" t="inlineStr">
        <is>
          <t>640103.xlsx</t>
        </is>
      </c>
      <c r="G251" t="inlineStr">
        <is>
          <t>2023-07</t>
        </is>
      </c>
      <c r="H251" t="inlineStr">
        <is>
          <t>2026-07</t>
        </is>
      </c>
      <c r="NM251" s="2">
        <v>7.6</v>
      </c>
      <c r="NN251" s="2">
        <v>7.8</v>
      </c>
      <c r="NO251" s="2">
        <v>7.5</v>
      </c>
      <c r="NP251" s="2">
        <v>6.6</v>
      </c>
      <c r="NQ251" s="2">
        <v>7.1</v>
      </c>
      <c r="NR251" s="2">
        <v>7.4</v>
      </c>
      <c r="NW251" s="2">
        <v>7.5</v>
      </c>
      <c r="NX251" s="2">
        <v>7.5</v>
      </c>
      <c r="NY251" s="2">
        <v>7.7</v>
      </c>
      <c r="NZ251" s="2">
        <v>7.5</v>
      </c>
      <c r="OA251" s="2">
        <v>7.4</v>
      </c>
      <c r="OB251" s="2">
        <v>7.1</v>
      </c>
      <c r="OC251" s="2">
        <v>6.9</v>
      </c>
      <c r="OD251" s="2">
        <v>6.7</v>
      </c>
      <c r="OE251" s="2">
        <v>6.6</v>
      </c>
      <c r="OF251" s="2">
        <v>6.8</v>
      </c>
      <c r="OG251" s="2">
        <v>6.6</v>
      </c>
      <c r="OH251" s="2">
        <v>6.2</v>
      </c>
      <c r="OM251" s="2">
        <v>5.8</v>
      </c>
      <c r="ON251" s="2">
        <v>5.5</v>
      </c>
      <c r="OO251" s="2">
        <v>5.2</v>
      </c>
      <c r="OP251" s="2">
        <v>4.9</v>
      </c>
      <c r="OQ251" s="2">
        <v>4.5</v>
      </c>
      <c r="OR251" s="2">
        <v>4.2</v>
      </c>
      <c r="OS251" s="2">
        <v>3.9</v>
      </c>
      <c r="OT251" s="2">
        <v>3.7</v>
      </c>
      <c r="OU251" s="2">
        <v>3.8</v>
      </c>
      <c r="OV251" s="2">
        <v>4.2</v>
      </c>
      <c r="OW251" s="2">
        <v>4</v>
      </c>
      <c r="OX251" s="2">
        <v>3.9</v>
      </c>
      <c r="PC251" s="2">
        <v>3.9</v>
      </c>
      <c r="PD251" s="2">
        <v>3.8</v>
      </c>
      <c r="PE251" s="2">
        <v>3.7</v>
      </c>
      <c r="PF251" s="2">
        <v>3.5</v>
      </c>
      <c r="PG251" s="2">
        <v>3.6</v>
      </c>
      <c r="PH251" s="2">
        <v>3.6</v>
      </c>
      <c r="PI251" s="2">
        <v>3.6</v>
      </c>
    </row>
    <row r="252">
      <c r="A252" t="inlineStr">
        <is>
          <t>A130397971V</t>
        </is>
      </c>
      <c r="B252" t="inlineStr">
        <is>
          <t>Percentage Change from Corresponding Month of Previous Year ;  Rents ;  Australia ;</t>
        </is>
      </c>
      <c r="C252" t="inlineStr">
        <is>
          <t>Month</t>
        </is>
      </c>
      <c r="D252" t="inlineStr">
        <is>
          <t>Percent</t>
        </is>
      </c>
      <c r="E252" t="inlineStr">
        <is>
          <t>Original</t>
        </is>
      </c>
      <c r="F252" t="inlineStr">
        <is>
          <t>640103.xlsx</t>
        </is>
      </c>
      <c r="G252" t="inlineStr">
        <is>
          <t>2023-07</t>
        </is>
      </c>
      <c r="H252" t="inlineStr">
        <is>
          <t>2026-07</t>
        </is>
      </c>
      <c r="NM252" s="2">
        <v>7.6</v>
      </c>
      <c r="NN252" s="2">
        <v>7.8</v>
      </c>
      <c r="NO252" s="2">
        <v>7.5</v>
      </c>
      <c r="NP252" s="2">
        <v>6.6</v>
      </c>
      <c r="NQ252" s="2">
        <v>7.1</v>
      </c>
      <c r="NR252" s="2">
        <v>7.4</v>
      </c>
      <c r="NW252" s="2">
        <v>7.5</v>
      </c>
      <c r="NX252" s="2">
        <v>7.5</v>
      </c>
      <c r="NY252" s="2">
        <v>7.7</v>
      </c>
      <c r="NZ252" s="2">
        <v>7.5</v>
      </c>
      <c r="OA252" s="2">
        <v>7.4</v>
      </c>
      <c r="OB252" s="2">
        <v>7.1</v>
      </c>
      <c r="OC252" s="2">
        <v>6.9</v>
      </c>
      <c r="OD252" s="2">
        <v>6.7</v>
      </c>
      <c r="OE252" s="2">
        <v>6.6</v>
      </c>
      <c r="OF252" s="2">
        <v>6.8</v>
      </c>
      <c r="OG252" s="2">
        <v>6.6</v>
      </c>
      <c r="OH252" s="2">
        <v>6.2</v>
      </c>
      <c r="OM252" s="2">
        <v>5.8</v>
      </c>
      <c r="ON252" s="2">
        <v>5.5</v>
      </c>
      <c r="OO252" s="2">
        <v>5.2</v>
      </c>
      <c r="OP252" s="2">
        <v>4.9</v>
      </c>
      <c r="OQ252" s="2">
        <v>4.5</v>
      </c>
      <c r="OR252" s="2">
        <v>4.2</v>
      </c>
      <c r="OS252" s="2">
        <v>3.9</v>
      </c>
      <c r="OT252" s="2">
        <v>3.7</v>
      </c>
      <c r="OU252" s="2">
        <v>3.8</v>
      </c>
      <c r="OV252" s="2">
        <v>4.2</v>
      </c>
      <c r="OW252" s="2">
        <v>4</v>
      </c>
      <c r="OX252" s="2">
        <v>3.9</v>
      </c>
      <c r="PC252" s="2">
        <v>3.9</v>
      </c>
      <c r="PD252" s="2">
        <v>3.8</v>
      </c>
      <c r="PE252" s="2">
        <v>3.7</v>
      </c>
      <c r="PF252" s="2">
        <v>3.5</v>
      </c>
      <c r="PG252" s="2">
        <v>3.6</v>
      </c>
      <c r="PH252" s="2">
        <v>3.6</v>
      </c>
      <c r="PI252" s="2">
        <v>3.6</v>
      </c>
    </row>
    <row r="253">
      <c r="A253" t="inlineStr">
        <is>
          <t>A130391537V</t>
        </is>
      </c>
      <c r="B253" t="inlineStr">
        <is>
          <t>Percentage Change from Corresponding Month of Previous Year ;  New dwelling purchase by owner-occupiers ;  Australia ;</t>
        </is>
      </c>
      <c r="C253" t="inlineStr">
        <is>
          <t>Month</t>
        </is>
      </c>
      <c r="D253" t="inlineStr">
        <is>
          <t>Percent</t>
        </is>
      </c>
      <c r="E253" t="inlineStr">
        <is>
          <t>Original</t>
        </is>
      </c>
      <c r="F253" t="inlineStr">
        <is>
          <t>640103.xlsx</t>
        </is>
      </c>
      <c r="G253" t="inlineStr">
        <is>
          <t>2018-09</t>
        </is>
      </c>
      <c r="H253" t="inlineStr">
        <is>
          <t>2026-07</t>
        </is>
      </c>
      <c r="KM253" s="2">
        <v>1.7</v>
      </c>
      <c r="KN253" s="2">
        <v>2.3</v>
      </c>
      <c r="KO253" s="2">
        <v>1.8</v>
      </c>
      <c r="KP253" s="2">
        <v>1.4</v>
      </c>
      <c r="KU253" s="2">
        <v>1.1</v>
      </c>
      <c r="KV253" s="2">
        <v>1.2</v>
      </c>
      <c r="KW253" s="2">
        <v>1.1</v>
      </c>
      <c r="KX253" s="2">
        <v>0.7</v>
      </c>
      <c r="KY253" s="2">
        <v>0.2</v>
      </c>
      <c r="KZ253" s="2">
        <v>-0.2</v>
      </c>
      <c r="LA253" s="2">
        <v>0</v>
      </c>
      <c r="LB253" s="2">
        <v>-0.1</v>
      </c>
      <c r="LC253" s="2">
        <v>0.2</v>
      </c>
      <c r="LD253" s="2">
        <v>0</v>
      </c>
      <c r="LE253" s="2">
        <v>-0.1</v>
      </c>
      <c r="LF253" s="2">
        <v>-0.1</v>
      </c>
      <c r="LK253" s="2">
        <v>0.5</v>
      </c>
      <c r="LL253" s="2">
        <v>0.8</v>
      </c>
      <c r="LM253" s="2">
        <v>0.5</v>
      </c>
      <c r="LN253" s="2">
        <v>0.7</v>
      </c>
      <c r="LO253" s="2">
        <v>0.6</v>
      </c>
      <c r="LP253" s="2">
        <v>1</v>
      </c>
      <c r="LQ253" s="2">
        <v>1.2</v>
      </c>
      <c r="LR253" s="2">
        <v>1.8</v>
      </c>
      <c r="LS253" s="2">
        <v>1.3</v>
      </c>
      <c r="LT253" s="2">
        <v>1.4</v>
      </c>
      <c r="LU253" s="2">
        <v>1.8</v>
      </c>
      <c r="LV253" s="2">
        <v>1.6</v>
      </c>
      <c r="MA253" s="2">
        <v>2.2</v>
      </c>
      <c r="MB253" s="2">
        <v>0.9</v>
      </c>
      <c r="MC253" s="2">
        <v>0.8</v>
      </c>
      <c r="MD253" s="2">
        <v>0</v>
      </c>
      <c r="ME253" s="2">
        <v>1.6</v>
      </c>
      <c r="MF253" s="2">
        <v>1.9</v>
      </c>
      <c r="MG253" s="2">
        <v>2.2</v>
      </c>
      <c r="MH253" s="2">
        <v>4.1</v>
      </c>
      <c r="MI253" s="2">
        <v>5.1</v>
      </c>
      <c r="MJ253" s="2">
        <v>5.1</v>
      </c>
      <c r="MK253" s="2">
        <v>6.9</v>
      </c>
      <c r="ML253" s="2">
        <v>9.6</v>
      </c>
      <c r="MQ253" s="2">
        <v>10.5</v>
      </c>
      <c r="MR253" s="2">
        <v>13.5</v>
      </c>
      <c r="MS253" s="2">
        <v>15.8</v>
      </c>
      <c r="MT253" s="2">
        <v>19.3</v>
      </c>
      <c r="MU253" s="2">
        <v>19.3</v>
      </c>
      <c r="MV253" s="2">
        <v>20.7</v>
      </c>
      <c r="MW253" s="2">
        <v>21.7</v>
      </c>
      <c r="MX253" s="2">
        <v>20.5</v>
      </c>
      <c r="MY253" s="2">
        <v>20</v>
      </c>
      <c r="MZ253" s="2">
        <v>20.3</v>
      </c>
      <c r="NA253" s="2">
        <v>17.9</v>
      </c>
      <c r="NB253" s="2">
        <v>16</v>
      </c>
      <c r="NG253" s="2">
        <v>14.8</v>
      </c>
      <c r="NH253" s="2">
        <v>13</v>
      </c>
      <c r="NI253" s="2">
        <v>11.1</v>
      </c>
      <c r="NJ253" s="2">
        <v>9.300000000000001</v>
      </c>
      <c r="NK253" s="2">
        <v>8.300000000000001</v>
      </c>
      <c r="NL253" s="2">
        <v>6.6</v>
      </c>
      <c r="NM253" s="2">
        <v>5.9</v>
      </c>
      <c r="NN253" s="2">
        <v>4.8</v>
      </c>
      <c r="NO253" s="2">
        <v>4.9</v>
      </c>
      <c r="NP253" s="2">
        <v>4.7</v>
      </c>
      <c r="NQ253" s="2">
        <v>5.5</v>
      </c>
      <c r="NR253" s="2">
        <v>5.1</v>
      </c>
      <c r="NW253" s="2">
        <v>4.8</v>
      </c>
      <c r="NX253" s="2">
        <v>4.8</v>
      </c>
      <c r="NY253" s="2">
        <v>5.2</v>
      </c>
      <c r="NZ253" s="2">
        <v>5</v>
      </c>
      <c r="OA253" s="2">
        <v>5</v>
      </c>
      <c r="OB253" s="2">
        <v>5.3</v>
      </c>
      <c r="OC253" s="2">
        <v>5.1</v>
      </c>
      <c r="OD253" s="2">
        <v>5.2</v>
      </c>
      <c r="OE253" s="2">
        <v>4.3</v>
      </c>
      <c r="OF253" s="2">
        <v>4.3</v>
      </c>
      <c r="OG253" s="2">
        <v>2.8</v>
      </c>
      <c r="OH253" s="2">
        <v>2.3</v>
      </c>
      <c r="OM253" s="2">
        <v>2</v>
      </c>
      <c r="ON253" s="2">
        <v>1.7</v>
      </c>
      <c r="OO253" s="2">
        <v>1</v>
      </c>
      <c r="OP253" s="2">
        <v>1.2</v>
      </c>
      <c r="OQ253" s="2">
        <v>0.8</v>
      </c>
      <c r="OR253" s="2">
        <v>0.4</v>
      </c>
      <c r="OS253" s="2">
        <v>0.5</v>
      </c>
      <c r="OT253" s="2">
        <v>0.7</v>
      </c>
      <c r="OU253" s="2">
        <v>1.5</v>
      </c>
      <c r="OV253" s="2">
        <v>1.7</v>
      </c>
      <c r="OW253" s="2">
        <v>2.8</v>
      </c>
      <c r="OX253" s="2">
        <v>3</v>
      </c>
      <c r="PC253" s="2">
        <v>3.5</v>
      </c>
      <c r="PD253" s="2">
        <v>3.7</v>
      </c>
      <c r="PE253" s="2">
        <v>4.5</v>
      </c>
      <c r="PF253" s="2">
        <v>4.7</v>
      </c>
      <c r="PG253" s="2">
        <v>5.6</v>
      </c>
      <c r="PH253" s="2">
        <v>5.8</v>
      </c>
      <c r="PI253" s="2">
        <v>5.7</v>
      </c>
    </row>
    <row r="254">
      <c r="A254" t="inlineStr">
        <is>
          <t>A130399773T</t>
        </is>
      </c>
      <c r="B254" t="inlineStr">
        <is>
          <t>Percentage Change from Corresponding Month of Previous Year ;  New dwelling purchase by owner-occupiers ;  Australia ;</t>
        </is>
      </c>
      <c r="C254" t="inlineStr">
        <is>
          <t>Month</t>
        </is>
      </c>
      <c r="D254" t="inlineStr">
        <is>
          <t>Percent</t>
        </is>
      </c>
      <c r="E254" t="inlineStr">
        <is>
          <t>Original</t>
        </is>
      </c>
      <c r="F254" t="inlineStr">
        <is>
          <t>640103.xlsx</t>
        </is>
      </c>
      <c r="G254" t="inlineStr">
        <is>
          <t>2018-09</t>
        </is>
      </c>
      <c r="H254" t="inlineStr">
        <is>
          <t>2026-07</t>
        </is>
      </c>
      <c r="KM254" s="2">
        <v>1.7</v>
      </c>
      <c r="KN254" s="2">
        <v>2.3</v>
      </c>
      <c r="KO254" s="2">
        <v>1.8</v>
      </c>
      <c r="KP254" s="2">
        <v>1.4</v>
      </c>
      <c r="KU254" s="2">
        <v>1.1</v>
      </c>
      <c r="KV254" s="2">
        <v>1.2</v>
      </c>
      <c r="KW254" s="2">
        <v>1.1</v>
      </c>
      <c r="KX254" s="2">
        <v>0.7</v>
      </c>
      <c r="KY254" s="2">
        <v>0.2</v>
      </c>
      <c r="KZ254" s="2">
        <v>-0.2</v>
      </c>
      <c r="LA254" s="2">
        <v>0</v>
      </c>
      <c r="LB254" s="2">
        <v>-0.1</v>
      </c>
      <c r="LC254" s="2">
        <v>0.2</v>
      </c>
      <c r="LD254" s="2">
        <v>0</v>
      </c>
      <c r="LE254" s="2">
        <v>-0.1</v>
      </c>
      <c r="LF254" s="2">
        <v>-0.1</v>
      </c>
      <c r="LK254" s="2">
        <v>0.5</v>
      </c>
      <c r="LL254" s="2">
        <v>0.8</v>
      </c>
      <c r="LM254" s="2">
        <v>0.5</v>
      </c>
      <c r="LN254" s="2">
        <v>0.7</v>
      </c>
      <c r="LO254" s="2">
        <v>0.6</v>
      </c>
      <c r="LP254" s="2">
        <v>1</v>
      </c>
      <c r="LQ254" s="2">
        <v>1.2</v>
      </c>
      <c r="LR254" s="2">
        <v>1.8</v>
      </c>
      <c r="LS254" s="2">
        <v>1.3</v>
      </c>
      <c r="LT254" s="2">
        <v>1.4</v>
      </c>
      <c r="LU254" s="2">
        <v>1.8</v>
      </c>
      <c r="LV254" s="2">
        <v>1.6</v>
      </c>
      <c r="MA254" s="2">
        <v>2.2</v>
      </c>
      <c r="MB254" s="2">
        <v>0.9</v>
      </c>
      <c r="MC254" s="2">
        <v>0.8</v>
      </c>
      <c r="MD254" s="2">
        <v>0</v>
      </c>
      <c r="ME254" s="2">
        <v>1.6</v>
      </c>
      <c r="MF254" s="2">
        <v>1.9</v>
      </c>
      <c r="MG254" s="2">
        <v>2.2</v>
      </c>
      <c r="MH254" s="2">
        <v>4.1</v>
      </c>
      <c r="MI254" s="2">
        <v>5.1</v>
      </c>
      <c r="MJ254" s="2">
        <v>5.1</v>
      </c>
      <c r="MK254" s="2">
        <v>6.9</v>
      </c>
      <c r="ML254" s="2">
        <v>9.6</v>
      </c>
      <c r="MQ254" s="2">
        <v>10.5</v>
      </c>
      <c r="MR254" s="2">
        <v>13.5</v>
      </c>
      <c r="MS254" s="2">
        <v>15.8</v>
      </c>
      <c r="MT254" s="2">
        <v>19.3</v>
      </c>
      <c r="MU254" s="2">
        <v>19.3</v>
      </c>
      <c r="MV254" s="2">
        <v>20.7</v>
      </c>
      <c r="MW254" s="2">
        <v>21.7</v>
      </c>
      <c r="MX254" s="2">
        <v>20.5</v>
      </c>
      <c r="MY254" s="2">
        <v>20</v>
      </c>
      <c r="MZ254" s="2">
        <v>20.3</v>
      </c>
      <c r="NA254" s="2">
        <v>17.9</v>
      </c>
      <c r="NB254" s="2">
        <v>16</v>
      </c>
      <c r="NG254" s="2">
        <v>14.8</v>
      </c>
      <c r="NH254" s="2">
        <v>13</v>
      </c>
      <c r="NI254" s="2">
        <v>11.1</v>
      </c>
      <c r="NJ254" s="2">
        <v>9.300000000000001</v>
      </c>
      <c r="NK254" s="2">
        <v>8.300000000000001</v>
      </c>
      <c r="NL254" s="2">
        <v>6.6</v>
      </c>
      <c r="NM254" s="2">
        <v>5.9</v>
      </c>
      <c r="NN254" s="2">
        <v>4.8</v>
      </c>
      <c r="NO254" s="2">
        <v>4.9</v>
      </c>
      <c r="NP254" s="2">
        <v>4.7</v>
      </c>
      <c r="NQ254" s="2">
        <v>5.5</v>
      </c>
      <c r="NR254" s="2">
        <v>5.1</v>
      </c>
      <c r="NW254" s="2">
        <v>4.8</v>
      </c>
      <c r="NX254" s="2">
        <v>4.8</v>
      </c>
      <c r="NY254" s="2">
        <v>5.2</v>
      </c>
      <c r="NZ254" s="2">
        <v>5</v>
      </c>
      <c r="OA254" s="2">
        <v>5</v>
      </c>
      <c r="OB254" s="2">
        <v>5.3</v>
      </c>
      <c r="OC254" s="2">
        <v>5.1</v>
      </c>
      <c r="OD254" s="2">
        <v>5.2</v>
      </c>
      <c r="OE254" s="2">
        <v>4.3</v>
      </c>
      <c r="OF254" s="2">
        <v>4.3</v>
      </c>
      <c r="OG254" s="2">
        <v>2.8</v>
      </c>
      <c r="OH254" s="2">
        <v>2.3</v>
      </c>
      <c r="OM254" s="2">
        <v>2</v>
      </c>
      <c r="ON254" s="2">
        <v>1.7</v>
      </c>
      <c r="OO254" s="2">
        <v>1</v>
      </c>
      <c r="OP254" s="2">
        <v>1.2</v>
      </c>
      <c r="OQ254" s="2">
        <v>0.8</v>
      </c>
      <c r="OR254" s="2">
        <v>0.4</v>
      </c>
      <c r="OS254" s="2">
        <v>0.5</v>
      </c>
      <c r="OT254" s="2">
        <v>0.7</v>
      </c>
      <c r="OU254" s="2">
        <v>1.5</v>
      </c>
      <c r="OV254" s="2">
        <v>1.7</v>
      </c>
      <c r="OW254" s="2">
        <v>2.8</v>
      </c>
      <c r="OX254" s="2">
        <v>3</v>
      </c>
      <c r="PC254" s="2">
        <v>3.5</v>
      </c>
      <c r="PD254" s="2">
        <v>3.7</v>
      </c>
      <c r="PE254" s="2">
        <v>4.5</v>
      </c>
      <c r="PF254" s="2">
        <v>4.7</v>
      </c>
      <c r="PG254" s="2">
        <v>5.6</v>
      </c>
      <c r="PH254" s="2">
        <v>5.8</v>
      </c>
      <c r="PI254" s="2">
        <v>5.7</v>
      </c>
    </row>
    <row r="255">
      <c r="A255" t="inlineStr">
        <is>
          <t>A130397845F</t>
        </is>
      </c>
      <c r="B255" t="inlineStr">
        <is>
          <t>Percentage Change from Corresponding Month of Previous Year ;  Other housing ;  Australia ;</t>
        </is>
      </c>
      <c r="C255" t="inlineStr">
        <is>
          <t>Month</t>
        </is>
      </c>
      <c r="D255" t="inlineStr">
        <is>
          <t>Percent</t>
        </is>
      </c>
      <c r="E255" t="inlineStr">
        <is>
          <t>Original</t>
        </is>
      </c>
      <c r="F255" t="inlineStr">
        <is>
          <t>640103.xlsx</t>
        </is>
      </c>
      <c r="G255" t="inlineStr">
        <is>
          <t>2025-04</t>
        </is>
      </c>
      <c r="H255" t="inlineStr">
        <is>
          <t>2026-07</t>
        </is>
      </c>
      <c r="OP255" s="2">
        <v>3.6</v>
      </c>
      <c r="OQ255" s="2">
        <v>3.4</v>
      </c>
      <c r="OR255" s="2">
        <v>3.4</v>
      </c>
      <c r="OS255" s="2">
        <v>3.6</v>
      </c>
      <c r="OT255" s="2">
        <v>3.8</v>
      </c>
      <c r="OU255" s="2">
        <v>4.3</v>
      </c>
      <c r="OV255" s="2">
        <v>4.3</v>
      </c>
      <c r="OW255" s="2">
        <v>4.3</v>
      </c>
      <c r="OX255" s="2">
        <v>4.4</v>
      </c>
      <c r="PC255" s="2">
        <v>4.2</v>
      </c>
      <c r="PD255" s="2">
        <v>4.4</v>
      </c>
      <c r="PE255" s="2">
        <v>4.2</v>
      </c>
      <c r="PF255" s="2">
        <v>4.4</v>
      </c>
      <c r="PG255" s="2">
        <v>4.7</v>
      </c>
      <c r="PH255" s="2">
        <v>4.9</v>
      </c>
      <c r="PI255" s="2">
        <v>4.7</v>
      </c>
    </row>
    <row r="256">
      <c r="A256" t="inlineStr">
        <is>
          <t>A130394589A</t>
        </is>
      </c>
      <c r="B256" t="inlineStr">
        <is>
          <t>Percentage Change from Corresponding Month of Previous Year ;  Maintenance and repair of the dwelling ;  Australia ;</t>
        </is>
      </c>
      <c r="C256" t="inlineStr">
        <is>
          <t>Month</t>
        </is>
      </c>
      <c r="D256" t="inlineStr">
        <is>
          <t>Percent</t>
        </is>
      </c>
      <c r="E256" t="inlineStr">
        <is>
          <t>Original</t>
        </is>
      </c>
      <c r="F256" t="inlineStr">
        <is>
          <t>640103.xlsx</t>
        </is>
      </c>
      <c r="G256" t="inlineStr">
        <is>
          <t>2025-04</t>
        </is>
      </c>
      <c r="H256" t="inlineStr">
        <is>
          <t>2026-07</t>
        </is>
      </c>
      <c r="OP256" s="2">
        <v>2.7</v>
      </c>
      <c r="OQ256" s="2">
        <v>2.3</v>
      </c>
      <c r="OR256" s="2">
        <v>2.4</v>
      </c>
      <c r="OS256" s="2">
        <v>2.7</v>
      </c>
      <c r="OT256" s="2">
        <v>3</v>
      </c>
      <c r="OU256" s="2">
        <v>2.8</v>
      </c>
      <c r="OV256" s="2">
        <v>3</v>
      </c>
      <c r="OW256" s="2">
        <v>2.8</v>
      </c>
      <c r="OX256" s="2">
        <v>3.1</v>
      </c>
      <c r="PC256" s="2">
        <v>2.8</v>
      </c>
      <c r="PD256" s="2">
        <v>3.1</v>
      </c>
      <c r="PE256" s="2">
        <v>2.8</v>
      </c>
      <c r="PF256" s="2">
        <v>3</v>
      </c>
      <c r="PG256" s="2">
        <v>3.7</v>
      </c>
      <c r="PH256" s="2">
        <v>4</v>
      </c>
      <c r="PI256" s="2">
        <v>3.5</v>
      </c>
    </row>
    <row r="257">
      <c r="A257" t="inlineStr">
        <is>
          <t>A130399780R</t>
        </is>
      </c>
      <c r="B257" t="inlineStr">
        <is>
          <t>Percentage Change from Corresponding Month of Previous Year ;  Property rates and charges ;  Australia ;</t>
        </is>
      </c>
      <c r="C257" t="inlineStr">
        <is>
          <t>Month</t>
        </is>
      </c>
      <c r="D257" t="inlineStr">
        <is>
          <t>Percent</t>
        </is>
      </c>
      <c r="E257" t="inlineStr">
        <is>
          <t>Original</t>
        </is>
      </c>
      <c r="F257" t="inlineStr">
        <is>
          <t>640103.xlsx</t>
        </is>
      </c>
      <c r="G257" t="inlineStr">
        <is>
          <t>2018-09</t>
        </is>
      </c>
      <c r="H257" t="inlineStr">
        <is>
          <t>2026-07</t>
        </is>
      </c>
      <c r="KM257" s="2">
        <v>2.3</v>
      </c>
      <c r="KN257" s="2">
        <v>2.3</v>
      </c>
      <c r="KO257" s="2">
        <v>2.3</v>
      </c>
      <c r="KP257" s="2">
        <v>2.3</v>
      </c>
      <c r="KU257" s="2">
        <v>2.3</v>
      </c>
      <c r="KV257" s="2">
        <v>2.3</v>
      </c>
      <c r="KW257" s="2">
        <v>2.3</v>
      </c>
      <c r="KX257" s="2">
        <v>2.3</v>
      </c>
      <c r="KY257" s="2">
        <v>2.3</v>
      </c>
      <c r="KZ257" s="2">
        <v>2.3</v>
      </c>
      <c r="LA257" s="2">
        <v>2.3</v>
      </c>
      <c r="LB257" s="2">
        <v>2.3</v>
      </c>
      <c r="LC257" s="2">
        <v>2.5</v>
      </c>
      <c r="LD257" s="2">
        <v>2.5</v>
      </c>
      <c r="LE257" s="2">
        <v>2.5</v>
      </c>
      <c r="LF257" s="2">
        <v>2.5</v>
      </c>
      <c r="LK257" s="2">
        <v>2.5</v>
      </c>
      <c r="LL257" s="2">
        <v>2.5</v>
      </c>
      <c r="LM257" s="2">
        <v>2.5</v>
      </c>
      <c r="LN257" s="2">
        <v>2.5</v>
      </c>
      <c r="LO257" s="2">
        <v>2.5</v>
      </c>
      <c r="LP257" s="2">
        <v>2.5</v>
      </c>
      <c r="LQ257" s="2">
        <v>2.5</v>
      </c>
      <c r="LR257" s="2">
        <v>2.5</v>
      </c>
      <c r="LS257" s="2">
        <v>1.3</v>
      </c>
      <c r="LT257" s="2">
        <v>1.3</v>
      </c>
      <c r="LU257" s="2">
        <v>1.3</v>
      </c>
      <c r="LV257" s="2">
        <v>1.3</v>
      </c>
      <c r="MA257" s="2">
        <v>1.3</v>
      </c>
      <c r="MB257" s="2">
        <v>1.3</v>
      </c>
      <c r="MC257" s="2">
        <v>1.3</v>
      </c>
      <c r="MD257" s="2">
        <v>1.3</v>
      </c>
      <c r="ME257" s="2">
        <v>1.3</v>
      </c>
      <c r="MF257" s="2">
        <v>1.3</v>
      </c>
      <c r="MG257" s="2">
        <v>1.3</v>
      </c>
      <c r="MH257" s="2">
        <v>1.3</v>
      </c>
      <c r="MI257" s="2">
        <v>3.3</v>
      </c>
      <c r="MJ257" s="2">
        <v>3.3</v>
      </c>
      <c r="MK257" s="2">
        <v>3.3</v>
      </c>
      <c r="ML257" s="2">
        <v>3.3</v>
      </c>
      <c r="MQ257" s="2">
        <v>3.3</v>
      </c>
      <c r="MR257" s="2">
        <v>3.3</v>
      </c>
      <c r="MS257" s="2">
        <v>3.3</v>
      </c>
      <c r="MT257" s="2">
        <v>3.3</v>
      </c>
      <c r="MU257" s="2">
        <v>3.3</v>
      </c>
      <c r="MV257" s="2">
        <v>3.3</v>
      </c>
      <c r="MW257" s="2">
        <v>3.3</v>
      </c>
      <c r="MX257" s="2">
        <v>3.3</v>
      </c>
      <c r="MY257" s="2">
        <v>3.6</v>
      </c>
      <c r="MZ257" s="2">
        <v>3.6</v>
      </c>
      <c r="NA257" s="2">
        <v>3.6</v>
      </c>
      <c r="NB257" s="2">
        <v>3.6</v>
      </c>
      <c r="NG257" s="2">
        <v>3.6</v>
      </c>
      <c r="NH257" s="2">
        <v>3.6</v>
      </c>
      <c r="NI257" s="2">
        <v>3.6</v>
      </c>
      <c r="NJ257" s="2">
        <v>3.6</v>
      </c>
      <c r="NK257" s="2">
        <v>3.6</v>
      </c>
      <c r="NL257" s="2">
        <v>3.6</v>
      </c>
      <c r="NM257" s="2">
        <v>3.6</v>
      </c>
      <c r="NN257" s="2">
        <v>3.6</v>
      </c>
      <c r="NO257" s="2">
        <v>4.3</v>
      </c>
      <c r="NP257" s="2">
        <v>4.3</v>
      </c>
      <c r="NQ257" s="2">
        <v>4.3</v>
      </c>
      <c r="NR257" s="2">
        <v>4.3</v>
      </c>
      <c r="NW257" s="2">
        <v>4.3</v>
      </c>
      <c r="NX257" s="2">
        <v>4.3</v>
      </c>
      <c r="NY257" s="2">
        <v>4.3</v>
      </c>
      <c r="NZ257" s="2">
        <v>4.3</v>
      </c>
      <c r="OA257" s="2">
        <v>4.3</v>
      </c>
      <c r="OB257" s="2">
        <v>4.3</v>
      </c>
      <c r="OC257" s="2">
        <v>4.3</v>
      </c>
      <c r="OD257" s="2">
        <v>4.3</v>
      </c>
      <c r="OE257" s="2">
        <v>5</v>
      </c>
      <c r="OF257" s="2">
        <v>5</v>
      </c>
      <c r="OG257" s="2">
        <v>5</v>
      </c>
      <c r="OH257" s="2">
        <v>5</v>
      </c>
      <c r="OM257" s="2">
        <v>5</v>
      </c>
      <c r="ON257" s="2">
        <v>5</v>
      </c>
      <c r="OO257" s="2">
        <v>5</v>
      </c>
      <c r="OP257" s="2">
        <v>5</v>
      </c>
      <c r="OQ257" s="2">
        <v>5</v>
      </c>
      <c r="OR257" s="2">
        <v>5</v>
      </c>
      <c r="OS257" s="2">
        <v>5</v>
      </c>
      <c r="OT257" s="2">
        <v>5</v>
      </c>
      <c r="OU257" s="2">
        <v>6.2</v>
      </c>
      <c r="OV257" s="2">
        <v>6.2</v>
      </c>
      <c r="OW257" s="2">
        <v>6.2</v>
      </c>
      <c r="OX257" s="2">
        <v>6.2</v>
      </c>
      <c r="PC257" s="2">
        <v>6.2</v>
      </c>
      <c r="PD257" s="2">
        <v>6.2</v>
      </c>
      <c r="PE257" s="2">
        <v>6.2</v>
      </c>
      <c r="PF257" s="2">
        <v>6.2</v>
      </c>
      <c r="PG257" s="2">
        <v>6.2</v>
      </c>
      <c r="PH257" s="2">
        <v>6.2</v>
      </c>
      <c r="PI257" s="2">
        <v>6.2</v>
      </c>
    </row>
    <row r="258">
      <c r="A258" t="inlineStr">
        <is>
          <t>A130393091X</t>
        </is>
      </c>
      <c r="B258" t="inlineStr">
        <is>
          <t>Percentage Change from Corresponding Month of Previous Year ;  Utilities ;  Australia ;</t>
        </is>
      </c>
      <c r="C258" t="inlineStr">
        <is>
          <t>Month</t>
        </is>
      </c>
      <c r="D258" t="inlineStr">
        <is>
          <t>Percent</t>
        </is>
      </c>
      <c r="E258" t="inlineStr">
        <is>
          <t>Original</t>
        </is>
      </c>
      <c r="F258" t="inlineStr">
        <is>
          <t>640103.xlsx</t>
        </is>
      </c>
      <c r="G258" t="inlineStr">
        <is>
          <t>2025-04</t>
        </is>
      </c>
      <c r="H258" t="inlineStr">
        <is>
          <t>2026-07</t>
        </is>
      </c>
      <c r="OP258" s="2">
        <v>-1.7</v>
      </c>
      <c r="OQ258" s="2">
        <v>-1.4</v>
      </c>
      <c r="OR258" s="2">
        <v>-2.1</v>
      </c>
      <c r="OS258" s="2">
        <v>9.300000000000001</v>
      </c>
      <c r="OT258" s="2">
        <v>14.4</v>
      </c>
      <c r="OU258" s="2">
        <v>19.2</v>
      </c>
      <c r="OV258" s="2">
        <v>20.2</v>
      </c>
      <c r="OW258" s="2">
        <v>12.8</v>
      </c>
      <c r="OX258" s="2">
        <v>14.2</v>
      </c>
      <c r="PC258" s="2">
        <v>20.2</v>
      </c>
      <c r="PD258" s="2">
        <v>22.4</v>
      </c>
      <c r="PE258" s="2">
        <v>16.8</v>
      </c>
      <c r="PF258" s="2">
        <v>15.3</v>
      </c>
      <c r="PG258" s="2">
        <v>14.5</v>
      </c>
      <c r="PH258" s="2">
        <v>15.7</v>
      </c>
      <c r="PI258" s="2">
        <v>6.4</v>
      </c>
    </row>
    <row r="259">
      <c r="A259" t="inlineStr">
        <is>
          <t>A130391061X</t>
        </is>
      </c>
      <c r="B259" t="inlineStr">
        <is>
          <t>Percentage Change from Corresponding Month of Previous Year ;  Water and sewerage ;  Australia ;</t>
        </is>
      </c>
      <c r="C259" t="inlineStr">
        <is>
          <t>Month</t>
        </is>
      </c>
      <c r="D259" t="inlineStr">
        <is>
          <t>Percent</t>
        </is>
      </c>
      <c r="E259" t="inlineStr">
        <is>
          <t>Original</t>
        </is>
      </c>
      <c r="F259" t="inlineStr">
        <is>
          <t>640103.xlsx</t>
        </is>
      </c>
      <c r="G259" t="inlineStr">
        <is>
          <t>2025-04</t>
        </is>
      </c>
      <c r="H259" t="inlineStr">
        <is>
          <t>2026-07</t>
        </is>
      </c>
      <c r="OP259" s="2">
        <v>2.7</v>
      </c>
      <c r="OQ259" s="2">
        <v>2.7</v>
      </c>
      <c r="OR259" s="2">
        <v>2.7</v>
      </c>
      <c r="OS259" s="2">
        <v>2.7</v>
      </c>
      <c r="OT259" s="2">
        <v>2.7</v>
      </c>
      <c r="OU259" s="2">
        <v>2.7</v>
      </c>
      <c r="OV259" s="2">
        <v>7.1</v>
      </c>
      <c r="OW259" s="2">
        <v>7.1</v>
      </c>
      <c r="OX259" s="2">
        <v>7.1</v>
      </c>
      <c r="PC259" s="2">
        <v>7.1</v>
      </c>
      <c r="PD259" s="2">
        <v>7.1</v>
      </c>
      <c r="PE259" s="2">
        <v>7.1</v>
      </c>
      <c r="PF259" s="2">
        <v>7.1</v>
      </c>
      <c r="PG259" s="2">
        <v>7.1</v>
      </c>
      <c r="PH259" s="2">
        <v>7.1</v>
      </c>
      <c r="PI259" s="2">
        <v>10.2</v>
      </c>
    </row>
    <row r="260">
      <c r="A260" t="inlineStr">
        <is>
          <t>A130390732J</t>
        </is>
      </c>
      <c r="B260" t="inlineStr">
        <is>
          <t>Percentage Change from Corresponding Month of Previous Year ;  Electricity ;  Australia ;</t>
        </is>
      </c>
      <c r="C260" t="inlineStr">
        <is>
          <t>Month</t>
        </is>
      </c>
      <c r="D260" t="inlineStr">
        <is>
          <t>Percent</t>
        </is>
      </c>
      <c r="E260" t="inlineStr">
        <is>
          <t>Original</t>
        </is>
      </c>
      <c r="F260" t="inlineStr">
        <is>
          <t>640103.xlsx</t>
        </is>
      </c>
      <c r="G260" t="inlineStr">
        <is>
          <t>2022-10</t>
        </is>
      </c>
      <c r="H260" t="inlineStr">
        <is>
          <t>2026-07</t>
        </is>
      </c>
      <c r="MZ260" s="2">
        <v>11.9</v>
      </c>
      <c r="NA260" s="2">
        <v>10.5</v>
      </c>
      <c r="NB260" s="2">
        <v>14.6</v>
      </c>
      <c r="NG260" s="2">
        <v>15.3</v>
      </c>
      <c r="NH260" s="2">
        <v>15.7</v>
      </c>
      <c r="NI260" s="2">
        <v>15.6</v>
      </c>
      <c r="NJ260" s="2">
        <v>15.1</v>
      </c>
      <c r="NK260" s="2">
        <v>14</v>
      </c>
      <c r="NL260" s="2">
        <v>10.2</v>
      </c>
      <c r="NM260" s="2">
        <v>15.6</v>
      </c>
      <c r="NN260" s="2">
        <v>12.6</v>
      </c>
      <c r="NO260" s="2">
        <v>18</v>
      </c>
      <c r="NP260" s="2">
        <v>10.1</v>
      </c>
      <c r="NQ260" s="2">
        <v>10.7</v>
      </c>
      <c r="NR260" s="2">
        <v>0.4</v>
      </c>
      <c r="NW260" s="2">
        <v>0.8</v>
      </c>
      <c r="NX260" s="2">
        <v>0.2</v>
      </c>
      <c r="NY260" s="2">
        <v>5.2</v>
      </c>
      <c r="NZ260" s="2">
        <v>4.2</v>
      </c>
      <c r="OA260" s="2">
        <v>6.6</v>
      </c>
      <c r="OB260" s="2">
        <v>7.4</v>
      </c>
      <c r="OC260" s="2">
        <v>-5.1</v>
      </c>
      <c r="OD260" s="2">
        <v>-17.9</v>
      </c>
      <c r="OE260" s="2">
        <v>-24.1</v>
      </c>
      <c r="OF260" s="2">
        <v>-35.6</v>
      </c>
      <c r="OG260" s="2">
        <v>-21.5</v>
      </c>
      <c r="OH260" s="2">
        <v>-17.9</v>
      </c>
      <c r="OM260" s="2">
        <v>-11.4</v>
      </c>
      <c r="ON260" s="2">
        <v>-13.2</v>
      </c>
      <c r="OO260" s="2">
        <v>-9.6</v>
      </c>
      <c r="OP260" s="2">
        <v>-6.5</v>
      </c>
      <c r="OQ260" s="2">
        <v>-5.9</v>
      </c>
      <c r="OR260" s="2">
        <v>-6.3</v>
      </c>
      <c r="OS260" s="2">
        <v>13.6</v>
      </c>
      <c r="OT260" s="2">
        <v>24.6</v>
      </c>
      <c r="OU260" s="2">
        <v>33.9</v>
      </c>
      <c r="OV260" s="2">
        <v>37.1</v>
      </c>
      <c r="OW260" s="2">
        <v>19.7</v>
      </c>
      <c r="OX260" s="2">
        <v>21.5</v>
      </c>
      <c r="PC260" s="2">
        <v>32.2</v>
      </c>
      <c r="PD260" s="2">
        <v>37</v>
      </c>
      <c r="PE260" s="2">
        <v>25.4</v>
      </c>
      <c r="PF260" s="2">
        <v>22.5</v>
      </c>
      <c r="PG260" s="2">
        <v>21.1</v>
      </c>
      <c r="PH260" s="2">
        <v>22.4</v>
      </c>
      <c r="PI260" s="2">
        <v>6.1</v>
      </c>
    </row>
    <row r="261">
      <c r="A261" t="inlineStr">
        <is>
          <t>A130392615J</t>
        </is>
      </c>
      <c r="B261" t="inlineStr">
        <is>
          <t>Percentage Change from Corresponding Month of Previous Year ;  Gas and other household fuels ;  Australia ;</t>
        </is>
      </c>
      <c r="C261" t="inlineStr">
        <is>
          <t>Month</t>
        </is>
      </c>
      <c r="D261" t="inlineStr">
        <is>
          <t>Percent</t>
        </is>
      </c>
      <c r="E261" t="inlineStr">
        <is>
          <t>Original</t>
        </is>
      </c>
      <c r="F261" t="inlineStr">
        <is>
          <t>640103.xlsx</t>
        </is>
      </c>
      <c r="G261" t="inlineStr">
        <is>
          <t>2022-10</t>
        </is>
      </c>
      <c r="H261" t="inlineStr">
        <is>
          <t>2026-07</t>
        </is>
      </c>
      <c r="MZ261" s="2">
        <v>17.2</v>
      </c>
      <c r="NA261" s="2">
        <v>17.1</v>
      </c>
      <c r="NB261" s="2">
        <v>18.7</v>
      </c>
      <c r="NG261" s="2">
        <v>27.1</v>
      </c>
      <c r="NH261" s="2">
        <v>25.8</v>
      </c>
      <c r="NI261" s="2">
        <v>26.2</v>
      </c>
      <c r="NJ261" s="2">
        <v>26.3</v>
      </c>
      <c r="NK261" s="2">
        <v>27.2</v>
      </c>
      <c r="NL261" s="2">
        <v>22.2</v>
      </c>
      <c r="NM261" s="2">
        <v>13.8</v>
      </c>
      <c r="NN261" s="2">
        <v>12.9</v>
      </c>
      <c r="NO261" s="2">
        <v>12.7</v>
      </c>
      <c r="NP261" s="2">
        <v>13</v>
      </c>
      <c r="NQ261" s="2">
        <v>12.9</v>
      </c>
      <c r="NR261" s="2">
        <v>8.5</v>
      </c>
      <c r="NW261" s="2">
        <v>-1.4</v>
      </c>
      <c r="NX261" s="2">
        <v>-2.4</v>
      </c>
      <c r="NY261" s="2">
        <v>-2.9</v>
      </c>
      <c r="NZ261" s="2">
        <v>-3.5</v>
      </c>
      <c r="OA261" s="2">
        <v>-3.9</v>
      </c>
      <c r="OB261" s="2">
        <v>-0.6</v>
      </c>
      <c r="OC261" s="2">
        <v>2.7</v>
      </c>
      <c r="OD261" s="2">
        <v>3.1</v>
      </c>
      <c r="OE261" s="2">
        <v>3</v>
      </c>
      <c r="OF261" s="2">
        <v>4.4</v>
      </c>
      <c r="OG261" s="2">
        <v>5.3</v>
      </c>
      <c r="OH261" s="2">
        <v>4</v>
      </c>
      <c r="OM261" s="2">
        <v>6</v>
      </c>
      <c r="ON261" s="2">
        <v>6.3</v>
      </c>
      <c r="OO261" s="2">
        <v>6.3</v>
      </c>
      <c r="OP261" s="2">
        <v>6.3</v>
      </c>
      <c r="OQ261" s="2">
        <v>6.5</v>
      </c>
      <c r="OR261" s="2">
        <v>4.2</v>
      </c>
      <c r="OS261" s="2">
        <v>4.7</v>
      </c>
      <c r="OT261" s="2">
        <v>4.1</v>
      </c>
      <c r="OU261" s="2">
        <v>6.5</v>
      </c>
      <c r="OV261" s="2">
        <v>3.8</v>
      </c>
      <c r="OW261" s="2">
        <v>4.1</v>
      </c>
      <c r="OX261" s="2">
        <v>5.8</v>
      </c>
      <c r="PC261" s="2">
        <v>5.8</v>
      </c>
      <c r="PD261" s="2">
        <v>5.5</v>
      </c>
      <c r="PE261" s="2">
        <v>5.7</v>
      </c>
      <c r="PF261" s="2">
        <v>5.7</v>
      </c>
      <c r="PG261" s="2">
        <v>4.9</v>
      </c>
      <c r="PH261" s="2">
        <v>7.2</v>
      </c>
      <c r="PI261" s="2">
        <v>3.7</v>
      </c>
    </row>
    <row r="262">
      <c r="A262" t="inlineStr">
        <is>
          <t>A130399199K</t>
        </is>
      </c>
      <c r="B262" t="inlineStr">
        <is>
          <t>Percentage Change from Corresponding Month of Previous Year ;  Furnishings, household equipment and services ;  Australia ;</t>
        </is>
      </c>
      <c r="C262" t="inlineStr">
        <is>
          <t>Month</t>
        </is>
      </c>
      <c r="D262" t="inlineStr">
        <is>
          <t>Percent</t>
        </is>
      </c>
      <c r="E262" t="inlineStr">
        <is>
          <t>Original</t>
        </is>
      </c>
      <c r="F262" t="inlineStr">
        <is>
          <t>640103.xlsx</t>
        </is>
      </c>
      <c r="G262" t="inlineStr">
        <is>
          <t>2025-04</t>
        </is>
      </c>
      <c r="H262" t="inlineStr">
        <is>
          <t>2026-07</t>
        </is>
      </c>
      <c r="OP262" s="2">
        <v>1.8</v>
      </c>
      <c r="OQ262" s="2">
        <v>1.5</v>
      </c>
      <c r="OR262" s="2">
        <v>1.7</v>
      </c>
      <c r="OS262" s="2">
        <v>1.8</v>
      </c>
      <c r="OT262" s="2">
        <v>1.7</v>
      </c>
      <c r="OU262" s="2">
        <v>1.8</v>
      </c>
      <c r="OV262" s="2">
        <v>2.1</v>
      </c>
      <c r="OW262" s="2">
        <v>1.3</v>
      </c>
      <c r="OX262" s="2">
        <v>2</v>
      </c>
      <c r="PC262" s="2">
        <v>1.4</v>
      </c>
      <c r="PD262" s="2">
        <v>1.3</v>
      </c>
      <c r="PE262" s="2">
        <v>1.4</v>
      </c>
      <c r="PF262" s="2">
        <v>1.2</v>
      </c>
      <c r="PG262" s="2">
        <v>1.7</v>
      </c>
      <c r="PH262" s="2">
        <v>1.6</v>
      </c>
      <c r="PI262" s="2">
        <v>1.6</v>
      </c>
    </row>
    <row r="263">
      <c r="A263" t="inlineStr">
        <is>
          <t>A130397796W</t>
        </is>
      </c>
      <c r="B263" t="inlineStr">
        <is>
          <t>Percentage Change from Corresponding Month of Previous Year ;  Furniture and furnishings ;  Australia ;</t>
        </is>
      </c>
      <c r="C263" t="inlineStr">
        <is>
          <t>Month</t>
        </is>
      </c>
      <c r="D263" t="inlineStr">
        <is>
          <t>Percent</t>
        </is>
      </c>
      <c r="E263" t="inlineStr">
        <is>
          <t>Original</t>
        </is>
      </c>
      <c r="F263" t="inlineStr">
        <is>
          <t>640103.xlsx</t>
        </is>
      </c>
      <c r="G263" t="inlineStr">
        <is>
          <t>2025-04</t>
        </is>
      </c>
      <c r="H263" t="inlineStr">
        <is>
          <t>2026-07</t>
        </is>
      </c>
      <c r="OP263" s="2">
        <v>1.1</v>
      </c>
      <c r="OQ263" s="2">
        <v>-0.4</v>
      </c>
      <c r="OR263" s="2">
        <v>0.6</v>
      </c>
      <c r="OS263" s="2">
        <v>0.4</v>
      </c>
      <c r="OT263" s="2">
        <v>-0.3</v>
      </c>
      <c r="OU263" s="2">
        <v>0.6</v>
      </c>
      <c r="OV263" s="2">
        <v>0.9</v>
      </c>
      <c r="OW263" s="2">
        <v>-0.1</v>
      </c>
      <c r="OX263" s="2">
        <v>0.9</v>
      </c>
      <c r="PC263" s="2">
        <v>-1.1</v>
      </c>
      <c r="PD263" s="2">
        <v>-1.3</v>
      </c>
      <c r="PE263" s="2">
        <v>0.3</v>
      </c>
      <c r="PF263" s="2">
        <v>0.2</v>
      </c>
      <c r="PG263" s="2">
        <v>1.8</v>
      </c>
      <c r="PH263" s="2">
        <v>0.3</v>
      </c>
      <c r="PI263" s="2">
        <v>0.2</v>
      </c>
    </row>
    <row r="264">
      <c r="A264" t="inlineStr">
        <is>
          <t>A130394596X</t>
        </is>
      </c>
      <c r="B264" t="inlineStr">
        <is>
          <t>Percentage Change from Corresponding Month of Previous Year ;  Furniture ;  Australia ;</t>
        </is>
      </c>
      <c r="C264" t="inlineStr">
        <is>
          <t>Month</t>
        </is>
      </c>
      <c r="D264" t="inlineStr">
        <is>
          <t>Percent</t>
        </is>
      </c>
      <c r="E264" t="inlineStr">
        <is>
          <t>Original</t>
        </is>
      </c>
      <c r="F264" t="inlineStr">
        <is>
          <t>640103.xlsx</t>
        </is>
      </c>
      <c r="G264" t="inlineStr">
        <is>
          <t>2025-04</t>
        </is>
      </c>
      <c r="H264" t="inlineStr">
        <is>
          <t>2026-07</t>
        </is>
      </c>
      <c r="OP264" s="2">
        <v>1.6</v>
      </c>
      <c r="OQ264" s="2">
        <v>-0.7</v>
      </c>
      <c r="OR264" s="2">
        <v>0.9</v>
      </c>
      <c r="OS264" s="2">
        <v>0.3</v>
      </c>
      <c r="OT264" s="2">
        <v>-0.7</v>
      </c>
      <c r="OU264" s="2">
        <v>0.4</v>
      </c>
      <c r="OV264" s="2">
        <v>0.6</v>
      </c>
      <c r="OW264" s="2">
        <v>-0.4</v>
      </c>
      <c r="OX264" s="2">
        <v>0.7</v>
      </c>
      <c r="PC264" s="2">
        <v>-2</v>
      </c>
      <c r="PD264" s="2">
        <v>-2.2</v>
      </c>
      <c r="PE264" s="2">
        <v>-0.4</v>
      </c>
      <c r="PF264" s="2">
        <v>-0.5</v>
      </c>
      <c r="PG264" s="2">
        <v>1.6</v>
      </c>
      <c r="PH264" s="2">
        <v>-0.5</v>
      </c>
      <c r="PI264" s="2">
        <v>-0.5</v>
      </c>
    </row>
    <row r="265">
      <c r="A265" t="inlineStr">
        <is>
          <t>A130397824V</t>
        </is>
      </c>
      <c r="B265" t="inlineStr">
        <is>
          <t>Percentage Change from Corresponding Month of Previous Year ;  Carpets and other floor coverings ;  Australia ;</t>
        </is>
      </c>
      <c r="C265" t="inlineStr">
        <is>
          <t>Month</t>
        </is>
      </c>
      <c r="D265" t="inlineStr">
        <is>
          <t>Percent</t>
        </is>
      </c>
      <c r="E265" t="inlineStr">
        <is>
          <t>Original</t>
        </is>
      </c>
      <c r="F265" t="inlineStr">
        <is>
          <t>640103.xlsx</t>
        </is>
      </c>
      <c r="G265" t="inlineStr">
        <is>
          <t>2025-04</t>
        </is>
      </c>
      <c r="H265" t="inlineStr">
        <is>
          <t>2026-07</t>
        </is>
      </c>
      <c r="OP265" s="2">
        <v>-1</v>
      </c>
      <c r="OQ265" s="2">
        <v>0.7</v>
      </c>
      <c r="OR265" s="2">
        <v>-0.7</v>
      </c>
      <c r="OS265" s="2">
        <v>0.7</v>
      </c>
      <c r="OT265" s="2">
        <v>1.6</v>
      </c>
      <c r="OU265" s="2">
        <v>1.7</v>
      </c>
      <c r="OV265" s="2">
        <v>1.8</v>
      </c>
      <c r="OW265" s="2">
        <v>1.3</v>
      </c>
      <c r="OX265" s="2">
        <v>1.7</v>
      </c>
      <c r="PC265" s="2">
        <v>2.8</v>
      </c>
      <c r="PD265" s="2">
        <v>2.8</v>
      </c>
      <c r="PE265" s="2">
        <v>3.5</v>
      </c>
      <c r="PF265" s="2">
        <v>3.3</v>
      </c>
      <c r="PG265" s="2">
        <v>2.5</v>
      </c>
      <c r="PH265" s="2">
        <v>3.7</v>
      </c>
      <c r="PI265" s="2">
        <v>3.5</v>
      </c>
    </row>
    <row r="266">
      <c r="A266" t="inlineStr">
        <is>
          <t>A130396493V</t>
        </is>
      </c>
      <c r="B266" t="inlineStr">
        <is>
          <t>Percentage Change from Corresponding Month of Previous Year ;  Household textiles ;  Australia ;</t>
        </is>
      </c>
      <c r="C266" t="inlineStr">
        <is>
          <t>Month</t>
        </is>
      </c>
      <c r="D266" t="inlineStr">
        <is>
          <t>Percent</t>
        </is>
      </c>
      <c r="E266" t="inlineStr">
        <is>
          <t>Original</t>
        </is>
      </c>
      <c r="F266" t="inlineStr">
        <is>
          <t>640103.xlsx</t>
        </is>
      </c>
      <c r="G266" t="inlineStr">
        <is>
          <t>2025-04</t>
        </is>
      </c>
      <c r="H266" t="inlineStr">
        <is>
          <t>2026-07</t>
        </is>
      </c>
      <c r="OP266" s="2">
        <v>-1.6</v>
      </c>
      <c r="OQ266" s="2">
        <v>0.4</v>
      </c>
      <c r="OR266" s="2">
        <v>-0.3</v>
      </c>
      <c r="OS266" s="2">
        <v>1.9</v>
      </c>
      <c r="OT266" s="2">
        <v>-3.8</v>
      </c>
      <c r="OU266" s="2">
        <v>0</v>
      </c>
      <c r="OV266" s="2">
        <v>3.6</v>
      </c>
      <c r="OW266" s="2">
        <v>-3.5</v>
      </c>
      <c r="OX266" s="2">
        <v>5.1</v>
      </c>
      <c r="PC266" s="2">
        <v>0.8</v>
      </c>
      <c r="PD266" s="2">
        <v>0.2</v>
      </c>
      <c r="PE266" s="2">
        <v>-2.2</v>
      </c>
      <c r="PF266" s="2">
        <v>-1.5</v>
      </c>
      <c r="PG266" s="2">
        <v>-4.7</v>
      </c>
      <c r="PH266" s="2">
        <v>-0.6</v>
      </c>
      <c r="PI266" s="2">
        <v>0.8</v>
      </c>
    </row>
    <row r="267">
      <c r="A267" t="inlineStr">
        <is>
          <t>A130395380F</t>
        </is>
      </c>
      <c r="B267" t="inlineStr">
        <is>
          <t>Percentage Change from Corresponding Month of Previous Year ;  Household textiles ;  Australia ;</t>
        </is>
      </c>
      <c r="C267" t="inlineStr">
        <is>
          <t>Month</t>
        </is>
      </c>
      <c r="D267" t="inlineStr">
        <is>
          <t>Percent</t>
        </is>
      </c>
      <c r="E267" t="inlineStr">
        <is>
          <t>Original</t>
        </is>
      </c>
      <c r="F267" t="inlineStr">
        <is>
          <t>640103.xlsx</t>
        </is>
      </c>
      <c r="G267" t="inlineStr">
        <is>
          <t>2025-04</t>
        </is>
      </c>
      <c r="H267" t="inlineStr">
        <is>
          <t>2026-07</t>
        </is>
      </c>
      <c r="OP267" s="2">
        <v>-1.6</v>
      </c>
      <c r="OQ267" s="2">
        <v>0.4</v>
      </c>
      <c r="OR267" s="2">
        <v>-0.3</v>
      </c>
      <c r="OS267" s="2">
        <v>1.9</v>
      </c>
      <c r="OT267" s="2">
        <v>-3.8</v>
      </c>
      <c r="OU267" s="2">
        <v>0</v>
      </c>
      <c r="OV267" s="2">
        <v>3.6</v>
      </c>
      <c r="OW267" s="2">
        <v>-3.5</v>
      </c>
      <c r="OX267" s="2">
        <v>5.1</v>
      </c>
      <c r="PC267" s="2">
        <v>0.8</v>
      </c>
      <c r="PD267" s="2">
        <v>0.2</v>
      </c>
      <c r="PE267" s="2">
        <v>-2.2</v>
      </c>
      <c r="PF267" s="2">
        <v>-1.5</v>
      </c>
      <c r="PG267" s="2">
        <v>-4.7</v>
      </c>
      <c r="PH267" s="2">
        <v>-0.6</v>
      </c>
      <c r="PI267" s="2">
        <v>0.8</v>
      </c>
    </row>
    <row r="268">
      <c r="A268" t="inlineStr">
        <is>
          <t>A130398517L</t>
        </is>
      </c>
      <c r="B268" t="inlineStr">
        <is>
          <t>Percentage Change from Corresponding Month of Previous Year ;  Household appliances, utensils and tools ;  Australia ;</t>
        </is>
      </c>
      <c r="C268" t="inlineStr">
        <is>
          <t>Month</t>
        </is>
      </c>
      <c r="D268" t="inlineStr">
        <is>
          <t>Percent</t>
        </is>
      </c>
      <c r="E268" t="inlineStr">
        <is>
          <t>Original</t>
        </is>
      </c>
      <c r="F268" t="inlineStr">
        <is>
          <t>640103.xlsx</t>
        </is>
      </c>
      <c r="G268" t="inlineStr">
        <is>
          <t>2025-04</t>
        </is>
      </c>
      <c r="H268" t="inlineStr">
        <is>
          <t>2026-07</t>
        </is>
      </c>
      <c r="OP268" s="2">
        <v>-0.4</v>
      </c>
      <c r="OQ268" s="2">
        <v>-1</v>
      </c>
      <c r="OR268" s="2">
        <v>-0.4</v>
      </c>
      <c r="OS268" s="2">
        <v>-1.9</v>
      </c>
      <c r="OT268" s="2">
        <v>0.8</v>
      </c>
      <c r="OU268" s="2">
        <v>-0.3</v>
      </c>
      <c r="OV268" s="2">
        <v>-0.8</v>
      </c>
      <c r="OW268" s="2">
        <v>-1</v>
      </c>
      <c r="OX268" s="2">
        <v>-2.1</v>
      </c>
      <c r="PC268" s="2">
        <v>-0.4</v>
      </c>
      <c r="PD268" s="2">
        <v>0.3</v>
      </c>
      <c r="PE268" s="2">
        <v>-0.1</v>
      </c>
      <c r="PF268" s="2">
        <v>-1.5</v>
      </c>
      <c r="PG268" s="2">
        <v>-0.2</v>
      </c>
      <c r="PH268" s="2">
        <v>-0.4</v>
      </c>
      <c r="PI268" s="2">
        <v>0.7</v>
      </c>
    </row>
    <row r="269">
      <c r="A269" t="inlineStr">
        <is>
          <t>A130399507A</t>
        </is>
      </c>
      <c r="B269" t="inlineStr">
        <is>
          <t>Percentage Change from Corresponding Month of Previous Year ;  Major household appliances ;  Australia ;</t>
        </is>
      </c>
      <c r="C269" t="inlineStr">
        <is>
          <t>Month</t>
        </is>
      </c>
      <c r="D269" t="inlineStr">
        <is>
          <t>Percent</t>
        </is>
      </c>
      <c r="E269" t="inlineStr">
        <is>
          <t>Original</t>
        </is>
      </c>
      <c r="F269" t="inlineStr">
        <is>
          <t>640103.xlsx</t>
        </is>
      </c>
      <c r="G269" t="inlineStr">
        <is>
          <t>2025-04</t>
        </is>
      </c>
      <c r="H269" t="inlineStr">
        <is>
          <t>2026-07</t>
        </is>
      </c>
      <c r="OP269" s="2">
        <v>-1.5</v>
      </c>
      <c r="OQ269" s="2">
        <v>1.1</v>
      </c>
      <c r="OR269" s="2">
        <v>2.2</v>
      </c>
      <c r="OS269" s="2">
        <v>-1</v>
      </c>
      <c r="OT269" s="2">
        <v>0.4</v>
      </c>
      <c r="OU269" s="2">
        <v>0.8</v>
      </c>
      <c r="OV269" s="2">
        <v>-1.4</v>
      </c>
      <c r="OW269" s="2">
        <v>-1</v>
      </c>
      <c r="OX269" s="2">
        <v>-0.9</v>
      </c>
      <c r="PC269" s="2">
        <v>0.5</v>
      </c>
      <c r="PD269" s="2">
        <v>0.5</v>
      </c>
      <c r="PE269" s="2">
        <v>-0.5</v>
      </c>
      <c r="PF269" s="2">
        <v>-0.9</v>
      </c>
      <c r="PG269" s="2">
        <v>-2.4</v>
      </c>
      <c r="PH269" s="2">
        <v>-4.9</v>
      </c>
      <c r="PI269" s="2">
        <v>0.4</v>
      </c>
    </row>
    <row r="270">
      <c r="A270" t="inlineStr">
        <is>
          <t>A130391250K</t>
        </is>
      </c>
      <c r="B270" t="inlineStr">
        <is>
          <t>Percentage Change from Corresponding Month of Previous Year ;  Small electric household appliances ;  Australia ;</t>
        </is>
      </c>
      <c r="C270" t="inlineStr">
        <is>
          <t>Month</t>
        </is>
      </c>
      <c r="D270" t="inlineStr">
        <is>
          <t>Percent</t>
        </is>
      </c>
      <c r="E270" t="inlineStr">
        <is>
          <t>Original</t>
        </is>
      </c>
      <c r="F270" t="inlineStr">
        <is>
          <t>640103.xlsx</t>
        </is>
      </c>
      <c r="G270" t="inlineStr">
        <is>
          <t>2025-04</t>
        </is>
      </c>
      <c r="H270" t="inlineStr">
        <is>
          <t>2026-07</t>
        </is>
      </c>
      <c r="OP270" s="2">
        <v>-0.6</v>
      </c>
      <c r="OQ270" s="2">
        <v>-3.3</v>
      </c>
      <c r="OR270" s="2">
        <v>-1.8</v>
      </c>
      <c r="OS270" s="2">
        <v>-4.1</v>
      </c>
      <c r="OT270" s="2">
        <v>-0.3</v>
      </c>
      <c r="OU270" s="2">
        <v>0</v>
      </c>
      <c r="OV270" s="2">
        <v>0.2</v>
      </c>
      <c r="OW270" s="2">
        <v>-0.2</v>
      </c>
      <c r="OX270" s="2">
        <v>-0.5</v>
      </c>
      <c r="PC270" s="2">
        <v>-2.2</v>
      </c>
      <c r="PD270" s="2">
        <v>-0.1</v>
      </c>
      <c r="PE270" s="2">
        <v>-0.1</v>
      </c>
      <c r="PF270" s="2">
        <v>-2</v>
      </c>
      <c r="PG270" s="2">
        <v>-1.6</v>
      </c>
      <c r="PH270" s="2">
        <v>-0.5</v>
      </c>
      <c r="PI270" s="2">
        <v>0.7</v>
      </c>
    </row>
    <row r="271">
      <c r="A271" t="inlineStr">
        <is>
          <t>A130391264X</t>
        </is>
      </c>
      <c r="B271" t="inlineStr">
        <is>
          <t>Percentage Change from Corresponding Month of Previous Year ;  Glassware, tableware and household utensils ;  Australia ;</t>
        </is>
      </c>
      <c r="C271" t="inlineStr">
        <is>
          <t>Month</t>
        </is>
      </c>
      <c r="D271" t="inlineStr">
        <is>
          <t>Percent</t>
        </is>
      </c>
      <c r="E271" t="inlineStr">
        <is>
          <t>Original</t>
        </is>
      </c>
      <c r="F271" t="inlineStr">
        <is>
          <t>640103.xlsx</t>
        </is>
      </c>
      <c r="G271" t="inlineStr">
        <is>
          <t>2025-04</t>
        </is>
      </c>
      <c r="H271" t="inlineStr">
        <is>
          <t>2026-07</t>
        </is>
      </c>
      <c r="OP271" s="2">
        <v>1</v>
      </c>
      <c r="OQ271" s="2">
        <v>-1.8</v>
      </c>
      <c r="OR271" s="2">
        <v>-1.4</v>
      </c>
      <c r="OS271" s="2">
        <v>-0.9</v>
      </c>
      <c r="OT271" s="2">
        <v>4.5</v>
      </c>
      <c r="OU271" s="2">
        <v>-0.4</v>
      </c>
      <c r="OV271" s="2">
        <v>-0.7</v>
      </c>
      <c r="OW271" s="2">
        <v>-2.1</v>
      </c>
      <c r="OX271" s="2">
        <v>-4.9</v>
      </c>
      <c r="PC271" s="2">
        <v>1.3</v>
      </c>
      <c r="PD271" s="2">
        <v>0.8</v>
      </c>
      <c r="PE271" s="2">
        <v>1.4</v>
      </c>
      <c r="PF271" s="2">
        <v>-2.5</v>
      </c>
      <c r="PG271" s="2">
        <v>3</v>
      </c>
      <c r="PH271" s="2">
        <v>2.8</v>
      </c>
      <c r="PI271" s="2">
        <v>-0.4</v>
      </c>
    </row>
    <row r="272">
      <c r="A272" t="inlineStr">
        <is>
          <t>A130392034K</t>
        </is>
      </c>
      <c r="B272" t="inlineStr">
        <is>
          <t>Percentage Change from Corresponding Month of Previous Year ;  Tools and equipment for house and garden ;  Australia ;</t>
        </is>
      </c>
      <c r="C272" t="inlineStr">
        <is>
          <t>Month</t>
        </is>
      </c>
      <c r="D272" t="inlineStr">
        <is>
          <t>Percent</t>
        </is>
      </c>
      <c r="E272" t="inlineStr">
        <is>
          <t>Original</t>
        </is>
      </c>
      <c r="F272" t="inlineStr">
        <is>
          <t>640103.xlsx</t>
        </is>
      </c>
      <c r="G272" t="inlineStr">
        <is>
          <t>2025-04</t>
        </is>
      </c>
      <c r="H272" t="inlineStr">
        <is>
          <t>2026-07</t>
        </is>
      </c>
      <c r="OP272" s="2">
        <v>-0.6</v>
      </c>
      <c r="OQ272" s="2">
        <v>-0.5</v>
      </c>
      <c r="OR272" s="2">
        <v>-0.7</v>
      </c>
      <c r="OS272" s="2">
        <v>-2</v>
      </c>
      <c r="OT272" s="2">
        <v>-1.6</v>
      </c>
      <c r="OU272" s="2">
        <v>-1.5</v>
      </c>
      <c r="OV272" s="2">
        <v>-0.8</v>
      </c>
      <c r="OW272" s="2">
        <v>-0.4</v>
      </c>
      <c r="OX272" s="2">
        <v>-1.4</v>
      </c>
      <c r="PC272" s="2">
        <v>-1.7</v>
      </c>
      <c r="PD272" s="2">
        <v>0</v>
      </c>
      <c r="PE272" s="2">
        <v>-1.1</v>
      </c>
      <c r="PF272" s="2">
        <v>-0.7</v>
      </c>
      <c r="PG272" s="2">
        <v>-0.1</v>
      </c>
      <c r="PH272" s="2">
        <v>1.1</v>
      </c>
      <c r="PI272" s="2">
        <v>2.1</v>
      </c>
    </row>
    <row r="273">
      <c r="A273" t="inlineStr">
        <is>
          <t>A130394918C</t>
        </is>
      </c>
      <c r="B273" t="inlineStr">
        <is>
          <t>Percentage Change from Corresponding Month of Previous Year ;  Non-durable household products ;  Australia ;</t>
        </is>
      </c>
      <c r="C273" t="inlineStr">
        <is>
          <t>Month</t>
        </is>
      </c>
      <c r="D273" t="inlineStr">
        <is>
          <t>Percent</t>
        </is>
      </c>
      <c r="E273" t="inlineStr">
        <is>
          <t>Original</t>
        </is>
      </c>
      <c r="F273" t="inlineStr">
        <is>
          <t>640103.xlsx</t>
        </is>
      </c>
      <c r="G273" t="inlineStr">
        <is>
          <t>2018-09</t>
        </is>
      </c>
      <c r="H273" t="inlineStr">
        <is>
          <t>2026-07</t>
        </is>
      </c>
      <c r="KM273" s="2">
        <v>-1.6</v>
      </c>
      <c r="KN273" s="2">
        <v>-1.2</v>
      </c>
      <c r="KO273" s="2">
        <v>-0.8</v>
      </c>
      <c r="KP273" s="2">
        <v>-1.1</v>
      </c>
      <c r="KU273" s="2">
        <v>-1.7</v>
      </c>
      <c r="KV273" s="2">
        <v>-0.3</v>
      </c>
      <c r="KW273" s="2">
        <v>-1</v>
      </c>
      <c r="KX273" s="2">
        <v>0.7</v>
      </c>
      <c r="KY273" s="2">
        <v>0.4</v>
      </c>
      <c r="KZ273" s="2">
        <v>-0.3</v>
      </c>
      <c r="LA273" s="2">
        <v>0.8</v>
      </c>
      <c r="LB273" s="2">
        <v>0.5</v>
      </c>
      <c r="LC273" s="2">
        <v>0.2</v>
      </c>
      <c r="LD273" s="2">
        <v>1.2</v>
      </c>
      <c r="LE273" s="2">
        <v>1.6</v>
      </c>
      <c r="LF273" s="2">
        <v>0.8</v>
      </c>
      <c r="LK273" s="2">
        <v>1.1</v>
      </c>
      <c r="LL273" s="2">
        <v>1</v>
      </c>
      <c r="LM273" s="2">
        <v>7.4</v>
      </c>
      <c r="LN273" s="2">
        <v>11.4</v>
      </c>
      <c r="LO273" s="2">
        <v>7</v>
      </c>
      <c r="LP273" s="2">
        <v>4</v>
      </c>
      <c r="LQ273" s="2">
        <v>4.1</v>
      </c>
      <c r="LR273" s="2">
        <v>3.2</v>
      </c>
      <c r="LS273" s="2">
        <v>3.3</v>
      </c>
      <c r="LT273" s="2">
        <v>2.6</v>
      </c>
      <c r="LU273" s="2">
        <v>1.3</v>
      </c>
      <c r="LV273" s="2">
        <v>2.2</v>
      </c>
      <c r="MA273" s="2">
        <v>1.9</v>
      </c>
      <c r="MB273" s="2">
        <v>2.1</v>
      </c>
      <c r="MC273" s="2">
        <v>-3.8</v>
      </c>
      <c r="MD273" s="2">
        <v>-8.4</v>
      </c>
      <c r="ME273" s="2">
        <v>-4.3</v>
      </c>
      <c r="MF273" s="2">
        <v>-1.2</v>
      </c>
      <c r="MG273" s="2">
        <v>-1.6</v>
      </c>
      <c r="MH273" s="2">
        <v>0.2</v>
      </c>
      <c r="MI273" s="2">
        <v>1.4</v>
      </c>
      <c r="MJ273" s="2">
        <v>1.9</v>
      </c>
      <c r="MK273" s="2">
        <v>2.9</v>
      </c>
      <c r="ML273" s="2">
        <v>4.4</v>
      </c>
      <c r="MQ273" s="2">
        <v>6.2</v>
      </c>
      <c r="MR273" s="2">
        <v>7.7</v>
      </c>
      <c r="MS273" s="2">
        <v>8.699999999999999</v>
      </c>
      <c r="MT273" s="2">
        <v>9.5</v>
      </c>
      <c r="MU273" s="2">
        <v>10.8</v>
      </c>
      <c r="MV273" s="2">
        <v>11.5</v>
      </c>
      <c r="MW273" s="2">
        <v>11.5</v>
      </c>
      <c r="MX273" s="2">
        <v>12.1</v>
      </c>
      <c r="MY273" s="2">
        <v>12</v>
      </c>
      <c r="MZ273" s="2">
        <v>11.7</v>
      </c>
      <c r="NA273" s="2">
        <v>13.2</v>
      </c>
      <c r="NB273" s="2">
        <v>12.2</v>
      </c>
      <c r="NG273" s="2">
        <v>9.800000000000001</v>
      </c>
      <c r="NH273" s="2">
        <v>9.300000000000001</v>
      </c>
      <c r="NI273" s="2">
        <v>8.5</v>
      </c>
      <c r="NJ273" s="2">
        <v>7.8</v>
      </c>
      <c r="NK273" s="2">
        <v>7.3</v>
      </c>
      <c r="NL273" s="2">
        <v>6.8</v>
      </c>
      <c r="NM273" s="2">
        <v>5.9</v>
      </c>
      <c r="NN273" s="2">
        <v>5.2</v>
      </c>
      <c r="NO273" s="2">
        <v>4</v>
      </c>
      <c r="NP273" s="2">
        <v>2.7</v>
      </c>
      <c r="NQ273" s="2">
        <v>0.7</v>
      </c>
      <c r="NR273" s="2">
        <v>1.3</v>
      </c>
      <c r="NW273" s="2">
        <v>1.6</v>
      </c>
      <c r="NX273" s="2">
        <v>-0.3</v>
      </c>
      <c r="NY273" s="2">
        <v>0.1</v>
      </c>
      <c r="NZ273" s="2">
        <v>0.3</v>
      </c>
      <c r="OA273" s="2">
        <v>-0.4</v>
      </c>
      <c r="OB273" s="2">
        <v>-0.2</v>
      </c>
      <c r="OC273" s="2">
        <v>-0.7</v>
      </c>
      <c r="OD273" s="2">
        <v>-0.7</v>
      </c>
      <c r="OE273" s="2">
        <v>-1.1</v>
      </c>
      <c r="OF273" s="2">
        <v>-0.2</v>
      </c>
      <c r="OG273" s="2">
        <v>-0.2</v>
      </c>
      <c r="OH273" s="2">
        <v>-1.2</v>
      </c>
      <c r="OM273" s="2">
        <v>-0.4</v>
      </c>
      <c r="ON273" s="2">
        <v>0</v>
      </c>
      <c r="OO273" s="2">
        <v>-0.7</v>
      </c>
      <c r="OP273" s="2">
        <v>0</v>
      </c>
      <c r="OQ273" s="2">
        <v>-0.2</v>
      </c>
      <c r="OR273" s="2">
        <v>-0.4</v>
      </c>
      <c r="OS273" s="2">
        <v>0.6</v>
      </c>
      <c r="OT273" s="2">
        <v>0.5</v>
      </c>
      <c r="OU273" s="2">
        <v>0.8</v>
      </c>
      <c r="OV273" s="2">
        <v>1.1</v>
      </c>
      <c r="OW273" s="2">
        <v>0.2</v>
      </c>
      <c r="OX273" s="2">
        <v>0.9</v>
      </c>
      <c r="PC273" s="2">
        <v>-0.3</v>
      </c>
      <c r="PD273" s="2">
        <v>0</v>
      </c>
      <c r="PE273" s="2">
        <v>-0.4</v>
      </c>
      <c r="PF273" s="2">
        <v>-0.4</v>
      </c>
      <c r="PG273" s="2">
        <v>0</v>
      </c>
      <c r="PH273" s="2">
        <v>0</v>
      </c>
      <c r="PI273" s="2">
        <v>-0.7</v>
      </c>
    </row>
    <row r="274">
      <c r="A274" t="inlineStr">
        <is>
          <t>A130399521W</t>
        </is>
      </c>
      <c r="B274" t="inlineStr">
        <is>
          <t>Percentage Change from Corresponding Month of Previous Year ;  Cleaning and maintenance products ;  Australia ;</t>
        </is>
      </c>
      <c r="C274" t="inlineStr">
        <is>
          <t>Month</t>
        </is>
      </c>
      <c r="D274" t="inlineStr">
        <is>
          <t>Percent</t>
        </is>
      </c>
      <c r="E274" t="inlineStr">
        <is>
          <t>Original</t>
        </is>
      </c>
      <c r="F274" t="inlineStr">
        <is>
          <t>640103.xlsx</t>
        </is>
      </c>
      <c r="G274" t="inlineStr">
        <is>
          <t>2018-09</t>
        </is>
      </c>
      <c r="H274" t="inlineStr">
        <is>
          <t>2026-07</t>
        </is>
      </c>
      <c r="KM274" s="2">
        <v>-3.1</v>
      </c>
      <c r="KN274" s="2">
        <v>-2.6</v>
      </c>
      <c r="KO274" s="2">
        <v>-1</v>
      </c>
      <c r="KP274" s="2">
        <v>-0.2</v>
      </c>
      <c r="KU274" s="2">
        <v>-1.4</v>
      </c>
      <c r="KV274" s="2">
        <v>-0.1</v>
      </c>
      <c r="KW274" s="2">
        <v>-0.4</v>
      </c>
      <c r="KX274" s="2">
        <v>1.8</v>
      </c>
      <c r="KY274" s="2">
        <v>2.7</v>
      </c>
      <c r="KZ274" s="2">
        <v>1.5</v>
      </c>
      <c r="LA274" s="2">
        <v>2.7</v>
      </c>
      <c r="LB274" s="2">
        <v>1.8</v>
      </c>
      <c r="LC274" s="2">
        <v>1.9</v>
      </c>
      <c r="LD274" s="2">
        <v>1.8</v>
      </c>
      <c r="LE274" s="2">
        <v>2.6</v>
      </c>
      <c r="LF274" s="2">
        <v>2.7</v>
      </c>
      <c r="LK274" s="2">
        <v>2.1</v>
      </c>
      <c r="LL274" s="2">
        <v>3.3</v>
      </c>
      <c r="LM274" s="2">
        <v>8.300000000000001</v>
      </c>
      <c r="LN274" s="2">
        <v>13</v>
      </c>
      <c r="LO274" s="2">
        <v>8</v>
      </c>
      <c r="LP274" s="2">
        <v>5.7</v>
      </c>
      <c r="LQ274" s="2">
        <v>3.2</v>
      </c>
      <c r="LR274" s="2">
        <v>3.9</v>
      </c>
      <c r="LS274" s="2">
        <v>3.5</v>
      </c>
      <c r="LT274" s="2">
        <v>2.7</v>
      </c>
      <c r="LU274" s="2">
        <v>3.7</v>
      </c>
      <c r="LV274" s="2">
        <v>3.5</v>
      </c>
      <c r="MA274" s="2">
        <v>3.6</v>
      </c>
      <c r="MB274" s="2">
        <v>2.1</v>
      </c>
      <c r="MC274" s="2">
        <v>-4.5</v>
      </c>
      <c r="MD274" s="2">
        <v>-8.199999999999999</v>
      </c>
      <c r="ME274" s="2">
        <v>-2.7</v>
      </c>
      <c r="MF274" s="2">
        <v>-0.5</v>
      </c>
      <c r="MG274" s="2">
        <v>0.7</v>
      </c>
      <c r="MH274" s="2">
        <v>1.5</v>
      </c>
      <c r="MI274" s="2">
        <v>1.7</v>
      </c>
      <c r="MJ274" s="2">
        <v>2</v>
      </c>
      <c r="MK274" s="2">
        <v>1.3</v>
      </c>
      <c r="ML274" s="2">
        <v>2.3</v>
      </c>
      <c r="MQ274" s="2">
        <v>5.3</v>
      </c>
      <c r="MR274" s="2">
        <v>7</v>
      </c>
      <c r="MS274" s="2">
        <v>9.6</v>
      </c>
      <c r="MT274" s="2">
        <v>9.9</v>
      </c>
      <c r="MU274" s="2">
        <v>10.8</v>
      </c>
      <c r="MV274" s="2">
        <v>11.2</v>
      </c>
      <c r="MW274" s="2">
        <v>10.7</v>
      </c>
      <c r="MX274" s="2">
        <v>11.2</v>
      </c>
      <c r="MY274" s="2">
        <v>13.2</v>
      </c>
      <c r="MZ274" s="2">
        <v>12.3</v>
      </c>
      <c r="NA274" s="2">
        <v>18.3</v>
      </c>
      <c r="NB274" s="2">
        <v>15.6</v>
      </c>
      <c r="NG274" s="2">
        <v>14.1</v>
      </c>
      <c r="NH274" s="2">
        <v>11.6</v>
      </c>
      <c r="NI274" s="2">
        <v>11.1</v>
      </c>
      <c r="NJ274" s="2">
        <v>9.6</v>
      </c>
      <c r="NK274" s="2">
        <v>8.9</v>
      </c>
      <c r="NL274" s="2">
        <v>9</v>
      </c>
      <c r="NM274" s="2">
        <v>9.199999999999999</v>
      </c>
      <c r="NN274" s="2">
        <v>8</v>
      </c>
      <c r="NO274" s="2">
        <v>7.9</v>
      </c>
      <c r="NP274" s="2">
        <v>8.199999999999999</v>
      </c>
      <c r="NQ274" s="2">
        <v>1.7</v>
      </c>
      <c r="NR274" s="2">
        <v>2.2</v>
      </c>
      <c r="NW274" s="2">
        <v>1.8</v>
      </c>
      <c r="NX274" s="2">
        <v>1.7</v>
      </c>
      <c r="NY274" s="2">
        <v>1.8</v>
      </c>
      <c r="NZ274" s="2">
        <v>1</v>
      </c>
      <c r="OA274" s="2">
        <v>-0.7</v>
      </c>
      <c r="OB274" s="2">
        <v>-0.4</v>
      </c>
      <c r="OC274" s="2">
        <v>-0.4</v>
      </c>
      <c r="OD274" s="2">
        <v>-0.4</v>
      </c>
      <c r="OE274" s="2">
        <v>-2.1</v>
      </c>
      <c r="OF274" s="2">
        <v>-1.8</v>
      </c>
      <c r="OG274" s="2">
        <v>-2.8</v>
      </c>
      <c r="OH274" s="2">
        <v>-1.8</v>
      </c>
      <c r="OM274" s="2">
        <v>-1.1</v>
      </c>
      <c r="ON274" s="2">
        <v>-1.2</v>
      </c>
      <c r="OO274" s="2">
        <v>-1.4</v>
      </c>
      <c r="OP274" s="2">
        <v>-1.3</v>
      </c>
      <c r="OQ274" s="2">
        <v>-0.2</v>
      </c>
      <c r="OR274" s="2">
        <v>0.4</v>
      </c>
      <c r="OS274" s="2">
        <v>1.2</v>
      </c>
      <c r="OT274" s="2">
        <v>0.6</v>
      </c>
      <c r="OU274" s="2">
        <v>1.5</v>
      </c>
      <c r="OV274" s="2">
        <v>1.2</v>
      </c>
      <c r="OW274" s="2">
        <v>1.4</v>
      </c>
      <c r="OX274" s="2">
        <v>1.9</v>
      </c>
      <c r="PC274" s="2">
        <v>1.2</v>
      </c>
      <c r="PD274" s="2">
        <v>0.2</v>
      </c>
      <c r="PE274" s="2">
        <v>0</v>
      </c>
      <c r="PF274" s="2">
        <v>1</v>
      </c>
      <c r="PG274" s="2">
        <v>0.9</v>
      </c>
      <c r="PH274" s="2">
        <v>0.1</v>
      </c>
      <c r="PI274" s="2">
        <v>1</v>
      </c>
    </row>
    <row r="275">
      <c r="A275" t="inlineStr">
        <is>
          <t>A130393532V</t>
        </is>
      </c>
      <c r="B275" t="inlineStr">
        <is>
          <t>Percentage Change from Corresponding Month of Previous Year ;  Personal care products ;  Australia ;</t>
        </is>
      </c>
      <c r="C275" t="inlineStr">
        <is>
          <t>Month</t>
        </is>
      </c>
      <c r="D275" t="inlineStr">
        <is>
          <t>Percent</t>
        </is>
      </c>
      <c r="E275" t="inlineStr">
        <is>
          <t>Original</t>
        </is>
      </c>
      <c r="F275" t="inlineStr">
        <is>
          <t>640103.xlsx</t>
        </is>
      </c>
      <c r="G275" t="inlineStr">
        <is>
          <t>2018-09</t>
        </is>
      </c>
      <c r="H275" t="inlineStr">
        <is>
          <t>2026-07</t>
        </is>
      </c>
      <c r="KM275" s="2">
        <v>-2.2</v>
      </c>
      <c r="KN275" s="2">
        <v>-2</v>
      </c>
      <c r="KO275" s="2">
        <v>-1.8</v>
      </c>
      <c r="KP275" s="2">
        <v>-2.1</v>
      </c>
      <c r="KU275" s="2">
        <v>-1.9</v>
      </c>
      <c r="KV275" s="2">
        <v>-0.3</v>
      </c>
      <c r="KW275" s="2">
        <v>-1.6</v>
      </c>
      <c r="KX275" s="2">
        <v>1.5</v>
      </c>
      <c r="KY275" s="2">
        <v>1</v>
      </c>
      <c r="KZ275" s="2">
        <v>-0.6</v>
      </c>
      <c r="LA275" s="2">
        <v>1</v>
      </c>
      <c r="LB275" s="2">
        <v>0.1</v>
      </c>
      <c r="LC275" s="2">
        <v>0.1</v>
      </c>
      <c r="LD275" s="2">
        <v>1.3</v>
      </c>
      <c r="LE275" s="2">
        <v>2.1</v>
      </c>
      <c r="LF275" s="2">
        <v>0.2</v>
      </c>
      <c r="LK275" s="2">
        <v>1</v>
      </c>
      <c r="LL275" s="2">
        <v>0.2</v>
      </c>
      <c r="LM275" s="2">
        <v>6.1</v>
      </c>
      <c r="LN275" s="2">
        <v>9.6</v>
      </c>
      <c r="LO275" s="2">
        <v>5</v>
      </c>
      <c r="LP275" s="2">
        <v>2.5</v>
      </c>
      <c r="LQ275" s="2">
        <v>2.5</v>
      </c>
      <c r="LR275" s="2">
        <v>3.5</v>
      </c>
      <c r="LS275" s="2">
        <v>3.3</v>
      </c>
      <c r="LT275" s="2">
        <v>2.8</v>
      </c>
      <c r="LU275" s="2">
        <v>0.8</v>
      </c>
      <c r="LV275" s="2">
        <v>2.4</v>
      </c>
      <c r="MA275" s="2">
        <v>1.4</v>
      </c>
      <c r="MB275" s="2">
        <v>2</v>
      </c>
      <c r="MC275" s="2">
        <v>-3.4</v>
      </c>
      <c r="MD275" s="2">
        <v>-7.5</v>
      </c>
      <c r="ME275" s="2">
        <v>-3.9</v>
      </c>
      <c r="MF275" s="2">
        <v>-0.6</v>
      </c>
      <c r="MG275" s="2">
        <v>-1.7</v>
      </c>
      <c r="MH275" s="2">
        <v>0.2</v>
      </c>
      <c r="MI275" s="2">
        <v>0.8</v>
      </c>
      <c r="MJ275" s="2">
        <v>1</v>
      </c>
      <c r="MK275" s="2">
        <v>1.6</v>
      </c>
      <c r="ML275" s="2">
        <v>2.2</v>
      </c>
      <c r="MQ275" s="2">
        <v>3.2</v>
      </c>
      <c r="MR275" s="2">
        <v>2.6</v>
      </c>
      <c r="MS275" s="2">
        <v>4.5</v>
      </c>
      <c r="MT275" s="2">
        <v>5.2</v>
      </c>
      <c r="MU275" s="2">
        <v>6.9</v>
      </c>
      <c r="MV275" s="2">
        <v>7</v>
      </c>
      <c r="MW275" s="2">
        <v>7</v>
      </c>
      <c r="MX275" s="2">
        <v>7.6</v>
      </c>
      <c r="MY275" s="2">
        <v>7.5</v>
      </c>
      <c r="MZ275" s="2">
        <v>7.9</v>
      </c>
      <c r="NA275" s="2">
        <v>8.5</v>
      </c>
      <c r="NB275" s="2">
        <v>9.6</v>
      </c>
      <c r="NG275" s="2">
        <v>7</v>
      </c>
      <c r="NH275" s="2">
        <v>9.9</v>
      </c>
      <c r="NI275" s="2">
        <v>8.6</v>
      </c>
      <c r="NJ275" s="2">
        <v>7.2</v>
      </c>
      <c r="NK275" s="2">
        <v>6.8</v>
      </c>
      <c r="NL275" s="2">
        <v>6.9</v>
      </c>
      <c r="NM275" s="2">
        <v>6.1</v>
      </c>
      <c r="NN275" s="2">
        <v>4.6</v>
      </c>
      <c r="NO275" s="2">
        <v>4.6</v>
      </c>
      <c r="NP275" s="2">
        <v>2.8</v>
      </c>
      <c r="NQ275" s="2">
        <v>2.4</v>
      </c>
      <c r="NR275" s="2">
        <v>2.8</v>
      </c>
      <c r="NW275" s="2">
        <v>3.8</v>
      </c>
      <c r="NX275" s="2">
        <v>0.6</v>
      </c>
      <c r="NY275" s="2">
        <v>1.6</v>
      </c>
      <c r="NZ275" s="2">
        <v>0.7</v>
      </c>
      <c r="OA275" s="2">
        <v>0.6</v>
      </c>
      <c r="OB275" s="2">
        <v>0.6</v>
      </c>
      <c r="OC275" s="2">
        <v>0.3</v>
      </c>
      <c r="OD275" s="2">
        <v>0.3</v>
      </c>
      <c r="OE275" s="2">
        <v>-1.4</v>
      </c>
      <c r="OF275" s="2">
        <v>0.4</v>
      </c>
      <c r="OG275" s="2">
        <v>-0.3</v>
      </c>
      <c r="OH275" s="2">
        <v>-2.2</v>
      </c>
      <c r="OM275" s="2">
        <v>-0.3</v>
      </c>
      <c r="ON275" s="2">
        <v>0.8</v>
      </c>
      <c r="OO275" s="2">
        <v>-0.5</v>
      </c>
      <c r="OP275" s="2">
        <v>1.7</v>
      </c>
      <c r="OQ275" s="2">
        <v>0.1</v>
      </c>
      <c r="OR275" s="2">
        <v>-0.3</v>
      </c>
      <c r="OS275" s="2">
        <v>1.3</v>
      </c>
      <c r="OT275" s="2">
        <v>1.3</v>
      </c>
      <c r="OU275" s="2">
        <v>2.2</v>
      </c>
      <c r="OV275" s="2">
        <v>2.1</v>
      </c>
      <c r="OW275" s="2">
        <v>1.8</v>
      </c>
      <c r="OX275" s="2">
        <v>3.6</v>
      </c>
      <c r="PC275" s="2">
        <v>1.2</v>
      </c>
      <c r="PD275" s="2">
        <v>1.8</v>
      </c>
      <c r="PE275" s="2">
        <v>0.8</v>
      </c>
      <c r="PF275" s="2">
        <v>0.9</v>
      </c>
      <c r="PG275" s="2">
        <v>1.4</v>
      </c>
      <c r="PH275" s="2">
        <v>1.6</v>
      </c>
      <c r="PI275" s="2">
        <v>-0.9</v>
      </c>
    </row>
    <row r="276">
      <c r="A276" t="inlineStr">
        <is>
          <t>A130391117X</t>
        </is>
      </c>
      <c r="B276" t="inlineStr">
        <is>
          <t>Percentage Change from Corresponding Month of Previous Year ;  Other non-durable household products ;  Australia ;</t>
        </is>
      </c>
      <c r="C276" t="inlineStr">
        <is>
          <t>Month</t>
        </is>
      </c>
      <c r="D276" t="inlineStr">
        <is>
          <t>Percent</t>
        </is>
      </c>
      <c r="E276" t="inlineStr">
        <is>
          <t>Original</t>
        </is>
      </c>
      <c r="F276" t="inlineStr">
        <is>
          <t>640103.xlsx</t>
        </is>
      </c>
      <c r="G276" t="inlineStr">
        <is>
          <t>2018-09</t>
        </is>
      </c>
      <c r="H276" t="inlineStr">
        <is>
          <t>2026-07</t>
        </is>
      </c>
      <c r="KM276" s="2">
        <v>-0.8</v>
      </c>
      <c r="KN276" s="2">
        <v>-0.4</v>
      </c>
      <c r="KO276" s="2">
        <v>0</v>
      </c>
      <c r="KP276" s="2">
        <v>-0.5</v>
      </c>
      <c r="KU276" s="2">
        <v>-1.6</v>
      </c>
      <c r="KV276" s="2">
        <v>-0.4</v>
      </c>
      <c r="KW276" s="2">
        <v>-0.7</v>
      </c>
      <c r="KX276" s="2">
        <v>-0.1</v>
      </c>
      <c r="KY276" s="2">
        <v>-0.5</v>
      </c>
      <c r="KZ276" s="2">
        <v>-0.4</v>
      </c>
      <c r="LA276" s="2">
        <v>0.3</v>
      </c>
      <c r="LB276" s="2">
        <v>0.4</v>
      </c>
      <c r="LC276" s="2">
        <v>-0.1</v>
      </c>
      <c r="LD276" s="2">
        <v>1.1</v>
      </c>
      <c r="LE276" s="2">
        <v>1</v>
      </c>
      <c r="LF276" s="2">
        <v>0.9</v>
      </c>
      <c r="LK276" s="2">
        <v>1</v>
      </c>
      <c r="LL276" s="2">
        <v>1.3</v>
      </c>
      <c r="LM276" s="2">
        <v>8.300000000000001</v>
      </c>
      <c r="LN276" s="2">
        <v>12.6</v>
      </c>
      <c r="LO276" s="2">
        <v>8.300000000000001</v>
      </c>
      <c r="LP276" s="2">
        <v>4.8</v>
      </c>
      <c r="LQ276" s="2">
        <v>5.6</v>
      </c>
      <c r="LR276" s="2">
        <v>2.9</v>
      </c>
      <c r="LS276" s="2">
        <v>3.1</v>
      </c>
      <c r="LT276" s="2">
        <v>2.4</v>
      </c>
      <c r="LU276" s="2">
        <v>1.1</v>
      </c>
      <c r="LV276" s="2">
        <v>1.8</v>
      </c>
      <c r="MA276" s="2">
        <v>1.9</v>
      </c>
      <c r="MB276" s="2">
        <v>2.2</v>
      </c>
      <c r="MC276" s="2">
        <v>-4.1</v>
      </c>
      <c r="MD276" s="2">
        <v>-9.199999999999999</v>
      </c>
      <c r="ME276" s="2">
        <v>-5</v>
      </c>
      <c r="MF276" s="2">
        <v>-1.8</v>
      </c>
      <c r="MG276" s="2">
        <v>-2</v>
      </c>
      <c r="MH276" s="2">
        <v>-0.1</v>
      </c>
      <c r="MI276" s="2">
        <v>1.8</v>
      </c>
      <c r="MJ276" s="2">
        <v>2.5</v>
      </c>
      <c r="MK276" s="2">
        <v>4.1</v>
      </c>
      <c r="ML276" s="2">
        <v>6.3</v>
      </c>
      <c r="MQ276" s="2">
        <v>8.6</v>
      </c>
      <c r="MR276" s="2">
        <v>11.3</v>
      </c>
      <c r="MS276" s="2">
        <v>11.4</v>
      </c>
      <c r="MT276" s="2">
        <v>12.5</v>
      </c>
      <c r="MU276" s="2">
        <v>13.5</v>
      </c>
      <c r="MV276" s="2">
        <v>14.7</v>
      </c>
      <c r="MW276" s="2">
        <v>14.7</v>
      </c>
      <c r="MX276" s="2">
        <v>15.4</v>
      </c>
      <c r="MY276" s="2">
        <v>15</v>
      </c>
      <c r="MZ276" s="2">
        <v>14.1</v>
      </c>
      <c r="NA276" s="2">
        <v>15.5</v>
      </c>
      <c r="NB276" s="2">
        <v>13.4</v>
      </c>
      <c r="NG276" s="2">
        <v>11</v>
      </c>
      <c r="NH276" s="2">
        <v>8.5</v>
      </c>
      <c r="NI276" s="2">
        <v>8</v>
      </c>
      <c r="NJ276" s="2">
        <v>7.9</v>
      </c>
      <c r="NK276" s="2">
        <v>7.4</v>
      </c>
      <c r="NL276" s="2">
        <v>6.4</v>
      </c>
      <c r="NM276" s="2">
        <v>5.1</v>
      </c>
      <c r="NN276" s="2">
        <v>5.1</v>
      </c>
      <c r="NO276" s="2">
        <v>2.9</v>
      </c>
      <c r="NP276" s="2">
        <v>1.5</v>
      </c>
      <c r="NQ276" s="2">
        <v>-0.6</v>
      </c>
      <c r="NR276" s="2">
        <v>0.2</v>
      </c>
      <c r="NW276" s="2">
        <v>0.1</v>
      </c>
      <c r="NX276" s="2">
        <v>-1.3</v>
      </c>
      <c r="NY276" s="2">
        <v>-1.1</v>
      </c>
      <c r="NZ276" s="2">
        <v>-0.1</v>
      </c>
      <c r="OA276" s="2">
        <v>-1.1</v>
      </c>
      <c r="OB276" s="2">
        <v>-0.8</v>
      </c>
      <c r="OC276" s="2">
        <v>-1.4</v>
      </c>
      <c r="OD276" s="2">
        <v>-1.3</v>
      </c>
      <c r="OE276" s="2">
        <v>-0.7</v>
      </c>
      <c r="OF276" s="2">
        <v>-0.3</v>
      </c>
      <c r="OG276" s="2">
        <v>0.4</v>
      </c>
      <c r="OH276" s="2">
        <v>-0.3</v>
      </c>
      <c r="OM276" s="2">
        <v>-0.3</v>
      </c>
      <c r="ON276" s="2">
        <v>-0.4</v>
      </c>
      <c r="OO276" s="2">
        <v>-0.6</v>
      </c>
      <c r="OP276" s="2">
        <v>-0.9</v>
      </c>
      <c r="OQ276" s="2">
        <v>-0.5</v>
      </c>
      <c r="OR276" s="2">
        <v>-0.5</v>
      </c>
      <c r="OS276" s="2">
        <v>0</v>
      </c>
      <c r="OT276" s="2">
        <v>-0.1</v>
      </c>
      <c r="OU276" s="2">
        <v>-0.4</v>
      </c>
      <c r="OV276" s="2">
        <v>0.3</v>
      </c>
      <c r="OW276" s="2">
        <v>-1.1</v>
      </c>
      <c r="OX276" s="2">
        <v>-1</v>
      </c>
      <c r="PC276" s="2">
        <v>-1.5</v>
      </c>
      <c r="PD276" s="2">
        <v>-1.3</v>
      </c>
      <c r="PE276" s="2">
        <v>-1.2</v>
      </c>
      <c r="PF276" s="2">
        <v>-1.5</v>
      </c>
      <c r="PG276" s="2">
        <v>-1.1</v>
      </c>
      <c r="PH276" s="2">
        <v>-1.1</v>
      </c>
      <c r="PI276" s="2">
        <v>-0.9</v>
      </c>
    </row>
    <row r="277">
      <c r="A277" t="inlineStr">
        <is>
          <t>A130397340X</t>
        </is>
      </c>
      <c r="B277" t="inlineStr">
        <is>
          <t>Percentage Change from Corresponding Month of Previous Year ;  Domestic and household services ;  Australia ;</t>
        </is>
      </c>
      <c r="C277" t="inlineStr">
        <is>
          <t>Month</t>
        </is>
      </c>
      <c r="D277" t="inlineStr">
        <is>
          <t>Percent</t>
        </is>
      </c>
      <c r="E277" t="inlineStr">
        <is>
          <t>Original</t>
        </is>
      </c>
      <c r="F277" t="inlineStr">
        <is>
          <t>640103.xlsx</t>
        </is>
      </c>
      <c r="G277" t="inlineStr">
        <is>
          <t>2025-04</t>
        </is>
      </c>
      <c r="H277" t="inlineStr">
        <is>
          <t>2026-07</t>
        </is>
      </c>
      <c r="OP277" s="2">
        <v>5.3</v>
      </c>
      <c r="OQ277" s="2">
        <v>5.3</v>
      </c>
      <c r="OR277" s="2">
        <v>5.4</v>
      </c>
      <c r="OS277" s="2">
        <v>5.4</v>
      </c>
      <c r="OT277" s="2">
        <v>5.2</v>
      </c>
      <c r="OU277" s="2">
        <v>4.6</v>
      </c>
      <c r="OV277" s="2">
        <v>4.7</v>
      </c>
      <c r="OW277" s="2">
        <v>5</v>
      </c>
      <c r="OX277" s="2">
        <v>5.2</v>
      </c>
      <c r="PC277" s="2">
        <v>5.2</v>
      </c>
      <c r="PD277" s="2">
        <v>4.8</v>
      </c>
      <c r="PE277" s="2">
        <v>4.9</v>
      </c>
      <c r="PF277" s="2">
        <v>5.2</v>
      </c>
      <c r="PG277" s="2">
        <v>5.2</v>
      </c>
      <c r="PH277" s="2">
        <v>5</v>
      </c>
      <c r="PI277" s="2">
        <v>4.9</v>
      </c>
    </row>
    <row r="278">
      <c r="A278" t="inlineStr">
        <is>
          <t>A130390060C</t>
        </is>
      </c>
      <c r="B278" t="inlineStr">
        <is>
          <t>Percentage Change from Corresponding Month of Previous Year ;  Child care ;  Australia ;</t>
        </is>
      </c>
      <c r="C278" t="inlineStr">
        <is>
          <t>Month</t>
        </is>
      </c>
      <c r="D278" t="inlineStr">
        <is>
          <t>Percent</t>
        </is>
      </c>
      <c r="E278" t="inlineStr">
        <is>
          <t>Original</t>
        </is>
      </c>
      <c r="F278" t="inlineStr">
        <is>
          <t>640103.xlsx</t>
        </is>
      </c>
      <c r="G278" t="inlineStr">
        <is>
          <t>2025-04</t>
        </is>
      </c>
      <c r="H278" t="inlineStr">
        <is>
          <t>2026-07</t>
        </is>
      </c>
      <c r="OP278" s="2">
        <v>11.3</v>
      </c>
      <c r="OQ278" s="2">
        <v>10.9</v>
      </c>
      <c r="OR278" s="2">
        <v>12.2</v>
      </c>
      <c r="OS278" s="2">
        <v>12.4</v>
      </c>
      <c r="OT278" s="2">
        <v>10.7</v>
      </c>
      <c r="OU278" s="2">
        <v>10.3</v>
      </c>
      <c r="OV278" s="2">
        <v>10.8</v>
      </c>
      <c r="OW278" s="2">
        <v>11.2</v>
      </c>
      <c r="OX278" s="2">
        <v>11.2</v>
      </c>
      <c r="PC278" s="2">
        <v>11.5</v>
      </c>
      <c r="PD278" s="2">
        <v>9.1</v>
      </c>
      <c r="PE278" s="2">
        <v>9.1</v>
      </c>
      <c r="PF278" s="2">
        <v>9</v>
      </c>
      <c r="PG278" s="2">
        <v>9.4</v>
      </c>
      <c r="PH278" s="2">
        <v>7.6</v>
      </c>
      <c r="PI278" s="2">
        <v>7.3</v>
      </c>
    </row>
    <row r="279">
      <c r="A279" t="inlineStr">
        <is>
          <t>A130393546J</t>
        </is>
      </c>
      <c r="B279" t="inlineStr">
        <is>
          <t>Percentage Change from Corresponding Month of Previous Year ;  Hairdressing and personal grooming services ;  Australia ;</t>
        </is>
      </c>
      <c r="C279" t="inlineStr">
        <is>
          <t>Month</t>
        </is>
      </c>
      <c r="D279" t="inlineStr">
        <is>
          <t>Percent</t>
        </is>
      </c>
      <c r="E279" t="inlineStr">
        <is>
          <t>Original</t>
        </is>
      </c>
      <c r="F279" t="inlineStr">
        <is>
          <t>640103.xlsx</t>
        </is>
      </c>
      <c r="G279" t="inlineStr">
        <is>
          <t>2025-04</t>
        </is>
      </c>
      <c r="H279" t="inlineStr">
        <is>
          <t>2026-07</t>
        </is>
      </c>
      <c r="OP279" s="2">
        <v>3.5</v>
      </c>
      <c r="OQ279" s="2">
        <v>3.3</v>
      </c>
      <c r="OR279" s="2">
        <v>2.9</v>
      </c>
      <c r="OS279" s="2">
        <v>2.7</v>
      </c>
      <c r="OT279" s="2">
        <v>2.4</v>
      </c>
      <c r="OU279" s="2">
        <v>2.6</v>
      </c>
      <c r="OV279" s="2">
        <v>2.7</v>
      </c>
      <c r="OW279" s="2">
        <v>2.8</v>
      </c>
      <c r="OX279" s="2">
        <v>3.2</v>
      </c>
      <c r="PC279" s="2">
        <v>3.2</v>
      </c>
      <c r="PD279" s="2">
        <v>3.5</v>
      </c>
      <c r="PE279" s="2">
        <v>3.9</v>
      </c>
      <c r="PF279" s="2">
        <v>3.9</v>
      </c>
      <c r="PG279" s="2">
        <v>3.8</v>
      </c>
      <c r="PH279" s="2">
        <v>4.2</v>
      </c>
      <c r="PI279" s="2">
        <v>4.4</v>
      </c>
    </row>
    <row r="280">
      <c r="A280" t="inlineStr">
        <is>
          <t>A130395198K</t>
        </is>
      </c>
      <c r="B280" t="inlineStr">
        <is>
          <t>Percentage Change from Corresponding Month of Previous Year ;  Other household services ;  Australia ;</t>
        </is>
      </c>
      <c r="C280" t="inlineStr">
        <is>
          <t>Month</t>
        </is>
      </c>
      <c r="D280" t="inlineStr">
        <is>
          <t>Percent</t>
        </is>
      </c>
      <c r="E280" t="inlineStr">
        <is>
          <t>Original</t>
        </is>
      </c>
      <c r="F280" t="inlineStr">
        <is>
          <t>640103.xlsx</t>
        </is>
      </c>
      <c r="G280" t="inlineStr">
        <is>
          <t>2025-04</t>
        </is>
      </c>
      <c r="H280" t="inlineStr">
        <is>
          <t>2026-07</t>
        </is>
      </c>
      <c r="OP280" s="2">
        <v>1.8</v>
      </c>
      <c r="OQ280" s="2">
        <v>2.3</v>
      </c>
      <c r="OR280" s="2">
        <v>1.9</v>
      </c>
      <c r="OS280" s="2">
        <v>2.2</v>
      </c>
      <c r="OT280" s="2">
        <v>3.4</v>
      </c>
      <c r="OU280" s="2">
        <v>1.5</v>
      </c>
      <c r="OV280" s="2">
        <v>1.1</v>
      </c>
      <c r="OW280" s="2">
        <v>1.5</v>
      </c>
      <c r="OX280" s="2">
        <v>1.6</v>
      </c>
      <c r="PC280" s="2">
        <v>1.5</v>
      </c>
      <c r="PD280" s="2">
        <v>2</v>
      </c>
      <c r="PE280" s="2">
        <v>1.8</v>
      </c>
      <c r="PF280" s="2">
        <v>2.9</v>
      </c>
      <c r="PG280" s="2">
        <v>2.8</v>
      </c>
      <c r="PH280" s="2">
        <v>3.4</v>
      </c>
      <c r="PI280" s="2">
        <v>2.9</v>
      </c>
    </row>
    <row r="281">
      <c r="A281" t="inlineStr">
        <is>
          <t>A130389990A</t>
        </is>
      </c>
      <c r="B281" t="inlineStr">
        <is>
          <t>Percentage Change from Corresponding Month of Previous Year ;  Health ;  Australia ;</t>
        </is>
      </c>
      <c r="C281" t="inlineStr">
        <is>
          <t>Month</t>
        </is>
      </c>
      <c r="D281" t="inlineStr">
        <is>
          <t>Percent</t>
        </is>
      </c>
      <c r="E281" t="inlineStr">
        <is>
          <t>Original</t>
        </is>
      </c>
      <c r="F281" t="inlineStr">
        <is>
          <t>640103.xlsx</t>
        </is>
      </c>
      <c r="G281" t="inlineStr">
        <is>
          <t>2025-04</t>
        </is>
      </c>
      <c r="H281" t="inlineStr">
        <is>
          <t>2026-07</t>
        </is>
      </c>
      <c r="OP281" s="2">
        <v>4.3</v>
      </c>
      <c r="OQ281" s="2">
        <v>4</v>
      </c>
      <c r="OR281" s="2">
        <v>3.9</v>
      </c>
      <c r="OS281" s="2">
        <v>4</v>
      </c>
      <c r="OT281" s="2">
        <v>4.1</v>
      </c>
      <c r="OU281" s="2">
        <v>4.2</v>
      </c>
      <c r="OV281" s="2">
        <v>4</v>
      </c>
      <c r="OW281" s="2">
        <v>3.6</v>
      </c>
      <c r="OX281" s="2">
        <v>3.6</v>
      </c>
      <c r="PC281" s="2">
        <v>3.2</v>
      </c>
      <c r="PD281" s="2">
        <v>3.2</v>
      </c>
      <c r="PE281" s="2">
        <v>3</v>
      </c>
      <c r="PF281" s="2">
        <v>4</v>
      </c>
      <c r="PG281" s="2">
        <v>3.8</v>
      </c>
      <c r="PH281" s="2">
        <v>3.7</v>
      </c>
      <c r="PI281" s="2">
        <v>3.8</v>
      </c>
    </row>
    <row r="282">
      <c r="A282" t="inlineStr">
        <is>
          <t>A130397852C</t>
        </is>
      </c>
      <c r="B282" t="inlineStr">
        <is>
          <t>Percentage Change from Corresponding Month of Previous Year ;  Medical products, appliances and equipment ;  Australia ;</t>
        </is>
      </c>
      <c r="C282" t="inlineStr">
        <is>
          <t>Month</t>
        </is>
      </c>
      <c r="D282" t="inlineStr">
        <is>
          <t>Percent</t>
        </is>
      </c>
      <c r="E282" t="inlineStr">
        <is>
          <t>Original</t>
        </is>
      </c>
      <c r="F282" t="inlineStr">
        <is>
          <t>640103.xlsx</t>
        </is>
      </c>
      <c r="G282" t="inlineStr">
        <is>
          <t>2025-04</t>
        </is>
      </c>
      <c r="H282" t="inlineStr">
        <is>
          <t>2026-07</t>
        </is>
      </c>
      <c r="OP282" s="2">
        <v>0.9</v>
      </c>
      <c r="OQ282" s="2">
        <v>0.1</v>
      </c>
      <c r="OR282" s="2">
        <v>-0.1</v>
      </c>
      <c r="OS282" s="2">
        <v>0</v>
      </c>
      <c r="OT282" s="2">
        <v>-0.1</v>
      </c>
      <c r="OU282" s="2">
        <v>-0.2</v>
      </c>
      <c r="OV282" s="2">
        <v>-0.4</v>
      </c>
      <c r="OW282" s="2">
        <v>-0.3</v>
      </c>
      <c r="OX282" s="2">
        <v>0.2</v>
      </c>
      <c r="PC282" s="2">
        <v>-1</v>
      </c>
      <c r="PD282" s="2">
        <v>-2.1</v>
      </c>
      <c r="PE282" s="2">
        <v>-0.5</v>
      </c>
      <c r="PF282" s="2">
        <v>-0.2</v>
      </c>
      <c r="PG282" s="2">
        <v>-1.9</v>
      </c>
      <c r="PH282" s="2">
        <v>-1.8</v>
      </c>
      <c r="PI282" s="2">
        <v>-1.4</v>
      </c>
    </row>
    <row r="283">
      <c r="A283" t="inlineStr">
        <is>
          <t>A130393518X</t>
        </is>
      </c>
      <c r="B283" t="inlineStr">
        <is>
          <t>Percentage Change from Corresponding Month of Previous Year ;  Pharmaceutical products ;  Australia ;</t>
        </is>
      </c>
      <c r="C283" t="inlineStr">
        <is>
          <t>Month</t>
        </is>
      </c>
      <c r="D283" t="inlineStr">
        <is>
          <t>Percent</t>
        </is>
      </c>
      <c r="E283" t="inlineStr">
        <is>
          <t>Original</t>
        </is>
      </c>
      <c r="F283" t="inlineStr">
        <is>
          <t>640103.xlsx</t>
        </is>
      </c>
      <c r="G283" t="inlineStr">
        <is>
          <t>2025-04</t>
        </is>
      </c>
      <c r="H283" t="inlineStr">
        <is>
          <t>2026-07</t>
        </is>
      </c>
      <c r="OP283" s="2">
        <v>0.8</v>
      </c>
      <c r="OQ283" s="2">
        <v>-0.2</v>
      </c>
      <c r="OR283" s="2">
        <v>-0.5</v>
      </c>
      <c r="OS283" s="2">
        <v>-0.4</v>
      </c>
      <c r="OT283" s="2">
        <v>-0.5</v>
      </c>
      <c r="OU283" s="2">
        <v>-0.7</v>
      </c>
      <c r="OV283" s="2">
        <v>-0.8</v>
      </c>
      <c r="OW283" s="2">
        <v>-0.8</v>
      </c>
      <c r="OX283" s="2">
        <v>-0.2</v>
      </c>
      <c r="PC283" s="2">
        <v>-1.3</v>
      </c>
      <c r="PD283" s="2">
        <v>-2.7</v>
      </c>
      <c r="PE283" s="2">
        <v>-0.8</v>
      </c>
      <c r="PF283" s="2">
        <v>-0.3</v>
      </c>
      <c r="PG283" s="2">
        <v>-2.4</v>
      </c>
      <c r="PH283" s="2">
        <v>-1.9</v>
      </c>
      <c r="PI283" s="2">
        <v>-1.8</v>
      </c>
    </row>
    <row r="284">
      <c r="A284" t="inlineStr">
        <is>
          <t>A130393483K</t>
        </is>
      </c>
      <c r="B284" t="inlineStr">
        <is>
          <t>Percentage Change from Corresponding Month of Previous Year ;  Therapeutic appliances and equipment ;  Australia ;</t>
        </is>
      </c>
      <c r="C284" t="inlineStr">
        <is>
          <t>Month</t>
        </is>
      </c>
      <c r="D284" t="inlineStr">
        <is>
          <t>Percent</t>
        </is>
      </c>
      <c r="E284" t="inlineStr">
        <is>
          <t>Original</t>
        </is>
      </c>
      <c r="F284" t="inlineStr">
        <is>
          <t>640103.xlsx</t>
        </is>
      </c>
      <c r="G284" t="inlineStr">
        <is>
          <t>2025-04</t>
        </is>
      </c>
      <c r="H284" t="inlineStr">
        <is>
          <t>2026-07</t>
        </is>
      </c>
      <c r="OP284" s="2">
        <v>2.1</v>
      </c>
      <c r="OQ284" s="2">
        <v>1.7</v>
      </c>
      <c r="OR284" s="2">
        <v>2.2</v>
      </c>
      <c r="OS284" s="2">
        <v>2.5</v>
      </c>
      <c r="OT284" s="2">
        <v>2.8</v>
      </c>
      <c r="OU284" s="2">
        <v>2.9</v>
      </c>
      <c r="OV284" s="2">
        <v>2.5</v>
      </c>
      <c r="OW284" s="2">
        <v>2.7</v>
      </c>
      <c r="OX284" s="2">
        <v>2.9</v>
      </c>
      <c r="PC284" s="2">
        <v>0.7</v>
      </c>
      <c r="PD284" s="2">
        <v>1.9</v>
      </c>
      <c r="PE284" s="2">
        <v>1.7</v>
      </c>
      <c r="PF284" s="2">
        <v>0.8</v>
      </c>
      <c r="PG284" s="2">
        <v>1.6</v>
      </c>
      <c r="PH284" s="2">
        <v>-1.2</v>
      </c>
      <c r="PI284" s="2">
        <v>0.9</v>
      </c>
    </row>
    <row r="285">
      <c r="A285" t="inlineStr">
        <is>
          <t>A130390284R</t>
        </is>
      </c>
      <c r="B285" t="inlineStr">
        <is>
          <t>Percentage Change from Corresponding Month of Previous Year ;  Medical, dental and hospital services ;  Australia ;</t>
        </is>
      </c>
      <c r="C285" t="inlineStr">
        <is>
          <t>Month</t>
        </is>
      </c>
      <c r="D285" t="inlineStr">
        <is>
          <t>Percent</t>
        </is>
      </c>
      <c r="E285" t="inlineStr">
        <is>
          <t>Original</t>
        </is>
      </c>
      <c r="F285" t="inlineStr">
        <is>
          <t>640103.xlsx</t>
        </is>
      </c>
      <c r="G285" t="inlineStr">
        <is>
          <t>2025-04</t>
        </is>
      </c>
      <c r="H285" t="inlineStr">
        <is>
          <t>2026-07</t>
        </is>
      </c>
      <c r="OP285" s="2">
        <v>5</v>
      </c>
      <c r="OQ285" s="2">
        <v>4.8</v>
      </c>
      <c r="OR285" s="2">
        <v>4.8</v>
      </c>
      <c r="OS285" s="2">
        <v>4.8</v>
      </c>
      <c r="OT285" s="2">
        <v>4.9</v>
      </c>
      <c r="OU285" s="2">
        <v>5.1</v>
      </c>
      <c r="OV285" s="2">
        <v>4.9</v>
      </c>
      <c r="OW285" s="2">
        <v>4.4</v>
      </c>
      <c r="OX285" s="2">
        <v>4.2</v>
      </c>
      <c r="PC285" s="2">
        <v>4.1</v>
      </c>
      <c r="PD285" s="2">
        <v>4.3</v>
      </c>
      <c r="PE285" s="2">
        <v>3.7</v>
      </c>
      <c r="PF285" s="2">
        <v>4.8</v>
      </c>
      <c r="PG285" s="2">
        <v>4.8</v>
      </c>
      <c r="PH285" s="2">
        <v>4.8</v>
      </c>
      <c r="PI285" s="2">
        <v>4.8</v>
      </c>
    </row>
    <row r="286">
      <c r="A286" t="inlineStr">
        <is>
          <t>A130390921V</t>
        </is>
      </c>
      <c r="B286" t="inlineStr">
        <is>
          <t>Percentage Change from Corresponding Month of Previous Year ;  Medical and hospital services ;  Australia ;</t>
        </is>
      </c>
      <c r="C286" t="inlineStr">
        <is>
          <t>Month</t>
        </is>
      </c>
      <c r="D286" t="inlineStr">
        <is>
          <t>Percent</t>
        </is>
      </c>
      <c r="E286" t="inlineStr">
        <is>
          <t>Original</t>
        </is>
      </c>
      <c r="F286" t="inlineStr">
        <is>
          <t>640103.xlsx</t>
        </is>
      </c>
      <c r="G286" t="inlineStr">
        <is>
          <t>2025-04</t>
        </is>
      </c>
      <c r="H286" t="inlineStr">
        <is>
          <t>2026-07</t>
        </is>
      </c>
      <c r="OP286" s="2">
        <v>5.3</v>
      </c>
      <c r="OQ286" s="2">
        <v>5.1</v>
      </c>
      <c r="OR286" s="2">
        <v>5</v>
      </c>
      <c r="OS286" s="2">
        <v>5.1</v>
      </c>
      <c r="OT286" s="2">
        <v>5.1</v>
      </c>
      <c r="OU286" s="2">
        <v>5.3</v>
      </c>
      <c r="OV286" s="2">
        <v>5.1</v>
      </c>
      <c r="OW286" s="2">
        <v>4.6</v>
      </c>
      <c r="OX286" s="2">
        <v>4.3</v>
      </c>
      <c r="PC286" s="2">
        <v>4.2</v>
      </c>
      <c r="PD286" s="2">
        <v>4.4</v>
      </c>
      <c r="PE286" s="2">
        <v>3.8</v>
      </c>
      <c r="PF286" s="2">
        <v>4.9</v>
      </c>
      <c r="PG286" s="2">
        <v>5</v>
      </c>
      <c r="PH286" s="2">
        <v>5</v>
      </c>
      <c r="PI286" s="2">
        <v>4.9</v>
      </c>
    </row>
    <row r="287">
      <c r="A287" t="inlineStr">
        <is>
          <t>A130393497X</t>
        </is>
      </c>
      <c r="B287" t="inlineStr">
        <is>
          <t>Percentage Change from Corresponding Month of Previous Year ;  Dental services ;  Australia ;</t>
        </is>
      </c>
      <c r="C287" t="inlineStr">
        <is>
          <t>Month</t>
        </is>
      </c>
      <c r="D287" t="inlineStr">
        <is>
          <t>Percent</t>
        </is>
      </c>
      <c r="E287" t="inlineStr">
        <is>
          <t>Original</t>
        </is>
      </c>
      <c r="F287" t="inlineStr">
        <is>
          <t>640103.xlsx</t>
        </is>
      </c>
      <c r="G287" t="inlineStr">
        <is>
          <t>2025-04</t>
        </is>
      </c>
      <c r="H287" t="inlineStr">
        <is>
          <t>2026-07</t>
        </is>
      </c>
      <c r="OP287" s="2">
        <v>2.5</v>
      </c>
      <c r="OQ287" s="2">
        <v>2.3</v>
      </c>
      <c r="OR287" s="2">
        <v>2.2</v>
      </c>
      <c r="OS287" s="2">
        <v>2.4</v>
      </c>
      <c r="OT287" s="2">
        <v>3.3</v>
      </c>
      <c r="OU287" s="2">
        <v>3.1</v>
      </c>
      <c r="OV287" s="2">
        <v>3</v>
      </c>
      <c r="OW287" s="2">
        <v>3.1</v>
      </c>
      <c r="OX287" s="2">
        <v>3.2</v>
      </c>
      <c r="PC287" s="2">
        <v>3.3</v>
      </c>
      <c r="PD287" s="2">
        <v>3.4</v>
      </c>
      <c r="PE287" s="2">
        <v>3.4</v>
      </c>
      <c r="PF287" s="2">
        <v>3.2</v>
      </c>
      <c r="PG287" s="2">
        <v>3.3</v>
      </c>
      <c r="PH287" s="2">
        <v>3.4</v>
      </c>
      <c r="PI287" s="2">
        <v>3.8</v>
      </c>
    </row>
    <row r="288">
      <c r="A288" t="inlineStr">
        <is>
          <t>A130396689W</t>
        </is>
      </c>
      <c r="B288" t="inlineStr">
        <is>
          <t>Percentage Change from Corresponding Month of Previous Year ;  Transport ;  Australia ;</t>
        </is>
      </c>
      <c r="C288" t="inlineStr">
        <is>
          <t>Month</t>
        </is>
      </c>
      <c r="D288" t="inlineStr">
        <is>
          <t>Percent</t>
        </is>
      </c>
      <c r="E288" t="inlineStr">
        <is>
          <t>Original</t>
        </is>
      </c>
      <c r="F288" t="inlineStr">
        <is>
          <t>640103.xlsx</t>
        </is>
      </c>
      <c r="G288" t="inlineStr">
        <is>
          <t>2025-04</t>
        </is>
      </c>
      <c r="H288" t="inlineStr">
        <is>
          <t>2026-07</t>
        </is>
      </c>
      <c r="OP288" s="2">
        <v>-3.3</v>
      </c>
      <c r="OQ288" s="2">
        <v>-2.3</v>
      </c>
      <c r="OR288" s="2">
        <v>-2.1</v>
      </c>
      <c r="OS288" s="2">
        <v>-0.4</v>
      </c>
      <c r="OT288" s="2">
        <v>0.9</v>
      </c>
      <c r="OU288" s="2">
        <v>2.3</v>
      </c>
      <c r="OV288" s="2">
        <v>2.7</v>
      </c>
      <c r="OW288" s="2">
        <v>2.7</v>
      </c>
      <c r="OX288" s="2">
        <v>1.6</v>
      </c>
      <c r="PC288" s="2">
        <v>1.1</v>
      </c>
      <c r="PD288" s="2">
        <v>-0.2</v>
      </c>
      <c r="PE288" s="2">
        <v>8.9</v>
      </c>
      <c r="PF288" s="2">
        <v>6.6</v>
      </c>
      <c r="PG288" s="2">
        <v>3.3</v>
      </c>
      <c r="PH288" s="2">
        <v>0.1</v>
      </c>
      <c r="PI288" s="2">
        <v>1.6</v>
      </c>
    </row>
    <row r="289">
      <c r="A289" t="inlineStr">
        <is>
          <t>A130391789R</t>
        </is>
      </c>
      <c r="B289" t="inlineStr">
        <is>
          <t>Percentage Change from Corresponding Month of Previous Year ;  Private motoring ;  Australia ;</t>
        </is>
      </c>
      <c r="C289" t="inlineStr">
        <is>
          <t>Month</t>
        </is>
      </c>
      <c r="D289" t="inlineStr">
        <is>
          <t>Percent</t>
        </is>
      </c>
      <c r="E289" t="inlineStr">
        <is>
          <t>Original</t>
        </is>
      </c>
      <c r="F289" t="inlineStr">
        <is>
          <t>640103.xlsx</t>
        </is>
      </c>
      <c r="G289" t="inlineStr">
        <is>
          <t>2025-04</t>
        </is>
      </c>
      <c r="H289" t="inlineStr">
        <is>
          <t>2026-07</t>
        </is>
      </c>
      <c r="OP289" s="2">
        <v>-3.3</v>
      </c>
      <c r="OQ289" s="2">
        <v>-2.3</v>
      </c>
      <c r="OR289" s="2">
        <v>-2.1</v>
      </c>
      <c r="OS289" s="2">
        <v>-0.3</v>
      </c>
      <c r="OT289" s="2">
        <v>0.9</v>
      </c>
      <c r="OU289" s="2">
        <v>2.2</v>
      </c>
      <c r="OV289" s="2">
        <v>2.7</v>
      </c>
      <c r="OW289" s="2">
        <v>2.7</v>
      </c>
      <c r="OX289" s="2">
        <v>1.7</v>
      </c>
      <c r="PC289" s="2">
        <v>1.2</v>
      </c>
      <c r="PD289" s="2">
        <v>-0.2</v>
      </c>
      <c r="PE289" s="2">
        <v>9.199999999999999</v>
      </c>
      <c r="PF289" s="2">
        <v>7.5</v>
      </c>
      <c r="PG289" s="2">
        <v>4.1</v>
      </c>
      <c r="PH289" s="2">
        <v>0.4</v>
      </c>
      <c r="PI289" s="2">
        <v>2.1</v>
      </c>
    </row>
    <row r="290">
      <c r="A290" t="inlineStr">
        <is>
          <t>A130395835R</t>
        </is>
      </c>
      <c r="B290" t="inlineStr">
        <is>
          <t>Percentage Change from Corresponding Month of Previous Year ;  Motor vehicles ;  Australia ;</t>
        </is>
      </c>
      <c r="C290" t="inlineStr">
        <is>
          <t>Month</t>
        </is>
      </c>
      <c r="D290" t="inlineStr">
        <is>
          <t>Percent</t>
        </is>
      </c>
      <c r="E290" t="inlineStr">
        <is>
          <t>Original</t>
        </is>
      </c>
      <c r="F290" t="inlineStr">
        <is>
          <t>640103.xlsx</t>
        </is>
      </c>
      <c r="G290" t="inlineStr">
        <is>
          <t>2025-04</t>
        </is>
      </c>
      <c r="H290" t="inlineStr">
        <is>
          <t>2026-07</t>
        </is>
      </c>
      <c r="OP290" s="2">
        <v>-0.8</v>
      </c>
      <c r="OQ290" s="2">
        <v>-0.5</v>
      </c>
      <c r="OR290" s="2">
        <v>-1.6</v>
      </c>
      <c r="OS290" s="2">
        <v>0.5</v>
      </c>
      <c r="OT290" s="2">
        <v>0.7</v>
      </c>
      <c r="OU290" s="2">
        <v>0.1</v>
      </c>
      <c r="OV290" s="2">
        <v>0.7</v>
      </c>
      <c r="OW290" s="2">
        <v>-0.6</v>
      </c>
      <c r="OX290" s="2">
        <v>1.1</v>
      </c>
      <c r="PC290" s="2">
        <v>1.5</v>
      </c>
      <c r="PD290" s="2">
        <v>1.2</v>
      </c>
      <c r="PE290" s="2">
        <v>1.1</v>
      </c>
      <c r="PF290" s="2">
        <v>1.1</v>
      </c>
      <c r="PG290" s="2">
        <v>0.2</v>
      </c>
      <c r="PH290" s="2">
        <v>2.2</v>
      </c>
      <c r="PI290" s="2">
        <v>0.8</v>
      </c>
    </row>
    <row r="291">
      <c r="A291" t="inlineStr">
        <is>
          <t>A130393392C</t>
        </is>
      </c>
      <c r="B291" t="inlineStr">
        <is>
          <t>Percentage Change from Corresponding Month of Previous Year ;  Spare parts and accessories for motor vehicles ;  Australia ;</t>
        </is>
      </c>
      <c r="C291" t="inlineStr">
        <is>
          <t>Month</t>
        </is>
      </c>
      <c r="D291" t="inlineStr">
        <is>
          <t>Percent</t>
        </is>
      </c>
      <c r="E291" t="inlineStr">
        <is>
          <t>Original</t>
        </is>
      </c>
      <c r="F291" t="inlineStr">
        <is>
          <t>640103.xlsx</t>
        </is>
      </c>
      <c r="G291" t="inlineStr">
        <is>
          <t>2025-04</t>
        </is>
      </c>
      <c r="H291" t="inlineStr">
        <is>
          <t>2026-07</t>
        </is>
      </c>
      <c r="OP291" s="2">
        <v>2.5</v>
      </c>
      <c r="OQ291" s="2">
        <v>3.2</v>
      </c>
      <c r="OR291" s="2">
        <v>1.8</v>
      </c>
      <c r="OS291" s="2">
        <v>1.7</v>
      </c>
      <c r="OT291" s="2">
        <v>0.6</v>
      </c>
      <c r="OU291" s="2">
        <v>0.8</v>
      </c>
      <c r="OV291" s="2">
        <v>2.1</v>
      </c>
      <c r="OW291" s="2">
        <v>1.4</v>
      </c>
      <c r="OX291" s="2">
        <v>0.5</v>
      </c>
      <c r="PC291" s="2">
        <v>-0.4</v>
      </c>
      <c r="PD291" s="2">
        <v>-1.1</v>
      </c>
      <c r="PE291" s="2">
        <v>-2.2</v>
      </c>
      <c r="PF291" s="2">
        <v>-1.1</v>
      </c>
      <c r="PG291" s="2">
        <v>-0.6</v>
      </c>
      <c r="PH291" s="2">
        <v>1.1</v>
      </c>
      <c r="PI291" s="2">
        <v>1.5</v>
      </c>
    </row>
    <row r="292">
      <c r="A292" t="inlineStr">
        <is>
          <t>A130398321K</t>
        </is>
      </c>
      <c r="B292" t="inlineStr">
        <is>
          <t>Percentage Change from Corresponding Month of Previous Year ;  Automotive fuel ;  Australia ;</t>
        </is>
      </c>
      <c r="C292" t="inlineStr">
        <is>
          <t>Month</t>
        </is>
      </c>
      <c r="D292" t="inlineStr">
        <is>
          <t>Percent</t>
        </is>
      </c>
      <c r="E292" t="inlineStr">
        <is>
          <t>Original</t>
        </is>
      </c>
      <c r="F292" t="inlineStr">
        <is>
          <t>640103.xlsx</t>
        </is>
      </c>
      <c r="G292" t="inlineStr">
        <is>
          <t>2018-09</t>
        </is>
      </c>
      <c r="H292" t="inlineStr">
        <is>
          <t>2026-07</t>
        </is>
      </c>
      <c r="KM292" s="2">
        <v>22.2</v>
      </c>
      <c r="KN292" s="2">
        <v>21.4</v>
      </c>
      <c r="KO292" s="2">
        <v>3.4</v>
      </c>
      <c r="KP292" s="2">
        <v>-3.7</v>
      </c>
      <c r="KU292" s="2">
        <v>-8.4</v>
      </c>
      <c r="KV292" s="2">
        <v>-4</v>
      </c>
      <c r="KW292" s="2">
        <v>2.1</v>
      </c>
      <c r="KX292" s="2">
        <v>2.9</v>
      </c>
      <c r="KY292" s="2">
        <v>0.6</v>
      </c>
      <c r="KZ292" s="2">
        <v>-4.8</v>
      </c>
      <c r="LA292" s="2">
        <v>-2.6</v>
      </c>
      <c r="LB292" s="2">
        <v>-3.4</v>
      </c>
      <c r="LC292" s="2">
        <v>-5.7</v>
      </c>
      <c r="LD292" s="2">
        <v>-5</v>
      </c>
      <c r="LE292" s="2">
        <v>4.3</v>
      </c>
      <c r="LF292" s="2">
        <v>10.8</v>
      </c>
      <c r="LK292" s="2">
        <v>17.1</v>
      </c>
      <c r="LL292" s="2">
        <v>8.5</v>
      </c>
      <c r="LM292" s="2">
        <v>-6.5</v>
      </c>
      <c r="LN292" s="2">
        <v>-25.6</v>
      </c>
      <c r="LO292" s="2">
        <v>-26.1</v>
      </c>
      <c r="LP292" s="2">
        <v>-15.4</v>
      </c>
      <c r="LQ292" s="2">
        <v>-12.7</v>
      </c>
      <c r="LR292" s="2">
        <v>-12.8</v>
      </c>
      <c r="LS292" s="2">
        <v>-14.6</v>
      </c>
      <c r="LT292" s="2">
        <v>-18.2</v>
      </c>
      <c r="LU292" s="2">
        <v>-17.3</v>
      </c>
      <c r="LV292" s="2">
        <v>-14.4</v>
      </c>
      <c r="MA292" s="2">
        <v>-12.3</v>
      </c>
      <c r="MB292" s="2">
        <v>-6.8</v>
      </c>
      <c r="MC292" s="2">
        <v>9.9</v>
      </c>
      <c r="MD292" s="2">
        <v>32.9</v>
      </c>
      <c r="ME292" s="2">
        <v>30.7</v>
      </c>
      <c r="MF292" s="2">
        <v>19.4</v>
      </c>
      <c r="MG292" s="2">
        <v>23.5</v>
      </c>
      <c r="MH292" s="2">
        <v>24.1</v>
      </c>
      <c r="MI292" s="2">
        <v>26.5</v>
      </c>
      <c r="MJ292" s="2">
        <v>33.8</v>
      </c>
      <c r="MK292" s="2">
        <v>37</v>
      </c>
      <c r="ML292" s="2">
        <v>26.6</v>
      </c>
      <c r="MQ292" s="2">
        <v>29.8</v>
      </c>
      <c r="MR292" s="2">
        <v>34</v>
      </c>
      <c r="MS292" s="2">
        <v>40.8</v>
      </c>
      <c r="MT292" s="2">
        <v>19.5</v>
      </c>
      <c r="MU292" s="2">
        <v>33.7</v>
      </c>
      <c r="MV292" s="2">
        <v>43.3</v>
      </c>
      <c r="MW292" s="2">
        <v>29.2</v>
      </c>
      <c r="MX292" s="2">
        <v>15</v>
      </c>
      <c r="MY292" s="2">
        <v>10.1</v>
      </c>
      <c r="MZ292" s="2">
        <v>11.9</v>
      </c>
      <c r="NA292" s="2">
        <v>16.6</v>
      </c>
      <c r="NB292" s="2">
        <v>10.8</v>
      </c>
      <c r="NG292" s="2">
        <v>7.4</v>
      </c>
      <c r="NH292" s="2">
        <v>5.5</v>
      </c>
      <c r="NI292" s="2">
        <v>-8.199999999999999</v>
      </c>
      <c r="NJ292" s="2">
        <v>9.5</v>
      </c>
      <c r="NK292" s="2">
        <v>-8</v>
      </c>
      <c r="NL292" s="2">
        <v>-10.6</v>
      </c>
      <c r="NM292" s="2">
        <v>-7.7</v>
      </c>
      <c r="NN292" s="2">
        <v>13.9</v>
      </c>
      <c r="NO292" s="2">
        <v>19.8</v>
      </c>
      <c r="NP292" s="2">
        <v>8.5</v>
      </c>
      <c r="NQ292" s="2">
        <v>2.3</v>
      </c>
      <c r="NR292" s="2">
        <v>5.3</v>
      </c>
      <c r="NW292" s="2">
        <v>3.1</v>
      </c>
      <c r="NX292" s="2">
        <v>4.2</v>
      </c>
      <c r="NY292" s="2">
        <v>8.199999999999999</v>
      </c>
      <c r="NZ292" s="2">
        <v>7.5</v>
      </c>
      <c r="OA292" s="2">
        <v>9.300000000000001</v>
      </c>
      <c r="OB292" s="2">
        <v>6.5</v>
      </c>
      <c r="OC292" s="2">
        <v>4.1</v>
      </c>
      <c r="OD292" s="2">
        <v>-7.6</v>
      </c>
      <c r="OE292" s="2">
        <v>-14.1</v>
      </c>
      <c r="OF292" s="2">
        <v>-11.5</v>
      </c>
      <c r="OG292" s="2">
        <v>-10.3</v>
      </c>
      <c r="OH292" s="2">
        <v>-1.4</v>
      </c>
      <c r="OM292" s="2">
        <v>-1.9</v>
      </c>
      <c r="ON292" s="2">
        <v>-5.5</v>
      </c>
      <c r="OO292" s="2">
        <v>-7.7</v>
      </c>
      <c r="OP292" s="2">
        <v>-12</v>
      </c>
      <c r="OQ292" s="2">
        <v>-10</v>
      </c>
      <c r="OR292" s="2">
        <v>-7.9</v>
      </c>
      <c r="OS292" s="2">
        <v>-5.5</v>
      </c>
      <c r="OT292" s="2">
        <v>-1.7</v>
      </c>
      <c r="OU292" s="2">
        <v>2.8</v>
      </c>
      <c r="OV292" s="2">
        <v>1.9</v>
      </c>
      <c r="OW292" s="2">
        <v>3.5</v>
      </c>
      <c r="OX292" s="2">
        <v>-0.8</v>
      </c>
      <c r="PC292" s="2">
        <v>-2.7</v>
      </c>
      <c r="PD292" s="2">
        <v>-7.2</v>
      </c>
      <c r="PE292" s="2">
        <v>24.2</v>
      </c>
      <c r="PF292" s="2">
        <v>18.6</v>
      </c>
      <c r="PG292" s="2">
        <v>7.7</v>
      </c>
      <c r="PH292" s="2">
        <v>-7.3</v>
      </c>
      <c r="PI292" s="2">
        <v>-0.4</v>
      </c>
    </row>
    <row r="293">
      <c r="A293" t="inlineStr">
        <is>
          <t>A130392111C</t>
        </is>
      </c>
      <c r="B293" t="inlineStr">
        <is>
          <t>Percentage Change from Corresponding Month of Previous Year ;  Maintenance and repair of motor vehicles ;  Australia ;</t>
        </is>
      </c>
      <c r="C293" t="inlineStr">
        <is>
          <t>Month</t>
        </is>
      </c>
      <c r="D293" t="inlineStr">
        <is>
          <t>Percent</t>
        </is>
      </c>
      <c r="E293" t="inlineStr">
        <is>
          <t>Original</t>
        </is>
      </c>
      <c r="F293" t="inlineStr">
        <is>
          <t>640103.xlsx</t>
        </is>
      </c>
      <c r="G293" t="inlineStr">
        <is>
          <t>2025-04</t>
        </is>
      </c>
      <c r="H293" t="inlineStr">
        <is>
          <t>2026-07</t>
        </is>
      </c>
      <c r="OP293" s="2">
        <v>3.8</v>
      </c>
      <c r="OQ293" s="2">
        <v>3.6</v>
      </c>
      <c r="OR293" s="2">
        <v>3.9</v>
      </c>
      <c r="OS293" s="2">
        <v>5.1</v>
      </c>
      <c r="OT293" s="2">
        <v>4.9</v>
      </c>
      <c r="OU293" s="2">
        <v>4.7</v>
      </c>
      <c r="OV293" s="2">
        <v>5</v>
      </c>
      <c r="OW293" s="2">
        <v>5.1</v>
      </c>
      <c r="OX293" s="2">
        <v>4.7</v>
      </c>
      <c r="PC293" s="2">
        <v>5.1</v>
      </c>
      <c r="PD293" s="2">
        <v>6</v>
      </c>
      <c r="PE293" s="2">
        <v>6</v>
      </c>
      <c r="PF293" s="2">
        <v>5.7</v>
      </c>
      <c r="PG293" s="2">
        <v>6.3</v>
      </c>
      <c r="PH293" s="2">
        <v>6.5</v>
      </c>
      <c r="PI293" s="2">
        <v>5.9</v>
      </c>
    </row>
    <row r="294">
      <c r="A294" t="inlineStr">
        <is>
          <t>A130390851X</t>
        </is>
      </c>
      <c r="B294" t="inlineStr">
        <is>
          <t>Percentage Change from Corresponding Month of Previous Year ;  Other services in respect of motor vehicles ;  Australia ;</t>
        </is>
      </c>
      <c r="C294" t="inlineStr">
        <is>
          <t>Month</t>
        </is>
      </c>
      <c r="D294" t="inlineStr">
        <is>
          <t>Percent</t>
        </is>
      </c>
      <c r="E294" t="inlineStr">
        <is>
          <t>Original</t>
        </is>
      </c>
      <c r="F294" t="inlineStr">
        <is>
          <t>640103.xlsx</t>
        </is>
      </c>
      <c r="G294" t="inlineStr">
        <is>
          <t>2025-04</t>
        </is>
      </c>
      <c r="H294" t="inlineStr">
        <is>
          <t>2026-07</t>
        </is>
      </c>
      <c r="OP294" s="2">
        <v>1.1</v>
      </c>
      <c r="OQ294" s="2">
        <v>1.2</v>
      </c>
      <c r="OR294" s="2">
        <v>1.2</v>
      </c>
      <c r="OS294" s="2">
        <v>1.7</v>
      </c>
      <c r="OT294" s="2">
        <v>1.8</v>
      </c>
      <c r="OU294" s="2">
        <v>3</v>
      </c>
      <c r="OV294" s="2">
        <v>5.8</v>
      </c>
      <c r="OW294" s="2">
        <v>5.7</v>
      </c>
      <c r="OX294" s="2">
        <v>5.7</v>
      </c>
      <c r="PC294" s="2">
        <v>5.3</v>
      </c>
      <c r="PD294" s="2">
        <v>5.3</v>
      </c>
      <c r="PE294" s="2">
        <v>5.2</v>
      </c>
      <c r="PF294" s="2">
        <v>5.4</v>
      </c>
      <c r="PG294" s="2">
        <v>5.2</v>
      </c>
      <c r="PH294" s="2">
        <v>5.2</v>
      </c>
      <c r="PI294" s="2">
        <v>6</v>
      </c>
    </row>
    <row r="295">
      <c r="A295" t="inlineStr">
        <is>
          <t>A130393119R</t>
        </is>
      </c>
      <c r="B295" t="inlineStr">
        <is>
          <t>Percentage Change from Corresponding Month of Previous Year ;  Urban transport fares ;  Australia ;</t>
        </is>
      </c>
      <c r="C295" t="inlineStr">
        <is>
          <t>Month</t>
        </is>
      </c>
      <c r="D295" t="inlineStr">
        <is>
          <t>Percent</t>
        </is>
      </c>
      <c r="E295" t="inlineStr">
        <is>
          <t>Original</t>
        </is>
      </c>
      <c r="F295" t="inlineStr">
        <is>
          <t>640103.xlsx</t>
        </is>
      </c>
      <c r="G295" t="inlineStr">
        <is>
          <t>2025-04</t>
        </is>
      </c>
      <c r="H295" t="inlineStr">
        <is>
          <t>2026-07</t>
        </is>
      </c>
      <c r="OP295" s="2">
        <v>-3.7</v>
      </c>
      <c r="OQ295" s="2">
        <v>-3.6</v>
      </c>
      <c r="OR295" s="2">
        <v>-3.2</v>
      </c>
      <c r="OS295" s="2">
        <v>-2.8</v>
      </c>
      <c r="OT295" s="2">
        <v>2.5</v>
      </c>
      <c r="OU295" s="2">
        <v>3.5</v>
      </c>
      <c r="OV295" s="2">
        <v>3.7</v>
      </c>
      <c r="OW295" s="2">
        <v>3.2</v>
      </c>
      <c r="OX295" s="2">
        <v>-0.6</v>
      </c>
      <c r="PC295" s="2">
        <v>-1.8</v>
      </c>
      <c r="PD295" s="2">
        <v>-0.9</v>
      </c>
      <c r="PE295" s="2">
        <v>-1.1</v>
      </c>
      <c r="PF295" s="2">
        <v>-20.8</v>
      </c>
      <c r="PG295" s="2">
        <v>-21</v>
      </c>
      <c r="PH295" s="2">
        <v>-11</v>
      </c>
      <c r="PI295" s="2">
        <v>-12.3</v>
      </c>
    </row>
    <row r="296">
      <c r="A296" t="inlineStr">
        <is>
          <t>A130398363J</t>
        </is>
      </c>
      <c r="B296" t="inlineStr">
        <is>
          <t>Percentage Change from Corresponding Month of Previous Year ;  Urban transport fares ;  Australia ;</t>
        </is>
      </c>
      <c r="C296" t="inlineStr">
        <is>
          <t>Month</t>
        </is>
      </c>
      <c r="D296" t="inlineStr">
        <is>
          <t>Percent</t>
        </is>
      </c>
      <c r="E296" t="inlineStr">
        <is>
          <t>Original</t>
        </is>
      </c>
      <c r="F296" t="inlineStr">
        <is>
          <t>640103.xlsx</t>
        </is>
      </c>
      <c r="G296" t="inlineStr">
        <is>
          <t>2025-04</t>
        </is>
      </c>
      <c r="H296" t="inlineStr">
        <is>
          <t>2026-07</t>
        </is>
      </c>
      <c r="OP296" s="2">
        <v>-3.7</v>
      </c>
      <c r="OQ296" s="2">
        <v>-3.6</v>
      </c>
      <c r="OR296" s="2">
        <v>-3.2</v>
      </c>
      <c r="OS296" s="2">
        <v>-2.8</v>
      </c>
      <c r="OT296" s="2">
        <v>2.5</v>
      </c>
      <c r="OU296" s="2">
        <v>3.5</v>
      </c>
      <c r="OV296" s="2">
        <v>3.7</v>
      </c>
      <c r="OW296" s="2">
        <v>3.2</v>
      </c>
      <c r="OX296" s="2">
        <v>-0.6</v>
      </c>
      <c r="PC296" s="2">
        <v>-1.8</v>
      </c>
      <c r="PD296" s="2">
        <v>-0.9</v>
      </c>
      <c r="PE296" s="2">
        <v>-1.1</v>
      </c>
      <c r="PF296" s="2">
        <v>-20.8</v>
      </c>
      <c r="PG296" s="2">
        <v>-21</v>
      </c>
      <c r="PH296" s="2">
        <v>-11</v>
      </c>
      <c r="PI296" s="2">
        <v>-12.3</v>
      </c>
    </row>
    <row r="297">
      <c r="A297" t="inlineStr">
        <is>
          <t>A130391292J</t>
        </is>
      </c>
      <c r="B297" t="inlineStr">
        <is>
          <t>Percentage Change from Corresponding Month of Previous Year ;  Communication ;  Australia ;</t>
        </is>
      </c>
      <c r="C297" t="inlineStr">
        <is>
          <t>Month</t>
        </is>
      </c>
      <c r="D297" t="inlineStr">
        <is>
          <t>Percent</t>
        </is>
      </c>
      <c r="E297" t="inlineStr">
        <is>
          <t>Original</t>
        </is>
      </c>
      <c r="F297" t="inlineStr">
        <is>
          <t>640103.xlsx</t>
        </is>
      </c>
      <c r="G297" t="inlineStr">
        <is>
          <t>2025-04</t>
        </is>
      </c>
      <c r="H297" t="inlineStr">
        <is>
          <t>2026-07</t>
        </is>
      </c>
      <c r="OP297" s="2">
        <v>0.7</v>
      </c>
      <c r="OQ297" s="2">
        <v>1</v>
      </c>
      <c r="OR297" s="2">
        <v>0.8</v>
      </c>
      <c r="OS297" s="2">
        <v>0.6</v>
      </c>
      <c r="OT297" s="2">
        <v>1.8</v>
      </c>
      <c r="OU297" s="2">
        <v>1.6</v>
      </c>
      <c r="OV297" s="2">
        <v>0.8</v>
      </c>
      <c r="OW297" s="2">
        <v>1.3</v>
      </c>
      <c r="OX297" s="2">
        <v>1.1</v>
      </c>
      <c r="PC297" s="2">
        <v>1.4</v>
      </c>
      <c r="PD297" s="2">
        <v>0.8</v>
      </c>
      <c r="PE297" s="2">
        <v>1.4</v>
      </c>
      <c r="PF297" s="2">
        <v>1.5</v>
      </c>
      <c r="PG297" s="2">
        <v>2.1</v>
      </c>
      <c r="PH297" s="2">
        <v>2.2</v>
      </c>
      <c r="PI297" s="2">
        <v>2.5</v>
      </c>
    </row>
    <row r="298">
      <c r="A298" t="inlineStr">
        <is>
          <t>A130390480X</t>
        </is>
      </c>
      <c r="B298" t="inlineStr">
        <is>
          <t>Percentage Change from Corresponding Month of Previous Year ;  Communication ;  Australia ;</t>
        </is>
      </c>
      <c r="C298" t="inlineStr">
        <is>
          <t>Month</t>
        </is>
      </c>
      <c r="D298" t="inlineStr">
        <is>
          <t>Percent</t>
        </is>
      </c>
      <c r="E298" t="inlineStr">
        <is>
          <t>Original</t>
        </is>
      </c>
      <c r="F298" t="inlineStr">
        <is>
          <t>640103.xlsx</t>
        </is>
      </c>
      <c r="G298" t="inlineStr">
        <is>
          <t>2025-04</t>
        </is>
      </c>
      <c r="H298" t="inlineStr">
        <is>
          <t>2026-07</t>
        </is>
      </c>
      <c r="OP298" s="2">
        <v>0.7</v>
      </c>
      <c r="OQ298" s="2">
        <v>1</v>
      </c>
      <c r="OR298" s="2">
        <v>0.8</v>
      </c>
      <c r="OS298" s="2">
        <v>0.6</v>
      </c>
      <c r="OT298" s="2">
        <v>1.8</v>
      </c>
      <c r="OU298" s="2">
        <v>1.6</v>
      </c>
      <c r="OV298" s="2">
        <v>0.8</v>
      </c>
      <c r="OW298" s="2">
        <v>1.3</v>
      </c>
      <c r="OX298" s="2">
        <v>1.1</v>
      </c>
      <c r="PC298" s="2">
        <v>1.4</v>
      </c>
      <c r="PD298" s="2">
        <v>0.8</v>
      </c>
      <c r="PE298" s="2">
        <v>1.4</v>
      </c>
      <c r="PF298" s="2">
        <v>1.5</v>
      </c>
      <c r="PG298" s="2">
        <v>2.1</v>
      </c>
      <c r="PH298" s="2">
        <v>2.2</v>
      </c>
      <c r="PI298" s="2">
        <v>2.5</v>
      </c>
    </row>
    <row r="299">
      <c r="A299" t="inlineStr">
        <is>
          <t>A130399549X</t>
        </is>
      </c>
      <c r="B299" t="inlineStr">
        <is>
          <t>Percentage Change from Corresponding Month of Previous Year ;  Postal services ;  Australia ;</t>
        </is>
      </c>
      <c r="C299" t="inlineStr">
        <is>
          <t>Month</t>
        </is>
      </c>
      <c r="D299" t="inlineStr">
        <is>
          <t>Percent</t>
        </is>
      </c>
      <c r="E299" t="inlineStr">
        <is>
          <t>Original</t>
        </is>
      </c>
      <c r="F299" t="inlineStr">
        <is>
          <t>640103.xlsx</t>
        </is>
      </c>
      <c r="G299" t="inlineStr">
        <is>
          <t>2023-07</t>
        </is>
      </c>
      <c r="H299" t="inlineStr">
        <is>
          <t>2026-07</t>
        </is>
      </c>
      <c r="NM299" s="2">
        <v>12.4</v>
      </c>
      <c r="NN299" s="2">
        <v>15.3</v>
      </c>
      <c r="NO299" s="2">
        <v>14.9</v>
      </c>
      <c r="NP299" s="2">
        <v>15.4</v>
      </c>
      <c r="NQ299" s="2">
        <v>16.2</v>
      </c>
      <c r="NR299" s="2">
        <v>17.2</v>
      </c>
      <c r="NW299" s="2">
        <v>16.1</v>
      </c>
      <c r="NX299" s="2">
        <v>18.2</v>
      </c>
      <c r="NY299" s="2">
        <v>12</v>
      </c>
      <c r="NZ299" s="2">
        <v>13.6</v>
      </c>
      <c r="OA299" s="2">
        <v>9.6</v>
      </c>
      <c r="OB299" s="2">
        <v>7.4</v>
      </c>
      <c r="OC299" s="2">
        <v>5.8</v>
      </c>
      <c r="OD299" s="2">
        <v>2.8</v>
      </c>
      <c r="OE299" s="2">
        <v>2</v>
      </c>
      <c r="OF299" s="2">
        <v>1</v>
      </c>
      <c r="OG299" s="2">
        <v>0.2</v>
      </c>
      <c r="OH299" s="2">
        <v>-0.4</v>
      </c>
      <c r="OM299" s="2">
        <v>0</v>
      </c>
      <c r="ON299" s="2">
        <v>0.1</v>
      </c>
      <c r="OO299" s="2">
        <v>0.6</v>
      </c>
      <c r="OP299" s="2">
        <v>1.4</v>
      </c>
      <c r="OQ299" s="2">
        <v>3.6</v>
      </c>
      <c r="OR299" s="2">
        <v>6.4</v>
      </c>
      <c r="OS299" s="2">
        <v>3.3</v>
      </c>
      <c r="OT299" s="2">
        <v>3.6</v>
      </c>
      <c r="OU299" s="2">
        <v>4.2</v>
      </c>
      <c r="OV299" s="2">
        <v>5.5</v>
      </c>
      <c r="OW299" s="2">
        <v>5.7</v>
      </c>
      <c r="OX299" s="2">
        <v>6.1</v>
      </c>
      <c r="PC299" s="2">
        <v>6.1</v>
      </c>
      <c r="PD299" s="2">
        <v>4.3</v>
      </c>
      <c r="PE299" s="2">
        <v>7.5</v>
      </c>
      <c r="PF299" s="2">
        <v>12.4</v>
      </c>
      <c r="PG299" s="2">
        <v>11.6</v>
      </c>
      <c r="PH299" s="2">
        <v>8.699999999999999</v>
      </c>
      <c r="PI299" s="2">
        <v>6.8</v>
      </c>
    </row>
    <row r="300">
      <c r="A300" t="inlineStr">
        <is>
          <t>A130398293L</t>
        </is>
      </c>
      <c r="B300" t="inlineStr">
        <is>
          <t>Percentage Change from Corresponding Month of Previous Year ;  Telecommunication equipment and services ;  Australia ;</t>
        </is>
      </c>
      <c r="C300" t="inlineStr">
        <is>
          <t>Month</t>
        </is>
      </c>
      <c r="D300" t="inlineStr">
        <is>
          <t>Percent</t>
        </is>
      </c>
      <c r="E300" t="inlineStr">
        <is>
          <t>Original</t>
        </is>
      </c>
      <c r="F300" t="inlineStr">
        <is>
          <t>640103.xlsx</t>
        </is>
      </c>
      <c r="G300" t="inlineStr">
        <is>
          <t>2025-04</t>
        </is>
      </c>
      <c r="H300" t="inlineStr">
        <is>
          <t>2026-07</t>
        </is>
      </c>
      <c r="OP300" s="2">
        <v>0.7</v>
      </c>
      <c r="OQ300" s="2">
        <v>0.8</v>
      </c>
      <c r="OR300" s="2">
        <v>0.5</v>
      </c>
      <c r="OS300" s="2">
        <v>0.5</v>
      </c>
      <c r="OT300" s="2">
        <v>1.8</v>
      </c>
      <c r="OU300" s="2">
        <v>1.5</v>
      </c>
      <c r="OV300" s="2">
        <v>0.5</v>
      </c>
      <c r="OW300" s="2">
        <v>1.1</v>
      </c>
      <c r="OX300" s="2">
        <v>0.8</v>
      </c>
      <c r="PC300" s="2">
        <v>1.1</v>
      </c>
      <c r="PD300" s="2">
        <v>0.6</v>
      </c>
      <c r="PE300" s="2">
        <v>1.1</v>
      </c>
      <c r="PF300" s="2">
        <v>1</v>
      </c>
      <c r="PG300" s="2">
        <v>1.6</v>
      </c>
      <c r="PH300" s="2">
        <v>1.9</v>
      </c>
      <c r="PI300" s="2">
        <v>2.3</v>
      </c>
    </row>
    <row r="301">
      <c r="A301" t="inlineStr">
        <is>
          <t>A130393833X</t>
        </is>
      </c>
      <c r="B301" t="inlineStr">
        <is>
          <t>Percentage Change from Corresponding Month of Previous Year ;  Recreation and culture ;  Australia ;</t>
        </is>
      </c>
      <c r="C301" t="inlineStr">
        <is>
          <t>Month</t>
        </is>
      </c>
      <c r="D301" t="inlineStr">
        <is>
          <t>Percent</t>
        </is>
      </c>
      <c r="E301" t="inlineStr">
        <is>
          <t>Original</t>
        </is>
      </c>
      <c r="F301" t="inlineStr">
        <is>
          <t>640103.xlsx</t>
        </is>
      </c>
      <c r="G301" t="inlineStr">
        <is>
          <t>2025-04</t>
        </is>
      </c>
      <c r="H301" t="inlineStr">
        <is>
          <t>2026-07</t>
        </is>
      </c>
      <c r="OP301" s="2">
        <v>3.4</v>
      </c>
      <c r="OQ301" s="2">
        <v>1.4</v>
      </c>
      <c r="OR301" s="2">
        <v>-0.9</v>
      </c>
      <c r="OS301" s="2">
        <v>2.5</v>
      </c>
      <c r="OT301" s="2">
        <v>1.4</v>
      </c>
      <c r="OU301" s="2">
        <v>1.8</v>
      </c>
      <c r="OV301" s="2">
        <v>3.2</v>
      </c>
      <c r="OW301" s="2">
        <v>2</v>
      </c>
      <c r="OX301" s="2">
        <v>4.4</v>
      </c>
      <c r="PC301" s="2">
        <v>3.7</v>
      </c>
      <c r="PD301" s="2">
        <v>4.1</v>
      </c>
      <c r="PE301" s="2">
        <v>2.8</v>
      </c>
      <c r="PF301" s="2">
        <v>2.5</v>
      </c>
      <c r="PG301" s="2">
        <v>2.4</v>
      </c>
      <c r="PH301" s="2">
        <v>3.3</v>
      </c>
      <c r="PI301" s="2">
        <v>2.6</v>
      </c>
    </row>
    <row r="302">
      <c r="A302" t="inlineStr">
        <is>
          <t>A130399080A</t>
        </is>
      </c>
      <c r="B302" t="inlineStr">
        <is>
          <t>Percentage Change from Corresponding Month of Previous Year ;  Audio, visual and computing equipment and services ;  Australia ;</t>
        </is>
      </c>
      <c r="C302" t="inlineStr">
        <is>
          <t>Month</t>
        </is>
      </c>
      <c r="D302" t="inlineStr">
        <is>
          <t>Percent</t>
        </is>
      </c>
      <c r="E302" t="inlineStr">
        <is>
          <t>Original</t>
        </is>
      </c>
      <c r="F302" t="inlineStr">
        <is>
          <t>640103.xlsx</t>
        </is>
      </c>
      <c r="G302" t="inlineStr">
        <is>
          <t>2025-04</t>
        </is>
      </c>
      <c r="H302" t="inlineStr">
        <is>
          <t>2026-07</t>
        </is>
      </c>
      <c r="OP302" s="2">
        <v>2.4</v>
      </c>
      <c r="OQ302" s="2">
        <v>1.6</v>
      </c>
      <c r="OR302" s="2">
        <v>2.2</v>
      </c>
      <c r="OS302" s="2">
        <v>1.4</v>
      </c>
      <c r="OT302" s="2">
        <v>3.9</v>
      </c>
      <c r="OU302" s="2">
        <v>4</v>
      </c>
      <c r="OV302" s="2">
        <v>4.3</v>
      </c>
      <c r="OW302" s="2">
        <v>3.5</v>
      </c>
      <c r="OX302" s="2">
        <v>3.9</v>
      </c>
      <c r="PC302" s="2">
        <v>5.7</v>
      </c>
      <c r="PD302" s="2">
        <v>5.8</v>
      </c>
      <c r="PE302" s="2">
        <v>4</v>
      </c>
      <c r="PF302" s="2">
        <v>4.1</v>
      </c>
      <c r="PG302" s="2">
        <v>3.9</v>
      </c>
      <c r="PH302" s="2">
        <v>2.9</v>
      </c>
      <c r="PI302" s="2">
        <v>6.7</v>
      </c>
    </row>
    <row r="303">
      <c r="A303" t="inlineStr">
        <is>
          <t>A130397186L</t>
        </is>
      </c>
      <c r="B303" t="inlineStr">
        <is>
          <t>Percentage Change from Corresponding Month of Previous Year ;  Audio, visual and computing equipment ;  Australia ;</t>
        </is>
      </c>
      <c r="C303" t="inlineStr">
        <is>
          <t>Month</t>
        </is>
      </c>
      <c r="D303" t="inlineStr">
        <is>
          <t>Percent</t>
        </is>
      </c>
      <c r="E303" t="inlineStr">
        <is>
          <t>Original</t>
        </is>
      </c>
      <c r="F303" t="inlineStr">
        <is>
          <t>640103.xlsx</t>
        </is>
      </c>
      <c r="G303" t="inlineStr">
        <is>
          <t>2025-04</t>
        </is>
      </c>
      <c r="H303" t="inlineStr">
        <is>
          <t>2026-07</t>
        </is>
      </c>
      <c r="OP303" s="2">
        <v>-1.8</v>
      </c>
      <c r="OQ303" s="2">
        <v>-1.2</v>
      </c>
      <c r="OR303" s="2">
        <v>-0.3</v>
      </c>
      <c r="OS303" s="2">
        <v>-0.7</v>
      </c>
      <c r="OT303" s="2">
        <v>-0.6</v>
      </c>
      <c r="OU303" s="2">
        <v>-1</v>
      </c>
      <c r="OV303" s="2">
        <v>-0.5</v>
      </c>
      <c r="OW303" s="2">
        <v>-1.7</v>
      </c>
      <c r="OX303" s="2">
        <v>-1.6</v>
      </c>
      <c r="PC303" s="2">
        <v>1.8</v>
      </c>
      <c r="PD303" s="2">
        <v>1.8</v>
      </c>
      <c r="PE303" s="2">
        <v>-0.7</v>
      </c>
      <c r="PF303" s="2">
        <v>-0.8</v>
      </c>
      <c r="PG303" s="2">
        <v>-1.9</v>
      </c>
      <c r="PH303" s="2">
        <v>-3</v>
      </c>
      <c r="PI303" s="2">
        <v>3.3</v>
      </c>
    </row>
    <row r="304">
      <c r="A304" t="inlineStr">
        <is>
          <t>A130397866T</t>
        </is>
      </c>
      <c r="B304" t="inlineStr">
        <is>
          <t>Percentage Change from Corresponding Month of Previous Year ;  Audio, visual and computing media and services ;  Australia ;</t>
        </is>
      </c>
      <c r="C304" t="inlineStr">
        <is>
          <t>Month</t>
        </is>
      </c>
      <c r="D304" t="inlineStr">
        <is>
          <t>Percent</t>
        </is>
      </c>
      <c r="E304" t="inlineStr">
        <is>
          <t>Original</t>
        </is>
      </c>
      <c r="F304" t="inlineStr">
        <is>
          <t>640103.xlsx</t>
        </is>
      </c>
      <c r="G304" t="inlineStr">
        <is>
          <t>2025-04</t>
        </is>
      </c>
      <c r="H304" t="inlineStr">
        <is>
          <t>2026-07</t>
        </is>
      </c>
      <c r="OP304" s="2">
        <v>8.1</v>
      </c>
      <c r="OQ304" s="2">
        <v>5.3</v>
      </c>
      <c r="OR304" s="2">
        <v>5.2</v>
      </c>
      <c r="OS304" s="2">
        <v>4.1</v>
      </c>
      <c r="OT304" s="2">
        <v>9.4</v>
      </c>
      <c r="OU304" s="2">
        <v>9.9</v>
      </c>
      <c r="OV304" s="2">
        <v>9.800000000000001</v>
      </c>
      <c r="OW304" s="2">
        <v>9.5</v>
      </c>
      <c r="OX304" s="2">
        <v>10</v>
      </c>
      <c r="PC304" s="2">
        <v>10.1</v>
      </c>
      <c r="PD304" s="2">
        <v>10.2</v>
      </c>
      <c r="PE304" s="2">
        <v>9.199999999999999</v>
      </c>
      <c r="PF304" s="2">
        <v>9.6</v>
      </c>
      <c r="PG304" s="2">
        <v>10.5</v>
      </c>
      <c r="PH304" s="2">
        <v>9.5</v>
      </c>
      <c r="PI304" s="2">
        <v>10.4</v>
      </c>
    </row>
    <row r="305">
      <c r="A305" t="inlineStr">
        <is>
          <t>A130394197R</t>
        </is>
      </c>
      <c r="B305" t="inlineStr">
        <is>
          <t>Percentage Change from Corresponding Month of Previous Year ;  Newspapers, books and stationery ;  Australia ;</t>
        </is>
      </c>
      <c r="C305" t="inlineStr">
        <is>
          <t>Month</t>
        </is>
      </c>
      <c r="D305" t="inlineStr">
        <is>
          <t>Percent</t>
        </is>
      </c>
      <c r="E305" t="inlineStr">
        <is>
          <t>Original</t>
        </is>
      </c>
      <c r="F305" t="inlineStr">
        <is>
          <t>640103.xlsx</t>
        </is>
      </c>
      <c r="G305" t="inlineStr">
        <is>
          <t>2025-04</t>
        </is>
      </c>
      <c r="H305" t="inlineStr">
        <is>
          <t>2026-07</t>
        </is>
      </c>
      <c r="OP305" s="2">
        <v>1.7</v>
      </c>
      <c r="OQ305" s="2">
        <v>2.3</v>
      </c>
      <c r="OR305" s="2">
        <v>2.1</v>
      </c>
      <c r="OS305" s="2">
        <v>3.5</v>
      </c>
      <c r="OT305" s="2">
        <v>2.9</v>
      </c>
      <c r="OU305" s="2">
        <v>3.3</v>
      </c>
      <c r="OV305" s="2">
        <v>2.9</v>
      </c>
      <c r="OW305" s="2">
        <v>3.6</v>
      </c>
      <c r="OX305" s="2">
        <v>3.5</v>
      </c>
      <c r="PC305" s="2">
        <v>3</v>
      </c>
      <c r="PD305" s="2">
        <v>3.5</v>
      </c>
      <c r="PE305" s="2">
        <v>4.8</v>
      </c>
      <c r="PF305" s="2">
        <v>2.3</v>
      </c>
      <c r="PG305" s="2">
        <v>3.4</v>
      </c>
      <c r="PH305" s="2">
        <v>3.1</v>
      </c>
      <c r="PI305" s="2">
        <v>2.4</v>
      </c>
    </row>
    <row r="306">
      <c r="A306" t="inlineStr">
        <is>
          <t>A130394953K</t>
        </is>
      </c>
      <c r="B306" t="inlineStr">
        <is>
          <t>Percentage Change from Corresponding Month of Previous Year ;  Books ;  Australia ;</t>
        </is>
      </c>
      <c r="C306" t="inlineStr">
        <is>
          <t>Month</t>
        </is>
      </c>
      <c r="D306" t="inlineStr">
        <is>
          <t>Percent</t>
        </is>
      </c>
      <c r="E306" t="inlineStr">
        <is>
          <t>Original</t>
        </is>
      </c>
      <c r="F306" t="inlineStr">
        <is>
          <t>640103.xlsx</t>
        </is>
      </c>
      <c r="G306" t="inlineStr">
        <is>
          <t>2025-04</t>
        </is>
      </c>
      <c r="H306" t="inlineStr">
        <is>
          <t>2026-07</t>
        </is>
      </c>
      <c r="OP306" s="2">
        <v>0.3</v>
      </c>
      <c r="OQ306" s="2">
        <v>0.7</v>
      </c>
      <c r="OR306" s="2">
        <v>-1.8</v>
      </c>
      <c r="OS306" s="2">
        <v>-0.2</v>
      </c>
      <c r="OT306" s="2">
        <v>-2.1</v>
      </c>
      <c r="OU306" s="2">
        <v>0.5</v>
      </c>
      <c r="OV306" s="2">
        <v>2.3</v>
      </c>
      <c r="OW306" s="2">
        <v>1.2</v>
      </c>
      <c r="OX306" s="2">
        <v>-0.3</v>
      </c>
      <c r="PC306" s="2">
        <v>1.1</v>
      </c>
      <c r="PD306" s="2">
        <v>0.3</v>
      </c>
      <c r="PE306" s="2">
        <v>1.8</v>
      </c>
      <c r="PF306" s="2">
        <v>-3.1</v>
      </c>
      <c r="PG306" s="2">
        <v>-0.4</v>
      </c>
      <c r="PH306" s="2">
        <v>0.4</v>
      </c>
      <c r="PI306" s="2">
        <v>2.1</v>
      </c>
    </row>
    <row r="307">
      <c r="A307" t="inlineStr">
        <is>
          <t>A130392881X</t>
        </is>
      </c>
      <c r="B307" t="inlineStr">
        <is>
          <t>Percentage Change from Corresponding Month of Previous Year ;  Newspapers, magazines and stationery ;  Australia ;</t>
        </is>
      </c>
      <c r="C307" t="inlineStr">
        <is>
          <t>Month</t>
        </is>
      </c>
      <c r="D307" t="inlineStr">
        <is>
          <t>Percent</t>
        </is>
      </c>
      <c r="E307" t="inlineStr">
        <is>
          <t>Original</t>
        </is>
      </c>
      <c r="F307" t="inlineStr">
        <is>
          <t>640103.xlsx</t>
        </is>
      </c>
      <c r="G307" t="inlineStr">
        <is>
          <t>2025-04</t>
        </is>
      </c>
      <c r="H307" t="inlineStr">
        <is>
          <t>2026-07</t>
        </is>
      </c>
      <c r="OP307" s="2">
        <v>2.3</v>
      </c>
      <c r="OQ307" s="2">
        <v>2.9</v>
      </c>
      <c r="OR307" s="2">
        <v>3.6</v>
      </c>
      <c r="OS307" s="2">
        <v>5</v>
      </c>
      <c r="OT307" s="2">
        <v>5</v>
      </c>
      <c r="OU307" s="2">
        <v>4.4</v>
      </c>
      <c r="OV307" s="2">
        <v>3.1</v>
      </c>
      <c r="OW307" s="2">
        <v>4.5</v>
      </c>
      <c r="OX307" s="2">
        <v>5.1</v>
      </c>
      <c r="PC307" s="2">
        <v>3.9</v>
      </c>
      <c r="PD307" s="2">
        <v>4.8</v>
      </c>
      <c r="PE307" s="2">
        <v>6</v>
      </c>
      <c r="PF307" s="2">
        <v>4.5</v>
      </c>
      <c r="PG307" s="2">
        <v>4.9</v>
      </c>
      <c r="PH307" s="2">
        <v>4.2</v>
      </c>
      <c r="PI307" s="2">
        <v>2.6</v>
      </c>
    </row>
    <row r="308">
      <c r="A308" t="inlineStr">
        <is>
          <t>A130391831J</t>
        </is>
      </c>
      <c r="B308" t="inlineStr">
        <is>
          <t>Percentage Change from Corresponding Month of Previous Year ;  Holiday travel and accommodation ;  Australia ;</t>
        </is>
      </c>
      <c r="C308" t="inlineStr">
        <is>
          <t>Month</t>
        </is>
      </c>
      <c r="D308" t="inlineStr">
        <is>
          <t>Percent</t>
        </is>
      </c>
      <c r="E308" t="inlineStr">
        <is>
          <t>Original</t>
        </is>
      </c>
      <c r="F308" t="inlineStr">
        <is>
          <t>640103.xlsx</t>
        </is>
      </c>
      <c r="G308" t="inlineStr">
        <is>
          <t>2018-09</t>
        </is>
      </c>
      <c r="H308" t="inlineStr">
        <is>
          <t>2026-07</t>
        </is>
      </c>
      <c r="KM308" s="2">
        <v>4.3</v>
      </c>
      <c r="KN308" s="2">
        <v>5.1</v>
      </c>
      <c r="KO308" s="2">
        <v>3.5</v>
      </c>
      <c r="KP308" s="2">
        <v>5</v>
      </c>
      <c r="KU308" s="2">
        <v>3.8</v>
      </c>
      <c r="KV308" s="2">
        <v>1.9</v>
      </c>
      <c r="KW308" s="2">
        <v>0</v>
      </c>
      <c r="KX308" s="2">
        <v>4.9</v>
      </c>
      <c r="KY308" s="2">
        <v>2.6</v>
      </c>
      <c r="KZ308" s="2">
        <v>3.6</v>
      </c>
      <c r="LA308" s="2">
        <v>3.2</v>
      </c>
      <c r="LB308" s="2">
        <v>4.8</v>
      </c>
      <c r="LC308" s="2">
        <v>2.4</v>
      </c>
      <c r="LD308" s="2">
        <v>4.3</v>
      </c>
      <c r="LE308" s="2">
        <v>1.2</v>
      </c>
      <c r="LF308" s="2">
        <v>2.3</v>
      </c>
      <c r="LK308" s="2">
        <v>3.8</v>
      </c>
      <c r="LL308" s="2">
        <v>-0.5</v>
      </c>
      <c r="LM308" s="2">
        <v>4.3</v>
      </c>
      <c r="LN308" s="2">
        <v>-3</v>
      </c>
      <c r="LO308" s="2">
        <v>2.3</v>
      </c>
      <c r="LP308" s="2">
        <v>-0.9</v>
      </c>
      <c r="LQ308" s="2">
        <v>-2.9</v>
      </c>
      <c r="LR308" s="2">
        <v>3.7</v>
      </c>
      <c r="LS308" s="2">
        <v>-7.1</v>
      </c>
      <c r="LT308" s="2">
        <v>-10.7</v>
      </c>
      <c r="LU308" s="2">
        <v>-5.7</v>
      </c>
      <c r="LV308" s="2">
        <v>-8.199999999999999</v>
      </c>
      <c r="MA308" s="2">
        <v>-9.6</v>
      </c>
      <c r="MB308" s="2">
        <v>-3.8</v>
      </c>
      <c r="MC308" s="2">
        <v>-7.1</v>
      </c>
      <c r="MD308" s="2">
        <v>-4.2</v>
      </c>
      <c r="ME308" s="2">
        <v>-8.300000000000001</v>
      </c>
      <c r="MF308" s="2">
        <v>-4</v>
      </c>
      <c r="MG308" s="2">
        <v>-10.7</v>
      </c>
      <c r="MH308" s="2">
        <v>-10.6</v>
      </c>
      <c r="MI308" s="2">
        <v>2.9</v>
      </c>
      <c r="MJ308" s="2">
        <v>5.7</v>
      </c>
      <c r="MK308" s="2">
        <v>2.3</v>
      </c>
      <c r="ML308" s="2">
        <v>1.5</v>
      </c>
      <c r="MQ308" s="2">
        <v>6.1</v>
      </c>
      <c r="MR308" s="2">
        <v>1</v>
      </c>
      <c r="MS308" s="2">
        <v>5.1</v>
      </c>
      <c r="MT308" s="2">
        <v>8.199999999999999</v>
      </c>
      <c r="MU308" s="2">
        <v>6.7</v>
      </c>
      <c r="MV308" s="2">
        <v>7.7</v>
      </c>
      <c r="MW308" s="2">
        <v>13.3</v>
      </c>
      <c r="MX308" s="2">
        <v>8</v>
      </c>
      <c r="MY308" s="2">
        <v>12.6</v>
      </c>
      <c r="MZ308" s="2">
        <v>3.7</v>
      </c>
      <c r="NA308" s="2">
        <v>12.7</v>
      </c>
      <c r="NB308" s="2">
        <v>29.4</v>
      </c>
      <c r="NG308" s="2">
        <v>17.9</v>
      </c>
      <c r="NH308" s="2">
        <v>14.9</v>
      </c>
      <c r="NI308" s="2">
        <v>13.9</v>
      </c>
      <c r="NJ308" s="2">
        <v>11.9</v>
      </c>
      <c r="NK308" s="2">
        <v>7.3</v>
      </c>
      <c r="NL308" s="2">
        <v>12.9</v>
      </c>
      <c r="NM308" s="2">
        <v>5.3</v>
      </c>
      <c r="NN308" s="2">
        <v>6.6</v>
      </c>
      <c r="NO308" s="2">
        <v>1.9</v>
      </c>
      <c r="NP308" s="2">
        <v>1.3</v>
      </c>
      <c r="NQ308" s="2">
        <v>-0.2</v>
      </c>
      <c r="NR308" s="2">
        <v>-9.1</v>
      </c>
      <c r="NW308" s="2">
        <v>-7.2</v>
      </c>
      <c r="NX308" s="2">
        <v>-1.3</v>
      </c>
      <c r="NY308" s="2">
        <v>-4</v>
      </c>
      <c r="NZ308" s="2">
        <v>-6.2</v>
      </c>
      <c r="OA308" s="2">
        <v>2.9</v>
      </c>
      <c r="OB308" s="2">
        <v>-0.7</v>
      </c>
      <c r="OC308" s="2">
        <v>0.2</v>
      </c>
      <c r="OD308" s="2">
        <v>2.8</v>
      </c>
      <c r="OE308" s="2">
        <v>2.4</v>
      </c>
      <c r="OF308" s="2">
        <v>8</v>
      </c>
      <c r="OG308" s="2">
        <v>3.8</v>
      </c>
      <c r="OH308" s="2">
        <v>0</v>
      </c>
      <c r="OM308" s="2">
        <v>-0.8</v>
      </c>
      <c r="ON308" s="2">
        <v>1</v>
      </c>
      <c r="OO308" s="2">
        <v>4</v>
      </c>
      <c r="OP308" s="2">
        <v>5.3</v>
      </c>
      <c r="OQ308" s="2">
        <v>0.6</v>
      </c>
      <c r="OR308" s="2">
        <v>-3.7</v>
      </c>
      <c r="OS308" s="2">
        <v>3.3</v>
      </c>
      <c r="OT308" s="2">
        <v>1.1</v>
      </c>
      <c r="OU308" s="2">
        <v>2</v>
      </c>
      <c r="OV308" s="2">
        <v>3</v>
      </c>
      <c r="OW308" s="2">
        <v>1.8</v>
      </c>
      <c r="OX308" s="2">
        <v>5.8</v>
      </c>
      <c r="PC308" s="2">
        <v>3.9</v>
      </c>
      <c r="PD308" s="2">
        <v>5.3</v>
      </c>
      <c r="PE308" s="2">
        <v>2.2</v>
      </c>
      <c r="PF308" s="2">
        <v>1.7</v>
      </c>
      <c r="PG308" s="2">
        <v>1.9</v>
      </c>
      <c r="PH308" s="2">
        <v>4</v>
      </c>
      <c r="PI308" s="2">
        <v>1.2</v>
      </c>
    </row>
    <row r="309">
      <c r="A309" t="inlineStr">
        <is>
          <t>A130392195X</t>
        </is>
      </c>
      <c r="B309" t="inlineStr">
        <is>
          <t>Percentage Change from Corresponding Month of Previous Year ;  Domestic holiday travel and accommodation ;  Australia ;</t>
        </is>
      </c>
      <c r="C309" t="inlineStr">
        <is>
          <t>Month</t>
        </is>
      </c>
      <c r="D309" t="inlineStr">
        <is>
          <t>Percent</t>
        </is>
      </c>
      <c r="E309" t="inlineStr">
        <is>
          <t>Original</t>
        </is>
      </c>
      <c r="F309" t="inlineStr">
        <is>
          <t>640103.xlsx</t>
        </is>
      </c>
      <c r="G309" t="inlineStr">
        <is>
          <t>2018-09</t>
        </is>
      </c>
      <c r="H309" t="inlineStr">
        <is>
          <t>2026-07</t>
        </is>
      </c>
      <c r="KM309" s="2">
        <v>7.6</v>
      </c>
      <c r="KN309" s="2">
        <v>4.5</v>
      </c>
      <c r="KO309" s="2">
        <v>5.5</v>
      </c>
      <c r="KP309" s="2">
        <v>10.1</v>
      </c>
      <c r="KU309" s="2">
        <v>3.3</v>
      </c>
      <c r="KV309" s="2">
        <v>0.9</v>
      </c>
      <c r="KW309" s="2">
        <v>-0.8</v>
      </c>
      <c r="KX309" s="2">
        <v>4.4</v>
      </c>
      <c r="KY309" s="2">
        <v>3</v>
      </c>
      <c r="KZ309" s="2">
        <v>3.2</v>
      </c>
      <c r="LA309" s="2">
        <v>1.7</v>
      </c>
      <c r="LB309" s="2">
        <v>1.3</v>
      </c>
      <c r="LC309" s="2">
        <v>-0.2</v>
      </c>
      <c r="LD309" s="2">
        <v>3.9</v>
      </c>
      <c r="LE309" s="2">
        <v>0.4</v>
      </c>
      <c r="LF309" s="2">
        <v>1.1</v>
      </c>
      <c r="LK309" s="2">
        <v>3.4</v>
      </c>
      <c r="LL309" s="2">
        <v>1.8</v>
      </c>
      <c r="LM309" s="2">
        <v>2.7</v>
      </c>
      <c r="LN309" s="2">
        <v>-4.9</v>
      </c>
      <c r="LO309" s="2">
        <v>2.3</v>
      </c>
      <c r="LP309" s="2">
        <v>6</v>
      </c>
      <c r="LQ309" s="2">
        <v>-1.8</v>
      </c>
      <c r="LR309" s="2">
        <v>2.2</v>
      </c>
      <c r="LS309" s="2">
        <v>7.3</v>
      </c>
      <c r="LT309" s="2">
        <v>0.2</v>
      </c>
      <c r="LU309" s="2">
        <v>4.4</v>
      </c>
      <c r="LV309" s="2">
        <v>0</v>
      </c>
      <c r="MA309" s="2">
        <v>0.7</v>
      </c>
      <c r="MB309" s="2">
        <v>5.3</v>
      </c>
      <c r="MC309" s="2">
        <v>2.4</v>
      </c>
      <c r="MD309" s="2">
        <v>9.300000000000001</v>
      </c>
      <c r="ME309" s="2">
        <v>2.1</v>
      </c>
      <c r="MF309" s="2">
        <v>2.2</v>
      </c>
      <c r="MG309" s="2">
        <v>4.7</v>
      </c>
      <c r="MH309" s="2">
        <v>4.7</v>
      </c>
      <c r="MI309" s="2">
        <v>2</v>
      </c>
      <c r="MJ309" s="2">
        <v>4.9</v>
      </c>
      <c r="MK309" s="2">
        <v>1.1</v>
      </c>
      <c r="ML309" s="2">
        <v>1.4</v>
      </c>
      <c r="MQ309" s="2">
        <v>6</v>
      </c>
      <c r="MR309" s="2">
        <v>1.3</v>
      </c>
      <c r="MS309" s="2">
        <v>6.3</v>
      </c>
      <c r="MT309" s="2">
        <v>8.5</v>
      </c>
      <c r="MU309" s="2">
        <v>6.9</v>
      </c>
      <c r="MV309" s="2">
        <v>7.8</v>
      </c>
      <c r="MW309" s="2">
        <v>13.2</v>
      </c>
      <c r="MX309" s="2">
        <v>7.2</v>
      </c>
      <c r="MY309" s="2">
        <v>11.9</v>
      </c>
      <c r="MZ309" s="2">
        <v>9.1</v>
      </c>
      <c r="NA309" s="2">
        <v>20.3</v>
      </c>
      <c r="NB309" s="2">
        <v>28.5</v>
      </c>
      <c r="NG309" s="2">
        <v>26.3</v>
      </c>
      <c r="NH309" s="2">
        <v>25</v>
      </c>
      <c r="NI309" s="2">
        <v>23.3</v>
      </c>
      <c r="NJ309" s="2">
        <v>20.1</v>
      </c>
      <c r="NK309" s="2">
        <v>10.3</v>
      </c>
      <c r="NL309" s="2">
        <v>11.2</v>
      </c>
      <c r="NM309" s="2">
        <v>8.6</v>
      </c>
      <c r="NN309" s="2">
        <v>9.199999999999999</v>
      </c>
      <c r="NO309" s="2">
        <v>4.8</v>
      </c>
      <c r="NP309" s="2">
        <v>4.2</v>
      </c>
      <c r="NQ309" s="2">
        <v>0.5</v>
      </c>
      <c r="NR309" s="2">
        <v>-7.2</v>
      </c>
      <c r="NW309" s="2">
        <v>-7.5</v>
      </c>
      <c r="NX309" s="2">
        <v>-2.7</v>
      </c>
      <c r="NY309" s="2">
        <v>-2.8</v>
      </c>
      <c r="NZ309" s="2">
        <v>-8.300000000000001</v>
      </c>
      <c r="OA309" s="2">
        <v>1.4</v>
      </c>
      <c r="OB309" s="2">
        <v>1.6</v>
      </c>
      <c r="OC309" s="2">
        <v>0</v>
      </c>
      <c r="OD309" s="2">
        <v>2.4</v>
      </c>
      <c r="OE309" s="2">
        <v>1.9</v>
      </c>
      <c r="OF309" s="2">
        <v>7.3</v>
      </c>
      <c r="OG309" s="2">
        <v>4.9</v>
      </c>
      <c r="OH309" s="2">
        <v>-2.4</v>
      </c>
      <c r="OM309" s="2">
        <v>2</v>
      </c>
      <c r="ON309" s="2">
        <v>0.7</v>
      </c>
      <c r="OO309" s="2">
        <v>3.1</v>
      </c>
      <c r="OP309" s="2">
        <v>6.9</v>
      </c>
      <c r="OQ309" s="2">
        <v>3.9</v>
      </c>
      <c r="OR309" s="2">
        <v>-1.6</v>
      </c>
      <c r="OS309" s="2">
        <v>6.4</v>
      </c>
      <c r="OT309" s="2">
        <v>4.6</v>
      </c>
      <c r="OU309" s="2">
        <v>4.6</v>
      </c>
      <c r="OV309" s="2">
        <v>7.1</v>
      </c>
      <c r="OW309" s="2">
        <v>3.3</v>
      </c>
      <c r="OX309" s="2">
        <v>9.6</v>
      </c>
      <c r="PC309" s="2">
        <v>5.6</v>
      </c>
      <c r="PD309" s="2">
        <v>8.800000000000001</v>
      </c>
      <c r="PE309" s="2">
        <v>2.9</v>
      </c>
      <c r="PF309" s="2">
        <v>6.5</v>
      </c>
      <c r="PG309" s="2">
        <v>3</v>
      </c>
      <c r="PH309" s="2">
        <v>3.8</v>
      </c>
      <c r="PI309" s="2">
        <v>2.1</v>
      </c>
    </row>
    <row r="310">
      <c r="A310" t="inlineStr">
        <is>
          <t>A130394799X</t>
        </is>
      </c>
      <c r="B310" t="inlineStr">
        <is>
          <t>Percentage Change from Corresponding Month of Previous Year ;  International holiday travel and accommodation ;  Australia ;</t>
        </is>
      </c>
      <c r="C310" t="inlineStr">
        <is>
          <t>Month</t>
        </is>
      </c>
      <c r="D310" t="inlineStr">
        <is>
          <t>Percent</t>
        </is>
      </c>
      <c r="E310" t="inlineStr">
        <is>
          <t>Original</t>
        </is>
      </c>
      <c r="F310" t="inlineStr">
        <is>
          <t>640103.xlsx</t>
        </is>
      </c>
      <c r="G310" t="inlineStr">
        <is>
          <t>2018-09</t>
        </is>
      </c>
      <c r="H310" t="inlineStr">
        <is>
          <t>2026-07</t>
        </is>
      </c>
      <c r="KM310" s="2">
        <v>1.5</v>
      </c>
      <c r="KN310" s="2">
        <v>5.6</v>
      </c>
      <c r="KO310" s="2">
        <v>1.7</v>
      </c>
      <c r="KP310" s="2">
        <v>0.2</v>
      </c>
      <c r="KU310" s="2">
        <v>4.3</v>
      </c>
      <c r="KV310" s="2">
        <v>2.8</v>
      </c>
      <c r="KW310" s="2">
        <v>0.8</v>
      </c>
      <c r="KX310" s="2">
        <v>5.4</v>
      </c>
      <c r="KY310" s="2">
        <v>2.3</v>
      </c>
      <c r="KZ310" s="2">
        <v>4.2</v>
      </c>
      <c r="LA310" s="2">
        <v>4.7</v>
      </c>
      <c r="LB310" s="2">
        <v>8.199999999999999</v>
      </c>
      <c r="LC310" s="2">
        <v>4.9</v>
      </c>
      <c r="LD310" s="2">
        <v>4.8</v>
      </c>
      <c r="LE310" s="2">
        <v>2.2</v>
      </c>
      <c r="LF310" s="2">
        <v>3.7</v>
      </c>
      <c r="LK310" s="2">
        <v>4.4</v>
      </c>
      <c r="LL310" s="2">
        <v>-2.6</v>
      </c>
      <c r="LM310" s="2">
        <v>5.9</v>
      </c>
      <c r="LN310" s="2">
        <v>-1.3</v>
      </c>
      <c r="LO310" s="2">
        <v>2.3</v>
      </c>
      <c r="LP310" s="2">
        <v>-7</v>
      </c>
      <c r="LQ310" s="2">
        <v>-3.9</v>
      </c>
      <c r="LR310" s="2">
        <v>5</v>
      </c>
      <c r="LS310" s="2">
        <v>-20</v>
      </c>
      <c r="LT310" s="2">
        <v>-9.4</v>
      </c>
      <c r="LU310" s="2">
        <v>-8.9</v>
      </c>
      <c r="LV310" s="2">
        <v>9.300000000000001</v>
      </c>
      <c r="MA310" s="2">
        <v>-19.5</v>
      </c>
      <c r="MB310" s="2">
        <v>4.5</v>
      </c>
      <c r="MC310" s="2">
        <v>20.7</v>
      </c>
      <c r="MD310" s="2">
        <v>2.2</v>
      </c>
      <c r="ME310" s="2">
        <v>11.7</v>
      </c>
      <c r="MF310" s="2">
        <v>22.7</v>
      </c>
      <c r="MG310" s="2">
        <v>-1</v>
      </c>
      <c r="MH310" s="2">
        <v>-8.9</v>
      </c>
      <c r="MI310" s="2">
        <v>30.3</v>
      </c>
      <c r="MJ310" s="2">
        <v>28.6</v>
      </c>
      <c r="MK310" s="2">
        <v>38.8</v>
      </c>
      <c r="ML310" s="2">
        <v>2</v>
      </c>
      <c r="MQ310" s="2">
        <v>10.4</v>
      </c>
      <c r="MR310" s="2">
        <v>-7.5</v>
      </c>
      <c r="MS310" s="2">
        <v>-20.8</v>
      </c>
      <c r="MT310" s="2">
        <v>-0.1</v>
      </c>
      <c r="MU310" s="2">
        <v>0.9</v>
      </c>
      <c r="MV310" s="2">
        <v>5.4</v>
      </c>
      <c r="MW310" s="2">
        <v>16.1</v>
      </c>
      <c r="MX310" s="2">
        <v>30.2</v>
      </c>
      <c r="MY310" s="2">
        <v>30.4</v>
      </c>
      <c r="MZ310" s="2">
        <v>1</v>
      </c>
      <c r="NA310" s="2">
        <v>3.1</v>
      </c>
      <c r="NB310" s="2">
        <v>43.3</v>
      </c>
      <c r="NG310" s="2">
        <v>48.2</v>
      </c>
      <c r="NH310" s="2">
        <v>33</v>
      </c>
      <c r="NI310" s="2">
        <v>33.1</v>
      </c>
      <c r="NJ310" s="2">
        <v>28.5</v>
      </c>
      <c r="NK310" s="2">
        <v>15.2</v>
      </c>
      <c r="NL310" s="2">
        <v>23.9</v>
      </c>
      <c r="NM310" s="2">
        <v>11.4</v>
      </c>
      <c r="NN310" s="2">
        <v>5.7</v>
      </c>
      <c r="NO310" s="2">
        <v>-0.2</v>
      </c>
      <c r="NP310" s="2">
        <v>0.8</v>
      </c>
      <c r="NQ310" s="2">
        <v>2</v>
      </c>
      <c r="NR310" s="2">
        <v>-10.5</v>
      </c>
      <c r="NW310" s="2">
        <v>-4.1</v>
      </c>
      <c r="NX310" s="2">
        <v>3.8</v>
      </c>
      <c r="NY310" s="2">
        <v>-2.5</v>
      </c>
      <c r="NZ310" s="2">
        <v>-0.7</v>
      </c>
      <c r="OA310" s="2">
        <v>6.2</v>
      </c>
      <c r="OB310" s="2">
        <v>-2.6</v>
      </c>
      <c r="OC310" s="2">
        <v>0.2</v>
      </c>
      <c r="OD310" s="2">
        <v>3.2</v>
      </c>
      <c r="OE310" s="2">
        <v>3</v>
      </c>
      <c r="OF310" s="2">
        <v>7.8</v>
      </c>
      <c r="OG310" s="2">
        <v>1.7</v>
      </c>
      <c r="OH310" s="2">
        <v>2.6</v>
      </c>
      <c r="OM310" s="2">
        <v>-2.5</v>
      </c>
      <c r="ON310" s="2">
        <v>2.6</v>
      </c>
      <c r="OO310" s="2">
        <v>6.8</v>
      </c>
      <c r="OP310" s="2">
        <v>4.7</v>
      </c>
      <c r="OQ310" s="2">
        <v>-2.3</v>
      </c>
      <c r="OR310" s="2">
        <v>-5.4</v>
      </c>
      <c r="OS310" s="2">
        <v>0.8</v>
      </c>
      <c r="OT310" s="2">
        <v>-1.9</v>
      </c>
      <c r="OU310" s="2">
        <v>-0.1</v>
      </c>
      <c r="OV310" s="2">
        <v>-0.2</v>
      </c>
      <c r="OW310" s="2">
        <v>1.5</v>
      </c>
      <c r="OX310" s="2">
        <v>2.4</v>
      </c>
      <c r="PC310" s="2">
        <v>2</v>
      </c>
      <c r="PD310" s="2">
        <v>1.6</v>
      </c>
      <c r="PE310" s="2">
        <v>1.3</v>
      </c>
      <c r="PF310" s="2">
        <v>-3.4</v>
      </c>
      <c r="PG310" s="2">
        <v>0.7</v>
      </c>
      <c r="PH310" s="2">
        <v>4.2</v>
      </c>
      <c r="PI310" s="2">
        <v>0.2</v>
      </c>
    </row>
    <row r="311">
      <c r="A311" t="inlineStr">
        <is>
          <t>A130395149R</t>
        </is>
      </c>
      <c r="B311" t="inlineStr">
        <is>
          <t>Percentage Change from Corresponding Month of Previous Year ;  Other recreation, sport and culture ;  Australia ;</t>
        </is>
      </c>
      <c r="C311" t="inlineStr">
        <is>
          <t>Month</t>
        </is>
      </c>
      <c r="D311" t="inlineStr">
        <is>
          <t>Percent</t>
        </is>
      </c>
      <c r="E311" t="inlineStr">
        <is>
          <t>Original</t>
        </is>
      </c>
      <c r="F311" t="inlineStr">
        <is>
          <t>640103.xlsx</t>
        </is>
      </c>
      <c r="G311" t="inlineStr">
        <is>
          <t>2025-04</t>
        </is>
      </c>
      <c r="H311" t="inlineStr">
        <is>
          <t>2026-07</t>
        </is>
      </c>
      <c r="OP311" s="2">
        <v>1.7</v>
      </c>
      <c r="OQ311" s="2">
        <v>2.8</v>
      </c>
      <c r="OR311" s="2">
        <v>1.8</v>
      </c>
      <c r="OS311" s="2">
        <v>1.9</v>
      </c>
      <c r="OT311" s="2">
        <v>0.8</v>
      </c>
      <c r="OU311" s="2">
        <v>0.6</v>
      </c>
      <c r="OV311" s="2">
        <v>3.3</v>
      </c>
      <c r="OW311" s="2">
        <v>1.7</v>
      </c>
      <c r="OX311" s="2">
        <v>2.4</v>
      </c>
      <c r="PC311" s="2">
        <v>2.4</v>
      </c>
      <c r="PD311" s="2">
        <v>1.7</v>
      </c>
      <c r="PE311" s="2">
        <v>3</v>
      </c>
      <c r="PF311" s="2">
        <v>3</v>
      </c>
      <c r="PG311" s="2">
        <v>2.3</v>
      </c>
      <c r="PH311" s="2">
        <v>2.6</v>
      </c>
      <c r="PI311" s="2">
        <v>2.9</v>
      </c>
    </row>
    <row r="312">
      <c r="A312" t="inlineStr">
        <is>
          <t>A130397361K</t>
        </is>
      </c>
      <c r="B312" t="inlineStr">
        <is>
          <t>Percentage Change from Corresponding Month of Previous Year ;  Equipment for sports, camping and open-air recreation ;  Australia ;</t>
        </is>
      </c>
      <c r="C312" t="inlineStr">
        <is>
          <t>Month</t>
        </is>
      </c>
      <c r="D312" t="inlineStr">
        <is>
          <t>Percent</t>
        </is>
      </c>
      <c r="E312" t="inlineStr">
        <is>
          <t>Original</t>
        </is>
      </c>
      <c r="F312" t="inlineStr">
        <is>
          <t>640103.xlsx</t>
        </is>
      </c>
      <c r="G312" t="inlineStr">
        <is>
          <t>2025-04</t>
        </is>
      </c>
      <c r="H312" t="inlineStr">
        <is>
          <t>2026-07</t>
        </is>
      </c>
      <c r="OP312" s="2">
        <v>-1.4</v>
      </c>
      <c r="OQ312" s="2">
        <v>-0.6</v>
      </c>
      <c r="OR312" s="2">
        <v>-0.1</v>
      </c>
      <c r="OS312" s="2">
        <v>1</v>
      </c>
      <c r="OT312" s="2">
        <v>-0.2</v>
      </c>
      <c r="OU312" s="2">
        <v>-1</v>
      </c>
      <c r="OV312" s="2">
        <v>-0.7</v>
      </c>
      <c r="OW312" s="2">
        <v>-2.1</v>
      </c>
      <c r="OX312" s="2">
        <v>-2.4</v>
      </c>
      <c r="PC312" s="2">
        <v>0.6</v>
      </c>
      <c r="PD312" s="2">
        <v>-1.4</v>
      </c>
      <c r="PE312" s="2">
        <v>-0.6</v>
      </c>
      <c r="PF312" s="2">
        <v>0.7</v>
      </c>
      <c r="PG312" s="2">
        <v>0.7</v>
      </c>
      <c r="PH312" s="2">
        <v>0.8</v>
      </c>
      <c r="PI312" s="2">
        <v>-0.2</v>
      </c>
    </row>
    <row r="313">
      <c r="A313" t="inlineStr">
        <is>
          <t>A130392335R</t>
        </is>
      </c>
      <c r="B313" t="inlineStr">
        <is>
          <t>Percentage Change from Corresponding Month of Previous Year ;  Games, toys and hobbies ;  Australia ;</t>
        </is>
      </c>
      <c r="C313" t="inlineStr">
        <is>
          <t>Month</t>
        </is>
      </c>
      <c r="D313" t="inlineStr">
        <is>
          <t>Percent</t>
        </is>
      </c>
      <c r="E313" t="inlineStr">
        <is>
          <t>Original</t>
        </is>
      </c>
      <c r="F313" t="inlineStr">
        <is>
          <t>640103.xlsx</t>
        </is>
      </c>
      <c r="G313" t="inlineStr">
        <is>
          <t>2025-04</t>
        </is>
      </c>
      <c r="H313" t="inlineStr">
        <is>
          <t>2026-07</t>
        </is>
      </c>
      <c r="OP313" s="2">
        <v>-0.7</v>
      </c>
      <c r="OQ313" s="2">
        <v>3.3</v>
      </c>
      <c r="OR313" s="2">
        <v>1.8</v>
      </c>
      <c r="OS313" s="2">
        <v>2.3</v>
      </c>
      <c r="OT313" s="2">
        <v>-0.7</v>
      </c>
      <c r="OU313" s="2">
        <v>0.1</v>
      </c>
      <c r="OV313" s="2">
        <v>3.1</v>
      </c>
      <c r="OW313" s="2">
        <v>-0.7</v>
      </c>
      <c r="OX313" s="2">
        <v>5.3</v>
      </c>
      <c r="PC313" s="2">
        <v>2.7</v>
      </c>
      <c r="PD313" s="2">
        <v>2.7</v>
      </c>
      <c r="PE313" s="2">
        <v>7</v>
      </c>
      <c r="PF313" s="2">
        <v>6.5</v>
      </c>
      <c r="PG313" s="2">
        <v>2.6</v>
      </c>
      <c r="PH313" s="2">
        <v>3</v>
      </c>
      <c r="PI313" s="2">
        <v>2.9</v>
      </c>
    </row>
    <row r="314">
      <c r="A314" t="inlineStr">
        <is>
          <t>A130390809V</t>
        </is>
      </c>
      <c r="B314" t="inlineStr">
        <is>
          <t>Percentage Change from Corresponding Month of Previous Year ;  Pets and related products ;  Australia ;</t>
        </is>
      </c>
      <c r="C314" t="inlineStr">
        <is>
          <t>Month</t>
        </is>
      </c>
      <c r="D314" t="inlineStr">
        <is>
          <t>Percent</t>
        </is>
      </c>
      <c r="E314" t="inlineStr">
        <is>
          <t>Original</t>
        </is>
      </c>
      <c r="F314" t="inlineStr">
        <is>
          <t>640103.xlsx</t>
        </is>
      </c>
      <c r="G314" t="inlineStr">
        <is>
          <t>2018-09</t>
        </is>
      </c>
      <c r="H314" t="inlineStr">
        <is>
          <t>2026-07</t>
        </is>
      </c>
      <c r="KM314" s="2">
        <v>-1</v>
      </c>
      <c r="KN314" s="2">
        <v>-1</v>
      </c>
      <c r="KO314" s="2">
        <v>1</v>
      </c>
      <c r="KP314" s="2">
        <v>1.2</v>
      </c>
      <c r="KU314" s="2">
        <v>1.7</v>
      </c>
      <c r="KV314" s="2">
        <v>1.1</v>
      </c>
      <c r="KW314" s="2">
        <v>4.3</v>
      </c>
      <c r="KX314" s="2">
        <v>6.2</v>
      </c>
      <c r="KY314" s="2">
        <v>6.2</v>
      </c>
      <c r="KZ314" s="2">
        <v>6.3</v>
      </c>
      <c r="LA314" s="2">
        <v>8</v>
      </c>
      <c r="LB314" s="2">
        <v>7.2</v>
      </c>
      <c r="LC314" s="2">
        <v>6</v>
      </c>
      <c r="LD314" s="2">
        <v>7.6</v>
      </c>
      <c r="LE314" s="2">
        <v>5.3</v>
      </c>
      <c r="LF314" s="2">
        <v>5.9</v>
      </c>
      <c r="LK314" s="2">
        <v>6.8</v>
      </c>
      <c r="LL314" s="2">
        <v>7</v>
      </c>
      <c r="LM314" s="2">
        <v>6.1</v>
      </c>
      <c r="LN314" s="2">
        <v>6</v>
      </c>
      <c r="LO314" s="2">
        <v>3.2</v>
      </c>
      <c r="LP314" s="2">
        <v>4.3</v>
      </c>
      <c r="LQ314" s="2">
        <v>2.1</v>
      </c>
      <c r="LR314" s="2">
        <v>2.9</v>
      </c>
      <c r="LS314" s="2">
        <v>3.9</v>
      </c>
      <c r="LT314" s="2">
        <v>3.1</v>
      </c>
      <c r="LU314" s="2">
        <v>3.4</v>
      </c>
      <c r="LV314" s="2">
        <v>3.3</v>
      </c>
      <c r="MA314" s="2">
        <v>2.2</v>
      </c>
      <c r="MB314" s="2">
        <v>2.7</v>
      </c>
      <c r="MC314" s="2">
        <v>0.9</v>
      </c>
      <c r="MD314" s="2">
        <v>-1.5</v>
      </c>
      <c r="ME314" s="2">
        <v>0.9</v>
      </c>
      <c r="MF314" s="2">
        <v>1.1</v>
      </c>
      <c r="MG314" s="2">
        <v>1.5</v>
      </c>
      <c r="MH314" s="2">
        <v>0.8</v>
      </c>
      <c r="MI314" s="2">
        <v>0.7</v>
      </c>
      <c r="MJ314" s="2">
        <v>0.2</v>
      </c>
      <c r="MK314" s="2">
        <v>0.1</v>
      </c>
      <c r="ML314" s="2">
        <v>2.4</v>
      </c>
      <c r="MQ314" s="2">
        <v>3.7</v>
      </c>
      <c r="MR314" s="2">
        <v>5.2</v>
      </c>
      <c r="MS314" s="2">
        <v>10.9</v>
      </c>
      <c r="MT314" s="2">
        <v>12.7</v>
      </c>
      <c r="MU314" s="2">
        <v>11.3</v>
      </c>
      <c r="MV314" s="2">
        <v>13.1</v>
      </c>
      <c r="MW314" s="2">
        <v>13</v>
      </c>
      <c r="MX314" s="2">
        <v>14.2</v>
      </c>
      <c r="MY314" s="2">
        <v>15.9</v>
      </c>
      <c r="MZ314" s="2">
        <v>18.7</v>
      </c>
      <c r="NA314" s="2">
        <v>20.9</v>
      </c>
      <c r="NB314" s="2">
        <v>19.5</v>
      </c>
      <c r="NG314" s="2">
        <v>17.5</v>
      </c>
      <c r="NH314" s="2">
        <v>16.8</v>
      </c>
      <c r="NI314" s="2">
        <v>11.2</v>
      </c>
      <c r="NJ314" s="2">
        <v>8.699999999999999</v>
      </c>
      <c r="NK314" s="2">
        <v>9.4</v>
      </c>
      <c r="NL314" s="2">
        <v>10.9</v>
      </c>
      <c r="NM314" s="2">
        <v>10.6</v>
      </c>
      <c r="NN314" s="2">
        <v>8.6</v>
      </c>
      <c r="NO314" s="2">
        <v>6.6</v>
      </c>
      <c r="NP314" s="2">
        <v>4</v>
      </c>
      <c r="NQ314" s="2">
        <v>2.1</v>
      </c>
      <c r="NR314" s="2">
        <v>2.3</v>
      </c>
      <c r="NW314" s="2">
        <v>2.6</v>
      </c>
      <c r="NX314" s="2">
        <v>1.9</v>
      </c>
      <c r="NY314" s="2">
        <v>1.6</v>
      </c>
      <c r="NZ314" s="2">
        <v>1.5</v>
      </c>
      <c r="OA314" s="2">
        <v>1.5</v>
      </c>
      <c r="OB314" s="2">
        <v>0.4</v>
      </c>
      <c r="OC314" s="2">
        <v>1.1</v>
      </c>
      <c r="OD314" s="2">
        <v>1.9</v>
      </c>
      <c r="OE314" s="2">
        <v>1.3</v>
      </c>
      <c r="OF314" s="2">
        <v>-1.6</v>
      </c>
      <c r="OG314" s="2">
        <v>-0.3</v>
      </c>
      <c r="OH314" s="2">
        <v>-0.3</v>
      </c>
      <c r="OM314" s="2">
        <v>0.1</v>
      </c>
      <c r="ON314" s="2">
        <v>-0.3</v>
      </c>
      <c r="OO314" s="2">
        <v>-0.8</v>
      </c>
      <c r="OP314" s="2">
        <v>0.8</v>
      </c>
      <c r="OQ314" s="2">
        <v>-0.1</v>
      </c>
      <c r="OR314" s="2">
        <v>-1.1</v>
      </c>
      <c r="OS314" s="2">
        <v>-2.2</v>
      </c>
      <c r="OT314" s="2">
        <v>-1.7</v>
      </c>
      <c r="OU314" s="2">
        <v>-1.5</v>
      </c>
      <c r="OV314" s="2">
        <v>2.4</v>
      </c>
      <c r="OW314" s="2">
        <v>2.5</v>
      </c>
      <c r="OX314" s="2">
        <v>1.6</v>
      </c>
      <c r="PC314" s="2">
        <v>-0.1</v>
      </c>
      <c r="PD314" s="2">
        <v>-0.3</v>
      </c>
      <c r="PE314" s="2">
        <v>-0.8</v>
      </c>
      <c r="PF314" s="2">
        <v>-1.8</v>
      </c>
      <c r="PG314" s="2">
        <v>-0.2</v>
      </c>
      <c r="PH314" s="2">
        <v>-0.6</v>
      </c>
      <c r="PI314" s="2">
        <v>-0.5</v>
      </c>
    </row>
    <row r="315">
      <c r="A315" t="inlineStr">
        <is>
          <t>A130392055W</t>
        </is>
      </c>
      <c r="B315" t="inlineStr">
        <is>
          <t>Percentage Change from Corresponding Month of Previous Year ;  Veterinary and other services for pets ;  Australia ;</t>
        </is>
      </c>
      <c r="C315" t="inlineStr">
        <is>
          <t>Month</t>
        </is>
      </c>
      <c r="D315" t="inlineStr">
        <is>
          <t>Percent</t>
        </is>
      </c>
      <c r="E315" t="inlineStr">
        <is>
          <t>Original</t>
        </is>
      </c>
      <c r="F315" t="inlineStr">
        <is>
          <t>640103.xlsx</t>
        </is>
      </c>
      <c r="G315" t="inlineStr">
        <is>
          <t>2025-04</t>
        </is>
      </c>
      <c r="H315" t="inlineStr">
        <is>
          <t>2026-07</t>
        </is>
      </c>
      <c r="OP315" s="2">
        <v>5.3</v>
      </c>
      <c r="OQ315" s="2">
        <v>5.2</v>
      </c>
      <c r="OR315" s="2">
        <v>4.6</v>
      </c>
      <c r="OS315" s="2">
        <v>5.1</v>
      </c>
      <c r="OT315" s="2">
        <v>4.5</v>
      </c>
      <c r="OU315" s="2">
        <v>4.9</v>
      </c>
      <c r="OV315" s="2">
        <v>4.5</v>
      </c>
      <c r="OW315" s="2">
        <v>4.6</v>
      </c>
      <c r="OX315" s="2">
        <v>4.3</v>
      </c>
      <c r="PC315" s="2">
        <v>5.2</v>
      </c>
      <c r="PD315" s="2">
        <v>4.9</v>
      </c>
      <c r="PE315" s="2">
        <v>4.2</v>
      </c>
      <c r="PF315" s="2">
        <v>3.9</v>
      </c>
      <c r="PG315" s="2">
        <v>3.6</v>
      </c>
      <c r="PH315" s="2">
        <v>3.6</v>
      </c>
      <c r="PI315" s="2">
        <v>3.3</v>
      </c>
    </row>
    <row r="316">
      <c r="A316" t="inlineStr">
        <is>
          <t>A130399822A</t>
        </is>
      </c>
      <c r="B316" t="inlineStr">
        <is>
          <t>Percentage Change from Corresponding Month of Previous Year ;  Sports participation ;  Australia ;</t>
        </is>
      </c>
      <c r="C316" t="inlineStr">
        <is>
          <t>Month</t>
        </is>
      </c>
      <c r="D316" t="inlineStr">
        <is>
          <t>Percent</t>
        </is>
      </c>
      <c r="E316" t="inlineStr">
        <is>
          <t>Original</t>
        </is>
      </c>
      <c r="F316" t="inlineStr">
        <is>
          <t>640103.xlsx</t>
        </is>
      </c>
      <c r="G316" t="inlineStr">
        <is>
          <t>2025-04</t>
        </is>
      </c>
      <c r="H316" t="inlineStr">
        <is>
          <t>2026-07</t>
        </is>
      </c>
      <c r="OP316" s="2">
        <v>5.2</v>
      </c>
      <c r="OQ316" s="2">
        <v>5.1</v>
      </c>
      <c r="OR316" s="2">
        <v>5.1</v>
      </c>
      <c r="OS316" s="2">
        <v>4</v>
      </c>
      <c r="OT316" s="2">
        <v>3.8</v>
      </c>
      <c r="OU316" s="2">
        <v>3.5</v>
      </c>
      <c r="OV316" s="2">
        <v>3.9</v>
      </c>
      <c r="OW316" s="2">
        <v>3.9</v>
      </c>
      <c r="OX316" s="2">
        <v>4.1</v>
      </c>
      <c r="PC316" s="2">
        <v>4.2</v>
      </c>
      <c r="PD316" s="2">
        <v>3.3</v>
      </c>
      <c r="PE316" s="2">
        <v>3.7</v>
      </c>
      <c r="PF316" s="2">
        <v>4</v>
      </c>
      <c r="PG316" s="2">
        <v>4</v>
      </c>
      <c r="PH316" s="2">
        <v>4.5</v>
      </c>
      <c r="PI316" s="2">
        <v>5</v>
      </c>
    </row>
    <row r="317">
      <c r="A317" t="inlineStr">
        <is>
          <t>A130398636C</t>
        </is>
      </c>
      <c r="B317" t="inlineStr">
        <is>
          <t>Percentage Change from Corresponding Month of Previous Year ;  Other recreational, sporting and cultural services ;  Australia ;</t>
        </is>
      </c>
      <c r="C317" t="inlineStr">
        <is>
          <t>Month</t>
        </is>
      </c>
      <c r="D317" t="inlineStr">
        <is>
          <t>Percent</t>
        </is>
      </c>
      <c r="E317" t="inlineStr">
        <is>
          <t>Original</t>
        </is>
      </c>
      <c r="F317" t="inlineStr">
        <is>
          <t>640103.xlsx</t>
        </is>
      </c>
      <c r="G317" t="inlineStr">
        <is>
          <t>2025-04</t>
        </is>
      </c>
      <c r="H317" t="inlineStr">
        <is>
          <t>2026-07</t>
        </is>
      </c>
      <c r="OP317" s="2">
        <v>-0.4</v>
      </c>
      <c r="OQ317" s="2">
        <v>2.2</v>
      </c>
      <c r="OR317" s="2">
        <v>-0.5</v>
      </c>
      <c r="OS317" s="2">
        <v>0.2</v>
      </c>
      <c r="OT317" s="2">
        <v>-1.5</v>
      </c>
      <c r="OU317" s="2">
        <v>-2.8</v>
      </c>
      <c r="OV317" s="2">
        <v>4.6</v>
      </c>
      <c r="OW317" s="2">
        <v>1</v>
      </c>
      <c r="OX317" s="2">
        <v>0.3</v>
      </c>
      <c r="PC317" s="2">
        <v>1</v>
      </c>
      <c r="PD317" s="2">
        <v>0.2</v>
      </c>
      <c r="PE317" s="2">
        <v>3</v>
      </c>
      <c r="PF317" s="2">
        <v>2.8</v>
      </c>
      <c r="PG317" s="2">
        <v>1.4</v>
      </c>
      <c r="PH317" s="2">
        <v>2.3</v>
      </c>
      <c r="PI317" s="2">
        <v>3.6</v>
      </c>
    </row>
    <row r="318">
      <c r="A318" t="inlineStr">
        <is>
          <t>A130390025W</t>
        </is>
      </c>
      <c r="B318" t="inlineStr">
        <is>
          <t>Percentage Change from Corresponding Month of Previous Year ;  Education ;  Australia ;</t>
        </is>
      </c>
      <c r="C318" t="inlineStr">
        <is>
          <t>Month</t>
        </is>
      </c>
      <c r="D318" t="inlineStr">
        <is>
          <t>Percent</t>
        </is>
      </c>
      <c r="E318" t="inlineStr">
        <is>
          <t>Original</t>
        </is>
      </c>
      <c r="F318" t="inlineStr">
        <is>
          <t>640103.xlsx</t>
        </is>
      </c>
      <c r="G318" t="inlineStr">
        <is>
          <t>2025-04</t>
        </is>
      </c>
      <c r="H318" t="inlineStr">
        <is>
          <t>2026-07</t>
        </is>
      </c>
      <c r="OP318" s="2">
        <v>5.4</v>
      </c>
      <c r="OQ318" s="2">
        <v>5.4</v>
      </c>
      <c r="OR318" s="2">
        <v>5.4</v>
      </c>
      <c r="OS318" s="2">
        <v>5.4</v>
      </c>
      <c r="OT318" s="2">
        <v>5.4</v>
      </c>
      <c r="OU318" s="2">
        <v>5.4</v>
      </c>
      <c r="OV318" s="2">
        <v>5.4</v>
      </c>
      <c r="OW318" s="2">
        <v>5.4</v>
      </c>
      <c r="OX318" s="2">
        <v>5.4</v>
      </c>
      <c r="PC318" s="2">
        <v>5.4</v>
      </c>
      <c r="PD318" s="2">
        <v>4.8</v>
      </c>
      <c r="PE318" s="2">
        <v>4.8</v>
      </c>
      <c r="PF318" s="2">
        <v>4.8</v>
      </c>
      <c r="PG318" s="2">
        <v>4.8</v>
      </c>
      <c r="PH318" s="2">
        <v>4.8</v>
      </c>
      <c r="PI318" s="2">
        <v>4.8</v>
      </c>
    </row>
    <row r="319">
      <c r="A319" t="inlineStr">
        <is>
          <t>A130393574T</t>
        </is>
      </c>
      <c r="B319" t="inlineStr">
        <is>
          <t>Percentage Change from Corresponding Month of Previous Year ;  Education ;  Australia ;</t>
        </is>
      </c>
      <c r="C319" t="inlineStr">
        <is>
          <t>Month</t>
        </is>
      </c>
      <c r="D319" t="inlineStr">
        <is>
          <t>Percent</t>
        </is>
      </c>
      <c r="E319" t="inlineStr">
        <is>
          <t>Original</t>
        </is>
      </c>
      <c r="F319" t="inlineStr">
        <is>
          <t>640103.xlsx</t>
        </is>
      </c>
      <c r="G319" t="inlineStr">
        <is>
          <t>2025-04</t>
        </is>
      </c>
      <c r="H319" t="inlineStr">
        <is>
          <t>2026-07</t>
        </is>
      </c>
      <c r="OP319" s="2">
        <v>5.4</v>
      </c>
      <c r="OQ319" s="2">
        <v>5.4</v>
      </c>
      <c r="OR319" s="2">
        <v>5.4</v>
      </c>
      <c r="OS319" s="2">
        <v>5.4</v>
      </c>
      <c r="OT319" s="2">
        <v>5.4</v>
      </c>
      <c r="OU319" s="2">
        <v>5.4</v>
      </c>
      <c r="OV319" s="2">
        <v>5.4</v>
      </c>
      <c r="OW319" s="2">
        <v>5.4</v>
      </c>
      <c r="OX319" s="2">
        <v>5.4</v>
      </c>
      <c r="PC319" s="2">
        <v>5.4</v>
      </c>
      <c r="PD319" s="2">
        <v>4.8</v>
      </c>
      <c r="PE319" s="2">
        <v>4.8</v>
      </c>
      <c r="PF319" s="2">
        <v>4.8</v>
      </c>
      <c r="PG319" s="2">
        <v>4.8</v>
      </c>
      <c r="PH319" s="2">
        <v>4.8</v>
      </c>
      <c r="PI319" s="2">
        <v>4.8</v>
      </c>
    </row>
    <row r="320">
      <c r="A320" t="inlineStr">
        <is>
          <t>A130398758A</t>
        </is>
      </c>
      <c r="B320" t="inlineStr">
        <is>
          <t>Percentage Change from Corresponding Month of Previous Year ;  Preschool and primary education ;  Australia ;</t>
        </is>
      </c>
      <c r="C320" t="inlineStr">
        <is>
          <t>Month</t>
        </is>
      </c>
      <c r="D320" t="inlineStr">
        <is>
          <t>Percent</t>
        </is>
      </c>
      <c r="E320" t="inlineStr">
        <is>
          <t>Original</t>
        </is>
      </c>
      <c r="F320" t="inlineStr">
        <is>
          <t>640103.xlsx</t>
        </is>
      </c>
      <c r="G320" t="inlineStr">
        <is>
          <t>2025-04</t>
        </is>
      </c>
      <c r="H320" t="inlineStr">
        <is>
          <t>2026-07</t>
        </is>
      </c>
      <c r="OP320" s="2">
        <v>6.4</v>
      </c>
      <c r="OQ320" s="2">
        <v>6.3</v>
      </c>
      <c r="OR320" s="2">
        <v>6.4</v>
      </c>
      <c r="OS320" s="2">
        <v>6.4</v>
      </c>
      <c r="OT320" s="2">
        <v>6.4</v>
      </c>
      <c r="OU320" s="2">
        <v>6.3</v>
      </c>
      <c r="OV320" s="2">
        <v>6.4</v>
      </c>
      <c r="OW320" s="2">
        <v>6.4</v>
      </c>
      <c r="OX320" s="2">
        <v>6.4</v>
      </c>
      <c r="PC320" s="2">
        <v>6.2</v>
      </c>
      <c r="PD320" s="2">
        <v>5.4</v>
      </c>
      <c r="PE320" s="2">
        <v>5.4</v>
      </c>
      <c r="PF320" s="2">
        <v>5.4</v>
      </c>
      <c r="PG320" s="2">
        <v>5.4</v>
      </c>
      <c r="PH320" s="2">
        <v>5.3</v>
      </c>
      <c r="PI320" s="2">
        <v>5.2</v>
      </c>
    </row>
    <row r="321">
      <c r="A321" t="inlineStr">
        <is>
          <t>A130390053F</t>
        </is>
      </c>
      <c r="B321" t="inlineStr">
        <is>
          <t>Percentage Change from Corresponding Month of Previous Year ;  Secondary education ;  Australia ;</t>
        </is>
      </c>
      <c r="C321" t="inlineStr">
        <is>
          <t>Month</t>
        </is>
      </c>
      <c r="D321" t="inlineStr">
        <is>
          <t>Percent</t>
        </is>
      </c>
      <c r="E321" t="inlineStr">
        <is>
          <t>Original</t>
        </is>
      </c>
      <c r="F321" t="inlineStr">
        <is>
          <t>640103.xlsx</t>
        </is>
      </c>
      <c r="G321" t="inlineStr">
        <is>
          <t>2018-09</t>
        </is>
      </c>
      <c r="H321" t="inlineStr">
        <is>
          <t>2026-07</t>
        </is>
      </c>
      <c r="KM321" s="2">
        <v>3.4</v>
      </c>
      <c r="KN321" s="2">
        <v>3.4</v>
      </c>
      <c r="KO321" s="2">
        <v>3.4</v>
      </c>
      <c r="KP321" s="2">
        <v>3.4</v>
      </c>
      <c r="KU321" s="2">
        <v>3.4</v>
      </c>
      <c r="KV321" s="2">
        <v>4.2</v>
      </c>
      <c r="KW321" s="2">
        <v>4.2</v>
      </c>
      <c r="KX321" s="2">
        <v>4.2</v>
      </c>
      <c r="KY321" s="2">
        <v>4.2</v>
      </c>
      <c r="KZ321" s="2">
        <v>4.2</v>
      </c>
      <c r="LA321" s="2">
        <v>4.2</v>
      </c>
      <c r="LB321" s="2">
        <v>4.2</v>
      </c>
      <c r="LC321" s="2">
        <v>4.2</v>
      </c>
      <c r="LD321" s="2">
        <v>4.2</v>
      </c>
      <c r="LE321" s="2">
        <v>4.2</v>
      </c>
      <c r="LF321" s="2">
        <v>4.2</v>
      </c>
      <c r="LK321" s="2">
        <v>4.2</v>
      </c>
      <c r="LL321" s="2">
        <v>3.4</v>
      </c>
      <c r="LM321" s="2">
        <v>3.4</v>
      </c>
      <c r="LN321" s="2">
        <v>3.4</v>
      </c>
      <c r="LO321" s="2">
        <v>3.3</v>
      </c>
      <c r="LP321" s="2">
        <v>3.3</v>
      </c>
      <c r="LQ321" s="2">
        <v>3.3</v>
      </c>
      <c r="LR321" s="2">
        <v>3.3</v>
      </c>
      <c r="LS321" s="2">
        <v>3.3</v>
      </c>
      <c r="LT321" s="2">
        <v>3.3</v>
      </c>
      <c r="LU321" s="2">
        <v>3.3</v>
      </c>
      <c r="LV321" s="2">
        <v>3.3</v>
      </c>
      <c r="MA321" s="2">
        <v>3.3</v>
      </c>
      <c r="MB321" s="2">
        <v>1.7</v>
      </c>
      <c r="MC321" s="2">
        <v>1.7</v>
      </c>
      <c r="MD321" s="2">
        <v>1.7</v>
      </c>
      <c r="ME321" s="2">
        <v>1.8</v>
      </c>
      <c r="MF321" s="2">
        <v>1.8</v>
      </c>
      <c r="MG321" s="2">
        <v>1.8</v>
      </c>
      <c r="MH321" s="2">
        <v>1.8</v>
      </c>
      <c r="MI321" s="2">
        <v>1.8</v>
      </c>
      <c r="MJ321" s="2">
        <v>1.8</v>
      </c>
      <c r="MK321" s="2">
        <v>1.8</v>
      </c>
      <c r="ML321" s="2">
        <v>1.8</v>
      </c>
      <c r="MQ321" s="2">
        <v>1.8</v>
      </c>
      <c r="MR321" s="2">
        <v>3</v>
      </c>
      <c r="MS321" s="2">
        <v>3</v>
      </c>
      <c r="MT321" s="2">
        <v>3</v>
      </c>
      <c r="MU321" s="2">
        <v>3</v>
      </c>
      <c r="MV321" s="2">
        <v>3</v>
      </c>
      <c r="MW321" s="2">
        <v>3</v>
      </c>
      <c r="MX321" s="2">
        <v>3</v>
      </c>
      <c r="MY321" s="2">
        <v>3</v>
      </c>
      <c r="MZ321" s="2">
        <v>3</v>
      </c>
      <c r="NA321" s="2">
        <v>3</v>
      </c>
      <c r="NB321" s="2">
        <v>3</v>
      </c>
      <c r="NG321" s="2">
        <v>3</v>
      </c>
      <c r="NH321" s="2">
        <v>4.9</v>
      </c>
      <c r="NI321" s="2">
        <v>4.9</v>
      </c>
      <c r="NJ321" s="2">
        <v>4.9</v>
      </c>
      <c r="NK321" s="2">
        <v>4.9</v>
      </c>
      <c r="NL321" s="2">
        <v>4.9</v>
      </c>
      <c r="NM321" s="2">
        <v>4.9</v>
      </c>
      <c r="NN321" s="2">
        <v>4.9</v>
      </c>
      <c r="NO321" s="2">
        <v>4.9</v>
      </c>
      <c r="NP321" s="2">
        <v>4.9</v>
      </c>
      <c r="NQ321" s="2">
        <v>4.9</v>
      </c>
      <c r="NR321" s="2">
        <v>4.9</v>
      </c>
      <c r="NW321" s="2">
        <v>4.9</v>
      </c>
      <c r="NX321" s="2">
        <v>6.1</v>
      </c>
      <c r="NY321" s="2">
        <v>6.1</v>
      </c>
      <c r="NZ321" s="2">
        <v>6.1</v>
      </c>
      <c r="OA321" s="2">
        <v>6.1</v>
      </c>
      <c r="OB321" s="2">
        <v>6.1</v>
      </c>
      <c r="OC321" s="2">
        <v>6.1</v>
      </c>
      <c r="OD321" s="2">
        <v>6.1</v>
      </c>
      <c r="OE321" s="2">
        <v>6.1</v>
      </c>
      <c r="OF321" s="2">
        <v>6.1</v>
      </c>
      <c r="OG321" s="2">
        <v>6.1</v>
      </c>
      <c r="OH321" s="2">
        <v>6.1</v>
      </c>
      <c r="OM321" s="2">
        <v>6.1</v>
      </c>
      <c r="ON321" s="2">
        <v>6.3</v>
      </c>
      <c r="OO321" s="2">
        <v>6.3</v>
      </c>
      <c r="OP321" s="2">
        <v>6.3</v>
      </c>
      <c r="OQ321" s="2">
        <v>6.3</v>
      </c>
      <c r="OR321" s="2">
        <v>6.3</v>
      </c>
      <c r="OS321" s="2">
        <v>6.3</v>
      </c>
      <c r="OT321" s="2">
        <v>6.3</v>
      </c>
      <c r="OU321" s="2">
        <v>6.3</v>
      </c>
      <c r="OV321" s="2">
        <v>6.3</v>
      </c>
      <c r="OW321" s="2">
        <v>6.3</v>
      </c>
      <c r="OX321" s="2">
        <v>6.3</v>
      </c>
      <c r="PC321" s="2">
        <v>6.3</v>
      </c>
      <c r="PD321" s="2">
        <v>6.6</v>
      </c>
      <c r="PE321" s="2">
        <v>6.6</v>
      </c>
      <c r="PF321" s="2">
        <v>6.6</v>
      </c>
      <c r="PG321" s="2">
        <v>6.6</v>
      </c>
      <c r="PH321" s="2">
        <v>6.6</v>
      </c>
      <c r="PI321" s="2">
        <v>6.6</v>
      </c>
    </row>
    <row r="322">
      <c r="A322" t="inlineStr">
        <is>
          <t>A130396241X</t>
        </is>
      </c>
      <c r="B322" t="inlineStr">
        <is>
          <t>Percentage Change from Corresponding Month of Previous Year ;  Tertiary education ;  Australia ;</t>
        </is>
      </c>
      <c r="C322" t="inlineStr">
        <is>
          <t>Month</t>
        </is>
      </c>
      <c r="D322" t="inlineStr">
        <is>
          <t>Percent</t>
        </is>
      </c>
      <c r="E322" t="inlineStr">
        <is>
          <t>Original</t>
        </is>
      </c>
      <c r="F322" t="inlineStr">
        <is>
          <t>640103.xlsx</t>
        </is>
      </c>
      <c r="G322" t="inlineStr">
        <is>
          <t>2018-09</t>
        </is>
      </c>
      <c r="H322" t="inlineStr">
        <is>
          <t>2026-07</t>
        </is>
      </c>
      <c r="KM322" s="2">
        <v>2.5</v>
      </c>
      <c r="KN322" s="2">
        <v>2.5</v>
      </c>
      <c r="KO322" s="2">
        <v>2.5</v>
      </c>
      <c r="KP322" s="2">
        <v>2.5</v>
      </c>
      <c r="KU322" s="2">
        <v>2.5</v>
      </c>
      <c r="KV322" s="2">
        <v>2.5</v>
      </c>
      <c r="KW322" s="2">
        <v>2.5</v>
      </c>
      <c r="KX322" s="2">
        <v>2.5</v>
      </c>
      <c r="KY322" s="2">
        <v>2.5</v>
      </c>
      <c r="KZ322" s="2">
        <v>2.5</v>
      </c>
      <c r="LA322" s="2">
        <v>2.5</v>
      </c>
      <c r="LB322" s="2">
        <v>1.5</v>
      </c>
      <c r="LC322" s="2">
        <v>1.5</v>
      </c>
      <c r="LD322" s="2">
        <v>1.5</v>
      </c>
      <c r="LE322" s="2">
        <v>1.5</v>
      </c>
      <c r="LF322" s="2">
        <v>1.5</v>
      </c>
      <c r="LK322" s="2">
        <v>1.5</v>
      </c>
      <c r="LL322" s="2">
        <v>1.4</v>
      </c>
      <c r="LM322" s="2">
        <v>1.4</v>
      </c>
      <c r="LN322" s="2">
        <v>1.4</v>
      </c>
      <c r="LO322" s="2">
        <v>1.4</v>
      </c>
      <c r="LP322" s="2">
        <v>1.4</v>
      </c>
      <c r="LQ322" s="2">
        <v>1.4</v>
      </c>
      <c r="LR322" s="2">
        <v>1.3</v>
      </c>
      <c r="LS322" s="2">
        <v>1.3</v>
      </c>
      <c r="LT322" s="2">
        <v>1.3</v>
      </c>
      <c r="LU322" s="2">
        <v>1.3</v>
      </c>
      <c r="LV322" s="2">
        <v>1.3</v>
      </c>
      <c r="MA322" s="2">
        <v>4</v>
      </c>
      <c r="MB322" s="2">
        <v>-1.7</v>
      </c>
      <c r="MC322" s="2">
        <v>-1.7</v>
      </c>
      <c r="MD322" s="2">
        <v>-1.7</v>
      </c>
      <c r="ME322" s="2">
        <v>-1.7</v>
      </c>
      <c r="MF322" s="2">
        <v>-1.7</v>
      </c>
      <c r="MG322" s="2">
        <v>-1.7</v>
      </c>
      <c r="MH322" s="2">
        <v>-1.6</v>
      </c>
      <c r="MI322" s="2">
        <v>-1.6</v>
      </c>
      <c r="MJ322" s="2">
        <v>-1.6</v>
      </c>
      <c r="MK322" s="2">
        <v>-1.6</v>
      </c>
      <c r="ML322" s="2">
        <v>-1.6</v>
      </c>
      <c r="MQ322" s="2">
        <v>-4.2</v>
      </c>
      <c r="MR322" s="2">
        <v>6.4</v>
      </c>
      <c r="MS322" s="2">
        <v>6.4</v>
      </c>
      <c r="MT322" s="2">
        <v>6.4</v>
      </c>
      <c r="MU322" s="2">
        <v>6.4</v>
      </c>
      <c r="MV322" s="2">
        <v>6.4</v>
      </c>
      <c r="MW322" s="2">
        <v>6.4</v>
      </c>
      <c r="MX322" s="2">
        <v>6.2</v>
      </c>
      <c r="MY322" s="2">
        <v>6.2</v>
      </c>
      <c r="MZ322" s="2">
        <v>6.2</v>
      </c>
      <c r="NA322" s="2">
        <v>6.2</v>
      </c>
      <c r="NB322" s="2">
        <v>6.2</v>
      </c>
      <c r="NG322" s="2">
        <v>6.2</v>
      </c>
      <c r="NH322" s="2">
        <v>9.6</v>
      </c>
      <c r="NI322" s="2">
        <v>9.6</v>
      </c>
      <c r="NJ322" s="2">
        <v>9.6</v>
      </c>
      <c r="NK322" s="2">
        <v>9.6</v>
      </c>
      <c r="NL322" s="2">
        <v>9.6</v>
      </c>
      <c r="NM322" s="2">
        <v>9.6</v>
      </c>
      <c r="NN322" s="2">
        <v>10.3</v>
      </c>
      <c r="NO322" s="2">
        <v>10.3</v>
      </c>
      <c r="NP322" s="2">
        <v>10.3</v>
      </c>
      <c r="NQ322" s="2">
        <v>10.3</v>
      </c>
      <c r="NR322" s="2">
        <v>10.3</v>
      </c>
      <c r="NW322" s="2">
        <v>10.3</v>
      </c>
      <c r="NX322" s="2">
        <v>7</v>
      </c>
      <c r="NY322" s="2">
        <v>7</v>
      </c>
      <c r="NZ322" s="2">
        <v>7</v>
      </c>
      <c r="OA322" s="2">
        <v>7</v>
      </c>
      <c r="OB322" s="2">
        <v>7</v>
      </c>
      <c r="OC322" s="2">
        <v>7</v>
      </c>
      <c r="OD322" s="2">
        <v>6.6</v>
      </c>
      <c r="OE322" s="2">
        <v>6.6</v>
      </c>
      <c r="OF322" s="2">
        <v>6.6</v>
      </c>
      <c r="OG322" s="2">
        <v>6.6</v>
      </c>
      <c r="OH322" s="2">
        <v>6.6</v>
      </c>
      <c r="OM322" s="2">
        <v>6.6</v>
      </c>
      <c r="ON322" s="2">
        <v>3.8</v>
      </c>
      <c r="OO322" s="2">
        <v>3.8</v>
      </c>
      <c r="OP322" s="2">
        <v>3.8</v>
      </c>
      <c r="OQ322" s="2">
        <v>3.8</v>
      </c>
      <c r="OR322" s="2">
        <v>3.8</v>
      </c>
      <c r="OS322" s="2">
        <v>3.8</v>
      </c>
      <c r="OT322" s="2">
        <v>3.8</v>
      </c>
      <c r="OU322" s="2">
        <v>3.8</v>
      </c>
      <c r="OV322" s="2">
        <v>3.8</v>
      </c>
      <c r="OW322" s="2">
        <v>3.8</v>
      </c>
      <c r="OX322" s="2">
        <v>3.8</v>
      </c>
      <c r="PC322" s="2">
        <v>3.8</v>
      </c>
      <c r="PD322" s="2">
        <v>2.3</v>
      </c>
      <c r="PE322" s="2">
        <v>2.3</v>
      </c>
      <c r="PF322" s="2">
        <v>2.3</v>
      </c>
      <c r="PG322" s="2">
        <v>2.3</v>
      </c>
      <c r="PH322" s="2">
        <v>2.3</v>
      </c>
      <c r="PI322" s="2">
        <v>2.3</v>
      </c>
    </row>
    <row r="323">
      <c r="A323" t="inlineStr">
        <is>
          <t>A130392762J</t>
        </is>
      </c>
      <c r="B323" t="inlineStr">
        <is>
          <t>Percentage Change from Corresponding Month of Previous Year ;  Insurance and financial services ;  Australia ;</t>
        </is>
      </c>
      <c r="C323" t="inlineStr">
        <is>
          <t>Month</t>
        </is>
      </c>
      <c r="D323" t="inlineStr">
        <is>
          <t>Percent</t>
        </is>
      </c>
      <c r="E323" t="inlineStr">
        <is>
          <t>Original</t>
        </is>
      </c>
      <c r="F323" t="inlineStr">
        <is>
          <t>640103.xlsx</t>
        </is>
      </c>
      <c r="G323" t="inlineStr">
        <is>
          <t>2025-04</t>
        </is>
      </c>
      <c r="H323" t="inlineStr">
        <is>
          <t>2026-07</t>
        </is>
      </c>
      <c r="OP323" s="2">
        <v>3.6</v>
      </c>
      <c r="OQ323" s="2">
        <v>3.3</v>
      </c>
      <c r="OR323" s="2">
        <v>3.1</v>
      </c>
      <c r="OS323" s="2">
        <v>3.2</v>
      </c>
      <c r="OT323" s="2">
        <v>2.9</v>
      </c>
      <c r="OU323" s="2">
        <v>2.5</v>
      </c>
      <c r="OV323" s="2">
        <v>2.5</v>
      </c>
      <c r="OW323" s="2">
        <v>2.5</v>
      </c>
      <c r="OX323" s="2">
        <v>2.5</v>
      </c>
      <c r="PC323" s="2">
        <v>2.4</v>
      </c>
      <c r="PD323" s="2">
        <v>2.4</v>
      </c>
      <c r="PE323" s="2">
        <v>2.8</v>
      </c>
      <c r="PF323" s="2">
        <v>3</v>
      </c>
      <c r="PG323" s="2">
        <v>3.2</v>
      </c>
      <c r="PH323" s="2">
        <v>3.2</v>
      </c>
      <c r="PI323" s="2">
        <v>3.1</v>
      </c>
    </row>
    <row r="324">
      <c r="A324" t="inlineStr">
        <is>
          <t>A130393945T</t>
        </is>
      </c>
      <c r="B324" t="inlineStr">
        <is>
          <t>Percentage Change from Corresponding Month of Previous Year ;  Insurance ;  Australia ;</t>
        </is>
      </c>
      <c r="C324" t="inlineStr">
        <is>
          <t>Month</t>
        </is>
      </c>
      <c r="D324" t="inlineStr">
        <is>
          <t>Percent</t>
        </is>
      </c>
      <c r="E324" t="inlineStr">
        <is>
          <t>Original</t>
        </is>
      </c>
      <c r="F324" t="inlineStr">
        <is>
          <t>640103.xlsx</t>
        </is>
      </c>
      <c r="G324" t="inlineStr">
        <is>
          <t>2025-04</t>
        </is>
      </c>
      <c r="H324" t="inlineStr">
        <is>
          <t>2026-07</t>
        </is>
      </c>
      <c r="OP324" s="2">
        <v>6</v>
      </c>
      <c r="OQ324" s="2">
        <v>4.6</v>
      </c>
      <c r="OR324" s="2">
        <v>4</v>
      </c>
      <c r="OS324" s="2">
        <v>4</v>
      </c>
      <c r="OT324" s="2">
        <v>2.2</v>
      </c>
      <c r="OU324" s="2">
        <v>2.1</v>
      </c>
      <c r="OV324" s="2">
        <v>2.3</v>
      </c>
      <c r="OW324" s="2">
        <v>2.5</v>
      </c>
      <c r="OX324" s="2">
        <v>2.6</v>
      </c>
      <c r="PC324" s="2">
        <v>2.2</v>
      </c>
      <c r="PD324" s="2">
        <v>2.5</v>
      </c>
      <c r="PE324" s="2">
        <v>3.7</v>
      </c>
      <c r="PF324" s="2">
        <v>4.5</v>
      </c>
      <c r="PG324" s="2">
        <v>5.5</v>
      </c>
      <c r="PH324" s="2">
        <v>4.9</v>
      </c>
      <c r="PI324" s="2">
        <v>4.2</v>
      </c>
    </row>
    <row r="325">
      <c r="A325" t="inlineStr">
        <is>
          <t>A130392636V</t>
        </is>
      </c>
      <c r="B325" t="inlineStr">
        <is>
          <t>Percentage Change from Corresponding Month of Previous Year ;  Insurance ;  Australia ;</t>
        </is>
      </c>
      <c r="C325" t="inlineStr">
        <is>
          <t>Month</t>
        </is>
      </c>
      <c r="D325" t="inlineStr">
        <is>
          <t>Percent</t>
        </is>
      </c>
      <c r="E325" t="inlineStr">
        <is>
          <t>Original</t>
        </is>
      </c>
      <c r="F325" t="inlineStr">
        <is>
          <t>640103.xlsx</t>
        </is>
      </c>
      <c r="G325" t="inlineStr">
        <is>
          <t>2025-04</t>
        </is>
      </c>
      <c r="H325" t="inlineStr">
        <is>
          <t>2026-07</t>
        </is>
      </c>
      <c r="OP325" s="2">
        <v>6</v>
      </c>
      <c r="OQ325" s="2">
        <v>4.6</v>
      </c>
      <c r="OR325" s="2">
        <v>4</v>
      </c>
      <c r="OS325" s="2">
        <v>4</v>
      </c>
      <c r="OT325" s="2">
        <v>2.2</v>
      </c>
      <c r="OU325" s="2">
        <v>2.1</v>
      </c>
      <c r="OV325" s="2">
        <v>2.3</v>
      </c>
      <c r="OW325" s="2">
        <v>2.5</v>
      </c>
      <c r="OX325" s="2">
        <v>2.6</v>
      </c>
      <c r="PC325" s="2">
        <v>2.2</v>
      </c>
      <c r="PD325" s="2">
        <v>2.5</v>
      </c>
      <c r="PE325" s="2">
        <v>3.7</v>
      </c>
      <c r="PF325" s="2">
        <v>4.5</v>
      </c>
      <c r="PG325" s="2">
        <v>5.5</v>
      </c>
      <c r="PH325" s="2">
        <v>4.9</v>
      </c>
      <c r="PI325" s="2">
        <v>4.2</v>
      </c>
    </row>
    <row r="326">
      <c r="A326" t="inlineStr">
        <is>
          <t>A130399115R</t>
        </is>
      </c>
      <c r="B326" t="inlineStr">
        <is>
          <t>Percentage Change from Corresponding Month of Previous Year ;  Financial services ;  Australia ;</t>
        </is>
      </c>
      <c r="C326" t="inlineStr">
        <is>
          <t>Month</t>
        </is>
      </c>
      <c r="D326" t="inlineStr">
        <is>
          <t>Percent</t>
        </is>
      </c>
      <c r="E326" t="inlineStr">
        <is>
          <t>Original</t>
        </is>
      </c>
      <c r="F326" t="inlineStr">
        <is>
          <t>640103.xlsx</t>
        </is>
      </c>
      <c r="G326" t="inlineStr">
        <is>
          <t>2018-09</t>
        </is>
      </c>
      <c r="H326" t="inlineStr">
        <is>
          <t>2026-07</t>
        </is>
      </c>
      <c r="KM326" s="2">
        <v>0.6</v>
      </c>
      <c r="KN326" s="2">
        <v>1</v>
      </c>
      <c r="KO326" s="2">
        <v>1</v>
      </c>
      <c r="KP326" s="2">
        <v>1.2</v>
      </c>
      <c r="KU326" s="2">
        <v>1.2</v>
      </c>
      <c r="KV326" s="2">
        <v>1.2</v>
      </c>
      <c r="KW326" s="2">
        <v>0.8</v>
      </c>
      <c r="KX326" s="2">
        <v>0.8</v>
      </c>
      <c r="KY326" s="2">
        <v>0.8</v>
      </c>
      <c r="KZ326" s="2">
        <v>0.6</v>
      </c>
      <c r="LA326" s="2">
        <v>0.7</v>
      </c>
      <c r="LB326" s="2">
        <v>0.7</v>
      </c>
      <c r="LC326" s="2">
        <v>0.4</v>
      </c>
      <c r="LD326" s="2">
        <v>0.4</v>
      </c>
      <c r="LE326" s="2">
        <v>0.5</v>
      </c>
      <c r="LF326" s="2">
        <v>0.8</v>
      </c>
      <c r="LK326" s="2">
        <v>0.8</v>
      </c>
      <c r="LL326" s="2">
        <v>0.8</v>
      </c>
      <c r="LM326" s="2">
        <v>1.5</v>
      </c>
      <c r="LN326" s="2">
        <v>1.3</v>
      </c>
      <c r="LO326" s="2">
        <v>1.3</v>
      </c>
      <c r="LP326" s="2">
        <v>1.7</v>
      </c>
      <c r="LQ326" s="2">
        <v>1.6</v>
      </c>
      <c r="LR326" s="2">
        <v>1.6</v>
      </c>
      <c r="LS326" s="2">
        <v>1.3</v>
      </c>
      <c r="LT326" s="2">
        <v>1.4</v>
      </c>
      <c r="LU326" s="2">
        <v>1.3</v>
      </c>
      <c r="LV326" s="2">
        <v>0.7</v>
      </c>
      <c r="MA326" s="2">
        <v>0.7</v>
      </c>
      <c r="MB326" s="2">
        <v>0.7</v>
      </c>
      <c r="MC326" s="2">
        <v>0.1</v>
      </c>
      <c r="MD326" s="2">
        <v>0.2</v>
      </c>
      <c r="ME326" s="2">
        <v>0.1</v>
      </c>
      <c r="MF326" s="2">
        <v>-0.2</v>
      </c>
      <c r="MG326" s="2">
        <v>-0.4</v>
      </c>
      <c r="MH326" s="2">
        <v>-0.4</v>
      </c>
      <c r="MI326" s="2">
        <v>0.3</v>
      </c>
      <c r="MJ326" s="2">
        <v>0.2</v>
      </c>
      <c r="MK326" s="2">
        <v>0.3</v>
      </c>
      <c r="ML326" s="2">
        <v>1.8</v>
      </c>
      <c r="MQ326" s="2">
        <v>1.8</v>
      </c>
      <c r="MR326" s="2">
        <v>1.8</v>
      </c>
      <c r="MS326" s="2">
        <v>2.3</v>
      </c>
      <c r="MT326" s="2">
        <v>2.1</v>
      </c>
      <c r="MU326" s="2">
        <v>2.3</v>
      </c>
      <c r="MV326" s="2">
        <v>3.4</v>
      </c>
      <c r="MW326" s="2">
        <v>3.7</v>
      </c>
      <c r="MX326" s="2">
        <v>3.6</v>
      </c>
      <c r="MY326" s="2">
        <v>4.2</v>
      </c>
      <c r="MZ326" s="2">
        <v>4.2</v>
      </c>
      <c r="NA326" s="2">
        <v>4.3</v>
      </c>
      <c r="NB326" s="2">
        <v>4.7</v>
      </c>
      <c r="NG326" s="2">
        <v>4.7</v>
      </c>
      <c r="NH326" s="2">
        <v>4.7</v>
      </c>
      <c r="NI326" s="2">
        <v>5.9</v>
      </c>
      <c r="NJ326" s="2">
        <v>6.1</v>
      </c>
      <c r="NK326" s="2">
        <v>6.2</v>
      </c>
      <c r="NL326" s="2">
        <v>7.1</v>
      </c>
      <c r="NM326" s="2">
        <v>7.1</v>
      </c>
      <c r="NN326" s="2">
        <v>7.3</v>
      </c>
      <c r="NO326" s="2">
        <v>7.1</v>
      </c>
      <c r="NP326" s="2">
        <v>7</v>
      </c>
      <c r="NQ326" s="2">
        <v>6.9</v>
      </c>
      <c r="NR326" s="2">
        <v>6.1</v>
      </c>
      <c r="NW326" s="2">
        <v>6.1</v>
      </c>
      <c r="NX326" s="2">
        <v>6.1</v>
      </c>
      <c r="NY326" s="2">
        <v>5.9</v>
      </c>
      <c r="NZ326" s="2">
        <v>6</v>
      </c>
      <c r="OA326" s="2">
        <v>5.9</v>
      </c>
      <c r="OB326" s="2">
        <v>4.3</v>
      </c>
      <c r="OC326" s="2">
        <v>4.3</v>
      </c>
      <c r="OD326" s="2">
        <v>4</v>
      </c>
      <c r="OE326" s="2">
        <v>3.9</v>
      </c>
      <c r="OF326" s="2">
        <v>4.1</v>
      </c>
      <c r="OG326" s="2">
        <v>3.9</v>
      </c>
      <c r="OH326" s="2">
        <v>3.6</v>
      </c>
      <c r="OM326" s="2">
        <v>3.6</v>
      </c>
      <c r="ON326" s="2">
        <v>3.6</v>
      </c>
      <c r="OO326" s="2">
        <v>2.9</v>
      </c>
      <c r="OP326" s="2">
        <v>2.9</v>
      </c>
      <c r="OQ326" s="2">
        <v>2.9</v>
      </c>
      <c r="OR326" s="2">
        <v>2.9</v>
      </c>
      <c r="OS326" s="2">
        <v>2.9</v>
      </c>
      <c r="OT326" s="2">
        <v>3.2</v>
      </c>
      <c r="OU326" s="2">
        <v>2.6</v>
      </c>
      <c r="OV326" s="2">
        <v>2.5</v>
      </c>
      <c r="OW326" s="2">
        <v>2.6</v>
      </c>
      <c r="OX326" s="2">
        <v>2.4</v>
      </c>
      <c r="PC326" s="2">
        <v>2.4</v>
      </c>
      <c r="PD326" s="2">
        <v>2.4</v>
      </c>
      <c r="PE326" s="2">
        <v>2.5</v>
      </c>
      <c r="PF326" s="2">
        <v>2.5</v>
      </c>
      <c r="PG326" s="2">
        <v>2.5</v>
      </c>
      <c r="PH326" s="2">
        <v>2.7</v>
      </c>
      <c r="PI326" s="2">
        <v>2.8</v>
      </c>
    </row>
    <row r="327">
      <c r="A327" t="inlineStr">
        <is>
          <t>A130399101A</t>
        </is>
      </c>
      <c r="B327" t="inlineStr">
        <is>
          <t>Percentage Change from Corresponding Month of Previous Year ;  Deposit and loan facilities (direct charges) ;  Australia ;</t>
        </is>
      </c>
      <c r="C327" t="inlineStr">
        <is>
          <t>Month</t>
        </is>
      </c>
      <c r="D327" t="inlineStr">
        <is>
          <t>Percent</t>
        </is>
      </c>
      <c r="E327" t="inlineStr">
        <is>
          <t>Original</t>
        </is>
      </c>
      <c r="F327" t="inlineStr">
        <is>
          <t>640103.xlsx</t>
        </is>
      </c>
      <c r="G327" t="inlineStr">
        <is>
          <t>2018-09</t>
        </is>
      </c>
      <c r="H327" t="inlineStr">
        <is>
          <t>2026-07</t>
        </is>
      </c>
      <c r="KM327" s="2">
        <v>-3.4</v>
      </c>
      <c r="KN327" s="2">
        <v>-0.6</v>
      </c>
      <c r="KO327" s="2">
        <v>-0.6</v>
      </c>
      <c r="KP327" s="2">
        <v>0.3</v>
      </c>
      <c r="KU327" s="2">
        <v>0.4</v>
      </c>
      <c r="KV327" s="2">
        <v>0.4</v>
      </c>
      <c r="KW327" s="2">
        <v>0.4</v>
      </c>
      <c r="KX327" s="2">
        <v>0.4</v>
      </c>
      <c r="KY327" s="2">
        <v>0.4</v>
      </c>
      <c r="KZ327" s="2">
        <v>-1.6</v>
      </c>
      <c r="LA327" s="2">
        <v>-1.1</v>
      </c>
      <c r="LB327" s="2">
        <v>-1.1</v>
      </c>
      <c r="LC327" s="2">
        <v>-1.1</v>
      </c>
      <c r="LD327" s="2">
        <v>-1.1</v>
      </c>
      <c r="LE327" s="2">
        <v>-0.6</v>
      </c>
      <c r="LF327" s="2">
        <v>0.6</v>
      </c>
      <c r="LK327" s="2">
        <v>0.1</v>
      </c>
      <c r="LL327" s="2">
        <v>0.1</v>
      </c>
      <c r="LM327" s="2">
        <v>0.1</v>
      </c>
      <c r="LN327" s="2">
        <v>-1.4</v>
      </c>
      <c r="LO327" s="2">
        <v>-1.4</v>
      </c>
      <c r="LP327" s="2">
        <v>1</v>
      </c>
      <c r="LQ327" s="2">
        <v>0.3</v>
      </c>
      <c r="LR327" s="2">
        <v>0.3</v>
      </c>
      <c r="LS327" s="2">
        <v>0.3</v>
      </c>
      <c r="LT327" s="2">
        <v>0.9</v>
      </c>
      <c r="LU327" s="2">
        <v>0.5</v>
      </c>
      <c r="LV327" s="2">
        <v>-0.8</v>
      </c>
      <c r="MA327" s="2">
        <v>-0.4</v>
      </c>
      <c r="MB327" s="2">
        <v>-0.7</v>
      </c>
      <c r="MC327" s="2">
        <v>-0.7</v>
      </c>
      <c r="MD327" s="2">
        <v>0.8</v>
      </c>
      <c r="ME327" s="2">
        <v>-0.6</v>
      </c>
      <c r="MF327" s="2">
        <v>-1</v>
      </c>
      <c r="MG327" s="2">
        <v>-3</v>
      </c>
      <c r="MH327" s="2">
        <v>-2.9</v>
      </c>
      <c r="MI327" s="2">
        <v>-2.8</v>
      </c>
      <c r="MJ327" s="2">
        <v>-3.5</v>
      </c>
      <c r="MK327" s="2">
        <v>-3</v>
      </c>
      <c r="ML327" s="2">
        <v>-2.8</v>
      </c>
      <c r="MQ327" s="2">
        <v>-3</v>
      </c>
      <c r="MR327" s="2">
        <v>-2.6</v>
      </c>
      <c r="MS327" s="2">
        <v>-2.6</v>
      </c>
      <c r="MT327" s="2">
        <v>-4.4</v>
      </c>
      <c r="MU327" s="2">
        <v>-3</v>
      </c>
      <c r="MV327" s="2">
        <v>-2.4</v>
      </c>
      <c r="MW327" s="2">
        <v>-0.3</v>
      </c>
      <c r="MX327" s="2">
        <v>-1.7</v>
      </c>
      <c r="MY327" s="2">
        <v>-1.6</v>
      </c>
      <c r="MZ327" s="2">
        <v>-1.5</v>
      </c>
      <c r="NA327" s="2">
        <v>-0.6</v>
      </c>
      <c r="NB327" s="2">
        <v>-2</v>
      </c>
      <c r="NG327" s="2">
        <v>-1.7</v>
      </c>
      <c r="NH327" s="2">
        <v>-1.7</v>
      </c>
      <c r="NI327" s="2">
        <v>-0.2</v>
      </c>
      <c r="NJ327" s="2">
        <v>1.8</v>
      </c>
      <c r="NK327" s="2">
        <v>1.8</v>
      </c>
      <c r="NL327" s="2">
        <v>1.7</v>
      </c>
      <c r="NM327" s="2">
        <v>1.7</v>
      </c>
      <c r="NN327" s="2">
        <v>4.1</v>
      </c>
      <c r="NO327" s="2">
        <v>6.2</v>
      </c>
      <c r="NP327" s="2">
        <v>6.1</v>
      </c>
      <c r="NQ327" s="2">
        <v>5.1</v>
      </c>
      <c r="NR327" s="2">
        <v>7.3</v>
      </c>
      <c r="NW327" s="2">
        <v>7.4</v>
      </c>
      <c r="NX327" s="2">
        <v>7.3</v>
      </c>
      <c r="NY327" s="2">
        <v>6.1</v>
      </c>
      <c r="NZ327" s="2">
        <v>6.3</v>
      </c>
      <c r="OA327" s="2">
        <v>6.2</v>
      </c>
      <c r="OB327" s="2">
        <v>6.1</v>
      </c>
      <c r="OC327" s="2">
        <v>6.1</v>
      </c>
      <c r="OD327" s="2">
        <v>2.8</v>
      </c>
      <c r="OE327" s="2">
        <v>0.9</v>
      </c>
      <c r="OF327" s="2">
        <v>3.1</v>
      </c>
      <c r="OG327" s="2">
        <v>1</v>
      </c>
      <c r="OH327" s="2">
        <v>0.3</v>
      </c>
      <c r="OM327" s="2">
        <v>0.2</v>
      </c>
      <c r="ON327" s="2">
        <v>0.4</v>
      </c>
      <c r="OO327" s="2">
        <v>2.3</v>
      </c>
      <c r="OP327" s="2">
        <v>2.6</v>
      </c>
      <c r="OQ327" s="2">
        <v>2.6</v>
      </c>
      <c r="OR327" s="2">
        <v>3.5</v>
      </c>
      <c r="OS327" s="2">
        <v>3.9</v>
      </c>
      <c r="OT327" s="2">
        <v>6.4</v>
      </c>
      <c r="OU327" s="2">
        <v>5.1</v>
      </c>
      <c r="OV327" s="2">
        <v>3.9</v>
      </c>
      <c r="OW327" s="2">
        <v>4.5</v>
      </c>
      <c r="OX327" s="2">
        <v>4.1</v>
      </c>
      <c r="PC327" s="2">
        <v>4.1</v>
      </c>
      <c r="PD327" s="2">
        <v>3.8</v>
      </c>
      <c r="PE327" s="2">
        <v>2.4</v>
      </c>
      <c r="PF327" s="2">
        <v>1.8</v>
      </c>
      <c r="PG327" s="2">
        <v>2.2</v>
      </c>
      <c r="PH327" s="2">
        <v>1</v>
      </c>
      <c r="PI327" s="2">
        <v>2.2</v>
      </c>
    </row>
    <row r="328">
      <c r="A328" t="inlineStr">
        <is>
          <t>A130392475T</t>
        </is>
      </c>
      <c r="B328" t="inlineStr">
        <is>
          <t>Percentage Change from Corresponding Month of Previous Year ;  Other financial services ;  Australia ;</t>
        </is>
      </c>
      <c r="C328" t="inlineStr">
        <is>
          <t>Month</t>
        </is>
      </c>
      <c r="D328" t="inlineStr">
        <is>
          <t>Percent</t>
        </is>
      </c>
      <c r="E328" t="inlineStr">
        <is>
          <t>Original</t>
        </is>
      </c>
      <c r="F328" t="inlineStr">
        <is>
          <t>640103.xlsx</t>
        </is>
      </c>
      <c r="G328" t="inlineStr">
        <is>
          <t>2018-09</t>
        </is>
      </c>
      <c r="H328" t="inlineStr">
        <is>
          <t>2026-07</t>
        </is>
      </c>
      <c r="KM328" s="2">
        <v>1.2</v>
      </c>
      <c r="KN328" s="2">
        <v>1.2</v>
      </c>
      <c r="KO328" s="2">
        <v>1.2</v>
      </c>
      <c r="KP328" s="2">
        <v>1.3</v>
      </c>
      <c r="KU328" s="2">
        <v>1.3</v>
      </c>
      <c r="KV328" s="2">
        <v>1.3</v>
      </c>
      <c r="KW328" s="2">
        <v>0.9</v>
      </c>
      <c r="KX328" s="2">
        <v>0.9</v>
      </c>
      <c r="KY328" s="2">
        <v>0.9</v>
      </c>
      <c r="KZ328" s="2">
        <v>0.9</v>
      </c>
      <c r="LA328" s="2">
        <v>0.9</v>
      </c>
      <c r="LB328" s="2">
        <v>0.9</v>
      </c>
      <c r="LC328" s="2">
        <v>0.7</v>
      </c>
      <c r="LD328" s="2">
        <v>0.7</v>
      </c>
      <c r="LE328" s="2">
        <v>0.7</v>
      </c>
      <c r="LF328" s="2">
        <v>0.9</v>
      </c>
      <c r="LK328" s="2">
        <v>0.9</v>
      </c>
      <c r="LL328" s="2">
        <v>0.9</v>
      </c>
      <c r="LM328" s="2">
        <v>1.7</v>
      </c>
      <c r="LN328" s="2">
        <v>1.7</v>
      </c>
      <c r="LO328" s="2">
        <v>1.7</v>
      </c>
      <c r="LP328" s="2">
        <v>1.8</v>
      </c>
      <c r="LQ328" s="2">
        <v>1.8</v>
      </c>
      <c r="LR328" s="2">
        <v>1.8</v>
      </c>
      <c r="LS328" s="2">
        <v>1.4</v>
      </c>
      <c r="LT328" s="2">
        <v>1.4</v>
      </c>
      <c r="LU328" s="2">
        <v>1.4</v>
      </c>
      <c r="LV328" s="2">
        <v>0.9</v>
      </c>
      <c r="MA328" s="2">
        <v>0.9</v>
      </c>
      <c r="MB328" s="2">
        <v>0.9</v>
      </c>
      <c r="MC328" s="2">
        <v>0.1</v>
      </c>
      <c r="MD328" s="2">
        <v>0.1</v>
      </c>
      <c r="ME328" s="2">
        <v>0.1</v>
      </c>
      <c r="MF328" s="2">
        <v>-0.1</v>
      </c>
      <c r="MG328" s="2">
        <v>-0.1</v>
      </c>
      <c r="MH328" s="2">
        <v>-0.1</v>
      </c>
      <c r="MI328" s="2">
        <v>0.7</v>
      </c>
      <c r="MJ328" s="2">
        <v>0.7</v>
      </c>
      <c r="MK328" s="2">
        <v>0.7</v>
      </c>
      <c r="ML328" s="2">
        <v>2.4</v>
      </c>
      <c r="MQ328" s="2">
        <v>2.4</v>
      </c>
      <c r="MR328" s="2">
        <v>2.4</v>
      </c>
      <c r="MS328" s="2">
        <v>2.9</v>
      </c>
      <c r="MT328" s="2">
        <v>2.9</v>
      </c>
      <c r="MU328" s="2">
        <v>2.9</v>
      </c>
      <c r="MV328" s="2">
        <v>4.1</v>
      </c>
      <c r="MW328" s="2">
        <v>4.1</v>
      </c>
      <c r="MX328" s="2">
        <v>4.1</v>
      </c>
      <c r="MY328" s="2">
        <v>4.8</v>
      </c>
      <c r="MZ328" s="2">
        <v>4.8</v>
      </c>
      <c r="NA328" s="2">
        <v>4.8</v>
      </c>
      <c r="NB328" s="2">
        <v>5.4</v>
      </c>
      <c r="NG328" s="2">
        <v>5.4</v>
      </c>
      <c r="NH328" s="2">
        <v>5.4</v>
      </c>
      <c r="NI328" s="2">
        <v>6.6</v>
      </c>
      <c r="NJ328" s="2">
        <v>6.6</v>
      </c>
      <c r="NK328" s="2">
        <v>6.6</v>
      </c>
      <c r="NL328" s="2">
        <v>7.7</v>
      </c>
      <c r="NM328" s="2">
        <v>7.7</v>
      </c>
      <c r="NN328" s="2">
        <v>7.7</v>
      </c>
      <c r="NO328" s="2">
        <v>7.1</v>
      </c>
      <c r="NP328" s="2">
        <v>7.1</v>
      </c>
      <c r="NQ328" s="2">
        <v>7.1</v>
      </c>
      <c r="NR328" s="2">
        <v>6</v>
      </c>
      <c r="NW328" s="2">
        <v>6</v>
      </c>
      <c r="NX328" s="2">
        <v>6</v>
      </c>
      <c r="NY328" s="2">
        <v>5.9</v>
      </c>
      <c r="NZ328" s="2">
        <v>5.9</v>
      </c>
      <c r="OA328" s="2">
        <v>5.9</v>
      </c>
      <c r="OB328" s="2">
        <v>4.1</v>
      </c>
      <c r="OC328" s="2">
        <v>4.1</v>
      </c>
      <c r="OD328" s="2">
        <v>4.1</v>
      </c>
      <c r="OE328" s="2">
        <v>4.2</v>
      </c>
      <c r="OF328" s="2">
        <v>4.2</v>
      </c>
      <c r="OG328" s="2">
        <v>4.2</v>
      </c>
      <c r="OH328" s="2">
        <v>3.9</v>
      </c>
      <c r="OM328" s="2">
        <v>3.9</v>
      </c>
      <c r="ON328" s="2">
        <v>3.9</v>
      </c>
      <c r="OO328" s="2">
        <v>2.9</v>
      </c>
      <c r="OP328" s="2">
        <v>2.9</v>
      </c>
      <c r="OQ328" s="2">
        <v>2.9</v>
      </c>
      <c r="OR328" s="2">
        <v>2.8</v>
      </c>
      <c r="OS328" s="2">
        <v>2.8</v>
      </c>
      <c r="OT328" s="2">
        <v>2.8</v>
      </c>
      <c r="OU328" s="2">
        <v>2.4</v>
      </c>
      <c r="OV328" s="2">
        <v>2.4</v>
      </c>
      <c r="OW328" s="2">
        <v>2.4</v>
      </c>
      <c r="OX328" s="2">
        <v>2.3</v>
      </c>
      <c r="PC328" s="2">
        <v>2.3</v>
      </c>
      <c r="PD328" s="2">
        <v>2.3</v>
      </c>
      <c r="PE328" s="2">
        <v>2.6</v>
      </c>
      <c r="PF328" s="2">
        <v>2.6</v>
      </c>
      <c r="PG328" s="2">
        <v>2.6</v>
      </c>
      <c r="PH328" s="2">
        <v>2.9</v>
      </c>
      <c r="PI328" s="2">
        <v>2.9</v>
      </c>
    </row>
    <row r="329">
      <c r="A329" t="inlineStr">
        <is>
          <t>A130393722J</t>
        </is>
      </c>
      <c r="B329" t="inlineStr">
        <is>
          <t>Percentage Change from Previous Period ;  All groups CPI ;  Australia ;</t>
        </is>
      </c>
      <c r="C329" t="inlineStr">
        <is>
          <t>Month</t>
        </is>
      </c>
      <c r="D329" t="inlineStr">
        <is>
          <t>Percent</t>
        </is>
      </c>
      <c r="E329" t="inlineStr">
        <is>
          <t>Original</t>
        </is>
      </c>
      <c r="F329" t="inlineStr">
        <is>
          <t>640103.xlsx</t>
        </is>
      </c>
      <c r="G329" t="inlineStr">
        <is>
          <t>2024-05</t>
        </is>
      </c>
      <c r="H329" t="inlineStr">
        <is>
          <t>2026-07</t>
        </is>
      </c>
      <c r="OA329" s="2">
        <v>-0.2</v>
      </c>
      <c r="OB329" s="2">
        <v>0.4</v>
      </c>
      <c r="OC329" s="2">
        <v>0.3</v>
      </c>
      <c r="OD329" s="2">
        <v>-0.3</v>
      </c>
      <c r="OE329" s="2">
        <v>0.1</v>
      </c>
      <c r="OF329" s="2">
        <v>-0.2</v>
      </c>
      <c r="OG329" s="2">
        <v>0.4</v>
      </c>
      <c r="OH329" s="2">
        <v>0.7</v>
      </c>
      <c r="OM329" s="2">
        <v>0.3</v>
      </c>
      <c r="ON329" s="2">
        <v>0.1</v>
      </c>
      <c r="OO329" s="2">
        <v>0.3</v>
      </c>
      <c r="OP329" s="2">
        <v>0.7</v>
      </c>
      <c r="OQ329" s="2">
        <v>-0.5</v>
      </c>
      <c r="OR329" s="2">
        <v>0.1</v>
      </c>
      <c r="OS329" s="2">
        <v>1.3</v>
      </c>
      <c r="OT329" s="2">
        <v>-0.1</v>
      </c>
      <c r="OU329" s="2">
        <v>0.5</v>
      </c>
      <c r="OV329" s="2">
        <v>0</v>
      </c>
      <c r="OW329" s="2">
        <v>0</v>
      </c>
      <c r="OX329" s="2">
        <v>1</v>
      </c>
      <c r="PC329" s="2">
        <v>0.4</v>
      </c>
      <c r="PD329" s="2">
        <v>0</v>
      </c>
      <c r="PE329" s="2">
        <v>1.1</v>
      </c>
      <c r="PF329" s="2">
        <v>0.4</v>
      </c>
      <c r="PG329" s="2">
        <v>-0.7</v>
      </c>
      <c r="PH329" s="2">
        <v>-0.1</v>
      </c>
      <c r="PI329" s="2">
        <v>1</v>
      </c>
    </row>
    <row r="330">
      <c r="A330" t="inlineStr">
        <is>
          <t>A130395479F</t>
        </is>
      </c>
      <c r="B330" t="inlineStr">
        <is>
          <t>Percentage Change from Previous Period ;  Food and non-alcoholic beverages ;  Australia ;</t>
        </is>
      </c>
      <c r="C330" t="inlineStr">
        <is>
          <t>Month</t>
        </is>
      </c>
      <c r="D330" t="inlineStr">
        <is>
          <t>Percent</t>
        </is>
      </c>
      <c r="E330" t="inlineStr">
        <is>
          <t>Original</t>
        </is>
      </c>
      <c r="F330" t="inlineStr">
        <is>
          <t>640103.xlsx</t>
        </is>
      </c>
      <c r="G330" t="inlineStr">
        <is>
          <t>2024-05</t>
        </is>
      </c>
      <c r="H330" t="inlineStr">
        <is>
          <t>2026-07</t>
        </is>
      </c>
      <c r="OA330" s="2">
        <v>0.4</v>
      </c>
      <c r="OB330" s="2">
        <v>-0.1</v>
      </c>
      <c r="OC330" s="2">
        <v>0.7</v>
      </c>
      <c r="OD330" s="2">
        <v>0.2</v>
      </c>
      <c r="OE330" s="2">
        <v>-0.5</v>
      </c>
      <c r="OF330" s="2">
        <v>0.1</v>
      </c>
      <c r="OG330" s="2">
        <v>0.3</v>
      </c>
      <c r="OH330" s="2">
        <v>0.2</v>
      </c>
      <c r="OM330" s="2">
        <v>0.8</v>
      </c>
      <c r="ON330" s="2">
        <v>-0.1</v>
      </c>
      <c r="OO330" s="2">
        <v>0.7</v>
      </c>
      <c r="OP330" s="2">
        <v>0.4</v>
      </c>
      <c r="OQ330" s="2">
        <v>0.1</v>
      </c>
      <c r="OR330" s="2">
        <v>0.4</v>
      </c>
      <c r="OS330" s="2">
        <v>0.4</v>
      </c>
      <c r="OT330" s="2">
        <v>0.1</v>
      </c>
      <c r="OU330" s="2">
        <v>-0.3</v>
      </c>
      <c r="OV330" s="2">
        <v>0.2</v>
      </c>
      <c r="OW330" s="2">
        <v>0.4</v>
      </c>
      <c r="OX330" s="2">
        <v>0.4</v>
      </c>
      <c r="PC330" s="2">
        <v>0.5</v>
      </c>
      <c r="PD330" s="2">
        <v>-0.1</v>
      </c>
      <c r="PE330" s="2">
        <v>0.7</v>
      </c>
      <c r="PF330" s="2">
        <v>0.1</v>
      </c>
      <c r="PG330" s="2">
        <v>0.6</v>
      </c>
      <c r="PH330" s="2">
        <v>0.4</v>
      </c>
      <c r="PI330" s="2">
        <v>0.3</v>
      </c>
    </row>
    <row r="331">
      <c r="A331" t="inlineStr">
        <is>
          <t>A130391706W</t>
        </is>
      </c>
      <c r="B331" t="inlineStr">
        <is>
          <t>Percentage Change from Previous Period ;  Bread and cereal products ;  Australia ;</t>
        </is>
      </c>
      <c r="C331" t="inlineStr">
        <is>
          <t>Month</t>
        </is>
      </c>
      <c r="D331" t="inlineStr">
        <is>
          <t>Percent</t>
        </is>
      </c>
      <c r="E331" t="inlineStr">
        <is>
          <t>Original</t>
        </is>
      </c>
      <c r="F331" t="inlineStr">
        <is>
          <t>640103.xlsx</t>
        </is>
      </c>
      <c r="G331" t="inlineStr">
        <is>
          <t>2017-10</t>
        </is>
      </c>
      <c r="H331" t="inlineStr">
        <is>
          <t>2026-07</t>
        </is>
      </c>
      <c r="JX331" s="2">
        <v>0.7</v>
      </c>
      <c r="JY331" s="2">
        <v>0.5</v>
      </c>
      <c r="JZ331" s="2">
        <v>0.9</v>
      </c>
      <c r="KE331" s="2">
        <v>-0.2</v>
      </c>
      <c r="KF331" s="2">
        <v>-1.1</v>
      </c>
      <c r="KG331" s="2">
        <v>0.3</v>
      </c>
      <c r="KH331" s="2">
        <v>-0.4</v>
      </c>
      <c r="KI331" s="2">
        <v>-0.1</v>
      </c>
      <c r="KJ331" s="2">
        <v>-0.2</v>
      </c>
      <c r="KK331" s="2">
        <v>0.6</v>
      </c>
      <c r="KL331" s="2">
        <v>-0.1</v>
      </c>
      <c r="KM331" s="2">
        <v>0.2</v>
      </c>
      <c r="KN331" s="2">
        <v>0.6</v>
      </c>
      <c r="KO331" s="2">
        <v>-0.2</v>
      </c>
      <c r="KP331" s="2">
        <v>1.2</v>
      </c>
      <c r="KU331" s="2">
        <v>0.2</v>
      </c>
      <c r="KV331" s="2">
        <v>0.4</v>
      </c>
      <c r="KW331" s="2">
        <v>0.7</v>
      </c>
      <c r="KX331" s="2">
        <v>0.2</v>
      </c>
      <c r="KY331" s="2">
        <v>-1</v>
      </c>
      <c r="KZ331" s="2">
        <v>0.8</v>
      </c>
      <c r="LA331" s="2">
        <v>0.1</v>
      </c>
      <c r="LB331" s="2">
        <v>1.4</v>
      </c>
      <c r="LC331" s="2">
        <v>-0.2</v>
      </c>
      <c r="LD331" s="2">
        <v>0.2</v>
      </c>
      <c r="LE331" s="2">
        <v>0.3</v>
      </c>
      <c r="LF331" s="2">
        <v>1.1</v>
      </c>
      <c r="LK331" s="2">
        <v>0</v>
      </c>
      <c r="LL331" s="2">
        <v>-0.2</v>
      </c>
      <c r="LM331" s="2">
        <v>3.1</v>
      </c>
      <c r="LN331" s="2">
        <v>1</v>
      </c>
      <c r="LO331" s="2">
        <v>-1.9</v>
      </c>
      <c r="LP331" s="2">
        <v>-1.1</v>
      </c>
      <c r="LQ331" s="2">
        <v>-1.1</v>
      </c>
      <c r="LR331" s="2">
        <v>0.9</v>
      </c>
      <c r="LS331" s="2">
        <v>-0.4</v>
      </c>
      <c r="LT331" s="2">
        <v>0.4</v>
      </c>
      <c r="LU331" s="2">
        <v>0.5</v>
      </c>
      <c r="LV331" s="2">
        <v>0</v>
      </c>
      <c r="MA331" s="2">
        <v>0.4</v>
      </c>
      <c r="MB331" s="2">
        <v>-0.6</v>
      </c>
      <c r="MC331" s="2">
        <v>-0.2</v>
      </c>
      <c r="MD331" s="2">
        <v>0.2</v>
      </c>
      <c r="ME331" s="2">
        <v>0.2</v>
      </c>
      <c r="MF331" s="2">
        <v>-0.4</v>
      </c>
      <c r="MG331" s="2">
        <v>-0.2</v>
      </c>
      <c r="MH331" s="2">
        <v>0.5</v>
      </c>
      <c r="MI331" s="2">
        <v>-0.2</v>
      </c>
      <c r="MJ331" s="2">
        <v>0.3</v>
      </c>
      <c r="MK331" s="2">
        <v>0.8</v>
      </c>
      <c r="ML331" s="2">
        <v>0.8</v>
      </c>
      <c r="MQ331" s="2">
        <v>0.5</v>
      </c>
      <c r="MR331" s="2">
        <v>-0.2</v>
      </c>
      <c r="MS331" s="2">
        <v>1.9</v>
      </c>
      <c r="MT331" s="2">
        <v>1.1</v>
      </c>
      <c r="MU331" s="2">
        <v>0.5</v>
      </c>
      <c r="MV331" s="2">
        <v>1.2</v>
      </c>
      <c r="MW331" s="2">
        <v>1</v>
      </c>
      <c r="MX331" s="2">
        <v>1.4</v>
      </c>
      <c r="MY331" s="2">
        <v>1.9</v>
      </c>
      <c r="MZ331" s="2">
        <v>0.5</v>
      </c>
      <c r="NA331" s="2">
        <v>0.9</v>
      </c>
      <c r="NB331" s="2">
        <v>1.6</v>
      </c>
      <c r="NG331" s="2">
        <v>0.2</v>
      </c>
      <c r="NH331" s="2">
        <v>-0.2</v>
      </c>
      <c r="NI331" s="2">
        <v>0.3</v>
      </c>
      <c r="NJ331" s="2">
        <v>1.7</v>
      </c>
      <c r="NK331" s="2">
        <v>1.7</v>
      </c>
      <c r="NL331" s="2">
        <v>-0.5</v>
      </c>
      <c r="NM331" s="2">
        <v>0.1</v>
      </c>
      <c r="NN331" s="2">
        <v>1.8</v>
      </c>
      <c r="NO331" s="2">
        <v>0.5</v>
      </c>
      <c r="NP331" s="2">
        <v>0.2</v>
      </c>
      <c r="NQ331" s="2">
        <v>0.6</v>
      </c>
      <c r="NR331" s="2">
        <v>1.2</v>
      </c>
      <c r="NW331" s="2">
        <v>-0.1</v>
      </c>
      <c r="NX331" s="2">
        <v>-0.6</v>
      </c>
      <c r="NY331" s="2">
        <v>0.6</v>
      </c>
      <c r="NZ331" s="2">
        <v>-0.5</v>
      </c>
      <c r="OA331" s="2">
        <v>0.1</v>
      </c>
      <c r="OB331" s="2">
        <v>-0.4</v>
      </c>
      <c r="OC331" s="2">
        <v>0.9</v>
      </c>
      <c r="OD331" s="2">
        <v>0</v>
      </c>
      <c r="OE331" s="2">
        <v>-0.1</v>
      </c>
      <c r="OF331" s="2">
        <v>1.3</v>
      </c>
      <c r="OG331" s="2">
        <v>0.3</v>
      </c>
      <c r="OH331" s="2">
        <v>0.6</v>
      </c>
      <c r="OM331" s="2">
        <v>0.7</v>
      </c>
      <c r="ON331" s="2">
        <v>-1.2</v>
      </c>
      <c r="OO331" s="2">
        <v>0.8</v>
      </c>
      <c r="OP331" s="2">
        <v>-0.4</v>
      </c>
      <c r="OQ331" s="2">
        <v>-0.6</v>
      </c>
      <c r="OR331" s="2">
        <v>-0.1</v>
      </c>
      <c r="OS331" s="2">
        <v>0.7</v>
      </c>
      <c r="OT331" s="2">
        <v>0</v>
      </c>
      <c r="OU331" s="2">
        <v>-0.3</v>
      </c>
      <c r="OV331" s="2">
        <v>0.1</v>
      </c>
      <c r="OW331" s="2">
        <v>0.8</v>
      </c>
      <c r="OX331" s="2">
        <v>0.9</v>
      </c>
      <c r="PC331" s="2">
        <v>0.2</v>
      </c>
      <c r="PD331" s="2">
        <v>-1.2</v>
      </c>
      <c r="PE331" s="2">
        <v>0.3</v>
      </c>
      <c r="PF331" s="2">
        <v>-0.3</v>
      </c>
      <c r="PG331" s="2">
        <v>0.2</v>
      </c>
      <c r="PH331" s="2">
        <v>0.7</v>
      </c>
      <c r="PI331" s="2">
        <v>-0.3</v>
      </c>
    </row>
    <row r="332">
      <c r="A332" t="inlineStr">
        <is>
          <t>A130393204J</t>
        </is>
      </c>
      <c r="B332" t="inlineStr">
        <is>
          <t>Percentage Change from Previous Period ;  Bread ;  Australia ;</t>
        </is>
      </c>
      <c r="C332" t="inlineStr">
        <is>
          <t>Month</t>
        </is>
      </c>
      <c r="D332" t="inlineStr">
        <is>
          <t>Percent</t>
        </is>
      </c>
      <c r="E332" t="inlineStr">
        <is>
          <t>Original</t>
        </is>
      </c>
      <c r="F332" t="inlineStr">
        <is>
          <t>640103.xlsx</t>
        </is>
      </c>
      <c r="G332" t="inlineStr">
        <is>
          <t>2017-10</t>
        </is>
      </c>
      <c r="H332" t="inlineStr">
        <is>
          <t>2026-07</t>
        </is>
      </c>
      <c r="JX332" s="2">
        <v>1.3</v>
      </c>
      <c r="JY332" s="2">
        <v>0.4</v>
      </c>
      <c r="JZ332" s="2">
        <v>1</v>
      </c>
      <c r="KE332" s="2">
        <v>-0.6</v>
      </c>
      <c r="KF332" s="2">
        <v>-0.4</v>
      </c>
      <c r="KG332" s="2">
        <v>0</v>
      </c>
      <c r="KH332" s="2">
        <v>-0.8</v>
      </c>
      <c r="KI332" s="2">
        <v>1</v>
      </c>
      <c r="KJ332" s="2">
        <v>-0.1</v>
      </c>
      <c r="KK332" s="2">
        <v>1.1</v>
      </c>
      <c r="KL332" s="2">
        <v>0.1</v>
      </c>
      <c r="KM332" s="2">
        <v>-0.1</v>
      </c>
      <c r="KN332" s="2">
        <v>0.2</v>
      </c>
      <c r="KO332" s="2">
        <v>-0.3</v>
      </c>
      <c r="KP332" s="2">
        <v>1.8</v>
      </c>
      <c r="KU332" s="2">
        <v>-0.2</v>
      </c>
      <c r="KV332" s="2">
        <v>0.5</v>
      </c>
      <c r="KW332" s="2">
        <v>1.6</v>
      </c>
      <c r="KX332" s="2">
        <v>0.1</v>
      </c>
      <c r="KY332" s="2">
        <v>-0.6</v>
      </c>
      <c r="KZ332" s="2">
        <v>0</v>
      </c>
      <c r="LA332" s="2">
        <v>0.2</v>
      </c>
      <c r="LB332" s="2">
        <v>0.3</v>
      </c>
      <c r="LC332" s="2">
        <v>-0.6</v>
      </c>
      <c r="LD332" s="2">
        <v>0.2</v>
      </c>
      <c r="LE332" s="2">
        <v>0</v>
      </c>
      <c r="LF332" s="2">
        <v>0.7</v>
      </c>
      <c r="LK332" s="2">
        <v>0.2</v>
      </c>
      <c r="LL332" s="2">
        <v>0.1</v>
      </c>
      <c r="LM332" s="2">
        <v>1.7</v>
      </c>
      <c r="LN332" s="2">
        <v>-0.3</v>
      </c>
      <c r="LO332" s="2">
        <v>-1</v>
      </c>
      <c r="LP332" s="2">
        <v>-0.3</v>
      </c>
      <c r="LQ332" s="2">
        <v>-0.1</v>
      </c>
      <c r="LR332" s="2">
        <v>0.2</v>
      </c>
      <c r="LS332" s="2">
        <v>-0.1</v>
      </c>
      <c r="LT332" s="2">
        <v>0.5</v>
      </c>
      <c r="LU332" s="2">
        <v>0.4</v>
      </c>
      <c r="LV332" s="2">
        <v>0.8</v>
      </c>
      <c r="MA332" s="2">
        <v>-0.4</v>
      </c>
      <c r="MB332" s="2">
        <v>-0.4</v>
      </c>
      <c r="MC332" s="2">
        <v>-0.2</v>
      </c>
      <c r="MD332" s="2">
        <v>0.4</v>
      </c>
      <c r="ME332" s="2">
        <v>-0.2</v>
      </c>
      <c r="MF332" s="2">
        <v>-0.2</v>
      </c>
      <c r="MG332" s="2">
        <v>0.1</v>
      </c>
      <c r="MH332" s="2">
        <v>-0.3</v>
      </c>
      <c r="MI332" s="2">
        <v>0.4</v>
      </c>
      <c r="MJ332" s="2">
        <v>-0.1</v>
      </c>
      <c r="MK332" s="2">
        <v>0.6</v>
      </c>
      <c r="ML332" s="2">
        <v>0.5</v>
      </c>
      <c r="MQ332" s="2">
        <v>0</v>
      </c>
      <c r="MR332" s="2">
        <v>0.5</v>
      </c>
      <c r="MS332" s="2">
        <v>2.6</v>
      </c>
      <c r="MT332" s="2">
        <v>1.6</v>
      </c>
      <c r="MU332" s="2">
        <v>0.9</v>
      </c>
      <c r="MV332" s="2">
        <v>0.9</v>
      </c>
      <c r="MW332" s="2">
        <v>0.3</v>
      </c>
      <c r="MX332" s="2">
        <v>0.5</v>
      </c>
      <c r="MY332" s="2">
        <v>4.3</v>
      </c>
      <c r="MZ332" s="2">
        <v>-0.3</v>
      </c>
      <c r="NA332" s="2">
        <v>0.4</v>
      </c>
      <c r="NB332" s="2">
        <v>1.1</v>
      </c>
      <c r="NG332" s="2">
        <v>1.2</v>
      </c>
      <c r="NH332" s="2">
        <v>-0.1</v>
      </c>
      <c r="NI332" s="2">
        <v>-0.1</v>
      </c>
      <c r="NJ332" s="2">
        <v>2.9</v>
      </c>
      <c r="NK332" s="2">
        <v>3.5</v>
      </c>
      <c r="NL332" s="2">
        <v>0.1</v>
      </c>
      <c r="NM332" s="2">
        <v>0.1</v>
      </c>
      <c r="NN332" s="2">
        <v>0.2</v>
      </c>
      <c r="NO332" s="2">
        <v>0.3</v>
      </c>
      <c r="NP332" s="2">
        <v>0.1</v>
      </c>
      <c r="NQ332" s="2">
        <v>0.2</v>
      </c>
      <c r="NR332" s="2">
        <v>0.5</v>
      </c>
      <c r="NW332" s="2">
        <v>0.2</v>
      </c>
      <c r="NX332" s="2">
        <v>0.3</v>
      </c>
      <c r="NY332" s="2">
        <v>-0.2</v>
      </c>
      <c r="NZ332" s="2">
        <v>0.3</v>
      </c>
      <c r="OA332" s="2">
        <v>-0.2</v>
      </c>
      <c r="OB332" s="2">
        <v>0.1</v>
      </c>
      <c r="OC332" s="2">
        <v>0.3</v>
      </c>
      <c r="OD332" s="2">
        <v>-0.3</v>
      </c>
      <c r="OE332" s="2">
        <v>-0.3</v>
      </c>
      <c r="OF332" s="2">
        <v>1.2</v>
      </c>
      <c r="OG332" s="2">
        <v>0.8</v>
      </c>
      <c r="OH332" s="2">
        <v>0.7</v>
      </c>
      <c r="OM332" s="2">
        <v>0.2</v>
      </c>
      <c r="ON332" s="2">
        <v>-0.2</v>
      </c>
      <c r="OO332" s="2">
        <v>0.2</v>
      </c>
      <c r="OP332" s="2">
        <v>-0.3</v>
      </c>
      <c r="OQ332" s="2">
        <v>-0.5</v>
      </c>
      <c r="OR332" s="2">
        <v>-0.3</v>
      </c>
      <c r="OS332" s="2">
        <v>0.1</v>
      </c>
      <c r="OT332" s="2">
        <v>0</v>
      </c>
      <c r="OU332" s="2">
        <v>-0.1</v>
      </c>
      <c r="OV332" s="2">
        <v>0.5</v>
      </c>
      <c r="OW332" s="2">
        <v>0.3</v>
      </c>
      <c r="OX332" s="2">
        <v>0.5</v>
      </c>
      <c r="PC332" s="2">
        <v>0.3</v>
      </c>
      <c r="PD332" s="2">
        <v>0</v>
      </c>
      <c r="PE332" s="2">
        <v>0.4</v>
      </c>
      <c r="PF332" s="2">
        <v>-0.1</v>
      </c>
      <c r="PG332" s="2">
        <v>0.5</v>
      </c>
      <c r="PH332" s="2">
        <v>0.2</v>
      </c>
      <c r="PI332" s="2">
        <v>0</v>
      </c>
    </row>
    <row r="333">
      <c r="A333" t="inlineStr">
        <is>
          <t>A130399326R</t>
        </is>
      </c>
      <c r="B333" t="inlineStr">
        <is>
          <t>Percentage Change from Previous Period ;  Cakes and biscuits ;  Australia ;</t>
        </is>
      </c>
      <c r="C333" t="inlineStr">
        <is>
          <t>Month</t>
        </is>
      </c>
      <c r="D333" t="inlineStr">
        <is>
          <t>Percent</t>
        </is>
      </c>
      <c r="E333" t="inlineStr">
        <is>
          <t>Original</t>
        </is>
      </c>
      <c r="F333" t="inlineStr">
        <is>
          <t>640103.xlsx</t>
        </is>
      </c>
      <c r="G333" t="inlineStr">
        <is>
          <t>2017-10</t>
        </is>
      </c>
      <c r="H333" t="inlineStr">
        <is>
          <t>2026-07</t>
        </is>
      </c>
      <c r="JX333" s="2">
        <v>0.6</v>
      </c>
      <c r="JY333" s="2">
        <v>0.5</v>
      </c>
      <c r="JZ333" s="2">
        <v>-0.4</v>
      </c>
      <c r="KE333" s="2">
        <v>1.5</v>
      </c>
      <c r="KF333" s="2">
        <v>-1.7</v>
      </c>
      <c r="KG333" s="2">
        <v>0.3</v>
      </c>
      <c r="KH333" s="2">
        <v>-0.1</v>
      </c>
      <c r="KI333" s="2">
        <v>-1.1</v>
      </c>
      <c r="KJ333" s="2">
        <v>-0.1</v>
      </c>
      <c r="KK333" s="2">
        <v>0.9</v>
      </c>
      <c r="KL333" s="2">
        <v>-1</v>
      </c>
      <c r="KM333" s="2">
        <v>0.3</v>
      </c>
      <c r="KN333" s="2">
        <v>1.3</v>
      </c>
      <c r="KO333" s="2">
        <v>-0.4</v>
      </c>
      <c r="KP333" s="2">
        <v>-0.1</v>
      </c>
      <c r="KU333" s="2">
        <v>1.3</v>
      </c>
      <c r="KV333" s="2">
        <v>0.1</v>
      </c>
      <c r="KW333" s="2">
        <v>-0.3</v>
      </c>
      <c r="KX333" s="2">
        <v>-0.1</v>
      </c>
      <c r="KY333" s="2">
        <v>-0.9</v>
      </c>
      <c r="KZ333" s="2">
        <v>2.2</v>
      </c>
      <c r="LA333" s="2">
        <v>-0.7</v>
      </c>
      <c r="LB333" s="2">
        <v>2.4</v>
      </c>
      <c r="LC333" s="2">
        <v>0.4</v>
      </c>
      <c r="LD333" s="2">
        <v>0.2</v>
      </c>
      <c r="LE333" s="2">
        <v>0.6</v>
      </c>
      <c r="LF333" s="2">
        <v>0.4</v>
      </c>
      <c r="LK333" s="2">
        <v>0.4</v>
      </c>
      <c r="LL333" s="2">
        <v>-0.9</v>
      </c>
      <c r="LM333" s="2">
        <v>2.8</v>
      </c>
      <c r="LN333" s="2">
        <v>1.1</v>
      </c>
      <c r="LO333" s="2">
        <v>-2.6</v>
      </c>
      <c r="LP333" s="2">
        <v>-0.4</v>
      </c>
      <c r="LQ333" s="2">
        <v>-1.8</v>
      </c>
      <c r="LR333" s="2">
        <v>1.5</v>
      </c>
      <c r="LS333" s="2">
        <v>-0.3</v>
      </c>
      <c r="LT333" s="2">
        <v>0.6</v>
      </c>
      <c r="LU333" s="2">
        <v>0</v>
      </c>
      <c r="LV333" s="2">
        <v>-1</v>
      </c>
      <c r="MA333" s="2">
        <v>2.2</v>
      </c>
      <c r="MB333" s="2">
        <v>0.2</v>
      </c>
      <c r="MC333" s="2">
        <v>-0.8</v>
      </c>
      <c r="MD333" s="2">
        <v>-0.1</v>
      </c>
      <c r="ME333" s="2">
        <v>0.6</v>
      </c>
      <c r="MF333" s="2">
        <v>-0.8</v>
      </c>
      <c r="MG333" s="2">
        <v>-0.4</v>
      </c>
      <c r="MH333" s="2">
        <v>0.9</v>
      </c>
      <c r="MI333" s="2">
        <v>-1.1</v>
      </c>
      <c r="MJ333" s="2">
        <v>1.1</v>
      </c>
      <c r="MK333" s="2">
        <v>1</v>
      </c>
      <c r="ML333" s="2">
        <v>0.5</v>
      </c>
      <c r="MQ333" s="2">
        <v>1.1</v>
      </c>
      <c r="MR333" s="2">
        <v>-0.4</v>
      </c>
      <c r="MS333" s="2">
        <v>0</v>
      </c>
      <c r="MT333" s="2">
        <v>0.8</v>
      </c>
      <c r="MU333" s="2">
        <v>0.4</v>
      </c>
      <c r="MV333" s="2">
        <v>1.6</v>
      </c>
      <c r="MW333" s="2">
        <v>0.9</v>
      </c>
      <c r="MX333" s="2">
        <v>1.8</v>
      </c>
      <c r="MY333" s="2">
        <v>0.9</v>
      </c>
      <c r="MZ333" s="2">
        <v>1.9</v>
      </c>
      <c r="NA333" s="2">
        <v>0.3</v>
      </c>
      <c r="NB333" s="2">
        <v>1.6</v>
      </c>
      <c r="NG333" s="2">
        <v>0.1</v>
      </c>
      <c r="NH333" s="2">
        <v>0.2</v>
      </c>
      <c r="NI333" s="2">
        <v>-0.3</v>
      </c>
      <c r="NJ333" s="2">
        <v>1.9</v>
      </c>
      <c r="NK333" s="2">
        <v>0.3</v>
      </c>
      <c r="NL333" s="2">
        <v>-1</v>
      </c>
      <c r="NM333" s="2">
        <v>0.1</v>
      </c>
      <c r="NN333" s="2">
        <v>3.6</v>
      </c>
      <c r="NO333" s="2">
        <v>0.4</v>
      </c>
      <c r="NP333" s="2">
        <v>0.7</v>
      </c>
      <c r="NQ333" s="2">
        <v>0.3</v>
      </c>
      <c r="NR333" s="2">
        <v>1</v>
      </c>
      <c r="NW333" s="2">
        <v>0.4</v>
      </c>
      <c r="NX333" s="2">
        <v>-0.8</v>
      </c>
      <c r="NY333" s="2">
        <v>1.2</v>
      </c>
      <c r="NZ333" s="2">
        <v>-1.1</v>
      </c>
      <c r="OA333" s="2">
        <v>0.3</v>
      </c>
      <c r="OB333" s="2">
        <v>-0.7</v>
      </c>
      <c r="OC333" s="2">
        <v>1.7</v>
      </c>
      <c r="OD333" s="2">
        <v>-0.2</v>
      </c>
      <c r="OE333" s="2">
        <v>-0.2</v>
      </c>
      <c r="OF333" s="2">
        <v>2.6</v>
      </c>
      <c r="OG333" s="2">
        <v>-0.2</v>
      </c>
      <c r="OH333" s="2">
        <v>-0.5</v>
      </c>
      <c r="OM333" s="2">
        <v>2</v>
      </c>
      <c r="ON333" s="2">
        <v>-2.1</v>
      </c>
      <c r="OO333" s="2">
        <v>1.2</v>
      </c>
      <c r="OP333" s="2">
        <v>0</v>
      </c>
      <c r="OQ333" s="2">
        <v>-0.9</v>
      </c>
      <c r="OR333" s="2">
        <v>0.2</v>
      </c>
      <c r="OS333" s="2">
        <v>1.5</v>
      </c>
      <c r="OT333" s="2">
        <v>-0.1</v>
      </c>
      <c r="OU333" s="2">
        <v>-0.7</v>
      </c>
      <c r="OV333" s="2">
        <v>0.1</v>
      </c>
      <c r="OW333" s="2">
        <v>0.7</v>
      </c>
      <c r="OX333" s="2">
        <v>0.3</v>
      </c>
      <c r="PC333" s="2">
        <v>1.4</v>
      </c>
      <c r="PD333" s="2">
        <v>-2.6</v>
      </c>
      <c r="PE333" s="2">
        <v>0.5</v>
      </c>
      <c r="PF333" s="2">
        <v>-0.4</v>
      </c>
      <c r="PG333" s="2">
        <v>0.3</v>
      </c>
      <c r="PH333" s="2">
        <v>0.8</v>
      </c>
      <c r="PI333" s="2">
        <v>0</v>
      </c>
    </row>
    <row r="334">
      <c r="A334" t="inlineStr">
        <is>
          <t>A130393225V</t>
        </is>
      </c>
      <c r="B334" t="inlineStr">
        <is>
          <t>Percentage Change from Previous Period ;  Breakfast cereals ;  Australia ;</t>
        </is>
      </c>
      <c r="C334" t="inlineStr">
        <is>
          <t>Month</t>
        </is>
      </c>
      <c r="D334" t="inlineStr">
        <is>
          <t>Percent</t>
        </is>
      </c>
      <c r="E334" t="inlineStr">
        <is>
          <t>Original</t>
        </is>
      </c>
      <c r="F334" t="inlineStr">
        <is>
          <t>640103.xlsx</t>
        </is>
      </c>
      <c r="G334" t="inlineStr">
        <is>
          <t>2017-10</t>
        </is>
      </c>
      <c r="H334" t="inlineStr">
        <is>
          <t>2026-07</t>
        </is>
      </c>
      <c r="JX334" s="2">
        <v>-1.4</v>
      </c>
      <c r="JY334" s="2">
        <v>2.4</v>
      </c>
      <c r="JZ334" s="2">
        <v>3.9</v>
      </c>
      <c r="KE334" s="2">
        <v>-3.9</v>
      </c>
      <c r="KF334" s="2">
        <v>-0.2</v>
      </c>
      <c r="KG334" s="2">
        <v>-2</v>
      </c>
      <c r="KH334" s="2">
        <v>-0.1</v>
      </c>
      <c r="KI334" s="2">
        <v>1.2</v>
      </c>
      <c r="KJ334" s="2">
        <v>0.2</v>
      </c>
      <c r="KK334" s="2">
        <v>-1.6</v>
      </c>
      <c r="KL334" s="2">
        <v>1.8</v>
      </c>
      <c r="KM334" s="2">
        <v>1.1</v>
      </c>
      <c r="KN334" s="2">
        <v>0.9</v>
      </c>
      <c r="KO334" s="2">
        <v>1.3</v>
      </c>
      <c r="KP334" s="2">
        <v>2.3</v>
      </c>
      <c r="KU334" s="2">
        <v>-1.8</v>
      </c>
      <c r="KV334" s="2">
        <v>0.3</v>
      </c>
      <c r="KW334" s="2">
        <v>1.9</v>
      </c>
      <c r="KX334" s="2">
        <v>0.4</v>
      </c>
      <c r="KY334" s="2">
        <v>-3.4</v>
      </c>
      <c r="KZ334" s="2">
        <v>0</v>
      </c>
      <c r="LA334" s="2">
        <v>3.8</v>
      </c>
      <c r="LB334" s="2">
        <v>2</v>
      </c>
      <c r="LC334" s="2">
        <v>-1.6</v>
      </c>
      <c r="LD334" s="2">
        <v>-0.8</v>
      </c>
      <c r="LE334" s="2">
        <v>2.3</v>
      </c>
      <c r="LF334" s="2">
        <v>2.5</v>
      </c>
      <c r="LK334" s="2">
        <v>-0.9</v>
      </c>
      <c r="LL334" s="2">
        <v>0.4</v>
      </c>
      <c r="LM334" s="2">
        <v>5.7</v>
      </c>
      <c r="LN334" s="2">
        <v>2.9</v>
      </c>
      <c r="LO334" s="2">
        <v>-3.3</v>
      </c>
      <c r="LP334" s="2">
        <v>-6</v>
      </c>
      <c r="LQ334" s="2">
        <v>-1.1</v>
      </c>
      <c r="LR334" s="2">
        <v>2.8</v>
      </c>
      <c r="LS334" s="2">
        <v>-0.8</v>
      </c>
      <c r="LT334" s="2">
        <v>-0.9</v>
      </c>
      <c r="LU334" s="2">
        <v>4.2</v>
      </c>
      <c r="LV334" s="2">
        <v>-0.3</v>
      </c>
      <c r="MA334" s="2">
        <v>-0.9</v>
      </c>
      <c r="MB334" s="2">
        <v>-3.1</v>
      </c>
      <c r="MC334" s="2">
        <v>1</v>
      </c>
      <c r="MD334" s="2">
        <v>-0.3</v>
      </c>
      <c r="ME334" s="2">
        <v>0.7</v>
      </c>
      <c r="MF334" s="2">
        <v>0.2</v>
      </c>
      <c r="MG334" s="2">
        <v>-0.6</v>
      </c>
      <c r="MH334" s="2">
        <v>0.4</v>
      </c>
      <c r="MI334" s="2">
        <v>1.6</v>
      </c>
      <c r="MJ334" s="2">
        <v>-3.2</v>
      </c>
      <c r="MK334" s="2">
        <v>2.3</v>
      </c>
      <c r="ML334" s="2">
        <v>2.1</v>
      </c>
      <c r="MQ334" s="2">
        <v>0.1</v>
      </c>
      <c r="MR334" s="2">
        <v>-4.7</v>
      </c>
      <c r="MS334" s="2">
        <v>10.3</v>
      </c>
      <c r="MT334" s="2">
        <v>0.9</v>
      </c>
      <c r="MU334" s="2">
        <v>-2.2</v>
      </c>
      <c r="MV334" s="2">
        <v>2.5</v>
      </c>
      <c r="MW334" s="2">
        <v>0.9</v>
      </c>
      <c r="MX334" s="2">
        <v>3.5</v>
      </c>
      <c r="MY334" s="2">
        <v>0.6</v>
      </c>
      <c r="MZ334" s="2">
        <v>-3</v>
      </c>
      <c r="NA334" s="2">
        <v>4.7</v>
      </c>
      <c r="NB334" s="2">
        <v>4.1</v>
      </c>
      <c r="NG334" s="2">
        <v>-2.5</v>
      </c>
      <c r="NH334" s="2">
        <v>-5</v>
      </c>
      <c r="NI334" s="2">
        <v>4.6</v>
      </c>
      <c r="NJ334" s="2">
        <v>-2.7</v>
      </c>
      <c r="NK334" s="2">
        <v>3.8</v>
      </c>
      <c r="NL334" s="2">
        <v>-0.4</v>
      </c>
      <c r="NM334" s="2">
        <v>-0.8</v>
      </c>
      <c r="NN334" s="2">
        <v>1.6</v>
      </c>
      <c r="NO334" s="2">
        <v>2.3</v>
      </c>
      <c r="NP334" s="2">
        <v>-0.1</v>
      </c>
      <c r="NQ334" s="2">
        <v>3.9</v>
      </c>
      <c r="NR334" s="2">
        <v>3</v>
      </c>
      <c r="NW334" s="2">
        <v>-3.6</v>
      </c>
      <c r="NX334" s="2">
        <v>-3.3</v>
      </c>
      <c r="NY334" s="2">
        <v>1.1</v>
      </c>
      <c r="NZ334" s="2">
        <v>0</v>
      </c>
      <c r="OA334" s="2">
        <v>-0.5</v>
      </c>
      <c r="OB334" s="2">
        <v>-1.4</v>
      </c>
      <c r="OC334" s="2">
        <v>0</v>
      </c>
      <c r="OD334" s="2">
        <v>3.7</v>
      </c>
      <c r="OE334" s="2">
        <v>0.3</v>
      </c>
      <c r="OF334" s="2">
        <v>-3.4</v>
      </c>
      <c r="OG334" s="2">
        <v>2.2</v>
      </c>
      <c r="OH334" s="2">
        <v>4.1</v>
      </c>
      <c r="OM334" s="2">
        <v>-1.6</v>
      </c>
      <c r="ON334" s="2">
        <v>-2.2</v>
      </c>
      <c r="OO334" s="2">
        <v>1</v>
      </c>
      <c r="OP334" s="2">
        <v>-1.4</v>
      </c>
      <c r="OQ334" s="2">
        <v>-0.7</v>
      </c>
      <c r="OR334" s="2">
        <v>0.2</v>
      </c>
      <c r="OS334" s="2">
        <v>-0.1</v>
      </c>
      <c r="OT334" s="2">
        <v>0.5</v>
      </c>
      <c r="OU334" s="2">
        <v>0.5</v>
      </c>
      <c r="OV334" s="2">
        <v>0.5</v>
      </c>
      <c r="OW334" s="2">
        <v>3.4</v>
      </c>
      <c r="OX334" s="2">
        <v>6.9</v>
      </c>
      <c r="PC334" s="2">
        <v>-5.6</v>
      </c>
      <c r="PD334" s="2">
        <v>-0.3</v>
      </c>
      <c r="PE334" s="2">
        <v>1.7</v>
      </c>
      <c r="PF334" s="2">
        <v>-2.7</v>
      </c>
      <c r="PG334" s="2">
        <v>-0.9</v>
      </c>
      <c r="PH334" s="2">
        <v>1.4</v>
      </c>
      <c r="PI334" s="2">
        <v>-1.4</v>
      </c>
    </row>
    <row r="335">
      <c r="A335" t="inlineStr">
        <is>
          <t>A130398063F</t>
        </is>
      </c>
      <c r="B335" t="inlineStr">
        <is>
          <t>Percentage Change from Previous Period ;  Other cereal products ;  Australia ;</t>
        </is>
      </c>
      <c r="C335" t="inlineStr">
        <is>
          <t>Month</t>
        </is>
      </c>
      <c r="D335" t="inlineStr">
        <is>
          <t>Percent</t>
        </is>
      </c>
      <c r="E335" t="inlineStr">
        <is>
          <t>Original</t>
        </is>
      </c>
      <c r="F335" t="inlineStr">
        <is>
          <t>640103.xlsx</t>
        </is>
      </c>
      <c r="G335" t="inlineStr">
        <is>
          <t>2017-10</t>
        </is>
      </c>
      <c r="H335" t="inlineStr">
        <is>
          <t>2026-07</t>
        </is>
      </c>
      <c r="JX335" s="2">
        <v>1.1</v>
      </c>
      <c r="JY335" s="2">
        <v>-0.3</v>
      </c>
      <c r="JZ335" s="2">
        <v>3</v>
      </c>
      <c r="KE335" s="2">
        <v>-2.5</v>
      </c>
      <c r="KF335" s="2">
        <v>-2.5</v>
      </c>
      <c r="KG335" s="2">
        <v>3.2</v>
      </c>
      <c r="KH335" s="2">
        <v>-0.1</v>
      </c>
      <c r="KI335" s="2">
        <v>-0.5</v>
      </c>
      <c r="KJ335" s="2">
        <v>-1.4</v>
      </c>
      <c r="KK335" s="2">
        <v>-0.8</v>
      </c>
      <c r="KL335" s="2">
        <v>0.9</v>
      </c>
      <c r="KM335" s="2">
        <v>-0.3</v>
      </c>
      <c r="KN335" s="2">
        <v>-0.7</v>
      </c>
      <c r="KO335" s="2">
        <v>-0.5</v>
      </c>
      <c r="KP335" s="2">
        <v>4</v>
      </c>
      <c r="KU335" s="2">
        <v>-1.3</v>
      </c>
      <c r="KV335" s="2">
        <v>0.9</v>
      </c>
      <c r="KW335" s="2">
        <v>0.5</v>
      </c>
      <c r="KX335" s="2">
        <v>1.2</v>
      </c>
      <c r="KY335" s="2">
        <v>-1.1</v>
      </c>
      <c r="KZ335" s="2">
        <v>-0.9</v>
      </c>
      <c r="LA335" s="2">
        <v>0.2</v>
      </c>
      <c r="LB335" s="2">
        <v>0.5</v>
      </c>
      <c r="LC335" s="2">
        <v>0</v>
      </c>
      <c r="LD335" s="2">
        <v>0.9</v>
      </c>
      <c r="LE335" s="2">
        <v>-1.3</v>
      </c>
      <c r="LF335" s="2">
        <v>3.8</v>
      </c>
      <c r="LK335" s="2">
        <v>-1.5</v>
      </c>
      <c r="LL335" s="2">
        <v>1.3</v>
      </c>
      <c r="LM335" s="2">
        <v>7</v>
      </c>
      <c r="LN335" s="2">
        <v>3.3</v>
      </c>
      <c r="LO335" s="2">
        <v>-1.2</v>
      </c>
      <c r="LP335" s="2">
        <v>-2.3</v>
      </c>
      <c r="LQ335" s="2">
        <v>-1.5</v>
      </c>
      <c r="LR335" s="2">
        <v>-0.7</v>
      </c>
      <c r="LS335" s="2">
        <v>-0.9</v>
      </c>
      <c r="LT335" s="2">
        <v>0.5</v>
      </c>
      <c r="LU335" s="2">
        <v>-0.2</v>
      </c>
      <c r="LV335" s="2">
        <v>1.1</v>
      </c>
      <c r="MA335" s="2">
        <v>-2.2</v>
      </c>
      <c r="MB335" s="2">
        <v>-1.7</v>
      </c>
      <c r="MC335" s="2">
        <v>0.9</v>
      </c>
      <c r="MD335" s="2">
        <v>1</v>
      </c>
      <c r="ME335" s="2">
        <v>-0.8</v>
      </c>
      <c r="MF335" s="2">
        <v>-0.4</v>
      </c>
      <c r="MG335" s="2">
        <v>0.3</v>
      </c>
      <c r="MH335" s="2">
        <v>1.5</v>
      </c>
      <c r="MI335" s="2">
        <v>0</v>
      </c>
      <c r="MJ335" s="2">
        <v>1.2</v>
      </c>
      <c r="MK335" s="2">
        <v>0</v>
      </c>
      <c r="ML335" s="2">
        <v>1.5</v>
      </c>
      <c r="MQ335" s="2">
        <v>0.5</v>
      </c>
      <c r="MR335" s="2">
        <v>1.6</v>
      </c>
      <c r="MS335" s="2">
        <v>1.1</v>
      </c>
      <c r="MT335" s="2">
        <v>0.6</v>
      </c>
      <c r="MU335" s="2">
        <v>1.6</v>
      </c>
      <c r="MV335" s="2">
        <v>0.3</v>
      </c>
      <c r="MW335" s="2">
        <v>3.1</v>
      </c>
      <c r="MX335" s="2">
        <v>1.3</v>
      </c>
      <c r="MY335" s="2">
        <v>-1.2</v>
      </c>
      <c r="MZ335" s="2">
        <v>0.8</v>
      </c>
      <c r="NA335" s="2">
        <v>1.8</v>
      </c>
      <c r="NB335" s="2">
        <v>1.6</v>
      </c>
      <c r="NG335" s="2">
        <v>-0.9</v>
      </c>
      <c r="NH335" s="2">
        <v>1.1</v>
      </c>
      <c r="NI335" s="2">
        <v>1.2</v>
      </c>
      <c r="NJ335" s="2">
        <v>0.2</v>
      </c>
      <c r="NK335" s="2">
        <v>-0.3</v>
      </c>
      <c r="NL335" s="2">
        <v>-0.5</v>
      </c>
      <c r="NM335" s="2">
        <v>0.3</v>
      </c>
      <c r="NN335" s="2">
        <v>0.6</v>
      </c>
      <c r="NO335" s="2">
        <v>0.7</v>
      </c>
      <c r="NP335" s="2">
        <v>-0.7</v>
      </c>
      <c r="NQ335" s="2">
        <v>0.6</v>
      </c>
      <c r="NR335" s="2">
        <v>2.6</v>
      </c>
      <c r="NW335" s="2">
        <v>-0.8</v>
      </c>
      <c r="NX335" s="2">
        <v>-1.4</v>
      </c>
      <c r="NY335" s="2">
        <v>1.1</v>
      </c>
      <c r="NZ335" s="2">
        <v>-0.9</v>
      </c>
      <c r="OA335" s="2">
        <v>0.6</v>
      </c>
      <c r="OB335" s="2">
        <v>-0.6</v>
      </c>
      <c r="OC335" s="2">
        <v>0.9</v>
      </c>
      <c r="OD335" s="2">
        <v>-0.7</v>
      </c>
      <c r="OE335" s="2">
        <v>0.5</v>
      </c>
      <c r="OF335" s="2">
        <v>-0.2</v>
      </c>
      <c r="OG335" s="2">
        <v>-0.2</v>
      </c>
      <c r="OH335" s="2">
        <v>2.1</v>
      </c>
      <c r="OM335" s="2">
        <v>-0.8</v>
      </c>
      <c r="ON335" s="2">
        <v>-1</v>
      </c>
      <c r="OO335" s="2">
        <v>1</v>
      </c>
      <c r="OP335" s="2">
        <v>-1.5</v>
      </c>
      <c r="OQ335" s="2">
        <v>0.2</v>
      </c>
      <c r="OR335" s="2">
        <v>-1</v>
      </c>
      <c r="OS335" s="2">
        <v>0.3</v>
      </c>
      <c r="OT335" s="2">
        <v>0.6</v>
      </c>
      <c r="OU335" s="2">
        <v>0.4</v>
      </c>
      <c r="OV335" s="2">
        <v>-1.5</v>
      </c>
      <c r="OW335" s="2">
        <v>1.4</v>
      </c>
      <c r="OX335" s="2">
        <v>1.2</v>
      </c>
      <c r="PC335" s="2">
        <v>-1.3</v>
      </c>
      <c r="PD335" s="2">
        <v>-0.3</v>
      </c>
      <c r="PE335" s="2">
        <v>-1.2</v>
      </c>
      <c r="PF335" s="2">
        <v>1.1</v>
      </c>
      <c r="PG335" s="2">
        <v>-0.3</v>
      </c>
      <c r="PH335" s="2">
        <v>1.2</v>
      </c>
      <c r="PI335" s="2">
        <v>-1.8</v>
      </c>
    </row>
    <row r="336">
      <c r="A336" t="inlineStr">
        <is>
          <t>A130394366T</t>
        </is>
      </c>
      <c r="B336" t="inlineStr">
        <is>
          <t>Percentage Change from Previous Period ;  Meat and seafoods ;  Australia ;</t>
        </is>
      </c>
      <c r="C336" t="inlineStr">
        <is>
          <t>Month</t>
        </is>
      </c>
      <c r="D336" t="inlineStr">
        <is>
          <t>Percent</t>
        </is>
      </c>
      <c r="E336" t="inlineStr">
        <is>
          <t>Original</t>
        </is>
      </c>
      <c r="F336" t="inlineStr">
        <is>
          <t>640103.xlsx</t>
        </is>
      </c>
      <c r="G336" t="inlineStr">
        <is>
          <t>2017-10</t>
        </is>
      </c>
      <c r="H336" t="inlineStr">
        <is>
          <t>2026-07</t>
        </is>
      </c>
      <c r="JX336" s="2">
        <v>0.5</v>
      </c>
      <c r="JY336" s="2">
        <v>0.4</v>
      </c>
      <c r="JZ336" s="2">
        <v>-0.6</v>
      </c>
      <c r="KE336" s="2">
        <v>0.7</v>
      </c>
      <c r="KF336" s="2">
        <v>-0.5</v>
      </c>
      <c r="KG336" s="2">
        <v>0.1</v>
      </c>
      <c r="KH336" s="2">
        <v>0.3</v>
      </c>
      <c r="KI336" s="2">
        <v>-0.2</v>
      </c>
      <c r="KJ336" s="2">
        <v>0</v>
      </c>
      <c r="KK336" s="2">
        <v>-0.1</v>
      </c>
      <c r="KL336" s="2">
        <v>0.7</v>
      </c>
      <c r="KM336" s="2">
        <v>0.3</v>
      </c>
      <c r="KN336" s="2">
        <v>0.6</v>
      </c>
      <c r="KO336" s="2">
        <v>0.5</v>
      </c>
      <c r="KP336" s="2">
        <v>0.3</v>
      </c>
      <c r="KU336" s="2">
        <v>1.2</v>
      </c>
      <c r="KV336" s="2">
        <v>0.6</v>
      </c>
      <c r="KW336" s="2">
        <v>-0.4</v>
      </c>
      <c r="KX336" s="2">
        <v>-0.5</v>
      </c>
      <c r="KY336" s="2">
        <v>1.1</v>
      </c>
      <c r="KZ336" s="2">
        <v>0.2</v>
      </c>
      <c r="LA336" s="2">
        <v>0.2</v>
      </c>
      <c r="LB336" s="2">
        <v>1</v>
      </c>
      <c r="LC336" s="2">
        <v>0.8</v>
      </c>
      <c r="LD336" s="2">
        <v>0.7</v>
      </c>
      <c r="LE336" s="2">
        <v>-0.2</v>
      </c>
      <c r="LF336" s="2">
        <v>0.9</v>
      </c>
      <c r="LK336" s="2">
        <v>0.5</v>
      </c>
      <c r="LL336" s="2">
        <v>-0.1</v>
      </c>
      <c r="LM336" s="2">
        <v>2.8</v>
      </c>
      <c r="LN336" s="2">
        <v>-1.2</v>
      </c>
      <c r="LO336" s="2">
        <v>0.6</v>
      </c>
      <c r="LP336" s="2">
        <v>0.2</v>
      </c>
      <c r="LQ336" s="2">
        <v>0.5</v>
      </c>
      <c r="LR336" s="2">
        <v>0.6</v>
      </c>
      <c r="LS336" s="2">
        <v>-0.5</v>
      </c>
      <c r="LT336" s="2">
        <v>-0.3</v>
      </c>
      <c r="LU336" s="2">
        <v>0.5</v>
      </c>
      <c r="LV336" s="2">
        <v>1</v>
      </c>
      <c r="MA336" s="2">
        <v>0.2</v>
      </c>
      <c r="MB336" s="2">
        <v>0.1</v>
      </c>
      <c r="MC336" s="2">
        <v>0.1</v>
      </c>
      <c r="MD336" s="2">
        <v>0.4</v>
      </c>
      <c r="ME336" s="2">
        <v>0.3</v>
      </c>
      <c r="MF336" s="2">
        <v>-0.1</v>
      </c>
      <c r="MG336" s="2">
        <v>0.2</v>
      </c>
      <c r="MH336" s="2">
        <v>0.3</v>
      </c>
      <c r="MI336" s="2">
        <v>-0.1</v>
      </c>
      <c r="MJ336" s="2">
        <v>-0.2</v>
      </c>
      <c r="MK336" s="2">
        <v>0.4</v>
      </c>
      <c r="ML336" s="2">
        <v>0.4</v>
      </c>
      <c r="MQ336" s="2">
        <v>3.2</v>
      </c>
      <c r="MR336" s="2">
        <v>2.1</v>
      </c>
      <c r="MS336" s="2">
        <v>-1.2</v>
      </c>
      <c r="MT336" s="2">
        <v>0.1</v>
      </c>
      <c r="MU336" s="2">
        <v>1</v>
      </c>
      <c r="MV336" s="2">
        <v>0.1</v>
      </c>
      <c r="MW336" s="2">
        <v>0.9</v>
      </c>
      <c r="MX336" s="2">
        <v>0.4</v>
      </c>
      <c r="MY336" s="2">
        <v>0.2</v>
      </c>
      <c r="MZ336" s="2">
        <v>0</v>
      </c>
      <c r="NA336" s="2">
        <v>0.6</v>
      </c>
      <c r="NB336" s="2">
        <v>0.7</v>
      </c>
      <c r="NG336" s="2">
        <v>0.1</v>
      </c>
      <c r="NH336" s="2">
        <v>0.3</v>
      </c>
      <c r="NI336" s="2">
        <v>-0.2</v>
      </c>
      <c r="NJ336" s="2">
        <v>0.3</v>
      </c>
      <c r="NK336" s="2">
        <v>0.4</v>
      </c>
      <c r="NL336" s="2">
        <v>-1</v>
      </c>
      <c r="NM336" s="2">
        <v>0.6</v>
      </c>
      <c r="NN336" s="2">
        <v>0.6</v>
      </c>
      <c r="NO336" s="2">
        <v>-0.6</v>
      </c>
      <c r="NP336" s="2">
        <v>0.1</v>
      </c>
      <c r="NQ336" s="2">
        <v>-0.9</v>
      </c>
      <c r="NR336" s="2">
        <v>-1.5</v>
      </c>
      <c r="NW336" s="2">
        <v>0</v>
      </c>
      <c r="NX336" s="2">
        <v>0.3</v>
      </c>
      <c r="NY336" s="2">
        <v>0.9</v>
      </c>
      <c r="NZ336" s="2">
        <v>0.6</v>
      </c>
      <c r="OA336" s="2">
        <v>0.3</v>
      </c>
      <c r="OB336" s="2">
        <v>-0.6</v>
      </c>
      <c r="OC336" s="2">
        <v>1</v>
      </c>
      <c r="OD336" s="2">
        <v>0.6</v>
      </c>
      <c r="OE336" s="2">
        <v>0</v>
      </c>
      <c r="OF336" s="2">
        <v>0.5</v>
      </c>
      <c r="OG336" s="2">
        <v>0.2</v>
      </c>
      <c r="OH336" s="2">
        <v>0.1</v>
      </c>
      <c r="OM336" s="2">
        <v>0.7</v>
      </c>
      <c r="ON336" s="2">
        <v>0</v>
      </c>
      <c r="OO336" s="2">
        <v>0.3</v>
      </c>
      <c r="OP336" s="2">
        <v>-0.6</v>
      </c>
      <c r="OQ336" s="2">
        <v>0.8</v>
      </c>
      <c r="OR336" s="2">
        <v>-0.3</v>
      </c>
      <c r="OS336" s="2">
        <v>0</v>
      </c>
      <c r="OT336" s="2">
        <v>1.1</v>
      </c>
      <c r="OU336" s="2">
        <v>0.4</v>
      </c>
      <c r="OV336" s="2">
        <v>1</v>
      </c>
      <c r="OW336" s="2">
        <v>0.3</v>
      </c>
      <c r="OX336" s="2">
        <v>0.6</v>
      </c>
      <c r="PC336" s="2">
        <v>0.2</v>
      </c>
      <c r="PD336" s="2">
        <v>0.5</v>
      </c>
      <c r="PE336" s="2">
        <v>0.5</v>
      </c>
      <c r="PF336" s="2">
        <v>-0.3</v>
      </c>
      <c r="PG336" s="2">
        <v>1.1</v>
      </c>
      <c r="PH336" s="2">
        <v>-0.3</v>
      </c>
      <c r="PI336" s="2">
        <v>0.2</v>
      </c>
    </row>
    <row r="337">
      <c r="A337" t="inlineStr">
        <is>
          <t>A130393246F</t>
        </is>
      </c>
      <c r="B337" t="inlineStr">
        <is>
          <t>Percentage Change from Previous Period ;  Beef and veal ;  Australia ;</t>
        </is>
      </c>
      <c r="C337" t="inlineStr">
        <is>
          <t>Month</t>
        </is>
      </c>
      <c r="D337" t="inlineStr">
        <is>
          <t>Percent</t>
        </is>
      </c>
      <c r="E337" t="inlineStr">
        <is>
          <t>Original</t>
        </is>
      </c>
      <c r="F337" t="inlineStr">
        <is>
          <t>640103.xlsx</t>
        </is>
      </c>
      <c r="G337" t="inlineStr">
        <is>
          <t>2017-10</t>
        </is>
      </c>
      <c r="H337" t="inlineStr">
        <is>
          <t>2026-07</t>
        </is>
      </c>
      <c r="JX337" s="2">
        <v>0.5</v>
      </c>
      <c r="JY337" s="2">
        <v>-0.3</v>
      </c>
      <c r="JZ337" s="2">
        <v>-0.5</v>
      </c>
      <c r="KE337" s="2">
        <v>1.2</v>
      </c>
      <c r="KF337" s="2">
        <v>0.1</v>
      </c>
      <c r="KG337" s="2">
        <v>-0.2</v>
      </c>
      <c r="KH337" s="2">
        <v>-0.5</v>
      </c>
      <c r="KI337" s="2">
        <v>-1.3</v>
      </c>
      <c r="KJ337" s="2">
        <v>-0.1</v>
      </c>
      <c r="KK337" s="2">
        <v>-0.5</v>
      </c>
      <c r="KL337" s="2">
        <v>2.3</v>
      </c>
      <c r="KM337" s="2">
        <v>0.4</v>
      </c>
      <c r="KN337" s="2">
        <v>0.3</v>
      </c>
      <c r="KO337" s="2">
        <v>0.7</v>
      </c>
      <c r="KP337" s="2">
        <v>0.4</v>
      </c>
      <c r="KU337" s="2">
        <v>1.1</v>
      </c>
      <c r="KV337" s="2">
        <v>1.7</v>
      </c>
      <c r="KW337" s="2">
        <v>0.5</v>
      </c>
      <c r="KX337" s="2">
        <v>-1</v>
      </c>
      <c r="KY337" s="2">
        <v>0.9</v>
      </c>
      <c r="KZ337" s="2">
        <v>0.1</v>
      </c>
      <c r="LA337" s="2">
        <v>0</v>
      </c>
      <c r="LB337" s="2">
        <v>0.7</v>
      </c>
      <c r="LC337" s="2">
        <v>2.4</v>
      </c>
      <c r="LD337" s="2">
        <v>1</v>
      </c>
      <c r="LE337" s="2">
        <v>-0.3</v>
      </c>
      <c r="LF337" s="2">
        <v>1.7</v>
      </c>
      <c r="LK337" s="2">
        <v>1</v>
      </c>
      <c r="LL337" s="2">
        <v>0.1</v>
      </c>
      <c r="LM337" s="2">
        <v>2.1</v>
      </c>
      <c r="LN337" s="2">
        <v>-4.6</v>
      </c>
      <c r="LO337" s="2">
        <v>4</v>
      </c>
      <c r="LP337" s="2">
        <v>1</v>
      </c>
      <c r="LQ337" s="2">
        <v>0.4</v>
      </c>
      <c r="LR337" s="2">
        <v>0.5</v>
      </c>
      <c r="LS337" s="2">
        <v>-0.3</v>
      </c>
      <c r="LT337" s="2">
        <v>1</v>
      </c>
      <c r="LU337" s="2">
        <v>1.4</v>
      </c>
      <c r="LV337" s="2">
        <v>2.5</v>
      </c>
      <c r="MA337" s="2">
        <v>0.4</v>
      </c>
      <c r="MB337" s="2">
        <v>1.1</v>
      </c>
      <c r="MC337" s="2">
        <v>0.9</v>
      </c>
      <c r="MD337" s="2">
        <v>2.3</v>
      </c>
      <c r="ME337" s="2">
        <v>1.3</v>
      </c>
      <c r="MF337" s="2">
        <v>-0.1</v>
      </c>
      <c r="MG337" s="2">
        <v>0.4</v>
      </c>
      <c r="MH337" s="2">
        <v>-0.3</v>
      </c>
      <c r="MI337" s="2">
        <v>-0.7</v>
      </c>
      <c r="MJ337" s="2">
        <v>0.1</v>
      </c>
      <c r="MK337" s="2">
        <v>0.2</v>
      </c>
      <c r="ML337" s="2">
        <v>1.7</v>
      </c>
      <c r="MQ337" s="2">
        <v>5</v>
      </c>
      <c r="MR337" s="2">
        <v>1.3</v>
      </c>
      <c r="MS337" s="2">
        <v>0.7</v>
      </c>
      <c r="MT337" s="2">
        <v>0.4</v>
      </c>
      <c r="MU337" s="2">
        <v>0.4</v>
      </c>
      <c r="MV337" s="2">
        <v>-0.6</v>
      </c>
      <c r="MW337" s="2">
        <v>0.6</v>
      </c>
      <c r="MX337" s="2">
        <v>0</v>
      </c>
      <c r="MY337" s="2">
        <v>0</v>
      </c>
      <c r="MZ337" s="2">
        <v>-0.2</v>
      </c>
      <c r="NA337" s="2">
        <v>-0.3</v>
      </c>
      <c r="NB337" s="2">
        <v>0.6</v>
      </c>
      <c r="NG337" s="2">
        <v>-0.2</v>
      </c>
      <c r="NH337" s="2">
        <v>-0.2</v>
      </c>
      <c r="NI337" s="2">
        <v>-0.4</v>
      </c>
      <c r="NJ337" s="2">
        <v>-0.3</v>
      </c>
      <c r="NK337" s="2">
        <v>-0.8</v>
      </c>
      <c r="NL337" s="2">
        <v>-1.3</v>
      </c>
      <c r="NM337" s="2">
        <v>0.1</v>
      </c>
      <c r="NN337" s="2">
        <v>0.5</v>
      </c>
      <c r="NO337" s="2">
        <v>-1.6</v>
      </c>
      <c r="NP337" s="2">
        <v>-0.2</v>
      </c>
      <c r="NQ337" s="2">
        <v>-0.4</v>
      </c>
      <c r="NR337" s="2">
        <v>-0.4</v>
      </c>
      <c r="NW337" s="2">
        <v>-0.2</v>
      </c>
      <c r="NX337" s="2">
        <v>-1.5</v>
      </c>
      <c r="NY337" s="2">
        <v>0.4</v>
      </c>
      <c r="NZ337" s="2">
        <v>0.6</v>
      </c>
      <c r="OA337" s="2">
        <v>0.7</v>
      </c>
      <c r="OB337" s="2">
        <v>-0.7</v>
      </c>
      <c r="OC337" s="2">
        <v>0.4</v>
      </c>
      <c r="OD337" s="2">
        <v>0.8</v>
      </c>
      <c r="OE337" s="2">
        <v>0.2</v>
      </c>
      <c r="OF337" s="2">
        <v>-0.1</v>
      </c>
      <c r="OG337" s="2">
        <v>0.5</v>
      </c>
      <c r="OH337" s="2">
        <v>0.2</v>
      </c>
      <c r="OM337" s="2">
        <v>1.2</v>
      </c>
      <c r="ON337" s="2">
        <v>-1</v>
      </c>
      <c r="OO337" s="2">
        <v>2.1</v>
      </c>
      <c r="OP337" s="2">
        <v>-0.3</v>
      </c>
      <c r="OQ337" s="2">
        <v>0.3</v>
      </c>
      <c r="OR337" s="2">
        <v>1.6</v>
      </c>
      <c r="OS337" s="2">
        <v>-0.5</v>
      </c>
      <c r="OT337" s="2">
        <v>1.7</v>
      </c>
      <c r="OU337" s="2">
        <v>1.5</v>
      </c>
      <c r="OV337" s="2">
        <v>2.9</v>
      </c>
      <c r="OW337" s="2">
        <v>1.3</v>
      </c>
      <c r="OX337" s="2">
        <v>-0.2</v>
      </c>
      <c r="PC337" s="2">
        <v>1.5</v>
      </c>
      <c r="PD337" s="2">
        <v>1</v>
      </c>
      <c r="PE337" s="2">
        <v>0.6</v>
      </c>
      <c r="PF337" s="2">
        <v>-0.2</v>
      </c>
      <c r="PG337" s="2">
        <v>1.4</v>
      </c>
      <c r="PH337" s="2">
        <v>0.4</v>
      </c>
      <c r="PI337" s="2">
        <v>0</v>
      </c>
    </row>
    <row r="338">
      <c r="A338" t="inlineStr">
        <is>
          <t>A130395339C</t>
        </is>
      </c>
      <c r="B338" t="inlineStr">
        <is>
          <t>Percentage Change from Previous Period ;  Pork ;  Australia ;</t>
        </is>
      </c>
      <c r="C338" t="inlineStr">
        <is>
          <t>Month</t>
        </is>
      </c>
      <c r="D338" t="inlineStr">
        <is>
          <t>Percent</t>
        </is>
      </c>
      <c r="E338" t="inlineStr">
        <is>
          <t>Original</t>
        </is>
      </c>
      <c r="F338" t="inlineStr">
        <is>
          <t>640103.xlsx</t>
        </is>
      </c>
      <c r="G338" t="inlineStr">
        <is>
          <t>2017-10</t>
        </is>
      </c>
      <c r="H338" t="inlineStr">
        <is>
          <t>2026-07</t>
        </is>
      </c>
      <c r="JX338" s="2">
        <v>0</v>
      </c>
      <c r="JY338" s="2">
        <v>-0.2</v>
      </c>
      <c r="JZ338" s="2">
        <v>0.3</v>
      </c>
      <c r="KE338" s="2">
        <v>0.1</v>
      </c>
      <c r="KF338" s="2">
        <v>0.3</v>
      </c>
      <c r="KG338" s="2">
        <v>0.8</v>
      </c>
      <c r="KH338" s="2">
        <v>-1.3</v>
      </c>
      <c r="KI338" s="2">
        <v>-0.4</v>
      </c>
      <c r="KJ338" s="2">
        <v>-1.3</v>
      </c>
      <c r="KK338" s="2">
        <v>0.3</v>
      </c>
      <c r="KL338" s="2">
        <v>0.3</v>
      </c>
      <c r="KM338" s="2">
        <v>0.2</v>
      </c>
      <c r="KN338" s="2">
        <v>-0.6</v>
      </c>
      <c r="KO338" s="2">
        <v>1</v>
      </c>
      <c r="KP338" s="2">
        <v>0.4</v>
      </c>
      <c r="KU338" s="2">
        <v>0.2</v>
      </c>
      <c r="KV338" s="2">
        <v>0.6</v>
      </c>
      <c r="KW338" s="2">
        <v>0</v>
      </c>
      <c r="KX338" s="2">
        <v>-0.4</v>
      </c>
      <c r="KY338" s="2">
        <v>0.4</v>
      </c>
      <c r="KZ338" s="2">
        <v>0.1</v>
      </c>
      <c r="LA338" s="2">
        <v>0.7</v>
      </c>
      <c r="LB338" s="2">
        <v>1.1</v>
      </c>
      <c r="LC338" s="2">
        <v>1.5</v>
      </c>
      <c r="LD338" s="2">
        <v>2.8</v>
      </c>
      <c r="LE338" s="2">
        <v>0.9</v>
      </c>
      <c r="LF338" s="2">
        <v>-0.3</v>
      </c>
      <c r="LK338" s="2">
        <v>0.3</v>
      </c>
      <c r="LL338" s="2">
        <v>0.4</v>
      </c>
      <c r="LM338" s="2">
        <v>2.6</v>
      </c>
      <c r="LN338" s="2">
        <v>0.4</v>
      </c>
      <c r="LO338" s="2">
        <v>-0.7</v>
      </c>
      <c r="LP338" s="2">
        <v>-0.7</v>
      </c>
      <c r="LQ338" s="2">
        <v>0.7</v>
      </c>
      <c r="LR338" s="2">
        <v>0.7</v>
      </c>
      <c r="LS338" s="2">
        <v>0.3</v>
      </c>
      <c r="LT338" s="2">
        <v>-0.5</v>
      </c>
      <c r="LU338" s="2">
        <v>0.6</v>
      </c>
      <c r="LV338" s="2">
        <v>-0.3</v>
      </c>
      <c r="MA338" s="2">
        <v>0.3</v>
      </c>
      <c r="MB338" s="2">
        <v>0.2</v>
      </c>
      <c r="MC338" s="2">
        <v>-0.9</v>
      </c>
      <c r="MD338" s="2">
        <v>-1.1</v>
      </c>
      <c r="ME338" s="2">
        <v>0.6</v>
      </c>
      <c r="MF338" s="2">
        <v>-0.8</v>
      </c>
      <c r="MG338" s="2">
        <v>-0.2</v>
      </c>
      <c r="MH338" s="2">
        <v>1.3</v>
      </c>
      <c r="MI338" s="2">
        <v>0.6</v>
      </c>
      <c r="MJ338" s="2">
        <v>0</v>
      </c>
      <c r="MK338" s="2">
        <v>1.3</v>
      </c>
      <c r="ML338" s="2">
        <v>-1.2</v>
      </c>
      <c r="MQ338" s="2">
        <v>2.5</v>
      </c>
      <c r="MR338" s="2">
        <v>1.9</v>
      </c>
      <c r="MS338" s="2">
        <v>-1.5</v>
      </c>
      <c r="MT338" s="2">
        <v>-0.6</v>
      </c>
      <c r="MU338" s="2">
        <v>1.1</v>
      </c>
      <c r="MV338" s="2">
        <v>-1.1</v>
      </c>
      <c r="MW338" s="2">
        <v>0.3</v>
      </c>
      <c r="MX338" s="2">
        <v>0.3</v>
      </c>
      <c r="MY338" s="2">
        <v>0.1</v>
      </c>
      <c r="MZ338" s="2">
        <v>0.9</v>
      </c>
      <c r="NA338" s="2">
        <v>1.3</v>
      </c>
      <c r="NB338" s="2">
        <v>1</v>
      </c>
      <c r="NG338" s="2">
        <v>0.1</v>
      </c>
      <c r="NH338" s="2">
        <v>1</v>
      </c>
      <c r="NI338" s="2">
        <v>0.1</v>
      </c>
      <c r="NJ338" s="2">
        <v>-0.8</v>
      </c>
      <c r="NK338" s="2">
        <v>0.1</v>
      </c>
      <c r="NL338" s="2">
        <v>-0.8</v>
      </c>
      <c r="NM338" s="2">
        <v>0.8</v>
      </c>
      <c r="NN338" s="2">
        <v>0.6</v>
      </c>
      <c r="NO338" s="2">
        <v>0.7</v>
      </c>
      <c r="NP338" s="2">
        <v>2.1</v>
      </c>
      <c r="NQ338" s="2">
        <v>0.9</v>
      </c>
      <c r="NR338" s="2">
        <v>-0.6</v>
      </c>
      <c r="NW338" s="2">
        <v>0.9</v>
      </c>
      <c r="NX338" s="2">
        <v>-0.6</v>
      </c>
      <c r="NY338" s="2">
        <v>0.3</v>
      </c>
      <c r="NZ338" s="2">
        <v>0.2</v>
      </c>
      <c r="OA338" s="2">
        <v>0.1</v>
      </c>
      <c r="OB338" s="2">
        <v>-1.2</v>
      </c>
      <c r="OC338" s="2">
        <v>0.4</v>
      </c>
      <c r="OD338" s="2">
        <v>0.3</v>
      </c>
      <c r="OE338" s="2">
        <v>0</v>
      </c>
      <c r="OF338" s="2">
        <v>1.5</v>
      </c>
      <c r="OG338" s="2">
        <v>0.9</v>
      </c>
      <c r="OH338" s="2">
        <v>-0.1</v>
      </c>
      <c r="OM338" s="2">
        <v>1.2</v>
      </c>
      <c r="ON338" s="2">
        <v>0.1</v>
      </c>
      <c r="OO338" s="2">
        <v>0.8</v>
      </c>
      <c r="OP338" s="2">
        <v>-1.7</v>
      </c>
      <c r="OQ338" s="2">
        <v>1.2</v>
      </c>
      <c r="OR338" s="2">
        <v>-1.2</v>
      </c>
      <c r="OS338" s="2">
        <v>0.4</v>
      </c>
      <c r="OT338" s="2">
        <v>0.3</v>
      </c>
      <c r="OU338" s="2">
        <v>-0.2</v>
      </c>
      <c r="OV338" s="2">
        <v>-0.4</v>
      </c>
      <c r="OW338" s="2">
        <v>0.8</v>
      </c>
      <c r="OX338" s="2">
        <v>-0.6</v>
      </c>
      <c r="PC338" s="2">
        <v>1</v>
      </c>
      <c r="PD338" s="2">
        <v>0.1</v>
      </c>
      <c r="PE338" s="2">
        <v>0.2</v>
      </c>
      <c r="PF338" s="2">
        <v>0.1</v>
      </c>
      <c r="PG338" s="2">
        <v>0.7</v>
      </c>
      <c r="PH338" s="2">
        <v>0</v>
      </c>
      <c r="PI338" s="2">
        <v>-0.7</v>
      </c>
    </row>
    <row r="339">
      <c r="A339" t="inlineStr">
        <is>
          <t>A130399375K</t>
        </is>
      </c>
      <c r="B339" t="inlineStr">
        <is>
          <t>Percentage Change from Previous Period ;  Lamb and goat ;  Australia ;</t>
        </is>
      </c>
      <c r="C339" t="inlineStr">
        <is>
          <t>Month</t>
        </is>
      </c>
      <c r="D339" t="inlineStr">
        <is>
          <t>Percent</t>
        </is>
      </c>
      <c r="E339" t="inlineStr">
        <is>
          <t>Original</t>
        </is>
      </c>
      <c r="F339" t="inlineStr">
        <is>
          <t>640103.xlsx</t>
        </is>
      </c>
      <c r="G339" t="inlineStr">
        <is>
          <t>2017-10</t>
        </is>
      </c>
      <c r="H339" t="inlineStr">
        <is>
          <t>2026-07</t>
        </is>
      </c>
      <c r="JX339" s="2">
        <v>1</v>
      </c>
      <c r="JY339" s="2">
        <v>0.7</v>
      </c>
      <c r="JZ339" s="2">
        <v>-1.3</v>
      </c>
      <c r="KE339" s="2">
        <v>0.3</v>
      </c>
      <c r="KF339" s="2">
        <v>-0.1</v>
      </c>
      <c r="KG339" s="2">
        <v>0.8</v>
      </c>
      <c r="KH339" s="2">
        <v>2</v>
      </c>
      <c r="KI339" s="2">
        <v>-0.7</v>
      </c>
      <c r="KJ339" s="2">
        <v>0.4</v>
      </c>
      <c r="KK339" s="2">
        <v>-0.3</v>
      </c>
      <c r="KL339" s="2">
        <v>2.4</v>
      </c>
      <c r="KM339" s="2">
        <v>2.6</v>
      </c>
      <c r="KN339" s="2">
        <v>4.1</v>
      </c>
      <c r="KO339" s="2">
        <v>0.3</v>
      </c>
      <c r="KP339" s="2">
        <v>0.2</v>
      </c>
      <c r="KU339" s="2">
        <v>3.3</v>
      </c>
      <c r="KV339" s="2">
        <v>0.2</v>
      </c>
      <c r="KW339" s="2">
        <v>0.3</v>
      </c>
      <c r="KX339" s="2">
        <v>0</v>
      </c>
      <c r="KY339" s="2">
        <v>0.4</v>
      </c>
      <c r="KZ339" s="2">
        <v>0.4</v>
      </c>
      <c r="LA339" s="2">
        <v>0.4</v>
      </c>
      <c r="LB339" s="2">
        <v>2.4</v>
      </c>
      <c r="LC339" s="2">
        <v>0.5</v>
      </c>
      <c r="LD339" s="2">
        <v>-0.8</v>
      </c>
      <c r="LE339" s="2">
        <v>-1.4</v>
      </c>
      <c r="LF339" s="2">
        <v>-0.4</v>
      </c>
      <c r="LK339" s="2">
        <v>1.5</v>
      </c>
      <c r="LL339" s="2">
        <v>1.2</v>
      </c>
      <c r="LM339" s="2">
        <v>4</v>
      </c>
      <c r="LN339" s="2">
        <v>-3</v>
      </c>
      <c r="LO339" s="2">
        <v>-0.1</v>
      </c>
      <c r="LP339" s="2">
        <v>1.8</v>
      </c>
      <c r="LQ339" s="2">
        <v>0.9</v>
      </c>
      <c r="LR339" s="2">
        <v>0.6</v>
      </c>
      <c r="LS339" s="2">
        <v>-3.8</v>
      </c>
      <c r="LT339" s="2">
        <v>-1.2</v>
      </c>
      <c r="LU339" s="2">
        <v>0.4</v>
      </c>
      <c r="LV339" s="2">
        <v>2.3</v>
      </c>
      <c r="MA339" s="2">
        <v>0.6</v>
      </c>
      <c r="MB339" s="2">
        <v>1.1</v>
      </c>
      <c r="MC339" s="2">
        <v>0.8</v>
      </c>
      <c r="MD339" s="2">
        <v>-0.6</v>
      </c>
      <c r="ME339" s="2">
        <v>-0.8</v>
      </c>
      <c r="MF339" s="2">
        <v>0.1</v>
      </c>
      <c r="MG339" s="2">
        <v>0.5</v>
      </c>
      <c r="MH339" s="2">
        <v>0.2</v>
      </c>
      <c r="MI339" s="2">
        <v>-1.1</v>
      </c>
      <c r="MJ339" s="2">
        <v>0.2</v>
      </c>
      <c r="MK339" s="2">
        <v>-0.1</v>
      </c>
      <c r="ML339" s="2">
        <v>0.3</v>
      </c>
      <c r="MQ339" s="2">
        <v>5.7</v>
      </c>
      <c r="MR339" s="2">
        <v>2.6</v>
      </c>
      <c r="MS339" s="2">
        <v>-1.9</v>
      </c>
      <c r="MT339" s="2">
        <v>-0.2</v>
      </c>
      <c r="MU339" s="2">
        <v>1.4</v>
      </c>
      <c r="MV339" s="2">
        <v>-0.2</v>
      </c>
      <c r="MW339" s="2">
        <v>0</v>
      </c>
      <c r="MX339" s="2">
        <v>-1.3</v>
      </c>
      <c r="MY339" s="2">
        <v>-1.4</v>
      </c>
      <c r="MZ339" s="2">
        <v>-1.3</v>
      </c>
      <c r="NA339" s="2">
        <v>0.5</v>
      </c>
      <c r="NB339" s="2">
        <v>-0.5</v>
      </c>
      <c r="NG339" s="2">
        <v>1.6</v>
      </c>
      <c r="NH339" s="2">
        <v>0.2</v>
      </c>
      <c r="NI339" s="2">
        <v>-1</v>
      </c>
      <c r="NJ339" s="2">
        <v>1.2</v>
      </c>
      <c r="NK339" s="2">
        <v>0.3</v>
      </c>
      <c r="NL339" s="2">
        <v>-1.8</v>
      </c>
      <c r="NM339" s="2">
        <v>-1.1</v>
      </c>
      <c r="NN339" s="2">
        <v>-1.1</v>
      </c>
      <c r="NO339" s="2">
        <v>-5.4</v>
      </c>
      <c r="NP339" s="2">
        <v>-2.4</v>
      </c>
      <c r="NQ339" s="2">
        <v>-6.4</v>
      </c>
      <c r="NR339" s="2">
        <v>-6.4</v>
      </c>
      <c r="NW339" s="2">
        <v>0.4</v>
      </c>
      <c r="NX339" s="2">
        <v>6.3</v>
      </c>
      <c r="NY339" s="2">
        <v>4.4</v>
      </c>
      <c r="NZ339" s="2">
        <v>0.9</v>
      </c>
      <c r="OA339" s="2">
        <v>1.4</v>
      </c>
      <c r="OB339" s="2">
        <v>1.2</v>
      </c>
      <c r="OC339" s="2">
        <v>4</v>
      </c>
      <c r="OD339" s="2">
        <v>2.9</v>
      </c>
      <c r="OE339" s="2">
        <v>1.4</v>
      </c>
      <c r="OF339" s="2">
        <v>0.1</v>
      </c>
      <c r="OG339" s="2">
        <v>1</v>
      </c>
      <c r="OH339" s="2">
        <v>-0.7</v>
      </c>
      <c r="OM339" s="2">
        <v>0.8</v>
      </c>
      <c r="ON339" s="2">
        <v>1.1</v>
      </c>
      <c r="OO339" s="2">
        <v>-0.9</v>
      </c>
      <c r="OP339" s="2">
        <v>-0.1</v>
      </c>
      <c r="OQ339" s="2">
        <v>1.4</v>
      </c>
      <c r="OR339" s="2">
        <v>-0.5</v>
      </c>
      <c r="OS339" s="2">
        <v>1.5</v>
      </c>
      <c r="OT339" s="2">
        <v>3.6</v>
      </c>
      <c r="OU339" s="2">
        <v>5.1</v>
      </c>
      <c r="OV339" s="2">
        <v>1.6</v>
      </c>
      <c r="OW339" s="2">
        <v>-1.1</v>
      </c>
      <c r="OX339" s="2">
        <v>0.3</v>
      </c>
      <c r="PC339" s="2">
        <v>-1.7</v>
      </c>
      <c r="PD339" s="2">
        <v>3.3</v>
      </c>
      <c r="PE339" s="2">
        <v>1.4</v>
      </c>
      <c r="PF339" s="2">
        <v>-0.9</v>
      </c>
      <c r="PG339" s="2">
        <v>1.6</v>
      </c>
      <c r="PH339" s="2">
        <v>-0.5</v>
      </c>
      <c r="PI339" s="2">
        <v>1</v>
      </c>
    </row>
    <row r="340">
      <c r="A340" t="inlineStr">
        <is>
          <t>A130391923T</t>
        </is>
      </c>
      <c r="B340" t="inlineStr">
        <is>
          <t>Percentage Change from Previous Period ;  Poultry ;  Australia ;</t>
        </is>
      </c>
      <c r="C340" t="inlineStr">
        <is>
          <t>Month</t>
        </is>
      </c>
      <c r="D340" t="inlineStr">
        <is>
          <t>Percent</t>
        </is>
      </c>
      <c r="E340" t="inlineStr">
        <is>
          <t>Original</t>
        </is>
      </c>
      <c r="F340" t="inlineStr">
        <is>
          <t>640103.xlsx</t>
        </is>
      </c>
      <c r="G340" t="inlineStr">
        <is>
          <t>2017-10</t>
        </is>
      </c>
      <c r="H340" t="inlineStr">
        <is>
          <t>2026-07</t>
        </is>
      </c>
      <c r="JX340" s="2">
        <v>0.3</v>
      </c>
      <c r="JY340" s="2">
        <v>0.7</v>
      </c>
      <c r="JZ340" s="2">
        <v>-0.7</v>
      </c>
      <c r="KE340" s="2">
        <v>1</v>
      </c>
      <c r="KF340" s="2">
        <v>-0.1</v>
      </c>
      <c r="KG340" s="2">
        <v>-0.5</v>
      </c>
      <c r="KH340" s="2">
        <v>0.1</v>
      </c>
      <c r="KI340" s="2">
        <v>-0.5</v>
      </c>
      <c r="KJ340" s="2">
        <v>0.7</v>
      </c>
      <c r="KK340" s="2">
        <v>1.1</v>
      </c>
      <c r="KL340" s="2">
        <v>-0.7</v>
      </c>
      <c r="KM340" s="2">
        <v>0.2</v>
      </c>
      <c r="KN340" s="2">
        <v>0</v>
      </c>
      <c r="KO340" s="2">
        <v>0.8</v>
      </c>
      <c r="KP340" s="2">
        <v>0.8</v>
      </c>
      <c r="KU340" s="2">
        <v>2</v>
      </c>
      <c r="KV340" s="2">
        <v>0.7</v>
      </c>
      <c r="KW340" s="2">
        <v>-0.8</v>
      </c>
      <c r="KX340" s="2">
        <v>-0.3</v>
      </c>
      <c r="KY340" s="2">
        <v>0.6</v>
      </c>
      <c r="KZ340" s="2">
        <v>0.6</v>
      </c>
      <c r="LA340" s="2">
        <v>0.3</v>
      </c>
      <c r="LB340" s="2">
        <v>1.1</v>
      </c>
      <c r="LC340" s="2">
        <v>-0.6</v>
      </c>
      <c r="LD340" s="2">
        <v>-0.9</v>
      </c>
      <c r="LE340" s="2">
        <v>0.1</v>
      </c>
      <c r="LF340" s="2">
        <v>0.3</v>
      </c>
      <c r="LK340" s="2">
        <v>0.1</v>
      </c>
      <c r="LL340" s="2">
        <v>-0.1</v>
      </c>
      <c r="LM340" s="2">
        <v>1.8</v>
      </c>
      <c r="LN340" s="2">
        <v>-2.5</v>
      </c>
      <c r="LO340" s="2">
        <v>-0.1</v>
      </c>
      <c r="LP340" s="2">
        <v>0</v>
      </c>
      <c r="LQ340" s="2">
        <v>1.5</v>
      </c>
      <c r="LR340" s="2">
        <v>0.4</v>
      </c>
      <c r="LS340" s="2">
        <v>-0.3</v>
      </c>
      <c r="LT340" s="2">
        <v>-1.4</v>
      </c>
      <c r="LU340" s="2">
        <v>0.3</v>
      </c>
      <c r="LV340" s="2">
        <v>1.5</v>
      </c>
      <c r="MA340" s="2">
        <v>0</v>
      </c>
      <c r="MB340" s="2">
        <v>-0.1</v>
      </c>
      <c r="MC340" s="2">
        <v>-0.4</v>
      </c>
      <c r="MD340" s="2">
        <v>0.2</v>
      </c>
      <c r="ME340" s="2">
        <v>-0.6</v>
      </c>
      <c r="MF340" s="2">
        <v>0</v>
      </c>
      <c r="MG340" s="2">
        <v>0.2</v>
      </c>
      <c r="MH340" s="2">
        <v>-0.3</v>
      </c>
      <c r="MI340" s="2">
        <v>0.6</v>
      </c>
      <c r="MJ340" s="2">
        <v>-1</v>
      </c>
      <c r="MK340" s="2">
        <v>-0.3</v>
      </c>
      <c r="ML340" s="2">
        <v>0.3</v>
      </c>
      <c r="MQ340" s="2">
        <v>2.5</v>
      </c>
      <c r="MR340" s="2">
        <v>2.1</v>
      </c>
      <c r="MS340" s="2">
        <v>0.3</v>
      </c>
      <c r="MT340" s="2">
        <v>0.7</v>
      </c>
      <c r="MU340" s="2">
        <v>0.7</v>
      </c>
      <c r="MV340" s="2">
        <v>-0.8</v>
      </c>
      <c r="MW340" s="2">
        <v>1.6</v>
      </c>
      <c r="MX340" s="2">
        <v>2.2</v>
      </c>
      <c r="MY340" s="2">
        <v>1.2</v>
      </c>
      <c r="MZ340" s="2">
        <v>-0.9</v>
      </c>
      <c r="NA340" s="2">
        <v>0.4</v>
      </c>
      <c r="NB340" s="2">
        <v>0.7</v>
      </c>
      <c r="NG340" s="2">
        <v>0</v>
      </c>
      <c r="NH340" s="2">
        <v>0.5</v>
      </c>
      <c r="NI340" s="2">
        <v>0.8</v>
      </c>
      <c r="NJ340" s="2">
        <v>1</v>
      </c>
      <c r="NK340" s="2">
        <v>1.1</v>
      </c>
      <c r="NL340" s="2">
        <v>-0.8</v>
      </c>
      <c r="NM340" s="2">
        <v>0.9</v>
      </c>
      <c r="NN340" s="2">
        <v>0.6</v>
      </c>
      <c r="NO340" s="2">
        <v>-0.3</v>
      </c>
      <c r="NP340" s="2">
        <v>-0.7</v>
      </c>
      <c r="NQ340" s="2">
        <v>-0.9</v>
      </c>
      <c r="NR340" s="2">
        <v>-0.4</v>
      </c>
      <c r="NW340" s="2">
        <v>0.7</v>
      </c>
      <c r="NX340" s="2">
        <v>0</v>
      </c>
      <c r="NY340" s="2">
        <v>0.5</v>
      </c>
      <c r="NZ340" s="2">
        <v>0.3</v>
      </c>
      <c r="OA340" s="2">
        <v>0.5</v>
      </c>
      <c r="OB340" s="2">
        <v>-0.8</v>
      </c>
      <c r="OC340" s="2">
        <v>2</v>
      </c>
      <c r="OD340" s="2">
        <v>0.3</v>
      </c>
      <c r="OE340" s="2">
        <v>-0.7</v>
      </c>
      <c r="OF340" s="2">
        <v>0.7</v>
      </c>
      <c r="OG340" s="2">
        <v>-0.3</v>
      </c>
      <c r="OH340" s="2">
        <v>-0.4</v>
      </c>
      <c r="OM340" s="2">
        <v>1.5</v>
      </c>
      <c r="ON340" s="2">
        <v>-0.3</v>
      </c>
      <c r="OO340" s="2">
        <v>-0.2</v>
      </c>
      <c r="OP340" s="2">
        <v>-1.3</v>
      </c>
      <c r="OQ340" s="2">
        <v>0.5</v>
      </c>
      <c r="OR340" s="2">
        <v>-0.7</v>
      </c>
      <c r="OS340" s="2">
        <v>0.3</v>
      </c>
      <c r="OT340" s="2">
        <v>0.5</v>
      </c>
      <c r="OU340" s="2">
        <v>-0.7</v>
      </c>
      <c r="OV340" s="2">
        <v>0.1</v>
      </c>
      <c r="OW340" s="2">
        <v>0</v>
      </c>
      <c r="OX340" s="2">
        <v>0.6</v>
      </c>
      <c r="PC340" s="2">
        <v>0.1</v>
      </c>
      <c r="PD340" s="2">
        <v>0.2</v>
      </c>
      <c r="PE340" s="2">
        <v>0.6</v>
      </c>
      <c r="PF340" s="2">
        <v>-0.4</v>
      </c>
      <c r="PG340" s="2">
        <v>0.5</v>
      </c>
      <c r="PH340" s="2">
        <v>0.3</v>
      </c>
      <c r="PI340" s="2">
        <v>-0.4</v>
      </c>
    </row>
    <row r="341">
      <c r="A341" t="inlineStr">
        <is>
          <t>A130391930R</t>
        </is>
      </c>
      <c r="B341" t="inlineStr">
        <is>
          <t>Percentage Change from Previous Period ;  Other meats ;  Australia ;</t>
        </is>
      </c>
      <c r="C341" t="inlineStr">
        <is>
          <t>Month</t>
        </is>
      </c>
      <c r="D341" t="inlineStr">
        <is>
          <t>Percent</t>
        </is>
      </c>
      <c r="E341" t="inlineStr">
        <is>
          <t>Original</t>
        </is>
      </c>
      <c r="F341" t="inlineStr">
        <is>
          <t>640103.xlsx</t>
        </is>
      </c>
      <c r="G341" t="inlineStr">
        <is>
          <t>2017-10</t>
        </is>
      </c>
      <c r="H341" t="inlineStr">
        <is>
          <t>2026-07</t>
        </is>
      </c>
      <c r="JX341" s="2">
        <v>-0.3</v>
      </c>
      <c r="JY341" s="2">
        <v>1.1</v>
      </c>
      <c r="JZ341" s="2">
        <v>-0.5</v>
      </c>
      <c r="KE341" s="2">
        <v>-0.5</v>
      </c>
      <c r="KF341" s="2">
        <v>-0.1</v>
      </c>
      <c r="KG341" s="2">
        <v>0.6</v>
      </c>
      <c r="KH341" s="2">
        <v>0</v>
      </c>
      <c r="KI341" s="2">
        <v>0.8</v>
      </c>
      <c r="KJ341" s="2">
        <v>-1.1</v>
      </c>
      <c r="KK341" s="2">
        <v>-0.7</v>
      </c>
      <c r="KL341" s="2">
        <v>0.8</v>
      </c>
      <c r="KM341" s="2">
        <v>-0.2</v>
      </c>
      <c r="KN341" s="2">
        <v>-0.1</v>
      </c>
      <c r="KO341" s="2">
        <v>0.9</v>
      </c>
      <c r="KP341" s="2">
        <v>-0.4</v>
      </c>
      <c r="KU341" s="2">
        <v>0.3</v>
      </c>
      <c r="KV341" s="2">
        <v>0.9</v>
      </c>
      <c r="KW341" s="2">
        <v>-0.6</v>
      </c>
      <c r="KX341" s="2">
        <v>-0.1</v>
      </c>
      <c r="KY341" s="2">
        <v>1</v>
      </c>
      <c r="KZ341" s="2">
        <v>-0.1</v>
      </c>
      <c r="LA341" s="2">
        <v>0.2</v>
      </c>
      <c r="LB341" s="2">
        <v>1.5</v>
      </c>
      <c r="LC341" s="2">
        <v>1.6</v>
      </c>
      <c r="LD341" s="2">
        <v>1.4</v>
      </c>
      <c r="LE341" s="2">
        <v>0.1</v>
      </c>
      <c r="LF341" s="2">
        <v>1.1</v>
      </c>
      <c r="LK341" s="2">
        <v>0.2</v>
      </c>
      <c r="LL341" s="2">
        <v>-0.1</v>
      </c>
      <c r="LM341" s="2">
        <v>3.8</v>
      </c>
      <c r="LN341" s="2">
        <v>0.2</v>
      </c>
      <c r="LO341" s="2">
        <v>-0.7</v>
      </c>
      <c r="LP341" s="2">
        <v>0.6</v>
      </c>
      <c r="LQ341" s="2">
        <v>0.7</v>
      </c>
      <c r="LR341" s="2">
        <v>1.1</v>
      </c>
      <c r="LS341" s="2">
        <v>-0.3</v>
      </c>
      <c r="LT341" s="2">
        <v>-1</v>
      </c>
      <c r="LU341" s="2">
        <v>0.8</v>
      </c>
      <c r="LV341" s="2">
        <v>0.1</v>
      </c>
      <c r="MA341" s="2">
        <v>-0.1</v>
      </c>
      <c r="MB341" s="2">
        <v>-1.2</v>
      </c>
      <c r="MC341" s="2">
        <v>1.7</v>
      </c>
      <c r="MD341" s="2">
        <v>0.8</v>
      </c>
      <c r="ME341" s="2">
        <v>0.5</v>
      </c>
      <c r="MF341" s="2">
        <v>-0.7</v>
      </c>
      <c r="MG341" s="2">
        <v>0.1</v>
      </c>
      <c r="MH341" s="2">
        <v>1.1</v>
      </c>
      <c r="MI341" s="2">
        <v>-0.6</v>
      </c>
      <c r="MJ341" s="2">
        <v>-0.4</v>
      </c>
      <c r="MK341" s="2">
        <v>1.3</v>
      </c>
      <c r="ML341" s="2">
        <v>0</v>
      </c>
      <c r="MQ341" s="2">
        <v>2.9</v>
      </c>
      <c r="MR341" s="2">
        <v>2.2</v>
      </c>
      <c r="MS341" s="2">
        <v>-0.5</v>
      </c>
      <c r="MT341" s="2">
        <v>-0.1</v>
      </c>
      <c r="MU341" s="2">
        <v>0.9</v>
      </c>
      <c r="MV341" s="2">
        <v>1.2</v>
      </c>
      <c r="MW341" s="2">
        <v>0.6</v>
      </c>
      <c r="MX341" s="2">
        <v>0.7</v>
      </c>
      <c r="MY341" s="2">
        <v>0.2</v>
      </c>
      <c r="MZ341" s="2">
        <v>-0.1</v>
      </c>
      <c r="NA341" s="2">
        <v>1.1</v>
      </c>
      <c r="NB341" s="2">
        <v>1.4</v>
      </c>
      <c r="NG341" s="2">
        <v>-0.2</v>
      </c>
      <c r="NH341" s="2">
        <v>0.4</v>
      </c>
      <c r="NI341" s="2">
        <v>0.3</v>
      </c>
      <c r="NJ341" s="2">
        <v>-0.6</v>
      </c>
      <c r="NK341" s="2">
        <v>0.5</v>
      </c>
      <c r="NL341" s="2">
        <v>-0.7</v>
      </c>
      <c r="NM341" s="2">
        <v>0.9</v>
      </c>
      <c r="NN341" s="2">
        <v>1</v>
      </c>
      <c r="NO341" s="2">
        <v>-0.8</v>
      </c>
      <c r="NP341" s="2">
        <v>1.1</v>
      </c>
      <c r="NQ341" s="2">
        <v>-0.3</v>
      </c>
      <c r="NR341" s="2">
        <v>-3.1</v>
      </c>
      <c r="NW341" s="2">
        <v>-0.8</v>
      </c>
      <c r="NX341" s="2">
        <v>1.6</v>
      </c>
      <c r="NY341" s="2">
        <v>2.2</v>
      </c>
      <c r="NZ341" s="2">
        <v>-0.8</v>
      </c>
      <c r="OA341" s="2">
        <v>-0.3</v>
      </c>
      <c r="OB341" s="2">
        <v>-0.5</v>
      </c>
      <c r="OC341" s="2">
        <v>0.1</v>
      </c>
      <c r="OD341" s="2">
        <v>-0.7</v>
      </c>
      <c r="OE341" s="2">
        <v>-0.4</v>
      </c>
      <c r="OF341" s="2">
        <v>1.4</v>
      </c>
      <c r="OG341" s="2">
        <v>0.2</v>
      </c>
      <c r="OH341" s="2">
        <v>0.9</v>
      </c>
      <c r="OM341" s="2">
        <v>-0.3</v>
      </c>
      <c r="ON341" s="2">
        <v>1</v>
      </c>
      <c r="OO341" s="2">
        <v>0.3</v>
      </c>
      <c r="OP341" s="2">
        <v>-0.7</v>
      </c>
      <c r="OQ341" s="2">
        <v>0.1</v>
      </c>
      <c r="OR341" s="2">
        <v>-0.5</v>
      </c>
      <c r="OS341" s="2">
        <v>-0.4</v>
      </c>
      <c r="OT341" s="2">
        <v>0.5</v>
      </c>
      <c r="OU341" s="2">
        <v>-1.4</v>
      </c>
      <c r="OV341" s="2">
        <v>1.1</v>
      </c>
      <c r="OW341" s="2">
        <v>0.9</v>
      </c>
      <c r="OX341" s="2">
        <v>1.5</v>
      </c>
      <c r="PC341" s="2">
        <v>-0.6</v>
      </c>
      <c r="PD341" s="2">
        <v>0</v>
      </c>
      <c r="PE341" s="2">
        <v>1.1</v>
      </c>
      <c r="PF341" s="2">
        <v>-0.6</v>
      </c>
      <c r="PG341" s="2">
        <v>0.7</v>
      </c>
      <c r="PH341" s="2">
        <v>-0.1</v>
      </c>
      <c r="PI341" s="2">
        <v>0.1</v>
      </c>
    </row>
    <row r="342">
      <c r="A342" t="inlineStr">
        <is>
          <t>A130390600F</t>
        </is>
      </c>
      <c r="B342" t="inlineStr">
        <is>
          <t>Percentage Change from Previous Period ;  Fish and other seafood ;  Australia ;</t>
        </is>
      </c>
      <c r="C342" t="inlineStr">
        <is>
          <t>Month</t>
        </is>
      </c>
      <c r="D342" t="inlineStr">
        <is>
          <t>Percent</t>
        </is>
      </c>
      <c r="E342" t="inlineStr">
        <is>
          <t>Original</t>
        </is>
      </c>
      <c r="F342" t="inlineStr">
        <is>
          <t>640103.xlsx</t>
        </is>
      </c>
      <c r="G342" t="inlineStr">
        <is>
          <t>2017-10</t>
        </is>
      </c>
      <c r="H342" t="inlineStr">
        <is>
          <t>2026-07</t>
        </is>
      </c>
      <c r="JX342" s="2">
        <v>1.3</v>
      </c>
      <c r="JY342" s="2">
        <v>0.2</v>
      </c>
      <c r="JZ342" s="2">
        <v>-0.9</v>
      </c>
      <c r="KE342" s="2">
        <v>1.8</v>
      </c>
      <c r="KF342" s="2">
        <v>-2.6</v>
      </c>
      <c r="KG342" s="2">
        <v>-0.5</v>
      </c>
      <c r="KH342" s="2">
        <v>2.3</v>
      </c>
      <c r="KI342" s="2">
        <v>0.7</v>
      </c>
      <c r="KJ342" s="2">
        <v>1.1</v>
      </c>
      <c r="KK342" s="2">
        <v>-0.2</v>
      </c>
      <c r="KL342" s="2">
        <v>-0.2</v>
      </c>
      <c r="KM342" s="2">
        <v>-0.5</v>
      </c>
      <c r="KN342" s="2">
        <v>1.4</v>
      </c>
      <c r="KO342" s="2">
        <v>-0.5</v>
      </c>
      <c r="KP342" s="2">
        <v>0.3</v>
      </c>
      <c r="KU342" s="2">
        <v>1</v>
      </c>
      <c r="KV342" s="2">
        <v>-0.7</v>
      </c>
      <c r="KW342" s="2">
        <v>-1.7</v>
      </c>
      <c r="KX342" s="2">
        <v>-0.9</v>
      </c>
      <c r="KY342" s="2">
        <v>3.1</v>
      </c>
      <c r="KZ342" s="2">
        <v>0</v>
      </c>
      <c r="LA342" s="2">
        <v>-0.1</v>
      </c>
      <c r="LB342" s="2">
        <v>0</v>
      </c>
      <c r="LC342" s="2">
        <v>-0.5</v>
      </c>
      <c r="LD342" s="2">
        <v>0.9</v>
      </c>
      <c r="LE342" s="2">
        <v>-0.6</v>
      </c>
      <c r="LF342" s="2">
        <v>1.8</v>
      </c>
      <c r="LK342" s="2">
        <v>0.5</v>
      </c>
      <c r="LL342" s="2">
        <v>-1.6</v>
      </c>
      <c r="LM342" s="2">
        <v>3.3</v>
      </c>
      <c r="LN342" s="2">
        <v>3</v>
      </c>
      <c r="LO342" s="2">
        <v>0</v>
      </c>
      <c r="LP342" s="2">
        <v>-1.3</v>
      </c>
      <c r="LQ342" s="2">
        <v>-0.9</v>
      </c>
      <c r="LR342" s="2">
        <v>0.4</v>
      </c>
      <c r="LS342" s="2">
        <v>0.3</v>
      </c>
      <c r="LT342" s="2">
        <v>0.8</v>
      </c>
      <c r="LU342" s="2">
        <v>-0.4</v>
      </c>
      <c r="LV342" s="2">
        <v>-0.4</v>
      </c>
      <c r="MA342" s="2">
        <v>0</v>
      </c>
      <c r="MB342" s="2">
        <v>-0.6</v>
      </c>
      <c r="MC342" s="2">
        <v>-1.6</v>
      </c>
      <c r="MD342" s="2">
        <v>-0.1</v>
      </c>
      <c r="ME342" s="2">
        <v>0.5</v>
      </c>
      <c r="MF342" s="2">
        <v>0.5</v>
      </c>
      <c r="MG342" s="2">
        <v>0.4</v>
      </c>
      <c r="MH342" s="2">
        <v>0.3</v>
      </c>
      <c r="MI342" s="2">
        <v>0.4</v>
      </c>
      <c r="MJ342" s="2">
        <v>-0.3</v>
      </c>
      <c r="MK342" s="2">
        <v>0.5</v>
      </c>
      <c r="ML342" s="2">
        <v>0.6</v>
      </c>
      <c r="MQ342" s="2">
        <v>0.8</v>
      </c>
      <c r="MR342" s="2">
        <v>2.7</v>
      </c>
      <c r="MS342" s="2">
        <v>-5</v>
      </c>
      <c r="MT342" s="2">
        <v>0.1</v>
      </c>
      <c r="MU342" s="2">
        <v>1.8</v>
      </c>
      <c r="MV342" s="2">
        <v>1.9</v>
      </c>
      <c r="MW342" s="2">
        <v>2.2</v>
      </c>
      <c r="MX342" s="2">
        <v>0.1</v>
      </c>
      <c r="MY342" s="2">
        <v>0.6</v>
      </c>
      <c r="MZ342" s="2">
        <v>1.8</v>
      </c>
      <c r="NA342" s="2">
        <v>1.2</v>
      </c>
      <c r="NB342" s="2">
        <v>1</v>
      </c>
      <c r="NG342" s="2">
        <v>-0.1</v>
      </c>
      <c r="NH342" s="2">
        <v>-0.1</v>
      </c>
      <c r="NI342" s="2">
        <v>-1</v>
      </c>
      <c r="NJ342" s="2">
        <v>1.1</v>
      </c>
      <c r="NK342" s="2">
        <v>1.3</v>
      </c>
      <c r="NL342" s="2">
        <v>-1</v>
      </c>
      <c r="NM342" s="2">
        <v>1.9</v>
      </c>
      <c r="NN342" s="2">
        <v>1.3</v>
      </c>
      <c r="NO342" s="2">
        <v>2.6</v>
      </c>
      <c r="NP342" s="2">
        <v>0.2</v>
      </c>
      <c r="NQ342" s="2">
        <v>0</v>
      </c>
      <c r="NR342" s="2">
        <v>-0.1</v>
      </c>
      <c r="NW342" s="2">
        <v>-0.6</v>
      </c>
      <c r="NX342" s="2">
        <v>-0.8</v>
      </c>
      <c r="NY342" s="2">
        <v>-0.7</v>
      </c>
      <c r="NZ342" s="2">
        <v>2.5</v>
      </c>
      <c r="OA342" s="2">
        <v>-0.4</v>
      </c>
      <c r="OB342" s="2">
        <v>-0.7</v>
      </c>
      <c r="OC342" s="2">
        <v>0.2</v>
      </c>
      <c r="OD342" s="2">
        <v>0.7</v>
      </c>
      <c r="OE342" s="2">
        <v>-0.1</v>
      </c>
      <c r="OF342" s="2">
        <v>-0.5</v>
      </c>
      <c r="OG342" s="2">
        <v>-0.4</v>
      </c>
      <c r="OH342" s="2">
        <v>0.4</v>
      </c>
      <c r="OM342" s="2">
        <v>-0.2</v>
      </c>
      <c r="ON342" s="2">
        <v>-0.2</v>
      </c>
      <c r="OO342" s="2">
        <v>-0.9</v>
      </c>
      <c r="OP342" s="2">
        <v>0.3</v>
      </c>
      <c r="OQ342" s="2">
        <v>1.8</v>
      </c>
      <c r="OR342" s="2">
        <v>-0.9</v>
      </c>
      <c r="OS342" s="2">
        <v>-0.4</v>
      </c>
      <c r="OT342" s="2">
        <v>0.7</v>
      </c>
      <c r="OU342" s="2">
        <v>-0.4</v>
      </c>
      <c r="OV342" s="2">
        <v>0</v>
      </c>
      <c r="OW342" s="2">
        <v>-0.5</v>
      </c>
      <c r="OX342" s="2">
        <v>1.7</v>
      </c>
      <c r="PC342" s="2">
        <v>0.5</v>
      </c>
      <c r="PD342" s="2">
        <v>-0.6</v>
      </c>
      <c r="PE342" s="2">
        <v>-0.6</v>
      </c>
      <c r="PF342" s="2">
        <v>0</v>
      </c>
      <c r="PG342" s="2">
        <v>1.7</v>
      </c>
      <c r="PH342" s="2">
        <v>-1.9</v>
      </c>
      <c r="PI342" s="2">
        <v>1.3</v>
      </c>
    </row>
    <row r="343">
      <c r="A343" t="inlineStr">
        <is>
          <t>A130393036J</t>
        </is>
      </c>
      <c r="B343" t="inlineStr">
        <is>
          <t>Percentage Change from Previous Period ;  Dairy and related products ;  Australia ;</t>
        </is>
      </c>
      <c r="C343" t="inlineStr">
        <is>
          <t>Month</t>
        </is>
      </c>
      <c r="D343" t="inlineStr">
        <is>
          <t>Percent</t>
        </is>
      </c>
      <c r="E343" t="inlineStr">
        <is>
          <t>Original</t>
        </is>
      </c>
      <c r="F343" t="inlineStr">
        <is>
          <t>640103.xlsx</t>
        </is>
      </c>
      <c r="G343" t="inlineStr">
        <is>
          <t>2017-10</t>
        </is>
      </c>
      <c r="H343" t="inlineStr">
        <is>
          <t>2026-07</t>
        </is>
      </c>
      <c r="JX343" s="2">
        <v>0.7</v>
      </c>
      <c r="JY343" s="2">
        <v>-0.2</v>
      </c>
      <c r="JZ343" s="2">
        <v>1.1</v>
      </c>
      <c r="KE343" s="2">
        <v>-0.3</v>
      </c>
      <c r="KF343" s="2">
        <v>-0.4</v>
      </c>
      <c r="KG343" s="2">
        <v>0.3</v>
      </c>
      <c r="KH343" s="2">
        <v>0.4</v>
      </c>
      <c r="KI343" s="2">
        <v>-0.2</v>
      </c>
      <c r="KJ343" s="2">
        <v>0.1</v>
      </c>
      <c r="KK343" s="2">
        <v>0</v>
      </c>
      <c r="KL343" s="2">
        <v>-0.5</v>
      </c>
      <c r="KM343" s="2">
        <v>0.2</v>
      </c>
      <c r="KN343" s="2">
        <v>0.3</v>
      </c>
      <c r="KO343" s="2">
        <v>0.2</v>
      </c>
      <c r="KP343" s="2">
        <v>1.2</v>
      </c>
      <c r="KU343" s="2">
        <v>-0.3</v>
      </c>
      <c r="KV343" s="2">
        <v>-0.4</v>
      </c>
      <c r="KW343" s="2">
        <v>0.6</v>
      </c>
      <c r="KX343" s="2">
        <v>0.6</v>
      </c>
      <c r="KY343" s="2">
        <v>0</v>
      </c>
      <c r="KZ343" s="2">
        <v>0.7</v>
      </c>
      <c r="LA343" s="2">
        <v>0.9</v>
      </c>
      <c r="LB343" s="2">
        <v>1</v>
      </c>
      <c r="LC343" s="2">
        <v>1</v>
      </c>
      <c r="LD343" s="2">
        <v>-0.2</v>
      </c>
      <c r="LE343" s="2">
        <v>0.7</v>
      </c>
      <c r="LF343" s="2">
        <v>1</v>
      </c>
      <c r="LK343" s="2">
        <v>0.2</v>
      </c>
      <c r="LL343" s="2">
        <v>-0.5</v>
      </c>
      <c r="LM343" s="2">
        <v>1.8</v>
      </c>
      <c r="LN343" s="2">
        <v>0.7</v>
      </c>
      <c r="LO343" s="2">
        <v>-0.8</v>
      </c>
      <c r="LP343" s="2">
        <v>-0.3</v>
      </c>
      <c r="LQ343" s="2">
        <v>0.4</v>
      </c>
      <c r="LR343" s="2">
        <v>-0.2</v>
      </c>
      <c r="LS343" s="2">
        <v>0</v>
      </c>
      <c r="LT343" s="2">
        <v>-0.3</v>
      </c>
      <c r="LU343" s="2">
        <v>0.2</v>
      </c>
      <c r="LV343" s="2">
        <v>1.1</v>
      </c>
      <c r="MA343" s="2">
        <v>-0.8</v>
      </c>
      <c r="MB343" s="2">
        <v>-0.7</v>
      </c>
      <c r="MC343" s="2">
        <v>0.5</v>
      </c>
      <c r="MD343" s="2">
        <v>0</v>
      </c>
      <c r="ME343" s="2">
        <v>-0.2</v>
      </c>
      <c r="MF343" s="2">
        <v>0.4</v>
      </c>
      <c r="MG343" s="2">
        <v>0.2</v>
      </c>
      <c r="MH343" s="2">
        <v>-0.1</v>
      </c>
      <c r="MI343" s="2">
        <v>0.1</v>
      </c>
      <c r="MJ343" s="2">
        <v>0.1</v>
      </c>
      <c r="MK343" s="2">
        <v>0.8</v>
      </c>
      <c r="ML343" s="2">
        <v>2.7</v>
      </c>
      <c r="MQ343" s="2">
        <v>-0.5</v>
      </c>
      <c r="MR343" s="2">
        <v>0.1</v>
      </c>
      <c r="MS343" s="2">
        <v>1.1</v>
      </c>
      <c r="MT343" s="2">
        <v>0.7</v>
      </c>
      <c r="MU343" s="2">
        <v>-0.6</v>
      </c>
      <c r="MV343" s="2">
        <v>0.7</v>
      </c>
      <c r="MW343" s="2">
        <v>3.9</v>
      </c>
      <c r="MX343" s="2">
        <v>2.4</v>
      </c>
      <c r="MY343" s="2">
        <v>1.4</v>
      </c>
      <c r="MZ343" s="2">
        <v>0.8</v>
      </c>
      <c r="NA343" s="2">
        <v>1.6</v>
      </c>
      <c r="NB343" s="2">
        <v>1.9</v>
      </c>
      <c r="NG343" s="2">
        <v>-0.5</v>
      </c>
      <c r="NH343" s="2">
        <v>-0.1</v>
      </c>
      <c r="NI343" s="2">
        <v>1.9</v>
      </c>
      <c r="NJ343" s="2">
        <v>0.2</v>
      </c>
      <c r="NK343" s="2">
        <v>-0.1</v>
      </c>
      <c r="NL343" s="2">
        <v>0.7</v>
      </c>
      <c r="NM343" s="2">
        <v>1.9</v>
      </c>
      <c r="NN343" s="2">
        <v>0</v>
      </c>
      <c r="NO343" s="2">
        <v>-0.5</v>
      </c>
      <c r="NP343" s="2">
        <v>0.7</v>
      </c>
      <c r="NQ343" s="2">
        <v>-0.1</v>
      </c>
      <c r="NR343" s="2">
        <v>1.1</v>
      </c>
      <c r="NW343" s="2">
        <v>-0.7</v>
      </c>
      <c r="NX343" s="2">
        <v>-0.8</v>
      </c>
      <c r="NY343" s="2">
        <v>0.6</v>
      </c>
      <c r="NZ343" s="2">
        <v>0</v>
      </c>
      <c r="OA343" s="2">
        <v>-0.4</v>
      </c>
      <c r="OB343" s="2">
        <v>0</v>
      </c>
      <c r="OC343" s="2">
        <v>0</v>
      </c>
      <c r="OD343" s="2">
        <v>0</v>
      </c>
      <c r="OE343" s="2">
        <v>-0.6</v>
      </c>
      <c r="OF343" s="2">
        <v>-0.9</v>
      </c>
      <c r="OG343" s="2">
        <v>0.9</v>
      </c>
      <c r="OH343" s="2">
        <v>0.9</v>
      </c>
      <c r="OM343" s="2">
        <v>-0.1</v>
      </c>
      <c r="ON343" s="2">
        <v>-0.7</v>
      </c>
      <c r="OO343" s="2">
        <v>1</v>
      </c>
      <c r="OP343" s="2">
        <v>0</v>
      </c>
      <c r="OQ343" s="2">
        <v>-0.4</v>
      </c>
      <c r="OR343" s="2">
        <v>0.2</v>
      </c>
      <c r="OS343" s="2">
        <v>-0.1</v>
      </c>
      <c r="OT343" s="2">
        <v>1.1</v>
      </c>
      <c r="OU343" s="2">
        <v>0.7</v>
      </c>
      <c r="OV343" s="2">
        <v>-0.5</v>
      </c>
      <c r="OW343" s="2">
        <v>1</v>
      </c>
      <c r="OX343" s="2">
        <v>0.7</v>
      </c>
      <c r="PC343" s="2">
        <v>-0.4</v>
      </c>
      <c r="PD343" s="2">
        <v>-0.6</v>
      </c>
      <c r="PE343" s="2">
        <v>0.8</v>
      </c>
      <c r="PF343" s="2">
        <v>-0.2</v>
      </c>
      <c r="PG343" s="2">
        <v>2.3</v>
      </c>
      <c r="PH343" s="2">
        <v>1.3</v>
      </c>
      <c r="PI343" s="2">
        <v>0.2</v>
      </c>
    </row>
    <row r="344">
      <c r="A344" t="inlineStr">
        <is>
          <t>A130391846X</t>
        </is>
      </c>
      <c r="B344" t="inlineStr">
        <is>
          <t>Percentage Change from Previous Period ;  Milk ;  Australia ;</t>
        </is>
      </c>
      <c r="C344" t="inlineStr">
        <is>
          <t>Month</t>
        </is>
      </c>
      <c r="D344" t="inlineStr">
        <is>
          <t>Percent</t>
        </is>
      </c>
      <c r="E344" t="inlineStr">
        <is>
          <t>Original</t>
        </is>
      </c>
      <c r="F344" t="inlineStr">
        <is>
          <t>640103.xlsx</t>
        </is>
      </c>
      <c r="G344" t="inlineStr">
        <is>
          <t>2017-10</t>
        </is>
      </c>
      <c r="H344" t="inlineStr">
        <is>
          <t>2026-07</t>
        </is>
      </c>
      <c r="JX344" s="2">
        <v>0.1</v>
      </c>
      <c r="JY344" s="2">
        <v>0.5</v>
      </c>
      <c r="JZ344" s="2">
        <v>1.2</v>
      </c>
      <c r="KE344" s="2">
        <v>-1.1</v>
      </c>
      <c r="KF344" s="2">
        <v>-0.3</v>
      </c>
      <c r="KG344" s="2">
        <v>0.5</v>
      </c>
      <c r="KH344" s="2">
        <v>0.3</v>
      </c>
      <c r="KI344" s="2">
        <v>-0.5</v>
      </c>
      <c r="KJ344" s="2">
        <v>0.2</v>
      </c>
      <c r="KK344" s="2">
        <v>-0.1</v>
      </c>
      <c r="KL344" s="2">
        <v>-0.6</v>
      </c>
      <c r="KM344" s="2">
        <v>1</v>
      </c>
      <c r="KN344" s="2">
        <v>0.7</v>
      </c>
      <c r="KO344" s="2">
        <v>0.3</v>
      </c>
      <c r="KP344" s="2">
        <v>1.3</v>
      </c>
      <c r="KU344" s="2">
        <v>-0.8</v>
      </c>
      <c r="KV344" s="2">
        <v>-1.2</v>
      </c>
      <c r="KW344" s="2">
        <v>1.2</v>
      </c>
      <c r="KX344" s="2">
        <v>1.5</v>
      </c>
      <c r="KY344" s="2">
        <v>-0.4</v>
      </c>
      <c r="KZ344" s="2">
        <v>0.9</v>
      </c>
      <c r="LA344" s="2">
        <v>0.4</v>
      </c>
      <c r="LB344" s="2">
        <v>2.5</v>
      </c>
      <c r="LC344" s="2">
        <v>1.4</v>
      </c>
      <c r="LD344" s="2">
        <v>-0.7</v>
      </c>
      <c r="LE344" s="2">
        <v>0.5</v>
      </c>
      <c r="LF344" s="2">
        <v>1.4</v>
      </c>
      <c r="LK344" s="2">
        <v>-0.3</v>
      </c>
      <c r="LL344" s="2">
        <v>-0.8</v>
      </c>
      <c r="LM344" s="2">
        <v>2.9</v>
      </c>
      <c r="LN344" s="2">
        <v>-0.2</v>
      </c>
      <c r="LO344" s="2">
        <v>-0.8</v>
      </c>
      <c r="LP344" s="2">
        <v>-0.7</v>
      </c>
      <c r="LQ344" s="2">
        <v>0.3</v>
      </c>
      <c r="LR344" s="2">
        <v>0</v>
      </c>
      <c r="LS344" s="2">
        <v>0.4</v>
      </c>
      <c r="LT344" s="2">
        <v>-0.3</v>
      </c>
      <c r="LU344" s="2">
        <v>0.1</v>
      </c>
      <c r="LV344" s="2">
        <v>1.8</v>
      </c>
      <c r="MA344" s="2">
        <v>-1.2</v>
      </c>
      <c r="MB344" s="2">
        <v>-0.6</v>
      </c>
      <c r="MC344" s="2">
        <v>0.5</v>
      </c>
      <c r="MD344" s="2">
        <v>-0.1</v>
      </c>
      <c r="ME344" s="2">
        <v>-0.6</v>
      </c>
      <c r="MF344" s="2">
        <v>0.9</v>
      </c>
      <c r="MG344" s="2">
        <v>0.1</v>
      </c>
      <c r="MH344" s="2">
        <v>0</v>
      </c>
      <c r="MI344" s="2">
        <v>0.1</v>
      </c>
      <c r="MJ344" s="2">
        <v>-0.5</v>
      </c>
      <c r="MK344" s="2">
        <v>0.2</v>
      </c>
      <c r="ML344" s="2">
        <v>4.6</v>
      </c>
      <c r="MQ344" s="2">
        <v>-0.4</v>
      </c>
      <c r="MR344" s="2">
        <v>-0.3</v>
      </c>
      <c r="MS344" s="2">
        <v>0.7</v>
      </c>
      <c r="MT344" s="2">
        <v>0.7</v>
      </c>
      <c r="MU344" s="2">
        <v>-1.2</v>
      </c>
      <c r="MV344" s="2">
        <v>1.9</v>
      </c>
      <c r="MW344" s="2">
        <v>6</v>
      </c>
      <c r="MX344" s="2">
        <v>4.3</v>
      </c>
      <c r="MY344" s="2">
        <v>0.6</v>
      </c>
      <c r="MZ344" s="2">
        <v>-0.4</v>
      </c>
      <c r="NA344" s="2">
        <v>1.4</v>
      </c>
      <c r="NB344" s="2">
        <v>1.5</v>
      </c>
      <c r="NG344" s="2">
        <v>-1</v>
      </c>
      <c r="NH344" s="2">
        <v>0.4</v>
      </c>
      <c r="NI344" s="2">
        <v>1.3</v>
      </c>
      <c r="NJ344" s="2">
        <v>-0.9</v>
      </c>
      <c r="NK344" s="2">
        <v>-0.1</v>
      </c>
      <c r="NL344" s="2">
        <v>0.4</v>
      </c>
      <c r="NM344" s="2">
        <v>1.2</v>
      </c>
      <c r="NN344" s="2">
        <v>0.3</v>
      </c>
      <c r="NO344" s="2">
        <v>-1</v>
      </c>
      <c r="NP344" s="2">
        <v>1.8</v>
      </c>
      <c r="NQ344" s="2">
        <v>-0.2</v>
      </c>
      <c r="NR344" s="2">
        <v>0.7</v>
      </c>
      <c r="NW344" s="2">
        <v>-0.5</v>
      </c>
      <c r="NX344" s="2">
        <v>-0.5</v>
      </c>
      <c r="NY344" s="2">
        <v>1</v>
      </c>
      <c r="NZ344" s="2">
        <v>-0.4</v>
      </c>
      <c r="OA344" s="2">
        <v>-0.4</v>
      </c>
      <c r="OB344" s="2">
        <v>0.2</v>
      </c>
      <c r="OC344" s="2">
        <v>-0.3</v>
      </c>
      <c r="OD344" s="2">
        <v>1</v>
      </c>
      <c r="OE344" s="2">
        <v>-0.4</v>
      </c>
      <c r="OF344" s="2">
        <v>-1.5</v>
      </c>
      <c r="OG344" s="2">
        <v>1.1</v>
      </c>
      <c r="OH344" s="2">
        <v>0.5</v>
      </c>
      <c r="OM344" s="2">
        <v>-0.4</v>
      </c>
      <c r="ON344" s="2">
        <v>-0.5</v>
      </c>
      <c r="OO344" s="2">
        <v>0.2</v>
      </c>
      <c r="OP344" s="2">
        <v>0.4</v>
      </c>
      <c r="OQ344" s="2">
        <v>-0.4</v>
      </c>
      <c r="OR344" s="2">
        <v>0.9</v>
      </c>
      <c r="OS344" s="2">
        <v>-0.4</v>
      </c>
      <c r="OT344" s="2">
        <v>2</v>
      </c>
      <c r="OU344" s="2">
        <v>0.4</v>
      </c>
      <c r="OV344" s="2">
        <v>-0.4</v>
      </c>
      <c r="OW344" s="2">
        <v>1.9</v>
      </c>
      <c r="OX344" s="2">
        <v>0.3</v>
      </c>
      <c r="PC344" s="2">
        <v>-0.4</v>
      </c>
      <c r="PD344" s="2">
        <v>-0.8</v>
      </c>
      <c r="PE344" s="2">
        <v>0.5</v>
      </c>
      <c r="PF344" s="2">
        <v>0.3</v>
      </c>
      <c r="PG344" s="2">
        <v>4.7</v>
      </c>
      <c r="PH344" s="2">
        <v>0.6</v>
      </c>
      <c r="PI344" s="2">
        <v>0.2</v>
      </c>
    </row>
    <row r="345">
      <c r="A345" t="inlineStr">
        <is>
          <t>A130390537A</t>
        </is>
      </c>
      <c r="B345" t="inlineStr">
        <is>
          <t>Percentage Change from Previous Period ;  Cheese ;  Australia ;</t>
        </is>
      </c>
      <c r="C345" t="inlineStr">
        <is>
          <t>Month</t>
        </is>
      </c>
      <c r="D345" t="inlineStr">
        <is>
          <t>Percent</t>
        </is>
      </c>
      <c r="E345" t="inlineStr">
        <is>
          <t>Original</t>
        </is>
      </c>
      <c r="F345" t="inlineStr">
        <is>
          <t>640103.xlsx</t>
        </is>
      </c>
      <c r="G345" t="inlineStr">
        <is>
          <t>2017-10</t>
        </is>
      </c>
      <c r="H345" t="inlineStr">
        <is>
          <t>2026-07</t>
        </is>
      </c>
      <c r="JX345" s="2">
        <v>1.2</v>
      </c>
      <c r="JY345" s="2">
        <v>0</v>
      </c>
      <c r="JZ345" s="2">
        <v>0.3</v>
      </c>
      <c r="KE345" s="2">
        <v>0.2</v>
      </c>
      <c r="KF345" s="2">
        <v>0.1</v>
      </c>
      <c r="KG345" s="2">
        <v>0.1</v>
      </c>
      <c r="KH345" s="2">
        <v>0.5</v>
      </c>
      <c r="KI345" s="2">
        <v>0.2</v>
      </c>
      <c r="KJ345" s="2">
        <v>-0.4</v>
      </c>
      <c r="KK345" s="2">
        <v>0.2</v>
      </c>
      <c r="KL345" s="2">
        <v>-0.1</v>
      </c>
      <c r="KM345" s="2">
        <v>-0.3</v>
      </c>
      <c r="KN345" s="2">
        <v>0.2</v>
      </c>
      <c r="KO345" s="2">
        <v>0.5</v>
      </c>
      <c r="KP345" s="2">
        <v>0.1</v>
      </c>
      <c r="KU345" s="2">
        <v>0.3</v>
      </c>
      <c r="KV345" s="2">
        <v>0.9</v>
      </c>
      <c r="KW345" s="2">
        <v>-0.2</v>
      </c>
      <c r="KX345" s="2">
        <v>-0.6</v>
      </c>
      <c r="KY345" s="2">
        <v>0.6</v>
      </c>
      <c r="KZ345" s="2">
        <v>0.3</v>
      </c>
      <c r="LA345" s="2">
        <v>0.7</v>
      </c>
      <c r="LB345" s="2">
        <v>1.3</v>
      </c>
      <c r="LC345" s="2">
        <v>1.5</v>
      </c>
      <c r="LD345" s="2">
        <v>0.8</v>
      </c>
      <c r="LE345" s="2">
        <v>0.9</v>
      </c>
      <c r="LF345" s="2">
        <v>0.1</v>
      </c>
      <c r="LK345" s="2">
        <v>0.7</v>
      </c>
      <c r="LL345" s="2">
        <v>0.9</v>
      </c>
      <c r="LM345" s="2">
        <v>0.7</v>
      </c>
      <c r="LN345" s="2">
        <v>0.4</v>
      </c>
      <c r="LO345" s="2">
        <v>0</v>
      </c>
      <c r="LP345" s="2">
        <v>0</v>
      </c>
      <c r="LQ345" s="2">
        <v>0.3</v>
      </c>
      <c r="LR345" s="2">
        <v>-0.7</v>
      </c>
      <c r="LS345" s="2">
        <v>-0.3</v>
      </c>
      <c r="LT345" s="2">
        <v>-0.2</v>
      </c>
      <c r="LU345" s="2">
        <v>0.5</v>
      </c>
      <c r="LV345" s="2">
        <v>-0.8</v>
      </c>
      <c r="MA345" s="2">
        <v>0.3</v>
      </c>
      <c r="MB345" s="2">
        <v>-0.1</v>
      </c>
      <c r="MC345" s="2">
        <v>-0.2</v>
      </c>
      <c r="MD345" s="2">
        <v>-0.4</v>
      </c>
      <c r="ME345" s="2">
        <v>0.9</v>
      </c>
      <c r="MF345" s="2">
        <v>0</v>
      </c>
      <c r="MG345" s="2">
        <v>0</v>
      </c>
      <c r="MH345" s="2">
        <v>0.1</v>
      </c>
      <c r="MI345" s="2">
        <v>0.3</v>
      </c>
      <c r="MJ345" s="2">
        <v>0.2</v>
      </c>
      <c r="MK345" s="2">
        <v>1.7</v>
      </c>
      <c r="ML345" s="2">
        <v>0.2</v>
      </c>
      <c r="MQ345" s="2">
        <v>-0.8</v>
      </c>
      <c r="MR345" s="2">
        <v>0.6</v>
      </c>
      <c r="MS345" s="2">
        <v>2.2</v>
      </c>
      <c r="MT345" s="2">
        <v>-0.1</v>
      </c>
      <c r="MU345" s="2">
        <v>0.4</v>
      </c>
      <c r="MV345" s="2">
        <v>-0.3</v>
      </c>
      <c r="MW345" s="2">
        <v>2.6</v>
      </c>
      <c r="MX345" s="2">
        <v>1.7</v>
      </c>
      <c r="MY345" s="2">
        <v>2.1</v>
      </c>
      <c r="MZ345" s="2">
        <v>1.6</v>
      </c>
      <c r="NA345" s="2">
        <v>3.1</v>
      </c>
      <c r="NB345" s="2">
        <v>1.9</v>
      </c>
      <c r="NG345" s="2">
        <v>0.4</v>
      </c>
      <c r="NH345" s="2">
        <v>0.5</v>
      </c>
      <c r="NI345" s="2">
        <v>1.1</v>
      </c>
      <c r="NJ345" s="2">
        <v>-0.3</v>
      </c>
      <c r="NK345" s="2">
        <v>0.2</v>
      </c>
      <c r="NL345" s="2">
        <v>1.4</v>
      </c>
      <c r="NM345" s="2">
        <v>3.8</v>
      </c>
      <c r="NN345" s="2">
        <v>-1</v>
      </c>
      <c r="NO345" s="2">
        <v>0.2</v>
      </c>
      <c r="NP345" s="2">
        <v>-0.5</v>
      </c>
      <c r="NQ345" s="2">
        <v>0.1</v>
      </c>
      <c r="NR345" s="2">
        <v>0.1</v>
      </c>
      <c r="NW345" s="2">
        <v>0.4</v>
      </c>
      <c r="NX345" s="2">
        <v>-0.8</v>
      </c>
      <c r="NY345" s="2">
        <v>-0.3</v>
      </c>
      <c r="NZ345" s="2">
        <v>0</v>
      </c>
      <c r="OA345" s="2">
        <v>-0.3</v>
      </c>
      <c r="OB345" s="2">
        <v>-0.4</v>
      </c>
      <c r="OC345" s="2">
        <v>0.5</v>
      </c>
      <c r="OD345" s="2">
        <v>-1.2</v>
      </c>
      <c r="OE345" s="2">
        <v>-0.4</v>
      </c>
      <c r="OF345" s="2">
        <v>-0.4</v>
      </c>
      <c r="OG345" s="2">
        <v>1.2</v>
      </c>
      <c r="OH345" s="2">
        <v>0.5</v>
      </c>
      <c r="OM345" s="2">
        <v>0.7</v>
      </c>
      <c r="ON345" s="2">
        <v>-0.3</v>
      </c>
      <c r="OO345" s="2">
        <v>0.8</v>
      </c>
      <c r="OP345" s="2">
        <v>-0.3</v>
      </c>
      <c r="OQ345" s="2">
        <v>0.1</v>
      </c>
      <c r="OR345" s="2">
        <v>-0.6</v>
      </c>
      <c r="OS345" s="2">
        <v>-0.4</v>
      </c>
      <c r="OT345" s="2">
        <v>0.1</v>
      </c>
      <c r="OU345" s="2">
        <v>0</v>
      </c>
      <c r="OV345" s="2">
        <v>-0.1</v>
      </c>
      <c r="OW345" s="2">
        <v>-0.2</v>
      </c>
      <c r="OX345" s="2">
        <v>0.7</v>
      </c>
      <c r="PC345" s="2">
        <v>0.4</v>
      </c>
      <c r="PD345" s="2">
        <v>-0.6</v>
      </c>
      <c r="PE345" s="2">
        <v>-0.4</v>
      </c>
      <c r="PF345" s="2">
        <v>-0.5</v>
      </c>
      <c r="PG345" s="2">
        <v>1.7</v>
      </c>
      <c r="PH345" s="2">
        <v>1.4</v>
      </c>
      <c r="PI345" s="2">
        <v>-0.1</v>
      </c>
    </row>
    <row r="346">
      <c r="A346" t="inlineStr">
        <is>
          <t>A130393197W</t>
        </is>
      </c>
      <c r="B346" t="inlineStr">
        <is>
          <t>Percentage Change from Previous Period ;  Ice cream and other dairy products ;  Australia ;</t>
        </is>
      </c>
      <c r="C346" t="inlineStr">
        <is>
          <t>Month</t>
        </is>
      </c>
      <c r="D346" t="inlineStr">
        <is>
          <t>Percent</t>
        </is>
      </c>
      <c r="E346" t="inlineStr">
        <is>
          <t>Original</t>
        </is>
      </c>
      <c r="F346" t="inlineStr">
        <is>
          <t>640103.xlsx</t>
        </is>
      </c>
      <c r="G346" t="inlineStr">
        <is>
          <t>2017-10</t>
        </is>
      </c>
      <c r="H346" t="inlineStr">
        <is>
          <t>2026-07</t>
        </is>
      </c>
      <c r="JX346" s="2">
        <v>0.8</v>
      </c>
      <c r="JY346" s="2">
        <v>-1</v>
      </c>
      <c r="JZ346" s="2">
        <v>1.8</v>
      </c>
      <c r="KE346" s="2">
        <v>0.1</v>
      </c>
      <c r="KF346" s="2">
        <v>-0.9</v>
      </c>
      <c r="KG346" s="2">
        <v>0.2</v>
      </c>
      <c r="KH346" s="2">
        <v>0.5</v>
      </c>
      <c r="KI346" s="2">
        <v>-0.1</v>
      </c>
      <c r="KJ346" s="2">
        <v>0.4</v>
      </c>
      <c r="KK346" s="2">
        <v>0</v>
      </c>
      <c r="KL346" s="2">
        <v>-0.9</v>
      </c>
      <c r="KM346" s="2">
        <v>0</v>
      </c>
      <c r="KN346" s="2">
        <v>-0.1</v>
      </c>
      <c r="KO346" s="2">
        <v>-0.3</v>
      </c>
      <c r="KP346" s="2">
        <v>2</v>
      </c>
      <c r="KU346" s="2">
        <v>-0.4</v>
      </c>
      <c r="KV346" s="2">
        <v>-0.7</v>
      </c>
      <c r="KW346" s="2">
        <v>0.8</v>
      </c>
      <c r="KX346" s="2">
        <v>0.6</v>
      </c>
      <c r="KY346" s="2">
        <v>-0.1</v>
      </c>
      <c r="KZ346" s="2">
        <v>0.8</v>
      </c>
      <c r="LA346" s="2">
        <v>1.5</v>
      </c>
      <c r="LB346" s="2">
        <v>-1</v>
      </c>
      <c r="LC346" s="2">
        <v>0</v>
      </c>
      <c r="LD346" s="2">
        <v>-0.4</v>
      </c>
      <c r="LE346" s="2">
        <v>0.7</v>
      </c>
      <c r="LF346" s="2">
        <v>1.6</v>
      </c>
      <c r="LK346" s="2">
        <v>0.2</v>
      </c>
      <c r="LL346" s="2">
        <v>-1.3</v>
      </c>
      <c r="LM346" s="2">
        <v>1.5</v>
      </c>
      <c r="LN346" s="2">
        <v>1.9</v>
      </c>
      <c r="LO346" s="2">
        <v>-1.6</v>
      </c>
      <c r="LP346" s="2">
        <v>-0.2</v>
      </c>
      <c r="LQ346" s="2">
        <v>0.8</v>
      </c>
      <c r="LR346" s="2">
        <v>0.1</v>
      </c>
      <c r="LS346" s="2">
        <v>-0.1</v>
      </c>
      <c r="LT346" s="2">
        <v>-0.3</v>
      </c>
      <c r="LU346" s="2">
        <v>-0.1</v>
      </c>
      <c r="LV346" s="2">
        <v>2.1</v>
      </c>
      <c r="MA346" s="2">
        <v>-1.4</v>
      </c>
      <c r="MB346" s="2">
        <v>-1.4</v>
      </c>
      <c r="MC346" s="2">
        <v>1</v>
      </c>
      <c r="MD346" s="2">
        <v>0.6</v>
      </c>
      <c r="ME346" s="2">
        <v>-0.7</v>
      </c>
      <c r="MF346" s="2">
        <v>0.1</v>
      </c>
      <c r="MG346" s="2">
        <v>0.6</v>
      </c>
      <c r="MH346" s="2">
        <v>-0.2</v>
      </c>
      <c r="MI346" s="2">
        <v>0</v>
      </c>
      <c r="MJ346" s="2">
        <v>0.6</v>
      </c>
      <c r="MK346" s="2">
        <v>0.7</v>
      </c>
      <c r="ML346" s="2">
        <v>2.9</v>
      </c>
      <c r="MQ346" s="2">
        <v>-0.5</v>
      </c>
      <c r="MR346" s="2">
        <v>0.2</v>
      </c>
      <c r="MS346" s="2">
        <v>0.5</v>
      </c>
      <c r="MT346" s="2">
        <v>1.6</v>
      </c>
      <c r="MU346" s="2">
        <v>-0.8</v>
      </c>
      <c r="MV346" s="2">
        <v>0.4</v>
      </c>
      <c r="MW346" s="2">
        <v>2.7</v>
      </c>
      <c r="MX346" s="2">
        <v>0.6</v>
      </c>
      <c r="MY346" s="2">
        <v>1.7</v>
      </c>
      <c r="MZ346" s="2">
        <v>1.8</v>
      </c>
      <c r="NA346" s="2">
        <v>0.2</v>
      </c>
      <c r="NB346" s="2">
        <v>2.5</v>
      </c>
      <c r="NG346" s="2">
        <v>-0.9</v>
      </c>
      <c r="NH346" s="2">
        <v>-1.3</v>
      </c>
      <c r="NI346" s="2">
        <v>3.6</v>
      </c>
      <c r="NJ346" s="2">
        <v>2.3</v>
      </c>
      <c r="NK346" s="2">
        <v>-0.5</v>
      </c>
      <c r="NL346" s="2">
        <v>0.5</v>
      </c>
      <c r="NM346" s="2">
        <v>0.8</v>
      </c>
      <c r="NN346" s="2">
        <v>0.7</v>
      </c>
      <c r="NO346" s="2">
        <v>-0.7</v>
      </c>
      <c r="NP346" s="2">
        <v>0.4</v>
      </c>
      <c r="NQ346" s="2">
        <v>-0.1</v>
      </c>
      <c r="NR346" s="2">
        <v>2.5</v>
      </c>
      <c r="NW346" s="2">
        <v>-2</v>
      </c>
      <c r="NX346" s="2">
        <v>-1.2</v>
      </c>
      <c r="NY346" s="2">
        <v>1</v>
      </c>
      <c r="NZ346" s="2">
        <v>0.5</v>
      </c>
      <c r="OA346" s="2">
        <v>-0.5</v>
      </c>
      <c r="OB346" s="2">
        <v>0.1</v>
      </c>
      <c r="OC346" s="2">
        <v>0</v>
      </c>
      <c r="OD346" s="2">
        <v>0</v>
      </c>
      <c r="OE346" s="2">
        <v>-0.9</v>
      </c>
      <c r="OF346" s="2">
        <v>-0.8</v>
      </c>
      <c r="OG346" s="2">
        <v>0.4</v>
      </c>
      <c r="OH346" s="2">
        <v>1.9</v>
      </c>
      <c r="OM346" s="2">
        <v>-0.6</v>
      </c>
      <c r="ON346" s="2">
        <v>-1.4</v>
      </c>
      <c r="OO346" s="2">
        <v>2.3</v>
      </c>
      <c r="OP346" s="2">
        <v>0</v>
      </c>
      <c r="OQ346" s="2">
        <v>-1.1</v>
      </c>
      <c r="OR346" s="2">
        <v>0.1</v>
      </c>
      <c r="OS346" s="2">
        <v>0.7</v>
      </c>
      <c r="OT346" s="2">
        <v>0.9</v>
      </c>
      <c r="OU346" s="2">
        <v>1.8</v>
      </c>
      <c r="OV346" s="2">
        <v>-1</v>
      </c>
      <c r="OW346" s="2">
        <v>1.2</v>
      </c>
      <c r="OX346" s="2">
        <v>1.2</v>
      </c>
      <c r="PC346" s="2">
        <v>-1.2</v>
      </c>
      <c r="PD346" s="2">
        <v>-0.3</v>
      </c>
      <c r="PE346" s="2">
        <v>2.4</v>
      </c>
      <c r="PF346" s="2">
        <v>-0.5</v>
      </c>
      <c r="PG346" s="2">
        <v>0</v>
      </c>
      <c r="PH346" s="2">
        <v>2.2</v>
      </c>
      <c r="PI346" s="2">
        <v>0.7</v>
      </c>
    </row>
    <row r="347">
      <c r="A347" t="inlineStr">
        <is>
          <t>A130395094T</t>
        </is>
      </c>
      <c r="B347" t="inlineStr">
        <is>
          <t>Percentage Change from Previous Period ;  Fruit and vegetables ;  Australia ;</t>
        </is>
      </c>
      <c r="C347" t="inlineStr">
        <is>
          <t>Month</t>
        </is>
      </c>
      <c r="D347" t="inlineStr">
        <is>
          <t>Percent</t>
        </is>
      </c>
      <c r="E347" t="inlineStr">
        <is>
          <t>Original</t>
        </is>
      </c>
      <c r="F347" t="inlineStr">
        <is>
          <t>640103.xlsx</t>
        </is>
      </c>
      <c r="G347" t="inlineStr">
        <is>
          <t>2017-10</t>
        </is>
      </c>
      <c r="H347" t="inlineStr">
        <is>
          <t>2026-07</t>
        </is>
      </c>
      <c r="JX347" s="2">
        <v>6.4</v>
      </c>
      <c r="JY347" s="2">
        <v>5</v>
      </c>
      <c r="JZ347" s="2">
        <v>0.2</v>
      </c>
      <c r="KE347" s="2">
        <v>-0.5</v>
      </c>
      <c r="KF347" s="2">
        <v>0.8</v>
      </c>
      <c r="KG347" s="2">
        <v>-1.6</v>
      </c>
      <c r="KH347" s="2">
        <v>-2.2</v>
      </c>
      <c r="KI347" s="2">
        <v>-1.3</v>
      </c>
      <c r="KJ347" s="2">
        <v>2.6</v>
      </c>
      <c r="KK347" s="2">
        <v>0</v>
      </c>
      <c r="KL347" s="2">
        <v>0.3</v>
      </c>
      <c r="KM347" s="2">
        <v>-0.4</v>
      </c>
      <c r="KN347" s="2">
        <v>2.6</v>
      </c>
      <c r="KO347" s="2">
        <v>-1.3</v>
      </c>
      <c r="KP347" s="2">
        <v>1.2</v>
      </c>
      <c r="KU347" s="2">
        <v>-0.6</v>
      </c>
      <c r="KV347" s="2">
        <v>7.4</v>
      </c>
      <c r="KW347" s="2">
        <v>1.8</v>
      </c>
      <c r="KX347" s="2">
        <v>-6.2</v>
      </c>
      <c r="KY347" s="2">
        <v>0</v>
      </c>
      <c r="KZ347" s="2">
        <v>-1.5</v>
      </c>
      <c r="LA347" s="2">
        <v>-0.9</v>
      </c>
      <c r="LB347" s="2">
        <v>-0.8</v>
      </c>
      <c r="LC347" s="2">
        <v>-1.8</v>
      </c>
      <c r="LD347" s="2">
        <v>2.3</v>
      </c>
      <c r="LE347" s="2">
        <v>1.7</v>
      </c>
      <c r="LF347" s="2">
        <v>4.8</v>
      </c>
      <c r="LK347" s="2">
        <v>-1.2</v>
      </c>
      <c r="LL347" s="2">
        <v>3.1</v>
      </c>
      <c r="LM347" s="2">
        <v>5.1</v>
      </c>
      <c r="LN347" s="2">
        <v>-3.8</v>
      </c>
      <c r="LO347" s="2">
        <v>-3</v>
      </c>
      <c r="LP347" s="2">
        <v>4.1</v>
      </c>
      <c r="LQ347" s="2">
        <v>-2.7</v>
      </c>
      <c r="LR347" s="2">
        <v>1.5</v>
      </c>
      <c r="LS347" s="2">
        <v>-3.5</v>
      </c>
      <c r="LT347" s="2">
        <v>-1</v>
      </c>
      <c r="LU347" s="2">
        <v>1.9</v>
      </c>
      <c r="LV347" s="2">
        <v>2</v>
      </c>
      <c r="MA347" s="2">
        <v>-1.7</v>
      </c>
      <c r="MB347" s="2">
        <v>-0.9</v>
      </c>
      <c r="MC347" s="2">
        <v>-2.3</v>
      </c>
      <c r="MD347" s="2">
        <v>4.7</v>
      </c>
      <c r="ME347" s="2">
        <v>4.5</v>
      </c>
      <c r="MF347" s="2">
        <v>-1.4</v>
      </c>
      <c r="MG347" s="2">
        <v>-1.7</v>
      </c>
      <c r="MH347" s="2">
        <v>-1.7</v>
      </c>
      <c r="MI347" s="2">
        <v>-4.7</v>
      </c>
      <c r="MJ347" s="2">
        <v>0.4</v>
      </c>
      <c r="MK347" s="2">
        <v>2.4</v>
      </c>
      <c r="ML347" s="2">
        <v>2.6</v>
      </c>
      <c r="MQ347" s="2">
        <v>1.5</v>
      </c>
      <c r="MR347" s="2">
        <v>2.5</v>
      </c>
      <c r="MS347" s="2">
        <v>1</v>
      </c>
      <c r="MT347" s="2">
        <v>1.6</v>
      </c>
      <c r="MU347" s="2">
        <v>2.2</v>
      </c>
      <c r="MV347" s="2">
        <v>2.8</v>
      </c>
      <c r="MW347" s="2">
        <v>3.5</v>
      </c>
      <c r="MX347" s="2">
        <v>1.9</v>
      </c>
      <c r="MY347" s="2">
        <v>-6.1</v>
      </c>
      <c r="MZ347" s="2">
        <v>-6.3</v>
      </c>
      <c r="NA347" s="2">
        <v>2.4</v>
      </c>
      <c r="NB347" s="2">
        <v>3</v>
      </c>
      <c r="NG347" s="2">
        <v>-2.8</v>
      </c>
      <c r="NH347" s="2">
        <v>3.2</v>
      </c>
      <c r="NI347" s="2">
        <v>1.1</v>
      </c>
      <c r="NJ347" s="2">
        <v>-0.7</v>
      </c>
      <c r="NK347" s="2">
        <v>1.4</v>
      </c>
      <c r="NL347" s="2">
        <v>1</v>
      </c>
      <c r="NM347" s="2">
        <v>-3</v>
      </c>
      <c r="NN347" s="2">
        <v>-1.3</v>
      </c>
      <c r="NO347" s="2">
        <v>-3</v>
      </c>
      <c r="NP347" s="2">
        <v>-0.1</v>
      </c>
      <c r="NQ347" s="2">
        <v>2.1</v>
      </c>
      <c r="NR347" s="2">
        <v>0.1</v>
      </c>
      <c r="NW347" s="2">
        <v>0.9</v>
      </c>
      <c r="NX347" s="2">
        <v>1.1</v>
      </c>
      <c r="NY347" s="2">
        <v>0.4</v>
      </c>
      <c r="NZ347" s="2">
        <v>3.9</v>
      </c>
      <c r="OA347" s="2">
        <v>2.4</v>
      </c>
      <c r="OB347" s="2">
        <v>0.2</v>
      </c>
      <c r="OC347" s="2">
        <v>0.7</v>
      </c>
      <c r="OD347" s="2">
        <v>0.7</v>
      </c>
      <c r="OE347" s="2">
        <v>-3.6</v>
      </c>
      <c r="OF347" s="2">
        <v>-0.5</v>
      </c>
      <c r="OG347" s="2">
        <v>-0.2</v>
      </c>
      <c r="OH347" s="2">
        <v>-1.4</v>
      </c>
      <c r="OM347" s="2">
        <v>3.3</v>
      </c>
      <c r="ON347" s="2">
        <v>-0.5</v>
      </c>
      <c r="OO347" s="2">
        <v>2.7</v>
      </c>
      <c r="OP347" s="2">
        <v>2.4</v>
      </c>
      <c r="OQ347" s="2">
        <v>-0.8</v>
      </c>
      <c r="OR347" s="2">
        <v>2.3</v>
      </c>
      <c r="OS347" s="2">
        <v>0.7</v>
      </c>
      <c r="OT347" s="2">
        <v>-2.9</v>
      </c>
      <c r="OU347" s="2">
        <v>-4</v>
      </c>
      <c r="OV347" s="2">
        <v>0.5</v>
      </c>
      <c r="OW347" s="2">
        <v>0.7</v>
      </c>
      <c r="OX347" s="2">
        <v>-0.2</v>
      </c>
      <c r="PC347" s="2">
        <v>0.8</v>
      </c>
      <c r="PD347" s="2">
        <v>0</v>
      </c>
      <c r="PE347" s="2">
        <v>2.6</v>
      </c>
      <c r="PF347" s="2">
        <v>0.7</v>
      </c>
      <c r="PG347" s="2">
        <v>1.1</v>
      </c>
      <c r="PH347" s="2">
        <v>1</v>
      </c>
      <c r="PI347" s="2">
        <v>-0.8</v>
      </c>
    </row>
    <row r="348">
      <c r="A348" t="inlineStr">
        <is>
          <t>A130392448K</t>
        </is>
      </c>
      <c r="B348" t="inlineStr">
        <is>
          <t>Percentage Change from Previous Period ;  Fruit ;  Australia ;</t>
        </is>
      </c>
      <c r="C348" t="inlineStr">
        <is>
          <t>Month</t>
        </is>
      </c>
      <c r="D348" t="inlineStr">
        <is>
          <t>Percent</t>
        </is>
      </c>
      <c r="E348" t="inlineStr">
        <is>
          <t>Original</t>
        </is>
      </c>
      <c r="F348" t="inlineStr">
        <is>
          <t>640103.xlsx</t>
        </is>
      </c>
      <c r="G348" t="inlineStr">
        <is>
          <t>2017-10</t>
        </is>
      </c>
      <c r="H348" t="inlineStr">
        <is>
          <t>2026-07</t>
        </is>
      </c>
      <c r="JX348" s="2">
        <v>13.1</v>
      </c>
      <c r="JY348" s="2">
        <v>5.2</v>
      </c>
      <c r="JZ348" s="2">
        <v>1.2</v>
      </c>
      <c r="KE348" s="2">
        <v>-4.2</v>
      </c>
      <c r="KF348" s="2">
        <v>1.8</v>
      </c>
      <c r="KG348" s="2">
        <v>-2</v>
      </c>
      <c r="KH348" s="2">
        <v>-2.9</v>
      </c>
      <c r="KI348" s="2">
        <v>-0.2</v>
      </c>
      <c r="KJ348" s="2">
        <v>2.3</v>
      </c>
      <c r="KK348" s="2">
        <v>2</v>
      </c>
      <c r="KL348" s="2">
        <v>-2.6</v>
      </c>
      <c r="KM348" s="2">
        <v>-1.1</v>
      </c>
      <c r="KN348" s="2">
        <v>8.1</v>
      </c>
      <c r="KO348" s="2">
        <v>-1</v>
      </c>
      <c r="KP348" s="2">
        <v>-0.7</v>
      </c>
      <c r="KU348" s="2">
        <v>-2.6</v>
      </c>
      <c r="KV348" s="2">
        <v>10.7</v>
      </c>
      <c r="KW348" s="2">
        <v>-0.8</v>
      </c>
      <c r="KX348" s="2">
        <v>-10.1</v>
      </c>
      <c r="KY348" s="2">
        <v>4.5</v>
      </c>
      <c r="KZ348" s="2">
        <v>-1.4</v>
      </c>
      <c r="LA348" s="2">
        <v>-1.5</v>
      </c>
      <c r="LB348" s="2">
        <v>-1.7</v>
      </c>
      <c r="LC348" s="2">
        <v>-4.6</v>
      </c>
      <c r="LD348" s="2">
        <v>6</v>
      </c>
      <c r="LE348" s="2">
        <v>3</v>
      </c>
      <c r="LF348" s="2">
        <v>7.7</v>
      </c>
      <c r="LK348" s="2">
        <v>-5.7</v>
      </c>
      <c r="LL348" s="2">
        <v>3.6</v>
      </c>
      <c r="LM348" s="2">
        <v>4.8</v>
      </c>
      <c r="LN348" s="2">
        <v>-4.4</v>
      </c>
      <c r="LO348" s="2">
        <v>-2.3</v>
      </c>
      <c r="LP348" s="2">
        <v>6.1</v>
      </c>
      <c r="LQ348" s="2">
        <v>-4.7</v>
      </c>
      <c r="LR348" s="2">
        <v>1.4</v>
      </c>
      <c r="LS348" s="2">
        <v>-1.8</v>
      </c>
      <c r="LT348" s="2">
        <v>1.3</v>
      </c>
      <c r="LU348" s="2">
        <v>3.5</v>
      </c>
      <c r="LV348" s="2">
        <v>3.7</v>
      </c>
      <c r="MA348" s="2">
        <v>-5.7</v>
      </c>
      <c r="MB348" s="2">
        <v>1.6</v>
      </c>
      <c r="MC348" s="2">
        <v>-4.4</v>
      </c>
      <c r="MD348" s="2">
        <v>7.2</v>
      </c>
      <c r="ME348" s="2">
        <v>2.6</v>
      </c>
      <c r="MF348" s="2">
        <v>-4.6</v>
      </c>
      <c r="MG348" s="2">
        <v>-1.9</v>
      </c>
      <c r="MH348" s="2">
        <v>-4.2</v>
      </c>
      <c r="MI348" s="2">
        <v>-7.9</v>
      </c>
      <c r="MJ348" s="2">
        <v>2</v>
      </c>
      <c r="MK348" s="2">
        <v>4.1</v>
      </c>
      <c r="ML348" s="2">
        <v>2</v>
      </c>
      <c r="MQ348" s="2">
        <v>0.7</v>
      </c>
      <c r="MR348" s="2">
        <v>4.3</v>
      </c>
      <c r="MS348" s="2">
        <v>-1.9</v>
      </c>
      <c r="MT348" s="2">
        <v>0.8</v>
      </c>
      <c r="MU348" s="2">
        <v>3.4</v>
      </c>
      <c r="MV348" s="2">
        <v>0.8</v>
      </c>
      <c r="MW348" s="2">
        <v>6.9</v>
      </c>
      <c r="MX348" s="2">
        <v>2.5</v>
      </c>
      <c r="MY348" s="2">
        <v>-7.1</v>
      </c>
      <c r="MZ348" s="2">
        <v>-3.3</v>
      </c>
      <c r="NA348" s="2">
        <v>5.1</v>
      </c>
      <c r="NB348" s="2">
        <v>3.4</v>
      </c>
      <c r="NG348" s="2">
        <v>-4.6</v>
      </c>
      <c r="NH348" s="2">
        <v>5.5</v>
      </c>
      <c r="NI348" s="2">
        <v>0.6</v>
      </c>
      <c r="NJ348" s="2">
        <v>-3.9</v>
      </c>
      <c r="NK348" s="2">
        <v>0.6</v>
      </c>
      <c r="NL348" s="2">
        <v>5.5</v>
      </c>
      <c r="NM348" s="2">
        <v>-1.4</v>
      </c>
      <c r="NN348" s="2">
        <v>-2.8</v>
      </c>
      <c r="NO348" s="2">
        <v>-4.1</v>
      </c>
      <c r="NP348" s="2">
        <v>2.8</v>
      </c>
      <c r="NQ348" s="2">
        <v>0.8</v>
      </c>
      <c r="NR348" s="2">
        <v>-1.9</v>
      </c>
      <c r="NW348" s="2">
        <v>-2.4</v>
      </c>
      <c r="NX348" s="2">
        <v>0.3</v>
      </c>
      <c r="NY348" s="2">
        <v>0</v>
      </c>
      <c r="NZ348" s="2">
        <v>7.2</v>
      </c>
      <c r="OA348" s="2">
        <v>2.8</v>
      </c>
      <c r="OB348" s="2">
        <v>3.6</v>
      </c>
      <c r="OC348" s="2">
        <v>3.5</v>
      </c>
      <c r="OD348" s="2">
        <v>-1.7</v>
      </c>
      <c r="OE348" s="2">
        <v>-5.9</v>
      </c>
      <c r="OF348" s="2">
        <v>2.2</v>
      </c>
      <c r="OG348" s="2">
        <v>0.1</v>
      </c>
      <c r="OH348" s="2">
        <v>-2.9</v>
      </c>
      <c r="OM348" s="2">
        <v>3.3</v>
      </c>
      <c r="ON348" s="2">
        <v>-1</v>
      </c>
      <c r="OO348" s="2">
        <v>2.6</v>
      </c>
      <c r="OP348" s="2">
        <v>4.1</v>
      </c>
      <c r="OQ348" s="2">
        <v>-2.6</v>
      </c>
      <c r="OR348" s="2">
        <v>1.1</v>
      </c>
      <c r="OS348" s="2">
        <v>1.9</v>
      </c>
      <c r="OT348" s="2">
        <v>-0.8</v>
      </c>
      <c r="OU348" s="2">
        <v>-5.9</v>
      </c>
      <c r="OV348" s="2">
        <v>3.1</v>
      </c>
      <c r="OW348" s="2">
        <v>0.9</v>
      </c>
      <c r="OX348" s="2">
        <v>-2</v>
      </c>
      <c r="PC348" s="2">
        <v>-0.2</v>
      </c>
      <c r="PD348" s="2">
        <v>1.9</v>
      </c>
      <c r="PE348" s="2">
        <v>3.2</v>
      </c>
      <c r="PF348" s="2">
        <v>-2.2</v>
      </c>
      <c r="PG348" s="2">
        <v>3.5</v>
      </c>
      <c r="PH348" s="2">
        <v>3.7</v>
      </c>
      <c r="PI348" s="2">
        <v>-1.7</v>
      </c>
    </row>
    <row r="349">
      <c r="A349" t="inlineStr">
        <is>
          <t>A130397489W</t>
        </is>
      </c>
      <c r="B349" t="inlineStr">
        <is>
          <t>Percentage Change from Previous Period ;  Vegetables ;  Australia ;</t>
        </is>
      </c>
      <c r="C349" t="inlineStr">
        <is>
          <t>Month</t>
        </is>
      </c>
      <c r="D349" t="inlineStr">
        <is>
          <t>Percent</t>
        </is>
      </c>
      <c r="E349" t="inlineStr">
        <is>
          <t>Original</t>
        </is>
      </c>
      <c r="F349" t="inlineStr">
        <is>
          <t>640103.xlsx</t>
        </is>
      </c>
      <c r="G349" t="inlineStr">
        <is>
          <t>2017-10</t>
        </is>
      </c>
      <c r="H349" t="inlineStr">
        <is>
          <t>2026-07</t>
        </is>
      </c>
      <c r="JX349" s="2">
        <v>0.7</v>
      </c>
      <c r="JY349" s="2">
        <v>4.7</v>
      </c>
      <c r="JZ349" s="2">
        <v>-0.7</v>
      </c>
      <c r="KE349" s="2">
        <v>3.1</v>
      </c>
      <c r="KF349" s="2">
        <v>-0.1</v>
      </c>
      <c r="KG349" s="2">
        <v>-1.3</v>
      </c>
      <c r="KH349" s="2">
        <v>-1.6</v>
      </c>
      <c r="KI349" s="2">
        <v>-2.3</v>
      </c>
      <c r="KJ349" s="2">
        <v>2.9</v>
      </c>
      <c r="KK349" s="2">
        <v>-1.8</v>
      </c>
      <c r="KL349" s="2">
        <v>3.1</v>
      </c>
      <c r="KM349" s="2">
        <v>0.3</v>
      </c>
      <c r="KN349" s="2">
        <v>-2.1</v>
      </c>
      <c r="KO349" s="2">
        <v>-1.7</v>
      </c>
      <c r="KP349" s="2">
        <v>3</v>
      </c>
      <c r="KU349" s="2">
        <v>1.2</v>
      </c>
      <c r="KV349" s="2">
        <v>4.5</v>
      </c>
      <c r="KW349" s="2">
        <v>4.2</v>
      </c>
      <c r="KX349" s="2">
        <v>-2.7</v>
      </c>
      <c r="KY349" s="2">
        <v>-3.8</v>
      </c>
      <c r="KZ349" s="2">
        <v>-1.7</v>
      </c>
      <c r="LA349" s="2">
        <v>-0.2</v>
      </c>
      <c r="LB349" s="2">
        <v>-0.1</v>
      </c>
      <c r="LC349" s="2">
        <v>0.6</v>
      </c>
      <c r="LD349" s="2">
        <v>-0.7</v>
      </c>
      <c r="LE349" s="2">
        <v>0.6</v>
      </c>
      <c r="LF349" s="2">
        <v>2.3</v>
      </c>
      <c r="LK349" s="2">
        <v>3.1</v>
      </c>
      <c r="LL349" s="2">
        <v>2.6</v>
      </c>
      <c r="LM349" s="2">
        <v>5.3</v>
      </c>
      <c r="LN349" s="2">
        <v>-3.2</v>
      </c>
      <c r="LO349" s="2">
        <v>-3.6</v>
      </c>
      <c r="LP349" s="2">
        <v>2.5</v>
      </c>
      <c r="LQ349" s="2">
        <v>-0.8</v>
      </c>
      <c r="LR349" s="2">
        <v>1.6</v>
      </c>
      <c r="LS349" s="2">
        <v>-4.9</v>
      </c>
      <c r="LT349" s="2">
        <v>-2.8</v>
      </c>
      <c r="LU349" s="2">
        <v>0.5</v>
      </c>
      <c r="LV349" s="2">
        <v>0.6</v>
      </c>
      <c r="MA349" s="2">
        <v>1.9</v>
      </c>
      <c r="MB349" s="2">
        <v>-3.1</v>
      </c>
      <c r="MC349" s="2">
        <v>-0.4</v>
      </c>
      <c r="MD349" s="2">
        <v>2.5</v>
      </c>
      <c r="ME349" s="2">
        <v>6.1</v>
      </c>
      <c r="MF349" s="2">
        <v>1.2</v>
      </c>
      <c r="MG349" s="2">
        <v>-1.6</v>
      </c>
      <c r="MH349" s="2">
        <v>0.3</v>
      </c>
      <c r="MI349" s="2">
        <v>-2.3</v>
      </c>
      <c r="MJ349" s="2">
        <v>-0.7</v>
      </c>
      <c r="MK349" s="2">
        <v>1.2</v>
      </c>
      <c r="ML349" s="2">
        <v>3.1</v>
      </c>
      <c r="MQ349" s="2">
        <v>2.2</v>
      </c>
      <c r="MR349" s="2">
        <v>1.2</v>
      </c>
      <c r="MS349" s="2">
        <v>3.2</v>
      </c>
      <c r="MT349" s="2">
        <v>2.1</v>
      </c>
      <c r="MU349" s="2">
        <v>1.4</v>
      </c>
      <c r="MV349" s="2">
        <v>4.2</v>
      </c>
      <c r="MW349" s="2">
        <v>1.2</v>
      </c>
      <c r="MX349" s="2">
        <v>1.5</v>
      </c>
      <c r="MY349" s="2">
        <v>-5.4</v>
      </c>
      <c r="MZ349" s="2">
        <v>-8.4</v>
      </c>
      <c r="NA349" s="2">
        <v>0.5</v>
      </c>
      <c r="NB349" s="2">
        <v>2.7</v>
      </c>
      <c r="NG349" s="2">
        <v>-1.5</v>
      </c>
      <c r="NH349" s="2">
        <v>1.6</v>
      </c>
      <c r="NI349" s="2">
        <v>1.4</v>
      </c>
      <c r="NJ349" s="2">
        <v>1.6</v>
      </c>
      <c r="NK349" s="2">
        <v>2</v>
      </c>
      <c r="NL349" s="2">
        <v>-2.1</v>
      </c>
      <c r="NM349" s="2">
        <v>-4.1</v>
      </c>
      <c r="NN349" s="2">
        <v>-0.1</v>
      </c>
      <c r="NO349" s="2">
        <v>-2.3</v>
      </c>
      <c r="NP349" s="2">
        <v>-2.1</v>
      </c>
      <c r="NQ349" s="2">
        <v>3</v>
      </c>
      <c r="NR349" s="2">
        <v>1.6</v>
      </c>
      <c r="NW349" s="2">
        <v>3.3</v>
      </c>
      <c r="NX349" s="2">
        <v>1.7</v>
      </c>
      <c r="NY349" s="2">
        <v>0.8</v>
      </c>
      <c r="NZ349" s="2">
        <v>1.6</v>
      </c>
      <c r="OA349" s="2">
        <v>2.1</v>
      </c>
      <c r="OB349" s="2">
        <v>-2.2</v>
      </c>
      <c r="OC349" s="2">
        <v>-1.4</v>
      </c>
      <c r="OD349" s="2">
        <v>2.7</v>
      </c>
      <c r="OE349" s="2">
        <v>-1.7</v>
      </c>
      <c r="OF349" s="2">
        <v>-2.6</v>
      </c>
      <c r="OG349" s="2">
        <v>-0.5</v>
      </c>
      <c r="OH349" s="2">
        <v>-0.2</v>
      </c>
      <c r="OM349" s="2">
        <v>3.3</v>
      </c>
      <c r="ON349" s="2">
        <v>-0.1</v>
      </c>
      <c r="OO349" s="2">
        <v>2.7</v>
      </c>
      <c r="OP349" s="2">
        <v>1</v>
      </c>
      <c r="OQ349" s="2">
        <v>0.8</v>
      </c>
      <c r="OR349" s="2">
        <v>3.2</v>
      </c>
      <c r="OS349" s="2">
        <v>-0.2</v>
      </c>
      <c r="OT349" s="2">
        <v>-4.6</v>
      </c>
      <c r="OU349" s="2">
        <v>-2.4</v>
      </c>
      <c r="OV349" s="2">
        <v>-1.5</v>
      </c>
      <c r="OW349" s="2">
        <v>0.5</v>
      </c>
      <c r="OX349" s="2">
        <v>1.3</v>
      </c>
      <c r="PC349" s="2">
        <v>1.5</v>
      </c>
      <c r="PD349" s="2">
        <v>-1.6</v>
      </c>
      <c r="PE349" s="2">
        <v>2</v>
      </c>
      <c r="PF349" s="2">
        <v>3.1</v>
      </c>
      <c r="PG349" s="2">
        <v>-0.9</v>
      </c>
      <c r="PH349" s="2">
        <v>-1.4</v>
      </c>
      <c r="PI349" s="2">
        <v>-0.1</v>
      </c>
    </row>
    <row r="350">
      <c r="A350" t="inlineStr">
        <is>
          <t>A130391482W</t>
        </is>
      </c>
      <c r="B350" t="inlineStr">
        <is>
          <t>Percentage Change from Previous Period ;  Food products n.e.c. ;  Australia ;</t>
        </is>
      </c>
      <c r="C350" t="inlineStr">
        <is>
          <t>Month</t>
        </is>
      </c>
      <c r="D350" t="inlineStr">
        <is>
          <t>Percent</t>
        </is>
      </c>
      <c r="E350" t="inlineStr">
        <is>
          <t>Original</t>
        </is>
      </c>
      <c r="F350" t="inlineStr">
        <is>
          <t>640103.xlsx</t>
        </is>
      </c>
      <c r="G350" t="inlineStr">
        <is>
          <t>2017-10</t>
        </is>
      </c>
      <c r="H350" t="inlineStr">
        <is>
          <t>2026-07</t>
        </is>
      </c>
      <c r="JX350" s="2">
        <v>0.3</v>
      </c>
      <c r="JY350" s="2">
        <v>0.2</v>
      </c>
      <c r="JZ350" s="2">
        <v>0.8</v>
      </c>
      <c r="KE350" s="2">
        <v>0.3</v>
      </c>
      <c r="KF350" s="2">
        <v>-1</v>
      </c>
      <c r="KG350" s="2">
        <v>-0.1</v>
      </c>
      <c r="KH350" s="2">
        <v>-0.1</v>
      </c>
      <c r="KI350" s="2">
        <v>-0.8</v>
      </c>
      <c r="KJ350" s="2">
        <v>0</v>
      </c>
      <c r="KK350" s="2">
        <v>0.6</v>
      </c>
      <c r="KL350" s="2">
        <v>0.4</v>
      </c>
      <c r="KM350" s="2">
        <v>-1.2</v>
      </c>
      <c r="KN350" s="2">
        <v>1</v>
      </c>
      <c r="KO350" s="2">
        <v>-0.1</v>
      </c>
      <c r="KP350" s="2">
        <v>0.7</v>
      </c>
      <c r="KU350" s="2">
        <v>0.6</v>
      </c>
      <c r="KV350" s="2">
        <v>-0.5</v>
      </c>
      <c r="KW350" s="2">
        <v>-0.4</v>
      </c>
      <c r="KX350" s="2">
        <v>0.1</v>
      </c>
      <c r="KY350" s="2">
        <v>-0.7</v>
      </c>
      <c r="KZ350" s="2">
        <v>-0.1</v>
      </c>
      <c r="LA350" s="2">
        <v>1</v>
      </c>
      <c r="LB350" s="2">
        <v>0</v>
      </c>
      <c r="LC350" s="2">
        <v>-0.6</v>
      </c>
      <c r="LD350" s="2">
        <v>1.1</v>
      </c>
      <c r="LE350" s="2">
        <v>1</v>
      </c>
      <c r="LF350" s="2">
        <v>0.5</v>
      </c>
      <c r="LK350" s="2">
        <v>1.2</v>
      </c>
      <c r="LL350" s="2">
        <v>-1</v>
      </c>
      <c r="LM350" s="2">
        <v>3.2</v>
      </c>
      <c r="LN350" s="2">
        <v>2.9</v>
      </c>
      <c r="LO350" s="2">
        <v>-3.7</v>
      </c>
      <c r="LP350" s="2">
        <v>-1</v>
      </c>
      <c r="LQ350" s="2">
        <v>0.5</v>
      </c>
      <c r="LR350" s="2">
        <v>-0.2</v>
      </c>
      <c r="LS350" s="2">
        <v>-0.4</v>
      </c>
      <c r="LT350" s="2">
        <v>0.7</v>
      </c>
      <c r="LU350" s="2">
        <v>0</v>
      </c>
      <c r="LV350" s="2">
        <v>0.7</v>
      </c>
      <c r="MA350" s="2">
        <v>0.8</v>
      </c>
      <c r="MB350" s="2">
        <v>-1.2</v>
      </c>
      <c r="MC350" s="2">
        <v>-0.2</v>
      </c>
      <c r="MD350" s="2">
        <v>0.1</v>
      </c>
      <c r="ME350" s="2">
        <v>-0.9</v>
      </c>
      <c r="MF350" s="2">
        <v>0.5</v>
      </c>
      <c r="MG350" s="2">
        <v>0.8</v>
      </c>
      <c r="MH350" s="2">
        <v>0.2</v>
      </c>
      <c r="MI350" s="2">
        <v>0</v>
      </c>
      <c r="MJ350" s="2">
        <v>0.5</v>
      </c>
      <c r="MK350" s="2">
        <v>0.5</v>
      </c>
      <c r="ML350" s="2">
        <v>0.6</v>
      </c>
      <c r="MQ350" s="2">
        <v>1.8</v>
      </c>
      <c r="MR350" s="2">
        <v>0.4</v>
      </c>
      <c r="MS350" s="2">
        <v>0.6</v>
      </c>
      <c r="MT350" s="2">
        <v>0.6</v>
      </c>
      <c r="MU350" s="2">
        <v>-0.2</v>
      </c>
      <c r="MV350" s="2">
        <v>1.3</v>
      </c>
      <c r="MW350" s="2">
        <v>1.8</v>
      </c>
      <c r="MX350" s="2">
        <v>1.5</v>
      </c>
      <c r="MY350" s="2">
        <v>0.5</v>
      </c>
      <c r="MZ350" s="2">
        <v>0.9</v>
      </c>
      <c r="NA350" s="2">
        <v>0.5</v>
      </c>
      <c r="NB350" s="2">
        <v>1.6</v>
      </c>
      <c r="NG350" s="2">
        <v>1</v>
      </c>
      <c r="NH350" s="2">
        <v>1.1</v>
      </c>
      <c r="NI350" s="2">
        <v>0.6</v>
      </c>
      <c r="NJ350" s="2">
        <v>0.4</v>
      </c>
      <c r="NK350" s="2">
        <v>-0.3</v>
      </c>
      <c r="NL350" s="2">
        <v>0.4</v>
      </c>
      <c r="NM350" s="2">
        <v>-0.2</v>
      </c>
      <c r="NN350" s="2">
        <v>0.2</v>
      </c>
      <c r="NO350" s="2">
        <v>0.5</v>
      </c>
      <c r="NP350" s="2">
        <v>0.3</v>
      </c>
      <c r="NQ350" s="2">
        <v>0.9</v>
      </c>
      <c r="NR350" s="2">
        <v>1.6</v>
      </c>
      <c r="NW350" s="2">
        <v>1.2</v>
      </c>
      <c r="NX350" s="2">
        <v>-0.9</v>
      </c>
      <c r="NY350" s="2">
        <v>-0.3</v>
      </c>
      <c r="NZ350" s="2">
        <v>0.7</v>
      </c>
      <c r="OA350" s="2">
        <v>-0.4</v>
      </c>
      <c r="OB350" s="2">
        <v>0</v>
      </c>
      <c r="OC350" s="2">
        <v>0.5</v>
      </c>
      <c r="OD350" s="2">
        <v>0</v>
      </c>
      <c r="OE350" s="2">
        <v>0.4</v>
      </c>
      <c r="OF350" s="2">
        <v>0</v>
      </c>
      <c r="OG350" s="2">
        <v>0.5</v>
      </c>
      <c r="OH350" s="2">
        <v>1.3</v>
      </c>
      <c r="OM350" s="2">
        <v>1.3</v>
      </c>
      <c r="ON350" s="2">
        <v>-1.3</v>
      </c>
      <c r="OO350" s="2">
        <v>0.3</v>
      </c>
      <c r="OP350" s="2">
        <v>1</v>
      </c>
      <c r="OQ350" s="2">
        <v>-0.3</v>
      </c>
      <c r="OR350" s="2">
        <v>0.1</v>
      </c>
      <c r="OS350" s="2">
        <v>0.4</v>
      </c>
      <c r="OT350" s="2">
        <v>0.5</v>
      </c>
      <c r="OU350" s="2">
        <v>0.6</v>
      </c>
      <c r="OV350" s="2">
        <v>-0.5</v>
      </c>
      <c r="OW350" s="2">
        <v>0.2</v>
      </c>
      <c r="OX350" s="2">
        <v>0.9</v>
      </c>
      <c r="PC350" s="2">
        <v>1.1</v>
      </c>
      <c r="PD350" s="2">
        <v>-1.1</v>
      </c>
      <c r="PE350" s="2">
        <v>0.1</v>
      </c>
      <c r="PF350" s="2">
        <v>0.2</v>
      </c>
      <c r="PG350" s="2">
        <v>-0.9</v>
      </c>
      <c r="PH350" s="2">
        <v>-0.2</v>
      </c>
      <c r="PI350" s="2">
        <v>0</v>
      </c>
    </row>
    <row r="351">
      <c r="A351" t="inlineStr">
        <is>
          <t>A130390621T</t>
        </is>
      </c>
      <c r="B351" t="inlineStr">
        <is>
          <t>Percentage Change from Previous Period ;  Eggs ;  Australia ;</t>
        </is>
      </c>
      <c r="C351" t="inlineStr">
        <is>
          <t>Month</t>
        </is>
      </c>
      <c r="D351" t="inlineStr">
        <is>
          <t>Percent</t>
        </is>
      </c>
      <c r="E351" t="inlineStr">
        <is>
          <t>Original</t>
        </is>
      </c>
      <c r="F351" t="inlineStr">
        <is>
          <t>640103.xlsx</t>
        </is>
      </c>
      <c r="G351" t="inlineStr">
        <is>
          <t>2017-10</t>
        </is>
      </c>
      <c r="H351" t="inlineStr">
        <is>
          <t>2026-07</t>
        </is>
      </c>
      <c r="JX351" s="2">
        <v>-0.7</v>
      </c>
      <c r="JY351" s="2">
        <v>0.5</v>
      </c>
      <c r="JZ351" s="2">
        <v>0.2</v>
      </c>
      <c r="KE351" s="2">
        <v>-0.7</v>
      </c>
      <c r="KF351" s="2">
        <v>0.4</v>
      </c>
      <c r="KG351" s="2">
        <v>0.8</v>
      </c>
      <c r="KH351" s="2">
        <v>0.5</v>
      </c>
      <c r="KI351" s="2">
        <v>-0.8</v>
      </c>
      <c r="KJ351" s="2">
        <v>0.3</v>
      </c>
      <c r="KK351" s="2">
        <v>-0.5</v>
      </c>
      <c r="KL351" s="2">
        <v>-0.3</v>
      </c>
      <c r="KM351" s="2">
        <v>-0.2</v>
      </c>
      <c r="KN351" s="2">
        <v>0.5</v>
      </c>
      <c r="KO351" s="2">
        <v>0</v>
      </c>
      <c r="KP351" s="2">
        <v>0.5</v>
      </c>
      <c r="KU351" s="2">
        <v>0</v>
      </c>
      <c r="KV351" s="2">
        <v>-0.3</v>
      </c>
      <c r="KW351" s="2">
        <v>0.3</v>
      </c>
      <c r="KX351" s="2">
        <v>0.7</v>
      </c>
      <c r="KY351" s="2">
        <v>0.1</v>
      </c>
      <c r="KZ351" s="2">
        <v>0.5</v>
      </c>
      <c r="LA351" s="2">
        <v>1.4</v>
      </c>
      <c r="LB351" s="2">
        <v>1</v>
      </c>
      <c r="LC351" s="2">
        <v>0.3</v>
      </c>
      <c r="LD351" s="2">
        <v>0.7</v>
      </c>
      <c r="LE351" s="2">
        <v>0</v>
      </c>
      <c r="LF351" s="2">
        <v>0.2</v>
      </c>
      <c r="LK351" s="2">
        <v>0.1</v>
      </c>
      <c r="LL351" s="2">
        <v>0.5</v>
      </c>
      <c r="LM351" s="2">
        <v>0.8</v>
      </c>
      <c r="LN351" s="2">
        <v>1.4</v>
      </c>
      <c r="LO351" s="2">
        <v>-0.2</v>
      </c>
      <c r="LP351" s="2">
        <v>-0.2</v>
      </c>
      <c r="LQ351" s="2">
        <v>0</v>
      </c>
      <c r="LR351" s="2">
        <v>0</v>
      </c>
      <c r="LS351" s="2">
        <v>-0.1</v>
      </c>
      <c r="LT351" s="2">
        <v>-0.6</v>
      </c>
      <c r="LU351" s="2">
        <v>-0.5</v>
      </c>
      <c r="LV351" s="2">
        <v>0.5</v>
      </c>
      <c r="MA351" s="2">
        <v>0.1</v>
      </c>
      <c r="MB351" s="2">
        <v>0</v>
      </c>
      <c r="MC351" s="2">
        <v>-0.8</v>
      </c>
      <c r="MD351" s="2">
        <v>0</v>
      </c>
      <c r="ME351" s="2">
        <v>0</v>
      </c>
      <c r="MF351" s="2">
        <v>1</v>
      </c>
      <c r="MG351" s="2">
        <v>0.2</v>
      </c>
      <c r="MH351" s="2">
        <v>0.1</v>
      </c>
      <c r="MI351" s="2">
        <v>-0.4</v>
      </c>
      <c r="MJ351" s="2">
        <v>0.4</v>
      </c>
      <c r="MK351" s="2">
        <v>-1.1</v>
      </c>
      <c r="ML351" s="2">
        <v>0.4</v>
      </c>
      <c r="MQ351" s="2">
        <v>0.9</v>
      </c>
      <c r="MR351" s="2">
        <v>0.5</v>
      </c>
      <c r="MS351" s="2">
        <v>0.7</v>
      </c>
      <c r="MT351" s="2">
        <v>0.7</v>
      </c>
      <c r="MU351" s="2">
        <v>0.5</v>
      </c>
      <c r="MV351" s="2">
        <v>5</v>
      </c>
      <c r="MW351" s="2">
        <v>1.2</v>
      </c>
      <c r="MX351" s="2">
        <v>0.9</v>
      </c>
      <c r="MY351" s="2">
        <v>0.3</v>
      </c>
      <c r="MZ351" s="2">
        <v>0.2</v>
      </c>
      <c r="NA351" s="2">
        <v>0.1</v>
      </c>
      <c r="NB351" s="2">
        <v>0.1</v>
      </c>
      <c r="NG351" s="2">
        <v>0.3</v>
      </c>
      <c r="NH351" s="2">
        <v>3.1</v>
      </c>
      <c r="NI351" s="2">
        <v>0.5</v>
      </c>
      <c r="NJ351" s="2">
        <v>0</v>
      </c>
      <c r="NK351" s="2">
        <v>0.6</v>
      </c>
      <c r="NL351" s="2">
        <v>0.9</v>
      </c>
      <c r="NM351" s="2">
        <v>0.5</v>
      </c>
      <c r="NN351" s="2">
        <v>0.2</v>
      </c>
      <c r="NO351" s="2">
        <v>2.3</v>
      </c>
      <c r="NP351" s="2">
        <v>1.9</v>
      </c>
      <c r="NQ351" s="2">
        <v>-0.2</v>
      </c>
      <c r="NR351" s="2">
        <v>0.3</v>
      </c>
      <c r="NW351" s="2">
        <v>-0.2</v>
      </c>
      <c r="NX351" s="2">
        <v>0.2</v>
      </c>
      <c r="NY351" s="2">
        <v>0.2</v>
      </c>
      <c r="NZ351" s="2">
        <v>0</v>
      </c>
      <c r="OA351" s="2">
        <v>0.4</v>
      </c>
      <c r="OB351" s="2">
        <v>0.4</v>
      </c>
      <c r="OC351" s="2">
        <v>1.2</v>
      </c>
      <c r="OD351" s="2">
        <v>2.3</v>
      </c>
      <c r="OE351" s="2">
        <v>4.8</v>
      </c>
      <c r="OF351" s="2">
        <v>1</v>
      </c>
      <c r="OG351" s="2">
        <v>0.5</v>
      </c>
      <c r="OH351" s="2">
        <v>0.2</v>
      </c>
      <c r="OM351" s="2">
        <v>0.4</v>
      </c>
      <c r="ON351" s="2">
        <v>0.1</v>
      </c>
      <c r="OO351" s="2">
        <v>1.6</v>
      </c>
      <c r="OP351" s="2">
        <v>4.5</v>
      </c>
      <c r="OQ351" s="2">
        <v>0.9</v>
      </c>
      <c r="OR351" s="2">
        <v>0.5</v>
      </c>
      <c r="OS351" s="2">
        <v>-0.1</v>
      </c>
      <c r="OT351" s="2">
        <v>-0.3</v>
      </c>
      <c r="OU351" s="2">
        <v>-1.1</v>
      </c>
      <c r="OV351" s="2">
        <v>-1.2</v>
      </c>
      <c r="OW351" s="2">
        <v>-1.1</v>
      </c>
      <c r="OX351" s="2">
        <v>-1.1</v>
      </c>
      <c r="PC351" s="2">
        <v>-0.1</v>
      </c>
      <c r="PD351" s="2">
        <v>0.8</v>
      </c>
      <c r="PE351" s="2">
        <v>0.1</v>
      </c>
      <c r="PF351" s="2">
        <v>-1</v>
      </c>
      <c r="PG351" s="2">
        <v>0.4</v>
      </c>
      <c r="PH351" s="2">
        <v>-0.8</v>
      </c>
      <c r="PI351" s="2">
        <v>0.1</v>
      </c>
    </row>
    <row r="352">
      <c r="A352" t="inlineStr">
        <is>
          <t>A130391965R</t>
        </is>
      </c>
      <c r="B352" t="inlineStr">
        <is>
          <t>Percentage Change from Previous Period ;  Jams, honey and spreads ;  Australia ;</t>
        </is>
      </c>
      <c r="C352" t="inlineStr">
        <is>
          <t>Month</t>
        </is>
      </c>
      <c r="D352" t="inlineStr">
        <is>
          <t>Percent</t>
        </is>
      </c>
      <c r="E352" t="inlineStr">
        <is>
          <t>Original</t>
        </is>
      </c>
      <c r="F352" t="inlineStr">
        <is>
          <t>640103.xlsx</t>
        </is>
      </c>
      <c r="G352" t="inlineStr">
        <is>
          <t>2017-10</t>
        </is>
      </c>
      <c r="H352" t="inlineStr">
        <is>
          <t>2026-07</t>
        </is>
      </c>
      <c r="JX352" s="2">
        <v>0.6</v>
      </c>
      <c r="JY352" s="2">
        <v>-0.4</v>
      </c>
      <c r="JZ352" s="2">
        <v>0</v>
      </c>
      <c r="KE352" s="2">
        <v>0</v>
      </c>
      <c r="KF352" s="2">
        <v>-1.8</v>
      </c>
      <c r="KG352" s="2">
        <v>2</v>
      </c>
      <c r="KH352" s="2">
        <v>-3</v>
      </c>
      <c r="KI352" s="2">
        <v>2.9</v>
      </c>
      <c r="KJ352" s="2">
        <v>-1.3</v>
      </c>
      <c r="KK352" s="2">
        <v>1.2</v>
      </c>
      <c r="KL352" s="2">
        <v>-0.5</v>
      </c>
      <c r="KM352" s="2">
        <v>0.2</v>
      </c>
      <c r="KN352" s="2">
        <v>-0.1</v>
      </c>
      <c r="KO352" s="2">
        <v>-0.4</v>
      </c>
      <c r="KP352" s="2">
        <v>1.1</v>
      </c>
      <c r="KU352" s="2">
        <v>-0.2</v>
      </c>
      <c r="KV352" s="2">
        <v>0.2</v>
      </c>
      <c r="KW352" s="2">
        <v>0.3</v>
      </c>
      <c r="KX352" s="2">
        <v>0.3</v>
      </c>
      <c r="KY352" s="2">
        <v>-0.5</v>
      </c>
      <c r="KZ352" s="2">
        <v>0.6</v>
      </c>
      <c r="LA352" s="2">
        <v>-1</v>
      </c>
      <c r="LB352" s="2">
        <v>1.4</v>
      </c>
      <c r="LC352" s="2">
        <v>-1</v>
      </c>
      <c r="LD352" s="2">
        <v>0.1</v>
      </c>
      <c r="LE352" s="2">
        <v>-0.3</v>
      </c>
      <c r="LF352" s="2">
        <v>2.4</v>
      </c>
      <c r="LK352" s="2">
        <v>-0.4</v>
      </c>
      <c r="LL352" s="2">
        <v>-0.6</v>
      </c>
      <c r="LM352" s="2">
        <v>4.4</v>
      </c>
      <c r="LN352" s="2">
        <v>1.4</v>
      </c>
      <c r="LO352" s="2">
        <v>-1.3</v>
      </c>
      <c r="LP352" s="2">
        <v>-0.5</v>
      </c>
      <c r="LQ352" s="2">
        <v>-0.5</v>
      </c>
      <c r="LR352" s="2">
        <v>1.4</v>
      </c>
      <c r="LS352" s="2">
        <v>0.1</v>
      </c>
      <c r="LT352" s="2">
        <v>-0.8</v>
      </c>
      <c r="LU352" s="2">
        <v>-0.4</v>
      </c>
      <c r="LV352" s="2">
        <v>1.4</v>
      </c>
      <c r="MA352" s="2">
        <v>-1.6</v>
      </c>
      <c r="MB352" s="2">
        <v>-0.6</v>
      </c>
      <c r="MC352" s="2">
        <v>1.3</v>
      </c>
      <c r="MD352" s="2">
        <v>0.1</v>
      </c>
      <c r="ME352" s="2">
        <v>-0.2</v>
      </c>
      <c r="MF352" s="2">
        <v>0.5</v>
      </c>
      <c r="MG352" s="2">
        <v>-0.8</v>
      </c>
      <c r="MH352" s="2">
        <v>0.4</v>
      </c>
      <c r="MI352" s="2">
        <v>0.7</v>
      </c>
      <c r="MJ352" s="2">
        <v>0.1</v>
      </c>
      <c r="MK352" s="2">
        <v>-0.3</v>
      </c>
      <c r="ML352" s="2">
        <v>1.1</v>
      </c>
      <c r="MQ352" s="2">
        <v>-0.4</v>
      </c>
      <c r="MR352" s="2">
        <v>0.1</v>
      </c>
      <c r="MS352" s="2">
        <v>1.4</v>
      </c>
      <c r="MT352" s="2">
        <v>0.3</v>
      </c>
      <c r="MU352" s="2">
        <v>-0.7</v>
      </c>
      <c r="MV352" s="2">
        <v>1.9</v>
      </c>
      <c r="MW352" s="2">
        <v>2</v>
      </c>
      <c r="MX352" s="2">
        <v>1.8</v>
      </c>
      <c r="MY352" s="2">
        <v>-0.3</v>
      </c>
      <c r="MZ352" s="2">
        <v>0.1</v>
      </c>
      <c r="NA352" s="2">
        <v>0.2</v>
      </c>
      <c r="NB352" s="2">
        <v>1.2</v>
      </c>
      <c r="NG352" s="2">
        <v>-0.4</v>
      </c>
      <c r="NH352" s="2">
        <v>-0.5</v>
      </c>
      <c r="NI352" s="2">
        <v>1.6</v>
      </c>
      <c r="NJ352" s="2">
        <v>-1.3</v>
      </c>
      <c r="NK352" s="2">
        <v>0.1</v>
      </c>
      <c r="NL352" s="2">
        <v>1.2</v>
      </c>
      <c r="NM352" s="2">
        <v>0.7</v>
      </c>
      <c r="NN352" s="2">
        <v>1.3</v>
      </c>
      <c r="NO352" s="2">
        <v>-0.3</v>
      </c>
      <c r="NP352" s="2">
        <v>1.1</v>
      </c>
      <c r="NQ352" s="2">
        <v>0.1</v>
      </c>
      <c r="NR352" s="2">
        <v>0.9</v>
      </c>
      <c r="NW352" s="2">
        <v>-0.5</v>
      </c>
      <c r="NX352" s="2">
        <v>-0.5</v>
      </c>
      <c r="NY352" s="2">
        <v>0.7</v>
      </c>
      <c r="NZ352" s="2">
        <v>-1</v>
      </c>
      <c r="OA352" s="2">
        <v>-0.2</v>
      </c>
      <c r="OB352" s="2">
        <v>0.6</v>
      </c>
      <c r="OC352" s="2">
        <v>-0.5</v>
      </c>
      <c r="OD352" s="2">
        <v>1.8</v>
      </c>
      <c r="OE352" s="2">
        <v>-1</v>
      </c>
      <c r="OF352" s="2">
        <v>1.1</v>
      </c>
      <c r="OG352" s="2">
        <v>0.1</v>
      </c>
      <c r="OH352" s="2">
        <v>-0.2</v>
      </c>
      <c r="OM352" s="2">
        <v>0</v>
      </c>
      <c r="ON352" s="2">
        <v>-0.5</v>
      </c>
      <c r="OO352" s="2">
        <v>0.7</v>
      </c>
      <c r="OP352" s="2">
        <v>-0.3</v>
      </c>
      <c r="OQ352" s="2">
        <v>-0.4</v>
      </c>
      <c r="OR352" s="2">
        <v>0.7</v>
      </c>
      <c r="OS352" s="2">
        <v>-0.2</v>
      </c>
      <c r="OT352" s="2">
        <v>1.3</v>
      </c>
      <c r="OU352" s="2">
        <v>1.1</v>
      </c>
      <c r="OV352" s="2">
        <v>-0.5</v>
      </c>
      <c r="OW352" s="2">
        <v>0.6</v>
      </c>
      <c r="OX352" s="2">
        <v>0.1</v>
      </c>
      <c r="PC352" s="2">
        <v>0.8</v>
      </c>
      <c r="PD352" s="2">
        <v>-0.9</v>
      </c>
      <c r="PE352" s="2">
        <v>1.2</v>
      </c>
      <c r="PF352" s="2">
        <v>-0.7</v>
      </c>
      <c r="PG352" s="2">
        <v>0</v>
      </c>
      <c r="PH352" s="2">
        <v>-0.2</v>
      </c>
      <c r="PI352" s="2">
        <v>0.6</v>
      </c>
    </row>
    <row r="353">
      <c r="A353" t="inlineStr">
        <is>
          <t>A130392217A</t>
        </is>
      </c>
      <c r="B353" t="inlineStr">
        <is>
          <t>Percentage Change from Previous Period ;  Food additives and condiments ;  Australia ;</t>
        </is>
      </c>
      <c r="C353" t="inlineStr">
        <is>
          <t>Month</t>
        </is>
      </c>
      <c r="D353" t="inlineStr">
        <is>
          <t>Percent</t>
        </is>
      </c>
      <c r="E353" t="inlineStr">
        <is>
          <t>Original</t>
        </is>
      </c>
      <c r="F353" t="inlineStr">
        <is>
          <t>640103.xlsx</t>
        </is>
      </c>
      <c r="G353" t="inlineStr">
        <is>
          <t>2017-10</t>
        </is>
      </c>
      <c r="H353" t="inlineStr">
        <is>
          <t>2026-07</t>
        </is>
      </c>
      <c r="JX353" s="2">
        <v>0.6</v>
      </c>
      <c r="JY353" s="2">
        <v>0.4</v>
      </c>
      <c r="JZ353" s="2">
        <v>-1.2</v>
      </c>
      <c r="KE353" s="2">
        <v>2.1</v>
      </c>
      <c r="KF353" s="2">
        <v>-0.5</v>
      </c>
      <c r="KG353" s="2">
        <v>-0.1</v>
      </c>
      <c r="KH353" s="2">
        <v>-1.3</v>
      </c>
      <c r="KI353" s="2">
        <v>-0.3</v>
      </c>
      <c r="KJ353" s="2">
        <v>0.3</v>
      </c>
      <c r="KK353" s="2">
        <v>0.2</v>
      </c>
      <c r="KL353" s="2">
        <v>-0.1</v>
      </c>
      <c r="KM353" s="2">
        <v>-2.2</v>
      </c>
      <c r="KN353" s="2">
        <v>2.5</v>
      </c>
      <c r="KO353" s="2">
        <v>-0.2</v>
      </c>
      <c r="KP353" s="2">
        <v>-1.6</v>
      </c>
      <c r="KU353" s="2">
        <v>2.2</v>
      </c>
      <c r="KV353" s="2">
        <v>0.3</v>
      </c>
      <c r="KW353" s="2">
        <v>-0.2</v>
      </c>
      <c r="KX353" s="2">
        <v>-2.2</v>
      </c>
      <c r="KY353" s="2">
        <v>0.7</v>
      </c>
      <c r="KZ353" s="2">
        <v>0.4</v>
      </c>
      <c r="LA353" s="2">
        <v>0.3</v>
      </c>
      <c r="LB353" s="2">
        <v>0.6</v>
      </c>
      <c r="LC353" s="2">
        <v>-1.6</v>
      </c>
      <c r="LD353" s="2">
        <v>1.6</v>
      </c>
      <c r="LE353" s="2">
        <v>0.5</v>
      </c>
      <c r="LF353" s="2">
        <v>-1.4</v>
      </c>
      <c r="LK353" s="2">
        <v>2.1</v>
      </c>
      <c r="LL353" s="2">
        <v>0.2</v>
      </c>
      <c r="LM353" s="2">
        <v>2.2</v>
      </c>
      <c r="LN353" s="2">
        <v>1.3</v>
      </c>
      <c r="LO353" s="2">
        <v>-2.5</v>
      </c>
      <c r="LP353" s="2">
        <v>-0.9</v>
      </c>
      <c r="LQ353" s="2">
        <v>0.4</v>
      </c>
      <c r="LR353" s="2">
        <v>0.1</v>
      </c>
      <c r="LS353" s="2">
        <v>0.2</v>
      </c>
      <c r="LT353" s="2">
        <v>-0.4</v>
      </c>
      <c r="LU353" s="2">
        <v>0.5</v>
      </c>
      <c r="LV353" s="2">
        <v>-1.2</v>
      </c>
      <c r="MA353" s="2">
        <v>2.1</v>
      </c>
      <c r="MB353" s="2">
        <v>-0.3</v>
      </c>
      <c r="MC353" s="2">
        <v>-0.3</v>
      </c>
      <c r="MD353" s="2">
        <v>-1.1</v>
      </c>
      <c r="ME353" s="2">
        <v>0.2</v>
      </c>
      <c r="MF353" s="2">
        <v>0.1</v>
      </c>
      <c r="MG353" s="2">
        <v>1.1</v>
      </c>
      <c r="MH353" s="2">
        <v>0.2</v>
      </c>
      <c r="MI353" s="2">
        <v>0</v>
      </c>
      <c r="MJ353" s="2">
        <v>0.7</v>
      </c>
      <c r="MK353" s="2">
        <v>0.4</v>
      </c>
      <c r="ML353" s="2">
        <v>-1</v>
      </c>
      <c r="MQ353" s="2">
        <v>2.8</v>
      </c>
      <c r="MR353" s="2">
        <v>2.5</v>
      </c>
      <c r="MS353" s="2">
        <v>0.1</v>
      </c>
      <c r="MT353" s="2">
        <v>-0.2</v>
      </c>
      <c r="MU353" s="2">
        <v>0.9</v>
      </c>
      <c r="MV353" s="2">
        <v>0.7</v>
      </c>
      <c r="MW353" s="2">
        <v>1.7</v>
      </c>
      <c r="MX353" s="2">
        <v>0.3</v>
      </c>
      <c r="MY353" s="2">
        <v>0.4</v>
      </c>
      <c r="MZ353" s="2">
        <v>0.9</v>
      </c>
      <c r="NA353" s="2">
        <v>0.2</v>
      </c>
      <c r="NB353" s="2">
        <v>-0.9</v>
      </c>
      <c r="NG353" s="2">
        <v>2.2</v>
      </c>
      <c r="NH353" s="2">
        <v>2.3</v>
      </c>
      <c r="NI353" s="2">
        <v>-0.4</v>
      </c>
      <c r="NJ353" s="2">
        <v>0.5</v>
      </c>
      <c r="NK353" s="2">
        <v>0.1</v>
      </c>
      <c r="NL353" s="2">
        <v>-0.1</v>
      </c>
      <c r="NM353" s="2">
        <v>0.1</v>
      </c>
      <c r="NN353" s="2">
        <v>0.9</v>
      </c>
      <c r="NO353" s="2">
        <v>0</v>
      </c>
      <c r="NP353" s="2">
        <v>0.4</v>
      </c>
      <c r="NQ353" s="2">
        <v>-0.9</v>
      </c>
      <c r="NR353" s="2">
        <v>0.7</v>
      </c>
      <c r="NW353" s="2">
        <v>1.4</v>
      </c>
      <c r="NX353" s="2">
        <v>0.4</v>
      </c>
      <c r="NY353" s="2">
        <v>-0.9</v>
      </c>
      <c r="NZ353" s="2">
        <v>0.5</v>
      </c>
      <c r="OA353" s="2">
        <v>-0.7</v>
      </c>
      <c r="OB353" s="2">
        <v>0.2</v>
      </c>
      <c r="OC353" s="2">
        <v>-0.6</v>
      </c>
      <c r="OD353" s="2">
        <v>0.9</v>
      </c>
      <c r="OE353" s="2">
        <v>-0.6</v>
      </c>
      <c r="OF353" s="2">
        <v>0.6</v>
      </c>
      <c r="OG353" s="2">
        <v>-0.2</v>
      </c>
      <c r="OH353" s="2">
        <v>0.4</v>
      </c>
      <c r="OM353" s="2">
        <v>1.4</v>
      </c>
      <c r="ON353" s="2">
        <v>-0.5</v>
      </c>
      <c r="OO353" s="2">
        <v>0</v>
      </c>
      <c r="OP353" s="2">
        <v>-0.8</v>
      </c>
      <c r="OQ353" s="2">
        <v>0.3</v>
      </c>
      <c r="OR353" s="2">
        <v>-0.2</v>
      </c>
      <c r="OS353" s="2">
        <v>0.2</v>
      </c>
      <c r="OT353" s="2">
        <v>0.8</v>
      </c>
      <c r="OU353" s="2">
        <v>0</v>
      </c>
      <c r="OV353" s="2">
        <v>0.6</v>
      </c>
      <c r="OW353" s="2">
        <v>-0.1</v>
      </c>
      <c r="OX353" s="2">
        <v>-0.6</v>
      </c>
      <c r="PC353" s="2">
        <v>1.7</v>
      </c>
      <c r="PD353" s="2">
        <v>-1.1</v>
      </c>
      <c r="PE353" s="2">
        <v>-0.1</v>
      </c>
      <c r="PF353" s="2">
        <v>-0.1</v>
      </c>
      <c r="PG353" s="2">
        <v>0.4</v>
      </c>
      <c r="PH353" s="2">
        <v>-0.5</v>
      </c>
      <c r="PI353" s="2">
        <v>-0.2</v>
      </c>
    </row>
    <row r="354">
      <c r="A354" t="inlineStr">
        <is>
          <t>A130394821J</t>
        </is>
      </c>
      <c r="B354" t="inlineStr">
        <is>
          <t>Percentage Change from Previous Period ;  Oils and fats ;  Australia ;</t>
        </is>
      </c>
      <c r="C354" t="inlineStr">
        <is>
          <t>Month</t>
        </is>
      </c>
      <c r="D354" t="inlineStr">
        <is>
          <t>Percent</t>
        </is>
      </c>
      <c r="E354" t="inlineStr">
        <is>
          <t>Original</t>
        </is>
      </c>
      <c r="F354" t="inlineStr">
        <is>
          <t>640103.xlsx</t>
        </is>
      </c>
      <c r="G354" t="inlineStr">
        <is>
          <t>2017-10</t>
        </is>
      </c>
      <c r="H354" t="inlineStr">
        <is>
          <t>2026-07</t>
        </is>
      </c>
      <c r="JX354" s="2">
        <v>1.3</v>
      </c>
      <c r="JY354" s="2">
        <v>1.6</v>
      </c>
      <c r="JZ354" s="2">
        <v>1.7</v>
      </c>
      <c r="KE354" s="2">
        <v>-1.2</v>
      </c>
      <c r="KF354" s="2">
        <v>-0.4</v>
      </c>
      <c r="KG354" s="2">
        <v>0</v>
      </c>
      <c r="KH354" s="2">
        <v>1.1</v>
      </c>
      <c r="KI354" s="2">
        <v>-1.3</v>
      </c>
      <c r="KJ354" s="2">
        <v>-0.5</v>
      </c>
      <c r="KK354" s="2">
        <v>2.2</v>
      </c>
      <c r="KL354" s="2">
        <v>0.7</v>
      </c>
      <c r="KM354" s="2">
        <v>-0.9</v>
      </c>
      <c r="KN354" s="2">
        <v>1.5</v>
      </c>
      <c r="KO354" s="2">
        <v>-0.4</v>
      </c>
      <c r="KP354" s="2">
        <v>1</v>
      </c>
      <c r="KU354" s="2">
        <v>-0.3</v>
      </c>
      <c r="KV354" s="2">
        <v>-0.4</v>
      </c>
      <c r="KW354" s="2">
        <v>-1.6</v>
      </c>
      <c r="KX354" s="2">
        <v>1.2</v>
      </c>
      <c r="KY354" s="2">
        <v>-1.1</v>
      </c>
      <c r="KZ354" s="2">
        <v>0.4</v>
      </c>
      <c r="LA354" s="2">
        <v>0.8</v>
      </c>
      <c r="LB354" s="2">
        <v>-0.4</v>
      </c>
      <c r="LC354" s="2">
        <v>-0.4</v>
      </c>
      <c r="LD354" s="2">
        <v>0.7</v>
      </c>
      <c r="LE354" s="2">
        <v>0.3</v>
      </c>
      <c r="LF354" s="2">
        <v>-0.4</v>
      </c>
      <c r="LK354" s="2">
        <v>1.2</v>
      </c>
      <c r="LL354" s="2">
        <v>-1.3</v>
      </c>
      <c r="LM354" s="2">
        <v>2.6</v>
      </c>
      <c r="LN354" s="2">
        <v>4.3</v>
      </c>
      <c r="LO354" s="2">
        <v>-3.6</v>
      </c>
      <c r="LP354" s="2">
        <v>-2.3</v>
      </c>
      <c r="LQ354" s="2">
        <v>1.7</v>
      </c>
      <c r="LR354" s="2">
        <v>-0.6</v>
      </c>
      <c r="LS354" s="2">
        <v>-1.4</v>
      </c>
      <c r="LT354" s="2">
        <v>1</v>
      </c>
      <c r="LU354" s="2">
        <v>0.4</v>
      </c>
      <c r="LV354" s="2">
        <v>-0.7</v>
      </c>
      <c r="MA354" s="2">
        <v>1.8</v>
      </c>
      <c r="MB354" s="2">
        <v>-0.7</v>
      </c>
      <c r="MC354" s="2">
        <v>1.1</v>
      </c>
      <c r="MD354" s="2">
        <v>0.1</v>
      </c>
      <c r="ME354" s="2">
        <v>-0.5</v>
      </c>
      <c r="MF354" s="2">
        <v>-0.1</v>
      </c>
      <c r="MG354" s="2">
        <v>2.4</v>
      </c>
      <c r="MH354" s="2">
        <v>0</v>
      </c>
      <c r="MI354" s="2">
        <v>0.2</v>
      </c>
      <c r="MJ354" s="2">
        <v>0.4</v>
      </c>
      <c r="MK354" s="2">
        <v>1.2</v>
      </c>
      <c r="ML354" s="2">
        <v>-1.2</v>
      </c>
      <c r="MQ354" s="2">
        <v>3.1</v>
      </c>
      <c r="MR354" s="2">
        <v>2.1</v>
      </c>
      <c r="MS354" s="2">
        <v>1.3</v>
      </c>
      <c r="MT354" s="2">
        <v>2.5</v>
      </c>
      <c r="MU354" s="2">
        <v>0.6</v>
      </c>
      <c r="MV354" s="2">
        <v>2.1</v>
      </c>
      <c r="MW354" s="2">
        <v>4.5</v>
      </c>
      <c r="MX354" s="2">
        <v>2.2</v>
      </c>
      <c r="MY354" s="2">
        <v>-0.6</v>
      </c>
      <c r="MZ354" s="2">
        <v>-0.2</v>
      </c>
      <c r="NA354" s="2">
        <v>2.4</v>
      </c>
      <c r="NB354" s="2">
        <v>1.3</v>
      </c>
      <c r="NG354" s="2">
        <v>0.8</v>
      </c>
      <c r="NH354" s="2">
        <v>0.9</v>
      </c>
      <c r="NI354" s="2">
        <v>0.5</v>
      </c>
      <c r="NJ354" s="2">
        <v>0.2</v>
      </c>
      <c r="NK354" s="2">
        <v>0.3</v>
      </c>
      <c r="NL354" s="2">
        <v>-0.2</v>
      </c>
      <c r="NM354" s="2">
        <v>1.7</v>
      </c>
      <c r="NN354" s="2">
        <v>2</v>
      </c>
      <c r="NO354" s="2">
        <v>-1</v>
      </c>
      <c r="NP354" s="2">
        <v>0.4</v>
      </c>
      <c r="NQ354" s="2">
        <v>1.8</v>
      </c>
      <c r="NR354" s="2">
        <v>-0.9</v>
      </c>
      <c r="NW354" s="2">
        <v>2.4</v>
      </c>
      <c r="NX354" s="2">
        <v>0.4</v>
      </c>
      <c r="NY354" s="2">
        <v>-0.9</v>
      </c>
      <c r="NZ354" s="2">
        <v>4.5</v>
      </c>
      <c r="OA354" s="2">
        <v>0.6</v>
      </c>
      <c r="OB354" s="2">
        <v>0.8</v>
      </c>
      <c r="OC354" s="2">
        <v>0.4</v>
      </c>
      <c r="OD354" s="2">
        <v>-0.2</v>
      </c>
      <c r="OE354" s="2">
        <v>-1</v>
      </c>
      <c r="OF354" s="2">
        <v>0.3</v>
      </c>
      <c r="OG354" s="2">
        <v>0.3</v>
      </c>
      <c r="OH354" s="2">
        <v>-0.7</v>
      </c>
      <c r="OM354" s="2">
        <v>1.2</v>
      </c>
      <c r="ON354" s="2">
        <v>0</v>
      </c>
      <c r="OO354" s="2">
        <v>-1.7</v>
      </c>
      <c r="OP354" s="2">
        <v>0.7</v>
      </c>
      <c r="OQ354" s="2">
        <v>0.3</v>
      </c>
      <c r="OR354" s="2">
        <v>-1.2</v>
      </c>
      <c r="OS354" s="2">
        <v>0.5</v>
      </c>
      <c r="OT354" s="2">
        <v>0</v>
      </c>
      <c r="OU354" s="2">
        <v>0.6</v>
      </c>
      <c r="OV354" s="2">
        <v>-1.6</v>
      </c>
      <c r="OW354" s="2">
        <v>-0.1</v>
      </c>
      <c r="OX354" s="2">
        <v>-0.7</v>
      </c>
      <c r="PC354" s="2">
        <v>1</v>
      </c>
      <c r="PD354" s="2">
        <v>1</v>
      </c>
      <c r="PE354" s="2">
        <v>-0.4</v>
      </c>
      <c r="PF354" s="2">
        <v>0.3</v>
      </c>
      <c r="PG354" s="2">
        <v>0.1</v>
      </c>
      <c r="PH354" s="2">
        <v>1.5</v>
      </c>
      <c r="PI354" s="2">
        <v>0.4</v>
      </c>
    </row>
    <row r="355">
      <c r="A355" t="inlineStr">
        <is>
          <t>A130396256R</t>
        </is>
      </c>
      <c r="B355" t="inlineStr">
        <is>
          <t>Percentage Change from Previous Period ;  Snacks and confectionery ;  Australia ;</t>
        </is>
      </c>
      <c r="C355" t="inlineStr">
        <is>
          <t>Month</t>
        </is>
      </c>
      <c r="D355" t="inlineStr">
        <is>
          <t>Percent</t>
        </is>
      </c>
      <c r="E355" t="inlineStr">
        <is>
          <t>Original</t>
        </is>
      </c>
      <c r="F355" t="inlineStr">
        <is>
          <t>640103.xlsx</t>
        </is>
      </c>
      <c r="G355" t="inlineStr">
        <is>
          <t>2017-10</t>
        </is>
      </c>
      <c r="H355" t="inlineStr">
        <is>
          <t>2026-07</t>
        </is>
      </c>
      <c r="JX355" s="2">
        <v>0.1</v>
      </c>
      <c r="JY355" s="2">
        <v>-0.6</v>
      </c>
      <c r="JZ355" s="2">
        <v>1.5</v>
      </c>
      <c r="KE355" s="2">
        <v>0.7</v>
      </c>
      <c r="KF355" s="2">
        <v>-1</v>
      </c>
      <c r="KG355" s="2">
        <v>-0.3</v>
      </c>
      <c r="KH355" s="2">
        <v>1.1</v>
      </c>
      <c r="KI355" s="2">
        <v>-1.2</v>
      </c>
      <c r="KJ355" s="2">
        <v>-0.2</v>
      </c>
      <c r="KK355" s="2">
        <v>0.5</v>
      </c>
      <c r="KL355" s="2">
        <v>0.8</v>
      </c>
      <c r="KM355" s="2">
        <v>-1.7</v>
      </c>
      <c r="KN355" s="2">
        <v>0.7</v>
      </c>
      <c r="KO355" s="2">
        <v>-0.5</v>
      </c>
      <c r="KP355" s="2">
        <v>1.1</v>
      </c>
      <c r="KU355" s="2">
        <v>1</v>
      </c>
      <c r="KV355" s="2">
        <v>-0.5</v>
      </c>
      <c r="KW355" s="2">
        <v>0.2</v>
      </c>
      <c r="KX355" s="2">
        <v>0.2</v>
      </c>
      <c r="KY355" s="2">
        <v>-0.5</v>
      </c>
      <c r="KZ355" s="2">
        <v>-0.7</v>
      </c>
      <c r="LA355" s="2">
        <v>1.3</v>
      </c>
      <c r="LB355" s="2">
        <v>-0.4</v>
      </c>
      <c r="LC355" s="2">
        <v>-0.8</v>
      </c>
      <c r="LD355" s="2">
        <v>1.4</v>
      </c>
      <c r="LE355" s="2">
        <v>0.8</v>
      </c>
      <c r="LF355" s="2">
        <v>0.4</v>
      </c>
      <c r="LK355" s="2">
        <v>2.2</v>
      </c>
      <c r="LL355" s="2">
        <v>-1.4</v>
      </c>
      <c r="LM355" s="2">
        <v>3.2</v>
      </c>
      <c r="LN355" s="2">
        <v>2.5</v>
      </c>
      <c r="LO355" s="2">
        <v>-4.7</v>
      </c>
      <c r="LP355" s="2">
        <v>-0.2</v>
      </c>
      <c r="LQ355" s="2">
        <v>0.9</v>
      </c>
      <c r="LR355" s="2">
        <v>0.2</v>
      </c>
      <c r="LS355" s="2">
        <v>-0.7</v>
      </c>
      <c r="LT355" s="2">
        <v>1</v>
      </c>
      <c r="LU355" s="2">
        <v>-0.5</v>
      </c>
      <c r="LV355" s="2">
        <v>1.1</v>
      </c>
      <c r="MA355" s="2">
        <v>1.5</v>
      </c>
      <c r="MB355" s="2">
        <v>-2.3</v>
      </c>
      <c r="MC355" s="2">
        <v>0.3</v>
      </c>
      <c r="MD355" s="2">
        <v>-0.1</v>
      </c>
      <c r="ME355" s="2">
        <v>-1.2</v>
      </c>
      <c r="MF355" s="2">
        <v>0.8</v>
      </c>
      <c r="MG355" s="2">
        <v>0.2</v>
      </c>
      <c r="MH355" s="2">
        <v>0.2</v>
      </c>
      <c r="MI355" s="2">
        <v>-0.1</v>
      </c>
      <c r="MJ355" s="2">
        <v>0.6</v>
      </c>
      <c r="MK355" s="2">
        <v>-0.1</v>
      </c>
      <c r="ML355" s="2">
        <v>0.8</v>
      </c>
      <c r="MQ355" s="2">
        <v>2.5</v>
      </c>
      <c r="MR355" s="2">
        <v>-1</v>
      </c>
      <c r="MS355" s="2">
        <v>1.5</v>
      </c>
      <c r="MT355" s="2">
        <v>0.2</v>
      </c>
      <c r="MU355" s="2">
        <v>-1.3</v>
      </c>
      <c r="MV355" s="2">
        <v>1.8</v>
      </c>
      <c r="MW355" s="2">
        <v>1</v>
      </c>
      <c r="MX355" s="2">
        <v>1.5</v>
      </c>
      <c r="MY355" s="2">
        <v>1.3</v>
      </c>
      <c r="MZ355" s="2">
        <v>0.5</v>
      </c>
      <c r="NA355" s="2">
        <v>-0.1</v>
      </c>
      <c r="NB355" s="2">
        <v>2.5</v>
      </c>
      <c r="NG355" s="2">
        <v>1.6</v>
      </c>
      <c r="NH355" s="2">
        <v>0.8</v>
      </c>
      <c r="NI355" s="2">
        <v>1</v>
      </c>
      <c r="NJ355" s="2">
        <v>0.1</v>
      </c>
      <c r="NK355" s="2">
        <v>-0.4</v>
      </c>
      <c r="NL355" s="2">
        <v>0.7</v>
      </c>
      <c r="NM355" s="2">
        <v>-0.8</v>
      </c>
      <c r="NN355" s="2">
        <v>-0.7</v>
      </c>
      <c r="NO355" s="2">
        <v>1.3</v>
      </c>
      <c r="NP355" s="2">
        <v>-0.5</v>
      </c>
      <c r="NQ355" s="2">
        <v>1.5</v>
      </c>
      <c r="NR355" s="2">
        <v>3</v>
      </c>
      <c r="NW355" s="2">
        <v>2.2</v>
      </c>
      <c r="NX355" s="2">
        <v>-2.1</v>
      </c>
      <c r="NY355" s="2">
        <v>0</v>
      </c>
      <c r="NZ355" s="2">
        <v>1.1</v>
      </c>
      <c r="OA355" s="2">
        <v>-0.9</v>
      </c>
      <c r="OB355" s="2">
        <v>-0.3</v>
      </c>
      <c r="OC355" s="2">
        <v>0.9</v>
      </c>
      <c r="OD355" s="2">
        <v>-1</v>
      </c>
      <c r="OE355" s="2">
        <v>0.8</v>
      </c>
      <c r="OF355" s="2">
        <v>-0.9</v>
      </c>
      <c r="OG355" s="2">
        <v>0.8</v>
      </c>
      <c r="OH355" s="2">
        <v>2.4</v>
      </c>
      <c r="OM355" s="2">
        <v>2.7</v>
      </c>
      <c r="ON355" s="2">
        <v>-2.6</v>
      </c>
      <c r="OO355" s="2">
        <v>0.9</v>
      </c>
      <c r="OP355" s="2">
        <v>2.5</v>
      </c>
      <c r="OQ355" s="2">
        <v>-0.9</v>
      </c>
      <c r="OR355" s="2">
        <v>0.5</v>
      </c>
      <c r="OS355" s="2">
        <v>0.4</v>
      </c>
      <c r="OT355" s="2">
        <v>0.8</v>
      </c>
      <c r="OU355" s="2">
        <v>1</v>
      </c>
      <c r="OV355" s="2">
        <v>-0.9</v>
      </c>
      <c r="OW355" s="2">
        <v>0.3</v>
      </c>
      <c r="OX355" s="2">
        <v>1.8</v>
      </c>
      <c r="PC355" s="2">
        <v>1.9</v>
      </c>
      <c r="PD355" s="2">
        <v>-1.7</v>
      </c>
      <c r="PE355" s="2">
        <v>0</v>
      </c>
      <c r="PF355" s="2">
        <v>1</v>
      </c>
      <c r="PG355" s="2">
        <v>-2</v>
      </c>
      <c r="PH355" s="2">
        <v>-0.3</v>
      </c>
      <c r="PI355" s="2">
        <v>-0.3</v>
      </c>
    </row>
    <row r="356">
      <c r="A356" t="inlineStr">
        <is>
          <t>A130390649V</t>
        </is>
      </c>
      <c r="B356" t="inlineStr">
        <is>
          <t>Percentage Change from Previous Period ;  Other food products n.e.c. ;  Australia ;</t>
        </is>
      </c>
      <c r="C356" t="inlineStr">
        <is>
          <t>Month</t>
        </is>
      </c>
      <c r="D356" t="inlineStr">
        <is>
          <t>Percent</t>
        </is>
      </c>
      <c r="E356" t="inlineStr">
        <is>
          <t>Original</t>
        </is>
      </c>
      <c r="F356" t="inlineStr">
        <is>
          <t>640103.xlsx</t>
        </is>
      </c>
      <c r="G356" t="inlineStr">
        <is>
          <t>2017-10</t>
        </is>
      </c>
      <c r="H356" t="inlineStr">
        <is>
          <t>2026-07</t>
        </is>
      </c>
      <c r="JX356" s="2">
        <v>0.2</v>
      </c>
      <c r="JY356" s="2">
        <v>1.2</v>
      </c>
      <c r="JZ356" s="2">
        <v>0.7</v>
      </c>
      <c r="KE356" s="2">
        <v>-0.3</v>
      </c>
      <c r="KF356" s="2">
        <v>-1.6</v>
      </c>
      <c r="KG356" s="2">
        <v>-0.3</v>
      </c>
      <c r="KH356" s="2">
        <v>-1.1</v>
      </c>
      <c r="KI356" s="2">
        <v>-0.9</v>
      </c>
      <c r="KJ356" s="2">
        <v>0.6</v>
      </c>
      <c r="KK356" s="2">
        <v>0.4</v>
      </c>
      <c r="KL356" s="2">
        <v>0.2</v>
      </c>
      <c r="KM356" s="2">
        <v>-0.6</v>
      </c>
      <c r="KN356" s="2">
        <v>0.9</v>
      </c>
      <c r="KO356" s="2">
        <v>1</v>
      </c>
      <c r="KP356" s="2">
        <v>1.3</v>
      </c>
      <c r="KU356" s="2">
        <v>-0.2</v>
      </c>
      <c r="KV356" s="2">
        <v>-1.3</v>
      </c>
      <c r="KW356" s="2">
        <v>-1.3</v>
      </c>
      <c r="KX356" s="2">
        <v>0.4</v>
      </c>
      <c r="KY356" s="2">
        <v>-1.7</v>
      </c>
      <c r="KZ356" s="2">
        <v>0.3</v>
      </c>
      <c r="LA356" s="2">
        <v>1.2</v>
      </c>
      <c r="LB356" s="2">
        <v>0.1</v>
      </c>
      <c r="LC356" s="2">
        <v>0.2</v>
      </c>
      <c r="LD356" s="2">
        <v>0.9</v>
      </c>
      <c r="LE356" s="2">
        <v>2.2</v>
      </c>
      <c r="LF356" s="2">
        <v>1.5</v>
      </c>
      <c r="LK356" s="2">
        <v>-0.3</v>
      </c>
      <c r="LL356" s="2">
        <v>-1.1</v>
      </c>
      <c r="LM356" s="2">
        <v>4.1</v>
      </c>
      <c r="LN356" s="2">
        <v>4.8</v>
      </c>
      <c r="LO356" s="2">
        <v>-4.1</v>
      </c>
      <c r="LP356" s="2">
        <v>-2</v>
      </c>
      <c r="LQ356" s="2">
        <v>0</v>
      </c>
      <c r="LR356" s="2">
        <v>-1.2</v>
      </c>
      <c r="LS356" s="2">
        <v>0.1</v>
      </c>
      <c r="LT356" s="2">
        <v>1.5</v>
      </c>
      <c r="LU356" s="2">
        <v>0.6</v>
      </c>
      <c r="LV356" s="2">
        <v>1.5</v>
      </c>
      <c r="MA356" s="2">
        <v>-0.9</v>
      </c>
      <c r="MB356" s="2">
        <v>-0.7</v>
      </c>
      <c r="MC356" s="2">
        <v>-1.6</v>
      </c>
      <c r="MD356" s="2">
        <v>1.1</v>
      </c>
      <c r="ME356" s="2">
        <v>-1.4</v>
      </c>
      <c r="MF356" s="2">
        <v>0.2</v>
      </c>
      <c r="MG356" s="2">
        <v>1.4</v>
      </c>
      <c r="MH356" s="2">
        <v>0.4</v>
      </c>
      <c r="MI356" s="2">
        <v>-0.2</v>
      </c>
      <c r="MJ356" s="2">
        <v>0.4</v>
      </c>
      <c r="MK356" s="2">
        <v>1.7</v>
      </c>
      <c r="ML356" s="2">
        <v>1.9</v>
      </c>
      <c r="MQ356" s="2">
        <v>0.4</v>
      </c>
      <c r="MR356" s="2">
        <v>0.9</v>
      </c>
      <c r="MS356" s="2">
        <v>-1</v>
      </c>
      <c r="MT356" s="2">
        <v>0.9</v>
      </c>
      <c r="MU356" s="2">
        <v>0.7</v>
      </c>
      <c r="MV356" s="2">
        <v>-0.4</v>
      </c>
      <c r="MW356" s="2">
        <v>2.2</v>
      </c>
      <c r="MX356" s="2">
        <v>2.2</v>
      </c>
      <c r="MY356" s="2">
        <v>0.1</v>
      </c>
      <c r="MZ356" s="2">
        <v>2.6</v>
      </c>
      <c r="NA356" s="2">
        <v>0.9</v>
      </c>
      <c r="NB356" s="2">
        <v>2.1</v>
      </c>
      <c r="NG356" s="2">
        <v>0</v>
      </c>
      <c r="NH356" s="2">
        <v>0.8</v>
      </c>
      <c r="NI356" s="2">
        <v>0.4</v>
      </c>
      <c r="NJ356" s="2">
        <v>1.2</v>
      </c>
      <c r="NK356" s="2">
        <v>-0.8</v>
      </c>
      <c r="NL356" s="2">
        <v>0.1</v>
      </c>
      <c r="NM356" s="2">
        <v>-0.4</v>
      </c>
      <c r="NN356" s="2">
        <v>0.2</v>
      </c>
      <c r="NO356" s="2">
        <v>0</v>
      </c>
      <c r="NP356" s="2">
        <v>0.9</v>
      </c>
      <c r="NQ356" s="2">
        <v>1.1</v>
      </c>
      <c r="NR356" s="2">
        <v>1.5</v>
      </c>
      <c r="NW356" s="2">
        <v>-0.5</v>
      </c>
      <c r="NX356" s="2">
        <v>-0.4</v>
      </c>
      <c r="NY356" s="2">
        <v>-0.6</v>
      </c>
      <c r="NZ356" s="2">
        <v>-1.4</v>
      </c>
      <c r="OA356" s="2">
        <v>-0.1</v>
      </c>
      <c r="OB356" s="2">
        <v>-0.1</v>
      </c>
      <c r="OC356" s="2">
        <v>0.5</v>
      </c>
      <c r="OD356" s="2">
        <v>0.4</v>
      </c>
      <c r="OE356" s="2">
        <v>0.1</v>
      </c>
      <c r="OF356" s="2">
        <v>0.6</v>
      </c>
      <c r="OG356" s="2">
        <v>0.5</v>
      </c>
      <c r="OH356" s="2">
        <v>1.5</v>
      </c>
      <c r="OM356" s="2">
        <v>-0.5</v>
      </c>
      <c r="ON356" s="2">
        <v>-0.5</v>
      </c>
      <c r="OO356" s="2">
        <v>-0.1</v>
      </c>
      <c r="OP356" s="2">
        <v>-1.3</v>
      </c>
      <c r="OQ356" s="2">
        <v>-0.1</v>
      </c>
      <c r="OR356" s="2">
        <v>-0.2</v>
      </c>
      <c r="OS356" s="2">
        <v>0.5</v>
      </c>
      <c r="OT356" s="2">
        <v>0</v>
      </c>
      <c r="OU356" s="2">
        <v>0.4</v>
      </c>
      <c r="OV356" s="2">
        <v>0.4</v>
      </c>
      <c r="OW356" s="2">
        <v>0.8</v>
      </c>
      <c r="OX356" s="2">
        <v>1.7</v>
      </c>
      <c r="PC356" s="2">
        <v>-0.3</v>
      </c>
      <c r="PD356" s="2">
        <v>-1.5</v>
      </c>
      <c r="PE356" s="2">
        <v>0.4</v>
      </c>
      <c r="PF356" s="2">
        <v>-0.4</v>
      </c>
      <c r="PG356" s="2">
        <v>-0.5</v>
      </c>
      <c r="PH356" s="2">
        <v>-0.6</v>
      </c>
      <c r="PI356" s="2">
        <v>0.4</v>
      </c>
    </row>
    <row r="357">
      <c r="A357" t="inlineStr">
        <is>
          <t>A130390229X</t>
        </is>
      </c>
      <c r="B357" t="inlineStr">
        <is>
          <t>Percentage Change from Previous Period ;  Non-alcoholic beverages ;  Australia ;</t>
        </is>
      </c>
      <c r="C357" t="inlineStr">
        <is>
          <t>Month</t>
        </is>
      </c>
      <c r="D357" t="inlineStr">
        <is>
          <t>Percent</t>
        </is>
      </c>
      <c r="E357" t="inlineStr">
        <is>
          <t>Original</t>
        </is>
      </c>
      <c r="F357" t="inlineStr">
        <is>
          <t>640103.xlsx</t>
        </is>
      </c>
      <c r="G357" t="inlineStr">
        <is>
          <t>2017-10</t>
        </is>
      </c>
      <c r="H357" t="inlineStr">
        <is>
          <t>2026-07</t>
        </is>
      </c>
      <c r="JX357" s="2">
        <v>0.3</v>
      </c>
      <c r="JY357" s="2">
        <v>0.2</v>
      </c>
      <c r="JZ357" s="2">
        <v>1.3</v>
      </c>
      <c r="KE357" s="2">
        <v>1.6</v>
      </c>
      <c r="KF357" s="2">
        <v>-0.4</v>
      </c>
      <c r="KG357" s="2">
        <v>0</v>
      </c>
      <c r="KH357" s="2">
        <v>0.2</v>
      </c>
      <c r="KI357" s="2">
        <v>-0.3</v>
      </c>
      <c r="KJ357" s="2">
        <v>-0.8</v>
      </c>
      <c r="KK357" s="2">
        <v>1.3</v>
      </c>
      <c r="KL357" s="2">
        <v>-0.2</v>
      </c>
      <c r="KM357" s="2">
        <v>-1.2</v>
      </c>
      <c r="KN357" s="2">
        <v>0</v>
      </c>
      <c r="KO357" s="2">
        <v>1.7</v>
      </c>
      <c r="KP357" s="2">
        <v>-1.1</v>
      </c>
      <c r="KU357" s="2">
        <v>1.4</v>
      </c>
      <c r="KV357" s="2">
        <v>0.9</v>
      </c>
      <c r="KW357" s="2">
        <v>-0.1</v>
      </c>
      <c r="KX357" s="2">
        <v>-0.8</v>
      </c>
      <c r="KY357" s="2">
        <v>0.9</v>
      </c>
      <c r="KZ357" s="2">
        <v>-1</v>
      </c>
      <c r="LA357" s="2">
        <v>1.5</v>
      </c>
      <c r="LB357" s="2">
        <v>-0.4</v>
      </c>
      <c r="LC357" s="2">
        <v>-1.1</v>
      </c>
      <c r="LD357" s="2">
        <v>-0.2</v>
      </c>
      <c r="LE357" s="2">
        <v>-0.3</v>
      </c>
      <c r="LF357" s="2">
        <v>-1</v>
      </c>
      <c r="LK357" s="2">
        <v>1.6</v>
      </c>
      <c r="LL357" s="2">
        <v>0.2</v>
      </c>
      <c r="LM357" s="2">
        <v>2.6</v>
      </c>
      <c r="LN357" s="2">
        <v>2.2</v>
      </c>
      <c r="LO357" s="2">
        <v>-1.5</v>
      </c>
      <c r="LP357" s="2">
        <v>-1.3</v>
      </c>
      <c r="LQ357" s="2">
        <v>1.4</v>
      </c>
      <c r="LR357" s="2">
        <v>-0.5</v>
      </c>
      <c r="LS357" s="2">
        <v>-0.8</v>
      </c>
      <c r="LT357" s="2">
        <v>0.7</v>
      </c>
      <c r="LU357" s="2">
        <v>0</v>
      </c>
      <c r="LV357" s="2">
        <v>-1.7</v>
      </c>
      <c r="MA357" s="2">
        <v>1.7</v>
      </c>
      <c r="MB357" s="2">
        <v>0.6</v>
      </c>
      <c r="MC357" s="2">
        <v>-0.5</v>
      </c>
      <c r="MD357" s="2">
        <v>-0.1</v>
      </c>
      <c r="ME357" s="2">
        <v>0.9</v>
      </c>
      <c r="MF357" s="2">
        <v>-0.1</v>
      </c>
      <c r="MG357" s="2">
        <v>0.6</v>
      </c>
      <c r="MH357" s="2">
        <v>0.2</v>
      </c>
      <c r="MI357" s="2">
        <v>-0.7</v>
      </c>
      <c r="MJ357" s="2">
        <v>0.2</v>
      </c>
      <c r="MK357" s="2">
        <v>-0.4</v>
      </c>
      <c r="ML357" s="2">
        <v>0.5</v>
      </c>
      <c r="MQ357" s="2">
        <v>2.5</v>
      </c>
      <c r="MR357" s="2">
        <v>4.6</v>
      </c>
      <c r="MS357" s="2">
        <v>0</v>
      </c>
      <c r="MT357" s="2">
        <v>-0.3</v>
      </c>
      <c r="MU357" s="2">
        <v>0.3</v>
      </c>
      <c r="MV357" s="2">
        <v>0.2</v>
      </c>
      <c r="MW357" s="2">
        <v>0.9</v>
      </c>
      <c r="MX357" s="2">
        <v>1.4</v>
      </c>
      <c r="MY357" s="2">
        <v>0</v>
      </c>
      <c r="MZ357" s="2">
        <v>0.8</v>
      </c>
      <c r="NA357" s="2">
        <v>-0.5</v>
      </c>
      <c r="NB357" s="2">
        <v>-0.8</v>
      </c>
      <c r="NG357" s="2">
        <v>2.9</v>
      </c>
      <c r="NH357" s="2">
        <v>1.3</v>
      </c>
      <c r="NI357" s="2">
        <v>0.7</v>
      </c>
      <c r="NJ357" s="2">
        <v>2</v>
      </c>
      <c r="NK357" s="2">
        <v>-0.1</v>
      </c>
      <c r="NL357" s="2">
        <v>-2</v>
      </c>
      <c r="NM357" s="2">
        <v>1</v>
      </c>
      <c r="NN357" s="2">
        <v>-0.3</v>
      </c>
      <c r="NO357" s="2">
        <v>-0.2</v>
      </c>
      <c r="NP357" s="2">
        <v>-0.6</v>
      </c>
      <c r="NQ357" s="2">
        <v>1.4</v>
      </c>
      <c r="NR357" s="2">
        <v>0.7</v>
      </c>
      <c r="NW357" s="2">
        <v>1.6</v>
      </c>
      <c r="NX357" s="2">
        <v>0.6</v>
      </c>
      <c r="NY357" s="2">
        <v>1.2</v>
      </c>
      <c r="NZ357" s="2">
        <v>-0.5</v>
      </c>
      <c r="OA357" s="2">
        <v>0.8</v>
      </c>
      <c r="OB357" s="2">
        <v>0.1</v>
      </c>
      <c r="OC357" s="2">
        <v>-0.1</v>
      </c>
      <c r="OD357" s="2">
        <v>-0.1</v>
      </c>
      <c r="OE357" s="2">
        <v>-1.3</v>
      </c>
      <c r="OF357" s="2">
        <v>0.1</v>
      </c>
      <c r="OG357" s="2">
        <v>0.3</v>
      </c>
      <c r="OH357" s="2">
        <v>0.3</v>
      </c>
      <c r="OM357" s="2">
        <v>1.2</v>
      </c>
      <c r="ON357" s="2">
        <v>2.1</v>
      </c>
      <c r="OO357" s="2">
        <v>0.9</v>
      </c>
      <c r="OP357" s="2">
        <v>-0.6</v>
      </c>
      <c r="OQ357" s="2">
        <v>2</v>
      </c>
      <c r="OR357" s="2">
        <v>0.4</v>
      </c>
      <c r="OS357" s="2">
        <v>0.1</v>
      </c>
      <c r="OT357" s="2">
        <v>-0.8</v>
      </c>
      <c r="OU357" s="2">
        <v>-0.8</v>
      </c>
      <c r="OV357" s="2">
        <v>-0.4</v>
      </c>
      <c r="OW357" s="2">
        <v>0.2</v>
      </c>
      <c r="OX357" s="2">
        <v>-0.3</v>
      </c>
      <c r="PC357" s="2">
        <v>0.6</v>
      </c>
      <c r="PD357" s="2">
        <v>0.7</v>
      </c>
      <c r="PE357" s="2">
        <v>1.1</v>
      </c>
      <c r="PF357" s="2">
        <v>-0.7</v>
      </c>
      <c r="PG357" s="2">
        <v>1.5</v>
      </c>
      <c r="PH357" s="2">
        <v>1</v>
      </c>
      <c r="PI357" s="2">
        <v>0</v>
      </c>
    </row>
    <row r="358">
      <c r="A358" t="inlineStr">
        <is>
          <t>A130390642C</t>
        </is>
      </c>
      <c r="B358" t="inlineStr">
        <is>
          <t>Percentage Change from Previous Period ;  Coffee, tea and cocoa ;  Australia ;</t>
        </is>
      </c>
      <c r="C358" t="inlineStr">
        <is>
          <t>Month</t>
        </is>
      </c>
      <c r="D358" t="inlineStr">
        <is>
          <t>Percent</t>
        </is>
      </c>
      <c r="E358" t="inlineStr">
        <is>
          <t>Original</t>
        </is>
      </c>
      <c r="F358" t="inlineStr">
        <is>
          <t>640103.xlsx</t>
        </is>
      </c>
      <c r="G358" t="inlineStr">
        <is>
          <t>2017-10</t>
        </is>
      </c>
      <c r="H358" t="inlineStr">
        <is>
          <t>2026-07</t>
        </is>
      </c>
      <c r="JX358" s="2">
        <v>0.7</v>
      </c>
      <c r="JY358" s="2">
        <v>1.1</v>
      </c>
      <c r="JZ358" s="2">
        <v>-0.2</v>
      </c>
      <c r="KE358" s="2">
        <v>2.5</v>
      </c>
      <c r="KF358" s="2">
        <v>-2.4</v>
      </c>
      <c r="KG358" s="2">
        <v>0.9</v>
      </c>
      <c r="KH358" s="2">
        <v>-2</v>
      </c>
      <c r="KI358" s="2">
        <v>-1.3</v>
      </c>
      <c r="KJ358" s="2">
        <v>-0.1</v>
      </c>
      <c r="KK358" s="2">
        <v>3.1</v>
      </c>
      <c r="KL358" s="2">
        <v>-1.5</v>
      </c>
      <c r="KM358" s="2">
        <v>0.1</v>
      </c>
      <c r="KN358" s="2">
        <v>0</v>
      </c>
      <c r="KO358" s="2">
        <v>1.7</v>
      </c>
      <c r="KP358" s="2">
        <v>1.2</v>
      </c>
      <c r="KU358" s="2">
        <v>-0.3</v>
      </c>
      <c r="KV358" s="2">
        <v>0.1</v>
      </c>
      <c r="KW358" s="2">
        <v>0</v>
      </c>
      <c r="KX358" s="2">
        <v>-1.4</v>
      </c>
      <c r="KY358" s="2">
        <v>0.2</v>
      </c>
      <c r="KZ358" s="2">
        <v>-2.3</v>
      </c>
      <c r="LA358" s="2">
        <v>1.6</v>
      </c>
      <c r="LB358" s="2">
        <v>0.3</v>
      </c>
      <c r="LC358" s="2">
        <v>0.1</v>
      </c>
      <c r="LD358" s="2">
        <v>-0.3</v>
      </c>
      <c r="LE358" s="2">
        <v>0.4</v>
      </c>
      <c r="LF358" s="2">
        <v>1.4</v>
      </c>
      <c r="LK358" s="2">
        <v>1.7</v>
      </c>
      <c r="LL358" s="2">
        <v>-1.5</v>
      </c>
      <c r="LM358" s="2">
        <v>4.3</v>
      </c>
      <c r="LN358" s="2">
        <v>6.3</v>
      </c>
      <c r="LO358" s="2">
        <v>-6.1</v>
      </c>
      <c r="LP358" s="2">
        <v>-3.6</v>
      </c>
      <c r="LQ358" s="2">
        <v>2.4</v>
      </c>
      <c r="LR358" s="2">
        <v>-1.9</v>
      </c>
      <c r="LS358" s="2">
        <v>1.7</v>
      </c>
      <c r="LT358" s="2">
        <v>0.3</v>
      </c>
      <c r="LU358" s="2">
        <v>-2.4</v>
      </c>
      <c r="LV358" s="2">
        <v>0.9</v>
      </c>
      <c r="MA358" s="2">
        <v>1.3</v>
      </c>
      <c r="MB358" s="2">
        <v>-1.8</v>
      </c>
      <c r="MC358" s="2">
        <v>-0.5</v>
      </c>
      <c r="MD358" s="2">
        <v>0.5</v>
      </c>
      <c r="ME358" s="2">
        <v>-0.2</v>
      </c>
      <c r="MF358" s="2">
        <v>-0.7</v>
      </c>
      <c r="MG358" s="2">
        <v>0.8</v>
      </c>
      <c r="MH358" s="2">
        <v>-0.6</v>
      </c>
      <c r="MI358" s="2">
        <v>1.8</v>
      </c>
      <c r="MJ358" s="2">
        <v>1.2</v>
      </c>
      <c r="MK358" s="2">
        <v>-1.7</v>
      </c>
      <c r="ML358" s="2">
        <v>2.3</v>
      </c>
      <c r="MQ358" s="2">
        <v>3.7</v>
      </c>
      <c r="MR358" s="2">
        <v>0.8</v>
      </c>
      <c r="MS358" s="2">
        <v>4.1</v>
      </c>
      <c r="MT358" s="2">
        <v>-1.1</v>
      </c>
      <c r="MU358" s="2">
        <v>-1.4</v>
      </c>
      <c r="MV358" s="2">
        <v>-0.2</v>
      </c>
      <c r="MW358" s="2">
        <v>1</v>
      </c>
      <c r="MX358" s="2">
        <v>1</v>
      </c>
      <c r="MY358" s="2">
        <v>2.3</v>
      </c>
      <c r="MZ358" s="2">
        <v>-0.1</v>
      </c>
      <c r="NA358" s="2">
        <v>0.8</v>
      </c>
      <c r="NB358" s="2">
        <v>0.9</v>
      </c>
      <c r="NG358" s="2">
        <v>1.4</v>
      </c>
      <c r="NH358" s="2">
        <v>0.8</v>
      </c>
      <c r="NI358" s="2">
        <v>-1.3</v>
      </c>
      <c r="NJ358" s="2">
        <v>0.8</v>
      </c>
      <c r="NK358" s="2">
        <v>-1</v>
      </c>
      <c r="NL358" s="2">
        <v>-0.2</v>
      </c>
      <c r="NM358" s="2">
        <v>0.6</v>
      </c>
      <c r="NN358" s="2">
        <v>0</v>
      </c>
      <c r="NO358" s="2">
        <v>1.1</v>
      </c>
      <c r="NP358" s="2">
        <v>-0.5</v>
      </c>
      <c r="NQ358" s="2">
        <v>-0.1</v>
      </c>
      <c r="NR358" s="2">
        <v>2.6</v>
      </c>
      <c r="NW358" s="2">
        <v>-1.6</v>
      </c>
      <c r="NX358" s="2">
        <v>0</v>
      </c>
      <c r="NY358" s="2">
        <v>1.4</v>
      </c>
      <c r="NZ358" s="2">
        <v>-1.5</v>
      </c>
      <c r="OA358" s="2">
        <v>-0.4</v>
      </c>
      <c r="OB358" s="2">
        <v>-0.8</v>
      </c>
      <c r="OC358" s="2">
        <v>0.6</v>
      </c>
      <c r="OD358" s="2">
        <v>0.5</v>
      </c>
      <c r="OE358" s="2">
        <v>0.7</v>
      </c>
      <c r="OF358" s="2">
        <v>-1.1</v>
      </c>
      <c r="OG358" s="2">
        <v>1.8</v>
      </c>
      <c r="OH358" s="2">
        <v>2.7</v>
      </c>
      <c r="OM358" s="2">
        <v>-1</v>
      </c>
      <c r="ON358" s="2">
        <v>1.8</v>
      </c>
      <c r="OO358" s="2">
        <v>0.3</v>
      </c>
      <c r="OP358" s="2">
        <v>1.9</v>
      </c>
      <c r="OQ358" s="2">
        <v>0.7</v>
      </c>
      <c r="OR358" s="2">
        <v>3.1</v>
      </c>
      <c r="OS358" s="2">
        <v>2.2</v>
      </c>
      <c r="OT358" s="2">
        <v>0</v>
      </c>
      <c r="OU358" s="2">
        <v>2.3</v>
      </c>
      <c r="OV358" s="2">
        <v>-0.5</v>
      </c>
      <c r="OW358" s="2">
        <v>0.8</v>
      </c>
      <c r="OX358" s="2">
        <v>2.8</v>
      </c>
      <c r="PC358" s="2">
        <v>-2.6</v>
      </c>
      <c r="PD358" s="2">
        <v>-0.1</v>
      </c>
      <c r="PE358" s="2">
        <v>-0.3</v>
      </c>
      <c r="PF358" s="2">
        <v>0.4</v>
      </c>
      <c r="PG358" s="2">
        <v>-1</v>
      </c>
      <c r="PH358" s="2">
        <v>1</v>
      </c>
      <c r="PI358" s="2">
        <v>-1</v>
      </c>
    </row>
    <row r="359">
      <c r="A359" t="inlineStr">
        <is>
          <t>A130395213W</t>
        </is>
      </c>
      <c r="B359" t="inlineStr">
        <is>
          <t>Percentage Change from Previous Period ;  Waters, soft drinks and juices ;  Australia ;</t>
        </is>
      </c>
      <c r="C359" t="inlineStr">
        <is>
          <t>Month</t>
        </is>
      </c>
      <c r="D359" t="inlineStr">
        <is>
          <t>Percent</t>
        </is>
      </c>
      <c r="E359" t="inlineStr">
        <is>
          <t>Original</t>
        </is>
      </c>
      <c r="F359" t="inlineStr">
        <is>
          <t>640103.xlsx</t>
        </is>
      </c>
      <c r="G359" t="inlineStr">
        <is>
          <t>2017-10</t>
        </is>
      </c>
      <c r="H359" t="inlineStr">
        <is>
          <t>2026-07</t>
        </is>
      </c>
      <c r="JX359" s="2">
        <v>0.2</v>
      </c>
      <c r="JY359" s="2">
        <v>-0.1</v>
      </c>
      <c r="JZ359" s="2">
        <v>1.8</v>
      </c>
      <c r="KE359" s="2">
        <v>1.3</v>
      </c>
      <c r="KF359" s="2">
        <v>0.2</v>
      </c>
      <c r="KG359" s="2">
        <v>-0.3</v>
      </c>
      <c r="KH359" s="2">
        <v>0.9</v>
      </c>
      <c r="KI359" s="2">
        <v>0</v>
      </c>
      <c r="KJ359" s="2">
        <v>-1</v>
      </c>
      <c r="KK359" s="2">
        <v>0.7</v>
      </c>
      <c r="KL359" s="2">
        <v>0.2</v>
      </c>
      <c r="KM359" s="2">
        <v>-1.6</v>
      </c>
      <c r="KN359" s="2">
        <v>0</v>
      </c>
      <c r="KO359" s="2">
        <v>1.7</v>
      </c>
      <c r="KP359" s="2">
        <v>-1.8</v>
      </c>
      <c r="KU359" s="2">
        <v>1.9</v>
      </c>
      <c r="KV359" s="2">
        <v>1.1</v>
      </c>
      <c r="KW359" s="2">
        <v>-0.1</v>
      </c>
      <c r="KX359" s="2">
        <v>-0.6</v>
      </c>
      <c r="KY359" s="2">
        <v>1.1</v>
      </c>
      <c r="KZ359" s="2">
        <v>-0.7</v>
      </c>
      <c r="LA359" s="2">
        <v>1.4</v>
      </c>
      <c r="LB359" s="2">
        <v>-0.6</v>
      </c>
      <c r="LC359" s="2">
        <v>-1.4</v>
      </c>
      <c r="LD359" s="2">
        <v>-0.1</v>
      </c>
      <c r="LE359" s="2">
        <v>-0.5</v>
      </c>
      <c r="LF359" s="2">
        <v>-1.6</v>
      </c>
      <c r="LK359" s="2">
        <v>1.6</v>
      </c>
      <c r="LL359" s="2">
        <v>0.7</v>
      </c>
      <c r="LM359" s="2">
        <v>2.1</v>
      </c>
      <c r="LN359" s="2">
        <v>1</v>
      </c>
      <c r="LO359" s="2">
        <v>-0.1</v>
      </c>
      <c r="LP359" s="2">
        <v>-0.6</v>
      </c>
      <c r="LQ359" s="2">
        <v>1.1</v>
      </c>
      <c r="LR359" s="2">
        <v>-0.1</v>
      </c>
      <c r="LS359" s="2">
        <v>-1.5</v>
      </c>
      <c r="LT359" s="2">
        <v>0.8</v>
      </c>
      <c r="LU359" s="2">
        <v>0.8</v>
      </c>
      <c r="LV359" s="2">
        <v>-2.4</v>
      </c>
      <c r="MA359" s="2">
        <v>1.8</v>
      </c>
      <c r="MB359" s="2">
        <v>1.4</v>
      </c>
      <c r="MC359" s="2">
        <v>-0.5</v>
      </c>
      <c r="MD359" s="2">
        <v>-0.2</v>
      </c>
      <c r="ME359" s="2">
        <v>1.2</v>
      </c>
      <c r="MF359" s="2">
        <v>0</v>
      </c>
      <c r="MG359" s="2">
        <v>0.6</v>
      </c>
      <c r="MH359" s="2">
        <v>0.4</v>
      </c>
      <c r="MI359" s="2">
        <v>-1.4</v>
      </c>
      <c r="MJ359" s="2">
        <v>-0.1</v>
      </c>
      <c r="MK359" s="2">
        <v>-0.1</v>
      </c>
      <c r="ML359" s="2">
        <v>0</v>
      </c>
      <c r="MQ359" s="2">
        <v>2.2</v>
      </c>
      <c r="MR359" s="2">
        <v>5.7</v>
      </c>
      <c r="MS359" s="2">
        <v>-1.1</v>
      </c>
      <c r="MT359" s="2">
        <v>0</v>
      </c>
      <c r="MU359" s="2">
        <v>0.9</v>
      </c>
      <c r="MV359" s="2">
        <v>0.3</v>
      </c>
      <c r="MW359" s="2">
        <v>0.9</v>
      </c>
      <c r="MX359" s="2">
        <v>1.5</v>
      </c>
      <c r="MY359" s="2">
        <v>-0.6</v>
      </c>
      <c r="MZ359" s="2">
        <v>1.1</v>
      </c>
      <c r="NA359" s="2">
        <v>-0.9</v>
      </c>
      <c r="NB359" s="2">
        <v>-1.4</v>
      </c>
      <c r="NG359" s="2">
        <v>3.3</v>
      </c>
      <c r="NH359" s="2">
        <v>1.5</v>
      </c>
      <c r="NI359" s="2">
        <v>1.3</v>
      </c>
      <c r="NJ359" s="2">
        <v>2.4</v>
      </c>
      <c r="NK359" s="2">
        <v>0.1</v>
      </c>
      <c r="NL359" s="2">
        <v>-2.5</v>
      </c>
      <c r="NM359" s="2">
        <v>1.1</v>
      </c>
      <c r="NN359" s="2">
        <v>-0.3</v>
      </c>
      <c r="NO359" s="2">
        <v>-0.5</v>
      </c>
      <c r="NP359" s="2">
        <v>-0.6</v>
      </c>
      <c r="NQ359" s="2">
        <v>1.8</v>
      </c>
      <c r="NR359" s="2">
        <v>0.2</v>
      </c>
      <c r="NW359" s="2">
        <v>2.6</v>
      </c>
      <c r="NX359" s="2">
        <v>0.7</v>
      </c>
      <c r="NY359" s="2">
        <v>1.2</v>
      </c>
      <c r="NZ359" s="2">
        <v>-0.3</v>
      </c>
      <c r="OA359" s="2">
        <v>1.2</v>
      </c>
      <c r="OB359" s="2">
        <v>0.4</v>
      </c>
      <c r="OC359" s="2">
        <v>-0.3</v>
      </c>
      <c r="OD359" s="2">
        <v>-0.2</v>
      </c>
      <c r="OE359" s="2">
        <v>-1.8</v>
      </c>
      <c r="OF359" s="2">
        <v>0.5</v>
      </c>
      <c r="OG359" s="2">
        <v>0</v>
      </c>
      <c r="OH359" s="2">
        <v>-0.4</v>
      </c>
      <c r="OM359" s="2">
        <v>1.8</v>
      </c>
      <c r="ON359" s="2">
        <v>2.2</v>
      </c>
      <c r="OO359" s="2">
        <v>1.1</v>
      </c>
      <c r="OP359" s="2">
        <v>-1.3</v>
      </c>
      <c r="OQ359" s="2">
        <v>2.4</v>
      </c>
      <c r="OR359" s="2">
        <v>-0.3</v>
      </c>
      <c r="OS359" s="2">
        <v>-0.5</v>
      </c>
      <c r="OT359" s="2">
        <v>-1</v>
      </c>
      <c r="OU359" s="2">
        <v>-1.7</v>
      </c>
      <c r="OV359" s="2">
        <v>-0.4</v>
      </c>
      <c r="OW359" s="2">
        <v>0</v>
      </c>
      <c r="OX359" s="2">
        <v>-1.3</v>
      </c>
      <c r="PC359" s="2">
        <v>1.6</v>
      </c>
      <c r="PD359" s="2">
        <v>1</v>
      </c>
      <c r="PE359" s="2">
        <v>1.5</v>
      </c>
      <c r="PF359" s="2">
        <v>-1</v>
      </c>
      <c r="PG359" s="2">
        <v>2.2</v>
      </c>
      <c r="PH359" s="2">
        <v>1</v>
      </c>
      <c r="PI359" s="2">
        <v>0.3</v>
      </c>
    </row>
    <row r="360">
      <c r="A360" t="inlineStr">
        <is>
          <t>A130390439W</t>
        </is>
      </c>
      <c r="B360" t="inlineStr">
        <is>
          <t>Percentage Change from Previous Period ;  Meals out and take away foods ;  Australia ;</t>
        </is>
      </c>
      <c r="C360" t="inlineStr">
        <is>
          <t>Month</t>
        </is>
      </c>
      <c r="D360" t="inlineStr">
        <is>
          <t>Percent</t>
        </is>
      </c>
      <c r="E360" t="inlineStr">
        <is>
          <t>Original</t>
        </is>
      </c>
      <c r="F360" t="inlineStr">
        <is>
          <t>640103.xlsx</t>
        </is>
      </c>
      <c r="G360" t="inlineStr">
        <is>
          <t>2024-05</t>
        </is>
      </c>
      <c r="H360" t="inlineStr">
        <is>
          <t>2026-07</t>
        </is>
      </c>
      <c r="OA360" s="2">
        <v>0.3</v>
      </c>
      <c r="OB360" s="2">
        <v>-0.2</v>
      </c>
      <c r="OC360" s="2">
        <v>0.9</v>
      </c>
      <c r="OD360" s="2">
        <v>0.1</v>
      </c>
      <c r="OE360" s="2">
        <v>0.1</v>
      </c>
      <c r="OF360" s="2">
        <v>0.2</v>
      </c>
      <c r="OG360" s="2">
        <v>0.3</v>
      </c>
      <c r="OH360" s="2">
        <v>0.2</v>
      </c>
      <c r="OM360" s="2">
        <v>0.1</v>
      </c>
      <c r="ON360" s="2">
        <v>0.3</v>
      </c>
      <c r="OO360" s="2">
        <v>0.2</v>
      </c>
      <c r="OP360" s="2">
        <v>0.3</v>
      </c>
      <c r="OQ360" s="2">
        <v>0.2</v>
      </c>
      <c r="OR360" s="2">
        <v>0.4</v>
      </c>
      <c r="OS360" s="2">
        <v>0.4</v>
      </c>
      <c r="OT360" s="2">
        <v>0.6</v>
      </c>
      <c r="OU360" s="2">
        <v>0.3</v>
      </c>
      <c r="OV360" s="2">
        <v>0.2</v>
      </c>
      <c r="OW360" s="2">
        <v>0.2</v>
      </c>
      <c r="OX360" s="2">
        <v>0.3</v>
      </c>
      <c r="PC360" s="2">
        <v>0.5</v>
      </c>
      <c r="PD360" s="2">
        <v>0.1</v>
      </c>
      <c r="PE360" s="2">
        <v>0.3</v>
      </c>
      <c r="PF360" s="2">
        <v>0.2</v>
      </c>
      <c r="PG360" s="2">
        <v>0.5</v>
      </c>
      <c r="PH360" s="2">
        <v>0.4</v>
      </c>
      <c r="PI360" s="2">
        <v>0.9</v>
      </c>
    </row>
    <row r="361">
      <c r="A361" t="inlineStr">
        <is>
          <t>A130391944C</t>
        </is>
      </c>
      <c r="B361" t="inlineStr">
        <is>
          <t>Percentage Change from Previous Period ;  Restaurant meals ;  Australia ;</t>
        </is>
      </c>
      <c r="C361" t="inlineStr">
        <is>
          <t>Month</t>
        </is>
      </c>
      <c r="D361" t="inlineStr">
        <is>
          <t>Percent</t>
        </is>
      </c>
      <c r="E361" t="inlineStr">
        <is>
          <t>Original</t>
        </is>
      </c>
      <c r="F361" t="inlineStr">
        <is>
          <t>640103.xlsx</t>
        </is>
      </c>
      <c r="G361" t="inlineStr">
        <is>
          <t>2024-05</t>
        </is>
      </c>
      <c r="H361" t="inlineStr">
        <is>
          <t>2026-07</t>
        </is>
      </c>
      <c r="OA361" s="2">
        <v>0.4</v>
      </c>
      <c r="OB361" s="2">
        <v>0.2</v>
      </c>
      <c r="OC361" s="2">
        <v>0.4</v>
      </c>
      <c r="OD361" s="2">
        <v>0.1</v>
      </c>
      <c r="OE361" s="2">
        <v>0.1</v>
      </c>
      <c r="OF361" s="2">
        <v>0.3</v>
      </c>
      <c r="OG361" s="2">
        <v>0.4</v>
      </c>
      <c r="OH361" s="2">
        <v>0.3</v>
      </c>
      <c r="OM361" s="2">
        <v>0.1</v>
      </c>
      <c r="ON361" s="2">
        <v>0.2</v>
      </c>
      <c r="OO361" s="2">
        <v>0.2</v>
      </c>
      <c r="OP361" s="2">
        <v>0.2</v>
      </c>
      <c r="OQ361" s="2">
        <v>0</v>
      </c>
      <c r="OR361" s="2">
        <v>0.4</v>
      </c>
      <c r="OS361" s="2">
        <v>0.2</v>
      </c>
      <c r="OT361" s="2">
        <v>0.6</v>
      </c>
      <c r="OU361" s="2">
        <v>0.4</v>
      </c>
      <c r="OV361" s="2">
        <v>0.3</v>
      </c>
      <c r="OW361" s="2">
        <v>0.2</v>
      </c>
      <c r="OX361" s="2">
        <v>0.6</v>
      </c>
      <c r="PC361" s="2">
        <v>0.3</v>
      </c>
      <c r="PD361" s="2">
        <v>0</v>
      </c>
      <c r="PE361" s="2">
        <v>0.2</v>
      </c>
      <c r="PF361" s="2">
        <v>0.1</v>
      </c>
      <c r="PG361" s="2">
        <v>0.4</v>
      </c>
      <c r="PH361" s="2">
        <v>0.2</v>
      </c>
      <c r="PI361" s="2">
        <v>1.2</v>
      </c>
    </row>
    <row r="362">
      <c r="A362" t="inlineStr">
        <is>
          <t>A130390614V</t>
        </is>
      </c>
      <c r="B362" t="inlineStr">
        <is>
          <t>Percentage Change from Previous Period ;  Take away and fast foods ;  Australia ;</t>
        </is>
      </c>
      <c r="C362" t="inlineStr">
        <is>
          <t>Month</t>
        </is>
      </c>
      <c r="D362" t="inlineStr">
        <is>
          <t>Percent</t>
        </is>
      </c>
      <c r="E362" t="inlineStr">
        <is>
          <t>Original</t>
        </is>
      </c>
      <c r="F362" t="inlineStr">
        <is>
          <t>640103.xlsx</t>
        </is>
      </c>
      <c r="G362" t="inlineStr">
        <is>
          <t>2024-05</t>
        </is>
      </c>
      <c r="H362" t="inlineStr">
        <is>
          <t>2026-07</t>
        </is>
      </c>
      <c r="OA362" s="2">
        <v>0.3</v>
      </c>
      <c r="OB362" s="2">
        <v>-0.6</v>
      </c>
      <c r="OC362" s="2">
        <v>1.4</v>
      </c>
      <c r="OD362" s="2">
        <v>0.1</v>
      </c>
      <c r="OE362" s="2">
        <v>0.1</v>
      </c>
      <c r="OF362" s="2">
        <v>0.1</v>
      </c>
      <c r="OG362" s="2">
        <v>0.2</v>
      </c>
      <c r="OH362" s="2">
        <v>0.2</v>
      </c>
      <c r="OM362" s="2">
        <v>0.1</v>
      </c>
      <c r="ON362" s="2">
        <v>0.3</v>
      </c>
      <c r="OO362" s="2">
        <v>0.3</v>
      </c>
      <c r="OP362" s="2">
        <v>0.4</v>
      </c>
      <c r="OQ362" s="2">
        <v>0.4</v>
      </c>
      <c r="OR362" s="2">
        <v>0.3</v>
      </c>
      <c r="OS362" s="2">
        <v>0.6</v>
      </c>
      <c r="OT362" s="2">
        <v>0.6</v>
      </c>
      <c r="OU362" s="2">
        <v>0.2</v>
      </c>
      <c r="OV362" s="2">
        <v>0.1</v>
      </c>
      <c r="OW362" s="2">
        <v>0.1</v>
      </c>
      <c r="OX362" s="2">
        <v>-0.2</v>
      </c>
      <c r="PC362" s="2">
        <v>0.8</v>
      </c>
      <c r="PD362" s="2">
        <v>0.1</v>
      </c>
      <c r="PE362" s="2">
        <v>0.5</v>
      </c>
      <c r="PF362" s="2">
        <v>0.2</v>
      </c>
      <c r="PG362" s="2">
        <v>0.5</v>
      </c>
      <c r="PH362" s="2">
        <v>0.6</v>
      </c>
      <c r="PI362" s="2">
        <v>0.5</v>
      </c>
    </row>
    <row r="363">
      <c r="A363" t="inlineStr">
        <is>
          <t>A130393029K</t>
        </is>
      </c>
      <c r="B363" t="inlineStr">
        <is>
          <t>Percentage Change from Previous Period ;  Alcohol and tobacco ;  Australia ;</t>
        </is>
      </c>
      <c r="C363" t="inlineStr">
        <is>
          <t>Month</t>
        </is>
      </c>
      <c r="D363" t="inlineStr">
        <is>
          <t>Percent</t>
        </is>
      </c>
      <c r="E363" t="inlineStr">
        <is>
          <t>Original</t>
        </is>
      </c>
      <c r="F363" t="inlineStr">
        <is>
          <t>640103.xlsx</t>
        </is>
      </c>
      <c r="G363" t="inlineStr">
        <is>
          <t>2024-05</t>
        </is>
      </c>
      <c r="H363" t="inlineStr">
        <is>
          <t>2026-07</t>
        </is>
      </c>
      <c r="OA363" s="2">
        <v>0.2</v>
      </c>
      <c r="OB363" s="2">
        <v>0</v>
      </c>
      <c r="OC363" s="2">
        <v>0.3</v>
      </c>
      <c r="OD363" s="2">
        <v>0.6</v>
      </c>
      <c r="OE363" s="2">
        <v>1.7</v>
      </c>
      <c r="OF363" s="2">
        <v>1</v>
      </c>
      <c r="OG363" s="2">
        <v>0.3</v>
      </c>
      <c r="OH363" s="2">
        <v>-0.6</v>
      </c>
      <c r="OM363" s="2">
        <v>0.7</v>
      </c>
      <c r="ON363" s="2">
        <v>0.9</v>
      </c>
      <c r="OO363" s="2">
        <v>0.7</v>
      </c>
      <c r="OP363" s="2">
        <v>-0.3</v>
      </c>
      <c r="OQ363" s="2">
        <v>0.5</v>
      </c>
      <c r="OR363" s="2">
        <v>-0.2</v>
      </c>
      <c r="OS363" s="2">
        <v>1.1</v>
      </c>
      <c r="OT363" s="2">
        <v>0.2</v>
      </c>
      <c r="OU363" s="2">
        <v>1.2</v>
      </c>
      <c r="OV363" s="2">
        <v>0</v>
      </c>
      <c r="OW363" s="2">
        <v>0.1</v>
      </c>
      <c r="OX363" s="2">
        <v>0</v>
      </c>
      <c r="PC363" s="2">
        <v>0.9</v>
      </c>
      <c r="PD363" s="2">
        <v>0.2</v>
      </c>
      <c r="PE363" s="2">
        <v>0.8</v>
      </c>
      <c r="PF363" s="2">
        <v>-0.5</v>
      </c>
      <c r="PG363" s="2">
        <v>0.9</v>
      </c>
      <c r="PH363" s="2">
        <v>-0.5</v>
      </c>
      <c r="PI363" s="2">
        <v>1.2</v>
      </c>
    </row>
    <row r="364">
      <c r="A364" t="inlineStr">
        <is>
          <t>A130394415A</t>
        </is>
      </c>
      <c r="B364" t="inlineStr">
        <is>
          <t>Percentage Change from Previous Period ;  Alcoholic beverages ;  Australia ;</t>
        </is>
      </c>
      <c r="C364" t="inlineStr">
        <is>
          <t>Month</t>
        </is>
      </c>
      <c r="D364" t="inlineStr">
        <is>
          <t>Percent</t>
        </is>
      </c>
      <c r="E364" t="inlineStr">
        <is>
          <t>Original</t>
        </is>
      </c>
      <c r="F364" t="inlineStr">
        <is>
          <t>640103.xlsx</t>
        </is>
      </c>
      <c r="G364" t="inlineStr">
        <is>
          <t>2024-05</t>
        </is>
      </c>
      <c r="H364" t="inlineStr">
        <is>
          <t>2026-07</t>
        </is>
      </c>
      <c r="OA364" s="2">
        <v>0.3</v>
      </c>
      <c r="OB364" s="2">
        <v>-0.1</v>
      </c>
      <c r="OC364" s="2">
        <v>0.4</v>
      </c>
      <c r="OD364" s="2">
        <v>0.9</v>
      </c>
      <c r="OE364" s="2">
        <v>0.5</v>
      </c>
      <c r="OF364" s="2">
        <v>0.2</v>
      </c>
      <c r="OG364" s="2">
        <v>0.3</v>
      </c>
      <c r="OH364" s="2">
        <v>-1</v>
      </c>
      <c r="OM364" s="2">
        <v>0.8</v>
      </c>
      <c r="ON364" s="2">
        <v>1</v>
      </c>
      <c r="OO364" s="2">
        <v>0.4</v>
      </c>
      <c r="OP364" s="2">
        <v>-0.9</v>
      </c>
      <c r="OQ364" s="2">
        <v>0.7</v>
      </c>
      <c r="OR364" s="2">
        <v>-0.2</v>
      </c>
      <c r="OS364" s="2">
        <v>1</v>
      </c>
      <c r="OT364" s="2">
        <v>0.2</v>
      </c>
      <c r="OU364" s="2">
        <v>-0.4</v>
      </c>
      <c r="OV364" s="2">
        <v>-0.4</v>
      </c>
      <c r="OW364" s="2">
        <v>-0.2</v>
      </c>
      <c r="OX364" s="2">
        <v>-0.2</v>
      </c>
      <c r="PC364" s="2">
        <v>1.3</v>
      </c>
      <c r="PD364" s="2">
        <v>0.1</v>
      </c>
      <c r="PE364" s="2">
        <v>0.7</v>
      </c>
      <c r="PF364" s="2">
        <v>-1</v>
      </c>
      <c r="PG364" s="2">
        <v>1.3</v>
      </c>
      <c r="PH364" s="2">
        <v>-0.7</v>
      </c>
      <c r="PI364" s="2">
        <v>1.2</v>
      </c>
    </row>
    <row r="365">
      <c r="A365" t="inlineStr">
        <is>
          <t>A130393442R</t>
        </is>
      </c>
      <c r="B365" t="inlineStr">
        <is>
          <t>Percentage Change from Previous Period ;  Spirits ;  Australia ;</t>
        </is>
      </c>
      <c r="C365" t="inlineStr">
        <is>
          <t>Month</t>
        </is>
      </c>
      <c r="D365" t="inlineStr">
        <is>
          <t>Percent</t>
        </is>
      </c>
      <c r="E365" t="inlineStr">
        <is>
          <t>Original</t>
        </is>
      </c>
      <c r="F365" t="inlineStr">
        <is>
          <t>640103.xlsx</t>
        </is>
      </c>
      <c r="G365" t="inlineStr">
        <is>
          <t>2017-10</t>
        </is>
      </c>
      <c r="H365" t="inlineStr">
        <is>
          <t>2026-07</t>
        </is>
      </c>
      <c r="JX365" s="2">
        <v>0.1</v>
      </c>
      <c r="JY365" s="2">
        <v>0.5</v>
      </c>
      <c r="JZ365" s="2">
        <v>-2.4</v>
      </c>
      <c r="KE365" s="2">
        <v>2.5</v>
      </c>
      <c r="KF365" s="2">
        <v>0.7</v>
      </c>
      <c r="KG365" s="2">
        <v>-0.1</v>
      </c>
      <c r="KH365" s="2">
        <v>0.6</v>
      </c>
      <c r="KI365" s="2">
        <v>0.1</v>
      </c>
      <c r="KJ365" s="2">
        <v>0.3</v>
      </c>
      <c r="KK365" s="2">
        <v>0.2</v>
      </c>
      <c r="KL365" s="2">
        <v>0</v>
      </c>
      <c r="KM365" s="2">
        <v>-0.3</v>
      </c>
      <c r="KN365" s="2">
        <v>0.9</v>
      </c>
      <c r="KO365" s="2">
        <v>-1.1</v>
      </c>
      <c r="KP365" s="2">
        <v>-0.1</v>
      </c>
      <c r="KU365" s="2">
        <v>1.7</v>
      </c>
      <c r="KV365" s="2">
        <v>0.4</v>
      </c>
      <c r="KW365" s="2">
        <v>-0.7</v>
      </c>
      <c r="KX365" s="2">
        <v>0.5</v>
      </c>
      <c r="KY365" s="2">
        <v>0.6</v>
      </c>
      <c r="KZ365" s="2">
        <v>-0.8</v>
      </c>
      <c r="LA365" s="2">
        <v>0.9</v>
      </c>
      <c r="LB365" s="2">
        <v>0.7</v>
      </c>
      <c r="LC365" s="2">
        <v>-1</v>
      </c>
      <c r="LD365" s="2">
        <v>0.1</v>
      </c>
      <c r="LE365" s="2">
        <v>0.4</v>
      </c>
      <c r="LF365" s="2">
        <v>-1</v>
      </c>
      <c r="LK365" s="2">
        <v>2.4</v>
      </c>
      <c r="LL365" s="2">
        <v>0.2</v>
      </c>
      <c r="LM365" s="2">
        <v>0.5</v>
      </c>
      <c r="LN365" s="2">
        <v>-0.5</v>
      </c>
      <c r="LO365" s="2">
        <v>1.1</v>
      </c>
      <c r="LP365" s="2">
        <v>-2.1</v>
      </c>
      <c r="LQ365" s="2">
        <v>1.3</v>
      </c>
      <c r="LR365" s="2">
        <v>-0.6</v>
      </c>
      <c r="LS365" s="2">
        <v>1.9</v>
      </c>
      <c r="LT365" s="2">
        <v>-1.5</v>
      </c>
      <c r="LU365" s="2">
        <v>0.8</v>
      </c>
      <c r="LV365" s="2">
        <v>-1.4</v>
      </c>
      <c r="MA365" s="2">
        <v>1</v>
      </c>
      <c r="MB365" s="2">
        <v>1</v>
      </c>
      <c r="MC365" s="2">
        <v>1.2</v>
      </c>
      <c r="MD365" s="2">
        <v>-0.9</v>
      </c>
      <c r="ME365" s="2">
        <v>0.4</v>
      </c>
      <c r="MF365" s="2">
        <v>-0.2</v>
      </c>
      <c r="MG365" s="2">
        <v>-0.5</v>
      </c>
      <c r="MH365" s="2">
        <v>0.9</v>
      </c>
      <c r="MI365" s="2">
        <v>-0.8</v>
      </c>
      <c r="MJ365" s="2">
        <v>1.1</v>
      </c>
      <c r="MK365" s="2">
        <v>-0.3</v>
      </c>
      <c r="ML365" s="2">
        <v>-0.2</v>
      </c>
      <c r="MQ365" s="2">
        <v>0</v>
      </c>
      <c r="MR365" s="2">
        <v>1.8</v>
      </c>
      <c r="MS365" s="2">
        <v>0.1</v>
      </c>
      <c r="MT365" s="2">
        <v>-0.1</v>
      </c>
      <c r="MU365" s="2">
        <v>0.4</v>
      </c>
      <c r="MV365" s="2">
        <v>0.2</v>
      </c>
      <c r="MW365" s="2">
        <v>0.3</v>
      </c>
      <c r="MX365" s="2">
        <v>4.1</v>
      </c>
      <c r="MY365" s="2">
        <v>0.4</v>
      </c>
      <c r="MZ365" s="2">
        <v>0.1</v>
      </c>
      <c r="NA365" s="2">
        <v>1</v>
      </c>
      <c r="NB365" s="2">
        <v>-0.9</v>
      </c>
      <c r="NG365" s="2">
        <v>0.6</v>
      </c>
      <c r="NH365" s="2">
        <v>3.8</v>
      </c>
      <c r="NI365" s="2">
        <v>1</v>
      </c>
      <c r="NJ365" s="2">
        <v>-0.3</v>
      </c>
      <c r="NK365" s="2">
        <v>-0.1</v>
      </c>
      <c r="NL365" s="2">
        <v>-0.1</v>
      </c>
      <c r="NM365" s="2">
        <v>0.5</v>
      </c>
      <c r="NN365" s="2">
        <v>1</v>
      </c>
      <c r="NO365" s="2">
        <v>0.9</v>
      </c>
      <c r="NP365" s="2">
        <v>-0.6</v>
      </c>
      <c r="NQ365" s="2">
        <v>-1.1</v>
      </c>
      <c r="NR365" s="2">
        <v>0</v>
      </c>
      <c r="NW365" s="2">
        <v>0</v>
      </c>
      <c r="NX365" s="2">
        <v>1.5</v>
      </c>
      <c r="NY365" s="2">
        <v>1.2</v>
      </c>
      <c r="NZ365" s="2">
        <v>-1.5</v>
      </c>
      <c r="OA365" s="2">
        <v>1.9</v>
      </c>
      <c r="OB365" s="2">
        <v>-1.5</v>
      </c>
      <c r="OC365" s="2">
        <v>0.8</v>
      </c>
      <c r="OD365" s="2">
        <v>0</v>
      </c>
      <c r="OE365" s="2">
        <v>0.7</v>
      </c>
      <c r="OF365" s="2">
        <v>0.3</v>
      </c>
      <c r="OG365" s="2">
        <v>0.9</v>
      </c>
      <c r="OH365" s="2">
        <v>-1</v>
      </c>
      <c r="OM365" s="2">
        <v>0.4</v>
      </c>
      <c r="ON365" s="2">
        <v>2.6</v>
      </c>
      <c r="OO365" s="2">
        <v>-0.3</v>
      </c>
      <c r="OP365" s="2">
        <v>-1.1</v>
      </c>
      <c r="OQ365" s="2">
        <v>0.5</v>
      </c>
      <c r="OR365" s="2">
        <v>0.5</v>
      </c>
      <c r="OS365" s="2">
        <v>0.2</v>
      </c>
      <c r="OT365" s="2">
        <v>0.1</v>
      </c>
      <c r="OU365" s="2">
        <v>-0.1</v>
      </c>
      <c r="OV365" s="2">
        <v>-0.4</v>
      </c>
      <c r="OW365" s="2">
        <v>0.3</v>
      </c>
      <c r="OX365" s="2">
        <v>-0.9</v>
      </c>
      <c r="PC365" s="2">
        <v>1.8</v>
      </c>
      <c r="PD365" s="2">
        <v>0.2</v>
      </c>
      <c r="PE365" s="2">
        <v>0.9</v>
      </c>
      <c r="PF365" s="2">
        <v>-1.1</v>
      </c>
      <c r="PG365" s="2">
        <v>1.4</v>
      </c>
      <c r="PH365" s="2">
        <v>-0.3</v>
      </c>
      <c r="PI365" s="2">
        <v>0.5</v>
      </c>
    </row>
    <row r="366">
      <c r="A366" t="inlineStr">
        <is>
          <t>A130390894X</t>
        </is>
      </c>
      <c r="B366" t="inlineStr">
        <is>
          <t>Percentage Change from Previous Period ;  Wine ;  Australia ;</t>
        </is>
      </c>
      <c r="C366" t="inlineStr">
        <is>
          <t>Month</t>
        </is>
      </c>
      <c r="D366" t="inlineStr">
        <is>
          <t>Percent</t>
        </is>
      </c>
      <c r="E366" t="inlineStr">
        <is>
          <t>Original</t>
        </is>
      </c>
      <c r="F366" t="inlineStr">
        <is>
          <t>640103.xlsx</t>
        </is>
      </c>
      <c r="G366" t="inlineStr">
        <is>
          <t>2024-05</t>
        </is>
      </c>
      <c r="H366" t="inlineStr">
        <is>
          <t>2026-07</t>
        </is>
      </c>
      <c r="OA366" s="2">
        <v>-0.5</v>
      </c>
      <c r="OB366" s="2">
        <v>0.7</v>
      </c>
      <c r="OC366" s="2">
        <v>0</v>
      </c>
      <c r="OD366" s="2">
        <v>1.4</v>
      </c>
      <c r="OE366" s="2">
        <v>0.4</v>
      </c>
      <c r="OF366" s="2">
        <v>-0.2</v>
      </c>
      <c r="OG366" s="2">
        <v>0.1</v>
      </c>
      <c r="OH366" s="2">
        <v>-2.2</v>
      </c>
      <c r="OM366" s="2">
        <v>1.7</v>
      </c>
      <c r="ON366" s="2">
        <v>-0.8</v>
      </c>
      <c r="OO366" s="2">
        <v>1.8</v>
      </c>
      <c r="OP366" s="2">
        <v>-1.3</v>
      </c>
      <c r="OQ366" s="2">
        <v>1.2</v>
      </c>
      <c r="OR366" s="2">
        <v>-0.8</v>
      </c>
      <c r="OS366" s="2">
        <v>2.1</v>
      </c>
      <c r="OT366" s="2">
        <v>0.1</v>
      </c>
      <c r="OU366" s="2">
        <v>-1.2</v>
      </c>
      <c r="OV366" s="2">
        <v>-1.2</v>
      </c>
      <c r="OW366" s="2">
        <v>-0.3</v>
      </c>
      <c r="OX366" s="2">
        <v>-0.6</v>
      </c>
      <c r="PC366" s="2">
        <v>2.5</v>
      </c>
      <c r="PD366" s="2">
        <v>-0.3</v>
      </c>
      <c r="PE366" s="2">
        <v>0.9</v>
      </c>
      <c r="PF366" s="2">
        <v>-1.8</v>
      </c>
      <c r="PG366" s="2">
        <v>2.4</v>
      </c>
      <c r="PH366" s="2">
        <v>-2.1</v>
      </c>
      <c r="PI366" s="2">
        <v>1.9</v>
      </c>
    </row>
    <row r="367">
      <c r="A367" t="inlineStr">
        <is>
          <t>A130393414F</t>
        </is>
      </c>
      <c r="B367" t="inlineStr">
        <is>
          <t>Percentage Change from Previous Period ;  Beer ;  Australia ;</t>
        </is>
      </c>
      <c r="C367" t="inlineStr">
        <is>
          <t>Month</t>
        </is>
      </c>
      <c r="D367" t="inlineStr">
        <is>
          <t>Percent</t>
        </is>
      </c>
      <c r="E367" t="inlineStr">
        <is>
          <t>Original</t>
        </is>
      </c>
      <c r="F367" t="inlineStr">
        <is>
          <t>640103.xlsx</t>
        </is>
      </c>
      <c r="G367" t="inlineStr">
        <is>
          <t>2017-10</t>
        </is>
      </c>
      <c r="H367" t="inlineStr">
        <is>
          <t>2026-07</t>
        </is>
      </c>
      <c r="JX367" s="2">
        <v>-0.1</v>
      </c>
      <c r="JY367" s="2">
        <v>0.2</v>
      </c>
      <c r="JZ367" s="2">
        <v>0.3</v>
      </c>
      <c r="KE367" s="2">
        <v>1.2</v>
      </c>
      <c r="KF367" s="2">
        <v>0.9</v>
      </c>
      <c r="KG367" s="2">
        <v>-0.1</v>
      </c>
      <c r="KH367" s="2">
        <v>0.5</v>
      </c>
      <c r="KI367" s="2">
        <v>-0.2</v>
      </c>
      <c r="KJ367" s="2">
        <v>-0.3</v>
      </c>
      <c r="KK367" s="2">
        <v>0.5</v>
      </c>
      <c r="KL367" s="2">
        <v>1.8</v>
      </c>
      <c r="KM367" s="2">
        <v>-1.5</v>
      </c>
      <c r="KN367" s="2">
        <v>1.3</v>
      </c>
      <c r="KO367" s="2">
        <v>-0.9</v>
      </c>
      <c r="KP367" s="2">
        <v>-0.6</v>
      </c>
      <c r="KU367" s="2">
        <v>1.1</v>
      </c>
      <c r="KV367" s="2">
        <v>1</v>
      </c>
      <c r="KW367" s="2">
        <v>0.3</v>
      </c>
      <c r="KX367" s="2">
        <v>-0.2</v>
      </c>
      <c r="KY367" s="2">
        <v>0.1</v>
      </c>
      <c r="KZ367" s="2">
        <v>0</v>
      </c>
      <c r="LA367" s="2">
        <v>0.2</v>
      </c>
      <c r="LB367" s="2">
        <v>0.4</v>
      </c>
      <c r="LC367" s="2">
        <v>0.1</v>
      </c>
      <c r="LD367" s="2">
        <v>0</v>
      </c>
      <c r="LE367" s="2">
        <v>-0.4</v>
      </c>
      <c r="LF367" s="2">
        <v>-0.1</v>
      </c>
      <c r="LK367" s="2">
        <v>0.6</v>
      </c>
      <c r="LL367" s="2">
        <v>1</v>
      </c>
      <c r="LM367" s="2">
        <v>0.2</v>
      </c>
      <c r="LN367" s="2">
        <v>0.8</v>
      </c>
      <c r="LO367" s="2">
        <v>-0.8</v>
      </c>
      <c r="LP367" s="2">
        <v>0.1</v>
      </c>
      <c r="LQ367" s="2">
        <v>-0.4</v>
      </c>
      <c r="LR367" s="2">
        <v>0.8</v>
      </c>
      <c r="LS367" s="2">
        <v>-0.6</v>
      </c>
      <c r="LT367" s="2">
        <v>0.6</v>
      </c>
      <c r="LU367" s="2">
        <v>-0.6</v>
      </c>
      <c r="LV367" s="2">
        <v>0.2</v>
      </c>
      <c r="MA367" s="2">
        <v>-0.1</v>
      </c>
      <c r="MB367" s="2">
        <v>1.3</v>
      </c>
      <c r="MC367" s="2">
        <v>0.4</v>
      </c>
      <c r="MD367" s="2">
        <v>-0.1</v>
      </c>
      <c r="ME367" s="2">
        <v>0.4</v>
      </c>
      <c r="MF367" s="2">
        <v>0</v>
      </c>
      <c r="MG367" s="2">
        <v>-0.6</v>
      </c>
      <c r="MH367" s="2">
        <v>-0.2</v>
      </c>
      <c r="MI367" s="2">
        <v>0</v>
      </c>
      <c r="MJ367" s="2">
        <v>0.6</v>
      </c>
      <c r="MK367" s="2">
        <v>0.2</v>
      </c>
      <c r="ML367" s="2">
        <v>-0.5</v>
      </c>
      <c r="MQ367" s="2">
        <v>0.7</v>
      </c>
      <c r="MR367" s="2">
        <v>0.7</v>
      </c>
      <c r="MS367" s="2">
        <v>-0.3</v>
      </c>
      <c r="MT367" s="2">
        <v>0.5</v>
      </c>
      <c r="MU367" s="2">
        <v>0.4</v>
      </c>
      <c r="MV367" s="2">
        <v>-0.5</v>
      </c>
      <c r="MW367" s="2">
        <v>0</v>
      </c>
      <c r="MX367" s="2">
        <v>2.3</v>
      </c>
      <c r="MY367" s="2">
        <v>0.1</v>
      </c>
      <c r="MZ367" s="2">
        <v>0.7</v>
      </c>
      <c r="NA367" s="2">
        <v>0.1</v>
      </c>
      <c r="NB367" s="2">
        <v>-0.2</v>
      </c>
      <c r="NG367" s="2">
        <v>0.4</v>
      </c>
      <c r="NH367" s="2">
        <v>2</v>
      </c>
      <c r="NI367" s="2">
        <v>0.4</v>
      </c>
      <c r="NJ367" s="2">
        <v>0.3</v>
      </c>
      <c r="NK367" s="2">
        <v>0.4</v>
      </c>
      <c r="NL367" s="2">
        <v>-0.2</v>
      </c>
      <c r="NM367" s="2">
        <v>-0.1</v>
      </c>
      <c r="NN367" s="2">
        <v>2.3</v>
      </c>
      <c r="NO367" s="2">
        <v>0.9</v>
      </c>
      <c r="NP367" s="2">
        <v>0.1</v>
      </c>
      <c r="NQ367" s="2">
        <v>0.5</v>
      </c>
      <c r="NR367" s="2">
        <v>-0.3</v>
      </c>
      <c r="NW367" s="2">
        <v>0.5</v>
      </c>
      <c r="NX367" s="2">
        <v>1</v>
      </c>
      <c r="NY367" s="2">
        <v>0.3</v>
      </c>
      <c r="NZ367" s="2">
        <v>-0.2</v>
      </c>
      <c r="OA367" s="2">
        <v>0.1</v>
      </c>
      <c r="OB367" s="2">
        <v>0</v>
      </c>
      <c r="OC367" s="2">
        <v>0.6</v>
      </c>
      <c r="OD367" s="2">
        <v>0.9</v>
      </c>
      <c r="OE367" s="2">
        <v>0.4</v>
      </c>
      <c r="OF367" s="2">
        <v>0.4</v>
      </c>
      <c r="OG367" s="2">
        <v>0.2</v>
      </c>
      <c r="OH367" s="2">
        <v>0</v>
      </c>
      <c r="OM367" s="2">
        <v>0.3</v>
      </c>
      <c r="ON367" s="2">
        <v>1.7</v>
      </c>
      <c r="OO367" s="2">
        <v>-0.3</v>
      </c>
      <c r="OP367" s="2">
        <v>-0.5</v>
      </c>
      <c r="OQ367" s="2">
        <v>0.5</v>
      </c>
      <c r="OR367" s="2">
        <v>0.1</v>
      </c>
      <c r="OS367" s="2">
        <v>0.5</v>
      </c>
      <c r="OT367" s="2">
        <v>0.4</v>
      </c>
      <c r="OU367" s="2">
        <v>0</v>
      </c>
      <c r="OV367" s="2">
        <v>0.2</v>
      </c>
      <c r="OW367" s="2">
        <v>-0.2</v>
      </c>
      <c r="OX367" s="2">
        <v>0.3</v>
      </c>
      <c r="PC367" s="2">
        <v>0.2</v>
      </c>
      <c r="PD367" s="2">
        <v>0.4</v>
      </c>
      <c r="PE367" s="2">
        <v>0.5</v>
      </c>
      <c r="PF367" s="2">
        <v>-0.3</v>
      </c>
      <c r="PG367" s="2">
        <v>0.3</v>
      </c>
      <c r="PH367" s="2">
        <v>0.3</v>
      </c>
      <c r="PI367" s="2">
        <v>0.9</v>
      </c>
    </row>
    <row r="368">
      <c r="A368" t="inlineStr">
        <is>
          <t>A130398014K</t>
        </is>
      </c>
      <c r="B368" t="inlineStr">
        <is>
          <t>Percentage Change from Previous Period ;  Tobacco ;  Australia ;</t>
        </is>
      </c>
      <c r="C368" t="inlineStr">
        <is>
          <t>Month</t>
        </is>
      </c>
      <c r="D368" t="inlineStr">
        <is>
          <t>Percent</t>
        </is>
      </c>
      <c r="E368" t="inlineStr">
        <is>
          <t>Original</t>
        </is>
      </c>
      <c r="F368" t="inlineStr">
        <is>
          <t>640103.xlsx</t>
        </is>
      </c>
      <c r="G368" t="inlineStr">
        <is>
          <t>2017-10</t>
        </is>
      </c>
      <c r="H368" t="inlineStr">
        <is>
          <t>2026-07</t>
        </is>
      </c>
      <c r="JX368" s="2">
        <v>3.7</v>
      </c>
      <c r="JY368" s="2">
        <v>0.5</v>
      </c>
      <c r="JZ368" s="2">
        <v>0.5</v>
      </c>
      <c r="KE368" s="2">
        <v>0.3</v>
      </c>
      <c r="KF368" s="2">
        <v>-1</v>
      </c>
      <c r="KG368" s="2">
        <v>1.3</v>
      </c>
      <c r="KH368" s="2">
        <v>1.3</v>
      </c>
      <c r="KI368" s="2">
        <v>1</v>
      </c>
      <c r="KJ368" s="2">
        <v>-0.2</v>
      </c>
      <c r="KK368" s="2">
        <v>0.2</v>
      </c>
      <c r="KL368" s="2">
        <v>0.2</v>
      </c>
      <c r="KM368" s="2">
        <v>4.6</v>
      </c>
      <c r="KN368" s="2">
        <v>5.2</v>
      </c>
      <c r="KO368" s="2">
        <v>1.8</v>
      </c>
      <c r="KP368" s="2">
        <v>-0.5</v>
      </c>
      <c r="KU368" s="2">
        <v>-0.6</v>
      </c>
      <c r="KV368" s="2">
        <v>-0.4</v>
      </c>
      <c r="KW368" s="2">
        <v>0.5</v>
      </c>
      <c r="KX368" s="2">
        <v>1.5</v>
      </c>
      <c r="KY368" s="2">
        <v>0.7</v>
      </c>
      <c r="KZ368" s="2">
        <v>0.5</v>
      </c>
      <c r="LA368" s="2">
        <v>0.9</v>
      </c>
      <c r="LB368" s="2">
        <v>-0.3</v>
      </c>
      <c r="LC368" s="2">
        <v>6</v>
      </c>
      <c r="LD368" s="2">
        <v>3.4</v>
      </c>
      <c r="LE368" s="2">
        <v>0.8</v>
      </c>
      <c r="LF368" s="2">
        <v>0.5</v>
      </c>
      <c r="LK368" s="2">
        <v>0.7</v>
      </c>
      <c r="LL368" s="2">
        <v>0.3</v>
      </c>
      <c r="LM368" s="2">
        <v>1.5</v>
      </c>
      <c r="LN368" s="2">
        <v>1</v>
      </c>
      <c r="LO368" s="2">
        <v>0.5</v>
      </c>
      <c r="LP368" s="2">
        <v>0.3</v>
      </c>
      <c r="LQ368" s="2">
        <v>0.5</v>
      </c>
      <c r="LR368" s="2">
        <v>0</v>
      </c>
      <c r="LS368" s="2">
        <v>7.5</v>
      </c>
      <c r="LT368" s="2">
        <v>5.4</v>
      </c>
      <c r="LU368" s="2">
        <v>0.8</v>
      </c>
      <c r="LV368" s="2">
        <v>-0.5</v>
      </c>
      <c r="MA368" s="2">
        <v>-0.2</v>
      </c>
      <c r="MB368" s="2">
        <v>-0.6</v>
      </c>
      <c r="MC368" s="2">
        <v>-0.2</v>
      </c>
      <c r="MD368" s="2">
        <v>0.5</v>
      </c>
      <c r="ME368" s="2">
        <v>0.7</v>
      </c>
      <c r="MF368" s="2">
        <v>-0.5</v>
      </c>
      <c r="MG368" s="2">
        <v>-0.6</v>
      </c>
      <c r="MH368" s="2">
        <v>-0.4</v>
      </c>
      <c r="MI368" s="2">
        <v>0.6</v>
      </c>
      <c r="MJ368" s="2">
        <v>0.9</v>
      </c>
      <c r="MK368" s="2">
        <v>0.7</v>
      </c>
      <c r="ML368" s="2">
        <v>0.5</v>
      </c>
      <c r="MQ368" s="2">
        <v>0.3</v>
      </c>
      <c r="MR368" s="2">
        <v>-0.1</v>
      </c>
      <c r="MS368" s="2">
        <v>1</v>
      </c>
      <c r="MT368" s="2">
        <v>0.3</v>
      </c>
      <c r="MU368" s="2">
        <v>0</v>
      </c>
      <c r="MV368" s="2">
        <v>0.1</v>
      </c>
      <c r="MW368" s="2">
        <v>0.2</v>
      </c>
      <c r="MX368" s="2">
        <v>0.3</v>
      </c>
      <c r="MY368" s="2">
        <v>1.1</v>
      </c>
      <c r="MZ368" s="2">
        <v>0.6</v>
      </c>
      <c r="NA368" s="2">
        <v>0</v>
      </c>
      <c r="NB368" s="2">
        <v>0</v>
      </c>
      <c r="NG368" s="2">
        <v>0.2</v>
      </c>
      <c r="NH368" s="2">
        <v>0.2</v>
      </c>
      <c r="NI368" s="2">
        <v>0.8</v>
      </c>
      <c r="NJ368" s="2">
        <v>0.7</v>
      </c>
      <c r="NK368" s="2">
        <v>-0.2</v>
      </c>
      <c r="NL368" s="2">
        <v>-0.2</v>
      </c>
      <c r="NM368" s="2">
        <v>0</v>
      </c>
      <c r="NN368" s="2">
        <v>0.4</v>
      </c>
      <c r="NO368" s="2">
        <v>4.8</v>
      </c>
      <c r="NP368" s="2">
        <v>3.4</v>
      </c>
      <c r="NQ368" s="2">
        <v>0.1</v>
      </c>
      <c r="NR368" s="2">
        <v>0.2</v>
      </c>
      <c r="NW368" s="2">
        <v>0.1</v>
      </c>
      <c r="NX368" s="2">
        <v>0.2</v>
      </c>
      <c r="NY368" s="2">
        <v>2.3</v>
      </c>
      <c r="NZ368" s="2">
        <v>1.3</v>
      </c>
      <c r="OA368" s="2">
        <v>0.2</v>
      </c>
      <c r="OB368" s="2">
        <v>0.2</v>
      </c>
      <c r="OC368" s="2">
        <v>0.1</v>
      </c>
      <c r="OD368" s="2">
        <v>-0.1</v>
      </c>
      <c r="OE368" s="2">
        <v>4.4</v>
      </c>
      <c r="OF368" s="2">
        <v>2.8</v>
      </c>
      <c r="OG368" s="2">
        <v>0.1</v>
      </c>
      <c r="OH368" s="2">
        <v>0.2</v>
      </c>
      <c r="OM368" s="2">
        <v>0.5</v>
      </c>
      <c r="ON368" s="2">
        <v>0.7</v>
      </c>
      <c r="OO368" s="2">
        <v>1.4</v>
      </c>
      <c r="OP368" s="2">
        <v>1.1</v>
      </c>
      <c r="OQ368" s="2">
        <v>-0.2</v>
      </c>
      <c r="OR368" s="2">
        <v>-0.3</v>
      </c>
      <c r="OS368" s="2">
        <v>1.3</v>
      </c>
      <c r="OT368" s="2">
        <v>0.1</v>
      </c>
      <c r="OU368" s="2">
        <v>5.2</v>
      </c>
      <c r="OV368" s="2">
        <v>1</v>
      </c>
      <c r="OW368" s="2">
        <v>0.7</v>
      </c>
      <c r="OX368" s="2">
        <v>0.5</v>
      </c>
      <c r="PC368" s="2">
        <v>-0.1</v>
      </c>
      <c r="PD368" s="2">
        <v>0.4</v>
      </c>
      <c r="PE368" s="2">
        <v>1.1</v>
      </c>
      <c r="PF368" s="2">
        <v>0.7</v>
      </c>
      <c r="PG368" s="2">
        <v>-0.1</v>
      </c>
      <c r="PH368" s="2">
        <v>0</v>
      </c>
      <c r="PI368" s="2">
        <v>1.2</v>
      </c>
    </row>
    <row r="369">
      <c r="A369" t="inlineStr">
        <is>
          <t>A130397117J</t>
        </is>
      </c>
      <c r="B369" t="inlineStr">
        <is>
          <t>Percentage Change from Previous Period ;  Tobacco ;  Australia ;</t>
        </is>
      </c>
      <c r="C369" t="inlineStr">
        <is>
          <t>Month</t>
        </is>
      </c>
      <c r="D369" t="inlineStr">
        <is>
          <t>Percent</t>
        </is>
      </c>
      <c r="E369" t="inlineStr">
        <is>
          <t>Original</t>
        </is>
      </c>
      <c r="F369" t="inlineStr">
        <is>
          <t>640103.xlsx</t>
        </is>
      </c>
      <c r="G369" t="inlineStr">
        <is>
          <t>2017-10</t>
        </is>
      </c>
      <c r="H369" t="inlineStr">
        <is>
          <t>2026-07</t>
        </is>
      </c>
      <c r="JX369" s="2">
        <v>3.7</v>
      </c>
      <c r="JY369" s="2">
        <v>0.5</v>
      </c>
      <c r="JZ369" s="2">
        <v>0.5</v>
      </c>
      <c r="KE369" s="2">
        <v>0.3</v>
      </c>
      <c r="KF369" s="2">
        <v>-1</v>
      </c>
      <c r="KG369" s="2">
        <v>1.3</v>
      </c>
      <c r="KH369" s="2">
        <v>1.3</v>
      </c>
      <c r="KI369" s="2">
        <v>1</v>
      </c>
      <c r="KJ369" s="2">
        <v>-0.2</v>
      </c>
      <c r="KK369" s="2">
        <v>0.2</v>
      </c>
      <c r="KL369" s="2">
        <v>0.2</v>
      </c>
      <c r="KM369" s="2">
        <v>4.6</v>
      </c>
      <c r="KN369" s="2">
        <v>5.2</v>
      </c>
      <c r="KO369" s="2">
        <v>1.8</v>
      </c>
      <c r="KP369" s="2">
        <v>-0.5</v>
      </c>
      <c r="KU369" s="2">
        <v>-0.6</v>
      </c>
      <c r="KV369" s="2">
        <v>-0.4</v>
      </c>
      <c r="KW369" s="2">
        <v>0.5</v>
      </c>
      <c r="KX369" s="2">
        <v>1.5</v>
      </c>
      <c r="KY369" s="2">
        <v>0.7</v>
      </c>
      <c r="KZ369" s="2">
        <v>0.5</v>
      </c>
      <c r="LA369" s="2">
        <v>0.9</v>
      </c>
      <c r="LB369" s="2">
        <v>-0.3</v>
      </c>
      <c r="LC369" s="2">
        <v>6</v>
      </c>
      <c r="LD369" s="2">
        <v>3.4</v>
      </c>
      <c r="LE369" s="2">
        <v>0.8</v>
      </c>
      <c r="LF369" s="2">
        <v>0.5</v>
      </c>
      <c r="LK369" s="2">
        <v>0.7</v>
      </c>
      <c r="LL369" s="2">
        <v>0.3</v>
      </c>
      <c r="LM369" s="2">
        <v>1.5</v>
      </c>
      <c r="LN369" s="2">
        <v>1</v>
      </c>
      <c r="LO369" s="2">
        <v>0.5</v>
      </c>
      <c r="LP369" s="2">
        <v>0.3</v>
      </c>
      <c r="LQ369" s="2">
        <v>0.5</v>
      </c>
      <c r="LR369" s="2">
        <v>0</v>
      </c>
      <c r="LS369" s="2">
        <v>7.5</v>
      </c>
      <c r="LT369" s="2">
        <v>5.4</v>
      </c>
      <c r="LU369" s="2">
        <v>0.8</v>
      </c>
      <c r="LV369" s="2">
        <v>-0.5</v>
      </c>
      <c r="MA369" s="2">
        <v>-0.2</v>
      </c>
      <c r="MB369" s="2">
        <v>-0.6</v>
      </c>
      <c r="MC369" s="2">
        <v>-0.2</v>
      </c>
      <c r="MD369" s="2">
        <v>0.5</v>
      </c>
      <c r="ME369" s="2">
        <v>0.7</v>
      </c>
      <c r="MF369" s="2">
        <v>-0.5</v>
      </c>
      <c r="MG369" s="2">
        <v>-0.6</v>
      </c>
      <c r="MH369" s="2">
        <v>-0.4</v>
      </c>
      <c r="MI369" s="2">
        <v>0.6</v>
      </c>
      <c r="MJ369" s="2">
        <v>0.9</v>
      </c>
      <c r="MK369" s="2">
        <v>0.7</v>
      </c>
      <c r="ML369" s="2">
        <v>0.5</v>
      </c>
      <c r="MQ369" s="2">
        <v>0.3</v>
      </c>
      <c r="MR369" s="2">
        <v>-0.1</v>
      </c>
      <c r="MS369" s="2">
        <v>1</v>
      </c>
      <c r="MT369" s="2">
        <v>0.3</v>
      </c>
      <c r="MU369" s="2">
        <v>0</v>
      </c>
      <c r="MV369" s="2">
        <v>0.1</v>
      </c>
      <c r="MW369" s="2">
        <v>0.2</v>
      </c>
      <c r="MX369" s="2">
        <v>0.3</v>
      </c>
      <c r="MY369" s="2">
        <v>1.1</v>
      </c>
      <c r="MZ369" s="2">
        <v>0.6</v>
      </c>
      <c r="NA369" s="2">
        <v>0</v>
      </c>
      <c r="NB369" s="2">
        <v>0</v>
      </c>
      <c r="NG369" s="2">
        <v>0.2</v>
      </c>
      <c r="NH369" s="2">
        <v>0.2</v>
      </c>
      <c r="NI369" s="2">
        <v>0.8</v>
      </c>
      <c r="NJ369" s="2">
        <v>0.7</v>
      </c>
      <c r="NK369" s="2">
        <v>-0.2</v>
      </c>
      <c r="NL369" s="2">
        <v>-0.2</v>
      </c>
      <c r="NM369" s="2">
        <v>0</v>
      </c>
      <c r="NN369" s="2">
        <v>0.4</v>
      </c>
      <c r="NO369" s="2">
        <v>4.8</v>
      </c>
      <c r="NP369" s="2">
        <v>3.4</v>
      </c>
      <c r="NQ369" s="2">
        <v>0.1</v>
      </c>
      <c r="NR369" s="2">
        <v>0.2</v>
      </c>
      <c r="NW369" s="2">
        <v>0.1</v>
      </c>
      <c r="NX369" s="2">
        <v>0.2</v>
      </c>
      <c r="NY369" s="2">
        <v>2.3</v>
      </c>
      <c r="NZ369" s="2">
        <v>1.3</v>
      </c>
      <c r="OA369" s="2">
        <v>0.2</v>
      </c>
      <c r="OB369" s="2">
        <v>0.2</v>
      </c>
      <c r="OC369" s="2">
        <v>0.1</v>
      </c>
      <c r="OD369" s="2">
        <v>-0.1</v>
      </c>
      <c r="OE369" s="2">
        <v>4.4</v>
      </c>
      <c r="OF369" s="2">
        <v>2.8</v>
      </c>
      <c r="OG369" s="2">
        <v>0.1</v>
      </c>
      <c r="OH369" s="2">
        <v>0.2</v>
      </c>
      <c r="OM369" s="2">
        <v>0.5</v>
      </c>
      <c r="ON369" s="2">
        <v>0.7</v>
      </c>
      <c r="OO369" s="2">
        <v>1.4</v>
      </c>
      <c r="OP369" s="2">
        <v>1.1</v>
      </c>
      <c r="OQ369" s="2">
        <v>-0.2</v>
      </c>
      <c r="OR369" s="2">
        <v>-0.3</v>
      </c>
      <c r="OS369" s="2">
        <v>1.3</v>
      </c>
      <c r="OT369" s="2">
        <v>0.1</v>
      </c>
      <c r="OU369" s="2">
        <v>5.2</v>
      </c>
      <c r="OV369" s="2">
        <v>1</v>
      </c>
      <c r="OW369" s="2">
        <v>0.7</v>
      </c>
      <c r="OX369" s="2">
        <v>0.5</v>
      </c>
      <c r="PC369" s="2">
        <v>-0.1</v>
      </c>
      <c r="PD369" s="2">
        <v>0.4</v>
      </c>
      <c r="PE369" s="2">
        <v>1.1</v>
      </c>
      <c r="PF369" s="2">
        <v>0.7</v>
      </c>
      <c r="PG369" s="2">
        <v>-0.1</v>
      </c>
      <c r="PH369" s="2">
        <v>0</v>
      </c>
      <c r="PI369" s="2">
        <v>1.2</v>
      </c>
    </row>
    <row r="370">
      <c r="A370" t="inlineStr">
        <is>
          <t>A130391671J</t>
        </is>
      </c>
      <c r="B370" t="inlineStr">
        <is>
          <t>Percentage Change from Previous Period ;  Clothing and footwear ;  Australia ;</t>
        </is>
      </c>
      <c r="C370" t="inlineStr">
        <is>
          <t>Month</t>
        </is>
      </c>
      <c r="D370" t="inlineStr">
        <is>
          <t>Percent</t>
        </is>
      </c>
      <c r="E370" t="inlineStr">
        <is>
          <t>Original</t>
        </is>
      </c>
      <c r="F370" t="inlineStr">
        <is>
          <t>640103.xlsx</t>
        </is>
      </c>
      <c r="G370" t="inlineStr">
        <is>
          <t>2024-05</t>
        </is>
      </c>
      <c r="H370" t="inlineStr">
        <is>
          <t>2026-07</t>
        </is>
      </c>
      <c r="OA370" s="2">
        <v>-3.1</v>
      </c>
      <c r="OB370" s="2">
        <v>-1.6</v>
      </c>
      <c r="OC370" s="2">
        <v>3.1</v>
      </c>
      <c r="OD370" s="2">
        <v>-0.6</v>
      </c>
      <c r="OE370" s="2">
        <v>-0.1</v>
      </c>
      <c r="OF370" s="2">
        <v>0.7</v>
      </c>
      <c r="OG370" s="2">
        <v>-2.8</v>
      </c>
      <c r="OH370" s="2">
        <v>0.8</v>
      </c>
      <c r="OM370" s="2">
        <v>0.7</v>
      </c>
      <c r="ON370" s="2">
        <v>3.2</v>
      </c>
      <c r="OO370" s="2">
        <v>-3.9</v>
      </c>
      <c r="OP370" s="2">
        <v>5.1</v>
      </c>
      <c r="OQ370" s="2">
        <v>-2.1</v>
      </c>
      <c r="OR370" s="2">
        <v>-0.9</v>
      </c>
      <c r="OS370" s="2">
        <v>2.5</v>
      </c>
      <c r="OT370" s="2">
        <v>1.4</v>
      </c>
      <c r="OU370" s="2">
        <v>-0.6</v>
      </c>
      <c r="OV370" s="2">
        <v>2.2</v>
      </c>
      <c r="OW370" s="2">
        <v>-3.1</v>
      </c>
      <c r="OX370" s="2">
        <v>-0.8</v>
      </c>
      <c r="PC370" s="2">
        <v>2.9</v>
      </c>
      <c r="PD370" s="2">
        <v>2.6</v>
      </c>
      <c r="PE370" s="2">
        <v>-1.9</v>
      </c>
      <c r="PF370" s="2">
        <v>3.9</v>
      </c>
      <c r="PG370" s="2">
        <v>-2.9</v>
      </c>
      <c r="PH370" s="2">
        <v>-1</v>
      </c>
      <c r="PI370" s="2">
        <v>2.6</v>
      </c>
    </row>
    <row r="371">
      <c r="A371" t="inlineStr">
        <is>
          <t>A130394107X</t>
        </is>
      </c>
      <c r="B371" t="inlineStr">
        <is>
          <t>Percentage Change from Previous Period ;  Garments ;  Australia ;</t>
        </is>
      </c>
      <c r="C371" t="inlineStr">
        <is>
          <t>Month</t>
        </is>
      </c>
      <c r="D371" t="inlineStr">
        <is>
          <t>Percent</t>
        </is>
      </c>
      <c r="E371" t="inlineStr">
        <is>
          <t>Original</t>
        </is>
      </c>
      <c r="F371" t="inlineStr">
        <is>
          <t>640103.xlsx</t>
        </is>
      </c>
      <c r="G371" t="inlineStr">
        <is>
          <t>2024-05</t>
        </is>
      </c>
      <c r="H371" t="inlineStr">
        <is>
          <t>2026-07</t>
        </is>
      </c>
      <c r="OA371" s="2">
        <v>-4.2</v>
      </c>
      <c r="OB371" s="2">
        <v>-1.7</v>
      </c>
      <c r="OC371" s="2">
        <v>3.1</v>
      </c>
      <c r="OD371" s="2">
        <v>0.2</v>
      </c>
      <c r="OE371" s="2">
        <v>-1.3</v>
      </c>
      <c r="OF371" s="2">
        <v>0.3</v>
      </c>
      <c r="OG371" s="2">
        <v>-1</v>
      </c>
      <c r="OH371" s="2">
        <v>0.3</v>
      </c>
      <c r="OM371" s="2">
        <v>-1.3</v>
      </c>
      <c r="ON371" s="2">
        <v>3.9</v>
      </c>
      <c r="OO371" s="2">
        <v>-3.5</v>
      </c>
      <c r="OP371" s="2">
        <v>5.9</v>
      </c>
      <c r="OQ371" s="2">
        <v>-2.3</v>
      </c>
      <c r="OR371" s="2">
        <v>-2.6</v>
      </c>
      <c r="OS371" s="2">
        <v>2.8</v>
      </c>
      <c r="OT371" s="2">
        <v>2.2</v>
      </c>
      <c r="OU371" s="2">
        <v>-3</v>
      </c>
      <c r="OV371" s="2">
        <v>2.6</v>
      </c>
      <c r="OW371" s="2">
        <v>-2.3</v>
      </c>
      <c r="OX371" s="2">
        <v>-1.3</v>
      </c>
      <c r="PC371" s="2">
        <v>2.2</v>
      </c>
      <c r="PD371" s="2">
        <v>2.9</v>
      </c>
      <c r="PE371" s="2">
        <v>-2.5</v>
      </c>
      <c r="PF371" s="2">
        <v>4.8</v>
      </c>
      <c r="PG371" s="2">
        <v>-3.3</v>
      </c>
      <c r="PH371" s="2">
        <v>-3.1</v>
      </c>
      <c r="PI371" s="2">
        <v>3.2</v>
      </c>
    </row>
    <row r="372">
      <c r="A372" t="inlineStr">
        <is>
          <t>A130399711K</t>
        </is>
      </c>
      <c r="B372" t="inlineStr">
        <is>
          <t>Percentage Change from Previous Period ;  Garments for men ;  Australia ;</t>
        </is>
      </c>
      <c r="C372" t="inlineStr">
        <is>
          <t>Month</t>
        </is>
      </c>
      <c r="D372" t="inlineStr">
        <is>
          <t>Percent</t>
        </is>
      </c>
      <c r="E372" t="inlineStr">
        <is>
          <t>Original</t>
        </is>
      </c>
      <c r="F372" t="inlineStr">
        <is>
          <t>640103.xlsx</t>
        </is>
      </c>
      <c r="G372" t="inlineStr">
        <is>
          <t>2024-05</t>
        </is>
      </c>
      <c r="H372" t="inlineStr">
        <is>
          <t>2026-07</t>
        </is>
      </c>
      <c r="OA372" s="2">
        <v>-4.4</v>
      </c>
      <c r="OB372" s="2">
        <v>-3</v>
      </c>
      <c r="OC372" s="2">
        <v>3.7</v>
      </c>
      <c r="OD372" s="2">
        <v>1.4</v>
      </c>
      <c r="OE372" s="2">
        <v>-1.6</v>
      </c>
      <c r="OF372" s="2">
        <v>-0.7</v>
      </c>
      <c r="OG372" s="2">
        <v>-1.1</v>
      </c>
      <c r="OH372" s="2">
        <v>-1.2</v>
      </c>
      <c r="OM372" s="2">
        <v>-0.6</v>
      </c>
      <c r="ON372" s="2">
        <v>2.8</v>
      </c>
      <c r="OO372" s="2">
        <v>-3.4</v>
      </c>
      <c r="OP372" s="2">
        <v>6.4</v>
      </c>
      <c r="OQ372" s="2">
        <v>-2.9</v>
      </c>
      <c r="OR372" s="2">
        <v>-3.8</v>
      </c>
      <c r="OS372" s="2">
        <v>1.8</v>
      </c>
      <c r="OT372" s="2">
        <v>3.9</v>
      </c>
      <c r="OU372" s="2">
        <v>-3.6</v>
      </c>
      <c r="OV372" s="2">
        <v>3.2</v>
      </c>
      <c r="OW372" s="2">
        <v>-2.1</v>
      </c>
      <c r="OX372" s="2">
        <v>-2.6</v>
      </c>
      <c r="PC372" s="2">
        <v>2.7</v>
      </c>
      <c r="PD372" s="2">
        <v>2.6</v>
      </c>
      <c r="PE372" s="2">
        <v>-4.3</v>
      </c>
      <c r="PF372" s="2">
        <v>4</v>
      </c>
      <c r="PG372" s="2">
        <v>-1.8</v>
      </c>
      <c r="PH372" s="2">
        <v>-1.5</v>
      </c>
      <c r="PI372" s="2">
        <v>4</v>
      </c>
    </row>
    <row r="373">
      <c r="A373" t="inlineStr">
        <is>
          <t>A130398469F</t>
        </is>
      </c>
      <c r="B373" t="inlineStr">
        <is>
          <t>Percentage Change from Previous Period ;  Garments for women ;  Australia ;</t>
        </is>
      </c>
      <c r="C373" t="inlineStr">
        <is>
          <t>Month</t>
        </is>
      </c>
      <c r="D373" t="inlineStr">
        <is>
          <t>Percent</t>
        </is>
      </c>
      <c r="E373" t="inlineStr">
        <is>
          <t>Original</t>
        </is>
      </c>
      <c r="F373" t="inlineStr">
        <is>
          <t>640103.xlsx</t>
        </is>
      </c>
      <c r="G373" t="inlineStr">
        <is>
          <t>2024-05</t>
        </is>
      </c>
      <c r="H373" t="inlineStr">
        <is>
          <t>2026-07</t>
        </is>
      </c>
      <c r="OA373" s="2">
        <v>-4.7</v>
      </c>
      <c r="OB373" s="2">
        <v>-1.4</v>
      </c>
      <c r="OC373" s="2">
        <v>3.6</v>
      </c>
      <c r="OD373" s="2">
        <v>-0.4</v>
      </c>
      <c r="OE373" s="2">
        <v>-1.1</v>
      </c>
      <c r="OF373" s="2">
        <v>0.8</v>
      </c>
      <c r="OG373" s="2">
        <v>-0.9</v>
      </c>
      <c r="OH373" s="2">
        <v>1.5</v>
      </c>
      <c r="OM373" s="2">
        <v>-1.8</v>
      </c>
      <c r="ON373" s="2">
        <v>5.3</v>
      </c>
      <c r="OO373" s="2">
        <v>-3.9</v>
      </c>
      <c r="OP373" s="2">
        <v>6</v>
      </c>
      <c r="OQ373" s="2">
        <v>-2.4</v>
      </c>
      <c r="OR373" s="2">
        <v>-1.8</v>
      </c>
      <c r="OS373" s="2">
        <v>3.1</v>
      </c>
      <c r="OT373" s="2">
        <v>0.7</v>
      </c>
      <c r="OU373" s="2">
        <v>-3.1</v>
      </c>
      <c r="OV373" s="2">
        <v>2.6</v>
      </c>
      <c r="OW373" s="2">
        <v>-2.7</v>
      </c>
      <c r="OX373" s="2">
        <v>-0.5</v>
      </c>
      <c r="PC373" s="2">
        <v>2.2</v>
      </c>
      <c r="PD373" s="2">
        <v>3.5</v>
      </c>
      <c r="PE373" s="2">
        <v>-1.7</v>
      </c>
      <c r="PF373" s="2">
        <v>6.1</v>
      </c>
      <c r="PG373" s="2">
        <v>-3.7</v>
      </c>
      <c r="PH373" s="2">
        <v>-4.6</v>
      </c>
      <c r="PI373" s="2">
        <v>3.2</v>
      </c>
    </row>
    <row r="374">
      <c r="A374" t="inlineStr">
        <is>
          <t>A130391020C</t>
        </is>
      </c>
      <c r="B374" t="inlineStr">
        <is>
          <t>Percentage Change from Previous Period ;  Garments for infants and children ;  Australia ;</t>
        </is>
      </c>
      <c r="C374" t="inlineStr">
        <is>
          <t>Month</t>
        </is>
      </c>
      <c r="D374" t="inlineStr">
        <is>
          <t>Percent</t>
        </is>
      </c>
      <c r="E374" t="inlineStr">
        <is>
          <t>Original</t>
        </is>
      </c>
      <c r="F374" t="inlineStr">
        <is>
          <t>640103.xlsx</t>
        </is>
      </c>
      <c r="G374" t="inlineStr">
        <is>
          <t>2024-05</t>
        </is>
      </c>
      <c r="H374" t="inlineStr">
        <is>
          <t>2026-07</t>
        </is>
      </c>
      <c r="OA374" s="2">
        <v>-2.4</v>
      </c>
      <c r="OB374" s="2">
        <v>-0.1</v>
      </c>
      <c r="OC374" s="2">
        <v>0.4</v>
      </c>
      <c r="OD374" s="2">
        <v>0.4</v>
      </c>
      <c r="OE374" s="2">
        <v>-1.6</v>
      </c>
      <c r="OF374" s="2">
        <v>0.7</v>
      </c>
      <c r="OG374" s="2">
        <v>-0.9</v>
      </c>
      <c r="OH374" s="2">
        <v>-1.1</v>
      </c>
      <c r="OM374" s="2">
        <v>-1</v>
      </c>
      <c r="ON374" s="2">
        <v>1</v>
      </c>
      <c r="OO374" s="2">
        <v>-2.1</v>
      </c>
      <c r="OP374" s="2">
        <v>4.7</v>
      </c>
      <c r="OQ374" s="2">
        <v>-0.9</v>
      </c>
      <c r="OR374" s="2">
        <v>-3.2</v>
      </c>
      <c r="OS374" s="2">
        <v>3.2</v>
      </c>
      <c r="OT374" s="2">
        <v>4.3</v>
      </c>
      <c r="OU374" s="2">
        <v>-1.5</v>
      </c>
      <c r="OV374" s="2">
        <v>1.6</v>
      </c>
      <c r="OW374" s="2">
        <v>-1.3</v>
      </c>
      <c r="OX374" s="2">
        <v>-1.6</v>
      </c>
      <c r="PC374" s="2">
        <v>1.5</v>
      </c>
      <c r="PD374" s="2">
        <v>1.3</v>
      </c>
      <c r="PE374" s="2">
        <v>-2.5</v>
      </c>
      <c r="PF374" s="2">
        <v>1.5</v>
      </c>
      <c r="PG374" s="2">
        <v>-3.8</v>
      </c>
      <c r="PH374" s="2">
        <v>-0.2</v>
      </c>
      <c r="PI374" s="2">
        <v>1.8</v>
      </c>
    </row>
    <row r="375">
      <c r="A375" t="inlineStr">
        <is>
          <t>A130391762R</t>
        </is>
      </c>
      <c r="B375" t="inlineStr">
        <is>
          <t>Percentage Change from Previous Period ;  Footwear ;  Australia ;</t>
        </is>
      </c>
      <c r="C375" t="inlineStr">
        <is>
          <t>Month</t>
        </is>
      </c>
      <c r="D375" t="inlineStr">
        <is>
          <t>Percent</t>
        </is>
      </c>
      <c r="E375" t="inlineStr">
        <is>
          <t>Original</t>
        </is>
      </c>
      <c r="F375" t="inlineStr">
        <is>
          <t>640103.xlsx</t>
        </is>
      </c>
      <c r="G375" t="inlineStr">
        <is>
          <t>2024-05</t>
        </is>
      </c>
      <c r="H375" t="inlineStr">
        <is>
          <t>2026-07</t>
        </is>
      </c>
      <c r="OA375" s="2">
        <v>-5.4</v>
      </c>
      <c r="OB375" s="2">
        <v>2.6</v>
      </c>
      <c r="OC375" s="2">
        <v>1.3</v>
      </c>
      <c r="OD375" s="2">
        <v>-3.2</v>
      </c>
      <c r="OE375" s="2">
        <v>0.1</v>
      </c>
      <c r="OF375" s="2">
        <v>4.2</v>
      </c>
      <c r="OG375" s="2">
        <v>-4.8</v>
      </c>
      <c r="OH375" s="2">
        <v>-0.8</v>
      </c>
      <c r="OM375" s="2">
        <v>2.4</v>
      </c>
      <c r="ON375" s="2">
        <v>5.5</v>
      </c>
      <c r="OO375" s="2">
        <v>-3.6</v>
      </c>
      <c r="OP375" s="2">
        <v>3.8</v>
      </c>
      <c r="OQ375" s="2">
        <v>-2.8</v>
      </c>
      <c r="OR375" s="2">
        <v>0.7</v>
      </c>
      <c r="OS375" s="2">
        <v>-1.2</v>
      </c>
      <c r="OT375" s="2">
        <v>-2.4</v>
      </c>
      <c r="OU375" s="2">
        <v>4.2</v>
      </c>
      <c r="OV375" s="2">
        <v>2</v>
      </c>
      <c r="OW375" s="2">
        <v>-5.5</v>
      </c>
      <c r="OX375" s="2">
        <v>0</v>
      </c>
      <c r="PC375" s="2">
        <v>1.4</v>
      </c>
      <c r="PD375" s="2">
        <v>4.5</v>
      </c>
      <c r="PE375" s="2">
        <v>-1.9</v>
      </c>
      <c r="PF375" s="2">
        <v>2.5</v>
      </c>
      <c r="PG375" s="2">
        <v>-2.3</v>
      </c>
      <c r="PH375" s="2">
        <v>-0.9</v>
      </c>
      <c r="PI375" s="2">
        <v>1</v>
      </c>
    </row>
    <row r="376">
      <c r="A376" t="inlineStr">
        <is>
          <t>A130393281L</t>
        </is>
      </c>
      <c r="B376" t="inlineStr">
        <is>
          <t>Percentage Change from Previous Period ;  Footwear for men ;  Australia ;</t>
        </is>
      </c>
      <c r="C376" t="inlineStr">
        <is>
          <t>Month</t>
        </is>
      </c>
      <c r="D376" t="inlineStr">
        <is>
          <t>Percent</t>
        </is>
      </c>
      <c r="E376" t="inlineStr">
        <is>
          <t>Original</t>
        </is>
      </c>
      <c r="F376" t="inlineStr">
        <is>
          <t>640103.xlsx</t>
        </is>
      </c>
      <c r="G376" t="inlineStr">
        <is>
          <t>2024-05</t>
        </is>
      </c>
      <c r="H376" t="inlineStr">
        <is>
          <t>2026-07</t>
        </is>
      </c>
      <c r="OA376" s="2">
        <v>-2.9</v>
      </c>
      <c r="OB376" s="2">
        <v>-2</v>
      </c>
      <c r="OC376" s="2">
        <v>4.7</v>
      </c>
      <c r="OD376" s="2">
        <v>-2.6</v>
      </c>
      <c r="OE376" s="2">
        <v>4.1</v>
      </c>
      <c r="OF376" s="2">
        <v>0.9</v>
      </c>
      <c r="OG376" s="2">
        <v>-5.4</v>
      </c>
      <c r="OH376" s="2">
        <v>0.5</v>
      </c>
      <c r="OM376" s="2">
        <v>0.1</v>
      </c>
      <c r="ON376" s="2">
        <v>6</v>
      </c>
      <c r="OO376" s="2">
        <v>-5.5</v>
      </c>
      <c r="OP376" s="2">
        <v>5.3</v>
      </c>
      <c r="OQ376" s="2">
        <v>-3.5</v>
      </c>
      <c r="OR376" s="2">
        <v>0.9</v>
      </c>
      <c r="OS376" s="2">
        <v>-0.6</v>
      </c>
      <c r="OT376" s="2">
        <v>-3.9</v>
      </c>
      <c r="OU376" s="2">
        <v>1.4</v>
      </c>
      <c r="OV376" s="2">
        <v>2.8</v>
      </c>
      <c r="OW376" s="2">
        <v>-4.2</v>
      </c>
      <c r="OX376" s="2">
        <v>-0.5</v>
      </c>
      <c r="PC376" s="2">
        <v>4.2</v>
      </c>
      <c r="PD376" s="2">
        <v>3.1</v>
      </c>
      <c r="PE376" s="2">
        <v>-2.8</v>
      </c>
      <c r="PF376" s="2">
        <v>2.2</v>
      </c>
      <c r="PG376" s="2">
        <v>1.2</v>
      </c>
      <c r="PH376" s="2">
        <v>-2.3</v>
      </c>
      <c r="PI376" s="2">
        <v>-0.9</v>
      </c>
    </row>
    <row r="377">
      <c r="A377" t="inlineStr">
        <is>
          <t>A130395745K</t>
        </is>
      </c>
      <c r="B377" t="inlineStr">
        <is>
          <t>Percentage Change from Previous Period ;  Footwear for women ;  Australia ;</t>
        </is>
      </c>
      <c r="C377" t="inlineStr">
        <is>
          <t>Month</t>
        </is>
      </c>
      <c r="D377" t="inlineStr">
        <is>
          <t>Percent</t>
        </is>
      </c>
      <c r="E377" t="inlineStr">
        <is>
          <t>Original</t>
        </is>
      </c>
      <c r="F377" t="inlineStr">
        <is>
          <t>640103.xlsx</t>
        </is>
      </c>
      <c r="G377" t="inlineStr">
        <is>
          <t>2024-05</t>
        </is>
      </c>
      <c r="H377" t="inlineStr">
        <is>
          <t>2026-07</t>
        </is>
      </c>
      <c r="OA377" s="2">
        <v>-7.1</v>
      </c>
      <c r="OB377" s="2">
        <v>4.6</v>
      </c>
      <c r="OC377" s="2">
        <v>-0.1</v>
      </c>
      <c r="OD377" s="2">
        <v>-3.7</v>
      </c>
      <c r="OE377" s="2">
        <v>-1.3</v>
      </c>
      <c r="OF377" s="2">
        <v>5.7</v>
      </c>
      <c r="OG377" s="2">
        <v>-5.3</v>
      </c>
      <c r="OH377" s="2">
        <v>-1</v>
      </c>
      <c r="OM377" s="2">
        <v>2.8</v>
      </c>
      <c r="ON377" s="2">
        <v>6.1</v>
      </c>
      <c r="OO377" s="2">
        <v>-3.7</v>
      </c>
      <c r="OP377" s="2">
        <v>4.9</v>
      </c>
      <c r="OQ377" s="2">
        <v>-2.8</v>
      </c>
      <c r="OR377" s="2">
        <v>1.6</v>
      </c>
      <c r="OS377" s="2">
        <v>-2.1</v>
      </c>
      <c r="OT377" s="2">
        <v>-1.5</v>
      </c>
      <c r="OU377" s="2">
        <v>5.7</v>
      </c>
      <c r="OV377" s="2">
        <v>1.2</v>
      </c>
      <c r="OW377" s="2">
        <v>-6.3</v>
      </c>
      <c r="OX377" s="2">
        <v>-0.6</v>
      </c>
      <c r="PC377" s="2">
        <v>0.3</v>
      </c>
      <c r="PD377" s="2">
        <v>5.5</v>
      </c>
      <c r="PE377" s="2">
        <v>-1.1</v>
      </c>
      <c r="PF377" s="2">
        <v>2.8</v>
      </c>
      <c r="PG377" s="2">
        <v>-4.4</v>
      </c>
      <c r="PH377" s="2">
        <v>0.2</v>
      </c>
      <c r="PI377" s="2">
        <v>2.4</v>
      </c>
    </row>
    <row r="378">
      <c r="A378" t="inlineStr">
        <is>
          <t>A130391993X</t>
        </is>
      </c>
      <c r="B378" t="inlineStr">
        <is>
          <t>Percentage Change from Previous Period ;  Footwear for infants and children ;  Australia ;</t>
        </is>
      </c>
      <c r="C378" t="inlineStr">
        <is>
          <t>Month</t>
        </is>
      </c>
      <c r="D378" t="inlineStr">
        <is>
          <t>Percent</t>
        </is>
      </c>
      <c r="E378" t="inlineStr">
        <is>
          <t>Original</t>
        </is>
      </c>
      <c r="F378" t="inlineStr">
        <is>
          <t>640103.xlsx</t>
        </is>
      </c>
      <c r="G378" t="inlineStr">
        <is>
          <t>2024-05</t>
        </is>
      </c>
      <c r="H378" t="inlineStr">
        <is>
          <t>2026-07</t>
        </is>
      </c>
      <c r="OA378" s="2">
        <v>-2.8</v>
      </c>
      <c r="OB378" s="2">
        <v>2.4</v>
      </c>
      <c r="OC378" s="2">
        <v>1</v>
      </c>
      <c r="OD378" s="2">
        <v>-2.2</v>
      </c>
      <c r="OE378" s="2">
        <v>-1.2</v>
      </c>
      <c r="OF378" s="2">
        <v>4.1</v>
      </c>
      <c r="OG378" s="2">
        <v>-2.2</v>
      </c>
      <c r="OH378" s="2">
        <v>-2.2</v>
      </c>
      <c r="OM378" s="2">
        <v>5</v>
      </c>
      <c r="ON378" s="2">
        <v>2.4</v>
      </c>
      <c r="OO378" s="2">
        <v>-0.3</v>
      </c>
      <c r="OP378" s="2">
        <v>-2.5</v>
      </c>
      <c r="OQ378" s="2">
        <v>-1.7</v>
      </c>
      <c r="OR378" s="2">
        <v>-3.3</v>
      </c>
      <c r="OS378" s="2">
        <v>1.8</v>
      </c>
      <c r="OT378" s="2">
        <v>-3.5</v>
      </c>
      <c r="OU378" s="2">
        <v>2.5</v>
      </c>
      <c r="OV378" s="2">
        <v>3.9</v>
      </c>
      <c r="OW378" s="2">
        <v>-3.9</v>
      </c>
      <c r="OX378" s="2">
        <v>3.1</v>
      </c>
      <c r="PC378" s="2">
        <v>1.4</v>
      </c>
      <c r="PD378" s="2">
        <v>2.9</v>
      </c>
      <c r="PE378" s="2">
        <v>-3.2</v>
      </c>
      <c r="PF378" s="2">
        <v>1.7</v>
      </c>
      <c r="PG378" s="2">
        <v>0.3</v>
      </c>
      <c r="PH378" s="2">
        <v>-2.4</v>
      </c>
      <c r="PI378" s="2">
        <v>-1.9</v>
      </c>
    </row>
    <row r="379">
      <c r="A379" t="inlineStr">
        <is>
          <t>A130397292T</t>
        </is>
      </c>
      <c r="B379" t="inlineStr">
        <is>
          <t>Percentage Change from Previous Period ;  Accessories and clothing services ;  Australia ;</t>
        </is>
      </c>
      <c r="C379" t="inlineStr">
        <is>
          <t>Month</t>
        </is>
      </c>
      <c r="D379" t="inlineStr">
        <is>
          <t>Percent</t>
        </is>
      </c>
      <c r="E379" t="inlineStr">
        <is>
          <t>Original</t>
        </is>
      </c>
      <c r="F379" t="inlineStr">
        <is>
          <t>640103.xlsx</t>
        </is>
      </c>
      <c r="G379" t="inlineStr">
        <is>
          <t>2024-05</t>
        </is>
      </c>
      <c r="H379" t="inlineStr">
        <is>
          <t>2026-07</t>
        </is>
      </c>
      <c r="OA379" s="2">
        <v>1.3</v>
      </c>
      <c r="OB379" s="2">
        <v>-4</v>
      </c>
      <c r="OC379" s="2">
        <v>4.3</v>
      </c>
      <c r="OD379" s="2">
        <v>-1</v>
      </c>
      <c r="OE379" s="2">
        <v>2.8</v>
      </c>
      <c r="OF379" s="2">
        <v>-0.6</v>
      </c>
      <c r="OG379" s="2">
        <v>-6.3</v>
      </c>
      <c r="OH379" s="2">
        <v>3.4</v>
      </c>
      <c r="OM379" s="2">
        <v>4.7</v>
      </c>
      <c r="ON379" s="2">
        <v>0.3</v>
      </c>
      <c r="OO379" s="2">
        <v>-5</v>
      </c>
      <c r="OP379" s="2">
        <v>3.7</v>
      </c>
      <c r="OQ379" s="2">
        <v>-1.1</v>
      </c>
      <c r="OR379" s="2">
        <v>2.4</v>
      </c>
      <c r="OS379" s="2">
        <v>4.1</v>
      </c>
      <c r="OT379" s="2">
        <v>1.6</v>
      </c>
      <c r="OU379" s="2">
        <v>2.5</v>
      </c>
      <c r="OV379" s="2">
        <v>1.6</v>
      </c>
      <c r="OW379" s="2">
        <v>-3.7</v>
      </c>
      <c r="OX379" s="2">
        <v>-0.3</v>
      </c>
      <c r="PC379" s="2">
        <v>5.3</v>
      </c>
      <c r="PD379" s="2">
        <v>0.9</v>
      </c>
      <c r="PE379" s="2">
        <v>-0.6</v>
      </c>
      <c r="PF379" s="2">
        <v>2.5</v>
      </c>
      <c r="PG379" s="2">
        <v>-2.3</v>
      </c>
      <c r="PH379" s="2">
        <v>3.7</v>
      </c>
      <c r="PI379" s="2">
        <v>2.1</v>
      </c>
    </row>
    <row r="380">
      <c r="A380" t="inlineStr">
        <is>
          <t>A130396018J</t>
        </is>
      </c>
      <c r="B380" t="inlineStr">
        <is>
          <t>Percentage Change from Previous Period ;  Accessories ;  Australia ;</t>
        </is>
      </c>
      <c r="C380" t="inlineStr">
        <is>
          <t>Month</t>
        </is>
      </c>
      <c r="D380" t="inlineStr">
        <is>
          <t>Percent</t>
        </is>
      </c>
      <c r="E380" t="inlineStr">
        <is>
          <t>Original</t>
        </is>
      </c>
      <c r="F380" t="inlineStr">
        <is>
          <t>640103.xlsx</t>
        </is>
      </c>
      <c r="G380" t="inlineStr">
        <is>
          <t>2024-05</t>
        </is>
      </c>
      <c r="H380" t="inlineStr">
        <is>
          <t>2026-07</t>
        </is>
      </c>
      <c r="OA380" s="2">
        <v>1.3</v>
      </c>
      <c r="OB380" s="2">
        <v>-4.4</v>
      </c>
      <c r="OC380" s="2">
        <v>4.6</v>
      </c>
      <c r="OD380" s="2">
        <v>-1.1</v>
      </c>
      <c r="OE380" s="2">
        <v>3</v>
      </c>
      <c r="OF380" s="2">
        <v>-0.7</v>
      </c>
      <c r="OG380" s="2">
        <v>-7</v>
      </c>
      <c r="OH380" s="2">
        <v>3.6</v>
      </c>
      <c r="OM380" s="2">
        <v>5.2</v>
      </c>
      <c r="ON380" s="2">
        <v>0.3</v>
      </c>
      <c r="OO380" s="2">
        <v>-5.5</v>
      </c>
      <c r="OP380" s="2">
        <v>4</v>
      </c>
      <c r="OQ380" s="2">
        <v>-1.2</v>
      </c>
      <c r="OR380" s="2">
        <v>2.5</v>
      </c>
      <c r="OS380" s="2">
        <v>4.5</v>
      </c>
      <c r="OT380" s="2">
        <v>1.8</v>
      </c>
      <c r="OU380" s="2">
        <v>2.7</v>
      </c>
      <c r="OV380" s="2">
        <v>1.7</v>
      </c>
      <c r="OW380" s="2">
        <v>-4.1</v>
      </c>
      <c r="OX380" s="2">
        <v>-0.4</v>
      </c>
      <c r="PC380" s="2">
        <v>5.7</v>
      </c>
      <c r="PD380" s="2">
        <v>0.9</v>
      </c>
      <c r="PE380" s="2">
        <v>-0.6</v>
      </c>
      <c r="PF380" s="2">
        <v>2.6</v>
      </c>
      <c r="PG380" s="2">
        <v>-2.5</v>
      </c>
      <c r="PH380" s="2">
        <v>4</v>
      </c>
      <c r="PI380" s="2">
        <v>2.2</v>
      </c>
    </row>
    <row r="381">
      <c r="A381" t="inlineStr">
        <is>
          <t>A130399480L</t>
        </is>
      </c>
      <c r="B381" t="inlineStr">
        <is>
          <t>Percentage Change from Previous Period ;  Cleaning, repair and hire of clothing and footwear ;  Australia ;</t>
        </is>
      </c>
      <c r="C381" t="inlineStr">
        <is>
          <t>Month</t>
        </is>
      </c>
      <c r="D381" t="inlineStr">
        <is>
          <t>Percent</t>
        </is>
      </c>
      <c r="E381" t="inlineStr">
        <is>
          <t>Original</t>
        </is>
      </c>
      <c r="F381" t="inlineStr">
        <is>
          <t>640103.xlsx</t>
        </is>
      </c>
      <c r="G381" t="inlineStr">
        <is>
          <t>2024-05</t>
        </is>
      </c>
      <c r="H381" t="inlineStr">
        <is>
          <t>2026-07</t>
        </is>
      </c>
      <c r="OA381" s="2">
        <v>0.1</v>
      </c>
      <c r="OB381" s="2">
        <v>0.1</v>
      </c>
      <c r="OC381" s="2">
        <v>0.2</v>
      </c>
      <c r="OD381" s="2">
        <v>0.1</v>
      </c>
      <c r="OE381" s="2">
        <v>0.1</v>
      </c>
      <c r="OF381" s="2">
        <v>0.4</v>
      </c>
      <c r="OG381" s="2">
        <v>0.8</v>
      </c>
      <c r="OH381" s="2">
        <v>0.3</v>
      </c>
      <c r="OM381" s="2">
        <v>-0.5</v>
      </c>
      <c r="ON381" s="2">
        <v>0.2</v>
      </c>
      <c r="OO381" s="2">
        <v>0.8</v>
      </c>
      <c r="OP381" s="2">
        <v>0.7</v>
      </c>
      <c r="OQ381" s="2">
        <v>0</v>
      </c>
      <c r="OR381" s="2">
        <v>0.9</v>
      </c>
      <c r="OS381" s="2">
        <v>0.5</v>
      </c>
      <c r="OT381" s="2">
        <v>0.3</v>
      </c>
      <c r="OU381" s="2">
        <v>0.2</v>
      </c>
      <c r="OV381" s="2">
        <v>0.3</v>
      </c>
      <c r="OW381" s="2">
        <v>0.4</v>
      </c>
      <c r="OX381" s="2">
        <v>0</v>
      </c>
      <c r="PC381" s="2">
        <v>0.2</v>
      </c>
      <c r="PD381" s="2">
        <v>0</v>
      </c>
      <c r="PE381" s="2">
        <v>0.3</v>
      </c>
      <c r="PF381" s="2">
        <v>0.7</v>
      </c>
      <c r="PG381" s="2">
        <v>0.2</v>
      </c>
      <c r="PH381" s="2">
        <v>0.2</v>
      </c>
      <c r="PI381" s="2">
        <v>1</v>
      </c>
    </row>
    <row r="382">
      <c r="A382" t="inlineStr">
        <is>
          <t>A130399186X</t>
        </is>
      </c>
      <c r="B382" t="inlineStr">
        <is>
          <t>Percentage Change from Previous Period ;  Housing ;  Australia ;</t>
        </is>
      </c>
      <c r="C382" t="inlineStr">
        <is>
          <t>Month</t>
        </is>
      </c>
      <c r="D382" t="inlineStr">
        <is>
          <t>Percent</t>
        </is>
      </c>
      <c r="E382" t="inlineStr">
        <is>
          <t>Original</t>
        </is>
      </c>
      <c r="F382" t="inlineStr">
        <is>
          <t>640103.xlsx</t>
        </is>
      </c>
      <c r="G382" t="inlineStr">
        <is>
          <t>2024-05</t>
        </is>
      </c>
      <c r="H382" t="inlineStr">
        <is>
          <t>2026-07</t>
        </is>
      </c>
      <c r="OA382" s="2">
        <v>0.5</v>
      </c>
      <c r="OB382" s="2">
        <v>0.5</v>
      </c>
      <c r="OC382" s="2">
        <v>0</v>
      </c>
      <c r="OD382" s="2">
        <v>-1.2</v>
      </c>
      <c r="OE382" s="2">
        <v>-0.3</v>
      </c>
      <c r="OF382" s="2">
        <v>-1</v>
      </c>
      <c r="OG382" s="2">
        <v>1.8</v>
      </c>
      <c r="OH382" s="2">
        <v>-0.1</v>
      </c>
      <c r="OM382" s="2">
        <v>0.9</v>
      </c>
      <c r="ON382" s="2">
        <v>-0.1</v>
      </c>
      <c r="OO382" s="2">
        <v>0.9</v>
      </c>
      <c r="OP382" s="2">
        <v>0.4</v>
      </c>
      <c r="OQ382" s="2">
        <v>0.2</v>
      </c>
      <c r="OR382" s="2">
        <v>0.1</v>
      </c>
      <c r="OS382" s="2">
        <v>2.1</v>
      </c>
      <c r="OT382" s="2">
        <v>-0.5</v>
      </c>
      <c r="OU382" s="2">
        <v>0.8</v>
      </c>
      <c r="OV382" s="2">
        <v>-0.8</v>
      </c>
      <c r="OW382" s="2">
        <v>1.1</v>
      </c>
      <c r="OX382" s="2">
        <v>0.1</v>
      </c>
      <c r="PC382" s="2">
        <v>2.2</v>
      </c>
      <c r="PD382" s="2">
        <v>0.3</v>
      </c>
      <c r="PE382" s="2">
        <v>0.2</v>
      </c>
      <c r="PF382" s="2">
        <v>0.2</v>
      </c>
      <c r="PG382" s="2">
        <v>0.5</v>
      </c>
      <c r="PH382" s="2">
        <v>0.5</v>
      </c>
      <c r="PI382" s="2">
        <v>0.4</v>
      </c>
    </row>
    <row r="383">
      <c r="A383" t="inlineStr">
        <is>
          <t>A130390096F</t>
        </is>
      </c>
      <c r="B383" t="inlineStr">
        <is>
          <t>Percentage Change from Previous Period ;  Rents ;  Australia ;</t>
        </is>
      </c>
      <c r="C383" t="inlineStr">
        <is>
          <t>Month</t>
        </is>
      </c>
      <c r="D383" t="inlineStr">
        <is>
          <t>Percent</t>
        </is>
      </c>
      <c r="E383" t="inlineStr">
        <is>
          <t>Original</t>
        </is>
      </c>
      <c r="F383" t="inlineStr">
        <is>
          <t>640103.xlsx</t>
        </is>
      </c>
      <c r="G383" t="inlineStr">
        <is>
          <t>2022-08</t>
        </is>
      </c>
      <c r="H383" t="inlineStr">
        <is>
          <t>2026-07</t>
        </is>
      </c>
      <c r="MX383" s="2">
        <v>0.5</v>
      </c>
      <c r="MY383" s="2">
        <v>0.5</v>
      </c>
      <c r="MZ383" s="2">
        <v>0.5</v>
      </c>
      <c r="NA383" s="2">
        <v>0.2</v>
      </c>
      <c r="NB383" s="2">
        <v>0.5</v>
      </c>
      <c r="NG383" s="2">
        <v>0.6</v>
      </c>
      <c r="NH383" s="2">
        <v>0.7</v>
      </c>
      <c r="NI383" s="2">
        <v>0.4</v>
      </c>
      <c r="NJ383" s="2">
        <v>0.8</v>
      </c>
      <c r="NK383" s="2">
        <v>0.9</v>
      </c>
      <c r="NL383" s="2">
        <v>0.9</v>
      </c>
      <c r="NM383" s="2">
        <v>0.8</v>
      </c>
      <c r="NN383" s="2">
        <v>0.7</v>
      </c>
      <c r="NO383" s="2">
        <v>0.2</v>
      </c>
      <c r="NP383" s="2">
        <v>-0.3</v>
      </c>
      <c r="NQ383" s="2">
        <v>0.7</v>
      </c>
      <c r="NR383" s="2">
        <v>0.8</v>
      </c>
      <c r="NW383" s="2">
        <v>0.7</v>
      </c>
      <c r="NX383" s="2">
        <v>0.8</v>
      </c>
      <c r="NY383" s="2">
        <v>0.6</v>
      </c>
      <c r="NZ383" s="2">
        <v>0.5</v>
      </c>
      <c r="OA383" s="2">
        <v>0.8</v>
      </c>
      <c r="OB383" s="2">
        <v>0.6</v>
      </c>
      <c r="OC383" s="2">
        <v>0.6</v>
      </c>
      <c r="OD383" s="2">
        <v>0.6</v>
      </c>
      <c r="OE383" s="2">
        <v>0.1</v>
      </c>
      <c r="OF383" s="2">
        <v>-0.2</v>
      </c>
      <c r="OG383" s="2">
        <v>0.6</v>
      </c>
      <c r="OH383" s="2">
        <v>0.3</v>
      </c>
      <c r="OM383" s="2">
        <v>0.4</v>
      </c>
      <c r="ON383" s="2">
        <v>0.5</v>
      </c>
      <c r="OO383" s="2">
        <v>0.3</v>
      </c>
      <c r="OP383" s="2">
        <v>0.3</v>
      </c>
      <c r="OQ383" s="2">
        <v>0.4</v>
      </c>
      <c r="OR383" s="2">
        <v>0.3</v>
      </c>
      <c r="OS383" s="2">
        <v>0.3</v>
      </c>
      <c r="OT383" s="2">
        <v>0.3</v>
      </c>
      <c r="OU383" s="2">
        <v>0.2</v>
      </c>
      <c r="OV383" s="2">
        <v>0.2</v>
      </c>
      <c r="OW383" s="2">
        <v>0.4</v>
      </c>
      <c r="OX383" s="2">
        <v>0.2</v>
      </c>
      <c r="PC383" s="2">
        <v>0.3</v>
      </c>
      <c r="PD383" s="2">
        <v>0.4</v>
      </c>
      <c r="PE383" s="2">
        <v>0.2</v>
      </c>
      <c r="PF383" s="2">
        <v>0.2</v>
      </c>
      <c r="PG383" s="2">
        <v>0.4</v>
      </c>
      <c r="PH383" s="2">
        <v>0.3</v>
      </c>
      <c r="PI383" s="2">
        <v>0.4</v>
      </c>
    </row>
    <row r="384">
      <c r="A384" t="inlineStr">
        <is>
          <t>A130397972W</t>
        </is>
      </c>
      <c r="B384" t="inlineStr">
        <is>
          <t>Percentage Change from Previous Period ;  Rents ;  Australia ;</t>
        </is>
      </c>
      <c r="C384" t="inlineStr">
        <is>
          <t>Month</t>
        </is>
      </c>
      <c r="D384" t="inlineStr">
        <is>
          <t>Percent</t>
        </is>
      </c>
      <c r="E384" t="inlineStr">
        <is>
          <t>Original</t>
        </is>
      </c>
      <c r="F384" t="inlineStr">
        <is>
          <t>640103.xlsx</t>
        </is>
      </c>
      <c r="G384" t="inlineStr">
        <is>
          <t>2022-08</t>
        </is>
      </c>
      <c r="H384" t="inlineStr">
        <is>
          <t>2026-07</t>
        </is>
      </c>
      <c r="MX384" s="2">
        <v>0.5</v>
      </c>
      <c r="MY384" s="2">
        <v>0.5</v>
      </c>
      <c r="MZ384" s="2">
        <v>0.5</v>
      </c>
      <c r="NA384" s="2">
        <v>0.2</v>
      </c>
      <c r="NB384" s="2">
        <v>0.5</v>
      </c>
      <c r="NG384" s="2">
        <v>0.6</v>
      </c>
      <c r="NH384" s="2">
        <v>0.7</v>
      </c>
      <c r="NI384" s="2">
        <v>0.4</v>
      </c>
      <c r="NJ384" s="2">
        <v>0.8</v>
      </c>
      <c r="NK384" s="2">
        <v>0.9</v>
      </c>
      <c r="NL384" s="2">
        <v>0.9</v>
      </c>
      <c r="NM384" s="2">
        <v>0.8</v>
      </c>
      <c r="NN384" s="2">
        <v>0.7</v>
      </c>
      <c r="NO384" s="2">
        <v>0.2</v>
      </c>
      <c r="NP384" s="2">
        <v>-0.3</v>
      </c>
      <c r="NQ384" s="2">
        <v>0.7</v>
      </c>
      <c r="NR384" s="2">
        <v>0.8</v>
      </c>
      <c r="NW384" s="2">
        <v>0.7</v>
      </c>
      <c r="NX384" s="2">
        <v>0.8</v>
      </c>
      <c r="NY384" s="2">
        <v>0.6</v>
      </c>
      <c r="NZ384" s="2">
        <v>0.5</v>
      </c>
      <c r="OA384" s="2">
        <v>0.8</v>
      </c>
      <c r="OB384" s="2">
        <v>0.6</v>
      </c>
      <c r="OC384" s="2">
        <v>0.6</v>
      </c>
      <c r="OD384" s="2">
        <v>0.6</v>
      </c>
      <c r="OE384" s="2">
        <v>0.1</v>
      </c>
      <c r="OF384" s="2">
        <v>-0.2</v>
      </c>
      <c r="OG384" s="2">
        <v>0.6</v>
      </c>
      <c r="OH384" s="2">
        <v>0.3</v>
      </c>
      <c r="OM384" s="2">
        <v>0.4</v>
      </c>
      <c r="ON384" s="2">
        <v>0.5</v>
      </c>
      <c r="OO384" s="2">
        <v>0.3</v>
      </c>
      <c r="OP384" s="2">
        <v>0.3</v>
      </c>
      <c r="OQ384" s="2">
        <v>0.4</v>
      </c>
      <c r="OR384" s="2">
        <v>0.3</v>
      </c>
      <c r="OS384" s="2">
        <v>0.3</v>
      </c>
      <c r="OT384" s="2">
        <v>0.3</v>
      </c>
      <c r="OU384" s="2">
        <v>0.2</v>
      </c>
      <c r="OV384" s="2">
        <v>0.2</v>
      </c>
      <c r="OW384" s="2">
        <v>0.4</v>
      </c>
      <c r="OX384" s="2">
        <v>0.2</v>
      </c>
      <c r="PC384" s="2">
        <v>0.3</v>
      </c>
      <c r="PD384" s="2">
        <v>0.4</v>
      </c>
      <c r="PE384" s="2">
        <v>0.2</v>
      </c>
      <c r="PF384" s="2">
        <v>0.2</v>
      </c>
      <c r="PG384" s="2">
        <v>0.4</v>
      </c>
      <c r="PH384" s="2">
        <v>0.3</v>
      </c>
      <c r="PI384" s="2">
        <v>0.4</v>
      </c>
    </row>
    <row r="385">
      <c r="A385" t="inlineStr">
        <is>
          <t>A130391538W</t>
        </is>
      </c>
      <c r="B385" t="inlineStr">
        <is>
          <t>Percentage Change from Previous Period ;  New dwelling purchase by owner-occupiers ;  Australia ;</t>
        </is>
      </c>
      <c r="C385" t="inlineStr">
        <is>
          <t>Month</t>
        </is>
      </c>
      <c r="D385" t="inlineStr">
        <is>
          <t>Percent</t>
        </is>
      </c>
      <c r="E385" t="inlineStr">
        <is>
          <t>Original</t>
        </is>
      </c>
      <c r="F385" t="inlineStr">
        <is>
          <t>640103.xlsx</t>
        </is>
      </c>
      <c r="G385" t="inlineStr">
        <is>
          <t>2017-10</t>
        </is>
      </c>
      <c r="H385" t="inlineStr">
        <is>
          <t>2026-07</t>
        </is>
      </c>
      <c r="JX385" s="2">
        <v>-0.4</v>
      </c>
      <c r="JY385" s="2">
        <v>0.6</v>
      </c>
      <c r="JZ385" s="2">
        <v>0.6</v>
      </c>
      <c r="KE385" s="2">
        <v>-0.1</v>
      </c>
      <c r="KF385" s="2">
        <v>0</v>
      </c>
      <c r="KG385" s="2">
        <v>0.2</v>
      </c>
      <c r="KH385" s="2">
        <v>0.2</v>
      </c>
      <c r="KI385" s="2">
        <v>0.3</v>
      </c>
      <c r="KJ385" s="2">
        <v>0.5</v>
      </c>
      <c r="KK385" s="2">
        <v>-0.2</v>
      </c>
      <c r="KL385" s="2">
        <v>-0.3</v>
      </c>
      <c r="KM385" s="2">
        <v>0.3</v>
      </c>
      <c r="KN385" s="2">
        <v>0.2</v>
      </c>
      <c r="KO385" s="2">
        <v>0.1</v>
      </c>
      <c r="KP385" s="2">
        <v>0.2</v>
      </c>
      <c r="KU385" s="2">
        <v>-0.4</v>
      </c>
      <c r="KV385" s="2">
        <v>0</v>
      </c>
      <c r="KW385" s="2">
        <v>0.2</v>
      </c>
      <c r="KX385" s="2">
        <v>-0.2</v>
      </c>
      <c r="KY385" s="2">
        <v>-0.2</v>
      </c>
      <c r="KZ385" s="2">
        <v>0.1</v>
      </c>
      <c r="LA385" s="2">
        <v>0</v>
      </c>
      <c r="LB385" s="2">
        <v>-0.4</v>
      </c>
      <c r="LC385" s="2">
        <v>0.5</v>
      </c>
      <c r="LD385" s="2">
        <v>0</v>
      </c>
      <c r="LE385" s="2">
        <v>0</v>
      </c>
      <c r="LF385" s="2">
        <v>0.3</v>
      </c>
      <c r="LK385" s="2">
        <v>0.1</v>
      </c>
      <c r="LL385" s="2">
        <v>0.4</v>
      </c>
      <c r="LM385" s="2">
        <v>-0.1</v>
      </c>
      <c r="LN385" s="2">
        <v>-0.1</v>
      </c>
      <c r="LO385" s="2">
        <v>-0.2</v>
      </c>
      <c r="LP385" s="2">
        <v>0.4</v>
      </c>
      <c r="LQ385" s="2">
        <v>0.2</v>
      </c>
      <c r="LR385" s="2">
        <v>0.3</v>
      </c>
      <c r="LS385" s="2">
        <v>0</v>
      </c>
      <c r="LT385" s="2">
        <v>0.2</v>
      </c>
      <c r="LU385" s="2">
        <v>0.4</v>
      </c>
      <c r="LV385" s="2">
        <v>0</v>
      </c>
      <c r="MA385" s="2">
        <v>0.8</v>
      </c>
      <c r="MB385" s="2">
        <v>-1</v>
      </c>
      <c r="MC385" s="2">
        <v>-0.1</v>
      </c>
      <c r="MD385" s="2">
        <v>-0.9</v>
      </c>
      <c r="ME385" s="2">
        <v>1.4</v>
      </c>
      <c r="MF385" s="2">
        <v>0.7</v>
      </c>
      <c r="MG385" s="2">
        <v>0.5</v>
      </c>
      <c r="MH385" s="2">
        <v>2.1</v>
      </c>
      <c r="MI385" s="2">
        <v>0.9</v>
      </c>
      <c r="MJ385" s="2">
        <v>0.2</v>
      </c>
      <c r="MK385" s="2">
        <v>2.2</v>
      </c>
      <c r="ML385" s="2">
        <v>2.5</v>
      </c>
      <c r="MQ385" s="2">
        <v>1.5</v>
      </c>
      <c r="MR385" s="2">
        <v>1.7</v>
      </c>
      <c r="MS385" s="2">
        <v>1.9</v>
      </c>
      <c r="MT385" s="2">
        <v>2.2</v>
      </c>
      <c r="MU385" s="2">
        <v>1.3</v>
      </c>
      <c r="MV385" s="2">
        <v>1.9</v>
      </c>
      <c r="MW385" s="2">
        <v>1.3</v>
      </c>
      <c r="MX385" s="2">
        <v>1.1</v>
      </c>
      <c r="MY385" s="2">
        <v>0.6</v>
      </c>
      <c r="MZ385" s="2">
        <v>0.4</v>
      </c>
      <c r="NA385" s="2">
        <v>0.1</v>
      </c>
      <c r="NB385" s="2">
        <v>0.9</v>
      </c>
      <c r="NG385" s="2">
        <v>0.5</v>
      </c>
      <c r="NH385" s="2">
        <v>0.2</v>
      </c>
      <c r="NI385" s="2">
        <v>0.2</v>
      </c>
      <c r="NJ385" s="2">
        <v>0.5</v>
      </c>
      <c r="NK385" s="2">
        <v>0.5</v>
      </c>
      <c r="NL385" s="2">
        <v>0.2</v>
      </c>
      <c r="NM385" s="2">
        <v>0.6</v>
      </c>
      <c r="NN385" s="2">
        <v>0.1</v>
      </c>
      <c r="NO385" s="2">
        <v>0.7</v>
      </c>
      <c r="NP385" s="2">
        <v>0.2</v>
      </c>
      <c r="NQ385" s="2">
        <v>0.9</v>
      </c>
      <c r="NR385" s="2">
        <v>0.5</v>
      </c>
      <c r="NW385" s="2">
        <v>0.2</v>
      </c>
      <c r="NX385" s="2">
        <v>0.2</v>
      </c>
      <c r="NY385" s="2">
        <v>0.5</v>
      </c>
      <c r="NZ385" s="2">
        <v>0.3</v>
      </c>
      <c r="OA385" s="2">
        <v>0.5</v>
      </c>
      <c r="OB385" s="2">
        <v>0.5</v>
      </c>
      <c r="OC385" s="2">
        <v>0.4</v>
      </c>
      <c r="OD385" s="2">
        <v>0.2</v>
      </c>
      <c r="OE385" s="2">
        <v>-0.2</v>
      </c>
      <c r="OF385" s="2">
        <v>0.2</v>
      </c>
      <c r="OG385" s="2">
        <v>-0.6</v>
      </c>
      <c r="OH385" s="2">
        <v>0</v>
      </c>
      <c r="OM385" s="2">
        <v>-0.1</v>
      </c>
      <c r="ON385" s="2">
        <v>-0.1</v>
      </c>
      <c r="OO385" s="2">
        <v>-0.3</v>
      </c>
      <c r="OP385" s="2">
        <v>0.6</v>
      </c>
      <c r="OQ385" s="2">
        <v>0</v>
      </c>
      <c r="OR385" s="2">
        <v>0.2</v>
      </c>
      <c r="OS385" s="2">
        <v>0.5</v>
      </c>
      <c r="OT385" s="2">
        <v>0.4</v>
      </c>
      <c r="OU385" s="2">
        <v>0.7</v>
      </c>
      <c r="OV385" s="2">
        <v>0.4</v>
      </c>
      <c r="OW385" s="2">
        <v>0.5</v>
      </c>
      <c r="OX385" s="2">
        <v>0.2</v>
      </c>
      <c r="PC385" s="2">
        <v>0.4</v>
      </c>
      <c r="PD385" s="2">
        <v>0.1</v>
      </c>
      <c r="PE385" s="2">
        <v>0.5</v>
      </c>
      <c r="PF385" s="2">
        <v>0.7</v>
      </c>
      <c r="PG385" s="2">
        <v>0.9</v>
      </c>
      <c r="PH385" s="2">
        <v>0.4</v>
      </c>
      <c r="PI385" s="2">
        <v>0.4</v>
      </c>
    </row>
    <row r="386">
      <c r="A386" t="inlineStr">
        <is>
          <t>A130399774V</t>
        </is>
      </c>
      <c r="B386" t="inlineStr">
        <is>
          <t>Percentage Change from Previous Period ;  New dwelling purchase by owner-occupiers ;  Australia ;</t>
        </is>
      </c>
      <c r="C386" t="inlineStr">
        <is>
          <t>Month</t>
        </is>
      </c>
      <c r="D386" t="inlineStr">
        <is>
          <t>Percent</t>
        </is>
      </c>
      <c r="E386" t="inlineStr">
        <is>
          <t>Original</t>
        </is>
      </c>
      <c r="F386" t="inlineStr">
        <is>
          <t>640103.xlsx</t>
        </is>
      </c>
      <c r="G386" t="inlineStr">
        <is>
          <t>2017-10</t>
        </is>
      </c>
      <c r="H386" t="inlineStr">
        <is>
          <t>2026-07</t>
        </is>
      </c>
      <c r="JX386" s="2">
        <v>-0.4</v>
      </c>
      <c r="JY386" s="2">
        <v>0.6</v>
      </c>
      <c r="JZ386" s="2">
        <v>0.6</v>
      </c>
      <c r="KE386" s="2">
        <v>-0.1</v>
      </c>
      <c r="KF386" s="2">
        <v>0</v>
      </c>
      <c r="KG386" s="2">
        <v>0.2</v>
      </c>
      <c r="KH386" s="2">
        <v>0.2</v>
      </c>
      <c r="KI386" s="2">
        <v>0.3</v>
      </c>
      <c r="KJ386" s="2">
        <v>0.5</v>
      </c>
      <c r="KK386" s="2">
        <v>-0.2</v>
      </c>
      <c r="KL386" s="2">
        <v>-0.3</v>
      </c>
      <c r="KM386" s="2">
        <v>0.3</v>
      </c>
      <c r="KN386" s="2">
        <v>0.2</v>
      </c>
      <c r="KO386" s="2">
        <v>0.1</v>
      </c>
      <c r="KP386" s="2">
        <v>0.2</v>
      </c>
      <c r="KU386" s="2">
        <v>-0.4</v>
      </c>
      <c r="KV386" s="2">
        <v>0</v>
      </c>
      <c r="KW386" s="2">
        <v>0.2</v>
      </c>
      <c r="KX386" s="2">
        <v>-0.2</v>
      </c>
      <c r="KY386" s="2">
        <v>-0.2</v>
      </c>
      <c r="KZ386" s="2">
        <v>0.1</v>
      </c>
      <c r="LA386" s="2">
        <v>0</v>
      </c>
      <c r="LB386" s="2">
        <v>-0.4</v>
      </c>
      <c r="LC386" s="2">
        <v>0.5</v>
      </c>
      <c r="LD386" s="2">
        <v>0</v>
      </c>
      <c r="LE386" s="2">
        <v>0</v>
      </c>
      <c r="LF386" s="2">
        <v>0.3</v>
      </c>
      <c r="LK386" s="2">
        <v>0.1</v>
      </c>
      <c r="LL386" s="2">
        <v>0.4</v>
      </c>
      <c r="LM386" s="2">
        <v>-0.1</v>
      </c>
      <c r="LN386" s="2">
        <v>-0.1</v>
      </c>
      <c r="LO386" s="2">
        <v>-0.2</v>
      </c>
      <c r="LP386" s="2">
        <v>0.4</v>
      </c>
      <c r="LQ386" s="2">
        <v>0.2</v>
      </c>
      <c r="LR386" s="2">
        <v>0.3</v>
      </c>
      <c r="LS386" s="2">
        <v>0</v>
      </c>
      <c r="LT386" s="2">
        <v>0.2</v>
      </c>
      <c r="LU386" s="2">
        <v>0.4</v>
      </c>
      <c r="LV386" s="2">
        <v>0</v>
      </c>
      <c r="MA386" s="2">
        <v>0.8</v>
      </c>
      <c r="MB386" s="2">
        <v>-1</v>
      </c>
      <c r="MC386" s="2">
        <v>-0.1</v>
      </c>
      <c r="MD386" s="2">
        <v>-0.9</v>
      </c>
      <c r="ME386" s="2">
        <v>1.4</v>
      </c>
      <c r="MF386" s="2">
        <v>0.7</v>
      </c>
      <c r="MG386" s="2">
        <v>0.5</v>
      </c>
      <c r="MH386" s="2">
        <v>2.1</v>
      </c>
      <c r="MI386" s="2">
        <v>0.9</v>
      </c>
      <c r="MJ386" s="2">
        <v>0.2</v>
      </c>
      <c r="MK386" s="2">
        <v>2.2</v>
      </c>
      <c r="ML386" s="2">
        <v>2.5</v>
      </c>
      <c r="MQ386" s="2">
        <v>1.5</v>
      </c>
      <c r="MR386" s="2">
        <v>1.7</v>
      </c>
      <c r="MS386" s="2">
        <v>1.9</v>
      </c>
      <c r="MT386" s="2">
        <v>2.2</v>
      </c>
      <c r="MU386" s="2">
        <v>1.3</v>
      </c>
      <c r="MV386" s="2">
        <v>1.9</v>
      </c>
      <c r="MW386" s="2">
        <v>1.3</v>
      </c>
      <c r="MX386" s="2">
        <v>1.1</v>
      </c>
      <c r="MY386" s="2">
        <v>0.6</v>
      </c>
      <c r="MZ386" s="2">
        <v>0.4</v>
      </c>
      <c r="NA386" s="2">
        <v>0.1</v>
      </c>
      <c r="NB386" s="2">
        <v>0.9</v>
      </c>
      <c r="NG386" s="2">
        <v>0.5</v>
      </c>
      <c r="NH386" s="2">
        <v>0.2</v>
      </c>
      <c r="NI386" s="2">
        <v>0.2</v>
      </c>
      <c r="NJ386" s="2">
        <v>0.5</v>
      </c>
      <c r="NK386" s="2">
        <v>0.5</v>
      </c>
      <c r="NL386" s="2">
        <v>0.2</v>
      </c>
      <c r="NM386" s="2">
        <v>0.6</v>
      </c>
      <c r="NN386" s="2">
        <v>0.1</v>
      </c>
      <c r="NO386" s="2">
        <v>0.7</v>
      </c>
      <c r="NP386" s="2">
        <v>0.2</v>
      </c>
      <c r="NQ386" s="2">
        <v>0.9</v>
      </c>
      <c r="NR386" s="2">
        <v>0.5</v>
      </c>
      <c r="NW386" s="2">
        <v>0.2</v>
      </c>
      <c r="NX386" s="2">
        <v>0.2</v>
      </c>
      <c r="NY386" s="2">
        <v>0.5</v>
      </c>
      <c r="NZ386" s="2">
        <v>0.3</v>
      </c>
      <c r="OA386" s="2">
        <v>0.5</v>
      </c>
      <c r="OB386" s="2">
        <v>0.5</v>
      </c>
      <c r="OC386" s="2">
        <v>0.4</v>
      </c>
      <c r="OD386" s="2">
        <v>0.2</v>
      </c>
      <c r="OE386" s="2">
        <v>-0.2</v>
      </c>
      <c r="OF386" s="2">
        <v>0.2</v>
      </c>
      <c r="OG386" s="2">
        <v>-0.6</v>
      </c>
      <c r="OH386" s="2">
        <v>0</v>
      </c>
      <c r="OM386" s="2">
        <v>-0.1</v>
      </c>
      <c r="ON386" s="2">
        <v>-0.1</v>
      </c>
      <c r="OO386" s="2">
        <v>-0.3</v>
      </c>
      <c r="OP386" s="2">
        <v>0.6</v>
      </c>
      <c r="OQ386" s="2">
        <v>0</v>
      </c>
      <c r="OR386" s="2">
        <v>0.2</v>
      </c>
      <c r="OS386" s="2">
        <v>0.5</v>
      </c>
      <c r="OT386" s="2">
        <v>0.4</v>
      </c>
      <c r="OU386" s="2">
        <v>0.7</v>
      </c>
      <c r="OV386" s="2">
        <v>0.4</v>
      </c>
      <c r="OW386" s="2">
        <v>0.5</v>
      </c>
      <c r="OX386" s="2">
        <v>0.2</v>
      </c>
      <c r="PC386" s="2">
        <v>0.4</v>
      </c>
      <c r="PD386" s="2">
        <v>0.1</v>
      </c>
      <c r="PE386" s="2">
        <v>0.5</v>
      </c>
      <c r="PF386" s="2">
        <v>0.7</v>
      </c>
      <c r="PG386" s="2">
        <v>0.9</v>
      </c>
      <c r="PH386" s="2">
        <v>0.4</v>
      </c>
      <c r="PI386" s="2">
        <v>0.4</v>
      </c>
    </row>
    <row r="387">
      <c r="A387" t="inlineStr">
        <is>
          <t>A130397846J</t>
        </is>
      </c>
      <c r="B387" t="inlineStr">
        <is>
          <t>Percentage Change from Previous Period ;  Other housing ;  Australia ;</t>
        </is>
      </c>
      <c r="C387" t="inlineStr">
        <is>
          <t>Month</t>
        </is>
      </c>
      <c r="D387" t="inlineStr">
        <is>
          <t>Percent</t>
        </is>
      </c>
      <c r="E387" t="inlineStr">
        <is>
          <t>Original</t>
        </is>
      </c>
      <c r="F387" t="inlineStr">
        <is>
          <t>640103.xlsx</t>
        </is>
      </c>
      <c r="G387" t="inlineStr">
        <is>
          <t>2024-05</t>
        </is>
      </c>
      <c r="H387" t="inlineStr">
        <is>
          <t>2026-07</t>
        </is>
      </c>
      <c r="OA387" s="2">
        <v>0.3</v>
      </c>
      <c r="OB387" s="2">
        <v>0</v>
      </c>
      <c r="OC387" s="2">
        <v>0.3</v>
      </c>
      <c r="OD387" s="2">
        <v>-0.1</v>
      </c>
      <c r="OE387" s="2">
        <v>2.1</v>
      </c>
      <c r="OF387" s="2">
        <v>0.4</v>
      </c>
      <c r="OG387" s="2">
        <v>0.1</v>
      </c>
      <c r="OH387" s="2">
        <v>-0.1</v>
      </c>
      <c r="OM387" s="2">
        <v>0.3</v>
      </c>
      <c r="ON387" s="2">
        <v>-0.1</v>
      </c>
      <c r="OO387" s="2">
        <v>0.2</v>
      </c>
      <c r="OP387" s="2">
        <v>0.1</v>
      </c>
      <c r="OQ387" s="2">
        <v>0</v>
      </c>
      <c r="OR387" s="2">
        <v>0.1</v>
      </c>
      <c r="OS387" s="2">
        <v>0.5</v>
      </c>
      <c r="OT387" s="2">
        <v>0.1</v>
      </c>
      <c r="OU387" s="2">
        <v>2.6</v>
      </c>
      <c r="OV387" s="2">
        <v>0.5</v>
      </c>
      <c r="OW387" s="2">
        <v>0.1</v>
      </c>
      <c r="OX387" s="2">
        <v>0</v>
      </c>
      <c r="PC387" s="2">
        <v>0.1</v>
      </c>
      <c r="PD387" s="2">
        <v>0.1</v>
      </c>
      <c r="PE387" s="2">
        <v>0</v>
      </c>
      <c r="PF387" s="2">
        <v>0.2</v>
      </c>
      <c r="PG387" s="2">
        <v>0.4</v>
      </c>
      <c r="PH387" s="2">
        <v>0.2</v>
      </c>
      <c r="PI387" s="2">
        <v>0.3</v>
      </c>
    </row>
    <row r="388">
      <c r="A388" t="inlineStr">
        <is>
          <t>A130394590K</t>
        </is>
      </c>
      <c r="B388" t="inlineStr">
        <is>
          <t>Percentage Change from Previous Period ;  Maintenance and repair of the dwelling ;  Australia ;</t>
        </is>
      </c>
      <c r="C388" t="inlineStr">
        <is>
          <t>Month</t>
        </is>
      </c>
      <c r="D388" t="inlineStr">
        <is>
          <t>Percent</t>
        </is>
      </c>
      <c r="E388" t="inlineStr">
        <is>
          <t>Original</t>
        </is>
      </c>
      <c r="F388" t="inlineStr">
        <is>
          <t>640103.xlsx</t>
        </is>
      </c>
      <c r="G388" t="inlineStr">
        <is>
          <t>2024-05</t>
        </is>
      </c>
      <c r="H388" t="inlineStr">
        <is>
          <t>2026-07</t>
        </is>
      </c>
      <c r="OA388" s="2">
        <v>0.5</v>
      </c>
      <c r="OB388" s="2">
        <v>0</v>
      </c>
      <c r="OC388" s="2">
        <v>0.6</v>
      </c>
      <c r="OD388" s="2">
        <v>-0.2</v>
      </c>
      <c r="OE388" s="2">
        <v>0.2</v>
      </c>
      <c r="OF388" s="2">
        <v>0.7</v>
      </c>
      <c r="OG388" s="2">
        <v>0.2</v>
      </c>
      <c r="OH388" s="2">
        <v>-0.2</v>
      </c>
      <c r="OM388" s="2">
        <v>0.5</v>
      </c>
      <c r="ON388" s="2">
        <v>-0.1</v>
      </c>
      <c r="OO388" s="2">
        <v>0.3</v>
      </c>
      <c r="OP388" s="2">
        <v>0.2</v>
      </c>
      <c r="OQ388" s="2">
        <v>0.1</v>
      </c>
      <c r="OR388" s="2">
        <v>0.1</v>
      </c>
      <c r="OS388" s="2">
        <v>0.8</v>
      </c>
      <c r="OT388" s="2">
        <v>0.1</v>
      </c>
      <c r="OU388" s="2">
        <v>0</v>
      </c>
      <c r="OV388" s="2">
        <v>0.8</v>
      </c>
      <c r="OW388" s="2">
        <v>0.1</v>
      </c>
      <c r="OX388" s="2">
        <v>0.1</v>
      </c>
      <c r="PC388" s="2">
        <v>0.2</v>
      </c>
      <c r="PD388" s="2">
        <v>0.1</v>
      </c>
      <c r="PE388" s="2">
        <v>0.1</v>
      </c>
      <c r="PF388" s="2">
        <v>0.4</v>
      </c>
      <c r="PG388" s="2">
        <v>0.6</v>
      </c>
      <c r="PH388" s="2">
        <v>0.4</v>
      </c>
      <c r="PI388" s="2">
        <v>0.4</v>
      </c>
    </row>
    <row r="389">
      <c r="A389" t="inlineStr">
        <is>
          <t>A130399781T</t>
        </is>
      </c>
      <c r="B389" t="inlineStr">
        <is>
          <t>Percentage Change from Previous Period ;  Property rates and charges ;  Australia ;</t>
        </is>
      </c>
      <c r="C389" t="inlineStr">
        <is>
          <t>Month</t>
        </is>
      </c>
      <c r="D389" t="inlineStr">
        <is>
          <t>Percent</t>
        </is>
      </c>
      <c r="E389" t="inlineStr">
        <is>
          <t>Original</t>
        </is>
      </c>
      <c r="F389" t="inlineStr">
        <is>
          <t>640103.xlsx</t>
        </is>
      </c>
      <c r="G389" t="inlineStr">
        <is>
          <t>2017-10</t>
        </is>
      </c>
      <c r="H389" t="inlineStr">
        <is>
          <t>2026-07</t>
        </is>
      </c>
      <c r="JX389" s="2">
        <v>0</v>
      </c>
      <c r="JY389" s="2">
        <v>0</v>
      </c>
      <c r="JZ389" s="2">
        <v>0</v>
      </c>
      <c r="KE389" s="2">
        <v>0</v>
      </c>
      <c r="KF389" s="2">
        <v>0</v>
      </c>
      <c r="KG389" s="2">
        <v>0</v>
      </c>
      <c r="KH389" s="2">
        <v>0</v>
      </c>
      <c r="KI389" s="2">
        <v>0</v>
      </c>
      <c r="KJ389" s="2">
        <v>0</v>
      </c>
      <c r="KK389" s="2">
        <v>0</v>
      </c>
      <c r="KL389" s="2">
        <v>0</v>
      </c>
      <c r="KM389" s="2">
        <v>2.3</v>
      </c>
      <c r="KN389" s="2">
        <v>0</v>
      </c>
      <c r="KO389" s="2">
        <v>0</v>
      </c>
      <c r="KP389" s="2">
        <v>0</v>
      </c>
      <c r="KU389" s="2">
        <v>0</v>
      </c>
      <c r="KV389" s="2">
        <v>0</v>
      </c>
      <c r="KW389" s="2">
        <v>0</v>
      </c>
      <c r="KX389" s="2">
        <v>0</v>
      </c>
      <c r="KY389" s="2">
        <v>0</v>
      </c>
      <c r="KZ389" s="2">
        <v>0</v>
      </c>
      <c r="LA389" s="2">
        <v>0</v>
      </c>
      <c r="LB389" s="2">
        <v>0</v>
      </c>
      <c r="LC389" s="2">
        <v>2.5</v>
      </c>
      <c r="LD389" s="2">
        <v>0</v>
      </c>
      <c r="LE389" s="2">
        <v>0</v>
      </c>
      <c r="LF389" s="2">
        <v>0</v>
      </c>
      <c r="LK389" s="2">
        <v>0</v>
      </c>
      <c r="LL389" s="2">
        <v>0</v>
      </c>
      <c r="LM389" s="2">
        <v>0</v>
      </c>
      <c r="LN389" s="2">
        <v>0</v>
      </c>
      <c r="LO389" s="2">
        <v>0</v>
      </c>
      <c r="LP389" s="2">
        <v>0</v>
      </c>
      <c r="LQ389" s="2">
        <v>0</v>
      </c>
      <c r="LR389" s="2">
        <v>0</v>
      </c>
      <c r="LS389" s="2">
        <v>1.3</v>
      </c>
      <c r="LT389" s="2">
        <v>0</v>
      </c>
      <c r="LU389" s="2">
        <v>0</v>
      </c>
      <c r="LV389" s="2">
        <v>0</v>
      </c>
      <c r="MA389" s="2">
        <v>0</v>
      </c>
      <c r="MB389" s="2">
        <v>0</v>
      </c>
      <c r="MC389" s="2">
        <v>0</v>
      </c>
      <c r="MD389" s="2">
        <v>0</v>
      </c>
      <c r="ME389" s="2">
        <v>0</v>
      </c>
      <c r="MF389" s="2">
        <v>0</v>
      </c>
      <c r="MG389" s="2">
        <v>0</v>
      </c>
      <c r="MH389" s="2">
        <v>0</v>
      </c>
      <c r="MI389" s="2">
        <v>3.3</v>
      </c>
      <c r="MJ389" s="2">
        <v>0</v>
      </c>
      <c r="MK389" s="2">
        <v>0</v>
      </c>
      <c r="ML389" s="2">
        <v>0</v>
      </c>
      <c r="MQ389" s="2">
        <v>0</v>
      </c>
      <c r="MR389" s="2">
        <v>0</v>
      </c>
      <c r="MS389" s="2">
        <v>0</v>
      </c>
      <c r="MT389" s="2">
        <v>0</v>
      </c>
      <c r="MU389" s="2">
        <v>0</v>
      </c>
      <c r="MV389" s="2">
        <v>0</v>
      </c>
      <c r="MW389" s="2">
        <v>0</v>
      </c>
      <c r="MX389" s="2">
        <v>0</v>
      </c>
      <c r="MY389" s="2">
        <v>3.6</v>
      </c>
      <c r="MZ389" s="2">
        <v>0</v>
      </c>
      <c r="NA389" s="2">
        <v>0</v>
      </c>
      <c r="NB389" s="2">
        <v>0</v>
      </c>
      <c r="NG389" s="2">
        <v>0</v>
      </c>
      <c r="NH389" s="2">
        <v>0</v>
      </c>
      <c r="NI389" s="2">
        <v>0</v>
      </c>
      <c r="NJ389" s="2">
        <v>0</v>
      </c>
      <c r="NK389" s="2">
        <v>0</v>
      </c>
      <c r="NL389" s="2">
        <v>0</v>
      </c>
      <c r="NM389" s="2">
        <v>0</v>
      </c>
      <c r="NN389" s="2">
        <v>0</v>
      </c>
      <c r="NO389" s="2">
        <v>4.3</v>
      </c>
      <c r="NP389" s="2">
        <v>0</v>
      </c>
      <c r="NQ389" s="2">
        <v>0</v>
      </c>
      <c r="NR389" s="2">
        <v>0</v>
      </c>
      <c r="NW389" s="2">
        <v>0</v>
      </c>
      <c r="NX389" s="2">
        <v>0</v>
      </c>
      <c r="NY389" s="2">
        <v>0</v>
      </c>
      <c r="NZ389" s="2">
        <v>0</v>
      </c>
      <c r="OA389" s="2">
        <v>0</v>
      </c>
      <c r="OB389" s="2">
        <v>0</v>
      </c>
      <c r="OC389" s="2">
        <v>0</v>
      </c>
      <c r="OD389" s="2">
        <v>0</v>
      </c>
      <c r="OE389" s="2">
        <v>5</v>
      </c>
      <c r="OF389" s="2">
        <v>0</v>
      </c>
      <c r="OG389" s="2">
        <v>0</v>
      </c>
      <c r="OH389" s="2">
        <v>0</v>
      </c>
      <c r="OM389" s="2">
        <v>0</v>
      </c>
      <c r="ON389" s="2">
        <v>0</v>
      </c>
      <c r="OO389" s="2">
        <v>0</v>
      </c>
      <c r="OP389" s="2">
        <v>0</v>
      </c>
      <c r="OQ389" s="2">
        <v>0</v>
      </c>
      <c r="OR389" s="2">
        <v>0</v>
      </c>
      <c r="OS389" s="2">
        <v>0</v>
      </c>
      <c r="OT389" s="2">
        <v>0</v>
      </c>
      <c r="OU389" s="2">
        <v>6.2</v>
      </c>
      <c r="OV389" s="2">
        <v>0</v>
      </c>
      <c r="OW389" s="2">
        <v>0</v>
      </c>
      <c r="OX389" s="2">
        <v>0</v>
      </c>
      <c r="PC389" s="2">
        <v>0</v>
      </c>
      <c r="PD389" s="2">
        <v>0</v>
      </c>
      <c r="PE389" s="2">
        <v>0</v>
      </c>
      <c r="PF389" s="2">
        <v>0</v>
      </c>
      <c r="PG389" s="2">
        <v>0</v>
      </c>
      <c r="PH389" s="2">
        <v>0</v>
      </c>
      <c r="PI389" s="2">
        <v>0</v>
      </c>
    </row>
    <row r="390">
      <c r="A390" t="inlineStr">
        <is>
          <t>A130393092A</t>
        </is>
      </c>
      <c r="B390" t="inlineStr">
        <is>
          <t>Percentage Change from Previous Period ;  Utilities ;  Australia ;</t>
        </is>
      </c>
      <c r="C390" t="inlineStr">
        <is>
          <t>Month</t>
        </is>
      </c>
      <c r="D390" t="inlineStr">
        <is>
          <t>Percent</t>
        </is>
      </c>
      <c r="E390" t="inlineStr">
        <is>
          <t>Original</t>
        </is>
      </c>
      <c r="F390" t="inlineStr">
        <is>
          <t>640103.xlsx</t>
        </is>
      </c>
      <c r="G390" t="inlineStr">
        <is>
          <t>2024-05</t>
        </is>
      </c>
      <c r="H390" t="inlineStr">
        <is>
          <t>2026-07</t>
        </is>
      </c>
      <c r="OA390" s="2">
        <v>0.3</v>
      </c>
      <c r="OB390" s="2">
        <v>0.6</v>
      </c>
      <c r="OC390" s="2">
        <v>-1.9</v>
      </c>
      <c r="OD390" s="2">
        <v>-7.9</v>
      </c>
      <c r="OE390" s="2">
        <v>-3.8</v>
      </c>
      <c r="OF390" s="2">
        <v>-6.4</v>
      </c>
      <c r="OG390" s="2">
        <v>11.3</v>
      </c>
      <c r="OH390" s="2">
        <v>-1.2</v>
      </c>
      <c r="OM390" s="2">
        <v>4.6</v>
      </c>
      <c r="ON390" s="2">
        <v>-1.3</v>
      </c>
      <c r="OO390" s="2">
        <v>4.8</v>
      </c>
      <c r="OP390" s="2">
        <v>0.7</v>
      </c>
      <c r="OQ390" s="2">
        <v>0.6</v>
      </c>
      <c r="OR390" s="2">
        <v>-0.1</v>
      </c>
      <c r="OS390" s="2">
        <v>9.6</v>
      </c>
      <c r="OT390" s="2">
        <v>-3.6</v>
      </c>
      <c r="OU390" s="2">
        <v>0.3</v>
      </c>
      <c r="OV390" s="2">
        <v>-5.7</v>
      </c>
      <c r="OW390" s="2">
        <v>4.4</v>
      </c>
      <c r="OX390" s="2">
        <v>0</v>
      </c>
      <c r="PC390" s="2">
        <v>10.1</v>
      </c>
      <c r="PD390" s="2">
        <v>0.6</v>
      </c>
      <c r="PE390" s="2">
        <v>0</v>
      </c>
      <c r="PF390" s="2">
        <v>-0.7</v>
      </c>
      <c r="PG390" s="2">
        <v>-0.1</v>
      </c>
      <c r="PH390" s="2">
        <v>1</v>
      </c>
      <c r="PI390" s="2">
        <v>0.8</v>
      </c>
    </row>
    <row r="391">
      <c r="A391" t="inlineStr">
        <is>
          <t>A130391062A</t>
        </is>
      </c>
      <c r="B391" t="inlineStr">
        <is>
          <t>Percentage Change from Previous Period ;  Water and sewerage ;  Australia ;</t>
        </is>
      </c>
      <c r="C391" t="inlineStr">
        <is>
          <t>Month</t>
        </is>
      </c>
      <c r="D391" t="inlineStr">
        <is>
          <t>Percent</t>
        </is>
      </c>
      <c r="E391" t="inlineStr">
        <is>
          <t>Original</t>
        </is>
      </c>
      <c r="F391" t="inlineStr">
        <is>
          <t>640103.xlsx</t>
        </is>
      </c>
      <c r="G391" t="inlineStr">
        <is>
          <t>2024-05</t>
        </is>
      </c>
      <c r="H391" t="inlineStr">
        <is>
          <t>2026-07</t>
        </is>
      </c>
      <c r="OA391" s="2">
        <v>0</v>
      </c>
      <c r="OB391" s="2">
        <v>0</v>
      </c>
      <c r="OC391" s="2">
        <v>2.7</v>
      </c>
      <c r="OD391" s="2">
        <v>0</v>
      </c>
      <c r="OE391" s="2">
        <v>0</v>
      </c>
      <c r="OF391" s="2">
        <v>0</v>
      </c>
      <c r="OG391" s="2">
        <v>0</v>
      </c>
      <c r="OH391" s="2">
        <v>0</v>
      </c>
      <c r="OM391" s="2">
        <v>0</v>
      </c>
      <c r="ON391" s="2">
        <v>0</v>
      </c>
      <c r="OO391" s="2">
        <v>0</v>
      </c>
      <c r="OP391" s="2">
        <v>0</v>
      </c>
      <c r="OQ391" s="2">
        <v>0</v>
      </c>
      <c r="OR391" s="2">
        <v>0</v>
      </c>
      <c r="OS391" s="2">
        <v>2.7</v>
      </c>
      <c r="OT391" s="2">
        <v>0</v>
      </c>
      <c r="OU391" s="2">
        <v>0</v>
      </c>
      <c r="OV391" s="2">
        <v>4.2</v>
      </c>
      <c r="OW391" s="2">
        <v>0</v>
      </c>
      <c r="OX391" s="2">
        <v>0</v>
      </c>
      <c r="PC391" s="2">
        <v>0</v>
      </c>
      <c r="PD391" s="2">
        <v>0</v>
      </c>
      <c r="PE391" s="2">
        <v>0</v>
      </c>
      <c r="PF391" s="2">
        <v>0</v>
      </c>
      <c r="PG391" s="2">
        <v>0</v>
      </c>
      <c r="PH391" s="2">
        <v>0</v>
      </c>
      <c r="PI391" s="2">
        <v>5.8</v>
      </c>
    </row>
    <row r="392">
      <c r="A392" t="inlineStr">
        <is>
          <t>A130390733K</t>
        </is>
      </c>
      <c r="B392" t="inlineStr">
        <is>
          <t>Percentage Change from Previous Period ;  Electricity ;  Australia ;</t>
        </is>
      </c>
      <c r="C392" t="inlineStr">
        <is>
          <t>Month</t>
        </is>
      </c>
      <c r="D392" t="inlineStr">
        <is>
          <t>Percent</t>
        </is>
      </c>
      <c r="E392" t="inlineStr">
        <is>
          <t>Original</t>
        </is>
      </c>
      <c r="F392" t="inlineStr">
        <is>
          <t>640103.xlsx</t>
        </is>
      </c>
      <c r="G392" t="inlineStr">
        <is>
          <t>2021-11</t>
        </is>
      </c>
      <c r="H392" t="inlineStr">
        <is>
          <t>2026-07</t>
        </is>
      </c>
      <c r="MK392" s="2">
        <v>1.1</v>
      </c>
      <c r="ML392" s="2">
        <v>0.3</v>
      </c>
      <c r="MQ392" s="2">
        <v>-0.1</v>
      </c>
      <c r="MR392" s="2">
        <v>-0.3</v>
      </c>
      <c r="MS392" s="2">
        <v>-0.1</v>
      </c>
      <c r="MT392" s="2">
        <v>-0.5</v>
      </c>
      <c r="MU392" s="2">
        <v>0.2</v>
      </c>
      <c r="MV392" s="2">
        <v>2.6</v>
      </c>
      <c r="MW392" s="2">
        <v>1.1</v>
      </c>
      <c r="MX392" s="2">
        <v>1.4</v>
      </c>
      <c r="MY392" s="2">
        <v>-4.4</v>
      </c>
      <c r="MZ392" s="2">
        <v>10.8</v>
      </c>
      <c r="NA392" s="2">
        <v>-0.2</v>
      </c>
      <c r="NB392" s="2">
        <v>3.9</v>
      </c>
      <c r="NG392" s="2">
        <v>0.5</v>
      </c>
      <c r="NH392" s="2">
        <v>0</v>
      </c>
      <c r="NI392" s="2">
        <v>-0.1</v>
      </c>
      <c r="NJ392" s="2">
        <v>-1</v>
      </c>
      <c r="NK392" s="2">
        <v>-0.8</v>
      </c>
      <c r="NL392" s="2">
        <v>-0.8</v>
      </c>
      <c r="NM392" s="2">
        <v>6</v>
      </c>
      <c r="NN392" s="2">
        <v>-1.3</v>
      </c>
      <c r="NO392" s="2">
        <v>0.2</v>
      </c>
      <c r="NP392" s="2">
        <v>3.4</v>
      </c>
      <c r="NQ392" s="2">
        <v>0.4</v>
      </c>
      <c r="NR392" s="2">
        <v>-5.7</v>
      </c>
      <c r="NW392" s="2">
        <v>0.9</v>
      </c>
      <c r="NX392" s="2">
        <v>-0.6</v>
      </c>
      <c r="NY392" s="2">
        <v>4.9</v>
      </c>
      <c r="NZ392" s="2">
        <v>-1.9</v>
      </c>
      <c r="OA392" s="2">
        <v>1.4</v>
      </c>
      <c r="OB392" s="2">
        <v>0</v>
      </c>
      <c r="OC392" s="2">
        <v>-6.4</v>
      </c>
      <c r="OD392" s="2">
        <v>-14.6</v>
      </c>
      <c r="OE392" s="2">
        <v>-7.3</v>
      </c>
      <c r="OF392" s="2">
        <v>-12.3</v>
      </c>
      <c r="OG392" s="2">
        <v>22.2</v>
      </c>
      <c r="OH392" s="2">
        <v>-1.4</v>
      </c>
      <c r="OM392" s="2">
        <v>8.9</v>
      </c>
      <c r="ON392" s="2">
        <v>-2.5</v>
      </c>
      <c r="OO392" s="2">
        <v>9.199999999999999</v>
      </c>
      <c r="OP392" s="2">
        <v>1.5</v>
      </c>
      <c r="OQ392" s="2">
        <v>2</v>
      </c>
      <c r="OR392" s="2">
        <v>-0.4</v>
      </c>
      <c r="OS392" s="2">
        <v>13.5</v>
      </c>
      <c r="OT392" s="2">
        <v>-6.3</v>
      </c>
      <c r="OU392" s="2">
        <v>-0.4</v>
      </c>
      <c r="OV392" s="2">
        <v>-10.2</v>
      </c>
      <c r="OW392" s="2">
        <v>6.8</v>
      </c>
      <c r="OX392" s="2">
        <v>0</v>
      </c>
      <c r="PC392" s="2">
        <v>18.5</v>
      </c>
      <c r="PD392" s="2">
        <v>1</v>
      </c>
      <c r="PE392" s="2">
        <v>0</v>
      </c>
      <c r="PF392" s="2">
        <v>-0.9</v>
      </c>
      <c r="PG392" s="2">
        <v>0.9</v>
      </c>
      <c r="PH392" s="2">
        <v>0.7</v>
      </c>
      <c r="PI392" s="2">
        <v>-1.6</v>
      </c>
    </row>
    <row r="393">
      <c r="A393" t="inlineStr">
        <is>
          <t>A130392616K</t>
        </is>
      </c>
      <c r="B393" t="inlineStr">
        <is>
          <t>Percentage Change from Previous Period ;  Gas and other household fuels ;  Australia ;</t>
        </is>
      </c>
      <c r="C393" t="inlineStr">
        <is>
          <t>Month</t>
        </is>
      </c>
      <c r="D393" t="inlineStr">
        <is>
          <t>Percent</t>
        </is>
      </c>
      <c r="E393" t="inlineStr">
        <is>
          <t>Original</t>
        </is>
      </c>
      <c r="F393" t="inlineStr">
        <is>
          <t>640103.xlsx</t>
        </is>
      </c>
      <c r="G393" t="inlineStr">
        <is>
          <t>2021-11</t>
        </is>
      </c>
      <c r="H393" t="inlineStr">
        <is>
          <t>2026-07</t>
        </is>
      </c>
      <c r="MK393" s="2">
        <v>2.4</v>
      </c>
      <c r="ML393" s="2">
        <v>2.2</v>
      </c>
      <c r="MQ393" s="2">
        <v>0.9</v>
      </c>
      <c r="MR393" s="2">
        <v>1.9</v>
      </c>
      <c r="MS393" s="2">
        <v>0</v>
      </c>
      <c r="MT393" s="2">
        <v>-0.1</v>
      </c>
      <c r="MU393" s="2">
        <v>-2.8</v>
      </c>
      <c r="MV393" s="2">
        <v>3.4</v>
      </c>
      <c r="MW393" s="2">
        <v>9.800000000000001</v>
      </c>
      <c r="MX393" s="2">
        <v>1.2</v>
      </c>
      <c r="MY393" s="2">
        <v>0.3</v>
      </c>
      <c r="MZ393" s="2">
        <v>-2.8</v>
      </c>
      <c r="NA393" s="2">
        <v>2.3</v>
      </c>
      <c r="NB393" s="2">
        <v>3.6</v>
      </c>
      <c r="NG393" s="2">
        <v>8.1</v>
      </c>
      <c r="NH393" s="2">
        <v>0.9</v>
      </c>
      <c r="NI393" s="2">
        <v>0.3</v>
      </c>
      <c r="NJ393" s="2">
        <v>0</v>
      </c>
      <c r="NK393" s="2">
        <v>-2.2</v>
      </c>
      <c r="NL393" s="2">
        <v>-0.7</v>
      </c>
      <c r="NM393" s="2">
        <v>2.3</v>
      </c>
      <c r="NN393" s="2">
        <v>0.4</v>
      </c>
      <c r="NO393" s="2">
        <v>0.2</v>
      </c>
      <c r="NP393" s="2">
        <v>-2.6</v>
      </c>
      <c r="NQ393" s="2">
        <v>2.3</v>
      </c>
      <c r="NR393" s="2">
        <v>-0.4</v>
      </c>
      <c r="NW393" s="2">
        <v>-1.8</v>
      </c>
      <c r="NX393" s="2">
        <v>-0.1</v>
      </c>
      <c r="NY393" s="2">
        <v>-0.2</v>
      </c>
      <c r="NZ393" s="2">
        <v>-0.6</v>
      </c>
      <c r="OA393" s="2">
        <v>-2.5</v>
      </c>
      <c r="OB393" s="2">
        <v>2.7</v>
      </c>
      <c r="OC393" s="2">
        <v>5.7</v>
      </c>
      <c r="OD393" s="2">
        <v>0.8</v>
      </c>
      <c r="OE393" s="2">
        <v>0.1</v>
      </c>
      <c r="OF393" s="2">
        <v>-1.3</v>
      </c>
      <c r="OG393" s="2">
        <v>3.2</v>
      </c>
      <c r="OH393" s="2">
        <v>-1.7</v>
      </c>
      <c r="OM393" s="2">
        <v>0.1</v>
      </c>
      <c r="ON393" s="2">
        <v>0.2</v>
      </c>
      <c r="OO393" s="2">
        <v>-0.2</v>
      </c>
      <c r="OP393" s="2">
        <v>-0.6</v>
      </c>
      <c r="OQ393" s="2">
        <v>-2.3</v>
      </c>
      <c r="OR393" s="2">
        <v>0.5</v>
      </c>
      <c r="OS393" s="2">
        <v>6.2</v>
      </c>
      <c r="OT393" s="2">
        <v>0.2</v>
      </c>
      <c r="OU393" s="2">
        <v>2.3</v>
      </c>
      <c r="OV393" s="2">
        <v>-3.7</v>
      </c>
      <c r="OW393" s="2">
        <v>3.5</v>
      </c>
      <c r="OX393" s="2">
        <v>0</v>
      </c>
      <c r="PC393" s="2">
        <v>0</v>
      </c>
      <c r="PD393" s="2">
        <v>-0.1</v>
      </c>
      <c r="PE393" s="2">
        <v>0</v>
      </c>
      <c r="PF393" s="2">
        <v>-0.6</v>
      </c>
      <c r="PG393" s="2">
        <v>-3.1</v>
      </c>
      <c r="PH393" s="2">
        <v>2.7</v>
      </c>
      <c r="PI393" s="2">
        <v>2.8</v>
      </c>
    </row>
    <row r="394">
      <c r="A394" t="inlineStr">
        <is>
          <t>A130399200J</t>
        </is>
      </c>
      <c r="B394" t="inlineStr">
        <is>
          <t>Percentage Change from Previous Period ;  Furnishings, household equipment and services ;  Australia ;</t>
        </is>
      </c>
      <c r="C394" t="inlineStr">
        <is>
          <t>Month</t>
        </is>
      </c>
      <c r="D394" t="inlineStr">
        <is>
          <t>Percent</t>
        </is>
      </c>
      <c r="E394" t="inlineStr">
        <is>
          <t>Original</t>
        </is>
      </c>
      <c r="F394" t="inlineStr">
        <is>
          <t>640103.xlsx</t>
        </is>
      </c>
      <c r="G394" t="inlineStr">
        <is>
          <t>2024-05</t>
        </is>
      </c>
      <c r="H394" t="inlineStr">
        <is>
          <t>2026-07</t>
        </is>
      </c>
      <c r="OA394" s="2">
        <v>0</v>
      </c>
      <c r="OB394" s="2">
        <v>-1.3</v>
      </c>
      <c r="OC394" s="2">
        <v>1.9</v>
      </c>
      <c r="OD394" s="2">
        <v>0.9</v>
      </c>
      <c r="OE394" s="2">
        <v>-0.4</v>
      </c>
      <c r="OF394" s="2">
        <v>0.4</v>
      </c>
      <c r="OG394" s="2">
        <v>-0.2</v>
      </c>
      <c r="OH394" s="2">
        <v>-0.9</v>
      </c>
      <c r="OM394" s="2">
        <v>0.2</v>
      </c>
      <c r="ON394" s="2">
        <v>1</v>
      </c>
      <c r="OO394" s="2">
        <v>-0.3</v>
      </c>
      <c r="OP394" s="2">
        <v>0.5</v>
      </c>
      <c r="OQ394" s="2">
        <v>-0.4</v>
      </c>
      <c r="OR394" s="2">
        <v>-1.1</v>
      </c>
      <c r="OS394" s="2">
        <v>2</v>
      </c>
      <c r="OT394" s="2">
        <v>0.8</v>
      </c>
      <c r="OU394" s="2">
        <v>-0.3</v>
      </c>
      <c r="OV394" s="2">
        <v>0.7</v>
      </c>
      <c r="OW394" s="2">
        <v>-0.9</v>
      </c>
      <c r="OX394" s="2">
        <v>-0.2</v>
      </c>
      <c r="PC394" s="2">
        <v>-0.4</v>
      </c>
      <c r="PD394" s="2">
        <v>0.9</v>
      </c>
      <c r="PE394" s="2">
        <v>-0.2</v>
      </c>
      <c r="PF394" s="2">
        <v>0.3</v>
      </c>
      <c r="PG394" s="2">
        <v>0</v>
      </c>
      <c r="PH394" s="2">
        <v>-1.2</v>
      </c>
      <c r="PI394" s="2">
        <v>2</v>
      </c>
    </row>
    <row r="395">
      <c r="A395" t="inlineStr">
        <is>
          <t>A130397797X</t>
        </is>
      </c>
      <c r="B395" t="inlineStr">
        <is>
          <t>Percentage Change from Previous Period ;  Furniture and furnishings ;  Australia ;</t>
        </is>
      </c>
      <c r="C395" t="inlineStr">
        <is>
          <t>Month</t>
        </is>
      </c>
      <c r="D395" t="inlineStr">
        <is>
          <t>Percent</t>
        </is>
      </c>
      <c r="E395" t="inlineStr">
        <is>
          <t>Original</t>
        </is>
      </c>
      <c r="F395" t="inlineStr">
        <is>
          <t>640103.xlsx</t>
        </is>
      </c>
      <c r="G395" t="inlineStr">
        <is>
          <t>2024-05</t>
        </is>
      </c>
      <c r="H395" t="inlineStr">
        <is>
          <t>2026-07</t>
        </is>
      </c>
      <c r="OA395" s="2">
        <v>0.2</v>
      </c>
      <c r="OB395" s="2">
        <v>-3.7</v>
      </c>
      <c r="OC395" s="2">
        <v>4.6</v>
      </c>
      <c r="OD395" s="2">
        <v>-0.6</v>
      </c>
      <c r="OE395" s="2">
        <v>1.1</v>
      </c>
      <c r="OF395" s="2">
        <v>1.7</v>
      </c>
      <c r="OG395" s="2">
        <v>-2.9</v>
      </c>
      <c r="OH395" s="2">
        <v>0</v>
      </c>
      <c r="OM395" s="2">
        <v>-1.7</v>
      </c>
      <c r="ON395" s="2">
        <v>4.1</v>
      </c>
      <c r="OO395" s="2">
        <v>-1.3</v>
      </c>
      <c r="OP395" s="2">
        <v>-0.3</v>
      </c>
      <c r="OQ395" s="2">
        <v>-1.3</v>
      </c>
      <c r="OR395" s="2">
        <v>-2.7</v>
      </c>
      <c r="OS395" s="2">
        <v>4.4</v>
      </c>
      <c r="OT395" s="2">
        <v>-1.3</v>
      </c>
      <c r="OU395" s="2">
        <v>2.1</v>
      </c>
      <c r="OV395" s="2">
        <v>2</v>
      </c>
      <c r="OW395" s="2">
        <v>-3.8</v>
      </c>
      <c r="OX395" s="2">
        <v>1</v>
      </c>
      <c r="PC395" s="2">
        <v>-3.6</v>
      </c>
      <c r="PD395" s="2">
        <v>3.9</v>
      </c>
      <c r="PE395" s="2">
        <v>0.3</v>
      </c>
      <c r="PF395" s="2">
        <v>-0.3</v>
      </c>
      <c r="PG395" s="2">
        <v>0.3</v>
      </c>
      <c r="PH395" s="2">
        <v>-4.2</v>
      </c>
      <c r="PI395" s="2">
        <v>4.4</v>
      </c>
    </row>
    <row r="396">
      <c r="A396" t="inlineStr">
        <is>
          <t>A130394597A</t>
        </is>
      </c>
      <c r="B396" t="inlineStr">
        <is>
          <t>Percentage Change from Previous Period ;  Furniture ;  Australia ;</t>
        </is>
      </c>
      <c r="C396" t="inlineStr">
        <is>
          <t>Month</t>
        </is>
      </c>
      <c r="D396" t="inlineStr">
        <is>
          <t>Percent</t>
        </is>
      </c>
      <c r="E396" t="inlineStr">
        <is>
          <t>Original</t>
        </is>
      </c>
      <c r="F396" t="inlineStr">
        <is>
          <t>640103.xlsx</t>
        </is>
      </c>
      <c r="G396" t="inlineStr">
        <is>
          <t>2024-05</t>
        </is>
      </c>
      <c r="H396" t="inlineStr">
        <is>
          <t>2026-07</t>
        </is>
      </c>
      <c r="OA396" s="2">
        <v>0.6</v>
      </c>
      <c r="OB396" s="2">
        <v>-4.6</v>
      </c>
      <c r="OC396" s="2">
        <v>5.6</v>
      </c>
      <c r="OD396" s="2">
        <v>-0.7</v>
      </c>
      <c r="OE396" s="2">
        <v>1.4</v>
      </c>
      <c r="OF396" s="2">
        <v>2.3</v>
      </c>
      <c r="OG396" s="2">
        <v>-3.6</v>
      </c>
      <c r="OH396" s="2">
        <v>-0.1</v>
      </c>
      <c r="OM396" s="2">
        <v>-1.8</v>
      </c>
      <c r="ON396" s="2">
        <v>4.9</v>
      </c>
      <c r="OO396" s="2">
        <v>-1.6</v>
      </c>
      <c r="OP396" s="2">
        <v>-0.2</v>
      </c>
      <c r="OQ396" s="2">
        <v>-1.6</v>
      </c>
      <c r="OR396" s="2">
        <v>-3.1</v>
      </c>
      <c r="OS396" s="2">
        <v>5</v>
      </c>
      <c r="OT396" s="2">
        <v>-1.8</v>
      </c>
      <c r="OU396" s="2">
        <v>2.5</v>
      </c>
      <c r="OV396" s="2">
        <v>2.5</v>
      </c>
      <c r="OW396" s="2">
        <v>-4.6</v>
      </c>
      <c r="OX396" s="2">
        <v>1</v>
      </c>
      <c r="PC396" s="2">
        <v>-4.3</v>
      </c>
      <c r="PD396" s="2">
        <v>4.6</v>
      </c>
      <c r="PE396" s="2">
        <v>0.2</v>
      </c>
      <c r="PF396" s="2">
        <v>-0.3</v>
      </c>
      <c r="PG396" s="2">
        <v>0.4</v>
      </c>
      <c r="PH396" s="2">
        <v>-5.1</v>
      </c>
      <c r="PI396" s="2">
        <v>5</v>
      </c>
    </row>
    <row r="397">
      <c r="A397" t="inlineStr">
        <is>
          <t>A130397825W</t>
        </is>
      </c>
      <c r="B397" t="inlineStr">
        <is>
          <t>Percentage Change from Previous Period ;  Carpets and other floor coverings ;  Australia ;</t>
        </is>
      </c>
      <c r="C397" t="inlineStr">
        <is>
          <t>Month</t>
        </is>
      </c>
      <c r="D397" t="inlineStr">
        <is>
          <t>Percent</t>
        </is>
      </c>
      <c r="E397" t="inlineStr">
        <is>
          <t>Original</t>
        </is>
      </c>
      <c r="F397" t="inlineStr">
        <is>
          <t>640103.xlsx</t>
        </is>
      </c>
      <c r="G397" t="inlineStr">
        <is>
          <t>2024-05</t>
        </is>
      </c>
      <c r="H397" t="inlineStr">
        <is>
          <t>2026-07</t>
        </is>
      </c>
      <c r="OA397" s="2">
        <v>-1.3</v>
      </c>
      <c r="OB397" s="2">
        <v>0.4</v>
      </c>
      <c r="OC397" s="2">
        <v>0.4</v>
      </c>
      <c r="OD397" s="2">
        <v>0</v>
      </c>
      <c r="OE397" s="2">
        <v>0.1</v>
      </c>
      <c r="OF397" s="2">
        <v>-0.8</v>
      </c>
      <c r="OG397" s="2">
        <v>0.4</v>
      </c>
      <c r="OH397" s="2">
        <v>0.5</v>
      </c>
      <c r="OM397" s="2">
        <v>-1.3</v>
      </c>
      <c r="ON397" s="2">
        <v>0.8</v>
      </c>
      <c r="OO397" s="2">
        <v>0.1</v>
      </c>
      <c r="OP397" s="2">
        <v>-0.3</v>
      </c>
      <c r="OQ397" s="2">
        <v>0.4</v>
      </c>
      <c r="OR397" s="2">
        <v>-1</v>
      </c>
      <c r="OS397" s="2">
        <v>1.8</v>
      </c>
      <c r="OT397" s="2">
        <v>1</v>
      </c>
      <c r="OU397" s="2">
        <v>0.1</v>
      </c>
      <c r="OV397" s="2">
        <v>-0.6</v>
      </c>
      <c r="OW397" s="2">
        <v>-0.1</v>
      </c>
      <c r="OX397" s="2">
        <v>0.9</v>
      </c>
      <c r="PC397" s="2">
        <v>-0.2</v>
      </c>
      <c r="PD397" s="2">
        <v>0.8</v>
      </c>
      <c r="PE397" s="2">
        <v>0.8</v>
      </c>
      <c r="PF397" s="2">
        <v>-0.6</v>
      </c>
      <c r="PG397" s="2">
        <v>-0.3</v>
      </c>
      <c r="PH397" s="2">
        <v>0.1</v>
      </c>
      <c r="PI397" s="2">
        <v>1.6</v>
      </c>
    </row>
    <row r="398">
      <c r="A398" t="inlineStr">
        <is>
          <t>A130396494W</t>
        </is>
      </c>
      <c r="B398" t="inlineStr">
        <is>
          <t>Percentage Change from Previous Period ;  Household textiles ;  Australia ;</t>
        </is>
      </c>
      <c r="C398" t="inlineStr">
        <is>
          <t>Month</t>
        </is>
      </c>
      <c r="D398" t="inlineStr">
        <is>
          <t>Percent</t>
        </is>
      </c>
      <c r="E398" t="inlineStr">
        <is>
          <t>Original</t>
        </is>
      </c>
      <c r="F398" t="inlineStr">
        <is>
          <t>640103.xlsx</t>
        </is>
      </c>
      <c r="G398" t="inlineStr">
        <is>
          <t>2024-05</t>
        </is>
      </c>
      <c r="H398" t="inlineStr">
        <is>
          <t>2026-07</t>
        </is>
      </c>
      <c r="OA398" s="2">
        <v>0.1</v>
      </c>
      <c r="OB398" s="2">
        <v>-6.3</v>
      </c>
      <c r="OC398" s="2">
        <v>7.7</v>
      </c>
      <c r="OD398" s="2">
        <v>4.9</v>
      </c>
      <c r="OE398" s="2">
        <v>-5.2</v>
      </c>
      <c r="OF398" s="2">
        <v>-1.9</v>
      </c>
      <c r="OG398" s="2">
        <v>6.4</v>
      </c>
      <c r="OH398" s="2">
        <v>-11.8</v>
      </c>
      <c r="OM398" s="2">
        <v>2.7</v>
      </c>
      <c r="ON398" s="2">
        <v>5.8</v>
      </c>
      <c r="OO398" s="2">
        <v>0.2</v>
      </c>
      <c r="OP398" s="2">
        <v>-2.3</v>
      </c>
      <c r="OQ398" s="2">
        <v>2.1</v>
      </c>
      <c r="OR398" s="2">
        <v>-7</v>
      </c>
      <c r="OS398" s="2">
        <v>10</v>
      </c>
      <c r="OT398" s="2">
        <v>-0.9</v>
      </c>
      <c r="OU398" s="2">
        <v>-1.5</v>
      </c>
      <c r="OV398" s="2">
        <v>1.7</v>
      </c>
      <c r="OW398" s="2">
        <v>-0.9</v>
      </c>
      <c r="OX398" s="2">
        <v>-3.9</v>
      </c>
      <c r="PC398" s="2">
        <v>-1.6</v>
      </c>
      <c r="PD398" s="2">
        <v>5.2</v>
      </c>
      <c r="PE398" s="2">
        <v>-2.2</v>
      </c>
      <c r="PF398" s="2">
        <v>-1.7</v>
      </c>
      <c r="PG398" s="2">
        <v>-1.2</v>
      </c>
      <c r="PH398" s="2">
        <v>-2.9</v>
      </c>
      <c r="PI398" s="2">
        <v>11.5</v>
      </c>
    </row>
    <row r="399">
      <c r="A399" t="inlineStr">
        <is>
          <t>A130395381J</t>
        </is>
      </c>
      <c r="B399" t="inlineStr">
        <is>
          <t>Percentage Change from Previous Period ;  Household textiles ;  Australia ;</t>
        </is>
      </c>
      <c r="C399" t="inlineStr">
        <is>
          <t>Month</t>
        </is>
      </c>
      <c r="D399" t="inlineStr">
        <is>
          <t>Percent</t>
        </is>
      </c>
      <c r="E399" t="inlineStr">
        <is>
          <t>Original</t>
        </is>
      </c>
      <c r="F399" t="inlineStr">
        <is>
          <t>640103.xlsx</t>
        </is>
      </c>
      <c r="G399" t="inlineStr">
        <is>
          <t>2024-05</t>
        </is>
      </c>
      <c r="H399" t="inlineStr">
        <is>
          <t>2026-07</t>
        </is>
      </c>
      <c r="OA399" s="2">
        <v>0.1</v>
      </c>
      <c r="OB399" s="2">
        <v>-6.3</v>
      </c>
      <c r="OC399" s="2">
        <v>7.7</v>
      </c>
      <c r="OD399" s="2">
        <v>4.9</v>
      </c>
      <c r="OE399" s="2">
        <v>-5.2</v>
      </c>
      <c r="OF399" s="2">
        <v>-1.9</v>
      </c>
      <c r="OG399" s="2">
        <v>6.4</v>
      </c>
      <c r="OH399" s="2">
        <v>-11.8</v>
      </c>
      <c r="OM399" s="2">
        <v>2.7</v>
      </c>
      <c r="ON399" s="2">
        <v>5.8</v>
      </c>
      <c r="OO399" s="2">
        <v>0.2</v>
      </c>
      <c r="OP399" s="2">
        <v>-2.3</v>
      </c>
      <c r="OQ399" s="2">
        <v>2.1</v>
      </c>
      <c r="OR399" s="2">
        <v>-7</v>
      </c>
      <c r="OS399" s="2">
        <v>10</v>
      </c>
      <c r="OT399" s="2">
        <v>-0.9</v>
      </c>
      <c r="OU399" s="2">
        <v>-1.5</v>
      </c>
      <c r="OV399" s="2">
        <v>1.7</v>
      </c>
      <c r="OW399" s="2">
        <v>-0.9</v>
      </c>
      <c r="OX399" s="2">
        <v>-3.9</v>
      </c>
      <c r="PC399" s="2">
        <v>-1.6</v>
      </c>
      <c r="PD399" s="2">
        <v>5.2</v>
      </c>
      <c r="PE399" s="2">
        <v>-2.2</v>
      </c>
      <c r="PF399" s="2">
        <v>-1.7</v>
      </c>
      <c r="PG399" s="2">
        <v>-1.2</v>
      </c>
      <c r="PH399" s="2">
        <v>-2.9</v>
      </c>
      <c r="PI399" s="2">
        <v>11.5</v>
      </c>
    </row>
    <row r="400">
      <c r="A400" t="inlineStr">
        <is>
          <t>A130398518R</t>
        </is>
      </c>
      <c r="B400" t="inlineStr">
        <is>
          <t>Percentage Change from Previous Period ;  Household appliances, utensils and tools ;  Australia ;</t>
        </is>
      </c>
      <c r="C400" t="inlineStr">
        <is>
          <t>Month</t>
        </is>
      </c>
      <c r="D400" t="inlineStr">
        <is>
          <t>Percent</t>
        </is>
      </c>
      <c r="E400" t="inlineStr">
        <is>
          <t>Original</t>
        </is>
      </c>
      <c r="F400" t="inlineStr">
        <is>
          <t>640103.xlsx</t>
        </is>
      </c>
      <c r="G400" t="inlineStr">
        <is>
          <t>2024-05</t>
        </is>
      </c>
      <c r="H400" t="inlineStr">
        <is>
          <t>2026-07</t>
        </is>
      </c>
      <c r="OA400" s="2">
        <v>0</v>
      </c>
      <c r="OB400" s="2">
        <v>-2.3</v>
      </c>
      <c r="OC400" s="2">
        <v>3.4</v>
      </c>
      <c r="OD400" s="2">
        <v>0.3</v>
      </c>
      <c r="OE400" s="2">
        <v>-2</v>
      </c>
      <c r="OF400" s="2">
        <v>1.5</v>
      </c>
      <c r="OG400" s="2">
        <v>-0.6</v>
      </c>
      <c r="OH400" s="2">
        <v>-3</v>
      </c>
      <c r="OM400" s="2">
        <v>1.7</v>
      </c>
      <c r="ON400" s="2">
        <v>-0.3</v>
      </c>
      <c r="OO400" s="2">
        <v>-1.8</v>
      </c>
      <c r="OP400" s="2">
        <v>3</v>
      </c>
      <c r="OQ400" s="2">
        <v>-0.6</v>
      </c>
      <c r="OR400" s="2">
        <v>-1.6</v>
      </c>
      <c r="OS400" s="2">
        <v>1.8</v>
      </c>
      <c r="OT400" s="2">
        <v>3.1</v>
      </c>
      <c r="OU400" s="2">
        <v>-3.1</v>
      </c>
      <c r="OV400" s="2">
        <v>1.1</v>
      </c>
      <c r="OW400" s="2">
        <v>-0.9</v>
      </c>
      <c r="OX400" s="2">
        <v>-4</v>
      </c>
      <c r="PC400" s="2">
        <v>3.4</v>
      </c>
      <c r="PD400" s="2">
        <v>0.4</v>
      </c>
      <c r="PE400" s="2">
        <v>-2.2</v>
      </c>
      <c r="PF400" s="2">
        <v>1.6</v>
      </c>
      <c r="PG400" s="2">
        <v>0.7</v>
      </c>
      <c r="PH400" s="2">
        <v>-1.9</v>
      </c>
      <c r="PI400" s="2">
        <v>3</v>
      </c>
    </row>
    <row r="401">
      <c r="A401" t="inlineStr">
        <is>
          <t>A130399508C</t>
        </is>
      </c>
      <c r="B401" t="inlineStr">
        <is>
          <t>Percentage Change from Previous Period ;  Major household appliances ;  Australia ;</t>
        </is>
      </c>
      <c r="C401" t="inlineStr">
        <is>
          <t>Month</t>
        </is>
      </c>
      <c r="D401" t="inlineStr">
        <is>
          <t>Percent</t>
        </is>
      </c>
      <c r="E401" t="inlineStr">
        <is>
          <t>Original</t>
        </is>
      </c>
      <c r="F401" t="inlineStr">
        <is>
          <t>640103.xlsx</t>
        </is>
      </c>
      <c r="G401" t="inlineStr">
        <is>
          <t>2024-05</t>
        </is>
      </c>
      <c r="H401" t="inlineStr">
        <is>
          <t>2026-07</t>
        </is>
      </c>
      <c r="OA401" s="2">
        <v>-0.8</v>
      </c>
      <c r="OB401" s="2">
        <v>-1.1</v>
      </c>
      <c r="OC401" s="2">
        <v>1.7</v>
      </c>
      <c r="OD401" s="2">
        <v>-1.1</v>
      </c>
      <c r="OE401" s="2">
        <v>-0.8</v>
      </c>
      <c r="OF401" s="2">
        <v>1.5</v>
      </c>
      <c r="OG401" s="2">
        <v>-0.2</v>
      </c>
      <c r="OH401" s="2">
        <v>-3.2</v>
      </c>
      <c r="OM401" s="2">
        <v>1.3</v>
      </c>
      <c r="ON401" s="2">
        <v>0.5</v>
      </c>
      <c r="OO401" s="2">
        <v>-1.6</v>
      </c>
      <c r="OP401" s="2">
        <v>2.5</v>
      </c>
      <c r="OQ401" s="2">
        <v>1.8</v>
      </c>
      <c r="OR401" s="2">
        <v>0</v>
      </c>
      <c r="OS401" s="2">
        <v>-1.5</v>
      </c>
      <c r="OT401" s="2">
        <v>0.4</v>
      </c>
      <c r="OU401" s="2">
        <v>-0.4</v>
      </c>
      <c r="OV401" s="2">
        <v>-0.7</v>
      </c>
      <c r="OW401" s="2">
        <v>0.2</v>
      </c>
      <c r="OX401" s="2">
        <v>-3.2</v>
      </c>
      <c r="PC401" s="2">
        <v>2.8</v>
      </c>
      <c r="PD401" s="2">
        <v>0.5</v>
      </c>
      <c r="PE401" s="2">
        <v>-2.4</v>
      </c>
      <c r="PF401" s="2">
        <v>2</v>
      </c>
      <c r="PG401" s="2">
        <v>0.3</v>
      </c>
      <c r="PH401" s="2">
        <v>-2.6</v>
      </c>
      <c r="PI401" s="2">
        <v>4</v>
      </c>
    </row>
    <row r="402">
      <c r="A402" t="inlineStr">
        <is>
          <t>A130391251L</t>
        </is>
      </c>
      <c r="B402" t="inlineStr">
        <is>
          <t>Percentage Change from Previous Period ;  Small electric household appliances ;  Australia ;</t>
        </is>
      </c>
      <c r="C402" t="inlineStr">
        <is>
          <t>Month</t>
        </is>
      </c>
      <c r="D402" t="inlineStr">
        <is>
          <t>Percent</t>
        </is>
      </c>
      <c r="E402" t="inlineStr">
        <is>
          <t>Original</t>
        </is>
      </c>
      <c r="F402" t="inlineStr">
        <is>
          <t>640103.xlsx</t>
        </is>
      </c>
      <c r="G402" t="inlineStr">
        <is>
          <t>2024-05</t>
        </is>
      </c>
      <c r="H402" t="inlineStr">
        <is>
          <t>2026-07</t>
        </is>
      </c>
      <c r="OA402" s="2">
        <v>2.6</v>
      </c>
      <c r="OB402" s="2">
        <v>-3.2</v>
      </c>
      <c r="OC402" s="2">
        <v>3.1</v>
      </c>
      <c r="OD402" s="2">
        <v>-0.1</v>
      </c>
      <c r="OE402" s="2">
        <v>-3.6</v>
      </c>
      <c r="OF402" s="2">
        <v>1.3</v>
      </c>
      <c r="OG402" s="2">
        <v>1</v>
      </c>
      <c r="OH402" s="2">
        <v>-5.7</v>
      </c>
      <c r="OM402" s="2">
        <v>3.4</v>
      </c>
      <c r="ON402" s="2">
        <v>1.2</v>
      </c>
      <c r="OO402" s="2">
        <v>-1.8</v>
      </c>
      <c r="OP402" s="2">
        <v>1.8</v>
      </c>
      <c r="OQ402" s="2">
        <v>-0.3</v>
      </c>
      <c r="OR402" s="2">
        <v>-1.7</v>
      </c>
      <c r="OS402" s="2">
        <v>0.7</v>
      </c>
      <c r="OT402" s="2">
        <v>3.8</v>
      </c>
      <c r="OU402" s="2">
        <v>-3.3</v>
      </c>
      <c r="OV402" s="2">
        <v>1.5</v>
      </c>
      <c r="OW402" s="2">
        <v>0.6</v>
      </c>
      <c r="OX402" s="2">
        <v>-5.9</v>
      </c>
      <c r="PC402" s="2">
        <v>1.5</v>
      </c>
      <c r="PD402" s="2">
        <v>3.3</v>
      </c>
      <c r="PE402" s="2">
        <v>-1.7</v>
      </c>
      <c r="PF402" s="2">
        <v>-0.2</v>
      </c>
      <c r="PG402" s="2">
        <v>0.1</v>
      </c>
      <c r="PH402" s="2">
        <v>-0.6</v>
      </c>
      <c r="PI402" s="2">
        <v>1.9</v>
      </c>
    </row>
    <row r="403">
      <c r="A403" t="inlineStr">
        <is>
          <t>A130391265A</t>
        </is>
      </c>
      <c r="B403" t="inlineStr">
        <is>
          <t>Percentage Change from Previous Period ;  Glassware, tableware and household utensils ;  Australia ;</t>
        </is>
      </c>
      <c r="C403" t="inlineStr">
        <is>
          <t>Month</t>
        </is>
      </c>
      <c r="D403" t="inlineStr">
        <is>
          <t>Percent</t>
        </is>
      </c>
      <c r="E403" t="inlineStr">
        <is>
          <t>Original</t>
        </is>
      </c>
      <c r="F403" t="inlineStr">
        <is>
          <t>640103.xlsx</t>
        </is>
      </c>
      <c r="G403" t="inlineStr">
        <is>
          <t>2024-05</t>
        </is>
      </c>
      <c r="H403" t="inlineStr">
        <is>
          <t>2026-07</t>
        </is>
      </c>
      <c r="OA403" s="2">
        <v>-0.9</v>
      </c>
      <c r="OB403" s="2">
        <v>-5.4</v>
      </c>
      <c r="OC403" s="2">
        <v>8.199999999999999</v>
      </c>
      <c r="OD403" s="2">
        <v>2.4</v>
      </c>
      <c r="OE403" s="2">
        <v>-3.3</v>
      </c>
      <c r="OF403" s="2">
        <v>3.8</v>
      </c>
      <c r="OG403" s="2">
        <v>-2.2</v>
      </c>
      <c r="OH403" s="2">
        <v>-4.4</v>
      </c>
      <c r="OM403" s="2">
        <v>2.8</v>
      </c>
      <c r="ON403" s="2">
        <v>-1.3</v>
      </c>
      <c r="OO403" s="2">
        <v>-4.2</v>
      </c>
      <c r="OP403" s="2">
        <v>6.6</v>
      </c>
      <c r="OQ403" s="2">
        <v>-3.7</v>
      </c>
      <c r="OR403" s="2">
        <v>-5</v>
      </c>
      <c r="OS403" s="2">
        <v>8.800000000000001</v>
      </c>
      <c r="OT403" s="2">
        <v>7.9</v>
      </c>
      <c r="OU403" s="2">
        <v>-7.8</v>
      </c>
      <c r="OV403" s="2">
        <v>3.5</v>
      </c>
      <c r="OW403" s="2">
        <v>-3.6</v>
      </c>
      <c r="OX403" s="2">
        <v>-7.1</v>
      </c>
      <c r="PC403" s="2">
        <v>9.6</v>
      </c>
      <c r="PD403" s="2">
        <v>-1.8</v>
      </c>
      <c r="PE403" s="2">
        <v>-3.7</v>
      </c>
      <c r="PF403" s="2">
        <v>2.6</v>
      </c>
      <c r="PG403" s="2">
        <v>1.6</v>
      </c>
      <c r="PH403" s="2">
        <v>-5.1</v>
      </c>
      <c r="PI403" s="2">
        <v>5.4</v>
      </c>
    </row>
    <row r="404">
      <c r="A404" t="inlineStr">
        <is>
          <t>A130392035L</t>
        </is>
      </c>
      <c r="B404" t="inlineStr">
        <is>
          <t>Percentage Change from Previous Period ;  Tools and equipment for house and garden ;  Australia ;</t>
        </is>
      </c>
      <c r="C404" t="inlineStr">
        <is>
          <t>Month</t>
        </is>
      </c>
      <c r="D404" t="inlineStr">
        <is>
          <t>Percent</t>
        </is>
      </c>
      <c r="E404" t="inlineStr">
        <is>
          <t>Original</t>
        </is>
      </c>
      <c r="F404" t="inlineStr">
        <is>
          <t>640103.xlsx</t>
        </is>
      </c>
      <c r="G404" t="inlineStr">
        <is>
          <t>2024-05</t>
        </is>
      </c>
      <c r="H404" t="inlineStr">
        <is>
          <t>2026-07</t>
        </is>
      </c>
      <c r="OA404" s="2">
        <v>-0.2</v>
      </c>
      <c r="OB404" s="2">
        <v>0.2</v>
      </c>
      <c r="OC404" s="2">
        <v>0.7</v>
      </c>
      <c r="OD404" s="2">
        <v>-0.2</v>
      </c>
      <c r="OE404" s="2">
        <v>-0.6</v>
      </c>
      <c r="OF404" s="2">
        <v>-0.7</v>
      </c>
      <c r="OG404" s="2">
        <v>-0.6</v>
      </c>
      <c r="OH404" s="2">
        <v>0.7</v>
      </c>
      <c r="OM404" s="2">
        <v>-0.1</v>
      </c>
      <c r="ON404" s="2">
        <v>-1.1</v>
      </c>
      <c r="OO404" s="2">
        <v>0.2</v>
      </c>
      <c r="OP404" s="2">
        <v>1</v>
      </c>
      <c r="OQ404" s="2">
        <v>-0.1</v>
      </c>
      <c r="OR404" s="2">
        <v>0</v>
      </c>
      <c r="OS404" s="2">
        <v>-0.5</v>
      </c>
      <c r="OT404" s="2">
        <v>0.2</v>
      </c>
      <c r="OU404" s="2">
        <v>-0.5</v>
      </c>
      <c r="OV404" s="2">
        <v>0.1</v>
      </c>
      <c r="OW404" s="2">
        <v>-0.2</v>
      </c>
      <c r="OX404" s="2">
        <v>-0.3</v>
      </c>
      <c r="PC404" s="2">
        <v>-0.3</v>
      </c>
      <c r="PD404" s="2">
        <v>0.5</v>
      </c>
      <c r="PE404" s="2">
        <v>-0.9</v>
      </c>
      <c r="PF404" s="2">
        <v>1.5</v>
      </c>
      <c r="PG404" s="2">
        <v>0.5</v>
      </c>
      <c r="PH404" s="2">
        <v>1.1</v>
      </c>
      <c r="PI404" s="2">
        <v>0.5</v>
      </c>
    </row>
    <row r="405">
      <c r="A405" t="inlineStr">
        <is>
          <t>A130394919F</t>
        </is>
      </c>
      <c r="B405" t="inlineStr">
        <is>
          <t>Percentage Change from Previous Period ;  Non-durable household products ;  Australia ;</t>
        </is>
      </c>
      <c r="C405" t="inlineStr">
        <is>
          <t>Month</t>
        </is>
      </c>
      <c r="D405" t="inlineStr">
        <is>
          <t>Percent</t>
        </is>
      </c>
      <c r="E405" t="inlineStr">
        <is>
          <t>Original</t>
        </is>
      </c>
      <c r="F405" t="inlineStr">
        <is>
          <t>640103.xlsx</t>
        </is>
      </c>
      <c r="G405" t="inlineStr">
        <is>
          <t>2017-10</t>
        </is>
      </c>
      <c r="H405" t="inlineStr">
        <is>
          <t>2026-07</t>
        </is>
      </c>
      <c r="JX405" s="2">
        <v>-1.1</v>
      </c>
      <c r="JY405" s="2">
        <v>0.4</v>
      </c>
      <c r="JZ405" s="2">
        <v>0.6</v>
      </c>
      <c r="KE405" s="2">
        <v>0.4</v>
      </c>
      <c r="KF405" s="2">
        <v>-1.1</v>
      </c>
      <c r="KG405" s="2">
        <v>0.8</v>
      </c>
      <c r="KH405" s="2">
        <v>-0.7</v>
      </c>
      <c r="KI405" s="2">
        <v>-0.2</v>
      </c>
      <c r="KJ405" s="2">
        <v>-0.2</v>
      </c>
      <c r="KK405" s="2">
        <v>0.3</v>
      </c>
      <c r="KL405" s="2">
        <v>-0.3</v>
      </c>
      <c r="KM405" s="2">
        <v>-0.2</v>
      </c>
      <c r="KN405" s="2">
        <v>-0.8</v>
      </c>
      <c r="KO405" s="2">
        <v>0.7</v>
      </c>
      <c r="KP405" s="2">
        <v>0.3</v>
      </c>
      <c r="KU405" s="2">
        <v>-0.2</v>
      </c>
      <c r="KV405" s="2">
        <v>0.3</v>
      </c>
      <c r="KW405" s="2">
        <v>0</v>
      </c>
      <c r="KX405" s="2">
        <v>1.1</v>
      </c>
      <c r="KY405" s="2">
        <v>-0.5</v>
      </c>
      <c r="KZ405" s="2">
        <v>-0.9</v>
      </c>
      <c r="LA405" s="2">
        <v>1.4</v>
      </c>
      <c r="LB405" s="2">
        <v>-0.7</v>
      </c>
      <c r="LC405" s="2">
        <v>-0.5</v>
      </c>
      <c r="LD405" s="2">
        <v>0.2</v>
      </c>
      <c r="LE405" s="2">
        <v>1.1</v>
      </c>
      <c r="LF405" s="2">
        <v>-0.5</v>
      </c>
      <c r="LK405" s="2">
        <v>0</v>
      </c>
      <c r="LL405" s="2">
        <v>0.3</v>
      </c>
      <c r="LM405" s="2">
        <v>6.4</v>
      </c>
      <c r="LN405" s="2">
        <v>4.8</v>
      </c>
      <c r="LO405" s="2">
        <v>-4.5</v>
      </c>
      <c r="LP405" s="2">
        <v>-3.7</v>
      </c>
      <c r="LQ405" s="2">
        <v>1.5</v>
      </c>
      <c r="LR405" s="2">
        <v>-1.6</v>
      </c>
      <c r="LS405" s="2">
        <v>-0.5</v>
      </c>
      <c r="LT405" s="2">
        <v>-0.4</v>
      </c>
      <c r="LU405" s="2">
        <v>-0.3</v>
      </c>
      <c r="LV405" s="2">
        <v>0.5</v>
      </c>
      <c r="MA405" s="2">
        <v>-0.3</v>
      </c>
      <c r="MB405" s="2">
        <v>0.5</v>
      </c>
      <c r="MC405" s="2">
        <v>0.2</v>
      </c>
      <c r="MD405" s="2">
        <v>-0.2</v>
      </c>
      <c r="ME405" s="2">
        <v>-0.2</v>
      </c>
      <c r="MF405" s="2">
        <v>-0.5</v>
      </c>
      <c r="MG405" s="2">
        <v>1.1</v>
      </c>
      <c r="MH405" s="2">
        <v>0.2</v>
      </c>
      <c r="MI405" s="2">
        <v>0.8</v>
      </c>
      <c r="MJ405" s="2">
        <v>0.1</v>
      </c>
      <c r="MK405" s="2">
        <v>0.7</v>
      </c>
      <c r="ML405" s="2">
        <v>1.9</v>
      </c>
      <c r="MQ405" s="2">
        <v>1.5</v>
      </c>
      <c r="MR405" s="2">
        <v>1.8</v>
      </c>
      <c r="MS405" s="2">
        <v>1.1</v>
      </c>
      <c r="MT405" s="2">
        <v>0.6</v>
      </c>
      <c r="MU405" s="2">
        <v>0.9</v>
      </c>
      <c r="MV405" s="2">
        <v>0.1</v>
      </c>
      <c r="MW405" s="2">
        <v>1.1</v>
      </c>
      <c r="MX405" s="2">
        <v>0.8</v>
      </c>
      <c r="MY405" s="2">
        <v>0.8</v>
      </c>
      <c r="MZ405" s="2">
        <v>-0.2</v>
      </c>
      <c r="NA405" s="2">
        <v>2</v>
      </c>
      <c r="NB405" s="2">
        <v>1.1</v>
      </c>
      <c r="NG405" s="2">
        <v>-0.7</v>
      </c>
      <c r="NH405" s="2">
        <v>1.4</v>
      </c>
      <c r="NI405" s="2">
        <v>0.4</v>
      </c>
      <c r="NJ405" s="2">
        <v>-0.1</v>
      </c>
      <c r="NK405" s="2">
        <v>0.5</v>
      </c>
      <c r="NL405" s="2">
        <v>-0.3</v>
      </c>
      <c r="NM405" s="2">
        <v>0.2</v>
      </c>
      <c r="NN405" s="2">
        <v>0.1</v>
      </c>
      <c r="NO405" s="2">
        <v>-0.3</v>
      </c>
      <c r="NP405" s="2">
        <v>-1.5</v>
      </c>
      <c r="NQ405" s="2">
        <v>0.1</v>
      </c>
      <c r="NR405" s="2">
        <v>1.7</v>
      </c>
      <c r="NW405" s="2">
        <v>-0.4</v>
      </c>
      <c r="NX405" s="2">
        <v>-0.5</v>
      </c>
      <c r="NY405" s="2">
        <v>0.8</v>
      </c>
      <c r="NZ405" s="2">
        <v>0.1</v>
      </c>
      <c r="OA405" s="2">
        <v>-0.3</v>
      </c>
      <c r="OB405" s="2">
        <v>-0.2</v>
      </c>
      <c r="OC405" s="2">
        <v>-0.3</v>
      </c>
      <c r="OD405" s="2">
        <v>0.2</v>
      </c>
      <c r="OE405" s="2">
        <v>-0.8</v>
      </c>
      <c r="OF405" s="2">
        <v>-0.6</v>
      </c>
      <c r="OG405" s="2">
        <v>0.1</v>
      </c>
      <c r="OH405" s="2">
        <v>0.7</v>
      </c>
      <c r="OM405" s="2">
        <v>0.4</v>
      </c>
      <c r="ON405" s="2">
        <v>-0.1</v>
      </c>
      <c r="OO405" s="2">
        <v>0.2</v>
      </c>
      <c r="OP405" s="2">
        <v>0.8</v>
      </c>
      <c r="OQ405" s="2">
        <v>-0.5</v>
      </c>
      <c r="OR405" s="2">
        <v>-0.3</v>
      </c>
      <c r="OS405" s="2">
        <v>0.7</v>
      </c>
      <c r="OT405" s="2">
        <v>0</v>
      </c>
      <c r="OU405" s="2">
        <v>-0.5</v>
      </c>
      <c r="OV405" s="2">
        <v>-0.3</v>
      </c>
      <c r="OW405" s="2">
        <v>-0.8</v>
      </c>
      <c r="OX405" s="2">
        <v>1.5</v>
      </c>
      <c r="PC405" s="2">
        <v>-0.8</v>
      </c>
      <c r="PD405" s="2">
        <v>0.1</v>
      </c>
      <c r="PE405" s="2">
        <v>-0.2</v>
      </c>
      <c r="PF405" s="2">
        <v>0.8</v>
      </c>
      <c r="PG405" s="2">
        <v>-0.1</v>
      </c>
      <c r="PH405" s="2">
        <v>-0.3</v>
      </c>
      <c r="PI405" s="2">
        <v>0</v>
      </c>
    </row>
    <row r="406">
      <c r="A406" t="inlineStr">
        <is>
          <t>A130399522X</t>
        </is>
      </c>
      <c r="B406" t="inlineStr">
        <is>
          <t>Percentage Change from Previous Period ;  Cleaning and maintenance products ;  Australia ;</t>
        </is>
      </c>
      <c r="C406" t="inlineStr">
        <is>
          <t>Month</t>
        </is>
      </c>
      <c r="D406" t="inlineStr">
        <is>
          <t>Percent</t>
        </is>
      </c>
      <c r="E406" t="inlineStr">
        <is>
          <t>Original</t>
        </is>
      </c>
      <c r="F406" t="inlineStr">
        <is>
          <t>640103.xlsx</t>
        </is>
      </c>
      <c r="G406" t="inlineStr">
        <is>
          <t>2017-10</t>
        </is>
      </c>
      <c r="H406" t="inlineStr">
        <is>
          <t>2026-07</t>
        </is>
      </c>
      <c r="JX406" s="2">
        <v>0.7</v>
      </c>
      <c r="JY406" s="2">
        <v>-1.8</v>
      </c>
      <c r="JZ406" s="2">
        <v>1.5</v>
      </c>
      <c r="KE406" s="2">
        <v>-1.6</v>
      </c>
      <c r="KF406" s="2">
        <v>0</v>
      </c>
      <c r="KG406" s="2">
        <v>0.7</v>
      </c>
      <c r="KH406" s="2">
        <v>-1.3</v>
      </c>
      <c r="KI406" s="2">
        <v>-1.7</v>
      </c>
      <c r="KJ406" s="2">
        <v>0.3</v>
      </c>
      <c r="KK406" s="2">
        <v>1.2</v>
      </c>
      <c r="KL406" s="2">
        <v>-0.4</v>
      </c>
      <c r="KM406" s="2">
        <v>-0.7</v>
      </c>
      <c r="KN406" s="2">
        <v>1.3</v>
      </c>
      <c r="KO406" s="2">
        <v>-0.3</v>
      </c>
      <c r="KP406" s="2">
        <v>2.3</v>
      </c>
      <c r="KU406" s="2">
        <v>-2.7</v>
      </c>
      <c r="KV406" s="2">
        <v>1.2</v>
      </c>
      <c r="KW406" s="2">
        <v>0.4</v>
      </c>
      <c r="KX406" s="2">
        <v>0.8</v>
      </c>
      <c r="KY406" s="2">
        <v>-0.9</v>
      </c>
      <c r="KZ406" s="2">
        <v>-0.9</v>
      </c>
      <c r="LA406" s="2">
        <v>2.5</v>
      </c>
      <c r="LB406" s="2">
        <v>-1.2</v>
      </c>
      <c r="LC406" s="2">
        <v>-0.6</v>
      </c>
      <c r="LD406" s="2">
        <v>1.2</v>
      </c>
      <c r="LE406" s="2">
        <v>0.5</v>
      </c>
      <c r="LF406" s="2">
        <v>2.4</v>
      </c>
      <c r="LK406" s="2">
        <v>-3.3</v>
      </c>
      <c r="LL406" s="2">
        <v>2.4</v>
      </c>
      <c r="LM406" s="2">
        <v>5.3</v>
      </c>
      <c r="LN406" s="2">
        <v>5.2</v>
      </c>
      <c r="LO406" s="2">
        <v>-5.2</v>
      </c>
      <c r="LP406" s="2">
        <v>-3</v>
      </c>
      <c r="LQ406" s="2">
        <v>0</v>
      </c>
      <c r="LR406" s="2">
        <v>-0.6</v>
      </c>
      <c r="LS406" s="2">
        <v>-0.9</v>
      </c>
      <c r="LT406" s="2">
        <v>0.5</v>
      </c>
      <c r="LU406" s="2">
        <v>1.4</v>
      </c>
      <c r="LV406" s="2">
        <v>2.2</v>
      </c>
      <c r="MA406" s="2">
        <v>-3.2</v>
      </c>
      <c r="MB406" s="2">
        <v>0.9</v>
      </c>
      <c r="MC406" s="2">
        <v>-1.4</v>
      </c>
      <c r="MD406" s="2">
        <v>1</v>
      </c>
      <c r="ME406" s="2">
        <v>0.5</v>
      </c>
      <c r="MF406" s="2">
        <v>-0.8</v>
      </c>
      <c r="MG406" s="2">
        <v>1.2</v>
      </c>
      <c r="MH406" s="2">
        <v>0.2</v>
      </c>
      <c r="MI406" s="2">
        <v>-0.7</v>
      </c>
      <c r="MJ406" s="2">
        <v>0.8</v>
      </c>
      <c r="MK406" s="2">
        <v>0.8</v>
      </c>
      <c r="ML406" s="2">
        <v>3.2</v>
      </c>
      <c r="MQ406" s="2">
        <v>-0.3</v>
      </c>
      <c r="MR406" s="2">
        <v>2.5</v>
      </c>
      <c r="MS406" s="2">
        <v>0.9</v>
      </c>
      <c r="MT406" s="2">
        <v>1.3</v>
      </c>
      <c r="MU406" s="2">
        <v>1.4</v>
      </c>
      <c r="MV406" s="2">
        <v>-0.5</v>
      </c>
      <c r="MW406" s="2">
        <v>0.7</v>
      </c>
      <c r="MX406" s="2">
        <v>0.6</v>
      </c>
      <c r="MY406" s="2">
        <v>1.1</v>
      </c>
      <c r="MZ406" s="2">
        <v>0</v>
      </c>
      <c r="NA406" s="2">
        <v>6.2</v>
      </c>
      <c r="NB406" s="2">
        <v>0.9</v>
      </c>
      <c r="NG406" s="2">
        <v>-1.6</v>
      </c>
      <c r="NH406" s="2">
        <v>0.3</v>
      </c>
      <c r="NI406" s="2">
        <v>0.5</v>
      </c>
      <c r="NJ406" s="2">
        <v>-0.2</v>
      </c>
      <c r="NK406" s="2">
        <v>0.8</v>
      </c>
      <c r="NL406" s="2">
        <v>-0.4</v>
      </c>
      <c r="NM406" s="2">
        <v>0.9</v>
      </c>
      <c r="NN406" s="2">
        <v>-0.5</v>
      </c>
      <c r="NO406" s="2">
        <v>1</v>
      </c>
      <c r="NP406" s="2">
        <v>0.3</v>
      </c>
      <c r="NQ406" s="2">
        <v>-0.3</v>
      </c>
      <c r="NR406" s="2">
        <v>1.4</v>
      </c>
      <c r="NW406" s="2">
        <v>-2.1</v>
      </c>
      <c r="NX406" s="2">
        <v>0.3</v>
      </c>
      <c r="NY406" s="2">
        <v>0.5</v>
      </c>
      <c r="NZ406" s="2">
        <v>-0.9</v>
      </c>
      <c r="OA406" s="2">
        <v>-0.9</v>
      </c>
      <c r="OB406" s="2">
        <v>-0.1</v>
      </c>
      <c r="OC406" s="2">
        <v>1</v>
      </c>
      <c r="OD406" s="2">
        <v>-0.6</v>
      </c>
      <c r="OE406" s="2">
        <v>-0.7</v>
      </c>
      <c r="OF406" s="2">
        <v>0.6</v>
      </c>
      <c r="OG406" s="2">
        <v>-1.3</v>
      </c>
      <c r="OH406" s="2">
        <v>2.4</v>
      </c>
      <c r="OM406" s="2">
        <v>-1.4</v>
      </c>
      <c r="ON406" s="2">
        <v>0.2</v>
      </c>
      <c r="OO406" s="2">
        <v>0.3</v>
      </c>
      <c r="OP406" s="2">
        <v>-0.8</v>
      </c>
      <c r="OQ406" s="2">
        <v>0.2</v>
      </c>
      <c r="OR406" s="2">
        <v>0.4</v>
      </c>
      <c r="OS406" s="2">
        <v>1.8</v>
      </c>
      <c r="OT406" s="2">
        <v>-1.2</v>
      </c>
      <c r="OU406" s="2">
        <v>0.2</v>
      </c>
      <c r="OV406" s="2">
        <v>0.3</v>
      </c>
      <c r="OW406" s="2">
        <v>-1</v>
      </c>
      <c r="OX406" s="2">
        <v>2.9</v>
      </c>
      <c r="PC406" s="2">
        <v>-2</v>
      </c>
      <c r="PD406" s="2">
        <v>-0.8</v>
      </c>
      <c r="PE406" s="2">
        <v>0.1</v>
      </c>
      <c r="PF406" s="2">
        <v>0.3</v>
      </c>
      <c r="PG406" s="2">
        <v>0</v>
      </c>
      <c r="PH406" s="2">
        <v>-0.4</v>
      </c>
      <c r="PI406" s="2">
        <v>2.7</v>
      </c>
    </row>
    <row r="407">
      <c r="A407" t="inlineStr">
        <is>
          <t>A130393533W</t>
        </is>
      </c>
      <c r="B407" t="inlineStr">
        <is>
          <t>Percentage Change from Previous Period ;  Personal care products ;  Australia ;</t>
        </is>
      </c>
      <c r="C407" t="inlineStr">
        <is>
          <t>Month</t>
        </is>
      </c>
      <c r="D407" t="inlineStr">
        <is>
          <t>Percent</t>
        </is>
      </c>
      <c r="E407" t="inlineStr">
        <is>
          <t>Original</t>
        </is>
      </c>
      <c r="F407" t="inlineStr">
        <is>
          <t>640103.xlsx</t>
        </is>
      </c>
      <c r="G407" t="inlineStr">
        <is>
          <t>2017-10</t>
        </is>
      </c>
      <c r="H407" t="inlineStr">
        <is>
          <t>2026-07</t>
        </is>
      </c>
      <c r="JX407" s="2">
        <v>-2.2</v>
      </c>
      <c r="JY407" s="2">
        <v>0.7</v>
      </c>
      <c r="JZ407" s="2">
        <v>1.7</v>
      </c>
      <c r="KE407" s="2">
        <v>0.4</v>
      </c>
      <c r="KF407" s="2">
        <v>-2</v>
      </c>
      <c r="KG407" s="2">
        <v>0.8</v>
      </c>
      <c r="KH407" s="2">
        <v>-1.3</v>
      </c>
      <c r="KI407" s="2">
        <v>0</v>
      </c>
      <c r="KJ407" s="2">
        <v>0.4</v>
      </c>
      <c r="KK407" s="2">
        <v>0.1</v>
      </c>
      <c r="KL407" s="2">
        <v>-0.7</v>
      </c>
      <c r="KM407" s="2">
        <v>0</v>
      </c>
      <c r="KN407" s="2">
        <v>-2</v>
      </c>
      <c r="KO407" s="2">
        <v>0.8</v>
      </c>
      <c r="KP407" s="2">
        <v>1.4</v>
      </c>
      <c r="KU407" s="2">
        <v>0.6</v>
      </c>
      <c r="KV407" s="2">
        <v>-0.4</v>
      </c>
      <c r="KW407" s="2">
        <v>-0.5</v>
      </c>
      <c r="KX407" s="2">
        <v>1.8</v>
      </c>
      <c r="KY407" s="2">
        <v>-0.5</v>
      </c>
      <c r="KZ407" s="2">
        <v>-1.2</v>
      </c>
      <c r="LA407" s="2">
        <v>1.7</v>
      </c>
      <c r="LB407" s="2">
        <v>-1.5</v>
      </c>
      <c r="LC407" s="2">
        <v>0</v>
      </c>
      <c r="LD407" s="2">
        <v>-0.9</v>
      </c>
      <c r="LE407" s="2">
        <v>1.7</v>
      </c>
      <c r="LF407" s="2">
        <v>-0.5</v>
      </c>
      <c r="LK407" s="2">
        <v>1.3</v>
      </c>
      <c r="LL407" s="2">
        <v>-1.2</v>
      </c>
      <c r="LM407" s="2">
        <v>5.4</v>
      </c>
      <c r="LN407" s="2">
        <v>5.1</v>
      </c>
      <c r="LO407" s="2">
        <v>-4.7</v>
      </c>
      <c r="LP407" s="2">
        <v>-3.5</v>
      </c>
      <c r="LQ407" s="2">
        <v>1.7</v>
      </c>
      <c r="LR407" s="2">
        <v>-0.6</v>
      </c>
      <c r="LS407" s="2">
        <v>-0.1</v>
      </c>
      <c r="LT407" s="2">
        <v>-1.4</v>
      </c>
      <c r="LU407" s="2">
        <v>-0.3</v>
      </c>
      <c r="LV407" s="2">
        <v>1.1</v>
      </c>
      <c r="MA407" s="2">
        <v>0.3</v>
      </c>
      <c r="MB407" s="2">
        <v>-0.6</v>
      </c>
      <c r="MC407" s="2">
        <v>-0.2</v>
      </c>
      <c r="MD407" s="2">
        <v>0.7</v>
      </c>
      <c r="ME407" s="2">
        <v>-0.9</v>
      </c>
      <c r="MF407" s="2">
        <v>-0.3</v>
      </c>
      <c r="MG407" s="2">
        <v>0.7</v>
      </c>
      <c r="MH407" s="2">
        <v>1.3</v>
      </c>
      <c r="MI407" s="2">
        <v>0.5</v>
      </c>
      <c r="MJ407" s="2">
        <v>-1.2</v>
      </c>
      <c r="MK407" s="2">
        <v>0.3</v>
      </c>
      <c r="ML407" s="2">
        <v>1.7</v>
      </c>
      <c r="MQ407" s="2">
        <v>1.3</v>
      </c>
      <c r="MR407" s="2">
        <v>-1.1</v>
      </c>
      <c r="MS407" s="2">
        <v>1.6</v>
      </c>
      <c r="MT407" s="2">
        <v>1.4</v>
      </c>
      <c r="MU407" s="2">
        <v>0.6</v>
      </c>
      <c r="MV407" s="2">
        <v>-0.2</v>
      </c>
      <c r="MW407" s="2">
        <v>0.7</v>
      </c>
      <c r="MX407" s="2">
        <v>1.9</v>
      </c>
      <c r="MY407" s="2">
        <v>0.3</v>
      </c>
      <c r="MZ407" s="2">
        <v>-0.8</v>
      </c>
      <c r="NA407" s="2">
        <v>0.9</v>
      </c>
      <c r="NB407" s="2">
        <v>2.7</v>
      </c>
      <c r="NG407" s="2">
        <v>-1.2</v>
      </c>
      <c r="NH407" s="2">
        <v>1.6</v>
      </c>
      <c r="NI407" s="2">
        <v>0.4</v>
      </c>
      <c r="NJ407" s="2">
        <v>0.1</v>
      </c>
      <c r="NK407" s="2">
        <v>0.2</v>
      </c>
      <c r="NL407" s="2">
        <v>-0.1</v>
      </c>
      <c r="NM407" s="2">
        <v>0.1</v>
      </c>
      <c r="NN407" s="2">
        <v>0.4</v>
      </c>
      <c r="NO407" s="2">
        <v>0.4</v>
      </c>
      <c r="NP407" s="2">
        <v>-2.5</v>
      </c>
      <c r="NQ407" s="2">
        <v>0.4</v>
      </c>
      <c r="NR407" s="2">
        <v>3.1</v>
      </c>
      <c r="NW407" s="2">
        <v>-0.2</v>
      </c>
      <c r="NX407" s="2">
        <v>-1.5</v>
      </c>
      <c r="NY407" s="2">
        <v>1.4</v>
      </c>
      <c r="NZ407" s="2">
        <v>-0.8</v>
      </c>
      <c r="OA407" s="2">
        <v>0.1</v>
      </c>
      <c r="OB407" s="2">
        <v>-0.1</v>
      </c>
      <c r="OC407" s="2">
        <v>-0.3</v>
      </c>
      <c r="OD407" s="2">
        <v>0.4</v>
      </c>
      <c r="OE407" s="2">
        <v>-1.3</v>
      </c>
      <c r="OF407" s="2">
        <v>-0.8</v>
      </c>
      <c r="OG407" s="2">
        <v>-0.3</v>
      </c>
      <c r="OH407" s="2">
        <v>1.1</v>
      </c>
      <c r="OM407" s="2">
        <v>1.8</v>
      </c>
      <c r="ON407" s="2">
        <v>-0.4</v>
      </c>
      <c r="OO407" s="2">
        <v>0.1</v>
      </c>
      <c r="OP407" s="2">
        <v>1.4</v>
      </c>
      <c r="OQ407" s="2">
        <v>-1.5</v>
      </c>
      <c r="OR407" s="2">
        <v>-0.5</v>
      </c>
      <c r="OS407" s="2">
        <v>1.3</v>
      </c>
      <c r="OT407" s="2">
        <v>0.3</v>
      </c>
      <c r="OU407" s="2">
        <v>-0.4</v>
      </c>
      <c r="OV407" s="2">
        <v>-0.8</v>
      </c>
      <c r="OW407" s="2">
        <v>-0.6</v>
      </c>
      <c r="OX407" s="2">
        <v>2.8</v>
      </c>
      <c r="PC407" s="2">
        <v>-0.6</v>
      </c>
      <c r="PD407" s="2">
        <v>0.2</v>
      </c>
      <c r="PE407" s="2">
        <v>-0.9</v>
      </c>
      <c r="PF407" s="2">
        <v>1.5</v>
      </c>
      <c r="PG407" s="2">
        <v>-1</v>
      </c>
      <c r="PH407" s="2">
        <v>-0.3</v>
      </c>
      <c r="PI407" s="2">
        <v>-1.1</v>
      </c>
    </row>
    <row r="408">
      <c r="A408" t="inlineStr">
        <is>
          <t>A130391118A</t>
        </is>
      </c>
      <c r="B408" t="inlineStr">
        <is>
          <t>Percentage Change from Previous Period ;  Other non-durable household products ;  Australia ;</t>
        </is>
      </c>
      <c r="C408" t="inlineStr">
        <is>
          <t>Month</t>
        </is>
      </c>
      <c r="D408" t="inlineStr">
        <is>
          <t>Percent</t>
        </is>
      </c>
      <c r="E408" t="inlineStr">
        <is>
          <t>Original</t>
        </is>
      </c>
      <c r="F408" t="inlineStr">
        <is>
          <t>640103.xlsx</t>
        </is>
      </c>
      <c r="G408" t="inlineStr">
        <is>
          <t>2017-10</t>
        </is>
      </c>
      <c r="H408" t="inlineStr">
        <is>
          <t>2026-07</t>
        </is>
      </c>
      <c r="JX408" s="2">
        <v>-0.6</v>
      </c>
      <c r="JY408" s="2">
        <v>0.5</v>
      </c>
      <c r="JZ408" s="2">
        <v>-0.4</v>
      </c>
      <c r="KE408" s="2">
        <v>0.8</v>
      </c>
      <c r="KF408" s="2">
        <v>-0.6</v>
      </c>
      <c r="KG408" s="2">
        <v>0.7</v>
      </c>
      <c r="KH408" s="2">
        <v>0</v>
      </c>
      <c r="KI408" s="2">
        <v>-0.1</v>
      </c>
      <c r="KJ408" s="2">
        <v>-0.8</v>
      </c>
      <c r="KK408" s="2">
        <v>0.2</v>
      </c>
      <c r="KL408" s="2">
        <v>0</v>
      </c>
      <c r="KM408" s="2">
        <v>-0.4</v>
      </c>
      <c r="KN408" s="2">
        <v>-0.3</v>
      </c>
      <c r="KO408" s="2">
        <v>0.9</v>
      </c>
      <c r="KP408" s="2">
        <v>-0.9</v>
      </c>
      <c r="KU408" s="2">
        <v>-0.3</v>
      </c>
      <c r="KV408" s="2">
        <v>0.6</v>
      </c>
      <c r="KW408" s="2">
        <v>0.4</v>
      </c>
      <c r="KX408" s="2">
        <v>0.6</v>
      </c>
      <c r="KY408" s="2">
        <v>-0.5</v>
      </c>
      <c r="KZ408" s="2">
        <v>-0.7</v>
      </c>
      <c r="LA408" s="2">
        <v>0.9</v>
      </c>
      <c r="LB408" s="2">
        <v>0.2</v>
      </c>
      <c r="LC408" s="2">
        <v>-0.9</v>
      </c>
      <c r="LD408" s="2">
        <v>0.9</v>
      </c>
      <c r="LE408" s="2">
        <v>0.8</v>
      </c>
      <c r="LF408" s="2">
        <v>-1</v>
      </c>
      <c r="LK408" s="2">
        <v>-0.3</v>
      </c>
      <c r="LL408" s="2">
        <v>1</v>
      </c>
      <c r="LM408" s="2">
        <v>7.3</v>
      </c>
      <c r="LN408" s="2">
        <v>4.6</v>
      </c>
      <c r="LO408" s="2">
        <v>-4.3</v>
      </c>
      <c r="LP408" s="2">
        <v>-3.9</v>
      </c>
      <c r="LQ408" s="2">
        <v>1.6</v>
      </c>
      <c r="LR408" s="2">
        <v>-2.4</v>
      </c>
      <c r="LS408" s="2">
        <v>-0.6</v>
      </c>
      <c r="LT408" s="2">
        <v>0.2</v>
      </c>
      <c r="LU408" s="2">
        <v>-0.5</v>
      </c>
      <c r="LV408" s="2">
        <v>-0.3</v>
      </c>
      <c r="MA408" s="2">
        <v>-0.1</v>
      </c>
      <c r="MB408" s="2">
        <v>1.2</v>
      </c>
      <c r="MC408" s="2">
        <v>0.8</v>
      </c>
      <c r="MD408" s="2">
        <v>-1</v>
      </c>
      <c r="ME408" s="2">
        <v>0.1</v>
      </c>
      <c r="MF408" s="2">
        <v>-0.6</v>
      </c>
      <c r="MG408" s="2">
        <v>1.4</v>
      </c>
      <c r="MH408" s="2">
        <v>-0.5</v>
      </c>
      <c r="MI408" s="2">
        <v>1.3</v>
      </c>
      <c r="MJ408" s="2">
        <v>0.9</v>
      </c>
      <c r="MK408" s="2">
        <v>0.9</v>
      </c>
      <c r="ML408" s="2">
        <v>1.9</v>
      </c>
      <c r="MQ408" s="2">
        <v>2</v>
      </c>
      <c r="MR408" s="2">
        <v>3.8</v>
      </c>
      <c r="MS408" s="2">
        <v>0.8</v>
      </c>
      <c r="MT408" s="2">
        <v>0</v>
      </c>
      <c r="MU408" s="2">
        <v>1.1</v>
      </c>
      <c r="MV408" s="2">
        <v>0.4</v>
      </c>
      <c r="MW408" s="2">
        <v>1.4</v>
      </c>
      <c r="MX408" s="2">
        <v>0.1</v>
      </c>
      <c r="MY408" s="2">
        <v>1</v>
      </c>
      <c r="MZ408" s="2">
        <v>0.1</v>
      </c>
      <c r="NA408" s="2">
        <v>2.1</v>
      </c>
      <c r="NB408" s="2">
        <v>0.1</v>
      </c>
      <c r="NG408" s="2">
        <v>-0.1</v>
      </c>
      <c r="NH408" s="2">
        <v>1.4</v>
      </c>
      <c r="NI408" s="2">
        <v>0.3</v>
      </c>
      <c r="NJ408" s="2">
        <v>-0.1</v>
      </c>
      <c r="NK408" s="2">
        <v>0.5</v>
      </c>
      <c r="NL408" s="2">
        <v>-0.5</v>
      </c>
      <c r="NM408" s="2">
        <v>0.1</v>
      </c>
      <c r="NN408" s="2">
        <v>0.1</v>
      </c>
      <c r="NO408" s="2">
        <v>-1.1</v>
      </c>
      <c r="NP408" s="2">
        <v>-1.2</v>
      </c>
      <c r="NQ408" s="2">
        <v>-0.1</v>
      </c>
      <c r="NR408" s="2">
        <v>0.9</v>
      </c>
      <c r="NW408" s="2">
        <v>-0.3</v>
      </c>
      <c r="NX408" s="2">
        <v>0.1</v>
      </c>
      <c r="NY408" s="2">
        <v>0.4</v>
      </c>
      <c r="NZ408" s="2">
        <v>0.9</v>
      </c>
      <c r="OA408" s="2">
        <v>-0.4</v>
      </c>
      <c r="OB408" s="2">
        <v>-0.2</v>
      </c>
      <c r="OC408" s="2">
        <v>-0.5</v>
      </c>
      <c r="OD408" s="2">
        <v>0.2</v>
      </c>
      <c r="OE408" s="2">
        <v>-0.5</v>
      </c>
      <c r="OF408" s="2">
        <v>-0.8</v>
      </c>
      <c r="OG408" s="2">
        <v>0.6</v>
      </c>
      <c r="OH408" s="2">
        <v>0.2</v>
      </c>
      <c r="OM408" s="2">
        <v>-0.3</v>
      </c>
      <c r="ON408" s="2">
        <v>0</v>
      </c>
      <c r="OO408" s="2">
        <v>0.2</v>
      </c>
      <c r="OP408" s="2">
        <v>0.7</v>
      </c>
      <c r="OQ408" s="2">
        <v>0</v>
      </c>
      <c r="OR408" s="2">
        <v>-0.3</v>
      </c>
      <c r="OS408" s="2">
        <v>0</v>
      </c>
      <c r="OT408" s="2">
        <v>0</v>
      </c>
      <c r="OU408" s="2">
        <v>-0.7</v>
      </c>
      <c r="OV408" s="2">
        <v>-0.1</v>
      </c>
      <c r="OW408" s="2">
        <v>-0.9</v>
      </c>
      <c r="OX408" s="2">
        <v>0.3</v>
      </c>
      <c r="PC408" s="2">
        <v>-0.8</v>
      </c>
      <c r="PD408" s="2">
        <v>0.2</v>
      </c>
      <c r="PE408" s="2">
        <v>0.3</v>
      </c>
      <c r="PF408" s="2">
        <v>0.3</v>
      </c>
      <c r="PG408" s="2">
        <v>0.5</v>
      </c>
      <c r="PH408" s="2">
        <v>-0.3</v>
      </c>
      <c r="PI408" s="2">
        <v>0.3</v>
      </c>
    </row>
    <row r="409">
      <c r="A409" t="inlineStr">
        <is>
          <t>A130397341A</t>
        </is>
      </c>
      <c r="B409" t="inlineStr">
        <is>
          <t>Percentage Change from Previous Period ;  Domestic and household services ;  Australia ;</t>
        </is>
      </c>
      <c r="C409" t="inlineStr">
        <is>
          <t>Month</t>
        </is>
      </c>
      <c r="D409" t="inlineStr">
        <is>
          <t>Percent</t>
        </is>
      </c>
      <c r="E409" t="inlineStr">
        <is>
          <t>Original</t>
        </is>
      </c>
      <c r="F409" t="inlineStr">
        <is>
          <t>640103.xlsx</t>
        </is>
      </c>
      <c r="G409" t="inlineStr">
        <is>
          <t>2024-05</t>
        </is>
      </c>
      <c r="H409" t="inlineStr">
        <is>
          <t>2026-07</t>
        </is>
      </c>
      <c r="OA409" s="2">
        <v>-0.1</v>
      </c>
      <c r="OB409" s="2">
        <v>0.4</v>
      </c>
      <c r="OC409" s="2">
        <v>0.6</v>
      </c>
      <c r="OD409" s="2">
        <v>2</v>
      </c>
      <c r="OE409" s="2">
        <v>0.7</v>
      </c>
      <c r="OF409" s="2">
        <v>0.4</v>
      </c>
      <c r="OG409" s="2">
        <v>0.3</v>
      </c>
      <c r="OH409" s="2">
        <v>0.3</v>
      </c>
      <c r="OM409" s="2">
        <v>0</v>
      </c>
      <c r="ON409" s="2">
        <v>0</v>
      </c>
      <c r="OO409" s="2">
        <v>0.7</v>
      </c>
      <c r="OP409" s="2">
        <v>-0.2</v>
      </c>
      <c r="OQ409" s="2">
        <v>-0.1</v>
      </c>
      <c r="OR409" s="2">
        <v>0.5</v>
      </c>
      <c r="OS409" s="2">
        <v>0.6</v>
      </c>
      <c r="OT409" s="2">
        <v>1.8</v>
      </c>
      <c r="OU409" s="2">
        <v>0.2</v>
      </c>
      <c r="OV409" s="2">
        <v>0.6</v>
      </c>
      <c r="OW409" s="2">
        <v>0.5</v>
      </c>
      <c r="OX409" s="2">
        <v>0.5</v>
      </c>
      <c r="PC409" s="2">
        <v>0</v>
      </c>
      <c r="PD409" s="2">
        <v>-0.4</v>
      </c>
      <c r="PE409" s="2">
        <v>0.8</v>
      </c>
      <c r="PF409" s="2">
        <v>0.1</v>
      </c>
      <c r="PG409" s="2">
        <v>-0.1</v>
      </c>
      <c r="PH409" s="2">
        <v>0.3</v>
      </c>
      <c r="PI409" s="2">
        <v>0.5</v>
      </c>
    </row>
    <row r="410">
      <c r="A410" t="inlineStr">
        <is>
          <t>A130390061F</t>
        </is>
      </c>
      <c r="B410" t="inlineStr">
        <is>
          <t>Percentage Change from Previous Period ;  Child care ;  Australia ;</t>
        </is>
      </c>
      <c r="C410" t="inlineStr">
        <is>
          <t>Month</t>
        </is>
      </c>
      <c r="D410" t="inlineStr">
        <is>
          <t>Percent</t>
        </is>
      </c>
      <c r="E410" t="inlineStr">
        <is>
          <t>Original</t>
        </is>
      </c>
      <c r="F410" t="inlineStr">
        <is>
          <t>640103.xlsx</t>
        </is>
      </c>
      <c r="G410" t="inlineStr">
        <is>
          <t>2024-05</t>
        </is>
      </c>
      <c r="H410" t="inlineStr">
        <is>
          <t>2026-07</t>
        </is>
      </c>
      <c r="OA410" s="2">
        <v>-0.4</v>
      </c>
      <c r="OB410" s="2">
        <v>0.9</v>
      </c>
      <c r="OC410" s="2">
        <v>0.3</v>
      </c>
      <c r="OD410" s="2">
        <v>5.9</v>
      </c>
      <c r="OE410" s="2">
        <v>1.5</v>
      </c>
      <c r="OF410" s="2">
        <v>0.6</v>
      </c>
      <c r="OG410" s="2">
        <v>0.3</v>
      </c>
      <c r="OH410" s="2">
        <v>0.4</v>
      </c>
      <c r="OM410" s="2">
        <v>-0.4</v>
      </c>
      <c r="ON410" s="2">
        <v>0.5</v>
      </c>
      <c r="OO410" s="2">
        <v>1.7</v>
      </c>
      <c r="OP410" s="2">
        <v>-0.4</v>
      </c>
      <c r="OQ410" s="2">
        <v>-0.7</v>
      </c>
      <c r="OR410" s="2">
        <v>2.1</v>
      </c>
      <c r="OS410" s="2">
        <v>0.4</v>
      </c>
      <c r="OT410" s="2">
        <v>4.3</v>
      </c>
      <c r="OU410" s="2">
        <v>1</v>
      </c>
      <c r="OV410" s="2">
        <v>1.1</v>
      </c>
      <c r="OW410" s="2">
        <v>0.6</v>
      </c>
      <c r="OX410" s="2">
        <v>0.5</v>
      </c>
      <c r="PC410" s="2">
        <v>-0.2</v>
      </c>
      <c r="PD410" s="2">
        <v>-1.6</v>
      </c>
      <c r="PE410" s="2">
        <v>1.7</v>
      </c>
      <c r="PF410" s="2">
        <v>-0.4</v>
      </c>
      <c r="PG410" s="2">
        <v>-0.4</v>
      </c>
      <c r="PH410" s="2">
        <v>0.3</v>
      </c>
      <c r="PI410" s="2">
        <v>0.2</v>
      </c>
    </row>
    <row r="411">
      <c r="A411" t="inlineStr">
        <is>
          <t>A130393547K</t>
        </is>
      </c>
      <c r="B411" t="inlineStr">
        <is>
          <t>Percentage Change from Previous Period ;  Hairdressing and personal grooming services ;  Australia ;</t>
        </is>
      </c>
      <c r="C411" t="inlineStr">
        <is>
          <t>Month</t>
        </is>
      </c>
      <c r="D411" t="inlineStr">
        <is>
          <t>Percent</t>
        </is>
      </c>
      <c r="E411" t="inlineStr">
        <is>
          <t>Original</t>
        </is>
      </c>
      <c r="F411" t="inlineStr">
        <is>
          <t>640103.xlsx</t>
        </is>
      </c>
      <c r="G411" t="inlineStr">
        <is>
          <t>2024-05</t>
        </is>
      </c>
      <c r="H411" t="inlineStr">
        <is>
          <t>2026-07</t>
        </is>
      </c>
      <c r="OA411" s="2">
        <v>0.5</v>
      </c>
      <c r="OB411" s="2">
        <v>0.4</v>
      </c>
      <c r="OC411" s="2">
        <v>0.7</v>
      </c>
      <c r="OD411" s="2">
        <v>0.5</v>
      </c>
      <c r="OE411" s="2">
        <v>0.4</v>
      </c>
      <c r="OF411" s="2">
        <v>0.2</v>
      </c>
      <c r="OG411" s="2">
        <v>0.4</v>
      </c>
      <c r="OH411" s="2">
        <v>0.2</v>
      </c>
      <c r="OM411" s="2">
        <v>0.1</v>
      </c>
      <c r="ON411" s="2">
        <v>0</v>
      </c>
      <c r="OO411" s="2">
        <v>0.1</v>
      </c>
      <c r="OP411" s="2">
        <v>0.1</v>
      </c>
      <c r="OQ411" s="2">
        <v>0.3</v>
      </c>
      <c r="OR411" s="2">
        <v>0</v>
      </c>
      <c r="OS411" s="2">
        <v>0.4</v>
      </c>
      <c r="OT411" s="2">
        <v>0.3</v>
      </c>
      <c r="OU411" s="2">
        <v>0.6</v>
      </c>
      <c r="OV411" s="2">
        <v>0.3</v>
      </c>
      <c r="OW411" s="2">
        <v>0.4</v>
      </c>
      <c r="OX411" s="2">
        <v>0.5</v>
      </c>
      <c r="PC411" s="2">
        <v>0.2</v>
      </c>
      <c r="PD411" s="2">
        <v>0.3</v>
      </c>
      <c r="PE411" s="2">
        <v>0.5</v>
      </c>
      <c r="PF411" s="2">
        <v>0</v>
      </c>
      <c r="PG411" s="2">
        <v>0.2</v>
      </c>
      <c r="PH411" s="2">
        <v>0.4</v>
      </c>
      <c r="PI411" s="2">
        <v>0.6</v>
      </c>
    </row>
    <row r="412">
      <c r="A412" t="inlineStr">
        <is>
          <t>A130395199L</t>
        </is>
      </c>
      <c r="B412" t="inlineStr">
        <is>
          <t>Percentage Change from Previous Period ;  Other household services ;  Australia ;</t>
        </is>
      </c>
      <c r="C412" t="inlineStr">
        <is>
          <t>Month</t>
        </is>
      </c>
      <c r="D412" t="inlineStr">
        <is>
          <t>Percent</t>
        </is>
      </c>
      <c r="E412" t="inlineStr">
        <is>
          <t>Original</t>
        </is>
      </c>
      <c r="F412" t="inlineStr">
        <is>
          <t>640103.xlsx</t>
        </is>
      </c>
      <c r="G412" t="inlineStr">
        <is>
          <t>2024-05</t>
        </is>
      </c>
      <c r="H412" t="inlineStr">
        <is>
          <t>2026-07</t>
        </is>
      </c>
      <c r="OA412" s="2">
        <v>-0.5</v>
      </c>
      <c r="OB412" s="2">
        <v>0</v>
      </c>
      <c r="OC412" s="2">
        <v>0.8</v>
      </c>
      <c r="OD412" s="2">
        <v>0.1</v>
      </c>
      <c r="OE412" s="2">
        <v>0.4</v>
      </c>
      <c r="OF412" s="2">
        <v>0.7</v>
      </c>
      <c r="OG412" s="2">
        <v>0.2</v>
      </c>
      <c r="OH412" s="2">
        <v>0.4</v>
      </c>
      <c r="OM412" s="2">
        <v>0</v>
      </c>
      <c r="ON412" s="2">
        <v>-0.4</v>
      </c>
      <c r="OO412" s="2">
        <v>0.4</v>
      </c>
      <c r="OP412" s="2">
        <v>-0.3</v>
      </c>
      <c r="OQ412" s="2">
        <v>0</v>
      </c>
      <c r="OR412" s="2">
        <v>-0.4</v>
      </c>
      <c r="OS412" s="2">
        <v>1.1</v>
      </c>
      <c r="OT412" s="2">
        <v>1.3</v>
      </c>
      <c r="OU412" s="2">
        <v>-1.5</v>
      </c>
      <c r="OV412" s="2">
        <v>0.3</v>
      </c>
      <c r="OW412" s="2">
        <v>0.7</v>
      </c>
      <c r="OX412" s="2">
        <v>0.4</v>
      </c>
      <c r="PC412" s="2">
        <v>0</v>
      </c>
      <c r="PD412" s="2">
        <v>0</v>
      </c>
      <c r="PE412" s="2">
        <v>0.2</v>
      </c>
      <c r="PF412" s="2">
        <v>0.8</v>
      </c>
      <c r="PG412" s="2">
        <v>0</v>
      </c>
      <c r="PH412" s="2">
        <v>0.1</v>
      </c>
      <c r="PI412" s="2">
        <v>0.6</v>
      </c>
    </row>
    <row r="413">
      <c r="A413" t="inlineStr">
        <is>
          <t>A130389991C</t>
        </is>
      </c>
      <c r="B413" t="inlineStr">
        <is>
          <t>Percentage Change from Previous Period ;  Health ;  Australia ;</t>
        </is>
      </c>
      <c r="C413" t="inlineStr">
        <is>
          <t>Month</t>
        </is>
      </c>
      <c r="D413" t="inlineStr">
        <is>
          <t>Percent</t>
        </is>
      </c>
      <c r="E413" t="inlineStr">
        <is>
          <t>Original</t>
        </is>
      </c>
      <c r="F413" t="inlineStr">
        <is>
          <t>640103.xlsx</t>
        </is>
      </c>
      <c r="G413" t="inlineStr">
        <is>
          <t>2024-05</t>
        </is>
      </c>
      <c r="H413" t="inlineStr">
        <is>
          <t>2026-07</t>
        </is>
      </c>
      <c r="OA413" s="2">
        <v>0</v>
      </c>
      <c r="OB413" s="2">
        <v>-0.1</v>
      </c>
      <c r="OC413" s="2">
        <v>0</v>
      </c>
      <c r="OD413" s="2">
        <v>-0.1</v>
      </c>
      <c r="OE413" s="2">
        <v>-0.1</v>
      </c>
      <c r="OF413" s="2">
        <v>0.2</v>
      </c>
      <c r="OG413" s="2">
        <v>-0.1</v>
      </c>
      <c r="OH413" s="2">
        <v>-0.3</v>
      </c>
      <c r="OM413" s="2">
        <v>3</v>
      </c>
      <c r="ON413" s="2">
        <v>0.1</v>
      </c>
      <c r="OO413" s="2">
        <v>0</v>
      </c>
      <c r="OP413" s="2">
        <v>1.7</v>
      </c>
      <c r="OQ413" s="2">
        <v>-0.3</v>
      </c>
      <c r="OR413" s="2">
        <v>-0.1</v>
      </c>
      <c r="OS413" s="2">
        <v>0.1</v>
      </c>
      <c r="OT413" s="2">
        <v>0</v>
      </c>
      <c r="OU413" s="2">
        <v>0</v>
      </c>
      <c r="OV413" s="2">
        <v>0</v>
      </c>
      <c r="OW413" s="2">
        <v>-0.5</v>
      </c>
      <c r="OX413" s="2">
        <v>-0.4</v>
      </c>
      <c r="PC413" s="2">
        <v>2.7</v>
      </c>
      <c r="PD413" s="2">
        <v>0.1</v>
      </c>
      <c r="PE413" s="2">
        <v>-0.2</v>
      </c>
      <c r="PF413" s="2">
        <v>2.6</v>
      </c>
      <c r="PG413" s="2">
        <v>-0.5</v>
      </c>
      <c r="PH413" s="2">
        <v>-0.1</v>
      </c>
      <c r="PI413" s="2">
        <v>0.1</v>
      </c>
    </row>
    <row r="414">
      <c r="A414" t="inlineStr">
        <is>
          <t>A130397853F</t>
        </is>
      </c>
      <c r="B414" t="inlineStr">
        <is>
          <t>Percentage Change from Previous Period ;  Medical products, appliances and equipment ;  Australia ;</t>
        </is>
      </c>
      <c r="C414" t="inlineStr">
        <is>
          <t>Month</t>
        </is>
      </c>
      <c r="D414" t="inlineStr">
        <is>
          <t>Percent</t>
        </is>
      </c>
      <c r="E414" t="inlineStr">
        <is>
          <t>Original</t>
        </is>
      </c>
      <c r="F414" t="inlineStr">
        <is>
          <t>640103.xlsx</t>
        </is>
      </c>
      <c r="G414" t="inlineStr">
        <is>
          <t>2024-05</t>
        </is>
      </c>
      <c r="H414" t="inlineStr">
        <is>
          <t>2026-07</t>
        </is>
      </c>
      <c r="OA414" s="2">
        <v>0.1</v>
      </c>
      <c r="OB414" s="2">
        <v>-0.6</v>
      </c>
      <c r="OC414" s="2">
        <v>-0.2</v>
      </c>
      <c r="OD414" s="2">
        <v>-0.3</v>
      </c>
      <c r="OE414" s="2">
        <v>-0.5</v>
      </c>
      <c r="OF414" s="2">
        <v>0.2</v>
      </c>
      <c r="OG414" s="2">
        <v>-0.9</v>
      </c>
      <c r="OH414" s="2">
        <v>-0.9</v>
      </c>
      <c r="OM414" s="2">
        <v>4.9</v>
      </c>
      <c r="ON414" s="2">
        <v>0.5</v>
      </c>
      <c r="OO414" s="2">
        <v>-0.5</v>
      </c>
      <c r="OP414" s="2">
        <v>-0.7</v>
      </c>
      <c r="OQ414" s="2">
        <v>-0.8</v>
      </c>
      <c r="OR414" s="2">
        <v>-0.8</v>
      </c>
      <c r="OS414" s="2">
        <v>-0.1</v>
      </c>
      <c r="OT414" s="2">
        <v>-0.4</v>
      </c>
      <c r="OU414" s="2">
        <v>-0.6</v>
      </c>
      <c r="OV414" s="2">
        <v>0.1</v>
      </c>
      <c r="OW414" s="2">
        <v>-0.9</v>
      </c>
      <c r="OX414" s="2">
        <v>-0.4</v>
      </c>
      <c r="PC414" s="2">
        <v>3.6</v>
      </c>
      <c r="PD414" s="2">
        <v>-0.6</v>
      </c>
      <c r="PE414" s="2">
        <v>1.2</v>
      </c>
      <c r="PF414" s="2">
        <v>-0.4</v>
      </c>
      <c r="PG414" s="2">
        <v>-2.4</v>
      </c>
      <c r="PH414" s="2">
        <v>-0.7</v>
      </c>
      <c r="PI414" s="2">
        <v>0.3</v>
      </c>
    </row>
    <row r="415">
      <c r="A415" t="inlineStr">
        <is>
          <t>A130393519A</t>
        </is>
      </c>
      <c r="B415" t="inlineStr">
        <is>
          <t>Percentage Change from Previous Period ;  Pharmaceutical products ;  Australia ;</t>
        </is>
      </c>
      <c r="C415" t="inlineStr">
        <is>
          <t>Month</t>
        </is>
      </c>
      <c r="D415" t="inlineStr">
        <is>
          <t>Percent</t>
        </is>
      </c>
      <c r="E415" t="inlineStr">
        <is>
          <t>Original</t>
        </is>
      </c>
      <c r="F415" t="inlineStr">
        <is>
          <t>640103.xlsx</t>
        </is>
      </c>
      <c r="G415" t="inlineStr">
        <is>
          <t>2024-05</t>
        </is>
      </c>
      <c r="H415" t="inlineStr">
        <is>
          <t>2026-07</t>
        </is>
      </c>
      <c r="OA415" s="2">
        <v>0.1</v>
      </c>
      <c r="OB415" s="2">
        <v>-0.7</v>
      </c>
      <c r="OC415" s="2">
        <v>-0.3</v>
      </c>
      <c r="OD415" s="2">
        <v>-0.4</v>
      </c>
      <c r="OE415" s="2">
        <v>-0.5</v>
      </c>
      <c r="OF415" s="2">
        <v>0.2</v>
      </c>
      <c r="OG415" s="2">
        <v>-1.1</v>
      </c>
      <c r="OH415" s="2">
        <v>-0.9</v>
      </c>
      <c r="OM415" s="2">
        <v>5.4</v>
      </c>
      <c r="ON415" s="2">
        <v>0.7</v>
      </c>
      <c r="OO415" s="2">
        <v>-0.6</v>
      </c>
      <c r="OP415" s="2">
        <v>-0.9</v>
      </c>
      <c r="OQ415" s="2">
        <v>-0.8</v>
      </c>
      <c r="OR415" s="2">
        <v>-1</v>
      </c>
      <c r="OS415" s="2">
        <v>-0.2</v>
      </c>
      <c r="OT415" s="2">
        <v>-0.5</v>
      </c>
      <c r="OU415" s="2">
        <v>-0.7</v>
      </c>
      <c r="OV415" s="2">
        <v>0.1</v>
      </c>
      <c r="OW415" s="2">
        <v>-1</v>
      </c>
      <c r="OX415" s="2">
        <v>-0.3</v>
      </c>
      <c r="PC415" s="2">
        <v>4.3</v>
      </c>
      <c r="PD415" s="2">
        <v>-0.8</v>
      </c>
      <c r="PE415" s="2">
        <v>1.3</v>
      </c>
      <c r="PF415" s="2">
        <v>-0.5</v>
      </c>
      <c r="PG415" s="2">
        <v>-2.9</v>
      </c>
      <c r="PH415" s="2">
        <v>-0.5</v>
      </c>
      <c r="PI415" s="2">
        <v>-0.1</v>
      </c>
    </row>
    <row r="416">
      <c r="A416" t="inlineStr">
        <is>
          <t>A130393484L</t>
        </is>
      </c>
      <c r="B416" t="inlineStr">
        <is>
          <t>Percentage Change from Previous Period ;  Therapeutic appliances and equipment ;  Australia ;</t>
        </is>
      </c>
      <c r="C416" t="inlineStr">
        <is>
          <t>Month</t>
        </is>
      </c>
      <c r="D416" t="inlineStr">
        <is>
          <t>Percent</t>
        </is>
      </c>
      <c r="E416" t="inlineStr">
        <is>
          <t>Original</t>
        </is>
      </c>
      <c r="F416" t="inlineStr">
        <is>
          <t>640103.xlsx</t>
        </is>
      </c>
      <c r="G416" t="inlineStr">
        <is>
          <t>2024-05</t>
        </is>
      </c>
      <c r="H416" t="inlineStr">
        <is>
          <t>2026-07</t>
        </is>
      </c>
      <c r="OA416" s="2">
        <v>0.3</v>
      </c>
      <c r="OB416" s="2">
        <v>-0.1</v>
      </c>
      <c r="OC416" s="2">
        <v>0.2</v>
      </c>
      <c r="OD416" s="2">
        <v>0</v>
      </c>
      <c r="OE416" s="2">
        <v>0.1</v>
      </c>
      <c r="OF416" s="2">
        <v>0.2</v>
      </c>
      <c r="OG416" s="2">
        <v>-0.2</v>
      </c>
      <c r="OH416" s="2">
        <v>-0.9</v>
      </c>
      <c r="OM416" s="2">
        <v>1.7</v>
      </c>
      <c r="ON416" s="2">
        <v>-0.5</v>
      </c>
      <c r="OO416" s="2">
        <v>0.3</v>
      </c>
      <c r="OP416" s="2">
        <v>1.1</v>
      </c>
      <c r="OQ416" s="2">
        <v>-0.2</v>
      </c>
      <c r="OR416" s="2">
        <v>0.4</v>
      </c>
      <c r="OS416" s="2">
        <v>0.5</v>
      </c>
      <c r="OT416" s="2">
        <v>0.3</v>
      </c>
      <c r="OU416" s="2">
        <v>0.2</v>
      </c>
      <c r="OV416" s="2">
        <v>-0.1</v>
      </c>
      <c r="OW416" s="2">
        <v>0</v>
      </c>
      <c r="OX416" s="2">
        <v>-0.7</v>
      </c>
      <c r="PC416" s="2">
        <v>-0.4</v>
      </c>
      <c r="PD416" s="2">
        <v>0.6</v>
      </c>
      <c r="PE416" s="2">
        <v>0.1</v>
      </c>
      <c r="PF416" s="2">
        <v>0.1</v>
      </c>
      <c r="PG416" s="2">
        <v>0.7</v>
      </c>
      <c r="PH416" s="2">
        <v>-2.3</v>
      </c>
      <c r="PI416" s="2">
        <v>2.6</v>
      </c>
    </row>
    <row r="417">
      <c r="A417" t="inlineStr">
        <is>
          <t>A130390285T</t>
        </is>
      </c>
      <c r="B417" t="inlineStr">
        <is>
          <t>Percentage Change from Previous Period ;  Medical, dental and hospital services ;  Australia ;</t>
        </is>
      </c>
      <c r="C417" t="inlineStr">
        <is>
          <t>Month</t>
        </is>
      </c>
      <c r="D417" t="inlineStr">
        <is>
          <t>Percent</t>
        </is>
      </c>
      <c r="E417" t="inlineStr">
        <is>
          <t>Original</t>
        </is>
      </c>
      <c r="F417" t="inlineStr">
        <is>
          <t>640103.xlsx</t>
        </is>
      </c>
      <c r="G417" t="inlineStr">
        <is>
          <t>2024-05</t>
        </is>
      </c>
      <c r="H417" t="inlineStr">
        <is>
          <t>2026-07</t>
        </is>
      </c>
      <c r="OA417" s="2">
        <v>0</v>
      </c>
      <c r="OB417" s="2">
        <v>0.1</v>
      </c>
      <c r="OC417" s="2">
        <v>0</v>
      </c>
      <c r="OD417" s="2">
        <v>0</v>
      </c>
      <c r="OE417" s="2">
        <v>-0.1</v>
      </c>
      <c r="OF417" s="2">
        <v>0.2</v>
      </c>
      <c r="OG417" s="2">
        <v>0</v>
      </c>
      <c r="OH417" s="2">
        <v>-0.2</v>
      </c>
      <c r="OM417" s="2">
        <v>2.7</v>
      </c>
      <c r="ON417" s="2">
        <v>0</v>
      </c>
      <c r="OO417" s="2">
        <v>0.1</v>
      </c>
      <c r="OP417" s="2">
        <v>2.2</v>
      </c>
      <c r="OQ417" s="2">
        <v>-0.2</v>
      </c>
      <c r="OR417" s="2">
        <v>0</v>
      </c>
      <c r="OS417" s="2">
        <v>0.1</v>
      </c>
      <c r="OT417" s="2">
        <v>0.1</v>
      </c>
      <c r="OU417" s="2">
        <v>0.1</v>
      </c>
      <c r="OV417" s="2">
        <v>0</v>
      </c>
      <c r="OW417" s="2">
        <v>-0.5</v>
      </c>
      <c r="OX417" s="2">
        <v>-0.4</v>
      </c>
      <c r="PC417" s="2">
        <v>2.5</v>
      </c>
      <c r="PD417" s="2">
        <v>0.2</v>
      </c>
      <c r="PE417" s="2">
        <v>-0.4</v>
      </c>
      <c r="PF417" s="2">
        <v>3.2</v>
      </c>
      <c r="PG417" s="2">
        <v>-0.1</v>
      </c>
      <c r="PH417" s="2">
        <v>0</v>
      </c>
      <c r="PI417" s="2">
        <v>0.1</v>
      </c>
    </row>
    <row r="418">
      <c r="A418" t="inlineStr">
        <is>
          <t>A130390922W</t>
        </is>
      </c>
      <c r="B418" t="inlineStr">
        <is>
          <t>Percentage Change from Previous Period ;  Medical and hospital services ;  Australia ;</t>
        </is>
      </c>
      <c r="C418" t="inlineStr">
        <is>
          <t>Month</t>
        </is>
      </c>
      <c r="D418" t="inlineStr">
        <is>
          <t>Percent</t>
        </is>
      </c>
      <c r="E418" t="inlineStr">
        <is>
          <t>Original</t>
        </is>
      </c>
      <c r="F418" t="inlineStr">
        <is>
          <t>640103.xlsx</t>
        </is>
      </c>
      <c r="G418" t="inlineStr">
        <is>
          <t>2024-05</t>
        </is>
      </c>
      <c r="H418" t="inlineStr">
        <is>
          <t>2026-07</t>
        </is>
      </c>
      <c r="OA418" s="2">
        <v>0</v>
      </c>
      <c r="OB418" s="2">
        <v>0.1</v>
      </c>
      <c r="OC418" s="2">
        <v>0</v>
      </c>
      <c r="OD418" s="2">
        <v>-0.1</v>
      </c>
      <c r="OE418" s="2">
        <v>-0.1</v>
      </c>
      <c r="OF418" s="2">
        <v>0.2</v>
      </c>
      <c r="OG418" s="2">
        <v>0</v>
      </c>
      <c r="OH418" s="2">
        <v>-0.3</v>
      </c>
      <c r="OM418" s="2">
        <v>3</v>
      </c>
      <c r="ON418" s="2">
        <v>0</v>
      </c>
      <c r="OO418" s="2">
        <v>0.1</v>
      </c>
      <c r="OP418" s="2">
        <v>2.4</v>
      </c>
      <c r="OQ418" s="2">
        <v>-0.2</v>
      </c>
      <c r="OR418" s="2">
        <v>0</v>
      </c>
      <c r="OS418" s="2">
        <v>0</v>
      </c>
      <c r="OT418" s="2">
        <v>0</v>
      </c>
      <c r="OU418" s="2">
        <v>0.1</v>
      </c>
      <c r="OV418" s="2">
        <v>0</v>
      </c>
      <c r="OW418" s="2">
        <v>-0.5</v>
      </c>
      <c r="OX418" s="2">
        <v>-0.5</v>
      </c>
      <c r="PC418" s="2">
        <v>2.8</v>
      </c>
      <c r="PD418" s="2">
        <v>0.2</v>
      </c>
      <c r="PE418" s="2">
        <v>-0.5</v>
      </c>
      <c r="PF418" s="2">
        <v>3.5</v>
      </c>
      <c r="PG418" s="2">
        <v>-0.2</v>
      </c>
      <c r="PH418" s="2">
        <v>0</v>
      </c>
      <c r="PI418" s="2">
        <v>0</v>
      </c>
    </row>
    <row r="419">
      <c r="A419" t="inlineStr">
        <is>
          <t>A130393498A</t>
        </is>
      </c>
      <c r="B419" t="inlineStr">
        <is>
          <t>Percentage Change from Previous Period ;  Dental services ;  Australia ;</t>
        </is>
      </c>
      <c r="C419" t="inlineStr">
        <is>
          <t>Month</t>
        </is>
      </c>
      <c r="D419" t="inlineStr">
        <is>
          <t>Percent</t>
        </is>
      </c>
      <c r="E419" t="inlineStr">
        <is>
          <t>Original</t>
        </is>
      </c>
      <c r="F419" t="inlineStr">
        <is>
          <t>640103.xlsx</t>
        </is>
      </c>
      <c r="G419" t="inlineStr">
        <is>
          <t>2024-05</t>
        </is>
      </c>
      <c r="H419" t="inlineStr">
        <is>
          <t>2026-07</t>
        </is>
      </c>
      <c r="OA419" s="2">
        <v>0.2</v>
      </c>
      <c r="OB419" s="2">
        <v>0.1</v>
      </c>
      <c r="OC419" s="2">
        <v>0.3</v>
      </c>
      <c r="OD419" s="2">
        <v>0.3</v>
      </c>
      <c r="OE419" s="2">
        <v>0.3</v>
      </c>
      <c r="OF419" s="2">
        <v>0.2</v>
      </c>
      <c r="OG419" s="2">
        <v>0</v>
      </c>
      <c r="OH419" s="2">
        <v>0</v>
      </c>
      <c r="OM419" s="2">
        <v>0.1</v>
      </c>
      <c r="ON419" s="2">
        <v>0.2</v>
      </c>
      <c r="OO419" s="2">
        <v>0.1</v>
      </c>
      <c r="OP419" s="2">
        <v>0.6</v>
      </c>
      <c r="OQ419" s="2">
        <v>0</v>
      </c>
      <c r="OR419" s="2">
        <v>0</v>
      </c>
      <c r="OS419" s="2">
        <v>0.5</v>
      </c>
      <c r="OT419" s="2">
        <v>1.2</v>
      </c>
      <c r="OU419" s="2">
        <v>0.1</v>
      </c>
      <c r="OV419" s="2">
        <v>0.1</v>
      </c>
      <c r="OW419" s="2">
        <v>0</v>
      </c>
      <c r="OX419" s="2">
        <v>0.2</v>
      </c>
      <c r="PC419" s="2">
        <v>0.2</v>
      </c>
      <c r="PD419" s="2">
        <v>0.2</v>
      </c>
      <c r="PE419" s="2">
        <v>0.1</v>
      </c>
      <c r="PF419" s="2">
        <v>0.4</v>
      </c>
      <c r="PG419" s="2">
        <v>0.1</v>
      </c>
      <c r="PH419" s="2">
        <v>0</v>
      </c>
      <c r="PI419" s="2">
        <v>0.9</v>
      </c>
    </row>
    <row r="420">
      <c r="A420" t="inlineStr">
        <is>
          <t>A130396690F</t>
        </is>
      </c>
      <c r="B420" t="inlineStr">
        <is>
          <t>Percentage Change from Previous Period ;  Transport ;  Australia ;</t>
        </is>
      </c>
      <c r="C420" t="inlineStr">
        <is>
          <t>Month</t>
        </is>
      </c>
      <c r="D420" t="inlineStr">
        <is>
          <t>Percent</t>
        </is>
      </c>
      <c r="E420" t="inlineStr">
        <is>
          <t>Original</t>
        </is>
      </c>
      <c r="F420" t="inlineStr">
        <is>
          <t>640103.xlsx</t>
        </is>
      </c>
      <c r="G420" t="inlineStr">
        <is>
          <t>2024-05</t>
        </is>
      </c>
      <c r="H420" t="inlineStr">
        <is>
          <t>2026-07</t>
        </is>
      </c>
      <c r="OA420" s="2">
        <v>-1.7</v>
      </c>
      <c r="OB420" s="2">
        <v>0.2</v>
      </c>
      <c r="OC420" s="2">
        <v>-0.7</v>
      </c>
      <c r="OD420" s="2">
        <v>-1</v>
      </c>
      <c r="OE420" s="2">
        <v>-1.2</v>
      </c>
      <c r="OF420" s="2">
        <v>-0.2</v>
      </c>
      <c r="OG420" s="2">
        <v>0.4</v>
      </c>
      <c r="OH420" s="2">
        <v>1.1</v>
      </c>
      <c r="OM420" s="2">
        <v>-0.2</v>
      </c>
      <c r="ON420" s="2">
        <v>0.6</v>
      </c>
      <c r="OO420" s="2">
        <v>0</v>
      </c>
      <c r="OP420" s="2">
        <v>-0.6</v>
      </c>
      <c r="OQ420" s="2">
        <v>-0.8</v>
      </c>
      <c r="OR420" s="2">
        <v>0.4</v>
      </c>
      <c r="OS420" s="2">
        <v>1.1</v>
      </c>
      <c r="OT420" s="2">
        <v>0.3</v>
      </c>
      <c r="OU420" s="2">
        <v>0.1</v>
      </c>
      <c r="OV420" s="2">
        <v>0.3</v>
      </c>
      <c r="OW420" s="2">
        <v>0.3</v>
      </c>
      <c r="OX420" s="2">
        <v>0</v>
      </c>
      <c r="PC420" s="2">
        <v>-0.7</v>
      </c>
      <c r="PD420" s="2">
        <v>-0.7</v>
      </c>
      <c r="PE420" s="2">
        <v>9.199999999999999</v>
      </c>
      <c r="PF420" s="2">
        <v>-2.7</v>
      </c>
      <c r="PG420" s="2">
        <v>-3.9</v>
      </c>
      <c r="PH420" s="2">
        <v>-2.7</v>
      </c>
      <c r="PI420" s="2">
        <v>2.6</v>
      </c>
    </row>
    <row r="421">
      <c r="A421" t="inlineStr">
        <is>
          <t>A130391790X</t>
        </is>
      </c>
      <c r="B421" t="inlineStr">
        <is>
          <t>Percentage Change from Previous Period ;  Private motoring ;  Australia ;</t>
        </is>
      </c>
      <c r="C421" t="inlineStr">
        <is>
          <t>Month</t>
        </is>
      </c>
      <c r="D421" t="inlineStr">
        <is>
          <t>Percent</t>
        </is>
      </c>
      <c r="E421" t="inlineStr">
        <is>
          <t>Original</t>
        </is>
      </c>
      <c r="F421" t="inlineStr">
        <is>
          <t>640103.xlsx</t>
        </is>
      </c>
      <c r="G421" t="inlineStr">
        <is>
          <t>2024-05</t>
        </is>
      </c>
      <c r="H421" t="inlineStr">
        <is>
          <t>2026-07</t>
        </is>
      </c>
      <c r="OA421" s="2">
        <v>-1.8</v>
      </c>
      <c r="OB421" s="2">
        <v>0.2</v>
      </c>
      <c r="OC421" s="2">
        <v>-0.8</v>
      </c>
      <c r="OD421" s="2">
        <v>-0.9</v>
      </c>
      <c r="OE421" s="2">
        <v>-1.2</v>
      </c>
      <c r="OF421" s="2">
        <v>-0.2</v>
      </c>
      <c r="OG421" s="2">
        <v>0.4</v>
      </c>
      <c r="OH421" s="2">
        <v>1.2</v>
      </c>
      <c r="OM421" s="2">
        <v>-0.2</v>
      </c>
      <c r="ON421" s="2">
        <v>0.5</v>
      </c>
      <c r="OO421" s="2">
        <v>0</v>
      </c>
      <c r="OP421" s="2">
        <v>-0.7</v>
      </c>
      <c r="OQ421" s="2">
        <v>-0.8</v>
      </c>
      <c r="OR421" s="2">
        <v>0.5</v>
      </c>
      <c r="OS421" s="2">
        <v>1</v>
      </c>
      <c r="OT421" s="2">
        <v>0.3</v>
      </c>
      <c r="OU421" s="2">
        <v>0.1</v>
      </c>
      <c r="OV421" s="2">
        <v>0.3</v>
      </c>
      <c r="OW421" s="2">
        <v>0.3</v>
      </c>
      <c r="OX421" s="2">
        <v>0.2</v>
      </c>
      <c r="PC421" s="2">
        <v>-0.7</v>
      </c>
      <c r="PD421" s="2">
        <v>-0.8</v>
      </c>
      <c r="PE421" s="2">
        <v>9.4</v>
      </c>
      <c r="PF421" s="2">
        <v>-2.2</v>
      </c>
      <c r="PG421" s="2">
        <v>-3.9</v>
      </c>
      <c r="PH421" s="2">
        <v>-3.1</v>
      </c>
      <c r="PI421" s="2">
        <v>2.7</v>
      </c>
    </row>
    <row r="422">
      <c r="A422" t="inlineStr">
        <is>
          <t>A130395836T</t>
        </is>
      </c>
      <c r="B422" t="inlineStr">
        <is>
          <t>Percentage Change from Previous Period ;  Motor vehicles ;  Australia ;</t>
        </is>
      </c>
      <c r="C422" t="inlineStr">
        <is>
          <t>Month</t>
        </is>
      </c>
      <c r="D422" t="inlineStr">
        <is>
          <t>Percent</t>
        </is>
      </c>
      <c r="E422" t="inlineStr">
        <is>
          <t>Original</t>
        </is>
      </c>
      <c r="F422" t="inlineStr">
        <is>
          <t>640103.xlsx</t>
        </is>
      </c>
      <c r="G422" t="inlineStr">
        <is>
          <t>2024-05</t>
        </is>
      </c>
      <c r="H422" t="inlineStr">
        <is>
          <t>2026-07</t>
        </is>
      </c>
      <c r="OA422" s="2">
        <v>-0.4</v>
      </c>
      <c r="OB422" s="2">
        <v>-0.5</v>
      </c>
      <c r="OC422" s="2">
        <v>-0.1</v>
      </c>
      <c r="OD422" s="2">
        <v>-0.1</v>
      </c>
      <c r="OE422" s="2">
        <v>-0.2</v>
      </c>
      <c r="OF422" s="2">
        <v>0.2</v>
      </c>
      <c r="OG422" s="2">
        <v>-0.3</v>
      </c>
      <c r="OH422" s="2">
        <v>0.1</v>
      </c>
      <c r="OM422" s="2">
        <v>0</v>
      </c>
      <c r="ON422" s="2">
        <v>0.2</v>
      </c>
      <c r="OO422" s="2">
        <v>0.2</v>
      </c>
      <c r="OP422" s="2">
        <v>0.2</v>
      </c>
      <c r="OQ422" s="2">
        <v>-0.1</v>
      </c>
      <c r="OR422" s="2">
        <v>-1.6</v>
      </c>
      <c r="OS422" s="2">
        <v>2</v>
      </c>
      <c r="OT422" s="2">
        <v>0</v>
      </c>
      <c r="OU422" s="2">
        <v>-0.8</v>
      </c>
      <c r="OV422" s="2">
        <v>0.9</v>
      </c>
      <c r="OW422" s="2">
        <v>-1.6</v>
      </c>
      <c r="OX422" s="2">
        <v>1.8</v>
      </c>
      <c r="PC422" s="2">
        <v>0.4</v>
      </c>
      <c r="PD422" s="2">
        <v>-0.1</v>
      </c>
      <c r="PE422" s="2">
        <v>0.1</v>
      </c>
      <c r="PF422" s="2">
        <v>0.2</v>
      </c>
      <c r="PG422" s="2">
        <v>-1</v>
      </c>
      <c r="PH422" s="2">
        <v>0.3</v>
      </c>
      <c r="PI422" s="2">
        <v>0.6</v>
      </c>
    </row>
    <row r="423">
      <c r="A423" t="inlineStr">
        <is>
          <t>A130393393F</t>
        </is>
      </c>
      <c r="B423" t="inlineStr">
        <is>
          <t>Percentage Change from Previous Period ;  Spare parts and accessories for motor vehicles ;  Australia ;</t>
        </is>
      </c>
      <c r="C423" t="inlineStr">
        <is>
          <t>Month</t>
        </is>
      </c>
      <c r="D423" t="inlineStr">
        <is>
          <t>Percent</t>
        </is>
      </c>
      <c r="E423" t="inlineStr">
        <is>
          <t>Original</t>
        </is>
      </c>
      <c r="F423" t="inlineStr">
        <is>
          <t>640103.xlsx</t>
        </is>
      </c>
      <c r="G423" t="inlineStr">
        <is>
          <t>2024-05</t>
        </is>
      </c>
      <c r="H423" t="inlineStr">
        <is>
          <t>2026-07</t>
        </is>
      </c>
      <c r="OA423" s="2">
        <v>-0.1</v>
      </c>
      <c r="OB423" s="2">
        <v>0.4</v>
      </c>
      <c r="OC423" s="2">
        <v>-0.1</v>
      </c>
      <c r="OD423" s="2">
        <v>0.9</v>
      </c>
      <c r="OE423" s="2">
        <v>-1.1</v>
      </c>
      <c r="OF423" s="2">
        <v>0.8</v>
      </c>
      <c r="OG423" s="2">
        <v>0.2</v>
      </c>
      <c r="OH423" s="2">
        <v>-1.5</v>
      </c>
      <c r="OM423" s="2">
        <v>2</v>
      </c>
      <c r="ON423" s="2">
        <v>0.9</v>
      </c>
      <c r="OO423" s="2">
        <v>1.2</v>
      </c>
      <c r="OP423" s="2">
        <v>-1.1</v>
      </c>
      <c r="OQ423" s="2">
        <v>0.6</v>
      </c>
      <c r="OR423" s="2">
        <v>-1</v>
      </c>
      <c r="OS423" s="2">
        <v>-0.1</v>
      </c>
      <c r="OT423" s="2">
        <v>-0.3</v>
      </c>
      <c r="OU423" s="2">
        <v>-0.8</v>
      </c>
      <c r="OV423" s="2">
        <v>2.1</v>
      </c>
      <c r="OW423" s="2">
        <v>-0.5</v>
      </c>
      <c r="OX423" s="2">
        <v>-2.3</v>
      </c>
      <c r="PC423" s="2">
        <v>1.1</v>
      </c>
      <c r="PD423" s="2">
        <v>0.2</v>
      </c>
      <c r="PE423" s="2">
        <v>0</v>
      </c>
      <c r="PF423" s="2">
        <v>0.1</v>
      </c>
      <c r="PG423" s="2">
        <v>1.1</v>
      </c>
      <c r="PH423" s="2">
        <v>0.7</v>
      </c>
      <c r="PI423" s="2">
        <v>0.3</v>
      </c>
    </row>
    <row r="424">
      <c r="A424" t="inlineStr">
        <is>
          <t>A130398322L</t>
        </is>
      </c>
      <c r="B424" t="inlineStr">
        <is>
          <t>Percentage Change from Previous Period ;  Automotive fuel ;  Australia ;</t>
        </is>
      </c>
      <c r="C424" t="inlineStr">
        <is>
          <t>Month</t>
        </is>
      </c>
      <c r="D424" t="inlineStr">
        <is>
          <t>Percent</t>
        </is>
      </c>
      <c r="E424" t="inlineStr">
        <is>
          <t>Original</t>
        </is>
      </c>
      <c r="F424" t="inlineStr">
        <is>
          <t>640103.xlsx</t>
        </is>
      </c>
      <c r="G424" t="inlineStr">
        <is>
          <t>2017-10</t>
        </is>
      </c>
      <c r="H424" t="inlineStr">
        <is>
          <t>2026-07</t>
        </is>
      </c>
      <c r="JX424" s="2">
        <v>3.9</v>
      </c>
      <c r="JY424" s="2">
        <v>4.7</v>
      </c>
      <c r="JZ424" s="2">
        <v>2.1</v>
      </c>
      <c r="KE424" s="2">
        <v>-1.2</v>
      </c>
      <c r="KF424" s="2">
        <v>-0.5</v>
      </c>
      <c r="KG424" s="2">
        <v>-1.1</v>
      </c>
      <c r="KH424" s="2">
        <v>4.9</v>
      </c>
      <c r="KI424" s="2">
        <v>4</v>
      </c>
      <c r="KJ424" s="2">
        <v>0.7</v>
      </c>
      <c r="KK424" s="2">
        <v>-2</v>
      </c>
      <c r="KL424" s="2">
        <v>0</v>
      </c>
      <c r="KM424" s="2">
        <v>5.2</v>
      </c>
      <c r="KN424" s="2">
        <v>3.2</v>
      </c>
      <c r="KO424" s="2">
        <v>-10.8</v>
      </c>
      <c r="KP424" s="2">
        <v>-4.9</v>
      </c>
      <c r="KU424" s="2">
        <v>-6</v>
      </c>
      <c r="KV424" s="2">
        <v>4.3</v>
      </c>
      <c r="KW424" s="2">
        <v>5.2</v>
      </c>
      <c r="KX424" s="2">
        <v>5.7</v>
      </c>
      <c r="KY424" s="2">
        <v>1.7</v>
      </c>
      <c r="KZ424" s="2">
        <v>-4.7</v>
      </c>
      <c r="LA424" s="2">
        <v>0.3</v>
      </c>
      <c r="LB424" s="2">
        <v>-0.9</v>
      </c>
      <c r="LC424" s="2">
        <v>2.8</v>
      </c>
      <c r="LD424" s="2">
        <v>3.9</v>
      </c>
      <c r="LE424" s="2">
        <v>-2</v>
      </c>
      <c r="LF424" s="2">
        <v>1</v>
      </c>
      <c r="LK424" s="2">
        <v>-0.7</v>
      </c>
      <c r="LL424" s="2">
        <v>-3.4</v>
      </c>
      <c r="LM424" s="2">
        <v>-9.300000000000001</v>
      </c>
      <c r="LN424" s="2">
        <v>-15.9</v>
      </c>
      <c r="LO424" s="2">
        <v>0.9</v>
      </c>
      <c r="LP424" s="2">
        <v>9.1</v>
      </c>
      <c r="LQ424" s="2">
        <v>3.5</v>
      </c>
      <c r="LR424" s="2">
        <v>-1</v>
      </c>
      <c r="LS424" s="2">
        <v>0.6</v>
      </c>
      <c r="LT424" s="2">
        <v>-0.4</v>
      </c>
      <c r="LU424" s="2">
        <v>-1</v>
      </c>
      <c r="LV424" s="2">
        <v>4.6</v>
      </c>
      <c r="MA424" s="2">
        <v>1.7</v>
      </c>
      <c r="MB424" s="2">
        <v>2.6</v>
      </c>
      <c r="MC424" s="2">
        <v>7</v>
      </c>
      <c r="MD424" s="2">
        <v>1.6</v>
      </c>
      <c r="ME424" s="2">
        <v>-0.8</v>
      </c>
      <c r="MF424" s="2">
        <v>-0.3</v>
      </c>
      <c r="MG424" s="2">
        <v>7.1</v>
      </c>
      <c r="MH424" s="2">
        <v>-0.6</v>
      </c>
      <c r="MI424" s="2">
        <v>2.6</v>
      </c>
      <c r="MJ424" s="2">
        <v>5.4</v>
      </c>
      <c r="MK424" s="2">
        <v>1.3</v>
      </c>
      <c r="ML424" s="2">
        <v>-3.3</v>
      </c>
      <c r="MQ424" s="2">
        <v>4.3</v>
      </c>
      <c r="MR424" s="2">
        <v>5.9</v>
      </c>
      <c r="MS424" s="2">
        <v>12.5</v>
      </c>
      <c r="MT424" s="2">
        <v>-13.8</v>
      </c>
      <c r="MU424" s="2">
        <v>11</v>
      </c>
      <c r="MV424" s="2">
        <v>6.8</v>
      </c>
      <c r="MW424" s="2">
        <v>-3.4</v>
      </c>
      <c r="MX424" s="2">
        <v>-11.6</v>
      </c>
      <c r="MY424" s="2">
        <v>-1.8</v>
      </c>
      <c r="MZ424" s="2">
        <v>7.1</v>
      </c>
      <c r="NA424" s="2">
        <v>5.6</v>
      </c>
      <c r="NB424" s="2">
        <v>-8.1</v>
      </c>
      <c r="NG424" s="2">
        <v>1.1</v>
      </c>
      <c r="NH424" s="2">
        <v>4.1</v>
      </c>
      <c r="NI424" s="2">
        <v>-2.2</v>
      </c>
      <c r="NJ424" s="2">
        <v>2.9</v>
      </c>
      <c r="NK424" s="2">
        <v>-6.7</v>
      </c>
      <c r="NL424" s="2">
        <v>3.9</v>
      </c>
      <c r="NM424" s="2">
        <v>-0.2</v>
      </c>
      <c r="NN424" s="2">
        <v>9.1</v>
      </c>
      <c r="NO424" s="2">
        <v>3.3</v>
      </c>
      <c r="NP424" s="2">
        <v>-3</v>
      </c>
      <c r="NQ424" s="2">
        <v>-0.5</v>
      </c>
      <c r="NR424" s="2">
        <v>-5.5</v>
      </c>
      <c r="NW424" s="2">
        <v>-0.9</v>
      </c>
      <c r="NX424" s="2">
        <v>5.2</v>
      </c>
      <c r="NY424" s="2">
        <v>1.5</v>
      </c>
      <c r="NZ424" s="2">
        <v>2.2</v>
      </c>
      <c r="OA424" s="2">
        <v>-5.1</v>
      </c>
      <c r="OB424" s="2">
        <v>1.2</v>
      </c>
      <c r="OC424" s="2">
        <v>-2.6</v>
      </c>
      <c r="OD424" s="2">
        <v>-3.1</v>
      </c>
      <c r="OE424" s="2">
        <v>-3.9</v>
      </c>
      <c r="OF424" s="2">
        <v>0</v>
      </c>
      <c r="OG424" s="2">
        <v>0.9</v>
      </c>
      <c r="OH424" s="2">
        <v>3.8</v>
      </c>
      <c r="OM424" s="2">
        <v>-1.4</v>
      </c>
      <c r="ON424" s="2">
        <v>1.2</v>
      </c>
      <c r="OO424" s="2">
        <v>-0.8</v>
      </c>
      <c r="OP424" s="2">
        <v>-2.5</v>
      </c>
      <c r="OQ424" s="2">
        <v>-3</v>
      </c>
      <c r="OR424" s="2">
        <v>3.6</v>
      </c>
      <c r="OS424" s="2">
        <v>0</v>
      </c>
      <c r="OT424" s="2">
        <v>0.7</v>
      </c>
      <c r="OU424" s="2">
        <v>0.5</v>
      </c>
      <c r="OV424" s="2">
        <v>-0.9</v>
      </c>
      <c r="OW424" s="2">
        <v>2.5</v>
      </c>
      <c r="OX424" s="2">
        <v>-0.5</v>
      </c>
      <c r="PC424" s="2">
        <v>-3.2</v>
      </c>
      <c r="PD424" s="2">
        <v>-3.4</v>
      </c>
      <c r="PE424" s="2">
        <v>32.8</v>
      </c>
      <c r="PF424" s="2">
        <v>-7</v>
      </c>
      <c r="PG424" s="2">
        <v>-11.9</v>
      </c>
      <c r="PH424" s="2">
        <v>-10.9</v>
      </c>
      <c r="PI424" s="2">
        <v>7.5</v>
      </c>
    </row>
    <row r="425">
      <c r="A425" t="inlineStr">
        <is>
          <t>A130392112F</t>
        </is>
      </c>
      <c r="B425" t="inlineStr">
        <is>
          <t>Percentage Change from Previous Period ;  Maintenance and repair of motor vehicles ;  Australia ;</t>
        </is>
      </c>
      <c r="C425" t="inlineStr">
        <is>
          <t>Month</t>
        </is>
      </c>
      <c r="D425" t="inlineStr">
        <is>
          <t>Percent</t>
        </is>
      </c>
      <c r="E425" t="inlineStr">
        <is>
          <t>Original</t>
        </is>
      </c>
      <c r="F425" t="inlineStr">
        <is>
          <t>640103.xlsx</t>
        </is>
      </c>
      <c r="G425" t="inlineStr">
        <is>
          <t>2024-05</t>
        </is>
      </c>
      <c r="H425" t="inlineStr">
        <is>
          <t>2026-07</t>
        </is>
      </c>
      <c r="OA425" s="2">
        <v>0.5</v>
      </c>
      <c r="OB425" s="2">
        <v>-0.3</v>
      </c>
      <c r="OC425" s="2">
        <v>-0.2</v>
      </c>
      <c r="OD425" s="2">
        <v>0.7</v>
      </c>
      <c r="OE425" s="2">
        <v>0.3</v>
      </c>
      <c r="OF425" s="2">
        <v>0.2</v>
      </c>
      <c r="OG425" s="2">
        <v>0.7</v>
      </c>
      <c r="OH425" s="2">
        <v>0.3</v>
      </c>
      <c r="OM425" s="2">
        <v>0.1</v>
      </c>
      <c r="ON425" s="2">
        <v>0.3</v>
      </c>
      <c r="OO425" s="2">
        <v>0.4</v>
      </c>
      <c r="OP425" s="2">
        <v>0.7</v>
      </c>
      <c r="OQ425" s="2">
        <v>0.3</v>
      </c>
      <c r="OR425" s="2">
        <v>0</v>
      </c>
      <c r="OS425" s="2">
        <v>1</v>
      </c>
      <c r="OT425" s="2">
        <v>0.5</v>
      </c>
      <c r="OU425" s="2">
        <v>0.1</v>
      </c>
      <c r="OV425" s="2">
        <v>0.5</v>
      </c>
      <c r="OW425" s="2">
        <v>0.8</v>
      </c>
      <c r="OX425" s="2">
        <v>0</v>
      </c>
      <c r="PC425" s="2">
        <v>0.4</v>
      </c>
      <c r="PD425" s="2">
        <v>1.2</v>
      </c>
      <c r="PE425" s="2">
        <v>0.4</v>
      </c>
      <c r="PF425" s="2">
        <v>0.5</v>
      </c>
      <c r="PG425" s="2">
        <v>0.9</v>
      </c>
      <c r="PH425" s="2">
        <v>0.3</v>
      </c>
      <c r="PI425" s="2">
        <v>0.3</v>
      </c>
    </row>
    <row r="426">
      <c r="A426" t="inlineStr">
        <is>
          <t>A130390852A</t>
        </is>
      </c>
      <c r="B426" t="inlineStr">
        <is>
          <t>Percentage Change from Previous Period ;  Other services in respect of motor vehicles ;  Australia ;</t>
        </is>
      </c>
      <c r="C426" t="inlineStr">
        <is>
          <t>Month</t>
        </is>
      </c>
      <c r="D426" t="inlineStr">
        <is>
          <t>Percent</t>
        </is>
      </c>
      <c r="E426" t="inlineStr">
        <is>
          <t>Original</t>
        </is>
      </c>
      <c r="F426" t="inlineStr">
        <is>
          <t>640103.xlsx</t>
        </is>
      </c>
      <c r="G426" t="inlineStr">
        <is>
          <t>2024-05</t>
        </is>
      </c>
      <c r="H426" t="inlineStr">
        <is>
          <t>2026-07</t>
        </is>
      </c>
      <c r="OA426" s="2">
        <v>0</v>
      </c>
      <c r="OB426" s="2">
        <v>0</v>
      </c>
      <c r="OC426" s="2">
        <v>1.6</v>
      </c>
      <c r="OD426" s="2">
        <v>-0.1</v>
      </c>
      <c r="OE426" s="2">
        <v>1.1</v>
      </c>
      <c r="OF426" s="2">
        <v>-2.7</v>
      </c>
      <c r="OG426" s="2">
        <v>0.3</v>
      </c>
      <c r="OH426" s="2">
        <v>0.1</v>
      </c>
      <c r="OM426" s="2">
        <v>0.7</v>
      </c>
      <c r="ON426" s="2">
        <v>0</v>
      </c>
      <c r="OO426" s="2">
        <v>0.1</v>
      </c>
      <c r="OP426" s="2">
        <v>0.1</v>
      </c>
      <c r="OQ426" s="2">
        <v>0.2</v>
      </c>
      <c r="OR426" s="2">
        <v>0.1</v>
      </c>
      <c r="OS426" s="2">
        <v>2</v>
      </c>
      <c r="OT426" s="2">
        <v>0</v>
      </c>
      <c r="OU426" s="2">
        <v>2.2</v>
      </c>
      <c r="OV426" s="2">
        <v>0</v>
      </c>
      <c r="OW426" s="2">
        <v>0.1</v>
      </c>
      <c r="OX426" s="2">
        <v>0.1</v>
      </c>
      <c r="PC426" s="2">
        <v>0.3</v>
      </c>
      <c r="PD426" s="2">
        <v>0.1</v>
      </c>
      <c r="PE426" s="2">
        <v>0</v>
      </c>
      <c r="PF426" s="2">
        <v>0.3</v>
      </c>
      <c r="PG426" s="2">
        <v>0</v>
      </c>
      <c r="PH426" s="2">
        <v>0</v>
      </c>
      <c r="PI426" s="2">
        <v>2.8</v>
      </c>
    </row>
    <row r="427">
      <c r="A427" t="inlineStr">
        <is>
          <t>A130393120X</t>
        </is>
      </c>
      <c r="B427" t="inlineStr">
        <is>
          <t>Percentage Change from Previous Period ;  Urban transport fares ;  Australia ;</t>
        </is>
      </c>
      <c r="C427" t="inlineStr">
        <is>
          <t>Month</t>
        </is>
      </c>
      <c r="D427" t="inlineStr">
        <is>
          <t>Percent</t>
        </is>
      </c>
      <c r="E427" t="inlineStr">
        <is>
          <t>Original</t>
        </is>
      </c>
      <c r="F427" t="inlineStr">
        <is>
          <t>640103.xlsx</t>
        </is>
      </c>
      <c r="G427" t="inlineStr">
        <is>
          <t>2024-05</t>
        </is>
      </c>
      <c r="H427" t="inlineStr">
        <is>
          <t>2026-07</t>
        </is>
      </c>
      <c r="OA427" s="2">
        <v>0</v>
      </c>
      <c r="OB427" s="2">
        <v>-0.4</v>
      </c>
      <c r="OC427" s="2">
        <v>1.4</v>
      </c>
      <c r="OD427" s="2">
        <v>-5.2</v>
      </c>
      <c r="OE427" s="2">
        <v>-1</v>
      </c>
      <c r="OF427" s="2">
        <v>-0.2</v>
      </c>
      <c r="OG427" s="2">
        <v>-0.1</v>
      </c>
      <c r="OH427" s="2">
        <v>-1.4</v>
      </c>
      <c r="OM427" s="2">
        <v>-0.7</v>
      </c>
      <c r="ON427" s="2">
        <v>3.3</v>
      </c>
      <c r="OO427" s="2">
        <v>0.6</v>
      </c>
      <c r="OP427" s="2">
        <v>0.1</v>
      </c>
      <c r="OQ427" s="2">
        <v>0.1</v>
      </c>
      <c r="OR427" s="2">
        <v>0.1</v>
      </c>
      <c r="OS427" s="2">
        <v>1.8</v>
      </c>
      <c r="OT427" s="2">
        <v>0</v>
      </c>
      <c r="OU427" s="2">
        <v>0</v>
      </c>
      <c r="OV427" s="2">
        <v>-0.1</v>
      </c>
      <c r="OW427" s="2">
        <v>-0.5</v>
      </c>
      <c r="OX427" s="2">
        <v>-5.1</v>
      </c>
      <c r="PC427" s="2">
        <v>-1.9</v>
      </c>
      <c r="PD427" s="2">
        <v>4.3</v>
      </c>
      <c r="PE427" s="2">
        <v>0.3</v>
      </c>
      <c r="PF427" s="2">
        <v>-19.9</v>
      </c>
      <c r="PG427" s="2">
        <v>-0.1</v>
      </c>
      <c r="PH427" s="2">
        <v>12.6</v>
      </c>
      <c r="PI427" s="2">
        <v>0.3</v>
      </c>
    </row>
    <row r="428">
      <c r="A428" t="inlineStr">
        <is>
          <t>A130398364K</t>
        </is>
      </c>
      <c r="B428" t="inlineStr">
        <is>
          <t>Percentage Change from Previous Period ;  Urban transport fares ;  Australia ;</t>
        </is>
      </c>
      <c r="C428" t="inlineStr">
        <is>
          <t>Month</t>
        </is>
      </c>
      <c r="D428" t="inlineStr">
        <is>
          <t>Percent</t>
        </is>
      </c>
      <c r="E428" t="inlineStr">
        <is>
          <t>Original</t>
        </is>
      </c>
      <c r="F428" t="inlineStr">
        <is>
          <t>640103.xlsx</t>
        </is>
      </c>
      <c r="G428" t="inlineStr">
        <is>
          <t>2024-05</t>
        </is>
      </c>
      <c r="H428" t="inlineStr">
        <is>
          <t>2026-07</t>
        </is>
      </c>
      <c r="OA428" s="2">
        <v>0</v>
      </c>
      <c r="OB428" s="2">
        <v>-0.4</v>
      </c>
      <c r="OC428" s="2">
        <v>1.4</v>
      </c>
      <c r="OD428" s="2">
        <v>-5.2</v>
      </c>
      <c r="OE428" s="2">
        <v>-1</v>
      </c>
      <c r="OF428" s="2">
        <v>-0.2</v>
      </c>
      <c r="OG428" s="2">
        <v>-0.1</v>
      </c>
      <c r="OH428" s="2">
        <v>-1.4</v>
      </c>
      <c r="OM428" s="2">
        <v>-0.7</v>
      </c>
      <c r="ON428" s="2">
        <v>3.3</v>
      </c>
      <c r="OO428" s="2">
        <v>0.6</v>
      </c>
      <c r="OP428" s="2">
        <v>0.1</v>
      </c>
      <c r="OQ428" s="2">
        <v>0.1</v>
      </c>
      <c r="OR428" s="2">
        <v>0.1</v>
      </c>
      <c r="OS428" s="2">
        <v>1.8</v>
      </c>
      <c r="OT428" s="2">
        <v>0</v>
      </c>
      <c r="OU428" s="2">
        <v>0</v>
      </c>
      <c r="OV428" s="2">
        <v>-0.1</v>
      </c>
      <c r="OW428" s="2">
        <v>-0.5</v>
      </c>
      <c r="OX428" s="2">
        <v>-5.1</v>
      </c>
      <c r="PC428" s="2">
        <v>-1.9</v>
      </c>
      <c r="PD428" s="2">
        <v>4.3</v>
      </c>
      <c r="PE428" s="2">
        <v>0.3</v>
      </c>
      <c r="PF428" s="2">
        <v>-19.9</v>
      </c>
      <c r="PG428" s="2">
        <v>-0.1</v>
      </c>
      <c r="PH428" s="2">
        <v>12.6</v>
      </c>
      <c r="PI428" s="2">
        <v>0.3</v>
      </c>
    </row>
    <row r="429">
      <c r="A429" t="inlineStr">
        <is>
          <t>A130391293K</t>
        </is>
      </c>
      <c r="B429" t="inlineStr">
        <is>
          <t>Percentage Change from Previous Period ;  Communication ;  Australia ;</t>
        </is>
      </c>
      <c r="C429" t="inlineStr">
        <is>
          <t>Month</t>
        </is>
      </c>
      <c r="D429" t="inlineStr">
        <is>
          <t>Percent</t>
        </is>
      </c>
      <c r="E429" t="inlineStr">
        <is>
          <t>Original</t>
        </is>
      </c>
      <c r="F429" t="inlineStr">
        <is>
          <t>640103.xlsx</t>
        </is>
      </c>
      <c r="G429" t="inlineStr">
        <is>
          <t>2024-05</t>
        </is>
      </c>
      <c r="H429" t="inlineStr">
        <is>
          <t>2026-07</t>
        </is>
      </c>
      <c r="OA429" s="2">
        <v>-0.6</v>
      </c>
      <c r="OB429" s="2">
        <v>-0.7</v>
      </c>
      <c r="OC429" s="2">
        <v>1.7</v>
      </c>
      <c r="OD429" s="2">
        <v>-0.5</v>
      </c>
      <c r="OE429" s="2">
        <v>0</v>
      </c>
      <c r="OF429" s="2">
        <v>0.6</v>
      </c>
      <c r="OG429" s="2">
        <v>-0.1</v>
      </c>
      <c r="OH429" s="2">
        <v>-0.2</v>
      </c>
      <c r="OM429" s="2">
        <v>-0.4</v>
      </c>
      <c r="ON429" s="2">
        <v>0.7</v>
      </c>
      <c r="OO429" s="2">
        <v>-0.1</v>
      </c>
      <c r="OP429" s="2">
        <v>0.3</v>
      </c>
      <c r="OQ429" s="2">
        <v>-0.4</v>
      </c>
      <c r="OR429" s="2">
        <v>-0.8</v>
      </c>
      <c r="OS429" s="2">
        <v>1.5</v>
      </c>
      <c r="OT429" s="2">
        <v>0.7</v>
      </c>
      <c r="OU429" s="2">
        <v>-0.2</v>
      </c>
      <c r="OV429" s="2">
        <v>-0.2</v>
      </c>
      <c r="OW429" s="2">
        <v>0.4</v>
      </c>
      <c r="OX429" s="2">
        <v>-0.4</v>
      </c>
      <c r="PC429" s="2">
        <v>-0.1</v>
      </c>
      <c r="PD429" s="2">
        <v>0.2</v>
      </c>
      <c r="PE429" s="2">
        <v>0.5</v>
      </c>
      <c r="PF429" s="2">
        <v>0.4</v>
      </c>
      <c r="PG429" s="2">
        <v>0.2</v>
      </c>
      <c r="PH429" s="2">
        <v>-0.7</v>
      </c>
      <c r="PI429" s="2">
        <v>1.8</v>
      </c>
    </row>
    <row r="430">
      <c r="A430" t="inlineStr">
        <is>
          <t>A130390481A</t>
        </is>
      </c>
      <c r="B430" t="inlineStr">
        <is>
          <t>Percentage Change from Previous Period ;  Communication ;  Australia ;</t>
        </is>
      </c>
      <c r="C430" t="inlineStr">
        <is>
          <t>Month</t>
        </is>
      </c>
      <c r="D430" t="inlineStr">
        <is>
          <t>Percent</t>
        </is>
      </c>
      <c r="E430" t="inlineStr">
        <is>
          <t>Original</t>
        </is>
      </c>
      <c r="F430" t="inlineStr">
        <is>
          <t>640103.xlsx</t>
        </is>
      </c>
      <c r="G430" t="inlineStr">
        <is>
          <t>2024-05</t>
        </is>
      </c>
      <c r="H430" t="inlineStr">
        <is>
          <t>2026-07</t>
        </is>
      </c>
      <c r="OA430" s="2">
        <v>-0.6</v>
      </c>
      <c r="OB430" s="2">
        <v>-0.7</v>
      </c>
      <c r="OC430" s="2">
        <v>1.7</v>
      </c>
      <c r="OD430" s="2">
        <v>-0.5</v>
      </c>
      <c r="OE430" s="2">
        <v>0</v>
      </c>
      <c r="OF430" s="2">
        <v>0.6</v>
      </c>
      <c r="OG430" s="2">
        <v>-0.1</v>
      </c>
      <c r="OH430" s="2">
        <v>-0.2</v>
      </c>
      <c r="OM430" s="2">
        <v>-0.4</v>
      </c>
      <c r="ON430" s="2">
        <v>0.7</v>
      </c>
      <c r="OO430" s="2">
        <v>-0.1</v>
      </c>
      <c r="OP430" s="2">
        <v>0.3</v>
      </c>
      <c r="OQ430" s="2">
        <v>-0.4</v>
      </c>
      <c r="OR430" s="2">
        <v>-0.8</v>
      </c>
      <c r="OS430" s="2">
        <v>1.5</v>
      </c>
      <c r="OT430" s="2">
        <v>0.7</v>
      </c>
      <c r="OU430" s="2">
        <v>-0.2</v>
      </c>
      <c r="OV430" s="2">
        <v>-0.2</v>
      </c>
      <c r="OW430" s="2">
        <v>0.4</v>
      </c>
      <c r="OX430" s="2">
        <v>-0.4</v>
      </c>
      <c r="PC430" s="2">
        <v>-0.1</v>
      </c>
      <c r="PD430" s="2">
        <v>0.2</v>
      </c>
      <c r="PE430" s="2">
        <v>0.5</v>
      </c>
      <c r="PF430" s="2">
        <v>0.4</v>
      </c>
      <c r="PG430" s="2">
        <v>0.2</v>
      </c>
      <c r="PH430" s="2">
        <v>-0.7</v>
      </c>
      <c r="PI430" s="2">
        <v>1.8</v>
      </c>
    </row>
    <row r="431">
      <c r="A431" t="inlineStr">
        <is>
          <t>A130399550J</t>
        </is>
      </c>
      <c r="B431" t="inlineStr">
        <is>
          <t>Percentage Change from Previous Period ;  Postal services ;  Australia ;</t>
        </is>
      </c>
      <c r="C431" t="inlineStr">
        <is>
          <t>Month</t>
        </is>
      </c>
      <c r="D431" t="inlineStr">
        <is>
          <t>Percent</t>
        </is>
      </c>
      <c r="E431" t="inlineStr">
        <is>
          <t>Original</t>
        </is>
      </c>
      <c r="F431" t="inlineStr">
        <is>
          <t>640103.xlsx</t>
        </is>
      </c>
      <c r="G431" t="inlineStr">
        <is>
          <t>2022-08</t>
        </is>
      </c>
      <c r="H431" t="inlineStr">
        <is>
          <t>2026-07</t>
        </is>
      </c>
      <c r="MX431" s="2">
        <v>0.2</v>
      </c>
      <c r="MY431" s="2">
        <v>0.9</v>
      </c>
      <c r="MZ431" s="2">
        <v>0</v>
      </c>
      <c r="NA431" s="2">
        <v>-0.1</v>
      </c>
      <c r="NB431" s="2">
        <v>-0.4</v>
      </c>
      <c r="NG431" s="2">
        <v>0.5</v>
      </c>
      <c r="NH431" s="2">
        <v>-0.5</v>
      </c>
      <c r="NI431" s="2">
        <v>5.5</v>
      </c>
      <c r="NJ431" s="2">
        <v>-0.9</v>
      </c>
      <c r="NK431" s="2">
        <v>1.4</v>
      </c>
      <c r="NL431" s="2">
        <v>-0.3</v>
      </c>
      <c r="NM431" s="2">
        <v>5.7</v>
      </c>
      <c r="NN431" s="2">
        <v>2.9</v>
      </c>
      <c r="NO431" s="2">
        <v>0.5</v>
      </c>
      <c r="NP431" s="2">
        <v>0.4</v>
      </c>
      <c r="NQ431" s="2">
        <v>0.6</v>
      </c>
      <c r="NR431" s="2">
        <v>0.4</v>
      </c>
      <c r="NW431" s="2">
        <v>-0.4</v>
      </c>
      <c r="NX431" s="2">
        <v>1.3</v>
      </c>
      <c r="NY431" s="2">
        <v>0</v>
      </c>
      <c r="NZ431" s="2">
        <v>0.6</v>
      </c>
      <c r="OA431" s="2">
        <v>-2.2</v>
      </c>
      <c r="OB431" s="2">
        <v>-2.4</v>
      </c>
      <c r="OC431" s="2">
        <v>4.2</v>
      </c>
      <c r="OD431" s="2">
        <v>-0.1</v>
      </c>
      <c r="OE431" s="2">
        <v>-0.2</v>
      </c>
      <c r="OF431" s="2">
        <v>-0.6</v>
      </c>
      <c r="OG431" s="2">
        <v>-0.2</v>
      </c>
      <c r="OH431" s="2">
        <v>-0.1</v>
      </c>
      <c r="OM431" s="2">
        <v>0</v>
      </c>
      <c r="ON431" s="2">
        <v>1.4</v>
      </c>
      <c r="OO431" s="2">
        <v>0.4</v>
      </c>
      <c r="OP431" s="2">
        <v>1.4</v>
      </c>
      <c r="OQ431" s="2">
        <v>-0.2</v>
      </c>
      <c r="OR431" s="2">
        <v>0.3</v>
      </c>
      <c r="OS431" s="2">
        <v>1.1</v>
      </c>
      <c r="OT431" s="2">
        <v>0.2</v>
      </c>
      <c r="OU431" s="2">
        <v>0.4</v>
      </c>
      <c r="OV431" s="2">
        <v>0.6</v>
      </c>
      <c r="OW431" s="2">
        <v>0.1</v>
      </c>
      <c r="OX431" s="2">
        <v>0.2</v>
      </c>
      <c r="PC431" s="2">
        <v>-0.1</v>
      </c>
      <c r="PD431" s="2">
        <v>-0.3</v>
      </c>
      <c r="PE431" s="2">
        <v>3.6</v>
      </c>
      <c r="PF431" s="2">
        <v>6</v>
      </c>
      <c r="PG431" s="2">
        <v>-0.9</v>
      </c>
      <c r="PH431" s="2">
        <v>-2.2</v>
      </c>
      <c r="PI431" s="2">
        <v>-0.7</v>
      </c>
    </row>
    <row r="432">
      <c r="A432" t="inlineStr">
        <is>
          <t>A130398294R</t>
        </is>
      </c>
      <c r="B432" t="inlineStr">
        <is>
          <t>Percentage Change from Previous Period ;  Telecommunication equipment and services ;  Australia ;</t>
        </is>
      </c>
      <c r="C432" t="inlineStr">
        <is>
          <t>Month</t>
        </is>
      </c>
      <c r="D432" t="inlineStr">
        <is>
          <t>Percent</t>
        </is>
      </c>
      <c r="E432" t="inlineStr">
        <is>
          <t>Original</t>
        </is>
      </c>
      <c r="F432" t="inlineStr">
        <is>
          <t>640103.xlsx</t>
        </is>
      </c>
      <c r="G432" t="inlineStr">
        <is>
          <t>2024-05</t>
        </is>
      </c>
      <c r="H432" t="inlineStr">
        <is>
          <t>2026-07</t>
        </is>
      </c>
      <c r="OA432" s="2">
        <v>-0.6</v>
      </c>
      <c r="OB432" s="2">
        <v>-0.6</v>
      </c>
      <c r="OC432" s="2">
        <v>1.5</v>
      </c>
      <c r="OD432" s="2">
        <v>-0.5</v>
      </c>
      <c r="OE432" s="2">
        <v>0.1</v>
      </c>
      <c r="OF432" s="2">
        <v>0.7</v>
      </c>
      <c r="OG432" s="2">
        <v>-0.1</v>
      </c>
      <c r="OH432" s="2">
        <v>-0.2</v>
      </c>
      <c r="OM432" s="2">
        <v>-0.4</v>
      </c>
      <c r="ON432" s="2">
        <v>0.7</v>
      </c>
      <c r="OO432" s="2">
        <v>-0.2</v>
      </c>
      <c r="OP432" s="2">
        <v>0.2</v>
      </c>
      <c r="OQ432" s="2">
        <v>-0.4</v>
      </c>
      <c r="OR432" s="2">
        <v>-0.9</v>
      </c>
      <c r="OS432" s="2">
        <v>1.5</v>
      </c>
      <c r="OT432" s="2">
        <v>0.7</v>
      </c>
      <c r="OU432" s="2">
        <v>-0.2</v>
      </c>
      <c r="OV432" s="2">
        <v>-0.2</v>
      </c>
      <c r="OW432" s="2">
        <v>0.5</v>
      </c>
      <c r="OX432" s="2">
        <v>-0.5</v>
      </c>
      <c r="PC432" s="2">
        <v>-0.1</v>
      </c>
      <c r="PD432" s="2">
        <v>0.2</v>
      </c>
      <c r="PE432" s="2">
        <v>0.3</v>
      </c>
      <c r="PF432" s="2">
        <v>0.1</v>
      </c>
      <c r="PG432" s="2">
        <v>0.2</v>
      </c>
      <c r="PH432" s="2">
        <v>-0.6</v>
      </c>
      <c r="PI432" s="2">
        <v>1.9</v>
      </c>
    </row>
    <row r="433">
      <c r="A433" t="inlineStr">
        <is>
          <t>A130393834A</t>
        </is>
      </c>
      <c r="B433" t="inlineStr">
        <is>
          <t>Percentage Change from Previous Period ;  Recreation and culture ;  Australia ;</t>
        </is>
      </c>
      <c r="C433" t="inlineStr">
        <is>
          <t>Month</t>
        </is>
      </c>
      <c r="D433" t="inlineStr">
        <is>
          <t>Percent</t>
        </is>
      </c>
      <c r="E433" t="inlineStr">
        <is>
          <t>Original</t>
        </is>
      </c>
      <c r="F433" t="inlineStr">
        <is>
          <t>640103.xlsx</t>
        </is>
      </c>
      <c r="G433" t="inlineStr">
        <is>
          <t>2024-05</t>
        </is>
      </c>
      <c r="H433" t="inlineStr">
        <is>
          <t>2026-07</t>
        </is>
      </c>
      <c r="OA433" s="2">
        <v>-1</v>
      </c>
      <c r="OB433" s="2">
        <v>3.2</v>
      </c>
      <c r="OC433" s="2">
        <v>-0.9</v>
      </c>
      <c r="OD433" s="2">
        <v>-0.2</v>
      </c>
      <c r="OE433" s="2">
        <v>1.8</v>
      </c>
      <c r="OF433" s="2">
        <v>-1.5</v>
      </c>
      <c r="OG433" s="2">
        <v>0.1</v>
      </c>
      <c r="OH433" s="2">
        <v>4.9</v>
      </c>
      <c r="OM433" s="2">
        <v>-2.7</v>
      </c>
      <c r="ON433" s="2">
        <v>-3.4</v>
      </c>
      <c r="OO433" s="2">
        <v>0.5</v>
      </c>
      <c r="OP433" s="2">
        <v>2.9</v>
      </c>
      <c r="OQ433" s="2">
        <v>-3</v>
      </c>
      <c r="OR433" s="2">
        <v>0.9</v>
      </c>
      <c r="OS433" s="2">
        <v>2.5</v>
      </c>
      <c r="OT433" s="2">
        <v>-1.3</v>
      </c>
      <c r="OU433" s="2">
        <v>2.2</v>
      </c>
      <c r="OV433" s="2">
        <v>-0.2</v>
      </c>
      <c r="OW433" s="2">
        <v>-1.1</v>
      </c>
      <c r="OX433" s="2">
        <v>7.4</v>
      </c>
      <c r="PC433" s="2">
        <v>-3.4</v>
      </c>
      <c r="PD433" s="2">
        <v>-3</v>
      </c>
      <c r="PE433" s="2">
        <v>-0.7</v>
      </c>
      <c r="PF433" s="2">
        <v>2.6</v>
      </c>
      <c r="PG433" s="2">
        <v>-3.1</v>
      </c>
      <c r="PH433" s="2">
        <v>1.8</v>
      </c>
      <c r="PI433" s="2">
        <v>1.8</v>
      </c>
    </row>
    <row r="434">
      <c r="A434" t="inlineStr">
        <is>
          <t>A130399081C</t>
        </is>
      </c>
      <c r="B434" t="inlineStr">
        <is>
          <t>Percentage Change from Previous Period ;  Audio, visual and computing equipment and services ;  Australia ;</t>
        </is>
      </c>
      <c r="C434" t="inlineStr">
        <is>
          <t>Month</t>
        </is>
      </c>
      <c r="D434" t="inlineStr">
        <is>
          <t>Percent</t>
        </is>
      </c>
      <c r="E434" t="inlineStr">
        <is>
          <t>Original</t>
        </is>
      </c>
      <c r="F434" t="inlineStr">
        <is>
          <t>640103.xlsx</t>
        </is>
      </c>
      <c r="G434" t="inlineStr">
        <is>
          <t>2024-05</t>
        </is>
      </c>
      <c r="H434" t="inlineStr">
        <is>
          <t>2026-07</t>
        </is>
      </c>
      <c r="OA434" s="2">
        <v>1.7</v>
      </c>
      <c r="OB434" s="2">
        <v>-1</v>
      </c>
      <c r="OC434" s="2">
        <v>1.3</v>
      </c>
      <c r="OD434" s="2">
        <v>0.1</v>
      </c>
      <c r="OE434" s="2">
        <v>-0.5</v>
      </c>
      <c r="OF434" s="2">
        <v>-0.3</v>
      </c>
      <c r="OG434" s="2">
        <v>1.1</v>
      </c>
      <c r="OH434" s="2">
        <v>-2</v>
      </c>
      <c r="OM434" s="2">
        <v>0.1</v>
      </c>
      <c r="ON434" s="2">
        <v>0.8</v>
      </c>
      <c r="OO434" s="2">
        <v>0.9</v>
      </c>
      <c r="OP434" s="2">
        <v>0.4</v>
      </c>
      <c r="OQ434" s="2">
        <v>0.9</v>
      </c>
      <c r="OR434" s="2">
        <v>-0.4</v>
      </c>
      <c r="OS434" s="2">
        <v>0.5</v>
      </c>
      <c r="OT434" s="2">
        <v>2.5</v>
      </c>
      <c r="OU434" s="2">
        <v>-0.4</v>
      </c>
      <c r="OV434" s="2">
        <v>-0.1</v>
      </c>
      <c r="OW434" s="2">
        <v>0.4</v>
      </c>
      <c r="OX434" s="2">
        <v>-1.6</v>
      </c>
      <c r="PC434" s="2">
        <v>1.8</v>
      </c>
      <c r="PD434" s="2">
        <v>0.8</v>
      </c>
      <c r="PE434" s="2">
        <v>-0.8</v>
      </c>
      <c r="PF434" s="2">
        <v>0.5</v>
      </c>
      <c r="PG434" s="2">
        <v>0.7</v>
      </c>
      <c r="PH434" s="2">
        <v>-1.4</v>
      </c>
      <c r="PI434" s="2">
        <v>4.2</v>
      </c>
    </row>
    <row r="435">
      <c r="A435" t="inlineStr">
        <is>
          <t>A130397187R</t>
        </is>
      </c>
      <c r="B435" t="inlineStr">
        <is>
          <t>Percentage Change from Previous Period ;  Audio, visual and computing equipment ;  Australia ;</t>
        </is>
      </c>
      <c r="C435" t="inlineStr">
        <is>
          <t>Month</t>
        </is>
      </c>
      <c r="D435" t="inlineStr">
        <is>
          <t>Percent</t>
        </is>
      </c>
      <c r="E435" t="inlineStr">
        <is>
          <t>Original</t>
        </is>
      </c>
      <c r="F435" t="inlineStr">
        <is>
          <t>640103.xlsx</t>
        </is>
      </c>
      <c r="G435" t="inlineStr">
        <is>
          <t>2024-05</t>
        </is>
      </c>
      <c r="H435" t="inlineStr">
        <is>
          <t>2026-07</t>
        </is>
      </c>
      <c r="OA435" s="2">
        <v>0.8</v>
      </c>
      <c r="OB435" s="2">
        <v>-2.5</v>
      </c>
      <c r="OC435" s="2">
        <v>1.6</v>
      </c>
      <c r="OD435" s="2">
        <v>-0.1</v>
      </c>
      <c r="OE435" s="2">
        <v>-1</v>
      </c>
      <c r="OF435" s="2">
        <v>-0.6</v>
      </c>
      <c r="OG435" s="2">
        <v>1.4</v>
      </c>
      <c r="OH435" s="2">
        <v>-3.4</v>
      </c>
      <c r="OM435" s="2">
        <v>0.1</v>
      </c>
      <c r="ON435" s="2">
        <v>0.9</v>
      </c>
      <c r="OO435" s="2">
        <v>0.7</v>
      </c>
      <c r="OP435" s="2">
        <v>0.6</v>
      </c>
      <c r="OQ435" s="2">
        <v>1.4</v>
      </c>
      <c r="OR435" s="2">
        <v>-1.6</v>
      </c>
      <c r="OS435" s="2">
        <v>1.2</v>
      </c>
      <c r="OT435" s="2">
        <v>-0.1</v>
      </c>
      <c r="OU435" s="2">
        <v>-1.4</v>
      </c>
      <c r="OV435" s="2">
        <v>-0.1</v>
      </c>
      <c r="OW435" s="2">
        <v>0.2</v>
      </c>
      <c r="OX435" s="2">
        <v>-3.3</v>
      </c>
      <c r="PC435" s="2">
        <v>3.6</v>
      </c>
      <c r="PD435" s="2">
        <v>0.9</v>
      </c>
      <c r="PE435" s="2">
        <v>-1.8</v>
      </c>
      <c r="PF435" s="2">
        <v>0.5</v>
      </c>
      <c r="PG435" s="2">
        <v>0.3</v>
      </c>
      <c r="PH435" s="2">
        <v>-2.7</v>
      </c>
      <c r="PI435" s="2">
        <v>7.7</v>
      </c>
    </row>
    <row r="436">
      <c r="A436" t="inlineStr">
        <is>
          <t>A130397867V</t>
        </is>
      </c>
      <c r="B436" t="inlineStr">
        <is>
          <t>Percentage Change from Previous Period ;  Audio, visual and computing media and services ;  Australia ;</t>
        </is>
      </c>
      <c r="C436" t="inlineStr">
        <is>
          <t>Month</t>
        </is>
      </c>
      <c r="D436" t="inlineStr">
        <is>
          <t>Percent</t>
        </is>
      </c>
      <c r="E436" t="inlineStr">
        <is>
          <t>Original</t>
        </is>
      </c>
      <c r="F436" t="inlineStr">
        <is>
          <t>640103.xlsx</t>
        </is>
      </c>
      <c r="G436" t="inlineStr">
        <is>
          <t>2024-05</t>
        </is>
      </c>
      <c r="H436" t="inlineStr">
        <is>
          <t>2026-07</t>
        </is>
      </c>
      <c r="OA436" s="2">
        <v>2.9</v>
      </c>
      <c r="OB436" s="2">
        <v>0.9</v>
      </c>
      <c r="OC436" s="2">
        <v>0.9</v>
      </c>
      <c r="OD436" s="2">
        <v>0.3</v>
      </c>
      <c r="OE436" s="2">
        <v>0.2</v>
      </c>
      <c r="OF436" s="2">
        <v>0.1</v>
      </c>
      <c r="OG436" s="2">
        <v>0.8</v>
      </c>
      <c r="OH436" s="2">
        <v>-0.2</v>
      </c>
      <c r="OM436" s="2">
        <v>0</v>
      </c>
      <c r="ON436" s="2">
        <v>0.6</v>
      </c>
      <c r="OO436" s="2">
        <v>1.1</v>
      </c>
      <c r="OP436" s="2">
        <v>0.1</v>
      </c>
      <c r="OQ436" s="2">
        <v>0.3</v>
      </c>
      <c r="OR436" s="2">
        <v>0.8</v>
      </c>
      <c r="OS436" s="2">
        <v>-0.1</v>
      </c>
      <c r="OT436" s="2">
        <v>5.4</v>
      </c>
      <c r="OU436" s="2">
        <v>0.7</v>
      </c>
      <c r="OV436" s="2">
        <v>0</v>
      </c>
      <c r="OW436" s="2">
        <v>0.6</v>
      </c>
      <c r="OX436" s="2">
        <v>0.2</v>
      </c>
      <c r="PC436" s="2">
        <v>0.1</v>
      </c>
      <c r="PD436" s="2">
        <v>0.7</v>
      </c>
      <c r="PE436" s="2">
        <v>0.3</v>
      </c>
      <c r="PF436" s="2">
        <v>0.4</v>
      </c>
      <c r="PG436" s="2">
        <v>1.2</v>
      </c>
      <c r="PH436" s="2">
        <v>-0.2</v>
      </c>
      <c r="PI436" s="2">
        <v>0.7</v>
      </c>
    </row>
    <row r="437">
      <c r="A437" t="inlineStr">
        <is>
          <t>A130394198T</t>
        </is>
      </c>
      <c r="B437" t="inlineStr">
        <is>
          <t>Percentage Change from Previous Period ;  Newspapers, books and stationery ;  Australia ;</t>
        </is>
      </c>
      <c r="C437" t="inlineStr">
        <is>
          <t>Month</t>
        </is>
      </c>
      <c r="D437" t="inlineStr">
        <is>
          <t>Percent</t>
        </is>
      </c>
      <c r="E437" t="inlineStr">
        <is>
          <t>Original</t>
        </is>
      </c>
      <c r="F437" t="inlineStr">
        <is>
          <t>640103.xlsx</t>
        </is>
      </c>
      <c r="G437" t="inlineStr">
        <is>
          <t>2024-05</t>
        </is>
      </c>
      <c r="H437" t="inlineStr">
        <is>
          <t>2026-07</t>
        </is>
      </c>
      <c r="OA437" s="2">
        <v>-0.2</v>
      </c>
      <c r="OB437" s="2">
        <v>0.3</v>
      </c>
      <c r="OC437" s="2">
        <v>0.5</v>
      </c>
      <c r="OD437" s="2">
        <v>0.6</v>
      </c>
      <c r="OE437" s="2">
        <v>-0.9</v>
      </c>
      <c r="OF437" s="2">
        <v>0.5</v>
      </c>
      <c r="OG437" s="2">
        <v>0.3</v>
      </c>
      <c r="OH437" s="2">
        <v>-0.8</v>
      </c>
      <c r="OM437" s="2">
        <v>-0.1</v>
      </c>
      <c r="ON437" s="2">
        <v>1.7</v>
      </c>
      <c r="OO437" s="2">
        <v>-1.3</v>
      </c>
      <c r="OP437" s="2">
        <v>1.2</v>
      </c>
      <c r="OQ437" s="2">
        <v>0.3</v>
      </c>
      <c r="OR437" s="2">
        <v>0.1</v>
      </c>
      <c r="OS437" s="2">
        <v>1.9</v>
      </c>
      <c r="OT437" s="2">
        <v>0</v>
      </c>
      <c r="OU437" s="2">
        <v>-0.5</v>
      </c>
      <c r="OV437" s="2">
        <v>0.1</v>
      </c>
      <c r="OW437" s="2">
        <v>0.9</v>
      </c>
      <c r="OX437" s="2">
        <v>-0.9</v>
      </c>
      <c r="PC437" s="2">
        <v>-0.6</v>
      </c>
      <c r="PD437" s="2">
        <v>2.2</v>
      </c>
      <c r="PE437" s="2">
        <v>-0.1</v>
      </c>
      <c r="PF437" s="2">
        <v>-1.2</v>
      </c>
      <c r="PG437" s="2">
        <v>1.4</v>
      </c>
      <c r="PH437" s="2">
        <v>-0.1</v>
      </c>
      <c r="PI437" s="2">
        <v>1.2</v>
      </c>
    </row>
    <row r="438">
      <c r="A438" t="inlineStr">
        <is>
          <t>A130394954L</t>
        </is>
      </c>
      <c r="B438" t="inlineStr">
        <is>
          <t>Percentage Change from Previous Period ;  Books ;  Australia ;</t>
        </is>
      </c>
      <c r="C438" t="inlineStr">
        <is>
          <t>Month</t>
        </is>
      </c>
      <c r="D438" t="inlineStr">
        <is>
          <t>Percent</t>
        </is>
      </c>
      <c r="E438" t="inlineStr">
        <is>
          <t>Original</t>
        </is>
      </c>
      <c r="F438" t="inlineStr">
        <is>
          <t>640103.xlsx</t>
        </is>
      </c>
      <c r="G438" t="inlineStr">
        <is>
          <t>2024-05</t>
        </is>
      </c>
      <c r="H438" t="inlineStr">
        <is>
          <t>2026-07</t>
        </is>
      </c>
      <c r="OA438" s="2">
        <v>0</v>
      </c>
      <c r="OB438" s="2">
        <v>0.6</v>
      </c>
      <c r="OC438" s="2">
        <v>0.3</v>
      </c>
      <c r="OD438" s="2">
        <v>0.8</v>
      </c>
      <c r="OE438" s="2">
        <v>-3.5</v>
      </c>
      <c r="OF438" s="2">
        <v>0.1</v>
      </c>
      <c r="OG438" s="2">
        <v>0.9</v>
      </c>
      <c r="OH438" s="2">
        <v>-0.8</v>
      </c>
      <c r="OM438" s="2">
        <v>2.7</v>
      </c>
      <c r="ON438" s="2">
        <v>0.2</v>
      </c>
      <c r="OO438" s="2">
        <v>-2.5</v>
      </c>
      <c r="OP438" s="2">
        <v>1.7</v>
      </c>
      <c r="OQ438" s="2">
        <v>0.4</v>
      </c>
      <c r="OR438" s="2">
        <v>-1.9</v>
      </c>
      <c r="OS438" s="2">
        <v>1.9</v>
      </c>
      <c r="OT438" s="2">
        <v>-1</v>
      </c>
      <c r="OU438" s="2">
        <v>-1</v>
      </c>
      <c r="OV438" s="2">
        <v>1.8</v>
      </c>
      <c r="OW438" s="2">
        <v>-0.2</v>
      </c>
      <c r="OX438" s="2">
        <v>-2.3</v>
      </c>
      <c r="PC438" s="2">
        <v>4</v>
      </c>
      <c r="PD438" s="2">
        <v>-0.6</v>
      </c>
      <c r="PE438" s="2">
        <v>-1</v>
      </c>
      <c r="PF438" s="2">
        <v>-3.2</v>
      </c>
      <c r="PG438" s="2">
        <v>3.2</v>
      </c>
      <c r="PH438" s="2">
        <v>-1.1</v>
      </c>
      <c r="PI438" s="2">
        <v>3.7</v>
      </c>
    </row>
    <row r="439">
      <c r="A439" t="inlineStr">
        <is>
          <t>A130392882A</t>
        </is>
      </c>
      <c r="B439" t="inlineStr">
        <is>
          <t>Percentage Change from Previous Period ;  Newspapers, magazines and stationery ;  Australia ;</t>
        </is>
      </c>
      <c r="C439" t="inlineStr">
        <is>
          <t>Month</t>
        </is>
      </c>
      <c r="D439" t="inlineStr">
        <is>
          <t>Percent</t>
        </is>
      </c>
      <c r="E439" t="inlineStr">
        <is>
          <t>Original</t>
        </is>
      </c>
      <c r="F439" t="inlineStr">
        <is>
          <t>640103.xlsx</t>
        </is>
      </c>
      <c r="G439" t="inlineStr">
        <is>
          <t>2024-05</t>
        </is>
      </c>
      <c r="H439" t="inlineStr">
        <is>
          <t>2026-07</t>
        </is>
      </c>
      <c r="OA439" s="2">
        <v>-0.3</v>
      </c>
      <c r="OB439" s="2">
        <v>0.2</v>
      </c>
      <c r="OC439" s="2">
        <v>0.6</v>
      </c>
      <c r="OD439" s="2">
        <v>0.5</v>
      </c>
      <c r="OE439" s="2">
        <v>0.2</v>
      </c>
      <c r="OF439" s="2">
        <v>0.6</v>
      </c>
      <c r="OG439" s="2">
        <v>0</v>
      </c>
      <c r="OH439" s="2">
        <v>-0.8</v>
      </c>
      <c r="OM439" s="2">
        <v>-1.2</v>
      </c>
      <c r="ON439" s="2">
        <v>2.4</v>
      </c>
      <c r="OO439" s="2">
        <v>-0.9</v>
      </c>
      <c r="OP439" s="2">
        <v>1</v>
      </c>
      <c r="OQ439" s="2">
        <v>0.3</v>
      </c>
      <c r="OR439" s="2">
        <v>0.9</v>
      </c>
      <c r="OS439" s="2">
        <v>1.9</v>
      </c>
      <c r="OT439" s="2">
        <v>0.4</v>
      </c>
      <c r="OU439" s="2">
        <v>-0.3</v>
      </c>
      <c r="OV439" s="2">
        <v>-0.6</v>
      </c>
      <c r="OW439" s="2">
        <v>1.3</v>
      </c>
      <c r="OX439" s="2">
        <v>-0.3</v>
      </c>
      <c r="PC439" s="2">
        <v>-2.3</v>
      </c>
      <c r="PD439" s="2">
        <v>3.3</v>
      </c>
      <c r="PE439" s="2">
        <v>0.2</v>
      </c>
      <c r="PF439" s="2">
        <v>-0.4</v>
      </c>
      <c r="PG439" s="2">
        <v>0.8</v>
      </c>
      <c r="PH439" s="2">
        <v>0.2</v>
      </c>
      <c r="PI439" s="2">
        <v>0.3</v>
      </c>
    </row>
    <row r="440">
      <c r="A440" t="inlineStr">
        <is>
          <t>A130391832K</t>
        </is>
      </c>
      <c r="B440" t="inlineStr">
        <is>
          <t>Percentage Change from Previous Period ;  Holiday travel and accommodation ;  Australia ;</t>
        </is>
      </c>
      <c r="C440" t="inlineStr">
        <is>
          <t>Month</t>
        </is>
      </c>
      <c r="D440" t="inlineStr">
        <is>
          <t>Percent</t>
        </is>
      </c>
      <c r="E440" t="inlineStr">
        <is>
          <t>Original</t>
        </is>
      </c>
      <c r="F440" t="inlineStr">
        <is>
          <t>640103.xlsx</t>
        </is>
      </c>
      <c r="G440" t="inlineStr">
        <is>
          <t>2017-10</t>
        </is>
      </c>
      <c r="H440" t="inlineStr">
        <is>
          <t>2026-07</t>
        </is>
      </c>
      <c r="JX440" s="2">
        <v>0.2</v>
      </c>
      <c r="JY440" s="2">
        <v>-1.8</v>
      </c>
      <c r="JZ440" s="2">
        <v>11.9</v>
      </c>
      <c r="KE440" s="2">
        <v>-1.5</v>
      </c>
      <c r="KF440" s="2">
        <v>-8</v>
      </c>
      <c r="KG440" s="2">
        <v>-1</v>
      </c>
      <c r="KH440" s="2">
        <v>5.4</v>
      </c>
      <c r="KI440" s="2">
        <v>-5</v>
      </c>
      <c r="KJ440" s="2">
        <v>1.8</v>
      </c>
      <c r="KK440" s="2">
        <v>8.699999999999999</v>
      </c>
      <c r="KL440" s="2">
        <v>-8.199999999999999</v>
      </c>
      <c r="KM440" s="2">
        <v>3.9</v>
      </c>
      <c r="KN440" s="2">
        <v>0.9</v>
      </c>
      <c r="KO440" s="2">
        <v>-3.3</v>
      </c>
      <c r="KP440" s="2">
        <v>13.4</v>
      </c>
      <c r="KU440" s="2">
        <v>-2.6</v>
      </c>
      <c r="KV440" s="2">
        <v>-9.699999999999999</v>
      </c>
      <c r="KW440" s="2">
        <v>-2.8</v>
      </c>
      <c r="KX440" s="2">
        <v>10.5</v>
      </c>
      <c r="KY440" s="2">
        <v>-7.1</v>
      </c>
      <c r="KZ440" s="2">
        <v>2.8</v>
      </c>
      <c r="LA440" s="2">
        <v>8.199999999999999</v>
      </c>
      <c r="LB440" s="2">
        <v>-6.8</v>
      </c>
      <c r="LC440" s="2">
        <v>1.5</v>
      </c>
      <c r="LD440" s="2">
        <v>2.8</v>
      </c>
      <c r="LE440" s="2">
        <v>-6.1</v>
      </c>
      <c r="LF440" s="2">
        <v>14.7</v>
      </c>
      <c r="LK440" s="2">
        <v>-1.1</v>
      </c>
      <c r="LL440" s="2">
        <v>-13.4</v>
      </c>
      <c r="LM440" s="2">
        <v>1.8</v>
      </c>
      <c r="LN440" s="2">
        <v>2.7</v>
      </c>
      <c r="LO440" s="2">
        <v>-1.9</v>
      </c>
      <c r="LP440" s="2">
        <v>-0.4</v>
      </c>
      <c r="LQ440" s="2">
        <v>6</v>
      </c>
      <c r="LR440" s="2">
        <v>-0.5</v>
      </c>
      <c r="LS440" s="2">
        <v>-9.1</v>
      </c>
      <c r="LT440" s="2">
        <v>-1.1</v>
      </c>
      <c r="LU440" s="2">
        <v>-0.8</v>
      </c>
      <c r="LV440" s="2">
        <v>11.6</v>
      </c>
      <c r="MA440" s="2">
        <v>-2.6</v>
      </c>
      <c r="MB440" s="2">
        <v>-7.9</v>
      </c>
      <c r="MC440" s="2">
        <v>-1.6</v>
      </c>
      <c r="MD440" s="2">
        <v>5.9</v>
      </c>
      <c r="ME440" s="2">
        <v>-6.2</v>
      </c>
      <c r="MF440" s="2">
        <v>4.3</v>
      </c>
      <c r="MG440" s="2">
        <v>-1.4</v>
      </c>
      <c r="MH440" s="2">
        <v>-0.3</v>
      </c>
      <c r="MI440" s="2">
        <v>4.6</v>
      </c>
      <c r="MJ440" s="2">
        <v>1.6</v>
      </c>
      <c r="MK440" s="2">
        <v>-4.1</v>
      </c>
      <c r="ML440" s="2">
        <v>10.7</v>
      </c>
      <c r="MQ440" s="2">
        <v>1.9</v>
      </c>
      <c r="MR440" s="2">
        <v>-12.4</v>
      </c>
      <c r="MS440" s="2">
        <v>2.4</v>
      </c>
      <c r="MT440" s="2">
        <v>9</v>
      </c>
      <c r="MU440" s="2">
        <v>-7.5</v>
      </c>
      <c r="MV440" s="2">
        <v>5.4</v>
      </c>
      <c r="MW440" s="2">
        <v>3.7</v>
      </c>
      <c r="MX440" s="2">
        <v>-5</v>
      </c>
      <c r="MY440" s="2">
        <v>9.1</v>
      </c>
      <c r="MZ440" s="2">
        <v>-6.4</v>
      </c>
      <c r="NA440" s="2">
        <v>4.2</v>
      </c>
      <c r="NB440" s="2">
        <v>27</v>
      </c>
      <c r="NG440" s="2">
        <v>-7.1</v>
      </c>
      <c r="NH440" s="2">
        <v>-14.6</v>
      </c>
      <c r="NI440" s="2">
        <v>1.5</v>
      </c>
      <c r="NJ440" s="2">
        <v>7.1</v>
      </c>
      <c r="NK440" s="2">
        <v>-11.3</v>
      </c>
      <c r="NL440" s="2">
        <v>10.9</v>
      </c>
      <c r="NM440" s="2">
        <v>-3.3</v>
      </c>
      <c r="NN440" s="2">
        <v>-3.9</v>
      </c>
      <c r="NO440" s="2">
        <v>4.3</v>
      </c>
      <c r="NP440" s="2">
        <v>-7</v>
      </c>
      <c r="NQ440" s="2">
        <v>2.7</v>
      </c>
      <c r="NR440" s="2">
        <v>15.8</v>
      </c>
      <c r="NW440" s="2">
        <v>-5.2</v>
      </c>
      <c r="NX440" s="2">
        <v>-9.199999999999999</v>
      </c>
      <c r="NY440" s="2">
        <v>-1.2</v>
      </c>
      <c r="NZ440" s="2">
        <v>4.7</v>
      </c>
      <c r="OA440" s="2">
        <v>-2.7</v>
      </c>
      <c r="OB440" s="2">
        <v>7</v>
      </c>
      <c r="OC440" s="2">
        <v>-2.4</v>
      </c>
      <c r="OD440" s="2">
        <v>-1.4</v>
      </c>
      <c r="OE440" s="2">
        <v>3.9</v>
      </c>
      <c r="OF440" s="2">
        <v>-1.9</v>
      </c>
      <c r="OG440" s="2">
        <v>-1.3</v>
      </c>
      <c r="OH440" s="2">
        <v>11.5</v>
      </c>
      <c r="OM440" s="2">
        <v>-5.9</v>
      </c>
      <c r="ON440" s="2">
        <v>-7.6</v>
      </c>
      <c r="OO440" s="2">
        <v>1.7</v>
      </c>
      <c r="OP440" s="2">
        <v>6.1</v>
      </c>
      <c r="OQ440" s="2">
        <v>-7.1</v>
      </c>
      <c r="OR440" s="2">
        <v>2.4</v>
      </c>
      <c r="OS440" s="2">
        <v>4.7</v>
      </c>
      <c r="OT440" s="2">
        <v>-3.5</v>
      </c>
      <c r="OU440" s="2">
        <v>4.8</v>
      </c>
      <c r="OV440" s="2">
        <v>-1</v>
      </c>
      <c r="OW440" s="2">
        <v>-2.5</v>
      </c>
      <c r="OX440" s="2">
        <v>15.9</v>
      </c>
      <c r="PC440" s="2">
        <v>-7.6</v>
      </c>
      <c r="PD440" s="2">
        <v>-6.3</v>
      </c>
      <c r="PE440" s="2">
        <v>-1.4</v>
      </c>
      <c r="PF440" s="2">
        <v>5.5</v>
      </c>
      <c r="PG440" s="2">
        <v>-6.9</v>
      </c>
      <c r="PH440" s="2">
        <v>4.6</v>
      </c>
      <c r="PI440" s="2">
        <v>1.8</v>
      </c>
    </row>
    <row r="441">
      <c r="A441" t="inlineStr">
        <is>
          <t>A130392196A</t>
        </is>
      </c>
      <c r="B441" t="inlineStr">
        <is>
          <t>Percentage Change from Previous Period ;  Domestic holiday travel and accommodation ;  Australia ;</t>
        </is>
      </c>
      <c r="C441" t="inlineStr">
        <is>
          <t>Month</t>
        </is>
      </c>
      <c r="D441" t="inlineStr">
        <is>
          <t>Percent</t>
        </is>
      </c>
      <c r="E441" t="inlineStr">
        <is>
          <t>Original</t>
        </is>
      </c>
      <c r="F441" t="inlineStr">
        <is>
          <t>640103.xlsx</t>
        </is>
      </c>
      <c r="G441" t="inlineStr">
        <is>
          <t>2017-10</t>
        </is>
      </c>
      <c r="H441" t="inlineStr">
        <is>
          <t>2026-07</t>
        </is>
      </c>
      <c r="JX441" s="2">
        <v>4.2</v>
      </c>
      <c r="JY441" s="2">
        <v>-2.2</v>
      </c>
      <c r="JZ441" s="2">
        <v>10</v>
      </c>
      <c r="KE441" s="2">
        <v>1.8</v>
      </c>
      <c r="KF441" s="2">
        <v>-9</v>
      </c>
      <c r="KG441" s="2">
        <v>1.2</v>
      </c>
      <c r="KH441" s="2">
        <v>2.6</v>
      </c>
      <c r="KI441" s="2">
        <v>-5.8</v>
      </c>
      <c r="KJ441" s="2">
        <v>0.4</v>
      </c>
      <c r="KK441" s="2">
        <v>5.7</v>
      </c>
      <c r="KL441" s="2">
        <v>-3.5</v>
      </c>
      <c r="KM441" s="2">
        <v>3.5</v>
      </c>
      <c r="KN441" s="2">
        <v>1.3</v>
      </c>
      <c r="KO441" s="2">
        <v>-1.3</v>
      </c>
      <c r="KP441" s="2">
        <v>14.8</v>
      </c>
      <c r="KU441" s="2">
        <v>-4.6</v>
      </c>
      <c r="KV441" s="2">
        <v>-11.1</v>
      </c>
      <c r="KW441" s="2">
        <v>-0.6</v>
      </c>
      <c r="KX441" s="2">
        <v>7.9</v>
      </c>
      <c r="KY441" s="2">
        <v>-7</v>
      </c>
      <c r="KZ441" s="2">
        <v>0.5</v>
      </c>
      <c r="LA441" s="2">
        <v>4.2</v>
      </c>
      <c r="LB441" s="2">
        <v>-4</v>
      </c>
      <c r="LC441" s="2">
        <v>2.1</v>
      </c>
      <c r="LD441" s="2">
        <v>5.4</v>
      </c>
      <c r="LE441" s="2">
        <v>-4.6</v>
      </c>
      <c r="LF441" s="2">
        <v>15.6</v>
      </c>
      <c r="LK441" s="2">
        <v>-2.4</v>
      </c>
      <c r="LL441" s="2">
        <v>-12.5</v>
      </c>
      <c r="LM441" s="2">
        <v>0.4</v>
      </c>
      <c r="LN441" s="2">
        <v>-0.1</v>
      </c>
      <c r="LO441" s="2">
        <v>0</v>
      </c>
      <c r="LP441" s="2">
        <v>4.2</v>
      </c>
      <c r="LQ441" s="2">
        <v>-3.5</v>
      </c>
      <c r="LR441" s="2">
        <v>-0.1</v>
      </c>
      <c r="LS441" s="2">
        <v>7.1</v>
      </c>
      <c r="LT441" s="2">
        <v>-1.6</v>
      </c>
      <c r="LU441" s="2">
        <v>-0.6</v>
      </c>
      <c r="LV441" s="2">
        <v>10.8</v>
      </c>
      <c r="MA441" s="2">
        <v>-1.6</v>
      </c>
      <c r="MB441" s="2">
        <v>-8.5</v>
      </c>
      <c r="MC441" s="2">
        <v>-2.4</v>
      </c>
      <c r="MD441" s="2">
        <v>6.7</v>
      </c>
      <c r="ME441" s="2">
        <v>-6.6</v>
      </c>
      <c r="MF441" s="2">
        <v>4.3</v>
      </c>
      <c r="MG441" s="2">
        <v>-1.2</v>
      </c>
      <c r="MH441" s="2">
        <v>0</v>
      </c>
      <c r="MI441" s="2">
        <v>4.4</v>
      </c>
      <c r="MJ441" s="2">
        <v>1.2</v>
      </c>
      <c r="MK441" s="2">
        <v>-4.3</v>
      </c>
      <c r="ML441" s="2">
        <v>11.1</v>
      </c>
      <c r="MQ441" s="2">
        <v>2.8</v>
      </c>
      <c r="MR441" s="2">
        <v>-12.5</v>
      </c>
      <c r="MS441" s="2">
        <v>2.4</v>
      </c>
      <c r="MT441" s="2">
        <v>8.9</v>
      </c>
      <c r="MU441" s="2">
        <v>-8</v>
      </c>
      <c r="MV441" s="2">
        <v>5.2</v>
      </c>
      <c r="MW441" s="2">
        <v>3.7</v>
      </c>
      <c r="MX441" s="2">
        <v>-5.3</v>
      </c>
      <c r="MY441" s="2">
        <v>9</v>
      </c>
      <c r="MZ441" s="2">
        <v>-1.3</v>
      </c>
      <c r="NA441" s="2">
        <v>5.5</v>
      </c>
      <c r="NB441" s="2">
        <v>18.8</v>
      </c>
      <c r="NG441" s="2">
        <v>1</v>
      </c>
      <c r="NH441" s="2">
        <v>-13.4</v>
      </c>
      <c r="NI441" s="2">
        <v>1</v>
      </c>
      <c r="NJ441" s="2">
        <v>6.2</v>
      </c>
      <c r="NK441" s="2">
        <v>-15.5</v>
      </c>
      <c r="NL441" s="2">
        <v>6</v>
      </c>
      <c r="NM441" s="2">
        <v>1.4</v>
      </c>
      <c r="NN441" s="2">
        <v>-4.8</v>
      </c>
      <c r="NO441" s="2">
        <v>4.6</v>
      </c>
      <c r="NP441" s="2">
        <v>-1.9</v>
      </c>
      <c r="NQ441" s="2">
        <v>1.8</v>
      </c>
      <c r="NR441" s="2">
        <v>9.6</v>
      </c>
      <c r="NW441" s="2">
        <v>0.6</v>
      </c>
      <c r="NX441" s="2">
        <v>-9</v>
      </c>
      <c r="NY441" s="2">
        <v>0.9</v>
      </c>
      <c r="NZ441" s="2">
        <v>0.2</v>
      </c>
      <c r="OA441" s="2">
        <v>-6.6</v>
      </c>
      <c r="OB441" s="2">
        <v>6.2</v>
      </c>
      <c r="OC441" s="2">
        <v>-0.2</v>
      </c>
      <c r="OD441" s="2">
        <v>-2.6</v>
      </c>
      <c r="OE441" s="2">
        <v>4.1</v>
      </c>
      <c r="OF441" s="2">
        <v>3.4</v>
      </c>
      <c r="OG441" s="2">
        <v>-0.5</v>
      </c>
      <c r="OH441" s="2">
        <v>2</v>
      </c>
      <c r="OM441" s="2">
        <v>5.2</v>
      </c>
      <c r="ON441" s="2">
        <v>-10.1</v>
      </c>
      <c r="OO441" s="2">
        <v>3.3</v>
      </c>
      <c r="OP441" s="2">
        <v>3.9</v>
      </c>
      <c r="OQ441" s="2">
        <v>-9.199999999999999</v>
      </c>
      <c r="OR441" s="2">
        <v>0.6</v>
      </c>
      <c r="OS441" s="2">
        <v>7.9</v>
      </c>
      <c r="OT441" s="2">
        <v>-4.2</v>
      </c>
      <c r="OU441" s="2">
        <v>4</v>
      </c>
      <c r="OV441" s="2">
        <v>5.9</v>
      </c>
      <c r="OW441" s="2">
        <v>-4.1</v>
      </c>
      <c r="OX441" s="2">
        <v>8.199999999999999</v>
      </c>
      <c r="PC441" s="2">
        <v>1.3</v>
      </c>
      <c r="PD441" s="2">
        <v>-7.4</v>
      </c>
      <c r="PE441" s="2">
        <v>-2.2</v>
      </c>
      <c r="PF441" s="2">
        <v>7.4</v>
      </c>
      <c r="PG441" s="2">
        <v>-12.1</v>
      </c>
      <c r="PH441" s="2">
        <v>1.3</v>
      </c>
      <c r="PI441" s="2">
        <v>6.2</v>
      </c>
    </row>
    <row r="442">
      <c r="A442" t="inlineStr">
        <is>
          <t>A130394800W</t>
        </is>
      </c>
      <c r="B442" t="inlineStr">
        <is>
          <t>Percentage Change from Previous Period ;  International holiday travel and accommodation ;  Australia ;</t>
        </is>
      </c>
      <c r="C442" t="inlineStr">
        <is>
          <t>Month</t>
        </is>
      </c>
      <c r="D442" t="inlineStr">
        <is>
          <t>Percent</t>
        </is>
      </c>
      <c r="E442" t="inlineStr">
        <is>
          <t>Original</t>
        </is>
      </c>
      <c r="F442" t="inlineStr">
        <is>
          <t>640103.xlsx</t>
        </is>
      </c>
      <c r="G442" t="inlineStr">
        <is>
          <t>2017-10</t>
        </is>
      </c>
      <c r="H442" t="inlineStr">
        <is>
          <t>2026-07</t>
        </is>
      </c>
      <c r="JX442" s="2">
        <v>-3.2</v>
      </c>
      <c r="JY442" s="2">
        <v>-1.5</v>
      </c>
      <c r="JZ442" s="2">
        <v>13.6</v>
      </c>
      <c r="KE442" s="2">
        <v>-4.4</v>
      </c>
      <c r="KF442" s="2">
        <v>-7</v>
      </c>
      <c r="KG442" s="2">
        <v>-3.1</v>
      </c>
      <c r="KH442" s="2">
        <v>8.1</v>
      </c>
      <c r="KI442" s="2">
        <v>-4.3</v>
      </c>
      <c r="KJ442" s="2">
        <v>3.1</v>
      </c>
      <c r="KK442" s="2">
        <v>11.3</v>
      </c>
      <c r="KL442" s="2">
        <v>-12.2</v>
      </c>
      <c r="KM442" s="2">
        <v>4.2</v>
      </c>
      <c r="KN442" s="2">
        <v>0.6</v>
      </c>
      <c r="KO442" s="2">
        <v>-5.2</v>
      </c>
      <c r="KP442" s="2">
        <v>12</v>
      </c>
      <c r="KU442" s="2">
        <v>-0.5</v>
      </c>
      <c r="KV442" s="2">
        <v>-8.199999999999999</v>
      </c>
      <c r="KW442" s="2">
        <v>-5</v>
      </c>
      <c r="KX442" s="2">
        <v>13.1</v>
      </c>
      <c r="KY442" s="2">
        <v>-7.1</v>
      </c>
      <c r="KZ442" s="2">
        <v>5</v>
      </c>
      <c r="LA442" s="2">
        <v>11.9</v>
      </c>
      <c r="LB442" s="2">
        <v>-9.300000000000001</v>
      </c>
      <c r="LC442" s="2">
        <v>1</v>
      </c>
      <c r="LD442" s="2">
        <v>0.6</v>
      </c>
      <c r="LE442" s="2">
        <v>-7.6</v>
      </c>
      <c r="LF442" s="2">
        <v>13.7</v>
      </c>
      <c r="LK442" s="2">
        <v>0.1</v>
      </c>
      <c r="LL442" s="2">
        <v>-14.4</v>
      </c>
      <c r="LM442" s="2">
        <v>3.3</v>
      </c>
      <c r="LN442" s="2">
        <v>5.4</v>
      </c>
      <c r="LO442" s="2">
        <v>-3.7</v>
      </c>
      <c r="LP442" s="2">
        <v>-4.7</v>
      </c>
      <c r="LQ442" s="2">
        <v>15.6</v>
      </c>
      <c r="LR442" s="2">
        <v>-0.8</v>
      </c>
      <c r="LS442" s="2">
        <v>-23</v>
      </c>
      <c r="LT442" s="2">
        <v>13.9</v>
      </c>
      <c r="LU442" s="2">
        <v>-7</v>
      </c>
      <c r="LV442" s="2">
        <v>36.4</v>
      </c>
      <c r="MA442" s="2">
        <v>-26.3</v>
      </c>
      <c r="MB442" s="2">
        <v>11.1</v>
      </c>
      <c r="MC442" s="2">
        <v>19.4</v>
      </c>
      <c r="MD442" s="2">
        <v>-10.8</v>
      </c>
      <c r="ME442" s="2">
        <v>5.3</v>
      </c>
      <c r="MF442" s="2">
        <v>4.7</v>
      </c>
      <c r="MG442" s="2">
        <v>-6.6</v>
      </c>
      <c r="MH442" s="2">
        <v>-8.800000000000001</v>
      </c>
      <c r="MI442" s="2">
        <v>10.1</v>
      </c>
      <c r="MJ442" s="2">
        <v>12.5</v>
      </c>
      <c r="MK442" s="2">
        <v>0.3</v>
      </c>
      <c r="ML442" s="2">
        <v>0.2</v>
      </c>
      <c r="MQ442" s="2">
        <v>-20.2</v>
      </c>
      <c r="MR442" s="2">
        <v>-6.9</v>
      </c>
      <c r="MS442" s="2">
        <v>2.3</v>
      </c>
      <c r="MT442" s="2">
        <v>12.5</v>
      </c>
      <c r="MU442" s="2">
        <v>6.3</v>
      </c>
      <c r="MV442" s="2">
        <v>9.4</v>
      </c>
      <c r="MW442" s="2">
        <v>2.9</v>
      </c>
      <c r="MX442" s="2">
        <v>2.3</v>
      </c>
      <c r="MY442" s="2">
        <v>10.2</v>
      </c>
      <c r="MZ442" s="2">
        <v>-12.9</v>
      </c>
      <c r="NA442" s="2">
        <v>2.3</v>
      </c>
      <c r="NB442" s="2">
        <v>39.4</v>
      </c>
      <c r="NG442" s="2">
        <v>-17.5</v>
      </c>
      <c r="NH442" s="2">
        <v>-16.4</v>
      </c>
      <c r="NI442" s="2">
        <v>2.3</v>
      </c>
      <c r="NJ442" s="2">
        <v>8.6</v>
      </c>
      <c r="NK442" s="2">
        <v>-4.7</v>
      </c>
      <c r="NL442" s="2">
        <v>17.6</v>
      </c>
      <c r="NM442" s="2">
        <v>-7.5</v>
      </c>
      <c r="NN442" s="2">
        <v>-2.9</v>
      </c>
      <c r="NO442" s="2">
        <v>4</v>
      </c>
      <c r="NP442" s="2">
        <v>-12</v>
      </c>
      <c r="NQ442" s="2">
        <v>3.6</v>
      </c>
      <c r="NR442" s="2">
        <v>22.3</v>
      </c>
      <c r="NW442" s="2">
        <v>-11.6</v>
      </c>
      <c r="NX442" s="2">
        <v>-9.5</v>
      </c>
      <c r="NY442" s="2">
        <v>-4</v>
      </c>
      <c r="NZ442" s="2">
        <v>10.6</v>
      </c>
      <c r="OA442" s="2">
        <v>2</v>
      </c>
      <c r="OB442" s="2">
        <v>7.8</v>
      </c>
      <c r="OC442" s="2">
        <v>-4.8</v>
      </c>
      <c r="OD442" s="2">
        <v>0</v>
      </c>
      <c r="OE442" s="2">
        <v>3.8</v>
      </c>
      <c r="OF442" s="2">
        <v>-7.8</v>
      </c>
      <c r="OG442" s="2">
        <v>-2.3</v>
      </c>
      <c r="OH442" s="2">
        <v>23.4</v>
      </c>
      <c r="OM442" s="2">
        <v>-16</v>
      </c>
      <c r="ON442" s="2">
        <v>-4.8</v>
      </c>
      <c r="OO442" s="2">
        <v>-0.1</v>
      </c>
      <c r="OP442" s="2">
        <v>8.5</v>
      </c>
      <c r="OQ442" s="2">
        <v>-4.8</v>
      </c>
      <c r="OR442" s="2">
        <v>4.3</v>
      </c>
      <c r="OS442" s="2">
        <v>1.5</v>
      </c>
      <c r="OT442" s="2">
        <v>-2.7</v>
      </c>
      <c r="OU442" s="2">
        <v>5.7</v>
      </c>
      <c r="OV442" s="2">
        <v>-7.9</v>
      </c>
      <c r="OW442" s="2">
        <v>-0.6</v>
      </c>
      <c r="OX442" s="2">
        <v>24.4</v>
      </c>
      <c r="PC442" s="2">
        <v>-16.3</v>
      </c>
      <c r="PD442" s="2">
        <v>-5.1</v>
      </c>
      <c r="PE442" s="2">
        <v>-0.3</v>
      </c>
      <c r="PF442" s="2">
        <v>3.4</v>
      </c>
      <c r="PG442" s="2">
        <v>-0.8</v>
      </c>
      <c r="PH442" s="2">
        <v>8</v>
      </c>
      <c r="PI442" s="2">
        <v>-2.5</v>
      </c>
    </row>
    <row r="443">
      <c r="A443" t="inlineStr">
        <is>
          <t>A130395150X</t>
        </is>
      </c>
      <c r="B443" t="inlineStr">
        <is>
          <t>Percentage Change from Previous Period ;  Other recreation, sport and culture ;  Australia ;</t>
        </is>
      </c>
      <c r="C443" t="inlineStr">
        <is>
          <t>Month</t>
        </is>
      </c>
      <c r="D443" t="inlineStr">
        <is>
          <t>Percent</t>
        </is>
      </c>
      <c r="E443" t="inlineStr">
        <is>
          <t>Original</t>
        </is>
      </c>
      <c r="F443" t="inlineStr">
        <is>
          <t>640103.xlsx</t>
        </is>
      </c>
      <c r="G443" t="inlineStr">
        <is>
          <t>2024-05</t>
        </is>
      </c>
      <c r="H443" t="inlineStr">
        <is>
          <t>2026-07</t>
        </is>
      </c>
      <c r="OA443" s="2">
        <v>0</v>
      </c>
      <c r="OB443" s="2">
        <v>0.3</v>
      </c>
      <c r="OC443" s="2">
        <v>0.3</v>
      </c>
      <c r="OD443" s="2">
        <v>1.2</v>
      </c>
      <c r="OE443" s="2">
        <v>0.2</v>
      </c>
      <c r="OF443" s="2">
        <v>-1.6</v>
      </c>
      <c r="OG443" s="2">
        <v>1.6</v>
      </c>
      <c r="OH443" s="2">
        <v>-0.5</v>
      </c>
      <c r="OM443" s="2">
        <v>1</v>
      </c>
      <c r="ON443" s="2">
        <v>0.6</v>
      </c>
      <c r="OO443" s="2">
        <v>-1.1</v>
      </c>
      <c r="OP443" s="2">
        <v>-0.3</v>
      </c>
      <c r="OQ443" s="2">
        <v>1.1</v>
      </c>
      <c r="OR443" s="2">
        <v>-0.6</v>
      </c>
      <c r="OS443" s="2">
        <v>0.3</v>
      </c>
      <c r="OT443" s="2">
        <v>0.1</v>
      </c>
      <c r="OU443" s="2">
        <v>-0.1</v>
      </c>
      <c r="OV443" s="2">
        <v>1</v>
      </c>
      <c r="OW443" s="2">
        <v>0.1</v>
      </c>
      <c r="OX443" s="2">
        <v>0.1</v>
      </c>
      <c r="PC443" s="2">
        <v>1</v>
      </c>
      <c r="PD443" s="2">
        <v>-0.1</v>
      </c>
      <c r="PE443" s="2">
        <v>0.2</v>
      </c>
      <c r="PF443" s="2">
        <v>-0.3</v>
      </c>
      <c r="PG443" s="2">
        <v>0.4</v>
      </c>
      <c r="PH443" s="2">
        <v>-0.3</v>
      </c>
      <c r="PI443" s="2">
        <v>0.6</v>
      </c>
    </row>
    <row r="444">
      <c r="A444" t="inlineStr">
        <is>
          <t>A130397362L</t>
        </is>
      </c>
      <c r="B444" t="inlineStr">
        <is>
          <t>Percentage Change from Previous Period ;  Equipment for sports, camping and open-air recreation ;  Australia ;</t>
        </is>
      </c>
      <c r="C444" t="inlineStr">
        <is>
          <t>Month</t>
        </is>
      </c>
      <c r="D444" t="inlineStr">
        <is>
          <t>Percent</t>
        </is>
      </c>
      <c r="E444" t="inlineStr">
        <is>
          <t>Original</t>
        </is>
      </c>
      <c r="F444" t="inlineStr">
        <is>
          <t>640103.xlsx</t>
        </is>
      </c>
      <c r="G444" t="inlineStr">
        <is>
          <t>2024-05</t>
        </is>
      </c>
      <c r="H444" t="inlineStr">
        <is>
          <t>2026-07</t>
        </is>
      </c>
      <c r="OA444" s="2">
        <v>0.6</v>
      </c>
      <c r="OB444" s="2">
        <v>-1.6</v>
      </c>
      <c r="OC444" s="2">
        <v>0</v>
      </c>
      <c r="OD444" s="2">
        <v>1</v>
      </c>
      <c r="OE444" s="2">
        <v>0.6</v>
      </c>
      <c r="OF444" s="2">
        <v>-0.6</v>
      </c>
      <c r="OG444" s="2">
        <v>0.9</v>
      </c>
      <c r="OH444" s="2">
        <v>-0.8</v>
      </c>
      <c r="OM444" s="2">
        <v>-1.2</v>
      </c>
      <c r="ON444" s="2">
        <v>1.1</v>
      </c>
      <c r="OO444" s="2">
        <v>-0.5</v>
      </c>
      <c r="OP444" s="2">
        <v>-0.9</v>
      </c>
      <c r="OQ444" s="2">
        <v>1.4</v>
      </c>
      <c r="OR444" s="2">
        <v>-1.1</v>
      </c>
      <c r="OS444" s="2">
        <v>1.1</v>
      </c>
      <c r="OT444" s="2">
        <v>-0.3</v>
      </c>
      <c r="OU444" s="2">
        <v>-0.2</v>
      </c>
      <c r="OV444" s="2">
        <v>-0.3</v>
      </c>
      <c r="OW444" s="2">
        <v>-0.5</v>
      </c>
      <c r="OX444" s="2">
        <v>-1.1</v>
      </c>
      <c r="PC444" s="2">
        <v>1.8</v>
      </c>
      <c r="PD444" s="2">
        <v>-0.9</v>
      </c>
      <c r="PE444" s="2">
        <v>0.3</v>
      </c>
      <c r="PF444" s="2">
        <v>0.4</v>
      </c>
      <c r="PG444" s="2">
        <v>1.4</v>
      </c>
      <c r="PH444" s="2">
        <v>-1</v>
      </c>
      <c r="PI444" s="2">
        <v>0.1</v>
      </c>
    </row>
    <row r="445">
      <c r="A445" t="inlineStr">
        <is>
          <t>A130392336T</t>
        </is>
      </c>
      <c r="B445" t="inlineStr">
        <is>
          <t>Percentage Change from Previous Period ;  Games, toys and hobbies ;  Australia ;</t>
        </is>
      </c>
      <c r="C445" t="inlineStr">
        <is>
          <t>Month</t>
        </is>
      </c>
      <c r="D445" t="inlineStr">
        <is>
          <t>Percent</t>
        </is>
      </c>
      <c r="E445" t="inlineStr">
        <is>
          <t>Original</t>
        </is>
      </c>
      <c r="F445" t="inlineStr">
        <is>
          <t>640103.xlsx</t>
        </is>
      </c>
      <c r="G445" t="inlineStr">
        <is>
          <t>2024-05</t>
        </is>
      </c>
      <c r="H445" t="inlineStr">
        <is>
          <t>2026-07</t>
        </is>
      </c>
      <c r="OA445" s="2">
        <v>-0.4</v>
      </c>
      <c r="OB445" s="2">
        <v>-0.7</v>
      </c>
      <c r="OC445" s="2">
        <v>-2.6</v>
      </c>
      <c r="OD445" s="2">
        <v>3.7</v>
      </c>
      <c r="OE445" s="2">
        <v>1.8</v>
      </c>
      <c r="OF445" s="2">
        <v>-1.8</v>
      </c>
      <c r="OG445" s="2">
        <v>3</v>
      </c>
      <c r="OH445" s="2">
        <v>-6.7</v>
      </c>
      <c r="OM445" s="2">
        <v>8.4</v>
      </c>
      <c r="ON445" s="2">
        <v>-0.9</v>
      </c>
      <c r="OO445" s="2">
        <v>-2.1</v>
      </c>
      <c r="OP445" s="2">
        <v>-1.5</v>
      </c>
      <c r="OQ445" s="2">
        <v>3.6</v>
      </c>
      <c r="OR445" s="2">
        <v>-2.1</v>
      </c>
      <c r="OS445" s="2">
        <v>-2.1</v>
      </c>
      <c r="OT445" s="2">
        <v>0.7</v>
      </c>
      <c r="OU445" s="2">
        <v>2.7</v>
      </c>
      <c r="OV445" s="2">
        <v>1.2</v>
      </c>
      <c r="OW445" s="2">
        <v>-0.9</v>
      </c>
      <c r="OX445" s="2">
        <v>-1</v>
      </c>
      <c r="PC445" s="2">
        <v>5.7</v>
      </c>
      <c r="PD445" s="2">
        <v>-0.9</v>
      </c>
      <c r="PE445" s="2">
        <v>2</v>
      </c>
      <c r="PF445" s="2">
        <v>-2</v>
      </c>
      <c r="PG445" s="2">
        <v>-0.3</v>
      </c>
      <c r="PH445" s="2">
        <v>-1.7</v>
      </c>
      <c r="PI445" s="2">
        <v>-2.2</v>
      </c>
    </row>
    <row r="446">
      <c r="A446" t="inlineStr">
        <is>
          <t>A130390810C</t>
        </is>
      </c>
      <c r="B446" t="inlineStr">
        <is>
          <t>Percentage Change from Previous Period ;  Pets and related products ;  Australia ;</t>
        </is>
      </c>
      <c r="C446" t="inlineStr">
        <is>
          <t>Month</t>
        </is>
      </c>
      <c r="D446" t="inlineStr">
        <is>
          <t>Percent</t>
        </is>
      </c>
      <c r="E446" t="inlineStr">
        <is>
          <t>Original</t>
        </is>
      </c>
      <c r="F446" t="inlineStr">
        <is>
          <t>640103.xlsx</t>
        </is>
      </c>
      <c r="G446" t="inlineStr">
        <is>
          <t>2017-10</t>
        </is>
      </c>
      <c r="H446" t="inlineStr">
        <is>
          <t>2026-07</t>
        </is>
      </c>
      <c r="JX446" s="2">
        <v>-1.4</v>
      </c>
      <c r="JY446" s="2">
        <v>0.8</v>
      </c>
      <c r="JZ446" s="2">
        <v>-0.2</v>
      </c>
      <c r="KE446" s="2">
        <v>0.6</v>
      </c>
      <c r="KF446" s="2">
        <v>-1.3</v>
      </c>
      <c r="KG446" s="2">
        <v>-0.2</v>
      </c>
      <c r="KH446" s="2">
        <v>0.6</v>
      </c>
      <c r="KI446" s="2">
        <v>0.2</v>
      </c>
      <c r="KJ446" s="2">
        <v>-1.1</v>
      </c>
      <c r="KK446" s="2">
        <v>0.6</v>
      </c>
      <c r="KL446" s="2">
        <v>0.1</v>
      </c>
      <c r="KM446" s="2">
        <v>0.6</v>
      </c>
      <c r="KN446" s="2">
        <v>-1.4</v>
      </c>
      <c r="KO446" s="2">
        <v>2.8</v>
      </c>
      <c r="KP446" s="2">
        <v>0</v>
      </c>
      <c r="KU446" s="2">
        <v>1.1</v>
      </c>
      <c r="KV446" s="2">
        <v>-1.9</v>
      </c>
      <c r="KW446" s="2">
        <v>3</v>
      </c>
      <c r="KX446" s="2">
        <v>2.4</v>
      </c>
      <c r="KY446" s="2">
        <v>0.2</v>
      </c>
      <c r="KZ446" s="2">
        <v>-1</v>
      </c>
      <c r="LA446" s="2">
        <v>2.1</v>
      </c>
      <c r="LB446" s="2">
        <v>-0.7</v>
      </c>
      <c r="LC446" s="2">
        <v>-0.5</v>
      </c>
      <c r="LD446" s="2">
        <v>0</v>
      </c>
      <c r="LE446" s="2">
        <v>0.7</v>
      </c>
      <c r="LF446" s="2">
        <v>0.6</v>
      </c>
      <c r="LK446" s="2">
        <v>2</v>
      </c>
      <c r="LL446" s="2">
        <v>-1.8</v>
      </c>
      <c r="LM446" s="2">
        <v>2.1</v>
      </c>
      <c r="LN446" s="2">
        <v>2.2</v>
      </c>
      <c r="LO446" s="2">
        <v>-2.4</v>
      </c>
      <c r="LP446" s="2">
        <v>0</v>
      </c>
      <c r="LQ446" s="2">
        <v>0</v>
      </c>
      <c r="LR446" s="2">
        <v>0</v>
      </c>
      <c r="LS446" s="2">
        <v>0.4</v>
      </c>
      <c r="LT446" s="2">
        <v>-0.7</v>
      </c>
      <c r="LU446" s="2">
        <v>1</v>
      </c>
      <c r="LV446" s="2">
        <v>0.5</v>
      </c>
      <c r="MA446" s="2">
        <v>0.9</v>
      </c>
      <c r="MB446" s="2">
        <v>-1.3</v>
      </c>
      <c r="MC446" s="2">
        <v>0.3</v>
      </c>
      <c r="MD446" s="2">
        <v>-0.2</v>
      </c>
      <c r="ME446" s="2">
        <v>0</v>
      </c>
      <c r="MF446" s="2">
        <v>0.2</v>
      </c>
      <c r="MG446" s="2">
        <v>0.4</v>
      </c>
      <c r="MH446" s="2">
        <v>-0.7</v>
      </c>
      <c r="MI446" s="2">
        <v>0.3</v>
      </c>
      <c r="MJ446" s="2">
        <v>-1.2</v>
      </c>
      <c r="MK446" s="2">
        <v>0.9</v>
      </c>
      <c r="ML446" s="2">
        <v>2.8</v>
      </c>
      <c r="MQ446" s="2">
        <v>2.2</v>
      </c>
      <c r="MR446" s="2">
        <v>0.1</v>
      </c>
      <c r="MS446" s="2">
        <v>5.8</v>
      </c>
      <c r="MT446" s="2">
        <v>1.4</v>
      </c>
      <c r="MU446" s="2">
        <v>-1.2</v>
      </c>
      <c r="MV446" s="2">
        <v>1.8</v>
      </c>
      <c r="MW446" s="2">
        <v>0.3</v>
      </c>
      <c r="MX446" s="2">
        <v>0.4</v>
      </c>
      <c r="MY446" s="2">
        <v>1.8</v>
      </c>
      <c r="MZ446" s="2">
        <v>1.2</v>
      </c>
      <c r="NA446" s="2">
        <v>2.7</v>
      </c>
      <c r="NB446" s="2">
        <v>1.5</v>
      </c>
      <c r="NG446" s="2">
        <v>0.5</v>
      </c>
      <c r="NH446" s="2">
        <v>-0.5</v>
      </c>
      <c r="NI446" s="2">
        <v>0.8</v>
      </c>
      <c r="NJ446" s="2">
        <v>-0.9</v>
      </c>
      <c r="NK446" s="2">
        <v>-0.6</v>
      </c>
      <c r="NL446" s="2">
        <v>3.3</v>
      </c>
      <c r="NM446" s="2">
        <v>0</v>
      </c>
      <c r="NN446" s="2">
        <v>-1.4</v>
      </c>
      <c r="NO446" s="2">
        <v>-0.1</v>
      </c>
      <c r="NP446" s="2">
        <v>-1.2</v>
      </c>
      <c r="NQ446" s="2">
        <v>0.8</v>
      </c>
      <c r="NR446" s="2">
        <v>1.7</v>
      </c>
      <c r="NW446" s="2">
        <v>0.9</v>
      </c>
      <c r="NX446" s="2">
        <v>-1.3</v>
      </c>
      <c r="NY446" s="2">
        <v>0.5</v>
      </c>
      <c r="NZ446" s="2">
        <v>-1.1</v>
      </c>
      <c r="OA446" s="2">
        <v>-0.6</v>
      </c>
      <c r="OB446" s="2">
        <v>2.1</v>
      </c>
      <c r="OC446" s="2">
        <v>0.7</v>
      </c>
      <c r="OD446" s="2">
        <v>-0.6</v>
      </c>
      <c r="OE446" s="2">
        <v>-0.7</v>
      </c>
      <c r="OF446" s="2">
        <v>-4</v>
      </c>
      <c r="OG446" s="2">
        <v>2.1</v>
      </c>
      <c r="OH446" s="2">
        <v>1.7</v>
      </c>
      <c r="OM446" s="2">
        <v>1.4</v>
      </c>
      <c r="ON446" s="2">
        <v>-1.7</v>
      </c>
      <c r="OO446" s="2">
        <v>0</v>
      </c>
      <c r="OP446" s="2">
        <v>0.5</v>
      </c>
      <c r="OQ446" s="2">
        <v>-1.4</v>
      </c>
      <c r="OR446" s="2">
        <v>1.1</v>
      </c>
      <c r="OS446" s="2">
        <v>-0.4</v>
      </c>
      <c r="OT446" s="2">
        <v>-0.1</v>
      </c>
      <c r="OU446" s="2">
        <v>-0.5</v>
      </c>
      <c r="OV446" s="2">
        <v>-0.2</v>
      </c>
      <c r="OW446" s="2">
        <v>2.2</v>
      </c>
      <c r="OX446" s="2">
        <v>0.9</v>
      </c>
      <c r="PC446" s="2">
        <v>-0.3</v>
      </c>
      <c r="PD446" s="2">
        <v>-1.9</v>
      </c>
      <c r="PE446" s="2">
        <v>-0.4</v>
      </c>
      <c r="PF446" s="2">
        <v>-0.5</v>
      </c>
      <c r="PG446" s="2">
        <v>0.2</v>
      </c>
      <c r="PH446" s="2">
        <v>0.7</v>
      </c>
      <c r="PI446" s="2">
        <v>-0.3</v>
      </c>
    </row>
    <row r="447">
      <c r="A447" t="inlineStr">
        <is>
          <t>A130392056X</t>
        </is>
      </c>
      <c r="B447" t="inlineStr">
        <is>
          <t>Percentage Change from Previous Period ;  Veterinary and other services for pets ;  Australia ;</t>
        </is>
      </c>
      <c r="C447" t="inlineStr">
        <is>
          <t>Month</t>
        </is>
      </c>
      <c r="D447" t="inlineStr">
        <is>
          <t>Percent</t>
        </is>
      </c>
      <c r="E447" t="inlineStr">
        <is>
          <t>Original</t>
        </is>
      </c>
      <c r="F447" t="inlineStr">
        <is>
          <t>640103.xlsx</t>
        </is>
      </c>
      <c r="G447" t="inlineStr">
        <is>
          <t>2024-05</t>
        </is>
      </c>
      <c r="H447" t="inlineStr">
        <is>
          <t>2026-07</t>
        </is>
      </c>
      <c r="OA447" s="2">
        <v>0.5</v>
      </c>
      <c r="OB447" s="2">
        <v>0.7</v>
      </c>
      <c r="OC447" s="2">
        <v>0.6</v>
      </c>
      <c r="OD447" s="2">
        <v>0.7</v>
      </c>
      <c r="OE447" s="2">
        <v>0.1</v>
      </c>
      <c r="OF447" s="2">
        <v>0.6</v>
      </c>
      <c r="OG447" s="2">
        <v>-0.1</v>
      </c>
      <c r="OH447" s="2">
        <v>0.5</v>
      </c>
      <c r="OM447" s="2">
        <v>0.1</v>
      </c>
      <c r="ON447" s="2">
        <v>0.5</v>
      </c>
      <c r="OO447" s="2">
        <v>0.8</v>
      </c>
      <c r="OP447" s="2">
        <v>0.2</v>
      </c>
      <c r="OQ447" s="2">
        <v>0.4</v>
      </c>
      <c r="OR447" s="2">
        <v>0.1</v>
      </c>
      <c r="OS447" s="2">
        <v>1.1</v>
      </c>
      <c r="OT447" s="2">
        <v>0.2</v>
      </c>
      <c r="OU447" s="2">
        <v>0.4</v>
      </c>
      <c r="OV447" s="2">
        <v>0.3</v>
      </c>
      <c r="OW447" s="2">
        <v>0</v>
      </c>
      <c r="OX447" s="2">
        <v>0.2</v>
      </c>
      <c r="PC447" s="2">
        <v>0.9</v>
      </c>
      <c r="PD447" s="2">
        <v>0.3</v>
      </c>
      <c r="PE447" s="2">
        <v>0</v>
      </c>
      <c r="PF447" s="2">
        <v>-0.1</v>
      </c>
      <c r="PG447" s="2">
        <v>0.1</v>
      </c>
      <c r="PH447" s="2">
        <v>0.1</v>
      </c>
      <c r="PI447" s="2">
        <v>0.8</v>
      </c>
    </row>
    <row r="448">
      <c r="A448" t="inlineStr">
        <is>
          <t>A130399823C</t>
        </is>
      </c>
      <c r="B448" t="inlineStr">
        <is>
          <t>Percentage Change from Previous Period ;  Sports participation ;  Australia ;</t>
        </is>
      </c>
      <c r="C448" t="inlineStr">
        <is>
          <t>Month</t>
        </is>
      </c>
      <c r="D448" t="inlineStr">
        <is>
          <t>Percent</t>
        </is>
      </c>
      <c r="E448" t="inlineStr">
        <is>
          <t>Original</t>
        </is>
      </c>
      <c r="F448" t="inlineStr">
        <is>
          <t>640103.xlsx</t>
        </is>
      </c>
      <c r="G448" t="inlineStr">
        <is>
          <t>2024-05</t>
        </is>
      </c>
      <c r="H448" t="inlineStr">
        <is>
          <t>2026-07</t>
        </is>
      </c>
      <c r="OA448" s="2">
        <v>0.2</v>
      </c>
      <c r="OB448" s="2">
        <v>0.1</v>
      </c>
      <c r="OC448" s="2">
        <v>2.1</v>
      </c>
      <c r="OD448" s="2">
        <v>0.5</v>
      </c>
      <c r="OE448" s="2">
        <v>0.4</v>
      </c>
      <c r="OF448" s="2">
        <v>0.1</v>
      </c>
      <c r="OG448" s="2">
        <v>0.1</v>
      </c>
      <c r="OH448" s="2">
        <v>0</v>
      </c>
      <c r="OM448" s="2">
        <v>0.3</v>
      </c>
      <c r="ON448" s="2">
        <v>1</v>
      </c>
      <c r="OO448" s="2">
        <v>-0.2</v>
      </c>
      <c r="OP448" s="2">
        <v>0.5</v>
      </c>
      <c r="OQ448" s="2">
        <v>0</v>
      </c>
      <c r="OR448" s="2">
        <v>0.1</v>
      </c>
      <c r="OS448" s="2">
        <v>1.1</v>
      </c>
      <c r="OT448" s="2">
        <v>0.3</v>
      </c>
      <c r="OU448" s="2">
        <v>0.2</v>
      </c>
      <c r="OV448" s="2">
        <v>0.4</v>
      </c>
      <c r="OW448" s="2">
        <v>0.1</v>
      </c>
      <c r="OX448" s="2">
        <v>0.1</v>
      </c>
      <c r="PC448" s="2">
        <v>0.4</v>
      </c>
      <c r="PD448" s="2">
        <v>0.2</v>
      </c>
      <c r="PE448" s="2">
        <v>0.2</v>
      </c>
      <c r="PF448" s="2">
        <v>0.8</v>
      </c>
      <c r="PG448" s="2">
        <v>0</v>
      </c>
      <c r="PH448" s="2">
        <v>0.6</v>
      </c>
      <c r="PI448" s="2">
        <v>1.6</v>
      </c>
    </row>
    <row r="449">
      <c r="A449" t="inlineStr">
        <is>
          <t>A130398637F</t>
        </is>
      </c>
      <c r="B449" t="inlineStr">
        <is>
          <t>Percentage Change from Previous Period ;  Other recreational, sporting and cultural services ;  Australia ;</t>
        </is>
      </c>
      <c r="C449" t="inlineStr">
        <is>
          <t>Month</t>
        </is>
      </c>
      <c r="D449" t="inlineStr">
        <is>
          <t>Percent</t>
        </is>
      </c>
      <c r="E449" t="inlineStr">
        <is>
          <t>Original</t>
        </is>
      </c>
      <c r="F449" t="inlineStr">
        <is>
          <t>640103.xlsx</t>
        </is>
      </c>
      <c r="G449" t="inlineStr">
        <is>
          <t>2024-05</t>
        </is>
      </c>
      <c r="H449" t="inlineStr">
        <is>
          <t>2026-07</t>
        </is>
      </c>
      <c r="OA449" s="2">
        <v>-0.1</v>
      </c>
      <c r="OB449" s="2">
        <v>1.1</v>
      </c>
      <c r="OC449" s="2">
        <v>0</v>
      </c>
      <c r="OD449" s="2">
        <v>1.6</v>
      </c>
      <c r="OE449" s="2">
        <v>-0.8</v>
      </c>
      <c r="OF449" s="2">
        <v>-4</v>
      </c>
      <c r="OG449" s="2">
        <v>3.6</v>
      </c>
      <c r="OH449" s="2">
        <v>1.8</v>
      </c>
      <c r="OM449" s="2">
        <v>-1.4</v>
      </c>
      <c r="ON449" s="2">
        <v>2.1</v>
      </c>
      <c r="OO449" s="2">
        <v>-3.3</v>
      </c>
      <c r="OP449" s="2">
        <v>-0.6</v>
      </c>
      <c r="OQ449" s="2">
        <v>2.4</v>
      </c>
      <c r="OR449" s="2">
        <v>-1.5</v>
      </c>
      <c r="OS449" s="2">
        <v>0.6</v>
      </c>
      <c r="OT449" s="2">
        <v>-0.1</v>
      </c>
      <c r="OU449" s="2">
        <v>-2.2</v>
      </c>
      <c r="OV449" s="2">
        <v>3.3</v>
      </c>
      <c r="OW449" s="2">
        <v>0</v>
      </c>
      <c r="OX449" s="2">
        <v>1.1</v>
      </c>
      <c r="PC449" s="2">
        <v>-0.7</v>
      </c>
      <c r="PD449" s="2">
        <v>1.3</v>
      </c>
      <c r="PE449" s="2">
        <v>-0.6</v>
      </c>
      <c r="PF449" s="2">
        <v>-0.7</v>
      </c>
      <c r="PG449" s="2">
        <v>1</v>
      </c>
      <c r="PH449" s="2">
        <v>-0.7</v>
      </c>
      <c r="PI449" s="2">
        <v>1.9</v>
      </c>
    </row>
    <row r="450">
      <c r="A450" t="inlineStr">
        <is>
          <t>A130390026X</t>
        </is>
      </c>
      <c r="B450" t="inlineStr">
        <is>
          <t>Percentage Change from Previous Period ;  Education ;  Australia ;</t>
        </is>
      </c>
      <c r="C450" t="inlineStr">
        <is>
          <t>Month</t>
        </is>
      </c>
      <c r="D450" t="inlineStr">
        <is>
          <t>Percent</t>
        </is>
      </c>
      <c r="E450" t="inlineStr">
        <is>
          <t>Original</t>
        </is>
      </c>
      <c r="F450" t="inlineStr">
        <is>
          <t>640103.xlsx</t>
        </is>
      </c>
      <c r="G450" t="inlineStr">
        <is>
          <t>2024-05</t>
        </is>
      </c>
      <c r="H450" t="inlineStr">
        <is>
          <t>2026-07</t>
        </is>
      </c>
      <c r="OA450" s="2">
        <v>0</v>
      </c>
      <c r="OB450" s="2">
        <v>0</v>
      </c>
      <c r="OC450" s="2">
        <v>0</v>
      </c>
      <c r="OD450" s="2">
        <v>0.1</v>
      </c>
      <c r="OE450" s="2">
        <v>0</v>
      </c>
      <c r="OF450" s="2">
        <v>0</v>
      </c>
      <c r="OG450" s="2">
        <v>0</v>
      </c>
      <c r="OH450" s="2">
        <v>0</v>
      </c>
      <c r="OM450" s="2">
        <v>0</v>
      </c>
      <c r="ON450" s="2">
        <v>5.1</v>
      </c>
      <c r="OO450" s="2">
        <v>0</v>
      </c>
      <c r="OP450" s="2">
        <v>0</v>
      </c>
      <c r="OQ450" s="2">
        <v>0</v>
      </c>
      <c r="OR450" s="2">
        <v>0</v>
      </c>
      <c r="OS450" s="2">
        <v>0</v>
      </c>
      <c r="OT450" s="2">
        <v>0.1</v>
      </c>
      <c r="OU450" s="2">
        <v>0</v>
      </c>
      <c r="OV450" s="2">
        <v>0</v>
      </c>
      <c r="OW450" s="2">
        <v>0</v>
      </c>
      <c r="OX450" s="2">
        <v>0</v>
      </c>
      <c r="PC450" s="2">
        <v>0</v>
      </c>
      <c r="PD450" s="2">
        <v>4.5</v>
      </c>
      <c r="PE450" s="2">
        <v>0</v>
      </c>
      <c r="PF450" s="2">
        <v>0</v>
      </c>
      <c r="PG450" s="2">
        <v>0</v>
      </c>
      <c r="PH450" s="2">
        <v>0</v>
      </c>
      <c r="PI450" s="2">
        <v>0</v>
      </c>
    </row>
    <row r="451">
      <c r="A451" t="inlineStr">
        <is>
          <t>A130393575V</t>
        </is>
      </c>
      <c r="B451" t="inlineStr">
        <is>
          <t>Percentage Change from Previous Period ;  Education ;  Australia ;</t>
        </is>
      </c>
      <c r="C451" t="inlineStr">
        <is>
          <t>Month</t>
        </is>
      </c>
      <c r="D451" t="inlineStr">
        <is>
          <t>Percent</t>
        </is>
      </c>
      <c r="E451" t="inlineStr">
        <is>
          <t>Original</t>
        </is>
      </c>
      <c r="F451" t="inlineStr">
        <is>
          <t>640103.xlsx</t>
        </is>
      </c>
      <c r="G451" t="inlineStr">
        <is>
          <t>2024-05</t>
        </is>
      </c>
      <c r="H451" t="inlineStr">
        <is>
          <t>2026-07</t>
        </is>
      </c>
      <c r="OA451" s="2">
        <v>0</v>
      </c>
      <c r="OB451" s="2">
        <v>0</v>
      </c>
      <c r="OC451" s="2">
        <v>0</v>
      </c>
      <c r="OD451" s="2">
        <v>0.1</v>
      </c>
      <c r="OE451" s="2">
        <v>0</v>
      </c>
      <c r="OF451" s="2">
        <v>0</v>
      </c>
      <c r="OG451" s="2">
        <v>0</v>
      </c>
      <c r="OH451" s="2">
        <v>0</v>
      </c>
      <c r="OM451" s="2">
        <v>0</v>
      </c>
      <c r="ON451" s="2">
        <v>5.1</v>
      </c>
      <c r="OO451" s="2">
        <v>0</v>
      </c>
      <c r="OP451" s="2">
        <v>0</v>
      </c>
      <c r="OQ451" s="2">
        <v>0</v>
      </c>
      <c r="OR451" s="2">
        <v>0</v>
      </c>
      <c r="OS451" s="2">
        <v>0</v>
      </c>
      <c r="OT451" s="2">
        <v>0.1</v>
      </c>
      <c r="OU451" s="2">
        <v>0</v>
      </c>
      <c r="OV451" s="2">
        <v>0</v>
      </c>
      <c r="OW451" s="2">
        <v>0</v>
      </c>
      <c r="OX451" s="2">
        <v>0</v>
      </c>
      <c r="PC451" s="2">
        <v>0</v>
      </c>
      <c r="PD451" s="2">
        <v>4.5</v>
      </c>
      <c r="PE451" s="2">
        <v>0</v>
      </c>
      <c r="PF451" s="2">
        <v>0</v>
      </c>
      <c r="PG451" s="2">
        <v>0</v>
      </c>
      <c r="PH451" s="2">
        <v>0</v>
      </c>
      <c r="PI451" s="2">
        <v>0</v>
      </c>
    </row>
    <row r="452">
      <c r="A452" t="inlineStr">
        <is>
          <t>A130398759C</t>
        </is>
      </c>
      <c r="B452" t="inlineStr">
        <is>
          <t>Percentage Change from Previous Period ;  Preschool and primary education ;  Australia ;</t>
        </is>
      </c>
      <c r="C452" t="inlineStr">
        <is>
          <t>Month</t>
        </is>
      </c>
      <c r="D452" t="inlineStr">
        <is>
          <t>Percent</t>
        </is>
      </c>
      <c r="E452" t="inlineStr">
        <is>
          <t>Original</t>
        </is>
      </c>
      <c r="F452" t="inlineStr">
        <is>
          <t>640103.xlsx</t>
        </is>
      </c>
      <c r="G452" t="inlineStr">
        <is>
          <t>2024-05</t>
        </is>
      </c>
      <c r="H452" t="inlineStr">
        <is>
          <t>2026-07</t>
        </is>
      </c>
      <c r="OA452" s="2">
        <v>0.1</v>
      </c>
      <c r="OB452" s="2">
        <v>0.1</v>
      </c>
      <c r="OC452" s="2">
        <v>0.1</v>
      </c>
      <c r="OD452" s="2">
        <v>0.5</v>
      </c>
      <c r="OE452" s="2">
        <v>0.2</v>
      </c>
      <c r="OF452" s="2">
        <v>0.1</v>
      </c>
      <c r="OG452" s="2">
        <v>0.1</v>
      </c>
      <c r="OH452" s="2">
        <v>0.1</v>
      </c>
      <c r="OM452" s="2">
        <v>-0.1</v>
      </c>
      <c r="ON452" s="2">
        <v>5.2</v>
      </c>
      <c r="OO452" s="2">
        <v>0.2</v>
      </c>
      <c r="OP452" s="2">
        <v>0</v>
      </c>
      <c r="OQ452" s="2">
        <v>0</v>
      </c>
      <c r="OR452" s="2">
        <v>0.2</v>
      </c>
      <c r="OS452" s="2">
        <v>0.1</v>
      </c>
      <c r="OT452" s="2">
        <v>0.4</v>
      </c>
      <c r="OU452" s="2">
        <v>0.1</v>
      </c>
      <c r="OV452" s="2">
        <v>0.1</v>
      </c>
      <c r="OW452" s="2">
        <v>0.1</v>
      </c>
      <c r="OX452" s="2">
        <v>0.1</v>
      </c>
      <c r="PC452" s="2">
        <v>-0.2</v>
      </c>
      <c r="PD452" s="2">
        <v>4.4</v>
      </c>
      <c r="PE452" s="2">
        <v>0.2</v>
      </c>
      <c r="PF452" s="2">
        <v>0</v>
      </c>
      <c r="PG452" s="2">
        <v>0</v>
      </c>
      <c r="PH452" s="2">
        <v>0.1</v>
      </c>
      <c r="PI452" s="2">
        <v>0.1</v>
      </c>
    </row>
    <row r="453">
      <c r="A453" t="inlineStr">
        <is>
          <t>A130390054J</t>
        </is>
      </c>
      <c r="B453" t="inlineStr">
        <is>
          <t>Percentage Change from Previous Period ;  Secondary education ;  Australia ;</t>
        </is>
      </c>
      <c r="C453" t="inlineStr">
        <is>
          <t>Month</t>
        </is>
      </c>
      <c r="D453" t="inlineStr">
        <is>
          <t>Percent</t>
        </is>
      </c>
      <c r="E453" t="inlineStr">
        <is>
          <t>Original</t>
        </is>
      </c>
      <c r="F453" t="inlineStr">
        <is>
          <t>640103.xlsx</t>
        </is>
      </c>
      <c r="G453" t="inlineStr">
        <is>
          <t>2017-10</t>
        </is>
      </c>
      <c r="H453" t="inlineStr">
        <is>
          <t>2026-07</t>
        </is>
      </c>
      <c r="JX453" s="2">
        <v>0</v>
      </c>
      <c r="JY453" s="2">
        <v>0</v>
      </c>
      <c r="JZ453" s="2">
        <v>0</v>
      </c>
      <c r="KE453" s="2">
        <v>0</v>
      </c>
      <c r="KF453" s="2">
        <v>3.4</v>
      </c>
      <c r="KG453" s="2">
        <v>0</v>
      </c>
      <c r="KH453" s="2">
        <v>0</v>
      </c>
      <c r="KI453" s="2">
        <v>0</v>
      </c>
      <c r="KJ453" s="2">
        <v>0</v>
      </c>
      <c r="KK453" s="2">
        <v>0</v>
      </c>
      <c r="KL453" s="2">
        <v>0</v>
      </c>
      <c r="KM453" s="2">
        <v>0</v>
      </c>
      <c r="KN453" s="2">
        <v>0</v>
      </c>
      <c r="KO453" s="2">
        <v>0</v>
      </c>
      <c r="KP453" s="2">
        <v>0</v>
      </c>
      <c r="KU453" s="2">
        <v>0</v>
      </c>
      <c r="KV453" s="2">
        <v>4.2</v>
      </c>
      <c r="KW453" s="2">
        <v>0</v>
      </c>
      <c r="KX453" s="2">
        <v>0</v>
      </c>
      <c r="KY453" s="2">
        <v>0</v>
      </c>
      <c r="KZ453" s="2">
        <v>0</v>
      </c>
      <c r="LA453" s="2">
        <v>0</v>
      </c>
      <c r="LB453" s="2">
        <v>0</v>
      </c>
      <c r="LC453" s="2">
        <v>0</v>
      </c>
      <c r="LD453" s="2">
        <v>0</v>
      </c>
      <c r="LE453" s="2">
        <v>0</v>
      </c>
      <c r="LF453" s="2">
        <v>0</v>
      </c>
      <c r="LK453" s="2">
        <v>0</v>
      </c>
      <c r="LL453" s="2">
        <v>3.4</v>
      </c>
      <c r="LM453" s="2">
        <v>0</v>
      </c>
      <c r="LN453" s="2">
        <v>0</v>
      </c>
      <c r="LO453" s="2">
        <v>-0.1</v>
      </c>
      <c r="LP453" s="2">
        <v>0</v>
      </c>
      <c r="LQ453" s="2">
        <v>0</v>
      </c>
      <c r="LR453" s="2">
        <v>0</v>
      </c>
      <c r="LS453" s="2">
        <v>0</v>
      </c>
      <c r="LT453" s="2">
        <v>0</v>
      </c>
      <c r="LU453" s="2">
        <v>0</v>
      </c>
      <c r="LV453" s="2">
        <v>0</v>
      </c>
      <c r="MA453" s="2">
        <v>0</v>
      </c>
      <c r="MB453" s="2">
        <v>1.8</v>
      </c>
      <c r="MC453" s="2">
        <v>0</v>
      </c>
      <c r="MD453" s="2">
        <v>0</v>
      </c>
      <c r="ME453" s="2">
        <v>0</v>
      </c>
      <c r="MF453" s="2">
        <v>0</v>
      </c>
      <c r="MG453" s="2">
        <v>0</v>
      </c>
      <c r="MH453" s="2">
        <v>0</v>
      </c>
      <c r="MI453" s="2">
        <v>0</v>
      </c>
      <c r="MJ453" s="2">
        <v>0</v>
      </c>
      <c r="MK453" s="2">
        <v>0</v>
      </c>
      <c r="ML453" s="2">
        <v>0</v>
      </c>
      <c r="MQ453" s="2">
        <v>0</v>
      </c>
      <c r="MR453" s="2">
        <v>3</v>
      </c>
      <c r="MS453" s="2">
        <v>0</v>
      </c>
      <c r="MT453" s="2">
        <v>0</v>
      </c>
      <c r="MU453" s="2">
        <v>0</v>
      </c>
      <c r="MV453" s="2">
        <v>0</v>
      </c>
      <c r="MW453" s="2">
        <v>0</v>
      </c>
      <c r="MX453" s="2">
        <v>0</v>
      </c>
      <c r="MY453" s="2">
        <v>0</v>
      </c>
      <c r="MZ453" s="2">
        <v>0</v>
      </c>
      <c r="NA453" s="2">
        <v>0</v>
      </c>
      <c r="NB453" s="2">
        <v>0</v>
      </c>
      <c r="NG453" s="2">
        <v>0</v>
      </c>
      <c r="NH453" s="2">
        <v>4.9</v>
      </c>
      <c r="NI453" s="2">
        <v>0</v>
      </c>
      <c r="NJ453" s="2">
        <v>0</v>
      </c>
      <c r="NK453" s="2">
        <v>0</v>
      </c>
      <c r="NL453" s="2">
        <v>0</v>
      </c>
      <c r="NM453" s="2">
        <v>0</v>
      </c>
      <c r="NN453" s="2">
        <v>0</v>
      </c>
      <c r="NO453" s="2">
        <v>0</v>
      </c>
      <c r="NP453" s="2">
        <v>0</v>
      </c>
      <c r="NQ453" s="2">
        <v>0</v>
      </c>
      <c r="NR453" s="2">
        <v>0</v>
      </c>
      <c r="NW453" s="2">
        <v>0</v>
      </c>
      <c r="NX453" s="2">
        <v>6.1</v>
      </c>
      <c r="NY453" s="2">
        <v>0</v>
      </c>
      <c r="NZ453" s="2">
        <v>0</v>
      </c>
      <c r="OA453" s="2">
        <v>0</v>
      </c>
      <c r="OB453" s="2">
        <v>0</v>
      </c>
      <c r="OC453" s="2">
        <v>0</v>
      </c>
      <c r="OD453" s="2">
        <v>0</v>
      </c>
      <c r="OE453" s="2">
        <v>0</v>
      </c>
      <c r="OF453" s="2">
        <v>0</v>
      </c>
      <c r="OG453" s="2">
        <v>0</v>
      </c>
      <c r="OH453" s="2">
        <v>0</v>
      </c>
      <c r="OM453" s="2">
        <v>0</v>
      </c>
      <c r="ON453" s="2">
        <v>6.3</v>
      </c>
      <c r="OO453" s="2">
        <v>0</v>
      </c>
      <c r="OP453" s="2">
        <v>0</v>
      </c>
      <c r="OQ453" s="2">
        <v>0</v>
      </c>
      <c r="OR453" s="2">
        <v>0</v>
      </c>
      <c r="OS453" s="2">
        <v>0</v>
      </c>
      <c r="OT453" s="2">
        <v>0</v>
      </c>
      <c r="OU453" s="2">
        <v>0</v>
      </c>
      <c r="OV453" s="2">
        <v>0</v>
      </c>
      <c r="OW453" s="2">
        <v>0</v>
      </c>
      <c r="OX453" s="2">
        <v>0</v>
      </c>
      <c r="PC453" s="2">
        <v>0</v>
      </c>
      <c r="PD453" s="2">
        <v>6.6</v>
      </c>
      <c r="PE453" s="2">
        <v>0</v>
      </c>
      <c r="PF453" s="2">
        <v>0</v>
      </c>
      <c r="PG453" s="2">
        <v>0</v>
      </c>
      <c r="PH453" s="2">
        <v>0</v>
      </c>
      <c r="PI453" s="2">
        <v>0</v>
      </c>
    </row>
    <row r="454">
      <c r="A454" t="inlineStr">
        <is>
          <t>A130396242A</t>
        </is>
      </c>
      <c r="B454" t="inlineStr">
        <is>
          <t>Percentage Change from Previous Period ;  Tertiary education ;  Australia ;</t>
        </is>
      </c>
      <c r="C454" t="inlineStr">
        <is>
          <t>Month</t>
        </is>
      </c>
      <c r="D454" t="inlineStr">
        <is>
          <t>Percent</t>
        </is>
      </c>
      <c r="E454" t="inlineStr">
        <is>
          <t>Original</t>
        </is>
      </c>
      <c r="F454" t="inlineStr">
        <is>
          <t>640103.xlsx</t>
        </is>
      </c>
      <c r="G454" t="inlineStr">
        <is>
          <t>2017-10</t>
        </is>
      </c>
      <c r="H454" t="inlineStr">
        <is>
          <t>2026-07</t>
        </is>
      </c>
      <c r="JX454" s="2">
        <v>0</v>
      </c>
      <c r="JY454" s="2">
        <v>0</v>
      </c>
      <c r="JZ454" s="2">
        <v>0</v>
      </c>
      <c r="KE454" s="2">
        <v>0</v>
      </c>
      <c r="KF454" s="2">
        <v>1.4</v>
      </c>
      <c r="KG454" s="2">
        <v>0</v>
      </c>
      <c r="KH454" s="2">
        <v>0</v>
      </c>
      <c r="KI454" s="2">
        <v>0</v>
      </c>
      <c r="KJ454" s="2">
        <v>0</v>
      </c>
      <c r="KK454" s="2">
        <v>0</v>
      </c>
      <c r="KL454" s="2">
        <v>1.1</v>
      </c>
      <c r="KM454" s="2">
        <v>0</v>
      </c>
      <c r="KN454" s="2">
        <v>0</v>
      </c>
      <c r="KO454" s="2">
        <v>0</v>
      </c>
      <c r="KP454" s="2">
        <v>0</v>
      </c>
      <c r="KU454" s="2">
        <v>0</v>
      </c>
      <c r="KV454" s="2">
        <v>1.5</v>
      </c>
      <c r="KW454" s="2">
        <v>0</v>
      </c>
      <c r="KX454" s="2">
        <v>0</v>
      </c>
      <c r="KY454" s="2">
        <v>0</v>
      </c>
      <c r="KZ454" s="2">
        <v>0</v>
      </c>
      <c r="LA454" s="2">
        <v>0</v>
      </c>
      <c r="LB454" s="2">
        <v>0</v>
      </c>
      <c r="LC454" s="2">
        <v>0</v>
      </c>
      <c r="LD454" s="2">
        <v>0</v>
      </c>
      <c r="LE454" s="2">
        <v>0</v>
      </c>
      <c r="LF454" s="2">
        <v>0</v>
      </c>
      <c r="LK454" s="2">
        <v>0</v>
      </c>
      <c r="LL454" s="2">
        <v>1.3</v>
      </c>
      <c r="LM454" s="2">
        <v>0</v>
      </c>
      <c r="LN454" s="2">
        <v>0</v>
      </c>
      <c r="LO454" s="2">
        <v>0</v>
      </c>
      <c r="LP454" s="2">
        <v>0</v>
      </c>
      <c r="LQ454" s="2">
        <v>0</v>
      </c>
      <c r="LR454" s="2">
        <v>-0.1</v>
      </c>
      <c r="LS454" s="2">
        <v>0</v>
      </c>
      <c r="LT454" s="2">
        <v>0</v>
      </c>
      <c r="LU454" s="2">
        <v>0</v>
      </c>
      <c r="LV454" s="2">
        <v>0</v>
      </c>
      <c r="MA454" s="2">
        <v>2.7</v>
      </c>
      <c r="MB454" s="2">
        <v>-4.2</v>
      </c>
      <c r="MC454" s="2">
        <v>0</v>
      </c>
      <c r="MD454" s="2">
        <v>0</v>
      </c>
      <c r="ME454" s="2">
        <v>0</v>
      </c>
      <c r="MF454" s="2">
        <v>0</v>
      </c>
      <c r="MG454" s="2">
        <v>0</v>
      </c>
      <c r="MH454" s="2">
        <v>0</v>
      </c>
      <c r="MI454" s="2">
        <v>0</v>
      </c>
      <c r="MJ454" s="2">
        <v>0</v>
      </c>
      <c r="MK454" s="2">
        <v>0</v>
      </c>
      <c r="ML454" s="2">
        <v>0</v>
      </c>
      <c r="MQ454" s="2">
        <v>0</v>
      </c>
      <c r="MR454" s="2">
        <v>6.4</v>
      </c>
      <c r="MS454" s="2">
        <v>0</v>
      </c>
      <c r="MT454" s="2">
        <v>0</v>
      </c>
      <c r="MU454" s="2">
        <v>0</v>
      </c>
      <c r="MV454" s="2">
        <v>0</v>
      </c>
      <c r="MW454" s="2">
        <v>0</v>
      </c>
      <c r="MX454" s="2">
        <v>-0.1</v>
      </c>
      <c r="MY454" s="2">
        <v>0</v>
      </c>
      <c r="MZ454" s="2">
        <v>0</v>
      </c>
      <c r="NA454" s="2">
        <v>0</v>
      </c>
      <c r="NB454" s="2">
        <v>0</v>
      </c>
      <c r="NG454" s="2">
        <v>0</v>
      </c>
      <c r="NH454" s="2">
        <v>9.699999999999999</v>
      </c>
      <c r="NI454" s="2">
        <v>0</v>
      </c>
      <c r="NJ454" s="2">
        <v>0</v>
      </c>
      <c r="NK454" s="2">
        <v>0</v>
      </c>
      <c r="NL454" s="2">
        <v>0</v>
      </c>
      <c r="NM454" s="2">
        <v>0</v>
      </c>
      <c r="NN454" s="2">
        <v>0.5</v>
      </c>
      <c r="NO454" s="2">
        <v>0</v>
      </c>
      <c r="NP454" s="2">
        <v>0</v>
      </c>
      <c r="NQ454" s="2">
        <v>0</v>
      </c>
      <c r="NR454" s="2">
        <v>0</v>
      </c>
      <c r="NW454" s="2">
        <v>0</v>
      </c>
      <c r="NX454" s="2">
        <v>6.5</v>
      </c>
      <c r="NY454" s="2">
        <v>0</v>
      </c>
      <c r="NZ454" s="2">
        <v>0</v>
      </c>
      <c r="OA454" s="2">
        <v>0</v>
      </c>
      <c r="OB454" s="2">
        <v>0</v>
      </c>
      <c r="OC454" s="2">
        <v>0</v>
      </c>
      <c r="OD454" s="2">
        <v>0.1</v>
      </c>
      <c r="OE454" s="2">
        <v>0</v>
      </c>
      <c r="OF454" s="2">
        <v>0</v>
      </c>
      <c r="OG454" s="2">
        <v>0</v>
      </c>
      <c r="OH454" s="2">
        <v>0</v>
      </c>
      <c r="OM454" s="2">
        <v>0</v>
      </c>
      <c r="ON454" s="2">
        <v>3.6</v>
      </c>
      <c r="OO454" s="2">
        <v>0</v>
      </c>
      <c r="OP454" s="2">
        <v>0</v>
      </c>
      <c r="OQ454" s="2">
        <v>0</v>
      </c>
      <c r="OR454" s="2">
        <v>0</v>
      </c>
      <c r="OS454" s="2">
        <v>0</v>
      </c>
      <c r="OT454" s="2">
        <v>0.1</v>
      </c>
      <c r="OU454" s="2">
        <v>0</v>
      </c>
      <c r="OV454" s="2">
        <v>0</v>
      </c>
      <c r="OW454" s="2">
        <v>0</v>
      </c>
      <c r="OX454" s="2">
        <v>0</v>
      </c>
      <c r="PC454" s="2">
        <v>0</v>
      </c>
      <c r="PD454" s="2">
        <v>2.2</v>
      </c>
      <c r="PE454" s="2">
        <v>0</v>
      </c>
      <c r="PF454" s="2">
        <v>0</v>
      </c>
      <c r="PG454" s="2">
        <v>0</v>
      </c>
      <c r="PH454" s="2">
        <v>0</v>
      </c>
      <c r="PI454" s="2">
        <v>0</v>
      </c>
    </row>
    <row r="455">
      <c r="A455" t="inlineStr">
        <is>
          <t>A130392763K</t>
        </is>
      </c>
      <c r="B455" t="inlineStr">
        <is>
          <t>Percentage Change from Previous Period ;  Insurance and financial services ;  Australia ;</t>
        </is>
      </c>
      <c r="C455" t="inlineStr">
        <is>
          <t>Month</t>
        </is>
      </c>
      <c r="D455" t="inlineStr">
        <is>
          <t>Percent</t>
        </is>
      </c>
      <c r="E455" t="inlineStr">
        <is>
          <t>Original</t>
        </is>
      </c>
      <c r="F455" t="inlineStr">
        <is>
          <t>640103.xlsx</t>
        </is>
      </c>
      <c r="G455" t="inlineStr">
        <is>
          <t>2024-05</t>
        </is>
      </c>
      <c r="H455" t="inlineStr">
        <is>
          <t>2026-07</t>
        </is>
      </c>
      <c r="OA455" s="2">
        <v>0.2</v>
      </c>
      <c r="OB455" s="2">
        <v>0.7</v>
      </c>
      <c r="OC455" s="2">
        <v>0.2</v>
      </c>
      <c r="OD455" s="2">
        <v>0.1</v>
      </c>
      <c r="OE455" s="2">
        <v>0.7</v>
      </c>
      <c r="OF455" s="2">
        <v>0.2</v>
      </c>
      <c r="OG455" s="2">
        <v>0</v>
      </c>
      <c r="OH455" s="2">
        <v>0.5</v>
      </c>
      <c r="OM455" s="2">
        <v>0.4</v>
      </c>
      <c r="ON455" s="2">
        <v>0</v>
      </c>
      <c r="OO455" s="2">
        <v>0.4</v>
      </c>
      <c r="OP455" s="2">
        <v>-0.1</v>
      </c>
      <c r="OQ455" s="2">
        <v>-0.1</v>
      </c>
      <c r="OR455" s="2">
        <v>0.6</v>
      </c>
      <c r="OS455" s="2">
        <v>0.2</v>
      </c>
      <c r="OT455" s="2">
        <v>-0.1</v>
      </c>
      <c r="OU455" s="2">
        <v>0.3</v>
      </c>
      <c r="OV455" s="2">
        <v>0.2</v>
      </c>
      <c r="OW455" s="2">
        <v>0.1</v>
      </c>
      <c r="OX455" s="2">
        <v>0.5</v>
      </c>
      <c r="PC455" s="2">
        <v>0.3</v>
      </c>
      <c r="PD455" s="2">
        <v>0.1</v>
      </c>
      <c r="PE455" s="2">
        <v>0.8</v>
      </c>
      <c r="PF455" s="2">
        <v>0.1</v>
      </c>
      <c r="PG455" s="2">
        <v>0.2</v>
      </c>
      <c r="PH455" s="2">
        <v>0.5</v>
      </c>
      <c r="PI455" s="2">
        <v>0.2</v>
      </c>
    </row>
    <row r="456">
      <c r="A456" t="inlineStr">
        <is>
          <t>A130393946V</t>
        </is>
      </c>
      <c r="B456" t="inlineStr">
        <is>
          <t>Percentage Change from Previous Period ;  Insurance ;  Australia ;</t>
        </is>
      </c>
      <c r="C456" t="inlineStr">
        <is>
          <t>Month</t>
        </is>
      </c>
      <c r="D456" t="inlineStr">
        <is>
          <t>Percent</t>
        </is>
      </c>
      <c r="E456" t="inlineStr">
        <is>
          <t>Original</t>
        </is>
      </c>
      <c r="F456" t="inlineStr">
        <is>
          <t>640103.xlsx</t>
        </is>
      </c>
      <c r="G456" t="inlineStr">
        <is>
          <t>2024-05</t>
        </is>
      </c>
      <c r="H456" t="inlineStr">
        <is>
          <t>2026-07</t>
        </is>
      </c>
      <c r="OA456" s="2">
        <v>0.9</v>
      </c>
      <c r="OB456" s="2">
        <v>0.8</v>
      </c>
      <c r="OC456" s="2">
        <v>0.8</v>
      </c>
      <c r="OD456" s="2">
        <v>1.1</v>
      </c>
      <c r="OE456" s="2">
        <v>0.4</v>
      </c>
      <c r="OF456" s="2">
        <v>0.4</v>
      </c>
      <c r="OG456" s="2">
        <v>0.4</v>
      </c>
      <c r="OH456" s="2">
        <v>0.1</v>
      </c>
      <c r="OM456" s="2">
        <v>1.8</v>
      </c>
      <c r="ON456" s="2">
        <v>0</v>
      </c>
      <c r="OO456" s="2">
        <v>-0.5</v>
      </c>
      <c r="OP456" s="2">
        <v>-0.5</v>
      </c>
      <c r="OQ456" s="2">
        <v>-0.4</v>
      </c>
      <c r="OR456" s="2">
        <v>0.3</v>
      </c>
      <c r="OS456" s="2">
        <v>0.8</v>
      </c>
      <c r="OT456" s="2">
        <v>-0.6</v>
      </c>
      <c r="OU456" s="2">
        <v>0.3</v>
      </c>
      <c r="OV456" s="2">
        <v>0.6</v>
      </c>
      <c r="OW456" s="2">
        <v>0.6</v>
      </c>
      <c r="OX456" s="2">
        <v>0.2</v>
      </c>
      <c r="PC456" s="2">
        <v>1.4</v>
      </c>
      <c r="PD456" s="2">
        <v>0.4</v>
      </c>
      <c r="PE456" s="2">
        <v>0.7</v>
      </c>
      <c r="PF456" s="2">
        <v>0.3</v>
      </c>
      <c r="PG456" s="2">
        <v>0.5</v>
      </c>
      <c r="PH456" s="2">
        <v>-0.3</v>
      </c>
      <c r="PI456" s="2">
        <v>0.2</v>
      </c>
    </row>
    <row r="457">
      <c r="A457" t="inlineStr">
        <is>
          <t>A130392637W</t>
        </is>
      </c>
      <c r="B457" t="inlineStr">
        <is>
          <t>Percentage Change from Previous Period ;  Insurance ;  Australia ;</t>
        </is>
      </c>
      <c r="C457" t="inlineStr">
        <is>
          <t>Month</t>
        </is>
      </c>
      <c r="D457" t="inlineStr">
        <is>
          <t>Percent</t>
        </is>
      </c>
      <c r="E457" t="inlineStr">
        <is>
          <t>Original</t>
        </is>
      </c>
      <c r="F457" t="inlineStr">
        <is>
          <t>640103.xlsx</t>
        </is>
      </c>
      <c r="G457" t="inlineStr">
        <is>
          <t>2024-05</t>
        </is>
      </c>
      <c r="H457" t="inlineStr">
        <is>
          <t>2026-07</t>
        </is>
      </c>
      <c r="OA457" s="2">
        <v>0.9</v>
      </c>
      <c r="OB457" s="2">
        <v>0.8</v>
      </c>
      <c r="OC457" s="2">
        <v>0.8</v>
      </c>
      <c r="OD457" s="2">
        <v>1.1</v>
      </c>
      <c r="OE457" s="2">
        <v>0.4</v>
      </c>
      <c r="OF457" s="2">
        <v>0.4</v>
      </c>
      <c r="OG457" s="2">
        <v>0.4</v>
      </c>
      <c r="OH457" s="2">
        <v>0.1</v>
      </c>
      <c r="OM457" s="2">
        <v>1.8</v>
      </c>
      <c r="ON457" s="2">
        <v>0</v>
      </c>
      <c r="OO457" s="2">
        <v>-0.5</v>
      </c>
      <c r="OP457" s="2">
        <v>-0.5</v>
      </c>
      <c r="OQ457" s="2">
        <v>-0.4</v>
      </c>
      <c r="OR457" s="2">
        <v>0.3</v>
      </c>
      <c r="OS457" s="2">
        <v>0.8</v>
      </c>
      <c r="OT457" s="2">
        <v>-0.6</v>
      </c>
      <c r="OU457" s="2">
        <v>0.3</v>
      </c>
      <c r="OV457" s="2">
        <v>0.6</v>
      </c>
      <c r="OW457" s="2">
        <v>0.6</v>
      </c>
      <c r="OX457" s="2">
        <v>0.2</v>
      </c>
      <c r="PC457" s="2">
        <v>1.4</v>
      </c>
      <c r="PD457" s="2">
        <v>0.4</v>
      </c>
      <c r="PE457" s="2">
        <v>0.7</v>
      </c>
      <c r="PF457" s="2">
        <v>0.3</v>
      </c>
      <c r="PG457" s="2">
        <v>0.5</v>
      </c>
      <c r="PH457" s="2">
        <v>-0.3</v>
      </c>
      <c r="PI457" s="2">
        <v>0.2</v>
      </c>
    </row>
    <row r="458">
      <c r="A458" t="inlineStr">
        <is>
          <t>A130399116T</t>
        </is>
      </c>
      <c r="B458" t="inlineStr">
        <is>
          <t>Percentage Change from Previous Period ;  Financial services ;  Australia ;</t>
        </is>
      </c>
      <c r="C458" t="inlineStr">
        <is>
          <t>Month</t>
        </is>
      </c>
      <c r="D458" t="inlineStr">
        <is>
          <t>Percent</t>
        </is>
      </c>
      <c r="E458" t="inlineStr">
        <is>
          <t>Original</t>
        </is>
      </c>
      <c r="F458" t="inlineStr">
        <is>
          <t>640103.xlsx</t>
        </is>
      </c>
      <c r="G458" t="inlineStr">
        <is>
          <t>2017-10</t>
        </is>
      </c>
      <c r="H458" t="inlineStr">
        <is>
          <t>2026-07</t>
        </is>
      </c>
      <c r="JX458" s="2">
        <v>-0.4</v>
      </c>
      <c r="JY458" s="2">
        <v>0</v>
      </c>
      <c r="JZ458" s="2">
        <v>0</v>
      </c>
      <c r="KE458" s="2">
        <v>0</v>
      </c>
      <c r="KF458" s="2">
        <v>0</v>
      </c>
      <c r="KG458" s="2">
        <v>0.3</v>
      </c>
      <c r="KH458" s="2">
        <v>0</v>
      </c>
      <c r="KI458" s="2">
        <v>0</v>
      </c>
      <c r="KJ458" s="2">
        <v>0.3</v>
      </c>
      <c r="KK458" s="2">
        <v>0</v>
      </c>
      <c r="KL458" s="2">
        <v>0</v>
      </c>
      <c r="KM458" s="2">
        <v>0.4</v>
      </c>
      <c r="KN458" s="2">
        <v>0</v>
      </c>
      <c r="KO458" s="2">
        <v>0</v>
      </c>
      <c r="KP458" s="2">
        <v>0.2</v>
      </c>
      <c r="KU458" s="2">
        <v>0</v>
      </c>
      <c r="KV458" s="2">
        <v>0</v>
      </c>
      <c r="KW458" s="2">
        <v>-0.1</v>
      </c>
      <c r="KX458" s="2">
        <v>0</v>
      </c>
      <c r="KY458" s="2">
        <v>0</v>
      </c>
      <c r="KZ458" s="2">
        <v>0.1</v>
      </c>
      <c r="LA458" s="2">
        <v>0.1</v>
      </c>
      <c r="LB458" s="2">
        <v>0</v>
      </c>
      <c r="LC458" s="2">
        <v>0.2</v>
      </c>
      <c r="LD458" s="2">
        <v>0</v>
      </c>
      <c r="LE458" s="2">
        <v>0.1</v>
      </c>
      <c r="LF458" s="2">
        <v>0.5</v>
      </c>
      <c r="LK458" s="2">
        <v>0</v>
      </c>
      <c r="LL458" s="2">
        <v>0</v>
      </c>
      <c r="LM458" s="2">
        <v>0.6</v>
      </c>
      <c r="LN458" s="2">
        <v>-0.2</v>
      </c>
      <c r="LO458" s="2">
        <v>0</v>
      </c>
      <c r="LP458" s="2">
        <v>0.5</v>
      </c>
      <c r="LQ458" s="2">
        <v>0</v>
      </c>
      <c r="LR458" s="2">
        <v>0</v>
      </c>
      <c r="LS458" s="2">
        <v>-0.1</v>
      </c>
      <c r="LT458" s="2">
        <v>0.1</v>
      </c>
      <c r="LU458" s="2">
        <v>0</v>
      </c>
      <c r="LV458" s="2">
        <v>-0.1</v>
      </c>
      <c r="MA458" s="2">
        <v>0</v>
      </c>
      <c r="MB458" s="2">
        <v>0</v>
      </c>
      <c r="MC458" s="2">
        <v>-0.1</v>
      </c>
      <c r="MD458" s="2">
        <v>0</v>
      </c>
      <c r="ME458" s="2">
        <v>-0.2</v>
      </c>
      <c r="MF458" s="2">
        <v>0.3</v>
      </c>
      <c r="MG458" s="2">
        <v>-0.3</v>
      </c>
      <c r="MH458" s="2">
        <v>0</v>
      </c>
      <c r="MI458" s="2">
        <v>0.6</v>
      </c>
      <c r="MJ458" s="2">
        <v>0</v>
      </c>
      <c r="MK458" s="2">
        <v>0</v>
      </c>
      <c r="ML458" s="2">
        <v>1.4</v>
      </c>
      <c r="MQ458" s="2">
        <v>0</v>
      </c>
      <c r="MR458" s="2">
        <v>0</v>
      </c>
      <c r="MS458" s="2">
        <v>0.4</v>
      </c>
      <c r="MT458" s="2">
        <v>-0.2</v>
      </c>
      <c r="MU458" s="2">
        <v>0</v>
      </c>
      <c r="MV458" s="2">
        <v>1.4</v>
      </c>
      <c r="MW458" s="2">
        <v>0</v>
      </c>
      <c r="MX458" s="2">
        <v>-0.1</v>
      </c>
      <c r="MY458" s="2">
        <v>1.2</v>
      </c>
      <c r="MZ458" s="2">
        <v>0</v>
      </c>
      <c r="NA458" s="2">
        <v>0.1</v>
      </c>
      <c r="NB458" s="2">
        <v>1.8</v>
      </c>
      <c r="NG458" s="2">
        <v>0</v>
      </c>
      <c r="NH458" s="2">
        <v>0</v>
      </c>
      <c r="NI458" s="2">
        <v>1.6</v>
      </c>
      <c r="NJ458" s="2">
        <v>0</v>
      </c>
      <c r="NK458" s="2">
        <v>0</v>
      </c>
      <c r="NL458" s="2">
        <v>2.3</v>
      </c>
      <c r="NM458" s="2">
        <v>0</v>
      </c>
      <c r="NN458" s="2">
        <v>0.1</v>
      </c>
      <c r="NO458" s="2">
        <v>0.9</v>
      </c>
      <c r="NP458" s="2">
        <v>0</v>
      </c>
      <c r="NQ458" s="2">
        <v>0</v>
      </c>
      <c r="NR458" s="2">
        <v>1</v>
      </c>
      <c r="NW458" s="2">
        <v>0</v>
      </c>
      <c r="NX458" s="2">
        <v>0</v>
      </c>
      <c r="NY458" s="2">
        <v>1.4</v>
      </c>
      <c r="NZ458" s="2">
        <v>0</v>
      </c>
      <c r="OA458" s="2">
        <v>0</v>
      </c>
      <c r="OB458" s="2">
        <v>0.7</v>
      </c>
      <c r="OC458" s="2">
        <v>0</v>
      </c>
      <c r="OD458" s="2">
        <v>-0.2</v>
      </c>
      <c r="OE458" s="2">
        <v>0.8</v>
      </c>
      <c r="OF458" s="2">
        <v>0.2</v>
      </c>
      <c r="OG458" s="2">
        <v>-0.2</v>
      </c>
      <c r="OH458" s="2">
        <v>0.7</v>
      </c>
      <c r="OM458" s="2">
        <v>0</v>
      </c>
      <c r="ON458" s="2">
        <v>0</v>
      </c>
      <c r="OO458" s="2">
        <v>0.7</v>
      </c>
      <c r="OP458" s="2">
        <v>0.1</v>
      </c>
      <c r="OQ458" s="2">
        <v>0</v>
      </c>
      <c r="OR458" s="2">
        <v>0.7</v>
      </c>
      <c r="OS458" s="2">
        <v>0.1</v>
      </c>
      <c r="OT458" s="2">
        <v>0</v>
      </c>
      <c r="OU458" s="2">
        <v>0.3</v>
      </c>
      <c r="OV458" s="2">
        <v>0.1</v>
      </c>
      <c r="OW458" s="2">
        <v>-0.1</v>
      </c>
      <c r="OX458" s="2">
        <v>0.5</v>
      </c>
      <c r="PC458" s="2">
        <v>0</v>
      </c>
      <c r="PD458" s="2">
        <v>0</v>
      </c>
      <c r="PE458" s="2">
        <v>0.8</v>
      </c>
      <c r="PF458" s="2">
        <v>0</v>
      </c>
      <c r="PG458" s="2">
        <v>0</v>
      </c>
      <c r="PH458" s="2">
        <v>0.8</v>
      </c>
      <c r="PI458" s="2">
        <v>0.2</v>
      </c>
    </row>
    <row r="459">
      <c r="A459" t="inlineStr">
        <is>
          <t>A130399102C</t>
        </is>
      </c>
      <c r="B459" t="inlineStr">
        <is>
          <t>Percentage Change from Previous Period ;  Deposit and loan facilities (direct charges) ;  Australia ;</t>
        </is>
      </c>
      <c r="C459" t="inlineStr">
        <is>
          <t>Month</t>
        </is>
      </c>
      <c r="D459" t="inlineStr">
        <is>
          <t>Percent</t>
        </is>
      </c>
      <c r="E459" t="inlineStr">
        <is>
          <t>Original</t>
        </is>
      </c>
      <c r="F459" t="inlineStr">
        <is>
          <t>640103.xlsx</t>
        </is>
      </c>
      <c r="G459" t="inlineStr">
        <is>
          <t>2017-10</t>
        </is>
      </c>
      <c r="H459" t="inlineStr">
        <is>
          <t>2026-07</t>
        </is>
      </c>
      <c r="JX459" s="2">
        <v>-2.8</v>
      </c>
      <c r="JY459" s="2">
        <v>0</v>
      </c>
      <c r="JZ459" s="2">
        <v>-0.9</v>
      </c>
      <c r="KE459" s="2">
        <v>0</v>
      </c>
      <c r="KF459" s="2">
        <v>0</v>
      </c>
      <c r="KG459" s="2">
        <v>0</v>
      </c>
      <c r="KH459" s="2">
        <v>0</v>
      </c>
      <c r="KI459" s="2">
        <v>0</v>
      </c>
      <c r="KJ459" s="2">
        <v>0</v>
      </c>
      <c r="KK459" s="2">
        <v>0</v>
      </c>
      <c r="KL459" s="2">
        <v>0</v>
      </c>
      <c r="KM459" s="2">
        <v>0</v>
      </c>
      <c r="KN459" s="2">
        <v>0</v>
      </c>
      <c r="KO459" s="2">
        <v>0</v>
      </c>
      <c r="KP459" s="2">
        <v>0</v>
      </c>
      <c r="KU459" s="2">
        <v>0.2</v>
      </c>
      <c r="KV459" s="2">
        <v>0</v>
      </c>
      <c r="KW459" s="2">
        <v>0</v>
      </c>
      <c r="KX459" s="2">
        <v>0</v>
      </c>
      <c r="KY459" s="2">
        <v>0</v>
      </c>
      <c r="KZ459" s="2">
        <v>-2</v>
      </c>
      <c r="LA459" s="2">
        <v>0.6</v>
      </c>
      <c r="LB459" s="2">
        <v>0</v>
      </c>
      <c r="LC459" s="2">
        <v>0</v>
      </c>
      <c r="LD459" s="2">
        <v>0</v>
      </c>
      <c r="LE459" s="2">
        <v>0.5</v>
      </c>
      <c r="LF459" s="2">
        <v>1.3</v>
      </c>
      <c r="LK459" s="2">
        <v>-0.4</v>
      </c>
      <c r="LL459" s="2">
        <v>0</v>
      </c>
      <c r="LM459" s="2">
        <v>0</v>
      </c>
      <c r="LN459" s="2">
        <v>-1.5</v>
      </c>
      <c r="LO459" s="2">
        <v>0</v>
      </c>
      <c r="LP459" s="2">
        <v>0.4</v>
      </c>
      <c r="LQ459" s="2">
        <v>0</v>
      </c>
      <c r="LR459" s="2">
        <v>0</v>
      </c>
      <c r="LS459" s="2">
        <v>0</v>
      </c>
      <c r="LT459" s="2">
        <v>0.7</v>
      </c>
      <c r="LU459" s="2">
        <v>0</v>
      </c>
      <c r="LV459" s="2">
        <v>0</v>
      </c>
      <c r="MA459" s="2">
        <v>0</v>
      </c>
      <c r="MB459" s="2">
        <v>-0.3</v>
      </c>
      <c r="MC459" s="2">
        <v>0</v>
      </c>
      <c r="MD459" s="2">
        <v>0</v>
      </c>
      <c r="ME459" s="2">
        <v>-1.4</v>
      </c>
      <c r="MF459" s="2">
        <v>0</v>
      </c>
      <c r="MG459" s="2">
        <v>-2</v>
      </c>
      <c r="MH459" s="2">
        <v>0.1</v>
      </c>
      <c r="MI459" s="2">
        <v>0.1</v>
      </c>
      <c r="MJ459" s="2">
        <v>0.1</v>
      </c>
      <c r="MK459" s="2">
        <v>0.5</v>
      </c>
      <c r="ML459" s="2">
        <v>0.2</v>
      </c>
      <c r="MQ459" s="2">
        <v>-0.2</v>
      </c>
      <c r="MR459" s="2">
        <v>0.1</v>
      </c>
      <c r="MS459" s="2">
        <v>0</v>
      </c>
      <c r="MT459" s="2">
        <v>-1.8</v>
      </c>
      <c r="MU459" s="2">
        <v>0.1</v>
      </c>
      <c r="MV459" s="2">
        <v>0.6</v>
      </c>
      <c r="MW459" s="2">
        <v>0.1</v>
      </c>
      <c r="MX459" s="2">
        <v>-1.3</v>
      </c>
      <c r="MY459" s="2">
        <v>0.1</v>
      </c>
      <c r="MZ459" s="2">
        <v>0.2</v>
      </c>
      <c r="NA459" s="2">
        <v>1.4</v>
      </c>
      <c r="NB459" s="2">
        <v>-1.2</v>
      </c>
      <c r="NG459" s="2">
        <v>0.1</v>
      </c>
      <c r="NH459" s="2">
        <v>0.1</v>
      </c>
      <c r="NI459" s="2">
        <v>1.5</v>
      </c>
      <c r="NJ459" s="2">
        <v>0.1</v>
      </c>
      <c r="NK459" s="2">
        <v>0.1</v>
      </c>
      <c r="NL459" s="2">
        <v>0.4</v>
      </c>
      <c r="NM459" s="2">
        <v>0.1</v>
      </c>
      <c r="NN459" s="2">
        <v>1.1</v>
      </c>
      <c r="NO459" s="2">
        <v>2.1</v>
      </c>
      <c r="NP459" s="2">
        <v>0.1</v>
      </c>
      <c r="NQ459" s="2">
        <v>0.4</v>
      </c>
      <c r="NR459" s="2">
        <v>0.8</v>
      </c>
      <c r="NW459" s="2">
        <v>0.2</v>
      </c>
      <c r="NX459" s="2">
        <v>0.1</v>
      </c>
      <c r="NY459" s="2">
        <v>0.3</v>
      </c>
      <c r="NZ459" s="2">
        <v>0.3</v>
      </c>
      <c r="OA459" s="2">
        <v>0.1</v>
      </c>
      <c r="OB459" s="2">
        <v>0.3</v>
      </c>
      <c r="OC459" s="2">
        <v>0.1</v>
      </c>
      <c r="OD459" s="2">
        <v>-2.1</v>
      </c>
      <c r="OE459" s="2">
        <v>0.2</v>
      </c>
      <c r="OF459" s="2">
        <v>2.3</v>
      </c>
      <c r="OG459" s="2">
        <v>-1.6</v>
      </c>
      <c r="OH459" s="2">
        <v>0.2</v>
      </c>
      <c r="OM459" s="2">
        <v>0.1</v>
      </c>
      <c r="ON459" s="2">
        <v>0.3</v>
      </c>
      <c r="OO459" s="2">
        <v>2.2</v>
      </c>
      <c r="OP459" s="2">
        <v>0.6</v>
      </c>
      <c r="OQ459" s="2">
        <v>0</v>
      </c>
      <c r="OR459" s="2">
        <v>1.2</v>
      </c>
      <c r="OS459" s="2">
        <v>0.5</v>
      </c>
      <c r="OT459" s="2">
        <v>0.2</v>
      </c>
      <c r="OU459" s="2">
        <v>-1</v>
      </c>
      <c r="OV459" s="2">
        <v>1.1</v>
      </c>
      <c r="OW459" s="2">
        <v>-1</v>
      </c>
      <c r="OX459" s="2">
        <v>-0.2</v>
      </c>
      <c r="PC459" s="2">
        <v>0</v>
      </c>
      <c r="PD459" s="2">
        <v>0.1</v>
      </c>
      <c r="PE459" s="2">
        <v>0.9</v>
      </c>
      <c r="PF459" s="2">
        <v>-0.1</v>
      </c>
      <c r="PG459" s="2">
        <v>0.4</v>
      </c>
      <c r="PH459" s="2">
        <v>0</v>
      </c>
      <c r="PI459" s="2">
        <v>1.7</v>
      </c>
    </row>
    <row r="460">
      <c r="A460" t="inlineStr">
        <is>
          <t>A130392476V</t>
        </is>
      </c>
      <c r="B460" t="inlineStr">
        <is>
          <t>Percentage Change from Previous Period ;  Other financial services ;  Australia ;</t>
        </is>
      </c>
      <c r="C460" t="inlineStr">
        <is>
          <t>Month</t>
        </is>
      </c>
      <c r="D460" t="inlineStr">
        <is>
          <t>Percent</t>
        </is>
      </c>
      <c r="E460" t="inlineStr">
        <is>
          <t>Original</t>
        </is>
      </c>
      <c r="F460" t="inlineStr">
        <is>
          <t>640103.xlsx</t>
        </is>
      </c>
      <c r="G460" t="inlineStr">
        <is>
          <t>2017-10</t>
        </is>
      </c>
      <c r="H460" t="inlineStr">
        <is>
          <t>2026-07</t>
        </is>
      </c>
      <c r="JX460" s="2">
        <v>0</v>
      </c>
      <c r="JY460" s="2">
        <v>0</v>
      </c>
      <c r="JZ460" s="2">
        <v>0.1</v>
      </c>
      <c r="KE460" s="2">
        <v>0</v>
      </c>
      <c r="KF460" s="2">
        <v>0</v>
      </c>
      <c r="KG460" s="2">
        <v>0.3</v>
      </c>
      <c r="KH460" s="2">
        <v>0</v>
      </c>
      <c r="KI460" s="2">
        <v>0</v>
      </c>
      <c r="KJ460" s="2">
        <v>0.3</v>
      </c>
      <c r="KK460" s="2">
        <v>0</v>
      </c>
      <c r="KL460" s="2">
        <v>0</v>
      </c>
      <c r="KM460" s="2">
        <v>0.5</v>
      </c>
      <c r="KN460" s="2">
        <v>0</v>
      </c>
      <c r="KO460" s="2">
        <v>0</v>
      </c>
      <c r="KP460" s="2">
        <v>0.2</v>
      </c>
      <c r="KU460" s="2">
        <v>0</v>
      </c>
      <c r="KV460" s="2">
        <v>0</v>
      </c>
      <c r="KW460" s="2">
        <v>-0.2</v>
      </c>
      <c r="KX460" s="2">
        <v>0</v>
      </c>
      <c r="KY460" s="2">
        <v>0</v>
      </c>
      <c r="KZ460" s="2">
        <v>0.4</v>
      </c>
      <c r="LA460" s="2">
        <v>0</v>
      </c>
      <c r="LB460" s="2">
        <v>0</v>
      </c>
      <c r="LC460" s="2">
        <v>0.2</v>
      </c>
      <c r="LD460" s="2">
        <v>0</v>
      </c>
      <c r="LE460" s="2">
        <v>0</v>
      </c>
      <c r="LF460" s="2">
        <v>0.4</v>
      </c>
      <c r="LK460" s="2">
        <v>0</v>
      </c>
      <c r="LL460" s="2">
        <v>0</v>
      </c>
      <c r="LM460" s="2">
        <v>0.6</v>
      </c>
      <c r="LN460" s="2">
        <v>0</v>
      </c>
      <c r="LO460" s="2">
        <v>0</v>
      </c>
      <c r="LP460" s="2">
        <v>0.5</v>
      </c>
      <c r="LQ460" s="2">
        <v>0</v>
      </c>
      <c r="LR460" s="2">
        <v>0</v>
      </c>
      <c r="LS460" s="2">
        <v>-0.1</v>
      </c>
      <c r="LT460" s="2">
        <v>0</v>
      </c>
      <c r="LU460" s="2">
        <v>0</v>
      </c>
      <c r="LV460" s="2">
        <v>-0.1</v>
      </c>
      <c r="MA460" s="2">
        <v>0</v>
      </c>
      <c r="MB460" s="2">
        <v>0</v>
      </c>
      <c r="MC460" s="2">
        <v>-0.1</v>
      </c>
      <c r="MD460" s="2">
        <v>0</v>
      </c>
      <c r="ME460" s="2">
        <v>0</v>
      </c>
      <c r="MF460" s="2">
        <v>0.3</v>
      </c>
      <c r="MG460" s="2">
        <v>0</v>
      </c>
      <c r="MH460" s="2">
        <v>0</v>
      </c>
      <c r="MI460" s="2">
        <v>0.7</v>
      </c>
      <c r="MJ460" s="2">
        <v>0</v>
      </c>
      <c r="MK460" s="2">
        <v>0</v>
      </c>
      <c r="ML460" s="2">
        <v>1.5</v>
      </c>
      <c r="MQ460" s="2">
        <v>0</v>
      </c>
      <c r="MR460" s="2">
        <v>0</v>
      </c>
      <c r="MS460" s="2">
        <v>0.4</v>
      </c>
      <c r="MT460" s="2">
        <v>0</v>
      </c>
      <c r="MU460" s="2">
        <v>0</v>
      </c>
      <c r="MV460" s="2">
        <v>1.5</v>
      </c>
      <c r="MW460" s="2">
        <v>0</v>
      </c>
      <c r="MX460" s="2">
        <v>0</v>
      </c>
      <c r="MY460" s="2">
        <v>1.3</v>
      </c>
      <c r="MZ460" s="2">
        <v>0</v>
      </c>
      <c r="NA460" s="2">
        <v>0</v>
      </c>
      <c r="NB460" s="2">
        <v>2.1</v>
      </c>
      <c r="NG460" s="2">
        <v>0</v>
      </c>
      <c r="NH460" s="2">
        <v>0</v>
      </c>
      <c r="NI460" s="2">
        <v>1.6</v>
      </c>
      <c r="NJ460" s="2">
        <v>0</v>
      </c>
      <c r="NK460" s="2">
        <v>0</v>
      </c>
      <c r="NL460" s="2">
        <v>2.5</v>
      </c>
      <c r="NM460" s="2">
        <v>0</v>
      </c>
      <c r="NN460" s="2">
        <v>0</v>
      </c>
      <c r="NO460" s="2">
        <v>0.8</v>
      </c>
      <c r="NP460" s="2">
        <v>0</v>
      </c>
      <c r="NQ460" s="2">
        <v>0</v>
      </c>
      <c r="NR460" s="2">
        <v>1</v>
      </c>
      <c r="NW460" s="2">
        <v>0</v>
      </c>
      <c r="NX460" s="2">
        <v>0</v>
      </c>
      <c r="NY460" s="2">
        <v>1.5</v>
      </c>
      <c r="NZ460" s="2">
        <v>0</v>
      </c>
      <c r="OA460" s="2">
        <v>0</v>
      </c>
      <c r="OB460" s="2">
        <v>0.7</v>
      </c>
      <c r="OC460" s="2">
        <v>0</v>
      </c>
      <c r="OD460" s="2">
        <v>0</v>
      </c>
      <c r="OE460" s="2">
        <v>0.9</v>
      </c>
      <c r="OF460" s="2">
        <v>0</v>
      </c>
      <c r="OG460" s="2">
        <v>0</v>
      </c>
      <c r="OH460" s="2">
        <v>0.7</v>
      </c>
      <c r="OM460" s="2">
        <v>0</v>
      </c>
      <c r="ON460" s="2">
        <v>0</v>
      </c>
      <c r="OO460" s="2">
        <v>0.5</v>
      </c>
      <c r="OP460" s="2">
        <v>0</v>
      </c>
      <c r="OQ460" s="2">
        <v>0</v>
      </c>
      <c r="OR460" s="2">
        <v>0.6</v>
      </c>
      <c r="OS460" s="2">
        <v>0</v>
      </c>
      <c r="OT460" s="2">
        <v>0</v>
      </c>
      <c r="OU460" s="2">
        <v>0.4</v>
      </c>
      <c r="OV460" s="2">
        <v>0</v>
      </c>
      <c r="OW460" s="2">
        <v>0</v>
      </c>
      <c r="OX460" s="2">
        <v>0.6</v>
      </c>
      <c r="PC460" s="2">
        <v>0</v>
      </c>
      <c r="PD460" s="2">
        <v>0</v>
      </c>
      <c r="PE460" s="2">
        <v>0.8</v>
      </c>
      <c r="PF460" s="2">
        <v>0</v>
      </c>
      <c r="PG460" s="2">
        <v>0</v>
      </c>
      <c r="PH460" s="2">
        <v>0.9</v>
      </c>
      <c r="PI460" s="2">
        <v>0</v>
      </c>
    </row>
    <row r="461">
      <c r="A461" t="inlineStr">
        <is>
          <t>A130393723K</t>
        </is>
      </c>
      <c r="B461" t="inlineStr">
        <is>
          <t>Contribution to All groups CPI Index Number ;  All groups CPI ;  Australia ;</t>
        </is>
      </c>
      <c r="C461" t="inlineStr">
        <is>
          <t>Month</t>
        </is>
      </c>
      <c r="D461" t="inlineStr">
        <is>
          <t>Index Points</t>
        </is>
      </c>
      <c r="E461" t="inlineStr">
        <is>
          <t>Original</t>
        </is>
      </c>
      <c r="F461" t="inlineStr">
        <is>
          <t>640103.xlsx</t>
        </is>
      </c>
      <c r="G461" t="inlineStr">
        <is>
          <t>2024-12</t>
        </is>
      </c>
      <c r="H461" t="inlineStr">
        <is>
          <t>2026-07</t>
        </is>
      </c>
      <c r="OH461" s="2">
        <v>97.31</v>
      </c>
      <c r="OM461" s="2">
        <v>97.58</v>
      </c>
      <c r="ON461" s="2">
        <v>97.67</v>
      </c>
      <c r="OO461" s="2">
        <v>97.95999999999999</v>
      </c>
      <c r="OP461" s="2">
        <v>98.68000000000001</v>
      </c>
      <c r="OQ461" s="2">
        <v>98.2</v>
      </c>
      <c r="OR461" s="2">
        <v>98.34</v>
      </c>
      <c r="OS461" s="2">
        <v>99.63</v>
      </c>
      <c r="OT461" s="2">
        <v>99.55</v>
      </c>
      <c r="OU461" s="2">
        <v>100</v>
      </c>
      <c r="OV461" s="2">
        <v>99.98999999999999</v>
      </c>
      <c r="OW461" s="2">
        <v>100.01</v>
      </c>
      <c r="OX461" s="2">
        <v>100.97</v>
      </c>
      <c r="PC461" s="2">
        <v>101.33</v>
      </c>
      <c r="PD461" s="2">
        <v>101.31</v>
      </c>
      <c r="PE461" s="2">
        <v>102.44</v>
      </c>
      <c r="PF461" s="2">
        <v>102.8</v>
      </c>
      <c r="PG461" s="2">
        <v>102.09</v>
      </c>
      <c r="PH461" s="2">
        <v>102.03</v>
      </c>
      <c r="PI461" s="2">
        <v>103.07</v>
      </c>
    </row>
    <row r="462">
      <c r="A462" t="inlineStr">
        <is>
          <t>A130395480R</t>
        </is>
      </c>
      <c r="B462" t="inlineStr">
        <is>
          <t>Contribution to All groups CPI Index Number ;  Food and non-alcoholic beverages ;  Australia ;</t>
        </is>
      </c>
      <c r="C462" t="inlineStr">
        <is>
          <t>Month</t>
        </is>
      </c>
      <c r="D462" t="inlineStr">
        <is>
          <t>Index Points</t>
        </is>
      </c>
      <c r="E462" t="inlineStr">
        <is>
          <t>Original</t>
        </is>
      </c>
      <c r="F462" t="inlineStr">
        <is>
          <t>640103.xlsx</t>
        </is>
      </c>
      <c r="G462" t="inlineStr">
        <is>
          <t>2024-12</t>
        </is>
      </c>
      <c r="H462" t="inlineStr">
        <is>
          <t>2026-07</t>
        </is>
      </c>
      <c r="OH462" s="2">
        <v>16.94</v>
      </c>
      <c r="OM462" s="2">
        <v>17.07</v>
      </c>
      <c r="ON462" s="2">
        <v>17.05</v>
      </c>
      <c r="OO462" s="2">
        <v>17.17</v>
      </c>
      <c r="OP462" s="2">
        <v>17.23</v>
      </c>
      <c r="OQ462" s="2">
        <v>17.25</v>
      </c>
      <c r="OR462" s="2">
        <v>17.33</v>
      </c>
      <c r="OS462" s="2">
        <v>17.39</v>
      </c>
      <c r="OT462" s="2">
        <v>17.4</v>
      </c>
      <c r="OU462" s="2">
        <v>17.36</v>
      </c>
      <c r="OV462" s="2">
        <v>17.38</v>
      </c>
      <c r="OW462" s="2">
        <v>17.45</v>
      </c>
      <c r="OX462" s="2">
        <v>17.52</v>
      </c>
      <c r="PC462" s="2">
        <v>17.61</v>
      </c>
      <c r="PD462" s="2">
        <v>17.58</v>
      </c>
      <c r="PE462" s="2">
        <v>17.7</v>
      </c>
      <c r="PF462" s="2">
        <v>17.71</v>
      </c>
      <c r="PG462" s="2">
        <v>17.82</v>
      </c>
      <c r="PH462" s="2">
        <v>17.89</v>
      </c>
      <c r="PI462" s="2">
        <v>17.94</v>
      </c>
    </row>
    <row r="463">
      <c r="A463" t="inlineStr">
        <is>
          <t>A130391707X</t>
        </is>
      </c>
      <c r="B463" t="inlineStr">
        <is>
          <t>Contribution to All groups CPI Index Number ;  Bread and cereal products ;  Australia ;</t>
        </is>
      </c>
      <c r="C463" t="inlineStr">
        <is>
          <t>Month</t>
        </is>
      </c>
      <c r="D463" t="inlineStr">
        <is>
          <t>Index Points</t>
        </is>
      </c>
      <c r="E463" t="inlineStr">
        <is>
          <t>Original</t>
        </is>
      </c>
      <c r="F463" t="inlineStr">
        <is>
          <t>640103.xlsx</t>
        </is>
      </c>
      <c r="G463" t="inlineStr">
        <is>
          <t>2024-12</t>
        </is>
      </c>
      <c r="H463" t="inlineStr">
        <is>
          <t>2026-07</t>
        </is>
      </c>
      <c r="OH463" s="2">
        <v>1.52</v>
      </c>
      <c r="OM463" s="2">
        <v>1.53</v>
      </c>
      <c r="ON463" s="2">
        <v>1.51</v>
      </c>
      <c r="OO463" s="2">
        <v>1.52</v>
      </c>
      <c r="OP463" s="2">
        <v>1.52</v>
      </c>
      <c r="OQ463" s="2">
        <v>1.51</v>
      </c>
      <c r="OR463" s="2">
        <v>1.51</v>
      </c>
      <c r="OS463" s="2">
        <v>1.52</v>
      </c>
      <c r="OT463" s="2">
        <v>1.52</v>
      </c>
      <c r="OU463" s="2">
        <v>1.51</v>
      </c>
      <c r="OV463" s="2">
        <v>1.51</v>
      </c>
      <c r="OW463" s="2">
        <v>1.53</v>
      </c>
      <c r="OX463" s="2">
        <v>1.54</v>
      </c>
      <c r="PC463" s="2">
        <v>1.54</v>
      </c>
      <c r="PD463" s="2">
        <v>1.53</v>
      </c>
      <c r="PE463" s="2">
        <v>1.53</v>
      </c>
      <c r="PF463" s="2">
        <v>1.53</v>
      </c>
      <c r="PG463" s="2">
        <v>1.53</v>
      </c>
      <c r="PH463" s="2">
        <v>1.54</v>
      </c>
      <c r="PI463" s="2">
        <v>1.54</v>
      </c>
    </row>
    <row r="464">
      <c r="A464" t="inlineStr">
        <is>
          <t>A130393205K</t>
        </is>
      </c>
      <c r="B464" t="inlineStr">
        <is>
          <t>Contribution to All groups CPI Index Number ;  Bread ;  Australia ;</t>
        </is>
      </c>
      <c r="C464" t="inlineStr">
        <is>
          <t>Month</t>
        </is>
      </c>
      <c r="D464" t="inlineStr">
        <is>
          <t>Index Points</t>
        </is>
      </c>
      <c r="E464" t="inlineStr">
        <is>
          <t>Original</t>
        </is>
      </c>
      <c r="F464" t="inlineStr">
        <is>
          <t>640103.xlsx</t>
        </is>
      </c>
      <c r="G464" t="inlineStr">
        <is>
          <t>2024-12</t>
        </is>
      </c>
      <c r="H464" t="inlineStr">
        <is>
          <t>2026-07</t>
        </is>
      </c>
      <c r="OH464" s="2">
        <v>0.6</v>
      </c>
      <c r="OM464" s="2">
        <v>0.6</v>
      </c>
      <c r="ON464" s="2">
        <v>0.6</v>
      </c>
      <c r="OO464" s="2">
        <v>0.6</v>
      </c>
      <c r="OP464" s="2">
        <v>0.6</v>
      </c>
      <c r="OQ464" s="2">
        <v>0.6</v>
      </c>
      <c r="OR464" s="2">
        <v>0.59</v>
      </c>
      <c r="OS464" s="2">
        <v>0.6</v>
      </c>
      <c r="OT464" s="2">
        <v>0.59</v>
      </c>
      <c r="OU464" s="2">
        <v>0.59</v>
      </c>
      <c r="OV464" s="2">
        <v>0.6</v>
      </c>
      <c r="OW464" s="2">
        <v>0.6</v>
      </c>
      <c r="OX464" s="2">
        <v>0.6</v>
      </c>
      <c r="PC464" s="2">
        <v>0.6</v>
      </c>
      <c r="PD464" s="2">
        <v>0.6</v>
      </c>
      <c r="PE464" s="2">
        <v>0.61</v>
      </c>
      <c r="PF464" s="2">
        <v>0.61</v>
      </c>
      <c r="PG464" s="2">
        <v>0.61</v>
      </c>
      <c r="PH464" s="2">
        <v>0.61</v>
      </c>
      <c r="PI464" s="2">
        <v>0.61</v>
      </c>
    </row>
    <row r="465">
      <c r="A465" t="inlineStr">
        <is>
          <t>A130399327T</t>
        </is>
      </c>
      <c r="B465" t="inlineStr">
        <is>
          <t>Contribution to All groups CPI Index Number ;  Cakes and biscuits ;  Australia ;</t>
        </is>
      </c>
      <c r="C465" t="inlineStr">
        <is>
          <t>Month</t>
        </is>
      </c>
      <c r="D465" t="inlineStr">
        <is>
          <t>Index Points</t>
        </is>
      </c>
      <c r="E465" t="inlineStr">
        <is>
          <t>Original</t>
        </is>
      </c>
      <c r="F465" t="inlineStr">
        <is>
          <t>640103.xlsx</t>
        </is>
      </c>
      <c r="G465" t="inlineStr">
        <is>
          <t>2024-12</t>
        </is>
      </c>
      <c r="H465" t="inlineStr">
        <is>
          <t>2026-07</t>
        </is>
      </c>
      <c r="OH465" s="2">
        <v>0.64</v>
      </c>
      <c r="OM465" s="2">
        <v>0.65</v>
      </c>
      <c r="ON465" s="2">
        <v>0.63</v>
      </c>
      <c r="OO465" s="2">
        <v>0.64</v>
      </c>
      <c r="OP465" s="2">
        <v>0.64</v>
      </c>
      <c r="OQ465" s="2">
        <v>0.64</v>
      </c>
      <c r="OR465" s="2">
        <v>0.64</v>
      </c>
      <c r="OS465" s="2">
        <v>0.65</v>
      </c>
      <c r="OT465" s="2">
        <v>0.65</v>
      </c>
      <c r="OU465" s="2">
        <v>0.64</v>
      </c>
      <c r="OV465" s="2">
        <v>0.64</v>
      </c>
      <c r="OW465" s="2">
        <v>0.65</v>
      </c>
      <c r="OX465" s="2">
        <v>0.65</v>
      </c>
      <c r="PC465" s="2">
        <v>0.66</v>
      </c>
      <c r="PD465" s="2">
        <v>0.64</v>
      </c>
      <c r="PE465" s="2">
        <v>0.65</v>
      </c>
      <c r="PF465" s="2">
        <v>0.64</v>
      </c>
      <c r="PG465" s="2">
        <v>0.65</v>
      </c>
      <c r="PH465" s="2">
        <v>0.65</v>
      </c>
      <c r="PI465" s="2">
        <v>0.65</v>
      </c>
    </row>
    <row r="466">
      <c r="A466" t="inlineStr">
        <is>
          <t>A130393226W</t>
        </is>
      </c>
      <c r="B466" t="inlineStr">
        <is>
          <t>Contribution to All groups CPI Index Number ;  Breakfast cereals ;  Australia ;</t>
        </is>
      </c>
      <c r="C466" t="inlineStr">
        <is>
          <t>Month</t>
        </is>
      </c>
      <c r="D466" t="inlineStr">
        <is>
          <t>Index Points</t>
        </is>
      </c>
      <c r="E466" t="inlineStr">
        <is>
          <t>Original</t>
        </is>
      </c>
      <c r="F466" t="inlineStr">
        <is>
          <t>640103.xlsx</t>
        </is>
      </c>
      <c r="G466" t="inlineStr">
        <is>
          <t>2024-12</t>
        </is>
      </c>
      <c r="H466" t="inlineStr">
        <is>
          <t>2026-07</t>
        </is>
      </c>
      <c r="OH466" s="2">
        <v>0.1</v>
      </c>
      <c r="OM466" s="2">
        <v>0.1</v>
      </c>
      <c r="ON466" s="2">
        <v>0.1</v>
      </c>
      <c r="OO466" s="2">
        <v>0.1</v>
      </c>
      <c r="OP466" s="2">
        <v>0.09</v>
      </c>
      <c r="OQ466" s="2">
        <v>0.09</v>
      </c>
      <c r="OR466" s="2">
        <v>0.09</v>
      </c>
      <c r="OS466" s="2">
        <v>0.09</v>
      </c>
      <c r="OT466" s="2">
        <v>0.09</v>
      </c>
      <c r="OU466" s="2">
        <v>0.1</v>
      </c>
      <c r="OV466" s="2">
        <v>0.1</v>
      </c>
      <c r="OW466" s="2">
        <v>0.1</v>
      </c>
      <c r="OX466" s="2">
        <v>0.11</v>
      </c>
      <c r="PC466" s="2">
        <v>0.1</v>
      </c>
      <c r="PD466" s="2">
        <v>0.1</v>
      </c>
      <c r="PE466" s="2">
        <v>0.1</v>
      </c>
      <c r="PF466" s="2">
        <v>0.1</v>
      </c>
      <c r="PG466" s="2">
        <v>0.1</v>
      </c>
      <c r="PH466" s="2">
        <v>0.1</v>
      </c>
      <c r="PI466" s="2">
        <v>0.1</v>
      </c>
    </row>
    <row r="467">
      <c r="A467" t="inlineStr">
        <is>
          <t>A130398064J</t>
        </is>
      </c>
      <c r="B467" t="inlineStr">
        <is>
          <t>Contribution to All groups CPI Index Number ;  Other cereal products ;  Australia ;</t>
        </is>
      </c>
      <c r="C467" t="inlineStr">
        <is>
          <t>Month</t>
        </is>
      </c>
      <c r="D467" t="inlineStr">
        <is>
          <t>Index Points</t>
        </is>
      </c>
      <c r="E467" t="inlineStr">
        <is>
          <t>Original</t>
        </is>
      </c>
      <c r="F467" t="inlineStr">
        <is>
          <t>640103.xlsx</t>
        </is>
      </c>
      <c r="G467" t="inlineStr">
        <is>
          <t>2024-12</t>
        </is>
      </c>
      <c r="H467" t="inlineStr">
        <is>
          <t>2026-07</t>
        </is>
      </c>
      <c r="OH467" s="2">
        <v>0.18</v>
      </c>
      <c r="OM467" s="2">
        <v>0.18</v>
      </c>
      <c r="ON467" s="2">
        <v>0.18</v>
      </c>
      <c r="OO467" s="2">
        <v>0.18</v>
      </c>
      <c r="OP467" s="2">
        <v>0.18</v>
      </c>
      <c r="OQ467" s="2">
        <v>0.18</v>
      </c>
      <c r="OR467" s="2">
        <v>0.18</v>
      </c>
      <c r="OS467" s="2">
        <v>0.18</v>
      </c>
      <c r="OT467" s="2">
        <v>0.18</v>
      </c>
      <c r="OU467" s="2">
        <v>0.18</v>
      </c>
      <c r="OV467" s="2">
        <v>0.18</v>
      </c>
      <c r="OW467" s="2">
        <v>0.18</v>
      </c>
      <c r="OX467" s="2">
        <v>0.18</v>
      </c>
      <c r="PC467" s="2">
        <v>0.18</v>
      </c>
      <c r="PD467" s="2">
        <v>0.18</v>
      </c>
      <c r="PE467" s="2">
        <v>0.18</v>
      </c>
      <c r="PF467" s="2">
        <v>0.18</v>
      </c>
      <c r="PG467" s="2">
        <v>0.18</v>
      </c>
      <c r="PH467" s="2">
        <v>0.18</v>
      </c>
      <c r="PI467" s="2">
        <v>0.18</v>
      </c>
    </row>
    <row r="468">
      <c r="A468" t="inlineStr">
        <is>
          <t>A130394367V</t>
        </is>
      </c>
      <c r="B468" t="inlineStr">
        <is>
          <t>Contribution to All groups CPI Index Number ;  Meat and seafoods ;  Australia ;</t>
        </is>
      </c>
      <c r="C468" t="inlineStr">
        <is>
          <t>Month</t>
        </is>
      </c>
      <c r="D468" t="inlineStr">
        <is>
          <t>Index Points</t>
        </is>
      </c>
      <c r="E468" t="inlineStr">
        <is>
          <t>Original</t>
        </is>
      </c>
      <c r="F468" t="inlineStr">
        <is>
          <t>640103.xlsx</t>
        </is>
      </c>
      <c r="G468" t="inlineStr">
        <is>
          <t>2024-12</t>
        </is>
      </c>
      <c r="H468" t="inlineStr">
        <is>
          <t>2026-07</t>
        </is>
      </c>
      <c r="OH468" s="2">
        <v>2.07</v>
      </c>
      <c r="OM468" s="2">
        <v>2.09</v>
      </c>
      <c r="ON468" s="2">
        <v>2.09</v>
      </c>
      <c r="OO468" s="2">
        <v>2.09</v>
      </c>
      <c r="OP468" s="2">
        <v>2.08</v>
      </c>
      <c r="OQ468" s="2">
        <v>2.1</v>
      </c>
      <c r="OR468" s="2">
        <v>2.09</v>
      </c>
      <c r="OS468" s="2">
        <v>2.09</v>
      </c>
      <c r="OT468" s="2">
        <v>2.11</v>
      </c>
      <c r="OU468" s="2">
        <v>2.12</v>
      </c>
      <c r="OV468" s="2">
        <v>2.14</v>
      </c>
      <c r="OW468" s="2">
        <v>2.15</v>
      </c>
      <c r="OX468" s="2">
        <v>2.16</v>
      </c>
      <c r="PC468" s="2">
        <v>2.17</v>
      </c>
      <c r="PD468" s="2">
        <v>2.18</v>
      </c>
      <c r="PE468" s="2">
        <v>2.19</v>
      </c>
      <c r="PF468" s="2">
        <v>2.18</v>
      </c>
      <c r="PG468" s="2">
        <v>2.21</v>
      </c>
      <c r="PH468" s="2">
        <v>2.2</v>
      </c>
      <c r="PI468" s="2">
        <v>2.21</v>
      </c>
    </row>
    <row r="469">
      <c r="A469" t="inlineStr">
        <is>
          <t>A130393247J</t>
        </is>
      </c>
      <c r="B469" t="inlineStr">
        <is>
          <t>Contribution to All groups CPI Index Number ;  Beef and veal ;  Australia ;</t>
        </is>
      </c>
      <c r="C469" t="inlineStr">
        <is>
          <t>Month</t>
        </is>
      </c>
      <c r="D469" t="inlineStr">
        <is>
          <t>Index Points</t>
        </is>
      </c>
      <c r="E469" t="inlineStr">
        <is>
          <t>Original</t>
        </is>
      </c>
      <c r="F469" t="inlineStr">
        <is>
          <t>640103.xlsx</t>
        </is>
      </c>
      <c r="G469" t="inlineStr">
        <is>
          <t>2024-12</t>
        </is>
      </c>
      <c r="H469" t="inlineStr">
        <is>
          <t>2026-07</t>
        </is>
      </c>
      <c r="OH469" s="2">
        <v>0.41</v>
      </c>
      <c r="OM469" s="2">
        <v>0.42</v>
      </c>
      <c r="ON469" s="2">
        <v>0.41</v>
      </c>
      <c r="OO469" s="2">
        <v>0.42</v>
      </c>
      <c r="OP469" s="2">
        <v>0.42</v>
      </c>
      <c r="OQ469" s="2">
        <v>0.42</v>
      </c>
      <c r="OR469" s="2">
        <v>0.43</v>
      </c>
      <c r="OS469" s="2">
        <v>0.42</v>
      </c>
      <c r="OT469" s="2">
        <v>0.43</v>
      </c>
      <c r="OU469" s="2">
        <v>0.44</v>
      </c>
      <c r="OV469" s="2">
        <v>0.45</v>
      </c>
      <c r="OW469" s="2">
        <v>0.46</v>
      </c>
      <c r="OX469" s="2">
        <v>0.45</v>
      </c>
      <c r="PC469" s="2">
        <v>0.46</v>
      </c>
      <c r="PD469" s="2">
        <v>0.47</v>
      </c>
      <c r="PE469" s="2">
        <v>0.47</v>
      </c>
      <c r="PF469" s="2">
        <v>0.47</v>
      </c>
      <c r="PG469" s="2">
        <v>0.48</v>
      </c>
      <c r="PH469" s="2">
        <v>0.48</v>
      </c>
      <c r="PI469" s="2">
        <v>0.48</v>
      </c>
    </row>
    <row r="470">
      <c r="A470" t="inlineStr">
        <is>
          <t>A130395340L</t>
        </is>
      </c>
      <c r="B470" t="inlineStr">
        <is>
          <t>Contribution to All groups CPI Index Number ;  Pork ;  Australia ;</t>
        </is>
      </c>
      <c r="C470" t="inlineStr">
        <is>
          <t>Month</t>
        </is>
      </c>
      <c r="D470" t="inlineStr">
        <is>
          <t>Index Points</t>
        </is>
      </c>
      <c r="E470" t="inlineStr">
        <is>
          <t>Original</t>
        </is>
      </c>
      <c r="F470" t="inlineStr">
        <is>
          <t>640103.xlsx</t>
        </is>
      </c>
      <c r="G470" t="inlineStr">
        <is>
          <t>2024-12</t>
        </is>
      </c>
      <c r="H470" t="inlineStr">
        <is>
          <t>2026-07</t>
        </is>
      </c>
      <c r="OH470" s="2">
        <v>0.26</v>
      </c>
      <c r="OM470" s="2">
        <v>0.26</v>
      </c>
      <c r="ON470" s="2">
        <v>0.26</v>
      </c>
      <c r="OO470" s="2">
        <v>0.27</v>
      </c>
      <c r="OP470" s="2">
        <v>0.26</v>
      </c>
      <c r="OQ470" s="2">
        <v>0.27</v>
      </c>
      <c r="OR470" s="2">
        <v>0.26</v>
      </c>
      <c r="OS470" s="2">
        <v>0.26</v>
      </c>
      <c r="OT470" s="2">
        <v>0.26</v>
      </c>
      <c r="OU470" s="2">
        <v>0.26</v>
      </c>
      <c r="OV470" s="2">
        <v>0.26</v>
      </c>
      <c r="OW470" s="2">
        <v>0.27</v>
      </c>
      <c r="OX470" s="2">
        <v>0.26</v>
      </c>
      <c r="PC470" s="2">
        <v>0.27</v>
      </c>
      <c r="PD470" s="2">
        <v>0.27</v>
      </c>
      <c r="PE470" s="2">
        <v>0.27</v>
      </c>
      <c r="PF470" s="2">
        <v>0.27</v>
      </c>
      <c r="PG470" s="2">
        <v>0.27</v>
      </c>
      <c r="PH470" s="2">
        <v>0.27</v>
      </c>
      <c r="PI470" s="2">
        <v>0.27</v>
      </c>
    </row>
    <row r="471">
      <c r="A471" t="inlineStr">
        <is>
          <t>A130399376L</t>
        </is>
      </c>
      <c r="B471" t="inlineStr">
        <is>
          <t>Contribution to All groups CPI Index Number ;  Lamb and goat ;  Australia ;</t>
        </is>
      </c>
      <c r="C471" t="inlineStr">
        <is>
          <t>Month</t>
        </is>
      </c>
      <c r="D471" t="inlineStr">
        <is>
          <t>Index Points</t>
        </is>
      </c>
      <c r="E471" t="inlineStr">
        <is>
          <t>Original</t>
        </is>
      </c>
      <c r="F471" t="inlineStr">
        <is>
          <t>640103.xlsx</t>
        </is>
      </c>
      <c r="G471" t="inlineStr">
        <is>
          <t>2024-12</t>
        </is>
      </c>
      <c r="H471" t="inlineStr">
        <is>
          <t>2026-07</t>
        </is>
      </c>
      <c r="OH471" s="2">
        <v>0.23</v>
      </c>
      <c r="OM471" s="2">
        <v>0.24</v>
      </c>
      <c r="ON471" s="2">
        <v>0.24</v>
      </c>
      <c r="OO471" s="2">
        <v>0.24</v>
      </c>
      <c r="OP471" s="2">
        <v>0.24</v>
      </c>
      <c r="OQ471" s="2">
        <v>0.24</v>
      </c>
      <c r="OR471" s="2">
        <v>0.24</v>
      </c>
      <c r="OS471" s="2">
        <v>0.24</v>
      </c>
      <c r="OT471" s="2">
        <v>0.25</v>
      </c>
      <c r="OU471" s="2">
        <v>0.26</v>
      </c>
      <c r="OV471" s="2">
        <v>0.27</v>
      </c>
      <c r="OW471" s="2">
        <v>0.27</v>
      </c>
      <c r="OX471" s="2">
        <v>0.27</v>
      </c>
      <c r="PC471" s="2">
        <v>0.26</v>
      </c>
      <c r="PD471" s="2">
        <v>0.27</v>
      </c>
      <c r="PE471" s="2">
        <v>0.27</v>
      </c>
      <c r="PF471" s="2">
        <v>0.27</v>
      </c>
      <c r="PG471" s="2">
        <v>0.28</v>
      </c>
      <c r="PH471" s="2">
        <v>0.27</v>
      </c>
      <c r="PI471" s="2">
        <v>0.28</v>
      </c>
    </row>
    <row r="472">
      <c r="A472" t="inlineStr">
        <is>
          <t>A130391924V</t>
        </is>
      </c>
      <c r="B472" t="inlineStr">
        <is>
          <t>Contribution to All groups CPI Index Number ;  Poultry ;  Australia ;</t>
        </is>
      </c>
      <c r="C472" t="inlineStr">
        <is>
          <t>Month</t>
        </is>
      </c>
      <c r="D472" t="inlineStr">
        <is>
          <t>Index Points</t>
        </is>
      </c>
      <c r="E472" t="inlineStr">
        <is>
          <t>Original</t>
        </is>
      </c>
      <c r="F472" t="inlineStr">
        <is>
          <t>640103.xlsx</t>
        </is>
      </c>
      <c r="G472" t="inlineStr">
        <is>
          <t>2024-12</t>
        </is>
      </c>
      <c r="H472" t="inlineStr">
        <is>
          <t>2026-07</t>
        </is>
      </c>
      <c r="OH472" s="2">
        <v>0.41</v>
      </c>
      <c r="OM472" s="2">
        <v>0.42</v>
      </c>
      <c r="ON472" s="2">
        <v>0.42</v>
      </c>
      <c r="OO472" s="2">
        <v>0.41</v>
      </c>
      <c r="OP472" s="2">
        <v>0.41</v>
      </c>
      <c r="OQ472" s="2">
        <v>0.41</v>
      </c>
      <c r="OR472" s="2">
        <v>0.41</v>
      </c>
      <c r="OS472" s="2">
        <v>0.41</v>
      </c>
      <c r="OT472" s="2">
        <v>0.41</v>
      </c>
      <c r="OU472" s="2">
        <v>0.41</v>
      </c>
      <c r="OV472" s="2">
        <v>0.41</v>
      </c>
      <c r="OW472" s="2">
        <v>0.41</v>
      </c>
      <c r="OX472" s="2">
        <v>0.41</v>
      </c>
      <c r="PC472" s="2">
        <v>0.41</v>
      </c>
      <c r="PD472" s="2">
        <v>0.41</v>
      </c>
      <c r="PE472" s="2">
        <v>0.42</v>
      </c>
      <c r="PF472" s="2">
        <v>0.41</v>
      </c>
      <c r="PG472" s="2">
        <v>0.42</v>
      </c>
      <c r="PH472" s="2">
        <v>0.42</v>
      </c>
      <c r="PI472" s="2">
        <v>0.42</v>
      </c>
    </row>
    <row r="473">
      <c r="A473" t="inlineStr">
        <is>
          <t>A130391931T</t>
        </is>
      </c>
      <c r="B473" t="inlineStr">
        <is>
          <t>Contribution to All groups CPI Index Number ;  Other meats ;  Australia ;</t>
        </is>
      </c>
      <c r="C473" t="inlineStr">
        <is>
          <t>Month</t>
        </is>
      </c>
      <c r="D473" t="inlineStr">
        <is>
          <t>Index Points</t>
        </is>
      </c>
      <c r="E473" t="inlineStr">
        <is>
          <t>Original</t>
        </is>
      </c>
      <c r="F473" t="inlineStr">
        <is>
          <t>640103.xlsx</t>
        </is>
      </c>
      <c r="G473" t="inlineStr">
        <is>
          <t>2024-12</t>
        </is>
      </c>
      <c r="H473" t="inlineStr">
        <is>
          <t>2026-07</t>
        </is>
      </c>
      <c r="OH473" s="2">
        <v>0.39</v>
      </c>
      <c r="OM473" s="2">
        <v>0.39</v>
      </c>
      <c r="ON473" s="2">
        <v>0.39</v>
      </c>
      <c r="OO473" s="2">
        <v>0.39</v>
      </c>
      <c r="OP473" s="2">
        <v>0.39</v>
      </c>
      <c r="OQ473" s="2">
        <v>0.39</v>
      </c>
      <c r="OR473" s="2">
        <v>0.39</v>
      </c>
      <c r="OS473" s="2">
        <v>0.39</v>
      </c>
      <c r="OT473" s="2">
        <v>0.39</v>
      </c>
      <c r="OU473" s="2">
        <v>0.38</v>
      </c>
      <c r="OV473" s="2">
        <v>0.39</v>
      </c>
      <c r="OW473" s="2">
        <v>0.39</v>
      </c>
      <c r="OX473" s="2">
        <v>0.4</v>
      </c>
      <c r="PC473" s="2">
        <v>0.39</v>
      </c>
      <c r="PD473" s="2">
        <v>0.39</v>
      </c>
      <c r="PE473" s="2">
        <v>0.4</v>
      </c>
      <c r="PF473" s="2">
        <v>0.4</v>
      </c>
      <c r="PG473" s="2">
        <v>0.4</v>
      </c>
      <c r="PH473" s="2">
        <v>0.4</v>
      </c>
      <c r="PI473" s="2">
        <v>0.4</v>
      </c>
    </row>
    <row r="474">
      <c r="A474" t="inlineStr">
        <is>
          <t>A130390601J</t>
        </is>
      </c>
      <c r="B474" t="inlineStr">
        <is>
          <t>Contribution to All groups CPI Index Number ;  Fish and other seafood ;  Australia ;</t>
        </is>
      </c>
      <c r="C474" t="inlineStr">
        <is>
          <t>Month</t>
        </is>
      </c>
      <c r="D474" t="inlineStr">
        <is>
          <t>Index Points</t>
        </is>
      </c>
      <c r="E474" t="inlineStr">
        <is>
          <t>Original</t>
        </is>
      </c>
      <c r="F474" t="inlineStr">
        <is>
          <t>640103.xlsx</t>
        </is>
      </c>
      <c r="G474" t="inlineStr">
        <is>
          <t>2024-12</t>
        </is>
      </c>
      <c r="H474" t="inlineStr">
        <is>
          <t>2026-07</t>
        </is>
      </c>
      <c r="OH474" s="2">
        <v>0.37</v>
      </c>
      <c r="OM474" s="2">
        <v>0.37</v>
      </c>
      <c r="ON474" s="2">
        <v>0.37</v>
      </c>
      <c r="OO474" s="2">
        <v>0.36</v>
      </c>
      <c r="OP474" s="2">
        <v>0.36</v>
      </c>
      <c r="OQ474" s="2">
        <v>0.37</v>
      </c>
      <c r="OR474" s="2">
        <v>0.37</v>
      </c>
      <c r="OS474" s="2">
        <v>0.37</v>
      </c>
      <c r="OT474" s="2">
        <v>0.37</v>
      </c>
      <c r="OU474" s="2">
        <v>0.37</v>
      </c>
      <c r="OV474" s="2">
        <v>0.37</v>
      </c>
      <c r="OW474" s="2">
        <v>0.37</v>
      </c>
      <c r="OX474" s="2">
        <v>0.37</v>
      </c>
      <c r="PC474" s="2">
        <v>0.37</v>
      </c>
      <c r="PD474" s="2">
        <v>0.37</v>
      </c>
      <c r="PE474" s="2">
        <v>0.37</v>
      </c>
      <c r="PF474" s="2">
        <v>0.37</v>
      </c>
      <c r="PG474" s="2">
        <v>0.37</v>
      </c>
      <c r="PH474" s="2">
        <v>0.37</v>
      </c>
      <c r="PI474" s="2">
        <v>0.37</v>
      </c>
    </row>
    <row r="475">
      <c r="A475" t="inlineStr">
        <is>
          <t>A130393037K</t>
        </is>
      </c>
      <c r="B475" t="inlineStr">
        <is>
          <t>Contribution to All groups CPI Index Number ;  Dairy and related products ;  Australia ;</t>
        </is>
      </c>
      <c r="C475" t="inlineStr">
        <is>
          <t>Month</t>
        </is>
      </c>
      <c r="D475" t="inlineStr">
        <is>
          <t>Index Points</t>
        </is>
      </c>
      <c r="E475" t="inlineStr">
        <is>
          <t>Original</t>
        </is>
      </c>
      <c r="F475" t="inlineStr">
        <is>
          <t>640103.xlsx</t>
        </is>
      </c>
      <c r="G475" t="inlineStr">
        <is>
          <t>2024-12</t>
        </is>
      </c>
      <c r="H475" t="inlineStr">
        <is>
          <t>2026-07</t>
        </is>
      </c>
      <c r="OH475" s="2">
        <v>1.05</v>
      </c>
      <c r="OM475" s="2">
        <v>1.05</v>
      </c>
      <c r="ON475" s="2">
        <v>1.04</v>
      </c>
      <c r="OO475" s="2">
        <v>1.05</v>
      </c>
      <c r="OP475" s="2">
        <v>1.05</v>
      </c>
      <c r="OQ475" s="2">
        <v>1.05</v>
      </c>
      <c r="OR475" s="2">
        <v>1.05</v>
      </c>
      <c r="OS475" s="2">
        <v>1.05</v>
      </c>
      <c r="OT475" s="2">
        <v>1.06</v>
      </c>
      <c r="OU475" s="2">
        <v>1.07</v>
      </c>
      <c r="OV475" s="2">
        <v>1.06</v>
      </c>
      <c r="OW475" s="2">
        <v>1.07</v>
      </c>
      <c r="OX475" s="2">
        <v>1.08</v>
      </c>
      <c r="PC475" s="2">
        <v>1.08</v>
      </c>
      <c r="PD475" s="2">
        <v>1.07</v>
      </c>
      <c r="PE475" s="2">
        <v>1.08</v>
      </c>
      <c r="PF475" s="2">
        <v>1.08</v>
      </c>
      <c r="PG475" s="2">
        <v>1.1</v>
      </c>
      <c r="PH475" s="2">
        <v>1.12</v>
      </c>
      <c r="PI475" s="2">
        <v>1.12</v>
      </c>
    </row>
    <row r="476">
      <c r="A476" t="inlineStr">
        <is>
          <t>A130391847A</t>
        </is>
      </c>
      <c r="B476" t="inlineStr">
        <is>
          <t>Contribution to All groups CPI Index Number ;  Milk ;  Australia ;</t>
        </is>
      </c>
      <c r="C476" t="inlineStr">
        <is>
          <t>Month</t>
        </is>
      </c>
      <c r="D476" t="inlineStr">
        <is>
          <t>Index Points</t>
        </is>
      </c>
      <c r="E476" t="inlineStr">
        <is>
          <t>Original</t>
        </is>
      </c>
      <c r="F476" t="inlineStr">
        <is>
          <t>640103.xlsx</t>
        </is>
      </c>
      <c r="G476" t="inlineStr">
        <is>
          <t>2024-12</t>
        </is>
      </c>
      <c r="H476" t="inlineStr">
        <is>
          <t>2026-07</t>
        </is>
      </c>
      <c r="OH476" s="2">
        <v>0.41</v>
      </c>
      <c r="OM476" s="2">
        <v>0.41</v>
      </c>
      <c r="ON476" s="2">
        <v>0.4</v>
      </c>
      <c r="OO476" s="2">
        <v>0.4</v>
      </c>
      <c r="OP476" s="2">
        <v>0.41</v>
      </c>
      <c r="OQ476" s="2">
        <v>0.4</v>
      </c>
      <c r="OR476" s="2">
        <v>0.41</v>
      </c>
      <c r="OS476" s="2">
        <v>0.41</v>
      </c>
      <c r="OT476" s="2">
        <v>0.41</v>
      </c>
      <c r="OU476" s="2">
        <v>0.42</v>
      </c>
      <c r="OV476" s="2">
        <v>0.41</v>
      </c>
      <c r="OW476" s="2">
        <v>0.42</v>
      </c>
      <c r="OX476" s="2">
        <v>0.42</v>
      </c>
      <c r="PC476" s="2">
        <v>0.42</v>
      </c>
      <c r="PD476" s="2">
        <v>0.42</v>
      </c>
      <c r="PE476" s="2">
        <v>0.42</v>
      </c>
      <c r="PF476" s="2">
        <v>0.42</v>
      </c>
      <c r="PG476" s="2">
        <v>0.44</v>
      </c>
      <c r="PH476" s="2">
        <v>0.44</v>
      </c>
      <c r="PI476" s="2">
        <v>0.45</v>
      </c>
    </row>
    <row r="477">
      <c r="A477" t="inlineStr">
        <is>
          <t>A130390538C</t>
        </is>
      </c>
      <c r="B477" t="inlineStr">
        <is>
          <t>Contribution to All groups CPI Index Number ;  Cheese ;  Australia ;</t>
        </is>
      </c>
      <c r="C477" t="inlineStr">
        <is>
          <t>Month</t>
        </is>
      </c>
      <c r="D477" t="inlineStr">
        <is>
          <t>Index Points</t>
        </is>
      </c>
      <c r="E477" t="inlineStr">
        <is>
          <t>Original</t>
        </is>
      </c>
      <c r="F477" t="inlineStr">
        <is>
          <t>640103.xlsx</t>
        </is>
      </c>
      <c r="G477" t="inlineStr">
        <is>
          <t>2024-12</t>
        </is>
      </c>
      <c r="H477" t="inlineStr">
        <is>
          <t>2026-07</t>
        </is>
      </c>
      <c r="OH477" s="2">
        <v>0.33</v>
      </c>
      <c r="OM477" s="2">
        <v>0.33</v>
      </c>
      <c r="ON477" s="2">
        <v>0.33</v>
      </c>
      <c r="OO477" s="2">
        <v>0.34</v>
      </c>
      <c r="OP477" s="2">
        <v>0.33</v>
      </c>
      <c r="OQ477" s="2">
        <v>0.33</v>
      </c>
      <c r="OR477" s="2">
        <v>0.33</v>
      </c>
      <c r="OS477" s="2">
        <v>0.33</v>
      </c>
      <c r="OT477" s="2">
        <v>0.33</v>
      </c>
      <c r="OU477" s="2">
        <v>0.33</v>
      </c>
      <c r="OV477" s="2">
        <v>0.33</v>
      </c>
      <c r="OW477" s="2">
        <v>0.33</v>
      </c>
      <c r="OX477" s="2">
        <v>0.33</v>
      </c>
      <c r="PC477" s="2">
        <v>0.33</v>
      </c>
      <c r="PD477" s="2">
        <v>0.33</v>
      </c>
      <c r="PE477" s="2">
        <v>0.33</v>
      </c>
      <c r="PF477" s="2">
        <v>0.33</v>
      </c>
      <c r="PG477" s="2">
        <v>0.33</v>
      </c>
      <c r="PH477" s="2">
        <v>0.34</v>
      </c>
      <c r="PI477" s="2">
        <v>0.34</v>
      </c>
    </row>
    <row r="478">
      <c r="A478" t="inlineStr">
        <is>
          <t>A130393198X</t>
        </is>
      </c>
      <c r="B478" t="inlineStr">
        <is>
          <t>Contribution to All groups CPI Index Number ;  Ice cream and other dairy products ;  Australia ;</t>
        </is>
      </c>
      <c r="C478" t="inlineStr">
        <is>
          <t>Month</t>
        </is>
      </c>
      <c r="D478" t="inlineStr">
        <is>
          <t>Index Points</t>
        </is>
      </c>
      <c r="E478" t="inlineStr">
        <is>
          <t>Original</t>
        </is>
      </c>
      <c r="F478" t="inlineStr">
        <is>
          <t>640103.xlsx</t>
        </is>
      </c>
      <c r="G478" t="inlineStr">
        <is>
          <t>2024-12</t>
        </is>
      </c>
      <c r="H478" t="inlineStr">
        <is>
          <t>2026-07</t>
        </is>
      </c>
      <c r="OH478" s="2">
        <v>0.31</v>
      </c>
      <c r="OM478" s="2">
        <v>0.31</v>
      </c>
      <c r="ON478" s="2">
        <v>0.3</v>
      </c>
      <c r="OO478" s="2">
        <v>0.31</v>
      </c>
      <c r="OP478" s="2">
        <v>0.31</v>
      </c>
      <c r="OQ478" s="2">
        <v>0.31</v>
      </c>
      <c r="OR478" s="2">
        <v>0.31</v>
      </c>
      <c r="OS478" s="2">
        <v>0.31</v>
      </c>
      <c r="OT478" s="2">
        <v>0.31</v>
      </c>
      <c r="OU478" s="2">
        <v>0.32</v>
      </c>
      <c r="OV478" s="2">
        <v>0.32</v>
      </c>
      <c r="OW478" s="2">
        <v>0.32</v>
      </c>
      <c r="OX478" s="2">
        <v>0.32</v>
      </c>
      <c r="PC478" s="2">
        <v>0.32</v>
      </c>
      <c r="PD478" s="2">
        <v>0.32</v>
      </c>
      <c r="PE478" s="2">
        <v>0.33</v>
      </c>
      <c r="PF478" s="2">
        <v>0.32</v>
      </c>
      <c r="PG478" s="2">
        <v>0.32</v>
      </c>
      <c r="PH478" s="2">
        <v>0.33</v>
      </c>
      <c r="PI478" s="2">
        <v>0.33</v>
      </c>
    </row>
    <row r="479">
      <c r="A479" t="inlineStr">
        <is>
          <t>A130395095V</t>
        </is>
      </c>
      <c r="B479" t="inlineStr">
        <is>
          <t>Contribution to All groups CPI Index Number ;  Fruit and vegetables ;  Australia ;</t>
        </is>
      </c>
      <c r="C479" t="inlineStr">
        <is>
          <t>Month</t>
        </is>
      </c>
      <c r="D479" t="inlineStr">
        <is>
          <t>Index Points</t>
        </is>
      </c>
      <c r="E479" t="inlineStr">
        <is>
          <t>Original</t>
        </is>
      </c>
      <c r="F479" t="inlineStr">
        <is>
          <t>640103.xlsx</t>
        </is>
      </c>
      <c r="G479" t="inlineStr">
        <is>
          <t>2024-12</t>
        </is>
      </c>
      <c r="H479" t="inlineStr">
        <is>
          <t>2026-07</t>
        </is>
      </c>
      <c r="OH479" s="2">
        <v>1.95</v>
      </c>
      <c r="OM479" s="2">
        <v>2.01</v>
      </c>
      <c r="ON479" s="2">
        <v>2</v>
      </c>
      <c r="OO479" s="2">
        <v>2.05</v>
      </c>
      <c r="OP479" s="2">
        <v>2.1</v>
      </c>
      <c r="OQ479" s="2">
        <v>2.09</v>
      </c>
      <c r="OR479" s="2">
        <v>2.13</v>
      </c>
      <c r="OS479" s="2">
        <v>2.15</v>
      </c>
      <c r="OT479" s="2">
        <v>2.09</v>
      </c>
      <c r="OU479" s="2">
        <v>2</v>
      </c>
      <c r="OV479" s="2">
        <v>2.01</v>
      </c>
      <c r="OW479" s="2">
        <v>2.03</v>
      </c>
      <c r="OX479" s="2">
        <v>2.02</v>
      </c>
      <c r="PC479" s="2">
        <v>2.04</v>
      </c>
      <c r="PD479" s="2">
        <v>2.04</v>
      </c>
      <c r="PE479" s="2">
        <v>2.09</v>
      </c>
      <c r="PF479" s="2">
        <v>2.11</v>
      </c>
      <c r="PG479" s="2">
        <v>2.13</v>
      </c>
      <c r="PH479" s="2">
        <v>2.15</v>
      </c>
      <c r="PI479" s="2">
        <v>2.13</v>
      </c>
    </row>
    <row r="480">
      <c r="A480" t="inlineStr">
        <is>
          <t>A130392449L</t>
        </is>
      </c>
      <c r="B480" t="inlineStr">
        <is>
          <t>Contribution to All groups CPI Index Number ;  Fruit ;  Australia ;</t>
        </is>
      </c>
      <c r="C480" t="inlineStr">
        <is>
          <t>Month</t>
        </is>
      </c>
      <c r="D480" t="inlineStr">
        <is>
          <t>Index Points</t>
        </is>
      </c>
      <c r="E480" t="inlineStr">
        <is>
          <t>Original</t>
        </is>
      </c>
      <c r="F480" t="inlineStr">
        <is>
          <t>640103.xlsx</t>
        </is>
      </c>
      <c r="G480" t="inlineStr">
        <is>
          <t>2024-12</t>
        </is>
      </c>
      <c r="H480" t="inlineStr">
        <is>
          <t>2026-07</t>
        </is>
      </c>
      <c r="OH480" s="2">
        <v>0.88</v>
      </c>
      <c r="OM480" s="2">
        <v>0.9</v>
      </c>
      <c r="ON480" s="2">
        <v>0.9</v>
      </c>
      <c r="OO480" s="2">
        <v>0.92</v>
      </c>
      <c r="OP480" s="2">
        <v>0.96</v>
      </c>
      <c r="OQ480" s="2">
        <v>0.93</v>
      </c>
      <c r="OR480" s="2">
        <v>0.9399999999999999</v>
      </c>
      <c r="OS480" s="2">
        <v>0.96</v>
      </c>
      <c r="OT480" s="2">
        <v>0.95</v>
      </c>
      <c r="OU480" s="2">
        <v>0.89</v>
      </c>
      <c r="OV480" s="2">
        <v>0.92</v>
      </c>
      <c r="OW480" s="2">
        <v>0.93</v>
      </c>
      <c r="OX480" s="2">
        <v>0.91</v>
      </c>
      <c r="PC480" s="2">
        <v>0.91</v>
      </c>
      <c r="PD480" s="2">
        <v>0.93</v>
      </c>
      <c r="PE480" s="2">
        <v>0.96</v>
      </c>
      <c r="PF480" s="2">
        <v>0.9399999999999999</v>
      </c>
      <c r="PG480" s="2">
        <v>0.97</v>
      </c>
      <c r="PH480" s="2">
        <v>1.01</v>
      </c>
      <c r="PI480" s="2">
        <v>0.99</v>
      </c>
    </row>
    <row r="481">
      <c r="A481" t="inlineStr">
        <is>
          <t>A130397490F</t>
        </is>
      </c>
      <c r="B481" t="inlineStr">
        <is>
          <t>Contribution to All groups CPI Index Number ;  Vegetables ;  Australia ;</t>
        </is>
      </c>
      <c r="C481" t="inlineStr">
        <is>
          <t>Month</t>
        </is>
      </c>
      <c r="D481" t="inlineStr">
        <is>
          <t>Index Points</t>
        </is>
      </c>
      <c r="E481" t="inlineStr">
        <is>
          <t>Original</t>
        </is>
      </c>
      <c r="F481" t="inlineStr">
        <is>
          <t>640103.xlsx</t>
        </is>
      </c>
      <c r="G481" t="inlineStr">
        <is>
          <t>2024-12</t>
        </is>
      </c>
      <c r="H481" t="inlineStr">
        <is>
          <t>2026-07</t>
        </is>
      </c>
      <c r="OH481" s="2">
        <v>1.07</v>
      </c>
      <c r="OM481" s="2">
        <v>1.11</v>
      </c>
      <c r="ON481" s="2">
        <v>1.11</v>
      </c>
      <c r="OO481" s="2">
        <v>1.14</v>
      </c>
      <c r="OP481" s="2">
        <v>1.15</v>
      </c>
      <c r="OQ481" s="2">
        <v>1.16</v>
      </c>
      <c r="OR481" s="2">
        <v>1.19</v>
      </c>
      <c r="OS481" s="2">
        <v>1.19</v>
      </c>
      <c r="OT481" s="2">
        <v>1.14</v>
      </c>
      <c r="OU481" s="2">
        <v>1.11</v>
      </c>
      <c r="OV481" s="2">
        <v>1.09</v>
      </c>
      <c r="OW481" s="2">
        <v>1.1</v>
      </c>
      <c r="OX481" s="2">
        <v>1.11</v>
      </c>
      <c r="PC481" s="2">
        <v>1.13</v>
      </c>
      <c r="PD481" s="2">
        <v>1.11</v>
      </c>
      <c r="PE481" s="2">
        <v>1.13</v>
      </c>
      <c r="PF481" s="2">
        <v>1.17</v>
      </c>
      <c r="PG481" s="2">
        <v>1.16</v>
      </c>
      <c r="PH481" s="2">
        <v>1.14</v>
      </c>
      <c r="PI481" s="2">
        <v>1.14</v>
      </c>
    </row>
    <row r="482">
      <c r="A482" t="inlineStr">
        <is>
          <t>A130391483X</t>
        </is>
      </c>
      <c r="B482" t="inlineStr">
        <is>
          <t>Contribution to All groups CPI Index Number ;  Food products n.e.c. ;  Australia ;</t>
        </is>
      </c>
      <c r="C482" t="inlineStr">
        <is>
          <t>Month</t>
        </is>
      </c>
      <c r="D482" t="inlineStr">
        <is>
          <t>Index Points</t>
        </is>
      </c>
      <c r="E482" t="inlineStr">
        <is>
          <t>Original</t>
        </is>
      </c>
      <c r="F482" t="inlineStr">
        <is>
          <t>640103.xlsx</t>
        </is>
      </c>
      <c r="G482" t="inlineStr">
        <is>
          <t>2024-12</t>
        </is>
      </c>
      <c r="H482" t="inlineStr">
        <is>
          <t>2026-07</t>
        </is>
      </c>
      <c r="OH482" s="2">
        <v>2.23</v>
      </c>
      <c r="OM482" s="2">
        <v>2.26</v>
      </c>
      <c r="ON482" s="2">
        <v>2.23</v>
      </c>
      <c r="OO482" s="2">
        <v>2.24</v>
      </c>
      <c r="OP482" s="2">
        <v>2.26</v>
      </c>
      <c r="OQ482" s="2">
        <v>2.26</v>
      </c>
      <c r="OR482" s="2">
        <v>2.26</v>
      </c>
      <c r="OS482" s="2">
        <v>2.27</v>
      </c>
      <c r="OT482" s="2">
        <v>2.28</v>
      </c>
      <c r="OU482" s="2">
        <v>2.29</v>
      </c>
      <c r="OV482" s="2">
        <v>2.28</v>
      </c>
      <c r="OW482" s="2">
        <v>2.28</v>
      </c>
      <c r="OX482" s="2">
        <v>2.3</v>
      </c>
      <c r="PC482" s="2">
        <v>2.33</v>
      </c>
      <c r="PD482" s="2">
        <v>2.3</v>
      </c>
      <c r="PE482" s="2">
        <v>2.31</v>
      </c>
      <c r="PF482" s="2">
        <v>2.31</v>
      </c>
      <c r="PG482" s="2">
        <v>2.29</v>
      </c>
      <c r="PH482" s="2">
        <v>2.29</v>
      </c>
      <c r="PI482" s="2">
        <v>2.29</v>
      </c>
    </row>
    <row r="483">
      <c r="A483" t="inlineStr">
        <is>
          <t>A130390622V</t>
        </is>
      </c>
      <c r="B483" t="inlineStr">
        <is>
          <t>Contribution to All groups CPI Index Number ;  Eggs ;  Australia ;</t>
        </is>
      </c>
      <c r="C483" t="inlineStr">
        <is>
          <t>Month</t>
        </is>
      </c>
      <c r="D483" t="inlineStr">
        <is>
          <t>Index Points</t>
        </is>
      </c>
      <c r="E483" t="inlineStr">
        <is>
          <t>Original</t>
        </is>
      </c>
      <c r="F483" t="inlineStr">
        <is>
          <t>640103.xlsx</t>
        </is>
      </c>
      <c r="G483" t="inlineStr">
        <is>
          <t>2024-12</t>
        </is>
      </c>
      <c r="H483" t="inlineStr">
        <is>
          <t>2026-07</t>
        </is>
      </c>
      <c r="OH483" s="2">
        <v>0.13</v>
      </c>
      <c r="OM483" s="2">
        <v>0.13</v>
      </c>
      <c r="ON483" s="2">
        <v>0.13</v>
      </c>
      <c r="OO483" s="2">
        <v>0.13</v>
      </c>
      <c r="OP483" s="2">
        <v>0.14</v>
      </c>
      <c r="OQ483" s="2">
        <v>0.14</v>
      </c>
      <c r="OR483" s="2">
        <v>0.14</v>
      </c>
      <c r="OS483" s="2">
        <v>0.14</v>
      </c>
      <c r="OT483" s="2">
        <v>0.14</v>
      </c>
      <c r="OU483" s="2">
        <v>0.14</v>
      </c>
      <c r="OV483" s="2">
        <v>0.14</v>
      </c>
      <c r="OW483" s="2">
        <v>0.14</v>
      </c>
      <c r="OX483" s="2">
        <v>0.14</v>
      </c>
      <c r="PC483" s="2">
        <v>0.14</v>
      </c>
      <c r="PD483" s="2">
        <v>0.14</v>
      </c>
      <c r="PE483" s="2">
        <v>0.14</v>
      </c>
      <c r="PF483" s="2">
        <v>0.14</v>
      </c>
      <c r="PG483" s="2">
        <v>0.14</v>
      </c>
      <c r="PH483" s="2">
        <v>0.13</v>
      </c>
      <c r="PI483" s="2">
        <v>0.14</v>
      </c>
    </row>
    <row r="484">
      <c r="A484" t="inlineStr">
        <is>
          <t>A130391966T</t>
        </is>
      </c>
      <c r="B484" t="inlineStr">
        <is>
          <t>Contribution to All groups CPI Index Number ;  Jams, honey and spreads ;  Australia ;</t>
        </is>
      </c>
      <c r="C484" t="inlineStr">
        <is>
          <t>Month</t>
        </is>
      </c>
      <c r="D484" t="inlineStr">
        <is>
          <t>Index Points</t>
        </is>
      </c>
      <c r="E484" t="inlineStr">
        <is>
          <t>Original</t>
        </is>
      </c>
      <c r="F484" t="inlineStr">
        <is>
          <t>640103.xlsx</t>
        </is>
      </c>
      <c r="G484" t="inlineStr">
        <is>
          <t>2024-12</t>
        </is>
      </c>
      <c r="H484" t="inlineStr">
        <is>
          <t>2026-07</t>
        </is>
      </c>
      <c r="OH484" s="2">
        <v>0.12</v>
      </c>
      <c r="OM484" s="2">
        <v>0.12</v>
      </c>
      <c r="ON484" s="2">
        <v>0.11</v>
      </c>
      <c r="OO484" s="2">
        <v>0.12</v>
      </c>
      <c r="OP484" s="2">
        <v>0.12</v>
      </c>
      <c r="OQ484" s="2">
        <v>0.11</v>
      </c>
      <c r="OR484" s="2">
        <v>0.12</v>
      </c>
      <c r="OS484" s="2">
        <v>0.12</v>
      </c>
      <c r="OT484" s="2">
        <v>0.12</v>
      </c>
      <c r="OU484" s="2">
        <v>0.12</v>
      </c>
      <c r="OV484" s="2">
        <v>0.12</v>
      </c>
      <c r="OW484" s="2">
        <v>0.12</v>
      </c>
      <c r="OX484" s="2">
        <v>0.12</v>
      </c>
      <c r="PC484" s="2">
        <v>0.12</v>
      </c>
      <c r="PD484" s="2">
        <v>0.12</v>
      </c>
      <c r="PE484" s="2">
        <v>0.12</v>
      </c>
      <c r="PF484" s="2">
        <v>0.12</v>
      </c>
      <c r="PG484" s="2">
        <v>0.12</v>
      </c>
      <c r="PH484" s="2">
        <v>0.12</v>
      </c>
      <c r="PI484" s="2">
        <v>0.12</v>
      </c>
    </row>
    <row r="485">
      <c r="A485" t="inlineStr">
        <is>
          <t>A130392218C</t>
        </is>
      </c>
      <c r="B485" t="inlineStr">
        <is>
          <t>Contribution to All groups CPI Index Number ;  Food additives and condiments ;  Australia ;</t>
        </is>
      </c>
      <c r="C485" t="inlineStr">
        <is>
          <t>Month</t>
        </is>
      </c>
      <c r="D485" t="inlineStr">
        <is>
          <t>Index Points</t>
        </is>
      </c>
      <c r="E485" t="inlineStr">
        <is>
          <t>Original</t>
        </is>
      </c>
      <c r="F485" t="inlineStr">
        <is>
          <t>640103.xlsx</t>
        </is>
      </c>
      <c r="G485" t="inlineStr">
        <is>
          <t>2024-12</t>
        </is>
      </c>
      <c r="H485" t="inlineStr">
        <is>
          <t>2026-07</t>
        </is>
      </c>
      <c r="OH485" s="2">
        <v>0.31</v>
      </c>
      <c r="OM485" s="2">
        <v>0.31</v>
      </c>
      <c r="ON485" s="2">
        <v>0.31</v>
      </c>
      <c r="OO485" s="2">
        <v>0.31</v>
      </c>
      <c r="OP485" s="2">
        <v>0.31</v>
      </c>
      <c r="OQ485" s="2">
        <v>0.31</v>
      </c>
      <c r="OR485" s="2">
        <v>0.31</v>
      </c>
      <c r="OS485" s="2">
        <v>0.31</v>
      </c>
      <c r="OT485" s="2">
        <v>0.31</v>
      </c>
      <c r="OU485" s="2">
        <v>0.31</v>
      </c>
      <c r="OV485" s="2">
        <v>0.31</v>
      </c>
      <c r="OW485" s="2">
        <v>0.31</v>
      </c>
      <c r="OX485" s="2">
        <v>0.31</v>
      </c>
      <c r="PC485" s="2">
        <v>0.31</v>
      </c>
      <c r="PD485" s="2">
        <v>0.31</v>
      </c>
      <c r="PE485" s="2">
        <v>0.31</v>
      </c>
      <c r="PF485" s="2">
        <v>0.31</v>
      </c>
      <c r="PG485" s="2">
        <v>0.31</v>
      </c>
      <c r="PH485" s="2">
        <v>0.31</v>
      </c>
      <c r="PI485" s="2">
        <v>0.31</v>
      </c>
    </row>
    <row r="486">
      <c r="A486" t="inlineStr">
        <is>
          <t>A130394822K</t>
        </is>
      </c>
      <c r="B486" t="inlineStr">
        <is>
          <t>Contribution to All groups CPI Index Number ;  Oils and fats ;  Australia ;</t>
        </is>
      </c>
      <c r="C486" t="inlineStr">
        <is>
          <t>Month</t>
        </is>
      </c>
      <c r="D486" t="inlineStr">
        <is>
          <t>Index Points</t>
        </is>
      </c>
      <c r="E486" t="inlineStr">
        <is>
          <t>Original</t>
        </is>
      </c>
      <c r="F486" t="inlineStr">
        <is>
          <t>640103.xlsx</t>
        </is>
      </c>
      <c r="G486" t="inlineStr">
        <is>
          <t>2024-12</t>
        </is>
      </c>
      <c r="H486" t="inlineStr">
        <is>
          <t>2026-07</t>
        </is>
      </c>
      <c r="OH486" s="2">
        <v>0.26</v>
      </c>
      <c r="OM486" s="2">
        <v>0.26</v>
      </c>
      <c r="ON486" s="2">
        <v>0.26</v>
      </c>
      <c r="OO486" s="2">
        <v>0.25</v>
      </c>
      <c r="OP486" s="2">
        <v>0.26</v>
      </c>
      <c r="OQ486" s="2">
        <v>0.26</v>
      </c>
      <c r="OR486" s="2">
        <v>0.25</v>
      </c>
      <c r="OS486" s="2">
        <v>0.25</v>
      </c>
      <c r="OT486" s="2">
        <v>0.25</v>
      </c>
      <c r="OU486" s="2">
        <v>0.26</v>
      </c>
      <c r="OV486" s="2">
        <v>0.25</v>
      </c>
      <c r="OW486" s="2">
        <v>0.25</v>
      </c>
      <c r="OX486" s="2">
        <v>0.25</v>
      </c>
      <c r="PC486" s="2">
        <v>0.25</v>
      </c>
      <c r="PD486" s="2">
        <v>0.26</v>
      </c>
      <c r="PE486" s="2">
        <v>0.25</v>
      </c>
      <c r="PF486" s="2">
        <v>0.26</v>
      </c>
      <c r="PG486" s="2">
        <v>0.26</v>
      </c>
      <c r="PH486" s="2">
        <v>0.26</v>
      </c>
      <c r="PI486" s="2">
        <v>0.26</v>
      </c>
    </row>
    <row r="487">
      <c r="A487" t="inlineStr">
        <is>
          <t>A130396257T</t>
        </is>
      </c>
      <c r="B487" t="inlineStr">
        <is>
          <t>Contribution to All groups CPI Index Number ;  Snacks and confectionery ;  Australia ;</t>
        </is>
      </c>
      <c r="C487" t="inlineStr">
        <is>
          <t>Month</t>
        </is>
      </c>
      <c r="D487" t="inlineStr">
        <is>
          <t>Index Points</t>
        </is>
      </c>
      <c r="E487" t="inlineStr">
        <is>
          <t>Original</t>
        </is>
      </c>
      <c r="F487" t="inlineStr">
        <is>
          <t>640103.xlsx</t>
        </is>
      </c>
      <c r="G487" t="inlineStr">
        <is>
          <t>2024-12</t>
        </is>
      </c>
      <c r="H487" t="inlineStr">
        <is>
          <t>2026-07</t>
        </is>
      </c>
      <c r="OH487" s="2">
        <v>0.91</v>
      </c>
      <c r="OM487" s="2">
        <v>0.9399999999999999</v>
      </c>
      <c r="ON487" s="2">
        <v>0.91</v>
      </c>
      <c r="OO487" s="2">
        <v>0.92</v>
      </c>
      <c r="OP487" s="2">
        <v>0.9399999999999999</v>
      </c>
      <c r="OQ487" s="2">
        <v>0.93</v>
      </c>
      <c r="OR487" s="2">
        <v>0.9399999999999999</v>
      </c>
      <c r="OS487" s="2">
        <v>0.9399999999999999</v>
      </c>
      <c r="OT487" s="2">
        <v>0.95</v>
      </c>
      <c r="OU487" s="2">
        <v>0.96</v>
      </c>
      <c r="OV487" s="2">
        <v>0.95</v>
      </c>
      <c r="OW487" s="2">
        <v>0.95</v>
      </c>
      <c r="OX487" s="2">
        <v>0.97</v>
      </c>
      <c r="PC487" s="2">
        <v>0.99</v>
      </c>
      <c r="PD487" s="2">
        <v>0.97</v>
      </c>
      <c r="PE487" s="2">
        <v>0.97</v>
      </c>
      <c r="PF487" s="2">
        <v>0.98</v>
      </c>
      <c r="PG487" s="2">
        <v>0.96</v>
      </c>
      <c r="PH487" s="2">
        <v>0.96</v>
      </c>
      <c r="PI487" s="2">
        <v>0.96</v>
      </c>
    </row>
    <row r="488">
      <c r="A488" t="inlineStr">
        <is>
          <t>A130390650C</t>
        </is>
      </c>
      <c r="B488" t="inlineStr">
        <is>
          <t>Contribution to All groups CPI Index Number ;  Other food products n.e.c. ;  Australia ;</t>
        </is>
      </c>
      <c r="C488" t="inlineStr">
        <is>
          <t>Month</t>
        </is>
      </c>
      <c r="D488" t="inlineStr">
        <is>
          <t>Index Points</t>
        </is>
      </c>
      <c r="E488" t="inlineStr">
        <is>
          <t>Original</t>
        </is>
      </c>
      <c r="F488" t="inlineStr">
        <is>
          <t>640103.xlsx</t>
        </is>
      </c>
      <c r="G488" t="inlineStr">
        <is>
          <t>2024-12</t>
        </is>
      </c>
      <c r="H488" t="inlineStr">
        <is>
          <t>2026-07</t>
        </is>
      </c>
      <c r="OH488" s="2">
        <v>0.51</v>
      </c>
      <c r="OM488" s="2">
        <v>0.51</v>
      </c>
      <c r="ON488" s="2">
        <v>0.51</v>
      </c>
      <c r="OO488" s="2">
        <v>0.51</v>
      </c>
      <c r="OP488" s="2">
        <v>0.5</v>
      </c>
      <c r="OQ488" s="2">
        <v>0.5</v>
      </c>
      <c r="OR488" s="2">
        <v>0.5</v>
      </c>
      <c r="OS488" s="2">
        <v>0.5</v>
      </c>
      <c r="OT488" s="2">
        <v>0.5</v>
      </c>
      <c r="OU488" s="2">
        <v>0.51</v>
      </c>
      <c r="OV488" s="2">
        <v>0.51</v>
      </c>
      <c r="OW488" s="2">
        <v>0.51</v>
      </c>
      <c r="OX488" s="2">
        <v>0.52</v>
      </c>
      <c r="PC488" s="2">
        <v>0.52</v>
      </c>
      <c r="PD488" s="2">
        <v>0.51</v>
      </c>
      <c r="PE488" s="2">
        <v>0.51</v>
      </c>
      <c r="PF488" s="2">
        <v>0.51</v>
      </c>
      <c r="PG488" s="2">
        <v>0.51</v>
      </c>
      <c r="PH488" s="2">
        <v>0.51</v>
      </c>
      <c r="PI488" s="2">
        <v>0.51</v>
      </c>
    </row>
    <row r="489">
      <c r="A489" t="inlineStr">
        <is>
          <t>A130390230J</t>
        </is>
      </c>
      <c r="B489" t="inlineStr">
        <is>
          <t>Contribution to All groups CPI Index Number ;  Non-alcoholic beverages ;  Australia ;</t>
        </is>
      </c>
      <c r="C489" t="inlineStr">
        <is>
          <t>Month</t>
        </is>
      </c>
      <c r="D489" t="inlineStr">
        <is>
          <t>Index Points</t>
        </is>
      </c>
      <c r="E489" t="inlineStr">
        <is>
          <t>Original</t>
        </is>
      </c>
      <c r="F489" t="inlineStr">
        <is>
          <t>640103.xlsx</t>
        </is>
      </c>
      <c r="G489" t="inlineStr">
        <is>
          <t>2024-12</t>
        </is>
      </c>
      <c r="H489" t="inlineStr">
        <is>
          <t>2026-07</t>
        </is>
      </c>
      <c r="OH489" s="2">
        <v>1.17</v>
      </c>
      <c r="OM489" s="2">
        <v>1.19</v>
      </c>
      <c r="ON489" s="2">
        <v>1.21</v>
      </c>
      <c r="OO489" s="2">
        <v>1.22</v>
      </c>
      <c r="OP489" s="2">
        <v>1.22</v>
      </c>
      <c r="OQ489" s="2">
        <v>1.24</v>
      </c>
      <c r="OR489" s="2">
        <v>1.25</v>
      </c>
      <c r="OS489" s="2">
        <v>1.25</v>
      </c>
      <c r="OT489" s="2">
        <v>1.24</v>
      </c>
      <c r="OU489" s="2">
        <v>1.23</v>
      </c>
      <c r="OV489" s="2">
        <v>1.22</v>
      </c>
      <c r="OW489" s="2">
        <v>1.22</v>
      </c>
      <c r="OX489" s="2">
        <v>1.22</v>
      </c>
      <c r="PC489" s="2">
        <v>1.23</v>
      </c>
      <c r="PD489" s="2">
        <v>1.24</v>
      </c>
      <c r="PE489" s="2">
        <v>1.25</v>
      </c>
      <c r="PF489" s="2">
        <v>1.24</v>
      </c>
      <c r="PG489" s="2">
        <v>1.26</v>
      </c>
      <c r="PH489" s="2">
        <v>1.27</v>
      </c>
      <c r="PI489" s="2">
        <v>1.27</v>
      </c>
    </row>
    <row r="490">
      <c r="A490" t="inlineStr">
        <is>
          <t>A130390643F</t>
        </is>
      </c>
      <c r="B490" t="inlineStr">
        <is>
          <t>Contribution to All groups CPI Index Number ;  Coffee, tea and cocoa ;  Australia ;</t>
        </is>
      </c>
      <c r="C490" t="inlineStr">
        <is>
          <t>Month</t>
        </is>
      </c>
      <c r="D490" t="inlineStr">
        <is>
          <t>Index Points</t>
        </is>
      </c>
      <c r="E490" t="inlineStr">
        <is>
          <t>Original</t>
        </is>
      </c>
      <c r="F490" t="inlineStr">
        <is>
          <t>640103.xlsx</t>
        </is>
      </c>
      <c r="G490" t="inlineStr">
        <is>
          <t>2024-12</t>
        </is>
      </c>
      <c r="H490" t="inlineStr">
        <is>
          <t>2026-07</t>
        </is>
      </c>
      <c r="OH490" s="2">
        <v>0.26</v>
      </c>
      <c r="OM490" s="2">
        <v>0.25</v>
      </c>
      <c r="ON490" s="2">
        <v>0.26</v>
      </c>
      <c r="OO490" s="2">
        <v>0.26</v>
      </c>
      <c r="OP490" s="2">
        <v>0.26</v>
      </c>
      <c r="OQ490" s="2">
        <v>0.27</v>
      </c>
      <c r="OR490" s="2">
        <v>0.27</v>
      </c>
      <c r="OS490" s="2">
        <v>0.28</v>
      </c>
      <c r="OT490" s="2">
        <v>0.28</v>
      </c>
      <c r="OU490" s="2">
        <v>0.29</v>
      </c>
      <c r="OV490" s="2">
        <v>0.29</v>
      </c>
      <c r="OW490" s="2">
        <v>0.29</v>
      </c>
      <c r="OX490" s="2">
        <v>0.3</v>
      </c>
      <c r="PC490" s="2">
        <v>0.29</v>
      </c>
      <c r="PD490" s="2">
        <v>0.29</v>
      </c>
      <c r="PE490" s="2">
        <v>0.29</v>
      </c>
      <c r="PF490" s="2">
        <v>0.29</v>
      </c>
      <c r="PG490" s="2">
        <v>0.29</v>
      </c>
      <c r="PH490" s="2">
        <v>0.29</v>
      </c>
      <c r="PI490" s="2">
        <v>0.29</v>
      </c>
    </row>
    <row r="491">
      <c r="A491" t="inlineStr">
        <is>
          <t>A130395214X</t>
        </is>
      </c>
      <c r="B491" t="inlineStr">
        <is>
          <t>Contribution to All groups CPI Index Number ;  Waters, soft drinks and juices ;  Australia ;</t>
        </is>
      </c>
      <c r="C491" t="inlineStr">
        <is>
          <t>Month</t>
        </is>
      </c>
      <c r="D491" t="inlineStr">
        <is>
          <t>Index Points</t>
        </is>
      </c>
      <c r="E491" t="inlineStr">
        <is>
          <t>Original</t>
        </is>
      </c>
      <c r="F491" t="inlineStr">
        <is>
          <t>640103.xlsx</t>
        </is>
      </c>
      <c r="G491" t="inlineStr">
        <is>
          <t>2024-12</t>
        </is>
      </c>
      <c r="H491" t="inlineStr">
        <is>
          <t>2026-07</t>
        </is>
      </c>
      <c r="OH491" s="2">
        <v>0.92</v>
      </c>
      <c r="OM491" s="2">
        <v>0.93</v>
      </c>
      <c r="ON491" s="2">
        <v>0.95</v>
      </c>
      <c r="OO491" s="2">
        <v>0.96</v>
      </c>
      <c r="OP491" s="2">
        <v>0.95</v>
      </c>
      <c r="OQ491" s="2">
        <v>0.97</v>
      </c>
      <c r="OR491" s="2">
        <v>0.97</v>
      </c>
      <c r="OS491" s="2">
        <v>0.97</v>
      </c>
      <c r="OT491" s="2">
        <v>0.96</v>
      </c>
      <c r="OU491" s="2">
        <v>0.9399999999999999</v>
      </c>
      <c r="OV491" s="2">
        <v>0.9399999999999999</v>
      </c>
      <c r="OW491" s="2">
        <v>0.9399999999999999</v>
      </c>
      <c r="OX491" s="2">
        <v>0.92</v>
      </c>
      <c r="PC491" s="2">
        <v>0.9399999999999999</v>
      </c>
      <c r="PD491" s="2">
        <v>0.95</v>
      </c>
      <c r="PE491" s="2">
        <v>0.96</v>
      </c>
      <c r="PF491" s="2">
        <v>0.95</v>
      </c>
      <c r="PG491" s="2">
        <v>0.97</v>
      </c>
      <c r="PH491" s="2">
        <v>0.98</v>
      </c>
      <c r="PI491" s="2">
        <v>0.99</v>
      </c>
    </row>
    <row r="492">
      <c r="A492" t="inlineStr">
        <is>
          <t>A130390440F</t>
        </is>
      </c>
      <c r="B492" t="inlineStr">
        <is>
          <t>Contribution to All groups CPI Index Number ;  Meals out and take away foods ;  Australia ;</t>
        </is>
      </c>
      <c r="C492" t="inlineStr">
        <is>
          <t>Month</t>
        </is>
      </c>
      <c r="D492" t="inlineStr">
        <is>
          <t>Index Points</t>
        </is>
      </c>
      <c r="E492" t="inlineStr">
        <is>
          <t>Original</t>
        </is>
      </c>
      <c r="F492" t="inlineStr">
        <is>
          <t>640103.xlsx</t>
        </is>
      </c>
      <c r="G492" t="inlineStr">
        <is>
          <t>2024-12</t>
        </is>
      </c>
      <c r="H492" t="inlineStr">
        <is>
          <t>2026-07</t>
        </is>
      </c>
      <c r="OH492" s="2">
        <v>6.94</v>
      </c>
      <c r="OM492" s="2">
        <v>6.95</v>
      </c>
      <c r="ON492" s="2">
        <v>6.97</v>
      </c>
      <c r="OO492" s="2">
        <v>6.98</v>
      </c>
      <c r="OP492" s="2">
        <v>7</v>
      </c>
      <c r="OQ492" s="2">
        <v>7.02</v>
      </c>
      <c r="OR492" s="2">
        <v>7.04</v>
      </c>
      <c r="OS492" s="2">
        <v>7.07</v>
      </c>
      <c r="OT492" s="2">
        <v>7.11</v>
      </c>
      <c r="OU492" s="2">
        <v>7.14</v>
      </c>
      <c r="OV492" s="2">
        <v>7.15</v>
      </c>
      <c r="OW492" s="2">
        <v>7.17</v>
      </c>
      <c r="OX492" s="2">
        <v>7.18</v>
      </c>
      <c r="PC492" s="2">
        <v>7.22</v>
      </c>
      <c r="PD492" s="2">
        <v>7.23</v>
      </c>
      <c r="PE492" s="2">
        <v>7.25</v>
      </c>
      <c r="PF492" s="2">
        <v>7.26</v>
      </c>
      <c r="PG492" s="2">
        <v>7.3</v>
      </c>
      <c r="PH492" s="2">
        <v>7.33</v>
      </c>
      <c r="PI492" s="2">
        <v>7.39</v>
      </c>
    </row>
    <row r="493">
      <c r="A493" t="inlineStr">
        <is>
          <t>A130391945F</t>
        </is>
      </c>
      <c r="B493" t="inlineStr">
        <is>
          <t>Contribution to All groups CPI Index Number ;  Restaurant meals ;  Australia ;</t>
        </is>
      </c>
      <c r="C493" t="inlineStr">
        <is>
          <t>Month</t>
        </is>
      </c>
      <c r="D493" t="inlineStr">
        <is>
          <t>Index Points</t>
        </is>
      </c>
      <c r="E493" t="inlineStr">
        <is>
          <t>Original</t>
        </is>
      </c>
      <c r="F493" t="inlineStr">
        <is>
          <t>640103.xlsx</t>
        </is>
      </c>
      <c r="G493" t="inlineStr">
        <is>
          <t>2024-12</t>
        </is>
      </c>
      <c r="H493" t="inlineStr">
        <is>
          <t>2026-07</t>
        </is>
      </c>
      <c r="OH493" s="2">
        <v>3.84</v>
      </c>
      <c r="OM493" s="2">
        <v>3.85</v>
      </c>
      <c r="ON493" s="2">
        <v>3.85</v>
      </c>
      <c r="OO493" s="2">
        <v>3.86</v>
      </c>
      <c r="OP493" s="2">
        <v>3.87</v>
      </c>
      <c r="OQ493" s="2">
        <v>3.87</v>
      </c>
      <c r="OR493" s="2">
        <v>3.89</v>
      </c>
      <c r="OS493" s="2">
        <v>3.89</v>
      </c>
      <c r="OT493" s="2">
        <v>3.92</v>
      </c>
      <c r="OU493" s="2">
        <v>3.93</v>
      </c>
      <c r="OV493" s="2">
        <v>3.94</v>
      </c>
      <c r="OW493" s="2">
        <v>3.95</v>
      </c>
      <c r="OX493" s="2">
        <v>3.98</v>
      </c>
      <c r="PC493" s="2">
        <v>3.99</v>
      </c>
      <c r="PD493" s="2">
        <v>3.99</v>
      </c>
      <c r="PE493" s="2">
        <v>4</v>
      </c>
      <c r="PF493" s="2">
        <v>4.01</v>
      </c>
      <c r="PG493" s="2">
        <v>4.02</v>
      </c>
      <c r="PH493" s="2">
        <v>4.03</v>
      </c>
      <c r="PI493" s="2">
        <v>4.08</v>
      </c>
    </row>
    <row r="494">
      <c r="A494" t="inlineStr">
        <is>
          <t>A130390615W</t>
        </is>
      </c>
      <c r="B494" t="inlineStr">
        <is>
          <t>Contribution to All groups CPI Index Number ;  Take away and fast foods ;  Australia ;</t>
        </is>
      </c>
      <c r="C494" t="inlineStr">
        <is>
          <t>Month</t>
        </is>
      </c>
      <c r="D494" t="inlineStr">
        <is>
          <t>Index Points</t>
        </is>
      </c>
      <c r="E494" t="inlineStr">
        <is>
          <t>Original</t>
        </is>
      </c>
      <c r="F494" t="inlineStr">
        <is>
          <t>640103.xlsx</t>
        </is>
      </c>
      <c r="G494" t="inlineStr">
        <is>
          <t>2024-12</t>
        </is>
      </c>
      <c r="H494" t="inlineStr">
        <is>
          <t>2026-07</t>
        </is>
      </c>
      <c r="OH494" s="2">
        <v>3.1</v>
      </c>
      <c r="OM494" s="2">
        <v>3.1</v>
      </c>
      <c r="ON494" s="2">
        <v>3.11</v>
      </c>
      <c r="OO494" s="2">
        <v>3.12</v>
      </c>
      <c r="OP494" s="2">
        <v>3.13</v>
      </c>
      <c r="OQ494" s="2">
        <v>3.15</v>
      </c>
      <c r="OR494" s="2">
        <v>3.16</v>
      </c>
      <c r="OS494" s="2">
        <v>3.18</v>
      </c>
      <c r="OT494" s="2">
        <v>3.2</v>
      </c>
      <c r="OU494" s="2">
        <v>3.2</v>
      </c>
      <c r="OV494" s="2">
        <v>3.21</v>
      </c>
      <c r="OW494" s="2">
        <v>3.21</v>
      </c>
      <c r="OX494" s="2">
        <v>3.21</v>
      </c>
      <c r="PC494" s="2">
        <v>3.23</v>
      </c>
      <c r="PD494" s="2">
        <v>3.23</v>
      </c>
      <c r="PE494" s="2">
        <v>3.25</v>
      </c>
      <c r="PF494" s="2">
        <v>3.26</v>
      </c>
      <c r="PG494" s="2">
        <v>3.28</v>
      </c>
      <c r="PH494" s="2">
        <v>3.3</v>
      </c>
      <c r="PI494" s="2">
        <v>3.31</v>
      </c>
    </row>
    <row r="495">
      <c r="A495" t="inlineStr">
        <is>
          <t>A130393030V</t>
        </is>
      </c>
      <c r="B495" t="inlineStr">
        <is>
          <t>Contribution to All groups CPI Index Number ;  Alcohol and tobacco ;  Australia ;</t>
        </is>
      </c>
      <c r="C495" t="inlineStr">
        <is>
          <t>Month</t>
        </is>
      </c>
      <c r="D495" t="inlineStr">
        <is>
          <t>Index Points</t>
        </is>
      </c>
      <c r="E495" t="inlineStr">
        <is>
          <t>Original</t>
        </is>
      </c>
      <c r="F495" t="inlineStr">
        <is>
          <t>640103.xlsx</t>
        </is>
      </c>
      <c r="G495" t="inlineStr">
        <is>
          <t>2024-12</t>
        </is>
      </c>
      <c r="H495" t="inlineStr">
        <is>
          <t>2026-07</t>
        </is>
      </c>
      <c r="OH495" s="2">
        <v>6.34</v>
      </c>
      <c r="OM495" s="2">
        <v>6.38</v>
      </c>
      <c r="ON495" s="2">
        <v>6.44</v>
      </c>
      <c r="OO495" s="2">
        <v>6.49</v>
      </c>
      <c r="OP495" s="2">
        <v>6.46</v>
      </c>
      <c r="OQ495" s="2">
        <v>6.49</v>
      </c>
      <c r="OR495" s="2">
        <v>6.48</v>
      </c>
      <c r="OS495" s="2">
        <v>6.55</v>
      </c>
      <c r="OT495" s="2">
        <v>6.56</v>
      </c>
      <c r="OU495" s="2">
        <v>6.64</v>
      </c>
      <c r="OV495" s="2">
        <v>6.64</v>
      </c>
      <c r="OW495" s="2">
        <v>6.65</v>
      </c>
      <c r="OX495" s="2">
        <v>6.65</v>
      </c>
      <c r="PC495" s="2">
        <v>6.7</v>
      </c>
      <c r="PD495" s="2">
        <v>6.72</v>
      </c>
      <c r="PE495" s="2">
        <v>6.77</v>
      </c>
      <c r="PF495" s="2">
        <v>6.74</v>
      </c>
      <c r="PG495" s="2">
        <v>6.8</v>
      </c>
      <c r="PH495" s="2">
        <v>6.76</v>
      </c>
      <c r="PI495" s="2">
        <v>6.84</v>
      </c>
    </row>
    <row r="496">
      <c r="A496" t="inlineStr">
        <is>
          <t>A130394416C</t>
        </is>
      </c>
      <c r="B496" t="inlineStr">
        <is>
          <t>Contribution to All groups CPI Index Number ;  Alcoholic beverages ;  Australia ;</t>
        </is>
      </c>
      <c r="C496" t="inlineStr">
        <is>
          <t>Month</t>
        </is>
      </c>
      <c r="D496" t="inlineStr">
        <is>
          <t>Index Points</t>
        </is>
      </c>
      <c r="E496" t="inlineStr">
        <is>
          <t>Original</t>
        </is>
      </c>
      <c r="F496" t="inlineStr">
        <is>
          <t>640103.xlsx</t>
        </is>
      </c>
      <c r="G496" t="inlineStr">
        <is>
          <t>2024-12</t>
        </is>
      </c>
      <c r="H496" t="inlineStr">
        <is>
          <t>2026-07</t>
        </is>
      </c>
      <c r="OH496" s="2">
        <v>4.52</v>
      </c>
      <c r="OM496" s="2">
        <v>4.56</v>
      </c>
      <c r="ON496" s="2">
        <v>4.6</v>
      </c>
      <c r="OO496" s="2">
        <v>4.62</v>
      </c>
      <c r="OP496" s="2">
        <v>4.58</v>
      </c>
      <c r="OQ496" s="2">
        <v>4.61</v>
      </c>
      <c r="OR496" s="2">
        <v>4.61</v>
      </c>
      <c r="OS496" s="2">
        <v>4.65</v>
      </c>
      <c r="OT496" s="2">
        <v>4.66</v>
      </c>
      <c r="OU496" s="2">
        <v>4.64</v>
      </c>
      <c r="OV496" s="2">
        <v>4.62</v>
      </c>
      <c r="OW496" s="2">
        <v>4.62</v>
      </c>
      <c r="OX496" s="2">
        <v>4.6</v>
      </c>
      <c r="PC496" s="2">
        <v>4.66</v>
      </c>
      <c r="PD496" s="2">
        <v>4.67</v>
      </c>
      <c r="PE496" s="2">
        <v>4.7</v>
      </c>
      <c r="PF496" s="2">
        <v>4.66</v>
      </c>
      <c r="PG496" s="2">
        <v>4.72</v>
      </c>
      <c r="PH496" s="2">
        <v>4.68</v>
      </c>
      <c r="PI496" s="2">
        <v>4.74</v>
      </c>
    </row>
    <row r="497">
      <c r="A497" t="inlineStr">
        <is>
          <t>A130393443T</t>
        </is>
      </c>
      <c r="B497" t="inlineStr">
        <is>
          <t>Contribution to All groups CPI Index Number ;  Spirits ;  Australia ;</t>
        </is>
      </c>
      <c r="C497" t="inlineStr">
        <is>
          <t>Month</t>
        </is>
      </c>
      <c r="D497" t="inlineStr">
        <is>
          <t>Index Points</t>
        </is>
      </c>
      <c r="E497" t="inlineStr">
        <is>
          <t>Original</t>
        </is>
      </c>
      <c r="F497" t="inlineStr">
        <is>
          <t>640103.xlsx</t>
        </is>
      </c>
      <c r="G497" t="inlineStr">
        <is>
          <t>2024-12</t>
        </is>
      </c>
      <c r="H497" t="inlineStr">
        <is>
          <t>2026-07</t>
        </is>
      </c>
      <c r="OH497" s="2">
        <v>0.9</v>
      </c>
      <c r="OM497" s="2">
        <v>0.9</v>
      </c>
      <c r="ON497" s="2">
        <v>0.93</v>
      </c>
      <c r="OO497" s="2">
        <v>0.92</v>
      </c>
      <c r="OP497" s="2">
        <v>0.91</v>
      </c>
      <c r="OQ497" s="2">
        <v>0.92</v>
      </c>
      <c r="OR497" s="2">
        <v>0.92</v>
      </c>
      <c r="OS497" s="2">
        <v>0.92</v>
      </c>
      <c r="OT497" s="2">
        <v>0.93</v>
      </c>
      <c r="OU497" s="2">
        <v>0.93</v>
      </c>
      <c r="OV497" s="2">
        <v>0.92</v>
      </c>
      <c r="OW497" s="2">
        <v>0.92</v>
      </c>
      <c r="OX497" s="2">
        <v>0.92</v>
      </c>
      <c r="PC497" s="2">
        <v>0.93</v>
      </c>
      <c r="PD497" s="2">
        <v>0.93</v>
      </c>
      <c r="PE497" s="2">
        <v>0.9399999999999999</v>
      </c>
      <c r="PF497" s="2">
        <v>0.93</v>
      </c>
      <c r="PG497" s="2">
        <v>0.95</v>
      </c>
      <c r="PH497" s="2">
        <v>0.9399999999999999</v>
      </c>
      <c r="PI497" s="2">
        <v>0.95</v>
      </c>
    </row>
    <row r="498">
      <c r="A498" t="inlineStr">
        <is>
          <t>A130390895A</t>
        </is>
      </c>
      <c r="B498" t="inlineStr">
        <is>
          <t>Contribution to All groups CPI Index Number ;  Wine ;  Australia ;</t>
        </is>
      </c>
      <c r="C498" t="inlineStr">
        <is>
          <t>Month</t>
        </is>
      </c>
      <c r="D498" t="inlineStr">
        <is>
          <t>Index Points</t>
        </is>
      </c>
      <c r="E498" t="inlineStr">
        <is>
          <t>Original</t>
        </is>
      </c>
      <c r="F498" t="inlineStr">
        <is>
          <t>640103.xlsx</t>
        </is>
      </c>
      <c r="G498" t="inlineStr">
        <is>
          <t>2024-12</t>
        </is>
      </c>
      <c r="H498" t="inlineStr">
        <is>
          <t>2026-07</t>
        </is>
      </c>
      <c r="OH498" s="2">
        <v>1.61</v>
      </c>
      <c r="OM498" s="2">
        <v>1.64</v>
      </c>
      <c r="ON498" s="2">
        <v>1.62</v>
      </c>
      <c r="OO498" s="2">
        <v>1.65</v>
      </c>
      <c r="OP498" s="2">
        <v>1.63</v>
      </c>
      <c r="OQ498" s="2">
        <v>1.65</v>
      </c>
      <c r="OR498" s="2">
        <v>1.63</v>
      </c>
      <c r="OS498" s="2">
        <v>1.67</v>
      </c>
      <c r="OT498" s="2">
        <v>1.67</v>
      </c>
      <c r="OU498" s="2">
        <v>1.65</v>
      </c>
      <c r="OV498" s="2">
        <v>1.63</v>
      </c>
      <c r="OW498" s="2">
        <v>1.62</v>
      </c>
      <c r="OX498" s="2">
        <v>1.61</v>
      </c>
      <c r="PC498" s="2">
        <v>1.65</v>
      </c>
      <c r="PD498" s="2">
        <v>1.65</v>
      </c>
      <c r="PE498" s="2">
        <v>1.66</v>
      </c>
      <c r="PF498" s="2">
        <v>1.63</v>
      </c>
      <c r="PG498" s="2">
        <v>1.67</v>
      </c>
      <c r="PH498" s="2">
        <v>1.64</v>
      </c>
      <c r="PI498" s="2">
        <v>1.67</v>
      </c>
    </row>
    <row r="499">
      <c r="A499" t="inlineStr">
        <is>
          <t>A130393415J</t>
        </is>
      </c>
      <c r="B499" t="inlineStr">
        <is>
          <t>Contribution to All groups CPI Index Number ;  Beer ;  Australia ;</t>
        </is>
      </c>
      <c r="C499" t="inlineStr">
        <is>
          <t>Month</t>
        </is>
      </c>
      <c r="D499" t="inlineStr">
        <is>
          <t>Index Points</t>
        </is>
      </c>
      <c r="E499" t="inlineStr">
        <is>
          <t>Original</t>
        </is>
      </c>
      <c r="F499" t="inlineStr">
        <is>
          <t>640103.xlsx</t>
        </is>
      </c>
      <c r="G499" t="inlineStr">
        <is>
          <t>2024-12</t>
        </is>
      </c>
      <c r="H499" t="inlineStr">
        <is>
          <t>2026-07</t>
        </is>
      </c>
      <c r="OH499" s="2">
        <v>2.01</v>
      </c>
      <c r="OM499" s="2">
        <v>2.02</v>
      </c>
      <c r="ON499" s="2">
        <v>2.05</v>
      </c>
      <c r="OO499" s="2">
        <v>2.05</v>
      </c>
      <c r="OP499" s="2">
        <v>2.04</v>
      </c>
      <c r="OQ499" s="2">
        <v>2.05</v>
      </c>
      <c r="OR499" s="2">
        <v>2.05</v>
      </c>
      <c r="OS499" s="2">
        <v>2.06</v>
      </c>
      <c r="OT499" s="2">
        <v>2.07</v>
      </c>
      <c r="OU499" s="2">
        <v>2.07</v>
      </c>
      <c r="OV499" s="2">
        <v>2.07</v>
      </c>
      <c r="OW499" s="2">
        <v>2.07</v>
      </c>
      <c r="OX499" s="2">
        <v>2.07</v>
      </c>
      <c r="PC499" s="2">
        <v>2.08</v>
      </c>
      <c r="PD499" s="2">
        <v>2.09</v>
      </c>
      <c r="PE499" s="2">
        <v>2.1</v>
      </c>
      <c r="PF499" s="2">
        <v>2.09</v>
      </c>
      <c r="PG499" s="2">
        <v>2.1</v>
      </c>
      <c r="PH499" s="2">
        <v>2.1</v>
      </c>
      <c r="PI499" s="2">
        <v>2.12</v>
      </c>
    </row>
    <row r="500">
      <c r="A500" t="inlineStr">
        <is>
          <t>A130398015L</t>
        </is>
      </c>
      <c r="B500" t="inlineStr">
        <is>
          <t>Contribution to All groups CPI Index Number ;  Tobacco ;  Australia ;</t>
        </is>
      </c>
      <c r="C500" t="inlineStr">
        <is>
          <t>Month</t>
        </is>
      </c>
      <c r="D500" t="inlineStr">
        <is>
          <t>Index Points</t>
        </is>
      </c>
      <c r="E500" t="inlineStr">
        <is>
          <t>Original</t>
        </is>
      </c>
      <c r="F500" t="inlineStr">
        <is>
          <t>640103.xlsx</t>
        </is>
      </c>
      <c r="G500" t="inlineStr">
        <is>
          <t>2024-12</t>
        </is>
      </c>
      <c r="H500" t="inlineStr">
        <is>
          <t>2026-07</t>
        </is>
      </c>
      <c r="OH500" s="2">
        <v>1.81</v>
      </c>
      <c r="OM500" s="2">
        <v>1.82</v>
      </c>
      <c r="ON500" s="2">
        <v>1.84</v>
      </c>
      <c r="OO500" s="2">
        <v>1.86</v>
      </c>
      <c r="OP500" s="2">
        <v>1.88</v>
      </c>
      <c r="OQ500" s="2">
        <v>1.88</v>
      </c>
      <c r="OR500" s="2">
        <v>1.87</v>
      </c>
      <c r="OS500" s="2">
        <v>1.9</v>
      </c>
      <c r="OT500" s="2">
        <v>1.9</v>
      </c>
      <c r="OU500" s="2">
        <v>2</v>
      </c>
      <c r="OV500" s="2">
        <v>2.02</v>
      </c>
      <c r="OW500" s="2">
        <v>2.03</v>
      </c>
      <c r="OX500" s="2">
        <v>2.04</v>
      </c>
      <c r="PC500" s="2">
        <v>2.04</v>
      </c>
      <c r="PD500" s="2">
        <v>2.05</v>
      </c>
      <c r="PE500" s="2">
        <v>2.07</v>
      </c>
      <c r="PF500" s="2">
        <v>2.08</v>
      </c>
      <c r="PG500" s="2">
        <v>2.08</v>
      </c>
      <c r="PH500" s="2">
        <v>2.08</v>
      </c>
      <c r="PI500" s="2">
        <v>2.11</v>
      </c>
    </row>
    <row r="501">
      <c r="A501" t="inlineStr">
        <is>
          <t>A130397118K</t>
        </is>
      </c>
      <c r="B501" t="inlineStr">
        <is>
          <t>Contribution to All groups CPI Index Number ;  Tobacco ;  Australia ;</t>
        </is>
      </c>
      <c r="C501" t="inlineStr">
        <is>
          <t>Month</t>
        </is>
      </c>
      <c r="D501" t="inlineStr">
        <is>
          <t>Index Points</t>
        </is>
      </c>
      <c r="E501" t="inlineStr">
        <is>
          <t>Original</t>
        </is>
      </c>
      <c r="F501" t="inlineStr">
        <is>
          <t>640103.xlsx</t>
        </is>
      </c>
      <c r="G501" t="inlineStr">
        <is>
          <t>2024-12</t>
        </is>
      </c>
      <c r="H501" t="inlineStr">
        <is>
          <t>2026-07</t>
        </is>
      </c>
      <c r="OH501" s="2">
        <v>1.81</v>
      </c>
      <c r="OM501" s="2">
        <v>1.82</v>
      </c>
      <c r="ON501" s="2">
        <v>1.84</v>
      </c>
      <c r="OO501" s="2">
        <v>1.86</v>
      </c>
      <c r="OP501" s="2">
        <v>1.88</v>
      </c>
      <c r="OQ501" s="2">
        <v>1.88</v>
      </c>
      <c r="OR501" s="2">
        <v>1.87</v>
      </c>
      <c r="OS501" s="2">
        <v>1.9</v>
      </c>
      <c r="OT501" s="2">
        <v>1.9</v>
      </c>
      <c r="OU501" s="2">
        <v>2</v>
      </c>
      <c r="OV501" s="2">
        <v>2.02</v>
      </c>
      <c r="OW501" s="2">
        <v>2.03</v>
      </c>
      <c r="OX501" s="2">
        <v>2.04</v>
      </c>
      <c r="PC501" s="2">
        <v>2.04</v>
      </c>
      <c r="PD501" s="2">
        <v>2.05</v>
      </c>
      <c r="PE501" s="2">
        <v>2.07</v>
      </c>
      <c r="PF501" s="2">
        <v>2.08</v>
      </c>
      <c r="PG501" s="2">
        <v>2.08</v>
      </c>
      <c r="PH501" s="2">
        <v>2.08</v>
      </c>
      <c r="PI501" s="2">
        <v>2.11</v>
      </c>
    </row>
    <row r="502">
      <c r="A502" t="inlineStr">
        <is>
          <t>A130391672K</t>
        </is>
      </c>
      <c r="B502" t="inlineStr">
        <is>
          <t>Contribution to All groups CPI Index Number ;  Clothing and footwear ;  Australia ;</t>
        </is>
      </c>
      <c r="C502" t="inlineStr">
        <is>
          <t>Month</t>
        </is>
      </c>
      <c r="D502" t="inlineStr">
        <is>
          <t>Index Points</t>
        </is>
      </c>
      <c r="E502" t="inlineStr">
        <is>
          <t>Original</t>
        </is>
      </c>
      <c r="F502" t="inlineStr">
        <is>
          <t>640103.xlsx</t>
        </is>
      </c>
      <c r="G502" t="inlineStr">
        <is>
          <t>2024-12</t>
        </is>
      </c>
      <c r="H502" t="inlineStr">
        <is>
          <t>2026-07</t>
        </is>
      </c>
      <c r="OH502" s="2">
        <v>3.09</v>
      </c>
      <c r="OM502" s="2">
        <v>3.11</v>
      </c>
      <c r="ON502" s="2">
        <v>3.21</v>
      </c>
      <c r="OO502" s="2">
        <v>3.08</v>
      </c>
      <c r="OP502" s="2">
        <v>3.24</v>
      </c>
      <c r="OQ502" s="2">
        <v>3.17</v>
      </c>
      <c r="OR502" s="2">
        <v>3.14</v>
      </c>
      <c r="OS502" s="2">
        <v>3.22</v>
      </c>
      <c r="OT502" s="2">
        <v>3.27</v>
      </c>
      <c r="OU502" s="2">
        <v>3.25</v>
      </c>
      <c r="OV502" s="2">
        <v>3.32</v>
      </c>
      <c r="OW502" s="2">
        <v>3.22</v>
      </c>
      <c r="OX502" s="2">
        <v>3.19</v>
      </c>
      <c r="PC502" s="2">
        <v>3.28</v>
      </c>
      <c r="PD502" s="2">
        <v>3.37</v>
      </c>
      <c r="PE502" s="2">
        <v>3.3</v>
      </c>
      <c r="PF502" s="2">
        <v>3.43</v>
      </c>
      <c r="PG502" s="2">
        <v>3.33</v>
      </c>
      <c r="PH502" s="2">
        <v>3.3</v>
      </c>
      <c r="PI502" s="2">
        <v>3.38</v>
      </c>
    </row>
    <row r="503">
      <c r="A503" t="inlineStr">
        <is>
          <t>A130394108A</t>
        </is>
      </c>
      <c r="B503" t="inlineStr">
        <is>
          <t>Contribution to All groups CPI Index Number ;  Garments ;  Australia ;</t>
        </is>
      </c>
      <c r="C503" t="inlineStr">
        <is>
          <t>Month</t>
        </is>
      </c>
      <c r="D503" t="inlineStr">
        <is>
          <t>Index Points</t>
        </is>
      </c>
      <c r="E503" t="inlineStr">
        <is>
          <t>Original</t>
        </is>
      </c>
      <c r="F503" t="inlineStr">
        <is>
          <t>640103.xlsx</t>
        </is>
      </c>
      <c r="G503" t="inlineStr">
        <is>
          <t>2024-12</t>
        </is>
      </c>
      <c r="H503" t="inlineStr">
        <is>
          <t>2026-07</t>
        </is>
      </c>
      <c r="OH503" s="2">
        <v>1.91</v>
      </c>
      <c r="OM503" s="2">
        <v>1.88</v>
      </c>
      <c r="ON503" s="2">
        <v>1.95</v>
      </c>
      <c r="OO503" s="2">
        <v>1.89</v>
      </c>
      <c r="OP503" s="2">
        <v>2</v>
      </c>
      <c r="OQ503" s="2">
        <v>1.95</v>
      </c>
      <c r="OR503" s="2">
        <v>1.9</v>
      </c>
      <c r="OS503" s="2">
        <v>1.96</v>
      </c>
      <c r="OT503" s="2">
        <v>2</v>
      </c>
      <c r="OU503" s="2">
        <v>1.94</v>
      </c>
      <c r="OV503" s="2">
        <v>1.99</v>
      </c>
      <c r="OW503" s="2">
        <v>1.94</v>
      </c>
      <c r="OX503" s="2">
        <v>1.92</v>
      </c>
      <c r="PC503" s="2">
        <v>1.96</v>
      </c>
      <c r="PD503" s="2">
        <v>2.02</v>
      </c>
      <c r="PE503" s="2">
        <v>1.97</v>
      </c>
      <c r="PF503" s="2">
        <v>2.06</v>
      </c>
      <c r="PG503" s="2">
        <v>1.99</v>
      </c>
      <c r="PH503" s="2">
        <v>1.93</v>
      </c>
      <c r="PI503" s="2">
        <v>1.99</v>
      </c>
    </row>
    <row r="504">
      <c r="A504" t="inlineStr">
        <is>
          <t>A130399712L</t>
        </is>
      </c>
      <c r="B504" t="inlineStr">
        <is>
          <t>Contribution to All groups CPI Index Number ;  Garments for men ;  Australia ;</t>
        </is>
      </c>
      <c r="C504" t="inlineStr">
        <is>
          <t>Month</t>
        </is>
      </c>
      <c r="D504" t="inlineStr">
        <is>
          <t>Index Points</t>
        </is>
      </c>
      <c r="E504" t="inlineStr">
        <is>
          <t>Original</t>
        </is>
      </c>
      <c r="F504" t="inlineStr">
        <is>
          <t>640103.xlsx</t>
        </is>
      </c>
      <c r="G504" t="inlineStr">
        <is>
          <t>2024-12</t>
        </is>
      </c>
      <c r="H504" t="inlineStr">
        <is>
          <t>2026-07</t>
        </is>
      </c>
      <c r="OH504" s="2">
        <v>0.51</v>
      </c>
      <c r="OM504" s="2">
        <v>0.51</v>
      </c>
      <c r="ON504" s="2">
        <v>0.52</v>
      </c>
      <c r="OO504" s="2">
        <v>0.51</v>
      </c>
      <c r="OP504" s="2">
        <v>0.54</v>
      </c>
      <c r="OQ504" s="2">
        <v>0.52</v>
      </c>
      <c r="OR504" s="2">
        <v>0.5</v>
      </c>
      <c r="OS504" s="2">
        <v>0.51</v>
      </c>
      <c r="OT504" s="2">
        <v>0.53</v>
      </c>
      <c r="OU504" s="2">
        <v>0.51</v>
      </c>
      <c r="OV504" s="2">
        <v>0.53</v>
      </c>
      <c r="OW504" s="2">
        <v>0.52</v>
      </c>
      <c r="OX504" s="2">
        <v>0.51</v>
      </c>
      <c r="PC504" s="2">
        <v>0.52</v>
      </c>
      <c r="PD504" s="2">
        <v>0.53</v>
      </c>
      <c r="PE504" s="2">
        <v>0.51</v>
      </c>
      <c r="PF504" s="2">
        <v>0.53</v>
      </c>
      <c r="PG504" s="2">
        <v>0.52</v>
      </c>
      <c r="PH504" s="2">
        <v>0.51</v>
      </c>
      <c r="PI504" s="2">
        <v>0.53</v>
      </c>
    </row>
    <row r="505">
      <c r="A505" t="inlineStr">
        <is>
          <t>A130398470R</t>
        </is>
      </c>
      <c r="B505" t="inlineStr">
        <is>
          <t>Contribution to All groups CPI Index Number ;  Garments for women ;  Australia ;</t>
        </is>
      </c>
      <c r="C505" t="inlineStr">
        <is>
          <t>Month</t>
        </is>
      </c>
      <c r="D505" t="inlineStr">
        <is>
          <t>Index Points</t>
        </is>
      </c>
      <c r="E505" t="inlineStr">
        <is>
          <t>Original</t>
        </is>
      </c>
      <c r="F505" t="inlineStr">
        <is>
          <t>640103.xlsx</t>
        </is>
      </c>
      <c r="G505" t="inlineStr">
        <is>
          <t>2024-12</t>
        </is>
      </c>
      <c r="H505" t="inlineStr">
        <is>
          <t>2026-07</t>
        </is>
      </c>
      <c r="OH505" s="2">
        <v>1.07</v>
      </c>
      <c r="OM505" s="2">
        <v>1.05</v>
      </c>
      <c r="ON505" s="2">
        <v>1.11</v>
      </c>
      <c r="OO505" s="2">
        <v>1.07</v>
      </c>
      <c r="OP505" s="2">
        <v>1.13</v>
      </c>
      <c r="OQ505" s="2">
        <v>1.1</v>
      </c>
      <c r="OR505" s="2">
        <v>1.08</v>
      </c>
      <c r="OS505" s="2">
        <v>1.12</v>
      </c>
      <c r="OT505" s="2">
        <v>1.13</v>
      </c>
      <c r="OU505" s="2">
        <v>1.09</v>
      </c>
      <c r="OV505" s="2">
        <v>1.12</v>
      </c>
      <c r="OW505" s="2">
        <v>1.09</v>
      </c>
      <c r="OX505" s="2">
        <v>1.08</v>
      </c>
      <c r="PC505" s="2">
        <v>1.11</v>
      </c>
      <c r="PD505" s="2">
        <v>1.14</v>
      </c>
      <c r="PE505" s="2">
        <v>1.13</v>
      </c>
      <c r="PF505" s="2">
        <v>1.19</v>
      </c>
      <c r="PG505" s="2">
        <v>1.15</v>
      </c>
      <c r="PH505" s="2">
        <v>1.1</v>
      </c>
      <c r="PI505" s="2">
        <v>1.13</v>
      </c>
    </row>
    <row r="506">
      <c r="A506" t="inlineStr">
        <is>
          <t>A130391021F</t>
        </is>
      </c>
      <c r="B506" t="inlineStr">
        <is>
          <t>Contribution to All groups CPI Index Number ;  Garments for infants and children ;  Australia ;</t>
        </is>
      </c>
      <c r="C506" t="inlineStr">
        <is>
          <t>Month</t>
        </is>
      </c>
      <c r="D506" t="inlineStr">
        <is>
          <t>Index Points</t>
        </is>
      </c>
      <c r="E506" t="inlineStr">
        <is>
          <t>Original</t>
        </is>
      </c>
      <c r="F506" t="inlineStr">
        <is>
          <t>640103.xlsx</t>
        </is>
      </c>
      <c r="G506" t="inlineStr">
        <is>
          <t>2024-12</t>
        </is>
      </c>
      <c r="H506" t="inlineStr">
        <is>
          <t>2026-07</t>
        </is>
      </c>
      <c r="OH506" s="2">
        <v>0.32</v>
      </c>
      <c r="OM506" s="2">
        <v>0.32</v>
      </c>
      <c r="ON506" s="2">
        <v>0.32</v>
      </c>
      <c r="OO506" s="2">
        <v>0.31</v>
      </c>
      <c r="OP506" s="2">
        <v>0.33</v>
      </c>
      <c r="OQ506" s="2">
        <v>0.33</v>
      </c>
      <c r="OR506" s="2">
        <v>0.32</v>
      </c>
      <c r="OS506" s="2">
        <v>0.33</v>
      </c>
      <c r="OT506" s="2">
        <v>0.34</v>
      </c>
      <c r="OU506" s="2">
        <v>0.33</v>
      </c>
      <c r="OV506" s="2">
        <v>0.34</v>
      </c>
      <c r="OW506" s="2">
        <v>0.34</v>
      </c>
      <c r="OX506" s="2">
        <v>0.33</v>
      </c>
      <c r="PC506" s="2">
        <v>0.33</v>
      </c>
      <c r="PD506" s="2">
        <v>0.34</v>
      </c>
      <c r="PE506" s="2">
        <v>0.33</v>
      </c>
      <c r="PF506" s="2">
        <v>0.34</v>
      </c>
      <c r="PG506" s="2">
        <v>0.32</v>
      </c>
      <c r="PH506" s="2">
        <v>0.32</v>
      </c>
      <c r="PI506" s="2">
        <v>0.33</v>
      </c>
    </row>
    <row r="507">
      <c r="A507" t="inlineStr">
        <is>
          <t>A130391763T</t>
        </is>
      </c>
      <c r="B507" t="inlineStr">
        <is>
          <t>Contribution to All groups CPI Index Number ;  Footwear ;  Australia ;</t>
        </is>
      </c>
      <c r="C507" t="inlineStr">
        <is>
          <t>Month</t>
        </is>
      </c>
      <c r="D507" t="inlineStr">
        <is>
          <t>Index Points</t>
        </is>
      </c>
      <c r="E507" t="inlineStr">
        <is>
          <t>Original</t>
        </is>
      </c>
      <c r="F507" t="inlineStr">
        <is>
          <t>640103.xlsx</t>
        </is>
      </c>
      <c r="G507" t="inlineStr">
        <is>
          <t>2024-12</t>
        </is>
      </c>
      <c r="H507" t="inlineStr">
        <is>
          <t>2026-07</t>
        </is>
      </c>
      <c r="OH507" s="2">
        <v>0.43</v>
      </c>
      <c r="OM507" s="2">
        <v>0.44</v>
      </c>
      <c r="ON507" s="2">
        <v>0.47</v>
      </c>
      <c r="OO507" s="2">
        <v>0.45</v>
      </c>
      <c r="OP507" s="2">
        <v>0.47</v>
      </c>
      <c r="OQ507" s="2">
        <v>0.46</v>
      </c>
      <c r="OR507" s="2">
        <v>0.46</v>
      </c>
      <c r="OS507" s="2">
        <v>0.45</v>
      </c>
      <c r="OT507" s="2">
        <v>0.44</v>
      </c>
      <c r="OU507" s="2">
        <v>0.46</v>
      </c>
      <c r="OV507" s="2">
        <v>0.47</v>
      </c>
      <c r="OW507" s="2">
        <v>0.44</v>
      </c>
      <c r="OX507" s="2">
        <v>0.44</v>
      </c>
      <c r="PC507" s="2">
        <v>0.45</v>
      </c>
      <c r="PD507" s="2">
        <v>0.47</v>
      </c>
      <c r="PE507" s="2">
        <v>0.46</v>
      </c>
      <c r="PF507" s="2">
        <v>0.47</v>
      </c>
      <c r="PG507" s="2">
        <v>0.46</v>
      </c>
      <c r="PH507" s="2">
        <v>0.46</v>
      </c>
      <c r="PI507" s="2">
        <v>0.46</v>
      </c>
    </row>
    <row r="508">
      <c r="A508" t="inlineStr">
        <is>
          <t>A130393282R</t>
        </is>
      </c>
      <c r="B508" t="inlineStr">
        <is>
          <t>Contribution to All groups CPI Index Number ;  Footwear for men ;  Australia ;</t>
        </is>
      </c>
      <c r="C508" t="inlineStr">
        <is>
          <t>Month</t>
        </is>
      </c>
      <c r="D508" t="inlineStr">
        <is>
          <t>Index Points</t>
        </is>
      </c>
      <c r="E508" t="inlineStr">
        <is>
          <t>Original</t>
        </is>
      </c>
      <c r="F508" t="inlineStr">
        <is>
          <t>640103.xlsx</t>
        </is>
      </c>
      <c r="G508" t="inlineStr">
        <is>
          <t>2024-12</t>
        </is>
      </c>
      <c r="H508" t="inlineStr">
        <is>
          <t>2026-07</t>
        </is>
      </c>
      <c r="OH508" s="2">
        <v>0.11</v>
      </c>
      <c r="OM508" s="2">
        <v>0.11</v>
      </c>
      <c r="ON508" s="2">
        <v>0.12</v>
      </c>
      <c r="OO508" s="2">
        <v>0.11</v>
      </c>
      <c r="OP508" s="2">
        <v>0.12</v>
      </c>
      <c r="OQ508" s="2">
        <v>0.11</v>
      </c>
      <c r="OR508" s="2">
        <v>0.11</v>
      </c>
      <c r="OS508" s="2">
        <v>0.11</v>
      </c>
      <c r="OT508" s="2">
        <v>0.11</v>
      </c>
      <c r="OU508" s="2">
        <v>0.11</v>
      </c>
      <c r="OV508" s="2">
        <v>0.11</v>
      </c>
      <c r="OW508" s="2">
        <v>0.11</v>
      </c>
      <c r="OX508" s="2">
        <v>0.11</v>
      </c>
      <c r="PC508" s="2">
        <v>0.11</v>
      </c>
      <c r="PD508" s="2">
        <v>0.12</v>
      </c>
      <c r="PE508" s="2">
        <v>0.11</v>
      </c>
      <c r="PF508" s="2">
        <v>0.11</v>
      </c>
      <c r="PG508" s="2">
        <v>0.12</v>
      </c>
      <c r="PH508" s="2">
        <v>0.11</v>
      </c>
      <c r="PI508" s="2">
        <v>0.11</v>
      </c>
    </row>
    <row r="509">
      <c r="A509" t="inlineStr">
        <is>
          <t>A130395746L</t>
        </is>
      </c>
      <c r="B509" t="inlineStr">
        <is>
          <t>Contribution to All groups CPI Index Number ;  Footwear for women ;  Australia ;</t>
        </is>
      </c>
      <c r="C509" t="inlineStr">
        <is>
          <t>Month</t>
        </is>
      </c>
      <c r="D509" t="inlineStr">
        <is>
          <t>Index Points</t>
        </is>
      </c>
      <c r="E509" t="inlineStr">
        <is>
          <t>Original</t>
        </is>
      </c>
      <c r="F509" t="inlineStr">
        <is>
          <t>640103.xlsx</t>
        </is>
      </c>
      <c r="G509" t="inlineStr">
        <is>
          <t>2024-12</t>
        </is>
      </c>
      <c r="H509" t="inlineStr">
        <is>
          <t>2026-07</t>
        </is>
      </c>
      <c r="OH509" s="2">
        <v>0.26</v>
      </c>
      <c r="OM509" s="2">
        <v>0.26</v>
      </c>
      <c r="ON509" s="2">
        <v>0.28</v>
      </c>
      <c r="OO509" s="2">
        <v>0.27</v>
      </c>
      <c r="OP509" s="2">
        <v>0.28</v>
      </c>
      <c r="OQ509" s="2">
        <v>0.27</v>
      </c>
      <c r="OR509" s="2">
        <v>0.28</v>
      </c>
      <c r="OS509" s="2">
        <v>0.27</v>
      </c>
      <c r="OT509" s="2">
        <v>0.27</v>
      </c>
      <c r="OU509" s="2">
        <v>0.28</v>
      </c>
      <c r="OV509" s="2">
        <v>0.29</v>
      </c>
      <c r="OW509" s="2">
        <v>0.27</v>
      </c>
      <c r="OX509" s="2">
        <v>0.27</v>
      </c>
      <c r="PC509" s="2">
        <v>0.27</v>
      </c>
      <c r="PD509" s="2">
        <v>0.28</v>
      </c>
      <c r="PE509" s="2">
        <v>0.28</v>
      </c>
      <c r="PF509" s="2">
        <v>0.29</v>
      </c>
      <c r="PG509" s="2">
        <v>0.27</v>
      </c>
      <c r="PH509" s="2">
        <v>0.28</v>
      </c>
      <c r="PI509" s="2">
        <v>0.28</v>
      </c>
    </row>
    <row r="510">
      <c r="A510" t="inlineStr">
        <is>
          <t>A130391994A</t>
        </is>
      </c>
      <c r="B510" t="inlineStr">
        <is>
          <t>Contribution to All groups CPI Index Number ;  Footwear for infants and children ;  Australia ;</t>
        </is>
      </c>
      <c r="C510" t="inlineStr">
        <is>
          <t>Month</t>
        </is>
      </c>
      <c r="D510" t="inlineStr">
        <is>
          <t>Index Points</t>
        </is>
      </c>
      <c r="E510" t="inlineStr">
        <is>
          <t>Original</t>
        </is>
      </c>
      <c r="F510" t="inlineStr">
        <is>
          <t>640103.xlsx</t>
        </is>
      </c>
      <c r="G510" t="inlineStr">
        <is>
          <t>2024-12</t>
        </is>
      </c>
      <c r="H510" t="inlineStr">
        <is>
          <t>2026-07</t>
        </is>
      </c>
      <c r="OH510" s="2">
        <v>0.07000000000000001</v>
      </c>
      <c r="OM510" s="2">
        <v>0.07000000000000001</v>
      </c>
      <c r="ON510" s="2">
        <v>0.07000000000000001</v>
      </c>
      <c r="OO510" s="2">
        <v>0.07000000000000001</v>
      </c>
      <c r="OP510" s="2">
        <v>0.07000000000000001</v>
      </c>
      <c r="OQ510" s="2">
        <v>0.07000000000000001</v>
      </c>
      <c r="OR510" s="2">
        <v>0.07000000000000001</v>
      </c>
      <c r="OS510" s="2">
        <v>0.07000000000000001</v>
      </c>
      <c r="OT510" s="2">
        <v>0.07000000000000001</v>
      </c>
      <c r="OU510" s="2">
        <v>0.07000000000000001</v>
      </c>
      <c r="OV510" s="2">
        <v>0.07000000000000001</v>
      </c>
      <c r="OW510" s="2">
        <v>0.07000000000000001</v>
      </c>
      <c r="OX510" s="2">
        <v>0.07000000000000001</v>
      </c>
      <c r="PC510" s="2">
        <v>0.07000000000000001</v>
      </c>
      <c r="PD510" s="2">
        <v>0.07000000000000001</v>
      </c>
      <c r="PE510" s="2">
        <v>0.07000000000000001</v>
      </c>
      <c r="PF510" s="2">
        <v>0.07000000000000001</v>
      </c>
      <c r="PG510" s="2">
        <v>0.07000000000000001</v>
      </c>
      <c r="PH510" s="2">
        <v>0.07000000000000001</v>
      </c>
      <c r="PI510" s="2">
        <v>0.07000000000000001</v>
      </c>
    </row>
    <row r="511">
      <c r="A511" t="inlineStr">
        <is>
          <t>A130397293V</t>
        </is>
      </c>
      <c r="B511" t="inlineStr">
        <is>
          <t>Contribution to All groups CPI Index Number ;  Accessories and clothing services ;  Australia ;</t>
        </is>
      </c>
      <c r="C511" t="inlineStr">
        <is>
          <t>Month</t>
        </is>
      </c>
      <c r="D511" t="inlineStr">
        <is>
          <t>Index Points</t>
        </is>
      </c>
      <c r="E511" t="inlineStr">
        <is>
          <t>Original</t>
        </is>
      </c>
      <c r="F511" t="inlineStr">
        <is>
          <t>640103.xlsx</t>
        </is>
      </c>
      <c r="G511" t="inlineStr">
        <is>
          <t>2024-12</t>
        </is>
      </c>
      <c r="H511" t="inlineStr">
        <is>
          <t>2026-07</t>
        </is>
      </c>
      <c r="OH511" s="2">
        <v>0.75</v>
      </c>
      <c r="OM511" s="2">
        <v>0.78</v>
      </c>
      <c r="ON511" s="2">
        <v>0.78</v>
      </c>
      <c r="OO511" s="2">
        <v>0.74</v>
      </c>
      <c r="OP511" s="2">
        <v>0.77</v>
      </c>
      <c r="OQ511" s="2">
        <v>0.76</v>
      </c>
      <c r="OR511" s="2">
        <v>0.78</v>
      </c>
      <c r="OS511" s="2">
        <v>0.8100000000000001</v>
      </c>
      <c r="OT511" s="2">
        <v>0.83</v>
      </c>
      <c r="OU511" s="2">
        <v>0.85</v>
      </c>
      <c r="OV511" s="2">
        <v>0.86</v>
      </c>
      <c r="OW511" s="2">
        <v>0.83</v>
      </c>
      <c r="OX511" s="2">
        <v>0.83</v>
      </c>
      <c r="PC511" s="2">
        <v>0.87</v>
      </c>
      <c r="PD511" s="2">
        <v>0.88</v>
      </c>
      <c r="PE511" s="2">
        <v>0.87</v>
      </c>
      <c r="PF511" s="2">
        <v>0.89</v>
      </c>
      <c r="PG511" s="2">
        <v>0.87</v>
      </c>
      <c r="PH511" s="2">
        <v>0.91</v>
      </c>
      <c r="PI511" s="2">
        <v>0.93</v>
      </c>
    </row>
    <row r="512">
      <c r="A512" t="inlineStr">
        <is>
          <t>A130396019K</t>
        </is>
      </c>
      <c r="B512" t="inlineStr">
        <is>
          <t>Contribution to All groups CPI Index Number ;  Accessories ;  Australia ;</t>
        </is>
      </c>
      <c r="C512" t="inlineStr">
        <is>
          <t>Month</t>
        </is>
      </c>
      <c r="D512" t="inlineStr">
        <is>
          <t>Index Points</t>
        </is>
      </c>
      <c r="E512" t="inlineStr">
        <is>
          <t>Original</t>
        </is>
      </c>
      <c r="F512" t="inlineStr">
        <is>
          <t>640103.xlsx</t>
        </is>
      </c>
      <c r="G512" t="inlineStr">
        <is>
          <t>2024-12</t>
        </is>
      </c>
      <c r="H512" t="inlineStr">
        <is>
          <t>2026-07</t>
        </is>
      </c>
      <c r="OH512" s="2">
        <v>0.68</v>
      </c>
      <c r="OM512" s="2">
        <v>0.72</v>
      </c>
      <c r="ON512" s="2">
        <v>0.72</v>
      </c>
      <c r="OO512" s="2">
        <v>0.68</v>
      </c>
      <c r="OP512" s="2">
        <v>0.7</v>
      </c>
      <c r="OQ512" s="2">
        <v>0.7</v>
      </c>
      <c r="OR512" s="2">
        <v>0.71</v>
      </c>
      <c r="OS512" s="2">
        <v>0.75</v>
      </c>
      <c r="OT512" s="2">
        <v>0.76</v>
      </c>
      <c r="OU512" s="2">
        <v>0.78</v>
      </c>
      <c r="OV512" s="2">
        <v>0.79</v>
      </c>
      <c r="OW512" s="2">
        <v>0.76</v>
      </c>
      <c r="OX512" s="2">
        <v>0.76</v>
      </c>
      <c r="PC512" s="2">
        <v>0.8</v>
      </c>
      <c r="PD512" s="2">
        <v>0.8100000000000001</v>
      </c>
      <c r="PE512" s="2">
        <v>0.8</v>
      </c>
      <c r="PF512" s="2">
        <v>0.82</v>
      </c>
      <c r="PG512" s="2">
        <v>0.8</v>
      </c>
      <c r="PH512" s="2">
        <v>0.84</v>
      </c>
      <c r="PI512" s="2">
        <v>0.85</v>
      </c>
    </row>
    <row r="513">
      <c r="A513" t="inlineStr">
        <is>
          <t>A130399481R</t>
        </is>
      </c>
      <c r="B513" t="inlineStr">
        <is>
          <t>Contribution to All groups CPI Index Number ;  Cleaning, repair and hire of clothing and footwear ;  Australia ;</t>
        </is>
      </c>
      <c r="C513" t="inlineStr">
        <is>
          <t>Month</t>
        </is>
      </c>
      <c r="D513" t="inlineStr">
        <is>
          <t>Index Points</t>
        </is>
      </c>
      <c r="E513" t="inlineStr">
        <is>
          <t>Original</t>
        </is>
      </c>
      <c r="F513" t="inlineStr">
        <is>
          <t>640103.xlsx</t>
        </is>
      </c>
      <c r="G513" t="inlineStr">
        <is>
          <t>2024-12</t>
        </is>
      </c>
      <c r="H513" t="inlineStr">
        <is>
          <t>2026-07</t>
        </is>
      </c>
      <c r="OH513" s="2">
        <v>0.07000000000000001</v>
      </c>
      <c r="OM513" s="2">
        <v>0.07000000000000001</v>
      </c>
      <c r="ON513" s="2">
        <v>0.07000000000000001</v>
      </c>
      <c r="OO513" s="2">
        <v>0.07000000000000001</v>
      </c>
      <c r="OP513" s="2">
        <v>0.07000000000000001</v>
      </c>
      <c r="OQ513" s="2">
        <v>0.07000000000000001</v>
      </c>
      <c r="OR513" s="2">
        <v>0.07000000000000001</v>
      </c>
      <c r="OS513" s="2">
        <v>0.07000000000000001</v>
      </c>
      <c r="OT513" s="2">
        <v>0.07000000000000001</v>
      </c>
      <c r="OU513" s="2">
        <v>0.07000000000000001</v>
      </c>
      <c r="OV513" s="2">
        <v>0.07000000000000001</v>
      </c>
      <c r="OW513" s="2">
        <v>0.07000000000000001</v>
      </c>
      <c r="OX513" s="2">
        <v>0.07000000000000001</v>
      </c>
      <c r="PC513" s="2">
        <v>0.07000000000000001</v>
      </c>
      <c r="PD513" s="2">
        <v>0.07000000000000001</v>
      </c>
      <c r="PE513" s="2">
        <v>0.07000000000000001</v>
      </c>
      <c r="PF513" s="2">
        <v>0.07000000000000001</v>
      </c>
      <c r="PG513" s="2">
        <v>0.07000000000000001</v>
      </c>
      <c r="PH513" s="2">
        <v>0.07000000000000001</v>
      </c>
      <c r="PI513" s="2">
        <v>0.07000000000000001</v>
      </c>
    </row>
    <row r="514">
      <c r="A514" t="inlineStr">
        <is>
          <t>A130399187A</t>
        </is>
      </c>
      <c r="B514" t="inlineStr">
        <is>
          <t>Contribution to All groups CPI Index Number ;  Housing ;  Australia ;</t>
        </is>
      </c>
      <c r="C514" t="inlineStr">
        <is>
          <t>Month</t>
        </is>
      </c>
      <c r="D514" t="inlineStr">
        <is>
          <t>Index Points</t>
        </is>
      </c>
      <c r="E514" t="inlineStr">
        <is>
          <t>Original</t>
        </is>
      </c>
      <c r="F514" t="inlineStr">
        <is>
          <t>640103.xlsx</t>
        </is>
      </c>
      <c r="G514" t="inlineStr">
        <is>
          <t>2024-12</t>
        </is>
      </c>
      <c r="H514" t="inlineStr">
        <is>
          <t>2026-07</t>
        </is>
      </c>
      <c r="OH514" s="2">
        <v>20.82</v>
      </c>
      <c r="OM514" s="2">
        <v>21.01</v>
      </c>
      <c r="ON514" s="2">
        <v>20.99</v>
      </c>
      <c r="OO514" s="2">
        <v>21.17</v>
      </c>
      <c r="OP514" s="2">
        <v>21.27</v>
      </c>
      <c r="OQ514" s="2">
        <v>21.32</v>
      </c>
      <c r="OR514" s="2">
        <v>21.35</v>
      </c>
      <c r="OS514" s="2">
        <v>21.8</v>
      </c>
      <c r="OT514" s="2">
        <v>21.7</v>
      </c>
      <c r="OU514" s="2">
        <v>21.87</v>
      </c>
      <c r="OV514" s="2">
        <v>21.68</v>
      </c>
      <c r="OW514" s="2">
        <v>21.93</v>
      </c>
      <c r="OX514" s="2">
        <v>21.96</v>
      </c>
      <c r="PC514" s="2">
        <v>22.44</v>
      </c>
      <c r="PD514" s="2">
        <v>22.5</v>
      </c>
      <c r="PE514" s="2">
        <v>22.55</v>
      </c>
      <c r="PF514" s="2">
        <v>22.6</v>
      </c>
      <c r="PG514" s="2">
        <v>22.7</v>
      </c>
      <c r="PH514" s="2">
        <v>22.8</v>
      </c>
      <c r="PI514" s="2">
        <v>22.9</v>
      </c>
    </row>
    <row r="515">
      <c r="A515" t="inlineStr">
        <is>
          <t>A130390097J</t>
        </is>
      </c>
      <c r="B515" t="inlineStr">
        <is>
          <t>Contribution to All groups CPI Index Number ;  Rents ;  Australia ;</t>
        </is>
      </c>
      <c r="C515" t="inlineStr">
        <is>
          <t>Month</t>
        </is>
      </c>
      <c r="D515" t="inlineStr">
        <is>
          <t>Index Points</t>
        </is>
      </c>
      <c r="E515" t="inlineStr">
        <is>
          <t>Original</t>
        </is>
      </c>
      <c r="F515" t="inlineStr">
        <is>
          <t>640103.xlsx</t>
        </is>
      </c>
      <c r="G515" t="inlineStr">
        <is>
          <t>2024-12</t>
        </is>
      </c>
      <c r="H515" t="inlineStr">
        <is>
          <t>2026-07</t>
        </is>
      </c>
      <c r="OH515" s="2">
        <v>6.42</v>
      </c>
      <c r="OM515" s="2">
        <v>6.45</v>
      </c>
      <c r="ON515" s="2">
        <v>6.48</v>
      </c>
      <c r="OO515" s="2">
        <v>6.5</v>
      </c>
      <c r="OP515" s="2">
        <v>6.52</v>
      </c>
      <c r="OQ515" s="2">
        <v>6.54</v>
      </c>
      <c r="OR515" s="2">
        <v>6.56</v>
      </c>
      <c r="OS515" s="2">
        <v>6.58</v>
      </c>
      <c r="OT515" s="2">
        <v>6.6</v>
      </c>
      <c r="OU515" s="2">
        <v>6.62</v>
      </c>
      <c r="OV515" s="2">
        <v>6.63</v>
      </c>
      <c r="OW515" s="2">
        <v>6.66</v>
      </c>
      <c r="OX515" s="2">
        <v>6.68</v>
      </c>
      <c r="PC515" s="2">
        <v>6.7</v>
      </c>
      <c r="PD515" s="2">
        <v>6.72</v>
      </c>
      <c r="PE515" s="2">
        <v>6.73</v>
      </c>
      <c r="PF515" s="2">
        <v>6.75</v>
      </c>
      <c r="PG515" s="2">
        <v>6.77</v>
      </c>
      <c r="PH515" s="2">
        <v>6.8</v>
      </c>
      <c r="PI515" s="2">
        <v>6.82</v>
      </c>
    </row>
    <row r="516">
      <c r="A516" t="inlineStr">
        <is>
          <t>A130397973X</t>
        </is>
      </c>
      <c r="B516" t="inlineStr">
        <is>
          <t>Contribution to All groups CPI Index Number ;  Rents ;  Australia ;</t>
        </is>
      </c>
      <c r="C516" t="inlineStr">
        <is>
          <t>Month</t>
        </is>
      </c>
      <c r="D516" t="inlineStr">
        <is>
          <t>Index Points</t>
        </is>
      </c>
      <c r="E516" t="inlineStr">
        <is>
          <t>Original</t>
        </is>
      </c>
      <c r="F516" t="inlineStr">
        <is>
          <t>640103.xlsx</t>
        </is>
      </c>
      <c r="G516" t="inlineStr">
        <is>
          <t>2024-12</t>
        </is>
      </c>
      <c r="H516" t="inlineStr">
        <is>
          <t>2026-07</t>
        </is>
      </c>
      <c r="OH516" s="2">
        <v>6.42</v>
      </c>
      <c r="OM516" s="2">
        <v>6.45</v>
      </c>
      <c r="ON516" s="2">
        <v>6.48</v>
      </c>
      <c r="OO516" s="2">
        <v>6.5</v>
      </c>
      <c r="OP516" s="2">
        <v>6.52</v>
      </c>
      <c r="OQ516" s="2">
        <v>6.54</v>
      </c>
      <c r="OR516" s="2">
        <v>6.56</v>
      </c>
      <c r="OS516" s="2">
        <v>6.58</v>
      </c>
      <c r="OT516" s="2">
        <v>6.6</v>
      </c>
      <c r="OU516" s="2">
        <v>6.62</v>
      </c>
      <c r="OV516" s="2">
        <v>6.63</v>
      </c>
      <c r="OW516" s="2">
        <v>6.66</v>
      </c>
      <c r="OX516" s="2">
        <v>6.68</v>
      </c>
      <c r="PC516" s="2">
        <v>6.7</v>
      </c>
      <c r="PD516" s="2">
        <v>6.72</v>
      </c>
      <c r="PE516" s="2">
        <v>6.73</v>
      </c>
      <c r="PF516" s="2">
        <v>6.75</v>
      </c>
      <c r="PG516" s="2">
        <v>6.77</v>
      </c>
      <c r="PH516" s="2">
        <v>6.8</v>
      </c>
      <c r="PI516" s="2">
        <v>6.82</v>
      </c>
    </row>
    <row r="517">
      <c r="A517" t="inlineStr">
        <is>
          <t>A130391539X</t>
        </is>
      </c>
      <c r="B517" t="inlineStr">
        <is>
          <t>Contribution to All groups CPI Index Number ;  New dwelling purchase by owner-occupiers ;  Australia ;</t>
        </is>
      </c>
      <c r="C517" t="inlineStr">
        <is>
          <t>Month</t>
        </is>
      </c>
      <c r="D517" t="inlineStr">
        <is>
          <t>Index Points</t>
        </is>
      </c>
      <c r="E517" t="inlineStr">
        <is>
          <t>Original</t>
        </is>
      </c>
      <c r="F517" t="inlineStr">
        <is>
          <t>640103.xlsx</t>
        </is>
      </c>
      <c r="G517" t="inlineStr">
        <is>
          <t>2024-12</t>
        </is>
      </c>
      <c r="H517" t="inlineStr">
        <is>
          <t>2026-07</t>
        </is>
      </c>
      <c r="OH517" s="2">
        <v>7.34</v>
      </c>
      <c r="OM517" s="2">
        <v>7.34</v>
      </c>
      <c r="ON517" s="2">
        <v>7.33</v>
      </c>
      <c r="OO517" s="2">
        <v>7.31</v>
      </c>
      <c r="OP517" s="2">
        <v>7.35</v>
      </c>
      <c r="OQ517" s="2">
        <v>7.35</v>
      </c>
      <c r="OR517" s="2">
        <v>7.37</v>
      </c>
      <c r="OS517" s="2">
        <v>7.4</v>
      </c>
      <c r="OT517" s="2">
        <v>7.43</v>
      </c>
      <c r="OU517" s="2">
        <v>7.48</v>
      </c>
      <c r="OV517" s="2">
        <v>7.51</v>
      </c>
      <c r="OW517" s="2">
        <v>7.55</v>
      </c>
      <c r="OX517" s="2">
        <v>7.56</v>
      </c>
      <c r="PC517" s="2">
        <v>7.59</v>
      </c>
      <c r="PD517" s="2">
        <v>7.6</v>
      </c>
      <c r="PE517" s="2">
        <v>7.64</v>
      </c>
      <c r="PF517" s="2">
        <v>7.69</v>
      </c>
      <c r="PG517" s="2">
        <v>7.76</v>
      </c>
      <c r="PH517" s="2">
        <v>7.79</v>
      </c>
      <c r="PI517" s="2">
        <v>7.82</v>
      </c>
    </row>
    <row r="518">
      <c r="A518" t="inlineStr">
        <is>
          <t>A130399775W</t>
        </is>
      </c>
      <c r="B518" t="inlineStr">
        <is>
          <t>Contribution to All groups CPI Index Number ;  New dwelling purchase by owner-occupiers ;  Australia ;</t>
        </is>
      </c>
      <c r="C518" t="inlineStr">
        <is>
          <t>Month</t>
        </is>
      </c>
      <c r="D518" t="inlineStr">
        <is>
          <t>Index Points</t>
        </is>
      </c>
      <c r="E518" t="inlineStr">
        <is>
          <t>Original</t>
        </is>
      </c>
      <c r="F518" t="inlineStr">
        <is>
          <t>640103.xlsx</t>
        </is>
      </c>
      <c r="G518" t="inlineStr">
        <is>
          <t>2024-12</t>
        </is>
      </c>
      <c r="H518" t="inlineStr">
        <is>
          <t>2026-07</t>
        </is>
      </c>
      <c r="OH518" s="2">
        <v>7.34</v>
      </c>
      <c r="OM518" s="2">
        <v>7.34</v>
      </c>
      <c r="ON518" s="2">
        <v>7.33</v>
      </c>
      <c r="OO518" s="2">
        <v>7.31</v>
      </c>
      <c r="OP518" s="2">
        <v>7.35</v>
      </c>
      <c r="OQ518" s="2">
        <v>7.35</v>
      </c>
      <c r="OR518" s="2">
        <v>7.37</v>
      </c>
      <c r="OS518" s="2">
        <v>7.4</v>
      </c>
      <c r="OT518" s="2">
        <v>7.43</v>
      </c>
      <c r="OU518" s="2">
        <v>7.48</v>
      </c>
      <c r="OV518" s="2">
        <v>7.51</v>
      </c>
      <c r="OW518" s="2">
        <v>7.55</v>
      </c>
      <c r="OX518" s="2">
        <v>7.56</v>
      </c>
      <c r="PC518" s="2">
        <v>7.59</v>
      </c>
      <c r="PD518" s="2">
        <v>7.6</v>
      </c>
      <c r="PE518" s="2">
        <v>7.64</v>
      </c>
      <c r="PF518" s="2">
        <v>7.69</v>
      </c>
      <c r="PG518" s="2">
        <v>7.76</v>
      </c>
      <c r="PH518" s="2">
        <v>7.79</v>
      </c>
      <c r="PI518" s="2">
        <v>7.82</v>
      </c>
    </row>
    <row r="519">
      <c r="A519" t="inlineStr">
        <is>
          <t>A130397847K</t>
        </is>
      </c>
      <c r="B519" t="inlineStr">
        <is>
          <t>Contribution to All groups CPI Index Number ;  Other housing ;  Australia ;</t>
        </is>
      </c>
      <c r="C519" t="inlineStr">
        <is>
          <t>Month</t>
        </is>
      </c>
      <c r="D519" t="inlineStr">
        <is>
          <t>Index Points</t>
        </is>
      </c>
      <c r="E519" t="inlineStr">
        <is>
          <t>Original</t>
        </is>
      </c>
      <c r="F519" t="inlineStr">
        <is>
          <t>640103.xlsx</t>
        </is>
      </c>
      <c r="G519" t="inlineStr">
        <is>
          <t>2024-12</t>
        </is>
      </c>
      <c r="H519" t="inlineStr">
        <is>
          <t>2026-07</t>
        </is>
      </c>
      <c r="OH519" s="2">
        <v>3.41</v>
      </c>
      <c r="OM519" s="2">
        <v>3.42</v>
      </c>
      <c r="ON519" s="2">
        <v>3.42</v>
      </c>
      <c r="OO519" s="2">
        <v>3.42</v>
      </c>
      <c r="OP519" s="2">
        <v>3.43</v>
      </c>
      <c r="OQ519" s="2">
        <v>3.43</v>
      </c>
      <c r="OR519" s="2">
        <v>3.43</v>
      </c>
      <c r="OS519" s="2">
        <v>3.45</v>
      </c>
      <c r="OT519" s="2">
        <v>3.45</v>
      </c>
      <c r="OU519" s="2">
        <v>3.54</v>
      </c>
      <c r="OV519" s="2">
        <v>3.55</v>
      </c>
      <c r="OW519" s="2">
        <v>3.56</v>
      </c>
      <c r="OX519" s="2">
        <v>3.56</v>
      </c>
      <c r="PC519" s="2">
        <v>3.56</v>
      </c>
      <c r="PD519" s="2">
        <v>3.57</v>
      </c>
      <c r="PE519" s="2">
        <v>3.57</v>
      </c>
      <c r="PF519" s="2">
        <v>3.58</v>
      </c>
      <c r="PG519" s="2">
        <v>3.59</v>
      </c>
      <c r="PH519" s="2">
        <v>3.6</v>
      </c>
      <c r="PI519" s="2">
        <v>3.61</v>
      </c>
    </row>
    <row r="520">
      <c r="A520" t="inlineStr">
        <is>
          <t>A130394591L</t>
        </is>
      </c>
      <c r="B520" t="inlineStr">
        <is>
          <t>Contribution to All groups CPI Index Number ;  Maintenance and repair of the dwelling ;  Australia ;</t>
        </is>
      </c>
      <c r="C520" t="inlineStr">
        <is>
          <t>Month</t>
        </is>
      </c>
      <c r="D520" t="inlineStr">
        <is>
          <t>Index Points</t>
        </is>
      </c>
      <c r="E520" t="inlineStr">
        <is>
          <t>Original</t>
        </is>
      </c>
      <c r="F520" t="inlineStr">
        <is>
          <t>640103.xlsx</t>
        </is>
      </c>
      <c r="G520" t="inlineStr">
        <is>
          <t>2024-12</t>
        </is>
      </c>
      <c r="H520" t="inlineStr">
        <is>
          <t>2026-07</t>
        </is>
      </c>
      <c r="OH520" s="2">
        <v>1.98</v>
      </c>
      <c r="OM520" s="2">
        <v>1.99</v>
      </c>
      <c r="ON520" s="2">
        <v>1.99</v>
      </c>
      <c r="OO520" s="2">
        <v>2</v>
      </c>
      <c r="OP520" s="2">
        <v>2</v>
      </c>
      <c r="OQ520" s="2">
        <v>2</v>
      </c>
      <c r="OR520" s="2">
        <v>2</v>
      </c>
      <c r="OS520" s="2">
        <v>2.02</v>
      </c>
      <c r="OT520" s="2">
        <v>2.02</v>
      </c>
      <c r="OU520" s="2">
        <v>2.02</v>
      </c>
      <c r="OV520" s="2">
        <v>2.04</v>
      </c>
      <c r="OW520" s="2">
        <v>2.04</v>
      </c>
      <c r="OX520" s="2">
        <v>2.04</v>
      </c>
      <c r="PC520" s="2">
        <v>2.05</v>
      </c>
      <c r="PD520" s="2">
        <v>2.05</v>
      </c>
      <c r="PE520" s="2">
        <v>2.05</v>
      </c>
      <c r="PF520" s="2">
        <v>2.06</v>
      </c>
      <c r="PG520" s="2">
        <v>2.07</v>
      </c>
      <c r="PH520" s="2">
        <v>2.08</v>
      </c>
      <c r="PI520" s="2">
        <v>2.09</v>
      </c>
    </row>
    <row r="521">
      <c r="A521" t="inlineStr">
        <is>
          <t>A130399782V</t>
        </is>
      </c>
      <c r="B521" t="inlineStr">
        <is>
          <t>Contribution to All groups CPI Index Number ;  Property rates and charges ;  Australia ;</t>
        </is>
      </c>
      <c r="C521" t="inlineStr">
        <is>
          <t>Month</t>
        </is>
      </c>
      <c r="D521" t="inlineStr">
        <is>
          <t>Index Points</t>
        </is>
      </c>
      <c r="E521" t="inlineStr">
        <is>
          <t>Original</t>
        </is>
      </c>
      <c r="F521" t="inlineStr">
        <is>
          <t>640103.xlsx</t>
        </is>
      </c>
      <c r="G521" t="inlineStr">
        <is>
          <t>2024-12</t>
        </is>
      </c>
      <c r="H521" t="inlineStr">
        <is>
          <t>2026-07</t>
        </is>
      </c>
      <c r="OH521" s="2">
        <v>1.43</v>
      </c>
      <c r="OM521" s="2">
        <v>1.43</v>
      </c>
      <c r="ON521" s="2">
        <v>1.43</v>
      </c>
      <c r="OO521" s="2">
        <v>1.43</v>
      </c>
      <c r="OP521" s="2">
        <v>1.43</v>
      </c>
      <c r="OQ521" s="2">
        <v>1.43</v>
      </c>
      <c r="OR521" s="2">
        <v>1.43</v>
      </c>
      <c r="OS521" s="2">
        <v>1.43</v>
      </c>
      <c r="OT521" s="2">
        <v>1.43</v>
      </c>
      <c r="OU521" s="2">
        <v>1.52</v>
      </c>
      <c r="OV521" s="2">
        <v>1.52</v>
      </c>
      <c r="OW521" s="2">
        <v>1.52</v>
      </c>
      <c r="OX521" s="2">
        <v>1.52</v>
      </c>
      <c r="PC521" s="2">
        <v>1.52</v>
      </c>
      <c r="PD521" s="2">
        <v>1.52</v>
      </c>
      <c r="PE521" s="2">
        <v>1.52</v>
      </c>
      <c r="PF521" s="2">
        <v>1.52</v>
      </c>
      <c r="PG521" s="2">
        <v>1.52</v>
      </c>
      <c r="PH521" s="2">
        <v>1.52</v>
      </c>
      <c r="PI521" s="2">
        <v>1.52</v>
      </c>
    </row>
    <row r="522">
      <c r="A522" t="inlineStr">
        <is>
          <t>A130393093C</t>
        </is>
      </c>
      <c r="B522" t="inlineStr">
        <is>
          <t>Contribution to All groups CPI Index Number ;  Utilities ;  Australia ;</t>
        </is>
      </c>
      <c r="C522" t="inlineStr">
        <is>
          <t>Month</t>
        </is>
      </c>
      <c r="D522" t="inlineStr">
        <is>
          <t>Index Points</t>
        </is>
      </c>
      <c r="E522" t="inlineStr">
        <is>
          <t>Original</t>
        </is>
      </c>
      <c r="F522" t="inlineStr">
        <is>
          <t>640103.xlsx</t>
        </is>
      </c>
      <c r="G522" t="inlineStr">
        <is>
          <t>2024-12</t>
        </is>
      </c>
      <c r="H522" t="inlineStr">
        <is>
          <t>2026-07</t>
        </is>
      </c>
      <c r="OH522" s="2">
        <v>3.65</v>
      </c>
      <c r="OM522" s="2">
        <v>3.82</v>
      </c>
      <c r="ON522" s="2">
        <v>3.77</v>
      </c>
      <c r="OO522" s="2">
        <v>3.95</v>
      </c>
      <c r="OP522" s="2">
        <v>3.97</v>
      </c>
      <c r="OQ522" s="2">
        <v>4</v>
      </c>
      <c r="OR522" s="2">
        <v>3.99</v>
      </c>
      <c r="OS522" s="2">
        <v>4.37</v>
      </c>
      <c r="OT522" s="2">
        <v>4.22</v>
      </c>
      <c r="OU522" s="2">
        <v>4.23</v>
      </c>
      <c r="OV522" s="2">
        <v>3.99</v>
      </c>
      <c r="OW522" s="2">
        <v>4.16</v>
      </c>
      <c r="OX522" s="2">
        <v>4.16</v>
      </c>
      <c r="PC522" s="2">
        <v>4.59</v>
      </c>
      <c r="PD522" s="2">
        <v>4.61</v>
      </c>
      <c r="PE522" s="2">
        <v>4.61</v>
      </c>
      <c r="PF522" s="2">
        <v>4.58</v>
      </c>
      <c r="PG522" s="2">
        <v>4.57</v>
      </c>
      <c r="PH522" s="2">
        <v>4.62</v>
      </c>
      <c r="PI522" s="2">
        <v>4.65</v>
      </c>
    </row>
    <row r="523">
      <c r="A523" t="inlineStr">
        <is>
          <t>A130391063C</t>
        </is>
      </c>
      <c r="B523" t="inlineStr">
        <is>
          <t>Contribution to All groups CPI Index Number ;  Water and sewerage ;  Australia ;</t>
        </is>
      </c>
      <c r="C523" t="inlineStr">
        <is>
          <t>Month</t>
        </is>
      </c>
      <c r="D523" t="inlineStr">
        <is>
          <t>Index Points</t>
        </is>
      </c>
      <c r="E523" t="inlineStr">
        <is>
          <t>Original</t>
        </is>
      </c>
      <c r="F523" t="inlineStr">
        <is>
          <t>640103.xlsx</t>
        </is>
      </c>
      <c r="G523" t="inlineStr">
        <is>
          <t>2024-12</t>
        </is>
      </c>
      <c r="H523" t="inlineStr">
        <is>
          <t>2026-07</t>
        </is>
      </c>
      <c r="OH523" s="2">
        <v>0.85</v>
      </c>
      <c r="OM523" s="2">
        <v>0.85</v>
      </c>
      <c r="ON523" s="2">
        <v>0.85</v>
      </c>
      <c r="OO523" s="2">
        <v>0.85</v>
      </c>
      <c r="OP523" s="2">
        <v>0.85</v>
      </c>
      <c r="OQ523" s="2">
        <v>0.85</v>
      </c>
      <c r="OR523" s="2">
        <v>0.85</v>
      </c>
      <c r="OS523" s="2">
        <v>0.87</v>
      </c>
      <c r="OT523" s="2">
        <v>0.87</v>
      </c>
      <c r="OU523" s="2">
        <v>0.87</v>
      </c>
      <c r="OV523" s="2">
        <v>0.91</v>
      </c>
      <c r="OW523" s="2">
        <v>0.91</v>
      </c>
      <c r="OX523" s="2">
        <v>0.91</v>
      </c>
      <c r="PC523" s="2">
        <v>0.91</v>
      </c>
      <c r="PD523" s="2">
        <v>0.91</v>
      </c>
      <c r="PE523" s="2">
        <v>0.91</v>
      </c>
      <c r="PF523" s="2">
        <v>0.91</v>
      </c>
      <c r="PG523" s="2">
        <v>0.91</v>
      </c>
      <c r="PH523" s="2">
        <v>0.91</v>
      </c>
      <c r="PI523" s="2">
        <v>0.96</v>
      </c>
    </row>
    <row r="524">
      <c r="A524" t="inlineStr">
        <is>
          <t>A130390734L</t>
        </is>
      </c>
      <c r="B524" t="inlineStr">
        <is>
          <t>Contribution to All groups CPI Index Number ;  Electricity ;  Australia ;</t>
        </is>
      </c>
      <c r="C524" t="inlineStr">
        <is>
          <t>Month</t>
        </is>
      </c>
      <c r="D524" t="inlineStr">
        <is>
          <t>Index Points</t>
        </is>
      </c>
      <c r="E524" t="inlineStr">
        <is>
          <t>Original</t>
        </is>
      </c>
      <c r="F524" t="inlineStr">
        <is>
          <t>640103.xlsx</t>
        </is>
      </c>
      <c r="G524" t="inlineStr">
        <is>
          <t>2024-12</t>
        </is>
      </c>
      <c r="H524" t="inlineStr">
        <is>
          <t>2026-07</t>
        </is>
      </c>
      <c r="OH524" s="2">
        <v>1.87</v>
      </c>
      <c r="OM524" s="2">
        <v>2.04</v>
      </c>
      <c r="ON524" s="2">
        <v>1.99</v>
      </c>
      <c r="OO524" s="2">
        <v>2.17</v>
      </c>
      <c r="OP524" s="2">
        <v>2.2</v>
      </c>
      <c r="OQ524" s="2">
        <v>2.25</v>
      </c>
      <c r="OR524" s="2">
        <v>2.24</v>
      </c>
      <c r="OS524" s="2">
        <v>2.54</v>
      </c>
      <c r="OT524" s="2">
        <v>2.38</v>
      </c>
      <c r="OU524" s="2">
        <v>2.37</v>
      </c>
      <c r="OV524" s="2">
        <v>2.13</v>
      </c>
      <c r="OW524" s="2">
        <v>2.27</v>
      </c>
      <c r="OX524" s="2">
        <v>2.27</v>
      </c>
      <c r="PC524" s="2">
        <v>2.69</v>
      </c>
      <c r="PD524" s="2">
        <v>2.72</v>
      </c>
      <c r="PE524" s="2">
        <v>2.72</v>
      </c>
      <c r="PF524" s="2">
        <v>2.7</v>
      </c>
      <c r="PG524" s="2">
        <v>2.72</v>
      </c>
      <c r="PH524" s="2">
        <v>2.74</v>
      </c>
      <c r="PI524" s="2">
        <v>2.69</v>
      </c>
    </row>
    <row r="525">
      <c r="A525" t="inlineStr">
        <is>
          <t>A130392617L</t>
        </is>
      </c>
      <c r="B525" t="inlineStr">
        <is>
          <t>Contribution to All groups CPI Index Number ;  Gas and other household fuels ;  Australia ;</t>
        </is>
      </c>
      <c r="C525" t="inlineStr">
        <is>
          <t>Month</t>
        </is>
      </c>
      <c r="D525" t="inlineStr">
        <is>
          <t>Index Points</t>
        </is>
      </c>
      <c r="E525" t="inlineStr">
        <is>
          <t>Original</t>
        </is>
      </c>
      <c r="F525" t="inlineStr">
        <is>
          <t>640103.xlsx</t>
        </is>
      </c>
      <c r="G525" t="inlineStr">
        <is>
          <t>2024-12</t>
        </is>
      </c>
      <c r="H525" t="inlineStr">
        <is>
          <t>2026-07</t>
        </is>
      </c>
      <c r="OH525" s="2">
        <v>0.93</v>
      </c>
      <c r="OM525" s="2">
        <v>0.93</v>
      </c>
      <c r="ON525" s="2">
        <v>0.93</v>
      </c>
      <c r="OO525" s="2">
        <v>0.93</v>
      </c>
      <c r="OP525" s="2">
        <v>0.92</v>
      </c>
      <c r="OQ525" s="2">
        <v>0.9</v>
      </c>
      <c r="OR525" s="2">
        <v>0.91</v>
      </c>
      <c r="OS525" s="2">
        <v>0.96</v>
      </c>
      <c r="OT525" s="2">
        <v>0.96</v>
      </c>
      <c r="OU525" s="2">
        <v>0.99</v>
      </c>
      <c r="OV525" s="2">
        <v>0.95</v>
      </c>
      <c r="OW525" s="2">
        <v>0.98</v>
      </c>
      <c r="OX525" s="2">
        <v>0.98</v>
      </c>
      <c r="PC525" s="2">
        <v>0.98</v>
      </c>
      <c r="PD525" s="2">
        <v>0.98</v>
      </c>
      <c r="PE525" s="2">
        <v>0.98</v>
      </c>
      <c r="PF525" s="2">
        <v>0.98</v>
      </c>
      <c r="PG525" s="2">
        <v>0.95</v>
      </c>
      <c r="PH525" s="2">
        <v>0.97</v>
      </c>
      <c r="PI525" s="2">
        <v>1</v>
      </c>
    </row>
    <row r="526">
      <c r="A526" t="inlineStr">
        <is>
          <t>A130399201K</t>
        </is>
      </c>
      <c r="B526" t="inlineStr">
        <is>
          <t>Contribution to All groups CPI Index Number ;  Furnishings, household equipment and services ;  Australia ;</t>
        </is>
      </c>
      <c r="C526" t="inlineStr">
        <is>
          <t>Month</t>
        </is>
      </c>
      <c r="D526" t="inlineStr">
        <is>
          <t>Index Points</t>
        </is>
      </c>
      <c r="E526" t="inlineStr">
        <is>
          <t>Original</t>
        </is>
      </c>
      <c r="F526" t="inlineStr">
        <is>
          <t>640103.xlsx</t>
        </is>
      </c>
      <c r="G526" t="inlineStr">
        <is>
          <t>2024-12</t>
        </is>
      </c>
      <c r="H526" t="inlineStr">
        <is>
          <t>2026-07</t>
        </is>
      </c>
      <c r="OH526" s="2">
        <v>7.68</v>
      </c>
      <c r="OM526" s="2">
        <v>7.7</v>
      </c>
      <c r="ON526" s="2">
        <v>7.78</v>
      </c>
      <c r="OO526" s="2">
        <v>7.76</v>
      </c>
      <c r="OP526" s="2">
        <v>7.79</v>
      </c>
      <c r="OQ526" s="2">
        <v>7.76</v>
      </c>
      <c r="OR526" s="2">
        <v>7.68</v>
      </c>
      <c r="OS526" s="2">
        <v>7.83</v>
      </c>
      <c r="OT526" s="2">
        <v>7.89</v>
      </c>
      <c r="OU526" s="2">
        <v>7.87</v>
      </c>
      <c r="OV526" s="2">
        <v>7.93</v>
      </c>
      <c r="OW526" s="2">
        <v>7.85</v>
      </c>
      <c r="OX526" s="2">
        <v>7.84</v>
      </c>
      <c r="PC526" s="2">
        <v>7.81</v>
      </c>
      <c r="PD526" s="2">
        <v>7.88</v>
      </c>
      <c r="PE526" s="2">
        <v>7.86</v>
      </c>
      <c r="PF526" s="2">
        <v>7.89</v>
      </c>
      <c r="PG526" s="2">
        <v>7.89</v>
      </c>
      <c r="PH526" s="2">
        <v>7.8</v>
      </c>
      <c r="PI526" s="2">
        <v>7.95</v>
      </c>
    </row>
    <row r="527">
      <c r="A527" t="inlineStr">
        <is>
          <t>A130397798A</t>
        </is>
      </c>
      <c r="B527" t="inlineStr">
        <is>
          <t>Contribution to All groups CPI Index Number ;  Furniture and furnishings ;  Australia ;</t>
        </is>
      </c>
      <c r="C527" t="inlineStr">
        <is>
          <t>Month</t>
        </is>
      </c>
      <c r="D527" t="inlineStr">
        <is>
          <t>Index Points</t>
        </is>
      </c>
      <c r="E527" t="inlineStr">
        <is>
          <t>Original</t>
        </is>
      </c>
      <c r="F527" t="inlineStr">
        <is>
          <t>640103.xlsx</t>
        </is>
      </c>
      <c r="G527" t="inlineStr">
        <is>
          <t>2024-12</t>
        </is>
      </c>
      <c r="H527" t="inlineStr">
        <is>
          <t>2026-07</t>
        </is>
      </c>
      <c r="OH527" s="2">
        <v>1.41</v>
      </c>
      <c r="OM527" s="2">
        <v>1.39</v>
      </c>
      <c r="ON527" s="2">
        <v>1.45</v>
      </c>
      <c r="OO527" s="2">
        <v>1.43</v>
      </c>
      <c r="OP527" s="2">
        <v>1.42</v>
      </c>
      <c r="OQ527" s="2">
        <v>1.41</v>
      </c>
      <c r="OR527" s="2">
        <v>1.37</v>
      </c>
      <c r="OS527" s="2">
        <v>1.43</v>
      </c>
      <c r="OT527" s="2">
        <v>1.41</v>
      </c>
      <c r="OU527" s="2">
        <v>1.44</v>
      </c>
      <c r="OV527" s="2">
        <v>1.47</v>
      </c>
      <c r="OW527" s="2">
        <v>1.41</v>
      </c>
      <c r="OX527" s="2">
        <v>1.42</v>
      </c>
      <c r="PC527" s="2">
        <v>1.37</v>
      </c>
      <c r="PD527" s="2">
        <v>1.43</v>
      </c>
      <c r="PE527" s="2">
        <v>1.43</v>
      </c>
      <c r="PF527" s="2">
        <v>1.43</v>
      </c>
      <c r="PG527" s="2">
        <v>1.43</v>
      </c>
      <c r="PH527" s="2">
        <v>1.37</v>
      </c>
      <c r="PI527" s="2">
        <v>1.43</v>
      </c>
    </row>
    <row r="528">
      <c r="A528" t="inlineStr">
        <is>
          <t>A130394598C</t>
        </is>
      </c>
      <c r="B528" t="inlineStr">
        <is>
          <t>Contribution to All groups CPI Index Number ;  Furniture ;  Australia ;</t>
        </is>
      </c>
      <c r="C528" t="inlineStr">
        <is>
          <t>Month</t>
        </is>
      </c>
      <c r="D528" t="inlineStr">
        <is>
          <t>Index Points</t>
        </is>
      </c>
      <c r="E528" t="inlineStr">
        <is>
          <t>Original</t>
        </is>
      </c>
      <c r="F528" t="inlineStr">
        <is>
          <t>640103.xlsx</t>
        </is>
      </c>
      <c r="G528" t="inlineStr">
        <is>
          <t>2024-12</t>
        </is>
      </c>
      <c r="H528" t="inlineStr">
        <is>
          <t>2026-07</t>
        </is>
      </c>
      <c r="OH528" s="2">
        <v>1.16</v>
      </c>
      <c r="OM528" s="2">
        <v>1.14</v>
      </c>
      <c r="ON528" s="2">
        <v>1.19</v>
      </c>
      <c r="OO528" s="2">
        <v>1.17</v>
      </c>
      <c r="OP528" s="2">
        <v>1.17</v>
      </c>
      <c r="OQ528" s="2">
        <v>1.15</v>
      </c>
      <c r="OR528" s="2">
        <v>1.12</v>
      </c>
      <c r="OS528" s="2">
        <v>1.17</v>
      </c>
      <c r="OT528" s="2">
        <v>1.15</v>
      </c>
      <c r="OU528" s="2">
        <v>1.18</v>
      </c>
      <c r="OV528" s="2">
        <v>1.21</v>
      </c>
      <c r="OW528" s="2">
        <v>1.15</v>
      </c>
      <c r="OX528" s="2">
        <v>1.17</v>
      </c>
      <c r="PC528" s="2">
        <v>1.11</v>
      </c>
      <c r="PD528" s="2">
        <v>1.17</v>
      </c>
      <c r="PE528" s="2">
        <v>1.17</v>
      </c>
      <c r="PF528" s="2">
        <v>1.16</v>
      </c>
      <c r="PG528" s="2">
        <v>1.17</v>
      </c>
      <c r="PH528" s="2">
        <v>1.11</v>
      </c>
      <c r="PI528" s="2">
        <v>1.17</v>
      </c>
    </row>
    <row r="529">
      <c r="A529" t="inlineStr">
        <is>
          <t>A130397826X</t>
        </is>
      </c>
      <c r="B529" t="inlineStr">
        <is>
          <t>Contribution to All groups CPI Index Number ;  Carpets and other floor coverings ;  Australia ;</t>
        </is>
      </c>
      <c r="C529" t="inlineStr">
        <is>
          <t>Month</t>
        </is>
      </c>
      <c r="D529" t="inlineStr">
        <is>
          <t>Index Points</t>
        </is>
      </c>
      <c r="E529" t="inlineStr">
        <is>
          <t>Original</t>
        </is>
      </c>
      <c r="F529" t="inlineStr">
        <is>
          <t>640103.xlsx</t>
        </is>
      </c>
      <c r="G529" t="inlineStr">
        <is>
          <t>2024-12</t>
        </is>
      </c>
      <c r="H529" t="inlineStr">
        <is>
          <t>2026-07</t>
        </is>
      </c>
      <c r="OH529" s="2">
        <v>0.25</v>
      </c>
      <c r="OM529" s="2">
        <v>0.25</v>
      </c>
      <c r="ON529" s="2">
        <v>0.25</v>
      </c>
      <c r="OO529" s="2">
        <v>0.25</v>
      </c>
      <c r="OP529" s="2">
        <v>0.25</v>
      </c>
      <c r="OQ529" s="2">
        <v>0.25</v>
      </c>
      <c r="OR529" s="2">
        <v>0.25</v>
      </c>
      <c r="OS529" s="2">
        <v>0.26</v>
      </c>
      <c r="OT529" s="2">
        <v>0.26</v>
      </c>
      <c r="OU529" s="2">
        <v>0.26</v>
      </c>
      <c r="OV529" s="2">
        <v>0.26</v>
      </c>
      <c r="OW529" s="2">
        <v>0.26</v>
      </c>
      <c r="OX529" s="2">
        <v>0.26</v>
      </c>
      <c r="PC529" s="2">
        <v>0.26</v>
      </c>
      <c r="PD529" s="2">
        <v>0.26</v>
      </c>
      <c r="PE529" s="2">
        <v>0.26</v>
      </c>
      <c r="PF529" s="2">
        <v>0.26</v>
      </c>
      <c r="PG529" s="2">
        <v>0.26</v>
      </c>
      <c r="PH529" s="2">
        <v>0.26</v>
      </c>
      <c r="PI529" s="2">
        <v>0.26</v>
      </c>
    </row>
    <row r="530">
      <c r="A530" t="inlineStr">
        <is>
          <t>A130396495X</t>
        </is>
      </c>
      <c r="B530" t="inlineStr">
        <is>
          <t>Contribution to All groups CPI Index Number ;  Household textiles ;  Australia ;</t>
        </is>
      </c>
      <c r="C530" t="inlineStr">
        <is>
          <t>Month</t>
        </is>
      </c>
      <c r="D530" t="inlineStr">
        <is>
          <t>Index Points</t>
        </is>
      </c>
      <c r="E530" t="inlineStr">
        <is>
          <t>Original</t>
        </is>
      </c>
      <c r="F530" t="inlineStr">
        <is>
          <t>640103.xlsx</t>
        </is>
      </c>
      <c r="G530" t="inlineStr">
        <is>
          <t>2024-12</t>
        </is>
      </c>
      <c r="H530" t="inlineStr">
        <is>
          <t>2026-07</t>
        </is>
      </c>
      <c r="OH530" s="2">
        <v>0.42</v>
      </c>
      <c r="OM530" s="2">
        <v>0.43</v>
      </c>
      <c r="ON530" s="2">
        <v>0.46</v>
      </c>
      <c r="OO530" s="2">
        <v>0.46</v>
      </c>
      <c r="OP530" s="2">
        <v>0.45</v>
      </c>
      <c r="OQ530" s="2">
        <v>0.46</v>
      </c>
      <c r="OR530" s="2">
        <v>0.42</v>
      </c>
      <c r="OS530" s="2">
        <v>0.47</v>
      </c>
      <c r="OT530" s="2">
        <v>0.46</v>
      </c>
      <c r="OU530" s="2">
        <v>0.46</v>
      </c>
      <c r="OV530" s="2">
        <v>0.46</v>
      </c>
      <c r="OW530" s="2">
        <v>0.46</v>
      </c>
      <c r="OX530" s="2">
        <v>0.44</v>
      </c>
      <c r="PC530" s="2">
        <v>0.43</v>
      </c>
      <c r="PD530" s="2">
        <v>0.46</v>
      </c>
      <c r="PE530" s="2">
        <v>0.45</v>
      </c>
      <c r="PF530" s="2">
        <v>0.44</v>
      </c>
      <c r="PG530" s="2">
        <v>0.43</v>
      </c>
      <c r="PH530" s="2">
        <v>0.42</v>
      </c>
      <c r="PI530" s="2">
        <v>0.47</v>
      </c>
    </row>
    <row r="531">
      <c r="A531" t="inlineStr">
        <is>
          <t>A130395382K</t>
        </is>
      </c>
      <c r="B531" t="inlineStr">
        <is>
          <t>Contribution to All groups CPI Index Number ;  Household textiles ;  Australia ;</t>
        </is>
      </c>
      <c r="C531" t="inlineStr">
        <is>
          <t>Month</t>
        </is>
      </c>
      <c r="D531" t="inlineStr">
        <is>
          <t>Index Points</t>
        </is>
      </c>
      <c r="E531" t="inlineStr">
        <is>
          <t>Original</t>
        </is>
      </c>
      <c r="F531" t="inlineStr">
        <is>
          <t>640103.xlsx</t>
        </is>
      </c>
      <c r="G531" t="inlineStr">
        <is>
          <t>2024-12</t>
        </is>
      </c>
      <c r="H531" t="inlineStr">
        <is>
          <t>2026-07</t>
        </is>
      </c>
      <c r="OH531" s="2">
        <v>0.42</v>
      </c>
      <c r="OM531" s="2">
        <v>0.43</v>
      </c>
      <c r="ON531" s="2">
        <v>0.46</v>
      </c>
      <c r="OO531" s="2">
        <v>0.46</v>
      </c>
      <c r="OP531" s="2">
        <v>0.45</v>
      </c>
      <c r="OQ531" s="2">
        <v>0.46</v>
      </c>
      <c r="OR531" s="2">
        <v>0.42</v>
      </c>
      <c r="OS531" s="2">
        <v>0.47</v>
      </c>
      <c r="OT531" s="2">
        <v>0.46</v>
      </c>
      <c r="OU531" s="2">
        <v>0.46</v>
      </c>
      <c r="OV531" s="2">
        <v>0.46</v>
      </c>
      <c r="OW531" s="2">
        <v>0.46</v>
      </c>
      <c r="OX531" s="2">
        <v>0.44</v>
      </c>
      <c r="PC531" s="2">
        <v>0.43</v>
      </c>
      <c r="PD531" s="2">
        <v>0.46</v>
      </c>
      <c r="PE531" s="2">
        <v>0.45</v>
      </c>
      <c r="PF531" s="2">
        <v>0.44</v>
      </c>
      <c r="PG531" s="2">
        <v>0.43</v>
      </c>
      <c r="PH531" s="2">
        <v>0.42</v>
      </c>
      <c r="PI531" s="2">
        <v>0.47</v>
      </c>
    </row>
    <row r="532">
      <c r="A532" t="inlineStr">
        <is>
          <t>A130398519T</t>
        </is>
      </c>
      <c r="B532" t="inlineStr">
        <is>
          <t>Contribution to All groups CPI Index Number ;  Household appliances, utensils and tools ;  Australia ;</t>
        </is>
      </c>
      <c r="C532" t="inlineStr">
        <is>
          <t>Month</t>
        </is>
      </c>
      <c r="D532" t="inlineStr">
        <is>
          <t>Index Points</t>
        </is>
      </c>
      <c r="E532" t="inlineStr">
        <is>
          <t>Original</t>
        </is>
      </c>
      <c r="F532" t="inlineStr">
        <is>
          <t>640103.xlsx</t>
        </is>
      </c>
      <c r="G532" t="inlineStr">
        <is>
          <t>2024-12</t>
        </is>
      </c>
      <c r="H532" t="inlineStr">
        <is>
          <t>2026-07</t>
        </is>
      </c>
      <c r="OH532" s="2">
        <v>1.25</v>
      </c>
      <c r="OM532" s="2">
        <v>1.27</v>
      </c>
      <c r="ON532" s="2">
        <v>1.27</v>
      </c>
      <c r="OO532" s="2">
        <v>1.24</v>
      </c>
      <c r="OP532" s="2">
        <v>1.28</v>
      </c>
      <c r="OQ532" s="2">
        <v>1.27</v>
      </c>
      <c r="OR532" s="2">
        <v>1.25</v>
      </c>
      <c r="OS532" s="2">
        <v>1.28</v>
      </c>
      <c r="OT532" s="2">
        <v>1.31</v>
      </c>
      <c r="OU532" s="2">
        <v>1.27</v>
      </c>
      <c r="OV532" s="2">
        <v>1.29</v>
      </c>
      <c r="OW532" s="2">
        <v>1.28</v>
      </c>
      <c r="OX532" s="2">
        <v>1.22</v>
      </c>
      <c r="PC532" s="2">
        <v>1.27</v>
      </c>
      <c r="PD532" s="2">
        <v>1.27</v>
      </c>
      <c r="PE532" s="2">
        <v>1.24</v>
      </c>
      <c r="PF532" s="2">
        <v>1.26</v>
      </c>
      <c r="PG532" s="2">
        <v>1.27</v>
      </c>
      <c r="PH532" s="2">
        <v>1.25</v>
      </c>
      <c r="PI532" s="2">
        <v>1.28</v>
      </c>
    </row>
    <row r="533">
      <c r="A533" t="inlineStr">
        <is>
          <t>A130399509F</t>
        </is>
      </c>
      <c r="B533" t="inlineStr">
        <is>
          <t>Contribution to All groups CPI Index Number ;  Major household appliances ;  Australia ;</t>
        </is>
      </c>
      <c r="C533" t="inlineStr">
        <is>
          <t>Month</t>
        </is>
      </c>
      <c r="D533" t="inlineStr">
        <is>
          <t>Index Points</t>
        </is>
      </c>
      <c r="E533" t="inlineStr">
        <is>
          <t>Original</t>
        </is>
      </c>
      <c r="F533" t="inlineStr">
        <is>
          <t>640103.xlsx</t>
        </is>
      </c>
      <c r="G533" t="inlineStr">
        <is>
          <t>2024-12</t>
        </is>
      </c>
      <c r="H533" t="inlineStr">
        <is>
          <t>2026-07</t>
        </is>
      </c>
      <c r="OH533" s="2">
        <v>0.33</v>
      </c>
      <c r="OM533" s="2">
        <v>0.33</v>
      </c>
      <c r="ON533" s="2">
        <v>0.33</v>
      </c>
      <c r="OO533" s="2">
        <v>0.33</v>
      </c>
      <c r="OP533" s="2">
        <v>0.33</v>
      </c>
      <c r="OQ533" s="2">
        <v>0.34</v>
      </c>
      <c r="OR533" s="2">
        <v>0.34</v>
      </c>
      <c r="OS533" s="2">
        <v>0.34</v>
      </c>
      <c r="OT533" s="2">
        <v>0.34</v>
      </c>
      <c r="OU533" s="2">
        <v>0.34</v>
      </c>
      <c r="OV533" s="2">
        <v>0.33</v>
      </c>
      <c r="OW533" s="2">
        <v>0.33</v>
      </c>
      <c r="OX533" s="2">
        <v>0.32</v>
      </c>
      <c r="PC533" s="2">
        <v>0.33</v>
      </c>
      <c r="PD533" s="2">
        <v>0.33</v>
      </c>
      <c r="PE533" s="2">
        <v>0.33</v>
      </c>
      <c r="PF533" s="2">
        <v>0.33</v>
      </c>
      <c r="PG533" s="2">
        <v>0.33</v>
      </c>
      <c r="PH533" s="2">
        <v>0.32</v>
      </c>
      <c r="PI533" s="2">
        <v>0.34</v>
      </c>
    </row>
    <row r="534">
      <c r="A534" t="inlineStr">
        <is>
          <t>A130391252R</t>
        </is>
      </c>
      <c r="B534" t="inlineStr">
        <is>
          <t>Contribution to All groups CPI Index Number ;  Small electric household appliances ;  Australia ;</t>
        </is>
      </c>
      <c r="C534" t="inlineStr">
        <is>
          <t>Month</t>
        </is>
      </c>
      <c r="D534" t="inlineStr">
        <is>
          <t>Index Points</t>
        </is>
      </c>
      <c r="E534" t="inlineStr">
        <is>
          <t>Original</t>
        </is>
      </c>
      <c r="F534" t="inlineStr">
        <is>
          <t>640103.xlsx</t>
        </is>
      </c>
      <c r="G534" t="inlineStr">
        <is>
          <t>2024-12</t>
        </is>
      </c>
      <c r="H534" t="inlineStr">
        <is>
          <t>2026-07</t>
        </is>
      </c>
      <c r="OH534" s="2">
        <v>0.24</v>
      </c>
      <c r="OM534" s="2">
        <v>0.25</v>
      </c>
      <c r="ON534" s="2">
        <v>0.26</v>
      </c>
      <c r="OO534" s="2">
        <v>0.25</v>
      </c>
      <c r="OP534" s="2">
        <v>0.26</v>
      </c>
      <c r="OQ534" s="2">
        <v>0.25</v>
      </c>
      <c r="OR534" s="2">
        <v>0.25</v>
      </c>
      <c r="OS534" s="2">
        <v>0.25</v>
      </c>
      <c r="OT534" s="2">
        <v>0.26</v>
      </c>
      <c r="OU534" s="2">
        <v>0.25</v>
      </c>
      <c r="OV534" s="2">
        <v>0.26</v>
      </c>
      <c r="OW534" s="2">
        <v>0.26</v>
      </c>
      <c r="OX534" s="2">
        <v>0.24</v>
      </c>
      <c r="PC534" s="2">
        <v>0.25</v>
      </c>
      <c r="PD534" s="2">
        <v>0.26</v>
      </c>
      <c r="PE534" s="2">
        <v>0.25</v>
      </c>
      <c r="PF534" s="2">
        <v>0.25</v>
      </c>
      <c r="PG534" s="2">
        <v>0.25</v>
      </c>
      <c r="PH534" s="2">
        <v>0.25</v>
      </c>
      <c r="PI534" s="2">
        <v>0.25</v>
      </c>
    </row>
    <row r="535">
      <c r="A535" t="inlineStr">
        <is>
          <t>A130391266C</t>
        </is>
      </c>
      <c r="B535" t="inlineStr">
        <is>
          <t>Contribution to All groups CPI Index Number ;  Glassware, tableware and household utensils ;  Australia ;</t>
        </is>
      </c>
      <c r="C535" t="inlineStr">
        <is>
          <t>Month</t>
        </is>
      </c>
      <c r="D535" t="inlineStr">
        <is>
          <t>Index Points</t>
        </is>
      </c>
      <c r="E535" t="inlineStr">
        <is>
          <t>Original</t>
        </is>
      </c>
      <c r="F535" t="inlineStr">
        <is>
          <t>640103.xlsx</t>
        </is>
      </c>
      <c r="G535" t="inlineStr">
        <is>
          <t>2024-12</t>
        </is>
      </c>
      <c r="H535" t="inlineStr">
        <is>
          <t>2026-07</t>
        </is>
      </c>
      <c r="OH535" s="2">
        <v>0.34</v>
      </c>
      <c r="OM535" s="2">
        <v>0.34</v>
      </c>
      <c r="ON535" s="2">
        <v>0.34</v>
      </c>
      <c r="OO535" s="2">
        <v>0.33</v>
      </c>
      <c r="OP535" s="2">
        <v>0.35</v>
      </c>
      <c r="OQ535" s="2">
        <v>0.33</v>
      </c>
      <c r="OR535" s="2">
        <v>0.32</v>
      </c>
      <c r="OS535" s="2">
        <v>0.35</v>
      </c>
      <c r="OT535" s="2">
        <v>0.37</v>
      </c>
      <c r="OU535" s="2">
        <v>0.34</v>
      </c>
      <c r="OV535" s="2">
        <v>0.36</v>
      </c>
      <c r="OW535" s="2">
        <v>0.34</v>
      </c>
      <c r="OX535" s="2">
        <v>0.32</v>
      </c>
      <c r="PC535" s="2">
        <v>0.35</v>
      </c>
      <c r="PD535" s="2">
        <v>0.34</v>
      </c>
      <c r="PE535" s="2">
        <v>0.33</v>
      </c>
      <c r="PF535" s="2">
        <v>0.34</v>
      </c>
      <c r="PG535" s="2">
        <v>0.34</v>
      </c>
      <c r="PH535" s="2">
        <v>0.33</v>
      </c>
      <c r="PI535" s="2">
        <v>0.34</v>
      </c>
    </row>
    <row r="536">
      <c r="A536" t="inlineStr">
        <is>
          <t>A130392036R</t>
        </is>
      </c>
      <c r="B536" t="inlineStr">
        <is>
          <t>Contribution to All groups CPI Index Number ;  Tools and equipment for house and garden ;  Australia ;</t>
        </is>
      </c>
      <c r="C536" t="inlineStr">
        <is>
          <t>Month</t>
        </is>
      </c>
      <c r="D536" t="inlineStr">
        <is>
          <t>Index Points</t>
        </is>
      </c>
      <c r="E536" t="inlineStr">
        <is>
          <t>Original</t>
        </is>
      </c>
      <c r="F536" t="inlineStr">
        <is>
          <t>640103.xlsx</t>
        </is>
      </c>
      <c r="G536" t="inlineStr">
        <is>
          <t>2024-12</t>
        </is>
      </c>
      <c r="H536" t="inlineStr">
        <is>
          <t>2026-07</t>
        </is>
      </c>
      <c r="OH536" s="2">
        <v>0.34</v>
      </c>
      <c r="OM536" s="2">
        <v>0.34</v>
      </c>
      <c r="ON536" s="2">
        <v>0.34</v>
      </c>
      <c r="OO536" s="2">
        <v>0.34</v>
      </c>
      <c r="OP536" s="2">
        <v>0.34</v>
      </c>
      <c r="OQ536" s="2">
        <v>0.34</v>
      </c>
      <c r="OR536" s="2">
        <v>0.34</v>
      </c>
      <c r="OS536" s="2">
        <v>0.34</v>
      </c>
      <c r="OT536" s="2">
        <v>0.34</v>
      </c>
      <c r="OU536" s="2">
        <v>0.34</v>
      </c>
      <c r="OV536" s="2">
        <v>0.34</v>
      </c>
      <c r="OW536" s="2">
        <v>0.34</v>
      </c>
      <c r="OX536" s="2">
        <v>0.34</v>
      </c>
      <c r="PC536" s="2">
        <v>0.34</v>
      </c>
      <c r="PD536" s="2">
        <v>0.34</v>
      </c>
      <c r="PE536" s="2">
        <v>0.34</v>
      </c>
      <c r="PF536" s="2">
        <v>0.34</v>
      </c>
      <c r="PG536" s="2">
        <v>0.34</v>
      </c>
      <c r="PH536" s="2">
        <v>0.35</v>
      </c>
      <c r="PI536" s="2">
        <v>0.35</v>
      </c>
    </row>
    <row r="537">
      <c r="A537" t="inlineStr">
        <is>
          <t>A130394920R</t>
        </is>
      </c>
      <c r="B537" t="inlineStr">
        <is>
          <t>Contribution to All groups CPI Index Number ;  Non-durable household products ;  Australia ;</t>
        </is>
      </c>
      <c r="C537" t="inlineStr">
        <is>
          <t>Month</t>
        </is>
      </c>
      <c r="D537" t="inlineStr">
        <is>
          <t>Index Points</t>
        </is>
      </c>
      <c r="E537" t="inlineStr">
        <is>
          <t>Original</t>
        </is>
      </c>
      <c r="F537" t="inlineStr">
        <is>
          <t>640103.xlsx</t>
        </is>
      </c>
      <c r="G537" t="inlineStr">
        <is>
          <t>2024-12</t>
        </is>
      </c>
      <c r="H537" t="inlineStr">
        <is>
          <t>2026-07</t>
        </is>
      </c>
      <c r="OH537" s="2">
        <v>2.14</v>
      </c>
      <c r="OM537" s="2">
        <v>2.15</v>
      </c>
      <c r="ON537" s="2">
        <v>2.15</v>
      </c>
      <c r="OO537" s="2">
        <v>2.15</v>
      </c>
      <c r="OP537" s="2">
        <v>2.17</v>
      </c>
      <c r="OQ537" s="2">
        <v>2.16</v>
      </c>
      <c r="OR537" s="2">
        <v>2.15</v>
      </c>
      <c r="OS537" s="2">
        <v>2.16</v>
      </c>
      <c r="OT537" s="2">
        <v>2.17</v>
      </c>
      <c r="OU537" s="2">
        <v>2.15</v>
      </c>
      <c r="OV537" s="2">
        <v>2.15</v>
      </c>
      <c r="OW537" s="2">
        <v>2.13</v>
      </c>
      <c r="OX537" s="2">
        <v>2.16</v>
      </c>
      <c r="PC537" s="2">
        <v>2.14</v>
      </c>
      <c r="PD537" s="2">
        <v>2.15</v>
      </c>
      <c r="PE537" s="2">
        <v>2.14</v>
      </c>
      <c r="PF537" s="2">
        <v>2.16</v>
      </c>
      <c r="PG537" s="2">
        <v>2.16</v>
      </c>
      <c r="PH537" s="2">
        <v>2.15</v>
      </c>
      <c r="PI537" s="2">
        <v>2.15</v>
      </c>
    </row>
    <row r="538">
      <c r="A538" t="inlineStr">
        <is>
          <t>A130399523A</t>
        </is>
      </c>
      <c r="B538" t="inlineStr">
        <is>
          <t>Contribution to All groups CPI Index Number ;  Cleaning and maintenance products ;  Australia ;</t>
        </is>
      </c>
      <c r="C538" t="inlineStr">
        <is>
          <t>Month</t>
        </is>
      </c>
      <c r="D538" t="inlineStr">
        <is>
          <t>Index Points</t>
        </is>
      </c>
      <c r="E538" t="inlineStr">
        <is>
          <t>Original</t>
        </is>
      </c>
      <c r="F538" t="inlineStr">
        <is>
          <t>640103.xlsx</t>
        </is>
      </c>
      <c r="G538" t="inlineStr">
        <is>
          <t>2024-12</t>
        </is>
      </c>
      <c r="H538" t="inlineStr">
        <is>
          <t>2026-07</t>
        </is>
      </c>
      <c r="OH538" s="2">
        <v>0.21</v>
      </c>
      <c r="OM538" s="2">
        <v>0.21</v>
      </c>
      <c r="ON538" s="2">
        <v>0.21</v>
      </c>
      <c r="OO538" s="2">
        <v>0.21</v>
      </c>
      <c r="OP538" s="2">
        <v>0.21</v>
      </c>
      <c r="OQ538" s="2">
        <v>0.21</v>
      </c>
      <c r="OR538" s="2">
        <v>0.21</v>
      </c>
      <c r="OS538" s="2">
        <v>0.21</v>
      </c>
      <c r="OT538" s="2">
        <v>0.21</v>
      </c>
      <c r="OU538" s="2">
        <v>0.21</v>
      </c>
      <c r="OV538" s="2">
        <v>0.21</v>
      </c>
      <c r="OW538" s="2">
        <v>0.21</v>
      </c>
      <c r="OX538" s="2">
        <v>0.22</v>
      </c>
      <c r="PC538" s="2">
        <v>0.21</v>
      </c>
      <c r="PD538" s="2">
        <v>0.21</v>
      </c>
      <c r="PE538" s="2">
        <v>0.21</v>
      </c>
      <c r="PF538" s="2">
        <v>0.21</v>
      </c>
      <c r="PG538" s="2">
        <v>0.21</v>
      </c>
      <c r="PH538" s="2">
        <v>0.21</v>
      </c>
      <c r="PI538" s="2">
        <v>0.22</v>
      </c>
    </row>
    <row r="539">
      <c r="A539" t="inlineStr">
        <is>
          <t>A130393534X</t>
        </is>
      </c>
      <c r="B539" t="inlineStr">
        <is>
          <t>Contribution to All groups CPI Index Number ;  Personal care products ;  Australia ;</t>
        </is>
      </c>
      <c r="C539" t="inlineStr">
        <is>
          <t>Month</t>
        </is>
      </c>
      <c r="D539" t="inlineStr">
        <is>
          <t>Index Points</t>
        </is>
      </c>
      <c r="E539" t="inlineStr">
        <is>
          <t>Original</t>
        </is>
      </c>
      <c r="F539" t="inlineStr">
        <is>
          <t>640103.xlsx</t>
        </is>
      </c>
      <c r="G539" t="inlineStr">
        <is>
          <t>2024-12</t>
        </is>
      </c>
      <c r="H539" t="inlineStr">
        <is>
          <t>2026-07</t>
        </is>
      </c>
      <c r="OH539" s="2">
        <v>0.78</v>
      </c>
      <c r="OM539" s="2">
        <v>0.79</v>
      </c>
      <c r="ON539" s="2">
        <v>0.79</v>
      </c>
      <c r="OO539" s="2">
        <v>0.79</v>
      </c>
      <c r="OP539" s="2">
        <v>0.8</v>
      </c>
      <c r="OQ539" s="2">
        <v>0.79</v>
      </c>
      <c r="OR539" s="2">
        <v>0.78</v>
      </c>
      <c r="OS539" s="2">
        <v>0.8</v>
      </c>
      <c r="OT539" s="2">
        <v>0.8</v>
      </c>
      <c r="OU539" s="2">
        <v>0.8</v>
      </c>
      <c r="OV539" s="2">
        <v>0.79</v>
      </c>
      <c r="OW539" s="2">
        <v>0.78</v>
      </c>
      <c r="OX539" s="2">
        <v>0.8100000000000001</v>
      </c>
      <c r="PC539" s="2">
        <v>0.8</v>
      </c>
      <c r="PD539" s="2">
        <v>0.8</v>
      </c>
      <c r="PE539" s="2">
        <v>0.8</v>
      </c>
      <c r="PF539" s="2">
        <v>0.8100000000000001</v>
      </c>
      <c r="PG539" s="2">
        <v>0.8</v>
      </c>
      <c r="PH539" s="2">
        <v>0.8</v>
      </c>
      <c r="PI539" s="2">
        <v>0.79</v>
      </c>
    </row>
    <row r="540">
      <c r="A540" t="inlineStr">
        <is>
          <t>A130391119C</t>
        </is>
      </c>
      <c r="B540" t="inlineStr">
        <is>
          <t>Contribution to All groups CPI Index Number ;  Other non-durable household products ;  Australia ;</t>
        </is>
      </c>
      <c r="C540" t="inlineStr">
        <is>
          <t>Month</t>
        </is>
      </c>
      <c r="D540" t="inlineStr">
        <is>
          <t>Index Points</t>
        </is>
      </c>
      <c r="E540" t="inlineStr">
        <is>
          <t>Original</t>
        </is>
      </c>
      <c r="F540" t="inlineStr">
        <is>
          <t>640103.xlsx</t>
        </is>
      </c>
      <c r="G540" t="inlineStr">
        <is>
          <t>2024-12</t>
        </is>
      </c>
      <c r="H540" t="inlineStr">
        <is>
          <t>2026-07</t>
        </is>
      </c>
      <c r="OH540" s="2">
        <v>1.15</v>
      </c>
      <c r="OM540" s="2">
        <v>1.15</v>
      </c>
      <c r="ON540" s="2">
        <v>1.15</v>
      </c>
      <c r="OO540" s="2">
        <v>1.15</v>
      </c>
      <c r="OP540" s="2">
        <v>1.16</v>
      </c>
      <c r="OQ540" s="2">
        <v>1.16</v>
      </c>
      <c r="OR540" s="2">
        <v>1.16</v>
      </c>
      <c r="OS540" s="2">
        <v>1.16</v>
      </c>
      <c r="OT540" s="2">
        <v>1.16</v>
      </c>
      <c r="OU540" s="2">
        <v>1.15</v>
      </c>
      <c r="OV540" s="2">
        <v>1.15</v>
      </c>
      <c r="OW540" s="2">
        <v>1.14</v>
      </c>
      <c r="OX540" s="2">
        <v>1.14</v>
      </c>
      <c r="PC540" s="2">
        <v>1.13</v>
      </c>
      <c r="PD540" s="2">
        <v>1.13</v>
      </c>
      <c r="PE540" s="2">
        <v>1.14</v>
      </c>
      <c r="PF540" s="2">
        <v>1.14</v>
      </c>
      <c r="PG540" s="2">
        <v>1.15</v>
      </c>
      <c r="PH540" s="2">
        <v>1.14</v>
      </c>
      <c r="PI540" s="2">
        <v>1.15</v>
      </c>
    </row>
    <row r="541">
      <c r="A541" t="inlineStr">
        <is>
          <t>A130397342C</t>
        </is>
      </c>
      <c r="B541" t="inlineStr">
        <is>
          <t>Contribution to All groups CPI Index Number ;  Domestic and household services ;  Australia ;</t>
        </is>
      </c>
      <c r="C541" t="inlineStr">
        <is>
          <t>Month</t>
        </is>
      </c>
      <c r="D541" t="inlineStr">
        <is>
          <t>Index Points</t>
        </is>
      </c>
      <c r="E541" t="inlineStr">
        <is>
          <t>Original</t>
        </is>
      </c>
      <c r="F541" t="inlineStr">
        <is>
          <t>640103.xlsx</t>
        </is>
      </c>
      <c r="G541" t="inlineStr">
        <is>
          <t>2024-12</t>
        </is>
      </c>
      <c r="H541" t="inlineStr">
        <is>
          <t>2026-07</t>
        </is>
      </c>
      <c r="OH541" s="2">
        <v>2.46</v>
      </c>
      <c r="OM541" s="2">
        <v>2.46</v>
      </c>
      <c r="ON541" s="2">
        <v>2.46</v>
      </c>
      <c r="OO541" s="2">
        <v>2.48</v>
      </c>
      <c r="OP541" s="2">
        <v>2.47</v>
      </c>
      <c r="OQ541" s="2">
        <v>2.47</v>
      </c>
      <c r="OR541" s="2">
        <v>2.48</v>
      </c>
      <c r="OS541" s="2">
        <v>2.5</v>
      </c>
      <c r="OT541" s="2">
        <v>2.54</v>
      </c>
      <c r="OU541" s="2">
        <v>2.55</v>
      </c>
      <c r="OV541" s="2">
        <v>2.56</v>
      </c>
      <c r="OW541" s="2">
        <v>2.58</v>
      </c>
      <c r="OX541" s="2">
        <v>2.59</v>
      </c>
      <c r="PC541" s="2">
        <v>2.59</v>
      </c>
      <c r="PD541" s="2">
        <v>2.58</v>
      </c>
      <c r="PE541" s="2">
        <v>2.6</v>
      </c>
      <c r="PF541" s="2">
        <v>2.6</v>
      </c>
      <c r="PG541" s="2">
        <v>2.6</v>
      </c>
      <c r="PH541" s="2">
        <v>2.61</v>
      </c>
      <c r="PI541" s="2">
        <v>2.62</v>
      </c>
    </row>
    <row r="542">
      <c r="A542" t="inlineStr">
        <is>
          <t>A130390062J</t>
        </is>
      </c>
      <c r="B542" t="inlineStr">
        <is>
          <t>Contribution to All groups CPI Index Number ;  Child care ;  Australia ;</t>
        </is>
      </c>
      <c r="C542" t="inlineStr">
        <is>
          <t>Month</t>
        </is>
      </c>
      <c r="D542" t="inlineStr">
        <is>
          <t>Index Points</t>
        </is>
      </c>
      <c r="E542" t="inlineStr">
        <is>
          <t>Original</t>
        </is>
      </c>
      <c r="F542" t="inlineStr">
        <is>
          <t>640103.xlsx</t>
        </is>
      </c>
      <c r="G542" t="inlineStr">
        <is>
          <t>2024-12</t>
        </is>
      </c>
      <c r="H542" t="inlineStr">
        <is>
          <t>2026-07</t>
        </is>
      </c>
      <c r="OH542" s="2">
        <v>0.75</v>
      </c>
      <c r="OM542" s="2">
        <v>0.74</v>
      </c>
      <c r="ON542" s="2">
        <v>0.75</v>
      </c>
      <c r="OO542" s="2">
        <v>0.76</v>
      </c>
      <c r="OP542" s="2">
        <v>0.76</v>
      </c>
      <c r="OQ542" s="2">
        <v>0.75</v>
      </c>
      <c r="OR542" s="2">
        <v>0.77</v>
      </c>
      <c r="OS542" s="2">
        <v>0.77</v>
      </c>
      <c r="OT542" s="2">
        <v>0.8</v>
      </c>
      <c r="OU542" s="2">
        <v>0.8100000000000001</v>
      </c>
      <c r="OV542" s="2">
        <v>0.82</v>
      </c>
      <c r="OW542" s="2">
        <v>0.83</v>
      </c>
      <c r="OX542" s="2">
        <v>0.83</v>
      </c>
      <c r="PC542" s="2">
        <v>0.83</v>
      </c>
      <c r="PD542" s="2">
        <v>0.82</v>
      </c>
      <c r="PE542" s="2">
        <v>0.83</v>
      </c>
      <c r="PF542" s="2">
        <v>0.83</v>
      </c>
      <c r="PG542" s="2">
        <v>0.82</v>
      </c>
      <c r="PH542" s="2">
        <v>0.83</v>
      </c>
      <c r="PI542" s="2">
        <v>0.83</v>
      </c>
    </row>
    <row r="543">
      <c r="A543" t="inlineStr">
        <is>
          <t>A130393548L</t>
        </is>
      </c>
      <c r="B543" t="inlineStr">
        <is>
          <t>Contribution to All groups CPI Index Number ;  Hairdressing and personal grooming services ;  Australia ;</t>
        </is>
      </c>
      <c r="C543" t="inlineStr">
        <is>
          <t>Month</t>
        </is>
      </c>
      <c r="D543" t="inlineStr">
        <is>
          <t>Index Points</t>
        </is>
      </c>
      <c r="E543" t="inlineStr">
        <is>
          <t>Original</t>
        </is>
      </c>
      <c r="F543" t="inlineStr">
        <is>
          <t>640103.xlsx</t>
        </is>
      </c>
      <c r="G543" t="inlineStr">
        <is>
          <t>2024-12</t>
        </is>
      </c>
      <c r="H543" t="inlineStr">
        <is>
          <t>2026-07</t>
        </is>
      </c>
      <c r="OH543" s="2">
        <v>1.02</v>
      </c>
      <c r="OM543" s="2">
        <v>1.02</v>
      </c>
      <c r="ON543" s="2">
        <v>1.02</v>
      </c>
      <c r="OO543" s="2">
        <v>1.02</v>
      </c>
      <c r="OP543" s="2">
        <v>1.02</v>
      </c>
      <c r="OQ543" s="2">
        <v>1.03</v>
      </c>
      <c r="OR543" s="2">
        <v>1.03</v>
      </c>
      <c r="OS543" s="2">
        <v>1.03</v>
      </c>
      <c r="OT543" s="2">
        <v>1.03</v>
      </c>
      <c r="OU543" s="2">
        <v>1.04</v>
      </c>
      <c r="OV543" s="2">
        <v>1.04</v>
      </c>
      <c r="OW543" s="2">
        <v>1.05</v>
      </c>
      <c r="OX543" s="2">
        <v>1.05</v>
      </c>
      <c r="PC543" s="2">
        <v>1.05</v>
      </c>
      <c r="PD543" s="2">
        <v>1.06</v>
      </c>
      <c r="PE543" s="2">
        <v>1.06</v>
      </c>
      <c r="PF543" s="2">
        <v>1.06</v>
      </c>
      <c r="PG543" s="2">
        <v>1.06</v>
      </c>
      <c r="PH543" s="2">
        <v>1.07</v>
      </c>
      <c r="PI543" s="2">
        <v>1.08</v>
      </c>
    </row>
    <row r="544">
      <c r="A544" t="inlineStr">
        <is>
          <t>A130395200K</t>
        </is>
      </c>
      <c r="B544" t="inlineStr">
        <is>
          <t>Contribution to All groups CPI Index Number ;  Other household services ;  Australia ;</t>
        </is>
      </c>
      <c r="C544" t="inlineStr">
        <is>
          <t>Month</t>
        </is>
      </c>
      <c r="D544" t="inlineStr">
        <is>
          <t>Index Points</t>
        </is>
      </c>
      <c r="E544" t="inlineStr">
        <is>
          <t>Original</t>
        </is>
      </c>
      <c r="F544" t="inlineStr">
        <is>
          <t>640103.xlsx</t>
        </is>
      </c>
      <c r="G544" t="inlineStr">
        <is>
          <t>2024-12</t>
        </is>
      </c>
      <c r="H544" t="inlineStr">
        <is>
          <t>2026-07</t>
        </is>
      </c>
      <c r="OH544" s="2">
        <v>0.6899999999999999</v>
      </c>
      <c r="OM544" s="2">
        <v>0.6899999999999999</v>
      </c>
      <c r="ON544" s="2">
        <v>0.6899999999999999</v>
      </c>
      <c r="OO544" s="2">
        <v>0.6899999999999999</v>
      </c>
      <c r="OP544" s="2">
        <v>0.6899999999999999</v>
      </c>
      <c r="OQ544" s="2">
        <v>0.6899999999999999</v>
      </c>
      <c r="OR544" s="2">
        <v>0.6899999999999999</v>
      </c>
      <c r="OS544" s="2">
        <v>0.7</v>
      </c>
      <c r="OT544" s="2">
        <v>0.71</v>
      </c>
      <c r="OU544" s="2">
        <v>0.7</v>
      </c>
      <c r="OV544" s="2">
        <v>0.7</v>
      </c>
      <c r="OW544" s="2">
        <v>0.7</v>
      </c>
      <c r="OX544" s="2">
        <v>0.71</v>
      </c>
      <c r="PC544" s="2">
        <v>0.71</v>
      </c>
      <c r="PD544" s="2">
        <v>0.71</v>
      </c>
      <c r="PE544" s="2">
        <v>0.71</v>
      </c>
      <c r="PF544" s="2">
        <v>0.71</v>
      </c>
      <c r="PG544" s="2">
        <v>0.71</v>
      </c>
      <c r="PH544" s="2">
        <v>0.71</v>
      </c>
      <c r="PI544" s="2">
        <v>0.72</v>
      </c>
    </row>
    <row r="545">
      <c r="A545" t="inlineStr">
        <is>
          <t>A130389992F</t>
        </is>
      </c>
      <c r="B545" t="inlineStr">
        <is>
          <t>Contribution to All groups CPI Index Number ;  Health ;  Australia ;</t>
        </is>
      </c>
      <c r="C545" t="inlineStr">
        <is>
          <t>Month</t>
        </is>
      </c>
      <c r="D545" t="inlineStr">
        <is>
          <t>Index Points</t>
        </is>
      </c>
      <c r="E545" t="inlineStr">
        <is>
          <t>Original</t>
        </is>
      </c>
      <c r="F545" t="inlineStr">
        <is>
          <t>640103.xlsx</t>
        </is>
      </c>
      <c r="G545" t="inlineStr">
        <is>
          <t>2024-12</t>
        </is>
      </c>
      <c r="H545" t="inlineStr">
        <is>
          <t>2026-07</t>
        </is>
      </c>
      <c r="OH545" s="2">
        <v>6.53</v>
      </c>
      <c r="OM545" s="2">
        <v>6.72</v>
      </c>
      <c r="ON545" s="2">
        <v>6.73</v>
      </c>
      <c r="OO545" s="2">
        <v>6.73</v>
      </c>
      <c r="OP545" s="2">
        <v>6.84</v>
      </c>
      <c r="OQ545" s="2">
        <v>6.82</v>
      </c>
      <c r="OR545" s="2">
        <v>6.82</v>
      </c>
      <c r="OS545" s="2">
        <v>6.82</v>
      </c>
      <c r="OT545" s="2">
        <v>6.82</v>
      </c>
      <c r="OU545" s="2">
        <v>6.82</v>
      </c>
      <c r="OV545" s="2">
        <v>6.82</v>
      </c>
      <c r="OW545" s="2">
        <v>6.78</v>
      </c>
      <c r="OX545" s="2">
        <v>6.76</v>
      </c>
      <c r="PC545" s="2">
        <v>6.94</v>
      </c>
      <c r="PD545" s="2">
        <v>6.94</v>
      </c>
      <c r="PE545" s="2">
        <v>6.93</v>
      </c>
      <c r="PF545" s="2">
        <v>7.12</v>
      </c>
      <c r="PG545" s="2">
        <v>7.08</v>
      </c>
      <c r="PH545" s="2">
        <v>7.07</v>
      </c>
      <c r="PI545" s="2">
        <v>7.08</v>
      </c>
    </row>
    <row r="546">
      <c r="A546" t="inlineStr">
        <is>
          <t>A130397854J</t>
        </is>
      </c>
      <c r="B546" t="inlineStr">
        <is>
          <t>Contribution to All groups CPI Index Number ;  Medical products, appliances and equipment ;  Australia ;</t>
        </is>
      </c>
      <c r="C546" t="inlineStr">
        <is>
          <t>Month</t>
        </is>
      </c>
      <c r="D546" t="inlineStr">
        <is>
          <t>Index Points</t>
        </is>
      </c>
      <c r="E546" t="inlineStr">
        <is>
          <t>Original</t>
        </is>
      </c>
      <c r="F546" t="inlineStr">
        <is>
          <t>640103.xlsx</t>
        </is>
      </c>
      <c r="G546" t="inlineStr">
        <is>
          <t>2024-12</t>
        </is>
      </c>
      <c r="H546" t="inlineStr">
        <is>
          <t>2026-07</t>
        </is>
      </c>
      <c r="OH546" s="2">
        <v>1.06</v>
      </c>
      <c r="OM546" s="2">
        <v>1.11</v>
      </c>
      <c r="ON546" s="2">
        <v>1.12</v>
      </c>
      <c r="OO546" s="2">
        <v>1.11</v>
      </c>
      <c r="OP546" s="2">
        <v>1.1</v>
      </c>
      <c r="OQ546" s="2">
        <v>1.1</v>
      </c>
      <c r="OR546" s="2">
        <v>1.09</v>
      </c>
      <c r="OS546" s="2">
        <v>1.09</v>
      </c>
      <c r="OT546" s="2">
        <v>1.08</v>
      </c>
      <c r="OU546" s="2">
        <v>1.08</v>
      </c>
      <c r="OV546" s="2">
        <v>1.08</v>
      </c>
      <c r="OW546" s="2">
        <v>1.07</v>
      </c>
      <c r="OX546" s="2">
        <v>1.06</v>
      </c>
      <c r="PC546" s="2">
        <v>1.1</v>
      </c>
      <c r="PD546" s="2">
        <v>1.09</v>
      </c>
      <c r="PE546" s="2">
        <v>1.11</v>
      </c>
      <c r="PF546" s="2">
        <v>1.1</v>
      </c>
      <c r="PG546" s="2">
        <v>1.08</v>
      </c>
      <c r="PH546" s="2">
        <v>1.07</v>
      </c>
      <c r="PI546" s="2">
        <v>1.07</v>
      </c>
    </row>
    <row r="547">
      <c r="A547" t="inlineStr">
        <is>
          <t>A130393520K</t>
        </is>
      </c>
      <c r="B547" t="inlineStr">
        <is>
          <t>Contribution to All groups CPI Index Number ;  Pharmaceutical products ;  Australia ;</t>
        </is>
      </c>
      <c r="C547" t="inlineStr">
        <is>
          <t>Month</t>
        </is>
      </c>
      <c r="D547" t="inlineStr">
        <is>
          <t>Index Points</t>
        </is>
      </c>
      <c r="E547" t="inlineStr">
        <is>
          <t>Original</t>
        </is>
      </c>
      <c r="F547" t="inlineStr">
        <is>
          <t>640103.xlsx</t>
        </is>
      </c>
      <c r="G547" t="inlineStr">
        <is>
          <t>2024-12</t>
        </is>
      </c>
      <c r="H547" t="inlineStr">
        <is>
          <t>2026-07</t>
        </is>
      </c>
      <c r="OH547" s="2">
        <v>0.92</v>
      </c>
      <c r="OM547" s="2">
        <v>0.97</v>
      </c>
      <c r="ON547" s="2">
        <v>0.98</v>
      </c>
      <c r="OO547" s="2">
        <v>0.97</v>
      </c>
      <c r="OP547" s="2">
        <v>0.96</v>
      </c>
      <c r="OQ547" s="2">
        <v>0.95</v>
      </c>
      <c r="OR547" s="2">
        <v>0.95</v>
      </c>
      <c r="OS547" s="2">
        <v>0.9399999999999999</v>
      </c>
      <c r="OT547" s="2">
        <v>0.9399999999999999</v>
      </c>
      <c r="OU547" s="2">
        <v>0.93</v>
      </c>
      <c r="OV547" s="2">
        <v>0.93</v>
      </c>
      <c r="OW547" s="2">
        <v>0.92</v>
      </c>
      <c r="OX547" s="2">
        <v>0.92</v>
      </c>
      <c r="PC547" s="2">
        <v>0.96</v>
      </c>
      <c r="PD547" s="2">
        <v>0.95</v>
      </c>
      <c r="PE547" s="2">
        <v>0.96</v>
      </c>
      <c r="PF547" s="2">
        <v>0.96</v>
      </c>
      <c r="PG547" s="2">
        <v>0.93</v>
      </c>
      <c r="PH547" s="2">
        <v>0.93</v>
      </c>
      <c r="PI547" s="2">
        <v>0.93</v>
      </c>
    </row>
    <row r="548">
      <c r="A548" t="inlineStr">
        <is>
          <t>A130393485R</t>
        </is>
      </c>
      <c r="B548" t="inlineStr">
        <is>
          <t>Contribution to All groups CPI Index Number ;  Therapeutic appliances and equipment ;  Australia ;</t>
        </is>
      </c>
      <c r="C548" t="inlineStr">
        <is>
          <t>Month</t>
        </is>
      </c>
      <c r="D548" t="inlineStr">
        <is>
          <t>Index Points</t>
        </is>
      </c>
      <c r="E548" t="inlineStr">
        <is>
          <t>Original</t>
        </is>
      </c>
      <c r="F548" t="inlineStr">
        <is>
          <t>640103.xlsx</t>
        </is>
      </c>
      <c r="G548" t="inlineStr">
        <is>
          <t>2024-12</t>
        </is>
      </c>
      <c r="H548" t="inlineStr">
        <is>
          <t>2026-07</t>
        </is>
      </c>
      <c r="OH548" s="2">
        <v>0.14</v>
      </c>
      <c r="OM548" s="2">
        <v>0.14</v>
      </c>
      <c r="ON548" s="2">
        <v>0.14</v>
      </c>
      <c r="OO548" s="2">
        <v>0.14</v>
      </c>
      <c r="OP548" s="2">
        <v>0.14</v>
      </c>
      <c r="OQ548" s="2">
        <v>0.14</v>
      </c>
      <c r="OR548" s="2">
        <v>0.14</v>
      </c>
      <c r="OS548" s="2">
        <v>0.14</v>
      </c>
      <c r="OT548" s="2">
        <v>0.14</v>
      </c>
      <c r="OU548" s="2">
        <v>0.14</v>
      </c>
      <c r="OV548" s="2">
        <v>0.14</v>
      </c>
      <c r="OW548" s="2">
        <v>0.14</v>
      </c>
      <c r="OX548" s="2">
        <v>0.14</v>
      </c>
      <c r="PC548" s="2">
        <v>0.14</v>
      </c>
      <c r="PD548" s="2">
        <v>0.14</v>
      </c>
      <c r="PE548" s="2">
        <v>0.14</v>
      </c>
      <c r="PF548" s="2">
        <v>0.14</v>
      </c>
      <c r="PG548" s="2">
        <v>0.14</v>
      </c>
      <c r="PH548" s="2">
        <v>0.14</v>
      </c>
      <c r="PI548" s="2">
        <v>0.14</v>
      </c>
    </row>
    <row r="549">
      <c r="A549" t="inlineStr">
        <is>
          <t>A130390286V</t>
        </is>
      </c>
      <c r="B549" t="inlineStr">
        <is>
          <t>Contribution to All groups CPI Index Number ;  Medical, dental and hospital services ;  Australia ;</t>
        </is>
      </c>
      <c r="C549" t="inlineStr">
        <is>
          <t>Month</t>
        </is>
      </c>
      <c r="D549" t="inlineStr">
        <is>
          <t>Index Points</t>
        </is>
      </c>
      <c r="E549" t="inlineStr">
        <is>
          <t>Original</t>
        </is>
      </c>
      <c r="F549" t="inlineStr">
        <is>
          <t>640103.xlsx</t>
        </is>
      </c>
      <c r="G549" t="inlineStr">
        <is>
          <t>2024-12</t>
        </is>
      </c>
      <c r="H549" t="inlineStr">
        <is>
          <t>2026-07</t>
        </is>
      </c>
      <c r="OH549" s="2">
        <v>5.46</v>
      </c>
      <c r="OM549" s="2">
        <v>5.61</v>
      </c>
      <c r="ON549" s="2">
        <v>5.61</v>
      </c>
      <c r="OO549" s="2">
        <v>5.62</v>
      </c>
      <c r="OP549" s="2">
        <v>5.74</v>
      </c>
      <c r="OQ549" s="2">
        <v>5.73</v>
      </c>
      <c r="OR549" s="2">
        <v>5.73</v>
      </c>
      <c r="OS549" s="2">
        <v>5.73</v>
      </c>
      <c r="OT549" s="2">
        <v>5.74</v>
      </c>
      <c r="OU549" s="2">
        <v>5.74</v>
      </c>
      <c r="OV549" s="2">
        <v>5.74</v>
      </c>
      <c r="OW549" s="2">
        <v>5.72</v>
      </c>
      <c r="OX549" s="2">
        <v>5.69</v>
      </c>
      <c r="PC549" s="2">
        <v>5.84</v>
      </c>
      <c r="PD549" s="2">
        <v>5.85</v>
      </c>
      <c r="PE549" s="2">
        <v>5.83</v>
      </c>
      <c r="PF549" s="2">
        <v>6.01</v>
      </c>
      <c r="PG549" s="2">
        <v>6</v>
      </c>
      <c r="PH549" s="2">
        <v>6</v>
      </c>
      <c r="PI549" s="2">
        <v>6.01</v>
      </c>
    </row>
    <row r="550">
      <c r="A550" t="inlineStr">
        <is>
          <t>A130390923X</t>
        </is>
      </c>
      <c r="B550" t="inlineStr">
        <is>
          <t>Contribution to All groups CPI Index Number ;  Medical and hospital services ;  Australia ;</t>
        </is>
      </c>
      <c r="C550" t="inlineStr">
        <is>
          <t>Month</t>
        </is>
      </c>
      <c r="D550" t="inlineStr">
        <is>
          <t>Index Points</t>
        </is>
      </c>
      <c r="E550" t="inlineStr">
        <is>
          <t>Original</t>
        </is>
      </c>
      <c r="F550" t="inlineStr">
        <is>
          <t>640103.xlsx</t>
        </is>
      </c>
      <c r="G550" t="inlineStr">
        <is>
          <t>2024-12</t>
        </is>
      </c>
      <c r="H550" t="inlineStr">
        <is>
          <t>2026-07</t>
        </is>
      </c>
      <c r="OH550" s="2">
        <v>4.88</v>
      </c>
      <c r="OM550" s="2">
        <v>5.03</v>
      </c>
      <c r="ON550" s="2">
        <v>5.03</v>
      </c>
      <c r="OO550" s="2">
        <v>5.03</v>
      </c>
      <c r="OP550" s="2">
        <v>5.15</v>
      </c>
      <c r="OQ550" s="2">
        <v>5.14</v>
      </c>
      <c r="OR550" s="2">
        <v>5.14</v>
      </c>
      <c r="OS550" s="2">
        <v>5.14</v>
      </c>
      <c r="OT550" s="2">
        <v>5.14</v>
      </c>
      <c r="OU550" s="2">
        <v>5.14</v>
      </c>
      <c r="OV550" s="2">
        <v>5.14</v>
      </c>
      <c r="OW550" s="2">
        <v>5.12</v>
      </c>
      <c r="OX550" s="2">
        <v>5.09</v>
      </c>
      <c r="PC550" s="2">
        <v>5.24</v>
      </c>
      <c r="PD550" s="2">
        <v>5.25</v>
      </c>
      <c r="PE550" s="2">
        <v>5.22</v>
      </c>
      <c r="PF550" s="2">
        <v>5.4</v>
      </c>
      <c r="PG550" s="2">
        <v>5.4</v>
      </c>
      <c r="PH550" s="2">
        <v>5.4</v>
      </c>
      <c r="PI550" s="2">
        <v>5.39</v>
      </c>
    </row>
    <row r="551">
      <c r="A551" t="inlineStr">
        <is>
          <t>A130393499C</t>
        </is>
      </c>
      <c r="B551" t="inlineStr">
        <is>
          <t>Contribution to All groups CPI Index Number ;  Dental services ;  Australia ;</t>
        </is>
      </c>
      <c r="C551" t="inlineStr">
        <is>
          <t>Month</t>
        </is>
      </c>
      <c r="D551" t="inlineStr">
        <is>
          <t>Index Points</t>
        </is>
      </c>
      <c r="E551" t="inlineStr">
        <is>
          <t>Original</t>
        </is>
      </c>
      <c r="F551" t="inlineStr">
        <is>
          <t>640103.xlsx</t>
        </is>
      </c>
      <c r="G551" t="inlineStr">
        <is>
          <t>2024-12</t>
        </is>
      </c>
      <c r="H551" t="inlineStr">
        <is>
          <t>2026-07</t>
        </is>
      </c>
      <c r="OH551" s="2">
        <v>0.58</v>
      </c>
      <c r="OM551" s="2">
        <v>0.58</v>
      </c>
      <c r="ON551" s="2">
        <v>0.58</v>
      </c>
      <c r="OO551" s="2">
        <v>0.59</v>
      </c>
      <c r="OP551" s="2">
        <v>0.59</v>
      </c>
      <c r="OQ551" s="2">
        <v>0.59</v>
      </c>
      <c r="OR551" s="2">
        <v>0.59</v>
      </c>
      <c r="OS551" s="2">
        <v>0.59</v>
      </c>
      <c r="OT551" s="2">
        <v>0.6</v>
      </c>
      <c r="OU551" s="2">
        <v>0.6</v>
      </c>
      <c r="OV551" s="2">
        <v>0.6</v>
      </c>
      <c r="OW551" s="2">
        <v>0.6</v>
      </c>
      <c r="OX551" s="2">
        <v>0.6</v>
      </c>
      <c r="PC551" s="2">
        <v>0.6</v>
      </c>
      <c r="PD551" s="2">
        <v>0.6</v>
      </c>
      <c r="PE551" s="2">
        <v>0.6</v>
      </c>
      <c r="PF551" s="2">
        <v>0.61</v>
      </c>
      <c r="PG551" s="2">
        <v>0.61</v>
      </c>
      <c r="PH551" s="2">
        <v>0.61</v>
      </c>
      <c r="PI551" s="2">
        <v>0.61</v>
      </c>
    </row>
    <row r="552">
      <c r="A552" t="inlineStr">
        <is>
          <t>A130396691J</t>
        </is>
      </c>
      <c r="B552" t="inlineStr">
        <is>
          <t>Contribution to All groups CPI Index Number ;  Transport ;  Australia ;</t>
        </is>
      </c>
      <c r="C552" t="inlineStr">
        <is>
          <t>Month</t>
        </is>
      </c>
      <c r="D552" t="inlineStr">
        <is>
          <t>Index Points</t>
        </is>
      </c>
      <c r="E552" t="inlineStr">
        <is>
          <t>Original</t>
        </is>
      </c>
      <c r="F552" t="inlineStr">
        <is>
          <t>640103.xlsx</t>
        </is>
      </c>
      <c r="G552" t="inlineStr">
        <is>
          <t>2024-12</t>
        </is>
      </c>
      <c r="H552" t="inlineStr">
        <is>
          <t>2026-07</t>
        </is>
      </c>
      <c r="OH552" s="2">
        <v>11.18</v>
      </c>
      <c r="OM552" s="2">
        <v>11.16</v>
      </c>
      <c r="ON552" s="2">
        <v>11.23</v>
      </c>
      <c r="OO552" s="2">
        <v>11.23</v>
      </c>
      <c r="OP552" s="2">
        <v>11.16</v>
      </c>
      <c r="OQ552" s="2">
        <v>11.08</v>
      </c>
      <c r="OR552" s="2">
        <v>11.12</v>
      </c>
      <c r="OS552" s="2">
        <v>11.24</v>
      </c>
      <c r="OT552" s="2">
        <v>11.28</v>
      </c>
      <c r="OU552" s="2">
        <v>11.29</v>
      </c>
      <c r="OV552" s="2">
        <v>11.32</v>
      </c>
      <c r="OW552" s="2">
        <v>11.35</v>
      </c>
      <c r="OX552" s="2">
        <v>11.36</v>
      </c>
      <c r="PC552" s="2">
        <v>11.28</v>
      </c>
      <c r="PD552" s="2">
        <v>11.21</v>
      </c>
      <c r="PE552" s="2">
        <v>12.23</v>
      </c>
      <c r="PF552" s="2">
        <v>11.9</v>
      </c>
      <c r="PG552" s="2">
        <v>11.44</v>
      </c>
      <c r="PH552" s="2">
        <v>11.13</v>
      </c>
      <c r="PI552" s="2">
        <v>11.43</v>
      </c>
    </row>
    <row r="553">
      <c r="A553" t="inlineStr">
        <is>
          <t>A130391791A</t>
        </is>
      </c>
      <c r="B553" t="inlineStr">
        <is>
          <t>Contribution to All groups CPI Index Number ;  Private motoring ;  Australia ;</t>
        </is>
      </c>
      <c r="C553" t="inlineStr">
        <is>
          <t>Month</t>
        </is>
      </c>
      <c r="D553" t="inlineStr">
        <is>
          <t>Index Points</t>
        </is>
      </c>
      <c r="E553" t="inlineStr">
        <is>
          <t>Original</t>
        </is>
      </c>
      <c r="F553" t="inlineStr">
        <is>
          <t>640103.xlsx</t>
        </is>
      </c>
      <c r="G553" t="inlineStr">
        <is>
          <t>2024-12</t>
        </is>
      </c>
      <c r="H553" t="inlineStr">
        <is>
          <t>2026-07</t>
        </is>
      </c>
      <c r="OH553" s="2">
        <v>10.84</v>
      </c>
      <c r="OM553" s="2">
        <v>10.82</v>
      </c>
      <c r="ON553" s="2">
        <v>10.88</v>
      </c>
      <c r="OO553" s="2">
        <v>10.89</v>
      </c>
      <c r="OP553" s="2">
        <v>10.82</v>
      </c>
      <c r="OQ553" s="2">
        <v>10.73</v>
      </c>
      <c r="OR553" s="2">
        <v>10.78</v>
      </c>
      <c r="OS553" s="2">
        <v>10.89</v>
      </c>
      <c r="OT553" s="2">
        <v>10.92</v>
      </c>
      <c r="OU553" s="2">
        <v>10.93</v>
      </c>
      <c r="OV553" s="2">
        <v>10.97</v>
      </c>
      <c r="OW553" s="2">
        <v>11</v>
      </c>
      <c r="OX553" s="2">
        <v>11.02</v>
      </c>
      <c r="PC553" s="2">
        <v>10.95</v>
      </c>
      <c r="PD553" s="2">
        <v>10.87</v>
      </c>
      <c r="PE553" s="2">
        <v>11.89</v>
      </c>
      <c r="PF553" s="2">
        <v>11.63</v>
      </c>
      <c r="PG553" s="2">
        <v>11.17</v>
      </c>
      <c r="PH553" s="2">
        <v>10.83</v>
      </c>
      <c r="PI553" s="2">
        <v>11.12</v>
      </c>
    </row>
    <row r="554">
      <c r="A554" t="inlineStr">
        <is>
          <t>A130395837V</t>
        </is>
      </c>
      <c r="B554" t="inlineStr">
        <is>
          <t>Contribution to All groups CPI Index Number ;  Motor vehicles ;  Australia ;</t>
        </is>
      </c>
      <c r="C554" t="inlineStr">
        <is>
          <t>Month</t>
        </is>
      </c>
      <c r="D554" t="inlineStr">
        <is>
          <t>Index Points</t>
        </is>
      </c>
      <c r="E554" t="inlineStr">
        <is>
          <t>Original</t>
        </is>
      </c>
      <c r="F554" t="inlineStr">
        <is>
          <t>640103.xlsx</t>
        </is>
      </c>
      <c r="G554" t="inlineStr">
        <is>
          <t>2024-12</t>
        </is>
      </c>
      <c r="H554" t="inlineStr">
        <is>
          <t>2026-07</t>
        </is>
      </c>
      <c r="OH554" s="2">
        <v>3.41</v>
      </c>
      <c r="OM554" s="2">
        <v>3.41</v>
      </c>
      <c r="ON554" s="2">
        <v>3.41</v>
      </c>
      <c r="OO554" s="2">
        <v>3.42</v>
      </c>
      <c r="OP554" s="2">
        <v>3.43</v>
      </c>
      <c r="OQ554" s="2">
        <v>3.42</v>
      </c>
      <c r="OR554" s="2">
        <v>3.37</v>
      </c>
      <c r="OS554" s="2">
        <v>3.44</v>
      </c>
      <c r="OT554" s="2">
        <v>3.44</v>
      </c>
      <c r="OU554" s="2">
        <v>3.41</v>
      </c>
      <c r="OV554" s="2">
        <v>3.44</v>
      </c>
      <c r="OW554" s="2">
        <v>3.38</v>
      </c>
      <c r="OX554" s="2">
        <v>3.44</v>
      </c>
      <c r="PC554" s="2">
        <v>3.46</v>
      </c>
      <c r="PD554" s="2">
        <v>3.45</v>
      </c>
      <c r="PE554" s="2">
        <v>3.46</v>
      </c>
      <c r="PF554" s="2">
        <v>3.47</v>
      </c>
      <c r="PG554" s="2">
        <v>3.43</v>
      </c>
      <c r="PH554" s="2">
        <v>3.44</v>
      </c>
      <c r="PI554" s="2">
        <v>3.46</v>
      </c>
    </row>
    <row r="555">
      <c r="A555" t="inlineStr">
        <is>
          <t>A130393394J</t>
        </is>
      </c>
      <c r="B555" t="inlineStr">
        <is>
          <t>Contribution to All groups CPI Index Number ;  Spare parts and accessories for motor vehicles ;  Australia ;</t>
        </is>
      </c>
      <c r="C555" t="inlineStr">
        <is>
          <t>Month</t>
        </is>
      </c>
      <c r="D555" t="inlineStr">
        <is>
          <t>Index Points</t>
        </is>
      </c>
      <c r="E555" t="inlineStr">
        <is>
          <t>Original</t>
        </is>
      </c>
      <c r="F555" t="inlineStr">
        <is>
          <t>640103.xlsx</t>
        </is>
      </c>
      <c r="G555" t="inlineStr">
        <is>
          <t>2024-12</t>
        </is>
      </c>
      <c r="H555" t="inlineStr">
        <is>
          <t>2026-07</t>
        </is>
      </c>
      <c r="OH555" s="2">
        <v>0.85</v>
      </c>
      <c r="OM555" s="2">
        <v>0.86</v>
      </c>
      <c r="ON555" s="2">
        <v>0.87</v>
      </c>
      <c r="OO555" s="2">
        <v>0.88</v>
      </c>
      <c r="OP555" s="2">
        <v>0.87</v>
      </c>
      <c r="OQ555" s="2">
        <v>0.88</v>
      </c>
      <c r="OR555" s="2">
        <v>0.87</v>
      </c>
      <c r="OS555" s="2">
        <v>0.87</v>
      </c>
      <c r="OT555" s="2">
        <v>0.86</v>
      </c>
      <c r="OU555" s="2">
        <v>0.86</v>
      </c>
      <c r="OV555" s="2">
        <v>0.88</v>
      </c>
      <c r="OW555" s="2">
        <v>0.87</v>
      </c>
      <c r="OX555" s="2">
        <v>0.85</v>
      </c>
      <c r="PC555" s="2">
        <v>0.86</v>
      </c>
      <c r="PD555" s="2">
        <v>0.86</v>
      </c>
      <c r="PE555" s="2">
        <v>0.86</v>
      </c>
      <c r="PF555" s="2">
        <v>0.86</v>
      </c>
      <c r="PG555" s="2">
        <v>0.87</v>
      </c>
      <c r="PH555" s="2">
        <v>0.88</v>
      </c>
      <c r="PI555" s="2">
        <v>0.88</v>
      </c>
    </row>
    <row r="556">
      <c r="A556" t="inlineStr">
        <is>
          <t>A130398323R</t>
        </is>
      </c>
      <c r="B556" t="inlineStr">
        <is>
          <t>Contribution to All groups CPI Index Number ;  Automotive fuel ;  Australia ;</t>
        </is>
      </c>
      <c r="C556" t="inlineStr">
        <is>
          <t>Month</t>
        </is>
      </c>
      <c r="D556" t="inlineStr">
        <is>
          <t>Index Points</t>
        </is>
      </c>
      <c r="E556" t="inlineStr">
        <is>
          <t>Original</t>
        </is>
      </c>
      <c r="F556" t="inlineStr">
        <is>
          <t>640103.xlsx</t>
        </is>
      </c>
      <c r="G556" t="inlineStr">
        <is>
          <t>2024-12</t>
        </is>
      </c>
      <c r="H556" t="inlineStr">
        <is>
          <t>2026-07</t>
        </is>
      </c>
      <c r="OH556" s="2">
        <v>3.33</v>
      </c>
      <c r="OM556" s="2">
        <v>3.28</v>
      </c>
      <c r="ON556" s="2">
        <v>3.32</v>
      </c>
      <c r="OO556" s="2">
        <v>3.29</v>
      </c>
      <c r="OP556" s="2">
        <v>3.21</v>
      </c>
      <c r="OQ556" s="2">
        <v>3.11</v>
      </c>
      <c r="OR556" s="2">
        <v>3.23</v>
      </c>
      <c r="OS556" s="2">
        <v>3.23</v>
      </c>
      <c r="OT556" s="2">
        <v>3.25</v>
      </c>
      <c r="OU556" s="2">
        <v>3.27</v>
      </c>
      <c r="OV556" s="2">
        <v>3.24</v>
      </c>
      <c r="OW556" s="2">
        <v>3.32</v>
      </c>
      <c r="OX556" s="2">
        <v>3.3</v>
      </c>
      <c r="PC556" s="2">
        <v>3.19</v>
      </c>
      <c r="PD556" s="2">
        <v>3.08</v>
      </c>
      <c r="PE556" s="2">
        <v>4.09</v>
      </c>
      <c r="PF556" s="2">
        <v>3.81</v>
      </c>
      <c r="PG556" s="2">
        <v>3.35</v>
      </c>
      <c r="PH556" s="2">
        <v>2.99</v>
      </c>
      <c r="PI556" s="2">
        <v>3.21</v>
      </c>
    </row>
    <row r="557">
      <c r="A557" t="inlineStr">
        <is>
          <t>A130392113J</t>
        </is>
      </c>
      <c r="B557" t="inlineStr">
        <is>
          <t>Contribution to All groups CPI Index Number ;  Maintenance and repair of motor vehicles ;  Australia ;</t>
        </is>
      </c>
      <c r="C557" t="inlineStr">
        <is>
          <t>Month</t>
        </is>
      </c>
      <c r="D557" t="inlineStr">
        <is>
          <t>Index Points</t>
        </is>
      </c>
      <c r="E557" t="inlineStr">
        <is>
          <t>Original</t>
        </is>
      </c>
      <c r="F557" t="inlineStr">
        <is>
          <t>640103.xlsx</t>
        </is>
      </c>
      <c r="G557" t="inlineStr">
        <is>
          <t>2024-12</t>
        </is>
      </c>
      <c r="H557" t="inlineStr">
        <is>
          <t>2026-07</t>
        </is>
      </c>
      <c r="OH557" s="2">
        <v>2</v>
      </c>
      <c r="OM557" s="2">
        <v>2</v>
      </c>
      <c r="ON557" s="2">
        <v>2.01</v>
      </c>
      <c r="OO557" s="2">
        <v>2.01</v>
      </c>
      <c r="OP557" s="2">
        <v>2.03</v>
      </c>
      <c r="OQ557" s="2">
        <v>2.04</v>
      </c>
      <c r="OR557" s="2">
        <v>2.04</v>
      </c>
      <c r="OS557" s="2">
        <v>2.06</v>
      </c>
      <c r="OT557" s="2">
        <v>2.07</v>
      </c>
      <c r="OU557" s="2">
        <v>2.07</v>
      </c>
      <c r="OV557" s="2">
        <v>2.08</v>
      </c>
      <c r="OW557" s="2">
        <v>2.09</v>
      </c>
      <c r="OX557" s="2">
        <v>2.09</v>
      </c>
      <c r="PC557" s="2">
        <v>2.1</v>
      </c>
      <c r="PD557" s="2">
        <v>2.13</v>
      </c>
      <c r="PE557" s="2">
        <v>2.13</v>
      </c>
      <c r="PF557" s="2">
        <v>2.14</v>
      </c>
      <c r="PG557" s="2">
        <v>2.16</v>
      </c>
      <c r="PH557" s="2">
        <v>2.17</v>
      </c>
      <c r="PI557" s="2">
        <v>2.18</v>
      </c>
    </row>
    <row r="558">
      <c r="A558" t="inlineStr">
        <is>
          <t>A130390853C</t>
        </is>
      </c>
      <c r="B558" t="inlineStr">
        <is>
          <t>Contribution to All groups CPI Index Number ;  Other services in respect of motor vehicles ;  Australia ;</t>
        </is>
      </c>
      <c r="C558" t="inlineStr">
        <is>
          <t>Month</t>
        </is>
      </c>
      <c r="D558" t="inlineStr">
        <is>
          <t>Index Points</t>
        </is>
      </c>
      <c r="E558" t="inlineStr">
        <is>
          <t>Original</t>
        </is>
      </c>
      <c r="F558" t="inlineStr">
        <is>
          <t>640103.xlsx</t>
        </is>
      </c>
      <c r="G558" t="inlineStr">
        <is>
          <t>2024-12</t>
        </is>
      </c>
      <c r="H558" t="inlineStr">
        <is>
          <t>2026-07</t>
        </is>
      </c>
      <c r="OH558" s="2">
        <v>1.27</v>
      </c>
      <c r="OM558" s="2">
        <v>1.27</v>
      </c>
      <c r="ON558" s="2">
        <v>1.27</v>
      </c>
      <c r="OO558" s="2">
        <v>1.28</v>
      </c>
      <c r="OP558" s="2">
        <v>1.28</v>
      </c>
      <c r="OQ558" s="2">
        <v>1.28</v>
      </c>
      <c r="OR558" s="2">
        <v>1.28</v>
      </c>
      <c r="OS558" s="2">
        <v>1.31</v>
      </c>
      <c r="OT558" s="2">
        <v>1.3</v>
      </c>
      <c r="OU558" s="2">
        <v>1.33</v>
      </c>
      <c r="OV558" s="2">
        <v>1.33</v>
      </c>
      <c r="OW558" s="2">
        <v>1.34</v>
      </c>
      <c r="OX558" s="2">
        <v>1.34</v>
      </c>
      <c r="PC558" s="2">
        <v>1.34</v>
      </c>
      <c r="PD558" s="2">
        <v>1.34</v>
      </c>
      <c r="PE558" s="2">
        <v>1.34</v>
      </c>
      <c r="PF558" s="2">
        <v>1.35</v>
      </c>
      <c r="PG558" s="2">
        <v>1.35</v>
      </c>
      <c r="PH558" s="2">
        <v>1.35</v>
      </c>
      <c r="PI558" s="2">
        <v>1.38</v>
      </c>
    </row>
    <row r="559">
      <c r="A559" t="inlineStr">
        <is>
          <t>A130393121A</t>
        </is>
      </c>
      <c r="B559" t="inlineStr">
        <is>
          <t>Contribution to All groups CPI Index Number ;  Urban transport fares ;  Australia ;</t>
        </is>
      </c>
      <c r="C559" t="inlineStr">
        <is>
          <t>Month</t>
        </is>
      </c>
      <c r="D559" t="inlineStr">
        <is>
          <t>Index Points</t>
        </is>
      </c>
      <c r="E559" t="inlineStr">
        <is>
          <t>Original</t>
        </is>
      </c>
      <c r="F559" t="inlineStr">
        <is>
          <t>640103.xlsx</t>
        </is>
      </c>
      <c r="G559" t="inlineStr">
        <is>
          <t>2024-12</t>
        </is>
      </c>
      <c r="H559" t="inlineStr">
        <is>
          <t>2026-07</t>
        </is>
      </c>
      <c r="OH559" s="2">
        <v>0.33</v>
      </c>
      <c r="OM559" s="2">
        <v>0.33</v>
      </c>
      <c r="ON559" s="2">
        <v>0.34</v>
      </c>
      <c r="OO559" s="2">
        <v>0.35</v>
      </c>
      <c r="OP559" s="2">
        <v>0.35</v>
      </c>
      <c r="OQ559" s="2">
        <v>0.35</v>
      </c>
      <c r="OR559" s="2">
        <v>0.35</v>
      </c>
      <c r="OS559" s="2">
        <v>0.35</v>
      </c>
      <c r="OT559" s="2">
        <v>0.35</v>
      </c>
      <c r="OU559" s="2">
        <v>0.35</v>
      </c>
      <c r="OV559" s="2">
        <v>0.35</v>
      </c>
      <c r="OW559" s="2">
        <v>0.35</v>
      </c>
      <c r="OX559" s="2">
        <v>0.33</v>
      </c>
      <c r="PC559" s="2">
        <v>0.33</v>
      </c>
      <c r="PD559" s="2">
        <v>0.34</v>
      </c>
      <c r="PE559" s="2">
        <v>0.34</v>
      </c>
      <c r="PF559" s="2">
        <v>0.27</v>
      </c>
      <c r="PG559" s="2">
        <v>0.27</v>
      </c>
      <c r="PH559" s="2">
        <v>0.31</v>
      </c>
      <c r="PI559" s="2">
        <v>0.31</v>
      </c>
    </row>
    <row r="560">
      <c r="A560" t="inlineStr">
        <is>
          <t>A130398365L</t>
        </is>
      </c>
      <c r="B560" t="inlineStr">
        <is>
          <t>Contribution to All groups CPI Index Number ;  Urban transport fares ;  Australia ;</t>
        </is>
      </c>
      <c r="C560" t="inlineStr">
        <is>
          <t>Month</t>
        </is>
      </c>
      <c r="D560" t="inlineStr">
        <is>
          <t>Index Points</t>
        </is>
      </c>
      <c r="E560" t="inlineStr">
        <is>
          <t>Original</t>
        </is>
      </c>
      <c r="F560" t="inlineStr">
        <is>
          <t>640103.xlsx</t>
        </is>
      </c>
      <c r="G560" t="inlineStr">
        <is>
          <t>2024-12</t>
        </is>
      </c>
      <c r="H560" t="inlineStr">
        <is>
          <t>2026-07</t>
        </is>
      </c>
      <c r="OH560" s="2">
        <v>0.33</v>
      </c>
      <c r="OM560" s="2">
        <v>0.33</v>
      </c>
      <c r="ON560" s="2">
        <v>0.34</v>
      </c>
      <c r="OO560" s="2">
        <v>0.35</v>
      </c>
      <c r="OP560" s="2">
        <v>0.35</v>
      </c>
      <c r="OQ560" s="2">
        <v>0.35</v>
      </c>
      <c r="OR560" s="2">
        <v>0.35</v>
      </c>
      <c r="OS560" s="2">
        <v>0.35</v>
      </c>
      <c r="OT560" s="2">
        <v>0.35</v>
      </c>
      <c r="OU560" s="2">
        <v>0.35</v>
      </c>
      <c r="OV560" s="2">
        <v>0.35</v>
      </c>
      <c r="OW560" s="2">
        <v>0.35</v>
      </c>
      <c r="OX560" s="2">
        <v>0.33</v>
      </c>
      <c r="PC560" s="2">
        <v>0.33</v>
      </c>
      <c r="PD560" s="2">
        <v>0.34</v>
      </c>
      <c r="PE560" s="2">
        <v>0.34</v>
      </c>
      <c r="PF560" s="2">
        <v>0.27</v>
      </c>
      <c r="PG560" s="2">
        <v>0.27</v>
      </c>
      <c r="PH560" s="2">
        <v>0.31</v>
      </c>
      <c r="PI560" s="2">
        <v>0.31</v>
      </c>
    </row>
    <row r="561">
      <c r="A561" t="inlineStr">
        <is>
          <t>A130391294L</t>
        </is>
      </c>
      <c r="B561" t="inlineStr">
        <is>
          <t>Contribution to All groups CPI Index Number ;  Communication ;  Australia ;</t>
        </is>
      </c>
      <c r="C561" t="inlineStr">
        <is>
          <t>Month</t>
        </is>
      </c>
      <c r="D561" t="inlineStr">
        <is>
          <t>Index Points</t>
        </is>
      </c>
      <c r="E561" t="inlineStr">
        <is>
          <t>Original</t>
        </is>
      </c>
      <c r="F561" t="inlineStr">
        <is>
          <t>640103.xlsx</t>
        </is>
      </c>
      <c r="G561" t="inlineStr">
        <is>
          <t>2024-12</t>
        </is>
      </c>
      <c r="H561" t="inlineStr">
        <is>
          <t>2026-07</t>
        </is>
      </c>
      <c r="OH561" s="2">
        <v>2.06</v>
      </c>
      <c r="OM561" s="2">
        <v>2.05</v>
      </c>
      <c r="ON561" s="2">
        <v>2.07</v>
      </c>
      <c r="OO561" s="2">
        <v>2.07</v>
      </c>
      <c r="OP561" s="2">
        <v>2.07</v>
      </c>
      <c r="OQ561" s="2">
        <v>2.06</v>
      </c>
      <c r="OR561" s="2">
        <v>2.05</v>
      </c>
      <c r="OS561" s="2">
        <v>2.08</v>
      </c>
      <c r="OT561" s="2">
        <v>2.09</v>
      </c>
      <c r="OU561" s="2">
        <v>2.09</v>
      </c>
      <c r="OV561" s="2">
        <v>2.08</v>
      </c>
      <c r="OW561" s="2">
        <v>2.09</v>
      </c>
      <c r="OX561" s="2">
        <v>2.08</v>
      </c>
      <c r="PC561" s="2">
        <v>2.08</v>
      </c>
      <c r="PD561" s="2">
        <v>2.09</v>
      </c>
      <c r="PE561" s="2">
        <v>2.1</v>
      </c>
      <c r="PF561" s="2">
        <v>2.1</v>
      </c>
      <c r="PG561" s="2">
        <v>2.11</v>
      </c>
      <c r="PH561" s="2">
        <v>2.09</v>
      </c>
      <c r="PI561" s="2">
        <v>2.13</v>
      </c>
    </row>
    <row r="562">
      <c r="A562" t="inlineStr">
        <is>
          <t>A130390482C</t>
        </is>
      </c>
      <c r="B562" t="inlineStr">
        <is>
          <t>Contribution to All groups CPI Index Number ;  Communication ;  Australia ;</t>
        </is>
      </c>
      <c r="C562" t="inlineStr">
        <is>
          <t>Month</t>
        </is>
      </c>
      <c r="D562" t="inlineStr">
        <is>
          <t>Index Points</t>
        </is>
      </c>
      <c r="E562" t="inlineStr">
        <is>
          <t>Original</t>
        </is>
      </c>
      <c r="F562" t="inlineStr">
        <is>
          <t>640103.xlsx</t>
        </is>
      </c>
      <c r="G562" t="inlineStr">
        <is>
          <t>2024-12</t>
        </is>
      </c>
      <c r="H562" t="inlineStr">
        <is>
          <t>2026-07</t>
        </is>
      </c>
      <c r="OH562" s="2">
        <v>2.06</v>
      </c>
      <c r="OM562" s="2">
        <v>2.05</v>
      </c>
      <c r="ON562" s="2">
        <v>2.07</v>
      </c>
      <c r="OO562" s="2">
        <v>2.07</v>
      </c>
      <c r="OP562" s="2">
        <v>2.07</v>
      </c>
      <c r="OQ562" s="2">
        <v>2.06</v>
      </c>
      <c r="OR562" s="2">
        <v>2.05</v>
      </c>
      <c r="OS562" s="2">
        <v>2.08</v>
      </c>
      <c r="OT562" s="2">
        <v>2.09</v>
      </c>
      <c r="OU562" s="2">
        <v>2.09</v>
      </c>
      <c r="OV562" s="2">
        <v>2.08</v>
      </c>
      <c r="OW562" s="2">
        <v>2.09</v>
      </c>
      <c r="OX562" s="2">
        <v>2.08</v>
      </c>
      <c r="PC562" s="2">
        <v>2.08</v>
      </c>
      <c r="PD562" s="2">
        <v>2.09</v>
      </c>
      <c r="PE562" s="2">
        <v>2.1</v>
      </c>
      <c r="PF562" s="2">
        <v>2.1</v>
      </c>
      <c r="PG562" s="2">
        <v>2.11</v>
      </c>
      <c r="PH562" s="2">
        <v>2.09</v>
      </c>
      <c r="PI562" s="2">
        <v>2.13</v>
      </c>
    </row>
    <row r="563">
      <c r="A563" t="inlineStr">
        <is>
          <t>A130399551K</t>
        </is>
      </c>
      <c r="B563" t="inlineStr">
        <is>
          <t>Contribution to All groups CPI Index Number ;  Postal services ;  Australia ;</t>
        </is>
      </c>
      <c r="C563" t="inlineStr">
        <is>
          <t>Month</t>
        </is>
      </c>
      <c r="D563" t="inlineStr">
        <is>
          <t>Index Points</t>
        </is>
      </c>
      <c r="E563" t="inlineStr">
        <is>
          <t>Original</t>
        </is>
      </c>
      <c r="F563" t="inlineStr">
        <is>
          <t>640103.xlsx</t>
        </is>
      </c>
      <c r="G563" t="inlineStr">
        <is>
          <t>2024-12</t>
        </is>
      </c>
      <c r="H563" t="inlineStr">
        <is>
          <t>2026-07</t>
        </is>
      </c>
      <c r="OH563" s="2">
        <v>0.1</v>
      </c>
      <c r="OM563" s="2">
        <v>0.1</v>
      </c>
      <c r="ON563" s="2">
        <v>0.1</v>
      </c>
      <c r="OO563" s="2">
        <v>0.1</v>
      </c>
      <c r="OP563" s="2">
        <v>0.1</v>
      </c>
      <c r="OQ563" s="2">
        <v>0.1</v>
      </c>
      <c r="OR563" s="2">
        <v>0.1</v>
      </c>
      <c r="OS563" s="2">
        <v>0.1</v>
      </c>
      <c r="OT563" s="2">
        <v>0.1</v>
      </c>
      <c r="OU563" s="2">
        <v>0.1</v>
      </c>
      <c r="OV563" s="2">
        <v>0.11</v>
      </c>
      <c r="OW563" s="2">
        <v>0.11</v>
      </c>
      <c r="OX563" s="2">
        <v>0.11</v>
      </c>
      <c r="PC563" s="2">
        <v>0.11</v>
      </c>
      <c r="PD563" s="2">
        <v>0.11</v>
      </c>
      <c r="PE563" s="2">
        <v>0.11</v>
      </c>
      <c r="PF563" s="2">
        <v>0.12</v>
      </c>
      <c r="PG563" s="2">
        <v>0.11</v>
      </c>
      <c r="PH563" s="2">
        <v>0.11</v>
      </c>
      <c r="PI563" s="2">
        <v>0.11</v>
      </c>
    </row>
    <row r="564">
      <c r="A564" t="inlineStr">
        <is>
          <t>A130398295T</t>
        </is>
      </c>
      <c r="B564" t="inlineStr">
        <is>
          <t>Contribution to All groups CPI Index Number ;  Telecommunication equipment and services ;  Australia ;</t>
        </is>
      </c>
      <c r="C564" t="inlineStr">
        <is>
          <t>Month</t>
        </is>
      </c>
      <c r="D564" t="inlineStr">
        <is>
          <t>Index Points</t>
        </is>
      </c>
      <c r="E564" t="inlineStr">
        <is>
          <t>Original</t>
        </is>
      </c>
      <c r="F564" t="inlineStr">
        <is>
          <t>640103.xlsx</t>
        </is>
      </c>
      <c r="G564" t="inlineStr">
        <is>
          <t>2024-12</t>
        </is>
      </c>
      <c r="H564" t="inlineStr">
        <is>
          <t>2026-07</t>
        </is>
      </c>
      <c r="OH564" s="2">
        <v>1.96</v>
      </c>
      <c r="OM564" s="2">
        <v>1.95</v>
      </c>
      <c r="ON564" s="2">
        <v>1.97</v>
      </c>
      <c r="OO564" s="2">
        <v>1.96</v>
      </c>
      <c r="OP564" s="2">
        <v>1.97</v>
      </c>
      <c r="OQ564" s="2">
        <v>1.96</v>
      </c>
      <c r="OR564" s="2">
        <v>1.94</v>
      </c>
      <c r="OS564" s="2">
        <v>1.97</v>
      </c>
      <c r="OT564" s="2">
        <v>1.99</v>
      </c>
      <c r="OU564" s="2">
        <v>1.98</v>
      </c>
      <c r="OV564" s="2">
        <v>1.98</v>
      </c>
      <c r="OW564" s="2">
        <v>1.99</v>
      </c>
      <c r="OX564" s="2">
        <v>1.98</v>
      </c>
      <c r="PC564" s="2">
        <v>1.98</v>
      </c>
      <c r="PD564" s="2">
        <v>1.98</v>
      </c>
      <c r="PE564" s="2">
        <v>1.99</v>
      </c>
      <c r="PF564" s="2">
        <v>1.99</v>
      </c>
      <c r="PG564" s="2">
        <v>1.99</v>
      </c>
      <c r="PH564" s="2">
        <v>1.98</v>
      </c>
      <c r="PI564" s="2">
        <v>2.02</v>
      </c>
    </row>
    <row r="565">
      <c r="A565" t="inlineStr">
        <is>
          <t>A130393835C</t>
        </is>
      </c>
      <c r="B565" t="inlineStr">
        <is>
          <t>Contribution to All groups CPI Index Number ;  Recreation and culture ;  Australia ;</t>
        </is>
      </c>
      <c r="C565" t="inlineStr">
        <is>
          <t>Month</t>
        </is>
      </c>
      <c r="D565" t="inlineStr">
        <is>
          <t>Index Points</t>
        </is>
      </c>
      <c r="E565" t="inlineStr">
        <is>
          <t>Original</t>
        </is>
      </c>
      <c r="F565" t="inlineStr">
        <is>
          <t>640103.xlsx</t>
        </is>
      </c>
      <c r="G565" t="inlineStr">
        <is>
          <t>2024-12</t>
        </is>
      </c>
      <c r="H565" t="inlineStr">
        <is>
          <t>2026-07</t>
        </is>
      </c>
      <c r="OH565" s="2">
        <v>12.74</v>
      </c>
      <c r="OM565" s="2">
        <v>12.4</v>
      </c>
      <c r="ON565" s="2">
        <v>11.97</v>
      </c>
      <c r="OO565" s="2">
        <v>12.04</v>
      </c>
      <c r="OP565" s="2">
        <v>12.39</v>
      </c>
      <c r="OQ565" s="2">
        <v>12.02</v>
      </c>
      <c r="OR565" s="2">
        <v>12.12</v>
      </c>
      <c r="OS565" s="2">
        <v>12.42</v>
      </c>
      <c r="OT565" s="2">
        <v>12.27</v>
      </c>
      <c r="OU565" s="2">
        <v>12.54</v>
      </c>
      <c r="OV565" s="2">
        <v>12.52</v>
      </c>
      <c r="OW565" s="2">
        <v>12.38</v>
      </c>
      <c r="OX565" s="2">
        <v>13.3</v>
      </c>
      <c r="PC565" s="2">
        <v>12.85</v>
      </c>
      <c r="PD565" s="2">
        <v>12.47</v>
      </c>
      <c r="PE565" s="2">
        <v>12.38</v>
      </c>
      <c r="PF565" s="2">
        <v>12.7</v>
      </c>
      <c r="PG565" s="2">
        <v>12.3</v>
      </c>
      <c r="PH565" s="2">
        <v>12.53</v>
      </c>
      <c r="PI565" s="2">
        <v>12.75</v>
      </c>
    </row>
    <row r="566">
      <c r="A566" t="inlineStr">
        <is>
          <t>A130399082F</t>
        </is>
      </c>
      <c r="B566" t="inlineStr">
        <is>
          <t>Contribution to All groups CPI Index Number ;  Audio, visual and computing equipment and services ;  Australia ;</t>
        </is>
      </c>
      <c r="C566" t="inlineStr">
        <is>
          <t>Month</t>
        </is>
      </c>
      <c r="D566" t="inlineStr">
        <is>
          <t>Index Points</t>
        </is>
      </c>
      <c r="E566" t="inlineStr">
        <is>
          <t>Original</t>
        </is>
      </c>
      <c r="F566" t="inlineStr">
        <is>
          <t>640103.xlsx</t>
        </is>
      </c>
      <c r="G566" t="inlineStr">
        <is>
          <t>2024-12</t>
        </is>
      </c>
      <c r="H566" t="inlineStr">
        <is>
          <t>2026-07</t>
        </is>
      </c>
      <c r="OH566" s="2">
        <v>1.83</v>
      </c>
      <c r="OM566" s="2">
        <v>1.83</v>
      </c>
      <c r="ON566" s="2">
        <v>1.84</v>
      </c>
      <c r="OO566" s="2">
        <v>1.86</v>
      </c>
      <c r="OP566" s="2">
        <v>1.86</v>
      </c>
      <c r="OQ566" s="2">
        <v>1.88</v>
      </c>
      <c r="OR566" s="2">
        <v>1.87</v>
      </c>
      <c r="OS566" s="2">
        <v>1.88</v>
      </c>
      <c r="OT566" s="2">
        <v>1.93</v>
      </c>
      <c r="OU566" s="2">
        <v>1.92</v>
      </c>
      <c r="OV566" s="2">
        <v>1.92</v>
      </c>
      <c r="OW566" s="2">
        <v>1.93</v>
      </c>
      <c r="OX566" s="2">
        <v>1.9</v>
      </c>
      <c r="PC566" s="2">
        <v>1.93</v>
      </c>
      <c r="PD566" s="2">
        <v>1.95</v>
      </c>
      <c r="PE566" s="2">
        <v>1.93</v>
      </c>
      <c r="PF566" s="2">
        <v>1.94</v>
      </c>
      <c r="PG566" s="2">
        <v>1.95</v>
      </c>
      <c r="PH566" s="2">
        <v>1.93</v>
      </c>
      <c r="PI566" s="2">
        <v>2.01</v>
      </c>
    </row>
    <row r="567">
      <c r="A567" t="inlineStr">
        <is>
          <t>A130397188T</t>
        </is>
      </c>
      <c r="B567" t="inlineStr">
        <is>
          <t>Contribution to All groups CPI Index Number ;  Audio, visual and computing equipment ;  Australia ;</t>
        </is>
      </c>
      <c r="C567" t="inlineStr">
        <is>
          <t>Month</t>
        </is>
      </c>
      <c r="D567" t="inlineStr">
        <is>
          <t>Index Points</t>
        </is>
      </c>
      <c r="E567" t="inlineStr">
        <is>
          <t>Original</t>
        </is>
      </c>
      <c r="F567" t="inlineStr">
        <is>
          <t>640103.xlsx</t>
        </is>
      </c>
      <c r="G567" t="inlineStr">
        <is>
          <t>2024-12</t>
        </is>
      </c>
      <c r="H567" t="inlineStr">
        <is>
          <t>2026-07</t>
        </is>
      </c>
      <c r="OH567" s="2">
        <v>0.96</v>
      </c>
      <c r="OM567" s="2">
        <v>0.96</v>
      </c>
      <c r="ON567" s="2">
        <v>0.97</v>
      </c>
      <c r="OO567" s="2">
        <v>0.98</v>
      </c>
      <c r="OP567" s="2">
        <v>0.98</v>
      </c>
      <c r="OQ567" s="2">
        <v>1</v>
      </c>
      <c r="OR567" s="2">
        <v>0.98</v>
      </c>
      <c r="OS567" s="2">
        <v>0.99</v>
      </c>
      <c r="OT567" s="2">
        <v>0.99</v>
      </c>
      <c r="OU567" s="2">
        <v>0.98</v>
      </c>
      <c r="OV567" s="2">
        <v>0.98</v>
      </c>
      <c r="OW567" s="2">
        <v>0.98</v>
      </c>
      <c r="OX567" s="2">
        <v>0.95</v>
      </c>
      <c r="PC567" s="2">
        <v>0.98</v>
      </c>
      <c r="PD567" s="2">
        <v>0.99</v>
      </c>
      <c r="PE567" s="2">
        <v>0.97</v>
      </c>
      <c r="PF567" s="2">
        <v>0.98</v>
      </c>
      <c r="PG567" s="2">
        <v>0.98</v>
      </c>
      <c r="PH567" s="2">
        <v>0.95</v>
      </c>
      <c r="PI567" s="2">
        <v>1.03</v>
      </c>
    </row>
    <row r="568">
      <c r="A568" t="inlineStr">
        <is>
          <t>A130397868W</t>
        </is>
      </c>
      <c r="B568" t="inlineStr">
        <is>
          <t>Contribution to All groups CPI Index Number ;  Audio, visual and computing media and services ;  Australia ;</t>
        </is>
      </c>
      <c r="C568" t="inlineStr">
        <is>
          <t>Month</t>
        </is>
      </c>
      <c r="D568" t="inlineStr">
        <is>
          <t>Index Points</t>
        </is>
      </c>
      <c r="E568" t="inlineStr">
        <is>
          <t>Original</t>
        </is>
      </c>
      <c r="F568" t="inlineStr">
        <is>
          <t>640103.xlsx</t>
        </is>
      </c>
      <c r="G568" t="inlineStr">
        <is>
          <t>2024-12</t>
        </is>
      </c>
      <c r="H568" t="inlineStr">
        <is>
          <t>2026-07</t>
        </is>
      </c>
      <c r="OH568" s="2">
        <v>0.86</v>
      </c>
      <c r="OM568" s="2">
        <v>0.86</v>
      </c>
      <c r="ON568" s="2">
        <v>0.87</v>
      </c>
      <c r="OO568" s="2">
        <v>0.88</v>
      </c>
      <c r="OP568" s="2">
        <v>0.88</v>
      </c>
      <c r="OQ568" s="2">
        <v>0.88</v>
      </c>
      <c r="OR568" s="2">
        <v>0.89</v>
      </c>
      <c r="OS568" s="2">
        <v>0.89</v>
      </c>
      <c r="OT568" s="2">
        <v>0.9399999999999999</v>
      </c>
      <c r="OU568" s="2">
        <v>0.9399999999999999</v>
      </c>
      <c r="OV568" s="2">
        <v>0.9399999999999999</v>
      </c>
      <c r="OW568" s="2">
        <v>0.95</v>
      </c>
      <c r="OX568" s="2">
        <v>0.95</v>
      </c>
      <c r="PC568" s="2">
        <v>0.95</v>
      </c>
      <c r="PD568" s="2">
        <v>0.96</v>
      </c>
      <c r="PE568" s="2">
        <v>0.96</v>
      </c>
      <c r="PF568" s="2">
        <v>0.96</v>
      </c>
      <c r="PG568" s="2">
        <v>0.98</v>
      </c>
      <c r="PH568" s="2">
        <v>0.97</v>
      </c>
      <c r="PI568" s="2">
        <v>0.98</v>
      </c>
    </row>
    <row r="569">
      <c r="A569" t="inlineStr">
        <is>
          <t>A130394199V</t>
        </is>
      </c>
      <c r="B569" t="inlineStr">
        <is>
          <t>Contribution to All groups CPI Index Number ;  Newspapers, books and stationery ;  Australia ;</t>
        </is>
      </c>
      <c r="C569" t="inlineStr">
        <is>
          <t>Month</t>
        </is>
      </c>
      <c r="D569" t="inlineStr">
        <is>
          <t>Index Points</t>
        </is>
      </c>
      <c r="E569" t="inlineStr">
        <is>
          <t>Original</t>
        </is>
      </c>
      <c r="F569" t="inlineStr">
        <is>
          <t>640103.xlsx</t>
        </is>
      </c>
      <c r="G569" t="inlineStr">
        <is>
          <t>2024-12</t>
        </is>
      </c>
      <c r="H569" t="inlineStr">
        <is>
          <t>2026-07</t>
        </is>
      </c>
      <c r="OH569" s="2">
        <v>0.45</v>
      </c>
      <c r="OM569" s="2">
        <v>0.45</v>
      </c>
      <c r="ON569" s="2">
        <v>0.46</v>
      </c>
      <c r="OO569" s="2">
        <v>0.46</v>
      </c>
      <c r="OP569" s="2">
        <v>0.46</v>
      </c>
      <c r="OQ569" s="2">
        <v>0.46</v>
      </c>
      <c r="OR569" s="2">
        <v>0.46</v>
      </c>
      <c r="OS569" s="2">
        <v>0.47</v>
      </c>
      <c r="OT569" s="2">
        <v>0.47</v>
      </c>
      <c r="OU569" s="2">
        <v>0.47</v>
      </c>
      <c r="OV569" s="2">
        <v>0.47</v>
      </c>
      <c r="OW569" s="2">
        <v>0.48</v>
      </c>
      <c r="OX569" s="2">
        <v>0.47</v>
      </c>
      <c r="PC569" s="2">
        <v>0.47</v>
      </c>
      <c r="PD569" s="2">
        <v>0.48</v>
      </c>
      <c r="PE569" s="2">
        <v>0.48</v>
      </c>
      <c r="PF569" s="2">
        <v>0.47</v>
      </c>
      <c r="PG569" s="2">
        <v>0.48</v>
      </c>
      <c r="PH569" s="2">
        <v>0.48</v>
      </c>
      <c r="PI569" s="2">
        <v>0.48</v>
      </c>
    </row>
    <row r="570">
      <c r="A570" t="inlineStr">
        <is>
          <t>A130394955R</t>
        </is>
      </c>
      <c r="B570" t="inlineStr">
        <is>
          <t>Contribution to All groups CPI Index Number ;  Books ;  Australia ;</t>
        </is>
      </c>
      <c r="C570" t="inlineStr">
        <is>
          <t>Month</t>
        </is>
      </c>
      <c r="D570" t="inlineStr">
        <is>
          <t>Index Points</t>
        </is>
      </c>
      <c r="E570" t="inlineStr">
        <is>
          <t>Original</t>
        </is>
      </c>
      <c r="F570" t="inlineStr">
        <is>
          <t>640103.xlsx</t>
        </is>
      </c>
      <c r="G570" t="inlineStr">
        <is>
          <t>2024-12</t>
        </is>
      </c>
      <c r="H570" t="inlineStr">
        <is>
          <t>2026-07</t>
        </is>
      </c>
      <c r="OH570" s="2">
        <v>0.13</v>
      </c>
      <c r="OM570" s="2">
        <v>0.13</v>
      </c>
      <c r="ON570" s="2">
        <v>0.13</v>
      </c>
      <c r="OO570" s="2">
        <v>0.13</v>
      </c>
      <c r="OP570" s="2">
        <v>0.13</v>
      </c>
      <c r="OQ570" s="2">
        <v>0.13</v>
      </c>
      <c r="OR570" s="2">
        <v>0.13</v>
      </c>
      <c r="OS570" s="2">
        <v>0.13</v>
      </c>
      <c r="OT570" s="2">
        <v>0.13</v>
      </c>
      <c r="OU570" s="2">
        <v>0.13</v>
      </c>
      <c r="OV570" s="2">
        <v>0.13</v>
      </c>
      <c r="OW570" s="2">
        <v>0.13</v>
      </c>
      <c r="OX570" s="2">
        <v>0.13</v>
      </c>
      <c r="PC570" s="2">
        <v>0.13</v>
      </c>
      <c r="PD570" s="2">
        <v>0.13</v>
      </c>
      <c r="PE570" s="2">
        <v>0.13</v>
      </c>
      <c r="PF570" s="2">
        <v>0.13</v>
      </c>
      <c r="PG570" s="2">
        <v>0.13</v>
      </c>
      <c r="PH570" s="2">
        <v>0.13</v>
      </c>
      <c r="PI570" s="2">
        <v>0.14</v>
      </c>
    </row>
    <row r="571">
      <c r="A571" t="inlineStr">
        <is>
          <t>A130392883C</t>
        </is>
      </c>
      <c r="B571" t="inlineStr">
        <is>
          <t>Contribution to All groups CPI Index Number ;  Newspapers, magazines and stationery ;  Australia ;</t>
        </is>
      </c>
      <c r="C571" t="inlineStr">
        <is>
          <t>Month</t>
        </is>
      </c>
      <c r="D571" t="inlineStr">
        <is>
          <t>Index Points</t>
        </is>
      </c>
      <c r="E571" t="inlineStr">
        <is>
          <t>Original</t>
        </is>
      </c>
      <c r="F571" t="inlineStr">
        <is>
          <t>640103.xlsx</t>
        </is>
      </c>
      <c r="G571" t="inlineStr">
        <is>
          <t>2024-12</t>
        </is>
      </c>
      <c r="H571" t="inlineStr">
        <is>
          <t>2026-07</t>
        </is>
      </c>
      <c r="OH571" s="2">
        <v>0.33</v>
      </c>
      <c r="OM571" s="2">
        <v>0.32</v>
      </c>
      <c r="ON571" s="2">
        <v>0.33</v>
      </c>
      <c r="OO571" s="2">
        <v>0.33</v>
      </c>
      <c r="OP571" s="2">
        <v>0.33</v>
      </c>
      <c r="OQ571" s="2">
        <v>0.33</v>
      </c>
      <c r="OR571" s="2">
        <v>0.33</v>
      </c>
      <c r="OS571" s="2">
        <v>0.34</v>
      </c>
      <c r="OT571" s="2">
        <v>0.34</v>
      </c>
      <c r="OU571" s="2">
        <v>0.34</v>
      </c>
      <c r="OV571" s="2">
        <v>0.34</v>
      </c>
      <c r="OW571" s="2">
        <v>0.34</v>
      </c>
      <c r="OX571" s="2">
        <v>0.34</v>
      </c>
      <c r="PC571" s="2">
        <v>0.33</v>
      </c>
      <c r="PD571" s="2">
        <v>0.35</v>
      </c>
      <c r="PE571" s="2">
        <v>0.35</v>
      </c>
      <c r="PF571" s="2">
        <v>0.34</v>
      </c>
      <c r="PG571" s="2">
        <v>0.35</v>
      </c>
      <c r="PH571" s="2">
        <v>0.35</v>
      </c>
      <c r="PI571" s="2">
        <v>0.35</v>
      </c>
    </row>
    <row r="572">
      <c r="A572" t="inlineStr">
        <is>
          <t>A130391833L</t>
        </is>
      </c>
      <c r="B572" t="inlineStr">
        <is>
          <t>Contribution to All groups CPI Index Number ;  Holiday travel and accommodation ;  Australia ;</t>
        </is>
      </c>
      <c r="C572" t="inlineStr">
        <is>
          <t>Month</t>
        </is>
      </c>
      <c r="D572" t="inlineStr">
        <is>
          <t>Index Points</t>
        </is>
      </c>
      <c r="E572" t="inlineStr">
        <is>
          <t>Original</t>
        </is>
      </c>
      <c r="F572" t="inlineStr">
        <is>
          <t>640103.xlsx</t>
        </is>
      </c>
      <c r="G572" t="inlineStr">
        <is>
          <t>2024-12</t>
        </is>
      </c>
      <c r="H572" t="inlineStr">
        <is>
          <t>2026-07</t>
        </is>
      </c>
      <c r="OH572" s="2">
        <v>6.49</v>
      </c>
      <c r="OM572" s="2">
        <v>6.11</v>
      </c>
      <c r="ON572" s="2">
        <v>5.64</v>
      </c>
      <c r="OO572" s="2">
        <v>5.74</v>
      </c>
      <c r="OP572" s="2">
        <v>6.09</v>
      </c>
      <c r="OQ572" s="2">
        <v>5.65</v>
      </c>
      <c r="OR572" s="2">
        <v>5.79</v>
      </c>
      <c r="OS572" s="2">
        <v>6.06</v>
      </c>
      <c r="OT572" s="2">
        <v>5.85</v>
      </c>
      <c r="OU572" s="2">
        <v>6.13</v>
      </c>
      <c r="OV572" s="2">
        <v>6.08</v>
      </c>
      <c r="OW572" s="2">
        <v>5.93</v>
      </c>
      <c r="OX572" s="2">
        <v>6.87</v>
      </c>
      <c r="PC572" s="2">
        <v>6.35</v>
      </c>
      <c r="PD572" s="2">
        <v>5.94</v>
      </c>
      <c r="PE572" s="2">
        <v>5.86</v>
      </c>
      <c r="PF572" s="2">
        <v>6.19</v>
      </c>
      <c r="PG572" s="2">
        <v>5.76</v>
      </c>
      <c r="PH572" s="2">
        <v>6.02</v>
      </c>
      <c r="PI572" s="2">
        <v>6.13</v>
      </c>
    </row>
    <row r="573">
      <c r="A573" t="inlineStr">
        <is>
          <t>A130392197C</t>
        </is>
      </c>
      <c r="B573" t="inlineStr">
        <is>
          <t>Contribution to All groups CPI Index Number ;  Domestic holiday travel and accommodation ;  Australia ;</t>
        </is>
      </c>
      <c r="C573" t="inlineStr">
        <is>
          <t>Month</t>
        </is>
      </c>
      <c r="D573" t="inlineStr">
        <is>
          <t>Index Points</t>
        </is>
      </c>
      <c r="E573" t="inlineStr">
        <is>
          <t>Original</t>
        </is>
      </c>
      <c r="F573" t="inlineStr">
        <is>
          <t>640103.xlsx</t>
        </is>
      </c>
      <c r="G573" t="inlineStr">
        <is>
          <t>2024-12</t>
        </is>
      </c>
      <c r="H573" t="inlineStr">
        <is>
          <t>2026-07</t>
        </is>
      </c>
      <c r="OH573" s="2">
        <v>3.09</v>
      </c>
      <c r="OM573" s="2">
        <v>3.25</v>
      </c>
      <c r="ON573" s="2">
        <v>2.92</v>
      </c>
      <c r="OO573" s="2">
        <v>3.02</v>
      </c>
      <c r="OP573" s="2">
        <v>3.13</v>
      </c>
      <c r="OQ573" s="2">
        <v>2.84</v>
      </c>
      <c r="OR573" s="2">
        <v>2.86</v>
      </c>
      <c r="OS573" s="2">
        <v>3.09</v>
      </c>
      <c r="OT573" s="2">
        <v>2.96</v>
      </c>
      <c r="OU573" s="2">
        <v>3.08</v>
      </c>
      <c r="OV573" s="2">
        <v>3.26</v>
      </c>
      <c r="OW573" s="2">
        <v>3.13</v>
      </c>
      <c r="OX573" s="2">
        <v>3.38</v>
      </c>
      <c r="PC573" s="2">
        <v>3.43</v>
      </c>
      <c r="PD573" s="2">
        <v>3.18</v>
      </c>
      <c r="PE573" s="2">
        <v>3.1</v>
      </c>
      <c r="PF573" s="2">
        <v>3.33</v>
      </c>
      <c r="PG573" s="2">
        <v>2.93</v>
      </c>
      <c r="PH573" s="2">
        <v>2.97</v>
      </c>
      <c r="PI573" s="2">
        <v>3.15</v>
      </c>
    </row>
    <row r="574">
      <c r="A574" t="inlineStr">
        <is>
          <t>A130394801X</t>
        </is>
      </c>
      <c r="B574" t="inlineStr">
        <is>
          <t>Contribution to All groups CPI Index Number ;  International holiday travel and accommodation ;  Australia ;</t>
        </is>
      </c>
      <c r="C574" t="inlineStr">
        <is>
          <t>Month</t>
        </is>
      </c>
      <c r="D574" t="inlineStr">
        <is>
          <t>Index Points</t>
        </is>
      </c>
      <c r="E574" t="inlineStr">
        <is>
          <t>Original</t>
        </is>
      </c>
      <c r="F574" t="inlineStr">
        <is>
          <t>640103.xlsx</t>
        </is>
      </c>
      <c r="G574" t="inlineStr">
        <is>
          <t>2024-12</t>
        </is>
      </c>
      <c r="H574" t="inlineStr">
        <is>
          <t>2026-07</t>
        </is>
      </c>
      <c r="OH574" s="2">
        <v>3.4</v>
      </c>
      <c r="OM574" s="2">
        <v>2.86</v>
      </c>
      <c r="ON574" s="2">
        <v>2.72</v>
      </c>
      <c r="OO574" s="2">
        <v>2.72</v>
      </c>
      <c r="OP574" s="2">
        <v>2.95</v>
      </c>
      <c r="OQ574" s="2">
        <v>2.81</v>
      </c>
      <c r="OR574" s="2">
        <v>2.93</v>
      </c>
      <c r="OS574" s="2">
        <v>2.97</v>
      </c>
      <c r="OT574" s="2">
        <v>2.89</v>
      </c>
      <c r="OU574" s="2">
        <v>3.06</v>
      </c>
      <c r="OV574" s="2">
        <v>2.82</v>
      </c>
      <c r="OW574" s="2">
        <v>2.8</v>
      </c>
      <c r="OX574" s="2">
        <v>3.48</v>
      </c>
      <c r="PC574" s="2">
        <v>2.92</v>
      </c>
      <c r="PD574" s="2">
        <v>2.77</v>
      </c>
      <c r="PE574" s="2">
        <v>2.76</v>
      </c>
      <c r="PF574" s="2">
        <v>2.85</v>
      </c>
      <c r="PG574" s="2">
        <v>2.83</v>
      </c>
      <c r="PH574" s="2">
        <v>3.06</v>
      </c>
      <c r="PI574" s="2">
        <v>2.98</v>
      </c>
    </row>
    <row r="575">
      <c r="A575" t="inlineStr">
        <is>
          <t>A130395151A</t>
        </is>
      </c>
      <c r="B575" t="inlineStr">
        <is>
          <t>Contribution to All groups CPI Index Number ;  Other recreation, sport and culture ;  Australia ;</t>
        </is>
      </c>
      <c r="C575" t="inlineStr">
        <is>
          <t>Month</t>
        </is>
      </c>
      <c r="D575" t="inlineStr">
        <is>
          <t>Index Points</t>
        </is>
      </c>
      <c r="E575" t="inlineStr">
        <is>
          <t>Original</t>
        </is>
      </c>
      <c r="F575" t="inlineStr">
        <is>
          <t>640103.xlsx</t>
        </is>
      </c>
      <c r="G575" t="inlineStr">
        <is>
          <t>2024-12</t>
        </is>
      </c>
      <c r="H575" t="inlineStr">
        <is>
          <t>2026-07</t>
        </is>
      </c>
      <c r="OH575" s="2">
        <v>3.97</v>
      </c>
      <c r="OM575" s="2">
        <v>4.01</v>
      </c>
      <c r="ON575" s="2">
        <v>4.03</v>
      </c>
      <c r="OO575" s="2">
        <v>3.99</v>
      </c>
      <c r="OP575" s="2">
        <v>3.98</v>
      </c>
      <c r="OQ575" s="2">
        <v>4.02</v>
      </c>
      <c r="OR575" s="2">
        <v>4</v>
      </c>
      <c r="OS575" s="2">
        <v>4.01</v>
      </c>
      <c r="OT575" s="2">
        <v>4.01</v>
      </c>
      <c r="OU575" s="2">
        <v>4.01</v>
      </c>
      <c r="OV575" s="2">
        <v>4.05</v>
      </c>
      <c r="OW575" s="2">
        <v>4.05</v>
      </c>
      <c r="OX575" s="2">
        <v>4.06</v>
      </c>
      <c r="PC575" s="2">
        <v>4.1</v>
      </c>
      <c r="PD575" s="2">
        <v>4.1</v>
      </c>
      <c r="PE575" s="2">
        <v>4.11</v>
      </c>
      <c r="PF575" s="2">
        <v>4.09</v>
      </c>
      <c r="PG575" s="2">
        <v>4.11</v>
      </c>
      <c r="PH575" s="2">
        <v>4.1</v>
      </c>
      <c r="PI575" s="2">
        <v>4.12</v>
      </c>
    </row>
    <row r="576">
      <c r="A576" t="inlineStr">
        <is>
          <t>A130397363R</t>
        </is>
      </c>
      <c r="B576" t="inlineStr">
        <is>
          <t>Contribution to All groups CPI Index Number ;  Equipment for sports, camping and open-air recreation ;  Australia ;</t>
        </is>
      </c>
      <c r="C576" t="inlineStr">
        <is>
          <t>Month</t>
        </is>
      </c>
      <c r="D576" t="inlineStr">
        <is>
          <t>Index Points</t>
        </is>
      </c>
      <c r="E576" t="inlineStr">
        <is>
          <t>Original</t>
        </is>
      </c>
      <c r="F576" t="inlineStr">
        <is>
          <t>640103.xlsx</t>
        </is>
      </c>
      <c r="G576" t="inlineStr">
        <is>
          <t>2024-12</t>
        </is>
      </c>
      <c r="H576" t="inlineStr">
        <is>
          <t>2026-07</t>
        </is>
      </c>
      <c r="OH576" s="2">
        <v>0.46</v>
      </c>
      <c r="OM576" s="2">
        <v>0.46</v>
      </c>
      <c r="ON576" s="2">
        <v>0.46</v>
      </c>
      <c r="OO576" s="2">
        <v>0.46</v>
      </c>
      <c r="OP576" s="2">
        <v>0.45</v>
      </c>
      <c r="OQ576" s="2">
        <v>0.46</v>
      </c>
      <c r="OR576" s="2">
        <v>0.46</v>
      </c>
      <c r="OS576" s="2">
        <v>0.46</v>
      </c>
      <c r="OT576" s="2">
        <v>0.46</v>
      </c>
      <c r="OU576" s="2">
        <v>0.46</v>
      </c>
      <c r="OV576" s="2">
        <v>0.46</v>
      </c>
      <c r="OW576" s="2">
        <v>0.45</v>
      </c>
      <c r="OX576" s="2">
        <v>0.45</v>
      </c>
      <c r="PC576" s="2">
        <v>0.46</v>
      </c>
      <c r="PD576" s="2">
        <v>0.45</v>
      </c>
      <c r="PE576" s="2">
        <v>0.45</v>
      </c>
      <c r="PF576" s="2">
        <v>0.46</v>
      </c>
      <c r="PG576" s="2">
        <v>0.46</v>
      </c>
      <c r="PH576" s="2">
        <v>0.46</v>
      </c>
      <c r="PI576" s="2">
        <v>0.46</v>
      </c>
    </row>
    <row r="577">
      <c r="A577" t="inlineStr">
        <is>
          <t>A130392337V</t>
        </is>
      </c>
      <c r="B577" t="inlineStr">
        <is>
          <t>Contribution to All groups CPI Index Number ;  Games, toys and hobbies ;  Australia ;</t>
        </is>
      </c>
      <c r="C577" t="inlineStr">
        <is>
          <t>Month</t>
        </is>
      </c>
      <c r="D577" t="inlineStr">
        <is>
          <t>Index Points</t>
        </is>
      </c>
      <c r="E577" t="inlineStr">
        <is>
          <t>Original</t>
        </is>
      </c>
      <c r="F577" t="inlineStr">
        <is>
          <t>640103.xlsx</t>
        </is>
      </c>
      <c r="G577" t="inlineStr">
        <is>
          <t>2024-12</t>
        </is>
      </c>
      <c r="H577" t="inlineStr">
        <is>
          <t>2026-07</t>
        </is>
      </c>
      <c r="OH577" s="2">
        <v>0.57</v>
      </c>
      <c r="OM577" s="2">
        <v>0.62</v>
      </c>
      <c r="ON577" s="2">
        <v>0.61</v>
      </c>
      <c r="OO577" s="2">
        <v>0.6</v>
      </c>
      <c r="OP577" s="2">
        <v>0.59</v>
      </c>
      <c r="OQ577" s="2">
        <v>0.61</v>
      </c>
      <c r="OR577" s="2">
        <v>0.6</v>
      </c>
      <c r="OS577" s="2">
        <v>0.58</v>
      </c>
      <c r="OT577" s="2">
        <v>0.59</v>
      </c>
      <c r="OU577" s="2">
        <v>0.6</v>
      </c>
      <c r="OV577" s="2">
        <v>0.61</v>
      </c>
      <c r="OW577" s="2">
        <v>0.61</v>
      </c>
      <c r="OX577" s="2">
        <v>0.6</v>
      </c>
      <c r="PC577" s="2">
        <v>0.63</v>
      </c>
      <c r="PD577" s="2">
        <v>0.63</v>
      </c>
      <c r="PE577" s="2">
        <v>0.64</v>
      </c>
      <c r="PF577" s="2">
        <v>0.63</v>
      </c>
      <c r="PG577" s="2">
        <v>0.63</v>
      </c>
      <c r="PH577" s="2">
        <v>0.62</v>
      </c>
      <c r="PI577" s="2">
        <v>0.6</v>
      </c>
    </row>
    <row r="578">
      <c r="A578" t="inlineStr">
        <is>
          <t>A130390811F</t>
        </is>
      </c>
      <c r="B578" t="inlineStr">
        <is>
          <t>Contribution to All groups CPI Index Number ;  Pets and related products ;  Australia ;</t>
        </is>
      </c>
      <c r="C578" t="inlineStr">
        <is>
          <t>Month</t>
        </is>
      </c>
      <c r="D578" t="inlineStr">
        <is>
          <t>Index Points</t>
        </is>
      </c>
      <c r="E578" t="inlineStr">
        <is>
          <t>Original</t>
        </is>
      </c>
      <c r="F578" t="inlineStr">
        <is>
          <t>640103.xlsx</t>
        </is>
      </c>
      <c r="G578" t="inlineStr">
        <is>
          <t>2024-12</t>
        </is>
      </c>
      <c r="H578" t="inlineStr">
        <is>
          <t>2026-07</t>
        </is>
      </c>
      <c r="OH578" s="2">
        <v>0.49</v>
      </c>
      <c r="OM578" s="2">
        <v>0.5</v>
      </c>
      <c r="ON578" s="2">
        <v>0.49</v>
      </c>
      <c r="OO578" s="2">
        <v>0.49</v>
      </c>
      <c r="OP578" s="2">
        <v>0.49</v>
      </c>
      <c r="OQ578" s="2">
        <v>0.49</v>
      </c>
      <c r="OR578" s="2">
        <v>0.49</v>
      </c>
      <c r="OS578" s="2">
        <v>0.49</v>
      </c>
      <c r="OT578" s="2">
        <v>0.49</v>
      </c>
      <c r="OU578" s="2">
        <v>0.49</v>
      </c>
      <c r="OV578" s="2">
        <v>0.49</v>
      </c>
      <c r="OW578" s="2">
        <v>0.5</v>
      </c>
      <c r="OX578" s="2">
        <v>0.5</v>
      </c>
      <c r="PC578" s="2">
        <v>0.5</v>
      </c>
      <c r="PD578" s="2">
        <v>0.49</v>
      </c>
      <c r="PE578" s="2">
        <v>0.49</v>
      </c>
      <c r="PF578" s="2">
        <v>0.49</v>
      </c>
      <c r="PG578" s="2">
        <v>0.49</v>
      </c>
      <c r="PH578" s="2">
        <v>0.49</v>
      </c>
      <c r="PI578" s="2">
        <v>0.49</v>
      </c>
    </row>
    <row r="579">
      <c r="A579" t="inlineStr">
        <is>
          <t>A130392057A</t>
        </is>
      </c>
      <c r="B579" t="inlineStr">
        <is>
          <t>Contribution to All groups CPI Index Number ;  Veterinary and other services for pets ;  Australia ;</t>
        </is>
      </c>
      <c r="C579" t="inlineStr">
        <is>
          <t>Month</t>
        </is>
      </c>
      <c r="D579" t="inlineStr">
        <is>
          <t>Index Points</t>
        </is>
      </c>
      <c r="E579" t="inlineStr">
        <is>
          <t>Original</t>
        </is>
      </c>
      <c r="F579" t="inlineStr">
        <is>
          <t>640103.xlsx</t>
        </is>
      </c>
      <c r="G579" t="inlineStr">
        <is>
          <t>2024-12</t>
        </is>
      </c>
      <c r="H579" t="inlineStr">
        <is>
          <t>2026-07</t>
        </is>
      </c>
      <c r="OH579" s="2">
        <v>0.5</v>
      </c>
      <c r="OM579" s="2">
        <v>0.5</v>
      </c>
      <c r="ON579" s="2">
        <v>0.5</v>
      </c>
      <c r="OO579" s="2">
        <v>0.5</v>
      </c>
      <c r="OP579" s="2">
        <v>0.5</v>
      </c>
      <c r="OQ579" s="2">
        <v>0.51</v>
      </c>
      <c r="OR579" s="2">
        <v>0.51</v>
      </c>
      <c r="OS579" s="2">
        <v>0.51</v>
      </c>
      <c r="OT579" s="2">
        <v>0.51</v>
      </c>
      <c r="OU579" s="2">
        <v>0.52</v>
      </c>
      <c r="OV579" s="2">
        <v>0.52</v>
      </c>
      <c r="OW579" s="2">
        <v>0.52</v>
      </c>
      <c r="OX579" s="2">
        <v>0.52</v>
      </c>
      <c r="PC579" s="2">
        <v>0.52</v>
      </c>
      <c r="PD579" s="2">
        <v>0.52</v>
      </c>
      <c r="PE579" s="2">
        <v>0.52</v>
      </c>
      <c r="PF579" s="2">
        <v>0.52</v>
      </c>
      <c r="PG579" s="2">
        <v>0.52</v>
      </c>
      <c r="PH579" s="2">
        <v>0.53</v>
      </c>
      <c r="PI579" s="2">
        <v>0.53</v>
      </c>
    </row>
    <row r="580">
      <c r="A580" t="inlineStr">
        <is>
          <t>A130399824F</t>
        </is>
      </c>
      <c r="B580" t="inlineStr">
        <is>
          <t>Contribution to All groups CPI Index Number ;  Sports participation ;  Australia ;</t>
        </is>
      </c>
      <c r="C580" t="inlineStr">
        <is>
          <t>Month</t>
        </is>
      </c>
      <c r="D580" t="inlineStr">
        <is>
          <t>Index Points</t>
        </is>
      </c>
      <c r="E580" t="inlineStr">
        <is>
          <t>Original</t>
        </is>
      </c>
      <c r="F580" t="inlineStr">
        <is>
          <t>640103.xlsx</t>
        </is>
      </c>
      <c r="G580" t="inlineStr">
        <is>
          <t>2024-12</t>
        </is>
      </c>
      <c r="H580" t="inlineStr">
        <is>
          <t>2026-07</t>
        </is>
      </c>
      <c r="OH580" s="2">
        <v>1.03</v>
      </c>
      <c r="OM580" s="2">
        <v>1.04</v>
      </c>
      <c r="ON580" s="2">
        <v>1.05</v>
      </c>
      <c r="OO580" s="2">
        <v>1.04</v>
      </c>
      <c r="OP580" s="2">
        <v>1.05</v>
      </c>
      <c r="OQ580" s="2">
        <v>1.05</v>
      </c>
      <c r="OR580" s="2">
        <v>1.05</v>
      </c>
      <c r="OS580" s="2">
        <v>1.06</v>
      </c>
      <c r="OT580" s="2">
        <v>1.07</v>
      </c>
      <c r="OU580" s="2">
        <v>1.07</v>
      </c>
      <c r="OV580" s="2">
        <v>1.07</v>
      </c>
      <c r="OW580" s="2">
        <v>1.07</v>
      </c>
      <c r="OX580" s="2">
        <v>1.08</v>
      </c>
      <c r="PC580" s="2">
        <v>1.08</v>
      </c>
      <c r="PD580" s="2">
        <v>1.08</v>
      </c>
      <c r="PE580" s="2">
        <v>1.08</v>
      </c>
      <c r="PF580" s="2">
        <v>1.09</v>
      </c>
      <c r="PG580" s="2">
        <v>1.09</v>
      </c>
      <c r="PH580" s="2">
        <v>1.1</v>
      </c>
      <c r="PI580" s="2">
        <v>1.12</v>
      </c>
    </row>
    <row r="581">
      <c r="A581" t="inlineStr">
        <is>
          <t>A130398638J</t>
        </is>
      </c>
      <c r="B581" t="inlineStr">
        <is>
          <t>Contribution to All groups CPI Index Number ;  Other recreational, sporting and cultural services ;  Australia ;</t>
        </is>
      </c>
      <c r="C581" t="inlineStr">
        <is>
          <t>Month</t>
        </is>
      </c>
      <c r="D581" t="inlineStr">
        <is>
          <t>Index Points</t>
        </is>
      </c>
      <c r="E581" t="inlineStr">
        <is>
          <t>Original</t>
        </is>
      </c>
      <c r="F581" t="inlineStr">
        <is>
          <t>640103.xlsx</t>
        </is>
      </c>
      <c r="G581" t="inlineStr">
        <is>
          <t>2024-12</t>
        </is>
      </c>
      <c r="H581" t="inlineStr">
        <is>
          <t>2026-07</t>
        </is>
      </c>
      <c r="OH581" s="2">
        <v>0.91</v>
      </c>
      <c r="OM581" s="2">
        <v>0.9</v>
      </c>
      <c r="ON581" s="2">
        <v>0.92</v>
      </c>
      <c r="OO581" s="2">
        <v>0.89</v>
      </c>
      <c r="OP581" s="2">
        <v>0.88</v>
      </c>
      <c r="OQ581" s="2">
        <v>0.91</v>
      </c>
      <c r="OR581" s="2">
        <v>0.89</v>
      </c>
      <c r="OS581" s="2">
        <v>0.9</v>
      </c>
      <c r="OT581" s="2">
        <v>0.9</v>
      </c>
      <c r="OU581" s="2">
        <v>0.88</v>
      </c>
      <c r="OV581" s="2">
        <v>0.91</v>
      </c>
      <c r="OW581" s="2">
        <v>0.91</v>
      </c>
      <c r="OX581" s="2">
        <v>0.92</v>
      </c>
      <c r="PC581" s="2">
        <v>0.91</v>
      </c>
      <c r="PD581" s="2">
        <v>0.92</v>
      </c>
      <c r="PE581" s="2">
        <v>0.92</v>
      </c>
      <c r="PF581" s="2">
        <v>0.91</v>
      </c>
      <c r="PG581" s="2">
        <v>0.92</v>
      </c>
      <c r="PH581" s="2">
        <v>0.91</v>
      </c>
      <c r="PI581" s="2">
        <v>0.93</v>
      </c>
    </row>
    <row r="582">
      <c r="A582" t="inlineStr">
        <is>
          <t>A130390027A</t>
        </is>
      </c>
      <c r="B582" t="inlineStr">
        <is>
          <t>Contribution to All groups CPI Index Number ;  Education ;  Australia ;</t>
        </is>
      </c>
      <c r="C582" t="inlineStr">
        <is>
          <t>Month</t>
        </is>
      </c>
      <c r="D582" t="inlineStr">
        <is>
          <t>Index Points</t>
        </is>
      </c>
      <c r="E582" t="inlineStr">
        <is>
          <t>Original</t>
        </is>
      </c>
      <c r="F582" t="inlineStr">
        <is>
          <t>640103.xlsx</t>
        </is>
      </c>
      <c r="G582" t="inlineStr">
        <is>
          <t>2024-12</t>
        </is>
      </c>
      <c r="H582" t="inlineStr">
        <is>
          <t>2026-07</t>
        </is>
      </c>
      <c r="OH582" s="2">
        <v>4.53</v>
      </c>
      <c r="OM582" s="2">
        <v>4.53</v>
      </c>
      <c r="ON582" s="2">
        <v>4.76</v>
      </c>
      <c r="OO582" s="2">
        <v>4.76</v>
      </c>
      <c r="OP582" s="2">
        <v>4.76</v>
      </c>
      <c r="OQ582" s="2">
        <v>4.76</v>
      </c>
      <c r="OR582" s="2">
        <v>4.76</v>
      </c>
      <c r="OS582" s="2">
        <v>4.76</v>
      </c>
      <c r="OT582" s="2">
        <v>4.77</v>
      </c>
      <c r="OU582" s="2">
        <v>4.77</v>
      </c>
      <c r="OV582" s="2">
        <v>4.77</v>
      </c>
      <c r="OW582" s="2">
        <v>4.77</v>
      </c>
      <c r="OX582" s="2">
        <v>4.77</v>
      </c>
      <c r="PC582" s="2">
        <v>4.77</v>
      </c>
      <c r="PD582" s="2">
        <v>4.98</v>
      </c>
      <c r="PE582" s="2">
        <v>4.99</v>
      </c>
      <c r="PF582" s="2">
        <v>4.99</v>
      </c>
      <c r="PG582" s="2">
        <v>4.99</v>
      </c>
      <c r="PH582" s="2">
        <v>4.99</v>
      </c>
      <c r="PI582" s="2">
        <v>4.99</v>
      </c>
    </row>
    <row r="583">
      <c r="A583" t="inlineStr">
        <is>
          <t>A130393576W</t>
        </is>
      </c>
      <c r="B583" t="inlineStr">
        <is>
          <t>Contribution to All groups CPI Index Number ;  Education ;  Australia ;</t>
        </is>
      </c>
      <c r="C583" t="inlineStr">
        <is>
          <t>Month</t>
        </is>
      </c>
      <c r="D583" t="inlineStr">
        <is>
          <t>Index Points</t>
        </is>
      </c>
      <c r="E583" t="inlineStr">
        <is>
          <t>Original</t>
        </is>
      </c>
      <c r="F583" t="inlineStr">
        <is>
          <t>640103.xlsx</t>
        </is>
      </c>
      <c r="G583" t="inlineStr">
        <is>
          <t>2024-12</t>
        </is>
      </c>
      <c r="H583" t="inlineStr">
        <is>
          <t>2026-07</t>
        </is>
      </c>
      <c r="OH583" s="2">
        <v>4.53</v>
      </c>
      <c r="OM583" s="2">
        <v>4.53</v>
      </c>
      <c r="ON583" s="2">
        <v>4.76</v>
      </c>
      <c r="OO583" s="2">
        <v>4.76</v>
      </c>
      <c r="OP583" s="2">
        <v>4.76</v>
      </c>
      <c r="OQ583" s="2">
        <v>4.76</v>
      </c>
      <c r="OR583" s="2">
        <v>4.76</v>
      </c>
      <c r="OS583" s="2">
        <v>4.76</v>
      </c>
      <c r="OT583" s="2">
        <v>4.77</v>
      </c>
      <c r="OU583" s="2">
        <v>4.77</v>
      </c>
      <c r="OV583" s="2">
        <v>4.77</v>
      </c>
      <c r="OW583" s="2">
        <v>4.77</v>
      </c>
      <c r="OX583" s="2">
        <v>4.77</v>
      </c>
      <c r="PC583" s="2">
        <v>4.77</v>
      </c>
      <c r="PD583" s="2">
        <v>4.98</v>
      </c>
      <c r="PE583" s="2">
        <v>4.99</v>
      </c>
      <c r="PF583" s="2">
        <v>4.99</v>
      </c>
      <c r="PG583" s="2">
        <v>4.99</v>
      </c>
      <c r="PH583" s="2">
        <v>4.99</v>
      </c>
      <c r="PI583" s="2">
        <v>4.99</v>
      </c>
    </row>
    <row r="584">
      <c r="A584" t="inlineStr">
        <is>
          <t>A130398760L</t>
        </is>
      </c>
      <c r="B584" t="inlineStr">
        <is>
          <t>Contribution to All groups CPI Index Number ;  Preschool and primary education ;  Australia ;</t>
        </is>
      </c>
      <c r="C584" t="inlineStr">
        <is>
          <t>Month</t>
        </is>
      </c>
      <c r="D584" t="inlineStr">
        <is>
          <t>Index Points</t>
        </is>
      </c>
      <c r="E584" t="inlineStr">
        <is>
          <t>Original</t>
        </is>
      </c>
      <c r="F584" t="inlineStr">
        <is>
          <t>640103.xlsx</t>
        </is>
      </c>
      <c r="G584" t="inlineStr">
        <is>
          <t>2024-12</t>
        </is>
      </c>
      <c r="H584" t="inlineStr">
        <is>
          <t>2026-07</t>
        </is>
      </c>
      <c r="OH584" s="2">
        <v>0.89</v>
      </c>
      <c r="OM584" s="2">
        <v>0.89</v>
      </c>
      <c r="ON584" s="2">
        <v>0.93</v>
      </c>
      <c r="OO584" s="2">
        <v>0.93</v>
      </c>
      <c r="OP584" s="2">
        <v>0.93</v>
      </c>
      <c r="OQ584" s="2">
        <v>0.93</v>
      </c>
      <c r="OR584" s="2">
        <v>0.9399999999999999</v>
      </c>
      <c r="OS584" s="2">
        <v>0.9399999999999999</v>
      </c>
      <c r="OT584" s="2">
        <v>0.9399999999999999</v>
      </c>
      <c r="OU584" s="2">
        <v>0.9399999999999999</v>
      </c>
      <c r="OV584" s="2">
        <v>0.9399999999999999</v>
      </c>
      <c r="OW584" s="2">
        <v>0.9399999999999999</v>
      </c>
      <c r="OX584" s="2">
        <v>0.9399999999999999</v>
      </c>
      <c r="PC584" s="2">
        <v>0.9399999999999999</v>
      </c>
      <c r="PD584" s="2">
        <v>0.98</v>
      </c>
      <c r="PE584" s="2">
        <v>0.99</v>
      </c>
      <c r="PF584" s="2">
        <v>0.99</v>
      </c>
      <c r="PG584" s="2">
        <v>0.99</v>
      </c>
      <c r="PH584" s="2">
        <v>0.99</v>
      </c>
      <c r="PI584" s="2">
        <v>0.99</v>
      </c>
    </row>
    <row r="585">
      <c r="A585" t="inlineStr">
        <is>
          <t>A130390055K</t>
        </is>
      </c>
      <c r="B585" t="inlineStr">
        <is>
          <t>Contribution to All groups CPI Index Number ;  Secondary education ;  Australia ;</t>
        </is>
      </c>
      <c r="C585" t="inlineStr">
        <is>
          <t>Month</t>
        </is>
      </c>
      <c r="D585" t="inlineStr">
        <is>
          <t>Index Points</t>
        </is>
      </c>
      <c r="E585" t="inlineStr">
        <is>
          <t>Original</t>
        </is>
      </c>
      <c r="F585" t="inlineStr">
        <is>
          <t>640103.xlsx</t>
        </is>
      </c>
      <c r="G585" t="inlineStr">
        <is>
          <t>2024-12</t>
        </is>
      </c>
      <c r="H585" t="inlineStr">
        <is>
          <t>2026-07</t>
        </is>
      </c>
      <c r="OH585" s="2">
        <v>1.95</v>
      </c>
      <c r="OM585" s="2">
        <v>1.95</v>
      </c>
      <c r="ON585" s="2">
        <v>2.08</v>
      </c>
      <c r="OO585" s="2">
        <v>2.08</v>
      </c>
      <c r="OP585" s="2">
        <v>2.08</v>
      </c>
      <c r="OQ585" s="2">
        <v>2.08</v>
      </c>
      <c r="OR585" s="2">
        <v>2.08</v>
      </c>
      <c r="OS585" s="2">
        <v>2.08</v>
      </c>
      <c r="OT585" s="2">
        <v>2.08</v>
      </c>
      <c r="OU585" s="2">
        <v>2.08</v>
      </c>
      <c r="OV585" s="2">
        <v>2.08</v>
      </c>
      <c r="OW585" s="2">
        <v>2.08</v>
      </c>
      <c r="OX585" s="2">
        <v>2.08</v>
      </c>
      <c r="PC585" s="2">
        <v>2.08</v>
      </c>
      <c r="PD585" s="2">
        <v>2.21</v>
      </c>
      <c r="PE585" s="2">
        <v>2.21</v>
      </c>
      <c r="PF585" s="2">
        <v>2.21</v>
      </c>
      <c r="PG585" s="2">
        <v>2.21</v>
      </c>
      <c r="PH585" s="2">
        <v>2.21</v>
      </c>
      <c r="PI585" s="2">
        <v>2.21</v>
      </c>
    </row>
    <row r="586">
      <c r="A586" t="inlineStr">
        <is>
          <t>A130396243C</t>
        </is>
      </c>
      <c r="B586" t="inlineStr">
        <is>
          <t>Contribution to All groups CPI Index Number ;  Tertiary education ;  Australia ;</t>
        </is>
      </c>
      <c r="C586" t="inlineStr">
        <is>
          <t>Month</t>
        </is>
      </c>
      <c r="D586" t="inlineStr">
        <is>
          <t>Index Points</t>
        </is>
      </c>
      <c r="E586" t="inlineStr">
        <is>
          <t>Original</t>
        </is>
      </c>
      <c r="F586" t="inlineStr">
        <is>
          <t>640103.xlsx</t>
        </is>
      </c>
      <c r="G586" t="inlineStr">
        <is>
          <t>2024-12</t>
        </is>
      </c>
      <c r="H586" t="inlineStr">
        <is>
          <t>2026-07</t>
        </is>
      </c>
      <c r="OH586" s="2">
        <v>1.69</v>
      </c>
      <c r="OM586" s="2">
        <v>1.69</v>
      </c>
      <c r="ON586" s="2">
        <v>1.75</v>
      </c>
      <c r="OO586" s="2">
        <v>1.75</v>
      </c>
      <c r="OP586" s="2">
        <v>1.75</v>
      </c>
      <c r="OQ586" s="2">
        <v>1.75</v>
      </c>
      <c r="OR586" s="2">
        <v>1.75</v>
      </c>
      <c r="OS586" s="2">
        <v>1.75</v>
      </c>
      <c r="OT586" s="2">
        <v>1.75</v>
      </c>
      <c r="OU586" s="2">
        <v>1.75</v>
      </c>
      <c r="OV586" s="2">
        <v>1.75</v>
      </c>
      <c r="OW586" s="2">
        <v>1.75</v>
      </c>
      <c r="OX586" s="2">
        <v>1.75</v>
      </c>
      <c r="PC586" s="2">
        <v>1.75</v>
      </c>
      <c r="PD586" s="2">
        <v>1.79</v>
      </c>
      <c r="PE586" s="2">
        <v>1.79</v>
      </c>
      <c r="PF586" s="2">
        <v>1.79</v>
      </c>
      <c r="PG586" s="2">
        <v>1.79</v>
      </c>
      <c r="PH586" s="2">
        <v>1.79</v>
      </c>
      <c r="PI586" s="2">
        <v>1.79</v>
      </c>
    </row>
    <row r="587">
      <c r="A587" t="inlineStr">
        <is>
          <t>A130392764L</t>
        </is>
      </c>
      <c r="B587" t="inlineStr">
        <is>
          <t>Contribution to All groups CPI Index Number ;  Insurance and financial services ;  Australia ;</t>
        </is>
      </c>
      <c r="C587" t="inlineStr">
        <is>
          <t>Month</t>
        </is>
      </c>
      <c r="D587" t="inlineStr">
        <is>
          <t>Index Points</t>
        </is>
      </c>
      <c r="E587" t="inlineStr">
        <is>
          <t>Original</t>
        </is>
      </c>
      <c r="F587" t="inlineStr">
        <is>
          <t>640103.xlsx</t>
        </is>
      </c>
      <c r="G587" t="inlineStr">
        <is>
          <t>2024-12</t>
        </is>
      </c>
      <c r="H587" t="inlineStr">
        <is>
          <t>2026-07</t>
        </is>
      </c>
      <c r="OH587" s="2">
        <v>5.42</v>
      </c>
      <c r="OM587" s="2">
        <v>5.45</v>
      </c>
      <c r="ON587" s="2">
        <v>5.45</v>
      </c>
      <c r="OO587" s="2">
        <v>5.47</v>
      </c>
      <c r="OP587" s="2">
        <v>5.47</v>
      </c>
      <c r="OQ587" s="2">
        <v>5.46</v>
      </c>
      <c r="OR587" s="2">
        <v>5.49</v>
      </c>
      <c r="OS587" s="2">
        <v>5.51</v>
      </c>
      <c r="OT587" s="2">
        <v>5.5</v>
      </c>
      <c r="OU587" s="2">
        <v>5.51</v>
      </c>
      <c r="OV587" s="2">
        <v>5.53</v>
      </c>
      <c r="OW587" s="2">
        <v>5.53</v>
      </c>
      <c r="OX587" s="2">
        <v>5.56</v>
      </c>
      <c r="PC587" s="2">
        <v>5.58</v>
      </c>
      <c r="PD587" s="2">
        <v>5.58</v>
      </c>
      <c r="PE587" s="2">
        <v>5.63</v>
      </c>
      <c r="PF587" s="2">
        <v>5.63</v>
      </c>
      <c r="PG587" s="2">
        <v>5.64</v>
      </c>
      <c r="PH587" s="2">
        <v>5.67</v>
      </c>
      <c r="PI587" s="2">
        <v>5.68</v>
      </c>
    </row>
    <row r="588">
      <c r="A588" t="inlineStr">
        <is>
          <t>A130393947W</t>
        </is>
      </c>
      <c r="B588" t="inlineStr">
        <is>
          <t>Contribution to All groups CPI Index Number ;  Insurance ;  Australia ;</t>
        </is>
      </c>
      <c r="C588" t="inlineStr">
        <is>
          <t>Month</t>
        </is>
      </c>
      <c r="D588" t="inlineStr">
        <is>
          <t>Index Points</t>
        </is>
      </c>
      <c r="E588" t="inlineStr">
        <is>
          <t>Original</t>
        </is>
      </c>
      <c r="F588" t="inlineStr">
        <is>
          <t>640103.xlsx</t>
        </is>
      </c>
      <c r="G588" t="inlineStr">
        <is>
          <t>2024-12</t>
        </is>
      </c>
      <c r="H588" t="inlineStr">
        <is>
          <t>2026-07</t>
        </is>
      </c>
      <c r="OH588" s="2">
        <v>1.32</v>
      </c>
      <c r="OM588" s="2">
        <v>1.35</v>
      </c>
      <c r="ON588" s="2">
        <v>1.35</v>
      </c>
      <c r="OO588" s="2">
        <v>1.34</v>
      </c>
      <c r="OP588" s="2">
        <v>1.33</v>
      </c>
      <c r="OQ588" s="2">
        <v>1.33</v>
      </c>
      <c r="OR588" s="2">
        <v>1.33</v>
      </c>
      <c r="OS588" s="2">
        <v>1.34</v>
      </c>
      <c r="OT588" s="2">
        <v>1.33</v>
      </c>
      <c r="OU588" s="2">
        <v>1.34</v>
      </c>
      <c r="OV588" s="2">
        <v>1.35</v>
      </c>
      <c r="OW588" s="2">
        <v>1.35</v>
      </c>
      <c r="OX588" s="2">
        <v>1.36</v>
      </c>
      <c r="PC588" s="2">
        <v>1.38</v>
      </c>
      <c r="PD588" s="2">
        <v>1.38</v>
      </c>
      <c r="PE588" s="2">
        <v>1.39</v>
      </c>
      <c r="PF588" s="2">
        <v>1.39</v>
      </c>
      <c r="PG588" s="2">
        <v>1.4</v>
      </c>
      <c r="PH588" s="2">
        <v>1.4</v>
      </c>
      <c r="PI588" s="2">
        <v>1.4</v>
      </c>
    </row>
    <row r="589">
      <c r="A589" t="inlineStr">
        <is>
          <t>A130392638X</t>
        </is>
      </c>
      <c r="B589" t="inlineStr">
        <is>
          <t>Contribution to All groups CPI Index Number ;  Insurance ;  Australia ;</t>
        </is>
      </c>
      <c r="C589" t="inlineStr">
        <is>
          <t>Month</t>
        </is>
      </c>
      <c r="D589" t="inlineStr">
        <is>
          <t>Index Points</t>
        </is>
      </c>
      <c r="E589" t="inlineStr">
        <is>
          <t>Original</t>
        </is>
      </c>
      <c r="F589" t="inlineStr">
        <is>
          <t>640103.xlsx</t>
        </is>
      </c>
      <c r="G589" t="inlineStr">
        <is>
          <t>2024-12</t>
        </is>
      </c>
      <c r="H589" t="inlineStr">
        <is>
          <t>2026-07</t>
        </is>
      </c>
      <c r="OH589" s="2">
        <v>1.32</v>
      </c>
      <c r="OM589" s="2">
        <v>1.35</v>
      </c>
      <c r="ON589" s="2">
        <v>1.35</v>
      </c>
      <c r="OO589" s="2">
        <v>1.34</v>
      </c>
      <c r="OP589" s="2">
        <v>1.33</v>
      </c>
      <c r="OQ589" s="2">
        <v>1.33</v>
      </c>
      <c r="OR589" s="2">
        <v>1.33</v>
      </c>
      <c r="OS589" s="2">
        <v>1.34</v>
      </c>
      <c r="OT589" s="2">
        <v>1.33</v>
      </c>
      <c r="OU589" s="2">
        <v>1.34</v>
      </c>
      <c r="OV589" s="2">
        <v>1.35</v>
      </c>
      <c r="OW589" s="2">
        <v>1.35</v>
      </c>
      <c r="OX589" s="2">
        <v>1.36</v>
      </c>
      <c r="PC589" s="2">
        <v>1.38</v>
      </c>
      <c r="PD589" s="2">
        <v>1.38</v>
      </c>
      <c r="PE589" s="2">
        <v>1.39</v>
      </c>
      <c r="PF589" s="2">
        <v>1.39</v>
      </c>
      <c r="PG589" s="2">
        <v>1.4</v>
      </c>
      <c r="PH589" s="2">
        <v>1.4</v>
      </c>
      <c r="PI589" s="2">
        <v>1.4</v>
      </c>
    </row>
    <row r="590">
      <c r="A590" t="inlineStr">
        <is>
          <t>A130399117V</t>
        </is>
      </c>
      <c r="B590" t="inlineStr">
        <is>
          <t>Contribution to All groups CPI Index Number ;  Financial services ;  Australia ;</t>
        </is>
      </c>
      <c r="C590" t="inlineStr">
        <is>
          <t>Month</t>
        </is>
      </c>
      <c r="D590" t="inlineStr">
        <is>
          <t>Index Points</t>
        </is>
      </c>
      <c r="E590" t="inlineStr">
        <is>
          <t>Original</t>
        </is>
      </c>
      <c r="F590" t="inlineStr">
        <is>
          <t>640103.xlsx</t>
        </is>
      </c>
      <c r="G590" t="inlineStr">
        <is>
          <t>2024-12</t>
        </is>
      </c>
      <c r="H590" t="inlineStr">
        <is>
          <t>2026-07</t>
        </is>
      </c>
      <c r="OH590" s="2">
        <v>4.1</v>
      </c>
      <c r="OM590" s="2">
        <v>4.1</v>
      </c>
      <c r="ON590" s="2">
        <v>4.1</v>
      </c>
      <c r="OO590" s="2">
        <v>4.13</v>
      </c>
      <c r="OP590" s="2">
        <v>4.13</v>
      </c>
      <c r="OQ590" s="2">
        <v>4.13</v>
      </c>
      <c r="OR590" s="2">
        <v>4.16</v>
      </c>
      <c r="OS590" s="2">
        <v>4.16</v>
      </c>
      <c r="OT590" s="2">
        <v>4.16</v>
      </c>
      <c r="OU590" s="2">
        <v>4.18</v>
      </c>
      <c r="OV590" s="2">
        <v>4.18</v>
      </c>
      <c r="OW590" s="2">
        <v>4.18</v>
      </c>
      <c r="OX590" s="2">
        <v>4.2</v>
      </c>
      <c r="PC590" s="2">
        <v>4.2</v>
      </c>
      <c r="PD590" s="2">
        <v>4.2</v>
      </c>
      <c r="PE590" s="2">
        <v>4.24</v>
      </c>
      <c r="PF590" s="2">
        <v>4.24</v>
      </c>
      <c r="PG590" s="2">
        <v>4.24</v>
      </c>
      <c r="PH590" s="2">
        <v>4.27</v>
      </c>
      <c r="PI590" s="2">
        <v>4.28</v>
      </c>
    </row>
    <row r="591">
      <c r="A591" t="inlineStr">
        <is>
          <t>A130399103F</t>
        </is>
      </c>
      <c r="B591" t="inlineStr">
        <is>
          <t>Contribution to All groups CPI Index Number ;  Deposit and loan facilities (direct charges) ;  Australia ;</t>
        </is>
      </c>
      <c r="C591" t="inlineStr">
        <is>
          <t>Month</t>
        </is>
      </c>
      <c r="D591" t="inlineStr">
        <is>
          <t>Index Points</t>
        </is>
      </c>
      <c r="E591" t="inlineStr">
        <is>
          <t>Original</t>
        </is>
      </c>
      <c r="F591" t="inlineStr">
        <is>
          <t>640103.xlsx</t>
        </is>
      </c>
      <c r="G591" t="inlineStr">
        <is>
          <t>2024-12</t>
        </is>
      </c>
      <c r="H591" t="inlineStr">
        <is>
          <t>2026-07</t>
        </is>
      </c>
      <c r="OH591" s="2">
        <v>0.39</v>
      </c>
      <c r="OM591" s="2">
        <v>0.39</v>
      </c>
      <c r="ON591" s="2">
        <v>0.39</v>
      </c>
      <c r="OO591" s="2">
        <v>0.4</v>
      </c>
      <c r="OP591" s="2">
        <v>0.4</v>
      </c>
      <c r="OQ591" s="2">
        <v>0.4</v>
      </c>
      <c r="OR591" s="2">
        <v>0.4</v>
      </c>
      <c r="OS591" s="2">
        <v>0.41</v>
      </c>
      <c r="OT591" s="2">
        <v>0.41</v>
      </c>
      <c r="OU591" s="2">
        <v>0.4</v>
      </c>
      <c r="OV591" s="2">
        <v>0.41</v>
      </c>
      <c r="OW591" s="2">
        <v>0.4</v>
      </c>
      <c r="OX591" s="2">
        <v>0.4</v>
      </c>
      <c r="PC591" s="2">
        <v>0.4</v>
      </c>
      <c r="PD591" s="2">
        <v>0.4</v>
      </c>
      <c r="PE591" s="2">
        <v>0.41</v>
      </c>
      <c r="PF591" s="2">
        <v>0.41</v>
      </c>
      <c r="PG591" s="2">
        <v>0.41</v>
      </c>
      <c r="PH591" s="2">
        <v>0.41</v>
      </c>
      <c r="PI591" s="2">
        <v>0.41</v>
      </c>
    </row>
    <row r="592">
      <c r="A592" t="inlineStr">
        <is>
          <t>A130392477W</t>
        </is>
      </c>
      <c r="B592" t="inlineStr">
        <is>
          <t>Contribution to All groups CPI Index Number ;  Other financial services ;  Australia ;</t>
        </is>
      </c>
      <c r="C592" t="inlineStr">
        <is>
          <t>Month</t>
        </is>
      </c>
      <c r="D592" t="inlineStr">
        <is>
          <t>Index Points</t>
        </is>
      </c>
      <c r="E592" t="inlineStr">
        <is>
          <t>Original</t>
        </is>
      </c>
      <c r="F592" t="inlineStr">
        <is>
          <t>640103.xlsx</t>
        </is>
      </c>
      <c r="G592" t="inlineStr">
        <is>
          <t>2024-12</t>
        </is>
      </c>
      <c r="H592" t="inlineStr">
        <is>
          <t>2026-07</t>
        </is>
      </c>
      <c r="OH592" s="2">
        <v>3.71</v>
      </c>
      <c r="OM592" s="2">
        <v>3.71</v>
      </c>
      <c r="ON592" s="2">
        <v>3.71</v>
      </c>
      <c r="OO592" s="2">
        <v>3.74</v>
      </c>
      <c r="OP592" s="2">
        <v>3.74</v>
      </c>
      <c r="OQ592" s="2">
        <v>3.74</v>
      </c>
      <c r="OR592" s="2">
        <v>3.76</v>
      </c>
      <c r="OS592" s="2">
        <v>3.76</v>
      </c>
      <c r="OT592" s="2">
        <v>3.76</v>
      </c>
      <c r="OU592" s="2">
        <v>3.78</v>
      </c>
      <c r="OV592" s="2">
        <v>3.78</v>
      </c>
      <c r="OW592" s="2">
        <v>3.78</v>
      </c>
      <c r="OX592" s="2">
        <v>3.8</v>
      </c>
      <c r="PC592" s="2">
        <v>3.8</v>
      </c>
      <c r="PD592" s="2">
        <v>3.8</v>
      </c>
      <c r="PE592" s="2">
        <v>3.83</v>
      </c>
      <c r="PF592" s="2">
        <v>3.83</v>
      </c>
      <c r="PG592" s="2">
        <v>3.83</v>
      </c>
      <c r="PH592" s="2">
        <v>3.87</v>
      </c>
      <c r="PI592" s="2">
        <v>3.87</v>
      </c>
    </row>
    <row r="593">
      <c r="A593" t="inlineStr">
        <is>
          <t>A130393724L</t>
        </is>
      </c>
      <c r="B593" t="inlineStr">
        <is>
          <t>Change in Contribution to All groups CPI Index Number ;  All groups CPI ;  Australia ;</t>
        </is>
      </c>
      <c r="C593" t="inlineStr">
        <is>
          <t>Month</t>
        </is>
      </c>
      <c r="D593" t="inlineStr">
        <is>
          <t>Index Points</t>
        </is>
      </c>
      <c r="E593" t="inlineStr">
        <is>
          <t>Original</t>
        </is>
      </c>
      <c r="F593" t="inlineStr">
        <is>
          <t>640103.xlsx</t>
        </is>
      </c>
      <c r="G593" t="inlineStr">
        <is>
          <t>2025-01</t>
        </is>
      </c>
      <c r="H593" t="inlineStr">
        <is>
          <t>2026-07</t>
        </is>
      </c>
      <c r="OM593" s="2">
        <v>0.27</v>
      </c>
      <c r="ON593" s="2">
        <v>0.09</v>
      </c>
      <c r="OO593" s="2">
        <v>0.29</v>
      </c>
      <c r="OP593" s="2">
        <v>0.72</v>
      </c>
      <c r="OQ593" s="2">
        <v>-0.48</v>
      </c>
      <c r="OR593" s="2">
        <v>0.14</v>
      </c>
      <c r="OS593" s="2">
        <v>1.29</v>
      </c>
      <c r="OT593" s="2">
        <v>-0.08</v>
      </c>
      <c r="OU593" s="2">
        <v>0.45</v>
      </c>
      <c r="OV593" s="2">
        <v>-0.01</v>
      </c>
      <c r="OW593" s="2">
        <v>0.02</v>
      </c>
      <c r="OX593" s="2">
        <v>0.96</v>
      </c>
      <c r="PC593" s="2">
        <v>0.36</v>
      </c>
      <c r="PD593" s="2">
        <v>-0.02</v>
      </c>
      <c r="PE593" s="2">
        <v>1.13</v>
      </c>
      <c r="PF593" s="2">
        <v>0.36</v>
      </c>
      <c r="PG593" s="2">
        <v>-0.71</v>
      </c>
      <c r="PH593" s="2">
        <v>-0.06</v>
      </c>
      <c r="PI593" s="2">
        <v>1.04</v>
      </c>
    </row>
    <row r="594">
      <c r="A594" t="inlineStr">
        <is>
          <t>A130395481T</t>
        </is>
      </c>
      <c r="B594" t="inlineStr">
        <is>
          <t>Change in Contribution to All groups CPI Index Number ;  Food and non-alcoholic beverages ;  Australia ;</t>
        </is>
      </c>
      <c r="C594" t="inlineStr">
        <is>
          <t>Month</t>
        </is>
      </c>
      <c r="D594" t="inlineStr">
        <is>
          <t>Index Points</t>
        </is>
      </c>
      <c r="E594" t="inlineStr">
        <is>
          <t>Original</t>
        </is>
      </c>
      <c r="F594" t="inlineStr">
        <is>
          <t>640103.xlsx</t>
        </is>
      </c>
      <c r="G594" t="inlineStr">
        <is>
          <t>2025-01</t>
        </is>
      </c>
      <c r="H594" t="inlineStr">
        <is>
          <t>2026-07</t>
        </is>
      </c>
      <c r="OM594" s="2">
        <v>0.13</v>
      </c>
      <c r="ON594" s="2">
        <v>-0.02</v>
      </c>
      <c r="OO594" s="2">
        <v>0.12</v>
      </c>
      <c r="OP594" s="2">
        <v>0.06</v>
      </c>
      <c r="OQ594" s="2">
        <v>0.02</v>
      </c>
      <c r="OR594" s="2">
        <v>0.08</v>
      </c>
      <c r="OS594" s="2">
        <v>0.06</v>
      </c>
      <c r="OT594" s="2">
        <v>0.01</v>
      </c>
      <c r="OU594" s="2">
        <v>-0.04</v>
      </c>
      <c r="OV594" s="2">
        <v>0.02</v>
      </c>
      <c r="OW594" s="2">
        <v>0.07000000000000001</v>
      </c>
      <c r="OX594" s="2">
        <v>0.07000000000000001</v>
      </c>
      <c r="PC594" s="2">
        <v>0.09</v>
      </c>
      <c r="PD594" s="2">
        <v>-0.03</v>
      </c>
      <c r="PE594" s="2">
        <v>0.12</v>
      </c>
      <c r="PF594" s="2">
        <v>0.01</v>
      </c>
      <c r="PG594" s="2">
        <v>0.11</v>
      </c>
      <c r="PH594" s="2">
        <v>0.07000000000000001</v>
      </c>
      <c r="PI594" s="2">
        <v>0.05</v>
      </c>
    </row>
    <row r="595">
      <c r="A595" t="inlineStr">
        <is>
          <t>A130391708A</t>
        </is>
      </c>
      <c r="B595" t="inlineStr">
        <is>
          <t>Change in Contribution to All groups CPI Index Number ;  Bread and cereal products ;  Australia ;</t>
        </is>
      </c>
      <c r="C595" t="inlineStr">
        <is>
          <t>Month</t>
        </is>
      </c>
      <c r="D595" t="inlineStr">
        <is>
          <t>Index Points</t>
        </is>
      </c>
      <c r="E595" t="inlineStr">
        <is>
          <t>Original</t>
        </is>
      </c>
      <c r="F595" t="inlineStr">
        <is>
          <t>640103.xlsx</t>
        </is>
      </c>
      <c r="G595" t="inlineStr">
        <is>
          <t>2025-01</t>
        </is>
      </c>
      <c r="H595" t="inlineStr">
        <is>
          <t>2026-07</t>
        </is>
      </c>
      <c r="OM595" s="2">
        <v>0.01</v>
      </c>
      <c r="ON595" s="2">
        <v>-0.02</v>
      </c>
      <c r="OO595" s="2">
        <v>0.01</v>
      </c>
      <c r="OP595" s="2">
        <v>0</v>
      </c>
      <c r="OQ595" s="2">
        <v>-0.01</v>
      </c>
      <c r="OR595" s="2">
        <v>0</v>
      </c>
      <c r="OS595" s="2">
        <v>0.01</v>
      </c>
      <c r="OT595" s="2">
        <v>0</v>
      </c>
      <c r="OU595" s="2">
        <v>-0.01</v>
      </c>
      <c r="OV595" s="2">
        <v>0</v>
      </c>
      <c r="OW595" s="2">
        <v>0.02</v>
      </c>
      <c r="OX595" s="2">
        <v>0.01</v>
      </c>
      <c r="PC595" s="2">
        <v>0</v>
      </c>
      <c r="PD595" s="2">
        <v>-0.01</v>
      </c>
      <c r="PE595" s="2">
        <v>0</v>
      </c>
      <c r="PF595" s="2">
        <v>0</v>
      </c>
      <c r="PG595" s="2">
        <v>0</v>
      </c>
      <c r="PH595" s="2">
        <v>0.01</v>
      </c>
      <c r="PI595" s="2">
        <v>0</v>
      </c>
    </row>
    <row r="596">
      <c r="A596" t="inlineStr">
        <is>
          <t>A130393206L</t>
        </is>
      </c>
      <c r="B596" t="inlineStr">
        <is>
          <t>Change in Contribution to All groups CPI Index Number ;  Bread ;  Australia ;</t>
        </is>
      </c>
      <c r="C596" t="inlineStr">
        <is>
          <t>Month</t>
        </is>
      </c>
      <c r="D596" t="inlineStr">
        <is>
          <t>Index Points</t>
        </is>
      </c>
      <c r="E596" t="inlineStr">
        <is>
          <t>Original</t>
        </is>
      </c>
      <c r="F596" t="inlineStr">
        <is>
          <t>640103.xlsx</t>
        </is>
      </c>
      <c r="G596" t="inlineStr">
        <is>
          <t>2025-01</t>
        </is>
      </c>
      <c r="H596" t="inlineStr">
        <is>
          <t>2026-07</t>
        </is>
      </c>
      <c r="OM596" s="2">
        <v>0</v>
      </c>
      <c r="ON596" s="2">
        <v>0</v>
      </c>
      <c r="OO596" s="2">
        <v>0</v>
      </c>
      <c r="OP596" s="2">
        <v>0</v>
      </c>
      <c r="OQ596" s="2">
        <v>0</v>
      </c>
      <c r="OR596" s="2">
        <v>-0.01</v>
      </c>
      <c r="OS596" s="2">
        <v>0.01</v>
      </c>
      <c r="OT596" s="2">
        <v>-0.01</v>
      </c>
      <c r="OU596" s="2">
        <v>0</v>
      </c>
      <c r="OV596" s="2">
        <v>0.01</v>
      </c>
      <c r="OW596" s="2">
        <v>0</v>
      </c>
      <c r="OX596" s="2">
        <v>0</v>
      </c>
      <c r="PC596" s="2">
        <v>0</v>
      </c>
      <c r="PD596" s="2">
        <v>0</v>
      </c>
      <c r="PE596" s="2">
        <v>0.01</v>
      </c>
      <c r="PF596" s="2">
        <v>0</v>
      </c>
      <c r="PG596" s="2">
        <v>0</v>
      </c>
      <c r="PH596" s="2">
        <v>0</v>
      </c>
      <c r="PI596" s="2">
        <v>0</v>
      </c>
    </row>
    <row r="597">
      <c r="A597" t="inlineStr">
        <is>
          <t>A130399328V</t>
        </is>
      </c>
      <c r="B597" t="inlineStr">
        <is>
          <t>Change in Contribution to All groups CPI Index Number ;  Cakes and biscuits ;  Australia ;</t>
        </is>
      </c>
      <c r="C597" t="inlineStr">
        <is>
          <t>Month</t>
        </is>
      </c>
      <c r="D597" t="inlineStr">
        <is>
          <t>Index Points</t>
        </is>
      </c>
      <c r="E597" t="inlineStr">
        <is>
          <t>Original</t>
        </is>
      </c>
      <c r="F597" t="inlineStr">
        <is>
          <t>640103.xlsx</t>
        </is>
      </c>
      <c r="G597" t="inlineStr">
        <is>
          <t>2025-01</t>
        </is>
      </c>
      <c r="H597" t="inlineStr">
        <is>
          <t>2026-07</t>
        </is>
      </c>
      <c r="OM597" s="2">
        <v>0.01</v>
      </c>
      <c r="ON597" s="2">
        <v>-0.02</v>
      </c>
      <c r="OO597" s="2">
        <v>0.01</v>
      </c>
      <c r="OP597" s="2">
        <v>0</v>
      </c>
      <c r="OQ597" s="2">
        <v>0</v>
      </c>
      <c r="OR597" s="2">
        <v>0</v>
      </c>
      <c r="OS597" s="2">
        <v>0.01</v>
      </c>
      <c r="OT597" s="2">
        <v>0</v>
      </c>
      <c r="OU597" s="2">
        <v>-0.01</v>
      </c>
      <c r="OV597" s="2">
        <v>0</v>
      </c>
      <c r="OW597" s="2">
        <v>0.01</v>
      </c>
      <c r="OX597" s="2">
        <v>0</v>
      </c>
      <c r="PC597" s="2">
        <v>0.01</v>
      </c>
      <c r="PD597" s="2">
        <v>-0.02</v>
      </c>
      <c r="PE597" s="2">
        <v>0.01</v>
      </c>
      <c r="PF597" s="2">
        <v>-0.01</v>
      </c>
      <c r="PG597" s="2">
        <v>0.01</v>
      </c>
      <c r="PH597" s="2">
        <v>0</v>
      </c>
      <c r="PI597" s="2">
        <v>0</v>
      </c>
    </row>
    <row r="598">
      <c r="A598" t="inlineStr">
        <is>
          <t>A130393227X</t>
        </is>
      </c>
      <c r="B598" t="inlineStr">
        <is>
          <t>Change in Contribution to All groups CPI Index Number ;  Breakfast cereals ;  Australia ;</t>
        </is>
      </c>
      <c r="C598" t="inlineStr">
        <is>
          <t>Month</t>
        </is>
      </c>
      <c r="D598" t="inlineStr">
        <is>
          <t>Index Points</t>
        </is>
      </c>
      <c r="E598" t="inlineStr">
        <is>
          <t>Original</t>
        </is>
      </c>
      <c r="F598" t="inlineStr">
        <is>
          <t>640103.xlsx</t>
        </is>
      </c>
      <c r="G598" t="inlineStr">
        <is>
          <t>2025-01</t>
        </is>
      </c>
      <c r="H598" t="inlineStr">
        <is>
          <t>2026-07</t>
        </is>
      </c>
      <c r="OM598" s="2">
        <v>0</v>
      </c>
      <c r="ON598" s="2">
        <v>0</v>
      </c>
      <c r="OO598" s="2">
        <v>0</v>
      </c>
      <c r="OP598" s="2">
        <v>-0.01</v>
      </c>
      <c r="OQ598" s="2">
        <v>0</v>
      </c>
      <c r="OR598" s="2">
        <v>0</v>
      </c>
      <c r="OS598" s="2">
        <v>0</v>
      </c>
      <c r="OT598" s="2">
        <v>0</v>
      </c>
      <c r="OU598" s="2">
        <v>0.01</v>
      </c>
      <c r="OV598" s="2">
        <v>0</v>
      </c>
      <c r="OW598" s="2">
        <v>0</v>
      </c>
      <c r="OX598" s="2">
        <v>0.01</v>
      </c>
      <c r="PC598" s="2">
        <v>-0.01</v>
      </c>
      <c r="PD598" s="2">
        <v>0</v>
      </c>
      <c r="PE598" s="2">
        <v>0</v>
      </c>
      <c r="PF598" s="2">
        <v>0</v>
      </c>
      <c r="PG598" s="2">
        <v>0</v>
      </c>
      <c r="PH598" s="2">
        <v>0</v>
      </c>
      <c r="PI598" s="2">
        <v>0</v>
      </c>
    </row>
    <row r="599">
      <c r="A599" t="inlineStr">
        <is>
          <t>A130398065K</t>
        </is>
      </c>
      <c r="B599" t="inlineStr">
        <is>
          <t>Change in Contribution to All groups CPI Index Number ;  Other cereal products ;  Australia ;</t>
        </is>
      </c>
      <c r="C599" t="inlineStr">
        <is>
          <t>Month</t>
        </is>
      </c>
      <c r="D599" t="inlineStr">
        <is>
          <t>Index Points</t>
        </is>
      </c>
      <c r="E599" t="inlineStr">
        <is>
          <t>Original</t>
        </is>
      </c>
      <c r="F599" t="inlineStr">
        <is>
          <t>640103.xlsx</t>
        </is>
      </c>
      <c r="G599" t="inlineStr">
        <is>
          <t>2025-01</t>
        </is>
      </c>
      <c r="H599" t="inlineStr">
        <is>
          <t>2026-07</t>
        </is>
      </c>
      <c r="OM599" s="2">
        <v>0</v>
      </c>
      <c r="ON599" s="2">
        <v>0</v>
      </c>
      <c r="OO599" s="2">
        <v>0</v>
      </c>
      <c r="OP599" s="2">
        <v>0</v>
      </c>
      <c r="OQ599" s="2">
        <v>0</v>
      </c>
      <c r="OR599" s="2">
        <v>0</v>
      </c>
      <c r="OS599" s="2">
        <v>0</v>
      </c>
      <c r="OT599" s="2">
        <v>0</v>
      </c>
      <c r="OU599" s="2">
        <v>0</v>
      </c>
      <c r="OV599" s="2">
        <v>0</v>
      </c>
      <c r="OW599" s="2">
        <v>0</v>
      </c>
      <c r="OX599" s="2">
        <v>0</v>
      </c>
      <c r="PC599" s="2">
        <v>0</v>
      </c>
      <c r="PD599" s="2">
        <v>0</v>
      </c>
      <c r="PE599" s="2">
        <v>0</v>
      </c>
      <c r="PF599" s="2">
        <v>0</v>
      </c>
      <c r="PG599" s="2">
        <v>0</v>
      </c>
      <c r="PH599" s="2">
        <v>0</v>
      </c>
      <c r="PI599" s="2">
        <v>0</v>
      </c>
    </row>
    <row r="600">
      <c r="A600" t="inlineStr">
        <is>
          <t>A130394368W</t>
        </is>
      </c>
      <c r="B600" t="inlineStr">
        <is>
          <t>Change in Contribution to All groups CPI Index Number ;  Meat and seafoods ;  Australia ;</t>
        </is>
      </c>
      <c r="C600" t="inlineStr">
        <is>
          <t>Month</t>
        </is>
      </c>
      <c r="D600" t="inlineStr">
        <is>
          <t>Index Points</t>
        </is>
      </c>
      <c r="E600" t="inlineStr">
        <is>
          <t>Original</t>
        </is>
      </c>
      <c r="F600" t="inlineStr">
        <is>
          <t>640103.xlsx</t>
        </is>
      </c>
      <c r="G600" t="inlineStr">
        <is>
          <t>2025-01</t>
        </is>
      </c>
      <c r="H600" t="inlineStr">
        <is>
          <t>2026-07</t>
        </is>
      </c>
      <c r="OM600" s="2">
        <v>0.02</v>
      </c>
      <c r="ON600" s="2">
        <v>0</v>
      </c>
      <c r="OO600" s="2">
        <v>0</v>
      </c>
      <c r="OP600" s="2">
        <v>-0.01</v>
      </c>
      <c r="OQ600" s="2">
        <v>0.02</v>
      </c>
      <c r="OR600" s="2">
        <v>-0.01</v>
      </c>
      <c r="OS600" s="2">
        <v>0</v>
      </c>
      <c r="OT600" s="2">
        <v>0.02</v>
      </c>
      <c r="OU600" s="2">
        <v>0.01</v>
      </c>
      <c r="OV600" s="2">
        <v>0.02</v>
      </c>
      <c r="OW600" s="2">
        <v>0.01</v>
      </c>
      <c r="OX600" s="2">
        <v>0.01</v>
      </c>
      <c r="PC600" s="2">
        <v>0.01</v>
      </c>
      <c r="PD600" s="2">
        <v>0.01</v>
      </c>
      <c r="PE600" s="2">
        <v>0.01</v>
      </c>
      <c r="PF600" s="2">
        <v>-0.01</v>
      </c>
      <c r="PG600" s="2">
        <v>0.03</v>
      </c>
      <c r="PH600" s="2">
        <v>-0.01</v>
      </c>
      <c r="PI600" s="2">
        <v>0.01</v>
      </c>
    </row>
    <row r="601">
      <c r="A601" t="inlineStr">
        <is>
          <t>A130393248K</t>
        </is>
      </c>
      <c r="B601" t="inlineStr">
        <is>
          <t>Change in Contribution to All groups CPI Index Number ;  Beef and veal ;  Australia ;</t>
        </is>
      </c>
      <c r="C601" t="inlineStr">
        <is>
          <t>Month</t>
        </is>
      </c>
      <c r="D601" t="inlineStr">
        <is>
          <t>Index Points</t>
        </is>
      </c>
      <c r="E601" t="inlineStr">
        <is>
          <t>Original</t>
        </is>
      </c>
      <c r="F601" t="inlineStr">
        <is>
          <t>640103.xlsx</t>
        </is>
      </c>
      <c r="G601" t="inlineStr">
        <is>
          <t>2025-01</t>
        </is>
      </c>
      <c r="H601" t="inlineStr">
        <is>
          <t>2026-07</t>
        </is>
      </c>
      <c r="OM601" s="2">
        <v>0.01</v>
      </c>
      <c r="ON601" s="2">
        <v>-0.01</v>
      </c>
      <c r="OO601" s="2">
        <v>0.01</v>
      </c>
      <c r="OP601" s="2">
        <v>0</v>
      </c>
      <c r="OQ601" s="2">
        <v>0</v>
      </c>
      <c r="OR601" s="2">
        <v>0.01</v>
      </c>
      <c r="OS601" s="2">
        <v>-0.01</v>
      </c>
      <c r="OT601" s="2">
        <v>0.01</v>
      </c>
      <c r="OU601" s="2">
        <v>0.01</v>
      </c>
      <c r="OV601" s="2">
        <v>0.01</v>
      </c>
      <c r="OW601" s="2">
        <v>0.01</v>
      </c>
      <c r="OX601" s="2">
        <v>-0.01</v>
      </c>
      <c r="PC601" s="2">
        <v>0.01</v>
      </c>
      <c r="PD601" s="2">
        <v>0.01</v>
      </c>
      <c r="PE601" s="2">
        <v>0</v>
      </c>
      <c r="PF601" s="2">
        <v>0</v>
      </c>
      <c r="PG601" s="2">
        <v>0.01</v>
      </c>
      <c r="PH601" s="2">
        <v>0</v>
      </c>
      <c r="PI601" s="2">
        <v>0</v>
      </c>
    </row>
    <row r="602">
      <c r="A602" t="inlineStr">
        <is>
          <t>A130395341R</t>
        </is>
      </c>
      <c r="B602" t="inlineStr">
        <is>
          <t>Change in Contribution to All groups CPI Index Number ;  Pork ;  Australia ;</t>
        </is>
      </c>
      <c r="C602" t="inlineStr">
        <is>
          <t>Month</t>
        </is>
      </c>
      <c r="D602" t="inlineStr">
        <is>
          <t>Index Points</t>
        </is>
      </c>
      <c r="E602" t="inlineStr">
        <is>
          <t>Original</t>
        </is>
      </c>
      <c r="F602" t="inlineStr">
        <is>
          <t>640103.xlsx</t>
        </is>
      </c>
      <c r="G602" t="inlineStr">
        <is>
          <t>2025-01</t>
        </is>
      </c>
      <c r="H602" t="inlineStr">
        <is>
          <t>2026-07</t>
        </is>
      </c>
      <c r="OM602" s="2">
        <v>0</v>
      </c>
      <c r="ON602" s="2">
        <v>0</v>
      </c>
      <c r="OO602" s="2">
        <v>0.01</v>
      </c>
      <c r="OP602" s="2">
        <v>-0.01</v>
      </c>
      <c r="OQ602" s="2">
        <v>0.01</v>
      </c>
      <c r="OR602" s="2">
        <v>-0.01</v>
      </c>
      <c r="OS602" s="2">
        <v>0</v>
      </c>
      <c r="OT602" s="2">
        <v>0</v>
      </c>
      <c r="OU602" s="2">
        <v>0</v>
      </c>
      <c r="OV602" s="2">
        <v>0</v>
      </c>
      <c r="OW602" s="2">
        <v>0.01</v>
      </c>
      <c r="OX602" s="2">
        <v>-0.01</v>
      </c>
      <c r="PC602" s="2">
        <v>0.01</v>
      </c>
      <c r="PD602" s="2">
        <v>0</v>
      </c>
      <c r="PE602" s="2">
        <v>0</v>
      </c>
      <c r="PF602" s="2">
        <v>0</v>
      </c>
      <c r="PG602" s="2">
        <v>0</v>
      </c>
      <c r="PH602" s="2">
        <v>0</v>
      </c>
      <c r="PI602" s="2">
        <v>0</v>
      </c>
    </row>
    <row r="603">
      <c r="A603" t="inlineStr">
        <is>
          <t>A130399377R</t>
        </is>
      </c>
      <c r="B603" t="inlineStr">
        <is>
          <t>Change in Contribution to All groups CPI Index Number ;  Lamb and goat ;  Australia ;</t>
        </is>
      </c>
      <c r="C603" t="inlineStr">
        <is>
          <t>Month</t>
        </is>
      </c>
      <c r="D603" t="inlineStr">
        <is>
          <t>Index Points</t>
        </is>
      </c>
      <c r="E603" t="inlineStr">
        <is>
          <t>Original</t>
        </is>
      </c>
      <c r="F603" t="inlineStr">
        <is>
          <t>640103.xlsx</t>
        </is>
      </c>
      <c r="G603" t="inlineStr">
        <is>
          <t>2025-01</t>
        </is>
      </c>
      <c r="H603" t="inlineStr">
        <is>
          <t>2026-07</t>
        </is>
      </c>
      <c r="OM603" s="2">
        <v>0.01</v>
      </c>
      <c r="ON603" s="2">
        <v>0</v>
      </c>
      <c r="OO603" s="2">
        <v>0</v>
      </c>
      <c r="OP603" s="2">
        <v>0</v>
      </c>
      <c r="OQ603" s="2">
        <v>0</v>
      </c>
      <c r="OR603" s="2">
        <v>0</v>
      </c>
      <c r="OS603" s="2">
        <v>0</v>
      </c>
      <c r="OT603" s="2">
        <v>0.01</v>
      </c>
      <c r="OU603" s="2">
        <v>0.01</v>
      </c>
      <c r="OV603" s="2">
        <v>0.01</v>
      </c>
      <c r="OW603" s="2">
        <v>0</v>
      </c>
      <c r="OX603" s="2">
        <v>0</v>
      </c>
      <c r="PC603" s="2">
        <v>-0.01</v>
      </c>
      <c r="PD603" s="2">
        <v>0.01</v>
      </c>
      <c r="PE603" s="2">
        <v>0</v>
      </c>
      <c r="PF603" s="2">
        <v>0</v>
      </c>
      <c r="PG603" s="2">
        <v>0.01</v>
      </c>
      <c r="PH603" s="2">
        <v>-0.01</v>
      </c>
      <c r="PI603" s="2">
        <v>0.01</v>
      </c>
    </row>
    <row r="604">
      <c r="A604" t="inlineStr">
        <is>
          <t>A130391925W</t>
        </is>
      </c>
      <c r="B604" t="inlineStr">
        <is>
          <t>Change in Contribution to All groups CPI Index Number ;  Poultry ;  Australia ;</t>
        </is>
      </c>
      <c r="C604" t="inlineStr">
        <is>
          <t>Month</t>
        </is>
      </c>
      <c r="D604" t="inlineStr">
        <is>
          <t>Index Points</t>
        </is>
      </c>
      <c r="E604" t="inlineStr">
        <is>
          <t>Original</t>
        </is>
      </c>
      <c r="F604" t="inlineStr">
        <is>
          <t>640103.xlsx</t>
        </is>
      </c>
      <c r="G604" t="inlineStr">
        <is>
          <t>2025-01</t>
        </is>
      </c>
      <c r="H604" t="inlineStr">
        <is>
          <t>2026-07</t>
        </is>
      </c>
      <c r="OM604" s="2">
        <v>0.01</v>
      </c>
      <c r="ON604" s="2">
        <v>0</v>
      </c>
      <c r="OO604" s="2">
        <v>-0.01</v>
      </c>
      <c r="OP604" s="2">
        <v>0</v>
      </c>
      <c r="OQ604" s="2">
        <v>0</v>
      </c>
      <c r="OR604" s="2">
        <v>0</v>
      </c>
      <c r="OS604" s="2">
        <v>0</v>
      </c>
      <c r="OT604" s="2">
        <v>0</v>
      </c>
      <c r="OU604" s="2">
        <v>0</v>
      </c>
      <c r="OV604" s="2">
        <v>0</v>
      </c>
      <c r="OW604" s="2">
        <v>0</v>
      </c>
      <c r="OX604" s="2">
        <v>0</v>
      </c>
      <c r="PC604" s="2">
        <v>0</v>
      </c>
      <c r="PD604" s="2">
        <v>0</v>
      </c>
      <c r="PE604" s="2">
        <v>0.01</v>
      </c>
      <c r="PF604" s="2">
        <v>-0.01</v>
      </c>
      <c r="PG604" s="2">
        <v>0.01</v>
      </c>
      <c r="PH604" s="2">
        <v>0</v>
      </c>
      <c r="PI604" s="2">
        <v>0</v>
      </c>
    </row>
    <row r="605">
      <c r="A605" t="inlineStr">
        <is>
          <t>A130391932V</t>
        </is>
      </c>
      <c r="B605" t="inlineStr">
        <is>
          <t>Change in Contribution to All groups CPI Index Number ;  Other meats ;  Australia ;</t>
        </is>
      </c>
      <c r="C605" t="inlineStr">
        <is>
          <t>Month</t>
        </is>
      </c>
      <c r="D605" t="inlineStr">
        <is>
          <t>Index Points</t>
        </is>
      </c>
      <c r="E605" t="inlineStr">
        <is>
          <t>Original</t>
        </is>
      </c>
      <c r="F605" t="inlineStr">
        <is>
          <t>640103.xlsx</t>
        </is>
      </c>
      <c r="G605" t="inlineStr">
        <is>
          <t>2025-01</t>
        </is>
      </c>
      <c r="H605" t="inlineStr">
        <is>
          <t>2026-07</t>
        </is>
      </c>
      <c r="OM605" s="2">
        <v>0</v>
      </c>
      <c r="ON605" s="2">
        <v>0</v>
      </c>
      <c r="OO605" s="2">
        <v>0</v>
      </c>
      <c r="OP605" s="2">
        <v>0</v>
      </c>
      <c r="OQ605" s="2">
        <v>0</v>
      </c>
      <c r="OR605" s="2">
        <v>0</v>
      </c>
      <c r="OS605" s="2">
        <v>0</v>
      </c>
      <c r="OT605" s="2">
        <v>0</v>
      </c>
      <c r="OU605" s="2">
        <v>-0.01</v>
      </c>
      <c r="OV605" s="2">
        <v>0.01</v>
      </c>
      <c r="OW605" s="2">
        <v>0</v>
      </c>
      <c r="OX605" s="2">
        <v>0.01</v>
      </c>
      <c r="PC605" s="2">
        <v>-0.01</v>
      </c>
      <c r="PD605" s="2">
        <v>0</v>
      </c>
      <c r="PE605" s="2">
        <v>0.01</v>
      </c>
      <c r="PF605" s="2">
        <v>0</v>
      </c>
      <c r="PG605" s="2">
        <v>0</v>
      </c>
      <c r="PH605" s="2">
        <v>0</v>
      </c>
      <c r="PI605" s="2">
        <v>0</v>
      </c>
    </row>
    <row r="606">
      <c r="A606" t="inlineStr">
        <is>
          <t>A130390602K</t>
        </is>
      </c>
      <c r="B606" t="inlineStr">
        <is>
          <t>Change in Contribution to All groups CPI Index Number ;  Fish and other seafood ;  Australia ;</t>
        </is>
      </c>
      <c r="C606" t="inlineStr">
        <is>
          <t>Month</t>
        </is>
      </c>
      <c r="D606" t="inlineStr">
        <is>
          <t>Index Points</t>
        </is>
      </c>
      <c r="E606" t="inlineStr">
        <is>
          <t>Original</t>
        </is>
      </c>
      <c r="F606" t="inlineStr">
        <is>
          <t>640103.xlsx</t>
        </is>
      </c>
      <c r="G606" t="inlineStr">
        <is>
          <t>2025-01</t>
        </is>
      </c>
      <c r="H606" t="inlineStr">
        <is>
          <t>2026-07</t>
        </is>
      </c>
      <c r="OM606" s="2">
        <v>0</v>
      </c>
      <c r="ON606" s="2">
        <v>0</v>
      </c>
      <c r="OO606" s="2">
        <v>-0.01</v>
      </c>
      <c r="OP606" s="2">
        <v>0</v>
      </c>
      <c r="OQ606" s="2">
        <v>0.01</v>
      </c>
      <c r="OR606" s="2">
        <v>0</v>
      </c>
      <c r="OS606" s="2">
        <v>0</v>
      </c>
      <c r="OT606" s="2">
        <v>0</v>
      </c>
      <c r="OU606" s="2">
        <v>0</v>
      </c>
      <c r="OV606" s="2">
        <v>0</v>
      </c>
      <c r="OW606" s="2">
        <v>0</v>
      </c>
      <c r="OX606" s="2">
        <v>0</v>
      </c>
      <c r="PC606" s="2">
        <v>0</v>
      </c>
      <c r="PD606" s="2">
        <v>0</v>
      </c>
      <c r="PE606" s="2">
        <v>0</v>
      </c>
      <c r="PF606" s="2">
        <v>0</v>
      </c>
      <c r="PG606" s="2">
        <v>0</v>
      </c>
      <c r="PH606" s="2">
        <v>0</v>
      </c>
      <c r="PI606" s="2">
        <v>0</v>
      </c>
    </row>
    <row r="607">
      <c r="A607" t="inlineStr">
        <is>
          <t>A130393038L</t>
        </is>
      </c>
      <c r="B607" t="inlineStr">
        <is>
          <t>Change in Contribution to All groups CPI Index Number ;  Dairy and related products ;  Australia ;</t>
        </is>
      </c>
      <c r="C607" t="inlineStr">
        <is>
          <t>Month</t>
        </is>
      </c>
      <c r="D607" t="inlineStr">
        <is>
          <t>Index Points</t>
        </is>
      </c>
      <c r="E607" t="inlineStr">
        <is>
          <t>Original</t>
        </is>
      </c>
      <c r="F607" t="inlineStr">
        <is>
          <t>640103.xlsx</t>
        </is>
      </c>
      <c r="G607" t="inlineStr">
        <is>
          <t>2025-01</t>
        </is>
      </c>
      <c r="H607" t="inlineStr">
        <is>
          <t>2026-07</t>
        </is>
      </c>
      <c r="OM607" s="2">
        <v>0</v>
      </c>
      <c r="ON607" s="2">
        <v>-0.01</v>
      </c>
      <c r="OO607" s="2">
        <v>0.01</v>
      </c>
      <c r="OP607" s="2">
        <v>0</v>
      </c>
      <c r="OQ607" s="2">
        <v>0</v>
      </c>
      <c r="OR607" s="2">
        <v>0</v>
      </c>
      <c r="OS607" s="2">
        <v>0</v>
      </c>
      <c r="OT607" s="2">
        <v>0.01</v>
      </c>
      <c r="OU607" s="2">
        <v>0.01</v>
      </c>
      <c r="OV607" s="2">
        <v>-0.01</v>
      </c>
      <c r="OW607" s="2">
        <v>0.01</v>
      </c>
      <c r="OX607" s="2">
        <v>0.01</v>
      </c>
      <c r="PC607" s="2">
        <v>0</v>
      </c>
      <c r="PD607" s="2">
        <v>-0.01</v>
      </c>
      <c r="PE607" s="2">
        <v>0.01</v>
      </c>
      <c r="PF607" s="2">
        <v>0</v>
      </c>
      <c r="PG607" s="2">
        <v>0.02</v>
      </c>
      <c r="PH607" s="2">
        <v>0.02</v>
      </c>
      <c r="PI607" s="2">
        <v>0</v>
      </c>
    </row>
    <row r="608">
      <c r="A608" t="inlineStr">
        <is>
          <t>A130391848C</t>
        </is>
      </c>
      <c r="B608" t="inlineStr">
        <is>
          <t>Change in Contribution to All groups CPI Index Number ;  Milk ;  Australia ;</t>
        </is>
      </c>
      <c r="C608" t="inlineStr">
        <is>
          <t>Month</t>
        </is>
      </c>
      <c r="D608" t="inlineStr">
        <is>
          <t>Index Points</t>
        </is>
      </c>
      <c r="E608" t="inlineStr">
        <is>
          <t>Original</t>
        </is>
      </c>
      <c r="F608" t="inlineStr">
        <is>
          <t>640103.xlsx</t>
        </is>
      </c>
      <c r="G608" t="inlineStr">
        <is>
          <t>2025-01</t>
        </is>
      </c>
      <c r="H608" t="inlineStr">
        <is>
          <t>2026-07</t>
        </is>
      </c>
      <c r="OM608" s="2">
        <v>0</v>
      </c>
      <c r="ON608" s="2">
        <v>-0.01</v>
      </c>
      <c r="OO608" s="2">
        <v>0</v>
      </c>
      <c r="OP608" s="2">
        <v>0.01</v>
      </c>
      <c r="OQ608" s="2">
        <v>-0.01</v>
      </c>
      <c r="OR608" s="2">
        <v>0.01</v>
      </c>
      <c r="OS608" s="2">
        <v>0</v>
      </c>
      <c r="OT608" s="2">
        <v>0</v>
      </c>
      <c r="OU608" s="2">
        <v>0.01</v>
      </c>
      <c r="OV608" s="2">
        <v>-0.01</v>
      </c>
      <c r="OW608" s="2">
        <v>0.01</v>
      </c>
      <c r="OX608" s="2">
        <v>0</v>
      </c>
      <c r="PC608" s="2">
        <v>0</v>
      </c>
      <c r="PD608" s="2">
        <v>0</v>
      </c>
      <c r="PE608" s="2">
        <v>0</v>
      </c>
      <c r="PF608" s="2">
        <v>0</v>
      </c>
      <c r="PG608" s="2">
        <v>0.02</v>
      </c>
      <c r="PH608" s="2">
        <v>0</v>
      </c>
      <c r="PI608" s="2">
        <v>0.01</v>
      </c>
    </row>
    <row r="609">
      <c r="A609" t="inlineStr">
        <is>
          <t>A130390539F</t>
        </is>
      </c>
      <c r="B609" t="inlineStr">
        <is>
          <t>Change in Contribution to All groups CPI Index Number ;  Cheese ;  Australia ;</t>
        </is>
      </c>
      <c r="C609" t="inlineStr">
        <is>
          <t>Month</t>
        </is>
      </c>
      <c r="D609" t="inlineStr">
        <is>
          <t>Index Points</t>
        </is>
      </c>
      <c r="E609" t="inlineStr">
        <is>
          <t>Original</t>
        </is>
      </c>
      <c r="F609" t="inlineStr">
        <is>
          <t>640103.xlsx</t>
        </is>
      </c>
      <c r="G609" t="inlineStr">
        <is>
          <t>2025-01</t>
        </is>
      </c>
      <c r="H609" t="inlineStr">
        <is>
          <t>2026-07</t>
        </is>
      </c>
      <c r="OM609" s="2">
        <v>0</v>
      </c>
      <c r="ON609" s="2">
        <v>0</v>
      </c>
      <c r="OO609" s="2">
        <v>0.01</v>
      </c>
      <c r="OP609" s="2">
        <v>-0.01</v>
      </c>
      <c r="OQ609" s="2">
        <v>0</v>
      </c>
      <c r="OR609" s="2">
        <v>0</v>
      </c>
      <c r="OS609" s="2">
        <v>0</v>
      </c>
      <c r="OT609" s="2">
        <v>0</v>
      </c>
      <c r="OU609" s="2">
        <v>0</v>
      </c>
      <c r="OV609" s="2">
        <v>0</v>
      </c>
      <c r="OW609" s="2">
        <v>0</v>
      </c>
      <c r="OX609" s="2">
        <v>0</v>
      </c>
      <c r="PC609" s="2">
        <v>0</v>
      </c>
      <c r="PD609" s="2">
        <v>0</v>
      </c>
      <c r="PE609" s="2">
        <v>0</v>
      </c>
      <c r="PF609" s="2">
        <v>0</v>
      </c>
      <c r="PG609" s="2">
        <v>0</v>
      </c>
      <c r="PH609" s="2">
        <v>0.01</v>
      </c>
      <c r="PI609" s="2">
        <v>0</v>
      </c>
    </row>
    <row r="610">
      <c r="A610" t="inlineStr">
        <is>
          <t>A130393199A</t>
        </is>
      </c>
      <c r="B610" t="inlineStr">
        <is>
          <t>Change in Contribution to All groups CPI Index Number ;  Ice cream and other dairy products ;  Australia ;</t>
        </is>
      </c>
      <c r="C610" t="inlineStr">
        <is>
          <t>Month</t>
        </is>
      </c>
      <c r="D610" t="inlineStr">
        <is>
          <t>Index Points</t>
        </is>
      </c>
      <c r="E610" t="inlineStr">
        <is>
          <t>Original</t>
        </is>
      </c>
      <c r="F610" t="inlineStr">
        <is>
          <t>640103.xlsx</t>
        </is>
      </c>
      <c r="G610" t="inlineStr">
        <is>
          <t>2025-01</t>
        </is>
      </c>
      <c r="H610" t="inlineStr">
        <is>
          <t>2026-07</t>
        </is>
      </c>
      <c r="OM610" s="2">
        <v>0</v>
      </c>
      <c r="ON610" s="2">
        <v>-0.01</v>
      </c>
      <c r="OO610" s="2">
        <v>0.01</v>
      </c>
      <c r="OP610" s="2">
        <v>0</v>
      </c>
      <c r="OQ610" s="2">
        <v>0</v>
      </c>
      <c r="OR610" s="2">
        <v>0</v>
      </c>
      <c r="OS610" s="2">
        <v>0</v>
      </c>
      <c r="OT610" s="2">
        <v>0</v>
      </c>
      <c r="OU610" s="2">
        <v>0.01</v>
      </c>
      <c r="OV610" s="2">
        <v>0</v>
      </c>
      <c r="OW610" s="2">
        <v>0</v>
      </c>
      <c r="OX610" s="2">
        <v>0</v>
      </c>
      <c r="PC610" s="2">
        <v>0</v>
      </c>
      <c r="PD610" s="2">
        <v>0</v>
      </c>
      <c r="PE610" s="2">
        <v>0.01</v>
      </c>
      <c r="PF610" s="2">
        <v>-0.01</v>
      </c>
      <c r="PG610" s="2">
        <v>0</v>
      </c>
      <c r="PH610" s="2">
        <v>0.01</v>
      </c>
      <c r="PI610" s="2">
        <v>0</v>
      </c>
    </row>
    <row r="611">
      <c r="A611" t="inlineStr">
        <is>
          <t>A130395096W</t>
        </is>
      </c>
      <c r="B611" t="inlineStr">
        <is>
          <t>Change in Contribution to All groups CPI Index Number ;  Fruit and vegetables ;  Australia ;</t>
        </is>
      </c>
      <c r="C611" t="inlineStr">
        <is>
          <t>Month</t>
        </is>
      </c>
      <c r="D611" t="inlineStr">
        <is>
          <t>Index Points</t>
        </is>
      </c>
      <c r="E611" t="inlineStr">
        <is>
          <t>Original</t>
        </is>
      </c>
      <c r="F611" t="inlineStr">
        <is>
          <t>640103.xlsx</t>
        </is>
      </c>
      <c r="G611" t="inlineStr">
        <is>
          <t>2025-01</t>
        </is>
      </c>
      <c r="H611" t="inlineStr">
        <is>
          <t>2026-07</t>
        </is>
      </c>
      <c r="OM611" s="2">
        <v>0.06</v>
      </c>
      <c r="ON611" s="2">
        <v>-0.01</v>
      </c>
      <c r="OO611" s="2">
        <v>0.05</v>
      </c>
      <c r="OP611" s="2">
        <v>0.05</v>
      </c>
      <c r="OQ611" s="2">
        <v>-0.01</v>
      </c>
      <c r="OR611" s="2">
        <v>0.04</v>
      </c>
      <c r="OS611" s="2">
        <v>0.02</v>
      </c>
      <c r="OT611" s="2">
        <v>-0.06</v>
      </c>
      <c r="OU611" s="2">
        <v>-0.09</v>
      </c>
      <c r="OV611" s="2">
        <v>0.01</v>
      </c>
      <c r="OW611" s="2">
        <v>0.02</v>
      </c>
      <c r="OX611" s="2">
        <v>-0.01</v>
      </c>
      <c r="PC611" s="2">
        <v>0.02</v>
      </c>
      <c r="PD611" s="2">
        <v>0</v>
      </c>
      <c r="PE611" s="2">
        <v>0.05</v>
      </c>
      <c r="PF611" s="2">
        <v>0.02</v>
      </c>
      <c r="PG611" s="2">
        <v>0.02</v>
      </c>
      <c r="PH611" s="2">
        <v>0.02</v>
      </c>
      <c r="PI611" s="2">
        <v>-0.02</v>
      </c>
    </row>
    <row r="612">
      <c r="A612" t="inlineStr">
        <is>
          <t>A130392450W</t>
        </is>
      </c>
      <c r="B612" t="inlineStr">
        <is>
          <t>Change in Contribution to All groups CPI Index Number ;  Fruit ;  Australia ;</t>
        </is>
      </c>
      <c r="C612" t="inlineStr">
        <is>
          <t>Month</t>
        </is>
      </c>
      <c r="D612" t="inlineStr">
        <is>
          <t>Index Points</t>
        </is>
      </c>
      <c r="E612" t="inlineStr">
        <is>
          <t>Original</t>
        </is>
      </c>
      <c r="F612" t="inlineStr">
        <is>
          <t>640103.xlsx</t>
        </is>
      </c>
      <c r="G612" t="inlineStr">
        <is>
          <t>2025-01</t>
        </is>
      </c>
      <c r="H612" t="inlineStr">
        <is>
          <t>2026-07</t>
        </is>
      </c>
      <c r="OM612" s="2">
        <v>0.02</v>
      </c>
      <c r="ON612" s="2">
        <v>0</v>
      </c>
      <c r="OO612" s="2">
        <v>0.02</v>
      </c>
      <c r="OP612" s="2">
        <v>0.04</v>
      </c>
      <c r="OQ612" s="2">
        <v>-0.03</v>
      </c>
      <c r="OR612" s="2">
        <v>0.01</v>
      </c>
      <c r="OS612" s="2">
        <v>0.02</v>
      </c>
      <c r="OT612" s="2">
        <v>-0.01</v>
      </c>
      <c r="OU612" s="2">
        <v>-0.06</v>
      </c>
      <c r="OV612" s="2">
        <v>0.03</v>
      </c>
      <c r="OW612" s="2">
        <v>0.01</v>
      </c>
      <c r="OX612" s="2">
        <v>-0.02</v>
      </c>
      <c r="PC612" s="2">
        <v>0</v>
      </c>
      <c r="PD612" s="2">
        <v>0.02</v>
      </c>
      <c r="PE612" s="2">
        <v>0.03</v>
      </c>
      <c r="PF612" s="2">
        <v>-0.02</v>
      </c>
      <c r="PG612" s="2">
        <v>0.03</v>
      </c>
      <c r="PH612" s="2">
        <v>0.04</v>
      </c>
      <c r="PI612" s="2">
        <v>-0.02</v>
      </c>
    </row>
    <row r="613">
      <c r="A613" t="inlineStr">
        <is>
          <t>A130397491J</t>
        </is>
      </c>
      <c r="B613" t="inlineStr">
        <is>
          <t>Change in Contribution to All groups CPI Index Number ;  Vegetables ;  Australia ;</t>
        </is>
      </c>
      <c r="C613" t="inlineStr">
        <is>
          <t>Month</t>
        </is>
      </c>
      <c r="D613" t="inlineStr">
        <is>
          <t>Index Points</t>
        </is>
      </c>
      <c r="E613" t="inlineStr">
        <is>
          <t>Original</t>
        </is>
      </c>
      <c r="F613" t="inlineStr">
        <is>
          <t>640103.xlsx</t>
        </is>
      </c>
      <c r="G613" t="inlineStr">
        <is>
          <t>2025-01</t>
        </is>
      </c>
      <c r="H613" t="inlineStr">
        <is>
          <t>2026-07</t>
        </is>
      </c>
      <c r="OM613" s="2">
        <v>0.04</v>
      </c>
      <c r="ON613" s="2">
        <v>0</v>
      </c>
      <c r="OO613" s="2">
        <v>0.03</v>
      </c>
      <c r="OP613" s="2">
        <v>0.01</v>
      </c>
      <c r="OQ613" s="2">
        <v>0.01</v>
      </c>
      <c r="OR613" s="2">
        <v>0.03</v>
      </c>
      <c r="OS613" s="2">
        <v>0</v>
      </c>
      <c r="OT613" s="2">
        <v>-0.05</v>
      </c>
      <c r="OU613" s="2">
        <v>-0.03</v>
      </c>
      <c r="OV613" s="2">
        <v>-0.02</v>
      </c>
      <c r="OW613" s="2">
        <v>0.01</v>
      </c>
      <c r="OX613" s="2">
        <v>0.01</v>
      </c>
      <c r="PC613" s="2">
        <v>0.02</v>
      </c>
      <c r="PD613" s="2">
        <v>-0.02</v>
      </c>
      <c r="PE613" s="2">
        <v>0.02</v>
      </c>
      <c r="PF613" s="2">
        <v>0.04</v>
      </c>
      <c r="PG613" s="2">
        <v>-0.01</v>
      </c>
      <c r="PH613" s="2">
        <v>-0.02</v>
      </c>
      <c r="PI613" s="2">
        <v>0</v>
      </c>
    </row>
    <row r="614">
      <c r="A614" t="inlineStr">
        <is>
          <t>A130391484A</t>
        </is>
      </c>
      <c r="B614" t="inlineStr">
        <is>
          <t>Change in Contribution to All groups CPI Index Number ;  Food products n.e.c. ;  Australia ;</t>
        </is>
      </c>
      <c r="C614" t="inlineStr">
        <is>
          <t>Month</t>
        </is>
      </c>
      <c r="D614" t="inlineStr">
        <is>
          <t>Index Points</t>
        </is>
      </c>
      <c r="E614" t="inlineStr">
        <is>
          <t>Original</t>
        </is>
      </c>
      <c r="F614" t="inlineStr">
        <is>
          <t>640103.xlsx</t>
        </is>
      </c>
      <c r="G614" t="inlineStr">
        <is>
          <t>2025-01</t>
        </is>
      </c>
      <c r="H614" t="inlineStr">
        <is>
          <t>2026-07</t>
        </is>
      </c>
      <c r="OM614" s="2">
        <v>0.03</v>
      </c>
      <c r="ON614" s="2">
        <v>-0.03</v>
      </c>
      <c r="OO614" s="2">
        <v>0.01</v>
      </c>
      <c r="OP614" s="2">
        <v>0.02</v>
      </c>
      <c r="OQ614" s="2">
        <v>0</v>
      </c>
      <c r="OR614" s="2">
        <v>0</v>
      </c>
      <c r="OS614" s="2">
        <v>0.01</v>
      </c>
      <c r="OT614" s="2">
        <v>0.01</v>
      </c>
      <c r="OU614" s="2">
        <v>0.01</v>
      </c>
      <c r="OV614" s="2">
        <v>-0.01</v>
      </c>
      <c r="OW614" s="2">
        <v>0</v>
      </c>
      <c r="OX614" s="2">
        <v>0.02</v>
      </c>
      <c r="PC614" s="2">
        <v>0.03</v>
      </c>
      <c r="PD614" s="2">
        <v>-0.03</v>
      </c>
      <c r="PE614" s="2">
        <v>0.01</v>
      </c>
      <c r="PF614" s="2">
        <v>0</v>
      </c>
      <c r="PG614" s="2">
        <v>-0.02</v>
      </c>
      <c r="PH614" s="2">
        <v>0</v>
      </c>
      <c r="PI614" s="2">
        <v>0</v>
      </c>
    </row>
    <row r="615">
      <c r="A615" t="inlineStr">
        <is>
          <t>A130390623W</t>
        </is>
      </c>
      <c r="B615" t="inlineStr">
        <is>
          <t>Change in Contribution to All groups CPI Index Number ;  Eggs ;  Australia ;</t>
        </is>
      </c>
      <c r="C615" t="inlineStr">
        <is>
          <t>Month</t>
        </is>
      </c>
      <c r="D615" t="inlineStr">
        <is>
          <t>Index Points</t>
        </is>
      </c>
      <c r="E615" t="inlineStr">
        <is>
          <t>Original</t>
        </is>
      </c>
      <c r="F615" t="inlineStr">
        <is>
          <t>640103.xlsx</t>
        </is>
      </c>
      <c r="G615" t="inlineStr">
        <is>
          <t>2025-01</t>
        </is>
      </c>
      <c r="H615" t="inlineStr">
        <is>
          <t>2026-07</t>
        </is>
      </c>
      <c r="OM615" s="2">
        <v>0</v>
      </c>
      <c r="ON615" s="2">
        <v>0</v>
      </c>
      <c r="OO615" s="2">
        <v>0</v>
      </c>
      <c r="OP615" s="2">
        <v>0.01</v>
      </c>
      <c r="OQ615" s="2">
        <v>0</v>
      </c>
      <c r="OR615" s="2">
        <v>0</v>
      </c>
      <c r="OS615" s="2">
        <v>0</v>
      </c>
      <c r="OT615" s="2">
        <v>0</v>
      </c>
      <c r="OU615" s="2">
        <v>0</v>
      </c>
      <c r="OV615" s="2">
        <v>0</v>
      </c>
      <c r="OW615" s="2">
        <v>0</v>
      </c>
      <c r="OX615" s="2">
        <v>0</v>
      </c>
      <c r="PC615" s="2">
        <v>0</v>
      </c>
      <c r="PD615" s="2">
        <v>0</v>
      </c>
      <c r="PE615" s="2">
        <v>0</v>
      </c>
      <c r="PF615" s="2">
        <v>0</v>
      </c>
      <c r="PG615" s="2">
        <v>0</v>
      </c>
      <c r="PH615" s="2">
        <v>-0.01</v>
      </c>
      <c r="PI615" s="2">
        <v>0.01</v>
      </c>
    </row>
    <row r="616">
      <c r="A616" t="inlineStr">
        <is>
          <t>A130391967V</t>
        </is>
      </c>
      <c r="B616" t="inlineStr">
        <is>
          <t>Change in Contribution to All groups CPI Index Number ;  Jams, honey and spreads ;  Australia ;</t>
        </is>
      </c>
      <c r="C616" t="inlineStr">
        <is>
          <t>Month</t>
        </is>
      </c>
      <c r="D616" t="inlineStr">
        <is>
          <t>Index Points</t>
        </is>
      </c>
      <c r="E616" t="inlineStr">
        <is>
          <t>Original</t>
        </is>
      </c>
      <c r="F616" t="inlineStr">
        <is>
          <t>640103.xlsx</t>
        </is>
      </c>
      <c r="G616" t="inlineStr">
        <is>
          <t>2025-01</t>
        </is>
      </c>
      <c r="H616" t="inlineStr">
        <is>
          <t>2026-07</t>
        </is>
      </c>
      <c r="OM616" s="2">
        <v>0</v>
      </c>
      <c r="ON616" s="2">
        <v>-0.01</v>
      </c>
      <c r="OO616" s="2">
        <v>0.01</v>
      </c>
      <c r="OP616" s="2">
        <v>0</v>
      </c>
      <c r="OQ616" s="2">
        <v>-0.01</v>
      </c>
      <c r="OR616" s="2">
        <v>0.01</v>
      </c>
      <c r="OS616" s="2">
        <v>0</v>
      </c>
      <c r="OT616" s="2">
        <v>0</v>
      </c>
      <c r="OU616" s="2">
        <v>0</v>
      </c>
      <c r="OV616" s="2">
        <v>0</v>
      </c>
      <c r="OW616" s="2">
        <v>0</v>
      </c>
      <c r="OX616" s="2">
        <v>0</v>
      </c>
      <c r="PC616" s="2">
        <v>0</v>
      </c>
      <c r="PD616" s="2">
        <v>0</v>
      </c>
      <c r="PE616" s="2">
        <v>0</v>
      </c>
      <c r="PF616" s="2">
        <v>0</v>
      </c>
      <c r="PG616" s="2">
        <v>0</v>
      </c>
      <c r="PH616" s="2">
        <v>0</v>
      </c>
      <c r="PI616" s="2">
        <v>0</v>
      </c>
    </row>
    <row r="617">
      <c r="A617" t="inlineStr">
        <is>
          <t>A130392219F</t>
        </is>
      </c>
      <c r="B617" t="inlineStr">
        <is>
          <t>Change in Contribution to All groups CPI Index Number ;  Food additives and condiments ;  Australia ;</t>
        </is>
      </c>
      <c r="C617" t="inlineStr">
        <is>
          <t>Month</t>
        </is>
      </c>
      <c r="D617" t="inlineStr">
        <is>
          <t>Index Points</t>
        </is>
      </c>
      <c r="E617" t="inlineStr">
        <is>
          <t>Original</t>
        </is>
      </c>
      <c r="F617" t="inlineStr">
        <is>
          <t>640103.xlsx</t>
        </is>
      </c>
      <c r="G617" t="inlineStr">
        <is>
          <t>2025-01</t>
        </is>
      </c>
      <c r="H617" t="inlineStr">
        <is>
          <t>2026-07</t>
        </is>
      </c>
      <c r="OM617" s="2">
        <v>0</v>
      </c>
      <c r="ON617" s="2">
        <v>0</v>
      </c>
      <c r="OO617" s="2">
        <v>0</v>
      </c>
      <c r="OP617" s="2">
        <v>0</v>
      </c>
      <c r="OQ617" s="2">
        <v>0</v>
      </c>
      <c r="OR617" s="2">
        <v>0</v>
      </c>
      <c r="OS617" s="2">
        <v>0</v>
      </c>
      <c r="OT617" s="2">
        <v>0</v>
      </c>
      <c r="OU617" s="2">
        <v>0</v>
      </c>
      <c r="OV617" s="2">
        <v>0</v>
      </c>
      <c r="OW617" s="2">
        <v>0</v>
      </c>
      <c r="OX617" s="2">
        <v>0</v>
      </c>
      <c r="PC617" s="2">
        <v>0</v>
      </c>
      <c r="PD617" s="2">
        <v>0</v>
      </c>
      <c r="PE617" s="2">
        <v>0</v>
      </c>
      <c r="PF617" s="2">
        <v>0</v>
      </c>
      <c r="PG617" s="2">
        <v>0</v>
      </c>
      <c r="PH617" s="2">
        <v>0</v>
      </c>
      <c r="PI617" s="2">
        <v>0</v>
      </c>
    </row>
    <row r="618">
      <c r="A618" t="inlineStr">
        <is>
          <t>A130394823L</t>
        </is>
      </c>
      <c r="B618" t="inlineStr">
        <is>
          <t>Change in Contribution to All groups CPI Index Number ;  Oils and fats ;  Australia ;</t>
        </is>
      </c>
      <c r="C618" t="inlineStr">
        <is>
          <t>Month</t>
        </is>
      </c>
      <c r="D618" t="inlineStr">
        <is>
          <t>Index Points</t>
        </is>
      </c>
      <c r="E618" t="inlineStr">
        <is>
          <t>Original</t>
        </is>
      </c>
      <c r="F618" t="inlineStr">
        <is>
          <t>640103.xlsx</t>
        </is>
      </c>
      <c r="G618" t="inlineStr">
        <is>
          <t>2025-01</t>
        </is>
      </c>
      <c r="H618" t="inlineStr">
        <is>
          <t>2026-07</t>
        </is>
      </c>
      <c r="OM618" s="2">
        <v>0</v>
      </c>
      <c r="ON618" s="2">
        <v>0</v>
      </c>
      <c r="OO618" s="2">
        <v>-0.01</v>
      </c>
      <c r="OP618" s="2">
        <v>0.01</v>
      </c>
      <c r="OQ618" s="2">
        <v>0</v>
      </c>
      <c r="OR618" s="2">
        <v>-0.01</v>
      </c>
      <c r="OS618" s="2">
        <v>0</v>
      </c>
      <c r="OT618" s="2">
        <v>0</v>
      </c>
      <c r="OU618" s="2">
        <v>0.01</v>
      </c>
      <c r="OV618" s="2">
        <v>-0.01</v>
      </c>
      <c r="OW618" s="2">
        <v>0</v>
      </c>
      <c r="OX618" s="2">
        <v>0</v>
      </c>
      <c r="PC618" s="2">
        <v>0</v>
      </c>
      <c r="PD618" s="2">
        <v>0.01</v>
      </c>
      <c r="PE618" s="2">
        <v>-0.01</v>
      </c>
      <c r="PF618" s="2">
        <v>0.01</v>
      </c>
      <c r="PG618" s="2">
        <v>0</v>
      </c>
      <c r="PH618" s="2">
        <v>0</v>
      </c>
      <c r="PI618" s="2">
        <v>0</v>
      </c>
    </row>
    <row r="619">
      <c r="A619" t="inlineStr">
        <is>
          <t>A130396258V</t>
        </is>
      </c>
      <c r="B619" t="inlineStr">
        <is>
          <t>Change in Contribution to All groups CPI Index Number ;  Snacks and confectionery ;  Australia ;</t>
        </is>
      </c>
      <c r="C619" t="inlineStr">
        <is>
          <t>Month</t>
        </is>
      </c>
      <c r="D619" t="inlineStr">
        <is>
          <t>Index Points</t>
        </is>
      </c>
      <c r="E619" t="inlineStr">
        <is>
          <t>Original</t>
        </is>
      </c>
      <c r="F619" t="inlineStr">
        <is>
          <t>640103.xlsx</t>
        </is>
      </c>
      <c r="G619" t="inlineStr">
        <is>
          <t>2025-01</t>
        </is>
      </c>
      <c r="H619" t="inlineStr">
        <is>
          <t>2026-07</t>
        </is>
      </c>
      <c r="OM619" s="2">
        <v>0.03</v>
      </c>
      <c r="ON619" s="2">
        <v>-0.03</v>
      </c>
      <c r="OO619" s="2">
        <v>0.01</v>
      </c>
      <c r="OP619" s="2">
        <v>0.02</v>
      </c>
      <c r="OQ619" s="2">
        <v>-0.01</v>
      </c>
      <c r="OR619" s="2">
        <v>0.01</v>
      </c>
      <c r="OS619" s="2">
        <v>0</v>
      </c>
      <c r="OT619" s="2">
        <v>0.01</v>
      </c>
      <c r="OU619" s="2">
        <v>0.01</v>
      </c>
      <c r="OV619" s="2">
        <v>-0.01</v>
      </c>
      <c r="OW619" s="2">
        <v>0</v>
      </c>
      <c r="OX619" s="2">
        <v>0.02</v>
      </c>
      <c r="PC619" s="2">
        <v>0.02</v>
      </c>
      <c r="PD619" s="2">
        <v>-0.02</v>
      </c>
      <c r="PE619" s="2">
        <v>0</v>
      </c>
      <c r="PF619" s="2">
        <v>0.01</v>
      </c>
      <c r="PG619" s="2">
        <v>-0.02</v>
      </c>
      <c r="PH619" s="2">
        <v>0</v>
      </c>
      <c r="PI619" s="2">
        <v>0</v>
      </c>
    </row>
    <row r="620">
      <c r="A620" t="inlineStr">
        <is>
          <t>A130390651F</t>
        </is>
      </c>
      <c r="B620" t="inlineStr">
        <is>
          <t>Change in Contribution to All groups CPI Index Number ;  Other food products n.e.c. ;  Australia ;</t>
        </is>
      </c>
      <c r="C620" t="inlineStr">
        <is>
          <t>Month</t>
        </is>
      </c>
      <c r="D620" t="inlineStr">
        <is>
          <t>Index Points</t>
        </is>
      </c>
      <c r="E620" t="inlineStr">
        <is>
          <t>Original</t>
        </is>
      </c>
      <c r="F620" t="inlineStr">
        <is>
          <t>640103.xlsx</t>
        </is>
      </c>
      <c r="G620" t="inlineStr">
        <is>
          <t>2025-01</t>
        </is>
      </c>
      <c r="H620" t="inlineStr">
        <is>
          <t>2026-07</t>
        </is>
      </c>
      <c r="OM620" s="2">
        <v>0</v>
      </c>
      <c r="ON620" s="2">
        <v>0</v>
      </c>
      <c r="OO620" s="2">
        <v>0</v>
      </c>
      <c r="OP620" s="2">
        <v>-0.01</v>
      </c>
      <c r="OQ620" s="2">
        <v>0</v>
      </c>
      <c r="OR620" s="2">
        <v>0</v>
      </c>
      <c r="OS620" s="2">
        <v>0</v>
      </c>
      <c r="OT620" s="2">
        <v>0</v>
      </c>
      <c r="OU620" s="2">
        <v>0.01</v>
      </c>
      <c r="OV620" s="2">
        <v>0</v>
      </c>
      <c r="OW620" s="2">
        <v>0</v>
      </c>
      <c r="OX620" s="2">
        <v>0.01</v>
      </c>
      <c r="PC620" s="2">
        <v>0</v>
      </c>
      <c r="PD620" s="2">
        <v>-0.01</v>
      </c>
      <c r="PE620" s="2">
        <v>0</v>
      </c>
      <c r="PF620" s="2">
        <v>0</v>
      </c>
      <c r="PG620" s="2">
        <v>0</v>
      </c>
      <c r="PH620" s="2">
        <v>0</v>
      </c>
      <c r="PI620" s="2">
        <v>0</v>
      </c>
    </row>
    <row r="621">
      <c r="A621" t="inlineStr">
        <is>
          <t>A130390231K</t>
        </is>
      </c>
      <c r="B621" t="inlineStr">
        <is>
          <t>Change in Contribution to All groups CPI Index Number ;  Non-alcoholic beverages ;  Australia ;</t>
        </is>
      </c>
      <c r="C621" t="inlineStr">
        <is>
          <t>Month</t>
        </is>
      </c>
      <c r="D621" t="inlineStr">
        <is>
          <t>Index Points</t>
        </is>
      </c>
      <c r="E621" t="inlineStr">
        <is>
          <t>Original</t>
        </is>
      </c>
      <c r="F621" t="inlineStr">
        <is>
          <t>640103.xlsx</t>
        </is>
      </c>
      <c r="G621" t="inlineStr">
        <is>
          <t>2025-01</t>
        </is>
      </c>
      <c r="H621" t="inlineStr">
        <is>
          <t>2026-07</t>
        </is>
      </c>
      <c r="OM621" s="2">
        <v>0.02</v>
      </c>
      <c r="ON621" s="2">
        <v>0.02</v>
      </c>
      <c r="OO621" s="2">
        <v>0.01</v>
      </c>
      <c r="OP621" s="2">
        <v>0</v>
      </c>
      <c r="OQ621" s="2">
        <v>0.02</v>
      </c>
      <c r="OR621" s="2">
        <v>0.01</v>
      </c>
      <c r="OS621" s="2">
        <v>0</v>
      </c>
      <c r="OT621" s="2">
        <v>-0.01</v>
      </c>
      <c r="OU621" s="2">
        <v>-0.01</v>
      </c>
      <c r="OV621" s="2">
        <v>-0.01</v>
      </c>
      <c r="OW621" s="2">
        <v>0</v>
      </c>
      <c r="OX621" s="2">
        <v>0</v>
      </c>
      <c r="PC621" s="2">
        <v>0.01</v>
      </c>
      <c r="PD621" s="2">
        <v>0.01</v>
      </c>
      <c r="PE621" s="2">
        <v>0.01</v>
      </c>
      <c r="PF621" s="2">
        <v>-0.01</v>
      </c>
      <c r="PG621" s="2">
        <v>0.02</v>
      </c>
      <c r="PH621" s="2">
        <v>0.01</v>
      </c>
      <c r="PI621" s="2">
        <v>0</v>
      </c>
    </row>
    <row r="622">
      <c r="A622" t="inlineStr">
        <is>
          <t>A130390644J</t>
        </is>
      </c>
      <c r="B622" t="inlineStr">
        <is>
          <t>Change in Contribution to All groups CPI Index Number ;  Coffee, tea and cocoa ;  Australia ;</t>
        </is>
      </c>
      <c r="C622" t="inlineStr">
        <is>
          <t>Month</t>
        </is>
      </c>
      <c r="D622" t="inlineStr">
        <is>
          <t>Index Points</t>
        </is>
      </c>
      <c r="E622" t="inlineStr">
        <is>
          <t>Original</t>
        </is>
      </c>
      <c r="F622" t="inlineStr">
        <is>
          <t>640103.xlsx</t>
        </is>
      </c>
      <c r="G622" t="inlineStr">
        <is>
          <t>2025-01</t>
        </is>
      </c>
      <c r="H622" t="inlineStr">
        <is>
          <t>2026-07</t>
        </is>
      </c>
      <c r="OM622" s="2">
        <v>-0.01</v>
      </c>
      <c r="ON622" s="2">
        <v>0.01</v>
      </c>
      <c r="OO622" s="2">
        <v>0</v>
      </c>
      <c r="OP622" s="2">
        <v>0</v>
      </c>
      <c r="OQ622" s="2">
        <v>0.01</v>
      </c>
      <c r="OR622" s="2">
        <v>0</v>
      </c>
      <c r="OS622" s="2">
        <v>0.01</v>
      </c>
      <c r="OT622" s="2">
        <v>0</v>
      </c>
      <c r="OU622" s="2">
        <v>0.01</v>
      </c>
      <c r="OV622" s="2">
        <v>0</v>
      </c>
      <c r="OW622" s="2">
        <v>0</v>
      </c>
      <c r="OX622" s="2">
        <v>0.01</v>
      </c>
      <c r="PC622" s="2">
        <v>-0.01</v>
      </c>
      <c r="PD622" s="2">
        <v>0</v>
      </c>
      <c r="PE622" s="2">
        <v>0</v>
      </c>
      <c r="PF622" s="2">
        <v>0</v>
      </c>
      <c r="PG622" s="2">
        <v>0</v>
      </c>
      <c r="PH622" s="2">
        <v>0</v>
      </c>
      <c r="PI622" s="2">
        <v>0</v>
      </c>
    </row>
    <row r="623">
      <c r="A623" t="inlineStr">
        <is>
          <t>A130395215A</t>
        </is>
      </c>
      <c r="B623" t="inlineStr">
        <is>
          <t>Change in Contribution to All groups CPI Index Number ;  Waters, soft drinks and juices ;  Australia ;</t>
        </is>
      </c>
      <c r="C623" t="inlineStr">
        <is>
          <t>Month</t>
        </is>
      </c>
      <c r="D623" t="inlineStr">
        <is>
          <t>Index Points</t>
        </is>
      </c>
      <c r="E623" t="inlineStr">
        <is>
          <t>Original</t>
        </is>
      </c>
      <c r="F623" t="inlineStr">
        <is>
          <t>640103.xlsx</t>
        </is>
      </c>
      <c r="G623" t="inlineStr">
        <is>
          <t>2025-01</t>
        </is>
      </c>
      <c r="H623" t="inlineStr">
        <is>
          <t>2026-07</t>
        </is>
      </c>
      <c r="OM623" s="2">
        <v>0.01</v>
      </c>
      <c r="ON623" s="2">
        <v>0.02</v>
      </c>
      <c r="OO623" s="2">
        <v>0.01</v>
      </c>
      <c r="OP623" s="2">
        <v>-0.01</v>
      </c>
      <c r="OQ623" s="2">
        <v>0.02</v>
      </c>
      <c r="OR623" s="2">
        <v>0</v>
      </c>
      <c r="OS623" s="2">
        <v>0</v>
      </c>
      <c r="OT623" s="2">
        <v>-0.01</v>
      </c>
      <c r="OU623" s="2">
        <v>-0.02</v>
      </c>
      <c r="OV623" s="2">
        <v>0</v>
      </c>
      <c r="OW623" s="2">
        <v>0</v>
      </c>
      <c r="OX623" s="2">
        <v>-0.02</v>
      </c>
      <c r="PC623" s="2">
        <v>0.02</v>
      </c>
      <c r="PD623" s="2">
        <v>0.01</v>
      </c>
      <c r="PE623" s="2">
        <v>0.01</v>
      </c>
      <c r="PF623" s="2">
        <v>-0.01</v>
      </c>
      <c r="PG623" s="2">
        <v>0.02</v>
      </c>
      <c r="PH623" s="2">
        <v>0.01</v>
      </c>
      <c r="PI623" s="2">
        <v>0.01</v>
      </c>
    </row>
    <row r="624">
      <c r="A624" t="inlineStr">
        <is>
          <t>A130390441J</t>
        </is>
      </c>
      <c r="B624" t="inlineStr">
        <is>
          <t>Change in Contribution to All groups CPI Index Number ;  Meals out and take away foods ;  Australia ;</t>
        </is>
      </c>
      <c r="C624" t="inlineStr">
        <is>
          <t>Month</t>
        </is>
      </c>
      <c r="D624" t="inlineStr">
        <is>
          <t>Index Points</t>
        </is>
      </c>
      <c r="E624" t="inlineStr">
        <is>
          <t>Original</t>
        </is>
      </c>
      <c r="F624" t="inlineStr">
        <is>
          <t>640103.xlsx</t>
        </is>
      </c>
      <c r="G624" t="inlineStr">
        <is>
          <t>2025-01</t>
        </is>
      </c>
      <c r="H624" t="inlineStr">
        <is>
          <t>2026-07</t>
        </is>
      </c>
      <c r="OM624" s="2">
        <v>0.01</v>
      </c>
      <c r="ON624" s="2">
        <v>0.02</v>
      </c>
      <c r="OO624" s="2">
        <v>0.01</v>
      </c>
      <c r="OP624" s="2">
        <v>0.02</v>
      </c>
      <c r="OQ624" s="2">
        <v>0.02</v>
      </c>
      <c r="OR624" s="2">
        <v>0.02</v>
      </c>
      <c r="OS624" s="2">
        <v>0.03</v>
      </c>
      <c r="OT624" s="2">
        <v>0.04</v>
      </c>
      <c r="OU624" s="2">
        <v>0.03</v>
      </c>
      <c r="OV624" s="2">
        <v>0.01</v>
      </c>
      <c r="OW624" s="2">
        <v>0.02</v>
      </c>
      <c r="OX624" s="2">
        <v>0.01</v>
      </c>
      <c r="PC624" s="2">
        <v>0.04</v>
      </c>
      <c r="PD624" s="2">
        <v>0.01</v>
      </c>
      <c r="PE624" s="2">
        <v>0.02</v>
      </c>
      <c r="PF624" s="2">
        <v>0.01</v>
      </c>
      <c r="PG624" s="2">
        <v>0.04</v>
      </c>
      <c r="PH624" s="2">
        <v>0.03</v>
      </c>
      <c r="PI624" s="2">
        <v>0.06</v>
      </c>
    </row>
    <row r="625">
      <c r="A625" t="inlineStr">
        <is>
          <t>A130391946J</t>
        </is>
      </c>
      <c r="B625" t="inlineStr">
        <is>
          <t>Change in Contribution to All groups CPI Index Number ;  Restaurant meals ;  Australia ;</t>
        </is>
      </c>
      <c r="C625" t="inlineStr">
        <is>
          <t>Month</t>
        </is>
      </c>
      <c r="D625" t="inlineStr">
        <is>
          <t>Index Points</t>
        </is>
      </c>
      <c r="E625" t="inlineStr">
        <is>
          <t>Original</t>
        </is>
      </c>
      <c r="F625" t="inlineStr">
        <is>
          <t>640103.xlsx</t>
        </is>
      </c>
      <c r="G625" t="inlineStr">
        <is>
          <t>2025-01</t>
        </is>
      </c>
      <c r="H625" t="inlineStr">
        <is>
          <t>2026-07</t>
        </is>
      </c>
      <c r="OM625" s="2">
        <v>0.01</v>
      </c>
      <c r="ON625" s="2">
        <v>0</v>
      </c>
      <c r="OO625" s="2">
        <v>0.01</v>
      </c>
      <c r="OP625" s="2">
        <v>0.01</v>
      </c>
      <c r="OQ625" s="2">
        <v>0</v>
      </c>
      <c r="OR625" s="2">
        <v>0.02</v>
      </c>
      <c r="OS625" s="2">
        <v>0</v>
      </c>
      <c r="OT625" s="2">
        <v>0.03</v>
      </c>
      <c r="OU625" s="2">
        <v>0.01</v>
      </c>
      <c r="OV625" s="2">
        <v>0.01</v>
      </c>
      <c r="OW625" s="2">
        <v>0.01</v>
      </c>
      <c r="OX625" s="2">
        <v>0.03</v>
      </c>
      <c r="PC625" s="2">
        <v>0.01</v>
      </c>
      <c r="PD625" s="2">
        <v>0</v>
      </c>
      <c r="PE625" s="2">
        <v>0.01</v>
      </c>
      <c r="PF625" s="2">
        <v>0.01</v>
      </c>
      <c r="PG625" s="2">
        <v>0.01</v>
      </c>
      <c r="PH625" s="2">
        <v>0.01</v>
      </c>
      <c r="PI625" s="2">
        <v>0.05</v>
      </c>
    </row>
    <row r="626">
      <c r="A626" t="inlineStr">
        <is>
          <t>A130390616X</t>
        </is>
      </c>
      <c r="B626" t="inlineStr">
        <is>
          <t>Change in Contribution to All groups CPI Index Number ;  Take away and fast foods ;  Australia ;</t>
        </is>
      </c>
      <c r="C626" t="inlineStr">
        <is>
          <t>Month</t>
        </is>
      </c>
      <c r="D626" t="inlineStr">
        <is>
          <t>Index Points</t>
        </is>
      </c>
      <c r="E626" t="inlineStr">
        <is>
          <t>Original</t>
        </is>
      </c>
      <c r="F626" t="inlineStr">
        <is>
          <t>640103.xlsx</t>
        </is>
      </c>
      <c r="G626" t="inlineStr">
        <is>
          <t>2025-01</t>
        </is>
      </c>
      <c r="H626" t="inlineStr">
        <is>
          <t>2026-07</t>
        </is>
      </c>
      <c r="OM626" s="2">
        <v>0</v>
      </c>
      <c r="ON626" s="2">
        <v>0.01</v>
      </c>
      <c r="OO626" s="2">
        <v>0.01</v>
      </c>
      <c r="OP626" s="2">
        <v>0.01</v>
      </c>
      <c r="OQ626" s="2">
        <v>0.02</v>
      </c>
      <c r="OR626" s="2">
        <v>0.01</v>
      </c>
      <c r="OS626" s="2">
        <v>0.02</v>
      </c>
      <c r="OT626" s="2">
        <v>0.02</v>
      </c>
      <c r="OU626" s="2">
        <v>0</v>
      </c>
      <c r="OV626" s="2">
        <v>0.01</v>
      </c>
      <c r="OW626" s="2">
        <v>0</v>
      </c>
      <c r="OX626" s="2">
        <v>0</v>
      </c>
      <c r="PC626" s="2">
        <v>0.02</v>
      </c>
      <c r="PD626" s="2">
        <v>0</v>
      </c>
      <c r="PE626" s="2">
        <v>0.02</v>
      </c>
      <c r="PF626" s="2">
        <v>0.01</v>
      </c>
      <c r="PG626" s="2">
        <v>0.02</v>
      </c>
      <c r="PH626" s="2">
        <v>0.02</v>
      </c>
      <c r="PI626" s="2">
        <v>0.01</v>
      </c>
    </row>
    <row r="627">
      <c r="A627" t="inlineStr">
        <is>
          <t>A130393031W</t>
        </is>
      </c>
      <c r="B627" t="inlineStr">
        <is>
          <t>Change in Contribution to All groups CPI Index Number ;  Alcohol and tobacco ;  Australia ;</t>
        </is>
      </c>
      <c r="C627" t="inlineStr">
        <is>
          <t>Month</t>
        </is>
      </c>
      <c r="D627" t="inlineStr">
        <is>
          <t>Index Points</t>
        </is>
      </c>
      <c r="E627" t="inlineStr">
        <is>
          <t>Original</t>
        </is>
      </c>
      <c r="F627" t="inlineStr">
        <is>
          <t>640103.xlsx</t>
        </is>
      </c>
      <c r="G627" t="inlineStr">
        <is>
          <t>2025-01</t>
        </is>
      </c>
      <c r="H627" t="inlineStr">
        <is>
          <t>2026-07</t>
        </is>
      </c>
      <c r="OM627" s="2">
        <v>0.04</v>
      </c>
      <c r="ON627" s="2">
        <v>0.06</v>
      </c>
      <c r="OO627" s="2">
        <v>0.05</v>
      </c>
      <c r="OP627" s="2">
        <v>-0.03</v>
      </c>
      <c r="OQ627" s="2">
        <v>0.03</v>
      </c>
      <c r="OR627" s="2">
        <v>-0.01</v>
      </c>
      <c r="OS627" s="2">
        <v>0.07000000000000001</v>
      </c>
      <c r="OT627" s="2">
        <v>0.01</v>
      </c>
      <c r="OU627" s="2">
        <v>0.08</v>
      </c>
      <c r="OV627" s="2">
        <v>0</v>
      </c>
      <c r="OW627" s="2">
        <v>0.01</v>
      </c>
      <c r="OX627" s="2">
        <v>0</v>
      </c>
      <c r="PC627" s="2">
        <v>0.05</v>
      </c>
      <c r="PD627" s="2">
        <v>0.02</v>
      </c>
      <c r="PE627" s="2">
        <v>0.05</v>
      </c>
      <c r="PF627" s="2">
        <v>-0.03</v>
      </c>
      <c r="PG627" s="2">
        <v>0.06</v>
      </c>
      <c r="PH627" s="2">
        <v>-0.04</v>
      </c>
      <c r="PI627" s="2">
        <v>0.08</v>
      </c>
    </row>
    <row r="628">
      <c r="A628" t="inlineStr">
        <is>
          <t>A130394417F</t>
        </is>
      </c>
      <c r="B628" t="inlineStr">
        <is>
          <t>Change in Contribution to All groups CPI Index Number ;  Alcoholic beverages ;  Australia ;</t>
        </is>
      </c>
      <c r="C628" t="inlineStr">
        <is>
          <t>Month</t>
        </is>
      </c>
      <c r="D628" t="inlineStr">
        <is>
          <t>Index Points</t>
        </is>
      </c>
      <c r="E628" t="inlineStr">
        <is>
          <t>Original</t>
        </is>
      </c>
      <c r="F628" t="inlineStr">
        <is>
          <t>640103.xlsx</t>
        </is>
      </c>
      <c r="G628" t="inlineStr">
        <is>
          <t>2025-01</t>
        </is>
      </c>
      <c r="H628" t="inlineStr">
        <is>
          <t>2026-07</t>
        </is>
      </c>
      <c r="OM628" s="2">
        <v>0.04</v>
      </c>
      <c r="ON628" s="2">
        <v>0.04</v>
      </c>
      <c r="OO628" s="2">
        <v>0.02</v>
      </c>
      <c r="OP628" s="2">
        <v>-0.04</v>
      </c>
      <c r="OQ628" s="2">
        <v>0.03</v>
      </c>
      <c r="OR628" s="2">
        <v>0</v>
      </c>
      <c r="OS628" s="2">
        <v>0.04</v>
      </c>
      <c r="OT628" s="2">
        <v>0.01</v>
      </c>
      <c r="OU628" s="2">
        <v>-0.02</v>
      </c>
      <c r="OV628" s="2">
        <v>-0.02</v>
      </c>
      <c r="OW628" s="2">
        <v>0</v>
      </c>
      <c r="OX628" s="2">
        <v>-0.02</v>
      </c>
      <c r="PC628" s="2">
        <v>0.06</v>
      </c>
      <c r="PD628" s="2">
        <v>0.01</v>
      </c>
      <c r="PE628" s="2">
        <v>0.03</v>
      </c>
      <c r="PF628" s="2">
        <v>-0.04</v>
      </c>
      <c r="PG628" s="2">
        <v>0.06</v>
      </c>
      <c r="PH628" s="2">
        <v>-0.04</v>
      </c>
      <c r="PI628" s="2">
        <v>0.06</v>
      </c>
    </row>
    <row r="629">
      <c r="A629" t="inlineStr">
        <is>
          <t>A130393444V</t>
        </is>
      </c>
      <c r="B629" t="inlineStr">
        <is>
          <t>Change in Contribution to All groups CPI Index Number ;  Spirits ;  Australia ;</t>
        </is>
      </c>
      <c r="C629" t="inlineStr">
        <is>
          <t>Month</t>
        </is>
      </c>
      <c r="D629" t="inlineStr">
        <is>
          <t>Index Points</t>
        </is>
      </c>
      <c r="E629" t="inlineStr">
        <is>
          <t>Original</t>
        </is>
      </c>
      <c r="F629" t="inlineStr">
        <is>
          <t>640103.xlsx</t>
        </is>
      </c>
      <c r="G629" t="inlineStr">
        <is>
          <t>2025-01</t>
        </is>
      </c>
      <c r="H629" t="inlineStr">
        <is>
          <t>2026-07</t>
        </is>
      </c>
      <c r="OM629" s="2">
        <v>0</v>
      </c>
      <c r="ON629" s="2">
        <v>0.03</v>
      </c>
      <c r="OO629" s="2">
        <v>-0.01</v>
      </c>
      <c r="OP629" s="2">
        <v>-0.01</v>
      </c>
      <c r="OQ629" s="2">
        <v>0.01</v>
      </c>
      <c r="OR629" s="2">
        <v>0</v>
      </c>
      <c r="OS629" s="2">
        <v>0</v>
      </c>
      <c r="OT629" s="2">
        <v>0.01</v>
      </c>
      <c r="OU629" s="2">
        <v>0</v>
      </c>
      <c r="OV629" s="2">
        <v>-0.01</v>
      </c>
      <c r="OW629" s="2">
        <v>0</v>
      </c>
      <c r="OX629" s="2">
        <v>0</v>
      </c>
      <c r="PC629" s="2">
        <v>0.01</v>
      </c>
      <c r="PD629" s="2">
        <v>0</v>
      </c>
      <c r="PE629" s="2">
        <v>0.01</v>
      </c>
      <c r="PF629" s="2">
        <v>-0.01</v>
      </c>
      <c r="PG629" s="2">
        <v>0.02</v>
      </c>
      <c r="PH629" s="2">
        <v>-0.01</v>
      </c>
      <c r="PI629" s="2">
        <v>0.01</v>
      </c>
    </row>
    <row r="630">
      <c r="A630" t="inlineStr">
        <is>
          <t>A130390896C</t>
        </is>
      </c>
      <c r="B630" t="inlineStr">
        <is>
          <t>Change in Contribution to All groups CPI Index Number ;  Wine ;  Australia ;</t>
        </is>
      </c>
      <c r="C630" t="inlineStr">
        <is>
          <t>Month</t>
        </is>
      </c>
      <c r="D630" t="inlineStr">
        <is>
          <t>Index Points</t>
        </is>
      </c>
      <c r="E630" t="inlineStr">
        <is>
          <t>Original</t>
        </is>
      </c>
      <c r="F630" t="inlineStr">
        <is>
          <t>640103.xlsx</t>
        </is>
      </c>
      <c r="G630" t="inlineStr">
        <is>
          <t>2025-01</t>
        </is>
      </c>
      <c r="H630" t="inlineStr">
        <is>
          <t>2026-07</t>
        </is>
      </c>
      <c r="OM630" s="2">
        <v>0.03</v>
      </c>
      <c r="ON630" s="2">
        <v>-0.02</v>
      </c>
      <c r="OO630" s="2">
        <v>0.03</v>
      </c>
      <c r="OP630" s="2">
        <v>-0.02</v>
      </c>
      <c r="OQ630" s="2">
        <v>0.02</v>
      </c>
      <c r="OR630" s="2">
        <v>-0.02</v>
      </c>
      <c r="OS630" s="2">
        <v>0.04</v>
      </c>
      <c r="OT630" s="2">
        <v>0</v>
      </c>
      <c r="OU630" s="2">
        <v>-0.02</v>
      </c>
      <c r="OV630" s="2">
        <v>-0.02</v>
      </c>
      <c r="OW630" s="2">
        <v>-0.01</v>
      </c>
      <c r="OX630" s="2">
        <v>-0.01</v>
      </c>
      <c r="PC630" s="2">
        <v>0.04</v>
      </c>
      <c r="PD630" s="2">
        <v>0</v>
      </c>
      <c r="PE630" s="2">
        <v>0.01</v>
      </c>
      <c r="PF630" s="2">
        <v>-0.03</v>
      </c>
      <c r="PG630" s="2">
        <v>0.04</v>
      </c>
      <c r="PH630" s="2">
        <v>-0.03</v>
      </c>
      <c r="PI630" s="2">
        <v>0.03</v>
      </c>
    </row>
    <row r="631">
      <c r="A631" t="inlineStr">
        <is>
          <t>A130393416K</t>
        </is>
      </c>
      <c r="B631" t="inlineStr">
        <is>
          <t>Change in Contribution to All groups CPI Index Number ;  Beer ;  Australia ;</t>
        </is>
      </c>
      <c r="C631" t="inlineStr">
        <is>
          <t>Month</t>
        </is>
      </c>
      <c r="D631" t="inlineStr">
        <is>
          <t>Index Points</t>
        </is>
      </c>
      <c r="E631" t="inlineStr">
        <is>
          <t>Original</t>
        </is>
      </c>
      <c r="F631" t="inlineStr">
        <is>
          <t>640103.xlsx</t>
        </is>
      </c>
      <c r="G631" t="inlineStr">
        <is>
          <t>2025-01</t>
        </is>
      </c>
      <c r="H631" t="inlineStr">
        <is>
          <t>2026-07</t>
        </is>
      </c>
      <c r="OM631" s="2">
        <v>0.01</v>
      </c>
      <c r="ON631" s="2">
        <v>0.03</v>
      </c>
      <c r="OO631" s="2">
        <v>0</v>
      </c>
      <c r="OP631" s="2">
        <v>-0.01</v>
      </c>
      <c r="OQ631" s="2">
        <v>0.01</v>
      </c>
      <c r="OR631" s="2">
        <v>0</v>
      </c>
      <c r="OS631" s="2">
        <v>0.01</v>
      </c>
      <c r="OT631" s="2">
        <v>0.01</v>
      </c>
      <c r="OU631" s="2">
        <v>0</v>
      </c>
      <c r="OV631" s="2">
        <v>0</v>
      </c>
      <c r="OW631" s="2">
        <v>0</v>
      </c>
      <c r="OX631" s="2">
        <v>0</v>
      </c>
      <c r="PC631" s="2">
        <v>0.01</v>
      </c>
      <c r="PD631" s="2">
        <v>0.01</v>
      </c>
      <c r="PE631" s="2">
        <v>0.01</v>
      </c>
      <c r="PF631" s="2">
        <v>-0.01</v>
      </c>
      <c r="PG631" s="2">
        <v>0.01</v>
      </c>
      <c r="PH631" s="2">
        <v>0</v>
      </c>
      <c r="PI631" s="2">
        <v>0.02</v>
      </c>
    </row>
    <row r="632">
      <c r="A632" t="inlineStr">
        <is>
          <t>A130398016R</t>
        </is>
      </c>
      <c r="B632" t="inlineStr">
        <is>
          <t>Change in Contribution to All groups CPI Index Number ;  Tobacco ;  Australia ;</t>
        </is>
      </c>
      <c r="C632" t="inlineStr">
        <is>
          <t>Month</t>
        </is>
      </c>
      <c r="D632" t="inlineStr">
        <is>
          <t>Index Points</t>
        </is>
      </c>
      <c r="E632" t="inlineStr">
        <is>
          <t>Original</t>
        </is>
      </c>
      <c r="F632" t="inlineStr">
        <is>
          <t>640103.xlsx</t>
        </is>
      </c>
      <c r="G632" t="inlineStr">
        <is>
          <t>2025-01</t>
        </is>
      </c>
      <c r="H632" t="inlineStr">
        <is>
          <t>2026-07</t>
        </is>
      </c>
      <c r="OM632" s="2">
        <v>0.01</v>
      </c>
      <c r="ON632" s="2">
        <v>0.02</v>
      </c>
      <c r="OO632" s="2">
        <v>0.02</v>
      </c>
      <c r="OP632" s="2">
        <v>0.02</v>
      </c>
      <c r="OQ632" s="2">
        <v>0</v>
      </c>
      <c r="OR632" s="2">
        <v>-0.01</v>
      </c>
      <c r="OS632" s="2">
        <v>0.03</v>
      </c>
      <c r="OT632" s="2">
        <v>0</v>
      </c>
      <c r="OU632" s="2">
        <v>0.1</v>
      </c>
      <c r="OV632" s="2">
        <v>0.02</v>
      </c>
      <c r="OW632" s="2">
        <v>0.01</v>
      </c>
      <c r="OX632" s="2">
        <v>0.01</v>
      </c>
      <c r="PC632" s="2">
        <v>0</v>
      </c>
      <c r="PD632" s="2">
        <v>0.01</v>
      </c>
      <c r="PE632" s="2">
        <v>0.02</v>
      </c>
      <c r="PF632" s="2">
        <v>0.01</v>
      </c>
      <c r="PG632" s="2">
        <v>0</v>
      </c>
      <c r="PH632" s="2">
        <v>0</v>
      </c>
      <c r="PI632" s="2">
        <v>0.03</v>
      </c>
    </row>
    <row r="633">
      <c r="A633" t="inlineStr">
        <is>
          <t>A130397119L</t>
        </is>
      </c>
      <c r="B633" t="inlineStr">
        <is>
          <t>Change in Contribution to All groups CPI Index Number ;  Tobacco ;  Australia ;</t>
        </is>
      </c>
      <c r="C633" t="inlineStr">
        <is>
          <t>Month</t>
        </is>
      </c>
      <c r="D633" t="inlineStr">
        <is>
          <t>Index Points</t>
        </is>
      </c>
      <c r="E633" t="inlineStr">
        <is>
          <t>Original</t>
        </is>
      </c>
      <c r="F633" t="inlineStr">
        <is>
          <t>640103.xlsx</t>
        </is>
      </c>
      <c r="G633" t="inlineStr">
        <is>
          <t>2025-01</t>
        </is>
      </c>
      <c r="H633" t="inlineStr">
        <is>
          <t>2026-07</t>
        </is>
      </c>
      <c r="OM633" s="2">
        <v>0.01</v>
      </c>
      <c r="ON633" s="2">
        <v>0.02</v>
      </c>
      <c r="OO633" s="2">
        <v>0.02</v>
      </c>
      <c r="OP633" s="2">
        <v>0.02</v>
      </c>
      <c r="OQ633" s="2">
        <v>0</v>
      </c>
      <c r="OR633" s="2">
        <v>-0.01</v>
      </c>
      <c r="OS633" s="2">
        <v>0.03</v>
      </c>
      <c r="OT633" s="2">
        <v>0</v>
      </c>
      <c r="OU633" s="2">
        <v>0.1</v>
      </c>
      <c r="OV633" s="2">
        <v>0.02</v>
      </c>
      <c r="OW633" s="2">
        <v>0.01</v>
      </c>
      <c r="OX633" s="2">
        <v>0.01</v>
      </c>
      <c r="PC633" s="2">
        <v>0</v>
      </c>
      <c r="PD633" s="2">
        <v>0.01</v>
      </c>
      <c r="PE633" s="2">
        <v>0.02</v>
      </c>
      <c r="PF633" s="2">
        <v>0.01</v>
      </c>
      <c r="PG633" s="2">
        <v>0</v>
      </c>
      <c r="PH633" s="2">
        <v>0</v>
      </c>
      <c r="PI633" s="2">
        <v>0.03</v>
      </c>
    </row>
    <row r="634">
      <c r="A634" t="inlineStr">
        <is>
          <t>A130391673L</t>
        </is>
      </c>
      <c r="B634" t="inlineStr">
        <is>
          <t>Change in Contribution to All groups CPI Index Number ;  Clothing and footwear ;  Australia ;</t>
        </is>
      </c>
      <c r="C634" t="inlineStr">
        <is>
          <t>Month</t>
        </is>
      </c>
      <c r="D634" t="inlineStr">
        <is>
          <t>Index Points</t>
        </is>
      </c>
      <c r="E634" t="inlineStr">
        <is>
          <t>Original</t>
        </is>
      </c>
      <c r="F634" t="inlineStr">
        <is>
          <t>640103.xlsx</t>
        </is>
      </c>
      <c r="G634" t="inlineStr">
        <is>
          <t>2025-01</t>
        </is>
      </c>
      <c r="H634" t="inlineStr">
        <is>
          <t>2026-07</t>
        </is>
      </c>
      <c r="OM634" s="2">
        <v>0.02</v>
      </c>
      <c r="ON634" s="2">
        <v>0.1</v>
      </c>
      <c r="OO634" s="2">
        <v>-0.13</v>
      </c>
      <c r="OP634" s="2">
        <v>0.16</v>
      </c>
      <c r="OQ634" s="2">
        <v>-0.07000000000000001</v>
      </c>
      <c r="OR634" s="2">
        <v>-0.03</v>
      </c>
      <c r="OS634" s="2">
        <v>0.08</v>
      </c>
      <c r="OT634" s="2">
        <v>0.05</v>
      </c>
      <c r="OU634" s="2">
        <v>-0.02</v>
      </c>
      <c r="OV634" s="2">
        <v>0.07000000000000001</v>
      </c>
      <c r="OW634" s="2">
        <v>-0.1</v>
      </c>
      <c r="OX634" s="2">
        <v>-0.03</v>
      </c>
      <c r="PC634" s="2">
        <v>0.09</v>
      </c>
      <c r="PD634" s="2">
        <v>0.09</v>
      </c>
      <c r="PE634" s="2">
        <v>-0.07000000000000001</v>
      </c>
      <c r="PF634" s="2">
        <v>0.13</v>
      </c>
      <c r="PG634" s="2">
        <v>-0.1</v>
      </c>
      <c r="PH634" s="2">
        <v>-0.03</v>
      </c>
      <c r="PI634" s="2">
        <v>0.08</v>
      </c>
    </row>
    <row r="635">
      <c r="A635" t="inlineStr">
        <is>
          <t>A130394109C</t>
        </is>
      </c>
      <c r="B635" t="inlineStr">
        <is>
          <t>Change in Contribution to All groups CPI Index Number ;  Garments ;  Australia ;</t>
        </is>
      </c>
      <c r="C635" t="inlineStr">
        <is>
          <t>Month</t>
        </is>
      </c>
      <c r="D635" t="inlineStr">
        <is>
          <t>Index Points</t>
        </is>
      </c>
      <c r="E635" t="inlineStr">
        <is>
          <t>Original</t>
        </is>
      </c>
      <c r="F635" t="inlineStr">
        <is>
          <t>640103.xlsx</t>
        </is>
      </c>
      <c r="G635" t="inlineStr">
        <is>
          <t>2025-01</t>
        </is>
      </c>
      <c r="H635" t="inlineStr">
        <is>
          <t>2026-07</t>
        </is>
      </c>
      <c r="OM635" s="2">
        <v>-0.03</v>
      </c>
      <c r="ON635" s="2">
        <v>0.07000000000000001</v>
      </c>
      <c r="OO635" s="2">
        <v>-0.06</v>
      </c>
      <c r="OP635" s="2">
        <v>0.11</v>
      </c>
      <c r="OQ635" s="2">
        <v>-0.05</v>
      </c>
      <c r="OR635" s="2">
        <v>-0.05</v>
      </c>
      <c r="OS635" s="2">
        <v>0.06</v>
      </c>
      <c r="OT635" s="2">
        <v>0.04</v>
      </c>
      <c r="OU635" s="2">
        <v>-0.06</v>
      </c>
      <c r="OV635" s="2">
        <v>0.05</v>
      </c>
      <c r="OW635" s="2">
        <v>-0.05</v>
      </c>
      <c r="OX635" s="2">
        <v>-0.02</v>
      </c>
      <c r="PC635" s="2">
        <v>0.04</v>
      </c>
      <c r="PD635" s="2">
        <v>0.06</v>
      </c>
      <c r="PE635" s="2">
        <v>-0.05</v>
      </c>
      <c r="PF635" s="2">
        <v>0.09</v>
      </c>
      <c r="PG635" s="2">
        <v>-0.07000000000000001</v>
      </c>
      <c r="PH635" s="2">
        <v>-0.06</v>
      </c>
      <c r="PI635" s="2">
        <v>0.06</v>
      </c>
    </row>
    <row r="636">
      <c r="A636" t="inlineStr">
        <is>
          <t>A130399713R</t>
        </is>
      </c>
      <c r="B636" t="inlineStr">
        <is>
          <t>Change in Contribution to All groups CPI Index Number ;  Garments for men ;  Australia ;</t>
        </is>
      </c>
      <c r="C636" t="inlineStr">
        <is>
          <t>Month</t>
        </is>
      </c>
      <c r="D636" t="inlineStr">
        <is>
          <t>Index Points</t>
        </is>
      </c>
      <c r="E636" t="inlineStr">
        <is>
          <t>Original</t>
        </is>
      </c>
      <c r="F636" t="inlineStr">
        <is>
          <t>640103.xlsx</t>
        </is>
      </c>
      <c r="G636" t="inlineStr">
        <is>
          <t>2025-01</t>
        </is>
      </c>
      <c r="H636" t="inlineStr">
        <is>
          <t>2026-07</t>
        </is>
      </c>
      <c r="OM636" s="2">
        <v>0</v>
      </c>
      <c r="ON636" s="2">
        <v>0.01</v>
      </c>
      <c r="OO636" s="2">
        <v>-0.01</v>
      </c>
      <c r="OP636" s="2">
        <v>0.03</v>
      </c>
      <c r="OQ636" s="2">
        <v>-0.02</v>
      </c>
      <c r="OR636" s="2">
        <v>-0.02</v>
      </c>
      <c r="OS636" s="2">
        <v>0.01</v>
      </c>
      <c r="OT636" s="2">
        <v>0.02</v>
      </c>
      <c r="OU636" s="2">
        <v>-0.02</v>
      </c>
      <c r="OV636" s="2">
        <v>0.02</v>
      </c>
      <c r="OW636" s="2">
        <v>-0.01</v>
      </c>
      <c r="OX636" s="2">
        <v>-0.01</v>
      </c>
      <c r="PC636" s="2">
        <v>0.01</v>
      </c>
      <c r="PD636" s="2">
        <v>0.01</v>
      </c>
      <c r="PE636" s="2">
        <v>-0.02</v>
      </c>
      <c r="PF636" s="2">
        <v>0.02</v>
      </c>
      <c r="PG636" s="2">
        <v>-0.01</v>
      </c>
      <c r="PH636" s="2">
        <v>-0.01</v>
      </c>
      <c r="PI636" s="2">
        <v>0.02</v>
      </c>
    </row>
    <row r="637">
      <c r="A637" t="inlineStr">
        <is>
          <t>A130398471T</t>
        </is>
      </c>
      <c r="B637" t="inlineStr">
        <is>
          <t>Change in Contribution to All groups CPI Index Number ;  Garments for women ;  Australia ;</t>
        </is>
      </c>
      <c r="C637" t="inlineStr">
        <is>
          <t>Month</t>
        </is>
      </c>
      <c r="D637" t="inlineStr">
        <is>
          <t>Index Points</t>
        </is>
      </c>
      <c r="E637" t="inlineStr">
        <is>
          <t>Original</t>
        </is>
      </c>
      <c r="F637" t="inlineStr">
        <is>
          <t>640103.xlsx</t>
        </is>
      </c>
      <c r="G637" t="inlineStr">
        <is>
          <t>2025-01</t>
        </is>
      </c>
      <c r="H637" t="inlineStr">
        <is>
          <t>2026-07</t>
        </is>
      </c>
      <c r="OM637" s="2">
        <v>-0.02</v>
      </c>
      <c r="ON637" s="2">
        <v>0.06</v>
      </c>
      <c r="OO637" s="2">
        <v>-0.04</v>
      </c>
      <c r="OP637" s="2">
        <v>0.06</v>
      </c>
      <c r="OQ637" s="2">
        <v>-0.03</v>
      </c>
      <c r="OR637" s="2">
        <v>-0.02</v>
      </c>
      <c r="OS637" s="2">
        <v>0.04</v>
      </c>
      <c r="OT637" s="2">
        <v>0.01</v>
      </c>
      <c r="OU637" s="2">
        <v>-0.04</v>
      </c>
      <c r="OV637" s="2">
        <v>0.03</v>
      </c>
      <c r="OW637" s="2">
        <v>-0.03</v>
      </c>
      <c r="OX637" s="2">
        <v>-0.01</v>
      </c>
      <c r="PC637" s="2">
        <v>0.03</v>
      </c>
      <c r="PD637" s="2">
        <v>0.03</v>
      </c>
      <c r="PE637" s="2">
        <v>-0.01</v>
      </c>
      <c r="PF637" s="2">
        <v>0.06</v>
      </c>
      <c r="PG637" s="2">
        <v>-0.04</v>
      </c>
      <c r="PH637" s="2">
        <v>-0.05</v>
      </c>
      <c r="PI637" s="2">
        <v>0.03</v>
      </c>
    </row>
    <row r="638">
      <c r="A638" t="inlineStr">
        <is>
          <t>A130391022J</t>
        </is>
      </c>
      <c r="B638" t="inlineStr">
        <is>
          <t>Change in Contribution to All groups CPI Index Number ;  Garments for infants and children ;  Australia ;</t>
        </is>
      </c>
      <c r="C638" t="inlineStr">
        <is>
          <t>Month</t>
        </is>
      </c>
      <c r="D638" t="inlineStr">
        <is>
          <t>Index Points</t>
        </is>
      </c>
      <c r="E638" t="inlineStr">
        <is>
          <t>Original</t>
        </is>
      </c>
      <c r="F638" t="inlineStr">
        <is>
          <t>640103.xlsx</t>
        </is>
      </c>
      <c r="G638" t="inlineStr">
        <is>
          <t>2025-01</t>
        </is>
      </c>
      <c r="H638" t="inlineStr">
        <is>
          <t>2026-07</t>
        </is>
      </c>
      <c r="OM638" s="2">
        <v>0</v>
      </c>
      <c r="ON638" s="2">
        <v>0</v>
      </c>
      <c r="OO638" s="2">
        <v>-0.01</v>
      </c>
      <c r="OP638" s="2">
        <v>0.02</v>
      </c>
      <c r="OQ638" s="2">
        <v>0</v>
      </c>
      <c r="OR638" s="2">
        <v>-0.01</v>
      </c>
      <c r="OS638" s="2">
        <v>0.01</v>
      </c>
      <c r="OT638" s="2">
        <v>0.01</v>
      </c>
      <c r="OU638" s="2">
        <v>-0.01</v>
      </c>
      <c r="OV638" s="2">
        <v>0.01</v>
      </c>
      <c r="OW638" s="2">
        <v>0</v>
      </c>
      <c r="OX638" s="2">
        <v>-0.01</v>
      </c>
      <c r="PC638" s="2">
        <v>0</v>
      </c>
      <c r="PD638" s="2">
        <v>0.01</v>
      </c>
      <c r="PE638" s="2">
        <v>-0.01</v>
      </c>
      <c r="PF638" s="2">
        <v>0.01</v>
      </c>
      <c r="PG638" s="2">
        <v>-0.02</v>
      </c>
      <c r="PH638" s="2">
        <v>0</v>
      </c>
      <c r="PI638" s="2">
        <v>0.01</v>
      </c>
    </row>
    <row r="639">
      <c r="A639" t="inlineStr">
        <is>
          <t>A130391764V</t>
        </is>
      </c>
      <c r="B639" t="inlineStr">
        <is>
          <t>Change in Contribution to All groups CPI Index Number ;  Footwear ;  Australia ;</t>
        </is>
      </c>
      <c r="C639" t="inlineStr">
        <is>
          <t>Month</t>
        </is>
      </c>
      <c r="D639" t="inlineStr">
        <is>
          <t>Index Points</t>
        </is>
      </c>
      <c r="E639" t="inlineStr">
        <is>
          <t>Original</t>
        </is>
      </c>
      <c r="F639" t="inlineStr">
        <is>
          <t>640103.xlsx</t>
        </is>
      </c>
      <c r="G639" t="inlineStr">
        <is>
          <t>2025-01</t>
        </is>
      </c>
      <c r="H639" t="inlineStr">
        <is>
          <t>2026-07</t>
        </is>
      </c>
      <c r="OM639" s="2">
        <v>0.01</v>
      </c>
      <c r="ON639" s="2">
        <v>0.03</v>
      </c>
      <c r="OO639" s="2">
        <v>-0.02</v>
      </c>
      <c r="OP639" s="2">
        <v>0.02</v>
      </c>
      <c r="OQ639" s="2">
        <v>-0.01</v>
      </c>
      <c r="OR639" s="2">
        <v>0</v>
      </c>
      <c r="OS639" s="2">
        <v>-0.01</v>
      </c>
      <c r="OT639" s="2">
        <v>-0.01</v>
      </c>
      <c r="OU639" s="2">
        <v>0.02</v>
      </c>
      <c r="OV639" s="2">
        <v>0.01</v>
      </c>
      <c r="OW639" s="2">
        <v>-0.03</v>
      </c>
      <c r="OX639" s="2">
        <v>0</v>
      </c>
      <c r="PC639" s="2">
        <v>0.01</v>
      </c>
      <c r="PD639" s="2">
        <v>0.02</v>
      </c>
      <c r="PE639" s="2">
        <v>-0.01</v>
      </c>
      <c r="PF639" s="2">
        <v>0.01</v>
      </c>
      <c r="PG639" s="2">
        <v>-0.01</v>
      </c>
      <c r="PH639" s="2">
        <v>0</v>
      </c>
      <c r="PI639" s="2">
        <v>0</v>
      </c>
    </row>
    <row r="640">
      <c r="A640" t="inlineStr">
        <is>
          <t>A130393283T</t>
        </is>
      </c>
      <c r="B640" t="inlineStr">
        <is>
          <t>Change in Contribution to All groups CPI Index Number ;  Footwear for men ;  Australia ;</t>
        </is>
      </c>
      <c r="C640" t="inlineStr">
        <is>
          <t>Month</t>
        </is>
      </c>
      <c r="D640" t="inlineStr">
        <is>
          <t>Index Points</t>
        </is>
      </c>
      <c r="E640" t="inlineStr">
        <is>
          <t>Original</t>
        </is>
      </c>
      <c r="F640" t="inlineStr">
        <is>
          <t>640103.xlsx</t>
        </is>
      </c>
      <c r="G640" t="inlineStr">
        <is>
          <t>2025-01</t>
        </is>
      </c>
      <c r="H640" t="inlineStr">
        <is>
          <t>2026-07</t>
        </is>
      </c>
      <c r="OM640" s="2">
        <v>0</v>
      </c>
      <c r="ON640" s="2">
        <v>0.01</v>
      </c>
      <c r="OO640" s="2">
        <v>-0.01</v>
      </c>
      <c r="OP640" s="2">
        <v>0.01</v>
      </c>
      <c r="OQ640" s="2">
        <v>-0.01</v>
      </c>
      <c r="OR640" s="2">
        <v>0</v>
      </c>
      <c r="OS640" s="2">
        <v>0</v>
      </c>
      <c r="OT640" s="2">
        <v>0</v>
      </c>
      <c r="OU640" s="2">
        <v>0</v>
      </c>
      <c r="OV640" s="2">
        <v>0</v>
      </c>
      <c r="OW640" s="2">
        <v>0</v>
      </c>
      <c r="OX640" s="2">
        <v>0</v>
      </c>
      <c r="PC640" s="2">
        <v>0</v>
      </c>
      <c r="PD640" s="2">
        <v>0.01</v>
      </c>
      <c r="PE640" s="2">
        <v>-0.01</v>
      </c>
      <c r="PF640" s="2">
        <v>0</v>
      </c>
      <c r="PG640" s="2">
        <v>0.01</v>
      </c>
      <c r="PH640" s="2">
        <v>-0.01</v>
      </c>
      <c r="PI640" s="2">
        <v>0</v>
      </c>
    </row>
    <row r="641">
      <c r="A641" t="inlineStr">
        <is>
          <t>A130395747R</t>
        </is>
      </c>
      <c r="B641" t="inlineStr">
        <is>
          <t>Change in Contribution to All groups CPI Index Number ;  Footwear for women ;  Australia ;</t>
        </is>
      </c>
      <c r="C641" t="inlineStr">
        <is>
          <t>Month</t>
        </is>
      </c>
      <c r="D641" t="inlineStr">
        <is>
          <t>Index Points</t>
        </is>
      </c>
      <c r="E641" t="inlineStr">
        <is>
          <t>Original</t>
        </is>
      </c>
      <c r="F641" t="inlineStr">
        <is>
          <t>640103.xlsx</t>
        </is>
      </c>
      <c r="G641" t="inlineStr">
        <is>
          <t>2025-01</t>
        </is>
      </c>
      <c r="H641" t="inlineStr">
        <is>
          <t>2026-07</t>
        </is>
      </c>
      <c r="OM641" s="2">
        <v>0</v>
      </c>
      <c r="ON641" s="2">
        <v>0.02</v>
      </c>
      <c r="OO641" s="2">
        <v>-0.01</v>
      </c>
      <c r="OP641" s="2">
        <v>0.01</v>
      </c>
      <c r="OQ641" s="2">
        <v>-0.01</v>
      </c>
      <c r="OR641" s="2">
        <v>0.01</v>
      </c>
      <c r="OS641" s="2">
        <v>-0.01</v>
      </c>
      <c r="OT641" s="2">
        <v>0</v>
      </c>
      <c r="OU641" s="2">
        <v>0.01</v>
      </c>
      <c r="OV641" s="2">
        <v>0.01</v>
      </c>
      <c r="OW641" s="2">
        <v>-0.02</v>
      </c>
      <c r="OX641" s="2">
        <v>0</v>
      </c>
      <c r="PC641" s="2">
        <v>0</v>
      </c>
      <c r="PD641" s="2">
        <v>0.01</v>
      </c>
      <c r="PE641" s="2">
        <v>0</v>
      </c>
      <c r="PF641" s="2">
        <v>0.01</v>
      </c>
      <c r="PG641" s="2">
        <v>-0.02</v>
      </c>
      <c r="PH641" s="2">
        <v>0.01</v>
      </c>
      <c r="PI641" s="2">
        <v>0</v>
      </c>
    </row>
    <row r="642">
      <c r="A642" t="inlineStr">
        <is>
          <t>A130391995C</t>
        </is>
      </c>
      <c r="B642" t="inlineStr">
        <is>
          <t>Change in Contribution to All groups CPI Index Number ;  Footwear for infants and children ;  Australia ;</t>
        </is>
      </c>
      <c r="C642" t="inlineStr">
        <is>
          <t>Month</t>
        </is>
      </c>
      <c r="D642" t="inlineStr">
        <is>
          <t>Index Points</t>
        </is>
      </c>
      <c r="E642" t="inlineStr">
        <is>
          <t>Original</t>
        </is>
      </c>
      <c r="F642" t="inlineStr">
        <is>
          <t>640103.xlsx</t>
        </is>
      </c>
      <c r="G642" t="inlineStr">
        <is>
          <t>2025-01</t>
        </is>
      </c>
      <c r="H642" t="inlineStr">
        <is>
          <t>2026-07</t>
        </is>
      </c>
      <c r="OM642" s="2">
        <v>0</v>
      </c>
      <c r="ON642" s="2">
        <v>0</v>
      </c>
      <c r="OO642" s="2">
        <v>0</v>
      </c>
      <c r="OP642" s="2">
        <v>0</v>
      </c>
      <c r="OQ642" s="2">
        <v>0</v>
      </c>
      <c r="OR642" s="2">
        <v>0</v>
      </c>
      <c r="OS642" s="2">
        <v>0</v>
      </c>
      <c r="OT642" s="2">
        <v>0</v>
      </c>
      <c r="OU642" s="2">
        <v>0</v>
      </c>
      <c r="OV642" s="2">
        <v>0</v>
      </c>
      <c r="OW642" s="2">
        <v>0</v>
      </c>
      <c r="OX642" s="2">
        <v>0</v>
      </c>
      <c r="PC642" s="2">
        <v>0</v>
      </c>
      <c r="PD642" s="2">
        <v>0</v>
      </c>
      <c r="PE642" s="2">
        <v>0</v>
      </c>
      <c r="PF642" s="2">
        <v>0</v>
      </c>
      <c r="PG642" s="2">
        <v>0</v>
      </c>
      <c r="PH642" s="2">
        <v>0</v>
      </c>
      <c r="PI642" s="2">
        <v>0</v>
      </c>
    </row>
    <row r="643">
      <c r="A643" t="inlineStr">
        <is>
          <t>A130397294W</t>
        </is>
      </c>
      <c r="B643" t="inlineStr">
        <is>
          <t>Change in Contribution to All groups CPI Index Number ;  Accessories and clothing services ;  Australia ;</t>
        </is>
      </c>
      <c r="C643" t="inlineStr">
        <is>
          <t>Month</t>
        </is>
      </c>
      <c r="D643" t="inlineStr">
        <is>
          <t>Index Points</t>
        </is>
      </c>
      <c r="E643" t="inlineStr">
        <is>
          <t>Original</t>
        </is>
      </c>
      <c r="F643" t="inlineStr">
        <is>
          <t>640103.xlsx</t>
        </is>
      </c>
      <c r="G643" t="inlineStr">
        <is>
          <t>2025-01</t>
        </is>
      </c>
      <c r="H643" t="inlineStr">
        <is>
          <t>2026-07</t>
        </is>
      </c>
      <c r="OM643" s="2">
        <v>0.03</v>
      </c>
      <c r="ON643" s="2">
        <v>0</v>
      </c>
      <c r="OO643" s="2">
        <v>-0.04</v>
      </c>
      <c r="OP643" s="2">
        <v>0.03</v>
      </c>
      <c r="OQ643" s="2">
        <v>-0.01</v>
      </c>
      <c r="OR643" s="2">
        <v>0.02</v>
      </c>
      <c r="OS643" s="2">
        <v>0.03</v>
      </c>
      <c r="OT643" s="2">
        <v>0.02</v>
      </c>
      <c r="OU643" s="2">
        <v>0.02</v>
      </c>
      <c r="OV643" s="2">
        <v>0.01</v>
      </c>
      <c r="OW643" s="2">
        <v>-0.03</v>
      </c>
      <c r="OX643" s="2">
        <v>0</v>
      </c>
      <c r="PC643" s="2">
        <v>0.04</v>
      </c>
      <c r="PD643" s="2">
        <v>0.01</v>
      </c>
      <c r="PE643" s="2">
        <v>-0.01</v>
      </c>
      <c r="PF643" s="2">
        <v>0.02</v>
      </c>
      <c r="PG643" s="2">
        <v>-0.02</v>
      </c>
      <c r="PH643" s="2">
        <v>0.04</v>
      </c>
      <c r="PI643" s="2">
        <v>0.02</v>
      </c>
    </row>
    <row r="644">
      <c r="A644" t="inlineStr">
        <is>
          <t>A130396020V</t>
        </is>
      </c>
      <c r="B644" t="inlineStr">
        <is>
          <t>Change in Contribution to All groups CPI Index Number ;  Accessories ;  Australia ;</t>
        </is>
      </c>
      <c r="C644" t="inlineStr">
        <is>
          <t>Month</t>
        </is>
      </c>
      <c r="D644" t="inlineStr">
        <is>
          <t>Index Points</t>
        </is>
      </c>
      <c r="E644" t="inlineStr">
        <is>
          <t>Original</t>
        </is>
      </c>
      <c r="F644" t="inlineStr">
        <is>
          <t>640103.xlsx</t>
        </is>
      </c>
      <c r="G644" t="inlineStr">
        <is>
          <t>2025-01</t>
        </is>
      </c>
      <c r="H644" t="inlineStr">
        <is>
          <t>2026-07</t>
        </is>
      </c>
      <c r="OM644" s="2">
        <v>0.04</v>
      </c>
      <c r="ON644" s="2">
        <v>0</v>
      </c>
      <c r="OO644" s="2">
        <v>-0.04</v>
      </c>
      <c r="OP644" s="2">
        <v>0.02</v>
      </c>
      <c r="OQ644" s="2">
        <v>0</v>
      </c>
      <c r="OR644" s="2">
        <v>0.01</v>
      </c>
      <c r="OS644" s="2">
        <v>0.04</v>
      </c>
      <c r="OT644" s="2">
        <v>0.01</v>
      </c>
      <c r="OU644" s="2">
        <v>0.02</v>
      </c>
      <c r="OV644" s="2">
        <v>0.01</v>
      </c>
      <c r="OW644" s="2">
        <v>-0.03</v>
      </c>
      <c r="OX644" s="2">
        <v>0</v>
      </c>
      <c r="PC644" s="2">
        <v>0.04</v>
      </c>
      <c r="PD644" s="2">
        <v>0.01</v>
      </c>
      <c r="PE644" s="2">
        <v>-0.01</v>
      </c>
      <c r="PF644" s="2">
        <v>0.02</v>
      </c>
      <c r="PG644" s="2">
        <v>-0.02</v>
      </c>
      <c r="PH644" s="2">
        <v>0.04</v>
      </c>
      <c r="PI644" s="2">
        <v>0.01</v>
      </c>
    </row>
    <row r="645">
      <c r="A645" t="inlineStr">
        <is>
          <t>A130399482T</t>
        </is>
      </c>
      <c r="B645" t="inlineStr">
        <is>
          <t>Change in Contribution to All groups CPI Index Number ;  Cleaning, repair and hire of clothing and footwear ;  Australia ;</t>
        </is>
      </c>
      <c r="C645" t="inlineStr">
        <is>
          <t>Month</t>
        </is>
      </c>
      <c r="D645" t="inlineStr">
        <is>
          <t>Index Points</t>
        </is>
      </c>
      <c r="E645" t="inlineStr">
        <is>
          <t>Original</t>
        </is>
      </c>
      <c r="F645" t="inlineStr">
        <is>
          <t>640103.xlsx</t>
        </is>
      </c>
      <c r="G645" t="inlineStr">
        <is>
          <t>2025-01</t>
        </is>
      </c>
      <c r="H645" t="inlineStr">
        <is>
          <t>2026-07</t>
        </is>
      </c>
      <c r="OM645" s="2">
        <v>0</v>
      </c>
      <c r="ON645" s="2">
        <v>0</v>
      </c>
      <c r="OO645" s="2">
        <v>0</v>
      </c>
      <c r="OP645" s="2">
        <v>0</v>
      </c>
      <c r="OQ645" s="2">
        <v>0</v>
      </c>
      <c r="OR645" s="2">
        <v>0</v>
      </c>
      <c r="OS645" s="2">
        <v>0</v>
      </c>
      <c r="OT645" s="2">
        <v>0</v>
      </c>
      <c r="OU645" s="2">
        <v>0</v>
      </c>
      <c r="OV645" s="2">
        <v>0</v>
      </c>
      <c r="OW645" s="2">
        <v>0</v>
      </c>
      <c r="OX645" s="2">
        <v>0</v>
      </c>
      <c r="PC645" s="2">
        <v>0</v>
      </c>
      <c r="PD645" s="2">
        <v>0</v>
      </c>
      <c r="PE645" s="2">
        <v>0</v>
      </c>
      <c r="PF645" s="2">
        <v>0</v>
      </c>
      <c r="PG645" s="2">
        <v>0</v>
      </c>
      <c r="PH645" s="2">
        <v>0</v>
      </c>
      <c r="PI645" s="2">
        <v>0</v>
      </c>
    </row>
    <row r="646">
      <c r="A646" t="inlineStr">
        <is>
          <t>A130399188C</t>
        </is>
      </c>
      <c r="B646" t="inlineStr">
        <is>
          <t>Change in Contribution to All groups CPI Index Number ;  Housing ;  Australia ;</t>
        </is>
      </c>
      <c r="C646" t="inlineStr">
        <is>
          <t>Month</t>
        </is>
      </c>
      <c r="D646" t="inlineStr">
        <is>
          <t>Index Points</t>
        </is>
      </c>
      <c r="E646" t="inlineStr">
        <is>
          <t>Original</t>
        </is>
      </c>
      <c r="F646" t="inlineStr">
        <is>
          <t>640103.xlsx</t>
        </is>
      </c>
      <c r="G646" t="inlineStr">
        <is>
          <t>2025-01</t>
        </is>
      </c>
      <c r="H646" t="inlineStr">
        <is>
          <t>2026-07</t>
        </is>
      </c>
      <c r="OM646" s="2">
        <v>0.19</v>
      </c>
      <c r="ON646" s="2">
        <v>-0.02</v>
      </c>
      <c r="OO646" s="2">
        <v>0.18</v>
      </c>
      <c r="OP646" s="2">
        <v>0.1</v>
      </c>
      <c r="OQ646" s="2">
        <v>0.05</v>
      </c>
      <c r="OR646" s="2">
        <v>0.03</v>
      </c>
      <c r="OS646" s="2">
        <v>0.45</v>
      </c>
      <c r="OT646" s="2">
        <v>-0.1</v>
      </c>
      <c r="OU646" s="2">
        <v>0.17</v>
      </c>
      <c r="OV646" s="2">
        <v>-0.19</v>
      </c>
      <c r="OW646" s="2">
        <v>0.25</v>
      </c>
      <c r="OX646" s="2">
        <v>0.03</v>
      </c>
      <c r="PC646" s="2">
        <v>0.48</v>
      </c>
      <c r="PD646" s="2">
        <v>0.06</v>
      </c>
      <c r="PE646" s="2">
        <v>0.05</v>
      </c>
      <c r="PF646" s="2">
        <v>0.05</v>
      </c>
      <c r="PG646" s="2">
        <v>0.1</v>
      </c>
      <c r="PH646" s="2">
        <v>0.1</v>
      </c>
      <c r="PI646" s="2">
        <v>0.1</v>
      </c>
    </row>
    <row r="647">
      <c r="A647" t="inlineStr">
        <is>
          <t>A130390098K</t>
        </is>
      </c>
      <c r="B647" t="inlineStr">
        <is>
          <t>Change in Contribution to All groups CPI Index Number ;  Rents ;  Australia ;</t>
        </is>
      </c>
      <c r="C647" t="inlineStr">
        <is>
          <t>Month</t>
        </is>
      </c>
      <c r="D647" t="inlineStr">
        <is>
          <t>Index Points</t>
        </is>
      </c>
      <c r="E647" t="inlineStr">
        <is>
          <t>Original</t>
        </is>
      </c>
      <c r="F647" t="inlineStr">
        <is>
          <t>640103.xlsx</t>
        </is>
      </c>
      <c r="G647" t="inlineStr">
        <is>
          <t>2025-01</t>
        </is>
      </c>
      <c r="H647" t="inlineStr">
        <is>
          <t>2026-07</t>
        </is>
      </c>
      <c r="OM647" s="2">
        <v>0.03</v>
      </c>
      <c r="ON647" s="2">
        <v>0.03</v>
      </c>
      <c r="OO647" s="2">
        <v>0.02</v>
      </c>
      <c r="OP647" s="2">
        <v>0.02</v>
      </c>
      <c r="OQ647" s="2">
        <v>0.02</v>
      </c>
      <c r="OR647" s="2">
        <v>0.02</v>
      </c>
      <c r="OS647" s="2">
        <v>0.02</v>
      </c>
      <c r="OT647" s="2">
        <v>0.02</v>
      </c>
      <c r="OU647" s="2">
        <v>0.02</v>
      </c>
      <c r="OV647" s="2">
        <v>0.01</v>
      </c>
      <c r="OW647" s="2">
        <v>0.03</v>
      </c>
      <c r="OX647" s="2">
        <v>0.02</v>
      </c>
      <c r="PC647" s="2">
        <v>0.02</v>
      </c>
      <c r="PD647" s="2">
        <v>0.02</v>
      </c>
      <c r="PE647" s="2">
        <v>0.01</v>
      </c>
      <c r="PF647" s="2">
        <v>0.02</v>
      </c>
      <c r="PG647" s="2">
        <v>0.02</v>
      </c>
      <c r="PH647" s="2">
        <v>0.03</v>
      </c>
      <c r="PI647" s="2">
        <v>0.02</v>
      </c>
    </row>
    <row r="648">
      <c r="A648" t="inlineStr">
        <is>
          <t>A130397974A</t>
        </is>
      </c>
      <c r="B648" t="inlineStr">
        <is>
          <t>Change in Contribution to All groups CPI Index Number ;  Rents ;  Australia ;</t>
        </is>
      </c>
      <c r="C648" t="inlineStr">
        <is>
          <t>Month</t>
        </is>
      </c>
      <c r="D648" t="inlineStr">
        <is>
          <t>Index Points</t>
        </is>
      </c>
      <c r="E648" t="inlineStr">
        <is>
          <t>Original</t>
        </is>
      </c>
      <c r="F648" t="inlineStr">
        <is>
          <t>640103.xlsx</t>
        </is>
      </c>
      <c r="G648" t="inlineStr">
        <is>
          <t>2025-01</t>
        </is>
      </c>
      <c r="H648" t="inlineStr">
        <is>
          <t>2026-07</t>
        </is>
      </c>
      <c r="OM648" s="2">
        <v>0.03</v>
      </c>
      <c r="ON648" s="2">
        <v>0.03</v>
      </c>
      <c r="OO648" s="2">
        <v>0.02</v>
      </c>
      <c r="OP648" s="2">
        <v>0.02</v>
      </c>
      <c r="OQ648" s="2">
        <v>0.02</v>
      </c>
      <c r="OR648" s="2">
        <v>0.02</v>
      </c>
      <c r="OS648" s="2">
        <v>0.02</v>
      </c>
      <c r="OT648" s="2">
        <v>0.02</v>
      </c>
      <c r="OU648" s="2">
        <v>0.02</v>
      </c>
      <c r="OV648" s="2">
        <v>0.01</v>
      </c>
      <c r="OW648" s="2">
        <v>0.03</v>
      </c>
      <c r="OX648" s="2">
        <v>0.02</v>
      </c>
      <c r="PC648" s="2">
        <v>0.02</v>
      </c>
      <c r="PD648" s="2">
        <v>0.02</v>
      </c>
      <c r="PE648" s="2">
        <v>0.01</v>
      </c>
      <c r="PF648" s="2">
        <v>0.02</v>
      </c>
      <c r="PG648" s="2">
        <v>0.02</v>
      </c>
      <c r="PH648" s="2">
        <v>0.03</v>
      </c>
      <c r="PI648" s="2">
        <v>0.02</v>
      </c>
    </row>
    <row r="649">
      <c r="A649" t="inlineStr">
        <is>
          <t>A130391540J</t>
        </is>
      </c>
      <c r="B649" t="inlineStr">
        <is>
          <t>Change in Contribution to All groups CPI Index Number ;  New dwelling purchase by owner-occupiers ;  Australia ;</t>
        </is>
      </c>
      <c r="C649" t="inlineStr">
        <is>
          <t>Month</t>
        </is>
      </c>
      <c r="D649" t="inlineStr">
        <is>
          <t>Index Points</t>
        </is>
      </c>
      <c r="E649" t="inlineStr">
        <is>
          <t>Original</t>
        </is>
      </c>
      <c r="F649" t="inlineStr">
        <is>
          <t>640103.xlsx</t>
        </is>
      </c>
      <c r="G649" t="inlineStr">
        <is>
          <t>2025-01</t>
        </is>
      </c>
      <c r="H649" t="inlineStr">
        <is>
          <t>2026-07</t>
        </is>
      </c>
      <c r="OM649" s="2">
        <v>0</v>
      </c>
      <c r="ON649" s="2">
        <v>-0.01</v>
      </c>
      <c r="OO649" s="2">
        <v>-0.02</v>
      </c>
      <c r="OP649" s="2">
        <v>0.04</v>
      </c>
      <c r="OQ649" s="2">
        <v>0</v>
      </c>
      <c r="OR649" s="2">
        <v>0.02</v>
      </c>
      <c r="OS649" s="2">
        <v>0.03</v>
      </c>
      <c r="OT649" s="2">
        <v>0.03</v>
      </c>
      <c r="OU649" s="2">
        <v>0.05</v>
      </c>
      <c r="OV649" s="2">
        <v>0.03</v>
      </c>
      <c r="OW649" s="2">
        <v>0.04</v>
      </c>
      <c r="OX649" s="2">
        <v>0.01</v>
      </c>
      <c r="PC649" s="2">
        <v>0.03</v>
      </c>
      <c r="PD649" s="2">
        <v>0.01</v>
      </c>
      <c r="PE649" s="2">
        <v>0.04</v>
      </c>
      <c r="PF649" s="2">
        <v>0.05</v>
      </c>
      <c r="PG649" s="2">
        <v>0.07000000000000001</v>
      </c>
      <c r="PH649" s="2">
        <v>0.03</v>
      </c>
      <c r="PI649" s="2">
        <v>0.03</v>
      </c>
    </row>
    <row r="650">
      <c r="A650" t="inlineStr">
        <is>
          <t>A130399776X</t>
        </is>
      </c>
      <c r="B650" t="inlineStr">
        <is>
          <t>Change in Contribution to All groups CPI Index Number ;  New dwelling purchase by owner-occupiers ;  Australia ;</t>
        </is>
      </c>
      <c r="C650" t="inlineStr">
        <is>
          <t>Month</t>
        </is>
      </c>
      <c r="D650" t="inlineStr">
        <is>
          <t>Index Points</t>
        </is>
      </c>
      <c r="E650" t="inlineStr">
        <is>
          <t>Original</t>
        </is>
      </c>
      <c r="F650" t="inlineStr">
        <is>
          <t>640103.xlsx</t>
        </is>
      </c>
      <c r="G650" t="inlineStr">
        <is>
          <t>2025-01</t>
        </is>
      </c>
      <c r="H650" t="inlineStr">
        <is>
          <t>2026-07</t>
        </is>
      </c>
      <c r="OM650" s="2">
        <v>0</v>
      </c>
      <c r="ON650" s="2">
        <v>-0.01</v>
      </c>
      <c r="OO650" s="2">
        <v>-0.02</v>
      </c>
      <c r="OP650" s="2">
        <v>0.04</v>
      </c>
      <c r="OQ650" s="2">
        <v>0</v>
      </c>
      <c r="OR650" s="2">
        <v>0.02</v>
      </c>
      <c r="OS650" s="2">
        <v>0.03</v>
      </c>
      <c r="OT650" s="2">
        <v>0.03</v>
      </c>
      <c r="OU650" s="2">
        <v>0.05</v>
      </c>
      <c r="OV650" s="2">
        <v>0.03</v>
      </c>
      <c r="OW650" s="2">
        <v>0.04</v>
      </c>
      <c r="OX650" s="2">
        <v>0.01</v>
      </c>
      <c r="PC650" s="2">
        <v>0.03</v>
      </c>
      <c r="PD650" s="2">
        <v>0.01</v>
      </c>
      <c r="PE650" s="2">
        <v>0.04</v>
      </c>
      <c r="PF650" s="2">
        <v>0.05</v>
      </c>
      <c r="PG650" s="2">
        <v>0.07000000000000001</v>
      </c>
      <c r="PH650" s="2">
        <v>0.03</v>
      </c>
      <c r="PI650" s="2">
        <v>0.03</v>
      </c>
    </row>
    <row r="651">
      <c r="A651" t="inlineStr">
        <is>
          <t>A130397848L</t>
        </is>
      </c>
      <c r="B651" t="inlineStr">
        <is>
          <t>Change in Contribution to All groups CPI Index Number ;  Other housing ;  Australia ;</t>
        </is>
      </c>
      <c r="C651" t="inlineStr">
        <is>
          <t>Month</t>
        </is>
      </c>
      <c r="D651" t="inlineStr">
        <is>
          <t>Index Points</t>
        </is>
      </c>
      <c r="E651" t="inlineStr">
        <is>
          <t>Original</t>
        </is>
      </c>
      <c r="F651" t="inlineStr">
        <is>
          <t>640103.xlsx</t>
        </is>
      </c>
      <c r="G651" t="inlineStr">
        <is>
          <t>2025-01</t>
        </is>
      </c>
      <c r="H651" t="inlineStr">
        <is>
          <t>2026-07</t>
        </is>
      </c>
      <c r="OM651" s="2">
        <v>0.01</v>
      </c>
      <c r="ON651" s="2">
        <v>0</v>
      </c>
      <c r="OO651" s="2">
        <v>0</v>
      </c>
      <c r="OP651" s="2">
        <v>0.01</v>
      </c>
      <c r="OQ651" s="2">
        <v>0</v>
      </c>
      <c r="OR651" s="2">
        <v>0</v>
      </c>
      <c r="OS651" s="2">
        <v>0.02</v>
      </c>
      <c r="OT651" s="2">
        <v>0</v>
      </c>
      <c r="OU651" s="2">
        <v>0.09</v>
      </c>
      <c r="OV651" s="2">
        <v>0.01</v>
      </c>
      <c r="OW651" s="2">
        <v>0.01</v>
      </c>
      <c r="OX651" s="2">
        <v>0</v>
      </c>
      <c r="PC651" s="2">
        <v>0</v>
      </c>
      <c r="PD651" s="2">
        <v>0.01</v>
      </c>
      <c r="PE651" s="2">
        <v>0</v>
      </c>
      <c r="PF651" s="2">
        <v>0.01</v>
      </c>
      <c r="PG651" s="2">
        <v>0.01</v>
      </c>
      <c r="PH651" s="2">
        <v>0.01</v>
      </c>
      <c r="PI651" s="2">
        <v>0.01</v>
      </c>
    </row>
    <row r="652">
      <c r="A652" t="inlineStr">
        <is>
          <t>A130394592R</t>
        </is>
      </c>
      <c r="B652" t="inlineStr">
        <is>
          <t>Change in Contribution to All groups CPI Index Number ;  Maintenance and repair of the dwelling ;  Australia ;</t>
        </is>
      </c>
      <c r="C652" t="inlineStr">
        <is>
          <t>Month</t>
        </is>
      </c>
      <c r="D652" t="inlineStr">
        <is>
          <t>Index Points</t>
        </is>
      </c>
      <c r="E652" t="inlineStr">
        <is>
          <t>Original</t>
        </is>
      </c>
      <c r="F652" t="inlineStr">
        <is>
          <t>640103.xlsx</t>
        </is>
      </c>
      <c r="G652" t="inlineStr">
        <is>
          <t>2025-01</t>
        </is>
      </c>
      <c r="H652" t="inlineStr">
        <is>
          <t>2026-07</t>
        </is>
      </c>
      <c r="OM652" s="2">
        <v>0.01</v>
      </c>
      <c r="ON652" s="2">
        <v>0</v>
      </c>
      <c r="OO652" s="2">
        <v>0.01</v>
      </c>
      <c r="OP652" s="2">
        <v>0</v>
      </c>
      <c r="OQ652" s="2">
        <v>0</v>
      </c>
      <c r="OR652" s="2">
        <v>0</v>
      </c>
      <c r="OS652" s="2">
        <v>0.02</v>
      </c>
      <c r="OT652" s="2">
        <v>0</v>
      </c>
      <c r="OU652" s="2">
        <v>0</v>
      </c>
      <c r="OV652" s="2">
        <v>0.02</v>
      </c>
      <c r="OW652" s="2">
        <v>0</v>
      </c>
      <c r="OX652" s="2">
        <v>0</v>
      </c>
      <c r="PC652" s="2">
        <v>0.01</v>
      </c>
      <c r="PD652" s="2">
        <v>0</v>
      </c>
      <c r="PE652" s="2">
        <v>0</v>
      </c>
      <c r="PF652" s="2">
        <v>0.01</v>
      </c>
      <c r="PG652" s="2">
        <v>0.01</v>
      </c>
      <c r="PH652" s="2">
        <v>0.01</v>
      </c>
      <c r="PI652" s="2">
        <v>0.01</v>
      </c>
    </row>
    <row r="653">
      <c r="A653" t="inlineStr">
        <is>
          <t>A130399783W</t>
        </is>
      </c>
      <c r="B653" t="inlineStr">
        <is>
          <t>Change in Contribution to All groups CPI Index Number ;  Property rates and charges ;  Australia ;</t>
        </is>
      </c>
      <c r="C653" t="inlineStr">
        <is>
          <t>Month</t>
        </is>
      </c>
      <c r="D653" t="inlineStr">
        <is>
          <t>Index Points</t>
        </is>
      </c>
      <c r="E653" t="inlineStr">
        <is>
          <t>Original</t>
        </is>
      </c>
      <c r="F653" t="inlineStr">
        <is>
          <t>640103.xlsx</t>
        </is>
      </c>
      <c r="G653" t="inlineStr">
        <is>
          <t>2025-01</t>
        </is>
      </c>
      <c r="H653" t="inlineStr">
        <is>
          <t>2026-07</t>
        </is>
      </c>
      <c r="OM653" s="2">
        <v>0</v>
      </c>
      <c r="ON653" s="2">
        <v>0</v>
      </c>
      <c r="OO653" s="2">
        <v>0</v>
      </c>
      <c r="OP653" s="2">
        <v>0</v>
      </c>
      <c r="OQ653" s="2">
        <v>0</v>
      </c>
      <c r="OR653" s="2">
        <v>0</v>
      </c>
      <c r="OS653" s="2">
        <v>0</v>
      </c>
      <c r="OT653" s="2">
        <v>0</v>
      </c>
      <c r="OU653" s="2">
        <v>0.09</v>
      </c>
      <c r="OV653" s="2">
        <v>0</v>
      </c>
      <c r="OW653" s="2">
        <v>0</v>
      </c>
      <c r="OX653" s="2">
        <v>0</v>
      </c>
      <c r="PC653" s="2">
        <v>0</v>
      </c>
      <c r="PD653" s="2">
        <v>0</v>
      </c>
      <c r="PE653" s="2">
        <v>0</v>
      </c>
      <c r="PF653" s="2">
        <v>0</v>
      </c>
      <c r="PG653" s="2">
        <v>0</v>
      </c>
      <c r="PH653" s="2">
        <v>0</v>
      </c>
      <c r="PI653" s="2">
        <v>0</v>
      </c>
    </row>
    <row r="654">
      <c r="A654" t="inlineStr">
        <is>
          <t>A130393094F</t>
        </is>
      </c>
      <c r="B654" t="inlineStr">
        <is>
          <t>Change in Contribution to All groups CPI Index Number ;  Utilities ;  Australia ;</t>
        </is>
      </c>
      <c r="C654" t="inlineStr">
        <is>
          <t>Month</t>
        </is>
      </c>
      <c r="D654" t="inlineStr">
        <is>
          <t>Index Points</t>
        </is>
      </c>
      <c r="E654" t="inlineStr">
        <is>
          <t>Original</t>
        </is>
      </c>
      <c r="F654" t="inlineStr">
        <is>
          <t>640103.xlsx</t>
        </is>
      </c>
      <c r="G654" t="inlineStr">
        <is>
          <t>2025-01</t>
        </is>
      </c>
      <c r="H654" t="inlineStr">
        <is>
          <t>2026-07</t>
        </is>
      </c>
      <c r="OM654" s="2">
        <v>0.17</v>
      </c>
      <c r="ON654" s="2">
        <v>-0.05</v>
      </c>
      <c r="OO654" s="2">
        <v>0.18</v>
      </c>
      <c r="OP654" s="2">
        <v>0.02</v>
      </c>
      <c r="OQ654" s="2">
        <v>0.03</v>
      </c>
      <c r="OR654" s="2">
        <v>-0.01</v>
      </c>
      <c r="OS654" s="2">
        <v>0.38</v>
      </c>
      <c r="OT654" s="2">
        <v>-0.15</v>
      </c>
      <c r="OU654" s="2">
        <v>0.01</v>
      </c>
      <c r="OV654" s="2">
        <v>-0.24</v>
      </c>
      <c r="OW654" s="2">
        <v>0.17</v>
      </c>
      <c r="OX654" s="2">
        <v>0</v>
      </c>
      <c r="PC654" s="2">
        <v>0.43</v>
      </c>
      <c r="PD654" s="2">
        <v>0.02</v>
      </c>
      <c r="PE654" s="2">
        <v>0</v>
      </c>
      <c r="PF654" s="2">
        <v>-0.03</v>
      </c>
      <c r="PG654" s="2">
        <v>-0.01</v>
      </c>
      <c r="PH654" s="2">
        <v>0.05</v>
      </c>
      <c r="PI654" s="2">
        <v>0.03</v>
      </c>
    </row>
    <row r="655">
      <c r="A655" t="inlineStr">
        <is>
          <t>A130391064F</t>
        </is>
      </c>
      <c r="B655" t="inlineStr">
        <is>
          <t>Change in Contribution to All groups CPI Index Number ;  Water and sewerage ;  Australia ;</t>
        </is>
      </c>
      <c r="C655" t="inlineStr">
        <is>
          <t>Month</t>
        </is>
      </c>
      <c r="D655" t="inlineStr">
        <is>
          <t>Index Points</t>
        </is>
      </c>
      <c r="E655" t="inlineStr">
        <is>
          <t>Original</t>
        </is>
      </c>
      <c r="F655" t="inlineStr">
        <is>
          <t>640103.xlsx</t>
        </is>
      </c>
      <c r="G655" t="inlineStr">
        <is>
          <t>2025-01</t>
        </is>
      </c>
      <c r="H655" t="inlineStr">
        <is>
          <t>2026-07</t>
        </is>
      </c>
      <c r="OM655" s="2">
        <v>0</v>
      </c>
      <c r="ON655" s="2">
        <v>0</v>
      </c>
      <c r="OO655" s="2">
        <v>0</v>
      </c>
      <c r="OP655" s="2">
        <v>0</v>
      </c>
      <c r="OQ655" s="2">
        <v>0</v>
      </c>
      <c r="OR655" s="2">
        <v>0</v>
      </c>
      <c r="OS655" s="2">
        <v>0.02</v>
      </c>
      <c r="OT655" s="2">
        <v>0</v>
      </c>
      <c r="OU655" s="2">
        <v>0</v>
      </c>
      <c r="OV655" s="2">
        <v>0.04</v>
      </c>
      <c r="OW655" s="2">
        <v>0</v>
      </c>
      <c r="OX655" s="2">
        <v>0</v>
      </c>
      <c r="PC655" s="2">
        <v>0</v>
      </c>
      <c r="PD655" s="2">
        <v>0</v>
      </c>
      <c r="PE655" s="2">
        <v>0</v>
      </c>
      <c r="PF655" s="2">
        <v>0</v>
      </c>
      <c r="PG655" s="2">
        <v>0</v>
      </c>
      <c r="PH655" s="2">
        <v>0</v>
      </c>
      <c r="PI655" s="2">
        <v>0.05</v>
      </c>
    </row>
    <row r="656">
      <c r="A656" t="inlineStr">
        <is>
          <t>A130390735R</t>
        </is>
      </c>
      <c r="B656" t="inlineStr">
        <is>
          <t>Change in Contribution to All groups CPI Index Number ;  Electricity ;  Australia ;</t>
        </is>
      </c>
      <c r="C656" t="inlineStr">
        <is>
          <t>Month</t>
        </is>
      </c>
      <c r="D656" t="inlineStr">
        <is>
          <t>Index Points</t>
        </is>
      </c>
      <c r="E656" t="inlineStr">
        <is>
          <t>Original</t>
        </is>
      </c>
      <c r="F656" t="inlineStr">
        <is>
          <t>640103.xlsx</t>
        </is>
      </c>
      <c r="G656" t="inlineStr">
        <is>
          <t>2025-01</t>
        </is>
      </c>
      <c r="H656" t="inlineStr">
        <is>
          <t>2026-07</t>
        </is>
      </c>
      <c r="OM656" s="2">
        <v>0.17</v>
      </c>
      <c r="ON656" s="2">
        <v>-0.05</v>
      </c>
      <c r="OO656" s="2">
        <v>0.18</v>
      </c>
      <c r="OP656" s="2">
        <v>0.03</v>
      </c>
      <c r="OQ656" s="2">
        <v>0.05</v>
      </c>
      <c r="OR656" s="2">
        <v>-0.01</v>
      </c>
      <c r="OS656" s="2">
        <v>0.3</v>
      </c>
      <c r="OT656" s="2">
        <v>-0.16</v>
      </c>
      <c r="OU656" s="2">
        <v>-0.01</v>
      </c>
      <c r="OV656" s="2">
        <v>-0.24</v>
      </c>
      <c r="OW656" s="2">
        <v>0.14</v>
      </c>
      <c r="OX656" s="2">
        <v>0</v>
      </c>
      <c r="PC656" s="2">
        <v>0.42</v>
      </c>
      <c r="PD656" s="2">
        <v>0.03</v>
      </c>
      <c r="PE656" s="2">
        <v>0</v>
      </c>
      <c r="PF656" s="2">
        <v>-0.02</v>
      </c>
      <c r="PG656" s="2">
        <v>0.02</v>
      </c>
      <c r="PH656" s="2">
        <v>0.02</v>
      </c>
      <c r="PI656" s="2">
        <v>-0.05</v>
      </c>
    </row>
    <row r="657">
      <c r="A657" t="inlineStr">
        <is>
          <t>A130392618R</t>
        </is>
      </c>
      <c r="B657" t="inlineStr">
        <is>
          <t>Change in Contribution to All groups CPI Index Number ;  Gas and other household fuels ;  Australia ;</t>
        </is>
      </c>
      <c r="C657" t="inlineStr">
        <is>
          <t>Month</t>
        </is>
      </c>
      <c r="D657" t="inlineStr">
        <is>
          <t>Index Points</t>
        </is>
      </c>
      <c r="E657" t="inlineStr">
        <is>
          <t>Original</t>
        </is>
      </c>
      <c r="F657" t="inlineStr">
        <is>
          <t>640103.xlsx</t>
        </is>
      </c>
      <c r="G657" t="inlineStr">
        <is>
          <t>2025-01</t>
        </is>
      </c>
      <c r="H657" t="inlineStr">
        <is>
          <t>2026-07</t>
        </is>
      </c>
      <c r="OM657" s="2">
        <v>0</v>
      </c>
      <c r="ON657" s="2">
        <v>0</v>
      </c>
      <c r="OO657" s="2">
        <v>0</v>
      </c>
      <c r="OP657" s="2">
        <v>-0.01</v>
      </c>
      <c r="OQ657" s="2">
        <v>-0.02</v>
      </c>
      <c r="OR657" s="2">
        <v>0.01</v>
      </c>
      <c r="OS657" s="2">
        <v>0.05</v>
      </c>
      <c r="OT657" s="2">
        <v>0</v>
      </c>
      <c r="OU657" s="2">
        <v>0.03</v>
      </c>
      <c r="OV657" s="2">
        <v>-0.04</v>
      </c>
      <c r="OW657" s="2">
        <v>0.03</v>
      </c>
      <c r="OX657" s="2">
        <v>0</v>
      </c>
      <c r="PC657" s="2">
        <v>0</v>
      </c>
      <c r="PD657" s="2">
        <v>0</v>
      </c>
      <c r="PE657" s="2">
        <v>0</v>
      </c>
      <c r="PF657" s="2">
        <v>0</v>
      </c>
      <c r="PG657" s="2">
        <v>-0.03</v>
      </c>
      <c r="PH657" s="2">
        <v>0.02</v>
      </c>
      <c r="PI657" s="2">
        <v>0.03</v>
      </c>
    </row>
    <row r="658">
      <c r="A658" t="inlineStr">
        <is>
          <t>A130399202L</t>
        </is>
      </c>
      <c r="B658" t="inlineStr">
        <is>
          <t>Change in Contribution to All groups CPI Index Number ;  Furnishings, household equipment and services ;  Australia ;</t>
        </is>
      </c>
      <c r="C658" t="inlineStr">
        <is>
          <t>Month</t>
        </is>
      </c>
      <c r="D658" t="inlineStr">
        <is>
          <t>Index Points</t>
        </is>
      </c>
      <c r="E658" t="inlineStr">
        <is>
          <t>Original</t>
        </is>
      </c>
      <c r="F658" t="inlineStr">
        <is>
          <t>640103.xlsx</t>
        </is>
      </c>
      <c r="G658" t="inlineStr">
        <is>
          <t>2025-01</t>
        </is>
      </c>
      <c r="H658" t="inlineStr">
        <is>
          <t>2026-07</t>
        </is>
      </c>
      <c r="OM658" s="2">
        <v>0.02</v>
      </c>
      <c r="ON658" s="2">
        <v>0.08</v>
      </c>
      <c r="OO658" s="2">
        <v>-0.02</v>
      </c>
      <c r="OP658" s="2">
        <v>0.03</v>
      </c>
      <c r="OQ658" s="2">
        <v>-0.03</v>
      </c>
      <c r="OR658" s="2">
        <v>-0.08</v>
      </c>
      <c r="OS658" s="2">
        <v>0.15</v>
      </c>
      <c r="OT658" s="2">
        <v>0.06</v>
      </c>
      <c r="OU658" s="2">
        <v>-0.02</v>
      </c>
      <c r="OV658" s="2">
        <v>0.06</v>
      </c>
      <c r="OW658" s="2">
        <v>-0.08</v>
      </c>
      <c r="OX658" s="2">
        <v>-0.01</v>
      </c>
      <c r="PC658" s="2">
        <v>-0.03</v>
      </c>
      <c r="PD658" s="2">
        <v>0.07000000000000001</v>
      </c>
      <c r="PE658" s="2">
        <v>-0.02</v>
      </c>
      <c r="PF658" s="2">
        <v>0.03</v>
      </c>
      <c r="PG658" s="2">
        <v>0</v>
      </c>
      <c r="PH658" s="2">
        <v>-0.09</v>
      </c>
      <c r="PI658" s="2">
        <v>0.15</v>
      </c>
    </row>
    <row r="659">
      <c r="A659" t="inlineStr">
        <is>
          <t>A130397799C</t>
        </is>
      </c>
      <c r="B659" t="inlineStr">
        <is>
          <t>Change in Contribution to All groups CPI Index Number ;  Furniture and furnishings ;  Australia ;</t>
        </is>
      </c>
      <c r="C659" t="inlineStr">
        <is>
          <t>Month</t>
        </is>
      </c>
      <c r="D659" t="inlineStr">
        <is>
          <t>Index Points</t>
        </is>
      </c>
      <c r="E659" t="inlineStr">
        <is>
          <t>Original</t>
        </is>
      </c>
      <c r="F659" t="inlineStr">
        <is>
          <t>640103.xlsx</t>
        </is>
      </c>
      <c r="G659" t="inlineStr">
        <is>
          <t>2025-01</t>
        </is>
      </c>
      <c r="H659" t="inlineStr">
        <is>
          <t>2026-07</t>
        </is>
      </c>
      <c r="OM659" s="2">
        <v>-0.02</v>
      </c>
      <c r="ON659" s="2">
        <v>0.06</v>
      </c>
      <c r="OO659" s="2">
        <v>-0.02</v>
      </c>
      <c r="OP659" s="2">
        <v>-0.01</v>
      </c>
      <c r="OQ659" s="2">
        <v>-0.01</v>
      </c>
      <c r="OR659" s="2">
        <v>-0.04</v>
      </c>
      <c r="OS659" s="2">
        <v>0.06</v>
      </c>
      <c r="OT659" s="2">
        <v>-0.02</v>
      </c>
      <c r="OU659" s="2">
        <v>0.03</v>
      </c>
      <c r="OV659" s="2">
        <v>0.03</v>
      </c>
      <c r="OW659" s="2">
        <v>-0.06</v>
      </c>
      <c r="OX659" s="2">
        <v>0.01</v>
      </c>
      <c r="PC659" s="2">
        <v>-0.05</v>
      </c>
      <c r="PD659" s="2">
        <v>0.06</v>
      </c>
      <c r="PE659" s="2">
        <v>0</v>
      </c>
      <c r="PF659" s="2">
        <v>0</v>
      </c>
      <c r="PG659" s="2">
        <v>0</v>
      </c>
      <c r="PH659" s="2">
        <v>-0.06</v>
      </c>
      <c r="PI659" s="2">
        <v>0.06</v>
      </c>
    </row>
    <row r="660">
      <c r="A660" t="inlineStr">
        <is>
          <t>A130394599F</t>
        </is>
      </c>
      <c r="B660" t="inlineStr">
        <is>
          <t>Change in Contribution to All groups CPI Index Number ;  Furniture ;  Australia ;</t>
        </is>
      </c>
      <c r="C660" t="inlineStr">
        <is>
          <t>Month</t>
        </is>
      </c>
      <c r="D660" t="inlineStr">
        <is>
          <t>Index Points</t>
        </is>
      </c>
      <c r="E660" t="inlineStr">
        <is>
          <t>Original</t>
        </is>
      </c>
      <c r="F660" t="inlineStr">
        <is>
          <t>640103.xlsx</t>
        </is>
      </c>
      <c r="G660" t="inlineStr">
        <is>
          <t>2025-01</t>
        </is>
      </c>
      <c r="H660" t="inlineStr">
        <is>
          <t>2026-07</t>
        </is>
      </c>
      <c r="OM660" s="2">
        <v>-0.02</v>
      </c>
      <c r="ON660" s="2">
        <v>0.05</v>
      </c>
      <c r="OO660" s="2">
        <v>-0.02</v>
      </c>
      <c r="OP660" s="2">
        <v>0</v>
      </c>
      <c r="OQ660" s="2">
        <v>-0.02</v>
      </c>
      <c r="OR660" s="2">
        <v>-0.03</v>
      </c>
      <c r="OS660" s="2">
        <v>0.05</v>
      </c>
      <c r="OT660" s="2">
        <v>-0.02</v>
      </c>
      <c r="OU660" s="2">
        <v>0.03</v>
      </c>
      <c r="OV660" s="2">
        <v>0.03</v>
      </c>
      <c r="OW660" s="2">
        <v>-0.06</v>
      </c>
      <c r="OX660" s="2">
        <v>0.02</v>
      </c>
      <c r="PC660" s="2">
        <v>-0.06</v>
      </c>
      <c r="PD660" s="2">
        <v>0.06</v>
      </c>
      <c r="PE660" s="2">
        <v>0</v>
      </c>
      <c r="PF660" s="2">
        <v>-0.01</v>
      </c>
      <c r="PG660" s="2">
        <v>0.01</v>
      </c>
      <c r="PH660" s="2">
        <v>-0.06</v>
      </c>
      <c r="PI660" s="2">
        <v>0.06</v>
      </c>
    </row>
    <row r="661">
      <c r="A661" t="inlineStr">
        <is>
          <t>A130397827A</t>
        </is>
      </c>
      <c r="B661" t="inlineStr">
        <is>
          <t>Change in Contribution to All groups CPI Index Number ;  Carpets and other floor coverings ;  Australia ;</t>
        </is>
      </c>
      <c r="C661" t="inlineStr">
        <is>
          <t>Month</t>
        </is>
      </c>
      <c r="D661" t="inlineStr">
        <is>
          <t>Index Points</t>
        </is>
      </c>
      <c r="E661" t="inlineStr">
        <is>
          <t>Original</t>
        </is>
      </c>
      <c r="F661" t="inlineStr">
        <is>
          <t>640103.xlsx</t>
        </is>
      </c>
      <c r="G661" t="inlineStr">
        <is>
          <t>2025-01</t>
        </is>
      </c>
      <c r="H661" t="inlineStr">
        <is>
          <t>2026-07</t>
        </is>
      </c>
      <c r="OM661" s="2">
        <v>0</v>
      </c>
      <c r="ON661" s="2">
        <v>0</v>
      </c>
      <c r="OO661" s="2">
        <v>0</v>
      </c>
      <c r="OP661" s="2">
        <v>0</v>
      </c>
      <c r="OQ661" s="2">
        <v>0</v>
      </c>
      <c r="OR661" s="2">
        <v>0</v>
      </c>
      <c r="OS661" s="2">
        <v>0.01</v>
      </c>
      <c r="OT661" s="2">
        <v>0</v>
      </c>
      <c r="OU661" s="2">
        <v>0</v>
      </c>
      <c r="OV661" s="2">
        <v>0</v>
      </c>
      <c r="OW661" s="2">
        <v>0</v>
      </c>
      <c r="OX661" s="2">
        <v>0</v>
      </c>
      <c r="PC661" s="2">
        <v>0</v>
      </c>
      <c r="PD661" s="2">
        <v>0</v>
      </c>
      <c r="PE661" s="2">
        <v>0</v>
      </c>
      <c r="PF661" s="2">
        <v>0</v>
      </c>
      <c r="PG661" s="2">
        <v>0</v>
      </c>
      <c r="PH661" s="2">
        <v>0</v>
      </c>
      <c r="PI661" s="2">
        <v>0</v>
      </c>
    </row>
    <row r="662">
      <c r="A662" t="inlineStr">
        <is>
          <t>A130396496A</t>
        </is>
      </c>
      <c r="B662" t="inlineStr">
        <is>
          <t>Change in Contribution to All groups CPI Index Number ;  Household textiles ;  Australia ;</t>
        </is>
      </c>
      <c r="C662" t="inlineStr">
        <is>
          <t>Month</t>
        </is>
      </c>
      <c r="D662" t="inlineStr">
        <is>
          <t>Index Points</t>
        </is>
      </c>
      <c r="E662" t="inlineStr">
        <is>
          <t>Original</t>
        </is>
      </c>
      <c r="F662" t="inlineStr">
        <is>
          <t>640103.xlsx</t>
        </is>
      </c>
      <c r="G662" t="inlineStr">
        <is>
          <t>2025-01</t>
        </is>
      </c>
      <c r="H662" t="inlineStr">
        <is>
          <t>2026-07</t>
        </is>
      </c>
      <c r="OM662" s="2">
        <v>0.01</v>
      </c>
      <c r="ON662" s="2">
        <v>0.03</v>
      </c>
      <c r="OO662" s="2">
        <v>0</v>
      </c>
      <c r="OP662" s="2">
        <v>-0.01</v>
      </c>
      <c r="OQ662" s="2">
        <v>0.01</v>
      </c>
      <c r="OR662" s="2">
        <v>-0.04</v>
      </c>
      <c r="OS662" s="2">
        <v>0.05</v>
      </c>
      <c r="OT662" s="2">
        <v>-0.01</v>
      </c>
      <c r="OU662" s="2">
        <v>0</v>
      </c>
      <c r="OV662" s="2">
        <v>0</v>
      </c>
      <c r="OW662" s="2">
        <v>0</v>
      </c>
      <c r="OX662" s="2">
        <v>-0.02</v>
      </c>
      <c r="PC662" s="2">
        <v>-0.01</v>
      </c>
      <c r="PD662" s="2">
        <v>0.03</v>
      </c>
      <c r="PE662" s="2">
        <v>-0.01</v>
      </c>
      <c r="PF662" s="2">
        <v>-0.01</v>
      </c>
      <c r="PG662" s="2">
        <v>-0.01</v>
      </c>
      <c r="PH662" s="2">
        <v>-0.01</v>
      </c>
      <c r="PI662" s="2">
        <v>0.05</v>
      </c>
    </row>
    <row r="663">
      <c r="A663" t="inlineStr">
        <is>
          <t>A130395383L</t>
        </is>
      </c>
      <c r="B663" t="inlineStr">
        <is>
          <t>Change in Contribution to All groups CPI Index Number ;  Household textiles ;  Australia ;</t>
        </is>
      </c>
      <c r="C663" t="inlineStr">
        <is>
          <t>Month</t>
        </is>
      </c>
      <c r="D663" t="inlineStr">
        <is>
          <t>Index Points</t>
        </is>
      </c>
      <c r="E663" t="inlineStr">
        <is>
          <t>Original</t>
        </is>
      </c>
      <c r="F663" t="inlineStr">
        <is>
          <t>640103.xlsx</t>
        </is>
      </c>
      <c r="G663" t="inlineStr">
        <is>
          <t>2025-01</t>
        </is>
      </c>
      <c r="H663" t="inlineStr">
        <is>
          <t>2026-07</t>
        </is>
      </c>
      <c r="OM663" s="2">
        <v>0.01</v>
      </c>
      <c r="ON663" s="2">
        <v>0.03</v>
      </c>
      <c r="OO663" s="2">
        <v>0</v>
      </c>
      <c r="OP663" s="2">
        <v>-0.01</v>
      </c>
      <c r="OQ663" s="2">
        <v>0.01</v>
      </c>
      <c r="OR663" s="2">
        <v>-0.04</v>
      </c>
      <c r="OS663" s="2">
        <v>0.05</v>
      </c>
      <c r="OT663" s="2">
        <v>-0.01</v>
      </c>
      <c r="OU663" s="2">
        <v>0</v>
      </c>
      <c r="OV663" s="2">
        <v>0</v>
      </c>
      <c r="OW663" s="2">
        <v>0</v>
      </c>
      <c r="OX663" s="2">
        <v>-0.02</v>
      </c>
      <c r="PC663" s="2">
        <v>-0.01</v>
      </c>
      <c r="PD663" s="2">
        <v>0.03</v>
      </c>
      <c r="PE663" s="2">
        <v>-0.01</v>
      </c>
      <c r="PF663" s="2">
        <v>-0.01</v>
      </c>
      <c r="PG663" s="2">
        <v>-0.01</v>
      </c>
      <c r="PH663" s="2">
        <v>-0.01</v>
      </c>
      <c r="PI663" s="2">
        <v>0.05</v>
      </c>
    </row>
    <row r="664">
      <c r="A664" t="inlineStr">
        <is>
          <t>A130398520A</t>
        </is>
      </c>
      <c r="B664" t="inlineStr">
        <is>
          <t>Change in Contribution to All groups CPI Index Number ;  Household appliances, utensils and tools ;  Australia ;</t>
        </is>
      </c>
      <c r="C664" t="inlineStr">
        <is>
          <t>Month</t>
        </is>
      </c>
      <c r="D664" t="inlineStr">
        <is>
          <t>Index Points</t>
        </is>
      </c>
      <c r="E664" t="inlineStr">
        <is>
          <t>Original</t>
        </is>
      </c>
      <c r="F664" t="inlineStr">
        <is>
          <t>640103.xlsx</t>
        </is>
      </c>
      <c r="G664" t="inlineStr">
        <is>
          <t>2025-01</t>
        </is>
      </c>
      <c r="H664" t="inlineStr">
        <is>
          <t>2026-07</t>
        </is>
      </c>
      <c r="OM664" s="2">
        <v>0.02</v>
      </c>
      <c r="ON664" s="2">
        <v>0</v>
      </c>
      <c r="OO664" s="2">
        <v>-0.03</v>
      </c>
      <c r="OP664" s="2">
        <v>0.04</v>
      </c>
      <c r="OQ664" s="2">
        <v>-0.01</v>
      </c>
      <c r="OR664" s="2">
        <v>-0.02</v>
      </c>
      <c r="OS664" s="2">
        <v>0.03</v>
      </c>
      <c r="OT664" s="2">
        <v>0.03</v>
      </c>
      <c r="OU664" s="2">
        <v>-0.04</v>
      </c>
      <c r="OV664" s="2">
        <v>0.02</v>
      </c>
      <c r="OW664" s="2">
        <v>-0.01</v>
      </c>
      <c r="OX664" s="2">
        <v>-0.06</v>
      </c>
      <c r="PC664" s="2">
        <v>0.05</v>
      </c>
      <c r="PD664" s="2">
        <v>0</v>
      </c>
      <c r="PE664" s="2">
        <v>-0.03</v>
      </c>
      <c r="PF664" s="2">
        <v>0.02</v>
      </c>
      <c r="PG664" s="2">
        <v>0.01</v>
      </c>
      <c r="PH664" s="2">
        <v>-0.02</v>
      </c>
      <c r="PI664" s="2">
        <v>0.03</v>
      </c>
    </row>
    <row r="665">
      <c r="A665" t="inlineStr">
        <is>
          <t>A130399510R</t>
        </is>
      </c>
      <c r="B665" t="inlineStr">
        <is>
          <t>Change in Contribution to All groups CPI Index Number ;  Major household appliances ;  Australia ;</t>
        </is>
      </c>
      <c r="C665" t="inlineStr">
        <is>
          <t>Month</t>
        </is>
      </c>
      <c r="D665" t="inlineStr">
        <is>
          <t>Index Points</t>
        </is>
      </c>
      <c r="E665" t="inlineStr">
        <is>
          <t>Original</t>
        </is>
      </c>
      <c r="F665" t="inlineStr">
        <is>
          <t>640103.xlsx</t>
        </is>
      </c>
      <c r="G665" t="inlineStr">
        <is>
          <t>2025-01</t>
        </is>
      </c>
      <c r="H665" t="inlineStr">
        <is>
          <t>2026-07</t>
        </is>
      </c>
      <c r="OM665" s="2">
        <v>0</v>
      </c>
      <c r="ON665" s="2">
        <v>0</v>
      </c>
      <c r="OO665" s="2">
        <v>0</v>
      </c>
      <c r="OP665" s="2">
        <v>0</v>
      </c>
      <c r="OQ665" s="2">
        <v>0.01</v>
      </c>
      <c r="OR665" s="2">
        <v>0</v>
      </c>
      <c r="OS665" s="2">
        <v>0</v>
      </c>
      <c r="OT665" s="2">
        <v>0</v>
      </c>
      <c r="OU665" s="2">
        <v>0</v>
      </c>
      <c r="OV665" s="2">
        <v>-0.01</v>
      </c>
      <c r="OW665" s="2">
        <v>0</v>
      </c>
      <c r="OX665" s="2">
        <v>-0.01</v>
      </c>
      <c r="PC665" s="2">
        <v>0.01</v>
      </c>
      <c r="PD665" s="2">
        <v>0</v>
      </c>
      <c r="PE665" s="2">
        <v>0</v>
      </c>
      <c r="PF665" s="2">
        <v>0</v>
      </c>
      <c r="PG665" s="2">
        <v>0</v>
      </c>
      <c r="PH665" s="2">
        <v>-0.01</v>
      </c>
      <c r="PI665" s="2">
        <v>0.02</v>
      </c>
    </row>
    <row r="666">
      <c r="A666" t="inlineStr">
        <is>
          <t>A130391253T</t>
        </is>
      </c>
      <c r="B666" t="inlineStr">
        <is>
          <t>Change in Contribution to All groups CPI Index Number ;  Small electric household appliances ;  Australia ;</t>
        </is>
      </c>
      <c r="C666" t="inlineStr">
        <is>
          <t>Month</t>
        </is>
      </c>
      <c r="D666" t="inlineStr">
        <is>
          <t>Index Points</t>
        </is>
      </c>
      <c r="E666" t="inlineStr">
        <is>
          <t>Original</t>
        </is>
      </c>
      <c r="F666" t="inlineStr">
        <is>
          <t>640103.xlsx</t>
        </is>
      </c>
      <c r="G666" t="inlineStr">
        <is>
          <t>2025-01</t>
        </is>
      </c>
      <c r="H666" t="inlineStr">
        <is>
          <t>2026-07</t>
        </is>
      </c>
      <c r="OM666" s="2">
        <v>0.01</v>
      </c>
      <c r="ON666" s="2">
        <v>0.01</v>
      </c>
      <c r="OO666" s="2">
        <v>-0.01</v>
      </c>
      <c r="OP666" s="2">
        <v>0.01</v>
      </c>
      <c r="OQ666" s="2">
        <v>-0.01</v>
      </c>
      <c r="OR666" s="2">
        <v>0</v>
      </c>
      <c r="OS666" s="2">
        <v>0</v>
      </c>
      <c r="OT666" s="2">
        <v>0.01</v>
      </c>
      <c r="OU666" s="2">
        <v>-0.01</v>
      </c>
      <c r="OV666" s="2">
        <v>0.01</v>
      </c>
      <c r="OW666" s="2">
        <v>0</v>
      </c>
      <c r="OX666" s="2">
        <v>-0.02</v>
      </c>
      <c r="PC666" s="2">
        <v>0.01</v>
      </c>
      <c r="PD666" s="2">
        <v>0.01</v>
      </c>
      <c r="PE666" s="2">
        <v>-0.01</v>
      </c>
      <c r="PF666" s="2">
        <v>0</v>
      </c>
      <c r="PG666" s="2">
        <v>0</v>
      </c>
      <c r="PH666" s="2">
        <v>0</v>
      </c>
      <c r="PI666" s="2">
        <v>0</v>
      </c>
    </row>
    <row r="667">
      <c r="A667" t="inlineStr">
        <is>
          <t>A130391267F</t>
        </is>
      </c>
      <c r="B667" t="inlineStr">
        <is>
          <t>Change in Contribution to All groups CPI Index Number ;  Glassware, tableware and household utensils ;  Australia ;</t>
        </is>
      </c>
      <c r="C667" t="inlineStr">
        <is>
          <t>Month</t>
        </is>
      </c>
      <c r="D667" t="inlineStr">
        <is>
          <t>Index Points</t>
        </is>
      </c>
      <c r="E667" t="inlineStr">
        <is>
          <t>Original</t>
        </is>
      </c>
      <c r="F667" t="inlineStr">
        <is>
          <t>640103.xlsx</t>
        </is>
      </c>
      <c r="G667" t="inlineStr">
        <is>
          <t>2025-01</t>
        </is>
      </c>
      <c r="H667" t="inlineStr">
        <is>
          <t>2026-07</t>
        </is>
      </c>
      <c r="OM667" s="2">
        <v>0</v>
      </c>
      <c r="ON667" s="2">
        <v>0</v>
      </c>
      <c r="OO667" s="2">
        <v>-0.01</v>
      </c>
      <c r="OP667" s="2">
        <v>0.02</v>
      </c>
      <c r="OQ667" s="2">
        <v>-0.02</v>
      </c>
      <c r="OR667" s="2">
        <v>-0.01</v>
      </c>
      <c r="OS667" s="2">
        <v>0.03</v>
      </c>
      <c r="OT667" s="2">
        <v>0.02</v>
      </c>
      <c r="OU667" s="2">
        <v>-0.03</v>
      </c>
      <c r="OV667" s="2">
        <v>0.02</v>
      </c>
      <c r="OW667" s="2">
        <v>-0.02</v>
      </c>
      <c r="OX667" s="2">
        <v>-0.02</v>
      </c>
      <c r="PC667" s="2">
        <v>0.03</v>
      </c>
      <c r="PD667" s="2">
        <v>-0.01</v>
      </c>
      <c r="PE667" s="2">
        <v>-0.01</v>
      </c>
      <c r="PF667" s="2">
        <v>0.01</v>
      </c>
      <c r="PG667" s="2">
        <v>0</v>
      </c>
      <c r="PH667" s="2">
        <v>-0.01</v>
      </c>
      <c r="PI667" s="2">
        <v>0.01</v>
      </c>
    </row>
    <row r="668">
      <c r="A668" t="inlineStr">
        <is>
          <t>A130392037T</t>
        </is>
      </c>
      <c r="B668" t="inlineStr">
        <is>
          <t>Change in Contribution to All groups CPI Index Number ;  Tools and equipment for house and garden ;  Australia ;</t>
        </is>
      </c>
      <c r="C668" t="inlineStr">
        <is>
          <t>Month</t>
        </is>
      </c>
      <c r="D668" t="inlineStr">
        <is>
          <t>Index Points</t>
        </is>
      </c>
      <c r="E668" t="inlineStr">
        <is>
          <t>Original</t>
        </is>
      </c>
      <c r="F668" t="inlineStr">
        <is>
          <t>640103.xlsx</t>
        </is>
      </c>
      <c r="G668" t="inlineStr">
        <is>
          <t>2025-01</t>
        </is>
      </c>
      <c r="H668" t="inlineStr">
        <is>
          <t>2026-07</t>
        </is>
      </c>
      <c r="OM668" s="2">
        <v>0</v>
      </c>
      <c r="ON668" s="2">
        <v>0</v>
      </c>
      <c r="OO668" s="2">
        <v>0</v>
      </c>
      <c r="OP668" s="2">
        <v>0</v>
      </c>
      <c r="OQ668" s="2">
        <v>0</v>
      </c>
      <c r="OR668" s="2">
        <v>0</v>
      </c>
      <c r="OS668" s="2">
        <v>0</v>
      </c>
      <c r="OT668" s="2">
        <v>0</v>
      </c>
      <c r="OU668" s="2">
        <v>0</v>
      </c>
      <c r="OV668" s="2">
        <v>0</v>
      </c>
      <c r="OW668" s="2">
        <v>0</v>
      </c>
      <c r="OX668" s="2">
        <v>0</v>
      </c>
      <c r="PC668" s="2">
        <v>0</v>
      </c>
      <c r="PD668" s="2">
        <v>0</v>
      </c>
      <c r="PE668" s="2">
        <v>0</v>
      </c>
      <c r="PF668" s="2">
        <v>0</v>
      </c>
      <c r="PG668" s="2">
        <v>0</v>
      </c>
      <c r="PH668" s="2">
        <v>0.01</v>
      </c>
      <c r="PI668" s="2">
        <v>0</v>
      </c>
    </row>
    <row r="669">
      <c r="A669" t="inlineStr">
        <is>
          <t>A130394921T</t>
        </is>
      </c>
      <c r="B669" t="inlineStr">
        <is>
          <t>Change in Contribution to All groups CPI Index Number ;  Non-durable household products ;  Australia ;</t>
        </is>
      </c>
      <c r="C669" t="inlineStr">
        <is>
          <t>Month</t>
        </is>
      </c>
      <c r="D669" t="inlineStr">
        <is>
          <t>Index Points</t>
        </is>
      </c>
      <c r="E669" t="inlineStr">
        <is>
          <t>Original</t>
        </is>
      </c>
      <c r="F669" t="inlineStr">
        <is>
          <t>640103.xlsx</t>
        </is>
      </c>
      <c r="G669" t="inlineStr">
        <is>
          <t>2025-01</t>
        </is>
      </c>
      <c r="H669" t="inlineStr">
        <is>
          <t>2026-07</t>
        </is>
      </c>
      <c r="OM669" s="2">
        <v>0.01</v>
      </c>
      <c r="ON669" s="2">
        <v>0</v>
      </c>
      <c r="OO669" s="2">
        <v>0</v>
      </c>
      <c r="OP669" s="2">
        <v>0.02</v>
      </c>
      <c r="OQ669" s="2">
        <v>-0.01</v>
      </c>
      <c r="OR669" s="2">
        <v>-0.01</v>
      </c>
      <c r="OS669" s="2">
        <v>0.01</v>
      </c>
      <c r="OT669" s="2">
        <v>0.01</v>
      </c>
      <c r="OU669" s="2">
        <v>-0.02</v>
      </c>
      <c r="OV669" s="2">
        <v>0</v>
      </c>
      <c r="OW669" s="2">
        <v>-0.02</v>
      </c>
      <c r="OX669" s="2">
        <v>0.03</v>
      </c>
      <c r="PC669" s="2">
        <v>-0.02</v>
      </c>
      <c r="PD669" s="2">
        <v>0.01</v>
      </c>
      <c r="PE669" s="2">
        <v>-0.01</v>
      </c>
      <c r="PF669" s="2">
        <v>0.02</v>
      </c>
      <c r="PG669" s="2">
        <v>0</v>
      </c>
      <c r="PH669" s="2">
        <v>-0.01</v>
      </c>
      <c r="PI669" s="2">
        <v>0</v>
      </c>
    </row>
    <row r="670">
      <c r="A670" t="inlineStr">
        <is>
          <t>A130399524C</t>
        </is>
      </c>
      <c r="B670" t="inlineStr">
        <is>
          <t>Change in Contribution to All groups CPI Index Number ;  Cleaning and maintenance products ;  Australia ;</t>
        </is>
      </c>
      <c r="C670" t="inlineStr">
        <is>
          <t>Month</t>
        </is>
      </c>
      <c r="D670" t="inlineStr">
        <is>
          <t>Index Points</t>
        </is>
      </c>
      <c r="E670" t="inlineStr">
        <is>
          <t>Original</t>
        </is>
      </c>
      <c r="F670" t="inlineStr">
        <is>
          <t>640103.xlsx</t>
        </is>
      </c>
      <c r="G670" t="inlineStr">
        <is>
          <t>2025-01</t>
        </is>
      </c>
      <c r="H670" t="inlineStr">
        <is>
          <t>2026-07</t>
        </is>
      </c>
      <c r="OM670" s="2">
        <v>0</v>
      </c>
      <c r="ON670" s="2">
        <v>0</v>
      </c>
      <c r="OO670" s="2">
        <v>0</v>
      </c>
      <c r="OP670" s="2">
        <v>0</v>
      </c>
      <c r="OQ670" s="2">
        <v>0</v>
      </c>
      <c r="OR670" s="2">
        <v>0</v>
      </c>
      <c r="OS670" s="2">
        <v>0</v>
      </c>
      <c r="OT670" s="2">
        <v>0</v>
      </c>
      <c r="OU670" s="2">
        <v>0</v>
      </c>
      <c r="OV670" s="2">
        <v>0</v>
      </c>
      <c r="OW670" s="2">
        <v>0</v>
      </c>
      <c r="OX670" s="2">
        <v>0.01</v>
      </c>
      <c r="PC670" s="2">
        <v>-0.01</v>
      </c>
      <c r="PD670" s="2">
        <v>0</v>
      </c>
      <c r="PE670" s="2">
        <v>0</v>
      </c>
      <c r="PF670" s="2">
        <v>0</v>
      </c>
      <c r="PG670" s="2">
        <v>0</v>
      </c>
      <c r="PH670" s="2">
        <v>0</v>
      </c>
      <c r="PI670" s="2">
        <v>0.01</v>
      </c>
    </row>
    <row r="671">
      <c r="A671" t="inlineStr">
        <is>
          <t>A130393535A</t>
        </is>
      </c>
      <c r="B671" t="inlineStr">
        <is>
          <t>Change in Contribution to All groups CPI Index Number ;  Personal care products ;  Australia ;</t>
        </is>
      </c>
      <c r="C671" t="inlineStr">
        <is>
          <t>Month</t>
        </is>
      </c>
      <c r="D671" t="inlineStr">
        <is>
          <t>Index Points</t>
        </is>
      </c>
      <c r="E671" t="inlineStr">
        <is>
          <t>Original</t>
        </is>
      </c>
      <c r="F671" t="inlineStr">
        <is>
          <t>640103.xlsx</t>
        </is>
      </c>
      <c r="G671" t="inlineStr">
        <is>
          <t>2025-01</t>
        </is>
      </c>
      <c r="H671" t="inlineStr">
        <is>
          <t>2026-07</t>
        </is>
      </c>
      <c r="OM671" s="2">
        <v>0.01</v>
      </c>
      <c r="ON671" s="2">
        <v>0</v>
      </c>
      <c r="OO671" s="2">
        <v>0</v>
      </c>
      <c r="OP671" s="2">
        <v>0.01</v>
      </c>
      <c r="OQ671" s="2">
        <v>-0.01</v>
      </c>
      <c r="OR671" s="2">
        <v>-0.01</v>
      </c>
      <c r="OS671" s="2">
        <v>0.02</v>
      </c>
      <c r="OT671" s="2">
        <v>0</v>
      </c>
      <c r="OU671" s="2">
        <v>0</v>
      </c>
      <c r="OV671" s="2">
        <v>-0.01</v>
      </c>
      <c r="OW671" s="2">
        <v>-0.01</v>
      </c>
      <c r="OX671" s="2">
        <v>0.03</v>
      </c>
      <c r="PC671" s="2">
        <v>-0.01</v>
      </c>
      <c r="PD671" s="2">
        <v>0</v>
      </c>
      <c r="PE671" s="2">
        <v>0</v>
      </c>
      <c r="PF671" s="2">
        <v>0.01</v>
      </c>
      <c r="PG671" s="2">
        <v>-0.01</v>
      </c>
      <c r="PH671" s="2">
        <v>0</v>
      </c>
      <c r="PI671" s="2">
        <v>-0.01</v>
      </c>
    </row>
    <row r="672">
      <c r="A672" t="inlineStr">
        <is>
          <t>A130391120L</t>
        </is>
      </c>
      <c r="B672" t="inlineStr">
        <is>
          <t>Change in Contribution to All groups CPI Index Number ;  Other non-durable household products ;  Australia ;</t>
        </is>
      </c>
      <c r="C672" t="inlineStr">
        <is>
          <t>Month</t>
        </is>
      </c>
      <c r="D672" t="inlineStr">
        <is>
          <t>Index Points</t>
        </is>
      </c>
      <c r="E672" t="inlineStr">
        <is>
          <t>Original</t>
        </is>
      </c>
      <c r="F672" t="inlineStr">
        <is>
          <t>640103.xlsx</t>
        </is>
      </c>
      <c r="G672" t="inlineStr">
        <is>
          <t>2025-01</t>
        </is>
      </c>
      <c r="H672" t="inlineStr">
        <is>
          <t>2026-07</t>
        </is>
      </c>
      <c r="OM672" s="2">
        <v>0</v>
      </c>
      <c r="ON672" s="2">
        <v>0</v>
      </c>
      <c r="OO672" s="2">
        <v>0</v>
      </c>
      <c r="OP672" s="2">
        <v>0.01</v>
      </c>
      <c r="OQ672" s="2">
        <v>0</v>
      </c>
      <c r="OR672" s="2">
        <v>0</v>
      </c>
      <c r="OS672" s="2">
        <v>0</v>
      </c>
      <c r="OT672" s="2">
        <v>0</v>
      </c>
      <c r="OU672" s="2">
        <v>-0.01</v>
      </c>
      <c r="OV672" s="2">
        <v>0</v>
      </c>
      <c r="OW672" s="2">
        <v>-0.01</v>
      </c>
      <c r="OX672" s="2">
        <v>0</v>
      </c>
      <c r="PC672" s="2">
        <v>-0.01</v>
      </c>
      <c r="PD672" s="2">
        <v>0</v>
      </c>
      <c r="PE672" s="2">
        <v>0.01</v>
      </c>
      <c r="PF672" s="2">
        <v>0</v>
      </c>
      <c r="PG672" s="2">
        <v>0.01</v>
      </c>
      <c r="PH672" s="2">
        <v>-0.01</v>
      </c>
      <c r="PI672" s="2">
        <v>0.01</v>
      </c>
    </row>
    <row r="673">
      <c r="A673" t="inlineStr">
        <is>
          <t>A130397343F</t>
        </is>
      </c>
      <c r="B673" t="inlineStr">
        <is>
          <t>Change in Contribution to All groups CPI Index Number ;  Domestic and household services ;  Australia ;</t>
        </is>
      </c>
      <c r="C673" t="inlineStr">
        <is>
          <t>Month</t>
        </is>
      </c>
      <c r="D673" t="inlineStr">
        <is>
          <t>Index Points</t>
        </is>
      </c>
      <c r="E673" t="inlineStr">
        <is>
          <t>Original</t>
        </is>
      </c>
      <c r="F673" t="inlineStr">
        <is>
          <t>640103.xlsx</t>
        </is>
      </c>
      <c r="G673" t="inlineStr">
        <is>
          <t>2025-01</t>
        </is>
      </c>
      <c r="H673" t="inlineStr">
        <is>
          <t>2026-07</t>
        </is>
      </c>
      <c r="OM673" s="2">
        <v>0</v>
      </c>
      <c r="ON673" s="2">
        <v>0</v>
      </c>
      <c r="OO673" s="2">
        <v>0.02</v>
      </c>
      <c r="OP673" s="2">
        <v>-0.01</v>
      </c>
      <c r="OQ673" s="2">
        <v>0</v>
      </c>
      <c r="OR673" s="2">
        <v>0.01</v>
      </c>
      <c r="OS673" s="2">
        <v>0.02</v>
      </c>
      <c r="OT673" s="2">
        <v>0.04</v>
      </c>
      <c r="OU673" s="2">
        <v>0.01</v>
      </c>
      <c r="OV673" s="2">
        <v>0.01</v>
      </c>
      <c r="OW673" s="2">
        <v>0.02</v>
      </c>
      <c r="OX673" s="2">
        <v>0.01</v>
      </c>
      <c r="PC673" s="2">
        <v>0</v>
      </c>
      <c r="PD673" s="2">
        <v>-0.01</v>
      </c>
      <c r="PE673" s="2">
        <v>0.02</v>
      </c>
      <c r="PF673" s="2">
        <v>0</v>
      </c>
      <c r="PG673" s="2">
        <v>0</v>
      </c>
      <c r="PH673" s="2">
        <v>0.01</v>
      </c>
      <c r="PI673" s="2">
        <v>0.01</v>
      </c>
    </row>
    <row r="674">
      <c r="A674" t="inlineStr">
        <is>
          <t>A130390063K</t>
        </is>
      </c>
      <c r="B674" t="inlineStr">
        <is>
          <t>Change in Contribution to All groups CPI Index Number ;  Child care ;  Australia ;</t>
        </is>
      </c>
      <c r="C674" t="inlineStr">
        <is>
          <t>Month</t>
        </is>
      </c>
      <c r="D674" t="inlineStr">
        <is>
          <t>Index Points</t>
        </is>
      </c>
      <c r="E674" t="inlineStr">
        <is>
          <t>Original</t>
        </is>
      </c>
      <c r="F674" t="inlineStr">
        <is>
          <t>640103.xlsx</t>
        </is>
      </c>
      <c r="G674" t="inlineStr">
        <is>
          <t>2025-01</t>
        </is>
      </c>
      <c r="H674" t="inlineStr">
        <is>
          <t>2026-07</t>
        </is>
      </c>
      <c r="OM674" s="2">
        <v>-0.01</v>
      </c>
      <c r="ON674" s="2">
        <v>0.01</v>
      </c>
      <c r="OO674" s="2">
        <v>0.01</v>
      </c>
      <c r="OP674" s="2">
        <v>0</v>
      </c>
      <c r="OQ674" s="2">
        <v>-0.01</v>
      </c>
      <c r="OR674" s="2">
        <v>0.02</v>
      </c>
      <c r="OS674" s="2">
        <v>0</v>
      </c>
      <c r="OT674" s="2">
        <v>0.03</v>
      </c>
      <c r="OU674" s="2">
        <v>0.01</v>
      </c>
      <c r="OV674" s="2">
        <v>0.01</v>
      </c>
      <c r="OW674" s="2">
        <v>0.01</v>
      </c>
      <c r="OX674" s="2">
        <v>0</v>
      </c>
      <c r="PC674" s="2">
        <v>0</v>
      </c>
      <c r="PD674" s="2">
        <v>-0.01</v>
      </c>
      <c r="PE674" s="2">
        <v>0.01</v>
      </c>
      <c r="PF674" s="2">
        <v>0</v>
      </c>
      <c r="PG674" s="2">
        <v>-0.01</v>
      </c>
      <c r="PH674" s="2">
        <v>0.01</v>
      </c>
      <c r="PI674" s="2">
        <v>0</v>
      </c>
    </row>
    <row r="675">
      <c r="A675" t="inlineStr">
        <is>
          <t>A130393549R</t>
        </is>
      </c>
      <c r="B675" t="inlineStr">
        <is>
          <t>Change in Contribution to All groups CPI Index Number ;  Hairdressing and personal grooming services ;  Australia ;</t>
        </is>
      </c>
      <c r="C675" t="inlineStr">
        <is>
          <t>Month</t>
        </is>
      </c>
      <c r="D675" t="inlineStr">
        <is>
          <t>Index Points</t>
        </is>
      </c>
      <c r="E675" t="inlineStr">
        <is>
          <t>Original</t>
        </is>
      </c>
      <c r="F675" t="inlineStr">
        <is>
          <t>640103.xlsx</t>
        </is>
      </c>
      <c r="G675" t="inlineStr">
        <is>
          <t>2025-01</t>
        </is>
      </c>
      <c r="H675" t="inlineStr">
        <is>
          <t>2026-07</t>
        </is>
      </c>
      <c r="OM675" s="2">
        <v>0</v>
      </c>
      <c r="ON675" s="2">
        <v>0</v>
      </c>
      <c r="OO675" s="2">
        <v>0</v>
      </c>
      <c r="OP675" s="2">
        <v>0</v>
      </c>
      <c r="OQ675" s="2">
        <v>0.01</v>
      </c>
      <c r="OR675" s="2">
        <v>0</v>
      </c>
      <c r="OS675" s="2">
        <v>0</v>
      </c>
      <c r="OT675" s="2">
        <v>0</v>
      </c>
      <c r="OU675" s="2">
        <v>0.01</v>
      </c>
      <c r="OV675" s="2">
        <v>0</v>
      </c>
      <c r="OW675" s="2">
        <v>0.01</v>
      </c>
      <c r="OX675" s="2">
        <v>0</v>
      </c>
      <c r="PC675" s="2">
        <v>0</v>
      </c>
      <c r="PD675" s="2">
        <v>0.01</v>
      </c>
      <c r="PE675" s="2">
        <v>0</v>
      </c>
      <c r="PF675" s="2">
        <v>0</v>
      </c>
      <c r="PG675" s="2">
        <v>0</v>
      </c>
      <c r="PH675" s="2">
        <v>0.01</v>
      </c>
      <c r="PI675" s="2">
        <v>0.01</v>
      </c>
    </row>
    <row r="676">
      <c r="A676" t="inlineStr">
        <is>
          <t>A130395201L</t>
        </is>
      </c>
      <c r="B676" t="inlineStr">
        <is>
          <t>Change in Contribution to All groups CPI Index Number ;  Other household services ;  Australia ;</t>
        </is>
      </c>
      <c r="C676" t="inlineStr">
        <is>
          <t>Month</t>
        </is>
      </c>
      <c r="D676" t="inlineStr">
        <is>
          <t>Index Points</t>
        </is>
      </c>
      <c r="E676" t="inlineStr">
        <is>
          <t>Original</t>
        </is>
      </c>
      <c r="F676" t="inlineStr">
        <is>
          <t>640103.xlsx</t>
        </is>
      </c>
      <c r="G676" t="inlineStr">
        <is>
          <t>2025-01</t>
        </is>
      </c>
      <c r="H676" t="inlineStr">
        <is>
          <t>2026-07</t>
        </is>
      </c>
      <c r="OM676" s="2">
        <v>0</v>
      </c>
      <c r="ON676" s="2">
        <v>0</v>
      </c>
      <c r="OO676" s="2">
        <v>0</v>
      </c>
      <c r="OP676" s="2">
        <v>0</v>
      </c>
      <c r="OQ676" s="2">
        <v>0</v>
      </c>
      <c r="OR676" s="2">
        <v>0</v>
      </c>
      <c r="OS676" s="2">
        <v>0.01</v>
      </c>
      <c r="OT676" s="2">
        <v>0.01</v>
      </c>
      <c r="OU676" s="2">
        <v>-0.01</v>
      </c>
      <c r="OV676" s="2">
        <v>0</v>
      </c>
      <c r="OW676" s="2">
        <v>0</v>
      </c>
      <c r="OX676" s="2">
        <v>0.01</v>
      </c>
      <c r="PC676" s="2">
        <v>0</v>
      </c>
      <c r="PD676" s="2">
        <v>0</v>
      </c>
      <c r="PE676" s="2">
        <v>0</v>
      </c>
      <c r="PF676" s="2">
        <v>0</v>
      </c>
      <c r="PG676" s="2">
        <v>0</v>
      </c>
      <c r="PH676" s="2">
        <v>0</v>
      </c>
      <c r="PI676" s="2">
        <v>0.01</v>
      </c>
    </row>
    <row r="677">
      <c r="A677" t="inlineStr">
        <is>
          <t>A130389993J</t>
        </is>
      </c>
      <c r="B677" t="inlineStr">
        <is>
          <t>Change in Contribution to All groups CPI Index Number ;  Health ;  Australia ;</t>
        </is>
      </c>
      <c r="C677" t="inlineStr">
        <is>
          <t>Month</t>
        </is>
      </c>
      <c r="D677" t="inlineStr">
        <is>
          <t>Index Points</t>
        </is>
      </c>
      <c r="E677" t="inlineStr">
        <is>
          <t>Original</t>
        </is>
      </c>
      <c r="F677" t="inlineStr">
        <is>
          <t>640103.xlsx</t>
        </is>
      </c>
      <c r="G677" t="inlineStr">
        <is>
          <t>2025-01</t>
        </is>
      </c>
      <c r="H677" t="inlineStr">
        <is>
          <t>2026-07</t>
        </is>
      </c>
      <c r="OM677" s="2">
        <v>0.19</v>
      </c>
      <c r="ON677" s="2">
        <v>0.01</v>
      </c>
      <c r="OO677" s="2">
        <v>0</v>
      </c>
      <c r="OP677" s="2">
        <v>0.11</v>
      </c>
      <c r="OQ677" s="2">
        <v>-0.02</v>
      </c>
      <c r="OR677" s="2">
        <v>0</v>
      </c>
      <c r="OS677" s="2">
        <v>0</v>
      </c>
      <c r="OT677" s="2">
        <v>0</v>
      </c>
      <c r="OU677" s="2">
        <v>0</v>
      </c>
      <c r="OV677" s="2">
        <v>0</v>
      </c>
      <c r="OW677" s="2">
        <v>-0.04</v>
      </c>
      <c r="OX677" s="2">
        <v>-0.02</v>
      </c>
      <c r="PC677" s="2">
        <v>0.18</v>
      </c>
      <c r="PD677" s="2">
        <v>0</v>
      </c>
      <c r="PE677" s="2">
        <v>-0.01</v>
      </c>
      <c r="PF677" s="2">
        <v>0.19</v>
      </c>
      <c r="PG677" s="2">
        <v>-0.04</v>
      </c>
      <c r="PH677" s="2">
        <v>-0.01</v>
      </c>
      <c r="PI677" s="2">
        <v>0.01</v>
      </c>
    </row>
    <row r="678">
      <c r="A678" t="inlineStr">
        <is>
          <t>A130397855K</t>
        </is>
      </c>
      <c r="B678" t="inlineStr">
        <is>
          <t>Change in Contribution to All groups CPI Index Number ;  Medical products, appliances and equipment ;  Australia ;</t>
        </is>
      </c>
      <c r="C678" t="inlineStr">
        <is>
          <t>Month</t>
        </is>
      </c>
      <c r="D678" t="inlineStr">
        <is>
          <t>Index Points</t>
        </is>
      </c>
      <c r="E678" t="inlineStr">
        <is>
          <t>Original</t>
        </is>
      </c>
      <c r="F678" t="inlineStr">
        <is>
          <t>640103.xlsx</t>
        </is>
      </c>
      <c r="G678" t="inlineStr">
        <is>
          <t>2025-01</t>
        </is>
      </c>
      <c r="H678" t="inlineStr">
        <is>
          <t>2026-07</t>
        </is>
      </c>
      <c r="OM678" s="2">
        <v>0.05</v>
      </c>
      <c r="ON678" s="2">
        <v>0.01</v>
      </c>
      <c r="OO678" s="2">
        <v>-0.01</v>
      </c>
      <c r="OP678" s="2">
        <v>-0.01</v>
      </c>
      <c r="OQ678" s="2">
        <v>0</v>
      </c>
      <c r="OR678" s="2">
        <v>-0.01</v>
      </c>
      <c r="OS678" s="2">
        <v>0</v>
      </c>
      <c r="OT678" s="2">
        <v>-0.01</v>
      </c>
      <c r="OU678" s="2">
        <v>0</v>
      </c>
      <c r="OV678" s="2">
        <v>0</v>
      </c>
      <c r="OW678" s="2">
        <v>-0.01</v>
      </c>
      <c r="OX678" s="2">
        <v>-0.01</v>
      </c>
      <c r="PC678" s="2">
        <v>0.04</v>
      </c>
      <c r="PD678" s="2">
        <v>-0.01</v>
      </c>
      <c r="PE678" s="2">
        <v>0.02</v>
      </c>
      <c r="PF678" s="2">
        <v>-0.01</v>
      </c>
      <c r="PG678" s="2">
        <v>-0.02</v>
      </c>
      <c r="PH678" s="2">
        <v>-0.01</v>
      </c>
      <c r="PI678" s="2">
        <v>0</v>
      </c>
    </row>
    <row r="679">
      <c r="A679" t="inlineStr">
        <is>
          <t>A130393521L</t>
        </is>
      </c>
      <c r="B679" t="inlineStr">
        <is>
          <t>Change in Contribution to All groups CPI Index Number ;  Pharmaceutical products ;  Australia ;</t>
        </is>
      </c>
      <c r="C679" t="inlineStr">
        <is>
          <t>Month</t>
        </is>
      </c>
      <c r="D679" t="inlineStr">
        <is>
          <t>Index Points</t>
        </is>
      </c>
      <c r="E679" t="inlineStr">
        <is>
          <t>Original</t>
        </is>
      </c>
      <c r="F679" t="inlineStr">
        <is>
          <t>640103.xlsx</t>
        </is>
      </c>
      <c r="G679" t="inlineStr">
        <is>
          <t>2025-01</t>
        </is>
      </c>
      <c r="H679" t="inlineStr">
        <is>
          <t>2026-07</t>
        </is>
      </c>
      <c r="OM679" s="2">
        <v>0.05</v>
      </c>
      <c r="ON679" s="2">
        <v>0.01</v>
      </c>
      <c r="OO679" s="2">
        <v>-0.01</v>
      </c>
      <c r="OP679" s="2">
        <v>-0.01</v>
      </c>
      <c r="OQ679" s="2">
        <v>-0.01</v>
      </c>
      <c r="OR679" s="2">
        <v>0</v>
      </c>
      <c r="OS679" s="2">
        <v>-0.01</v>
      </c>
      <c r="OT679" s="2">
        <v>0</v>
      </c>
      <c r="OU679" s="2">
        <v>-0.01</v>
      </c>
      <c r="OV679" s="2">
        <v>0</v>
      </c>
      <c r="OW679" s="2">
        <v>-0.01</v>
      </c>
      <c r="OX679" s="2">
        <v>0</v>
      </c>
      <c r="PC679" s="2">
        <v>0.04</v>
      </c>
      <c r="PD679" s="2">
        <v>-0.01</v>
      </c>
      <c r="PE679" s="2">
        <v>0.01</v>
      </c>
      <c r="PF679" s="2">
        <v>0</v>
      </c>
      <c r="PG679" s="2">
        <v>-0.03</v>
      </c>
      <c r="PH679" s="2">
        <v>0</v>
      </c>
      <c r="PI679" s="2">
        <v>0</v>
      </c>
    </row>
    <row r="680">
      <c r="A680" t="inlineStr">
        <is>
          <t>A130393486T</t>
        </is>
      </c>
      <c r="B680" t="inlineStr">
        <is>
          <t>Change in Contribution to All groups CPI Index Number ;  Therapeutic appliances and equipment ;  Australia ;</t>
        </is>
      </c>
      <c r="C680" t="inlineStr">
        <is>
          <t>Month</t>
        </is>
      </c>
      <c r="D680" t="inlineStr">
        <is>
          <t>Index Points</t>
        </is>
      </c>
      <c r="E680" t="inlineStr">
        <is>
          <t>Original</t>
        </is>
      </c>
      <c r="F680" t="inlineStr">
        <is>
          <t>640103.xlsx</t>
        </is>
      </c>
      <c r="G680" t="inlineStr">
        <is>
          <t>2025-01</t>
        </is>
      </c>
      <c r="H680" t="inlineStr">
        <is>
          <t>2026-07</t>
        </is>
      </c>
      <c r="OM680" s="2">
        <v>0</v>
      </c>
      <c r="ON680" s="2">
        <v>0</v>
      </c>
      <c r="OO680" s="2">
        <v>0</v>
      </c>
      <c r="OP680" s="2">
        <v>0</v>
      </c>
      <c r="OQ680" s="2">
        <v>0</v>
      </c>
      <c r="OR680" s="2">
        <v>0</v>
      </c>
      <c r="OS680" s="2">
        <v>0</v>
      </c>
      <c r="OT680" s="2">
        <v>0</v>
      </c>
      <c r="OU680" s="2">
        <v>0</v>
      </c>
      <c r="OV680" s="2">
        <v>0</v>
      </c>
      <c r="OW680" s="2">
        <v>0</v>
      </c>
      <c r="OX680" s="2">
        <v>0</v>
      </c>
      <c r="PC680" s="2">
        <v>0</v>
      </c>
      <c r="PD680" s="2">
        <v>0</v>
      </c>
      <c r="PE680" s="2">
        <v>0</v>
      </c>
      <c r="PF680" s="2">
        <v>0</v>
      </c>
      <c r="PG680" s="2">
        <v>0</v>
      </c>
      <c r="PH680" s="2">
        <v>0</v>
      </c>
      <c r="PI680" s="2">
        <v>0</v>
      </c>
    </row>
    <row r="681">
      <c r="A681" t="inlineStr">
        <is>
          <t>A130390287W</t>
        </is>
      </c>
      <c r="B681" t="inlineStr">
        <is>
          <t>Change in Contribution to All groups CPI Index Number ;  Medical, dental and hospital services ;  Australia ;</t>
        </is>
      </c>
      <c r="C681" t="inlineStr">
        <is>
          <t>Month</t>
        </is>
      </c>
      <c r="D681" t="inlineStr">
        <is>
          <t>Index Points</t>
        </is>
      </c>
      <c r="E681" t="inlineStr">
        <is>
          <t>Original</t>
        </is>
      </c>
      <c r="F681" t="inlineStr">
        <is>
          <t>640103.xlsx</t>
        </is>
      </c>
      <c r="G681" t="inlineStr">
        <is>
          <t>2025-01</t>
        </is>
      </c>
      <c r="H681" t="inlineStr">
        <is>
          <t>2026-07</t>
        </is>
      </c>
      <c r="OM681" s="2">
        <v>0.15</v>
      </c>
      <c r="ON681" s="2">
        <v>0</v>
      </c>
      <c r="OO681" s="2">
        <v>0.01</v>
      </c>
      <c r="OP681" s="2">
        <v>0.12</v>
      </c>
      <c r="OQ681" s="2">
        <v>-0.01</v>
      </c>
      <c r="OR681" s="2">
        <v>0</v>
      </c>
      <c r="OS681" s="2">
        <v>0</v>
      </c>
      <c r="OT681" s="2">
        <v>0.01</v>
      </c>
      <c r="OU681" s="2">
        <v>0</v>
      </c>
      <c r="OV681" s="2">
        <v>0</v>
      </c>
      <c r="OW681" s="2">
        <v>-0.02</v>
      </c>
      <c r="OX681" s="2">
        <v>-0.03</v>
      </c>
      <c r="PC681" s="2">
        <v>0.15</v>
      </c>
      <c r="PD681" s="2">
        <v>0.01</v>
      </c>
      <c r="PE681" s="2">
        <v>-0.02</v>
      </c>
      <c r="PF681" s="2">
        <v>0.18</v>
      </c>
      <c r="PG681" s="2">
        <v>-0.01</v>
      </c>
      <c r="PH681" s="2">
        <v>0</v>
      </c>
      <c r="PI681" s="2">
        <v>0.01</v>
      </c>
    </row>
    <row r="682">
      <c r="A682" t="inlineStr">
        <is>
          <t>A130390924A</t>
        </is>
      </c>
      <c r="B682" t="inlineStr">
        <is>
          <t>Change in Contribution to All groups CPI Index Number ;  Medical and hospital services ;  Australia ;</t>
        </is>
      </c>
      <c r="C682" t="inlineStr">
        <is>
          <t>Month</t>
        </is>
      </c>
      <c r="D682" t="inlineStr">
        <is>
          <t>Index Points</t>
        </is>
      </c>
      <c r="E682" t="inlineStr">
        <is>
          <t>Original</t>
        </is>
      </c>
      <c r="F682" t="inlineStr">
        <is>
          <t>640103.xlsx</t>
        </is>
      </c>
      <c r="G682" t="inlineStr">
        <is>
          <t>2025-01</t>
        </is>
      </c>
      <c r="H682" t="inlineStr">
        <is>
          <t>2026-07</t>
        </is>
      </c>
      <c r="OM682" s="2">
        <v>0.15</v>
      </c>
      <c r="ON682" s="2">
        <v>0</v>
      </c>
      <c r="OO682" s="2">
        <v>0</v>
      </c>
      <c r="OP682" s="2">
        <v>0.12</v>
      </c>
      <c r="OQ682" s="2">
        <v>-0.01</v>
      </c>
      <c r="OR682" s="2">
        <v>0</v>
      </c>
      <c r="OS682" s="2">
        <v>0</v>
      </c>
      <c r="OT682" s="2">
        <v>0</v>
      </c>
      <c r="OU682" s="2">
        <v>0</v>
      </c>
      <c r="OV682" s="2">
        <v>0</v>
      </c>
      <c r="OW682" s="2">
        <v>-0.02</v>
      </c>
      <c r="OX682" s="2">
        <v>-0.03</v>
      </c>
      <c r="PC682" s="2">
        <v>0.15</v>
      </c>
      <c r="PD682" s="2">
        <v>0.01</v>
      </c>
      <c r="PE682" s="2">
        <v>-0.03</v>
      </c>
      <c r="PF682" s="2">
        <v>0.18</v>
      </c>
      <c r="PG682" s="2">
        <v>0</v>
      </c>
      <c r="PH682" s="2">
        <v>0</v>
      </c>
      <c r="PI682" s="2">
        <v>-0.01</v>
      </c>
    </row>
    <row r="683">
      <c r="A683" t="inlineStr">
        <is>
          <t>A130393500A</t>
        </is>
      </c>
      <c r="B683" t="inlineStr">
        <is>
          <t>Change in Contribution to All groups CPI Index Number ;  Dental services ;  Australia ;</t>
        </is>
      </c>
      <c r="C683" t="inlineStr">
        <is>
          <t>Month</t>
        </is>
      </c>
      <c r="D683" t="inlineStr">
        <is>
          <t>Index Points</t>
        </is>
      </c>
      <c r="E683" t="inlineStr">
        <is>
          <t>Original</t>
        </is>
      </c>
      <c r="F683" t="inlineStr">
        <is>
          <t>640103.xlsx</t>
        </is>
      </c>
      <c r="G683" t="inlineStr">
        <is>
          <t>2025-01</t>
        </is>
      </c>
      <c r="H683" t="inlineStr">
        <is>
          <t>2026-07</t>
        </is>
      </c>
      <c r="OM683" s="2">
        <v>0</v>
      </c>
      <c r="ON683" s="2">
        <v>0</v>
      </c>
      <c r="OO683" s="2">
        <v>0.01</v>
      </c>
      <c r="OP683" s="2">
        <v>0</v>
      </c>
      <c r="OQ683" s="2">
        <v>0</v>
      </c>
      <c r="OR683" s="2">
        <v>0</v>
      </c>
      <c r="OS683" s="2">
        <v>0</v>
      </c>
      <c r="OT683" s="2">
        <v>0.01</v>
      </c>
      <c r="OU683" s="2">
        <v>0</v>
      </c>
      <c r="OV683" s="2">
        <v>0</v>
      </c>
      <c r="OW683" s="2">
        <v>0</v>
      </c>
      <c r="OX683" s="2">
        <v>0</v>
      </c>
      <c r="PC683" s="2">
        <v>0</v>
      </c>
      <c r="PD683" s="2">
        <v>0</v>
      </c>
      <c r="PE683" s="2">
        <v>0</v>
      </c>
      <c r="PF683" s="2">
        <v>0.01</v>
      </c>
      <c r="PG683" s="2">
        <v>0</v>
      </c>
      <c r="PH683" s="2">
        <v>0</v>
      </c>
      <c r="PI683" s="2">
        <v>0</v>
      </c>
    </row>
    <row r="684">
      <c r="A684" t="inlineStr">
        <is>
          <t>A130396692K</t>
        </is>
      </c>
      <c r="B684" t="inlineStr">
        <is>
          <t>Change in Contribution to All groups CPI Index Number ;  Transport ;  Australia ;</t>
        </is>
      </c>
      <c r="C684" t="inlineStr">
        <is>
          <t>Month</t>
        </is>
      </c>
      <c r="D684" t="inlineStr">
        <is>
          <t>Index Points</t>
        </is>
      </c>
      <c r="E684" t="inlineStr">
        <is>
          <t>Original</t>
        </is>
      </c>
      <c r="F684" t="inlineStr">
        <is>
          <t>640103.xlsx</t>
        </is>
      </c>
      <c r="G684" t="inlineStr">
        <is>
          <t>2025-01</t>
        </is>
      </c>
      <c r="H684" t="inlineStr">
        <is>
          <t>2026-07</t>
        </is>
      </c>
      <c r="OM684" s="2">
        <v>-0.02</v>
      </c>
      <c r="ON684" s="2">
        <v>0.07000000000000001</v>
      </c>
      <c r="OO684" s="2">
        <v>0</v>
      </c>
      <c r="OP684" s="2">
        <v>-0.07000000000000001</v>
      </c>
      <c r="OQ684" s="2">
        <v>-0.08</v>
      </c>
      <c r="OR684" s="2">
        <v>0.04</v>
      </c>
      <c r="OS684" s="2">
        <v>0.12</v>
      </c>
      <c r="OT684" s="2">
        <v>0.04</v>
      </c>
      <c r="OU684" s="2">
        <v>0.01</v>
      </c>
      <c r="OV684" s="2">
        <v>0.03</v>
      </c>
      <c r="OW684" s="2">
        <v>0.03</v>
      </c>
      <c r="OX684" s="2">
        <v>0.01</v>
      </c>
      <c r="PC684" s="2">
        <v>-0.08</v>
      </c>
      <c r="PD684" s="2">
        <v>-0.07000000000000001</v>
      </c>
      <c r="PE684" s="2">
        <v>1.02</v>
      </c>
      <c r="PF684" s="2">
        <v>-0.33</v>
      </c>
      <c r="PG684" s="2">
        <v>-0.46</v>
      </c>
      <c r="PH684" s="2">
        <v>-0.31</v>
      </c>
      <c r="PI684" s="2">
        <v>0.3</v>
      </c>
    </row>
    <row r="685">
      <c r="A685" t="inlineStr">
        <is>
          <t>A130391792C</t>
        </is>
      </c>
      <c r="B685" t="inlineStr">
        <is>
          <t>Change in Contribution to All groups CPI Index Number ;  Private motoring ;  Australia ;</t>
        </is>
      </c>
      <c r="C685" t="inlineStr">
        <is>
          <t>Month</t>
        </is>
      </c>
      <c r="D685" t="inlineStr">
        <is>
          <t>Index Points</t>
        </is>
      </c>
      <c r="E685" t="inlineStr">
        <is>
          <t>Original</t>
        </is>
      </c>
      <c r="F685" t="inlineStr">
        <is>
          <t>640103.xlsx</t>
        </is>
      </c>
      <c r="G685" t="inlineStr">
        <is>
          <t>2025-01</t>
        </is>
      </c>
      <c r="H685" t="inlineStr">
        <is>
          <t>2026-07</t>
        </is>
      </c>
      <c r="OM685" s="2">
        <v>-0.02</v>
      </c>
      <c r="ON685" s="2">
        <v>0.06</v>
      </c>
      <c r="OO685" s="2">
        <v>0.01</v>
      </c>
      <c r="OP685" s="2">
        <v>-0.07000000000000001</v>
      </c>
      <c r="OQ685" s="2">
        <v>-0.09</v>
      </c>
      <c r="OR685" s="2">
        <v>0.05</v>
      </c>
      <c r="OS685" s="2">
        <v>0.11</v>
      </c>
      <c r="OT685" s="2">
        <v>0.03</v>
      </c>
      <c r="OU685" s="2">
        <v>0.01</v>
      </c>
      <c r="OV685" s="2">
        <v>0.04</v>
      </c>
      <c r="OW685" s="2">
        <v>0.03</v>
      </c>
      <c r="OX685" s="2">
        <v>0.02</v>
      </c>
      <c r="PC685" s="2">
        <v>-0.07000000000000001</v>
      </c>
      <c r="PD685" s="2">
        <v>-0.08</v>
      </c>
      <c r="PE685" s="2">
        <v>1.02</v>
      </c>
      <c r="PF685" s="2">
        <v>-0.26</v>
      </c>
      <c r="PG685" s="2">
        <v>-0.46</v>
      </c>
      <c r="PH685" s="2">
        <v>-0.34</v>
      </c>
      <c r="PI685" s="2">
        <v>0.29</v>
      </c>
    </row>
    <row r="686">
      <c r="A686" t="inlineStr">
        <is>
          <t>A130395838W</t>
        </is>
      </c>
      <c r="B686" t="inlineStr">
        <is>
          <t>Change in Contribution to All groups CPI Index Number ;  Motor vehicles ;  Australia ;</t>
        </is>
      </c>
      <c r="C686" t="inlineStr">
        <is>
          <t>Month</t>
        </is>
      </c>
      <c r="D686" t="inlineStr">
        <is>
          <t>Index Points</t>
        </is>
      </c>
      <c r="E686" t="inlineStr">
        <is>
          <t>Original</t>
        </is>
      </c>
      <c r="F686" t="inlineStr">
        <is>
          <t>640103.xlsx</t>
        </is>
      </c>
      <c r="G686" t="inlineStr">
        <is>
          <t>2025-01</t>
        </is>
      </c>
      <c r="H686" t="inlineStr">
        <is>
          <t>2026-07</t>
        </is>
      </c>
      <c r="OM686" s="2">
        <v>0</v>
      </c>
      <c r="ON686" s="2">
        <v>0</v>
      </c>
      <c r="OO686" s="2">
        <v>0.01</v>
      </c>
      <c r="OP686" s="2">
        <v>0.01</v>
      </c>
      <c r="OQ686" s="2">
        <v>-0.01</v>
      </c>
      <c r="OR686" s="2">
        <v>-0.05</v>
      </c>
      <c r="OS686" s="2">
        <v>0.07000000000000001</v>
      </c>
      <c r="OT686" s="2">
        <v>0</v>
      </c>
      <c r="OU686" s="2">
        <v>-0.03</v>
      </c>
      <c r="OV686" s="2">
        <v>0.03</v>
      </c>
      <c r="OW686" s="2">
        <v>-0.06</v>
      </c>
      <c r="OX686" s="2">
        <v>0.06</v>
      </c>
      <c r="PC686" s="2">
        <v>0.02</v>
      </c>
      <c r="PD686" s="2">
        <v>-0.01</v>
      </c>
      <c r="PE686" s="2">
        <v>0.01</v>
      </c>
      <c r="PF686" s="2">
        <v>0.01</v>
      </c>
      <c r="PG686" s="2">
        <v>-0.04</v>
      </c>
      <c r="PH686" s="2">
        <v>0.01</v>
      </c>
      <c r="PI686" s="2">
        <v>0.02</v>
      </c>
    </row>
    <row r="687">
      <c r="A687" t="inlineStr">
        <is>
          <t>A130393395K</t>
        </is>
      </c>
      <c r="B687" t="inlineStr">
        <is>
          <t>Change in Contribution to All groups CPI Index Number ;  Spare parts and accessories for motor vehicles ;  Australia ;</t>
        </is>
      </c>
      <c r="C687" t="inlineStr">
        <is>
          <t>Month</t>
        </is>
      </c>
      <c r="D687" t="inlineStr">
        <is>
          <t>Index Points</t>
        </is>
      </c>
      <c r="E687" t="inlineStr">
        <is>
          <t>Original</t>
        </is>
      </c>
      <c r="F687" t="inlineStr">
        <is>
          <t>640103.xlsx</t>
        </is>
      </c>
      <c r="G687" t="inlineStr">
        <is>
          <t>2025-01</t>
        </is>
      </c>
      <c r="H687" t="inlineStr">
        <is>
          <t>2026-07</t>
        </is>
      </c>
      <c r="OM687" s="2">
        <v>0.01</v>
      </c>
      <c r="ON687" s="2">
        <v>0.01</v>
      </c>
      <c r="OO687" s="2">
        <v>0.01</v>
      </c>
      <c r="OP687" s="2">
        <v>-0.01</v>
      </c>
      <c r="OQ687" s="2">
        <v>0.01</v>
      </c>
      <c r="OR687" s="2">
        <v>-0.01</v>
      </c>
      <c r="OS687" s="2">
        <v>0</v>
      </c>
      <c r="OT687" s="2">
        <v>-0.01</v>
      </c>
      <c r="OU687" s="2">
        <v>0</v>
      </c>
      <c r="OV687" s="2">
        <v>0.02</v>
      </c>
      <c r="OW687" s="2">
        <v>-0.01</v>
      </c>
      <c r="OX687" s="2">
        <v>-0.02</v>
      </c>
      <c r="PC687" s="2">
        <v>0.01</v>
      </c>
      <c r="PD687" s="2">
        <v>0</v>
      </c>
      <c r="PE687" s="2">
        <v>0</v>
      </c>
      <c r="PF687" s="2">
        <v>0</v>
      </c>
      <c r="PG687" s="2">
        <v>0.01</v>
      </c>
      <c r="PH687" s="2">
        <v>0.01</v>
      </c>
      <c r="PI687" s="2">
        <v>0</v>
      </c>
    </row>
    <row r="688">
      <c r="A688" t="inlineStr">
        <is>
          <t>A130398324T</t>
        </is>
      </c>
      <c r="B688" t="inlineStr">
        <is>
          <t>Change in Contribution to All groups CPI Index Number ;  Automotive fuel ;  Australia ;</t>
        </is>
      </c>
      <c r="C688" t="inlineStr">
        <is>
          <t>Month</t>
        </is>
      </c>
      <c r="D688" t="inlineStr">
        <is>
          <t>Index Points</t>
        </is>
      </c>
      <c r="E688" t="inlineStr">
        <is>
          <t>Original</t>
        </is>
      </c>
      <c r="F688" t="inlineStr">
        <is>
          <t>640103.xlsx</t>
        </is>
      </c>
      <c r="G688" t="inlineStr">
        <is>
          <t>2025-01</t>
        </is>
      </c>
      <c r="H688" t="inlineStr">
        <is>
          <t>2026-07</t>
        </is>
      </c>
      <c r="OM688" s="2">
        <v>-0.05</v>
      </c>
      <c r="ON688" s="2">
        <v>0.04</v>
      </c>
      <c r="OO688" s="2">
        <v>-0.03</v>
      </c>
      <c r="OP688" s="2">
        <v>-0.08</v>
      </c>
      <c r="OQ688" s="2">
        <v>-0.1</v>
      </c>
      <c r="OR688" s="2">
        <v>0.12</v>
      </c>
      <c r="OS688" s="2">
        <v>0</v>
      </c>
      <c r="OT688" s="2">
        <v>0.02</v>
      </c>
      <c r="OU688" s="2">
        <v>0.02</v>
      </c>
      <c r="OV688" s="2">
        <v>-0.03</v>
      </c>
      <c r="OW688" s="2">
        <v>0.08</v>
      </c>
      <c r="OX688" s="2">
        <v>-0.02</v>
      </c>
      <c r="PC688" s="2">
        <v>-0.11</v>
      </c>
      <c r="PD688" s="2">
        <v>-0.11</v>
      </c>
      <c r="PE688" s="2">
        <v>1.01</v>
      </c>
      <c r="PF688" s="2">
        <v>-0.28</v>
      </c>
      <c r="PG688" s="2">
        <v>-0.46</v>
      </c>
      <c r="PH688" s="2">
        <v>-0.36</v>
      </c>
      <c r="PI688" s="2">
        <v>0.22</v>
      </c>
    </row>
    <row r="689">
      <c r="A689" t="inlineStr">
        <is>
          <t>A130392114K</t>
        </is>
      </c>
      <c r="B689" t="inlineStr">
        <is>
          <t>Change in Contribution to All groups CPI Index Number ;  Maintenance and repair of motor vehicles ;  Australia ;</t>
        </is>
      </c>
      <c r="C689" t="inlineStr">
        <is>
          <t>Month</t>
        </is>
      </c>
      <c r="D689" t="inlineStr">
        <is>
          <t>Index Points</t>
        </is>
      </c>
      <c r="E689" t="inlineStr">
        <is>
          <t>Original</t>
        </is>
      </c>
      <c r="F689" t="inlineStr">
        <is>
          <t>640103.xlsx</t>
        </is>
      </c>
      <c r="G689" t="inlineStr">
        <is>
          <t>2025-01</t>
        </is>
      </c>
      <c r="H689" t="inlineStr">
        <is>
          <t>2026-07</t>
        </is>
      </c>
      <c r="OM689" s="2">
        <v>0</v>
      </c>
      <c r="ON689" s="2">
        <v>0.01</v>
      </c>
      <c r="OO689" s="2">
        <v>0</v>
      </c>
      <c r="OP689" s="2">
        <v>0.02</v>
      </c>
      <c r="OQ689" s="2">
        <v>0.01</v>
      </c>
      <c r="OR689" s="2">
        <v>0</v>
      </c>
      <c r="OS689" s="2">
        <v>0.02</v>
      </c>
      <c r="OT689" s="2">
        <v>0.01</v>
      </c>
      <c r="OU689" s="2">
        <v>0</v>
      </c>
      <c r="OV689" s="2">
        <v>0.01</v>
      </c>
      <c r="OW689" s="2">
        <v>0.01</v>
      </c>
      <c r="OX689" s="2">
        <v>0</v>
      </c>
      <c r="PC689" s="2">
        <v>0.01</v>
      </c>
      <c r="PD689" s="2">
        <v>0.03</v>
      </c>
      <c r="PE689" s="2">
        <v>0</v>
      </c>
      <c r="PF689" s="2">
        <v>0.01</v>
      </c>
      <c r="PG689" s="2">
        <v>0.02</v>
      </c>
      <c r="PH689" s="2">
        <v>0.01</v>
      </c>
      <c r="PI689" s="2">
        <v>0.01</v>
      </c>
    </row>
    <row r="690">
      <c r="A690" t="inlineStr">
        <is>
          <t>A130390854F</t>
        </is>
      </c>
      <c r="B690" t="inlineStr">
        <is>
          <t>Change in Contribution to All groups CPI Index Number ;  Other services in respect of motor vehicles ;  Australia ;</t>
        </is>
      </c>
      <c r="C690" t="inlineStr">
        <is>
          <t>Month</t>
        </is>
      </c>
      <c r="D690" t="inlineStr">
        <is>
          <t>Index Points</t>
        </is>
      </c>
      <c r="E690" t="inlineStr">
        <is>
          <t>Original</t>
        </is>
      </c>
      <c r="F690" t="inlineStr">
        <is>
          <t>640103.xlsx</t>
        </is>
      </c>
      <c r="G690" t="inlineStr">
        <is>
          <t>2025-01</t>
        </is>
      </c>
      <c r="H690" t="inlineStr">
        <is>
          <t>2026-07</t>
        </is>
      </c>
      <c r="OM690" s="2">
        <v>0</v>
      </c>
      <c r="ON690" s="2">
        <v>0</v>
      </c>
      <c r="OO690" s="2">
        <v>0.01</v>
      </c>
      <c r="OP690" s="2">
        <v>0</v>
      </c>
      <c r="OQ690" s="2">
        <v>0</v>
      </c>
      <c r="OR690" s="2">
        <v>0</v>
      </c>
      <c r="OS690" s="2">
        <v>0.03</v>
      </c>
      <c r="OT690" s="2">
        <v>-0.01</v>
      </c>
      <c r="OU690" s="2">
        <v>0.03</v>
      </c>
      <c r="OV690" s="2">
        <v>0</v>
      </c>
      <c r="OW690" s="2">
        <v>0.01</v>
      </c>
      <c r="OX690" s="2">
        <v>0</v>
      </c>
      <c r="PC690" s="2">
        <v>0</v>
      </c>
      <c r="PD690" s="2">
        <v>0</v>
      </c>
      <c r="PE690" s="2">
        <v>0</v>
      </c>
      <c r="PF690" s="2">
        <v>0.01</v>
      </c>
      <c r="PG690" s="2">
        <v>0</v>
      </c>
      <c r="PH690" s="2">
        <v>0</v>
      </c>
      <c r="PI690" s="2">
        <v>0.03</v>
      </c>
    </row>
    <row r="691">
      <c r="A691" t="inlineStr">
        <is>
          <t>A130393122C</t>
        </is>
      </c>
      <c r="B691" t="inlineStr">
        <is>
          <t>Change in Contribution to All groups CPI Index Number ;  Urban transport fares ;  Australia ;</t>
        </is>
      </c>
      <c r="C691" t="inlineStr">
        <is>
          <t>Month</t>
        </is>
      </c>
      <c r="D691" t="inlineStr">
        <is>
          <t>Index Points</t>
        </is>
      </c>
      <c r="E691" t="inlineStr">
        <is>
          <t>Original</t>
        </is>
      </c>
      <c r="F691" t="inlineStr">
        <is>
          <t>640103.xlsx</t>
        </is>
      </c>
      <c r="G691" t="inlineStr">
        <is>
          <t>2025-01</t>
        </is>
      </c>
      <c r="H691" t="inlineStr">
        <is>
          <t>2026-07</t>
        </is>
      </c>
      <c r="OM691" s="2">
        <v>0</v>
      </c>
      <c r="ON691" s="2">
        <v>0.01</v>
      </c>
      <c r="OO691" s="2">
        <v>0.01</v>
      </c>
      <c r="OP691" s="2">
        <v>0</v>
      </c>
      <c r="OQ691" s="2">
        <v>0</v>
      </c>
      <c r="OR691" s="2">
        <v>0</v>
      </c>
      <c r="OS691" s="2">
        <v>0</v>
      </c>
      <c r="OT691" s="2">
        <v>0</v>
      </c>
      <c r="OU691" s="2">
        <v>0</v>
      </c>
      <c r="OV691" s="2">
        <v>0</v>
      </c>
      <c r="OW691" s="2">
        <v>0</v>
      </c>
      <c r="OX691" s="2">
        <v>-0.02</v>
      </c>
      <c r="PC691" s="2">
        <v>0</v>
      </c>
      <c r="PD691" s="2">
        <v>0.01</v>
      </c>
      <c r="PE691" s="2">
        <v>0</v>
      </c>
      <c r="PF691" s="2">
        <v>-0.07000000000000001</v>
      </c>
      <c r="PG691" s="2">
        <v>0</v>
      </c>
      <c r="PH691" s="2">
        <v>0.04</v>
      </c>
      <c r="PI691" s="2">
        <v>0</v>
      </c>
    </row>
    <row r="692">
      <c r="A692" t="inlineStr">
        <is>
          <t>A130398366R</t>
        </is>
      </c>
      <c r="B692" t="inlineStr">
        <is>
          <t>Change in Contribution to All groups CPI Index Number ;  Urban transport fares ;  Australia ;</t>
        </is>
      </c>
      <c r="C692" t="inlineStr">
        <is>
          <t>Month</t>
        </is>
      </c>
      <c r="D692" t="inlineStr">
        <is>
          <t>Index Points</t>
        </is>
      </c>
      <c r="E692" t="inlineStr">
        <is>
          <t>Original</t>
        </is>
      </c>
      <c r="F692" t="inlineStr">
        <is>
          <t>640103.xlsx</t>
        </is>
      </c>
      <c r="G692" t="inlineStr">
        <is>
          <t>2025-01</t>
        </is>
      </c>
      <c r="H692" t="inlineStr">
        <is>
          <t>2026-07</t>
        </is>
      </c>
      <c r="OM692" s="2">
        <v>0</v>
      </c>
      <c r="ON692" s="2">
        <v>0.01</v>
      </c>
      <c r="OO692" s="2">
        <v>0.01</v>
      </c>
      <c r="OP692" s="2">
        <v>0</v>
      </c>
      <c r="OQ692" s="2">
        <v>0</v>
      </c>
      <c r="OR692" s="2">
        <v>0</v>
      </c>
      <c r="OS692" s="2">
        <v>0</v>
      </c>
      <c r="OT692" s="2">
        <v>0</v>
      </c>
      <c r="OU692" s="2">
        <v>0</v>
      </c>
      <c r="OV692" s="2">
        <v>0</v>
      </c>
      <c r="OW692" s="2">
        <v>0</v>
      </c>
      <c r="OX692" s="2">
        <v>-0.02</v>
      </c>
      <c r="PC692" s="2">
        <v>0</v>
      </c>
      <c r="PD692" s="2">
        <v>0.01</v>
      </c>
      <c r="PE692" s="2">
        <v>0</v>
      </c>
      <c r="PF692" s="2">
        <v>-0.07000000000000001</v>
      </c>
      <c r="PG692" s="2">
        <v>0</v>
      </c>
      <c r="PH692" s="2">
        <v>0.04</v>
      </c>
      <c r="PI692" s="2">
        <v>0</v>
      </c>
    </row>
    <row r="693">
      <c r="A693" t="inlineStr">
        <is>
          <t>A130391295R</t>
        </is>
      </c>
      <c r="B693" t="inlineStr">
        <is>
          <t>Change in Contribution to All groups CPI Index Number ;  Communication ;  Australia ;</t>
        </is>
      </c>
      <c r="C693" t="inlineStr">
        <is>
          <t>Month</t>
        </is>
      </c>
      <c r="D693" t="inlineStr">
        <is>
          <t>Index Points</t>
        </is>
      </c>
      <c r="E693" t="inlineStr">
        <is>
          <t>Original</t>
        </is>
      </c>
      <c r="F693" t="inlineStr">
        <is>
          <t>640103.xlsx</t>
        </is>
      </c>
      <c r="G693" t="inlineStr">
        <is>
          <t>2025-01</t>
        </is>
      </c>
      <c r="H693" t="inlineStr">
        <is>
          <t>2026-07</t>
        </is>
      </c>
      <c r="OM693" s="2">
        <v>-0.01</v>
      </c>
      <c r="ON693" s="2">
        <v>0.02</v>
      </c>
      <c r="OO693" s="2">
        <v>0</v>
      </c>
      <c r="OP693" s="2">
        <v>0</v>
      </c>
      <c r="OQ693" s="2">
        <v>-0.01</v>
      </c>
      <c r="OR693" s="2">
        <v>-0.01</v>
      </c>
      <c r="OS693" s="2">
        <v>0.03</v>
      </c>
      <c r="OT693" s="2">
        <v>0.01</v>
      </c>
      <c r="OU693" s="2">
        <v>0</v>
      </c>
      <c r="OV693" s="2">
        <v>-0.01</v>
      </c>
      <c r="OW693" s="2">
        <v>0.01</v>
      </c>
      <c r="OX693" s="2">
        <v>-0.01</v>
      </c>
      <c r="PC693" s="2">
        <v>0</v>
      </c>
      <c r="PD693" s="2">
        <v>0.01</v>
      </c>
      <c r="PE693" s="2">
        <v>0.01</v>
      </c>
      <c r="PF693" s="2">
        <v>0</v>
      </c>
      <c r="PG693" s="2">
        <v>0.01</v>
      </c>
      <c r="PH693" s="2">
        <v>-0.02</v>
      </c>
      <c r="PI693" s="2">
        <v>0.04</v>
      </c>
    </row>
    <row r="694">
      <c r="A694" t="inlineStr">
        <is>
          <t>A130390483F</t>
        </is>
      </c>
      <c r="B694" t="inlineStr">
        <is>
          <t>Change in Contribution to All groups CPI Index Number ;  Communication ;  Australia ;</t>
        </is>
      </c>
      <c r="C694" t="inlineStr">
        <is>
          <t>Month</t>
        </is>
      </c>
      <c r="D694" t="inlineStr">
        <is>
          <t>Index Points</t>
        </is>
      </c>
      <c r="E694" t="inlineStr">
        <is>
          <t>Original</t>
        </is>
      </c>
      <c r="F694" t="inlineStr">
        <is>
          <t>640103.xlsx</t>
        </is>
      </c>
      <c r="G694" t="inlineStr">
        <is>
          <t>2025-01</t>
        </is>
      </c>
      <c r="H694" t="inlineStr">
        <is>
          <t>2026-07</t>
        </is>
      </c>
      <c r="OM694" s="2">
        <v>-0.01</v>
      </c>
      <c r="ON694" s="2">
        <v>0.02</v>
      </c>
      <c r="OO694" s="2">
        <v>0</v>
      </c>
      <c r="OP694" s="2">
        <v>0</v>
      </c>
      <c r="OQ694" s="2">
        <v>-0.01</v>
      </c>
      <c r="OR694" s="2">
        <v>-0.01</v>
      </c>
      <c r="OS694" s="2">
        <v>0.03</v>
      </c>
      <c r="OT694" s="2">
        <v>0.01</v>
      </c>
      <c r="OU694" s="2">
        <v>0</v>
      </c>
      <c r="OV694" s="2">
        <v>-0.01</v>
      </c>
      <c r="OW694" s="2">
        <v>0.01</v>
      </c>
      <c r="OX694" s="2">
        <v>-0.01</v>
      </c>
      <c r="PC694" s="2">
        <v>0</v>
      </c>
      <c r="PD694" s="2">
        <v>0.01</v>
      </c>
      <c r="PE694" s="2">
        <v>0.01</v>
      </c>
      <c r="PF694" s="2">
        <v>0</v>
      </c>
      <c r="PG694" s="2">
        <v>0.01</v>
      </c>
      <c r="PH694" s="2">
        <v>-0.02</v>
      </c>
      <c r="PI694" s="2">
        <v>0.04</v>
      </c>
    </row>
    <row r="695">
      <c r="A695" t="inlineStr">
        <is>
          <t>A130399552L</t>
        </is>
      </c>
      <c r="B695" t="inlineStr">
        <is>
          <t>Change in Contribution to All groups CPI Index Number ;  Postal services ;  Australia ;</t>
        </is>
      </c>
      <c r="C695" t="inlineStr">
        <is>
          <t>Month</t>
        </is>
      </c>
      <c r="D695" t="inlineStr">
        <is>
          <t>Index Points</t>
        </is>
      </c>
      <c r="E695" t="inlineStr">
        <is>
          <t>Original</t>
        </is>
      </c>
      <c r="F695" t="inlineStr">
        <is>
          <t>640103.xlsx</t>
        </is>
      </c>
      <c r="G695" t="inlineStr">
        <is>
          <t>2025-01</t>
        </is>
      </c>
      <c r="H695" t="inlineStr">
        <is>
          <t>2026-07</t>
        </is>
      </c>
      <c r="OM695" s="2">
        <v>0</v>
      </c>
      <c r="ON695" s="2">
        <v>0</v>
      </c>
      <c r="OO695" s="2">
        <v>0</v>
      </c>
      <c r="OP695" s="2">
        <v>0</v>
      </c>
      <c r="OQ695" s="2">
        <v>0</v>
      </c>
      <c r="OR695" s="2">
        <v>0</v>
      </c>
      <c r="OS695" s="2">
        <v>0</v>
      </c>
      <c r="OT695" s="2">
        <v>0</v>
      </c>
      <c r="OU695" s="2">
        <v>0</v>
      </c>
      <c r="OV695" s="2">
        <v>0.01</v>
      </c>
      <c r="OW695" s="2">
        <v>0</v>
      </c>
      <c r="OX695" s="2">
        <v>0</v>
      </c>
      <c r="PC695" s="2">
        <v>0</v>
      </c>
      <c r="PD695" s="2">
        <v>0</v>
      </c>
      <c r="PE695" s="2">
        <v>0</v>
      </c>
      <c r="PF695" s="2">
        <v>0.01</v>
      </c>
      <c r="PG695" s="2">
        <v>-0.01</v>
      </c>
      <c r="PH695" s="2">
        <v>0</v>
      </c>
      <c r="PI695" s="2">
        <v>0</v>
      </c>
    </row>
    <row r="696">
      <c r="A696" t="inlineStr">
        <is>
          <t>A130398296V</t>
        </is>
      </c>
      <c r="B696" t="inlineStr">
        <is>
          <t>Change in Contribution to All groups CPI Index Number ;  Telecommunication equipment and services ;  Australia ;</t>
        </is>
      </c>
      <c r="C696" t="inlineStr">
        <is>
          <t>Month</t>
        </is>
      </c>
      <c r="D696" t="inlineStr">
        <is>
          <t>Index Points</t>
        </is>
      </c>
      <c r="E696" t="inlineStr">
        <is>
          <t>Original</t>
        </is>
      </c>
      <c r="F696" t="inlineStr">
        <is>
          <t>640103.xlsx</t>
        </is>
      </c>
      <c r="G696" t="inlineStr">
        <is>
          <t>2025-01</t>
        </is>
      </c>
      <c r="H696" t="inlineStr">
        <is>
          <t>2026-07</t>
        </is>
      </c>
      <c r="OM696" s="2">
        <v>-0.01</v>
      </c>
      <c r="ON696" s="2">
        <v>0.02</v>
      </c>
      <c r="OO696" s="2">
        <v>-0.01</v>
      </c>
      <c r="OP696" s="2">
        <v>0.01</v>
      </c>
      <c r="OQ696" s="2">
        <v>-0.01</v>
      </c>
      <c r="OR696" s="2">
        <v>-0.02</v>
      </c>
      <c r="OS696" s="2">
        <v>0.03</v>
      </c>
      <c r="OT696" s="2">
        <v>0.02</v>
      </c>
      <c r="OU696" s="2">
        <v>-0.01</v>
      </c>
      <c r="OV696" s="2">
        <v>0</v>
      </c>
      <c r="OW696" s="2">
        <v>0.01</v>
      </c>
      <c r="OX696" s="2">
        <v>-0.01</v>
      </c>
      <c r="PC696" s="2">
        <v>0</v>
      </c>
      <c r="PD696" s="2">
        <v>0</v>
      </c>
      <c r="PE696" s="2">
        <v>0.01</v>
      </c>
      <c r="PF696" s="2">
        <v>0</v>
      </c>
      <c r="PG696" s="2">
        <v>0</v>
      </c>
      <c r="PH696" s="2">
        <v>-0.01</v>
      </c>
      <c r="PI696" s="2">
        <v>0.04</v>
      </c>
    </row>
    <row r="697">
      <c r="A697" t="inlineStr">
        <is>
          <t>A130393836F</t>
        </is>
      </c>
      <c r="B697" t="inlineStr">
        <is>
          <t>Change in Contribution to All groups CPI Index Number ;  Recreation and culture ;  Australia ;</t>
        </is>
      </c>
      <c r="C697" t="inlineStr">
        <is>
          <t>Month</t>
        </is>
      </c>
      <c r="D697" t="inlineStr">
        <is>
          <t>Index Points</t>
        </is>
      </c>
      <c r="E697" t="inlineStr">
        <is>
          <t>Original</t>
        </is>
      </c>
      <c r="F697" t="inlineStr">
        <is>
          <t>640103.xlsx</t>
        </is>
      </c>
      <c r="G697" t="inlineStr">
        <is>
          <t>2025-01</t>
        </is>
      </c>
      <c r="H697" t="inlineStr">
        <is>
          <t>2026-07</t>
        </is>
      </c>
      <c r="OM697" s="2">
        <v>-0.34</v>
      </c>
      <c r="ON697" s="2">
        <v>-0.43</v>
      </c>
      <c r="OO697" s="2">
        <v>0.07000000000000001</v>
      </c>
      <c r="OP697" s="2">
        <v>0.35</v>
      </c>
      <c r="OQ697" s="2">
        <v>-0.37</v>
      </c>
      <c r="OR697" s="2">
        <v>0.1</v>
      </c>
      <c r="OS697" s="2">
        <v>0.3</v>
      </c>
      <c r="OT697" s="2">
        <v>-0.15</v>
      </c>
      <c r="OU697" s="2">
        <v>0.27</v>
      </c>
      <c r="OV697" s="2">
        <v>-0.02</v>
      </c>
      <c r="OW697" s="2">
        <v>-0.14</v>
      </c>
      <c r="OX697" s="2">
        <v>0.92</v>
      </c>
      <c r="PC697" s="2">
        <v>-0.45</v>
      </c>
      <c r="PD697" s="2">
        <v>-0.38</v>
      </c>
      <c r="PE697" s="2">
        <v>-0.09</v>
      </c>
      <c r="PF697" s="2">
        <v>0.32</v>
      </c>
      <c r="PG697" s="2">
        <v>-0.4</v>
      </c>
      <c r="PH697" s="2">
        <v>0.23</v>
      </c>
      <c r="PI697" s="2">
        <v>0.22</v>
      </c>
    </row>
    <row r="698">
      <c r="A698" t="inlineStr">
        <is>
          <t>A130399083J</t>
        </is>
      </c>
      <c r="B698" t="inlineStr">
        <is>
          <t>Change in Contribution to All groups CPI Index Number ;  Audio, visual and computing equipment and services ;  Australia ;</t>
        </is>
      </c>
      <c r="C698" t="inlineStr">
        <is>
          <t>Month</t>
        </is>
      </c>
      <c r="D698" t="inlineStr">
        <is>
          <t>Index Points</t>
        </is>
      </c>
      <c r="E698" t="inlineStr">
        <is>
          <t>Original</t>
        </is>
      </c>
      <c r="F698" t="inlineStr">
        <is>
          <t>640103.xlsx</t>
        </is>
      </c>
      <c r="G698" t="inlineStr">
        <is>
          <t>2025-01</t>
        </is>
      </c>
      <c r="H698" t="inlineStr">
        <is>
          <t>2026-07</t>
        </is>
      </c>
      <c r="OM698" s="2">
        <v>0</v>
      </c>
      <c r="ON698" s="2">
        <v>0.01</v>
      </c>
      <c r="OO698" s="2">
        <v>0.02</v>
      </c>
      <c r="OP698" s="2">
        <v>0</v>
      </c>
      <c r="OQ698" s="2">
        <v>0.02</v>
      </c>
      <c r="OR698" s="2">
        <v>-0.01</v>
      </c>
      <c r="OS698" s="2">
        <v>0.01</v>
      </c>
      <c r="OT698" s="2">
        <v>0.05</v>
      </c>
      <c r="OU698" s="2">
        <v>-0.01</v>
      </c>
      <c r="OV698" s="2">
        <v>0</v>
      </c>
      <c r="OW698" s="2">
        <v>0.01</v>
      </c>
      <c r="OX698" s="2">
        <v>-0.03</v>
      </c>
      <c r="PC698" s="2">
        <v>0.03</v>
      </c>
      <c r="PD698" s="2">
        <v>0.02</v>
      </c>
      <c r="PE698" s="2">
        <v>-0.02</v>
      </c>
      <c r="PF698" s="2">
        <v>0.01</v>
      </c>
      <c r="PG698" s="2">
        <v>0.01</v>
      </c>
      <c r="PH698" s="2">
        <v>-0.02</v>
      </c>
      <c r="PI698" s="2">
        <v>0.08</v>
      </c>
    </row>
    <row r="699">
      <c r="A699" t="inlineStr">
        <is>
          <t>A130397189V</t>
        </is>
      </c>
      <c r="B699" t="inlineStr">
        <is>
          <t>Change in Contribution to All groups CPI Index Number ;  Audio, visual and computing equipment ;  Australia ;</t>
        </is>
      </c>
      <c r="C699" t="inlineStr">
        <is>
          <t>Month</t>
        </is>
      </c>
      <c r="D699" t="inlineStr">
        <is>
          <t>Index Points</t>
        </is>
      </c>
      <c r="E699" t="inlineStr">
        <is>
          <t>Original</t>
        </is>
      </c>
      <c r="F699" t="inlineStr">
        <is>
          <t>640103.xlsx</t>
        </is>
      </c>
      <c r="G699" t="inlineStr">
        <is>
          <t>2025-01</t>
        </is>
      </c>
      <c r="H699" t="inlineStr">
        <is>
          <t>2026-07</t>
        </is>
      </c>
      <c r="OM699" s="2">
        <v>0</v>
      </c>
      <c r="ON699" s="2">
        <v>0.01</v>
      </c>
      <c r="OO699" s="2">
        <v>0.01</v>
      </c>
      <c r="OP699" s="2">
        <v>0</v>
      </c>
      <c r="OQ699" s="2">
        <v>0.02</v>
      </c>
      <c r="OR699" s="2">
        <v>-0.02</v>
      </c>
      <c r="OS699" s="2">
        <v>0.01</v>
      </c>
      <c r="OT699" s="2">
        <v>0</v>
      </c>
      <c r="OU699" s="2">
        <v>-0.01</v>
      </c>
      <c r="OV699" s="2">
        <v>0</v>
      </c>
      <c r="OW699" s="2">
        <v>0</v>
      </c>
      <c r="OX699" s="2">
        <v>-0.03</v>
      </c>
      <c r="PC699" s="2">
        <v>0.03</v>
      </c>
      <c r="PD699" s="2">
        <v>0.01</v>
      </c>
      <c r="PE699" s="2">
        <v>-0.02</v>
      </c>
      <c r="PF699" s="2">
        <v>0.01</v>
      </c>
      <c r="PG699" s="2">
        <v>0</v>
      </c>
      <c r="PH699" s="2">
        <v>-0.03</v>
      </c>
      <c r="PI699" s="2">
        <v>0.08</v>
      </c>
    </row>
    <row r="700">
      <c r="A700" t="inlineStr">
        <is>
          <t>A130397869X</t>
        </is>
      </c>
      <c r="B700" t="inlineStr">
        <is>
          <t>Change in Contribution to All groups CPI Index Number ;  Audio, visual and computing media and services ;  Australia ;</t>
        </is>
      </c>
      <c r="C700" t="inlineStr">
        <is>
          <t>Month</t>
        </is>
      </c>
      <c r="D700" t="inlineStr">
        <is>
          <t>Index Points</t>
        </is>
      </c>
      <c r="E700" t="inlineStr">
        <is>
          <t>Original</t>
        </is>
      </c>
      <c r="F700" t="inlineStr">
        <is>
          <t>640103.xlsx</t>
        </is>
      </c>
      <c r="G700" t="inlineStr">
        <is>
          <t>2025-01</t>
        </is>
      </c>
      <c r="H700" t="inlineStr">
        <is>
          <t>2026-07</t>
        </is>
      </c>
      <c r="OM700" s="2">
        <v>0</v>
      </c>
      <c r="ON700" s="2">
        <v>0.01</v>
      </c>
      <c r="OO700" s="2">
        <v>0.01</v>
      </c>
      <c r="OP700" s="2">
        <v>0</v>
      </c>
      <c r="OQ700" s="2">
        <v>0</v>
      </c>
      <c r="OR700" s="2">
        <v>0.01</v>
      </c>
      <c r="OS700" s="2">
        <v>0</v>
      </c>
      <c r="OT700" s="2">
        <v>0.05</v>
      </c>
      <c r="OU700" s="2">
        <v>0</v>
      </c>
      <c r="OV700" s="2">
        <v>0</v>
      </c>
      <c r="OW700" s="2">
        <v>0.01</v>
      </c>
      <c r="OX700" s="2">
        <v>0</v>
      </c>
      <c r="PC700" s="2">
        <v>0</v>
      </c>
      <c r="PD700" s="2">
        <v>0.01</v>
      </c>
      <c r="PE700" s="2">
        <v>0</v>
      </c>
      <c r="PF700" s="2">
        <v>0</v>
      </c>
      <c r="PG700" s="2">
        <v>0.02</v>
      </c>
      <c r="PH700" s="2">
        <v>-0.01</v>
      </c>
      <c r="PI700" s="2">
        <v>0.01</v>
      </c>
    </row>
    <row r="701">
      <c r="A701" t="inlineStr">
        <is>
          <t>A130394200T</t>
        </is>
      </c>
      <c r="B701" t="inlineStr">
        <is>
          <t>Change in Contribution to All groups CPI Index Number ;  Newspapers, books and stationery ;  Australia ;</t>
        </is>
      </c>
      <c r="C701" t="inlineStr">
        <is>
          <t>Month</t>
        </is>
      </c>
      <c r="D701" t="inlineStr">
        <is>
          <t>Index Points</t>
        </is>
      </c>
      <c r="E701" t="inlineStr">
        <is>
          <t>Original</t>
        </is>
      </c>
      <c r="F701" t="inlineStr">
        <is>
          <t>640103.xlsx</t>
        </is>
      </c>
      <c r="G701" t="inlineStr">
        <is>
          <t>2025-01</t>
        </is>
      </c>
      <c r="H701" t="inlineStr">
        <is>
          <t>2026-07</t>
        </is>
      </c>
      <c r="OM701" s="2">
        <v>0</v>
      </c>
      <c r="ON701" s="2">
        <v>0.01</v>
      </c>
      <c r="OO701" s="2">
        <v>0</v>
      </c>
      <c r="OP701" s="2">
        <v>0</v>
      </c>
      <c r="OQ701" s="2">
        <v>0</v>
      </c>
      <c r="OR701" s="2">
        <v>0</v>
      </c>
      <c r="OS701" s="2">
        <v>0.01</v>
      </c>
      <c r="OT701" s="2">
        <v>0</v>
      </c>
      <c r="OU701" s="2">
        <v>0</v>
      </c>
      <c r="OV701" s="2">
        <v>0</v>
      </c>
      <c r="OW701" s="2">
        <v>0.01</v>
      </c>
      <c r="OX701" s="2">
        <v>-0.01</v>
      </c>
      <c r="PC701" s="2">
        <v>0</v>
      </c>
      <c r="PD701" s="2">
        <v>0.01</v>
      </c>
      <c r="PE701" s="2">
        <v>0</v>
      </c>
      <c r="PF701" s="2">
        <v>-0.01</v>
      </c>
      <c r="PG701" s="2">
        <v>0.01</v>
      </c>
      <c r="PH701" s="2">
        <v>0</v>
      </c>
      <c r="PI701" s="2">
        <v>0</v>
      </c>
    </row>
    <row r="702">
      <c r="A702" t="inlineStr">
        <is>
          <t>A130394956T</t>
        </is>
      </c>
      <c r="B702" t="inlineStr">
        <is>
          <t>Change in Contribution to All groups CPI Index Number ;  Books ;  Australia ;</t>
        </is>
      </c>
      <c r="C702" t="inlineStr">
        <is>
          <t>Month</t>
        </is>
      </c>
      <c r="D702" t="inlineStr">
        <is>
          <t>Index Points</t>
        </is>
      </c>
      <c r="E702" t="inlineStr">
        <is>
          <t>Original</t>
        </is>
      </c>
      <c r="F702" t="inlineStr">
        <is>
          <t>640103.xlsx</t>
        </is>
      </c>
      <c r="G702" t="inlineStr">
        <is>
          <t>2025-01</t>
        </is>
      </c>
      <c r="H702" t="inlineStr">
        <is>
          <t>2026-07</t>
        </is>
      </c>
      <c r="OM702" s="2">
        <v>0</v>
      </c>
      <c r="ON702" s="2">
        <v>0</v>
      </c>
      <c r="OO702" s="2">
        <v>0</v>
      </c>
      <c r="OP702" s="2">
        <v>0</v>
      </c>
      <c r="OQ702" s="2">
        <v>0</v>
      </c>
      <c r="OR702" s="2">
        <v>0</v>
      </c>
      <c r="OS702" s="2">
        <v>0</v>
      </c>
      <c r="OT702" s="2">
        <v>0</v>
      </c>
      <c r="OU702" s="2">
        <v>0</v>
      </c>
      <c r="OV702" s="2">
        <v>0</v>
      </c>
      <c r="OW702" s="2">
        <v>0</v>
      </c>
      <c r="OX702" s="2">
        <v>0</v>
      </c>
      <c r="PC702" s="2">
        <v>0</v>
      </c>
      <c r="PD702" s="2">
        <v>0</v>
      </c>
      <c r="PE702" s="2">
        <v>0</v>
      </c>
      <c r="PF702" s="2">
        <v>0</v>
      </c>
      <c r="PG702" s="2">
        <v>0</v>
      </c>
      <c r="PH702" s="2">
        <v>0</v>
      </c>
      <c r="PI702" s="2">
        <v>0.01</v>
      </c>
    </row>
    <row r="703">
      <c r="A703" t="inlineStr">
        <is>
          <t>A130392884F</t>
        </is>
      </c>
      <c r="B703" t="inlineStr">
        <is>
          <t>Change in Contribution to All groups CPI Index Number ;  Newspapers, magazines and stationery ;  Australia ;</t>
        </is>
      </c>
      <c r="C703" t="inlineStr">
        <is>
          <t>Month</t>
        </is>
      </c>
      <c r="D703" t="inlineStr">
        <is>
          <t>Index Points</t>
        </is>
      </c>
      <c r="E703" t="inlineStr">
        <is>
          <t>Original</t>
        </is>
      </c>
      <c r="F703" t="inlineStr">
        <is>
          <t>640103.xlsx</t>
        </is>
      </c>
      <c r="G703" t="inlineStr">
        <is>
          <t>2025-01</t>
        </is>
      </c>
      <c r="H703" t="inlineStr">
        <is>
          <t>2026-07</t>
        </is>
      </c>
      <c r="OM703" s="2">
        <v>-0.01</v>
      </c>
      <c r="ON703" s="2">
        <v>0.01</v>
      </c>
      <c r="OO703" s="2">
        <v>0</v>
      </c>
      <c r="OP703" s="2">
        <v>0</v>
      </c>
      <c r="OQ703" s="2">
        <v>0</v>
      </c>
      <c r="OR703" s="2">
        <v>0</v>
      </c>
      <c r="OS703" s="2">
        <v>0.01</v>
      </c>
      <c r="OT703" s="2">
        <v>0</v>
      </c>
      <c r="OU703" s="2">
        <v>0</v>
      </c>
      <c r="OV703" s="2">
        <v>0</v>
      </c>
      <c r="OW703" s="2">
        <v>0</v>
      </c>
      <c r="OX703" s="2">
        <v>0</v>
      </c>
      <c r="PC703" s="2">
        <v>-0.01</v>
      </c>
      <c r="PD703" s="2">
        <v>0.02</v>
      </c>
      <c r="PE703" s="2">
        <v>0</v>
      </c>
      <c r="PF703" s="2">
        <v>-0.01</v>
      </c>
      <c r="PG703" s="2">
        <v>0.01</v>
      </c>
      <c r="PH703" s="2">
        <v>0</v>
      </c>
      <c r="PI703" s="2">
        <v>0</v>
      </c>
    </row>
    <row r="704">
      <c r="A704" t="inlineStr">
        <is>
          <t>A130391834R</t>
        </is>
      </c>
      <c r="B704" t="inlineStr">
        <is>
          <t>Change in Contribution to All groups CPI Index Number ;  Holiday travel and accommodation ;  Australia ;</t>
        </is>
      </c>
      <c r="C704" t="inlineStr">
        <is>
          <t>Month</t>
        </is>
      </c>
      <c r="D704" t="inlineStr">
        <is>
          <t>Index Points</t>
        </is>
      </c>
      <c r="E704" t="inlineStr">
        <is>
          <t>Original</t>
        </is>
      </c>
      <c r="F704" t="inlineStr">
        <is>
          <t>640103.xlsx</t>
        </is>
      </c>
      <c r="G704" t="inlineStr">
        <is>
          <t>2025-01</t>
        </is>
      </c>
      <c r="H704" t="inlineStr">
        <is>
          <t>2026-07</t>
        </is>
      </c>
      <c r="OM704" s="2">
        <v>-0.38</v>
      </c>
      <c r="ON704" s="2">
        <v>-0.47</v>
      </c>
      <c r="OO704" s="2">
        <v>0.1</v>
      </c>
      <c r="OP704" s="2">
        <v>0.35</v>
      </c>
      <c r="OQ704" s="2">
        <v>-0.44</v>
      </c>
      <c r="OR704" s="2">
        <v>0.14</v>
      </c>
      <c r="OS704" s="2">
        <v>0.27</v>
      </c>
      <c r="OT704" s="2">
        <v>-0.21</v>
      </c>
      <c r="OU704" s="2">
        <v>0.28</v>
      </c>
      <c r="OV704" s="2">
        <v>-0.05</v>
      </c>
      <c r="OW704" s="2">
        <v>-0.15</v>
      </c>
      <c r="OX704" s="2">
        <v>0.9399999999999999</v>
      </c>
      <c r="PC704" s="2">
        <v>-0.52</v>
      </c>
      <c r="PD704" s="2">
        <v>-0.41</v>
      </c>
      <c r="PE704" s="2">
        <v>-0.08</v>
      </c>
      <c r="PF704" s="2">
        <v>0.33</v>
      </c>
      <c r="PG704" s="2">
        <v>-0.43</v>
      </c>
      <c r="PH704" s="2">
        <v>0.26</v>
      </c>
      <c r="PI704" s="2">
        <v>0.11</v>
      </c>
    </row>
    <row r="705">
      <c r="A705" t="inlineStr">
        <is>
          <t>A130392198F</t>
        </is>
      </c>
      <c r="B705" t="inlineStr">
        <is>
          <t>Change in Contribution to All groups CPI Index Number ;  Domestic holiday travel and accommodation ;  Australia ;</t>
        </is>
      </c>
      <c r="C705" t="inlineStr">
        <is>
          <t>Month</t>
        </is>
      </c>
      <c r="D705" t="inlineStr">
        <is>
          <t>Index Points</t>
        </is>
      </c>
      <c r="E705" t="inlineStr">
        <is>
          <t>Original</t>
        </is>
      </c>
      <c r="F705" t="inlineStr">
        <is>
          <t>640103.xlsx</t>
        </is>
      </c>
      <c r="G705" t="inlineStr">
        <is>
          <t>2025-01</t>
        </is>
      </c>
      <c r="H705" t="inlineStr">
        <is>
          <t>2026-07</t>
        </is>
      </c>
      <c r="OM705" s="2">
        <v>0.16</v>
      </c>
      <c r="ON705" s="2">
        <v>-0.33</v>
      </c>
      <c r="OO705" s="2">
        <v>0.1</v>
      </c>
      <c r="OP705" s="2">
        <v>0.11</v>
      </c>
      <c r="OQ705" s="2">
        <v>-0.29</v>
      </c>
      <c r="OR705" s="2">
        <v>0.02</v>
      </c>
      <c r="OS705" s="2">
        <v>0.23</v>
      </c>
      <c r="OT705" s="2">
        <v>-0.13</v>
      </c>
      <c r="OU705" s="2">
        <v>0.12</v>
      </c>
      <c r="OV705" s="2">
        <v>0.18</v>
      </c>
      <c r="OW705" s="2">
        <v>-0.13</v>
      </c>
      <c r="OX705" s="2">
        <v>0.25</v>
      </c>
      <c r="PC705" s="2">
        <v>0.05</v>
      </c>
      <c r="PD705" s="2">
        <v>-0.25</v>
      </c>
      <c r="PE705" s="2">
        <v>-0.08</v>
      </c>
      <c r="PF705" s="2">
        <v>0.23</v>
      </c>
      <c r="PG705" s="2">
        <v>-0.4</v>
      </c>
      <c r="PH705" s="2">
        <v>0.04</v>
      </c>
      <c r="PI705" s="2">
        <v>0.18</v>
      </c>
    </row>
    <row r="706">
      <c r="A706" t="inlineStr">
        <is>
          <t>A130394802A</t>
        </is>
      </c>
      <c r="B706" t="inlineStr">
        <is>
          <t>Change in Contribution to All groups CPI Index Number ;  International holiday travel and accommodation ;  Australia ;</t>
        </is>
      </c>
      <c r="C706" t="inlineStr">
        <is>
          <t>Month</t>
        </is>
      </c>
      <c r="D706" t="inlineStr">
        <is>
          <t>Index Points</t>
        </is>
      </c>
      <c r="E706" t="inlineStr">
        <is>
          <t>Original</t>
        </is>
      </c>
      <c r="F706" t="inlineStr">
        <is>
          <t>640103.xlsx</t>
        </is>
      </c>
      <c r="G706" t="inlineStr">
        <is>
          <t>2025-01</t>
        </is>
      </c>
      <c r="H706" t="inlineStr">
        <is>
          <t>2026-07</t>
        </is>
      </c>
      <c r="OM706" s="2">
        <v>-0.54</v>
      </c>
      <c r="ON706" s="2">
        <v>-0.14</v>
      </c>
      <c r="OO706" s="2">
        <v>0</v>
      </c>
      <c r="OP706" s="2">
        <v>0.23</v>
      </c>
      <c r="OQ706" s="2">
        <v>-0.14</v>
      </c>
      <c r="OR706" s="2">
        <v>0.12</v>
      </c>
      <c r="OS706" s="2">
        <v>0.04</v>
      </c>
      <c r="OT706" s="2">
        <v>-0.08</v>
      </c>
      <c r="OU706" s="2">
        <v>0.17</v>
      </c>
      <c r="OV706" s="2">
        <v>-0.24</v>
      </c>
      <c r="OW706" s="2">
        <v>-0.02</v>
      </c>
      <c r="OX706" s="2">
        <v>0.68</v>
      </c>
      <c r="PC706" s="2">
        <v>-0.5600000000000001</v>
      </c>
      <c r="PD706" s="2">
        <v>-0.15</v>
      </c>
      <c r="PE706" s="2">
        <v>-0.01</v>
      </c>
      <c r="PF706" s="2">
        <v>0.09</v>
      </c>
      <c r="PG706" s="2">
        <v>-0.02</v>
      </c>
      <c r="PH706" s="2">
        <v>0.23</v>
      </c>
      <c r="PI706" s="2">
        <v>-0.08</v>
      </c>
    </row>
    <row r="707">
      <c r="A707" t="inlineStr">
        <is>
          <t>A130395152C</t>
        </is>
      </c>
      <c r="B707" t="inlineStr">
        <is>
          <t>Change in Contribution to All groups CPI Index Number ;  Other recreation, sport and culture ;  Australia ;</t>
        </is>
      </c>
      <c r="C707" t="inlineStr">
        <is>
          <t>Month</t>
        </is>
      </c>
      <c r="D707" t="inlineStr">
        <is>
          <t>Index Points</t>
        </is>
      </c>
      <c r="E707" t="inlineStr">
        <is>
          <t>Original</t>
        </is>
      </c>
      <c r="F707" t="inlineStr">
        <is>
          <t>640103.xlsx</t>
        </is>
      </c>
      <c r="G707" t="inlineStr">
        <is>
          <t>2025-01</t>
        </is>
      </c>
      <c r="H707" t="inlineStr">
        <is>
          <t>2026-07</t>
        </is>
      </c>
      <c r="OM707" s="2">
        <v>0.04</v>
      </c>
      <c r="ON707" s="2">
        <v>0.02</v>
      </c>
      <c r="OO707" s="2">
        <v>-0.04</v>
      </c>
      <c r="OP707" s="2">
        <v>-0.01</v>
      </c>
      <c r="OQ707" s="2">
        <v>0.04</v>
      </c>
      <c r="OR707" s="2">
        <v>-0.02</v>
      </c>
      <c r="OS707" s="2">
        <v>0.01</v>
      </c>
      <c r="OT707" s="2">
        <v>0</v>
      </c>
      <c r="OU707" s="2">
        <v>0</v>
      </c>
      <c r="OV707" s="2">
        <v>0.04</v>
      </c>
      <c r="OW707" s="2">
        <v>0</v>
      </c>
      <c r="OX707" s="2">
        <v>0.01</v>
      </c>
      <c r="PC707" s="2">
        <v>0.04</v>
      </c>
      <c r="PD707" s="2">
        <v>0</v>
      </c>
      <c r="PE707" s="2">
        <v>0.01</v>
      </c>
      <c r="PF707" s="2">
        <v>-0.02</v>
      </c>
      <c r="PG707" s="2">
        <v>0.02</v>
      </c>
      <c r="PH707" s="2">
        <v>-0.01</v>
      </c>
      <c r="PI707" s="2">
        <v>0.02</v>
      </c>
    </row>
    <row r="708">
      <c r="A708" t="inlineStr">
        <is>
          <t>A130397364T</t>
        </is>
      </c>
      <c r="B708" t="inlineStr">
        <is>
          <t>Change in Contribution to All groups CPI Index Number ;  Equipment for sports, camping and open-air recreation ;  Australia ;</t>
        </is>
      </c>
      <c r="C708" t="inlineStr">
        <is>
          <t>Month</t>
        </is>
      </c>
      <c r="D708" t="inlineStr">
        <is>
          <t>Index Points</t>
        </is>
      </c>
      <c r="E708" t="inlineStr">
        <is>
          <t>Original</t>
        </is>
      </c>
      <c r="F708" t="inlineStr">
        <is>
          <t>640103.xlsx</t>
        </is>
      </c>
      <c r="G708" t="inlineStr">
        <is>
          <t>2025-01</t>
        </is>
      </c>
      <c r="H708" t="inlineStr">
        <is>
          <t>2026-07</t>
        </is>
      </c>
      <c r="OM708" s="2">
        <v>0</v>
      </c>
      <c r="ON708" s="2">
        <v>0</v>
      </c>
      <c r="OO708" s="2">
        <v>0</v>
      </c>
      <c r="OP708" s="2">
        <v>-0.01</v>
      </c>
      <c r="OQ708" s="2">
        <v>0.01</v>
      </c>
      <c r="OR708" s="2">
        <v>0</v>
      </c>
      <c r="OS708" s="2">
        <v>0</v>
      </c>
      <c r="OT708" s="2">
        <v>0</v>
      </c>
      <c r="OU708" s="2">
        <v>0</v>
      </c>
      <c r="OV708" s="2">
        <v>0</v>
      </c>
      <c r="OW708" s="2">
        <v>-0.01</v>
      </c>
      <c r="OX708" s="2">
        <v>0</v>
      </c>
      <c r="PC708" s="2">
        <v>0.01</v>
      </c>
      <c r="PD708" s="2">
        <v>-0.01</v>
      </c>
      <c r="PE708" s="2">
        <v>0</v>
      </c>
      <c r="PF708" s="2">
        <v>0.01</v>
      </c>
      <c r="PG708" s="2">
        <v>0</v>
      </c>
      <c r="PH708" s="2">
        <v>0</v>
      </c>
      <c r="PI708" s="2">
        <v>0</v>
      </c>
    </row>
    <row r="709">
      <c r="A709" t="inlineStr">
        <is>
          <t>A130392338W</t>
        </is>
      </c>
      <c r="B709" t="inlineStr">
        <is>
          <t>Change in Contribution to All groups CPI Index Number ;  Games, toys and hobbies ;  Australia ;</t>
        </is>
      </c>
      <c r="C709" t="inlineStr">
        <is>
          <t>Month</t>
        </is>
      </c>
      <c r="D709" t="inlineStr">
        <is>
          <t>Index Points</t>
        </is>
      </c>
      <c r="E709" t="inlineStr">
        <is>
          <t>Original</t>
        </is>
      </c>
      <c r="F709" t="inlineStr">
        <is>
          <t>640103.xlsx</t>
        </is>
      </c>
      <c r="G709" t="inlineStr">
        <is>
          <t>2025-01</t>
        </is>
      </c>
      <c r="H709" t="inlineStr">
        <is>
          <t>2026-07</t>
        </is>
      </c>
      <c r="OM709" s="2">
        <v>0.05</v>
      </c>
      <c r="ON709" s="2">
        <v>-0.01</v>
      </c>
      <c r="OO709" s="2">
        <v>-0.01</v>
      </c>
      <c r="OP709" s="2">
        <v>-0.01</v>
      </c>
      <c r="OQ709" s="2">
        <v>0.02</v>
      </c>
      <c r="OR709" s="2">
        <v>-0.01</v>
      </c>
      <c r="OS709" s="2">
        <v>-0.02</v>
      </c>
      <c r="OT709" s="2">
        <v>0.01</v>
      </c>
      <c r="OU709" s="2">
        <v>0.01</v>
      </c>
      <c r="OV709" s="2">
        <v>0.01</v>
      </c>
      <c r="OW709" s="2">
        <v>0</v>
      </c>
      <c r="OX709" s="2">
        <v>-0.01</v>
      </c>
      <c r="PC709" s="2">
        <v>0.03</v>
      </c>
      <c r="PD709" s="2">
        <v>0</v>
      </c>
      <c r="PE709" s="2">
        <v>0.01</v>
      </c>
      <c r="PF709" s="2">
        <v>-0.01</v>
      </c>
      <c r="PG709" s="2">
        <v>0</v>
      </c>
      <c r="PH709" s="2">
        <v>-0.01</v>
      </c>
      <c r="PI709" s="2">
        <v>-0.02</v>
      </c>
    </row>
    <row r="710">
      <c r="A710" t="inlineStr">
        <is>
          <t>A130390812J</t>
        </is>
      </c>
      <c r="B710" t="inlineStr">
        <is>
          <t>Change in Contribution to All groups CPI Index Number ;  Pets and related products ;  Australia ;</t>
        </is>
      </c>
      <c r="C710" t="inlineStr">
        <is>
          <t>Month</t>
        </is>
      </c>
      <c r="D710" t="inlineStr">
        <is>
          <t>Index Points</t>
        </is>
      </c>
      <c r="E710" t="inlineStr">
        <is>
          <t>Original</t>
        </is>
      </c>
      <c r="F710" t="inlineStr">
        <is>
          <t>640103.xlsx</t>
        </is>
      </c>
      <c r="G710" t="inlineStr">
        <is>
          <t>2025-01</t>
        </is>
      </c>
      <c r="H710" t="inlineStr">
        <is>
          <t>2026-07</t>
        </is>
      </c>
      <c r="OM710" s="2">
        <v>0.01</v>
      </c>
      <c r="ON710" s="2">
        <v>-0.01</v>
      </c>
      <c r="OO710" s="2">
        <v>0</v>
      </c>
      <c r="OP710" s="2">
        <v>0</v>
      </c>
      <c r="OQ710" s="2">
        <v>0</v>
      </c>
      <c r="OR710" s="2">
        <v>0</v>
      </c>
      <c r="OS710" s="2">
        <v>0</v>
      </c>
      <c r="OT710" s="2">
        <v>0</v>
      </c>
      <c r="OU710" s="2">
        <v>0</v>
      </c>
      <c r="OV710" s="2">
        <v>0</v>
      </c>
      <c r="OW710" s="2">
        <v>0.01</v>
      </c>
      <c r="OX710" s="2">
        <v>0</v>
      </c>
      <c r="PC710" s="2">
        <v>0</v>
      </c>
      <c r="PD710" s="2">
        <v>-0.01</v>
      </c>
      <c r="PE710" s="2">
        <v>0</v>
      </c>
      <c r="PF710" s="2">
        <v>0</v>
      </c>
      <c r="PG710" s="2">
        <v>0</v>
      </c>
      <c r="PH710" s="2">
        <v>0</v>
      </c>
      <c r="PI710" s="2">
        <v>0</v>
      </c>
    </row>
    <row r="711">
      <c r="A711" t="inlineStr">
        <is>
          <t>A130392058C</t>
        </is>
      </c>
      <c r="B711" t="inlineStr">
        <is>
          <t>Change in Contribution to All groups CPI Index Number ;  Veterinary and other services for pets ;  Australia ;</t>
        </is>
      </c>
      <c r="C711" t="inlineStr">
        <is>
          <t>Month</t>
        </is>
      </c>
      <c r="D711" t="inlineStr">
        <is>
          <t>Index Points</t>
        </is>
      </c>
      <c r="E711" t="inlineStr">
        <is>
          <t>Original</t>
        </is>
      </c>
      <c r="F711" t="inlineStr">
        <is>
          <t>640103.xlsx</t>
        </is>
      </c>
      <c r="G711" t="inlineStr">
        <is>
          <t>2025-01</t>
        </is>
      </c>
      <c r="H711" t="inlineStr">
        <is>
          <t>2026-07</t>
        </is>
      </c>
      <c r="OM711" s="2">
        <v>0</v>
      </c>
      <c r="ON711" s="2">
        <v>0</v>
      </c>
      <c r="OO711" s="2">
        <v>0</v>
      </c>
      <c r="OP711" s="2">
        <v>0</v>
      </c>
      <c r="OQ711" s="2">
        <v>0.01</v>
      </c>
      <c r="OR711" s="2">
        <v>0</v>
      </c>
      <c r="OS711" s="2">
        <v>0</v>
      </c>
      <c r="OT711" s="2">
        <v>0</v>
      </c>
      <c r="OU711" s="2">
        <v>0.01</v>
      </c>
      <c r="OV711" s="2">
        <v>0</v>
      </c>
      <c r="OW711" s="2">
        <v>0</v>
      </c>
      <c r="OX711" s="2">
        <v>0</v>
      </c>
      <c r="PC711" s="2">
        <v>0</v>
      </c>
      <c r="PD711" s="2">
        <v>0</v>
      </c>
      <c r="PE711" s="2">
        <v>0</v>
      </c>
      <c r="PF711" s="2">
        <v>0</v>
      </c>
      <c r="PG711" s="2">
        <v>0</v>
      </c>
      <c r="PH711" s="2">
        <v>0.01</v>
      </c>
      <c r="PI711" s="2">
        <v>0</v>
      </c>
    </row>
    <row r="712">
      <c r="A712" t="inlineStr">
        <is>
          <t>A130399825J</t>
        </is>
      </c>
      <c r="B712" t="inlineStr">
        <is>
          <t>Change in Contribution to All groups CPI Index Number ;  Sports participation ;  Australia ;</t>
        </is>
      </c>
      <c r="C712" t="inlineStr">
        <is>
          <t>Month</t>
        </is>
      </c>
      <c r="D712" t="inlineStr">
        <is>
          <t>Index Points</t>
        </is>
      </c>
      <c r="E712" t="inlineStr">
        <is>
          <t>Original</t>
        </is>
      </c>
      <c r="F712" t="inlineStr">
        <is>
          <t>640103.xlsx</t>
        </is>
      </c>
      <c r="G712" t="inlineStr">
        <is>
          <t>2025-01</t>
        </is>
      </c>
      <c r="H712" t="inlineStr">
        <is>
          <t>2026-07</t>
        </is>
      </c>
      <c r="OM712" s="2">
        <v>0.01</v>
      </c>
      <c r="ON712" s="2">
        <v>0.01</v>
      </c>
      <c r="OO712" s="2">
        <v>-0.01</v>
      </c>
      <c r="OP712" s="2">
        <v>0.01</v>
      </c>
      <c r="OQ712" s="2">
        <v>0</v>
      </c>
      <c r="OR712" s="2">
        <v>0</v>
      </c>
      <c r="OS712" s="2">
        <v>0.01</v>
      </c>
      <c r="OT712" s="2">
        <v>0.01</v>
      </c>
      <c r="OU712" s="2">
        <v>0</v>
      </c>
      <c r="OV712" s="2">
        <v>0</v>
      </c>
      <c r="OW712" s="2">
        <v>0</v>
      </c>
      <c r="OX712" s="2">
        <v>0.01</v>
      </c>
      <c r="PC712" s="2">
        <v>0</v>
      </c>
      <c r="PD712" s="2">
        <v>0</v>
      </c>
      <c r="PE712" s="2">
        <v>0</v>
      </c>
      <c r="PF712" s="2">
        <v>0.01</v>
      </c>
      <c r="PG712" s="2">
        <v>0</v>
      </c>
      <c r="PH712" s="2">
        <v>0.01</v>
      </c>
      <c r="PI712" s="2">
        <v>0.02</v>
      </c>
    </row>
    <row r="713">
      <c r="A713" t="inlineStr">
        <is>
          <t>A130398639K</t>
        </is>
      </c>
      <c r="B713" t="inlineStr">
        <is>
          <t>Change in Contribution to All groups CPI Index Number ;  Other recreational, sporting and cultural services ;  Australia ;</t>
        </is>
      </c>
      <c r="C713" t="inlineStr">
        <is>
          <t>Month</t>
        </is>
      </c>
      <c r="D713" t="inlineStr">
        <is>
          <t>Index Points</t>
        </is>
      </c>
      <c r="E713" t="inlineStr">
        <is>
          <t>Original</t>
        </is>
      </c>
      <c r="F713" t="inlineStr">
        <is>
          <t>640103.xlsx</t>
        </is>
      </c>
      <c r="G713" t="inlineStr">
        <is>
          <t>2025-01</t>
        </is>
      </c>
      <c r="H713" t="inlineStr">
        <is>
          <t>2026-07</t>
        </is>
      </c>
      <c r="OM713" s="2">
        <v>-0.01</v>
      </c>
      <c r="ON713" s="2">
        <v>0.02</v>
      </c>
      <c r="OO713" s="2">
        <v>-0.03</v>
      </c>
      <c r="OP713" s="2">
        <v>-0.01</v>
      </c>
      <c r="OQ713" s="2">
        <v>0.03</v>
      </c>
      <c r="OR713" s="2">
        <v>-0.02</v>
      </c>
      <c r="OS713" s="2">
        <v>0.01</v>
      </c>
      <c r="OT713" s="2">
        <v>0</v>
      </c>
      <c r="OU713" s="2">
        <v>-0.02</v>
      </c>
      <c r="OV713" s="2">
        <v>0.03</v>
      </c>
      <c r="OW713" s="2">
        <v>0</v>
      </c>
      <c r="OX713" s="2">
        <v>0.01</v>
      </c>
      <c r="PC713" s="2">
        <v>-0.01</v>
      </c>
      <c r="PD713" s="2">
        <v>0.01</v>
      </c>
      <c r="PE713" s="2">
        <v>0</v>
      </c>
      <c r="PF713" s="2">
        <v>-0.01</v>
      </c>
      <c r="PG713" s="2">
        <v>0.01</v>
      </c>
      <c r="PH713" s="2">
        <v>-0.01</v>
      </c>
      <c r="PI713" s="2">
        <v>0.02</v>
      </c>
    </row>
    <row r="714">
      <c r="A714" t="inlineStr">
        <is>
          <t>A130390028C</t>
        </is>
      </c>
      <c r="B714" t="inlineStr">
        <is>
          <t>Change in Contribution to All groups CPI Index Number ;  Education ;  Australia ;</t>
        </is>
      </c>
      <c r="C714" t="inlineStr">
        <is>
          <t>Month</t>
        </is>
      </c>
      <c r="D714" t="inlineStr">
        <is>
          <t>Index Points</t>
        </is>
      </c>
      <c r="E714" t="inlineStr">
        <is>
          <t>Original</t>
        </is>
      </c>
      <c r="F714" t="inlineStr">
        <is>
          <t>640103.xlsx</t>
        </is>
      </c>
      <c r="G714" t="inlineStr">
        <is>
          <t>2025-01</t>
        </is>
      </c>
      <c r="H714" t="inlineStr">
        <is>
          <t>2026-07</t>
        </is>
      </c>
      <c r="OM714" s="2">
        <v>0</v>
      </c>
      <c r="ON714" s="2">
        <v>0.23</v>
      </c>
      <c r="OO714" s="2">
        <v>0</v>
      </c>
      <c r="OP714" s="2">
        <v>0</v>
      </c>
      <c r="OQ714" s="2">
        <v>0</v>
      </c>
      <c r="OR714" s="2">
        <v>0</v>
      </c>
      <c r="OS714" s="2">
        <v>0</v>
      </c>
      <c r="OT714" s="2">
        <v>0.01</v>
      </c>
      <c r="OU714" s="2">
        <v>0</v>
      </c>
      <c r="OV714" s="2">
        <v>0</v>
      </c>
      <c r="OW714" s="2">
        <v>0</v>
      </c>
      <c r="OX714" s="2">
        <v>0</v>
      </c>
      <c r="PC714" s="2">
        <v>0</v>
      </c>
      <c r="PD714" s="2">
        <v>0.21</v>
      </c>
      <c r="PE714" s="2">
        <v>0.01</v>
      </c>
      <c r="PF714" s="2">
        <v>0</v>
      </c>
      <c r="PG714" s="2">
        <v>0</v>
      </c>
      <c r="PH714" s="2">
        <v>0</v>
      </c>
      <c r="PI714" s="2">
        <v>0</v>
      </c>
    </row>
    <row r="715">
      <c r="A715" t="inlineStr">
        <is>
          <t>A130393577X</t>
        </is>
      </c>
      <c r="B715" t="inlineStr">
        <is>
          <t>Change in Contribution to All groups CPI Index Number ;  Education ;  Australia ;</t>
        </is>
      </c>
      <c r="C715" t="inlineStr">
        <is>
          <t>Month</t>
        </is>
      </c>
      <c r="D715" t="inlineStr">
        <is>
          <t>Index Points</t>
        </is>
      </c>
      <c r="E715" t="inlineStr">
        <is>
          <t>Original</t>
        </is>
      </c>
      <c r="F715" t="inlineStr">
        <is>
          <t>640103.xlsx</t>
        </is>
      </c>
      <c r="G715" t="inlineStr">
        <is>
          <t>2025-01</t>
        </is>
      </c>
      <c r="H715" t="inlineStr">
        <is>
          <t>2026-07</t>
        </is>
      </c>
      <c r="OM715" s="2">
        <v>0</v>
      </c>
      <c r="ON715" s="2">
        <v>0.23</v>
      </c>
      <c r="OO715" s="2">
        <v>0</v>
      </c>
      <c r="OP715" s="2">
        <v>0</v>
      </c>
      <c r="OQ715" s="2">
        <v>0</v>
      </c>
      <c r="OR715" s="2">
        <v>0</v>
      </c>
      <c r="OS715" s="2">
        <v>0</v>
      </c>
      <c r="OT715" s="2">
        <v>0.01</v>
      </c>
      <c r="OU715" s="2">
        <v>0</v>
      </c>
      <c r="OV715" s="2">
        <v>0</v>
      </c>
      <c r="OW715" s="2">
        <v>0</v>
      </c>
      <c r="OX715" s="2">
        <v>0</v>
      </c>
      <c r="PC715" s="2">
        <v>0</v>
      </c>
      <c r="PD715" s="2">
        <v>0.21</v>
      </c>
      <c r="PE715" s="2">
        <v>0.01</v>
      </c>
      <c r="PF715" s="2">
        <v>0</v>
      </c>
      <c r="PG715" s="2">
        <v>0</v>
      </c>
      <c r="PH715" s="2">
        <v>0</v>
      </c>
      <c r="PI715" s="2">
        <v>0</v>
      </c>
    </row>
    <row r="716">
      <c r="A716" t="inlineStr">
        <is>
          <t>A130398761R</t>
        </is>
      </c>
      <c r="B716" t="inlineStr">
        <is>
          <t>Change in Contribution to All groups CPI Index Number ;  Preschool and primary education ;  Australia ;</t>
        </is>
      </c>
      <c r="C716" t="inlineStr">
        <is>
          <t>Month</t>
        </is>
      </c>
      <c r="D716" t="inlineStr">
        <is>
          <t>Index Points</t>
        </is>
      </c>
      <c r="E716" t="inlineStr">
        <is>
          <t>Original</t>
        </is>
      </c>
      <c r="F716" t="inlineStr">
        <is>
          <t>640103.xlsx</t>
        </is>
      </c>
      <c r="G716" t="inlineStr">
        <is>
          <t>2025-01</t>
        </is>
      </c>
      <c r="H716" t="inlineStr">
        <is>
          <t>2026-07</t>
        </is>
      </c>
      <c r="OM716" s="2">
        <v>0</v>
      </c>
      <c r="ON716" s="2">
        <v>0.04</v>
      </c>
      <c r="OO716" s="2">
        <v>0</v>
      </c>
      <c r="OP716" s="2">
        <v>0</v>
      </c>
      <c r="OQ716" s="2">
        <v>0</v>
      </c>
      <c r="OR716" s="2">
        <v>0.01</v>
      </c>
      <c r="OS716" s="2">
        <v>0</v>
      </c>
      <c r="OT716" s="2">
        <v>0</v>
      </c>
      <c r="OU716" s="2">
        <v>0</v>
      </c>
      <c r="OV716" s="2">
        <v>0</v>
      </c>
      <c r="OW716" s="2">
        <v>0</v>
      </c>
      <c r="OX716" s="2">
        <v>0</v>
      </c>
      <c r="PC716" s="2">
        <v>0</v>
      </c>
      <c r="PD716" s="2">
        <v>0.04</v>
      </c>
      <c r="PE716" s="2">
        <v>0.01</v>
      </c>
      <c r="PF716" s="2">
        <v>0</v>
      </c>
      <c r="PG716" s="2">
        <v>0</v>
      </c>
      <c r="PH716" s="2">
        <v>0</v>
      </c>
      <c r="PI716" s="2">
        <v>0</v>
      </c>
    </row>
    <row r="717">
      <c r="A717" t="inlineStr">
        <is>
          <t>A130390056L</t>
        </is>
      </c>
      <c r="B717" t="inlineStr">
        <is>
          <t>Change in Contribution to All groups CPI Index Number ;  Secondary education ;  Australia ;</t>
        </is>
      </c>
      <c r="C717" t="inlineStr">
        <is>
          <t>Month</t>
        </is>
      </c>
      <c r="D717" t="inlineStr">
        <is>
          <t>Index Points</t>
        </is>
      </c>
      <c r="E717" t="inlineStr">
        <is>
          <t>Original</t>
        </is>
      </c>
      <c r="F717" t="inlineStr">
        <is>
          <t>640103.xlsx</t>
        </is>
      </c>
      <c r="G717" t="inlineStr">
        <is>
          <t>2025-01</t>
        </is>
      </c>
      <c r="H717" t="inlineStr">
        <is>
          <t>2026-07</t>
        </is>
      </c>
      <c r="OM717" s="2">
        <v>0</v>
      </c>
      <c r="ON717" s="2">
        <v>0.13</v>
      </c>
      <c r="OO717" s="2">
        <v>0</v>
      </c>
      <c r="OP717" s="2">
        <v>0</v>
      </c>
      <c r="OQ717" s="2">
        <v>0</v>
      </c>
      <c r="OR717" s="2">
        <v>0</v>
      </c>
      <c r="OS717" s="2">
        <v>0</v>
      </c>
      <c r="OT717" s="2">
        <v>0</v>
      </c>
      <c r="OU717" s="2">
        <v>0</v>
      </c>
      <c r="OV717" s="2">
        <v>0</v>
      </c>
      <c r="OW717" s="2">
        <v>0</v>
      </c>
      <c r="OX717" s="2">
        <v>0</v>
      </c>
      <c r="PC717" s="2">
        <v>0</v>
      </c>
      <c r="PD717" s="2">
        <v>0.13</v>
      </c>
      <c r="PE717" s="2">
        <v>0</v>
      </c>
      <c r="PF717" s="2">
        <v>0</v>
      </c>
      <c r="PG717" s="2">
        <v>0</v>
      </c>
      <c r="PH717" s="2">
        <v>0</v>
      </c>
      <c r="PI717" s="2">
        <v>0</v>
      </c>
    </row>
    <row r="718">
      <c r="A718" t="inlineStr">
        <is>
          <t>A130396244F</t>
        </is>
      </c>
      <c r="B718" t="inlineStr">
        <is>
          <t>Change in Contribution to All groups CPI Index Number ;  Tertiary education ;  Australia ;</t>
        </is>
      </c>
      <c r="C718" t="inlineStr">
        <is>
          <t>Month</t>
        </is>
      </c>
      <c r="D718" t="inlineStr">
        <is>
          <t>Index Points</t>
        </is>
      </c>
      <c r="E718" t="inlineStr">
        <is>
          <t>Original</t>
        </is>
      </c>
      <c r="F718" t="inlineStr">
        <is>
          <t>640103.xlsx</t>
        </is>
      </c>
      <c r="G718" t="inlineStr">
        <is>
          <t>2025-01</t>
        </is>
      </c>
      <c r="H718" t="inlineStr">
        <is>
          <t>2026-07</t>
        </is>
      </c>
      <c r="OM718" s="2">
        <v>0</v>
      </c>
      <c r="ON718" s="2">
        <v>0.06</v>
      </c>
      <c r="OO718" s="2">
        <v>0</v>
      </c>
      <c r="OP718" s="2">
        <v>0</v>
      </c>
      <c r="OQ718" s="2">
        <v>0</v>
      </c>
      <c r="OR718" s="2">
        <v>0</v>
      </c>
      <c r="OS718" s="2">
        <v>0</v>
      </c>
      <c r="OT718" s="2">
        <v>0</v>
      </c>
      <c r="OU718" s="2">
        <v>0</v>
      </c>
      <c r="OV718" s="2">
        <v>0</v>
      </c>
      <c r="OW718" s="2">
        <v>0</v>
      </c>
      <c r="OX718" s="2">
        <v>0</v>
      </c>
      <c r="PC718" s="2">
        <v>0</v>
      </c>
      <c r="PD718" s="2">
        <v>0.04</v>
      </c>
      <c r="PE718" s="2">
        <v>0</v>
      </c>
      <c r="PF718" s="2">
        <v>0</v>
      </c>
      <c r="PG718" s="2">
        <v>0</v>
      </c>
      <c r="PH718" s="2">
        <v>0</v>
      </c>
      <c r="PI718" s="2">
        <v>0</v>
      </c>
    </row>
    <row r="719">
      <c r="A719" t="inlineStr">
        <is>
          <t>A130392765R</t>
        </is>
      </c>
      <c r="B719" t="inlineStr">
        <is>
          <t>Change in Contribution to All groups CPI Index Number ;  Insurance and financial services ;  Australia ;</t>
        </is>
      </c>
      <c r="C719" t="inlineStr">
        <is>
          <t>Month</t>
        </is>
      </c>
      <c r="D719" t="inlineStr">
        <is>
          <t>Index Points</t>
        </is>
      </c>
      <c r="E719" t="inlineStr">
        <is>
          <t>Original</t>
        </is>
      </c>
      <c r="F719" t="inlineStr">
        <is>
          <t>640103.xlsx</t>
        </is>
      </c>
      <c r="G719" t="inlineStr">
        <is>
          <t>2025-01</t>
        </is>
      </c>
      <c r="H719" t="inlineStr">
        <is>
          <t>2026-07</t>
        </is>
      </c>
      <c r="OM719" s="2">
        <v>0.03</v>
      </c>
      <c r="ON719" s="2">
        <v>0</v>
      </c>
      <c r="OO719" s="2">
        <v>0.02</v>
      </c>
      <c r="OP719" s="2">
        <v>0</v>
      </c>
      <c r="OQ719" s="2">
        <v>-0.01</v>
      </c>
      <c r="OR719" s="2">
        <v>0.03</v>
      </c>
      <c r="OS719" s="2">
        <v>0.02</v>
      </c>
      <c r="OT719" s="2">
        <v>-0.01</v>
      </c>
      <c r="OU719" s="2">
        <v>0.01</v>
      </c>
      <c r="OV719" s="2">
        <v>0.02</v>
      </c>
      <c r="OW719" s="2">
        <v>0</v>
      </c>
      <c r="OX719" s="2">
        <v>0.03</v>
      </c>
      <c r="PC719" s="2">
        <v>0.02</v>
      </c>
      <c r="PD719" s="2">
        <v>0</v>
      </c>
      <c r="PE719" s="2">
        <v>0.05</v>
      </c>
      <c r="PF719" s="2">
        <v>0</v>
      </c>
      <c r="PG719" s="2">
        <v>0.01</v>
      </c>
      <c r="PH719" s="2">
        <v>0.03</v>
      </c>
      <c r="PI719" s="2">
        <v>0.01</v>
      </c>
    </row>
    <row r="720">
      <c r="A720" t="inlineStr">
        <is>
          <t>A130393948X</t>
        </is>
      </c>
      <c r="B720" t="inlineStr">
        <is>
          <t>Change in Contribution to All groups CPI Index Number ;  Insurance ;  Australia ;</t>
        </is>
      </c>
      <c r="C720" t="inlineStr">
        <is>
          <t>Month</t>
        </is>
      </c>
      <c r="D720" t="inlineStr">
        <is>
          <t>Index Points</t>
        </is>
      </c>
      <c r="E720" t="inlineStr">
        <is>
          <t>Original</t>
        </is>
      </c>
      <c r="F720" t="inlineStr">
        <is>
          <t>640103.xlsx</t>
        </is>
      </c>
      <c r="G720" t="inlineStr">
        <is>
          <t>2025-01</t>
        </is>
      </c>
      <c r="H720" t="inlineStr">
        <is>
          <t>2026-07</t>
        </is>
      </c>
      <c r="OM720" s="2">
        <v>0.03</v>
      </c>
      <c r="ON720" s="2">
        <v>0</v>
      </c>
      <c r="OO720" s="2">
        <v>-0.01</v>
      </c>
      <c r="OP720" s="2">
        <v>-0.01</v>
      </c>
      <c r="OQ720" s="2">
        <v>0</v>
      </c>
      <c r="OR720" s="2">
        <v>0</v>
      </c>
      <c r="OS720" s="2">
        <v>0.01</v>
      </c>
      <c r="OT720" s="2">
        <v>-0.01</v>
      </c>
      <c r="OU720" s="2">
        <v>0.01</v>
      </c>
      <c r="OV720" s="2">
        <v>0.01</v>
      </c>
      <c r="OW720" s="2">
        <v>0</v>
      </c>
      <c r="OX720" s="2">
        <v>0.01</v>
      </c>
      <c r="PC720" s="2">
        <v>0.02</v>
      </c>
      <c r="PD720" s="2">
        <v>0</v>
      </c>
      <c r="PE720" s="2">
        <v>0.01</v>
      </c>
      <c r="PF720" s="2">
        <v>0</v>
      </c>
      <c r="PG720" s="2">
        <v>0.01</v>
      </c>
      <c r="PH720" s="2">
        <v>0</v>
      </c>
      <c r="PI720" s="2">
        <v>0</v>
      </c>
    </row>
    <row r="721">
      <c r="A721" t="inlineStr">
        <is>
          <t>A130392639A</t>
        </is>
      </c>
      <c r="B721" t="inlineStr">
        <is>
          <t>Change in Contribution to All groups CPI Index Number ;  Insurance ;  Australia ;</t>
        </is>
      </c>
      <c r="C721" t="inlineStr">
        <is>
          <t>Month</t>
        </is>
      </c>
      <c r="D721" t="inlineStr">
        <is>
          <t>Index Points</t>
        </is>
      </c>
      <c r="E721" t="inlineStr">
        <is>
          <t>Original</t>
        </is>
      </c>
      <c r="F721" t="inlineStr">
        <is>
          <t>640103.xlsx</t>
        </is>
      </c>
      <c r="G721" t="inlineStr">
        <is>
          <t>2025-01</t>
        </is>
      </c>
      <c r="H721" t="inlineStr">
        <is>
          <t>2026-07</t>
        </is>
      </c>
      <c r="OM721" s="2">
        <v>0.03</v>
      </c>
      <c r="ON721" s="2">
        <v>0</v>
      </c>
      <c r="OO721" s="2">
        <v>-0.01</v>
      </c>
      <c r="OP721" s="2">
        <v>-0.01</v>
      </c>
      <c r="OQ721" s="2">
        <v>0</v>
      </c>
      <c r="OR721" s="2">
        <v>0</v>
      </c>
      <c r="OS721" s="2">
        <v>0.01</v>
      </c>
      <c r="OT721" s="2">
        <v>-0.01</v>
      </c>
      <c r="OU721" s="2">
        <v>0.01</v>
      </c>
      <c r="OV721" s="2">
        <v>0.01</v>
      </c>
      <c r="OW721" s="2">
        <v>0</v>
      </c>
      <c r="OX721" s="2">
        <v>0.01</v>
      </c>
      <c r="PC721" s="2">
        <v>0.02</v>
      </c>
      <c r="PD721" s="2">
        <v>0</v>
      </c>
      <c r="PE721" s="2">
        <v>0.01</v>
      </c>
      <c r="PF721" s="2">
        <v>0</v>
      </c>
      <c r="PG721" s="2">
        <v>0.01</v>
      </c>
      <c r="PH721" s="2">
        <v>0</v>
      </c>
      <c r="PI721" s="2">
        <v>0</v>
      </c>
    </row>
    <row r="722">
      <c r="A722" t="inlineStr">
        <is>
          <t>A130399118W</t>
        </is>
      </c>
      <c r="B722" t="inlineStr">
        <is>
          <t>Change in Contribution to All groups CPI Index Number ;  Financial services ;  Australia ;</t>
        </is>
      </c>
      <c r="C722" t="inlineStr">
        <is>
          <t>Month</t>
        </is>
      </c>
      <c r="D722" t="inlineStr">
        <is>
          <t>Index Points</t>
        </is>
      </c>
      <c r="E722" t="inlineStr">
        <is>
          <t>Original</t>
        </is>
      </c>
      <c r="F722" t="inlineStr">
        <is>
          <t>640103.xlsx</t>
        </is>
      </c>
      <c r="G722" t="inlineStr">
        <is>
          <t>2025-01</t>
        </is>
      </c>
      <c r="H722" t="inlineStr">
        <is>
          <t>2026-07</t>
        </is>
      </c>
      <c r="OM722" s="2">
        <v>0</v>
      </c>
      <c r="ON722" s="2">
        <v>0</v>
      </c>
      <c r="OO722" s="2">
        <v>0.03</v>
      </c>
      <c r="OP722" s="2">
        <v>0</v>
      </c>
      <c r="OQ722" s="2">
        <v>0</v>
      </c>
      <c r="OR722" s="2">
        <v>0.03</v>
      </c>
      <c r="OS722" s="2">
        <v>0</v>
      </c>
      <c r="OT722" s="2">
        <v>0</v>
      </c>
      <c r="OU722" s="2">
        <v>0.02</v>
      </c>
      <c r="OV722" s="2">
        <v>0</v>
      </c>
      <c r="OW722" s="2">
        <v>0</v>
      </c>
      <c r="OX722" s="2">
        <v>0.02</v>
      </c>
      <c r="PC722" s="2">
        <v>0</v>
      </c>
      <c r="PD722" s="2">
        <v>0</v>
      </c>
      <c r="PE722" s="2">
        <v>0.04</v>
      </c>
      <c r="PF722" s="2">
        <v>0</v>
      </c>
      <c r="PG722" s="2">
        <v>0</v>
      </c>
      <c r="PH722" s="2">
        <v>0.03</v>
      </c>
      <c r="PI722" s="2">
        <v>0.01</v>
      </c>
    </row>
    <row r="723">
      <c r="A723" t="inlineStr">
        <is>
          <t>A130399104J</t>
        </is>
      </c>
      <c r="B723" t="inlineStr">
        <is>
          <t>Change in Contribution to All groups CPI Index Number ;  Deposit and loan facilities (direct charges) ;  Australia ;</t>
        </is>
      </c>
      <c r="C723" t="inlineStr">
        <is>
          <t>Month</t>
        </is>
      </c>
      <c r="D723" t="inlineStr">
        <is>
          <t>Index Points</t>
        </is>
      </c>
      <c r="E723" t="inlineStr">
        <is>
          <t>Original</t>
        </is>
      </c>
      <c r="F723" t="inlineStr">
        <is>
          <t>640103.xlsx</t>
        </is>
      </c>
      <c r="G723" t="inlineStr">
        <is>
          <t>2025-01</t>
        </is>
      </c>
      <c r="H723" t="inlineStr">
        <is>
          <t>2026-07</t>
        </is>
      </c>
      <c r="OM723" s="2">
        <v>0</v>
      </c>
      <c r="ON723" s="2">
        <v>0</v>
      </c>
      <c r="OO723" s="2">
        <v>0.01</v>
      </c>
      <c r="OP723" s="2">
        <v>0</v>
      </c>
      <c r="OQ723" s="2">
        <v>0</v>
      </c>
      <c r="OR723" s="2">
        <v>0</v>
      </c>
      <c r="OS723" s="2">
        <v>0.01</v>
      </c>
      <c r="OT723" s="2">
        <v>0</v>
      </c>
      <c r="OU723" s="2">
        <v>-0.01</v>
      </c>
      <c r="OV723" s="2">
        <v>0.01</v>
      </c>
      <c r="OW723" s="2">
        <v>-0.01</v>
      </c>
      <c r="OX723" s="2">
        <v>0</v>
      </c>
      <c r="PC723" s="2">
        <v>0</v>
      </c>
      <c r="PD723" s="2">
        <v>0</v>
      </c>
      <c r="PE723" s="2">
        <v>0.01</v>
      </c>
      <c r="PF723" s="2">
        <v>0</v>
      </c>
      <c r="PG723" s="2">
        <v>0</v>
      </c>
      <c r="PH723" s="2">
        <v>0</v>
      </c>
      <c r="PI723" s="2">
        <v>0</v>
      </c>
    </row>
    <row r="724">
      <c r="A724" t="inlineStr">
        <is>
          <t>A130392478X</t>
        </is>
      </c>
      <c r="B724" t="inlineStr">
        <is>
          <t>Change in Contribution to All groups CPI Index Number ;  Other financial services ;  Australia ;</t>
        </is>
      </c>
      <c r="C724" t="inlineStr">
        <is>
          <t>Month</t>
        </is>
      </c>
      <c r="D724" t="inlineStr">
        <is>
          <t>Index Points</t>
        </is>
      </c>
      <c r="E724" t="inlineStr">
        <is>
          <t>Original</t>
        </is>
      </c>
      <c r="F724" t="inlineStr">
        <is>
          <t>640103.xlsx</t>
        </is>
      </c>
      <c r="G724" t="inlineStr">
        <is>
          <t>2025-01</t>
        </is>
      </c>
      <c r="H724" t="inlineStr">
        <is>
          <t>2026-07</t>
        </is>
      </c>
      <c r="OM724" s="2">
        <v>0</v>
      </c>
      <c r="ON724" s="2">
        <v>0</v>
      </c>
      <c r="OO724" s="2">
        <v>0.03</v>
      </c>
      <c r="OP724" s="2">
        <v>0</v>
      </c>
      <c r="OQ724" s="2">
        <v>0</v>
      </c>
      <c r="OR724" s="2">
        <v>0.02</v>
      </c>
      <c r="OS724" s="2">
        <v>0</v>
      </c>
      <c r="OT724" s="2">
        <v>0</v>
      </c>
      <c r="OU724" s="2">
        <v>0.02</v>
      </c>
      <c r="OV724" s="2">
        <v>0</v>
      </c>
      <c r="OW724" s="2">
        <v>0</v>
      </c>
      <c r="OX724" s="2">
        <v>0.02</v>
      </c>
      <c r="PC724" s="2">
        <v>0</v>
      </c>
      <c r="PD724" s="2">
        <v>0</v>
      </c>
      <c r="PE724" s="2">
        <v>0.03</v>
      </c>
      <c r="PF724" s="2">
        <v>0</v>
      </c>
      <c r="PG724" s="2">
        <v>0</v>
      </c>
      <c r="PH724" s="2">
        <v>0.04</v>
      </c>
      <c r="PI724" s="2">
        <v>0</v>
      </c>
    </row>
    <row r="725">
      <c r="A725" t="inlineStr">
        <is>
          <t>A130393726T</t>
        </is>
      </c>
      <c r="B725" t="inlineStr">
        <is>
          <t>Contribution to All groups CPI Annual Percentage Points Change ;  All groups CPI ;  Australia ;</t>
        </is>
      </c>
      <c r="C725" t="inlineStr">
        <is>
          <t>Month</t>
        </is>
      </c>
      <c r="D725" t="inlineStr">
        <is>
          <t>% pts</t>
        </is>
      </c>
      <c r="E725" t="inlineStr">
        <is>
          <t>Original</t>
        </is>
      </c>
      <c r="F725" t="inlineStr">
        <is>
          <t>640104.xlsx</t>
        </is>
      </c>
      <c r="G725" t="inlineStr">
        <is>
          <t>2025-04</t>
        </is>
      </c>
      <c r="H725" t="inlineStr">
        <is>
          <t>2026-07</t>
        </is>
      </c>
      <c r="OP725" s="2">
        <v>2.3724</v>
      </c>
      <c r="OQ725" s="2">
        <v>2.1033</v>
      </c>
      <c r="OR725" s="2">
        <v>1.8883</v>
      </c>
      <c r="OS725" s="2">
        <v>2.9562</v>
      </c>
      <c r="OT725" s="2">
        <v>3.1708</v>
      </c>
      <c r="OU725" s="2">
        <v>3.5851</v>
      </c>
      <c r="OV725" s="2">
        <v>3.8176</v>
      </c>
      <c r="OW725" s="2">
        <v>3.445</v>
      </c>
      <c r="OX725" s="2">
        <v>3.763</v>
      </c>
      <c r="PC725" s="2">
        <v>3.841</v>
      </c>
      <c r="PD725" s="2">
        <v>3.7338</v>
      </c>
      <c r="PE725" s="2">
        <v>4.5792</v>
      </c>
      <c r="PF725" s="2">
        <v>4.1678</v>
      </c>
      <c r="PG725" s="2">
        <v>3.9683</v>
      </c>
      <c r="PH725" s="2">
        <v>3.7572</v>
      </c>
      <c r="PI725" s="2">
        <v>3.4527</v>
      </c>
    </row>
    <row r="726">
      <c r="A726" t="inlineStr">
        <is>
          <t>A130395483W</t>
        </is>
      </c>
      <c r="B726" t="inlineStr">
        <is>
          <t>Contribution to All groups CPI Annual Percentage Points Change ;  Food and non-alcoholic beverages ;  Australia ;</t>
        </is>
      </c>
      <c r="C726" t="inlineStr">
        <is>
          <t>Month</t>
        </is>
      </c>
      <c r="D726" t="inlineStr">
        <is>
          <t>% pts</t>
        </is>
      </c>
      <c r="E726" t="inlineStr">
        <is>
          <t>Original</t>
        </is>
      </c>
      <c r="F726" t="inlineStr">
        <is>
          <t>640104.xlsx</t>
        </is>
      </c>
      <c r="G726" t="inlineStr">
        <is>
          <t>2025-04</t>
        </is>
      </c>
      <c r="H726" t="inlineStr">
        <is>
          <t>2026-07</t>
        </is>
      </c>
      <c r="OP726" s="2">
        <v>0.5533</v>
      </c>
      <c r="OQ726" s="2">
        <v>0.4978</v>
      </c>
      <c r="OR726" s="2">
        <v>0.5967</v>
      </c>
      <c r="OS726" s="2">
        <v>0.5372</v>
      </c>
      <c r="OT726" s="2">
        <v>0.5211</v>
      </c>
      <c r="OU726" s="2">
        <v>0.5583</v>
      </c>
      <c r="OV726" s="2">
        <v>0.5610000000000001</v>
      </c>
      <c r="OW726" s="2">
        <v>0.5754</v>
      </c>
      <c r="OX726" s="2">
        <v>0.5979</v>
      </c>
      <c r="PC726" s="2">
        <v>0.5442</v>
      </c>
      <c r="PD726" s="2">
        <v>0.5422</v>
      </c>
      <c r="PE726" s="2">
        <v>0.5444</v>
      </c>
      <c r="PF726" s="2">
        <v>0.4848</v>
      </c>
      <c r="PG726" s="2">
        <v>0.5748</v>
      </c>
      <c r="PH726" s="2">
        <v>0.5743</v>
      </c>
      <c r="PI726" s="2">
        <v>0.554</v>
      </c>
    </row>
    <row r="727">
      <c r="A727" t="inlineStr">
        <is>
          <t>A130391710L</t>
        </is>
      </c>
      <c r="B727" t="inlineStr">
        <is>
          <t>Contribution to All groups CPI Annual Percentage Points Change ;  Bread and cereal products ;  Australia ;</t>
        </is>
      </c>
      <c r="C727" t="inlineStr">
        <is>
          <t>Month</t>
        </is>
      </c>
      <c r="D727" t="inlineStr">
        <is>
          <t>% pts</t>
        </is>
      </c>
      <c r="E727" t="inlineStr">
        <is>
          <t>Original</t>
        </is>
      </c>
      <c r="F727" t="inlineStr">
        <is>
          <t>640104.xlsx</t>
        </is>
      </c>
      <c r="G727" t="inlineStr">
        <is>
          <t>2025-04</t>
        </is>
      </c>
      <c r="H727" t="inlineStr">
        <is>
          <t>2026-07</t>
        </is>
      </c>
      <c r="OP727" s="2">
        <v>0.0397</v>
      </c>
      <c r="OQ727" s="2">
        <v>0.0293</v>
      </c>
      <c r="OR727" s="2">
        <v>0.0333</v>
      </c>
      <c r="OS727" s="2">
        <v>0.0303</v>
      </c>
      <c r="OT727" s="2">
        <v>0.0315</v>
      </c>
      <c r="OU727" s="2">
        <v>0.029</v>
      </c>
      <c r="OV727" s="2">
        <v>0.0104</v>
      </c>
      <c r="OW727" s="2">
        <v>0.018</v>
      </c>
      <c r="OX727" s="2">
        <v>0.023</v>
      </c>
      <c r="PC727" s="2">
        <v>0.0147</v>
      </c>
      <c r="PD727" s="2">
        <v>0.0156</v>
      </c>
      <c r="PE727" s="2">
        <v>0.008999999999999999</v>
      </c>
      <c r="PF727" s="2">
        <v>0.0108</v>
      </c>
      <c r="PG727" s="2">
        <v>0.0234</v>
      </c>
      <c r="PH727" s="2">
        <v>0.0358</v>
      </c>
      <c r="PI727" s="2">
        <v>0.0199</v>
      </c>
    </row>
    <row r="728">
      <c r="A728" t="inlineStr">
        <is>
          <t>A130393208T</t>
        </is>
      </c>
      <c r="B728" t="inlineStr">
        <is>
          <t>Contribution to All groups CPI Annual Percentage Points Change ;  Bread ;  Australia ;</t>
        </is>
      </c>
      <c r="C728" t="inlineStr">
        <is>
          <t>Month</t>
        </is>
      </c>
      <c r="D728" t="inlineStr">
        <is>
          <t>% pts</t>
        </is>
      </c>
      <c r="E728" t="inlineStr">
        <is>
          <t>Original</t>
        </is>
      </c>
      <c r="F728" t="inlineStr">
        <is>
          <t>640104.xlsx</t>
        </is>
      </c>
      <c r="G728" t="inlineStr">
        <is>
          <t>2025-04</t>
        </is>
      </c>
      <c r="H728" t="inlineStr">
        <is>
          <t>2026-07</t>
        </is>
      </c>
      <c r="OP728" s="2">
        <v>0.013</v>
      </c>
      <c r="OQ728" s="2">
        <v>0.0115</v>
      </c>
      <c r="OR728" s="2">
        <v>0.008699999999999999</v>
      </c>
      <c r="OS728" s="2">
        <v>0.0077</v>
      </c>
      <c r="OT728" s="2">
        <v>0.0091</v>
      </c>
      <c r="OU728" s="2">
        <v>0.0102</v>
      </c>
      <c r="OV728" s="2">
        <v>0.0064</v>
      </c>
      <c r="OW728" s="2">
        <v>0.0037</v>
      </c>
      <c r="OX728" s="2">
        <v>0.0023</v>
      </c>
      <c r="PC728" s="2">
        <v>0.0028</v>
      </c>
      <c r="PD728" s="2">
        <v>0.0044</v>
      </c>
      <c r="PE728" s="2">
        <v>0.0056</v>
      </c>
      <c r="PF728" s="2">
        <v>0.0069</v>
      </c>
      <c r="PG728" s="2">
        <v>0.0127</v>
      </c>
      <c r="PH728" s="2">
        <v>0.0162</v>
      </c>
      <c r="PI728" s="2">
        <v>0.0156</v>
      </c>
    </row>
    <row r="729">
      <c r="A729" t="inlineStr">
        <is>
          <t>A130399330F</t>
        </is>
      </c>
      <c r="B729" t="inlineStr">
        <is>
          <t>Contribution to All groups CPI Annual Percentage Points Change ;  Cakes and biscuits ;  Australia ;</t>
        </is>
      </c>
      <c r="C729" t="inlineStr">
        <is>
          <t>Month</t>
        </is>
      </c>
      <c r="D729" t="inlineStr">
        <is>
          <t>% pts</t>
        </is>
      </c>
      <c r="E729" t="inlineStr">
        <is>
          <t>Original</t>
        </is>
      </c>
      <c r="F729" t="inlineStr">
        <is>
          <t>640104.xlsx</t>
        </is>
      </c>
      <c r="G729" t="inlineStr">
        <is>
          <t>2025-04</t>
        </is>
      </c>
      <c r="H729" t="inlineStr">
        <is>
          <t>2026-07</t>
        </is>
      </c>
      <c r="OP729" s="2">
        <v>0.0258</v>
      </c>
      <c r="OQ729" s="2">
        <v>0.0179</v>
      </c>
      <c r="OR729" s="2">
        <v>0.0237</v>
      </c>
      <c r="OS729" s="2">
        <v>0.0231</v>
      </c>
      <c r="OT729" s="2">
        <v>0.0238</v>
      </c>
      <c r="OU729" s="2">
        <v>0.0201</v>
      </c>
      <c r="OV729" s="2">
        <v>0.0038</v>
      </c>
      <c r="OW729" s="2">
        <v>0.0101</v>
      </c>
      <c r="OX729" s="2">
        <v>0.0154</v>
      </c>
      <c r="PC729" s="2">
        <v>0.012</v>
      </c>
      <c r="PD729" s="2">
        <v>0.008</v>
      </c>
      <c r="PE729" s="2">
        <v>0.0034</v>
      </c>
      <c r="PF729" s="2">
        <v>0.0005999999999999999</v>
      </c>
      <c r="PG729" s="2">
        <v>0.0086</v>
      </c>
      <c r="PH729" s="2">
        <v>0.0122</v>
      </c>
      <c r="PI729" s="2">
        <v>0.0021</v>
      </c>
    </row>
    <row r="730">
      <c r="A730" t="inlineStr">
        <is>
          <t>A130393229C</t>
        </is>
      </c>
      <c r="B730" t="inlineStr">
        <is>
          <t>Contribution to All groups CPI Annual Percentage Points Change ;  Breakfast cereals ;  Australia ;</t>
        </is>
      </c>
      <c r="C730" t="inlineStr">
        <is>
          <t>Month</t>
        </is>
      </c>
      <c r="D730" t="inlineStr">
        <is>
          <t>% pts</t>
        </is>
      </c>
      <c r="E730" t="inlineStr">
        <is>
          <t>Original</t>
        </is>
      </c>
      <c r="F730" t="inlineStr">
        <is>
          <t>640104.xlsx</t>
        </is>
      </c>
      <c r="G730" t="inlineStr">
        <is>
          <t>2025-04</t>
        </is>
      </c>
      <c r="H730" t="inlineStr">
        <is>
          <t>2026-07</t>
        </is>
      </c>
      <c r="OP730" s="2">
        <v>0.0009</v>
      </c>
      <c r="OQ730" s="2">
        <v>0.0007</v>
      </c>
      <c r="OR730" s="2">
        <v>0.0023</v>
      </c>
      <c r="OS730" s="2">
        <v>0.0022</v>
      </c>
      <c r="OT730" s="2">
        <v>-0.0011</v>
      </c>
      <c r="OU730" s="2">
        <v>-0.0009</v>
      </c>
      <c r="OV730" s="2">
        <v>0.0031</v>
      </c>
      <c r="OW730" s="2">
        <v>0.0042</v>
      </c>
      <c r="OX730" s="2">
        <v>0.0069</v>
      </c>
      <c r="PC730" s="2">
        <v>0.0024</v>
      </c>
      <c r="PD730" s="2">
        <v>0.0043</v>
      </c>
      <c r="PE730" s="2">
        <v>0.005</v>
      </c>
      <c r="PF730" s="2">
        <v>0.0036</v>
      </c>
      <c r="PG730" s="2">
        <v>0.0034</v>
      </c>
      <c r="PH730" s="2">
        <v>0.0045</v>
      </c>
      <c r="PI730" s="2">
        <v>0.0032</v>
      </c>
    </row>
    <row r="731">
      <c r="A731" t="inlineStr">
        <is>
          <t>A130398067R</t>
        </is>
      </c>
      <c r="B731" t="inlineStr">
        <is>
          <t>Contribution to All groups CPI Annual Percentage Points Change ;  Other cereal products ;  Australia ;</t>
        </is>
      </c>
      <c r="C731" t="inlineStr">
        <is>
          <t>Month</t>
        </is>
      </c>
      <c r="D731" t="inlineStr">
        <is>
          <t>% pts</t>
        </is>
      </c>
      <c r="E731" t="inlineStr">
        <is>
          <t>Original</t>
        </is>
      </c>
      <c r="F731" t="inlineStr">
        <is>
          <t>640104.xlsx</t>
        </is>
      </c>
      <c r="G731" t="inlineStr">
        <is>
          <t>2025-04</t>
        </is>
      </c>
      <c r="H731" t="inlineStr">
        <is>
          <t>2026-07</t>
        </is>
      </c>
      <c r="OP731" s="2">
        <v>-0.0001</v>
      </c>
      <c r="OQ731" s="2">
        <v>-0.0008</v>
      </c>
      <c r="OR731" s="2">
        <v>-0.0015</v>
      </c>
      <c r="OS731" s="2">
        <v>-0.0027</v>
      </c>
      <c r="OT731" s="2">
        <v>-0.0003</v>
      </c>
      <c r="OU731" s="2">
        <v>-0.0005</v>
      </c>
      <c r="OV731" s="2">
        <v>-0.0029</v>
      </c>
      <c r="OW731" s="2">
        <v>0</v>
      </c>
      <c r="OX731" s="2">
        <v>-0.0016</v>
      </c>
      <c r="PC731" s="2">
        <v>-0.0025</v>
      </c>
      <c r="PD731" s="2">
        <v>-0.0011</v>
      </c>
      <c r="PE731" s="2">
        <v>-0.005</v>
      </c>
      <c r="PF731" s="2">
        <v>-0.0003</v>
      </c>
      <c r="PG731" s="2">
        <v>-0.0012</v>
      </c>
      <c r="PH731" s="2">
        <v>0.0029</v>
      </c>
      <c r="PI731" s="2">
        <v>-0.0009</v>
      </c>
    </row>
    <row r="732">
      <c r="A732" t="inlineStr">
        <is>
          <t>A130394370J</t>
        </is>
      </c>
      <c r="B732" t="inlineStr">
        <is>
          <t>Contribution to All groups CPI Annual Percentage Points Change ;  Meat and seafoods ;  Australia ;</t>
        </is>
      </c>
      <c r="C732" t="inlineStr">
        <is>
          <t>Month</t>
        </is>
      </c>
      <c r="D732" t="inlineStr">
        <is>
          <t>% pts</t>
        </is>
      </c>
      <c r="E732" t="inlineStr">
        <is>
          <t>Original</t>
        </is>
      </c>
      <c r="F732" t="inlineStr">
        <is>
          <t>640104.xlsx</t>
        </is>
      </c>
      <c r="G732" t="inlineStr">
        <is>
          <t>2025-04</t>
        </is>
      </c>
      <c r="H732" t="inlineStr">
        <is>
          <t>2026-07</t>
        </is>
      </c>
      <c r="OP732" s="2">
        <v>0.053</v>
      </c>
      <c r="OQ732" s="2">
        <v>0.0644</v>
      </c>
      <c r="OR732" s="2">
        <v>0.07000000000000001</v>
      </c>
      <c r="OS732" s="2">
        <v>0.0496</v>
      </c>
      <c r="OT732" s="2">
        <v>0.0614</v>
      </c>
      <c r="OU732" s="2">
        <v>0.0717</v>
      </c>
      <c r="OV732" s="2">
        <v>0.08260000000000001</v>
      </c>
      <c r="OW732" s="2">
        <v>0.08400000000000001</v>
      </c>
      <c r="OX732" s="2">
        <v>0.09370000000000001</v>
      </c>
      <c r="PC732" s="2">
        <v>0.0844</v>
      </c>
      <c r="PD732" s="2">
        <v>0.0961</v>
      </c>
      <c r="PE732" s="2">
        <v>0.1018</v>
      </c>
      <c r="PF732" s="2">
        <v>0.1064</v>
      </c>
      <c r="PG732" s="2">
        <v>0.1145</v>
      </c>
      <c r="PH732" s="2">
        <v>0.1146</v>
      </c>
      <c r="PI732" s="2">
        <v>0.1169</v>
      </c>
    </row>
    <row r="733">
      <c r="A733" t="inlineStr">
        <is>
          <t>A130393250W</t>
        </is>
      </c>
      <c r="B733" t="inlineStr">
        <is>
          <t>Contribution to All groups CPI Annual Percentage Points Change ;  Beef and veal ;  Australia ;</t>
        </is>
      </c>
      <c r="C733" t="inlineStr">
        <is>
          <t>Month</t>
        </is>
      </c>
      <c r="D733" t="inlineStr">
        <is>
          <t>% pts</t>
        </is>
      </c>
      <c r="E733" t="inlineStr">
        <is>
          <t>Original</t>
        </is>
      </c>
      <c r="F733" t="inlineStr">
        <is>
          <t>640104.xlsx</t>
        </is>
      </c>
      <c r="G733" t="inlineStr">
        <is>
          <t>2025-04</t>
        </is>
      </c>
      <c r="H733" t="inlineStr">
        <is>
          <t>2026-07</t>
        </is>
      </c>
      <c r="OP733" s="2">
        <v>0.0174</v>
      </c>
      <c r="OQ733" s="2">
        <v>0.0154</v>
      </c>
      <c r="OR733" s="2">
        <v>0.0254</v>
      </c>
      <c r="OS733" s="2">
        <v>0.0213</v>
      </c>
      <c r="OT733" s="2">
        <v>0.0254</v>
      </c>
      <c r="OU733" s="2">
        <v>0.031</v>
      </c>
      <c r="OV733" s="2">
        <v>0.0445</v>
      </c>
      <c r="OW733" s="2">
        <v>0.0481</v>
      </c>
      <c r="OX733" s="2">
        <v>0.0456</v>
      </c>
      <c r="PC733" s="2">
        <v>0.0478</v>
      </c>
      <c r="PD733" s="2">
        <v>0.0569</v>
      </c>
      <c r="PE733" s="2">
        <v>0.0508</v>
      </c>
      <c r="PF733" s="2">
        <v>0.0506</v>
      </c>
      <c r="PG733" s="2">
        <v>0.0567</v>
      </c>
      <c r="PH733" s="2">
        <v>0.0518</v>
      </c>
      <c r="PI733" s="2">
        <v>0.0535</v>
      </c>
    </row>
    <row r="734">
      <c r="A734" t="inlineStr">
        <is>
          <t>A130395343V</t>
        </is>
      </c>
      <c r="B734" t="inlineStr">
        <is>
          <t>Contribution to All groups CPI Annual Percentage Points Change ;  Pork ;  Australia ;</t>
        </is>
      </c>
      <c r="C734" t="inlineStr">
        <is>
          <t>Month</t>
        </is>
      </c>
      <c r="D734" t="inlineStr">
        <is>
          <t>% pts</t>
        </is>
      </c>
      <c r="E734" t="inlineStr">
        <is>
          <t>Original</t>
        </is>
      </c>
      <c r="F734" t="inlineStr">
        <is>
          <t>640104.xlsx</t>
        </is>
      </c>
      <c r="G734" t="inlineStr">
        <is>
          <t>2025-04</t>
        </is>
      </c>
      <c r="H734" t="inlineStr">
        <is>
          <t>2026-07</t>
        </is>
      </c>
      <c r="OP734" s="2">
        <v>0.0064</v>
      </c>
      <c r="OQ734" s="2">
        <v>0.009299999999999999</v>
      </c>
      <c r="OR734" s="2">
        <v>0.009299999999999999</v>
      </c>
      <c r="OS734" s="2">
        <v>0.009299999999999999</v>
      </c>
      <c r="OT734" s="2">
        <v>0.0094</v>
      </c>
      <c r="OU734" s="2">
        <v>0.008999999999999999</v>
      </c>
      <c r="OV734" s="2">
        <v>0.0038</v>
      </c>
      <c r="OW734" s="2">
        <v>0.0034</v>
      </c>
      <c r="OX734" s="2">
        <v>0.0019</v>
      </c>
      <c r="PC734" s="2">
        <v>0.0014</v>
      </c>
      <c r="PD734" s="2">
        <v>0.0014</v>
      </c>
      <c r="PE734" s="2">
        <v>-0.0003</v>
      </c>
      <c r="PF734" s="2">
        <v>0.0046</v>
      </c>
      <c r="PG734" s="2">
        <v>0.0035</v>
      </c>
      <c r="PH734" s="2">
        <v>0.0066</v>
      </c>
      <c r="PI734" s="2">
        <v>0.0035</v>
      </c>
    </row>
    <row r="735">
      <c r="A735" t="inlineStr">
        <is>
          <t>A130399379V</t>
        </is>
      </c>
      <c r="B735" t="inlineStr">
        <is>
          <t>Contribution to All groups CPI Annual Percentage Points Change ;  Lamb and goat ;  Australia ;</t>
        </is>
      </c>
      <c r="C735" t="inlineStr">
        <is>
          <t>Month</t>
        </is>
      </c>
      <c r="D735" t="inlineStr">
        <is>
          <t>% pts</t>
        </is>
      </c>
      <c r="E735" t="inlineStr">
        <is>
          <t>Original</t>
        </is>
      </c>
      <c r="F735" t="inlineStr">
        <is>
          <t>640104.xlsx</t>
        </is>
      </c>
      <c r="G735" t="inlineStr">
        <is>
          <t>2025-04</t>
        </is>
      </c>
      <c r="H735" t="inlineStr">
        <is>
          <t>2026-07</t>
        </is>
      </c>
      <c r="OP735" s="2">
        <v>0.028</v>
      </c>
      <c r="OQ735" s="2">
        <v>0.0285</v>
      </c>
      <c r="OR735" s="2">
        <v>0.0244</v>
      </c>
      <c r="OS735" s="2">
        <v>0.0191</v>
      </c>
      <c r="OT735" s="2">
        <v>0.0215</v>
      </c>
      <c r="OU735" s="2">
        <v>0.0314</v>
      </c>
      <c r="OV735" s="2">
        <v>0.0356</v>
      </c>
      <c r="OW735" s="2">
        <v>0.03</v>
      </c>
      <c r="OX735" s="2">
        <v>0.0323</v>
      </c>
      <c r="PC735" s="2">
        <v>0.0254</v>
      </c>
      <c r="PD735" s="2">
        <v>0.0315</v>
      </c>
      <c r="PE735" s="2">
        <v>0.0375</v>
      </c>
      <c r="PF735" s="2">
        <v>0.035</v>
      </c>
      <c r="PG735" s="2">
        <v>0.0362</v>
      </c>
      <c r="PH735" s="2">
        <v>0.0361</v>
      </c>
      <c r="PI735" s="2">
        <v>0.0347</v>
      </c>
    </row>
    <row r="736">
      <c r="A736" t="inlineStr">
        <is>
          <t>A130391927A</t>
        </is>
      </c>
      <c r="B736" t="inlineStr">
        <is>
          <t>Contribution to All groups CPI Annual Percentage Points Change ;  Poultry ;  Australia ;</t>
        </is>
      </c>
      <c r="C736" t="inlineStr">
        <is>
          <t>Month</t>
        </is>
      </c>
      <c r="D736" t="inlineStr">
        <is>
          <t>% pts</t>
        </is>
      </c>
      <c r="E736" t="inlineStr">
        <is>
          <t>Original</t>
        </is>
      </c>
      <c r="F736" t="inlineStr">
        <is>
          <t>640104.xlsx</t>
        </is>
      </c>
      <c r="G736" t="inlineStr">
        <is>
          <t>2025-04</t>
        </is>
      </c>
      <c r="H736" t="inlineStr">
        <is>
          <t>2026-07</t>
        </is>
      </c>
      <c r="OP736" s="2">
        <v>0.0045</v>
      </c>
      <c r="OQ736" s="2">
        <v>0.0044</v>
      </c>
      <c r="OR736" s="2">
        <v>0.0049</v>
      </c>
      <c r="OS736" s="2">
        <v>-0.0024</v>
      </c>
      <c r="OT736" s="2">
        <v>-0.0017</v>
      </c>
      <c r="OU736" s="2">
        <v>-0.0017</v>
      </c>
      <c r="OV736" s="2">
        <v>-0.0047</v>
      </c>
      <c r="OW736" s="2">
        <v>-0.0034</v>
      </c>
      <c r="OX736" s="2">
        <v>0.0007</v>
      </c>
      <c r="PC736" s="2">
        <v>-0.0049</v>
      </c>
      <c r="PD736" s="2">
        <v>-0.0028</v>
      </c>
      <c r="PE736" s="2">
        <v>0.0007</v>
      </c>
      <c r="PF736" s="2">
        <v>0.0042</v>
      </c>
      <c r="PG736" s="2">
        <v>0.0043</v>
      </c>
      <c r="PH736" s="2">
        <v>0.008500000000000001</v>
      </c>
      <c r="PI736" s="2">
        <v>0.0057</v>
      </c>
    </row>
    <row r="737">
      <c r="A737" t="inlineStr">
        <is>
          <t>A130391934X</t>
        </is>
      </c>
      <c r="B737" t="inlineStr">
        <is>
          <t>Contribution to All groups CPI Annual Percentage Points Change ;  Other meats ;  Australia ;</t>
        </is>
      </c>
      <c r="C737" t="inlineStr">
        <is>
          <t>Month</t>
        </is>
      </c>
      <c r="D737" t="inlineStr">
        <is>
          <t>% pts</t>
        </is>
      </c>
      <c r="E737" t="inlineStr">
        <is>
          <t>Original</t>
        </is>
      </c>
      <c r="F737" t="inlineStr">
        <is>
          <t>640104.xlsx</t>
        </is>
      </c>
      <c r="G737" t="inlineStr">
        <is>
          <t>2025-04</t>
        </is>
      </c>
      <c r="H737" t="inlineStr">
        <is>
          <t>2026-07</t>
        </is>
      </c>
      <c r="OP737" s="2">
        <v>0.0036</v>
      </c>
      <c r="OQ737" s="2">
        <v>0.0053</v>
      </c>
      <c r="OR737" s="2">
        <v>0.0051</v>
      </c>
      <c r="OS737" s="2">
        <v>0.0033</v>
      </c>
      <c r="OT737" s="2">
        <v>0.0076</v>
      </c>
      <c r="OU737" s="2">
        <v>0.0037</v>
      </c>
      <c r="OV737" s="2">
        <v>0.0032</v>
      </c>
      <c r="OW737" s="2">
        <v>0.0057</v>
      </c>
      <c r="OX737" s="2">
        <v>0.008500000000000001</v>
      </c>
      <c r="PC737" s="2">
        <v>0.0075</v>
      </c>
      <c r="PD737" s="2">
        <v>0.0034</v>
      </c>
      <c r="PE737" s="2">
        <v>0.0065</v>
      </c>
      <c r="PF737" s="2">
        <v>0.0068</v>
      </c>
      <c r="PG737" s="2">
        <v>0.009299999999999999</v>
      </c>
      <c r="PH737" s="2">
        <v>0.0108</v>
      </c>
      <c r="PI737" s="2">
        <v>0.0124</v>
      </c>
    </row>
    <row r="738">
      <c r="A738" t="inlineStr">
        <is>
          <t>A130390604R</t>
        </is>
      </c>
      <c r="B738" t="inlineStr">
        <is>
          <t>Contribution to All groups CPI Annual Percentage Points Change ;  Fish and other seafood ;  Australia ;</t>
        </is>
      </c>
      <c r="C738" t="inlineStr">
        <is>
          <t>Month</t>
        </is>
      </c>
      <c r="D738" t="inlineStr">
        <is>
          <t>% pts</t>
        </is>
      </c>
      <c r="E738" t="inlineStr">
        <is>
          <t>Original</t>
        </is>
      </c>
      <c r="F738" t="inlineStr">
        <is>
          <t>640104.xlsx</t>
        </is>
      </c>
      <c r="G738" t="inlineStr">
        <is>
          <t>2025-04</t>
        </is>
      </c>
      <c r="H738" t="inlineStr">
        <is>
          <t>2026-07</t>
        </is>
      </c>
      <c r="OP738" s="2">
        <v>-0.0069</v>
      </c>
      <c r="OQ738" s="2">
        <v>0.0016</v>
      </c>
      <c r="OR738" s="2">
        <v>0.0009</v>
      </c>
      <c r="OS738" s="2">
        <v>-0.0011</v>
      </c>
      <c r="OT738" s="2">
        <v>-0.0009</v>
      </c>
      <c r="OU738" s="2">
        <v>-0.0017</v>
      </c>
      <c r="OV738" s="2">
        <v>0.0003</v>
      </c>
      <c r="OW738" s="2">
        <v>0.0001</v>
      </c>
      <c r="OX738" s="2">
        <v>0.0047</v>
      </c>
      <c r="PC738" s="2">
        <v>0.0072</v>
      </c>
      <c r="PD738" s="2">
        <v>0.0056</v>
      </c>
      <c r="PE738" s="2">
        <v>0.0066</v>
      </c>
      <c r="PF738" s="2">
        <v>0.0052</v>
      </c>
      <c r="PG738" s="2">
        <v>0.0046</v>
      </c>
      <c r="PH738" s="2">
        <v>0.0009</v>
      </c>
      <c r="PI738" s="2">
        <v>0.007</v>
      </c>
    </row>
    <row r="739">
      <c r="A739" t="inlineStr">
        <is>
          <t>A130393040X</t>
        </is>
      </c>
      <c r="B739" t="inlineStr">
        <is>
          <t>Contribution to All groups CPI Annual Percentage Points Change ;  Dairy and related products ;  Australia ;</t>
        </is>
      </c>
      <c r="C739" t="inlineStr">
        <is>
          <t>Month</t>
        </is>
      </c>
      <c r="D739" t="inlineStr">
        <is>
          <t>% pts</t>
        </is>
      </c>
      <c r="E739" t="inlineStr">
        <is>
          <t>Original</t>
        </is>
      </c>
      <c r="F739" t="inlineStr">
        <is>
          <t>640104.xlsx</t>
        </is>
      </c>
      <c r="G739" t="inlineStr">
        <is>
          <t>2025-04</t>
        </is>
      </c>
      <c r="H739" t="inlineStr">
        <is>
          <t>2026-07</t>
        </is>
      </c>
      <c r="OP739" s="2">
        <v>0.0011</v>
      </c>
      <c r="OQ739" s="2">
        <v>0.0008</v>
      </c>
      <c r="OR739" s="2">
        <v>0.0029</v>
      </c>
      <c r="OS739" s="2">
        <v>0.0023</v>
      </c>
      <c r="OT739" s="2">
        <v>0.014</v>
      </c>
      <c r="OU739" s="2">
        <v>0.0275</v>
      </c>
      <c r="OV739" s="2">
        <v>0.0318</v>
      </c>
      <c r="OW739" s="2">
        <v>0.0337</v>
      </c>
      <c r="OX739" s="2">
        <v>0.0315</v>
      </c>
      <c r="PC739" s="2">
        <v>0.0281</v>
      </c>
      <c r="PD739" s="2">
        <v>0.029</v>
      </c>
      <c r="PE739" s="2">
        <v>0.0272</v>
      </c>
      <c r="PF739" s="2">
        <v>0.0247</v>
      </c>
      <c r="PG739" s="2">
        <v>0.055</v>
      </c>
      <c r="PH739" s="2">
        <v>0.0675</v>
      </c>
      <c r="PI739" s="2">
        <v>0.07000000000000001</v>
      </c>
    </row>
    <row r="740">
      <c r="A740" t="inlineStr">
        <is>
          <t>A130391850R</t>
        </is>
      </c>
      <c r="B740" t="inlineStr">
        <is>
          <t>Contribution to All groups CPI Annual Percentage Points Change ;  Milk ;  Australia ;</t>
        </is>
      </c>
      <c r="C740" t="inlineStr">
        <is>
          <t>Month</t>
        </is>
      </c>
      <c r="D740" t="inlineStr">
        <is>
          <t>% pts</t>
        </is>
      </c>
      <c r="E740" t="inlineStr">
        <is>
          <t>Original</t>
        </is>
      </c>
      <c r="F740" t="inlineStr">
        <is>
          <t>640104.xlsx</t>
        </is>
      </c>
      <c r="G740" t="inlineStr">
        <is>
          <t>2025-04</t>
        </is>
      </c>
      <c r="H740" t="inlineStr">
        <is>
          <t>2026-07</t>
        </is>
      </c>
      <c r="OP740" s="2">
        <v>-0.0011</v>
      </c>
      <c r="OQ740" s="2">
        <v>-0.0009</v>
      </c>
      <c r="OR740" s="2">
        <v>0.0018</v>
      </c>
      <c r="OS740" s="2">
        <v>0.0015</v>
      </c>
      <c r="OT740" s="2">
        <v>0.006</v>
      </c>
      <c r="OU740" s="2">
        <v>0.0095</v>
      </c>
      <c r="OV740" s="2">
        <v>0.0139</v>
      </c>
      <c r="OW740" s="2">
        <v>0.0175</v>
      </c>
      <c r="OX740" s="2">
        <v>0.0165</v>
      </c>
      <c r="PC740" s="2">
        <v>0.0165</v>
      </c>
      <c r="PD740" s="2">
        <v>0.0151</v>
      </c>
      <c r="PE740" s="2">
        <v>0.0166</v>
      </c>
      <c r="PF740" s="2">
        <v>0.0163</v>
      </c>
      <c r="PG740" s="2">
        <v>0.0381</v>
      </c>
      <c r="PH740" s="2">
        <v>0.037</v>
      </c>
      <c r="PI740" s="2">
        <v>0.039</v>
      </c>
    </row>
    <row r="741">
      <c r="A741" t="inlineStr">
        <is>
          <t>A130390541T</t>
        </is>
      </c>
      <c r="B741" t="inlineStr">
        <is>
          <t>Contribution to All groups CPI Annual Percentage Points Change ;  Cheese ;  Australia ;</t>
        </is>
      </c>
      <c r="C741" t="inlineStr">
        <is>
          <t>Month</t>
        </is>
      </c>
      <c r="D741" t="inlineStr">
        <is>
          <t>% pts</t>
        </is>
      </c>
      <c r="E741" t="inlineStr">
        <is>
          <t>Original</t>
        </is>
      </c>
      <c r="F741" t="inlineStr">
        <is>
          <t>640104.xlsx</t>
        </is>
      </c>
      <c r="G741" t="inlineStr">
        <is>
          <t>2025-04</t>
        </is>
      </c>
      <c r="H741" t="inlineStr">
        <is>
          <t>2026-07</t>
        </is>
      </c>
      <c r="OP741" s="2">
        <v>0.001</v>
      </c>
      <c r="OQ741" s="2">
        <v>0.0025</v>
      </c>
      <c r="OR741" s="2">
        <v>0.0018</v>
      </c>
      <c r="OS741" s="2">
        <v>-0.001</v>
      </c>
      <c r="OT741" s="2">
        <v>0.0033</v>
      </c>
      <c r="OU741" s="2">
        <v>0.0047</v>
      </c>
      <c r="OV741" s="2">
        <v>0.0054</v>
      </c>
      <c r="OW741" s="2">
        <v>0.001</v>
      </c>
      <c r="OX741" s="2">
        <v>0.0016</v>
      </c>
      <c r="PC741" s="2">
        <v>0.0005</v>
      </c>
      <c r="PD741" s="2">
        <v>-0.0004</v>
      </c>
      <c r="PE741" s="2">
        <v>-0.0043</v>
      </c>
      <c r="PF741" s="2">
        <v>-0.0048</v>
      </c>
      <c r="PG741" s="2">
        <v>0.0003</v>
      </c>
      <c r="PH741" s="2">
        <v>0.0071</v>
      </c>
      <c r="PI741" s="2">
        <v>0.008</v>
      </c>
    </row>
    <row r="742">
      <c r="A742" t="inlineStr">
        <is>
          <t>A130393201A</t>
        </is>
      </c>
      <c r="B742" t="inlineStr">
        <is>
          <t>Contribution to All groups CPI Annual Percentage Points Change ;  Ice cream and other dairy products ;  Australia ;</t>
        </is>
      </c>
      <c r="C742" t="inlineStr">
        <is>
          <t>Month</t>
        </is>
      </c>
      <c r="D742" t="inlineStr">
        <is>
          <t>% pts</t>
        </is>
      </c>
      <c r="E742" t="inlineStr">
        <is>
          <t>Original</t>
        </is>
      </c>
      <c r="F742" t="inlineStr">
        <is>
          <t>640104.xlsx</t>
        </is>
      </c>
      <c r="G742" t="inlineStr">
        <is>
          <t>2025-04</t>
        </is>
      </c>
      <c r="H742" t="inlineStr">
        <is>
          <t>2026-07</t>
        </is>
      </c>
      <c r="OP742" s="2">
        <v>0.0012</v>
      </c>
      <c r="OQ742" s="2">
        <v>-0.0009</v>
      </c>
      <c r="OR742" s="2">
        <v>-0.0007</v>
      </c>
      <c r="OS742" s="2">
        <v>0.0018</v>
      </c>
      <c r="OT742" s="2">
        <v>0.0048</v>
      </c>
      <c r="OU742" s="2">
        <v>0.0133</v>
      </c>
      <c r="OV742" s="2">
        <v>0.0125</v>
      </c>
      <c r="OW742" s="2">
        <v>0.0153</v>
      </c>
      <c r="OX742" s="2">
        <v>0.0134</v>
      </c>
      <c r="PC742" s="2">
        <v>0.0111</v>
      </c>
      <c r="PD742" s="2">
        <v>0.0143</v>
      </c>
      <c r="PE742" s="2">
        <v>0.0149</v>
      </c>
      <c r="PF742" s="2">
        <v>0.0132</v>
      </c>
      <c r="PG742" s="2">
        <v>0.0166</v>
      </c>
      <c r="PH742" s="2">
        <v>0.0235</v>
      </c>
      <c r="PI742" s="2">
        <v>0.023</v>
      </c>
    </row>
    <row r="743">
      <c r="A743" t="inlineStr">
        <is>
          <t>A130395098A</t>
        </is>
      </c>
      <c r="B743" t="inlineStr">
        <is>
          <t>Contribution to All groups CPI Annual Percentage Points Change ;  Fruit and vegetables ;  Australia ;</t>
        </is>
      </c>
      <c r="C743" t="inlineStr">
        <is>
          <t>Month</t>
        </is>
      </c>
      <c r="D743" t="inlineStr">
        <is>
          <t>% pts</t>
        </is>
      </c>
      <c r="E743" t="inlineStr">
        <is>
          <t>Original</t>
        </is>
      </c>
      <c r="F743" t="inlineStr">
        <is>
          <t>640104.xlsx</t>
        </is>
      </c>
      <c r="G743" t="inlineStr">
        <is>
          <t>2025-04</t>
        </is>
      </c>
      <c r="H743" t="inlineStr">
        <is>
          <t>2026-07</t>
        </is>
      </c>
      <c r="OP743" s="2">
        <v>0.1247</v>
      </c>
      <c r="OQ743" s="2">
        <v>0.0581</v>
      </c>
      <c r="OR743" s="2">
        <v>0.1019</v>
      </c>
      <c r="OS743" s="2">
        <v>0.1014</v>
      </c>
      <c r="OT743" s="2">
        <v>0.0229</v>
      </c>
      <c r="OU743" s="2">
        <v>0.0133</v>
      </c>
      <c r="OV743" s="2">
        <v>0.036</v>
      </c>
      <c r="OW743" s="2">
        <v>0.0545</v>
      </c>
      <c r="OX743" s="2">
        <v>0.0798</v>
      </c>
      <c r="PC743" s="2">
        <v>0.0294</v>
      </c>
      <c r="PD743" s="2">
        <v>0.0397</v>
      </c>
      <c r="PE743" s="2">
        <v>0.0384</v>
      </c>
      <c r="PF743" s="2">
        <v>0.0028</v>
      </c>
      <c r="PG743" s="2">
        <v>0.0425</v>
      </c>
      <c r="PH743" s="2">
        <v>0.0148</v>
      </c>
      <c r="PI743" s="2">
        <v>-0.0187</v>
      </c>
    </row>
    <row r="744">
      <c r="A744" t="inlineStr">
        <is>
          <t>A130392452A</t>
        </is>
      </c>
      <c r="B744" t="inlineStr">
        <is>
          <t>Contribution to All groups CPI Annual Percentage Points Change ;  Fruit ;  Australia ;</t>
        </is>
      </c>
      <c r="C744" t="inlineStr">
        <is>
          <t>Month</t>
        </is>
      </c>
      <c r="D744" t="inlineStr">
        <is>
          <t>% pts</t>
        </is>
      </c>
      <c r="E744" t="inlineStr">
        <is>
          <t>Original</t>
        </is>
      </c>
      <c r="F744" t="inlineStr">
        <is>
          <t>640104.xlsx</t>
        </is>
      </c>
      <c r="G744" t="inlineStr">
        <is>
          <t>2025-04</t>
        </is>
      </c>
      <c r="H744" t="inlineStr">
        <is>
          <t>2026-07</t>
        </is>
      </c>
      <c r="OP744" s="2">
        <v>0.0931</v>
      </c>
      <c r="OQ744" s="2">
        <v>0.0426</v>
      </c>
      <c r="OR744" s="2">
        <v>0.021</v>
      </c>
      <c r="OS744" s="2">
        <v>0.006</v>
      </c>
      <c r="OT744" s="2">
        <v>0.0151</v>
      </c>
      <c r="OU744" s="2">
        <v>0.0131</v>
      </c>
      <c r="OV744" s="2">
        <v>0.0222</v>
      </c>
      <c r="OW744" s="2">
        <v>0.0301</v>
      </c>
      <c r="OX744" s="2">
        <v>0.0379</v>
      </c>
      <c r="PC744" s="2">
        <v>0.0067</v>
      </c>
      <c r="PD744" s="2">
        <v>0.0342</v>
      </c>
      <c r="PE744" s="2">
        <v>0.0406</v>
      </c>
      <c r="PF744" s="2">
        <v>-0.0192</v>
      </c>
      <c r="PG744" s="2">
        <v>0.0398</v>
      </c>
      <c r="PH744" s="2">
        <v>0.06560000000000001</v>
      </c>
      <c r="PI744" s="2">
        <v>0.03</v>
      </c>
    </row>
    <row r="745">
      <c r="A745" t="inlineStr">
        <is>
          <t>A130397493L</t>
        </is>
      </c>
      <c r="B745" t="inlineStr">
        <is>
          <t>Contribution to All groups CPI Annual Percentage Points Change ;  Vegetables ;  Australia ;</t>
        </is>
      </c>
      <c r="C745" t="inlineStr">
        <is>
          <t>Month</t>
        </is>
      </c>
      <c r="D745" t="inlineStr">
        <is>
          <t>% pts</t>
        </is>
      </c>
      <c r="E745" t="inlineStr">
        <is>
          <t>Original</t>
        </is>
      </c>
      <c r="F745" t="inlineStr">
        <is>
          <t>640104.xlsx</t>
        </is>
      </c>
      <c r="G745" t="inlineStr">
        <is>
          <t>2025-04</t>
        </is>
      </c>
      <c r="H745" t="inlineStr">
        <is>
          <t>2026-07</t>
        </is>
      </c>
      <c r="OP745" s="2">
        <v>0.0316</v>
      </c>
      <c r="OQ745" s="2">
        <v>0.0156</v>
      </c>
      <c r="OR745" s="2">
        <v>0.081</v>
      </c>
      <c r="OS745" s="2">
        <v>0.0954</v>
      </c>
      <c r="OT745" s="2">
        <v>0.0077</v>
      </c>
      <c r="OU745" s="2">
        <v>0.0002</v>
      </c>
      <c r="OV745" s="2">
        <v>0.0137</v>
      </c>
      <c r="OW745" s="2">
        <v>0.0244</v>
      </c>
      <c r="OX745" s="2">
        <v>0.042</v>
      </c>
      <c r="PC745" s="2">
        <v>0.0226</v>
      </c>
      <c r="PD745" s="2">
        <v>0.0055</v>
      </c>
      <c r="PE745" s="2">
        <v>-0.0023</v>
      </c>
      <c r="PF745" s="2">
        <v>0.022</v>
      </c>
      <c r="PG745" s="2">
        <v>0.0027</v>
      </c>
      <c r="PH745" s="2">
        <v>-0.0508</v>
      </c>
      <c r="PI745" s="2">
        <v>-0.0487</v>
      </c>
    </row>
    <row r="746">
      <c r="A746" t="inlineStr">
        <is>
          <t>A130391486F</t>
        </is>
      </c>
      <c r="B746" t="inlineStr">
        <is>
          <t>Contribution to All groups CPI Annual Percentage Points Change ;  Food products n.e.c. ;  Australia ;</t>
        </is>
      </c>
      <c r="C746" t="inlineStr">
        <is>
          <t>Month</t>
        </is>
      </c>
      <c r="D746" t="inlineStr">
        <is>
          <t>% pts</t>
        </is>
      </c>
      <c r="E746" t="inlineStr">
        <is>
          <t>Original</t>
        </is>
      </c>
      <c r="F746" t="inlineStr">
        <is>
          <t>640104.xlsx</t>
        </is>
      </c>
      <c r="G746" t="inlineStr">
        <is>
          <t>2025-04</t>
        </is>
      </c>
      <c r="H746" t="inlineStr">
        <is>
          <t>2026-07</t>
        </is>
      </c>
      <c r="OP746" s="2">
        <v>0.0814</v>
      </c>
      <c r="OQ746" s="2">
        <v>0.0835</v>
      </c>
      <c r="OR746" s="2">
        <v>0.08400000000000001</v>
      </c>
      <c r="OS746" s="2">
        <v>0.0818</v>
      </c>
      <c r="OT746" s="2">
        <v>0.0929</v>
      </c>
      <c r="OU746" s="2">
        <v>0.09719999999999999</v>
      </c>
      <c r="OV746" s="2">
        <v>0.0859</v>
      </c>
      <c r="OW746" s="2">
        <v>0.0806</v>
      </c>
      <c r="OX746" s="2">
        <v>0.0725</v>
      </c>
      <c r="PC746" s="2">
        <v>0.06759999999999999</v>
      </c>
      <c r="PD746" s="2">
        <v>0.0712</v>
      </c>
      <c r="PE746" s="2">
        <v>0.067</v>
      </c>
      <c r="PF746" s="2">
        <v>0.0498</v>
      </c>
      <c r="PG746" s="2">
        <v>0.0362</v>
      </c>
      <c r="PH746" s="2">
        <v>0.0299</v>
      </c>
      <c r="PI746" s="2">
        <v>0.0215</v>
      </c>
    </row>
    <row r="747">
      <c r="A747" t="inlineStr">
        <is>
          <t>A130390625A</t>
        </is>
      </c>
      <c r="B747" t="inlineStr">
        <is>
          <t>Contribution to All groups CPI Annual Percentage Points Change ;  Eggs ;  Australia ;</t>
        </is>
      </c>
      <c r="C747" t="inlineStr">
        <is>
          <t>Month</t>
        </is>
      </c>
      <c r="D747" t="inlineStr">
        <is>
          <t>% pts</t>
        </is>
      </c>
      <c r="E747" t="inlineStr">
        <is>
          <t>Original</t>
        </is>
      </c>
      <c r="F747" t="inlineStr">
        <is>
          <t>640104.xlsx</t>
        </is>
      </c>
      <c r="G747" t="inlineStr">
        <is>
          <t>2025-04</t>
        </is>
      </c>
      <c r="H747" t="inlineStr">
        <is>
          <t>2026-07</t>
        </is>
      </c>
      <c r="OP747" s="2">
        <v>0.0227</v>
      </c>
      <c r="OQ747" s="2">
        <v>0.0237</v>
      </c>
      <c r="OR747" s="2">
        <v>0.0239</v>
      </c>
      <c r="OS747" s="2">
        <v>0.0223</v>
      </c>
      <c r="OT747" s="2">
        <v>0.0191</v>
      </c>
      <c r="OU747" s="2">
        <v>0.0114</v>
      </c>
      <c r="OV747" s="2">
        <v>0.008399999999999999</v>
      </c>
      <c r="OW747" s="2">
        <v>0.006</v>
      </c>
      <c r="OX747" s="2">
        <v>0.0042</v>
      </c>
      <c r="PC747" s="2">
        <v>0.0036</v>
      </c>
      <c r="PD747" s="2">
        <v>0.0045</v>
      </c>
      <c r="PE747" s="2">
        <v>0.0024</v>
      </c>
      <c r="PF747" s="2">
        <v>-0.0052</v>
      </c>
      <c r="PG747" s="2">
        <v>-0.006</v>
      </c>
      <c r="PH747" s="2">
        <v>-0.007900000000000001</v>
      </c>
      <c r="PI747" s="2">
        <v>-0.0075</v>
      </c>
    </row>
    <row r="748">
      <c r="A748" t="inlineStr">
        <is>
          <t>A130391969X</t>
        </is>
      </c>
      <c r="B748" t="inlineStr">
        <is>
          <t>Contribution to All groups CPI Annual Percentage Points Change ;  Jams, honey and spreads ;  Australia ;</t>
        </is>
      </c>
      <c r="C748" t="inlineStr">
        <is>
          <t>Month</t>
        </is>
      </c>
      <c r="D748" t="inlineStr">
        <is>
          <t>% pts</t>
        </is>
      </c>
      <c r="E748" t="inlineStr">
        <is>
          <t>Original</t>
        </is>
      </c>
      <c r="F748" t="inlineStr">
        <is>
          <t>640104.xlsx</t>
        </is>
      </c>
      <c r="G748" t="inlineStr">
        <is>
          <t>2025-04</t>
        </is>
      </c>
      <c r="H748" t="inlineStr">
        <is>
          <t>2026-07</t>
        </is>
      </c>
      <c r="OP748" s="2">
        <v>0.0019</v>
      </c>
      <c r="OQ748" s="2">
        <v>0.0017</v>
      </c>
      <c r="OR748" s="2">
        <v>0.0018</v>
      </c>
      <c r="OS748" s="2">
        <v>0.0023</v>
      </c>
      <c r="OT748" s="2">
        <v>0.0016</v>
      </c>
      <c r="OU748" s="2">
        <v>0.0042</v>
      </c>
      <c r="OV748" s="2">
        <v>0.0022</v>
      </c>
      <c r="OW748" s="2">
        <v>0.0029</v>
      </c>
      <c r="OX748" s="2">
        <v>0.0032</v>
      </c>
      <c r="PC748" s="2">
        <v>0.0041</v>
      </c>
      <c r="PD748" s="2">
        <v>0.0036</v>
      </c>
      <c r="PE748" s="2">
        <v>0.0042</v>
      </c>
      <c r="PF748" s="2">
        <v>0.0036</v>
      </c>
      <c r="PG748" s="2">
        <v>0.0041</v>
      </c>
      <c r="PH748" s="2">
        <v>0.003</v>
      </c>
      <c r="PI748" s="2">
        <v>0.0039</v>
      </c>
    </row>
    <row r="749">
      <c r="A749" t="inlineStr">
        <is>
          <t>A130392221T</t>
        </is>
      </c>
      <c r="B749" t="inlineStr">
        <is>
          <t>Contribution to All groups CPI Annual Percentage Points Change ;  Food additives and condiments ;  Australia ;</t>
        </is>
      </c>
      <c r="C749" t="inlineStr">
        <is>
          <t>Month</t>
        </is>
      </c>
      <c r="D749" t="inlineStr">
        <is>
          <t>% pts</t>
        </is>
      </c>
      <c r="E749" t="inlineStr">
        <is>
          <t>Original</t>
        </is>
      </c>
      <c r="F749" t="inlineStr">
        <is>
          <t>640104.xlsx</t>
        </is>
      </c>
      <c r="G749" t="inlineStr">
        <is>
          <t>2025-04</t>
        </is>
      </c>
      <c r="H749" t="inlineStr">
        <is>
          <t>2026-07</t>
        </is>
      </c>
      <c r="OP749" s="2">
        <v>0.0002</v>
      </c>
      <c r="OQ749" s="2">
        <v>0.0035</v>
      </c>
      <c r="OR749" s="2">
        <v>0.0025</v>
      </c>
      <c r="OS749" s="2">
        <v>0.0049</v>
      </c>
      <c r="OT749" s="2">
        <v>0.0046</v>
      </c>
      <c r="OU749" s="2">
        <v>0.0062</v>
      </c>
      <c r="OV749" s="2">
        <v>0.0064</v>
      </c>
      <c r="OW749" s="2">
        <v>0.0068</v>
      </c>
      <c r="OX749" s="2">
        <v>0.0035</v>
      </c>
      <c r="PC749" s="2">
        <v>0.0044</v>
      </c>
      <c r="PD749" s="2">
        <v>0.0025</v>
      </c>
      <c r="PE749" s="2">
        <v>0.0023</v>
      </c>
      <c r="PF749" s="2">
        <v>0.0045</v>
      </c>
      <c r="PG749" s="2">
        <v>0.0048</v>
      </c>
      <c r="PH749" s="2">
        <v>0.0036</v>
      </c>
      <c r="PI749" s="2">
        <v>0.0023</v>
      </c>
    </row>
    <row r="750">
      <c r="A750" t="inlineStr">
        <is>
          <t>A130394825T</t>
        </is>
      </c>
      <c r="B750" t="inlineStr">
        <is>
          <t>Contribution to All groups CPI Annual Percentage Points Change ;  Oils and fats ;  Australia ;</t>
        </is>
      </c>
      <c r="C750" t="inlineStr">
        <is>
          <t>Month</t>
        </is>
      </c>
      <c r="D750" t="inlineStr">
        <is>
          <t>% pts</t>
        </is>
      </c>
      <c r="E750" t="inlineStr">
        <is>
          <t>Original</t>
        </is>
      </c>
      <c r="F750" t="inlineStr">
        <is>
          <t>640104.xlsx</t>
        </is>
      </c>
      <c r="G750" t="inlineStr">
        <is>
          <t>2025-04</t>
        </is>
      </c>
      <c r="H750" t="inlineStr">
        <is>
          <t>2026-07</t>
        </is>
      </c>
      <c r="OP750" s="2">
        <v>0.002</v>
      </c>
      <c r="OQ750" s="2">
        <v>0.0012</v>
      </c>
      <c r="OR750" s="2">
        <v>-0.0041</v>
      </c>
      <c r="OS750" s="2">
        <v>-0.0039</v>
      </c>
      <c r="OT750" s="2">
        <v>-0.0034</v>
      </c>
      <c r="OU750" s="2">
        <v>0.0008</v>
      </c>
      <c r="OV750" s="2">
        <v>-0.0044</v>
      </c>
      <c r="OW750" s="2">
        <v>-0.0054</v>
      </c>
      <c r="OX750" s="2">
        <v>-0.0053</v>
      </c>
      <c r="PC750" s="2">
        <v>-0.0059</v>
      </c>
      <c r="PD750" s="2">
        <v>-0.0032</v>
      </c>
      <c r="PE750" s="2">
        <v>0.0004</v>
      </c>
      <c r="PF750" s="2">
        <v>-0.0005999999999999999</v>
      </c>
      <c r="PG750" s="2">
        <v>-0.0011</v>
      </c>
      <c r="PH750" s="2">
        <v>0.0059</v>
      </c>
      <c r="PI750" s="2">
        <v>0.0056</v>
      </c>
    </row>
    <row r="751">
      <c r="A751" t="inlineStr">
        <is>
          <t>A130396260F</t>
        </is>
      </c>
      <c r="B751" t="inlineStr">
        <is>
          <t>Contribution to All groups CPI Annual Percentage Points Change ;  Snacks and confectionery ;  Australia ;</t>
        </is>
      </c>
      <c r="C751" t="inlineStr">
        <is>
          <t>Month</t>
        </is>
      </c>
      <c r="D751" t="inlineStr">
        <is>
          <t>% pts</t>
        </is>
      </c>
      <c r="E751" t="inlineStr">
        <is>
          <t>Original</t>
        </is>
      </c>
      <c r="F751" t="inlineStr">
        <is>
          <t>640104.xlsx</t>
        </is>
      </c>
      <c r="G751" t="inlineStr">
        <is>
          <t>2025-04</t>
        </is>
      </c>
      <c r="H751" t="inlineStr">
        <is>
          <t>2026-07</t>
        </is>
      </c>
      <c r="OP751" s="2">
        <v>0.0491</v>
      </c>
      <c r="OQ751" s="2">
        <v>0.0477</v>
      </c>
      <c r="OR751" s="2">
        <v>0.0548</v>
      </c>
      <c r="OS751" s="2">
        <v>0.0508</v>
      </c>
      <c r="OT751" s="2">
        <v>0.06759999999999999</v>
      </c>
      <c r="OU751" s="2">
        <v>0.0698</v>
      </c>
      <c r="OV751" s="2">
        <v>0.0694</v>
      </c>
      <c r="OW751" s="2">
        <v>0.06469999999999999</v>
      </c>
      <c r="OX751" s="2">
        <v>0.0605</v>
      </c>
      <c r="PC751" s="2">
        <v>0.0542</v>
      </c>
      <c r="PD751" s="2">
        <v>0.0621</v>
      </c>
      <c r="PE751" s="2">
        <v>0.0537</v>
      </c>
      <c r="PF751" s="2">
        <v>0.0393</v>
      </c>
      <c r="PG751" s="2">
        <v>0.0286</v>
      </c>
      <c r="PH751" s="2">
        <v>0.0214</v>
      </c>
      <c r="PI751" s="2">
        <v>0.0141</v>
      </c>
    </row>
    <row r="752">
      <c r="A752" t="inlineStr">
        <is>
          <t>A130390653K</t>
        </is>
      </c>
      <c r="B752" t="inlineStr">
        <is>
          <t>Contribution to All groups CPI Annual Percentage Points Change ;  Other food products n.e.c. ;  Australia ;</t>
        </is>
      </c>
      <c r="C752" t="inlineStr">
        <is>
          <t>Month</t>
        </is>
      </c>
      <c r="D752" t="inlineStr">
        <is>
          <t>% pts</t>
        </is>
      </c>
      <c r="E752" t="inlineStr">
        <is>
          <t>Original</t>
        </is>
      </c>
      <c r="F752" t="inlineStr">
        <is>
          <t>640104.xlsx</t>
        </is>
      </c>
      <c r="G752" t="inlineStr">
        <is>
          <t>2025-04</t>
        </is>
      </c>
      <c r="H752" t="inlineStr">
        <is>
          <t>2026-07</t>
        </is>
      </c>
      <c r="OP752" s="2">
        <v>0.0054</v>
      </c>
      <c r="OQ752" s="2">
        <v>0.0057</v>
      </c>
      <c r="OR752" s="2">
        <v>0.005</v>
      </c>
      <c r="OS752" s="2">
        <v>0.0055</v>
      </c>
      <c r="OT752" s="2">
        <v>0.0033</v>
      </c>
      <c r="OU752" s="2">
        <v>0.0048</v>
      </c>
      <c r="OV752" s="2">
        <v>0.0038</v>
      </c>
      <c r="OW752" s="2">
        <v>0.0056</v>
      </c>
      <c r="OX752" s="2">
        <v>0.0065</v>
      </c>
      <c r="PC752" s="2">
        <v>0.0072</v>
      </c>
      <c r="PD752" s="2">
        <v>0.0016</v>
      </c>
      <c r="PE752" s="2">
        <v>0.0039</v>
      </c>
      <c r="PF752" s="2">
        <v>0.0083</v>
      </c>
      <c r="PG752" s="2">
        <v>0.0059</v>
      </c>
      <c r="PH752" s="2">
        <v>0.0038</v>
      </c>
      <c r="PI752" s="2">
        <v>0.0032</v>
      </c>
    </row>
    <row r="753">
      <c r="A753" t="inlineStr">
        <is>
          <t>A130390233R</t>
        </is>
      </c>
      <c r="B753" t="inlineStr">
        <is>
          <t>Contribution to All groups CPI Annual Percentage Points Change ;  Non-alcoholic beverages ;  Australia ;</t>
        </is>
      </c>
      <c r="C753" t="inlineStr">
        <is>
          <t>Month</t>
        </is>
      </c>
      <c r="D753" t="inlineStr">
        <is>
          <t>% pts</t>
        </is>
      </c>
      <c r="E753" t="inlineStr">
        <is>
          <t>Original</t>
        </is>
      </c>
      <c r="F753" t="inlineStr">
        <is>
          <t>640104.xlsx</t>
        </is>
      </c>
      <c r="G753" t="inlineStr">
        <is>
          <t>2025-04</t>
        </is>
      </c>
      <c r="H753" t="inlineStr">
        <is>
          <t>2026-07</t>
        </is>
      </c>
      <c r="OP753" s="2">
        <v>0.0473</v>
      </c>
      <c r="OQ753" s="2">
        <v>0.0634</v>
      </c>
      <c r="OR753" s="2">
        <v>0.0668</v>
      </c>
      <c r="OS753" s="2">
        <v>0.0693</v>
      </c>
      <c r="OT753" s="2">
        <v>0.06</v>
      </c>
      <c r="OU753" s="2">
        <v>0.06510000000000001</v>
      </c>
      <c r="OV753" s="2">
        <v>0.0585</v>
      </c>
      <c r="OW753" s="2">
        <v>0.0566</v>
      </c>
      <c r="OX753" s="2">
        <v>0.0487</v>
      </c>
      <c r="PC753" s="2">
        <v>0.0413</v>
      </c>
      <c r="PD753" s="2">
        <v>0.0248</v>
      </c>
      <c r="PE753" s="2">
        <v>0.027</v>
      </c>
      <c r="PF753" s="2">
        <v>0.0253</v>
      </c>
      <c r="PG753" s="2">
        <v>0.0187</v>
      </c>
      <c r="PH753" s="2">
        <v>0.0259</v>
      </c>
      <c r="PI753" s="2">
        <v>0.0247</v>
      </c>
    </row>
    <row r="754">
      <c r="A754" t="inlineStr">
        <is>
          <t>A130390646L</t>
        </is>
      </c>
      <c r="B754" t="inlineStr">
        <is>
          <t>Contribution to All groups CPI Annual Percentage Points Change ;  Coffee, tea and cocoa ;  Australia ;</t>
        </is>
      </c>
      <c r="C754" t="inlineStr">
        <is>
          <t>Month</t>
        </is>
      </c>
      <c r="D754" t="inlineStr">
        <is>
          <t>% pts</t>
        </is>
      </c>
      <c r="E754" t="inlineStr">
        <is>
          <t>Original</t>
        </is>
      </c>
      <c r="F754" t="inlineStr">
        <is>
          <t>640104.xlsx</t>
        </is>
      </c>
      <c r="G754" t="inlineStr">
        <is>
          <t>2025-04</t>
        </is>
      </c>
      <c r="H754" t="inlineStr">
        <is>
          <t>2026-07</t>
        </is>
      </c>
      <c r="OP754" s="2">
        <v>0.0185</v>
      </c>
      <c r="OQ754" s="2">
        <v>0.0215</v>
      </c>
      <c r="OR754" s="2">
        <v>0.0319</v>
      </c>
      <c r="OS754" s="2">
        <v>0.0367</v>
      </c>
      <c r="OT754" s="2">
        <v>0.0356</v>
      </c>
      <c r="OU754" s="2">
        <v>0.0405</v>
      </c>
      <c r="OV754" s="2">
        <v>0.0419</v>
      </c>
      <c r="OW754" s="2">
        <v>0.0395</v>
      </c>
      <c r="OX754" s="2">
        <v>0.0406</v>
      </c>
      <c r="PC754" s="2">
        <v>0.0352</v>
      </c>
      <c r="PD754" s="2">
        <v>0.0302</v>
      </c>
      <c r="PE754" s="2">
        <v>0.0284</v>
      </c>
      <c r="PF754" s="2">
        <v>0.0245</v>
      </c>
      <c r="PG754" s="2">
        <v>0.0199</v>
      </c>
      <c r="PH754" s="2">
        <v>0.0143</v>
      </c>
      <c r="PI754" s="2">
        <v>0.005</v>
      </c>
    </row>
    <row r="755">
      <c r="A755" t="inlineStr">
        <is>
          <t>A130395217F</t>
        </is>
      </c>
      <c r="B755" t="inlineStr">
        <is>
          <t>Contribution to All groups CPI Annual Percentage Points Change ;  Waters, soft drinks and juices ;  Australia ;</t>
        </is>
      </c>
      <c r="C755" t="inlineStr">
        <is>
          <t>Month</t>
        </is>
      </c>
      <c r="D755" t="inlineStr">
        <is>
          <t>% pts</t>
        </is>
      </c>
      <c r="E755" t="inlineStr">
        <is>
          <t>Original</t>
        </is>
      </c>
      <c r="F755" t="inlineStr">
        <is>
          <t>640104.xlsx</t>
        </is>
      </c>
      <c r="G755" t="inlineStr">
        <is>
          <t>2025-04</t>
        </is>
      </c>
      <c r="H755" t="inlineStr">
        <is>
          <t>2026-07</t>
        </is>
      </c>
      <c r="OP755" s="2">
        <v>0.0288</v>
      </c>
      <c r="OQ755" s="2">
        <v>0.0419</v>
      </c>
      <c r="OR755" s="2">
        <v>0.0349</v>
      </c>
      <c r="OS755" s="2">
        <v>0.0326</v>
      </c>
      <c r="OT755" s="2">
        <v>0.0244</v>
      </c>
      <c r="OU755" s="2">
        <v>0.0246</v>
      </c>
      <c r="OV755" s="2">
        <v>0.0167</v>
      </c>
      <c r="OW755" s="2">
        <v>0.0171</v>
      </c>
      <c r="OX755" s="2">
        <v>0.008200000000000001</v>
      </c>
      <c r="PC755" s="2">
        <v>0.0061</v>
      </c>
      <c r="PD755" s="2">
        <v>-0.0053</v>
      </c>
      <c r="PE755" s="2">
        <v>-0.0014</v>
      </c>
      <c r="PF755" s="2">
        <v>0.0008</v>
      </c>
      <c r="PG755" s="2">
        <v>-0.0012</v>
      </c>
      <c r="PH755" s="2">
        <v>0.0116</v>
      </c>
      <c r="PI755" s="2">
        <v>0.0197</v>
      </c>
    </row>
    <row r="756">
      <c r="A756" t="inlineStr">
        <is>
          <t>A130390443L</t>
        </is>
      </c>
      <c r="B756" t="inlineStr">
        <is>
          <t>Contribution to All groups CPI Annual Percentage Points Change ;  Meals out and take away foods ;  Australia ;</t>
        </is>
      </c>
      <c r="C756" t="inlineStr">
        <is>
          <t>Month</t>
        </is>
      </c>
      <c r="D756" t="inlineStr">
        <is>
          <t>% pts</t>
        </is>
      </c>
      <c r="E756" t="inlineStr">
        <is>
          <t>Original</t>
        </is>
      </c>
      <c r="F756" t="inlineStr">
        <is>
          <t>640104.xlsx</t>
        </is>
      </c>
      <c r="G756" t="inlineStr">
        <is>
          <t>2025-04</t>
        </is>
      </c>
      <c r="H756" t="inlineStr">
        <is>
          <t>2026-07</t>
        </is>
      </c>
      <c r="OP756" s="2">
        <v>0.2062</v>
      </c>
      <c r="OQ756" s="2">
        <v>0.1983</v>
      </c>
      <c r="OR756" s="2">
        <v>0.2378</v>
      </c>
      <c r="OS756" s="2">
        <v>0.2026</v>
      </c>
      <c r="OT756" s="2">
        <v>0.2385</v>
      </c>
      <c r="OU756" s="2">
        <v>0.2547</v>
      </c>
      <c r="OV756" s="2">
        <v>0.2557</v>
      </c>
      <c r="OW756" s="2">
        <v>0.248</v>
      </c>
      <c r="OX756" s="2">
        <v>0.2487</v>
      </c>
      <c r="PC756" s="2">
        <v>0.2787</v>
      </c>
      <c r="PD756" s="2">
        <v>0.2659</v>
      </c>
      <c r="PE756" s="2">
        <v>0.2742</v>
      </c>
      <c r="PF756" s="2">
        <v>0.2651</v>
      </c>
      <c r="PG756" s="2">
        <v>0.2845</v>
      </c>
      <c r="PH756" s="2">
        <v>0.2858</v>
      </c>
      <c r="PI756" s="2">
        <v>0.3197</v>
      </c>
    </row>
    <row r="757">
      <c r="A757" t="inlineStr">
        <is>
          <t>A130391948L</t>
        </is>
      </c>
      <c r="B757" t="inlineStr">
        <is>
          <t>Contribution to All groups CPI Annual Percentage Points Change ;  Restaurant meals ;  Australia ;</t>
        </is>
      </c>
      <c r="C757" t="inlineStr">
        <is>
          <t>Month</t>
        </is>
      </c>
      <c r="D757" t="inlineStr">
        <is>
          <t>% pts</t>
        </is>
      </c>
      <c r="E757" t="inlineStr">
        <is>
          <t>Original</t>
        </is>
      </c>
      <c r="F757" t="inlineStr">
        <is>
          <t>640104.xlsx</t>
        </is>
      </c>
      <c r="G757" t="inlineStr">
        <is>
          <t>2025-04</t>
        </is>
      </c>
      <c r="H757" t="inlineStr">
        <is>
          <t>2026-07</t>
        </is>
      </c>
      <c r="OP757" s="2">
        <v>0.1089</v>
      </c>
      <c r="OQ757" s="2">
        <v>0.0958</v>
      </c>
      <c r="OR757" s="2">
        <v>0.1051</v>
      </c>
      <c r="OS757" s="2">
        <v>0.0945</v>
      </c>
      <c r="OT757" s="2">
        <v>0.1154</v>
      </c>
      <c r="OU757" s="2">
        <v>0.1283</v>
      </c>
      <c r="OV757" s="2">
        <v>0.1289</v>
      </c>
      <c r="OW757" s="2">
        <v>0.1241</v>
      </c>
      <c r="OX757" s="2">
        <v>0.1387</v>
      </c>
      <c r="PC757" s="2">
        <v>0.1488</v>
      </c>
      <c r="PD757" s="2">
        <v>0.1418</v>
      </c>
      <c r="PE757" s="2">
        <v>0.1409</v>
      </c>
      <c r="PF757" s="2">
        <v>0.1387</v>
      </c>
      <c r="PG757" s="2">
        <v>0.1533</v>
      </c>
      <c r="PH757" s="2">
        <v>0.1463</v>
      </c>
      <c r="PI757" s="2">
        <v>0.1842</v>
      </c>
    </row>
    <row r="758">
      <c r="A758" t="inlineStr">
        <is>
          <t>A130390618C</t>
        </is>
      </c>
      <c r="B758" t="inlineStr">
        <is>
          <t>Contribution to All groups CPI Annual Percentage Points Change ;  Take away and fast foods ;  Australia ;</t>
        </is>
      </c>
      <c r="C758" t="inlineStr">
        <is>
          <t>Month</t>
        </is>
      </c>
      <c r="D758" t="inlineStr">
        <is>
          <t>% pts</t>
        </is>
      </c>
      <c r="E758" t="inlineStr">
        <is>
          <t>Original</t>
        </is>
      </c>
      <c r="F758" t="inlineStr">
        <is>
          <t>640104.xlsx</t>
        </is>
      </c>
      <c r="G758" t="inlineStr">
        <is>
          <t>2025-04</t>
        </is>
      </c>
      <c r="H758" t="inlineStr">
        <is>
          <t>2026-07</t>
        </is>
      </c>
      <c r="OP758" s="2">
        <v>0.0973</v>
      </c>
      <c r="OQ758" s="2">
        <v>0.1025</v>
      </c>
      <c r="OR758" s="2">
        <v>0.1327</v>
      </c>
      <c r="OS758" s="2">
        <v>0.1081</v>
      </c>
      <c r="OT758" s="2">
        <v>0.1231</v>
      </c>
      <c r="OU758" s="2">
        <v>0.1264</v>
      </c>
      <c r="OV758" s="2">
        <v>0.1268</v>
      </c>
      <c r="OW758" s="2">
        <v>0.124</v>
      </c>
      <c r="OX758" s="2">
        <v>0.11</v>
      </c>
      <c r="PC758" s="2">
        <v>0.1299</v>
      </c>
      <c r="PD758" s="2">
        <v>0.1241</v>
      </c>
      <c r="PE758" s="2">
        <v>0.1332</v>
      </c>
      <c r="PF758" s="2">
        <v>0.1264</v>
      </c>
      <c r="PG758" s="2">
        <v>0.1312</v>
      </c>
      <c r="PH758" s="2">
        <v>0.1395</v>
      </c>
      <c r="PI758" s="2">
        <v>0.1355</v>
      </c>
    </row>
    <row r="759">
      <c r="A759" t="inlineStr">
        <is>
          <t>A130393033A</t>
        </is>
      </c>
      <c r="B759" t="inlineStr">
        <is>
          <t>Contribution to All groups CPI Annual Percentage Points Change ;  Alcohol and tobacco ;  Australia ;</t>
        </is>
      </c>
      <c r="C759" t="inlineStr">
        <is>
          <t>Month</t>
        </is>
      </c>
      <c r="D759" t="inlineStr">
        <is>
          <t>% pts</t>
        </is>
      </c>
      <c r="E759" t="inlineStr">
        <is>
          <t>Original</t>
        </is>
      </c>
      <c r="F759" t="inlineStr">
        <is>
          <t>640104.xlsx</t>
        </is>
      </c>
      <c r="G759" t="inlineStr">
        <is>
          <t>2025-04</t>
        </is>
      </c>
      <c r="H759" t="inlineStr">
        <is>
          <t>2026-07</t>
        </is>
      </c>
      <c r="OP759" s="2">
        <v>0.3796</v>
      </c>
      <c r="OQ759" s="2">
        <v>0.3942</v>
      </c>
      <c r="OR759" s="2">
        <v>0.3786</v>
      </c>
      <c r="OS759" s="2">
        <v>0.4294</v>
      </c>
      <c r="OT759" s="2">
        <v>0.4029</v>
      </c>
      <c r="OU759" s="2">
        <v>0.3636</v>
      </c>
      <c r="OV759" s="2">
        <v>0.2919</v>
      </c>
      <c r="OW759" s="2">
        <v>0.2787</v>
      </c>
      <c r="OX759" s="2">
        <v>0.3169</v>
      </c>
      <c r="PC759" s="2">
        <v>0.3281</v>
      </c>
      <c r="PD759" s="2">
        <v>0.2829</v>
      </c>
      <c r="PE759" s="2">
        <v>0.2934</v>
      </c>
      <c r="PF759" s="2">
        <v>0.2814</v>
      </c>
      <c r="PG759" s="2">
        <v>0.3112</v>
      </c>
      <c r="PH759" s="2">
        <v>0.2895</v>
      </c>
      <c r="PI759" s="2">
        <v>0.2947</v>
      </c>
    </row>
    <row r="760">
      <c r="A760" t="inlineStr">
        <is>
          <t>A130394419K</t>
        </is>
      </c>
      <c r="B760" t="inlineStr">
        <is>
          <t>Contribution to All groups CPI Annual Percentage Points Change ;  Alcoholic beverages ;  Australia ;</t>
        </is>
      </c>
      <c r="C760" t="inlineStr">
        <is>
          <t>Month</t>
        </is>
      </c>
      <c r="D760" t="inlineStr">
        <is>
          <t>% pts</t>
        </is>
      </c>
      <c r="E760" t="inlineStr">
        <is>
          <t>Original</t>
        </is>
      </c>
      <c r="F760" t="inlineStr">
        <is>
          <t>640104.xlsx</t>
        </is>
      </c>
      <c r="G760" t="inlineStr">
        <is>
          <t>2025-04</t>
        </is>
      </c>
      <c r="H760" t="inlineStr">
        <is>
          <t>2026-07</t>
        </is>
      </c>
      <c r="OP760" s="2">
        <v>0.1311</v>
      </c>
      <c r="OQ760" s="2">
        <v>0.1537</v>
      </c>
      <c r="OR760" s="2">
        <v>0.1485</v>
      </c>
      <c r="OS760" s="2">
        <v>0.1766</v>
      </c>
      <c r="OT760" s="2">
        <v>0.1446</v>
      </c>
      <c r="OU760" s="2">
        <v>0.1009</v>
      </c>
      <c r="OV760" s="2">
        <v>0.0723</v>
      </c>
      <c r="OW760" s="2">
        <v>0.048</v>
      </c>
      <c r="OX760" s="2">
        <v>0.0839</v>
      </c>
      <c r="PC760" s="2">
        <v>0.1069</v>
      </c>
      <c r="PD760" s="2">
        <v>0.0668</v>
      </c>
      <c r="PE760" s="2">
        <v>0.0804</v>
      </c>
      <c r="PF760" s="2">
        <v>0.07630000000000001</v>
      </c>
      <c r="PG760" s="2">
        <v>0.103</v>
      </c>
      <c r="PH760" s="2">
        <v>0.07630000000000001</v>
      </c>
      <c r="PI760" s="2">
        <v>0.08400000000000001</v>
      </c>
    </row>
    <row r="761">
      <c r="A761" t="inlineStr">
        <is>
          <t>A130393446X</t>
        </is>
      </c>
      <c r="B761" t="inlineStr">
        <is>
          <t>Contribution to All groups CPI Annual Percentage Points Change ;  Spirits ;  Australia ;</t>
        </is>
      </c>
      <c r="C761" t="inlineStr">
        <is>
          <t>Month</t>
        </is>
      </c>
      <c r="D761" t="inlineStr">
        <is>
          <t>% pts</t>
        </is>
      </c>
      <c r="E761" t="inlineStr">
        <is>
          <t>Original</t>
        </is>
      </c>
      <c r="F761" t="inlineStr">
        <is>
          <t>640104.xlsx</t>
        </is>
      </c>
      <c r="G761" t="inlineStr">
        <is>
          <t>2025-04</t>
        </is>
      </c>
      <c r="H761" t="inlineStr">
        <is>
          <t>2026-07</t>
        </is>
      </c>
      <c r="OP761" s="2">
        <v>0.0352</v>
      </c>
      <c r="OQ761" s="2">
        <v>0.0216</v>
      </c>
      <c r="OR761" s="2">
        <v>0.0406</v>
      </c>
      <c r="OS761" s="2">
        <v>0.0349</v>
      </c>
      <c r="OT761" s="2">
        <v>0.0363</v>
      </c>
      <c r="OU761" s="2">
        <v>0.0289</v>
      </c>
      <c r="OV761" s="2">
        <v>0.0228</v>
      </c>
      <c r="OW761" s="2">
        <v>0.0163</v>
      </c>
      <c r="OX761" s="2">
        <v>0.0173</v>
      </c>
      <c r="PC761" s="2">
        <v>0.0309</v>
      </c>
      <c r="PD761" s="2">
        <v>0.008699999999999999</v>
      </c>
      <c r="PE761" s="2">
        <v>0.0198</v>
      </c>
      <c r="PF761" s="2">
        <v>0.0191</v>
      </c>
      <c r="PG761" s="2">
        <v>0.0277</v>
      </c>
      <c r="PH761" s="2">
        <v>0.0198</v>
      </c>
      <c r="PI761" s="2">
        <v>0.0231</v>
      </c>
    </row>
    <row r="762">
      <c r="A762" t="inlineStr">
        <is>
          <t>A130390898J</t>
        </is>
      </c>
      <c r="B762" t="inlineStr">
        <is>
          <t>Contribution to All groups CPI Annual Percentage Points Change ;  Wine ;  Australia ;</t>
        </is>
      </c>
      <c r="C762" t="inlineStr">
        <is>
          <t>Month</t>
        </is>
      </c>
      <c r="D762" t="inlineStr">
        <is>
          <t>% pts</t>
        </is>
      </c>
      <c r="E762" t="inlineStr">
        <is>
          <t>Original</t>
        </is>
      </c>
      <c r="F762" t="inlineStr">
        <is>
          <t>640104.xlsx</t>
        </is>
      </c>
      <c r="G762" t="inlineStr">
        <is>
          <t>2025-04</t>
        </is>
      </c>
      <c r="H762" t="inlineStr">
        <is>
          <t>2026-07</t>
        </is>
      </c>
      <c r="OP762" s="2">
        <v>0.0166</v>
      </c>
      <c r="OQ762" s="2">
        <v>0.0447</v>
      </c>
      <c r="OR762" s="2">
        <v>0.0184</v>
      </c>
      <c r="OS762" s="2">
        <v>0.055</v>
      </c>
      <c r="OT762" s="2">
        <v>0.0317</v>
      </c>
      <c r="OU762" s="2">
        <v>0.0045</v>
      </c>
      <c r="OV762" s="2">
        <v>-0.0132</v>
      </c>
      <c r="OW762" s="2">
        <v>-0.0213</v>
      </c>
      <c r="OX762" s="2">
        <v>0.0058</v>
      </c>
      <c r="PC762" s="2">
        <v>0.0186</v>
      </c>
      <c r="PD762" s="2">
        <v>0.0269</v>
      </c>
      <c r="PE762" s="2">
        <v>0.0124</v>
      </c>
      <c r="PF762" s="2">
        <v>0.0039</v>
      </c>
      <c r="PG762" s="2">
        <v>0.0251</v>
      </c>
      <c r="PH762" s="2">
        <v>0.0025</v>
      </c>
      <c r="PI762" s="2">
        <v>-0.0005999999999999999</v>
      </c>
    </row>
    <row r="763">
      <c r="A763" t="inlineStr">
        <is>
          <t>A130393418R</t>
        </is>
      </c>
      <c r="B763" t="inlineStr">
        <is>
          <t>Contribution to All groups CPI Annual Percentage Points Change ;  Beer ;  Australia ;</t>
        </is>
      </c>
      <c r="C763" t="inlineStr">
        <is>
          <t>Month</t>
        </is>
      </c>
      <c r="D763" t="inlineStr">
        <is>
          <t>% pts</t>
        </is>
      </c>
      <c r="E763" t="inlineStr">
        <is>
          <t>Original</t>
        </is>
      </c>
      <c r="F763" t="inlineStr">
        <is>
          <t>640104.xlsx</t>
        </is>
      </c>
      <c r="G763" t="inlineStr">
        <is>
          <t>2025-04</t>
        </is>
      </c>
      <c r="H763" t="inlineStr">
        <is>
          <t>2026-07</t>
        </is>
      </c>
      <c r="OP763" s="2">
        <v>0.0793</v>
      </c>
      <c r="OQ763" s="2">
        <v>0.08740000000000001</v>
      </c>
      <c r="OR763" s="2">
        <v>0.08939999999999999</v>
      </c>
      <c r="OS763" s="2">
        <v>0.0867</v>
      </c>
      <c r="OT763" s="2">
        <v>0.0767</v>
      </c>
      <c r="OU763" s="2">
        <v>0.0674</v>
      </c>
      <c r="OV763" s="2">
        <v>0.06270000000000001</v>
      </c>
      <c r="OW763" s="2">
        <v>0.053</v>
      </c>
      <c r="OX763" s="2">
        <v>0.0609</v>
      </c>
      <c r="PC763" s="2">
        <v>0.0575</v>
      </c>
      <c r="PD763" s="2">
        <v>0.0312</v>
      </c>
      <c r="PE763" s="2">
        <v>0.0482</v>
      </c>
      <c r="PF763" s="2">
        <v>0.0533</v>
      </c>
      <c r="PG763" s="2">
        <v>0.0502</v>
      </c>
      <c r="PH763" s="2">
        <v>0.054</v>
      </c>
      <c r="PI763" s="2">
        <v>0.0615</v>
      </c>
    </row>
    <row r="764">
      <c r="A764" t="inlineStr">
        <is>
          <t>A130398018V</t>
        </is>
      </c>
      <c r="B764" t="inlineStr">
        <is>
          <t>Contribution to All groups CPI Annual Percentage Points Change ;  Tobacco ;  Australia ;</t>
        </is>
      </c>
      <c r="C764" t="inlineStr">
        <is>
          <t>Month</t>
        </is>
      </c>
      <c r="D764" t="inlineStr">
        <is>
          <t>% pts</t>
        </is>
      </c>
      <c r="E764" t="inlineStr">
        <is>
          <t>Original</t>
        </is>
      </c>
      <c r="F764" t="inlineStr">
        <is>
          <t>640104.xlsx</t>
        </is>
      </c>
      <c r="G764" t="inlineStr">
        <is>
          <t>2025-04</t>
        </is>
      </c>
      <c r="H764" t="inlineStr">
        <is>
          <t>2026-07</t>
        </is>
      </c>
      <c r="OP764" s="2">
        <v>0.2486</v>
      </c>
      <c r="OQ764" s="2">
        <v>0.2406</v>
      </c>
      <c r="OR764" s="2">
        <v>0.2302</v>
      </c>
      <c r="OS764" s="2">
        <v>0.253</v>
      </c>
      <c r="OT764" s="2">
        <v>0.2584</v>
      </c>
      <c r="OU764" s="2">
        <v>0.2636</v>
      </c>
      <c r="OV764" s="2">
        <v>0.2207</v>
      </c>
      <c r="OW764" s="2">
        <v>0.2318</v>
      </c>
      <c r="OX764" s="2">
        <v>0.233</v>
      </c>
      <c r="PC764" s="2">
        <v>0.2211</v>
      </c>
      <c r="PD764" s="2">
        <v>0.2161</v>
      </c>
      <c r="PE764" s="2">
        <v>0.213</v>
      </c>
      <c r="PF764" s="2">
        <v>0.2051</v>
      </c>
      <c r="PG764" s="2">
        <v>0.2082</v>
      </c>
      <c r="PH764" s="2">
        <v>0.2131</v>
      </c>
      <c r="PI764" s="2">
        <v>0.2107</v>
      </c>
    </row>
    <row r="765">
      <c r="A765" t="inlineStr">
        <is>
          <t>A130397121X</t>
        </is>
      </c>
      <c r="B765" t="inlineStr">
        <is>
          <t>Contribution to All groups CPI Annual Percentage Points Change ;  Tobacco ;  Australia ;</t>
        </is>
      </c>
      <c r="C765" t="inlineStr">
        <is>
          <t>Month</t>
        </is>
      </c>
      <c r="D765" t="inlineStr">
        <is>
          <t>% pts</t>
        </is>
      </c>
      <c r="E765" t="inlineStr">
        <is>
          <t>Original</t>
        </is>
      </c>
      <c r="F765" t="inlineStr">
        <is>
          <t>640104.xlsx</t>
        </is>
      </c>
      <c r="G765" t="inlineStr">
        <is>
          <t>2025-04</t>
        </is>
      </c>
      <c r="H765" t="inlineStr">
        <is>
          <t>2026-07</t>
        </is>
      </c>
      <c r="OP765" s="2">
        <v>0.2486</v>
      </c>
      <c r="OQ765" s="2">
        <v>0.2406</v>
      </c>
      <c r="OR765" s="2">
        <v>0.2302</v>
      </c>
      <c r="OS765" s="2">
        <v>0.253</v>
      </c>
      <c r="OT765" s="2">
        <v>0.2584</v>
      </c>
      <c r="OU765" s="2">
        <v>0.2636</v>
      </c>
      <c r="OV765" s="2">
        <v>0.2207</v>
      </c>
      <c r="OW765" s="2">
        <v>0.2318</v>
      </c>
      <c r="OX765" s="2">
        <v>0.233</v>
      </c>
      <c r="PC765" s="2">
        <v>0.2211</v>
      </c>
      <c r="PD765" s="2">
        <v>0.2161</v>
      </c>
      <c r="PE765" s="2">
        <v>0.213</v>
      </c>
      <c r="PF765" s="2">
        <v>0.2051</v>
      </c>
      <c r="PG765" s="2">
        <v>0.2082</v>
      </c>
      <c r="PH765" s="2">
        <v>0.2131</v>
      </c>
      <c r="PI765" s="2">
        <v>0.2107</v>
      </c>
    </row>
    <row r="766">
      <c r="A766" t="inlineStr">
        <is>
          <t>A130391675T</t>
        </is>
      </c>
      <c r="B766" t="inlineStr">
        <is>
          <t>Contribution to All groups CPI Annual Percentage Points Change ;  Clothing and footwear ;  Australia ;</t>
        </is>
      </c>
      <c r="C766" t="inlineStr">
        <is>
          <t>Month</t>
        </is>
      </c>
      <c r="D766" t="inlineStr">
        <is>
          <t>% pts</t>
        </is>
      </c>
      <c r="E766" t="inlineStr">
        <is>
          <t>Original</t>
        </is>
      </c>
      <c r="F766" t="inlineStr">
        <is>
          <t>640104.xlsx</t>
        </is>
      </c>
      <c r="G766" t="inlineStr">
        <is>
          <t>2025-04</t>
        </is>
      </c>
      <c r="H766" t="inlineStr">
        <is>
          <t>2026-07</t>
        </is>
      </c>
      <c r="OP766" s="2">
        <v>0.0284</v>
      </c>
      <c r="OQ766" s="2">
        <v>0.0669</v>
      </c>
      <c r="OR766" s="2">
        <v>0.0917</v>
      </c>
      <c r="OS766" s="2">
        <v>0.0733</v>
      </c>
      <c r="OT766" s="2">
        <v>0.1395</v>
      </c>
      <c r="OU766" s="2">
        <v>0.1225</v>
      </c>
      <c r="OV766" s="2">
        <v>0.1757</v>
      </c>
      <c r="OW766" s="2">
        <v>0.1634</v>
      </c>
      <c r="OX766" s="2">
        <v>0.1066</v>
      </c>
      <c r="PC766" s="2">
        <v>0.1798</v>
      </c>
      <c r="PD766" s="2">
        <v>0.164</v>
      </c>
      <c r="PE766" s="2">
        <v>0.2242</v>
      </c>
      <c r="PF766" s="2">
        <v>0.1931</v>
      </c>
      <c r="PG766" s="2">
        <v>0.1619</v>
      </c>
      <c r="PH766" s="2">
        <v>0.1564</v>
      </c>
      <c r="PI766" s="2">
        <v>0.1597</v>
      </c>
    </row>
    <row r="767">
      <c r="A767" t="inlineStr">
        <is>
          <t>A130394111R</t>
        </is>
      </c>
      <c r="B767" t="inlineStr">
        <is>
          <t>Contribution to All groups CPI Annual Percentage Points Change ;  Garments ;  Australia ;</t>
        </is>
      </c>
      <c r="C767" t="inlineStr">
        <is>
          <t>Month</t>
        </is>
      </c>
      <c r="D767" t="inlineStr">
        <is>
          <t>% pts</t>
        </is>
      </c>
      <c r="E767" t="inlineStr">
        <is>
          <t>Original</t>
        </is>
      </c>
      <c r="F767" t="inlineStr">
        <is>
          <t>640104.xlsx</t>
        </is>
      </c>
      <c r="G767" t="inlineStr">
        <is>
          <t>2025-04</t>
        </is>
      </c>
      <c r="H767" t="inlineStr">
        <is>
          <t>2026-07</t>
        </is>
      </c>
      <c r="OP767" s="2">
        <v>0.0031</v>
      </c>
      <c r="OQ767" s="2">
        <v>0.047</v>
      </c>
      <c r="OR767" s="2">
        <v>0.0293</v>
      </c>
      <c r="OS767" s="2">
        <v>0.0218</v>
      </c>
      <c r="OT767" s="2">
        <v>0.0614</v>
      </c>
      <c r="OU767" s="2">
        <v>0.0266</v>
      </c>
      <c r="OV767" s="2">
        <v>0.0716</v>
      </c>
      <c r="OW767" s="2">
        <v>0.0441</v>
      </c>
      <c r="OX767" s="2">
        <v>0.0127</v>
      </c>
      <c r="PC767" s="2">
        <v>0.08160000000000001</v>
      </c>
      <c r="PD767" s="2">
        <v>0.0646</v>
      </c>
      <c r="PE767" s="2">
        <v>0.082</v>
      </c>
      <c r="PF767" s="2">
        <v>0.06370000000000001</v>
      </c>
      <c r="PG767" s="2">
        <v>0.0417</v>
      </c>
      <c r="PH767" s="2">
        <v>0.0298</v>
      </c>
      <c r="PI767" s="2">
        <v>0.038</v>
      </c>
    </row>
    <row r="768">
      <c r="A768" t="inlineStr">
        <is>
          <t>A130399715V</t>
        </is>
      </c>
      <c r="B768" t="inlineStr">
        <is>
          <t>Contribution to All groups CPI Annual Percentage Points Change ;  Garments for men ;  Australia ;</t>
        </is>
      </c>
      <c r="C768" t="inlineStr">
        <is>
          <t>Month</t>
        </is>
      </c>
      <c r="D768" t="inlineStr">
        <is>
          <t>% pts</t>
        </is>
      </c>
      <c r="E768" t="inlineStr">
        <is>
          <t>Original</t>
        </is>
      </c>
      <c r="F768" t="inlineStr">
        <is>
          <t>640104.xlsx</t>
        </is>
      </c>
      <c r="G768" t="inlineStr">
        <is>
          <t>2025-04</t>
        </is>
      </c>
      <c r="H768" t="inlineStr">
        <is>
          <t>2026-07</t>
        </is>
      </c>
      <c r="OP768" s="2">
        <v>-0.0134</v>
      </c>
      <c r="OQ768" s="2">
        <v>-0.0033</v>
      </c>
      <c r="OR768" s="2">
        <v>-0.0068</v>
      </c>
      <c r="OS768" s="2">
        <v>-0.0178</v>
      </c>
      <c r="OT768" s="2">
        <v>-0.0051</v>
      </c>
      <c r="OU768" s="2">
        <v>-0.016</v>
      </c>
      <c r="OV768" s="2">
        <v>0.0054</v>
      </c>
      <c r="OW768" s="2">
        <v>0.0002</v>
      </c>
      <c r="OX768" s="2">
        <v>-0.0067</v>
      </c>
      <c r="PC768" s="2">
        <v>0.0104</v>
      </c>
      <c r="PD768" s="2">
        <v>0.009599999999999999</v>
      </c>
      <c r="PE768" s="2">
        <v>0.0042</v>
      </c>
      <c r="PF768" s="2">
        <v>-0.0081</v>
      </c>
      <c r="PG768" s="2">
        <v>-0.0021</v>
      </c>
      <c r="PH768" s="2">
        <v>0.0103</v>
      </c>
      <c r="PI768" s="2">
        <v>0.0217</v>
      </c>
    </row>
    <row r="769">
      <c r="A769" t="inlineStr">
        <is>
          <t>A130398473W</t>
        </is>
      </c>
      <c r="B769" t="inlineStr">
        <is>
          <t>Contribution to All groups CPI Annual Percentage Points Change ;  Garments for women ;  Australia ;</t>
        </is>
      </c>
      <c r="C769" t="inlineStr">
        <is>
          <t>Month</t>
        </is>
      </c>
      <c r="D769" t="inlineStr">
        <is>
          <t>% pts</t>
        </is>
      </c>
      <c r="E769" t="inlineStr">
        <is>
          <t>Original</t>
        </is>
      </c>
      <c r="F769" t="inlineStr">
        <is>
          <t>640104.xlsx</t>
        </is>
      </c>
      <c r="G769" t="inlineStr">
        <is>
          <t>2025-04</t>
        </is>
      </c>
      <c r="H769" t="inlineStr">
        <is>
          <t>2026-07</t>
        </is>
      </c>
      <c r="OP769" s="2">
        <v>0.0244</v>
      </c>
      <c r="OQ769" s="2">
        <v>0.0528</v>
      </c>
      <c r="OR769" s="2">
        <v>0.0489</v>
      </c>
      <c r="OS769" s="2">
        <v>0.0434</v>
      </c>
      <c r="OT769" s="2">
        <v>0.057</v>
      </c>
      <c r="OU769" s="2">
        <v>0.0329</v>
      </c>
      <c r="OV769" s="2">
        <v>0.0532</v>
      </c>
      <c r="OW769" s="2">
        <v>0.0325</v>
      </c>
      <c r="OX769" s="2">
        <v>0.0097</v>
      </c>
      <c r="PC769" s="2">
        <v>0.0531</v>
      </c>
      <c r="PD769" s="2">
        <v>0.0357</v>
      </c>
      <c r="PE769" s="2">
        <v>0.0603</v>
      </c>
      <c r="PF769" s="2">
        <v>0.0644</v>
      </c>
      <c r="PG769" s="2">
        <v>0.0463</v>
      </c>
      <c r="PH769" s="2">
        <v>0.0121</v>
      </c>
      <c r="PI769" s="2">
        <v>0.0133</v>
      </c>
    </row>
    <row r="770">
      <c r="A770" t="inlineStr">
        <is>
          <t>A130391024L</t>
        </is>
      </c>
      <c r="B770" t="inlineStr">
        <is>
          <t>Contribution to All groups CPI Annual Percentage Points Change ;  Garments for infants and children ;  Australia ;</t>
        </is>
      </c>
      <c r="C770" t="inlineStr">
        <is>
          <t>Month</t>
        </is>
      </c>
      <c r="D770" t="inlineStr">
        <is>
          <t>% pts</t>
        </is>
      </c>
      <c r="E770" t="inlineStr">
        <is>
          <t>Original</t>
        </is>
      </c>
      <c r="F770" t="inlineStr">
        <is>
          <t>640104.xlsx</t>
        </is>
      </c>
      <c r="G770" t="inlineStr">
        <is>
          <t>2025-04</t>
        </is>
      </c>
      <c r="H770" t="inlineStr">
        <is>
          <t>2026-07</t>
        </is>
      </c>
      <c r="OP770" s="2">
        <v>-0.0078</v>
      </c>
      <c r="OQ770" s="2">
        <v>-0.0025</v>
      </c>
      <c r="OR770" s="2">
        <v>-0.0128</v>
      </c>
      <c r="OS770" s="2">
        <v>-0.0037</v>
      </c>
      <c r="OT770" s="2">
        <v>0.009599999999999999</v>
      </c>
      <c r="OU770" s="2">
        <v>0.0097</v>
      </c>
      <c r="OV770" s="2">
        <v>0.013</v>
      </c>
      <c r="OW770" s="2">
        <v>0.0113</v>
      </c>
      <c r="OX770" s="2">
        <v>0.0097</v>
      </c>
      <c r="PC770" s="2">
        <v>0.0181</v>
      </c>
      <c r="PD770" s="2">
        <v>0.0192</v>
      </c>
      <c r="PE770" s="2">
        <v>0.0175</v>
      </c>
      <c r="PF770" s="2">
        <v>0.0074</v>
      </c>
      <c r="PG770" s="2">
        <v>-0.0025</v>
      </c>
      <c r="PH770" s="2">
        <v>0.0075</v>
      </c>
      <c r="PI770" s="2">
        <v>0.0029</v>
      </c>
    </row>
    <row r="771">
      <c r="A771" t="inlineStr">
        <is>
          <t>A130391766X</t>
        </is>
      </c>
      <c r="B771" t="inlineStr">
        <is>
          <t>Contribution to All groups CPI Annual Percentage Points Change ;  Footwear ;  Australia ;</t>
        </is>
      </c>
      <c r="C771" t="inlineStr">
        <is>
          <t>Month</t>
        </is>
      </c>
      <c r="D771" t="inlineStr">
        <is>
          <t>% pts</t>
        </is>
      </c>
      <c r="E771" t="inlineStr">
        <is>
          <t>Original</t>
        </is>
      </c>
      <c r="F771" t="inlineStr">
        <is>
          <t>640104.xlsx</t>
        </is>
      </c>
      <c r="G771" t="inlineStr">
        <is>
          <t>2025-04</t>
        </is>
      </c>
      <c r="H771" t="inlineStr">
        <is>
          <t>2026-07</t>
        </is>
      </c>
      <c r="OP771" s="2">
        <v>0.0052</v>
      </c>
      <c r="OQ771" s="2">
        <v>0.0184</v>
      </c>
      <c r="OR771" s="2">
        <v>0.009599999999999999</v>
      </c>
      <c r="OS771" s="2">
        <v>-0.0019</v>
      </c>
      <c r="OT771" s="2">
        <v>0.0024</v>
      </c>
      <c r="OU771" s="2">
        <v>0.021</v>
      </c>
      <c r="OV771" s="2">
        <v>0.0107</v>
      </c>
      <c r="OW771" s="2">
        <v>0.007900000000000001</v>
      </c>
      <c r="OX771" s="2">
        <v>0.0115</v>
      </c>
      <c r="PC771" s="2">
        <v>0.0072</v>
      </c>
      <c r="PD771" s="2">
        <v>0.003</v>
      </c>
      <c r="PE771" s="2">
        <v>0.0112</v>
      </c>
      <c r="PF771" s="2">
        <v>0.0053</v>
      </c>
      <c r="PG771" s="2">
        <v>0.0075</v>
      </c>
      <c r="PH771" s="2">
        <v>0.0002</v>
      </c>
      <c r="PI771" s="2">
        <v>0.01</v>
      </c>
    </row>
    <row r="772">
      <c r="A772" t="inlineStr">
        <is>
          <t>A130393285W</t>
        </is>
      </c>
      <c r="B772" t="inlineStr">
        <is>
          <t>Contribution to All groups CPI Annual Percentage Points Change ;  Footwear for men ;  Australia ;</t>
        </is>
      </c>
      <c r="C772" t="inlineStr">
        <is>
          <t>Month</t>
        </is>
      </c>
      <c r="D772" t="inlineStr">
        <is>
          <t>% pts</t>
        </is>
      </c>
      <c r="E772" t="inlineStr">
        <is>
          <t>Original</t>
        </is>
      </c>
      <c r="F772" t="inlineStr">
        <is>
          <t>640104.xlsx</t>
        </is>
      </c>
      <c r="G772" t="inlineStr">
        <is>
          <t>2025-04</t>
        </is>
      </c>
      <c r="H772" t="inlineStr">
        <is>
          <t>2026-07</t>
        </is>
      </c>
      <c r="OP772" s="2">
        <v>0.0029</v>
      </c>
      <c r="OQ772" s="2">
        <v>0.0023</v>
      </c>
      <c r="OR772" s="2">
        <v>0.0056</v>
      </c>
      <c r="OS772" s="2">
        <v>-0.0005</v>
      </c>
      <c r="OT772" s="2">
        <v>-0.0019</v>
      </c>
      <c r="OU772" s="2">
        <v>-0.0052</v>
      </c>
      <c r="OV772" s="2">
        <v>-0.0032</v>
      </c>
      <c r="OW772" s="2">
        <v>-0.0014</v>
      </c>
      <c r="OX772" s="2">
        <v>-0.0025</v>
      </c>
      <c r="PC772" s="2">
        <v>0.002</v>
      </c>
      <c r="PD772" s="2">
        <v>-0.0013</v>
      </c>
      <c r="PE772" s="2">
        <v>0.0019</v>
      </c>
      <c r="PF772" s="2">
        <v>-0.0016</v>
      </c>
      <c r="PG772" s="2">
        <v>0.0039</v>
      </c>
      <c r="PH772" s="2">
        <v>0.0002</v>
      </c>
      <c r="PI772" s="2">
        <v>-0.0002</v>
      </c>
    </row>
    <row r="773">
      <c r="A773" t="inlineStr">
        <is>
          <t>A130395749V</t>
        </is>
      </c>
      <c r="B773" t="inlineStr">
        <is>
          <t>Contribution to All groups CPI Annual Percentage Points Change ;  Footwear for women ;  Australia ;</t>
        </is>
      </c>
      <c r="C773" t="inlineStr">
        <is>
          <t>Month</t>
        </is>
      </c>
      <c r="D773" t="inlineStr">
        <is>
          <t>% pts</t>
        </is>
      </c>
      <c r="E773" t="inlineStr">
        <is>
          <t>Original</t>
        </is>
      </c>
      <c r="F773" t="inlineStr">
        <is>
          <t>640104.xlsx</t>
        </is>
      </c>
      <c r="G773" t="inlineStr">
        <is>
          <t>2025-04</t>
        </is>
      </c>
      <c r="H773" t="inlineStr">
        <is>
          <t>2026-07</t>
        </is>
      </c>
      <c r="OP773" s="2">
        <v>0.0015</v>
      </c>
      <c r="OQ773" s="2">
        <v>0.0145</v>
      </c>
      <c r="OR773" s="2">
        <v>0.0066</v>
      </c>
      <c r="OS773" s="2">
        <v>0.0005999999999999999</v>
      </c>
      <c r="OT773" s="2">
        <v>0.0072</v>
      </c>
      <c r="OU773" s="2">
        <v>0.0265</v>
      </c>
      <c r="OV773" s="2">
        <v>0.0145</v>
      </c>
      <c r="OW773" s="2">
        <v>0.0109</v>
      </c>
      <c r="OX773" s="2">
        <v>0.0119</v>
      </c>
      <c r="PC773" s="2">
        <v>0.0056</v>
      </c>
      <c r="PD773" s="2">
        <v>0.0043</v>
      </c>
      <c r="PE773" s="2">
        <v>0.0116</v>
      </c>
      <c r="PF773" s="2">
        <v>0.0061</v>
      </c>
      <c r="PG773" s="2">
        <v>0.0014</v>
      </c>
      <c r="PH773" s="2">
        <v>-0.0028</v>
      </c>
      <c r="PI773" s="2">
        <v>0.009900000000000001</v>
      </c>
    </row>
    <row r="774">
      <c r="A774" t="inlineStr">
        <is>
          <t>A130391997J</t>
        </is>
      </c>
      <c r="B774" t="inlineStr">
        <is>
          <t>Contribution to All groups CPI Annual Percentage Points Change ;  Footwear for infants and children ;  Australia ;</t>
        </is>
      </c>
      <c r="C774" t="inlineStr">
        <is>
          <t>Month</t>
        </is>
      </c>
      <c r="D774" t="inlineStr">
        <is>
          <t>% pts</t>
        </is>
      </c>
      <c r="E774" t="inlineStr">
        <is>
          <t>Original</t>
        </is>
      </c>
      <c r="F774" t="inlineStr">
        <is>
          <t>640104.xlsx</t>
        </is>
      </c>
      <c r="G774" t="inlineStr">
        <is>
          <t>2025-04</t>
        </is>
      </c>
      <c r="H774" t="inlineStr">
        <is>
          <t>2026-07</t>
        </is>
      </c>
      <c r="OP774" s="2">
        <v>0.0008</v>
      </c>
      <c r="OQ774" s="2">
        <v>0.0016</v>
      </c>
      <c r="OR774" s="2">
        <v>-0.0026</v>
      </c>
      <c r="OS774" s="2">
        <v>-0.0021</v>
      </c>
      <c r="OT774" s="2">
        <v>-0.0029</v>
      </c>
      <c r="OU774" s="2">
        <v>-0.0003</v>
      </c>
      <c r="OV774" s="2">
        <v>-0.0005999999999999999</v>
      </c>
      <c r="OW774" s="2">
        <v>-0.0017</v>
      </c>
      <c r="OX774" s="2">
        <v>0.0022</v>
      </c>
      <c r="PC774" s="2">
        <v>-0.0004</v>
      </c>
      <c r="PD774" s="2">
        <v>-0.0001</v>
      </c>
      <c r="PE774" s="2">
        <v>-0.0023</v>
      </c>
      <c r="PF774" s="2">
        <v>0.0008</v>
      </c>
      <c r="PG774" s="2">
        <v>0.0023</v>
      </c>
      <c r="PH774" s="2">
        <v>0.0028</v>
      </c>
      <c r="PI774" s="2">
        <v>0.0002</v>
      </c>
    </row>
    <row r="775">
      <c r="A775" t="inlineStr">
        <is>
          <t>A130397296A</t>
        </is>
      </c>
      <c r="B775" t="inlineStr">
        <is>
          <t>Contribution to All groups CPI Annual Percentage Points Change ;  Accessories and clothing services ;  Australia ;</t>
        </is>
      </c>
      <c r="C775" t="inlineStr">
        <is>
          <t>Month</t>
        </is>
      </c>
      <c r="D775" t="inlineStr">
        <is>
          <t>% pts</t>
        </is>
      </c>
      <c r="E775" t="inlineStr">
        <is>
          <t>Original</t>
        </is>
      </c>
      <c r="F775" t="inlineStr">
        <is>
          <t>640104.xlsx</t>
        </is>
      </c>
      <c r="G775" t="inlineStr">
        <is>
          <t>2025-04</t>
        </is>
      </c>
      <c r="H775" t="inlineStr">
        <is>
          <t>2026-07</t>
        </is>
      </c>
      <c r="OP775" s="2">
        <v>0.0201</v>
      </c>
      <c r="OQ775" s="2">
        <v>0.0015</v>
      </c>
      <c r="OR775" s="2">
        <v>0.0528</v>
      </c>
      <c r="OS775" s="2">
        <v>0.0533</v>
      </c>
      <c r="OT775" s="2">
        <v>0.0756</v>
      </c>
      <c r="OU775" s="2">
        <v>0.07489999999999999</v>
      </c>
      <c r="OV775" s="2">
        <v>0.09329999999999999</v>
      </c>
      <c r="OW775" s="2">
        <v>0.1114</v>
      </c>
      <c r="OX775" s="2">
        <v>0.0824</v>
      </c>
      <c r="PC775" s="2">
        <v>0.09089999999999999</v>
      </c>
      <c r="PD775" s="2">
        <v>0.0965</v>
      </c>
      <c r="PE775" s="2">
        <v>0.131</v>
      </c>
      <c r="PF775" s="2">
        <v>0.1241</v>
      </c>
      <c r="PG775" s="2">
        <v>0.1127</v>
      </c>
      <c r="PH775" s="2">
        <v>0.1264</v>
      </c>
      <c r="PI775" s="2">
        <v>0.1117</v>
      </c>
    </row>
    <row r="776">
      <c r="A776" t="inlineStr">
        <is>
          <t>A130396022X</t>
        </is>
      </c>
      <c r="B776" t="inlineStr">
        <is>
          <t>Contribution to All groups CPI Annual Percentage Points Change ;  Accessories ;  Australia ;</t>
        </is>
      </c>
      <c r="C776" t="inlineStr">
        <is>
          <t>Month</t>
        </is>
      </c>
      <c r="D776" t="inlineStr">
        <is>
          <t>% pts</t>
        </is>
      </c>
      <c r="E776" t="inlineStr">
        <is>
          <t>Original</t>
        </is>
      </c>
      <c r="F776" t="inlineStr">
        <is>
          <t>640104.xlsx</t>
        </is>
      </c>
      <c r="G776" t="inlineStr">
        <is>
          <t>2025-04</t>
        </is>
      </c>
      <c r="H776" t="inlineStr">
        <is>
          <t>2026-07</t>
        </is>
      </c>
      <c r="OP776" s="2">
        <v>0.0179</v>
      </c>
      <c r="OQ776" s="2">
        <v>-0.0005999999999999999</v>
      </c>
      <c r="OR776" s="2">
        <v>0.0501</v>
      </c>
      <c r="OS776" s="2">
        <v>0.0504</v>
      </c>
      <c r="OT776" s="2">
        <v>0.0726</v>
      </c>
      <c r="OU776" s="2">
        <v>0.0718</v>
      </c>
      <c r="OV776" s="2">
        <v>0.09030000000000001</v>
      </c>
      <c r="OW776" s="2">
        <v>0.1085</v>
      </c>
      <c r="OX776" s="2">
        <v>0.0798</v>
      </c>
      <c r="PC776" s="2">
        <v>0.0878</v>
      </c>
      <c r="PD776" s="2">
        <v>0.0935</v>
      </c>
      <c r="PE776" s="2">
        <v>0.1284</v>
      </c>
      <c r="PF776" s="2">
        <v>0.1214</v>
      </c>
      <c r="PG776" s="2">
        <v>0.1099</v>
      </c>
      <c r="PH776" s="2">
        <v>0.1241</v>
      </c>
      <c r="PI776" s="2">
        <v>0.1091</v>
      </c>
    </row>
    <row r="777">
      <c r="A777" t="inlineStr">
        <is>
          <t>A130399484W</t>
        </is>
      </c>
      <c r="B777" t="inlineStr">
        <is>
          <t>Contribution to All groups CPI Annual Percentage Points Change ;  Cleaning, repair and hire of clothing and footwear ;  Australia ;</t>
        </is>
      </c>
      <c r="C777" t="inlineStr">
        <is>
          <t>Month</t>
        </is>
      </c>
      <c r="D777" t="inlineStr">
        <is>
          <t>% pts</t>
        </is>
      </c>
      <c r="E777" t="inlineStr">
        <is>
          <t>Original</t>
        </is>
      </c>
      <c r="F777" t="inlineStr">
        <is>
          <t>640104.xlsx</t>
        </is>
      </c>
      <c r="G777" t="inlineStr">
        <is>
          <t>2025-04</t>
        </is>
      </c>
      <c r="H777" t="inlineStr">
        <is>
          <t>2026-07</t>
        </is>
      </c>
      <c r="OP777" s="2">
        <v>0.0022</v>
      </c>
      <c r="OQ777" s="2">
        <v>0.0021</v>
      </c>
      <c r="OR777" s="2">
        <v>0.0027</v>
      </c>
      <c r="OS777" s="2">
        <v>0.0029</v>
      </c>
      <c r="OT777" s="2">
        <v>0.0031</v>
      </c>
      <c r="OU777" s="2">
        <v>0.0031</v>
      </c>
      <c r="OV777" s="2">
        <v>0.0031</v>
      </c>
      <c r="OW777" s="2">
        <v>0.0028</v>
      </c>
      <c r="OX777" s="2">
        <v>0.0026</v>
      </c>
      <c r="PC777" s="2">
        <v>0.0031</v>
      </c>
      <c r="PD777" s="2">
        <v>0.003</v>
      </c>
      <c r="PE777" s="2">
        <v>0.0026</v>
      </c>
      <c r="PF777" s="2">
        <v>0.0027</v>
      </c>
      <c r="PG777" s="2">
        <v>0.0028</v>
      </c>
      <c r="PH777" s="2">
        <v>0.0023</v>
      </c>
      <c r="PI777" s="2">
        <v>0.0026</v>
      </c>
    </row>
    <row r="778">
      <c r="A778" t="inlineStr">
        <is>
          <t>A130399190R</t>
        </is>
      </c>
      <c r="B778" t="inlineStr">
        <is>
          <t>Contribution to All groups CPI Annual Percentage Points Change ;  Housing ;  Australia ;</t>
        </is>
      </c>
      <c r="C778" t="inlineStr">
        <is>
          <t>Month</t>
        </is>
      </c>
      <c r="D778" t="inlineStr">
        <is>
          <t>% pts</t>
        </is>
      </c>
      <c r="E778" t="inlineStr">
        <is>
          <t>Original</t>
        </is>
      </c>
      <c r="F778" t="inlineStr">
        <is>
          <t>640104.xlsx</t>
        </is>
      </c>
      <c r="G778" t="inlineStr">
        <is>
          <t>2025-04</t>
        </is>
      </c>
      <c r="H778" t="inlineStr">
        <is>
          <t>2026-07</t>
        </is>
      </c>
      <c r="OP778" s="2">
        <v>0.4629</v>
      </c>
      <c r="OQ778" s="2">
        <v>0.4091</v>
      </c>
      <c r="OR778" s="2">
        <v>0.3346</v>
      </c>
      <c r="OS778" s="2">
        <v>0.7999000000000001</v>
      </c>
      <c r="OT778" s="2">
        <v>0.9699</v>
      </c>
      <c r="OU778" s="2">
        <v>1.2171</v>
      </c>
      <c r="OV778" s="2">
        <v>1.2485</v>
      </c>
      <c r="OW778" s="2">
        <v>1.12</v>
      </c>
      <c r="OX778" s="2">
        <v>1.1729</v>
      </c>
      <c r="PC778" s="2">
        <v>1.4572</v>
      </c>
      <c r="PD778" s="2">
        <v>1.5497</v>
      </c>
      <c r="PE778" s="2">
        <v>1.4064</v>
      </c>
      <c r="PF778" s="2">
        <v>1.3465</v>
      </c>
      <c r="PG778" s="2">
        <v>1.4071</v>
      </c>
      <c r="PH778" s="2">
        <v>1.4774</v>
      </c>
      <c r="PI778" s="2">
        <v>1.0997</v>
      </c>
    </row>
    <row r="779">
      <c r="A779" t="inlineStr">
        <is>
          <t>A130390100K</t>
        </is>
      </c>
      <c r="B779" t="inlineStr">
        <is>
          <t>Contribution to All groups CPI Annual Percentage Points Change ;  Rents ;  Australia ;</t>
        </is>
      </c>
      <c r="C779" t="inlineStr">
        <is>
          <t>Month</t>
        </is>
      </c>
      <c r="D779" t="inlineStr">
        <is>
          <t>% pts</t>
        </is>
      </c>
      <c r="E779" t="inlineStr">
        <is>
          <t>Original</t>
        </is>
      </c>
      <c r="F779" t="inlineStr">
        <is>
          <t>640104.xlsx</t>
        </is>
      </c>
      <c r="G779" t="inlineStr">
        <is>
          <t>2025-04</t>
        </is>
      </c>
      <c r="H779" t="inlineStr">
        <is>
          <t>2026-07</t>
        </is>
      </c>
      <c r="OP779" s="2">
        <v>0.3069</v>
      </c>
      <c r="OQ779" s="2">
        <v>0.286</v>
      </c>
      <c r="OR779" s="2">
        <v>0.2676</v>
      </c>
      <c r="OS779" s="2">
        <v>0.2514</v>
      </c>
      <c r="OT779" s="2">
        <v>0.2393</v>
      </c>
      <c r="OU779" s="2">
        <v>0.2474</v>
      </c>
      <c r="OV779" s="2">
        <v>0.274</v>
      </c>
      <c r="OW779" s="2">
        <v>0.2658</v>
      </c>
      <c r="OX779" s="2">
        <v>0.2601</v>
      </c>
      <c r="PC779" s="2">
        <v>0.2559</v>
      </c>
      <c r="PD779" s="2">
        <v>0.25</v>
      </c>
      <c r="PE779" s="2">
        <v>0.2426</v>
      </c>
      <c r="PF779" s="2">
        <v>0.2318</v>
      </c>
      <c r="PG779" s="2">
        <v>0.2368</v>
      </c>
      <c r="PH779" s="2">
        <v>0.2376</v>
      </c>
      <c r="PI779" s="2">
        <v>0.2366</v>
      </c>
    </row>
    <row r="780">
      <c r="A780" t="inlineStr">
        <is>
          <t>A130397976F</t>
        </is>
      </c>
      <c r="B780" t="inlineStr">
        <is>
          <t>Contribution to All groups CPI Annual Percentage Points Change ;  Rents ;  Australia ;</t>
        </is>
      </c>
      <c r="C780" t="inlineStr">
        <is>
          <t>Month</t>
        </is>
      </c>
      <c r="D780" t="inlineStr">
        <is>
          <t>% pts</t>
        </is>
      </c>
      <c r="E780" t="inlineStr">
        <is>
          <t>Original</t>
        </is>
      </c>
      <c r="F780" t="inlineStr">
        <is>
          <t>640104.xlsx</t>
        </is>
      </c>
      <c r="G780" t="inlineStr">
        <is>
          <t>2025-04</t>
        </is>
      </c>
      <c r="H780" t="inlineStr">
        <is>
          <t>2026-07</t>
        </is>
      </c>
      <c r="OP780" s="2">
        <v>0.3069</v>
      </c>
      <c r="OQ780" s="2">
        <v>0.286</v>
      </c>
      <c r="OR780" s="2">
        <v>0.2676</v>
      </c>
      <c r="OS780" s="2">
        <v>0.2514</v>
      </c>
      <c r="OT780" s="2">
        <v>0.2393</v>
      </c>
      <c r="OU780" s="2">
        <v>0.2474</v>
      </c>
      <c r="OV780" s="2">
        <v>0.274</v>
      </c>
      <c r="OW780" s="2">
        <v>0.2658</v>
      </c>
      <c r="OX780" s="2">
        <v>0.2601</v>
      </c>
      <c r="PC780" s="2">
        <v>0.2559</v>
      </c>
      <c r="PD780" s="2">
        <v>0.25</v>
      </c>
      <c r="PE780" s="2">
        <v>0.2426</v>
      </c>
      <c r="PF780" s="2">
        <v>0.2318</v>
      </c>
      <c r="PG780" s="2">
        <v>0.2368</v>
      </c>
      <c r="PH780" s="2">
        <v>0.2376</v>
      </c>
      <c r="PI780" s="2">
        <v>0.2366</v>
      </c>
    </row>
    <row r="781">
      <c r="A781" t="inlineStr">
        <is>
          <t>A130391542L</t>
        </is>
      </c>
      <c r="B781" t="inlineStr">
        <is>
          <t>Contribution to All groups CPI Annual Percentage Points Change ;  New dwelling purchase by owner-occupiers ;  Australia ;</t>
        </is>
      </c>
      <c r="C781" t="inlineStr">
        <is>
          <t>Month</t>
        </is>
      </c>
      <c r="D781" t="inlineStr">
        <is>
          <t>% pts</t>
        </is>
      </c>
      <c r="E781" t="inlineStr">
        <is>
          <t>Original</t>
        </is>
      </c>
      <c r="F781" t="inlineStr">
        <is>
          <t>640104.xlsx</t>
        </is>
      </c>
      <c r="G781" t="inlineStr">
        <is>
          <t>2025-04</t>
        </is>
      </c>
      <c r="H781" t="inlineStr">
        <is>
          <t>2026-07</t>
        </is>
      </c>
      <c r="OP781" s="2">
        <v>0.0989</v>
      </c>
      <c r="OQ781" s="2">
        <v>0.0606</v>
      </c>
      <c r="OR781" s="2">
        <v>0.0311</v>
      </c>
      <c r="OS781" s="2">
        <v>0.0339</v>
      </c>
      <c r="OT781" s="2">
        <v>0.0479</v>
      </c>
      <c r="OU781" s="2">
        <v>0.1142</v>
      </c>
      <c r="OV781" s="2">
        <v>0.131</v>
      </c>
      <c r="OW781" s="2">
        <v>0.2144</v>
      </c>
      <c r="OX781" s="2">
        <v>0.2269</v>
      </c>
      <c r="PC781" s="2">
        <v>0.2635</v>
      </c>
      <c r="PD781" s="2">
        <v>0.2808</v>
      </c>
      <c r="PE781" s="2">
        <v>0.3379</v>
      </c>
      <c r="PF781" s="2">
        <v>0.3469</v>
      </c>
      <c r="PG781" s="2">
        <v>0.4162</v>
      </c>
      <c r="PH781" s="2">
        <v>0.4311</v>
      </c>
      <c r="PI781" s="2">
        <v>0.4215</v>
      </c>
    </row>
    <row r="782">
      <c r="A782" t="inlineStr">
        <is>
          <t>A130399778C</t>
        </is>
      </c>
      <c r="B782" t="inlineStr">
        <is>
          <t>Contribution to All groups CPI Annual Percentage Points Change ;  New dwelling purchase by owner-occupiers ;  Australia ;</t>
        </is>
      </c>
      <c r="C782" t="inlineStr">
        <is>
          <t>Month</t>
        </is>
      </c>
      <c r="D782" t="inlineStr">
        <is>
          <t>% pts</t>
        </is>
      </c>
      <c r="E782" t="inlineStr">
        <is>
          <t>Original</t>
        </is>
      </c>
      <c r="F782" t="inlineStr">
        <is>
          <t>640104.xlsx</t>
        </is>
      </c>
      <c r="G782" t="inlineStr">
        <is>
          <t>2025-04</t>
        </is>
      </c>
      <c r="H782" t="inlineStr">
        <is>
          <t>2026-07</t>
        </is>
      </c>
      <c r="OP782" s="2">
        <v>0.0989</v>
      </c>
      <c r="OQ782" s="2">
        <v>0.0606</v>
      </c>
      <c r="OR782" s="2">
        <v>0.0311</v>
      </c>
      <c r="OS782" s="2">
        <v>0.0339</v>
      </c>
      <c r="OT782" s="2">
        <v>0.0479</v>
      </c>
      <c r="OU782" s="2">
        <v>0.1142</v>
      </c>
      <c r="OV782" s="2">
        <v>0.131</v>
      </c>
      <c r="OW782" s="2">
        <v>0.2144</v>
      </c>
      <c r="OX782" s="2">
        <v>0.2269</v>
      </c>
      <c r="PC782" s="2">
        <v>0.2635</v>
      </c>
      <c r="PD782" s="2">
        <v>0.2808</v>
      </c>
      <c r="PE782" s="2">
        <v>0.3379</v>
      </c>
      <c r="PF782" s="2">
        <v>0.3469</v>
      </c>
      <c r="PG782" s="2">
        <v>0.4162</v>
      </c>
      <c r="PH782" s="2">
        <v>0.4311</v>
      </c>
      <c r="PI782" s="2">
        <v>0.4215</v>
      </c>
    </row>
    <row r="783">
      <c r="A783" t="inlineStr">
        <is>
          <t>A130397850X</t>
        </is>
      </c>
      <c r="B783" t="inlineStr">
        <is>
          <t>Contribution to All groups CPI Annual Percentage Points Change ;  Other housing ;  Australia ;</t>
        </is>
      </c>
      <c r="C783" t="inlineStr">
        <is>
          <t>Month</t>
        </is>
      </c>
      <c r="D783" t="inlineStr">
        <is>
          <t>% pts</t>
        </is>
      </c>
      <c r="E783" t="inlineStr">
        <is>
          <t>Original</t>
        </is>
      </c>
      <c r="F783" t="inlineStr">
        <is>
          <t>640104.xlsx</t>
        </is>
      </c>
      <c r="G783" t="inlineStr">
        <is>
          <t>2025-04</t>
        </is>
      </c>
      <c r="H783" t="inlineStr">
        <is>
          <t>2026-07</t>
        </is>
      </c>
      <c r="OP783" s="2">
        <v>0.124</v>
      </c>
      <c r="OQ783" s="2">
        <v>0.1157</v>
      </c>
      <c r="OR783" s="2">
        <v>0.1181</v>
      </c>
      <c r="OS783" s="2">
        <v>0.124</v>
      </c>
      <c r="OT783" s="2">
        <v>0.1306</v>
      </c>
      <c r="OU783" s="2">
        <v>0.1498</v>
      </c>
      <c r="OV783" s="2">
        <v>0.1535</v>
      </c>
      <c r="OW783" s="2">
        <v>0.1505</v>
      </c>
      <c r="OX783" s="2">
        <v>0.1554</v>
      </c>
      <c r="PC783" s="2">
        <v>0.1489</v>
      </c>
      <c r="PD783" s="2">
        <v>0.1535</v>
      </c>
      <c r="PE783" s="2">
        <v>0.1475</v>
      </c>
      <c r="PF783" s="2">
        <v>0.1519</v>
      </c>
      <c r="PG783" s="2">
        <v>0.1651</v>
      </c>
      <c r="PH783" s="2">
        <v>0.1713</v>
      </c>
      <c r="PI783" s="2">
        <v>0.1611</v>
      </c>
    </row>
    <row r="784">
      <c r="A784" t="inlineStr">
        <is>
          <t>A130394594V</t>
        </is>
      </c>
      <c r="B784" t="inlineStr">
        <is>
          <t>Contribution to All groups CPI Annual Percentage Points Change ;  Maintenance and repair of the dwelling ;  Australia ;</t>
        </is>
      </c>
      <c r="C784" t="inlineStr">
        <is>
          <t>Month</t>
        </is>
      </c>
      <c r="D784" t="inlineStr">
        <is>
          <t>% pts</t>
        </is>
      </c>
      <c r="E784" t="inlineStr">
        <is>
          <t>Original</t>
        </is>
      </c>
      <c r="F784" t="inlineStr">
        <is>
          <t>640104.xlsx</t>
        </is>
      </c>
      <c r="G784" t="inlineStr">
        <is>
          <t>2025-04</t>
        </is>
      </c>
      <c r="H784" t="inlineStr">
        <is>
          <t>2026-07</t>
        </is>
      </c>
      <c r="OP784" s="2">
        <v>0.0542</v>
      </c>
      <c r="OQ784" s="2">
        <v>0.0457</v>
      </c>
      <c r="OR784" s="2">
        <v>0.0484</v>
      </c>
      <c r="OS784" s="2">
        <v>0.0544</v>
      </c>
      <c r="OT784" s="2">
        <v>0.0608</v>
      </c>
      <c r="OU784" s="2">
        <v>0.0575</v>
      </c>
      <c r="OV784" s="2">
        <v>0.061</v>
      </c>
      <c r="OW784" s="2">
        <v>0.0584</v>
      </c>
      <c r="OX784" s="2">
        <v>0.0638</v>
      </c>
      <c r="PC784" s="2">
        <v>0.0576</v>
      </c>
      <c r="PD784" s="2">
        <v>0.0622</v>
      </c>
      <c r="PE784" s="2">
        <v>0.0565</v>
      </c>
      <c r="PF784" s="2">
        <v>0.0616</v>
      </c>
      <c r="PG784" s="2">
        <v>0.07439999999999999</v>
      </c>
      <c r="PH784" s="2">
        <v>0.08069999999999999</v>
      </c>
      <c r="PI784" s="2">
        <v>0.0716</v>
      </c>
    </row>
    <row r="785">
      <c r="A785" t="inlineStr">
        <is>
          <t>A130399785A</t>
        </is>
      </c>
      <c r="B785" t="inlineStr">
        <is>
          <t>Contribution to All groups CPI Annual Percentage Points Change ;  Property rates and charges ;  Australia ;</t>
        </is>
      </c>
      <c r="C785" t="inlineStr">
        <is>
          <t>Month</t>
        </is>
      </c>
      <c r="D785" t="inlineStr">
        <is>
          <t>% pts</t>
        </is>
      </c>
      <c r="E785" t="inlineStr">
        <is>
          <t>Original</t>
        </is>
      </c>
      <c r="F785" t="inlineStr">
        <is>
          <t>640104.xlsx</t>
        </is>
      </c>
      <c r="G785" t="inlineStr">
        <is>
          <t>2025-04</t>
        </is>
      </c>
      <c r="H785" t="inlineStr">
        <is>
          <t>2026-07</t>
        </is>
      </c>
      <c r="OP785" s="2">
        <v>0.0698</v>
      </c>
      <c r="OQ785" s="2">
        <v>0.07000000000000001</v>
      </c>
      <c r="OR785" s="2">
        <v>0.0698</v>
      </c>
      <c r="OS785" s="2">
        <v>0.0696</v>
      </c>
      <c r="OT785" s="2">
        <v>0.0698</v>
      </c>
      <c r="OU785" s="2">
        <v>0.09229999999999999</v>
      </c>
      <c r="OV785" s="2">
        <v>0.0925</v>
      </c>
      <c r="OW785" s="2">
        <v>0.0922</v>
      </c>
      <c r="OX785" s="2">
        <v>0.0916</v>
      </c>
      <c r="PC785" s="2">
        <v>0.09130000000000001</v>
      </c>
      <c r="PD785" s="2">
        <v>0.0912</v>
      </c>
      <c r="PE785" s="2">
        <v>0.091</v>
      </c>
      <c r="PF785" s="2">
        <v>0.09030000000000001</v>
      </c>
      <c r="PG785" s="2">
        <v>0.0907</v>
      </c>
      <c r="PH785" s="2">
        <v>0.0906</v>
      </c>
      <c r="PI785" s="2">
        <v>0.08939999999999999</v>
      </c>
    </row>
    <row r="786">
      <c r="A786" t="inlineStr">
        <is>
          <t>A130393096K</t>
        </is>
      </c>
      <c r="B786" t="inlineStr">
        <is>
          <t>Contribution to All groups CPI Annual Percentage Points Change ;  Utilities ;  Australia ;</t>
        </is>
      </c>
      <c r="C786" t="inlineStr">
        <is>
          <t>Month</t>
        </is>
      </c>
      <c r="D786" t="inlineStr">
        <is>
          <t>% pts</t>
        </is>
      </c>
      <c r="E786" t="inlineStr">
        <is>
          <t>Original</t>
        </is>
      </c>
      <c r="F786" t="inlineStr">
        <is>
          <t>640104.xlsx</t>
        </is>
      </c>
      <c r="G786" t="inlineStr">
        <is>
          <t>2025-04</t>
        </is>
      </c>
      <c r="H786" t="inlineStr">
        <is>
          <t>2026-07</t>
        </is>
      </c>
      <c r="OP786" s="2">
        <v>-0.06710000000000001</v>
      </c>
      <c r="OQ786" s="2">
        <v>-0.0535</v>
      </c>
      <c r="OR786" s="2">
        <v>-0.0825</v>
      </c>
      <c r="OS786" s="2">
        <v>0.3901</v>
      </c>
      <c r="OT786" s="2">
        <v>0.5516</v>
      </c>
      <c r="OU786" s="2">
        <v>0.7050999999999999</v>
      </c>
      <c r="OV786" s="2">
        <v>0.6896</v>
      </c>
      <c r="OW786" s="2">
        <v>0.4889</v>
      </c>
      <c r="OX786" s="2">
        <v>0.5305</v>
      </c>
      <c r="PC786" s="2">
        <v>0.7889</v>
      </c>
      <c r="PD786" s="2">
        <v>0.8653999999999999</v>
      </c>
      <c r="PE786" s="2">
        <v>0.6784</v>
      </c>
      <c r="PF786" s="2">
        <v>0.6158</v>
      </c>
      <c r="PG786" s="2">
        <v>0.589</v>
      </c>
      <c r="PH786" s="2">
        <v>0.6374</v>
      </c>
      <c r="PI786" s="2">
        <v>0.2806</v>
      </c>
    </row>
    <row r="787">
      <c r="A787" t="inlineStr">
        <is>
          <t>A130391066K</t>
        </is>
      </c>
      <c r="B787" t="inlineStr">
        <is>
          <t>Contribution to All groups CPI Annual Percentage Points Change ;  Water and sewerage ;  Australia ;</t>
        </is>
      </c>
      <c r="C787" t="inlineStr">
        <is>
          <t>Month</t>
        </is>
      </c>
      <c r="D787" t="inlineStr">
        <is>
          <t>% pts</t>
        </is>
      </c>
      <c r="E787" t="inlineStr">
        <is>
          <t>Original</t>
        </is>
      </c>
      <c r="F787" t="inlineStr">
        <is>
          <t>640104.xlsx</t>
        </is>
      </c>
      <c r="G787" t="inlineStr">
        <is>
          <t>2025-04</t>
        </is>
      </c>
      <c r="H787" t="inlineStr">
        <is>
          <t>2026-07</t>
        </is>
      </c>
      <c r="OP787" s="2">
        <v>0.0222</v>
      </c>
      <c r="OQ787" s="2">
        <v>0.0222</v>
      </c>
      <c r="OR787" s="2">
        <v>0.0221</v>
      </c>
      <c r="OS787" s="2">
        <v>0.024</v>
      </c>
      <c r="OT787" s="2">
        <v>0.024</v>
      </c>
      <c r="OU787" s="2">
        <v>0.024</v>
      </c>
      <c r="OV787" s="2">
        <v>0.0621</v>
      </c>
      <c r="OW787" s="2">
        <v>0.0619</v>
      </c>
      <c r="OX787" s="2">
        <v>0.0616</v>
      </c>
      <c r="PC787" s="2">
        <v>0.0614</v>
      </c>
      <c r="PD787" s="2">
        <v>0.0614</v>
      </c>
      <c r="PE787" s="2">
        <v>0.0612</v>
      </c>
      <c r="PF787" s="2">
        <v>0.0608</v>
      </c>
      <c r="PG787" s="2">
        <v>0.0611</v>
      </c>
      <c r="PH787" s="2">
        <v>0.061</v>
      </c>
      <c r="PI787" s="2">
        <v>0.08939999999999999</v>
      </c>
    </row>
    <row r="788">
      <c r="A788" t="inlineStr">
        <is>
          <t>A130390737V</t>
        </is>
      </c>
      <c r="B788" t="inlineStr">
        <is>
          <t>Contribution to All groups CPI Annual Percentage Points Change ;  Electricity ;  Australia ;</t>
        </is>
      </c>
      <c r="C788" t="inlineStr">
        <is>
          <t>Month</t>
        </is>
      </c>
      <c r="D788" t="inlineStr">
        <is>
          <t>% pts</t>
        </is>
      </c>
      <c r="E788" t="inlineStr">
        <is>
          <t>Original</t>
        </is>
      </c>
      <c r="F788" t="inlineStr">
        <is>
          <t>640104.xlsx</t>
        </is>
      </c>
      <c r="G788" t="inlineStr">
        <is>
          <t>2025-04</t>
        </is>
      </c>
      <c r="H788" t="inlineStr">
        <is>
          <t>2026-07</t>
        </is>
      </c>
      <c r="OP788" s="2">
        <v>-0.1485</v>
      </c>
      <c r="OQ788" s="2">
        <v>-0.1364</v>
      </c>
      <c r="OR788" s="2">
        <v>-0.1451</v>
      </c>
      <c r="OS788" s="2">
        <v>0.3208</v>
      </c>
      <c r="OT788" s="2">
        <v>0.4882</v>
      </c>
      <c r="OU788" s="2">
        <v>0.619</v>
      </c>
      <c r="OV788" s="2">
        <v>0.5905</v>
      </c>
      <c r="OW788" s="2">
        <v>0.3875</v>
      </c>
      <c r="OX788" s="2">
        <v>0.4131</v>
      </c>
      <c r="PC788" s="2">
        <v>0.6723</v>
      </c>
      <c r="PD788" s="2">
        <v>0.752</v>
      </c>
      <c r="PE788" s="2">
        <v>0.5634</v>
      </c>
      <c r="PF788" s="2">
        <v>0.5017</v>
      </c>
      <c r="PG788" s="2">
        <v>0.4834</v>
      </c>
      <c r="PH788" s="2">
        <v>0.5105</v>
      </c>
      <c r="PI788" s="2">
        <v>0.1554</v>
      </c>
    </row>
    <row r="789">
      <c r="A789" t="inlineStr">
        <is>
          <t>A130392620A</t>
        </is>
      </c>
      <c r="B789" t="inlineStr">
        <is>
          <t>Contribution to All groups CPI Annual Percentage Points Change ;  Gas and other household fuels ;  Australia ;</t>
        </is>
      </c>
      <c r="C789" t="inlineStr">
        <is>
          <t>Month</t>
        </is>
      </c>
      <c r="D789" t="inlineStr">
        <is>
          <t>% pts</t>
        </is>
      </c>
      <c r="E789" t="inlineStr">
        <is>
          <t>Original</t>
        </is>
      </c>
      <c r="F789" t="inlineStr">
        <is>
          <t>640104.xlsx</t>
        </is>
      </c>
      <c r="G789" t="inlineStr">
        <is>
          <t>2025-04</t>
        </is>
      </c>
      <c r="H789" t="inlineStr">
        <is>
          <t>2026-07</t>
        </is>
      </c>
      <c r="OP789" s="2">
        <v>0.0592</v>
      </c>
      <c r="OQ789" s="2">
        <v>0.0606</v>
      </c>
      <c r="OR789" s="2">
        <v>0.0403</v>
      </c>
      <c r="OS789" s="2">
        <v>0.0452</v>
      </c>
      <c r="OT789" s="2">
        <v>0.0393</v>
      </c>
      <c r="OU789" s="2">
        <v>0.062</v>
      </c>
      <c r="OV789" s="2">
        <v>0.0369</v>
      </c>
      <c r="OW789" s="2">
        <v>0.0394</v>
      </c>
      <c r="OX789" s="2">
        <v>0.0557</v>
      </c>
      <c r="PC789" s="2">
        <v>0.0552</v>
      </c>
      <c r="PD789" s="2">
        <v>0.052</v>
      </c>
      <c r="PE789" s="2">
        <v>0.0538</v>
      </c>
      <c r="PF789" s="2">
        <v>0.0533</v>
      </c>
      <c r="PG789" s="2">
        <v>0.0445</v>
      </c>
      <c r="PH789" s="2">
        <v>0.0659</v>
      </c>
      <c r="PI789" s="2">
        <v>0.0358</v>
      </c>
    </row>
    <row r="790">
      <c r="A790" t="inlineStr">
        <is>
          <t>A130399204T</t>
        </is>
      </c>
      <c r="B790" t="inlineStr">
        <is>
          <t>Contribution to All groups CPI Annual Percentage Points Change ;  Furnishings, household equipment and services ;  Australia ;</t>
        </is>
      </c>
      <c r="C790" t="inlineStr">
        <is>
          <t>Month</t>
        </is>
      </c>
      <c r="D790" t="inlineStr">
        <is>
          <t>% pts</t>
        </is>
      </c>
      <c r="E790" t="inlineStr">
        <is>
          <t>Original</t>
        </is>
      </c>
      <c r="F790" t="inlineStr">
        <is>
          <t>640104.xlsx</t>
        </is>
      </c>
      <c r="G790" t="inlineStr">
        <is>
          <t>2025-04</t>
        </is>
      </c>
      <c r="H790" t="inlineStr">
        <is>
          <t>2026-07</t>
        </is>
      </c>
      <c r="OP790" s="2">
        <v>0.1474</v>
      </c>
      <c r="OQ790" s="2">
        <v>0.1191</v>
      </c>
      <c r="OR790" s="2">
        <v>0.1404</v>
      </c>
      <c r="OS790" s="2">
        <v>0.1454</v>
      </c>
      <c r="OT790" s="2">
        <v>0.1341</v>
      </c>
      <c r="OU790" s="2">
        <v>0.1396</v>
      </c>
      <c r="OV790" s="2">
        <v>0.1628</v>
      </c>
      <c r="OW790" s="2">
        <v>0.0998</v>
      </c>
      <c r="OX790" s="2">
        <v>0.1596</v>
      </c>
      <c r="PC790" s="2">
        <v>0.1086</v>
      </c>
      <c r="PD790" s="2">
        <v>0.1054</v>
      </c>
      <c r="PE790" s="2">
        <v>0.1088</v>
      </c>
      <c r="PF790" s="2">
        <v>0.09760000000000001</v>
      </c>
      <c r="PG790" s="2">
        <v>0.133</v>
      </c>
      <c r="PH790" s="2">
        <v>0.1221</v>
      </c>
      <c r="PI790" s="2">
        <v>0.1226</v>
      </c>
    </row>
    <row r="791">
      <c r="A791" t="inlineStr">
        <is>
          <t>A130397801C</t>
        </is>
      </c>
      <c r="B791" t="inlineStr">
        <is>
          <t>Contribution to All groups CPI Annual Percentage Points Change ;  Furniture and furnishings ;  Australia ;</t>
        </is>
      </c>
      <c r="C791" t="inlineStr">
        <is>
          <t>Month</t>
        </is>
      </c>
      <c r="D791" t="inlineStr">
        <is>
          <t>% pts</t>
        </is>
      </c>
      <c r="E791" t="inlineStr">
        <is>
          <t>Original</t>
        </is>
      </c>
      <c r="F791" t="inlineStr">
        <is>
          <t>640104.xlsx</t>
        </is>
      </c>
      <c r="G791" t="inlineStr">
        <is>
          <t>2025-04</t>
        </is>
      </c>
      <c r="H791" t="inlineStr">
        <is>
          <t>2026-07</t>
        </is>
      </c>
      <c r="OP791" s="2">
        <v>0.0162</v>
      </c>
      <c r="OQ791" s="2">
        <v>-0.0063</v>
      </c>
      <c r="OR791" s="2">
        <v>0.0116</v>
      </c>
      <c r="OS791" s="2">
        <v>0.0048</v>
      </c>
      <c r="OT791" s="2">
        <v>-0.0044</v>
      </c>
      <c r="OU791" s="2">
        <v>0.008200000000000001</v>
      </c>
      <c r="OV791" s="2">
        <v>0.0107</v>
      </c>
      <c r="OW791" s="2">
        <v>-0.0014</v>
      </c>
      <c r="OX791" s="2">
        <v>0.0127</v>
      </c>
      <c r="PC791" s="2">
        <v>-0.0156</v>
      </c>
      <c r="PD791" s="2">
        <v>-0.0194</v>
      </c>
      <c r="PE791" s="2">
        <v>0.0039</v>
      </c>
      <c r="PF791" s="2">
        <v>0.0027</v>
      </c>
      <c r="PG791" s="2">
        <v>0.0253</v>
      </c>
      <c r="PH791" s="2">
        <v>0.0035</v>
      </c>
      <c r="PI791" s="2">
        <v>0.0033</v>
      </c>
    </row>
    <row r="792">
      <c r="A792" t="inlineStr">
        <is>
          <t>A130394601F</t>
        </is>
      </c>
      <c r="B792" t="inlineStr">
        <is>
          <t>Contribution to All groups CPI Annual Percentage Points Change ;  Furniture ;  Australia ;</t>
        </is>
      </c>
      <c r="C792" t="inlineStr">
        <is>
          <t>Month</t>
        </is>
      </c>
      <c r="D792" t="inlineStr">
        <is>
          <t>% pts</t>
        </is>
      </c>
      <c r="E792" t="inlineStr">
        <is>
          <t>Original</t>
        </is>
      </c>
      <c r="F792" t="inlineStr">
        <is>
          <t>640104.xlsx</t>
        </is>
      </c>
      <c r="G792" t="inlineStr">
        <is>
          <t>2025-04</t>
        </is>
      </c>
      <c r="H792" t="inlineStr">
        <is>
          <t>2026-07</t>
        </is>
      </c>
      <c r="OP792" s="2">
        <v>0.0188</v>
      </c>
      <c r="OQ792" s="2">
        <v>-0.008500000000000001</v>
      </c>
      <c r="OR792" s="2">
        <v>0.0133</v>
      </c>
      <c r="OS792" s="2">
        <v>0.003</v>
      </c>
      <c r="OT792" s="2">
        <v>-0.008800000000000001</v>
      </c>
      <c r="OU792" s="2">
        <v>0.0038</v>
      </c>
      <c r="OV792" s="2">
        <v>0.0055</v>
      </c>
      <c r="OW792" s="2">
        <v>-0.005</v>
      </c>
      <c r="OX792" s="2">
        <v>0.0083</v>
      </c>
      <c r="PC792" s="2">
        <v>-0.0229</v>
      </c>
      <c r="PD792" s="2">
        <v>-0.0266</v>
      </c>
      <c r="PE792" s="2">
        <v>-0.0052</v>
      </c>
      <c r="PF792" s="2">
        <v>-0.0058</v>
      </c>
      <c r="PG792" s="2">
        <v>0.0187</v>
      </c>
      <c r="PH792" s="2">
        <v>-0.006</v>
      </c>
      <c r="PI792" s="2">
        <v>-0.0058</v>
      </c>
    </row>
    <row r="793">
      <c r="A793" t="inlineStr">
        <is>
          <t>A130397829F</t>
        </is>
      </c>
      <c r="B793" t="inlineStr">
        <is>
          <t>Contribution to All groups CPI Annual Percentage Points Change ;  Carpets and other floor coverings ;  Australia ;</t>
        </is>
      </c>
      <c r="C793" t="inlineStr">
        <is>
          <t>Month</t>
        </is>
      </c>
      <c r="D793" t="inlineStr">
        <is>
          <t>% pts</t>
        </is>
      </c>
      <c r="E793" t="inlineStr">
        <is>
          <t>Original</t>
        </is>
      </c>
      <c r="F793" t="inlineStr">
        <is>
          <t>640104.xlsx</t>
        </is>
      </c>
      <c r="G793" t="inlineStr">
        <is>
          <t>2025-04</t>
        </is>
      </c>
      <c r="H793" t="inlineStr">
        <is>
          <t>2026-07</t>
        </is>
      </c>
      <c r="OP793" s="2">
        <v>-0.0026</v>
      </c>
      <c r="OQ793" s="2">
        <v>0.0022</v>
      </c>
      <c r="OR793" s="2">
        <v>-0.0016</v>
      </c>
      <c r="OS793" s="2">
        <v>0.0018</v>
      </c>
      <c r="OT793" s="2">
        <v>0.0044</v>
      </c>
      <c r="OU793" s="2">
        <v>0.0044</v>
      </c>
      <c r="OV793" s="2">
        <v>0.0051</v>
      </c>
      <c r="OW793" s="2">
        <v>0.0036</v>
      </c>
      <c r="OX793" s="2">
        <v>0.0044</v>
      </c>
      <c r="PC793" s="2">
        <v>0.0072</v>
      </c>
      <c r="PD793" s="2">
        <v>0.0071</v>
      </c>
      <c r="PE793" s="2">
        <v>0.0091</v>
      </c>
      <c r="PF793" s="2">
        <v>0.008500000000000001</v>
      </c>
      <c r="PG793" s="2">
        <v>0.0066</v>
      </c>
      <c r="PH793" s="2">
        <v>0.0094</v>
      </c>
      <c r="PI793" s="2">
        <v>0.0091</v>
      </c>
    </row>
    <row r="794">
      <c r="A794" t="inlineStr">
        <is>
          <t>A130396498F</t>
        </is>
      </c>
      <c r="B794" t="inlineStr">
        <is>
          <t>Contribution to All groups CPI Annual Percentage Points Change ;  Household textiles ;  Australia ;</t>
        </is>
      </c>
      <c r="C794" t="inlineStr">
        <is>
          <t>Month</t>
        </is>
      </c>
      <c r="D794" t="inlineStr">
        <is>
          <t>% pts</t>
        </is>
      </c>
      <c r="E794" t="inlineStr">
        <is>
          <t>Original</t>
        </is>
      </c>
      <c r="F794" t="inlineStr">
        <is>
          <t>640104.xlsx</t>
        </is>
      </c>
      <c r="G794" t="inlineStr">
        <is>
          <t>2025-04</t>
        </is>
      </c>
      <c r="H794" t="inlineStr">
        <is>
          <t>2026-07</t>
        </is>
      </c>
      <c r="OP794" s="2">
        <v>-0.0072</v>
      </c>
      <c r="OQ794" s="2">
        <v>0.0022</v>
      </c>
      <c r="OR794" s="2">
        <v>-0.0012</v>
      </c>
      <c r="OS794" s="2">
        <v>0.009299999999999999</v>
      </c>
      <c r="OT794" s="2">
        <v>-0.0184</v>
      </c>
      <c r="OU794" s="2">
        <v>0.0003</v>
      </c>
      <c r="OV794" s="2">
        <v>0.0171</v>
      </c>
      <c r="OW794" s="2">
        <v>-0.0166</v>
      </c>
      <c r="OX794" s="2">
        <v>0.0221</v>
      </c>
      <c r="PC794" s="2">
        <v>0.0034</v>
      </c>
      <c r="PD794" s="2">
        <v>0.0008</v>
      </c>
      <c r="PE794" s="2">
        <v>-0.0103</v>
      </c>
      <c r="PF794" s="2">
        <v>-0.0068</v>
      </c>
      <c r="PG794" s="2">
        <v>-0.0219</v>
      </c>
      <c r="PH794" s="2">
        <v>-0.0025</v>
      </c>
      <c r="PI794" s="2">
        <v>0.0036</v>
      </c>
    </row>
    <row r="795">
      <c r="A795" t="inlineStr">
        <is>
          <t>A130395385T</t>
        </is>
      </c>
      <c r="B795" t="inlineStr">
        <is>
          <t>Contribution to All groups CPI Annual Percentage Points Change ;  Household textiles ;  Australia ;</t>
        </is>
      </c>
      <c r="C795" t="inlineStr">
        <is>
          <t>Month</t>
        </is>
      </c>
      <c r="D795" t="inlineStr">
        <is>
          <t>% pts</t>
        </is>
      </c>
      <c r="E795" t="inlineStr">
        <is>
          <t>Original</t>
        </is>
      </c>
      <c r="F795" t="inlineStr">
        <is>
          <t>640104.xlsx</t>
        </is>
      </c>
      <c r="G795" t="inlineStr">
        <is>
          <t>2025-04</t>
        </is>
      </c>
      <c r="H795" t="inlineStr">
        <is>
          <t>2026-07</t>
        </is>
      </c>
      <c r="OP795" s="2">
        <v>-0.0072</v>
      </c>
      <c r="OQ795" s="2">
        <v>0.0022</v>
      </c>
      <c r="OR795" s="2">
        <v>-0.0012</v>
      </c>
      <c r="OS795" s="2">
        <v>0.009299999999999999</v>
      </c>
      <c r="OT795" s="2">
        <v>-0.0184</v>
      </c>
      <c r="OU795" s="2">
        <v>0.0003</v>
      </c>
      <c r="OV795" s="2">
        <v>0.0171</v>
      </c>
      <c r="OW795" s="2">
        <v>-0.0166</v>
      </c>
      <c r="OX795" s="2">
        <v>0.0221</v>
      </c>
      <c r="PC795" s="2">
        <v>0.0034</v>
      </c>
      <c r="PD795" s="2">
        <v>0.0008</v>
      </c>
      <c r="PE795" s="2">
        <v>-0.0103</v>
      </c>
      <c r="PF795" s="2">
        <v>-0.0068</v>
      </c>
      <c r="PG795" s="2">
        <v>-0.0219</v>
      </c>
      <c r="PH795" s="2">
        <v>-0.0025</v>
      </c>
      <c r="PI795" s="2">
        <v>0.0036</v>
      </c>
    </row>
    <row r="796">
      <c r="A796" t="inlineStr">
        <is>
          <t>A130398522F</t>
        </is>
      </c>
      <c r="B796" t="inlineStr">
        <is>
          <t>Contribution to All groups CPI Annual Percentage Points Change ;  Household appliances, utensils and tools ;  Australia ;</t>
        </is>
      </c>
      <c r="C796" t="inlineStr">
        <is>
          <t>Month</t>
        </is>
      </c>
      <c r="D796" t="inlineStr">
        <is>
          <t>% pts</t>
        </is>
      </c>
      <c r="E796" t="inlineStr">
        <is>
          <t>Original</t>
        </is>
      </c>
      <c r="F796" t="inlineStr">
        <is>
          <t>640104.xlsx</t>
        </is>
      </c>
      <c r="G796" t="inlineStr">
        <is>
          <t>2025-04</t>
        </is>
      </c>
      <c r="H796" t="inlineStr">
        <is>
          <t>2026-07</t>
        </is>
      </c>
      <c r="OP796" s="2">
        <v>-0.0057</v>
      </c>
      <c r="OQ796" s="2">
        <v>-0.0138</v>
      </c>
      <c r="OR796" s="2">
        <v>-0.0047</v>
      </c>
      <c r="OS796" s="2">
        <v>-0.0252</v>
      </c>
      <c r="OT796" s="2">
        <v>0.0113</v>
      </c>
      <c r="OU796" s="2">
        <v>-0.0045</v>
      </c>
      <c r="OV796" s="2">
        <v>-0.0102</v>
      </c>
      <c r="OW796" s="2">
        <v>-0.0135</v>
      </c>
      <c r="OX796" s="2">
        <v>-0.0264</v>
      </c>
      <c r="PC796" s="2">
        <v>-0.0054</v>
      </c>
      <c r="PD796" s="2">
        <v>0.0041</v>
      </c>
      <c r="PE796" s="2">
        <v>-0.0011</v>
      </c>
      <c r="PF796" s="2">
        <v>-0.0193</v>
      </c>
      <c r="PG796" s="2">
        <v>-0.0028</v>
      </c>
      <c r="PH796" s="2">
        <v>-0.0055</v>
      </c>
      <c r="PI796" s="2">
        <v>0.008800000000000001</v>
      </c>
    </row>
    <row r="797">
      <c r="A797" t="inlineStr">
        <is>
          <t>A130399512V</t>
        </is>
      </c>
      <c r="B797" t="inlineStr">
        <is>
          <t>Contribution to All groups CPI Annual Percentage Points Change ;  Major household appliances ;  Australia ;</t>
        </is>
      </c>
      <c r="C797" t="inlineStr">
        <is>
          <t>Month</t>
        </is>
      </c>
      <c r="D797" t="inlineStr">
        <is>
          <t>% pts</t>
        </is>
      </c>
      <c r="E797" t="inlineStr">
        <is>
          <t>Original</t>
        </is>
      </c>
      <c r="F797" t="inlineStr">
        <is>
          <t>640104.xlsx</t>
        </is>
      </c>
      <c r="G797" t="inlineStr">
        <is>
          <t>2025-04</t>
        </is>
      </c>
      <c r="H797" t="inlineStr">
        <is>
          <t>2026-07</t>
        </is>
      </c>
      <c r="OP797" s="2">
        <v>-0.0055</v>
      </c>
      <c r="OQ797" s="2">
        <v>0.0038</v>
      </c>
      <c r="OR797" s="2">
        <v>0.0077</v>
      </c>
      <c r="OS797" s="2">
        <v>-0.0037</v>
      </c>
      <c r="OT797" s="2">
        <v>0.0014</v>
      </c>
      <c r="OU797" s="2">
        <v>0.0028</v>
      </c>
      <c r="OV797" s="2">
        <v>-0.005</v>
      </c>
      <c r="OW797" s="2">
        <v>-0.0035</v>
      </c>
      <c r="OX797" s="2">
        <v>-0.0032</v>
      </c>
      <c r="PC797" s="2">
        <v>0.0015</v>
      </c>
      <c r="PD797" s="2">
        <v>0.0016</v>
      </c>
      <c r="PE797" s="2">
        <v>-0.0015</v>
      </c>
      <c r="PF797" s="2">
        <v>-0.0031</v>
      </c>
      <c r="PG797" s="2">
        <v>-0.0083</v>
      </c>
      <c r="PH797" s="2">
        <v>-0.0169</v>
      </c>
      <c r="PI797" s="2">
        <v>0.0015</v>
      </c>
    </row>
    <row r="798">
      <c r="A798" t="inlineStr">
        <is>
          <t>A130391255W</t>
        </is>
      </c>
      <c r="B798" t="inlineStr">
        <is>
          <t>Contribution to All groups CPI Annual Percentage Points Change ;  Small electric household appliances ;  Australia ;</t>
        </is>
      </c>
      <c r="C798" t="inlineStr">
        <is>
          <t>Month</t>
        </is>
      </c>
      <c r="D798" t="inlineStr">
        <is>
          <t>% pts</t>
        </is>
      </c>
      <c r="E798" t="inlineStr">
        <is>
          <t>Original</t>
        </is>
      </c>
      <c r="F798" t="inlineStr">
        <is>
          <t>640104.xlsx</t>
        </is>
      </c>
      <c r="G798" t="inlineStr">
        <is>
          <t>2025-04</t>
        </is>
      </c>
      <c r="H798" t="inlineStr">
        <is>
          <t>2026-07</t>
        </is>
      </c>
      <c r="OP798" s="2">
        <v>-0.0017</v>
      </c>
      <c r="OQ798" s="2">
        <v>-0.0094</v>
      </c>
      <c r="OR798" s="2">
        <v>-0.005</v>
      </c>
      <c r="OS798" s="2">
        <v>-0.0115</v>
      </c>
      <c r="OT798" s="2">
        <v>-0.0012</v>
      </c>
      <c r="OU798" s="2">
        <v>-0.0003</v>
      </c>
      <c r="OV798" s="2">
        <v>0.0002</v>
      </c>
      <c r="OW798" s="2">
        <v>-0.0009</v>
      </c>
      <c r="OX798" s="2">
        <v>-0.0012</v>
      </c>
      <c r="PC798" s="2">
        <v>-0.0057</v>
      </c>
      <c r="PD798" s="2">
        <v>-0.0003</v>
      </c>
      <c r="PE798" s="2">
        <v>-0.0002</v>
      </c>
      <c r="PF798" s="2">
        <v>-0.0052</v>
      </c>
      <c r="PG798" s="2">
        <v>-0.0042</v>
      </c>
      <c r="PH798" s="2">
        <v>-0.0013</v>
      </c>
      <c r="PI798" s="2">
        <v>0.0017</v>
      </c>
    </row>
    <row r="799">
      <c r="A799" t="inlineStr">
        <is>
          <t>A130391269K</t>
        </is>
      </c>
      <c r="B799" t="inlineStr">
        <is>
          <t>Contribution to All groups CPI Annual Percentage Points Change ;  Glassware, tableware and household utensils ;  Australia ;</t>
        </is>
      </c>
      <c r="C799" t="inlineStr">
        <is>
          <t>Month</t>
        </is>
      </c>
      <c r="D799" t="inlineStr">
        <is>
          <t>% pts</t>
        </is>
      </c>
      <c r="E799" t="inlineStr">
        <is>
          <t>Original</t>
        </is>
      </c>
      <c r="F799" t="inlineStr">
        <is>
          <t>640104.xlsx</t>
        </is>
      </c>
      <c r="G799" t="inlineStr">
        <is>
          <t>2025-04</t>
        </is>
      </c>
      <c r="H799" t="inlineStr">
        <is>
          <t>2026-07</t>
        </is>
      </c>
      <c r="OP799" s="2">
        <v>0.0037</v>
      </c>
      <c r="OQ799" s="2">
        <v>-0.0064</v>
      </c>
      <c r="OR799" s="2">
        <v>-0.0049</v>
      </c>
      <c r="OS799" s="2">
        <v>-0.003</v>
      </c>
      <c r="OT799" s="2">
        <v>0.0169</v>
      </c>
      <c r="OU799" s="2">
        <v>-0.0015</v>
      </c>
      <c r="OV799" s="2">
        <v>-0.0024</v>
      </c>
      <c r="OW799" s="2">
        <v>-0.0075</v>
      </c>
      <c r="OX799" s="2">
        <v>-0.0169</v>
      </c>
      <c r="PC799" s="2">
        <v>0.0047</v>
      </c>
      <c r="PD799" s="2">
        <v>0.0029</v>
      </c>
      <c r="PE799" s="2">
        <v>0.0045</v>
      </c>
      <c r="PF799" s="2">
        <v>-0.0086</v>
      </c>
      <c r="PG799" s="2">
        <v>0.0101</v>
      </c>
      <c r="PH799" s="2">
        <v>0.008999999999999999</v>
      </c>
      <c r="PI799" s="2">
        <v>-0.0014</v>
      </c>
    </row>
    <row r="800">
      <c r="A800" t="inlineStr">
        <is>
          <t>A130392039W</t>
        </is>
      </c>
      <c r="B800" t="inlineStr">
        <is>
          <t>Contribution to All groups CPI Annual Percentage Points Change ;  Tools and equipment for house and garden ;  Australia ;</t>
        </is>
      </c>
      <c r="C800" t="inlineStr">
        <is>
          <t>Month</t>
        </is>
      </c>
      <c r="D800" t="inlineStr">
        <is>
          <t>% pts</t>
        </is>
      </c>
      <c r="E800" t="inlineStr">
        <is>
          <t>Original</t>
        </is>
      </c>
      <c r="F800" t="inlineStr">
        <is>
          <t>640104.xlsx</t>
        </is>
      </c>
      <c r="G800" t="inlineStr">
        <is>
          <t>2025-04</t>
        </is>
      </c>
      <c r="H800" t="inlineStr">
        <is>
          <t>2026-07</t>
        </is>
      </c>
      <c r="OP800" s="2">
        <v>-0.0022</v>
      </c>
      <c r="OQ800" s="2">
        <v>-0.0018</v>
      </c>
      <c r="OR800" s="2">
        <v>-0.0025</v>
      </c>
      <c r="OS800" s="2">
        <v>-0.0071</v>
      </c>
      <c r="OT800" s="2">
        <v>-0.0059</v>
      </c>
      <c r="OU800" s="2">
        <v>-0.0055</v>
      </c>
      <c r="OV800" s="2">
        <v>-0.0029</v>
      </c>
      <c r="OW800" s="2">
        <v>-0.0015</v>
      </c>
      <c r="OX800" s="2">
        <v>-0.0051</v>
      </c>
      <c r="PC800" s="2">
        <v>-0.0059</v>
      </c>
      <c r="PD800" s="2">
        <v>-0.0001</v>
      </c>
      <c r="PE800" s="2">
        <v>-0.0039</v>
      </c>
      <c r="PF800" s="2">
        <v>-0.0025</v>
      </c>
      <c r="PG800" s="2">
        <v>-0.0003</v>
      </c>
      <c r="PH800" s="2">
        <v>0.0037</v>
      </c>
      <c r="PI800" s="2">
        <v>0.0071</v>
      </c>
    </row>
    <row r="801">
      <c r="A801" t="inlineStr">
        <is>
          <t>A130394923W</t>
        </is>
      </c>
      <c r="B801" t="inlineStr">
        <is>
          <t>Contribution to All groups CPI Annual Percentage Points Change ;  Non-durable household products ;  Australia ;</t>
        </is>
      </c>
      <c r="C801" t="inlineStr">
        <is>
          <t>Month</t>
        </is>
      </c>
      <c r="D801" t="inlineStr">
        <is>
          <t>% pts</t>
        </is>
      </c>
      <c r="E801" t="inlineStr">
        <is>
          <t>Original</t>
        </is>
      </c>
      <c r="F801" t="inlineStr">
        <is>
          <t>640104.xlsx</t>
        </is>
      </c>
      <c r="G801" t="inlineStr">
        <is>
          <t>2025-04</t>
        </is>
      </c>
      <c r="H801" t="inlineStr">
        <is>
          <t>2026-07</t>
        </is>
      </c>
      <c r="OP801" s="2">
        <v>0.0007</v>
      </c>
      <c r="OQ801" s="2">
        <v>-0.0054</v>
      </c>
      <c r="OR801" s="2">
        <v>-0.008399999999999999</v>
      </c>
      <c r="OS801" s="2">
        <v>0.0133</v>
      </c>
      <c r="OT801" s="2">
        <v>0.0102</v>
      </c>
      <c r="OU801" s="2">
        <v>0.0168</v>
      </c>
      <c r="OV801" s="2">
        <v>0.0235</v>
      </c>
      <c r="OW801" s="2">
        <v>0.0041</v>
      </c>
      <c r="OX801" s="2">
        <v>0.0207</v>
      </c>
      <c r="PC801" s="2">
        <v>-0.0055</v>
      </c>
      <c r="PD801" s="2">
        <v>-0.0005999999999999999</v>
      </c>
      <c r="PE801" s="2">
        <v>-0.007900000000000001</v>
      </c>
      <c r="PF801" s="2">
        <v>-0.0089</v>
      </c>
      <c r="PG801" s="2">
        <v>0.0005</v>
      </c>
      <c r="PH801" s="2">
        <v>0.0001</v>
      </c>
      <c r="PI801" s="2">
        <v>-0.0151</v>
      </c>
    </row>
    <row r="802">
      <c r="A802" t="inlineStr">
        <is>
          <t>A130399526J</t>
        </is>
      </c>
      <c r="B802" t="inlineStr">
        <is>
          <t>Contribution to All groups CPI Annual Percentage Points Change ;  Cleaning and maintenance products ;  Australia ;</t>
        </is>
      </c>
      <c r="C802" t="inlineStr">
        <is>
          <t>Month</t>
        </is>
      </c>
      <c r="D802" t="inlineStr">
        <is>
          <t>% pts</t>
        </is>
      </c>
      <c r="E802" t="inlineStr">
        <is>
          <t>Original</t>
        </is>
      </c>
      <c r="F802" t="inlineStr">
        <is>
          <t>640104.xlsx</t>
        </is>
      </c>
      <c r="G802" t="inlineStr">
        <is>
          <t>2025-04</t>
        </is>
      </c>
      <c r="H802" t="inlineStr">
        <is>
          <t>2026-07</t>
        </is>
      </c>
      <c r="OP802" s="2">
        <v>-0.0027</v>
      </c>
      <c r="OQ802" s="2">
        <v>-0.0003</v>
      </c>
      <c r="OR802" s="2">
        <v>0.0009</v>
      </c>
      <c r="OS802" s="2">
        <v>0.0027</v>
      </c>
      <c r="OT802" s="2">
        <v>0.0014</v>
      </c>
      <c r="OU802" s="2">
        <v>0.0034</v>
      </c>
      <c r="OV802" s="2">
        <v>0.0026</v>
      </c>
      <c r="OW802" s="2">
        <v>0.0031</v>
      </c>
      <c r="OX802" s="2">
        <v>0.0041</v>
      </c>
      <c r="PC802" s="2">
        <v>0.0025</v>
      </c>
      <c r="PD802" s="2">
        <v>0.0004</v>
      </c>
      <c r="PE802" s="2">
        <v>0</v>
      </c>
      <c r="PF802" s="2">
        <v>0.0022</v>
      </c>
      <c r="PG802" s="2">
        <v>0.0019</v>
      </c>
      <c r="PH802" s="2">
        <v>0.0002</v>
      </c>
      <c r="PI802" s="2">
        <v>0.002</v>
      </c>
    </row>
    <row r="803">
      <c r="A803" t="inlineStr">
        <is>
          <t>A130393537F</t>
        </is>
      </c>
      <c r="B803" t="inlineStr">
        <is>
          <t>Contribution to All groups CPI Annual Percentage Points Change ;  Personal care products ;  Australia ;</t>
        </is>
      </c>
      <c r="C803" t="inlineStr">
        <is>
          <t>Month</t>
        </is>
      </c>
      <c r="D803" t="inlineStr">
        <is>
          <t>% pts</t>
        </is>
      </c>
      <c r="E803" t="inlineStr">
        <is>
          <t>Original</t>
        </is>
      </c>
      <c r="F803" t="inlineStr">
        <is>
          <t>640104.xlsx</t>
        </is>
      </c>
      <c r="G803" t="inlineStr">
        <is>
          <t>2025-04</t>
        </is>
      </c>
      <c r="H803" t="inlineStr">
        <is>
          <t>2026-07</t>
        </is>
      </c>
      <c r="OP803" s="2">
        <v>0.0139</v>
      </c>
      <c r="OQ803" s="2">
        <v>0.0005999999999999999</v>
      </c>
      <c r="OR803" s="2">
        <v>-0.003</v>
      </c>
      <c r="OS803" s="2">
        <v>0.0106</v>
      </c>
      <c r="OT803" s="2">
        <v>0.0102</v>
      </c>
      <c r="OU803" s="2">
        <v>0.0177</v>
      </c>
      <c r="OV803" s="2">
        <v>0.0172</v>
      </c>
      <c r="OW803" s="2">
        <v>0.0144</v>
      </c>
      <c r="OX803" s="2">
        <v>0.0285</v>
      </c>
      <c r="PC803" s="2">
        <v>0.0095</v>
      </c>
      <c r="PD803" s="2">
        <v>0.0145</v>
      </c>
      <c r="PE803" s="2">
        <v>0.0062</v>
      </c>
      <c r="PF803" s="2">
        <v>0.0069</v>
      </c>
      <c r="PG803" s="2">
        <v>0.0111</v>
      </c>
      <c r="PH803" s="2">
        <v>0.0129</v>
      </c>
      <c r="PI803" s="2">
        <v>-0.007</v>
      </c>
    </row>
    <row r="804">
      <c r="A804" t="inlineStr">
        <is>
          <t>A130391122T</t>
        </is>
      </c>
      <c r="B804" t="inlineStr">
        <is>
          <t>Contribution to All groups CPI Annual Percentage Points Change ;  Other non-durable household products ;  Australia ;</t>
        </is>
      </c>
      <c r="C804" t="inlineStr">
        <is>
          <t>Month</t>
        </is>
      </c>
      <c r="D804" t="inlineStr">
        <is>
          <t>% pts</t>
        </is>
      </c>
      <c r="E804" t="inlineStr">
        <is>
          <t>Original</t>
        </is>
      </c>
      <c r="F804" t="inlineStr">
        <is>
          <t>640104.xlsx</t>
        </is>
      </c>
      <c r="G804" t="inlineStr">
        <is>
          <t>2025-04</t>
        </is>
      </c>
      <c r="H804" t="inlineStr">
        <is>
          <t>2026-07</t>
        </is>
      </c>
      <c r="OP804" s="2">
        <v>-0.0105</v>
      </c>
      <c r="OQ804" s="2">
        <v>-0.0057</v>
      </c>
      <c r="OR804" s="2">
        <v>-0.0063</v>
      </c>
      <c r="OS804" s="2">
        <v>0.0001</v>
      </c>
      <c r="OT804" s="2">
        <v>-0.0014</v>
      </c>
      <c r="OU804" s="2">
        <v>-0.0043</v>
      </c>
      <c r="OV804" s="2">
        <v>0.0038</v>
      </c>
      <c r="OW804" s="2">
        <v>-0.0135</v>
      </c>
      <c r="OX804" s="2">
        <v>-0.0119</v>
      </c>
      <c r="PC804" s="2">
        <v>-0.0176</v>
      </c>
      <c r="PD804" s="2">
        <v>-0.0155</v>
      </c>
      <c r="PE804" s="2">
        <v>-0.0141</v>
      </c>
      <c r="PF804" s="2">
        <v>-0.018</v>
      </c>
      <c r="PG804" s="2">
        <v>-0.0125</v>
      </c>
      <c r="PH804" s="2">
        <v>-0.013</v>
      </c>
      <c r="PI804" s="2">
        <v>-0.0102</v>
      </c>
    </row>
    <row r="805">
      <c r="A805" t="inlineStr">
        <is>
          <t>A130397345K</t>
        </is>
      </c>
      <c r="B805" t="inlineStr">
        <is>
          <t>Contribution to All groups CPI Annual Percentage Points Change ;  Domestic and household services ;  Australia ;</t>
        </is>
      </c>
      <c r="C805" t="inlineStr">
        <is>
          <t>Month</t>
        </is>
      </c>
      <c r="D805" t="inlineStr">
        <is>
          <t>% pts</t>
        </is>
      </c>
      <c r="E805" t="inlineStr">
        <is>
          <t>Original</t>
        </is>
      </c>
      <c r="F805" t="inlineStr">
        <is>
          <t>640104.xlsx</t>
        </is>
      </c>
      <c r="G805" t="inlineStr">
        <is>
          <t>2025-04</t>
        </is>
      </c>
      <c r="H805" t="inlineStr">
        <is>
          <t>2026-07</t>
        </is>
      </c>
      <c r="OP805" s="2">
        <v>0.1433</v>
      </c>
      <c r="OQ805" s="2">
        <v>0.1422</v>
      </c>
      <c r="OR805" s="2">
        <v>0.1432</v>
      </c>
      <c r="OS805" s="2">
        <v>0.1431</v>
      </c>
      <c r="OT805" s="2">
        <v>0.1353</v>
      </c>
      <c r="OU805" s="2">
        <v>0.1188</v>
      </c>
      <c r="OV805" s="2">
        <v>0.1218</v>
      </c>
      <c r="OW805" s="2">
        <v>0.1274</v>
      </c>
      <c r="OX805" s="2">
        <v>0.1305</v>
      </c>
      <c r="PC805" s="2">
        <v>0.1317</v>
      </c>
      <c r="PD805" s="2">
        <v>0.1205</v>
      </c>
      <c r="PE805" s="2">
        <v>0.1243</v>
      </c>
      <c r="PF805" s="2">
        <v>0.1301</v>
      </c>
      <c r="PG805" s="2">
        <v>0.1318</v>
      </c>
      <c r="PH805" s="2">
        <v>0.1266</v>
      </c>
      <c r="PI805" s="2">
        <v>0.1221</v>
      </c>
    </row>
    <row r="806">
      <c r="A806" t="inlineStr">
        <is>
          <t>A130390065R</t>
        </is>
      </c>
      <c r="B806" t="inlineStr">
        <is>
          <t>Contribution to All groups CPI Annual Percentage Points Change ;  Child care ;  Australia ;</t>
        </is>
      </c>
      <c r="C806" t="inlineStr">
        <is>
          <t>Month</t>
        </is>
      </c>
      <c r="D806" t="inlineStr">
        <is>
          <t>% pts</t>
        </is>
      </c>
      <c r="E806" t="inlineStr">
        <is>
          <t>Original</t>
        </is>
      </c>
      <c r="F806" t="inlineStr">
        <is>
          <t>640104.xlsx</t>
        </is>
      </c>
      <c r="G806" t="inlineStr">
        <is>
          <t>2025-04</t>
        </is>
      </c>
      <c r="H806" t="inlineStr">
        <is>
          <t>2026-07</t>
        </is>
      </c>
      <c r="OP806" s="2">
        <v>0.0901</v>
      </c>
      <c r="OQ806" s="2">
        <v>0.0878</v>
      </c>
      <c r="OR806" s="2">
        <v>0.0963</v>
      </c>
      <c r="OS806" s="2">
        <v>0.0975</v>
      </c>
      <c r="OT806" s="2">
        <v>0.0843</v>
      </c>
      <c r="OU806" s="2">
        <v>0.0803</v>
      </c>
      <c r="OV806" s="2">
        <v>0.0848</v>
      </c>
      <c r="OW806" s="2">
        <v>0.0868</v>
      </c>
      <c r="OX806" s="2">
        <v>0.0861</v>
      </c>
      <c r="PC806" s="2">
        <v>0.0872</v>
      </c>
      <c r="PD806" s="2">
        <v>0.06950000000000001</v>
      </c>
      <c r="PE806" s="2">
        <v>0.0703</v>
      </c>
      <c r="PF806" s="2">
        <v>0.0694</v>
      </c>
      <c r="PG806" s="2">
        <v>0.0722</v>
      </c>
      <c r="PH806" s="2">
        <v>0.0592</v>
      </c>
      <c r="PI806" s="2">
        <v>0.0564</v>
      </c>
    </row>
    <row r="807">
      <c r="A807" t="inlineStr">
        <is>
          <t>A130393551A</t>
        </is>
      </c>
      <c r="B807" t="inlineStr">
        <is>
          <t>Contribution to All groups CPI Annual Percentage Points Change ;  Hairdressing and personal grooming services ;  Australia ;</t>
        </is>
      </c>
      <c r="C807" t="inlineStr">
        <is>
          <t>Month</t>
        </is>
      </c>
      <c r="D807" t="inlineStr">
        <is>
          <t>% pts</t>
        </is>
      </c>
      <c r="E807" t="inlineStr">
        <is>
          <t>Original</t>
        </is>
      </c>
      <c r="F807" t="inlineStr">
        <is>
          <t>640104.xlsx</t>
        </is>
      </c>
      <c r="G807" t="inlineStr">
        <is>
          <t>2025-04</t>
        </is>
      </c>
      <c r="H807" t="inlineStr">
        <is>
          <t>2026-07</t>
        </is>
      </c>
      <c r="OP807" s="2">
        <v>0.041</v>
      </c>
      <c r="OQ807" s="2">
        <v>0.0386</v>
      </c>
      <c r="OR807" s="2">
        <v>0.0338</v>
      </c>
      <c r="OS807" s="2">
        <v>0.0306</v>
      </c>
      <c r="OT807" s="2">
        <v>0.0273</v>
      </c>
      <c r="OU807" s="2">
        <v>0.0281</v>
      </c>
      <c r="OV807" s="2">
        <v>0.0297</v>
      </c>
      <c r="OW807" s="2">
        <v>0.03</v>
      </c>
      <c r="OX807" s="2">
        <v>0.0332</v>
      </c>
      <c r="PC807" s="2">
        <v>0.0337</v>
      </c>
      <c r="PD807" s="2">
        <v>0.0369</v>
      </c>
      <c r="PE807" s="2">
        <v>0.0411</v>
      </c>
      <c r="PF807" s="2">
        <v>0.0405</v>
      </c>
      <c r="PG807" s="2">
        <v>0.0396</v>
      </c>
      <c r="PH807" s="2">
        <v>0.0438</v>
      </c>
      <c r="PI807" s="2">
        <v>0.0456</v>
      </c>
    </row>
    <row r="808">
      <c r="A808" t="inlineStr">
        <is>
          <t>A130395203T</t>
        </is>
      </c>
      <c r="B808" t="inlineStr">
        <is>
          <t>Contribution to All groups CPI Annual Percentage Points Change ;  Other household services ;  Australia ;</t>
        </is>
      </c>
      <c r="C808" t="inlineStr">
        <is>
          <t>Month</t>
        </is>
      </c>
      <c r="D808" t="inlineStr">
        <is>
          <t>% pts</t>
        </is>
      </c>
      <c r="E808" t="inlineStr">
        <is>
          <t>Original</t>
        </is>
      </c>
      <c r="F808" t="inlineStr">
        <is>
          <t>640104.xlsx</t>
        </is>
      </c>
      <c r="G808" t="inlineStr">
        <is>
          <t>2025-04</t>
        </is>
      </c>
      <c r="H808" t="inlineStr">
        <is>
          <t>2026-07</t>
        </is>
      </c>
      <c r="OP808" s="2">
        <v>0.0122</v>
      </c>
      <c r="OQ808" s="2">
        <v>0.0158</v>
      </c>
      <c r="OR808" s="2">
        <v>0.0131</v>
      </c>
      <c r="OS808" s="2">
        <v>0.0151</v>
      </c>
      <c r="OT808" s="2">
        <v>0.0238</v>
      </c>
      <c r="OU808" s="2">
        <v>0.0105</v>
      </c>
      <c r="OV808" s="2">
        <v>0.0075</v>
      </c>
      <c r="OW808" s="2">
        <v>0.0108</v>
      </c>
      <c r="OX808" s="2">
        <v>0.0112</v>
      </c>
      <c r="PC808" s="2">
        <v>0.0108</v>
      </c>
      <c r="PD808" s="2">
        <v>0.0141</v>
      </c>
      <c r="PE808" s="2">
        <v>0.0128</v>
      </c>
      <c r="PF808" s="2">
        <v>0.0201</v>
      </c>
      <c r="PG808" s="2">
        <v>0.0201</v>
      </c>
      <c r="PH808" s="2">
        <v>0.0236</v>
      </c>
      <c r="PI808" s="2">
        <v>0.02</v>
      </c>
    </row>
    <row r="809">
      <c r="A809" t="inlineStr">
        <is>
          <t>A130389995L</t>
        </is>
      </c>
      <c r="B809" t="inlineStr">
        <is>
          <t>Contribution to All groups CPI Annual Percentage Points Change ;  Health ;  Australia ;</t>
        </is>
      </c>
      <c r="C809" t="inlineStr">
        <is>
          <t>Month</t>
        </is>
      </c>
      <c r="D809" t="inlineStr">
        <is>
          <t>% pts</t>
        </is>
      </c>
      <c r="E809" t="inlineStr">
        <is>
          <t>Original</t>
        </is>
      </c>
      <c r="F809" t="inlineStr">
        <is>
          <t>640104.xlsx</t>
        </is>
      </c>
      <c r="G809" t="inlineStr">
        <is>
          <t>2025-04</t>
        </is>
      </c>
      <c r="H809" t="inlineStr">
        <is>
          <t>2026-07</t>
        </is>
      </c>
      <c r="OP809" s="2">
        <v>0.2944</v>
      </c>
      <c r="OQ809" s="2">
        <v>0.2734</v>
      </c>
      <c r="OR809" s="2">
        <v>0.2683</v>
      </c>
      <c r="OS809" s="2">
        <v>0.2719</v>
      </c>
      <c r="OT809" s="2">
        <v>0.2798</v>
      </c>
      <c r="OU809" s="2">
        <v>0.2846</v>
      </c>
      <c r="OV809" s="2">
        <v>0.2749</v>
      </c>
      <c r="OW809" s="2">
        <v>0.2459</v>
      </c>
      <c r="OX809" s="2">
        <v>0.239</v>
      </c>
      <c r="PC809" s="2">
        <v>0.2232</v>
      </c>
      <c r="PD809" s="2">
        <v>0.2203</v>
      </c>
      <c r="PE809" s="2">
        <v>0.2088</v>
      </c>
      <c r="PF809" s="2">
        <v>0.2747</v>
      </c>
      <c r="PG809" s="2">
        <v>0.2608</v>
      </c>
      <c r="PH809" s="2">
        <v>0.2595</v>
      </c>
      <c r="PI809" s="2">
        <v>0.2609</v>
      </c>
    </row>
    <row r="810">
      <c r="A810" t="inlineStr">
        <is>
          <t>A130397857R</t>
        </is>
      </c>
      <c r="B810" t="inlineStr">
        <is>
          <t>Contribution to All groups CPI Annual Percentage Points Change ;  Medical products, appliances and equipment ;  Australia ;</t>
        </is>
      </c>
      <c r="C810" t="inlineStr">
        <is>
          <t>Month</t>
        </is>
      </c>
      <c r="D810" t="inlineStr">
        <is>
          <t>% pts</t>
        </is>
      </c>
      <c r="E810" t="inlineStr">
        <is>
          <t>Original</t>
        </is>
      </c>
      <c r="F810" t="inlineStr">
        <is>
          <t>640104.xlsx</t>
        </is>
      </c>
      <c r="G810" t="inlineStr">
        <is>
          <t>2025-04</t>
        </is>
      </c>
      <c r="H810" t="inlineStr">
        <is>
          <t>2026-07</t>
        </is>
      </c>
      <c r="OP810" s="2">
        <v>0.011</v>
      </c>
      <c r="OQ810" s="2">
        <v>0.0013</v>
      </c>
      <c r="OR810" s="2">
        <v>-0.0008</v>
      </c>
      <c r="OS810" s="2">
        <v>0.0004</v>
      </c>
      <c r="OT810" s="2">
        <v>-0.0004</v>
      </c>
      <c r="OU810" s="2">
        <v>-0.0023</v>
      </c>
      <c r="OV810" s="2">
        <v>-0.0038</v>
      </c>
      <c r="OW810" s="2">
        <v>-0.0033</v>
      </c>
      <c r="OX810" s="2">
        <v>0.0022</v>
      </c>
      <c r="PC810" s="2">
        <v>-0.0115</v>
      </c>
      <c r="PD810" s="2">
        <v>-0.0245</v>
      </c>
      <c r="PE810" s="2">
        <v>-0.0054</v>
      </c>
      <c r="PF810" s="2">
        <v>-0.0019</v>
      </c>
      <c r="PG810" s="2">
        <v>-0.0208</v>
      </c>
      <c r="PH810" s="2">
        <v>-0.0202</v>
      </c>
      <c r="PI810" s="2">
        <v>-0.0155</v>
      </c>
    </row>
    <row r="811">
      <c r="A811" t="inlineStr">
        <is>
          <t>A130393523T</t>
        </is>
      </c>
      <c r="B811" t="inlineStr">
        <is>
          <t>Contribution to All groups CPI Annual Percentage Points Change ;  Pharmaceutical products ;  Australia ;</t>
        </is>
      </c>
      <c r="C811" t="inlineStr">
        <is>
          <t>Month</t>
        </is>
      </c>
      <c r="D811" t="inlineStr">
        <is>
          <t>% pts</t>
        </is>
      </c>
      <c r="E811" t="inlineStr">
        <is>
          <t>Original</t>
        </is>
      </c>
      <c r="F811" t="inlineStr">
        <is>
          <t>640104.xlsx</t>
        </is>
      </c>
      <c r="G811" t="inlineStr">
        <is>
          <t>2025-04</t>
        </is>
      </c>
      <c r="H811" t="inlineStr">
        <is>
          <t>2026-07</t>
        </is>
      </c>
      <c r="OP811" s="2">
        <v>0.008</v>
      </c>
      <c r="OQ811" s="2">
        <v>-0.0011</v>
      </c>
      <c r="OR811" s="2">
        <v>-0.004</v>
      </c>
      <c r="OS811" s="2">
        <v>-0.0033</v>
      </c>
      <c r="OT811" s="2">
        <v>-0.0045</v>
      </c>
      <c r="OU811" s="2">
        <v>-0.0065</v>
      </c>
      <c r="OV811" s="2">
        <v>-0.0075</v>
      </c>
      <c r="OW811" s="2">
        <v>-0.0072</v>
      </c>
      <c r="OX811" s="2">
        <v>-0.0019</v>
      </c>
      <c r="PC811" s="2">
        <v>-0.0126</v>
      </c>
      <c r="PD811" s="2">
        <v>-0.0272</v>
      </c>
      <c r="PE811" s="2">
        <v>-0.007900000000000001</v>
      </c>
      <c r="PF811" s="2">
        <v>-0.003</v>
      </c>
      <c r="PG811" s="2">
        <v>-0.0231</v>
      </c>
      <c r="PH811" s="2">
        <v>-0.0185</v>
      </c>
      <c r="PI811" s="2">
        <v>-0.0168</v>
      </c>
    </row>
    <row r="812">
      <c r="A812" t="inlineStr">
        <is>
          <t>A130393488W</t>
        </is>
      </c>
      <c r="B812" t="inlineStr">
        <is>
          <t>Contribution to All groups CPI Annual Percentage Points Change ;  Therapeutic appliances and equipment ;  Australia ;</t>
        </is>
      </c>
      <c r="C812" t="inlineStr">
        <is>
          <t>Month</t>
        </is>
      </c>
      <c r="D812" t="inlineStr">
        <is>
          <t>% pts</t>
        </is>
      </c>
      <c r="E812" t="inlineStr">
        <is>
          <t>Original</t>
        </is>
      </c>
      <c r="F812" t="inlineStr">
        <is>
          <t>640104.xlsx</t>
        </is>
      </c>
      <c r="G812" t="inlineStr">
        <is>
          <t>2025-04</t>
        </is>
      </c>
      <c r="H812" t="inlineStr">
        <is>
          <t>2026-07</t>
        </is>
      </c>
      <c r="OP812" s="2">
        <v>0.0031</v>
      </c>
      <c r="OQ812" s="2">
        <v>0.0024</v>
      </c>
      <c r="OR812" s="2">
        <v>0.0033</v>
      </c>
      <c r="OS812" s="2">
        <v>0.0037</v>
      </c>
      <c r="OT812" s="2">
        <v>0.0041</v>
      </c>
      <c r="OU812" s="2">
        <v>0.0042</v>
      </c>
      <c r="OV812" s="2">
        <v>0.0037</v>
      </c>
      <c r="OW812" s="2">
        <v>0.0039</v>
      </c>
      <c r="OX812" s="2">
        <v>0.0041</v>
      </c>
      <c r="PC812" s="2">
        <v>0.0011</v>
      </c>
      <c r="PD812" s="2">
        <v>0.0027</v>
      </c>
      <c r="PE812" s="2">
        <v>0.0025</v>
      </c>
      <c r="PF812" s="2">
        <v>0.0011</v>
      </c>
      <c r="PG812" s="2">
        <v>0.0023</v>
      </c>
      <c r="PH812" s="2">
        <v>-0.0017</v>
      </c>
      <c r="PI812" s="2">
        <v>0.0013</v>
      </c>
    </row>
    <row r="813">
      <c r="A813" t="inlineStr">
        <is>
          <t>A130390289A</t>
        </is>
      </c>
      <c r="B813" t="inlineStr">
        <is>
          <t>Contribution to All groups CPI Annual Percentage Points Change ;  Medical, dental and hospital services ;  Australia ;</t>
        </is>
      </c>
      <c r="C813" t="inlineStr">
        <is>
          <t>Month</t>
        </is>
      </c>
      <c r="D813" t="inlineStr">
        <is>
          <t>% pts</t>
        </is>
      </c>
      <c r="E813" t="inlineStr">
        <is>
          <t>Original</t>
        </is>
      </c>
      <c r="F813" t="inlineStr">
        <is>
          <t>640104.xlsx</t>
        </is>
      </c>
      <c r="G813" t="inlineStr">
        <is>
          <t>2025-04</t>
        </is>
      </c>
      <c r="H813" t="inlineStr">
        <is>
          <t>2026-07</t>
        </is>
      </c>
      <c r="OP813" s="2">
        <v>0.2834</v>
      </c>
      <c r="OQ813" s="2">
        <v>0.2721</v>
      </c>
      <c r="OR813" s="2">
        <v>0.2691</v>
      </c>
      <c r="OS813" s="2">
        <v>0.2714</v>
      </c>
      <c r="OT813" s="2">
        <v>0.2802</v>
      </c>
      <c r="OU813" s="2">
        <v>0.2869</v>
      </c>
      <c r="OV813" s="2">
        <v>0.2786</v>
      </c>
      <c r="OW813" s="2">
        <v>0.2491</v>
      </c>
      <c r="OX813" s="2">
        <v>0.2368</v>
      </c>
      <c r="PC813" s="2">
        <v>0.2348</v>
      </c>
      <c r="PD813" s="2">
        <v>0.2447</v>
      </c>
      <c r="PE813" s="2">
        <v>0.2142</v>
      </c>
      <c r="PF813" s="2">
        <v>0.2766</v>
      </c>
      <c r="PG813" s="2">
        <v>0.2815</v>
      </c>
      <c r="PH813" s="2">
        <v>0.2797</v>
      </c>
      <c r="PI813" s="2">
        <v>0.2764</v>
      </c>
    </row>
    <row r="814">
      <c r="A814" t="inlineStr">
        <is>
          <t>A130390926F</t>
        </is>
      </c>
      <c r="B814" t="inlineStr">
        <is>
          <t>Contribution to All groups CPI Annual Percentage Points Change ;  Medical and hospital services ;  Australia ;</t>
        </is>
      </c>
      <c r="C814" t="inlineStr">
        <is>
          <t>Month</t>
        </is>
      </c>
      <c r="D814" t="inlineStr">
        <is>
          <t>% pts</t>
        </is>
      </c>
      <c r="E814" t="inlineStr">
        <is>
          <t>Original</t>
        </is>
      </c>
      <c r="F814" t="inlineStr">
        <is>
          <t>640104.xlsx</t>
        </is>
      </c>
      <c r="G814" t="inlineStr">
        <is>
          <t>2025-04</t>
        </is>
      </c>
      <c r="H814" t="inlineStr">
        <is>
          <t>2026-07</t>
        </is>
      </c>
      <c r="OP814" s="2">
        <v>0.2676</v>
      </c>
      <c r="OQ814" s="2">
        <v>0.2578</v>
      </c>
      <c r="OR814" s="2">
        <v>0.2556</v>
      </c>
      <c r="OS814" s="2">
        <v>0.2568</v>
      </c>
      <c r="OT814" s="2">
        <v>0.2604</v>
      </c>
      <c r="OU814" s="2">
        <v>0.268</v>
      </c>
      <c r="OV814" s="2">
        <v>0.2605</v>
      </c>
      <c r="OW814" s="2">
        <v>0.2306</v>
      </c>
      <c r="OX814" s="2">
        <v>0.2177</v>
      </c>
      <c r="PC814" s="2">
        <v>0.215</v>
      </c>
      <c r="PD814" s="2">
        <v>0.2246</v>
      </c>
      <c r="PE814" s="2">
        <v>0.1942</v>
      </c>
      <c r="PF814" s="2">
        <v>0.2577</v>
      </c>
      <c r="PG814" s="2">
        <v>0.2616</v>
      </c>
      <c r="PH814" s="2">
        <v>0.2595</v>
      </c>
      <c r="PI814" s="2">
        <v>0.2541</v>
      </c>
    </row>
    <row r="815">
      <c r="A815" t="inlineStr">
        <is>
          <t>A130393502F</t>
        </is>
      </c>
      <c r="B815" t="inlineStr">
        <is>
          <t>Contribution to All groups CPI Annual Percentage Points Change ;  Dental services ;  Australia ;</t>
        </is>
      </c>
      <c r="C815" t="inlineStr">
        <is>
          <t>Month</t>
        </is>
      </c>
      <c r="D815" t="inlineStr">
        <is>
          <t>% pts</t>
        </is>
      </c>
      <c r="E815" t="inlineStr">
        <is>
          <t>Original</t>
        </is>
      </c>
      <c r="F815" t="inlineStr">
        <is>
          <t>640104.xlsx</t>
        </is>
      </c>
      <c r="G815" t="inlineStr">
        <is>
          <t>2025-04</t>
        </is>
      </c>
      <c r="H815" t="inlineStr">
        <is>
          <t>2026-07</t>
        </is>
      </c>
      <c r="OP815" s="2">
        <v>0.0157</v>
      </c>
      <c r="OQ815" s="2">
        <v>0.0142</v>
      </c>
      <c r="OR815" s="2">
        <v>0.0135</v>
      </c>
      <c r="OS815" s="2">
        <v>0.0145</v>
      </c>
      <c r="OT815" s="2">
        <v>0.0198</v>
      </c>
      <c r="OU815" s="2">
        <v>0.0188</v>
      </c>
      <c r="OV815" s="2">
        <v>0.0181</v>
      </c>
      <c r="OW815" s="2">
        <v>0.0185</v>
      </c>
      <c r="OX815" s="2">
        <v>0.0191</v>
      </c>
      <c r="PC815" s="2">
        <v>0.0197</v>
      </c>
      <c r="PD815" s="2">
        <v>0.0201</v>
      </c>
      <c r="PE815" s="2">
        <v>0.0201</v>
      </c>
      <c r="PF815" s="2">
        <v>0.0188</v>
      </c>
      <c r="PG815" s="2">
        <v>0.02</v>
      </c>
      <c r="PH815" s="2">
        <v>0.0201</v>
      </c>
      <c r="PI815" s="2">
        <v>0.0223</v>
      </c>
    </row>
    <row r="816">
      <c r="A816" t="inlineStr">
        <is>
          <t>A130396694R</t>
        </is>
      </c>
      <c r="B816" t="inlineStr">
        <is>
          <t>Contribution to All groups CPI Annual Percentage Points Change ;  Transport ;  Australia ;</t>
        </is>
      </c>
      <c r="C816" t="inlineStr">
        <is>
          <t>Month</t>
        </is>
      </c>
      <c r="D816" t="inlineStr">
        <is>
          <t>% pts</t>
        </is>
      </c>
      <c r="E816" t="inlineStr">
        <is>
          <t>Original</t>
        </is>
      </c>
      <c r="F816" t="inlineStr">
        <is>
          <t>640104.xlsx</t>
        </is>
      </c>
      <c r="G816" t="inlineStr">
        <is>
          <t>2025-04</t>
        </is>
      </c>
      <c r="H816" t="inlineStr">
        <is>
          <t>2026-07</t>
        </is>
      </c>
      <c r="OP816" s="2">
        <v>-0.3771</v>
      </c>
      <c r="OQ816" s="2">
        <v>-0.2695</v>
      </c>
      <c r="OR816" s="2">
        <v>-0.2424</v>
      </c>
      <c r="OS816" s="2">
        <v>-0.0403</v>
      </c>
      <c r="OT816" s="2">
        <v>0.1048</v>
      </c>
      <c r="OU816" s="2">
        <v>0.2528</v>
      </c>
      <c r="OV816" s="2">
        <v>0.3041</v>
      </c>
      <c r="OW816" s="2">
        <v>0.3006</v>
      </c>
      <c r="OX816" s="2">
        <v>0.1853</v>
      </c>
      <c r="PC816" s="2">
        <v>0.1252</v>
      </c>
      <c r="PD816" s="2">
        <v>-0.0215</v>
      </c>
      <c r="PE816" s="2">
        <v>1.0217</v>
      </c>
      <c r="PF816" s="2">
        <v>0.7484</v>
      </c>
      <c r="PG816" s="2">
        <v>0.3722</v>
      </c>
      <c r="PH816" s="2">
        <v>0.01</v>
      </c>
      <c r="PI816" s="2">
        <v>0.1841</v>
      </c>
    </row>
    <row r="817">
      <c r="A817" t="inlineStr">
        <is>
          <t>A130391794J</t>
        </is>
      </c>
      <c r="B817" t="inlineStr">
        <is>
          <t>Contribution to All groups CPI Annual Percentage Points Change ;  Private motoring ;  Australia ;</t>
        </is>
      </c>
      <c r="C817" t="inlineStr">
        <is>
          <t>Month</t>
        </is>
      </c>
      <c r="D817" t="inlineStr">
        <is>
          <t>% pts</t>
        </is>
      </c>
      <c r="E817" t="inlineStr">
        <is>
          <t>Original</t>
        </is>
      </c>
      <c r="F817" t="inlineStr">
        <is>
          <t>640104.xlsx</t>
        </is>
      </c>
      <c r="G817" t="inlineStr">
        <is>
          <t>2025-04</t>
        </is>
      </c>
      <c r="H817" t="inlineStr">
        <is>
          <t>2026-07</t>
        </is>
      </c>
      <c r="OP817" s="2">
        <v>-0.3653</v>
      </c>
      <c r="OQ817" s="2">
        <v>-0.2579</v>
      </c>
      <c r="OR817" s="2">
        <v>-0.2325</v>
      </c>
      <c r="OS817" s="2">
        <v>-0.032</v>
      </c>
      <c r="OT817" s="2">
        <v>0.095</v>
      </c>
      <c r="OU817" s="2">
        <v>0.2398</v>
      </c>
      <c r="OV817" s="2">
        <v>0.2907</v>
      </c>
      <c r="OW817" s="2">
        <v>0.2888</v>
      </c>
      <c r="OX817" s="2">
        <v>0.1875</v>
      </c>
      <c r="PC817" s="2">
        <v>0.1315</v>
      </c>
      <c r="PD817" s="2">
        <v>-0.0183</v>
      </c>
      <c r="PE817" s="2">
        <v>1.0257</v>
      </c>
      <c r="PF817" s="2">
        <v>0.8213</v>
      </c>
      <c r="PG817" s="2">
        <v>0.446</v>
      </c>
      <c r="PH817" s="2">
        <v>0.0489</v>
      </c>
      <c r="PI817" s="2">
        <v>0.2277</v>
      </c>
    </row>
    <row r="818">
      <c r="A818" t="inlineStr">
        <is>
          <t>A130395840J</t>
        </is>
      </c>
      <c r="B818" t="inlineStr">
        <is>
          <t>Contribution to All groups CPI Annual Percentage Points Change ;  Motor vehicles ;  Australia ;</t>
        </is>
      </c>
      <c r="C818" t="inlineStr">
        <is>
          <t>Month</t>
        </is>
      </c>
      <c r="D818" t="inlineStr">
        <is>
          <t>% pts</t>
        </is>
      </c>
      <c r="E818" t="inlineStr">
        <is>
          <t>Original</t>
        </is>
      </c>
      <c r="F818" t="inlineStr">
        <is>
          <t>640104.xlsx</t>
        </is>
      </c>
      <c r="G818" t="inlineStr">
        <is>
          <t>2025-04</t>
        </is>
      </c>
      <c r="H818" t="inlineStr">
        <is>
          <t>2026-07</t>
        </is>
      </c>
      <c r="OP818" s="2">
        <v>-0.0233</v>
      </c>
      <c r="OQ818" s="2">
        <v>-0.0151</v>
      </c>
      <c r="OR818" s="2">
        <v>-0.0545</v>
      </c>
      <c r="OS818" s="2">
        <v>0.02</v>
      </c>
      <c r="OT818" s="2">
        <v>0.0246</v>
      </c>
      <c r="OU818" s="2">
        <v>0.0019</v>
      </c>
      <c r="OV818" s="2">
        <v>0.0274</v>
      </c>
      <c r="OW818" s="2">
        <v>-0.0202</v>
      </c>
      <c r="OX818" s="2">
        <v>0.0395</v>
      </c>
      <c r="PC818" s="2">
        <v>0.0516</v>
      </c>
      <c r="PD818" s="2">
        <v>0.0429</v>
      </c>
      <c r="PE818" s="2">
        <v>0.0398</v>
      </c>
      <c r="PF818" s="2">
        <v>0.0397</v>
      </c>
      <c r="PG818" s="2">
        <v>0.008200000000000001</v>
      </c>
      <c r="PH818" s="2">
        <v>0.0757</v>
      </c>
      <c r="PI818" s="2">
        <v>0.0262</v>
      </c>
    </row>
    <row r="819">
      <c r="A819" t="inlineStr">
        <is>
          <t>A130393397R</t>
        </is>
      </c>
      <c r="B819" t="inlineStr">
        <is>
          <t>Contribution to All groups CPI Annual Percentage Points Change ;  Spare parts and accessories for motor vehicles ;  Australia ;</t>
        </is>
      </c>
      <c r="C819" t="inlineStr">
        <is>
          <t>Month</t>
        </is>
      </c>
      <c r="D819" t="inlineStr">
        <is>
          <t>% pts</t>
        </is>
      </c>
      <c r="E819" t="inlineStr">
        <is>
          <t>Original</t>
        </is>
      </c>
      <c r="F819" t="inlineStr">
        <is>
          <t>640104.xlsx</t>
        </is>
      </c>
      <c r="G819" t="inlineStr">
        <is>
          <t>2025-04</t>
        </is>
      </c>
      <c r="H819" t="inlineStr">
        <is>
          <t>2026-07</t>
        </is>
      </c>
      <c r="OP819" s="2">
        <v>0.0227</v>
      </c>
      <c r="OQ819" s="2">
        <v>0.0286</v>
      </c>
      <c r="OR819" s="2">
        <v>0.016</v>
      </c>
      <c r="OS819" s="2">
        <v>0.0157</v>
      </c>
      <c r="OT819" s="2">
        <v>0.0057</v>
      </c>
      <c r="OU819" s="2">
        <v>0.0072</v>
      </c>
      <c r="OV819" s="2">
        <v>0.0192</v>
      </c>
      <c r="OW819" s="2">
        <v>0.0129</v>
      </c>
      <c r="OX819" s="2">
        <v>0.0045</v>
      </c>
      <c r="PC819" s="2">
        <v>-0.0034</v>
      </c>
      <c r="PD819" s="2">
        <v>-0.0097</v>
      </c>
      <c r="PE819" s="2">
        <v>-0.0202</v>
      </c>
      <c r="PF819" s="2">
        <v>-0.0095</v>
      </c>
      <c r="PG819" s="2">
        <v>-0.0051</v>
      </c>
      <c r="PH819" s="2">
        <v>0.0098</v>
      </c>
      <c r="PI819" s="2">
        <v>0.0134</v>
      </c>
    </row>
    <row r="820">
      <c r="A820" t="inlineStr">
        <is>
          <t>A130398326W</t>
        </is>
      </c>
      <c r="B820" t="inlineStr">
        <is>
          <t>Contribution to All groups CPI Annual Percentage Points Change ;  Automotive fuel ;  Australia ;</t>
        </is>
      </c>
      <c r="C820" t="inlineStr">
        <is>
          <t>Month</t>
        </is>
      </c>
      <c r="D820" t="inlineStr">
        <is>
          <t>% pts</t>
        </is>
      </c>
      <c r="E820" t="inlineStr">
        <is>
          <t>Original</t>
        </is>
      </c>
      <c r="F820" t="inlineStr">
        <is>
          <t>640104.xlsx</t>
        </is>
      </c>
      <c r="G820" t="inlineStr">
        <is>
          <t>2025-04</t>
        </is>
      </c>
      <c r="H820" t="inlineStr">
        <is>
          <t>2026-07</t>
        </is>
      </c>
      <c r="OP820" s="2">
        <v>-0.4545</v>
      </c>
      <c r="OQ820" s="2">
        <v>-0.3606</v>
      </c>
      <c r="OR820" s="2">
        <v>-0.289</v>
      </c>
      <c r="OS820" s="2">
        <v>-0.1939</v>
      </c>
      <c r="OT820" s="2">
        <v>-0.0592</v>
      </c>
      <c r="OU820" s="2">
        <v>0.09379999999999999</v>
      </c>
      <c r="OV820" s="2">
        <v>0.0649</v>
      </c>
      <c r="OW820" s="2">
        <v>0.1176</v>
      </c>
      <c r="OX820" s="2">
        <v>-0.0273</v>
      </c>
      <c r="PC820" s="2">
        <v>-0.08989999999999999</v>
      </c>
      <c r="PD820" s="2">
        <v>-0.2432</v>
      </c>
      <c r="PE820" s="2">
        <v>0.8157</v>
      </c>
      <c r="PF820" s="2">
        <v>0.6042</v>
      </c>
      <c r="PG820" s="2">
        <v>0.2444</v>
      </c>
      <c r="PH820" s="2">
        <v>-0.2397</v>
      </c>
      <c r="PI820" s="2">
        <v>-0.0115</v>
      </c>
    </row>
    <row r="821">
      <c r="A821" t="inlineStr">
        <is>
          <t>A130392116R</t>
        </is>
      </c>
      <c r="B821" t="inlineStr">
        <is>
          <t>Contribution to All groups CPI Annual Percentage Points Change ;  Maintenance and repair of motor vehicles ;  Australia ;</t>
        </is>
      </c>
      <c r="C821" t="inlineStr">
        <is>
          <t>Month</t>
        </is>
      </c>
      <c r="D821" t="inlineStr">
        <is>
          <t>% pts</t>
        </is>
      </c>
      <c r="E821" t="inlineStr">
        <is>
          <t>Original</t>
        </is>
      </c>
      <c r="F821" t="inlineStr">
        <is>
          <t>640104.xlsx</t>
        </is>
      </c>
      <c r="G821" t="inlineStr">
        <is>
          <t>2025-04</t>
        </is>
      </c>
      <c r="H821" t="inlineStr">
        <is>
          <t>2026-07</t>
        </is>
      </c>
      <c r="OP821" s="2">
        <v>0.07580000000000001</v>
      </c>
      <c r="OQ821" s="2">
        <v>0.07340000000000001</v>
      </c>
      <c r="OR821" s="2">
        <v>0.07870000000000001</v>
      </c>
      <c r="OS821" s="2">
        <v>0.1031</v>
      </c>
      <c r="OT821" s="2">
        <v>0.0997</v>
      </c>
      <c r="OU821" s="2">
        <v>0.0961</v>
      </c>
      <c r="OV821" s="2">
        <v>0.1032</v>
      </c>
      <c r="OW821" s="2">
        <v>0.1048</v>
      </c>
      <c r="OX821" s="2">
        <v>0.0968</v>
      </c>
      <c r="PC821" s="2">
        <v>0.1045</v>
      </c>
      <c r="PD821" s="2">
        <v>0.1222</v>
      </c>
      <c r="PE821" s="2">
        <v>0.1223</v>
      </c>
      <c r="PF821" s="2">
        <v>0.117</v>
      </c>
      <c r="PG821" s="2">
        <v>0.1303</v>
      </c>
      <c r="PH821" s="2">
        <v>0.1356</v>
      </c>
      <c r="PI821" s="2">
        <v>0.1209</v>
      </c>
    </row>
    <row r="822">
      <c r="A822" t="inlineStr">
        <is>
          <t>A130390856K</t>
        </is>
      </c>
      <c r="B822" t="inlineStr">
        <is>
          <t>Contribution to All groups CPI Annual Percentage Points Change ;  Other services in respect of motor vehicles ;  Australia ;</t>
        </is>
      </c>
      <c r="C822" t="inlineStr">
        <is>
          <t>Month</t>
        </is>
      </c>
      <c r="D822" t="inlineStr">
        <is>
          <t>% pts</t>
        </is>
      </c>
      <c r="E822" t="inlineStr">
        <is>
          <t>Original</t>
        </is>
      </c>
      <c r="F822" t="inlineStr">
        <is>
          <t>640104.xlsx</t>
        </is>
      </c>
      <c r="G822" t="inlineStr">
        <is>
          <t>2025-04</t>
        </is>
      </c>
      <c r="H822" t="inlineStr">
        <is>
          <t>2026-07</t>
        </is>
      </c>
      <c r="OP822" s="2">
        <v>0.014</v>
      </c>
      <c r="OQ822" s="2">
        <v>0.0157</v>
      </c>
      <c r="OR822" s="2">
        <v>0.0163</v>
      </c>
      <c r="OS822" s="2">
        <v>0.0231</v>
      </c>
      <c r="OT822" s="2">
        <v>0.0242</v>
      </c>
      <c r="OU822" s="2">
        <v>0.0408</v>
      </c>
      <c r="OV822" s="2">
        <v>0.0759</v>
      </c>
      <c r="OW822" s="2">
        <v>0.07389999999999999</v>
      </c>
      <c r="OX822" s="2">
        <v>0.074</v>
      </c>
      <c r="PC822" s="2">
        <v>0.0687</v>
      </c>
      <c r="PD822" s="2">
        <v>0.0694</v>
      </c>
      <c r="PE822" s="2">
        <v>0.06809999999999999</v>
      </c>
      <c r="PF822" s="2">
        <v>0.07000000000000001</v>
      </c>
      <c r="PG822" s="2">
        <v>0.0683</v>
      </c>
      <c r="PH822" s="2">
        <v>0.06759999999999999</v>
      </c>
      <c r="PI822" s="2">
        <v>0.07870000000000001</v>
      </c>
    </row>
    <row r="823">
      <c r="A823" t="inlineStr">
        <is>
          <t>A130393124J</t>
        </is>
      </c>
      <c r="B823" t="inlineStr">
        <is>
          <t>Contribution to All groups CPI Annual Percentage Points Change ;  Urban transport fares ;  Australia ;</t>
        </is>
      </c>
      <c r="C823" t="inlineStr">
        <is>
          <t>Month</t>
        </is>
      </c>
      <c r="D823" t="inlineStr">
        <is>
          <t>% pts</t>
        </is>
      </c>
      <c r="E823" t="inlineStr">
        <is>
          <t>Original</t>
        </is>
      </c>
      <c r="F823" t="inlineStr">
        <is>
          <t>640104.xlsx</t>
        </is>
      </c>
      <c r="G823" t="inlineStr">
        <is>
          <t>2025-04</t>
        </is>
      </c>
      <c r="H823" t="inlineStr">
        <is>
          <t>2026-07</t>
        </is>
      </c>
      <c r="OP823" s="2">
        <v>-0.0118</v>
      </c>
      <c r="OQ823" s="2">
        <v>-0.0115</v>
      </c>
      <c r="OR823" s="2">
        <v>-0.009900000000000001</v>
      </c>
      <c r="OS823" s="2">
        <v>-0.008399999999999999</v>
      </c>
      <c r="OT823" s="2">
        <v>0.0098</v>
      </c>
      <c r="OU823" s="2">
        <v>0.0129</v>
      </c>
      <c r="OV823" s="2">
        <v>0.0133</v>
      </c>
      <c r="OW823" s="2">
        <v>0.0117</v>
      </c>
      <c r="OX823" s="2">
        <v>-0.0022</v>
      </c>
      <c r="PC823" s="2">
        <v>-0.0063</v>
      </c>
      <c r="PD823" s="2">
        <v>-0.0032</v>
      </c>
      <c r="PE823" s="2">
        <v>-0.004</v>
      </c>
      <c r="PF823" s="2">
        <v>-0.07290000000000001</v>
      </c>
      <c r="PG823" s="2">
        <v>-0.0738</v>
      </c>
      <c r="PH823" s="2">
        <v>-0.0389</v>
      </c>
      <c r="PI823" s="2">
        <v>-0.0436</v>
      </c>
    </row>
    <row r="824">
      <c r="A824" t="inlineStr">
        <is>
          <t>A130398368V</t>
        </is>
      </c>
      <c r="B824" t="inlineStr">
        <is>
          <t>Contribution to All groups CPI Annual Percentage Points Change ;  Urban transport fares ;  Australia ;</t>
        </is>
      </c>
      <c r="C824" t="inlineStr">
        <is>
          <t>Month</t>
        </is>
      </c>
      <c r="D824" t="inlineStr">
        <is>
          <t>% pts</t>
        </is>
      </c>
      <c r="E824" t="inlineStr">
        <is>
          <t>Original</t>
        </is>
      </c>
      <c r="F824" t="inlineStr">
        <is>
          <t>640104.xlsx</t>
        </is>
      </c>
      <c r="G824" t="inlineStr">
        <is>
          <t>2025-04</t>
        </is>
      </c>
      <c r="H824" t="inlineStr">
        <is>
          <t>2026-07</t>
        </is>
      </c>
      <c r="OP824" s="2">
        <v>-0.0118</v>
      </c>
      <c r="OQ824" s="2">
        <v>-0.0115</v>
      </c>
      <c r="OR824" s="2">
        <v>-0.009900000000000001</v>
      </c>
      <c r="OS824" s="2">
        <v>-0.008399999999999999</v>
      </c>
      <c r="OT824" s="2">
        <v>0.0098</v>
      </c>
      <c r="OU824" s="2">
        <v>0.0129</v>
      </c>
      <c r="OV824" s="2">
        <v>0.0133</v>
      </c>
      <c r="OW824" s="2">
        <v>0.0117</v>
      </c>
      <c r="OX824" s="2">
        <v>-0.0022</v>
      </c>
      <c r="PC824" s="2">
        <v>-0.0063</v>
      </c>
      <c r="PD824" s="2">
        <v>-0.0032</v>
      </c>
      <c r="PE824" s="2">
        <v>-0.004</v>
      </c>
      <c r="PF824" s="2">
        <v>-0.07290000000000001</v>
      </c>
      <c r="PG824" s="2">
        <v>-0.0738</v>
      </c>
      <c r="PH824" s="2">
        <v>-0.0389</v>
      </c>
      <c r="PI824" s="2">
        <v>-0.0436</v>
      </c>
    </row>
    <row r="825">
      <c r="A825" t="inlineStr">
        <is>
          <t>A130391297V</t>
        </is>
      </c>
      <c r="B825" t="inlineStr">
        <is>
          <t>Contribution to All groups CPI Annual Percentage Points Change ;  Communication ;  Australia ;</t>
        </is>
      </c>
      <c r="C825" t="inlineStr">
        <is>
          <t>Month</t>
        </is>
      </c>
      <c r="D825" t="inlineStr">
        <is>
          <t>% pts</t>
        </is>
      </c>
      <c r="E825" t="inlineStr">
        <is>
          <t>Original</t>
        </is>
      </c>
      <c r="F825" t="inlineStr">
        <is>
          <t>640104.xlsx</t>
        </is>
      </c>
      <c r="G825" t="inlineStr">
        <is>
          <t>2025-04</t>
        </is>
      </c>
      <c r="H825" t="inlineStr">
        <is>
          <t>2026-07</t>
        </is>
      </c>
      <c r="OP825" s="2">
        <v>0.0146</v>
      </c>
      <c r="OQ825" s="2">
        <v>0.0203</v>
      </c>
      <c r="OR825" s="2">
        <v>0.0157</v>
      </c>
      <c r="OS825" s="2">
        <v>0.0131</v>
      </c>
      <c r="OT825" s="2">
        <v>0.0393</v>
      </c>
      <c r="OU825" s="2">
        <v>0.0341</v>
      </c>
      <c r="OV825" s="2">
        <v>0.0162</v>
      </c>
      <c r="OW825" s="2">
        <v>0.0282</v>
      </c>
      <c r="OX825" s="2">
        <v>0.0232</v>
      </c>
      <c r="PC825" s="2">
        <v>0.0288</v>
      </c>
      <c r="PD825" s="2">
        <v>0.0172</v>
      </c>
      <c r="PE825" s="2">
        <v>0.0298</v>
      </c>
      <c r="PF825" s="2">
        <v>0.0323</v>
      </c>
      <c r="PG825" s="2">
        <v>0.0437</v>
      </c>
      <c r="PH825" s="2">
        <v>0.0467</v>
      </c>
      <c r="PI825" s="2">
        <v>0.0523</v>
      </c>
    </row>
    <row r="826">
      <c r="A826" t="inlineStr">
        <is>
          <t>A130390485K</t>
        </is>
      </c>
      <c r="B826" t="inlineStr">
        <is>
          <t>Contribution to All groups CPI Annual Percentage Points Change ;  Communication ;  Australia ;</t>
        </is>
      </c>
      <c r="C826" t="inlineStr">
        <is>
          <t>Month</t>
        </is>
      </c>
      <c r="D826" t="inlineStr">
        <is>
          <t>% pts</t>
        </is>
      </c>
      <c r="E826" t="inlineStr">
        <is>
          <t>Original</t>
        </is>
      </c>
      <c r="F826" t="inlineStr">
        <is>
          <t>640104.xlsx</t>
        </is>
      </c>
      <c r="G826" t="inlineStr">
        <is>
          <t>2025-04</t>
        </is>
      </c>
      <c r="H826" t="inlineStr">
        <is>
          <t>2026-07</t>
        </is>
      </c>
      <c r="OP826" s="2">
        <v>0.0146</v>
      </c>
      <c r="OQ826" s="2">
        <v>0.0203</v>
      </c>
      <c r="OR826" s="2">
        <v>0.0157</v>
      </c>
      <c r="OS826" s="2">
        <v>0.0131</v>
      </c>
      <c r="OT826" s="2">
        <v>0.0393</v>
      </c>
      <c r="OU826" s="2">
        <v>0.0341</v>
      </c>
      <c r="OV826" s="2">
        <v>0.0162</v>
      </c>
      <c r="OW826" s="2">
        <v>0.0282</v>
      </c>
      <c r="OX826" s="2">
        <v>0.0232</v>
      </c>
      <c r="PC826" s="2">
        <v>0.0288</v>
      </c>
      <c r="PD826" s="2">
        <v>0.0172</v>
      </c>
      <c r="PE826" s="2">
        <v>0.0298</v>
      </c>
      <c r="PF826" s="2">
        <v>0.0323</v>
      </c>
      <c r="PG826" s="2">
        <v>0.0437</v>
      </c>
      <c r="PH826" s="2">
        <v>0.0467</v>
      </c>
      <c r="PI826" s="2">
        <v>0.0523</v>
      </c>
    </row>
    <row r="827">
      <c r="A827" t="inlineStr">
        <is>
          <t>A130399554T</t>
        </is>
      </c>
      <c r="B827" t="inlineStr">
        <is>
          <t>Contribution to All groups CPI Annual Percentage Points Change ;  Postal services ;  Australia ;</t>
        </is>
      </c>
      <c r="C827" t="inlineStr">
        <is>
          <t>Month</t>
        </is>
      </c>
      <c r="D827" t="inlineStr">
        <is>
          <t>% pts</t>
        </is>
      </c>
      <c r="E827" t="inlineStr">
        <is>
          <t>Original</t>
        </is>
      </c>
      <c r="F827" t="inlineStr">
        <is>
          <t>640104.xlsx</t>
        </is>
      </c>
      <c r="G827" t="inlineStr">
        <is>
          <t>2025-04</t>
        </is>
      </c>
      <c r="H827" t="inlineStr">
        <is>
          <t>2026-07</t>
        </is>
      </c>
      <c r="OP827" s="2">
        <v>0.0013</v>
      </c>
      <c r="OQ827" s="2">
        <v>0.0037</v>
      </c>
      <c r="OR827" s="2">
        <v>0.0068</v>
      </c>
      <c r="OS827" s="2">
        <v>0.0033</v>
      </c>
      <c r="OT827" s="2">
        <v>0.0036</v>
      </c>
      <c r="OU827" s="2">
        <v>0.0043</v>
      </c>
      <c r="OV827" s="2">
        <v>0.0056</v>
      </c>
      <c r="OW827" s="2">
        <v>0.0059</v>
      </c>
      <c r="OX827" s="2">
        <v>0.0063</v>
      </c>
      <c r="PC827" s="2">
        <v>0.0062</v>
      </c>
      <c r="PD827" s="2">
        <v>0.0044</v>
      </c>
      <c r="PE827" s="2">
        <v>0.0078</v>
      </c>
      <c r="PF827" s="2">
        <v>0.0129</v>
      </c>
      <c r="PG827" s="2">
        <v>0.0121</v>
      </c>
      <c r="PH827" s="2">
        <v>0.0092</v>
      </c>
      <c r="PI827" s="2">
        <v>0.0071</v>
      </c>
    </row>
    <row r="828">
      <c r="A828" t="inlineStr">
        <is>
          <t>A130398298X</t>
        </is>
      </c>
      <c r="B828" t="inlineStr">
        <is>
          <t>Contribution to All groups CPI Annual Percentage Points Change ;  Telecommunication equipment and services ;  Australia ;</t>
        </is>
      </c>
      <c r="C828" t="inlineStr">
        <is>
          <t>Month</t>
        </is>
      </c>
      <c r="D828" t="inlineStr">
        <is>
          <t>% pts</t>
        </is>
      </c>
      <c r="E828" t="inlineStr">
        <is>
          <t>Original</t>
        </is>
      </c>
      <c r="F828" t="inlineStr">
        <is>
          <t>640104.xlsx</t>
        </is>
      </c>
      <c r="G828" t="inlineStr">
        <is>
          <t>2025-04</t>
        </is>
      </c>
      <c r="H828" t="inlineStr">
        <is>
          <t>2026-07</t>
        </is>
      </c>
      <c r="OP828" s="2">
        <v>0.0133</v>
      </c>
      <c r="OQ828" s="2">
        <v>0.0166</v>
      </c>
      <c r="OR828" s="2">
        <v>0.008999999999999999</v>
      </c>
      <c r="OS828" s="2">
        <v>0.009900000000000001</v>
      </c>
      <c r="OT828" s="2">
        <v>0.0357</v>
      </c>
      <c r="OU828" s="2">
        <v>0.0298</v>
      </c>
      <c r="OV828" s="2">
        <v>0.0106</v>
      </c>
      <c r="OW828" s="2">
        <v>0.0223</v>
      </c>
      <c r="OX828" s="2">
        <v>0.0169</v>
      </c>
      <c r="PC828" s="2">
        <v>0.0226</v>
      </c>
      <c r="PD828" s="2">
        <v>0.0128</v>
      </c>
      <c r="PE828" s="2">
        <v>0.022</v>
      </c>
      <c r="PF828" s="2">
        <v>0.0194</v>
      </c>
      <c r="PG828" s="2">
        <v>0.0316</v>
      </c>
      <c r="PH828" s="2">
        <v>0.0375</v>
      </c>
      <c r="PI828" s="2">
        <v>0.0452</v>
      </c>
    </row>
    <row r="829">
      <c r="A829" t="inlineStr">
        <is>
          <t>A130393838K</t>
        </is>
      </c>
      <c r="B829" t="inlineStr">
        <is>
          <t>Contribution to All groups CPI Annual Percentage Points Change ;  Recreation and culture ;  Australia ;</t>
        </is>
      </c>
      <c r="C829" t="inlineStr">
        <is>
          <t>Month</t>
        </is>
      </c>
      <c r="D829" t="inlineStr">
        <is>
          <t>% pts</t>
        </is>
      </c>
      <c r="E829" t="inlineStr">
        <is>
          <t>Original</t>
        </is>
      </c>
      <c r="F829" t="inlineStr">
        <is>
          <t>640104.xlsx</t>
        </is>
      </c>
      <c r="G829" t="inlineStr">
        <is>
          <t>2025-04</t>
        </is>
      </c>
      <c r="H829" t="inlineStr">
        <is>
          <t>2026-07</t>
        </is>
      </c>
      <c r="OP829" s="2">
        <v>0.4188</v>
      </c>
      <c r="OQ829" s="2">
        <v>0.1597</v>
      </c>
      <c r="OR829" s="2">
        <v>-0.1207</v>
      </c>
      <c r="OS829" s="2">
        <v>0.3</v>
      </c>
      <c r="OT829" s="2">
        <v>0.1659</v>
      </c>
      <c r="OU829" s="2">
        <v>0.2234</v>
      </c>
      <c r="OV829" s="2">
        <v>0.3926</v>
      </c>
      <c r="OW829" s="2">
        <v>0.2399</v>
      </c>
      <c r="OX829" s="2">
        <v>0.5731000000000001</v>
      </c>
      <c r="PC829" s="2">
        <v>0.4639</v>
      </c>
      <c r="PD829" s="2">
        <v>0.5047</v>
      </c>
      <c r="PE829" s="2">
        <v>0.3504</v>
      </c>
      <c r="PF829" s="2">
        <v>0.3132</v>
      </c>
      <c r="PG829" s="2">
        <v>0.2913</v>
      </c>
      <c r="PH829" s="2">
        <v>0.4115</v>
      </c>
      <c r="PI829" s="2">
        <v>0.3234</v>
      </c>
    </row>
    <row r="830">
      <c r="A830" t="inlineStr">
        <is>
          <t>A130399085L</t>
        </is>
      </c>
      <c r="B830" t="inlineStr">
        <is>
          <t>Contribution to All groups CPI Annual Percentage Points Change ;  Audio, visual and computing equipment and services ;  Australia ;</t>
        </is>
      </c>
      <c r="C830" t="inlineStr">
        <is>
          <t>Month</t>
        </is>
      </c>
      <c r="D830" t="inlineStr">
        <is>
          <t>% pts</t>
        </is>
      </c>
      <c r="E830" t="inlineStr">
        <is>
          <t>Original</t>
        </is>
      </c>
      <c r="F830" t="inlineStr">
        <is>
          <t>640104.xlsx</t>
        </is>
      </c>
      <c r="G830" t="inlineStr">
        <is>
          <t>2025-04</t>
        </is>
      </c>
      <c r="H830" t="inlineStr">
        <is>
          <t>2026-07</t>
        </is>
      </c>
      <c r="OP830" s="2">
        <v>0.0456</v>
      </c>
      <c r="OQ830" s="2">
        <v>0.0305</v>
      </c>
      <c r="OR830" s="2">
        <v>0.0412</v>
      </c>
      <c r="OS830" s="2">
        <v>0.0274</v>
      </c>
      <c r="OT830" s="2">
        <v>0.07480000000000001</v>
      </c>
      <c r="OU830" s="2">
        <v>0.0769</v>
      </c>
      <c r="OV830" s="2">
        <v>0.0814</v>
      </c>
      <c r="OW830" s="2">
        <v>0.067</v>
      </c>
      <c r="OX830" s="2">
        <v>0.0732</v>
      </c>
      <c r="PC830" s="2">
        <v>0.1074</v>
      </c>
      <c r="PD830" s="2">
        <v>0.1086</v>
      </c>
      <c r="PE830" s="2">
        <v>0.076</v>
      </c>
      <c r="PF830" s="2">
        <v>0.07729999999999999</v>
      </c>
      <c r="PG830" s="2">
        <v>0.0756</v>
      </c>
      <c r="PH830" s="2">
        <v>0.0558</v>
      </c>
      <c r="PI830" s="2">
        <v>0.1259</v>
      </c>
    </row>
    <row r="831">
      <c r="A831" t="inlineStr">
        <is>
          <t>A130397191F</t>
        </is>
      </c>
      <c r="B831" t="inlineStr">
        <is>
          <t>Contribution to All groups CPI Annual Percentage Points Change ;  Audio, visual and computing equipment ;  Australia ;</t>
        </is>
      </c>
      <c r="C831" t="inlineStr">
        <is>
          <t>Month</t>
        </is>
      </c>
      <c r="D831" t="inlineStr">
        <is>
          <t>% pts</t>
        </is>
      </c>
      <c r="E831" t="inlineStr">
        <is>
          <t>Original</t>
        </is>
      </c>
      <c r="F831" t="inlineStr">
        <is>
          <t>640104.xlsx</t>
        </is>
      </c>
      <c r="G831" t="inlineStr">
        <is>
          <t>2025-04</t>
        </is>
      </c>
      <c r="H831" t="inlineStr">
        <is>
          <t>2026-07</t>
        </is>
      </c>
      <c r="OP831" s="2">
        <v>-0.0206</v>
      </c>
      <c r="OQ831" s="2">
        <v>-0.0148</v>
      </c>
      <c r="OR831" s="2">
        <v>-0.0038</v>
      </c>
      <c r="OS831" s="2">
        <v>-0.0083</v>
      </c>
      <c r="OT831" s="2">
        <v>-0.0078</v>
      </c>
      <c r="OU831" s="2">
        <v>-0.0112</v>
      </c>
      <c r="OV831" s="2">
        <v>-0.0055</v>
      </c>
      <c r="OW831" s="2">
        <v>-0.0185</v>
      </c>
      <c r="OX831" s="2">
        <v>-0.0156</v>
      </c>
      <c r="PC831" s="2">
        <v>0.018</v>
      </c>
      <c r="PD831" s="2">
        <v>0.0181</v>
      </c>
      <c r="PE831" s="2">
        <v>-0.0069</v>
      </c>
      <c r="PF831" s="2">
        <v>-0.008</v>
      </c>
      <c r="PG831" s="2">
        <v>-0.0192</v>
      </c>
      <c r="PH831" s="2">
        <v>-0.0298</v>
      </c>
      <c r="PI831" s="2">
        <v>0.0328</v>
      </c>
    </row>
    <row r="832">
      <c r="A832" t="inlineStr">
        <is>
          <t>A130397871K</t>
        </is>
      </c>
      <c r="B832" t="inlineStr">
        <is>
          <t>Contribution to All groups CPI Annual Percentage Points Change ;  Audio, visual and computing media and services ;  Australia ;</t>
        </is>
      </c>
      <c r="C832" t="inlineStr">
        <is>
          <t>Month</t>
        </is>
      </c>
      <c r="D832" t="inlineStr">
        <is>
          <t>% pts</t>
        </is>
      </c>
      <c r="E832" t="inlineStr">
        <is>
          <t>Original</t>
        </is>
      </c>
      <c r="F832" t="inlineStr">
        <is>
          <t>640104.xlsx</t>
        </is>
      </c>
      <c r="G832" t="inlineStr">
        <is>
          <t>2025-04</t>
        </is>
      </c>
      <c r="H832" t="inlineStr">
        <is>
          <t>2026-07</t>
        </is>
      </c>
      <c r="OP832" s="2">
        <v>0.06610000000000001</v>
      </c>
      <c r="OQ832" s="2">
        <v>0.0453</v>
      </c>
      <c r="OR832" s="2">
        <v>0.045</v>
      </c>
      <c r="OS832" s="2">
        <v>0.0357</v>
      </c>
      <c r="OT832" s="2">
        <v>0.08260000000000001</v>
      </c>
      <c r="OU832" s="2">
        <v>0.08799999999999999</v>
      </c>
      <c r="OV832" s="2">
        <v>0.08690000000000001</v>
      </c>
      <c r="OW832" s="2">
        <v>0.0854</v>
      </c>
      <c r="OX832" s="2">
        <v>0.0888</v>
      </c>
      <c r="PC832" s="2">
        <v>0.0893</v>
      </c>
      <c r="PD832" s="2">
        <v>0.0905</v>
      </c>
      <c r="PE832" s="2">
        <v>0.0829</v>
      </c>
      <c r="PF832" s="2">
        <v>0.0854</v>
      </c>
      <c r="PG832" s="2">
        <v>0.0948</v>
      </c>
      <c r="PH832" s="2">
        <v>0.0856</v>
      </c>
      <c r="PI832" s="2">
        <v>0.093</v>
      </c>
    </row>
    <row r="833">
      <c r="A833" t="inlineStr">
        <is>
          <t>A130394202W</t>
        </is>
      </c>
      <c r="B833" t="inlineStr">
        <is>
          <t>Contribution to All groups CPI Annual Percentage Points Change ;  Newspapers, books and stationery ;  Australia ;</t>
        </is>
      </c>
      <c r="C833" t="inlineStr">
        <is>
          <t>Month</t>
        </is>
      </c>
      <c r="D833" t="inlineStr">
        <is>
          <t>% pts</t>
        </is>
      </c>
      <c r="E833" t="inlineStr">
        <is>
          <t>Original</t>
        </is>
      </c>
      <c r="F833" t="inlineStr">
        <is>
          <t>640104.xlsx</t>
        </is>
      </c>
      <c r="G833" t="inlineStr">
        <is>
          <t>2025-04</t>
        </is>
      </c>
      <c r="H833" t="inlineStr">
        <is>
          <t>2026-07</t>
        </is>
      </c>
      <c r="OP833" s="2">
        <v>0.0083</v>
      </c>
      <c r="OQ833" s="2">
        <v>0.0109</v>
      </c>
      <c r="OR833" s="2">
        <v>0.0098</v>
      </c>
      <c r="OS833" s="2">
        <v>0.0165</v>
      </c>
      <c r="OT833" s="2">
        <v>0.0137</v>
      </c>
      <c r="OU833" s="2">
        <v>0.0157</v>
      </c>
      <c r="OV833" s="2">
        <v>0.0137</v>
      </c>
      <c r="OW833" s="2">
        <v>0.0167</v>
      </c>
      <c r="OX833" s="2">
        <v>0.0166</v>
      </c>
      <c r="PC833" s="2">
        <v>0.0141</v>
      </c>
      <c r="PD833" s="2">
        <v>0.0166</v>
      </c>
      <c r="PE833" s="2">
        <v>0.0223</v>
      </c>
      <c r="PF833" s="2">
        <v>0.0107</v>
      </c>
      <c r="PG833" s="2">
        <v>0.0159</v>
      </c>
      <c r="PH833" s="2">
        <v>0.0148</v>
      </c>
      <c r="PI833" s="2">
        <v>0.0115</v>
      </c>
    </row>
    <row r="834">
      <c r="A834" t="inlineStr">
        <is>
          <t>A130394958W</t>
        </is>
      </c>
      <c r="B834" t="inlineStr">
        <is>
          <t>Contribution to All groups CPI Annual Percentage Points Change ;  Books ;  Australia ;</t>
        </is>
      </c>
      <c r="C834" t="inlineStr">
        <is>
          <t>Month</t>
        </is>
      </c>
      <c r="D834" t="inlineStr">
        <is>
          <t>% pts</t>
        </is>
      </c>
      <c r="E834" t="inlineStr">
        <is>
          <t>Original</t>
        </is>
      </c>
      <c r="F834" t="inlineStr">
        <is>
          <t>640104.xlsx</t>
        </is>
      </c>
      <c r="G834" t="inlineStr">
        <is>
          <t>2025-04</t>
        </is>
      </c>
      <c r="H834" t="inlineStr">
        <is>
          <t>2026-07</t>
        </is>
      </c>
      <c r="OP834" s="2">
        <v>0.0003</v>
      </c>
      <c r="OQ834" s="2">
        <v>0.0009</v>
      </c>
      <c r="OR834" s="2">
        <v>-0.0026</v>
      </c>
      <c r="OS834" s="2">
        <v>-0.0004</v>
      </c>
      <c r="OT834" s="2">
        <v>-0.0031</v>
      </c>
      <c r="OU834" s="2">
        <v>0.0007</v>
      </c>
      <c r="OV834" s="2">
        <v>0.0031</v>
      </c>
      <c r="OW834" s="2">
        <v>0.0016</v>
      </c>
      <c r="OX834" s="2">
        <v>-0.0003</v>
      </c>
      <c r="PC834" s="2">
        <v>0.0014</v>
      </c>
      <c r="PD834" s="2">
        <v>0.0004</v>
      </c>
      <c r="PE834" s="2">
        <v>0.0024</v>
      </c>
      <c r="PF834" s="2">
        <v>-0.0042</v>
      </c>
      <c r="PG834" s="2">
        <v>-0.0005999999999999999</v>
      </c>
      <c r="PH834" s="2">
        <v>0.0005</v>
      </c>
      <c r="PI834" s="2">
        <v>0.0027</v>
      </c>
    </row>
    <row r="835">
      <c r="A835" t="inlineStr">
        <is>
          <t>A130392886K</t>
        </is>
      </c>
      <c r="B835" t="inlineStr">
        <is>
          <t>Contribution to All groups CPI Annual Percentage Points Change ;  Newspapers, magazines and stationery ;  Australia ;</t>
        </is>
      </c>
      <c r="C835" t="inlineStr">
        <is>
          <t>Month</t>
        </is>
      </c>
      <c r="D835" t="inlineStr">
        <is>
          <t>% pts</t>
        </is>
      </c>
      <c r="E835" t="inlineStr">
        <is>
          <t>Original</t>
        </is>
      </c>
      <c r="F835" t="inlineStr">
        <is>
          <t>640104.xlsx</t>
        </is>
      </c>
      <c r="G835" t="inlineStr">
        <is>
          <t>2025-04</t>
        </is>
      </c>
      <c r="H835" t="inlineStr">
        <is>
          <t>2026-07</t>
        </is>
      </c>
      <c r="OP835" s="2">
        <v>0.007900000000000001</v>
      </c>
      <c r="OQ835" s="2">
        <v>0.01</v>
      </c>
      <c r="OR835" s="2">
        <v>0.0124</v>
      </c>
      <c r="OS835" s="2">
        <v>0.0169</v>
      </c>
      <c r="OT835" s="2">
        <v>0.0167</v>
      </c>
      <c r="OU835" s="2">
        <v>0.015</v>
      </c>
      <c r="OV835" s="2">
        <v>0.0106</v>
      </c>
      <c r="OW835" s="2">
        <v>0.0151</v>
      </c>
      <c r="OX835" s="2">
        <v>0.0169</v>
      </c>
      <c r="PC835" s="2">
        <v>0.0127</v>
      </c>
      <c r="PD835" s="2">
        <v>0.0163</v>
      </c>
      <c r="PE835" s="2">
        <v>0.0199</v>
      </c>
      <c r="PF835" s="2">
        <v>0.0149</v>
      </c>
      <c r="PG835" s="2">
        <v>0.0165</v>
      </c>
      <c r="PH835" s="2">
        <v>0.0143</v>
      </c>
      <c r="PI835" s="2">
        <v>0.008699999999999999</v>
      </c>
    </row>
    <row r="836">
      <c r="A836" t="inlineStr">
        <is>
          <t>A130391836V</t>
        </is>
      </c>
      <c r="B836" t="inlineStr">
        <is>
          <t>Contribution to All groups CPI Annual Percentage Points Change ;  Holiday travel and accommodation ;  Australia ;</t>
        </is>
      </c>
      <c r="C836" t="inlineStr">
        <is>
          <t>Month</t>
        </is>
      </c>
      <c r="D836" t="inlineStr">
        <is>
          <t>% pts</t>
        </is>
      </c>
      <c r="E836" t="inlineStr">
        <is>
          <t>Original</t>
        </is>
      </c>
      <c r="F836" t="inlineStr">
        <is>
          <t>640104.xlsx</t>
        </is>
      </c>
      <c r="G836" t="inlineStr">
        <is>
          <t>2025-04</t>
        </is>
      </c>
      <c r="H836" t="inlineStr">
        <is>
          <t>2026-07</t>
        </is>
      </c>
      <c r="OP836" s="2">
        <v>0.2972</v>
      </c>
      <c r="OQ836" s="2">
        <v>0.0055</v>
      </c>
      <c r="OR836" s="2">
        <v>-0.2461</v>
      </c>
      <c r="OS836" s="2">
        <v>0.1797</v>
      </c>
      <c r="OT836" s="2">
        <v>0.0434</v>
      </c>
      <c r="OU836" s="2">
        <v>0.1079</v>
      </c>
      <c r="OV836" s="2">
        <v>0.1649</v>
      </c>
      <c r="OW836" s="2">
        <v>0.0868</v>
      </c>
      <c r="OX836" s="2">
        <v>0.3868</v>
      </c>
      <c r="PC836" s="2">
        <v>0.2432</v>
      </c>
      <c r="PD836" s="2">
        <v>0.3085</v>
      </c>
      <c r="PE836" s="2">
        <v>0.1278</v>
      </c>
      <c r="PF836" s="2">
        <v>0.1041</v>
      </c>
      <c r="PG836" s="2">
        <v>0.1071</v>
      </c>
      <c r="PH836" s="2">
        <v>0.2351</v>
      </c>
      <c r="PI836" s="2">
        <v>0.0702</v>
      </c>
    </row>
    <row r="837">
      <c r="A837" t="inlineStr">
        <is>
          <t>A130392200F</t>
        </is>
      </c>
      <c r="B837" t="inlineStr">
        <is>
          <t>Contribution to All groups CPI Annual Percentage Points Change ;  Domestic holiday travel and accommodation ;  Australia ;</t>
        </is>
      </c>
      <c r="C837" t="inlineStr">
        <is>
          <t>Month</t>
        </is>
      </c>
      <c r="D837" t="inlineStr">
        <is>
          <t>% pts</t>
        </is>
      </c>
      <c r="E837" t="inlineStr">
        <is>
          <t>Original</t>
        </is>
      </c>
      <c r="F837" t="inlineStr">
        <is>
          <t>640104.xlsx</t>
        </is>
      </c>
      <c r="G837" t="inlineStr">
        <is>
          <t>2025-04</t>
        </is>
      </c>
      <c r="H837" t="inlineStr">
        <is>
          <t>2026-07</t>
        </is>
      </c>
      <c r="OP837" s="2">
        <v>0.2155</v>
      </c>
      <c r="OQ837" s="2">
        <v>0.1244</v>
      </c>
      <c r="OR837" s="2">
        <v>-0.0426</v>
      </c>
      <c r="OS837" s="2">
        <v>0.1995</v>
      </c>
      <c r="OT837" s="2">
        <v>0.146</v>
      </c>
      <c r="OU837" s="2">
        <v>0.1453</v>
      </c>
      <c r="OV837" s="2">
        <v>0.2277</v>
      </c>
      <c r="OW837" s="2">
        <v>0.1055</v>
      </c>
      <c r="OX837" s="2">
        <v>0.3039</v>
      </c>
      <c r="PC837" s="2">
        <v>0.1851</v>
      </c>
      <c r="PD837" s="2">
        <v>0.2633</v>
      </c>
      <c r="PE837" s="2">
        <v>0.09080000000000001</v>
      </c>
      <c r="PF837" s="2">
        <v>0.2055</v>
      </c>
      <c r="PG837" s="2">
        <v>0.08790000000000001</v>
      </c>
      <c r="PH837" s="2">
        <v>0.1096</v>
      </c>
      <c r="PI837" s="2">
        <v>0.0645</v>
      </c>
    </row>
    <row r="838">
      <c r="A838" t="inlineStr">
        <is>
          <t>A130394804F</t>
        </is>
      </c>
      <c r="B838" t="inlineStr">
        <is>
          <t>Contribution to All groups CPI Annual Percentage Points Change ;  International holiday travel and accommodation ;  Australia ;</t>
        </is>
      </c>
      <c r="C838" t="inlineStr">
        <is>
          <t>Month</t>
        </is>
      </c>
      <c r="D838" t="inlineStr">
        <is>
          <t>% pts</t>
        </is>
      </c>
      <c r="E838" t="inlineStr">
        <is>
          <t>Original</t>
        </is>
      </c>
      <c r="F838" t="inlineStr">
        <is>
          <t>640104.xlsx</t>
        </is>
      </c>
      <c r="G838" t="inlineStr">
        <is>
          <t>2025-04</t>
        </is>
      </c>
      <c r="H838" t="inlineStr">
        <is>
          <t>2026-07</t>
        </is>
      </c>
      <c r="OP838" s="2">
        <v>0.0824</v>
      </c>
      <c r="OQ838" s="2">
        <v>-0.1185</v>
      </c>
      <c r="OR838" s="2">
        <v>-0.2032</v>
      </c>
      <c r="OS838" s="2">
        <v>-0.019</v>
      </c>
      <c r="OT838" s="2">
        <v>-0.1019</v>
      </c>
      <c r="OU838" s="2">
        <v>-0.0366</v>
      </c>
      <c r="OV838" s="2">
        <v>-0.0609</v>
      </c>
      <c r="OW838" s="2">
        <v>-0.0173</v>
      </c>
      <c r="OX838" s="2">
        <v>0.0829</v>
      </c>
      <c r="PC838" s="2">
        <v>0.0581</v>
      </c>
      <c r="PD838" s="2">
        <v>0.0453</v>
      </c>
      <c r="PE838" s="2">
        <v>0.0369</v>
      </c>
      <c r="PF838" s="2">
        <v>-0.1014</v>
      </c>
      <c r="PG838" s="2">
        <v>0.0192</v>
      </c>
      <c r="PH838" s="2">
        <v>0.1254</v>
      </c>
      <c r="PI838" s="2">
        <v>0.0058</v>
      </c>
    </row>
    <row r="839">
      <c r="A839" t="inlineStr">
        <is>
          <t>A130395154J</t>
        </is>
      </c>
      <c r="B839" t="inlineStr">
        <is>
          <t>Contribution to All groups CPI Annual Percentage Points Change ;  Other recreation, sport and culture ;  Australia ;</t>
        </is>
      </c>
      <c r="C839" t="inlineStr">
        <is>
          <t>Month</t>
        </is>
      </c>
      <c r="D839" t="inlineStr">
        <is>
          <t>% pts</t>
        </is>
      </c>
      <c r="E839" t="inlineStr">
        <is>
          <t>Original</t>
        </is>
      </c>
      <c r="F839" t="inlineStr">
        <is>
          <t>640104.xlsx</t>
        </is>
      </c>
      <c r="G839" t="inlineStr">
        <is>
          <t>2025-04</t>
        </is>
      </c>
      <c r="H839" t="inlineStr">
        <is>
          <t>2026-07</t>
        </is>
      </c>
      <c r="OP839" s="2">
        <v>0.068</v>
      </c>
      <c r="OQ839" s="2">
        <v>0.1132</v>
      </c>
      <c r="OR839" s="2">
        <v>0.07480000000000001</v>
      </c>
      <c r="OS839" s="2">
        <v>0.07679999999999999</v>
      </c>
      <c r="OT839" s="2">
        <v>0.0345</v>
      </c>
      <c r="OU839" s="2">
        <v>0.0232</v>
      </c>
      <c r="OV839" s="2">
        <v>0.1331</v>
      </c>
      <c r="OW839" s="2">
        <v>0.07000000000000001</v>
      </c>
      <c r="OX839" s="2">
        <v>0.09660000000000001</v>
      </c>
      <c r="PC839" s="2">
        <v>0.0993</v>
      </c>
      <c r="PD839" s="2">
        <v>0.07099999999999999</v>
      </c>
      <c r="PE839" s="2">
        <v>0.1243</v>
      </c>
      <c r="PF839" s="2">
        <v>0.1211</v>
      </c>
      <c r="PG839" s="2">
        <v>0.0927</v>
      </c>
      <c r="PH839" s="2">
        <v>0.1059</v>
      </c>
      <c r="PI839" s="2">
        <v>0.1159</v>
      </c>
    </row>
    <row r="840">
      <c r="A840" t="inlineStr">
        <is>
          <t>A130397366W</t>
        </is>
      </c>
      <c r="B840" t="inlineStr">
        <is>
          <t>Contribution to All groups CPI Annual Percentage Points Change ;  Equipment for sports, camping and open-air recreation ;  Australia ;</t>
        </is>
      </c>
      <c r="C840" t="inlineStr">
        <is>
          <t>Month</t>
        </is>
      </c>
      <c r="D840" t="inlineStr">
        <is>
          <t>% pts</t>
        </is>
      </c>
      <c r="E840" t="inlineStr">
        <is>
          <t>Original</t>
        </is>
      </c>
      <c r="F840" t="inlineStr">
        <is>
          <t>640104.xlsx</t>
        </is>
      </c>
      <c r="G840" t="inlineStr">
        <is>
          <t>2025-04</t>
        </is>
      </c>
      <c r="H840" t="inlineStr">
        <is>
          <t>2026-07</t>
        </is>
      </c>
      <c r="OP840" s="2">
        <v>-0.0068</v>
      </c>
      <c r="OQ840" s="2">
        <v>-0.0031</v>
      </c>
      <c r="OR840" s="2">
        <v>0.0005</v>
      </c>
      <c r="OS840" s="2">
        <v>0.0056</v>
      </c>
      <c r="OT840" s="2">
        <v>-0.001</v>
      </c>
      <c r="OU840" s="2">
        <v>-0.0051</v>
      </c>
      <c r="OV840" s="2">
        <v>-0.0031</v>
      </c>
      <c r="OW840" s="2">
        <v>-0.0109</v>
      </c>
      <c r="OX840" s="2">
        <v>-0.0113</v>
      </c>
      <c r="PC840" s="2">
        <v>0.0026</v>
      </c>
      <c r="PD840" s="2">
        <v>-0.0066</v>
      </c>
      <c r="PE840" s="2">
        <v>-0.0029</v>
      </c>
      <c r="PF840" s="2">
        <v>0.0032</v>
      </c>
      <c r="PG840" s="2">
        <v>0.0033</v>
      </c>
      <c r="PH840" s="2">
        <v>0.0037</v>
      </c>
      <c r="PI840" s="2">
        <v>-0.0008</v>
      </c>
    </row>
    <row r="841">
      <c r="A841" t="inlineStr">
        <is>
          <t>A130392340J</t>
        </is>
      </c>
      <c r="B841" t="inlineStr">
        <is>
          <t>Contribution to All groups CPI Annual Percentage Points Change ;  Games, toys and hobbies ;  Australia ;</t>
        </is>
      </c>
      <c r="C841" t="inlineStr">
        <is>
          <t>Month</t>
        </is>
      </c>
      <c r="D841" t="inlineStr">
        <is>
          <t>% pts</t>
        </is>
      </c>
      <c r="E841" t="inlineStr">
        <is>
          <t>Original</t>
        </is>
      </c>
      <c r="F841" t="inlineStr">
        <is>
          <t>640104.xlsx</t>
        </is>
      </c>
      <c r="G841" t="inlineStr">
        <is>
          <t>2025-04</t>
        </is>
      </c>
      <c r="H841" t="inlineStr">
        <is>
          <t>2026-07</t>
        </is>
      </c>
      <c r="OP841" s="2">
        <v>-0.0049</v>
      </c>
      <c r="OQ841" s="2">
        <v>0.0196</v>
      </c>
      <c r="OR841" s="2">
        <v>0.0105</v>
      </c>
      <c r="OS841" s="2">
        <v>0.0136</v>
      </c>
      <c r="OT841" s="2">
        <v>-0.0047</v>
      </c>
      <c r="OU841" s="2">
        <v>0</v>
      </c>
      <c r="OV841" s="2">
        <v>0.0188</v>
      </c>
      <c r="OW841" s="2">
        <v>-0.0056</v>
      </c>
      <c r="OX841" s="2">
        <v>0.0313</v>
      </c>
      <c r="PC841" s="2">
        <v>0.0168</v>
      </c>
      <c r="PD841" s="2">
        <v>0.0166</v>
      </c>
      <c r="PE841" s="2">
        <v>0.0427</v>
      </c>
      <c r="PF841" s="2">
        <v>0.0387</v>
      </c>
      <c r="PG841" s="2">
        <v>0.0158</v>
      </c>
      <c r="PH841" s="2">
        <v>0.0184</v>
      </c>
      <c r="PI841" s="2">
        <v>0.0169</v>
      </c>
    </row>
    <row r="842">
      <c r="A842" t="inlineStr">
        <is>
          <t>A130390814L</t>
        </is>
      </c>
      <c r="B842" t="inlineStr">
        <is>
          <t>Contribution to All groups CPI Annual Percentage Points Change ;  Pets and related products ;  Australia ;</t>
        </is>
      </c>
      <c r="C842" t="inlineStr">
        <is>
          <t>Month</t>
        </is>
      </c>
      <c r="D842" t="inlineStr">
        <is>
          <t>% pts</t>
        </is>
      </c>
      <c r="E842" t="inlineStr">
        <is>
          <t>Original</t>
        </is>
      </c>
      <c r="F842" t="inlineStr">
        <is>
          <t>640104.xlsx</t>
        </is>
      </c>
      <c r="G842" t="inlineStr">
        <is>
          <t>2025-04</t>
        </is>
      </c>
      <c r="H842" t="inlineStr">
        <is>
          <t>2026-07</t>
        </is>
      </c>
      <c r="OP842" s="2">
        <v>0.0041</v>
      </c>
      <c r="OQ842" s="2">
        <v>-0.0004</v>
      </c>
      <c r="OR842" s="2">
        <v>-0.0057</v>
      </c>
      <c r="OS842" s="2">
        <v>-0.0114</v>
      </c>
      <c r="OT842" s="2">
        <v>-0.008800000000000001</v>
      </c>
      <c r="OU842" s="2">
        <v>-0.0077</v>
      </c>
      <c r="OV842" s="2">
        <v>0.0122</v>
      </c>
      <c r="OW842" s="2">
        <v>0.0125</v>
      </c>
      <c r="OX842" s="2">
        <v>0.008200000000000001</v>
      </c>
      <c r="PC842" s="2">
        <v>-0.0003</v>
      </c>
      <c r="PD842" s="2">
        <v>-0.0017</v>
      </c>
      <c r="PE842" s="2">
        <v>-0.0038</v>
      </c>
      <c r="PF842" s="2">
        <v>-0.0089</v>
      </c>
      <c r="PG842" s="2">
        <v>-0.001</v>
      </c>
      <c r="PH842" s="2">
        <v>-0.0028</v>
      </c>
      <c r="PI842" s="2">
        <v>-0.0022</v>
      </c>
    </row>
    <row r="843">
      <c r="A843" t="inlineStr">
        <is>
          <t>A130392060R</t>
        </is>
      </c>
      <c r="B843" t="inlineStr">
        <is>
          <t>Contribution to All groups CPI Annual Percentage Points Change ;  Veterinary and other services for pets ;  Australia ;</t>
        </is>
      </c>
      <c r="C843" t="inlineStr">
        <is>
          <t>Month</t>
        </is>
      </c>
      <c r="D843" t="inlineStr">
        <is>
          <t>% pts</t>
        </is>
      </c>
      <c r="E843" t="inlineStr">
        <is>
          <t>Original</t>
        </is>
      </c>
      <c r="F843" t="inlineStr">
        <is>
          <t>640104.xlsx</t>
        </is>
      </c>
      <c r="G843" t="inlineStr">
        <is>
          <t>2025-04</t>
        </is>
      </c>
      <c r="H843" t="inlineStr">
        <is>
          <t>2026-07</t>
        </is>
      </c>
      <c r="OP843" s="2">
        <v>0.0267</v>
      </c>
      <c r="OQ843" s="2">
        <v>0.0263</v>
      </c>
      <c r="OR843" s="2">
        <v>0.0233</v>
      </c>
      <c r="OS843" s="2">
        <v>0.0261</v>
      </c>
      <c r="OT843" s="2">
        <v>0.0233</v>
      </c>
      <c r="OU843" s="2">
        <v>0.025</v>
      </c>
      <c r="OV843" s="2">
        <v>0.0234</v>
      </c>
      <c r="OW843" s="2">
        <v>0.0236</v>
      </c>
      <c r="OX843" s="2">
        <v>0.022</v>
      </c>
      <c r="PC843" s="2">
        <v>0.0264</v>
      </c>
      <c r="PD843" s="2">
        <v>0.0252</v>
      </c>
      <c r="PE843" s="2">
        <v>0.0214</v>
      </c>
      <c r="PF843" s="2">
        <v>0.02</v>
      </c>
      <c r="PG843" s="2">
        <v>0.0187</v>
      </c>
      <c r="PH843" s="2">
        <v>0.0184</v>
      </c>
      <c r="PI843" s="2">
        <v>0.0169</v>
      </c>
    </row>
    <row r="844">
      <c r="A844" t="inlineStr">
        <is>
          <t>A130399827L</t>
        </is>
      </c>
      <c r="B844" t="inlineStr">
        <is>
          <t>Contribution to All groups CPI Annual Percentage Points Change ;  Sports participation ;  Australia ;</t>
        </is>
      </c>
      <c r="C844" t="inlineStr">
        <is>
          <t>Month</t>
        </is>
      </c>
      <c r="D844" t="inlineStr">
        <is>
          <t>% pts</t>
        </is>
      </c>
      <c r="E844" t="inlineStr">
        <is>
          <t>Original</t>
        </is>
      </c>
      <c r="F844" t="inlineStr">
        <is>
          <t>640104.xlsx</t>
        </is>
      </c>
      <c r="G844" t="inlineStr">
        <is>
          <t>2025-04</t>
        </is>
      </c>
      <c r="H844" t="inlineStr">
        <is>
          <t>2026-07</t>
        </is>
      </c>
      <c r="OP844" s="2">
        <v>0.0527</v>
      </c>
      <c r="OQ844" s="2">
        <v>0.0511</v>
      </c>
      <c r="OR844" s="2">
        <v>0.0509</v>
      </c>
      <c r="OS844" s="2">
        <v>0.0417</v>
      </c>
      <c r="OT844" s="2">
        <v>0.0398</v>
      </c>
      <c r="OU844" s="2">
        <v>0.0376</v>
      </c>
      <c r="OV844" s="2">
        <v>0.0418</v>
      </c>
      <c r="OW844" s="2">
        <v>0.0418</v>
      </c>
      <c r="OX844" s="2">
        <v>0.0437</v>
      </c>
      <c r="PC844" s="2">
        <v>0.0446</v>
      </c>
      <c r="PD844" s="2">
        <v>0.0357</v>
      </c>
      <c r="PE844" s="2">
        <v>0.0397</v>
      </c>
      <c r="PF844" s="2">
        <v>0.0426</v>
      </c>
      <c r="PG844" s="2">
        <v>0.0425</v>
      </c>
      <c r="PH844" s="2">
        <v>0.0476</v>
      </c>
      <c r="PI844" s="2">
        <v>0.0531</v>
      </c>
    </row>
    <row r="845">
      <c r="A845" t="inlineStr">
        <is>
          <t>A130398641W</t>
        </is>
      </c>
      <c r="B845" t="inlineStr">
        <is>
          <t>Contribution to All groups CPI Annual Percentage Points Change ;  Other recreational, sporting and cultural services ;  Australia ;</t>
        </is>
      </c>
      <c r="C845" t="inlineStr">
        <is>
          <t>Month</t>
        </is>
      </c>
      <c r="D845" t="inlineStr">
        <is>
          <t>% pts</t>
        </is>
      </c>
      <c r="E845" t="inlineStr">
        <is>
          <t>Original</t>
        </is>
      </c>
      <c r="F845" t="inlineStr">
        <is>
          <t>640104.xlsx</t>
        </is>
      </c>
      <c r="G845" t="inlineStr">
        <is>
          <t>2025-04</t>
        </is>
      </c>
      <c r="H845" t="inlineStr">
        <is>
          <t>2026-07</t>
        </is>
      </c>
      <c r="OP845" s="2">
        <v>-0.0039</v>
      </c>
      <c r="OQ845" s="2">
        <v>0.0196</v>
      </c>
      <c r="OR845" s="2">
        <v>-0.0047</v>
      </c>
      <c r="OS845" s="2">
        <v>0.0013</v>
      </c>
      <c r="OT845" s="2">
        <v>-0.0141</v>
      </c>
      <c r="OU845" s="2">
        <v>-0.0266</v>
      </c>
      <c r="OV845" s="2">
        <v>0.0399</v>
      </c>
      <c r="OW845" s="2">
        <v>0.008500000000000001</v>
      </c>
      <c r="OX845" s="2">
        <v>0.0027</v>
      </c>
      <c r="PC845" s="2">
        <v>0.0091</v>
      </c>
      <c r="PD845" s="2">
        <v>0.0017</v>
      </c>
      <c r="PE845" s="2">
        <v>0.0272</v>
      </c>
      <c r="PF845" s="2">
        <v>0.0255</v>
      </c>
      <c r="PG845" s="2">
        <v>0.0132</v>
      </c>
      <c r="PH845" s="2">
        <v>0.0205</v>
      </c>
      <c r="PI845" s="2">
        <v>0.0321</v>
      </c>
    </row>
    <row r="846">
      <c r="A846" t="inlineStr">
        <is>
          <t>A130390030R</t>
        </is>
      </c>
      <c r="B846" t="inlineStr">
        <is>
          <t>Contribution to All groups CPI Annual Percentage Points Change ;  Education ;  Australia ;</t>
        </is>
      </c>
      <c r="C846" t="inlineStr">
        <is>
          <t>Month</t>
        </is>
      </c>
      <c r="D846" t="inlineStr">
        <is>
          <t>% pts</t>
        </is>
      </c>
      <c r="E846" t="inlineStr">
        <is>
          <t>Original</t>
        </is>
      </c>
      <c r="F846" t="inlineStr">
        <is>
          <t>640104.xlsx</t>
        </is>
      </c>
      <c r="G846" t="inlineStr">
        <is>
          <t>2025-04</t>
        </is>
      </c>
      <c r="H846" t="inlineStr">
        <is>
          <t>2026-07</t>
        </is>
      </c>
      <c r="OP846" s="2">
        <v>0.2517</v>
      </c>
      <c r="OQ846" s="2">
        <v>0.2517</v>
      </c>
      <c r="OR846" s="2">
        <v>0.2518</v>
      </c>
      <c r="OS846" s="2">
        <v>0.2513</v>
      </c>
      <c r="OT846" s="2">
        <v>0.2522</v>
      </c>
      <c r="OU846" s="2">
        <v>0.2516</v>
      </c>
      <c r="OV846" s="2">
        <v>0.2528</v>
      </c>
      <c r="OW846" s="2">
        <v>0.2522</v>
      </c>
      <c r="OX846" s="2">
        <v>0.251</v>
      </c>
      <c r="PC846" s="2">
        <v>0.249</v>
      </c>
      <c r="PD846" s="2">
        <v>0.2331</v>
      </c>
      <c r="PE846" s="2">
        <v>0.2328</v>
      </c>
      <c r="PF846" s="2">
        <v>0.231</v>
      </c>
      <c r="PG846" s="2">
        <v>0.2323</v>
      </c>
      <c r="PH846" s="2">
        <v>0.2305</v>
      </c>
      <c r="PI846" s="2">
        <v>0.2273</v>
      </c>
    </row>
    <row r="847">
      <c r="A847" t="inlineStr">
        <is>
          <t>A130393579C</t>
        </is>
      </c>
      <c r="B847" t="inlineStr">
        <is>
          <t>Contribution to All groups CPI Annual Percentage Points Change ;  Education ;  Australia ;</t>
        </is>
      </c>
      <c r="C847" t="inlineStr">
        <is>
          <t>Month</t>
        </is>
      </c>
      <c r="D847" t="inlineStr">
        <is>
          <t>% pts</t>
        </is>
      </c>
      <c r="E847" t="inlineStr">
        <is>
          <t>Original</t>
        </is>
      </c>
      <c r="F847" t="inlineStr">
        <is>
          <t>640104.xlsx</t>
        </is>
      </c>
      <c r="G847" t="inlineStr">
        <is>
          <t>2025-04</t>
        </is>
      </c>
      <c r="H847" t="inlineStr">
        <is>
          <t>2026-07</t>
        </is>
      </c>
      <c r="OP847" s="2">
        <v>0.2517</v>
      </c>
      <c r="OQ847" s="2">
        <v>0.2517</v>
      </c>
      <c r="OR847" s="2">
        <v>0.2518</v>
      </c>
      <c r="OS847" s="2">
        <v>0.2513</v>
      </c>
      <c r="OT847" s="2">
        <v>0.2522</v>
      </c>
      <c r="OU847" s="2">
        <v>0.2516</v>
      </c>
      <c r="OV847" s="2">
        <v>0.2528</v>
      </c>
      <c r="OW847" s="2">
        <v>0.2522</v>
      </c>
      <c r="OX847" s="2">
        <v>0.251</v>
      </c>
      <c r="PC847" s="2">
        <v>0.249</v>
      </c>
      <c r="PD847" s="2">
        <v>0.2331</v>
      </c>
      <c r="PE847" s="2">
        <v>0.2328</v>
      </c>
      <c r="PF847" s="2">
        <v>0.231</v>
      </c>
      <c r="PG847" s="2">
        <v>0.2323</v>
      </c>
      <c r="PH847" s="2">
        <v>0.2305</v>
      </c>
      <c r="PI847" s="2">
        <v>0.2273</v>
      </c>
    </row>
    <row r="848">
      <c r="A848" t="inlineStr">
        <is>
          <t>A130398763V</t>
        </is>
      </c>
      <c r="B848" t="inlineStr">
        <is>
          <t>Contribution to All groups CPI Annual Percentage Points Change ;  Preschool and primary education ;  Australia ;</t>
        </is>
      </c>
      <c r="C848" t="inlineStr">
        <is>
          <t>Month</t>
        </is>
      </c>
      <c r="D848" t="inlineStr">
        <is>
          <t>% pts</t>
        </is>
      </c>
      <c r="E848" t="inlineStr">
        <is>
          <t>Original</t>
        </is>
      </c>
      <c r="F848" t="inlineStr">
        <is>
          <t>640104.xlsx</t>
        </is>
      </c>
      <c r="G848" t="inlineStr">
        <is>
          <t>2025-04</t>
        </is>
      </c>
      <c r="H848" t="inlineStr">
        <is>
          <t>2026-07</t>
        </is>
      </c>
      <c r="OP848" s="2">
        <v>0.0577</v>
      </c>
      <c r="OQ848" s="2">
        <v>0.0572</v>
      </c>
      <c r="OR848" s="2">
        <v>0.058</v>
      </c>
      <c r="OS848" s="2">
        <v>0.0581</v>
      </c>
      <c r="OT848" s="2">
        <v>0.0581</v>
      </c>
      <c r="OU848" s="2">
        <v>0.0577</v>
      </c>
      <c r="OV848" s="2">
        <v>0.0584</v>
      </c>
      <c r="OW848" s="2">
        <v>0.0585</v>
      </c>
      <c r="OX848" s="2">
        <v>0.0583</v>
      </c>
      <c r="PC848" s="2">
        <v>0.0568</v>
      </c>
      <c r="PD848" s="2">
        <v>0.0516</v>
      </c>
      <c r="PE848" s="2">
        <v>0.0519</v>
      </c>
      <c r="PF848" s="2">
        <v>0.0513</v>
      </c>
      <c r="PG848" s="2">
        <v>0.0518</v>
      </c>
      <c r="PH848" s="2">
        <v>0.0502</v>
      </c>
      <c r="PI848" s="2">
        <v>0.0494</v>
      </c>
    </row>
    <row r="849">
      <c r="A849" t="inlineStr">
        <is>
          <t>A130390058T</t>
        </is>
      </c>
      <c r="B849" t="inlineStr">
        <is>
          <t>Contribution to All groups CPI Annual Percentage Points Change ;  Secondary education ;  Australia ;</t>
        </is>
      </c>
      <c r="C849" t="inlineStr">
        <is>
          <t>Month</t>
        </is>
      </c>
      <c r="D849" t="inlineStr">
        <is>
          <t>% pts</t>
        </is>
      </c>
      <c r="E849" t="inlineStr">
        <is>
          <t>Original</t>
        </is>
      </c>
      <c r="F849" t="inlineStr">
        <is>
          <t>640104.xlsx</t>
        </is>
      </c>
      <c r="G849" t="inlineStr">
        <is>
          <t>2025-04</t>
        </is>
      </c>
      <c r="H849" t="inlineStr">
        <is>
          <t>2026-07</t>
        </is>
      </c>
      <c r="OP849" s="2">
        <v>0.1283</v>
      </c>
      <c r="OQ849" s="2">
        <v>0.1286</v>
      </c>
      <c r="OR849" s="2">
        <v>0.1282</v>
      </c>
      <c r="OS849" s="2">
        <v>0.1278</v>
      </c>
      <c r="OT849" s="2">
        <v>0.1282</v>
      </c>
      <c r="OU849" s="2">
        <v>0.1281</v>
      </c>
      <c r="OV849" s="2">
        <v>0.1284</v>
      </c>
      <c r="OW849" s="2">
        <v>0.1279</v>
      </c>
      <c r="OX849" s="2">
        <v>0.1272</v>
      </c>
      <c r="PC849" s="2">
        <v>0.1269</v>
      </c>
      <c r="PD849" s="2">
        <v>0.1397</v>
      </c>
      <c r="PE849" s="2">
        <v>0.1393</v>
      </c>
      <c r="PF849" s="2">
        <v>0.1382</v>
      </c>
      <c r="PG849" s="2">
        <v>0.1389</v>
      </c>
      <c r="PH849" s="2">
        <v>0.1387</v>
      </c>
      <c r="PI849" s="2">
        <v>0.1369</v>
      </c>
    </row>
    <row r="850">
      <c r="A850" t="inlineStr">
        <is>
          <t>A130396246K</t>
        </is>
      </c>
      <c r="B850" t="inlineStr">
        <is>
          <t>Contribution to All groups CPI Annual Percentage Points Change ;  Tertiary education ;  Australia ;</t>
        </is>
      </c>
      <c r="C850" t="inlineStr">
        <is>
          <t>Month</t>
        </is>
      </c>
      <c r="D850" t="inlineStr">
        <is>
          <t>% pts</t>
        </is>
      </c>
      <c r="E850" t="inlineStr">
        <is>
          <t>Original</t>
        </is>
      </c>
      <c r="F850" t="inlineStr">
        <is>
          <t>640104.xlsx</t>
        </is>
      </c>
      <c r="G850" t="inlineStr">
        <is>
          <t>2025-04</t>
        </is>
      </c>
      <c r="H850" t="inlineStr">
        <is>
          <t>2026-07</t>
        </is>
      </c>
      <c r="OP850" s="2">
        <v>0.06569999999999999</v>
      </c>
      <c r="OQ850" s="2">
        <v>0.0658</v>
      </c>
      <c r="OR850" s="2">
        <v>0.06560000000000001</v>
      </c>
      <c r="OS850" s="2">
        <v>0.0654</v>
      </c>
      <c r="OT850" s="2">
        <v>0.0659</v>
      </c>
      <c r="OU850" s="2">
        <v>0.0659</v>
      </c>
      <c r="OV850" s="2">
        <v>0.066</v>
      </c>
      <c r="OW850" s="2">
        <v>0.0658</v>
      </c>
      <c r="OX850" s="2">
        <v>0.0654</v>
      </c>
      <c r="PC850" s="2">
        <v>0.06519999999999999</v>
      </c>
      <c r="PD850" s="2">
        <v>0.0418</v>
      </c>
      <c r="PE850" s="2">
        <v>0.0417</v>
      </c>
      <c r="PF850" s="2">
        <v>0.0414</v>
      </c>
      <c r="PG850" s="2">
        <v>0.0416</v>
      </c>
      <c r="PH850" s="2">
        <v>0.0416</v>
      </c>
      <c r="PI850" s="2">
        <v>0.041</v>
      </c>
    </row>
    <row r="851">
      <c r="A851" t="inlineStr">
        <is>
          <t>A130392767V</t>
        </is>
      </c>
      <c r="B851" t="inlineStr">
        <is>
          <t>Contribution to All groups CPI Annual Percentage Points Change ;  Insurance and financial services ;  Australia ;</t>
        </is>
      </c>
      <c r="C851" t="inlineStr">
        <is>
          <t>Month</t>
        </is>
      </c>
      <c r="D851" t="inlineStr">
        <is>
          <t>% pts</t>
        </is>
      </c>
      <c r="E851" t="inlineStr">
        <is>
          <t>Original</t>
        </is>
      </c>
      <c r="F851" t="inlineStr">
        <is>
          <t>640104.xlsx</t>
        </is>
      </c>
      <c r="G851" t="inlineStr">
        <is>
          <t>2025-04</t>
        </is>
      </c>
      <c r="H851" t="inlineStr">
        <is>
          <t>2026-07</t>
        </is>
      </c>
      <c r="OP851" s="2">
        <v>0.1985</v>
      </c>
      <c r="OQ851" s="2">
        <v>0.1807</v>
      </c>
      <c r="OR851" s="2">
        <v>0.1735</v>
      </c>
      <c r="OS851" s="2">
        <v>0.1753</v>
      </c>
      <c r="OT851" s="2">
        <v>0.162</v>
      </c>
      <c r="OU851" s="2">
        <v>0.1383</v>
      </c>
      <c r="OV851" s="2">
        <v>0.1381</v>
      </c>
      <c r="OW851" s="2">
        <v>0.1417</v>
      </c>
      <c r="OX851" s="2">
        <v>0.1375</v>
      </c>
      <c r="PC851" s="2">
        <v>0.1329</v>
      </c>
      <c r="PD851" s="2">
        <v>0.136</v>
      </c>
      <c r="PE851" s="2">
        <v>0.1585</v>
      </c>
      <c r="PF851" s="2">
        <v>0.1648</v>
      </c>
      <c r="PG851" s="2">
        <v>0.18</v>
      </c>
      <c r="PH851" s="2">
        <v>0.1793</v>
      </c>
      <c r="PI851" s="2">
        <v>0.174</v>
      </c>
    </row>
    <row r="852">
      <c r="A852" t="inlineStr">
        <is>
          <t>A130393950K</t>
        </is>
      </c>
      <c r="B852" t="inlineStr">
        <is>
          <t>Contribution to All groups CPI Annual Percentage Points Change ;  Insurance ;  Australia ;</t>
        </is>
      </c>
      <c r="C852" t="inlineStr">
        <is>
          <t>Month</t>
        </is>
      </c>
      <c r="D852" t="inlineStr">
        <is>
          <t>% pts</t>
        </is>
      </c>
      <c r="E852" t="inlineStr">
        <is>
          <t>Original</t>
        </is>
      </c>
      <c r="F852" t="inlineStr">
        <is>
          <t>640104.xlsx</t>
        </is>
      </c>
      <c r="G852" t="inlineStr">
        <is>
          <t>2025-04</t>
        </is>
      </c>
      <c r="H852" t="inlineStr">
        <is>
          <t>2026-07</t>
        </is>
      </c>
      <c r="OP852" s="2">
        <v>0.07630000000000001</v>
      </c>
      <c r="OQ852" s="2">
        <v>0.0584</v>
      </c>
      <c r="OR852" s="2">
        <v>0.0513</v>
      </c>
      <c r="OS852" s="2">
        <v>0.0517</v>
      </c>
      <c r="OT852" s="2">
        <v>0.0287</v>
      </c>
      <c r="OU852" s="2">
        <v>0.0279</v>
      </c>
      <c r="OV852" s="2">
        <v>0.0316</v>
      </c>
      <c r="OW852" s="2">
        <v>0.0334</v>
      </c>
      <c r="OX852" s="2">
        <v>0.035</v>
      </c>
      <c r="PC852" s="2">
        <v>0.0307</v>
      </c>
      <c r="PD852" s="2">
        <v>0.035</v>
      </c>
      <c r="PE852" s="2">
        <v>0.0511</v>
      </c>
      <c r="PF852" s="2">
        <v>0.0608</v>
      </c>
      <c r="PG852" s="2">
        <v>0.07389999999999999</v>
      </c>
      <c r="PH852" s="2">
        <v>0.0658</v>
      </c>
      <c r="PI852" s="2">
        <v>0.0569</v>
      </c>
    </row>
    <row r="853">
      <c r="A853" t="inlineStr">
        <is>
          <t>A130392641L</t>
        </is>
      </c>
      <c r="B853" t="inlineStr">
        <is>
          <t>Contribution to All groups CPI Annual Percentage Points Change ;  Insurance ;  Australia ;</t>
        </is>
      </c>
      <c r="C853" t="inlineStr">
        <is>
          <t>Month</t>
        </is>
      </c>
      <c r="D853" t="inlineStr">
        <is>
          <t>% pts</t>
        </is>
      </c>
      <c r="E853" t="inlineStr">
        <is>
          <t>Original</t>
        </is>
      </c>
      <c r="F853" t="inlineStr">
        <is>
          <t>640104.xlsx</t>
        </is>
      </c>
      <c r="G853" t="inlineStr">
        <is>
          <t>2025-04</t>
        </is>
      </c>
      <c r="H853" t="inlineStr">
        <is>
          <t>2026-07</t>
        </is>
      </c>
      <c r="OP853" s="2">
        <v>0.07630000000000001</v>
      </c>
      <c r="OQ853" s="2">
        <v>0.0584</v>
      </c>
      <c r="OR853" s="2">
        <v>0.0513</v>
      </c>
      <c r="OS853" s="2">
        <v>0.0517</v>
      </c>
      <c r="OT853" s="2">
        <v>0.0287</v>
      </c>
      <c r="OU853" s="2">
        <v>0.0279</v>
      </c>
      <c r="OV853" s="2">
        <v>0.0316</v>
      </c>
      <c r="OW853" s="2">
        <v>0.0334</v>
      </c>
      <c r="OX853" s="2">
        <v>0.035</v>
      </c>
      <c r="PC853" s="2">
        <v>0.0307</v>
      </c>
      <c r="PD853" s="2">
        <v>0.035</v>
      </c>
      <c r="PE853" s="2">
        <v>0.0511</v>
      </c>
      <c r="PF853" s="2">
        <v>0.0608</v>
      </c>
      <c r="PG853" s="2">
        <v>0.07389999999999999</v>
      </c>
      <c r="PH853" s="2">
        <v>0.0658</v>
      </c>
      <c r="PI853" s="2">
        <v>0.0569</v>
      </c>
    </row>
    <row r="854">
      <c r="A854" t="inlineStr">
        <is>
          <t>A130399120J</t>
        </is>
      </c>
      <c r="B854" t="inlineStr">
        <is>
          <t>Contribution to All groups CPI Annual Percentage Points Change ;  Financial services ;  Australia ;</t>
        </is>
      </c>
      <c r="C854" t="inlineStr">
        <is>
          <t>Month</t>
        </is>
      </c>
      <c r="D854" t="inlineStr">
        <is>
          <t>% pts</t>
        </is>
      </c>
      <c r="E854" t="inlineStr">
        <is>
          <t>Original</t>
        </is>
      </c>
      <c r="F854" t="inlineStr">
        <is>
          <t>640104.xlsx</t>
        </is>
      </c>
      <c r="G854" t="inlineStr">
        <is>
          <t>2025-04</t>
        </is>
      </c>
      <c r="H854" t="inlineStr">
        <is>
          <t>2026-07</t>
        </is>
      </c>
      <c r="OP854" s="2">
        <v>0.1222</v>
      </c>
      <c r="OQ854" s="2">
        <v>0.1223</v>
      </c>
      <c r="OR854" s="2">
        <v>0.1222</v>
      </c>
      <c r="OS854" s="2">
        <v>0.1236</v>
      </c>
      <c r="OT854" s="2">
        <v>0.1333</v>
      </c>
      <c r="OU854" s="2">
        <v>0.1105</v>
      </c>
      <c r="OV854" s="2">
        <v>0.1065</v>
      </c>
      <c r="OW854" s="2">
        <v>0.1083</v>
      </c>
      <c r="OX854" s="2">
        <v>0.1025</v>
      </c>
      <c r="PC854" s="2">
        <v>0.1023</v>
      </c>
      <c r="PD854" s="2">
        <v>0.101</v>
      </c>
      <c r="PE854" s="2">
        <v>0.1074</v>
      </c>
      <c r="PF854" s="2">
        <v>0.104</v>
      </c>
      <c r="PG854" s="2">
        <v>0.1061</v>
      </c>
      <c r="PH854" s="2">
        <v>0.1135</v>
      </c>
      <c r="PI854" s="2">
        <v>0.1172</v>
      </c>
    </row>
    <row r="855">
      <c r="A855" t="inlineStr">
        <is>
          <t>A130399106L</t>
        </is>
      </c>
      <c r="B855" t="inlineStr">
        <is>
          <t>Contribution to All groups CPI Annual Percentage Points Change ;  Deposit and loan facilities (direct charges) ;  Australia ;</t>
        </is>
      </c>
      <c r="C855" t="inlineStr">
        <is>
          <t>Month</t>
        </is>
      </c>
      <c r="D855" t="inlineStr">
        <is>
          <t>% pts</t>
        </is>
      </c>
      <c r="E855" t="inlineStr">
        <is>
          <t>Original</t>
        </is>
      </c>
      <c r="F855" t="inlineStr">
        <is>
          <t>640104.xlsx</t>
        </is>
      </c>
      <c r="G855" t="inlineStr">
        <is>
          <t>2025-04</t>
        </is>
      </c>
      <c r="H855" t="inlineStr">
        <is>
          <t>2026-07</t>
        </is>
      </c>
      <c r="OP855" s="2">
        <v>0.0106</v>
      </c>
      <c r="OQ855" s="2">
        <v>0.0105</v>
      </c>
      <c r="OR855" s="2">
        <v>0.0142</v>
      </c>
      <c r="OS855" s="2">
        <v>0.0159</v>
      </c>
      <c r="OT855" s="2">
        <v>0.0253</v>
      </c>
      <c r="OU855" s="2">
        <v>0.0201</v>
      </c>
      <c r="OV855" s="2">
        <v>0.0159</v>
      </c>
      <c r="OW855" s="2">
        <v>0.018</v>
      </c>
      <c r="OX855" s="2">
        <v>0.0164</v>
      </c>
      <c r="PC855" s="2">
        <v>0.0164</v>
      </c>
      <c r="PD855" s="2">
        <v>0.0152</v>
      </c>
      <c r="PE855" s="2">
        <v>0.009900000000000001</v>
      </c>
      <c r="PF855" s="2">
        <v>0.0072</v>
      </c>
      <c r="PG855" s="2">
        <v>0.008800000000000001</v>
      </c>
      <c r="PH855" s="2">
        <v>0.0041</v>
      </c>
      <c r="PI855" s="2">
        <v>0.0091</v>
      </c>
    </row>
    <row r="856">
      <c r="A856" t="inlineStr">
        <is>
          <t>A130392480K</t>
        </is>
      </c>
      <c r="B856" t="inlineStr">
        <is>
          <t>Contribution to All groups CPI Annual Percentage Points Change ;  Other financial services ;  Australia ;</t>
        </is>
      </c>
      <c r="C856" t="inlineStr">
        <is>
          <t>Month</t>
        </is>
      </c>
      <c r="D856" t="inlineStr">
        <is>
          <t>% pts</t>
        </is>
      </c>
      <c r="E856" t="inlineStr">
        <is>
          <t>Original</t>
        </is>
      </c>
      <c r="F856" t="inlineStr">
        <is>
          <t>640104.xlsx</t>
        </is>
      </c>
      <c r="G856" t="inlineStr">
        <is>
          <t>2025-04</t>
        </is>
      </c>
      <c r="H856" t="inlineStr">
        <is>
          <t>2026-07</t>
        </is>
      </c>
      <c r="OP856" s="2">
        <v>0.1116</v>
      </c>
      <c r="OQ856" s="2">
        <v>0.1119</v>
      </c>
      <c r="OR856" s="2">
        <v>0.108</v>
      </c>
      <c r="OS856" s="2">
        <v>0.1077</v>
      </c>
      <c r="OT856" s="2">
        <v>0.108</v>
      </c>
      <c r="OU856" s="2">
        <v>0.09039999999999999</v>
      </c>
      <c r="OV856" s="2">
        <v>0.0906</v>
      </c>
      <c r="OW856" s="2">
        <v>0.09030000000000001</v>
      </c>
      <c r="OX856" s="2">
        <v>0.0861</v>
      </c>
      <c r="PC856" s="2">
        <v>0.0859</v>
      </c>
      <c r="PD856" s="2">
        <v>0.0858</v>
      </c>
      <c r="PE856" s="2">
        <v>0.0975</v>
      </c>
      <c r="PF856" s="2">
        <v>0.0968</v>
      </c>
      <c r="PG856" s="2">
        <v>0.0973</v>
      </c>
      <c r="PH856" s="2">
        <v>0.1095</v>
      </c>
      <c r="PI856" s="2">
        <v>0.108</v>
      </c>
    </row>
    <row r="857">
      <c r="A857" t="inlineStr">
        <is>
          <t>A130393725R</t>
        </is>
      </c>
      <c r="B857" t="inlineStr">
        <is>
          <t>Contribution to All groups CPI Percentage Points Change from Previous Period ;  All groups CPI ;  Australia ;</t>
        </is>
      </c>
      <c r="C857" t="inlineStr">
        <is>
          <t>Month</t>
        </is>
      </c>
      <c r="D857" t="inlineStr">
        <is>
          <t>% pts</t>
        </is>
      </c>
      <c r="E857" t="inlineStr">
        <is>
          <t>Original</t>
        </is>
      </c>
      <c r="F857" t="inlineStr">
        <is>
          <t>640105.xlsx</t>
        </is>
      </c>
      <c r="G857" t="inlineStr">
        <is>
          <t>2024-05</t>
        </is>
      </c>
      <c r="H857" t="inlineStr">
        <is>
          <t>2026-07</t>
        </is>
      </c>
      <c r="OA857" s="2">
        <v>-0.2307</v>
      </c>
      <c r="OB857" s="2">
        <v>0.3562</v>
      </c>
      <c r="OC857" s="2">
        <v>0.2612</v>
      </c>
      <c r="OD857" s="2">
        <v>-0.2834</v>
      </c>
      <c r="OE857" s="2">
        <v>0.0467</v>
      </c>
      <c r="OF857" s="2">
        <v>-0.2314</v>
      </c>
      <c r="OG857" s="2">
        <v>0.3761</v>
      </c>
      <c r="OH857" s="2">
        <v>0.6544</v>
      </c>
      <c r="OM857" s="2">
        <v>0.2766</v>
      </c>
      <c r="ON857" s="2">
        <v>0.0906</v>
      </c>
      <c r="OO857" s="2">
        <v>0.2967</v>
      </c>
      <c r="OP857" s="2">
        <v>0.7401</v>
      </c>
      <c r="OQ857" s="2">
        <v>-0.493</v>
      </c>
      <c r="OR857" s="2">
        <v>0.1449</v>
      </c>
      <c r="OS857" s="2">
        <v>1.312</v>
      </c>
      <c r="OT857" s="2">
        <v>-0.0755</v>
      </c>
      <c r="OU857" s="2">
        <v>0.4484</v>
      </c>
      <c r="OV857" s="2">
        <v>-0.0074</v>
      </c>
      <c r="OW857" s="2">
        <v>0.0157</v>
      </c>
      <c r="OX857" s="2">
        <v>0.9639</v>
      </c>
      <c r="PC857" s="2">
        <v>0.352</v>
      </c>
      <c r="PD857" s="2">
        <v>-0.0127</v>
      </c>
      <c r="PE857" s="2">
        <v>1.114</v>
      </c>
      <c r="PF857" s="2">
        <v>0.3438</v>
      </c>
      <c r="PG857" s="2">
        <v>-0.6836</v>
      </c>
      <c r="PH857" s="2">
        <v>-0.0584</v>
      </c>
      <c r="PI857" s="2">
        <v>1.0147</v>
      </c>
    </row>
    <row r="858">
      <c r="A858" t="inlineStr">
        <is>
          <t>A130395482V</t>
        </is>
      </c>
      <c r="B858" t="inlineStr">
        <is>
          <t>Contribution to All groups CPI Percentage Points Change from Previous Period ;  Food and non-alcoholic beverages ;  Australia ;</t>
        </is>
      </c>
      <c r="C858" t="inlineStr">
        <is>
          <t>Month</t>
        </is>
      </c>
      <c r="D858" t="inlineStr">
        <is>
          <t>% pts</t>
        </is>
      </c>
      <c r="E858" t="inlineStr">
        <is>
          <t>Original</t>
        </is>
      </c>
      <c r="F858" t="inlineStr">
        <is>
          <t>640105.xlsx</t>
        </is>
      </c>
      <c r="G858" t="inlineStr">
        <is>
          <t>2024-05</t>
        </is>
      </c>
      <c r="H858" t="inlineStr">
        <is>
          <t>2026-07</t>
        </is>
      </c>
      <c r="OA858" s="2">
        <v>0.07679999999999999</v>
      </c>
      <c r="OB858" s="2">
        <v>-0.0238</v>
      </c>
      <c r="OC858" s="2">
        <v>0.1212</v>
      </c>
      <c r="OD858" s="2">
        <v>0.0355</v>
      </c>
      <c r="OE858" s="2">
        <v>-0.08459999999999999</v>
      </c>
      <c r="OF858" s="2">
        <v>0.0254</v>
      </c>
      <c r="OG858" s="2">
        <v>0.0524</v>
      </c>
      <c r="OH858" s="2">
        <v>0.0421</v>
      </c>
      <c r="OM858" s="2">
        <v>0.1427</v>
      </c>
      <c r="ON858" s="2">
        <v>-0.0225</v>
      </c>
      <c r="OO858" s="2">
        <v>0.1164</v>
      </c>
      <c r="OP858" s="2">
        <v>0.06759999999999999</v>
      </c>
      <c r="OQ858" s="2">
        <v>0.0198</v>
      </c>
      <c r="OR858" s="2">
        <v>0.0756</v>
      </c>
      <c r="OS858" s="2">
        <v>0.062</v>
      </c>
      <c r="OT858" s="2">
        <v>0.0174</v>
      </c>
      <c r="OU858" s="2">
        <v>-0.0456</v>
      </c>
      <c r="OV858" s="2">
        <v>0.0258</v>
      </c>
      <c r="OW858" s="2">
        <v>0.0664</v>
      </c>
      <c r="OX858" s="2">
        <v>0.06610000000000001</v>
      </c>
      <c r="PC858" s="2">
        <v>0.0873</v>
      </c>
      <c r="PD858" s="2">
        <v>-0.0231</v>
      </c>
      <c r="PE858" s="2">
        <v>0.116</v>
      </c>
      <c r="PF858" s="2">
        <v>0.0111</v>
      </c>
      <c r="PG858" s="2">
        <v>0.1027</v>
      </c>
      <c r="PH858" s="2">
        <v>0.073</v>
      </c>
      <c r="PI858" s="2">
        <v>0.0471</v>
      </c>
    </row>
    <row r="859">
      <c r="A859" t="inlineStr">
        <is>
          <t>A130391709C</t>
        </is>
      </c>
      <c r="B859" t="inlineStr">
        <is>
          <t>Contribution to All groups CPI Percentage Points Change from Previous Period ;  Bread and cereal products ;  Australia ;</t>
        </is>
      </c>
      <c r="C859" t="inlineStr">
        <is>
          <t>Month</t>
        </is>
      </c>
      <c r="D859" t="inlineStr">
        <is>
          <t>% pts</t>
        </is>
      </c>
      <c r="E859" t="inlineStr">
        <is>
          <t>Original</t>
        </is>
      </c>
      <c r="F859" t="inlineStr">
        <is>
          <t>640105.xlsx</t>
        </is>
      </c>
      <c r="G859" t="inlineStr">
        <is>
          <t>2024-05</t>
        </is>
      </c>
      <c r="H859" t="inlineStr">
        <is>
          <t>2026-07</t>
        </is>
      </c>
      <c r="OA859" s="2">
        <v>0.0015</v>
      </c>
      <c r="OB859" s="2">
        <v>-0.0063</v>
      </c>
      <c r="OC859" s="2">
        <v>0.0139</v>
      </c>
      <c r="OD859" s="2">
        <v>-0.0003</v>
      </c>
      <c r="OE859" s="2">
        <v>-0.0018</v>
      </c>
      <c r="OF859" s="2">
        <v>0.0199</v>
      </c>
      <c r="OG859" s="2">
        <v>0.0053</v>
      </c>
      <c r="OH859" s="2">
        <v>0.009299999999999999</v>
      </c>
      <c r="OM859" s="2">
        <v>0.0113</v>
      </c>
      <c r="ON859" s="2">
        <v>-0.0192</v>
      </c>
      <c r="OO859" s="2">
        <v>0.0119</v>
      </c>
      <c r="OP859" s="2">
        <v>-0.0059</v>
      </c>
      <c r="OQ859" s="2">
        <v>-0.008699999999999999</v>
      </c>
      <c r="OR859" s="2">
        <v>-0.0022</v>
      </c>
      <c r="OS859" s="2">
        <v>0.0109</v>
      </c>
      <c r="OT859" s="2">
        <v>0.0007</v>
      </c>
      <c r="OU859" s="2">
        <v>-0.0041</v>
      </c>
      <c r="OV859" s="2">
        <v>0.0013</v>
      </c>
      <c r="OW859" s="2">
        <v>0.0124</v>
      </c>
      <c r="OX859" s="2">
        <v>0.014</v>
      </c>
      <c r="PC859" s="2">
        <v>0.003</v>
      </c>
      <c r="PD859" s="2">
        <v>-0.0176</v>
      </c>
      <c r="PE859" s="2">
        <v>0.0051</v>
      </c>
      <c r="PF859" s="2">
        <v>-0.0038</v>
      </c>
      <c r="PG859" s="2">
        <v>0.0037</v>
      </c>
      <c r="PH859" s="2">
        <v>0.009900000000000001</v>
      </c>
      <c r="PI859" s="2">
        <v>-0.0046</v>
      </c>
    </row>
    <row r="860">
      <c r="A860" t="inlineStr">
        <is>
          <t>A130393207R</t>
        </is>
      </c>
      <c r="B860" t="inlineStr">
        <is>
          <t>Contribution to All groups CPI Percentage Points Change from Previous Period ;  Bread ;  Australia ;</t>
        </is>
      </c>
      <c r="C860" t="inlineStr">
        <is>
          <t>Month</t>
        </is>
      </c>
      <c r="D860" t="inlineStr">
        <is>
          <t>% pts</t>
        </is>
      </c>
      <c r="E860" t="inlineStr">
        <is>
          <t>Original</t>
        </is>
      </c>
      <c r="F860" t="inlineStr">
        <is>
          <t>640105.xlsx</t>
        </is>
      </c>
      <c r="G860" t="inlineStr">
        <is>
          <t>2024-05</t>
        </is>
      </c>
      <c r="H860" t="inlineStr">
        <is>
          <t>2026-07</t>
        </is>
      </c>
      <c r="OA860" s="2">
        <v>-0.0013</v>
      </c>
      <c r="OB860" s="2">
        <v>0.0007</v>
      </c>
      <c r="OC860" s="2">
        <v>0.0017</v>
      </c>
      <c r="OD860" s="2">
        <v>-0.0017</v>
      </c>
      <c r="OE860" s="2">
        <v>-0.0017</v>
      </c>
      <c r="OF860" s="2">
        <v>0.0069</v>
      </c>
      <c r="OG860" s="2">
        <v>0.0049</v>
      </c>
      <c r="OH860" s="2">
        <v>0.0043</v>
      </c>
      <c r="OM860" s="2">
        <v>0.0016</v>
      </c>
      <c r="ON860" s="2">
        <v>-0.0014</v>
      </c>
      <c r="OO860" s="2">
        <v>0.001</v>
      </c>
      <c r="OP860" s="2">
        <v>-0.0018</v>
      </c>
      <c r="OQ860" s="2">
        <v>-0.0028</v>
      </c>
      <c r="OR860" s="2">
        <v>-0.0021</v>
      </c>
      <c r="OS860" s="2">
        <v>0.0007</v>
      </c>
      <c r="OT860" s="2">
        <v>-0.0003</v>
      </c>
      <c r="OU860" s="2">
        <v>-0.0005</v>
      </c>
      <c r="OV860" s="2">
        <v>0.0029</v>
      </c>
      <c r="OW860" s="2">
        <v>0.002</v>
      </c>
      <c r="OX860" s="2">
        <v>0.0028</v>
      </c>
      <c r="PC860" s="2">
        <v>0.002</v>
      </c>
      <c r="PD860" s="2">
        <v>0.0002</v>
      </c>
      <c r="PE860" s="2">
        <v>0.0021</v>
      </c>
      <c r="PF860" s="2">
        <v>-0.0004</v>
      </c>
      <c r="PG860" s="2">
        <v>0.0028</v>
      </c>
      <c r="PH860" s="2">
        <v>0.0014</v>
      </c>
      <c r="PI860" s="2">
        <v>0.0002</v>
      </c>
    </row>
    <row r="861">
      <c r="A861" t="inlineStr">
        <is>
          <t>A130399329W</t>
        </is>
      </c>
      <c r="B861" t="inlineStr">
        <is>
          <t>Contribution to All groups CPI Percentage Points Change from Previous Period ;  Cakes and biscuits ;  Australia ;</t>
        </is>
      </c>
      <c r="C861" t="inlineStr">
        <is>
          <t>Month</t>
        </is>
      </c>
      <c r="D861" t="inlineStr">
        <is>
          <t>% pts</t>
        </is>
      </c>
      <c r="E861" t="inlineStr">
        <is>
          <t>Original</t>
        </is>
      </c>
      <c r="F861" t="inlineStr">
        <is>
          <t>640105.xlsx</t>
        </is>
      </c>
      <c r="G861" t="inlineStr">
        <is>
          <t>2024-05</t>
        </is>
      </c>
      <c r="H861" t="inlineStr">
        <is>
          <t>2026-07</t>
        </is>
      </c>
      <c r="OA861" s="2">
        <v>0.0022</v>
      </c>
      <c r="OB861" s="2">
        <v>-0.0044</v>
      </c>
      <c r="OC861" s="2">
        <v>0.0106</v>
      </c>
      <c r="OD861" s="2">
        <v>-0.001</v>
      </c>
      <c r="OE861" s="2">
        <v>-0.0013</v>
      </c>
      <c r="OF861" s="2">
        <v>0.017</v>
      </c>
      <c r="OG861" s="2">
        <v>-0.0014</v>
      </c>
      <c r="OH861" s="2">
        <v>-0.0031</v>
      </c>
      <c r="OM861" s="2">
        <v>0.0129</v>
      </c>
      <c r="ON861" s="2">
        <v>-0.0137</v>
      </c>
      <c r="OO861" s="2">
        <v>0.0081</v>
      </c>
      <c r="OP861" s="2">
        <v>0</v>
      </c>
      <c r="OQ861" s="2">
        <v>-0.0056</v>
      </c>
      <c r="OR861" s="2">
        <v>0.0015</v>
      </c>
      <c r="OS861" s="2">
        <v>0.009900000000000001</v>
      </c>
      <c r="OT861" s="2">
        <v>-0.0004</v>
      </c>
      <c r="OU861" s="2">
        <v>-0.0049</v>
      </c>
      <c r="OV861" s="2">
        <v>0.0005999999999999999</v>
      </c>
      <c r="OW861" s="2">
        <v>0.0047</v>
      </c>
      <c r="OX861" s="2">
        <v>0.0022</v>
      </c>
      <c r="PC861" s="2">
        <v>0.0092</v>
      </c>
      <c r="PD861" s="2">
        <v>-0.0171</v>
      </c>
      <c r="PE861" s="2">
        <v>0.0034</v>
      </c>
      <c r="PF861" s="2">
        <v>-0.0027</v>
      </c>
      <c r="PG861" s="2">
        <v>0.0022</v>
      </c>
      <c r="PH861" s="2">
        <v>0.005</v>
      </c>
      <c r="PI861" s="2">
        <v>-0.0003</v>
      </c>
    </row>
    <row r="862">
      <c r="A862" t="inlineStr">
        <is>
          <t>A130393228A</t>
        </is>
      </c>
      <c r="B862" t="inlineStr">
        <is>
          <t>Contribution to All groups CPI Percentage Points Change from Previous Period ;  Breakfast cereals ;  Australia ;</t>
        </is>
      </c>
      <c r="C862" t="inlineStr">
        <is>
          <t>Month</t>
        </is>
      </c>
      <c r="D862" t="inlineStr">
        <is>
          <t>% pts</t>
        </is>
      </c>
      <c r="E862" t="inlineStr">
        <is>
          <t>Original</t>
        </is>
      </c>
      <c r="F862" t="inlineStr">
        <is>
          <t>640105.xlsx</t>
        </is>
      </c>
      <c r="G862" t="inlineStr">
        <is>
          <t>2024-05</t>
        </is>
      </c>
      <c r="H862" t="inlineStr">
        <is>
          <t>2026-07</t>
        </is>
      </c>
      <c r="OA862" s="2">
        <v>-0.0005</v>
      </c>
      <c r="OB862" s="2">
        <v>-0.0014</v>
      </c>
      <c r="OC862" s="2">
        <v>0</v>
      </c>
      <c r="OD862" s="2">
        <v>0.0038</v>
      </c>
      <c r="OE862" s="2">
        <v>0.0003</v>
      </c>
      <c r="OF862" s="2">
        <v>-0.0035</v>
      </c>
      <c r="OG862" s="2">
        <v>0.0022</v>
      </c>
      <c r="OH862" s="2">
        <v>0.0043</v>
      </c>
      <c r="OM862" s="2">
        <v>-0.0016</v>
      </c>
      <c r="ON862" s="2">
        <v>-0.0022</v>
      </c>
      <c r="OO862" s="2">
        <v>0.001</v>
      </c>
      <c r="OP862" s="2">
        <v>-0.0014</v>
      </c>
      <c r="OQ862" s="2">
        <v>-0.0007</v>
      </c>
      <c r="OR862" s="2">
        <v>0.0002</v>
      </c>
      <c r="OS862" s="2">
        <v>-0.0001</v>
      </c>
      <c r="OT862" s="2">
        <v>0.0004</v>
      </c>
      <c r="OU862" s="2">
        <v>0.0004</v>
      </c>
      <c r="OV862" s="2">
        <v>0.0004</v>
      </c>
      <c r="OW862" s="2">
        <v>0.0032</v>
      </c>
      <c r="OX862" s="2">
        <v>0.0069</v>
      </c>
      <c r="PC862" s="2">
        <v>-0.0059</v>
      </c>
      <c r="PD862" s="2">
        <v>-0.0003</v>
      </c>
      <c r="PE862" s="2">
        <v>0.0016</v>
      </c>
      <c r="PF862" s="2">
        <v>-0.0026</v>
      </c>
      <c r="PG862" s="2">
        <v>-0.0008</v>
      </c>
      <c r="PH862" s="2">
        <v>0.0013</v>
      </c>
      <c r="PI862" s="2">
        <v>-0.0014</v>
      </c>
    </row>
    <row r="863">
      <c r="A863" t="inlineStr">
        <is>
          <t>A130398066L</t>
        </is>
      </c>
      <c r="B863" t="inlineStr">
        <is>
          <t>Contribution to All groups CPI Percentage Points Change from Previous Period ;  Other cereal products ;  Australia ;</t>
        </is>
      </c>
      <c r="C863" t="inlineStr">
        <is>
          <t>Month</t>
        </is>
      </c>
      <c r="D863" t="inlineStr">
        <is>
          <t>% pts</t>
        </is>
      </c>
      <c r="E863" t="inlineStr">
        <is>
          <t>Original</t>
        </is>
      </c>
      <c r="F863" t="inlineStr">
        <is>
          <t>640105.xlsx</t>
        </is>
      </c>
      <c r="G863" t="inlineStr">
        <is>
          <t>2024-05</t>
        </is>
      </c>
      <c r="H863" t="inlineStr">
        <is>
          <t>2026-07</t>
        </is>
      </c>
      <c r="OA863" s="2">
        <v>0.0011</v>
      </c>
      <c r="OB863" s="2">
        <v>-0.0012</v>
      </c>
      <c r="OC863" s="2">
        <v>0.0017</v>
      </c>
      <c r="OD863" s="2">
        <v>-0.0014</v>
      </c>
      <c r="OE863" s="2">
        <v>0.001</v>
      </c>
      <c r="OF863" s="2">
        <v>-0.0004</v>
      </c>
      <c r="OG863" s="2">
        <v>-0.0004</v>
      </c>
      <c r="OH863" s="2">
        <v>0.0038</v>
      </c>
      <c r="OM863" s="2">
        <v>-0.0015</v>
      </c>
      <c r="ON863" s="2">
        <v>-0.0019</v>
      </c>
      <c r="OO863" s="2">
        <v>0.0018</v>
      </c>
      <c r="OP863" s="2">
        <v>-0.0027</v>
      </c>
      <c r="OQ863" s="2">
        <v>0.0004</v>
      </c>
      <c r="OR863" s="2">
        <v>-0.0018</v>
      </c>
      <c r="OS863" s="2">
        <v>0.0004</v>
      </c>
      <c r="OT863" s="2">
        <v>0.001</v>
      </c>
      <c r="OU863" s="2">
        <v>0.0008</v>
      </c>
      <c r="OV863" s="2">
        <v>-0.0027</v>
      </c>
      <c r="OW863" s="2">
        <v>0.0024</v>
      </c>
      <c r="OX863" s="2">
        <v>0.0021</v>
      </c>
      <c r="PC863" s="2">
        <v>-0.0024</v>
      </c>
      <c r="PD863" s="2">
        <v>-0.0004</v>
      </c>
      <c r="PE863" s="2">
        <v>-0.0021</v>
      </c>
      <c r="PF863" s="2">
        <v>0.0019</v>
      </c>
      <c r="PG863" s="2">
        <v>-0.0005</v>
      </c>
      <c r="PH863" s="2">
        <v>0.0022</v>
      </c>
      <c r="PI863" s="2">
        <v>-0.0032</v>
      </c>
    </row>
    <row r="864">
      <c r="A864" t="inlineStr">
        <is>
          <t>A130394369X</t>
        </is>
      </c>
      <c r="B864" t="inlineStr">
        <is>
          <t>Contribution to All groups CPI Percentage Points Change from Previous Period ;  Meat and seafoods ;  Australia ;</t>
        </is>
      </c>
      <c r="C864" t="inlineStr">
        <is>
          <t>Month</t>
        </is>
      </c>
      <c r="D864" t="inlineStr">
        <is>
          <t>% pts</t>
        </is>
      </c>
      <c r="E864" t="inlineStr">
        <is>
          <t>Original</t>
        </is>
      </c>
      <c r="F864" t="inlineStr">
        <is>
          <t>640105.xlsx</t>
        </is>
      </c>
      <c r="G864" t="inlineStr">
        <is>
          <t>2024-05</t>
        </is>
      </c>
      <c r="H864" t="inlineStr">
        <is>
          <t>2026-07</t>
        </is>
      </c>
      <c r="OA864" s="2">
        <v>0.006</v>
      </c>
      <c r="OB864" s="2">
        <v>-0.0119</v>
      </c>
      <c r="OC864" s="2">
        <v>0.0212</v>
      </c>
      <c r="OD864" s="2">
        <v>0.0124</v>
      </c>
      <c r="OE864" s="2">
        <v>-0.0005999999999999999</v>
      </c>
      <c r="OF864" s="2">
        <v>0.0103</v>
      </c>
      <c r="OG864" s="2">
        <v>0.0052</v>
      </c>
      <c r="OH864" s="2">
        <v>0.0025</v>
      </c>
      <c r="OM864" s="2">
        <v>0.0144</v>
      </c>
      <c r="ON864" s="2">
        <v>0.0003</v>
      </c>
      <c r="OO864" s="2">
        <v>0.006</v>
      </c>
      <c r="OP864" s="2">
        <v>-0.0129</v>
      </c>
      <c r="OQ864" s="2">
        <v>0.0169</v>
      </c>
      <c r="OR864" s="2">
        <v>-0.0059</v>
      </c>
      <c r="OS864" s="2">
        <v>0.0009</v>
      </c>
      <c r="OT864" s="2">
        <v>0.0234</v>
      </c>
      <c r="OU864" s="2">
        <v>0.0094</v>
      </c>
      <c r="OV864" s="2">
        <v>0.0203</v>
      </c>
      <c r="OW864" s="2">
        <v>0.0067</v>
      </c>
      <c r="OX864" s="2">
        <v>0.0123</v>
      </c>
      <c r="PC864" s="2">
        <v>0.0051</v>
      </c>
      <c r="PD864" s="2">
        <v>0.0117</v>
      </c>
      <c r="PE864" s="2">
        <v>0.0115</v>
      </c>
      <c r="PF864" s="2">
        <v>-0.0072</v>
      </c>
      <c r="PG864" s="2">
        <v>0.0235</v>
      </c>
      <c r="PH864" s="2">
        <v>-0.0055</v>
      </c>
      <c r="PI864" s="2">
        <v>0.0046</v>
      </c>
    </row>
    <row r="865">
      <c r="A865" t="inlineStr">
        <is>
          <t>A130393249L</t>
        </is>
      </c>
      <c r="B865" t="inlineStr">
        <is>
          <t>Contribution to All groups CPI Percentage Points Change from Previous Period ;  Beef and veal ;  Australia ;</t>
        </is>
      </c>
      <c r="C865" t="inlineStr">
        <is>
          <t>Month</t>
        </is>
      </c>
      <c r="D865" t="inlineStr">
        <is>
          <t>% pts</t>
        </is>
      </c>
      <c r="E865" t="inlineStr">
        <is>
          <t>Original</t>
        </is>
      </c>
      <c r="F865" t="inlineStr">
        <is>
          <t>640105.xlsx</t>
        </is>
      </c>
      <c r="G865" t="inlineStr">
        <is>
          <t>2024-05</t>
        </is>
      </c>
      <c r="H865" t="inlineStr">
        <is>
          <t>2026-07</t>
        </is>
      </c>
      <c r="OA865" s="2">
        <v>0.0032</v>
      </c>
      <c r="OB865" s="2">
        <v>-0.0031</v>
      </c>
      <c r="OC865" s="2">
        <v>0.0017</v>
      </c>
      <c r="OD865" s="2">
        <v>0.0034</v>
      </c>
      <c r="OE865" s="2">
        <v>0.001</v>
      </c>
      <c r="OF865" s="2">
        <v>-0.0004</v>
      </c>
      <c r="OG865" s="2">
        <v>0.0023</v>
      </c>
      <c r="OH865" s="2">
        <v>0.001</v>
      </c>
      <c r="OM865" s="2">
        <v>0.0049</v>
      </c>
      <c r="ON865" s="2">
        <v>-0.0044</v>
      </c>
      <c r="OO865" s="2">
        <v>0.0089</v>
      </c>
      <c r="OP865" s="2">
        <v>-0.0013</v>
      </c>
      <c r="OQ865" s="2">
        <v>0.0011</v>
      </c>
      <c r="OR865" s="2">
        <v>0.0069</v>
      </c>
      <c r="OS865" s="2">
        <v>-0.0023</v>
      </c>
      <c r="OT865" s="2">
        <v>0.0072</v>
      </c>
      <c r="OU865" s="2">
        <v>0.0065</v>
      </c>
      <c r="OV865" s="2">
        <v>0.0125</v>
      </c>
      <c r="OW865" s="2">
        <v>0.0059</v>
      </c>
      <c r="OX865" s="2">
        <v>-0.0011</v>
      </c>
      <c r="PC865" s="2">
        <v>0.0069</v>
      </c>
      <c r="PD865" s="2">
        <v>0.0045</v>
      </c>
      <c r="PE865" s="2">
        <v>0.0028</v>
      </c>
      <c r="PF865" s="2">
        <v>-0.001</v>
      </c>
      <c r="PG865" s="2">
        <v>0.0066</v>
      </c>
      <c r="PH865" s="2">
        <v>0.002</v>
      </c>
      <c r="PI865" s="2">
        <v>0.0001</v>
      </c>
    </row>
    <row r="866">
      <c r="A866" t="inlineStr">
        <is>
          <t>A130395342T</t>
        </is>
      </c>
      <c r="B866" t="inlineStr">
        <is>
          <t>Contribution to All groups CPI Percentage Points Change from Previous Period ;  Pork ;  Australia ;</t>
        </is>
      </c>
      <c r="C866" t="inlineStr">
        <is>
          <t>Month</t>
        </is>
      </c>
      <c r="D866" t="inlineStr">
        <is>
          <t>% pts</t>
        </is>
      </c>
      <c r="E866" t="inlineStr">
        <is>
          <t>Original</t>
        </is>
      </c>
      <c r="F866" t="inlineStr">
        <is>
          <t>640105.xlsx</t>
        </is>
      </c>
      <c r="G866" t="inlineStr">
        <is>
          <t>2024-05</t>
        </is>
      </c>
      <c r="H866" t="inlineStr">
        <is>
          <t>2026-07</t>
        </is>
      </c>
      <c r="OA866" s="2">
        <v>0.0004</v>
      </c>
      <c r="OB866" s="2">
        <v>-0.0034</v>
      </c>
      <c r="OC866" s="2">
        <v>0.0011</v>
      </c>
      <c r="OD866" s="2">
        <v>0.0008</v>
      </c>
      <c r="OE866" s="2">
        <v>0</v>
      </c>
      <c r="OF866" s="2">
        <v>0.0041</v>
      </c>
      <c r="OG866" s="2">
        <v>0.0026</v>
      </c>
      <c r="OH866" s="2">
        <v>-0.0002</v>
      </c>
      <c r="OM866" s="2">
        <v>0.0033</v>
      </c>
      <c r="ON866" s="2">
        <v>0.0002</v>
      </c>
      <c r="OO866" s="2">
        <v>0.0022</v>
      </c>
      <c r="OP866" s="2">
        <v>-0.0046</v>
      </c>
      <c r="OQ866" s="2">
        <v>0.0031</v>
      </c>
      <c r="OR866" s="2">
        <v>-0.0032</v>
      </c>
      <c r="OS866" s="2">
        <v>0.0011</v>
      </c>
      <c r="OT866" s="2">
        <v>0.0008</v>
      </c>
      <c r="OU866" s="2">
        <v>-0.0004</v>
      </c>
      <c r="OV866" s="2">
        <v>-0.001</v>
      </c>
      <c r="OW866" s="2">
        <v>0.0021</v>
      </c>
      <c r="OX866" s="2">
        <v>-0.0017</v>
      </c>
      <c r="PC866" s="2">
        <v>0.0027</v>
      </c>
      <c r="PD866" s="2">
        <v>0.0002</v>
      </c>
      <c r="PE866" s="2">
        <v>0.0005</v>
      </c>
      <c r="PF866" s="2">
        <v>0.0004</v>
      </c>
      <c r="PG866" s="2">
        <v>0.0019</v>
      </c>
      <c r="PH866" s="2">
        <v>-0.0001</v>
      </c>
      <c r="PI866" s="2">
        <v>-0.0018</v>
      </c>
    </row>
    <row r="867">
      <c r="A867" t="inlineStr">
        <is>
          <t>A130399378T</t>
        </is>
      </c>
      <c r="B867" t="inlineStr">
        <is>
          <t>Contribution to All groups CPI Percentage Points Change from Previous Period ;  Lamb and goat ;  Australia ;</t>
        </is>
      </c>
      <c r="C867" t="inlineStr">
        <is>
          <t>Month</t>
        </is>
      </c>
      <c r="D867" t="inlineStr">
        <is>
          <t>% pts</t>
        </is>
      </c>
      <c r="E867" t="inlineStr">
        <is>
          <t>Original</t>
        </is>
      </c>
      <c r="F867" t="inlineStr">
        <is>
          <t>640105.xlsx</t>
        </is>
      </c>
      <c r="G867" t="inlineStr">
        <is>
          <t>2024-05</t>
        </is>
      </c>
      <c r="H867" t="inlineStr">
        <is>
          <t>2026-07</t>
        </is>
      </c>
      <c r="OA867" s="2">
        <v>0.0031</v>
      </c>
      <c r="OB867" s="2">
        <v>0.0026</v>
      </c>
      <c r="OC867" s="2">
        <v>0.008999999999999999</v>
      </c>
      <c r="OD867" s="2">
        <v>0.0067</v>
      </c>
      <c r="OE867" s="2">
        <v>0.0034</v>
      </c>
      <c r="OF867" s="2">
        <v>0.0003</v>
      </c>
      <c r="OG867" s="2">
        <v>0.0024</v>
      </c>
      <c r="OH867" s="2">
        <v>-0.0017</v>
      </c>
      <c r="OM867" s="2">
        <v>0.002</v>
      </c>
      <c r="ON867" s="2">
        <v>0.0027</v>
      </c>
      <c r="OO867" s="2">
        <v>-0.0022</v>
      </c>
      <c r="OP867" s="2">
        <v>-0.0003</v>
      </c>
      <c r="OQ867" s="2">
        <v>0.0034</v>
      </c>
      <c r="OR867" s="2">
        <v>-0.0013</v>
      </c>
      <c r="OS867" s="2">
        <v>0.0036</v>
      </c>
      <c r="OT867" s="2">
        <v>0.008800000000000001</v>
      </c>
      <c r="OU867" s="2">
        <v>0.0128</v>
      </c>
      <c r="OV867" s="2">
        <v>0.0042</v>
      </c>
      <c r="OW867" s="2">
        <v>-0.003</v>
      </c>
      <c r="OX867" s="2">
        <v>0.0008</v>
      </c>
      <c r="PC867" s="2">
        <v>-0.0046</v>
      </c>
      <c r="PD867" s="2">
        <v>0.008500000000000001</v>
      </c>
      <c r="PE867" s="2">
        <v>0.0038</v>
      </c>
      <c r="PF867" s="2">
        <v>-0.0025</v>
      </c>
      <c r="PG867" s="2">
        <v>0.0043</v>
      </c>
      <c r="PH867" s="2">
        <v>-0.0013</v>
      </c>
      <c r="PI867" s="2">
        <v>0.0026</v>
      </c>
    </row>
    <row r="868">
      <c r="A868" t="inlineStr">
        <is>
          <t>A130391926X</t>
        </is>
      </c>
      <c r="B868" t="inlineStr">
        <is>
          <t>Contribution to All groups CPI Percentage Points Change from Previous Period ;  Poultry ;  Australia ;</t>
        </is>
      </c>
      <c r="C868" t="inlineStr">
        <is>
          <t>Month</t>
        </is>
      </c>
      <c r="D868" t="inlineStr">
        <is>
          <t>% pts</t>
        </is>
      </c>
      <c r="E868" t="inlineStr">
        <is>
          <t>Original</t>
        </is>
      </c>
      <c r="F868" t="inlineStr">
        <is>
          <t>640105.xlsx</t>
        </is>
      </c>
      <c r="G868" t="inlineStr">
        <is>
          <t>2024-05</t>
        </is>
      </c>
      <c r="H868" t="inlineStr">
        <is>
          <t>2026-07</t>
        </is>
      </c>
      <c r="OA868" s="2">
        <v>0.002</v>
      </c>
      <c r="OB868" s="2">
        <v>-0.0033</v>
      </c>
      <c r="OC868" s="2">
        <v>0.008500000000000001</v>
      </c>
      <c r="OD868" s="2">
        <v>0.0014</v>
      </c>
      <c r="OE868" s="2">
        <v>-0.003</v>
      </c>
      <c r="OF868" s="2">
        <v>0.0032</v>
      </c>
      <c r="OG868" s="2">
        <v>-0.0013</v>
      </c>
      <c r="OH868" s="2">
        <v>-0.0016</v>
      </c>
      <c r="OM868" s="2">
        <v>0.0062</v>
      </c>
      <c r="ON868" s="2">
        <v>-0.0014</v>
      </c>
      <c r="OO868" s="2">
        <v>-0.0009</v>
      </c>
      <c r="OP868" s="2">
        <v>-0.0053</v>
      </c>
      <c r="OQ868" s="2">
        <v>0.0019</v>
      </c>
      <c r="OR868" s="2">
        <v>-0.0028</v>
      </c>
      <c r="OS868" s="2">
        <v>0.0012</v>
      </c>
      <c r="OT868" s="2">
        <v>0.0021</v>
      </c>
      <c r="OU868" s="2">
        <v>-0.0029</v>
      </c>
      <c r="OV868" s="2">
        <v>0.0002</v>
      </c>
      <c r="OW868" s="2">
        <v>0</v>
      </c>
      <c r="OX868" s="2">
        <v>0.0024</v>
      </c>
      <c r="PC868" s="2">
        <v>0.0005</v>
      </c>
      <c r="PD868" s="2">
        <v>0.0007</v>
      </c>
      <c r="PE868" s="2">
        <v>0.0024</v>
      </c>
      <c r="PF868" s="2">
        <v>-0.0017</v>
      </c>
      <c r="PG868" s="2">
        <v>0.0019</v>
      </c>
      <c r="PH868" s="2">
        <v>0.0014</v>
      </c>
      <c r="PI868" s="2">
        <v>-0.0015</v>
      </c>
    </row>
    <row r="869">
      <c r="A869" t="inlineStr">
        <is>
          <t>A130391933W</t>
        </is>
      </c>
      <c r="B869" t="inlineStr">
        <is>
          <t>Contribution to All groups CPI Percentage Points Change from Previous Period ;  Other meats ;  Australia ;</t>
        </is>
      </c>
      <c r="C869" t="inlineStr">
        <is>
          <t>Month</t>
        </is>
      </c>
      <c r="D869" t="inlineStr">
        <is>
          <t>% pts</t>
        </is>
      </c>
      <c r="E869" t="inlineStr">
        <is>
          <t>Original</t>
        </is>
      </c>
      <c r="F869" t="inlineStr">
        <is>
          <t>640105.xlsx</t>
        </is>
      </c>
      <c r="G869" t="inlineStr">
        <is>
          <t>2024-05</t>
        </is>
      </c>
      <c r="H869" t="inlineStr">
        <is>
          <t>2026-07</t>
        </is>
      </c>
      <c r="OA869" s="2">
        <v>-0.0012</v>
      </c>
      <c r="OB869" s="2">
        <v>-0.0019</v>
      </c>
      <c r="OC869" s="2">
        <v>0.0003</v>
      </c>
      <c r="OD869" s="2">
        <v>-0.0024</v>
      </c>
      <c r="OE869" s="2">
        <v>-0.0015</v>
      </c>
      <c r="OF869" s="2">
        <v>0.0048</v>
      </c>
      <c r="OG869" s="2">
        <v>0.0009</v>
      </c>
      <c r="OH869" s="2">
        <v>0.0033</v>
      </c>
      <c r="OM869" s="2">
        <v>-0.0014</v>
      </c>
      <c r="ON869" s="2">
        <v>0.004</v>
      </c>
      <c r="OO869" s="2">
        <v>0.0013</v>
      </c>
      <c r="OP869" s="2">
        <v>-0.0026</v>
      </c>
      <c r="OQ869" s="2">
        <v>0.0004</v>
      </c>
      <c r="OR869" s="2">
        <v>-0.002</v>
      </c>
      <c r="OS869" s="2">
        <v>-0.0015</v>
      </c>
      <c r="OT869" s="2">
        <v>0.0019</v>
      </c>
      <c r="OU869" s="2">
        <v>-0.0053</v>
      </c>
      <c r="OV869" s="2">
        <v>0.0042</v>
      </c>
      <c r="OW869" s="2">
        <v>0.0033</v>
      </c>
      <c r="OX869" s="2">
        <v>0.0058</v>
      </c>
      <c r="PC869" s="2">
        <v>-0.0022</v>
      </c>
      <c r="PD869" s="2">
        <v>-0.0001</v>
      </c>
      <c r="PE869" s="2">
        <v>0.0042</v>
      </c>
      <c r="PF869" s="2">
        <v>-0.0022</v>
      </c>
      <c r="PG869" s="2">
        <v>0.0029</v>
      </c>
      <c r="PH869" s="2">
        <v>-0.0005</v>
      </c>
      <c r="PI869" s="2">
        <v>0.0003</v>
      </c>
    </row>
    <row r="870">
      <c r="A870" t="inlineStr">
        <is>
          <t>A130390603L</t>
        </is>
      </c>
      <c r="B870" t="inlineStr">
        <is>
          <t>Contribution to All groups CPI Percentage Points Change from Previous Period ;  Fish and other seafood ;  Australia ;</t>
        </is>
      </c>
      <c r="C870" t="inlineStr">
        <is>
          <t>Month</t>
        </is>
      </c>
      <c r="D870" t="inlineStr">
        <is>
          <t>% pts</t>
        </is>
      </c>
      <c r="E870" t="inlineStr">
        <is>
          <t>Original</t>
        </is>
      </c>
      <c r="F870" t="inlineStr">
        <is>
          <t>640105.xlsx</t>
        </is>
      </c>
      <c r="G870" t="inlineStr">
        <is>
          <t>2024-05</t>
        </is>
      </c>
      <c r="H870" t="inlineStr">
        <is>
          <t>2026-07</t>
        </is>
      </c>
      <c r="OA870" s="2">
        <v>-0.0015</v>
      </c>
      <c r="OB870" s="2">
        <v>-0.0029</v>
      </c>
      <c r="OC870" s="2">
        <v>0.0007</v>
      </c>
      <c r="OD870" s="2">
        <v>0.0025</v>
      </c>
      <c r="OE870" s="2">
        <v>-0.0005</v>
      </c>
      <c r="OF870" s="2">
        <v>-0.0018</v>
      </c>
      <c r="OG870" s="2">
        <v>-0.0015</v>
      </c>
      <c r="OH870" s="2">
        <v>0.0017</v>
      </c>
      <c r="OM870" s="2">
        <v>-0.0005999999999999999</v>
      </c>
      <c r="ON870" s="2">
        <v>-0.0008</v>
      </c>
      <c r="OO870" s="2">
        <v>-0.0034</v>
      </c>
      <c r="OP870" s="2">
        <v>0.0012</v>
      </c>
      <c r="OQ870" s="2">
        <v>0.0068</v>
      </c>
      <c r="OR870" s="2">
        <v>-0.0034</v>
      </c>
      <c r="OS870" s="2">
        <v>-0.0013</v>
      </c>
      <c r="OT870" s="2">
        <v>0.0026</v>
      </c>
      <c r="OU870" s="2">
        <v>-0.0013</v>
      </c>
      <c r="OV870" s="2">
        <v>0.0001</v>
      </c>
      <c r="OW870" s="2">
        <v>-0.0017</v>
      </c>
      <c r="OX870" s="2">
        <v>0.0061</v>
      </c>
      <c r="PC870" s="2">
        <v>0.0018</v>
      </c>
      <c r="PD870" s="2">
        <v>-0.0022</v>
      </c>
      <c r="PE870" s="2">
        <v>-0.0022</v>
      </c>
      <c r="PF870" s="2">
        <v>-0.0002</v>
      </c>
      <c r="PG870" s="2">
        <v>0.006</v>
      </c>
      <c r="PH870" s="2">
        <v>-0.0069</v>
      </c>
      <c r="PI870" s="2">
        <v>0.0048</v>
      </c>
    </row>
    <row r="871">
      <c r="A871" t="inlineStr">
        <is>
          <t>A130393039R</t>
        </is>
      </c>
      <c r="B871" t="inlineStr">
        <is>
          <t>Contribution to All groups CPI Percentage Points Change from Previous Period ;  Dairy and related products ;  Australia ;</t>
        </is>
      </c>
      <c r="C871" t="inlineStr">
        <is>
          <t>Month</t>
        </is>
      </c>
      <c r="D871" t="inlineStr">
        <is>
          <t>% pts</t>
        </is>
      </c>
      <c r="E871" t="inlineStr">
        <is>
          <t>Original</t>
        </is>
      </c>
      <c r="F871" t="inlineStr">
        <is>
          <t>640105.xlsx</t>
        </is>
      </c>
      <c r="G871" t="inlineStr">
        <is>
          <t>2024-05</t>
        </is>
      </c>
      <c r="H871" t="inlineStr">
        <is>
          <t>2026-07</t>
        </is>
      </c>
      <c r="OA871" s="2">
        <v>-0.0045</v>
      </c>
      <c r="OB871" s="2">
        <v>-0.0002</v>
      </c>
      <c r="OC871" s="2">
        <v>0</v>
      </c>
      <c r="OD871" s="2">
        <v>0</v>
      </c>
      <c r="OE871" s="2">
        <v>-0.0058</v>
      </c>
      <c r="OF871" s="2">
        <v>-0.009900000000000001</v>
      </c>
      <c r="OG871" s="2">
        <v>0.0094</v>
      </c>
      <c r="OH871" s="2">
        <v>0.0098</v>
      </c>
      <c r="OM871" s="2">
        <v>-0.001</v>
      </c>
      <c r="ON871" s="2">
        <v>-0.0077</v>
      </c>
      <c r="OO871" s="2">
        <v>0.0105</v>
      </c>
      <c r="OP871" s="2">
        <v>0.0004</v>
      </c>
      <c r="OQ871" s="2">
        <v>-0.0047</v>
      </c>
      <c r="OR871" s="2">
        <v>0.0019</v>
      </c>
      <c r="OS871" s="2">
        <v>-0.0005999999999999999</v>
      </c>
      <c r="OT871" s="2">
        <v>0.0114</v>
      </c>
      <c r="OU871" s="2">
        <v>0.0074</v>
      </c>
      <c r="OV871" s="2">
        <v>-0.0054</v>
      </c>
      <c r="OW871" s="2">
        <v>0.011</v>
      </c>
      <c r="OX871" s="2">
        <v>0.0075</v>
      </c>
      <c r="PC871" s="2">
        <v>-0.0042</v>
      </c>
      <c r="PD871" s="2">
        <v>-0.0066</v>
      </c>
      <c r="PE871" s="2">
        <v>0.008500000000000001</v>
      </c>
      <c r="PF871" s="2">
        <v>-0.0018</v>
      </c>
      <c r="PG871" s="2">
        <v>0.0243</v>
      </c>
      <c r="PH871" s="2">
        <v>0.0139</v>
      </c>
      <c r="PI871" s="2">
        <v>0.0027</v>
      </c>
    </row>
    <row r="872">
      <c r="A872" t="inlineStr">
        <is>
          <t>A130391849F</t>
        </is>
      </c>
      <c r="B872" t="inlineStr">
        <is>
          <t>Contribution to All groups CPI Percentage Points Change from Previous Period ;  Milk ;  Australia ;</t>
        </is>
      </c>
      <c r="C872" t="inlineStr">
        <is>
          <t>Month</t>
        </is>
      </c>
      <c r="D872" t="inlineStr">
        <is>
          <t>% pts</t>
        </is>
      </c>
      <c r="E872" t="inlineStr">
        <is>
          <t>Original</t>
        </is>
      </c>
      <c r="F872" t="inlineStr">
        <is>
          <t>640105.xlsx</t>
        </is>
      </c>
      <c r="G872" t="inlineStr">
        <is>
          <t>2024-05</t>
        </is>
      </c>
      <c r="H872" t="inlineStr">
        <is>
          <t>2026-07</t>
        </is>
      </c>
      <c r="OA872" s="2">
        <v>-0.0019</v>
      </c>
      <c r="OB872" s="2">
        <v>0.001</v>
      </c>
      <c r="OC872" s="2">
        <v>-0.0014</v>
      </c>
      <c r="OD872" s="2">
        <v>0.0041</v>
      </c>
      <c r="OE872" s="2">
        <v>-0.0018</v>
      </c>
      <c r="OF872" s="2">
        <v>-0.0063</v>
      </c>
      <c r="OG872" s="2">
        <v>0.0045</v>
      </c>
      <c r="OH872" s="2">
        <v>0.0022</v>
      </c>
      <c r="OM872" s="2">
        <v>-0.0017</v>
      </c>
      <c r="ON872" s="2">
        <v>-0.0022</v>
      </c>
      <c r="OO872" s="2">
        <v>0.0008</v>
      </c>
      <c r="OP872" s="2">
        <v>0.0016</v>
      </c>
      <c r="OQ872" s="2">
        <v>-0.0016</v>
      </c>
      <c r="OR872" s="2">
        <v>0.0036</v>
      </c>
      <c r="OS872" s="2">
        <v>-0.0016</v>
      </c>
      <c r="OT872" s="2">
        <v>0.0083</v>
      </c>
      <c r="OU872" s="2">
        <v>0.0017</v>
      </c>
      <c r="OV872" s="2">
        <v>-0.0018</v>
      </c>
      <c r="OW872" s="2">
        <v>0.0078</v>
      </c>
      <c r="OX872" s="2">
        <v>0.0013</v>
      </c>
      <c r="PC872" s="2">
        <v>-0.0016</v>
      </c>
      <c r="PD872" s="2">
        <v>-0.0034</v>
      </c>
      <c r="PE872" s="2">
        <v>0.0022</v>
      </c>
      <c r="PF872" s="2">
        <v>0.0014</v>
      </c>
      <c r="PG872" s="2">
        <v>0.0191</v>
      </c>
      <c r="PH872" s="2">
        <v>0.0025</v>
      </c>
      <c r="PI872" s="2">
        <v>0.0008</v>
      </c>
    </row>
    <row r="873">
      <c r="A873" t="inlineStr">
        <is>
          <t>A130390540R</t>
        </is>
      </c>
      <c r="B873" t="inlineStr">
        <is>
          <t>Contribution to All groups CPI Percentage Points Change from Previous Period ;  Cheese ;  Australia ;</t>
        </is>
      </c>
      <c r="C873" t="inlineStr">
        <is>
          <t>Month</t>
        </is>
      </c>
      <c r="D873" t="inlineStr">
        <is>
          <t>% pts</t>
        </is>
      </c>
      <c r="E873" t="inlineStr">
        <is>
          <t>Original</t>
        </is>
      </c>
      <c r="F873" t="inlineStr">
        <is>
          <t>640105.xlsx</t>
        </is>
      </c>
      <c r="G873" t="inlineStr">
        <is>
          <t>2024-05</t>
        </is>
      </c>
      <c r="H873" t="inlineStr">
        <is>
          <t>2026-07</t>
        </is>
      </c>
      <c r="OA873" s="2">
        <v>-0.0012</v>
      </c>
      <c r="OB873" s="2">
        <v>-0.0014</v>
      </c>
      <c r="OC873" s="2">
        <v>0.0016</v>
      </c>
      <c r="OD873" s="2">
        <v>-0.004</v>
      </c>
      <c r="OE873" s="2">
        <v>-0.0012</v>
      </c>
      <c r="OF873" s="2">
        <v>-0.0012</v>
      </c>
      <c r="OG873" s="2">
        <v>0.0038</v>
      </c>
      <c r="OH873" s="2">
        <v>0.0018</v>
      </c>
      <c r="OM873" s="2">
        <v>0.0025</v>
      </c>
      <c r="ON873" s="2">
        <v>-0.0012</v>
      </c>
      <c r="OO873" s="2">
        <v>0.0027</v>
      </c>
      <c r="OP873" s="2">
        <v>-0.0011</v>
      </c>
      <c r="OQ873" s="2">
        <v>0.0004</v>
      </c>
      <c r="OR873" s="2">
        <v>-0.0021</v>
      </c>
      <c r="OS873" s="2">
        <v>-0.0012</v>
      </c>
      <c r="OT873" s="2">
        <v>0.0003</v>
      </c>
      <c r="OU873" s="2">
        <v>0.0001</v>
      </c>
      <c r="OV873" s="2">
        <v>-0.0005</v>
      </c>
      <c r="OW873" s="2">
        <v>-0.0005999999999999999</v>
      </c>
      <c r="OX873" s="2">
        <v>0.0023</v>
      </c>
      <c r="PC873" s="2">
        <v>0.0013</v>
      </c>
      <c r="PD873" s="2">
        <v>-0.0021</v>
      </c>
      <c r="PE873" s="2">
        <v>-0.0012</v>
      </c>
      <c r="PF873" s="2">
        <v>-0.0016</v>
      </c>
      <c r="PG873" s="2">
        <v>0.0053</v>
      </c>
      <c r="PH873" s="2">
        <v>0.0045</v>
      </c>
      <c r="PI873" s="2">
        <v>-0.0002</v>
      </c>
    </row>
    <row r="874">
      <c r="A874" t="inlineStr">
        <is>
          <t>A130393200X</t>
        </is>
      </c>
      <c r="B874" t="inlineStr">
        <is>
          <t>Contribution to All groups CPI Percentage Points Change from Previous Period ;  Ice cream and other dairy products ;  Australia ;</t>
        </is>
      </c>
      <c r="C874" t="inlineStr">
        <is>
          <t>Month</t>
        </is>
      </c>
      <c r="D874" t="inlineStr">
        <is>
          <t>% pts</t>
        </is>
      </c>
      <c r="E874" t="inlineStr">
        <is>
          <t>Original</t>
        </is>
      </c>
      <c r="F874" t="inlineStr">
        <is>
          <t>640105.xlsx</t>
        </is>
      </c>
      <c r="G874" t="inlineStr">
        <is>
          <t>2024-05</t>
        </is>
      </c>
      <c r="H874" t="inlineStr">
        <is>
          <t>2026-07</t>
        </is>
      </c>
      <c r="OA874" s="2">
        <v>-0.0014</v>
      </c>
      <c r="OB874" s="2">
        <v>0.0002</v>
      </c>
      <c r="OC874" s="2">
        <v>-0.0001</v>
      </c>
      <c r="OD874" s="2">
        <v>-0.0001</v>
      </c>
      <c r="OE874" s="2">
        <v>-0.0028</v>
      </c>
      <c r="OF874" s="2">
        <v>-0.0023</v>
      </c>
      <c r="OG874" s="2">
        <v>0.0011</v>
      </c>
      <c r="OH874" s="2">
        <v>0.0058</v>
      </c>
      <c r="OM874" s="2">
        <v>-0.0018</v>
      </c>
      <c r="ON874" s="2">
        <v>-0.0043</v>
      </c>
      <c r="OO874" s="2">
        <v>0.007</v>
      </c>
      <c r="OP874" s="2">
        <v>0</v>
      </c>
      <c r="OQ874" s="2">
        <v>-0.0034</v>
      </c>
      <c r="OR874" s="2">
        <v>0.0003</v>
      </c>
      <c r="OS874" s="2">
        <v>0.0023</v>
      </c>
      <c r="OT874" s="2">
        <v>0.0028</v>
      </c>
      <c r="OU874" s="2">
        <v>0.0056</v>
      </c>
      <c r="OV874" s="2">
        <v>-0.0031</v>
      </c>
      <c r="OW874" s="2">
        <v>0.0038</v>
      </c>
      <c r="OX874" s="2">
        <v>0.0038</v>
      </c>
      <c r="PC874" s="2">
        <v>-0.0039</v>
      </c>
      <c r="PD874" s="2">
        <v>-0.0011</v>
      </c>
      <c r="PE874" s="2">
        <v>0.0074</v>
      </c>
      <c r="PF874" s="2">
        <v>-0.0016</v>
      </c>
      <c r="PG874" s="2">
        <v>-0.0001</v>
      </c>
      <c r="PH874" s="2">
        <v>0.007</v>
      </c>
      <c r="PI874" s="2">
        <v>0.0021</v>
      </c>
    </row>
    <row r="875">
      <c r="A875" t="inlineStr">
        <is>
          <t>A130395097X</t>
        </is>
      </c>
      <c r="B875" t="inlineStr">
        <is>
          <t>Contribution to All groups CPI Percentage Points Change from Previous Period ;  Fruit and vegetables ;  Australia ;</t>
        </is>
      </c>
      <c r="C875" t="inlineStr">
        <is>
          <t>Month</t>
        </is>
      </c>
      <c r="D875" t="inlineStr">
        <is>
          <t>% pts</t>
        </is>
      </c>
      <c r="E875" t="inlineStr">
        <is>
          <t>Original</t>
        </is>
      </c>
      <c r="F875" t="inlineStr">
        <is>
          <t>640105.xlsx</t>
        </is>
      </c>
      <c r="G875" t="inlineStr">
        <is>
          <t>2024-05</t>
        </is>
      </c>
      <c r="H875" t="inlineStr">
        <is>
          <t>2026-07</t>
        </is>
      </c>
      <c r="OA875" s="2">
        <v>0.0494</v>
      </c>
      <c r="OB875" s="2">
        <v>0.005</v>
      </c>
      <c r="OC875" s="2">
        <v>0.0158</v>
      </c>
      <c r="OD875" s="2">
        <v>0.0147</v>
      </c>
      <c r="OE875" s="2">
        <v>-0.0772</v>
      </c>
      <c r="OF875" s="2">
        <v>-0.0114</v>
      </c>
      <c r="OG875" s="2">
        <v>-0.0046</v>
      </c>
      <c r="OH875" s="2">
        <v>-0.0295</v>
      </c>
      <c r="OM875" s="2">
        <v>0.066</v>
      </c>
      <c r="ON875" s="2">
        <v>-0.0104</v>
      </c>
      <c r="OO875" s="2">
        <v>0.0549</v>
      </c>
      <c r="OP875" s="2">
        <v>0.0502</v>
      </c>
      <c r="OQ875" s="2">
        <v>-0.0169</v>
      </c>
      <c r="OR875" s="2">
        <v>0.0482</v>
      </c>
      <c r="OS875" s="2">
        <v>0.0153</v>
      </c>
      <c r="OT875" s="2">
        <v>-0.0621</v>
      </c>
      <c r="OU875" s="2">
        <v>-0.08409999999999999</v>
      </c>
      <c r="OV875" s="2">
        <v>0.0108</v>
      </c>
      <c r="OW875" s="2">
        <v>0.0137</v>
      </c>
      <c r="OX875" s="2">
        <v>-0.0035</v>
      </c>
      <c r="PC875" s="2">
        <v>0.015</v>
      </c>
      <c r="PD875" s="2">
        <v>-0.0001</v>
      </c>
      <c r="PE875" s="2">
        <v>0.0518</v>
      </c>
      <c r="PF875" s="2">
        <v>0.0139</v>
      </c>
      <c r="PG875" s="2">
        <v>0.0217</v>
      </c>
      <c r="PH875" s="2">
        <v>0.0198</v>
      </c>
      <c r="PI875" s="2">
        <v>-0.0179</v>
      </c>
    </row>
    <row r="876">
      <c r="A876" t="inlineStr">
        <is>
          <t>A130392451X</t>
        </is>
      </c>
      <c r="B876" t="inlineStr">
        <is>
          <t>Contribution to All groups CPI Percentage Points Change from Previous Period ;  Fruit ;  Australia ;</t>
        </is>
      </c>
      <c r="C876" t="inlineStr">
        <is>
          <t>Month</t>
        </is>
      </c>
      <c r="D876" t="inlineStr">
        <is>
          <t>% pts</t>
        </is>
      </c>
      <c r="E876" t="inlineStr">
        <is>
          <t>Original</t>
        </is>
      </c>
      <c r="F876" t="inlineStr">
        <is>
          <t>640105.xlsx</t>
        </is>
      </c>
      <c r="G876" t="inlineStr">
        <is>
          <t>2024-05</t>
        </is>
      </c>
      <c r="H876" t="inlineStr">
        <is>
          <t>2026-07</t>
        </is>
      </c>
      <c r="OA876" s="2">
        <v>0.0244</v>
      </c>
      <c r="OB876" s="2">
        <v>0.0324</v>
      </c>
      <c r="OC876" s="2">
        <v>0.0332</v>
      </c>
      <c r="OD876" s="2">
        <v>-0.0169</v>
      </c>
      <c r="OE876" s="2">
        <v>-0.0565</v>
      </c>
      <c r="OF876" s="2">
        <v>0.0196</v>
      </c>
      <c r="OG876" s="2">
        <v>0.0007</v>
      </c>
      <c r="OH876" s="2">
        <v>-0.0268</v>
      </c>
      <c r="OM876" s="2">
        <v>0.0297</v>
      </c>
      <c r="ON876" s="2">
        <v>-0.009599999999999999</v>
      </c>
      <c r="OO876" s="2">
        <v>0.0239</v>
      </c>
      <c r="OP876" s="2">
        <v>0.0382</v>
      </c>
      <c r="OQ876" s="2">
        <v>-0.0257</v>
      </c>
      <c r="OR876" s="2">
        <v>0.0107</v>
      </c>
      <c r="OS876" s="2">
        <v>0.0179</v>
      </c>
      <c r="OT876" s="2">
        <v>-0.0075</v>
      </c>
      <c r="OU876" s="2">
        <v>-0.0568</v>
      </c>
      <c r="OV876" s="2">
        <v>0.0277</v>
      </c>
      <c r="OW876" s="2">
        <v>0.0083</v>
      </c>
      <c r="OX876" s="2">
        <v>-0.0181</v>
      </c>
      <c r="PC876" s="2">
        <v>-0.0014</v>
      </c>
      <c r="PD876" s="2">
        <v>0.0172</v>
      </c>
      <c r="PE876" s="2">
        <v>0.0294</v>
      </c>
      <c r="PF876" s="2">
        <v>-0.0208</v>
      </c>
      <c r="PG876" s="2">
        <v>0.0318</v>
      </c>
      <c r="PH876" s="2">
        <v>0.0352</v>
      </c>
      <c r="PI876" s="2">
        <v>-0.0167</v>
      </c>
    </row>
    <row r="877">
      <c r="A877" t="inlineStr">
        <is>
          <t>A130397492K</t>
        </is>
      </c>
      <c r="B877" t="inlineStr">
        <is>
          <t>Contribution to All groups CPI Percentage Points Change from Previous Period ;  Vegetables ;  Australia ;</t>
        </is>
      </c>
      <c r="C877" t="inlineStr">
        <is>
          <t>Month</t>
        </is>
      </c>
      <c r="D877" t="inlineStr">
        <is>
          <t>% pts</t>
        </is>
      </c>
      <c r="E877" t="inlineStr">
        <is>
          <t>Original</t>
        </is>
      </c>
      <c r="F877" t="inlineStr">
        <is>
          <t>640105.xlsx</t>
        </is>
      </c>
      <c r="G877" t="inlineStr">
        <is>
          <t>2024-05</t>
        </is>
      </c>
      <c r="H877" t="inlineStr">
        <is>
          <t>2026-07</t>
        </is>
      </c>
      <c r="OA877" s="2">
        <v>0.025</v>
      </c>
      <c r="OB877" s="2">
        <v>-0.0274</v>
      </c>
      <c r="OC877" s="2">
        <v>-0.0173</v>
      </c>
      <c r="OD877" s="2">
        <v>0.0315</v>
      </c>
      <c r="OE877" s="2">
        <v>-0.0207</v>
      </c>
      <c r="OF877" s="2">
        <v>-0.031</v>
      </c>
      <c r="OG877" s="2">
        <v>-0.0052</v>
      </c>
      <c r="OH877" s="2">
        <v>-0.0028</v>
      </c>
      <c r="OM877" s="2">
        <v>0.0363</v>
      </c>
      <c r="ON877" s="2">
        <v>-0.0008</v>
      </c>
      <c r="OO877" s="2">
        <v>0.0309</v>
      </c>
      <c r="OP877" s="2">
        <v>0.012</v>
      </c>
      <c r="OQ877" s="2">
        <v>0.008800000000000001</v>
      </c>
      <c r="OR877" s="2">
        <v>0.0375</v>
      </c>
      <c r="OS877" s="2">
        <v>-0.0026</v>
      </c>
      <c r="OT877" s="2">
        <v>-0.0546</v>
      </c>
      <c r="OU877" s="2">
        <v>-0.0273</v>
      </c>
      <c r="OV877" s="2">
        <v>-0.0169</v>
      </c>
      <c r="OW877" s="2">
        <v>0.0053</v>
      </c>
      <c r="OX877" s="2">
        <v>0.0146</v>
      </c>
      <c r="PC877" s="2">
        <v>0.0164</v>
      </c>
      <c r="PD877" s="2">
        <v>-0.0173</v>
      </c>
      <c r="PE877" s="2">
        <v>0.0223</v>
      </c>
      <c r="PF877" s="2">
        <v>0.0348</v>
      </c>
      <c r="PG877" s="2">
        <v>-0.0101</v>
      </c>
      <c r="PH877" s="2">
        <v>-0.0154</v>
      </c>
      <c r="PI877" s="2">
        <v>-0.0011</v>
      </c>
    </row>
    <row r="878">
      <c r="A878" t="inlineStr">
        <is>
          <t>A130391485C</t>
        </is>
      </c>
      <c r="B878" t="inlineStr">
        <is>
          <t>Contribution to All groups CPI Percentage Points Change from Previous Period ;  Food products n.e.c. ;  Australia ;</t>
        </is>
      </c>
      <c r="C878" t="inlineStr">
        <is>
          <t>Month</t>
        </is>
      </c>
      <c r="D878" t="inlineStr">
        <is>
          <t>% pts</t>
        </is>
      </c>
      <c r="E878" t="inlineStr">
        <is>
          <t>Original</t>
        </is>
      </c>
      <c r="F878" t="inlineStr">
        <is>
          <t>640105.xlsx</t>
        </is>
      </c>
      <c r="G878" t="inlineStr">
        <is>
          <t>2024-05</t>
        </is>
      </c>
      <c r="H878" t="inlineStr">
        <is>
          <t>2026-07</t>
        </is>
      </c>
      <c r="OA878" s="2">
        <v>-0.008800000000000001</v>
      </c>
      <c r="OB878" s="2">
        <v>0.0004</v>
      </c>
      <c r="OC878" s="2">
        <v>0.0107</v>
      </c>
      <c r="OD878" s="2">
        <v>0.0003</v>
      </c>
      <c r="OE878" s="2">
        <v>0.008800000000000001</v>
      </c>
      <c r="OF878" s="2">
        <v>0.0002</v>
      </c>
      <c r="OG878" s="2">
        <v>0.0109</v>
      </c>
      <c r="OH878" s="2">
        <v>0.0286</v>
      </c>
      <c r="OM878" s="2">
        <v>0.0307</v>
      </c>
      <c r="ON878" s="2">
        <v>-0.0295</v>
      </c>
      <c r="OO878" s="2">
        <v>0.0063</v>
      </c>
      <c r="OP878" s="2">
        <v>0.0223</v>
      </c>
      <c r="OQ878" s="2">
        <v>-0.0067</v>
      </c>
      <c r="OR878" s="2">
        <v>0.0012</v>
      </c>
      <c r="OS878" s="2">
        <v>0.0086</v>
      </c>
      <c r="OT878" s="2">
        <v>0.0108</v>
      </c>
      <c r="OU878" s="2">
        <v>0.0127</v>
      </c>
      <c r="OV878" s="2">
        <v>-0.0109</v>
      </c>
      <c r="OW878" s="2">
        <v>0.0056</v>
      </c>
      <c r="OX878" s="2">
        <v>0.0203</v>
      </c>
      <c r="PC878" s="2">
        <v>0.025</v>
      </c>
      <c r="PD878" s="2">
        <v>-0.0249</v>
      </c>
      <c r="PE878" s="2">
        <v>0.0022</v>
      </c>
      <c r="PF878" s="2">
        <v>0.0053</v>
      </c>
      <c r="PG878" s="2">
        <v>-0.0197</v>
      </c>
      <c r="PH878" s="2">
        <v>-0.0049</v>
      </c>
      <c r="PI878" s="2">
        <v>0.0005</v>
      </c>
    </row>
    <row r="879">
      <c r="A879" t="inlineStr">
        <is>
          <t>A130390624X</t>
        </is>
      </c>
      <c r="B879" t="inlineStr">
        <is>
          <t>Contribution to All groups CPI Percentage Points Change from Previous Period ;  Eggs ;  Australia ;</t>
        </is>
      </c>
      <c r="C879" t="inlineStr">
        <is>
          <t>Month</t>
        </is>
      </c>
      <c r="D879" t="inlineStr">
        <is>
          <t>% pts</t>
        </is>
      </c>
      <c r="E879" t="inlineStr">
        <is>
          <t>Original</t>
        </is>
      </c>
      <c r="F879" t="inlineStr">
        <is>
          <t>640105.xlsx</t>
        </is>
      </c>
      <c r="G879" t="inlineStr">
        <is>
          <t>2024-05</t>
        </is>
      </c>
      <c r="H879" t="inlineStr">
        <is>
          <t>2026-07</t>
        </is>
      </c>
      <c r="OA879" s="2">
        <v>0.0005</v>
      </c>
      <c r="OB879" s="2">
        <v>0.0005</v>
      </c>
      <c r="OC879" s="2">
        <v>0.0014</v>
      </c>
      <c r="OD879" s="2">
        <v>0.0028</v>
      </c>
      <c r="OE879" s="2">
        <v>0.0061</v>
      </c>
      <c r="OF879" s="2">
        <v>0.0013</v>
      </c>
      <c r="OG879" s="2">
        <v>0.0007</v>
      </c>
      <c r="OH879" s="2">
        <v>0.0003</v>
      </c>
      <c r="OM879" s="2">
        <v>0.0005</v>
      </c>
      <c r="ON879" s="2">
        <v>0.0002</v>
      </c>
      <c r="OO879" s="2">
        <v>0.0022</v>
      </c>
      <c r="OP879" s="2">
        <v>0.0062</v>
      </c>
      <c r="OQ879" s="2">
        <v>0.0013</v>
      </c>
      <c r="OR879" s="2">
        <v>0.0007</v>
      </c>
      <c r="OS879" s="2">
        <v>-0.0002</v>
      </c>
      <c r="OT879" s="2">
        <v>-0.0004</v>
      </c>
      <c r="OU879" s="2">
        <v>-0.0016</v>
      </c>
      <c r="OV879" s="2">
        <v>-0.0016</v>
      </c>
      <c r="OW879" s="2">
        <v>-0.0016</v>
      </c>
      <c r="OX879" s="2">
        <v>-0.0015</v>
      </c>
      <c r="PC879" s="2">
        <v>-0.0001</v>
      </c>
      <c r="PD879" s="2">
        <v>0.0011</v>
      </c>
      <c r="PE879" s="2">
        <v>0.0001</v>
      </c>
      <c r="PF879" s="2">
        <v>-0.0014</v>
      </c>
      <c r="PG879" s="2">
        <v>0.0005</v>
      </c>
      <c r="PH879" s="2">
        <v>-0.0011</v>
      </c>
      <c r="PI879" s="2">
        <v>0.0001</v>
      </c>
    </row>
    <row r="880">
      <c r="A880" t="inlineStr">
        <is>
          <t>A130391968W</t>
        </is>
      </c>
      <c r="B880" t="inlineStr">
        <is>
          <t>Contribution to All groups CPI Percentage Points Change from Previous Period ;  Jams, honey and spreads ;  Australia ;</t>
        </is>
      </c>
      <c r="C880" t="inlineStr">
        <is>
          <t>Month</t>
        </is>
      </c>
      <c r="D880" t="inlineStr">
        <is>
          <t>% pts</t>
        </is>
      </c>
      <c r="E880" t="inlineStr">
        <is>
          <t>Original</t>
        </is>
      </c>
      <c r="F880" t="inlineStr">
        <is>
          <t>640105.xlsx</t>
        </is>
      </c>
      <c r="G880" t="inlineStr">
        <is>
          <t>2024-05</t>
        </is>
      </c>
      <c r="H880" t="inlineStr">
        <is>
          <t>2026-07</t>
        </is>
      </c>
      <c r="OA880" s="2">
        <v>-0.0003</v>
      </c>
      <c r="OB880" s="2">
        <v>0.0007</v>
      </c>
      <c r="OC880" s="2">
        <v>-0.0005999999999999999</v>
      </c>
      <c r="OD880" s="2">
        <v>0.0022</v>
      </c>
      <c r="OE880" s="2">
        <v>-0.0012</v>
      </c>
      <c r="OF880" s="2">
        <v>0.0014</v>
      </c>
      <c r="OG880" s="2">
        <v>0.0001</v>
      </c>
      <c r="OH880" s="2">
        <v>-0.0002</v>
      </c>
      <c r="OM880" s="2">
        <v>0</v>
      </c>
      <c r="ON880" s="2">
        <v>-0.0005999999999999999</v>
      </c>
      <c r="OO880" s="2">
        <v>0.0008</v>
      </c>
      <c r="OP880" s="2">
        <v>-0.0003</v>
      </c>
      <c r="OQ880" s="2">
        <v>-0.0005</v>
      </c>
      <c r="OR880" s="2">
        <v>0.0008</v>
      </c>
      <c r="OS880" s="2">
        <v>-0.0002</v>
      </c>
      <c r="OT880" s="2">
        <v>0.0015</v>
      </c>
      <c r="OU880" s="2">
        <v>0.0013</v>
      </c>
      <c r="OV880" s="2">
        <v>-0.0005999999999999999</v>
      </c>
      <c r="OW880" s="2">
        <v>0.0008</v>
      </c>
      <c r="OX880" s="2">
        <v>0.0001</v>
      </c>
      <c r="PC880" s="2">
        <v>0.0009</v>
      </c>
      <c r="PD880" s="2">
        <v>-0.001</v>
      </c>
      <c r="PE880" s="2">
        <v>0.0014</v>
      </c>
      <c r="PF880" s="2">
        <v>-0.0009</v>
      </c>
      <c r="PG880" s="2">
        <v>0</v>
      </c>
      <c r="PH880" s="2">
        <v>-0.0002</v>
      </c>
      <c r="PI880" s="2">
        <v>0.0007</v>
      </c>
    </row>
    <row r="881">
      <c r="A881" t="inlineStr">
        <is>
          <t>A130392220R</t>
        </is>
      </c>
      <c r="B881" t="inlineStr">
        <is>
          <t>Contribution to All groups CPI Percentage Points Change from Previous Period ;  Food additives and condiments ;  Australia ;</t>
        </is>
      </c>
      <c r="C881" t="inlineStr">
        <is>
          <t>Month</t>
        </is>
      </c>
      <c r="D881" t="inlineStr">
        <is>
          <t>% pts</t>
        </is>
      </c>
      <c r="E881" t="inlineStr">
        <is>
          <t>Original</t>
        </is>
      </c>
      <c r="F881" t="inlineStr">
        <is>
          <t>640105.xlsx</t>
        </is>
      </c>
      <c r="G881" t="inlineStr">
        <is>
          <t>2024-05</t>
        </is>
      </c>
      <c r="H881" t="inlineStr">
        <is>
          <t>2026-07</t>
        </is>
      </c>
      <c r="OA881" s="2">
        <v>-0.0022</v>
      </c>
      <c r="OB881" s="2">
        <v>0.0005</v>
      </c>
      <c r="OC881" s="2">
        <v>-0.0017</v>
      </c>
      <c r="OD881" s="2">
        <v>0.0027</v>
      </c>
      <c r="OE881" s="2">
        <v>-0.0017</v>
      </c>
      <c r="OF881" s="2">
        <v>0.0018</v>
      </c>
      <c r="OG881" s="2">
        <v>-0.0007</v>
      </c>
      <c r="OH881" s="2">
        <v>0.0013</v>
      </c>
      <c r="OM881" s="2">
        <v>0.0044</v>
      </c>
      <c r="ON881" s="2">
        <v>-0.0016</v>
      </c>
      <c r="OO881" s="2">
        <v>-0.0001</v>
      </c>
      <c r="OP881" s="2">
        <v>-0.0025</v>
      </c>
      <c r="OQ881" s="2">
        <v>0.0011</v>
      </c>
      <c r="OR881" s="2">
        <v>-0.0005</v>
      </c>
      <c r="OS881" s="2">
        <v>0.0007</v>
      </c>
      <c r="OT881" s="2">
        <v>0.0023</v>
      </c>
      <c r="OU881" s="2">
        <v>-0.0001</v>
      </c>
      <c r="OV881" s="2">
        <v>0.0019</v>
      </c>
      <c r="OW881" s="2">
        <v>-0.0003</v>
      </c>
      <c r="OX881" s="2">
        <v>-0.0019</v>
      </c>
      <c r="PC881" s="2">
        <v>0.0051</v>
      </c>
      <c r="PD881" s="2">
        <v>-0.0033</v>
      </c>
      <c r="PE881" s="2">
        <v>-0.0003</v>
      </c>
      <c r="PF881" s="2">
        <v>-0.0003</v>
      </c>
      <c r="PG881" s="2">
        <v>0.0013</v>
      </c>
      <c r="PH881" s="2">
        <v>-0.0015</v>
      </c>
      <c r="PI881" s="2">
        <v>-0.0005999999999999999</v>
      </c>
    </row>
    <row r="882">
      <c r="A882" t="inlineStr">
        <is>
          <t>A130394824R</t>
        </is>
      </c>
      <c r="B882" t="inlineStr">
        <is>
          <t>Contribution to All groups CPI Percentage Points Change from Previous Period ;  Oils and fats ;  Australia ;</t>
        </is>
      </c>
      <c r="C882" t="inlineStr">
        <is>
          <t>Month</t>
        </is>
      </c>
      <c r="D882" t="inlineStr">
        <is>
          <t>% pts</t>
        </is>
      </c>
      <c r="E882" t="inlineStr">
        <is>
          <t>Original</t>
        </is>
      </c>
      <c r="F882" t="inlineStr">
        <is>
          <t>640105.xlsx</t>
        </is>
      </c>
      <c r="G882" t="inlineStr">
        <is>
          <t>2024-05</t>
        </is>
      </c>
      <c r="H882" t="inlineStr">
        <is>
          <t>2026-07</t>
        </is>
      </c>
      <c r="OA882" s="2">
        <v>0.0016</v>
      </c>
      <c r="OB882" s="2">
        <v>0.0021</v>
      </c>
      <c r="OC882" s="2">
        <v>0.0012</v>
      </c>
      <c r="OD882" s="2">
        <v>-0.0005999999999999999</v>
      </c>
      <c r="OE882" s="2">
        <v>-0.0026</v>
      </c>
      <c r="OF882" s="2">
        <v>0.0008</v>
      </c>
      <c r="OG882" s="2">
        <v>0.0009</v>
      </c>
      <c r="OH882" s="2">
        <v>-0.0018</v>
      </c>
      <c r="OM882" s="2">
        <v>0.0033</v>
      </c>
      <c r="ON882" s="2">
        <v>-0.0001</v>
      </c>
      <c r="OO882" s="2">
        <v>-0.0044</v>
      </c>
      <c r="OP882" s="2">
        <v>0.0017</v>
      </c>
      <c r="OQ882" s="2">
        <v>0.0008</v>
      </c>
      <c r="OR882" s="2">
        <v>-0.0032</v>
      </c>
      <c r="OS882" s="2">
        <v>0.0013</v>
      </c>
      <c r="OT882" s="2">
        <v>-0.0001</v>
      </c>
      <c r="OU882" s="2">
        <v>0.0015</v>
      </c>
      <c r="OV882" s="2">
        <v>-0.0042</v>
      </c>
      <c r="OW882" s="2">
        <v>-0.0001</v>
      </c>
      <c r="OX882" s="2">
        <v>-0.0016</v>
      </c>
      <c r="PC882" s="2">
        <v>0.0026</v>
      </c>
      <c r="PD882" s="2">
        <v>0.0025</v>
      </c>
      <c r="PE882" s="2">
        <v>-0.0009</v>
      </c>
      <c r="PF882" s="2">
        <v>0.0007</v>
      </c>
      <c r="PG882" s="2">
        <v>0.0003</v>
      </c>
      <c r="PH882" s="2">
        <v>0.0037</v>
      </c>
      <c r="PI882" s="2">
        <v>0.001</v>
      </c>
    </row>
    <row r="883">
      <c r="A883" t="inlineStr">
        <is>
          <t>A130396259W</t>
        </is>
      </c>
      <c r="B883" t="inlineStr">
        <is>
          <t>Contribution to All groups CPI Percentage Points Change from Previous Period ;  Snacks and confectionery ;  Australia ;</t>
        </is>
      </c>
      <c r="C883" t="inlineStr">
        <is>
          <t>Month</t>
        </is>
      </c>
      <c r="D883" t="inlineStr">
        <is>
          <t>% pts</t>
        </is>
      </c>
      <c r="E883" t="inlineStr">
        <is>
          <t>Original</t>
        </is>
      </c>
      <c r="F883" t="inlineStr">
        <is>
          <t>640105.xlsx</t>
        </is>
      </c>
      <c r="G883" t="inlineStr">
        <is>
          <t>2024-05</t>
        </is>
      </c>
      <c r="H883" t="inlineStr">
        <is>
          <t>2026-07</t>
        </is>
      </c>
      <c r="OA883" s="2">
        <v>-0.0077</v>
      </c>
      <c r="OB883" s="2">
        <v>-0.0028</v>
      </c>
      <c r="OC883" s="2">
        <v>0.0081</v>
      </c>
      <c r="OD883" s="2">
        <v>-0.008800000000000001</v>
      </c>
      <c r="OE883" s="2">
        <v>0.0077</v>
      </c>
      <c r="OF883" s="2">
        <v>-0.008399999999999999</v>
      </c>
      <c r="OG883" s="2">
        <v>0.0074</v>
      </c>
      <c r="OH883" s="2">
        <v>0.0212</v>
      </c>
      <c r="OM883" s="2">
        <v>0.0251</v>
      </c>
      <c r="ON883" s="2">
        <v>-0.0248</v>
      </c>
      <c r="OO883" s="2">
        <v>0.0081</v>
      </c>
      <c r="OP883" s="2">
        <v>0.0237</v>
      </c>
      <c r="OQ883" s="2">
        <v>-0.0091</v>
      </c>
      <c r="OR883" s="2">
        <v>0.0044</v>
      </c>
      <c r="OS883" s="2">
        <v>0.0042</v>
      </c>
      <c r="OT883" s="2">
        <v>0.0076</v>
      </c>
      <c r="OU883" s="2">
        <v>0.009599999999999999</v>
      </c>
      <c r="OV883" s="2">
        <v>-0.0086</v>
      </c>
      <c r="OW883" s="2">
        <v>0.0029</v>
      </c>
      <c r="OX883" s="2">
        <v>0.0167</v>
      </c>
      <c r="PC883" s="2">
        <v>0.0182</v>
      </c>
      <c r="PD883" s="2">
        <v>-0.0162</v>
      </c>
      <c r="PE883" s="2">
        <v>-0.0001</v>
      </c>
      <c r="PF883" s="2">
        <v>0.0092</v>
      </c>
      <c r="PG883" s="2">
        <v>-0.0192</v>
      </c>
      <c r="PH883" s="2">
        <v>-0.0026</v>
      </c>
      <c r="PI883" s="2">
        <v>-0.0029</v>
      </c>
    </row>
    <row r="884">
      <c r="A884" t="inlineStr">
        <is>
          <t>A130390652J</t>
        </is>
      </c>
      <c r="B884" t="inlineStr">
        <is>
          <t>Contribution to All groups CPI Percentage Points Change from Previous Period ;  Other food products n.e.c. ;  Australia ;</t>
        </is>
      </c>
      <c r="C884" t="inlineStr">
        <is>
          <t>Month</t>
        </is>
      </c>
      <c r="D884" t="inlineStr">
        <is>
          <t>% pts</t>
        </is>
      </c>
      <c r="E884" t="inlineStr">
        <is>
          <t>Original</t>
        </is>
      </c>
      <c r="F884" t="inlineStr">
        <is>
          <t>640105.xlsx</t>
        </is>
      </c>
      <c r="G884" t="inlineStr">
        <is>
          <t>2024-05</t>
        </is>
      </c>
      <c r="H884" t="inlineStr">
        <is>
          <t>2026-07</t>
        </is>
      </c>
      <c r="OA884" s="2">
        <v>-0.0007</v>
      </c>
      <c r="OB884" s="2">
        <v>-0.0005</v>
      </c>
      <c r="OC884" s="2">
        <v>0.0023</v>
      </c>
      <c r="OD884" s="2">
        <v>0.0021</v>
      </c>
      <c r="OE884" s="2">
        <v>0.0005999999999999999</v>
      </c>
      <c r="OF884" s="2">
        <v>0.0033</v>
      </c>
      <c r="OG884" s="2">
        <v>0.0024</v>
      </c>
      <c r="OH884" s="2">
        <v>0.007900000000000001</v>
      </c>
      <c r="OM884" s="2">
        <v>-0.0026</v>
      </c>
      <c r="ON884" s="2">
        <v>-0.0026</v>
      </c>
      <c r="OO884" s="2">
        <v>-0.0003</v>
      </c>
      <c r="OP884" s="2">
        <v>-0.0065</v>
      </c>
      <c r="OQ884" s="2">
        <v>-0.0003</v>
      </c>
      <c r="OR884" s="2">
        <v>-0.0012</v>
      </c>
      <c r="OS884" s="2">
        <v>0.0028</v>
      </c>
      <c r="OT884" s="2">
        <v>-0.0001</v>
      </c>
      <c r="OU884" s="2">
        <v>0.0021</v>
      </c>
      <c r="OV884" s="2">
        <v>0.0022</v>
      </c>
      <c r="OW884" s="2">
        <v>0.0041</v>
      </c>
      <c r="OX884" s="2">
        <v>0.008500000000000001</v>
      </c>
      <c r="PC884" s="2">
        <v>-0.0018</v>
      </c>
      <c r="PD884" s="2">
        <v>-0.007900000000000001</v>
      </c>
      <c r="PE884" s="2">
        <v>0.002</v>
      </c>
      <c r="PF884" s="2">
        <v>-0.002</v>
      </c>
      <c r="PG884" s="2">
        <v>-0.0026</v>
      </c>
      <c r="PH884" s="2">
        <v>-0.0031</v>
      </c>
      <c r="PI884" s="2">
        <v>0.0021</v>
      </c>
    </row>
    <row r="885">
      <c r="A885" t="inlineStr">
        <is>
          <t>A130390232L</t>
        </is>
      </c>
      <c r="B885" t="inlineStr">
        <is>
          <t>Contribution to All groups CPI Percentage Points Change from Previous Period ;  Non-alcoholic beverages ;  Australia ;</t>
        </is>
      </c>
      <c r="C885" t="inlineStr">
        <is>
          <t>Month</t>
        </is>
      </c>
      <c r="D885" t="inlineStr">
        <is>
          <t>% pts</t>
        </is>
      </c>
      <c r="E885" t="inlineStr">
        <is>
          <t>Original</t>
        </is>
      </c>
      <c r="F885" t="inlineStr">
        <is>
          <t>640105.xlsx</t>
        </is>
      </c>
      <c r="G885" t="inlineStr">
        <is>
          <t>2024-05</t>
        </is>
      </c>
      <c r="H885" t="inlineStr">
        <is>
          <t>2026-07</t>
        </is>
      </c>
      <c r="OA885" s="2">
        <v>0.009900000000000001</v>
      </c>
      <c r="OB885" s="2">
        <v>0.0015</v>
      </c>
      <c r="OC885" s="2">
        <v>-0.0017</v>
      </c>
      <c r="OD885" s="2">
        <v>-0.0007</v>
      </c>
      <c r="OE885" s="2">
        <v>-0.0153</v>
      </c>
      <c r="OF885" s="2">
        <v>0.0014</v>
      </c>
      <c r="OG885" s="2">
        <v>0.0042</v>
      </c>
      <c r="OH885" s="2">
        <v>0.0037</v>
      </c>
      <c r="OM885" s="2">
        <v>0.0144</v>
      </c>
      <c r="ON885" s="2">
        <v>0.0255</v>
      </c>
      <c r="OO885" s="2">
        <v>0.0114</v>
      </c>
      <c r="OP885" s="2">
        <v>-0.0073</v>
      </c>
      <c r="OQ885" s="2">
        <v>0.0252</v>
      </c>
      <c r="OR885" s="2">
        <v>0.0051</v>
      </c>
      <c r="OS885" s="2">
        <v>0.0009</v>
      </c>
      <c r="OT885" s="2">
        <v>-0.009900000000000001</v>
      </c>
      <c r="OU885" s="2">
        <v>-0.009900000000000001</v>
      </c>
      <c r="OV885" s="2">
        <v>-0.0051</v>
      </c>
      <c r="OW885" s="2">
        <v>0.0024</v>
      </c>
      <c r="OX885" s="2">
        <v>-0.0038</v>
      </c>
      <c r="PC885" s="2">
        <v>0.0068</v>
      </c>
      <c r="PD885" s="2">
        <v>0.008699999999999999</v>
      </c>
      <c r="PE885" s="2">
        <v>0.0132</v>
      </c>
      <c r="PF885" s="2">
        <v>-0.008500000000000001</v>
      </c>
      <c r="PG885" s="2">
        <v>0.0178</v>
      </c>
      <c r="PH885" s="2">
        <v>0.0119</v>
      </c>
      <c r="PI885" s="2">
        <v>0</v>
      </c>
    </row>
    <row r="886">
      <c r="A886" t="inlineStr">
        <is>
          <t>A130390645K</t>
        </is>
      </c>
      <c r="B886" t="inlineStr">
        <is>
          <t>Contribution to All groups CPI Percentage Points Change from Previous Period ;  Coffee, tea and cocoa ;  Australia ;</t>
        </is>
      </c>
      <c r="C886" t="inlineStr">
        <is>
          <t>Month</t>
        </is>
      </c>
      <c r="D886" t="inlineStr">
        <is>
          <t>% pts</t>
        </is>
      </c>
      <c r="E886" t="inlineStr">
        <is>
          <t>Original</t>
        </is>
      </c>
      <c r="F886" t="inlineStr">
        <is>
          <t>640105.xlsx</t>
        </is>
      </c>
      <c r="G886" t="inlineStr">
        <is>
          <t>2024-05</t>
        </is>
      </c>
      <c r="H886" t="inlineStr">
        <is>
          <t>2026-07</t>
        </is>
      </c>
      <c r="OA886" s="2">
        <v>-0.0011</v>
      </c>
      <c r="OB886" s="2">
        <v>-0.002</v>
      </c>
      <c r="OC886" s="2">
        <v>0.0014</v>
      </c>
      <c r="OD886" s="2">
        <v>0.0013</v>
      </c>
      <c r="OE886" s="2">
        <v>0.0018</v>
      </c>
      <c r="OF886" s="2">
        <v>-0.0028</v>
      </c>
      <c r="OG886" s="2">
        <v>0.0046</v>
      </c>
      <c r="OH886" s="2">
        <v>0.0071</v>
      </c>
      <c r="OM886" s="2">
        <v>-0.0027</v>
      </c>
      <c r="ON886" s="2">
        <v>0.0046</v>
      </c>
      <c r="OO886" s="2">
        <v>0.0009</v>
      </c>
      <c r="OP886" s="2">
        <v>0.0051</v>
      </c>
      <c r="OQ886" s="2">
        <v>0.0018</v>
      </c>
      <c r="OR886" s="2">
        <v>0.008399999999999999</v>
      </c>
      <c r="OS886" s="2">
        <v>0.0062</v>
      </c>
      <c r="OT886" s="2">
        <v>0.0001</v>
      </c>
      <c r="OU886" s="2">
        <v>0.0065</v>
      </c>
      <c r="OV886" s="2">
        <v>-0.0015</v>
      </c>
      <c r="OW886" s="2">
        <v>0.0023</v>
      </c>
      <c r="OX886" s="2">
        <v>0.0081</v>
      </c>
      <c r="PC886" s="2">
        <v>-0.0076</v>
      </c>
      <c r="PD886" s="2">
        <v>-0.0004</v>
      </c>
      <c r="PE886" s="2">
        <v>-0.0008</v>
      </c>
      <c r="PF886" s="2">
        <v>0.0013</v>
      </c>
      <c r="PG886" s="2">
        <v>-0.0027</v>
      </c>
      <c r="PH886" s="2">
        <v>0.0027</v>
      </c>
      <c r="PI886" s="2">
        <v>-0.0029</v>
      </c>
    </row>
    <row r="887">
      <c r="A887" t="inlineStr">
        <is>
          <t>A130395216C</t>
        </is>
      </c>
      <c r="B887" t="inlineStr">
        <is>
          <t>Contribution to All groups CPI Percentage Points Change from Previous Period ;  Waters, soft drinks and juices ;  Australia ;</t>
        </is>
      </c>
      <c r="C887" t="inlineStr">
        <is>
          <t>Month</t>
        </is>
      </c>
      <c r="D887" t="inlineStr">
        <is>
          <t>% pts</t>
        </is>
      </c>
      <c r="E887" t="inlineStr">
        <is>
          <t>Original</t>
        </is>
      </c>
      <c r="F887" t="inlineStr">
        <is>
          <t>640105.xlsx</t>
        </is>
      </c>
      <c r="G887" t="inlineStr">
        <is>
          <t>2024-05</t>
        </is>
      </c>
      <c r="H887" t="inlineStr">
        <is>
          <t>2026-07</t>
        </is>
      </c>
      <c r="OA887" s="2">
        <v>0.011</v>
      </c>
      <c r="OB887" s="2">
        <v>0.0035</v>
      </c>
      <c r="OC887" s="2">
        <v>-0.0031</v>
      </c>
      <c r="OD887" s="2">
        <v>-0.002</v>
      </c>
      <c r="OE887" s="2">
        <v>-0.0172</v>
      </c>
      <c r="OF887" s="2">
        <v>0.0042</v>
      </c>
      <c r="OG887" s="2">
        <v>-0.0004</v>
      </c>
      <c r="OH887" s="2">
        <v>-0.0034</v>
      </c>
      <c r="OM887" s="2">
        <v>0.0171</v>
      </c>
      <c r="ON887" s="2">
        <v>0.0208</v>
      </c>
      <c r="OO887" s="2">
        <v>0.0105</v>
      </c>
      <c r="OP887" s="2">
        <v>-0.0124</v>
      </c>
      <c r="OQ887" s="2">
        <v>0.0234</v>
      </c>
      <c r="OR887" s="2">
        <v>-0.0033</v>
      </c>
      <c r="OS887" s="2">
        <v>-0.0052</v>
      </c>
      <c r="OT887" s="2">
        <v>-0.01</v>
      </c>
      <c r="OU887" s="2">
        <v>-0.0165</v>
      </c>
      <c r="OV887" s="2">
        <v>-0.0036</v>
      </c>
      <c r="OW887" s="2">
        <v>0.0001</v>
      </c>
      <c r="OX887" s="2">
        <v>-0.0119</v>
      </c>
      <c r="PC887" s="2">
        <v>0.0144</v>
      </c>
      <c r="PD887" s="2">
        <v>0.0091</v>
      </c>
      <c r="PE887" s="2">
        <v>0.0139</v>
      </c>
      <c r="PF887" s="2">
        <v>-0.0098</v>
      </c>
      <c r="PG887" s="2">
        <v>0.0205</v>
      </c>
      <c r="PH887" s="2">
        <v>0.0092</v>
      </c>
      <c r="PI887" s="2">
        <v>0.003</v>
      </c>
    </row>
    <row r="888">
      <c r="A888" t="inlineStr">
        <is>
          <t>A130390442K</t>
        </is>
      </c>
      <c r="B888" t="inlineStr">
        <is>
          <t>Contribution to All groups CPI Percentage Points Change from Previous Period ;  Meals out and take away foods ;  Australia ;</t>
        </is>
      </c>
      <c r="C888" t="inlineStr">
        <is>
          <t>Month</t>
        </is>
      </c>
      <c r="D888" t="inlineStr">
        <is>
          <t>% pts</t>
        </is>
      </c>
      <c r="E888" t="inlineStr">
        <is>
          <t>Original</t>
        </is>
      </c>
      <c r="F888" t="inlineStr">
        <is>
          <t>640105.xlsx</t>
        </is>
      </c>
      <c r="G888" t="inlineStr">
        <is>
          <t>2024-05</t>
        </is>
      </c>
      <c r="H888" t="inlineStr">
        <is>
          <t>2026-07</t>
        </is>
      </c>
      <c r="OA888" s="2">
        <v>0.0234</v>
      </c>
      <c r="OB888" s="2">
        <v>-0.0124</v>
      </c>
      <c r="OC888" s="2">
        <v>0.0612</v>
      </c>
      <c r="OD888" s="2">
        <v>0.0091</v>
      </c>
      <c r="OE888" s="2">
        <v>0.0075</v>
      </c>
      <c r="OF888" s="2">
        <v>0.0149</v>
      </c>
      <c r="OG888" s="2">
        <v>0.0219</v>
      </c>
      <c r="OH888" s="2">
        <v>0.0178</v>
      </c>
      <c r="OM888" s="2">
        <v>0.007</v>
      </c>
      <c r="ON888" s="2">
        <v>0.0186</v>
      </c>
      <c r="OO888" s="2">
        <v>0.0155</v>
      </c>
      <c r="OP888" s="2">
        <v>0.0207</v>
      </c>
      <c r="OQ888" s="2">
        <v>0.0147</v>
      </c>
      <c r="OR888" s="2">
        <v>0.0274</v>
      </c>
      <c r="OS888" s="2">
        <v>0.026</v>
      </c>
      <c r="OT888" s="2">
        <v>0.0431</v>
      </c>
      <c r="OU888" s="2">
        <v>0.0231</v>
      </c>
      <c r="OV888" s="2">
        <v>0.0148</v>
      </c>
      <c r="OW888" s="2">
        <v>0.0146</v>
      </c>
      <c r="OX888" s="2">
        <v>0.0193</v>
      </c>
      <c r="PC888" s="2">
        <v>0.0365</v>
      </c>
      <c r="PD888" s="2">
        <v>0.0057</v>
      </c>
      <c r="PE888" s="2">
        <v>0.0237</v>
      </c>
      <c r="PF888" s="2">
        <v>0.0131</v>
      </c>
      <c r="PG888" s="2">
        <v>0.0314</v>
      </c>
      <c r="PH888" s="2">
        <v>0.028</v>
      </c>
      <c r="PI888" s="2">
        <v>0.0617</v>
      </c>
    </row>
    <row r="889">
      <c r="A889" t="inlineStr">
        <is>
          <t>A130391947K</t>
        </is>
      </c>
      <c r="B889" t="inlineStr">
        <is>
          <t>Contribution to All groups CPI Percentage Points Change from Previous Period ;  Restaurant meals ;  Australia ;</t>
        </is>
      </c>
      <c r="C889" t="inlineStr">
        <is>
          <t>Month</t>
        </is>
      </c>
      <c r="D889" t="inlineStr">
        <is>
          <t>% pts</t>
        </is>
      </c>
      <c r="E889" t="inlineStr">
        <is>
          <t>Original</t>
        </is>
      </c>
      <c r="F889" t="inlineStr">
        <is>
          <t>640105.xlsx</t>
        </is>
      </c>
      <c r="G889" t="inlineStr">
        <is>
          <t>2024-05</t>
        </is>
      </c>
      <c r="H889" t="inlineStr">
        <is>
          <t>2026-07</t>
        </is>
      </c>
      <c r="OA889" s="2">
        <v>0.0145</v>
      </c>
      <c r="OB889" s="2">
        <v>0.007</v>
      </c>
      <c r="OC889" s="2">
        <v>0.0171</v>
      </c>
      <c r="OD889" s="2">
        <v>0.005</v>
      </c>
      <c r="OE889" s="2">
        <v>0.003</v>
      </c>
      <c r="OF889" s="2">
        <v>0.0109</v>
      </c>
      <c r="OG889" s="2">
        <v>0.0145</v>
      </c>
      <c r="OH889" s="2">
        <v>0.0107</v>
      </c>
      <c r="OM889" s="2">
        <v>0.0024</v>
      </c>
      <c r="ON889" s="2">
        <v>0.0091</v>
      </c>
      <c r="OO889" s="2">
        <v>0.0072</v>
      </c>
      <c r="OP889" s="2">
        <v>0.0071</v>
      </c>
      <c r="OQ889" s="2">
        <v>0.0011</v>
      </c>
      <c r="OR889" s="2">
        <v>0.0164</v>
      </c>
      <c r="OS889" s="2">
        <v>0.0066</v>
      </c>
      <c r="OT889" s="2">
        <v>0.0248</v>
      </c>
      <c r="OU889" s="2">
        <v>0.0155</v>
      </c>
      <c r="OV889" s="2">
        <v>0.0109</v>
      </c>
      <c r="OW889" s="2">
        <v>0.0097</v>
      </c>
      <c r="OX889" s="2">
        <v>0.0253</v>
      </c>
      <c r="PC889" s="2">
        <v>0.0125</v>
      </c>
      <c r="PD889" s="2">
        <v>0.0022</v>
      </c>
      <c r="PE889" s="2">
        <v>0.0065</v>
      </c>
      <c r="PF889" s="2">
        <v>0.0057</v>
      </c>
      <c r="PG889" s="2">
        <v>0.0143</v>
      </c>
      <c r="PH889" s="2">
        <v>0.0092</v>
      </c>
      <c r="PI889" s="2">
        <v>0.0452</v>
      </c>
    </row>
    <row r="890">
      <c r="A890" t="inlineStr">
        <is>
          <t>A130390617A</t>
        </is>
      </c>
      <c r="B890" t="inlineStr">
        <is>
          <t>Contribution to All groups CPI Percentage Points Change from Previous Period ;  Take away and fast foods ;  Australia ;</t>
        </is>
      </c>
      <c r="C890" t="inlineStr">
        <is>
          <t>Month</t>
        </is>
      </c>
      <c r="D890" t="inlineStr">
        <is>
          <t>% pts</t>
        </is>
      </c>
      <c r="E890" t="inlineStr">
        <is>
          <t>Original</t>
        </is>
      </c>
      <c r="F890" t="inlineStr">
        <is>
          <t>640105.xlsx</t>
        </is>
      </c>
      <c r="G890" t="inlineStr">
        <is>
          <t>2024-05</t>
        </is>
      </c>
      <c r="H890" t="inlineStr">
        <is>
          <t>2026-07</t>
        </is>
      </c>
      <c r="OA890" s="2">
        <v>0.008999999999999999</v>
      </c>
      <c r="OB890" s="2">
        <v>-0.0194</v>
      </c>
      <c r="OC890" s="2">
        <v>0.0441</v>
      </c>
      <c r="OD890" s="2">
        <v>0.0042</v>
      </c>
      <c r="OE890" s="2">
        <v>0.0045</v>
      </c>
      <c r="OF890" s="2">
        <v>0.0039</v>
      </c>
      <c r="OG890" s="2">
        <v>0.0074</v>
      </c>
      <c r="OH890" s="2">
        <v>0.0071</v>
      </c>
      <c r="OM890" s="2">
        <v>0.0046</v>
      </c>
      <c r="ON890" s="2">
        <v>0.0095</v>
      </c>
      <c r="OO890" s="2">
        <v>0.0083</v>
      </c>
      <c r="OP890" s="2">
        <v>0.0136</v>
      </c>
      <c r="OQ890" s="2">
        <v>0.0136</v>
      </c>
      <c r="OR890" s="2">
        <v>0.011</v>
      </c>
      <c r="OS890" s="2">
        <v>0.0194</v>
      </c>
      <c r="OT890" s="2">
        <v>0.0183</v>
      </c>
      <c r="OU890" s="2">
        <v>0.0076</v>
      </c>
      <c r="OV890" s="2">
        <v>0.0038</v>
      </c>
      <c r="OW890" s="2">
        <v>0.0049</v>
      </c>
      <c r="OX890" s="2">
        <v>-0.006</v>
      </c>
      <c r="PC890" s="2">
        <v>0.024</v>
      </c>
      <c r="PD890" s="2">
        <v>0.0036</v>
      </c>
      <c r="PE890" s="2">
        <v>0.0172</v>
      </c>
      <c r="PF890" s="2">
        <v>0.0074</v>
      </c>
      <c r="PG890" s="2">
        <v>0.0171</v>
      </c>
      <c r="PH890" s="2">
        <v>0.0188</v>
      </c>
      <c r="PI890" s="2">
        <v>0.0166</v>
      </c>
    </row>
    <row r="891">
      <c r="A891" t="inlineStr">
        <is>
          <t>A130393032X</t>
        </is>
      </c>
      <c r="B891" t="inlineStr">
        <is>
          <t>Contribution to All groups CPI Percentage Points Change from Previous Period ;  Alcohol and tobacco ;  Australia ;</t>
        </is>
      </c>
      <c r="C891" t="inlineStr">
        <is>
          <t>Month</t>
        </is>
      </c>
      <c r="D891" t="inlineStr">
        <is>
          <t>% pts</t>
        </is>
      </c>
      <c r="E891" t="inlineStr">
        <is>
          <t>Original</t>
        </is>
      </c>
      <c r="F891" t="inlineStr">
        <is>
          <t>640105.xlsx</t>
        </is>
      </c>
      <c r="G891" t="inlineStr">
        <is>
          <t>2024-05</t>
        </is>
      </c>
      <c r="H891" t="inlineStr">
        <is>
          <t>2026-07</t>
        </is>
      </c>
      <c r="OA891" s="2">
        <v>0.0169</v>
      </c>
      <c r="OB891" s="2">
        <v>0.0012</v>
      </c>
      <c r="OC891" s="2">
        <v>0.0215</v>
      </c>
      <c r="OD891" s="2">
        <v>0.0412</v>
      </c>
      <c r="OE891" s="2">
        <v>0.1204</v>
      </c>
      <c r="OF891" s="2">
        <v>0.0723</v>
      </c>
      <c r="OG891" s="2">
        <v>0.0183</v>
      </c>
      <c r="OH891" s="2">
        <v>-0.0434</v>
      </c>
      <c r="OM891" s="2">
        <v>0.0485</v>
      </c>
      <c r="ON891" s="2">
        <v>0.0578</v>
      </c>
      <c r="OO891" s="2">
        <v>0.0462</v>
      </c>
      <c r="OP891" s="2">
        <v>-0.0233</v>
      </c>
      <c r="OQ891" s="2">
        <v>0.0299</v>
      </c>
      <c r="OR891" s="2">
        <v>-0.0128</v>
      </c>
      <c r="OS891" s="2">
        <v>0.0717</v>
      </c>
      <c r="OT891" s="2">
        <v>0.013</v>
      </c>
      <c r="OU891" s="2">
        <v>0.0784</v>
      </c>
      <c r="OV891" s="2">
        <v>-0.0001</v>
      </c>
      <c r="OW891" s="2">
        <v>0.0059</v>
      </c>
      <c r="OX891" s="2">
        <v>-0.002</v>
      </c>
      <c r="PC891" s="2">
        <v>0.0584</v>
      </c>
      <c r="PD891" s="2">
        <v>0.0124</v>
      </c>
      <c r="PE891" s="2">
        <v>0.0555</v>
      </c>
      <c r="PF891" s="2">
        <v>-0.0317</v>
      </c>
      <c r="PG891" s="2">
        <v>0.0559</v>
      </c>
      <c r="PH891" s="2">
        <v>-0.0328</v>
      </c>
      <c r="PI891" s="2">
        <v>0.0779</v>
      </c>
    </row>
    <row r="892">
      <c r="A892" t="inlineStr">
        <is>
          <t>A130394418J</t>
        </is>
      </c>
      <c r="B892" t="inlineStr">
        <is>
          <t>Contribution to All groups CPI Percentage Points Change from Previous Period ;  Alcoholic beverages ;  Australia ;</t>
        </is>
      </c>
      <c r="C892" t="inlineStr">
        <is>
          <t>Month</t>
        </is>
      </c>
      <c r="D892" t="inlineStr">
        <is>
          <t>% pts</t>
        </is>
      </c>
      <c r="E892" t="inlineStr">
        <is>
          <t>Original</t>
        </is>
      </c>
      <c r="F892" t="inlineStr">
        <is>
          <t>640105.xlsx</t>
        </is>
      </c>
      <c r="G892" t="inlineStr">
        <is>
          <t>2024-05</t>
        </is>
      </c>
      <c r="H892" t="inlineStr">
        <is>
          <t>2026-07</t>
        </is>
      </c>
      <c r="OA892" s="2">
        <v>0.0124</v>
      </c>
      <c r="OB892" s="2">
        <v>-0.003</v>
      </c>
      <c r="OC892" s="2">
        <v>0.0195</v>
      </c>
      <c r="OD892" s="2">
        <v>0.0429</v>
      </c>
      <c r="OE892" s="2">
        <v>0.0224</v>
      </c>
      <c r="OF892" s="2">
        <v>0.0078</v>
      </c>
      <c r="OG892" s="2">
        <v>0.0165</v>
      </c>
      <c r="OH892" s="2">
        <v>-0.048</v>
      </c>
      <c r="OM892" s="2">
        <v>0.0388</v>
      </c>
      <c r="ON892" s="2">
        <v>0.0455</v>
      </c>
      <c r="OO892" s="2">
        <v>0.0196</v>
      </c>
      <c r="OP892" s="2">
        <v>-0.044</v>
      </c>
      <c r="OQ892" s="2">
        <v>0.0338</v>
      </c>
      <c r="OR892" s="2">
        <v>-0.0075</v>
      </c>
      <c r="OS892" s="2">
        <v>0.0471</v>
      </c>
      <c r="OT892" s="2">
        <v>0.0103</v>
      </c>
      <c r="OU892" s="2">
        <v>-0.0207</v>
      </c>
      <c r="OV892" s="2">
        <v>-0.0201</v>
      </c>
      <c r="OW892" s="2">
        <v>-0.0073</v>
      </c>
      <c r="OX892" s="2">
        <v>-0.0111</v>
      </c>
      <c r="PC892" s="2">
        <v>0.0599</v>
      </c>
      <c r="PD892" s="2">
        <v>0.0051</v>
      </c>
      <c r="PE892" s="2">
        <v>0.0323</v>
      </c>
      <c r="PF892" s="2">
        <v>-0.0455</v>
      </c>
      <c r="PG892" s="2">
        <v>0.0576</v>
      </c>
      <c r="PH892" s="2">
        <v>-0.0328</v>
      </c>
      <c r="PI892" s="2">
        <v>0.0538</v>
      </c>
    </row>
    <row r="893">
      <c r="A893" t="inlineStr">
        <is>
          <t>A130393445W</t>
        </is>
      </c>
      <c r="B893" t="inlineStr">
        <is>
          <t>Contribution to All groups CPI Percentage Points Change from Previous Period ;  Spirits ;  Australia ;</t>
        </is>
      </c>
      <c r="C893" t="inlineStr">
        <is>
          <t>Month</t>
        </is>
      </c>
      <c r="D893" t="inlineStr">
        <is>
          <t>% pts</t>
        </is>
      </c>
      <c r="E893" t="inlineStr">
        <is>
          <t>Original</t>
        </is>
      </c>
      <c r="F893" t="inlineStr">
        <is>
          <t>640105.xlsx</t>
        </is>
      </c>
      <c r="G893" t="inlineStr">
        <is>
          <t>2024-05</t>
        </is>
      </c>
      <c r="H893" t="inlineStr">
        <is>
          <t>2026-07</t>
        </is>
      </c>
      <c r="OA893" s="2">
        <v>0.0181</v>
      </c>
      <c r="OB893" s="2">
        <v>-0.0143</v>
      </c>
      <c r="OC893" s="2">
        <v>0.0074</v>
      </c>
      <c r="OD893" s="2">
        <v>-0.0002</v>
      </c>
      <c r="OE893" s="2">
        <v>0.0068</v>
      </c>
      <c r="OF893" s="2">
        <v>0.0027</v>
      </c>
      <c r="OG893" s="2">
        <v>0.008999999999999999</v>
      </c>
      <c r="OH893" s="2">
        <v>-0.0097</v>
      </c>
      <c r="OM893" s="2">
        <v>0.0035</v>
      </c>
      <c r="ON893" s="2">
        <v>0.0244</v>
      </c>
      <c r="OO893" s="2">
        <v>-0.0026</v>
      </c>
      <c r="OP893" s="2">
        <v>-0.0101</v>
      </c>
      <c r="OQ893" s="2">
        <v>0.0044</v>
      </c>
      <c r="OR893" s="2">
        <v>0.0047</v>
      </c>
      <c r="OS893" s="2">
        <v>0.0017</v>
      </c>
      <c r="OT893" s="2">
        <v>0.0011</v>
      </c>
      <c r="OU893" s="2">
        <v>-0.0005</v>
      </c>
      <c r="OV893" s="2">
        <v>-0.0033</v>
      </c>
      <c r="OW893" s="2">
        <v>0.0024</v>
      </c>
      <c r="OX893" s="2">
        <v>-0.0083</v>
      </c>
      <c r="PC893" s="2">
        <v>0.0165</v>
      </c>
      <c r="PD893" s="2">
        <v>0.0022</v>
      </c>
      <c r="PE893" s="2">
        <v>0.008200000000000001</v>
      </c>
      <c r="PF893" s="2">
        <v>-0.0102</v>
      </c>
      <c r="PG893" s="2">
        <v>0.0124</v>
      </c>
      <c r="PH893" s="2">
        <v>-0.0031</v>
      </c>
      <c r="PI893" s="2">
        <v>0.0052</v>
      </c>
    </row>
    <row r="894">
      <c r="A894" t="inlineStr">
        <is>
          <t>A130390897F</t>
        </is>
      </c>
      <c r="B894" t="inlineStr">
        <is>
          <t>Contribution to All groups CPI Percentage Points Change from Previous Period ;  Wine ;  Australia ;</t>
        </is>
      </c>
      <c r="C894" t="inlineStr">
        <is>
          <t>Month</t>
        </is>
      </c>
      <c r="D894" t="inlineStr">
        <is>
          <t>% pts</t>
        </is>
      </c>
      <c r="E894" t="inlineStr">
        <is>
          <t>Original</t>
        </is>
      </c>
      <c r="F894" t="inlineStr">
        <is>
          <t>640105.xlsx</t>
        </is>
      </c>
      <c r="G894" t="inlineStr">
        <is>
          <t>2024-05</t>
        </is>
      </c>
      <c r="H894" t="inlineStr">
        <is>
          <t>2026-07</t>
        </is>
      </c>
      <c r="OA894" s="2">
        <v>-0.008399999999999999</v>
      </c>
      <c r="OB894" s="2">
        <v>0.012</v>
      </c>
      <c r="OC894" s="2">
        <v>-0.0005999999999999999</v>
      </c>
      <c r="OD894" s="2">
        <v>0.0244</v>
      </c>
      <c r="OE894" s="2">
        <v>0.006</v>
      </c>
      <c r="OF894" s="2">
        <v>-0.0034</v>
      </c>
      <c r="OG894" s="2">
        <v>0.0025</v>
      </c>
      <c r="OH894" s="2">
        <v>-0.0373</v>
      </c>
      <c r="OM894" s="2">
        <v>0.0288</v>
      </c>
      <c r="ON894" s="2">
        <v>-0.0137</v>
      </c>
      <c r="OO894" s="2">
        <v>0.0293</v>
      </c>
      <c r="OP894" s="2">
        <v>-0.0228</v>
      </c>
      <c r="OQ894" s="2">
        <v>0.0191</v>
      </c>
      <c r="OR894" s="2">
        <v>-0.0139</v>
      </c>
      <c r="OS894" s="2">
        <v>0.0354</v>
      </c>
      <c r="OT894" s="2">
        <v>0.0009</v>
      </c>
      <c r="OU894" s="2">
        <v>-0.0206</v>
      </c>
      <c r="OV894" s="2">
        <v>-0.0204</v>
      </c>
      <c r="OW894" s="2">
        <v>-0.0055</v>
      </c>
      <c r="OX894" s="2">
        <v>-0.0098</v>
      </c>
      <c r="PC894" s="2">
        <v>0.0401</v>
      </c>
      <c r="PD894" s="2">
        <v>-0.0051</v>
      </c>
      <c r="PE894" s="2">
        <v>0.0143</v>
      </c>
      <c r="PF894" s="2">
        <v>-0.0299</v>
      </c>
      <c r="PG894" s="2">
        <v>0.0385</v>
      </c>
      <c r="PH894" s="2">
        <v>-0.035</v>
      </c>
      <c r="PI894" s="2">
        <v>0.0311</v>
      </c>
    </row>
    <row r="895">
      <c r="A895" t="inlineStr">
        <is>
          <t>A130393417L</t>
        </is>
      </c>
      <c r="B895" t="inlineStr">
        <is>
          <t>Contribution to All groups CPI Percentage Points Change from Previous Period ;  Beer ;  Australia ;</t>
        </is>
      </c>
      <c r="C895" t="inlineStr">
        <is>
          <t>Month</t>
        </is>
      </c>
      <c r="D895" t="inlineStr">
        <is>
          <t>% pts</t>
        </is>
      </c>
      <c r="E895" t="inlineStr">
        <is>
          <t>Original</t>
        </is>
      </c>
      <c r="F895" t="inlineStr">
        <is>
          <t>640105.xlsx</t>
        </is>
      </c>
      <c r="G895" t="inlineStr">
        <is>
          <t>2024-05</t>
        </is>
      </c>
      <c r="H895" t="inlineStr">
        <is>
          <t>2026-07</t>
        </is>
      </c>
      <c r="OA895" s="2">
        <v>0.0027</v>
      </c>
      <c r="OB895" s="2">
        <v>-0.0007</v>
      </c>
      <c r="OC895" s="2">
        <v>0.0127</v>
      </c>
      <c r="OD895" s="2">
        <v>0.0187</v>
      </c>
      <c r="OE895" s="2">
        <v>0.009599999999999999</v>
      </c>
      <c r="OF895" s="2">
        <v>0.0086</v>
      </c>
      <c r="OG895" s="2">
        <v>0.0051</v>
      </c>
      <c r="OH895" s="2">
        <v>-0.001</v>
      </c>
      <c r="OM895" s="2">
        <v>0.0066</v>
      </c>
      <c r="ON895" s="2">
        <v>0.0347</v>
      </c>
      <c r="OO895" s="2">
        <v>-0.007</v>
      </c>
      <c r="OP895" s="2">
        <v>-0.0111</v>
      </c>
      <c r="OQ895" s="2">
        <v>0.0103</v>
      </c>
      <c r="OR895" s="2">
        <v>0.0016</v>
      </c>
      <c r="OS895" s="2">
        <v>0.01</v>
      </c>
      <c r="OT895" s="2">
        <v>0.0083</v>
      </c>
      <c r="OU895" s="2">
        <v>0.0004</v>
      </c>
      <c r="OV895" s="2">
        <v>0.0036</v>
      </c>
      <c r="OW895" s="2">
        <v>-0.0042</v>
      </c>
      <c r="OX895" s="2">
        <v>0.0071</v>
      </c>
      <c r="PC895" s="2">
        <v>0.0033</v>
      </c>
      <c r="PD895" s="2">
        <v>0.0081</v>
      </c>
      <c r="PE895" s="2">
        <v>0.0098</v>
      </c>
      <c r="PF895" s="2">
        <v>-0.0054</v>
      </c>
      <c r="PG895" s="2">
        <v>0.0067</v>
      </c>
      <c r="PH895" s="2">
        <v>0.0053</v>
      </c>
      <c r="PI895" s="2">
        <v>0.0176</v>
      </c>
    </row>
    <row r="896">
      <c r="A896" t="inlineStr">
        <is>
          <t>A130398017T</t>
        </is>
      </c>
      <c r="B896" t="inlineStr">
        <is>
          <t>Contribution to All groups CPI Percentage Points Change from Previous Period ;  Tobacco ;  Australia ;</t>
        </is>
      </c>
      <c r="C896" t="inlineStr">
        <is>
          <t>Month</t>
        </is>
      </c>
      <c r="D896" t="inlineStr">
        <is>
          <t>% pts</t>
        </is>
      </c>
      <c r="E896" t="inlineStr">
        <is>
          <t>Original</t>
        </is>
      </c>
      <c r="F896" t="inlineStr">
        <is>
          <t>640105.xlsx</t>
        </is>
      </c>
      <c r="G896" t="inlineStr">
        <is>
          <t>2024-05</t>
        </is>
      </c>
      <c r="H896" t="inlineStr">
        <is>
          <t>2026-07</t>
        </is>
      </c>
      <c r="OA896" s="2">
        <v>0.0046</v>
      </c>
      <c r="OB896" s="2">
        <v>0.0042</v>
      </c>
      <c r="OC896" s="2">
        <v>0.002</v>
      </c>
      <c r="OD896" s="2">
        <v>-0.0018</v>
      </c>
      <c r="OE896" s="2">
        <v>0.098</v>
      </c>
      <c r="OF896" s="2">
        <v>0.0645</v>
      </c>
      <c r="OG896" s="2">
        <v>0.0017</v>
      </c>
      <c r="OH896" s="2">
        <v>0.0046</v>
      </c>
      <c r="OM896" s="2">
        <v>0.009599999999999999</v>
      </c>
      <c r="ON896" s="2">
        <v>0.0124</v>
      </c>
      <c r="OO896" s="2">
        <v>0.0266</v>
      </c>
      <c r="OP896" s="2">
        <v>0.0208</v>
      </c>
      <c r="OQ896" s="2">
        <v>-0.0038</v>
      </c>
      <c r="OR896" s="2">
        <v>-0.0053</v>
      </c>
      <c r="OS896" s="2">
        <v>0.0246</v>
      </c>
      <c r="OT896" s="2">
        <v>0.0027</v>
      </c>
      <c r="OU896" s="2">
        <v>0.09909999999999999</v>
      </c>
      <c r="OV896" s="2">
        <v>0.0201</v>
      </c>
      <c r="OW896" s="2">
        <v>0.0132</v>
      </c>
      <c r="OX896" s="2">
        <v>0.0091</v>
      </c>
      <c r="PC896" s="2">
        <v>-0.0015</v>
      </c>
      <c r="PD896" s="2">
        <v>0.0072</v>
      </c>
      <c r="PE896" s="2">
        <v>0.0232</v>
      </c>
      <c r="PF896" s="2">
        <v>0.0137</v>
      </c>
      <c r="PG896" s="2">
        <v>-0.0017</v>
      </c>
      <c r="PH896" s="2">
        <v>0</v>
      </c>
      <c r="PI896" s="2">
        <v>0.0241</v>
      </c>
    </row>
    <row r="897">
      <c r="A897" t="inlineStr">
        <is>
          <t>A130397120W</t>
        </is>
      </c>
      <c r="B897" t="inlineStr">
        <is>
          <t>Contribution to All groups CPI Percentage Points Change from Previous Period ;  Tobacco ;  Australia ;</t>
        </is>
      </c>
      <c r="C897" t="inlineStr">
        <is>
          <t>Month</t>
        </is>
      </c>
      <c r="D897" t="inlineStr">
        <is>
          <t>% pts</t>
        </is>
      </c>
      <c r="E897" t="inlineStr">
        <is>
          <t>Original</t>
        </is>
      </c>
      <c r="F897" t="inlineStr">
        <is>
          <t>640105.xlsx</t>
        </is>
      </c>
      <c r="G897" t="inlineStr">
        <is>
          <t>2024-05</t>
        </is>
      </c>
      <c r="H897" t="inlineStr">
        <is>
          <t>2026-07</t>
        </is>
      </c>
      <c r="OA897" s="2">
        <v>0.0046</v>
      </c>
      <c r="OB897" s="2">
        <v>0.0042</v>
      </c>
      <c r="OC897" s="2">
        <v>0.002</v>
      </c>
      <c r="OD897" s="2">
        <v>-0.0018</v>
      </c>
      <c r="OE897" s="2">
        <v>0.098</v>
      </c>
      <c r="OF897" s="2">
        <v>0.0645</v>
      </c>
      <c r="OG897" s="2">
        <v>0.0017</v>
      </c>
      <c r="OH897" s="2">
        <v>0.0046</v>
      </c>
      <c r="OM897" s="2">
        <v>0.009599999999999999</v>
      </c>
      <c r="ON897" s="2">
        <v>0.0124</v>
      </c>
      <c r="OO897" s="2">
        <v>0.0266</v>
      </c>
      <c r="OP897" s="2">
        <v>0.0208</v>
      </c>
      <c r="OQ897" s="2">
        <v>-0.0038</v>
      </c>
      <c r="OR897" s="2">
        <v>-0.0053</v>
      </c>
      <c r="OS897" s="2">
        <v>0.0246</v>
      </c>
      <c r="OT897" s="2">
        <v>0.0027</v>
      </c>
      <c r="OU897" s="2">
        <v>0.09909999999999999</v>
      </c>
      <c r="OV897" s="2">
        <v>0.0201</v>
      </c>
      <c r="OW897" s="2">
        <v>0.0132</v>
      </c>
      <c r="OX897" s="2">
        <v>0.0091</v>
      </c>
      <c r="PC897" s="2">
        <v>-0.0015</v>
      </c>
      <c r="PD897" s="2">
        <v>0.0072</v>
      </c>
      <c r="PE897" s="2">
        <v>0.0232</v>
      </c>
      <c r="PF897" s="2">
        <v>0.0137</v>
      </c>
      <c r="PG897" s="2">
        <v>-0.0017</v>
      </c>
      <c r="PH897" s="2">
        <v>0</v>
      </c>
      <c r="PI897" s="2">
        <v>0.0241</v>
      </c>
    </row>
    <row r="898">
      <c r="A898" t="inlineStr">
        <is>
          <t>A130391674R</t>
        </is>
      </c>
      <c r="B898" t="inlineStr">
        <is>
          <t>Contribution to All groups CPI Percentage Points Change from Previous Period ;  Clothing and footwear ;  Australia ;</t>
        </is>
      </c>
      <c r="C898" t="inlineStr">
        <is>
          <t>Month</t>
        </is>
      </c>
      <c r="D898" t="inlineStr">
        <is>
          <t>% pts</t>
        </is>
      </c>
      <c r="E898" t="inlineStr">
        <is>
          <t>Original</t>
        </is>
      </c>
      <c r="F898" t="inlineStr">
        <is>
          <t>640105.xlsx</t>
        </is>
      </c>
      <c r="G898" t="inlineStr">
        <is>
          <t>2024-05</t>
        </is>
      </c>
      <c r="H898" t="inlineStr">
        <is>
          <t>2026-07</t>
        </is>
      </c>
      <c r="OA898" s="2">
        <v>-0.1075</v>
      </c>
      <c r="OB898" s="2">
        <v>-0.0546</v>
      </c>
      <c r="OC898" s="2">
        <v>0.1008</v>
      </c>
      <c r="OD898" s="2">
        <v>-0.0193</v>
      </c>
      <c r="OE898" s="2">
        <v>-0.0046</v>
      </c>
      <c r="OF898" s="2">
        <v>0.0223</v>
      </c>
      <c r="OG898" s="2">
        <v>-0.0958</v>
      </c>
      <c r="OH898" s="2">
        <v>0.0276</v>
      </c>
      <c r="OM898" s="2">
        <v>0.021</v>
      </c>
      <c r="ON898" s="2">
        <v>0.1029</v>
      </c>
      <c r="OO898" s="2">
        <v>-0.127</v>
      </c>
      <c r="OP898" s="2">
        <v>0.1597</v>
      </c>
      <c r="OQ898" s="2">
        <v>-0.0675</v>
      </c>
      <c r="OR898" s="2">
        <v>-0.0288</v>
      </c>
      <c r="OS898" s="2">
        <v>0.0809</v>
      </c>
      <c r="OT898" s="2">
        <v>0.0451</v>
      </c>
      <c r="OU898" s="2">
        <v>-0.0208</v>
      </c>
      <c r="OV898" s="2">
        <v>0.07240000000000001</v>
      </c>
      <c r="OW898" s="2">
        <v>-0.1034</v>
      </c>
      <c r="OX898" s="2">
        <v>-0.0273</v>
      </c>
      <c r="PC898" s="2">
        <v>0.0912</v>
      </c>
      <c r="PD898" s="2">
        <v>0.08400000000000001</v>
      </c>
      <c r="PE898" s="2">
        <v>-0.06370000000000001</v>
      </c>
      <c r="PF898" s="2">
        <v>0.1243</v>
      </c>
      <c r="PG898" s="2">
        <v>-0.0955</v>
      </c>
      <c r="PH898" s="2">
        <v>-0.0328</v>
      </c>
      <c r="PI898" s="2">
        <v>0.0832</v>
      </c>
    </row>
    <row r="899">
      <c r="A899" t="inlineStr">
        <is>
          <t>A130394110L</t>
        </is>
      </c>
      <c r="B899" t="inlineStr">
        <is>
          <t>Contribution to All groups CPI Percentage Points Change from Previous Period ;  Garments ;  Australia ;</t>
        </is>
      </c>
      <c r="C899" t="inlineStr">
        <is>
          <t>Month</t>
        </is>
      </c>
      <c r="D899" t="inlineStr">
        <is>
          <t>% pts</t>
        </is>
      </c>
      <c r="E899" t="inlineStr">
        <is>
          <t>Original</t>
        </is>
      </c>
      <c r="F899" t="inlineStr">
        <is>
          <t>640105.xlsx</t>
        </is>
      </c>
      <c r="G899" t="inlineStr">
        <is>
          <t>2024-05</t>
        </is>
      </c>
      <c r="H899" t="inlineStr">
        <is>
          <t>2026-07</t>
        </is>
      </c>
      <c r="OA899" s="2">
        <v>-0.0906</v>
      </c>
      <c r="OB899" s="2">
        <v>-0.0342</v>
      </c>
      <c r="OC899" s="2">
        <v>0.062</v>
      </c>
      <c r="OD899" s="2">
        <v>0.0044</v>
      </c>
      <c r="OE899" s="2">
        <v>-0.027</v>
      </c>
      <c r="OF899" s="2">
        <v>0.0071</v>
      </c>
      <c r="OG899" s="2">
        <v>-0.0204</v>
      </c>
      <c r="OH899" s="2">
        <v>0.006</v>
      </c>
      <c r="OM899" s="2">
        <v>-0.0259</v>
      </c>
      <c r="ON899" s="2">
        <v>0.0757</v>
      </c>
      <c r="OO899" s="2">
        <v>-0.0697</v>
      </c>
      <c r="OP899" s="2">
        <v>0.1138</v>
      </c>
      <c r="OQ899" s="2">
        <v>-0.0458</v>
      </c>
      <c r="OR899" s="2">
        <v>-0.0507</v>
      </c>
      <c r="OS899" s="2">
        <v>0.0535</v>
      </c>
      <c r="OT899" s="2">
        <v>0.0425</v>
      </c>
      <c r="OU899" s="2">
        <v>-0.0598</v>
      </c>
      <c r="OV899" s="2">
        <v>0.0501</v>
      </c>
      <c r="OW899" s="2">
        <v>-0.046</v>
      </c>
      <c r="OX899" s="2">
        <v>-0.0244</v>
      </c>
      <c r="PC899" s="2">
        <v>0.0417</v>
      </c>
      <c r="PD899" s="2">
        <v>0.0565</v>
      </c>
      <c r="PE899" s="2">
        <v>-0.0501</v>
      </c>
      <c r="PF899" s="2">
        <v>0.09180000000000001</v>
      </c>
      <c r="PG899" s="2">
        <v>-0.06519999999999999</v>
      </c>
      <c r="PH899" s="2">
        <v>-0.0601</v>
      </c>
      <c r="PI899" s="2">
        <v>0.0599</v>
      </c>
    </row>
    <row r="900">
      <c r="A900" t="inlineStr">
        <is>
          <t>A130399714T</t>
        </is>
      </c>
      <c r="B900" t="inlineStr">
        <is>
          <t>Contribution to All groups CPI Percentage Points Change from Previous Period ;  Garments for men ;  Australia ;</t>
        </is>
      </c>
      <c r="C900" t="inlineStr">
        <is>
          <t>Month</t>
        </is>
      </c>
      <c r="D900" t="inlineStr">
        <is>
          <t>% pts</t>
        </is>
      </c>
      <c r="E900" t="inlineStr">
        <is>
          <t>Original</t>
        </is>
      </c>
      <c r="F900" t="inlineStr">
        <is>
          <t>640105.xlsx</t>
        </is>
      </c>
      <c r="G900" t="inlineStr">
        <is>
          <t>2024-05</t>
        </is>
      </c>
      <c r="H900" t="inlineStr">
        <is>
          <t>2026-07</t>
        </is>
      </c>
      <c r="OA900" s="2">
        <v>-0.0262</v>
      </c>
      <c r="OB900" s="2">
        <v>-0.0173</v>
      </c>
      <c r="OC900" s="2">
        <v>0.0204</v>
      </c>
      <c r="OD900" s="2">
        <v>0.0081</v>
      </c>
      <c r="OE900" s="2">
        <v>-0.008999999999999999</v>
      </c>
      <c r="OF900" s="2">
        <v>-0.0041</v>
      </c>
      <c r="OG900" s="2">
        <v>-0.0063</v>
      </c>
      <c r="OH900" s="2">
        <v>-0.0068</v>
      </c>
      <c r="OM900" s="2">
        <v>-0.003</v>
      </c>
      <c r="ON900" s="2">
        <v>0.0148</v>
      </c>
      <c r="OO900" s="2">
        <v>-0.018</v>
      </c>
      <c r="OP900" s="2">
        <v>0.0333</v>
      </c>
      <c r="OQ900" s="2">
        <v>-0.0157</v>
      </c>
      <c r="OR900" s="2">
        <v>-0.0204</v>
      </c>
      <c r="OS900" s="2">
        <v>0.0092</v>
      </c>
      <c r="OT900" s="2">
        <v>0.0202</v>
      </c>
      <c r="OU900" s="2">
        <v>-0.0192</v>
      </c>
      <c r="OV900" s="2">
        <v>0.0166</v>
      </c>
      <c r="OW900" s="2">
        <v>-0.011</v>
      </c>
      <c r="OX900" s="2">
        <v>-0.0133</v>
      </c>
      <c r="PC900" s="2">
        <v>0.0136</v>
      </c>
      <c r="PD900" s="2">
        <v>0.0136</v>
      </c>
      <c r="PE900" s="2">
        <v>-0.0226</v>
      </c>
      <c r="PF900" s="2">
        <v>0.02</v>
      </c>
      <c r="PG900" s="2">
        <v>-0.009299999999999999</v>
      </c>
      <c r="PH900" s="2">
        <v>-0.0076</v>
      </c>
      <c r="PI900" s="2">
        <v>0.0202</v>
      </c>
    </row>
    <row r="901">
      <c r="A901" t="inlineStr">
        <is>
          <t>A130398472V</t>
        </is>
      </c>
      <c r="B901" t="inlineStr">
        <is>
          <t>Contribution to All groups CPI Percentage Points Change from Previous Period ;  Garments for women ;  Australia ;</t>
        </is>
      </c>
      <c r="C901" t="inlineStr">
        <is>
          <t>Month</t>
        </is>
      </c>
      <c r="D901" t="inlineStr">
        <is>
          <t>% pts</t>
        </is>
      </c>
      <c r="E901" t="inlineStr">
        <is>
          <t>Original</t>
        </is>
      </c>
      <c r="F901" t="inlineStr">
        <is>
          <t>640105.xlsx</t>
        </is>
      </c>
      <c r="G901" t="inlineStr">
        <is>
          <t>2024-05</t>
        </is>
      </c>
      <c r="H901" t="inlineStr">
        <is>
          <t>2026-07</t>
        </is>
      </c>
      <c r="OA901" s="2">
        <v>-0.0559</v>
      </c>
      <c r="OB901" s="2">
        <v>-0.0164</v>
      </c>
      <c r="OC901" s="2">
        <v>0.0401</v>
      </c>
      <c r="OD901" s="2">
        <v>-0.005</v>
      </c>
      <c r="OE901" s="2">
        <v>-0.0124</v>
      </c>
      <c r="OF901" s="2">
        <v>0.0089</v>
      </c>
      <c r="OG901" s="2">
        <v>-0.011</v>
      </c>
      <c r="OH901" s="2">
        <v>0.0167</v>
      </c>
      <c r="OM901" s="2">
        <v>-0.0195</v>
      </c>
      <c r="ON901" s="2">
        <v>0.0575</v>
      </c>
      <c r="OO901" s="2">
        <v>-0.0449</v>
      </c>
      <c r="OP901" s="2">
        <v>0.0654</v>
      </c>
      <c r="OQ901" s="2">
        <v>-0.027</v>
      </c>
      <c r="OR901" s="2">
        <v>-0.0198</v>
      </c>
      <c r="OS901" s="2">
        <v>0.0341</v>
      </c>
      <c r="OT901" s="2">
        <v>0.0081</v>
      </c>
      <c r="OU901" s="2">
        <v>-0.0353</v>
      </c>
      <c r="OV901" s="2">
        <v>0.028</v>
      </c>
      <c r="OW901" s="2">
        <v>-0.0304</v>
      </c>
      <c r="OX901" s="2">
        <v>-0.0058</v>
      </c>
      <c r="PC901" s="2">
        <v>0.0231</v>
      </c>
      <c r="PD901" s="2">
        <v>0.0386</v>
      </c>
      <c r="PE901" s="2">
        <v>-0.0194</v>
      </c>
      <c r="PF901" s="2">
        <v>0.0669</v>
      </c>
      <c r="PG901" s="2">
        <v>-0.0435</v>
      </c>
      <c r="PH901" s="2">
        <v>-0.0519</v>
      </c>
      <c r="PI901" s="2">
        <v>0.0342</v>
      </c>
    </row>
    <row r="902">
      <c r="A902" t="inlineStr">
        <is>
          <t>A130391023K</t>
        </is>
      </c>
      <c r="B902" t="inlineStr">
        <is>
          <t>Contribution to All groups CPI Percentage Points Change from Previous Period ;  Garments for infants and children ;  Australia ;</t>
        </is>
      </c>
      <c r="C902" t="inlineStr">
        <is>
          <t>Month</t>
        </is>
      </c>
      <c r="D902" t="inlineStr">
        <is>
          <t>% pts</t>
        </is>
      </c>
      <c r="E902" t="inlineStr">
        <is>
          <t>Original</t>
        </is>
      </c>
      <c r="F902" t="inlineStr">
        <is>
          <t>640105.xlsx</t>
        </is>
      </c>
      <c r="G902" t="inlineStr">
        <is>
          <t>2024-05</t>
        </is>
      </c>
      <c r="H902" t="inlineStr">
        <is>
          <t>2026-07</t>
        </is>
      </c>
      <c r="OA902" s="2">
        <v>-0.008500000000000001</v>
      </c>
      <c r="OB902" s="2">
        <v>-0.0005</v>
      </c>
      <c r="OC902" s="2">
        <v>0.0014</v>
      </c>
      <c r="OD902" s="2">
        <v>0.0013</v>
      </c>
      <c r="OE902" s="2">
        <v>-0.0055</v>
      </c>
      <c r="OF902" s="2">
        <v>0.0023</v>
      </c>
      <c r="OG902" s="2">
        <v>-0.0031</v>
      </c>
      <c r="OH902" s="2">
        <v>-0.0039</v>
      </c>
      <c r="OM902" s="2">
        <v>-0.0033</v>
      </c>
      <c r="ON902" s="2">
        <v>0.0034</v>
      </c>
      <c r="OO902" s="2">
        <v>-0.0068</v>
      </c>
      <c r="OP902" s="2">
        <v>0.0151</v>
      </c>
      <c r="OQ902" s="2">
        <v>-0.0031</v>
      </c>
      <c r="OR902" s="2">
        <v>-0.0106</v>
      </c>
      <c r="OS902" s="2">
        <v>0.0102</v>
      </c>
      <c r="OT902" s="2">
        <v>0.0142</v>
      </c>
      <c r="OU902" s="2">
        <v>-0.0053</v>
      </c>
      <c r="OV902" s="2">
        <v>0.0054</v>
      </c>
      <c r="OW902" s="2">
        <v>-0.0046</v>
      </c>
      <c r="OX902" s="2">
        <v>-0.0053</v>
      </c>
      <c r="PC902" s="2">
        <v>0.005</v>
      </c>
      <c r="PD902" s="2">
        <v>0.0044</v>
      </c>
      <c r="PE902" s="2">
        <v>-0.008200000000000001</v>
      </c>
      <c r="PF902" s="2">
        <v>0.0049</v>
      </c>
      <c r="PG902" s="2">
        <v>-0.0125</v>
      </c>
      <c r="PH902" s="2">
        <v>-0.0005999999999999999</v>
      </c>
      <c r="PI902" s="2">
        <v>0.0055</v>
      </c>
    </row>
    <row r="903">
      <c r="A903" t="inlineStr">
        <is>
          <t>A130391765W</t>
        </is>
      </c>
      <c r="B903" t="inlineStr">
        <is>
          <t>Contribution to All groups CPI Percentage Points Change from Previous Period ;  Footwear ;  Australia ;</t>
        </is>
      </c>
      <c r="C903" t="inlineStr">
        <is>
          <t>Month</t>
        </is>
      </c>
      <c r="D903" t="inlineStr">
        <is>
          <t>% pts</t>
        </is>
      </c>
      <c r="E903" t="inlineStr">
        <is>
          <t>Original</t>
        </is>
      </c>
      <c r="F903" t="inlineStr">
        <is>
          <t>640105.xlsx</t>
        </is>
      </c>
      <c r="G903" t="inlineStr">
        <is>
          <t>2024-05</t>
        </is>
      </c>
      <c r="H903" t="inlineStr">
        <is>
          <t>2026-07</t>
        </is>
      </c>
      <c r="OA903" s="2">
        <v>-0.0267</v>
      </c>
      <c r="OB903" s="2">
        <v>0.012</v>
      </c>
      <c r="OC903" s="2">
        <v>0.0061</v>
      </c>
      <c r="OD903" s="2">
        <v>-0.0154</v>
      </c>
      <c r="OE903" s="2">
        <v>0.0004</v>
      </c>
      <c r="OF903" s="2">
        <v>0.0199</v>
      </c>
      <c r="OG903" s="2">
        <v>-0.0238</v>
      </c>
      <c r="OH903" s="2">
        <v>-0.0039</v>
      </c>
      <c r="OM903" s="2">
        <v>0.0109</v>
      </c>
      <c r="ON903" s="2">
        <v>0.025</v>
      </c>
      <c r="OO903" s="2">
        <v>-0.0173</v>
      </c>
      <c r="OP903" s="2">
        <v>0.0176</v>
      </c>
      <c r="OQ903" s="2">
        <v>-0.0132</v>
      </c>
      <c r="OR903" s="2">
        <v>0.0032</v>
      </c>
      <c r="OS903" s="2">
        <v>-0.0054</v>
      </c>
      <c r="OT903" s="2">
        <v>-0.0108</v>
      </c>
      <c r="OU903" s="2">
        <v>0.0185</v>
      </c>
      <c r="OV903" s="2">
        <v>0.0092</v>
      </c>
      <c r="OW903" s="2">
        <v>-0.0256</v>
      </c>
      <c r="OX903" s="2">
        <v>-0.0001</v>
      </c>
      <c r="PC903" s="2">
        <v>0.0063</v>
      </c>
      <c r="PD903" s="2">
        <v>0.02</v>
      </c>
      <c r="PE903" s="2">
        <v>-0.008800000000000001</v>
      </c>
      <c r="PF903" s="2">
        <v>0.0113</v>
      </c>
      <c r="PG903" s="2">
        <v>-0.0106</v>
      </c>
      <c r="PH903" s="2">
        <v>-0.0039</v>
      </c>
      <c r="PI903" s="2">
        <v>0.0043</v>
      </c>
    </row>
    <row r="904">
      <c r="A904" t="inlineStr">
        <is>
          <t>A130393284V</t>
        </is>
      </c>
      <c r="B904" t="inlineStr">
        <is>
          <t>Contribution to All groups CPI Percentage Points Change from Previous Period ;  Footwear for men ;  Australia ;</t>
        </is>
      </c>
      <c r="C904" t="inlineStr">
        <is>
          <t>Month</t>
        </is>
      </c>
      <c r="D904" t="inlineStr">
        <is>
          <t>% pts</t>
        </is>
      </c>
      <c r="E904" t="inlineStr">
        <is>
          <t>Original</t>
        </is>
      </c>
      <c r="F904" t="inlineStr">
        <is>
          <t>640105.xlsx</t>
        </is>
      </c>
      <c r="G904" t="inlineStr">
        <is>
          <t>2024-05</t>
        </is>
      </c>
      <c r="H904" t="inlineStr">
        <is>
          <t>2026-07</t>
        </is>
      </c>
      <c r="OA904" s="2">
        <v>-0.0035</v>
      </c>
      <c r="OB904" s="2">
        <v>-0.0023</v>
      </c>
      <c r="OC904" s="2">
        <v>0.0055</v>
      </c>
      <c r="OD904" s="2">
        <v>-0.0032</v>
      </c>
      <c r="OE904" s="2">
        <v>0.0049</v>
      </c>
      <c r="OF904" s="2">
        <v>0.0012</v>
      </c>
      <c r="OG904" s="2">
        <v>-0.0067</v>
      </c>
      <c r="OH904" s="2">
        <v>0.0005999999999999999</v>
      </c>
      <c r="OM904" s="2">
        <v>0.0001</v>
      </c>
      <c r="ON904" s="2">
        <v>0.0068</v>
      </c>
      <c r="OO904" s="2">
        <v>-0.0065</v>
      </c>
      <c r="OP904" s="2">
        <v>0.006</v>
      </c>
      <c r="OQ904" s="2">
        <v>-0.0041</v>
      </c>
      <c r="OR904" s="2">
        <v>0.001</v>
      </c>
      <c r="OS904" s="2">
        <v>-0.0007</v>
      </c>
      <c r="OT904" s="2">
        <v>-0.0044</v>
      </c>
      <c r="OU904" s="2">
        <v>0.0015</v>
      </c>
      <c r="OV904" s="2">
        <v>0.003</v>
      </c>
      <c r="OW904" s="2">
        <v>-0.0047</v>
      </c>
      <c r="OX904" s="2">
        <v>-0.0005</v>
      </c>
      <c r="PC904" s="2">
        <v>0.0044</v>
      </c>
      <c r="PD904" s="2">
        <v>0.0034</v>
      </c>
      <c r="PE904" s="2">
        <v>-0.0032</v>
      </c>
      <c r="PF904" s="2">
        <v>0.0024</v>
      </c>
      <c r="PG904" s="2">
        <v>0.0014</v>
      </c>
      <c r="PH904" s="2">
        <v>-0.0026</v>
      </c>
      <c r="PI904" s="2">
        <v>-0.001</v>
      </c>
    </row>
    <row r="905">
      <c r="A905" t="inlineStr">
        <is>
          <t>A130395748T</t>
        </is>
      </c>
      <c r="B905" t="inlineStr">
        <is>
          <t>Contribution to All groups CPI Percentage Points Change from Previous Period ;  Footwear for women ;  Australia ;</t>
        </is>
      </c>
      <c r="C905" t="inlineStr">
        <is>
          <t>Month</t>
        </is>
      </c>
      <c r="D905" t="inlineStr">
        <is>
          <t>% pts</t>
        </is>
      </c>
      <c r="E905" t="inlineStr">
        <is>
          <t>Original</t>
        </is>
      </c>
      <c r="F905" t="inlineStr">
        <is>
          <t>640105.xlsx</t>
        </is>
      </c>
      <c r="G905" t="inlineStr">
        <is>
          <t>2024-05</t>
        </is>
      </c>
      <c r="H905" t="inlineStr">
        <is>
          <t>2026-07</t>
        </is>
      </c>
      <c r="OA905" s="2">
        <v>-0.021</v>
      </c>
      <c r="OB905" s="2">
        <v>0.0126</v>
      </c>
      <c r="OC905" s="2">
        <v>-0.0002</v>
      </c>
      <c r="OD905" s="2">
        <v>-0.0106</v>
      </c>
      <c r="OE905" s="2">
        <v>-0.0036</v>
      </c>
      <c r="OF905" s="2">
        <v>0.0157</v>
      </c>
      <c r="OG905" s="2">
        <v>-0.0154</v>
      </c>
      <c r="OH905" s="2">
        <v>-0.0028</v>
      </c>
      <c r="OM905" s="2">
        <v>0.0072</v>
      </c>
      <c r="ON905" s="2">
        <v>0.0164</v>
      </c>
      <c r="OO905" s="2">
        <v>-0.0106</v>
      </c>
      <c r="OP905" s="2">
        <v>0.0135</v>
      </c>
      <c r="OQ905" s="2">
        <v>-0.007900000000000001</v>
      </c>
      <c r="OR905" s="2">
        <v>0.0046</v>
      </c>
      <c r="OS905" s="2">
        <v>-0.006</v>
      </c>
      <c r="OT905" s="2">
        <v>-0.004</v>
      </c>
      <c r="OU905" s="2">
        <v>0.0152</v>
      </c>
      <c r="OV905" s="2">
        <v>0.0035</v>
      </c>
      <c r="OW905" s="2">
        <v>-0.0182</v>
      </c>
      <c r="OX905" s="2">
        <v>-0.0017</v>
      </c>
      <c r="PC905" s="2">
        <v>0.0009</v>
      </c>
      <c r="PD905" s="2">
        <v>0.0146</v>
      </c>
      <c r="PE905" s="2">
        <v>-0.0032</v>
      </c>
      <c r="PF905" s="2">
        <v>0.0078</v>
      </c>
      <c r="PG905" s="2">
        <v>-0.0122</v>
      </c>
      <c r="PH905" s="2">
        <v>0.0004</v>
      </c>
      <c r="PI905" s="2">
        <v>0.0066</v>
      </c>
    </row>
    <row r="906">
      <c r="A906" t="inlineStr">
        <is>
          <t>A130391996F</t>
        </is>
      </c>
      <c r="B906" t="inlineStr">
        <is>
          <t>Contribution to All groups CPI Percentage Points Change from Previous Period ;  Footwear for infants and children ;  Australia ;</t>
        </is>
      </c>
      <c r="C906" t="inlineStr">
        <is>
          <t>Month</t>
        </is>
      </c>
      <c r="D906" t="inlineStr">
        <is>
          <t>% pts</t>
        </is>
      </c>
      <c r="E906" t="inlineStr">
        <is>
          <t>Original</t>
        </is>
      </c>
      <c r="F906" t="inlineStr">
        <is>
          <t>640105.xlsx</t>
        </is>
      </c>
      <c r="G906" t="inlineStr">
        <is>
          <t>2024-05</t>
        </is>
      </c>
      <c r="H906" t="inlineStr">
        <is>
          <t>2026-07</t>
        </is>
      </c>
      <c r="OA906" s="2">
        <v>-0.0021</v>
      </c>
      <c r="OB906" s="2">
        <v>0.0018</v>
      </c>
      <c r="OC906" s="2">
        <v>0.0008</v>
      </c>
      <c r="OD906" s="2">
        <v>-0.0017</v>
      </c>
      <c r="OE906" s="2">
        <v>-0.0009</v>
      </c>
      <c r="OF906" s="2">
        <v>0.003</v>
      </c>
      <c r="OG906" s="2">
        <v>-0.0017</v>
      </c>
      <c r="OH906" s="2">
        <v>-0.0017</v>
      </c>
      <c r="OM906" s="2">
        <v>0.0035</v>
      </c>
      <c r="ON906" s="2">
        <v>0.0018</v>
      </c>
      <c r="OO906" s="2">
        <v>-0.0002</v>
      </c>
      <c r="OP906" s="2">
        <v>-0.0019</v>
      </c>
      <c r="OQ906" s="2">
        <v>-0.0012</v>
      </c>
      <c r="OR906" s="2">
        <v>-0.0024</v>
      </c>
      <c r="OS906" s="2">
        <v>0.0012</v>
      </c>
      <c r="OT906" s="2">
        <v>-0.0025</v>
      </c>
      <c r="OU906" s="2">
        <v>0.0017</v>
      </c>
      <c r="OV906" s="2">
        <v>0.0027</v>
      </c>
      <c r="OW906" s="2">
        <v>-0.0028</v>
      </c>
      <c r="OX906" s="2">
        <v>0.0021</v>
      </c>
      <c r="PC906" s="2">
        <v>0.001</v>
      </c>
      <c r="PD906" s="2">
        <v>0.002</v>
      </c>
      <c r="PE906" s="2">
        <v>-0.0024</v>
      </c>
      <c r="PF906" s="2">
        <v>0.0012</v>
      </c>
      <c r="PG906" s="2">
        <v>0.0002</v>
      </c>
      <c r="PH906" s="2">
        <v>-0.0017</v>
      </c>
      <c r="PI906" s="2">
        <v>-0.0013</v>
      </c>
    </row>
    <row r="907">
      <c r="A907" t="inlineStr">
        <is>
          <t>A130397295X</t>
        </is>
      </c>
      <c r="B907" t="inlineStr">
        <is>
          <t>Contribution to All groups CPI Percentage Points Change from Previous Period ;  Accessories and clothing services ;  Australia ;</t>
        </is>
      </c>
      <c r="C907" t="inlineStr">
        <is>
          <t>Month</t>
        </is>
      </c>
      <c r="D907" t="inlineStr">
        <is>
          <t>% pts</t>
        </is>
      </c>
      <c r="E907" t="inlineStr">
        <is>
          <t>Original</t>
        </is>
      </c>
      <c r="F907" t="inlineStr">
        <is>
          <t>640105.xlsx</t>
        </is>
      </c>
      <c r="G907" t="inlineStr">
        <is>
          <t>2024-05</t>
        </is>
      </c>
      <c r="H907" t="inlineStr">
        <is>
          <t>2026-07</t>
        </is>
      </c>
      <c r="OA907" s="2">
        <v>0.009900000000000001</v>
      </c>
      <c r="OB907" s="2">
        <v>-0.0324</v>
      </c>
      <c r="OC907" s="2">
        <v>0.0328</v>
      </c>
      <c r="OD907" s="2">
        <v>-0.0083</v>
      </c>
      <c r="OE907" s="2">
        <v>0.022</v>
      </c>
      <c r="OF907" s="2">
        <v>-0.0047</v>
      </c>
      <c r="OG907" s="2">
        <v>-0.0515</v>
      </c>
      <c r="OH907" s="2">
        <v>0.0255</v>
      </c>
      <c r="OM907" s="2">
        <v>0.036</v>
      </c>
      <c r="ON907" s="2">
        <v>0.0021</v>
      </c>
      <c r="OO907" s="2">
        <v>-0.04</v>
      </c>
      <c r="OP907" s="2">
        <v>0.0283</v>
      </c>
      <c r="OQ907" s="2">
        <v>-0.008500000000000001</v>
      </c>
      <c r="OR907" s="2">
        <v>0.0187</v>
      </c>
      <c r="OS907" s="2">
        <v>0.0328</v>
      </c>
      <c r="OT907" s="2">
        <v>0.0134</v>
      </c>
      <c r="OU907" s="2">
        <v>0.0206</v>
      </c>
      <c r="OV907" s="2">
        <v>0.0131</v>
      </c>
      <c r="OW907" s="2">
        <v>-0.0319</v>
      </c>
      <c r="OX907" s="2">
        <v>-0.0028</v>
      </c>
      <c r="PC907" s="2">
        <v>0.0432</v>
      </c>
      <c r="PD907" s="2">
        <v>0.0074</v>
      </c>
      <c r="PE907" s="2">
        <v>-0.0048</v>
      </c>
      <c r="PF907" s="2">
        <v>0.0213</v>
      </c>
      <c r="PG907" s="2">
        <v>-0.0197</v>
      </c>
      <c r="PH907" s="2">
        <v>0.0313</v>
      </c>
      <c r="PI907" s="2">
        <v>0.0189</v>
      </c>
    </row>
    <row r="908">
      <c r="A908" t="inlineStr">
        <is>
          <t>A130396021W</t>
        </is>
      </c>
      <c r="B908" t="inlineStr">
        <is>
          <t>Contribution to All groups CPI Percentage Points Change from Previous Period ;  Accessories ;  Australia ;</t>
        </is>
      </c>
      <c r="C908" t="inlineStr">
        <is>
          <t>Month</t>
        </is>
      </c>
      <c r="D908" t="inlineStr">
        <is>
          <t>% pts</t>
        </is>
      </c>
      <c r="E908" t="inlineStr">
        <is>
          <t>Original</t>
        </is>
      </c>
      <c r="F908" t="inlineStr">
        <is>
          <t>640105.xlsx</t>
        </is>
      </c>
      <c r="G908" t="inlineStr">
        <is>
          <t>2024-05</t>
        </is>
      </c>
      <c r="H908" t="inlineStr">
        <is>
          <t>2026-07</t>
        </is>
      </c>
      <c r="OA908" s="2">
        <v>0.0098</v>
      </c>
      <c r="OB908" s="2">
        <v>-0.0325</v>
      </c>
      <c r="OC908" s="2">
        <v>0.0327</v>
      </c>
      <c r="OD908" s="2">
        <v>-0.008399999999999999</v>
      </c>
      <c r="OE908" s="2">
        <v>0.0219</v>
      </c>
      <c r="OF908" s="2">
        <v>-0.0049</v>
      </c>
      <c r="OG908" s="2">
        <v>-0.052</v>
      </c>
      <c r="OH908" s="2">
        <v>0.0253</v>
      </c>
      <c r="OM908" s="2">
        <v>0.0363</v>
      </c>
      <c r="ON908" s="2">
        <v>0.002</v>
      </c>
      <c r="OO908" s="2">
        <v>-0.0406</v>
      </c>
      <c r="OP908" s="2">
        <v>0.0278</v>
      </c>
      <c r="OQ908" s="2">
        <v>-0.008500000000000001</v>
      </c>
      <c r="OR908" s="2">
        <v>0.018</v>
      </c>
      <c r="OS908" s="2">
        <v>0.0325</v>
      </c>
      <c r="OT908" s="2">
        <v>0.0132</v>
      </c>
      <c r="OU908" s="2">
        <v>0.0205</v>
      </c>
      <c r="OV908" s="2">
        <v>0.0129</v>
      </c>
      <c r="OW908" s="2">
        <v>-0.0321</v>
      </c>
      <c r="OX908" s="2">
        <v>-0.0028</v>
      </c>
      <c r="PC908" s="2">
        <v>0.043</v>
      </c>
      <c r="PD908" s="2">
        <v>0.0074</v>
      </c>
      <c r="PE908" s="2">
        <v>-0.0051</v>
      </c>
      <c r="PF908" s="2">
        <v>0.0208</v>
      </c>
      <c r="PG908" s="2">
        <v>-0.0198</v>
      </c>
      <c r="PH908" s="2">
        <v>0.0312</v>
      </c>
      <c r="PI908" s="2">
        <v>0.0182</v>
      </c>
    </row>
    <row r="909">
      <c r="A909" t="inlineStr">
        <is>
          <t>A130399483V</t>
        </is>
      </c>
      <c r="B909" t="inlineStr">
        <is>
          <t>Contribution to All groups CPI Percentage Points Change from Previous Period ;  Cleaning, repair and hire of clothing and footwear ;  Australia ;</t>
        </is>
      </c>
      <c r="C909" t="inlineStr">
        <is>
          <t>Month</t>
        </is>
      </c>
      <c r="D909" t="inlineStr">
        <is>
          <t>% pts</t>
        </is>
      </c>
      <c r="E909" t="inlineStr">
        <is>
          <t>Original</t>
        </is>
      </c>
      <c r="F909" t="inlineStr">
        <is>
          <t>640105.xlsx</t>
        </is>
      </c>
      <c r="G909" t="inlineStr">
        <is>
          <t>2024-05</t>
        </is>
      </c>
      <c r="H909" t="inlineStr">
        <is>
          <t>2026-07</t>
        </is>
      </c>
      <c r="OA909" s="2">
        <v>0.0001</v>
      </c>
      <c r="OB909" s="2">
        <v>0.0001</v>
      </c>
      <c r="OC909" s="2">
        <v>0.0001</v>
      </c>
      <c r="OD909" s="2">
        <v>0.0001</v>
      </c>
      <c r="OE909" s="2">
        <v>0.0001</v>
      </c>
      <c r="OF909" s="2">
        <v>0.0003</v>
      </c>
      <c r="OG909" s="2">
        <v>0.0005</v>
      </c>
      <c r="OH909" s="2">
        <v>0.0002</v>
      </c>
      <c r="OM909" s="2">
        <v>-0.0003</v>
      </c>
      <c r="ON909" s="2">
        <v>0.0001</v>
      </c>
      <c r="OO909" s="2">
        <v>0.0005999999999999999</v>
      </c>
      <c r="OP909" s="2">
        <v>0.0005</v>
      </c>
      <c r="OQ909" s="2">
        <v>0</v>
      </c>
      <c r="OR909" s="2">
        <v>0.0005999999999999999</v>
      </c>
      <c r="OS909" s="2">
        <v>0.0003</v>
      </c>
      <c r="OT909" s="2">
        <v>0.0002</v>
      </c>
      <c r="OU909" s="2">
        <v>0.0001</v>
      </c>
      <c r="OV909" s="2">
        <v>0.0002</v>
      </c>
      <c r="OW909" s="2">
        <v>0.0003</v>
      </c>
      <c r="OX909" s="2">
        <v>0</v>
      </c>
      <c r="PC909" s="2">
        <v>0.0001</v>
      </c>
      <c r="PD909" s="2">
        <v>0</v>
      </c>
      <c r="PE909" s="2">
        <v>0.0002</v>
      </c>
      <c r="PF909" s="2">
        <v>0.0005</v>
      </c>
      <c r="PG909" s="2">
        <v>0.0001</v>
      </c>
      <c r="PH909" s="2">
        <v>0.0001</v>
      </c>
      <c r="PI909" s="2">
        <v>0.0007</v>
      </c>
    </row>
    <row r="910">
      <c r="A910" t="inlineStr">
        <is>
          <t>A130399189F</t>
        </is>
      </c>
      <c r="B910" t="inlineStr">
        <is>
          <t>Contribution to All groups CPI Percentage Points Change from Previous Period ;  Housing ;  Australia ;</t>
        </is>
      </c>
      <c r="C910" t="inlineStr">
        <is>
          <t>Month</t>
        </is>
      </c>
      <c r="D910" t="inlineStr">
        <is>
          <t>% pts</t>
        </is>
      </c>
      <c r="E910" t="inlineStr">
        <is>
          <t>Original</t>
        </is>
      </c>
      <c r="F910" t="inlineStr">
        <is>
          <t>640105.xlsx</t>
        </is>
      </c>
      <c r="G910" t="inlineStr">
        <is>
          <t>2024-05</t>
        </is>
      </c>
      <c r="H910" t="inlineStr">
        <is>
          <t>2026-07</t>
        </is>
      </c>
      <c r="OA910" s="2">
        <v>0.1067</v>
      </c>
      <c r="OB910" s="2">
        <v>0.1052</v>
      </c>
      <c r="OC910" s="2">
        <v>0.003</v>
      </c>
      <c r="OD910" s="2">
        <v>-0.2711</v>
      </c>
      <c r="OE910" s="2">
        <v>-0.0755</v>
      </c>
      <c r="OF910" s="2">
        <v>-0.2183</v>
      </c>
      <c r="OG910" s="2">
        <v>0.377</v>
      </c>
      <c r="OH910" s="2">
        <v>-0.0291</v>
      </c>
      <c r="OM910" s="2">
        <v>0.202</v>
      </c>
      <c r="ON910" s="2">
        <v>-0.0281</v>
      </c>
      <c r="OO910" s="2">
        <v>0.1928</v>
      </c>
      <c r="OP910" s="2">
        <v>0.0948</v>
      </c>
      <c r="OQ910" s="2">
        <v>0.0507</v>
      </c>
      <c r="OR910" s="2">
        <v>0.0314</v>
      </c>
      <c r="OS910" s="2">
        <v>0.4616</v>
      </c>
      <c r="OT910" s="2">
        <v>-0.1009</v>
      </c>
      <c r="OU910" s="2">
        <v>0.1669</v>
      </c>
      <c r="OV910" s="2">
        <v>-0.1832</v>
      </c>
      <c r="OW910" s="2">
        <v>0.2434</v>
      </c>
      <c r="OX910" s="2">
        <v>0.0306</v>
      </c>
      <c r="PC910" s="2">
        <v>0.4726</v>
      </c>
      <c r="PD910" s="2">
        <v>0.0633</v>
      </c>
      <c r="PE910" s="2">
        <v>0.0517</v>
      </c>
      <c r="PF910" s="2">
        <v>0.0429</v>
      </c>
      <c r="PG910" s="2">
        <v>0.1002</v>
      </c>
      <c r="PH910" s="2">
        <v>0.0998</v>
      </c>
      <c r="PI910" s="2">
        <v>0.0948</v>
      </c>
    </row>
    <row r="911">
      <c r="A911" t="inlineStr">
        <is>
          <t>A130390099L</t>
        </is>
      </c>
      <c r="B911" t="inlineStr">
        <is>
          <t>Contribution to All groups CPI Percentage Points Change from Previous Period ;  Rents ;  Australia ;</t>
        </is>
      </c>
      <c r="C911" t="inlineStr">
        <is>
          <t>Month</t>
        </is>
      </c>
      <c r="D911" t="inlineStr">
        <is>
          <t>% pts</t>
        </is>
      </c>
      <c r="E911" t="inlineStr">
        <is>
          <t>Original</t>
        </is>
      </c>
      <c r="F911" t="inlineStr">
        <is>
          <t>640105.xlsx</t>
        </is>
      </c>
      <c r="G911" t="inlineStr">
        <is>
          <t>2024-05</t>
        </is>
      </c>
      <c r="H911" t="inlineStr">
        <is>
          <t>2026-07</t>
        </is>
      </c>
      <c r="OA911" s="2">
        <v>0.047</v>
      </c>
      <c r="OB911" s="2">
        <v>0.0378</v>
      </c>
      <c r="OC911" s="2">
        <v>0.0381</v>
      </c>
      <c r="OD911" s="2">
        <v>0.0348</v>
      </c>
      <c r="OE911" s="2">
        <v>0.0077</v>
      </c>
      <c r="OF911" s="2">
        <v>-0.0136</v>
      </c>
      <c r="OG911" s="2">
        <v>0.0349</v>
      </c>
      <c r="OH911" s="2">
        <v>0.0212</v>
      </c>
      <c r="OM911" s="2">
        <v>0.025</v>
      </c>
      <c r="ON911" s="2">
        <v>0.0309</v>
      </c>
      <c r="OO911" s="2">
        <v>0.0209</v>
      </c>
      <c r="OP911" s="2">
        <v>0.0209</v>
      </c>
      <c r="OQ911" s="2">
        <v>0.0248</v>
      </c>
      <c r="OR911" s="2">
        <v>0.02</v>
      </c>
      <c r="OS911" s="2">
        <v>0.0222</v>
      </c>
      <c r="OT911" s="2">
        <v>0.0215</v>
      </c>
      <c r="OU911" s="2">
        <v>0.0155</v>
      </c>
      <c r="OV911" s="2">
        <v>0.012</v>
      </c>
      <c r="OW911" s="2">
        <v>0.0266</v>
      </c>
      <c r="OX911" s="2">
        <v>0.0163</v>
      </c>
      <c r="PC911" s="2">
        <v>0.0208</v>
      </c>
      <c r="PD911" s="2">
        <v>0.0242</v>
      </c>
      <c r="PE911" s="2">
        <v>0.0137</v>
      </c>
      <c r="PF911" s="2">
        <v>0.0113</v>
      </c>
      <c r="PG911" s="2">
        <v>0.0276</v>
      </c>
      <c r="PH911" s="2">
        <v>0.0204</v>
      </c>
      <c r="PI911" s="2">
        <v>0.0234</v>
      </c>
    </row>
    <row r="912">
      <c r="A912" t="inlineStr">
        <is>
          <t>A130397975C</t>
        </is>
      </c>
      <c r="B912" t="inlineStr">
        <is>
          <t>Contribution to All groups CPI Percentage Points Change from Previous Period ;  Rents ;  Australia ;</t>
        </is>
      </c>
      <c r="C912" t="inlineStr">
        <is>
          <t>Month</t>
        </is>
      </c>
      <c r="D912" t="inlineStr">
        <is>
          <t>% pts</t>
        </is>
      </c>
      <c r="E912" t="inlineStr">
        <is>
          <t>Original</t>
        </is>
      </c>
      <c r="F912" t="inlineStr">
        <is>
          <t>640105.xlsx</t>
        </is>
      </c>
      <c r="G912" t="inlineStr">
        <is>
          <t>2024-05</t>
        </is>
      </c>
      <c r="H912" t="inlineStr">
        <is>
          <t>2026-07</t>
        </is>
      </c>
      <c r="OA912" s="2">
        <v>0.047</v>
      </c>
      <c r="OB912" s="2">
        <v>0.0378</v>
      </c>
      <c r="OC912" s="2">
        <v>0.0381</v>
      </c>
      <c r="OD912" s="2">
        <v>0.0348</v>
      </c>
      <c r="OE912" s="2">
        <v>0.0077</v>
      </c>
      <c r="OF912" s="2">
        <v>-0.0136</v>
      </c>
      <c r="OG912" s="2">
        <v>0.0349</v>
      </c>
      <c r="OH912" s="2">
        <v>0.0212</v>
      </c>
      <c r="OM912" s="2">
        <v>0.025</v>
      </c>
      <c r="ON912" s="2">
        <v>0.0309</v>
      </c>
      <c r="OO912" s="2">
        <v>0.0209</v>
      </c>
      <c r="OP912" s="2">
        <v>0.0209</v>
      </c>
      <c r="OQ912" s="2">
        <v>0.0248</v>
      </c>
      <c r="OR912" s="2">
        <v>0.02</v>
      </c>
      <c r="OS912" s="2">
        <v>0.0222</v>
      </c>
      <c r="OT912" s="2">
        <v>0.0215</v>
      </c>
      <c r="OU912" s="2">
        <v>0.0155</v>
      </c>
      <c r="OV912" s="2">
        <v>0.012</v>
      </c>
      <c r="OW912" s="2">
        <v>0.0266</v>
      </c>
      <c r="OX912" s="2">
        <v>0.0163</v>
      </c>
      <c r="PC912" s="2">
        <v>0.0208</v>
      </c>
      <c r="PD912" s="2">
        <v>0.0242</v>
      </c>
      <c r="PE912" s="2">
        <v>0.0137</v>
      </c>
      <c r="PF912" s="2">
        <v>0.0113</v>
      </c>
      <c r="PG912" s="2">
        <v>0.0276</v>
      </c>
      <c r="PH912" s="2">
        <v>0.0204</v>
      </c>
      <c r="PI912" s="2">
        <v>0.0234</v>
      </c>
    </row>
    <row r="913">
      <c r="A913" t="inlineStr">
        <is>
          <t>A130391541K</t>
        </is>
      </c>
      <c r="B913" t="inlineStr">
        <is>
          <t>Contribution to All groups CPI Percentage Points Change from Previous Period ;  New dwelling purchase by owner-occupiers ;  Australia ;</t>
        </is>
      </c>
      <c r="C913" t="inlineStr">
        <is>
          <t>Month</t>
        </is>
      </c>
      <c r="D913" t="inlineStr">
        <is>
          <t>% pts</t>
        </is>
      </c>
      <c r="E913" t="inlineStr">
        <is>
          <t>Original</t>
        </is>
      </c>
      <c r="F913" t="inlineStr">
        <is>
          <t>640105.xlsx</t>
        </is>
      </c>
      <c r="G913" t="inlineStr">
        <is>
          <t>2024-05</t>
        </is>
      </c>
      <c r="H913" t="inlineStr">
        <is>
          <t>2026-07</t>
        </is>
      </c>
      <c r="OA913" s="2">
        <v>0.0395</v>
      </c>
      <c r="OB913" s="2">
        <v>0.0436</v>
      </c>
      <c r="OC913" s="2">
        <v>0.0317</v>
      </c>
      <c r="OD913" s="2">
        <v>0.0197</v>
      </c>
      <c r="OE913" s="2">
        <v>-0.0152</v>
      </c>
      <c r="OF913" s="2">
        <v>0.0144</v>
      </c>
      <c r="OG913" s="2">
        <v>-0.0455</v>
      </c>
      <c r="OH913" s="2">
        <v>-0.0008</v>
      </c>
      <c r="OM913" s="2">
        <v>-0.0064</v>
      </c>
      <c r="ON913" s="2">
        <v>-0.0065</v>
      </c>
      <c r="OO913" s="2">
        <v>-0.0201</v>
      </c>
      <c r="OP913" s="2">
        <v>0.0441</v>
      </c>
      <c r="OQ913" s="2">
        <v>0.0011</v>
      </c>
      <c r="OR913" s="2">
        <v>0.0139</v>
      </c>
      <c r="OS913" s="2">
        <v>0.0338</v>
      </c>
      <c r="OT913" s="2">
        <v>0.0326</v>
      </c>
      <c r="OU913" s="2">
        <v>0.0495</v>
      </c>
      <c r="OV913" s="2">
        <v>0.0297</v>
      </c>
      <c r="OW913" s="2">
        <v>0.0372</v>
      </c>
      <c r="OX913" s="2">
        <v>0.0132</v>
      </c>
      <c r="PC913" s="2">
        <v>0.0299</v>
      </c>
      <c r="PD913" s="2">
        <v>0.0106</v>
      </c>
      <c r="PE913" s="2">
        <v>0.0366</v>
      </c>
      <c r="PF913" s="2">
        <v>0.0532</v>
      </c>
      <c r="PG913" s="2">
        <v>0.06560000000000001</v>
      </c>
      <c r="PH913" s="2">
        <v>0.0282</v>
      </c>
      <c r="PI913" s="2">
        <v>0.0287</v>
      </c>
    </row>
    <row r="914">
      <c r="A914" t="inlineStr">
        <is>
          <t>A130399777A</t>
        </is>
      </c>
      <c r="B914" t="inlineStr">
        <is>
          <t>Contribution to All groups CPI Percentage Points Change from Previous Period ;  New dwelling purchase by owner-occupiers ;  Australia ;</t>
        </is>
      </c>
      <c r="C914" t="inlineStr">
        <is>
          <t>Month</t>
        </is>
      </c>
      <c r="D914" t="inlineStr">
        <is>
          <t>% pts</t>
        </is>
      </c>
      <c r="E914" t="inlineStr">
        <is>
          <t>Original</t>
        </is>
      </c>
      <c r="F914" t="inlineStr">
        <is>
          <t>640105.xlsx</t>
        </is>
      </c>
      <c r="G914" t="inlineStr">
        <is>
          <t>2024-05</t>
        </is>
      </c>
      <c r="H914" t="inlineStr">
        <is>
          <t>2026-07</t>
        </is>
      </c>
      <c r="OA914" s="2">
        <v>0.0395</v>
      </c>
      <c r="OB914" s="2">
        <v>0.0436</v>
      </c>
      <c r="OC914" s="2">
        <v>0.0317</v>
      </c>
      <c r="OD914" s="2">
        <v>0.0197</v>
      </c>
      <c r="OE914" s="2">
        <v>-0.0152</v>
      </c>
      <c r="OF914" s="2">
        <v>0.0144</v>
      </c>
      <c r="OG914" s="2">
        <v>-0.0455</v>
      </c>
      <c r="OH914" s="2">
        <v>-0.0008</v>
      </c>
      <c r="OM914" s="2">
        <v>-0.0064</v>
      </c>
      <c r="ON914" s="2">
        <v>-0.0065</v>
      </c>
      <c r="OO914" s="2">
        <v>-0.0201</v>
      </c>
      <c r="OP914" s="2">
        <v>0.0441</v>
      </c>
      <c r="OQ914" s="2">
        <v>0.0011</v>
      </c>
      <c r="OR914" s="2">
        <v>0.0139</v>
      </c>
      <c r="OS914" s="2">
        <v>0.0338</v>
      </c>
      <c r="OT914" s="2">
        <v>0.0326</v>
      </c>
      <c r="OU914" s="2">
        <v>0.0495</v>
      </c>
      <c r="OV914" s="2">
        <v>0.0297</v>
      </c>
      <c r="OW914" s="2">
        <v>0.0372</v>
      </c>
      <c r="OX914" s="2">
        <v>0.0132</v>
      </c>
      <c r="PC914" s="2">
        <v>0.0299</v>
      </c>
      <c r="PD914" s="2">
        <v>0.0106</v>
      </c>
      <c r="PE914" s="2">
        <v>0.0366</v>
      </c>
      <c r="PF914" s="2">
        <v>0.0532</v>
      </c>
      <c r="PG914" s="2">
        <v>0.06560000000000001</v>
      </c>
      <c r="PH914" s="2">
        <v>0.0282</v>
      </c>
      <c r="PI914" s="2">
        <v>0.0287</v>
      </c>
    </row>
    <row r="915">
      <c r="A915" t="inlineStr">
        <is>
          <t>A130397849R</t>
        </is>
      </c>
      <c r="B915" t="inlineStr">
        <is>
          <t>Contribution to All groups CPI Percentage Points Change from Previous Period ;  Other housing ;  Australia ;</t>
        </is>
      </c>
      <c r="C915" t="inlineStr">
        <is>
          <t>Month</t>
        </is>
      </c>
      <c r="D915" t="inlineStr">
        <is>
          <t>% pts</t>
        </is>
      </c>
      <c r="E915" t="inlineStr">
        <is>
          <t>Original</t>
        </is>
      </c>
      <c r="F915" t="inlineStr">
        <is>
          <t>640105.xlsx</t>
        </is>
      </c>
      <c r="G915" t="inlineStr">
        <is>
          <t>2024-05</t>
        </is>
      </c>
      <c r="H915" t="inlineStr">
        <is>
          <t>2026-07</t>
        </is>
      </c>
      <c r="OA915" s="2">
        <v>0.0098</v>
      </c>
      <c r="OB915" s="2">
        <v>-0.0007</v>
      </c>
      <c r="OC915" s="2">
        <v>0.0114</v>
      </c>
      <c r="OD915" s="2">
        <v>-0.0034</v>
      </c>
      <c r="OE915" s="2">
        <v>0.0735</v>
      </c>
      <c r="OF915" s="2">
        <v>0.0134</v>
      </c>
      <c r="OG915" s="2">
        <v>0.0048</v>
      </c>
      <c r="OH915" s="2">
        <v>-0.0046</v>
      </c>
      <c r="OM915" s="2">
        <v>0.0111</v>
      </c>
      <c r="ON915" s="2">
        <v>-0.0018</v>
      </c>
      <c r="OO915" s="2">
        <v>0.007</v>
      </c>
      <c r="OP915" s="2">
        <v>0.0032</v>
      </c>
      <c r="OQ915" s="2">
        <v>0.0012</v>
      </c>
      <c r="OR915" s="2">
        <v>0.0021</v>
      </c>
      <c r="OS915" s="2">
        <v>0.0173</v>
      </c>
      <c r="OT915" s="2">
        <v>0.0028</v>
      </c>
      <c r="OU915" s="2">
        <v>0.09</v>
      </c>
      <c r="OV915" s="2">
        <v>0.0162</v>
      </c>
      <c r="OW915" s="2">
        <v>0.0023</v>
      </c>
      <c r="OX915" s="2">
        <v>0.0013</v>
      </c>
      <c r="PC915" s="2">
        <v>0.0048</v>
      </c>
      <c r="PD915" s="2">
        <v>0.0029</v>
      </c>
      <c r="PE915" s="2">
        <v>0.0014</v>
      </c>
      <c r="PF915" s="2">
        <v>0.008399999999999999</v>
      </c>
      <c r="PG915" s="2">
        <v>0.013</v>
      </c>
      <c r="PH915" s="2">
        <v>0.008200000000000001</v>
      </c>
      <c r="PI915" s="2">
        <v>0.008800000000000001</v>
      </c>
    </row>
    <row r="916">
      <c r="A916" t="inlineStr">
        <is>
          <t>A130394593T</t>
        </is>
      </c>
      <c r="B916" t="inlineStr">
        <is>
          <t>Contribution to All groups CPI Percentage Points Change from Previous Period ;  Maintenance and repair of the dwelling ;  Australia ;</t>
        </is>
      </c>
      <c r="C916" t="inlineStr">
        <is>
          <t>Month</t>
        </is>
      </c>
      <c r="D916" t="inlineStr">
        <is>
          <t>% pts</t>
        </is>
      </c>
      <c r="E916" t="inlineStr">
        <is>
          <t>Original</t>
        </is>
      </c>
      <c r="F916" t="inlineStr">
        <is>
          <t>640105.xlsx</t>
        </is>
      </c>
      <c r="G916" t="inlineStr">
        <is>
          <t>2024-05</t>
        </is>
      </c>
      <c r="H916" t="inlineStr">
        <is>
          <t>2026-07</t>
        </is>
      </c>
      <c r="OA916" s="2">
        <v>0.0098</v>
      </c>
      <c r="OB916" s="2">
        <v>-0.0007</v>
      </c>
      <c r="OC916" s="2">
        <v>0.0114</v>
      </c>
      <c r="OD916" s="2">
        <v>-0.0034</v>
      </c>
      <c r="OE916" s="2">
        <v>0.0037</v>
      </c>
      <c r="OF916" s="2">
        <v>0.0134</v>
      </c>
      <c r="OG916" s="2">
        <v>0.0048</v>
      </c>
      <c r="OH916" s="2">
        <v>-0.0046</v>
      </c>
      <c r="OM916" s="2">
        <v>0.0111</v>
      </c>
      <c r="ON916" s="2">
        <v>-0.0018</v>
      </c>
      <c r="OO916" s="2">
        <v>0.007</v>
      </c>
      <c r="OP916" s="2">
        <v>0.0032</v>
      </c>
      <c r="OQ916" s="2">
        <v>0.0012</v>
      </c>
      <c r="OR916" s="2">
        <v>0.0021</v>
      </c>
      <c r="OS916" s="2">
        <v>0.0173</v>
      </c>
      <c r="OT916" s="2">
        <v>0.0028</v>
      </c>
      <c r="OU916" s="2">
        <v>0.0005</v>
      </c>
      <c r="OV916" s="2">
        <v>0.0162</v>
      </c>
      <c r="OW916" s="2">
        <v>0.0023</v>
      </c>
      <c r="OX916" s="2">
        <v>0.0013</v>
      </c>
      <c r="PC916" s="2">
        <v>0.0048</v>
      </c>
      <c r="PD916" s="2">
        <v>0.0029</v>
      </c>
      <c r="PE916" s="2">
        <v>0.0014</v>
      </c>
      <c r="PF916" s="2">
        <v>0.008399999999999999</v>
      </c>
      <c r="PG916" s="2">
        <v>0.013</v>
      </c>
      <c r="PH916" s="2">
        <v>0.008200000000000001</v>
      </c>
      <c r="PI916" s="2">
        <v>0.008800000000000001</v>
      </c>
    </row>
    <row r="917">
      <c r="A917" t="inlineStr">
        <is>
          <t>A130399784X</t>
        </is>
      </c>
      <c r="B917" t="inlineStr">
        <is>
          <t>Contribution to All groups CPI Percentage Points Change from Previous Period ;  Property rates and charges ;  Australia ;</t>
        </is>
      </c>
      <c r="C917" t="inlineStr">
        <is>
          <t>Month</t>
        </is>
      </c>
      <c r="D917" t="inlineStr">
        <is>
          <t>% pts</t>
        </is>
      </c>
      <c r="E917" t="inlineStr">
        <is>
          <t>Original</t>
        </is>
      </c>
      <c r="F917" t="inlineStr">
        <is>
          <t>640105.xlsx</t>
        </is>
      </c>
      <c r="G917" t="inlineStr">
        <is>
          <t>2024-05</t>
        </is>
      </c>
      <c r="H917" t="inlineStr">
        <is>
          <t>2026-07</t>
        </is>
      </c>
      <c r="OA917" s="2">
        <v>0</v>
      </c>
      <c r="OB917" s="2">
        <v>0</v>
      </c>
      <c r="OC917" s="2">
        <v>0</v>
      </c>
      <c r="OD917" s="2">
        <v>0</v>
      </c>
      <c r="OE917" s="2">
        <v>0.0698</v>
      </c>
      <c r="OF917" s="2">
        <v>0</v>
      </c>
      <c r="OG917" s="2">
        <v>0</v>
      </c>
      <c r="OH917" s="2">
        <v>0</v>
      </c>
      <c r="OM917" s="2">
        <v>0</v>
      </c>
      <c r="ON917" s="2">
        <v>0</v>
      </c>
      <c r="OO917" s="2">
        <v>0</v>
      </c>
      <c r="OP917" s="2">
        <v>0</v>
      </c>
      <c r="OQ917" s="2">
        <v>0</v>
      </c>
      <c r="OR917" s="2">
        <v>0</v>
      </c>
      <c r="OS917" s="2">
        <v>0</v>
      </c>
      <c r="OT917" s="2">
        <v>0</v>
      </c>
      <c r="OU917" s="2">
        <v>0.0895</v>
      </c>
      <c r="OV917" s="2">
        <v>0</v>
      </c>
      <c r="OW917" s="2">
        <v>0</v>
      </c>
      <c r="OX917" s="2">
        <v>0</v>
      </c>
      <c r="PC917" s="2">
        <v>0</v>
      </c>
      <c r="PD917" s="2">
        <v>0</v>
      </c>
      <c r="PE917" s="2">
        <v>0</v>
      </c>
      <c r="PF917" s="2">
        <v>0</v>
      </c>
      <c r="PG917" s="2">
        <v>0</v>
      </c>
      <c r="PH917" s="2">
        <v>0</v>
      </c>
      <c r="PI917" s="2">
        <v>0</v>
      </c>
    </row>
    <row r="918">
      <c r="A918" t="inlineStr">
        <is>
          <t>A130393095J</t>
        </is>
      </c>
      <c r="B918" t="inlineStr">
        <is>
          <t>Contribution to All groups CPI Percentage Points Change from Previous Period ;  Utilities ;  Australia ;</t>
        </is>
      </c>
      <c r="C918" t="inlineStr">
        <is>
          <t>Month</t>
        </is>
      </c>
      <c r="D918" t="inlineStr">
        <is>
          <t>% pts</t>
        </is>
      </c>
      <c r="E918" t="inlineStr">
        <is>
          <t>Original</t>
        </is>
      </c>
      <c r="F918" t="inlineStr">
        <is>
          <t>640105.xlsx</t>
        </is>
      </c>
      <c r="G918" t="inlineStr">
        <is>
          <t>2024-05</t>
        </is>
      </c>
      <c r="H918" t="inlineStr">
        <is>
          <t>2026-07</t>
        </is>
      </c>
      <c r="OA918" s="2">
        <v>0.0105</v>
      </c>
      <c r="OB918" s="2">
        <v>0.0245</v>
      </c>
      <c r="OC918" s="2">
        <v>-0.07820000000000001</v>
      </c>
      <c r="OD918" s="2">
        <v>-0.3223</v>
      </c>
      <c r="OE918" s="2">
        <v>-0.1416</v>
      </c>
      <c r="OF918" s="2">
        <v>-0.2325</v>
      </c>
      <c r="OG918" s="2">
        <v>0.3828</v>
      </c>
      <c r="OH918" s="2">
        <v>-0.0449</v>
      </c>
      <c r="OM918" s="2">
        <v>0.1723</v>
      </c>
      <c r="ON918" s="2">
        <v>-0.0507</v>
      </c>
      <c r="OO918" s="2">
        <v>0.185</v>
      </c>
      <c r="OP918" s="2">
        <v>0.0266</v>
      </c>
      <c r="OQ918" s="2">
        <v>0.0236</v>
      </c>
      <c r="OR918" s="2">
        <v>-0.0046</v>
      </c>
      <c r="OS918" s="2">
        <v>0.3883</v>
      </c>
      <c r="OT918" s="2">
        <v>-0.1577</v>
      </c>
      <c r="OU918" s="2">
        <v>0.012</v>
      </c>
      <c r="OV918" s="2">
        <v>-0.2411</v>
      </c>
      <c r="OW918" s="2">
        <v>0.1772</v>
      </c>
      <c r="OX918" s="2">
        <v>-0.0001</v>
      </c>
      <c r="PC918" s="2">
        <v>0.4172</v>
      </c>
      <c r="PD918" s="2">
        <v>0.0256</v>
      </c>
      <c r="PE918" s="2">
        <v>0</v>
      </c>
      <c r="PF918" s="2">
        <v>-0.03</v>
      </c>
      <c r="PG918" s="2">
        <v>-0.0059</v>
      </c>
      <c r="PH918" s="2">
        <v>0.043</v>
      </c>
      <c r="PI918" s="2">
        <v>0.0339</v>
      </c>
    </row>
    <row r="919">
      <c r="A919" t="inlineStr">
        <is>
          <t>A130391065J</t>
        </is>
      </c>
      <c r="B919" t="inlineStr">
        <is>
          <t>Contribution to All groups CPI Percentage Points Change from Previous Period ;  Water and sewerage ;  Australia ;</t>
        </is>
      </c>
      <c r="C919" t="inlineStr">
        <is>
          <t>Month</t>
        </is>
      </c>
      <c r="D919" t="inlineStr">
        <is>
          <t>% pts</t>
        </is>
      </c>
      <c r="E919" t="inlineStr">
        <is>
          <t>Original</t>
        </is>
      </c>
      <c r="F919" t="inlineStr">
        <is>
          <t>640105.xlsx</t>
        </is>
      </c>
      <c r="G919" t="inlineStr">
        <is>
          <t>2024-05</t>
        </is>
      </c>
      <c r="H919" t="inlineStr">
        <is>
          <t>2026-07</t>
        </is>
      </c>
      <c r="OA919" s="2">
        <v>0</v>
      </c>
      <c r="OB919" s="2">
        <v>0</v>
      </c>
      <c r="OC919" s="2">
        <v>0.0222</v>
      </c>
      <c r="OD919" s="2">
        <v>0</v>
      </c>
      <c r="OE919" s="2">
        <v>0</v>
      </c>
      <c r="OF919" s="2">
        <v>0</v>
      </c>
      <c r="OG919" s="2">
        <v>0</v>
      </c>
      <c r="OH919" s="2">
        <v>0</v>
      </c>
      <c r="OM919" s="2">
        <v>0</v>
      </c>
      <c r="ON919" s="2">
        <v>0</v>
      </c>
      <c r="OO919" s="2">
        <v>0</v>
      </c>
      <c r="OP919" s="2">
        <v>0</v>
      </c>
      <c r="OQ919" s="2">
        <v>0</v>
      </c>
      <c r="OR919" s="2">
        <v>0</v>
      </c>
      <c r="OS919" s="2">
        <v>0.0237</v>
      </c>
      <c r="OT919" s="2">
        <v>0</v>
      </c>
      <c r="OU919" s="2">
        <v>0</v>
      </c>
      <c r="OV919" s="2">
        <v>0.0367</v>
      </c>
      <c r="OW919" s="2">
        <v>0</v>
      </c>
      <c r="OX919" s="2">
        <v>0</v>
      </c>
      <c r="PC919" s="2">
        <v>0</v>
      </c>
      <c r="PD919" s="2">
        <v>0</v>
      </c>
      <c r="PE919" s="2">
        <v>0</v>
      </c>
      <c r="PF919" s="2">
        <v>0</v>
      </c>
      <c r="PG919" s="2">
        <v>0</v>
      </c>
      <c r="PH919" s="2">
        <v>0</v>
      </c>
      <c r="PI919" s="2">
        <v>0.0513</v>
      </c>
    </row>
    <row r="920">
      <c r="A920" t="inlineStr">
        <is>
          <t>A130390736T</t>
        </is>
      </c>
      <c r="B920" t="inlineStr">
        <is>
          <t>Contribution to All groups CPI Percentage Points Change from Previous Period ;  Electricity ;  Australia ;</t>
        </is>
      </c>
      <c r="C920" t="inlineStr">
        <is>
          <t>Month</t>
        </is>
      </c>
      <c r="D920" t="inlineStr">
        <is>
          <t>% pts</t>
        </is>
      </c>
      <c r="E920" t="inlineStr">
        <is>
          <t>Original</t>
        </is>
      </c>
      <c r="F920" t="inlineStr">
        <is>
          <t>640105.xlsx</t>
        </is>
      </c>
      <c r="G920" t="inlineStr">
        <is>
          <t>2024-05</t>
        </is>
      </c>
      <c r="H920" t="inlineStr">
        <is>
          <t>2026-07</t>
        </is>
      </c>
      <c r="OA920" s="2">
        <v>0.0341</v>
      </c>
      <c r="OB920" s="2">
        <v>0.0001</v>
      </c>
      <c r="OC920" s="2">
        <v>-0.1538</v>
      </c>
      <c r="OD920" s="2">
        <v>-0.3305</v>
      </c>
      <c r="OE920" s="2">
        <v>-0.1421</v>
      </c>
      <c r="OF920" s="2">
        <v>-0.22</v>
      </c>
      <c r="OG920" s="2">
        <v>0.3512</v>
      </c>
      <c r="OH920" s="2">
        <v>-0.0276</v>
      </c>
      <c r="OM920" s="2">
        <v>0.1715</v>
      </c>
      <c r="ON920" s="2">
        <v>-0.0524</v>
      </c>
      <c r="OO920" s="2">
        <v>0.187</v>
      </c>
      <c r="OP920" s="2">
        <v>0.0325</v>
      </c>
      <c r="OQ920" s="2">
        <v>0.0454</v>
      </c>
      <c r="OR920" s="2">
        <v>-0.0089</v>
      </c>
      <c r="OS920" s="2">
        <v>0.3073</v>
      </c>
      <c r="OT920" s="2">
        <v>-0.1598</v>
      </c>
      <c r="OU920" s="2">
        <v>-0.0106</v>
      </c>
      <c r="OV920" s="2">
        <v>-0.2414</v>
      </c>
      <c r="OW920" s="2">
        <v>0.1443</v>
      </c>
      <c r="OX920" s="2">
        <v>0.0003</v>
      </c>
      <c r="PC920" s="2">
        <v>0.4168</v>
      </c>
      <c r="PD920" s="2">
        <v>0.027</v>
      </c>
      <c r="PE920" s="2">
        <v>0</v>
      </c>
      <c r="PF920" s="2">
        <v>-0.0244</v>
      </c>
      <c r="PG920" s="2">
        <v>0.0238</v>
      </c>
      <c r="PH920" s="2">
        <v>0.0182</v>
      </c>
      <c r="PI920" s="2">
        <v>-0.0441</v>
      </c>
    </row>
    <row r="921">
      <c r="A921" t="inlineStr">
        <is>
          <t>A130392619T</t>
        </is>
      </c>
      <c r="B921" t="inlineStr">
        <is>
          <t>Contribution to All groups CPI Percentage Points Change from Previous Period ;  Gas and other household fuels ;  Australia ;</t>
        </is>
      </c>
      <c r="C921" t="inlineStr">
        <is>
          <t>Month</t>
        </is>
      </c>
      <c r="D921" t="inlineStr">
        <is>
          <t>% pts</t>
        </is>
      </c>
      <c r="E921" t="inlineStr">
        <is>
          <t>Original</t>
        </is>
      </c>
      <c r="F921" t="inlineStr">
        <is>
          <t>640105.xlsx</t>
        </is>
      </c>
      <c r="G921" t="inlineStr">
        <is>
          <t>2024-05</t>
        </is>
      </c>
      <c r="H921" t="inlineStr">
        <is>
          <t>2026-07</t>
        </is>
      </c>
      <c r="OA921" s="2">
        <v>-0.0236</v>
      </c>
      <c r="OB921" s="2">
        <v>0.0245</v>
      </c>
      <c r="OC921" s="2">
        <v>0.0534</v>
      </c>
      <c r="OD921" s="2">
        <v>0.008200000000000001</v>
      </c>
      <c r="OE921" s="2">
        <v>0.0005999999999999999</v>
      </c>
      <c r="OF921" s="2">
        <v>-0.0125</v>
      </c>
      <c r="OG921" s="2">
        <v>0.0316</v>
      </c>
      <c r="OH921" s="2">
        <v>-0.0173</v>
      </c>
      <c r="OM921" s="2">
        <v>0.0008</v>
      </c>
      <c r="ON921" s="2">
        <v>0.0016</v>
      </c>
      <c r="OO921" s="2">
        <v>-0.002</v>
      </c>
      <c r="OP921" s="2">
        <v>-0.0059</v>
      </c>
      <c r="OQ921" s="2">
        <v>-0.0219</v>
      </c>
      <c r="OR921" s="2">
        <v>0.0043</v>
      </c>
      <c r="OS921" s="2">
        <v>0.0573</v>
      </c>
      <c r="OT921" s="2">
        <v>0.0021</v>
      </c>
      <c r="OU921" s="2">
        <v>0.0226</v>
      </c>
      <c r="OV921" s="2">
        <v>-0.0364</v>
      </c>
      <c r="OW921" s="2">
        <v>0.0329</v>
      </c>
      <c r="OX921" s="2">
        <v>-0.0005</v>
      </c>
      <c r="PC921" s="2">
        <v>0.0004</v>
      </c>
      <c r="PD921" s="2">
        <v>-0.0014</v>
      </c>
      <c r="PE921" s="2">
        <v>0</v>
      </c>
      <c r="PF921" s="2">
        <v>-0.0057</v>
      </c>
      <c r="PG921" s="2">
        <v>-0.0297</v>
      </c>
      <c r="PH921" s="2">
        <v>0.0247</v>
      </c>
      <c r="PI921" s="2">
        <v>0.0267</v>
      </c>
    </row>
    <row r="922">
      <c r="A922" t="inlineStr">
        <is>
          <t>A130399203R</t>
        </is>
      </c>
      <c r="B922" t="inlineStr">
        <is>
          <t>Contribution to All groups CPI Percentage Points Change from Previous Period ;  Furnishings, household equipment and services ;  Australia ;</t>
        </is>
      </c>
      <c r="C922" t="inlineStr">
        <is>
          <t>Month</t>
        </is>
      </c>
      <c r="D922" t="inlineStr">
        <is>
          <t>% pts</t>
        </is>
      </c>
      <c r="E922" t="inlineStr">
        <is>
          <t>Original</t>
        </is>
      </c>
      <c r="F922" t="inlineStr">
        <is>
          <t>640105.xlsx</t>
        </is>
      </c>
      <c r="G922" t="inlineStr">
        <is>
          <t>2024-05</t>
        </is>
      </c>
      <c r="H922" t="inlineStr">
        <is>
          <t>2026-07</t>
        </is>
      </c>
      <c r="OA922" s="2">
        <v>-0.0032</v>
      </c>
      <c r="OB922" s="2">
        <v>-0.1098</v>
      </c>
      <c r="OC922" s="2">
        <v>0.1557</v>
      </c>
      <c r="OD922" s="2">
        <v>0.076</v>
      </c>
      <c r="OE922" s="2">
        <v>-0.0322</v>
      </c>
      <c r="OF922" s="2">
        <v>0.0356</v>
      </c>
      <c r="OG922" s="2">
        <v>-0.015</v>
      </c>
      <c r="OH922" s="2">
        <v>-0.0728</v>
      </c>
      <c r="OM922" s="2">
        <v>0.0168</v>
      </c>
      <c r="ON922" s="2">
        <v>0.07820000000000001</v>
      </c>
      <c r="OO922" s="2">
        <v>-0.0213</v>
      </c>
      <c r="OP922" s="2">
        <v>0.0372</v>
      </c>
      <c r="OQ922" s="2">
        <v>-0.031</v>
      </c>
      <c r="OR922" s="2">
        <v>-0.0861</v>
      </c>
      <c r="OS922" s="2">
        <v>0.1579</v>
      </c>
      <c r="OT922" s="2">
        <v>0.0623</v>
      </c>
      <c r="OU922" s="2">
        <v>-0.0258</v>
      </c>
      <c r="OV922" s="2">
        <v>0.0564</v>
      </c>
      <c r="OW922" s="2">
        <v>-0.0747</v>
      </c>
      <c r="OX922" s="2">
        <v>-0.0113</v>
      </c>
      <c r="PC922" s="2">
        <v>-0.0326</v>
      </c>
      <c r="PD922" s="2">
        <v>0.0723</v>
      </c>
      <c r="PE922" s="2">
        <v>-0.0169</v>
      </c>
      <c r="PF922" s="2">
        <v>0.0256</v>
      </c>
      <c r="PG922" s="2">
        <v>0.0035</v>
      </c>
      <c r="PH922" s="2">
        <v>-0.093</v>
      </c>
      <c r="PI922" s="2">
        <v>0.1541</v>
      </c>
    </row>
    <row r="923">
      <c r="A923" t="inlineStr">
        <is>
          <t>A130397800A</t>
        </is>
      </c>
      <c r="B923" t="inlineStr">
        <is>
          <t>Contribution to All groups CPI Percentage Points Change from Previous Period ;  Furniture and furnishings ;  Australia ;</t>
        </is>
      </c>
      <c r="C923" t="inlineStr">
        <is>
          <t>Month</t>
        </is>
      </c>
      <c r="D923" t="inlineStr">
        <is>
          <t>% pts</t>
        </is>
      </c>
      <c r="E923" t="inlineStr">
        <is>
          <t>Original</t>
        </is>
      </c>
      <c r="F923" t="inlineStr">
        <is>
          <t>640105.xlsx</t>
        </is>
      </c>
      <c r="G923" t="inlineStr">
        <is>
          <t>2024-05</t>
        </is>
      </c>
      <c r="H923" t="inlineStr">
        <is>
          <t>2026-07</t>
        </is>
      </c>
      <c r="OA923" s="2">
        <v>0.0037</v>
      </c>
      <c r="OB923" s="2">
        <v>-0.0576</v>
      </c>
      <c r="OC923" s="2">
        <v>0.0689</v>
      </c>
      <c r="OD923" s="2">
        <v>-0.0095</v>
      </c>
      <c r="OE923" s="2">
        <v>0.0175</v>
      </c>
      <c r="OF923" s="2">
        <v>0.027</v>
      </c>
      <c r="OG923" s="2">
        <v>-0.0466</v>
      </c>
      <c r="OH923" s="2">
        <v>0.0005</v>
      </c>
      <c r="OM923" s="2">
        <v>-0.0242</v>
      </c>
      <c r="ON923" s="2">
        <v>0.0588</v>
      </c>
      <c r="OO923" s="2">
        <v>-0.0191</v>
      </c>
      <c r="OP923" s="2">
        <v>-0.0036</v>
      </c>
      <c r="OQ923" s="2">
        <v>-0.0183</v>
      </c>
      <c r="OR923" s="2">
        <v>-0.0389</v>
      </c>
      <c r="OS923" s="2">
        <v>0.0609</v>
      </c>
      <c r="OT923" s="2">
        <v>-0.0182</v>
      </c>
      <c r="OU923" s="2">
        <v>0.0292</v>
      </c>
      <c r="OV923" s="2">
        <v>0.0283</v>
      </c>
      <c r="OW923" s="2">
        <v>-0.0564</v>
      </c>
      <c r="OX923" s="2">
        <v>0.0141</v>
      </c>
      <c r="PC923" s="2">
        <v>-0.0506</v>
      </c>
      <c r="PD923" s="2">
        <v>0.0529</v>
      </c>
      <c r="PE923" s="2">
        <v>0.0041</v>
      </c>
      <c r="PF923" s="2">
        <v>-0.0046</v>
      </c>
      <c r="PG923" s="2">
        <v>0.0041</v>
      </c>
      <c r="PH923" s="2">
        <v>-0.0584</v>
      </c>
      <c r="PI923" s="2">
        <v>0.0586</v>
      </c>
    </row>
    <row r="924">
      <c r="A924" t="inlineStr">
        <is>
          <t>A130394600C</t>
        </is>
      </c>
      <c r="B924" t="inlineStr">
        <is>
          <t>Contribution to All groups CPI Percentage Points Change from Previous Period ;  Furniture ;  Australia ;</t>
        </is>
      </c>
      <c r="C924" t="inlineStr">
        <is>
          <t>Month</t>
        </is>
      </c>
      <c r="D924" t="inlineStr">
        <is>
          <t>% pts</t>
        </is>
      </c>
      <c r="E924" t="inlineStr">
        <is>
          <t>Original</t>
        </is>
      </c>
      <c r="F924" t="inlineStr">
        <is>
          <t>640105.xlsx</t>
        </is>
      </c>
      <c r="G924" t="inlineStr">
        <is>
          <t>2024-05</t>
        </is>
      </c>
      <c r="H924" t="inlineStr">
        <is>
          <t>2026-07</t>
        </is>
      </c>
      <c r="OA924" s="2">
        <v>0.0074</v>
      </c>
      <c r="OB924" s="2">
        <v>-0.0588</v>
      </c>
      <c r="OC924" s="2">
        <v>0.0678</v>
      </c>
      <c r="OD924" s="2">
        <v>-0.0095</v>
      </c>
      <c r="OE924" s="2">
        <v>0.0172</v>
      </c>
      <c r="OF924" s="2">
        <v>0.0293</v>
      </c>
      <c r="OG924" s="2">
        <v>-0.0478</v>
      </c>
      <c r="OH924" s="2">
        <v>-0.0011</v>
      </c>
      <c r="OM924" s="2">
        <v>-0.0208</v>
      </c>
      <c r="ON924" s="2">
        <v>0.0566</v>
      </c>
      <c r="OO924" s="2">
        <v>-0.0194</v>
      </c>
      <c r="OP924" s="2">
        <v>-0.0027</v>
      </c>
      <c r="OQ924" s="2">
        <v>-0.0193</v>
      </c>
      <c r="OR924" s="2">
        <v>-0.0362</v>
      </c>
      <c r="OS924" s="2">
        <v>0.0564</v>
      </c>
      <c r="OT924" s="2">
        <v>-0.0206</v>
      </c>
      <c r="OU924" s="2">
        <v>0.0289</v>
      </c>
      <c r="OV924" s="2">
        <v>0.0299</v>
      </c>
      <c r="OW924" s="2">
        <v>-0.0561</v>
      </c>
      <c r="OX924" s="2">
        <v>0.0118</v>
      </c>
      <c r="PC924" s="2">
        <v>-0.0501</v>
      </c>
      <c r="PD924" s="2">
        <v>0.0509</v>
      </c>
      <c r="PE924" s="2">
        <v>0.0019</v>
      </c>
      <c r="PF924" s="2">
        <v>-0.0032</v>
      </c>
      <c r="PG924" s="2">
        <v>0.0049</v>
      </c>
      <c r="PH924" s="2">
        <v>-0.0586</v>
      </c>
      <c r="PI924" s="2">
        <v>0.0544</v>
      </c>
    </row>
    <row r="925">
      <c r="A925" t="inlineStr">
        <is>
          <t>A130397828C</t>
        </is>
      </c>
      <c r="B925" t="inlineStr">
        <is>
          <t>Contribution to All groups CPI Percentage Points Change from Previous Period ;  Carpets and other floor coverings ;  Australia ;</t>
        </is>
      </c>
      <c r="C925" t="inlineStr">
        <is>
          <t>Month</t>
        </is>
      </c>
      <c r="D925" t="inlineStr">
        <is>
          <t>% pts</t>
        </is>
      </c>
      <c r="E925" t="inlineStr">
        <is>
          <t>Original</t>
        </is>
      </c>
      <c r="F925" t="inlineStr">
        <is>
          <t>640105.xlsx</t>
        </is>
      </c>
      <c r="G925" t="inlineStr">
        <is>
          <t>2024-05</t>
        </is>
      </c>
      <c r="H925" t="inlineStr">
        <is>
          <t>2026-07</t>
        </is>
      </c>
      <c r="OA925" s="2">
        <v>-0.0037</v>
      </c>
      <c r="OB925" s="2">
        <v>0.0012</v>
      </c>
      <c r="OC925" s="2">
        <v>0.0011</v>
      </c>
      <c r="OD925" s="2">
        <v>-0.0001</v>
      </c>
      <c r="OE925" s="2">
        <v>0.0003</v>
      </c>
      <c r="OF925" s="2">
        <v>-0.0023</v>
      </c>
      <c r="OG925" s="2">
        <v>0.0011</v>
      </c>
      <c r="OH925" s="2">
        <v>0.0016</v>
      </c>
      <c r="OM925" s="2">
        <v>-0.0033</v>
      </c>
      <c r="ON925" s="2">
        <v>0.0021</v>
      </c>
      <c r="OO925" s="2">
        <v>0.0002</v>
      </c>
      <c r="OP925" s="2">
        <v>-0.0009</v>
      </c>
      <c r="OQ925" s="2">
        <v>0.0011</v>
      </c>
      <c r="OR925" s="2">
        <v>-0.0026</v>
      </c>
      <c r="OS925" s="2">
        <v>0.0045</v>
      </c>
      <c r="OT925" s="2">
        <v>0.0024</v>
      </c>
      <c r="OU925" s="2">
        <v>0.0003</v>
      </c>
      <c r="OV925" s="2">
        <v>-0.0016</v>
      </c>
      <c r="OW925" s="2">
        <v>-0.0003</v>
      </c>
      <c r="OX925" s="2">
        <v>0.0023</v>
      </c>
      <c r="PC925" s="2">
        <v>-0.0004</v>
      </c>
      <c r="PD925" s="2">
        <v>0.002</v>
      </c>
      <c r="PE925" s="2">
        <v>0.0022</v>
      </c>
      <c r="PF925" s="2">
        <v>-0.0014</v>
      </c>
      <c r="PG925" s="2">
        <v>-0.0008</v>
      </c>
      <c r="PH925" s="2">
        <v>0.0002</v>
      </c>
      <c r="PI925" s="2">
        <v>0.0041</v>
      </c>
    </row>
    <row r="926">
      <c r="A926" t="inlineStr">
        <is>
          <t>A130396497C</t>
        </is>
      </c>
      <c r="B926" t="inlineStr">
        <is>
          <t>Contribution to All groups CPI Percentage Points Change from Previous Period ;  Household textiles ;  Australia ;</t>
        </is>
      </c>
      <c r="C926" t="inlineStr">
        <is>
          <t>Month</t>
        </is>
      </c>
      <c r="D926" t="inlineStr">
        <is>
          <t>% pts</t>
        </is>
      </c>
      <c r="E926" t="inlineStr">
        <is>
          <t>Original</t>
        </is>
      </c>
      <c r="F926" t="inlineStr">
        <is>
          <t>640105.xlsx</t>
        </is>
      </c>
      <c r="G926" t="inlineStr">
        <is>
          <t>2024-05</t>
        </is>
      </c>
      <c r="H926" t="inlineStr">
        <is>
          <t>2026-07</t>
        </is>
      </c>
      <c r="OA926" s="2">
        <v>0.0004</v>
      </c>
      <c r="OB926" s="2">
        <v>-0.0296</v>
      </c>
      <c r="OC926" s="2">
        <v>0.0336</v>
      </c>
      <c r="OD926" s="2">
        <v>0.023</v>
      </c>
      <c r="OE926" s="2">
        <v>-0.0256</v>
      </c>
      <c r="OF926" s="2">
        <v>-0.008800000000000001</v>
      </c>
      <c r="OG926" s="2">
        <v>0.0296</v>
      </c>
      <c r="OH926" s="2">
        <v>-0.0573</v>
      </c>
      <c r="OM926" s="2">
        <v>0.0116</v>
      </c>
      <c r="ON926" s="2">
        <v>0.0258</v>
      </c>
      <c r="OO926" s="2">
        <v>0.0009</v>
      </c>
      <c r="OP926" s="2">
        <v>-0.0109</v>
      </c>
      <c r="OQ926" s="2">
        <v>0.009599999999999999</v>
      </c>
      <c r="OR926" s="2">
        <v>-0.0324</v>
      </c>
      <c r="OS926" s="2">
        <v>0.0433</v>
      </c>
      <c r="OT926" s="2">
        <v>-0.0044</v>
      </c>
      <c r="OU926" s="2">
        <v>-0.0068</v>
      </c>
      <c r="OV926" s="2">
        <v>0.0077</v>
      </c>
      <c r="OW926" s="2">
        <v>-0.0041</v>
      </c>
      <c r="OX926" s="2">
        <v>-0.0178</v>
      </c>
      <c r="PC926" s="2">
        <v>-0.0068</v>
      </c>
      <c r="PD926" s="2">
        <v>0.0223</v>
      </c>
      <c r="PE926" s="2">
        <v>-0.0098</v>
      </c>
      <c r="PF926" s="2">
        <v>-0.0072</v>
      </c>
      <c r="PG926" s="2">
        <v>-0.0052</v>
      </c>
      <c r="PH926" s="2">
        <v>-0.0124</v>
      </c>
      <c r="PI926" s="2">
        <v>0.0476</v>
      </c>
    </row>
    <row r="927">
      <c r="A927" t="inlineStr">
        <is>
          <t>A130395384R</t>
        </is>
      </c>
      <c r="B927" t="inlineStr">
        <is>
          <t>Contribution to All groups CPI Percentage Points Change from Previous Period ;  Household textiles ;  Australia ;</t>
        </is>
      </c>
      <c r="C927" t="inlineStr">
        <is>
          <t>Month</t>
        </is>
      </c>
      <c r="D927" t="inlineStr">
        <is>
          <t>% pts</t>
        </is>
      </c>
      <c r="E927" t="inlineStr">
        <is>
          <t>Original</t>
        </is>
      </c>
      <c r="F927" t="inlineStr">
        <is>
          <t>640105.xlsx</t>
        </is>
      </c>
      <c r="G927" t="inlineStr">
        <is>
          <t>2024-05</t>
        </is>
      </c>
      <c r="H927" t="inlineStr">
        <is>
          <t>2026-07</t>
        </is>
      </c>
      <c r="OA927" s="2">
        <v>0.0004</v>
      </c>
      <c r="OB927" s="2">
        <v>-0.0296</v>
      </c>
      <c r="OC927" s="2">
        <v>0.0336</v>
      </c>
      <c r="OD927" s="2">
        <v>0.023</v>
      </c>
      <c r="OE927" s="2">
        <v>-0.0256</v>
      </c>
      <c r="OF927" s="2">
        <v>-0.008800000000000001</v>
      </c>
      <c r="OG927" s="2">
        <v>0.0296</v>
      </c>
      <c r="OH927" s="2">
        <v>-0.0573</v>
      </c>
      <c r="OM927" s="2">
        <v>0.0116</v>
      </c>
      <c r="ON927" s="2">
        <v>0.0258</v>
      </c>
      <c r="OO927" s="2">
        <v>0.0009</v>
      </c>
      <c r="OP927" s="2">
        <v>-0.0109</v>
      </c>
      <c r="OQ927" s="2">
        <v>0.009599999999999999</v>
      </c>
      <c r="OR927" s="2">
        <v>-0.0324</v>
      </c>
      <c r="OS927" s="2">
        <v>0.0433</v>
      </c>
      <c r="OT927" s="2">
        <v>-0.0044</v>
      </c>
      <c r="OU927" s="2">
        <v>-0.0068</v>
      </c>
      <c r="OV927" s="2">
        <v>0.0077</v>
      </c>
      <c r="OW927" s="2">
        <v>-0.0041</v>
      </c>
      <c r="OX927" s="2">
        <v>-0.0178</v>
      </c>
      <c r="PC927" s="2">
        <v>-0.0068</v>
      </c>
      <c r="PD927" s="2">
        <v>0.0223</v>
      </c>
      <c r="PE927" s="2">
        <v>-0.0098</v>
      </c>
      <c r="PF927" s="2">
        <v>-0.0072</v>
      </c>
      <c r="PG927" s="2">
        <v>-0.0052</v>
      </c>
      <c r="PH927" s="2">
        <v>-0.0124</v>
      </c>
      <c r="PI927" s="2">
        <v>0.0476</v>
      </c>
    </row>
    <row r="928">
      <c r="A928" t="inlineStr">
        <is>
          <t>A130398521C</t>
        </is>
      </c>
      <c r="B928" t="inlineStr">
        <is>
          <t>Contribution to All groups CPI Percentage Points Change from Previous Period ;  Household appliances, utensils and tools ;  Australia ;</t>
        </is>
      </c>
      <c r="C928" t="inlineStr">
        <is>
          <t>Month</t>
        </is>
      </c>
      <c r="D928" t="inlineStr">
        <is>
          <t>% pts</t>
        </is>
      </c>
      <c r="E928" t="inlineStr">
        <is>
          <t>Original</t>
        </is>
      </c>
      <c r="F928" t="inlineStr">
        <is>
          <t>640105.xlsx</t>
        </is>
      </c>
      <c r="G928" t="inlineStr">
        <is>
          <t>2024-05</t>
        </is>
      </c>
      <c r="H928" t="inlineStr">
        <is>
          <t>2026-07</t>
        </is>
      </c>
      <c r="OA928" s="2">
        <v>-0.0002</v>
      </c>
      <c r="OB928" s="2">
        <v>-0.0309</v>
      </c>
      <c r="OC928" s="2">
        <v>0.0441</v>
      </c>
      <c r="OD928" s="2">
        <v>0.0037</v>
      </c>
      <c r="OE928" s="2">
        <v>-0.0268</v>
      </c>
      <c r="OF928" s="2">
        <v>0.0197</v>
      </c>
      <c r="OG928" s="2">
        <v>-0.0083</v>
      </c>
      <c r="OH928" s="2">
        <v>-0.0403</v>
      </c>
      <c r="OM928" s="2">
        <v>0.0223</v>
      </c>
      <c r="ON928" s="2">
        <v>-0.0039</v>
      </c>
      <c r="OO928" s="2">
        <v>-0.0239</v>
      </c>
      <c r="OP928" s="2">
        <v>0.0384</v>
      </c>
      <c r="OQ928" s="2">
        <v>-0.0081</v>
      </c>
      <c r="OR928" s="2">
        <v>-0.0214</v>
      </c>
      <c r="OS928" s="2">
        <v>0.0231</v>
      </c>
      <c r="OT928" s="2">
        <v>0.039</v>
      </c>
      <c r="OU928" s="2">
        <v>-0.0413</v>
      </c>
      <c r="OV928" s="2">
        <v>0.0135</v>
      </c>
      <c r="OW928" s="2">
        <v>-0.0112</v>
      </c>
      <c r="OX928" s="2">
        <v>-0.0516</v>
      </c>
      <c r="PC928" s="2">
        <v>0.0417</v>
      </c>
      <c r="PD928" s="2">
        <v>0.0053</v>
      </c>
      <c r="PE928" s="2">
        <v>-0.0281</v>
      </c>
      <c r="PF928" s="2">
        <v>0.0192</v>
      </c>
      <c r="PG928" s="2">
        <v>0.008200000000000001</v>
      </c>
      <c r="PH928" s="2">
        <v>-0.0233</v>
      </c>
      <c r="PI928" s="2">
        <v>0.0361</v>
      </c>
    </row>
    <row r="929">
      <c r="A929" t="inlineStr">
        <is>
          <t>A130399511T</t>
        </is>
      </c>
      <c r="B929" t="inlineStr">
        <is>
          <t>Contribution to All groups CPI Percentage Points Change from Previous Period ;  Major household appliances ;  Australia ;</t>
        </is>
      </c>
      <c r="C929" t="inlineStr">
        <is>
          <t>Month</t>
        </is>
      </c>
      <c r="D929" t="inlineStr">
        <is>
          <t>% pts</t>
        </is>
      </c>
      <c r="E929" t="inlineStr">
        <is>
          <t>Original</t>
        </is>
      </c>
      <c r="F929" t="inlineStr">
        <is>
          <t>640105.xlsx</t>
        </is>
      </c>
      <c r="G929" t="inlineStr">
        <is>
          <t>2024-05</t>
        </is>
      </c>
      <c r="H929" t="inlineStr">
        <is>
          <t>2026-07</t>
        </is>
      </c>
      <c r="OA929" s="2">
        <v>-0.003</v>
      </c>
      <c r="OB929" s="2">
        <v>-0.0039</v>
      </c>
      <c r="OC929" s="2">
        <v>0.0061</v>
      </c>
      <c r="OD929" s="2">
        <v>-0.0038</v>
      </c>
      <c r="OE929" s="2">
        <v>-0.0029</v>
      </c>
      <c r="OF929" s="2">
        <v>0.0053</v>
      </c>
      <c r="OG929" s="2">
        <v>-0.0009</v>
      </c>
      <c r="OH929" s="2">
        <v>-0.0114</v>
      </c>
      <c r="OM929" s="2">
        <v>0.0045</v>
      </c>
      <c r="ON929" s="2">
        <v>0.0017</v>
      </c>
      <c r="OO929" s="2">
        <v>-0.0053</v>
      </c>
      <c r="OP929" s="2">
        <v>0.0083</v>
      </c>
      <c r="OQ929" s="2">
        <v>0.0061</v>
      </c>
      <c r="OR929" s="2">
        <v>-0.0001</v>
      </c>
      <c r="OS929" s="2">
        <v>-0.0052</v>
      </c>
      <c r="OT929" s="2">
        <v>0.0013</v>
      </c>
      <c r="OU929" s="2">
        <v>-0.0015</v>
      </c>
      <c r="OV929" s="2">
        <v>-0.0024</v>
      </c>
      <c r="OW929" s="2">
        <v>0.0005999999999999999</v>
      </c>
      <c r="OX929" s="2">
        <v>-0.0107</v>
      </c>
      <c r="PC929" s="2">
        <v>0.008800000000000001</v>
      </c>
      <c r="PD929" s="2">
        <v>0.0017</v>
      </c>
      <c r="PE929" s="2">
        <v>-0.008</v>
      </c>
      <c r="PF929" s="2">
        <v>0.0064</v>
      </c>
      <c r="PG929" s="2">
        <v>0.0009</v>
      </c>
      <c r="PH929" s="2">
        <v>-0.008399999999999999</v>
      </c>
      <c r="PI929" s="2">
        <v>0.0127</v>
      </c>
    </row>
    <row r="930">
      <c r="A930" t="inlineStr">
        <is>
          <t>A130391254V</t>
        </is>
      </c>
      <c r="B930" t="inlineStr">
        <is>
          <t>Contribution to All groups CPI Percentage Points Change from Previous Period ;  Small electric household appliances ;  Australia ;</t>
        </is>
      </c>
      <c r="C930" t="inlineStr">
        <is>
          <t>Month</t>
        </is>
      </c>
      <c r="D930" t="inlineStr">
        <is>
          <t>% pts</t>
        </is>
      </c>
      <c r="E930" t="inlineStr">
        <is>
          <t>Original</t>
        </is>
      </c>
      <c r="F930" t="inlineStr">
        <is>
          <t>640105.xlsx</t>
        </is>
      </c>
      <c r="G930" t="inlineStr">
        <is>
          <t>2024-05</t>
        </is>
      </c>
      <c r="H930" t="inlineStr">
        <is>
          <t>2026-07</t>
        </is>
      </c>
      <c r="OA930" s="2">
        <v>0.007</v>
      </c>
      <c r="OB930" s="2">
        <v>-0.0089</v>
      </c>
      <c r="OC930" s="2">
        <v>0.0083</v>
      </c>
      <c r="OD930" s="2">
        <v>-0.0003</v>
      </c>
      <c r="OE930" s="2">
        <v>-0.009900000000000001</v>
      </c>
      <c r="OF930" s="2">
        <v>0.0034</v>
      </c>
      <c r="OG930" s="2">
        <v>0.0027</v>
      </c>
      <c r="OH930" s="2">
        <v>-0.0156</v>
      </c>
      <c r="OM930" s="2">
        <v>0.008399999999999999</v>
      </c>
      <c r="ON930" s="2">
        <v>0.003</v>
      </c>
      <c r="OO930" s="2">
        <v>-0.0046</v>
      </c>
      <c r="OP930" s="2">
        <v>0.0045</v>
      </c>
      <c r="OQ930" s="2">
        <v>-0.0007</v>
      </c>
      <c r="OR930" s="2">
        <v>-0.0044</v>
      </c>
      <c r="OS930" s="2">
        <v>0.0017</v>
      </c>
      <c r="OT930" s="2">
        <v>0.0097</v>
      </c>
      <c r="OU930" s="2">
        <v>-0.008699999999999999</v>
      </c>
      <c r="OV930" s="2">
        <v>0.0038</v>
      </c>
      <c r="OW930" s="2">
        <v>0.0016</v>
      </c>
      <c r="OX930" s="2">
        <v>-0.0153</v>
      </c>
      <c r="PC930" s="2">
        <v>0.0037</v>
      </c>
      <c r="PD930" s="2">
        <v>0.0081</v>
      </c>
      <c r="PE930" s="2">
        <v>-0.0044</v>
      </c>
      <c r="PF930" s="2">
        <v>-0.0004</v>
      </c>
      <c r="PG930" s="2">
        <v>0.0002</v>
      </c>
      <c r="PH930" s="2">
        <v>-0.0014</v>
      </c>
      <c r="PI930" s="2">
        <v>0.0046</v>
      </c>
    </row>
    <row r="931">
      <c r="A931" t="inlineStr">
        <is>
          <t>A130391268J</t>
        </is>
      </c>
      <c r="B931" t="inlineStr">
        <is>
          <t>Contribution to All groups CPI Percentage Points Change from Previous Period ;  Glassware, tableware and household utensils ;  Australia ;</t>
        </is>
      </c>
      <c r="C931" t="inlineStr">
        <is>
          <t>Month</t>
        </is>
      </c>
      <c r="D931" t="inlineStr">
        <is>
          <t>% pts</t>
        </is>
      </c>
      <c r="E931" t="inlineStr">
        <is>
          <t>Original</t>
        </is>
      </c>
      <c r="F931" t="inlineStr">
        <is>
          <t>640105.xlsx</t>
        </is>
      </c>
      <c r="G931" t="inlineStr">
        <is>
          <t>2024-05</t>
        </is>
      </c>
      <c r="H931" t="inlineStr">
        <is>
          <t>2026-07</t>
        </is>
      </c>
      <c r="OA931" s="2">
        <v>-0.0033</v>
      </c>
      <c r="OB931" s="2">
        <v>-0.0187</v>
      </c>
      <c r="OC931" s="2">
        <v>0.027</v>
      </c>
      <c r="OD931" s="2">
        <v>0.008399999999999999</v>
      </c>
      <c r="OE931" s="2">
        <v>-0.0119</v>
      </c>
      <c r="OF931" s="2">
        <v>0.0134</v>
      </c>
      <c r="OG931" s="2">
        <v>-0.008</v>
      </c>
      <c r="OH931" s="2">
        <v>-0.0157</v>
      </c>
      <c r="OM931" s="2">
        <v>0.0097</v>
      </c>
      <c r="ON931" s="2">
        <v>-0.0047</v>
      </c>
      <c r="OO931" s="2">
        <v>-0.0147</v>
      </c>
      <c r="OP931" s="2">
        <v>0.022</v>
      </c>
      <c r="OQ931" s="2">
        <v>-0.0131</v>
      </c>
      <c r="OR931" s="2">
        <v>-0.0169</v>
      </c>
      <c r="OS931" s="2">
        <v>0.0284</v>
      </c>
      <c r="OT931" s="2">
        <v>0.0274</v>
      </c>
      <c r="OU931" s="2">
        <v>-0.0294</v>
      </c>
      <c r="OV931" s="2">
        <v>0.012</v>
      </c>
      <c r="OW931" s="2">
        <v>-0.0127</v>
      </c>
      <c r="OX931" s="2">
        <v>-0.0244</v>
      </c>
      <c r="PC931" s="2">
        <v>0.0302</v>
      </c>
      <c r="PD931" s="2">
        <v>-0.0062</v>
      </c>
      <c r="PE931" s="2">
        <v>-0.0127</v>
      </c>
      <c r="PF931" s="2">
        <v>0.008399999999999999</v>
      </c>
      <c r="PG931" s="2">
        <v>0.0054</v>
      </c>
      <c r="PH931" s="2">
        <v>-0.0173</v>
      </c>
      <c r="PI931" s="2">
        <v>0.0173</v>
      </c>
    </row>
    <row r="932">
      <c r="A932" t="inlineStr">
        <is>
          <t>A130392038V</t>
        </is>
      </c>
      <c r="B932" t="inlineStr">
        <is>
          <t>Contribution to All groups CPI Percentage Points Change from Previous Period ;  Tools and equipment for house and garden ;  Australia ;</t>
        </is>
      </c>
      <c r="C932" t="inlineStr">
        <is>
          <t>Month</t>
        </is>
      </c>
      <c r="D932" t="inlineStr">
        <is>
          <t>% pts</t>
        </is>
      </c>
      <c r="E932" t="inlineStr">
        <is>
          <t>Original</t>
        </is>
      </c>
      <c r="F932" t="inlineStr">
        <is>
          <t>640105.xlsx</t>
        </is>
      </c>
      <c r="G932" t="inlineStr">
        <is>
          <t>2024-05</t>
        </is>
      </c>
      <c r="H932" t="inlineStr">
        <is>
          <t>2026-07</t>
        </is>
      </c>
      <c r="OA932" s="2">
        <v>-0.0008</v>
      </c>
      <c r="OB932" s="2">
        <v>0.0007</v>
      </c>
      <c r="OC932" s="2">
        <v>0.0027</v>
      </c>
      <c r="OD932" s="2">
        <v>-0.0005999999999999999</v>
      </c>
      <c r="OE932" s="2">
        <v>-0.002</v>
      </c>
      <c r="OF932" s="2">
        <v>-0.0024</v>
      </c>
      <c r="OG932" s="2">
        <v>-0.0022</v>
      </c>
      <c r="OH932" s="2">
        <v>0.0024</v>
      </c>
      <c r="OM932" s="2">
        <v>-0.0002</v>
      </c>
      <c r="ON932" s="2">
        <v>-0.004</v>
      </c>
      <c r="OO932" s="2">
        <v>0.0007</v>
      </c>
      <c r="OP932" s="2">
        <v>0.0036</v>
      </c>
      <c r="OQ932" s="2">
        <v>-0.0004</v>
      </c>
      <c r="OR932" s="2">
        <v>-0.0001</v>
      </c>
      <c r="OS932" s="2">
        <v>-0.0019</v>
      </c>
      <c r="OT932" s="2">
        <v>0.0005999999999999999</v>
      </c>
      <c r="OU932" s="2">
        <v>-0.0016</v>
      </c>
      <c r="OV932" s="2">
        <v>0.0002</v>
      </c>
      <c r="OW932" s="2">
        <v>-0.0008</v>
      </c>
      <c r="OX932" s="2">
        <v>-0.0011</v>
      </c>
      <c r="PC932" s="2">
        <v>-0.001</v>
      </c>
      <c r="PD932" s="2">
        <v>0.0018</v>
      </c>
      <c r="PE932" s="2">
        <v>-0.0031</v>
      </c>
      <c r="PF932" s="2">
        <v>0.0048</v>
      </c>
      <c r="PG932" s="2">
        <v>0.0016</v>
      </c>
      <c r="PH932" s="2">
        <v>0.0038</v>
      </c>
      <c r="PI932" s="2">
        <v>0.0015</v>
      </c>
    </row>
    <row r="933">
      <c r="A933" t="inlineStr">
        <is>
          <t>A130394922V</t>
        </is>
      </c>
      <c r="B933" t="inlineStr">
        <is>
          <t>Contribution to All groups CPI Percentage Points Change from Previous Period ;  Non-durable household products ;  Australia ;</t>
        </is>
      </c>
      <c r="C933" t="inlineStr">
        <is>
          <t>Month</t>
        </is>
      </c>
      <c r="D933" t="inlineStr">
        <is>
          <t>% pts</t>
        </is>
      </c>
      <c r="E933" t="inlineStr">
        <is>
          <t>Original</t>
        </is>
      </c>
      <c r="F933" t="inlineStr">
        <is>
          <t>640105.xlsx</t>
        </is>
      </c>
      <c r="G933" t="inlineStr">
        <is>
          <t>2024-05</t>
        </is>
      </c>
      <c r="H933" t="inlineStr">
        <is>
          <t>2026-07</t>
        </is>
      </c>
      <c r="OA933" s="2">
        <v>-0.0059</v>
      </c>
      <c r="OB933" s="2">
        <v>-0.0037</v>
      </c>
      <c r="OC933" s="2">
        <v>-0.0065</v>
      </c>
      <c r="OD933" s="2">
        <v>0.0039</v>
      </c>
      <c r="OE933" s="2">
        <v>-0.0177</v>
      </c>
      <c r="OF933" s="2">
        <v>-0.014</v>
      </c>
      <c r="OG933" s="2">
        <v>0.0018</v>
      </c>
      <c r="OH933" s="2">
        <v>0.0159</v>
      </c>
      <c r="OM933" s="2">
        <v>0.008200000000000001</v>
      </c>
      <c r="ON933" s="2">
        <v>-0.0032</v>
      </c>
      <c r="OO933" s="2">
        <v>0.0038</v>
      </c>
      <c r="OP933" s="2">
        <v>0.0176</v>
      </c>
      <c r="OQ933" s="2">
        <v>-0.0117</v>
      </c>
      <c r="OR933" s="2">
        <v>-0.0066</v>
      </c>
      <c r="OS933" s="2">
        <v>0.015</v>
      </c>
      <c r="OT933" s="2">
        <v>0.0007</v>
      </c>
      <c r="OU933" s="2">
        <v>-0.0107</v>
      </c>
      <c r="OV933" s="2">
        <v>-0.0071</v>
      </c>
      <c r="OW933" s="2">
        <v>-0.017</v>
      </c>
      <c r="OX933" s="2">
        <v>0.0316</v>
      </c>
      <c r="PC933" s="2">
        <v>-0.0174</v>
      </c>
      <c r="PD933" s="2">
        <v>0.0017</v>
      </c>
      <c r="PE933" s="2">
        <v>-0.0034</v>
      </c>
      <c r="PF933" s="2">
        <v>0.0159</v>
      </c>
      <c r="PG933" s="2">
        <v>-0.0021</v>
      </c>
      <c r="PH933" s="2">
        <v>-0.0068</v>
      </c>
      <c r="PI933" s="2">
        <v>-0.0004</v>
      </c>
    </row>
    <row r="934">
      <c r="A934" t="inlineStr">
        <is>
          <t>A130399525F</t>
        </is>
      </c>
      <c r="B934" t="inlineStr">
        <is>
          <t>Contribution to All groups CPI Percentage Points Change from Previous Period ;  Cleaning and maintenance products ;  Australia ;</t>
        </is>
      </c>
      <c r="C934" t="inlineStr">
        <is>
          <t>Month</t>
        </is>
      </c>
      <c r="D934" t="inlineStr">
        <is>
          <t>% pts</t>
        </is>
      </c>
      <c r="E934" t="inlineStr">
        <is>
          <t>Original</t>
        </is>
      </c>
      <c r="F934" t="inlineStr">
        <is>
          <t>640105.xlsx</t>
        </is>
      </c>
      <c r="G934" t="inlineStr">
        <is>
          <t>2024-05</t>
        </is>
      </c>
      <c r="H934" t="inlineStr">
        <is>
          <t>2026-07</t>
        </is>
      </c>
      <c r="OA934" s="2">
        <v>-0.002</v>
      </c>
      <c r="OB934" s="2">
        <v>-0.0003</v>
      </c>
      <c r="OC934" s="2">
        <v>0.0022</v>
      </c>
      <c r="OD934" s="2">
        <v>-0.0013</v>
      </c>
      <c r="OE934" s="2">
        <v>-0.0016</v>
      </c>
      <c r="OF934" s="2">
        <v>0.0014</v>
      </c>
      <c r="OG934" s="2">
        <v>-0.0028</v>
      </c>
      <c r="OH934" s="2">
        <v>0.0053</v>
      </c>
      <c r="OM934" s="2">
        <v>-0.003</v>
      </c>
      <c r="ON934" s="2">
        <v>0.0004</v>
      </c>
      <c r="OO934" s="2">
        <v>0.0007</v>
      </c>
      <c r="OP934" s="2">
        <v>-0.0017</v>
      </c>
      <c r="OQ934" s="2">
        <v>0.0004</v>
      </c>
      <c r="OR934" s="2">
        <v>0.0009</v>
      </c>
      <c r="OS934" s="2">
        <v>0.0039</v>
      </c>
      <c r="OT934" s="2">
        <v>-0.0025</v>
      </c>
      <c r="OU934" s="2">
        <v>0.0004</v>
      </c>
      <c r="OV934" s="2">
        <v>0.0005999999999999999</v>
      </c>
      <c r="OW934" s="2">
        <v>-0.0022</v>
      </c>
      <c r="OX934" s="2">
        <v>0.006</v>
      </c>
      <c r="PC934" s="2">
        <v>-0.0044</v>
      </c>
      <c r="PD934" s="2">
        <v>-0.0017</v>
      </c>
      <c r="PE934" s="2">
        <v>0.0003</v>
      </c>
      <c r="PF934" s="2">
        <v>0.0005</v>
      </c>
      <c r="PG934" s="2">
        <v>0.0001</v>
      </c>
      <c r="PH934" s="2">
        <v>-0.0008</v>
      </c>
      <c r="PI934" s="2">
        <v>0.0055</v>
      </c>
    </row>
    <row r="935">
      <c r="A935" t="inlineStr">
        <is>
          <t>A130393536C</t>
        </is>
      </c>
      <c r="B935" t="inlineStr">
        <is>
          <t>Contribution to All groups CPI Percentage Points Change from Previous Period ;  Personal care products ;  Australia ;</t>
        </is>
      </c>
      <c r="C935" t="inlineStr">
        <is>
          <t>Month</t>
        </is>
      </c>
      <c r="D935" t="inlineStr">
        <is>
          <t>% pts</t>
        </is>
      </c>
      <c r="E935" t="inlineStr">
        <is>
          <t>Original</t>
        </is>
      </c>
      <c r="F935" t="inlineStr">
        <is>
          <t>640105.xlsx</t>
        </is>
      </c>
      <c r="G935" t="inlineStr">
        <is>
          <t>2024-05</t>
        </is>
      </c>
      <c r="H935" t="inlineStr">
        <is>
          <t>2026-07</t>
        </is>
      </c>
      <c r="OA935" s="2">
        <v>0.0011</v>
      </c>
      <c r="OB935" s="2">
        <v>-0.0005999999999999999</v>
      </c>
      <c r="OC935" s="2">
        <v>-0.0026</v>
      </c>
      <c r="OD935" s="2">
        <v>0.0031</v>
      </c>
      <c r="OE935" s="2">
        <v>-0.0105</v>
      </c>
      <c r="OF935" s="2">
        <v>-0.0062</v>
      </c>
      <c r="OG935" s="2">
        <v>-0.0025</v>
      </c>
      <c r="OH935" s="2">
        <v>0.008699999999999999</v>
      </c>
      <c r="OM935" s="2">
        <v>0.0143</v>
      </c>
      <c r="ON935" s="2">
        <v>-0.0033</v>
      </c>
      <c r="OO935" s="2">
        <v>0.0007</v>
      </c>
      <c r="OP935" s="2">
        <v>0.0114</v>
      </c>
      <c r="OQ935" s="2">
        <v>-0.0119</v>
      </c>
      <c r="OR935" s="2">
        <v>-0.0041</v>
      </c>
      <c r="OS935" s="2">
        <v>0.0108</v>
      </c>
      <c r="OT935" s="2">
        <v>0.0026</v>
      </c>
      <c r="OU935" s="2">
        <v>-0.0029</v>
      </c>
      <c r="OV935" s="2">
        <v>-0.0065</v>
      </c>
      <c r="OW935" s="2">
        <v>-0.005</v>
      </c>
      <c r="OX935" s="2">
        <v>0.0222</v>
      </c>
      <c r="PC935" s="2">
        <v>-0.0045</v>
      </c>
      <c r="PD935" s="2">
        <v>0.0017</v>
      </c>
      <c r="PE935" s="2">
        <v>-0.0073</v>
      </c>
      <c r="PF935" s="2">
        <v>0.0116</v>
      </c>
      <c r="PG935" s="2">
        <v>-0.0075</v>
      </c>
      <c r="PH935" s="2">
        <v>-0.0022</v>
      </c>
      <c r="PI935" s="2">
        <v>-0.0089</v>
      </c>
    </row>
    <row r="936">
      <c r="A936" t="inlineStr">
        <is>
          <t>A130391121R</t>
        </is>
      </c>
      <c r="B936" t="inlineStr">
        <is>
          <t>Contribution to All groups CPI Percentage Points Change from Previous Period ;  Other non-durable household products ;  Australia ;</t>
        </is>
      </c>
      <c r="C936" t="inlineStr">
        <is>
          <t>Month</t>
        </is>
      </c>
      <c r="D936" t="inlineStr">
        <is>
          <t>% pts</t>
        </is>
      </c>
      <c r="E936" t="inlineStr">
        <is>
          <t>Original</t>
        </is>
      </c>
      <c r="F936" t="inlineStr">
        <is>
          <t>640105.xlsx</t>
        </is>
      </c>
      <c r="G936" t="inlineStr">
        <is>
          <t>2024-05</t>
        </is>
      </c>
      <c r="H936" t="inlineStr">
        <is>
          <t>2026-07</t>
        </is>
      </c>
      <c r="OA936" s="2">
        <v>-0.005</v>
      </c>
      <c r="OB936" s="2">
        <v>-0.0028</v>
      </c>
      <c r="OC936" s="2">
        <v>-0.0061</v>
      </c>
      <c r="OD936" s="2">
        <v>0.002</v>
      </c>
      <c r="OE936" s="2">
        <v>-0.0056</v>
      </c>
      <c r="OF936" s="2">
        <v>-0.009299999999999999</v>
      </c>
      <c r="OG936" s="2">
        <v>0.0071</v>
      </c>
      <c r="OH936" s="2">
        <v>0.0019</v>
      </c>
      <c r="OM936" s="2">
        <v>-0.0031</v>
      </c>
      <c r="ON936" s="2">
        <v>-0.0003</v>
      </c>
      <c r="OO936" s="2">
        <v>0.0024</v>
      </c>
      <c r="OP936" s="2">
        <v>0.007900000000000001</v>
      </c>
      <c r="OQ936" s="2">
        <v>-0.0001</v>
      </c>
      <c r="OR936" s="2">
        <v>-0.0033</v>
      </c>
      <c r="OS936" s="2">
        <v>0.0003</v>
      </c>
      <c r="OT936" s="2">
        <v>0.0005</v>
      </c>
      <c r="OU936" s="2">
        <v>-0.008200000000000001</v>
      </c>
      <c r="OV936" s="2">
        <v>-0.0012</v>
      </c>
      <c r="OW936" s="2">
        <v>-0.0098</v>
      </c>
      <c r="OX936" s="2">
        <v>0.0034</v>
      </c>
      <c r="PC936" s="2">
        <v>-0.008500000000000001</v>
      </c>
      <c r="PD936" s="2">
        <v>0.0017</v>
      </c>
      <c r="PE936" s="2">
        <v>0.0037</v>
      </c>
      <c r="PF936" s="2">
        <v>0.0037</v>
      </c>
      <c r="PG936" s="2">
        <v>0.0053</v>
      </c>
      <c r="PH936" s="2">
        <v>-0.0038</v>
      </c>
      <c r="PI936" s="2">
        <v>0.0029</v>
      </c>
    </row>
    <row r="937">
      <c r="A937" t="inlineStr">
        <is>
          <t>A130397344J</t>
        </is>
      </c>
      <c r="B937" t="inlineStr">
        <is>
          <t>Contribution to All groups CPI Percentage Points Change from Previous Period ;  Domestic and household services ;  Australia ;</t>
        </is>
      </c>
      <c r="C937" t="inlineStr">
        <is>
          <t>Month</t>
        </is>
      </c>
      <c r="D937" t="inlineStr">
        <is>
          <t>% pts</t>
        </is>
      </c>
      <c r="E937" t="inlineStr">
        <is>
          <t>Original</t>
        </is>
      </c>
      <c r="F937" t="inlineStr">
        <is>
          <t>640105.xlsx</t>
        </is>
      </c>
      <c r="G937" t="inlineStr">
        <is>
          <t>2024-05</t>
        </is>
      </c>
      <c r="H937" t="inlineStr">
        <is>
          <t>2026-07</t>
        </is>
      </c>
      <c r="OA937" s="2">
        <v>-0.0013</v>
      </c>
      <c r="OB937" s="2">
        <v>0.0121</v>
      </c>
      <c r="OC937" s="2">
        <v>0.0156</v>
      </c>
      <c r="OD937" s="2">
        <v>0.055</v>
      </c>
      <c r="OE937" s="2">
        <v>0.0204</v>
      </c>
      <c r="OF937" s="2">
        <v>0.0118</v>
      </c>
      <c r="OG937" s="2">
        <v>0.008500000000000001</v>
      </c>
      <c r="OH937" s="2">
        <v>0.008500000000000001</v>
      </c>
      <c r="OM937" s="2">
        <v>-0.0012</v>
      </c>
      <c r="ON937" s="2">
        <v>0.0008</v>
      </c>
      <c r="OO937" s="2">
        <v>0.017</v>
      </c>
      <c r="OP937" s="2">
        <v>-0.0043</v>
      </c>
      <c r="OQ937" s="2">
        <v>-0.0027</v>
      </c>
      <c r="OR937" s="2">
        <v>0.0132</v>
      </c>
      <c r="OS937" s="2">
        <v>0.0156</v>
      </c>
      <c r="OT937" s="2">
        <v>0.0452</v>
      </c>
      <c r="OU937" s="2">
        <v>0.0037</v>
      </c>
      <c r="OV937" s="2">
        <v>0.014</v>
      </c>
      <c r="OW937" s="2">
        <v>0.014</v>
      </c>
      <c r="OX937" s="2">
        <v>0.0124</v>
      </c>
      <c r="PC937" s="2">
        <v>0.0004</v>
      </c>
      <c r="PD937" s="2">
        <v>-0.009900000000000001</v>
      </c>
      <c r="PE937" s="2">
        <v>0.0204</v>
      </c>
      <c r="PF937" s="2">
        <v>0.0024</v>
      </c>
      <c r="PG937" s="2">
        <v>-0.0015</v>
      </c>
      <c r="PH937" s="2">
        <v>0.0078</v>
      </c>
      <c r="PI937" s="2">
        <v>0.0122</v>
      </c>
    </row>
    <row r="938">
      <c r="A938" t="inlineStr">
        <is>
          <t>A130390064L</t>
        </is>
      </c>
      <c r="B938" t="inlineStr">
        <is>
          <t>Contribution to All groups CPI Percentage Points Change from Previous Period ;  Child care ;  Australia ;</t>
        </is>
      </c>
      <c r="C938" t="inlineStr">
        <is>
          <t>Month</t>
        </is>
      </c>
      <c r="D938" t="inlineStr">
        <is>
          <t>% pts</t>
        </is>
      </c>
      <c r="E938" t="inlineStr">
        <is>
          <t>Original</t>
        </is>
      </c>
      <c r="F938" t="inlineStr">
        <is>
          <t>640105.xlsx</t>
        </is>
      </c>
      <c r="G938" t="inlineStr">
        <is>
          <t>2024-05</t>
        </is>
      </c>
      <c r="H938" t="inlineStr">
        <is>
          <t>2026-07</t>
        </is>
      </c>
      <c r="OA938" s="2">
        <v>-0.0032</v>
      </c>
      <c r="OB938" s="2">
        <v>0.0073</v>
      </c>
      <c r="OC938" s="2">
        <v>0.0022</v>
      </c>
      <c r="OD938" s="2">
        <v>0.0482</v>
      </c>
      <c r="OE938" s="2">
        <v>0.0126</v>
      </c>
      <c r="OF938" s="2">
        <v>0.005</v>
      </c>
      <c r="OG938" s="2">
        <v>0.0025</v>
      </c>
      <c r="OH938" s="2">
        <v>0.0039</v>
      </c>
      <c r="OM938" s="2">
        <v>-0.0029</v>
      </c>
      <c r="ON938" s="2">
        <v>0.004</v>
      </c>
      <c r="OO938" s="2">
        <v>0.0132</v>
      </c>
      <c r="OP938" s="2">
        <v>-0.003</v>
      </c>
      <c r="OQ938" s="2">
        <v>-0.0055</v>
      </c>
      <c r="OR938" s="2">
        <v>0.0158</v>
      </c>
      <c r="OS938" s="2">
        <v>0.0035</v>
      </c>
      <c r="OT938" s="2">
        <v>0.0336</v>
      </c>
      <c r="OU938" s="2">
        <v>0.0083</v>
      </c>
      <c r="OV938" s="2">
        <v>0.0089</v>
      </c>
      <c r="OW938" s="2">
        <v>0.0046</v>
      </c>
      <c r="OX938" s="2">
        <v>0.0041</v>
      </c>
      <c r="PC938" s="2">
        <v>-0.0014</v>
      </c>
      <c r="PD938" s="2">
        <v>-0.0131</v>
      </c>
      <c r="PE938" s="2">
        <v>0.0137</v>
      </c>
      <c r="PF938" s="2">
        <v>-0.0033</v>
      </c>
      <c r="PG938" s="2">
        <v>-0.003</v>
      </c>
      <c r="PH938" s="2">
        <v>0.0027</v>
      </c>
      <c r="PI938" s="2">
        <v>0.0014</v>
      </c>
    </row>
    <row r="939">
      <c r="A939" t="inlineStr">
        <is>
          <t>A130393550X</t>
        </is>
      </c>
      <c r="B939" t="inlineStr">
        <is>
          <t>Contribution to All groups CPI Percentage Points Change from Previous Period ;  Hairdressing and personal grooming services ;  Australia ;</t>
        </is>
      </c>
      <c r="C939" t="inlineStr">
        <is>
          <t>Month</t>
        </is>
      </c>
      <c r="D939" t="inlineStr">
        <is>
          <t>% pts</t>
        </is>
      </c>
      <c r="E939" t="inlineStr">
        <is>
          <t>Original</t>
        </is>
      </c>
      <c r="F939" t="inlineStr">
        <is>
          <t>640105.xlsx</t>
        </is>
      </c>
      <c r="G939" t="inlineStr">
        <is>
          <t>2024-05</t>
        </is>
      </c>
      <c r="H939" t="inlineStr">
        <is>
          <t>2026-07</t>
        </is>
      </c>
      <c r="OA939" s="2">
        <v>0.0054</v>
      </c>
      <c r="OB939" s="2">
        <v>0.0048</v>
      </c>
      <c r="OC939" s="2">
        <v>0.007900000000000001</v>
      </c>
      <c r="OD939" s="2">
        <v>0.0063</v>
      </c>
      <c r="OE939" s="2">
        <v>0.0051</v>
      </c>
      <c r="OF939" s="2">
        <v>0.002</v>
      </c>
      <c r="OG939" s="2">
        <v>0.0045</v>
      </c>
      <c r="OH939" s="2">
        <v>0.0019</v>
      </c>
      <c r="OM939" s="2">
        <v>0.0014</v>
      </c>
      <c r="ON939" s="2">
        <v>-0.0003</v>
      </c>
      <c r="OO939" s="2">
        <v>0.0013</v>
      </c>
      <c r="OP939" s="2">
        <v>0.0005999999999999999</v>
      </c>
      <c r="OQ939" s="2">
        <v>0.0028</v>
      </c>
      <c r="OR939" s="2">
        <v>0.0001</v>
      </c>
      <c r="OS939" s="2">
        <v>0.0046</v>
      </c>
      <c r="OT939" s="2">
        <v>0.0029</v>
      </c>
      <c r="OU939" s="2">
        <v>0.0058</v>
      </c>
      <c r="OV939" s="2">
        <v>0.0034</v>
      </c>
      <c r="OW939" s="2">
        <v>0.0047</v>
      </c>
      <c r="OX939" s="2">
        <v>0.0053</v>
      </c>
      <c r="PC939" s="2">
        <v>0.0019</v>
      </c>
      <c r="PD939" s="2">
        <v>0.0028</v>
      </c>
      <c r="PE939" s="2">
        <v>0.0055</v>
      </c>
      <c r="PF939" s="2">
        <v>0.0003</v>
      </c>
      <c r="PG939" s="2">
        <v>0.0016</v>
      </c>
      <c r="PH939" s="2">
        <v>0.0042</v>
      </c>
      <c r="PI939" s="2">
        <v>0.0068</v>
      </c>
    </row>
    <row r="940">
      <c r="A940" t="inlineStr">
        <is>
          <t>A130395202R</t>
        </is>
      </c>
      <c r="B940" t="inlineStr">
        <is>
          <t>Contribution to All groups CPI Percentage Points Change from Previous Period ;  Other household services ;  Australia ;</t>
        </is>
      </c>
      <c r="C940" t="inlineStr">
        <is>
          <t>Month</t>
        </is>
      </c>
      <c r="D940" t="inlineStr">
        <is>
          <t>% pts</t>
        </is>
      </c>
      <c r="E940" t="inlineStr">
        <is>
          <t>Original</t>
        </is>
      </c>
      <c r="F940" t="inlineStr">
        <is>
          <t>640105.xlsx</t>
        </is>
      </c>
      <c r="G940" t="inlineStr">
        <is>
          <t>2024-05</t>
        </is>
      </c>
      <c r="H940" t="inlineStr">
        <is>
          <t>2026-07</t>
        </is>
      </c>
      <c r="OA940" s="2">
        <v>-0.0035</v>
      </c>
      <c r="OB940" s="2">
        <v>0</v>
      </c>
      <c r="OC940" s="2">
        <v>0.0055</v>
      </c>
      <c r="OD940" s="2">
        <v>0.0005</v>
      </c>
      <c r="OE940" s="2">
        <v>0.0026</v>
      </c>
      <c r="OF940" s="2">
        <v>0.0049</v>
      </c>
      <c r="OG940" s="2">
        <v>0.0016</v>
      </c>
      <c r="OH940" s="2">
        <v>0.0027</v>
      </c>
      <c r="OM940" s="2">
        <v>0.0003</v>
      </c>
      <c r="ON940" s="2">
        <v>-0.0029</v>
      </c>
      <c r="OO940" s="2">
        <v>0.0025</v>
      </c>
      <c r="OP940" s="2">
        <v>-0.0018</v>
      </c>
      <c r="OQ940" s="2">
        <v>0.0001</v>
      </c>
      <c r="OR940" s="2">
        <v>-0.0027</v>
      </c>
      <c r="OS940" s="2">
        <v>0.0075</v>
      </c>
      <c r="OT940" s="2">
        <v>0.008800000000000001</v>
      </c>
      <c r="OU940" s="2">
        <v>-0.0103</v>
      </c>
      <c r="OV940" s="2">
        <v>0.0018</v>
      </c>
      <c r="OW940" s="2">
        <v>0.0047</v>
      </c>
      <c r="OX940" s="2">
        <v>0.003</v>
      </c>
      <c r="PC940" s="2">
        <v>0</v>
      </c>
      <c r="PD940" s="2">
        <v>0.0004</v>
      </c>
      <c r="PE940" s="2">
        <v>0.0012</v>
      </c>
      <c r="PF940" s="2">
        <v>0.0054</v>
      </c>
      <c r="PG940" s="2">
        <v>-0.0001</v>
      </c>
      <c r="PH940" s="2">
        <v>0.0009</v>
      </c>
      <c r="PI940" s="2">
        <v>0.004</v>
      </c>
    </row>
    <row r="941">
      <c r="A941" t="inlineStr">
        <is>
          <t>A130389994K</t>
        </is>
      </c>
      <c r="B941" t="inlineStr">
        <is>
          <t>Contribution to All groups CPI Percentage Points Change from Previous Period ;  Health ;  Australia ;</t>
        </is>
      </c>
      <c r="C941" t="inlineStr">
        <is>
          <t>Month</t>
        </is>
      </c>
      <c r="D941" t="inlineStr">
        <is>
          <t>% pts</t>
        </is>
      </c>
      <c r="E941" t="inlineStr">
        <is>
          <t>Original</t>
        </is>
      </c>
      <c r="F941" t="inlineStr">
        <is>
          <t>640105.xlsx</t>
        </is>
      </c>
      <c r="G941" t="inlineStr">
        <is>
          <t>2024-05</t>
        </is>
      </c>
      <c r="H941" t="inlineStr">
        <is>
          <t>2026-07</t>
        </is>
      </c>
      <c r="OA941" s="2">
        <v>0.0002</v>
      </c>
      <c r="OB941" s="2">
        <v>-0.0031</v>
      </c>
      <c r="OC941" s="2">
        <v>-0.0004</v>
      </c>
      <c r="OD941" s="2">
        <v>-0.0062</v>
      </c>
      <c r="OE941" s="2">
        <v>-0.0076</v>
      </c>
      <c r="OF941" s="2">
        <v>0.012</v>
      </c>
      <c r="OG941" s="2">
        <v>-0.0092</v>
      </c>
      <c r="OH941" s="2">
        <v>-0.022</v>
      </c>
      <c r="OM941" s="2">
        <v>0.2025</v>
      </c>
      <c r="ON941" s="2">
        <v>0.0069</v>
      </c>
      <c r="OO941" s="2">
        <v>-0.0003</v>
      </c>
      <c r="OP941" s="2">
        <v>0.1181</v>
      </c>
      <c r="OQ941" s="2">
        <v>-0.021</v>
      </c>
      <c r="OR941" s="2">
        <v>-0.0071</v>
      </c>
      <c r="OS941" s="2">
        <v>0.0038</v>
      </c>
      <c r="OT941" s="2">
        <v>0.001</v>
      </c>
      <c r="OU941" s="2">
        <v>-0.0026</v>
      </c>
      <c r="OV941" s="2">
        <v>0.0016</v>
      </c>
      <c r="OW941" s="2">
        <v>-0.036</v>
      </c>
      <c r="OX941" s="2">
        <v>-0.0268</v>
      </c>
      <c r="PC941" s="2">
        <v>0.1805</v>
      </c>
      <c r="PD941" s="2">
        <v>0.004</v>
      </c>
      <c r="PE941" s="2">
        <v>-0.0108</v>
      </c>
      <c r="PF941" s="2">
        <v>0.1778</v>
      </c>
      <c r="PG941" s="2">
        <v>-0.0347</v>
      </c>
      <c r="PH941" s="2">
        <v>-0.0077</v>
      </c>
      <c r="PI941" s="2">
        <v>0.008399999999999999</v>
      </c>
    </row>
    <row r="942">
      <c r="A942" t="inlineStr">
        <is>
          <t>A130397856L</t>
        </is>
      </c>
      <c r="B942" t="inlineStr">
        <is>
          <t>Contribution to All groups CPI Percentage Points Change from Previous Period ;  Medical products, appliances and equipment ;  Australia ;</t>
        </is>
      </c>
      <c r="C942" t="inlineStr">
        <is>
          <t>Month</t>
        </is>
      </c>
      <c r="D942" t="inlineStr">
        <is>
          <t>% pts</t>
        </is>
      </c>
      <c r="E942" t="inlineStr">
        <is>
          <t>Original</t>
        </is>
      </c>
      <c r="F942" t="inlineStr">
        <is>
          <t>640105.xlsx</t>
        </is>
      </c>
      <c r="G942" t="inlineStr">
        <is>
          <t>2024-05</t>
        </is>
      </c>
      <c r="H942" t="inlineStr">
        <is>
          <t>2026-07</t>
        </is>
      </c>
      <c r="OA942" s="2">
        <v>0.001</v>
      </c>
      <c r="OB942" s="2">
        <v>-0.0068</v>
      </c>
      <c r="OC942" s="2">
        <v>-0.0024</v>
      </c>
      <c r="OD942" s="2">
        <v>-0.0039</v>
      </c>
      <c r="OE942" s="2">
        <v>-0.005</v>
      </c>
      <c r="OF942" s="2">
        <v>0.0024</v>
      </c>
      <c r="OG942" s="2">
        <v>-0.0105</v>
      </c>
      <c r="OH942" s="2">
        <v>-0.0094</v>
      </c>
      <c r="OM942" s="2">
        <v>0.0534</v>
      </c>
      <c r="ON942" s="2">
        <v>0.0059</v>
      </c>
      <c r="OO942" s="2">
        <v>-0.0061</v>
      </c>
      <c r="OP942" s="2">
        <v>-0.0078</v>
      </c>
      <c r="OQ942" s="2">
        <v>-0.008500000000000001</v>
      </c>
      <c r="OR942" s="2">
        <v>-0.008800000000000001</v>
      </c>
      <c r="OS942" s="2">
        <v>-0.0012</v>
      </c>
      <c r="OT942" s="2">
        <v>-0.0046</v>
      </c>
      <c r="OU942" s="2">
        <v>-0.0067</v>
      </c>
      <c r="OV942" s="2">
        <v>0.0009</v>
      </c>
      <c r="OW942" s="2">
        <v>-0.009599999999999999</v>
      </c>
      <c r="OX942" s="2">
        <v>-0.0039</v>
      </c>
      <c r="PC942" s="2">
        <v>0.0382</v>
      </c>
      <c r="PD942" s="2">
        <v>-0.0068</v>
      </c>
      <c r="PE942" s="2">
        <v>0.0124</v>
      </c>
      <c r="PF942" s="2">
        <v>-0.0041</v>
      </c>
      <c r="PG942" s="2">
        <v>-0.0262</v>
      </c>
      <c r="PH942" s="2">
        <v>-0.007900000000000001</v>
      </c>
      <c r="PI942" s="2">
        <v>0.0031</v>
      </c>
    </row>
    <row r="943">
      <c r="A943" t="inlineStr">
        <is>
          <t>A130393522R</t>
        </is>
      </c>
      <c r="B943" t="inlineStr">
        <is>
          <t>Contribution to All groups CPI Percentage Points Change from Previous Period ;  Pharmaceutical products ;  Australia ;</t>
        </is>
      </c>
      <c r="C943" t="inlineStr">
        <is>
          <t>Month</t>
        </is>
      </c>
      <c r="D943" t="inlineStr">
        <is>
          <t>% pts</t>
        </is>
      </c>
      <c r="E943" t="inlineStr">
        <is>
          <t>Original</t>
        </is>
      </c>
      <c r="F943" t="inlineStr">
        <is>
          <t>640105.xlsx</t>
        </is>
      </c>
      <c r="G943" t="inlineStr">
        <is>
          <t>2024-05</t>
        </is>
      </c>
      <c r="H943" t="inlineStr">
        <is>
          <t>2026-07</t>
        </is>
      </c>
      <c r="OA943" s="2">
        <v>0.0005999999999999999</v>
      </c>
      <c r="OB943" s="2">
        <v>-0.0066</v>
      </c>
      <c r="OC943" s="2">
        <v>-0.0027</v>
      </c>
      <c r="OD943" s="2">
        <v>-0.0039</v>
      </c>
      <c r="OE943" s="2">
        <v>-0.0052</v>
      </c>
      <c r="OF943" s="2">
        <v>0.002</v>
      </c>
      <c r="OG943" s="2">
        <v>-0.0102</v>
      </c>
      <c r="OH943" s="2">
        <v>-0.008200000000000001</v>
      </c>
      <c r="OM943" s="2">
        <v>0.0509</v>
      </c>
      <c r="ON943" s="2">
        <v>0.0067</v>
      </c>
      <c r="OO943" s="2">
        <v>-0.0065</v>
      </c>
      <c r="OP943" s="2">
        <v>-0.009299999999999999</v>
      </c>
      <c r="OQ943" s="2">
        <v>-0.0083</v>
      </c>
      <c r="OR943" s="2">
        <v>-0.0094</v>
      </c>
      <c r="OS943" s="2">
        <v>-0.0019</v>
      </c>
      <c r="OT943" s="2">
        <v>-0.0049</v>
      </c>
      <c r="OU943" s="2">
        <v>-0.0069</v>
      </c>
      <c r="OV943" s="2">
        <v>0.001</v>
      </c>
      <c r="OW943" s="2">
        <v>-0.009599999999999999</v>
      </c>
      <c r="OX943" s="2">
        <v>-0.0028</v>
      </c>
      <c r="PC943" s="2">
        <v>0.0388</v>
      </c>
      <c r="PD943" s="2">
        <v>-0.0077</v>
      </c>
      <c r="PE943" s="2">
        <v>0.0123</v>
      </c>
      <c r="PF943" s="2">
        <v>-0.0042</v>
      </c>
      <c r="PG943" s="2">
        <v>-0.0271</v>
      </c>
      <c r="PH943" s="2">
        <v>-0.0046</v>
      </c>
      <c r="PI943" s="2">
        <v>-0.0004</v>
      </c>
    </row>
    <row r="944">
      <c r="A944" t="inlineStr">
        <is>
          <t>A130393487V</t>
        </is>
      </c>
      <c r="B944" t="inlineStr">
        <is>
          <t>Contribution to All groups CPI Percentage Points Change from Previous Period ;  Therapeutic appliances and equipment ;  Australia ;</t>
        </is>
      </c>
      <c r="C944" t="inlineStr">
        <is>
          <t>Month</t>
        </is>
      </c>
      <c r="D944" t="inlineStr">
        <is>
          <t>% pts</t>
        </is>
      </c>
      <c r="E944" t="inlineStr">
        <is>
          <t>Original</t>
        </is>
      </c>
      <c r="F944" t="inlineStr">
        <is>
          <t>640105.xlsx</t>
        </is>
      </c>
      <c r="G944" t="inlineStr">
        <is>
          <t>2024-05</t>
        </is>
      </c>
      <c r="H944" t="inlineStr">
        <is>
          <t>2026-07</t>
        </is>
      </c>
      <c r="OA944" s="2">
        <v>0.0004</v>
      </c>
      <c r="OB944" s="2">
        <v>-0.0002</v>
      </c>
      <c r="OC944" s="2">
        <v>0.0002</v>
      </c>
      <c r="OD944" s="2">
        <v>0</v>
      </c>
      <c r="OE944" s="2">
        <v>0.0002</v>
      </c>
      <c r="OF944" s="2">
        <v>0.0003</v>
      </c>
      <c r="OG944" s="2">
        <v>-0.0003</v>
      </c>
      <c r="OH944" s="2">
        <v>-0.0013</v>
      </c>
      <c r="OM944" s="2">
        <v>0.0025</v>
      </c>
      <c r="ON944" s="2">
        <v>-0.0008</v>
      </c>
      <c r="OO944" s="2">
        <v>0.0004</v>
      </c>
      <c r="OP944" s="2">
        <v>0.0015</v>
      </c>
      <c r="OQ944" s="2">
        <v>-0.0002</v>
      </c>
      <c r="OR944" s="2">
        <v>0.0007</v>
      </c>
      <c r="OS944" s="2">
        <v>0.0007</v>
      </c>
      <c r="OT944" s="2">
        <v>0.0004</v>
      </c>
      <c r="OU944" s="2">
        <v>0.0003</v>
      </c>
      <c r="OV944" s="2">
        <v>-0.0002</v>
      </c>
      <c r="OW944" s="2">
        <v>0</v>
      </c>
      <c r="OX944" s="2">
        <v>-0.0011</v>
      </c>
      <c r="PC944" s="2">
        <v>-0.0005999999999999999</v>
      </c>
      <c r="PD944" s="2">
        <v>0.0009</v>
      </c>
      <c r="PE944" s="2">
        <v>0.0002</v>
      </c>
      <c r="PF944" s="2">
        <v>0.0002</v>
      </c>
      <c r="PG944" s="2">
        <v>0.0009</v>
      </c>
      <c r="PH944" s="2">
        <v>-0.0033</v>
      </c>
      <c r="PI944" s="2">
        <v>0.0036</v>
      </c>
    </row>
    <row r="945">
      <c r="A945" t="inlineStr">
        <is>
          <t>A130390288X</t>
        </is>
      </c>
      <c r="B945" t="inlineStr">
        <is>
          <t>Contribution to All groups CPI Percentage Points Change from Previous Period ;  Medical, dental and hospital services ;  Australia ;</t>
        </is>
      </c>
      <c r="C945" t="inlineStr">
        <is>
          <t>Month</t>
        </is>
      </c>
      <c r="D945" t="inlineStr">
        <is>
          <t>% pts</t>
        </is>
      </c>
      <c r="E945" t="inlineStr">
        <is>
          <t>Original</t>
        </is>
      </c>
      <c r="F945" t="inlineStr">
        <is>
          <t>640105.xlsx</t>
        </is>
      </c>
      <c r="G945" t="inlineStr">
        <is>
          <t>2024-05</t>
        </is>
      </c>
      <c r="H945" t="inlineStr">
        <is>
          <t>2026-07</t>
        </is>
      </c>
      <c r="OA945" s="2">
        <v>-0.0008</v>
      </c>
      <c r="OB945" s="2">
        <v>0.0037</v>
      </c>
      <c r="OC945" s="2">
        <v>0.002</v>
      </c>
      <c r="OD945" s="2">
        <v>-0.0023</v>
      </c>
      <c r="OE945" s="2">
        <v>-0.0026</v>
      </c>
      <c r="OF945" s="2">
        <v>0.0097</v>
      </c>
      <c r="OG945" s="2">
        <v>0.0013</v>
      </c>
      <c r="OH945" s="2">
        <v>-0.0126</v>
      </c>
      <c r="OM945" s="2">
        <v>0.1491</v>
      </c>
      <c r="ON945" s="2">
        <v>0.001</v>
      </c>
      <c r="OO945" s="2">
        <v>0.0058</v>
      </c>
      <c r="OP945" s="2">
        <v>0.1258</v>
      </c>
      <c r="OQ945" s="2">
        <v>-0.0124</v>
      </c>
      <c r="OR945" s="2">
        <v>0.0017</v>
      </c>
      <c r="OS945" s="2">
        <v>0.0051</v>
      </c>
      <c r="OT945" s="2">
        <v>0.0055</v>
      </c>
      <c r="OU945" s="2">
        <v>0.0041</v>
      </c>
      <c r="OV945" s="2">
        <v>0.0007</v>
      </c>
      <c r="OW945" s="2">
        <v>-0.0264</v>
      </c>
      <c r="OX945" s="2">
        <v>-0.0229</v>
      </c>
      <c r="PC945" s="2">
        <v>0.1423</v>
      </c>
      <c r="PD945" s="2">
        <v>0.0108</v>
      </c>
      <c r="PE945" s="2">
        <v>-0.0232</v>
      </c>
      <c r="PF945" s="2">
        <v>0.1819</v>
      </c>
      <c r="PG945" s="2">
        <v>-0.008500000000000001</v>
      </c>
      <c r="PH945" s="2">
        <v>0.0002</v>
      </c>
      <c r="PI945" s="2">
        <v>0.0052</v>
      </c>
    </row>
    <row r="946">
      <c r="A946" t="inlineStr">
        <is>
          <t>A130390925C</t>
        </is>
      </c>
      <c r="B946" t="inlineStr">
        <is>
          <t>Contribution to All groups CPI Percentage Points Change from Previous Period ;  Medical and hospital services ;  Australia ;</t>
        </is>
      </c>
      <c r="C946" t="inlineStr">
        <is>
          <t>Month</t>
        </is>
      </c>
      <c r="D946" t="inlineStr">
        <is>
          <t>% pts</t>
        </is>
      </c>
      <c r="E946" t="inlineStr">
        <is>
          <t>Original</t>
        </is>
      </c>
      <c r="F946" t="inlineStr">
        <is>
          <t>640105.xlsx</t>
        </is>
      </c>
      <c r="G946" t="inlineStr">
        <is>
          <t>2024-05</t>
        </is>
      </c>
      <c r="H946" t="inlineStr">
        <is>
          <t>2026-07</t>
        </is>
      </c>
      <c r="OA946" s="2">
        <v>-0.0021</v>
      </c>
      <c r="OB946" s="2">
        <v>0.0031</v>
      </c>
      <c r="OC946" s="2">
        <v>-0.0002</v>
      </c>
      <c r="OD946" s="2">
        <v>-0.0042</v>
      </c>
      <c r="OE946" s="2">
        <v>-0.0044</v>
      </c>
      <c r="OF946" s="2">
        <v>0.008200000000000001</v>
      </c>
      <c r="OG946" s="2">
        <v>0.0015</v>
      </c>
      <c r="OH946" s="2">
        <v>-0.0129</v>
      </c>
      <c r="OM946" s="2">
        <v>0.1484</v>
      </c>
      <c r="ON946" s="2">
        <v>-0.0001</v>
      </c>
      <c r="OO946" s="2">
        <v>0.0052</v>
      </c>
      <c r="OP946" s="2">
        <v>0.1221</v>
      </c>
      <c r="OQ946" s="2">
        <v>-0.0123</v>
      </c>
      <c r="OR946" s="2">
        <v>0.0017</v>
      </c>
      <c r="OS946" s="2">
        <v>0.0019</v>
      </c>
      <c r="OT946" s="2">
        <v>-0.0013</v>
      </c>
      <c r="OU946" s="2">
        <v>0.0033</v>
      </c>
      <c r="OV946" s="2">
        <v>0</v>
      </c>
      <c r="OW946" s="2">
        <v>-0.0266</v>
      </c>
      <c r="OX946" s="2">
        <v>-0.0238</v>
      </c>
      <c r="PC946" s="2">
        <v>0.1409</v>
      </c>
      <c r="PD946" s="2">
        <v>0.009299999999999999</v>
      </c>
      <c r="PE946" s="2">
        <v>-0.0237</v>
      </c>
      <c r="PF946" s="2">
        <v>0.1794</v>
      </c>
      <c r="PG946" s="2">
        <v>-0.0094</v>
      </c>
      <c r="PH946" s="2">
        <v>0</v>
      </c>
      <c r="PI946" s="2">
        <v>-0.0002</v>
      </c>
    </row>
    <row r="947">
      <c r="A947" t="inlineStr">
        <is>
          <t>A130393501C</t>
        </is>
      </c>
      <c r="B947" t="inlineStr">
        <is>
          <t>Contribution to All groups CPI Percentage Points Change from Previous Period ;  Dental services ;  Australia ;</t>
        </is>
      </c>
      <c r="C947" t="inlineStr">
        <is>
          <t>Month</t>
        </is>
      </c>
      <c r="D947" t="inlineStr">
        <is>
          <t>% pts</t>
        </is>
      </c>
      <c r="E947" t="inlineStr">
        <is>
          <t>Original</t>
        </is>
      </c>
      <c r="F947" t="inlineStr">
        <is>
          <t>640105.xlsx</t>
        </is>
      </c>
      <c r="G947" t="inlineStr">
        <is>
          <t>2024-05</t>
        </is>
      </c>
      <c r="H947" t="inlineStr">
        <is>
          <t>2026-07</t>
        </is>
      </c>
      <c r="OA947" s="2">
        <v>0.0013</v>
      </c>
      <c r="OB947" s="2">
        <v>0.0007</v>
      </c>
      <c r="OC947" s="2">
        <v>0.0022</v>
      </c>
      <c r="OD947" s="2">
        <v>0.0019</v>
      </c>
      <c r="OE947" s="2">
        <v>0.0017</v>
      </c>
      <c r="OF947" s="2">
        <v>0.0015</v>
      </c>
      <c r="OG947" s="2">
        <v>-0.0002</v>
      </c>
      <c r="OH947" s="2">
        <v>0.0003</v>
      </c>
      <c r="OM947" s="2">
        <v>0.0007</v>
      </c>
      <c r="ON947" s="2">
        <v>0.0012</v>
      </c>
      <c r="OO947" s="2">
        <v>0.0005</v>
      </c>
      <c r="OP947" s="2">
        <v>0.0037</v>
      </c>
      <c r="OQ947" s="2">
        <v>-0.0002</v>
      </c>
      <c r="OR947" s="2">
        <v>0</v>
      </c>
      <c r="OS947" s="2">
        <v>0.0032</v>
      </c>
      <c r="OT947" s="2">
        <v>0.0069</v>
      </c>
      <c r="OU947" s="2">
        <v>0.0008</v>
      </c>
      <c r="OV947" s="2">
        <v>0.0007</v>
      </c>
      <c r="OW947" s="2">
        <v>0.0003</v>
      </c>
      <c r="OX947" s="2">
        <v>0.0009</v>
      </c>
      <c r="PC947" s="2">
        <v>0.0014</v>
      </c>
      <c r="PD947" s="2">
        <v>0.0015</v>
      </c>
      <c r="PE947" s="2">
        <v>0.0005</v>
      </c>
      <c r="PF947" s="2">
        <v>0.0025</v>
      </c>
      <c r="PG947" s="2">
        <v>0.0009</v>
      </c>
      <c r="PH947" s="2">
        <v>0.0002</v>
      </c>
      <c r="PI947" s="2">
        <v>0.0054</v>
      </c>
    </row>
    <row r="948">
      <c r="A948" t="inlineStr">
        <is>
          <t>A130396693L</t>
        </is>
      </c>
      <c r="B948" t="inlineStr">
        <is>
          <t>Contribution to All groups CPI Percentage Points Change from Previous Period ;  Transport ;  Australia ;</t>
        </is>
      </c>
      <c r="C948" t="inlineStr">
        <is>
          <t>Month</t>
        </is>
      </c>
      <c r="D948" t="inlineStr">
        <is>
          <t>% pts</t>
        </is>
      </c>
      <c r="E948" t="inlineStr">
        <is>
          <t>Original</t>
        </is>
      </c>
      <c r="F948" t="inlineStr">
        <is>
          <t>640105.xlsx</t>
        </is>
      </c>
      <c r="G948" t="inlineStr">
        <is>
          <t>2024-05</t>
        </is>
      </c>
      <c r="H948" t="inlineStr">
        <is>
          <t>2026-07</t>
        </is>
      </c>
      <c r="OA948" s="2">
        <v>-0.197</v>
      </c>
      <c r="OB948" s="2">
        <v>0.025</v>
      </c>
      <c r="OC948" s="2">
        <v>-0.0784</v>
      </c>
      <c r="OD948" s="2">
        <v>-0.1129</v>
      </c>
      <c r="OE948" s="2">
        <v>-0.1352</v>
      </c>
      <c r="OF948" s="2">
        <v>-0.0198</v>
      </c>
      <c r="OG948" s="2">
        <v>0.039</v>
      </c>
      <c r="OH948" s="2">
        <v>0.1192</v>
      </c>
      <c r="OM948" s="2">
        <v>-0.0206</v>
      </c>
      <c r="ON948" s="2">
        <v>0.0722</v>
      </c>
      <c r="OO948" s="2">
        <v>0.0043</v>
      </c>
      <c r="OP948" s="2">
        <v>-0.0723</v>
      </c>
      <c r="OQ948" s="2">
        <v>-0.0867</v>
      </c>
      <c r="OR948" s="2">
        <v>0.0502</v>
      </c>
      <c r="OS948" s="2">
        <v>0.1214</v>
      </c>
      <c r="OT948" s="2">
        <v>0.0311</v>
      </c>
      <c r="OU948" s="2">
        <v>0.0125</v>
      </c>
      <c r="OV948" s="2">
        <v>0.0298</v>
      </c>
      <c r="OW948" s="2">
        <v>0.0354</v>
      </c>
      <c r="OX948" s="2">
        <v>0.0047</v>
      </c>
      <c r="PC948" s="2">
        <v>-0.0774</v>
      </c>
      <c r="PD948" s="2">
        <v>-0.0718</v>
      </c>
      <c r="PE948" s="2">
        <v>1.0127</v>
      </c>
      <c r="PF948" s="2">
        <v>-0.3251</v>
      </c>
      <c r="PG948" s="2">
        <v>-0.4461</v>
      </c>
      <c r="PH948" s="2">
        <v>-0.3001</v>
      </c>
      <c r="PI948" s="2">
        <v>0.2871</v>
      </c>
    </row>
    <row r="949">
      <c r="A949" t="inlineStr">
        <is>
          <t>A130391793F</t>
        </is>
      </c>
      <c r="B949" t="inlineStr">
        <is>
          <t>Contribution to All groups CPI Percentage Points Change from Previous Period ;  Private motoring ;  Australia ;</t>
        </is>
      </c>
      <c r="C949" t="inlineStr">
        <is>
          <t>Month</t>
        </is>
      </c>
      <c r="D949" t="inlineStr">
        <is>
          <t>% pts</t>
        </is>
      </c>
      <c r="E949" t="inlineStr">
        <is>
          <t>Original</t>
        </is>
      </c>
      <c r="F949" t="inlineStr">
        <is>
          <t>640105.xlsx</t>
        </is>
      </c>
      <c r="G949" t="inlineStr">
        <is>
          <t>2024-05</t>
        </is>
      </c>
      <c r="H949" t="inlineStr">
        <is>
          <t>2026-07</t>
        </is>
      </c>
      <c r="OA949" s="2">
        <v>-0.197</v>
      </c>
      <c r="OB949" s="2">
        <v>0.0262</v>
      </c>
      <c r="OC949" s="2">
        <v>-0.0833</v>
      </c>
      <c r="OD949" s="2">
        <v>-0.09470000000000001</v>
      </c>
      <c r="OE949" s="2">
        <v>-0.132</v>
      </c>
      <c r="OF949" s="2">
        <v>-0.019</v>
      </c>
      <c r="OG949" s="2">
        <v>0.0393</v>
      </c>
      <c r="OH949" s="2">
        <v>0.1236</v>
      </c>
      <c r="OM949" s="2">
        <v>-0.0181</v>
      </c>
      <c r="ON949" s="2">
        <v>0.0608</v>
      </c>
      <c r="OO949" s="2">
        <v>0.0023</v>
      </c>
      <c r="OP949" s="2">
        <v>-0.07240000000000001</v>
      </c>
      <c r="OQ949" s="2">
        <v>-0.08699999999999999</v>
      </c>
      <c r="OR949" s="2">
        <v>0.0498</v>
      </c>
      <c r="OS949" s="2">
        <v>0.1151</v>
      </c>
      <c r="OT949" s="2">
        <v>0.0311</v>
      </c>
      <c r="OU949" s="2">
        <v>0.0125</v>
      </c>
      <c r="OV949" s="2">
        <v>0.0302</v>
      </c>
      <c r="OW949" s="2">
        <v>0.0371</v>
      </c>
      <c r="OX949" s="2">
        <v>0.0225</v>
      </c>
      <c r="PC949" s="2">
        <v>-0.0711</v>
      </c>
      <c r="PD949" s="2">
        <v>-0.0857</v>
      </c>
      <c r="PE949" s="2">
        <v>1.0116</v>
      </c>
      <c r="PF949" s="2">
        <v>-0.2589</v>
      </c>
      <c r="PG949" s="2">
        <v>-0.4459</v>
      </c>
      <c r="PH949" s="2">
        <v>-0.334</v>
      </c>
      <c r="PI949" s="2">
        <v>0.2861</v>
      </c>
    </row>
    <row r="950">
      <c r="A950" t="inlineStr">
        <is>
          <t>A130395839X</t>
        </is>
      </c>
      <c r="B950" t="inlineStr">
        <is>
          <t>Contribution to All groups CPI Percentage Points Change from Previous Period ;  Motor vehicles ;  Australia ;</t>
        </is>
      </c>
      <c r="C950" t="inlineStr">
        <is>
          <t>Month</t>
        </is>
      </c>
      <c r="D950" t="inlineStr">
        <is>
          <t>% pts</t>
        </is>
      </c>
      <c r="E950" t="inlineStr">
        <is>
          <t>Original</t>
        </is>
      </c>
      <c r="F950" t="inlineStr">
        <is>
          <t>640105.xlsx</t>
        </is>
      </c>
      <c r="G950" t="inlineStr">
        <is>
          <t>2024-05</t>
        </is>
      </c>
      <c r="H950" t="inlineStr">
        <is>
          <t>2026-07</t>
        </is>
      </c>
      <c r="OA950" s="2">
        <v>-0.0122</v>
      </c>
      <c r="OB950" s="2">
        <v>-0.0177</v>
      </c>
      <c r="OC950" s="2">
        <v>-0.0044</v>
      </c>
      <c r="OD950" s="2">
        <v>-0.0045</v>
      </c>
      <c r="OE950" s="2">
        <v>-0.0064</v>
      </c>
      <c r="OF950" s="2">
        <v>0.0074</v>
      </c>
      <c r="OG950" s="2">
        <v>-0.0102</v>
      </c>
      <c r="OH950" s="2">
        <v>0.0026</v>
      </c>
      <c r="OM950" s="2">
        <v>0.0014</v>
      </c>
      <c r="ON950" s="2">
        <v>0.0051</v>
      </c>
      <c r="OO950" s="2">
        <v>0.0081</v>
      </c>
      <c r="OP950" s="2">
        <v>0.0072</v>
      </c>
      <c r="OQ950" s="2">
        <v>-0.0039</v>
      </c>
      <c r="OR950" s="2">
        <v>-0.0561</v>
      </c>
      <c r="OS950" s="2">
        <v>0.06900000000000001</v>
      </c>
      <c r="OT950" s="2">
        <v>0</v>
      </c>
      <c r="OU950" s="2">
        <v>-0.0282</v>
      </c>
      <c r="OV950" s="2">
        <v>0.0318</v>
      </c>
      <c r="OW950" s="2">
        <v>-0.056</v>
      </c>
      <c r="OX950" s="2">
        <v>0.0605</v>
      </c>
      <c r="PC950" s="2">
        <v>0.0132</v>
      </c>
      <c r="PD950" s="2">
        <v>-0.0034</v>
      </c>
      <c r="PE950" s="2">
        <v>0.0049</v>
      </c>
      <c r="PF950" s="2">
        <v>0.007</v>
      </c>
      <c r="PG950" s="2">
        <v>-0.034</v>
      </c>
      <c r="PH950" s="2">
        <v>0.011</v>
      </c>
      <c r="PI950" s="2">
        <v>0.0193</v>
      </c>
    </row>
    <row r="951">
      <c r="A951" t="inlineStr">
        <is>
          <t>A130393396L</t>
        </is>
      </c>
      <c r="B951" t="inlineStr">
        <is>
          <t>Contribution to All groups CPI Percentage Points Change from Previous Period ;  Spare parts and accessories for motor vehicles ;  Australia ;</t>
        </is>
      </c>
      <c r="C951" t="inlineStr">
        <is>
          <t>Month</t>
        </is>
      </c>
      <c r="D951" t="inlineStr">
        <is>
          <t>% pts</t>
        </is>
      </c>
      <c r="E951" t="inlineStr">
        <is>
          <t>Original</t>
        </is>
      </c>
      <c r="F951" t="inlineStr">
        <is>
          <t>640105.xlsx</t>
        </is>
      </c>
      <c r="G951" t="inlineStr">
        <is>
          <t>2024-05</t>
        </is>
      </c>
      <c r="H951" t="inlineStr">
        <is>
          <t>2026-07</t>
        </is>
      </c>
      <c r="OA951" s="2">
        <v>-0.0009</v>
      </c>
      <c r="OB951" s="2">
        <v>0.0035</v>
      </c>
      <c r="OC951" s="2">
        <v>-0.0008</v>
      </c>
      <c r="OD951" s="2">
        <v>0.0075</v>
      </c>
      <c r="OE951" s="2">
        <v>-0.0089</v>
      </c>
      <c r="OF951" s="2">
        <v>0.0064</v>
      </c>
      <c r="OG951" s="2">
        <v>0.0014</v>
      </c>
      <c r="OH951" s="2">
        <v>-0.0127</v>
      </c>
      <c r="OM951" s="2">
        <v>0.0177</v>
      </c>
      <c r="ON951" s="2">
        <v>0.008200000000000001</v>
      </c>
      <c r="OO951" s="2">
        <v>0.0111</v>
      </c>
      <c r="OP951" s="2">
        <v>-0.0101</v>
      </c>
      <c r="OQ951" s="2">
        <v>0.0049</v>
      </c>
      <c r="OR951" s="2">
        <v>-0.008800000000000001</v>
      </c>
      <c r="OS951" s="2">
        <v>-0.0011</v>
      </c>
      <c r="OT951" s="2">
        <v>-0.0024</v>
      </c>
      <c r="OU951" s="2">
        <v>-0.0072</v>
      </c>
      <c r="OV951" s="2">
        <v>0.0178</v>
      </c>
      <c r="OW951" s="2">
        <v>-0.0047</v>
      </c>
      <c r="OX951" s="2">
        <v>-0.0203</v>
      </c>
      <c r="PC951" s="2">
        <v>0.0094</v>
      </c>
      <c r="PD951" s="2">
        <v>0.0019</v>
      </c>
      <c r="PE951" s="2">
        <v>0.0004</v>
      </c>
      <c r="PF951" s="2">
        <v>0.0005</v>
      </c>
      <c r="PG951" s="2">
        <v>0.0089</v>
      </c>
      <c r="PH951" s="2">
        <v>0.0059</v>
      </c>
      <c r="PI951" s="2">
        <v>0.0027</v>
      </c>
    </row>
    <row r="952">
      <c r="A952" t="inlineStr">
        <is>
          <t>A130398325V</t>
        </is>
      </c>
      <c r="B952" t="inlineStr">
        <is>
          <t>Contribution to All groups CPI Percentage Points Change from Previous Period ;  Automotive fuel ;  Australia ;</t>
        </is>
      </c>
      <c r="C952" t="inlineStr">
        <is>
          <t>Month</t>
        </is>
      </c>
      <c r="D952" t="inlineStr">
        <is>
          <t>% pts</t>
        </is>
      </c>
      <c r="E952" t="inlineStr">
        <is>
          <t>Original</t>
        </is>
      </c>
      <c r="F952" t="inlineStr">
        <is>
          <t>640105.xlsx</t>
        </is>
      </c>
      <c r="G952" t="inlineStr">
        <is>
          <t>2024-05</t>
        </is>
      </c>
      <c r="H952" t="inlineStr">
        <is>
          <t>2026-07</t>
        </is>
      </c>
      <c r="OA952" s="2">
        <v>-0.1943</v>
      </c>
      <c r="OB952" s="2">
        <v>0.0453</v>
      </c>
      <c r="OC952" s="2">
        <v>-0.0945</v>
      </c>
      <c r="OD952" s="2">
        <v>-0.1101</v>
      </c>
      <c r="OE952" s="2">
        <v>-0.1358</v>
      </c>
      <c r="OF952" s="2">
        <v>-0.0013</v>
      </c>
      <c r="OG952" s="2">
        <v>0.03</v>
      </c>
      <c r="OH952" s="2">
        <v>0.1264</v>
      </c>
      <c r="OM952" s="2">
        <v>-0.0474</v>
      </c>
      <c r="ON952" s="2">
        <v>0.0407</v>
      </c>
      <c r="OO952" s="2">
        <v>-0.0261</v>
      </c>
      <c r="OP952" s="2">
        <v>-0.0853</v>
      </c>
      <c r="OQ952" s="2">
        <v>-0.09719999999999999</v>
      </c>
      <c r="OR952" s="2">
        <v>0.1134</v>
      </c>
      <c r="OS952" s="2">
        <v>0.0001</v>
      </c>
      <c r="OT952" s="2">
        <v>0.0241</v>
      </c>
      <c r="OU952" s="2">
        <v>0.0167</v>
      </c>
      <c r="OV952" s="2">
        <v>-0.0293</v>
      </c>
      <c r="OW952" s="2">
        <v>0.0801</v>
      </c>
      <c r="OX952" s="2">
        <v>-0.0181</v>
      </c>
      <c r="PC952" s="2">
        <v>-0.1063</v>
      </c>
      <c r="PD952" s="2">
        <v>-0.1087</v>
      </c>
      <c r="PE952" s="2">
        <v>0.9979</v>
      </c>
      <c r="PF952" s="2">
        <v>-0.2795</v>
      </c>
      <c r="PG952" s="2">
        <v>-0.4399</v>
      </c>
      <c r="PH952" s="2">
        <v>-0.3569</v>
      </c>
      <c r="PI952" s="2">
        <v>0.2199</v>
      </c>
    </row>
    <row r="953">
      <c r="A953" t="inlineStr">
        <is>
          <t>A130392115L</t>
        </is>
      </c>
      <c r="B953" t="inlineStr">
        <is>
          <t>Contribution to All groups CPI Percentage Points Change from Previous Period ;  Maintenance and repair of motor vehicles ;  Australia ;</t>
        </is>
      </c>
      <c r="C953" t="inlineStr">
        <is>
          <t>Month</t>
        </is>
      </c>
      <c r="D953" t="inlineStr">
        <is>
          <t>% pts</t>
        </is>
      </c>
      <c r="E953" t="inlineStr">
        <is>
          <t>Original</t>
        </is>
      </c>
      <c r="F953" t="inlineStr">
        <is>
          <t>640105.xlsx</t>
        </is>
      </c>
      <c r="G953" t="inlineStr">
        <is>
          <t>2024-05</t>
        </is>
      </c>
      <c r="H953" t="inlineStr">
        <is>
          <t>2026-07</t>
        </is>
      </c>
      <c r="OA953" s="2">
        <v>0.01</v>
      </c>
      <c r="OB953" s="2">
        <v>-0.0051</v>
      </c>
      <c r="OC953" s="2">
        <v>-0.004</v>
      </c>
      <c r="OD953" s="2">
        <v>0.014</v>
      </c>
      <c r="OE953" s="2">
        <v>0.0054</v>
      </c>
      <c r="OF953" s="2">
        <v>0.0034</v>
      </c>
      <c r="OG953" s="2">
        <v>0.0144</v>
      </c>
      <c r="OH953" s="2">
        <v>0.0064</v>
      </c>
      <c r="OM953" s="2">
        <v>0.0012</v>
      </c>
      <c r="ON953" s="2">
        <v>0.0068</v>
      </c>
      <c r="OO953" s="2">
        <v>0.008</v>
      </c>
      <c r="OP953" s="2">
        <v>0.0146</v>
      </c>
      <c r="OQ953" s="2">
        <v>0.0072</v>
      </c>
      <c r="OR953" s="2">
        <v>0.0005</v>
      </c>
      <c r="OS953" s="2">
        <v>0.0203</v>
      </c>
      <c r="OT953" s="2">
        <v>0.0101</v>
      </c>
      <c r="OU953" s="2">
        <v>0.0018</v>
      </c>
      <c r="OV953" s="2">
        <v>0.009900000000000001</v>
      </c>
      <c r="OW953" s="2">
        <v>0.0159</v>
      </c>
      <c r="OX953" s="2">
        <v>-0.0009</v>
      </c>
      <c r="PC953" s="2">
        <v>0.0089</v>
      </c>
      <c r="PD953" s="2">
        <v>0.0237</v>
      </c>
      <c r="PE953" s="2">
        <v>0.008200000000000001</v>
      </c>
      <c r="PF953" s="2">
        <v>0.0097</v>
      </c>
      <c r="PG953" s="2">
        <v>0.0191</v>
      </c>
      <c r="PH953" s="2">
        <v>0.0058</v>
      </c>
      <c r="PI953" s="2">
        <v>0.0069</v>
      </c>
    </row>
    <row r="954">
      <c r="A954" t="inlineStr">
        <is>
          <t>A130390855J</t>
        </is>
      </c>
      <c r="B954" t="inlineStr">
        <is>
          <t>Contribution to All groups CPI Percentage Points Change from Previous Period ;  Other services in respect of motor vehicles ;  Australia ;</t>
        </is>
      </c>
      <c r="C954" t="inlineStr">
        <is>
          <t>Month</t>
        </is>
      </c>
      <c r="D954" t="inlineStr">
        <is>
          <t>% pts</t>
        </is>
      </c>
      <c r="E954" t="inlineStr">
        <is>
          <t>Original</t>
        </is>
      </c>
      <c r="F954" t="inlineStr">
        <is>
          <t>640105.xlsx</t>
        </is>
      </c>
      <c r="G954" t="inlineStr">
        <is>
          <t>2024-05</t>
        </is>
      </c>
      <c r="H954" t="inlineStr">
        <is>
          <t>2026-07</t>
        </is>
      </c>
      <c r="OA954" s="2">
        <v>0.0003</v>
      </c>
      <c r="OB954" s="2">
        <v>0.0002</v>
      </c>
      <c r="OC954" s="2">
        <v>0.0203</v>
      </c>
      <c r="OD954" s="2">
        <v>-0.0017</v>
      </c>
      <c r="OE954" s="2">
        <v>0.0137</v>
      </c>
      <c r="OF954" s="2">
        <v>-0.0349</v>
      </c>
      <c r="OG954" s="2">
        <v>0.0037</v>
      </c>
      <c r="OH954" s="2">
        <v>0.0009</v>
      </c>
      <c r="OM954" s="2">
        <v>0.008999999999999999</v>
      </c>
      <c r="ON954" s="2">
        <v>0</v>
      </c>
      <c r="OO954" s="2">
        <v>0.0013</v>
      </c>
      <c r="OP954" s="2">
        <v>0.0012</v>
      </c>
      <c r="OQ954" s="2">
        <v>0.002</v>
      </c>
      <c r="OR954" s="2">
        <v>0.0008</v>
      </c>
      <c r="OS954" s="2">
        <v>0.0267</v>
      </c>
      <c r="OT954" s="2">
        <v>-0.0005999999999999999</v>
      </c>
      <c r="OU954" s="2">
        <v>0.0294</v>
      </c>
      <c r="OV954" s="2">
        <v>0</v>
      </c>
      <c r="OW954" s="2">
        <v>0.0019</v>
      </c>
      <c r="OX954" s="2">
        <v>0.0013</v>
      </c>
      <c r="PC954" s="2">
        <v>0.0037</v>
      </c>
      <c r="PD954" s="2">
        <v>0.0008</v>
      </c>
      <c r="PE954" s="2">
        <v>0.0002</v>
      </c>
      <c r="PF954" s="2">
        <v>0.0034</v>
      </c>
      <c r="PG954" s="2">
        <v>0</v>
      </c>
      <c r="PH954" s="2">
        <v>0.0002</v>
      </c>
      <c r="PI954" s="2">
        <v>0.0374</v>
      </c>
    </row>
    <row r="955">
      <c r="A955" t="inlineStr">
        <is>
          <t>A130393123F</t>
        </is>
      </c>
      <c r="B955" t="inlineStr">
        <is>
          <t>Contribution to All groups CPI Percentage Points Change from Previous Period ;  Urban transport fares ;  Australia ;</t>
        </is>
      </c>
      <c r="C955" t="inlineStr">
        <is>
          <t>Month</t>
        </is>
      </c>
      <c r="D955" t="inlineStr">
        <is>
          <t>% pts</t>
        </is>
      </c>
      <c r="E955" t="inlineStr">
        <is>
          <t>Original</t>
        </is>
      </c>
      <c r="F955" t="inlineStr">
        <is>
          <t>640105.xlsx</t>
        </is>
      </c>
      <c r="G955" t="inlineStr">
        <is>
          <t>2024-05</t>
        </is>
      </c>
      <c r="H955" t="inlineStr">
        <is>
          <t>2026-07</t>
        </is>
      </c>
      <c r="OA955" s="2">
        <v>0.0001</v>
      </c>
      <c r="OB955" s="2">
        <v>-0.0012</v>
      </c>
      <c r="OC955" s="2">
        <v>0.0049</v>
      </c>
      <c r="OD955" s="2">
        <v>-0.0181</v>
      </c>
      <c r="OE955" s="2">
        <v>-0.0031</v>
      </c>
      <c r="OF955" s="2">
        <v>-0.0008</v>
      </c>
      <c r="OG955" s="2">
        <v>-0.0003</v>
      </c>
      <c r="OH955" s="2">
        <v>-0.0044</v>
      </c>
      <c r="OM955" s="2">
        <v>-0.0025</v>
      </c>
      <c r="ON955" s="2">
        <v>0.0114</v>
      </c>
      <c r="OO955" s="2">
        <v>0.002</v>
      </c>
      <c r="OP955" s="2">
        <v>0.0002</v>
      </c>
      <c r="OQ955" s="2">
        <v>0.0003</v>
      </c>
      <c r="OR955" s="2">
        <v>0.0004</v>
      </c>
      <c r="OS955" s="2">
        <v>0.0063</v>
      </c>
      <c r="OT955" s="2">
        <v>0</v>
      </c>
      <c r="OU955" s="2">
        <v>0</v>
      </c>
      <c r="OV955" s="2">
        <v>-0.0004</v>
      </c>
      <c r="OW955" s="2">
        <v>-0.0017</v>
      </c>
      <c r="OX955" s="2">
        <v>-0.0178</v>
      </c>
      <c r="PC955" s="2">
        <v>-0.0063</v>
      </c>
      <c r="PD955" s="2">
        <v>0.0139</v>
      </c>
      <c r="PE955" s="2">
        <v>0.0011</v>
      </c>
      <c r="PF955" s="2">
        <v>-0.06619999999999999</v>
      </c>
      <c r="PG955" s="2">
        <v>-0.0003</v>
      </c>
      <c r="PH955" s="2">
        <v>0.0339</v>
      </c>
      <c r="PI955" s="2">
        <v>0.001</v>
      </c>
    </row>
    <row r="956">
      <c r="A956" t="inlineStr">
        <is>
          <t>A130398367T</t>
        </is>
      </c>
      <c r="B956" t="inlineStr">
        <is>
          <t>Contribution to All groups CPI Percentage Points Change from Previous Period ;  Urban transport fares ;  Australia ;</t>
        </is>
      </c>
      <c r="C956" t="inlineStr">
        <is>
          <t>Month</t>
        </is>
      </c>
      <c r="D956" t="inlineStr">
        <is>
          <t>% pts</t>
        </is>
      </c>
      <c r="E956" t="inlineStr">
        <is>
          <t>Original</t>
        </is>
      </c>
      <c r="F956" t="inlineStr">
        <is>
          <t>640105.xlsx</t>
        </is>
      </c>
      <c r="G956" t="inlineStr">
        <is>
          <t>2024-05</t>
        </is>
      </c>
      <c r="H956" t="inlineStr">
        <is>
          <t>2026-07</t>
        </is>
      </c>
      <c r="OA956" s="2">
        <v>0.0001</v>
      </c>
      <c r="OB956" s="2">
        <v>-0.0012</v>
      </c>
      <c r="OC956" s="2">
        <v>0.0049</v>
      </c>
      <c r="OD956" s="2">
        <v>-0.0181</v>
      </c>
      <c r="OE956" s="2">
        <v>-0.0031</v>
      </c>
      <c r="OF956" s="2">
        <v>-0.0008</v>
      </c>
      <c r="OG956" s="2">
        <v>-0.0003</v>
      </c>
      <c r="OH956" s="2">
        <v>-0.0044</v>
      </c>
      <c r="OM956" s="2">
        <v>-0.0025</v>
      </c>
      <c r="ON956" s="2">
        <v>0.0114</v>
      </c>
      <c r="OO956" s="2">
        <v>0.002</v>
      </c>
      <c r="OP956" s="2">
        <v>0.0002</v>
      </c>
      <c r="OQ956" s="2">
        <v>0.0003</v>
      </c>
      <c r="OR956" s="2">
        <v>0.0004</v>
      </c>
      <c r="OS956" s="2">
        <v>0.0063</v>
      </c>
      <c r="OT956" s="2">
        <v>0</v>
      </c>
      <c r="OU956" s="2">
        <v>0</v>
      </c>
      <c r="OV956" s="2">
        <v>-0.0004</v>
      </c>
      <c r="OW956" s="2">
        <v>-0.0017</v>
      </c>
      <c r="OX956" s="2">
        <v>-0.0178</v>
      </c>
      <c r="PC956" s="2">
        <v>-0.0063</v>
      </c>
      <c r="PD956" s="2">
        <v>0.0139</v>
      </c>
      <c r="PE956" s="2">
        <v>0.0011</v>
      </c>
      <c r="PF956" s="2">
        <v>-0.06619999999999999</v>
      </c>
      <c r="PG956" s="2">
        <v>-0.0003</v>
      </c>
      <c r="PH956" s="2">
        <v>0.0339</v>
      </c>
      <c r="PI956" s="2">
        <v>0.001</v>
      </c>
    </row>
    <row r="957">
      <c r="A957" t="inlineStr">
        <is>
          <t>A130391296T</t>
        </is>
      </c>
      <c r="B957" t="inlineStr">
        <is>
          <t>Contribution to All groups CPI Percentage Points Change from Previous Period ;  Communication ;  Australia ;</t>
        </is>
      </c>
      <c r="C957" t="inlineStr">
        <is>
          <t>Month</t>
        </is>
      </c>
      <c r="D957" t="inlineStr">
        <is>
          <t>% pts</t>
        </is>
      </c>
      <c r="E957" t="inlineStr">
        <is>
          <t>Original</t>
        </is>
      </c>
      <c r="F957" t="inlineStr">
        <is>
          <t>640105.xlsx</t>
        </is>
      </c>
      <c r="G957" t="inlineStr">
        <is>
          <t>2024-05</t>
        </is>
      </c>
      <c r="H957" t="inlineStr">
        <is>
          <t>2026-07</t>
        </is>
      </c>
      <c r="OA957" s="2">
        <v>-0.0136</v>
      </c>
      <c r="OB957" s="2">
        <v>-0.0136</v>
      </c>
      <c r="OC957" s="2">
        <v>0.0347</v>
      </c>
      <c r="OD957" s="2">
        <v>-0.0108</v>
      </c>
      <c r="OE957" s="2">
        <v>0.0009</v>
      </c>
      <c r="OF957" s="2">
        <v>0.0135</v>
      </c>
      <c r="OG957" s="2">
        <v>-0.0024</v>
      </c>
      <c r="OH957" s="2">
        <v>-0.0046</v>
      </c>
      <c r="OM957" s="2">
        <v>-0.0077</v>
      </c>
      <c r="ON957" s="2">
        <v>0.0156</v>
      </c>
      <c r="OO957" s="2">
        <v>-0.003</v>
      </c>
      <c r="OP957" s="2">
        <v>0.0056</v>
      </c>
      <c r="OQ957" s="2">
        <v>-0.0078</v>
      </c>
      <c r="OR957" s="2">
        <v>-0.0178</v>
      </c>
      <c r="OS957" s="2">
        <v>0.0315</v>
      </c>
      <c r="OT957" s="2">
        <v>0.0148</v>
      </c>
      <c r="OU957" s="2">
        <v>-0.0042</v>
      </c>
      <c r="OV957" s="2">
        <v>-0.0043</v>
      </c>
      <c r="OW957" s="2">
        <v>0.009299999999999999</v>
      </c>
      <c r="OX957" s="2">
        <v>-0.0092</v>
      </c>
      <c r="PC957" s="2">
        <v>-0.0019</v>
      </c>
      <c r="PD957" s="2">
        <v>0.0038</v>
      </c>
      <c r="PE957" s="2">
        <v>0.0094</v>
      </c>
      <c r="PF957" s="2">
        <v>0.007900000000000001</v>
      </c>
      <c r="PG957" s="2">
        <v>0.0033</v>
      </c>
      <c r="PH957" s="2">
        <v>-0.0142</v>
      </c>
      <c r="PI957" s="2">
        <v>0.0365</v>
      </c>
    </row>
    <row r="958">
      <c r="A958" t="inlineStr">
        <is>
          <t>A130390484J</t>
        </is>
      </c>
      <c r="B958" t="inlineStr">
        <is>
          <t>Contribution to All groups CPI Percentage Points Change from Previous Period ;  Communication ;  Australia ;</t>
        </is>
      </c>
      <c r="C958" t="inlineStr">
        <is>
          <t>Month</t>
        </is>
      </c>
      <c r="D958" t="inlineStr">
        <is>
          <t>% pts</t>
        </is>
      </c>
      <c r="E958" t="inlineStr">
        <is>
          <t>Original</t>
        </is>
      </c>
      <c r="F958" t="inlineStr">
        <is>
          <t>640105.xlsx</t>
        </is>
      </c>
      <c r="G958" t="inlineStr">
        <is>
          <t>2024-05</t>
        </is>
      </c>
      <c r="H958" t="inlineStr">
        <is>
          <t>2026-07</t>
        </is>
      </c>
      <c r="OA958" s="2">
        <v>-0.0136</v>
      </c>
      <c r="OB958" s="2">
        <v>-0.0136</v>
      </c>
      <c r="OC958" s="2">
        <v>0.0347</v>
      </c>
      <c r="OD958" s="2">
        <v>-0.0108</v>
      </c>
      <c r="OE958" s="2">
        <v>0.0009</v>
      </c>
      <c r="OF958" s="2">
        <v>0.0135</v>
      </c>
      <c r="OG958" s="2">
        <v>-0.0024</v>
      </c>
      <c r="OH958" s="2">
        <v>-0.0046</v>
      </c>
      <c r="OM958" s="2">
        <v>-0.0077</v>
      </c>
      <c r="ON958" s="2">
        <v>0.0156</v>
      </c>
      <c r="OO958" s="2">
        <v>-0.003</v>
      </c>
      <c r="OP958" s="2">
        <v>0.0056</v>
      </c>
      <c r="OQ958" s="2">
        <v>-0.0078</v>
      </c>
      <c r="OR958" s="2">
        <v>-0.0178</v>
      </c>
      <c r="OS958" s="2">
        <v>0.0315</v>
      </c>
      <c r="OT958" s="2">
        <v>0.0148</v>
      </c>
      <c r="OU958" s="2">
        <v>-0.0042</v>
      </c>
      <c r="OV958" s="2">
        <v>-0.0043</v>
      </c>
      <c r="OW958" s="2">
        <v>0.009299999999999999</v>
      </c>
      <c r="OX958" s="2">
        <v>-0.0092</v>
      </c>
      <c r="PC958" s="2">
        <v>-0.0019</v>
      </c>
      <c r="PD958" s="2">
        <v>0.0038</v>
      </c>
      <c r="PE958" s="2">
        <v>0.0094</v>
      </c>
      <c r="PF958" s="2">
        <v>0.007900000000000001</v>
      </c>
      <c r="PG958" s="2">
        <v>0.0033</v>
      </c>
      <c r="PH958" s="2">
        <v>-0.0142</v>
      </c>
      <c r="PI958" s="2">
        <v>0.0365</v>
      </c>
    </row>
    <row r="959">
      <c r="A959" t="inlineStr">
        <is>
          <t>A130399553R</t>
        </is>
      </c>
      <c r="B959" t="inlineStr">
        <is>
          <t>Contribution to All groups CPI Percentage Points Change from Previous Period ;  Postal services ;  Australia ;</t>
        </is>
      </c>
      <c r="C959" t="inlineStr">
        <is>
          <t>Month</t>
        </is>
      </c>
      <c r="D959" t="inlineStr">
        <is>
          <t>% pts</t>
        </is>
      </c>
      <c r="E959" t="inlineStr">
        <is>
          <t>Original</t>
        </is>
      </c>
      <c r="F959" t="inlineStr">
        <is>
          <t>640105.xlsx</t>
        </is>
      </c>
      <c r="G959" t="inlineStr">
        <is>
          <t>2024-05</t>
        </is>
      </c>
      <c r="H959" t="inlineStr">
        <is>
          <t>2026-07</t>
        </is>
      </c>
      <c r="OA959" s="2">
        <v>-0.0026</v>
      </c>
      <c r="OB959" s="2">
        <v>-0.0027</v>
      </c>
      <c r="OC959" s="2">
        <v>0.0047</v>
      </c>
      <c r="OD959" s="2">
        <v>-0.0001</v>
      </c>
      <c r="OE959" s="2">
        <v>-0.0003</v>
      </c>
      <c r="OF959" s="2">
        <v>-0.0007</v>
      </c>
      <c r="OG959" s="2">
        <v>-0.0002</v>
      </c>
      <c r="OH959" s="2">
        <v>-0.0002</v>
      </c>
      <c r="OM959" s="2">
        <v>0</v>
      </c>
      <c r="ON959" s="2">
        <v>0.0014</v>
      </c>
      <c r="OO959" s="2">
        <v>0.0004</v>
      </c>
      <c r="OP959" s="2">
        <v>0.0015</v>
      </c>
      <c r="OQ959" s="2">
        <v>-0.0002</v>
      </c>
      <c r="OR959" s="2">
        <v>0.0003</v>
      </c>
      <c r="OS959" s="2">
        <v>0.0012</v>
      </c>
      <c r="OT959" s="2">
        <v>0.0002</v>
      </c>
      <c r="OU959" s="2">
        <v>0.0004</v>
      </c>
      <c r="OV959" s="2">
        <v>0.0005999999999999999</v>
      </c>
      <c r="OW959" s="2">
        <v>0.0001</v>
      </c>
      <c r="OX959" s="2">
        <v>0.0003</v>
      </c>
      <c r="PC959" s="2">
        <v>-0.0001</v>
      </c>
      <c r="PD959" s="2">
        <v>-0.0003</v>
      </c>
      <c r="PE959" s="2">
        <v>0.0037</v>
      </c>
      <c r="PF959" s="2">
        <v>0.0064</v>
      </c>
      <c r="PG959" s="2">
        <v>-0.001</v>
      </c>
      <c r="PH959" s="2">
        <v>-0.0025</v>
      </c>
      <c r="PI959" s="2">
        <v>-0.0008</v>
      </c>
    </row>
    <row r="960">
      <c r="A960" t="inlineStr">
        <is>
          <t>A130398297W</t>
        </is>
      </c>
      <c r="B960" t="inlineStr">
        <is>
          <t>Contribution to All groups CPI Percentage Points Change from Previous Period ;  Telecommunication equipment and services ;  Australia ;</t>
        </is>
      </c>
      <c r="C960" t="inlineStr">
        <is>
          <t>Month</t>
        </is>
      </c>
      <c r="D960" t="inlineStr">
        <is>
          <t>% pts</t>
        </is>
      </c>
      <c r="E960" t="inlineStr">
        <is>
          <t>Original</t>
        </is>
      </c>
      <c r="F960" t="inlineStr">
        <is>
          <t>640105.xlsx</t>
        </is>
      </c>
      <c r="G960" t="inlineStr">
        <is>
          <t>2024-05</t>
        </is>
      </c>
      <c r="H960" t="inlineStr">
        <is>
          <t>2026-07</t>
        </is>
      </c>
      <c r="OA960" s="2">
        <v>-0.011</v>
      </c>
      <c r="OB960" s="2">
        <v>-0.0109</v>
      </c>
      <c r="OC960" s="2">
        <v>0.03</v>
      </c>
      <c r="OD960" s="2">
        <v>-0.0107</v>
      </c>
      <c r="OE960" s="2">
        <v>0.0011</v>
      </c>
      <c r="OF960" s="2">
        <v>0.0142</v>
      </c>
      <c r="OG960" s="2">
        <v>-0.0022</v>
      </c>
      <c r="OH960" s="2">
        <v>-0.0044</v>
      </c>
      <c r="OM960" s="2">
        <v>-0.0077</v>
      </c>
      <c r="ON960" s="2">
        <v>0.0141</v>
      </c>
      <c r="OO960" s="2">
        <v>-0.0034</v>
      </c>
      <c r="OP960" s="2">
        <v>0.0041</v>
      </c>
      <c r="OQ960" s="2">
        <v>-0.0076</v>
      </c>
      <c r="OR960" s="2">
        <v>-0.0181</v>
      </c>
      <c r="OS960" s="2">
        <v>0.0304</v>
      </c>
      <c r="OT960" s="2">
        <v>0.0146</v>
      </c>
      <c r="OU960" s="2">
        <v>-0.0047</v>
      </c>
      <c r="OV960" s="2">
        <v>-0.0048</v>
      </c>
      <c r="OW960" s="2">
        <v>0.009299999999999999</v>
      </c>
      <c r="OX960" s="2">
        <v>-0.0095</v>
      </c>
      <c r="PC960" s="2">
        <v>-0.0018</v>
      </c>
      <c r="PD960" s="2">
        <v>0.0041</v>
      </c>
      <c r="PE960" s="2">
        <v>0.0057</v>
      </c>
      <c r="PF960" s="2">
        <v>0.0015</v>
      </c>
      <c r="PG960" s="2">
        <v>0.0043</v>
      </c>
      <c r="PH960" s="2">
        <v>-0.0117</v>
      </c>
      <c r="PI960" s="2">
        <v>0.0373</v>
      </c>
    </row>
    <row r="961">
      <c r="A961" t="inlineStr">
        <is>
          <t>A130393837J</t>
        </is>
      </c>
      <c r="B961" t="inlineStr">
        <is>
          <t>Contribution to All groups CPI Percentage Points Change from Previous Period ;  Recreation and culture ;  Australia ;</t>
        </is>
      </c>
      <c r="C961" t="inlineStr">
        <is>
          <t>Month</t>
        </is>
      </c>
      <c r="D961" t="inlineStr">
        <is>
          <t>% pts</t>
        </is>
      </c>
      <c r="E961" t="inlineStr">
        <is>
          <t>Original</t>
        </is>
      </c>
      <c r="F961" t="inlineStr">
        <is>
          <t>640105.xlsx</t>
        </is>
      </c>
      <c r="G961" t="inlineStr">
        <is>
          <t>2024-05</t>
        </is>
      </c>
      <c r="H961" t="inlineStr">
        <is>
          <t>2026-07</t>
        </is>
      </c>
      <c r="OA961" s="2">
        <v>-0.1229</v>
      </c>
      <c r="OB961" s="2">
        <v>0.3891</v>
      </c>
      <c r="OC961" s="2">
        <v>-0.1082</v>
      </c>
      <c r="OD961" s="2">
        <v>-0.0283</v>
      </c>
      <c r="OE961" s="2">
        <v>0.2231</v>
      </c>
      <c r="OF961" s="2">
        <v>-0.1885</v>
      </c>
      <c r="OG961" s="2">
        <v>0.0119</v>
      </c>
      <c r="OH961" s="2">
        <v>0.6065</v>
      </c>
      <c r="OM961" s="2">
        <v>-0.3518</v>
      </c>
      <c r="ON961" s="2">
        <v>-0.4313</v>
      </c>
      <c r="OO961" s="2">
        <v>0.0639</v>
      </c>
      <c r="OP961" s="2">
        <v>0.3568</v>
      </c>
      <c r="OQ961" s="2">
        <v>-0.3735</v>
      </c>
      <c r="OR961" s="2">
        <v>0.106</v>
      </c>
      <c r="OS961" s="2">
        <v>0.3075</v>
      </c>
      <c r="OT961" s="2">
        <v>-0.1582</v>
      </c>
      <c r="OU961" s="2">
        <v>0.2722</v>
      </c>
      <c r="OV961" s="2">
        <v>-0.0195</v>
      </c>
      <c r="OW961" s="2">
        <v>-0.1348</v>
      </c>
      <c r="OX961" s="2">
        <v>0.9122</v>
      </c>
      <c r="PC961" s="2">
        <v>-0.4431</v>
      </c>
      <c r="PD961" s="2">
        <v>-0.3757</v>
      </c>
      <c r="PE961" s="2">
        <v>-0.0862</v>
      </c>
      <c r="PF961" s="2">
        <v>0.3078</v>
      </c>
      <c r="PG961" s="2">
        <v>-0.381</v>
      </c>
      <c r="PH961" s="2">
        <v>0.2181</v>
      </c>
      <c r="PI961" s="2">
        <v>0.2156</v>
      </c>
    </row>
    <row r="962">
      <c r="A962" t="inlineStr">
        <is>
          <t>A130399084K</t>
        </is>
      </c>
      <c r="B962" t="inlineStr">
        <is>
          <t>Contribution to All groups CPI Percentage Points Change from Previous Period ;  Audio, visual and computing equipment and services ;  Australia ;</t>
        </is>
      </c>
      <c r="C962" t="inlineStr">
        <is>
          <t>Month</t>
        </is>
      </c>
      <c r="D962" t="inlineStr">
        <is>
          <t>% pts</t>
        </is>
      </c>
      <c r="E962" t="inlineStr">
        <is>
          <t>Original</t>
        </is>
      </c>
      <c r="F962" t="inlineStr">
        <is>
          <t>640105.xlsx</t>
        </is>
      </c>
      <c r="G962" t="inlineStr">
        <is>
          <t>2024-05</t>
        </is>
      </c>
      <c r="H962" t="inlineStr">
        <is>
          <t>2026-07</t>
        </is>
      </c>
      <c r="OA962" s="2">
        <v>0.0321</v>
      </c>
      <c r="OB962" s="2">
        <v>-0.0197</v>
      </c>
      <c r="OC962" s="2">
        <v>0.0243</v>
      </c>
      <c r="OD962" s="2">
        <v>0.0014</v>
      </c>
      <c r="OE962" s="2">
        <v>-0.0095</v>
      </c>
      <c r="OF962" s="2">
        <v>-0.0059</v>
      </c>
      <c r="OG962" s="2">
        <v>0.0219</v>
      </c>
      <c r="OH962" s="2">
        <v>-0.0385</v>
      </c>
      <c r="OM962" s="2">
        <v>0.001</v>
      </c>
      <c r="ON962" s="2">
        <v>0.0145</v>
      </c>
      <c r="OO962" s="2">
        <v>0.0166</v>
      </c>
      <c r="OP962" s="2">
        <v>0.0071</v>
      </c>
      <c r="OQ962" s="2">
        <v>0.0166</v>
      </c>
      <c r="OR962" s="2">
        <v>-0.008699999999999999</v>
      </c>
      <c r="OS962" s="2">
        <v>0.0103</v>
      </c>
      <c r="OT962" s="2">
        <v>0.0472</v>
      </c>
      <c r="OU962" s="2">
        <v>-0.0072</v>
      </c>
      <c r="OV962" s="2">
        <v>-0.0015</v>
      </c>
      <c r="OW962" s="2">
        <v>0.0074</v>
      </c>
      <c r="OX962" s="2">
        <v>-0.0308</v>
      </c>
      <c r="PC962" s="2">
        <v>0.0341</v>
      </c>
      <c r="PD962" s="2">
        <v>0.0152</v>
      </c>
      <c r="PE962" s="2">
        <v>-0.0151</v>
      </c>
      <c r="PF962" s="2">
        <v>0.008500000000000001</v>
      </c>
      <c r="PG962" s="2">
        <v>0.0139</v>
      </c>
      <c r="PH962" s="2">
        <v>-0.0273</v>
      </c>
      <c r="PI962" s="2">
        <v>0.0791</v>
      </c>
    </row>
    <row r="963">
      <c r="A963" t="inlineStr">
        <is>
          <t>A130397190C</t>
        </is>
      </c>
      <c r="B963" t="inlineStr">
        <is>
          <t>Contribution to All groups CPI Percentage Points Change from Previous Period ;  Audio, visual and computing equipment ;  Australia ;</t>
        </is>
      </c>
      <c r="C963" t="inlineStr">
        <is>
          <t>Month</t>
        </is>
      </c>
      <c r="D963" t="inlineStr">
        <is>
          <t>% pts</t>
        </is>
      </c>
      <c r="E963" t="inlineStr">
        <is>
          <t>Original</t>
        </is>
      </c>
      <c r="F963" t="inlineStr">
        <is>
          <t>640105.xlsx</t>
        </is>
      </c>
      <c r="G963" t="inlineStr">
        <is>
          <t>2024-05</t>
        </is>
      </c>
      <c r="H963" t="inlineStr">
        <is>
          <t>2026-07</t>
        </is>
      </c>
      <c r="OA963" s="2">
        <v>0.008399999999999999</v>
      </c>
      <c r="OB963" s="2">
        <v>-0.027</v>
      </c>
      <c r="OC963" s="2">
        <v>0.0164</v>
      </c>
      <c r="OD963" s="2">
        <v>-0.0012</v>
      </c>
      <c r="OE963" s="2">
        <v>-0.0112</v>
      </c>
      <c r="OF963" s="2">
        <v>-0.0068</v>
      </c>
      <c r="OG963" s="2">
        <v>0.0148</v>
      </c>
      <c r="OH963" s="2">
        <v>-0.0368</v>
      </c>
      <c r="OM963" s="2">
        <v>0.0009</v>
      </c>
      <c r="ON963" s="2">
        <v>0.008999999999999999</v>
      </c>
      <c r="OO963" s="2">
        <v>0.0068</v>
      </c>
      <c r="OP963" s="2">
        <v>0.006</v>
      </c>
      <c r="OQ963" s="2">
        <v>0.0139</v>
      </c>
      <c r="OR963" s="2">
        <v>-0.0157</v>
      </c>
      <c r="OS963" s="2">
        <v>0.0116</v>
      </c>
      <c r="OT963" s="2">
        <v>-0.0007</v>
      </c>
      <c r="OU963" s="2">
        <v>-0.0141</v>
      </c>
      <c r="OV963" s="2">
        <v>-0.0011</v>
      </c>
      <c r="OW963" s="2">
        <v>0.0017</v>
      </c>
      <c r="OX963" s="2">
        <v>-0.0328</v>
      </c>
      <c r="PC963" s="2">
        <v>0.0333</v>
      </c>
      <c r="PD963" s="2">
        <v>0.008699999999999999</v>
      </c>
      <c r="PE963" s="2">
        <v>-0.0176</v>
      </c>
      <c r="PF963" s="2">
        <v>0.0046</v>
      </c>
      <c r="PG963" s="2">
        <v>0.0027</v>
      </c>
      <c r="PH963" s="2">
        <v>-0.0254</v>
      </c>
      <c r="PI963" s="2">
        <v>0.07199999999999999</v>
      </c>
    </row>
    <row r="964">
      <c r="A964" t="inlineStr">
        <is>
          <t>A130397870J</t>
        </is>
      </c>
      <c r="B964" t="inlineStr">
        <is>
          <t>Contribution to All groups CPI Percentage Points Change from Previous Period ;  Audio, visual and computing media and services ;  Australia ;</t>
        </is>
      </c>
      <c r="C964" t="inlineStr">
        <is>
          <t>Month</t>
        </is>
      </c>
      <c r="D964" t="inlineStr">
        <is>
          <t>% pts</t>
        </is>
      </c>
      <c r="E964" t="inlineStr">
        <is>
          <t>Original</t>
        </is>
      </c>
      <c r="F964" t="inlineStr">
        <is>
          <t>640105.xlsx</t>
        </is>
      </c>
      <c r="G964" t="inlineStr">
        <is>
          <t>2024-05</t>
        </is>
      </c>
      <c r="H964" t="inlineStr">
        <is>
          <t>2026-07</t>
        </is>
      </c>
      <c r="OA964" s="2">
        <v>0.0237</v>
      </c>
      <c r="OB964" s="2">
        <v>0.0073</v>
      </c>
      <c r="OC964" s="2">
        <v>0.007900000000000001</v>
      </c>
      <c r="OD964" s="2">
        <v>0.0026</v>
      </c>
      <c r="OE964" s="2">
        <v>0.0016</v>
      </c>
      <c r="OF964" s="2">
        <v>0.0009</v>
      </c>
      <c r="OG964" s="2">
        <v>0.0071</v>
      </c>
      <c r="OH964" s="2">
        <v>-0.0018</v>
      </c>
      <c r="OM964" s="2">
        <v>0.0001</v>
      </c>
      <c r="ON964" s="2">
        <v>0.0055</v>
      </c>
      <c r="OO964" s="2">
        <v>0.009900000000000001</v>
      </c>
      <c r="OP964" s="2">
        <v>0.001</v>
      </c>
      <c r="OQ964" s="2">
        <v>0.0027</v>
      </c>
      <c r="OR964" s="2">
        <v>0.0071</v>
      </c>
      <c r="OS964" s="2">
        <v>-0.0013</v>
      </c>
      <c r="OT964" s="2">
        <v>0.0479</v>
      </c>
      <c r="OU964" s="2">
        <v>0.0069</v>
      </c>
      <c r="OV964" s="2">
        <v>-0.0004</v>
      </c>
      <c r="OW964" s="2">
        <v>0.0058</v>
      </c>
      <c r="OX964" s="2">
        <v>0.002</v>
      </c>
      <c r="PC964" s="2">
        <v>0.0008</v>
      </c>
      <c r="PD964" s="2">
        <v>0.0065</v>
      </c>
      <c r="PE964" s="2">
        <v>0.0025</v>
      </c>
      <c r="PF964" s="2">
        <v>0.004</v>
      </c>
      <c r="PG964" s="2">
        <v>0.0111</v>
      </c>
      <c r="PH964" s="2">
        <v>-0.002</v>
      </c>
      <c r="PI964" s="2">
        <v>0.0071</v>
      </c>
    </row>
    <row r="965">
      <c r="A965" t="inlineStr">
        <is>
          <t>A130394201V</t>
        </is>
      </c>
      <c r="B965" t="inlineStr">
        <is>
          <t>Contribution to All groups CPI Percentage Points Change from Previous Period ;  Newspapers, books and stationery ;  Australia ;</t>
        </is>
      </c>
      <c r="C965" t="inlineStr">
        <is>
          <t>Month</t>
        </is>
      </c>
      <c r="D965" t="inlineStr">
        <is>
          <t>% pts</t>
        </is>
      </c>
      <c r="E965" t="inlineStr">
        <is>
          <t>Original</t>
        </is>
      </c>
      <c r="F965" t="inlineStr">
        <is>
          <t>640105.xlsx</t>
        </is>
      </c>
      <c r="G965" t="inlineStr">
        <is>
          <t>2024-05</t>
        </is>
      </c>
      <c r="H965" t="inlineStr">
        <is>
          <t>2026-07</t>
        </is>
      </c>
      <c r="OA965" s="2">
        <v>-0.001</v>
      </c>
      <c r="OB965" s="2">
        <v>0.0016</v>
      </c>
      <c r="OC965" s="2">
        <v>0.0024</v>
      </c>
      <c r="OD965" s="2">
        <v>0.0028</v>
      </c>
      <c r="OE965" s="2">
        <v>-0.0043</v>
      </c>
      <c r="OF965" s="2">
        <v>0.0024</v>
      </c>
      <c r="OG965" s="2">
        <v>0.0013</v>
      </c>
      <c r="OH965" s="2">
        <v>-0.0042</v>
      </c>
      <c r="OM965" s="2">
        <v>-0.0003</v>
      </c>
      <c r="ON965" s="2">
        <v>0.008</v>
      </c>
      <c r="OO965" s="2">
        <v>-0.0063</v>
      </c>
      <c r="OP965" s="2">
        <v>0.0057</v>
      </c>
      <c r="OQ965" s="2">
        <v>0.0016</v>
      </c>
      <c r="OR965" s="2">
        <v>0.0004</v>
      </c>
      <c r="OS965" s="2">
        <v>0.008999999999999999</v>
      </c>
      <c r="OT965" s="2">
        <v>0</v>
      </c>
      <c r="OU965" s="2">
        <v>-0.0022</v>
      </c>
      <c r="OV965" s="2">
        <v>0.0003</v>
      </c>
      <c r="OW965" s="2">
        <v>0.0042</v>
      </c>
      <c r="OX965" s="2">
        <v>-0.004</v>
      </c>
      <c r="PC965" s="2">
        <v>-0.0026</v>
      </c>
      <c r="PD965" s="2">
        <v>0.0102</v>
      </c>
      <c r="PE965" s="2">
        <v>-0.0005</v>
      </c>
      <c r="PF965" s="2">
        <v>-0.0056</v>
      </c>
      <c r="PG965" s="2">
        <v>0.0065</v>
      </c>
      <c r="PH965" s="2">
        <v>-0.0007</v>
      </c>
      <c r="PI965" s="2">
        <v>0.0056</v>
      </c>
    </row>
    <row r="966">
      <c r="A966" t="inlineStr">
        <is>
          <t>A130394957V</t>
        </is>
      </c>
      <c r="B966" t="inlineStr">
        <is>
          <t>Contribution to All groups CPI Percentage Points Change from Previous Period ;  Books ;  Australia ;</t>
        </is>
      </c>
      <c r="C966" t="inlineStr">
        <is>
          <t>Month</t>
        </is>
      </c>
      <c r="D966" t="inlineStr">
        <is>
          <t>% pts</t>
        </is>
      </c>
      <c r="E966" t="inlineStr">
        <is>
          <t>Original</t>
        </is>
      </c>
      <c r="F966" t="inlineStr">
        <is>
          <t>640105.xlsx</t>
        </is>
      </c>
      <c r="G966" t="inlineStr">
        <is>
          <t>2024-05</t>
        </is>
      </c>
      <c r="H966" t="inlineStr">
        <is>
          <t>2026-07</t>
        </is>
      </c>
      <c r="OA966" s="2">
        <v>0</v>
      </c>
      <c r="OB966" s="2">
        <v>0.0009</v>
      </c>
      <c r="OC966" s="2">
        <v>0.0004</v>
      </c>
      <c r="OD966" s="2">
        <v>0.0012</v>
      </c>
      <c r="OE966" s="2">
        <v>-0.0051</v>
      </c>
      <c r="OF966" s="2">
        <v>0.0001</v>
      </c>
      <c r="OG966" s="2">
        <v>0.0012</v>
      </c>
      <c r="OH966" s="2">
        <v>-0.0012</v>
      </c>
      <c r="OM966" s="2">
        <v>0.0036</v>
      </c>
      <c r="ON966" s="2">
        <v>0.0002</v>
      </c>
      <c r="OO966" s="2">
        <v>-0.0034</v>
      </c>
      <c r="OP966" s="2">
        <v>0.0023</v>
      </c>
      <c r="OQ966" s="2">
        <v>0.0005999999999999999</v>
      </c>
      <c r="OR966" s="2">
        <v>-0.0026</v>
      </c>
      <c r="OS966" s="2">
        <v>0.0026</v>
      </c>
      <c r="OT966" s="2">
        <v>-0.0014</v>
      </c>
      <c r="OU966" s="2">
        <v>-0.0013</v>
      </c>
      <c r="OV966" s="2">
        <v>0.0024</v>
      </c>
      <c r="OW966" s="2">
        <v>-0.0002</v>
      </c>
      <c r="OX966" s="2">
        <v>-0.003</v>
      </c>
      <c r="PC966" s="2">
        <v>0.0051</v>
      </c>
      <c r="PD966" s="2">
        <v>-0.0008</v>
      </c>
      <c r="PE966" s="2">
        <v>-0.0013</v>
      </c>
      <c r="PF966" s="2">
        <v>-0.0041</v>
      </c>
      <c r="PG966" s="2">
        <v>0.004</v>
      </c>
      <c r="PH966" s="2">
        <v>-0.0014</v>
      </c>
      <c r="PI966" s="2">
        <v>0.0047</v>
      </c>
    </row>
    <row r="967">
      <c r="A967" t="inlineStr">
        <is>
          <t>A130392885J</t>
        </is>
      </c>
      <c r="B967" t="inlineStr">
        <is>
          <t>Contribution to All groups CPI Percentage Points Change from Previous Period ;  Newspapers, magazines and stationery ;  Australia ;</t>
        </is>
      </c>
      <c r="C967" t="inlineStr">
        <is>
          <t>Month</t>
        </is>
      </c>
      <c r="D967" t="inlineStr">
        <is>
          <t>% pts</t>
        </is>
      </c>
      <c r="E967" t="inlineStr">
        <is>
          <t>Original</t>
        </is>
      </c>
      <c r="F967" t="inlineStr">
        <is>
          <t>640105.xlsx</t>
        </is>
      </c>
      <c r="G967" t="inlineStr">
        <is>
          <t>2024-05</t>
        </is>
      </c>
      <c r="H967" t="inlineStr">
        <is>
          <t>2026-07</t>
        </is>
      </c>
      <c r="OA967" s="2">
        <v>-0.001</v>
      </c>
      <c r="OB967" s="2">
        <v>0.0007</v>
      </c>
      <c r="OC967" s="2">
        <v>0.002</v>
      </c>
      <c r="OD967" s="2">
        <v>0.0016</v>
      </c>
      <c r="OE967" s="2">
        <v>0.0007</v>
      </c>
      <c r="OF967" s="2">
        <v>0.0023</v>
      </c>
      <c r="OG967" s="2">
        <v>0.0001</v>
      </c>
      <c r="OH967" s="2">
        <v>-0.0031</v>
      </c>
      <c r="OM967" s="2">
        <v>-0.0039</v>
      </c>
      <c r="ON967" s="2">
        <v>0.0078</v>
      </c>
      <c r="OO967" s="2">
        <v>-0.0029</v>
      </c>
      <c r="OP967" s="2">
        <v>0.0034</v>
      </c>
      <c r="OQ967" s="2">
        <v>0.0011</v>
      </c>
      <c r="OR967" s="2">
        <v>0.003</v>
      </c>
      <c r="OS967" s="2">
        <v>0.0064</v>
      </c>
      <c r="OT967" s="2">
        <v>0.0014</v>
      </c>
      <c r="OU967" s="2">
        <v>-0.0009</v>
      </c>
      <c r="OV967" s="2">
        <v>-0.0021</v>
      </c>
      <c r="OW967" s="2">
        <v>0.0044</v>
      </c>
      <c r="OX967" s="2">
        <v>-0.001</v>
      </c>
      <c r="PC967" s="2">
        <v>-0.0078</v>
      </c>
      <c r="PD967" s="2">
        <v>0.011</v>
      </c>
      <c r="PE967" s="2">
        <v>0.0008</v>
      </c>
      <c r="PF967" s="2">
        <v>-0.0014</v>
      </c>
      <c r="PG967" s="2">
        <v>0.0025</v>
      </c>
      <c r="PH967" s="2">
        <v>0.0008</v>
      </c>
      <c r="PI967" s="2">
        <v>0.0009</v>
      </c>
    </row>
    <row r="968">
      <c r="A968" t="inlineStr">
        <is>
          <t>A130391835T</t>
        </is>
      </c>
      <c r="B968" t="inlineStr">
        <is>
          <t>Contribution to All groups CPI Percentage Points Change from Previous Period ;  Holiday travel and accommodation ;  Australia ;</t>
        </is>
      </c>
      <c r="C968" t="inlineStr">
        <is>
          <t>Month</t>
        </is>
      </c>
      <c r="D968" t="inlineStr">
        <is>
          <t>% pts</t>
        </is>
      </c>
      <c r="E968" t="inlineStr">
        <is>
          <t>Original</t>
        </is>
      </c>
      <c r="F968" t="inlineStr">
        <is>
          <t>640105.xlsx</t>
        </is>
      </c>
      <c r="G968" t="inlineStr">
        <is>
          <t>2024-05</t>
        </is>
      </c>
      <c r="H968" t="inlineStr">
        <is>
          <t>2026-07</t>
        </is>
      </c>
      <c r="OA968" s="2">
        <v>-0.1549</v>
      </c>
      <c r="OB968" s="2">
        <v>0.3944</v>
      </c>
      <c r="OC968" s="2">
        <v>-0.1465</v>
      </c>
      <c r="OD968" s="2">
        <v>-0.0803</v>
      </c>
      <c r="OE968" s="2">
        <v>0.2286</v>
      </c>
      <c r="OF968" s="2">
        <v>-0.1167</v>
      </c>
      <c r="OG968" s="2">
        <v>-0.07820000000000001</v>
      </c>
      <c r="OH968" s="2">
        <v>0.6705</v>
      </c>
      <c r="OM968" s="2">
        <v>-0.3936</v>
      </c>
      <c r="ON968" s="2">
        <v>-0.4773</v>
      </c>
      <c r="OO968" s="2">
        <v>0.0984</v>
      </c>
      <c r="OP968" s="2">
        <v>0.3543</v>
      </c>
      <c r="OQ968" s="2">
        <v>-0.4365</v>
      </c>
      <c r="OR968" s="2">
        <v>0.1391</v>
      </c>
      <c r="OS968" s="2">
        <v>0.2747</v>
      </c>
      <c r="OT968" s="2">
        <v>-0.2107</v>
      </c>
      <c r="OU968" s="2">
        <v>0.2844</v>
      </c>
      <c r="OV968" s="2">
        <v>-0.0581</v>
      </c>
      <c r="OW968" s="2">
        <v>-0.1503</v>
      </c>
      <c r="OX968" s="2">
        <v>0.9412</v>
      </c>
      <c r="PC968" s="2">
        <v>-0.5171</v>
      </c>
      <c r="PD968" s="2">
        <v>-0.3964</v>
      </c>
      <c r="PE968" s="2">
        <v>-0.079</v>
      </c>
      <c r="PF968" s="2">
        <v>0.3168</v>
      </c>
      <c r="PG968" s="2">
        <v>-0.4166</v>
      </c>
      <c r="PH968" s="2">
        <v>0.2572</v>
      </c>
      <c r="PI968" s="2">
        <v>0.1068</v>
      </c>
    </row>
    <row r="969">
      <c r="A969" t="inlineStr">
        <is>
          <t>A130392199J</t>
        </is>
      </c>
      <c r="B969" t="inlineStr">
        <is>
          <t>Contribution to All groups CPI Percentage Points Change from Previous Period ;  Domestic holiday travel and accommodation ;  Australia ;</t>
        </is>
      </c>
      <c r="C969" t="inlineStr">
        <is>
          <t>Month</t>
        </is>
      </c>
      <c r="D969" t="inlineStr">
        <is>
          <t>% pts</t>
        </is>
      </c>
      <c r="E969" t="inlineStr">
        <is>
          <t>Original</t>
        </is>
      </c>
      <c r="F969" t="inlineStr">
        <is>
          <t>640105.xlsx</t>
        </is>
      </c>
      <c r="G969" t="inlineStr">
        <is>
          <t>2024-05</t>
        </is>
      </c>
      <c r="H969" t="inlineStr">
        <is>
          <t>2026-07</t>
        </is>
      </c>
      <c r="OA969" s="2">
        <v>-0.2076</v>
      </c>
      <c r="OB969" s="2">
        <v>0.1834</v>
      </c>
      <c r="OC969" s="2">
        <v>-0.0069</v>
      </c>
      <c r="OD969" s="2">
        <v>-0.08069999999999999</v>
      </c>
      <c r="OE969" s="2">
        <v>0.1245</v>
      </c>
      <c r="OF969" s="2">
        <v>0.1078</v>
      </c>
      <c r="OG969" s="2">
        <v>-0.017</v>
      </c>
      <c r="OH969" s="2">
        <v>0.0653</v>
      </c>
      <c r="OM969" s="2">
        <v>0.1652</v>
      </c>
      <c r="ON969" s="2">
        <v>-0.3377</v>
      </c>
      <c r="OO969" s="2">
        <v>0.1</v>
      </c>
      <c r="OP969" s="2">
        <v>0.1188</v>
      </c>
      <c r="OQ969" s="2">
        <v>-0.2919</v>
      </c>
      <c r="OR969" s="2">
        <v>0.0158</v>
      </c>
      <c r="OS969" s="2">
        <v>0.2312</v>
      </c>
      <c r="OT969" s="2">
        <v>-0.1305</v>
      </c>
      <c r="OU969" s="2">
        <v>0.1198</v>
      </c>
      <c r="OV969" s="2">
        <v>0.1828</v>
      </c>
      <c r="OW969" s="2">
        <v>-0.1335</v>
      </c>
      <c r="OX969" s="2">
        <v>0.2569</v>
      </c>
      <c r="PC969" s="2">
        <v>0.0452</v>
      </c>
      <c r="PD969" s="2">
        <v>-0.2497</v>
      </c>
      <c r="PE969" s="2">
        <v>-0.0696</v>
      </c>
      <c r="PF969" s="2">
        <v>0.2247</v>
      </c>
      <c r="PG969" s="2">
        <v>-0.3935</v>
      </c>
      <c r="PH969" s="2">
        <v>0.0363</v>
      </c>
      <c r="PI969" s="2">
        <v>0.1801</v>
      </c>
    </row>
    <row r="970">
      <c r="A970" t="inlineStr">
        <is>
          <t>A130394803C</t>
        </is>
      </c>
      <c r="B970" t="inlineStr">
        <is>
          <t>Contribution to All groups CPI Percentage Points Change from Previous Period ;  International holiday travel and accommodation ;  Australia ;</t>
        </is>
      </c>
      <c r="C970" t="inlineStr">
        <is>
          <t>Month</t>
        </is>
      </c>
      <c r="D970" t="inlineStr">
        <is>
          <t>% pts</t>
        </is>
      </c>
      <c r="E970" t="inlineStr">
        <is>
          <t>Original</t>
        </is>
      </c>
      <c r="F970" t="inlineStr">
        <is>
          <t>640105.xlsx</t>
        </is>
      </c>
      <c r="G970" t="inlineStr">
        <is>
          <t>2024-05</t>
        </is>
      </c>
      <c r="H970" t="inlineStr">
        <is>
          <t>2026-07</t>
        </is>
      </c>
      <c r="OA970" s="2">
        <v>0.0528</v>
      </c>
      <c r="OB970" s="2">
        <v>0.211</v>
      </c>
      <c r="OC970" s="2">
        <v>-0.1396</v>
      </c>
      <c r="OD970" s="2">
        <v>0.0004</v>
      </c>
      <c r="OE970" s="2">
        <v>0.1041</v>
      </c>
      <c r="OF970" s="2">
        <v>-0.2245</v>
      </c>
      <c r="OG970" s="2">
        <v>-0.0612</v>
      </c>
      <c r="OH970" s="2">
        <v>0.6052</v>
      </c>
      <c r="OM970" s="2">
        <v>-0.5588</v>
      </c>
      <c r="ON970" s="2">
        <v>-0.1395</v>
      </c>
      <c r="OO970" s="2">
        <v>-0.0016</v>
      </c>
      <c r="OP970" s="2">
        <v>0.2355</v>
      </c>
      <c r="OQ970" s="2">
        <v>-0.1446</v>
      </c>
      <c r="OR970" s="2">
        <v>0.1233</v>
      </c>
      <c r="OS970" s="2">
        <v>0.0435</v>
      </c>
      <c r="OT970" s="2">
        <v>-0.08019999999999999</v>
      </c>
      <c r="OU970" s="2">
        <v>0.1646</v>
      </c>
      <c r="OV970" s="2">
        <v>-0.241</v>
      </c>
      <c r="OW970" s="2">
        <v>-0.0168</v>
      </c>
      <c r="OX970" s="2">
        <v>0.6842</v>
      </c>
      <c r="PC970" s="2">
        <v>-0.5623</v>
      </c>
      <c r="PD970" s="2">
        <v>-0.1467</v>
      </c>
      <c r="PE970" s="2">
        <v>-0.0095</v>
      </c>
      <c r="PF970" s="2">
        <v>0.0921</v>
      </c>
      <c r="PG970" s="2">
        <v>-0.0231</v>
      </c>
      <c r="PH970" s="2">
        <v>0.2209</v>
      </c>
      <c r="PI970" s="2">
        <v>-0.07340000000000001</v>
      </c>
    </row>
    <row r="971">
      <c r="A971" t="inlineStr">
        <is>
          <t>A130395153F</t>
        </is>
      </c>
      <c r="B971" t="inlineStr">
        <is>
          <t>Contribution to All groups CPI Percentage Points Change from Previous Period ;  Other recreation, sport and culture ;  Australia ;</t>
        </is>
      </c>
      <c r="C971" t="inlineStr">
        <is>
          <t>Month</t>
        </is>
      </c>
      <c r="D971" t="inlineStr">
        <is>
          <t>% pts</t>
        </is>
      </c>
      <c r="E971" t="inlineStr">
        <is>
          <t>Original</t>
        </is>
      </c>
      <c r="F971" t="inlineStr">
        <is>
          <t>640105.xlsx</t>
        </is>
      </c>
      <c r="G971" t="inlineStr">
        <is>
          <t>2024-05</t>
        </is>
      </c>
      <c r="H971" t="inlineStr">
        <is>
          <t>2026-07</t>
        </is>
      </c>
      <c r="OA971" s="2">
        <v>0.0008</v>
      </c>
      <c r="OB971" s="2">
        <v>0.0128</v>
      </c>
      <c r="OC971" s="2">
        <v>0.0116</v>
      </c>
      <c r="OD971" s="2">
        <v>0.0478</v>
      </c>
      <c r="OE971" s="2">
        <v>0.0083</v>
      </c>
      <c r="OF971" s="2">
        <v>-0.0683</v>
      </c>
      <c r="OG971" s="2">
        <v>0.0669</v>
      </c>
      <c r="OH971" s="2">
        <v>-0.0212</v>
      </c>
      <c r="OM971" s="2">
        <v>0.0411</v>
      </c>
      <c r="ON971" s="2">
        <v>0.0235</v>
      </c>
      <c r="OO971" s="2">
        <v>-0.0449</v>
      </c>
      <c r="OP971" s="2">
        <v>-0.0103</v>
      </c>
      <c r="OQ971" s="2">
        <v>0.0447</v>
      </c>
      <c r="OR971" s="2">
        <v>-0.0249</v>
      </c>
      <c r="OS971" s="2">
        <v>0.0135</v>
      </c>
      <c r="OT971" s="2">
        <v>0.0052</v>
      </c>
      <c r="OU971" s="2">
        <v>-0.0028</v>
      </c>
      <c r="OV971" s="2">
        <v>0.0398</v>
      </c>
      <c r="OW971" s="2">
        <v>0.0039</v>
      </c>
      <c r="OX971" s="2">
        <v>0.0059</v>
      </c>
      <c r="PC971" s="2">
        <v>0.0425</v>
      </c>
      <c r="PD971" s="2">
        <v>-0.0046</v>
      </c>
      <c r="PE971" s="2">
        <v>0.008500000000000001</v>
      </c>
      <c r="PF971" s="2">
        <v>-0.012</v>
      </c>
      <c r="PG971" s="2">
        <v>0.0152</v>
      </c>
      <c r="PH971" s="2">
        <v>-0.0111</v>
      </c>
      <c r="PI971" s="2">
        <v>0.0241</v>
      </c>
    </row>
    <row r="972">
      <c r="A972" t="inlineStr">
        <is>
          <t>A130397365V</t>
        </is>
      </c>
      <c r="B972" t="inlineStr">
        <is>
          <t>Contribution to All groups CPI Percentage Points Change from Previous Period ;  Equipment for sports, camping and open-air recreation ;  Australia ;</t>
        </is>
      </c>
      <c r="C972" t="inlineStr">
        <is>
          <t>Month</t>
        </is>
      </c>
      <c r="D972" t="inlineStr">
        <is>
          <t>% pts</t>
        </is>
      </c>
      <c r="E972" t="inlineStr">
        <is>
          <t>Original</t>
        </is>
      </c>
      <c r="F972" t="inlineStr">
        <is>
          <t>640105.xlsx</t>
        </is>
      </c>
      <c r="G972" t="inlineStr">
        <is>
          <t>2024-05</t>
        </is>
      </c>
      <c r="H972" t="inlineStr">
        <is>
          <t>2026-07</t>
        </is>
      </c>
      <c r="OA972" s="2">
        <v>0.003</v>
      </c>
      <c r="OB972" s="2">
        <v>-0.008800000000000001</v>
      </c>
      <c r="OC972" s="2">
        <v>0.0001</v>
      </c>
      <c r="OD972" s="2">
        <v>0.0054</v>
      </c>
      <c r="OE972" s="2">
        <v>0.0031</v>
      </c>
      <c r="OF972" s="2">
        <v>-0.0032</v>
      </c>
      <c r="OG972" s="2">
        <v>0.0052</v>
      </c>
      <c r="OH972" s="2">
        <v>-0.0046</v>
      </c>
      <c r="OM972" s="2">
        <v>-0.0056</v>
      </c>
      <c r="ON972" s="2">
        <v>0.005</v>
      </c>
      <c r="OO972" s="2">
        <v>-0.0024</v>
      </c>
      <c r="OP972" s="2">
        <v>-0.004</v>
      </c>
      <c r="OQ972" s="2">
        <v>0.0066</v>
      </c>
      <c r="OR972" s="2">
        <v>-0.0051</v>
      </c>
      <c r="OS972" s="2">
        <v>0.0051</v>
      </c>
      <c r="OT972" s="2">
        <v>-0.0012</v>
      </c>
      <c r="OU972" s="2">
        <v>-0.0009</v>
      </c>
      <c r="OV972" s="2">
        <v>-0.0011</v>
      </c>
      <c r="OW972" s="2">
        <v>-0.0025</v>
      </c>
      <c r="OX972" s="2">
        <v>-0.0049</v>
      </c>
      <c r="PC972" s="2">
        <v>0.008</v>
      </c>
      <c r="PD972" s="2">
        <v>-0.0041</v>
      </c>
      <c r="PE972" s="2">
        <v>0.0013</v>
      </c>
      <c r="PF972" s="2">
        <v>0.002</v>
      </c>
      <c r="PG972" s="2">
        <v>0.0064</v>
      </c>
      <c r="PH972" s="2">
        <v>-0.0045</v>
      </c>
      <c r="PI972" s="2">
        <v>0.0005</v>
      </c>
    </row>
    <row r="973">
      <c r="A973" t="inlineStr">
        <is>
          <t>A130392339X</t>
        </is>
      </c>
      <c r="B973" t="inlineStr">
        <is>
          <t>Contribution to All groups CPI Percentage Points Change from Previous Period ;  Games, toys and hobbies ;  Australia ;</t>
        </is>
      </c>
      <c r="C973" t="inlineStr">
        <is>
          <t>Month</t>
        </is>
      </c>
      <c r="D973" t="inlineStr">
        <is>
          <t>% pts</t>
        </is>
      </c>
      <c r="E973" t="inlineStr">
        <is>
          <t>Original</t>
        </is>
      </c>
      <c r="F973" t="inlineStr">
        <is>
          <t>640105.xlsx</t>
        </is>
      </c>
      <c r="G973" t="inlineStr">
        <is>
          <t>2024-05</t>
        </is>
      </c>
      <c r="H973" t="inlineStr">
        <is>
          <t>2026-07</t>
        </is>
      </c>
      <c r="OA973" s="2">
        <v>-0.0027</v>
      </c>
      <c r="OB973" s="2">
        <v>-0.0045</v>
      </c>
      <c r="OC973" s="2">
        <v>-0.0159</v>
      </c>
      <c r="OD973" s="2">
        <v>0.0222</v>
      </c>
      <c r="OE973" s="2">
        <v>0.0116</v>
      </c>
      <c r="OF973" s="2">
        <v>-0.0114</v>
      </c>
      <c r="OG973" s="2">
        <v>0.0186</v>
      </c>
      <c r="OH973" s="2">
        <v>-0.0434</v>
      </c>
      <c r="OM973" s="2">
        <v>0.0492</v>
      </c>
      <c r="ON973" s="2">
        <v>-0.0057</v>
      </c>
      <c r="OO973" s="2">
        <v>-0.0134</v>
      </c>
      <c r="OP973" s="2">
        <v>-0.0095</v>
      </c>
      <c r="OQ973" s="2">
        <v>0.0213</v>
      </c>
      <c r="OR973" s="2">
        <v>-0.0133</v>
      </c>
      <c r="OS973" s="2">
        <v>-0.0126</v>
      </c>
      <c r="OT973" s="2">
        <v>0.0038</v>
      </c>
      <c r="OU973" s="2">
        <v>0.0158</v>
      </c>
      <c r="OV973" s="2">
        <v>0.0071</v>
      </c>
      <c r="OW973" s="2">
        <v>-0.0055</v>
      </c>
      <c r="OX973" s="2">
        <v>-0.0061</v>
      </c>
      <c r="PC973" s="2">
        <v>0.0335</v>
      </c>
      <c r="PD973" s="2">
        <v>-0.0056</v>
      </c>
      <c r="PE973" s="2">
        <v>0.0123</v>
      </c>
      <c r="PF973" s="2">
        <v>-0.0126</v>
      </c>
      <c r="PG973" s="2">
        <v>-0.0016</v>
      </c>
      <c r="PH973" s="2">
        <v>-0.0103</v>
      </c>
      <c r="PI973" s="2">
        <v>-0.0134</v>
      </c>
    </row>
    <row r="974">
      <c r="A974" t="inlineStr">
        <is>
          <t>A130390813K</t>
        </is>
      </c>
      <c r="B974" t="inlineStr">
        <is>
          <t>Contribution to All groups CPI Percentage Points Change from Previous Period ;  Pets and related products ;  Australia ;</t>
        </is>
      </c>
      <c r="C974" t="inlineStr">
        <is>
          <t>Month</t>
        </is>
      </c>
      <c r="D974" t="inlineStr">
        <is>
          <t>% pts</t>
        </is>
      </c>
      <c r="E974" t="inlineStr">
        <is>
          <t>Original</t>
        </is>
      </c>
      <c r="F974" t="inlineStr">
        <is>
          <t>640105.xlsx</t>
        </is>
      </c>
      <c r="G974" t="inlineStr">
        <is>
          <t>2024-05</t>
        </is>
      </c>
      <c r="H974" t="inlineStr">
        <is>
          <t>2026-07</t>
        </is>
      </c>
      <c r="OA974" s="2">
        <v>-0.0029</v>
      </c>
      <c r="OB974" s="2">
        <v>0.0111</v>
      </c>
      <c r="OC974" s="2">
        <v>0.0036</v>
      </c>
      <c r="OD974" s="2">
        <v>-0.0032</v>
      </c>
      <c r="OE974" s="2">
        <v>-0.0038</v>
      </c>
      <c r="OF974" s="2">
        <v>-0.021</v>
      </c>
      <c r="OG974" s="2">
        <v>0.0106</v>
      </c>
      <c r="OH974" s="2">
        <v>0.008699999999999999</v>
      </c>
      <c r="OM974" s="2">
        <v>0.0069</v>
      </c>
      <c r="ON974" s="2">
        <v>-0.0086</v>
      </c>
      <c r="OO974" s="2">
        <v>0.0002</v>
      </c>
      <c r="OP974" s="2">
        <v>0.0026</v>
      </c>
      <c r="OQ974" s="2">
        <v>-0.0072</v>
      </c>
      <c r="OR974" s="2">
        <v>0.0056</v>
      </c>
      <c r="OS974" s="2">
        <v>-0.002</v>
      </c>
      <c r="OT974" s="2">
        <v>-0.0005999999999999999</v>
      </c>
      <c r="OU974" s="2">
        <v>-0.0026</v>
      </c>
      <c r="OV974" s="2">
        <v>-0.0011</v>
      </c>
      <c r="OW974" s="2">
        <v>0.0105</v>
      </c>
      <c r="OX974" s="2">
        <v>0.0043</v>
      </c>
      <c r="PC974" s="2">
        <v>-0.0015</v>
      </c>
      <c r="PD974" s="2">
        <v>-0.009599999999999999</v>
      </c>
      <c r="PE974" s="2">
        <v>-0.0019</v>
      </c>
      <c r="PF974" s="2">
        <v>-0.0025</v>
      </c>
      <c r="PG974" s="2">
        <v>0.0007</v>
      </c>
      <c r="PH974" s="2">
        <v>0.0035</v>
      </c>
      <c r="PI974" s="2">
        <v>-0.0014</v>
      </c>
    </row>
    <row r="975">
      <c r="A975" t="inlineStr">
        <is>
          <t>A130392059F</t>
        </is>
      </c>
      <c r="B975" t="inlineStr">
        <is>
          <t>Contribution to All groups CPI Percentage Points Change from Previous Period ;  Veterinary and other services for pets ;  Australia ;</t>
        </is>
      </c>
      <c r="C975" t="inlineStr">
        <is>
          <t>Month</t>
        </is>
      </c>
      <c r="D975" t="inlineStr">
        <is>
          <t>% pts</t>
        </is>
      </c>
      <c r="E975" t="inlineStr">
        <is>
          <t>Original</t>
        </is>
      </c>
      <c r="F975" t="inlineStr">
        <is>
          <t>640105.xlsx</t>
        </is>
      </c>
      <c r="G975" t="inlineStr">
        <is>
          <t>2024-05</t>
        </is>
      </c>
      <c r="H975" t="inlineStr">
        <is>
          <t>2026-07</t>
        </is>
      </c>
      <c r="OA975" s="2">
        <v>0.0025</v>
      </c>
      <c r="OB975" s="2">
        <v>0.0036</v>
      </c>
      <c r="OC975" s="2">
        <v>0.0029</v>
      </c>
      <c r="OD975" s="2">
        <v>0.0038</v>
      </c>
      <c r="OE975" s="2">
        <v>0.0005999999999999999</v>
      </c>
      <c r="OF975" s="2">
        <v>0.003</v>
      </c>
      <c r="OG975" s="2">
        <v>-0.0003</v>
      </c>
      <c r="OH975" s="2">
        <v>0.0027</v>
      </c>
      <c r="OM975" s="2">
        <v>0.0002</v>
      </c>
      <c r="ON975" s="2">
        <v>0.0026</v>
      </c>
      <c r="OO975" s="2">
        <v>0.0039</v>
      </c>
      <c r="OP975" s="2">
        <v>0.0009</v>
      </c>
      <c r="OQ975" s="2">
        <v>0.002</v>
      </c>
      <c r="OR975" s="2">
        <v>0.0007</v>
      </c>
      <c r="OS975" s="2">
        <v>0.0056</v>
      </c>
      <c r="OT975" s="2">
        <v>0.0009</v>
      </c>
      <c r="OU975" s="2">
        <v>0.0023</v>
      </c>
      <c r="OV975" s="2">
        <v>0.0013</v>
      </c>
      <c r="OW975" s="2">
        <v>0</v>
      </c>
      <c r="OX975" s="2">
        <v>0.0012</v>
      </c>
      <c r="PC975" s="2">
        <v>0.0045</v>
      </c>
      <c r="PD975" s="2">
        <v>0.0014</v>
      </c>
      <c r="PE975" s="2">
        <v>0.0002</v>
      </c>
      <c r="PF975" s="2">
        <v>-0.0003</v>
      </c>
      <c r="PG975" s="2">
        <v>0.0005999999999999999</v>
      </c>
      <c r="PH975" s="2">
        <v>0.0004</v>
      </c>
      <c r="PI975" s="2">
        <v>0.0041</v>
      </c>
    </row>
    <row r="976">
      <c r="A976" t="inlineStr">
        <is>
          <t>A130399826K</t>
        </is>
      </c>
      <c r="B976" t="inlineStr">
        <is>
          <t>Contribution to All groups CPI Percentage Points Change from Previous Period ;  Sports participation ;  Australia ;</t>
        </is>
      </c>
      <c r="C976" t="inlineStr">
        <is>
          <t>Month</t>
        </is>
      </c>
      <c r="D976" t="inlineStr">
        <is>
          <t>% pts</t>
        </is>
      </c>
      <c r="E976" t="inlineStr">
        <is>
          <t>Original</t>
        </is>
      </c>
      <c r="F976" t="inlineStr">
        <is>
          <t>640105.xlsx</t>
        </is>
      </c>
      <c r="G976" t="inlineStr">
        <is>
          <t>2024-05</t>
        </is>
      </c>
      <c r="H976" t="inlineStr">
        <is>
          <t>2026-07</t>
        </is>
      </c>
      <c r="OA976" s="2">
        <v>0.0022</v>
      </c>
      <c r="OB976" s="2">
        <v>0.0011</v>
      </c>
      <c r="OC976" s="2">
        <v>0.0213</v>
      </c>
      <c r="OD976" s="2">
        <v>0.0054</v>
      </c>
      <c r="OE976" s="2">
        <v>0.0044</v>
      </c>
      <c r="OF976" s="2">
        <v>0.0008</v>
      </c>
      <c r="OG976" s="2">
        <v>0.0009</v>
      </c>
      <c r="OH976" s="2">
        <v>-0.0005</v>
      </c>
      <c r="OM976" s="2">
        <v>0.0032</v>
      </c>
      <c r="ON976" s="2">
        <v>0.0106</v>
      </c>
      <c r="OO976" s="2">
        <v>-0.0021</v>
      </c>
      <c r="OP976" s="2">
        <v>0.0051</v>
      </c>
      <c r="OQ976" s="2">
        <v>0.0004</v>
      </c>
      <c r="OR976" s="2">
        <v>0.0011</v>
      </c>
      <c r="OS976" s="2">
        <v>0.012</v>
      </c>
      <c r="OT976" s="2">
        <v>0.0033</v>
      </c>
      <c r="OU976" s="2">
        <v>0.0022</v>
      </c>
      <c r="OV976" s="2">
        <v>0.0047</v>
      </c>
      <c r="OW976" s="2">
        <v>0.001</v>
      </c>
      <c r="OX976" s="2">
        <v>0.0016</v>
      </c>
      <c r="PC976" s="2">
        <v>0.0041</v>
      </c>
      <c r="PD976" s="2">
        <v>0.0017</v>
      </c>
      <c r="PE976" s="2">
        <v>0.0019</v>
      </c>
      <c r="PF976" s="2">
        <v>0.008</v>
      </c>
      <c r="PG976" s="2">
        <v>0.0001</v>
      </c>
      <c r="PH976" s="2">
        <v>0.006</v>
      </c>
      <c r="PI976" s="2">
        <v>0.0174</v>
      </c>
    </row>
    <row r="977">
      <c r="A977" t="inlineStr">
        <is>
          <t>A130398640V</t>
        </is>
      </c>
      <c r="B977" t="inlineStr">
        <is>
          <t>Contribution to All groups CPI Percentage Points Change from Previous Period ;  Other recreational, sporting and cultural services ;  Australia ;</t>
        </is>
      </c>
      <c r="C977" t="inlineStr">
        <is>
          <t>Month</t>
        </is>
      </c>
      <c r="D977" t="inlineStr">
        <is>
          <t>% pts</t>
        </is>
      </c>
      <c r="E977" t="inlineStr">
        <is>
          <t>Original</t>
        </is>
      </c>
      <c r="F977" t="inlineStr">
        <is>
          <t>640105.xlsx</t>
        </is>
      </c>
      <c r="G977" t="inlineStr">
        <is>
          <t>2024-05</t>
        </is>
      </c>
      <c r="H977" t="inlineStr">
        <is>
          <t>2026-07</t>
        </is>
      </c>
      <c r="OA977" s="2">
        <v>-0.0013</v>
      </c>
      <c r="OB977" s="2">
        <v>0.0103</v>
      </c>
      <c r="OC977" s="2">
        <v>-0.0005</v>
      </c>
      <c r="OD977" s="2">
        <v>0.0143</v>
      </c>
      <c r="OE977" s="2">
        <v>-0.0077</v>
      </c>
      <c r="OF977" s="2">
        <v>-0.0365</v>
      </c>
      <c r="OG977" s="2">
        <v>0.0318</v>
      </c>
      <c r="OH977" s="2">
        <v>0.0159</v>
      </c>
      <c r="OM977" s="2">
        <v>-0.0128</v>
      </c>
      <c r="ON977" s="2">
        <v>0.0194</v>
      </c>
      <c r="OO977" s="2">
        <v>-0.0311</v>
      </c>
      <c r="OP977" s="2">
        <v>-0.0054</v>
      </c>
      <c r="OQ977" s="2">
        <v>0.0217</v>
      </c>
      <c r="OR977" s="2">
        <v>-0.0138</v>
      </c>
      <c r="OS977" s="2">
        <v>0.0054</v>
      </c>
      <c r="OT977" s="2">
        <v>-0.0011</v>
      </c>
      <c r="OU977" s="2">
        <v>-0.0195</v>
      </c>
      <c r="OV977" s="2">
        <v>0.0289</v>
      </c>
      <c r="OW977" s="2">
        <v>0.0003</v>
      </c>
      <c r="OX977" s="2">
        <v>0.0098</v>
      </c>
      <c r="PC977" s="2">
        <v>-0.0061</v>
      </c>
      <c r="PD977" s="2">
        <v>0.0116</v>
      </c>
      <c r="PE977" s="2">
        <v>-0.0053</v>
      </c>
      <c r="PF977" s="2">
        <v>-0.0066</v>
      </c>
      <c r="PG977" s="2">
        <v>0.008999999999999999</v>
      </c>
      <c r="PH977" s="2">
        <v>-0.0062</v>
      </c>
      <c r="PI977" s="2">
        <v>0.0168</v>
      </c>
    </row>
    <row r="978">
      <c r="A978" t="inlineStr">
        <is>
          <t>A130390029F</t>
        </is>
      </c>
      <c r="B978" t="inlineStr">
        <is>
          <t>Contribution to All groups CPI Percentage Points Change from Previous Period ;  Education ;  Australia ;</t>
        </is>
      </c>
      <c r="C978" t="inlineStr">
        <is>
          <t>Month</t>
        </is>
      </c>
      <c r="D978" t="inlineStr">
        <is>
          <t>% pts</t>
        </is>
      </c>
      <c r="E978" t="inlineStr">
        <is>
          <t>Original</t>
        </is>
      </c>
      <c r="F978" t="inlineStr">
        <is>
          <t>640105.xlsx</t>
        </is>
      </c>
      <c r="G978" t="inlineStr">
        <is>
          <t>2024-05</t>
        </is>
      </c>
      <c r="H978" t="inlineStr">
        <is>
          <t>2026-07</t>
        </is>
      </c>
      <c r="OA978" s="2">
        <v>0.0005</v>
      </c>
      <c r="OB978" s="2">
        <v>0.0011</v>
      </c>
      <c r="OC978" s="2">
        <v>0.0005999999999999999</v>
      </c>
      <c r="OD978" s="2">
        <v>0.0062</v>
      </c>
      <c r="OE978" s="2">
        <v>0.0014</v>
      </c>
      <c r="OF978" s="2">
        <v>0.0005</v>
      </c>
      <c r="OG978" s="2">
        <v>0.0005</v>
      </c>
      <c r="OH978" s="2">
        <v>0.0007</v>
      </c>
      <c r="OM978" s="2">
        <v>-0.0008</v>
      </c>
      <c r="ON978" s="2">
        <v>0.2369</v>
      </c>
      <c r="OO978" s="2">
        <v>0.0016</v>
      </c>
      <c r="OP978" s="2">
        <v>-0.0002</v>
      </c>
      <c r="OQ978" s="2">
        <v>-0.0001</v>
      </c>
      <c r="OR978" s="2">
        <v>0.002</v>
      </c>
      <c r="OS978" s="2">
        <v>0.0008</v>
      </c>
      <c r="OT978" s="2">
        <v>0.0063</v>
      </c>
      <c r="OU978" s="2">
        <v>0.001</v>
      </c>
      <c r="OV978" s="2">
        <v>0.001</v>
      </c>
      <c r="OW978" s="2">
        <v>0.0008</v>
      </c>
      <c r="OX978" s="2">
        <v>0.0008</v>
      </c>
      <c r="PC978" s="2">
        <v>-0.0021</v>
      </c>
      <c r="PD978" s="2">
        <v>0.2131</v>
      </c>
      <c r="PE978" s="2">
        <v>0.002</v>
      </c>
      <c r="PF978" s="2">
        <v>-0.0003</v>
      </c>
      <c r="PG978" s="2">
        <v>0</v>
      </c>
      <c r="PH978" s="2">
        <v>0.0005999999999999999</v>
      </c>
      <c r="PI978" s="2">
        <v>0.0005999999999999999</v>
      </c>
    </row>
    <row r="979">
      <c r="A979" t="inlineStr">
        <is>
          <t>A130393578A</t>
        </is>
      </c>
      <c r="B979" t="inlineStr">
        <is>
          <t>Contribution to All groups CPI Percentage Points Change from Previous Period ;  Education ;  Australia ;</t>
        </is>
      </c>
      <c r="C979" t="inlineStr">
        <is>
          <t>Month</t>
        </is>
      </c>
      <c r="D979" t="inlineStr">
        <is>
          <t>% pts</t>
        </is>
      </c>
      <c r="E979" t="inlineStr">
        <is>
          <t>Original</t>
        </is>
      </c>
      <c r="F979" t="inlineStr">
        <is>
          <t>640105.xlsx</t>
        </is>
      </c>
      <c r="G979" t="inlineStr">
        <is>
          <t>2024-05</t>
        </is>
      </c>
      <c r="H979" t="inlineStr">
        <is>
          <t>2026-07</t>
        </is>
      </c>
      <c r="OA979" s="2">
        <v>0.0005</v>
      </c>
      <c r="OB979" s="2">
        <v>0.0011</v>
      </c>
      <c r="OC979" s="2">
        <v>0.0005999999999999999</v>
      </c>
      <c r="OD979" s="2">
        <v>0.0062</v>
      </c>
      <c r="OE979" s="2">
        <v>0.0014</v>
      </c>
      <c r="OF979" s="2">
        <v>0.0005</v>
      </c>
      <c r="OG979" s="2">
        <v>0.0005</v>
      </c>
      <c r="OH979" s="2">
        <v>0.0007</v>
      </c>
      <c r="OM979" s="2">
        <v>-0.0008</v>
      </c>
      <c r="ON979" s="2">
        <v>0.2369</v>
      </c>
      <c r="OO979" s="2">
        <v>0.0016</v>
      </c>
      <c r="OP979" s="2">
        <v>-0.0002</v>
      </c>
      <c r="OQ979" s="2">
        <v>-0.0001</v>
      </c>
      <c r="OR979" s="2">
        <v>0.002</v>
      </c>
      <c r="OS979" s="2">
        <v>0.0008</v>
      </c>
      <c r="OT979" s="2">
        <v>0.0063</v>
      </c>
      <c r="OU979" s="2">
        <v>0.001</v>
      </c>
      <c r="OV979" s="2">
        <v>0.001</v>
      </c>
      <c r="OW979" s="2">
        <v>0.0008</v>
      </c>
      <c r="OX979" s="2">
        <v>0.0008</v>
      </c>
      <c r="PC979" s="2">
        <v>-0.0021</v>
      </c>
      <c r="PD979" s="2">
        <v>0.2131</v>
      </c>
      <c r="PE979" s="2">
        <v>0.002</v>
      </c>
      <c r="PF979" s="2">
        <v>-0.0003</v>
      </c>
      <c r="PG979" s="2">
        <v>0</v>
      </c>
      <c r="PH979" s="2">
        <v>0.0005999999999999999</v>
      </c>
      <c r="PI979" s="2">
        <v>0.0005999999999999999</v>
      </c>
    </row>
    <row r="980">
      <c r="A980" t="inlineStr">
        <is>
          <t>A130398762T</t>
        </is>
      </c>
      <c r="B980" t="inlineStr">
        <is>
          <t>Contribution to All groups CPI Percentage Points Change from Previous Period ;  Preschool and primary education ;  Australia ;</t>
        </is>
      </c>
      <c r="C980" t="inlineStr">
        <is>
          <t>Month</t>
        </is>
      </c>
      <c r="D980" t="inlineStr">
        <is>
          <t>% pts</t>
        </is>
      </c>
      <c r="E980" t="inlineStr">
        <is>
          <t>Original</t>
        </is>
      </c>
      <c r="F980" t="inlineStr">
        <is>
          <t>640105.xlsx</t>
        </is>
      </c>
      <c r="G980" t="inlineStr">
        <is>
          <t>2024-05</t>
        </is>
      </c>
      <c r="H980" t="inlineStr">
        <is>
          <t>2026-07</t>
        </is>
      </c>
      <c r="OA980" s="2">
        <v>0.0005</v>
      </c>
      <c r="OB980" s="2">
        <v>0.0011</v>
      </c>
      <c r="OC980" s="2">
        <v>0.0005999999999999999</v>
      </c>
      <c r="OD980" s="2">
        <v>0.004</v>
      </c>
      <c r="OE980" s="2">
        <v>0.0014</v>
      </c>
      <c r="OF980" s="2">
        <v>0.0005</v>
      </c>
      <c r="OG980" s="2">
        <v>0.0005</v>
      </c>
      <c r="OH980" s="2">
        <v>0.0007</v>
      </c>
      <c r="OM980" s="2">
        <v>-0.0008</v>
      </c>
      <c r="ON980" s="2">
        <v>0.0472</v>
      </c>
      <c r="OO980" s="2">
        <v>0.0016</v>
      </c>
      <c r="OP980" s="2">
        <v>-0.0002</v>
      </c>
      <c r="OQ980" s="2">
        <v>-0.0001</v>
      </c>
      <c r="OR980" s="2">
        <v>0.002</v>
      </c>
      <c r="OS980" s="2">
        <v>0.0008</v>
      </c>
      <c r="OT980" s="2">
        <v>0.0038</v>
      </c>
      <c r="OU980" s="2">
        <v>0.001</v>
      </c>
      <c r="OV980" s="2">
        <v>0.001</v>
      </c>
      <c r="OW980" s="2">
        <v>0.0008</v>
      </c>
      <c r="OX980" s="2">
        <v>0.0008</v>
      </c>
      <c r="PC980" s="2">
        <v>-0.0021</v>
      </c>
      <c r="PD980" s="2">
        <v>0.0405</v>
      </c>
      <c r="PE980" s="2">
        <v>0.002</v>
      </c>
      <c r="PF980" s="2">
        <v>-0.0003</v>
      </c>
      <c r="PG980" s="2">
        <v>0</v>
      </c>
      <c r="PH980" s="2">
        <v>0.0005999999999999999</v>
      </c>
      <c r="PI980" s="2">
        <v>0.0005999999999999999</v>
      </c>
    </row>
    <row r="981">
      <c r="A981" t="inlineStr">
        <is>
          <t>A130390057R</t>
        </is>
      </c>
      <c r="B981" t="inlineStr">
        <is>
          <t>Contribution to All groups CPI Percentage Points Change from Previous Period ;  Secondary education ;  Australia ;</t>
        </is>
      </c>
      <c r="C981" t="inlineStr">
        <is>
          <t>Month</t>
        </is>
      </c>
      <c r="D981" t="inlineStr">
        <is>
          <t>% pts</t>
        </is>
      </c>
      <c r="E981" t="inlineStr">
        <is>
          <t>Original</t>
        </is>
      </c>
      <c r="F981" t="inlineStr">
        <is>
          <t>640105.xlsx</t>
        </is>
      </c>
      <c r="G981" t="inlineStr">
        <is>
          <t>2024-05</t>
        </is>
      </c>
      <c r="H981" t="inlineStr">
        <is>
          <t>2026-07</t>
        </is>
      </c>
      <c r="OA981" s="2">
        <v>0</v>
      </c>
      <c r="OB981" s="2">
        <v>0</v>
      </c>
      <c r="OC981" s="2">
        <v>0</v>
      </c>
      <c r="OD981" s="2">
        <v>0</v>
      </c>
      <c r="OE981" s="2">
        <v>0</v>
      </c>
      <c r="OF981" s="2">
        <v>0</v>
      </c>
      <c r="OG981" s="2">
        <v>0</v>
      </c>
      <c r="OH981" s="2">
        <v>0</v>
      </c>
      <c r="OM981" s="2">
        <v>0</v>
      </c>
      <c r="ON981" s="2">
        <v>0.1269</v>
      </c>
      <c r="OO981" s="2">
        <v>0</v>
      </c>
      <c r="OP981" s="2">
        <v>0</v>
      </c>
      <c r="OQ981" s="2">
        <v>0</v>
      </c>
      <c r="OR981" s="2">
        <v>0</v>
      </c>
      <c r="OS981" s="2">
        <v>0</v>
      </c>
      <c r="OT981" s="2">
        <v>0</v>
      </c>
      <c r="OU981" s="2">
        <v>0</v>
      </c>
      <c r="OV981" s="2">
        <v>0</v>
      </c>
      <c r="OW981" s="2">
        <v>0</v>
      </c>
      <c r="OX981" s="2">
        <v>0</v>
      </c>
      <c r="PC981" s="2">
        <v>0</v>
      </c>
      <c r="PD981" s="2">
        <v>0.1346</v>
      </c>
      <c r="PE981" s="2">
        <v>0</v>
      </c>
      <c r="PF981" s="2">
        <v>0</v>
      </c>
      <c r="PG981" s="2">
        <v>0</v>
      </c>
      <c r="PH981" s="2">
        <v>0</v>
      </c>
      <c r="PI981" s="2">
        <v>0</v>
      </c>
    </row>
    <row r="982">
      <c r="A982" t="inlineStr">
        <is>
          <t>A130396245J</t>
        </is>
      </c>
      <c r="B982" t="inlineStr">
        <is>
          <t>Contribution to All groups CPI Percentage Points Change from Previous Period ;  Tertiary education ;  Australia ;</t>
        </is>
      </c>
      <c r="C982" t="inlineStr">
        <is>
          <t>Month</t>
        </is>
      </c>
      <c r="D982" t="inlineStr">
        <is>
          <t>% pts</t>
        </is>
      </c>
      <c r="E982" t="inlineStr">
        <is>
          <t>Original</t>
        </is>
      </c>
      <c r="F982" t="inlineStr">
        <is>
          <t>640105.xlsx</t>
        </is>
      </c>
      <c r="G982" t="inlineStr">
        <is>
          <t>2024-05</t>
        </is>
      </c>
      <c r="H982" t="inlineStr">
        <is>
          <t>2026-07</t>
        </is>
      </c>
      <c r="OA982" s="2">
        <v>0</v>
      </c>
      <c r="OB982" s="2">
        <v>0</v>
      </c>
      <c r="OC982" s="2">
        <v>0</v>
      </c>
      <c r="OD982" s="2">
        <v>0.0022</v>
      </c>
      <c r="OE982" s="2">
        <v>0</v>
      </c>
      <c r="OF982" s="2">
        <v>0</v>
      </c>
      <c r="OG982" s="2">
        <v>0</v>
      </c>
      <c r="OH982" s="2">
        <v>0</v>
      </c>
      <c r="OM982" s="2">
        <v>0</v>
      </c>
      <c r="ON982" s="2">
        <v>0.06279999999999999</v>
      </c>
      <c r="OO982" s="2">
        <v>0</v>
      </c>
      <c r="OP982" s="2">
        <v>0</v>
      </c>
      <c r="OQ982" s="2">
        <v>0</v>
      </c>
      <c r="OR982" s="2">
        <v>0</v>
      </c>
      <c r="OS982" s="2">
        <v>0</v>
      </c>
      <c r="OT982" s="2">
        <v>0.0024</v>
      </c>
      <c r="OU982" s="2">
        <v>0</v>
      </c>
      <c r="OV982" s="2">
        <v>0</v>
      </c>
      <c r="OW982" s="2">
        <v>0</v>
      </c>
      <c r="OX982" s="2">
        <v>0</v>
      </c>
      <c r="PC982" s="2">
        <v>0</v>
      </c>
      <c r="PD982" s="2">
        <v>0.038</v>
      </c>
      <c r="PE982" s="2">
        <v>0</v>
      </c>
      <c r="PF982" s="2">
        <v>0</v>
      </c>
      <c r="PG982" s="2">
        <v>0</v>
      </c>
      <c r="PH982" s="2">
        <v>0</v>
      </c>
      <c r="PI982" s="2">
        <v>0</v>
      </c>
    </row>
    <row r="983">
      <c r="A983" t="inlineStr">
        <is>
          <t>A130392766T</t>
        </is>
      </c>
      <c r="B983" t="inlineStr">
        <is>
          <t>Contribution to All groups CPI Percentage Points Change from Previous Period ;  Insurance and financial services ;  Australia ;</t>
        </is>
      </c>
      <c r="C983" t="inlineStr">
        <is>
          <t>Month</t>
        </is>
      </c>
      <c r="D983" t="inlineStr">
        <is>
          <t>% pts</t>
        </is>
      </c>
      <c r="E983" t="inlineStr">
        <is>
          <t>Original</t>
        </is>
      </c>
      <c r="F983" t="inlineStr">
        <is>
          <t>640105.xlsx</t>
        </is>
      </c>
      <c r="G983" t="inlineStr">
        <is>
          <t>2024-05</t>
        </is>
      </c>
      <c r="H983" t="inlineStr">
        <is>
          <t>2026-07</t>
        </is>
      </c>
      <c r="OA983" s="2">
        <v>0.0123</v>
      </c>
      <c r="OB983" s="2">
        <v>0.0395</v>
      </c>
      <c r="OC983" s="2">
        <v>0.0107</v>
      </c>
      <c r="OD983" s="2">
        <v>0.0063</v>
      </c>
      <c r="OE983" s="2">
        <v>0.0406</v>
      </c>
      <c r="OF983" s="2">
        <v>0.0136</v>
      </c>
      <c r="OG983" s="2">
        <v>-0.0005999999999999999</v>
      </c>
      <c r="OH983" s="2">
        <v>0.0302</v>
      </c>
      <c r="OM983" s="2">
        <v>0.0241</v>
      </c>
      <c r="ON983" s="2">
        <v>0.0021</v>
      </c>
      <c r="OO983" s="2">
        <v>0.0231</v>
      </c>
      <c r="OP983" s="2">
        <v>-0.0039</v>
      </c>
      <c r="OQ983" s="2">
        <v>-0.0058</v>
      </c>
      <c r="OR983" s="2">
        <v>0.0323</v>
      </c>
      <c r="OS983" s="2">
        <v>0.0128</v>
      </c>
      <c r="OT983" s="2">
        <v>-0.0073</v>
      </c>
      <c r="OU983" s="2">
        <v>0.0164</v>
      </c>
      <c r="OV983" s="2">
        <v>0.0126</v>
      </c>
      <c r="OW983" s="2">
        <v>0.0034</v>
      </c>
      <c r="OX983" s="2">
        <v>0.026</v>
      </c>
      <c r="PC983" s="2">
        <v>0.0191</v>
      </c>
      <c r="PD983" s="2">
        <v>0.0051</v>
      </c>
      <c r="PE983" s="2">
        <v>0.0444</v>
      </c>
      <c r="PF983" s="2">
        <v>0.0035</v>
      </c>
      <c r="PG983" s="2">
        <v>0.008200000000000001</v>
      </c>
      <c r="PH983" s="2">
        <v>0.0306</v>
      </c>
      <c r="PI983" s="2">
        <v>0.0094</v>
      </c>
    </row>
    <row r="984">
      <c r="A984" t="inlineStr">
        <is>
          <t>A130393949A</t>
        </is>
      </c>
      <c r="B984" t="inlineStr">
        <is>
          <t>Contribution to All groups CPI Percentage Points Change from Previous Period ;  Insurance ;  Australia ;</t>
        </is>
      </c>
      <c r="C984" t="inlineStr">
        <is>
          <t>Month</t>
        </is>
      </c>
      <c r="D984" t="inlineStr">
        <is>
          <t>% pts</t>
        </is>
      </c>
      <c r="E984" t="inlineStr">
        <is>
          <t>Original</t>
        </is>
      </c>
      <c r="F984" t="inlineStr">
        <is>
          <t>640105.xlsx</t>
        </is>
      </c>
      <c r="G984" t="inlineStr">
        <is>
          <t>2024-05</t>
        </is>
      </c>
      <c r="H984" t="inlineStr">
        <is>
          <t>2026-07</t>
        </is>
      </c>
      <c r="OA984" s="2">
        <v>0.012</v>
      </c>
      <c r="OB984" s="2">
        <v>0.0105</v>
      </c>
      <c r="OC984" s="2">
        <v>0.0105</v>
      </c>
      <c r="OD984" s="2">
        <v>0.0146</v>
      </c>
      <c r="OE984" s="2">
        <v>0.0048</v>
      </c>
      <c r="OF984" s="2">
        <v>0.0048</v>
      </c>
      <c r="OG984" s="2">
        <v>0.0059</v>
      </c>
      <c r="OH984" s="2">
        <v>0.0015</v>
      </c>
      <c r="OM984" s="2">
        <v>0.0239</v>
      </c>
      <c r="ON984" s="2">
        <v>0.0007</v>
      </c>
      <c r="OO984" s="2">
        <v>-0.0066</v>
      </c>
      <c r="OP984" s="2">
        <v>-0.0063</v>
      </c>
      <c r="OQ984" s="2">
        <v>-0.0059</v>
      </c>
      <c r="OR984" s="2">
        <v>0.0035</v>
      </c>
      <c r="OS984" s="2">
        <v>0.0108</v>
      </c>
      <c r="OT984" s="2">
        <v>-0.0083</v>
      </c>
      <c r="OU984" s="2">
        <v>0.0039</v>
      </c>
      <c r="OV984" s="2">
        <v>0.008200000000000001</v>
      </c>
      <c r="OW984" s="2">
        <v>0.0075</v>
      </c>
      <c r="OX984" s="2">
        <v>0.0032</v>
      </c>
      <c r="PC984" s="2">
        <v>0.0189</v>
      </c>
      <c r="PD984" s="2">
        <v>0.0049</v>
      </c>
      <c r="PE984" s="2">
        <v>0.009299999999999999</v>
      </c>
      <c r="PF984" s="2">
        <v>0.0037</v>
      </c>
      <c r="PG984" s="2">
        <v>0.0066</v>
      </c>
      <c r="PH984" s="2">
        <v>-0.0043</v>
      </c>
      <c r="PI984" s="2">
        <v>0.0025</v>
      </c>
    </row>
    <row r="985">
      <c r="A985" t="inlineStr">
        <is>
          <t>A130392640K</t>
        </is>
      </c>
      <c r="B985" t="inlineStr">
        <is>
          <t>Contribution to All groups CPI Percentage Points Change from Previous Period ;  Insurance ;  Australia ;</t>
        </is>
      </c>
      <c r="C985" t="inlineStr">
        <is>
          <t>Month</t>
        </is>
      </c>
      <c r="D985" t="inlineStr">
        <is>
          <t>% pts</t>
        </is>
      </c>
      <c r="E985" t="inlineStr">
        <is>
          <t>Original</t>
        </is>
      </c>
      <c r="F985" t="inlineStr">
        <is>
          <t>640105.xlsx</t>
        </is>
      </c>
      <c r="G985" t="inlineStr">
        <is>
          <t>2024-05</t>
        </is>
      </c>
      <c r="H985" t="inlineStr">
        <is>
          <t>2026-07</t>
        </is>
      </c>
      <c r="OA985" s="2">
        <v>0.012</v>
      </c>
      <c r="OB985" s="2">
        <v>0.0105</v>
      </c>
      <c r="OC985" s="2">
        <v>0.0105</v>
      </c>
      <c r="OD985" s="2">
        <v>0.0146</v>
      </c>
      <c r="OE985" s="2">
        <v>0.0048</v>
      </c>
      <c r="OF985" s="2">
        <v>0.0048</v>
      </c>
      <c r="OG985" s="2">
        <v>0.0059</v>
      </c>
      <c r="OH985" s="2">
        <v>0.0015</v>
      </c>
      <c r="OM985" s="2">
        <v>0.0239</v>
      </c>
      <c r="ON985" s="2">
        <v>0.0007</v>
      </c>
      <c r="OO985" s="2">
        <v>-0.0066</v>
      </c>
      <c r="OP985" s="2">
        <v>-0.0063</v>
      </c>
      <c r="OQ985" s="2">
        <v>-0.0059</v>
      </c>
      <c r="OR985" s="2">
        <v>0.0035</v>
      </c>
      <c r="OS985" s="2">
        <v>0.0108</v>
      </c>
      <c r="OT985" s="2">
        <v>-0.0083</v>
      </c>
      <c r="OU985" s="2">
        <v>0.0039</v>
      </c>
      <c r="OV985" s="2">
        <v>0.008200000000000001</v>
      </c>
      <c r="OW985" s="2">
        <v>0.0075</v>
      </c>
      <c r="OX985" s="2">
        <v>0.0032</v>
      </c>
      <c r="PC985" s="2">
        <v>0.0189</v>
      </c>
      <c r="PD985" s="2">
        <v>0.0049</v>
      </c>
      <c r="PE985" s="2">
        <v>0.009299999999999999</v>
      </c>
      <c r="PF985" s="2">
        <v>0.0037</v>
      </c>
      <c r="PG985" s="2">
        <v>0.0066</v>
      </c>
      <c r="PH985" s="2">
        <v>-0.0043</v>
      </c>
      <c r="PI985" s="2">
        <v>0.0025</v>
      </c>
    </row>
    <row r="986">
      <c r="A986" t="inlineStr">
        <is>
          <t>A130399119X</t>
        </is>
      </c>
      <c r="B986" t="inlineStr">
        <is>
          <t>Contribution to All groups CPI Percentage Points Change from Previous Period ;  Financial services ;  Australia ;</t>
        </is>
      </c>
      <c r="C986" t="inlineStr">
        <is>
          <t>Month</t>
        </is>
      </c>
      <c r="D986" t="inlineStr">
        <is>
          <t>% pts</t>
        </is>
      </c>
      <c r="E986" t="inlineStr">
        <is>
          <t>Original</t>
        </is>
      </c>
      <c r="F986" t="inlineStr">
        <is>
          <t>640105.xlsx</t>
        </is>
      </c>
      <c r="G986" t="inlineStr">
        <is>
          <t>2024-05</t>
        </is>
      </c>
      <c r="H986" t="inlineStr">
        <is>
          <t>2026-07</t>
        </is>
      </c>
      <c r="OA986" s="2">
        <v>0.0003</v>
      </c>
      <c r="OB986" s="2">
        <v>0.029</v>
      </c>
      <c r="OC986" s="2">
        <v>0.0003</v>
      </c>
      <c r="OD986" s="2">
        <v>-0.0083</v>
      </c>
      <c r="OE986" s="2">
        <v>0.0357</v>
      </c>
      <c r="OF986" s="2">
        <v>0.008800000000000001</v>
      </c>
      <c r="OG986" s="2">
        <v>-0.0064</v>
      </c>
      <c r="OH986" s="2">
        <v>0.0286</v>
      </c>
      <c r="OM986" s="2">
        <v>0.0002</v>
      </c>
      <c r="ON986" s="2">
        <v>0.0014</v>
      </c>
      <c r="OO986" s="2">
        <v>0.0297</v>
      </c>
      <c r="OP986" s="2">
        <v>0.0024</v>
      </c>
      <c r="OQ986" s="2">
        <v>0.0001</v>
      </c>
      <c r="OR986" s="2">
        <v>0.0287</v>
      </c>
      <c r="OS986" s="2">
        <v>0.002</v>
      </c>
      <c r="OT986" s="2">
        <v>0.001</v>
      </c>
      <c r="OU986" s="2">
        <v>0.0126</v>
      </c>
      <c r="OV986" s="2">
        <v>0.0044</v>
      </c>
      <c r="OW986" s="2">
        <v>-0.0041</v>
      </c>
      <c r="OX986" s="2">
        <v>0.0228</v>
      </c>
      <c r="PC986" s="2">
        <v>0.0002</v>
      </c>
      <c r="PD986" s="2">
        <v>0.0002</v>
      </c>
      <c r="PE986" s="2">
        <v>0.0351</v>
      </c>
      <c r="PF986" s="2">
        <v>-0.0002</v>
      </c>
      <c r="PG986" s="2">
        <v>0.0016</v>
      </c>
      <c r="PH986" s="2">
        <v>0.0349</v>
      </c>
      <c r="PI986" s="2">
        <v>0.0069</v>
      </c>
    </row>
    <row r="987">
      <c r="A987" t="inlineStr">
        <is>
          <t>A130399105K</t>
        </is>
      </c>
      <c r="B987" t="inlineStr">
        <is>
          <t>Contribution to All groups CPI Percentage Points Change from Previous Period ;  Deposit and loan facilities (direct charges) ;  Australia ;</t>
        </is>
      </c>
      <c r="C987" t="inlineStr">
        <is>
          <t>Month</t>
        </is>
      </c>
      <c r="D987" t="inlineStr">
        <is>
          <t>% pts</t>
        </is>
      </c>
      <c r="E987" t="inlineStr">
        <is>
          <t>Original</t>
        </is>
      </c>
      <c r="F987" t="inlineStr">
        <is>
          <t>640105.xlsx</t>
        </is>
      </c>
      <c r="G987" t="inlineStr">
        <is>
          <t>2024-05</t>
        </is>
      </c>
      <c r="H987" t="inlineStr">
        <is>
          <t>2026-07</t>
        </is>
      </c>
      <c r="OA987" s="2">
        <v>0.0003</v>
      </c>
      <c r="OB987" s="2">
        <v>0.0013</v>
      </c>
      <c r="OC987" s="2">
        <v>0.0003</v>
      </c>
      <c r="OD987" s="2">
        <v>-0.0083</v>
      </c>
      <c r="OE987" s="2">
        <v>0.0009</v>
      </c>
      <c r="OF987" s="2">
        <v>0.008800000000000001</v>
      </c>
      <c r="OG987" s="2">
        <v>-0.0064</v>
      </c>
      <c r="OH987" s="2">
        <v>0.0008</v>
      </c>
      <c r="OM987" s="2">
        <v>0.0002</v>
      </c>
      <c r="ON987" s="2">
        <v>0.0014</v>
      </c>
      <c r="OO987" s="2">
        <v>0.008800000000000001</v>
      </c>
      <c r="OP987" s="2">
        <v>0.0024</v>
      </c>
      <c r="OQ987" s="2">
        <v>0.0001</v>
      </c>
      <c r="OR987" s="2">
        <v>0.005</v>
      </c>
      <c r="OS987" s="2">
        <v>0.002</v>
      </c>
      <c r="OT987" s="2">
        <v>0.001</v>
      </c>
      <c r="OU987" s="2">
        <v>-0.0042</v>
      </c>
      <c r="OV987" s="2">
        <v>0.0044</v>
      </c>
      <c r="OW987" s="2">
        <v>-0.0041</v>
      </c>
      <c r="OX987" s="2">
        <v>-0.0007</v>
      </c>
      <c r="PC987" s="2">
        <v>0.0002</v>
      </c>
      <c r="PD987" s="2">
        <v>0.0002</v>
      </c>
      <c r="PE987" s="2">
        <v>0.0034</v>
      </c>
      <c r="PF987" s="2">
        <v>-0.0002</v>
      </c>
      <c r="PG987" s="2">
        <v>0.0016</v>
      </c>
      <c r="PH987" s="2">
        <v>0.0002</v>
      </c>
      <c r="PI987" s="2">
        <v>0.0069</v>
      </c>
    </row>
    <row r="988">
      <c r="A988" t="inlineStr">
        <is>
          <t>A130392479A</t>
        </is>
      </c>
      <c r="B988" t="inlineStr">
        <is>
          <t>Contribution to All groups CPI Percentage Points Change from Previous Period ;  Other financial services ;  Australia ;</t>
        </is>
      </c>
      <c r="C988" t="inlineStr">
        <is>
          <t>Month</t>
        </is>
      </c>
      <c r="D988" t="inlineStr">
        <is>
          <t>% pts</t>
        </is>
      </c>
      <c r="E988" t="inlineStr">
        <is>
          <t>Original</t>
        </is>
      </c>
      <c r="F988" t="inlineStr">
        <is>
          <t>640105.xlsx</t>
        </is>
      </c>
      <c r="G988" t="inlineStr">
        <is>
          <t>2024-05</t>
        </is>
      </c>
      <c r="H988" t="inlineStr">
        <is>
          <t>2026-07</t>
        </is>
      </c>
      <c r="OA988" s="2">
        <v>0</v>
      </c>
      <c r="OB988" s="2">
        <v>0.0277</v>
      </c>
      <c r="OC988" s="2">
        <v>0</v>
      </c>
      <c r="OD988" s="2">
        <v>0</v>
      </c>
      <c r="OE988" s="2">
        <v>0.0349</v>
      </c>
      <c r="OF988" s="2">
        <v>0</v>
      </c>
      <c r="OG988" s="2">
        <v>0</v>
      </c>
      <c r="OH988" s="2">
        <v>0.0278</v>
      </c>
      <c r="OM988" s="2">
        <v>0</v>
      </c>
      <c r="ON988" s="2">
        <v>0</v>
      </c>
      <c r="OO988" s="2">
        <v>0.0209</v>
      </c>
      <c r="OP988" s="2">
        <v>0</v>
      </c>
      <c r="OQ988" s="2">
        <v>0</v>
      </c>
      <c r="OR988" s="2">
        <v>0.0237</v>
      </c>
      <c r="OS988" s="2">
        <v>0</v>
      </c>
      <c r="OT988" s="2">
        <v>0</v>
      </c>
      <c r="OU988" s="2">
        <v>0.0167</v>
      </c>
      <c r="OV988" s="2">
        <v>0</v>
      </c>
      <c r="OW988" s="2">
        <v>0</v>
      </c>
      <c r="OX988" s="2">
        <v>0.0235</v>
      </c>
      <c r="PC988" s="2">
        <v>0</v>
      </c>
      <c r="PD988" s="2">
        <v>0</v>
      </c>
      <c r="PE988" s="2">
        <v>0.0317</v>
      </c>
      <c r="PF988" s="2">
        <v>0</v>
      </c>
      <c r="PG988" s="2">
        <v>0</v>
      </c>
      <c r="PH988" s="2">
        <v>0.0347</v>
      </c>
      <c r="PI988" s="2">
        <v>0</v>
      </c>
    </row>
    <row r="989">
      <c r="A989" t="inlineStr">
        <is>
          <t>A130393720C</t>
        </is>
      </c>
      <c r="B989" t="inlineStr">
        <is>
          <t>Index Numbers ;  All groups CPI ;  Australia ;</t>
        </is>
      </c>
      <c r="C989" t="inlineStr">
        <is>
          <t>Month</t>
        </is>
      </c>
      <c r="D989" t="inlineStr">
        <is>
          <t>Index Numbers</t>
        </is>
      </c>
      <c r="E989" t="inlineStr">
        <is>
          <t>Original</t>
        </is>
      </c>
      <c r="F989" t="inlineStr">
        <is>
          <t>640106.xlsx</t>
        </is>
      </c>
      <c r="G989" t="inlineStr">
        <is>
          <t>2024-04</t>
        </is>
      </c>
      <c r="H989" t="inlineStr">
        <is>
          <t>2026-07</t>
        </is>
      </c>
      <c r="NZ989" s="2">
        <v>96.40000000000001</v>
      </c>
      <c r="OA989" s="2">
        <v>96.17</v>
      </c>
      <c r="OB989" s="2">
        <v>96.52</v>
      </c>
      <c r="OC989" s="2">
        <v>96.77</v>
      </c>
      <c r="OD989" s="2">
        <v>96.48999999999999</v>
      </c>
      <c r="OE989" s="2">
        <v>96.54000000000001</v>
      </c>
      <c r="OF989" s="2">
        <v>96.31999999999999</v>
      </c>
      <c r="OG989" s="2">
        <v>96.68000000000001</v>
      </c>
      <c r="OH989" s="2">
        <v>97.31</v>
      </c>
      <c r="OM989" s="2">
        <v>97.58</v>
      </c>
      <c r="ON989" s="2">
        <v>97.67</v>
      </c>
      <c r="OO989" s="2">
        <v>97.95999999999999</v>
      </c>
      <c r="OP989" s="2">
        <v>98.68000000000001</v>
      </c>
      <c r="OQ989" s="2">
        <v>98.2</v>
      </c>
      <c r="OR989" s="2">
        <v>98.34</v>
      </c>
      <c r="OS989" s="2">
        <v>99.63</v>
      </c>
      <c r="OT989" s="2">
        <v>99.55</v>
      </c>
      <c r="OU989" s="2">
        <v>100</v>
      </c>
      <c r="OV989" s="2">
        <v>99.98999999999999</v>
      </c>
      <c r="OW989" s="2">
        <v>100.01</v>
      </c>
      <c r="OX989" s="2">
        <v>100.97</v>
      </c>
      <c r="PC989" s="2">
        <v>101.33</v>
      </c>
      <c r="PD989" s="2">
        <v>101.31</v>
      </c>
      <c r="PE989" s="2">
        <v>102.44</v>
      </c>
      <c r="PF989" s="2">
        <v>102.8</v>
      </c>
      <c r="PG989" s="2">
        <v>102.09</v>
      </c>
      <c r="PH989" s="2">
        <v>102.03</v>
      </c>
      <c r="PI989" s="2">
        <v>103.07</v>
      </c>
    </row>
    <row r="990">
      <c r="A990" t="inlineStr">
        <is>
          <t>A130607789R</t>
        </is>
      </c>
      <c r="B990" t="inlineStr">
        <is>
          <t>Index Numbers ;  All groups CPI, seasonally adjusted ;  Australia ;</t>
        </is>
      </c>
      <c r="C990" t="inlineStr">
        <is>
          <t>Month</t>
        </is>
      </c>
      <c r="D990" t="inlineStr">
        <is>
          <t>Index Numbers</t>
        </is>
      </c>
      <c r="E990" t="inlineStr">
        <is>
          <t>Seasonally Adjusted</t>
        </is>
      </c>
      <c r="F990" t="inlineStr">
        <is>
          <t>640106.xlsx</t>
        </is>
      </c>
      <c r="G990" t="inlineStr">
        <is>
          <t>2024-04</t>
        </is>
      </c>
      <c r="H990" t="inlineStr">
        <is>
          <t>2026-07</t>
        </is>
      </c>
      <c r="NZ990" s="2">
        <v>100</v>
      </c>
      <c r="OA990" s="2">
        <v>100.3</v>
      </c>
      <c r="OB990" s="2">
        <v>100.71</v>
      </c>
      <c r="OC990" s="2">
        <v>100.57</v>
      </c>
      <c r="OD990" s="2">
        <v>100.54</v>
      </c>
      <c r="OE990" s="2">
        <v>100.4</v>
      </c>
      <c r="OF990" s="2">
        <v>100.41</v>
      </c>
      <c r="OG990" s="2">
        <v>101.08</v>
      </c>
      <c r="OH990" s="2">
        <v>101.04</v>
      </c>
      <c r="OM990" s="2">
        <v>101.58</v>
      </c>
      <c r="ON990" s="2">
        <v>101.83</v>
      </c>
      <c r="OO990" s="2">
        <v>102.09</v>
      </c>
      <c r="OP990" s="2">
        <v>102.39</v>
      </c>
      <c r="OQ990" s="2">
        <v>102.43</v>
      </c>
      <c r="OR990" s="2">
        <v>102.61</v>
      </c>
      <c r="OS990" s="2">
        <v>103.55</v>
      </c>
      <c r="OT990" s="2">
        <v>103.74</v>
      </c>
      <c r="OU990" s="2">
        <v>104.03</v>
      </c>
      <c r="OV990" s="2">
        <v>104.29</v>
      </c>
      <c r="OW990" s="2">
        <v>104.58</v>
      </c>
      <c r="OX990" s="2">
        <v>104.8</v>
      </c>
      <c r="PC990" s="2">
        <v>105.46</v>
      </c>
      <c r="PD990" s="2">
        <v>105.63</v>
      </c>
      <c r="PE990" s="2">
        <v>106.73</v>
      </c>
      <c r="PF990" s="2">
        <v>106.65</v>
      </c>
      <c r="PG990" s="2">
        <v>106.5</v>
      </c>
      <c r="PH990" s="2">
        <v>106.45</v>
      </c>
      <c r="PI990" s="2">
        <v>107.13</v>
      </c>
    </row>
    <row r="991">
      <c r="A991" t="inlineStr">
        <is>
          <t>A130400381L</t>
        </is>
      </c>
      <c r="B991" t="inlineStr">
        <is>
          <t>Index Numbers ;  Trimmed Mean ;  Australia ;</t>
        </is>
      </c>
      <c r="C991" t="inlineStr">
        <is>
          <t>Month</t>
        </is>
      </c>
      <c r="D991" t="inlineStr">
        <is>
          <t>Index Numbers</t>
        </is>
      </c>
      <c r="E991" t="inlineStr">
        <is>
          <t>Seasonally Adjusted</t>
        </is>
      </c>
      <c r="F991" t="inlineStr">
        <is>
          <t>640106.xlsx</t>
        </is>
      </c>
      <c r="G991" t="inlineStr">
        <is>
          <t>2024-04</t>
        </is>
      </c>
      <c r="H991" t="inlineStr">
        <is>
          <t>2026-07</t>
        </is>
      </c>
      <c r="NZ991" s="2">
        <v>100</v>
      </c>
      <c r="OA991" s="2">
        <v>100.3712</v>
      </c>
      <c r="OB991" s="2">
        <v>100.7472</v>
      </c>
      <c r="OC991" s="2">
        <v>101.0202</v>
      </c>
      <c r="OD991" s="2">
        <v>101.3014</v>
      </c>
      <c r="OE991" s="2">
        <v>101.3989</v>
      </c>
      <c r="OF991" s="2">
        <v>101.6537</v>
      </c>
      <c r="OG991" s="2">
        <v>101.9602</v>
      </c>
      <c r="OH991" s="2">
        <v>102.1294</v>
      </c>
      <c r="OM991" s="2">
        <v>102.4323</v>
      </c>
      <c r="ON991" s="2">
        <v>102.6967</v>
      </c>
      <c r="OO991" s="2">
        <v>102.8991</v>
      </c>
      <c r="OP991" s="2">
        <v>103.1787</v>
      </c>
      <c r="OQ991" s="2">
        <v>103.3974</v>
      </c>
      <c r="OR991" s="2">
        <v>103.5987</v>
      </c>
      <c r="OS991" s="2">
        <v>104.1046</v>
      </c>
      <c r="OT991" s="2">
        <v>104.395</v>
      </c>
      <c r="OU991" s="2">
        <v>104.6665</v>
      </c>
      <c r="OV991" s="2">
        <v>105.0041</v>
      </c>
      <c r="OW991" s="2">
        <v>105.2593</v>
      </c>
      <c r="OX991" s="2">
        <v>105.502</v>
      </c>
      <c r="PC991" s="2">
        <v>105.8355</v>
      </c>
      <c r="PD991" s="2">
        <v>106.0534</v>
      </c>
      <c r="PE991" s="2">
        <v>106.3213</v>
      </c>
      <c r="PF991" s="2">
        <v>106.6424</v>
      </c>
      <c r="PG991" s="2">
        <v>107.0451</v>
      </c>
      <c r="PH991" s="2">
        <v>107.3489</v>
      </c>
      <c r="PI991" s="2">
        <v>107.8706</v>
      </c>
    </row>
    <row r="992">
      <c r="A992" t="inlineStr">
        <is>
          <t>A130400612K</t>
        </is>
      </c>
      <c r="B992" t="inlineStr">
        <is>
          <t>Index Numbers ;  Weighted Median ;  Australia ;</t>
        </is>
      </c>
      <c r="C992" t="inlineStr">
        <is>
          <t>Month</t>
        </is>
      </c>
      <c r="D992" t="inlineStr">
        <is>
          <t>Index Numbers</t>
        </is>
      </c>
      <c r="E992" t="inlineStr">
        <is>
          <t>Seasonally Adjusted</t>
        </is>
      </c>
      <c r="F992" t="inlineStr">
        <is>
          <t>640106.xlsx</t>
        </is>
      </c>
      <c r="G992" t="inlineStr">
        <is>
          <t>2024-04</t>
        </is>
      </c>
      <c r="H992" t="inlineStr">
        <is>
          <t>2026-07</t>
        </is>
      </c>
      <c r="NZ992" s="2">
        <v>100</v>
      </c>
      <c r="OA992" s="2">
        <v>100.3837</v>
      </c>
      <c r="OB992" s="2">
        <v>100.8121</v>
      </c>
      <c r="OC992" s="2">
        <v>101.1625</v>
      </c>
      <c r="OD992" s="2">
        <v>101.4735</v>
      </c>
      <c r="OE992" s="2">
        <v>101.6615</v>
      </c>
      <c r="OF992" s="2">
        <v>101.8982</v>
      </c>
      <c r="OG992" s="2">
        <v>102.2609</v>
      </c>
      <c r="OH992" s="2">
        <v>102.4597</v>
      </c>
      <c r="OM992" s="2">
        <v>102.6914</v>
      </c>
      <c r="ON992" s="2">
        <v>102.9972</v>
      </c>
      <c r="OO992" s="2">
        <v>103.2347</v>
      </c>
      <c r="OP992" s="2">
        <v>103.5477</v>
      </c>
      <c r="OQ992" s="2">
        <v>103.7695</v>
      </c>
      <c r="OR992" s="2">
        <v>103.9655</v>
      </c>
      <c r="OS992" s="2">
        <v>104.3603</v>
      </c>
      <c r="OT992" s="2">
        <v>104.6709</v>
      </c>
      <c r="OU992" s="2">
        <v>105.0573</v>
      </c>
      <c r="OV992" s="2">
        <v>105.4172</v>
      </c>
      <c r="OW992" s="2">
        <v>105.7064</v>
      </c>
      <c r="OX992" s="2">
        <v>105.9584</v>
      </c>
      <c r="PC992" s="2">
        <v>106.2937</v>
      </c>
      <c r="PD992" s="2">
        <v>106.4638</v>
      </c>
      <c r="PE992" s="2">
        <v>106.7104</v>
      </c>
      <c r="PF992" s="2">
        <v>106.997</v>
      </c>
      <c r="PG992" s="2">
        <v>107.3753</v>
      </c>
      <c r="PH992" s="2">
        <v>107.7254</v>
      </c>
      <c r="PI992" s="2">
        <v>108.1296</v>
      </c>
    </row>
    <row r="993">
      <c r="A993" t="inlineStr">
        <is>
          <t>A130392362W</t>
        </is>
      </c>
      <c r="B993" t="inlineStr">
        <is>
          <t>Index Numbers ;  Tradables ;  Australia ;</t>
        </is>
      </c>
      <c r="C993" t="inlineStr">
        <is>
          <t>Month</t>
        </is>
      </c>
      <c r="D993" t="inlineStr">
        <is>
          <t>Index Numbers</t>
        </is>
      </c>
      <c r="E993" t="inlineStr">
        <is>
          <t>Original</t>
        </is>
      </c>
      <c r="F993" t="inlineStr">
        <is>
          <t>640106.xlsx</t>
        </is>
      </c>
      <c r="G993" t="inlineStr">
        <is>
          <t>2024-04</t>
        </is>
      </c>
      <c r="H993" t="inlineStr">
        <is>
          <t>2026-07</t>
        </is>
      </c>
      <c r="NZ993" s="2">
        <v>98.88</v>
      </c>
      <c r="OA993" s="2">
        <v>98.28</v>
      </c>
      <c r="OB993" s="2">
        <v>98.45</v>
      </c>
      <c r="OC993" s="2">
        <v>98.78</v>
      </c>
      <c r="OD993" s="2">
        <v>98.72</v>
      </c>
      <c r="OE993" s="2">
        <v>98.18000000000001</v>
      </c>
      <c r="OF993" s="2">
        <v>97.62</v>
      </c>
      <c r="OG993" s="2">
        <v>97.45999999999999</v>
      </c>
      <c r="OH993" s="2">
        <v>99.01000000000001</v>
      </c>
      <c r="OM993" s="2">
        <v>98.03</v>
      </c>
      <c r="ON993" s="2">
        <v>98.22</v>
      </c>
      <c r="OO993" s="2">
        <v>98.06999999999999</v>
      </c>
      <c r="OP993" s="2">
        <v>99.12</v>
      </c>
      <c r="OQ993" s="2">
        <v>98.29000000000001</v>
      </c>
      <c r="OR993" s="2">
        <v>98.45</v>
      </c>
      <c r="OS993" s="2">
        <v>99.83</v>
      </c>
      <c r="OT993" s="2">
        <v>99.89</v>
      </c>
      <c r="OU993" s="2">
        <v>100</v>
      </c>
      <c r="OV993" s="2">
        <v>99.56999999999999</v>
      </c>
      <c r="OW993" s="2">
        <v>99.23</v>
      </c>
      <c r="OX993" s="2">
        <v>101.11</v>
      </c>
      <c r="PC993" s="2">
        <v>99.84999999999999</v>
      </c>
      <c r="PD993" s="2">
        <v>99.53</v>
      </c>
      <c r="PE993" s="2">
        <v>102.48</v>
      </c>
      <c r="PF993" s="2">
        <v>102.25</v>
      </c>
      <c r="PG993" s="2">
        <v>100.75</v>
      </c>
      <c r="PH993" s="2">
        <v>99.94</v>
      </c>
      <c r="PI993" s="2">
        <v>101.48</v>
      </c>
    </row>
    <row r="994">
      <c r="A994" t="inlineStr">
        <is>
          <t>A130395029W</t>
        </is>
      </c>
      <c r="B994" t="inlineStr">
        <is>
          <t>Index Numbers ;  Non-tradables ;  Australia ;</t>
        </is>
      </c>
      <c r="C994" t="inlineStr">
        <is>
          <t>Month</t>
        </is>
      </c>
      <c r="D994" t="inlineStr">
        <is>
          <t>Index Numbers</t>
        </is>
      </c>
      <c r="E994" t="inlineStr">
        <is>
          <t>Original</t>
        </is>
      </c>
      <c r="F994" t="inlineStr">
        <is>
          <t>640106.xlsx</t>
        </is>
      </c>
      <c r="G994" t="inlineStr">
        <is>
          <t>2024-04</t>
        </is>
      </c>
      <c r="H994" t="inlineStr">
        <is>
          <t>2026-07</t>
        </is>
      </c>
      <c r="NZ994" s="2">
        <v>95.12</v>
      </c>
      <c r="OA994" s="2">
        <v>95.09</v>
      </c>
      <c r="OB994" s="2">
        <v>95.52</v>
      </c>
      <c r="OC994" s="2">
        <v>95.73</v>
      </c>
      <c r="OD994" s="2">
        <v>95.34999999999999</v>
      </c>
      <c r="OE994" s="2">
        <v>95.69</v>
      </c>
      <c r="OF994" s="2">
        <v>95.64</v>
      </c>
      <c r="OG994" s="2">
        <v>96.27</v>
      </c>
      <c r="OH994" s="2">
        <v>96.44</v>
      </c>
      <c r="OM994" s="2">
        <v>97.34999999999999</v>
      </c>
      <c r="ON994" s="2">
        <v>97.38</v>
      </c>
      <c r="OO994" s="2">
        <v>97.90000000000001</v>
      </c>
      <c r="OP994" s="2">
        <v>98.45999999999999</v>
      </c>
      <c r="OQ994" s="2">
        <v>98.15000000000001</v>
      </c>
      <c r="OR994" s="2">
        <v>98.28</v>
      </c>
      <c r="OS994" s="2">
        <v>99.53</v>
      </c>
      <c r="OT994" s="2">
        <v>99.38</v>
      </c>
      <c r="OU994" s="2">
        <v>100</v>
      </c>
      <c r="OV994" s="2">
        <v>100.21</v>
      </c>
      <c r="OW994" s="2">
        <v>100.41</v>
      </c>
      <c r="OX994" s="2">
        <v>100.9</v>
      </c>
      <c r="PC994" s="2">
        <v>102.09</v>
      </c>
      <c r="PD994" s="2">
        <v>102.24</v>
      </c>
      <c r="PE994" s="2">
        <v>102.43</v>
      </c>
      <c r="PF994" s="2">
        <v>103.08</v>
      </c>
      <c r="PG994" s="2">
        <v>102.79</v>
      </c>
      <c r="PH994" s="2">
        <v>103.11</v>
      </c>
      <c r="PI994" s="2">
        <v>103.89</v>
      </c>
    </row>
    <row r="995">
      <c r="A995" t="inlineStr">
        <is>
          <t>A130397424J</t>
        </is>
      </c>
      <c r="B995" t="inlineStr">
        <is>
          <t>Index Numbers ;  All groups, goods component ;  Australia ;</t>
        </is>
      </c>
      <c r="C995" t="inlineStr">
        <is>
          <t>Month</t>
        </is>
      </c>
      <c r="D995" t="inlineStr">
        <is>
          <t>Index Numbers</t>
        </is>
      </c>
      <c r="E995" t="inlineStr">
        <is>
          <t>Original</t>
        </is>
      </c>
      <c r="F995" t="inlineStr">
        <is>
          <t>640106.xlsx</t>
        </is>
      </c>
      <c r="G995" t="inlineStr">
        <is>
          <t>2024-04</t>
        </is>
      </c>
      <c r="H995" t="inlineStr">
        <is>
          <t>2026-07</t>
        </is>
      </c>
      <c r="NZ995" s="2">
        <v>97.75</v>
      </c>
      <c r="OA995" s="2">
        <v>97.47</v>
      </c>
      <c r="OB995" s="2">
        <v>97.23</v>
      </c>
      <c r="OC995" s="2">
        <v>97.65000000000001</v>
      </c>
      <c r="OD995" s="2">
        <v>97.08</v>
      </c>
      <c r="OE995" s="2">
        <v>96.47</v>
      </c>
      <c r="OF995" s="2">
        <v>96.27</v>
      </c>
      <c r="OG995" s="2">
        <v>96.89</v>
      </c>
      <c r="OH995" s="2">
        <v>96.73</v>
      </c>
      <c r="OM995" s="2">
        <v>97.59999999999999</v>
      </c>
      <c r="ON995" s="2">
        <v>98.01000000000001</v>
      </c>
      <c r="OO995" s="2">
        <v>98.26000000000001</v>
      </c>
      <c r="OP995" s="2">
        <v>98.66</v>
      </c>
      <c r="OQ995" s="2">
        <v>98.48999999999999</v>
      </c>
      <c r="OR995" s="2">
        <v>98.39</v>
      </c>
      <c r="OS995" s="2">
        <v>99.97</v>
      </c>
      <c r="OT995" s="2">
        <v>99.98999999999999</v>
      </c>
      <c r="OU995" s="2">
        <v>100</v>
      </c>
      <c r="OV995" s="2">
        <v>99.89</v>
      </c>
      <c r="OW995" s="2">
        <v>100.1</v>
      </c>
      <c r="OX995" s="2">
        <v>100.06</v>
      </c>
      <c r="PC995" s="2">
        <v>101.33</v>
      </c>
      <c r="PD995" s="2">
        <v>101.48</v>
      </c>
      <c r="PE995" s="2">
        <v>103.62</v>
      </c>
      <c r="PF995" s="2">
        <v>103.34</v>
      </c>
      <c r="PG995" s="2">
        <v>102.65</v>
      </c>
      <c r="PH995" s="2">
        <v>101.85</v>
      </c>
      <c r="PI995" s="2">
        <v>103.16</v>
      </c>
    </row>
    <row r="996">
      <c r="A996" t="inlineStr">
        <is>
          <t>A130396114J</t>
        </is>
      </c>
      <c r="B996" t="inlineStr">
        <is>
          <t>Index Numbers ;  All groups, services component ;  Australia ;</t>
        </is>
      </c>
      <c r="C996" t="inlineStr">
        <is>
          <t>Month</t>
        </is>
      </c>
      <c r="D996" t="inlineStr">
        <is>
          <t>Index Numbers</t>
        </is>
      </c>
      <c r="E996" t="inlineStr">
        <is>
          <t>Original</t>
        </is>
      </c>
      <c r="F996" t="inlineStr">
        <is>
          <t>640106.xlsx</t>
        </is>
      </c>
      <c r="G996" t="inlineStr">
        <is>
          <t>2024-04</t>
        </is>
      </c>
      <c r="H996" t="inlineStr">
        <is>
          <t>2026-07</t>
        </is>
      </c>
      <c r="NZ996" s="2">
        <v>94.8</v>
      </c>
      <c r="OA996" s="2">
        <v>94.65000000000001</v>
      </c>
      <c r="OB996" s="2">
        <v>95.67</v>
      </c>
      <c r="OC996" s="2">
        <v>95.73</v>
      </c>
      <c r="OD996" s="2">
        <v>95.79000000000001</v>
      </c>
      <c r="OE996" s="2">
        <v>96.59</v>
      </c>
      <c r="OF996" s="2">
        <v>96.34</v>
      </c>
      <c r="OG996" s="2">
        <v>96.41</v>
      </c>
      <c r="OH996" s="2">
        <v>97.95</v>
      </c>
      <c r="OM996" s="2">
        <v>97.56</v>
      </c>
      <c r="ON996" s="2">
        <v>97.29000000000001</v>
      </c>
      <c r="OO996" s="2">
        <v>97.62</v>
      </c>
      <c r="OP996" s="2">
        <v>98.70999999999999</v>
      </c>
      <c r="OQ996" s="2">
        <v>97.87</v>
      </c>
      <c r="OR996" s="2">
        <v>98.28</v>
      </c>
      <c r="OS996" s="2">
        <v>99.23999999999999</v>
      </c>
      <c r="OT996" s="2">
        <v>99.06999999999999</v>
      </c>
      <c r="OU996" s="2">
        <v>100</v>
      </c>
      <c r="OV996" s="2">
        <v>100.1</v>
      </c>
      <c r="OW996" s="2">
        <v>99.91</v>
      </c>
      <c r="OX996" s="2">
        <v>101.99</v>
      </c>
      <c r="PC996" s="2">
        <v>101.32</v>
      </c>
      <c r="PD996" s="2">
        <v>101.13</v>
      </c>
      <c r="PE996" s="2">
        <v>101.13</v>
      </c>
      <c r="PF996" s="2">
        <v>102.19</v>
      </c>
      <c r="PG996" s="2">
        <v>101.47</v>
      </c>
      <c r="PH996" s="2">
        <v>102.24</v>
      </c>
      <c r="PI996" s="2">
        <v>102.96</v>
      </c>
    </row>
    <row r="997">
      <c r="A997" t="inlineStr">
        <is>
          <t>A130395057F</t>
        </is>
      </c>
      <c r="B997" t="inlineStr">
        <is>
          <t>Index Numbers ;  Market goods and services excluding 'volatile items' - Goods ;  Australia ;</t>
        </is>
      </c>
      <c r="C997" t="inlineStr">
        <is>
          <t>Month</t>
        </is>
      </c>
      <c r="D997" t="inlineStr">
        <is>
          <t>Index Numbers</t>
        </is>
      </c>
      <c r="E997" t="inlineStr">
        <is>
          <t>Original</t>
        </is>
      </c>
      <c r="F997" t="inlineStr">
        <is>
          <t>640106.xlsx</t>
        </is>
      </c>
      <c r="G997" t="inlineStr">
        <is>
          <t>2024-04</t>
        </is>
      </c>
      <c r="H997" t="inlineStr">
        <is>
          <t>2026-07</t>
        </is>
      </c>
      <c r="NZ997" s="2">
        <v>96.77</v>
      </c>
      <c r="OA997" s="2">
        <v>96.72</v>
      </c>
      <c r="OB997" s="2">
        <v>96.27</v>
      </c>
      <c r="OC997" s="2">
        <v>97.14</v>
      </c>
      <c r="OD997" s="2">
        <v>97.39</v>
      </c>
      <c r="OE997" s="2">
        <v>97.43000000000001</v>
      </c>
      <c r="OF997" s="2">
        <v>97.73</v>
      </c>
      <c r="OG997" s="2">
        <v>97.61</v>
      </c>
      <c r="OH997" s="2">
        <v>97.31999999999999</v>
      </c>
      <c r="OM997" s="2">
        <v>97.84</v>
      </c>
      <c r="ON997" s="2">
        <v>98.39</v>
      </c>
      <c r="OO997" s="2">
        <v>98.22</v>
      </c>
      <c r="OP997" s="2">
        <v>98.75</v>
      </c>
      <c r="OQ997" s="2">
        <v>98.78</v>
      </c>
      <c r="OR997" s="2">
        <v>98.31</v>
      </c>
      <c r="OS997" s="2">
        <v>99.34999999999999</v>
      </c>
      <c r="OT997" s="2">
        <v>99.84</v>
      </c>
      <c r="OU997" s="2">
        <v>100</v>
      </c>
      <c r="OV997" s="2">
        <v>100.48</v>
      </c>
      <c r="OW997" s="2">
        <v>100.12</v>
      </c>
      <c r="OX997" s="2">
        <v>100.12</v>
      </c>
      <c r="PC997" s="2">
        <v>100.84</v>
      </c>
      <c r="PD997" s="2">
        <v>101.24</v>
      </c>
      <c r="PE997" s="2">
        <v>101.36</v>
      </c>
      <c r="PF997" s="2">
        <v>101.75</v>
      </c>
      <c r="PG997" s="2">
        <v>101.99</v>
      </c>
      <c r="PH997" s="2">
        <v>101.7</v>
      </c>
      <c r="PI997" s="2">
        <v>102.77</v>
      </c>
    </row>
    <row r="998">
      <c r="A998" t="inlineStr">
        <is>
          <t>A130392404J</t>
        </is>
      </c>
      <c r="B998" t="inlineStr">
        <is>
          <t>Index Numbers ;  Market goods and services excluding 'volatile items' - Services ;  Australia ;</t>
        </is>
      </c>
      <c r="C998" t="inlineStr">
        <is>
          <t>Month</t>
        </is>
      </c>
      <c r="D998" t="inlineStr">
        <is>
          <t>Index Numbers</t>
        </is>
      </c>
      <c r="E998" t="inlineStr">
        <is>
          <t>Original</t>
        </is>
      </c>
      <c r="F998" t="inlineStr">
        <is>
          <t>640106.xlsx</t>
        </is>
      </c>
      <c r="G998" t="inlineStr">
        <is>
          <t>2024-04</t>
        </is>
      </c>
      <c r="H998" t="inlineStr">
        <is>
          <t>2026-07</t>
        </is>
      </c>
      <c r="NZ998" s="2">
        <v>95.23</v>
      </c>
      <c r="OA998" s="2">
        <v>95.03</v>
      </c>
      <c r="OB998" s="2">
        <v>96.48</v>
      </c>
      <c r="OC998" s="2">
        <v>96.45999999999999</v>
      </c>
      <c r="OD998" s="2">
        <v>96.45</v>
      </c>
      <c r="OE998" s="2">
        <v>97.34</v>
      </c>
      <c r="OF998" s="2">
        <v>97.04000000000001</v>
      </c>
      <c r="OG998" s="2">
        <v>97.12</v>
      </c>
      <c r="OH998" s="2">
        <v>99.40000000000001</v>
      </c>
      <c r="OM998" s="2">
        <v>98.36</v>
      </c>
      <c r="ON998" s="2">
        <v>97.20999999999999</v>
      </c>
      <c r="OO998" s="2">
        <v>97.61</v>
      </c>
      <c r="OP998" s="2">
        <v>98.81999999999999</v>
      </c>
      <c r="OQ998" s="2">
        <v>97.64</v>
      </c>
      <c r="OR998" s="2">
        <v>98.18000000000001</v>
      </c>
      <c r="OS998" s="2">
        <v>99.45</v>
      </c>
      <c r="OT998" s="2">
        <v>99.05</v>
      </c>
      <c r="OU998" s="2">
        <v>100</v>
      </c>
      <c r="OV998" s="2">
        <v>100.12</v>
      </c>
      <c r="OW998" s="2">
        <v>99.90000000000001</v>
      </c>
      <c r="OX998" s="2">
        <v>103.03</v>
      </c>
      <c r="PC998" s="2">
        <v>101.64</v>
      </c>
      <c r="PD998" s="2">
        <v>100.66</v>
      </c>
      <c r="PE998" s="2">
        <v>100.67</v>
      </c>
      <c r="PF998" s="2">
        <v>101.82</v>
      </c>
      <c r="PG998" s="2">
        <v>100.81</v>
      </c>
      <c r="PH998" s="2">
        <v>101.83</v>
      </c>
      <c r="PI998" s="2">
        <v>102.73</v>
      </c>
    </row>
    <row r="999">
      <c r="A999" t="inlineStr">
        <is>
          <t>A130396142T</t>
        </is>
      </c>
      <c r="B999" t="inlineStr">
        <is>
          <t>Index Numbers ;  Market goods and services excluding 'volatile items' - Total ;  Australia ;</t>
        </is>
      </c>
      <c r="C999" t="inlineStr">
        <is>
          <t>Month</t>
        </is>
      </c>
      <c r="D999" t="inlineStr">
        <is>
          <t>Index Numbers</t>
        </is>
      </c>
      <c r="E999" t="inlineStr">
        <is>
          <t>Original</t>
        </is>
      </c>
      <c r="F999" t="inlineStr">
        <is>
          <t>640106.xlsx</t>
        </is>
      </c>
      <c r="G999" t="inlineStr">
        <is>
          <t>2024-04</t>
        </is>
      </c>
      <c r="H999" t="inlineStr">
        <is>
          <t>2026-07</t>
        </is>
      </c>
      <c r="NZ999" s="2">
        <v>96.14</v>
      </c>
      <c r="OA999" s="2">
        <v>96.02</v>
      </c>
      <c r="OB999" s="2">
        <v>96.38</v>
      </c>
      <c r="OC999" s="2">
        <v>96.87</v>
      </c>
      <c r="OD999" s="2">
        <v>97.01000000000001</v>
      </c>
      <c r="OE999" s="2">
        <v>97.42</v>
      </c>
      <c r="OF999" s="2">
        <v>97.45999999999999</v>
      </c>
      <c r="OG999" s="2">
        <v>97.42</v>
      </c>
      <c r="OH999" s="2">
        <v>98.22</v>
      </c>
      <c r="OM999" s="2">
        <v>98.06999999999999</v>
      </c>
      <c r="ON999" s="2">
        <v>97.87</v>
      </c>
      <c r="OO999" s="2">
        <v>97.95999999999999</v>
      </c>
      <c r="OP999" s="2">
        <v>98.78</v>
      </c>
      <c r="OQ999" s="2">
        <v>98.28</v>
      </c>
      <c r="OR999" s="2">
        <v>98.25</v>
      </c>
      <c r="OS999" s="2">
        <v>99.39</v>
      </c>
      <c r="OT999" s="2">
        <v>99.5</v>
      </c>
      <c r="OU999" s="2">
        <v>100</v>
      </c>
      <c r="OV999" s="2">
        <v>100.32</v>
      </c>
      <c r="OW999" s="2">
        <v>100.02</v>
      </c>
      <c r="OX999" s="2">
        <v>101.39</v>
      </c>
      <c r="PC999" s="2">
        <v>101.19</v>
      </c>
      <c r="PD999" s="2">
        <v>100.99</v>
      </c>
      <c r="PE999" s="2">
        <v>101.06</v>
      </c>
      <c r="PF999" s="2">
        <v>101.78</v>
      </c>
      <c r="PG999" s="2">
        <v>101.47</v>
      </c>
      <c r="PH999" s="2">
        <v>101.76</v>
      </c>
      <c r="PI999" s="2">
        <v>102.76</v>
      </c>
    </row>
    <row r="1000">
      <c r="A1000" t="inlineStr">
        <is>
          <t>A130398642X</t>
        </is>
      </c>
      <c r="B1000" t="inlineStr">
        <is>
          <t>Index Numbers ;  All groups CPI excluding 'volatile items' and holiday travel ;  Australia ;</t>
        </is>
      </c>
      <c r="C1000" t="inlineStr">
        <is>
          <t>Month</t>
        </is>
      </c>
      <c r="D1000" t="inlineStr">
        <is>
          <t>Index Numbers</t>
        </is>
      </c>
      <c r="E1000" t="inlineStr">
        <is>
          <t>Original</t>
        </is>
      </c>
      <c r="F1000" t="inlineStr">
        <is>
          <t>640106.xlsx</t>
        </is>
      </c>
      <c r="G1000" t="inlineStr">
        <is>
          <t>2024-04</t>
        </is>
      </c>
      <c r="H1000" t="inlineStr">
        <is>
          <t>2026-07</t>
        </is>
      </c>
      <c r="NZ1000" s="2">
        <v>95.90000000000001</v>
      </c>
      <c r="OA1000" s="2">
        <v>95.98</v>
      </c>
      <c r="OB1000" s="2">
        <v>95.88</v>
      </c>
      <c r="OC1000" s="2">
        <v>96.41</v>
      </c>
      <c r="OD1000" s="2">
        <v>96.29000000000001</v>
      </c>
      <c r="OE1000" s="2">
        <v>96.33</v>
      </c>
      <c r="OF1000" s="2">
        <v>96.22</v>
      </c>
      <c r="OG1000" s="2">
        <v>96.68000000000001</v>
      </c>
      <c r="OH1000" s="2">
        <v>96.56</v>
      </c>
      <c r="OM1000" s="2">
        <v>97.27</v>
      </c>
      <c r="ON1000" s="2">
        <v>97.87</v>
      </c>
      <c r="OO1000" s="2">
        <v>98.05</v>
      </c>
      <c r="OP1000" s="2">
        <v>98.52</v>
      </c>
      <c r="OQ1000" s="2">
        <v>98.58</v>
      </c>
      <c r="OR1000" s="2">
        <v>98.41</v>
      </c>
      <c r="OS1000" s="2">
        <v>99.55</v>
      </c>
      <c r="OT1000" s="2">
        <v>99.73999999999999</v>
      </c>
      <c r="OU1000" s="2">
        <v>100</v>
      </c>
      <c r="OV1000" s="2">
        <v>100.08</v>
      </c>
      <c r="OW1000" s="2">
        <v>100.16</v>
      </c>
      <c r="OX1000" s="2">
        <v>100.21</v>
      </c>
      <c r="PC1000" s="2">
        <v>101.3</v>
      </c>
      <c r="PD1000" s="2">
        <v>101.87</v>
      </c>
      <c r="PE1000" s="2">
        <v>102.03</v>
      </c>
      <c r="PF1000" s="2">
        <v>102.37</v>
      </c>
      <c r="PG1000" s="2">
        <v>102.55</v>
      </c>
      <c r="PH1000" s="2">
        <v>102.57</v>
      </c>
      <c r="PI1000" s="2">
        <v>103.38</v>
      </c>
    </row>
    <row r="1001">
      <c r="A1001" t="inlineStr">
        <is>
          <t>A130397648V</t>
        </is>
      </c>
      <c r="B1001" t="inlineStr">
        <is>
          <t>Index Numbers ;  All groups CPI excluding Food and non-alcoholic beverages ;  Australia ;</t>
        </is>
      </c>
      <c r="C1001" t="inlineStr">
        <is>
          <t>Month</t>
        </is>
      </c>
      <c r="D1001" t="inlineStr">
        <is>
          <t>Index Numbers</t>
        </is>
      </c>
      <c r="E1001" t="inlineStr">
        <is>
          <t>Original</t>
        </is>
      </c>
      <c r="F1001" t="inlineStr">
        <is>
          <t>640106.xlsx</t>
        </is>
      </c>
      <c r="G1001" t="inlineStr">
        <is>
          <t>2024-04</t>
        </is>
      </c>
      <c r="H1001" t="inlineStr">
        <is>
          <t>2026-07</t>
        </is>
      </c>
      <c r="NZ1001" s="2">
        <v>96.44</v>
      </c>
      <c r="OA1001" s="2">
        <v>96.08</v>
      </c>
      <c r="OB1001" s="2">
        <v>96.52</v>
      </c>
      <c r="OC1001" s="2">
        <v>96.69</v>
      </c>
      <c r="OD1001" s="2">
        <v>96.31</v>
      </c>
      <c r="OE1001" s="2">
        <v>96.47</v>
      </c>
      <c r="OF1001" s="2">
        <v>96.17</v>
      </c>
      <c r="OG1001" s="2">
        <v>96.54000000000001</v>
      </c>
      <c r="OH1001" s="2">
        <v>97.26000000000001</v>
      </c>
      <c r="OM1001" s="2">
        <v>97.42</v>
      </c>
      <c r="ON1001" s="2">
        <v>97.55</v>
      </c>
      <c r="OO1001" s="2">
        <v>97.76000000000001</v>
      </c>
      <c r="OP1001" s="2">
        <v>98.56</v>
      </c>
      <c r="OQ1001" s="2">
        <v>97.95</v>
      </c>
      <c r="OR1001" s="2">
        <v>98.03</v>
      </c>
      <c r="OS1001" s="2">
        <v>99.52</v>
      </c>
      <c r="OT1001" s="2">
        <v>99.40000000000001</v>
      </c>
      <c r="OU1001" s="2">
        <v>100</v>
      </c>
      <c r="OV1001" s="2">
        <v>99.95999999999999</v>
      </c>
      <c r="OW1001" s="2">
        <v>99.90000000000001</v>
      </c>
      <c r="OX1001" s="2">
        <v>100.98</v>
      </c>
      <c r="PC1001" s="2">
        <v>101.31</v>
      </c>
      <c r="PD1001" s="2">
        <v>101.32</v>
      </c>
      <c r="PE1001" s="2">
        <v>102.54</v>
      </c>
      <c r="PF1001" s="2">
        <v>102.96</v>
      </c>
      <c r="PG1001" s="2">
        <v>101.98</v>
      </c>
      <c r="PH1001" s="2">
        <v>101.82</v>
      </c>
      <c r="PI1001" s="2">
        <v>103.01</v>
      </c>
    </row>
    <row r="1002">
      <c r="A1002" t="inlineStr">
        <is>
          <t>A130392663A</t>
        </is>
      </c>
      <c r="B1002" t="inlineStr">
        <is>
          <t>Index Numbers ;  All groups CPI excluding Alcohol and tobacco ;  Australia ;</t>
        </is>
      </c>
      <c r="C1002" t="inlineStr">
        <is>
          <t>Month</t>
        </is>
      </c>
      <c r="D1002" t="inlineStr">
        <is>
          <t>Index Numbers</t>
        </is>
      </c>
      <c r="E1002" t="inlineStr">
        <is>
          <t>Original</t>
        </is>
      </c>
      <c r="F1002" t="inlineStr">
        <is>
          <t>640106.xlsx</t>
        </is>
      </c>
      <c r="G1002" t="inlineStr">
        <is>
          <t>2024-04</t>
        </is>
      </c>
      <c r="H1002" t="inlineStr">
        <is>
          <t>2026-07</t>
        </is>
      </c>
      <c r="NZ1002" s="2">
        <v>96.72</v>
      </c>
      <c r="OA1002" s="2">
        <v>96.45999999999999</v>
      </c>
      <c r="OB1002" s="2">
        <v>96.83</v>
      </c>
      <c r="OC1002" s="2">
        <v>97.08</v>
      </c>
      <c r="OD1002" s="2">
        <v>96.73999999999999</v>
      </c>
      <c r="OE1002" s="2">
        <v>96.66</v>
      </c>
      <c r="OF1002" s="2">
        <v>96.34999999999999</v>
      </c>
      <c r="OG1002" s="2">
        <v>96.72</v>
      </c>
      <c r="OH1002" s="2">
        <v>97.45</v>
      </c>
      <c r="OM1002" s="2">
        <v>97.68000000000001</v>
      </c>
      <c r="ON1002" s="2">
        <v>97.72</v>
      </c>
      <c r="OO1002" s="2">
        <v>97.98</v>
      </c>
      <c r="OP1002" s="2">
        <v>98.78</v>
      </c>
      <c r="OQ1002" s="2">
        <v>98.23</v>
      </c>
      <c r="OR1002" s="2">
        <v>98.39</v>
      </c>
      <c r="OS1002" s="2">
        <v>99.7</v>
      </c>
      <c r="OT1002" s="2">
        <v>99.61</v>
      </c>
      <c r="OU1002" s="2">
        <v>100</v>
      </c>
      <c r="OV1002" s="2">
        <v>99.98999999999999</v>
      </c>
      <c r="OW1002" s="2">
        <v>100</v>
      </c>
      <c r="OX1002" s="2">
        <v>101.04</v>
      </c>
      <c r="PC1002" s="2">
        <v>101.35</v>
      </c>
      <c r="PD1002" s="2">
        <v>101.33</v>
      </c>
      <c r="PE1002" s="2">
        <v>102.48</v>
      </c>
      <c r="PF1002" s="2">
        <v>102.89</v>
      </c>
      <c r="PG1002" s="2">
        <v>102.07</v>
      </c>
      <c r="PH1002" s="2">
        <v>102.05</v>
      </c>
      <c r="PI1002" s="2">
        <v>103.07</v>
      </c>
    </row>
    <row r="1003">
      <c r="A1003" t="inlineStr">
        <is>
          <t>A130396366C</t>
        </is>
      </c>
      <c r="B1003" t="inlineStr">
        <is>
          <t>Index Numbers ;  All groups CPI excluding Clothing and footwear ;  Australia ;</t>
        </is>
      </c>
      <c r="C1003" t="inlineStr">
        <is>
          <t>Month</t>
        </is>
      </c>
      <c r="D1003" t="inlineStr">
        <is>
          <t>Index Numbers</t>
        </is>
      </c>
      <c r="E1003" t="inlineStr">
        <is>
          <t>Original</t>
        </is>
      </c>
      <c r="F1003" t="inlineStr">
        <is>
          <t>640106.xlsx</t>
        </is>
      </c>
      <c r="G1003" t="inlineStr">
        <is>
          <t>2024-04</t>
        </is>
      </c>
      <c r="H1003" t="inlineStr">
        <is>
          <t>2026-07</t>
        </is>
      </c>
      <c r="NZ1003" s="2">
        <v>96.31</v>
      </c>
      <c r="OA1003" s="2">
        <v>96.19</v>
      </c>
      <c r="OB1003" s="2">
        <v>96.59999999999999</v>
      </c>
      <c r="OC1003" s="2">
        <v>96.76000000000001</v>
      </c>
      <c r="OD1003" s="2">
        <v>96.48999999999999</v>
      </c>
      <c r="OE1003" s="2">
        <v>96.54000000000001</v>
      </c>
      <c r="OF1003" s="2">
        <v>96.29000000000001</v>
      </c>
      <c r="OG1003" s="2">
        <v>96.76000000000001</v>
      </c>
      <c r="OH1003" s="2">
        <v>97.39</v>
      </c>
      <c r="OM1003" s="2">
        <v>97.64</v>
      </c>
      <c r="ON1003" s="2">
        <v>97.63</v>
      </c>
      <c r="OO1003" s="2">
        <v>98.06</v>
      </c>
      <c r="OP1003" s="2">
        <v>98.65000000000001</v>
      </c>
      <c r="OQ1003" s="2">
        <v>98.20999999999999</v>
      </c>
      <c r="OR1003" s="2">
        <v>98.39</v>
      </c>
      <c r="OS1003" s="2">
        <v>99.64</v>
      </c>
      <c r="OT1003" s="2">
        <v>99.52</v>
      </c>
      <c r="OU1003" s="2">
        <v>100</v>
      </c>
      <c r="OV1003" s="2">
        <v>99.92</v>
      </c>
      <c r="OW1003" s="2">
        <v>100.04</v>
      </c>
      <c r="OX1003" s="2">
        <v>101.07</v>
      </c>
      <c r="PC1003" s="2">
        <v>101.34</v>
      </c>
      <c r="PD1003" s="2">
        <v>101.24</v>
      </c>
      <c r="PE1003" s="2">
        <v>102.47</v>
      </c>
      <c r="PF1003" s="2">
        <v>102.7</v>
      </c>
      <c r="PG1003" s="2">
        <v>102.08</v>
      </c>
      <c r="PH1003" s="2">
        <v>102.05</v>
      </c>
      <c r="PI1003" s="2">
        <v>103.03</v>
      </c>
    </row>
    <row r="1004">
      <c r="A1004" t="inlineStr">
        <is>
          <t>A130390115A</t>
        </is>
      </c>
      <c r="B1004" t="inlineStr">
        <is>
          <t>Index Numbers ;  All groups CPI excluding Housing ;  Australia ;</t>
        </is>
      </c>
      <c r="C1004" t="inlineStr">
        <is>
          <t>Month</t>
        </is>
      </c>
      <c r="D1004" t="inlineStr">
        <is>
          <t>Index Numbers</t>
        </is>
      </c>
      <c r="E1004" t="inlineStr">
        <is>
          <t>Original</t>
        </is>
      </c>
      <c r="F1004" t="inlineStr">
        <is>
          <t>640106.xlsx</t>
        </is>
      </c>
      <c r="G1004" t="inlineStr">
        <is>
          <t>2024-04</t>
        </is>
      </c>
      <c r="H1004" t="inlineStr">
        <is>
          <t>2026-07</t>
        </is>
      </c>
      <c r="NZ1004" s="2">
        <v>96.72</v>
      </c>
      <c r="OA1004" s="2">
        <v>96.31</v>
      </c>
      <c r="OB1004" s="2">
        <v>96.62</v>
      </c>
      <c r="OC1004" s="2">
        <v>96.94</v>
      </c>
      <c r="OD1004" s="2">
        <v>96.92</v>
      </c>
      <c r="OE1004" s="2">
        <v>97.06999999999999</v>
      </c>
      <c r="OF1004" s="2">
        <v>97.06</v>
      </c>
      <c r="OG1004" s="2">
        <v>97.06</v>
      </c>
      <c r="OH1004" s="2">
        <v>97.90000000000001</v>
      </c>
      <c r="OM1004" s="2">
        <v>98</v>
      </c>
      <c r="ON1004" s="2">
        <v>98.14</v>
      </c>
      <c r="OO1004" s="2">
        <v>98.27</v>
      </c>
      <c r="OP1004" s="2">
        <v>99.08</v>
      </c>
      <c r="OQ1004" s="2">
        <v>98.40000000000001</v>
      </c>
      <c r="OR1004" s="2">
        <v>98.54000000000001</v>
      </c>
      <c r="OS1004" s="2">
        <v>99.61</v>
      </c>
      <c r="OT1004" s="2">
        <v>99.64</v>
      </c>
      <c r="OU1004" s="2">
        <v>100</v>
      </c>
      <c r="OV1004" s="2">
        <v>100.22</v>
      </c>
      <c r="OW1004" s="2">
        <v>99.93000000000001</v>
      </c>
      <c r="OX1004" s="2">
        <v>101.13</v>
      </c>
      <c r="PC1004" s="2">
        <v>100.97</v>
      </c>
      <c r="PD1004" s="2">
        <v>100.87</v>
      </c>
      <c r="PE1004" s="2">
        <v>102.25</v>
      </c>
      <c r="PF1004" s="2">
        <v>102.65</v>
      </c>
      <c r="PG1004" s="2">
        <v>101.61</v>
      </c>
      <c r="PH1004" s="2">
        <v>101.41</v>
      </c>
      <c r="PI1004" s="2">
        <v>102.61</v>
      </c>
    </row>
    <row r="1005">
      <c r="A1005" t="inlineStr">
        <is>
          <t>A130398862A</t>
        </is>
      </c>
      <c r="B1005" t="inlineStr">
        <is>
          <t>Index Numbers ;  All groups CPI excluding Furnishings, household equipment and services ;  Australia ;</t>
        </is>
      </c>
      <c r="C1005" t="inlineStr">
        <is>
          <t>Month</t>
        </is>
      </c>
      <c r="D1005" t="inlineStr">
        <is>
          <t>Index Numbers</t>
        </is>
      </c>
      <c r="E1005" t="inlineStr">
        <is>
          <t>Original</t>
        </is>
      </c>
      <c r="F1005" t="inlineStr">
        <is>
          <t>640106.xlsx</t>
        </is>
      </c>
      <c r="G1005" t="inlineStr">
        <is>
          <t>2024-04</t>
        </is>
      </c>
      <c r="H1005" t="inlineStr">
        <is>
          <t>2026-07</t>
        </is>
      </c>
      <c r="NZ1005" s="2">
        <v>96.31999999999999</v>
      </c>
      <c r="OA1005" s="2">
        <v>96.08</v>
      </c>
      <c r="OB1005" s="2">
        <v>96.56999999999999</v>
      </c>
      <c r="OC1005" s="2">
        <v>96.68000000000001</v>
      </c>
      <c r="OD1005" s="2">
        <v>96.3</v>
      </c>
      <c r="OE1005" s="2">
        <v>96.39</v>
      </c>
      <c r="OF1005" s="2">
        <v>96.09999999999999</v>
      </c>
      <c r="OG1005" s="2">
        <v>96.52</v>
      </c>
      <c r="OH1005" s="2">
        <v>97.28</v>
      </c>
      <c r="OM1005" s="2">
        <v>97.56</v>
      </c>
      <c r="ON1005" s="2">
        <v>97.56999999999999</v>
      </c>
      <c r="OO1005" s="2">
        <v>97.91</v>
      </c>
      <c r="OP1005" s="2">
        <v>98.65000000000001</v>
      </c>
      <c r="OQ1005" s="2">
        <v>98.16</v>
      </c>
      <c r="OR1005" s="2">
        <v>98.40000000000001</v>
      </c>
      <c r="OS1005" s="2">
        <v>99.64</v>
      </c>
      <c r="OT1005" s="2">
        <v>99.48999999999999</v>
      </c>
      <c r="OU1005" s="2">
        <v>100</v>
      </c>
      <c r="OV1005" s="2">
        <v>99.93000000000001</v>
      </c>
      <c r="OW1005" s="2">
        <v>100.03</v>
      </c>
      <c r="OX1005" s="2">
        <v>101.09</v>
      </c>
      <c r="PC1005" s="2">
        <v>101.51</v>
      </c>
      <c r="PD1005" s="2">
        <v>101.42</v>
      </c>
      <c r="PE1005" s="2">
        <v>102.66</v>
      </c>
      <c r="PF1005" s="2">
        <v>103.01</v>
      </c>
      <c r="PG1005" s="2">
        <v>102.25</v>
      </c>
      <c r="PH1005" s="2">
        <v>102.28</v>
      </c>
      <c r="PI1005" s="2">
        <v>103.24</v>
      </c>
    </row>
    <row r="1006">
      <c r="A1006" t="inlineStr">
        <is>
          <t>A130394035X</t>
        </is>
      </c>
      <c r="B1006" t="inlineStr">
        <is>
          <t>Index Numbers ;  All groups CPI excluding Health ;  Australia ;</t>
        </is>
      </c>
      <c r="C1006" t="inlineStr">
        <is>
          <t>Month</t>
        </is>
      </c>
      <c r="D1006" t="inlineStr">
        <is>
          <t>Index Numbers</t>
        </is>
      </c>
      <c r="E1006" t="inlineStr">
        <is>
          <t>Original</t>
        </is>
      </c>
      <c r="F1006" t="inlineStr">
        <is>
          <t>640106.xlsx</t>
        </is>
      </c>
      <c r="G1006" t="inlineStr">
        <is>
          <t>2024-04</t>
        </is>
      </c>
      <c r="H1006" t="inlineStr">
        <is>
          <t>2026-07</t>
        </is>
      </c>
      <c r="NZ1006" s="2">
        <v>96.41</v>
      </c>
      <c r="OA1006" s="2">
        <v>96.17</v>
      </c>
      <c r="OB1006" s="2">
        <v>96.54000000000001</v>
      </c>
      <c r="OC1006" s="2">
        <v>96.81</v>
      </c>
      <c r="OD1006" s="2">
        <v>96.53</v>
      </c>
      <c r="OE1006" s="2">
        <v>96.58</v>
      </c>
      <c r="OF1006" s="2">
        <v>96.33</v>
      </c>
      <c r="OG1006" s="2">
        <v>96.73</v>
      </c>
      <c r="OH1006" s="2">
        <v>97.43000000000001</v>
      </c>
      <c r="OM1006" s="2">
        <v>97.51000000000001</v>
      </c>
      <c r="ON1006" s="2">
        <v>97.59</v>
      </c>
      <c r="OO1006" s="2">
        <v>97.91</v>
      </c>
      <c r="OP1006" s="2">
        <v>98.56</v>
      </c>
      <c r="OQ1006" s="2">
        <v>98.06</v>
      </c>
      <c r="OR1006" s="2">
        <v>98.22</v>
      </c>
      <c r="OS1006" s="2">
        <v>99.59999999999999</v>
      </c>
      <c r="OT1006" s="2">
        <v>99.52</v>
      </c>
      <c r="OU1006" s="2">
        <v>100</v>
      </c>
      <c r="OV1006" s="2">
        <v>99.98999999999999</v>
      </c>
      <c r="OW1006" s="2">
        <v>100.05</v>
      </c>
      <c r="OX1006" s="2">
        <v>101.11</v>
      </c>
      <c r="PC1006" s="2">
        <v>101.29</v>
      </c>
      <c r="PD1006" s="2">
        <v>101.28</v>
      </c>
      <c r="PE1006" s="2">
        <v>102.5</v>
      </c>
      <c r="PF1006" s="2">
        <v>102.68</v>
      </c>
      <c r="PG1006" s="2">
        <v>101.97</v>
      </c>
      <c r="PH1006" s="2">
        <v>101.91</v>
      </c>
      <c r="PI1006" s="2">
        <v>103.01</v>
      </c>
    </row>
    <row r="1007">
      <c r="A1007" t="inlineStr">
        <is>
          <t>A130398890K</t>
        </is>
      </c>
      <c r="B1007" t="inlineStr">
        <is>
          <t>Index Numbers ;  All groups CPI excluding Transport ;  Australia ;</t>
        </is>
      </c>
      <c r="C1007" t="inlineStr">
        <is>
          <t>Month</t>
        </is>
      </c>
      <c r="D1007" t="inlineStr">
        <is>
          <t>Index Numbers</t>
        </is>
      </c>
      <c r="E1007" t="inlineStr">
        <is>
          <t>Original</t>
        </is>
      </c>
      <c r="F1007" t="inlineStr">
        <is>
          <t>640106.xlsx</t>
        </is>
      </c>
      <c r="G1007" t="inlineStr">
        <is>
          <t>2024-04</t>
        </is>
      </c>
      <c r="H1007" t="inlineStr">
        <is>
          <t>2026-07</t>
        </is>
      </c>
      <c r="NZ1007" s="2">
        <v>95.68000000000001</v>
      </c>
      <c r="OA1007" s="2">
        <v>95.64</v>
      </c>
      <c r="OB1007" s="2">
        <v>96</v>
      </c>
      <c r="OC1007" s="2">
        <v>96.37</v>
      </c>
      <c r="OD1007" s="2">
        <v>96.18000000000001</v>
      </c>
      <c r="OE1007" s="2">
        <v>96.38</v>
      </c>
      <c r="OF1007" s="2">
        <v>96.15000000000001</v>
      </c>
      <c r="OG1007" s="2">
        <v>96.51000000000001</v>
      </c>
      <c r="OH1007" s="2">
        <v>97.09</v>
      </c>
      <c r="OM1007" s="2">
        <v>97.42</v>
      </c>
      <c r="ON1007" s="2">
        <v>97.44</v>
      </c>
      <c r="OO1007" s="2">
        <v>97.76000000000001</v>
      </c>
      <c r="OP1007" s="2">
        <v>98.66</v>
      </c>
      <c r="OQ1007" s="2">
        <v>98.20999999999999</v>
      </c>
      <c r="OR1007" s="2">
        <v>98.31</v>
      </c>
      <c r="OS1007" s="2">
        <v>99.63</v>
      </c>
      <c r="OT1007" s="2">
        <v>99.51000000000001</v>
      </c>
      <c r="OU1007" s="2">
        <v>100</v>
      </c>
      <c r="OV1007" s="2">
        <v>99.95999999999999</v>
      </c>
      <c r="OW1007" s="2">
        <v>99.94</v>
      </c>
      <c r="OX1007" s="2">
        <v>101.02</v>
      </c>
      <c r="PC1007" s="2">
        <v>101.51</v>
      </c>
      <c r="PD1007" s="2">
        <v>101.57</v>
      </c>
      <c r="PE1007" s="2">
        <v>101.69</v>
      </c>
      <c r="PF1007" s="2">
        <v>102.46</v>
      </c>
      <c r="PG1007" s="2">
        <v>102.19</v>
      </c>
      <c r="PH1007" s="2">
        <v>102.46</v>
      </c>
      <c r="PI1007" s="2">
        <v>103.3</v>
      </c>
    </row>
    <row r="1008">
      <c r="A1008" t="inlineStr">
        <is>
          <t>A130392719A</t>
        </is>
      </c>
      <c r="B1008" t="inlineStr">
        <is>
          <t>Index Numbers ;  All groups CPI excluding Communication ;  Australia ;</t>
        </is>
      </c>
      <c r="C1008" t="inlineStr">
        <is>
          <t>Month</t>
        </is>
      </c>
      <c r="D1008" t="inlineStr">
        <is>
          <t>Index Numbers</t>
        </is>
      </c>
      <c r="E1008" t="inlineStr">
        <is>
          <t>Original</t>
        </is>
      </c>
      <c r="F1008" t="inlineStr">
        <is>
          <t>640106.xlsx</t>
        </is>
      </c>
      <c r="G1008" t="inlineStr">
        <is>
          <t>2024-04</t>
        </is>
      </c>
      <c r="H1008" t="inlineStr">
        <is>
          <t>2026-07</t>
        </is>
      </c>
      <c r="NZ1008" s="2">
        <v>96.34999999999999</v>
      </c>
      <c r="OA1008" s="2">
        <v>96.14</v>
      </c>
      <c r="OB1008" s="2">
        <v>96.5</v>
      </c>
      <c r="OC1008" s="2">
        <v>96.72</v>
      </c>
      <c r="OD1008" s="2">
        <v>96.45</v>
      </c>
      <c r="OE1008" s="2">
        <v>96.5</v>
      </c>
      <c r="OF1008" s="2">
        <v>96.26000000000001</v>
      </c>
      <c r="OG1008" s="2">
        <v>96.63</v>
      </c>
      <c r="OH1008" s="2">
        <v>97.28</v>
      </c>
      <c r="OM1008" s="2">
        <v>97.56</v>
      </c>
      <c r="ON1008" s="2">
        <v>97.64</v>
      </c>
      <c r="OO1008" s="2">
        <v>97.94</v>
      </c>
      <c r="OP1008" s="2">
        <v>98.67</v>
      </c>
      <c r="OQ1008" s="2">
        <v>98.18000000000001</v>
      </c>
      <c r="OR1008" s="2">
        <v>98.34999999999999</v>
      </c>
      <c r="OS1008" s="2">
        <v>99.63</v>
      </c>
      <c r="OT1008" s="2">
        <v>99.54000000000001</v>
      </c>
      <c r="OU1008" s="2">
        <v>100</v>
      </c>
      <c r="OV1008" s="2">
        <v>100</v>
      </c>
      <c r="OW1008" s="2">
        <v>100</v>
      </c>
      <c r="OX1008" s="2">
        <v>101</v>
      </c>
      <c r="PC1008" s="2">
        <v>101.36</v>
      </c>
      <c r="PD1008" s="2">
        <v>101.35</v>
      </c>
      <c r="PE1008" s="2">
        <v>102.49</v>
      </c>
      <c r="PF1008" s="2">
        <v>102.84</v>
      </c>
      <c r="PG1008" s="2">
        <v>102.12</v>
      </c>
      <c r="PH1008" s="2">
        <v>102.07</v>
      </c>
      <c r="PI1008" s="2">
        <v>103.09</v>
      </c>
    </row>
    <row r="1009">
      <c r="A1009" t="inlineStr">
        <is>
          <t>A130395260L</t>
        </is>
      </c>
      <c r="B1009" t="inlineStr">
        <is>
          <t>Index Numbers ;  All groups CPI excluding Recreation and culture ;  Australia ;</t>
        </is>
      </c>
      <c r="C1009" t="inlineStr">
        <is>
          <t>Month</t>
        </is>
      </c>
      <c r="D1009" t="inlineStr">
        <is>
          <t>Index Numbers</t>
        </is>
      </c>
      <c r="E1009" t="inlineStr">
        <is>
          <t>Original</t>
        </is>
      </c>
      <c r="F1009" t="inlineStr">
        <is>
          <t>640106.xlsx</t>
        </is>
      </c>
      <c r="G1009" t="inlineStr">
        <is>
          <t>2024-04</t>
        </is>
      </c>
      <c r="H1009" t="inlineStr">
        <is>
          <t>2026-07</t>
        </is>
      </c>
      <c r="NZ1009" s="2">
        <v>96.51000000000001</v>
      </c>
      <c r="OA1009" s="2">
        <v>96.40000000000001</v>
      </c>
      <c r="OB1009" s="2">
        <v>96.36</v>
      </c>
      <c r="OC1009" s="2">
        <v>96.77</v>
      </c>
      <c r="OD1009" s="2">
        <v>96.48</v>
      </c>
      <c r="OE1009" s="2">
        <v>96.29000000000001</v>
      </c>
      <c r="OF1009" s="2">
        <v>96.23999999999999</v>
      </c>
      <c r="OG1009" s="2">
        <v>96.64</v>
      </c>
      <c r="OH1009" s="2">
        <v>96.7</v>
      </c>
      <c r="OM1009" s="2">
        <v>97.40000000000001</v>
      </c>
      <c r="ON1009" s="2">
        <v>97.98</v>
      </c>
      <c r="OO1009" s="2">
        <v>98.23999999999999</v>
      </c>
      <c r="OP1009" s="2">
        <v>98.67</v>
      </c>
      <c r="OQ1009" s="2">
        <v>98.53</v>
      </c>
      <c r="OR1009" s="2">
        <v>98.58</v>
      </c>
      <c r="OS1009" s="2">
        <v>99.70999999999999</v>
      </c>
      <c r="OT1009" s="2">
        <v>99.8</v>
      </c>
      <c r="OU1009" s="2">
        <v>100</v>
      </c>
      <c r="OV1009" s="2">
        <v>100.01</v>
      </c>
      <c r="OW1009" s="2">
        <v>100.19</v>
      </c>
      <c r="OX1009" s="2">
        <v>100.25</v>
      </c>
      <c r="PC1009" s="2">
        <v>101.16</v>
      </c>
      <c r="PD1009" s="2">
        <v>101.58</v>
      </c>
      <c r="PE1009" s="2">
        <v>102.97</v>
      </c>
      <c r="PF1009" s="2">
        <v>103.02</v>
      </c>
      <c r="PG1009" s="2">
        <v>102.66</v>
      </c>
      <c r="PH1009" s="2">
        <v>102.34</v>
      </c>
      <c r="PI1009" s="2">
        <v>103.27</v>
      </c>
    </row>
    <row r="1010">
      <c r="A1010" t="inlineStr">
        <is>
          <t>A130398918A</t>
        </is>
      </c>
      <c r="B1010" t="inlineStr">
        <is>
          <t>Index Numbers ;  All groups CPI excluding Education ;  Australia ;</t>
        </is>
      </c>
      <c r="C1010" t="inlineStr">
        <is>
          <t>Month</t>
        </is>
      </c>
      <c r="D1010" t="inlineStr">
        <is>
          <t>Index Numbers</t>
        </is>
      </c>
      <c r="E1010" t="inlineStr">
        <is>
          <t>Original</t>
        </is>
      </c>
      <c r="F1010" t="inlineStr">
        <is>
          <t>640106.xlsx</t>
        </is>
      </c>
      <c r="G1010" t="inlineStr">
        <is>
          <t>2024-04</t>
        </is>
      </c>
      <c r="H1010" t="inlineStr">
        <is>
          <t>2026-07</t>
        </is>
      </c>
      <c r="NZ1010" s="2">
        <v>96.48</v>
      </c>
      <c r="OA1010" s="2">
        <v>96.25</v>
      </c>
      <c r="OB1010" s="2">
        <v>96.61</v>
      </c>
      <c r="OC1010" s="2">
        <v>96.87</v>
      </c>
      <c r="OD1010" s="2">
        <v>96.58</v>
      </c>
      <c r="OE1010" s="2">
        <v>96.62</v>
      </c>
      <c r="OF1010" s="2">
        <v>96.39</v>
      </c>
      <c r="OG1010" s="2">
        <v>96.77</v>
      </c>
      <c r="OH1010" s="2">
        <v>97.43000000000001</v>
      </c>
      <c r="OM1010" s="2">
        <v>97.70999999999999</v>
      </c>
      <c r="ON1010" s="2">
        <v>97.56</v>
      </c>
      <c r="OO1010" s="2">
        <v>97.87</v>
      </c>
      <c r="OP1010" s="2">
        <v>98.63</v>
      </c>
      <c r="OQ1010" s="2">
        <v>98.12</v>
      </c>
      <c r="OR1010" s="2">
        <v>98.26000000000001</v>
      </c>
      <c r="OS1010" s="2">
        <v>99.62</v>
      </c>
      <c r="OT1010" s="2">
        <v>99.53</v>
      </c>
      <c r="OU1010" s="2">
        <v>100</v>
      </c>
      <c r="OV1010" s="2">
        <v>99.98999999999999</v>
      </c>
      <c r="OW1010" s="2">
        <v>100.01</v>
      </c>
      <c r="OX1010" s="2">
        <v>101.02</v>
      </c>
      <c r="PC1010" s="2">
        <v>101.39</v>
      </c>
      <c r="PD1010" s="2">
        <v>101.15</v>
      </c>
      <c r="PE1010" s="2">
        <v>102.34</v>
      </c>
      <c r="PF1010" s="2">
        <v>102.71</v>
      </c>
      <c r="PG1010" s="2">
        <v>101.97</v>
      </c>
      <c r="PH1010" s="2">
        <v>101.91</v>
      </c>
      <c r="PI1010" s="2">
        <v>102.99</v>
      </c>
    </row>
    <row r="1011">
      <c r="A1011" t="inlineStr">
        <is>
          <t>A130394077W</t>
        </is>
      </c>
      <c r="B1011" t="inlineStr">
        <is>
          <t>Index Numbers ;  All groups CPI excluding Insurance and financial services ;  Australia ;</t>
        </is>
      </c>
      <c r="C1011" t="inlineStr">
        <is>
          <t>Month</t>
        </is>
      </c>
      <c r="D1011" t="inlineStr">
        <is>
          <t>Index Numbers</t>
        </is>
      </c>
      <c r="E1011" t="inlineStr">
        <is>
          <t>Original</t>
        </is>
      </c>
      <c r="F1011" t="inlineStr">
        <is>
          <t>640106.xlsx</t>
        </is>
      </c>
      <c r="G1011" t="inlineStr">
        <is>
          <t>2024-04</t>
        </is>
      </c>
      <c r="H1011" t="inlineStr">
        <is>
          <t>2026-07</t>
        </is>
      </c>
      <c r="NZ1011" s="2">
        <v>96.44</v>
      </c>
      <c r="OA1011" s="2">
        <v>96.19</v>
      </c>
      <c r="OB1011" s="2">
        <v>96.51000000000001</v>
      </c>
      <c r="OC1011" s="2">
        <v>96.77</v>
      </c>
      <c r="OD1011" s="2">
        <v>96.47</v>
      </c>
      <c r="OE1011" s="2">
        <v>96.48</v>
      </c>
      <c r="OF1011" s="2">
        <v>96.23</v>
      </c>
      <c r="OG1011" s="2">
        <v>96.61</v>
      </c>
      <c r="OH1011" s="2">
        <v>97.25</v>
      </c>
      <c r="OM1011" s="2">
        <v>97.51000000000001</v>
      </c>
      <c r="ON1011" s="2">
        <v>97.59999999999999</v>
      </c>
      <c r="OO1011" s="2">
        <v>97.88</v>
      </c>
      <c r="OP1011" s="2">
        <v>98.66</v>
      </c>
      <c r="OQ1011" s="2">
        <v>98.15000000000001</v>
      </c>
      <c r="OR1011" s="2">
        <v>98.26000000000001</v>
      </c>
      <c r="OS1011" s="2">
        <v>99.62</v>
      </c>
      <c r="OT1011" s="2">
        <v>99.54000000000001</v>
      </c>
      <c r="OU1011" s="2">
        <v>100</v>
      </c>
      <c r="OV1011" s="2">
        <v>99.98</v>
      </c>
      <c r="OW1011" s="2">
        <v>99.98999999999999</v>
      </c>
      <c r="OX1011" s="2">
        <v>100.98</v>
      </c>
      <c r="PC1011" s="2">
        <v>101.34</v>
      </c>
      <c r="PD1011" s="2">
        <v>101.32</v>
      </c>
      <c r="PE1011" s="2">
        <v>102.47</v>
      </c>
      <c r="PF1011" s="2">
        <v>102.84</v>
      </c>
      <c r="PG1011" s="2">
        <v>102.08</v>
      </c>
      <c r="PH1011" s="2">
        <v>101.99</v>
      </c>
      <c r="PI1011" s="2">
        <v>103.07</v>
      </c>
    </row>
    <row r="1012">
      <c r="A1012" t="inlineStr">
        <is>
          <t>A130390192F</t>
        </is>
      </c>
      <c r="B1012" t="inlineStr">
        <is>
          <t>Index Numbers ;  All groups CPI excluding Housing and Insurance and financial services ;  Australia ;</t>
        </is>
      </c>
      <c r="C1012" t="inlineStr">
        <is>
          <t>Month</t>
        </is>
      </c>
      <c r="D1012" t="inlineStr">
        <is>
          <t>Index Numbers</t>
        </is>
      </c>
      <c r="E1012" t="inlineStr">
        <is>
          <t>Original</t>
        </is>
      </c>
      <c r="F1012" t="inlineStr">
        <is>
          <t>640106.xlsx</t>
        </is>
      </c>
      <c r="G1012" t="inlineStr">
        <is>
          <t>2024-04</t>
        </is>
      </c>
      <c r="H1012" t="inlineStr">
        <is>
          <t>2026-07</t>
        </is>
      </c>
      <c r="NZ1012" s="2">
        <v>96.81</v>
      </c>
      <c r="OA1012" s="2">
        <v>96.34</v>
      </c>
      <c r="OB1012" s="2">
        <v>96.62</v>
      </c>
      <c r="OC1012" s="2">
        <v>96.95</v>
      </c>
      <c r="OD1012" s="2">
        <v>96.93000000000001</v>
      </c>
      <c r="OE1012" s="2">
        <v>97.03</v>
      </c>
      <c r="OF1012" s="2">
        <v>97</v>
      </c>
      <c r="OG1012" s="2">
        <v>97</v>
      </c>
      <c r="OH1012" s="2">
        <v>97.87</v>
      </c>
      <c r="OM1012" s="2">
        <v>97.94</v>
      </c>
      <c r="ON1012" s="2">
        <v>98.09</v>
      </c>
      <c r="OO1012" s="2">
        <v>98.2</v>
      </c>
      <c r="OP1012" s="2">
        <v>99.08</v>
      </c>
      <c r="OQ1012" s="2">
        <v>98.34999999999999</v>
      </c>
      <c r="OR1012" s="2">
        <v>98.45999999999999</v>
      </c>
      <c r="OS1012" s="2">
        <v>99.59</v>
      </c>
      <c r="OT1012" s="2">
        <v>99.64</v>
      </c>
      <c r="OU1012" s="2">
        <v>100</v>
      </c>
      <c r="OV1012" s="2">
        <v>100.22</v>
      </c>
      <c r="OW1012" s="2">
        <v>99.91</v>
      </c>
      <c r="OX1012" s="2">
        <v>101.16</v>
      </c>
      <c r="PC1012" s="2">
        <v>100.96</v>
      </c>
      <c r="PD1012" s="2">
        <v>100.85</v>
      </c>
      <c r="PE1012" s="2">
        <v>102.27</v>
      </c>
      <c r="PF1012" s="2">
        <v>102.69</v>
      </c>
      <c r="PG1012" s="2">
        <v>101.57</v>
      </c>
      <c r="PH1012" s="2">
        <v>101.3</v>
      </c>
      <c r="PI1012" s="2">
        <v>102.58</v>
      </c>
    </row>
    <row r="1013">
      <c r="A1013" t="inlineStr">
        <is>
          <t>A130390164W</t>
        </is>
      </c>
      <c r="B1013" t="inlineStr">
        <is>
          <t>Index Numbers ;  All groups CPI excluding Medical and hospital services ;  Australia ;</t>
        </is>
      </c>
      <c r="C1013" t="inlineStr">
        <is>
          <t>Month</t>
        </is>
      </c>
      <c r="D1013" t="inlineStr">
        <is>
          <t>Index Numbers</t>
        </is>
      </c>
      <c r="E1013" t="inlineStr">
        <is>
          <t>Original</t>
        </is>
      </c>
      <c r="F1013" t="inlineStr">
        <is>
          <t>640106.xlsx</t>
        </is>
      </c>
      <c r="G1013" t="inlineStr">
        <is>
          <t>2024-04</t>
        </is>
      </c>
      <c r="H1013" t="inlineStr">
        <is>
          <t>2026-07</t>
        </is>
      </c>
      <c r="NZ1013" s="2">
        <v>96.47</v>
      </c>
      <c r="OA1013" s="2">
        <v>96.23999999999999</v>
      </c>
      <c r="OB1013" s="2">
        <v>96.59</v>
      </c>
      <c r="OC1013" s="2">
        <v>96.86</v>
      </c>
      <c r="OD1013" s="2">
        <v>96.56999999999999</v>
      </c>
      <c r="OE1013" s="2">
        <v>96.63</v>
      </c>
      <c r="OF1013" s="2">
        <v>96.38</v>
      </c>
      <c r="OG1013" s="2">
        <v>96.76000000000001</v>
      </c>
      <c r="OH1013" s="2">
        <v>97.44</v>
      </c>
      <c r="OM1013" s="2">
        <v>97.56999999999999</v>
      </c>
      <c r="ON1013" s="2">
        <v>97.67</v>
      </c>
      <c r="OO1013" s="2">
        <v>97.97</v>
      </c>
      <c r="OP1013" s="2">
        <v>98.59999999999999</v>
      </c>
      <c r="OQ1013" s="2">
        <v>98.09999999999999</v>
      </c>
      <c r="OR1013" s="2">
        <v>98.25</v>
      </c>
      <c r="OS1013" s="2">
        <v>99.61</v>
      </c>
      <c r="OT1013" s="2">
        <v>99.53</v>
      </c>
      <c r="OU1013" s="2">
        <v>100</v>
      </c>
      <c r="OV1013" s="2">
        <v>99.98999999999999</v>
      </c>
      <c r="OW1013" s="2">
        <v>100.04</v>
      </c>
      <c r="OX1013" s="2">
        <v>101.08</v>
      </c>
      <c r="PC1013" s="2">
        <v>101.3</v>
      </c>
      <c r="PD1013" s="2">
        <v>101.28</v>
      </c>
      <c r="PE1013" s="2">
        <v>102.49</v>
      </c>
      <c r="PF1013" s="2">
        <v>102.67</v>
      </c>
      <c r="PG1013" s="2">
        <v>101.94</v>
      </c>
      <c r="PH1013" s="2">
        <v>101.88</v>
      </c>
      <c r="PI1013" s="2">
        <v>102.97</v>
      </c>
    </row>
    <row r="1014">
      <c r="A1014" t="inlineStr">
        <is>
          <t>A130391634W</t>
        </is>
      </c>
      <c r="B1014" t="inlineStr">
        <is>
          <t>Index Numbers ;  All groups CPI excluding food and energy ;  Australia ;</t>
        </is>
      </c>
      <c r="C1014" t="inlineStr">
        <is>
          <t>Month</t>
        </is>
      </c>
      <c r="D1014" t="inlineStr">
        <is>
          <t>Index Numbers</t>
        </is>
      </c>
      <c r="E1014" t="inlineStr">
        <is>
          <t>Original</t>
        </is>
      </c>
      <c r="F1014" t="inlineStr">
        <is>
          <t>640106.xlsx</t>
        </is>
      </c>
      <c r="G1014" t="inlineStr">
        <is>
          <t>2024-04</t>
        </is>
      </c>
      <c r="H1014" t="inlineStr">
        <is>
          <t>2026-07</t>
        </is>
      </c>
      <c r="NZ1014" s="2">
        <v>95.81</v>
      </c>
      <c r="OA1014" s="2">
        <v>95.68000000000001</v>
      </c>
      <c r="OB1014" s="2">
        <v>96.06</v>
      </c>
      <c r="OC1014" s="2">
        <v>96.48999999999999</v>
      </c>
      <c r="OD1014" s="2">
        <v>96.63</v>
      </c>
      <c r="OE1014" s="2">
        <v>97.13</v>
      </c>
      <c r="OF1014" s="2">
        <v>97.11</v>
      </c>
      <c r="OG1014" s="2">
        <v>97.02</v>
      </c>
      <c r="OH1014" s="2">
        <v>97.68000000000001</v>
      </c>
      <c r="OM1014" s="2">
        <v>97.69</v>
      </c>
      <c r="ON1014" s="2">
        <v>97.84999999999999</v>
      </c>
      <c r="OO1014" s="2">
        <v>97.89</v>
      </c>
      <c r="OP1014" s="2">
        <v>98.79000000000001</v>
      </c>
      <c r="OQ1014" s="2">
        <v>98.25</v>
      </c>
      <c r="OR1014" s="2">
        <v>98.22</v>
      </c>
      <c r="OS1014" s="2">
        <v>99.31999999999999</v>
      </c>
      <c r="OT1014" s="2">
        <v>99.40000000000001</v>
      </c>
      <c r="OU1014" s="2">
        <v>100</v>
      </c>
      <c r="OV1014" s="2">
        <v>100.36</v>
      </c>
      <c r="OW1014" s="2">
        <v>99.98</v>
      </c>
      <c r="OX1014" s="2">
        <v>101.16</v>
      </c>
      <c r="PC1014" s="2">
        <v>101.12</v>
      </c>
      <c r="PD1014" s="2">
        <v>101.24</v>
      </c>
      <c r="PE1014" s="2">
        <v>101.25</v>
      </c>
      <c r="PF1014" s="2">
        <v>102.08</v>
      </c>
      <c r="PG1014" s="2">
        <v>101.66</v>
      </c>
      <c r="PH1014" s="2">
        <v>101.9</v>
      </c>
      <c r="PI1014" s="2">
        <v>102.94</v>
      </c>
    </row>
    <row r="1015">
      <c r="A1015" t="inlineStr">
        <is>
          <t>A130389933F</t>
        </is>
      </c>
      <c r="B1015" t="inlineStr">
        <is>
          <t>Index Numbers ;  All groups CPI excluding 'volatile items' ;  Australia ;</t>
        </is>
      </c>
      <c r="C1015" t="inlineStr">
        <is>
          <t>Month</t>
        </is>
      </c>
      <c r="D1015" t="inlineStr">
        <is>
          <t>Index Numbers</t>
        </is>
      </c>
      <c r="E1015" t="inlineStr">
        <is>
          <t>Original</t>
        </is>
      </c>
      <c r="F1015" t="inlineStr">
        <is>
          <t>640106.xlsx</t>
        </is>
      </c>
      <c r="G1015" t="inlineStr">
        <is>
          <t>2024-04</t>
        </is>
      </c>
      <c r="H1015" t="inlineStr">
        <is>
          <t>2026-07</t>
        </is>
      </c>
      <c r="NZ1015" s="2">
        <v>95.81</v>
      </c>
      <c r="OA1015" s="2">
        <v>95.73</v>
      </c>
      <c r="OB1015" s="2">
        <v>96.04000000000001</v>
      </c>
      <c r="OC1015" s="2">
        <v>96.38</v>
      </c>
      <c r="OD1015" s="2">
        <v>96.19</v>
      </c>
      <c r="OE1015" s="2">
        <v>96.45999999999999</v>
      </c>
      <c r="OF1015" s="2">
        <v>96.23</v>
      </c>
      <c r="OG1015" s="2">
        <v>96.59</v>
      </c>
      <c r="OH1015" s="2">
        <v>97.16</v>
      </c>
      <c r="OM1015" s="2">
        <v>97.42</v>
      </c>
      <c r="ON1015" s="2">
        <v>97.48999999999999</v>
      </c>
      <c r="OO1015" s="2">
        <v>97.76000000000001</v>
      </c>
      <c r="OP1015" s="2">
        <v>98.56</v>
      </c>
      <c r="OQ1015" s="2">
        <v>98.17</v>
      </c>
      <c r="OR1015" s="2">
        <v>98.15000000000001</v>
      </c>
      <c r="OS1015" s="2">
        <v>99.5</v>
      </c>
      <c r="OT1015" s="2">
        <v>99.45999999999999</v>
      </c>
      <c r="OU1015" s="2">
        <v>100</v>
      </c>
      <c r="OV1015" s="2">
        <v>100.01</v>
      </c>
      <c r="OW1015" s="2">
        <v>99.93000000000001</v>
      </c>
      <c r="OX1015" s="2">
        <v>100.97</v>
      </c>
      <c r="PC1015" s="2">
        <v>101.44</v>
      </c>
      <c r="PD1015" s="2">
        <v>101.54</v>
      </c>
      <c r="PE1015" s="2">
        <v>101.61</v>
      </c>
      <c r="PF1015" s="2">
        <v>102.27</v>
      </c>
      <c r="PG1015" s="2">
        <v>101.98</v>
      </c>
      <c r="PH1015" s="2">
        <v>102.29</v>
      </c>
      <c r="PI1015" s="2">
        <v>103.16</v>
      </c>
    </row>
    <row r="1016">
      <c r="A1016" t="inlineStr">
        <is>
          <t>A130392950T</t>
        </is>
      </c>
      <c r="B1016" t="inlineStr">
        <is>
          <t>Index Numbers ;  Non-Discretionary ;  Australia ;</t>
        </is>
      </c>
      <c r="C1016" t="inlineStr">
        <is>
          <t>Month</t>
        </is>
      </c>
      <c r="D1016" t="inlineStr">
        <is>
          <t>Index Numbers</t>
        </is>
      </c>
      <c r="E1016" t="inlineStr">
        <is>
          <t>Original</t>
        </is>
      </c>
      <c r="F1016" t="inlineStr">
        <is>
          <t>640106.xlsx</t>
        </is>
      </c>
      <c r="G1016" t="inlineStr">
        <is>
          <t>2024-04</t>
        </is>
      </c>
      <c r="H1016" t="inlineStr">
        <is>
          <t>2026-07</t>
        </is>
      </c>
      <c r="NZ1016" s="2">
        <v>96.68000000000001</v>
      </c>
      <c r="OA1016" s="2">
        <v>96.61</v>
      </c>
      <c r="OB1016" s="2">
        <v>96.92</v>
      </c>
      <c r="OC1016" s="2">
        <v>96.95</v>
      </c>
      <c r="OD1016" s="2">
        <v>96.45999999999999</v>
      </c>
      <c r="OE1016" s="2">
        <v>96.04000000000001</v>
      </c>
      <c r="OF1016" s="2">
        <v>95.65000000000001</v>
      </c>
      <c r="OG1016" s="2">
        <v>96.40000000000001</v>
      </c>
      <c r="OH1016" s="2">
        <v>96.61</v>
      </c>
      <c r="OM1016" s="2">
        <v>97.43000000000001</v>
      </c>
      <c r="ON1016" s="2">
        <v>97.79000000000001</v>
      </c>
      <c r="OO1016" s="2">
        <v>98.28</v>
      </c>
      <c r="OP1016" s="2">
        <v>98.59999999999999</v>
      </c>
      <c r="OQ1016" s="2">
        <v>98.45</v>
      </c>
      <c r="OR1016" s="2">
        <v>98.8</v>
      </c>
      <c r="OS1016" s="2">
        <v>99.81999999999999</v>
      </c>
      <c r="OT1016" s="2">
        <v>99.73999999999999</v>
      </c>
      <c r="OU1016" s="2">
        <v>100</v>
      </c>
      <c r="OV1016" s="2">
        <v>99.75</v>
      </c>
      <c r="OW1016" s="2">
        <v>100.35</v>
      </c>
      <c r="OX1016" s="2">
        <v>100.42</v>
      </c>
      <c r="PC1016" s="2">
        <v>101.41</v>
      </c>
      <c r="PD1016" s="2">
        <v>101.69</v>
      </c>
      <c r="PE1016" s="2">
        <v>103.73</v>
      </c>
      <c r="PF1016" s="2">
        <v>103.58</v>
      </c>
      <c r="PG1016" s="2">
        <v>103.1</v>
      </c>
      <c r="PH1016" s="2">
        <v>102.8</v>
      </c>
      <c r="PI1016" s="2">
        <v>103.5</v>
      </c>
    </row>
    <row r="1017">
      <c r="A1017" t="inlineStr">
        <is>
          <t>A130392929X</t>
        </is>
      </c>
      <c r="B1017" t="inlineStr">
        <is>
          <t>Index Numbers ;  Discretionary ;  Australia ;</t>
        </is>
      </c>
      <c r="C1017" t="inlineStr">
        <is>
          <t>Month</t>
        </is>
      </c>
      <c r="D1017" t="inlineStr">
        <is>
          <t>Index Numbers</t>
        </is>
      </c>
      <c r="E1017" t="inlineStr">
        <is>
          <t>Original</t>
        </is>
      </c>
      <c r="F1017" t="inlineStr">
        <is>
          <t>640106.xlsx</t>
        </is>
      </c>
      <c r="G1017" t="inlineStr">
        <is>
          <t>2024-04</t>
        </is>
      </c>
      <c r="H1017" t="inlineStr">
        <is>
          <t>2026-07</t>
        </is>
      </c>
      <c r="NZ1017" s="2">
        <v>96.01000000000001</v>
      </c>
      <c r="OA1017" s="2">
        <v>95.56999999999999</v>
      </c>
      <c r="OB1017" s="2">
        <v>95.97</v>
      </c>
      <c r="OC1017" s="2">
        <v>96.53</v>
      </c>
      <c r="OD1017" s="2">
        <v>96.55</v>
      </c>
      <c r="OE1017" s="2">
        <v>97.25</v>
      </c>
      <c r="OF1017" s="2">
        <v>97.26000000000001</v>
      </c>
      <c r="OG1017" s="2">
        <v>97.08</v>
      </c>
      <c r="OH1017" s="2">
        <v>98.3</v>
      </c>
      <c r="OM1017" s="2">
        <v>97.79000000000001</v>
      </c>
      <c r="ON1017" s="2">
        <v>97.5</v>
      </c>
      <c r="OO1017" s="2">
        <v>97.5</v>
      </c>
      <c r="OP1017" s="2">
        <v>98.8</v>
      </c>
      <c r="OQ1017" s="2">
        <v>97.84</v>
      </c>
      <c r="OR1017" s="2">
        <v>97.69</v>
      </c>
      <c r="OS1017" s="2">
        <v>99.36</v>
      </c>
      <c r="OT1017" s="2">
        <v>99.29000000000001</v>
      </c>
      <c r="OU1017" s="2">
        <v>100</v>
      </c>
      <c r="OV1017" s="2">
        <v>100.34</v>
      </c>
      <c r="OW1017" s="2">
        <v>99.53</v>
      </c>
      <c r="OX1017" s="2">
        <v>101.75</v>
      </c>
      <c r="PC1017" s="2">
        <v>101.21</v>
      </c>
      <c r="PD1017" s="2">
        <v>100.79</v>
      </c>
      <c r="PE1017" s="2">
        <v>100.62</v>
      </c>
      <c r="PF1017" s="2">
        <v>101.69</v>
      </c>
      <c r="PG1017" s="2">
        <v>100.67</v>
      </c>
      <c r="PH1017" s="2">
        <v>100.95</v>
      </c>
      <c r="PI1017" s="2">
        <v>102.45</v>
      </c>
    </row>
    <row r="1018">
      <c r="A1018" t="inlineStr">
        <is>
          <t>A130394266J</t>
        </is>
      </c>
      <c r="B1018" t="inlineStr">
        <is>
          <t>Index Numbers ;  Discretionary excluding tobacco ;  Australia ;</t>
        </is>
      </c>
      <c r="C1018" t="inlineStr">
        <is>
          <t>Month</t>
        </is>
      </c>
      <c r="D1018" t="inlineStr">
        <is>
          <t>Index Numbers</t>
        </is>
      </c>
      <c r="E1018" t="inlineStr">
        <is>
          <t>Original</t>
        </is>
      </c>
      <c r="F1018" t="inlineStr">
        <is>
          <t>640106.xlsx</t>
        </is>
      </c>
      <c r="G1018" t="inlineStr">
        <is>
          <t>2024-04</t>
        </is>
      </c>
      <c r="H1018" t="inlineStr">
        <is>
          <t>2026-07</t>
        </is>
      </c>
      <c r="NZ1018" s="2">
        <v>96.68000000000001</v>
      </c>
      <c r="OA1018" s="2">
        <v>96.2</v>
      </c>
      <c r="OB1018" s="2">
        <v>96.62</v>
      </c>
      <c r="OC1018" s="2">
        <v>97.2</v>
      </c>
      <c r="OD1018" s="2">
        <v>97.23999999999999</v>
      </c>
      <c r="OE1018" s="2">
        <v>97.73999999999999</v>
      </c>
      <c r="OF1018" s="2">
        <v>97.58</v>
      </c>
      <c r="OG1018" s="2">
        <v>97.39</v>
      </c>
      <c r="OH1018" s="2">
        <v>98.68000000000001</v>
      </c>
      <c r="OM1018" s="2">
        <v>98.12</v>
      </c>
      <c r="ON1018" s="2">
        <v>97.79000000000001</v>
      </c>
      <c r="OO1018" s="2">
        <v>97.72</v>
      </c>
      <c r="OP1018" s="2">
        <v>99.03</v>
      </c>
      <c r="OQ1018" s="2">
        <v>98.04000000000001</v>
      </c>
      <c r="OR1018" s="2">
        <v>97.89</v>
      </c>
      <c r="OS1018" s="2">
        <v>99.58</v>
      </c>
      <c r="OT1018" s="2">
        <v>99.5</v>
      </c>
      <c r="OU1018" s="2">
        <v>100</v>
      </c>
      <c r="OV1018" s="2">
        <v>100.3</v>
      </c>
      <c r="OW1018" s="2">
        <v>99.42</v>
      </c>
      <c r="OX1018" s="2">
        <v>101.73</v>
      </c>
      <c r="PC1018" s="2">
        <v>101.16</v>
      </c>
      <c r="PD1018" s="2">
        <v>100.7</v>
      </c>
      <c r="PE1018" s="2">
        <v>100.47</v>
      </c>
      <c r="PF1018" s="2">
        <v>101.56</v>
      </c>
      <c r="PG1018" s="2">
        <v>100.49</v>
      </c>
      <c r="PH1018" s="2">
        <v>100.79</v>
      </c>
      <c r="PI1018" s="2">
        <v>102.3</v>
      </c>
    </row>
    <row r="1019">
      <c r="A1019" t="inlineStr">
        <is>
          <t>A130393721F</t>
        </is>
      </c>
      <c r="B1019" t="inlineStr">
        <is>
          <t>Percentage Change from Corresponding Month of Previous Year ;  All groups CPI ;  Australia ;</t>
        </is>
      </c>
      <c r="C1019" t="inlineStr">
        <is>
          <t>Month</t>
        </is>
      </c>
      <c r="D1019" t="inlineStr">
        <is>
          <t>Percent</t>
        </is>
      </c>
      <c r="E1019" t="inlineStr">
        <is>
          <t>Original</t>
        </is>
      </c>
      <c r="F1019" t="inlineStr">
        <is>
          <t>640106.xlsx</t>
        </is>
      </c>
      <c r="G1019" t="inlineStr">
        <is>
          <t>2025-04</t>
        </is>
      </c>
      <c r="H1019" t="inlineStr">
        <is>
          <t>2026-07</t>
        </is>
      </c>
      <c r="OP1019" s="2">
        <v>2.4</v>
      </c>
      <c r="OQ1019" s="2">
        <v>2.1</v>
      </c>
      <c r="OR1019" s="2">
        <v>1.9</v>
      </c>
      <c r="OS1019" s="2">
        <v>3</v>
      </c>
      <c r="OT1019" s="2">
        <v>3.2</v>
      </c>
      <c r="OU1019" s="2">
        <v>3.6</v>
      </c>
      <c r="OV1019" s="2">
        <v>3.8</v>
      </c>
      <c r="OW1019" s="2">
        <v>3.4</v>
      </c>
      <c r="OX1019" s="2">
        <v>3.8</v>
      </c>
      <c r="PC1019" s="2">
        <v>3.8</v>
      </c>
      <c r="PD1019" s="2">
        <v>3.7</v>
      </c>
      <c r="PE1019" s="2">
        <v>4.6</v>
      </c>
      <c r="PF1019" s="2">
        <v>4.2</v>
      </c>
      <c r="PG1019" s="2">
        <v>4</v>
      </c>
      <c r="PH1019" s="2">
        <v>3.8</v>
      </c>
      <c r="PI1019" s="2">
        <v>3.5</v>
      </c>
    </row>
    <row r="1020">
      <c r="A1020" t="inlineStr">
        <is>
          <t>A130607783A</t>
        </is>
      </c>
      <c r="B1020" t="inlineStr">
        <is>
          <t>Percentage Change from Corresponding Month of Previous Year ;  All groups CPI, seasonally adjusted ;  Australia ;</t>
        </is>
      </c>
      <c r="C1020" t="inlineStr">
        <is>
          <t>Month</t>
        </is>
      </c>
      <c r="D1020" t="inlineStr">
        <is>
          <t>Percent</t>
        </is>
      </c>
      <c r="E1020" t="inlineStr">
        <is>
          <t>Seasonally Adjusted</t>
        </is>
      </c>
      <c r="F1020" t="inlineStr">
        <is>
          <t>640106.xlsx</t>
        </is>
      </c>
      <c r="G1020" t="inlineStr">
        <is>
          <t>2025-04</t>
        </is>
      </c>
      <c r="H1020" t="inlineStr">
        <is>
          <t>2026-07</t>
        </is>
      </c>
      <c r="OP1020" s="2">
        <v>2.4</v>
      </c>
      <c r="OQ1020" s="2">
        <v>2.1</v>
      </c>
      <c r="OR1020" s="2">
        <v>1.9</v>
      </c>
      <c r="OS1020" s="2">
        <v>3</v>
      </c>
      <c r="OT1020" s="2">
        <v>3.2</v>
      </c>
      <c r="OU1020" s="2">
        <v>3.6</v>
      </c>
      <c r="OV1020" s="2">
        <v>3.9</v>
      </c>
      <c r="OW1020" s="2">
        <v>3.5</v>
      </c>
      <c r="OX1020" s="2">
        <v>3.7</v>
      </c>
      <c r="PC1020" s="2">
        <v>3.8</v>
      </c>
      <c r="PD1020" s="2">
        <v>3.7</v>
      </c>
      <c r="PE1020" s="2">
        <v>4.5</v>
      </c>
      <c r="PF1020" s="2">
        <v>4.2</v>
      </c>
      <c r="PG1020" s="2">
        <v>4</v>
      </c>
      <c r="PH1020" s="2">
        <v>3.7</v>
      </c>
      <c r="PI1020" s="2">
        <v>3.5</v>
      </c>
    </row>
    <row r="1021">
      <c r="A1021" t="inlineStr">
        <is>
          <t>A130400382R</t>
        </is>
      </c>
      <c r="B1021" t="inlineStr">
        <is>
          <t>Percentage Change from Corresponding Month of Previous Year ;  Trimmed Mean ;  Australia ;</t>
        </is>
      </c>
      <c r="C1021" t="inlineStr">
        <is>
          <t>Month</t>
        </is>
      </c>
      <c r="D1021" t="inlineStr">
        <is>
          <t>Percent</t>
        </is>
      </c>
      <c r="E1021" t="inlineStr">
        <is>
          <t>Seasonally Adjusted</t>
        </is>
      </c>
      <c r="F1021" t="inlineStr">
        <is>
          <t>640106.xlsx</t>
        </is>
      </c>
      <c r="G1021" t="inlineStr">
        <is>
          <t>2025-04</t>
        </is>
      </c>
      <c r="H1021" t="inlineStr">
        <is>
          <t>2026-07</t>
        </is>
      </c>
      <c r="OP1021" s="2">
        <v>3.2</v>
      </c>
      <c r="OQ1021" s="2">
        <v>3</v>
      </c>
      <c r="OR1021" s="2">
        <v>2.8</v>
      </c>
      <c r="OS1021" s="2">
        <v>3.1</v>
      </c>
      <c r="OT1021" s="2">
        <v>3.1</v>
      </c>
      <c r="OU1021" s="2">
        <v>3.2</v>
      </c>
      <c r="OV1021" s="2">
        <v>3.3</v>
      </c>
      <c r="OW1021" s="2">
        <v>3.2</v>
      </c>
      <c r="OX1021" s="2">
        <v>3.3</v>
      </c>
      <c r="PC1021" s="2">
        <v>3.3</v>
      </c>
      <c r="PD1021" s="2">
        <v>3.3</v>
      </c>
      <c r="PE1021" s="2">
        <v>3.3</v>
      </c>
      <c r="PF1021" s="2">
        <v>3.4</v>
      </c>
      <c r="PG1021" s="2">
        <v>3.5</v>
      </c>
      <c r="PH1021" s="2">
        <v>3.6</v>
      </c>
      <c r="PI1021" s="2">
        <v>3.6</v>
      </c>
    </row>
    <row r="1022">
      <c r="A1022" t="inlineStr">
        <is>
          <t>A130400613L</t>
        </is>
      </c>
      <c r="B1022" t="inlineStr">
        <is>
          <t>Percentage Change from Corresponding Month of Previous Year ;  Weighted Median ;  Australia ;</t>
        </is>
      </c>
      <c r="C1022" t="inlineStr">
        <is>
          <t>Month</t>
        </is>
      </c>
      <c r="D1022" t="inlineStr">
        <is>
          <t>Percent</t>
        </is>
      </c>
      <c r="E1022" t="inlineStr">
        <is>
          <t>Seasonally Adjusted</t>
        </is>
      </c>
      <c r="F1022" t="inlineStr">
        <is>
          <t>640106.xlsx</t>
        </is>
      </c>
      <c r="G1022" t="inlineStr">
        <is>
          <t>2025-04</t>
        </is>
      </c>
      <c r="H1022" t="inlineStr">
        <is>
          <t>2026-07</t>
        </is>
      </c>
      <c r="OP1022" s="2">
        <v>3.5</v>
      </c>
      <c r="OQ1022" s="2">
        <v>3.4</v>
      </c>
      <c r="OR1022" s="2">
        <v>3.1</v>
      </c>
      <c r="OS1022" s="2">
        <v>3.2</v>
      </c>
      <c r="OT1022" s="2">
        <v>3.2</v>
      </c>
      <c r="OU1022" s="2">
        <v>3.3</v>
      </c>
      <c r="OV1022" s="2">
        <v>3.5</v>
      </c>
      <c r="OW1022" s="2">
        <v>3.4</v>
      </c>
      <c r="OX1022" s="2">
        <v>3.4</v>
      </c>
      <c r="PC1022" s="2">
        <v>3.5</v>
      </c>
      <c r="PD1022" s="2">
        <v>3.4</v>
      </c>
      <c r="PE1022" s="2">
        <v>3.4</v>
      </c>
      <c r="PF1022" s="2">
        <v>3.3</v>
      </c>
      <c r="PG1022" s="2">
        <v>3.5</v>
      </c>
      <c r="PH1022" s="2">
        <v>3.6</v>
      </c>
      <c r="PI1022" s="2">
        <v>3.6</v>
      </c>
    </row>
    <row r="1023">
      <c r="A1023" t="inlineStr">
        <is>
          <t>A130392363X</t>
        </is>
      </c>
      <c r="B1023" t="inlineStr">
        <is>
          <t>Percentage Change from Corresponding Month of Previous Year ;  Tradables ;  Australia ;</t>
        </is>
      </c>
      <c r="C1023" t="inlineStr">
        <is>
          <t>Month</t>
        </is>
      </c>
      <c r="D1023" t="inlineStr">
        <is>
          <t>Percent</t>
        </is>
      </c>
      <c r="E1023" t="inlineStr">
        <is>
          <t>Original</t>
        </is>
      </c>
      <c r="F1023" t="inlineStr">
        <is>
          <t>640106.xlsx</t>
        </is>
      </c>
      <c r="G1023" t="inlineStr">
        <is>
          <t>2025-04</t>
        </is>
      </c>
      <c r="H1023" t="inlineStr">
        <is>
          <t>2026-07</t>
        </is>
      </c>
      <c r="OP1023" s="2">
        <v>0.2</v>
      </c>
      <c r="OQ1023" s="2">
        <v>0</v>
      </c>
      <c r="OR1023" s="2">
        <v>0</v>
      </c>
      <c r="OS1023" s="2">
        <v>1.1</v>
      </c>
      <c r="OT1023" s="2">
        <v>1.2</v>
      </c>
      <c r="OU1023" s="2">
        <v>1.9</v>
      </c>
      <c r="OV1023" s="2">
        <v>2</v>
      </c>
      <c r="OW1023" s="2">
        <v>1.8</v>
      </c>
      <c r="OX1023" s="2">
        <v>2.1</v>
      </c>
      <c r="PC1023" s="2">
        <v>1.9</v>
      </c>
      <c r="PD1023" s="2">
        <v>1.3</v>
      </c>
      <c r="PE1023" s="2">
        <v>4.5</v>
      </c>
      <c r="PF1023" s="2">
        <v>3.2</v>
      </c>
      <c r="PG1023" s="2">
        <v>2.5</v>
      </c>
      <c r="PH1023" s="2">
        <v>1.5</v>
      </c>
      <c r="PI1023" s="2">
        <v>1.7</v>
      </c>
    </row>
    <row r="1024">
      <c r="A1024" t="inlineStr">
        <is>
          <t>A130395030F</t>
        </is>
      </c>
      <c r="B1024" t="inlineStr">
        <is>
          <t>Percentage Change from Corresponding Month of Previous Year ;  Non-tradables ;  Australia ;</t>
        </is>
      </c>
      <c r="C1024" t="inlineStr">
        <is>
          <t>Month</t>
        </is>
      </c>
      <c r="D1024" t="inlineStr">
        <is>
          <t>Percent</t>
        </is>
      </c>
      <c r="E1024" t="inlineStr">
        <is>
          <t>Original</t>
        </is>
      </c>
      <c r="F1024" t="inlineStr">
        <is>
          <t>640106.xlsx</t>
        </is>
      </c>
      <c r="G1024" t="inlineStr">
        <is>
          <t>2025-04</t>
        </is>
      </c>
      <c r="H1024" t="inlineStr">
        <is>
          <t>2026-07</t>
        </is>
      </c>
      <c r="OP1024" s="2">
        <v>3.5</v>
      </c>
      <c r="OQ1024" s="2">
        <v>3.2</v>
      </c>
      <c r="OR1024" s="2">
        <v>2.9</v>
      </c>
      <c r="OS1024" s="2">
        <v>4</v>
      </c>
      <c r="OT1024" s="2">
        <v>4.2</v>
      </c>
      <c r="OU1024" s="2">
        <v>4.5</v>
      </c>
      <c r="OV1024" s="2">
        <v>4.8</v>
      </c>
      <c r="OW1024" s="2">
        <v>4.3</v>
      </c>
      <c r="OX1024" s="2">
        <v>4.6</v>
      </c>
      <c r="PC1024" s="2">
        <v>4.9</v>
      </c>
      <c r="PD1024" s="2">
        <v>5</v>
      </c>
      <c r="PE1024" s="2">
        <v>4.6</v>
      </c>
      <c r="PF1024" s="2">
        <v>4.7</v>
      </c>
      <c r="PG1024" s="2">
        <v>4.7</v>
      </c>
      <c r="PH1024" s="2">
        <v>4.9</v>
      </c>
      <c r="PI1024" s="2">
        <v>4.4</v>
      </c>
    </row>
    <row r="1025">
      <c r="A1025" t="inlineStr">
        <is>
          <t>A130397425K</t>
        </is>
      </c>
      <c r="B1025" t="inlineStr">
        <is>
          <t>Percentage Change from Corresponding Month of Previous Year ;  All groups, goods component ;  Australia ;</t>
        </is>
      </c>
      <c r="C1025" t="inlineStr">
        <is>
          <t>Month</t>
        </is>
      </c>
      <c r="D1025" t="inlineStr">
        <is>
          <t>Percent</t>
        </is>
      </c>
      <c r="E1025" t="inlineStr">
        <is>
          <t>Original</t>
        </is>
      </c>
      <c r="F1025" t="inlineStr">
        <is>
          <t>640106.xlsx</t>
        </is>
      </c>
      <c r="G1025" t="inlineStr">
        <is>
          <t>2025-04</t>
        </is>
      </c>
      <c r="H1025" t="inlineStr">
        <is>
          <t>2026-07</t>
        </is>
      </c>
      <c r="OP1025" s="2">
        <v>0.9</v>
      </c>
      <c r="OQ1025" s="2">
        <v>1</v>
      </c>
      <c r="OR1025" s="2">
        <v>1.2</v>
      </c>
      <c r="OS1025" s="2">
        <v>2.4</v>
      </c>
      <c r="OT1025" s="2">
        <v>3</v>
      </c>
      <c r="OU1025" s="2">
        <v>3.7</v>
      </c>
      <c r="OV1025" s="2">
        <v>3.8</v>
      </c>
      <c r="OW1025" s="2">
        <v>3.3</v>
      </c>
      <c r="OX1025" s="2">
        <v>3.4</v>
      </c>
      <c r="PC1025" s="2">
        <v>3.8</v>
      </c>
      <c r="PD1025" s="2">
        <v>3.5</v>
      </c>
      <c r="PE1025" s="2">
        <v>5.5</v>
      </c>
      <c r="PF1025" s="2">
        <v>4.7</v>
      </c>
      <c r="PG1025" s="2">
        <v>4.2</v>
      </c>
      <c r="PH1025" s="2">
        <v>3.5</v>
      </c>
      <c r="PI1025" s="2">
        <v>3.2</v>
      </c>
    </row>
    <row r="1026">
      <c r="A1026" t="inlineStr">
        <is>
          <t>A130396115K</t>
        </is>
      </c>
      <c r="B1026" t="inlineStr">
        <is>
          <t>Percentage Change from Corresponding Month of Previous Year ;  All groups, services component ;  Australia ;</t>
        </is>
      </c>
      <c r="C1026" t="inlineStr">
        <is>
          <t>Month</t>
        </is>
      </c>
      <c r="D1026" t="inlineStr">
        <is>
          <t>Percent</t>
        </is>
      </c>
      <c r="E1026" t="inlineStr">
        <is>
          <t>Original</t>
        </is>
      </c>
      <c r="F1026" t="inlineStr">
        <is>
          <t>640106.xlsx</t>
        </is>
      </c>
      <c r="G1026" t="inlineStr">
        <is>
          <t>2025-04</t>
        </is>
      </c>
      <c r="H1026" t="inlineStr">
        <is>
          <t>2026-07</t>
        </is>
      </c>
      <c r="OP1026" s="2">
        <v>4.1</v>
      </c>
      <c r="OQ1026" s="2">
        <v>3.4</v>
      </c>
      <c r="OR1026" s="2">
        <v>2.7</v>
      </c>
      <c r="OS1026" s="2">
        <v>3.7</v>
      </c>
      <c r="OT1026" s="2">
        <v>3.4</v>
      </c>
      <c r="OU1026" s="2">
        <v>3.5</v>
      </c>
      <c r="OV1026" s="2">
        <v>3.9</v>
      </c>
      <c r="OW1026" s="2">
        <v>3.6</v>
      </c>
      <c r="OX1026" s="2">
        <v>4.1</v>
      </c>
      <c r="PC1026" s="2">
        <v>3.9</v>
      </c>
      <c r="PD1026" s="2">
        <v>3.9</v>
      </c>
      <c r="PE1026" s="2">
        <v>3.6</v>
      </c>
      <c r="PF1026" s="2">
        <v>3.5</v>
      </c>
      <c r="PG1026" s="2">
        <v>3.7</v>
      </c>
      <c r="PH1026" s="2">
        <v>4</v>
      </c>
      <c r="PI1026" s="2">
        <v>3.7</v>
      </c>
    </row>
    <row r="1027">
      <c r="A1027" t="inlineStr">
        <is>
          <t>A130395058J</t>
        </is>
      </c>
      <c r="B1027" t="inlineStr">
        <is>
          <t>Percentage Change from Corresponding Month of Previous Year ;  Market goods and services excluding 'volatile items' - Goods ;  Australia ;</t>
        </is>
      </c>
      <c r="C1027" t="inlineStr">
        <is>
          <t>Month</t>
        </is>
      </c>
      <c r="D1027" t="inlineStr">
        <is>
          <t>Percent</t>
        </is>
      </c>
      <c r="E1027" t="inlineStr">
        <is>
          <t>Original</t>
        </is>
      </c>
      <c r="F1027" t="inlineStr">
        <is>
          <t>640106.xlsx</t>
        </is>
      </c>
      <c r="G1027" t="inlineStr">
        <is>
          <t>2025-04</t>
        </is>
      </c>
      <c r="H1027" t="inlineStr">
        <is>
          <t>2026-07</t>
        </is>
      </c>
      <c r="OP1027" s="2">
        <v>2</v>
      </c>
      <c r="OQ1027" s="2">
        <v>2.1</v>
      </c>
      <c r="OR1027" s="2">
        <v>2.1</v>
      </c>
      <c r="OS1027" s="2">
        <v>2.3</v>
      </c>
      <c r="OT1027" s="2">
        <v>2.5</v>
      </c>
      <c r="OU1027" s="2">
        <v>2.6</v>
      </c>
      <c r="OV1027" s="2">
        <v>2.8</v>
      </c>
      <c r="OW1027" s="2">
        <v>2.6</v>
      </c>
      <c r="OX1027" s="2">
        <v>2.9</v>
      </c>
      <c r="PC1027" s="2">
        <v>3.1</v>
      </c>
      <c r="PD1027" s="2">
        <v>2.9</v>
      </c>
      <c r="PE1027" s="2">
        <v>3.2</v>
      </c>
      <c r="PF1027" s="2">
        <v>3</v>
      </c>
      <c r="PG1027" s="2">
        <v>3.2</v>
      </c>
      <c r="PH1027" s="2">
        <v>3.4</v>
      </c>
      <c r="PI1027" s="2">
        <v>3.4</v>
      </c>
    </row>
    <row r="1028">
      <c r="A1028" t="inlineStr">
        <is>
          <t>A130396143V</t>
        </is>
      </c>
      <c r="B1028" t="inlineStr">
        <is>
          <t>Percentage Change from Corresponding Month of Previous Year ;  Market goods and services excluding 'volatile items' - Total ;  Australia ;</t>
        </is>
      </c>
      <c r="C1028" t="inlineStr">
        <is>
          <t>Month</t>
        </is>
      </c>
      <c r="D1028" t="inlineStr">
        <is>
          <t>Percent</t>
        </is>
      </c>
      <c r="E1028" t="inlineStr">
        <is>
          <t>Original</t>
        </is>
      </c>
      <c r="F1028" t="inlineStr">
        <is>
          <t>640106.xlsx</t>
        </is>
      </c>
      <c r="G1028" t="inlineStr">
        <is>
          <t>2025-04</t>
        </is>
      </c>
      <c r="H1028" t="inlineStr">
        <is>
          <t>2026-07</t>
        </is>
      </c>
      <c r="OP1028" s="2">
        <v>2.7</v>
      </c>
      <c r="OQ1028" s="2">
        <v>2.4</v>
      </c>
      <c r="OR1028" s="2">
        <v>1.9</v>
      </c>
      <c r="OS1028" s="2">
        <v>2.6</v>
      </c>
      <c r="OT1028" s="2">
        <v>2.6</v>
      </c>
      <c r="OU1028" s="2">
        <v>2.6</v>
      </c>
      <c r="OV1028" s="2">
        <v>2.9</v>
      </c>
      <c r="OW1028" s="2">
        <v>2.7</v>
      </c>
      <c r="OX1028" s="2">
        <v>3.2</v>
      </c>
      <c r="PC1028" s="2">
        <v>3.2</v>
      </c>
      <c r="PD1028" s="2">
        <v>3.2</v>
      </c>
      <c r="PE1028" s="2">
        <v>3.2</v>
      </c>
      <c r="PF1028" s="2">
        <v>3</v>
      </c>
      <c r="PG1028" s="2">
        <v>3.2</v>
      </c>
      <c r="PH1028" s="2">
        <v>3.6</v>
      </c>
      <c r="PI1028" s="2">
        <v>3.4</v>
      </c>
    </row>
    <row r="1029">
      <c r="A1029" t="inlineStr">
        <is>
          <t>A130392405K</t>
        </is>
      </c>
      <c r="B1029" t="inlineStr">
        <is>
          <t>Percentage Change from Corresponding Month of Previous Year ;  Market goods and services excluding 'volatile items' - Services ;  Australia ;</t>
        </is>
      </c>
      <c r="C1029" t="inlineStr">
        <is>
          <t>Month</t>
        </is>
      </c>
      <c r="D1029" t="inlineStr">
        <is>
          <t>Percent</t>
        </is>
      </c>
      <c r="E1029" t="inlineStr">
        <is>
          <t>Original</t>
        </is>
      </c>
      <c r="F1029" t="inlineStr">
        <is>
          <t>640106.xlsx</t>
        </is>
      </c>
      <c r="G1029" t="inlineStr">
        <is>
          <t>2025-04</t>
        </is>
      </c>
      <c r="H1029" t="inlineStr">
        <is>
          <t>2026-07</t>
        </is>
      </c>
      <c r="OP1029" s="2">
        <v>3.8</v>
      </c>
      <c r="OQ1029" s="2">
        <v>2.7</v>
      </c>
      <c r="OR1029" s="2">
        <v>1.8</v>
      </c>
      <c r="OS1029" s="2">
        <v>3.1</v>
      </c>
      <c r="OT1029" s="2">
        <v>2.7</v>
      </c>
      <c r="OU1029" s="2">
        <v>2.7</v>
      </c>
      <c r="OV1029" s="2">
        <v>3.2</v>
      </c>
      <c r="OW1029" s="2">
        <v>2.9</v>
      </c>
      <c r="OX1029" s="2">
        <v>3.7</v>
      </c>
      <c r="PC1029" s="2">
        <v>3.3</v>
      </c>
      <c r="PD1029" s="2">
        <v>3.5</v>
      </c>
      <c r="PE1029" s="2">
        <v>3.1</v>
      </c>
      <c r="PF1029" s="2">
        <v>3</v>
      </c>
      <c r="PG1029" s="2">
        <v>3.2</v>
      </c>
      <c r="PH1029" s="2">
        <v>3.7</v>
      </c>
      <c r="PI1029" s="2">
        <v>3.3</v>
      </c>
    </row>
    <row r="1030">
      <c r="A1030" t="inlineStr">
        <is>
          <t>A130398643A</t>
        </is>
      </c>
      <c r="B1030" t="inlineStr">
        <is>
          <t>Percentage Change from Corresponding Month of Previous Year ;  All groups CPI excluding 'volatile items' and holiday travel ;  Australia ;</t>
        </is>
      </c>
      <c r="C1030" t="inlineStr">
        <is>
          <t>Month</t>
        </is>
      </c>
      <c r="D1030" t="inlineStr">
        <is>
          <t>Percent</t>
        </is>
      </c>
      <c r="E1030" t="inlineStr">
        <is>
          <t>Original</t>
        </is>
      </c>
      <c r="F1030" t="inlineStr">
        <is>
          <t>640106.xlsx</t>
        </is>
      </c>
      <c r="G1030" t="inlineStr">
        <is>
          <t>2025-04</t>
        </is>
      </c>
      <c r="H1030" t="inlineStr">
        <is>
          <t>2026-07</t>
        </is>
      </c>
      <c r="OP1030" s="2">
        <v>2.7</v>
      </c>
      <c r="OQ1030" s="2">
        <v>2.7</v>
      </c>
      <c r="OR1030" s="2">
        <v>2.6</v>
      </c>
      <c r="OS1030" s="2">
        <v>3.3</v>
      </c>
      <c r="OT1030" s="2">
        <v>3.6</v>
      </c>
      <c r="OU1030" s="2">
        <v>3.8</v>
      </c>
      <c r="OV1030" s="2">
        <v>4</v>
      </c>
      <c r="OW1030" s="2">
        <v>3.6</v>
      </c>
      <c r="OX1030" s="2">
        <v>3.8</v>
      </c>
      <c r="PC1030" s="2">
        <v>4.1</v>
      </c>
      <c r="PD1030" s="2">
        <v>4.1</v>
      </c>
      <c r="PE1030" s="2">
        <v>4.1</v>
      </c>
      <c r="PF1030" s="2">
        <v>3.9</v>
      </c>
      <c r="PG1030" s="2">
        <v>4</v>
      </c>
      <c r="PH1030" s="2">
        <v>4.2</v>
      </c>
      <c r="PI1030" s="2">
        <v>3.8</v>
      </c>
    </row>
    <row r="1031">
      <c r="A1031" t="inlineStr">
        <is>
          <t>A130397649W</t>
        </is>
      </c>
      <c r="B1031" t="inlineStr">
        <is>
          <t>Percentage Change from Corresponding Month of Previous Year ;  All groups CPI excluding Food and non-alcoholic beverages ;  Australia ;</t>
        </is>
      </c>
      <c r="C1031" t="inlineStr">
        <is>
          <t>Month</t>
        </is>
      </c>
      <c r="D1031" t="inlineStr">
        <is>
          <t>Percent</t>
        </is>
      </c>
      <c r="E1031" t="inlineStr">
        <is>
          <t>Original</t>
        </is>
      </c>
      <c r="F1031" t="inlineStr">
        <is>
          <t>640106.xlsx</t>
        </is>
      </c>
      <c r="G1031" t="inlineStr">
        <is>
          <t>2025-04</t>
        </is>
      </c>
      <c r="H1031" t="inlineStr">
        <is>
          <t>2026-07</t>
        </is>
      </c>
      <c r="OP1031" s="2">
        <v>2.2</v>
      </c>
      <c r="OQ1031" s="2">
        <v>1.9</v>
      </c>
      <c r="OR1031" s="2">
        <v>1.6</v>
      </c>
      <c r="OS1031" s="2">
        <v>2.9</v>
      </c>
      <c r="OT1031" s="2">
        <v>3.2</v>
      </c>
      <c r="OU1031" s="2">
        <v>3.7</v>
      </c>
      <c r="OV1031" s="2">
        <v>3.9</v>
      </c>
      <c r="OW1031" s="2">
        <v>3.5</v>
      </c>
      <c r="OX1031" s="2">
        <v>3.8</v>
      </c>
      <c r="PC1031" s="2">
        <v>4</v>
      </c>
      <c r="PD1031" s="2">
        <v>3.9</v>
      </c>
      <c r="PE1031" s="2">
        <v>4.9</v>
      </c>
      <c r="PF1031" s="2">
        <v>4.5</v>
      </c>
      <c r="PG1031" s="2">
        <v>4.1</v>
      </c>
      <c r="PH1031" s="2">
        <v>3.9</v>
      </c>
      <c r="PI1031" s="2">
        <v>3.5</v>
      </c>
    </row>
    <row r="1032">
      <c r="A1032" t="inlineStr">
        <is>
          <t>A130392664C</t>
        </is>
      </c>
      <c r="B1032" t="inlineStr">
        <is>
          <t>Percentage Change from Corresponding Month of Previous Year ;  All groups CPI excluding Alcohol and tobacco ;  Australia ;</t>
        </is>
      </c>
      <c r="C1032" t="inlineStr">
        <is>
          <t>Month</t>
        </is>
      </c>
      <c r="D1032" t="inlineStr">
        <is>
          <t>Percent</t>
        </is>
      </c>
      <c r="E1032" t="inlineStr">
        <is>
          <t>Original</t>
        </is>
      </c>
      <c r="F1032" t="inlineStr">
        <is>
          <t>640106.xlsx</t>
        </is>
      </c>
      <c r="G1032" t="inlineStr">
        <is>
          <t>2025-04</t>
        </is>
      </c>
      <c r="H1032" t="inlineStr">
        <is>
          <t>2026-07</t>
        </is>
      </c>
      <c r="OP1032" s="2">
        <v>2.1</v>
      </c>
      <c r="OQ1032" s="2">
        <v>1.8</v>
      </c>
      <c r="OR1032" s="2">
        <v>1.6</v>
      </c>
      <c r="OS1032" s="2">
        <v>2.7</v>
      </c>
      <c r="OT1032" s="2">
        <v>3</v>
      </c>
      <c r="OU1032" s="2">
        <v>3.5</v>
      </c>
      <c r="OV1032" s="2">
        <v>3.8</v>
      </c>
      <c r="OW1032" s="2">
        <v>3.4</v>
      </c>
      <c r="OX1032" s="2">
        <v>3.7</v>
      </c>
      <c r="PC1032" s="2">
        <v>3.8</v>
      </c>
      <c r="PD1032" s="2">
        <v>3.7</v>
      </c>
      <c r="PE1032" s="2">
        <v>4.6</v>
      </c>
      <c r="PF1032" s="2">
        <v>4.2</v>
      </c>
      <c r="PG1032" s="2">
        <v>3.9</v>
      </c>
      <c r="PH1032" s="2">
        <v>3.7</v>
      </c>
      <c r="PI1032" s="2">
        <v>3.4</v>
      </c>
    </row>
    <row r="1033">
      <c r="A1033" t="inlineStr">
        <is>
          <t>A130396367F</t>
        </is>
      </c>
      <c r="B1033" t="inlineStr">
        <is>
          <t>Percentage Change from Corresponding Month of Previous Year ;  All groups CPI excluding Clothing and footwear ;  Australia ;</t>
        </is>
      </c>
      <c r="C1033" t="inlineStr">
        <is>
          <t>Month</t>
        </is>
      </c>
      <c r="D1033" t="inlineStr">
        <is>
          <t>Percent</t>
        </is>
      </c>
      <c r="E1033" t="inlineStr">
        <is>
          <t>Original</t>
        </is>
      </c>
      <c r="F1033" t="inlineStr">
        <is>
          <t>640106.xlsx</t>
        </is>
      </c>
      <c r="G1033" t="inlineStr">
        <is>
          <t>2025-04</t>
        </is>
      </c>
      <c r="H1033" t="inlineStr">
        <is>
          <t>2026-07</t>
        </is>
      </c>
      <c r="OP1033" s="2">
        <v>2.4</v>
      </c>
      <c r="OQ1033" s="2">
        <v>2.1</v>
      </c>
      <c r="OR1033" s="2">
        <v>1.9</v>
      </c>
      <c r="OS1033" s="2">
        <v>3</v>
      </c>
      <c r="OT1033" s="2">
        <v>3.1</v>
      </c>
      <c r="OU1033" s="2">
        <v>3.6</v>
      </c>
      <c r="OV1033" s="2">
        <v>3.8</v>
      </c>
      <c r="OW1033" s="2">
        <v>3.4</v>
      </c>
      <c r="OX1033" s="2">
        <v>3.8</v>
      </c>
      <c r="PC1033" s="2">
        <v>3.8</v>
      </c>
      <c r="PD1033" s="2">
        <v>3.7</v>
      </c>
      <c r="PE1033" s="2">
        <v>4.5</v>
      </c>
      <c r="PF1033" s="2">
        <v>4.1</v>
      </c>
      <c r="PG1033" s="2">
        <v>3.9</v>
      </c>
      <c r="PH1033" s="2">
        <v>3.7</v>
      </c>
      <c r="PI1033" s="2">
        <v>3.4</v>
      </c>
    </row>
    <row r="1034">
      <c r="A1034" t="inlineStr">
        <is>
          <t>A130390116C</t>
        </is>
      </c>
      <c r="B1034" t="inlineStr">
        <is>
          <t>Percentage Change from Corresponding Month of Previous Year ;  All groups CPI excluding Housing ;  Australia ;</t>
        </is>
      </c>
      <c r="C1034" t="inlineStr">
        <is>
          <t>Month</t>
        </is>
      </c>
      <c r="D1034" t="inlineStr">
        <is>
          <t>Percent</t>
        </is>
      </c>
      <c r="E1034" t="inlineStr">
        <is>
          <t>Original</t>
        </is>
      </c>
      <c r="F1034" t="inlineStr">
        <is>
          <t>640106.xlsx</t>
        </is>
      </c>
      <c r="G1034" t="inlineStr">
        <is>
          <t>2025-04</t>
        </is>
      </c>
      <c r="H1034" t="inlineStr">
        <is>
          <t>2026-07</t>
        </is>
      </c>
      <c r="OP1034" s="2">
        <v>2.4</v>
      </c>
      <c r="OQ1034" s="2">
        <v>2.2</v>
      </c>
      <c r="OR1034" s="2">
        <v>2</v>
      </c>
      <c r="OS1034" s="2">
        <v>2.8</v>
      </c>
      <c r="OT1034" s="2">
        <v>2.8</v>
      </c>
      <c r="OU1034" s="2">
        <v>3</v>
      </c>
      <c r="OV1034" s="2">
        <v>3.3</v>
      </c>
      <c r="OW1034" s="2">
        <v>3</v>
      </c>
      <c r="OX1034" s="2">
        <v>3.3</v>
      </c>
      <c r="PC1034" s="2">
        <v>3</v>
      </c>
      <c r="PD1034" s="2">
        <v>2.8</v>
      </c>
      <c r="PE1034" s="2">
        <v>4.1</v>
      </c>
      <c r="PF1034" s="2">
        <v>3.6</v>
      </c>
      <c r="PG1034" s="2">
        <v>3.3</v>
      </c>
      <c r="PH1034" s="2">
        <v>2.9</v>
      </c>
      <c r="PI1034" s="2">
        <v>3</v>
      </c>
    </row>
    <row r="1035">
      <c r="A1035" t="inlineStr">
        <is>
          <t>A130398863C</t>
        </is>
      </c>
      <c r="B1035" t="inlineStr">
        <is>
          <t>Percentage Change from Corresponding Month of Previous Year ;  All groups CPI excluding Furnishings, household equipment and services ;  Australia ;</t>
        </is>
      </c>
      <c r="C1035" t="inlineStr">
        <is>
          <t>Month</t>
        </is>
      </c>
      <c r="D1035" t="inlineStr">
        <is>
          <t>Percent</t>
        </is>
      </c>
      <c r="E1035" t="inlineStr">
        <is>
          <t>Original</t>
        </is>
      </c>
      <c r="F1035" t="inlineStr">
        <is>
          <t>640106.xlsx</t>
        </is>
      </c>
      <c r="G1035" t="inlineStr">
        <is>
          <t>2025-04</t>
        </is>
      </c>
      <c r="H1035" t="inlineStr">
        <is>
          <t>2026-07</t>
        </is>
      </c>
      <c r="OP1035" s="2">
        <v>2.4</v>
      </c>
      <c r="OQ1035" s="2">
        <v>2.2</v>
      </c>
      <c r="OR1035" s="2">
        <v>1.9</v>
      </c>
      <c r="OS1035" s="2">
        <v>3.1</v>
      </c>
      <c r="OT1035" s="2">
        <v>3.3</v>
      </c>
      <c r="OU1035" s="2">
        <v>3.7</v>
      </c>
      <c r="OV1035" s="2">
        <v>4</v>
      </c>
      <c r="OW1035" s="2">
        <v>3.6</v>
      </c>
      <c r="OX1035" s="2">
        <v>3.9</v>
      </c>
      <c r="PC1035" s="2">
        <v>4</v>
      </c>
      <c r="PD1035" s="2">
        <v>3.9</v>
      </c>
      <c r="PE1035" s="2">
        <v>4.9</v>
      </c>
      <c r="PF1035" s="2">
        <v>4.4</v>
      </c>
      <c r="PG1035" s="2">
        <v>4.2</v>
      </c>
      <c r="PH1035" s="2">
        <v>3.9</v>
      </c>
      <c r="PI1035" s="2">
        <v>3.6</v>
      </c>
    </row>
    <row r="1036">
      <c r="A1036" t="inlineStr">
        <is>
          <t>A130394036A</t>
        </is>
      </c>
      <c r="B1036" t="inlineStr">
        <is>
          <t>Percentage Change from Corresponding Month of Previous Year ;  All groups CPI excluding Health ;  Australia ;</t>
        </is>
      </c>
      <c r="C1036" t="inlineStr">
        <is>
          <t>Month</t>
        </is>
      </c>
      <c r="D1036" t="inlineStr">
        <is>
          <t>Percent</t>
        </is>
      </c>
      <c r="E1036" t="inlineStr">
        <is>
          <t>Original</t>
        </is>
      </c>
      <c r="F1036" t="inlineStr">
        <is>
          <t>640106.xlsx</t>
        </is>
      </c>
      <c r="G1036" t="inlineStr">
        <is>
          <t>2025-04</t>
        </is>
      </c>
      <c r="H1036" t="inlineStr">
        <is>
          <t>2026-07</t>
        </is>
      </c>
      <c r="OP1036" s="2">
        <v>2.2</v>
      </c>
      <c r="OQ1036" s="2">
        <v>2</v>
      </c>
      <c r="OR1036" s="2">
        <v>1.7</v>
      </c>
      <c r="OS1036" s="2">
        <v>2.9</v>
      </c>
      <c r="OT1036" s="2">
        <v>3.1</v>
      </c>
      <c r="OU1036" s="2">
        <v>3.5</v>
      </c>
      <c r="OV1036" s="2">
        <v>3.8</v>
      </c>
      <c r="OW1036" s="2">
        <v>3.4</v>
      </c>
      <c r="OX1036" s="2">
        <v>3.8</v>
      </c>
      <c r="PC1036" s="2">
        <v>3.9</v>
      </c>
      <c r="PD1036" s="2">
        <v>3.8</v>
      </c>
      <c r="PE1036" s="2">
        <v>4.7</v>
      </c>
      <c r="PF1036" s="2">
        <v>4.2</v>
      </c>
      <c r="PG1036" s="2">
        <v>4</v>
      </c>
      <c r="PH1036" s="2">
        <v>3.8</v>
      </c>
      <c r="PI1036" s="2">
        <v>3.4</v>
      </c>
    </row>
    <row r="1037">
      <c r="A1037" t="inlineStr">
        <is>
          <t>A130398891L</t>
        </is>
      </c>
      <c r="B1037" t="inlineStr">
        <is>
          <t>Percentage Change from Corresponding Month of Previous Year ;  All groups CPI excluding Transport ;  Australia ;</t>
        </is>
      </c>
      <c r="C1037" t="inlineStr">
        <is>
          <t>Month</t>
        </is>
      </c>
      <c r="D1037" t="inlineStr">
        <is>
          <t>Percent</t>
        </is>
      </c>
      <c r="E1037" t="inlineStr">
        <is>
          <t>Original</t>
        </is>
      </c>
      <c r="F1037" t="inlineStr">
        <is>
          <t>640106.xlsx</t>
        </is>
      </c>
      <c r="G1037" t="inlineStr">
        <is>
          <t>2025-04</t>
        </is>
      </c>
      <c r="H1037" t="inlineStr">
        <is>
          <t>2026-07</t>
        </is>
      </c>
      <c r="OP1037" s="2">
        <v>3.1</v>
      </c>
      <c r="OQ1037" s="2">
        <v>2.7</v>
      </c>
      <c r="OR1037" s="2">
        <v>2.4</v>
      </c>
      <c r="OS1037" s="2">
        <v>3.4</v>
      </c>
      <c r="OT1037" s="2">
        <v>3.5</v>
      </c>
      <c r="OU1037" s="2">
        <v>3.8</v>
      </c>
      <c r="OV1037" s="2">
        <v>4</v>
      </c>
      <c r="OW1037" s="2">
        <v>3.6</v>
      </c>
      <c r="OX1037" s="2">
        <v>4</v>
      </c>
      <c r="PC1037" s="2">
        <v>4.2</v>
      </c>
      <c r="PD1037" s="2">
        <v>4.2</v>
      </c>
      <c r="PE1037" s="2">
        <v>4</v>
      </c>
      <c r="PF1037" s="2">
        <v>3.9</v>
      </c>
      <c r="PG1037" s="2">
        <v>4.1</v>
      </c>
      <c r="PH1037" s="2">
        <v>4.2</v>
      </c>
      <c r="PI1037" s="2">
        <v>3.7</v>
      </c>
    </row>
    <row r="1038">
      <c r="A1038" t="inlineStr">
        <is>
          <t>A130392720K</t>
        </is>
      </c>
      <c r="B1038" t="inlineStr">
        <is>
          <t>Percentage Change from Corresponding Month of Previous Year ;  All groups CPI excluding Communication ;  Australia ;</t>
        </is>
      </c>
      <c r="C1038" t="inlineStr">
        <is>
          <t>Month</t>
        </is>
      </c>
      <c r="D1038" t="inlineStr">
        <is>
          <t>Percent</t>
        </is>
      </c>
      <c r="E1038" t="inlineStr">
        <is>
          <t>Original</t>
        </is>
      </c>
      <c r="F1038" t="inlineStr">
        <is>
          <t>640106.xlsx</t>
        </is>
      </c>
      <c r="G1038" t="inlineStr">
        <is>
          <t>2025-04</t>
        </is>
      </c>
      <c r="H1038" t="inlineStr">
        <is>
          <t>2026-07</t>
        </is>
      </c>
      <c r="OP1038" s="2">
        <v>2.4</v>
      </c>
      <c r="OQ1038" s="2">
        <v>2.1</v>
      </c>
      <c r="OR1038" s="2">
        <v>1.9</v>
      </c>
      <c r="OS1038" s="2">
        <v>3</v>
      </c>
      <c r="OT1038" s="2">
        <v>3.2</v>
      </c>
      <c r="OU1038" s="2">
        <v>3.6</v>
      </c>
      <c r="OV1038" s="2">
        <v>3.9</v>
      </c>
      <c r="OW1038" s="2">
        <v>3.5</v>
      </c>
      <c r="OX1038" s="2">
        <v>3.8</v>
      </c>
      <c r="PC1038" s="2">
        <v>3.9</v>
      </c>
      <c r="PD1038" s="2">
        <v>3.8</v>
      </c>
      <c r="PE1038" s="2">
        <v>4.6</v>
      </c>
      <c r="PF1038" s="2">
        <v>4.2</v>
      </c>
      <c r="PG1038" s="2">
        <v>4</v>
      </c>
      <c r="PH1038" s="2">
        <v>3.8</v>
      </c>
      <c r="PI1038" s="2">
        <v>3.5</v>
      </c>
    </row>
    <row r="1039">
      <c r="A1039" t="inlineStr">
        <is>
          <t>A130395261R</t>
        </is>
      </c>
      <c r="B1039" t="inlineStr">
        <is>
          <t>Percentage Change from Corresponding Month of Previous Year ;  All groups CPI excluding Recreation and culture ;  Australia ;</t>
        </is>
      </c>
      <c r="C1039" t="inlineStr">
        <is>
          <t>Month</t>
        </is>
      </c>
      <c r="D1039" t="inlineStr">
        <is>
          <t>Percent</t>
        </is>
      </c>
      <c r="E1039" t="inlineStr">
        <is>
          <t>Original</t>
        </is>
      </c>
      <c r="F1039" t="inlineStr">
        <is>
          <t>640106.xlsx</t>
        </is>
      </c>
      <c r="G1039" t="inlineStr">
        <is>
          <t>2025-04</t>
        </is>
      </c>
      <c r="H1039" t="inlineStr">
        <is>
          <t>2026-07</t>
        </is>
      </c>
      <c r="OP1039" s="2">
        <v>2.2</v>
      </c>
      <c r="OQ1039" s="2">
        <v>2.2</v>
      </c>
      <c r="OR1039" s="2">
        <v>2.3</v>
      </c>
      <c r="OS1039" s="2">
        <v>3</v>
      </c>
      <c r="OT1039" s="2">
        <v>3.4</v>
      </c>
      <c r="OU1039" s="2">
        <v>3.9</v>
      </c>
      <c r="OV1039" s="2">
        <v>3.9</v>
      </c>
      <c r="OW1039" s="2">
        <v>3.7</v>
      </c>
      <c r="OX1039" s="2">
        <v>3.7</v>
      </c>
      <c r="PC1039" s="2">
        <v>3.9</v>
      </c>
      <c r="PD1039" s="2">
        <v>3.7</v>
      </c>
      <c r="PE1039" s="2">
        <v>4.8</v>
      </c>
      <c r="PF1039" s="2">
        <v>4.4</v>
      </c>
      <c r="PG1039" s="2">
        <v>4.2</v>
      </c>
      <c r="PH1039" s="2">
        <v>3.8</v>
      </c>
      <c r="PI1039" s="2">
        <v>3.6</v>
      </c>
    </row>
    <row r="1040">
      <c r="A1040" t="inlineStr">
        <is>
          <t>A130398919C</t>
        </is>
      </c>
      <c r="B1040" t="inlineStr">
        <is>
          <t>Percentage Change from Corresponding Month of Previous Year ;  All groups CPI excluding Education ;  Australia ;</t>
        </is>
      </c>
      <c r="C1040" t="inlineStr">
        <is>
          <t>Month</t>
        </is>
      </c>
      <c r="D1040" t="inlineStr">
        <is>
          <t>Percent</t>
        </is>
      </c>
      <c r="E1040" t="inlineStr">
        <is>
          <t>Original</t>
        </is>
      </c>
      <c r="F1040" t="inlineStr">
        <is>
          <t>640106.xlsx</t>
        </is>
      </c>
      <c r="G1040" t="inlineStr">
        <is>
          <t>2025-04</t>
        </is>
      </c>
      <c r="H1040" t="inlineStr">
        <is>
          <t>2026-07</t>
        </is>
      </c>
      <c r="OP1040" s="2">
        <v>2.2</v>
      </c>
      <c r="OQ1040" s="2">
        <v>1.9</v>
      </c>
      <c r="OR1040" s="2">
        <v>1.7</v>
      </c>
      <c r="OS1040" s="2">
        <v>2.8</v>
      </c>
      <c r="OT1040" s="2">
        <v>3.1</v>
      </c>
      <c r="OU1040" s="2">
        <v>3.5</v>
      </c>
      <c r="OV1040" s="2">
        <v>3.7</v>
      </c>
      <c r="OW1040" s="2">
        <v>3.3</v>
      </c>
      <c r="OX1040" s="2">
        <v>3.7</v>
      </c>
      <c r="PC1040" s="2">
        <v>3.8</v>
      </c>
      <c r="PD1040" s="2">
        <v>3.7</v>
      </c>
      <c r="PE1040" s="2">
        <v>4.6</v>
      </c>
      <c r="PF1040" s="2">
        <v>4.1</v>
      </c>
      <c r="PG1040" s="2">
        <v>3.9</v>
      </c>
      <c r="PH1040" s="2">
        <v>3.7</v>
      </c>
      <c r="PI1040" s="2">
        <v>3.4</v>
      </c>
    </row>
    <row r="1041">
      <c r="A1041" t="inlineStr">
        <is>
          <t>A130394078X</t>
        </is>
      </c>
      <c r="B1041" t="inlineStr">
        <is>
          <t>Percentage Change from Corresponding Month of Previous Year ;  All groups CPI excluding Insurance and financial services ;  Australia ;</t>
        </is>
      </c>
      <c r="C1041" t="inlineStr">
        <is>
          <t>Month</t>
        </is>
      </c>
      <c r="D1041" t="inlineStr">
        <is>
          <t>Percent</t>
        </is>
      </c>
      <c r="E1041" t="inlineStr">
        <is>
          <t>Original</t>
        </is>
      </c>
      <c r="F1041" t="inlineStr">
        <is>
          <t>640106.xlsx</t>
        </is>
      </c>
      <c r="G1041" t="inlineStr">
        <is>
          <t>2025-04</t>
        </is>
      </c>
      <c r="H1041" t="inlineStr">
        <is>
          <t>2026-07</t>
        </is>
      </c>
      <c r="OP1041" s="2">
        <v>2.3</v>
      </c>
      <c r="OQ1041" s="2">
        <v>2</v>
      </c>
      <c r="OR1041" s="2">
        <v>1.8</v>
      </c>
      <c r="OS1041" s="2">
        <v>2.9</v>
      </c>
      <c r="OT1041" s="2">
        <v>3.2</v>
      </c>
      <c r="OU1041" s="2">
        <v>3.6</v>
      </c>
      <c r="OV1041" s="2">
        <v>3.9</v>
      </c>
      <c r="OW1041" s="2">
        <v>3.5</v>
      </c>
      <c r="OX1041" s="2">
        <v>3.8</v>
      </c>
      <c r="PC1041" s="2">
        <v>3.9</v>
      </c>
      <c r="PD1041" s="2">
        <v>3.8</v>
      </c>
      <c r="PE1041" s="2">
        <v>4.7</v>
      </c>
      <c r="PF1041" s="2">
        <v>4.2</v>
      </c>
      <c r="PG1041" s="2">
        <v>4</v>
      </c>
      <c r="PH1041" s="2">
        <v>3.8</v>
      </c>
      <c r="PI1041" s="2">
        <v>3.5</v>
      </c>
    </row>
    <row r="1042">
      <c r="A1042" t="inlineStr">
        <is>
          <t>A130390193J</t>
        </is>
      </c>
      <c r="B1042" t="inlineStr">
        <is>
          <t>Percentage Change from Corresponding Month of Previous Year ;  All groups CPI excluding Housing and Insurance and financial services ;  Australia ;</t>
        </is>
      </c>
      <c r="C1042" t="inlineStr">
        <is>
          <t>Month</t>
        </is>
      </c>
      <c r="D1042" t="inlineStr">
        <is>
          <t>Percent</t>
        </is>
      </c>
      <c r="E1042" t="inlineStr">
        <is>
          <t>Original</t>
        </is>
      </c>
      <c r="F1042" t="inlineStr">
        <is>
          <t>640106.xlsx</t>
        </is>
      </c>
      <c r="G1042" t="inlineStr">
        <is>
          <t>2025-04</t>
        </is>
      </c>
      <c r="H1042" t="inlineStr">
        <is>
          <t>2026-07</t>
        </is>
      </c>
      <c r="OP1042" s="2">
        <v>2.3</v>
      </c>
      <c r="OQ1042" s="2">
        <v>2.1</v>
      </c>
      <c r="OR1042" s="2">
        <v>1.9</v>
      </c>
      <c r="OS1042" s="2">
        <v>2.7</v>
      </c>
      <c r="OT1042" s="2">
        <v>2.8</v>
      </c>
      <c r="OU1042" s="2">
        <v>3.1</v>
      </c>
      <c r="OV1042" s="2">
        <v>3.3</v>
      </c>
      <c r="OW1042" s="2">
        <v>3</v>
      </c>
      <c r="OX1042" s="2">
        <v>3.4</v>
      </c>
      <c r="PC1042" s="2">
        <v>3.1</v>
      </c>
      <c r="PD1042" s="2">
        <v>2.8</v>
      </c>
      <c r="PE1042" s="2">
        <v>4.1</v>
      </c>
      <c r="PF1042" s="2">
        <v>3.6</v>
      </c>
      <c r="PG1042" s="2">
        <v>3.3</v>
      </c>
      <c r="PH1042" s="2">
        <v>2.9</v>
      </c>
      <c r="PI1042" s="2">
        <v>3</v>
      </c>
    </row>
    <row r="1043">
      <c r="A1043" t="inlineStr">
        <is>
          <t>A130390165X</t>
        </is>
      </c>
      <c r="B1043" t="inlineStr">
        <is>
          <t>Percentage Change from Corresponding Month of Previous Year ;  All groups CPI excluding Medical and hospital services ;  Australia ;</t>
        </is>
      </c>
      <c r="C1043" t="inlineStr">
        <is>
          <t>Month</t>
        </is>
      </c>
      <c r="D1043" t="inlineStr">
        <is>
          <t>Percent</t>
        </is>
      </c>
      <c r="E1043" t="inlineStr">
        <is>
          <t>Original</t>
        </is>
      </c>
      <c r="F1043" t="inlineStr">
        <is>
          <t>640106.xlsx</t>
        </is>
      </c>
      <c r="G1043" t="inlineStr">
        <is>
          <t>2025-04</t>
        </is>
      </c>
      <c r="H1043" t="inlineStr">
        <is>
          <t>2026-07</t>
        </is>
      </c>
      <c r="OP1043" s="2">
        <v>2.2</v>
      </c>
      <c r="OQ1043" s="2">
        <v>1.9</v>
      </c>
      <c r="OR1043" s="2">
        <v>1.7</v>
      </c>
      <c r="OS1043" s="2">
        <v>2.8</v>
      </c>
      <c r="OT1043" s="2">
        <v>3.1</v>
      </c>
      <c r="OU1043" s="2">
        <v>3.5</v>
      </c>
      <c r="OV1043" s="2">
        <v>3.7</v>
      </c>
      <c r="OW1043" s="2">
        <v>3.4</v>
      </c>
      <c r="OX1043" s="2">
        <v>3.7</v>
      </c>
      <c r="PC1043" s="2">
        <v>3.8</v>
      </c>
      <c r="PD1043" s="2">
        <v>3.7</v>
      </c>
      <c r="PE1043" s="2">
        <v>4.6</v>
      </c>
      <c r="PF1043" s="2">
        <v>4.1</v>
      </c>
      <c r="PG1043" s="2">
        <v>3.9</v>
      </c>
      <c r="PH1043" s="2">
        <v>3.7</v>
      </c>
      <c r="PI1043" s="2">
        <v>3.4</v>
      </c>
    </row>
    <row r="1044">
      <c r="A1044" t="inlineStr">
        <is>
          <t>A130391635X</t>
        </is>
      </c>
      <c r="B1044" t="inlineStr">
        <is>
          <t>Percentage Change from Corresponding Month of Previous Year ;  All groups CPI excluding food and energy ;  Australia ;</t>
        </is>
      </c>
      <c r="C1044" t="inlineStr">
        <is>
          <t>Month</t>
        </is>
      </c>
      <c r="D1044" t="inlineStr">
        <is>
          <t>Percent</t>
        </is>
      </c>
      <c r="E1044" t="inlineStr">
        <is>
          <t>Original</t>
        </is>
      </c>
      <c r="F1044" t="inlineStr">
        <is>
          <t>640106.xlsx</t>
        </is>
      </c>
      <c r="G1044" t="inlineStr">
        <is>
          <t>2025-04</t>
        </is>
      </c>
      <c r="H1044" t="inlineStr">
        <is>
          <t>2026-07</t>
        </is>
      </c>
      <c r="OP1044" s="2">
        <v>3.1</v>
      </c>
      <c r="OQ1044" s="2">
        <v>2.7</v>
      </c>
      <c r="OR1044" s="2">
        <v>2.2</v>
      </c>
      <c r="OS1044" s="2">
        <v>2.9</v>
      </c>
      <c r="OT1044" s="2">
        <v>2.9</v>
      </c>
      <c r="OU1044" s="2">
        <v>3</v>
      </c>
      <c r="OV1044" s="2">
        <v>3.3</v>
      </c>
      <c r="OW1044" s="2">
        <v>3.1</v>
      </c>
      <c r="OX1044" s="2">
        <v>3.6</v>
      </c>
      <c r="PC1044" s="2">
        <v>3.5</v>
      </c>
      <c r="PD1044" s="2">
        <v>3.5</v>
      </c>
      <c r="PE1044" s="2">
        <v>3.4</v>
      </c>
      <c r="PF1044" s="2">
        <v>3.3</v>
      </c>
      <c r="PG1044" s="2">
        <v>3.5</v>
      </c>
      <c r="PH1044" s="2">
        <v>3.7</v>
      </c>
      <c r="PI1044" s="2">
        <v>3.6</v>
      </c>
    </row>
    <row r="1045">
      <c r="A1045" t="inlineStr">
        <is>
          <t>A130389934J</t>
        </is>
      </c>
      <c r="B1045" t="inlineStr">
        <is>
          <t>Percentage Change from Corresponding Month of Previous Year ;  All groups CPI excluding 'volatile items' ;  Australia ;</t>
        </is>
      </c>
      <c r="C1045" t="inlineStr">
        <is>
          <t>Month</t>
        </is>
      </c>
      <c r="D1045" t="inlineStr">
        <is>
          <t>Percent</t>
        </is>
      </c>
      <c r="E1045" t="inlineStr">
        <is>
          <t>Original</t>
        </is>
      </c>
      <c r="F1045" t="inlineStr">
        <is>
          <t>640106.xlsx</t>
        </is>
      </c>
      <c r="G1045" t="inlineStr">
        <is>
          <t>2025-04</t>
        </is>
      </c>
      <c r="H1045" t="inlineStr">
        <is>
          <t>2026-07</t>
        </is>
      </c>
      <c r="OP1045" s="2">
        <v>2.9</v>
      </c>
      <c r="OQ1045" s="2">
        <v>2.5</v>
      </c>
      <c r="OR1045" s="2">
        <v>2.2</v>
      </c>
      <c r="OS1045" s="2">
        <v>3.2</v>
      </c>
      <c r="OT1045" s="2">
        <v>3.4</v>
      </c>
      <c r="OU1045" s="2">
        <v>3.7</v>
      </c>
      <c r="OV1045" s="2">
        <v>3.9</v>
      </c>
      <c r="OW1045" s="2">
        <v>3.5</v>
      </c>
      <c r="OX1045" s="2">
        <v>3.9</v>
      </c>
      <c r="PC1045" s="2">
        <v>4.1</v>
      </c>
      <c r="PD1045" s="2">
        <v>4.2</v>
      </c>
      <c r="PE1045" s="2">
        <v>3.9</v>
      </c>
      <c r="PF1045" s="2">
        <v>3.8</v>
      </c>
      <c r="PG1045" s="2">
        <v>3.9</v>
      </c>
      <c r="PH1045" s="2">
        <v>4.2</v>
      </c>
      <c r="PI1045" s="2">
        <v>3.7</v>
      </c>
    </row>
    <row r="1046">
      <c r="A1046" t="inlineStr">
        <is>
          <t>A130392951V</t>
        </is>
      </c>
      <c r="B1046" t="inlineStr">
        <is>
          <t>Percentage Change from Corresponding Month of Previous Year ;  Non-Discretionary ;  Australia ;</t>
        </is>
      </c>
      <c r="C1046" t="inlineStr">
        <is>
          <t>Month</t>
        </is>
      </c>
      <c r="D1046" t="inlineStr">
        <is>
          <t>Percent</t>
        </is>
      </c>
      <c r="E1046" t="inlineStr">
        <is>
          <t>Original</t>
        </is>
      </c>
      <c r="F1046" t="inlineStr">
        <is>
          <t>640106.xlsx</t>
        </is>
      </c>
      <c r="G1046" t="inlineStr">
        <is>
          <t>2025-04</t>
        </is>
      </c>
      <c r="H1046" t="inlineStr">
        <is>
          <t>2026-07</t>
        </is>
      </c>
      <c r="OP1046" s="2">
        <v>2</v>
      </c>
      <c r="OQ1046" s="2">
        <v>1.9</v>
      </c>
      <c r="OR1046" s="2">
        <v>1.9</v>
      </c>
      <c r="OS1046" s="2">
        <v>3</v>
      </c>
      <c r="OT1046" s="2">
        <v>3.4</v>
      </c>
      <c r="OU1046" s="2">
        <v>4.1</v>
      </c>
      <c r="OV1046" s="2">
        <v>4.3</v>
      </c>
      <c r="OW1046" s="2">
        <v>4.1</v>
      </c>
      <c r="OX1046" s="2">
        <v>3.9</v>
      </c>
      <c r="PC1046" s="2">
        <v>4.1</v>
      </c>
      <c r="PD1046" s="2">
        <v>4</v>
      </c>
      <c r="PE1046" s="2">
        <v>5.5</v>
      </c>
      <c r="PF1046" s="2">
        <v>5.1</v>
      </c>
      <c r="PG1046" s="2">
        <v>4.7</v>
      </c>
      <c r="PH1046" s="2">
        <v>4</v>
      </c>
      <c r="PI1046" s="2">
        <v>3.7</v>
      </c>
    </row>
    <row r="1047">
      <c r="A1047" t="inlineStr">
        <is>
          <t>A130392930J</t>
        </is>
      </c>
      <c r="B1047" t="inlineStr">
        <is>
          <t>Percentage Change from Corresponding Month of Previous Year ;  Discretionary ;  Australia ;</t>
        </is>
      </c>
      <c r="C1047" t="inlineStr">
        <is>
          <t>Month</t>
        </is>
      </c>
      <c r="D1047" t="inlineStr">
        <is>
          <t>Percent</t>
        </is>
      </c>
      <c r="E1047" t="inlineStr">
        <is>
          <t>Original</t>
        </is>
      </c>
      <c r="F1047" t="inlineStr">
        <is>
          <t>640106.xlsx</t>
        </is>
      </c>
      <c r="G1047" t="inlineStr">
        <is>
          <t>2025-04</t>
        </is>
      </c>
      <c r="H1047" t="inlineStr">
        <is>
          <t>2026-07</t>
        </is>
      </c>
      <c r="OP1047" s="2">
        <v>2.9</v>
      </c>
      <c r="OQ1047" s="2">
        <v>2.4</v>
      </c>
      <c r="OR1047" s="2">
        <v>1.8</v>
      </c>
      <c r="OS1047" s="2">
        <v>2.9</v>
      </c>
      <c r="OT1047" s="2">
        <v>2.8</v>
      </c>
      <c r="OU1047" s="2">
        <v>2.8</v>
      </c>
      <c r="OV1047" s="2">
        <v>3.2</v>
      </c>
      <c r="OW1047" s="2">
        <v>2.5</v>
      </c>
      <c r="OX1047" s="2">
        <v>3.5</v>
      </c>
      <c r="PC1047" s="2">
        <v>3.5</v>
      </c>
      <c r="PD1047" s="2">
        <v>3.4</v>
      </c>
      <c r="PE1047" s="2">
        <v>3.2</v>
      </c>
      <c r="PF1047" s="2">
        <v>2.9</v>
      </c>
      <c r="PG1047" s="2">
        <v>2.9</v>
      </c>
      <c r="PH1047" s="2">
        <v>3.3</v>
      </c>
      <c r="PI1047" s="2">
        <v>3.1</v>
      </c>
    </row>
    <row r="1048">
      <c r="A1048" t="inlineStr">
        <is>
          <t>A130394267K</t>
        </is>
      </c>
      <c r="B1048" t="inlineStr">
        <is>
          <t>Percentage Change from Corresponding Month of Previous Year ;  Discretionary excluding tobacco ;  Australia ;</t>
        </is>
      </c>
      <c r="C1048" t="inlineStr">
        <is>
          <t>Month</t>
        </is>
      </c>
      <c r="D1048" t="inlineStr">
        <is>
          <t>Percent</t>
        </is>
      </c>
      <c r="E1048" t="inlineStr">
        <is>
          <t>Original</t>
        </is>
      </c>
      <c r="F1048" t="inlineStr">
        <is>
          <t>640106.xlsx</t>
        </is>
      </c>
      <c r="G1048" t="inlineStr">
        <is>
          <t>2025-04</t>
        </is>
      </c>
      <c r="H1048" t="inlineStr">
        <is>
          <t>2026-07</t>
        </is>
      </c>
      <c r="OP1048" s="2">
        <v>2.4</v>
      </c>
      <c r="OQ1048" s="2">
        <v>1.9</v>
      </c>
      <c r="OR1048" s="2">
        <v>1.3</v>
      </c>
      <c r="OS1048" s="2">
        <v>2.4</v>
      </c>
      <c r="OT1048" s="2">
        <v>2.3</v>
      </c>
      <c r="OU1048" s="2">
        <v>2.3</v>
      </c>
      <c r="OV1048" s="2">
        <v>2.8</v>
      </c>
      <c r="OW1048" s="2">
        <v>2.1</v>
      </c>
      <c r="OX1048" s="2">
        <v>3.1</v>
      </c>
      <c r="PC1048" s="2">
        <v>3.1</v>
      </c>
      <c r="PD1048" s="2">
        <v>3</v>
      </c>
      <c r="PE1048" s="2">
        <v>2.8</v>
      </c>
      <c r="PF1048" s="2">
        <v>2.6</v>
      </c>
      <c r="PG1048" s="2">
        <v>2.5</v>
      </c>
      <c r="PH1048" s="2">
        <v>3</v>
      </c>
      <c r="PI1048" s="2">
        <v>2.7</v>
      </c>
    </row>
    <row r="1049">
      <c r="A1049" t="inlineStr">
        <is>
          <t>A130393722J</t>
        </is>
      </c>
      <c r="B1049" t="inlineStr">
        <is>
          <t>Percentage Change from Previous Period ;  All groups CPI ;  Australia ;</t>
        </is>
      </c>
      <c r="C1049" t="inlineStr">
        <is>
          <t>Month</t>
        </is>
      </c>
      <c r="D1049" t="inlineStr">
        <is>
          <t>Percent</t>
        </is>
      </c>
      <c r="E1049" t="inlineStr">
        <is>
          <t>Original</t>
        </is>
      </c>
      <c r="F1049" t="inlineStr">
        <is>
          <t>640106.xlsx</t>
        </is>
      </c>
      <c r="G1049" t="inlineStr">
        <is>
          <t>2024-05</t>
        </is>
      </c>
      <c r="H1049" t="inlineStr">
        <is>
          <t>2026-07</t>
        </is>
      </c>
      <c r="OA1049" s="2">
        <v>-0.2</v>
      </c>
      <c r="OB1049" s="2">
        <v>0.4</v>
      </c>
      <c r="OC1049" s="2">
        <v>0.3</v>
      </c>
      <c r="OD1049" s="2">
        <v>-0.3</v>
      </c>
      <c r="OE1049" s="2">
        <v>0.1</v>
      </c>
      <c r="OF1049" s="2">
        <v>-0.2</v>
      </c>
      <c r="OG1049" s="2">
        <v>0.4</v>
      </c>
      <c r="OH1049" s="2">
        <v>0.7</v>
      </c>
      <c r="OM1049" s="2">
        <v>0.3</v>
      </c>
      <c r="ON1049" s="2">
        <v>0.1</v>
      </c>
      <c r="OO1049" s="2">
        <v>0.3</v>
      </c>
      <c r="OP1049" s="2">
        <v>0.7</v>
      </c>
      <c r="OQ1049" s="2">
        <v>-0.5</v>
      </c>
      <c r="OR1049" s="2">
        <v>0.1</v>
      </c>
      <c r="OS1049" s="2">
        <v>1.3</v>
      </c>
      <c r="OT1049" s="2">
        <v>-0.1</v>
      </c>
      <c r="OU1049" s="2">
        <v>0.5</v>
      </c>
      <c r="OV1049" s="2">
        <v>0</v>
      </c>
      <c r="OW1049" s="2">
        <v>0</v>
      </c>
      <c r="OX1049" s="2">
        <v>1</v>
      </c>
      <c r="PC1049" s="2">
        <v>0.4</v>
      </c>
      <c r="PD1049" s="2">
        <v>0</v>
      </c>
      <c r="PE1049" s="2">
        <v>1.1</v>
      </c>
      <c r="PF1049" s="2">
        <v>0.4</v>
      </c>
      <c r="PG1049" s="2">
        <v>-0.7</v>
      </c>
      <c r="PH1049" s="2">
        <v>-0.1</v>
      </c>
      <c r="PI1049" s="2">
        <v>1</v>
      </c>
    </row>
    <row r="1050">
      <c r="A1050" t="inlineStr">
        <is>
          <t>A130607784C</t>
        </is>
      </c>
      <c r="B1050" t="inlineStr">
        <is>
          <t>Percentage Change from Previous Period ;  All groups CPI, seasonally adjusted ;  Australia ;</t>
        </is>
      </c>
      <c r="C1050" t="inlineStr">
        <is>
          <t>Month</t>
        </is>
      </c>
      <c r="D1050" t="inlineStr">
        <is>
          <t>Percent</t>
        </is>
      </c>
      <c r="E1050" t="inlineStr">
        <is>
          <t>Seasonally Adjusted</t>
        </is>
      </c>
      <c r="F1050" t="inlineStr">
        <is>
          <t>640106.xlsx</t>
        </is>
      </c>
      <c r="G1050" t="inlineStr">
        <is>
          <t>2024-05</t>
        </is>
      </c>
      <c r="H1050" t="inlineStr">
        <is>
          <t>2026-07</t>
        </is>
      </c>
      <c r="OA1050" s="2">
        <v>0.3</v>
      </c>
      <c r="OB1050" s="2">
        <v>0.4</v>
      </c>
      <c r="OC1050" s="2">
        <v>-0.1</v>
      </c>
      <c r="OD1050" s="2">
        <v>0</v>
      </c>
      <c r="OE1050" s="2">
        <v>-0.1</v>
      </c>
      <c r="OF1050" s="2">
        <v>0</v>
      </c>
      <c r="OG1050" s="2">
        <v>0.7</v>
      </c>
      <c r="OH1050" s="2">
        <v>0</v>
      </c>
      <c r="OM1050" s="2">
        <v>0.5</v>
      </c>
      <c r="ON1050" s="2">
        <v>0.2</v>
      </c>
      <c r="OO1050" s="2">
        <v>0.3</v>
      </c>
      <c r="OP1050" s="2">
        <v>0.3</v>
      </c>
      <c r="OQ1050" s="2">
        <v>0</v>
      </c>
      <c r="OR1050" s="2">
        <v>0.2</v>
      </c>
      <c r="OS1050" s="2">
        <v>0.9</v>
      </c>
      <c r="OT1050" s="2">
        <v>0.2</v>
      </c>
      <c r="OU1050" s="2">
        <v>0.3</v>
      </c>
      <c r="OV1050" s="2">
        <v>0.2</v>
      </c>
      <c r="OW1050" s="2">
        <v>0.3</v>
      </c>
      <c r="OX1050" s="2">
        <v>0.2</v>
      </c>
      <c r="PC1050" s="2">
        <v>0.6</v>
      </c>
      <c r="PD1050" s="2">
        <v>0.2</v>
      </c>
      <c r="PE1050" s="2">
        <v>1</v>
      </c>
      <c r="PF1050" s="2">
        <v>-0.1</v>
      </c>
      <c r="PG1050" s="2">
        <v>-0.1</v>
      </c>
      <c r="PH1050" s="2">
        <v>0</v>
      </c>
      <c r="PI1050" s="2">
        <v>0.6</v>
      </c>
    </row>
    <row r="1051">
      <c r="A1051" t="inlineStr">
        <is>
          <t>A130400383T</t>
        </is>
      </c>
      <c r="B1051" t="inlineStr">
        <is>
          <t>Percentage Change from Previous Period ;  Trimmed Mean ;  Australia ;</t>
        </is>
      </c>
      <c r="C1051" t="inlineStr">
        <is>
          <t>Month</t>
        </is>
      </c>
      <c r="D1051" t="inlineStr">
        <is>
          <t>Percent</t>
        </is>
      </c>
      <c r="E1051" t="inlineStr">
        <is>
          <t>Seasonally Adjusted</t>
        </is>
      </c>
      <c r="F1051" t="inlineStr">
        <is>
          <t>640106.xlsx</t>
        </is>
      </c>
      <c r="G1051" t="inlineStr">
        <is>
          <t>2024-05</t>
        </is>
      </c>
      <c r="H1051" t="inlineStr">
        <is>
          <t>2026-07</t>
        </is>
      </c>
      <c r="OA1051" s="2">
        <v>0.4</v>
      </c>
      <c r="OB1051" s="2">
        <v>0.4</v>
      </c>
      <c r="OC1051" s="2">
        <v>0.3</v>
      </c>
      <c r="OD1051" s="2">
        <v>0.3</v>
      </c>
      <c r="OE1051" s="2">
        <v>0.1</v>
      </c>
      <c r="OF1051" s="2">
        <v>0.3</v>
      </c>
      <c r="OG1051" s="2">
        <v>0.3</v>
      </c>
      <c r="OH1051" s="2">
        <v>0.2</v>
      </c>
      <c r="OM1051" s="2">
        <v>0.3</v>
      </c>
      <c r="ON1051" s="2">
        <v>0.3</v>
      </c>
      <c r="OO1051" s="2">
        <v>0.2</v>
      </c>
      <c r="OP1051" s="2">
        <v>0.3</v>
      </c>
      <c r="OQ1051" s="2">
        <v>0.2</v>
      </c>
      <c r="OR1051" s="2">
        <v>0.2</v>
      </c>
      <c r="OS1051" s="2">
        <v>0.5</v>
      </c>
      <c r="OT1051" s="2">
        <v>0.3</v>
      </c>
      <c r="OU1051" s="2">
        <v>0.3</v>
      </c>
      <c r="OV1051" s="2">
        <v>0.3</v>
      </c>
      <c r="OW1051" s="2">
        <v>0.2</v>
      </c>
      <c r="OX1051" s="2">
        <v>0.2</v>
      </c>
      <c r="PC1051" s="2">
        <v>0.3</v>
      </c>
      <c r="PD1051" s="2">
        <v>0.2</v>
      </c>
      <c r="PE1051" s="2">
        <v>0.3</v>
      </c>
      <c r="PF1051" s="2">
        <v>0.3</v>
      </c>
      <c r="PG1051" s="2">
        <v>0.4</v>
      </c>
      <c r="PH1051" s="2">
        <v>0.3</v>
      </c>
      <c r="PI1051" s="2">
        <v>0.5</v>
      </c>
    </row>
    <row r="1052">
      <c r="A1052" t="inlineStr">
        <is>
          <t>A130400614R</t>
        </is>
      </c>
      <c r="B1052" t="inlineStr">
        <is>
          <t>Percentage Change from Previous Period ;  Weighted Median ;  Australia ;</t>
        </is>
      </c>
      <c r="C1052" t="inlineStr">
        <is>
          <t>Month</t>
        </is>
      </c>
      <c r="D1052" t="inlineStr">
        <is>
          <t>Percent</t>
        </is>
      </c>
      <c r="E1052" t="inlineStr">
        <is>
          <t>Seasonally Adjusted</t>
        </is>
      </c>
      <c r="F1052" t="inlineStr">
        <is>
          <t>640106.xlsx</t>
        </is>
      </c>
      <c r="G1052" t="inlineStr">
        <is>
          <t>2024-05</t>
        </is>
      </c>
      <c r="H1052" t="inlineStr">
        <is>
          <t>2026-07</t>
        </is>
      </c>
      <c r="OA1052" s="2">
        <v>0.4</v>
      </c>
      <c r="OB1052" s="2">
        <v>0.4</v>
      </c>
      <c r="OC1052" s="2">
        <v>0.3</v>
      </c>
      <c r="OD1052" s="2">
        <v>0.3</v>
      </c>
      <c r="OE1052" s="2">
        <v>0.2</v>
      </c>
      <c r="OF1052" s="2">
        <v>0.2</v>
      </c>
      <c r="OG1052" s="2">
        <v>0.4</v>
      </c>
      <c r="OH1052" s="2">
        <v>0.2</v>
      </c>
      <c r="OM1052" s="2">
        <v>0.2</v>
      </c>
      <c r="ON1052" s="2">
        <v>0.3</v>
      </c>
      <c r="OO1052" s="2">
        <v>0.2</v>
      </c>
      <c r="OP1052" s="2">
        <v>0.3</v>
      </c>
      <c r="OQ1052" s="2">
        <v>0.2</v>
      </c>
      <c r="OR1052" s="2">
        <v>0.2</v>
      </c>
      <c r="OS1052" s="2">
        <v>0.4</v>
      </c>
      <c r="OT1052" s="2">
        <v>0.3</v>
      </c>
      <c r="OU1052" s="2">
        <v>0.4</v>
      </c>
      <c r="OV1052" s="2">
        <v>0.3</v>
      </c>
      <c r="OW1052" s="2">
        <v>0.3</v>
      </c>
      <c r="OX1052" s="2">
        <v>0.2</v>
      </c>
      <c r="PC1052" s="2">
        <v>0.3</v>
      </c>
      <c r="PD1052" s="2">
        <v>0.2</v>
      </c>
      <c r="PE1052" s="2">
        <v>0.2</v>
      </c>
      <c r="PF1052" s="2">
        <v>0.3</v>
      </c>
      <c r="PG1052" s="2">
        <v>0.4</v>
      </c>
      <c r="PH1052" s="2">
        <v>0.3</v>
      </c>
      <c r="PI1052" s="2">
        <v>0.4</v>
      </c>
    </row>
    <row r="1053">
      <c r="A1053" t="inlineStr">
        <is>
          <t>A130392364A</t>
        </is>
      </c>
      <c r="B1053" t="inlineStr">
        <is>
          <t>Percentage Change from Previous Period ;  Tradables ;  Australia ;</t>
        </is>
      </c>
      <c r="C1053" t="inlineStr">
        <is>
          <t>Month</t>
        </is>
      </c>
      <c r="D1053" t="inlineStr">
        <is>
          <t>Percent</t>
        </is>
      </c>
      <c r="E1053" t="inlineStr">
        <is>
          <t>Original</t>
        </is>
      </c>
      <c r="F1053" t="inlineStr">
        <is>
          <t>640106.xlsx</t>
        </is>
      </c>
      <c r="G1053" t="inlineStr">
        <is>
          <t>2024-05</t>
        </is>
      </c>
      <c r="H1053" t="inlineStr">
        <is>
          <t>2026-07</t>
        </is>
      </c>
      <c r="OA1053" s="2">
        <v>-0.6</v>
      </c>
      <c r="OB1053" s="2">
        <v>0.2</v>
      </c>
      <c r="OC1053" s="2">
        <v>0.3</v>
      </c>
      <c r="OD1053" s="2">
        <v>-0.1</v>
      </c>
      <c r="OE1053" s="2">
        <v>-0.5</v>
      </c>
      <c r="OF1053" s="2">
        <v>-0.6</v>
      </c>
      <c r="OG1053" s="2">
        <v>-0.2</v>
      </c>
      <c r="OH1053" s="2">
        <v>1.6</v>
      </c>
      <c r="OM1053" s="2">
        <v>-1</v>
      </c>
      <c r="ON1053" s="2">
        <v>0.2</v>
      </c>
      <c r="OO1053" s="2">
        <v>-0.2</v>
      </c>
      <c r="OP1053" s="2">
        <v>1.1</v>
      </c>
      <c r="OQ1053" s="2">
        <v>-0.8</v>
      </c>
      <c r="OR1053" s="2">
        <v>0.2</v>
      </c>
      <c r="OS1053" s="2">
        <v>1.4</v>
      </c>
      <c r="OT1053" s="2">
        <v>0.1</v>
      </c>
      <c r="OU1053" s="2">
        <v>0.1</v>
      </c>
      <c r="OV1053" s="2">
        <v>-0.4</v>
      </c>
      <c r="OW1053" s="2">
        <v>-0.3</v>
      </c>
      <c r="OX1053" s="2">
        <v>1.9</v>
      </c>
      <c r="PC1053" s="2">
        <v>-1.2</v>
      </c>
      <c r="PD1053" s="2">
        <v>-0.3</v>
      </c>
      <c r="PE1053" s="2">
        <v>3</v>
      </c>
      <c r="PF1053" s="2">
        <v>-0.2</v>
      </c>
      <c r="PG1053" s="2">
        <v>-1.5</v>
      </c>
      <c r="PH1053" s="2">
        <v>-0.8</v>
      </c>
      <c r="PI1053" s="2">
        <v>1.5</v>
      </c>
    </row>
    <row r="1054">
      <c r="A1054" t="inlineStr">
        <is>
          <t>A130395031J</t>
        </is>
      </c>
      <c r="B1054" t="inlineStr">
        <is>
          <t>Percentage Change from Previous Period ;  Non-tradables ;  Australia ;</t>
        </is>
      </c>
      <c r="C1054" t="inlineStr">
        <is>
          <t>Month</t>
        </is>
      </c>
      <c r="D1054" t="inlineStr">
        <is>
          <t>Percent</t>
        </is>
      </c>
      <c r="E1054" t="inlineStr">
        <is>
          <t>Original</t>
        </is>
      </c>
      <c r="F1054" t="inlineStr">
        <is>
          <t>640106.xlsx</t>
        </is>
      </c>
      <c r="G1054" t="inlineStr">
        <is>
          <t>2024-05</t>
        </is>
      </c>
      <c r="H1054" t="inlineStr">
        <is>
          <t>2026-07</t>
        </is>
      </c>
      <c r="OA1054" s="2">
        <v>0</v>
      </c>
      <c r="OB1054" s="2">
        <v>0.5</v>
      </c>
      <c r="OC1054" s="2">
        <v>0.2</v>
      </c>
      <c r="OD1054" s="2">
        <v>-0.4</v>
      </c>
      <c r="OE1054" s="2">
        <v>0.4</v>
      </c>
      <c r="OF1054" s="2">
        <v>-0.1</v>
      </c>
      <c r="OG1054" s="2">
        <v>0.7</v>
      </c>
      <c r="OH1054" s="2">
        <v>0.2</v>
      </c>
      <c r="OM1054" s="2">
        <v>0.9</v>
      </c>
      <c r="ON1054" s="2">
        <v>0</v>
      </c>
      <c r="OO1054" s="2">
        <v>0.5</v>
      </c>
      <c r="OP1054" s="2">
        <v>0.6</v>
      </c>
      <c r="OQ1054" s="2">
        <v>-0.3</v>
      </c>
      <c r="OR1054" s="2">
        <v>0.1</v>
      </c>
      <c r="OS1054" s="2">
        <v>1.3</v>
      </c>
      <c r="OT1054" s="2">
        <v>-0.2</v>
      </c>
      <c r="OU1054" s="2">
        <v>0.6</v>
      </c>
      <c r="OV1054" s="2">
        <v>0.2</v>
      </c>
      <c r="OW1054" s="2">
        <v>0.2</v>
      </c>
      <c r="OX1054" s="2">
        <v>0.5</v>
      </c>
      <c r="PC1054" s="2">
        <v>1.2</v>
      </c>
      <c r="PD1054" s="2">
        <v>0.1</v>
      </c>
      <c r="PE1054" s="2">
        <v>0.2</v>
      </c>
      <c r="PF1054" s="2">
        <v>0.6</v>
      </c>
      <c r="PG1054" s="2">
        <v>-0.3</v>
      </c>
      <c r="PH1054" s="2">
        <v>0.3</v>
      </c>
      <c r="PI1054" s="2">
        <v>0.8</v>
      </c>
    </row>
    <row r="1055">
      <c r="A1055" t="inlineStr">
        <is>
          <t>A130397426L</t>
        </is>
      </c>
      <c r="B1055" t="inlineStr">
        <is>
          <t>Percentage Change from Previous Period ;  All groups, goods component ;  Australia ;</t>
        </is>
      </c>
      <c r="C1055" t="inlineStr">
        <is>
          <t>Month</t>
        </is>
      </c>
      <c r="D1055" t="inlineStr">
        <is>
          <t>Percent</t>
        </is>
      </c>
      <c r="E1055" t="inlineStr">
        <is>
          <t>Original</t>
        </is>
      </c>
      <c r="F1055" t="inlineStr">
        <is>
          <t>640106.xlsx</t>
        </is>
      </c>
      <c r="G1055" t="inlineStr">
        <is>
          <t>2024-05</t>
        </is>
      </c>
      <c r="H1055" t="inlineStr">
        <is>
          <t>2026-07</t>
        </is>
      </c>
      <c r="OA1055" s="2">
        <v>-0.3</v>
      </c>
      <c r="OB1055" s="2">
        <v>-0.2</v>
      </c>
      <c r="OC1055" s="2">
        <v>0.4</v>
      </c>
      <c r="OD1055" s="2">
        <v>-0.6</v>
      </c>
      <c r="OE1055" s="2">
        <v>-0.6</v>
      </c>
      <c r="OF1055" s="2">
        <v>-0.2</v>
      </c>
      <c r="OG1055" s="2">
        <v>0.6</v>
      </c>
      <c r="OH1055" s="2">
        <v>-0.2</v>
      </c>
      <c r="OM1055" s="2">
        <v>0.9</v>
      </c>
      <c r="ON1055" s="2">
        <v>0.4</v>
      </c>
      <c r="OO1055" s="2">
        <v>0.3</v>
      </c>
      <c r="OP1055" s="2">
        <v>0.4</v>
      </c>
      <c r="OQ1055" s="2">
        <v>-0.2</v>
      </c>
      <c r="OR1055" s="2">
        <v>-0.1</v>
      </c>
      <c r="OS1055" s="2">
        <v>1.6</v>
      </c>
      <c r="OT1055" s="2">
        <v>0</v>
      </c>
      <c r="OU1055" s="2">
        <v>0</v>
      </c>
      <c r="OV1055" s="2">
        <v>-0.1</v>
      </c>
      <c r="OW1055" s="2">
        <v>0.2</v>
      </c>
      <c r="OX1055" s="2">
        <v>0</v>
      </c>
      <c r="PC1055" s="2">
        <v>1.3</v>
      </c>
      <c r="PD1055" s="2">
        <v>0.1</v>
      </c>
      <c r="PE1055" s="2">
        <v>2.1</v>
      </c>
      <c r="PF1055" s="2">
        <v>-0.3</v>
      </c>
      <c r="PG1055" s="2">
        <v>-0.7</v>
      </c>
      <c r="PH1055" s="2">
        <v>-0.8</v>
      </c>
      <c r="PI1055" s="2">
        <v>1.3</v>
      </c>
    </row>
    <row r="1056">
      <c r="A1056" t="inlineStr">
        <is>
          <t>A130396116L</t>
        </is>
      </c>
      <c r="B1056" t="inlineStr">
        <is>
          <t>Percentage Change from Previous Period ;  All groups, services component ;  Australia ;</t>
        </is>
      </c>
      <c r="C1056" t="inlineStr">
        <is>
          <t>Month</t>
        </is>
      </c>
      <c r="D1056" t="inlineStr">
        <is>
          <t>Percent</t>
        </is>
      </c>
      <c r="E1056" t="inlineStr">
        <is>
          <t>Original</t>
        </is>
      </c>
      <c r="F1056" t="inlineStr">
        <is>
          <t>640106.xlsx</t>
        </is>
      </c>
      <c r="G1056" t="inlineStr">
        <is>
          <t>2024-05</t>
        </is>
      </c>
      <c r="H1056" t="inlineStr">
        <is>
          <t>2026-07</t>
        </is>
      </c>
      <c r="OA1056" s="2">
        <v>-0.2</v>
      </c>
      <c r="OB1056" s="2">
        <v>1.1</v>
      </c>
      <c r="OC1056" s="2">
        <v>0.1</v>
      </c>
      <c r="OD1056" s="2">
        <v>0.1</v>
      </c>
      <c r="OE1056" s="2">
        <v>0.8</v>
      </c>
      <c r="OF1056" s="2">
        <v>-0.3</v>
      </c>
      <c r="OG1056" s="2">
        <v>0.1</v>
      </c>
      <c r="OH1056" s="2">
        <v>1.6</v>
      </c>
      <c r="OM1056" s="2">
        <v>-0.4</v>
      </c>
      <c r="ON1056" s="2">
        <v>-0.3</v>
      </c>
      <c r="OO1056" s="2">
        <v>0.3</v>
      </c>
      <c r="OP1056" s="2">
        <v>1.1</v>
      </c>
      <c r="OQ1056" s="2">
        <v>-0.9</v>
      </c>
      <c r="OR1056" s="2">
        <v>0.4</v>
      </c>
      <c r="OS1056" s="2">
        <v>1</v>
      </c>
      <c r="OT1056" s="2">
        <v>-0.2</v>
      </c>
      <c r="OU1056" s="2">
        <v>0.9</v>
      </c>
      <c r="OV1056" s="2">
        <v>0.1</v>
      </c>
      <c r="OW1056" s="2">
        <v>-0.2</v>
      </c>
      <c r="OX1056" s="2">
        <v>2.1</v>
      </c>
      <c r="PC1056" s="2">
        <v>-0.7</v>
      </c>
      <c r="PD1056" s="2">
        <v>-0.2</v>
      </c>
      <c r="PE1056" s="2">
        <v>0</v>
      </c>
      <c r="PF1056" s="2">
        <v>1</v>
      </c>
      <c r="PG1056" s="2">
        <v>-0.7</v>
      </c>
      <c r="PH1056" s="2">
        <v>0.8</v>
      </c>
      <c r="PI1056" s="2">
        <v>0.7</v>
      </c>
    </row>
    <row r="1057">
      <c r="A1057" t="inlineStr">
        <is>
          <t>A130395059K</t>
        </is>
      </c>
      <c r="B1057" t="inlineStr">
        <is>
          <t>Percentage Change from Previous Period ;  Market goods and services excluding 'volatile items' - Goods ;  Australia ;</t>
        </is>
      </c>
      <c r="C1057" t="inlineStr">
        <is>
          <t>Month</t>
        </is>
      </c>
      <c r="D1057" t="inlineStr">
        <is>
          <t>Percent</t>
        </is>
      </c>
      <c r="E1057" t="inlineStr">
        <is>
          <t>Original</t>
        </is>
      </c>
      <c r="F1057" t="inlineStr">
        <is>
          <t>640106.xlsx</t>
        </is>
      </c>
      <c r="G1057" t="inlineStr">
        <is>
          <t>2024-05</t>
        </is>
      </c>
      <c r="H1057" t="inlineStr">
        <is>
          <t>2026-07</t>
        </is>
      </c>
      <c r="OA1057" s="2">
        <v>-0.1</v>
      </c>
      <c r="OB1057" s="2">
        <v>-0.5</v>
      </c>
      <c r="OC1057" s="2">
        <v>0.9</v>
      </c>
      <c r="OD1057" s="2">
        <v>0.3</v>
      </c>
      <c r="OE1057" s="2">
        <v>0</v>
      </c>
      <c r="OF1057" s="2">
        <v>0.3</v>
      </c>
      <c r="OG1057" s="2">
        <v>-0.1</v>
      </c>
      <c r="OH1057" s="2">
        <v>-0.3</v>
      </c>
      <c r="OM1057" s="2">
        <v>0.5</v>
      </c>
      <c r="ON1057" s="2">
        <v>0.6</v>
      </c>
      <c r="OO1057" s="2">
        <v>-0.2</v>
      </c>
      <c r="OP1057" s="2">
        <v>0.5</v>
      </c>
      <c r="OQ1057" s="2">
        <v>0</v>
      </c>
      <c r="OR1057" s="2">
        <v>-0.5</v>
      </c>
      <c r="OS1057" s="2">
        <v>1.1</v>
      </c>
      <c r="OT1057" s="2">
        <v>0.5</v>
      </c>
      <c r="OU1057" s="2">
        <v>0.2</v>
      </c>
      <c r="OV1057" s="2">
        <v>0.5</v>
      </c>
      <c r="OW1057" s="2">
        <v>-0.4</v>
      </c>
      <c r="OX1057" s="2">
        <v>0</v>
      </c>
      <c r="PC1057" s="2">
        <v>0.7</v>
      </c>
      <c r="PD1057" s="2">
        <v>0.4</v>
      </c>
      <c r="PE1057" s="2">
        <v>0.1</v>
      </c>
      <c r="PF1057" s="2">
        <v>0.4</v>
      </c>
      <c r="PG1057" s="2">
        <v>0.2</v>
      </c>
      <c r="PH1057" s="2">
        <v>-0.3</v>
      </c>
      <c r="PI1057" s="2">
        <v>1.1</v>
      </c>
    </row>
    <row r="1058">
      <c r="A1058" t="inlineStr">
        <is>
          <t>A130396144W</t>
        </is>
      </c>
      <c r="B1058" t="inlineStr">
        <is>
          <t>Percentage Change from Previous Period ;  Market goods and services excluding 'volatile items' - Total ;  Australia ;</t>
        </is>
      </c>
      <c r="C1058" t="inlineStr">
        <is>
          <t>Month</t>
        </is>
      </c>
      <c r="D1058" t="inlineStr">
        <is>
          <t>Percent</t>
        </is>
      </c>
      <c r="E1058" t="inlineStr">
        <is>
          <t>Original</t>
        </is>
      </c>
      <c r="F1058" t="inlineStr">
        <is>
          <t>640106.xlsx</t>
        </is>
      </c>
      <c r="G1058" t="inlineStr">
        <is>
          <t>2024-05</t>
        </is>
      </c>
      <c r="H1058" t="inlineStr">
        <is>
          <t>2026-07</t>
        </is>
      </c>
      <c r="OA1058" s="2">
        <v>-0.1</v>
      </c>
      <c r="OB1058" s="2">
        <v>0.4</v>
      </c>
      <c r="OC1058" s="2">
        <v>0.5</v>
      </c>
      <c r="OD1058" s="2">
        <v>0.1</v>
      </c>
      <c r="OE1058" s="2">
        <v>0.4</v>
      </c>
      <c r="OF1058" s="2">
        <v>0</v>
      </c>
      <c r="OG1058" s="2">
        <v>0</v>
      </c>
      <c r="OH1058" s="2">
        <v>0.8</v>
      </c>
      <c r="OM1058" s="2">
        <v>-0.2</v>
      </c>
      <c r="ON1058" s="2">
        <v>-0.2</v>
      </c>
      <c r="OO1058" s="2">
        <v>0.1</v>
      </c>
      <c r="OP1058" s="2">
        <v>0.8</v>
      </c>
      <c r="OQ1058" s="2">
        <v>-0.5</v>
      </c>
      <c r="OR1058" s="2">
        <v>0</v>
      </c>
      <c r="OS1058" s="2">
        <v>1.2</v>
      </c>
      <c r="OT1058" s="2">
        <v>0.1</v>
      </c>
      <c r="OU1058" s="2">
        <v>0.5</v>
      </c>
      <c r="OV1058" s="2">
        <v>0.3</v>
      </c>
      <c r="OW1058" s="2">
        <v>-0.3</v>
      </c>
      <c r="OX1058" s="2">
        <v>1.4</v>
      </c>
      <c r="PC1058" s="2">
        <v>-0.2</v>
      </c>
      <c r="PD1058" s="2">
        <v>-0.2</v>
      </c>
      <c r="PE1058" s="2">
        <v>0.1</v>
      </c>
      <c r="PF1058" s="2">
        <v>0.7</v>
      </c>
      <c r="PG1058" s="2">
        <v>-0.3</v>
      </c>
      <c r="PH1058" s="2">
        <v>0.3</v>
      </c>
      <c r="PI1058" s="2">
        <v>1</v>
      </c>
    </row>
    <row r="1059">
      <c r="A1059" t="inlineStr">
        <is>
          <t>A130392406L</t>
        </is>
      </c>
      <c r="B1059" t="inlineStr">
        <is>
          <t>Percentage Change from Previous Period ;  Market goods and services excluding 'volatile items' - Services ;  Australia ;</t>
        </is>
      </c>
      <c r="C1059" t="inlineStr">
        <is>
          <t>Month</t>
        </is>
      </c>
      <c r="D1059" t="inlineStr">
        <is>
          <t>Percent</t>
        </is>
      </c>
      <c r="E1059" t="inlineStr">
        <is>
          <t>Original</t>
        </is>
      </c>
      <c r="F1059" t="inlineStr">
        <is>
          <t>640106.xlsx</t>
        </is>
      </c>
      <c r="G1059" t="inlineStr">
        <is>
          <t>2024-05</t>
        </is>
      </c>
      <c r="H1059" t="inlineStr">
        <is>
          <t>2026-07</t>
        </is>
      </c>
      <c r="OA1059" s="2">
        <v>-0.2</v>
      </c>
      <c r="OB1059" s="2">
        <v>1.5</v>
      </c>
      <c r="OC1059" s="2">
        <v>0</v>
      </c>
      <c r="OD1059" s="2">
        <v>0</v>
      </c>
      <c r="OE1059" s="2">
        <v>0.9</v>
      </c>
      <c r="OF1059" s="2">
        <v>-0.3</v>
      </c>
      <c r="OG1059" s="2">
        <v>0.1</v>
      </c>
      <c r="OH1059" s="2">
        <v>2.3</v>
      </c>
      <c r="OM1059" s="2">
        <v>-1</v>
      </c>
      <c r="ON1059" s="2">
        <v>-1.2</v>
      </c>
      <c r="OO1059" s="2">
        <v>0.4</v>
      </c>
      <c r="OP1059" s="2">
        <v>1.2</v>
      </c>
      <c r="OQ1059" s="2">
        <v>-1.2</v>
      </c>
      <c r="OR1059" s="2">
        <v>0.6</v>
      </c>
      <c r="OS1059" s="2">
        <v>1.3</v>
      </c>
      <c r="OT1059" s="2">
        <v>-0.4</v>
      </c>
      <c r="OU1059" s="2">
        <v>1</v>
      </c>
      <c r="OV1059" s="2">
        <v>0.1</v>
      </c>
      <c r="OW1059" s="2">
        <v>-0.2</v>
      </c>
      <c r="OX1059" s="2">
        <v>3.1</v>
      </c>
      <c r="PC1059" s="2">
        <v>-1.3</v>
      </c>
      <c r="PD1059" s="2">
        <v>-1</v>
      </c>
      <c r="PE1059" s="2">
        <v>0</v>
      </c>
      <c r="PF1059" s="2">
        <v>1.1</v>
      </c>
      <c r="PG1059" s="2">
        <v>-1</v>
      </c>
      <c r="PH1059" s="2">
        <v>1</v>
      </c>
      <c r="PI1059" s="2">
        <v>0.9</v>
      </c>
    </row>
    <row r="1060">
      <c r="A1060" t="inlineStr">
        <is>
          <t>A130398644C</t>
        </is>
      </c>
      <c r="B1060" t="inlineStr">
        <is>
          <t>Percentage Change from Previous Period ;  All groups CPI excluding 'volatile items' and holiday travel ;  Australia ;</t>
        </is>
      </c>
      <c r="C1060" t="inlineStr">
        <is>
          <t>Month</t>
        </is>
      </c>
      <c r="D1060" t="inlineStr">
        <is>
          <t>Percent</t>
        </is>
      </c>
      <c r="E1060" t="inlineStr">
        <is>
          <t>Original</t>
        </is>
      </c>
      <c r="F1060" t="inlineStr">
        <is>
          <t>640106.xlsx</t>
        </is>
      </c>
      <c r="G1060" t="inlineStr">
        <is>
          <t>2024-05</t>
        </is>
      </c>
      <c r="H1060" t="inlineStr">
        <is>
          <t>2026-07</t>
        </is>
      </c>
      <c r="OA1060" s="2">
        <v>0.1</v>
      </c>
      <c r="OB1060" s="2">
        <v>-0.1</v>
      </c>
      <c r="OC1060" s="2">
        <v>0.6</v>
      </c>
      <c r="OD1060" s="2">
        <v>-0.1</v>
      </c>
      <c r="OE1060" s="2">
        <v>0</v>
      </c>
      <c r="OF1060" s="2">
        <v>-0.1</v>
      </c>
      <c r="OG1060" s="2">
        <v>0.5</v>
      </c>
      <c r="OH1060" s="2">
        <v>-0.1</v>
      </c>
      <c r="OM1060" s="2">
        <v>0.7</v>
      </c>
      <c r="ON1060" s="2">
        <v>0.6</v>
      </c>
      <c r="OO1060" s="2">
        <v>0.2</v>
      </c>
      <c r="OP1060" s="2">
        <v>0.5</v>
      </c>
      <c r="OQ1060" s="2">
        <v>0.1</v>
      </c>
      <c r="OR1060" s="2">
        <v>-0.2</v>
      </c>
      <c r="OS1060" s="2">
        <v>1.2</v>
      </c>
      <c r="OT1060" s="2">
        <v>0.2</v>
      </c>
      <c r="OU1060" s="2">
        <v>0.3</v>
      </c>
      <c r="OV1060" s="2">
        <v>0.1</v>
      </c>
      <c r="OW1060" s="2">
        <v>0.1</v>
      </c>
      <c r="OX1060" s="2">
        <v>0</v>
      </c>
      <c r="PC1060" s="2">
        <v>1.1</v>
      </c>
      <c r="PD1060" s="2">
        <v>0.6</v>
      </c>
      <c r="PE1060" s="2">
        <v>0.2</v>
      </c>
      <c r="PF1060" s="2">
        <v>0.3</v>
      </c>
      <c r="PG1060" s="2">
        <v>0.2</v>
      </c>
      <c r="PH1060" s="2">
        <v>0</v>
      </c>
      <c r="PI1060" s="2">
        <v>0.8</v>
      </c>
    </row>
    <row r="1061">
      <c r="A1061" t="inlineStr">
        <is>
          <t>A130397650F</t>
        </is>
      </c>
      <c r="B1061" t="inlineStr">
        <is>
          <t>Percentage Change from Previous Period ;  All groups CPI excluding Food and non-alcoholic beverages ;  Australia ;</t>
        </is>
      </c>
      <c r="C1061" t="inlineStr">
        <is>
          <t>Month</t>
        </is>
      </c>
      <c r="D1061" t="inlineStr">
        <is>
          <t>Percent</t>
        </is>
      </c>
      <c r="E1061" t="inlineStr">
        <is>
          <t>Original</t>
        </is>
      </c>
      <c r="F1061" t="inlineStr">
        <is>
          <t>640106.xlsx</t>
        </is>
      </c>
      <c r="G1061" t="inlineStr">
        <is>
          <t>2024-05</t>
        </is>
      </c>
      <c r="H1061" t="inlineStr">
        <is>
          <t>2026-07</t>
        </is>
      </c>
      <c r="OA1061" s="2">
        <v>-0.4</v>
      </c>
      <c r="OB1061" s="2">
        <v>0.5</v>
      </c>
      <c r="OC1061" s="2">
        <v>0.2</v>
      </c>
      <c r="OD1061" s="2">
        <v>-0.4</v>
      </c>
      <c r="OE1061" s="2">
        <v>0.2</v>
      </c>
      <c r="OF1061" s="2">
        <v>-0.3</v>
      </c>
      <c r="OG1061" s="2">
        <v>0.4</v>
      </c>
      <c r="OH1061" s="2">
        <v>0.7</v>
      </c>
      <c r="OM1061" s="2">
        <v>0.2</v>
      </c>
      <c r="ON1061" s="2">
        <v>0.1</v>
      </c>
      <c r="OO1061" s="2">
        <v>0.2</v>
      </c>
      <c r="OP1061" s="2">
        <v>0.8</v>
      </c>
      <c r="OQ1061" s="2">
        <v>-0.6</v>
      </c>
      <c r="OR1061" s="2">
        <v>0.1</v>
      </c>
      <c r="OS1061" s="2">
        <v>1.5</v>
      </c>
      <c r="OT1061" s="2">
        <v>-0.1</v>
      </c>
      <c r="OU1061" s="2">
        <v>0.6</v>
      </c>
      <c r="OV1061" s="2">
        <v>0</v>
      </c>
      <c r="OW1061" s="2">
        <v>-0.1</v>
      </c>
      <c r="OX1061" s="2">
        <v>1.1</v>
      </c>
      <c r="PC1061" s="2">
        <v>0.3</v>
      </c>
      <c r="PD1061" s="2">
        <v>0</v>
      </c>
      <c r="PE1061" s="2">
        <v>1.2</v>
      </c>
      <c r="PF1061" s="2">
        <v>0.4</v>
      </c>
      <c r="PG1061" s="2">
        <v>-1</v>
      </c>
      <c r="PH1061" s="2">
        <v>-0.2</v>
      </c>
      <c r="PI1061" s="2">
        <v>1.2</v>
      </c>
    </row>
    <row r="1062">
      <c r="A1062" t="inlineStr">
        <is>
          <t>A130392665F</t>
        </is>
      </c>
      <c r="B1062" t="inlineStr">
        <is>
          <t>Percentage Change from Previous Period ;  All groups CPI excluding Alcohol and tobacco ;  Australia ;</t>
        </is>
      </c>
      <c r="C1062" t="inlineStr">
        <is>
          <t>Month</t>
        </is>
      </c>
      <c r="D1062" t="inlineStr">
        <is>
          <t>Percent</t>
        </is>
      </c>
      <c r="E1062" t="inlineStr">
        <is>
          <t>Original</t>
        </is>
      </c>
      <c r="F1062" t="inlineStr">
        <is>
          <t>640106.xlsx</t>
        </is>
      </c>
      <c r="G1062" t="inlineStr">
        <is>
          <t>2024-05</t>
        </is>
      </c>
      <c r="H1062" t="inlineStr">
        <is>
          <t>2026-07</t>
        </is>
      </c>
      <c r="OA1062" s="2">
        <v>-0.3</v>
      </c>
      <c r="OB1062" s="2">
        <v>0.4</v>
      </c>
      <c r="OC1062" s="2">
        <v>0.3</v>
      </c>
      <c r="OD1062" s="2">
        <v>-0.4</v>
      </c>
      <c r="OE1062" s="2">
        <v>-0.1</v>
      </c>
      <c r="OF1062" s="2">
        <v>-0.3</v>
      </c>
      <c r="OG1062" s="2">
        <v>0.4</v>
      </c>
      <c r="OH1062" s="2">
        <v>0.8</v>
      </c>
      <c r="OM1062" s="2">
        <v>0.2</v>
      </c>
      <c r="ON1062" s="2">
        <v>0</v>
      </c>
      <c r="OO1062" s="2">
        <v>0.3</v>
      </c>
      <c r="OP1062" s="2">
        <v>0.8</v>
      </c>
      <c r="OQ1062" s="2">
        <v>-0.6</v>
      </c>
      <c r="OR1062" s="2">
        <v>0.2</v>
      </c>
      <c r="OS1062" s="2">
        <v>1.3</v>
      </c>
      <c r="OT1062" s="2">
        <v>-0.1</v>
      </c>
      <c r="OU1062" s="2">
        <v>0.4</v>
      </c>
      <c r="OV1062" s="2">
        <v>0</v>
      </c>
      <c r="OW1062" s="2">
        <v>0</v>
      </c>
      <c r="OX1062" s="2">
        <v>1</v>
      </c>
      <c r="PC1062" s="2">
        <v>0.3</v>
      </c>
      <c r="PD1062" s="2">
        <v>0</v>
      </c>
      <c r="PE1062" s="2">
        <v>1.1</v>
      </c>
      <c r="PF1062" s="2">
        <v>0.4</v>
      </c>
      <c r="PG1062" s="2">
        <v>-0.8</v>
      </c>
      <c r="PH1062" s="2">
        <v>0</v>
      </c>
      <c r="PI1062" s="2">
        <v>1</v>
      </c>
    </row>
    <row r="1063">
      <c r="A1063" t="inlineStr">
        <is>
          <t>A130396368J</t>
        </is>
      </c>
      <c r="B1063" t="inlineStr">
        <is>
          <t>Percentage Change from Previous Period ;  All groups CPI excluding Clothing and footwear ;  Australia ;</t>
        </is>
      </c>
      <c r="C1063" t="inlineStr">
        <is>
          <t>Month</t>
        </is>
      </c>
      <c r="D1063" t="inlineStr">
        <is>
          <t>Percent</t>
        </is>
      </c>
      <c r="E1063" t="inlineStr">
        <is>
          <t>Original</t>
        </is>
      </c>
      <c r="F1063" t="inlineStr">
        <is>
          <t>640106.xlsx</t>
        </is>
      </c>
      <c r="G1063" t="inlineStr">
        <is>
          <t>2024-05</t>
        </is>
      </c>
      <c r="H1063" t="inlineStr">
        <is>
          <t>2026-07</t>
        </is>
      </c>
      <c r="OA1063" s="2">
        <v>-0.1</v>
      </c>
      <c r="OB1063" s="2">
        <v>0.4</v>
      </c>
      <c r="OC1063" s="2">
        <v>0.2</v>
      </c>
      <c r="OD1063" s="2">
        <v>-0.3</v>
      </c>
      <c r="OE1063" s="2">
        <v>0.1</v>
      </c>
      <c r="OF1063" s="2">
        <v>-0.3</v>
      </c>
      <c r="OG1063" s="2">
        <v>0.5</v>
      </c>
      <c r="OH1063" s="2">
        <v>0.7</v>
      </c>
      <c r="OM1063" s="2">
        <v>0.3</v>
      </c>
      <c r="ON1063" s="2">
        <v>0</v>
      </c>
      <c r="OO1063" s="2">
        <v>0.4</v>
      </c>
      <c r="OP1063" s="2">
        <v>0.6</v>
      </c>
      <c r="OQ1063" s="2">
        <v>-0.4</v>
      </c>
      <c r="OR1063" s="2">
        <v>0.2</v>
      </c>
      <c r="OS1063" s="2">
        <v>1.3</v>
      </c>
      <c r="OT1063" s="2">
        <v>-0.1</v>
      </c>
      <c r="OU1063" s="2">
        <v>0.5</v>
      </c>
      <c r="OV1063" s="2">
        <v>-0.1</v>
      </c>
      <c r="OW1063" s="2">
        <v>0.1</v>
      </c>
      <c r="OX1063" s="2">
        <v>1</v>
      </c>
      <c r="PC1063" s="2">
        <v>0.3</v>
      </c>
      <c r="PD1063" s="2">
        <v>-0.1</v>
      </c>
      <c r="PE1063" s="2">
        <v>1.2</v>
      </c>
      <c r="PF1063" s="2">
        <v>0.2</v>
      </c>
      <c r="PG1063" s="2">
        <v>-0.6</v>
      </c>
      <c r="PH1063" s="2">
        <v>0</v>
      </c>
      <c r="PI1063" s="2">
        <v>1</v>
      </c>
    </row>
    <row r="1064">
      <c r="A1064" t="inlineStr">
        <is>
          <t>A130390117F</t>
        </is>
      </c>
      <c r="B1064" t="inlineStr">
        <is>
          <t>Percentage Change from Previous Period ;  All groups CPI excluding Housing ;  Australia ;</t>
        </is>
      </c>
      <c r="C1064" t="inlineStr">
        <is>
          <t>Month</t>
        </is>
      </c>
      <c r="D1064" t="inlineStr">
        <is>
          <t>Percent</t>
        </is>
      </c>
      <c r="E1064" t="inlineStr">
        <is>
          <t>Original</t>
        </is>
      </c>
      <c r="F1064" t="inlineStr">
        <is>
          <t>640106.xlsx</t>
        </is>
      </c>
      <c r="G1064" t="inlineStr">
        <is>
          <t>2024-05</t>
        </is>
      </c>
      <c r="H1064" t="inlineStr">
        <is>
          <t>2026-07</t>
        </is>
      </c>
      <c r="OA1064" s="2">
        <v>-0.4</v>
      </c>
      <c r="OB1064" s="2">
        <v>0.3</v>
      </c>
      <c r="OC1064" s="2">
        <v>0.3</v>
      </c>
      <c r="OD1064" s="2">
        <v>0</v>
      </c>
      <c r="OE1064" s="2">
        <v>0.2</v>
      </c>
      <c r="OF1064" s="2">
        <v>0</v>
      </c>
      <c r="OG1064" s="2">
        <v>0</v>
      </c>
      <c r="OH1064" s="2">
        <v>0.9</v>
      </c>
      <c r="OM1064" s="2">
        <v>0.1</v>
      </c>
      <c r="ON1064" s="2">
        <v>0.1</v>
      </c>
      <c r="OO1064" s="2">
        <v>0.1</v>
      </c>
      <c r="OP1064" s="2">
        <v>0.8</v>
      </c>
      <c r="OQ1064" s="2">
        <v>-0.7</v>
      </c>
      <c r="OR1064" s="2">
        <v>0.1</v>
      </c>
      <c r="OS1064" s="2">
        <v>1.1</v>
      </c>
      <c r="OT1064" s="2">
        <v>0</v>
      </c>
      <c r="OU1064" s="2">
        <v>0.4</v>
      </c>
      <c r="OV1064" s="2">
        <v>0.2</v>
      </c>
      <c r="OW1064" s="2">
        <v>-0.3</v>
      </c>
      <c r="OX1064" s="2">
        <v>1.2</v>
      </c>
      <c r="PC1064" s="2">
        <v>-0.2</v>
      </c>
      <c r="PD1064" s="2">
        <v>-0.1</v>
      </c>
      <c r="PE1064" s="2">
        <v>1.4</v>
      </c>
      <c r="PF1064" s="2">
        <v>0.4</v>
      </c>
      <c r="PG1064" s="2">
        <v>-1</v>
      </c>
      <c r="PH1064" s="2">
        <v>-0.2</v>
      </c>
      <c r="PI1064" s="2">
        <v>1.2</v>
      </c>
    </row>
    <row r="1065">
      <c r="A1065" t="inlineStr">
        <is>
          <t>A130398864F</t>
        </is>
      </c>
      <c r="B1065" t="inlineStr">
        <is>
          <t>Percentage Change from Previous Period ;  All groups CPI excluding Furnishings, household equipment and services ;  Australia ;</t>
        </is>
      </c>
      <c r="C1065" t="inlineStr">
        <is>
          <t>Month</t>
        </is>
      </c>
      <c r="D1065" t="inlineStr">
        <is>
          <t>Percent</t>
        </is>
      </c>
      <c r="E1065" t="inlineStr">
        <is>
          <t>Original</t>
        </is>
      </c>
      <c r="F1065" t="inlineStr">
        <is>
          <t>640106.xlsx</t>
        </is>
      </c>
      <c r="G1065" t="inlineStr">
        <is>
          <t>2024-05</t>
        </is>
      </c>
      <c r="H1065" t="inlineStr">
        <is>
          <t>2026-07</t>
        </is>
      </c>
      <c r="OA1065" s="2">
        <v>-0.2</v>
      </c>
      <c r="OB1065" s="2">
        <v>0.5</v>
      </c>
      <c r="OC1065" s="2">
        <v>0.1</v>
      </c>
      <c r="OD1065" s="2">
        <v>-0.4</v>
      </c>
      <c r="OE1065" s="2">
        <v>0.1</v>
      </c>
      <c r="OF1065" s="2">
        <v>-0.3</v>
      </c>
      <c r="OG1065" s="2">
        <v>0.4</v>
      </c>
      <c r="OH1065" s="2">
        <v>0.8</v>
      </c>
      <c r="OM1065" s="2">
        <v>0.3</v>
      </c>
      <c r="ON1065" s="2">
        <v>0</v>
      </c>
      <c r="OO1065" s="2">
        <v>0.3</v>
      </c>
      <c r="OP1065" s="2">
        <v>0.8</v>
      </c>
      <c r="OQ1065" s="2">
        <v>-0.5</v>
      </c>
      <c r="OR1065" s="2">
        <v>0.2</v>
      </c>
      <c r="OS1065" s="2">
        <v>1.3</v>
      </c>
      <c r="OT1065" s="2">
        <v>-0.2</v>
      </c>
      <c r="OU1065" s="2">
        <v>0.5</v>
      </c>
      <c r="OV1065" s="2">
        <v>-0.1</v>
      </c>
      <c r="OW1065" s="2">
        <v>0.1</v>
      </c>
      <c r="OX1065" s="2">
        <v>1.1</v>
      </c>
      <c r="PC1065" s="2">
        <v>0.4</v>
      </c>
      <c r="PD1065" s="2">
        <v>-0.1</v>
      </c>
      <c r="PE1065" s="2">
        <v>1.2</v>
      </c>
      <c r="PF1065" s="2">
        <v>0.3</v>
      </c>
      <c r="PG1065" s="2">
        <v>-0.7</v>
      </c>
      <c r="PH1065" s="2">
        <v>0</v>
      </c>
      <c r="PI1065" s="2">
        <v>0.9</v>
      </c>
    </row>
    <row r="1066">
      <c r="A1066" t="inlineStr">
        <is>
          <t>A130394037C</t>
        </is>
      </c>
      <c r="B1066" t="inlineStr">
        <is>
          <t>Percentage Change from Previous Period ;  All groups CPI excluding Health ;  Australia ;</t>
        </is>
      </c>
      <c r="C1066" t="inlineStr">
        <is>
          <t>Month</t>
        </is>
      </c>
      <c r="D1066" t="inlineStr">
        <is>
          <t>Percent</t>
        </is>
      </c>
      <c r="E1066" t="inlineStr">
        <is>
          <t>Original</t>
        </is>
      </c>
      <c r="F1066" t="inlineStr">
        <is>
          <t>640106.xlsx</t>
        </is>
      </c>
      <c r="G1066" t="inlineStr">
        <is>
          <t>2024-05</t>
        </is>
      </c>
      <c r="H1066" t="inlineStr">
        <is>
          <t>2026-07</t>
        </is>
      </c>
      <c r="OA1066" s="2">
        <v>-0.2</v>
      </c>
      <c r="OB1066" s="2">
        <v>0.4</v>
      </c>
      <c r="OC1066" s="2">
        <v>0.3</v>
      </c>
      <c r="OD1066" s="2">
        <v>-0.3</v>
      </c>
      <c r="OE1066" s="2">
        <v>0.1</v>
      </c>
      <c r="OF1066" s="2">
        <v>-0.3</v>
      </c>
      <c r="OG1066" s="2">
        <v>0.4</v>
      </c>
      <c r="OH1066" s="2">
        <v>0.7</v>
      </c>
      <c r="OM1066" s="2">
        <v>0.1</v>
      </c>
      <c r="ON1066" s="2">
        <v>0.1</v>
      </c>
      <c r="OO1066" s="2">
        <v>0.3</v>
      </c>
      <c r="OP1066" s="2">
        <v>0.7</v>
      </c>
      <c r="OQ1066" s="2">
        <v>-0.5</v>
      </c>
      <c r="OR1066" s="2">
        <v>0.2</v>
      </c>
      <c r="OS1066" s="2">
        <v>1.4</v>
      </c>
      <c r="OT1066" s="2">
        <v>-0.1</v>
      </c>
      <c r="OU1066" s="2">
        <v>0.5</v>
      </c>
      <c r="OV1066" s="2">
        <v>0</v>
      </c>
      <c r="OW1066" s="2">
        <v>0.1</v>
      </c>
      <c r="OX1066" s="2">
        <v>1.1</v>
      </c>
      <c r="PC1066" s="2">
        <v>0.2</v>
      </c>
      <c r="PD1066" s="2">
        <v>0</v>
      </c>
      <c r="PE1066" s="2">
        <v>1.2</v>
      </c>
      <c r="PF1066" s="2">
        <v>0.2</v>
      </c>
      <c r="PG1066" s="2">
        <v>-0.7</v>
      </c>
      <c r="PH1066" s="2">
        <v>-0.1</v>
      </c>
      <c r="PI1066" s="2">
        <v>1.1</v>
      </c>
    </row>
    <row r="1067">
      <c r="A1067" t="inlineStr">
        <is>
          <t>A130398892R</t>
        </is>
      </c>
      <c r="B1067" t="inlineStr">
        <is>
          <t>Percentage Change from Previous Period ;  All groups CPI excluding Transport ;  Australia ;</t>
        </is>
      </c>
      <c r="C1067" t="inlineStr">
        <is>
          <t>Month</t>
        </is>
      </c>
      <c r="D1067" t="inlineStr">
        <is>
          <t>Percent</t>
        </is>
      </c>
      <c r="E1067" t="inlineStr">
        <is>
          <t>Original</t>
        </is>
      </c>
      <c r="F1067" t="inlineStr">
        <is>
          <t>640106.xlsx</t>
        </is>
      </c>
      <c r="G1067" t="inlineStr">
        <is>
          <t>2024-05</t>
        </is>
      </c>
      <c r="H1067" t="inlineStr">
        <is>
          <t>2026-07</t>
        </is>
      </c>
      <c r="OA1067" s="2">
        <v>0</v>
      </c>
      <c r="OB1067" s="2">
        <v>0.4</v>
      </c>
      <c r="OC1067" s="2">
        <v>0.4</v>
      </c>
      <c r="OD1067" s="2">
        <v>-0.2</v>
      </c>
      <c r="OE1067" s="2">
        <v>0.2</v>
      </c>
      <c r="OF1067" s="2">
        <v>-0.2</v>
      </c>
      <c r="OG1067" s="2">
        <v>0.4</v>
      </c>
      <c r="OH1067" s="2">
        <v>0.6</v>
      </c>
      <c r="OM1067" s="2">
        <v>0.3</v>
      </c>
      <c r="ON1067" s="2">
        <v>0</v>
      </c>
      <c r="OO1067" s="2">
        <v>0.3</v>
      </c>
      <c r="OP1067" s="2">
        <v>0.9</v>
      </c>
      <c r="OQ1067" s="2">
        <v>-0.5</v>
      </c>
      <c r="OR1067" s="2">
        <v>0.1</v>
      </c>
      <c r="OS1067" s="2">
        <v>1.3</v>
      </c>
      <c r="OT1067" s="2">
        <v>-0.1</v>
      </c>
      <c r="OU1067" s="2">
        <v>0.5</v>
      </c>
      <c r="OV1067" s="2">
        <v>0</v>
      </c>
      <c r="OW1067" s="2">
        <v>0</v>
      </c>
      <c r="OX1067" s="2">
        <v>1.1</v>
      </c>
      <c r="PC1067" s="2">
        <v>0.5</v>
      </c>
      <c r="PD1067" s="2">
        <v>0.1</v>
      </c>
      <c r="PE1067" s="2">
        <v>0.1</v>
      </c>
      <c r="PF1067" s="2">
        <v>0.8</v>
      </c>
      <c r="PG1067" s="2">
        <v>-0.3</v>
      </c>
      <c r="PH1067" s="2">
        <v>0.3</v>
      </c>
      <c r="PI1067" s="2">
        <v>0.8</v>
      </c>
    </row>
    <row r="1068">
      <c r="A1068" t="inlineStr">
        <is>
          <t>A130392721L</t>
        </is>
      </c>
      <c r="B1068" t="inlineStr">
        <is>
          <t>Percentage Change from Previous Period ;  All groups CPI excluding Communication ;  Australia ;</t>
        </is>
      </c>
      <c r="C1068" t="inlineStr">
        <is>
          <t>Month</t>
        </is>
      </c>
      <c r="D1068" t="inlineStr">
        <is>
          <t>Percent</t>
        </is>
      </c>
      <c r="E1068" t="inlineStr">
        <is>
          <t>Original</t>
        </is>
      </c>
      <c r="F1068" t="inlineStr">
        <is>
          <t>640106.xlsx</t>
        </is>
      </c>
      <c r="G1068" t="inlineStr">
        <is>
          <t>2024-05</t>
        </is>
      </c>
      <c r="H1068" t="inlineStr">
        <is>
          <t>2026-07</t>
        </is>
      </c>
      <c r="OA1068" s="2">
        <v>-0.2</v>
      </c>
      <c r="OB1068" s="2">
        <v>0.4</v>
      </c>
      <c r="OC1068" s="2">
        <v>0.2</v>
      </c>
      <c r="OD1068" s="2">
        <v>-0.3</v>
      </c>
      <c r="OE1068" s="2">
        <v>0.1</v>
      </c>
      <c r="OF1068" s="2">
        <v>-0.2</v>
      </c>
      <c r="OG1068" s="2">
        <v>0.4</v>
      </c>
      <c r="OH1068" s="2">
        <v>0.7</v>
      </c>
      <c r="OM1068" s="2">
        <v>0.3</v>
      </c>
      <c r="ON1068" s="2">
        <v>0.1</v>
      </c>
      <c r="OO1068" s="2">
        <v>0.3</v>
      </c>
      <c r="OP1068" s="2">
        <v>0.7</v>
      </c>
      <c r="OQ1068" s="2">
        <v>-0.5</v>
      </c>
      <c r="OR1068" s="2">
        <v>0.2</v>
      </c>
      <c r="OS1068" s="2">
        <v>1.3</v>
      </c>
      <c r="OT1068" s="2">
        <v>-0.1</v>
      </c>
      <c r="OU1068" s="2">
        <v>0.5</v>
      </c>
      <c r="OV1068" s="2">
        <v>0</v>
      </c>
      <c r="OW1068" s="2">
        <v>0</v>
      </c>
      <c r="OX1068" s="2">
        <v>1</v>
      </c>
      <c r="PC1068" s="2">
        <v>0.4</v>
      </c>
      <c r="PD1068" s="2">
        <v>0</v>
      </c>
      <c r="PE1068" s="2">
        <v>1.1</v>
      </c>
      <c r="PF1068" s="2">
        <v>0.3</v>
      </c>
      <c r="PG1068" s="2">
        <v>-0.7</v>
      </c>
      <c r="PH1068" s="2">
        <v>0</v>
      </c>
      <c r="PI1068" s="2">
        <v>1</v>
      </c>
    </row>
    <row r="1069">
      <c r="A1069" t="inlineStr">
        <is>
          <t>A130395262T</t>
        </is>
      </c>
      <c r="B1069" t="inlineStr">
        <is>
          <t>Percentage Change from Previous Period ;  All groups CPI excluding Recreation and culture ;  Australia ;</t>
        </is>
      </c>
      <c r="C1069" t="inlineStr">
        <is>
          <t>Month</t>
        </is>
      </c>
      <c r="D1069" t="inlineStr">
        <is>
          <t>Percent</t>
        </is>
      </c>
      <c r="E1069" t="inlineStr">
        <is>
          <t>Original</t>
        </is>
      </c>
      <c r="F1069" t="inlineStr">
        <is>
          <t>640106.xlsx</t>
        </is>
      </c>
      <c r="G1069" t="inlineStr">
        <is>
          <t>2024-05</t>
        </is>
      </c>
      <c r="H1069" t="inlineStr">
        <is>
          <t>2026-07</t>
        </is>
      </c>
      <c r="OA1069" s="2">
        <v>-0.1</v>
      </c>
      <c r="OB1069" s="2">
        <v>0</v>
      </c>
      <c r="OC1069" s="2">
        <v>0.4</v>
      </c>
      <c r="OD1069" s="2">
        <v>-0.3</v>
      </c>
      <c r="OE1069" s="2">
        <v>-0.2</v>
      </c>
      <c r="OF1069" s="2">
        <v>-0.1</v>
      </c>
      <c r="OG1069" s="2">
        <v>0.4</v>
      </c>
      <c r="OH1069" s="2">
        <v>0.1</v>
      </c>
      <c r="OM1069" s="2">
        <v>0.7</v>
      </c>
      <c r="ON1069" s="2">
        <v>0.6</v>
      </c>
      <c r="OO1069" s="2">
        <v>0.3</v>
      </c>
      <c r="OP1069" s="2">
        <v>0.4</v>
      </c>
      <c r="OQ1069" s="2">
        <v>-0.1</v>
      </c>
      <c r="OR1069" s="2">
        <v>0.1</v>
      </c>
      <c r="OS1069" s="2">
        <v>1.1</v>
      </c>
      <c r="OT1069" s="2">
        <v>0.1</v>
      </c>
      <c r="OU1069" s="2">
        <v>0.2</v>
      </c>
      <c r="OV1069" s="2">
        <v>0</v>
      </c>
      <c r="OW1069" s="2">
        <v>0.2</v>
      </c>
      <c r="OX1069" s="2">
        <v>0.1</v>
      </c>
      <c r="PC1069" s="2">
        <v>0.9</v>
      </c>
      <c r="PD1069" s="2">
        <v>0.4</v>
      </c>
      <c r="PE1069" s="2">
        <v>1.4</v>
      </c>
      <c r="PF1069" s="2">
        <v>0</v>
      </c>
      <c r="PG1069" s="2">
        <v>-0.3</v>
      </c>
      <c r="PH1069" s="2">
        <v>-0.3</v>
      </c>
      <c r="PI1069" s="2">
        <v>0.9</v>
      </c>
    </row>
    <row r="1070">
      <c r="A1070" t="inlineStr">
        <is>
          <t>A130398920L</t>
        </is>
      </c>
      <c r="B1070" t="inlineStr">
        <is>
          <t>Percentage Change from Previous Period ;  All groups CPI excluding Education ;  Australia ;</t>
        </is>
      </c>
      <c r="C1070" t="inlineStr">
        <is>
          <t>Month</t>
        </is>
      </c>
      <c r="D1070" t="inlineStr">
        <is>
          <t>Percent</t>
        </is>
      </c>
      <c r="E1070" t="inlineStr">
        <is>
          <t>Original</t>
        </is>
      </c>
      <c r="F1070" t="inlineStr">
        <is>
          <t>640106.xlsx</t>
        </is>
      </c>
      <c r="G1070" t="inlineStr">
        <is>
          <t>2024-05</t>
        </is>
      </c>
      <c r="H1070" t="inlineStr">
        <is>
          <t>2026-07</t>
        </is>
      </c>
      <c r="OA1070" s="2">
        <v>-0.2</v>
      </c>
      <c r="OB1070" s="2">
        <v>0.4</v>
      </c>
      <c r="OC1070" s="2">
        <v>0.3</v>
      </c>
      <c r="OD1070" s="2">
        <v>-0.3</v>
      </c>
      <c r="OE1070" s="2">
        <v>0</v>
      </c>
      <c r="OF1070" s="2">
        <v>-0.2</v>
      </c>
      <c r="OG1070" s="2">
        <v>0.4</v>
      </c>
      <c r="OH1070" s="2">
        <v>0.7</v>
      </c>
      <c r="OM1070" s="2">
        <v>0.3</v>
      </c>
      <c r="ON1070" s="2">
        <v>-0.2</v>
      </c>
      <c r="OO1070" s="2">
        <v>0.3</v>
      </c>
      <c r="OP1070" s="2">
        <v>0.8</v>
      </c>
      <c r="OQ1070" s="2">
        <v>-0.5</v>
      </c>
      <c r="OR1070" s="2">
        <v>0.1</v>
      </c>
      <c r="OS1070" s="2">
        <v>1.4</v>
      </c>
      <c r="OT1070" s="2">
        <v>-0.1</v>
      </c>
      <c r="OU1070" s="2">
        <v>0.5</v>
      </c>
      <c r="OV1070" s="2">
        <v>0</v>
      </c>
      <c r="OW1070" s="2">
        <v>0</v>
      </c>
      <c r="OX1070" s="2">
        <v>1</v>
      </c>
      <c r="PC1070" s="2">
        <v>0.4</v>
      </c>
      <c r="PD1070" s="2">
        <v>-0.2</v>
      </c>
      <c r="PE1070" s="2">
        <v>1.2</v>
      </c>
      <c r="PF1070" s="2">
        <v>0.4</v>
      </c>
      <c r="PG1070" s="2">
        <v>-0.7</v>
      </c>
      <c r="PH1070" s="2">
        <v>-0.1</v>
      </c>
      <c r="PI1070" s="2">
        <v>1.1</v>
      </c>
    </row>
    <row r="1071">
      <c r="A1071" t="inlineStr">
        <is>
          <t>A130394079A</t>
        </is>
      </c>
      <c r="B1071" t="inlineStr">
        <is>
          <t>Percentage Change from Previous Period ;  All groups CPI excluding Insurance and financial services ;  Australia ;</t>
        </is>
      </c>
      <c r="C1071" t="inlineStr">
        <is>
          <t>Month</t>
        </is>
      </c>
      <c r="D1071" t="inlineStr">
        <is>
          <t>Percent</t>
        </is>
      </c>
      <c r="E1071" t="inlineStr">
        <is>
          <t>Original</t>
        </is>
      </c>
      <c r="F1071" t="inlineStr">
        <is>
          <t>640106.xlsx</t>
        </is>
      </c>
      <c r="G1071" t="inlineStr">
        <is>
          <t>2024-05</t>
        </is>
      </c>
      <c r="H1071" t="inlineStr">
        <is>
          <t>2026-07</t>
        </is>
      </c>
      <c r="OA1071" s="2">
        <v>-0.3</v>
      </c>
      <c r="OB1071" s="2">
        <v>0.3</v>
      </c>
      <c r="OC1071" s="2">
        <v>0.3</v>
      </c>
      <c r="OD1071" s="2">
        <v>-0.3</v>
      </c>
      <c r="OE1071" s="2">
        <v>0</v>
      </c>
      <c r="OF1071" s="2">
        <v>-0.3</v>
      </c>
      <c r="OG1071" s="2">
        <v>0.4</v>
      </c>
      <c r="OH1071" s="2">
        <v>0.7</v>
      </c>
      <c r="OM1071" s="2">
        <v>0.3</v>
      </c>
      <c r="ON1071" s="2">
        <v>0.1</v>
      </c>
      <c r="OO1071" s="2">
        <v>0.3</v>
      </c>
      <c r="OP1071" s="2">
        <v>0.8</v>
      </c>
      <c r="OQ1071" s="2">
        <v>-0.5</v>
      </c>
      <c r="OR1071" s="2">
        <v>0.1</v>
      </c>
      <c r="OS1071" s="2">
        <v>1.4</v>
      </c>
      <c r="OT1071" s="2">
        <v>-0.1</v>
      </c>
      <c r="OU1071" s="2">
        <v>0.5</v>
      </c>
      <c r="OV1071" s="2">
        <v>0</v>
      </c>
      <c r="OW1071" s="2">
        <v>0</v>
      </c>
      <c r="OX1071" s="2">
        <v>1</v>
      </c>
      <c r="PC1071" s="2">
        <v>0.4</v>
      </c>
      <c r="PD1071" s="2">
        <v>0</v>
      </c>
      <c r="PE1071" s="2">
        <v>1.1</v>
      </c>
      <c r="PF1071" s="2">
        <v>0.4</v>
      </c>
      <c r="PG1071" s="2">
        <v>-0.7</v>
      </c>
      <c r="PH1071" s="2">
        <v>-0.1</v>
      </c>
      <c r="PI1071" s="2">
        <v>1.1</v>
      </c>
    </row>
    <row r="1072">
      <c r="A1072" t="inlineStr">
        <is>
          <t>A130390194K</t>
        </is>
      </c>
      <c r="B1072" t="inlineStr">
        <is>
          <t>Percentage Change from Previous Period ;  All groups CPI excluding Housing and Insurance and financial services ;  Australia ;</t>
        </is>
      </c>
      <c r="C1072" t="inlineStr">
        <is>
          <t>Month</t>
        </is>
      </c>
      <c r="D1072" t="inlineStr">
        <is>
          <t>Percent</t>
        </is>
      </c>
      <c r="E1072" t="inlineStr">
        <is>
          <t>Original</t>
        </is>
      </c>
      <c r="F1072" t="inlineStr">
        <is>
          <t>640106.xlsx</t>
        </is>
      </c>
      <c r="G1072" t="inlineStr">
        <is>
          <t>2024-05</t>
        </is>
      </c>
      <c r="H1072" t="inlineStr">
        <is>
          <t>2026-07</t>
        </is>
      </c>
      <c r="OA1072" s="2">
        <v>-0.5</v>
      </c>
      <c r="OB1072" s="2">
        <v>0.3</v>
      </c>
      <c r="OC1072" s="2">
        <v>0.3</v>
      </c>
      <c r="OD1072" s="2">
        <v>0</v>
      </c>
      <c r="OE1072" s="2">
        <v>0.1</v>
      </c>
      <c r="OF1072" s="2">
        <v>0</v>
      </c>
      <c r="OG1072" s="2">
        <v>0</v>
      </c>
      <c r="OH1072" s="2">
        <v>0.9</v>
      </c>
      <c r="OM1072" s="2">
        <v>0.1</v>
      </c>
      <c r="ON1072" s="2">
        <v>0.2</v>
      </c>
      <c r="OO1072" s="2">
        <v>0.1</v>
      </c>
      <c r="OP1072" s="2">
        <v>0.9</v>
      </c>
      <c r="OQ1072" s="2">
        <v>-0.7</v>
      </c>
      <c r="OR1072" s="2">
        <v>0.1</v>
      </c>
      <c r="OS1072" s="2">
        <v>1.1</v>
      </c>
      <c r="OT1072" s="2">
        <v>0.1</v>
      </c>
      <c r="OU1072" s="2">
        <v>0.4</v>
      </c>
      <c r="OV1072" s="2">
        <v>0.2</v>
      </c>
      <c r="OW1072" s="2">
        <v>-0.3</v>
      </c>
      <c r="OX1072" s="2">
        <v>1.3</v>
      </c>
      <c r="PC1072" s="2">
        <v>-0.2</v>
      </c>
      <c r="PD1072" s="2">
        <v>-0.1</v>
      </c>
      <c r="PE1072" s="2">
        <v>1.4</v>
      </c>
      <c r="PF1072" s="2">
        <v>0.4</v>
      </c>
      <c r="PG1072" s="2">
        <v>-1.1</v>
      </c>
      <c r="PH1072" s="2">
        <v>-0.3</v>
      </c>
      <c r="PI1072" s="2">
        <v>1.3</v>
      </c>
    </row>
    <row r="1073">
      <c r="A1073" t="inlineStr">
        <is>
          <t>A130390166A</t>
        </is>
      </c>
      <c r="B1073" t="inlineStr">
        <is>
          <t>Percentage Change from Previous Period ;  All groups CPI excluding Medical and hospital services ;  Australia ;</t>
        </is>
      </c>
      <c r="C1073" t="inlineStr">
        <is>
          <t>Month</t>
        </is>
      </c>
      <c r="D1073" t="inlineStr">
        <is>
          <t>Percent</t>
        </is>
      </c>
      <c r="E1073" t="inlineStr">
        <is>
          <t>Original</t>
        </is>
      </c>
      <c r="F1073" t="inlineStr">
        <is>
          <t>640106.xlsx</t>
        </is>
      </c>
      <c r="G1073" t="inlineStr">
        <is>
          <t>2024-05</t>
        </is>
      </c>
      <c r="H1073" t="inlineStr">
        <is>
          <t>2026-07</t>
        </is>
      </c>
      <c r="OA1073" s="2">
        <v>-0.2</v>
      </c>
      <c r="OB1073" s="2">
        <v>0.4</v>
      </c>
      <c r="OC1073" s="2">
        <v>0.3</v>
      </c>
      <c r="OD1073" s="2">
        <v>-0.3</v>
      </c>
      <c r="OE1073" s="2">
        <v>0.1</v>
      </c>
      <c r="OF1073" s="2">
        <v>-0.3</v>
      </c>
      <c r="OG1073" s="2">
        <v>0.4</v>
      </c>
      <c r="OH1073" s="2">
        <v>0.7</v>
      </c>
      <c r="OM1073" s="2">
        <v>0.1</v>
      </c>
      <c r="ON1073" s="2">
        <v>0.1</v>
      </c>
      <c r="OO1073" s="2">
        <v>0.3</v>
      </c>
      <c r="OP1073" s="2">
        <v>0.6</v>
      </c>
      <c r="OQ1073" s="2">
        <v>-0.5</v>
      </c>
      <c r="OR1073" s="2">
        <v>0.2</v>
      </c>
      <c r="OS1073" s="2">
        <v>1.4</v>
      </c>
      <c r="OT1073" s="2">
        <v>-0.1</v>
      </c>
      <c r="OU1073" s="2">
        <v>0.5</v>
      </c>
      <c r="OV1073" s="2">
        <v>0</v>
      </c>
      <c r="OW1073" s="2">
        <v>0.1</v>
      </c>
      <c r="OX1073" s="2">
        <v>1</v>
      </c>
      <c r="PC1073" s="2">
        <v>0.2</v>
      </c>
      <c r="PD1073" s="2">
        <v>0</v>
      </c>
      <c r="PE1073" s="2">
        <v>1.2</v>
      </c>
      <c r="PF1073" s="2">
        <v>0.2</v>
      </c>
      <c r="PG1073" s="2">
        <v>-0.7</v>
      </c>
      <c r="PH1073" s="2">
        <v>-0.1</v>
      </c>
      <c r="PI1073" s="2">
        <v>1.1</v>
      </c>
    </row>
    <row r="1074">
      <c r="A1074" t="inlineStr">
        <is>
          <t>A130391636A</t>
        </is>
      </c>
      <c r="B1074" t="inlineStr">
        <is>
          <t>Percentage Change from Previous Period ;  All groups CPI excluding food and energy ;  Australia ;</t>
        </is>
      </c>
      <c r="C1074" t="inlineStr">
        <is>
          <t>Month</t>
        </is>
      </c>
      <c r="D1074" t="inlineStr">
        <is>
          <t>Percent</t>
        </is>
      </c>
      <c r="E1074" t="inlineStr">
        <is>
          <t>Original</t>
        </is>
      </c>
      <c r="F1074" t="inlineStr">
        <is>
          <t>640106.xlsx</t>
        </is>
      </c>
      <c r="G1074" t="inlineStr">
        <is>
          <t>2024-05</t>
        </is>
      </c>
      <c r="H1074" t="inlineStr">
        <is>
          <t>2026-07</t>
        </is>
      </c>
      <c r="OA1074" s="2">
        <v>-0.1</v>
      </c>
      <c r="OB1074" s="2">
        <v>0.4</v>
      </c>
      <c r="OC1074" s="2">
        <v>0.4</v>
      </c>
      <c r="OD1074" s="2">
        <v>0.1</v>
      </c>
      <c r="OE1074" s="2">
        <v>0.5</v>
      </c>
      <c r="OF1074" s="2">
        <v>0</v>
      </c>
      <c r="OG1074" s="2">
        <v>-0.1</v>
      </c>
      <c r="OH1074" s="2">
        <v>0.7</v>
      </c>
      <c r="OM1074" s="2">
        <v>0</v>
      </c>
      <c r="ON1074" s="2">
        <v>0.2</v>
      </c>
      <c r="OO1074" s="2">
        <v>0</v>
      </c>
      <c r="OP1074" s="2">
        <v>0.9</v>
      </c>
      <c r="OQ1074" s="2">
        <v>-0.5</v>
      </c>
      <c r="OR1074" s="2">
        <v>0</v>
      </c>
      <c r="OS1074" s="2">
        <v>1.1</v>
      </c>
      <c r="OT1074" s="2">
        <v>0.1</v>
      </c>
      <c r="OU1074" s="2">
        <v>0.6</v>
      </c>
      <c r="OV1074" s="2">
        <v>0.4</v>
      </c>
      <c r="OW1074" s="2">
        <v>-0.4</v>
      </c>
      <c r="OX1074" s="2">
        <v>1.2</v>
      </c>
      <c r="PC1074" s="2">
        <v>0</v>
      </c>
      <c r="PD1074" s="2">
        <v>0.1</v>
      </c>
      <c r="PE1074" s="2">
        <v>0</v>
      </c>
      <c r="PF1074" s="2">
        <v>0.8</v>
      </c>
      <c r="PG1074" s="2">
        <v>-0.4</v>
      </c>
      <c r="PH1074" s="2">
        <v>0.2</v>
      </c>
      <c r="PI1074" s="2">
        <v>1</v>
      </c>
    </row>
    <row r="1075">
      <c r="A1075" t="inlineStr">
        <is>
          <t>A130389935K</t>
        </is>
      </c>
      <c r="B1075" t="inlineStr">
        <is>
          <t>Percentage Change from Previous Period ;  All groups CPI excluding 'volatile items' ;  Australia ;</t>
        </is>
      </c>
      <c r="C1075" t="inlineStr">
        <is>
          <t>Month</t>
        </is>
      </c>
      <c r="D1075" t="inlineStr">
        <is>
          <t>Percent</t>
        </is>
      </c>
      <c r="E1075" t="inlineStr">
        <is>
          <t>Original</t>
        </is>
      </c>
      <c r="F1075" t="inlineStr">
        <is>
          <t>640106.xlsx</t>
        </is>
      </c>
      <c r="G1075" t="inlineStr">
        <is>
          <t>2024-05</t>
        </is>
      </c>
      <c r="H1075" t="inlineStr">
        <is>
          <t>2026-07</t>
        </is>
      </c>
      <c r="OA1075" s="2">
        <v>-0.1</v>
      </c>
      <c r="OB1075" s="2">
        <v>0.3</v>
      </c>
      <c r="OC1075" s="2">
        <v>0.4</v>
      </c>
      <c r="OD1075" s="2">
        <v>-0.2</v>
      </c>
      <c r="OE1075" s="2">
        <v>0.3</v>
      </c>
      <c r="OF1075" s="2">
        <v>-0.2</v>
      </c>
      <c r="OG1075" s="2">
        <v>0.4</v>
      </c>
      <c r="OH1075" s="2">
        <v>0.6</v>
      </c>
      <c r="OM1075" s="2">
        <v>0.3</v>
      </c>
      <c r="ON1075" s="2">
        <v>0.1</v>
      </c>
      <c r="OO1075" s="2">
        <v>0.3</v>
      </c>
      <c r="OP1075" s="2">
        <v>0.8</v>
      </c>
      <c r="OQ1075" s="2">
        <v>-0.4</v>
      </c>
      <c r="OR1075" s="2">
        <v>0</v>
      </c>
      <c r="OS1075" s="2">
        <v>1.4</v>
      </c>
      <c r="OT1075" s="2">
        <v>0</v>
      </c>
      <c r="OU1075" s="2">
        <v>0.5</v>
      </c>
      <c r="OV1075" s="2">
        <v>0</v>
      </c>
      <c r="OW1075" s="2">
        <v>-0.1</v>
      </c>
      <c r="OX1075" s="2">
        <v>1</v>
      </c>
      <c r="PC1075" s="2">
        <v>0.5</v>
      </c>
      <c r="PD1075" s="2">
        <v>0.1</v>
      </c>
      <c r="PE1075" s="2">
        <v>0.1</v>
      </c>
      <c r="PF1075" s="2">
        <v>0.6</v>
      </c>
      <c r="PG1075" s="2">
        <v>-0.3</v>
      </c>
      <c r="PH1075" s="2">
        <v>0.3</v>
      </c>
      <c r="PI1075" s="2">
        <v>0.9</v>
      </c>
    </row>
    <row r="1076">
      <c r="A1076" t="inlineStr">
        <is>
          <t>A130392952W</t>
        </is>
      </c>
      <c r="B1076" t="inlineStr">
        <is>
          <t>Percentage Change from Previous Period ;  Non-Discretionary ;  Australia ;</t>
        </is>
      </c>
      <c r="C1076" t="inlineStr">
        <is>
          <t>Month</t>
        </is>
      </c>
      <c r="D1076" t="inlineStr">
        <is>
          <t>Percent</t>
        </is>
      </c>
      <c r="E1076" t="inlineStr">
        <is>
          <t>Original</t>
        </is>
      </c>
      <c r="F1076" t="inlineStr">
        <is>
          <t>640106.xlsx</t>
        </is>
      </c>
      <c r="G1076" t="inlineStr">
        <is>
          <t>2024-05</t>
        </is>
      </c>
      <c r="H1076" t="inlineStr">
        <is>
          <t>2026-07</t>
        </is>
      </c>
      <c r="OA1076" s="2">
        <v>-0.1</v>
      </c>
      <c r="OB1076" s="2">
        <v>0.3</v>
      </c>
      <c r="OC1076" s="2">
        <v>0</v>
      </c>
      <c r="OD1076" s="2">
        <v>-0.5</v>
      </c>
      <c r="OE1076" s="2">
        <v>-0.4</v>
      </c>
      <c r="OF1076" s="2">
        <v>-0.4</v>
      </c>
      <c r="OG1076" s="2">
        <v>0.8</v>
      </c>
      <c r="OH1076" s="2">
        <v>0.2</v>
      </c>
      <c r="OM1076" s="2">
        <v>0.8</v>
      </c>
      <c r="ON1076" s="2">
        <v>0.4</v>
      </c>
      <c r="OO1076" s="2">
        <v>0.5</v>
      </c>
      <c r="OP1076" s="2">
        <v>0.3</v>
      </c>
      <c r="OQ1076" s="2">
        <v>-0.2</v>
      </c>
      <c r="OR1076" s="2">
        <v>0.4</v>
      </c>
      <c r="OS1076" s="2">
        <v>1</v>
      </c>
      <c r="OT1076" s="2">
        <v>-0.1</v>
      </c>
      <c r="OU1076" s="2">
        <v>0.3</v>
      </c>
      <c r="OV1076" s="2">
        <v>-0.3</v>
      </c>
      <c r="OW1076" s="2">
        <v>0.6</v>
      </c>
      <c r="OX1076" s="2">
        <v>0.1</v>
      </c>
      <c r="PC1076" s="2">
        <v>1</v>
      </c>
      <c r="PD1076" s="2">
        <v>0.3</v>
      </c>
      <c r="PE1076" s="2">
        <v>2</v>
      </c>
      <c r="PF1076" s="2">
        <v>-0.1</v>
      </c>
      <c r="PG1076" s="2">
        <v>-0.5</v>
      </c>
      <c r="PH1076" s="2">
        <v>-0.3</v>
      </c>
      <c r="PI1076" s="2">
        <v>0.7</v>
      </c>
    </row>
    <row r="1077">
      <c r="A1077" t="inlineStr">
        <is>
          <t>A130392931K</t>
        </is>
      </c>
      <c r="B1077" t="inlineStr">
        <is>
          <t>Percentage Change from Previous Period ;  Discretionary ;  Australia ;</t>
        </is>
      </c>
      <c r="C1077" t="inlineStr">
        <is>
          <t>Month</t>
        </is>
      </c>
      <c r="D1077" t="inlineStr">
        <is>
          <t>Percent</t>
        </is>
      </c>
      <c r="E1077" t="inlineStr">
        <is>
          <t>Original</t>
        </is>
      </c>
      <c r="F1077" t="inlineStr">
        <is>
          <t>640106.xlsx</t>
        </is>
      </c>
      <c r="G1077" t="inlineStr">
        <is>
          <t>2024-05</t>
        </is>
      </c>
      <c r="H1077" t="inlineStr">
        <is>
          <t>2026-07</t>
        </is>
      </c>
      <c r="OA1077" s="2">
        <v>-0.5</v>
      </c>
      <c r="OB1077" s="2">
        <v>0.4</v>
      </c>
      <c r="OC1077" s="2">
        <v>0.6</v>
      </c>
      <c r="OD1077" s="2">
        <v>0</v>
      </c>
      <c r="OE1077" s="2">
        <v>0.7</v>
      </c>
      <c r="OF1077" s="2">
        <v>0</v>
      </c>
      <c r="OG1077" s="2">
        <v>-0.2</v>
      </c>
      <c r="OH1077" s="2">
        <v>1.3</v>
      </c>
      <c r="OM1077" s="2">
        <v>-0.5</v>
      </c>
      <c r="ON1077" s="2">
        <v>-0.3</v>
      </c>
      <c r="OO1077" s="2">
        <v>0</v>
      </c>
      <c r="OP1077" s="2">
        <v>1.3</v>
      </c>
      <c r="OQ1077" s="2">
        <v>-1</v>
      </c>
      <c r="OR1077" s="2">
        <v>-0.2</v>
      </c>
      <c r="OS1077" s="2">
        <v>1.7</v>
      </c>
      <c r="OT1077" s="2">
        <v>-0.1</v>
      </c>
      <c r="OU1077" s="2">
        <v>0.7</v>
      </c>
      <c r="OV1077" s="2">
        <v>0.3</v>
      </c>
      <c r="OW1077" s="2">
        <v>-0.8</v>
      </c>
      <c r="OX1077" s="2">
        <v>2.2</v>
      </c>
      <c r="PC1077" s="2">
        <v>-0.5</v>
      </c>
      <c r="PD1077" s="2">
        <v>-0.4</v>
      </c>
      <c r="PE1077" s="2">
        <v>-0.2</v>
      </c>
      <c r="PF1077" s="2">
        <v>1.1</v>
      </c>
      <c r="PG1077" s="2">
        <v>-1</v>
      </c>
      <c r="PH1077" s="2">
        <v>0.3</v>
      </c>
      <c r="PI1077" s="2">
        <v>1.5</v>
      </c>
    </row>
    <row r="1078">
      <c r="A1078" t="inlineStr">
        <is>
          <t>A130394268L</t>
        </is>
      </c>
      <c r="B1078" t="inlineStr">
        <is>
          <t>Percentage Change from Previous Period ;  Discretionary excluding tobacco ;  Australia ;</t>
        </is>
      </c>
      <c r="C1078" t="inlineStr">
        <is>
          <t>Month</t>
        </is>
      </c>
      <c r="D1078" t="inlineStr">
        <is>
          <t>Percent</t>
        </is>
      </c>
      <c r="E1078" t="inlineStr">
        <is>
          <t>Original</t>
        </is>
      </c>
      <c r="F1078" t="inlineStr">
        <is>
          <t>640106.xlsx</t>
        </is>
      </c>
      <c r="G1078" t="inlineStr">
        <is>
          <t>2024-05</t>
        </is>
      </c>
      <c r="H1078" t="inlineStr">
        <is>
          <t>2026-07</t>
        </is>
      </c>
      <c r="OA1078" s="2">
        <v>-0.5</v>
      </c>
      <c r="OB1078" s="2">
        <v>0.4</v>
      </c>
      <c r="OC1078" s="2">
        <v>0.6</v>
      </c>
      <c r="OD1078" s="2">
        <v>0</v>
      </c>
      <c r="OE1078" s="2">
        <v>0.5</v>
      </c>
      <c r="OF1078" s="2">
        <v>-0.2</v>
      </c>
      <c r="OG1078" s="2">
        <v>-0.2</v>
      </c>
      <c r="OH1078" s="2">
        <v>1.3</v>
      </c>
      <c r="OM1078" s="2">
        <v>-0.6</v>
      </c>
      <c r="ON1078" s="2">
        <v>-0.3</v>
      </c>
      <c r="OO1078" s="2">
        <v>-0.1</v>
      </c>
      <c r="OP1078" s="2">
        <v>1.3</v>
      </c>
      <c r="OQ1078" s="2">
        <v>-1</v>
      </c>
      <c r="OR1078" s="2">
        <v>-0.2</v>
      </c>
      <c r="OS1078" s="2">
        <v>1.7</v>
      </c>
      <c r="OT1078" s="2">
        <v>-0.1</v>
      </c>
      <c r="OU1078" s="2">
        <v>0.5</v>
      </c>
      <c r="OV1078" s="2">
        <v>0.3</v>
      </c>
      <c r="OW1078" s="2">
        <v>-0.9</v>
      </c>
      <c r="OX1078" s="2">
        <v>2.3</v>
      </c>
      <c r="PC1078" s="2">
        <v>-0.6</v>
      </c>
      <c r="PD1078" s="2">
        <v>-0.5</v>
      </c>
      <c r="PE1078" s="2">
        <v>-0.2</v>
      </c>
      <c r="PF1078" s="2">
        <v>1.1</v>
      </c>
      <c r="PG1078" s="2">
        <v>-1.1</v>
      </c>
      <c r="PH1078" s="2">
        <v>0.3</v>
      </c>
      <c r="PI1078" s="2">
        <v>1.5</v>
      </c>
    </row>
    <row r="1079">
      <c r="A1079" t="inlineStr">
        <is>
          <t>A130393723K</t>
        </is>
      </c>
      <c r="B1079" t="inlineStr">
        <is>
          <t>Contribution to All groups CPI Index Number ;  All groups CPI ;  Australia ;</t>
        </is>
      </c>
      <c r="C1079" t="inlineStr">
        <is>
          <t>Month</t>
        </is>
      </c>
      <c r="D1079" t="inlineStr">
        <is>
          <t>Index Points</t>
        </is>
      </c>
      <c r="E1079" t="inlineStr">
        <is>
          <t>Original</t>
        </is>
      </c>
      <c r="F1079" t="inlineStr">
        <is>
          <t>640106.xlsx</t>
        </is>
      </c>
      <c r="G1079" t="inlineStr">
        <is>
          <t>2024-12</t>
        </is>
      </c>
      <c r="H1079" t="inlineStr">
        <is>
          <t>2026-07</t>
        </is>
      </c>
      <c r="OH1079" s="2">
        <v>97.31</v>
      </c>
      <c r="OM1079" s="2">
        <v>97.58</v>
      </c>
      <c r="ON1079" s="2">
        <v>97.67</v>
      </c>
      <c r="OO1079" s="2">
        <v>97.95999999999999</v>
      </c>
      <c r="OP1079" s="2">
        <v>98.68000000000001</v>
      </c>
      <c r="OQ1079" s="2">
        <v>98.2</v>
      </c>
      <c r="OR1079" s="2">
        <v>98.34</v>
      </c>
      <c r="OS1079" s="2">
        <v>99.63</v>
      </c>
      <c r="OT1079" s="2">
        <v>99.55</v>
      </c>
      <c r="OU1079" s="2">
        <v>100</v>
      </c>
      <c r="OV1079" s="2">
        <v>99.98999999999999</v>
      </c>
      <c r="OW1079" s="2">
        <v>100.01</v>
      </c>
      <c r="OX1079" s="2">
        <v>100.97</v>
      </c>
      <c r="PC1079" s="2">
        <v>101.33</v>
      </c>
      <c r="PD1079" s="2">
        <v>101.31</v>
      </c>
      <c r="PE1079" s="2">
        <v>102.44</v>
      </c>
      <c r="PF1079" s="2">
        <v>102.8</v>
      </c>
      <c r="PG1079" s="2">
        <v>102.09</v>
      </c>
      <c r="PH1079" s="2">
        <v>102.03</v>
      </c>
      <c r="PI1079" s="2">
        <v>103.07</v>
      </c>
    </row>
    <row r="1080">
      <c r="A1080" t="inlineStr">
        <is>
          <t>A130392365C</t>
        </is>
      </c>
      <c r="B1080" t="inlineStr">
        <is>
          <t>Contribution to All groups CPI Index Number ;  Tradables ;  Australia ;</t>
        </is>
      </c>
      <c r="C1080" t="inlineStr">
        <is>
          <t>Month</t>
        </is>
      </c>
      <c r="D1080" t="inlineStr">
        <is>
          <t>Index Points</t>
        </is>
      </c>
      <c r="E1080" t="inlineStr">
        <is>
          <t>Original</t>
        </is>
      </c>
      <c r="F1080" t="inlineStr">
        <is>
          <t>640106.xlsx</t>
        </is>
      </c>
      <c r="G1080" t="inlineStr">
        <is>
          <t>2024-12</t>
        </is>
      </c>
      <c r="H1080" t="inlineStr">
        <is>
          <t>2026-07</t>
        </is>
      </c>
      <c r="OH1080" s="2">
        <v>33.65</v>
      </c>
      <c r="OM1080" s="2">
        <v>33.32</v>
      </c>
      <c r="ON1080" s="2">
        <v>33.39</v>
      </c>
      <c r="OO1080" s="2">
        <v>33.33</v>
      </c>
      <c r="OP1080" s="2">
        <v>33.69</v>
      </c>
      <c r="OQ1080" s="2">
        <v>33.41</v>
      </c>
      <c r="OR1080" s="2">
        <v>33.46</v>
      </c>
      <c r="OS1080" s="2">
        <v>33.93</v>
      </c>
      <c r="OT1080" s="2">
        <v>33.95</v>
      </c>
      <c r="OU1080" s="2">
        <v>33.99</v>
      </c>
      <c r="OV1080" s="2">
        <v>33.84</v>
      </c>
      <c r="OW1080" s="2">
        <v>33.73</v>
      </c>
      <c r="OX1080" s="2">
        <v>34.37</v>
      </c>
      <c r="PC1080" s="2">
        <v>33.94</v>
      </c>
      <c r="PD1080" s="2">
        <v>33.83</v>
      </c>
      <c r="PE1080" s="2">
        <v>34.83</v>
      </c>
      <c r="PF1080" s="2">
        <v>34.75</v>
      </c>
      <c r="PG1080" s="2">
        <v>34.24</v>
      </c>
      <c r="PH1080" s="2">
        <v>33.97</v>
      </c>
      <c r="PI1080" s="2">
        <v>34.49</v>
      </c>
    </row>
    <row r="1081">
      <c r="A1081" t="inlineStr">
        <is>
          <t>A130395032K</t>
        </is>
      </c>
      <c r="B1081" t="inlineStr">
        <is>
          <t>Contribution to All groups CPI Index Number ;  Non-tradables ;  Australia ;</t>
        </is>
      </c>
      <c r="C1081" t="inlineStr">
        <is>
          <t>Month</t>
        </is>
      </c>
      <c r="D1081" t="inlineStr">
        <is>
          <t>Index Points</t>
        </is>
      </c>
      <c r="E1081" t="inlineStr">
        <is>
          <t>Original</t>
        </is>
      </c>
      <c r="F1081" t="inlineStr">
        <is>
          <t>640106.xlsx</t>
        </is>
      </c>
      <c r="G1081" t="inlineStr">
        <is>
          <t>2024-12</t>
        </is>
      </c>
      <c r="H1081" t="inlineStr">
        <is>
          <t>2026-07</t>
        </is>
      </c>
      <c r="OH1081" s="2">
        <v>63.66</v>
      </c>
      <c r="OM1081" s="2">
        <v>64.26000000000001</v>
      </c>
      <c r="ON1081" s="2">
        <v>64.28</v>
      </c>
      <c r="OO1081" s="2">
        <v>64.63</v>
      </c>
      <c r="OP1081" s="2">
        <v>64.98999999999999</v>
      </c>
      <c r="OQ1081" s="2">
        <v>64.79000000000001</v>
      </c>
      <c r="OR1081" s="2">
        <v>64.88</v>
      </c>
      <c r="OS1081" s="2">
        <v>65.7</v>
      </c>
      <c r="OT1081" s="2">
        <v>65.59999999999999</v>
      </c>
      <c r="OU1081" s="2">
        <v>66.01000000000001</v>
      </c>
      <c r="OV1081" s="2">
        <v>66.15000000000001</v>
      </c>
      <c r="OW1081" s="2">
        <v>66.28</v>
      </c>
      <c r="OX1081" s="2">
        <v>66.61</v>
      </c>
      <c r="PC1081" s="2">
        <v>67.39</v>
      </c>
      <c r="PD1081" s="2">
        <v>67.48999999999999</v>
      </c>
      <c r="PE1081" s="2">
        <v>67.61</v>
      </c>
      <c r="PF1081" s="2">
        <v>68.04000000000001</v>
      </c>
      <c r="PG1081" s="2">
        <v>67.84999999999999</v>
      </c>
      <c r="PH1081" s="2">
        <v>68.06</v>
      </c>
      <c r="PI1081" s="2">
        <v>68.58</v>
      </c>
    </row>
    <row r="1082">
      <c r="A1082" t="inlineStr">
        <is>
          <t>A130397427R</t>
        </is>
      </c>
      <c r="B1082" t="inlineStr">
        <is>
          <t>Contribution to All groups CPI Index Number ;  All groups, goods component ;  Australia ;</t>
        </is>
      </c>
      <c r="C1082" t="inlineStr">
        <is>
          <t>Month</t>
        </is>
      </c>
      <c r="D1082" t="inlineStr">
        <is>
          <t>Index Points</t>
        </is>
      </c>
      <c r="E1082" t="inlineStr">
        <is>
          <t>Original</t>
        </is>
      </c>
      <c r="F1082" t="inlineStr">
        <is>
          <t>640106.xlsx</t>
        </is>
      </c>
      <c r="G1082" t="inlineStr">
        <is>
          <t>2024-12</t>
        </is>
      </c>
      <c r="H1082" t="inlineStr">
        <is>
          <t>2026-07</t>
        </is>
      </c>
      <c r="OH1082" s="2">
        <v>50.96</v>
      </c>
      <c r="OM1082" s="2">
        <v>51.42</v>
      </c>
      <c r="ON1082" s="2">
        <v>51.64</v>
      </c>
      <c r="OO1082" s="2">
        <v>51.77</v>
      </c>
      <c r="OP1082" s="2">
        <v>51.98</v>
      </c>
      <c r="OQ1082" s="2">
        <v>51.89</v>
      </c>
      <c r="OR1082" s="2">
        <v>51.84</v>
      </c>
      <c r="OS1082" s="2">
        <v>52.67</v>
      </c>
      <c r="OT1082" s="2">
        <v>52.68</v>
      </c>
      <c r="OU1082" s="2">
        <v>52.69</v>
      </c>
      <c r="OV1082" s="2">
        <v>52.63</v>
      </c>
      <c r="OW1082" s="2">
        <v>52.74</v>
      </c>
      <c r="OX1082" s="2">
        <v>52.72</v>
      </c>
      <c r="PC1082" s="2">
        <v>53.39</v>
      </c>
      <c r="PD1082" s="2">
        <v>53.47</v>
      </c>
      <c r="PE1082" s="2">
        <v>54.59</v>
      </c>
      <c r="PF1082" s="2">
        <v>54.45</v>
      </c>
      <c r="PG1082" s="2">
        <v>54.08</v>
      </c>
      <c r="PH1082" s="2">
        <v>53.66</v>
      </c>
      <c r="PI1082" s="2">
        <v>54.35</v>
      </c>
    </row>
    <row r="1083">
      <c r="A1083" t="inlineStr">
        <is>
          <t>A130396117R</t>
        </is>
      </c>
      <c r="B1083" t="inlineStr">
        <is>
          <t>Contribution to All groups CPI Index Number ;  All groups, services component ;  Australia ;</t>
        </is>
      </c>
      <c r="C1083" t="inlineStr">
        <is>
          <t>Month</t>
        </is>
      </c>
      <c r="D1083" t="inlineStr">
        <is>
          <t>Index Points</t>
        </is>
      </c>
      <c r="E1083" t="inlineStr">
        <is>
          <t>Original</t>
        </is>
      </c>
      <c r="F1083" t="inlineStr">
        <is>
          <t>640106.xlsx</t>
        </is>
      </c>
      <c r="G1083" t="inlineStr">
        <is>
          <t>2024-12</t>
        </is>
      </c>
      <c r="H1083" t="inlineStr">
        <is>
          <t>2026-07</t>
        </is>
      </c>
      <c r="OH1083" s="2">
        <v>46.35</v>
      </c>
      <c r="OM1083" s="2">
        <v>46.16</v>
      </c>
      <c r="ON1083" s="2">
        <v>46.03</v>
      </c>
      <c r="OO1083" s="2">
        <v>46.19</v>
      </c>
      <c r="OP1083" s="2">
        <v>46.7</v>
      </c>
      <c r="OQ1083" s="2">
        <v>46.31</v>
      </c>
      <c r="OR1083" s="2">
        <v>46.5</v>
      </c>
      <c r="OS1083" s="2">
        <v>46.96</v>
      </c>
      <c r="OT1083" s="2">
        <v>46.87</v>
      </c>
      <c r="OU1083" s="2">
        <v>47.31</v>
      </c>
      <c r="OV1083" s="2">
        <v>47.36</v>
      </c>
      <c r="OW1083" s="2">
        <v>47.27</v>
      </c>
      <c r="OX1083" s="2">
        <v>48.26</v>
      </c>
      <c r="PC1083" s="2">
        <v>47.94</v>
      </c>
      <c r="PD1083" s="2">
        <v>47.85</v>
      </c>
      <c r="PE1083" s="2">
        <v>47.85</v>
      </c>
      <c r="PF1083" s="2">
        <v>48.35</v>
      </c>
      <c r="PG1083" s="2">
        <v>48.01</v>
      </c>
      <c r="PH1083" s="2">
        <v>48.37</v>
      </c>
      <c r="PI1083" s="2">
        <v>48.72</v>
      </c>
    </row>
    <row r="1084">
      <c r="A1084" t="inlineStr">
        <is>
          <t>A130395060V</t>
        </is>
      </c>
      <c r="B1084" t="inlineStr">
        <is>
          <t>Contribution to All groups CPI Index Number ;  Market goods and services excluding 'volatile items' - Goods ;  Australia ;</t>
        </is>
      </c>
      <c r="C1084" t="inlineStr">
        <is>
          <t>Month</t>
        </is>
      </c>
      <c r="D1084" t="inlineStr">
        <is>
          <t>Index Points</t>
        </is>
      </c>
      <c r="E1084" t="inlineStr">
        <is>
          <t>Original</t>
        </is>
      </c>
      <c r="F1084" t="inlineStr">
        <is>
          <t>640106.xlsx</t>
        </is>
      </c>
      <c r="G1084" t="inlineStr">
        <is>
          <t>2024-12</t>
        </is>
      </c>
      <c r="H1084" t="inlineStr">
        <is>
          <t>2026-07</t>
        </is>
      </c>
      <c r="OH1084" s="2">
        <v>41.12</v>
      </c>
      <c r="OM1084" s="2">
        <v>41.34</v>
      </c>
      <c r="ON1084" s="2">
        <v>41.57</v>
      </c>
      <c r="OO1084" s="2">
        <v>41.5</v>
      </c>
      <c r="OP1084" s="2">
        <v>41.73</v>
      </c>
      <c r="OQ1084" s="2">
        <v>41.74</v>
      </c>
      <c r="OR1084" s="2">
        <v>41.54</v>
      </c>
      <c r="OS1084" s="2">
        <v>41.98</v>
      </c>
      <c r="OT1084" s="2">
        <v>42.19</v>
      </c>
      <c r="OU1084" s="2">
        <v>42.26</v>
      </c>
      <c r="OV1084" s="2">
        <v>42.46</v>
      </c>
      <c r="OW1084" s="2">
        <v>42.3</v>
      </c>
      <c r="OX1084" s="2">
        <v>42.31</v>
      </c>
      <c r="PC1084" s="2">
        <v>42.61</v>
      </c>
      <c r="PD1084" s="2">
        <v>42.78</v>
      </c>
      <c r="PE1084" s="2">
        <v>42.83</v>
      </c>
      <c r="PF1084" s="2">
        <v>42.99</v>
      </c>
      <c r="PG1084" s="2">
        <v>43.09</v>
      </c>
      <c r="PH1084" s="2">
        <v>42.97</v>
      </c>
      <c r="PI1084" s="2">
        <v>43.43</v>
      </c>
    </row>
    <row r="1085">
      <c r="A1085" t="inlineStr">
        <is>
          <t>A130396145X</t>
        </is>
      </c>
      <c r="B1085" t="inlineStr">
        <is>
          <t>Contribution to All groups CPI Index Number ;  Market goods and services excluding 'volatile items' - Total ;  Australia ;</t>
        </is>
      </c>
      <c r="C1085" t="inlineStr">
        <is>
          <t>Month</t>
        </is>
      </c>
      <c r="D1085" t="inlineStr">
        <is>
          <t>Index Points</t>
        </is>
      </c>
      <c r="E1085" t="inlineStr">
        <is>
          <t>Original</t>
        </is>
      </c>
      <c r="F1085" t="inlineStr">
        <is>
          <t>640106.xlsx</t>
        </is>
      </c>
      <c r="G1085" t="inlineStr">
        <is>
          <t>2024-12</t>
        </is>
      </c>
      <c r="H1085" t="inlineStr">
        <is>
          <t>2026-07</t>
        </is>
      </c>
      <c r="OH1085" s="2">
        <v>73.45999999999999</v>
      </c>
      <c r="OM1085" s="2">
        <v>73.34999999999999</v>
      </c>
      <c r="ON1085" s="2">
        <v>73.2</v>
      </c>
      <c r="OO1085" s="2">
        <v>73.27</v>
      </c>
      <c r="OP1085" s="2">
        <v>73.88</v>
      </c>
      <c r="OQ1085" s="2">
        <v>73.51000000000001</v>
      </c>
      <c r="OR1085" s="2">
        <v>73.48999999999999</v>
      </c>
      <c r="OS1085" s="2">
        <v>74.34</v>
      </c>
      <c r="OT1085" s="2">
        <v>74.42</v>
      </c>
      <c r="OU1085" s="2">
        <v>74.79000000000001</v>
      </c>
      <c r="OV1085" s="2">
        <v>75.03</v>
      </c>
      <c r="OW1085" s="2">
        <v>74.81</v>
      </c>
      <c r="OX1085" s="2">
        <v>75.83</v>
      </c>
      <c r="PC1085" s="2">
        <v>75.68000000000001</v>
      </c>
      <c r="PD1085" s="2">
        <v>75.53</v>
      </c>
      <c r="PE1085" s="2">
        <v>75.59</v>
      </c>
      <c r="PF1085" s="2">
        <v>76.12</v>
      </c>
      <c r="PG1085" s="2">
        <v>75.90000000000001</v>
      </c>
      <c r="PH1085" s="2">
        <v>76.11</v>
      </c>
      <c r="PI1085" s="2">
        <v>76.86</v>
      </c>
    </row>
    <row r="1086">
      <c r="A1086" t="inlineStr">
        <is>
          <t>A130392407R</t>
        </is>
      </c>
      <c r="B1086" t="inlineStr">
        <is>
          <t>Contribution to All groups CPI Index Number ;  Market goods and services excluding 'volatile items' - Services ;  Australia ;</t>
        </is>
      </c>
      <c r="C1086" t="inlineStr">
        <is>
          <t>Month</t>
        </is>
      </c>
      <c r="D1086" t="inlineStr">
        <is>
          <t>Index Points</t>
        </is>
      </c>
      <c r="E1086" t="inlineStr">
        <is>
          <t>Original</t>
        </is>
      </c>
      <c r="F1086" t="inlineStr">
        <is>
          <t>640106.xlsx</t>
        </is>
      </c>
      <c r="G1086" t="inlineStr">
        <is>
          <t>2024-12</t>
        </is>
      </c>
      <c r="H1086" t="inlineStr">
        <is>
          <t>2026-07</t>
        </is>
      </c>
      <c r="OH1086" s="2">
        <v>32.34</v>
      </c>
      <c r="OM1086" s="2">
        <v>32.01</v>
      </c>
      <c r="ON1086" s="2">
        <v>31.63</v>
      </c>
      <c r="OO1086" s="2">
        <v>31.76</v>
      </c>
      <c r="OP1086" s="2">
        <v>32.15</v>
      </c>
      <c r="OQ1086" s="2">
        <v>31.77</v>
      </c>
      <c r="OR1086" s="2">
        <v>31.95</v>
      </c>
      <c r="OS1086" s="2">
        <v>32.36</v>
      </c>
      <c r="OT1086" s="2">
        <v>32.23</v>
      </c>
      <c r="OU1086" s="2">
        <v>32.54</v>
      </c>
      <c r="OV1086" s="2">
        <v>32.58</v>
      </c>
      <c r="OW1086" s="2">
        <v>32.51</v>
      </c>
      <c r="OX1086" s="2">
        <v>33.53</v>
      </c>
      <c r="PC1086" s="2">
        <v>33.07</v>
      </c>
      <c r="PD1086" s="2">
        <v>32.75</v>
      </c>
      <c r="PE1086" s="2">
        <v>32.76</v>
      </c>
      <c r="PF1086" s="2">
        <v>33.13</v>
      </c>
      <c r="PG1086" s="2">
        <v>32.8</v>
      </c>
      <c r="PH1086" s="2">
        <v>33.13</v>
      </c>
      <c r="PI1086" s="2">
        <v>33.43</v>
      </c>
    </row>
    <row r="1087">
      <c r="A1087" t="inlineStr">
        <is>
          <t>A130607790X</t>
        </is>
      </c>
      <c r="B1087" t="inlineStr">
        <is>
          <t>Contribution to All groups CPI Index Number ;  All groups CPI excluding 'volatile items' and holiday travel ;  Australia ;</t>
        </is>
      </c>
      <c r="C1087" t="inlineStr">
        <is>
          <t>Month</t>
        </is>
      </c>
      <c r="D1087" t="inlineStr">
        <is>
          <t>Index Points</t>
        </is>
      </c>
      <c r="E1087" t="inlineStr">
        <is>
          <t>Original</t>
        </is>
      </c>
      <c r="F1087" t="inlineStr">
        <is>
          <t>640106.xlsx</t>
        </is>
      </c>
      <c r="G1087" t="inlineStr">
        <is>
          <t>2024-12</t>
        </is>
      </c>
      <c r="H1087" t="inlineStr">
        <is>
          <t>2026-07</t>
        </is>
      </c>
      <c r="OH1087" s="2">
        <v>85.55</v>
      </c>
      <c r="OM1087" s="2">
        <v>86.18000000000001</v>
      </c>
      <c r="ON1087" s="2">
        <v>86.70999999999999</v>
      </c>
      <c r="OO1087" s="2">
        <v>86.87</v>
      </c>
      <c r="OP1087" s="2">
        <v>87.28</v>
      </c>
      <c r="OQ1087" s="2">
        <v>87.34</v>
      </c>
      <c r="OR1087" s="2">
        <v>87.19</v>
      </c>
      <c r="OS1087" s="2">
        <v>88.19</v>
      </c>
      <c r="OT1087" s="2">
        <v>88.36</v>
      </c>
      <c r="OU1087" s="2">
        <v>88.59999999999999</v>
      </c>
      <c r="OV1087" s="2">
        <v>88.66</v>
      </c>
      <c r="OW1087" s="2">
        <v>88.73999999999999</v>
      </c>
      <c r="OX1087" s="2">
        <v>88.78</v>
      </c>
      <c r="PC1087" s="2">
        <v>89.75</v>
      </c>
      <c r="PD1087" s="2">
        <v>90.25</v>
      </c>
      <c r="PE1087" s="2">
        <v>90.39</v>
      </c>
      <c r="PF1087" s="2">
        <v>90.69</v>
      </c>
      <c r="PG1087" s="2">
        <v>90.84999999999999</v>
      </c>
      <c r="PH1087" s="2">
        <v>90.87</v>
      </c>
      <c r="PI1087" s="2">
        <v>91.59</v>
      </c>
    </row>
    <row r="1088">
      <c r="A1088" t="inlineStr">
        <is>
          <t>A130397651J</t>
        </is>
      </c>
      <c r="B1088" t="inlineStr">
        <is>
          <t>Contribution to All groups CPI Index Number ;  All groups CPI excluding Food and non-alcoholic beverages ;  Australia ;</t>
        </is>
      </c>
      <c r="C1088" t="inlineStr">
        <is>
          <t>Month</t>
        </is>
      </c>
      <c r="D1088" t="inlineStr">
        <is>
          <t>Index Points</t>
        </is>
      </c>
      <c r="E1088" t="inlineStr">
        <is>
          <t>Original</t>
        </is>
      </c>
      <c r="F1088" t="inlineStr">
        <is>
          <t>640106.xlsx</t>
        </is>
      </c>
      <c r="G1088" t="inlineStr">
        <is>
          <t>2024-12</t>
        </is>
      </c>
      <c r="H1088" t="inlineStr">
        <is>
          <t>2026-07</t>
        </is>
      </c>
      <c r="OH1088" s="2">
        <v>80.38</v>
      </c>
      <c r="OM1088" s="2">
        <v>80.51000000000001</v>
      </c>
      <c r="ON1088" s="2">
        <v>80.62</v>
      </c>
      <c r="OO1088" s="2">
        <v>80.79000000000001</v>
      </c>
      <c r="OP1088" s="2">
        <v>81.45</v>
      </c>
      <c r="OQ1088" s="2">
        <v>80.94</v>
      </c>
      <c r="OR1088" s="2">
        <v>81.01000000000001</v>
      </c>
      <c r="OS1088" s="2">
        <v>82.23999999999999</v>
      </c>
      <c r="OT1088" s="2">
        <v>82.15000000000001</v>
      </c>
      <c r="OU1088" s="2">
        <v>82.64</v>
      </c>
      <c r="OV1088" s="2">
        <v>82.61</v>
      </c>
      <c r="OW1088" s="2">
        <v>82.56</v>
      </c>
      <c r="OX1088" s="2">
        <v>83.45999999999999</v>
      </c>
      <c r="PC1088" s="2">
        <v>83.72</v>
      </c>
      <c r="PD1088" s="2">
        <v>83.73</v>
      </c>
      <c r="PE1088" s="2">
        <v>84.73999999999999</v>
      </c>
      <c r="PF1088" s="2">
        <v>85.09</v>
      </c>
      <c r="PG1088" s="2">
        <v>84.28</v>
      </c>
      <c r="PH1088" s="2">
        <v>84.14</v>
      </c>
      <c r="PI1088" s="2">
        <v>85.13</v>
      </c>
    </row>
    <row r="1089">
      <c r="A1089" t="inlineStr">
        <is>
          <t>A130392666J</t>
        </is>
      </c>
      <c r="B1089" t="inlineStr">
        <is>
          <t>Contribution to All groups CPI Index Number ;  All groups CPI excluding Alcohol and tobacco ;  Australia ;</t>
        </is>
      </c>
      <c r="C1089" t="inlineStr">
        <is>
          <t>Month</t>
        </is>
      </c>
      <c r="D1089" t="inlineStr">
        <is>
          <t>Index Points</t>
        </is>
      </c>
      <c r="E1089" t="inlineStr">
        <is>
          <t>Original</t>
        </is>
      </c>
      <c r="F1089" t="inlineStr">
        <is>
          <t>640106.xlsx</t>
        </is>
      </c>
      <c r="G1089" t="inlineStr">
        <is>
          <t>2024-12</t>
        </is>
      </c>
      <c r="H1089" t="inlineStr">
        <is>
          <t>2026-07</t>
        </is>
      </c>
      <c r="OH1089" s="2">
        <v>90.97</v>
      </c>
      <c r="OM1089" s="2">
        <v>91.2</v>
      </c>
      <c r="ON1089" s="2">
        <v>91.23</v>
      </c>
      <c r="OO1089" s="2">
        <v>91.47</v>
      </c>
      <c r="OP1089" s="2">
        <v>92.22</v>
      </c>
      <c r="OQ1089" s="2">
        <v>91.7</v>
      </c>
      <c r="OR1089" s="2">
        <v>91.86</v>
      </c>
      <c r="OS1089" s="2">
        <v>93.08</v>
      </c>
      <c r="OT1089" s="2">
        <v>92.98999999999999</v>
      </c>
      <c r="OU1089" s="2">
        <v>93.36</v>
      </c>
      <c r="OV1089" s="2">
        <v>93.34999999999999</v>
      </c>
      <c r="OW1089" s="2">
        <v>93.36</v>
      </c>
      <c r="OX1089" s="2">
        <v>94.33</v>
      </c>
      <c r="PC1089" s="2">
        <v>94.62</v>
      </c>
      <c r="PD1089" s="2">
        <v>94.59999999999999</v>
      </c>
      <c r="PE1089" s="2">
        <v>95.67</v>
      </c>
      <c r="PF1089" s="2">
        <v>96.05</v>
      </c>
      <c r="PG1089" s="2">
        <v>95.29000000000001</v>
      </c>
      <c r="PH1089" s="2">
        <v>95.27</v>
      </c>
      <c r="PI1089" s="2">
        <v>96.22</v>
      </c>
    </row>
    <row r="1090">
      <c r="A1090" t="inlineStr">
        <is>
          <t>A130396369K</t>
        </is>
      </c>
      <c r="B1090" t="inlineStr">
        <is>
          <t>Contribution to All groups CPI Index Number ;  All groups CPI excluding Clothing and footwear ;  Australia ;</t>
        </is>
      </c>
      <c r="C1090" t="inlineStr">
        <is>
          <t>Month</t>
        </is>
      </c>
      <c r="D1090" t="inlineStr">
        <is>
          <t>Index Points</t>
        </is>
      </c>
      <c r="E1090" t="inlineStr">
        <is>
          <t>Original</t>
        </is>
      </c>
      <c r="F1090" t="inlineStr">
        <is>
          <t>640106.xlsx</t>
        </is>
      </c>
      <c r="G1090" t="inlineStr">
        <is>
          <t>2024-12</t>
        </is>
      </c>
      <c r="H1090" t="inlineStr">
        <is>
          <t>2026-07</t>
        </is>
      </c>
      <c r="OH1090" s="2">
        <v>94.22</v>
      </c>
      <c r="OM1090" s="2">
        <v>94.47</v>
      </c>
      <c r="ON1090" s="2">
        <v>94.45999999999999</v>
      </c>
      <c r="OO1090" s="2">
        <v>94.88</v>
      </c>
      <c r="OP1090" s="2">
        <v>95.44</v>
      </c>
      <c r="OQ1090" s="2">
        <v>95.02</v>
      </c>
      <c r="OR1090" s="2">
        <v>95.19</v>
      </c>
      <c r="OS1090" s="2">
        <v>96.41</v>
      </c>
      <c r="OT1090" s="2">
        <v>96.29000000000001</v>
      </c>
      <c r="OU1090" s="2">
        <v>96.75</v>
      </c>
      <c r="OV1090" s="2">
        <v>96.67</v>
      </c>
      <c r="OW1090" s="2">
        <v>96.79000000000001</v>
      </c>
      <c r="OX1090" s="2">
        <v>97.78</v>
      </c>
      <c r="PC1090" s="2">
        <v>98.05</v>
      </c>
      <c r="PD1090" s="2">
        <v>97.95</v>
      </c>
      <c r="PE1090" s="2">
        <v>99.14</v>
      </c>
      <c r="PF1090" s="2">
        <v>99.37</v>
      </c>
      <c r="PG1090" s="2">
        <v>98.76000000000001</v>
      </c>
      <c r="PH1090" s="2">
        <v>98.73999999999999</v>
      </c>
      <c r="PI1090" s="2">
        <v>99.69</v>
      </c>
    </row>
    <row r="1091">
      <c r="A1091" t="inlineStr">
        <is>
          <t>A130390118J</t>
        </is>
      </c>
      <c r="B1091" t="inlineStr">
        <is>
          <t>Contribution to All groups CPI Index Number ;  All groups CPI excluding Housing ;  Australia ;</t>
        </is>
      </c>
      <c r="C1091" t="inlineStr">
        <is>
          <t>Month</t>
        </is>
      </c>
      <c r="D1091" t="inlineStr">
        <is>
          <t>Index Points</t>
        </is>
      </c>
      <c r="E1091" t="inlineStr">
        <is>
          <t>Original</t>
        </is>
      </c>
      <c r="F1091" t="inlineStr">
        <is>
          <t>640106.xlsx</t>
        </is>
      </c>
      <c r="G1091" t="inlineStr">
        <is>
          <t>2024-12</t>
        </is>
      </c>
      <c r="H1091" t="inlineStr">
        <is>
          <t>2026-07</t>
        </is>
      </c>
      <c r="OH1091" s="2">
        <v>76.48999999999999</v>
      </c>
      <c r="OM1091" s="2">
        <v>76.56999999999999</v>
      </c>
      <c r="ON1091" s="2">
        <v>76.68000000000001</v>
      </c>
      <c r="OO1091" s="2">
        <v>76.78</v>
      </c>
      <c r="OP1091" s="2">
        <v>77.42</v>
      </c>
      <c r="OQ1091" s="2">
        <v>76.88</v>
      </c>
      <c r="OR1091" s="2">
        <v>76.98999999999999</v>
      </c>
      <c r="OS1091" s="2">
        <v>77.83</v>
      </c>
      <c r="OT1091" s="2">
        <v>77.84999999999999</v>
      </c>
      <c r="OU1091" s="2">
        <v>78.13</v>
      </c>
      <c r="OV1091" s="2">
        <v>78.31</v>
      </c>
      <c r="OW1091" s="2">
        <v>78.08</v>
      </c>
      <c r="OX1091" s="2">
        <v>79.01000000000001</v>
      </c>
      <c r="PC1091" s="2">
        <v>78.89</v>
      </c>
      <c r="PD1091" s="2">
        <v>78.81</v>
      </c>
      <c r="PE1091" s="2">
        <v>79.89</v>
      </c>
      <c r="PF1091" s="2">
        <v>80.2</v>
      </c>
      <c r="PG1091" s="2">
        <v>79.39</v>
      </c>
      <c r="PH1091" s="2">
        <v>79.23</v>
      </c>
      <c r="PI1091" s="2">
        <v>80.17</v>
      </c>
    </row>
    <row r="1092">
      <c r="A1092" t="inlineStr">
        <is>
          <t>A130398865J</t>
        </is>
      </c>
      <c r="B1092" t="inlineStr">
        <is>
          <t>Contribution to All groups CPI Index Number ;  All groups CPI excluding Furnishings, household equipment and services ;  Australia ;</t>
        </is>
      </c>
      <c r="C1092" t="inlineStr">
        <is>
          <t>Month</t>
        </is>
      </c>
      <c r="D1092" t="inlineStr">
        <is>
          <t>Index Points</t>
        </is>
      </c>
      <c r="E1092" t="inlineStr">
        <is>
          <t>Original</t>
        </is>
      </c>
      <c r="F1092" t="inlineStr">
        <is>
          <t>640106.xlsx</t>
        </is>
      </c>
      <c r="G1092" t="inlineStr">
        <is>
          <t>2024-12</t>
        </is>
      </c>
      <c r="H1092" t="inlineStr">
        <is>
          <t>2026-07</t>
        </is>
      </c>
      <c r="OH1092" s="2">
        <v>89.63</v>
      </c>
      <c r="OM1092" s="2">
        <v>89.88</v>
      </c>
      <c r="ON1092" s="2">
        <v>89.89</v>
      </c>
      <c r="OO1092" s="2">
        <v>90.2</v>
      </c>
      <c r="OP1092" s="2">
        <v>90.89</v>
      </c>
      <c r="OQ1092" s="2">
        <v>90.43000000000001</v>
      </c>
      <c r="OR1092" s="2">
        <v>90.66</v>
      </c>
      <c r="OS1092" s="2">
        <v>91.8</v>
      </c>
      <c r="OT1092" s="2">
        <v>91.66</v>
      </c>
      <c r="OU1092" s="2">
        <v>92.13</v>
      </c>
      <c r="OV1092" s="2">
        <v>92.06999999999999</v>
      </c>
      <c r="OW1092" s="2">
        <v>92.16</v>
      </c>
      <c r="OX1092" s="2">
        <v>93.13</v>
      </c>
      <c r="PC1092" s="2">
        <v>93.52</v>
      </c>
      <c r="PD1092" s="2">
        <v>93.44</v>
      </c>
      <c r="PE1092" s="2">
        <v>94.58</v>
      </c>
      <c r="PF1092" s="2">
        <v>94.91</v>
      </c>
      <c r="PG1092" s="2">
        <v>94.2</v>
      </c>
      <c r="PH1092" s="2">
        <v>94.23999999999999</v>
      </c>
      <c r="PI1092" s="2">
        <v>95.11</v>
      </c>
    </row>
    <row r="1093">
      <c r="A1093" t="inlineStr">
        <is>
          <t>A130394038F</t>
        </is>
      </c>
      <c r="B1093" t="inlineStr">
        <is>
          <t>Contribution to All groups CPI Index Number ;  All groups CPI excluding Health ;  Australia ;</t>
        </is>
      </c>
      <c r="C1093" t="inlineStr">
        <is>
          <t>Month</t>
        </is>
      </c>
      <c r="D1093" t="inlineStr">
        <is>
          <t>Index Points</t>
        </is>
      </c>
      <c r="E1093" t="inlineStr">
        <is>
          <t>Original</t>
        </is>
      </c>
      <c r="F1093" t="inlineStr">
        <is>
          <t>640106.xlsx</t>
        </is>
      </c>
      <c r="G1093" t="inlineStr">
        <is>
          <t>2024-12</t>
        </is>
      </c>
      <c r="H1093" t="inlineStr">
        <is>
          <t>2026-07</t>
        </is>
      </c>
      <c r="OH1093" s="2">
        <v>90.79000000000001</v>
      </c>
      <c r="OM1093" s="2">
        <v>90.86</v>
      </c>
      <c r="ON1093" s="2">
        <v>90.94</v>
      </c>
      <c r="OO1093" s="2">
        <v>91.23</v>
      </c>
      <c r="OP1093" s="2">
        <v>91.84</v>
      </c>
      <c r="OQ1093" s="2">
        <v>91.37</v>
      </c>
      <c r="OR1093" s="2">
        <v>91.52</v>
      </c>
      <c r="OS1093" s="2">
        <v>92.81</v>
      </c>
      <c r="OT1093" s="2">
        <v>92.73</v>
      </c>
      <c r="OU1093" s="2">
        <v>93.18000000000001</v>
      </c>
      <c r="OV1093" s="2">
        <v>93.17</v>
      </c>
      <c r="OW1093" s="2">
        <v>93.22</v>
      </c>
      <c r="OX1093" s="2">
        <v>94.20999999999999</v>
      </c>
      <c r="PC1093" s="2">
        <v>94.39</v>
      </c>
      <c r="PD1093" s="2">
        <v>94.37</v>
      </c>
      <c r="PE1093" s="2">
        <v>95.51000000000001</v>
      </c>
      <c r="PF1093" s="2">
        <v>95.68000000000001</v>
      </c>
      <c r="PG1093" s="2">
        <v>95.01000000000001</v>
      </c>
      <c r="PH1093" s="2">
        <v>94.95999999999999</v>
      </c>
      <c r="PI1093" s="2">
        <v>95.98999999999999</v>
      </c>
    </row>
    <row r="1094">
      <c r="A1094" t="inlineStr">
        <is>
          <t>A130398893T</t>
        </is>
      </c>
      <c r="B1094" t="inlineStr">
        <is>
          <t>Contribution to All groups CPI Index Number ;  All groups CPI excluding Transport ;  Australia ;</t>
        </is>
      </c>
      <c r="C1094" t="inlineStr">
        <is>
          <t>Month</t>
        </is>
      </c>
      <c r="D1094" t="inlineStr">
        <is>
          <t>Index Points</t>
        </is>
      </c>
      <c r="E1094" t="inlineStr">
        <is>
          <t>Original</t>
        </is>
      </c>
      <c r="F1094" t="inlineStr">
        <is>
          <t>640106.xlsx</t>
        </is>
      </c>
      <c r="G1094" t="inlineStr">
        <is>
          <t>2024-12</t>
        </is>
      </c>
      <c r="H1094" t="inlineStr">
        <is>
          <t>2026-07</t>
        </is>
      </c>
      <c r="OH1094" s="2">
        <v>86.13</v>
      </c>
      <c r="OM1094" s="2">
        <v>86.42</v>
      </c>
      <c r="ON1094" s="2">
        <v>86.44</v>
      </c>
      <c r="OO1094" s="2">
        <v>86.73</v>
      </c>
      <c r="OP1094" s="2">
        <v>87.52</v>
      </c>
      <c r="OQ1094" s="2">
        <v>87.12</v>
      </c>
      <c r="OR1094" s="2">
        <v>87.20999999999999</v>
      </c>
      <c r="OS1094" s="2">
        <v>88.38</v>
      </c>
      <c r="OT1094" s="2">
        <v>88.28</v>
      </c>
      <c r="OU1094" s="2">
        <v>88.70999999999999</v>
      </c>
      <c r="OV1094" s="2">
        <v>88.68000000000001</v>
      </c>
      <c r="OW1094" s="2">
        <v>88.66</v>
      </c>
      <c r="OX1094" s="2">
        <v>89.61</v>
      </c>
      <c r="PC1094" s="2">
        <v>90.05</v>
      </c>
      <c r="PD1094" s="2">
        <v>90.11</v>
      </c>
      <c r="PE1094" s="2">
        <v>90.20999999999999</v>
      </c>
      <c r="PF1094" s="2">
        <v>90.90000000000001</v>
      </c>
      <c r="PG1094" s="2">
        <v>90.65000000000001</v>
      </c>
      <c r="PH1094" s="2">
        <v>90.90000000000001</v>
      </c>
      <c r="PI1094" s="2">
        <v>91.64</v>
      </c>
    </row>
    <row r="1095">
      <c r="A1095" t="inlineStr">
        <is>
          <t>A130392722R</t>
        </is>
      </c>
      <c r="B1095" t="inlineStr">
        <is>
          <t>Contribution to All groups CPI Index Number ;  All groups CPI excluding Communication ;  Australia ;</t>
        </is>
      </c>
      <c r="C1095" t="inlineStr">
        <is>
          <t>Month</t>
        </is>
      </c>
      <c r="D1095" t="inlineStr">
        <is>
          <t>Index Points</t>
        </is>
      </c>
      <c r="E1095" t="inlineStr">
        <is>
          <t>Original</t>
        </is>
      </c>
      <c r="F1095" t="inlineStr">
        <is>
          <t>640106.xlsx</t>
        </is>
      </c>
      <c r="G1095" t="inlineStr">
        <is>
          <t>2024-12</t>
        </is>
      </c>
      <c r="H1095" t="inlineStr">
        <is>
          <t>2026-07</t>
        </is>
      </c>
      <c r="OH1095" s="2">
        <v>95.25</v>
      </c>
      <c r="OM1095" s="2">
        <v>95.53</v>
      </c>
      <c r="ON1095" s="2">
        <v>95.59999999999999</v>
      </c>
      <c r="OO1095" s="2">
        <v>95.89</v>
      </c>
      <c r="OP1095" s="2">
        <v>96.61</v>
      </c>
      <c r="OQ1095" s="2">
        <v>96.13</v>
      </c>
      <c r="OR1095" s="2">
        <v>96.29000000000001</v>
      </c>
      <c r="OS1095" s="2">
        <v>97.55</v>
      </c>
      <c r="OT1095" s="2">
        <v>97.45999999999999</v>
      </c>
      <c r="OU1095" s="2">
        <v>97.91</v>
      </c>
      <c r="OV1095" s="2">
        <v>97.91</v>
      </c>
      <c r="OW1095" s="2">
        <v>97.92</v>
      </c>
      <c r="OX1095" s="2">
        <v>98.89</v>
      </c>
      <c r="PC1095" s="2">
        <v>99.25</v>
      </c>
      <c r="PD1095" s="2">
        <v>99.23</v>
      </c>
      <c r="PE1095" s="2">
        <v>100.35</v>
      </c>
      <c r="PF1095" s="2">
        <v>100.69</v>
      </c>
      <c r="PG1095" s="2">
        <v>99.98999999999999</v>
      </c>
      <c r="PH1095" s="2">
        <v>99.94</v>
      </c>
      <c r="PI1095" s="2">
        <v>100.94</v>
      </c>
    </row>
    <row r="1096">
      <c r="A1096" t="inlineStr">
        <is>
          <t>A130395263V</t>
        </is>
      </c>
      <c r="B1096" t="inlineStr">
        <is>
          <t>Contribution to All groups CPI Index Number ;  All groups CPI excluding Recreation and culture ;  Australia ;</t>
        </is>
      </c>
      <c r="C1096" t="inlineStr">
        <is>
          <t>Month</t>
        </is>
      </c>
      <c r="D1096" t="inlineStr">
        <is>
          <t>Index Points</t>
        </is>
      </c>
      <c r="E1096" t="inlineStr">
        <is>
          <t>Original</t>
        </is>
      </c>
      <c r="F1096" t="inlineStr">
        <is>
          <t>640106.xlsx</t>
        </is>
      </c>
      <c r="G1096" t="inlineStr">
        <is>
          <t>2024-12</t>
        </is>
      </c>
      <c r="H1096" t="inlineStr">
        <is>
          <t>2026-07</t>
        </is>
      </c>
      <c r="OH1096" s="2">
        <v>84.56999999999999</v>
      </c>
      <c r="OM1096" s="2">
        <v>85.18000000000001</v>
      </c>
      <c r="ON1096" s="2">
        <v>85.69</v>
      </c>
      <c r="OO1096" s="2">
        <v>85.92</v>
      </c>
      <c r="OP1096" s="2">
        <v>86.3</v>
      </c>
      <c r="OQ1096" s="2">
        <v>86.18000000000001</v>
      </c>
      <c r="OR1096" s="2">
        <v>86.22</v>
      </c>
      <c r="OS1096" s="2">
        <v>87.2</v>
      </c>
      <c r="OT1096" s="2">
        <v>87.29000000000001</v>
      </c>
      <c r="OU1096" s="2">
        <v>87.45999999999999</v>
      </c>
      <c r="OV1096" s="2">
        <v>87.47</v>
      </c>
      <c r="OW1096" s="2">
        <v>87.62</v>
      </c>
      <c r="OX1096" s="2">
        <v>87.68000000000001</v>
      </c>
      <c r="PC1096" s="2">
        <v>88.48</v>
      </c>
      <c r="PD1096" s="2">
        <v>88.84999999999999</v>
      </c>
      <c r="PE1096" s="2">
        <v>90.06</v>
      </c>
      <c r="PF1096" s="2">
        <v>90.09999999999999</v>
      </c>
      <c r="PG1096" s="2">
        <v>89.79000000000001</v>
      </c>
      <c r="PH1096" s="2">
        <v>89.51000000000001</v>
      </c>
      <c r="PI1096" s="2">
        <v>90.31999999999999</v>
      </c>
    </row>
    <row r="1097">
      <c r="A1097" t="inlineStr">
        <is>
          <t>A130398921R</t>
        </is>
      </c>
      <c r="B1097" t="inlineStr">
        <is>
          <t>Contribution to All groups CPI Index Number ;  All groups CPI excluding Education ;  Australia ;</t>
        </is>
      </c>
      <c r="C1097" t="inlineStr">
        <is>
          <t>Month</t>
        </is>
      </c>
      <c r="D1097" t="inlineStr">
        <is>
          <t>Index Points</t>
        </is>
      </c>
      <c r="E1097" t="inlineStr">
        <is>
          <t>Original</t>
        </is>
      </c>
      <c r="F1097" t="inlineStr">
        <is>
          <t>640106.xlsx</t>
        </is>
      </c>
      <c r="G1097" t="inlineStr">
        <is>
          <t>2024-12</t>
        </is>
      </c>
      <c r="H1097" t="inlineStr">
        <is>
          <t>2026-07</t>
        </is>
      </c>
      <c r="OH1097" s="2">
        <v>92.78</v>
      </c>
      <c r="OM1097" s="2">
        <v>93.05</v>
      </c>
      <c r="ON1097" s="2">
        <v>92.91</v>
      </c>
      <c r="OO1097" s="2">
        <v>93.2</v>
      </c>
      <c r="OP1097" s="2">
        <v>93.92</v>
      </c>
      <c r="OQ1097" s="2">
        <v>93.44</v>
      </c>
      <c r="OR1097" s="2">
        <v>93.58</v>
      </c>
      <c r="OS1097" s="2">
        <v>94.87</v>
      </c>
      <c r="OT1097" s="2">
        <v>94.79000000000001</v>
      </c>
      <c r="OU1097" s="2">
        <v>95.23</v>
      </c>
      <c r="OV1097" s="2">
        <v>95.22</v>
      </c>
      <c r="OW1097" s="2">
        <v>95.23999999999999</v>
      </c>
      <c r="OX1097" s="2">
        <v>96.2</v>
      </c>
      <c r="PC1097" s="2">
        <v>96.56</v>
      </c>
      <c r="PD1097" s="2">
        <v>96.33</v>
      </c>
      <c r="PE1097" s="2">
        <v>97.45999999999999</v>
      </c>
      <c r="PF1097" s="2">
        <v>97.81</v>
      </c>
      <c r="PG1097" s="2">
        <v>97.11</v>
      </c>
      <c r="PH1097" s="2">
        <v>97.05</v>
      </c>
      <c r="PI1097" s="2">
        <v>98.08</v>
      </c>
    </row>
    <row r="1098">
      <c r="A1098" t="inlineStr">
        <is>
          <t>A130394080K</t>
        </is>
      </c>
      <c r="B1098" t="inlineStr">
        <is>
          <t>Contribution to All groups CPI Index Number ;  All groups CPI excluding Insurance and financial services ;  Australia ;</t>
        </is>
      </c>
      <c r="C1098" t="inlineStr">
        <is>
          <t>Month</t>
        </is>
      </c>
      <c r="D1098" t="inlineStr">
        <is>
          <t>Index Points</t>
        </is>
      </c>
      <c r="E1098" t="inlineStr">
        <is>
          <t>Original</t>
        </is>
      </c>
      <c r="F1098" t="inlineStr">
        <is>
          <t>640106.xlsx</t>
        </is>
      </c>
      <c r="G1098" t="inlineStr">
        <is>
          <t>2024-12</t>
        </is>
      </c>
      <c r="H1098" t="inlineStr">
        <is>
          <t>2026-07</t>
        </is>
      </c>
      <c r="OH1098" s="2">
        <v>91.89</v>
      </c>
      <c r="OM1098" s="2">
        <v>92.13</v>
      </c>
      <c r="ON1098" s="2">
        <v>92.22</v>
      </c>
      <c r="OO1098" s="2">
        <v>92.48999999999999</v>
      </c>
      <c r="OP1098" s="2">
        <v>93.22</v>
      </c>
      <c r="OQ1098" s="2">
        <v>92.73999999999999</v>
      </c>
      <c r="OR1098" s="2">
        <v>92.84999999999999</v>
      </c>
      <c r="OS1098" s="2">
        <v>94.12</v>
      </c>
      <c r="OT1098" s="2">
        <v>94.06</v>
      </c>
      <c r="OU1098" s="2">
        <v>94.48999999999999</v>
      </c>
      <c r="OV1098" s="2">
        <v>94.47</v>
      </c>
      <c r="OW1098" s="2">
        <v>94.48</v>
      </c>
      <c r="OX1098" s="2">
        <v>95.42</v>
      </c>
      <c r="PC1098" s="2">
        <v>95.75</v>
      </c>
      <c r="PD1098" s="2">
        <v>95.73</v>
      </c>
      <c r="PE1098" s="2">
        <v>96.81999999999999</v>
      </c>
      <c r="PF1098" s="2">
        <v>97.17</v>
      </c>
      <c r="PG1098" s="2">
        <v>96.45999999999999</v>
      </c>
      <c r="PH1098" s="2">
        <v>96.36</v>
      </c>
      <c r="PI1098" s="2">
        <v>97.39</v>
      </c>
    </row>
    <row r="1099">
      <c r="A1099" t="inlineStr">
        <is>
          <t>A130390195L</t>
        </is>
      </c>
      <c r="B1099" t="inlineStr">
        <is>
          <t>Contribution to All groups CPI Index Number ;  All groups CPI excluding Housing and Insurance and financial services ;  Australia ;</t>
        </is>
      </c>
      <c r="C1099" t="inlineStr">
        <is>
          <t>Month</t>
        </is>
      </c>
      <c r="D1099" t="inlineStr">
        <is>
          <t>Index Points</t>
        </is>
      </c>
      <c r="E1099" t="inlineStr">
        <is>
          <t>Original</t>
        </is>
      </c>
      <c r="F1099" t="inlineStr">
        <is>
          <t>640106.xlsx</t>
        </is>
      </c>
      <c r="G1099" t="inlineStr">
        <is>
          <t>2024-12</t>
        </is>
      </c>
      <c r="H1099" t="inlineStr">
        <is>
          <t>2026-07</t>
        </is>
      </c>
      <c r="OH1099" s="2">
        <v>71.06999999999999</v>
      </c>
      <c r="OM1099" s="2">
        <v>71.12</v>
      </c>
      <c r="ON1099" s="2">
        <v>71.23</v>
      </c>
      <c r="OO1099" s="2">
        <v>71.31</v>
      </c>
      <c r="OP1099" s="2">
        <v>71.95</v>
      </c>
      <c r="OQ1099" s="2">
        <v>71.42</v>
      </c>
      <c r="OR1099" s="2">
        <v>71.5</v>
      </c>
      <c r="OS1099" s="2">
        <v>72.31999999999999</v>
      </c>
      <c r="OT1099" s="2">
        <v>72.34999999999999</v>
      </c>
      <c r="OU1099" s="2">
        <v>72.62</v>
      </c>
      <c r="OV1099" s="2">
        <v>72.78</v>
      </c>
      <c r="OW1099" s="2">
        <v>72.55</v>
      </c>
      <c r="OX1099" s="2">
        <v>73.45999999999999</v>
      </c>
      <c r="PC1099" s="2">
        <v>73.31999999999999</v>
      </c>
      <c r="PD1099" s="2">
        <v>73.23</v>
      </c>
      <c r="PE1099" s="2">
        <v>74.27</v>
      </c>
      <c r="PF1099" s="2">
        <v>74.56999999999999</v>
      </c>
      <c r="PG1099" s="2">
        <v>73.76000000000001</v>
      </c>
      <c r="PH1099" s="2">
        <v>73.56</v>
      </c>
      <c r="PI1099" s="2">
        <v>74.48999999999999</v>
      </c>
    </row>
    <row r="1100">
      <c r="A1100" t="inlineStr">
        <is>
          <t>A130390167C</t>
        </is>
      </c>
      <c r="B1100" t="inlineStr">
        <is>
          <t>Contribution to All groups CPI Index Number ;  All groups CPI excluding Medical and hospital services ;  Australia ;</t>
        </is>
      </c>
      <c r="C1100" t="inlineStr">
        <is>
          <t>Month</t>
        </is>
      </c>
      <c r="D1100" t="inlineStr">
        <is>
          <t>Index Points</t>
        </is>
      </c>
      <c r="E1100" t="inlineStr">
        <is>
          <t>Original</t>
        </is>
      </c>
      <c r="F1100" t="inlineStr">
        <is>
          <t>640106.xlsx</t>
        </is>
      </c>
      <c r="G1100" t="inlineStr">
        <is>
          <t>2024-12</t>
        </is>
      </c>
      <c r="H1100" t="inlineStr">
        <is>
          <t>2026-07</t>
        </is>
      </c>
      <c r="OH1100" s="2">
        <v>92.43000000000001</v>
      </c>
      <c r="OM1100" s="2">
        <v>92.55</v>
      </c>
      <c r="ON1100" s="2">
        <v>92.64</v>
      </c>
      <c r="OO1100" s="2">
        <v>92.93000000000001</v>
      </c>
      <c r="OP1100" s="2">
        <v>93.53</v>
      </c>
      <c r="OQ1100" s="2">
        <v>93.06</v>
      </c>
      <c r="OR1100" s="2">
        <v>93.2</v>
      </c>
      <c r="OS1100" s="2">
        <v>94.48999999999999</v>
      </c>
      <c r="OT1100" s="2">
        <v>94.41</v>
      </c>
      <c r="OU1100" s="2">
        <v>94.86</v>
      </c>
      <c r="OV1100" s="2">
        <v>94.84999999999999</v>
      </c>
      <c r="OW1100" s="2">
        <v>94.89</v>
      </c>
      <c r="OX1100" s="2">
        <v>95.88</v>
      </c>
      <c r="PC1100" s="2">
        <v>96.09</v>
      </c>
      <c r="PD1100" s="2">
        <v>96.06999999999999</v>
      </c>
      <c r="PE1100" s="2">
        <v>97.22</v>
      </c>
      <c r="PF1100" s="2">
        <v>97.39</v>
      </c>
      <c r="PG1100" s="2">
        <v>96.7</v>
      </c>
      <c r="PH1100" s="2">
        <v>96.64</v>
      </c>
      <c r="PI1100" s="2">
        <v>97.67</v>
      </c>
    </row>
    <row r="1101">
      <c r="A1101" t="inlineStr">
        <is>
          <t>A130391637C</t>
        </is>
      </c>
      <c r="B1101" t="inlineStr">
        <is>
          <t>Contribution to All groups CPI Index Number ;  All groups CPI excluding food and energy ;  Australia ;</t>
        </is>
      </c>
      <c r="C1101" t="inlineStr">
        <is>
          <t>Month</t>
        </is>
      </c>
      <c r="D1101" t="inlineStr">
        <is>
          <t>Index Points</t>
        </is>
      </c>
      <c r="E1101" t="inlineStr">
        <is>
          <t>Original</t>
        </is>
      </c>
      <c r="F1101" t="inlineStr">
        <is>
          <t>640106.xlsx</t>
        </is>
      </c>
      <c r="G1101" t="inlineStr">
        <is>
          <t>2024-12</t>
        </is>
      </c>
      <c r="H1101" t="inlineStr">
        <is>
          <t>2026-07</t>
        </is>
      </c>
      <c r="OH1101" s="2">
        <v>78.09</v>
      </c>
      <c r="OM1101" s="2">
        <v>78.09999999999999</v>
      </c>
      <c r="ON1101" s="2">
        <v>78.23</v>
      </c>
      <c r="OO1101" s="2">
        <v>78.26000000000001</v>
      </c>
      <c r="OP1101" s="2">
        <v>78.98</v>
      </c>
      <c r="OQ1101" s="2">
        <v>78.55</v>
      </c>
      <c r="OR1101" s="2">
        <v>78.53</v>
      </c>
      <c r="OS1101" s="2">
        <v>79.41</v>
      </c>
      <c r="OT1101" s="2">
        <v>79.47</v>
      </c>
      <c r="OU1101" s="2">
        <v>79.95</v>
      </c>
      <c r="OV1101" s="2">
        <v>80.23</v>
      </c>
      <c r="OW1101" s="2">
        <v>79.94</v>
      </c>
      <c r="OX1101" s="2">
        <v>80.88</v>
      </c>
      <c r="PC1101" s="2">
        <v>80.84</v>
      </c>
      <c r="PD1101" s="2">
        <v>80.94</v>
      </c>
      <c r="PE1101" s="2">
        <v>80.95</v>
      </c>
      <c r="PF1101" s="2">
        <v>81.61</v>
      </c>
      <c r="PG1101" s="2">
        <v>81.28</v>
      </c>
      <c r="PH1101" s="2">
        <v>81.47</v>
      </c>
      <c r="PI1101" s="2">
        <v>82.3</v>
      </c>
    </row>
    <row r="1102">
      <c r="A1102" t="inlineStr">
        <is>
          <t>A130389936L</t>
        </is>
      </c>
      <c r="B1102" t="inlineStr">
        <is>
          <t>Contribution to All groups CPI Index Number ;  All groups CPI excluding 'volatile items' ;  Australia ;</t>
        </is>
      </c>
      <c r="C1102" t="inlineStr">
        <is>
          <t>Month</t>
        </is>
      </c>
      <c r="D1102" t="inlineStr">
        <is>
          <t>Index Points</t>
        </is>
      </c>
      <c r="E1102" t="inlineStr">
        <is>
          <t>Original</t>
        </is>
      </c>
      <c r="F1102" t="inlineStr">
        <is>
          <t>640106.xlsx</t>
        </is>
      </c>
      <c r="G1102" t="inlineStr">
        <is>
          <t>2024-12</t>
        </is>
      </c>
      <c r="H1102" t="inlineStr">
        <is>
          <t>2026-07</t>
        </is>
      </c>
      <c r="OH1102" s="2">
        <v>92.04000000000001</v>
      </c>
      <c r="OM1102" s="2">
        <v>92.29000000000001</v>
      </c>
      <c r="ON1102" s="2">
        <v>92.34999999999999</v>
      </c>
      <c r="OO1102" s="2">
        <v>92.61</v>
      </c>
      <c r="OP1102" s="2">
        <v>93.37</v>
      </c>
      <c r="OQ1102" s="2">
        <v>92.98999999999999</v>
      </c>
      <c r="OR1102" s="2">
        <v>92.98</v>
      </c>
      <c r="OS1102" s="2">
        <v>94.25</v>
      </c>
      <c r="OT1102" s="2">
        <v>94.22</v>
      </c>
      <c r="OU1102" s="2">
        <v>94.73</v>
      </c>
      <c r="OV1102" s="2">
        <v>94.73999999999999</v>
      </c>
      <c r="OW1102" s="2">
        <v>94.66</v>
      </c>
      <c r="OX1102" s="2">
        <v>95.65000000000001</v>
      </c>
      <c r="PC1102" s="2">
        <v>96.09999999999999</v>
      </c>
      <c r="PD1102" s="2">
        <v>96.19</v>
      </c>
      <c r="PE1102" s="2">
        <v>96.26000000000001</v>
      </c>
      <c r="PF1102" s="2">
        <v>96.88</v>
      </c>
      <c r="PG1102" s="2">
        <v>96.61</v>
      </c>
      <c r="PH1102" s="2">
        <v>96.89</v>
      </c>
      <c r="PI1102" s="2">
        <v>97.72</v>
      </c>
    </row>
    <row r="1103">
      <c r="A1103" t="inlineStr">
        <is>
          <t>A130392953X</t>
        </is>
      </c>
      <c r="B1103" t="inlineStr">
        <is>
          <t>Contribution to All groups CPI Index Number ;  Non-Discretionary ;  Australia ;</t>
        </is>
      </c>
      <c r="C1103" t="inlineStr">
        <is>
          <t>Month</t>
        </is>
      </c>
      <c r="D1103" t="inlineStr">
        <is>
          <t>Index Points</t>
        </is>
      </c>
      <c r="E1103" t="inlineStr">
        <is>
          <t>Original</t>
        </is>
      </c>
      <c r="F1103" t="inlineStr">
        <is>
          <t>640106.xlsx</t>
        </is>
      </c>
      <c r="G1103" t="inlineStr">
        <is>
          <t>2024-12</t>
        </is>
      </c>
      <c r="H1103" t="inlineStr">
        <is>
          <t>2026-07</t>
        </is>
      </c>
      <c r="OH1103" s="2">
        <v>56.54</v>
      </c>
      <c r="OM1103" s="2">
        <v>57.02</v>
      </c>
      <c r="ON1103" s="2">
        <v>57.23</v>
      </c>
      <c r="OO1103" s="2">
        <v>57.52</v>
      </c>
      <c r="OP1103" s="2">
        <v>57.7</v>
      </c>
      <c r="OQ1103" s="2">
        <v>57.61</v>
      </c>
      <c r="OR1103" s="2">
        <v>57.82</v>
      </c>
      <c r="OS1103" s="2">
        <v>58.42</v>
      </c>
      <c r="OT1103" s="2">
        <v>58.37</v>
      </c>
      <c r="OU1103" s="2">
        <v>58.52</v>
      </c>
      <c r="OV1103" s="2">
        <v>58.37</v>
      </c>
      <c r="OW1103" s="2">
        <v>58.73</v>
      </c>
      <c r="OX1103" s="2">
        <v>58.77</v>
      </c>
      <c r="PC1103" s="2">
        <v>59.35</v>
      </c>
      <c r="PD1103" s="2">
        <v>59.51</v>
      </c>
      <c r="PE1103" s="2">
        <v>60.71</v>
      </c>
      <c r="PF1103" s="2">
        <v>60.62</v>
      </c>
      <c r="PG1103" s="2">
        <v>60.34</v>
      </c>
      <c r="PH1103" s="2">
        <v>60.16</v>
      </c>
      <c r="PI1103" s="2">
        <v>60.57</v>
      </c>
    </row>
    <row r="1104">
      <c r="A1104" t="inlineStr">
        <is>
          <t>A130392932L</t>
        </is>
      </c>
      <c r="B1104" t="inlineStr">
        <is>
          <t>Contribution to All groups CPI Index Number ;  Discretionary ;  Australia ;</t>
        </is>
      </c>
      <c r="C1104" t="inlineStr">
        <is>
          <t>Month</t>
        </is>
      </c>
      <c r="D1104" t="inlineStr">
        <is>
          <t>Index Points</t>
        </is>
      </c>
      <c r="E1104" t="inlineStr">
        <is>
          <t>Original</t>
        </is>
      </c>
      <c r="F1104" t="inlineStr">
        <is>
          <t>640106.xlsx</t>
        </is>
      </c>
      <c r="G1104" t="inlineStr">
        <is>
          <t>2024-12</t>
        </is>
      </c>
      <c r="H1104" t="inlineStr">
        <is>
          <t>2026-07</t>
        </is>
      </c>
      <c r="OH1104" s="2">
        <v>40.77</v>
      </c>
      <c r="OM1104" s="2">
        <v>40.56</v>
      </c>
      <c r="ON1104" s="2">
        <v>40.44</v>
      </c>
      <c r="OO1104" s="2">
        <v>40.44</v>
      </c>
      <c r="OP1104" s="2">
        <v>40.98</v>
      </c>
      <c r="OQ1104" s="2">
        <v>40.58</v>
      </c>
      <c r="OR1104" s="2">
        <v>40.52</v>
      </c>
      <c r="OS1104" s="2">
        <v>41.21</v>
      </c>
      <c r="OT1104" s="2">
        <v>41.18</v>
      </c>
      <c r="OU1104" s="2">
        <v>41.48</v>
      </c>
      <c r="OV1104" s="2">
        <v>41.62</v>
      </c>
      <c r="OW1104" s="2">
        <v>41.28</v>
      </c>
      <c r="OX1104" s="2">
        <v>42.2</v>
      </c>
      <c r="PC1104" s="2">
        <v>41.98</v>
      </c>
      <c r="PD1104" s="2">
        <v>41.8</v>
      </c>
      <c r="PE1104" s="2">
        <v>41.74</v>
      </c>
      <c r="PF1104" s="2">
        <v>42.18</v>
      </c>
      <c r="PG1104" s="2">
        <v>41.76</v>
      </c>
      <c r="PH1104" s="2">
        <v>41.87</v>
      </c>
      <c r="PI1104" s="2">
        <v>42.5</v>
      </c>
    </row>
    <row r="1105">
      <c r="A1105" t="inlineStr">
        <is>
          <t>A130394269R</t>
        </is>
      </c>
      <c r="B1105" t="inlineStr">
        <is>
          <t>Contribution to All groups CPI Index Number ;  Discretionary excluding tobacco ;  Australia ;</t>
        </is>
      </c>
      <c r="C1105" t="inlineStr">
        <is>
          <t>Month</t>
        </is>
      </c>
      <c r="D1105" t="inlineStr">
        <is>
          <t>Index Points</t>
        </is>
      </c>
      <c r="E1105" t="inlineStr">
        <is>
          <t>Original</t>
        </is>
      </c>
      <c r="F1105" t="inlineStr">
        <is>
          <t>640106.xlsx</t>
        </is>
      </c>
      <c r="G1105" t="inlineStr">
        <is>
          <t>2024-12</t>
        </is>
      </c>
      <c r="H1105" t="inlineStr">
        <is>
          <t>2026-07</t>
        </is>
      </c>
      <c r="OH1105" s="2">
        <v>38.96</v>
      </c>
      <c r="OM1105" s="2">
        <v>38.74</v>
      </c>
      <c r="ON1105" s="2">
        <v>38.61</v>
      </c>
      <c r="OO1105" s="2">
        <v>38.58</v>
      </c>
      <c r="OP1105" s="2">
        <v>39.1</v>
      </c>
      <c r="OQ1105" s="2">
        <v>38.7</v>
      </c>
      <c r="OR1105" s="2">
        <v>38.65</v>
      </c>
      <c r="OS1105" s="2">
        <v>39.31</v>
      </c>
      <c r="OT1105" s="2">
        <v>39.28</v>
      </c>
      <c r="OU1105" s="2">
        <v>39.48</v>
      </c>
      <c r="OV1105" s="2">
        <v>39.6</v>
      </c>
      <c r="OW1105" s="2">
        <v>39.25</v>
      </c>
      <c r="OX1105" s="2">
        <v>40.16</v>
      </c>
      <c r="PC1105" s="2">
        <v>39.94</v>
      </c>
      <c r="PD1105" s="2">
        <v>39.76</v>
      </c>
      <c r="PE1105" s="2">
        <v>39.67</v>
      </c>
      <c r="PF1105" s="2">
        <v>40.09</v>
      </c>
      <c r="PG1105" s="2">
        <v>39.67</v>
      </c>
      <c r="PH1105" s="2">
        <v>39.79</v>
      </c>
      <c r="PI1105" s="2">
        <v>40.39</v>
      </c>
    </row>
    <row r="1106">
      <c r="A1106" t="inlineStr">
        <is>
          <t>A130393726T</t>
        </is>
      </c>
      <c r="B1106" t="inlineStr">
        <is>
          <t>Contribution to All groups CPI Annual Percentage Points Change ;  All groups CPI ;  Australia ;</t>
        </is>
      </c>
      <c r="C1106" t="inlineStr">
        <is>
          <t>Month</t>
        </is>
      </c>
      <c r="D1106" t="inlineStr">
        <is>
          <t>% pts</t>
        </is>
      </c>
      <c r="E1106" t="inlineStr">
        <is>
          <t>Original</t>
        </is>
      </c>
      <c r="F1106" t="inlineStr">
        <is>
          <t>640106.xlsx</t>
        </is>
      </c>
      <c r="G1106" t="inlineStr">
        <is>
          <t>2025-04</t>
        </is>
      </c>
      <c r="H1106" t="inlineStr">
        <is>
          <t>2026-07</t>
        </is>
      </c>
      <c r="OP1106" s="2">
        <v>2.3724</v>
      </c>
      <c r="OQ1106" s="2">
        <v>2.1033</v>
      </c>
      <c r="OR1106" s="2">
        <v>1.8883</v>
      </c>
      <c r="OS1106" s="2">
        <v>2.9562</v>
      </c>
      <c r="OT1106" s="2">
        <v>3.1708</v>
      </c>
      <c r="OU1106" s="2">
        <v>3.5851</v>
      </c>
      <c r="OV1106" s="2">
        <v>3.8176</v>
      </c>
      <c r="OW1106" s="2">
        <v>3.445</v>
      </c>
      <c r="OX1106" s="2">
        <v>3.763</v>
      </c>
      <c r="PC1106" s="2">
        <v>3.841</v>
      </c>
      <c r="PD1106" s="2">
        <v>3.7338</v>
      </c>
      <c r="PE1106" s="2">
        <v>4.5792</v>
      </c>
      <c r="PF1106" s="2">
        <v>4.1678</v>
      </c>
      <c r="PG1106" s="2">
        <v>3.9683</v>
      </c>
      <c r="PH1106" s="2">
        <v>3.7572</v>
      </c>
      <c r="PI1106" s="2">
        <v>3.4527</v>
      </c>
    </row>
    <row r="1107">
      <c r="A1107" t="inlineStr">
        <is>
          <t>A130392368K</t>
        </is>
      </c>
      <c r="B1107" t="inlineStr">
        <is>
          <t>Contribution to All groups CPI Annual Percentage Points Change ;  Tradables ;  Australia ;</t>
        </is>
      </c>
      <c r="C1107" t="inlineStr">
        <is>
          <t>Month</t>
        </is>
      </c>
      <c r="D1107" t="inlineStr">
        <is>
          <t>% pts</t>
        </is>
      </c>
      <c r="E1107" t="inlineStr">
        <is>
          <t>Original</t>
        </is>
      </c>
      <c r="F1107" t="inlineStr">
        <is>
          <t>640106.xlsx</t>
        </is>
      </c>
      <c r="G1107" t="inlineStr">
        <is>
          <t>2025-04</t>
        </is>
      </c>
      <c r="H1107" t="inlineStr">
        <is>
          <t>2026-07</t>
        </is>
      </c>
      <c r="OP1107" s="2">
        <v>0.0854</v>
      </c>
      <c r="OQ1107" s="2">
        <v>0.0013</v>
      </c>
      <c r="OR1107" s="2">
        <v>-0.0016</v>
      </c>
      <c r="OS1107" s="2">
        <v>0.3665</v>
      </c>
      <c r="OT1107" s="2">
        <v>0.4105</v>
      </c>
      <c r="OU1107" s="2">
        <v>0.6375999999999999</v>
      </c>
      <c r="OV1107" s="2">
        <v>0.6812</v>
      </c>
      <c r="OW1107" s="2">
        <v>0.6165</v>
      </c>
      <c r="OX1107" s="2">
        <v>0.7335</v>
      </c>
      <c r="PC1107" s="2">
        <v>0.6331</v>
      </c>
      <c r="PD1107" s="2">
        <v>0.453</v>
      </c>
      <c r="PE1107" s="2">
        <v>1.5301</v>
      </c>
      <c r="PF1107" s="2">
        <v>1.0767</v>
      </c>
      <c r="PG1107" s="2">
        <v>0.8508</v>
      </c>
      <c r="PH1107" s="2">
        <v>0.5149</v>
      </c>
      <c r="PI1107" s="2">
        <v>0.5629999999999999</v>
      </c>
    </row>
    <row r="1108">
      <c r="A1108" t="inlineStr">
        <is>
          <t>A130395035T</t>
        </is>
      </c>
      <c r="B1108" t="inlineStr">
        <is>
          <t>Contribution to All groups CPI Annual Percentage Points Change ;  Non-tradables ;  Australia ;</t>
        </is>
      </c>
      <c r="C1108" t="inlineStr">
        <is>
          <t>Month</t>
        </is>
      </c>
      <c r="D1108" t="inlineStr">
        <is>
          <t>% pts</t>
        </is>
      </c>
      <c r="E1108" t="inlineStr">
        <is>
          <t>Original</t>
        </is>
      </c>
      <c r="F1108" t="inlineStr">
        <is>
          <t>640106.xlsx</t>
        </is>
      </c>
      <c r="G1108" t="inlineStr">
        <is>
          <t>2025-04</t>
        </is>
      </c>
      <c r="H1108" t="inlineStr">
        <is>
          <t>2026-07</t>
        </is>
      </c>
      <c r="OP1108" s="2">
        <v>2.2872</v>
      </c>
      <c r="OQ1108" s="2">
        <v>2.1022</v>
      </c>
      <c r="OR1108" s="2">
        <v>1.8901</v>
      </c>
      <c r="OS1108" s="2">
        <v>2.5899</v>
      </c>
      <c r="OT1108" s="2">
        <v>2.7606</v>
      </c>
      <c r="OU1108" s="2">
        <v>2.9479</v>
      </c>
      <c r="OV1108" s="2">
        <v>3.1369</v>
      </c>
      <c r="OW1108" s="2">
        <v>2.829</v>
      </c>
      <c r="OX1108" s="2">
        <v>3.0295</v>
      </c>
      <c r="PC1108" s="2">
        <v>3.2078</v>
      </c>
      <c r="PD1108" s="2">
        <v>3.2808</v>
      </c>
      <c r="PE1108" s="2">
        <v>3.0491</v>
      </c>
      <c r="PF1108" s="2">
        <v>3.0911</v>
      </c>
      <c r="PG1108" s="2">
        <v>3.1175</v>
      </c>
      <c r="PH1108" s="2">
        <v>3.2423</v>
      </c>
      <c r="PI1108" s="2">
        <v>2.8897</v>
      </c>
    </row>
    <row r="1109">
      <c r="A1109" t="inlineStr">
        <is>
          <t>A130397430C</t>
        </is>
      </c>
      <c r="B1109" t="inlineStr">
        <is>
          <t>Contribution to All groups CPI Annual Percentage Points Change ;  All groups, goods component ;  Australia ;</t>
        </is>
      </c>
      <c r="C1109" t="inlineStr">
        <is>
          <t>Month</t>
        </is>
      </c>
      <c r="D1109" t="inlineStr">
        <is>
          <t>% pts</t>
        </is>
      </c>
      <c r="E1109" t="inlineStr">
        <is>
          <t>Original</t>
        </is>
      </c>
      <c r="F1109" t="inlineStr">
        <is>
          <t>640106.xlsx</t>
        </is>
      </c>
      <c r="G1109" t="inlineStr">
        <is>
          <t>2025-04</t>
        </is>
      </c>
      <c r="H1109" t="inlineStr">
        <is>
          <t>2026-07</t>
        </is>
      </c>
      <c r="OP1109" s="2">
        <v>0.4853</v>
      </c>
      <c r="OQ1109" s="2">
        <v>0.5545</v>
      </c>
      <c r="OR1109" s="2">
        <v>0.63</v>
      </c>
      <c r="OS1109" s="2">
        <v>1.2593</v>
      </c>
      <c r="OT1109" s="2">
        <v>1.584</v>
      </c>
      <c r="OU1109" s="2">
        <v>1.9293</v>
      </c>
      <c r="OV1109" s="2">
        <v>1.9849</v>
      </c>
      <c r="OW1109" s="2">
        <v>1.7487</v>
      </c>
      <c r="OX1109" s="2">
        <v>1.7992</v>
      </c>
      <c r="PC1109" s="2">
        <v>2.0158</v>
      </c>
      <c r="PD1109" s="2">
        <v>1.8718</v>
      </c>
      <c r="PE1109" s="2">
        <v>2.881</v>
      </c>
      <c r="PF1109" s="2">
        <v>2.5006</v>
      </c>
      <c r="PG1109" s="2">
        <v>2.2322</v>
      </c>
      <c r="PH1109" s="2">
        <v>1.8527</v>
      </c>
      <c r="PI1109" s="2">
        <v>1.6866</v>
      </c>
    </row>
    <row r="1110">
      <c r="A1110" t="inlineStr">
        <is>
          <t>A130396120C</t>
        </is>
      </c>
      <c r="B1110" t="inlineStr">
        <is>
          <t>Contribution to All groups CPI Annual Percentage Points Change ;  All groups, services component ;  Australia ;</t>
        </is>
      </c>
      <c r="C1110" t="inlineStr">
        <is>
          <t>Month</t>
        </is>
      </c>
      <c r="D1110" t="inlineStr">
        <is>
          <t>% pts</t>
        </is>
      </c>
      <c r="E1110" t="inlineStr">
        <is>
          <t>Original</t>
        </is>
      </c>
      <c r="F1110" t="inlineStr">
        <is>
          <t>640106.xlsx</t>
        </is>
      </c>
      <c r="G1110" t="inlineStr">
        <is>
          <t>2025-04</t>
        </is>
      </c>
      <c r="H1110" t="inlineStr">
        <is>
          <t>2026-07</t>
        </is>
      </c>
      <c r="OP1110" s="2">
        <v>1.8874</v>
      </c>
      <c r="OQ1110" s="2">
        <v>1.5492</v>
      </c>
      <c r="OR1110" s="2">
        <v>1.2586</v>
      </c>
      <c r="OS1110" s="2">
        <v>1.6974</v>
      </c>
      <c r="OT1110" s="2">
        <v>1.5874</v>
      </c>
      <c r="OU1110" s="2">
        <v>1.6562</v>
      </c>
      <c r="OV1110" s="2">
        <v>1.8331</v>
      </c>
      <c r="OW1110" s="2">
        <v>1.6967</v>
      </c>
      <c r="OX1110" s="2">
        <v>1.9637</v>
      </c>
      <c r="PC1110" s="2">
        <v>1.8251</v>
      </c>
      <c r="PD1110" s="2">
        <v>1.8621</v>
      </c>
      <c r="PE1110" s="2">
        <v>1.6982</v>
      </c>
      <c r="PF1110" s="2">
        <v>1.6672</v>
      </c>
      <c r="PG1110" s="2">
        <v>1.7361</v>
      </c>
      <c r="PH1110" s="2">
        <v>1.9045</v>
      </c>
      <c r="PI1110" s="2">
        <v>1.7661</v>
      </c>
    </row>
    <row r="1111">
      <c r="A1111" t="inlineStr">
        <is>
          <t>A130395063A</t>
        </is>
      </c>
      <c r="B1111" t="inlineStr">
        <is>
          <t>Contribution to All groups CPI Annual Percentage Points Change ;  Market goods and services excluding 'volatile items' - Goods ;  Australia ;</t>
        </is>
      </c>
      <c r="C1111" t="inlineStr">
        <is>
          <t>Month</t>
        </is>
      </c>
      <c r="D1111" t="inlineStr">
        <is>
          <t>% pts</t>
        </is>
      </c>
      <c r="E1111" t="inlineStr">
        <is>
          <t>Original</t>
        </is>
      </c>
      <c r="F1111" t="inlineStr">
        <is>
          <t>640106.xlsx</t>
        </is>
      </c>
      <c r="G1111" t="inlineStr">
        <is>
          <t>2025-04</t>
        </is>
      </c>
      <c r="H1111" t="inlineStr">
        <is>
          <t>2026-07</t>
        </is>
      </c>
      <c r="OP1111" s="2">
        <v>0.874</v>
      </c>
      <c r="OQ1111" s="2">
        <v>0.9114</v>
      </c>
      <c r="OR1111" s="2">
        <v>0.9034</v>
      </c>
      <c r="OS1111" s="2">
        <v>0.9645</v>
      </c>
      <c r="OT1111" s="2">
        <v>1.0729</v>
      </c>
      <c r="OU1111" s="2">
        <v>1.1231</v>
      </c>
      <c r="OV1111" s="2">
        <v>1.2018</v>
      </c>
      <c r="OW1111" s="2">
        <v>1.0945</v>
      </c>
      <c r="OX1111" s="2">
        <v>1.2182</v>
      </c>
      <c r="PC1111" s="2">
        <v>1.3001</v>
      </c>
      <c r="PD1111" s="2">
        <v>1.237</v>
      </c>
      <c r="PE1111" s="2">
        <v>1.3565</v>
      </c>
      <c r="PF1111" s="2">
        <v>1.2808</v>
      </c>
      <c r="PG1111" s="2">
        <v>1.3795</v>
      </c>
      <c r="PH1111" s="2">
        <v>1.4587</v>
      </c>
      <c r="PI1111" s="2">
        <v>1.453</v>
      </c>
    </row>
    <row r="1112">
      <c r="A1112" t="inlineStr">
        <is>
          <t>A130396148F</t>
        </is>
      </c>
      <c r="B1112" t="inlineStr">
        <is>
          <t>Contribution to All groups CPI Annual Percentage Points Change ;  Market goods and services excluding 'volatile items' - Total ;  Australia ;</t>
        </is>
      </c>
      <c r="C1112" t="inlineStr">
        <is>
          <t>Month</t>
        </is>
      </c>
      <c r="D1112" t="inlineStr">
        <is>
          <t>% pts</t>
        </is>
      </c>
      <c r="E1112" t="inlineStr">
        <is>
          <t>Original</t>
        </is>
      </c>
      <c r="F1112" t="inlineStr">
        <is>
          <t>640106.xlsx</t>
        </is>
      </c>
      <c r="G1112" t="inlineStr">
        <is>
          <t>2025-04</t>
        </is>
      </c>
      <c r="H1112" t="inlineStr">
        <is>
          <t>2026-07</t>
        </is>
      </c>
      <c r="OP1112" s="2">
        <v>2.0592</v>
      </c>
      <c r="OQ1112" s="2">
        <v>1.7679</v>
      </c>
      <c r="OR1112" s="2">
        <v>1.4582</v>
      </c>
      <c r="OS1112" s="2">
        <v>1.9498</v>
      </c>
      <c r="OT1112" s="2">
        <v>1.9315</v>
      </c>
      <c r="OU1112" s="2">
        <v>2.0055</v>
      </c>
      <c r="OV1112" s="2">
        <v>2.227</v>
      </c>
      <c r="OW1112" s="2">
        <v>2.0151</v>
      </c>
      <c r="OX1112" s="2">
        <v>2.4343</v>
      </c>
      <c r="PC1112" s="2">
        <v>2.3933</v>
      </c>
      <c r="PD1112" s="2">
        <v>2.3871</v>
      </c>
      <c r="PE1112" s="2">
        <v>2.3719</v>
      </c>
      <c r="PF1112" s="2">
        <v>2.2696</v>
      </c>
      <c r="PG1112" s="2">
        <v>2.4298</v>
      </c>
      <c r="PH1112" s="2">
        <v>2.6671</v>
      </c>
      <c r="PI1112" s="2">
        <v>2.5261</v>
      </c>
    </row>
    <row r="1113">
      <c r="A1113" t="inlineStr">
        <is>
          <t>A130392410C</t>
        </is>
      </c>
      <c r="B1113" t="inlineStr">
        <is>
          <t>Contribution to All groups CPI Annual Percentage Points Change ;  Market goods and services excluding 'volatile items' - Services ;  Australia ;</t>
        </is>
      </c>
      <c r="C1113" t="inlineStr">
        <is>
          <t>Month</t>
        </is>
      </c>
      <c r="D1113" t="inlineStr">
        <is>
          <t>% pts</t>
        </is>
      </c>
      <c r="E1113" t="inlineStr">
        <is>
          <t>Original</t>
        </is>
      </c>
      <c r="F1113" t="inlineStr">
        <is>
          <t>640106.xlsx</t>
        </is>
      </c>
      <c r="G1113" t="inlineStr">
        <is>
          <t>2025-04</t>
        </is>
      </c>
      <c r="H1113" t="inlineStr">
        <is>
          <t>2026-07</t>
        </is>
      </c>
      <c r="OP1113" s="2">
        <v>1.1856</v>
      </c>
      <c r="OQ1113" s="2">
        <v>0.857</v>
      </c>
      <c r="OR1113" s="2">
        <v>0.5551</v>
      </c>
      <c r="OS1113" s="2">
        <v>0.9858</v>
      </c>
      <c r="OT1113" s="2">
        <v>0.8592</v>
      </c>
      <c r="OU1113" s="2">
        <v>0.883</v>
      </c>
      <c r="OV1113" s="2">
        <v>1.026</v>
      </c>
      <c r="OW1113" s="2">
        <v>0.9212</v>
      </c>
      <c r="OX1113" s="2">
        <v>1.2161</v>
      </c>
      <c r="PC1113" s="2">
        <v>1.0932</v>
      </c>
      <c r="PD1113" s="2">
        <v>1.1501</v>
      </c>
      <c r="PE1113" s="2">
        <v>1.0154</v>
      </c>
      <c r="PF1113" s="2">
        <v>0.9887</v>
      </c>
      <c r="PG1113" s="2">
        <v>1.0503</v>
      </c>
      <c r="PH1113" s="2">
        <v>1.2084</v>
      </c>
      <c r="PI1113" s="2">
        <v>1.073</v>
      </c>
    </row>
    <row r="1114">
      <c r="A1114" t="inlineStr">
        <is>
          <t>A130607793F</t>
        </is>
      </c>
      <c r="B1114" t="inlineStr">
        <is>
          <t>Contribution to All groups CPI Annual Percentage Points Change ;  All groups CPI excluding 'volatile items' and holiday travel ;  Australia ;</t>
        </is>
      </c>
      <c r="C1114" t="inlineStr">
        <is>
          <t>Month</t>
        </is>
      </c>
      <c r="D1114" t="inlineStr">
        <is>
          <t>% pts</t>
        </is>
      </c>
      <c r="E1114" t="inlineStr">
        <is>
          <t>Original</t>
        </is>
      </c>
      <c r="F1114" t="inlineStr">
        <is>
          <t>640106.xlsx</t>
        </is>
      </c>
      <c r="G1114" t="inlineStr">
        <is>
          <t>2025-04</t>
        </is>
      </c>
      <c r="H1114" t="inlineStr">
        <is>
          <t>2026-07</t>
        </is>
      </c>
      <c r="OP1114" s="2">
        <v>2.4054</v>
      </c>
      <c r="OQ1114" s="2">
        <v>2.4008</v>
      </c>
      <c r="OR1114" s="2">
        <v>2.3221</v>
      </c>
      <c r="OS1114" s="2">
        <v>2.8696</v>
      </c>
      <c r="OT1114" s="2">
        <v>3.1646</v>
      </c>
      <c r="OU1114" s="2">
        <v>3.3707</v>
      </c>
      <c r="OV1114" s="2">
        <v>3.5526</v>
      </c>
      <c r="OW1114" s="2">
        <v>3.1869</v>
      </c>
      <c r="OX1114" s="2">
        <v>3.3237</v>
      </c>
      <c r="PC1114" s="2">
        <v>3.6584</v>
      </c>
      <c r="PD1114" s="2">
        <v>3.6288</v>
      </c>
      <c r="PE1114" s="2">
        <v>3.5974</v>
      </c>
      <c r="PF1114" s="2">
        <v>3.4568</v>
      </c>
      <c r="PG1114" s="2">
        <v>3.5743</v>
      </c>
      <c r="PH1114" s="2">
        <v>3.747</v>
      </c>
      <c r="PI1114" s="2">
        <v>3.4127</v>
      </c>
    </row>
    <row r="1115">
      <c r="A1115" t="inlineStr">
        <is>
          <t>A130397654R</t>
        </is>
      </c>
      <c r="B1115" t="inlineStr">
        <is>
          <t>Contribution to All groups CPI Annual Percentage Points Change ;  All groups CPI excluding Food and non-alcoholic beverages ;  Australia ;</t>
        </is>
      </c>
      <c r="C1115" t="inlineStr">
        <is>
          <t>Month</t>
        </is>
      </c>
      <c r="D1115" t="inlineStr">
        <is>
          <t>% pts</t>
        </is>
      </c>
      <c r="E1115" t="inlineStr">
        <is>
          <t>Original</t>
        </is>
      </c>
      <c r="F1115" t="inlineStr">
        <is>
          <t>640106.xlsx</t>
        </is>
      </c>
      <c r="G1115" t="inlineStr">
        <is>
          <t>2025-04</t>
        </is>
      </c>
      <c r="H1115" t="inlineStr">
        <is>
          <t>2026-07</t>
        </is>
      </c>
      <c r="OP1115" s="2">
        <v>1.8191</v>
      </c>
      <c r="OQ1115" s="2">
        <v>1.6054</v>
      </c>
      <c r="OR1115" s="2">
        <v>1.2916</v>
      </c>
      <c r="OS1115" s="2">
        <v>2.4189</v>
      </c>
      <c r="OT1115" s="2">
        <v>2.6497</v>
      </c>
      <c r="OU1115" s="2">
        <v>3.0268</v>
      </c>
      <c r="OV1115" s="2">
        <v>3.2567</v>
      </c>
      <c r="OW1115" s="2">
        <v>2.8696</v>
      </c>
      <c r="OX1115" s="2">
        <v>3.1651</v>
      </c>
      <c r="PC1115" s="2">
        <v>3.2968</v>
      </c>
      <c r="PD1115" s="2">
        <v>3.1916</v>
      </c>
      <c r="PE1115" s="2">
        <v>4.0348</v>
      </c>
      <c r="PF1115" s="2">
        <v>3.683</v>
      </c>
      <c r="PG1115" s="2">
        <v>3.3934</v>
      </c>
      <c r="PH1115" s="2">
        <v>3.1829</v>
      </c>
      <c r="PI1115" s="2">
        <v>2.8987</v>
      </c>
    </row>
    <row r="1116">
      <c r="A1116" t="inlineStr">
        <is>
          <t>A130392669R</t>
        </is>
      </c>
      <c r="B1116" t="inlineStr">
        <is>
          <t>Contribution to All groups CPI Annual Percentage Points Change ;  All groups CPI excluding Alcohol and tobacco ;  Australia ;</t>
        </is>
      </c>
      <c r="C1116" t="inlineStr">
        <is>
          <t>Month</t>
        </is>
      </c>
      <c r="D1116" t="inlineStr">
        <is>
          <t>% pts</t>
        </is>
      </c>
      <c r="E1116" t="inlineStr">
        <is>
          <t>Original</t>
        </is>
      </c>
      <c r="F1116" t="inlineStr">
        <is>
          <t>640106.xlsx</t>
        </is>
      </c>
      <c r="G1116" t="inlineStr">
        <is>
          <t>2025-04</t>
        </is>
      </c>
      <c r="H1116" t="inlineStr">
        <is>
          <t>2026-07</t>
        </is>
      </c>
      <c r="OP1116" s="2">
        <v>1.9929</v>
      </c>
      <c r="OQ1116" s="2">
        <v>1.7093</v>
      </c>
      <c r="OR1116" s="2">
        <v>1.5099</v>
      </c>
      <c r="OS1116" s="2">
        <v>2.5269</v>
      </c>
      <c r="OT1116" s="2">
        <v>2.7682</v>
      </c>
      <c r="OU1116" s="2">
        <v>3.222</v>
      </c>
      <c r="OV1116" s="2">
        <v>3.5262</v>
      </c>
      <c r="OW1116" s="2">
        <v>3.1668</v>
      </c>
      <c r="OX1116" s="2">
        <v>3.4461</v>
      </c>
      <c r="PC1116" s="2">
        <v>3.5129</v>
      </c>
      <c r="PD1116" s="2">
        <v>3.451</v>
      </c>
      <c r="PE1116" s="2">
        <v>4.2858</v>
      </c>
      <c r="PF1116" s="2">
        <v>3.8864</v>
      </c>
      <c r="PG1116" s="2">
        <v>3.6571</v>
      </c>
      <c r="PH1116" s="2">
        <v>3.4677</v>
      </c>
      <c r="PI1116" s="2">
        <v>3.158</v>
      </c>
    </row>
    <row r="1117">
      <c r="A1117" t="inlineStr">
        <is>
          <t>A130396372X</t>
        </is>
      </c>
      <c r="B1117" t="inlineStr">
        <is>
          <t>Contribution to All groups CPI Annual Percentage Points Change ;  All groups CPI excluding Clothing and footwear ;  Australia ;</t>
        </is>
      </c>
      <c r="C1117" t="inlineStr">
        <is>
          <t>Month</t>
        </is>
      </c>
      <c r="D1117" t="inlineStr">
        <is>
          <t>% pts</t>
        </is>
      </c>
      <c r="E1117" t="inlineStr">
        <is>
          <t>Original</t>
        </is>
      </c>
      <c r="F1117" t="inlineStr">
        <is>
          <t>640106.xlsx</t>
        </is>
      </c>
      <c r="G1117" t="inlineStr">
        <is>
          <t>2025-04</t>
        </is>
      </c>
      <c r="H1117" t="inlineStr">
        <is>
          <t>2026-07</t>
        </is>
      </c>
      <c r="OP1117" s="2">
        <v>2.344</v>
      </c>
      <c r="OQ1117" s="2">
        <v>2.0364</v>
      </c>
      <c r="OR1117" s="2">
        <v>1.7966</v>
      </c>
      <c r="OS1117" s="2">
        <v>2.883</v>
      </c>
      <c r="OT1117" s="2">
        <v>3.0315</v>
      </c>
      <c r="OU1117" s="2">
        <v>3.4626</v>
      </c>
      <c r="OV1117" s="2">
        <v>3.6421</v>
      </c>
      <c r="OW1117" s="2">
        <v>3.2817</v>
      </c>
      <c r="OX1117" s="2">
        <v>3.6563</v>
      </c>
      <c r="PC1117" s="2">
        <v>3.6612</v>
      </c>
      <c r="PD1117" s="2">
        <v>3.5699</v>
      </c>
      <c r="PE1117" s="2">
        <v>4.355</v>
      </c>
      <c r="PF1117" s="2">
        <v>3.9747</v>
      </c>
      <c r="PG1117" s="2">
        <v>3.8064</v>
      </c>
      <c r="PH1117" s="2">
        <v>3.6008</v>
      </c>
      <c r="PI1117" s="2">
        <v>3.293</v>
      </c>
    </row>
    <row r="1118">
      <c r="A1118" t="inlineStr">
        <is>
          <t>A130390121W</t>
        </is>
      </c>
      <c r="B1118" t="inlineStr">
        <is>
          <t>Contribution to All groups CPI Annual Percentage Points Change ;  All groups CPI excluding Housing ;  Australia ;</t>
        </is>
      </c>
      <c r="C1118" t="inlineStr">
        <is>
          <t>Month</t>
        </is>
      </c>
      <c r="D1118" t="inlineStr">
        <is>
          <t>% pts</t>
        </is>
      </c>
      <c r="E1118" t="inlineStr">
        <is>
          <t>Original</t>
        </is>
      </c>
      <c r="F1118" t="inlineStr">
        <is>
          <t>640106.xlsx</t>
        </is>
      </c>
      <c r="G1118" t="inlineStr">
        <is>
          <t>2025-04</t>
        </is>
      </c>
      <c r="H1118" t="inlineStr">
        <is>
          <t>2026-07</t>
        </is>
      </c>
      <c r="OP1118" s="2">
        <v>1.9094</v>
      </c>
      <c r="OQ1118" s="2">
        <v>1.6942</v>
      </c>
      <c r="OR1118" s="2">
        <v>1.5537</v>
      </c>
      <c r="OS1118" s="2">
        <v>2.1563</v>
      </c>
      <c r="OT1118" s="2">
        <v>2.201</v>
      </c>
      <c r="OU1118" s="2">
        <v>2.3681</v>
      </c>
      <c r="OV1118" s="2">
        <v>2.5692</v>
      </c>
      <c r="OW1118" s="2">
        <v>2.3251</v>
      </c>
      <c r="OX1118" s="2">
        <v>2.5901</v>
      </c>
      <c r="PC1118" s="2">
        <v>2.3837</v>
      </c>
      <c r="PD1118" s="2">
        <v>2.1842</v>
      </c>
      <c r="PE1118" s="2">
        <v>3.1729</v>
      </c>
      <c r="PF1118" s="2">
        <v>2.8213</v>
      </c>
      <c r="PG1118" s="2">
        <v>2.5611</v>
      </c>
      <c r="PH1118" s="2">
        <v>2.2798</v>
      </c>
      <c r="PI1118" s="2">
        <v>2.353</v>
      </c>
    </row>
    <row r="1119">
      <c r="A1119" t="inlineStr">
        <is>
          <t>A130398868R</t>
        </is>
      </c>
      <c r="B1119" t="inlineStr">
        <is>
          <t>Contribution to All groups CPI Annual Percentage Points Change ;  All groups CPI excluding Furnishings, household equipment and services ;  Australia ;</t>
        </is>
      </c>
      <c r="C1119" t="inlineStr">
        <is>
          <t>Month</t>
        </is>
      </c>
      <c r="D1119" t="inlineStr">
        <is>
          <t>% pts</t>
        </is>
      </c>
      <c r="E1119" t="inlineStr">
        <is>
          <t>Original</t>
        </is>
      </c>
      <c r="F1119" t="inlineStr">
        <is>
          <t>640106.xlsx</t>
        </is>
      </c>
      <c r="G1119" t="inlineStr">
        <is>
          <t>2025-04</t>
        </is>
      </c>
      <c r="H1119" t="inlineStr">
        <is>
          <t>2026-07</t>
        </is>
      </c>
      <c r="OP1119" s="2">
        <v>2.225</v>
      </c>
      <c r="OQ1119" s="2">
        <v>1.9842</v>
      </c>
      <c r="OR1119" s="2">
        <v>1.7478</v>
      </c>
      <c r="OS1119" s="2">
        <v>2.8107</v>
      </c>
      <c r="OT1119" s="2">
        <v>3.0368</v>
      </c>
      <c r="OU1119" s="2">
        <v>3.4455</v>
      </c>
      <c r="OV1119" s="2">
        <v>3.6548</v>
      </c>
      <c r="OW1119" s="2">
        <v>3.345</v>
      </c>
      <c r="OX1119" s="2">
        <v>3.6034</v>
      </c>
      <c r="PC1119" s="2">
        <v>3.7323</v>
      </c>
      <c r="PD1119" s="2">
        <v>3.6284</v>
      </c>
      <c r="PE1119" s="2">
        <v>4.4704</v>
      </c>
      <c r="PF1119" s="2">
        <v>4.0701</v>
      </c>
      <c r="PG1119" s="2">
        <v>3.8353</v>
      </c>
      <c r="PH1119" s="2">
        <v>3.6351</v>
      </c>
      <c r="PI1119" s="2">
        <v>3.3301</v>
      </c>
    </row>
    <row r="1120">
      <c r="A1120" t="inlineStr">
        <is>
          <t>A130394041V</t>
        </is>
      </c>
      <c r="B1120" t="inlineStr">
        <is>
          <t>Contribution to All groups CPI Annual Percentage Points Change ;  All groups CPI excluding Health ;  Australia ;</t>
        </is>
      </c>
      <c r="C1120" t="inlineStr">
        <is>
          <t>Month</t>
        </is>
      </c>
      <c r="D1120" t="inlineStr">
        <is>
          <t>% pts</t>
        </is>
      </c>
      <c r="E1120" t="inlineStr">
        <is>
          <t>Original</t>
        </is>
      </c>
      <c r="F1120" t="inlineStr">
        <is>
          <t>640106.xlsx</t>
        </is>
      </c>
      <c r="G1120" t="inlineStr">
        <is>
          <t>2025-04</t>
        </is>
      </c>
      <c r="H1120" t="inlineStr">
        <is>
          <t>2026-07</t>
        </is>
      </c>
      <c r="OP1120" s="2">
        <v>2.0777</v>
      </c>
      <c r="OQ1120" s="2">
        <v>1.8296</v>
      </c>
      <c r="OR1120" s="2">
        <v>1.6198</v>
      </c>
      <c r="OS1120" s="2">
        <v>2.6842</v>
      </c>
      <c r="OT1120" s="2">
        <v>2.8908</v>
      </c>
      <c r="OU1120" s="2">
        <v>3.3003</v>
      </c>
      <c r="OV1120" s="2">
        <v>3.5426</v>
      </c>
      <c r="OW1120" s="2">
        <v>3.199</v>
      </c>
      <c r="OX1120" s="2">
        <v>3.524</v>
      </c>
      <c r="PC1120" s="2">
        <v>3.6177</v>
      </c>
      <c r="PD1120" s="2">
        <v>3.5136</v>
      </c>
      <c r="PE1120" s="2">
        <v>4.3704</v>
      </c>
      <c r="PF1120" s="2">
        <v>3.8931</v>
      </c>
      <c r="PG1120" s="2">
        <v>3.7075</v>
      </c>
      <c r="PH1120" s="2">
        <v>3.4977</v>
      </c>
      <c r="PI1120" s="2">
        <v>3.1917</v>
      </c>
    </row>
    <row r="1121">
      <c r="A1121" t="inlineStr">
        <is>
          <t>A130398896X</t>
        </is>
      </c>
      <c r="B1121" t="inlineStr">
        <is>
          <t>Contribution to All groups CPI Annual Percentage Points Change ;  All groups CPI excluding Transport ;  Australia ;</t>
        </is>
      </c>
      <c r="C1121" t="inlineStr">
        <is>
          <t>Month</t>
        </is>
      </c>
      <c r="D1121" t="inlineStr">
        <is>
          <t>% pts</t>
        </is>
      </c>
      <c r="E1121" t="inlineStr">
        <is>
          <t>Original</t>
        </is>
      </c>
      <c r="F1121" t="inlineStr">
        <is>
          <t>640106.xlsx</t>
        </is>
      </c>
      <c r="G1121" t="inlineStr">
        <is>
          <t>2025-04</t>
        </is>
      </c>
      <c r="H1121" t="inlineStr">
        <is>
          <t>2026-07</t>
        </is>
      </c>
      <c r="OP1121" s="2">
        <v>2.7497</v>
      </c>
      <c r="OQ1121" s="2">
        <v>2.3729</v>
      </c>
      <c r="OR1121" s="2">
        <v>2.1309</v>
      </c>
      <c r="OS1121" s="2">
        <v>2.9968</v>
      </c>
      <c r="OT1121" s="2">
        <v>3.0662</v>
      </c>
      <c r="OU1121" s="2">
        <v>3.3327</v>
      </c>
      <c r="OV1121" s="2">
        <v>3.5139</v>
      </c>
      <c r="OW1121" s="2">
        <v>3.1446</v>
      </c>
      <c r="OX1121" s="2">
        <v>3.5777</v>
      </c>
      <c r="PC1121" s="2">
        <v>3.7158</v>
      </c>
      <c r="PD1121" s="2">
        <v>3.7553</v>
      </c>
      <c r="PE1121" s="2">
        <v>3.5575</v>
      </c>
      <c r="PF1121" s="2">
        <v>3.4194</v>
      </c>
      <c r="PG1121" s="2">
        <v>3.596</v>
      </c>
      <c r="PH1121" s="2">
        <v>3.7472</v>
      </c>
      <c r="PI1121" s="2">
        <v>3.2686</v>
      </c>
    </row>
    <row r="1122">
      <c r="A1122" t="inlineStr">
        <is>
          <t>A130392725W</t>
        </is>
      </c>
      <c r="B1122" t="inlineStr">
        <is>
          <t>Contribution to All groups CPI Annual Percentage Points Change ;  All groups CPI excluding Communication ;  Australia ;</t>
        </is>
      </c>
      <c r="C1122" t="inlineStr">
        <is>
          <t>Month</t>
        </is>
      </c>
      <c r="D1122" t="inlineStr">
        <is>
          <t>% pts</t>
        </is>
      </c>
      <c r="E1122" t="inlineStr">
        <is>
          <t>Original</t>
        </is>
      </c>
      <c r="F1122" t="inlineStr">
        <is>
          <t>640106.xlsx</t>
        </is>
      </c>
      <c r="G1122" t="inlineStr">
        <is>
          <t>2025-04</t>
        </is>
      </c>
      <c r="H1122" t="inlineStr">
        <is>
          <t>2026-07</t>
        </is>
      </c>
      <c r="OP1122" s="2">
        <v>2.3578</v>
      </c>
      <c r="OQ1122" s="2">
        <v>2.083</v>
      </c>
      <c r="OR1122" s="2">
        <v>1.8726</v>
      </c>
      <c r="OS1122" s="2">
        <v>2.9431</v>
      </c>
      <c r="OT1122" s="2">
        <v>3.1315</v>
      </c>
      <c r="OU1122" s="2">
        <v>3.551</v>
      </c>
      <c r="OV1122" s="2">
        <v>3.8014</v>
      </c>
      <c r="OW1122" s="2">
        <v>3.4168</v>
      </c>
      <c r="OX1122" s="2">
        <v>3.7398</v>
      </c>
      <c r="PC1122" s="2">
        <v>3.8121</v>
      </c>
      <c r="PD1122" s="2">
        <v>3.7167</v>
      </c>
      <c r="PE1122" s="2">
        <v>4.5494</v>
      </c>
      <c r="PF1122" s="2">
        <v>4.1355</v>
      </c>
      <c r="PG1122" s="2">
        <v>3.9246</v>
      </c>
      <c r="PH1122" s="2">
        <v>3.7105</v>
      </c>
      <c r="PI1122" s="2">
        <v>3.4004</v>
      </c>
    </row>
    <row r="1123">
      <c r="A1123" t="inlineStr">
        <is>
          <t>A130395266A</t>
        </is>
      </c>
      <c r="B1123" t="inlineStr">
        <is>
          <t>Contribution to All groups CPI Annual Percentage Points Change ;  All groups CPI excluding Recreation and culture ;  Australia ;</t>
        </is>
      </c>
      <c r="C1123" t="inlineStr">
        <is>
          <t>Month</t>
        </is>
      </c>
      <c r="D1123" t="inlineStr">
        <is>
          <t>% pts</t>
        </is>
      </c>
      <c r="E1123" t="inlineStr">
        <is>
          <t>Original</t>
        </is>
      </c>
      <c r="F1123" t="inlineStr">
        <is>
          <t>640106.xlsx</t>
        </is>
      </c>
      <c r="G1123" t="inlineStr">
        <is>
          <t>2025-04</t>
        </is>
      </c>
      <c r="H1123" t="inlineStr">
        <is>
          <t>2026-07</t>
        </is>
      </c>
      <c r="OP1123" s="2">
        <v>1.9537</v>
      </c>
      <c r="OQ1123" s="2">
        <v>1.9437</v>
      </c>
      <c r="OR1123" s="2">
        <v>2.0092</v>
      </c>
      <c r="OS1123" s="2">
        <v>2.6564</v>
      </c>
      <c r="OT1123" s="2">
        <v>3.0052</v>
      </c>
      <c r="OU1123" s="2">
        <v>3.3619</v>
      </c>
      <c r="OV1123" s="2">
        <v>3.4253</v>
      </c>
      <c r="OW1123" s="2">
        <v>3.2054</v>
      </c>
      <c r="OX1123" s="2">
        <v>3.1898</v>
      </c>
      <c r="PC1123" s="2">
        <v>3.377</v>
      </c>
      <c r="PD1123" s="2">
        <v>3.2291</v>
      </c>
      <c r="PE1123" s="2">
        <v>4.2288</v>
      </c>
      <c r="PF1123" s="2">
        <v>3.8545</v>
      </c>
      <c r="PG1123" s="2">
        <v>3.677</v>
      </c>
      <c r="PH1123" s="2">
        <v>3.3457</v>
      </c>
      <c r="PI1123" s="2">
        <v>3.1293</v>
      </c>
    </row>
    <row r="1124">
      <c r="A1124" t="inlineStr">
        <is>
          <t>A130398924W</t>
        </is>
      </c>
      <c r="B1124" t="inlineStr">
        <is>
          <t>Contribution to All groups CPI Annual Percentage Points Change ;  All groups CPI excluding Education ;  Australia ;</t>
        </is>
      </c>
      <c r="C1124" t="inlineStr">
        <is>
          <t>Month</t>
        </is>
      </c>
      <c r="D1124" t="inlineStr">
        <is>
          <t>% pts</t>
        </is>
      </c>
      <c r="E1124" t="inlineStr">
        <is>
          <t>Original</t>
        </is>
      </c>
      <c r="F1124" t="inlineStr">
        <is>
          <t>640106.xlsx</t>
        </is>
      </c>
      <c r="G1124" t="inlineStr">
        <is>
          <t>2025-04</t>
        </is>
      </c>
      <c r="H1124" t="inlineStr">
        <is>
          <t>2026-07</t>
        </is>
      </c>
      <c r="OP1124" s="2">
        <v>2.1205</v>
      </c>
      <c r="OQ1124" s="2">
        <v>1.8514</v>
      </c>
      <c r="OR1124" s="2">
        <v>1.6364</v>
      </c>
      <c r="OS1124" s="2">
        <v>2.7047</v>
      </c>
      <c r="OT1124" s="2">
        <v>2.9184</v>
      </c>
      <c r="OU1124" s="2">
        <v>3.3332</v>
      </c>
      <c r="OV1124" s="2">
        <v>3.5647</v>
      </c>
      <c r="OW1124" s="2">
        <v>3.1926</v>
      </c>
      <c r="OX1124" s="2">
        <v>3.512</v>
      </c>
      <c r="PC1124" s="2">
        <v>3.592</v>
      </c>
      <c r="PD1124" s="2">
        <v>3.5007</v>
      </c>
      <c r="PE1124" s="2">
        <v>4.3464</v>
      </c>
      <c r="PF1124" s="2">
        <v>3.9368</v>
      </c>
      <c r="PG1124" s="2">
        <v>3.7359</v>
      </c>
      <c r="PH1124" s="2">
        <v>3.5267</v>
      </c>
      <c r="PI1124" s="2">
        <v>3.2254</v>
      </c>
    </row>
    <row r="1125">
      <c r="A1125" t="inlineStr">
        <is>
          <t>A130394083T</t>
        </is>
      </c>
      <c r="B1125" t="inlineStr">
        <is>
          <t>Contribution to All groups CPI Annual Percentage Points Change ;  All groups CPI excluding Insurance and financial services ;  Australia ;</t>
        </is>
      </c>
      <c r="C1125" t="inlineStr">
        <is>
          <t>Month</t>
        </is>
      </c>
      <c r="D1125" t="inlineStr">
        <is>
          <t>% pts</t>
        </is>
      </c>
      <c r="E1125" t="inlineStr">
        <is>
          <t>Original</t>
        </is>
      </c>
      <c r="F1125" t="inlineStr">
        <is>
          <t>640106.xlsx</t>
        </is>
      </c>
      <c r="G1125" t="inlineStr">
        <is>
          <t>2025-04</t>
        </is>
      </c>
      <c r="H1125" t="inlineStr">
        <is>
          <t>2026-07</t>
        </is>
      </c>
      <c r="OP1125" s="2">
        <v>2.1738</v>
      </c>
      <c r="OQ1125" s="2">
        <v>1.9225</v>
      </c>
      <c r="OR1125" s="2">
        <v>1.7148</v>
      </c>
      <c r="OS1125" s="2">
        <v>2.7808</v>
      </c>
      <c r="OT1125" s="2">
        <v>3.0088</v>
      </c>
      <c r="OU1125" s="2">
        <v>3.4467</v>
      </c>
      <c r="OV1125" s="2">
        <v>3.6796</v>
      </c>
      <c r="OW1125" s="2">
        <v>3.3033</v>
      </c>
      <c r="OX1125" s="2">
        <v>3.6255</v>
      </c>
      <c r="PC1125" s="2">
        <v>3.708</v>
      </c>
      <c r="PD1125" s="2">
        <v>3.5978</v>
      </c>
      <c r="PE1125" s="2">
        <v>4.4208</v>
      </c>
      <c r="PF1125" s="2">
        <v>4.003</v>
      </c>
      <c r="PG1125" s="2">
        <v>3.7883</v>
      </c>
      <c r="PH1125" s="2">
        <v>3.5779</v>
      </c>
      <c r="PI1125" s="2">
        <v>3.2787</v>
      </c>
    </row>
    <row r="1126">
      <c r="A1126" t="inlineStr">
        <is>
          <t>A130390198V</t>
        </is>
      </c>
      <c r="B1126" t="inlineStr">
        <is>
          <t>Contribution to All groups CPI Annual Percentage Points Change ;  All groups CPI excluding Housing and Insurance and financial services ;  Australia ;</t>
        </is>
      </c>
      <c r="C1126" t="inlineStr">
        <is>
          <t>Month</t>
        </is>
      </c>
      <c r="D1126" t="inlineStr">
        <is>
          <t>% pts</t>
        </is>
      </c>
      <c r="E1126" t="inlineStr">
        <is>
          <t>Original</t>
        </is>
      </c>
      <c r="F1126" t="inlineStr">
        <is>
          <t>640106.xlsx</t>
        </is>
      </c>
      <c r="G1126" t="inlineStr">
        <is>
          <t>2025-04</t>
        </is>
      </c>
      <c r="H1126" t="inlineStr">
        <is>
          <t>2026-07</t>
        </is>
      </c>
      <c r="OP1126" s="2">
        <v>1.7109</v>
      </c>
      <c r="OQ1126" s="2">
        <v>1.5135</v>
      </c>
      <c r="OR1126" s="2">
        <v>1.3802</v>
      </c>
      <c r="OS1126" s="2">
        <v>1.981</v>
      </c>
      <c r="OT1126" s="2">
        <v>2.039</v>
      </c>
      <c r="OU1126" s="2">
        <v>2.2298</v>
      </c>
      <c r="OV1126" s="2">
        <v>2.4311</v>
      </c>
      <c r="OW1126" s="2">
        <v>2.1834</v>
      </c>
      <c r="OX1126" s="2">
        <v>2.4526</v>
      </c>
      <c r="PC1126" s="2">
        <v>2.2508</v>
      </c>
      <c r="PD1126" s="2">
        <v>2.0482</v>
      </c>
      <c r="PE1126" s="2">
        <v>3.0144</v>
      </c>
      <c r="PF1126" s="2">
        <v>2.6565</v>
      </c>
      <c r="PG1126" s="2">
        <v>2.3812</v>
      </c>
      <c r="PH1126" s="2">
        <v>2.1005</v>
      </c>
      <c r="PI1126" s="2">
        <v>2.179</v>
      </c>
    </row>
    <row r="1127">
      <c r="A1127" t="inlineStr">
        <is>
          <t>A130390170T</t>
        </is>
      </c>
      <c r="B1127" t="inlineStr">
        <is>
          <t>Contribution to All groups CPI Annual Percentage Points Change ;  All groups CPI excluding Medical and hospital services ;  Australia ;</t>
        </is>
      </c>
      <c r="C1127" t="inlineStr">
        <is>
          <t>Month</t>
        </is>
      </c>
      <c r="D1127" t="inlineStr">
        <is>
          <t>% pts</t>
        </is>
      </c>
      <c r="E1127" t="inlineStr">
        <is>
          <t>Original</t>
        </is>
      </c>
      <c r="F1127" t="inlineStr">
        <is>
          <t>640106.xlsx</t>
        </is>
      </c>
      <c r="G1127" t="inlineStr">
        <is>
          <t>2025-04</t>
        </is>
      </c>
      <c r="H1127" t="inlineStr">
        <is>
          <t>2026-07</t>
        </is>
      </c>
      <c r="OP1127" s="2">
        <v>2.1045</v>
      </c>
      <c r="OQ1127" s="2">
        <v>1.8452</v>
      </c>
      <c r="OR1127" s="2">
        <v>1.6325</v>
      </c>
      <c r="OS1127" s="2">
        <v>2.6991</v>
      </c>
      <c r="OT1127" s="2">
        <v>2.9102</v>
      </c>
      <c r="OU1127" s="2">
        <v>3.3168</v>
      </c>
      <c r="OV1127" s="2">
        <v>3.5569</v>
      </c>
      <c r="OW1127" s="2">
        <v>3.2142</v>
      </c>
      <c r="OX1127" s="2">
        <v>3.5452</v>
      </c>
      <c r="PC1127" s="2">
        <v>3.626</v>
      </c>
      <c r="PD1127" s="2">
        <v>3.5092</v>
      </c>
      <c r="PE1127" s="2">
        <v>4.3851</v>
      </c>
      <c r="PF1127" s="2">
        <v>3.91</v>
      </c>
      <c r="PG1127" s="2">
        <v>3.7067</v>
      </c>
      <c r="PH1127" s="2">
        <v>3.4977</v>
      </c>
      <c r="PI1127" s="2">
        <v>3.1986</v>
      </c>
    </row>
    <row r="1128">
      <c r="A1128" t="inlineStr">
        <is>
          <t>A130391640T</t>
        </is>
      </c>
      <c r="B1128" t="inlineStr">
        <is>
          <t>Contribution to All groups CPI Annual Percentage Points Change ;  All groups CPI excluding food and energy ;  Australia ;</t>
        </is>
      </c>
      <c r="C1128" t="inlineStr">
        <is>
          <t>Month</t>
        </is>
      </c>
      <c r="D1128" t="inlineStr">
        <is>
          <t>% pts</t>
        </is>
      </c>
      <c r="E1128" t="inlineStr">
        <is>
          <t>Original</t>
        </is>
      </c>
      <c r="F1128" t="inlineStr">
        <is>
          <t>640106.xlsx</t>
        </is>
      </c>
      <c r="G1128" t="inlineStr">
        <is>
          <t>2025-04</t>
        </is>
      </c>
      <c r="H1128" t="inlineStr">
        <is>
          <t>2026-07</t>
        </is>
      </c>
      <c r="OP1128" s="2">
        <v>2.4717</v>
      </c>
      <c r="OQ1128" s="2">
        <v>2.1374</v>
      </c>
      <c r="OR1128" s="2">
        <v>1.7903</v>
      </c>
      <c r="OS1128" s="2">
        <v>2.3409</v>
      </c>
      <c r="OT1128" s="2">
        <v>2.2965</v>
      </c>
      <c r="OU1128" s="2">
        <v>2.3798</v>
      </c>
      <c r="OV1128" s="2">
        <v>2.6932</v>
      </c>
      <c r="OW1128" s="2">
        <v>2.4489</v>
      </c>
      <c r="OX1128" s="2">
        <v>2.8623</v>
      </c>
      <c r="PC1128" s="2">
        <v>2.8081</v>
      </c>
      <c r="PD1128" s="2">
        <v>2.7726</v>
      </c>
      <c r="PE1128" s="2">
        <v>2.7429</v>
      </c>
      <c r="PF1128" s="2">
        <v>2.6625</v>
      </c>
      <c r="PG1128" s="2">
        <v>2.7745</v>
      </c>
      <c r="PH1128" s="2">
        <v>2.9925</v>
      </c>
      <c r="PI1128" s="2">
        <v>2.9033</v>
      </c>
    </row>
    <row r="1129">
      <c r="A1129" t="inlineStr">
        <is>
          <t>A130389939V</t>
        </is>
      </c>
      <c r="B1129" t="inlineStr">
        <is>
          <t>Contribution to All groups CPI Annual Percentage Points Change ;  All groups CPI excluding 'volatile items' ;  Australia ;</t>
        </is>
      </c>
      <c r="C1129" t="inlineStr">
        <is>
          <t>Month</t>
        </is>
      </c>
      <c r="D1129" t="inlineStr">
        <is>
          <t>% pts</t>
        </is>
      </c>
      <c r="E1129" t="inlineStr">
        <is>
          <t>Original</t>
        </is>
      </c>
      <c r="F1129" t="inlineStr">
        <is>
          <t>640106.xlsx</t>
        </is>
      </c>
      <c r="G1129" t="inlineStr">
        <is>
          <t>2025-04</t>
        </is>
      </c>
      <c r="H1129" t="inlineStr">
        <is>
          <t>2026-07</t>
        </is>
      </c>
      <c r="OP1129" s="2">
        <v>2.7022</v>
      </c>
      <c r="OQ1129" s="2">
        <v>2.4057</v>
      </c>
      <c r="OR1129" s="2">
        <v>2.0755</v>
      </c>
      <c r="OS1129" s="2">
        <v>3.0487</v>
      </c>
      <c r="OT1129" s="2">
        <v>3.2072</v>
      </c>
      <c r="OU1129" s="2">
        <v>3.478</v>
      </c>
      <c r="OV1129" s="2">
        <v>3.7167</v>
      </c>
      <c r="OW1129" s="2">
        <v>3.2728</v>
      </c>
      <c r="OX1129" s="2">
        <v>3.7105</v>
      </c>
      <c r="PC1129" s="2">
        <v>3.9015</v>
      </c>
      <c r="PD1129" s="2">
        <v>3.9373</v>
      </c>
      <c r="PE1129" s="2">
        <v>3.7252</v>
      </c>
      <c r="PF1129" s="2">
        <v>3.5608</v>
      </c>
      <c r="PG1129" s="2">
        <v>3.6814</v>
      </c>
      <c r="PH1129" s="2">
        <v>3.9821</v>
      </c>
      <c r="PI1129" s="2">
        <v>3.4829</v>
      </c>
    </row>
    <row r="1130">
      <c r="A1130" t="inlineStr">
        <is>
          <t>A130392956F</t>
        </is>
      </c>
      <c r="B1130" t="inlineStr">
        <is>
          <t>Contribution to All groups CPI Annual Percentage Points Change ;  Non-Discretionary ;  Australia ;</t>
        </is>
      </c>
      <c r="C1130" t="inlineStr">
        <is>
          <t>Month</t>
        </is>
      </c>
      <c r="D1130" t="inlineStr">
        <is>
          <t>% pts</t>
        </is>
      </c>
      <c r="E1130" t="inlineStr">
        <is>
          <t>Original</t>
        </is>
      </c>
      <c r="F1130" t="inlineStr">
        <is>
          <t>640106.xlsx</t>
        </is>
      </c>
      <c r="G1130" t="inlineStr">
        <is>
          <t>2025-04</t>
        </is>
      </c>
      <c r="H1130" t="inlineStr">
        <is>
          <t>2026-07</t>
        </is>
      </c>
      <c r="OP1130" s="2">
        <v>1.1665</v>
      </c>
      <c r="OQ1130" s="2">
        <v>1.1165</v>
      </c>
      <c r="OR1130" s="2">
        <v>1.1423</v>
      </c>
      <c r="OS1130" s="2">
        <v>1.7377</v>
      </c>
      <c r="OT1130" s="2">
        <v>1.9885</v>
      </c>
      <c r="OU1130" s="2">
        <v>2.4008</v>
      </c>
      <c r="OV1130" s="2">
        <v>2.4879</v>
      </c>
      <c r="OW1130" s="2">
        <v>2.39</v>
      </c>
      <c r="OX1130" s="2">
        <v>2.2928</v>
      </c>
      <c r="PC1130" s="2">
        <v>2.3894</v>
      </c>
      <c r="PD1130" s="2">
        <v>2.3398</v>
      </c>
      <c r="PE1130" s="2">
        <v>3.2561</v>
      </c>
      <c r="PF1130" s="2">
        <v>2.9539</v>
      </c>
      <c r="PG1130" s="2">
        <v>2.7745</v>
      </c>
      <c r="PH1130" s="2">
        <v>2.3808</v>
      </c>
      <c r="PI1130" s="2">
        <v>2.1625</v>
      </c>
    </row>
    <row r="1131">
      <c r="A1131" t="inlineStr">
        <is>
          <t>A130392935V</t>
        </is>
      </c>
      <c r="B1131" t="inlineStr">
        <is>
          <t>Contribution to All groups CPI Annual Percentage Points Change ;  Discretionary ;  Australia ;</t>
        </is>
      </c>
      <c r="C1131" t="inlineStr">
        <is>
          <t>Month</t>
        </is>
      </c>
      <c r="D1131" t="inlineStr">
        <is>
          <t>% pts</t>
        </is>
      </c>
      <c r="E1131" t="inlineStr">
        <is>
          <t>Original</t>
        </is>
      </c>
      <c r="F1131" t="inlineStr">
        <is>
          <t>640106.xlsx</t>
        </is>
      </c>
      <c r="G1131" t="inlineStr">
        <is>
          <t>2025-04</t>
        </is>
      </c>
      <c r="H1131" t="inlineStr">
        <is>
          <t>2026-07</t>
        </is>
      </c>
      <c r="OP1131" s="2">
        <v>1.2057</v>
      </c>
      <c r="OQ1131" s="2">
        <v>0.9866</v>
      </c>
      <c r="OR1131" s="2">
        <v>0.7459</v>
      </c>
      <c r="OS1131" s="2">
        <v>1.2183</v>
      </c>
      <c r="OT1131" s="2">
        <v>1.1822</v>
      </c>
      <c r="OU1131" s="2">
        <v>1.1841</v>
      </c>
      <c r="OV1131" s="2">
        <v>1.3296</v>
      </c>
      <c r="OW1131" s="2">
        <v>1.0547</v>
      </c>
      <c r="OX1131" s="2">
        <v>1.4702</v>
      </c>
      <c r="PC1131" s="2">
        <v>1.4515</v>
      </c>
      <c r="PD1131" s="2">
        <v>1.394</v>
      </c>
      <c r="PE1131" s="2">
        <v>1.3231</v>
      </c>
      <c r="PF1131" s="2">
        <v>1.2138</v>
      </c>
      <c r="PG1131" s="2">
        <v>1.1938</v>
      </c>
      <c r="PH1131" s="2">
        <v>1.3764</v>
      </c>
      <c r="PI1131" s="2">
        <v>1.2902</v>
      </c>
    </row>
    <row r="1132">
      <c r="A1132" t="inlineStr">
        <is>
          <t>A130394272C</t>
        </is>
      </c>
      <c r="B1132" t="inlineStr">
        <is>
          <t>Contribution to All groups CPI Annual Percentage Points Change ;  Discretionary excluding tobacco ;  Australia ;</t>
        </is>
      </c>
      <c r="C1132" t="inlineStr">
        <is>
          <t>Month</t>
        </is>
      </c>
      <c r="D1132" t="inlineStr">
        <is>
          <t>% pts</t>
        </is>
      </c>
      <c r="E1132" t="inlineStr">
        <is>
          <t>Original</t>
        </is>
      </c>
      <c r="F1132" t="inlineStr">
        <is>
          <t>640106.xlsx</t>
        </is>
      </c>
      <c r="G1132" t="inlineStr">
        <is>
          <t>2025-04</t>
        </is>
      </c>
      <c r="H1132" t="inlineStr">
        <is>
          <t>2026-07</t>
        </is>
      </c>
      <c r="OP1132" s="2">
        <v>0.9575</v>
      </c>
      <c r="OQ1132" s="2">
        <v>0.7464</v>
      </c>
      <c r="OR1132" s="2">
        <v>0.5161</v>
      </c>
      <c r="OS1132" s="2">
        <v>0.9659</v>
      </c>
      <c r="OT1132" s="2">
        <v>0.9243</v>
      </c>
      <c r="OU1132" s="2">
        <v>0.9221</v>
      </c>
      <c r="OV1132" s="2">
        <v>1.1107</v>
      </c>
      <c r="OW1132" s="2">
        <v>0.8248</v>
      </c>
      <c r="OX1132" s="2">
        <v>1.2372</v>
      </c>
      <c r="PC1132" s="2">
        <v>1.2304</v>
      </c>
      <c r="PD1132" s="2">
        <v>1.1779</v>
      </c>
      <c r="PE1132" s="2">
        <v>1.1102</v>
      </c>
      <c r="PF1132" s="2">
        <v>1.0088</v>
      </c>
      <c r="PG1132" s="2">
        <v>0.9856</v>
      </c>
      <c r="PH1132" s="2">
        <v>1.1633</v>
      </c>
      <c r="PI1132" s="2">
        <v>1.0795</v>
      </c>
    </row>
    <row r="1133">
      <c r="A1133" t="inlineStr">
        <is>
          <t>A130393725R</t>
        </is>
      </c>
      <c r="B1133" t="inlineStr">
        <is>
          <t>Contribution to All groups CPI Percentage Points Change from Previous Period ;  All groups CPI ;  Australia ;</t>
        </is>
      </c>
      <c r="C1133" t="inlineStr">
        <is>
          <t>Month</t>
        </is>
      </c>
      <c r="D1133" t="inlineStr">
        <is>
          <t>% pts</t>
        </is>
      </c>
      <c r="E1133" t="inlineStr">
        <is>
          <t>Original</t>
        </is>
      </c>
      <c r="F1133" t="inlineStr">
        <is>
          <t>640106.xlsx</t>
        </is>
      </c>
      <c r="G1133" t="inlineStr">
        <is>
          <t>2024-05</t>
        </is>
      </c>
      <c r="H1133" t="inlineStr">
        <is>
          <t>2026-07</t>
        </is>
      </c>
      <c r="OA1133" s="2">
        <v>-0.2307</v>
      </c>
      <c r="OB1133" s="2">
        <v>0.3562</v>
      </c>
      <c r="OC1133" s="2">
        <v>0.2612</v>
      </c>
      <c r="OD1133" s="2">
        <v>-0.2834</v>
      </c>
      <c r="OE1133" s="2">
        <v>0.0467</v>
      </c>
      <c r="OF1133" s="2">
        <v>-0.2314</v>
      </c>
      <c r="OG1133" s="2">
        <v>0.3761</v>
      </c>
      <c r="OH1133" s="2">
        <v>0.6544</v>
      </c>
      <c r="OM1133" s="2">
        <v>0.2766</v>
      </c>
      <c r="ON1133" s="2">
        <v>0.0906</v>
      </c>
      <c r="OO1133" s="2">
        <v>0.2967</v>
      </c>
      <c r="OP1133" s="2">
        <v>0.7401</v>
      </c>
      <c r="OQ1133" s="2">
        <v>-0.493</v>
      </c>
      <c r="OR1133" s="2">
        <v>0.1449</v>
      </c>
      <c r="OS1133" s="2">
        <v>1.312</v>
      </c>
      <c r="OT1133" s="2">
        <v>-0.0755</v>
      </c>
      <c r="OU1133" s="2">
        <v>0.4484</v>
      </c>
      <c r="OV1133" s="2">
        <v>-0.0074</v>
      </c>
      <c r="OW1133" s="2">
        <v>0.0157</v>
      </c>
      <c r="OX1133" s="2">
        <v>0.9639</v>
      </c>
      <c r="PC1133" s="2">
        <v>0.352</v>
      </c>
      <c r="PD1133" s="2">
        <v>-0.0127</v>
      </c>
      <c r="PE1133" s="2">
        <v>1.114</v>
      </c>
      <c r="PF1133" s="2">
        <v>0.3438</v>
      </c>
      <c r="PG1133" s="2">
        <v>-0.6836</v>
      </c>
      <c r="PH1133" s="2">
        <v>-0.0584</v>
      </c>
      <c r="PI1133" s="2">
        <v>1.0147</v>
      </c>
    </row>
    <row r="1134">
      <c r="A1134" t="inlineStr">
        <is>
          <t>A130392367J</t>
        </is>
      </c>
      <c r="B1134" t="inlineStr">
        <is>
          <t>Contribution to All groups CPI Percentage Points Change from Previous Period ;  Tradables ;  Australia ;</t>
        </is>
      </c>
      <c r="C1134" t="inlineStr">
        <is>
          <t>Month</t>
        </is>
      </c>
      <c r="D1134" t="inlineStr">
        <is>
          <t>% pts</t>
        </is>
      </c>
      <c r="E1134" t="inlineStr">
        <is>
          <t>Original</t>
        </is>
      </c>
      <c r="F1134" t="inlineStr">
        <is>
          <t>640106.xlsx</t>
        </is>
      </c>
      <c r="G1134" t="inlineStr">
        <is>
          <t>2024-05</t>
        </is>
      </c>
      <c r="H1134" t="inlineStr">
        <is>
          <t>2026-07</t>
        </is>
      </c>
      <c r="OA1134" s="2">
        <v>-0.2101</v>
      </c>
      <c r="OB1134" s="2">
        <v>0.0602</v>
      </c>
      <c r="OC1134" s="2">
        <v>0.1154</v>
      </c>
      <c r="OD1134" s="2">
        <v>-0.0209</v>
      </c>
      <c r="OE1134" s="2">
        <v>-0.1883</v>
      </c>
      <c r="OF1134" s="2">
        <v>-0.1945</v>
      </c>
      <c r="OG1134" s="2">
        <v>-0.0573</v>
      </c>
      <c r="OH1134" s="2">
        <v>0.5403</v>
      </c>
      <c r="OM1134" s="2">
        <v>-0.3424</v>
      </c>
      <c r="ON1134" s="2">
        <v>0.0674</v>
      </c>
      <c r="OO1134" s="2">
        <v>-0.0545</v>
      </c>
      <c r="OP1134" s="2">
        <v>0.3663</v>
      </c>
      <c r="OQ1134" s="2">
        <v>-0.2875</v>
      </c>
      <c r="OR1134" s="2">
        <v>0.0562</v>
      </c>
      <c r="OS1134" s="2">
        <v>0.4756</v>
      </c>
      <c r="OT1134" s="2">
        <v>0.0213</v>
      </c>
      <c r="OU1134" s="2">
        <v>0.0379</v>
      </c>
      <c r="OV1134" s="2">
        <v>-0.1472</v>
      </c>
      <c r="OW1134" s="2">
        <v>-0.1154</v>
      </c>
      <c r="OX1134" s="2">
        <v>0.6399</v>
      </c>
      <c r="PC1134" s="2">
        <v>-0.425</v>
      </c>
      <c r="PD1134" s="2">
        <v>-0.1081</v>
      </c>
      <c r="PE1134" s="2">
        <v>0.9902</v>
      </c>
      <c r="PF1134" s="2">
        <v>-0.07580000000000001</v>
      </c>
      <c r="PG1134" s="2">
        <v>-0.4968</v>
      </c>
      <c r="PH1134" s="2">
        <v>-0.2683</v>
      </c>
      <c r="PI1134" s="2">
        <v>0.5118</v>
      </c>
    </row>
    <row r="1135">
      <c r="A1135" t="inlineStr">
        <is>
          <t>A130395034R</t>
        </is>
      </c>
      <c r="B1135" t="inlineStr">
        <is>
          <t>Contribution to All groups CPI Percentage Points Change from Previous Period ;  Non-tradables ;  Australia ;</t>
        </is>
      </c>
      <c r="C1135" t="inlineStr">
        <is>
          <t>Month</t>
        </is>
      </c>
      <c r="D1135" t="inlineStr">
        <is>
          <t>% pts</t>
        </is>
      </c>
      <c r="E1135" t="inlineStr">
        <is>
          <t>Original</t>
        </is>
      </c>
      <c r="F1135" t="inlineStr">
        <is>
          <t>640106.xlsx</t>
        </is>
      </c>
      <c r="G1135" t="inlineStr">
        <is>
          <t>2024-05</t>
        </is>
      </c>
      <c r="H1135" t="inlineStr">
        <is>
          <t>2026-07</t>
        </is>
      </c>
      <c r="OA1135" s="2">
        <v>-0.0206</v>
      </c>
      <c r="OB1135" s="2">
        <v>0.296</v>
      </c>
      <c r="OC1135" s="2">
        <v>0.1458</v>
      </c>
      <c r="OD1135" s="2">
        <v>-0.2625</v>
      </c>
      <c r="OE1135" s="2">
        <v>0.235</v>
      </c>
      <c r="OF1135" s="2">
        <v>-0.037</v>
      </c>
      <c r="OG1135" s="2">
        <v>0.4334</v>
      </c>
      <c r="OH1135" s="2">
        <v>0.1142</v>
      </c>
      <c r="OM1135" s="2">
        <v>0.619</v>
      </c>
      <c r="ON1135" s="2">
        <v>0.0232</v>
      </c>
      <c r="OO1135" s="2">
        <v>0.3511</v>
      </c>
      <c r="OP1135" s="2">
        <v>0.3739</v>
      </c>
      <c r="OQ1135" s="2">
        <v>-0.2055</v>
      </c>
      <c r="OR1135" s="2">
        <v>0.0887</v>
      </c>
      <c r="OS1135" s="2">
        <v>0.8364</v>
      </c>
      <c r="OT1135" s="2">
        <v>-0.0968</v>
      </c>
      <c r="OU1135" s="2">
        <v>0.4105</v>
      </c>
      <c r="OV1135" s="2">
        <v>0.1397</v>
      </c>
      <c r="OW1135" s="2">
        <v>0.1311</v>
      </c>
      <c r="OX1135" s="2">
        <v>0.3239</v>
      </c>
      <c r="PC1135" s="2">
        <v>0.777</v>
      </c>
      <c r="PD1135" s="2">
        <v>0.0954</v>
      </c>
      <c r="PE1135" s="2">
        <v>0.1239</v>
      </c>
      <c r="PF1135" s="2">
        <v>0.4196</v>
      </c>
      <c r="PG1135" s="2">
        <v>-0.1867</v>
      </c>
      <c r="PH1135" s="2">
        <v>0.2099</v>
      </c>
      <c r="PI1135" s="2">
        <v>0.5029</v>
      </c>
    </row>
    <row r="1136">
      <c r="A1136" t="inlineStr">
        <is>
          <t>A130397429V</t>
        </is>
      </c>
      <c r="B1136" t="inlineStr">
        <is>
          <t>Contribution to All groups CPI Percentage Points Change from Previous Period ;  All groups, goods component ;  Australia ;</t>
        </is>
      </c>
      <c r="C1136" t="inlineStr">
        <is>
          <t>Month</t>
        </is>
      </c>
      <c r="D1136" t="inlineStr">
        <is>
          <t>% pts</t>
        </is>
      </c>
      <c r="E1136" t="inlineStr">
        <is>
          <t>Original</t>
        </is>
      </c>
      <c r="F1136" t="inlineStr">
        <is>
          <t>640106.xlsx</t>
        </is>
      </c>
      <c r="G1136" t="inlineStr">
        <is>
          <t>2024-05</t>
        </is>
      </c>
      <c r="H1136" t="inlineStr">
        <is>
          <t>2026-07</t>
        </is>
      </c>
      <c r="OA1136" s="2">
        <v>-0.1584</v>
      </c>
      <c r="OB1136" s="2">
        <v>-0.134</v>
      </c>
      <c r="OC1136" s="2">
        <v>0.2321</v>
      </c>
      <c r="OD1136" s="2">
        <v>-0.3115</v>
      </c>
      <c r="OE1136" s="2">
        <v>-0.3403</v>
      </c>
      <c r="OF1136" s="2">
        <v>-0.1101</v>
      </c>
      <c r="OG1136" s="2">
        <v>0.3423</v>
      </c>
      <c r="OH1136" s="2">
        <v>-0.08550000000000001</v>
      </c>
      <c r="OM1136" s="2">
        <v>0.4677</v>
      </c>
      <c r="ON1136" s="2">
        <v>0.2231</v>
      </c>
      <c r="OO1136" s="2">
        <v>0.1356</v>
      </c>
      <c r="OP1136" s="2">
        <v>0.213</v>
      </c>
      <c r="OQ1136" s="2">
        <v>-0.0883</v>
      </c>
      <c r="OR1136" s="2">
        <v>-0.055</v>
      </c>
      <c r="OS1136" s="2">
        <v>0.8481</v>
      </c>
      <c r="OT1136" s="2">
        <v>0.008399999999999999</v>
      </c>
      <c r="OU1136" s="2">
        <v>0.0055</v>
      </c>
      <c r="OV1136" s="2">
        <v>-0.0571</v>
      </c>
      <c r="OW1136" s="2">
        <v>0.1086</v>
      </c>
      <c r="OX1136" s="2">
        <v>-0.0213</v>
      </c>
      <c r="PC1136" s="2">
        <v>0.6649</v>
      </c>
      <c r="PD1136" s="2">
        <v>0.07770000000000001</v>
      </c>
      <c r="PE1136" s="2">
        <v>1.1119</v>
      </c>
      <c r="PF1136" s="2">
        <v>-0.1424</v>
      </c>
      <c r="PG1136" s="2">
        <v>-0.3529</v>
      </c>
      <c r="PH1136" s="2">
        <v>-0.4153</v>
      </c>
      <c r="PI1136" s="2">
        <v>0.6787</v>
      </c>
    </row>
    <row r="1137">
      <c r="A1137" t="inlineStr">
        <is>
          <t>A130396119V</t>
        </is>
      </c>
      <c r="B1137" t="inlineStr">
        <is>
          <t>Contribution to All groups CPI Percentage Points Change from Previous Period ;  All groups, services component ;  Australia ;</t>
        </is>
      </c>
      <c r="C1137" t="inlineStr">
        <is>
          <t>Month</t>
        </is>
      </c>
      <c r="D1137" t="inlineStr">
        <is>
          <t>% pts</t>
        </is>
      </c>
      <c r="E1137" t="inlineStr">
        <is>
          <t>Original</t>
        </is>
      </c>
      <c r="F1137" t="inlineStr">
        <is>
          <t>640106.xlsx</t>
        </is>
      </c>
      <c r="G1137" t="inlineStr">
        <is>
          <t>2024-05</t>
        </is>
      </c>
      <c r="H1137" t="inlineStr">
        <is>
          <t>2026-07</t>
        </is>
      </c>
      <c r="OA1137" s="2">
        <v>-0.0723</v>
      </c>
      <c r="OB1137" s="2">
        <v>0.4901</v>
      </c>
      <c r="OC1137" s="2">
        <v>0.0291</v>
      </c>
      <c r="OD1137" s="2">
        <v>0.0281</v>
      </c>
      <c r="OE1137" s="2">
        <v>0.387</v>
      </c>
      <c r="OF1137" s="2">
        <v>-0.1213</v>
      </c>
      <c r="OG1137" s="2">
        <v>0.0337</v>
      </c>
      <c r="OH1137" s="2">
        <v>0.7399</v>
      </c>
      <c r="OM1137" s="2">
        <v>-0.1911</v>
      </c>
      <c r="ON1137" s="2">
        <v>-0.1325</v>
      </c>
      <c r="OO1137" s="2">
        <v>0.1611</v>
      </c>
      <c r="OP1137" s="2">
        <v>0.5271</v>
      </c>
      <c r="OQ1137" s="2">
        <v>-0.4047</v>
      </c>
      <c r="OR1137" s="2">
        <v>0.2</v>
      </c>
      <c r="OS1137" s="2">
        <v>0.4639</v>
      </c>
      <c r="OT1137" s="2">
        <v>-0.0839</v>
      </c>
      <c r="OU1137" s="2">
        <v>0.4429</v>
      </c>
      <c r="OV1137" s="2">
        <v>0.0496</v>
      </c>
      <c r="OW1137" s="2">
        <v>-0.0929</v>
      </c>
      <c r="OX1137" s="2">
        <v>0.9852</v>
      </c>
      <c r="PC1137" s="2">
        <v>-0.3129</v>
      </c>
      <c r="PD1137" s="2">
        <v>-0.09039999999999999</v>
      </c>
      <c r="PE1137" s="2">
        <v>0.0022</v>
      </c>
      <c r="PF1137" s="2">
        <v>0.4862</v>
      </c>
      <c r="PG1137" s="2">
        <v>-0.3306</v>
      </c>
      <c r="PH1137" s="2">
        <v>0.3569</v>
      </c>
      <c r="PI1137" s="2">
        <v>0.336</v>
      </c>
    </row>
    <row r="1138">
      <c r="A1138" t="inlineStr">
        <is>
          <t>A130395062X</t>
        </is>
      </c>
      <c r="B1138" t="inlineStr">
        <is>
          <t>Contribution to All groups CPI Percentage Points Change from Previous Period ;  Market goods and services excluding 'volatile items' - Goods ;  Australia ;</t>
        </is>
      </c>
      <c r="C1138" t="inlineStr">
        <is>
          <t>Month</t>
        </is>
      </c>
      <c r="D1138" t="inlineStr">
        <is>
          <t>% pts</t>
        </is>
      </c>
      <c r="E1138" t="inlineStr">
        <is>
          <t>Original</t>
        </is>
      </c>
      <c r="F1138" t="inlineStr">
        <is>
          <t>640106.xlsx</t>
        </is>
      </c>
      <c r="G1138" t="inlineStr">
        <is>
          <t>2024-05</t>
        </is>
      </c>
      <c r="H1138" t="inlineStr">
        <is>
          <t>2026-07</t>
        </is>
      </c>
      <c r="OA1138" s="2">
        <v>-0.0246</v>
      </c>
      <c r="OB1138" s="2">
        <v>-0.2022</v>
      </c>
      <c r="OC1138" s="2">
        <v>0.3916</v>
      </c>
      <c r="OD1138" s="2">
        <v>0.11</v>
      </c>
      <c r="OE1138" s="2">
        <v>0.0195</v>
      </c>
      <c r="OF1138" s="2">
        <v>0.1331</v>
      </c>
      <c r="OG1138" s="2">
        <v>-0.0558</v>
      </c>
      <c r="OH1138" s="2">
        <v>-0.1292</v>
      </c>
      <c r="OM1138" s="2">
        <v>0.226</v>
      </c>
      <c r="ON1138" s="2">
        <v>0.2369</v>
      </c>
      <c r="OO1138" s="2">
        <v>-0.0716</v>
      </c>
      <c r="OP1138" s="2">
        <v>0.2308</v>
      </c>
      <c r="OQ1138" s="2">
        <v>0.0105</v>
      </c>
      <c r="OR1138" s="2">
        <v>-0.2026</v>
      </c>
      <c r="OS1138" s="2">
        <v>0.4463</v>
      </c>
      <c r="OT1138" s="2">
        <v>0.2091</v>
      </c>
      <c r="OU1138" s="2">
        <v>0.0678</v>
      </c>
      <c r="OV1138" s="2">
        <v>0.2015</v>
      </c>
      <c r="OW1138" s="2">
        <v>-0.1528</v>
      </c>
      <c r="OX1138" s="2">
        <v>0.0033</v>
      </c>
      <c r="PC1138" s="2">
        <v>0.3001</v>
      </c>
      <c r="PD1138" s="2">
        <v>0.1685</v>
      </c>
      <c r="PE1138" s="2">
        <v>0.05</v>
      </c>
      <c r="PF1138" s="2">
        <v>0.1574</v>
      </c>
      <c r="PG1138" s="2">
        <v>0.0983</v>
      </c>
      <c r="PH1138" s="2">
        <v>-0.1166</v>
      </c>
      <c r="PI1138" s="2">
        <v>0.4431</v>
      </c>
    </row>
    <row r="1139">
      <c r="A1139" t="inlineStr">
        <is>
          <t>A130396147C</t>
        </is>
      </c>
      <c r="B1139" t="inlineStr">
        <is>
          <t>Contribution to All groups CPI Percentage Points Change from Previous Period ;  Market goods and services excluding 'volatile items' - Total ;  Australia ;</t>
        </is>
      </c>
      <c r="C1139" t="inlineStr">
        <is>
          <t>Month</t>
        </is>
      </c>
      <c r="D1139" t="inlineStr">
        <is>
          <t>% pts</t>
        </is>
      </c>
      <c r="E1139" t="inlineStr">
        <is>
          <t>Original</t>
        </is>
      </c>
      <c r="F1139" t="inlineStr">
        <is>
          <t>640106.xlsx</t>
        </is>
      </c>
      <c r="G1139" t="inlineStr">
        <is>
          <t>2024-05</t>
        </is>
      </c>
      <c r="H1139" t="inlineStr">
        <is>
          <t>2026-07</t>
        </is>
      </c>
      <c r="OA1139" s="2">
        <v>-0.0916</v>
      </c>
      <c r="OB1139" s="2">
        <v>0.2798</v>
      </c>
      <c r="OC1139" s="2">
        <v>0.3857</v>
      </c>
      <c r="OD1139" s="2">
        <v>0.106</v>
      </c>
      <c r="OE1139" s="2">
        <v>0.3149</v>
      </c>
      <c r="OF1139" s="2">
        <v>0.0328</v>
      </c>
      <c r="OG1139" s="2">
        <v>-0.0292</v>
      </c>
      <c r="OH1139" s="2">
        <v>0.6237</v>
      </c>
      <c r="OM1139" s="2">
        <v>-0.1196</v>
      </c>
      <c r="ON1139" s="2">
        <v>-0.1495</v>
      </c>
      <c r="OO1139" s="2">
        <v>0.06469999999999999</v>
      </c>
      <c r="OP1139" s="2">
        <v>0.631</v>
      </c>
      <c r="OQ1139" s="2">
        <v>-0.378</v>
      </c>
      <c r="OR1139" s="2">
        <v>-0.0242</v>
      </c>
      <c r="OS1139" s="2">
        <v>0.866</v>
      </c>
      <c r="OT1139" s="2">
        <v>0.0799</v>
      </c>
      <c r="OU1139" s="2">
        <v>0.3777</v>
      </c>
      <c r="OV1139" s="2">
        <v>0.2405</v>
      </c>
      <c r="OW1139" s="2">
        <v>-0.2249</v>
      </c>
      <c r="OX1139" s="2">
        <v>1.0237</v>
      </c>
      <c r="PC1139" s="2">
        <v>-0.1483</v>
      </c>
      <c r="PD1139" s="2">
        <v>-0.1478</v>
      </c>
      <c r="PE1139" s="2">
        <v>0.0545</v>
      </c>
      <c r="PF1139" s="2">
        <v>0.5216</v>
      </c>
      <c r="PG1139" s="2">
        <v>-0.2205</v>
      </c>
      <c r="PH1139" s="2">
        <v>0.2086</v>
      </c>
      <c r="PI1139" s="2">
        <v>0.7307</v>
      </c>
    </row>
    <row r="1140">
      <c r="A1140" t="inlineStr">
        <is>
          <t>A130392409V</t>
        </is>
      </c>
      <c r="B1140" t="inlineStr">
        <is>
          <t>Contribution to All groups CPI Percentage Points Change from Previous Period ;  Market goods and services excluding 'volatile items' - Services ;  Australia ;</t>
        </is>
      </c>
      <c r="C1140" t="inlineStr">
        <is>
          <t>Month</t>
        </is>
      </c>
      <c r="D1140" t="inlineStr">
        <is>
          <t>% pts</t>
        </is>
      </c>
      <c r="E1140" t="inlineStr">
        <is>
          <t>Original</t>
        </is>
      </c>
      <c r="F1140" t="inlineStr">
        <is>
          <t>640106.xlsx</t>
        </is>
      </c>
      <c r="G1140" t="inlineStr">
        <is>
          <t>2024-05</t>
        </is>
      </c>
      <c r="H1140" t="inlineStr">
        <is>
          <t>2026-07</t>
        </is>
      </c>
      <c r="OA1140" s="2">
        <v>-0.067</v>
      </c>
      <c r="OB1140" s="2">
        <v>0.482</v>
      </c>
      <c r="OC1140" s="2">
        <v>-0.0059</v>
      </c>
      <c r="OD1140" s="2">
        <v>-0.004</v>
      </c>
      <c r="OE1140" s="2">
        <v>0.2954</v>
      </c>
      <c r="OF1140" s="2">
        <v>-0.1003</v>
      </c>
      <c r="OG1140" s="2">
        <v>0.0265</v>
      </c>
      <c r="OH1140" s="2">
        <v>0.7529</v>
      </c>
      <c r="OM1140" s="2">
        <v>-0.3455</v>
      </c>
      <c r="ON1140" s="2">
        <v>-0.3864</v>
      </c>
      <c r="OO1140" s="2">
        <v>0.1363</v>
      </c>
      <c r="OP1140" s="2">
        <v>0.4002</v>
      </c>
      <c r="OQ1140" s="2">
        <v>-0.3885</v>
      </c>
      <c r="OR1140" s="2">
        <v>0.1783</v>
      </c>
      <c r="OS1140" s="2">
        <v>0.4196</v>
      </c>
      <c r="OT1140" s="2">
        <v>-0.1292</v>
      </c>
      <c r="OU1140" s="2">
        <v>0.3099</v>
      </c>
      <c r="OV1140" s="2">
        <v>0.039</v>
      </c>
      <c r="OW1140" s="2">
        <v>-0.0721</v>
      </c>
      <c r="OX1140" s="2">
        <v>1.0204</v>
      </c>
      <c r="PC1140" s="2">
        <v>-0.4485</v>
      </c>
      <c r="PD1140" s="2">
        <v>-0.3164</v>
      </c>
      <c r="PE1140" s="2">
        <v>0.0045</v>
      </c>
      <c r="PF1140" s="2">
        <v>0.3641</v>
      </c>
      <c r="PG1140" s="2">
        <v>-0.3188</v>
      </c>
      <c r="PH1140" s="2">
        <v>0.3252</v>
      </c>
      <c r="PI1140" s="2">
        <v>0.2876</v>
      </c>
    </row>
    <row r="1141">
      <c r="A1141" t="inlineStr">
        <is>
          <t>A130607792C</t>
        </is>
      </c>
      <c r="B1141" t="inlineStr">
        <is>
          <t>Contribution to All groups CPI Percentage Points Change from Previous Period ;  All groups CPI excluding 'volatile items' and holiday travel ;  Australia ;</t>
        </is>
      </c>
      <c r="C1141" t="inlineStr">
        <is>
          <t>Month</t>
        </is>
      </c>
      <c r="D1141" t="inlineStr">
        <is>
          <t>% pts</t>
        </is>
      </c>
      <c r="E1141" t="inlineStr">
        <is>
          <t>Original</t>
        </is>
      </c>
      <c r="F1141" t="inlineStr">
        <is>
          <t>640106.xlsx</t>
        </is>
      </c>
      <c r="G1141" t="inlineStr">
        <is>
          <t>2024-05</t>
        </is>
      </c>
      <c r="H1141" t="inlineStr">
        <is>
          <t>2026-07</t>
        </is>
      </c>
      <c r="OA1141" s="2">
        <v>0.06909999999999999</v>
      </c>
      <c r="OB1141" s="2">
        <v>-0.0886</v>
      </c>
      <c r="OC1141" s="2">
        <v>0.4863</v>
      </c>
      <c r="OD1141" s="2">
        <v>-0.1077</v>
      </c>
      <c r="OE1141" s="2">
        <v>0.0311</v>
      </c>
      <c r="OF1141" s="2">
        <v>-0.102</v>
      </c>
      <c r="OG1141" s="2">
        <v>0.4288</v>
      </c>
      <c r="OH1141" s="2">
        <v>-0.1129</v>
      </c>
      <c r="OM1141" s="2">
        <v>0.6516</v>
      </c>
      <c r="ON1141" s="2">
        <v>0.5377</v>
      </c>
      <c r="OO1141" s="2">
        <v>0.1695</v>
      </c>
      <c r="OP1141" s="2">
        <v>0.4209</v>
      </c>
      <c r="OQ1141" s="2">
        <v>0.0576</v>
      </c>
      <c r="OR1141" s="2">
        <v>-0.1557</v>
      </c>
      <c r="OS1141" s="2">
        <v>1.0219</v>
      </c>
      <c r="OT1141" s="2">
        <v>0.1732</v>
      </c>
      <c r="OU1141" s="2">
        <v>0.2313</v>
      </c>
      <c r="OV1141" s="2">
        <v>0.0692</v>
      </c>
      <c r="OW1141" s="2">
        <v>0.0723</v>
      </c>
      <c r="OX1141" s="2">
        <v>0.0443</v>
      </c>
      <c r="PC1141" s="2">
        <v>0.9603</v>
      </c>
      <c r="PD1141" s="2">
        <v>0.4925</v>
      </c>
      <c r="PE1141" s="2">
        <v>0.1434</v>
      </c>
      <c r="PF1141" s="2">
        <v>0.2925</v>
      </c>
      <c r="PG1141" s="2">
        <v>0.1512</v>
      </c>
      <c r="PH1141" s="2">
        <v>0.0215</v>
      </c>
      <c r="PI1141" s="2">
        <v>0.7059</v>
      </c>
    </row>
    <row r="1142">
      <c r="A1142" t="inlineStr">
        <is>
          <t>A130397653L</t>
        </is>
      </c>
      <c r="B1142" t="inlineStr">
        <is>
          <t>Contribution to All groups CPI Percentage Points Change from Previous Period ;  All groups CPI excluding Food and non-alcoholic beverages ;  Australia ;</t>
        </is>
      </c>
      <c r="C1142" t="inlineStr">
        <is>
          <t>Month</t>
        </is>
      </c>
      <c r="D1142" t="inlineStr">
        <is>
          <t>% pts</t>
        </is>
      </c>
      <c r="E1142" t="inlineStr">
        <is>
          <t>Original</t>
        </is>
      </c>
      <c r="F1142" t="inlineStr">
        <is>
          <t>640106.xlsx</t>
        </is>
      </c>
      <c r="G1142" t="inlineStr">
        <is>
          <t>2024-05</t>
        </is>
      </c>
      <c r="H1142" t="inlineStr">
        <is>
          <t>2026-07</t>
        </is>
      </c>
      <c r="OA1142" s="2">
        <v>-0.3075</v>
      </c>
      <c r="OB1142" s="2">
        <v>0.38</v>
      </c>
      <c r="OC1142" s="2">
        <v>0.1401</v>
      </c>
      <c r="OD1142" s="2">
        <v>-0.3189</v>
      </c>
      <c r="OE1142" s="2">
        <v>0.1312</v>
      </c>
      <c r="OF1142" s="2">
        <v>-0.2568</v>
      </c>
      <c r="OG1142" s="2">
        <v>0.3237</v>
      </c>
      <c r="OH1142" s="2">
        <v>0.6123</v>
      </c>
      <c r="OM1142" s="2">
        <v>0.1339</v>
      </c>
      <c r="ON1142" s="2">
        <v>0.1131</v>
      </c>
      <c r="OO1142" s="2">
        <v>0.1802</v>
      </c>
      <c r="OP1142" s="2">
        <v>0.6725</v>
      </c>
      <c r="OQ1142" s="2">
        <v>-0.5127</v>
      </c>
      <c r="OR1142" s="2">
        <v>0.0693</v>
      </c>
      <c r="OS1142" s="2">
        <v>1.25</v>
      </c>
      <c r="OT1142" s="2">
        <v>-0.0929</v>
      </c>
      <c r="OU1142" s="2">
        <v>0.494</v>
      </c>
      <c r="OV1142" s="2">
        <v>-0.0333</v>
      </c>
      <c r="OW1142" s="2">
        <v>-0.0507</v>
      </c>
      <c r="OX1142" s="2">
        <v>0.8978</v>
      </c>
      <c r="PC1142" s="2">
        <v>0.2647</v>
      </c>
      <c r="PD1142" s="2">
        <v>0.0104</v>
      </c>
      <c r="PE1142" s="2">
        <v>0.9981</v>
      </c>
      <c r="PF1142" s="2">
        <v>0.3327</v>
      </c>
      <c r="PG1142" s="2">
        <v>-0.7862</v>
      </c>
      <c r="PH1142" s="2">
        <v>-0.1314</v>
      </c>
      <c r="PI1142" s="2">
        <v>0.9676</v>
      </c>
    </row>
    <row r="1143">
      <c r="A1143" t="inlineStr">
        <is>
          <t>A130392668L</t>
        </is>
      </c>
      <c r="B1143" t="inlineStr">
        <is>
          <t>Contribution to All groups CPI Percentage Points Change from Previous Period ;  All groups CPI excluding Alcohol and tobacco ;  Australia ;</t>
        </is>
      </c>
      <c r="C1143" t="inlineStr">
        <is>
          <t>Month</t>
        </is>
      </c>
      <c r="D1143" t="inlineStr">
        <is>
          <t>% pts</t>
        </is>
      </c>
      <c r="E1143" t="inlineStr">
        <is>
          <t>Original</t>
        </is>
      </c>
      <c r="F1143" t="inlineStr">
        <is>
          <t>640106.xlsx</t>
        </is>
      </c>
      <c r="G1143" t="inlineStr">
        <is>
          <t>2024-05</t>
        </is>
      </c>
      <c r="H1143" t="inlineStr">
        <is>
          <t>2026-07</t>
        </is>
      </c>
      <c r="OA1143" s="2">
        <v>-0.2477</v>
      </c>
      <c r="OB1143" s="2">
        <v>0.355</v>
      </c>
      <c r="OC1143" s="2">
        <v>0.2397</v>
      </c>
      <c r="OD1143" s="2">
        <v>-0.3246</v>
      </c>
      <c r="OE1143" s="2">
        <v>-0.0738</v>
      </c>
      <c r="OF1143" s="2">
        <v>-0.3038</v>
      </c>
      <c r="OG1143" s="2">
        <v>0.3578</v>
      </c>
      <c r="OH1143" s="2">
        <v>0.6979</v>
      </c>
      <c r="OM1143" s="2">
        <v>0.2282</v>
      </c>
      <c r="ON1143" s="2">
        <v>0.0328</v>
      </c>
      <c r="OO1143" s="2">
        <v>0.2504</v>
      </c>
      <c r="OP1143" s="2">
        <v>0.7634</v>
      </c>
      <c r="OQ1143" s="2">
        <v>-0.5229</v>
      </c>
      <c r="OR1143" s="2">
        <v>0.1577</v>
      </c>
      <c r="OS1143" s="2">
        <v>1.2403</v>
      </c>
      <c r="OT1143" s="2">
        <v>-0.0885</v>
      </c>
      <c r="OU1143" s="2">
        <v>0.37</v>
      </c>
      <c r="OV1143" s="2">
        <v>-0.0074</v>
      </c>
      <c r="OW1143" s="2">
        <v>0.0098</v>
      </c>
      <c r="OX1143" s="2">
        <v>0.9659</v>
      </c>
      <c r="PC1143" s="2">
        <v>0.2936</v>
      </c>
      <c r="PD1143" s="2">
        <v>-0.0251</v>
      </c>
      <c r="PE1143" s="2">
        <v>1.0585</v>
      </c>
      <c r="PF1143" s="2">
        <v>0.3755</v>
      </c>
      <c r="PG1143" s="2">
        <v>-0.7393999999999999</v>
      </c>
      <c r="PH1143" s="2">
        <v>-0.0256</v>
      </c>
      <c r="PI1143" s="2">
        <v>0.9368</v>
      </c>
    </row>
    <row r="1144">
      <c r="A1144" t="inlineStr">
        <is>
          <t>A130396371W</t>
        </is>
      </c>
      <c r="B1144" t="inlineStr">
        <is>
          <t>Contribution to All groups CPI Percentage Points Change from Previous Period ;  All groups CPI excluding Clothing and footwear ;  Australia ;</t>
        </is>
      </c>
      <c r="C1144" t="inlineStr">
        <is>
          <t>Month</t>
        </is>
      </c>
      <c r="D1144" t="inlineStr">
        <is>
          <t>% pts</t>
        </is>
      </c>
      <c r="E1144" t="inlineStr">
        <is>
          <t>Original</t>
        </is>
      </c>
      <c r="F1144" t="inlineStr">
        <is>
          <t>640106.xlsx</t>
        </is>
      </c>
      <c r="G1144" t="inlineStr">
        <is>
          <t>2024-05</t>
        </is>
      </c>
      <c r="H1144" t="inlineStr">
        <is>
          <t>2026-07</t>
        </is>
      </c>
      <c r="OA1144" s="2">
        <v>-0.1233</v>
      </c>
      <c r="OB1144" s="2">
        <v>0.4108</v>
      </c>
      <c r="OC1144" s="2">
        <v>0.1604</v>
      </c>
      <c r="OD1144" s="2">
        <v>-0.2641</v>
      </c>
      <c r="OE1144" s="2">
        <v>0.0513</v>
      </c>
      <c r="OF1144" s="2">
        <v>-0.2537</v>
      </c>
      <c r="OG1144" s="2">
        <v>0.4718</v>
      </c>
      <c r="OH1144" s="2">
        <v>0.6268</v>
      </c>
      <c r="OM1144" s="2">
        <v>0.2556</v>
      </c>
      <c r="ON1144" s="2">
        <v>-0.0123</v>
      </c>
      <c r="OO1144" s="2">
        <v>0.4237</v>
      </c>
      <c r="OP1144" s="2">
        <v>0.5804</v>
      </c>
      <c r="OQ1144" s="2">
        <v>-0.4255</v>
      </c>
      <c r="OR1144" s="2">
        <v>0.1737</v>
      </c>
      <c r="OS1144" s="2">
        <v>1.2311</v>
      </c>
      <c r="OT1144" s="2">
        <v>-0.1206</v>
      </c>
      <c r="OU1144" s="2">
        <v>0.4692</v>
      </c>
      <c r="OV1144" s="2">
        <v>-0.0798</v>
      </c>
      <c r="OW1144" s="2">
        <v>0.1192</v>
      </c>
      <c r="OX1144" s="2">
        <v>0.9912</v>
      </c>
      <c r="PC1144" s="2">
        <v>0.2608</v>
      </c>
      <c r="PD1144" s="2">
        <v>-0.09669999999999999</v>
      </c>
      <c r="PE1144" s="2">
        <v>1.1778</v>
      </c>
      <c r="PF1144" s="2">
        <v>0.2194</v>
      </c>
      <c r="PG1144" s="2">
        <v>-0.5881</v>
      </c>
      <c r="PH1144" s="2">
        <v>-0.0256</v>
      </c>
      <c r="PI1144" s="2">
        <v>0.9315</v>
      </c>
    </row>
    <row r="1145">
      <c r="A1145" t="inlineStr">
        <is>
          <t>A130390120V</t>
        </is>
      </c>
      <c r="B1145" t="inlineStr">
        <is>
          <t>Contribution to All groups CPI Percentage Points Change from Previous Period ;  All groups CPI excluding Housing ;  Australia ;</t>
        </is>
      </c>
      <c r="C1145" t="inlineStr">
        <is>
          <t>Month</t>
        </is>
      </c>
      <c r="D1145" t="inlineStr">
        <is>
          <t>% pts</t>
        </is>
      </c>
      <c r="E1145" t="inlineStr">
        <is>
          <t>Original</t>
        </is>
      </c>
      <c r="F1145" t="inlineStr">
        <is>
          <t>640106.xlsx</t>
        </is>
      </c>
      <c r="G1145" t="inlineStr">
        <is>
          <t>2024-05</t>
        </is>
      </c>
      <c r="H1145" t="inlineStr">
        <is>
          <t>2026-07</t>
        </is>
      </c>
      <c r="OA1145" s="2">
        <v>-0.3374</v>
      </c>
      <c r="OB1145" s="2">
        <v>0.2509</v>
      </c>
      <c r="OC1145" s="2">
        <v>0.2582</v>
      </c>
      <c r="OD1145" s="2">
        <v>-0.0123</v>
      </c>
      <c r="OE1145" s="2">
        <v>0.1222</v>
      </c>
      <c r="OF1145" s="2">
        <v>-0.0131</v>
      </c>
      <c r="OG1145" s="2">
        <v>-0.0009</v>
      </c>
      <c r="OH1145" s="2">
        <v>0.6835</v>
      </c>
      <c r="OM1145" s="2">
        <v>0.0747</v>
      </c>
      <c r="ON1145" s="2">
        <v>0.1187</v>
      </c>
      <c r="OO1145" s="2">
        <v>0.1039</v>
      </c>
      <c r="OP1145" s="2">
        <v>0.6453</v>
      </c>
      <c r="OQ1145" s="2">
        <v>-0.5437</v>
      </c>
      <c r="OR1145" s="2">
        <v>0.1136</v>
      </c>
      <c r="OS1145" s="2">
        <v>0.8504</v>
      </c>
      <c r="OT1145" s="2">
        <v>0.0254</v>
      </c>
      <c r="OU1145" s="2">
        <v>0.2815</v>
      </c>
      <c r="OV1145" s="2">
        <v>0.1758</v>
      </c>
      <c r="OW1145" s="2">
        <v>-0.2277</v>
      </c>
      <c r="OX1145" s="2">
        <v>0.9333</v>
      </c>
      <c r="PC1145" s="2">
        <v>-0.1206</v>
      </c>
      <c r="PD1145" s="2">
        <v>-0.076</v>
      </c>
      <c r="PE1145" s="2">
        <v>1.0623</v>
      </c>
      <c r="PF1145" s="2">
        <v>0.3009</v>
      </c>
      <c r="PG1145" s="2">
        <v>-0.7838000000000001</v>
      </c>
      <c r="PH1145" s="2">
        <v>-0.1582</v>
      </c>
      <c r="PI1145" s="2">
        <v>0.9199000000000001</v>
      </c>
    </row>
    <row r="1146">
      <c r="A1146" t="inlineStr">
        <is>
          <t>A130398867L</t>
        </is>
      </c>
      <c r="B1146" t="inlineStr">
        <is>
          <t>Contribution to All groups CPI Percentage Points Change from Previous Period ;  All groups CPI excluding Furnishings, household equipment and services ;  Australia ;</t>
        </is>
      </c>
      <c r="C1146" t="inlineStr">
        <is>
          <t>Month</t>
        </is>
      </c>
      <c r="D1146" t="inlineStr">
        <is>
          <t>% pts</t>
        </is>
      </c>
      <c r="E1146" t="inlineStr">
        <is>
          <t>Original</t>
        </is>
      </c>
      <c r="F1146" t="inlineStr">
        <is>
          <t>640106.xlsx</t>
        </is>
      </c>
      <c r="G1146" t="inlineStr">
        <is>
          <t>2024-05</t>
        </is>
      </c>
      <c r="H1146" t="inlineStr">
        <is>
          <t>2026-07</t>
        </is>
      </c>
      <c r="OA1146" s="2">
        <v>-0.2275</v>
      </c>
      <c r="OB1146" s="2">
        <v>0.466</v>
      </c>
      <c r="OC1146" s="2">
        <v>0.1055</v>
      </c>
      <c r="OD1146" s="2">
        <v>-0.3594</v>
      </c>
      <c r="OE1146" s="2">
        <v>0.0788</v>
      </c>
      <c r="OF1146" s="2">
        <v>-0.267</v>
      </c>
      <c r="OG1146" s="2">
        <v>0.3911</v>
      </c>
      <c r="OH1146" s="2">
        <v>0.7272</v>
      </c>
      <c r="OM1146" s="2">
        <v>0.2598</v>
      </c>
      <c r="ON1146" s="2">
        <v>0.0124</v>
      </c>
      <c r="OO1146" s="2">
        <v>0.318</v>
      </c>
      <c r="OP1146" s="2">
        <v>0.7029</v>
      </c>
      <c r="OQ1146" s="2">
        <v>-0.462</v>
      </c>
      <c r="OR1146" s="2">
        <v>0.231</v>
      </c>
      <c r="OS1146" s="2">
        <v>1.1541</v>
      </c>
      <c r="OT1146" s="2">
        <v>-0.1378</v>
      </c>
      <c r="OU1146" s="2">
        <v>0.4742</v>
      </c>
      <c r="OV1146" s="2">
        <v>-0.0638</v>
      </c>
      <c r="OW1146" s="2">
        <v>0.09039999999999999</v>
      </c>
      <c r="OX1146" s="2">
        <v>0.9752</v>
      </c>
      <c r="PC1146" s="2">
        <v>0.3846</v>
      </c>
      <c r="PD1146" s="2">
        <v>-0.08500000000000001</v>
      </c>
      <c r="PE1146" s="2">
        <v>1.131</v>
      </c>
      <c r="PF1146" s="2">
        <v>0.3181</v>
      </c>
      <c r="PG1146" s="2">
        <v>-0.6871</v>
      </c>
      <c r="PH1146" s="2">
        <v>0.0346</v>
      </c>
      <c r="PI1146" s="2">
        <v>0.8606</v>
      </c>
    </row>
    <row r="1147">
      <c r="A1147" t="inlineStr">
        <is>
          <t>A130394040T</t>
        </is>
      </c>
      <c r="B1147" t="inlineStr">
        <is>
          <t>Contribution to All groups CPI Percentage Points Change from Previous Period ;  All groups CPI excluding Health ;  Australia ;</t>
        </is>
      </c>
      <c r="C1147" t="inlineStr">
        <is>
          <t>Month</t>
        </is>
      </c>
      <c r="D1147" t="inlineStr">
        <is>
          <t>% pts</t>
        </is>
      </c>
      <c r="E1147" t="inlineStr">
        <is>
          <t>Original</t>
        </is>
      </c>
      <c r="F1147" t="inlineStr">
        <is>
          <t>640106.xlsx</t>
        </is>
      </c>
      <c r="G1147" t="inlineStr">
        <is>
          <t>2024-05</t>
        </is>
      </c>
      <c r="H1147" t="inlineStr">
        <is>
          <t>2026-07</t>
        </is>
      </c>
      <c r="OA1147" s="2">
        <v>-0.2309</v>
      </c>
      <c r="OB1147" s="2">
        <v>0.3592</v>
      </c>
      <c r="OC1147" s="2">
        <v>0.2616</v>
      </c>
      <c r="OD1147" s="2">
        <v>-0.2772</v>
      </c>
      <c r="OE1147" s="2">
        <v>0.0543</v>
      </c>
      <c r="OF1147" s="2">
        <v>-0.2434</v>
      </c>
      <c r="OG1147" s="2">
        <v>0.3852</v>
      </c>
      <c r="OH1147" s="2">
        <v>0.6765</v>
      </c>
      <c r="OM1147" s="2">
        <v>0.0742</v>
      </c>
      <c r="ON1147" s="2">
        <v>0.0837</v>
      </c>
      <c r="OO1147" s="2">
        <v>0.297</v>
      </c>
      <c r="OP1147" s="2">
        <v>0.622</v>
      </c>
      <c r="OQ1147" s="2">
        <v>-0.472</v>
      </c>
      <c r="OR1147" s="2">
        <v>0.152</v>
      </c>
      <c r="OS1147" s="2">
        <v>1.3082</v>
      </c>
      <c r="OT1147" s="2">
        <v>-0.0765</v>
      </c>
      <c r="OU1147" s="2">
        <v>0.451</v>
      </c>
      <c r="OV1147" s="2">
        <v>-0.0091</v>
      </c>
      <c r="OW1147" s="2">
        <v>0.0517</v>
      </c>
      <c r="OX1147" s="2">
        <v>0.9906</v>
      </c>
      <c r="PC1147" s="2">
        <v>0.1715</v>
      </c>
      <c r="PD1147" s="2">
        <v>-0.0167</v>
      </c>
      <c r="PE1147" s="2">
        <v>1.1248</v>
      </c>
      <c r="PF1147" s="2">
        <v>0.1659</v>
      </c>
      <c r="PG1147" s="2">
        <v>-0.6489</v>
      </c>
      <c r="PH1147" s="2">
        <v>-0.0507</v>
      </c>
      <c r="PI1147" s="2">
        <v>1.0063</v>
      </c>
    </row>
    <row r="1148">
      <c r="A1148" t="inlineStr">
        <is>
          <t>A130398895W</t>
        </is>
      </c>
      <c r="B1148" t="inlineStr">
        <is>
          <t>Contribution to All groups CPI Percentage Points Change from Previous Period ;  All groups CPI excluding Transport ;  Australia ;</t>
        </is>
      </c>
      <c r="C1148" t="inlineStr">
        <is>
          <t>Month</t>
        </is>
      </c>
      <c r="D1148" t="inlineStr">
        <is>
          <t>% pts</t>
        </is>
      </c>
      <c r="E1148" t="inlineStr">
        <is>
          <t>Original</t>
        </is>
      </c>
      <c r="F1148" t="inlineStr">
        <is>
          <t>640106.xlsx</t>
        </is>
      </c>
      <c r="G1148" t="inlineStr">
        <is>
          <t>2024-05</t>
        </is>
      </c>
      <c r="H1148" t="inlineStr">
        <is>
          <t>2026-07</t>
        </is>
      </c>
      <c r="OA1148" s="2">
        <v>-0.0338</v>
      </c>
      <c r="OB1148" s="2">
        <v>0.3312</v>
      </c>
      <c r="OC1148" s="2">
        <v>0.3396</v>
      </c>
      <c r="OD1148" s="2">
        <v>-0.1705</v>
      </c>
      <c r="OE1148" s="2">
        <v>0.1819</v>
      </c>
      <c r="OF1148" s="2">
        <v>-0.2116</v>
      </c>
      <c r="OG1148" s="2">
        <v>0.337</v>
      </c>
      <c r="OH1148" s="2">
        <v>0.5352</v>
      </c>
      <c r="OM1148" s="2">
        <v>0.2972</v>
      </c>
      <c r="ON1148" s="2">
        <v>0.0184</v>
      </c>
      <c r="OO1148" s="2">
        <v>0.2923</v>
      </c>
      <c r="OP1148" s="2">
        <v>0.8124</v>
      </c>
      <c r="OQ1148" s="2">
        <v>-0.4063</v>
      </c>
      <c r="OR1148" s="2">
        <v>0.09470000000000001</v>
      </c>
      <c r="OS1148" s="2">
        <v>1.1906</v>
      </c>
      <c r="OT1148" s="2">
        <v>-0.1066</v>
      </c>
      <c r="OU1148" s="2">
        <v>0.4359</v>
      </c>
      <c r="OV1148" s="2">
        <v>-0.0372</v>
      </c>
      <c r="OW1148" s="2">
        <v>-0.0196</v>
      </c>
      <c r="OX1148" s="2">
        <v>0.9592000000000001</v>
      </c>
      <c r="PC1148" s="2">
        <v>0.4294</v>
      </c>
      <c r="PD1148" s="2">
        <v>0.0591</v>
      </c>
      <c r="PE1148" s="2">
        <v>0.1013</v>
      </c>
      <c r="PF1148" s="2">
        <v>0.6689000000000001</v>
      </c>
      <c r="PG1148" s="2">
        <v>-0.2374</v>
      </c>
      <c r="PH1148" s="2">
        <v>0.2417</v>
      </c>
      <c r="PI1148" s="2">
        <v>0.7275</v>
      </c>
    </row>
    <row r="1149">
      <c r="A1149" t="inlineStr">
        <is>
          <t>A130392724V</t>
        </is>
      </c>
      <c r="B1149" t="inlineStr">
        <is>
          <t>Contribution to All groups CPI Percentage Points Change from Previous Period ;  All groups CPI excluding Communication ;  Australia ;</t>
        </is>
      </c>
      <c r="C1149" t="inlineStr">
        <is>
          <t>Month</t>
        </is>
      </c>
      <c r="D1149" t="inlineStr">
        <is>
          <t>% pts</t>
        </is>
      </c>
      <c r="E1149" t="inlineStr">
        <is>
          <t>Original</t>
        </is>
      </c>
      <c r="F1149" t="inlineStr">
        <is>
          <t>640106.xlsx</t>
        </is>
      </c>
      <c r="G1149" t="inlineStr">
        <is>
          <t>2024-05</t>
        </is>
      </c>
      <c r="H1149" t="inlineStr">
        <is>
          <t>2026-07</t>
        </is>
      </c>
      <c r="OA1149" s="2">
        <v>-0.2171</v>
      </c>
      <c r="OB1149" s="2">
        <v>0.3698</v>
      </c>
      <c r="OC1149" s="2">
        <v>0.2265</v>
      </c>
      <c r="OD1149" s="2">
        <v>-0.2726</v>
      </c>
      <c r="OE1149" s="2">
        <v>0.0458</v>
      </c>
      <c r="OF1149" s="2">
        <v>-0.2449</v>
      </c>
      <c r="OG1149" s="2">
        <v>0.3785</v>
      </c>
      <c r="OH1149" s="2">
        <v>0.659</v>
      </c>
      <c r="OM1149" s="2">
        <v>0.2843</v>
      </c>
      <c r="ON1149" s="2">
        <v>0.075</v>
      </c>
      <c r="OO1149" s="2">
        <v>0.2996</v>
      </c>
      <c r="OP1149" s="2">
        <v>0.7346</v>
      </c>
      <c r="OQ1149" s="2">
        <v>-0.4852</v>
      </c>
      <c r="OR1149" s="2">
        <v>0.1627</v>
      </c>
      <c r="OS1149" s="2">
        <v>1.2805</v>
      </c>
      <c r="OT1149" s="2">
        <v>-0.09030000000000001</v>
      </c>
      <c r="OU1149" s="2">
        <v>0.4526</v>
      </c>
      <c r="OV1149" s="2">
        <v>-0.0032</v>
      </c>
      <c r="OW1149" s="2">
        <v>0.0064</v>
      </c>
      <c r="OX1149" s="2">
        <v>0.9731</v>
      </c>
      <c r="PC1149" s="2">
        <v>0.3539</v>
      </c>
      <c r="PD1149" s="2">
        <v>-0.0164</v>
      </c>
      <c r="PE1149" s="2">
        <v>1.1046</v>
      </c>
      <c r="PF1149" s="2">
        <v>0.3358</v>
      </c>
      <c r="PG1149" s="2">
        <v>-0.6869</v>
      </c>
      <c r="PH1149" s="2">
        <v>-0.0442</v>
      </c>
      <c r="PI1149" s="2">
        <v>0.9782</v>
      </c>
    </row>
    <row r="1150">
      <c r="A1150" t="inlineStr">
        <is>
          <t>A130395265X</t>
        </is>
      </c>
      <c r="B1150" t="inlineStr">
        <is>
          <t>Contribution to All groups CPI Percentage Points Change from Previous Period ;  All groups CPI excluding Recreation and culture ;  Australia ;</t>
        </is>
      </c>
      <c r="C1150" t="inlineStr">
        <is>
          <t>Month</t>
        </is>
      </c>
      <c r="D1150" t="inlineStr">
        <is>
          <t>% pts</t>
        </is>
      </c>
      <c r="E1150" t="inlineStr">
        <is>
          <t>Original</t>
        </is>
      </c>
      <c r="F1150" t="inlineStr">
        <is>
          <t>640106.xlsx</t>
        </is>
      </c>
      <c r="G1150" t="inlineStr">
        <is>
          <t>2024-05</t>
        </is>
      </c>
      <c r="H1150" t="inlineStr">
        <is>
          <t>2026-07</t>
        </is>
      </c>
      <c r="OA1150" s="2">
        <v>-0.1078</v>
      </c>
      <c r="OB1150" s="2">
        <v>-0.0329</v>
      </c>
      <c r="OC1150" s="2">
        <v>0.3694</v>
      </c>
      <c r="OD1150" s="2">
        <v>-0.2551</v>
      </c>
      <c r="OE1150" s="2">
        <v>-0.1764</v>
      </c>
      <c r="OF1150" s="2">
        <v>-0.0429</v>
      </c>
      <c r="OG1150" s="2">
        <v>0.3641</v>
      </c>
      <c r="OH1150" s="2">
        <v>0.0479</v>
      </c>
      <c r="OM1150" s="2">
        <v>0.6284999999999999</v>
      </c>
      <c r="ON1150" s="2">
        <v>0.5219</v>
      </c>
      <c r="OO1150" s="2">
        <v>0.2328</v>
      </c>
      <c r="OP1150" s="2">
        <v>0.3833</v>
      </c>
      <c r="OQ1150" s="2">
        <v>-0.1194</v>
      </c>
      <c r="OR1150" s="2">
        <v>0.0389</v>
      </c>
      <c r="OS1150" s="2">
        <v>1.0045</v>
      </c>
      <c r="OT1150" s="2">
        <v>0.0827</v>
      </c>
      <c r="OU1150" s="2">
        <v>0.1762</v>
      </c>
      <c r="OV1150" s="2">
        <v>0.0121</v>
      </c>
      <c r="OW1150" s="2">
        <v>0.1506</v>
      </c>
      <c r="OX1150" s="2">
        <v>0.0517</v>
      </c>
      <c r="PC1150" s="2">
        <v>0.7951</v>
      </c>
      <c r="PD1150" s="2">
        <v>0.363</v>
      </c>
      <c r="PE1150" s="2">
        <v>1.2002</v>
      </c>
      <c r="PF1150" s="2">
        <v>0.0359</v>
      </c>
      <c r="PG1150" s="2">
        <v>-0.3025</v>
      </c>
      <c r="PH1150" s="2">
        <v>-0.2765</v>
      </c>
      <c r="PI1150" s="2">
        <v>0.7991</v>
      </c>
    </row>
    <row r="1151">
      <c r="A1151" t="inlineStr">
        <is>
          <t>A130398923V</t>
        </is>
      </c>
      <c r="B1151" t="inlineStr">
        <is>
          <t>Contribution to All groups CPI Percentage Points Change from Previous Period ;  All groups CPI excluding Education ;  Australia ;</t>
        </is>
      </c>
      <c r="C1151" t="inlineStr">
        <is>
          <t>Month</t>
        </is>
      </c>
      <c r="D1151" t="inlineStr">
        <is>
          <t>% pts</t>
        </is>
      </c>
      <c r="E1151" t="inlineStr">
        <is>
          <t>Original</t>
        </is>
      </c>
      <c r="F1151" t="inlineStr">
        <is>
          <t>640106.xlsx</t>
        </is>
      </c>
      <c r="G1151" t="inlineStr">
        <is>
          <t>2024-05</t>
        </is>
      </c>
      <c r="H1151" t="inlineStr">
        <is>
          <t>2026-07</t>
        </is>
      </c>
      <c r="OA1151" s="2">
        <v>-0.2312</v>
      </c>
      <c r="OB1151" s="2">
        <v>0.3551</v>
      </c>
      <c r="OC1151" s="2">
        <v>0.2606</v>
      </c>
      <c r="OD1151" s="2">
        <v>-0.2896</v>
      </c>
      <c r="OE1151" s="2">
        <v>0.0453</v>
      </c>
      <c r="OF1151" s="2">
        <v>-0.2319</v>
      </c>
      <c r="OG1151" s="2">
        <v>0.3755</v>
      </c>
      <c r="OH1151" s="2">
        <v>0.6536999999999999</v>
      </c>
      <c r="OM1151" s="2">
        <v>0.2774</v>
      </c>
      <c r="ON1151" s="2">
        <v>-0.1463</v>
      </c>
      <c r="OO1151" s="2">
        <v>0.2951</v>
      </c>
      <c r="OP1151" s="2">
        <v>0.7403</v>
      </c>
      <c r="OQ1151" s="2">
        <v>-0.4929</v>
      </c>
      <c r="OR1151" s="2">
        <v>0.1429</v>
      </c>
      <c r="OS1151" s="2">
        <v>1.3112</v>
      </c>
      <c r="OT1151" s="2">
        <v>-0.0818</v>
      </c>
      <c r="OU1151" s="2">
        <v>0.4474</v>
      </c>
      <c r="OV1151" s="2">
        <v>-0.008399999999999999</v>
      </c>
      <c r="OW1151" s="2">
        <v>0.0149</v>
      </c>
      <c r="OX1151" s="2">
        <v>0.9631</v>
      </c>
      <c r="PC1151" s="2">
        <v>0.3541</v>
      </c>
      <c r="PD1151" s="2">
        <v>-0.2257</v>
      </c>
      <c r="PE1151" s="2">
        <v>1.1121</v>
      </c>
      <c r="PF1151" s="2">
        <v>0.344</v>
      </c>
      <c r="PG1151" s="2">
        <v>-0.6836</v>
      </c>
      <c r="PH1151" s="2">
        <v>-0.059</v>
      </c>
      <c r="PI1151" s="2">
        <v>1.0141</v>
      </c>
    </row>
    <row r="1152">
      <c r="A1152" t="inlineStr">
        <is>
          <t>A130394082R</t>
        </is>
      </c>
      <c r="B1152" t="inlineStr">
        <is>
          <t>Contribution to All groups CPI Percentage Points Change from Previous Period ;  All groups CPI excluding Insurance and financial services ;  Australia ;</t>
        </is>
      </c>
      <c r="C1152" t="inlineStr">
        <is>
          <t>Month</t>
        </is>
      </c>
      <c r="D1152" t="inlineStr">
        <is>
          <t>% pts</t>
        </is>
      </c>
      <c r="E1152" t="inlineStr">
        <is>
          <t>Original</t>
        </is>
      </c>
      <c r="F1152" t="inlineStr">
        <is>
          <t>640106.xlsx</t>
        </is>
      </c>
      <c r="G1152" t="inlineStr">
        <is>
          <t>2024-05</t>
        </is>
      </c>
      <c r="H1152" t="inlineStr">
        <is>
          <t>2026-07</t>
        </is>
      </c>
      <c r="OA1152" s="2">
        <v>-0.243</v>
      </c>
      <c r="OB1152" s="2">
        <v>0.3166</v>
      </c>
      <c r="OC1152" s="2">
        <v>0.2505</v>
      </c>
      <c r="OD1152" s="2">
        <v>-0.2897</v>
      </c>
      <c r="OE1152" s="2">
        <v>0.0061</v>
      </c>
      <c r="OF1152" s="2">
        <v>-0.2451</v>
      </c>
      <c r="OG1152" s="2">
        <v>0.3766</v>
      </c>
      <c r="OH1152" s="2">
        <v>0.6243</v>
      </c>
      <c r="OM1152" s="2">
        <v>0.2526</v>
      </c>
      <c r="ON1152" s="2">
        <v>0.0885</v>
      </c>
      <c r="OO1152" s="2">
        <v>0.2736</v>
      </c>
      <c r="OP1152" s="2">
        <v>0.7441</v>
      </c>
      <c r="OQ1152" s="2">
        <v>-0.4872</v>
      </c>
      <c r="OR1152" s="2">
        <v>0.1127</v>
      </c>
      <c r="OS1152" s="2">
        <v>1.2992</v>
      </c>
      <c r="OT1152" s="2">
        <v>-0.0682</v>
      </c>
      <c r="OU1152" s="2">
        <v>0.4319</v>
      </c>
      <c r="OV1152" s="2">
        <v>-0.02</v>
      </c>
      <c r="OW1152" s="2">
        <v>0.0123</v>
      </c>
      <c r="OX1152" s="2">
        <v>0.9379</v>
      </c>
      <c r="PC1152" s="2">
        <v>0.3329</v>
      </c>
      <c r="PD1152" s="2">
        <v>-0.0177</v>
      </c>
      <c r="PE1152" s="2">
        <v>1.0697</v>
      </c>
      <c r="PF1152" s="2">
        <v>0.3403</v>
      </c>
      <c r="PG1152" s="2">
        <v>-0.6917</v>
      </c>
      <c r="PH1152" s="2">
        <v>-0.089</v>
      </c>
      <c r="PI1152" s="2">
        <v>1.0053</v>
      </c>
    </row>
    <row r="1153">
      <c r="A1153" t="inlineStr">
        <is>
          <t>A130390197T</t>
        </is>
      </c>
      <c r="B1153" t="inlineStr">
        <is>
          <t>Contribution to All groups CPI Percentage Points Change from Previous Period ;  All groups CPI excluding Housing and Insurance and financial services ;  Australia ;</t>
        </is>
      </c>
      <c r="C1153" t="inlineStr">
        <is>
          <t>Month</t>
        </is>
      </c>
      <c r="D1153" t="inlineStr">
        <is>
          <t>% pts</t>
        </is>
      </c>
      <c r="E1153" t="inlineStr">
        <is>
          <t>Original</t>
        </is>
      </c>
      <c r="F1153" t="inlineStr">
        <is>
          <t>640106.xlsx</t>
        </is>
      </c>
      <c r="G1153" t="inlineStr">
        <is>
          <t>2024-05</t>
        </is>
      </c>
      <c r="H1153" t="inlineStr">
        <is>
          <t>2026-07</t>
        </is>
      </c>
      <c r="OA1153" s="2">
        <v>-0.3497</v>
      </c>
      <c r="OB1153" s="2">
        <v>0.2114</v>
      </c>
      <c r="OC1153" s="2">
        <v>0.2474</v>
      </c>
      <c r="OD1153" s="2">
        <v>-0.0186</v>
      </c>
      <c r="OE1153" s="2">
        <v>0.08169999999999999</v>
      </c>
      <c r="OF1153" s="2">
        <v>-0.0268</v>
      </c>
      <c r="OG1153" s="2">
        <v>-0.0003</v>
      </c>
      <c r="OH1153" s="2">
        <v>0.6534</v>
      </c>
      <c r="OM1153" s="2">
        <v>0.0506</v>
      </c>
      <c r="ON1153" s="2">
        <v>0.1166</v>
      </c>
      <c r="OO1153" s="2">
        <v>0.0808</v>
      </c>
      <c r="OP1153" s="2">
        <v>0.6493</v>
      </c>
      <c r="OQ1153" s="2">
        <v>-0.5379</v>
      </c>
      <c r="OR1153" s="2">
        <v>0.0813</v>
      </c>
      <c r="OS1153" s="2">
        <v>0.8376</v>
      </c>
      <c r="OT1153" s="2">
        <v>0.0327</v>
      </c>
      <c r="OU1153" s="2">
        <v>0.2651</v>
      </c>
      <c r="OV1153" s="2">
        <v>0.1632</v>
      </c>
      <c r="OW1153" s="2">
        <v>-0.2311</v>
      </c>
      <c r="OX1153" s="2">
        <v>0.9073</v>
      </c>
      <c r="PC1153" s="2">
        <v>-0.1397</v>
      </c>
      <c r="PD1153" s="2">
        <v>-0.081</v>
      </c>
      <c r="PE1153" s="2">
        <v>1.018</v>
      </c>
      <c r="PF1153" s="2">
        <v>0.2974</v>
      </c>
      <c r="PG1153" s="2">
        <v>-0.792</v>
      </c>
      <c r="PH1153" s="2">
        <v>-0.1888</v>
      </c>
      <c r="PI1153" s="2">
        <v>0.9105</v>
      </c>
    </row>
    <row r="1154">
      <c r="A1154" t="inlineStr">
        <is>
          <t>A130390169J</t>
        </is>
      </c>
      <c r="B1154" t="inlineStr">
        <is>
          <t>Contribution to All groups CPI Percentage Points Change from Previous Period ;  All groups CPI excluding Medical and hospital services ;  Australia ;</t>
        </is>
      </c>
      <c r="C1154" t="inlineStr">
        <is>
          <t>Month</t>
        </is>
      </c>
      <c r="D1154" t="inlineStr">
        <is>
          <t>% pts</t>
        </is>
      </c>
      <c r="E1154" t="inlineStr">
        <is>
          <t>Original</t>
        </is>
      </c>
      <c r="F1154" t="inlineStr">
        <is>
          <t>640106.xlsx</t>
        </is>
      </c>
      <c r="G1154" t="inlineStr">
        <is>
          <t>2024-05</t>
        </is>
      </c>
      <c r="H1154" t="inlineStr">
        <is>
          <t>2026-07</t>
        </is>
      </c>
      <c r="OA1154" s="2">
        <v>-0.2286</v>
      </c>
      <c r="OB1154" s="2">
        <v>0.3531</v>
      </c>
      <c r="OC1154" s="2">
        <v>0.2614</v>
      </c>
      <c r="OD1154" s="2">
        <v>-0.2792</v>
      </c>
      <c r="OE1154" s="2">
        <v>0.0511</v>
      </c>
      <c r="OF1154" s="2">
        <v>-0.2396</v>
      </c>
      <c r="OG1154" s="2">
        <v>0.3746</v>
      </c>
      <c r="OH1154" s="2">
        <v>0.6673</v>
      </c>
      <c r="OM1154" s="2">
        <v>0.1283</v>
      </c>
      <c r="ON1154" s="2">
        <v>0.0907</v>
      </c>
      <c r="OO1154" s="2">
        <v>0.2914</v>
      </c>
      <c r="OP1154" s="2">
        <v>0.618</v>
      </c>
      <c r="OQ1154" s="2">
        <v>-0.4807</v>
      </c>
      <c r="OR1154" s="2">
        <v>0.1432</v>
      </c>
      <c r="OS1154" s="2">
        <v>1.3101</v>
      </c>
      <c r="OT1154" s="2">
        <v>-0.0742</v>
      </c>
      <c r="OU1154" s="2">
        <v>0.4451</v>
      </c>
      <c r="OV1154" s="2">
        <v>-0.0075</v>
      </c>
      <c r="OW1154" s="2">
        <v>0.0424</v>
      </c>
      <c r="OX1154" s="2">
        <v>0.9877</v>
      </c>
      <c r="PC1154" s="2">
        <v>0.2111</v>
      </c>
      <c r="PD1154" s="2">
        <v>-0.022</v>
      </c>
      <c r="PE1154" s="2">
        <v>1.1378</v>
      </c>
      <c r="PF1154" s="2">
        <v>0.1644</v>
      </c>
      <c r="PG1154" s="2">
        <v>-0.6742</v>
      </c>
      <c r="PH1154" s="2">
        <v>-0.0584</v>
      </c>
      <c r="PI1154" s="2">
        <v>1.0149</v>
      </c>
    </row>
    <row r="1155">
      <c r="A1155" t="inlineStr">
        <is>
          <t>A130391639J</t>
        </is>
      </c>
      <c r="B1155" t="inlineStr">
        <is>
          <t>Contribution to All groups CPI Percentage Points Change from Previous Period ;  All groups CPI excluding food and energy ;  Australia ;</t>
        </is>
      </c>
      <c r="C1155" t="inlineStr">
        <is>
          <t>Month</t>
        </is>
      </c>
      <c r="D1155" t="inlineStr">
        <is>
          <t>% pts</t>
        </is>
      </c>
      <c r="E1155" t="inlineStr">
        <is>
          <t>Original</t>
        </is>
      </c>
      <c r="F1155" t="inlineStr">
        <is>
          <t>640106.xlsx</t>
        </is>
      </c>
      <c r="G1155" t="inlineStr">
        <is>
          <t>2024-05</t>
        </is>
      </c>
      <c r="H1155" t="inlineStr">
        <is>
          <t>2026-07</t>
        </is>
      </c>
      <c r="OA1155" s="2">
        <v>-0.1092</v>
      </c>
      <c r="OB1155" s="2">
        <v>0.3171</v>
      </c>
      <c r="OC1155" s="2">
        <v>0.352</v>
      </c>
      <c r="OD1155" s="2">
        <v>0.1184</v>
      </c>
      <c r="OE1155" s="2">
        <v>0.4116</v>
      </c>
      <c r="OF1155" s="2">
        <v>-0.0121</v>
      </c>
      <c r="OG1155" s="2">
        <v>-0.0747</v>
      </c>
      <c r="OH1155" s="2">
        <v>0.5415</v>
      </c>
      <c r="OM1155" s="2">
        <v>0.0114</v>
      </c>
      <c r="ON1155" s="2">
        <v>0.1324</v>
      </c>
      <c r="OO1155" s="2">
        <v>0.0286</v>
      </c>
      <c r="OP1155" s="2">
        <v>0.7383</v>
      </c>
      <c r="OQ1155" s="2">
        <v>-0.4381</v>
      </c>
      <c r="OR1155" s="2">
        <v>-0.0231</v>
      </c>
      <c r="OS1155" s="2">
        <v>0.8918</v>
      </c>
      <c r="OT1155" s="2">
        <v>0.06560000000000001</v>
      </c>
      <c r="OU1155" s="2">
        <v>0.4808</v>
      </c>
      <c r="OV1155" s="2">
        <v>0.2848</v>
      </c>
      <c r="OW1155" s="2">
        <v>-0.2983</v>
      </c>
      <c r="OX1155" s="2">
        <v>0.9413</v>
      </c>
      <c r="PC1155" s="2">
        <v>-0.0337</v>
      </c>
      <c r="PD1155" s="2">
        <v>0.09569999999999999</v>
      </c>
      <c r="PE1155" s="2">
        <v>0.0067</v>
      </c>
      <c r="PF1155" s="2">
        <v>0.6479</v>
      </c>
      <c r="PG1155" s="2">
        <v>-0.3261</v>
      </c>
      <c r="PH1155" s="2">
        <v>0.1917</v>
      </c>
      <c r="PI1155" s="2">
        <v>0.8102</v>
      </c>
    </row>
    <row r="1156">
      <c r="A1156" t="inlineStr">
        <is>
          <t>A130389938T</t>
        </is>
      </c>
      <c r="B1156" t="inlineStr">
        <is>
          <t>Contribution to All groups CPI Percentage Points Change from Previous Period ;  All groups CPI excluding 'volatile items' ;  Australia ;</t>
        </is>
      </c>
      <c r="C1156" t="inlineStr">
        <is>
          <t>Month</t>
        </is>
      </c>
      <c r="D1156" t="inlineStr">
        <is>
          <t>% pts</t>
        </is>
      </c>
      <c r="E1156" t="inlineStr">
        <is>
          <t>Original</t>
        </is>
      </c>
      <c r="F1156" t="inlineStr">
        <is>
          <t>640106.xlsx</t>
        </is>
      </c>
      <c r="G1156" t="inlineStr">
        <is>
          <t>2024-05</t>
        </is>
      </c>
      <c r="H1156" t="inlineStr">
        <is>
          <t>2026-07</t>
        </is>
      </c>
      <c r="OA1156" s="2">
        <v>-0.0858</v>
      </c>
      <c r="OB1156" s="2">
        <v>0.3058</v>
      </c>
      <c r="OC1156" s="2">
        <v>0.3399</v>
      </c>
      <c r="OD1156" s="2">
        <v>-0.188</v>
      </c>
      <c r="OE1156" s="2">
        <v>0.2597</v>
      </c>
      <c r="OF1156" s="2">
        <v>-0.2187</v>
      </c>
      <c r="OG1156" s="2">
        <v>0.3506</v>
      </c>
      <c r="OH1156" s="2">
        <v>0.5576</v>
      </c>
      <c r="OM1156" s="2">
        <v>0.2581</v>
      </c>
      <c r="ON1156" s="2">
        <v>0.0604</v>
      </c>
      <c r="OO1156" s="2">
        <v>0.2679</v>
      </c>
      <c r="OP1156" s="2">
        <v>0.7752</v>
      </c>
      <c r="OQ1156" s="2">
        <v>-0.3789</v>
      </c>
      <c r="OR1156" s="2">
        <v>-0.0166</v>
      </c>
      <c r="OS1156" s="2">
        <v>1.2966</v>
      </c>
      <c r="OT1156" s="2">
        <v>-0.0375</v>
      </c>
      <c r="OU1156" s="2">
        <v>0.5158</v>
      </c>
      <c r="OV1156" s="2">
        <v>0.0111</v>
      </c>
      <c r="OW1156" s="2">
        <v>-0.078</v>
      </c>
      <c r="OX1156" s="2">
        <v>0.9855</v>
      </c>
      <c r="PC1156" s="2">
        <v>0.4432</v>
      </c>
      <c r="PD1156" s="2">
        <v>0.0961</v>
      </c>
      <c r="PE1156" s="2">
        <v>0.0644</v>
      </c>
      <c r="PF1156" s="2">
        <v>0.6093</v>
      </c>
      <c r="PG1156" s="2">
        <v>-0.2653</v>
      </c>
      <c r="PH1156" s="2">
        <v>0.2787</v>
      </c>
      <c r="PI1156" s="2">
        <v>0.8126</v>
      </c>
    </row>
    <row r="1157">
      <c r="A1157" t="inlineStr">
        <is>
          <t>A130392955C</t>
        </is>
      </c>
      <c r="B1157" t="inlineStr">
        <is>
          <t>Contribution to All groups CPI Percentage Points Change from Previous Period ;  Non-Discretionary ;  Australia ;</t>
        </is>
      </c>
      <c r="C1157" t="inlineStr">
        <is>
          <t>Month</t>
        </is>
      </c>
      <c r="D1157" t="inlineStr">
        <is>
          <t>% pts</t>
        </is>
      </c>
      <c r="E1157" t="inlineStr">
        <is>
          <t>Original</t>
        </is>
      </c>
      <c r="F1157" t="inlineStr">
        <is>
          <t>640106.xlsx</t>
        </is>
      </c>
      <c r="G1157" t="inlineStr">
        <is>
          <t>2024-05</t>
        </is>
      </c>
      <c r="H1157" t="inlineStr">
        <is>
          <t>2026-07</t>
        </is>
      </c>
      <c r="OA1157" s="2">
        <v>-0.0388</v>
      </c>
      <c r="OB1157" s="2">
        <v>0.1822</v>
      </c>
      <c r="OC1157" s="2">
        <v>0.0214</v>
      </c>
      <c r="OD1157" s="2">
        <v>-0.2952</v>
      </c>
      <c r="OE1157" s="2">
        <v>-0.2557</v>
      </c>
      <c r="OF1157" s="2">
        <v>-0.233</v>
      </c>
      <c r="OG1157" s="2">
        <v>0.453</v>
      </c>
      <c r="OH1157" s="2">
        <v>0.1268</v>
      </c>
      <c r="OM1157" s="2">
        <v>0.4931</v>
      </c>
      <c r="ON1157" s="2">
        <v>0.2134</v>
      </c>
      <c r="OO1157" s="2">
        <v>0.2988</v>
      </c>
      <c r="OP1157" s="2">
        <v>0.1886</v>
      </c>
      <c r="OQ1157" s="2">
        <v>-0.0893</v>
      </c>
      <c r="OR1157" s="2">
        <v>0.2077</v>
      </c>
      <c r="OS1157" s="2">
        <v>0.6099</v>
      </c>
      <c r="OT1157" s="2">
        <v>-0.0486</v>
      </c>
      <c r="OU1157" s="2">
        <v>0.1529</v>
      </c>
      <c r="OV1157" s="2">
        <v>-0.1465</v>
      </c>
      <c r="OW1157" s="2">
        <v>0.3508</v>
      </c>
      <c r="OX1157" s="2">
        <v>0.0427</v>
      </c>
      <c r="PC1157" s="2">
        <v>0.5747</v>
      </c>
      <c r="PD1157" s="2">
        <v>0.1597</v>
      </c>
      <c r="PE1157" s="2">
        <v>1.1807</v>
      </c>
      <c r="PF1157" s="2">
        <v>-0.0877</v>
      </c>
      <c r="PG1157" s="2">
        <v>-0.2711</v>
      </c>
      <c r="PH1157" s="2">
        <v>-0.1755</v>
      </c>
      <c r="PI1157" s="2">
        <v>0.4048</v>
      </c>
    </row>
    <row r="1158">
      <c r="A1158" t="inlineStr">
        <is>
          <t>A130392934T</t>
        </is>
      </c>
      <c r="B1158" t="inlineStr">
        <is>
          <t>Contribution to All groups CPI Percentage Points Change from Previous Period ;  Discretionary ;  Australia ;</t>
        </is>
      </c>
      <c r="C1158" t="inlineStr">
        <is>
          <t>Month</t>
        </is>
      </c>
      <c r="D1158" t="inlineStr">
        <is>
          <t>% pts</t>
        </is>
      </c>
      <c r="E1158" t="inlineStr">
        <is>
          <t>Original</t>
        </is>
      </c>
      <c r="F1158" t="inlineStr">
        <is>
          <t>640106.xlsx</t>
        </is>
      </c>
      <c r="G1158" t="inlineStr">
        <is>
          <t>2024-05</t>
        </is>
      </c>
      <c r="H1158" t="inlineStr">
        <is>
          <t>2026-07</t>
        </is>
      </c>
      <c r="OA1158" s="2">
        <v>-0.192</v>
      </c>
      <c r="OB1158" s="2">
        <v>0.1739</v>
      </c>
      <c r="OC1158" s="2">
        <v>0.2398</v>
      </c>
      <c r="OD1158" s="2">
        <v>0.0118</v>
      </c>
      <c r="OE1158" s="2">
        <v>0.3024</v>
      </c>
      <c r="OF1158" s="2">
        <v>0.0016</v>
      </c>
      <c r="OG1158" s="2">
        <v>-0.0769</v>
      </c>
      <c r="OH1158" s="2">
        <v>0.5276999999999999</v>
      </c>
      <c r="OM1158" s="2">
        <v>-0.2164</v>
      </c>
      <c r="ON1158" s="2">
        <v>-0.1228</v>
      </c>
      <c r="OO1158" s="2">
        <v>-0.0022</v>
      </c>
      <c r="OP1158" s="2">
        <v>0.5515</v>
      </c>
      <c r="OQ1158" s="2">
        <v>-0.4037</v>
      </c>
      <c r="OR1158" s="2">
        <v>-0.06279999999999999</v>
      </c>
      <c r="OS1158" s="2">
        <v>0.7020999999999999</v>
      </c>
      <c r="OT1158" s="2">
        <v>-0.0269</v>
      </c>
      <c r="OU1158" s="2">
        <v>0.2955</v>
      </c>
      <c r="OV1158" s="2">
        <v>0.139</v>
      </c>
      <c r="OW1158" s="2">
        <v>-0.3351</v>
      </c>
      <c r="OX1158" s="2">
        <v>0.9212</v>
      </c>
      <c r="PC1158" s="2">
        <v>-0.2227</v>
      </c>
      <c r="PD1158" s="2">
        <v>-0.1724</v>
      </c>
      <c r="PE1158" s="2">
        <v>-0.06660000000000001</v>
      </c>
      <c r="PF1158" s="2">
        <v>0.4314</v>
      </c>
      <c r="PG1158" s="2">
        <v>-0.4124</v>
      </c>
      <c r="PH1158" s="2">
        <v>0.1171</v>
      </c>
      <c r="PI1158" s="2">
        <v>0.6099</v>
      </c>
    </row>
    <row r="1159">
      <c r="A1159" t="inlineStr">
        <is>
          <t>A130394271A</t>
        </is>
      </c>
      <c r="B1159" t="inlineStr">
        <is>
          <t>Contribution to All groups CPI Percentage Points Change from Previous Period ;  Discretionary excluding tobacco ;  Australia ;</t>
        </is>
      </c>
      <c r="C1159" t="inlineStr">
        <is>
          <t>Month</t>
        </is>
      </c>
      <c r="D1159" t="inlineStr">
        <is>
          <t>% pts</t>
        </is>
      </c>
      <c r="E1159" t="inlineStr">
        <is>
          <t>Original</t>
        </is>
      </c>
      <c r="F1159" t="inlineStr">
        <is>
          <t>640106.xlsx</t>
        </is>
      </c>
      <c r="G1159" t="inlineStr">
        <is>
          <t>2024-05</t>
        </is>
      </c>
      <c r="H1159" t="inlineStr">
        <is>
          <t>2026-07</t>
        </is>
      </c>
      <c r="OA1159" s="2">
        <v>-0.1965</v>
      </c>
      <c r="OB1159" s="2">
        <v>0.1698</v>
      </c>
      <c r="OC1159" s="2">
        <v>0.2379</v>
      </c>
      <c r="OD1159" s="2">
        <v>0.0136</v>
      </c>
      <c r="OE1159" s="2">
        <v>0.2044</v>
      </c>
      <c r="OF1159" s="2">
        <v>-0.0629</v>
      </c>
      <c r="OG1159" s="2">
        <v>-0.0786</v>
      </c>
      <c r="OH1159" s="2">
        <v>0.5231</v>
      </c>
      <c r="OM1159" s="2">
        <v>-0.2261</v>
      </c>
      <c r="ON1159" s="2">
        <v>-0.1351</v>
      </c>
      <c r="OO1159" s="2">
        <v>-0.0288</v>
      </c>
      <c r="OP1159" s="2">
        <v>0.5306999999999999</v>
      </c>
      <c r="OQ1159" s="2">
        <v>-0.3999</v>
      </c>
      <c r="OR1159" s="2">
        <v>-0.0576</v>
      </c>
      <c r="OS1159" s="2">
        <v>0.6775</v>
      </c>
      <c r="OT1159" s="2">
        <v>-0.0296</v>
      </c>
      <c r="OU1159" s="2">
        <v>0.1964</v>
      </c>
      <c r="OV1159" s="2">
        <v>0.119</v>
      </c>
      <c r="OW1159" s="2">
        <v>-0.3483</v>
      </c>
      <c r="OX1159" s="2">
        <v>0.9121</v>
      </c>
      <c r="PC1159" s="2">
        <v>-0.2212</v>
      </c>
      <c r="PD1159" s="2">
        <v>-0.1796</v>
      </c>
      <c r="PE1159" s="2">
        <v>-0.08989999999999999</v>
      </c>
      <c r="PF1159" s="2">
        <v>0.4177</v>
      </c>
      <c r="PG1159" s="2">
        <v>-0.4108</v>
      </c>
      <c r="PH1159" s="2">
        <v>0.1171</v>
      </c>
      <c r="PI1159" s="2">
        <v>0.5858</v>
      </c>
    </row>
    <row r="1160">
      <c r="A1160" t="inlineStr">
        <is>
          <t>A130607789R</t>
        </is>
      </c>
      <c r="B1160" t="inlineStr">
        <is>
          <t>Index Numbers ;  All groups CPI, seasonally adjusted ;  Australia ;</t>
        </is>
      </c>
      <c r="C1160" t="inlineStr">
        <is>
          <t>Month</t>
        </is>
      </c>
      <c r="D1160" t="inlineStr">
        <is>
          <t>Index Numbers</t>
        </is>
      </c>
      <c r="E1160" t="inlineStr">
        <is>
          <t>Seasonally Adjusted</t>
        </is>
      </c>
      <c r="F1160" t="inlineStr">
        <is>
          <t>640107.xlsx</t>
        </is>
      </c>
      <c r="G1160" t="inlineStr">
        <is>
          <t>2024-04</t>
        </is>
      </c>
      <c r="H1160" t="inlineStr">
        <is>
          <t>2026-07</t>
        </is>
      </c>
      <c r="NZ1160" s="2">
        <v>100</v>
      </c>
      <c r="OA1160" s="2">
        <v>100.3</v>
      </c>
      <c r="OB1160" s="2">
        <v>100.71</v>
      </c>
      <c r="OC1160" s="2">
        <v>100.57</v>
      </c>
      <c r="OD1160" s="2">
        <v>100.54</v>
      </c>
      <c r="OE1160" s="2">
        <v>100.4</v>
      </c>
      <c r="OF1160" s="2">
        <v>100.41</v>
      </c>
      <c r="OG1160" s="2">
        <v>101.08</v>
      </c>
      <c r="OH1160" s="2">
        <v>101.04</v>
      </c>
      <c r="OM1160" s="2">
        <v>101.58</v>
      </c>
      <c r="ON1160" s="2">
        <v>101.83</v>
      </c>
      <c r="OO1160" s="2">
        <v>102.09</v>
      </c>
      <c r="OP1160" s="2">
        <v>102.39</v>
      </c>
      <c r="OQ1160" s="2">
        <v>102.43</v>
      </c>
      <c r="OR1160" s="2">
        <v>102.61</v>
      </c>
      <c r="OS1160" s="2">
        <v>103.55</v>
      </c>
      <c r="OT1160" s="2">
        <v>103.74</v>
      </c>
      <c r="OU1160" s="2">
        <v>104.03</v>
      </c>
      <c r="OV1160" s="2">
        <v>104.29</v>
      </c>
      <c r="OW1160" s="2">
        <v>104.58</v>
      </c>
      <c r="OX1160" s="2">
        <v>104.8</v>
      </c>
      <c r="PC1160" s="2">
        <v>105.46</v>
      </c>
      <c r="PD1160" s="2">
        <v>105.63</v>
      </c>
      <c r="PE1160" s="2">
        <v>106.73</v>
      </c>
      <c r="PF1160" s="2">
        <v>106.65</v>
      </c>
      <c r="PG1160" s="2">
        <v>106.5</v>
      </c>
      <c r="PH1160" s="2">
        <v>106.45</v>
      </c>
      <c r="PI1160" s="2">
        <v>107.13</v>
      </c>
    </row>
    <row r="1161">
      <c r="A1161" t="inlineStr">
        <is>
          <t>A130400521C</t>
        </is>
      </c>
      <c r="B1161" t="inlineStr">
        <is>
          <t>Index Numbers ;  Food and non-alcoholic beverages ;  Australia ;</t>
        </is>
      </c>
      <c r="C1161" t="inlineStr">
        <is>
          <t>Month</t>
        </is>
      </c>
      <c r="D1161" t="inlineStr">
        <is>
          <t>Index Numbers</t>
        </is>
      </c>
      <c r="E1161" t="inlineStr">
        <is>
          <t>Seasonally Adjusted</t>
        </is>
      </c>
      <c r="F1161" t="inlineStr">
        <is>
          <t>640107.xlsx</t>
        </is>
      </c>
      <c r="G1161" t="inlineStr">
        <is>
          <t>2024-04</t>
        </is>
      </c>
      <c r="H1161" t="inlineStr">
        <is>
          <t>2026-07</t>
        </is>
      </c>
      <c r="NZ1161" s="2">
        <v>100</v>
      </c>
      <c r="OA1161" s="2">
        <v>100.39</v>
      </c>
      <c r="OB1161" s="2">
        <v>100.2</v>
      </c>
      <c r="OC1161" s="2">
        <v>100.94</v>
      </c>
      <c r="OD1161" s="2">
        <v>101.18</v>
      </c>
      <c r="OE1161" s="2">
        <v>101.31</v>
      </c>
      <c r="OF1161" s="2">
        <v>101.59</v>
      </c>
      <c r="OG1161" s="2">
        <v>101.76</v>
      </c>
      <c r="OH1161" s="2">
        <v>101.8</v>
      </c>
      <c r="OM1161" s="2">
        <v>102.39</v>
      </c>
      <c r="ON1161" s="2">
        <v>102.41</v>
      </c>
      <c r="OO1161" s="2">
        <v>102.8</v>
      </c>
      <c r="OP1161" s="2">
        <v>103.22</v>
      </c>
      <c r="OQ1161" s="2">
        <v>103.25</v>
      </c>
      <c r="OR1161" s="2">
        <v>103.67</v>
      </c>
      <c r="OS1161" s="2">
        <v>104.09</v>
      </c>
      <c r="OT1161" s="2">
        <v>104.21</v>
      </c>
      <c r="OU1161" s="2">
        <v>104.57</v>
      </c>
      <c r="OV1161" s="2">
        <v>104.84</v>
      </c>
      <c r="OW1161" s="2">
        <v>105.1</v>
      </c>
      <c r="OX1161" s="2">
        <v>105.32</v>
      </c>
      <c r="PC1161" s="2">
        <v>105.57</v>
      </c>
      <c r="PD1161" s="2">
        <v>105.63</v>
      </c>
      <c r="PE1161" s="2">
        <v>105.99</v>
      </c>
      <c r="PF1161" s="2">
        <v>106.07</v>
      </c>
      <c r="PG1161" s="2">
        <v>106.62</v>
      </c>
      <c r="PH1161" s="2">
        <v>107.05</v>
      </c>
      <c r="PI1161" s="2">
        <v>107.4</v>
      </c>
    </row>
    <row r="1162">
      <c r="A1162" t="inlineStr">
        <is>
          <t>A130400311F</t>
        </is>
      </c>
      <c r="B1162" t="inlineStr">
        <is>
          <t>Index Numbers ;  Bread ;  Australia ;</t>
        </is>
      </c>
      <c r="C1162" t="inlineStr">
        <is>
          <t>Month</t>
        </is>
      </c>
      <c r="D1162" t="inlineStr">
        <is>
          <t>Index Numbers</t>
        </is>
      </c>
      <c r="E1162" t="inlineStr">
        <is>
          <t>Seasonally Adjusted</t>
        </is>
      </c>
      <c r="F1162" t="inlineStr">
        <is>
          <t>640107.xlsx</t>
        </is>
      </c>
      <c r="G1162" t="inlineStr">
        <is>
          <t>2017-09</t>
        </is>
      </c>
      <c r="H1162" t="inlineStr">
        <is>
          <t>2026-07</t>
        </is>
      </c>
      <c r="JW1162" s="2">
        <v>72.54000000000001</v>
      </c>
      <c r="JX1162" s="2">
        <v>73.43000000000001</v>
      </c>
      <c r="JY1162" s="2">
        <v>73.67</v>
      </c>
      <c r="JZ1162" s="2">
        <v>73.84</v>
      </c>
      <c r="KE1162" s="2">
        <v>73.69</v>
      </c>
      <c r="KF1162" s="2">
        <v>73.52</v>
      </c>
      <c r="KG1162" s="2">
        <v>73.31</v>
      </c>
      <c r="KH1162" s="2">
        <v>72.25</v>
      </c>
      <c r="KI1162" s="2">
        <v>73.45</v>
      </c>
      <c r="KJ1162" s="2">
        <v>73.58</v>
      </c>
      <c r="KK1162" s="2">
        <v>74.27</v>
      </c>
      <c r="KL1162" s="2">
        <v>74.41</v>
      </c>
      <c r="KM1162" s="2">
        <v>74.68000000000001</v>
      </c>
      <c r="KN1162" s="2">
        <v>74.81999999999999</v>
      </c>
      <c r="KO1162" s="2">
        <v>74.56999999999999</v>
      </c>
      <c r="KP1162" s="2">
        <v>75.31999999999999</v>
      </c>
      <c r="KU1162" s="2">
        <v>75.45999999999999</v>
      </c>
      <c r="KV1162" s="2">
        <v>75.90000000000001</v>
      </c>
      <c r="KW1162" s="2">
        <v>76.90000000000001</v>
      </c>
      <c r="KX1162" s="2">
        <v>76.48999999999999</v>
      </c>
      <c r="KY1162" s="2">
        <v>76.48999999999999</v>
      </c>
      <c r="KZ1162" s="2">
        <v>76.64</v>
      </c>
      <c r="LA1162" s="2">
        <v>76.68000000000001</v>
      </c>
      <c r="LB1162" s="2">
        <v>76.98</v>
      </c>
      <c r="LC1162" s="2">
        <v>76.84999999999999</v>
      </c>
      <c r="LD1162" s="2">
        <v>77.06</v>
      </c>
      <c r="LE1162" s="2">
        <v>77.06</v>
      </c>
      <c r="LF1162" s="2">
        <v>77.09999999999999</v>
      </c>
      <c r="LK1162" s="2">
        <v>77.44</v>
      </c>
      <c r="LL1162" s="2">
        <v>77.61</v>
      </c>
      <c r="LM1162" s="2">
        <v>78.62</v>
      </c>
      <c r="LN1162" s="2">
        <v>77.97</v>
      </c>
      <c r="LO1162" s="2">
        <v>77.58</v>
      </c>
      <c r="LP1162" s="2">
        <v>77.48999999999999</v>
      </c>
      <c r="LQ1162" s="2">
        <v>77.34999999999999</v>
      </c>
      <c r="LR1162" s="2">
        <v>77.63</v>
      </c>
      <c r="LS1162" s="2">
        <v>77.83</v>
      </c>
      <c r="LT1162" s="2">
        <v>78.34999999999999</v>
      </c>
      <c r="LU1162" s="2">
        <v>78.64</v>
      </c>
      <c r="LV1162" s="2">
        <v>78.87</v>
      </c>
      <c r="MA1162" s="2">
        <v>78.7</v>
      </c>
      <c r="MB1162" s="2">
        <v>78.48</v>
      </c>
      <c r="MC1162" s="2">
        <v>78.08</v>
      </c>
      <c r="MD1162" s="2">
        <v>77.95999999999999</v>
      </c>
      <c r="ME1162" s="2">
        <v>78.09</v>
      </c>
      <c r="MF1162" s="2">
        <v>78.05</v>
      </c>
      <c r="MG1162" s="2">
        <v>78.14</v>
      </c>
      <c r="MH1162" s="2">
        <v>78.03</v>
      </c>
      <c r="MI1162" s="2">
        <v>78.62</v>
      </c>
      <c r="MJ1162" s="2">
        <v>78.67</v>
      </c>
      <c r="MK1162" s="2">
        <v>79.06</v>
      </c>
      <c r="ML1162" s="2">
        <v>79.13</v>
      </c>
      <c r="MQ1162" s="2">
        <v>79.19</v>
      </c>
      <c r="MR1162" s="2">
        <v>79.77</v>
      </c>
      <c r="MS1162" s="2">
        <v>81.56</v>
      </c>
      <c r="MT1162" s="2">
        <v>82.53</v>
      </c>
      <c r="MU1162" s="2">
        <v>83.45</v>
      </c>
      <c r="MV1162" s="2">
        <v>84.23</v>
      </c>
      <c r="MW1162" s="2">
        <v>84.56</v>
      </c>
      <c r="MX1162" s="2">
        <v>85.19</v>
      </c>
      <c r="MY1162" s="2">
        <v>89.08</v>
      </c>
      <c r="MZ1162" s="2">
        <v>88.97</v>
      </c>
      <c r="NA1162" s="2">
        <v>89.25</v>
      </c>
      <c r="NB1162" s="2">
        <v>89.92</v>
      </c>
      <c r="NG1162" s="2">
        <v>90.97</v>
      </c>
      <c r="NH1162" s="2">
        <v>91</v>
      </c>
      <c r="NI1162" s="2">
        <v>90.59999999999999</v>
      </c>
      <c r="NJ1162" s="2">
        <v>92.95</v>
      </c>
      <c r="NK1162" s="2">
        <v>96.31</v>
      </c>
      <c r="NL1162" s="2">
        <v>96.48</v>
      </c>
      <c r="NM1162" s="2">
        <v>96.65000000000001</v>
      </c>
      <c r="NN1162" s="2">
        <v>97.15000000000001</v>
      </c>
      <c r="NO1162" s="2">
        <v>97.65000000000001</v>
      </c>
      <c r="NP1162" s="2">
        <v>97.81999999999999</v>
      </c>
      <c r="NQ1162" s="2">
        <v>97.91</v>
      </c>
      <c r="NR1162" s="2">
        <v>98.01000000000001</v>
      </c>
      <c r="NW1162" s="2">
        <v>98.18000000000001</v>
      </c>
      <c r="NX1162" s="2">
        <v>98.68000000000001</v>
      </c>
      <c r="NY1162" s="2">
        <v>98.20999999999999</v>
      </c>
      <c r="NZ1162" s="2">
        <v>98.34999999999999</v>
      </c>
      <c r="OA1162" s="2">
        <v>98.17</v>
      </c>
      <c r="OB1162" s="2">
        <v>98.34</v>
      </c>
      <c r="OC1162" s="2">
        <v>98.64</v>
      </c>
      <c r="OD1162" s="2">
        <v>98.68000000000001</v>
      </c>
      <c r="OE1162" s="2">
        <v>98.65000000000001</v>
      </c>
      <c r="OF1162" s="2">
        <v>99.81999999999999</v>
      </c>
      <c r="OG1162" s="2">
        <v>100.48</v>
      </c>
      <c r="OH1162" s="2">
        <v>100.83</v>
      </c>
      <c r="OM1162" s="2">
        <v>101.02</v>
      </c>
      <c r="ON1162" s="2">
        <v>100.95</v>
      </c>
      <c r="OO1162" s="2">
        <v>100.91</v>
      </c>
      <c r="OP1162" s="2">
        <v>100.59</v>
      </c>
      <c r="OQ1162" s="2">
        <v>100.16</v>
      </c>
      <c r="OR1162" s="2">
        <v>99.89</v>
      </c>
      <c r="OS1162" s="2">
        <v>100.03</v>
      </c>
      <c r="OT1162" s="2">
        <v>100.28</v>
      </c>
      <c r="OU1162" s="2">
        <v>100.48</v>
      </c>
      <c r="OV1162" s="2">
        <v>100.87</v>
      </c>
      <c r="OW1162" s="2">
        <v>101.05</v>
      </c>
      <c r="OX1162" s="2">
        <v>101.12</v>
      </c>
      <c r="PC1162" s="2">
        <v>101.41</v>
      </c>
      <c r="PD1162" s="2">
        <v>101.62</v>
      </c>
      <c r="PE1162" s="2">
        <v>101.82</v>
      </c>
      <c r="PF1162" s="2">
        <v>101.78</v>
      </c>
      <c r="PG1162" s="2">
        <v>102.29</v>
      </c>
      <c r="PH1162" s="2">
        <v>102.65</v>
      </c>
      <c r="PI1162" s="2">
        <v>102.7</v>
      </c>
    </row>
    <row r="1163">
      <c r="A1163" t="inlineStr">
        <is>
          <t>A130400122V</t>
        </is>
      </c>
      <c r="B1163" t="inlineStr">
        <is>
          <t>Index Numbers ;  Cakes and biscuits ;  Australia ;</t>
        </is>
      </c>
      <c r="C1163" t="inlineStr">
        <is>
          <t>Month</t>
        </is>
      </c>
      <c r="D1163" t="inlineStr">
        <is>
          <t>Index Numbers</t>
        </is>
      </c>
      <c r="E1163" t="inlineStr">
        <is>
          <t>Seasonally Adjusted</t>
        </is>
      </c>
      <c r="F1163" t="inlineStr">
        <is>
          <t>640107.xlsx</t>
        </is>
      </c>
      <c r="G1163" t="inlineStr">
        <is>
          <t>2017-09</t>
        </is>
      </c>
      <c r="H1163" t="inlineStr">
        <is>
          <t>2026-07</t>
        </is>
      </c>
      <c r="JW1163" s="2">
        <v>74.3</v>
      </c>
      <c r="JX1163" s="2">
        <v>74.37</v>
      </c>
      <c r="JY1163" s="2">
        <v>74.7</v>
      </c>
      <c r="JZ1163" s="2">
        <v>74.44</v>
      </c>
      <c r="KE1163" s="2">
        <v>74.89</v>
      </c>
      <c r="KF1163" s="2">
        <v>74.20999999999999</v>
      </c>
      <c r="KG1163" s="2">
        <v>74.53</v>
      </c>
      <c r="KH1163" s="2">
        <v>74.5</v>
      </c>
      <c r="KI1163" s="2">
        <v>73.8</v>
      </c>
      <c r="KJ1163" s="2">
        <v>73.77</v>
      </c>
      <c r="KK1163" s="2">
        <v>75.18000000000001</v>
      </c>
      <c r="KL1163" s="2">
        <v>73.44</v>
      </c>
      <c r="KM1163" s="2">
        <v>74.03</v>
      </c>
      <c r="KN1163" s="2">
        <v>74.56999999999999</v>
      </c>
      <c r="KO1163" s="2">
        <v>74.20999999999999</v>
      </c>
      <c r="KP1163" s="2">
        <v>74.18000000000001</v>
      </c>
      <c r="KU1163" s="2">
        <v>74.51000000000001</v>
      </c>
      <c r="KV1163" s="2">
        <v>75.18000000000001</v>
      </c>
      <c r="KW1163" s="2">
        <v>75.14</v>
      </c>
      <c r="KX1163" s="2">
        <v>75.18000000000001</v>
      </c>
      <c r="KY1163" s="2">
        <v>74.65000000000001</v>
      </c>
      <c r="KZ1163" s="2">
        <v>76.34</v>
      </c>
      <c r="LA1163" s="2">
        <v>76.47</v>
      </c>
      <c r="LB1163" s="2">
        <v>77.34</v>
      </c>
      <c r="LC1163" s="2">
        <v>78.01000000000001</v>
      </c>
      <c r="LD1163" s="2">
        <v>77.70999999999999</v>
      </c>
      <c r="LE1163" s="2">
        <v>78.15000000000001</v>
      </c>
      <c r="LF1163" s="2">
        <v>78.41</v>
      </c>
      <c r="LK1163" s="2">
        <v>78.25</v>
      </c>
      <c r="LL1163" s="2">
        <v>78.02</v>
      </c>
      <c r="LM1163" s="2">
        <v>80.52</v>
      </c>
      <c r="LN1163" s="2">
        <v>81.45</v>
      </c>
      <c r="LO1163" s="2">
        <v>79.39</v>
      </c>
      <c r="LP1163" s="2">
        <v>79.22</v>
      </c>
      <c r="LQ1163" s="2">
        <v>78.33</v>
      </c>
      <c r="LR1163" s="2">
        <v>78.53</v>
      </c>
      <c r="LS1163" s="2">
        <v>78.65000000000001</v>
      </c>
      <c r="LT1163" s="2">
        <v>78.62</v>
      </c>
      <c r="LU1163" s="2">
        <v>78.56999999999999</v>
      </c>
      <c r="LV1163" s="2">
        <v>77.63</v>
      </c>
      <c r="MA1163" s="2">
        <v>79</v>
      </c>
      <c r="MB1163" s="2">
        <v>79.68000000000001</v>
      </c>
      <c r="MC1163" s="2">
        <v>79.40000000000001</v>
      </c>
      <c r="MD1163" s="2">
        <v>79.40000000000001</v>
      </c>
      <c r="ME1163" s="2">
        <v>79.93000000000001</v>
      </c>
      <c r="MF1163" s="2">
        <v>79.56</v>
      </c>
      <c r="MG1163" s="2">
        <v>79.53</v>
      </c>
      <c r="MH1163" s="2">
        <v>79.41</v>
      </c>
      <c r="MI1163" s="2">
        <v>78.90000000000001</v>
      </c>
      <c r="MJ1163" s="2">
        <v>79.22</v>
      </c>
      <c r="MK1163" s="2">
        <v>79.98999999999999</v>
      </c>
      <c r="ML1163" s="2">
        <v>80.16</v>
      </c>
      <c r="MQ1163" s="2">
        <v>80.77</v>
      </c>
      <c r="MR1163" s="2">
        <v>81.03</v>
      </c>
      <c r="MS1163" s="2">
        <v>81.33</v>
      </c>
      <c r="MT1163" s="2">
        <v>82.03</v>
      </c>
      <c r="MU1163" s="2">
        <v>82.38</v>
      </c>
      <c r="MV1163" s="2">
        <v>84.06</v>
      </c>
      <c r="MW1163" s="2">
        <v>84.77</v>
      </c>
      <c r="MX1163" s="2">
        <v>85.59</v>
      </c>
      <c r="MY1163" s="2">
        <v>86.81999999999999</v>
      </c>
      <c r="MZ1163" s="2">
        <v>87.76000000000001</v>
      </c>
      <c r="NA1163" s="2">
        <v>87.94</v>
      </c>
      <c r="NB1163" s="2">
        <v>89.11</v>
      </c>
      <c r="NG1163" s="2">
        <v>88.90000000000001</v>
      </c>
      <c r="NH1163" s="2">
        <v>90.05</v>
      </c>
      <c r="NI1163" s="2">
        <v>89.88</v>
      </c>
      <c r="NJ1163" s="2">
        <v>91.8</v>
      </c>
      <c r="NK1163" s="2">
        <v>92.15000000000001</v>
      </c>
      <c r="NL1163" s="2">
        <v>91.61</v>
      </c>
      <c r="NM1163" s="2">
        <v>91.33</v>
      </c>
      <c r="NN1163" s="2">
        <v>94.06999999999999</v>
      </c>
      <c r="NO1163" s="2">
        <v>94.94</v>
      </c>
      <c r="NP1163" s="2">
        <v>94.79000000000001</v>
      </c>
      <c r="NQ1163" s="2">
        <v>95.01000000000001</v>
      </c>
      <c r="NR1163" s="2">
        <v>95.78</v>
      </c>
      <c r="NW1163" s="2">
        <v>95.66</v>
      </c>
      <c r="NX1163" s="2">
        <v>96.16</v>
      </c>
      <c r="NY1163" s="2">
        <v>97.20999999999999</v>
      </c>
      <c r="NZ1163" s="2">
        <v>96.39</v>
      </c>
      <c r="OA1163" s="2">
        <v>96.93000000000001</v>
      </c>
      <c r="OB1163" s="2">
        <v>96.65000000000001</v>
      </c>
      <c r="OC1163" s="2">
        <v>97.7</v>
      </c>
      <c r="OD1163" s="2">
        <v>97.04000000000001</v>
      </c>
      <c r="OE1163" s="2">
        <v>97.36</v>
      </c>
      <c r="OF1163" s="2">
        <v>99.14</v>
      </c>
      <c r="OG1163" s="2">
        <v>98.84</v>
      </c>
      <c r="OH1163" s="2">
        <v>98.23</v>
      </c>
      <c r="OM1163" s="2">
        <v>99.5</v>
      </c>
      <c r="ON1163" s="2">
        <v>99.01000000000001</v>
      </c>
      <c r="OO1163" s="2">
        <v>99.94</v>
      </c>
      <c r="OP1163" s="2">
        <v>100.34</v>
      </c>
      <c r="OQ1163" s="2">
        <v>99.73</v>
      </c>
      <c r="OR1163" s="2">
        <v>100.2</v>
      </c>
      <c r="OS1163" s="2">
        <v>101.15</v>
      </c>
      <c r="OT1163" s="2">
        <v>100.62</v>
      </c>
      <c r="OU1163" s="2">
        <v>100.38</v>
      </c>
      <c r="OV1163" s="2">
        <v>99.69</v>
      </c>
      <c r="OW1163" s="2">
        <v>100.31</v>
      </c>
      <c r="OX1163" s="2">
        <v>100.62</v>
      </c>
      <c r="PC1163" s="2">
        <v>101.22</v>
      </c>
      <c r="PD1163" s="2">
        <v>100.3</v>
      </c>
      <c r="PE1163" s="2">
        <v>100.42</v>
      </c>
      <c r="PF1163" s="2">
        <v>100.44</v>
      </c>
      <c r="PG1163" s="2">
        <v>101.1</v>
      </c>
      <c r="PH1163" s="2">
        <v>102.02</v>
      </c>
      <c r="PI1163" s="2">
        <v>101.46</v>
      </c>
    </row>
    <row r="1164">
      <c r="A1164" t="inlineStr">
        <is>
          <t>A130400556C</t>
        </is>
      </c>
      <c r="B1164" t="inlineStr">
        <is>
          <t>Index Numbers ;  Breakfast cereals ;  Australia ;</t>
        </is>
      </c>
      <c r="C1164" t="inlineStr">
        <is>
          <t>Month</t>
        </is>
      </c>
      <c r="D1164" t="inlineStr">
        <is>
          <t>Index Numbers</t>
        </is>
      </c>
      <c r="E1164" t="inlineStr">
        <is>
          <t>Seasonally Adjusted</t>
        </is>
      </c>
      <c r="F1164" t="inlineStr">
        <is>
          <t>640107.xlsx</t>
        </is>
      </c>
      <c r="G1164" t="inlineStr">
        <is>
          <t>2017-09</t>
        </is>
      </c>
      <c r="H1164" t="inlineStr">
        <is>
          <t>2026-07</t>
        </is>
      </c>
      <c r="JW1164" s="2">
        <v>73.15000000000001</v>
      </c>
      <c r="JX1164" s="2">
        <v>72.76000000000001</v>
      </c>
      <c r="JY1164" s="2">
        <v>73.06999999999999</v>
      </c>
      <c r="JZ1164" s="2">
        <v>74.59999999999999</v>
      </c>
      <c r="KE1164" s="2">
        <v>73.17</v>
      </c>
      <c r="KF1164" s="2">
        <v>73.44</v>
      </c>
      <c r="KG1164" s="2">
        <v>71.39</v>
      </c>
      <c r="KH1164" s="2">
        <v>71.61</v>
      </c>
      <c r="KI1164" s="2">
        <v>73.16</v>
      </c>
      <c r="KJ1164" s="2">
        <v>73.40000000000001</v>
      </c>
      <c r="KK1164" s="2">
        <v>72.59</v>
      </c>
      <c r="KL1164" s="2">
        <v>72.58</v>
      </c>
      <c r="KM1164" s="2">
        <v>73.76000000000001</v>
      </c>
      <c r="KN1164" s="2">
        <v>75.16</v>
      </c>
      <c r="KO1164" s="2">
        <v>74.55</v>
      </c>
      <c r="KP1164" s="2">
        <v>75.01000000000001</v>
      </c>
      <c r="KU1164" s="2">
        <v>75.12</v>
      </c>
      <c r="KV1164" s="2">
        <v>75.98999999999999</v>
      </c>
      <c r="KW1164" s="2">
        <v>76.76000000000001</v>
      </c>
      <c r="KX1164" s="2">
        <v>77.36</v>
      </c>
      <c r="KY1164" s="2">
        <v>75.45</v>
      </c>
      <c r="KZ1164" s="2">
        <v>75.44</v>
      </c>
      <c r="LA1164" s="2">
        <v>78.76000000000001</v>
      </c>
      <c r="LB1164" s="2">
        <v>78.98999999999999</v>
      </c>
      <c r="LC1164" s="2">
        <v>77.98999999999999</v>
      </c>
      <c r="LD1164" s="2">
        <v>78.38</v>
      </c>
      <c r="LE1164" s="2">
        <v>78.36</v>
      </c>
      <c r="LF1164" s="2">
        <v>79.06</v>
      </c>
      <c r="LK1164" s="2">
        <v>79.79000000000001</v>
      </c>
      <c r="LL1164" s="2">
        <v>81.2</v>
      </c>
      <c r="LM1164" s="2">
        <v>84.79000000000001</v>
      </c>
      <c r="LN1164" s="2">
        <v>87.67</v>
      </c>
      <c r="LO1164" s="2">
        <v>85.54000000000001</v>
      </c>
      <c r="LP1164" s="2">
        <v>80.41</v>
      </c>
      <c r="LQ1164" s="2">
        <v>79.97</v>
      </c>
      <c r="LR1164" s="2">
        <v>80.86</v>
      </c>
      <c r="LS1164" s="2">
        <v>80.36</v>
      </c>
      <c r="LT1164" s="2">
        <v>81.03</v>
      </c>
      <c r="LU1164" s="2">
        <v>82.28</v>
      </c>
      <c r="LV1164" s="2">
        <v>80.62</v>
      </c>
      <c r="MA1164" s="2">
        <v>81.31999999999999</v>
      </c>
      <c r="MB1164" s="2">
        <v>80.38</v>
      </c>
      <c r="MC1164" s="2">
        <v>79.95</v>
      </c>
      <c r="MD1164" s="2">
        <v>80.09999999999999</v>
      </c>
      <c r="ME1164" s="2">
        <v>81.31</v>
      </c>
      <c r="MF1164" s="2">
        <v>81.59999999999999</v>
      </c>
      <c r="MG1164" s="2">
        <v>81.61</v>
      </c>
      <c r="MH1164" s="2">
        <v>80.48</v>
      </c>
      <c r="MI1164" s="2">
        <v>81.69</v>
      </c>
      <c r="MJ1164" s="2">
        <v>80.72</v>
      </c>
      <c r="MK1164" s="2">
        <v>80.22</v>
      </c>
      <c r="ML1164" s="2">
        <v>80.3</v>
      </c>
      <c r="MQ1164" s="2">
        <v>81.88</v>
      </c>
      <c r="MR1164" s="2">
        <v>80.06999999999999</v>
      </c>
      <c r="MS1164" s="2">
        <v>86.73999999999999</v>
      </c>
      <c r="MT1164" s="2">
        <v>88.05</v>
      </c>
      <c r="MU1164" s="2">
        <v>86.55</v>
      </c>
      <c r="MV1164" s="2">
        <v>88.95</v>
      </c>
      <c r="MW1164" s="2">
        <v>90.34</v>
      </c>
      <c r="MX1164" s="2">
        <v>91.93000000000001</v>
      </c>
      <c r="MY1164" s="2">
        <v>92.18000000000001</v>
      </c>
      <c r="MZ1164" s="2">
        <v>91.40000000000001</v>
      </c>
      <c r="NA1164" s="2">
        <v>92.87</v>
      </c>
      <c r="NB1164" s="2">
        <v>94.34999999999999</v>
      </c>
      <c r="NG1164" s="2">
        <v>93.97</v>
      </c>
      <c r="NH1164" s="2">
        <v>91.76000000000001</v>
      </c>
      <c r="NI1164" s="2">
        <v>94.31</v>
      </c>
      <c r="NJ1164" s="2">
        <v>92.59</v>
      </c>
      <c r="NK1164" s="2">
        <v>96.52</v>
      </c>
      <c r="NL1164" s="2">
        <v>96.36</v>
      </c>
      <c r="NM1164" s="2">
        <v>96.3</v>
      </c>
      <c r="NN1164" s="2">
        <v>96.16</v>
      </c>
      <c r="NO1164" s="2">
        <v>97.90000000000001</v>
      </c>
      <c r="NP1164" s="2">
        <v>100.04</v>
      </c>
      <c r="NQ1164" s="2">
        <v>100.85</v>
      </c>
      <c r="NR1164" s="2">
        <v>100.93</v>
      </c>
      <c r="NW1164" s="2">
        <v>99.75</v>
      </c>
      <c r="NX1164" s="2">
        <v>99.22</v>
      </c>
      <c r="NY1164" s="2">
        <v>98.55</v>
      </c>
      <c r="NZ1164" s="2">
        <v>99.69</v>
      </c>
      <c r="OA1164" s="2">
        <v>99.61</v>
      </c>
      <c r="OB1164" s="2">
        <v>98.34999999999999</v>
      </c>
      <c r="OC1164" s="2">
        <v>99.06</v>
      </c>
      <c r="OD1164" s="2">
        <v>101.09</v>
      </c>
      <c r="OE1164" s="2">
        <v>100.88</v>
      </c>
      <c r="OF1164" s="2">
        <v>99.34999999999999</v>
      </c>
      <c r="OG1164" s="2">
        <v>98.67</v>
      </c>
      <c r="OH1164" s="2">
        <v>99.56</v>
      </c>
      <c r="OM1164" s="2">
        <v>100.75</v>
      </c>
      <c r="ON1164" s="2">
        <v>101.06</v>
      </c>
      <c r="OO1164" s="2">
        <v>100.38</v>
      </c>
      <c r="OP1164" s="2">
        <v>100.39</v>
      </c>
      <c r="OQ1164" s="2">
        <v>100.23</v>
      </c>
      <c r="OR1164" s="2">
        <v>100.53</v>
      </c>
      <c r="OS1164" s="2">
        <v>101.13</v>
      </c>
      <c r="OT1164" s="2">
        <v>99.8</v>
      </c>
      <c r="OU1164" s="2">
        <v>99.90000000000001</v>
      </c>
      <c r="OV1164" s="2">
        <v>102.03</v>
      </c>
      <c r="OW1164" s="2">
        <v>102.61</v>
      </c>
      <c r="OX1164" s="2">
        <v>106.23</v>
      </c>
      <c r="PC1164" s="2">
        <v>103.21</v>
      </c>
      <c r="PD1164" s="2">
        <v>105.24</v>
      </c>
      <c r="PE1164" s="2">
        <v>105.35</v>
      </c>
      <c r="PF1164" s="2">
        <v>104.16</v>
      </c>
      <c r="PG1164" s="2">
        <v>103.9</v>
      </c>
      <c r="PH1164" s="2">
        <v>105.33</v>
      </c>
      <c r="PI1164" s="2">
        <v>104.56</v>
      </c>
    </row>
    <row r="1165">
      <c r="A1165" t="inlineStr">
        <is>
          <t>A130400563A</t>
        </is>
      </c>
      <c r="B1165" t="inlineStr">
        <is>
          <t>Index Numbers ;  Other cereal products ;  Australia ;</t>
        </is>
      </c>
      <c r="C1165" t="inlineStr">
        <is>
          <t>Month</t>
        </is>
      </c>
      <c r="D1165" t="inlineStr">
        <is>
          <t>Index Numbers</t>
        </is>
      </c>
      <c r="E1165" t="inlineStr">
        <is>
          <t>Seasonally Adjusted</t>
        </is>
      </c>
      <c r="F1165" t="inlineStr">
        <is>
          <t>640107.xlsx</t>
        </is>
      </c>
      <c r="G1165" t="inlineStr">
        <is>
          <t>2017-09</t>
        </is>
      </c>
      <c r="H1165" t="inlineStr">
        <is>
          <t>2026-07</t>
        </is>
      </c>
      <c r="JW1165" s="2">
        <v>76.81999999999999</v>
      </c>
      <c r="JX1165" s="2">
        <v>77.43000000000001</v>
      </c>
      <c r="JY1165" s="2">
        <v>77.79000000000001</v>
      </c>
      <c r="JZ1165" s="2">
        <v>77.79000000000001</v>
      </c>
      <c r="KE1165" s="2">
        <v>76.95</v>
      </c>
      <c r="KF1165" s="2">
        <v>75.92</v>
      </c>
      <c r="KG1165" s="2">
        <v>76.23</v>
      </c>
      <c r="KH1165" s="2">
        <v>75.73</v>
      </c>
      <c r="KI1165" s="2">
        <v>75.79000000000001</v>
      </c>
      <c r="KJ1165" s="2">
        <v>75.76000000000001</v>
      </c>
      <c r="KK1165" s="2">
        <v>75.69</v>
      </c>
      <c r="KL1165" s="2">
        <v>76.13</v>
      </c>
      <c r="KM1165" s="2">
        <v>76.47</v>
      </c>
      <c r="KN1165" s="2">
        <v>75.72</v>
      </c>
      <c r="KO1165" s="2">
        <v>75.92</v>
      </c>
      <c r="KP1165" s="2">
        <v>76.79000000000001</v>
      </c>
      <c r="KU1165" s="2">
        <v>76.89</v>
      </c>
      <c r="KV1165" s="2">
        <v>78.39</v>
      </c>
      <c r="KW1165" s="2">
        <v>76.81</v>
      </c>
      <c r="KX1165" s="2">
        <v>77.34999999999999</v>
      </c>
      <c r="KY1165" s="2">
        <v>76.93000000000001</v>
      </c>
      <c r="KZ1165" s="2">
        <v>77.23999999999999</v>
      </c>
      <c r="LA1165" s="2">
        <v>77.84</v>
      </c>
      <c r="LB1165" s="2">
        <v>77.97</v>
      </c>
      <c r="LC1165" s="2">
        <v>78.56999999999999</v>
      </c>
      <c r="LD1165" s="2">
        <v>79.02</v>
      </c>
      <c r="LE1165" s="2">
        <v>78.43000000000001</v>
      </c>
      <c r="LF1165" s="2">
        <v>79.44</v>
      </c>
      <c r="LK1165" s="2">
        <v>79.28</v>
      </c>
      <c r="LL1165" s="2">
        <v>80.97</v>
      </c>
      <c r="LM1165" s="2">
        <v>84.78</v>
      </c>
      <c r="LN1165" s="2">
        <v>87.23</v>
      </c>
      <c r="LO1165" s="2">
        <v>86.61</v>
      </c>
      <c r="LP1165" s="2">
        <v>85.65000000000001</v>
      </c>
      <c r="LQ1165" s="2">
        <v>84.73999999999999</v>
      </c>
      <c r="LR1165" s="2">
        <v>83.91</v>
      </c>
      <c r="LS1165" s="2">
        <v>83.65000000000001</v>
      </c>
      <c r="LT1165" s="2">
        <v>83.84999999999999</v>
      </c>
      <c r="LU1165" s="2">
        <v>84.04000000000001</v>
      </c>
      <c r="LV1165" s="2">
        <v>83.2</v>
      </c>
      <c r="MA1165" s="2">
        <v>82.31999999999999</v>
      </c>
      <c r="MB1165" s="2">
        <v>81.45</v>
      </c>
      <c r="MC1165" s="2">
        <v>80.77</v>
      </c>
      <c r="MD1165" s="2">
        <v>81.42</v>
      </c>
      <c r="ME1165" s="2">
        <v>81.06999999999999</v>
      </c>
      <c r="MF1165" s="2">
        <v>81.66</v>
      </c>
      <c r="MG1165" s="2">
        <v>82.14</v>
      </c>
      <c r="MH1165" s="2">
        <v>83.20999999999999</v>
      </c>
      <c r="MI1165" s="2">
        <v>83.59</v>
      </c>
      <c r="MJ1165" s="2">
        <v>84.44</v>
      </c>
      <c r="MK1165" s="2">
        <v>84.58</v>
      </c>
      <c r="ML1165" s="2">
        <v>84.29000000000001</v>
      </c>
      <c r="MQ1165" s="2">
        <v>85.68000000000001</v>
      </c>
      <c r="MR1165" s="2">
        <v>87.48999999999999</v>
      </c>
      <c r="MS1165" s="2">
        <v>87.2</v>
      </c>
      <c r="MT1165" s="2">
        <v>87.77</v>
      </c>
      <c r="MU1165" s="2">
        <v>89.34999999999999</v>
      </c>
      <c r="MV1165" s="2">
        <v>90.52</v>
      </c>
      <c r="MW1165" s="2">
        <v>93.3</v>
      </c>
      <c r="MX1165" s="2">
        <v>94.34</v>
      </c>
      <c r="MY1165" s="2">
        <v>93.48</v>
      </c>
      <c r="MZ1165" s="2">
        <v>94.34999999999999</v>
      </c>
      <c r="NA1165" s="2">
        <v>95.90000000000001</v>
      </c>
      <c r="NB1165" s="2">
        <v>95.78</v>
      </c>
      <c r="NG1165" s="2">
        <v>95.94</v>
      </c>
      <c r="NH1165" s="2">
        <v>97.54000000000001</v>
      </c>
      <c r="NI1165" s="2">
        <v>97.61</v>
      </c>
      <c r="NJ1165" s="2">
        <v>98.23</v>
      </c>
      <c r="NK1165" s="2">
        <v>97.95999999999999</v>
      </c>
      <c r="NL1165" s="2">
        <v>98.31</v>
      </c>
      <c r="NM1165" s="2">
        <v>98.42</v>
      </c>
      <c r="NN1165" s="2">
        <v>98.84999999999999</v>
      </c>
      <c r="NO1165" s="2">
        <v>99.63</v>
      </c>
      <c r="NP1165" s="2">
        <v>99.23999999999999</v>
      </c>
      <c r="NQ1165" s="2">
        <v>99.43000000000001</v>
      </c>
      <c r="NR1165" s="2">
        <v>100.31</v>
      </c>
      <c r="NW1165" s="2">
        <v>100.54</v>
      </c>
      <c r="NX1165" s="2">
        <v>99.59</v>
      </c>
      <c r="NY1165" s="2">
        <v>99.83</v>
      </c>
      <c r="NZ1165" s="2">
        <v>99.44</v>
      </c>
      <c r="OA1165" s="2">
        <v>100.05</v>
      </c>
      <c r="OB1165" s="2">
        <v>100.18</v>
      </c>
      <c r="OC1165" s="2">
        <v>100.88</v>
      </c>
      <c r="OD1165" s="2">
        <v>100</v>
      </c>
      <c r="OE1165" s="2">
        <v>100.41</v>
      </c>
      <c r="OF1165" s="2">
        <v>100.81</v>
      </c>
      <c r="OG1165" s="2">
        <v>100.07</v>
      </c>
      <c r="OH1165" s="2">
        <v>100.41</v>
      </c>
      <c r="OM1165" s="2">
        <v>100.67</v>
      </c>
      <c r="ON1165" s="2">
        <v>100.21</v>
      </c>
      <c r="OO1165" s="2">
        <v>100.37</v>
      </c>
      <c r="OP1165" s="2">
        <v>99.55</v>
      </c>
      <c r="OQ1165" s="2">
        <v>99.73</v>
      </c>
      <c r="OR1165" s="2">
        <v>99.40000000000001</v>
      </c>
      <c r="OS1165" s="2">
        <v>99.45</v>
      </c>
      <c r="OT1165" s="2">
        <v>99.93000000000001</v>
      </c>
      <c r="OU1165" s="2">
        <v>100.08</v>
      </c>
      <c r="OV1165" s="2">
        <v>99.29000000000001</v>
      </c>
      <c r="OW1165" s="2">
        <v>100.07</v>
      </c>
      <c r="OX1165" s="2">
        <v>99.47</v>
      </c>
      <c r="PC1165" s="2">
        <v>99.20999999999999</v>
      </c>
      <c r="PD1165" s="2">
        <v>99.59999999999999</v>
      </c>
      <c r="PE1165" s="2">
        <v>97.7</v>
      </c>
      <c r="PF1165" s="2">
        <v>99.43000000000001</v>
      </c>
      <c r="PG1165" s="2">
        <v>99.12</v>
      </c>
      <c r="PH1165" s="2">
        <v>100.96</v>
      </c>
      <c r="PI1165" s="2">
        <v>99.03</v>
      </c>
    </row>
    <row r="1166">
      <c r="A1166" t="inlineStr">
        <is>
          <t>A130400570X</t>
        </is>
      </c>
      <c r="B1166" t="inlineStr">
        <is>
          <t>Index Numbers ;  Beef and veal ;  Australia ;</t>
        </is>
      </c>
      <c r="C1166" t="inlineStr">
        <is>
          <t>Month</t>
        </is>
      </c>
      <c r="D1166" t="inlineStr">
        <is>
          <t>Index Numbers</t>
        </is>
      </c>
      <c r="E1166" t="inlineStr">
        <is>
          <t>Seasonally Adjusted</t>
        </is>
      </c>
      <c r="F1166" t="inlineStr">
        <is>
          <t>640107.xlsx</t>
        </is>
      </c>
      <c r="G1166" t="inlineStr">
        <is>
          <t>2017-09</t>
        </is>
      </c>
      <c r="H1166" t="inlineStr">
        <is>
          <t>2026-07</t>
        </is>
      </c>
      <c r="JW1166" s="2">
        <v>69.47</v>
      </c>
      <c r="JX1166" s="2">
        <v>69.69</v>
      </c>
      <c r="JY1166" s="2">
        <v>69.66</v>
      </c>
      <c r="JZ1166" s="2">
        <v>69.08</v>
      </c>
      <c r="KE1166" s="2">
        <v>69.47</v>
      </c>
      <c r="KF1166" s="2">
        <v>69.39</v>
      </c>
      <c r="KG1166" s="2">
        <v>69.05</v>
      </c>
      <c r="KH1166" s="2">
        <v>68.79000000000001</v>
      </c>
      <c r="KI1166" s="2">
        <v>68.31999999999999</v>
      </c>
      <c r="KJ1166" s="2">
        <v>68.45999999999999</v>
      </c>
      <c r="KK1166" s="2">
        <v>68.28</v>
      </c>
      <c r="KL1166" s="2">
        <v>69.59999999999999</v>
      </c>
      <c r="KM1166" s="2">
        <v>70.23</v>
      </c>
      <c r="KN1166" s="2">
        <v>70.29000000000001</v>
      </c>
      <c r="KO1166" s="2">
        <v>70.89</v>
      </c>
      <c r="KP1166" s="2">
        <v>70.91</v>
      </c>
      <c r="KU1166" s="2">
        <v>71.26000000000001</v>
      </c>
      <c r="KV1166" s="2">
        <v>72.34</v>
      </c>
      <c r="KW1166" s="2">
        <v>72.48</v>
      </c>
      <c r="KX1166" s="2">
        <v>71.84999999999999</v>
      </c>
      <c r="KY1166" s="2">
        <v>72.84</v>
      </c>
      <c r="KZ1166" s="2">
        <v>73.19</v>
      </c>
      <c r="LA1166" s="2">
        <v>73.36</v>
      </c>
      <c r="LB1166" s="2">
        <v>73.66</v>
      </c>
      <c r="LC1166" s="2">
        <v>75.76000000000001</v>
      </c>
      <c r="LD1166" s="2">
        <v>76.42</v>
      </c>
      <c r="LE1166" s="2">
        <v>76.3</v>
      </c>
      <c r="LF1166" s="2">
        <v>77.19</v>
      </c>
      <c r="LK1166" s="2">
        <v>77.59999999999999</v>
      </c>
      <c r="LL1166" s="2">
        <v>77.53</v>
      </c>
      <c r="LM1166" s="2">
        <v>78.93000000000001</v>
      </c>
      <c r="LN1166" s="2">
        <v>75.34999999999999</v>
      </c>
      <c r="LO1166" s="2">
        <v>78.64</v>
      </c>
      <c r="LP1166" s="2">
        <v>79.76000000000001</v>
      </c>
      <c r="LQ1166" s="2">
        <v>80.2</v>
      </c>
      <c r="LR1166" s="2">
        <v>80.48999999999999</v>
      </c>
      <c r="LS1166" s="2">
        <v>80.61</v>
      </c>
      <c r="LT1166" s="2">
        <v>81.37</v>
      </c>
      <c r="LU1166" s="2">
        <v>82.69</v>
      </c>
      <c r="LV1166" s="2">
        <v>84.17</v>
      </c>
      <c r="MA1166" s="2">
        <v>84.23999999999999</v>
      </c>
      <c r="MB1166" s="2">
        <v>85.12</v>
      </c>
      <c r="MC1166" s="2">
        <v>85.64</v>
      </c>
      <c r="MD1166" s="2">
        <v>87.58</v>
      </c>
      <c r="ME1166" s="2">
        <v>88.93000000000001</v>
      </c>
      <c r="MF1166" s="2">
        <v>89.42</v>
      </c>
      <c r="MG1166" s="2">
        <v>89.76000000000001</v>
      </c>
      <c r="MH1166" s="2">
        <v>89.44</v>
      </c>
      <c r="MI1166" s="2">
        <v>89.19</v>
      </c>
      <c r="MJ1166" s="2">
        <v>89.23999999999999</v>
      </c>
      <c r="MK1166" s="2">
        <v>89.52</v>
      </c>
      <c r="ML1166" s="2">
        <v>90.43000000000001</v>
      </c>
      <c r="MQ1166" s="2">
        <v>94.7</v>
      </c>
      <c r="MR1166" s="2">
        <v>95.91</v>
      </c>
      <c r="MS1166" s="2">
        <v>96.37</v>
      </c>
      <c r="MT1166" s="2">
        <v>96.68000000000001</v>
      </c>
      <c r="MU1166" s="2">
        <v>97.19</v>
      </c>
      <c r="MV1166" s="2">
        <v>97.31</v>
      </c>
      <c r="MW1166" s="2">
        <v>97.83</v>
      </c>
      <c r="MX1166" s="2">
        <v>97.73999999999999</v>
      </c>
      <c r="MY1166" s="2">
        <v>98.08</v>
      </c>
      <c r="MZ1166" s="2">
        <v>97.81999999999999</v>
      </c>
      <c r="NA1166" s="2">
        <v>97.51000000000001</v>
      </c>
      <c r="NB1166" s="2">
        <v>97.58</v>
      </c>
      <c r="NG1166" s="2">
        <v>97.06999999999999</v>
      </c>
      <c r="NH1166" s="2">
        <v>96.95999999999999</v>
      </c>
      <c r="NI1166" s="2">
        <v>96.39</v>
      </c>
      <c r="NJ1166" s="2">
        <v>96.02</v>
      </c>
      <c r="NK1166" s="2">
        <v>95.29000000000001</v>
      </c>
      <c r="NL1166" s="2">
        <v>94.73999999999999</v>
      </c>
      <c r="NM1166" s="2">
        <v>94.75</v>
      </c>
      <c r="NN1166" s="2">
        <v>95.12</v>
      </c>
      <c r="NO1166" s="2">
        <v>93.84</v>
      </c>
      <c r="NP1166" s="2">
        <v>93.66</v>
      </c>
      <c r="NQ1166" s="2">
        <v>93.22</v>
      </c>
      <c r="NR1166" s="2">
        <v>92.51000000000001</v>
      </c>
      <c r="NW1166" s="2">
        <v>91.98999999999999</v>
      </c>
      <c r="NX1166" s="2">
        <v>90.73999999999999</v>
      </c>
      <c r="NY1166" s="2">
        <v>90.94</v>
      </c>
      <c r="NZ1166" s="2">
        <v>91.53</v>
      </c>
      <c r="OA1166" s="2">
        <v>92.2</v>
      </c>
      <c r="OB1166" s="2">
        <v>92.17</v>
      </c>
      <c r="OC1166" s="2">
        <v>92.55</v>
      </c>
      <c r="OD1166" s="2">
        <v>93.06999999999999</v>
      </c>
      <c r="OE1166" s="2">
        <v>93.44</v>
      </c>
      <c r="OF1166" s="2">
        <v>93.29000000000001</v>
      </c>
      <c r="OG1166" s="2">
        <v>93.69</v>
      </c>
      <c r="OH1166" s="2">
        <v>93.77</v>
      </c>
      <c r="OM1166" s="2">
        <v>94.51000000000001</v>
      </c>
      <c r="ON1166" s="2">
        <v>93.77</v>
      </c>
      <c r="OO1166" s="2">
        <v>95.56</v>
      </c>
      <c r="OP1166" s="2">
        <v>95.41</v>
      </c>
      <c r="OQ1166" s="2">
        <v>95.64</v>
      </c>
      <c r="OR1166" s="2">
        <v>97.73999999999999</v>
      </c>
      <c r="OS1166" s="2">
        <v>97.34999999999999</v>
      </c>
      <c r="OT1166" s="2">
        <v>98.65000000000001</v>
      </c>
      <c r="OU1166" s="2">
        <v>100.22</v>
      </c>
      <c r="OV1166" s="2">
        <v>102.97</v>
      </c>
      <c r="OW1166" s="2">
        <v>104.18</v>
      </c>
      <c r="OX1166" s="2">
        <v>103.9</v>
      </c>
      <c r="PC1166" s="2">
        <v>105.09</v>
      </c>
      <c r="PD1166" s="2">
        <v>106.47</v>
      </c>
      <c r="PE1166" s="2">
        <v>106.89</v>
      </c>
      <c r="PF1166" s="2">
        <v>106.89</v>
      </c>
      <c r="PG1166" s="2">
        <v>108.42</v>
      </c>
      <c r="PH1166" s="2">
        <v>109.38</v>
      </c>
      <c r="PI1166" s="2">
        <v>109.68</v>
      </c>
    </row>
    <row r="1167">
      <c r="A1167" t="inlineStr">
        <is>
          <t>A130400178F</t>
        </is>
      </c>
      <c r="B1167" t="inlineStr">
        <is>
          <t>Index Numbers ;  Pork ;  Australia ;</t>
        </is>
      </c>
      <c r="C1167" t="inlineStr">
        <is>
          <t>Month</t>
        </is>
      </c>
      <c r="D1167" t="inlineStr">
        <is>
          <t>Index Numbers</t>
        </is>
      </c>
      <c r="E1167" t="inlineStr">
        <is>
          <t>Seasonally Adjusted</t>
        </is>
      </c>
      <c r="F1167" t="inlineStr">
        <is>
          <t>640107.xlsx</t>
        </is>
      </c>
      <c r="G1167" t="inlineStr">
        <is>
          <t>2017-09</t>
        </is>
      </c>
      <c r="H1167" t="inlineStr">
        <is>
          <t>2026-07</t>
        </is>
      </c>
      <c r="JW1167" s="2">
        <v>77.61</v>
      </c>
      <c r="JX1167" s="2">
        <v>77.88</v>
      </c>
      <c r="JY1167" s="2">
        <v>77.34999999999999</v>
      </c>
      <c r="JZ1167" s="2">
        <v>77.59999999999999</v>
      </c>
      <c r="KE1167" s="2">
        <v>77.56</v>
      </c>
      <c r="KF1167" s="2">
        <v>77.59</v>
      </c>
      <c r="KG1167" s="2">
        <v>78.48999999999999</v>
      </c>
      <c r="KH1167" s="2">
        <v>78.05</v>
      </c>
      <c r="KI1167" s="2">
        <v>77.73</v>
      </c>
      <c r="KJ1167" s="2">
        <v>77.38</v>
      </c>
      <c r="KK1167" s="2">
        <v>77.42</v>
      </c>
      <c r="KL1167" s="2">
        <v>77.2</v>
      </c>
      <c r="KM1167" s="2">
        <v>76.95</v>
      </c>
      <c r="KN1167" s="2">
        <v>76.73999999999999</v>
      </c>
      <c r="KO1167" s="2">
        <v>77.09999999999999</v>
      </c>
      <c r="KP1167" s="2">
        <v>77.43000000000001</v>
      </c>
      <c r="KU1167" s="2">
        <v>77.43000000000001</v>
      </c>
      <c r="KV1167" s="2">
        <v>77.70999999999999</v>
      </c>
      <c r="KW1167" s="2">
        <v>77.98999999999999</v>
      </c>
      <c r="KX1167" s="2">
        <v>78.23</v>
      </c>
      <c r="KY1167" s="2">
        <v>78.52</v>
      </c>
      <c r="KZ1167" s="2">
        <v>79.3</v>
      </c>
      <c r="LA1167" s="2">
        <v>79.65000000000001</v>
      </c>
      <c r="LB1167" s="2">
        <v>80.08</v>
      </c>
      <c r="LC1167" s="2">
        <v>80.87</v>
      </c>
      <c r="LD1167" s="2">
        <v>83.34999999999999</v>
      </c>
      <c r="LE1167" s="2">
        <v>83.54000000000001</v>
      </c>
      <c r="LF1167" s="2">
        <v>83.41</v>
      </c>
      <c r="LK1167" s="2">
        <v>83.47</v>
      </c>
      <c r="LL1167" s="2">
        <v>83.54000000000001</v>
      </c>
      <c r="LM1167" s="2">
        <v>86.03</v>
      </c>
      <c r="LN1167" s="2">
        <v>87.09999999999999</v>
      </c>
      <c r="LO1167" s="2">
        <v>86.39</v>
      </c>
      <c r="LP1167" s="2">
        <v>86.59</v>
      </c>
      <c r="LQ1167" s="2">
        <v>87.01000000000001</v>
      </c>
      <c r="LR1167" s="2">
        <v>87.14</v>
      </c>
      <c r="LS1167" s="2">
        <v>87.11</v>
      </c>
      <c r="LT1167" s="2">
        <v>86.8</v>
      </c>
      <c r="LU1167" s="2">
        <v>86.69</v>
      </c>
      <c r="LV1167" s="2">
        <v>86.63</v>
      </c>
      <c r="MA1167" s="2">
        <v>86.56</v>
      </c>
      <c r="MB1167" s="2">
        <v>86.54000000000001</v>
      </c>
      <c r="MC1167" s="2">
        <v>86.12</v>
      </c>
      <c r="MD1167" s="2">
        <v>85.84999999999999</v>
      </c>
      <c r="ME1167" s="2">
        <v>86.13</v>
      </c>
      <c r="MF1167" s="2">
        <v>86.29000000000001</v>
      </c>
      <c r="MG1167" s="2">
        <v>85.98</v>
      </c>
      <c r="MH1167" s="2">
        <v>86.7</v>
      </c>
      <c r="MI1167" s="2">
        <v>87.02</v>
      </c>
      <c r="MJ1167" s="2">
        <v>86.98</v>
      </c>
      <c r="MK1167" s="2">
        <v>87.36</v>
      </c>
      <c r="ML1167" s="2">
        <v>86.62</v>
      </c>
      <c r="MQ1167" s="2">
        <v>88.34</v>
      </c>
      <c r="MR1167" s="2">
        <v>89.84999999999999</v>
      </c>
      <c r="MS1167" s="2">
        <v>88.81</v>
      </c>
      <c r="MT1167" s="2">
        <v>89.08</v>
      </c>
      <c r="MU1167" s="2">
        <v>89.81</v>
      </c>
      <c r="MV1167" s="2">
        <v>89.83</v>
      </c>
      <c r="MW1167" s="2">
        <v>89.94</v>
      </c>
      <c r="MX1167" s="2">
        <v>89.87</v>
      </c>
      <c r="MY1167" s="2">
        <v>89.84999999999999</v>
      </c>
      <c r="MZ1167" s="2">
        <v>90.43000000000001</v>
      </c>
      <c r="NA1167" s="2">
        <v>90.83</v>
      </c>
      <c r="NB1167" s="2">
        <v>92.20999999999999</v>
      </c>
      <c r="NG1167" s="2">
        <v>91.67</v>
      </c>
      <c r="NH1167" s="2">
        <v>92.56999999999999</v>
      </c>
      <c r="NI1167" s="2">
        <v>92.89</v>
      </c>
      <c r="NJ1167" s="2">
        <v>92.89</v>
      </c>
      <c r="NK1167" s="2">
        <v>92.62</v>
      </c>
      <c r="NL1167" s="2">
        <v>93.01000000000001</v>
      </c>
      <c r="NM1167" s="2">
        <v>93.58</v>
      </c>
      <c r="NN1167" s="2">
        <v>93.88</v>
      </c>
      <c r="NO1167" s="2">
        <v>94.52</v>
      </c>
      <c r="NP1167" s="2">
        <v>96.15000000000001</v>
      </c>
      <c r="NQ1167" s="2">
        <v>96.20999999999999</v>
      </c>
      <c r="NR1167" s="2">
        <v>96.14</v>
      </c>
      <c r="NW1167" s="2">
        <v>96.36</v>
      </c>
      <c r="NX1167" s="2">
        <v>95.84</v>
      </c>
      <c r="NY1167" s="2">
        <v>96.33</v>
      </c>
      <c r="NZ1167" s="2">
        <v>97.33</v>
      </c>
      <c r="OA1167" s="2">
        <v>97.08</v>
      </c>
      <c r="OB1167" s="2">
        <v>97.08</v>
      </c>
      <c r="OC1167" s="2">
        <v>97.31</v>
      </c>
      <c r="OD1167" s="2">
        <v>97.34999999999999</v>
      </c>
      <c r="OE1167" s="2">
        <v>97.38</v>
      </c>
      <c r="OF1167" s="2">
        <v>98.39</v>
      </c>
      <c r="OG1167" s="2">
        <v>98.45999999999999</v>
      </c>
      <c r="OH1167" s="2">
        <v>98.97</v>
      </c>
      <c r="OM1167" s="2">
        <v>99.42</v>
      </c>
      <c r="ON1167" s="2">
        <v>99.56999999999999</v>
      </c>
      <c r="OO1167" s="2">
        <v>100.52</v>
      </c>
      <c r="OP1167" s="2">
        <v>99.55</v>
      </c>
      <c r="OQ1167" s="2">
        <v>100.35</v>
      </c>
      <c r="OR1167" s="2">
        <v>100.43</v>
      </c>
      <c r="OS1167" s="2">
        <v>100.67</v>
      </c>
      <c r="OT1167" s="2">
        <v>100.77</v>
      </c>
      <c r="OU1167" s="2">
        <v>100.66</v>
      </c>
      <c r="OV1167" s="2">
        <v>99.78</v>
      </c>
      <c r="OW1167" s="2">
        <v>99.75</v>
      </c>
      <c r="OX1167" s="2">
        <v>99.69</v>
      </c>
      <c r="PC1167" s="2">
        <v>99.94</v>
      </c>
      <c r="PD1167" s="2">
        <v>100.12</v>
      </c>
      <c r="PE1167" s="2">
        <v>100.4</v>
      </c>
      <c r="PF1167" s="2">
        <v>101.26</v>
      </c>
      <c r="PG1167" s="2">
        <v>101.62</v>
      </c>
      <c r="PH1167" s="2">
        <v>102.86</v>
      </c>
      <c r="PI1167" s="2">
        <v>102</v>
      </c>
    </row>
    <row r="1168">
      <c r="A1168" t="inlineStr">
        <is>
          <t>A130400318W</t>
        </is>
      </c>
      <c r="B1168" t="inlineStr">
        <is>
          <t>Index Numbers ;  Lamb and goat ;  Australia ;</t>
        </is>
      </c>
      <c r="C1168" t="inlineStr">
        <is>
          <t>Month</t>
        </is>
      </c>
      <c r="D1168" t="inlineStr">
        <is>
          <t>Index Numbers</t>
        </is>
      </c>
      <c r="E1168" t="inlineStr">
        <is>
          <t>Seasonally Adjusted</t>
        </is>
      </c>
      <c r="F1168" t="inlineStr">
        <is>
          <t>640107.xlsx</t>
        </is>
      </c>
      <c r="G1168" t="inlineStr">
        <is>
          <t>2017-09</t>
        </is>
      </c>
      <c r="H1168" t="inlineStr">
        <is>
          <t>2026-07</t>
        </is>
      </c>
      <c r="JW1168" s="2">
        <v>69.34</v>
      </c>
      <c r="JX1168" s="2">
        <v>69.5</v>
      </c>
      <c r="JY1168" s="2">
        <v>70.23</v>
      </c>
      <c r="JZ1168" s="2">
        <v>69.69</v>
      </c>
      <c r="KE1168" s="2">
        <v>69</v>
      </c>
      <c r="KF1168" s="2">
        <v>68.73</v>
      </c>
      <c r="KG1168" s="2">
        <v>69.05</v>
      </c>
      <c r="KH1168" s="2">
        <v>70.38</v>
      </c>
      <c r="KI1168" s="2">
        <v>70.40000000000001</v>
      </c>
      <c r="KJ1168" s="2">
        <v>70.56</v>
      </c>
      <c r="KK1168" s="2">
        <v>70.09999999999999</v>
      </c>
      <c r="KL1168" s="2">
        <v>71.09</v>
      </c>
      <c r="KM1168" s="2">
        <v>74.79000000000001</v>
      </c>
      <c r="KN1168" s="2">
        <v>77.34</v>
      </c>
      <c r="KO1168" s="2">
        <v>77.92</v>
      </c>
      <c r="KP1168" s="2">
        <v>78.42</v>
      </c>
      <c r="KU1168" s="2">
        <v>79.79000000000001</v>
      </c>
      <c r="KV1168" s="2">
        <v>79.73999999999999</v>
      </c>
      <c r="KW1168" s="2">
        <v>79.75</v>
      </c>
      <c r="KX1168" s="2">
        <v>79.75</v>
      </c>
      <c r="KY1168" s="2">
        <v>80.54000000000001</v>
      </c>
      <c r="KZ1168" s="2">
        <v>80.70999999999999</v>
      </c>
      <c r="LA1168" s="2">
        <v>80.73999999999999</v>
      </c>
      <c r="LB1168" s="2">
        <v>82.03</v>
      </c>
      <c r="LC1168" s="2">
        <v>84.43000000000001</v>
      </c>
      <c r="LD1168" s="2">
        <v>83.45</v>
      </c>
      <c r="LE1168" s="2">
        <v>82.81999999999999</v>
      </c>
      <c r="LF1168" s="2">
        <v>82.79000000000001</v>
      </c>
      <c r="LK1168" s="2">
        <v>82.56</v>
      </c>
      <c r="LL1168" s="2">
        <v>83.42</v>
      </c>
      <c r="LM1168" s="2">
        <v>86.61</v>
      </c>
      <c r="LN1168" s="2">
        <v>84.08</v>
      </c>
      <c r="LO1168" s="2">
        <v>84.23999999999999</v>
      </c>
      <c r="LP1168" s="2">
        <v>85.62</v>
      </c>
      <c r="LQ1168" s="2">
        <v>86.02</v>
      </c>
      <c r="LR1168" s="2">
        <v>86.04000000000001</v>
      </c>
      <c r="LS1168" s="2">
        <v>84.62</v>
      </c>
      <c r="LT1168" s="2">
        <v>83.62</v>
      </c>
      <c r="LU1168" s="2">
        <v>84.64</v>
      </c>
      <c r="LV1168" s="2">
        <v>86.86</v>
      </c>
      <c r="MA1168" s="2">
        <v>85.73999999999999</v>
      </c>
      <c r="MB1168" s="2">
        <v>86.45999999999999</v>
      </c>
      <c r="MC1168" s="2">
        <v>87.09999999999999</v>
      </c>
      <c r="MD1168" s="2">
        <v>86.52</v>
      </c>
      <c r="ME1168" s="2">
        <v>85.81999999999999</v>
      </c>
      <c r="MF1168" s="2">
        <v>85.81</v>
      </c>
      <c r="MG1168" s="2">
        <v>85.79000000000001</v>
      </c>
      <c r="MH1168" s="2">
        <v>85.59</v>
      </c>
      <c r="MI1168" s="2">
        <v>86.42</v>
      </c>
      <c r="MJ1168" s="2">
        <v>86.95999999999999</v>
      </c>
      <c r="MK1168" s="2">
        <v>87.68000000000001</v>
      </c>
      <c r="ML1168" s="2">
        <v>88.16</v>
      </c>
      <c r="MQ1168" s="2">
        <v>91.47</v>
      </c>
      <c r="MR1168" s="2">
        <v>93.43000000000001</v>
      </c>
      <c r="MS1168" s="2">
        <v>91.67</v>
      </c>
      <c r="MT1168" s="2">
        <v>91.26000000000001</v>
      </c>
      <c r="MU1168" s="2">
        <v>92.36</v>
      </c>
      <c r="MV1168" s="2">
        <v>92.31</v>
      </c>
      <c r="MW1168" s="2">
        <v>91.70999999999999</v>
      </c>
      <c r="MX1168" s="2">
        <v>90.03</v>
      </c>
      <c r="MY1168" s="2">
        <v>90.27</v>
      </c>
      <c r="MZ1168" s="2">
        <v>89.83</v>
      </c>
      <c r="NA1168" s="2">
        <v>91.08</v>
      </c>
      <c r="NB1168" s="2">
        <v>90.95999999999999</v>
      </c>
      <c r="NG1168" s="2">
        <v>91.01000000000001</v>
      </c>
      <c r="NH1168" s="2">
        <v>90.64</v>
      </c>
      <c r="NI1168" s="2">
        <v>89.81</v>
      </c>
      <c r="NJ1168" s="2">
        <v>90.56</v>
      </c>
      <c r="NK1168" s="2">
        <v>90.42</v>
      </c>
      <c r="NL1168" s="2">
        <v>89.16</v>
      </c>
      <c r="NM1168" s="2">
        <v>87.56</v>
      </c>
      <c r="NN1168" s="2">
        <v>86.11</v>
      </c>
      <c r="NO1168" s="2">
        <v>82.48999999999999</v>
      </c>
      <c r="NP1168" s="2">
        <v>81.31</v>
      </c>
      <c r="NQ1168" s="2">
        <v>76.65000000000001</v>
      </c>
      <c r="NR1168" s="2">
        <v>72.27</v>
      </c>
      <c r="NW1168" s="2">
        <v>71.81999999999999</v>
      </c>
      <c r="NX1168" s="2">
        <v>75.65000000000001</v>
      </c>
      <c r="NY1168" s="2">
        <v>79.06</v>
      </c>
      <c r="NZ1168" s="2">
        <v>79.45</v>
      </c>
      <c r="OA1168" s="2">
        <v>80.06</v>
      </c>
      <c r="OB1168" s="2">
        <v>81.59</v>
      </c>
      <c r="OC1168" s="2">
        <v>84.18000000000001</v>
      </c>
      <c r="OD1168" s="2">
        <v>85.78</v>
      </c>
      <c r="OE1168" s="2">
        <v>87.66</v>
      </c>
      <c r="OF1168" s="2">
        <v>88.69</v>
      </c>
      <c r="OG1168" s="2">
        <v>90.25</v>
      </c>
      <c r="OH1168" s="2">
        <v>90.48999999999999</v>
      </c>
      <c r="OM1168" s="2">
        <v>90.93000000000001</v>
      </c>
      <c r="ON1168" s="2">
        <v>90.81</v>
      </c>
      <c r="OO1168" s="2">
        <v>90</v>
      </c>
      <c r="OP1168" s="2">
        <v>89.70999999999999</v>
      </c>
      <c r="OQ1168" s="2">
        <v>90.38</v>
      </c>
      <c r="OR1168" s="2">
        <v>90.64</v>
      </c>
      <c r="OS1168" s="2">
        <v>91.27</v>
      </c>
      <c r="OT1168" s="2">
        <v>93.44</v>
      </c>
      <c r="OU1168" s="2">
        <v>98.68000000000001</v>
      </c>
      <c r="OV1168" s="2">
        <v>101.29</v>
      </c>
      <c r="OW1168" s="2">
        <v>101.01</v>
      </c>
      <c r="OX1168" s="2">
        <v>102.41</v>
      </c>
      <c r="PC1168" s="2">
        <v>100.77</v>
      </c>
      <c r="PD1168" s="2">
        <v>102.55</v>
      </c>
      <c r="PE1168" s="2">
        <v>103.93</v>
      </c>
      <c r="PF1168" s="2">
        <v>102.96</v>
      </c>
      <c r="PG1168" s="2">
        <v>103.89</v>
      </c>
      <c r="PH1168" s="2">
        <v>104.28</v>
      </c>
      <c r="PI1168" s="2">
        <v>104.48</v>
      </c>
    </row>
    <row r="1169">
      <c r="A1169" t="inlineStr">
        <is>
          <t>A130400710R</t>
        </is>
      </c>
      <c r="B1169" t="inlineStr">
        <is>
          <t>Index Numbers ;  Poultry ;  Australia ;</t>
        </is>
      </c>
      <c r="C1169" t="inlineStr">
        <is>
          <t>Month</t>
        </is>
      </c>
      <c r="D1169" t="inlineStr">
        <is>
          <t>Index Numbers</t>
        </is>
      </c>
      <c r="E1169" t="inlineStr">
        <is>
          <t>Seasonally Adjusted</t>
        </is>
      </c>
      <c r="F1169" t="inlineStr">
        <is>
          <t>640107.xlsx</t>
        </is>
      </c>
      <c r="G1169" t="inlineStr">
        <is>
          <t>2017-09</t>
        </is>
      </c>
      <c r="H1169" t="inlineStr">
        <is>
          <t>2026-07</t>
        </is>
      </c>
      <c r="JW1169" s="2">
        <v>81.39</v>
      </c>
      <c r="JX1169" s="2">
        <v>82.25</v>
      </c>
      <c r="JY1169" s="2">
        <v>82.76000000000001</v>
      </c>
      <c r="JZ1169" s="2">
        <v>81.88</v>
      </c>
      <c r="KE1169" s="2">
        <v>81.98</v>
      </c>
      <c r="KF1169" s="2">
        <v>81.83</v>
      </c>
      <c r="KG1169" s="2">
        <v>81.98</v>
      </c>
      <c r="KH1169" s="2">
        <v>82.23999999999999</v>
      </c>
      <c r="KI1169" s="2">
        <v>82.01000000000001</v>
      </c>
      <c r="KJ1169" s="2">
        <v>82.39</v>
      </c>
      <c r="KK1169" s="2">
        <v>82.72</v>
      </c>
      <c r="KL1169" s="2">
        <v>81.97</v>
      </c>
      <c r="KM1169" s="2">
        <v>82.64</v>
      </c>
      <c r="KN1169" s="2">
        <v>83.25</v>
      </c>
      <c r="KO1169" s="2">
        <v>83.86</v>
      </c>
      <c r="KP1169" s="2">
        <v>84.19</v>
      </c>
      <c r="KU1169" s="2">
        <v>85.18000000000001</v>
      </c>
      <c r="KV1169" s="2">
        <v>85.7</v>
      </c>
      <c r="KW1169" s="2">
        <v>85.48999999999999</v>
      </c>
      <c r="KX1169" s="2">
        <v>85.36</v>
      </c>
      <c r="KY1169" s="2">
        <v>86.06999999999999</v>
      </c>
      <c r="KZ1169" s="2">
        <v>86.48999999999999</v>
      </c>
      <c r="LA1169" s="2">
        <v>86.17</v>
      </c>
      <c r="LB1169" s="2">
        <v>86.95999999999999</v>
      </c>
      <c r="LC1169" s="2">
        <v>86.84999999999999</v>
      </c>
      <c r="LD1169" s="2">
        <v>86.81</v>
      </c>
      <c r="LE1169" s="2">
        <v>86.89</v>
      </c>
      <c r="LF1169" s="2">
        <v>86.75</v>
      </c>
      <c r="LK1169" s="2">
        <v>86.25</v>
      </c>
      <c r="LL1169" s="2">
        <v>86.08</v>
      </c>
      <c r="LM1169" s="2">
        <v>88.04000000000001</v>
      </c>
      <c r="LN1169" s="2">
        <v>85.94</v>
      </c>
      <c r="LO1169" s="2">
        <v>86</v>
      </c>
      <c r="LP1169" s="2">
        <v>86.01000000000001</v>
      </c>
      <c r="LQ1169" s="2">
        <v>86.73999999999999</v>
      </c>
      <c r="LR1169" s="2">
        <v>86.81</v>
      </c>
      <c r="LS1169" s="2">
        <v>86.81</v>
      </c>
      <c r="LT1169" s="2">
        <v>86.45</v>
      </c>
      <c r="LU1169" s="2">
        <v>86.88</v>
      </c>
      <c r="LV1169" s="2">
        <v>87.77</v>
      </c>
      <c r="MA1169" s="2">
        <v>87.37</v>
      </c>
      <c r="MB1169" s="2">
        <v>87.22</v>
      </c>
      <c r="MC1169" s="2">
        <v>87.08</v>
      </c>
      <c r="MD1169" s="2">
        <v>87.27</v>
      </c>
      <c r="ME1169" s="2">
        <v>86.81999999999999</v>
      </c>
      <c r="MF1169" s="2">
        <v>87.14</v>
      </c>
      <c r="MG1169" s="2">
        <v>86.7</v>
      </c>
      <c r="MH1169" s="2">
        <v>86.05</v>
      </c>
      <c r="MI1169" s="2">
        <v>86.84999999999999</v>
      </c>
      <c r="MJ1169" s="2">
        <v>86.81</v>
      </c>
      <c r="MK1169" s="2">
        <v>86.78</v>
      </c>
      <c r="ML1169" s="2">
        <v>86.68000000000001</v>
      </c>
      <c r="MQ1169" s="2">
        <v>88.47</v>
      </c>
      <c r="MR1169" s="2">
        <v>90.23</v>
      </c>
      <c r="MS1169" s="2">
        <v>90.56</v>
      </c>
      <c r="MT1169" s="2">
        <v>91.20999999999999</v>
      </c>
      <c r="MU1169" s="2">
        <v>91.77</v>
      </c>
      <c r="MV1169" s="2">
        <v>91.56999999999999</v>
      </c>
      <c r="MW1169" s="2">
        <v>92.34</v>
      </c>
      <c r="MX1169" s="2">
        <v>93.93000000000001</v>
      </c>
      <c r="MY1169" s="2">
        <v>95.37</v>
      </c>
      <c r="MZ1169" s="2">
        <v>95.23999999999999</v>
      </c>
      <c r="NA1169" s="2">
        <v>95.98</v>
      </c>
      <c r="NB1169" s="2">
        <v>96.39</v>
      </c>
      <c r="NG1169" s="2">
        <v>95.95999999999999</v>
      </c>
      <c r="NH1169" s="2">
        <v>96.39</v>
      </c>
      <c r="NI1169" s="2">
        <v>97.02</v>
      </c>
      <c r="NJ1169" s="2">
        <v>98.06999999999999</v>
      </c>
      <c r="NK1169" s="2">
        <v>98.98</v>
      </c>
      <c r="NL1169" s="2">
        <v>98.95</v>
      </c>
      <c r="NM1169" s="2">
        <v>99.09999999999999</v>
      </c>
      <c r="NN1169" s="2">
        <v>99.3</v>
      </c>
      <c r="NO1169" s="2">
        <v>99.42</v>
      </c>
      <c r="NP1169" s="2">
        <v>99.17</v>
      </c>
      <c r="NQ1169" s="2">
        <v>98.66</v>
      </c>
      <c r="NR1169" s="2">
        <v>98.16</v>
      </c>
      <c r="NW1169" s="2">
        <v>98.37</v>
      </c>
      <c r="NX1169" s="2">
        <v>98.31999999999999</v>
      </c>
      <c r="NY1169" s="2">
        <v>98.64</v>
      </c>
      <c r="NZ1169" s="2">
        <v>99.09</v>
      </c>
      <c r="OA1169" s="2">
        <v>99.29000000000001</v>
      </c>
      <c r="OB1169" s="2">
        <v>99.28</v>
      </c>
      <c r="OC1169" s="2">
        <v>100.51</v>
      </c>
      <c r="OD1169" s="2">
        <v>100.42</v>
      </c>
      <c r="OE1169" s="2">
        <v>100.19</v>
      </c>
      <c r="OF1169" s="2">
        <v>101.25</v>
      </c>
      <c r="OG1169" s="2">
        <v>101.38</v>
      </c>
      <c r="OH1169" s="2">
        <v>100.97</v>
      </c>
      <c r="OM1169" s="2">
        <v>101.93</v>
      </c>
      <c r="ON1169" s="2">
        <v>101.62</v>
      </c>
      <c r="OO1169" s="2">
        <v>101.19</v>
      </c>
      <c r="OP1169" s="2">
        <v>100.2</v>
      </c>
      <c r="OQ1169" s="2">
        <v>100.32</v>
      </c>
      <c r="OR1169" s="2">
        <v>100.38</v>
      </c>
      <c r="OS1169" s="2">
        <v>99.93000000000001</v>
      </c>
      <c r="OT1169" s="2">
        <v>100.04</v>
      </c>
      <c r="OU1169" s="2">
        <v>99.89</v>
      </c>
      <c r="OV1169" s="2">
        <v>100.14</v>
      </c>
      <c r="OW1169" s="2">
        <v>100.53</v>
      </c>
      <c r="OX1169" s="2">
        <v>101.16</v>
      </c>
      <c r="PC1169" s="2">
        <v>100.7</v>
      </c>
      <c r="PD1169" s="2">
        <v>100.93</v>
      </c>
      <c r="PE1169" s="2">
        <v>101.34</v>
      </c>
      <c r="PF1169" s="2">
        <v>101.3</v>
      </c>
      <c r="PG1169" s="2">
        <v>101.39</v>
      </c>
      <c r="PH1169" s="2">
        <v>102.36</v>
      </c>
      <c r="PI1169" s="2">
        <v>101.29</v>
      </c>
    </row>
    <row r="1170">
      <c r="A1170" t="inlineStr">
        <is>
          <t>A130399919W</t>
        </is>
      </c>
      <c r="B1170" t="inlineStr">
        <is>
          <t>Index Numbers ;  Other meats ;  Australia ;</t>
        </is>
      </c>
      <c r="C1170" t="inlineStr">
        <is>
          <t>Month</t>
        </is>
      </c>
      <c r="D1170" t="inlineStr">
        <is>
          <t>Index Numbers</t>
        </is>
      </c>
      <c r="E1170" t="inlineStr">
        <is>
          <t>Seasonally Adjusted</t>
        </is>
      </c>
      <c r="F1170" t="inlineStr">
        <is>
          <t>640107.xlsx</t>
        </is>
      </c>
      <c r="G1170" t="inlineStr">
        <is>
          <t>2017-09</t>
        </is>
      </c>
      <c r="H1170" t="inlineStr">
        <is>
          <t>2026-07</t>
        </is>
      </c>
      <c r="JW1170" s="2">
        <v>77.76000000000001</v>
      </c>
      <c r="JX1170" s="2">
        <v>77.83</v>
      </c>
      <c r="JY1170" s="2">
        <v>77.97</v>
      </c>
      <c r="JZ1170" s="2">
        <v>77.54000000000001</v>
      </c>
      <c r="KE1170" s="2">
        <v>77.34</v>
      </c>
      <c r="KF1170" s="2">
        <v>77.19</v>
      </c>
      <c r="KG1170" s="2">
        <v>77.97</v>
      </c>
      <c r="KH1170" s="2">
        <v>77.86</v>
      </c>
      <c r="KI1170" s="2">
        <v>78.26000000000001</v>
      </c>
      <c r="KJ1170" s="2">
        <v>77.81</v>
      </c>
      <c r="KK1170" s="2">
        <v>77.33</v>
      </c>
      <c r="KL1170" s="2">
        <v>77.22</v>
      </c>
      <c r="KM1170" s="2">
        <v>77.55</v>
      </c>
      <c r="KN1170" s="2">
        <v>77.75</v>
      </c>
      <c r="KO1170" s="2">
        <v>77.77</v>
      </c>
      <c r="KP1170" s="2">
        <v>77.48999999999999</v>
      </c>
      <c r="KU1170" s="2">
        <v>77.93000000000001</v>
      </c>
      <c r="KV1170" s="2">
        <v>78.56</v>
      </c>
      <c r="KW1170" s="2">
        <v>78.38</v>
      </c>
      <c r="KX1170" s="2">
        <v>78.23</v>
      </c>
      <c r="KY1170" s="2">
        <v>78.75</v>
      </c>
      <c r="KZ1170" s="2">
        <v>79.14</v>
      </c>
      <c r="LA1170" s="2">
        <v>79.37</v>
      </c>
      <c r="LB1170" s="2">
        <v>79.84999999999999</v>
      </c>
      <c r="LC1170" s="2">
        <v>81.65000000000001</v>
      </c>
      <c r="LD1170" s="2">
        <v>83.15000000000001</v>
      </c>
      <c r="LE1170" s="2">
        <v>82.45999999999999</v>
      </c>
      <c r="LF1170" s="2">
        <v>83.36</v>
      </c>
      <c r="LK1170" s="2">
        <v>83.72</v>
      </c>
      <c r="LL1170" s="2">
        <v>83.5</v>
      </c>
      <c r="LM1170" s="2">
        <v>87.06</v>
      </c>
      <c r="LN1170" s="2">
        <v>87.18000000000001</v>
      </c>
      <c r="LO1170" s="2">
        <v>86.3</v>
      </c>
      <c r="LP1170" s="2">
        <v>87.39</v>
      </c>
      <c r="LQ1170" s="2">
        <v>87.89</v>
      </c>
      <c r="LR1170" s="2">
        <v>88.11</v>
      </c>
      <c r="LS1170" s="2">
        <v>88.45</v>
      </c>
      <c r="LT1170" s="2">
        <v>87.98</v>
      </c>
      <c r="LU1170" s="2">
        <v>87.90000000000001</v>
      </c>
      <c r="LV1170" s="2">
        <v>87.92</v>
      </c>
      <c r="MA1170" s="2">
        <v>88.08</v>
      </c>
      <c r="MB1170" s="2">
        <v>86.8</v>
      </c>
      <c r="MC1170" s="2">
        <v>88.56</v>
      </c>
      <c r="MD1170" s="2">
        <v>89.34999999999999</v>
      </c>
      <c r="ME1170" s="2">
        <v>89.56999999999999</v>
      </c>
      <c r="MF1170" s="2">
        <v>89.45999999999999</v>
      </c>
      <c r="MG1170" s="2">
        <v>89.36</v>
      </c>
      <c r="MH1170" s="2">
        <v>89.73</v>
      </c>
      <c r="MI1170" s="2">
        <v>89.8</v>
      </c>
      <c r="MJ1170" s="2">
        <v>89.76000000000001</v>
      </c>
      <c r="MK1170" s="2">
        <v>90.20999999999999</v>
      </c>
      <c r="ML1170" s="2">
        <v>89.98</v>
      </c>
      <c r="MQ1170" s="2">
        <v>92.86</v>
      </c>
      <c r="MR1170" s="2">
        <v>94.61</v>
      </c>
      <c r="MS1170" s="2">
        <v>94.37</v>
      </c>
      <c r="MT1170" s="2">
        <v>94.47</v>
      </c>
      <c r="MU1170" s="2">
        <v>95.13</v>
      </c>
      <c r="MV1170" s="2">
        <v>96.90000000000001</v>
      </c>
      <c r="MW1170" s="2">
        <v>97.15000000000001</v>
      </c>
      <c r="MX1170" s="2">
        <v>97.22</v>
      </c>
      <c r="MY1170" s="2">
        <v>98.22</v>
      </c>
      <c r="MZ1170" s="2">
        <v>98.19</v>
      </c>
      <c r="NA1170" s="2">
        <v>98.65000000000001</v>
      </c>
      <c r="NB1170" s="2">
        <v>99.77</v>
      </c>
      <c r="NG1170" s="2">
        <v>99.87</v>
      </c>
      <c r="NH1170" s="2">
        <v>99.90000000000001</v>
      </c>
      <c r="NI1170" s="2">
        <v>100.27</v>
      </c>
      <c r="NJ1170" s="2">
        <v>100.06</v>
      </c>
      <c r="NK1170" s="2">
        <v>100.41</v>
      </c>
      <c r="NL1170" s="2">
        <v>100.3</v>
      </c>
      <c r="NM1170" s="2">
        <v>100.95</v>
      </c>
      <c r="NN1170" s="2">
        <v>101.44</v>
      </c>
      <c r="NO1170" s="2">
        <v>101.64</v>
      </c>
      <c r="NP1170" s="2">
        <v>102.59</v>
      </c>
      <c r="NQ1170" s="2">
        <v>101.74</v>
      </c>
      <c r="NR1170" s="2">
        <v>98.16</v>
      </c>
      <c r="NW1170" s="2">
        <v>97.73999999999999</v>
      </c>
      <c r="NX1170" s="2">
        <v>98.84999999999999</v>
      </c>
      <c r="NY1170" s="2">
        <v>100.84</v>
      </c>
      <c r="NZ1170" s="2">
        <v>100.65</v>
      </c>
      <c r="OA1170" s="2">
        <v>100.18</v>
      </c>
      <c r="OB1170" s="2">
        <v>100.2</v>
      </c>
      <c r="OC1170" s="2">
        <v>100.16</v>
      </c>
      <c r="OD1170" s="2">
        <v>99.09999999999999</v>
      </c>
      <c r="OE1170" s="2">
        <v>99.79000000000001</v>
      </c>
      <c r="OF1170" s="2">
        <v>100.69</v>
      </c>
      <c r="OG1170" s="2">
        <v>100.45</v>
      </c>
      <c r="OH1170" s="2">
        <v>100.81</v>
      </c>
      <c r="OM1170" s="2">
        <v>100.88</v>
      </c>
      <c r="ON1170" s="2">
        <v>101.5</v>
      </c>
      <c r="OO1170" s="2">
        <v>101.52</v>
      </c>
      <c r="OP1170" s="2">
        <v>101.61</v>
      </c>
      <c r="OQ1170" s="2">
        <v>101.59</v>
      </c>
      <c r="OR1170" s="2">
        <v>101.58</v>
      </c>
      <c r="OS1170" s="2">
        <v>101.18</v>
      </c>
      <c r="OT1170" s="2">
        <v>101.34</v>
      </c>
      <c r="OU1170" s="2">
        <v>101.18</v>
      </c>
      <c r="OV1170" s="2">
        <v>101.59</v>
      </c>
      <c r="OW1170" s="2">
        <v>102.06</v>
      </c>
      <c r="OX1170" s="2">
        <v>102.9</v>
      </c>
      <c r="PC1170" s="2">
        <v>102.78</v>
      </c>
      <c r="PD1170" s="2">
        <v>102.38</v>
      </c>
      <c r="PE1170" s="2">
        <v>103.07</v>
      </c>
      <c r="PF1170" s="2">
        <v>103.31</v>
      </c>
      <c r="PG1170" s="2">
        <v>103.93</v>
      </c>
      <c r="PH1170" s="2">
        <v>104.3</v>
      </c>
      <c r="PI1170" s="2">
        <v>104.49</v>
      </c>
    </row>
    <row r="1171">
      <c r="A1171" t="inlineStr">
        <is>
          <t>A130400213A</t>
        </is>
      </c>
      <c r="B1171" t="inlineStr">
        <is>
          <t>Index Numbers ;  Fish and other seafood ;  Australia ;</t>
        </is>
      </c>
      <c r="C1171" t="inlineStr">
        <is>
          <t>Month</t>
        </is>
      </c>
      <c r="D1171" t="inlineStr">
        <is>
          <t>Index Numbers</t>
        </is>
      </c>
      <c r="E1171" t="inlineStr">
        <is>
          <t>Seasonally Adjusted</t>
        </is>
      </c>
      <c r="F1171" t="inlineStr">
        <is>
          <t>640107.xlsx</t>
        </is>
      </c>
      <c r="G1171" t="inlineStr">
        <is>
          <t>2017-09</t>
        </is>
      </c>
      <c r="H1171" t="inlineStr">
        <is>
          <t>2026-07</t>
        </is>
      </c>
      <c r="JW1171" s="2">
        <v>78.75</v>
      </c>
      <c r="JX1171" s="2">
        <v>78.90000000000001</v>
      </c>
      <c r="JY1171" s="2">
        <v>79.33</v>
      </c>
      <c r="JZ1171" s="2">
        <v>78.5</v>
      </c>
      <c r="KE1171" s="2">
        <v>79.3</v>
      </c>
      <c r="KF1171" s="2">
        <v>78.51000000000001</v>
      </c>
      <c r="KG1171" s="2">
        <v>79.19</v>
      </c>
      <c r="KH1171" s="2">
        <v>80.01000000000001</v>
      </c>
      <c r="KI1171" s="2">
        <v>80.23</v>
      </c>
      <c r="KJ1171" s="2">
        <v>80.97</v>
      </c>
      <c r="KK1171" s="2">
        <v>80.88</v>
      </c>
      <c r="KL1171" s="2">
        <v>80.84</v>
      </c>
      <c r="KM1171" s="2">
        <v>80.72</v>
      </c>
      <c r="KN1171" s="2">
        <v>81.03</v>
      </c>
      <c r="KO1171" s="2">
        <v>80.88</v>
      </c>
      <c r="KP1171" s="2">
        <v>80.97</v>
      </c>
      <c r="KU1171" s="2">
        <v>81.12</v>
      </c>
      <c r="KV1171" s="2">
        <v>81.78</v>
      </c>
      <c r="KW1171" s="2">
        <v>81.56</v>
      </c>
      <c r="KX1171" s="2">
        <v>79.84999999999999</v>
      </c>
      <c r="KY1171" s="2">
        <v>81.94</v>
      </c>
      <c r="KZ1171" s="2">
        <v>81.81</v>
      </c>
      <c r="LA1171" s="2">
        <v>81.83</v>
      </c>
      <c r="LB1171" s="2">
        <v>81.87</v>
      </c>
      <c r="LC1171" s="2">
        <v>81.67</v>
      </c>
      <c r="LD1171" s="2">
        <v>81.7</v>
      </c>
      <c r="LE1171" s="2">
        <v>81.38</v>
      </c>
      <c r="LF1171" s="2">
        <v>82.66</v>
      </c>
      <c r="LK1171" s="2">
        <v>82.59</v>
      </c>
      <c r="LL1171" s="2">
        <v>82.36</v>
      </c>
      <c r="LM1171" s="2">
        <v>86.33</v>
      </c>
      <c r="LN1171" s="2">
        <v>88.03</v>
      </c>
      <c r="LO1171" s="2">
        <v>87.64</v>
      </c>
      <c r="LP1171" s="2">
        <v>86.31999999999999</v>
      </c>
      <c r="LQ1171" s="2">
        <v>85.56999999999999</v>
      </c>
      <c r="LR1171" s="2">
        <v>85.84999999999999</v>
      </c>
      <c r="LS1171" s="2">
        <v>86.16</v>
      </c>
      <c r="LT1171" s="2">
        <v>86.23</v>
      </c>
      <c r="LU1171" s="2">
        <v>86</v>
      </c>
      <c r="LV1171" s="2">
        <v>85.39</v>
      </c>
      <c r="MA1171" s="2">
        <v>85.17</v>
      </c>
      <c r="MB1171" s="2">
        <v>85.69</v>
      </c>
      <c r="MC1171" s="2">
        <v>85.61</v>
      </c>
      <c r="MD1171" s="2">
        <v>84.8</v>
      </c>
      <c r="ME1171" s="2">
        <v>84.73999999999999</v>
      </c>
      <c r="MF1171" s="2">
        <v>85.05</v>
      </c>
      <c r="MG1171" s="2">
        <v>85.40000000000001</v>
      </c>
      <c r="MH1171" s="2">
        <v>85.45</v>
      </c>
      <c r="MI1171" s="2">
        <v>85.72</v>
      </c>
      <c r="MJ1171" s="2">
        <v>84.98999999999999</v>
      </c>
      <c r="MK1171" s="2">
        <v>85.51000000000001</v>
      </c>
      <c r="ML1171" s="2">
        <v>85.81</v>
      </c>
      <c r="MQ1171" s="2">
        <v>86.53</v>
      </c>
      <c r="MR1171" s="2">
        <v>89.69</v>
      </c>
      <c r="MS1171" s="2">
        <v>86.41</v>
      </c>
      <c r="MT1171" s="2">
        <v>85.91</v>
      </c>
      <c r="MU1171" s="2">
        <v>86.84999999999999</v>
      </c>
      <c r="MV1171" s="2">
        <v>88.51000000000001</v>
      </c>
      <c r="MW1171" s="2">
        <v>90.43000000000001</v>
      </c>
      <c r="MX1171" s="2">
        <v>90.2</v>
      </c>
      <c r="MY1171" s="2">
        <v>90.64</v>
      </c>
      <c r="MZ1171" s="2">
        <v>91.92</v>
      </c>
      <c r="NA1171" s="2">
        <v>93.12</v>
      </c>
      <c r="NB1171" s="2">
        <v>93.79000000000001</v>
      </c>
      <c r="NG1171" s="2">
        <v>93.81</v>
      </c>
      <c r="NH1171" s="2">
        <v>94.56999999999999</v>
      </c>
      <c r="NI1171" s="2">
        <v>94.87</v>
      </c>
      <c r="NJ1171" s="2">
        <v>95.45999999999999</v>
      </c>
      <c r="NK1171" s="2">
        <v>95.89</v>
      </c>
      <c r="NL1171" s="2">
        <v>95.19</v>
      </c>
      <c r="NM1171" s="2">
        <v>96.91</v>
      </c>
      <c r="NN1171" s="2">
        <v>97.64</v>
      </c>
      <c r="NO1171" s="2">
        <v>100.07</v>
      </c>
      <c r="NP1171" s="2">
        <v>100.03</v>
      </c>
      <c r="NQ1171" s="2">
        <v>100.2</v>
      </c>
      <c r="NR1171" s="2">
        <v>99.76000000000001</v>
      </c>
      <c r="NW1171" s="2">
        <v>99.38</v>
      </c>
      <c r="NX1171" s="2">
        <v>99.34</v>
      </c>
      <c r="NY1171" s="2">
        <v>99.8</v>
      </c>
      <c r="NZ1171" s="2">
        <v>101.85</v>
      </c>
      <c r="OA1171" s="2">
        <v>100.36</v>
      </c>
      <c r="OB1171" s="2">
        <v>100.24</v>
      </c>
      <c r="OC1171" s="2">
        <v>100.23</v>
      </c>
      <c r="OD1171" s="2">
        <v>100.25</v>
      </c>
      <c r="OE1171" s="2">
        <v>100.03</v>
      </c>
      <c r="OF1171" s="2">
        <v>99.37</v>
      </c>
      <c r="OG1171" s="2">
        <v>99.23999999999999</v>
      </c>
      <c r="OH1171" s="2">
        <v>99.2</v>
      </c>
      <c r="OM1171" s="2">
        <v>99.28</v>
      </c>
      <c r="ON1171" s="2">
        <v>99.84</v>
      </c>
      <c r="OO1171" s="2">
        <v>100.02</v>
      </c>
      <c r="OP1171" s="2">
        <v>100</v>
      </c>
      <c r="OQ1171" s="2">
        <v>100.56</v>
      </c>
      <c r="OR1171" s="2">
        <v>100.6</v>
      </c>
      <c r="OS1171" s="2">
        <v>99.92</v>
      </c>
      <c r="OT1171" s="2">
        <v>100.01</v>
      </c>
      <c r="OU1171" s="2">
        <v>99.58</v>
      </c>
      <c r="OV1171" s="2">
        <v>99.48999999999999</v>
      </c>
      <c r="OW1171" s="2">
        <v>99.39</v>
      </c>
      <c r="OX1171" s="2">
        <v>100.49</v>
      </c>
      <c r="PC1171" s="2">
        <v>101.21</v>
      </c>
      <c r="PD1171" s="2">
        <v>101.33</v>
      </c>
      <c r="PE1171" s="2">
        <v>101.73</v>
      </c>
      <c r="PF1171" s="2">
        <v>101.4</v>
      </c>
      <c r="PG1171" s="2">
        <v>101.66</v>
      </c>
      <c r="PH1171" s="2">
        <v>100.89</v>
      </c>
      <c r="PI1171" s="2">
        <v>101.78</v>
      </c>
    </row>
    <row r="1172">
      <c r="A1172" t="inlineStr">
        <is>
          <t>A130400115W</t>
        </is>
      </c>
      <c r="B1172" t="inlineStr">
        <is>
          <t>Index Numbers ;  Milk ;  Australia ;</t>
        </is>
      </c>
      <c r="C1172" t="inlineStr">
        <is>
          <t>Month</t>
        </is>
      </c>
      <c r="D1172" t="inlineStr">
        <is>
          <t>Index Numbers</t>
        </is>
      </c>
      <c r="E1172" t="inlineStr">
        <is>
          <t>Seasonally Adjusted</t>
        </is>
      </c>
      <c r="F1172" t="inlineStr">
        <is>
          <t>640107.xlsx</t>
        </is>
      </c>
      <c r="G1172" t="inlineStr">
        <is>
          <t>2017-09</t>
        </is>
      </c>
      <c r="H1172" t="inlineStr">
        <is>
          <t>2026-07</t>
        </is>
      </c>
      <c r="JW1172" s="2">
        <v>70.92</v>
      </c>
      <c r="JX1172" s="2">
        <v>71.06</v>
      </c>
      <c r="JY1172" s="2">
        <v>71.19</v>
      </c>
      <c r="JZ1172" s="2">
        <v>71.2</v>
      </c>
      <c r="KE1172" s="2">
        <v>71.13</v>
      </c>
      <c r="KF1172" s="2">
        <v>71.42</v>
      </c>
      <c r="KG1172" s="2">
        <v>71.34999999999999</v>
      </c>
      <c r="KH1172" s="2">
        <v>71.48999999999999</v>
      </c>
      <c r="KI1172" s="2">
        <v>71.59999999999999</v>
      </c>
      <c r="KJ1172" s="2">
        <v>71.5</v>
      </c>
      <c r="KK1172" s="2">
        <v>71.55</v>
      </c>
      <c r="KL1172" s="2">
        <v>71.27</v>
      </c>
      <c r="KM1172" s="2">
        <v>71.76000000000001</v>
      </c>
      <c r="KN1172" s="2">
        <v>72.36</v>
      </c>
      <c r="KO1172" s="2">
        <v>72.41</v>
      </c>
      <c r="KP1172" s="2">
        <v>72.47</v>
      </c>
      <c r="KU1172" s="2">
        <v>72.56999999999999</v>
      </c>
      <c r="KV1172" s="2">
        <v>72.15000000000001</v>
      </c>
      <c r="KW1172" s="2">
        <v>72.59</v>
      </c>
      <c r="KX1172" s="2">
        <v>73.56999999999999</v>
      </c>
      <c r="KY1172" s="2">
        <v>73.81999999999999</v>
      </c>
      <c r="KZ1172" s="2">
        <v>74.17</v>
      </c>
      <c r="LA1172" s="2">
        <v>74.58</v>
      </c>
      <c r="LB1172" s="2">
        <v>76.55</v>
      </c>
      <c r="LC1172" s="2">
        <v>77.39</v>
      </c>
      <c r="LD1172" s="2">
        <v>77.06</v>
      </c>
      <c r="LE1172" s="2">
        <v>77.25</v>
      </c>
      <c r="LF1172" s="2">
        <v>77.38</v>
      </c>
      <c r="LK1172" s="2">
        <v>77.84999999999999</v>
      </c>
      <c r="LL1172" s="2">
        <v>77.7</v>
      </c>
      <c r="LM1172" s="2">
        <v>79.55</v>
      </c>
      <c r="LN1172" s="2">
        <v>79.34</v>
      </c>
      <c r="LO1172" s="2">
        <v>79.31</v>
      </c>
      <c r="LP1172" s="2">
        <v>78.45</v>
      </c>
      <c r="LQ1172" s="2">
        <v>78.75</v>
      </c>
      <c r="LR1172" s="2">
        <v>78.87</v>
      </c>
      <c r="LS1172" s="2">
        <v>79</v>
      </c>
      <c r="LT1172" s="2">
        <v>79.05</v>
      </c>
      <c r="LU1172" s="2">
        <v>78.84999999999999</v>
      </c>
      <c r="LV1172" s="2">
        <v>79.28</v>
      </c>
      <c r="MA1172" s="2">
        <v>79.01000000000001</v>
      </c>
      <c r="MB1172" s="2">
        <v>78.98999999999999</v>
      </c>
      <c r="MC1172" s="2">
        <v>79</v>
      </c>
      <c r="MD1172" s="2">
        <v>78.89</v>
      </c>
      <c r="ME1172" s="2">
        <v>78.95</v>
      </c>
      <c r="MF1172" s="2">
        <v>79.34999999999999</v>
      </c>
      <c r="MG1172" s="2">
        <v>79.44</v>
      </c>
      <c r="MH1172" s="2">
        <v>79.39</v>
      </c>
      <c r="MI1172" s="2">
        <v>79.31</v>
      </c>
      <c r="MJ1172" s="2">
        <v>79.36</v>
      </c>
      <c r="MK1172" s="2">
        <v>79.12</v>
      </c>
      <c r="ML1172" s="2">
        <v>81.81999999999999</v>
      </c>
      <c r="MQ1172" s="2">
        <v>82.25</v>
      </c>
      <c r="MR1172" s="2">
        <v>82.43000000000001</v>
      </c>
      <c r="MS1172" s="2">
        <v>82.58</v>
      </c>
      <c r="MT1172" s="2">
        <v>83.20999999999999</v>
      </c>
      <c r="MU1172" s="2">
        <v>82.77</v>
      </c>
      <c r="MV1172" s="2">
        <v>83.98</v>
      </c>
      <c r="MW1172" s="2">
        <v>89.04000000000001</v>
      </c>
      <c r="MX1172" s="2">
        <v>92.68000000000001</v>
      </c>
      <c r="MY1172" s="2">
        <v>93.16</v>
      </c>
      <c r="MZ1172" s="2">
        <v>93.45</v>
      </c>
      <c r="NA1172" s="2">
        <v>94.14</v>
      </c>
      <c r="NB1172" s="2">
        <v>94.63</v>
      </c>
      <c r="NG1172" s="2">
        <v>94.48</v>
      </c>
      <c r="NH1172" s="2">
        <v>95.38</v>
      </c>
      <c r="NI1172" s="2">
        <v>96.16</v>
      </c>
      <c r="NJ1172" s="2">
        <v>95.39</v>
      </c>
      <c r="NK1172" s="2">
        <v>95.90000000000001</v>
      </c>
      <c r="NL1172" s="2">
        <v>95.84999999999999</v>
      </c>
      <c r="NM1172" s="2">
        <v>96.98999999999999</v>
      </c>
      <c r="NN1172" s="2">
        <v>96.87</v>
      </c>
      <c r="NO1172" s="2">
        <v>95.91</v>
      </c>
      <c r="NP1172" s="2">
        <v>98.45</v>
      </c>
      <c r="NQ1172" s="2">
        <v>97.43000000000001</v>
      </c>
      <c r="NR1172" s="2">
        <v>97.34</v>
      </c>
      <c r="NW1172" s="2">
        <v>97.56</v>
      </c>
      <c r="NX1172" s="2">
        <v>97.58</v>
      </c>
      <c r="NY1172" s="2">
        <v>98.14</v>
      </c>
      <c r="NZ1172" s="2">
        <v>97.83</v>
      </c>
      <c r="OA1172" s="2">
        <v>98.03</v>
      </c>
      <c r="OB1172" s="2">
        <v>97.87</v>
      </c>
      <c r="OC1172" s="2">
        <v>97.53</v>
      </c>
      <c r="OD1172" s="2">
        <v>97.93000000000001</v>
      </c>
      <c r="OE1172" s="2">
        <v>97.56999999999999</v>
      </c>
      <c r="OF1172" s="2">
        <v>96.94</v>
      </c>
      <c r="OG1172" s="2">
        <v>97.11</v>
      </c>
      <c r="OH1172" s="2">
        <v>96.94</v>
      </c>
      <c r="OM1172" s="2">
        <v>97.22</v>
      </c>
      <c r="ON1172" s="2">
        <v>97.31999999999999</v>
      </c>
      <c r="OO1172" s="2">
        <v>97.13</v>
      </c>
      <c r="OP1172" s="2">
        <v>97.58</v>
      </c>
      <c r="OQ1172" s="2">
        <v>97.83</v>
      </c>
      <c r="OR1172" s="2">
        <v>98.3</v>
      </c>
      <c r="OS1172" s="2">
        <v>97.92</v>
      </c>
      <c r="OT1172" s="2">
        <v>99.25</v>
      </c>
      <c r="OU1172" s="2">
        <v>99.73</v>
      </c>
      <c r="OV1172" s="2">
        <v>100.15</v>
      </c>
      <c r="OW1172" s="2">
        <v>101.1</v>
      </c>
      <c r="OX1172" s="2">
        <v>100.77</v>
      </c>
      <c r="PC1172" s="2">
        <v>101.04</v>
      </c>
      <c r="PD1172" s="2">
        <v>100.92</v>
      </c>
      <c r="PE1172" s="2">
        <v>101.07</v>
      </c>
      <c r="PF1172" s="2">
        <v>101.47</v>
      </c>
      <c r="PG1172" s="2">
        <v>106.89</v>
      </c>
      <c r="PH1172" s="2">
        <v>107.06</v>
      </c>
      <c r="PI1172" s="2">
        <v>107.3</v>
      </c>
    </row>
    <row r="1173">
      <c r="A1173" t="inlineStr">
        <is>
          <t>A130400206C</t>
        </is>
      </c>
      <c r="B1173" t="inlineStr">
        <is>
          <t>Index Numbers ;  Cheese ;  Australia ;</t>
        </is>
      </c>
      <c r="C1173" t="inlineStr">
        <is>
          <t>Month</t>
        </is>
      </c>
      <c r="D1173" t="inlineStr">
        <is>
          <t>Index Numbers</t>
        </is>
      </c>
      <c r="E1173" t="inlineStr">
        <is>
          <t>Seasonally Adjusted</t>
        </is>
      </c>
      <c r="F1173" t="inlineStr">
        <is>
          <t>640107.xlsx</t>
        </is>
      </c>
      <c r="G1173" t="inlineStr">
        <is>
          <t>2017-09</t>
        </is>
      </c>
      <c r="H1173" t="inlineStr">
        <is>
          <t>2026-07</t>
        </is>
      </c>
      <c r="JW1173" s="2">
        <v>71.61</v>
      </c>
      <c r="JX1173" s="2">
        <v>72.47</v>
      </c>
      <c r="JY1173" s="2">
        <v>72.48</v>
      </c>
      <c r="JZ1173" s="2">
        <v>72.7</v>
      </c>
      <c r="KE1173" s="2">
        <v>72.84999999999999</v>
      </c>
      <c r="KF1173" s="2">
        <v>72.91</v>
      </c>
      <c r="KG1173" s="2">
        <v>73</v>
      </c>
      <c r="KH1173" s="2">
        <v>73.34999999999999</v>
      </c>
      <c r="KI1173" s="2">
        <v>73.5</v>
      </c>
      <c r="KJ1173" s="2">
        <v>73.23</v>
      </c>
      <c r="KK1173" s="2">
        <v>73.38</v>
      </c>
      <c r="KL1173" s="2">
        <v>73.3</v>
      </c>
      <c r="KM1173" s="2">
        <v>73.06</v>
      </c>
      <c r="KN1173" s="2">
        <v>73.23</v>
      </c>
      <c r="KO1173" s="2">
        <v>73.61</v>
      </c>
      <c r="KP1173" s="2">
        <v>73.65000000000001</v>
      </c>
      <c r="KU1173" s="2">
        <v>73.90000000000001</v>
      </c>
      <c r="KV1173" s="2">
        <v>74.56999999999999</v>
      </c>
      <c r="KW1173" s="2">
        <v>74.40000000000001</v>
      </c>
      <c r="KX1173" s="2">
        <v>73.94</v>
      </c>
      <c r="KY1173" s="2">
        <v>74.39</v>
      </c>
      <c r="KZ1173" s="2">
        <v>74.58</v>
      </c>
      <c r="LA1173" s="2">
        <v>75.12</v>
      </c>
      <c r="LB1173" s="2">
        <v>76.12</v>
      </c>
      <c r="LC1173" s="2">
        <v>77.26000000000001</v>
      </c>
      <c r="LD1173" s="2">
        <v>77.87</v>
      </c>
      <c r="LE1173" s="2">
        <v>78.59999999999999</v>
      </c>
      <c r="LF1173" s="2">
        <v>78.64</v>
      </c>
      <c r="LK1173" s="2">
        <v>79.20999999999999</v>
      </c>
      <c r="LL1173" s="2">
        <v>79.95</v>
      </c>
      <c r="LM1173" s="2">
        <v>80.48999999999999</v>
      </c>
      <c r="LN1173" s="2">
        <v>80.8</v>
      </c>
      <c r="LO1173" s="2">
        <v>80.81999999999999</v>
      </c>
      <c r="LP1173" s="2">
        <v>80.86</v>
      </c>
      <c r="LQ1173" s="2">
        <v>81.13</v>
      </c>
      <c r="LR1173" s="2">
        <v>80.53</v>
      </c>
      <c r="LS1173" s="2">
        <v>80.26000000000001</v>
      </c>
      <c r="LT1173" s="2">
        <v>80.06</v>
      </c>
      <c r="LU1173" s="2">
        <v>80.5</v>
      </c>
      <c r="LV1173" s="2">
        <v>79.84</v>
      </c>
      <c r="MA1173" s="2">
        <v>80.04000000000001</v>
      </c>
      <c r="MB1173" s="2">
        <v>79.93000000000001</v>
      </c>
      <c r="MC1173" s="2">
        <v>79.81</v>
      </c>
      <c r="MD1173" s="2">
        <v>79.47</v>
      </c>
      <c r="ME1173" s="2">
        <v>80.20999999999999</v>
      </c>
      <c r="MF1173" s="2">
        <v>80.20999999999999</v>
      </c>
      <c r="MG1173" s="2">
        <v>80.19</v>
      </c>
      <c r="MH1173" s="2">
        <v>80.23999999999999</v>
      </c>
      <c r="MI1173" s="2">
        <v>80.47</v>
      </c>
      <c r="MJ1173" s="2">
        <v>80.67</v>
      </c>
      <c r="MK1173" s="2">
        <v>82.06999999999999</v>
      </c>
      <c r="ML1173" s="2">
        <v>82.2</v>
      </c>
      <c r="MQ1173" s="2">
        <v>81.56999999999999</v>
      </c>
      <c r="MR1173" s="2">
        <v>82.02</v>
      </c>
      <c r="MS1173" s="2">
        <v>83.86</v>
      </c>
      <c r="MT1173" s="2">
        <v>83.79000000000001</v>
      </c>
      <c r="MU1173" s="2">
        <v>84.13</v>
      </c>
      <c r="MV1173" s="2">
        <v>83.84</v>
      </c>
      <c r="MW1173" s="2">
        <v>85.98999999999999</v>
      </c>
      <c r="MX1173" s="2">
        <v>87.42</v>
      </c>
      <c r="MY1173" s="2">
        <v>89.25</v>
      </c>
      <c r="MZ1173" s="2">
        <v>90.67</v>
      </c>
      <c r="NA1173" s="2">
        <v>93.44</v>
      </c>
      <c r="NB1173" s="2">
        <v>95.19</v>
      </c>
      <c r="NG1173" s="2">
        <v>95.59999999999999</v>
      </c>
      <c r="NH1173" s="2">
        <v>96.05</v>
      </c>
      <c r="NI1173" s="2">
        <v>97.09</v>
      </c>
      <c r="NJ1173" s="2">
        <v>96.77</v>
      </c>
      <c r="NK1173" s="2">
        <v>96.94</v>
      </c>
      <c r="NL1173" s="2">
        <v>98.34</v>
      </c>
      <c r="NM1173" s="2">
        <v>102.1</v>
      </c>
      <c r="NN1173" s="2">
        <v>101.11</v>
      </c>
      <c r="NO1173" s="2">
        <v>101.35</v>
      </c>
      <c r="NP1173" s="2">
        <v>100.89</v>
      </c>
      <c r="NQ1173" s="2">
        <v>100.96</v>
      </c>
      <c r="NR1173" s="2">
        <v>101.09</v>
      </c>
      <c r="NW1173" s="2">
        <v>101.51</v>
      </c>
      <c r="NX1173" s="2">
        <v>100.72</v>
      </c>
      <c r="NY1173" s="2">
        <v>100.46</v>
      </c>
      <c r="NZ1173" s="2">
        <v>100.49</v>
      </c>
      <c r="OA1173" s="2">
        <v>100.14</v>
      </c>
      <c r="OB1173" s="2">
        <v>99.70999999999999</v>
      </c>
      <c r="OC1173" s="2">
        <v>100.18</v>
      </c>
      <c r="OD1173" s="2">
        <v>98.97</v>
      </c>
      <c r="OE1173" s="2">
        <v>98.59999999999999</v>
      </c>
      <c r="OF1173" s="2">
        <v>98.23</v>
      </c>
      <c r="OG1173" s="2">
        <v>99.37</v>
      </c>
      <c r="OH1173" s="2">
        <v>99.90000000000001</v>
      </c>
      <c r="OM1173" s="2">
        <v>100.63</v>
      </c>
      <c r="ON1173" s="2">
        <v>100.28</v>
      </c>
      <c r="OO1173" s="2">
        <v>101.08</v>
      </c>
      <c r="OP1173" s="2">
        <v>100.75</v>
      </c>
      <c r="OQ1173" s="2">
        <v>100.87</v>
      </c>
      <c r="OR1173" s="2">
        <v>100.25</v>
      </c>
      <c r="OS1173" s="2">
        <v>99.89</v>
      </c>
      <c r="OT1173" s="2">
        <v>99.97</v>
      </c>
      <c r="OU1173" s="2">
        <v>100</v>
      </c>
      <c r="OV1173" s="2">
        <v>99.86</v>
      </c>
      <c r="OW1173" s="2">
        <v>99.68000000000001</v>
      </c>
      <c r="OX1173" s="2">
        <v>100.38</v>
      </c>
      <c r="PC1173" s="2">
        <v>100.79</v>
      </c>
      <c r="PD1173" s="2">
        <v>100.16</v>
      </c>
      <c r="PE1173" s="2">
        <v>99.8</v>
      </c>
      <c r="PF1173" s="2">
        <v>99.31999999999999</v>
      </c>
      <c r="PG1173" s="2">
        <v>100.97</v>
      </c>
      <c r="PH1173" s="2">
        <v>102.35</v>
      </c>
      <c r="PI1173" s="2">
        <v>102.28</v>
      </c>
    </row>
    <row r="1174">
      <c r="A1174" t="inlineStr">
        <is>
          <t>A130400304J</t>
        </is>
      </c>
      <c r="B1174" t="inlineStr">
        <is>
          <t>Index Numbers ;  Ice cream and other dairy products ;  Australia ;</t>
        </is>
      </c>
      <c r="C1174" t="inlineStr">
        <is>
          <t>Month</t>
        </is>
      </c>
      <c r="D1174" t="inlineStr">
        <is>
          <t>Index Numbers</t>
        </is>
      </c>
      <c r="E1174" t="inlineStr">
        <is>
          <t>Seasonally Adjusted</t>
        </is>
      </c>
      <c r="F1174" t="inlineStr">
        <is>
          <t>640107.xlsx</t>
        </is>
      </c>
      <c r="G1174" t="inlineStr">
        <is>
          <t>2017-09</t>
        </is>
      </c>
      <c r="H1174" t="inlineStr">
        <is>
          <t>2026-07</t>
        </is>
      </c>
      <c r="JW1174" s="2">
        <v>73.73</v>
      </c>
      <c r="JX1174" s="2">
        <v>74.38</v>
      </c>
      <c r="JY1174" s="2">
        <v>73.89</v>
      </c>
      <c r="JZ1174" s="2">
        <v>73.98</v>
      </c>
      <c r="KE1174" s="2">
        <v>74.34999999999999</v>
      </c>
      <c r="KF1174" s="2">
        <v>74.61</v>
      </c>
      <c r="KG1174" s="2">
        <v>74.31</v>
      </c>
      <c r="KH1174" s="2">
        <v>74.33</v>
      </c>
      <c r="KI1174" s="2">
        <v>74.61</v>
      </c>
      <c r="KJ1174" s="2">
        <v>74.97</v>
      </c>
      <c r="KK1174" s="2">
        <v>74.59</v>
      </c>
      <c r="KL1174" s="2">
        <v>74.25</v>
      </c>
      <c r="KM1174" s="2">
        <v>74.41</v>
      </c>
      <c r="KN1174" s="2">
        <v>74.42</v>
      </c>
      <c r="KO1174" s="2">
        <v>74.40000000000001</v>
      </c>
      <c r="KP1174" s="2">
        <v>74.61</v>
      </c>
      <c r="KU1174" s="2">
        <v>74.73999999999999</v>
      </c>
      <c r="KV1174" s="2">
        <v>75.16</v>
      </c>
      <c r="KW1174" s="2">
        <v>75.20999999999999</v>
      </c>
      <c r="KX1174" s="2">
        <v>75.31999999999999</v>
      </c>
      <c r="KY1174" s="2">
        <v>75.65000000000001</v>
      </c>
      <c r="KZ1174" s="2">
        <v>76.28</v>
      </c>
      <c r="LA1174" s="2">
        <v>77.06999999999999</v>
      </c>
      <c r="LB1174" s="2">
        <v>76.64</v>
      </c>
      <c r="LC1174" s="2">
        <v>76.79000000000001</v>
      </c>
      <c r="LD1174" s="2">
        <v>76.56</v>
      </c>
      <c r="LE1174" s="2">
        <v>77.23</v>
      </c>
      <c r="LF1174" s="2">
        <v>77.03</v>
      </c>
      <c r="LK1174" s="2">
        <v>77.81</v>
      </c>
      <c r="LL1174" s="2">
        <v>77.73999999999999</v>
      </c>
      <c r="LM1174" s="2">
        <v>78.3</v>
      </c>
      <c r="LN1174" s="2">
        <v>79.39</v>
      </c>
      <c r="LO1174" s="2">
        <v>78.63</v>
      </c>
      <c r="LP1174" s="2">
        <v>78.48999999999999</v>
      </c>
      <c r="LQ1174" s="2">
        <v>78.72</v>
      </c>
      <c r="LR1174" s="2">
        <v>79.01000000000001</v>
      </c>
      <c r="LS1174" s="2">
        <v>79.17</v>
      </c>
      <c r="LT1174" s="2">
        <v>79.09</v>
      </c>
      <c r="LU1174" s="2">
        <v>79.06</v>
      </c>
      <c r="LV1174" s="2">
        <v>79.29000000000001</v>
      </c>
      <c r="MA1174" s="2">
        <v>78.94</v>
      </c>
      <c r="MB1174" s="2">
        <v>78.89</v>
      </c>
      <c r="MC1174" s="2">
        <v>78.94</v>
      </c>
      <c r="MD1174" s="2">
        <v>78.95</v>
      </c>
      <c r="ME1174" s="2">
        <v>79.03</v>
      </c>
      <c r="MF1174" s="2">
        <v>79.08</v>
      </c>
      <c r="MG1174" s="2">
        <v>79.18000000000001</v>
      </c>
      <c r="MH1174" s="2">
        <v>79.17</v>
      </c>
      <c r="MI1174" s="2">
        <v>79.43000000000001</v>
      </c>
      <c r="MJ1174" s="2">
        <v>80.09</v>
      </c>
      <c r="MK1174" s="2">
        <v>80.62</v>
      </c>
      <c r="ML1174" s="2">
        <v>81.44</v>
      </c>
      <c r="MQ1174" s="2">
        <v>82</v>
      </c>
      <c r="MR1174" s="2">
        <v>83.22</v>
      </c>
      <c r="MS1174" s="2">
        <v>82.73999999999999</v>
      </c>
      <c r="MT1174" s="2">
        <v>83.59</v>
      </c>
      <c r="MU1174" s="2">
        <v>83.58</v>
      </c>
      <c r="MV1174" s="2">
        <v>83.90000000000001</v>
      </c>
      <c r="MW1174" s="2">
        <v>85.78</v>
      </c>
      <c r="MX1174" s="2">
        <v>86.3</v>
      </c>
      <c r="MY1174" s="2">
        <v>88.15000000000001</v>
      </c>
      <c r="MZ1174" s="2">
        <v>89.93000000000001</v>
      </c>
      <c r="NA1174" s="2">
        <v>90.06</v>
      </c>
      <c r="NB1174" s="2">
        <v>90.64</v>
      </c>
      <c r="NG1174" s="2">
        <v>91.06</v>
      </c>
      <c r="NH1174" s="2">
        <v>91.06999999999999</v>
      </c>
      <c r="NI1174" s="2">
        <v>93.16</v>
      </c>
      <c r="NJ1174" s="2">
        <v>94.87</v>
      </c>
      <c r="NK1174" s="2">
        <v>95.25</v>
      </c>
      <c r="NL1174" s="2">
        <v>95.63</v>
      </c>
      <c r="NM1174" s="2">
        <v>96.08</v>
      </c>
      <c r="NN1174" s="2">
        <v>96.7</v>
      </c>
      <c r="NO1174" s="2">
        <v>96.39</v>
      </c>
      <c r="NP1174" s="2">
        <v>97</v>
      </c>
      <c r="NQ1174" s="2">
        <v>96.69</v>
      </c>
      <c r="NR1174" s="2">
        <v>97.39</v>
      </c>
      <c r="NW1174" s="2">
        <v>96.84</v>
      </c>
      <c r="NX1174" s="2">
        <v>96.84999999999999</v>
      </c>
      <c r="NY1174" s="2">
        <v>96.51000000000001</v>
      </c>
      <c r="NZ1174" s="2">
        <v>96.70999999999999</v>
      </c>
      <c r="OA1174" s="2">
        <v>97.12</v>
      </c>
      <c r="OB1174" s="2">
        <v>97</v>
      </c>
      <c r="OC1174" s="2">
        <v>96.64</v>
      </c>
      <c r="OD1174" s="2">
        <v>96.5</v>
      </c>
      <c r="OE1174" s="2">
        <v>96.05</v>
      </c>
      <c r="OF1174" s="2">
        <v>95.56999999999999</v>
      </c>
      <c r="OG1174" s="2">
        <v>95.73</v>
      </c>
      <c r="OH1174" s="2">
        <v>96</v>
      </c>
      <c r="OM1174" s="2">
        <v>96.84</v>
      </c>
      <c r="ON1174" s="2">
        <v>96.65000000000001</v>
      </c>
      <c r="OO1174" s="2">
        <v>97.33</v>
      </c>
      <c r="OP1174" s="2">
        <v>97.14</v>
      </c>
      <c r="OQ1174" s="2">
        <v>96.95</v>
      </c>
      <c r="OR1174" s="2">
        <v>96.75</v>
      </c>
      <c r="OS1174" s="2">
        <v>97.17</v>
      </c>
      <c r="OT1174" s="2">
        <v>97.94</v>
      </c>
      <c r="OU1174" s="2">
        <v>100.12</v>
      </c>
      <c r="OV1174" s="2">
        <v>99.48999999999999</v>
      </c>
      <c r="OW1174" s="2">
        <v>100.46</v>
      </c>
      <c r="OX1174" s="2">
        <v>100.1</v>
      </c>
      <c r="PC1174" s="2">
        <v>100.26</v>
      </c>
      <c r="PD1174" s="2">
        <v>101.1</v>
      </c>
      <c r="PE1174" s="2">
        <v>101.8</v>
      </c>
      <c r="PF1174" s="2">
        <v>101.23</v>
      </c>
      <c r="PG1174" s="2">
        <v>102.12</v>
      </c>
      <c r="PH1174" s="2">
        <v>103.95</v>
      </c>
      <c r="PI1174" s="2">
        <v>104.32</v>
      </c>
    </row>
    <row r="1175">
      <c r="A1175" t="inlineStr">
        <is>
          <t>A130400269L</t>
        </is>
      </c>
      <c r="B1175" t="inlineStr">
        <is>
          <t>Index Numbers ;  Fruit ;  Australia ;</t>
        </is>
      </c>
      <c r="C1175" t="inlineStr">
        <is>
          <t>Month</t>
        </is>
      </c>
      <c r="D1175" t="inlineStr">
        <is>
          <t>Index Numbers</t>
        </is>
      </c>
      <c r="E1175" t="inlineStr">
        <is>
          <t>Seasonally Adjusted</t>
        </is>
      </c>
      <c r="F1175" t="inlineStr">
        <is>
          <t>640107.xlsx</t>
        </is>
      </c>
      <c r="G1175" t="inlineStr">
        <is>
          <t>2017-09</t>
        </is>
      </c>
      <c r="H1175" t="inlineStr">
        <is>
          <t>2026-07</t>
        </is>
      </c>
      <c r="JW1175" s="2">
        <v>72.47</v>
      </c>
      <c r="JX1175" s="2">
        <v>78.25</v>
      </c>
      <c r="JY1175" s="2">
        <v>80.67</v>
      </c>
      <c r="JZ1175" s="2">
        <v>79.08</v>
      </c>
      <c r="KE1175" s="2">
        <v>79.97</v>
      </c>
      <c r="KF1175" s="2">
        <v>79.01000000000001</v>
      </c>
      <c r="KG1175" s="2">
        <v>76.72</v>
      </c>
      <c r="KH1175" s="2">
        <v>76.73</v>
      </c>
      <c r="KI1175" s="2">
        <v>76.45999999999999</v>
      </c>
      <c r="KJ1175" s="2">
        <v>76.56</v>
      </c>
      <c r="KK1175" s="2">
        <v>79.31</v>
      </c>
      <c r="KL1175" s="2">
        <v>78.72</v>
      </c>
      <c r="KM1175" s="2">
        <v>81.25</v>
      </c>
      <c r="KN1175" s="2">
        <v>84.15000000000001</v>
      </c>
      <c r="KO1175" s="2">
        <v>81.39</v>
      </c>
      <c r="KP1175" s="2">
        <v>78.2</v>
      </c>
      <c r="KU1175" s="2">
        <v>80.34999999999999</v>
      </c>
      <c r="KV1175" s="2">
        <v>86.39</v>
      </c>
      <c r="KW1175" s="2">
        <v>85.16</v>
      </c>
      <c r="KX1175" s="2">
        <v>78.56</v>
      </c>
      <c r="KY1175" s="2">
        <v>81.98999999999999</v>
      </c>
      <c r="KZ1175" s="2">
        <v>79.28</v>
      </c>
      <c r="LA1175" s="2">
        <v>78.84999999999999</v>
      </c>
      <c r="LB1175" s="2">
        <v>79.12</v>
      </c>
      <c r="LC1175" s="2">
        <v>78.67</v>
      </c>
      <c r="LD1175" s="2">
        <v>80.39</v>
      </c>
      <c r="LE1175" s="2">
        <v>81.06999999999999</v>
      </c>
      <c r="LF1175" s="2">
        <v>84.59999999999999</v>
      </c>
      <c r="LK1175" s="2">
        <v>83.93000000000001</v>
      </c>
      <c r="LL1175" s="2">
        <v>84.37</v>
      </c>
      <c r="LM1175" s="2">
        <v>87.94</v>
      </c>
      <c r="LN1175" s="2">
        <v>86.02</v>
      </c>
      <c r="LO1175" s="2">
        <v>83.87</v>
      </c>
      <c r="LP1175" s="2">
        <v>87.16</v>
      </c>
      <c r="LQ1175" s="2">
        <v>83.55</v>
      </c>
      <c r="LR1175" s="2">
        <v>86.53</v>
      </c>
      <c r="LS1175" s="2">
        <v>88.69</v>
      </c>
      <c r="LT1175" s="2">
        <v>87.16</v>
      </c>
      <c r="LU1175" s="2">
        <v>88.41</v>
      </c>
      <c r="LV1175" s="2">
        <v>89.06999999999999</v>
      </c>
      <c r="MA1175" s="2">
        <v>87.98</v>
      </c>
      <c r="MB1175" s="2">
        <v>86.90000000000001</v>
      </c>
      <c r="MC1175" s="2">
        <v>82.64</v>
      </c>
      <c r="MD1175" s="2">
        <v>90.27</v>
      </c>
      <c r="ME1175" s="2">
        <v>92.42</v>
      </c>
      <c r="MF1175" s="2">
        <v>86.12</v>
      </c>
      <c r="MG1175" s="2">
        <v>84.62</v>
      </c>
      <c r="MH1175" s="2">
        <v>82.84999999999999</v>
      </c>
      <c r="MI1175" s="2">
        <v>79.7</v>
      </c>
      <c r="MJ1175" s="2">
        <v>79.44</v>
      </c>
      <c r="MK1175" s="2">
        <v>81.29000000000001</v>
      </c>
      <c r="ML1175" s="2">
        <v>81.22</v>
      </c>
      <c r="MQ1175" s="2">
        <v>84.98</v>
      </c>
      <c r="MR1175" s="2">
        <v>86.54000000000001</v>
      </c>
      <c r="MS1175" s="2">
        <v>84.3</v>
      </c>
      <c r="MT1175" s="2">
        <v>86.05</v>
      </c>
      <c r="MU1175" s="2">
        <v>88.72</v>
      </c>
      <c r="MV1175" s="2">
        <v>87.17</v>
      </c>
      <c r="MW1175" s="2">
        <v>92.8</v>
      </c>
      <c r="MX1175" s="2">
        <v>97.25</v>
      </c>
      <c r="MY1175" s="2">
        <v>94.8</v>
      </c>
      <c r="MZ1175" s="2">
        <v>89.83</v>
      </c>
      <c r="NA1175" s="2">
        <v>92.91</v>
      </c>
      <c r="NB1175" s="2">
        <v>95.31</v>
      </c>
      <c r="NG1175" s="2">
        <v>93.38</v>
      </c>
      <c r="NH1175" s="2">
        <v>96.69</v>
      </c>
      <c r="NI1175" s="2">
        <v>96.45999999999999</v>
      </c>
      <c r="NJ1175" s="2">
        <v>93.45999999999999</v>
      </c>
      <c r="NK1175" s="2">
        <v>93.39</v>
      </c>
      <c r="NL1175" s="2">
        <v>96.08</v>
      </c>
      <c r="NM1175" s="2">
        <v>93.8</v>
      </c>
      <c r="NN1175" s="2">
        <v>93.23999999999999</v>
      </c>
      <c r="NO1175" s="2">
        <v>94.06</v>
      </c>
      <c r="NP1175" s="2">
        <v>94.83</v>
      </c>
      <c r="NQ1175" s="2">
        <v>94.56999999999999</v>
      </c>
      <c r="NR1175" s="2">
        <v>93.03</v>
      </c>
      <c r="NW1175" s="2">
        <v>92.28</v>
      </c>
      <c r="NX1175" s="2">
        <v>91.17</v>
      </c>
      <c r="NY1175" s="2">
        <v>90.05</v>
      </c>
      <c r="NZ1175" s="2">
        <v>97.23</v>
      </c>
      <c r="OA1175" s="2">
        <v>98.73999999999999</v>
      </c>
      <c r="OB1175" s="2">
        <v>99.73</v>
      </c>
      <c r="OC1175" s="2">
        <v>102.25</v>
      </c>
      <c r="OD1175" s="2">
        <v>102.65</v>
      </c>
      <c r="OE1175" s="2">
        <v>102.02</v>
      </c>
      <c r="OF1175" s="2">
        <v>101.99</v>
      </c>
      <c r="OG1175" s="2">
        <v>101.28</v>
      </c>
      <c r="OH1175" s="2">
        <v>99.48999999999999</v>
      </c>
      <c r="OM1175" s="2">
        <v>103.84</v>
      </c>
      <c r="ON1175" s="2">
        <v>101.67</v>
      </c>
      <c r="OO1175" s="2">
        <v>102.57</v>
      </c>
      <c r="OP1175" s="2">
        <v>107.41</v>
      </c>
      <c r="OQ1175" s="2">
        <v>102.95</v>
      </c>
      <c r="OR1175" s="2">
        <v>101.49</v>
      </c>
      <c r="OS1175" s="2">
        <v>102.66</v>
      </c>
      <c r="OT1175" s="2">
        <v>103.76</v>
      </c>
      <c r="OU1175" s="2">
        <v>103.32</v>
      </c>
      <c r="OV1175" s="2">
        <v>104.16</v>
      </c>
      <c r="OW1175" s="2">
        <v>104.48</v>
      </c>
      <c r="OX1175" s="2">
        <v>104.17</v>
      </c>
      <c r="PC1175" s="2">
        <v>104.69</v>
      </c>
      <c r="PD1175" s="2">
        <v>105.97</v>
      </c>
      <c r="PE1175" s="2">
        <v>107.12</v>
      </c>
      <c r="PF1175" s="2">
        <v>105.15</v>
      </c>
      <c r="PG1175" s="2">
        <v>107.06</v>
      </c>
      <c r="PH1175" s="2">
        <v>108.23</v>
      </c>
      <c r="PI1175" s="2">
        <v>105.9</v>
      </c>
    </row>
    <row r="1176">
      <c r="A1176" t="inlineStr">
        <is>
          <t>A130400493F</t>
        </is>
      </c>
      <c r="B1176" t="inlineStr">
        <is>
          <t>Index Numbers ;  Vegetables ;  Australia ;</t>
        </is>
      </c>
      <c r="C1176" t="inlineStr">
        <is>
          <t>Month</t>
        </is>
      </c>
      <c r="D1176" t="inlineStr">
        <is>
          <t>Index Numbers</t>
        </is>
      </c>
      <c r="E1176" t="inlineStr">
        <is>
          <t>Seasonally Adjusted</t>
        </is>
      </c>
      <c r="F1176" t="inlineStr">
        <is>
          <t>640107.xlsx</t>
        </is>
      </c>
      <c r="G1176" t="inlineStr">
        <is>
          <t>2017-09</t>
        </is>
      </c>
      <c r="H1176" t="inlineStr">
        <is>
          <t>2026-07</t>
        </is>
      </c>
      <c r="JW1176" s="2">
        <v>75.19</v>
      </c>
      <c r="JX1176" s="2">
        <v>77.81</v>
      </c>
      <c r="JY1176" s="2">
        <v>81.44</v>
      </c>
      <c r="JZ1176" s="2">
        <v>79.93000000000001</v>
      </c>
      <c r="KE1176" s="2">
        <v>80.86</v>
      </c>
      <c r="KF1176" s="2">
        <v>79.68000000000001</v>
      </c>
      <c r="KG1176" s="2">
        <v>78.56999999999999</v>
      </c>
      <c r="KH1176" s="2">
        <v>76.8</v>
      </c>
      <c r="KI1176" s="2">
        <v>76.75</v>
      </c>
      <c r="KJ1176" s="2">
        <v>77.23</v>
      </c>
      <c r="KK1176" s="2">
        <v>77.02</v>
      </c>
      <c r="KL1176" s="2">
        <v>78.61</v>
      </c>
      <c r="KM1176" s="2">
        <v>80.45</v>
      </c>
      <c r="KN1176" s="2">
        <v>80.81999999999999</v>
      </c>
      <c r="KO1176" s="2">
        <v>79.38</v>
      </c>
      <c r="KP1176" s="2">
        <v>80.77</v>
      </c>
      <c r="KU1176" s="2">
        <v>80.33</v>
      </c>
      <c r="KV1176" s="2">
        <v>82.97</v>
      </c>
      <c r="KW1176" s="2">
        <v>86.23</v>
      </c>
      <c r="KX1176" s="2">
        <v>83.38</v>
      </c>
      <c r="KY1176" s="2">
        <v>81.86</v>
      </c>
      <c r="KZ1176" s="2">
        <v>78.61</v>
      </c>
      <c r="LA1176" s="2">
        <v>79.63</v>
      </c>
      <c r="LB1176" s="2">
        <v>78.92</v>
      </c>
      <c r="LC1176" s="2">
        <v>81.08</v>
      </c>
      <c r="LD1176" s="2">
        <v>82.59</v>
      </c>
      <c r="LE1176" s="2">
        <v>83.22</v>
      </c>
      <c r="LF1176" s="2">
        <v>83.84</v>
      </c>
      <c r="LK1176" s="2">
        <v>85.15000000000001</v>
      </c>
      <c r="LL1176" s="2">
        <v>86.59</v>
      </c>
      <c r="LM1176" s="2">
        <v>90.65000000000001</v>
      </c>
      <c r="LN1176" s="2">
        <v>87.14</v>
      </c>
      <c r="LO1176" s="2">
        <v>85.34</v>
      </c>
      <c r="LP1176" s="2">
        <v>85.38</v>
      </c>
      <c r="LQ1176" s="2">
        <v>86.01000000000001</v>
      </c>
      <c r="LR1176" s="2">
        <v>87.06</v>
      </c>
      <c r="LS1176" s="2">
        <v>84.67</v>
      </c>
      <c r="LT1176" s="2">
        <v>84.41</v>
      </c>
      <c r="LU1176" s="2">
        <v>85.04000000000001</v>
      </c>
      <c r="LV1176" s="2">
        <v>84.22</v>
      </c>
      <c r="MA1176" s="2">
        <v>84.77</v>
      </c>
      <c r="MB1176" s="2">
        <v>81.53</v>
      </c>
      <c r="MC1176" s="2">
        <v>80.51000000000001</v>
      </c>
      <c r="MD1176" s="2">
        <v>81.84999999999999</v>
      </c>
      <c r="ME1176" s="2">
        <v>87.70999999999999</v>
      </c>
      <c r="MF1176" s="2">
        <v>86.94</v>
      </c>
      <c r="MG1176" s="2">
        <v>86.87</v>
      </c>
      <c r="MH1176" s="2">
        <v>86.94</v>
      </c>
      <c r="MI1176" s="2">
        <v>87.06</v>
      </c>
      <c r="MJ1176" s="2">
        <v>88.70999999999999</v>
      </c>
      <c r="MK1176" s="2">
        <v>89.95999999999999</v>
      </c>
      <c r="ML1176" s="2">
        <v>91.29000000000001</v>
      </c>
      <c r="MQ1176" s="2">
        <v>92.17</v>
      </c>
      <c r="MR1176" s="2">
        <v>92.73999999999999</v>
      </c>
      <c r="MS1176" s="2">
        <v>94.56999999999999</v>
      </c>
      <c r="MT1176" s="2">
        <v>95.59</v>
      </c>
      <c r="MU1176" s="2">
        <v>97.25</v>
      </c>
      <c r="MV1176" s="2">
        <v>99.54000000000001</v>
      </c>
      <c r="MW1176" s="2">
        <v>102.58</v>
      </c>
      <c r="MX1176" s="2">
        <v>104.05</v>
      </c>
      <c r="MY1176" s="2">
        <v>101.05</v>
      </c>
      <c r="MZ1176" s="2">
        <v>95.11</v>
      </c>
      <c r="NA1176" s="2">
        <v>95.56999999999999</v>
      </c>
      <c r="NB1176" s="2">
        <v>96.77</v>
      </c>
      <c r="NG1176" s="2">
        <v>94</v>
      </c>
      <c r="NH1176" s="2">
        <v>95.2</v>
      </c>
      <c r="NI1176" s="2">
        <v>95.14</v>
      </c>
      <c r="NJ1176" s="2">
        <v>95.61</v>
      </c>
      <c r="NK1176" s="2">
        <v>97.41</v>
      </c>
      <c r="NL1176" s="2">
        <v>94.19</v>
      </c>
      <c r="NM1176" s="2">
        <v>92.14</v>
      </c>
      <c r="NN1176" s="2">
        <v>91.95</v>
      </c>
      <c r="NO1176" s="2">
        <v>92.22</v>
      </c>
      <c r="NP1176" s="2">
        <v>92.78</v>
      </c>
      <c r="NQ1176" s="2">
        <v>95.55</v>
      </c>
      <c r="NR1176" s="2">
        <v>95.78</v>
      </c>
      <c r="NW1176" s="2">
        <v>97.48</v>
      </c>
      <c r="NX1176" s="2">
        <v>98.92</v>
      </c>
      <c r="NY1176" s="2">
        <v>98.05</v>
      </c>
      <c r="NZ1176" s="2">
        <v>98.27</v>
      </c>
      <c r="OA1176" s="2">
        <v>100.01</v>
      </c>
      <c r="OB1176" s="2">
        <v>97.06999999999999</v>
      </c>
      <c r="OC1176" s="2">
        <v>97.67</v>
      </c>
      <c r="OD1176" s="2">
        <v>100.22</v>
      </c>
      <c r="OE1176" s="2">
        <v>100.93</v>
      </c>
      <c r="OF1176" s="2">
        <v>100.99</v>
      </c>
      <c r="OG1176" s="2">
        <v>100.36</v>
      </c>
      <c r="OH1176" s="2">
        <v>99.06</v>
      </c>
      <c r="OM1176" s="2">
        <v>100.56</v>
      </c>
      <c r="ON1176" s="2">
        <v>100.29</v>
      </c>
      <c r="OO1176" s="2">
        <v>101.31</v>
      </c>
      <c r="OP1176" s="2">
        <v>100.84</v>
      </c>
      <c r="OQ1176" s="2">
        <v>101.35</v>
      </c>
      <c r="OR1176" s="2">
        <v>104.45</v>
      </c>
      <c r="OS1176" s="2">
        <v>106.21</v>
      </c>
      <c r="OT1176" s="2">
        <v>101.14</v>
      </c>
      <c r="OU1176" s="2">
        <v>101.13</v>
      </c>
      <c r="OV1176" s="2">
        <v>102.24</v>
      </c>
      <c r="OW1176" s="2">
        <v>102.43</v>
      </c>
      <c r="OX1176" s="2">
        <v>102.92</v>
      </c>
      <c r="PC1176" s="2">
        <v>102.4</v>
      </c>
      <c r="PD1176" s="2">
        <v>100.78</v>
      </c>
      <c r="PE1176" s="2">
        <v>101.01</v>
      </c>
      <c r="PF1176" s="2">
        <v>102.68</v>
      </c>
      <c r="PG1176" s="2">
        <v>101.57</v>
      </c>
      <c r="PH1176" s="2">
        <v>100.21</v>
      </c>
      <c r="PI1176" s="2">
        <v>101.96</v>
      </c>
    </row>
    <row r="1177">
      <c r="A1177" t="inlineStr">
        <is>
          <t>A130400325V</t>
        </is>
      </c>
      <c r="B1177" t="inlineStr">
        <is>
          <t>Index Numbers ;  Eggs ;  Australia ;</t>
        </is>
      </c>
      <c r="C1177" t="inlineStr">
        <is>
          <t>Month</t>
        </is>
      </c>
      <c r="D1177" t="inlineStr">
        <is>
          <t>Index Numbers</t>
        </is>
      </c>
      <c r="E1177" t="inlineStr">
        <is>
          <t>Seasonally Adjusted</t>
        </is>
      </c>
      <c r="F1177" t="inlineStr">
        <is>
          <t>640107.xlsx</t>
        </is>
      </c>
      <c r="G1177" t="inlineStr">
        <is>
          <t>2017-09</t>
        </is>
      </c>
      <c r="H1177" t="inlineStr">
        <is>
          <t>2026-07</t>
        </is>
      </c>
      <c r="JW1177" s="2">
        <v>63.37</v>
      </c>
      <c r="JX1177" s="2">
        <v>62.91</v>
      </c>
      <c r="JY1177" s="2">
        <v>63.41</v>
      </c>
      <c r="JZ1177" s="2">
        <v>63.41</v>
      </c>
      <c r="KE1177" s="2">
        <v>63.03</v>
      </c>
      <c r="KF1177" s="2">
        <v>63.42</v>
      </c>
      <c r="KG1177" s="2">
        <v>63.8</v>
      </c>
      <c r="KH1177" s="2">
        <v>63.73</v>
      </c>
      <c r="KI1177" s="2">
        <v>63.42</v>
      </c>
      <c r="KJ1177" s="2">
        <v>63.48</v>
      </c>
      <c r="KK1177" s="2">
        <v>63.04</v>
      </c>
      <c r="KL1177" s="2">
        <v>62.84</v>
      </c>
      <c r="KM1177" s="2">
        <v>62.91</v>
      </c>
      <c r="KN1177" s="2">
        <v>63.25</v>
      </c>
      <c r="KO1177" s="2">
        <v>63.52</v>
      </c>
      <c r="KP1177" s="2">
        <v>63.73</v>
      </c>
      <c r="KU1177" s="2">
        <v>63.79</v>
      </c>
      <c r="KV1177" s="2">
        <v>63.72</v>
      </c>
      <c r="KW1177" s="2">
        <v>63.86</v>
      </c>
      <c r="KX1177" s="2">
        <v>63.98</v>
      </c>
      <c r="KY1177" s="2">
        <v>64.25</v>
      </c>
      <c r="KZ1177" s="2">
        <v>64.42</v>
      </c>
      <c r="LA1177" s="2">
        <v>65.2</v>
      </c>
      <c r="LB1177" s="2">
        <v>65.81</v>
      </c>
      <c r="LC1177" s="2">
        <v>66.17</v>
      </c>
      <c r="LD1177" s="2">
        <v>66.68000000000001</v>
      </c>
      <c r="LE1177" s="2">
        <v>66.94</v>
      </c>
      <c r="LF1177" s="2">
        <v>66.98</v>
      </c>
      <c r="LK1177" s="2">
        <v>67.11</v>
      </c>
      <c r="LL1177" s="2">
        <v>67.58</v>
      </c>
      <c r="LM1177" s="2">
        <v>68.04000000000001</v>
      </c>
      <c r="LN1177" s="2">
        <v>68.73</v>
      </c>
      <c r="LO1177" s="2">
        <v>68.75</v>
      </c>
      <c r="LP1177" s="2">
        <v>68.48999999999999</v>
      </c>
      <c r="LQ1177" s="2">
        <v>68.28</v>
      </c>
      <c r="LR1177" s="2">
        <v>68.19</v>
      </c>
      <c r="LS1177" s="2">
        <v>68.33</v>
      </c>
      <c r="LT1177" s="2">
        <v>68.05</v>
      </c>
      <c r="LU1177" s="2">
        <v>68.02</v>
      </c>
      <c r="LV1177" s="2">
        <v>68.33</v>
      </c>
      <c r="MA1177" s="2">
        <v>68.42</v>
      </c>
      <c r="MB1177" s="2">
        <v>68.52</v>
      </c>
      <c r="MC1177" s="2">
        <v>67.91</v>
      </c>
      <c r="MD1177" s="2">
        <v>67.73</v>
      </c>
      <c r="ME1177" s="2">
        <v>67.78</v>
      </c>
      <c r="MF1177" s="2">
        <v>68.31</v>
      </c>
      <c r="MG1177" s="2">
        <v>68.23</v>
      </c>
      <c r="MH1177" s="2">
        <v>68.16</v>
      </c>
      <c r="MI1177" s="2">
        <v>68.09</v>
      </c>
      <c r="MJ1177" s="2">
        <v>68.48999999999999</v>
      </c>
      <c r="MK1177" s="2">
        <v>68.05</v>
      </c>
      <c r="ML1177" s="2">
        <v>68.31999999999999</v>
      </c>
      <c r="MQ1177" s="2">
        <v>68.93000000000001</v>
      </c>
      <c r="MR1177" s="2">
        <v>69.3</v>
      </c>
      <c r="MS1177" s="2">
        <v>69.7</v>
      </c>
      <c r="MT1177" s="2">
        <v>70.09999999999999</v>
      </c>
      <c r="MU1177" s="2">
        <v>70.44</v>
      </c>
      <c r="MV1177" s="2">
        <v>73.81999999999999</v>
      </c>
      <c r="MW1177" s="2">
        <v>74.44</v>
      </c>
      <c r="MX1177" s="2">
        <v>74.98</v>
      </c>
      <c r="MY1177" s="2">
        <v>75.44</v>
      </c>
      <c r="MZ1177" s="2">
        <v>75.75</v>
      </c>
      <c r="NA1177" s="2">
        <v>76.19</v>
      </c>
      <c r="NB1177" s="2">
        <v>76.3</v>
      </c>
      <c r="NG1177" s="2">
        <v>76.54000000000001</v>
      </c>
      <c r="NH1177" s="2">
        <v>78.91</v>
      </c>
      <c r="NI1177" s="2">
        <v>79.14</v>
      </c>
      <c r="NJ1177" s="2">
        <v>79.19</v>
      </c>
      <c r="NK1177" s="2">
        <v>79.55</v>
      </c>
      <c r="NL1177" s="2">
        <v>80.11</v>
      </c>
      <c r="NM1177" s="2">
        <v>80.23</v>
      </c>
      <c r="NN1177" s="2">
        <v>80.12</v>
      </c>
      <c r="NO1177" s="2">
        <v>82.16</v>
      </c>
      <c r="NP1177" s="2">
        <v>83.91</v>
      </c>
      <c r="NQ1177" s="2">
        <v>84.09</v>
      </c>
      <c r="NR1177" s="2">
        <v>84.48</v>
      </c>
      <c r="NW1177" s="2">
        <v>84.43000000000001</v>
      </c>
      <c r="NX1177" s="2">
        <v>84.51000000000001</v>
      </c>
      <c r="NY1177" s="2">
        <v>84.52</v>
      </c>
      <c r="NZ1177" s="2">
        <v>84.63</v>
      </c>
      <c r="OA1177" s="2">
        <v>84.72</v>
      </c>
      <c r="OB1177" s="2">
        <v>84.92</v>
      </c>
      <c r="OC1177" s="2">
        <v>85.64</v>
      </c>
      <c r="OD1177" s="2">
        <v>87.28</v>
      </c>
      <c r="OE1177" s="2">
        <v>91.75</v>
      </c>
      <c r="OF1177" s="2">
        <v>92.88</v>
      </c>
      <c r="OG1177" s="2">
        <v>93.81</v>
      </c>
      <c r="OH1177" s="2">
        <v>94.19</v>
      </c>
      <c r="OM1177" s="2">
        <v>94.7</v>
      </c>
      <c r="ON1177" s="2">
        <v>94.59999999999999</v>
      </c>
      <c r="OO1177" s="2">
        <v>95.84999999999999</v>
      </c>
      <c r="OP1177" s="2">
        <v>100.39</v>
      </c>
      <c r="OQ1177" s="2">
        <v>100.97</v>
      </c>
      <c r="OR1177" s="2">
        <v>101.45</v>
      </c>
      <c r="OS1177" s="2">
        <v>101.06</v>
      </c>
      <c r="OT1177" s="2">
        <v>100.33</v>
      </c>
      <c r="OU1177" s="2">
        <v>99.52</v>
      </c>
      <c r="OV1177" s="2">
        <v>98.64</v>
      </c>
      <c r="OW1177" s="2">
        <v>97.95</v>
      </c>
      <c r="OX1177" s="2">
        <v>97.14</v>
      </c>
      <c r="PC1177" s="2">
        <v>97.26000000000001</v>
      </c>
      <c r="PD1177" s="2">
        <v>97.77</v>
      </c>
      <c r="PE1177" s="2">
        <v>97.51000000000001</v>
      </c>
      <c r="PF1177" s="2">
        <v>96.73999999999999</v>
      </c>
      <c r="PG1177" s="2">
        <v>96.72</v>
      </c>
      <c r="PH1177" s="2">
        <v>95.93000000000001</v>
      </c>
      <c r="PI1177" s="2">
        <v>95.78</v>
      </c>
    </row>
    <row r="1178">
      <c r="A1178" t="inlineStr">
        <is>
          <t>A130400332T</t>
        </is>
      </c>
      <c r="B1178" t="inlineStr">
        <is>
          <t>Index Numbers ;  Jams, honey and spreads ;  Australia ;</t>
        </is>
      </c>
      <c r="C1178" t="inlineStr">
        <is>
          <t>Month</t>
        </is>
      </c>
      <c r="D1178" t="inlineStr">
        <is>
          <t>Index Numbers</t>
        </is>
      </c>
      <c r="E1178" t="inlineStr">
        <is>
          <t>Seasonally Adjusted</t>
        </is>
      </c>
      <c r="F1178" t="inlineStr">
        <is>
          <t>640107.xlsx</t>
        </is>
      </c>
      <c r="G1178" t="inlineStr">
        <is>
          <t>2017-09</t>
        </is>
      </c>
      <c r="H1178" t="inlineStr">
        <is>
          <t>2026-07</t>
        </is>
      </c>
      <c r="JW1178" s="2">
        <v>80.27</v>
      </c>
      <c r="JX1178" s="2">
        <v>80.75</v>
      </c>
      <c r="JY1178" s="2">
        <v>80.77</v>
      </c>
      <c r="JZ1178" s="2">
        <v>79.87</v>
      </c>
      <c r="KE1178" s="2">
        <v>80.26000000000001</v>
      </c>
      <c r="KF1178" s="2">
        <v>79.37</v>
      </c>
      <c r="KG1178" s="2">
        <v>80.17</v>
      </c>
      <c r="KH1178" s="2">
        <v>77.69</v>
      </c>
      <c r="KI1178" s="2">
        <v>80.20999999999999</v>
      </c>
      <c r="KJ1178" s="2">
        <v>79.3</v>
      </c>
      <c r="KK1178" s="2">
        <v>80.83</v>
      </c>
      <c r="KL1178" s="2">
        <v>79.53</v>
      </c>
      <c r="KM1178" s="2">
        <v>80.05</v>
      </c>
      <c r="KN1178" s="2">
        <v>79.95999999999999</v>
      </c>
      <c r="KO1178" s="2">
        <v>79.97</v>
      </c>
      <c r="KP1178" s="2">
        <v>79.94</v>
      </c>
      <c r="KU1178" s="2">
        <v>80.22</v>
      </c>
      <c r="KV1178" s="2">
        <v>80.94</v>
      </c>
      <c r="KW1178" s="2">
        <v>80.45999999999999</v>
      </c>
      <c r="KX1178" s="2">
        <v>80.59</v>
      </c>
      <c r="KY1178" s="2">
        <v>80.5</v>
      </c>
      <c r="KZ1178" s="2">
        <v>81.03</v>
      </c>
      <c r="LA1178" s="2">
        <v>80.83</v>
      </c>
      <c r="LB1178" s="2">
        <v>80.98999999999999</v>
      </c>
      <c r="LC1178" s="2">
        <v>80.48</v>
      </c>
      <c r="LD1178" s="2">
        <v>80.68000000000001</v>
      </c>
      <c r="LE1178" s="2">
        <v>80.73999999999999</v>
      </c>
      <c r="LF1178" s="2">
        <v>81.66</v>
      </c>
      <c r="LK1178" s="2">
        <v>81.88</v>
      </c>
      <c r="LL1178" s="2">
        <v>81.92</v>
      </c>
      <c r="LM1178" s="2">
        <v>84.68000000000001</v>
      </c>
      <c r="LN1178" s="2">
        <v>85.84999999999999</v>
      </c>
      <c r="LO1178" s="2">
        <v>85.19</v>
      </c>
      <c r="LP1178" s="2">
        <v>84.64</v>
      </c>
      <c r="LQ1178" s="2">
        <v>84.86</v>
      </c>
      <c r="LR1178" s="2">
        <v>84.95999999999999</v>
      </c>
      <c r="LS1178" s="2">
        <v>85.45999999999999</v>
      </c>
      <c r="LT1178" s="2">
        <v>84.84</v>
      </c>
      <c r="LU1178" s="2">
        <v>84.81</v>
      </c>
      <c r="LV1178" s="2">
        <v>85</v>
      </c>
      <c r="MA1178" s="2">
        <v>84.28</v>
      </c>
      <c r="MB1178" s="2">
        <v>84.31</v>
      </c>
      <c r="MC1178" s="2">
        <v>84.56</v>
      </c>
      <c r="MD1178" s="2">
        <v>84.77</v>
      </c>
      <c r="ME1178" s="2">
        <v>85.12</v>
      </c>
      <c r="MF1178" s="2">
        <v>85.27</v>
      </c>
      <c r="MG1178" s="2">
        <v>85.22</v>
      </c>
      <c r="MH1178" s="2">
        <v>84.45999999999999</v>
      </c>
      <c r="MI1178" s="2">
        <v>85.45</v>
      </c>
      <c r="MJ1178" s="2">
        <v>85.59999999999999</v>
      </c>
      <c r="MK1178" s="2">
        <v>85.56999999999999</v>
      </c>
      <c r="ML1178" s="2">
        <v>85.56999999999999</v>
      </c>
      <c r="MQ1178" s="2">
        <v>85.90000000000001</v>
      </c>
      <c r="MR1178" s="2">
        <v>86.48999999999999</v>
      </c>
      <c r="MS1178" s="2">
        <v>86.90000000000001</v>
      </c>
      <c r="MT1178" s="2">
        <v>87.5</v>
      </c>
      <c r="MU1178" s="2">
        <v>87.48</v>
      </c>
      <c r="MV1178" s="2">
        <v>88.72</v>
      </c>
      <c r="MW1178" s="2">
        <v>91.18000000000001</v>
      </c>
      <c r="MX1178" s="2">
        <v>91.55</v>
      </c>
      <c r="MY1178" s="2">
        <v>91.79000000000001</v>
      </c>
      <c r="MZ1178" s="2">
        <v>91.70999999999999</v>
      </c>
      <c r="NA1178" s="2">
        <v>92.05</v>
      </c>
      <c r="NB1178" s="2">
        <v>92.40000000000001</v>
      </c>
      <c r="NG1178" s="2">
        <v>92.62</v>
      </c>
      <c r="NH1178" s="2">
        <v>92.73</v>
      </c>
      <c r="NI1178" s="2">
        <v>93.31999999999999</v>
      </c>
      <c r="NJ1178" s="2">
        <v>92.62</v>
      </c>
      <c r="NK1178" s="2">
        <v>93.29000000000001</v>
      </c>
      <c r="NL1178" s="2">
        <v>93.90000000000001</v>
      </c>
      <c r="NM1178" s="2">
        <v>95.16</v>
      </c>
      <c r="NN1178" s="2">
        <v>95.03</v>
      </c>
      <c r="NO1178" s="2">
        <v>95.27</v>
      </c>
      <c r="NP1178" s="2">
        <v>96.06999999999999</v>
      </c>
      <c r="NQ1178" s="2">
        <v>96.23999999999999</v>
      </c>
      <c r="NR1178" s="2">
        <v>96.68000000000001</v>
      </c>
      <c r="NW1178" s="2">
        <v>96.58</v>
      </c>
      <c r="NX1178" s="2">
        <v>96.75</v>
      </c>
      <c r="NY1178" s="2">
        <v>96.59</v>
      </c>
      <c r="NZ1178" s="2">
        <v>96.23999999999999</v>
      </c>
      <c r="OA1178" s="2">
        <v>96.61</v>
      </c>
      <c r="OB1178" s="2">
        <v>96.65000000000001</v>
      </c>
      <c r="OC1178" s="2">
        <v>96.64</v>
      </c>
      <c r="OD1178" s="2">
        <v>97.12</v>
      </c>
      <c r="OE1178" s="2">
        <v>96.62</v>
      </c>
      <c r="OF1178" s="2">
        <v>97.36</v>
      </c>
      <c r="OG1178" s="2">
        <v>97.47</v>
      </c>
      <c r="OH1178" s="2">
        <v>97.04000000000001</v>
      </c>
      <c r="OM1178" s="2">
        <v>97.23999999999999</v>
      </c>
      <c r="ON1178" s="2">
        <v>97.51000000000001</v>
      </c>
      <c r="OO1178" s="2">
        <v>97.38</v>
      </c>
      <c r="OP1178" s="2">
        <v>97.90000000000001</v>
      </c>
      <c r="OQ1178" s="2">
        <v>98.01000000000001</v>
      </c>
      <c r="OR1178" s="2">
        <v>98.27</v>
      </c>
      <c r="OS1178" s="2">
        <v>98.48999999999999</v>
      </c>
      <c r="OT1178" s="2">
        <v>98.45999999999999</v>
      </c>
      <c r="OU1178" s="2">
        <v>100.01</v>
      </c>
      <c r="OV1178" s="2">
        <v>99.14</v>
      </c>
      <c r="OW1178" s="2">
        <v>99.70999999999999</v>
      </c>
      <c r="OX1178" s="2">
        <v>99.68000000000001</v>
      </c>
      <c r="PC1178" s="2">
        <v>100.56</v>
      </c>
      <c r="PD1178" s="2">
        <v>100.49</v>
      </c>
      <c r="PE1178" s="2">
        <v>100.9</v>
      </c>
      <c r="PF1178" s="2">
        <v>100.96</v>
      </c>
      <c r="PG1178" s="2">
        <v>101.41</v>
      </c>
      <c r="PH1178" s="2">
        <v>100.86</v>
      </c>
      <c r="PI1178" s="2">
        <v>101.8</v>
      </c>
    </row>
    <row r="1179">
      <c r="A1179" t="inlineStr">
        <is>
          <t>A130400773X</t>
        </is>
      </c>
      <c r="B1179" t="inlineStr">
        <is>
          <t>Index Numbers ;  Food additives and condiments ;  Australia ;</t>
        </is>
      </c>
      <c r="C1179" t="inlineStr">
        <is>
          <t>Month</t>
        </is>
      </c>
      <c r="D1179" t="inlineStr">
        <is>
          <t>Index Numbers</t>
        </is>
      </c>
      <c r="E1179" t="inlineStr">
        <is>
          <t>Seasonally Adjusted</t>
        </is>
      </c>
      <c r="F1179" t="inlineStr">
        <is>
          <t>640107.xlsx</t>
        </is>
      </c>
      <c r="G1179" t="inlineStr">
        <is>
          <t>2017-09</t>
        </is>
      </c>
      <c r="H1179" t="inlineStr">
        <is>
          <t>2026-07</t>
        </is>
      </c>
      <c r="JW1179" s="2">
        <v>81.62</v>
      </c>
      <c r="JX1179" s="2">
        <v>81.48</v>
      </c>
      <c r="JY1179" s="2">
        <v>81.48</v>
      </c>
      <c r="JZ1179" s="2">
        <v>81.61</v>
      </c>
      <c r="KE1179" s="2">
        <v>81.56</v>
      </c>
      <c r="KF1179" s="2">
        <v>81.20999999999999</v>
      </c>
      <c r="KG1179" s="2">
        <v>81.28</v>
      </c>
      <c r="KH1179" s="2">
        <v>81.38</v>
      </c>
      <c r="KI1179" s="2">
        <v>81.14</v>
      </c>
      <c r="KJ1179" s="2">
        <v>81.31</v>
      </c>
      <c r="KK1179" s="2">
        <v>81.12</v>
      </c>
      <c r="KL1179" s="2">
        <v>80.84999999999999</v>
      </c>
      <c r="KM1179" s="2">
        <v>79.83</v>
      </c>
      <c r="KN1179" s="2">
        <v>81.18000000000001</v>
      </c>
      <c r="KO1179" s="2">
        <v>80.65000000000001</v>
      </c>
      <c r="KP1179" s="2">
        <v>80.5</v>
      </c>
      <c r="KU1179" s="2">
        <v>80.59</v>
      </c>
      <c r="KV1179" s="2">
        <v>80.94</v>
      </c>
      <c r="KW1179" s="2">
        <v>80.95999999999999</v>
      </c>
      <c r="KX1179" s="2">
        <v>80.27</v>
      </c>
      <c r="KY1179" s="2">
        <v>80.8</v>
      </c>
      <c r="KZ1179" s="2">
        <v>81.11</v>
      </c>
      <c r="LA1179" s="2">
        <v>80.95999999999999</v>
      </c>
      <c r="LB1179" s="2">
        <v>81.26000000000001</v>
      </c>
      <c r="LC1179" s="2">
        <v>80.59</v>
      </c>
      <c r="LD1179" s="2">
        <v>81.3</v>
      </c>
      <c r="LE1179" s="2">
        <v>81.43000000000001</v>
      </c>
      <c r="LF1179" s="2">
        <v>81.41</v>
      </c>
      <c r="LK1179" s="2">
        <v>81.41</v>
      </c>
      <c r="LL1179" s="2">
        <v>81.70999999999999</v>
      </c>
      <c r="LM1179" s="2">
        <v>83.68000000000001</v>
      </c>
      <c r="LN1179" s="2">
        <v>85.84</v>
      </c>
      <c r="LO1179" s="2">
        <v>83.59999999999999</v>
      </c>
      <c r="LP1179" s="2">
        <v>82.87</v>
      </c>
      <c r="LQ1179" s="2">
        <v>82.87</v>
      </c>
      <c r="LR1179" s="2">
        <v>82.75</v>
      </c>
      <c r="LS1179" s="2">
        <v>83.47</v>
      </c>
      <c r="LT1179" s="2">
        <v>82.56999999999999</v>
      </c>
      <c r="LU1179" s="2">
        <v>82.79000000000001</v>
      </c>
      <c r="LV1179" s="2">
        <v>82.84999999999999</v>
      </c>
      <c r="MA1179" s="2">
        <v>82.91</v>
      </c>
      <c r="MB1179" s="2">
        <v>82.84999999999999</v>
      </c>
      <c r="MC1179" s="2">
        <v>82.92</v>
      </c>
      <c r="MD1179" s="2">
        <v>82.90000000000001</v>
      </c>
      <c r="ME1179" s="2">
        <v>82.94</v>
      </c>
      <c r="MF1179" s="2">
        <v>83.12</v>
      </c>
      <c r="MG1179" s="2">
        <v>83.78</v>
      </c>
      <c r="MH1179" s="2">
        <v>83.66</v>
      </c>
      <c r="MI1179" s="2">
        <v>84.11</v>
      </c>
      <c r="MJ1179" s="2">
        <v>84.22</v>
      </c>
      <c r="MK1179" s="2">
        <v>84.45</v>
      </c>
      <c r="ML1179" s="2">
        <v>84.58</v>
      </c>
      <c r="MQ1179" s="2">
        <v>85.26000000000001</v>
      </c>
      <c r="MR1179" s="2">
        <v>87.65000000000001</v>
      </c>
      <c r="MS1179" s="2">
        <v>88.09999999999999</v>
      </c>
      <c r="MT1179" s="2">
        <v>88.7</v>
      </c>
      <c r="MU1179" s="2">
        <v>89.34999999999999</v>
      </c>
      <c r="MV1179" s="2">
        <v>90.09</v>
      </c>
      <c r="MW1179" s="2">
        <v>91.38</v>
      </c>
      <c r="MX1179" s="2">
        <v>91.31</v>
      </c>
      <c r="MY1179" s="2">
        <v>92.08</v>
      </c>
      <c r="MZ1179" s="2">
        <v>92.45</v>
      </c>
      <c r="NA1179" s="2">
        <v>92.65000000000001</v>
      </c>
      <c r="NB1179" s="2">
        <v>92.63</v>
      </c>
      <c r="NG1179" s="2">
        <v>92.94</v>
      </c>
      <c r="NH1179" s="2">
        <v>95.5</v>
      </c>
      <c r="NI1179" s="2">
        <v>95.61</v>
      </c>
      <c r="NJ1179" s="2">
        <v>96.73</v>
      </c>
      <c r="NK1179" s="2">
        <v>96.65000000000001</v>
      </c>
      <c r="NL1179" s="2">
        <v>96.75</v>
      </c>
      <c r="NM1179" s="2">
        <v>96.78</v>
      </c>
      <c r="NN1179" s="2">
        <v>97.09</v>
      </c>
      <c r="NO1179" s="2">
        <v>97.38</v>
      </c>
      <c r="NP1179" s="2">
        <v>97.31999999999999</v>
      </c>
      <c r="NQ1179" s="2">
        <v>96.56999999999999</v>
      </c>
      <c r="NR1179" s="2">
        <v>97.94</v>
      </c>
      <c r="NW1179" s="2">
        <v>97.62</v>
      </c>
      <c r="NX1179" s="2">
        <v>98.56</v>
      </c>
      <c r="NY1179" s="2">
        <v>98.14</v>
      </c>
      <c r="NZ1179" s="2">
        <v>99.20999999999999</v>
      </c>
      <c r="OA1179" s="2">
        <v>98.3</v>
      </c>
      <c r="OB1179" s="2">
        <v>98.66</v>
      </c>
      <c r="OC1179" s="2">
        <v>98.19</v>
      </c>
      <c r="OD1179" s="2">
        <v>98.45999999999999</v>
      </c>
      <c r="OE1179" s="2">
        <v>98.19</v>
      </c>
      <c r="OF1179" s="2">
        <v>98.34999999999999</v>
      </c>
      <c r="OG1179" s="2">
        <v>98.3</v>
      </c>
      <c r="OH1179" s="2">
        <v>99.28</v>
      </c>
      <c r="OM1179" s="2">
        <v>99.09</v>
      </c>
      <c r="ON1179" s="2">
        <v>99.19</v>
      </c>
      <c r="OO1179" s="2">
        <v>99.55</v>
      </c>
      <c r="OP1179" s="2">
        <v>99.2</v>
      </c>
      <c r="OQ1179" s="2">
        <v>99.34</v>
      </c>
      <c r="OR1179" s="2">
        <v>99.45</v>
      </c>
      <c r="OS1179" s="2">
        <v>99.87</v>
      </c>
      <c r="OT1179" s="2">
        <v>99.91</v>
      </c>
      <c r="OU1179" s="2">
        <v>100.17</v>
      </c>
      <c r="OV1179" s="2">
        <v>100.35</v>
      </c>
      <c r="OW1179" s="2">
        <v>100.48</v>
      </c>
      <c r="OX1179" s="2">
        <v>100.3</v>
      </c>
      <c r="PC1179" s="2">
        <v>100.44</v>
      </c>
      <c r="PD1179" s="2">
        <v>100.05</v>
      </c>
      <c r="PE1179" s="2">
        <v>100.28</v>
      </c>
      <c r="PF1179" s="2">
        <v>100.6</v>
      </c>
      <c r="PG1179" s="2">
        <v>100.81</v>
      </c>
      <c r="PH1179" s="2">
        <v>100.62</v>
      </c>
      <c r="PI1179" s="2">
        <v>100.63</v>
      </c>
    </row>
    <row r="1180">
      <c r="A1180" t="inlineStr">
        <is>
          <t>A130400780W</t>
        </is>
      </c>
      <c r="B1180" t="inlineStr">
        <is>
          <t>Index Numbers ;  Oils and fats ;  Australia ;</t>
        </is>
      </c>
      <c r="C1180" t="inlineStr">
        <is>
          <t>Month</t>
        </is>
      </c>
      <c r="D1180" t="inlineStr">
        <is>
          <t>Index Numbers</t>
        </is>
      </c>
      <c r="E1180" t="inlineStr">
        <is>
          <t>Seasonally Adjusted</t>
        </is>
      </c>
      <c r="F1180" t="inlineStr">
        <is>
          <t>640107.xlsx</t>
        </is>
      </c>
      <c r="G1180" t="inlineStr">
        <is>
          <t>2017-09</t>
        </is>
      </c>
      <c r="H1180" t="inlineStr">
        <is>
          <t>2026-07</t>
        </is>
      </c>
      <c r="JW1180" s="2">
        <v>63.91</v>
      </c>
      <c r="JX1180" s="2">
        <v>64.3</v>
      </c>
      <c r="JY1180" s="2">
        <v>65.27</v>
      </c>
      <c r="JZ1180" s="2">
        <v>66.53</v>
      </c>
      <c r="KE1180" s="2">
        <v>65.37</v>
      </c>
      <c r="KF1180" s="2">
        <v>65.27</v>
      </c>
      <c r="KG1180" s="2">
        <v>65.2</v>
      </c>
      <c r="KH1180" s="2">
        <v>65.42</v>
      </c>
      <c r="KI1180" s="2">
        <v>65.26000000000001</v>
      </c>
      <c r="KJ1180" s="2">
        <v>65.5</v>
      </c>
      <c r="KK1180" s="2">
        <v>65.83</v>
      </c>
      <c r="KL1180" s="2">
        <v>66.45</v>
      </c>
      <c r="KM1180" s="2">
        <v>66.56</v>
      </c>
      <c r="KN1180" s="2">
        <v>67.12</v>
      </c>
      <c r="KO1180" s="2">
        <v>66.8</v>
      </c>
      <c r="KP1180" s="2">
        <v>67.73</v>
      </c>
      <c r="KU1180" s="2">
        <v>67.13</v>
      </c>
      <c r="KV1180" s="2">
        <v>67.06999999999999</v>
      </c>
      <c r="KW1180" s="2">
        <v>65.90000000000001</v>
      </c>
      <c r="KX1180" s="2">
        <v>66.22</v>
      </c>
      <c r="KY1180" s="2">
        <v>66.22</v>
      </c>
      <c r="KZ1180" s="2">
        <v>67.04000000000001</v>
      </c>
      <c r="LA1180" s="2">
        <v>66.45</v>
      </c>
      <c r="LB1180" s="2">
        <v>66.39</v>
      </c>
      <c r="LC1180" s="2">
        <v>66.8</v>
      </c>
      <c r="LD1180" s="2">
        <v>66.92</v>
      </c>
      <c r="LE1180" s="2">
        <v>67.06</v>
      </c>
      <c r="LF1180" s="2">
        <v>67.15000000000001</v>
      </c>
      <c r="LK1180" s="2">
        <v>67.45</v>
      </c>
      <c r="LL1180" s="2">
        <v>66.70999999999999</v>
      </c>
      <c r="LM1180" s="2">
        <v>68.34</v>
      </c>
      <c r="LN1180" s="2">
        <v>70.81999999999999</v>
      </c>
      <c r="LO1180" s="2">
        <v>68.92</v>
      </c>
      <c r="LP1180" s="2">
        <v>67.81</v>
      </c>
      <c r="LQ1180" s="2">
        <v>67.79000000000001</v>
      </c>
      <c r="LR1180" s="2">
        <v>67.65000000000001</v>
      </c>
      <c r="LS1180" s="2">
        <v>67.34999999999999</v>
      </c>
      <c r="LT1180" s="2">
        <v>67.77</v>
      </c>
      <c r="LU1180" s="2">
        <v>67.93000000000001</v>
      </c>
      <c r="LV1180" s="2">
        <v>68.03</v>
      </c>
      <c r="MA1180" s="2">
        <v>68.59999999999999</v>
      </c>
      <c r="MB1180" s="2">
        <v>68.25</v>
      </c>
      <c r="MC1180" s="2">
        <v>68.91</v>
      </c>
      <c r="MD1180" s="2">
        <v>68.62</v>
      </c>
      <c r="ME1180" s="2">
        <v>68.84999999999999</v>
      </c>
      <c r="MF1180" s="2">
        <v>69.17</v>
      </c>
      <c r="MG1180" s="2">
        <v>69.65000000000001</v>
      </c>
      <c r="MH1180" s="2">
        <v>69.95</v>
      </c>
      <c r="MI1180" s="2">
        <v>70.73</v>
      </c>
      <c r="MJ1180" s="2">
        <v>70.86</v>
      </c>
      <c r="MK1180" s="2">
        <v>71.51000000000001</v>
      </c>
      <c r="ML1180" s="2">
        <v>71.37</v>
      </c>
      <c r="MQ1180" s="2">
        <v>72.73</v>
      </c>
      <c r="MR1180" s="2">
        <v>74.39</v>
      </c>
      <c r="MS1180" s="2">
        <v>75.33</v>
      </c>
      <c r="MT1180" s="2">
        <v>76.81</v>
      </c>
      <c r="MU1180" s="2">
        <v>77.72</v>
      </c>
      <c r="MV1180" s="2">
        <v>79.79000000000001</v>
      </c>
      <c r="MW1180" s="2">
        <v>82.15000000000001</v>
      </c>
      <c r="MX1180" s="2">
        <v>84.28</v>
      </c>
      <c r="MY1180" s="2">
        <v>84.43000000000001</v>
      </c>
      <c r="MZ1180" s="2">
        <v>84.31999999999999</v>
      </c>
      <c r="NA1180" s="2">
        <v>86.05</v>
      </c>
      <c r="NB1180" s="2">
        <v>88.22</v>
      </c>
      <c r="NG1180" s="2">
        <v>87.79000000000001</v>
      </c>
      <c r="NH1180" s="2">
        <v>88.56999999999999</v>
      </c>
      <c r="NI1180" s="2">
        <v>89.15000000000001</v>
      </c>
      <c r="NJ1180" s="2">
        <v>88.86</v>
      </c>
      <c r="NK1180" s="2">
        <v>89.52</v>
      </c>
      <c r="NL1180" s="2">
        <v>89.64</v>
      </c>
      <c r="NM1180" s="2">
        <v>90.09999999999999</v>
      </c>
      <c r="NN1180" s="2">
        <v>92.19</v>
      </c>
      <c r="NO1180" s="2">
        <v>91.98</v>
      </c>
      <c r="NP1180" s="2">
        <v>92.48</v>
      </c>
      <c r="NQ1180" s="2">
        <v>93.88</v>
      </c>
      <c r="NR1180" s="2">
        <v>94.13</v>
      </c>
      <c r="NW1180" s="2">
        <v>95.18000000000001</v>
      </c>
      <c r="NX1180" s="2">
        <v>95.45999999999999</v>
      </c>
      <c r="NY1180" s="2">
        <v>94.98</v>
      </c>
      <c r="NZ1180" s="2">
        <v>98.70999999999999</v>
      </c>
      <c r="OA1180" s="2">
        <v>99.56</v>
      </c>
      <c r="OB1180" s="2">
        <v>100.51</v>
      </c>
      <c r="OC1180" s="2">
        <v>100.09</v>
      </c>
      <c r="OD1180" s="2">
        <v>100.06</v>
      </c>
      <c r="OE1180" s="2">
        <v>99.88</v>
      </c>
      <c r="OF1180" s="2">
        <v>100.44</v>
      </c>
      <c r="OG1180" s="2">
        <v>100.46</v>
      </c>
      <c r="OH1180" s="2">
        <v>100.84</v>
      </c>
      <c r="OM1180" s="2">
        <v>100.92</v>
      </c>
      <c r="ON1180" s="2">
        <v>100.67</v>
      </c>
      <c r="OO1180" s="2">
        <v>99.52</v>
      </c>
      <c r="OP1180" s="2">
        <v>99.52</v>
      </c>
      <c r="OQ1180" s="2">
        <v>99.95999999999999</v>
      </c>
      <c r="OR1180" s="2">
        <v>98.77</v>
      </c>
      <c r="OS1180" s="2">
        <v>98.70999999999999</v>
      </c>
      <c r="OT1180" s="2">
        <v>98.8</v>
      </c>
      <c r="OU1180" s="2">
        <v>100.19</v>
      </c>
      <c r="OV1180" s="2">
        <v>98.83</v>
      </c>
      <c r="OW1180" s="2">
        <v>98.5</v>
      </c>
      <c r="OX1180" s="2">
        <v>98.78</v>
      </c>
      <c r="PC1180" s="2">
        <v>98.68000000000001</v>
      </c>
      <c r="PD1180" s="2">
        <v>99.44</v>
      </c>
      <c r="PE1180" s="2">
        <v>99.73</v>
      </c>
      <c r="PF1180" s="2">
        <v>99.3</v>
      </c>
      <c r="PG1180" s="2">
        <v>99.48</v>
      </c>
      <c r="PH1180" s="2">
        <v>100.93</v>
      </c>
      <c r="PI1180" s="2">
        <v>100.92</v>
      </c>
    </row>
    <row r="1181">
      <c r="A1181" t="inlineStr">
        <is>
          <t>A130400640V</t>
        </is>
      </c>
      <c r="B1181" t="inlineStr">
        <is>
          <t>Index Numbers ;  Snacks and confectionery ;  Australia ;</t>
        </is>
      </c>
      <c r="C1181" t="inlineStr">
        <is>
          <t>Month</t>
        </is>
      </c>
      <c r="D1181" t="inlineStr">
        <is>
          <t>Index Numbers</t>
        </is>
      </c>
      <c r="E1181" t="inlineStr">
        <is>
          <t>Seasonally Adjusted</t>
        </is>
      </c>
      <c r="F1181" t="inlineStr">
        <is>
          <t>640107.xlsx</t>
        </is>
      </c>
      <c r="G1181" t="inlineStr">
        <is>
          <t>2017-09</t>
        </is>
      </c>
      <c r="H1181" t="inlineStr">
        <is>
          <t>2026-07</t>
        </is>
      </c>
      <c r="JW1181" s="2">
        <v>72.68000000000001</v>
      </c>
      <c r="JX1181" s="2">
        <v>72.23</v>
      </c>
      <c r="JY1181" s="2">
        <v>72.19</v>
      </c>
      <c r="JZ1181" s="2">
        <v>72.40000000000001</v>
      </c>
      <c r="KE1181" s="2">
        <v>71.98999999999999</v>
      </c>
      <c r="KF1181" s="2">
        <v>72.23</v>
      </c>
      <c r="KG1181" s="2">
        <v>71.95</v>
      </c>
      <c r="KH1181" s="2">
        <v>72.42</v>
      </c>
      <c r="KI1181" s="2">
        <v>72.25</v>
      </c>
      <c r="KJ1181" s="2">
        <v>72.37</v>
      </c>
      <c r="KK1181" s="2">
        <v>72.3</v>
      </c>
      <c r="KL1181" s="2">
        <v>73.06999999999999</v>
      </c>
      <c r="KM1181" s="2">
        <v>72.36</v>
      </c>
      <c r="KN1181" s="2">
        <v>72.38</v>
      </c>
      <c r="KO1181" s="2">
        <v>72.37</v>
      </c>
      <c r="KP1181" s="2">
        <v>72.31</v>
      </c>
      <c r="KU1181" s="2">
        <v>72.09</v>
      </c>
      <c r="KV1181" s="2">
        <v>72.75</v>
      </c>
      <c r="KW1181" s="2">
        <v>72.81</v>
      </c>
      <c r="KX1181" s="2">
        <v>72.73</v>
      </c>
      <c r="KY1181" s="2">
        <v>73.09</v>
      </c>
      <c r="KZ1181" s="2">
        <v>72.81</v>
      </c>
      <c r="LA1181" s="2">
        <v>73.38</v>
      </c>
      <c r="LB1181" s="2">
        <v>73.2</v>
      </c>
      <c r="LC1181" s="2">
        <v>73.11</v>
      </c>
      <c r="LD1181" s="2">
        <v>73.66</v>
      </c>
      <c r="LE1181" s="2">
        <v>74.61</v>
      </c>
      <c r="LF1181" s="2">
        <v>74.09</v>
      </c>
      <c r="LK1181" s="2">
        <v>74.56</v>
      </c>
      <c r="LL1181" s="2">
        <v>74.56999999999999</v>
      </c>
      <c r="LM1181" s="2">
        <v>76.81999999999999</v>
      </c>
      <c r="LN1181" s="2">
        <v>78.58</v>
      </c>
      <c r="LO1181" s="2">
        <v>75.64</v>
      </c>
      <c r="LP1181" s="2">
        <v>75.67</v>
      </c>
      <c r="LQ1181" s="2">
        <v>76.06</v>
      </c>
      <c r="LR1181" s="2">
        <v>76.31</v>
      </c>
      <c r="LS1181" s="2">
        <v>76.17</v>
      </c>
      <c r="LT1181" s="2">
        <v>76.58</v>
      </c>
      <c r="LU1181" s="2">
        <v>76.59</v>
      </c>
      <c r="LV1181" s="2">
        <v>76.59999999999999</v>
      </c>
      <c r="MA1181" s="2">
        <v>76.45999999999999</v>
      </c>
      <c r="MB1181" s="2">
        <v>75.92</v>
      </c>
      <c r="MC1181" s="2">
        <v>75.97</v>
      </c>
      <c r="MD1181" s="2">
        <v>75.83</v>
      </c>
      <c r="ME1181" s="2">
        <v>75.69</v>
      </c>
      <c r="MF1181" s="2">
        <v>76.44</v>
      </c>
      <c r="MG1181" s="2">
        <v>76.43000000000001</v>
      </c>
      <c r="MH1181" s="2">
        <v>76.69</v>
      </c>
      <c r="MI1181" s="2">
        <v>76.88</v>
      </c>
      <c r="MJ1181" s="2">
        <v>77.18000000000001</v>
      </c>
      <c r="MK1181" s="2">
        <v>77.45</v>
      </c>
      <c r="ML1181" s="2">
        <v>77.12</v>
      </c>
      <c r="MQ1181" s="2">
        <v>77.62</v>
      </c>
      <c r="MR1181" s="2">
        <v>78.3</v>
      </c>
      <c r="MS1181" s="2">
        <v>79.27</v>
      </c>
      <c r="MT1181" s="2">
        <v>79.26000000000001</v>
      </c>
      <c r="MU1181" s="2">
        <v>79.05</v>
      </c>
      <c r="MV1181" s="2">
        <v>80.59</v>
      </c>
      <c r="MW1181" s="2">
        <v>81.36</v>
      </c>
      <c r="MX1181" s="2">
        <v>82.7</v>
      </c>
      <c r="MY1181" s="2">
        <v>83.8</v>
      </c>
      <c r="MZ1181" s="2">
        <v>84.33</v>
      </c>
      <c r="NA1181" s="2">
        <v>84.45</v>
      </c>
      <c r="NB1181" s="2">
        <v>85.31999999999999</v>
      </c>
      <c r="NG1181" s="2">
        <v>85.01000000000001</v>
      </c>
      <c r="NH1181" s="2">
        <v>87.40000000000001</v>
      </c>
      <c r="NI1181" s="2">
        <v>88.09</v>
      </c>
      <c r="NJ1181" s="2">
        <v>87.87</v>
      </c>
      <c r="NK1181" s="2">
        <v>88.53</v>
      </c>
      <c r="NL1181" s="2">
        <v>89.31</v>
      </c>
      <c r="NM1181" s="2">
        <v>88.68000000000001</v>
      </c>
      <c r="NN1181" s="2">
        <v>88.22</v>
      </c>
      <c r="NO1181" s="2">
        <v>89.14</v>
      </c>
      <c r="NP1181" s="2">
        <v>89.17</v>
      </c>
      <c r="NQ1181" s="2">
        <v>90.59999999999999</v>
      </c>
      <c r="NR1181" s="2">
        <v>91.83</v>
      </c>
      <c r="NW1181" s="2">
        <v>92</v>
      </c>
      <c r="NX1181" s="2">
        <v>91.95999999999999</v>
      </c>
      <c r="NY1181" s="2">
        <v>91.86</v>
      </c>
      <c r="NZ1181" s="2">
        <v>92.29000000000001</v>
      </c>
      <c r="OA1181" s="2">
        <v>92.72</v>
      </c>
      <c r="OB1181" s="2">
        <v>92.64</v>
      </c>
      <c r="OC1181" s="2">
        <v>93.7</v>
      </c>
      <c r="OD1181" s="2">
        <v>92.95</v>
      </c>
      <c r="OE1181" s="2">
        <v>93.31</v>
      </c>
      <c r="OF1181" s="2">
        <v>93.20999999999999</v>
      </c>
      <c r="OG1181" s="2">
        <v>93.90000000000001</v>
      </c>
      <c r="OH1181" s="2">
        <v>94.45999999999999</v>
      </c>
      <c r="OM1181" s="2">
        <v>95.11</v>
      </c>
      <c r="ON1181" s="2">
        <v>94.7</v>
      </c>
      <c r="OO1181" s="2">
        <v>95.47</v>
      </c>
      <c r="OP1181" s="2">
        <v>97.04000000000001</v>
      </c>
      <c r="OQ1181" s="2">
        <v>97.54000000000001</v>
      </c>
      <c r="OR1181" s="2">
        <v>98.29000000000001</v>
      </c>
      <c r="OS1181" s="2">
        <v>98.95</v>
      </c>
      <c r="OT1181" s="2">
        <v>99.94</v>
      </c>
      <c r="OU1181" s="2">
        <v>100.38</v>
      </c>
      <c r="OV1181" s="2">
        <v>100.46</v>
      </c>
      <c r="OW1181" s="2">
        <v>100.55</v>
      </c>
      <c r="OX1181" s="2">
        <v>100.47</v>
      </c>
      <c r="PC1181" s="2">
        <v>100.43</v>
      </c>
      <c r="PD1181" s="2">
        <v>101.03</v>
      </c>
      <c r="PE1181" s="2">
        <v>101</v>
      </c>
      <c r="PF1181" s="2">
        <v>100.9</v>
      </c>
      <c r="PG1181" s="2">
        <v>100.49</v>
      </c>
      <c r="PH1181" s="2">
        <v>100.52</v>
      </c>
      <c r="PI1181" s="2">
        <v>100.44</v>
      </c>
    </row>
    <row r="1182">
      <c r="A1182" t="inlineStr">
        <is>
          <t>A130400220X</t>
        </is>
      </c>
      <c r="B1182" t="inlineStr">
        <is>
          <t>Index Numbers ;  Other food products n.e.c. ;  Australia ;</t>
        </is>
      </c>
      <c r="C1182" t="inlineStr">
        <is>
          <t>Month</t>
        </is>
      </c>
      <c r="D1182" t="inlineStr">
        <is>
          <t>Index Numbers</t>
        </is>
      </c>
      <c r="E1182" t="inlineStr">
        <is>
          <t>Seasonally Adjusted</t>
        </is>
      </c>
      <c r="F1182" t="inlineStr">
        <is>
          <t>640107.xlsx</t>
        </is>
      </c>
      <c r="G1182" t="inlineStr">
        <is>
          <t>2017-09</t>
        </is>
      </c>
      <c r="H1182" t="inlineStr">
        <is>
          <t>2026-07</t>
        </is>
      </c>
      <c r="JW1182" s="2">
        <v>79</v>
      </c>
      <c r="JX1182" s="2">
        <v>78.59</v>
      </c>
      <c r="JY1182" s="2">
        <v>78.45999999999999</v>
      </c>
      <c r="JZ1182" s="2">
        <v>78</v>
      </c>
      <c r="KE1182" s="2">
        <v>78.01000000000001</v>
      </c>
      <c r="KF1182" s="2">
        <v>77.66</v>
      </c>
      <c r="KG1182" s="2">
        <v>78.29000000000001</v>
      </c>
      <c r="KH1182" s="2">
        <v>77.04000000000001</v>
      </c>
      <c r="KI1182" s="2">
        <v>77.37</v>
      </c>
      <c r="KJ1182" s="2">
        <v>77.81</v>
      </c>
      <c r="KK1182" s="2">
        <v>77.65000000000001</v>
      </c>
      <c r="KL1182" s="2">
        <v>77.76000000000001</v>
      </c>
      <c r="KM1182" s="2">
        <v>77.67</v>
      </c>
      <c r="KN1182" s="2">
        <v>77.75</v>
      </c>
      <c r="KO1182" s="2">
        <v>77.48999999999999</v>
      </c>
      <c r="KP1182" s="2">
        <v>77.53</v>
      </c>
      <c r="KU1182" s="2">
        <v>77.64</v>
      </c>
      <c r="KV1182" s="2">
        <v>77.47</v>
      </c>
      <c r="KW1182" s="2">
        <v>77.31</v>
      </c>
      <c r="KX1182" s="2">
        <v>77.28</v>
      </c>
      <c r="KY1182" s="2">
        <v>77</v>
      </c>
      <c r="KZ1182" s="2">
        <v>77.26000000000001</v>
      </c>
      <c r="LA1182" s="2">
        <v>77.70999999999999</v>
      </c>
      <c r="LB1182" s="2">
        <v>77.66</v>
      </c>
      <c r="LC1182" s="2">
        <v>78.25</v>
      </c>
      <c r="LD1182" s="2">
        <v>78.31999999999999</v>
      </c>
      <c r="LE1182" s="2">
        <v>79.09999999999999</v>
      </c>
      <c r="LF1182" s="2">
        <v>79.25</v>
      </c>
      <c r="LK1182" s="2">
        <v>79.34</v>
      </c>
      <c r="LL1182" s="2">
        <v>79.3</v>
      </c>
      <c r="LM1182" s="2">
        <v>83.44</v>
      </c>
      <c r="LN1182" s="2">
        <v>87.02</v>
      </c>
      <c r="LO1182" s="2">
        <v>84.47</v>
      </c>
      <c r="LP1182" s="2">
        <v>82.91</v>
      </c>
      <c r="LQ1182" s="2">
        <v>82.42</v>
      </c>
      <c r="LR1182" s="2">
        <v>81.25</v>
      </c>
      <c r="LS1182" s="2">
        <v>81.81</v>
      </c>
      <c r="LT1182" s="2">
        <v>82.41</v>
      </c>
      <c r="LU1182" s="2">
        <v>81.97</v>
      </c>
      <c r="LV1182" s="2">
        <v>82.15000000000001</v>
      </c>
      <c r="MA1182" s="2">
        <v>81.83</v>
      </c>
      <c r="MB1182" s="2">
        <v>81.95999999999999</v>
      </c>
      <c r="MC1182" s="2">
        <v>81.47</v>
      </c>
      <c r="MD1182" s="2">
        <v>82.16</v>
      </c>
      <c r="ME1182" s="2">
        <v>81.8</v>
      </c>
      <c r="MF1182" s="2">
        <v>82.26000000000001</v>
      </c>
      <c r="MG1182" s="2">
        <v>83</v>
      </c>
      <c r="MH1182" s="2">
        <v>83.12</v>
      </c>
      <c r="MI1182" s="2">
        <v>83.39</v>
      </c>
      <c r="MJ1182" s="2">
        <v>83.14</v>
      </c>
      <c r="MK1182" s="2">
        <v>83.70999999999999</v>
      </c>
      <c r="ML1182" s="2">
        <v>84.15000000000001</v>
      </c>
      <c r="MQ1182" s="2">
        <v>84.91</v>
      </c>
      <c r="MR1182" s="2">
        <v>86.27</v>
      </c>
      <c r="MS1182" s="2">
        <v>86.09999999999999</v>
      </c>
      <c r="MT1182" s="2">
        <v>86.84999999999999</v>
      </c>
      <c r="MU1182" s="2">
        <v>88.19</v>
      </c>
      <c r="MV1182" s="2">
        <v>88.15000000000001</v>
      </c>
      <c r="MW1182" s="2">
        <v>89.73999999999999</v>
      </c>
      <c r="MX1182" s="2">
        <v>91.47</v>
      </c>
      <c r="MY1182" s="2">
        <v>91.93000000000001</v>
      </c>
      <c r="MZ1182" s="2">
        <v>93.72</v>
      </c>
      <c r="NA1182" s="2">
        <v>93.66</v>
      </c>
      <c r="NB1182" s="2">
        <v>94.3</v>
      </c>
      <c r="NG1182" s="2">
        <v>94.83</v>
      </c>
      <c r="NH1182" s="2">
        <v>96.19</v>
      </c>
      <c r="NI1182" s="2">
        <v>97.25</v>
      </c>
      <c r="NJ1182" s="2">
        <v>98.77</v>
      </c>
      <c r="NK1182" s="2">
        <v>98.59999999999999</v>
      </c>
      <c r="NL1182" s="2">
        <v>99.09</v>
      </c>
      <c r="NM1182" s="2">
        <v>98.36</v>
      </c>
      <c r="NN1182" s="2">
        <v>98.28</v>
      </c>
      <c r="NO1182" s="2">
        <v>98.54000000000001</v>
      </c>
      <c r="NP1182" s="2">
        <v>98.81</v>
      </c>
      <c r="NQ1182" s="2">
        <v>99.11</v>
      </c>
      <c r="NR1182" s="2">
        <v>99.23</v>
      </c>
      <c r="NW1182" s="2">
        <v>99.23</v>
      </c>
      <c r="NX1182" s="2">
        <v>99.44</v>
      </c>
      <c r="NY1182" s="2">
        <v>99.37</v>
      </c>
      <c r="NZ1182" s="2">
        <v>98.54000000000001</v>
      </c>
      <c r="OA1182" s="2">
        <v>98.89</v>
      </c>
      <c r="OB1182" s="2">
        <v>99.22</v>
      </c>
      <c r="OC1182" s="2">
        <v>99.43000000000001</v>
      </c>
      <c r="OD1182" s="2">
        <v>99.65000000000001</v>
      </c>
      <c r="OE1182" s="2">
        <v>99.89</v>
      </c>
      <c r="OF1182" s="2">
        <v>99.97</v>
      </c>
      <c r="OG1182" s="2">
        <v>99.64</v>
      </c>
      <c r="OH1182" s="2">
        <v>99.75</v>
      </c>
      <c r="OM1182" s="2">
        <v>99.75</v>
      </c>
      <c r="ON1182" s="2">
        <v>99.89</v>
      </c>
      <c r="OO1182" s="2">
        <v>100.22</v>
      </c>
      <c r="OP1182" s="2">
        <v>99.68000000000001</v>
      </c>
      <c r="OQ1182" s="2">
        <v>100.06</v>
      </c>
      <c r="OR1182" s="2">
        <v>100.27</v>
      </c>
      <c r="OS1182" s="2">
        <v>100.55</v>
      </c>
      <c r="OT1182" s="2">
        <v>100.4</v>
      </c>
      <c r="OU1182" s="2">
        <v>100.86</v>
      </c>
      <c r="OV1182" s="2">
        <v>100.7</v>
      </c>
      <c r="OW1182" s="2">
        <v>100.75</v>
      </c>
      <c r="OX1182" s="2">
        <v>100.95</v>
      </c>
      <c r="PC1182" s="2">
        <v>101.1</v>
      </c>
      <c r="PD1182" s="2">
        <v>100.21</v>
      </c>
      <c r="PE1182" s="2">
        <v>100.94</v>
      </c>
      <c r="PF1182" s="2">
        <v>101.3</v>
      </c>
      <c r="PG1182" s="2">
        <v>101.24</v>
      </c>
      <c r="PH1182" s="2">
        <v>101.04</v>
      </c>
      <c r="PI1182" s="2">
        <v>101.15</v>
      </c>
    </row>
    <row r="1183">
      <c r="A1183" t="inlineStr">
        <is>
          <t>A130400339J</t>
        </is>
      </c>
      <c r="B1183" t="inlineStr">
        <is>
          <t>Index Numbers ;  Coffee, tea and cocoa ;  Australia ;</t>
        </is>
      </c>
      <c r="C1183" t="inlineStr">
        <is>
          <t>Month</t>
        </is>
      </c>
      <c r="D1183" t="inlineStr">
        <is>
          <t>Index Numbers</t>
        </is>
      </c>
      <c r="E1183" t="inlineStr">
        <is>
          <t>Seasonally Adjusted</t>
        </is>
      </c>
      <c r="F1183" t="inlineStr">
        <is>
          <t>640107.xlsx</t>
        </is>
      </c>
      <c r="G1183" t="inlineStr">
        <is>
          <t>2017-09</t>
        </is>
      </c>
      <c r="H1183" t="inlineStr">
        <is>
          <t>2026-07</t>
        </is>
      </c>
      <c r="JW1183" s="2">
        <v>69.78</v>
      </c>
      <c r="JX1183" s="2">
        <v>70.29000000000001</v>
      </c>
      <c r="JY1183" s="2">
        <v>70.78</v>
      </c>
      <c r="JZ1183" s="2">
        <v>70.14</v>
      </c>
      <c r="KE1183" s="2">
        <v>71.05</v>
      </c>
      <c r="KF1183" s="2">
        <v>69.95999999999999</v>
      </c>
      <c r="KG1183" s="2">
        <v>70.01000000000001</v>
      </c>
      <c r="KH1183" s="2">
        <v>69.37</v>
      </c>
      <c r="KI1183" s="2">
        <v>68.54000000000001</v>
      </c>
      <c r="KJ1183" s="2">
        <v>69.95</v>
      </c>
      <c r="KK1183" s="2">
        <v>71.06</v>
      </c>
      <c r="KL1183" s="2">
        <v>70.45999999999999</v>
      </c>
      <c r="KM1183" s="2">
        <v>70.26000000000001</v>
      </c>
      <c r="KN1183" s="2">
        <v>70.26000000000001</v>
      </c>
      <c r="KO1183" s="2">
        <v>71.37</v>
      </c>
      <c r="KP1183" s="2">
        <v>71.68000000000001</v>
      </c>
      <c r="KU1183" s="2">
        <v>70.64</v>
      </c>
      <c r="KV1183" s="2">
        <v>71.31999999999999</v>
      </c>
      <c r="KW1183" s="2">
        <v>70.83</v>
      </c>
      <c r="KX1183" s="2">
        <v>70.47</v>
      </c>
      <c r="KY1183" s="2">
        <v>70.78</v>
      </c>
      <c r="KZ1183" s="2">
        <v>70.54000000000001</v>
      </c>
      <c r="LA1183" s="2">
        <v>70.73</v>
      </c>
      <c r="LB1183" s="2">
        <v>71.36</v>
      </c>
      <c r="LC1183" s="2">
        <v>70.98999999999999</v>
      </c>
      <c r="LD1183" s="2">
        <v>70.73</v>
      </c>
      <c r="LE1183" s="2">
        <v>71.19</v>
      </c>
      <c r="LF1183" s="2">
        <v>71.53</v>
      </c>
      <c r="LK1183" s="2">
        <v>71.95999999999999</v>
      </c>
      <c r="LL1183" s="2">
        <v>71.42</v>
      </c>
      <c r="LM1183" s="2">
        <v>74.13</v>
      </c>
      <c r="LN1183" s="2">
        <v>79.25</v>
      </c>
      <c r="LO1183" s="2">
        <v>74.72</v>
      </c>
      <c r="LP1183" s="2">
        <v>73.37</v>
      </c>
      <c r="LQ1183" s="2">
        <v>74.28</v>
      </c>
      <c r="LR1183" s="2">
        <v>73.3</v>
      </c>
      <c r="LS1183" s="2">
        <v>73.93000000000001</v>
      </c>
      <c r="LT1183" s="2">
        <v>74.16</v>
      </c>
      <c r="LU1183" s="2">
        <v>72.70999999999999</v>
      </c>
      <c r="LV1183" s="2">
        <v>72.53</v>
      </c>
      <c r="MA1183" s="2">
        <v>72.84</v>
      </c>
      <c r="MB1183" s="2">
        <v>71.97</v>
      </c>
      <c r="MC1183" s="2">
        <v>71.34</v>
      </c>
      <c r="MD1183" s="2">
        <v>71.89</v>
      </c>
      <c r="ME1183" s="2">
        <v>72.26000000000001</v>
      </c>
      <c r="MF1183" s="2">
        <v>72.93000000000001</v>
      </c>
      <c r="MG1183" s="2">
        <v>72.8</v>
      </c>
      <c r="MH1183" s="2">
        <v>72.73999999999999</v>
      </c>
      <c r="MI1183" s="2">
        <v>73.22</v>
      </c>
      <c r="MJ1183" s="2">
        <v>74.28</v>
      </c>
      <c r="MK1183" s="2">
        <v>73.43000000000001</v>
      </c>
      <c r="ML1183" s="2">
        <v>74.09</v>
      </c>
      <c r="MQ1183" s="2">
        <v>76.48999999999999</v>
      </c>
      <c r="MR1183" s="2">
        <v>77.43000000000001</v>
      </c>
      <c r="MS1183" s="2">
        <v>80.58</v>
      </c>
      <c r="MT1183" s="2">
        <v>79.69</v>
      </c>
      <c r="MU1183" s="2">
        <v>79.29000000000001</v>
      </c>
      <c r="MV1183" s="2">
        <v>80.02</v>
      </c>
      <c r="MW1183" s="2">
        <v>80.3</v>
      </c>
      <c r="MX1183" s="2">
        <v>81.44</v>
      </c>
      <c r="MY1183" s="2">
        <v>82.37</v>
      </c>
      <c r="MZ1183" s="2">
        <v>82.64</v>
      </c>
      <c r="NA1183" s="2">
        <v>83.59999999999999</v>
      </c>
      <c r="NB1183" s="2">
        <v>82.98999999999999</v>
      </c>
      <c r="NG1183" s="2">
        <v>84.27</v>
      </c>
      <c r="NH1183" s="2">
        <v>85.2</v>
      </c>
      <c r="NI1183" s="2">
        <v>84.18000000000001</v>
      </c>
      <c r="NJ1183" s="2">
        <v>84.69</v>
      </c>
      <c r="NK1183" s="2">
        <v>84.7</v>
      </c>
      <c r="NL1183" s="2">
        <v>84.98999999999999</v>
      </c>
      <c r="NM1183" s="2">
        <v>85.2</v>
      </c>
      <c r="NN1183" s="2">
        <v>85.37</v>
      </c>
      <c r="NO1183" s="2">
        <v>85.36</v>
      </c>
      <c r="NP1183" s="2">
        <v>85.52</v>
      </c>
      <c r="NQ1183" s="2">
        <v>85.51000000000001</v>
      </c>
      <c r="NR1183" s="2">
        <v>86.22</v>
      </c>
      <c r="NW1183" s="2">
        <v>85.5</v>
      </c>
      <c r="NX1183" s="2">
        <v>85.59</v>
      </c>
      <c r="NY1183" s="2">
        <v>87.05</v>
      </c>
      <c r="NZ1183" s="2">
        <v>85.59</v>
      </c>
      <c r="OA1183" s="2">
        <v>86.11</v>
      </c>
      <c r="OB1183" s="2">
        <v>85.48</v>
      </c>
      <c r="OC1183" s="2">
        <v>85.90000000000001</v>
      </c>
      <c r="OD1183" s="2">
        <v>86.41</v>
      </c>
      <c r="OE1183" s="2">
        <v>86.09</v>
      </c>
      <c r="OF1183" s="2">
        <v>85.92</v>
      </c>
      <c r="OG1183" s="2">
        <v>87.23999999999999</v>
      </c>
      <c r="OH1183" s="2">
        <v>87.84999999999999</v>
      </c>
      <c r="OM1183" s="2">
        <v>88.22</v>
      </c>
      <c r="ON1183" s="2">
        <v>89.78</v>
      </c>
      <c r="OO1183" s="2">
        <v>90.31999999999999</v>
      </c>
      <c r="OP1183" s="2">
        <v>91.91</v>
      </c>
      <c r="OQ1183" s="2">
        <v>93.42</v>
      </c>
      <c r="OR1183" s="2">
        <v>96.06999999999999</v>
      </c>
      <c r="OS1183" s="2">
        <v>98.25</v>
      </c>
      <c r="OT1183" s="2">
        <v>98.31999999999999</v>
      </c>
      <c r="OU1183" s="2">
        <v>99.53</v>
      </c>
      <c r="OV1183" s="2">
        <v>100.05</v>
      </c>
      <c r="OW1183" s="2">
        <v>100.42</v>
      </c>
      <c r="OX1183" s="2">
        <v>101.12</v>
      </c>
      <c r="PC1183" s="2">
        <v>100.29</v>
      </c>
      <c r="PD1183" s="2">
        <v>100.09</v>
      </c>
      <c r="PE1183" s="2">
        <v>100.11</v>
      </c>
      <c r="PF1183" s="2">
        <v>100.45</v>
      </c>
      <c r="PG1183" s="2">
        <v>100.35</v>
      </c>
      <c r="PH1183" s="2">
        <v>100.81</v>
      </c>
      <c r="PI1183" s="2">
        <v>99.91</v>
      </c>
    </row>
    <row r="1184">
      <c r="A1184" t="inlineStr">
        <is>
          <t>A130400647K</t>
        </is>
      </c>
      <c r="B1184" t="inlineStr">
        <is>
          <t>Index Numbers ;  Waters, soft drinks and juices ;  Australia ;</t>
        </is>
      </c>
      <c r="C1184" t="inlineStr">
        <is>
          <t>Month</t>
        </is>
      </c>
      <c r="D1184" t="inlineStr">
        <is>
          <t>Index Numbers</t>
        </is>
      </c>
      <c r="E1184" t="inlineStr">
        <is>
          <t>Seasonally Adjusted</t>
        </is>
      </c>
      <c r="F1184" t="inlineStr">
        <is>
          <t>640107.xlsx</t>
        </is>
      </c>
      <c r="G1184" t="inlineStr">
        <is>
          <t>2017-09</t>
        </is>
      </c>
      <c r="H1184" t="inlineStr">
        <is>
          <t>2026-07</t>
        </is>
      </c>
      <c r="JW1184" s="2">
        <v>74.68000000000001</v>
      </c>
      <c r="JX1184" s="2">
        <v>74.70999999999999</v>
      </c>
      <c r="JY1184" s="2">
        <v>74.47</v>
      </c>
      <c r="JZ1184" s="2">
        <v>76.98</v>
      </c>
      <c r="KE1184" s="2">
        <v>76.73</v>
      </c>
      <c r="KF1184" s="2">
        <v>76.33</v>
      </c>
      <c r="KG1184" s="2">
        <v>76.26000000000001</v>
      </c>
      <c r="KH1184" s="2">
        <v>76.56999999999999</v>
      </c>
      <c r="KI1184" s="2">
        <v>76.40000000000001</v>
      </c>
      <c r="KJ1184" s="2">
        <v>76.17</v>
      </c>
      <c r="KK1184" s="2">
        <v>76.01000000000001</v>
      </c>
      <c r="KL1184" s="2">
        <v>76.27</v>
      </c>
      <c r="KM1184" s="2">
        <v>76.25</v>
      </c>
      <c r="KN1184" s="2">
        <v>76.15000000000001</v>
      </c>
      <c r="KO1184" s="2">
        <v>77.28</v>
      </c>
      <c r="KP1184" s="2">
        <v>77.06</v>
      </c>
      <c r="KU1184" s="2">
        <v>77.26000000000001</v>
      </c>
      <c r="KV1184" s="2">
        <v>77.52</v>
      </c>
      <c r="KW1184" s="2">
        <v>77.66</v>
      </c>
      <c r="KX1184" s="2">
        <v>76.92</v>
      </c>
      <c r="KY1184" s="2">
        <v>77.58</v>
      </c>
      <c r="KZ1184" s="2">
        <v>77.56999999999999</v>
      </c>
      <c r="LA1184" s="2">
        <v>78.02</v>
      </c>
      <c r="LB1184" s="2">
        <v>77.61</v>
      </c>
      <c r="LC1184" s="2">
        <v>77.79000000000001</v>
      </c>
      <c r="LD1184" s="2">
        <v>77.67</v>
      </c>
      <c r="LE1184" s="2">
        <v>77.18000000000001</v>
      </c>
      <c r="LF1184" s="2">
        <v>76.97</v>
      </c>
      <c r="LK1184" s="2">
        <v>76.90000000000001</v>
      </c>
      <c r="LL1184" s="2">
        <v>76.8</v>
      </c>
      <c r="LM1184" s="2">
        <v>78.59999999999999</v>
      </c>
      <c r="LN1184" s="2">
        <v>79.27</v>
      </c>
      <c r="LO1184" s="2">
        <v>78.91</v>
      </c>
      <c r="LP1184" s="2">
        <v>78.88</v>
      </c>
      <c r="LQ1184" s="2">
        <v>79.23</v>
      </c>
      <c r="LR1184" s="2">
        <v>79.25</v>
      </c>
      <c r="LS1184" s="2">
        <v>79.3</v>
      </c>
      <c r="LT1184" s="2">
        <v>79.97</v>
      </c>
      <c r="LU1184" s="2">
        <v>80.63</v>
      </c>
      <c r="LV1184" s="2">
        <v>79.59999999999999</v>
      </c>
      <c r="MA1184" s="2">
        <v>79.66</v>
      </c>
      <c r="MB1184" s="2">
        <v>80.14</v>
      </c>
      <c r="MC1184" s="2">
        <v>79.86</v>
      </c>
      <c r="MD1184" s="2">
        <v>79.67</v>
      </c>
      <c r="ME1184" s="2">
        <v>80.19</v>
      </c>
      <c r="MF1184" s="2">
        <v>80.55</v>
      </c>
      <c r="MG1184" s="2">
        <v>80.66</v>
      </c>
      <c r="MH1184" s="2">
        <v>81.05</v>
      </c>
      <c r="MI1184" s="2">
        <v>81.11</v>
      </c>
      <c r="MJ1184" s="2">
        <v>81.09</v>
      </c>
      <c r="MK1184" s="2">
        <v>81.18000000000001</v>
      </c>
      <c r="ML1184" s="2">
        <v>82.02</v>
      </c>
      <c r="MQ1184" s="2">
        <v>82.37</v>
      </c>
      <c r="MR1184" s="2">
        <v>86.34</v>
      </c>
      <c r="MS1184" s="2">
        <v>85.34999999999999</v>
      </c>
      <c r="MT1184" s="2">
        <v>85.58</v>
      </c>
      <c r="MU1184" s="2">
        <v>85.63</v>
      </c>
      <c r="MV1184" s="2">
        <v>86.18000000000001</v>
      </c>
      <c r="MW1184" s="2">
        <v>86.88</v>
      </c>
      <c r="MX1184" s="2">
        <v>88.31</v>
      </c>
      <c r="MY1184" s="2">
        <v>89.09999999999999</v>
      </c>
      <c r="MZ1184" s="2">
        <v>90.23</v>
      </c>
      <c r="NA1184" s="2">
        <v>89.7</v>
      </c>
      <c r="NB1184" s="2">
        <v>89.2</v>
      </c>
      <c r="NG1184" s="2">
        <v>90.59999999999999</v>
      </c>
      <c r="NH1184" s="2">
        <v>91.19</v>
      </c>
      <c r="NI1184" s="2">
        <v>92.17</v>
      </c>
      <c r="NJ1184" s="2">
        <v>94.87</v>
      </c>
      <c r="NK1184" s="2">
        <v>94.02</v>
      </c>
      <c r="NL1184" s="2">
        <v>91.81999999999999</v>
      </c>
      <c r="NM1184" s="2">
        <v>92.93000000000001</v>
      </c>
      <c r="NN1184" s="2">
        <v>92.84</v>
      </c>
      <c r="NO1184" s="2">
        <v>93.81</v>
      </c>
      <c r="NP1184" s="2">
        <v>93.47</v>
      </c>
      <c r="NQ1184" s="2">
        <v>95.33</v>
      </c>
      <c r="NR1184" s="2">
        <v>96.3</v>
      </c>
      <c r="NW1184" s="2">
        <v>97.15000000000001</v>
      </c>
      <c r="NX1184" s="2">
        <v>97.01000000000001</v>
      </c>
      <c r="NY1184" s="2">
        <v>97.64</v>
      </c>
      <c r="NZ1184" s="2">
        <v>98.15000000000001</v>
      </c>
      <c r="OA1184" s="2">
        <v>98.02</v>
      </c>
      <c r="OB1184" s="2">
        <v>98.48999999999999</v>
      </c>
      <c r="OC1184" s="2">
        <v>98.45</v>
      </c>
      <c r="OD1184" s="2">
        <v>98.69</v>
      </c>
      <c r="OE1184" s="2">
        <v>98.44</v>
      </c>
      <c r="OF1184" s="2">
        <v>99.09999999999999</v>
      </c>
      <c r="OG1184" s="2">
        <v>99.19</v>
      </c>
      <c r="OH1184" s="2">
        <v>99.66</v>
      </c>
      <c r="OM1184" s="2">
        <v>99.83</v>
      </c>
      <c r="ON1184" s="2">
        <v>101.08</v>
      </c>
      <c r="OO1184" s="2">
        <v>101.41</v>
      </c>
      <c r="OP1184" s="2">
        <v>101.08</v>
      </c>
      <c r="OQ1184" s="2">
        <v>102.08</v>
      </c>
      <c r="OR1184" s="2">
        <v>101.8</v>
      </c>
      <c r="OS1184" s="2">
        <v>101.58</v>
      </c>
      <c r="OT1184" s="2">
        <v>101.2</v>
      </c>
      <c r="OU1184" s="2">
        <v>101.11</v>
      </c>
      <c r="OV1184" s="2">
        <v>100.88</v>
      </c>
      <c r="OW1184" s="2">
        <v>100.98</v>
      </c>
      <c r="OX1184" s="2">
        <v>100.62</v>
      </c>
      <c r="PC1184" s="2">
        <v>100.57</v>
      </c>
      <c r="PD1184" s="2">
        <v>100.54</v>
      </c>
      <c r="PE1184" s="2">
        <v>101.19</v>
      </c>
      <c r="PF1184" s="2">
        <v>101.19</v>
      </c>
      <c r="PG1184" s="2">
        <v>101.86</v>
      </c>
      <c r="PH1184" s="2">
        <v>102.9</v>
      </c>
      <c r="PI1184" s="2">
        <v>103.52</v>
      </c>
    </row>
    <row r="1185">
      <c r="A1185" t="inlineStr">
        <is>
          <t>A130400717F</t>
        </is>
      </c>
      <c r="B1185" t="inlineStr">
        <is>
          <t>Index Numbers ;  Restaurant meals ;  Australia ;</t>
        </is>
      </c>
      <c r="C1185" t="inlineStr">
        <is>
          <t>Month</t>
        </is>
      </c>
      <c r="D1185" t="inlineStr">
        <is>
          <t>Index Numbers</t>
        </is>
      </c>
      <c r="E1185" t="inlineStr">
        <is>
          <t>Seasonally Adjusted</t>
        </is>
      </c>
      <c r="F1185" t="inlineStr">
        <is>
          <t>640107.xlsx</t>
        </is>
      </c>
      <c r="G1185" t="inlineStr">
        <is>
          <t>2024-04</t>
        </is>
      </c>
      <c r="H1185" t="inlineStr">
        <is>
          <t>2026-07</t>
        </is>
      </c>
      <c r="NZ1185" s="2">
        <v>95.68000000000001</v>
      </c>
      <c r="OA1185" s="2">
        <v>96.04000000000001</v>
      </c>
      <c r="OB1185" s="2">
        <v>96.20999999999999</v>
      </c>
      <c r="OC1185" s="2">
        <v>96.64</v>
      </c>
      <c r="OD1185" s="2">
        <v>96.76000000000001</v>
      </c>
      <c r="OE1185" s="2">
        <v>96.84</v>
      </c>
      <c r="OF1185" s="2">
        <v>97.11</v>
      </c>
      <c r="OG1185" s="2">
        <v>97.47</v>
      </c>
      <c r="OH1185" s="2">
        <v>97.73999999999999</v>
      </c>
      <c r="OM1185" s="2">
        <v>97.8</v>
      </c>
      <c r="ON1185" s="2">
        <v>98.02</v>
      </c>
      <c r="OO1185" s="2">
        <v>98.2</v>
      </c>
      <c r="OP1185" s="2">
        <v>98.38</v>
      </c>
      <c r="OQ1185" s="2">
        <v>98.41</v>
      </c>
      <c r="OR1185" s="2">
        <v>98.81</v>
      </c>
      <c r="OS1185" s="2">
        <v>98.98</v>
      </c>
      <c r="OT1185" s="2">
        <v>99.61</v>
      </c>
      <c r="OU1185" s="2">
        <v>100</v>
      </c>
      <c r="OV1185" s="2">
        <v>100.28</v>
      </c>
      <c r="OW1185" s="2">
        <v>100.52</v>
      </c>
      <c r="OX1185" s="2">
        <v>101.17</v>
      </c>
      <c r="PC1185" s="2">
        <v>101.49</v>
      </c>
      <c r="PD1185" s="2">
        <v>101.54</v>
      </c>
      <c r="PE1185" s="2">
        <v>101.71</v>
      </c>
      <c r="PF1185" s="2">
        <v>101.86</v>
      </c>
      <c r="PG1185" s="2">
        <v>102.23</v>
      </c>
      <c r="PH1185" s="2">
        <v>102.47</v>
      </c>
      <c r="PI1185" s="2">
        <v>103.65</v>
      </c>
    </row>
    <row r="1186">
      <c r="A1186" t="inlineStr">
        <is>
          <t>A130399996A</t>
        </is>
      </c>
      <c r="B1186" t="inlineStr">
        <is>
          <t>Index Numbers ;  Take away and fast foods ;  Australia ;</t>
        </is>
      </c>
      <c r="C1186" t="inlineStr">
        <is>
          <t>Month</t>
        </is>
      </c>
      <c r="D1186" t="inlineStr">
        <is>
          <t>Index Numbers</t>
        </is>
      </c>
      <c r="E1186" t="inlineStr">
        <is>
          <t>Seasonally Adjusted</t>
        </is>
      </c>
      <c r="F1186" t="inlineStr">
        <is>
          <t>640107.xlsx</t>
        </is>
      </c>
      <c r="G1186" t="inlineStr">
        <is>
          <t>2024-04</t>
        </is>
      </c>
      <c r="H1186" t="inlineStr">
        <is>
          <t>2026-07</t>
        </is>
      </c>
      <c r="NZ1186" s="2">
        <v>94.89</v>
      </c>
      <c r="OA1186" s="2">
        <v>95.17</v>
      </c>
      <c r="OB1186" s="2">
        <v>94.58</v>
      </c>
      <c r="OC1186" s="2">
        <v>95.92</v>
      </c>
      <c r="OD1186" s="2">
        <v>96.05</v>
      </c>
      <c r="OE1186" s="2">
        <v>96.18000000000001</v>
      </c>
      <c r="OF1186" s="2">
        <v>96.3</v>
      </c>
      <c r="OG1186" s="2">
        <v>96.53</v>
      </c>
      <c r="OH1186" s="2">
        <v>96.73999999999999</v>
      </c>
      <c r="OM1186" s="2">
        <v>96.88</v>
      </c>
      <c r="ON1186" s="2">
        <v>97.17</v>
      </c>
      <c r="OO1186" s="2">
        <v>97.42</v>
      </c>
      <c r="OP1186" s="2">
        <v>97.84</v>
      </c>
      <c r="OQ1186" s="2">
        <v>98.26000000000001</v>
      </c>
      <c r="OR1186" s="2">
        <v>98.59999999999999</v>
      </c>
      <c r="OS1186" s="2">
        <v>99.2</v>
      </c>
      <c r="OT1186" s="2">
        <v>99.76000000000001</v>
      </c>
      <c r="OU1186" s="2">
        <v>100</v>
      </c>
      <c r="OV1186" s="2">
        <v>100.12</v>
      </c>
      <c r="OW1186" s="2">
        <v>100.27</v>
      </c>
      <c r="OX1186" s="2">
        <v>100.08</v>
      </c>
      <c r="PC1186" s="2">
        <v>100.84</v>
      </c>
      <c r="PD1186" s="2">
        <v>100.95</v>
      </c>
      <c r="PE1186" s="2">
        <v>101.5</v>
      </c>
      <c r="PF1186" s="2">
        <v>101.73</v>
      </c>
      <c r="PG1186" s="2">
        <v>102.28</v>
      </c>
      <c r="PH1186" s="2">
        <v>102.88</v>
      </c>
      <c r="PI1186" s="2">
        <v>103.41</v>
      </c>
    </row>
    <row r="1187">
      <c r="A1187" t="inlineStr">
        <is>
          <t>A130400423X</t>
        </is>
      </c>
      <c r="B1187" t="inlineStr">
        <is>
          <t>Index Numbers ;  Alcohol and tobacco ;  Australia ;</t>
        </is>
      </c>
      <c r="C1187" t="inlineStr">
        <is>
          <t>Month</t>
        </is>
      </c>
      <c r="D1187" t="inlineStr">
        <is>
          <t>Index Numbers</t>
        </is>
      </c>
      <c r="E1187" t="inlineStr">
        <is>
          <t>Seasonally Adjusted</t>
        </is>
      </c>
      <c r="F1187" t="inlineStr">
        <is>
          <t>640107.xlsx</t>
        </is>
      </c>
      <c r="G1187" t="inlineStr">
        <is>
          <t>2024-04</t>
        </is>
      </c>
      <c r="H1187" t="inlineStr">
        <is>
          <t>2026-07</t>
        </is>
      </c>
      <c r="NZ1187" s="2">
        <v>100</v>
      </c>
      <c r="OA1187" s="2">
        <v>100.4</v>
      </c>
      <c r="OB1187" s="2">
        <v>100.99</v>
      </c>
      <c r="OC1187" s="2">
        <v>101.18</v>
      </c>
      <c r="OD1187" s="2">
        <v>101.7</v>
      </c>
      <c r="OE1187" s="2">
        <v>102.66</v>
      </c>
      <c r="OF1187" s="2">
        <v>103.11</v>
      </c>
      <c r="OG1187" s="2">
        <v>103.91</v>
      </c>
      <c r="OH1187" s="2">
        <v>103.91</v>
      </c>
      <c r="OM1187" s="2">
        <v>104.42</v>
      </c>
      <c r="ON1187" s="2">
        <v>105.26</v>
      </c>
      <c r="OO1187" s="2">
        <v>105.51</v>
      </c>
      <c r="OP1187" s="2">
        <v>105.58</v>
      </c>
      <c r="OQ1187" s="2">
        <v>106.18</v>
      </c>
      <c r="OR1187" s="2">
        <v>106.6</v>
      </c>
      <c r="OS1187" s="2">
        <v>107.53</v>
      </c>
      <c r="OT1187" s="2">
        <v>107.63</v>
      </c>
      <c r="OU1187" s="2">
        <v>108.16</v>
      </c>
      <c r="OV1187" s="2">
        <v>107.66</v>
      </c>
      <c r="OW1187" s="2">
        <v>108.28</v>
      </c>
      <c r="OX1187" s="2">
        <v>108.92</v>
      </c>
      <c r="PC1187" s="2">
        <v>109.61</v>
      </c>
      <c r="PD1187" s="2">
        <v>109.81</v>
      </c>
      <c r="PE1187" s="2">
        <v>110.2</v>
      </c>
      <c r="PF1187" s="2">
        <v>110.16</v>
      </c>
      <c r="PG1187" s="2">
        <v>111.19</v>
      </c>
      <c r="PH1187" s="2">
        <v>111.35</v>
      </c>
      <c r="PI1187" s="2">
        <v>112.36</v>
      </c>
    </row>
    <row r="1188">
      <c r="A1188" t="inlineStr">
        <is>
          <t>A130399933T</t>
        </is>
      </c>
      <c r="B1188" t="inlineStr">
        <is>
          <t>Index Numbers ;  Spirits ;  Australia ;</t>
        </is>
      </c>
      <c r="C1188" t="inlineStr">
        <is>
          <t>Month</t>
        </is>
      </c>
      <c r="D1188" t="inlineStr">
        <is>
          <t>Index Numbers</t>
        </is>
      </c>
      <c r="E1188" t="inlineStr">
        <is>
          <t>Seasonally Adjusted</t>
        </is>
      </c>
      <c r="F1188" t="inlineStr">
        <is>
          <t>640107.xlsx</t>
        </is>
      </c>
      <c r="G1188" t="inlineStr">
        <is>
          <t>2017-09</t>
        </is>
      </c>
      <c r="H1188" t="inlineStr">
        <is>
          <t>2026-07</t>
        </is>
      </c>
      <c r="JW1188" s="2">
        <v>76.64</v>
      </c>
      <c r="JX1188" s="2">
        <v>76.73</v>
      </c>
      <c r="JY1188" s="2">
        <v>76.94</v>
      </c>
      <c r="JZ1188" s="2">
        <v>76.17</v>
      </c>
      <c r="KE1188" s="2">
        <v>77.04000000000001</v>
      </c>
      <c r="KF1188" s="2">
        <v>77.22</v>
      </c>
      <c r="KG1188" s="2">
        <v>77.28</v>
      </c>
      <c r="KH1188" s="2">
        <v>77.73999999999999</v>
      </c>
      <c r="KI1188" s="2">
        <v>77.56999999999999</v>
      </c>
      <c r="KJ1188" s="2">
        <v>78.23999999999999</v>
      </c>
      <c r="KK1188" s="2">
        <v>78.18000000000001</v>
      </c>
      <c r="KL1188" s="2">
        <v>77.95999999999999</v>
      </c>
      <c r="KM1188" s="2">
        <v>78.27</v>
      </c>
      <c r="KN1188" s="2">
        <v>78.91</v>
      </c>
      <c r="KO1188" s="2">
        <v>77.87</v>
      </c>
      <c r="KP1188" s="2">
        <v>78.84</v>
      </c>
      <c r="KU1188" s="2">
        <v>79.09999999999999</v>
      </c>
      <c r="KV1188" s="2">
        <v>78.98</v>
      </c>
      <c r="KW1188" s="2">
        <v>78.51000000000001</v>
      </c>
      <c r="KX1188" s="2">
        <v>79.02</v>
      </c>
      <c r="KY1188" s="2">
        <v>79.23</v>
      </c>
      <c r="KZ1188" s="2">
        <v>78.98999999999999</v>
      </c>
      <c r="LA1188" s="2">
        <v>79.61</v>
      </c>
      <c r="LB1188" s="2">
        <v>80</v>
      </c>
      <c r="LC1188" s="2">
        <v>79.69</v>
      </c>
      <c r="LD1188" s="2">
        <v>79.68000000000001</v>
      </c>
      <c r="LE1188" s="2">
        <v>79.81999999999999</v>
      </c>
      <c r="LF1188" s="2">
        <v>80.09</v>
      </c>
      <c r="LK1188" s="2">
        <v>81.06999999999999</v>
      </c>
      <c r="LL1188" s="2">
        <v>80.77</v>
      </c>
      <c r="LM1188" s="2">
        <v>81.09</v>
      </c>
      <c r="LN1188" s="2">
        <v>80.98</v>
      </c>
      <c r="LO1188" s="2">
        <v>81.65000000000001</v>
      </c>
      <c r="LP1188" s="2">
        <v>80.33</v>
      </c>
      <c r="LQ1188" s="2">
        <v>81.26000000000001</v>
      </c>
      <c r="LR1188" s="2">
        <v>80.56</v>
      </c>
      <c r="LS1188" s="2">
        <v>82.63</v>
      </c>
      <c r="LT1188" s="2">
        <v>81.20999999999999</v>
      </c>
      <c r="LU1188" s="2">
        <v>81.78</v>
      </c>
      <c r="LV1188" s="2">
        <v>81.56999999999999</v>
      </c>
      <c r="MA1188" s="2">
        <v>81.66</v>
      </c>
      <c r="MB1188" s="2">
        <v>81.91</v>
      </c>
      <c r="MC1188" s="2">
        <v>82.67</v>
      </c>
      <c r="MD1188" s="2">
        <v>82.37</v>
      </c>
      <c r="ME1188" s="2">
        <v>82.5</v>
      </c>
      <c r="MF1188" s="2">
        <v>82.72</v>
      </c>
      <c r="MG1188" s="2">
        <v>82.23999999999999</v>
      </c>
      <c r="MH1188" s="2">
        <v>82.83</v>
      </c>
      <c r="MI1188" s="2">
        <v>82.59999999999999</v>
      </c>
      <c r="MJ1188" s="2">
        <v>83.38</v>
      </c>
      <c r="MK1188" s="2">
        <v>82.98</v>
      </c>
      <c r="ML1188" s="2">
        <v>83.78</v>
      </c>
      <c r="MQ1188" s="2">
        <v>83.33</v>
      </c>
      <c r="MR1188" s="2">
        <v>84.11</v>
      </c>
      <c r="MS1188" s="2">
        <v>83.81</v>
      </c>
      <c r="MT1188" s="2">
        <v>84.34</v>
      </c>
      <c r="MU1188" s="2">
        <v>84.44</v>
      </c>
      <c r="MV1188" s="2">
        <v>84.95</v>
      </c>
      <c r="MW1188" s="2">
        <v>85.12</v>
      </c>
      <c r="MX1188" s="2">
        <v>88.44</v>
      </c>
      <c r="MY1188" s="2">
        <v>89.11</v>
      </c>
      <c r="MZ1188" s="2">
        <v>89.06</v>
      </c>
      <c r="NA1188" s="2">
        <v>89.78</v>
      </c>
      <c r="NB1188" s="2">
        <v>89.94</v>
      </c>
      <c r="NG1188" s="2">
        <v>90.23</v>
      </c>
      <c r="NH1188" s="2">
        <v>92.69</v>
      </c>
      <c r="NI1188" s="2">
        <v>93.04000000000001</v>
      </c>
      <c r="NJ1188" s="2">
        <v>93.70999999999999</v>
      </c>
      <c r="NK1188" s="2">
        <v>93.40000000000001</v>
      </c>
      <c r="NL1188" s="2">
        <v>93.56999999999999</v>
      </c>
      <c r="NM1188" s="2">
        <v>93.95999999999999</v>
      </c>
      <c r="NN1188" s="2">
        <v>94.78</v>
      </c>
      <c r="NO1188" s="2">
        <v>95.78</v>
      </c>
      <c r="NP1188" s="2">
        <v>95.19</v>
      </c>
      <c r="NQ1188" s="2">
        <v>93.89</v>
      </c>
      <c r="NR1188" s="2">
        <v>94.94</v>
      </c>
      <c r="NW1188" s="2">
        <v>94.73</v>
      </c>
      <c r="NX1188" s="2">
        <v>95.13</v>
      </c>
      <c r="NY1188" s="2">
        <v>95.73999999999999</v>
      </c>
      <c r="NZ1188" s="2">
        <v>95.29000000000001</v>
      </c>
      <c r="OA1188" s="2">
        <v>96.81</v>
      </c>
      <c r="OB1188" s="2">
        <v>95.65000000000001</v>
      </c>
      <c r="OC1188" s="2">
        <v>96.23999999999999</v>
      </c>
      <c r="OD1188" s="2">
        <v>96.17</v>
      </c>
      <c r="OE1188" s="2">
        <v>96.95</v>
      </c>
      <c r="OF1188" s="2">
        <v>97.27</v>
      </c>
      <c r="OG1188" s="2">
        <v>98.02</v>
      </c>
      <c r="OH1188" s="2">
        <v>98.13</v>
      </c>
      <c r="OM1188" s="2">
        <v>98.25</v>
      </c>
      <c r="ON1188" s="2">
        <v>99.78</v>
      </c>
      <c r="OO1188" s="2">
        <v>98.94</v>
      </c>
      <c r="OP1188" s="2">
        <v>99</v>
      </c>
      <c r="OQ1188" s="2">
        <v>99.01000000000001</v>
      </c>
      <c r="OR1188" s="2">
        <v>99.86</v>
      </c>
      <c r="OS1188" s="2">
        <v>99.78</v>
      </c>
      <c r="OT1188" s="2">
        <v>99.93000000000001</v>
      </c>
      <c r="OU1188" s="2">
        <v>99.88</v>
      </c>
      <c r="OV1188" s="2">
        <v>99.68000000000001</v>
      </c>
      <c r="OW1188" s="2">
        <v>99.76000000000001</v>
      </c>
      <c r="OX1188" s="2">
        <v>100.02</v>
      </c>
      <c r="PC1188" s="2">
        <v>101.5</v>
      </c>
      <c r="PD1188" s="2">
        <v>100.7</v>
      </c>
      <c r="PE1188" s="2">
        <v>101.05</v>
      </c>
      <c r="PF1188" s="2">
        <v>101.09</v>
      </c>
      <c r="PG1188" s="2">
        <v>101.92</v>
      </c>
      <c r="PH1188" s="2">
        <v>101.95</v>
      </c>
      <c r="PI1188" s="2">
        <v>102.23</v>
      </c>
    </row>
    <row r="1189">
      <c r="A1189" t="inlineStr">
        <is>
          <t>A130400430W</t>
        </is>
      </c>
      <c r="B1189" t="inlineStr">
        <is>
          <t>Index Numbers ;  Wine ;  Australia ;</t>
        </is>
      </c>
      <c r="C1189" t="inlineStr">
        <is>
          <t>Month</t>
        </is>
      </c>
      <c r="D1189" t="inlineStr">
        <is>
          <t>Index Numbers</t>
        </is>
      </c>
      <c r="E1189" t="inlineStr">
        <is>
          <t>Seasonally Adjusted</t>
        </is>
      </c>
      <c r="F1189" t="inlineStr">
        <is>
          <t>640107.xlsx</t>
        </is>
      </c>
      <c r="G1189" t="inlineStr">
        <is>
          <t>2024-04</t>
        </is>
      </c>
      <c r="H1189" t="inlineStr">
        <is>
          <t>2026-07</t>
        </is>
      </c>
      <c r="NZ1189" s="2">
        <v>97.81999999999999</v>
      </c>
      <c r="OA1189" s="2">
        <v>97.14</v>
      </c>
      <c r="OB1189" s="2">
        <v>98.3</v>
      </c>
      <c r="OC1189" s="2">
        <v>97.79000000000001</v>
      </c>
      <c r="OD1189" s="2">
        <v>98.33</v>
      </c>
      <c r="OE1189" s="2">
        <v>99.19</v>
      </c>
      <c r="OF1189" s="2">
        <v>99.03</v>
      </c>
      <c r="OG1189" s="2">
        <v>100.41</v>
      </c>
      <c r="OH1189" s="2">
        <v>98.95999999999999</v>
      </c>
      <c r="OM1189" s="2">
        <v>99.20999999999999</v>
      </c>
      <c r="ON1189" s="2">
        <v>98.69</v>
      </c>
      <c r="OO1189" s="2">
        <v>99.5</v>
      </c>
      <c r="OP1189" s="2">
        <v>98.90000000000001</v>
      </c>
      <c r="OQ1189" s="2">
        <v>99.67</v>
      </c>
      <c r="OR1189" s="2">
        <v>99.5</v>
      </c>
      <c r="OS1189" s="2">
        <v>100.93</v>
      </c>
      <c r="OT1189" s="2">
        <v>100.13</v>
      </c>
      <c r="OU1189" s="2">
        <v>99.44</v>
      </c>
      <c r="OV1189" s="2">
        <v>98.39</v>
      </c>
      <c r="OW1189" s="2">
        <v>99.2</v>
      </c>
      <c r="OX1189" s="2">
        <v>99.34</v>
      </c>
      <c r="PC1189" s="2">
        <v>100.21</v>
      </c>
      <c r="PD1189" s="2">
        <v>100.28</v>
      </c>
      <c r="PE1189" s="2">
        <v>100.24</v>
      </c>
      <c r="PF1189" s="2">
        <v>99.25</v>
      </c>
      <c r="PG1189" s="2">
        <v>101.07</v>
      </c>
      <c r="PH1189" s="2">
        <v>99.76000000000001</v>
      </c>
      <c r="PI1189" s="2">
        <v>100.82</v>
      </c>
    </row>
    <row r="1190">
      <c r="A1190" t="inlineStr">
        <is>
          <t>A130400024R</t>
        </is>
      </c>
      <c r="B1190" t="inlineStr">
        <is>
          <t>Index Numbers ;  Beer ;  Australia ;</t>
        </is>
      </c>
      <c r="C1190" t="inlineStr">
        <is>
          <t>Month</t>
        </is>
      </c>
      <c r="D1190" t="inlineStr">
        <is>
          <t>Index Numbers</t>
        </is>
      </c>
      <c r="E1190" t="inlineStr">
        <is>
          <t>Seasonally Adjusted</t>
        </is>
      </c>
      <c r="F1190" t="inlineStr">
        <is>
          <t>640107.xlsx</t>
        </is>
      </c>
      <c r="G1190" t="inlineStr">
        <is>
          <t>2017-09</t>
        </is>
      </c>
      <c r="H1190" t="inlineStr">
        <is>
          <t>2026-07</t>
        </is>
      </c>
      <c r="JW1190" s="2">
        <v>76.38</v>
      </c>
      <c r="JX1190" s="2">
        <v>76.34</v>
      </c>
      <c r="JY1190" s="2">
        <v>76.95999999999999</v>
      </c>
      <c r="JZ1190" s="2">
        <v>77.22</v>
      </c>
      <c r="KE1190" s="2">
        <v>78.06999999999999</v>
      </c>
      <c r="KF1190" s="2">
        <v>77.98999999999999</v>
      </c>
      <c r="KG1190" s="2">
        <v>78.06999999999999</v>
      </c>
      <c r="KH1190" s="2">
        <v>78.59</v>
      </c>
      <c r="KI1190" s="2">
        <v>78.52</v>
      </c>
      <c r="KJ1190" s="2">
        <v>78.58</v>
      </c>
      <c r="KK1190" s="2">
        <v>79.06999999999999</v>
      </c>
      <c r="KL1190" s="2">
        <v>79.94</v>
      </c>
      <c r="KM1190" s="2">
        <v>78.92</v>
      </c>
      <c r="KN1190" s="2">
        <v>79.86</v>
      </c>
      <c r="KO1190" s="2">
        <v>79.55</v>
      </c>
      <c r="KP1190" s="2">
        <v>79.16</v>
      </c>
      <c r="KU1190" s="2">
        <v>79.87</v>
      </c>
      <c r="KV1190" s="2">
        <v>79.94</v>
      </c>
      <c r="KW1190" s="2">
        <v>80.31999999999999</v>
      </c>
      <c r="KX1190" s="2">
        <v>80.26000000000001</v>
      </c>
      <c r="KY1190" s="2">
        <v>80.48</v>
      </c>
      <c r="KZ1190" s="2">
        <v>80.83</v>
      </c>
      <c r="LA1190" s="2">
        <v>81.05</v>
      </c>
      <c r="LB1190" s="2">
        <v>80.87</v>
      </c>
      <c r="LC1190" s="2">
        <v>81.19</v>
      </c>
      <c r="LD1190" s="2">
        <v>81.06</v>
      </c>
      <c r="LE1190" s="2">
        <v>81.19</v>
      </c>
      <c r="LF1190" s="2">
        <v>81.3</v>
      </c>
      <c r="LK1190" s="2">
        <v>81.65000000000001</v>
      </c>
      <c r="LL1190" s="2">
        <v>81.75</v>
      </c>
      <c r="LM1190" s="2">
        <v>82.01000000000001</v>
      </c>
      <c r="LN1190" s="2">
        <v>82.8</v>
      </c>
      <c r="LO1190" s="2">
        <v>82.18000000000001</v>
      </c>
      <c r="LP1190" s="2">
        <v>82.63</v>
      </c>
      <c r="LQ1190" s="2">
        <v>82.27</v>
      </c>
      <c r="LR1190" s="2">
        <v>82.44</v>
      </c>
      <c r="LS1190" s="2">
        <v>82.28</v>
      </c>
      <c r="LT1190" s="2">
        <v>82.56999999999999</v>
      </c>
      <c r="LU1190" s="2">
        <v>82.44</v>
      </c>
      <c r="LV1190" s="2">
        <v>82.84</v>
      </c>
      <c r="MA1190" s="2">
        <v>82.63</v>
      </c>
      <c r="MB1190" s="2">
        <v>82.98999999999999</v>
      </c>
      <c r="MC1190" s="2">
        <v>83.44</v>
      </c>
      <c r="MD1190" s="2">
        <v>83.48</v>
      </c>
      <c r="ME1190" s="2">
        <v>83.86</v>
      </c>
      <c r="MF1190" s="2">
        <v>84.29000000000001</v>
      </c>
      <c r="MG1190" s="2">
        <v>83.72</v>
      </c>
      <c r="MH1190" s="2">
        <v>83.05</v>
      </c>
      <c r="MI1190" s="2">
        <v>83.41</v>
      </c>
      <c r="MJ1190" s="2">
        <v>83.68000000000001</v>
      </c>
      <c r="MK1190" s="2">
        <v>84.13</v>
      </c>
      <c r="ML1190" s="2">
        <v>84.04000000000001</v>
      </c>
      <c r="MQ1190" s="2">
        <v>84.54000000000001</v>
      </c>
      <c r="MR1190" s="2">
        <v>84.31999999999999</v>
      </c>
      <c r="MS1190" s="2">
        <v>84.09999999999999</v>
      </c>
      <c r="MT1190" s="2">
        <v>84.69</v>
      </c>
      <c r="MU1190" s="2">
        <v>85.01000000000001</v>
      </c>
      <c r="MV1190" s="2">
        <v>85.09999999999999</v>
      </c>
      <c r="MW1190" s="2">
        <v>84.97</v>
      </c>
      <c r="MX1190" s="2">
        <v>86.40000000000001</v>
      </c>
      <c r="MY1190" s="2">
        <v>86.81999999999999</v>
      </c>
      <c r="MZ1190" s="2">
        <v>87.2</v>
      </c>
      <c r="NA1190" s="2">
        <v>87.47</v>
      </c>
      <c r="NB1190" s="2">
        <v>87.72</v>
      </c>
      <c r="NG1190" s="2">
        <v>88.01000000000001</v>
      </c>
      <c r="NH1190" s="2">
        <v>89.03</v>
      </c>
      <c r="NI1190" s="2">
        <v>89.5</v>
      </c>
      <c r="NJ1190" s="2">
        <v>90.01000000000001</v>
      </c>
      <c r="NK1190" s="2">
        <v>90.41</v>
      </c>
      <c r="NL1190" s="2">
        <v>90.72</v>
      </c>
      <c r="NM1190" s="2">
        <v>90.43000000000001</v>
      </c>
      <c r="NN1190" s="2">
        <v>91.97</v>
      </c>
      <c r="NO1190" s="2">
        <v>93.09</v>
      </c>
      <c r="NP1190" s="2">
        <v>92.98</v>
      </c>
      <c r="NQ1190" s="2">
        <v>93.66</v>
      </c>
      <c r="NR1190" s="2">
        <v>93.8</v>
      </c>
      <c r="NW1190" s="2">
        <v>94.18000000000001</v>
      </c>
      <c r="NX1190" s="2">
        <v>94.36</v>
      </c>
      <c r="NY1190" s="2">
        <v>94.76000000000001</v>
      </c>
      <c r="NZ1190" s="2">
        <v>94.95</v>
      </c>
      <c r="OA1190" s="2">
        <v>95.12</v>
      </c>
      <c r="OB1190" s="2">
        <v>95.53</v>
      </c>
      <c r="OC1190" s="2">
        <v>95.81</v>
      </c>
      <c r="OD1190" s="2">
        <v>96.13</v>
      </c>
      <c r="OE1190" s="2">
        <v>96.73999999999999</v>
      </c>
      <c r="OF1190" s="2">
        <v>97.03</v>
      </c>
      <c r="OG1190" s="2">
        <v>97.45999999999999</v>
      </c>
      <c r="OH1190" s="2">
        <v>97.79000000000001</v>
      </c>
      <c r="OM1190" s="2">
        <v>98.06</v>
      </c>
      <c r="ON1190" s="2">
        <v>99</v>
      </c>
      <c r="OO1190" s="2">
        <v>98.72</v>
      </c>
      <c r="OP1190" s="2">
        <v>98.61</v>
      </c>
      <c r="OQ1190" s="2">
        <v>99.17</v>
      </c>
      <c r="OR1190" s="2">
        <v>99.58</v>
      </c>
      <c r="OS1190" s="2">
        <v>99.78</v>
      </c>
      <c r="OT1190" s="2">
        <v>99.66</v>
      </c>
      <c r="OU1190" s="2">
        <v>99.8</v>
      </c>
      <c r="OV1190" s="2">
        <v>99.92</v>
      </c>
      <c r="OW1190" s="2">
        <v>99.97</v>
      </c>
      <c r="OX1190" s="2">
        <v>100.62</v>
      </c>
      <c r="PC1190" s="2">
        <v>100.77</v>
      </c>
      <c r="PD1190" s="2">
        <v>100.5</v>
      </c>
      <c r="PE1190" s="2">
        <v>100.99</v>
      </c>
      <c r="PF1190" s="2">
        <v>101.2</v>
      </c>
      <c r="PG1190" s="2">
        <v>101.6</v>
      </c>
      <c r="PH1190" s="2">
        <v>102.12</v>
      </c>
      <c r="PI1190" s="2">
        <v>102.73</v>
      </c>
    </row>
    <row r="1191">
      <c r="A1191" t="inlineStr">
        <is>
          <t>A130399940R</t>
        </is>
      </c>
      <c r="B1191" t="inlineStr">
        <is>
          <t>Index Numbers ;  Tobacco ;  Australia ;</t>
        </is>
      </c>
      <c r="C1191" t="inlineStr">
        <is>
          <t>Month</t>
        </is>
      </c>
      <c r="D1191" t="inlineStr">
        <is>
          <t>Index Numbers</t>
        </is>
      </c>
      <c r="E1191" t="inlineStr">
        <is>
          <t>Seasonally Adjusted</t>
        </is>
      </c>
      <c r="F1191" t="inlineStr">
        <is>
          <t>640107.xlsx</t>
        </is>
      </c>
      <c r="G1191" t="inlineStr">
        <is>
          <t>2017-09</t>
        </is>
      </c>
      <c r="H1191" t="inlineStr">
        <is>
          <t>2026-07</t>
        </is>
      </c>
      <c r="JW1191" s="2">
        <v>42.5</v>
      </c>
      <c r="JX1191" s="2">
        <v>42.76</v>
      </c>
      <c r="JY1191" s="2">
        <v>43.03</v>
      </c>
      <c r="JZ1191" s="2">
        <v>43.54</v>
      </c>
      <c r="KE1191" s="2">
        <v>44.03</v>
      </c>
      <c r="KF1191" s="2">
        <v>44.21</v>
      </c>
      <c r="KG1191" s="2">
        <v>44.78</v>
      </c>
      <c r="KH1191" s="2">
        <v>45.12</v>
      </c>
      <c r="KI1191" s="2">
        <v>45.68</v>
      </c>
      <c r="KJ1191" s="2">
        <v>45.94</v>
      </c>
      <c r="KK1191" s="2">
        <v>46.3</v>
      </c>
      <c r="KL1191" s="2">
        <v>47.01</v>
      </c>
      <c r="KM1191" s="2">
        <v>47.95</v>
      </c>
      <c r="KN1191" s="2">
        <v>48.95</v>
      </c>
      <c r="KO1191" s="2">
        <v>49.94</v>
      </c>
      <c r="KP1191" s="2">
        <v>50.08</v>
      </c>
      <c r="KU1191" s="2">
        <v>50.14</v>
      </c>
      <c r="KV1191" s="2">
        <v>50.65</v>
      </c>
      <c r="KW1191" s="2">
        <v>50.9</v>
      </c>
      <c r="KX1191" s="2">
        <v>51.44</v>
      </c>
      <c r="KY1191" s="2">
        <v>51.9</v>
      </c>
      <c r="KZ1191" s="2">
        <v>52.57</v>
      </c>
      <c r="LA1191" s="2">
        <v>53.33</v>
      </c>
      <c r="LB1191" s="2">
        <v>53.87</v>
      </c>
      <c r="LC1191" s="2">
        <v>55.73</v>
      </c>
      <c r="LD1191" s="2">
        <v>56.02</v>
      </c>
      <c r="LE1191" s="2">
        <v>56.61</v>
      </c>
      <c r="LF1191" s="2">
        <v>57.28</v>
      </c>
      <c r="LK1191" s="2">
        <v>58.12</v>
      </c>
      <c r="LL1191" s="2">
        <v>56.97</v>
      </c>
      <c r="LM1191" s="2">
        <v>59.92</v>
      </c>
      <c r="LN1191" s="2">
        <v>60.29</v>
      </c>
      <c r="LO1191" s="2">
        <v>60.74</v>
      </c>
      <c r="LP1191" s="2">
        <v>61.37</v>
      </c>
      <c r="LQ1191" s="2">
        <v>62</v>
      </c>
      <c r="LR1191" s="2">
        <v>62.75</v>
      </c>
      <c r="LS1191" s="2">
        <v>65.75</v>
      </c>
      <c r="LT1191" s="2">
        <v>67.56</v>
      </c>
      <c r="LU1191" s="2">
        <v>68.31999999999999</v>
      </c>
      <c r="LV1191" s="2">
        <v>68.38</v>
      </c>
      <c r="MA1191" s="2">
        <v>68.72</v>
      </c>
      <c r="MB1191" s="2">
        <v>69.08</v>
      </c>
      <c r="MC1191" s="2">
        <v>68.87</v>
      </c>
      <c r="MD1191" s="2">
        <v>68.94</v>
      </c>
      <c r="ME1191" s="2">
        <v>69.64</v>
      </c>
      <c r="MF1191" s="2">
        <v>69.78</v>
      </c>
      <c r="MG1191" s="2">
        <v>69.69</v>
      </c>
      <c r="MH1191" s="2">
        <v>70.26000000000001</v>
      </c>
      <c r="MI1191" s="2">
        <v>68.89</v>
      </c>
      <c r="MJ1191" s="2">
        <v>67.95</v>
      </c>
      <c r="MK1191" s="2">
        <v>68.75</v>
      </c>
      <c r="ML1191" s="2">
        <v>69.54000000000001</v>
      </c>
      <c r="MQ1191" s="2">
        <v>70.14</v>
      </c>
      <c r="MR1191" s="2">
        <v>70.73999999999999</v>
      </c>
      <c r="MS1191" s="2">
        <v>71.34999999999999</v>
      </c>
      <c r="MT1191" s="2">
        <v>71.34</v>
      </c>
      <c r="MU1191" s="2">
        <v>71.67</v>
      </c>
      <c r="MV1191" s="2">
        <v>72.23999999999999</v>
      </c>
      <c r="MW1191" s="2">
        <v>72.76000000000001</v>
      </c>
      <c r="MX1191" s="2">
        <v>73.81</v>
      </c>
      <c r="MY1191" s="2">
        <v>72.61</v>
      </c>
      <c r="MZ1191" s="2">
        <v>71.64</v>
      </c>
      <c r="NA1191" s="2">
        <v>72.04000000000001</v>
      </c>
      <c r="NB1191" s="2">
        <v>72.40000000000001</v>
      </c>
      <c r="NG1191" s="2">
        <v>72.92</v>
      </c>
      <c r="NH1191" s="2">
        <v>73.63</v>
      </c>
      <c r="NI1191" s="2">
        <v>74.01000000000001</v>
      </c>
      <c r="NJ1191" s="2">
        <v>74.3</v>
      </c>
      <c r="NK1191" s="2">
        <v>74.62</v>
      </c>
      <c r="NL1191" s="2">
        <v>75.05</v>
      </c>
      <c r="NM1191" s="2">
        <v>75.39</v>
      </c>
      <c r="NN1191" s="2">
        <v>76.52</v>
      </c>
      <c r="NO1191" s="2">
        <v>77.92</v>
      </c>
      <c r="NP1191" s="2">
        <v>79.14</v>
      </c>
      <c r="NQ1191" s="2">
        <v>79.65000000000001</v>
      </c>
      <c r="NR1191" s="2">
        <v>80.25</v>
      </c>
      <c r="NW1191" s="2">
        <v>80.78</v>
      </c>
      <c r="NX1191" s="2">
        <v>78.70999999999999</v>
      </c>
      <c r="NY1191" s="2">
        <v>83.05</v>
      </c>
      <c r="NZ1191" s="2">
        <v>83.88</v>
      </c>
      <c r="OA1191" s="2">
        <v>84.68000000000001</v>
      </c>
      <c r="OB1191" s="2">
        <v>85.56</v>
      </c>
      <c r="OC1191" s="2">
        <v>85.94</v>
      </c>
      <c r="OD1191" s="2">
        <v>86.70999999999999</v>
      </c>
      <c r="OE1191" s="2">
        <v>87.88</v>
      </c>
      <c r="OF1191" s="2">
        <v>88.81</v>
      </c>
      <c r="OG1191" s="2">
        <v>89.34999999999999</v>
      </c>
      <c r="OH1191" s="2">
        <v>89.98</v>
      </c>
      <c r="OM1191" s="2">
        <v>91</v>
      </c>
      <c r="ON1191" s="2">
        <v>92.31999999999999</v>
      </c>
      <c r="OO1191" s="2">
        <v>93.12</v>
      </c>
      <c r="OP1191" s="2">
        <v>93.90000000000001</v>
      </c>
      <c r="OQ1191" s="2">
        <v>94.53</v>
      </c>
      <c r="OR1191" s="2">
        <v>95.14</v>
      </c>
      <c r="OS1191" s="2">
        <v>96.62</v>
      </c>
      <c r="OT1191" s="2">
        <v>97.66</v>
      </c>
      <c r="OU1191" s="2">
        <v>99.72</v>
      </c>
      <c r="OV1191" s="2">
        <v>99.02</v>
      </c>
      <c r="OW1191" s="2">
        <v>100.18</v>
      </c>
      <c r="OX1191" s="2">
        <v>101.21</v>
      </c>
      <c r="PC1191" s="2">
        <v>101.77</v>
      </c>
      <c r="PD1191" s="2">
        <v>102.98</v>
      </c>
      <c r="PE1191" s="2">
        <v>103.52</v>
      </c>
      <c r="PF1191" s="2">
        <v>104</v>
      </c>
      <c r="PG1191" s="2">
        <v>104.85</v>
      </c>
      <c r="PH1191" s="2">
        <v>105.88</v>
      </c>
      <c r="PI1191" s="2">
        <v>107.33</v>
      </c>
    </row>
    <row r="1192">
      <c r="A1192" t="inlineStr">
        <is>
          <t>A130400675V</t>
        </is>
      </c>
      <c r="B1192" t="inlineStr">
        <is>
          <t>Index Numbers ;  Clothing and footwear ;  Australia ;</t>
        </is>
      </c>
      <c r="C1192" t="inlineStr">
        <is>
          <t>Month</t>
        </is>
      </c>
      <c r="D1192" t="inlineStr">
        <is>
          <t>Index Numbers</t>
        </is>
      </c>
      <c r="E1192" t="inlineStr">
        <is>
          <t>Seasonally Adjusted</t>
        </is>
      </c>
      <c r="F1192" t="inlineStr">
        <is>
          <t>640107.xlsx</t>
        </is>
      </c>
      <c r="G1192" t="inlineStr">
        <is>
          <t>2024-04</t>
        </is>
      </c>
      <c r="H1192" t="inlineStr">
        <is>
          <t>2026-07</t>
        </is>
      </c>
      <c r="NZ1192" s="2">
        <v>100</v>
      </c>
      <c r="OA1192" s="2">
        <v>99.26000000000001</v>
      </c>
      <c r="OB1192" s="2">
        <v>99.38</v>
      </c>
      <c r="OC1192" s="2">
        <v>99.93000000000001</v>
      </c>
      <c r="OD1192" s="2">
        <v>99.36</v>
      </c>
      <c r="OE1192" s="2">
        <v>99.91</v>
      </c>
      <c r="OF1192" s="2">
        <v>98.41</v>
      </c>
      <c r="OG1192" s="2">
        <v>99.68000000000001</v>
      </c>
      <c r="OH1192" s="2">
        <v>99.47</v>
      </c>
      <c r="OM1192" s="2">
        <v>99.79000000000001</v>
      </c>
      <c r="ON1192" s="2">
        <v>100.71</v>
      </c>
      <c r="OO1192" s="2">
        <v>98.53</v>
      </c>
      <c r="OP1192" s="2">
        <v>100.71</v>
      </c>
      <c r="OQ1192" s="2">
        <v>100.83</v>
      </c>
      <c r="OR1192" s="2">
        <v>101.51</v>
      </c>
      <c r="OS1192" s="2">
        <v>102.44</v>
      </c>
      <c r="OT1192" s="2">
        <v>103.84</v>
      </c>
      <c r="OU1192" s="2">
        <v>103.46</v>
      </c>
      <c r="OV1192" s="2">
        <v>104</v>
      </c>
      <c r="OW1192" s="2">
        <v>104</v>
      </c>
      <c r="OX1192" s="2">
        <v>103.05</v>
      </c>
      <c r="PC1192" s="2">
        <v>105.4</v>
      </c>
      <c r="PD1192" s="2">
        <v>105.75</v>
      </c>
      <c r="PE1192" s="2">
        <v>105.5</v>
      </c>
      <c r="PF1192" s="2">
        <v>106.6</v>
      </c>
      <c r="PG1192" s="2">
        <v>105.72</v>
      </c>
      <c r="PH1192" s="2">
        <v>106.59</v>
      </c>
      <c r="PI1192" s="2">
        <v>107.35</v>
      </c>
    </row>
    <row r="1193">
      <c r="A1193" t="inlineStr">
        <is>
          <t>A130400787L</t>
        </is>
      </c>
      <c r="B1193" t="inlineStr">
        <is>
          <t>Index Numbers ;  Garments for men ;  Australia ;</t>
        </is>
      </c>
      <c r="C1193" t="inlineStr">
        <is>
          <t>Month</t>
        </is>
      </c>
      <c r="D1193" t="inlineStr">
        <is>
          <t>Index Numbers</t>
        </is>
      </c>
      <c r="E1193" t="inlineStr">
        <is>
          <t>Seasonally Adjusted</t>
        </is>
      </c>
      <c r="F1193" t="inlineStr">
        <is>
          <t>640107.xlsx</t>
        </is>
      </c>
      <c r="G1193" t="inlineStr">
        <is>
          <t>2024-04</t>
        </is>
      </c>
      <c r="H1193" t="inlineStr">
        <is>
          <t>2026-07</t>
        </is>
      </c>
      <c r="NZ1193" s="2">
        <v>104.07</v>
      </c>
      <c r="OA1193" s="2">
        <v>101.91</v>
      </c>
      <c r="OB1193" s="2">
        <v>102.25</v>
      </c>
      <c r="OC1193" s="2">
        <v>103.39</v>
      </c>
      <c r="OD1193" s="2">
        <v>103.51</v>
      </c>
      <c r="OE1193" s="2">
        <v>103.95</v>
      </c>
      <c r="OF1193" s="2">
        <v>100</v>
      </c>
      <c r="OG1193" s="2">
        <v>101.35</v>
      </c>
      <c r="OH1193" s="2">
        <v>101.32</v>
      </c>
      <c r="OM1193" s="2">
        <v>100.82</v>
      </c>
      <c r="ON1193" s="2">
        <v>100.6</v>
      </c>
      <c r="OO1193" s="2">
        <v>98.98999999999999</v>
      </c>
      <c r="OP1193" s="2">
        <v>101.94</v>
      </c>
      <c r="OQ1193" s="2">
        <v>101.71</v>
      </c>
      <c r="OR1193" s="2">
        <v>100.95</v>
      </c>
      <c r="OS1193" s="2">
        <v>99.95</v>
      </c>
      <c r="OT1193" s="2">
        <v>102.33</v>
      </c>
      <c r="OU1193" s="2">
        <v>100.87</v>
      </c>
      <c r="OV1193" s="2">
        <v>101.28</v>
      </c>
      <c r="OW1193" s="2">
        <v>101.56</v>
      </c>
      <c r="OX1193" s="2">
        <v>100.18</v>
      </c>
      <c r="PC1193" s="2">
        <v>102.65</v>
      </c>
      <c r="PD1193" s="2">
        <v>102.14</v>
      </c>
      <c r="PE1193" s="2">
        <v>100.22</v>
      </c>
      <c r="PF1193" s="2">
        <v>100.42</v>
      </c>
      <c r="PG1193" s="2">
        <v>101.44</v>
      </c>
      <c r="PH1193" s="2">
        <v>102.94</v>
      </c>
      <c r="PI1193" s="2">
        <v>104.06</v>
      </c>
    </row>
    <row r="1194">
      <c r="A1194" t="inlineStr">
        <is>
          <t>A130400444K</t>
        </is>
      </c>
      <c r="B1194" t="inlineStr">
        <is>
          <t>Index Numbers ;  Garments for women ;  Australia ;</t>
        </is>
      </c>
      <c r="C1194" t="inlineStr">
        <is>
          <t>Month</t>
        </is>
      </c>
      <c r="D1194" t="inlineStr">
        <is>
          <t>Index Numbers</t>
        </is>
      </c>
      <c r="E1194" t="inlineStr">
        <is>
          <t>Seasonally Adjusted</t>
        </is>
      </c>
      <c r="F1194" t="inlineStr">
        <is>
          <t>640107.xlsx</t>
        </is>
      </c>
      <c r="G1194" t="inlineStr">
        <is>
          <t>2024-04</t>
        </is>
      </c>
      <c r="H1194" t="inlineStr">
        <is>
          <t>2026-07</t>
        </is>
      </c>
      <c r="NZ1194" s="2">
        <v>97.52</v>
      </c>
      <c r="OA1194" s="2">
        <v>96.59999999999999</v>
      </c>
      <c r="OB1194" s="2">
        <v>97.15000000000001</v>
      </c>
      <c r="OC1194" s="2">
        <v>98.44</v>
      </c>
      <c r="OD1194" s="2">
        <v>97.72</v>
      </c>
      <c r="OE1194" s="2">
        <v>98.01000000000001</v>
      </c>
      <c r="OF1194" s="2">
        <v>95.97</v>
      </c>
      <c r="OG1194" s="2">
        <v>99.19</v>
      </c>
      <c r="OH1194" s="2">
        <v>98.68000000000001</v>
      </c>
      <c r="OM1194" s="2">
        <v>98.79000000000001</v>
      </c>
      <c r="ON1194" s="2">
        <v>100.54</v>
      </c>
      <c r="OO1194" s="2">
        <v>98.16</v>
      </c>
      <c r="OP1194" s="2">
        <v>99.53</v>
      </c>
      <c r="OQ1194" s="2">
        <v>100.97</v>
      </c>
      <c r="OR1194" s="2">
        <v>101.73</v>
      </c>
      <c r="OS1194" s="2">
        <v>102.09</v>
      </c>
      <c r="OT1194" s="2">
        <v>102.64</v>
      </c>
      <c r="OU1194" s="2">
        <v>101.02</v>
      </c>
      <c r="OV1194" s="2">
        <v>100.86</v>
      </c>
      <c r="OW1194" s="2">
        <v>101.94</v>
      </c>
      <c r="OX1194" s="2">
        <v>99.76000000000001</v>
      </c>
      <c r="PC1194" s="2">
        <v>103.59</v>
      </c>
      <c r="PD1194" s="2">
        <v>103.42</v>
      </c>
      <c r="PE1194" s="2">
        <v>103.77</v>
      </c>
      <c r="PF1194" s="2">
        <v>104.99</v>
      </c>
      <c r="PG1194" s="2">
        <v>104.93</v>
      </c>
      <c r="PH1194" s="2">
        <v>103.01</v>
      </c>
      <c r="PI1194" s="2">
        <v>103.21</v>
      </c>
    </row>
    <row r="1195">
      <c r="A1195" t="inlineStr">
        <is>
          <t>A130400451J</t>
        </is>
      </c>
      <c r="B1195" t="inlineStr">
        <is>
          <t>Index Numbers ;  Garments for infants and children ;  Australia ;</t>
        </is>
      </c>
      <c r="C1195" t="inlineStr">
        <is>
          <t>Month</t>
        </is>
      </c>
      <c r="D1195" t="inlineStr">
        <is>
          <t>Index Numbers</t>
        </is>
      </c>
      <c r="E1195" t="inlineStr">
        <is>
          <t>Seasonally Adjusted</t>
        </is>
      </c>
      <c r="F1195" t="inlineStr">
        <is>
          <t>640107.xlsx</t>
        </is>
      </c>
      <c r="G1195" t="inlineStr">
        <is>
          <t>2024-04</t>
        </is>
      </c>
      <c r="H1195" t="inlineStr">
        <is>
          <t>2026-07</t>
        </is>
      </c>
      <c r="NZ1195" s="2">
        <v>100.51</v>
      </c>
      <c r="OA1195" s="2">
        <v>98.11</v>
      </c>
      <c r="OB1195" s="2">
        <v>97.97</v>
      </c>
      <c r="OC1195" s="2">
        <v>98.38</v>
      </c>
      <c r="OD1195" s="2">
        <v>98.75</v>
      </c>
      <c r="OE1195" s="2">
        <v>97.18000000000001</v>
      </c>
      <c r="OF1195" s="2">
        <v>97.83</v>
      </c>
      <c r="OG1195" s="2">
        <v>96.95</v>
      </c>
      <c r="OH1195" s="2">
        <v>95.84</v>
      </c>
      <c r="OM1195" s="2">
        <v>94.89</v>
      </c>
      <c r="ON1195" s="2">
        <v>95.88</v>
      </c>
      <c r="OO1195" s="2">
        <v>95.88</v>
      </c>
      <c r="OP1195" s="2">
        <v>98.34</v>
      </c>
      <c r="OQ1195" s="2">
        <v>97.43000000000001</v>
      </c>
      <c r="OR1195" s="2">
        <v>97.43000000000001</v>
      </c>
      <c r="OS1195" s="2">
        <v>97.34</v>
      </c>
      <c r="OT1195" s="2">
        <v>101.57</v>
      </c>
      <c r="OU1195" s="2">
        <v>100</v>
      </c>
      <c r="OV1195" s="2">
        <v>101.62</v>
      </c>
      <c r="OW1195" s="2">
        <v>100.25</v>
      </c>
      <c r="OX1195" s="2">
        <v>100.25</v>
      </c>
      <c r="PC1195" s="2">
        <v>100.19</v>
      </c>
      <c r="PD1195" s="2">
        <v>101.51</v>
      </c>
      <c r="PE1195" s="2">
        <v>101.51</v>
      </c>
      <c r="PF1195" s="2">
        <v>100.54</v>
      </c>
      <c r="PG1195" s="2">
        <v>96.70999999999999</v>
      </c>
      <c r="PH1195" s="2">
        <v>99.22</v>
      </c>
      <c r="PI1195" s="2">
        <v>98.20999999999999</v>
      </c>
    </row>
    <row r="1196">
      <c r="A1196" t="inlineStr">
        <is>
          <t>A130400227R</t>
        </is>
      </c>
      <c r="B1196" t="inlineStr">
        <is>
          <t>Index Numbers ;  Footwear for men ;  Australia ;</t>
        </is>
      </c>
      <c r="C1196" t="inlineStr">
        <is>
          <t>Month</t>
        </is>
      </c>
      <c r="D1196" t="inlineStr">
        <is>
          <t>Index Numbers</t>
        </is>
      </c>
      <c r="E1196" t="inlineStr">
        <is>
          <t>Seasonally Adjusted</t>
        </is>
      </c>
      <c r="F1196" t="inlineStr">
        <is>
          <t>640107.xlsx</t>
        </is>
      </c>
      <c r="G1196" t="inlineStr">
        <is>
          <t>2024-04</t>
        </is>
      </c>
      <c r="H1196" t="inlineStr">
        <is>
          <t>2026-07</t>
        </is>
      </c>
      <c r="NZ1196" s="2">
        <v>102.27</v>
      </c>
      <c r="OA1196" s="2">
        <v>101.71</v>
      </c>
      <c r="OB1196" s="2">
        <v>101.49</v>
      </c>
      <c r="OC1196" s="2">
        <v>101.65</v>
      </c>
      <c r="OD1196" s="2">
        <v>101.9</v>
      </c>
      <c r="OE1196" s="2">
        <v>101.94</v>
      </c>
      <c r="OF1196" s="2">
        <v>101.67</v>
      </c>
      <c r="OG1196" s="2">
        <v>101.27</v>
      </c>
      <c r="OH1196" s="2">
        <v>101.09</v>
      </c>
      <c r="OM1196" s="2">
        <v>101.41</v>
      </c>
      <c r="ON1196" s="2">
        <v>102.14</v>
      </c>
      <c r="OO1196" s="2">
        <v>102.97</v>
      </c>
      <c r="OP1196" s="2">
        <v>103.47</v>
      </c>
      <c r="OQ1196" s="2">
        <v>103.44</v>
      </c>
      <c r="OR1196" s="2">
        <v>102.88</v>
      </c>
      <c r="OS1196" s="2">
        <v>101.93</v>
      </c>
      <c r="OT1196" s="2">
        <v>100.82</v>
      </c>
      <c r="OU1196" s="2">
        <v>99.86</v>
      </c>
      <c r="OV1196" s="2">
        <v>99.31999999999999</v>
      </c>
      <c r="OW1196" s="2">
        <v>99.42</v>
      </c>
      <c r="OX1196" s="2">
        <v>100.13</v>
      </c>
      <c r="PC1196" s="2">
        <v>101.23</v>
      </c>
      <c r="PD1196" s="2">
        <v>102.39</v>
      </c>
      <c r="PE1196" s="2">
        <v>103.36</v>
      </c>
      <c r="PF1196" s="2">
        <v>103.89</v>
      </c>
      <c r="PG1196" s="2">
        <v>104.09</v>
      </c>
      <c r="PH1196" s="2">
        <v>104.15</v>
      </c>
      <c r="PI1196" s="2">
        <v>104.09</v>
      </c>
    </row>
    <row r="1197">
      <c r="A1197" t="inlineStr">
        <is>
          <t>A130400234L</t>
        </is>
      </c>
      <c r="B1197" t="inlineStr">
        <is>
          <t>Index Numbers ;  Footwear for women ;  Australia ;</t>
        </is>
      </c>
      <c r="C1197" t="inlineStr">
        <is>
          <t>Month</t>
        </is>
      </c>
      <c r="D1197" t="inlineStr">
        <is>
          <t>Index Numbers</t>
        </is>
      </c>
      <c r="E1197" t="inlineStr">
        <is>
          <t>Seasonally Adjusted</t>
        </is>
      </c>
      <c r="F1197" t="inlineStr">
        <is>
          <t>640107.xlsx</t>
        </is>
      </c>
      <c r="G1197" t="inlineStr">
        <is>
          <t>2024-04</t>
        </is>
      </c>
      <c r="H1197" t="inlineStr">
        <is>
          <t>2026-07</t>
        </is>
      </c>
      <c r="NZ1197" s="2">
        <v>97.88</v>
      </c>
      <c r="OA1197" s="2">
        <v>97.05</v>
      </c>
      <c r="OB1197" s="2">
        <v>95.81999999999999</v>
      </c>
      <c r="OC1197" s="2">
        <v>94.34</v>
      </c>
      <c r="OD1197" s="2">
        <v>92.84999999999999</v>
      </c>
      <c r="OE1197" s="2">
        <v>91.63</v>
      </c>
      <c r="OF1197" s="2">
        <v>90.91</v>
      </c>
      <c r="OG1197" s="2">
        <v>90.84999999999999</v>
      </c>
      <c r="OH1197" s="2">
        <v>91.51000000000001</v>
      </c>
      <c r="OM1197" s="2">
        <v>92.76000000000001</v>
      </c>
      <c r="ON1197" s="2">
        <v>94.31999999999999</v>
      </c>
      <c r="OO1197" s="2">
        <v>95.76000000000001</v>
      </c>
      <c r="OP1197" s="2">
        <v>96.78</v>
      </c>
      <c r="OQ1197" s="2">
        <v>97.34999999999999</v>
      </c>
      <c r="OR1197" s="2">
        <v>97.58</v>
      </c>
      <c r="OS1197" s="2">
        <v>97.64</v>
      </c>
      <c r="OT1197" s="2">
        <v>97.51000000000001</v>
      </c>
      <c r="OU1197" s="2">
        <v>97.11</v>
      </c>
      <c r="OV1197" s="2">
        <v>96.48</v>
      </c>
      <c r="OW1197" s="2">
        <v>95.92</v>
      </c>
      <c r="OX1197" s="2">
        <v>95.73</v>
      </c>
      <c r="PC1197" s="2">
        <v>96.04000000000001</v>
      </c>
      <c r="PD1197" s="2">
        <v>96.65000000000001</v>
      </c>
      <c r="PE1197" s="2">
        <v>97.3</v>
      </c>
      <c r="PF1197" s="2">
        <v>97.73999999999999</v>
      </c>
      <c r="PG1197" s="2">
        <v>98.03</v>
      </c>
      <c r="PH1197" s="2">
        <v>98.27</v>
      </c>
      <c r="PI1197" s="2">
        <v>98.48</v>
      </c>
    </row>
    <row r="1198">
      <c r="A1198" t="inlineStr">
        <is>
          <t>A130400577R</t>
        </is>
      </c>
      <c r="B1198" t="inlineStr">
        <is>
          <t>Index Numbers ;  Footwear for infants and children ;  Australia ;</t>
        </is>
      </c>
      <c r="C1198" t="inlineStr">
        <is>
          <t>Month</t>
        </is>
      </c>
      <c r="D1198" t="inlineStr">
        <is>
          <t>Index Numbers</t>
        </is>
      </c>
      <c r="E1198" t="inlineStr">
        <is>
          <t>Seasonally Adjusted</t>
        </is>
      </c>
      <c r="F1198" t="inlineStr">
        <is>
          <t>640107.xlsx</t>
        </is>
      </c>
      <c r="G1198" t="inlineStr">
        <is>
          <t>2024-04</t>
        </is>
      </c>
      <c r="H1198" t="inlineStr">
        <is>
          <t>2026-07</t>
        </is>
      </c>
      <c r="NZ1198" s="2">
        <v>103.21</v>
      </c>
      <c r="OA1198" s="2">
        <v>103.05</v>
      </c>
      <c r="OB1198" s="2">
        <v>102.73</v>
      </c>
      <c r="OC1198" s="2">
        <v>102.27</v>
      </c>
      <c r="OD1198" s="2">
        <v>101.83</v>
      </c>
      <c r="OE1198" s="2">
        <v>101.63</v>
      </c>
      <c r="OF1198" s="2">
        <v>101.93</v>
      </c>
      <c r="OG1198" s="2">
        <v>102.79</v>
      </c>
      <c r="OH1198" s="2">
        <v>104.01</v>
      </c>
      <c r="OM1198" s="2">
        <v>105.18</v>
      </c>
      <c r="ON1198" s="2">
        <v>105.8</v>
      </c>
      <c r="OO1198" s="2">
        <v>105.55</v>
      </c>
      <c r="OP1198" s="2">
        <v>104.45</v>
      </c>
      <c r="OQ1198" s="2">
        <v>102.84</v>
      </c>
      <c r="OR1198" s="2">
        <v>101.24</v>
      </c>
      <c r="OS1198" s="2">
        <v>100.12</v>
      </c>
      <c r="OT1198" s="2">
        <v>99.72</v>
      </c>
      <c r="OU1198" s="2">
        <v>100.05</v>
      </c>
      <c r="OV1198" s="2">
        <v>100.87</v>
      </c>
      <c r="OW1198" s="2">
        <v>101.98</v>
      </c>
      <c r="OX1198" s="2">
        <v>103.13</v>
      </c>
      <c r="PC1198" s="2">
        <v>104.17</v>
      </c>
      <c r="PD1198" s="2">
        <v>104.96</v>
      </c>
      <c r="PE1198" s="2">
        <v>105.33</v>
      </c>
      <c r="PF1198" s="2">
        <v>105.16</v>
      </c>
      <c r="PG1198" s="2">
        <v>104.65</v>
      </c>
      <c r="PH1198" s="2">
        <v>104.02</v>
      </c>
      <c r="PI1198" s="2">
        <v>103.32</v>
      </c>
    </row>
    <row r="1199">
      <c r="A1199" t="inlineStr">
        <is>
          <t>A130400794K</t>
        </is>
      </c>
      <c r="B1199" t="inlineStr">
        <is>
          <t>Index Numbers ;  Accessories ;  Australia ;</t>
        </is>
      </c>
      <c r="C1199" t="inlineStr">
        <is>
          <t>Month</t>
        </is>
      </c>
      <c r="D1199" t="inlineStr">
        <is>
          <t>Index Numbers</t>
        </is>
      </c>
      <c r="E1199" t="inlineStr">
        <is>
          <t>Seasonally Adjusted</t>
        </is>
      </c>
      <c r="F1199" t="inlineStr">
        <is>
          <t>640107.xlsx</t>
        </is>
      </c>
      <c r="G1199" t="inlineStr">
        <is>
          <t>2024-04</t>
        </is>
      </c>
      <c r="H1199" t="inlineStr">
        <is>
          <t>2026-07</t>
        </is>
      </c>
      <c r="NZ1199" s="2">
        <v>88.18000000000001</v>
      </c>
      <c r="OA1199" s="2">
        <v>89.36</v>
      </c>
      <c r="OB1199" s="2">
        <v>89.36</v>
      </c>
      <c r="OC1199" s="2">
        <v>89.40000000000001</v>
      </c>
      <c r="OD1199" s="2">
        <v>88.38</v>
      </c>
      <c r="OE1199" s="2">
        <v>91.03</v>
      </c>
      <c r="OF1199" s="2">
        <v>90.43000000000001</v>
      </c>
      <c r="OG1199" s="2">
        <v>90.43000000000001</v>
      </c>
      <c r="OH1199" s="2">
        <v>90.43000000000001</v>
      </c>
      <c r="OM1199" s="2">
        <v>91.75</v>
      </c>
      <c r="ON1199" s="2">
        <v>92</v>
      </c>
      <c r="OO1199" s="2">
        <v>86.91</v>
      </c>
      <c r="OP1199" s="2">
        <v>90.41</v>
      </c>
      <c r="OQ1199" s="2">
        <v>89.33</v>
      </c>
      <c r="OR1199" s="2">
        <v>91.59999999999999</v>
      </c>
      <c r="OS1199" s="2">
        <v>95.7</v>
      </c>
      <c r="OT1199" s="2">
        <v>97.39</v>
      </c>
      <c r="OU1199" s="2">
        <v>100</v>
      </c>
      <c r="OV1199" s="2">
        <v>101.65</v>
      </c>
      <c r="OW1199" s="2">
        <v>100.61</v>
      </c>
      <c r="OX1199" s="2">
        <v>100.61</v>
      </c>
      <c r="PC1199" s="2">
        <v>102.74</v>
      </c>
      <c r="PD1199" s="2">
        <v>103.71</v>
      </c>
      <c r="PE1199" s="2">
        <v>103.06</v>
      </c>
      <c r="PF1199" s="2">
        <v>105.79</v>
      </c>
      <c r="PG1199" s="2">
        <v>103.17</v>
      </c>
      <c r="PH1199" s="2">
        <v>107.26</v>
      </c>
      <c r="PI1199" s="2">
        <v>109.65</v>
      </c>
    </row>
    <row r="1200">
      <c r="A1200" t="inlineStr">
        <is>
          <t>A130399926V</t>
        </is>
      </c>
      <c r="B1200" t="inlineStr">
        <is>
          <t>Index Numbers ;  Cleaning, repair and hire of clothing and footwear ;  Australia ;</t>
        </is>
      </c>
      <c r="C1200" t="inlineStr">
        <is>
          <t>Month</t>
        </is>
      </c>
      <c r="D1200" t="inlineStr">
        <is>
          <t>Index Numbers</t>
        </is>
      </c>
      <c r="E1200" t="inlineStr">
        <is>
          <t>Seasonally Adjusted</t>
        </is>
      </c>
      <c r="F1200" t="inlineStr">
        <is>
          <t>640107.xlsx</t>
        </is>
      </c>
      <c r="G1200" t="inlineStr">
        <is>
          <t>2024-04</t>
        </is>
      </c>
      <c r="H1200" t="inlineStr">
        <is>
          <t>2026-07</t>
        </is>
      </c>
      <c r="NZ1200" s="2">
        <v>94.98999999999999</v>
      </c>
      <c r="OA1200" s="2">
        <v>95.08</v>
      </c>
      <c r="OB1200" s="2">
        <v>95.18000000000001</v>
      </c>
      <c r="OC1200" s="2">
        <v>95.34999999999999</v>
      </c>
      <c r="OD1200" s="2">
        <v>95.48</v>
      </c>
      <c r="OE1200" s="2">
        <v>95.62</v>
      </c>
      <c r="OF1200" s="2">
        <v>95.98999999999999</v>
      </c>
      <c r="OG1200" s="2">
        <v>96.72</v>
      </c>
      <c r="OH1200" s="2">
        <v>97.01000000000001</v>
      </c>
      <c r="OM1200" s="2">
        <v>96.52</v>
      </c>
      <c r="ON1200" s="2">
        <v>96.69</v>
      </c>
      <c r="OO1200" s="2">
        <v>97.5</v>
      </c>
      <c r="OP1200" s="2">
        <v>98.18000000000001</v>
      </c>
      <c r="OQ1200" s="2">
        <v>98.15000000000001</v>
      </c>
      <c r="OR1200" s="2">
        <v>99.08</v>
      </c>
      <c r="OS1200" s="2">
        <v>99.56999999999999</v>
      </c>
      <c r="OT1200" s="2">
        <v>99.84</v>
      </c>
      <c r="OU1200" s="2">
        <v>100</v>
      </c>
      <c r="OV1200" s="2">
        <v>100.34</v>
      </c>
      <c r="OW1200" s="2">
        <v>100.75</v>
      </c>
      <c r="OX1200" s="2">
        <v>100.75</v>
      </c>
      <c r="PC1200" s="2">
        <v>100.95</v>
      </c>
      <c r="PD1200" s="2">
        <v>100.95</v>
      </c>
      <c r="PE1200" s="2">
        <v>101.25</v>
      </c>
      <c r="PF1200" s="2">
        <v>101.99</v>
      </c>
      <c r="PG1200" s="2">
        <v>102.17</v>
      </c>
      <c r="PH1200" s="2">
        <v>102.33</v>
      </c>
      <c r="PI1200" s="2">
        <v>103.37</v>
      </c>
    </row>
    <row r="1201">
      <c r="A1201" t="inlineStr">
        <is>
          <t>A130399982L</t>
        </is>
      </c>
      <c r="B1201" t="inlineStr">
        <is>
          <t>Index Numbers ;  Housing ;  Australia ;</t>
        </is>
      </c>
      <c r="C1201" t="inlineStr">
        <is>
          <t>Month</t>
        </is>
      </c>
      <c r="D1201" t="inlineStr">
        <is>
          <t>Index Numbers</t>
        </is>
      </c>
      <c r="E1201" t="inlineStr">
        <is>
          <t>Seasonally Adjusted</t>
        </is>
      </c>
      <c r="F1201" t="inlineStr">
        <is>
          <t>640107.xlsx</t>
        </is>
      </c>
      <c r="G1201" t="inlineStr">
        <is>
          <t>2024-04</t>
        </is>
      </c>
      <c r="H1201" t="inlineStr">
        <is>
          <t>2026-07</t>
        </is>
      </c>
      <c r="NZ1201" s="2">
        <v>100</v>
      </c>
      <c r="OA1201" s="2">
        <v>100.6</v>
      </c>
      <c r="OB1201" s="2">
        <v>101.13</v>
      </c>
      <c r="OC1201" s="2">
        <v>100.44</v>
      </c>
      <c r="OD1201" s="2">
        <v>99.40000000000001</v>
      </c>
      <c r="OE1201" s="2">
        <v>99.05</v>
      </c>
      <c r="OF1201" s="2">
        <v>98.23</v>
      </c>
      <c r="OG1201" s="2">
        <v>99.98</v>
      </c>
      <c r="OH1201" s="2">
        <v>99.86</v>
      </c>
      <c r="OM1201" s="2">
        <v>100.73</v>
      </c>
      <c r="ON1201" s="2">
        <v>100.69</v>
      </c>
      <c r="OO1201" s="2">
        <v>101.47</v>
      </c>
      <c r="OP1201" s="2">
        <v>102.15</v>
      </c>
      <c r="OQ1201" s="2">
        <v>102.49</v>
      </c>
      <c r="OR1201" s="2">
        <v>102.67</v>
      </c>
      <c r="OS1201" s="2">
        <v>104.1</v>
      </c>
      <c r="OT1201" s="2">
        <v>103.88</v>
      </c>
      <c r="OU1201" s="2">
        <v>104.66</v>
      </c>
      <c r="OV1201" s="2">
        <v>103.98</v>
      </c>
      <c r="OW1201" s="2">
        <v>105.19</v>
      </c>
      <c r="OX1201" s="2">
        <v>105.38</v>
      </c>
      <c r="PC1201" s="2">
        <v>107.53</v>
      </c>
      <c r="PD1201" s="2">
        <v>107.98</v>
      </c>
      <c r="PE1201" s="2">
        <v>108.03</v>
      </c>
      <c r="PF1201" s="2">
        <v>108.53</v>
      </c>
      <c r="PG1201" s="2">
        <v>109.12</v>
      </c>
      <c r="PH1201" s="2">
        <v>109.66</v>
      </c>
      <c r="PI1201" s="2">
        <v>109.33</v>
      </c>
    </row>
    <row r="1202">
      <c r="A1202" t="inlineStr">
        <is>
          <t>A130400542R</t>
        </is>
      </c>
      <c r="B1202" t="inlineStr">
        <is>
          <t>Index Numbers ;  Rents ;  Australia ;</t>
        </is>
      </c>
      <c r="C1202" t="inlineStr">
        <is>
          <t>Month</t>
        </is>
      </c>
      <c r="D1202" t="inlineStr">
        <is>
          <t>Index Numbers</t>
        </is>
      </c>
      <c r="E1202" t="inlineStr">
        <is>
          <t>Seasonally Adjusted</t>
        </is>
      </c>
      <c r="F1202" t="inlineStr">
        <is>
          <t>640107.xlsx</t>
        </is>
      </c>
      <c r="G1202" t="inlineStr">
        <is>
          <t>2022-07</t>
        </is>
      </c>
      <c r="H1202" t="inlineStr">
        <is>
          <t>2026-07</t>
        </is>
      </c>
      <c r="MW1202" s="2">
        <v>83.03</v>
      </c>
      <c r="MX1202" s="2">
        <v>83.43000000000001</v>
      </c>
      <c r="MY1202" s="2">
        <v>84.01000000000001</v>
      </c>
      <c r="MZ1202" s="2">
        <v>84.59999999999999</v>
      </c>
      <c r="NA1202" s="2">
        <v>84.76000000000001</v>
      </c>
      <c r="NB1202" s="2">
        <v>85.18000000000001</v>
      </c>
      <c r="NG1202" s="2">
        <v>85.7</v>
      </c>
      <c r="NH1202" s="2">
        <v>86.23</v>
      </c>
      <c r="NI1202" s="2">
        <v>86.67</v>
      </c>
      <c r="NJ1202" s="2">
        <v>87.36</v>
      </c>
      <c r="NK1202" s="2">
        <v>87.98</v>
      </c>
      <c r="NL1202" s="2">
        <v>88.69</v>
      </c>
      <c r="NM1202" s="2">
        <v>89.34999999999999</v>
      </c>
      <c r="NN1202" s="2">
        <v>89.95999999999999</v>
      </c>
      <c r="NO1202" s="2">
        <v>90.31</v>
      </c>
      <c r="NP1202" s="2">
        <v>90.2</v>
      </c>
      <c r="NQ1202" s="2">
        <v>90.79000000000001</v>
      </c>
      <c r="NR1202" s="2">
        <v>91.48999999999999</v>
      </c>
      <c r="NW1202" s="2">
        <v>92.11</v>
      </c>
      <c r="NX1202" s="2">
        <v>92.72</v>
      </c>
      <c r="NY1202" s="2">
        <v>93.36</v>
      </c>
      <c r="NZ1202" s="2">
        <v>93.90000000000001</v>
      </c>
      <c r="OA1202" s="2">
        <v>94.48</v>
      </c>
      <c r="OB1202" s="2">
        <v>94.97</v>
      </c>
      <c r="OC1202" s="2">
        <v>95.51000000000001</v>
      </c>
      <c r="OD1202" s="2">
        <v>96.03</v>
      </c>
      <c r="OE1202" s="2">
        <v>96.31</v>
      </c>
      <c r="OF1202" s="2">
        <v>96.28</v>
      </c>
      <c r="OG1202" s="2">
        <v>96.78</v>
      </c>
      <c r="OH1202" s="2">
        <v>97.13</v>
      </c>
      <c r="OM1202" s="2">
        <v>97.47</v>
      </c>
      <c r="ON1202" s="2">
        <v>97.83</v>
      </c>
      <c r="OO1202" s="2">
        <v>98.2</v>
      </c>
      <c r="OP1202" s="2">
        <v>98.55</v>
      </c>
      <c r="OQ1202" s="2">
        <v>98.76000000000001</v>
      </c>
      <c r="OR1202" s="2">
        <v>98.97</v>
      </c>
      <c r="OS1202" s="2">
        <v>99.26000000000001</v>
      </c>
      <c r="OT1202" s="2">
        <v>99.55</v>
      </c>
      <c r="OU1202" s="2">
        <v>99.95999999999999</v>
      </c>
      <c r="OV1202" s="2">
        <v>100.33</v>
      </c>
      <c r="OW1202" s="2">
        <v>100.68</v>
      </c>
      <c r="OX1202" s="2">
        <v>100.96</v>
      </c>
      <c r="PC1202" s="2">
        <v>101.26</v>
      </c>
      <c r="PD1202" s="2">
        <v>101.53</v>
      </c>
      <c r="PE1202" s="2">
        <v>101.78</v>
      </c>
      <c r="PF1202" s="2">
        <v>102</v>
      </c>
      <c r="PG1202" s="2">
        <v>102.26</v>
      </c>
      <c r="PH1202" s="2">
        <v>102.5</v>
      </c>
      <c r="PI1202" s="2">
        <v>102.81</v>
      </c>
    </row>
    <row r="1203">
      <c r="A1203" t="inlineStr">
        <is>
          <t>A130400605L</t>
        </is>
      </c>
      <c r="B1203" t="inlineStr">
        <is>
          <t>Index Numbers ;  New dwelling purchase by owner-occupiers ;  Australia ;</t>
        </is>
      </c>
      <c r="C1203" t="inlineStr">
        <is>
          <t>Month</t>
        </is>
      </c>
      <c r="D1203" t="inlineStr">
        <is>
          <t>Index Numbers</t>
        </is>
      </c>
      <c r="E1203" t="inlineStr">
        <is>
          <t>Seasonally Adjusted</t>
        </is>
      </c>
      <c r="F1203" t="inlineStr">
        <is>
          <t>640107.xlsx</t>
        </is>
      </c>
      <c r="G1203" t="inlineStr">
        <is>
          <t>2017-09</t>
        </is>
      </c>
      <c r="H1203" t="inlineStr">
        <is>
          <t>2026-07</t>
        </is>
      </c>
      <c r="JW1203" s="2">
        <v>69.2</v>
      </c>
      <c r="JX1203" s="2">
        <v>68.92</v>
      </c>
      <c r="JY1203" s="2">
        <v>69.3</v>
      </c>
      <c r="JZ1203" s="2">
        <v>69.72</v>
      </c>
      <c r="KE1203" s="2">
        <v>69.63</v>
      </c>
      <c r="KF1203" s="2">
        <v>69.65000000000001</v>
      </c>
      <c r="KG1203" s="2">
        <v>69.81</v>
      </c>
      <c r="KH1203" s="2">
        <v>69.97</v>
      </c>
      <c r="KI1203" s="2">
        <v>70.15000000000001</v>
      </c>
      <c r="KJ1203" s="2">
        <v>70.52</v>
      </c>
      <c r="KK1203" s="2">
        <v>70.37</v>
      </c>
      <c r="KL1203" s="2">
        <v>70.13</v>
      </c>
      <c r="KM1203" s="2">
        <v>70.34999999999999</v>
      </c>
      <c r="KN1203" s="2">
        <v>70.48</v>
      </c>
      <c r="KO1203" s="2">
        <v>70.58</v>
      </c>
      <c r="KP1203" s="2">
        <v>70.70999999999999</v>
      </c>
      <c r="KU1203" s="2">
        <v>70.43000000000001</v>
      </c>
      <c r="KV1203" s="2">
        <v>70.45999999999999</v>
      </c>
      <c r="KW1203" s="2">
        <v>70.59999999999999</v>
      </c>
      <c r="KX1203" s="2">
        <v>70.45999999999999</v>
      </c>
      <c r="KY1203" s="2">
        <v>70.31</v>
      </c>
      <c r="KZ1203" s="2">
        <v>70.36</v>
      </c>
      <c r="LA1203" s="2">
        <v>70.37</v>
      </c>
      <c r="LB1203" s="2">
        <v>70.09</v>
      </c>
      <c r="LC1203" s="2">
        <v>70.45999999999999</v>
      </c>
      <c r="LD1203" s="2">
        <v>70.48999999999999</v>
      </c>
      <c r="LE1203" s="2">
        <v>70.48999999999999</v>
      </c>
      <c r="LF1203" s="2">
        <v>70.67</v>
      </c>
      <c r="LK1203" s="2">
        <v>70.75</v>
      </c>
      <c r="LL1203" s="2">
        <v>71</v>
      </c>
      <c r="LM1203" s="2">
        <v>70.95999999999999</v>
      </c>
      <c r="LN1203" s="2">
        <v>70.92</v>
      </c>
      <c r="LO1203" s="2">
        <v>70.75</v>
      </c>
      <c r="LP1203" s="2">
        <v>71.05</v>
      </c>
      <c r="LQ1203" s="2">
        <v>71.18000000000001</v>
      </c>
      <c r="LR1203" s="2">
        <v>71.36</v>
      </c>
      <c r="LS1203" s="2">
        <v>71.36</v>
      </c>
      <c r="LT1203" s="2">
        <v>71.47</v>
      </c>
      <c r="LU1203" s="2">
        <v>71.78</v>
      </c>
      <c r="LV1203" s="2">
        <v>71.79000000000001</v>
      </c>
      <c r="MA1203" s="2">
        <v>72.34</v>
      </c>
      <c r="MB1203" s="2">
        <v>71.62</v>
      </c>
      <c r="MC1203" s="2">
        <v>71.54000000000001</v>
      </c>
      <c r="MD1203" s="2">
        <v>70.91</v>
      </c>
      <c r="ME1203" s="2">
        <v>71.87</v>
      </c>
      <c r="MF1203" s="2">
        <v>72.38</v>
      </c>
      <c r="MG1203" s="2">
        <v>72.73</v>
      </c>
      <c r="MH1203" s="2">
        <v>74.27</v>
      </c>
      <c r="MI1203" s="2">
        <v>74.97</v>
      </c>
      <c r="MJ1203" s="2">
        <v>75.11</v>
      </c>
      <c r="MK1203" s="2">
        <v>76.75</v>
      </c>
      <c r="ML1203" s="2">
        <v>78.69</v>
      </c>
      <c r="MQ1203" s="2">
        <v>79.90000000000001</v>
      </c>
      <c r="MR1203" s="2">
        <v>81.27</v>
      </c>
      <c r="MS1203" s="2">
        <v>82.83</v>
      </c>
      <c r="MT1203" s="2">
        <v>84.62</v>
      </c>
      <c r="MU1203" s="2">
        <v>85.73999999999999</v>
      </c>
      <c r="MV1203" s="2">
        <v>87.34999999999999</v>
      </c>
      <c r="MW1203" s="2">
        <v>88.48999999999999</v>
      </c>
      <c r="MX1203" s="2">
        <v>89.47</v>
      </c>
      <c r="MY1203" s="2">
        <v>89.98</v>
      </c>
      <c r="MZ1203" s="2">
        <v>90.38</v>
      </c>
      <c r="NA1203" s="2">
        <v>90.45999999999999</v>
      </c>
      <c r="NB1203" s="2">
        <v>91.26000000000001</v>
      </c>
      <c r="NG1203" s="2">
        <v>91.70999999999999</v>
      </c>
      <c r="NH1203" s="2">
        <v>91.84999999999999</v>
      </c>
      <c r="NI1203" s="2">
        <v>92.01000000000001</v>
      </c>
      <c r="NJ1203" s="2">
        <v>92.47</v>
      </c>
      <c r="NK1203" s="2">
        <v>92.89</v>
      </c>
      <c r="NL1203" s="2">
        <v>93.09999999999999</v>
      </c>
      <c r="NM1203" s="2">
        <v>93.69</v>
      </c>
      <c r="NN1203" s="2">
        <v>93.78</v>
      </c>
      <c r="NO1203" s="2">
        <v>94.42</v>
      </c>
      <c r="NP1203" s="2">
        <v>94.62</v>
      </c>
      <c r="NQ1203" s="2">
        <v>95.43000000000001</v>
      </c>
      <c r="NR1203" s="2">
        <v>95.92</v>
      </c>
      <c r="NW1203" s="2">
        <v>96.08</v>
      </c>
      <c r="NX1203" s="2">
        <v>96.3</v>
      </c>
      <c r="NY1203" s="2">
        <v>96.77</v>
      </c>
      <c r="NZ1203" s="2">
        <v>97.06999999999999</v>
      </c>
      <c r="OA1203" s="2">
        <v>97.54000000000001</v>
      </c>
      <c r="OB1203" s="2">
        <v>98.06999999999999</v>
      </c>
      <c r="OC1203" s="2">
        <v>98.45</v>
      </c>
      <c r="OD1203" s="2">
        <v>98.69</v>
      </c>
      <c r="OE1203" s="2">
        <v>98.5</v>
      </c>
      <c r="OF1203" s="2">
        <v>98.68000000000001</v>
      </c>
      <c r="OG1203" s="2">
        <v>98.13</v>
      </c>
      <c r="OH1203" s="2">
        <v>98.12</v>
      </c>
      <c r="OM1203" s="2">
        <v>98.04000000000001</v>
      </c>
      <c r="ON1203" s="2">
        <v>97.95</v>
      </c>
      <c r="OO1203" s="2">
        <v>97.69</v>
      </c>
      <c r="OP1203" s="2">
        <v>98.27</v>
      </c>
      <c r="OQ1203" s="2">
        <v>98.28</v>
      </c>
      <c r="OR1203" s="2">
        <v>98.45999999999999</v>
      </c>
      <c r="OS1203" s="2">
        <v>98.91</v>
      </c>
      <c r="OT1203" s="2">
        <v>99.34</v>
      </c>
      <c r="OU1203" s="2">
        <v>100</v>
      </c>
      <c r="OV1203" s="2">
        <v>100.4</v>
      </c>
      <c r="OW1203" s="2">
        <v>100.89</v>
      </c>
      <c r="OX1203" s="2">
        <v>101.07</v>
      </c>
      <c r="PC1203" s="2">
        <v>101.47</v>
      </c>
      <c r="PD1203" s="2">
        <v>101.62</v>
      </c>
      <c r="PE1203" s="2">
        <v>102.11</v>
      </c>
      <c r="PF1203" s="2">
        <v>102.84</v>
      </c>
      <c r="PG1203" s="2">
        <v>103.74</v>
      </c>
      <c r="PH1203" s="2">
        <v>104.13</v>
      </c>
      <c r="PI1203" s="2">
        <v>104.52</v>
      </c>
    </row>
    <row r="1204">
      <c r="A1204" t="inlineStr">
        <is>
          <t>A130400346F</t>
        </is>
      </c>
      <c r="B1204" t="inlineStr">
        <is>
          <t>Index Numbers ;  Maintenance and repair of the dwelling ;  Australia ;</t>
        </is>
      </c>
      <c r="C1204" t="inlineStr">
        <is>
          <t>Month</t>
        </is>
      </c>
      <c r="D1204" t="inlineStr">
        <is>
          <t>Index Numbers</t>
        </is>
      </c>
      <c r="E1204" t="inlineStr">
        <is>
          <t>Seasonally Adjusted</t>
        </is>
      </c>
      <c r="F1204" t="inlineStr">
        <is>
          <t>640107.xlsx</t>
        </is>
      </c>
      <c r="G1204" t="inlineStr">
        <is>
          <t>2024-04</t>
        </is>
      </c>
      <c r="H1204" t="inlineStr">
        <is>
          <t>2026-07</t>
        </is>
      </c>
      <c r="NZ1204" s="2">
        <v>96.25</v>
      </c>
      <c r="OA1204" s="2">
        <v>96.72</v>
      </c>
      <c r="OB1204" s="2">
        <v>96.69</v>
      </c>
      <c r="OC1204" s="2">
        <v>97.23</v>
      </c>
      <c r="OD1204" s="2">
        <v>97.06999999999999</v>
      </c>
      <c r="OE1204" s="2">
        <v>97.25</v>
      </c>
      <c r="OF1204" s="2">
        <v>97.89</v>
      </c>
      <c r="OG1204" s="2">
        <v>98.12</v>
      </c>
      <c r="OH1204" s="2">
        <v>97.90000000000001</v>
      </c>
      <c r="OM1204" s="2">
        <v>98.43000000000001</v>
      </c>
      <c r="ON1204" s="2">
        <v>98.34999999999999</v>
      </c>
      <c r="OO1204" s="2">
        <v>98.69</v>
      </c>
      <c r="OP1204" s="2">
        <v>98.84</v>
      </c>
      <c r="OQ1204" s="2">
        <v>98.90000000000001</v>
      </c>
      <c r="OR1204" s="2">
        <v>99</v>
      </c>
      <c r="OS1204" s="2">
        <v>99.84</v>
      </c>
      <c r="OT1204" s="2">
        <v>99.98</v>
      </c>
      <c r="OU1204" s="2">
        <v>100</v>
      </c>
      <c r="OV1204" s="2">
        <v>100.8</v>
      </c>
      <c r="OW1204" s="2">
        <v>100.91</v>
      </c>
      <c r="OX1204" s="2">
        <v>100.97</v>
      </c>
      <c r="PC1204" s="2">
        <v>101.21</v>
      </c>
      <c r="PD1204" s="2">
        <v>101.36</v>
      </c>
      <c r="PE1204" s="2">
        <v>101.42</v>
      </c>
      <c r="PF1204" s="2">
        <v>101.85</v>
      </c>
      <c r="PG1204" s="2">
        <v>102.51</v>
      </c>
      <c r="PH1204" s="2">
        <v>102.92</v>
      </c>
      <c r="PI1204" s="2">
        <v>103.37</v>
      </c>
    </row>
    <row r="1205">
      <c r="A1205" t="inlineStr">
        <is>
          <t>A130399954C</t>
        </is>
      </c>
      <c r="B1205" t="inlineStr">
        <is>
          <t>Index Numbers ;  Property rates and charges ;  Australia ;</t>
        </is>
      </c>
      <c r="C1205" t="inlineStr">
        <is>
          <t>Month</t>
        </is>
      </c>
      <c r="D1205" t="inlineStr">
        <is>
          <t>Index Numbers</t>
        </is>
      </c>
      <c r="E1205" t="inlineStr">
        <is>
          <t>Seasonally Adjusted</t>
        </is>
      </c>
      <c r="F1205" t="inlineStr">
        <is>
          <t>640107.xlsx</t>
        </is>
      </c>
      <c r="G1205" t="inlineStr">
        <is>
          <t>2017-09</t>
        </is>
      </c>
      <c r="H1205" t="inlineStr">
        <is>
          <t>2026-07</t>
        </is>
      </c>
      <c r="JW1205" s="2">
        <v>74.54000000000001</v>
      </c>
      <c r="JX1205" s="2">
        <v>74.83</v>
      </c>
      <c r="JY1205" s="2">
        <v>74.98</v>
      </c>
      <c r="JZ1205" s="2">
        <v>75.16</v>
      </c>
      <c r="KE1205" s="2">
        <v>75.34</v>
      </c>
      <c r="KF1205" s="2">
        <v>75.53</v>
      </c>
      <c r="KG1205" s="2">
        <v>75.70999999999999</v>
      </c>
      <c r="KH1205" s="2">
        <v>75.86</v>
      </c>
      <c r="KI1205" s="2">
        <v>76.05</v>
      </c>
      <c r="KJ1205" s="2">
        <v>76.22</v>
      </c>
      <c r="KK1205" s="2">
        <v>76.39</v>
      </c>
      <c r="KL1205" s="2">
        <v>76.76000000000001</v>
      </c>
      <c r="KM1205" s="2">
        <v>76.23999999999999</v>
      </c>
      <c r="KN1205" s="2">
        <v>76.54000000000001</v>
      </c>
      <c r="KO1205" s="2">
        <v>76.69</v>
      </c>
      <c r="KP1205" s="2">
        <v>76.86</v>
      </c>
      <c r="KU1205" s="2">
        <v>77.04000000000001</v>
      </c>
      <c r="KV1205" s="2">
        <v>77.22</v>
      </c>
      <c r="KW1205" s="2">
        <v>77.41</v>
      </c>
      <c r="KX1205" s="2">
        <v>77.59</v>
      </c>
      <c r="KY1205" s="2">
        <v>77.78</v>
      </c>
      <c r="KZ1205" s="2">
        <v>77.97</v>
      </c>
      <c r="LA1205" s="2">
        <v>78.14</v>
      </c>
      <c r="LB1205" s="2">
        <v>78.53</v>
      </c>
      <c r="LC1205" s="2">
        <v>78.16</v>
      </c>
      <c r="LD1205" s="2">
        <v>78.45</v>
      </c>
      <c r="LE1205" s="2">
        <v>78.61</v>
      </c>
      <c r="LF1205" s="2">
        <v>78.78</v>
      </c>
      <c r="LK1205" s="2">
        <v>78.97</v>
      </c>
      <c r="LL1205" s="2">
        <v>79.16</v>
      </c>
      <c r="LM1205" s="2">
        <v>79.36</v>
      </c>
      <c r="LN1205" s="2">
        <v>79.56999999999999</v>
      </c>
      <c r="LO1205" s="2">
        <v>79.78</v>
      </c>
      <c r="LP1205" s="2">
        <v>79.98999999999999</v>
      </c>
      <c r="LQ1205" s="2">
        <v>80.19</v>
      </c>
      <c r="LR1205" s="2">
        <v>80.56</v>
      </c>
      <c r="LS1205" s="2">
        <v>79.14</v>
      </c>
      <c r="LT1205" s="2">
        <v>79.39</v>
      </c>
      <c r="LU1205" s="2">
        <v>79.56999999999999</v>
      </c>
      <c r="LV1205" s="2">
        <v>79.76000000000001</v>
      </c>
      <c r="MA1205" s="2">
        <v>79.95</v>
      </c>
      <c r="MB1205" s="2">
        <v>80.16</v>
      </c>
      <c r="MC1205" s="2">
        <v>80.38</v>
      </c>
      <c r="MD1205" s="2">
        <v>80.61</v>
      </c>
      <c r="ME1205" s="2">
        <v>80.84999999999999</v>
      </c>
      <c r="MF1205" s="2">
        <v>81.09</v>
      </c>
      <c r="MG1205" s="2">
        <v>81.31999999999999</v>
      </c>
      <c r="MH1205" s="2">
        <v>81.64</v>
      </c>
      <c r="MI1205" s="2">
        <v>81.69</v>
      </c>
      <c r="MJ1205" s="2">
        <v>81.89</v>
      </c>
      <c r="MK1205" s="2">
        <v>82.09999999999999</v>
      </c>
      <c r="ML1205" s="2">
        <v>82.31</v>
      </c>
      <c r="MQ1205" s="2">
        <v>82.54000000000001</v>
      </c>
      <c r="MR1205" s="2">
        <v>82.77</v>
      </c>
      <c r="MS1205" s="2">
        <v>83.02</v>
      </c>
      <c r="MT1205" s="2">
        <v>83.28</v>
      </c>
      <c r="MU1205" s="2">
        <v>83.56</v>
      </c>
      <c r="MV1205" s="2">
        <v>83.84</v>
      </c>
      <c r="MW1205" s="2">
        <v>84.09</v>
      </c>
      <c r="MX1205" s="2">
        <v>84.37</v>
      </c>
      <c r="MY1205" s="2">
        <v>84.63</v>
      </c>
      <c r="MZ1205" s="2">
        <v>84.76000000000001</v>
      </c>
      <c r="NA1205" s="2">
        <v>85</v>
      </c>
      <c r="NB1205" s="2">
        <v>85.25</v>
      </c>
      <c r="NG1205" s="2">
        <v>85.51000000000001</v>
      </c>
      <c r="NH1205" s="2">
        <v>85.78</v>
      </c>
      <c r="NI1205" s="2">
        <v>86.06</v>
      </c>
      <c r="NJ1205" s="2">
        <v>86.36</v>
      </c>
      <c r="NK1205" s="2">
        <v>86.67</v>
      </c>
      <c r="NL1205" s="2">
        <v>86.98999999999999</v>
      </c>
      <c r="NM1205" s="2">
        <v>87.25</v>
      </c>
      <c r="NN1205" s="2">
        <v>87.5</v>
      </c>
      <c r="NO1205" s="2">
        <v>88.25</v>
      </c>
      <c r="NP1205" s="2">
        <v>88.33</v>
      </c>
      <c r="NQ1205" s="2">
        <v>88.59</v>
      </c>
      <c r="NR1205" s="2">
        <v>88.89</v>
      </c>
      <c r="NW1205" s="2">
        <v>89.19</v>
      </c>
      <c r="NX1205" s="2">
        <v>89.48999999999999</v>
      </c>
      <c r="NY1205" s="2">
        <v>89.81</v>
      </c>
      <c r="NZ1205" s="2">
        <v>90.14</v>
      </c>
      <c r="OA1205" s="2">
        <v>90.48</v>
      </c>
      <c r="OB1205" s="2">
        <v>90.83</v>
      </c>
      <c r="OC1205" s="2">
        <v>91.09999999999999</v>
      </c>
      <c r="OD1205" s="2">
        <v>91.33</v>
      </c>
      <c r="OE1205" s="2">
        <v>92.59</v>
      </c>
      <c r="OF1205" s="2">
        <v>92.63</v>
      </c>
      <c r="OG1205" s="2">
        <v>92.90000000000001</v>
      </c>
      <c r="OH1205" s="2">
        <v>93.25</v>
      </c>
      <c r="OM1205" s="2">
        <v>93.59</v>
      </c>
      <c r="ON1205" s="2">
        <v>93.93000000000001</v>
      </c>
      <c r="OO1205" s="2">
        <v>94.27</v>
      </c>
      <c r="OP1205" s="2">
        <v>94.63</v>
      </c>
      <c r="OQ1205" s="2">
        <v>95</v>
      </c>
      <c r="OR1205" s="2">
        <v>95.38</v>
      </c>
      <c r="OS1205" s="2">
        <v>95.65000000000001</v>
      </c>
      <c r="OT1205" s="2">
        <v>95.87</v>
      </c>
      <c r="OU1205" s="2">
        <v>98.36</v>
      </c>
      <c r="OV1205" s="2">
        <v>98.37</v>
      </c>
      <c r="OW1205" s="2">
        <v>98.67</v>
      </c>
      <c r="OX1205" s="2">
        <v>99.05</v>
      </c>
      <c r="PC1205" s="2">
        <v>99.43000000000001</v>
      </c>
      <c r="PD1205" s="2">
        <v>99.8</v>
      </c>
      <c r="PE1205" s="2">
        <v>100.17</v>
      </c>
      <c r="PF1205" s="2">
        <v>100.55</v>
      </c>
      <c r="PG1205" s="2">
        <v>100.95</v>
      </c>
      <c r="PH1205" s="2">
        <v>101.36</v>
      </c>
      <c r="PI1205" s="2">
        <v>101.64</v>
      </c>
    </row>
    <row r="1206">
      <c r="A1206" t="inlineStr">
        <is>
          <t>A130400374R</t>
        </is>
      </c>
      <c r="B1206" t="inlineStr">
        <is>
          <t>Index Numbers ;  Water and sewerage ;  Australia ;</t>
        </is>
      </c>
      <c r="C1206" t="inlineStr">
        <is>
          <t>Month</t>
        </is>
      </c>
      <c r="D1206" t="inlineStr">
        <is>
          <t>Index Numbers</t>
        </is>
      </c>
      <c r="E1206" t="inlineStr">
        <is>
          <t>Seasonally Adjusted</t>
        </is>
      </c>
      <c r="F1206" t="inlineStr">
        <is>
          <t>640107.xlsx</t>
        </is>
      </c>
      <c r="G1206" t="inlineStr">
        <is>
          <t>2024-04</t>
        </is>
      </c>
      <c r="H1206" t="inlineStr">
        <is>
          <t>2026-07</t>
        </is>
      </c>
      <c r="NZ1206" s="2">
        <v>95.39</v>
      </c>
      <c r="OA1206" s="2">
        <v>95.55</v>
      </c>
      <c r="OB1206" s="2">
        <v>95.73</v>
      </c>
      <c r="OC1206" s="2">
        <v>96.09</v>
      </c>
      <c r="OD1206" s="2">
        <v>96.31</v>
      </c>
      <c r="OE1206" s="2">
        <v>96.61</v>
      </c>
      <c r="OF1206" s="2">
        <v>96.84999999999999</v>
      </c>
      <c r="OG1206" s="2">
        <v>97.13</v>
      </c>
      <c r="OH1206" s="2">
        <v>97.33</v>
      </c>
      <c r="OM1206" s="2">
        <v>97.56</v>
      </c>
      <c r="ON1206" s="2">
        <v>97.72</v>
      </c>
      <c r="OO1206" s="2">
        <v>97.87</v>
      </c>
      <c r="OP1206" s="2">
        <v>98.04000000000001</v>
      </c>
      <c r="OQ1206" s="2">
        <v>98.2</v>
      </c>
      <c r="OR1206" s="2">
        <v>98.39</v>
      </c>
      <c r="OS1206" s="2">
        <v>98.72</v>
      </c>
      <c r="OT1206" s="2">
        <v>98.95999999999999</v>
      </c>
      <c r="OU1206" s="2">
        <v>99.22</v>
      </c>
      <c r="OV1206" s="2">
        <v>103.68</v>
      </c>
      <c r="OW1206" s="2">
        <v>103.97</v>
      </c>
      <c r="OX1206" s="2">
        <v>104.2</v>
      </c>
      <c r="PC1206" s="2">
        <v>104.43</v>
      </c>
      <c r="PD1206" s="2">
        <v>104.62</v>
      </c>
      <c r="PE1206" s="2">
        <v>104.8</v>
      </c>
      <c r="PF1206" s="2">
        <v>104.98</v>
      </c>
      <c r="PG1206" s="2">
        <v>105.17</v>
      </c>
      <c r="PH1206" s="2">
        <v>105.37</v>
      </c>
      <c r="PI1206" s="2">
        <v>108.81</v>
      </c>
    </row>
    <row r="1207">
      <c r="A1207" t="inlineStr">
        <is>
          <t>A130400003C</t>
        </is>
      </c>
      <c r="B1207" t="inlineStr">
        <is>
          <t>Index Numbers ;  Electricity ;  Australia ;</t>
        </is>
      </c>
      <c r="C1207" t="inlineStr">
        <is>
          <t>Month</t>
        </is>
      </c>
      <c r="D1207" t="inlineStr">
        <is>
          <t>Index Numbers</t>
        </is>
      </c>
      <c r="E1207" t="inlineStr">
        <is>
          <t>Seasonally Adjusted</t>
        </is>
      </c>
      <c r="F1207" t="inlineStr">
        <is>
          <t>640107.xlsx</t>
        </is>
      </c>
      <c r="G1207" t="inlineStr">
        <is>
          <t>2021-10</t>
        </is>
      </c>
      <c r="H1207" t="inlineStr">
        <is>
          <t>2026-07</t>
        </is>
      </c>
      <c r="MJ1207" s="2">
        <v>83.48</v>
      </c>
      <c r="MK1207" s="2">
        <v>84.73999999999999</v>
      </c>
      <c r="ML1207" s="2">
        <v>84.11</v>
      </c>
      <c r="MQ1207" s="2">
        <v>83.55</v>
      </c>
      <c r="MR1207" s="2">
        <v>83.78</v>
      </c>
      <c r="MS1207" s="2">
        <v>82.26000000000001</v>
      </c>
      <c r="MT1207" s="2">
        <v>82.83</v>
      </c>
      <c r="MU1207" s="2">
        <v>83.06999999999999</v>
      </c>
      <c r="MV1207" s="2">
        <v>85.7</v>
      </c>
      <c r="MW1207" s="2">
        <v>83.51000000000001</v>
      </c>
      <c r="MX1207" s="2">
        <v>85.81999999999999</v>
      </c>
      <c r="MY1207" s="2">
        <v>84.3</v>
      </c>
      <c r="MZ1207" s="2">
        <v>93.37</v>
      </c>
      <c r="NA1207" s="2">
        <v>93.79000000000001</v>
      </c>
      <c r="NB1207" s="2">
        <v>96.56999999999999</v>
      </c>
      <c r="NG1207" s="2">
        <v>96.29000000000001</v>
      </c>
      <c r="NH1207" s="2">
        <v>96.88</v>
      </c>
      <c r="NI1207" s="2">
        <v>95.12</v>
      </c>
      <c r="NJ1207" s="2">
        <v>95.37</v>
      </c>
      <c r="NK1207" s="2">
        <v>94.63</v>
      </c>
      <c r="NL1207" s="2">
        <v>94.43000000000001</v>
      </c>
      <c r="NM1207" s="2">
        <v>96.48999999999999</v>
      </c>
      <c r="NN1207" s="2">
        <v>96.73</v>
      </c>
      <c r="NO1207" s="2">
        <v>99.39</v>
      </c>
      <c r="NP1207" s="2">
        <v>102.65</v>
      </c>
      <c r="NQ1207" s="2">
        <v>103.98</v>
      </c>
      <c r="NR1207" s="2">
        <v>97.17</v>
      </c>
      <c r="NW1207" s="2">
        <v>96.97</v>
      </c>
      <c r="NX1207" s="2">
        <v>97.12</v>
      </c>
      <c r="NY1207" s="2">
        <v>100.04</v>
      </c>
      <c r="NZ1207" s="2">
        <v>99.38</v>
      </c>
      <c r="OA1207" s="2">
        <v>100.77</v>
      </c>
      <c r="OB1207" s="2">
        <v>101.46</v>
      </c>
      <c r="OC1207" s="2">
        <v>91.48</v>
      </c>
      <c r="OD1207" s="2">
        <v>79.52</v>
      </c>
      <c r="OE1207" s="2">
        <v>75.38</v>
      </c>
      <c r="OF1207" s="2">
        <v>66.01000000000001</v>
      </c>
      <c r="OG1207" s="2">
        <v>81.63</v>
      </c>
      <c r="OH1207" s="2">
        <v>79.98999999999999</v>
      </c>
      <c r="OM1207" s="2">
        <v>85.83</v>
      </c>
      <c r="ON1207" s="2">
        <v>84.34999999999999</v>
      </c>
      <c r="OO1207" s="2">
        <v>90.31999999999999</v>
      </c>
      <c r="OP1207" s="2">
        <v>92.94</v>
      </c>
      <c r="OQ1207" s="2">
        <v>94.68000000000001</v>
      </c>
      <c r="OR1207" s="2">
        <v>94.95999999999999</v>
      </c>
      <c r="OS1207" s="2">
        <v>103.88</v>
      </c>
      <c r="OT1207" s="2">
        <v>99.38</v>
      </c>
      <c r="OU1207" s="2">
        <v>100.71</v>
      </c>
      <c r="OV1207" s="2">
        <v>90.36</v>
      </c>
      <c r="OW1207" s="2">
        <v>97.77</v>
      </c>
      <c r="OX1207" s="2">
        <v>97.42</v>
      </c>
      <c r="PC1207" s="2">
        <v>113.37</v>
      </c>
      <c r="PD1207" s="2">
        <v>115.61</v>
      </c>
      <c r="PE1207" s="2">
        <v>113.23</v>
      </c>
      <c r="PF1207" s="2">
        <v>113.83</v>
      </c>
      <c r="PG1207" s="2">
        <v>114.64</v>
      </c>
      <c r="PH1207" s="2">
        <v>116.22</v>
      </c>
      <c r="PI1207" s="2">
        <v>110.16</v>
      </c>
    </row>
    <row r="1208">
      <c r="A1208" t="inlineStr">
        <is>
          <t>A130400402L</t>
        </is>
      </c>
      <c r="B1208" t="inlineStr">
        <is>
          <t>Index Numbers ;  Gas and other household fuels ;  Australia ;</t>
        </is>
      </c>
      <c r="C1208" t="inlineStr">
        <is>
          <t>Month</t>
        </is>
      </c>
      <c r="D1208" t="inlineStr">
        <is>
          <t>Index Numbers</t>
        </is>
      </c>
      <c r="E1208" t="inlineStr">
        <is>
          <t>Seasonally Adjusted</t>
        </is>
      </c>
      <c r="F1208" t="inlineStr">
        <is>
          <t>640107.xlsx</t>
        </is>
      </c>
      <c r="G1208" t="inlineStr">
        <is>
          <t>2021-10</t>
        </is>
      </c>
      <c r="H1208" t="inlineStr">
        <is>
          <t>2026-07</t>
        </is>
      </c>
      <c r="MJ1208" s="2">
        <v>67.62</v>
      </c>
      <c r="MK1208" s="2">
        <v>67.62</v>
      </c>
      <c r="ML1208" s="2">
        <v>69.25</v>
      </c>
      <c r="MQ1208" s="2">
        <v>70.67</v>
      </c>
      <c r="MR1208" s="2">
        <v>72.01000000000001</v>
      </c>
      <c r="MS1208" s="2">
        <v>72.59999999999999</v>
      </c>
      <c r="MT1208" s="2">
        <v>73.31999999999999</v>
      </c>
      <c r="MU1208" s="2">
        <v>73.28</v>
      </c>
      <c r="MV1208" s="2">
        <v>75.23999999999999</v>
      </c>
      <c r="MW1208" s="2">
        <v>78.06999999999999</v>
      </c>
      <c r="MX1208" s="2">
        <v>78.93000000000001</v>
      </c>
      <c r="MY1208" s="2">
        <v>78.95</v>
      </c>
      <c r="MZ1208" s="2">
        <v>79.22</v>
      </c>
      <c r="NA1208" s="2">
        <v>79.11</v>
      </c>
      <c r="NB1208" s="2">
        <v>82.23</v>
      </c>
      <c r="NG1208" s="2">
        <v>89.77</v>
      </c>
      <c r="NH1208" s="2">
        <v>90.64</v>
      </c>
      <c r="NI1208" s="2">
        <v>91.62</v>
      </c>
      <c r="NJ1208" s="2">
        <v>92.59999999999999</v>
      </c>
      <c r="NK1208" s="2">
        <v>93.20999999999999</v>
      </c>
      <c r="NL1208" s="2">
        <v>91.88</v>
      </c>
      <c r="NM1208" s="2">
        <v>88.95999999999999</v>
      </c>
      <c r="NN1208" s="2">
        <v>89.20999999999999</v>
      </c>
      <c r="NO1208" s="2">
        <v>88.94</v>
      </c>
      <c r="NP1208" s="2">
        <v>89.48</v>
      </c>
      <c r="NQ1208" s="2">
        <v>89.23999999999999</v>
      </c>
      <c r="NR1208" s="2">
        <v>89.29000000000001</v>
      </c>
      <c r="NW1208" s="2">
        <v>88.51000000000001</v>
      </c>
      <c r="NX1208" s="2">
        <v>88.54000000000001</v>
      </c>
      <c r="NY1208" s="2">
        <v>88.92</v>
      </c>
      <c r="NZ1208" s="2">
        <v>89.26000000000001</v>
      </c>
      <c r="OA1208" s="2">
        <v>89.58</v>
      </c>
      <c r="OB1208" s="2">
        <v>91.2</v>
      </c>
      <c r="OC1208" s="2">
        <v>91.52</v>
      </c>
      <c r="OD1208" s="2">
        <v>92.09999999999999</v>
      </c>
      <c r="OE1208" s="2">
        <v>91.56</v>
      </c>
      <c r="OF1208" s="2">
        <v>93.38</v>
      </c>
      <c r="OG1208" s="2">
        <v>93.88</v>
      </c>
      <c r="OH1208" s="2">
        <v>92.90000000000001</v>
      </c>
      <c r="OM1208" s="2">
        <v>93.79000000000001</v>
      </c>
      <c r="ON1208" s="2">
        <v>94.2</v>
      </c>
      <c r="OO1208" s="2">
        <v>94.51000000000001</v>
      </c>
      <c r="OP1208" s="2">
        <v>94.84999999999999</v>
      </c>
      <c r="OQ1208" s="2">
        <v>95.47</v>
      </c>
      <c r="OR1208" s="2">
        <v>94.88</v>
      </c>
      <c r="OS1208" s="2">
        <v>96</v>
      </c>
      <c r="OT1208" s="2">
        <v>95.95</v>
      </c>
      <c r="OU1208" s="2">
        <v>97.45999999999999</v>
      </c>
      <c r="OV1208" s="2">
        <v>96.91</v>
      </c>
      <c r="OW1208" s="2">
        <v>97.59</v>
      </c>
      <c r="OX1208" s="2">
        <v>98.42</v>
      </c>
      <c r="PC1208" s="2">
        <v>99.2</v>
      </c>
      <c r="PD1208" s="2">
        <v>99.40000000000001</v>
      </c>
      <c r="PE1208" s="2">
        <v>99.87</v>
      </c>
      <c r="PF1208" s="2">
        <v>100.21</v>
      </c>
      <c r="PG1208" s="2">
        <v>100.11</v>
      </c>
      <c r="PH1208" s="2">
        <v>101.53</v>
      </c>
      <c r="PI1208" s="2">
        <v>99.69</v>
      </c>
    </row>
    <row r="1209">
      <c r="A1209" t="inlineStr">
        <is>
          <t>A130400290F</t>
        </is>
      </c>
      <c r="B1209" t="inlineStr">
        <is>
          <t>Index Numbers ;  Furnishings, household equipment and services ;  Australia ;</t>
        </is>
      </c>
      <c r="C1209" t="inlineStr">
        <is>
          <t>Month</t>
        </is>
      </c>
      <c r="D1209" t="inlineStr">
        <is>
          <t>Index Numbers</t>
        </is>
      </c>
      <c r="E1209" t="inlineStr">
        <is>
          <t>Seasonally Adjusted</t>
        </is>
      </c>
      <c r="F1209" t="inlineStr">
        <is>
          <t>640107.xlsx</t>
        </is>
      </c>
      <c r="G1209" t="inlineStr">
        <is>
          <t>2024-04</t>
        </is>
      </c>
      <c r="H1209" t="inlineStr">
        <is>
          <t>2026-07</t>
        </is>
      </c>
      <c r="NZ1209" s="2">
        <v>100</v>
      </c>
      <c r="OA1209" s="2">
        <v>100.14</v>
      </c>
      <c r="OB1209" s="2">
        <v>100.31</v>
      </c>
      <c r="OC1209" s="2">
        <v>100.82</v>
      </c>
      <c r="OD1209" s="2">
        <v>101.24</v>
      </c>
      <c r="OE1209" s="2">
        <v>100.87</v>
      </c>
      <c r="OF1209" s="2">
        <v>101.57</v>
      </c>
      <c r="OG1209" s="2">
        <v>101.78</v>
      </c>
      <c r="OH1209" s="2">
        <v>101.53</v>
      </c>
      <c r="OM1209" s="2">
        <v>101.8</v>
      </c>
      <c r="ON1209" s="2">
        <v>101.68</v>
      </c>
      <c r="OO1209" s="2">
        <v>101.26</v>
      </c>
      <c r="OP1209" s="2">
        <v>101.77</v>
      </c>
      <c r="OQ1209" s="2">
        <v>101.54</v>
      </c>
      <c r="OR1209" s="2">
        <v>101.63</v>
      </c>
      <c r="OS1209" s="2">
        <v>102.58</v>
      </c>
      <c r="OT1209" s="2">
        <v>102.92</v>
      </c>
      <c r="OU1209" s="2">
        <v>102.61</v>
      </c>
      <c r="OV1209" s="2">
        <v>103.62</v>
      </c>
      <c r="OW1209" s="2">
        <v>102.98</v>
      </c>
      <c r="OX1209" s="2">
        <v>103.09</v>
      </c>
      <c r="PC1209" s="2">
        <v>103.18</v>
      </c>
      <c r="PD1209" s="2">
        <v>103.04</v>
      </c>
      <c r="PE1209" s="2">
        <v>102.69</v>
      </c>
      <c r="PF1209" s="2">
        <v>103.04</v>
      </c>
      <c r="PG1209" s="2">
        <v>103.27</v>
      </c>
      <c r="PH1209" s="2">
        <v>103.33</v>
      </c>
      <c r="PI1209" s="2">
        <v>104.18</v>
      </c>
    </row>
    <row r="1210">
      <c r="A1210" t="inlineStr">
        <is>
          <t>A130400724C</t>
        </is>
      </c>
      <c r="B1210" t="inlineStr">
        <is>
          <t>Index Numbers ;  Furniture ;  Australia ;</t>
        </is>
      </c>
      <c r="C1210" t="inlineStr">
        <is>
          <t>Month</t>
        </is>
      </c>
      <c r="D1210" t="inlineStr">
        <is>
          <t>Index Numbers</t>
        </is>
      </c>
      <c r="E1210" t="inlineStr">
        <is>
          <t>Seasonally Adjusted</t>
        </is>
      </c>
      <c r="F1210" t="inlineStr">
        <is>
          <t>640107.xlsx</t>
        </is>
      </c>
      <c r="G1210" t="inlineStr">
        <is>
          <t>2024-04</t>
        </is>
      </c>
      <c r="H1210" t="inlineStr">
        <is>
          <t>2026-07</t>
        </is>
      </c>
      <c r="NZ1210" s="2">
        <v>97.72</v>
      </c>
      <c r="OA1210" s="2">
        <v>98.3</v>
      </c>
      <c r="OB1210" s="2">
        <v>98.3</v>
      </c>
      <c r="OC1210" s="2">
        <v>99.01000000000001</v>
      </c>
      <c r="OD1210" s="2">
        <v>98.28</v>
      </c>
      <c r="OE1210" s="2">
        <v>99.61</v>
      </c>
      <c r="OF1210" s="2">
        <v>101.89</v>
      </c>
      <c r="OG1210" s="2">
        <v>100.63</v>
      </c>
      <c r="OH1210" s="2">
        <v>100.64</v>
      </c>
      <c r="OM1210" s="2">
        <v>100.64</v>
      </c>
      <c r="ON1210" s="2">
        <v>101.07</v>
      </c>
      <c r="OO1210" s="2">
        <v>99.47</v>
      </c>
      <c r="OP1210" s="2">
        <v>99.23999999999999</v>
      </c>
      <c r="OQ1210" s="2">
        <v>97.62</v>
      </c>
      <c r="OR1210" s="2">
        <v>97.62</v>
      </c>
      <c r="OS1210" s="2">
        <v>99.3</v>
      </c>
      <c r="OT1210" s="2">
        <v>97.56</v>
      </c>
      <c r="OU1210" s="2">
        <v>100</v>
      </c>
      <c r="OV1210" s="2">
        <v>102.53</v>
      </c>
      <c r="OW1210" s="2">
        <v>99.84</v>
      </c>
      <c r="OX1210" s="2">
        <v>98.78</v>
      </c>
      <c r="PC1210" s="2">
        <v>98.78</v>
      </c>
      <c r="PD1210" s="2">
        <v>98.87</v>
      </c>
      <c r="PE1210" s="2">
        <v>99.03</v>
      </c>
      <c r="PF1210" s="2">
        <v>98.75</v>
      </c>
      <c r="PG1210" s="2">
        <v>99.18000000000001</v>
      </c>
      <c r="PH1210" s="2">
        <v>99.18000000000001</v>
      </c>
      <c r="PI1210" s="2">
        <v>98.81</v>
      </c>
    </row>
    <row r="1211">
      <c r="A1211" t="inlineStr">
        <is>
          <t>A130400192A</t>
        </is>
      </c>
      <c r="B1211" t="inlineStr">
        <is>
          <t>Index Numbers ;  Carpets and other floor coverings ;  Australia ;</t>
        </is>
      </c>
      <c r="C1211" t="inlineStr">
        <is>
          <t>Month</t>
        </is>
      </c>
      <c r="D1211" t="inlineStr">
        <is>
          <t>Index Numbers</t>
        </is>
      </c>
      <c r="E1211" t="inlineStr">
        <is>
          <t>Seasonally Adjusted</t>
        </is>
      </c>
      <c r="F1211" t="inlineStr">
        <is>
          <t>640107.xlsx</t>
        </is>
      </c>
      <c r="G1211" t="inlineStr">
        <is>
          <t>2024-04</t>
        </is>
      </c>
      <c r="H1211" t="inlineStr">
        <is>
          <t>2026-07</t>
        </is>
      </c>
      <c r="NZ1211" s="2">
        <v>98.75</v>
      </c>
      <c r="OA1211" s="2">
        <v>97.5</v>
      </c>
      <c r="OB1211" s="2">
        <v>97.90000000000001</v>
      </c>
      <c r="OC1211" s="2">
        <v>98.28</v>
      </c>
      <c r="OD1211" s="2">
        <v>98.26000000000001</v>
      </c>
      <c r="OE1211" s="2">
        <v>98.36</v>
      </c>
      <c r="OF1211" s="2">
        <v>97.58</v>
      </c>
      <c r="OG1211" s="2">
        <v>97.95999999999999</v>
      </c>
      <c r="OH1211" s="2">
        <v>98.48999999999999</v>
      </c>
      <c r="OM1211" s="2">
        <v>97.23999999999999</v>
      </c>
      <c r="ON1211" s="2">
        <v>98.05</v>
      </c>
      <c r="OO1211" s="2">
        <v>98.14</v>
      </c>
      <c r="OP1211" s="2">
        <v>97.81</v>
      </c>
      <c r="OQ1211" s="2">
        <v>98.22</v>
      </c>
      <c r="OR1211" s="2">
        <v>97.22</v>
      </c>
      <c r="OS1211" s="2">
        <v>98.94</v>
      </c>
      <c r="OT1211" s="2">
        <v>99.88</v>
      </c>
      <c r="OU1211" s="2">
        <v>100</v>
      </c>
      <c r="OV1211" s="2">
        <v>99.38</v>
      </c>
      <c r="OW1211" s="2">
        <v>99.26000000000001</v>
      </c>
      <c r="OX1211" s="2">
        <v>100.15</v>
      </c>
      <c r="PC1211" s="2">
        <v>99.97</v>
      </c>
      <c r="PD1211" s="2">
        <v>100.75</v>
      </c>
      <c r="PE1211" s="2">
        <v>101.6</v>
      </c>
      <c r="PF1211" s="2">
        <v>101.04</v>
      </c>
      <c r="PG1211" s="2">
        <v>100.72</v>
      </c>
      <c r="PH1211" s="2">
        <v>100.81</v>
      </c>
      <c r="PI1211" s="2">
        <v>102.44</v>
      </c>
    </row>
    <row r="1212">
      <c r="A1212" t="inlineStr">
        <is>
          <t>A130400087X</t>
        </is>
      </c>
      <c r="B1212" t="inlineStr">
        <is>
          <t>Index Numbers ;  Household textiles ;  Australia ;</t>
        </is>
      </c>
      <c r="C1212" t="inlineStr">
        <is>
          <t>Month</t>
        </is>
      </c>
      <c r="D1212" t="inlineStr">
        <is>
          <t>Index Numbers</t>
        </is>
      </c>
      <c r="E1212" t="inlineStr">
        <is>
          <t>Seasonally Adjusted</t>
        </is>
      </c>
      <c r="F1212" t="inlineStr">
        <is>
          <t>640107.xlsx</t>
        </is>
      </c>
      <c r="G1212" t="inlineStr">
        <is>
          <t>2024-04</t>
        </is>
      </c>
      <c r="H1212" t="inlineStr">
        <is>
          <t>2026-07</t>
        </is>
      </c>
      <c r="NZ1212" s="2">
        <v>99.59999999999999</v>
      </c>
      <c r="OA1212" s="2">
        <v>99.7</v>
      </c>
      <c r="OB1212" s="2">
        <v>99.7</v>
      </c>
      <c r="OC1212" s="2">
        <v>100.57</v>
      </c>
      <c r="OD1212" s="2">
        <v>105.51</v>
      </c>
      <c r="OE1212" s="2">
        <v>100.02</v>
      </c>
      <c r="OF1212" s="2">
        <v>98.13</v>
      </c>
      <c r="OG1212" s="2">
        <v>104.45</v>
      </c>
      <c r="OH1212" s="2">
        <v>101.28</v>
      </c>
      <c r="OM1212" s="2">
        <v>101.28</v>
      </c>
      <c r="ON1212" s="2">
        <v>100.15</v>
      </c>
      <c r="OO1212" s="2">
        <v>100.34</v>
      </c>
      <c r="OP1212" s="2">
        <v>98</v>
      </c>
      <c r="OQ1212" s="2">
        <v>100.09</v>
      </c>
      <c r="OR1212" s="2">
        <v>100.1</v>
      </c>
      <c r="OS1212" s="2">
        <v>102.45</v>
      </c>
      <c r="OT1212" s="2">
        <v>101.48</v>
      </c>
      <c r="OU1212" s="2">
        <v>100</v>
      </c>
      <c r="OV1212" s="2">
        <v>101.69</v>
      </c>
      <c r="OW1212" s="2">
        <v>100.8</v>
      </c>
      <c r="OX1212" s="2">
        <v>100.8</v>
      </c>
      <c r="PC1212" s="2">
        <v>100.8</v>
      </c>
      <c r="PD1212" s="2">
        <v>100.32</v>
      </c>
      <c r="PE1212" s="2">
        <v>98.14</v>
      </c>
      <c r="PF1212" s="2">
        <v>96.52</v>
      </c>
      <c r="PG1212" s="2">
        <v>95.36</v>
      </c>
      <c r="PH1212" s="2">
        <v>95.98</v>
      </c>
      <c r="PI1212" s="2">
        <v>103.25</v>
      </c>
    </row>
    <row r="1213">
      <c r="A1213" t="inlineStr">
        <is>
          <t>A130400731A</t>
        </is>
      </c>
      <c r="B1213" t="inlineStr">
        <is>
          <t>Index Numbers ;  Major household appliances ;  Australia ;</t>
        </is>
      </c>
      <c r="C1213" t="inlineStr">
        <is>
          <t>Month</t>
        </is>
      </c>
      <c r="D1213" t="inlineStr">
        <is>
          <t>Index Numbers</t>
        </is>
      </c>
      <c r="E1213" t="inlineStr">
        <is>
          <t>Seasonally Adjusted</t>
        </is>
      </c>
      <c r="F1213" t="inlineStr">
        <is>
          <t>640107.xlsx</t>
        </is>
      </c>
      <c r="G1213" t="inlineStr">
        <is>
          <t>2024-04</t>
        </is>
      </c>
      <c r="H1213" t="inlineStr">
        <is>
          <t>2026-07</t>
        </is>
      </c>
      <c r="NZ1213" s="2">
        <v>101.35</v>
      </c>
      <c r="OA1213" s="2">
        <v>100.49</v>
      </c>
      <c r="OB1213" s="2">
        <v>99.37</v>
      </c>
      <c r="OC1213" s="2">
        <v>101.1</v>
      </c>
      <c r="OD1213" s="2">
        <v>100.01</v>
      </c>
      <c r="OE1213" s="2">
        <v>99.18000000000001</v>
      </c>
      <c r="OF1213" s="2">
        <v>100.67</v>
      </c>
      <c r="OG1213" s="2">
        <v>100.42</v>
      </c>
      <c r="OH1213" s="2">
        <v>98.84</v>
      </c>
      <c r="OM1213" s="2">
        <v>98.45</v>
      </c>
      <c r="ON1213" s="2">
        <v>98.95</v>
      </c>
      <c r="OO1213" s="2">
        <v>97.41</v>
      </c>
      <c r="OP1213" s="2">
        <v>99.81999999999999</v>
      </c>
      <c r="OQ1213" s="2">
        <v>101.62</v>
      </c>
      <c r="OR1213" s="2">
        <v>101.6</v>
      </c>
      <c r="OS1213" s="2">
        <v>100.08</v>
      </c>
      <c r="OT1213" s="2">
        <v>100.45</v>
      </c>
      <c r="OU1213" s="2">
        <v>100</v>
      </c>
      <c r="OV1213" s="2">
        <v>99.27</v>
      </c>
      <c r="OW1213" s="2">
        <v>99.44</v>
      </c>
      <c r="OX1213" s="2">
        <v>99.44</v>
      </c>
      <c r="PC1213" s="2">
        <v>98.90000000000001</v>
      </c>
      <c r="PD1213" s="2">
        <v>99.40000000000001</v>
      </c>
      <c r="PE1213" s="2">
        <v>96.97</v>
      </c>
      <c r="PF1213" s="2">
        <v>98.92</v>
      </c>
      <c r="PG1213" s="2">
        <v>99.2</v>
      </c>
      <c r="PH1213" s="2">
        <v>96.65000000000001</v>
      </c>
      <c r="PI1213" s="2">
        <v>100.51</v>
      </c>
    </row>
    <row r="1214">
      <c r="A1214" t="inlineStr">
        <is>
          <t>A130399968T</t>
        </is>
      </c>
      <c r="B1214" t="inlineStr">
        <is>
          <t>Index Numbers ;  Small electric household appliances ;  Australia ;</t>
        </is>
      </c>
      <c r="C1214" t="inlineStr">
        <is>
          <t>Month</t>
        </is>
      </c>
      <c r="D1214" t="inlineStr">
        <is>
          <t>Index Numbers</t>
        </is>
      </c>
      <c r="E1214" t="inlineStr">
        <is>
          <t>Seasonally Adjusted</t>
        </is>
      </c>
      <c r="F1214" t="inlineStr">
        <is>
          <t>640107.xlsx</t>
        </is>
      </c>
      <c r="G1214" t="inlineStr">
        <is>
          <t>2024-04</t>
        </is>
      </c>
      <c r="H1214" t="inlineStr">
        <is>
          <t>2026-07</t>
        </is>
      </c>
      <c r="NZ1214" s="2">
        <v>101.48</v>
      </c>
      <c r="OA1214" s="2">
        <v>104.09</v>
      </c>
      <c r="OB1214" s="2">
        <v>104.09</v>
      </c>
      <c r="OC1214" s="2">
        <v>103.88</v>
      </c>
      <c r="OD1214" s="2">
        <v>103.77</v>
      </c>
      <c r="OE1214" s="2">
        <v>100.04</v>
      </c>
      <c r="OF1214" s="2">
        <v>101.33</v>
      </c>
      <c r="OG1214" s="2">
        <v>102.36</v>
      </c>
      <c r="OH1214" s="2">
        <v>102.36</v>
      </c>
      <c r="OM1214" s="2">
        <v>102.36</v>
      </c>
      <c r="ON1214" s="2">
        <v>100.94</v>
      </c>
      <c r="OO1214" s="2">
        <v>99.16</v>
      </c>
      <c r="OP1214" s="2">
        <v>100.91</v>
      </c>
      <c r="OQ1214" s="2">
        <v>100.65</v>
      </c>
      <c r="OR1214" s="2">
        <v>98.94</v>
      </c>
      <c r="OS1214" s="2">
        <v>99.62</v>
      </c>
      <c r="OT1214" s="2">
        <v>103.44</v>
      </c>
      <c r="OU1214" s="2">
        <v>100</v>
      </c>
      <c r="OV1214" s="2">
        <v>101.49</v>
      </c>
      <c r="OW1214" s="2">
        <v>102.13</v>
      </c>
      <c r="OX1214" s="2">
        <v>102.13</v>
      </c>
      <c r="PC1214" s="2">
        <v>102.13</v>
      </c>
      <c r="PD1214" s="2">
        <v>100.82</v>
      </c>
      <c r="PE1214" s="2">
        <v>99.06999999999999</v>
      </c>
      <c r="PF1214" s="2">
        <v>98.90000000000001</v>
      </c>
      <c r="PG1214" s="2">
        <v>99</v>
      </c>
      <c r="PH1214" s="2">
        <v>98.43000000000001</v>
      </c>
      <c r="PI1214" s="2">
        <v>100.27</v>
      </c>
    </row>
    <row r="1215">
      <c r="A1215" t="inlineStr">
        <is>
          <t>A130399975R</t>
        </is>
      </c>
      <c r="B1215" t="inlineStr">
        <is>
          <t>Index Numbers ;  Glassware, tableware and household utensils ;  Australia ;</t>
        </is>
      </c>
      <c r="C1215" t="inlineStr">
        <is>
          <t>Month</t>
        </is>
      </c>
      <c r="D1215" t="inlineStr">
        <is>
          <t>Index Numbers</t>
        </is>
      </c>
      <c r="E1215" t="inlineStr">
        <is>
          <t>Seasonally Adjusted</t>
        </is>
      </c>
      <c r="F1215" t="inlineStr">
        <is>
          <t>640107.xlsx</t>
        </is>
      </c>
      <c r="G1215" t="inlineStr">
        <is>
          <t>2024-04</t>
        </is>
      </c>
      <c r="H1215" t="inlineStr">
        <is>
          <t>2026-07</t>
        </is>
      </c>
      <c r="NZ1215" s="2">
        <v>100.01</v>
      </c>
      <c r="OA1215" s="2">
        <v>99.06</v>
      </c>
      <c r="OB1215" s="2">
        <v>99.06999999999999</v>
      </c>
      <c r="OC1215" s="2">
        <v>101.44</v>
      </c>
      <c r="OD1215" s="2">
        <v>103.83</v>
      </c>
      <c r="OE1215" s="2">
        <v>100.45</v>
      </c>
      <c r="OF1215" s="2">
        <v>104.26</v>
      </c>
      <c r="OG1215" s="2">
        <v>101.99</v>
      </c>
      <c r="OH1215" s="2">
        <v>100.46</v>
      </c>
      <c r="OM1215" s="2">
        <v>100.26</v>
      </c>
      <c r="ON1215" s="2">
        <v>98.92</v>
      </c>
      <c r="OO1215" s="2">
        <v>94.73999999999999</v>
      </c>
      <c r="OP1215" s="2">
        <v>101</v>
      </c>
      <c r="OQ1215" s="2">
        <v>97.25</v>
      </c>
      <c r="OR1215" s="2">
        <v>97.25</v>
      </c>
      <c r="OS1215" s="2">
        <v>100.55</v>
      </c>
      <c r="OT1215" s="2">
        <v>108.5</v>
      </c>
      <c r="OU1215" s="2">
        <v>100</v>
      </c>
      <c r="OV1215" s="2">
        <v>103.5</v>
      </c>
      <c r="OW1215" s="2">
        <v>99.81999999999999</v>
      </c>
      <c r="OX1215" s="2">
        <v>99.81999999999999</v>
      </c>
      <c r="PC1215" s="2">
        <v>101.59</v>
      </c>
      <c r="PD1215" s="2">
        <v>99.75</v>
      </c>
      <c r="PE1215" s="2">
        <v>96.03</v>
      </c>
      <c r="PF1215" s="2">
        <v>98.52</v>
      </c>
      <c r="PG1215" s="2">
        <v>100.14</v>
      </c>
      <c r="PH1215" s="2">
        <v>100.14</v>
      </c>
      <c r="PI1215" s="2">
        <v>100.14</v>
      </c>
    </row>
    <row r="1216">
      <c r="A1216" t="inlineStr">
        <is>
          <t>A130400584L</t>
        </is>
      </c>
      <c r="B1216" t="inlineStr">
        <is>
          <t>Index Numbers ;  Tools and equipment for house and garden ;  Australia ;</t>
        </is>
      </c>
      <c r="C1216" t="inlineStr">
        <is>
          <t>Month</t>
        </is>
      </c>
      <c r="D1216" t="inlineStr">
        <is>
          <t>Index Numbers</t>
        </is>
      </c>
      <c r="E1216" t="inlineStr">
        <is>
          <t>Seasonally Adjusted</t>
        </is>
      </c>
      <c r="F1216" t="inlineStr">
        <is>
          <t>640107.xlsx</t>
        </is>
      </c>
      <c r="G1216" t="inlineStr">
        <is>
          <t>2024-04</t>
        </is>
      </c>
      <c r="H1216" t="inlineStr">
        <is>
          <t>2026-07</t>
        </is>
      </c>
      <c r="NZ1216" s="2">
        <v>101.6</v>
      </c>
      <c r="OA1216" s="2">
        <v>101.36</v>
      </c>
      <c r="OB1216" s="2">
        <v>101.55</v>
      </c>
      <c r="OC1216" s="2">
        <v>102.31</v>
      </c>
      <c r="OD1216" s="2">
        <v>102.15</v>
      </c>
      <c r="OE1216" s="2">
        <v>101.57</v>
      </c>
      <c r="OF1216" s="2">
        <v>100.89</v>
      </c>
      <c r="OG1216" s="2">
        <v>100.26</v>
      </c>
      <c r="OH1216" s="2">
        <v>100.95</v>
      </c>
      <c r="OM1216" s="2">
        <v>100.89</v>
      </c>
      <c r="ON1216" s="2">
        <v>99.76000000000001</v>
      </c>
      <c r="OO1216" s="2">
        <v>99.95</v>
      </c>
      <c r="OP1216" s="2">
        <v>100.98</v>
      </c>
      <c r="OQ1216" s="2">
        <v>100.86</v>
      </c>
      <c r="OR1216" s="2">
        <v>100.84</v>
      </c>
      <c r="OS1216" s="2">
        <v>100.29</v>
      </c>
      <c r="OT1216" s="2">
        <v>100.47</v>
      </c>
      <c r="OU1216" s="2">
        <v>100</v>
      </c>
      <c r="OV1216" s="2">
        <v>100.06</v>
      </c>
      <c r="OW1216" s="2">
        <v>99.83</v>
      </c>
      <c r="OX1216" s="2">
        <v>99.5</v>
      </c>
      <c r="PC1216" s="2">
        <v>99.2</v>
      </c>
      <c r="PD1216" s="2">
        <v>99.72</v>
      </c>
      <c r="PE1216" s="2">
        <v>98.81999999999999</v>
      </c>
      <c r="PF1216" s="2">
        <v>100.26</v>
      </c>
      <c r="PG1216" s="2">
        <v>100.76</v>
      </c>
      <c r="PH1216" s="2">
        <v>101.91</v>
      </c>
      <c r="PI1216" s="2">
        <v>102.37</v>
      </c>
    </row>
    <row r="1217">
      <c r="A1217" t="inlineStr">
        <is>
          <t>A130400353C</t>
        </is>
      </c>
      <c r="B1217" t="inlineStr">
        <is>
          <t>Index Numbers ;  Cleaning and maintenance products ;  Australia ;</t>
        </is>
      </c>
      <c r="C1217" t="inlineStr">
        <is>
          <t>Month</t>
        </is>
      </c>
      <c r="D1217" t="inlineStr">
        <is>
          <t>Index Numbers</t>
        </is>
      </c>
      <c r="E1217" t="inlineStr">
        <is>
          <t>Seasonally Adjusted</t>
        </is>
      </c>
      <c r="F1217" t="inlineStr">
        <is>
          <t>640107.xlsx</t>
        </is>
      </c>
      <c r="G1217" t="inlineStr">
        <is>
          <t>2017-09</t>
        </is>
      </c>
      <c r="H1217" t="inlineStr">
        <is>
          <t>2026-07</t>
        </is>
      </c>
      <c r="JW1217" s="2">
        <v>80.40000000000001</v>
      </c>
      <c r="JX1217" s="2">
        <v>80.14</v>
      </c>
      <c r="JY1217" s="2">
        <v>78.76000000000001</v>
      </c>
      <c r="JZ1217" s="2">
        <v>78.26000000000001</v>
      </c>
      <c r="KE1217" s="2">
        <v>78.68000000000001</v>
      </c>
      <c r="KF1217" s="2">
        <v>77.95</v>
      </c>
      <c r="KG1217" s="2">
        <v>78.31</v>
      </c>
      <c r="KH1217" s="2">
        <v>77.12</v>
      </c>
      <c r="KI1217" s="2">
        <v>76.09999999999999</v>
      </c>
      <c r="KJ1217" s="2">
        <v>77.53</v>
      </c>
      <c r="KK1217" s="2">
        <v>77.65000000000001</v>
      </c>
      <c r="KL1217" s="2">
        <v>77.76000000000001</v>
      </c>
      <c r="KM1217" s="2">
        <v>77.84999999999999</v>
      </c>
      <c r="KN1217" s="2">
        <v>78.09999999999999</v>
      </c>
      <c r="KO1217" s="2">
        <v>77.92</v>
      </c>
      <c r="KP1217" s="2">
        <v>78.13</v>
      </c>
      <c r="KU1217" s="2">
        <v>77.59</v>
      </c>
      <c r="KV1217" s="2">
        <v>77.81999999999999</v>
      </c>
      <c r="KW1217" s="2">
        <v>78.08</v>
      </c>
      <c r="KX1217" s="2">
        <v>78.59</v>
      </c>
      <c r="KY1217" s="2">
        <v>78.16</v>
      </c>
      <c r="KZ1217" s="2">
        <v>78.63</v>
      </c>
      <c r="LA1217" s="2">
        <v>79.78</v>
      </c>
      <c r="LB1217" s="2">
        <v>79.15000000000001</v>
      </c>
      <c r="LC1217" s="2">
        <v>79.23999999999999</v>
      </c>
      <c r="LD1217" s="2">
        <v>79.55</v>
      </c>
      <c r="LE1217" s="2">
        <v>79.89</v>
      </c>
      <c r="LF1217" s="2">
        <v>80.25</v>
      </c>
      <c r="LK1217" s="2">
        <v>79.26000000000001</v>
      </c>
      <c r="LL1217" s="2">
        <v>80.40000000000001</v>
      </c>
      <c r="LM1217" s="2">
        <v>84.63</v>
      </c>
      <c r="LN1217" s="2">
        <v>88.91</v>
      </c>
      <c r="LO1217" s="2">
        <v>84.43000000000001</v>
      </c>
      <c r="LP1217" s="2">
        <v>83.06999999999999</v>
      </c>
      <c r="LQ1217" s="2">
        <v>82.29000000000001</v>
      </c>
      <c r="LR1217" s="2">
        <v>82.18000000000001</v>
      </c>
      <c r="LS1217" s="2">
        <v>81.87</v>
      </c>
      <c r="LT1217" s="2">
        <v>81.72</v>
      </c>
      <c r="LU1217" s="2">
        <v>82.77</v>
      </c>
      <c r="LV1217" s="2">
        <v>83.09999999999999</v>
      </c>
      <c r="MA1217" s="2">
        <v>82.14</v>
      </c>
      <c r="MB1217" s="2">
        <v>82.14</v>
      </c>
      <c r="MC1217" s="2">
        <v>80.90000000000001</v>
      </c>
      <c r="MD1217" s="2">
        <v>81.70999999999999</v>
      </c>
      <c r="ME1217" s="2">
        <v>82.14</v>
      </c>
      <c r="MF1217" s="2">
        <v>82.53</v>
      </c>
      <c r="MG1217" s="2">
        <v>82.84</v>
      </c>
      <c r="MH1217" s="2">
        <v>83.33</v>
      </c>
      <c r="MI1217" s="2">
        <v>83.03</v>
      </c>
      <c r="MJ1217" s="2">
        <v>83.31</v>
      </c>
      <c r="MK1217" s="2">
        <v>83.84</v>
      </c>
      <c r="ML1217" s="2">
        <v>85.08</v>
      </c>
      <c r="MQ1217" s="2">
        <v>86.53</v>
      </c>
      <c r="MR1217" s="2">
        <v>88.03</v>
      </c>
      <c r="MS1217" s="2">
        <v>88.75</v>
      </c>
      <c r="MT1217" s="2">
        <v>90.01000000000001</v>
      </c>
      <c r="MU1217" s="2">
        <v>91.17</v>
      </c>
      <c r="MV1217" s="2">
        <v>91.69</v>
      </c>
      <c r="MW1217" s="2">
        <v>91.59</v>
      </c>
      <c r="MX1217" s="2">
        <v>92.56999999999999</v>
      </c>
      <c r="MY1217" s="2">
        <v>93.73999999999999</v>
      </c>
      <c r="MZ1217" s="2">
        <v>93.39</v>
      </c>
      <c r="NA1217" s="2">
        <v>99.28</v>
      </c>
      <c r="NB1217" s="2">
        <v>98.42</v>
      </c>
      <c r="NG1217" s="2">
        <v>98.61</v>
      </c>
      <c r="NH1217" s="2">
        <v>98.41</v>
      </c>
      <c r="NI1217" s="2">
        <v>98.73999999999999</v>
      </c>
      <c r="NJ1217" s="2">
        <v>98.90000000000001</v>
      </c>
      <c r="NK1217" s="2">
        <v>99.54000000000001</v>
      </c>
      <c r="NL1217" s="2">
        <v>99.92</v>
      </c>
      <c r="NM1217" s="2">
        <v>99.87</v>
      </c>
      <c r="NN1217" s="2">
        <v>99.87</v>
      </c>
      <c r="NO1217" s="2">
        <v>100.94</v>
      </c>
      <c r="NP1217" s="2">
        <v>100.87</v>
      </c>
      <c r="NQ1217" s="2">
        <v>101.05</v>
      </c>
      <c r="NR1217" s="2">
        <v>100.56</v>
      </c>
      <c r="NW1217" s="2">
        <v>100.24</v>
      </c>
      <c r="NX1217" s="2">
        <v>100.31</v>
      </c>
      <c r="NY1217" s="2">
        <v>100.62</v>
      </c>
      <c r="NZ1217" s="2">
        <v>100.1</v>
      </c>
      <c r="OA1217" s="2">
        <v>99.12</v>
      </c>
      <c r="OB1217" s="2">
        <v>99.47</v>
      </c>
      <c r="OC1217" s="2">
        <v>99.22</v>
      </c>
      <c r="OD1217" s="2">
        <v>99.34999999999999</v>
      </c>
      <c r="OE1217" s="2">
        <v>98.61</v>
      </c>
      <c r="OF1217" s="2">
        <v>98.91</v>
      </c>
      <c r="OG1217" s="2">
        <v>98.39</v>
      </c>
      <c r="OH1217" s="2">
        <v>98.69</v>
      </c>
      <c r="OM1217" s="2">
        <v>99.09</v>
      </c>
      <c r="ON1217" s="2">
        <v>99.25</v>
      </c>
      <c r="OO1217" s="2">
        <v>99.31999999999999</v>
      </c>
      <c r="OP1217" s="2">
        <v>98.95</v>
      </c>
      <c r="OQ1217" s="2">
        <v>99.15000000000001</v>
      </c>
      <c r="OR1217" s="2">
        <v>99.92</v>
      </c>
      <c r="OS1217" s="2">
        <v>100.2</v>
      </c>
      <c r="OT1217" s="2">
        <v>99.90000000000001</v>
      </c>
      <c r="OU1217" s="2">
        <v>100.05</v>
      </c>
      <c r="OV1217" s="2">
        <v>99.98999999999999</v>
      </c>
      <c r="OW1217" s="2">
        <v>99.84</v>
      </c>
      <c r="OX1217" s="2">
        <v>100.44</v>
      </c>
      <c r="PC1217" s="2">
        <v>100.2</v>
      </c>
      <c r="PD1217" s="2">
        <v>99.55</v>
      </c>
      <c r="PE1217" s="2">
        <v>99.40000000000001</v>
      </c>
      <c r="PF1217" s="2">
        <v>100.06</v>
      </c>
      <c r="PG1217" s="2">
        <v>100.18</v>
      </c>
      <c r="PH1217" s="2">
        <v>100.07</v>
      </c>
      <c r="PI1217" s="2">
        <v>100.96</v>
      </c>
    </row>
    <row r="1218">
      <c r="A1218" t="inlineStr">
        <is>
          <t>A130400759C</t>
        </is>
      </c>
      <c r="B1218" t="inlineStr">
        <is>
          <t>Index Numbers ;  Personal care products ;  Australia ;</t>
        </is>
      </c>
      <c r="C1218" t="inlineStr">
        <is>
          <t>Month</t>
        </is>
      </c>
      <c r="D1218" t="inlineStr">
        <is>
          <t>Index Numbers</t>
        </is>
      </c>
      <c r="E1218" t="inlineStr">
        <is>
          <t>Seasonally Adjusted</t>
        </is>
      </c>
      <c r="F1218" t="inlineStr">
        <is>
          <t>640107.xlsx</t>
        </is>
      </c>
      <c r="G1218" t="inlineStr">
        <is>
          <t>2017-09</t>
        </is>
      </c>
      <c r="H1218" t="inlineStr">
        <is>
          <t>2026-07</t>
        </is>
      </c>
      <c r="JW1218" s="2">
        <v>86.29000000000001</v>
      </c>
      <c r="JX1218" s="2">
        <v>85.8</v>
      </c>
      <c r="JY1218" s="2">
        <v>86.06</v>
      </c>
      <c r="JZ1218" s="2">
        <v>86.43000000000001</v>
      </c>
      <c r="KE1218" s="2">
        <v>86.19</v>
      </c>
      <c r="KF1218" s="2">
        <v>85.43000000000001</v>
      </c>
      <c r="KG1218" s="2">
        <v>85.63</v>
      </c>
      <c r="KH1218" s="2">
        <v>84.02</v>
      </c>
      <c r="KI1218" s="2">
        <v>84.56999999999999</v>
      </c>
      <c r="KJ1218" s="2">
        <v>85.43000000000001</v>
      </c>
      <c r="KK1218" s="2">
        <v>84.42</v>
      </c>
      <c r="KL1218" s="2">
        <v>84.34999999999999</v>
      </c>
      <c r="KM1218" s="2">
        <v>84.39</v>
      </c>
      <c r="KN1218" s="2">
        <v>84.06</v>
      </c>
      <c r="KO1218" s="2">
        <v>84.51000000000001</v>
      </c>
      <c r="KP1218" s="2">
        <v>84.62</v>
      </c>
      <c r="KU1218" s="2">
        <v>84.55</v>
      </c>
      <c r="KV1218" s="2">
        <v>85.14</v>
      </c>
      <c r="KW1218" s="2">
        <v>84.28</v>
      </c>
      <c r="KX1218" s="2">
        <v>85.3</v>
      </c>
      <c r="KY1218" s="2">
        <v>85.38</v>
      </c>
      <c r="KZ1218" s="2">
        <v>84.90000000000001</v>
      </c>
      <c r="LA1218" s="2">
        <v>85.38</v>
      </c>
      <c r="LB1218" s="2">
        <v>84.43000000000001</v>
      </c>
      <c r="LC1218" s="2">
        <v>84.45999999999999</v>
      </c>
      <c r="LD1218" s="2">
        <v>85.08</v>
      </c>
      <c r="LE1218" s="2">
        <v>86.31</v>
      </c>
      <c r="LF1218" s="2">
        <v>84.78</v>
      </c>
      <c r="LK1218" s="2">
        <v>85.40000000000001</v>
      </c>
      <c r="LL1218" s="2">
        <v>85.23</v>
      </c>
      <c r="LM1218" s="2">
        <v>89.44</v>
      </c>
      <c r="LN1218" s="2">
        <v>93.52</v>
      </c>
      <c r="LO1218" s="2">
        <v>89.64</v>
      </c>
      <c r="LP1218" s="2">
        <v>87.01000000000001</v>
      </c>
      <c r="LQ1218" s="2">
        <v>87.7</v>
      </c>
      <c r="LR1218" s="2">
        <v>87.31</v>
      </c>
      <c r="LS1218" s="2">
        <v>87.26000000000001</v>
      </c>
      <c r="LT1218" s="2">
        <v>87.43000000000001</v>
      </c>
      <c r="LU1218" s="2">
        <v>87.08</v>
      </c>
      <c r="LV1218" s="2">
        <v>86.81999999999999</v>
      </c>
      <c r="MA1218" s="2">
        <v>86.56999999999999</v>
      </c>
      <c r="MB1218" s="2">
        <v>86.91</v>
      </c>
      <c r="MC1218" s="2">
        <v>86.38</v>
      </c>
      <c r="MD1218" s="2">
        <v>86.56999999999999</v>
      </c>
      <c r="ME1218" s="2">
        <v>86.12</v>
      </c>
      <c r="MF1218" s="2">
        <v>86.38</v>
      </c>
      <c r="MG1218" s="2">
        <v>86.42</v>
      </c>
      <c r="MH1218" s="2">
        <v>87.45999999999999</v>
      </c>
      <c r="MI1218" s="2">
        <v>87.98999999999999</v>
      </c>
      <c r="MJ1218" s="2">
        <v>88.31</v>
      </c>
      <c r="MK1218" s="2">
        <v>88.54000000000001</v>
      </c>
      <c r="ML1218" s="2">
        <v>88.63</v>
      </c>
      <c r="MQ1218" s="2">
        <v>89.3</v>
      </c>
      <c r="MR1218" s="2">
        <v>89.08</v>
      </c>
      <c r="MS1218" s="2">
        <v>90.19</v>
      </c>
      <c r="MT1218" s="2">
        <v>91.12</v>
      </c>
      <c r="MU1218" s="2">
        <v>92.03</v>
      </c>
      <c r="MV1218" s="2">
        <v>92.3</v>
      </c>
      <c r="MW1218" s="2">
        <v>92.67</v>
      </c>
      <c r="MX1218" s="2">
        <v>94.09999999999999</v>
      </c>
      <c r="MY1218" s="2">
        <v>94.64</v>
      </c>
      <c r="MZ1218" s="2">
        <v>95.29000000000001</v>
      </c>
      <c r="NA1218" s="2">
        <v>96.22</v>
      </c>
      <c r="NB1218" s="2">
        <v>97.01000000000001</v>
      </c>
      <c r="NG1218" s="2">
        <v>95.5</v>
      </c>
      <c r="NH1218" s="2">
        <v>97.87</v>
      </c>
      <c r="NI1218" s="2">
        <v>97.91</v>
      </c>
      <c r="NJ1218" s="2">
        <v>97.64</v>
      </c>
      <c r="NK1218" s="2">
        <v>98.26000000000001</v>
      </c>
      <c r="NL1218" s="2">
        <v>98.55</v>
      </c>
      <c r="NM1218" s="2">
        <v>98.48999999999999</v>
      </c>
      <c r="NN1218" s="2">
        <v>98.38</v>
      </c>
      <c r="NO1218" s="2">
        <v>99.13</v>
      </c>
      <c r="NP1218" s="2">
        <v>98.05</v>
      </c>
      <c r="NQ1218" s="2">
        <v>98.59</v>
      </c>
      <c r="NR1218" s="2">
        <v>99.59</v>
      </c>
      <c r="NW1218" s="2">
        <v>99.17</v>
      </c>
      <c r="NX1218" s="2">
        <v>98.33</v>
      </c>
      <c r="NY1218" s="2">
        <v>99.48999999999999</v>
      </c>
      <c r="NZ1218" s="2">
        <v>98.29000000000001</v>
      </c>
      <c r="OA1218" s="2">
        <v>98.90000000000001</v>
      </c>
      <c r="OB1218" s="2">
        <v>99.09999999999999</v>
      </c>
      <c r="OC1218" s="2">
        <v>98.77</v>
      </c>
      <c r="OD1218" s="2">
        <v>98.72</v>
      </c>
      <c r="OE1218" s="2">
        <v>97.84</v>
      </c>
      <c r="OF1218" s="2">
        <v>98.48</v>
      </c>
      <c r="OG1218" s="2">
        <v>98.37</v>
      </c>
      <c r="OH1218" s="2">
        <v>97.28</v>
      </c>
      <c r="OM1218" s="2">
        <v>98.87</v>
      </c>
      <c r="ON1218" s="2">
        <v>99.09</v>
      </c>
      <c r="OO1218" s="2">
        <v>99.02</v>
      </c>
      <c r="OP1218" s="2">
        <v>99.90000000000001</v>
      </c>
      <c r="OQ1218" s="2">
        <v>98.98999999999999</v>
      </c>
      <c r="OR1218" s="2">
        <v>98.7</v>
      </c>
      <c r="OS1218" s="2">
        <v>100.04</v>
      </c>
      <c r="OT1218" s="2">
        <v>100.03</v>
      </c>
      <c r="OU1218" s="2">
        <v>100.11</v>
      </c>
      <c r="OV1218" s="2">
        <v>100.58</v>
      </c>
      <c r="OW1218" s="2">
        <v>100.16</v>
      </c>
      <c r="OX1218" s="2">
        <v>100.73</v>
      </c>
      <c r="PC1218" s="2">
        <v>100.05</v>
      </c>
      <c r="PD1218" s="2">
        <v>100.8</v>
      </c>
      <c r="PE1218" s="2">
        <v>99.8</v>
      </c>
      <c r="PF1218" s="2">
        <v>100.65</v>
      </c>
      <c r="PG1218" s="2">
        <v>100.38</v>
      </c>
      <c r="PH1218" s="2">
        <v>100.3</v>
      </c>
      <c r="PI1218" s="2">
        <v>99.14</v>
      </c>
    </row>
    <row r="1219">
      <c r="A1219" t="inlineStr">
        <is>
          <t>A130400801W</t>
        </is>
      </c>
      <c r="B1219" t="inlineStr">
        <is>
          <t>Index Numbers ;  Other non-durable household products ;  Australia ;</t>
        </is>
      </c>
      <c r="C1219" t="inlineStr">
        <is>
          <t>Month</t>
        </is>
      </c>
      <c r="D1219" t="inlineStr">
        <is>
          <t>Index Numbers</t>
        </is>
      </c>
      <c r="E1219" t="inlineStr">
        <is>
          <t>Seasonally Adjusted</t>
        </is>
      </c>
      <c r="F1219" t="inlineStr">
        <is>
          <t>640107.xlsx</t>
        </is>
      </c>
      <c r="G1219" t="inlineStr">
        <is>
          <t>2017-09</t>
        </is>
      </c>
      <c r="H1219" t="inlineStr">
        <is>
          <t>2026-07</t>
        </is>
      </c>
      <c r="JW1219" s="2">
        <v>82.66</v>
      </c>
      <c r="JX1219" s="2">
        <v>82.03</v>
      </c>
      <c r="JY1219" s="2">
        <v>81.89</v>
      </c>
      <c r="JZ1219" s="2">
        <v>81.97</v>
      </c>
      <c r="KE1219" s="2">
        <v>82.73</v>
      </c>
      <c r="KF1219" s="2">
        <v>81.48</v>
      </c>
      <c r="KG1219" s="2">
        <v>81.58</v>
      </c>
      <c r="KH1219" s="2">
        <v>81.45999999999999</v>
      </c>
      <c r="KI1219" s="2">
        <v>81.54000000000001</v>
      </c>
      <c r="KJ1219" s="2">
        <v>81.61</v>
      </c>
      <c r="KK1219" s="2">
        <v>81.56999999999999</v>
      </c>
      <c r="KL1219" s="2">
        <v>81.91</v>
      </c>
      <c r="KM1219" s="2">
        <v>82.03</v>
      </c>
      <c r="KN1219" s="2">
        <v>81.72</v>
      </c>
      <c r="KO1219" s="2">
        <v>81.89</v>
      </c>
      <c r="KP1219" s="2">
        <v>81.56</v>
      </c>
      <c r="KU1219" s="2">
        <v>81.36</v>
      </c>
      <c r="KV1219" s="2">
        <v>81.14</v>
      </c>
      <c r="KW1219" s="2">
        <v>80.95999999999999</v>
      </c>
      <c r="KX1219" s="2">
        <v>81.38</v>
      </c>
      <c r="KY1219" s="2">
        <v>81.14</v>
      </c>
      <c r="KZ1219" s="2">
        <v>81.25</v>
      </c>
      <c r="LA1219" s="2">
        <v>81.73999999999999</v>
      </c>
      <c r="LB1219" s="2">
        <v>82.31</v>
      </c>
      <c r="LC1219" s="2">
        <v>81.95</v>
      </c>
      <c r="LD1219" s="2">
        <v>82.59</v>
      </c>
      <c r="LE1219" s="2">
        <v>82.7</v>
      </c>
      <c r="LF1219" s="2">
        <v>82.33</v>
      </c>
      <c r="LK1219" s="2">
        <v>82.12</v>
      </c>
      <c r="LL1219" s="2">
        <v>82.13</v>
      </c>
      <c r="LM1219" s="2">
        <v>87.64</v>
      </c>
      <c r="LN1219" s="2">
        <v>91.68000000000001</v>
      </c>
      <c r="LO1219" s="2">
        <v>87.86</v>
      </c>
      <c r="LP1219" s="2">
        <v>85.17</v>
      </c>
      <c r="LQ1219" s="2">
        <v>86.27</v>
      </c>
      <c r="LR1219" s="2">
        <v>84.68000000000001</v>
      </c>
      <c r="LS1219" s="2">
        <v>84.5</v>
      </c>
      <c r="LT1219" s="2">
        <v>84.65000000000001</v>
      </c>
      <c r="LU1219" s="2">
        <v>83.61</v>
      </c>
      <c r="LV1219" s="2">
        <v>83.75</v>
      </c>
      <c r="MA1219" s="2">
        <v>83.66</v>
      </c>
      <c r="MB1219" s="2">
        <v>83.89</v>
      </c>
      <c r="MC1219" s="2">
        <v>84.11</v>
      </c>
      <c r="MD1219" s="2">
        <v>83.34</v>
      </c>
      <c r="ME1219" s="2">
        <v>83.48</v>
      </c>
      <c r="MF1219" s="2">
        <v>83.58</v>
      </c>
      <c r="MG1219" s="2">
        <v>84.48999999999999</v>
      </c>
      <c r="MH1219" s="2">
        <v>84.55</v>
      </c>
      <c r="MI1219" s="2">
        <v>85.98999999999999</v>
      </c>
      <c r="MJ1219" s="2">
        <v>86.87</v>
      </c>
      <c r="MK1219" s="2">
        <v>87.05</v>
      </c>
      <c r="ML1219" s="2">
        <v>88.95999999999999</v>
      </c>
      <c r="MQ1219" s="2">
        <v>90.81999999999999</v>
      </c>
      <c r="MR1219" s="2">
        <v>93.43000000000001</v>
      </c>
      <c r="MS1219" s="2">
        <v>93.8</v>
      </c>
      <c r="MT1219" s="2">
        <v>93.84999999999999</v>
      </c>
      <c r="MU1219" s="2">
        <v>94.81</v>
      </c>
      <c r="MV1219" s="2">
        <v>95.77</v>
      </c>
      <c r="MW1219" s="2">
        <v>96.88</v>
      </c>
      <c r="MX1219" s="2">
        <v>97.45</v>
      </c>
      <c r="MY1219" s="2">
        <v>98.75</v>
      </c>
      <c r="MZ1219" s="2">
        <v>99.25</v>
      </c>
      <c r="NA1219" s="2">
        <v>100.58</v>
      </c>
      <c r="NB1219" s="2">
        <v>100.82</v>
      </c>
      <c r="NG1219" s="2">
        <v>100.76</v>
      </c>
      <c r="NH1219" s="2">
        <v>101.55</v>
      </c>
      <c r="NI1219" s="2">
        <v>101.47</v>
      </c>
      <c r="NJ1219" s="2">
        <v>101.32</v>
      </c>
      <c r="NK1219" s="2">
        <v>101.8</v>
      </c>
      <c r="NL1219" s="2">
        <v>101.82</v>
      </c>
      <c r="NM1219" s="2">
        <v>101.82</v>
      </c>
      <c r="NN1219" s="2">
        <v>102.27</v>
      </c>
      <c r="NO1219" s="2">
        <v>101.45</v>
      </c>
      <c r="NP1219" s="2">
        <v>100.82</v>
      </c>
      <c r="NQ1219" s="2">
        <v>100.02</v>
      </c>
      <c r="NR1219" s="2">
        <v>100.91</v>
      </c>
      <c r="NW1219" s="2">
        <v>100.84</v>
      </c>
      <c r="NX1219" s="2">
        <v>100.41</v>
      </c>
      <c r="NY1219" s="2">
        <v>100.51</v>
      </c>
      <c r="NZ1219" s="2">
        <v>101.24</v>
      </c>
      <c r="OA1219" s="2">
        <v>100.72</v>
      </c>
      <c r="OB1219" s="2">
        <v>100.94</v>
      </c>
      <c r="OC1219" s="2">
        <v>100.34</v>
      </c>
      <c r="OD1219" s="2">
        <v>100.73</v>
      </c>
      <c r="OE1219" s="2">
        <v>100.6</v>
      </c>
      <c r="OF1219" s="2">
        <v>100.53</v>
      </c>
      <c r="OG1219" s="2">
        <v>100.51</v>
      </c>
      <c r="OH1219" s="2">
        <v>100.54</v>
      </c>
      <c r="OM1219" s="2">
        <v>100.55</v>
      </c>
      <c r="ON1219" s="2">
        <v>100.15</v>
      </c>
      <c r="OO1219" s="2">
        <v>100.02</v>
      </c>
      <c r="OP1219" s="2">
        <v>100.36</v>
      </c>
      <c r="OQ1219" s="2">
        <v>100.24</v>
      </c>
      <c r="OR1219" s="2">
        <v>100.33</v>
      </c>
      <c r="OS1219" s="2">
        <v>100.34</v>
      </c>
      <c r="OT1219" s="2">
        <v>100.48</v>
      </c>
      <c r="OU1219" s="2">
        <v>100.21</v>
      </c>
      <c r="OV1219" s="2">
        <v>100.79</v>
      </c>
      <c r="OW1219" s="2">
        <v>99.44</v>
      </c>
      <c r="OX1219" s="2">
        <v>99.5</v>
      </c>
      <c r="PC1219" s="2">
        <v>99.08</v>
      </c>
      <c r="PD1219" s="2">
        <v>98.92</v>
      </c>
      <c r="PE1219" s="2">
        <v>98.92</v>
      </c>
      <c r="PF1219" s="2">
        <v>98.81999999999999</v>
      </c>
      <c r="PG1219" s="2">
        <v>99.17</v>
      </c>
      <c r="PH1219" s="2">
        <v>99.19</v>
      </c>
      <c r="PI1219" s="2">
        <v>99.42</v>
      </c>
    </row>
    <row r="1220">
      <c r="A1220" t="inlineStr">
        <is>
          <t>A130400059R</t>
        </is>
      </c>
      <c r="B1220" t="inlineStr">
        <is>
          <t>Index Numbers ;  Child care ;  Australia ;</t>
        </is>
      </c>
      <c r="C1220" t="inlineStr">
        <is>
          <t>Month</t>
        </is>
      </c>
      <c r="D1220" t="inlineStr">
        <is>
          <t>Index Numbers</t>
        </is>
      </c>
      <c r="E1220" t="inlineStr">
        <is>
          <t>Seasonally Adjusted</t>
        </is>
      </c>
      <c r="F1220" t="inlineStr">
        <is>
          <t>640107.xlsx</t>
        </is>
      </c>
      <c r="G1220" t="inlineStr">
        <is>
          <t>2024-04</t>
        </is>
      </c>
      <c r="H1220" t="inlineStr">
        <is>
          <t>2026-07</t>
        </is>
      </c>
      <c r="NZ1220" s="2">
        <v>84.62</v>
      </c>
      <c r="OA1220" s="2">
        <v>85.51000000000001</v>
      </c>
      <c r="OB1220" s="2">
        <v>86.23</v>
      </c>
      <c r="OC1220" s="2">
        <v>87.09999999999999</v>
      </c>
      <c r="OD1220" s="2">
        <v>87.76000000000001</v>
      </c>
      <c r="OE1220" s="2">
        <v>88.47</v>
      </c>
      <c r="OF1220" s="2">
        <v>89.27</v>
      </c>
      <c r="OG1220" s="2">
        <v>90.05</v>
      </c>
      <c r="OH1220" s="2">
        <v>90.55</v>
      </c>
      <c r="OM1220" s="2">
        <v>91.89</v>
      </c>
      <c r="ON1220" s="2">
        <v>92.5</v>
      </c>
      <c r="OO1220" s="2">
        <v>93.39</v>
      </c>
      <c r="OP1220" s="2">
        <v>94.19</v>
      </c>
      <c r="OQ1220" s="2">
        <v>94.75</v>
      </c>
      <c r="OR1220" s="2">
        <v>96.66</v>
      </c>
      <c r="OS1220" s="2">
        <v>97.72</v>
      </c>
      <c r="OT1220" s="2">
        <v>97.38</v>
      </c>
      <c r="OU1220" s="2">
        <v>97.59999999999999</v>
      </c>
      <c r="OV1220" s="2">
        <v>99.02</v>
      </c>
      <c r="OW1220" s="2">
        <v>100.05</v>
      </c>
      <c r="OX1220" s="2">
        <v>100.65</v>
      </c>
      <c r="PC1220" s="2">
        <v>102.31</v>
      </c>
      <c r="PD1220" s="2">
        <v>100.92</v>
      </c>
      <c r="PE1220" s="2">
        <v>101.95</v>
      </c>
      <c r="PF1220" s="2">
        <v>102.75</v>
      </c>
      <c r="PG1220" s="2">
        <v>103.61</v>
      </c>
      <c r="PH1220" s="2">
        <v>103.95</v>
      </c>
      <c r="PI1220" s="2">
        <v>104.73</v>
      </c>
    </row>
    <row r="1221">
      <c r="A1221" t="inlineStr">
        <is>
          <t>A130400437L</t>
        </is>
      </c>
      <c r="B1221" t="inlineStr">
        <is>
          <t>Index Numbers ;  Hairdressing and personal grooming services ;  Australia ;</t>
        </is>
      </c>
      <c r="C1221" t="inlineStr">
        <is>
          <t>Month</t>
        </is>
      </c>
      <c r="D1221" t="inlineStr">
        <is>
          <t>Index Numbers</t>
        </is>
      </c>
      <c r="E1221" t="inlineStr">
        <is>
          <t>Seasonally Adjusted</t>
        </is>
      </c>
      <c r="F1221" t="inlineStr">
        <is>
          <t>640107.xlsx</t>
        </is>
      </c>
      <c r="G1221" t="inlineStr">
        <is>
          <t>2024-04</t>
        </is>
      </c>
      <c r="H1221" t="inlineStr">
        <is>
          <t>2026-07</t>
        </is>
      </c>
      <c r="NZ1221" s="2">
        <v>95.16</v>
      </c>
      <c r="OA1221" s="2">
        <v>95.59</v>
      </c>
      <c r="OB1221" s="2">
        <v>95.97</v>
      </c>
      <c r="OC1221" s="2">
        <v>96.59999999999999</v>
      </c>
      <c r="OD1221" s="2">
        <v>97.09999999999999</v>
      </c>
      <c r="OE1221" s="2">
        <v>97.51000000000001</v>
      </c>
      <c r="OF1221" s="2">
        <v>97.67</v>
      </c>
      <c r="OG1221" s="2">
        <v>98.02</v>
      </c>
      <c r="OH1221" s="2">
        <v>98.17</v>
      </c>
      <c r="OM1221" s="2">
        <v>98.3</v>
      </c>
      <c r="ON1221" s="2">
        <v>98.27</v>
      </c>
      <c r="OO1221" s="2">
        <v>98.40000000000001</v>
      </c>
      <c r="OP1221" s="2">
        <v>98.45</v>
      </c>
      <c r="OQ1221" s="2">
        <v>98.72</v>
      </c>
      <c r="OR1221" s="2">
        <v>98.73</v>
      </c>
      <c r="OS1221" s="2">
        <v>99.17</v>
      </c>
      <c r="OT1221" s="2">
        <v>99.45</v>
      </c>
      <c r="OU1221" s="2">
        <v>100</v>
      </c>
      <c r="OV1221" s="2">
        <v>100.32</v>
      </c>
      <c r="OW1221" s="2">
        <v>100.77</v>
      </c>
      <c r="OX1221" s="2">
        <v>101.28</v>
      </c>
      <c r="PC1221" s="2">
        <v>101.47</v>
      </c>
      <c r="PD1221" s="2">
        <v>101.74</v>
      </c>
      <c r="PE1221" s="2">
        <v>102.27</v>
      </c>
      <c r="PF1221" s="2">
        <v>102.3</v>
      </c>
      <c r="PG1221" s="2">
        <v>102.46</v>
      </c>
      <c r="PH1221" s="2">
        <v>102.88</v>
      </c>
      <c r="PI1221" s="2">
        <v>103.54</v>
      </c>
    </row>
    <row r="1222">
      <c r="A1222" t="inlineStr">
        <is>
          <t>A130400066L</t>
        </is>
      </c>
      <c r="B1222" t="inlineStr">
        <is>
          <t>Index Numbers ;  Other household services ;  Australia ;</t>
        </is>
      </c>
      <c r="C1222" t="inlineStr">
        <is>
          <t>Month</t>
        </is>
      </c>
      <c r="D1222" t="inlineStr">
        <is>
          <t>Index Numbers</t>
        </is>
      </c>
      <c r="E1222" t="inlineStr">
        <is>
          <t>Seasonally Adjusted</t>
        </is>
      </c>
      <c r="F1222" t="inlineStr">
        <is>
          <t>640107.xlsx</t>
        </is>
      </c>
      <c r="G1222" t="inlineStr">
        <is>
          <t>2024-04</t>
        </is>
      </c>
      <c r="H1222" t="inlineStr">
        <is>
          <t>2026-07</t>
        </is>
      </c>
      <c r="NZ1222" s="2">
        <v>97.78</v>
      </c>
      <c r="OA1222" s="2">
        <v>97.29000000000001</v>
      </c>
      <c r="OB1222" s="2">
        <v>97.29000000000001</v>
      </c>
      <c r="OC1222" s="2">
        <v>98.06999999999999</v>
      </c>
      <c r="OD1222" s="2">
        <v>98.14</v>
      </c>
      <c r="OE1222" s="2">
        <v>98.52</v>
      </c>
      <c r="OF1222" s="2">
        <v>99.20999999999999</v>
      </c>
      <c r="OG1222" s="2">
        <v>99.43000000000001</v>
      </c>
      <c r="OH1222" s="2">
        <v>99.81</v>
      </c>
      <c r="OM1222" s="2">
        <v>99.84999999999999</v>
      </c>
      <c r="ON1222" s="2">
        <v>99.44</v>
      </c>
      <c r="OO1222" s="2">
        <v>99.79000000000001</v>
      </c>
      <c r="OP1222" s="2">
        <v>99.53</v>
      </c>
      <c r="OQ1222" s="2">
        <v>99.54000000000001</v>
      </c>
      <c r="OR1222" s="2">
        <v>99.16</v>
      </c>
      <c r="OS1222" s="2">
        <v>100.22</v>
      </c>
      <c r="OT1222" s="2">
        <v>101.48</v>
      </c>
      <c r="OU1222" s="2">
        <v>100</v>
      </c>
      <c r="OV1222" s="2">
        <v>100.26</v>
      </c>
      <c r="OW1222" s="2">
        <v>100.94</v>
      </c>
      <c r="OX1222" s="2">
        <v>101.37</v>
      </c>
      <c r="PC1222" s="2">
        <v>101.37</v>
      </c>
      <c r="PD1222" s="2">
        <v>101.42</v>
      </c>
      <c r="PE1222" s="2">
        <v>101.59</v>
      </c>
      <c r="PF1222" s="2">
        <v>102.39</v>
      </c>
      <c r="PG1222" s="2">
        <v>102.37</v>
      </c>
      <c r="PH1222" s="2">
        <v>102.5</v>
      </c>
      <c r="PI1222" s="2">
        <v>103.09</v>
      </c>
    </row>
    <row r="1223">
      <c r="A1223" t="inlineStr">
        <is>
          <t>A130400633W</t>
        </is>
      </c>
      <c r="B1223" t="inlineStr">
        <is>
          <t>Index Numbers ;  Health ;  Australia ;</t>
        </is>
      </c>
      <c r="C1223" t="inlineStr">
        <is>
          <t>Month</t>
        </is>
      </c>
      <c r="D1223" t="inlineStr">
        <is>
          <t>Index Numbers</t>
        </is>
      </c>
      <c r="E1223" t="inlineStr">
        <is>
          <t>Seasonally Adjusted</t>
        </is>
      </c>
      <c r="F1223" t="inlineStr">
        <is>
          <t>640107.xlsx</t>
        </is>
      </c>
      <c r="G1223" t="inlineStr">
        <is>
          <t>2024-04</t>
        </is>
      </c>
      <c r="H1223" t="inlineStr">
        <is>
          <t>2026-07</t>
        </is>
      </c>
      <c r="NZ1223" s="2">
        <v>100</v>
      </c>
      <c r="OA1223" s="2">
        <v>100.45</v>
      </c>
      <c r="OB1223" s="2">
        <v>100.85</v>
      </c>
      <c r="OC1223" s="2">
        <v>101.12</v>
      </c>
      <c r="OD1223" s="2">
        <v>101.43</v>
      </c>
      <c r="OE1223" s="2">
        <v>101.67</v>
      </c>
      <c r="OF1223" s="2">
        <v>101.98</v>
      </c>
      <c r="OG1223" s="2">
        <v>102.33</v>
      </c>
      <c r="OH1223" s="2">
        <v>102.8</v>
      </c>
      <c r="OM1223" s="2">
        <v>103.21</v>
      </c>
      <c r="ON1223" s="2">
        <v>103.6</v>
      </c>
      <c r="OO1223" s="2">
        <v>104.03</v>
      </c>
      <c r="OP1223" s="2">
        <v>104.27</v>
      </c>
      <c r="OQ1223" s="2">
        <v>104.44</v>
      </c>
      <c r="OR1223" s="2">
        <v>104.77</v>
      </c>
      <c r="OS1223" s="2">
        <v>105.14</v>
      </c>
      <c r="OT1223" s="2">
        <v>105.59</v>
      </c>
      <c r="OU1223" s="2">
        <v>105.92</v>
      </c>
      <c r="OV1223" s="2">
        <v>106.08</v>
      </c>
      <c r="OW1223" s="2">
        <v>106.05</v>
      </c>
      <c r="OX1223" s="2">
        <v>106.48</v>
      </c>
      <c r="PC1223" s="2">
        <v>106.57</v>
      </c>
      <c r="PD1223" s="2">
        <v>106.92</v>
      </c>
      <c r="PE1223" s="2">
        <v>107.2</v>
      </c>
      <c r="PF1223" s="2">
        <v>108.39</v>
      </c>
      <c r="PG1223" s="2">
        <v>108.35</v>
      </c>
      <c r="PH1223" s="2">
        <v>108.68</v>
      </c>
      <c r="PI1223" s="2">
        <v>109.14</v>
      </c>
    </row>
    <row r="1224">
      <c r="A1224" t="inlineStr">
        <is>
          <t>A130400367T</t>
        </is>
      </c>
      <c r="B1224" t="inlineStr">
        <is>
          <t>Index Numbers ;  Pharmaceutical products ;  Australia ;</t>
        </is>
      </c>
      <c r="C1224" t="inlineStr">
        <is>
          <t>Month</t>
        </is>
      </c>
      <c r="D1224" t="inlineStr">
        <is>
          <t>Index Numbers</t>
        </is>
      </c>
      <c r="E1224" t="inlineStr">
        <is>
          <t>Seasonally Adjusted</t>
        </is>
      </c>
      <c r="F1224" t="inlineStr">
        <is>
          <t>640107.xlsx</t>
        </is>
      </c>
      <c r="G1224" t="inlineStr">
        <is>
          <t>2024-04</t>
        </is>
      </c>
      <c r="H1224" t="inlineStr">
        <is>
          <t>2026-07</t>
        </is>
      </c>
      <c r="NZ1224" s="2">
        <v>100.39</v>
      </c>
      <c r="OA1224" s="2">
        <v>101.4</v>
      </c>
      <c r="OB1224" s="2">
        <v>101.79</v>
      </c>
      <c r="OC1224" s="2">
        <v>102.01</v>
      </c>
      <c r="OD1224" s="2">
        <v>102.33</v>
      </c>
      <c r="OE1224" s="2">
        <v>102.57</v>
      </c>
      <c r="OF1224" s="2">
        <v>103.13</v>
      </c>
      <c r="OG1224" s="2">
        <v>102.97</v>
      </c>
      <c r="OH1224" s="2">
        <v>102.89</v>
      </c>
      <c r="OM1224" s="2">
        <v>101.53</v>
      </c>
      <c r="ON1224" s="2">
        <v>101.92</v>
      </c>
      <c r="OO1224" s="2">
        <v>101.19</v>
      </c>
      <c r="OP1224" s="2">
        <v>101.12</v>
      </c>
      <c r="OQ1224" s="2">
        <v>101.23</v>
      </c>
      <c r="OR1224" s="2">
        <v>101.41</v>
      </c>
      <c r="OS1224" s="2">
        <v>101.71</v>
      </c>
      <c r="OT1224" s="2">
        <v>101.83</v>
      </c>
      <c r="OU1224" s="2">
        <v>101.88</v>
      </c>
      <c r="OV1224" s="2">
        <v>102.25</v>
      </c>
      <c r="OW1224" s="2">
        <v>102.21</v>
      </c>
      <c r="OX1224" s="2">
        <v>102.7</v>
      </c>
      <c r="PC1224" s="2">
        <v>100.23</v>
      </c>
      <c r="PD1224" s="2">
        <v>99.11</v>
      </c>
      <c r="PE1224" s="2">
        <v>100.34</v>
      </c>
      <c r="PF1224" s="2">
        <v>100.78</v>
      </c>
      <c r="PG1224" s="2">
        <v>98.84</v>
      </c>
      <c r="PH1224" s="2">
        <v>99.55</v>
      </c>
      <c r="PI1224" s="2">
        <v>99.94</v>
      </c>
    </row>
    <row r="1225">
      <c r="A1225" t="inlineStr">
        <is>
          <t>A130400752L</t>
        </is>
      </c>
      <c r="B1225" t="inlineStr">
        <is>
          <t>Index Numbers ;  Therapeutic appliances and equipment ;  Australia ;</t>
        </is>
      </c>
      <c r="C1225" t="inlineStr">
        <is>
          <t>Month</t>
        </is>
      </c>
      <c r="D1225" t="inlineStr">
        <is>
          <t>Index Numbers</t>
        </is>
      </c>
      <c r="E1225" t="inlineStr">
        <is>
          <t>Seasonally Adjusted</t>
        </is>
      </c>
      <c r="F1225" t="inlineStr">
        <is>
          <t>640107.xlsx</t>
        </is>
      </c>
      <c r="G1225" t="inlineStr">
        <is>
          <t>2024-04</t>
        </is>
      </c>
      <c r="H1225" t="inlineStr">
        <is>
          <t>2026-07</t>
        </is>
      </c>
      <c r="NZ1225" s="2">
        <v>96.8</v>
      </c>
      <c r="OA1225" s="2">
        <v>97.05</v>
      </c>
      <c r="OB1225" s="2">
        <v>96.94</v>
      </c>
      <c r="OC1225" s="2">
        <v>97.09999999999999</v>
      </c>
      <c r="OD1225" s="2">
        <v>97.08</v>
      </c>
      <c r="OE1225" s="2">
        <v>97.20999999999999</v>
      </c>
      <c r="OF1225" s="2">
        <v>97.44</v>
      </c>
      <c r="OG1225" s="2">
        <v>97.26000000000001</v>
      </c>
      <c r="OH1225" s="2">
        <v>96.39</v>
      </c>
      <c r="OM1225" s="2">
        <v>98.06</v>
      </c>
      <c r="ON1225" s="2">
        <v>97.54000000000001</v>
      </c>
      <c r="OO1225" s="2">
        <v>97.8</v>
      </c>
      <c r="OP1225" s="2">
        <v>98.84</v>
      </c>
      <c r="OQ1225" s="2">
        <v>98.67</v>
      </c>
      <c r="OR1225" s="2">
        <v>99.11</v>
      </c>
      <c r="OS1225" s="2">
        <v>99.56999999999999</v>
      </c>
      <c r="OT1225" s="2">
        <v>99.81999999999999</v>
      </c>
      <c r="OU1225" s="2">
        <v>100</v>
      </c>
      <c r="OV1225" s="2">
        <v>99.89</v>
      </c>
      <c r="OW1225" s="2">
        <v>99.89</v>
      </c>
      <c r="OX1225" s="2">
        <v>99.16</v>
      </c>
      <c r="PC1225" s="2">
        <v>98.77</v>
      </c>
      <c r="PD1225" s="2">
        <v>99.38</v>
      </c>
      <c r="PE1225" s="2">
        <v>99.48999999999999</v>
      </c>
      <c r="PF1225" s="2">
        <v>99.62</v>
      </c>
      <c r="PG1225" s="2">
        <v>100.27</v>
      </c>
      <c r="PH1225" s="2">
        <v>97.94</v>
      </c>
      <c r="PI1225" s="2">
        <v>100.47</v>
      </c>
    </row>
    <row r="1226">
      <c r="A1226" t="inlineStr">
        <is>
          <t>A130399947F</t>
        </is>
      </c>
      <c r="B1226" t="inlineStr">
        <is>
          <t>Index Numbers ;  Medical and hospital services ;  Australia ;</t>
        </is>
      </c>
      <c r="C1226" t="inlineStr">
        <is>
          <t>Month</t>
        </is>
      </c>
      <c r="D1226" t="inlineStr">
        <is>
          <t>Index Numbers</t>
        </is>
      </c>
      <c r="E1226" t="inlineStr">
        <is>
          <t>Seasonally Adjusted</t>
        </is>
      </c>
      <c r="F1226" t="inlineStr">
        <is>
          <t>640107.xlsx</t>
        </is>
      </c>
      <c r="G1226" t="inlineStr">
        <is>
          <t>2024-04</t>
        </is>
      </c>
      <c r="H1226" t="inlineStr">
        <is>
          <t>2026-07</t>
        </is>
      </c>
      <c r="NZ1226" s="2">
        <v>93.70999999999999</v>
      </c>
      <c r="OA1226" s="2">
        <v>94.06</v>
      </c>
      <c r="OB1226" s="2">
        <v>94.48999999999999</v>
      </c>
      <c r="OC1226" s="2">
        <v>94.75</v>
      </c>
      <c r="OD1226" s="2">
        <v>95.04000000000001</v>
      </c>
      <c r="OE1226" s="2">
        <v>95.26000000000001</v>
      </c>
      <c r="OF1226" s="2">
        <v>95.53</v>
      </c>
      <c r="OG1226" s="2">
        <v>96</v>
      </c>
      <c r="OH1226" s="2">
        <v>96.65000000000001</v>
      </c>
      <c r="OM1226" s="2">
        <v>97.34</v>
      </c>
      <c r="ON1226" s="2">
        <v>97.75</v>
      </c>
      <c r="OO1226" s="2">
        <v>98.41</v>
      </c>
      <c r="OP1226" s="2">
        <v>98.63</v>
      </c>
      <c r="OQ1226" s="2">
        <v>98.81999999999999</v>
      </c>
      <c r="OR1226" s="2">
        <v>99.2</v>
      </c>
      <c r="OS1226" s="2">
        <v>99.54000000000001</v>
      </c>
      <c r="OT1226" s="2">
        <v>99.93000000000001</v>
      </c>
      <c r="OU1226" s="2">
        <v>100.33</v>
      </c>
      <c r="OV1226" s="2">
        <v>100.45</v>
      </c>
      <c r="OW1226" s="2">
        <v>100.41</v>
      </c>
      <c r="OX1226" s="2">
        <v>100.87</v>
      </c>
      <c r="PC1226" s="2">
        <v>101.4</v>
      </c>
      <c r="PD1226" s="2">
        <v>102.01</v>
      </c>
      <c r="PE1226" s="2">
        <v>102.12</v>
      </c>
      <c r="PF1226" s="2">
        <v>103.48</v>
      </c>
      <c r="PG1226" s="2">
        <v>103.75</v>
      </c>
      <c r="PH1226" s="2">
        <v>104.1</v>
      </c>
      <c r="PI1226" s="2">
        <v>104.43</v>
      </c>
    </row>
    <row r="1227">
      <c r="A1227" t="inlineStr">
        <is>
          <t>A130400241K</t>
        </is>
      </c>
      <c r="B1227" t="inlineStr">
        <is>
          <t>Index Numbers ;  Dental services ;  Australia ;</t>
        </is>
      </c>
      <c r="C1227" t="inlineStr">
        <is>
          <t>Month</t>
        </is>
      </c>
      <c r="D1227" t="inlineStr">
        <is>
          <t>Index Numbers</t>
        </is>
      </c>
      <c r="E1227" t="inlineStr">
        <is>
          <t>Seasonally Adjusted</t>
        </is>
      </c>
      <c r="F1227" t="inlineStr">
        <is>
          <t>640107.xlsx</t>
        </is>
      </c>
      <c r="G1227" t="inlineStr">
        <is>
          <t>2024-04</t>
        </is>
      </c>
      <c r="H1227" t="inlineStr">
        <is>
          <t>2026-07</t>
        </is>
      </c>
      <c r="NZ1227" s="2">
        <v>95.79000000000001</v>
      </c>
      <c r="OA1227" s="2">
        <v>95.98999999999999</v>
      </c>
      <c r="OB1227" s="2">
        <v>96.09</v>
      </c>
      <c r="OC1227" s="2">
        <v>96.42</v>
      </c>
      <c r="OD1227" s="2">
        <v>96.72</v>
      </c>
      <c r="OE1227" s="2">
        <v>96.98</v>
      </c>
      <c r="OF1227" s="2">
        <v>97.20999999999999</v>
      </c>
      <c r="OG1227" s="2">
        <v>97.18000000000001</v>
      </c>
      <c r="OH1227" s="2">
        <v>97.22</v>
      </c>
      <c r="OM1227" s="2">
        <v>97.34999999999999</v>
      </c>
      <c r="ON1227" s="2">
        <v>97.53</v>
      </c>
      <c r="OO1227" s="2">
        <v>97.62</v>
      </c>
      <c r="OP1227" s="2">
        <v>98.23</v>
      </c>
      <c r="OQ1227" s="2">
        <v>98.20999999999999</v>
      </c>
      <c r="OR1227" s="2">
        <v>98.20999999999999</v>
      </c>
      <c r="OS1227" s="2">
        <v>98.73</v>
      </c>
      <c r="OT1227" s="2">
        <v>99.87</v>
      </c>
      <c r="OU1227" s="2">
        <v>100</v>
      </c>
      <c r="OV1227" s="2">
        <v>100.12</v>
      </c>
      <c r="OW1227" s="2">
        <v>100.16</v>
      </c>
      <c r="OX1227" s="2">
        <v>100.32</v>
      </c>
      <c r="PC1227" s="2">
        <v>100.56</v>
      </c>
      <c r="PD1227" s="2">
        <v>100.81</v>
      </c>
      <c r="PE1227" s="2">
        <v>100.9</v>
      </c>
      <c r="PF1227" s="2">
        <v>101.33</v>
      </c>
      <c r="PG1227" s="2">
        <v>101.48</v>
      </c>
      <c r="PH1227" s="2">
        <v>101.51</v>
      </c>
      <c r="PI1227" s="2">
        <v>102.44</v>
      </c>
    </row>
    <row r="1228">
      <c r="A1228" t="inlineStr">
        <is>
          <t>A130400528V</t>
        </is>
      </c>
      <c r="B1228" t="inlineStr">
        <is>
          <t>Index Numbers ;  Transport ;  Australia ;</t>
        </is>
      </c>
      <c r="C1228" t="inlineStr">
        <is>
          <t>Month</t>
        </is>
      </c>
      <c r="D1228" t="inlineStr">
        <is>
          <t>Index Numbers</t>
        </is>
      </c>
      <c r="E1228" t="inlineStr">
        <is>
          <t>Seasonally Adjusted</t>
        </is>
      </c>
      <c r="F1228" t="inlineStr">
        <is>
          <t>640107.xlsx</t>
        </is>
      </c>
      <c r="G1228" t="inlineStr">
        <is>
          <t>2024-04</t>
        </is>
      </c>
      <c r="H1228" t="inlineStr">
        <is>
          <t>2026-07</t>
        </is>
      </c>
      <c r="NZ1228" s="2">
        <v>100</v>
      </c>
      <c r="OA1228" s="2">
        <v>98.31999999999999</v>
      </c>
      <c r="OB1228" s="2">
        <v>98.58</v>
      </c>
      <c r="OC1228" s="2">
        <v>97.66</v>
      </c>
      <c r="OD1228" s="2">
        <v>96.72</v>
      </c>
      <c r="OE1228" s="2">
        <v>95.55</v>
      </c>
      <c r="OF1228" s="2">
        <v>95.39</v>
      </c>
      <c r="OG1228" s="2">
        <v>95.73999999999999</v>
      </c>
      <c r="OH1228" s="2">
        <v>96.93000000000001</v>
      </c>
      <c r="OM1228" s="2">
        <v>96.63</v>
      </c>
      <c r="ON1228" s="2">
        <v>97.26000000000001</v>
      </c>
      <c r="OO1228" s="2">
        <v>97.31</v>
      </c>
      <c r="OP1228" s="2">
        <v>96.72</v>
      </c>
      <c r="OQ1228" s="2">
        <v>96.02</v>
      </c>
      <c r="OR1228" s="2">
        <v>96.95999999999999</v>
      </c>
      <c r="OS1228" s="2">
        <v>97.29000000000001</v>
      </c>
      <c r="OT1228" s="2">
        <v>97.59999999999999</v>
      </c>
      <c r="OU1228" s="2">
        <v>97.72</v>
      </c>
      <c r="OV1228" s="2">
        <v>97.98</v>
      </c>
      <c r="OW1228" s="2">
        <v>98.29000000000001</v>
      </c>
      <c r="OX1228" s="2">
        <v>98.48</v>
      </c>
      <c r="PC1228" s="2">
        <v>97.69</v>
      </c>
      <c r="PD1228" s="2">
        <v>97.08</v>
      </c>
      <c r="PE1228" s="2">
        <v>105.98</v>
      </c>
      <c r="PF1228" s="2">
        <v>103.11</v>
      </c>
      <c r="PG1228" s="2">
        <v>99.18000000000001</v>
      </c>
      <c r="PH1228" s="2">
        <v>96.56999999999999</v>
      </c>
      <c r="PI1228" s="2">
        <v>98.88</v>
      </c>
    </row>
    <row r="1229">
      <c r="A1229" t="inlineStr">
        <is>
          <t>A130400017T</t>
        </is>
      </c>
      <c r="B1229" t="inlineStr">
        <is>
          <t>Index Numbers ;  Motor vehicles ;  Australia ;</t>
        </is>
      </c>
      <c r="C1229" t="inlineStr">
        <is>
          <t>Month</t>
        </is>
      </c>
      <c r="D1229" t="inlineStr">
        <is>
          <t>Index Numbers</t>
        </is>
      </c>
      <c r="E1229" t="inlineStr">
        <is>
          <t>Seasonally Adjusted</t>
        </is>
      </c>
      <c r="F1229" t="inlineStr">
        <is>
          <t>640107.xlsx</t>
        </is>
      </c>
      <c r="G1229" t="inlineStr">
        <is>
          <t>2024-04</t>
        </is>
      </c>
      <c r="H1229" t="inlineStr">
        <is>
          <t>2026-07</t>
        </is>
      </c>
      <c r="NZ1229" s="2">
        <v>101.37</v>
      </c>
      <c r="OA1229" s="2">
        <v>100.98</v>
      </c>
      <c r="OB1229" s="2">
        <v>100.43</v>
      </c>
      <c r="OC1229" s="2">
        <v>100.29</v>
      </c>
      <c r="OD1229" s="2">
        <v>100.15</v>
      </c>
      <c r="OE1229" s="2">
        <v>99.95</v>
      </c>
      <c r="OF1229" s="2">
        <v>100.18</v>
      </c>
      <c r="OG1229" s="2">
        <v>99.86</v>
      </c>
      <c r="OH1229" s="2">
        <v>99.94</v>
      </c>
      <c r="OM1229" s="2">
        <v>99.98</v>
      </c>
      <c r="ON1229" s="2">
        <v>100.13</v>
      </c>
      <c r="OO1229" s="2">
        <v>100.36</v>
      </c>
      <c r="OP1229" s="2">
        <v>100.56</v>
      </c>
      <c r="OQ1229" s="2">
        <v>100.45</v>
      </c>
      <c r="OR1229" s="2">
        <v>100.45</v>
      </c>
      <c r="OS1229" s="2">
        <v>100.83</v>
      </c>
      <c r="OT1229" s="2">
        <v>100.82</v>
      </c>
      <c r="OU1229" s="2">
        <v>100</v>
      </c>
      <c r="OV1229" s="2">
        <v>100.93</v>
      </c>
      <c r="OW1229" s="2">
        <v>99.29000000000001</v>
      </c>
      <c r="OX1229" s="2">
        <v>101.07</v>
      </c>
      <c r="PC1229" s="2">
        <v>101.46</v>
      </c>
      <c r="PD1229" s="2">
        <v>101.35</v>
      </c>
      <c r="PE1229" s="2">
        <v>101.5</v>
      </c>
      <c r="PF1229" s="2">
        <v>101.71</v>
      </c>
      <c r="PG1229" s="2">
        <v>100.69</v>
      </c>
      <c r="PH1229" s="2">
        <v>101.02</v>
      </c>
      <c r="PI1229" s="2">
        <v>101.59</v>
      </c>
    </row>
    <row r="1230">
      <c r="A1230" t="inlineStr">
        <is>
          <t>A130400143F</t>
        </is>
      </c>
      <c r="B1230" t="inlineStr">
        <is>
          <t>Index Numbers ;  Spare parts and accessories for motor vehicles ;  Australia ;</t>
        </is>
      </c>
      <c r="C1230" t="inlineStr">
        <is>
          <t>Month</t>
        </is>
      </c>
      <c r="D1230" t="inlineStr">
        <is>
          <t>Index Numbers</t>
        </is>
      </c>
      <c r="E1230" t="inlineStr">
        <is>
          <t>Seasonally Adjusted</t>
        </is>
      </c>
      <c r="F1230" t="inlineStr">
        <is>
          <t>640107.xlsx</t>
        </is>
      </c>
      <c r="G1230" t="inlineStr">
        <is>
          <t>2024-04</t>
        </is>
      </c>
      <c r="H1230" t="inlineStr">
        <is>
          <t>2026-07</t>
        </is>
      </c>
      <c r="NZ1230" s="2">
        <v>99.16</v>
      </c>
      <c r="OA1230" s="2">
        <v>99.06</v>
      </c>
      <c r="OB1230" s="2">
        <v>99.47</v>
      </c>
      <c r="OC1230" s="2">
        <v>99.38</v>
      </c>
      <c r="OD1230" s="2">
        <v>100.28</v>
      </c>
      <c r="OE1230" s="2">
        <v>99.22</v>
      </c>
      <c r="OF1230" s="2">
        <v>99.98</v>
      </c>
      <c r="OG1230" s="2">
        <v>100.14</v>
      </c>
      <c r="OH1230" s="2">
        <v>100.14</v>
      </c>
      <c r="OM1230" s="2">
        <v>100.65</v>
      </c>
      <c r="ON1230" s="2">
        <v>101.58</v>
      </c>
      <c r="OO1230" s="2">
        <v>102.84</v>
      </c>
      <c r="OP1230" s="2">
        <v>101.68</v>
      </c>
      <c r="OQ1230" s="2">
        <v>102.24</v>
      </c>
      <c r="OR1230" s="2">
        <v>101.23</v>
      </c>
      <c r="OS1230" s="2">
        <v>101.11</v>
      </c>
      <c r="OT1230" s="2">
        <v>100.84</v>
      </c>
      <c r="OU1230" s="2">
        <v>100</v>
      </c>
      <c r="OV1230" s="2">
        <v>102.07</v>
      </c>
      <c r="OW1230" s="2">
        <v>101.52</v>
      </c>
      <c r="OX1230" s="2">
        <v>100.43</v>
      </c>
      <c r="PC1230" s="2">
        <v>100.26</v>
      </c>
      <c r="PD1230" s="2">
        <v>100.48</v>
      </c>
      <c r="PE1230" s="2">
        <v>100.53</v>
      </c>
      <c r="PF1230" s="2">
        <v>100.59</v>
      </c>
      <c r="PG1230" s="2">
        <v>101.65</v>
      </c>
      <c r="PH1230" s="2">
        <v>102.36</v>
      </c>
      <c r="PI1230" s="2">
        <v>102.67</v>
      </c>
    </row>
    <row r="1231">
      <c r="A1231" t="inlineStr">
        <is>
          <t>A130400136J</t>
        </is>
      </c>
      <c r="B1231" t="inlineStr">
        <is>
          <t>Index Numbers ;  Automotive fuel ;  Australia ;</t>
        </is>
      </c>
      <c r="C1231" t="inlineStr">
        <is>
          <t>Month</t>
        </is>
      </c>
      <c r="D1231" t="inlineStr">
        <is>
          <t>Index Numbers</t>
        </is>
      </c>
      <c r="E1231" t="inlineStr">
        <is>
          <t>Seasonally Adjusted</t>
        </is>
      </c>
      <c r="F1231" t="inlineStr">
        <is>
          <t>640107.xlsx</t>
        </is>
      </c>
      <c r="G1231" t="inlineStr">
        <is>
          <t>2017-09</t>
        </is>
      </c>
      <c r="H1231" t="inlineStr">
        <is>
          <t>2026-07</t>
        </is>
      </c>
      <c r="JW1231" s="2">
        <v>68.95</v>
      </c>
      <c r="JX1231" s="2">
        <v>71.63</v>
      </c>
      <c r="JY1231" s="2">
        <v>75.02</v>
      </c>
      <c r="JZ1231" s="2">
        <v>76.61</v>
      </c>
      <c r="KE1231" s="2">
        <v>75.66</v>
      </c>
      <c r="KF1231" s="2">
        <v>75.26000000000001</v>
      </c>
      <c r="KG1231" s="2">
        <v>74.42</v>
      </c>
      <c r="KH1231" s="2">
        <v>78.04000000000001</v>
      </c>
      <c r="KI1231" s="2">
        <v>81.13</v>
      </c>
      <c r="KJ1231" s="2">
        <v>81.72</v>
      </c>
      <c r="KK1231" s="2">
        <v>80.11</v>
      </c>
      <c r="KL1231" s="2">
        <v>80.09</v>
      </c>
      <c r="KM1231" s="2">
        <v>84.23</v>
      </c>
      <c r="KN1231" s="2">
        <v>86.95999999999999</v>
      </c>
      <c r="KO1231" s="2">
        <v>77.58</v>
      </c>
      <c r="KP1231" s="2">
        <v>73.73999999999999</v>
      </c>
      <c r="KU1231" s="2">
        <v>69.28</v>
      </c>
      <c r="KV1231" s="2">
        <v>72.23999999999999</v>
      </c>
      <c r="KW1231" s="2">
        <v>75.98999999999999</v>
      </c>
      <c r="KX1231" s="2">
        <v>80.29000000000001</v>
      </c>
      <c r="KY1231" s="2">
        <v>81.65000000000001</v>
      </c>
      <c r="KZ1231" s="2">
        <v>77.78</v>
      </c>
      <c r="LA1231" s="2">
        <v>78.03</v>
      </c>
      <c r="LB1231" s="2">
        <v>77.33</v>
      </c>
      <c r="LC1231" s="2">
        <v>79.47</v>
      </c>
      <c r="LD1231" s="2">
        <v>82.59</v>
      </c>
      <c r="LE1231" s="2">
        <v>80.93000000000001</v>
      </c>
      <c r="LF1231" s="2">
        <v>81.72</v>
      </c>
      <c r="LK1231" s="2">
        <v>81.14</v>
      </c>
      <c r="LL1231" s="2">
        <v>78.38</v>
      </c>
      <c r="LM1231" s="2">
        <v>71.06</v>
      </c>
      <c r="LN1231" s="2">
        <v>59.74</v>
      </c>
      <c r="LO1231" s="2">
        <v>60.3</v>
      </c>
      <c r="LP1231" s="2">
        <v>65.81</v>
      </c>
      <c r="LQ1231" s="2">
        <v>68.13</v>
      </c>
      <c r="LR1231" s="2">
        <v>67.42</v>
      </c>
      <c r="LS1231" s="2">
        <v>67.84</v>
      </c>
      <c r="LT1231" s="2">
        <v>67.58</v>
      </c>
      <c r="LU1231" s="2">
        <v>66.89</v>
      </c>
      <c r="LV1231" s="2">
        <v>69.95999999999999</v>
      </c>
      <c r="MA1231" s="2">
        <v>71.14</v>
      </c>
      <c r="MB1231" s="2">
        <v>73.02</v>
      </c>
      <c r="MC1231" s="2">
        <v>78.13</v>
      </c>
      <c r="MD1231" s="2">
        <v>79.41</v>
      </c>
      <c r="ME1231" s="2">
        <v>78.81</v>
      </c>
      <c r="MF1231" s="2">
        <v>78.58</v>
      </c>
      <c r="MG1231" s="2">
        <v>84.17</v>
      </c>
      <c r="MH1231" s="2">
        <v>83.65000000000001</v>
      </c>
      <c r="MI1231" s="2">
        <v>85.81999999999999</v>
      </c>
      <c r="MJ1231" s="2">
        <v>90.44</v>
      </c>
      <c r="MK1231" s="2">
        <v>91.61</v>
      </c>
      <c r="ML1231" s="2">
        <v>88.55</v>
      </c>
      <c r="MQ1231" s="2">
        <v>92.34999999999999</v>
      </c>
      <c r="MR1231" s="2">
        <v>97.83</v>
      </c>
      <c r="MS1231" s="2">
        <v>110.04</v>
      </c>
      <c r="MT1231" s="2">
        <v>94.88</v>
      </c>
      <c r="MU1231" s="2">
        <v>105.36</v>
      </c>
      <c r="MV1231" s="2">
        <v>112.57</v>
      </c>
      <c r="MW1231" s="2">
        <v>108.74</v>
      </c>
      <c r="MX1231" s="2">
        <v>96.18000000000001</v>
      </c>
      <c r="MY1231" s="2">
        <v>94.48999999999999</v>
      </c>
      <c r="MZ1231" s="2">
        <v>101.17</v>
      </c>
      <c r="NA1231" s="2">
        <v>106.82</v>
      </c>
      <c r="NB1231" s="2">
        <v>98.13</v>
      </c>
      <c r="NG1231" s="2">
        <v>99.20999999999999</v>
      </c>
      <c r="NH1231" s="2">
        <v>103.25</v>
      </c>
      <c r="NI1231" s="2">
        <v>100.98</v>
      </c>
      <c r="NJ1231" s="2">
        <v>103.88</v>
      </c>
      <c r="NK1231" s="2">
        <v>96.92</v>
      </c>
      <c r="NL1231" s="2">
        <v>100.67</v>
      </c>
      <c r="NM1231" s="2">
        <v>100.42</v>
      </c>
      <c r="NN1231" s="2">
        <v>109.56</v>
      </c>
      <c r="NO1231" s="2">
        <v>113.17</v>
      </c>
      <c r="NP1231" s="2">
        <v>109.82</v>
      </c>
      <c r="NQ1231" s="2">
        <v>109.31</v>
      </c>
      <c r="NR1231" s="2">
        <v>103.29</v>
      </c>
      <c r="NW1231" s="2">
        <v>102.32</v>
      </c>
      <c r="NX1231" s="2">
        <v>107.59</v>
      </c>
      <c r="NY1231" s="2">
        <v>109.22</v>
      </c>
      <c r="NZ1231" s="2">
        <v>111.64</v>
      </c>
      <c r="OA1231" s="2">
        <v>105.94</v>
      </c>
      <c r="OB1231" s="2">
        <v>107.26</v>
      </c>
      <c r="OC1231" s="2">
        <v>104.49</v>
      </c>
      <c r="OD1231" s="2">
        <v>101.24</v>
      </c>
      <c r="OE1231" s="2">
        <v>97.25</v>
      </c>
      <c r="OF1231" s="2">
        <v>97.20999999999999</v>
      </c>
      <c r="OG1231" s="2">
        <v>98.09</v>
      </c>
      <c r="OH1231" s="2">
        <v>101.81</v>
      </c>
      <c r="OM1231" s="2">
        <v>100.4</v>
      </c>
      <c r="ON1231" s="2">
        <v>101.62</v>
      </c>
      <c r="OO1231" s="2">
        <v>100.84</v>
      </c>
      <c r="OP1231" s="2">
        <v>98.28</v>
      </c>
      <c r="OQ1231" s="2">
        <v>95.34</v>
      </c>
      <c r="OR1231" s="2">
        <v>98.75</v>
      </c>
      <c r="OS1231" s="2">
        <v>98.75</v>
      </c>
      <c r="OT1231" s="2">
        <v>99.48999999999999</v>
      </c>
      <c r="OU1231" s="2">
        <v>100</v>
      </c>
      <c r="OV1231" s="2">
        <v>99.09999999999999</v>
      </c>
      <c r="OW1231" s="2">
        <v>101.55</v>
      </c>
      <c r="OX1231" s="2">
        <v>101</v>
      </c>
      <c r="PC1231" s="2">
        <v>97.72</v>
      </c>
      <c r="PD1231" s="2">
        <v>94.34999999999999</v>
      </c>
      <c r="PE1231" s="2">
        <v>125.29</v>
      </c>
      <c r="PF1231" s="2">
        <v>116.53</v>
      </c>
      <c r="PG1231" s="2">
        <v>102.69</v>
      </c>
      <c r="PH1231" s="2">
        <v>91.53</v>
      </c>
      <c r="PI1231" s="2">
        <v>98.40000000000001</v>
      </c>
    </row>
    <row r="1232">
      <c r="A1232" t="inlineStr">
        <is>
          <t>A130400745R</t>
        </is>
      </c>
      <c r="B1232" t="inlineStr">
        <is>
          <t>Index Numbers ;  Maintenance and repair of motor vehicles ;  Australia ;</t>
        </is>
      </c>
      <c r="C1232" t="inlineStr">
        <is>
          <t>Month</t>
        </is>
      </c>
      <c r="D1232" t="inlineStr">
        <is>
          <t>Index Numbers</t>
        </is>
      </c>
      <c r="E1232" t="inlineStr">
        <is>
          <t>Seasonally Adjusted</t>
        </is>
      </c>
      <c r="F1232" t="inlineStr">
        <is>
          <t>640107.xlsx</t>
        </is>
      </c>
      <c r="G1232" t="inlineStr">
        <is>
          <t>2024-04</t>
        </is>
      </c>
      <c r="H1232" t="inlineStr">
        <is>
          <t>2026-07</t>
        </is>
      </c>
      <c r="NZ1232" s="2">
        <v>94.55</v>
      </c>
      <c r="OA1232" s="2">
        <v>95.02</v>
      </c>
      <c r="OB1232" s="2">
        <v>94.78</v>
      </c>
      <c r="OC1232" s="2">
        <v>94.59</v>
      </c>
      <c r="OD1232" s="2">
        <v>95.25</v>
      </c>
      <c r="OE1232" s="2">
        <v>95.5</v>
      </c>
      <c r="OF1232" s="2">
        <v>95.66</v>
      </c>
      <c r="OG1232" s="2">
        <v>96.34</v>
      </c>
      <c r="OH1232" s="2">
        <v>96.65000000000001</v>
      </c>
      <c r="OM1232" s="2">
        <v>96.7</v>
      </c>
      <c r="ON1232" s="2">
        <v>97.02</v>
      </c>
      <c r="OO1232" s="2">
        <v>97.40000000000001</v>
      </c>
      <c r="OP1232" s="2">
        <v>98.09999999999999</v>
      </c>
      <c r="OQ1232" s="2">
        <v>98.44</v>
      </c>
      <c r="OR1232" s="2">
        <v>98.47</v>
      </c>
      <c r="OS1232" s="2">
        <v>99.43000000000001</v>
      </c>
      <c r="OT1232" s="2">
        <v>99.92</v>
      </c>
      <c r="OU1232" s="2">
        <v>100</v>
      </c>
      <c r="OV1232" s="2">
        <v>100.48</v>
      </c>
      <c r="OW1232" s="2">
        <v>101.25</v>
      </c>
      <c r="OX1232" s="2">
        <v>101.2</v>
      </c>
      <c r="PC1232" s="2">
        <v>101.63</v>
      </c>
      <c r="PD1232" s="2">
        <v>102.8</v>
      </c>
      <c r="PE1232" s="2">
        <v>103.2</v>
      </c>
      <c r="PF1232" s="2">
        <v>103.68</v>
      </c>
      <c r="PG1232" s="2">
        <v>104.63</v>
      </c>
      <c r="PH1232" s="2">
        <v>104.91</v>
      </c>
      <c r="PI1232" s="2">
        <v>105.25</v>
      </c>
    </row>
    <row r="1233">
      <c r="A1233" t="inlineStr">
        <is>
          <t>A130400738T</t>
        </is>
      </c>
      <c r="B1233" t="inlineStr">
        <is>
          <t>Index Numbers ;  Other services in respect of motor vehicles ;  Australia ;</t>
        </is>
      </c>
      <c r="C1233" t="inlineStr">
        <is>
          <t>Month</t>
        </is>
      </c>
      <c r="D1233" t="inlineStr">
        <is>
          <t>Index Numbers</t>
        </is>
      </c>
      <c r="E1233" t="inlineStr">
        <is>
          <t>Seasonally Adjusted</t>
        </is>
      </c>
      <c r="F1233" t="inlineStr">
        <is>
          <t>640107.xlsx</t>
        </is>
      </c>
      <c r="G1233" t="inlineStr">
        <is>
          <t>2024-04</t>
        </is>
      </c>
      <c r="H1233" t="inlineStr">
        <is>
          <t>2026-07</t>
        </is>
      </c>
      <c r="NZ1233" s="2">
        <v>95.03</v>
      </c>
      <c r="OA1233" s="2">
        <v>95.20999999999999</v>
      </c>
      <c r="OB1233" s="2">
        <v>95.45</v>
      </c>
      <c r="OC1233" s="2">
        <v>95.48999999999999</v>
      </c>
      <c r="OD1233" s="2">
        <v>95.63</v>
      </c>
      <c r="OE1233" s="2">
        <v>96.76000000000001</v>
      </c>
      <c r="OF1233" s="2">
        <v>94.3</v>
      </c>
      <c r="OG1233" s="2">
        <v>94.64</v>
      </c>
      <c r="OH1233" s="2">
        <v>94.90000000000001</v>
      </c>
      <c r="OM1233" s="2">
        <v>95.38</v>
      </c>
      <c r="ON1233" s="2">
        <v>95.58</v>
      </c>
      <c r="OO1233" s="2">
        <v>95.84999999999999</v>
      </c>
      <c r="OP1233" s="2">
        <v>96.04000000000001</v>
      </c>
      <c r="OQ1233" s="2">
        <v>96.34999999999999</v>
      </c>
      <c r="OR1233" s="2">
        <v>96.64</v>
      </c>
      <c r="OS1233" s="2">
        <v>97.09999999999999</v>
      </c>
      <c r="OT1233" s="2">
        <v>97.33</v>
      </c>
      <c r="OU1233" s="2">
        <v>99.64</v>
      </c>
      <c r="OV1233" s="2">
        <v>99.79000000000001</v>
      </c>
      <c r="OW1233" s="2">
        <v>99.98999999999999</v>
      </c>
      <c r="OX1233" s="2">
        <v>100.31</v>
      </c>
      <c r="PC1233" s="2">
        <v>100.4</v>
      </c>
      <c r="PD1233" s="2">
        <v>100.66</v>
      </c>
      <c r="PE1233" s="2">
        <v>100.86</v>
      </c>
      <c r="PF1233" s="2">
        <v>101.24</v>
      </c>
      <c r="PG1233" s="2">
        <v>101.41</v>
      </c>
      <c r="PH1233" s="2">
        <v>101.66</v>
      </c>
      <c r="PI1233" s="2">
        <v>102.93</v>
      </c>
    </row>
    <row r="1234">
      <c r="A1234" t="inlineStr">
        <is>
          <t>A130400598A</t>
        </is>
      </c>
      <c r="B1234" t="inlineStr">
        <is>
          <t>Index Numbers ;  Urban transport fares ;  Australia ;</t>
        </is>
      </c>
      <c r="C1234" t="inlineStr">
        <is>
          <t>Month</t>
        </is>
      </c>
      <c r="D1234" t="inlineStr">
        <is>
          <t>Index Numbers</t>
        </is>
      </c>
      <c r="E1234" t="inlineStr">
        <is>
          <t>Seasonally Adjusted</t>
        </is>
      </c>
      <c r="F1234" t="inlineStr">
        <is>
          <t>640107.xlsx</t>
        </is>
      </c>
      <c r="G1234" t="inlineStr">
        <is>
          <t>2024-04</t>
        </is>
      </c>
      <c r="H1234" t="inlineStr">
        <is>
          <t>2026-07</t>
        </is>
      </c>
      <c r="NZ1234" s="2">
        <v>102.1</v>
      </c>
      <c r="OA1234" s="2">
        <v>102.58</v>
      </c>
      <c r="OB1234" s="2">
        <v>102.72</v>
      </c>
      <c r="OC1234" s="2">
        <v>102.28</v>
      </c>
      <c r="OD1234" s="2">
        <v>97.16</v>
      </c>
      <c r="OE1234" s="2">
        <v>96.23</v>
      </c>
      <c r="OF1234" s="2">
        <v>95.84999999999999</v>
      </c>
      <c r="OG1234" s="2">
        <v>95.68000000000001</v>
      </c>
      <c r="OH1234" s="2">
        <v>94.98999999999999</v>
      </c>
      <c r="OM1234" s="2">
        <v>94.45</v>
      </c>
      <c r="ON1234" s="2">
        <v>97.48</v>
      </c>
      <c r="OO1234" s="2">
        <v>97.81</v>
      </c>
      <c r="OP1234" s="2">
        <v>98.18000000000001</v>
      </c>
      <c r="OQ1234" s="2">
        <v>98.93000000000001</v>
      </c>
      <c r="OR1234" s="2">
        <v>99.45999999999999</v>
      </c>
      <c r="OS1234" s="2">
        <v>99.54000000000001</v>
      </c>
      <c r="OT1234" s="2">
        <v>99.70999999999999</v>
      </c>
      <c r="OU1234" s="2">
        <v>99.66</v>
      </c>
      <c r="OV1234" s="2">
        <v>99.31</v>
      </c>
      <c r="OW1234" s="2">
        <v>98.68000000000001</v>
      </c>
      <c r="OX1234" s="2">
        <v>94.41</v>
      </c>
      <c r="PC1234" s="2">
        <v>92.81</v>
      </c>
      <c r="PD1234" s="2">
        <v>96.59</v>
      </c>
      <c r="PE1234" s="2">
        <v>96.62</v>
      </c>
      <c r="PF1234" s="2">
        <v>77.65000000000001</v>
      </c>
      <c r="PG1234" s="2">
        <v>78.22</v>
      </c>
      <c r="PH1234" s="2">
        <v>88.48</v>
      </c>
      <c r="PI1234" s="2">
        <v>87.40000000000001</v>
      </c>
    </row>
    <row r="1235">
      <c r="A1235" t="inlineStr">
        <is>
          <t>A130400045A</t>
        </is>
      </c>
      <c r="B1235" t="inlineStr">
        <is>
          <t>Index Numbers ;  Communication ;  Australia ;</t>
        </is>
      </c>
      <c r="C1235" t="inlineStr">
        <is>
          <t>Month</t>
        </is>
      </c>
      <c r="D1235" t="inlineStr">
        <is>
          <t>Index Numbers</t>
        </is>
      </c>
      <c r="E1235" t="inlineStr">
        <is>
          <t>Seasonally Adjusted</t>
        </is>
      </c>
      <c r="F1235" t="inlineStr">
        <is>
          <t>640107.xlsx</t>
        </is>
      </c>
      <c r="G1235" t="inlineStr">
        <is>
          <t>2024-04</t>
        </is>
      </c>
      <c r="H1235" t="inlineStr">
        <is>
          <t>2026-07</t>
        </is>
      </c>
      <c r="NZ1235" s="2">
        <v>100</v>
      </c>
      <c r="OA1235" s="2">
        <v>99.67</v>
      </c>
      <c r="OB1235" s="2">
        <v>99.81999999999999</v>
      </c>
      <c r="OC1235" s="2">
        <v>100.23</v>
      </c>
      <c r="OD1235" s="2">
        <v>99.91</v>
      </c>
      <c r="OE1235" s="2">
        <v>99.65000000000001</v>
      </c>
      <c r="OF1235" s="2">
        <v>100.31</v>
      </c>
      <c r="OG1235" s="2">
        <v>100.27</v>
      </c>
      <c r="OH1235" s="2">
        <v>100.4</v>
      </c>
      <c r="OM1235" s="2">
        <v>100.23</v>
      </c>
      <c r="ON1235" s="2">
        <v>100.73</v>
      </c>
      <c r="OO1235" s="2">
        <v>100.71</v>
      </c>
      <c r="OP1235" s="2">
        <v>100.74</v>
      </c>
      <c r="OQ1235" s="2">
        <v>100.66</v>
      </c>
      <c r="OR1235" s="2">
        <v>100.65</v>
      </c>
      <c r="OS1235" s="2">
        <v>100.77</v>
      </c>
      <c r="OT1235" s="2">
        <v>101.73</v>
      </c>
      <c r="OU1235" s="2">
        <v>101.27</v>
      </c>
      <c r="OV1235" s="2">
        <v>101.07</v>
      </c>
      <c r="OW1235" s="2">
        <v>101.58</v>
      </c>
      <c r="OX1235" s="2">
        <v>101.51</v>
      </c>
      <c r="PC1235" s="2">
        <v>101.64</v>
      </c>
      <c r="PD1235" s="2">
        <v>101.56</v>
      </c>
      <c r="PE1235" s="2">
        <v>102.12</v>
      </c>
      <c r="PF1235" s="2">
        <v>102.31</v>
      </c>
      <c r="PG1235" s="2">
        <v>102.74</v>
      </c>
      <c r="PH1235" s="2">
        <v>102.92</v>
      </c>
      <c r="PI1235" s="2">
        <v>103.25</v>
      </c>
    </row>
    <row r="1236">
      <c r="A1236" t="inlineStr">
        <is>
          <t>A130400129K</t>
        </is>
      </c>
      <c r="B1236" t="inlineStr">
        <is>
          <t>Index Numbers ;  Postal services ;  Australia ;</t>
        </is>
      </c>
      <c r="C1236" t="inlineStr">
        <is>
          <t>Month</t>
        </is>
      </c>
      <c r="D1236" t="inlineStr">
        <is>
          <t>Index Numbers</t>
        </is>
      </c>
      <c r="E1236" t="inlineStr">
        <is>
          <t>Seasonally Adjusted</t>
        </is>
      </c>
      <c r="F1236" t="inlineStr">
        <is>
          <t>640107.xlsx</t>
        </is>
      </c>
      <c r="G1236" t="inlineStr">
        <is>
          <t>2022-07</t>
        </is>
      </c>
      <c r="H1236" t="inlineStr">
        <is>
          <t>2026-07</t>
        </is>
      </c>
      <c r="MW1236" s="2">
        <v>80.73</v>
      </c>
      <c r="MX1236" s="2">
        <v>81.25</v>
      </c>
      <c r="MY1236" s="2">
        <v>81.90000000000001</v>
      </c>
      <c r="MZ1236" s="2">
        <v>82.09999999999999</v>
      </c>
      <c r="NA1236" s="2">
        <v>82.11</v>
      </c>
      <c r="NB1236" s="2">
        <v>81.88</v>
      </c>
      <c r="NG1236" s="2">
        <v>82.75</v>
      </c>
      <c r="NH1236" s="2">
        <v>81.48</v>
      </c>
      <c r="NI1236" s="2">
        <v>86.26000000000001</v>
      </c>
      <c r="NJ1236" s="2">
        <v>84.05</v>
      </c>
      <c r="NK1236" s="2">
        <v>85.48999999999999</v>
      </c>
      <c r="NL1236" s="2">
        <v>85.44</v>
      </c>
      <c r="NM1236" s="2">
        <v>90.72</v>
      </c>
      <c r="NN1236" s="2">
        <v>93.70999999999999</v>
      </c>
      <c r="NO1236" s="2">
        <v>94.13</v>
      </c>
      <c r="NP1236" s="2">
        <v>94.7</v>
      </c>
      <c r="NQ1236" s="2">
        <v>95.43000000000001</v>
      </c>
      <c r="NR1236" s="2">
        <v>95.97</v>
      </c>
      <c r="NW1236" s="2">
        <v>96.16</v>
      </c>
      <c r="NX1236" s="2">
        <v>96.37</v>
      </c>
      <c r="NY1236" s="2">
        <v>96.65000000000001</v>
      </c>
      <c r="NZ1236" s="2">
        <v>95.48</v>
      </c>
      <c r="OA1236" s="2">
        <v>93.52</v>
      </c>
      <c r="OB1236" s="2">
        <v>91.81</v>
      </c>
      <c r="OC1236" s="2">
        <v>95.98</v>
      </c>
      <c r="OD1236" s="2">
        <v>96.37</v>
      </c>
      <c r="OE1236" s="2">
        <v>96.06999999999999</v>
      </c>
      <c r="OF1236" s="2">
        <v>95.56999999999999</v>
      </c>
      <c r="OG1236" s="2">
        <v>95.59999999999999</v>
      </c>
      <c r="OH1236" s="2">
        <v>95.65000000000001</v>
      </c>
      <c r="OM1236" s="2">
        <v>96.29000000000001</v>
      </c>
      <c r="ON1236" s="2">
        <v>96.58</v>
      </c>
      <c r="OO1236" s="2">
        <v>97.22</v>
      </c>
      <c r="OP1236" s="2">
        <v>96.75</v>
      </c>
      <c r="OQ1236" s="2">
        <v>96.58</v>
      </c>
      <c r="OR1236" s="2">
        <v>97.83</v>
      </c>
      <c r="OS1236" s="2">
        <v>99.06999999999999</v>
      </c>
      <c r="OT1236" s="2">
        <v>99.73</v>
      </c>
      <c r="OU1236" s="2">
        <v>100.15</v>
      </c>
      <c r="OV1236" s="2">
        <v>100.8</v>
      </c>
      <c r="OW1236" s="2">
        <v>101.11</v>
      </c>
      <c r="OX1236" s="2">
        <v>101.6</v>
      </c>
      <c r="PC1236" s="2">
        <v>102.21</v>
      </c>
      <c r="PD1236" s="2">
        <v>100.72</v>
      </c>
      <c r="PE1236" s="2">
        <v>104.4</v>
      </c>
      <c r="PF1236" s="2">
        <v>108.72</v>
      </c>
      <c r="PG1236" s="2">
        <v>107.61</v>
      </c>
      <c r="PH1236" s="2">
        <v>106.53</v>
      </c>
      <c r="PI1236" s="2">
        <v>105.73</v>
      </c>
    </row>
    <row r="1237">
      <c r="A1237" t="inlineStr">
        <is>
          <t>A130400010A</t>
        </is>
      </c>
      <c r="B1237" t="inlineStr">
        <is>
          <t>Index Numbers ;  Telecommunication equipment and services ;  Australia ;</t>
        </is>
      </c>
      <c r="C1237" t="inlineStr">
        <is>
          <t>Month</t>
        </is>
      </c>
      <c r="D1237" t="inlineStr">
        <is>
          <t>Index Numbers</t>
        </is>
      </c>
      <c r="E1237" t="inlineStr">
        <is>
          <t>Seasonally Adjusted</t>
        </is>
      </c>
      <c r="F1237" t="inlineStr">
        <is>
          <t>640107.xlsx</t>
        </is>
      </c>
      <c r="G1237" t="inlineStr">
        <is>
          <t>2024-04</t>
        </is>
      </c>
      <c r="H1237" t="inlineStr">
        <is>
          <t>2026-07</t>
        </is>
      </c>
      <c r="NZ1237" s="2">
        <v>98.53</v>
      </c>
      <c r="OA1237" s="2">
        <v>98.3</v>
      </c>
      <c r="OB1237" s="2">
        <v>98.56999999999999</v>
      </c>
      <c r="OC1237" s="2">
        <v>98.73999999999999</v>
      </c>
      <c r="OD1237" s="2">
        <v>98.38</v>
      </c>
      <c r="OE1237" s="2">
        <v>98.12</v>
      </c>
      <c r="OF1237" s="2">
        <v>98.84999999999999</v>
      </c>
      <c r="OG1237" s="2">
        <v>98.8</v>
      </c>
      <c r="OH1237" s="2">
        <v>98.94</v>
      </c>
      <c r="OM1237" s="2">
        <v>98.73</v>
      </c>
      <c r="ON1237" s="2">
        <v>99.23</v>
      </c>
      <c r="OO1237" s="2">
        <v>99.17</v>
      </c>
      <c r="OP1237" s="2">
        <v>99.23</v>
      </c>
      <c r="OQ1237" s="2">
        <v>99.15000000000001</v>
      </c>
      <c r="OR1237" s="2">
        <v>99.08</v>
      </c>
      <c r="OS1237" s="2">
        <v>99.14</v>
      </c>
      <c r="OT1237" s="2">
        <v>100.09</v>
      </c>
      <c r="OU1237" s="2">
        <v>99.59</v>
      </c>
      <c r="OV1237" s="2">
        <v>99.36</v>
      </c>
      <c r="OW1237" s="2">
        <v>99.87</v>
      </c>
      <c r="OX1237" s="2">
        <v>99.77</v>
      </c>
      <c r="PC1237" s="2">
        <v>99.87</v>
      </c>
      <c r="PD1237" s="2">
        <v>99.87</v>
      </c>
      <c r="PE1237" s="2">
        <v>100.25</v>
      </c>
      <c r="PF1237" s="2">
        <v>100.22</v>
      </c>
      <c r="PG1237" s="2">
        <v>100.73</v>
      </c>
      <c r="PH1237" s="2">
        <v>100.97</v>
      </c>
      <c r="PI1237" s="2">
        <v>101.36</v>
      </c>
    </row>
    <row r="1238">
      <c r="A1238" t="inlineStr">
        <is>
          <t>A130399856X</t>
        </is>
      </c>
      <c r="B1238" t="inlineStr">
        <is>
          <t>Index Numbers ;  Recreation and culture ;  Australia ;</t>
        </is>
      </c>
      <c r="C1238" t="inlineStr">
        <is>
          <t>Month</t>
        </is>
      </c>
      <c r="D1238" t="inlineStr">
        <is>
          <t>Index Numbers</t>
        </is>
      </c>
      <c r="E1238" t="inlineStr">
        <is>
          <t>Seasonally Adjusted</t>
        </is>
      </c>
      <c r="F1238" t="inlineStr">
        <is>
          <t>640107.xlsx</t>
        </is>
      </c>
      <c r="G1238" t="inlineStr">
        <is>
          <t>2024-04</t>
        </is>
      </c>
      <c r="H1238" t="inlineStr">
        <is>
          <t>2026-07</t>
        </is>
      </c>
      <c r="NZ1238" s="2">
        <v>100</v>
      </c>
      <c r="OA1238" s="2">
        <v>101.76</v>
      </c>
      <c r="OB1238" s="2">
        <v>103.13</v>
      </c>
      <c r="OC1238" s="2">
        <v>101.97</v>
      </c>
      <c r="OD1238" s="2">
        <v>103.21</v>
      </c>
      <c r="OE1238" s="2">
        <v>102.76</v>
      </c>
      <c r="OF1238" s="2">
        <v>103.07</v>
      </c>
      <c r="OG1238" s="2">
        <v>103.48</v>
      </c>
      <c r="OH1238" s="2">
        <v>101.94</v>
      </c>
      <c r="OM1238" s="2">
        <v>103.13</v>
      </c>
      <c r="ON1238" s="2">
        <v>103.35</v>
      </c>
      <c r="OO1238" s="2">
        <v>103.82</v>
      </c>
      <c r="OP1238" s="2">
        <v>103.73</v>
      </c>
      <c r="OQ1238" s="2">
        <v>103.66</v>
      </c>
      <c r="OR1238" s="2">
        <v>102.41</v>
      </c>
      <c r="OS1238" s="2">
        <v>104.67</v>
      </c>
      <c r="OT1238" s="2">
        <v>104.84</v>
      </c>
      <c r="OU1238" s="2">
        <v>104.91</v>
      </c>
      <c r="OV1238" s="2">
        <v>106.61</v>
      </c>
      <c r="OW1238" s="2">
        <v>105.9</v>
      </c>
      <c r="OX1238" s="2">
        <v>106.27</v>
      </c>
      <c r="PC1238" s="2">
        <v>106.8</v>
      </c>
      <c r="PD1238" s="2">
        <v>107.39</v>
      </c>
      <c r="PE1238" s="2">
        <v>106.58</v>
      </c>
      <c r="PF1238" s="2">
        <v>106.27</v>
      </c>
      <c r="PG1238" s="2">
        <v>106.26</v>
      </c>
      <c r="PH1238" s="2">
        <v>106.01</v>
      </c>
      <c r="PI1238" s="2">
        <v>107.44</v>
      </c>
    </row>
    <row r="1239">
      <c r="A1239" t="inlineStr">
        <is>
          <t>A130400248A</t>
        </is>
      </c>
      <c r="B1239" t="inlineStr">
        <is>
          <t>Index Numbers ;  Audio, visual and computing equipment ;  Australia ;</t>
        </is>
      </c>
      <c r="C1239" t="inlineStr">
        <is>
          <t>Month</t>
        </is>
      </c>
      <c r="D1239" t="inlineStr">
        <is>
          <t>Index Numbers</t>
        </is>
      </c>
      <c r="E1239" t="inlineStr">
        <is>
          <t>Seasonally Adjusted</t>
        </is>
      </c>
      <c r="F1239" t="inlineStr">
        <is>
          <t>640107.xlsx</t>
        </is>
      </c>
      <c r="G1239" t="inlineStr">
        <is>
          <t>2024-04</t>
        </is>
      </c>
      <c r="H1239" t="inlineStr">
        <is>
          <t>2026-07</t>
        </is>
      </c>
      <c r="NZ1239" s="2">
        <v>102.39</v>
      </c>
      <c r="OA1239" s="2">
        <v>103.19</v>
      </c>
      <c r="OB1239" s="2">
        <v>103.19</v>
      </c>
      <c r="OC1239" s="2">
        <v>102.19</v>
      </c>
      <c r="OD1239" s="2">
        <v>102.07</v>
      </c>
      <c r="OE1239" s="2">
        <v>101.01</v>
      </c>
      <c r="OF1239" s="2">
        <v>100.36</v>
      </c>
      <c r="OG1239" s="2">
        <v>101.76</v>
      </c>
      <c r="OH1239" s="2">
        <v>99.16</v>
      </c>
      <c r="OM1239" s="2">
        <v>98.34</v>
      </c>
      <c r="ON1239" s="2">
        <v>99.23</v>
      </c>
      <c r="OO1239" s="2">
        <v>99.91</v>
      </c>
      <c r="OP1239" s="2">
        <v>100.51</v>
      </c>
      <c r="OQ1239" s="2">
        <v>101.91</v>
      </c>
      <c r="OR1239" s="2">
        <v>101.91</v>
      </c>
      <c r="OS1239" s="2">
        <v>101.5</v>
      </c>
      <c r="OT1239" s="2">
        <v>101.43</v>
      </c>
      <c r="OU1239" s="2">
        <v>100</v>
      </c>
      <c r="OV1239" s="2">
        <v>99.88</v>
      </c>
      <c r="OW1239" s="2">
        <v>100.05</v>
      </c>
      <c r="OX1239" s="2">
        <v>100.05</v>
      </c>
      <c r="PC1239" s="2">
        <v>100.14</v>
      </c>
      <c r="PD1239" s="2">
        <v>101.04</v>
      </c>
      <c r="PE1239" s="2">
        <v>99.22</v>
      </c>
      <c r="PF1239" s="2">
        <v>99.7</v>
      </c>
      <c r="PG1239" s="2">
        <v>99.98999999999999</v>
      </c>
      <c r="PH1239" s="2">
        <v>99.98999999999999</v>
      </c>
      <c r="PI1239" s="2">
        <v>104.84</v>
      </c>
    </row>
    <row r="1240">
      <c r="A1240" t="inlineStr">
        <is>
          <t>A130400094W</t>
        </is>
      </c>
      <c r="B1240" t="inlineStr">
        <is>
          <t>Index Numbers ;  Audio, visual and computing media and services ;  Australia ;</t>
        </is>
      </c>
      <c r="C1240" t="inlineStr">
        <is>
          <t>Month</t>
        </is>
      </c>
      <c r="D1240" t="inlineStr">
        <is>
          <t>Index Numbers</t>
        </is>
      </c>
      <c r="E1240" t="inlineStr">
        <is>
          <t>Seasonally Adjusted</t>
        </is>
      </c>
      <c r="F1240" t="inlineStr">
        <is>
          <t>640107.xlsx</t>
        </is>
      </c>
      <c r="G1240" t="inlineStr">
        <is>
          <t>2024-04</t>
        </is>
      </c>
      <c r="H1240" t="inlineStr">
        <is>
          <t>2026-07</t>
        </is>
      </c>
      <c r="NZ1240" s="2">
        <v>86.37</v>
      </c>
      <c r="OA1240" s="2">
        <v>88.89</v>
      </c>
      <c r="OB1240" s="2">
        <v>89.67</v>
      </c>
      <c r="OC1240" s="2">
        <v>90.5</v>
      </c>
      <c r="OD1240" s="2">
        <v>90.78</v>
      </c>
      <c r="OE1240" s="2">
        <v>90.95999999999999</v>
      </c>
      <c r="OF1240" s="2">
        <v>91.05</v>
      </c>
      <c r="OG1240" s="2">
        <v>91.81</v>
      </c>
      <c r="OH1240" s="2">
        <v>91.62</v>
      </c>
      <c r="OM1240" s="2">
        <v>91.63</v>
      </c>
      <c r="ON1240" s="2">
        <v>92.2</v>
      </c>
      <c r="OO1240" s="2">
        <v>93.22</v>
      </c>
      <c r="OP1240" s="2">
        <v>93.33</v>
      </c>
      <c r="OQ1240" s="2">
        <v>93.61</v>
      </c>
      <c r="OR1240" s="2">
        <v>94.34</v>
      </c>
      <c r="OS1240" s="2">
        <v>94.20999999999999</v>
      </c>
      <c r="OT1240" s="2">
        <v>99.27</v>
      </c>
      <c r="OU1240" s="2">
        <v>100</v>
      </c>
      <c r="OV1240" s="2">
        <v>99.95999999999999</v>
      </c>
      <c r="OW1240" s="2">
        <v>100.57</v>
      </c>
      <c r="OX1240" s="2">
        <v>100.79</v>
      </c>
      <c r="PC1240" s="2">
        <v>100.88</v>
      </c>
      <c r="PD1240" s="2">
        <v>101.57</v>
      </c>
      <c r="PE1240" s="2">
        <v>101.84</v>
      </c>
      <c r="PF1240" s="2">
        <v>102.27</v>
      </c>
      <c r="PG1240" s="2">
        <v>103.48</v>
      </c>
      <c r="PH1240" s="2">
        <v>103.27</v>
      </c>
      <c r="PI1240" s="2">
        <v>104.04</v>
      </c>
    </row>
    <row r="1241">
      <c r="A1241" t="inlineStr">
        <is>
          <t>A130400262W</t>
        </is>
      </c>
      <c r="B1241" t="inlineStr">
        <is>
          <t>Index Numbers ;  Books ;  Australia ;</t>
        </is>
      </c>
      <c r="C1241" t="inlineStr">
        <is>
          <t>Month</t>
        </is>
      </c>
      <c r="D1241" t="inlineStr">
        <is>
          <t>Index Numbers</t>
        </is>
      </c>
      <c r="E1241" t="inlineStr">
        <is>
          <t>Seasonally Adjusted</t>
        </is>
      </c>
      <c r="F1241" t="inlineStr">
        <is>
          <t>640107.xlsx</t>
        </is>
      </c>
      <c r="G1241" t="inlineStr">
        <is>
          <t>2024-04</t>
        </is>
      </c>
      <c r="H1241" t="inlineStr">
        <is>
          <t>2026-07</t>
        </is>
      </c>
      <c r="NZ1241" s="2">
        <v>101.32</v>
      </c>
      <c r="OA1241" s="2">
        <v>101.33</v>
      </c>
      <c r="OB1241" s="2">
        <v>101.97</v>
      </c>
      <c r="OC1241" s="2">
        <v>102.27</v>
      </c>
      <c r="OD1241" s="2">
        <v>103.12</v>
      </c>
      <c r="OE1241" s="2">
        <v>99.48</v>
      </c>
      <c r="OF1241" s="2">
        <v>99.56999999999999</v>
      </c>
      <c r="OG1241" s="2">
        <v>100.45</v>
      </c>
      <c r="OH1241" s="2">
        <v>99.62</v>
      </c>
      <c r="OM1241" s="2">
        <v>102.28</v>
      </c>
      <c r="ON1241" s="2">
        <v>102.46</v>
      </c>
      <c r="OO1241" s="2">
        <v>102.46</v>
      </c>
      <c r="OP1241" s="2">
        <v>101.62</v>
      </c>
      <c r="OQ1241" s="2">
        <v>102.06</v>
      </c>
      <c r="OR1241" s="2">
        <v>102.06</v>
      </c>
      <c r="OS1241" s="2">
        <v>102.04</v>
      </c>
      <c r="OT1241" s="2">
        <v>100.97</v>
      </c>
      <c r="OU1241" s="2">
        <v>100</v>
      </c>
      <c r="OV1241" s="2">
        <v>101.84</v>
      </c>
      <c r="OW1241" s="2">
        <v>101.67</v>
      </c>
      <c r="OX1241" s="2">
        <v>101.67</v>
      </c>
      <c r="PC1241" s="2">
        <v>103.36</v>
      </c>
      <c r="PD1241" s="2">
        <v>102.74</v>
      </c>
      <c r="PE1241" s="2">
        <v>101.73</v>
      </c>
      <c r="PF1241" s="2">
        <v>98.45999999999999</v>
      </c>
      <c r="PG1241" s="2">
        <v>101.61</v>
      </c>
      <c r="PH1241" s="2">
        <v>100.47</v>
      </c>
      <c r="PI1241" s="2">
        <v>104.14</v>
      </c>
    </row>
    <row r="1242">
      <c r="A1242" t="inlineStr">
        <is>
          <t>A130400101J</t>
        </is>
      </c>
      <c r="B1242" t="inlineStr">
        <is>
          <t>Index Numbers ;  Newspapers, magazines and stationery ;  Australia ;</t>
        </is>
      </c>
      <c r="C1242" t="inlineStr">
        <is>
          <t>Month</t>
        </is>
      </c>
      <c r="D1242" t="inlineStr">
        <is>
          <t>Index Numbers</t>
        </is>
      </c>
      <c r="E1242" t="inlineStr">
        <is>
          <t>Seasonally Adjusted</t>
        </is>
      </c>
      <c r="F1242" t="inlineStr">
        <is>
          <t>640107.xlsx</t>
        </is>
      </c>
      <c r="G1242" t="inlineStr">
        <is>
          <t>2024-04</t>
        </is>
      </c>
      <c r="H1242" t="inlineStr">
        <is>
          <t>2026-07</t>
        </is>
      </c>
      <c r="NZ1242" s="2">
        <v>94.66</v>
      </c>
      <c r="OA1242" s="2">
        <v>94.40000000000001</v>
      </c>
      <c r="OB1242" s="2">
        <v>94.56999999999999</v>
      </c>
      <c r="OC1242" s="2">
        <v>95.11</v>
      </c>
      <c r="OD1242" s="2">
        <v>95.54000000000001</v>
      </c>
      <c r="OE1242" s="2">
        <v>95.73999999999999</v>
      </c>
      <c r="OF1242" s="2">
        <v>96.34999999999999</v>
      </c>
      <c r="OG1242" s="2">
        <v>96.37</v>
      </c>
      <c r="OH1242" s="2">
        <v>95.56</v>
      </c>
      <c r="OM1242" s="2">
        <v>94.44</v>
      </c>
      <c r="ON1242" s="2">
        <v>96.68000000000001</v>
      </c>
      <c r="OO1242" s="2">
        <v>95.84999999999999</v>
      </c>
      <c r="OP1242" s="2">
        <v>96.84</v>
      </c>
      <c r="OQ1242" s="2">
        <v>97.15000000000001</v>
      </c>
      <c r="OR1242" s="2">
        <v>98.02</v>
      </c>
      <c r="OS1242" s="2">
        <v>99.86</v>
      </c>
      <c r="OT1242" s="2">
        <v>100.27</v>
      </c>
      <c r="OU1242" s="2">
        <v>100</v>
      </c>
      <c r="OV1242" s="2">
        <v>99.38</v>
      </c>
      <c r="OW1242" s="2">
        <v>100.69</v>
      </c>
      <c r="OX1242" s="2">
        <v>100.39</v>
      </c>
      <c r="PC1242" s="2">
        <v>100.39</v>
      </c>
      <c r="PD1242" s="2">
        <v>101.34</v>
      </c>
      <c r="PE1242" s="2">
        <v>101.58</v>
      </c>
      <c r="PF1242" s="2">
        <v>101.15</v>
      </c>
      <c r="PG1242" s="2">
        <v>101.91</v>
      </c>
      <c r="PH1242" s="2">
        <v>102.15</v>
      </c>
      <c r="PI1242" s="2">
        <v>102.41</v>
      </c>
    </row>
    <row r="1243">
      <c r="A1243" t="inlineStr">
        <is>
          <t>A130400255X</t>
        </is>
      </c>
      <c r="B1243" t="inlineStr">
        <is>
          <t>Index Numbers ;  Domestic holiday travel and accommodation ;  Australia ;</t>
        </is>
      </c>
      <c r="C1243" t="inlineStr">
        <is>
          <t>Month</t>
        </is>
      </c>
      <c r="D1243" t="inlineStr">
        <is>
          <t>Index Numbers</t>
        </is>
      </c>
      <c r="E1243" t="inlineStr">
        <is>
          <t>Seasonally Adjusted</t>
        </is>
      </c>
      <c r="F1243" t="inlineStr">
        <is>
          <t>640107.xlsx</t>
        </is>
      </c>
      <c r="G1243" t="inlineStr">
        <is>
          <t>2017-09</t>
        </is>
      </c>
      <c r="H1243" t="inlineStr">
        <is>
          <t>2026-07</t>
        </is>
      </c>
      <c r="JW1243" s="2">
        <v>68.73999999999999</v>
      </c>
      <c r="JX1243" s="2">
        <v>69.84999999999999</v>
      </c>
      <c r="JY1243" s="2">
        <v>70.27</v>
      </c>
      <c r="JZ1243" s="2">
        <v>71.17</v>
      </c>
      <c r="KE1243" s="2">
        <v>71.11</v>
      </c>
      <c r="KF1243" s="2">
        <v>72.66</v>
      </c>
      <c r="KG1243" s="2">
        <v>73.33</v>
      </c>
      <c r="KH1243" s="2">
        <v>71.90000000000001</v>
      </c>
      <c r="KI1243" s="2">
        <v>72.56999999999999</v>
      </c>
      <c r="KJ1243" s="2">
        <v>71.98</v>
      </c>
      <c r="KK1243" s="2">
        <v>74.08</v>
      </c>
      <c r="KL1243" s="2">
        <v>73.81</v>
      </c>
      <c r="KM1243" s="2">
        <v>73.84999999999999</v>
      </c>
      <c r="KN1243" s="2">
        <v>73.22</v>
      </c>
      <c r="KO1243" s="2">
        <v>74.31999999999999</v>
      </c>
      <c r="KP1243" s="2">
        <v>77.98</v>
      </c>
      <c r="KU1243" s="2">
        <v>73.58</v>
      </c>
      <c r="KV1243" s="2">
        <v>73.45</v>
      </c>
      <c r="KW1243" s="2">
        <v>73.04000000000001</v>
      </c>
      <c r="KX1243" s="2">
        <v>74.78</v>
      </c>
      <c r="KY1243" s="2">
        <v>74.8</v>
      </c>
      <c r="KZ1243" s="2">
        <v>73.91</v>
      </c>
      <c r="LA1243" s="2">
        <v>75.34999999999999</v>
      </c>
      <c r="LB1243" s="2">
        <v>74.95999999999999</v>
      </c>
      <c r="LC1243" s="2">
        <v>73.52</v>
      </c>
      <c r="LD1243" s="2">
        <v>76.37</v>
      </c>
      <c r="LE1243" s="2">
        <v>74.69</v>
      </c>
      <c r="LF1243" s="2">
        <v>78.61</v>
      </c>
      <c r="LK1243" s="2">
        <v>76.22</v>
      </c>
      <c r="LL1243" s="2">
        <v>74.73999999999999</v>
      </c>
      <c r="LM1243" s="2">
        <v>75.18000000000001</v>
      </c>
      <c r="LN1243" s="2">
        <v>70.76000000000001</v>
      </c>
      <c r="LO1243" s="2">
        <v>76.67</v>
      </c>
      <c r="LP1243" s="2">
        <v>78.14</v>
      </c>
      <c r="LQ1243" s="2">
        <v>74.06999999999999</v>
      </c>
      <c r="LR1243" s="2">
        <v>76.86</v>
      </c>
      <c r="LS1243" s="2">
        <v>78.77</v>
      </c>
      <c r="LT1243" s="2">
        <v>76.69</v>
      </c>
      <c r="LU1243" s="2">
        <v>78</v>
      </c>
      <c r="LV1243" s="2">
        <v>78.58</v>
      </c>
      <c r="MA1243" s="2">
        <v>76.73999999999999</v>
      </c>
      <c r="MB1243" s="2">
        <v>78.59</v>
      </c>
      <c r="MC1243" s="2">
        <v>76.84</v>
      </c>
      <c r="MD1243" s="2">
        <v>77.01000000000001</v>
      </c>
      <c r="ME1243" s="2">
        <v>78.51000000000001</v>
      </c>
      <c r="MF1243" s="2">
        <v>79.72</v>
      </c>
      <c r="MG1243" s="2">
        <v>77.7</v>
      </c>
      <c r="MH1243" s="2">
        <v>80.86</v>
      </c>
      <c r="MI1243" s="2">
        <v>80.3</v>
      </c>
      <c r="MJ1243" s="2">
        <v>80.66</v>
      </c>
      <c r="MK1243" s="2">
        <v>78.62</v>
      </c>
      <c r="ML1243" s="2">
        <v>79.81999999999999</v>
      </c>
      <c r="MQ1243" s="2">
        <v>81.44</v>
      </c>
      <c r="MR1243" s="2">
        <v>79.38</v>
      </c>
      <c r="MS1243" s="2">
        <v>81.19</v>
      </c>
      <c r="MT1243" s="2">
        <v>83.22</v>
      </c>
      <c r="MU1243" s="2">
        <v>84.29000000000001</v>
      </c>
      <c r="MV1243" s="2">
        <v>86.13</v>
      </c>
      <c r="MW1243" s="2">
        <v>88.11</v>
      </c>
      <c r="MX1243" s="2">
        <v>86.83</v>
      </c>
      <c r="MY1243" s="2">
        <v>90.09999999999999</v>
      </c>
      <c r="MZ1243" s="2">
        <v>87.97</v>
      </c>
      <c r="NA1243" s="2">
        <v>94.37</v>
      </c>
      <c r="NB1243" s="2">
        <v>102.82</v>
      </c>
      <c r="NG1243" s="2">
        <v>102.87</v>
      </c>
      <c r="NH1243" s="2">
        <v>98.84</v>
      </c>
      <c r="NI1243" s="2">
        <v>99.42</v>
      </c>
      <c r="NJ1243" s="2">
        <v>99.67</v>
      </c>
      <c r="NK1243" s="2">
        <v>93.43000000000001</v>
      </c>
      <c r="NL1243" s="2">
        <v>96.31</v>
      </c>
      <c r="NM1243" s="2">
        <v>95.65000000000001</v>
      </c>
      <c r="NN1243" s="2">
        <v>94.94</v>
      </c>
      <c r="NO1243" s="2">
        <v>94.68000000000001</v>
      </c>
      <c r="NP1243" s="2">
        <v>91.55</v>
      </c>
      <c r="NQ1243" s="2">
        <v>94.48</v>
      </c>
      <c r="NR1243" s="2">
        <v>95.64</v>
      </c>
      <c r="NW1243" s="2">
        <v>95.23</v>
      </c>
      <c r="NX1243" s="2">
        <v>95.75</v>
      </c>
      <c r="NY1243" s="2">
        <v>96.09</v>
      </c>
      <c r="NZ1243" s="2">
        <v>91.19</v>
      </c>
      <c r="OA1243" s="2">
        <v>95.09</v>
      </c>
      <c r="OB1243" s="2">
        <v>98.59</v>
      </c>
      <c r="OC1243" s="2">
        <v>95.51000000000001</v>
      </c>
      <c r="OD1243" s="2">
        <v>97.12</v>
      </c>
      <c r="OE1243" s="2">
        <v>96.78</v>
      </c>
      <c r="OF1243" s="2">
        <v>97.98999999999999</v>
      </c>
      <c r="OG1243" s="2">
        <v>98.92</v>
      </c>
      <c r="OH1243" s="2">
        <v>93.39</v>
      </c>
      <c r="OM1243" s="2">
        <v>97.09999999999999</v>
      </c>
      <c r="ON1243" s="2">
        <v>96.11</v>
      </c>
      <c r="OO1243" s="2">
        <v>98.8</v>
      </c>
      <c r="OP1243" s="2">
        <v>97.39</v>
      </c>
      <c r="OQ1243" s="2">
        <v>99.08</v>
      </c>
      <c r="OR1243" s="2">
        <v>97.51000000000001</v>
      </c>
      <c r="OS1243" s="2">
        <v>101.55</v>
      </c>
      <c r="OT1243" s="2">
        <v>101.57</v>
      </c>
      <c r="OU1243" s="2">
        <v>101.41</v>
      </c>
      <c r="OV1243" s="2">
        <v>104.81</v>
      </c>
      <c r="OW1243" s="2">
        <v>102.01</v>
      </c>
      <c r="OX1243" s="2">
        <v>102.34</v>
      </c>
      <c r="PC1243" s="2">
        <v>102.5</v>
      </c>
      <c r="PD1243" s="2">
        <v>104.38</v>
      </c>
      <c r="PE1243" s="2">
        <v>101.62</v>
      </c>
      <c r="PF1243" s="2">
        <v>103.81</v>
      </c>
      <c r="PG1243" s="2">
        <v>102.19</v>
      </c>
      <c r="PH1243" s="2">
        <v>101.52</v>
      </c>
      <c r="PI1243" s="2">
        <v>103.65</v>
      </c>
    </row>
    <row r="1244">
      <c r="A1244" t="inlineStr">
        <is>
          <t>A130400031L</t>
        </is>
      </c>
      <c r="B1244" t="inlineStr">
        <is>
          <t>Index Numbers ;  International holiday travel and accommodation ;  Australia ;</t>
        </is>
      </c>
      <c r="C1244" t="inlineStr">
        <is>
          <t>Month</t>
        </is>
      </c>
      <c r="D1244" t="inlineStr">
        <is>
          <t>Index Numbers</t>
        </is>
      </c>
      <c r="E1244" t="inlineStr">
        <is>
          <t>Seasonally Adjusted</t>
        </is>
      </c>
      <c r="F1244" t="inlineStr">
        <is>
          <t>640107.xlsx</t>
        </is>
      </c>
      <c r="G1244" t="inlineStr">
        <is>
          <t>2017-09</t>
        </is>
      </c>
      <c r="H1244" t="inlineStr">
        <is>
          <t>2026-07</t>
        </is>
      </c>
      <c r="JW1244" s="2">
        <v>66.27</v>
      </c>
      <c r="JX1244" s="2">
        <v>66.34999999999999</v>
      </c>
      <c r="JY1244" s="2">
        <v>67.56999999999999</v>
      </c>
      <c r="JZ1244" s="2">
        <v>67.43000000000001</v>
      </c>
      <c r="KE1244" s="2">
        <v>66.75</v>
      </c>
      <c r="KF1244" s="2">
        <v>67.70999999999999</v>
      </c>
      <c r="KG1244" s="2">
        <v>67.58</v>
      </c>
      <c r="KH1244" s="2">
        <v>67.34999999999999</v>
      </c>
      <c r="KI1244" s="2">
        <v>67.34</v>
      </c>
      <c r="KJ1244" s="2">
        <v>67.34999999999999</v>
      </c>
      <c r="KK1244" s="2">
        <v>68.67</v>
      </c>
      <c r="KL1244" s="2">
        <v>66.48</v>
      </c>
      <c r="KM1244" s="2">
        <v>67.54000000000001</v>
      </c>
      <c r="KN1244" s="2">
        <v>70.13</v>
      </c>
      <c r="KO1244" s="2">
        <v>69.33</v>
      </c>
      <c r="KP1244" s="2">
        <v>67.7</v>
      </c>
      <c r="KU1244" s="2">
        <v>69.13</v>
      </c>
      <c r="KV1244" s="2">
        <v>69.66</v>
      </c>
      <c r="KW1244" s="2">
        <v>68.68000000000001</v>
      </c>
      <c r="KX1244" s="2">
        <v>70.67</v>
      </c>
      <c r="KY1244" s="2">
        <v>68.36</v>
      </c>
      <c r="KZ1244" s="2">
        <v>70.20999999999999</v>
      </c>
      <c r="LA1244" s="2">
        <v>71.73</v>
      </c>
      <c r="LB1244" s="2">
        <v>71.59999999999999</v>
      </c>
      <c r="LC1244" s="2">
        <v>70.83</v>
      </c>
      <c r="LD1244" s="2">
        <v>73.95999999999999</v>
      </c>
      <c r="LE1244" s="2">
        <v>71.67</v>
      </c>
      <c r="LF1244" s="2">
        <v>70.15000000000001</v>
      </c>
      <c r="LK1244" s="2">
        <v>71.62</v>
      </c>
      <c r="LL1244" s="2">
        <v>67.76000000000001</v>
      </c>
      <c r="LM1244" s="2">
        <v>73.29000000000001</v>
      </c>
      <c r="LN1244" s="2">
        <v>69.45999999999999</v>
      </c>
      <c r="LO1244" s="2">
        <v>69.48</v>
      </c>
      <c r="LP1244" s="2">
        <v>65.31999999999999</v>
      </c>
      <c r="LQ1244" s="2">
        <v>69.03</v>
      </c>
      <c r="LR1244" s="2">
        <v>74.65000000000001</v>
      </c>
      <c r="LS1244" s="2">
        <v>56.62</v>
      </c>
      <c r="LT1244" s="2">
        <v>67.72</v>
      </c>
      <c r="LU1244" s="2">
        <v>66.05</v>
      </c>
      <c r="LV1244" s="2">
        <v>71.25</v>
      </c>
      <c r="MA1244" s="2">
        <v>64.95999999999999</v>
      </c>
      <c r="MB1244" s="2">
        <v>76.59999999999999</v>
      </c>
      <c r="MC1244" s="2">
        <v>89.16</v>
      </c>
      <c r="MD1244" s="2">
        <v>73.97</v>
      </c>
      <c r="ME1244" s="2">
        <v>76.2</v>
      </c>
      <c r="MF1244" s="2">
        <v>74.38</v>
      </c>
      <c r="MG1244" s="2">
        <v>71.45999999999999</v>
      </c>
      <c r="MH1244" s="2">
        <v>68.73999999999999</v>
      </c>
      <c r="MI1244" s="2">
        <v>69.94</v>
      </c>
      <c r="MJ1244" s="2">
        <v>86.89</v>
      </c>
      <c r="MK1244" s="2">
        <v>87.25</v>
      </c>
      <c r="ML1244" s="2">
        <v>72.45</v>
      </c>
      <c r="MQ1244" s="2">
        <v>71.18000000000001</v>
      </c>
      <c r="MR1244" s="2">
        <v>70.26000000000001</v>
      </c>
      <c r="MS1244" s="2">
        <v>70.7</v>
      </c>
      <c r="MT1244" s="2">
        <v>73.64</v>
      </c>
      <c r="MU1244" s="2">
        <v>76.79000000000001</v>
      </c>
      <c r="MV1244" s="2">
        <v>78.64</v>
      </c>
      <c r="MW1244" s="2">
        <v>83.48</v>
      </c>
      <c r="MX1244" s="2">
        <v>88.81</v>
      </c>
      <c r="MY1244" s="2">
        <v>91.44</v>
      </c>
      <c r="MZ1244" s="2">
        <v>88.72</v>
      </c>
      <c r="NA1244" s="2">
        <v>90.56</v>
      </c>
      <c r="NB1244" s="2">
        <v>103.53</v>
      </c>
      <c r="NG1244" s="2">
        <v>104.63</v>
      </c>
      <c r="NH1244" s="2">
        <v>92.47</v>
      </c>
      <c r="NI1244" s="2">
        <v>93.89</v>
      </c>
      <c r="NJ1244" s="2">
        <v>94.42</v>
      </c>
      <c r="NK1244" s="2">
        <v>88.84</v>
      </c>
      <c r="NL1244" s="2">
        <v>97.93000000000001</v>
      </c>
      <c r="NM1244" s="2">
        <v>93.48999999999999</v>
      </c>
      <c r="NN1244" s="2">
        <v>93.31999999999999</v>
      </c>
      <c r="NO1244" s="2">
        <v>91.48</v>
      </c>
      <c r="NP1244" s="2">
        <v>89.90000000000001</v>
      </c>
      <c r="NQ1244" s="2">
        <v>92.89</v>
      </c>
      <c r="NR1244" s="2">
        <v>92.70999999999999</v>
      </c>
      <c r="NW1244" s="2">
        <v>99.67</v>
      </c>
      <c r="NX1244" s="2">
        <v>94.95999999999999</v>
      </c>
      <c r="NY1244" s="2">
        <v>91.02</v>
      </c>
      <c r="NZ1244" s="2">
        <v>93.42</v>
      </c>
      <c r="OA1244" s="2">
        <v>95.12</v>
      </c>
      <c r="OB1244" s="2">
        <v>95.8</v>
      </c>
      <c r="OC1244" s="2">
        <v>93.94</v>
      </c>
      <c r="OD1244" s="2">
        <v>96.09</v>
      </c>
      <c r="OE1244" s="2">
        <v>94.69</v>
      </c>
      <c r="OF1244" s="2">
        <v>96.98999999999999</v>
      </c>
      <c r="OG1244" s="2">
        <v>94.68000000000001</v>
      </c>
      <c r="OH1244" s="2">
        <v>95.16</v>
      </c>
      <c r="OM1244" s="2">
        <v>96.45</v>
      </c>
      <c r="ON1244" s="2">
        <v>96.59</v>
      </c>
      <c r="OO1244" s="2">
        <v>96.7</v>
      </c>
      <c r="OP1244" s="2">
        <v>97.77</v>
      </c>
      <c r="OQ1244" s="2">
        <v>93.61</v>
      </c>
      <c r="OR1244" s="2">
        <v>90.90000000000001</v>
      </c>
      <c r="OS1244" s="2">
        <v>94.89</v>
      </c>
      <c r="OT1244" s="2">
        <v>94.12</v>
      </c>
      <c r="OU1244" s="2">
        <v>94.88</v>
      </c>
      <c r="OV1244" s="2">
        <v>96.63</v>
      </c>
      <c r="OW1244" s="2">
        <v>96.33</v>
      </c>
      <c r="OX1244" s="2">
        <v>97.48999999999999</v>
      </c>
      <c r="PC1244" s="2">
        <v>97.95</v>
      </c>
      <c r="PD1244" s="2">
        <v>97.64</v>
      </c>
      <c r="PE1244" s="2">
        <v>97.55</v>
      </c>
      <c r="PF1244" s="2">
        <v>94.37</v>
      </c>
      <c r="PG1244" s="2">
        <v>94.68000000000001</v>
      </c>
      <c r="PH1244" s="2">
        <v>94.92</v>
      </c>
      <c r="PI1244" s="2">
        <v>95.18000000000001</v>
      </c>
    </row>
    <row r="1245">
      <c r="A1245" t="inlineStr">
        <is>
          <t>A130400038C</t>
        </is>
      </c>
      <c r="B1245" t="inlineStr">
        <is>
          <t>Index Numbers ;  Equipment for sports, camping and open-air recreation ;  Australia ;</t>
        </is>
      </c>
      <c r="C1245" t="inlineStr">
        <is>
          <t>Month</t>
        </is>
      </c>
      <c r="D1245" t="inlineStr">
        <is>
          <t>Index Numbers</t>
        </is>
      </c>
      <c r="E1245" t="inlineStr">
        <is>
          <t>Seasonally Adjusted</t>
        </is>
      </c>
      <c r="F1245" t="inlineStr">
        <is>
          <t>640107.xlsx</t>
        </is>
      </c>
      <c r="G1245" t="inlineStr">
        <is>
          <t>2024-04</t>
        </is>
      </c>
      <c r="H1245" t="inlineStr">
        <is>
          <t>2026-07</t>
        </is>
      </c>
      <c r="NZ1245" s="2">
        <v>100.48</v>
      </c>
      <c r="OA1245" s="2">
        <v>101.04</v>
      </c>
      <c r="OB1245" s="2">
        <v>101.04</v>
      </c>
      <c r="OC1245" s="2">
        <v>101.04</v>
      </c>
      <c r="OD1245" s="2">
        <v>100.44</v>
      </c>
      <c r="OE1245" s="2">
        <v>101</v>
      </c>
      <c r="OF1245" s="2">
        <v>100.42</v>
      </c>
      <c r="OG1245" s="2">
        <v>101.37</v>
      </c>
      <c r="OH1245" s="2">
        <v>100.55</v>
      </c>
      <c r="OM1245" s="2">
        <v>99.36</v>
      </c>
      <c r="ON1245" s="2">
        <v>100.43</v>
      </c>
      <c r="OO1245" s="2">
        <v>99.91</v>
      </c>
      <c r="OP1245" s="2">
        <v>99.05</v>
      </c>
      <c r="OQ1245" s="2">
        <v>100.47</v>
      </c>
      <c r="OR1245" s="2">
        <v>99.37</v>
      </c>
      <c r="OS1245" s="2">
        <v>100.47</v>
      </c>
      <c r="OT1245" s="2">
        <v>100.21</v>
      </c>
      <c r="OU1245" s="2">
        <v>100</v>
      </c>
      <c r="OV1245" s="2">
        <v>99.75</v>
      </c>
      <c r="OW1245" s="2">
        <v>99.20999999999999</v>
      </c>
      <c r="OX1245" s="2">
        <v>98.15000000000001</v>
      </c>
      <c r="PC1245" s="2">
        <v>99.92</v>
      </c>
      <c r="PD1245" s="2">
        <v>99.01000000000001</v>
      </c>
      <c r="PE1245" s="2">
        <v>99.3</v>
      </c>
      <c r="PF1245" s="2">
        <v>99.73999999999999</v>
      </c>
      <c r="PG1245" s="2">
        <v>101.18</v>
      </c>
      <c r="PH1245" s="2">
        <v>100.18</v>
      </c>
      <c r="PI1245" s="2">
        <v>100.29</v>
      </c>
    </row>
    <row r="1246">
      <c r="A1246" t="inlineStr">
        <is>
          <t>A130400472V</t>
        </is>
      </c>
      <c r="B1246" t="inlineStr">
        <is>
          <t>Index Numbers ;  Games, toys and hobbies ;  Australia ;</t>
        </is>
      </c>
      <c r="C1246" t="inlineStr">
        <is>
          <t>Month</t>
        </is>
      </c>
      <c r="D1246" t="inlineStr">
        <is>
          <t>Index Numbers</t>
        </is>
      </c>
      <c r="E1246" t="inlineStr">
        <is>
          <t>Seasonally Adjusted</t>
        </is>
      </c>
      <c r="F1246" t="inlineStr">
        <is>
          <t>640107.xlsx</t>
        </is>
      </c>
      <c r="G1246" t="inlineStr">
        <is>
          <t>2024-04</t>
        </is>
      </c>
      <c r="H1246" t="inlineStr">
        <is>
          <t>2026-07</t>
        </is>
      </c>
      <c r="NZ1246" s="2">
        <v>98.19</v>
      </c>
      <c r="OA1246" s="2">
        <v>97.78</v>
      </c>
      <c r="OB1246" s="2">
        <v>97.06999999999999</v>
      </c>
      <c r="OC1246" s="2">
        <v>97.06999999999999</v>
      </c>
      <c r="OD1246" s="2">
        <v>98.06</v>
      </c>
      <c r="OE1246" s="2">
        <v>99.87</v>
      </c>
      <c r="OF1246" s="2">
        <v>98.09</v>
      </c>
      <c r="OG1246" s="2">
        <v>100.99</v>
      </c>
      <c r="OH1246" s="2">
        <v>100.99</v>
      </c>
      <c r="OM1246" s="2">
        <v>102.13</v>
      </c>
      <c r="ON1246" s="2">
        <v>101.21</v>
      </c>
      <c r="OO1246" s="2">
        <v>99.04000000000001</v>
      </c>
      <c r="OP1246" s="2">
        <v>97.51000000000001</v>
      </c>
      <c r="OQ1246" s="2">
        <v>100.98</v>
      </c>
      <c r="OR1246" s="2">
        <v>98.81999999999999</v>
      </c>
      <c r="OS1246" s="2">
        <v>98.81999999999999</v>
      </c>
      <c r="OT1246" s="2">
        <v>97.40000000000001</v>
      </c>
      <c r="OU1246" s="2">
        <v>100</v>
      </c>
      <c r="OV1246" s="2">
        <v>101.17</v>
      </c>
      <c r="OW1246" s="2">
        <v>100.26</v>
      </c>
      <c r="OX1246" s="2">
        <v>99.23999999999999</v>
      </c>
      <c r="PC1246" s="2">
        <v>104.85</v>
      </c>
      <c r="PD1246" s="2">
        <v>103.9</v>
      </c>
      <c r="PE1246" s="2">
        <v>105.96</v>
      </c>
      <c r="PF1246" s="2">
        <v>103.83</v>
      </c>
      <c r="PG1246" s="2">
        <v>103.56</v>
      </c>
      <c r="PH1246" s="2">
        <v>101.81</v>
      </c>
      <c r="PI1246" s="2">
        <v>101.81</v>
      </c>
    </row>
    <row r="1247">
      <c r="A1247" t="inlineStr">
        <is>
          <t>A130400591K</t>
        </is>
      </c>
      <c r="B1247" t="inlineStr">
        <is>
          <t>Index Numbers ;  Pets and related products ;  Australia ;</t>
        </is>
      </c>
      <c r="C1247" t="inlineStr">
        <is>
          <t>Month</t>
        </is>
      </c>
      <c r="D1247" t="inlineStr">
        <is>
          <t>Index Numbers</t>
        </is>
      </c>
      <c r="E1247" t="inlineStr">
        <is>
          <t>Seasonally Adjusted</t>
        </is>
      </c>
      <c r="F1247" t="inlineStr">
        <is>
          <t>640107.xlsx</t>
        </is>
      </c>
      <c r="G1247" t="inlineStr">
        <is>
          <t>2017-09</t>
        </is>
      </c>
      <c r="H1247" t="inlineStr">
        <is>
          <t>2026-07</t>
        </is>
      </c>
      <c r="JW1247" s="2">
        <v>74.20999999999999</v>
      </c>
      <c r="JX1247" s="2">
        <v>73.91</v>
      </c>
      <c r="JY1247" s="2">
        <v>73.77</v>
      </c>
      <c r="JZ1247" s="2">
        <v>73.34</v>
      </c>
      <c r="KE1247" s="2">
        <v>73.01000000000001</v>
      </c>
      <c r="KF1247" s="2">
        <v>72.90000000000001</v>
      </c>
      <c r="KG1247" s="2">
        <v>72.34999999999999</v>
      </c>
      <c r="KH1247" s="2">
        <v>72.33</v>
      </c>
      <c r="KI1247" s="2">
        <v>72.69</v>
      </c>
      <c r="KJ1247" s="2">
        <v>72.51000000000001</v>
      </c>
      <c r="KK1247" s="2">
        <v>72.56</v>
      </c>
      <c r="KL1247" s="2">
        <v>72.98999999999999</v>
      </c>
      <c r="KM1247" s="2">
        <v>73.47</v>
      </c>
      <c r="KN1247" s="2">
        <v>73.18000000000001</v>
      </c>
      <c r="KO1247" s="2">
        <v>74.53</v>
      </c>
      <c r="KP1247" s="2">
        <v>74.2</v>
      </c>
      <c r="KU1247" s="2">
        <v>74.23999999999999</v>
      </c>
      <c r="KV1247" s="2">
        <v>73.63</v>
      </c>
      <c r="KW1247" s="2">
        <v>75.45999999999999</v>
      </c>
      <c r="KX1247" s="2">
        <v>76.79000000000001</v>
      </c>
      <c r="KY1247" s="2">
        <v>77.31</v>
      </c>
      <c r="KZ1247" s="2">
        <v>77.05</v>
      </c>
      <c r="LA1247" s="2">
        <v>78.38</v>
      </c>
      <c r="LB1247" s="2">
        <v>78.29000000000001</v>
      </c>
      <c r="LC1247" s="2">
        <v>77.92</v>
      </c>
      <c r="LD1247" s="2">
        <v>78.73</v>
      </c>
      <c r="LE1247" s="2">
        <v>78.5</v>
      </c>
      <c r="LF1247" s="2">
        <v>78.48999999999999</v>
      </c>
      <c r="LK1247" s="2">
        <v>79.27</v>
      </c>
      <c r="LL1247" s="2">
        <v>78.7</v>
      </c>
      <c r="LM1247" s="2">
        <v>80.02</v>
      </c>
      <c r="LN1247" s="2">
        <v>81.47</v>
      </c>
      <c r="LO1247" s="2">
        <v>80.01000000000001</v>
      </c>
      <c r="LP1247" s="2">
        <v>80.28</v>
      </c>
      <c r="LQ1247" s="2">
        <v>80.01000000000001</v>
      </c>
      <c r="LR1247" s="2">
        <v>80.59</v>
      </c>
      <c r="LS1247" s="2">
        <v>80.98</v>
      </c>
      <c r="LT1247" s="2">
        <v>81.16</v>
      </c>
      <c r="LU1247" s="2">
        <v>81.20999999999999</v>
      </c>
      <c r="LV1247" s="2">
        <v>80.95</v>
      </c>
      <c r="MA1247" s="2">
        <v>80.92</v>
      </c>
      <c r="MB1247" s="2">
        <v>80.79000000000001</v>
      </c>
      <c r="MC1247" s="2">
        <v>80.67</v>
      </c>
      <c r="MD1247" s="2">
        <v>80.43000000000001</v>
      </c>
      <c r="ME1247" s="2">
        <v>81.09</v>
      </c>
      <c r="MF1247" s="2">
        <v>81</v>
      </c>
      <c r="MG1247" s="2">
        <v>81.20999999999999</v>
      </c>
      <c r="MH1247" s="2">
        <v>81.28</v>
      </c>
      <c r="MI1247" s="2">
        <v>81.55</v>
      </c>
      <c r="MJ1247" s="2">
        <v>81.31999999999999</v>
      </c>
      <c r="MK1247" s="2">
        <v>81.34</v>
      </c>
      <c r="ML1247" s="2">
        <v>82.73</v>
      </c>
      <c r="MQ1247" s="2">
        <v>83.8</v>
      </c>
      <c r="MR1247" s="2">
        <v>84.89</v>
      </c>
      <c r="MS1247" s="2">
        <v>89.45999999999999</v>
      </c>
      <c r="MT1247" s="2">
        <v>90.84</v>
      </c>
      <c r="MU1247" s="2">
        <v>90.61</v>
      </c>
      <c r="MV1247" s="2">
        <v>91.45999999999999</v>
      </c>
      <c r="MW1247" s="2">
        <v>91.7</v>
      </c>
      <c r="MX1247" s="2">
        <v>92.81</v>
      </c>
      <c r="MY1247" s="2">
        <v>94.51000000000001</v>
      </c>
      <c r="MZ1247" s="2">
        <v>96.59</v>
      </c>
      <c r="NA1247" s="2">
        <v>98.40000000000001</v>
      </c>
      <c r="NB1247" s="2">
        <v>98.62</v>
      </c>
      <c r="NG1247" s="2">
        <v>98.36</v>
      </c>
      <c r="NH1247" s="2">
        <v>99.06999999999999</v>
      </c>
      <c r="NI1247" s="2">
        <v>99.54000000000001</v>
      </c>
      <c r="NJ1247" s="2">
        <v>98.95</v>
      </c>
      <c r="NK1247" s="2">
        <v>99.37</v>
      </c>
      <c r="NL1247" s="2">
        <v>101.35</v>
      </c>
      <c r="NM1247" s="2">
        <v>101.41</v>
      </c>
      <c r="NN1247" s="2">
        <v>100.76</v>
      </c>
      <c r="NO1247" s="2">
        <v>100.74</v>
      </c>
      <c r="NP1247" s="2">
        <v>100.5</v>
      </c>
      <c r="NQ1247" s="2">
        <v>100.43</v>
      </c>
      <c r="NR1247" s="2">
        <v>100.66</v>
      </c>
      <c r="NW1247" s="2">
        <v>100.87</v>
      </c>
      <c r="NX1247" s="2">
        <v>100.96</v>
      </c>
      <c r="NY1247" s="2">
        <v>101.31</v>
      </c>
      <c r="NZ1247" s="2">
        <v>100.58</v>
      </c>
      <c r="OA1247" s="2">
        <v>100.95</v>
      </c>
      <c r="OB1247" s="2">
        <v>101.69</v>
      </c>
      <c r="OC1247" s="2">
        <v>102.45</v>
      </c>
      <c r="OD1247" s="2">
        <v>102.54</v>
      </c>
      <c r="OE1247" s="2">
        <v>102.08</v>
      </c>
      <c r="OF1247" s="2">
        <v>98.90000000000001</v>
      </c>
      <c r="OG1247" s="2">
        <v>100.1</v>
      </c>
      <c r="OH1247" s="2">
        <v>100.19</v>
      </c>
      <c r="OM1247" s="2">
        <v>100.95</v>
      </c>
      <c r="ON1247" s="2">
        <v>100.74</v>
      </c>
      <c r="OO1247" s="2">
        <v>100.65</v>
      </c>
      <c r="OP1247" s="2">
        <v>101.52</v>
      </c>
      <c r="OQ1247" s="2">
        <v>100.85</v>
      </c>
      <c r="OR1247" s="2">
        <v>100.57</v>
      </c>
      <c r="OS1247" s="2">
        <v>100.22</v>
      </c>
      <c r="OT1247" s="2">
        <v>100.71</v>
      </c>
      <c r="OU1247" s="2">
        <v>100.53</v>
      </c>
      <c r="OV1247" s="2">
        <v>101.29</v>
      </c>
      <c r="OW1247" s="2">
        <v>102.52</v>
      </c>
      <c r="OX1247" s="2">
        <v>101.76</v>
      </c>
      <c r="PC1247" s="2">
        <v>100.86</v>
      </c>
      <c r="PD1247" s="2">
        <v>100.47</v>
      </c>
      <c r="PE1247" s="2">
        <v>100</v>
      </c>
      <c r="PF1247" s="2">
        <v>99.77</v>
      </c>
      <c r="PG1247" s="2">
        <v>100.58</v>
      </c>
      <c r="PH1247" s="2">
        <v>100.02</v>
      </c>
      <c r="PI1247" s="2">
        <v>99.79000000000001</v>
      </c>
    </row>
    <row r="1248">
      <c r="A1248" t="inlineStr">
        <is>
          <t>A130400360A</t>
        </is>
      </c>
      <c r="B1248" t="inlineStr">
        <is>
          <t>Index Numbers ;  Veterinary and other services for pets ;  Australia ;</t>
        </is>
      </c>
      <c r="C1248" t="inlineStr">
        <is>
          <t>Month</t>
        </is>
      </c>
      <c r="D1248" t="inlineStr">
        <is>
          <t>Index Numbers</t>
        </is>
      </c>
      <c r="E1248" t="inlineStr">
        <is>
          <t>Seasonally Adjusted</t>
        </is>
      </c>
      <c r="F1248" t="inlineStr">
        <is>
          <t>640107.xlsx</t>
        </is>
      </c>
      <c r="G1248" t="inlineStr">
        <is>
          <t>2024-04</t>
        </is>
      </c>
      <c r="H1248" t="inlineStr">
        <is>
          <t>2026-07</t>
        </is>
      </c>
      <c r="NZ1248" s="2">
        <v>92.90000000000001</v>
      </c>
      <c r="OA1248" s="2">
        <v>93.36</v>
      </c>
      <c r="OB1248" s="2">
        <v>94.02</v>
      </c>
      <c r="OC1248" s="2">
        <v>94.54000000000001</v>
      </c>
      <c r="OD1248" s="2">
        <v>95.23</v>
      </c>
      <c r="OE1248" s="2">
        <v>95.34999999999999</v>
      </c>
      <c r="OF1248" s="2">
        <v>95.89</v>
      </c>
      <c r="OG1248" s="2">
        <v>95.84</v>
      </c>
      <c r="OH1248" s="2">
        <v>96.31999999999999</v>
      </c>
      <c r="OM1248" s="2">
        <v>96.37</v>
      </c>
      <c r="ON1248" s="2">
        <v>96.87</v>
      </c>
      <c r="OO1248" s="2">
        <v>97.61</v>
      </c>
      <c r="OP1248" s="2">
        <v>97.78</v>
      </c>
      <c r="OQ1248" s="2">
        <v>98.17</v>
      </c>
      <c r="OR1248" s="2">
        <v>98.31</v>
      </c>
      <c r="OS1248" s="2">
        <v>99.38</v>
      </c>
      <c r="OT1248" s="2">
        <v>99.56</v>
      </c>
      <c r="OU1248" s="2">
        <v>100</v>
      </c>
      <c r="OV1248" s="2">
        <v>100.25</v>
      </c>
      <c r="OW1248" s="2">
        <v>100.25</v>
      </c>
      <c r="OX1248" s="2">
        <v>100.48</v>
      </c>
      <c r="PC1248" s="2">
        <v>101.36</v>
      </c>
      <c r="PD1248" s="2">
        <v>101.64</v>
      </c>
      <c r="PE1248" s="2">
        <v>101.68</v>
      </c>
      <c r="PF1248" s="2">
        <v>101.62</v>
      </c>
      <c r="PG1248" s="2">
        <v>101.74</v>
      </c>
      <c r="PH1248" s="2">
        <v>101.82</v>
      </c>
      <c r="PI1248" s="2">
        <v>102.64</v>
      </c>
    </row>
    <row r="1249">
      <c r="A1249" t="inlineStr">
        <is>
          <t>A130400808L</t>
        </is>
      </c>
      <c r="B1249" t="inlineStr">
        <is>
          <t>Index Numbers ;  Sports participation ;  Australia ;</t>
        </is>
      </c>
      <c r="C1249" t="inlineStr">
        <is>
          <t>Month</t>
        </is>
      </c>
      <c r="D1249" t="inlineStr">
        <is>
          <t>Index Numbers</t>
        </is>
      </c>
      <c r="E1249" t="inlineStr">
        <is>
          <t>Seasonally Adjusted</t>
        </is>
      </c>
      <c r="F1249" t="inlineStr">
        <is>
          <t>640107.xlsx</t>
        </is>
      </c>
      <c r="G1249" t="inlineStr">
        <is>
          <t>2024-04</t>
        </is>
      </c>
      <c r="H1249" t="inlineStr">
        <is>
          <t>2026-07</t>
        </is>
      </c>
      <c r="NZ1249" s="2">
        <v>93.34</v>
      </c>
      <c r="OA1249" s="2">
        <v>93.54000000000001</v>
      </c>
      <c r="OB1249" s="2">
        <v>94.47</v>
      </c>
      <c r="OC1249" s="2">
        <v>95.2</v>
      </c>
      <c r="OD1249" s="2">
        <v>96.17</v>
      </c>
      <c r="OE1249" s="2">
        <v>96.59</v>
      </c>
      <c r="OF1249" s="2">
        <v>96.66</v>
      </c>
      <c r="OG1249" s="2">
        <v>96.75</v>
      </c>
      <c r="OH1249" s="2">
        <v>96.70999999999999</v>
      </c>
      <c r="OM1249" s="2">
        <v>97</v>
      </c>
      <c r="ON1249" s="2">
        <v>97.97</v>
      </c>
      <c r="OO1249" s="2">
        <v>97.78</v>
      </c>
      <c r="OP1249" s="2">
        <v>98.23999999999999</v>
      </c>
      <c r="OQ1249" s="2">
        <v>98.28</v>
      </c>
      <c r="OR1249" s="2">
        <v>98.84999999999999</v>
      </c>
      <c r="OS1249" s="2">
        <v>99.48</v>
      </c>
      <c r="OT1249" s="2">
        <v>99.79000000000001</v>
      </c>
      <c r="OU1249" s="2">
        <v>100</v>
      </c>
      <c r="OV1249" s="2">
        <v>100.44</v>
      </c>
      <c r="OW1249" s="2">
        <v>100.54</v>
      </c>
      <c r="OX1249" s="2">
        <v>100.69</v>
      </c>
      <c r="PC1249" s="2">
        <v>101.07</v>
      </c>
      <c r="PD1249" s="2">
        <v>101.23</v>
      </c>
      <c r="PE1249" s="2">
        <v>101.41</v>
      </c>
      <c r="PF1249" s="2">
        <v>102.18</v>
      </c>
      <c r="PG1249" s="2">
        <v>102.19</v>
      </c>
      <c r="PH1249" s="2">
        <v>103.09</v>
      </c>
      <c r="PI1249" s="2">
        <v>104.43</v>
      </c>
    </row>
    <row r="1250">
      <c r="A1250" t="inlineStr">
        <is>
          <t>A130400164T</t>
        </is>
      </c>
      <c r="B1250" t="inlineStr">
        <is>
          <t>Index Numbers ;  Other recreational, sporting and cultural services ;  Australia ;</t>
        </is>
      </c>
      <c r="C1250" t="inlineStr">
        <is>
          <t>Month</t>
        </is>
      </c>
      <c r="D1250" t="inlineStr">
        <is>
          <t>Index Numbers</t>
        </is>
      </c>
      <c r="E1250" t="inlineStr">
        <is>
          <t>Seasonally Adjusted</t>
        </is>
      </c>
      <c r="F1250" t="inlineStr">
        <is>
          <t>640107.xlsx</t>
        </is>
      </c>
      <c r="G1250" t="inlineStr">
        <is>
          <t>2024-04</t>
        </is>
      </c>
      <c r="H1250" t="inlineStr">
        <is>
          <t>2026-07</t>
        </is>
      </c>
      <c r="NZ1250" s="2">
        <v>101.2</v>
      </c>
      <c r="OA1250" s="2">
        <v>101.06</v>
      </c>
      <c r="OB1250" s="2">
        <v>102.21</v>
      </c>
      <c r="OC1250" s="2">
        <v>102.16</v>
      </c>
      <c r="OD1250" s="2">
        <v>103.77</v>
      </c>
      <c r="OE1250" s="2">
        <v>102.9</v>
      </c>
      <c r="OF1250" s="2">
        <v>98.79000000000001</v>
      </c>
      <c r="OG1250" s="2">
        <v>102.36</v>
      </c>
      <c r="OH1250" s="2">
        <v>104.16</v>
      </c>
      <c r="OM1250" s="2">
        <v>102.74</v>
      </c>
      <c r="ON1250" s="2">
        <v>104.9</v>
      </c>
      <c r="OO1250" s="2">
        <v>101.44</v>
      </c>
      <c r="OP1250" s="2">
        <v>100.83</v>
      </c>
      <c r="OQ1250" s="2">
        <v>103.27</v>
      </c>
      <c r="OR1250" s="2">
        <v>101.73</v>
      </c>
      <c r="OS1250" s="2">
        <v>102.34</v>
      </c>
      <c r="OT1250" s="2">
        <v>102.22</v>
      </c>
      <c r="OU1250" s="2">
        <v>100</v>
      </c>
      <c r="OV1250" s="2">
        <v>103.3</v>
      </c>
      <c r="OW1250" s="2">
        <v>103.34</v>
      </c>
      <c r="OX1250" s="2">
        <v>104.45</v>
      </c>
      <c r="PC1250" s="2">
        <v>103.75</v>
      </c>
      <c r="PD1250" s="2">
        <v>105.09</v>
      </c>
      <c r="PE1250" s="2">
        <v>104.48</v>
      </c>
      <c r="PF1250" s="2">
        <v>103.7</v>
      </c>
      <c r="PG1250" s="2">
        <v>104.76</v>
      </c>
      <c r="PH1250" s="2">
        <v>104.03</v>
      </c>
      <c r="PI1250" s="2">
        <v>105.98</v>
      </c>
    </row>
    <row r="1251">
      <c r="A1251" t="inlineStr">
        <is>
          <t>A130400052X</t>
        </is>
      </c>
      <c r="B1251" t="inlineStr">
        <is>
          <t>Index Numbers ;  Education ;  Australia ;</t>
        </is>
      </c>
      <c r="C1251" t="inlineStr">
        <is>
          <t>Month</t>
        </is>
      </c>
      <c r="D1251" t="inlineStr">
        <is>
          <t>Index Numbers</t>
        </is>
      </c>
      <c r="E1251" t="inlineStr">
        <is>
          <t>Seasonally Adjusted</t>
        </is>
      </c>
      <c r="F1251" t="inlineStr">
        <is>
          <t>640107.xlsx</t>
        </is>
      </c>
      <c r="G1251" t="inlineStr">
        <is>
          <t>2024-04</t>
        </is>
      </c>
      <c r="H1251" t="inlineStr">
        <is>
          <t>2026-07</t>
        </is>
      </c>
      <c r="NZ1251" s="2">
        <v>100</v>
      </c>
      <c r="OA1251" s="2">
        <v>100.46</v>
      </c>
      <c r="OB1251" s="2">
        <v>100.92</v>
      </c>
      <c r="OC1251" s="2">
        <v>101.38</v>
      </c>
      <c r="OD1251" s="2">
        <v>101.88</v>
      </c>
      <c r="OE1251" s="2">
        <v>102.36</v>
      </c>
      <c r="OF1251" s="2">
        <v>102.81</v>
      </c>
      <c r="OG1251" s="2">
        <v>103.24</v>
      </c>
      <c r="OH1251" s="2">
        <v>103.68</v>
      </c>
      <c r="OM1251" s="2">
        <v>103.97</v>
      </c>
      <c r="ON1251" s="2">
        <v>104.66</v>
      </c>
      <c r="OO1251" s="2">
        <v>104.95</v>
      </c>
      <c r="OP1251" s="2">
        <v>105.41</v>
      </c>
      <c r="OQ1251" s="2">
        <v>105.86</v>
      </c>
      <c r="OR1251" s="2">
        <v>106.36</v>
      </c>
      <c r="OS1251" s="2">
        <v>106.84</v>
      </c>
      <c r="OT1251" s="2">
        <v>107.37</v>
      </c>
      <c r="OU1251" s="2">
        <v>107.87</v>
      </c>
      <c r="OV1251" s="2">
        <v>108.35</v>
      </c>
      <c r="OW1251" s="2">
        <v>108.8</v>
      </c>
      <c r="OX1251" s="2">
        <v>109.23</v>
      </c>
      <c r="PC1251" s="2">
        <v>109.52</v>
      </c>
      <c r="PD1251" s="2">
        <v>109.69</v>
      </c>
      <c r="PE1251" s="2">
        <v>110.03</v>
      </c>
      <c r="PF1251" s="2">
        <v>110.48</v>
      </c>
      <c r="PG1251" s="2">
        <v>110.94</v>
      </c>
      <c r="PH1251" s="2">
        <v>111.41</v>
      </c>
      <c r="PI1251" s="2">
        <v>111.91</v>
      </c>
    </row>
    <row r="1252">
      <c r="A1252" t="inlineStr">
        <is>
          <t>A130400395A</t>
        </is>
      </c>
      <c r="B1252" t="inlineStr">
        <is>
          <t>Index Numbers ;  Preschool and primary education ;  Australia ;</t>
        </is>
      </c>
      <c r="C1252" t="inlineStr">
        <is>
          <t>Month</t>
        </is>
      </c>
      <c r="D1252" t="inlineStr">
        <is>
          <t>Index Numbers</t>
        </is>
      </c>
      <c r="E1252" t="inlineStr">
        <is>
          <t>Seasonally Adjusted</t>
        </is>
      </c>
      <c r="F1252" t="inlineStr">
        <is>
          <t>640107.xlsx</t>
        </is>
      </c>
      <c r="G1252" t="inlineStr">
        <is>
          <t>2024-04</t>
        </is>
      </c>
      <c r="H1252" t="inlineStr">
        <is>
          <t>2026-07</t>
        </is>
      </c>
      <c r="NZ1252" s="2">
        <v>92.06999999999999</v>
      </c>
      <c r="OA1252" s="2">
        <v>92.48999999999999</v>
      </c>
      <c r="OB1252" s="2">
        <v>92.95999999999999</v>
      </c>
      <c r="OC1252" s="2">
        <v>93.37</v>
      </c>
      <c r="OD1252" s="2">
        <v>94.06999999999999</v>
      </c>
      <c r="OE1252" s="2">
        <v>94.62</v>
      </c>
      <c r="OF1252" s="2">
        <v>95.01000000000001</v>
      </c>
      <c r="OG1252" s="2">
        <v>95.34</v>
      </c>
      <c r="OH1252" s="2">
        <v>95.7</v>
      </c>
      <c r="OM1252" s="2">
        <v>95.95999999999999</v>
      </c>
      <c r="ON1252" s="2">
        <v>97.20999999999999</v>
      </c>
      <c r="OO1252" s="2">
        <v>97.58</v>
      </c>
      <c r="OP1252" s="2">
        <v>98</v>
      </c>
      <c r="OQ1252" s="2">
        <v>98.37</v>
      </c>
      <c r="OR1252" s="2">
        <v>98.93000000000001</v>
      </c>
      <c r="OS1252" s="2">
        <v>99.38</v>
      </c>
      <c r="OT1252" s="2">
        <v>100.03</v>
      </c>
      <c r="OU1252" s="2">
        <v>100.58</v>
      </c>
      <c r="OV1252" s="2">
        <v>101.03</v>
      </c>
      <c r="OW1252" s="2">
        <v>101.42</v>
      </c>
      <c r="OX1252" s="2">
        <v>101.81</v>
      </c>
      <c r="PC1252" s="2">
        <v>101.97</v>
      </c>
      <c r="PD1252" s="2">
        <v>102.47</v>
      </c>
      <c r="PE1252" s="2">
        <v>102.9</v>
      </c>
      <c r="PF1252" s="2">
        <v>103.33</v>
      </c>
      <c r="PG1252" s="2">
        <v>103.75</v>
      </c>
      <c r="PH1252" s="2">
        <v>104.15</v>
      </c>
      <c r="PI1252" s="2">
        <v>104.59</v>
      </c>
    </row>
    <row r="1253">
      <c r="A1253" t="inlineStr">
        <is>
          <t>A130399870V</t>
        </is>
      </c>
      <c r="B1253" t="inlineStr">
        <is>
          <t>Index Numbers ;  Secondary education ;  Australia ;</t>
        </is>
      </c>
      <c r="C1253" t="inlineStr">
        <is>
          <t>Month</t>
        </is>
      </c>
      <c r="D1253" t="inlineStr">
        <is>
          <t>Index Numbers</t>
        </is>
      </c>
      <c r="E1253" t="inlineStr">
        <is>
          <t>Seasonally Adjusted</t>
        </is>
      </c>
      <c r="F1253" t="inlineStr">
        <is>
          <t>640107.xlsx</t>
        </is>
      </c>
      <c r="G1253" t="inlineStr">
        <is>
          <t>2017-09</t>
        </is>
      </c>
      <c r="H1253" t="inlineStr">
        <is>
          <t>2026-07</t>
        </is>
      </c>
      <c r="JW1253" s="2">
        <v>72.81</v>
      </c>
      <c r="JX1253" s="2">
        <v>73.03</v>
      </c>
      <c r="JY1253" s="2">
        <v>73.25</v>
      </c>
      <c r="JZ1253" s="2">
        <v>73.45999999999999</v>
      </c>
      <c r="KE1253" s="2">
        <v>73.78</v>
      </c>
      <c r="KF1253" s="2">
        <v>73.62</v>
      </c>
      <c r="KG1253" s="2">
        <v>73.91</v>
      </c>
      <c r="KH1253" s="2">
        <v>74.14</v>
      </c>
      <c r="KI1253" s="2">
        <v>74.37</v>
      </c>
      <c r="KJ1253" s="2">
        <v>74.59</v>
      </c>
      <c r="KK1253" s="2">
        <v>74.8</v>
      </c>
      <c r="KL1253" s="2">
        <v>75.03</v>
      </c>
      <c r="KM1253" s="2">
        <v>75.26000000000001</v>
      </c>
      <c r="KN1253" s="2">
        <v>75.48999999999999</v>
      </c>
      <c r="KO1253" s="2">
        <v>75.72</v>
      </c>
      <c r="KP1253" s="2">
        <v>75.95</v>
      </c>
      <c r="KU1253" s="2">
        <v>76.26000000000001</v>
      </c>
      <c r="KV1253" s="2">
        <v>76.68000000000001</v>
      </c>
      <c r="KW1253" s="2">
        <v>76.98999999999999</v>
      </c>
      <c r="KX1253" s="2">
        <v>77.23</v>
      </c>
      <c r="KY1253" s="2">
        <v>77.47</v>
      </c>
      <c r="KZ1253" s="2">
        <v>77.69</v>
      </c>
      <c r="LA1253" s="2">
        <v>77.91</v>
      </c>
      <c r="LB1253" s="2">
        <v>78.15000000000001</v>
      </c>
      <c r="LC1253" s="2">
        <v>78.39</v>
      </c>
      <c r="LD1253" s="2">
        <v>78.63</v>
      </c>
      <c r="LE1253" s="2">
        <v>78.87</v>
      </c>
      <c r="LF1253" s="2">
        <v>79.12</v>
      </c>
      <c r="LK1253" s="2">
        <v>79.43000000000001</v>
      </c>
      <c r="LL1253" s="2">
        <v>79.3</v>
      </c>
      <c r="LM1253" s="2">
        <v>79.61</v>
      </c>
      <c r="LN1253" s="2">
        <v>79.84</v>
      </c>
      <c r="LO1253" s="2">
        <v>80</v>
      </c>
      <c r="LP1253" s="2">
        <v>80.23999999999999</v>
      </c>
      <c r="LQ1253" s="2">
        <v>80.48</v>
      </c>
      <c r="LR1253" s="2">
        <v>80.72</v>
      </c>
      <c r="LS1253" s="2">
        <v>80.97</v>
      </c>
      <c r="LT1253" s="2">
        <v>81.22</v>
      </c>
      <c r="LU1253" s="2">
        <v>81.47</v>
      </c>
      <c r="LV1253" s="2">
        <v>81.73</v>
      </c>
      <c r="MA1253" s="2">
        <v>82.04000000000001</v>
      </c>
      <c r="MB1253" s="2">
        <v>80.66</v>
      </c>
      <c r="MC1253" s="2">
        <v>80.95999999999999</v>
      </c>
      <c r="MD1253" s="2">
        <v>81.19</v>
      </c>
      <c r="ME1253" s="2">
        <v>81.45</v>
      </c>
      <c r="MF1253" s="2">
        <v>81.7</v>
      </c>
      <c r="MG1253" s="2">
        <v>81.95</v>
      </c>
      <c r="MH1253" s="2">
        <v>82.2</v>
      </c>
      <c r="MI1253" s="2">
        <v>82.45999999999999</v>
      </c>
      <c r="MJ1253" s="2">
        <v>82.72</v>
      </c>
      <c r="MK1253" s="2">
        <v>82.98999999999999</v>
      </c>
      <c r="ML1253" s="2">
        <v>83.26000000000001</v>
      </c>
      <c r="MQ1253" s="2">
        <v>83.55</v>
      </c>
      <c r="MR1253" s="2">
        <v>83.06999999999999</v>
      </c>
      <c r="MS1253" s="2">
        <v>83.37</v>
      </c>
      <c r="MT1253" s="2">
        <v>83.59999999999999</v>
      </c>
      <c r="MU1253" s="2">
        <v>83.87</v>
      </c>
      <c r="MV1253" s="2">
        <v>84.14</v>
      </c>
      <c r="MW1253" s="2">
        <v>84.41</v>
      </c>
      <c r="MX1253" s="2">
        <v>84.68000000000001</v>
      </c>
      <c r="MY1253" s="2">
        <v>84.95</v>
      </c>
      <c r="MZ1253" s="2">
        <v>85.23</v>
      </c>
      <c r="NA1253" s="2">
        <v>85.51000000000001</v>
      </c>
      <c r="NB1253" s="2">
        <v>85.79000000000001</v>
      </c>
      <c r="NG1253" s="2">
        <v>86.08</v>
      </c>
      <c r="NH1253" s="2">
        <v>87.08</v>
      </c>
      <c r="NI1253" s="2">
        <v>87.39</v>
      </c>
      <c r="NJ1253" s="2">
        <v>87.64</v>
      </c>
      <c r="NK1253" s="2">
        <v>87.93000000000001</v>
      </c>
      <c r="NL1253" s="2">
        <v>88.20999999999999</v>
      </c>
      <c r="NM1253" s="2">
        <v>88.51000000000001</v>
      </c>
      <c r="NN1253" s="2">
        <v>88.79000000000001</v>
      </c>
      <c r="NO1253" s="2">
        <v>89.31</v>
      </c>
      <c r="NP1253" s="2">
        <v>89.76000000000001</v>
      </c>
      <c r="NQ1253" s="2">
        <v>90.22</v>
      </c>
      <c r="NR1253" s="2">
        <v>90.68000000000001</v>
      </c>
      <c r="NW1253" s="2">
        <v>91.14</v>
      </c>
      <c r="NX1253" s="2">
        <v>91.5</v>
      </c>
      <c r="NY1253" s="2">
        <v>91.97</v>
      </c>
      <c r="NZ1253" s="2">
        <v>92.41</v>
      </c>
      <c r="OA1253" s="2">
        <v>92.87</v>
      </c>
      <c r="OB1253" s="2">
        <v>93.33</v>
      </c>
      <c r="OC1253" s="2">
        <v>93.81</v>
      </c>
      <c r="OD1253" s="2">
        <v>94.28</v>
      </c>
      <c r="OE1253" s="2">
        <v>94.76000000000001</v>
      </c>
      <c r="OF1253" s="2">
        <v>95.23999999999999</v>
      </c>
      <c r="OG1253" s="2">
        <v>95.73999999999999</v>
      </c>
      <c r="OH1253" s="2">
        <v>96.23</v>
      </c>
      <c r="OM1253" s="2">
        <v>96.73</v>
      </c>
      <c r="ON1253" s="2">
        <v>97.27</v>
      </c>
      <c r="OO1253" s="2">
        <v>97.77</v>
      </c>
      <c r="OP1253" s="2">
        <v>98.25</v>
      </c>
      <c r="OQ1253" s="2">
        <v>98.73999999999999</v>
      </c>
      <c r="OR1253" s="2">
        <v>99.23</v>
      </c>
      <c r="OS1253" s="2">
        <v>99.75</v>
      </c>
      <c r="OT1253" s="2">
        <v>100.26</v>
      </c>
      <c r="OU1253" s="2">
        <v>100.78</v>
      </c>
      <c r="OV1253" s="2">
        <v>101.3</v>
      </c>
      <c r="OW1253" s="2">
        <v>101.83</v>
      </c>
      <c r="OX1253" s="2">
        <v>102.36</v>
      </c>
      <c r="PC1253" s="2">
        <v>102.89</v>
      </c>
      <c r="PD1253" s="2">
        <v>103.64</v>
      </c>
      <c r="PE1253" s="2">
        <v>104.17</v>
      </c>
      <c r="PF1253" s="2">
        <v>104.69</v>
      </c>
      <c r="PG1253" s="2">
        <v>105.22</v>
      </c>
      <c r="PH1253" s="2">
        <v>105.73</v>
      </c>
      <c r="PI1253" s="2">
        <v>106.29</v>
      </c>
    </row>
    <row r="1254">
      <c r="A1254" t="inlineStr">
        <is>
          <t>A130400276K</t>
        </is>
      </c>
      <c r="B1254" t="inlineStr">
        <is>
          <t>Index Numbers ;  Tertiary education ;  Australia ;</t>
        </is>
      </c>
      <c r="C1254" t="inlineStr">
        <is>
          <t>Month</t>
        </is>
      </c>
      <c r="D1254" t="inlineStr">
        <is>
          <t>Index Numbers</t>
        </is>
      </c>
      <c r="E1254" t="inlineStr">
        <is>
          <t>Seasonally Adjusted</t>
        </is>
      </c>
      <c r="F1254" t="inlineStr">
        <is>
          <t>640107.xlsx</t>
        </is>
      </c>
      <c r="G1254" t="inlineStr">
        <is>
          <t>2017-09</t>
        </is>
      </c>
      <c r="H1254" t="inlineStr">
        <is>
          <t>2026-07</t>
        </is>
      </c>
      <c r="JW1254" s="2">
        <v>74.56</v>
      </c>
      <c r="JX1254" s="2">
        <v>74.73</v>
      </c>
      <c r="JY1254" s="2">
        <v>74.87</v>
      </c>
      <c r="JZ1254" s="2">
        <v>75.01000000000001</v>
      </c>
      <c r="KE1254" s="2">
        <v>75.12</v>
      </c>
      <c r="KF1254" s="2">
        <v>74.93000000000001</v>
      </c>
      <c r="KG1254" s="2">
        <v>75.01000000000001</v>
      </c>
      <c r="KH1254" s="2">
        <v>75.11</v>
      </c>
      <c r="KI1254" s="2">
        <v>75.22</v>
      </c>
      <c r="KJ1254" s="2">
        <v>75.34</v>
      </c>
      <c r="KK1254" s="2">
        <v>75.45</v>
      </c>
      <c r="KL1254" s="2">
        <v>76.25</v>
      </c>
      <c r="KM1254" s="2">
        <v>76.45</v>
      </c>
      <c r="KN1254" s="2">
        <v>76.64</v>
      </c>
      <c r="KO1254" s="2">
        <v>76.81999999999999</v>
      </c>
      <c r="KP1254" s="2">
        <v>77</v>
      </c>
      <c r="KU1254" s="2">
        <v>77.09</v>
      </c>
      <c r="KV1254" s="2">
        <v>76.72</v>
      </c>
      <c r="KW1254" s="2">
        <v>76.78</v>
      </c>
      <c r="KX1254" s="2">
        <v>76.90000000000001</v>
      </c>
      <c r="KY1254" s="2">
        <v>77.03</v>
      </c>
      <c r="KZ1254" s="2">
        <v>77.18000000000001</v>
      </c>
      <c r="LA1254" s="2">
        <v>77.31999999999999</v>
      </c>
      <c r="LB1254" s="2">
        <v>77.41</v>
      </c>
      <c r="LC1254" s="2">
        <v>77.64</v>
      </c>
      <c r="LD1254" s="2">
        <v>77.87</v>
      </c>
      <c r="LE1254" s="2">
        <v>78.09999999999999</v>
      </c>
      <c r="LF1254" s="2">
        <v>78.33</v>
      </c>
      <c r="LK1254" s="2">
        <v>78.42</v>
      </c>
      <c r="LL1254" s="2">
        <v>77.63</v>
      </c>
      <c r="LM1254" s="2">
        <v>77.66</v>
      </c>
      <c r="LN1254" s="2">
        <v>77.83</v>
      </c>
      <c r="LO1254" s="2">
        <v>78</v>
      </c>
      <c r="LP1254" s="2">
        <v>78.19</v>
      </c>
      <c r="LQ1254" s="2">
        <v>78.36</v>
      </c>
      <c r="LR1254" s="2">
        <v>78.42</v>
      </c>
      <c r="LS1254" s="2">
        <v>78.67</v>
      </c>
      <c r="LT1254" s="2">
        <v>78.94</v>
      </c>
      <c r="LU1254" s="2">
        <v>79.22</v>
      </c>
      <c r="LV1254" s="2">
        <v>79.53</v>
      </c>
      <c r="MA1254" s="2">
        <v>81.78</v>
      </c>
      <c r="MB1254" s="2">
        <v>76.13</v>
      </c>
      <c r="MC1254" s="2">
        <v>76.09999999999999</v>
      </c>
      <c r="MD1254" s="2">
        <v>76.34999999999999</v>
      </c>
      <c r="ME1254" s="2">
        <v>76.58</v>
      </c>
      <c r="MF1254" s="2">
        <v>76.8</v>
      </c>
      <c r="MG1254" s="2">
        <v>77.01000000000001</v>
      </c>
      <c r="MH1254" s="2">
        <v>77.19</v>
      </c>
      <c r="MI1254" s="2">
        <v>77.45999999999999</v>
      </c>
      <c r="MJ1254" s="2">
        <v>77.75</v>
      </c>
      <c r="MK1254" s="2">
        <v>78.06999999999999</v>
      </c>
      <c r="ML1254" s="2">
        <v>78.43000000000001</v>
      </c>
      <c r="MQ1254" s="2">
        <v>78.5</v>
      </c>
      <c r="MR1254" s="2">
        <v>80.81</v>
      </c>
      <c r="MS1254" s="2">
        <v>80.77</v>
      </c>
      <c r="MT1254" s="2">
        <v>81.11</v>
      </c>
      <c r="MU1254" s="2">
        <v>81.41</v>
      </c>
      <c r="MV1254" s="2">
        <v>81.68000000000001</v>
      </c>
      <c r="MW1254" s="2">
        <v>81.95</v>
      </c>
      <c r="MX1254" s="2">
        <v>82.05</v>
      </c>
      <c r="MY1254" s="2">
        <v>82.34999999999999</v>
      </c>
      <c r="MZ1254" s="2">
        <v>82.67</v>
      </c>
      <c r="NA1254" s="2">
        <v>83.02</v>
      </c>
      <c r="NB1254" s="2">
        <v>83.41</v>
      </c>
      <c r="NG1254" s="2">
        <v>83.47</v>
      </c>
      <c r="NH1254" s="2">
        <v>88.44</v>
      </c>
      <c r="NI1254" s="2">
        <v>88.39</v>
      </c>
      <c r="NJ1254" s="2">
        <v>88.79000000000001</v>
      </c>
      <c r="NK1254" s="2">
        <v>89.16</v>
      </c>
      <c r="NL1254" s="2">
        <v>89.5</v>
      </c>
      <c r="NM1254" s="2">
        <v>89.83</v>
      </c>
      <c r="NN1254" s="2">
        <v>90.5</v>
      </c>
      <c r="NO1254" s="2">
        <v>90.83</v>
      </c>
      <c r="NP1254" s="2">
        <v>91.18000000000001</v>
      </c>
      <c r="NQ1254" s="2">
        <v>91.54000000000001</v>
      </c>
      <c r="NR1254" s="2">
        <v>91.93000000000001</v>
      </c>
      <c r="NW1254" s="2">
        <v>91.98</v>
      </c>
      <c r="NX1254" s="2">
        <v>94.65000000000001</v>
      </c>
      <c r="NY1254" s="2">
        <v>94.61</v>
      </c>
      <c r="NZ1254" s="2">
        <v>95.02</v>
      </c>
      <c r="OA1254" s="2">
        <v>95.41</v>
      </c>
      <c r="OB1254" s="2">
        <v>95.78</v>
      </c>
      <c r="OC1254" s="2">
        <v>96.15000000000001</v>
      </c>
      <c r="OD1254" s="2">
        <v>96.5</v>
      </c>
      <c r="OE1254" s="2">
        <v>96.84999999999999</v>
      </c>
      <c r="OF1254" s="2">
        <v>97.20999999999999</v>
      </c>
      <c r="OG1254" s="2">
        <v>97.55</v>
      </c>
      <c r="OH1254" s="2">
        <v>97.88</v>
      </c>
      <c r="OM1254" s="2">
        <v>97.91</v>
      </c>
      <c r="ON1254" s="2">
        <v>98.33</v>
      </c>
      <c r="OO1254" s="2">
        <v>98.29000000000001</v>
      </c>
      <c r="OP1254" s="2">
        <v>98.64</v>
      </c>
      <c r="OQ1254" s="2">
        <v>99.02</v>
      </c>
      <c r="OR1254" s="2">
        <v>99.40000000000001</v>
      </c>
      <c r="OS1254" s="2">
        <v>99.77</v>
      </c>
      <c r="OT1254" s="2">
        <v>100.16</v>
      </c>
      <c r="OU1254" s="2">
        <v>100.53</v>
      </c>
      <c r="OV1254" s="2">
        <v>100.87</v>
      </c>
      <c r="OW1254" s="2">
        <v>101.17</v>
      </c>
      <c r="OX1254" s="2">
        <v>101.43</v>
      </c>
      <c r="PC1254" s="2">
        <v>101.46</v>
      </c>
      <c r="PD1254" s="2">
        <v>100.73</v>
      </c>
      <c r="PE1254" s="2">
        <v>100.73</v>
      </c>
      <c r="PF1254" s="2">
        <v>101.02</v>
      </c>
      <c r="PG1254" s="2">
        <v>101.36</v>
      </c>
      <c r="PH1254" s="2">
        <v>101.72</v>
      </c>
      <c r="PI1254" s="2">
        <v>102.08</v>
      </c>
    </row>
    <row r="1255">
      <c r="A1255" t="inlineStr">
        <is>
          <t>A130399877K</t>
        </is>
      </c>
      <c r="B1255" t="inlineStr">
        <is>
          <t>Index Numbers ;  Insurance and financial services ;  Australia ;</t>
        </is>
      </c>
      <c r="C1255" t="inlineStr">
        <is>
          <t>Month</t>
        </is>
      </c>
      <c r="D1255" t="inlineStr">
        <is>
          <t>Index Numbers</t>
        </is>
      </c>
      <c r="E1255" t="inlineStr">
        <is>
          <t>Seasonally Adjusted</t>
        </is>
      </c>
      <c r="F1255" t="inlineStr">
        <is>
          <t>640107.xlsx</t>
        </is>
      </c>
      <c r="G1255" t="inlineStr">
        <is>
          <t>2024-04</t>
        </is>
      </c>
      <c r="H1255" t="inlineStr">
        <is>
          <t>2026-07</t>
        </is>
      </c>
      <c r="NZ1255" s="2">
        <v>100</v>
      </c>
      <c r="OA1255" s="2">
        <v>100.36</v>
      </c>
      <c r="OB1255" s="2">
        <v>100.68</v>
      </c>
      <c r="OC1255" s="2">
        <v>101.01</v>
      </c>
      <c r="OD1255" s="2">
        <v>101.36</v>
      </c>
      <c r="OE1255" s="2">
        <v>101.78</v>
      </c>
      <c r="OF1255" s="2">
        <v>102.26</v>
      </c>
      <c r="OG1255" s="2">
        <v>102.45</v>
      </c>
      <c r="OH1255" s="2">
        <v>102.63</v>
      </c>
      <c r="OM1255" s="2">
        <v>103.24</v>
      </c>
      <c r="ON1255" s="2">
        <v>103.48</v>
      </c>
      <c r="OO1255" s="2">
        <v>103.46</v>
      </c>
      <c r="OP1255" s="2">
        <v>103.6</v>
      </c>
      <c r="OQ1255" s="2">
        <v>103.65</v>
      </c>
      <c r="OR1255" s="2">
        <v>103.84</v>
      </c>
      <c r="OS1255" s="2">
        <v>104.23</v>
      </c>
      <c r="OT1255" s="2">
        <v>104.32</v>
      </c>
      <c r="OU1255" s="2">
        <v>104.32</v>
      </c>
      <c r="OV1255" s="2">
        <v>104.77</v>
      </c>
      <c r="OW1255" s="2">
        <v>105.04</v>
      </c>
      <c r="OX1255" s="2">
        <v>105.17</v>
      </c>
      <c r="PC1255" s="2">
        <v>105.72</v>
      </c>
      <c r="PD1255" s="2">
        <v>106.01</v>
      </c>
      <c r="PE1255" s="2">
        <v>106.41</v>
      </c>
      <c r="PF1255" s="2">
        <v>106.67</v>
      </c>
      <c r="PG1255" s="2">
        <v>107</v>
      </c>
      <c r="PH1255" s="2">
        <v>107.18</v>
      </c>
      <c r="PI1255" s="2">
        <v>107.51</v>
      </c>
    </row>
    <row r="1256">
      <c r="A1256" t="inlineStr">
        <is>
          <t>A130400409C</t>
        </is>
      </c>
      <c r="B1256" t="inlineStr">
        <is>
          <t>Index Numbers ;  Insurance ;  Australia ;</t>
        </is>
      </c>
      <c r="C1256" t="inlineStr">
        <is>
          <t>Month</t>
        </is>
      </c>
      <c r="D1256" t="inlineStr">
        <is>
          <t>Index Numbers</t>
        </is>
      </c>
      <c r="E1256" t="inlineStr">
        <is>
          <t>Seasonally Adjusted</t>
        </is>
      </c>
      <c r="F1256" t="inlineStr">
        <is>
          <t>640107.xlsx</t>
        </is>
      </c>
      <c r="G1256" t="inlineStr">
        <is>
          <t>2024-04</t>
        </is>
      </c>
      <c r="H1256" t="inlineStr">
        <is>
          <t>2026-07</t>
        </is>
      </c>
      <c r="NZ1256" s="2">
        <v>94.04000000000001</v>
      </c>
      <c r="OA1256" s="2">
        <v>94.93000000000001</v>
      </c>
      <c r="OB1256" s="2">
        <v>95.72</v>
      </c>
      <c r="OC1256" s="2">
        <v>96.5</v>
      </c>
      <c r="OD1256" s="2">
        <v>97.59</v>
      </c>
      <c r="OE1256" s="2">
        <v>97.95</v>
      </c>
      <c r="OF1256" s="2">
        <v>98.31999999999999</v>
      </c>
      <c r="OG1256" s="2">
        <v>98.75</v>
      </c>
      <c r="OH1256" s="2">
        <v>98.87</v>
      </c>
      <c r="OM1256" s="2">
        <v>100.61</v>
      </c>
      <c r="ON1256" s="2">
        <v>100.66</v>
      </c>
      <c r="OO1256" s="2">
        <v>100.17</v>
      </c>
      <c r="OP1256" s="2">
        <v>99.70999999999999</v>
      </c>
      <c r="OQ1256" s="2">
        <v>99.27</v>
      </c>
      <c r="OR1256" s="2">
        <v>99.53</v>
      </c>
      <c r="OS1256" s="2">
        <v>100.33</v>
      </c>
      <c r="OT1256" s="2">
        <v>99.70999999999999</v>
      </c>
      <c r="OU1256" s="2">
        <v>100</v>
      </c>
      <c r="OV1256" s="2">
        <v>100.61</v>
      </c>
      <c r="OW1256" s="2">
        <v>101.17</v>
      </c>
      <c r="OX1256" s="2">
        <v>101.41</v>
      </c>
      <c r="PC1256" s="2">
        <v>102.84</v>
      </c>
      <c r="PD1256" s="2">
        <v>103.21</v>
      </c>
      <c r="PE1256" s="2">
        <v>103.91</v>
      </c>
      <c r="PF1256" s="2">
        <v>104.19</v>
      </c>
      <c r="PG1256" s="2">
        <v>104.7</v>
      </c>
      <c r="PH1256" s="2">
        <v>104.37</v>
      </c>
      <c r="PI1256" s="2">
        <v>104.57</v>
      </c>
    </row>
    <row r="1257">
      <c r="A1257" t="inlineStr">
        <is>
          <t>A130399898W</t>
        </is>
      </c>
      <c r="B1257" t="inlineStr">
        <is>
          <t>Index Numbers ;  Deposit and loan facilities (direct charges) ;  Australia ;</t>
        </is>
      </c>
      <c r="C1257" t="inlineStr">
        <is>
          <t>Month</t>
        </is>
      </c>
      <c r="D1257" t="inlineStr">
        <is>
          <t>Index Numbers</t>
        </is>
      </c>
      <c r="E1257" t="inlineStr">
        <is>
          <t>Seasonally Adjusted</t>
        </is>
      </c>
      <c r="F1257" t="inlineStr">
        <is>
          <t>640107.xlsx</t>
        </is>
      </c>
      <c r="G1257" t="inlineStr">
        <is>
          <t>2017-09</t>
        </is>
      </c>
      <c r="H1257" t="inlineStr">
        <is>
          <t>2026-07</t>
        </is>
      </c>
      <c r="JW1257" s="2">
        <v>96.97</v>
      </c>
      <c r="JX1257" s="2">
        <v>94.3</v>
      </c>
      <c r="JY1257" s="2">
        <v>94.31999999999999</v>
      </c>
      <c r="JZ1257" s="2">
        <v>93.48999999999999</v>
      </c>
      <c r="KE1257" s="2">
        <v>93.51000000000001</v>
      </c>
      <c r="KF1257" s="2">
        <v>93.53</v>
      </c>
      <c r="KG1257" s="2">
        <v>93.55</v>
      </c>
      <c r="KH1257" s="2">
        <v>93.56999999999999</v>
      </c>
      <c r="KI1257" s="2">
        <v>93.59</v>
      </c>
      <c r="KJ1257" s="2">
        <v>93.59999999999999</v>
      </c>
      <c r="KK1257" s="2">
        <v>93.63</v>
      </c>
      <c r="KL1257" s="2">
        <v>93.66</v>
      </c>
      <c r="KM1257" s="2">
        <v>93.69</v>
      </c>
      <c r="KN1257" s="2">
        <v>93.70999999999999</v>
      </c>
      <c r="KO1257" s="2">
        <v>93.73</v>
      </c>
      <c r="KP1257" s="2">
        <v>93.73999999999999</v>
      </c>
      <c r="KU1257" s="2">
        <v>93.89</v>
      </c>
      <c r="KV1257" s="2">
        <v>93.91</v>
      </c>
      <c r="KW1257" s="2">
        <v>93.93000000000001</v>
      </c>
      <c r="KX1257" s="2">
        <v>93.95</v>
      </c>
      <c r="KY1257" s="2">
        <v>93.97</v>
      </c>
      <c r="KZ1257" s="2">
        <v>92.08</v>
      </c>
      <c r="LA1257" s="2">
        <v>92.64</v>
      </c>
      <c r="LB1257" s="2">
        <v>92.66</v>
      </c>
      <c r="LC1257" s="2">
        <v>92.68000000000001</v>
      </c>
      <c r="LD1257" s="2">
        <v>92.7</v>
      </c>
      <c r="LE1257" s="2">
        <v>93.15000000000001</v>
      </c>
      <c r="LF1257" s="2">
        <v>94.33</v>
      </c>
      <c r="LK1257" s="2">
        <v>93.98999999999999</v>
      </c>
      <c r="LL1257" s="2">
        <v>94.01000000000001</v>
      </c>
      <c r="LM1257" s="2">
        <v>94.02</v>
      </c>
      <c r="LN1257" s="2">
        <v>92.59</v>
      </c>
      <c r="LO1257" s="2">
        <v>92.61</v>
      </c>
      <c r="LP1257" s="2">
        <v>92.95999999999999</v>
      </c>
      <c r="LQ1257" s="2">
        <v>92.95</v>
      </c>
      <c r="LR1257" s="2">
        <v>92.94</v>
      </c>
      <c r="LS1257" s="2">
        <v>92.93000000000001</v>
      </c>
      <c r="LT1257" s="2">
        <v>93.58</v>
      </c>
      <c r="LU1257" s="2">
        <v>93.59</v>
      </c>
      <c r="LV1257" s="2">
        <v>93.59999999999999</v>
      </c>
      <c r="MA1257" s="2">
        <v>93.61</v>
      </c>
      <c r="MB1257" s="2">
        <v>93.31</v>
      </c>
      <c r="MC1257" s="2">
        <v>93.31999999999999</v>
      </c>
      <c r="MD1257" s="2">
        <v>93.34</v>
      </c>
      <c r="ME1257" s="2">
        <v>92.04000000000001</v>
      </c>
      <c r="MF1257" s="2">
        <v>92.06</v>
      </c>
      <c r="MG1257" s="2">
        <v>90.2</v>
      </c>
      <c r="MH1257" s="2">
        <v>90.25</v>
      </c>
      <c r="MI1257" s="2">
        <v>90.3</v>
      </c>
      <c r="MJ1257" s="2">
        <v>90.34999999999999</v>
      </c>
      <c r="MK1257" s="2">
        <v>90.81999999999999</v>
      </c>
      <c r="ML1257" s="2">
        <v>90.95999999999999</v>
      </c>
      <c r="MQ1257" s="2">
        <v>90.81999999999999</v>
      </c>
      <c r="MR1257" s="2">
        <v>90.87</v>
      </c>
      <c r="MS1257" s="2">
        <v>90.91</v>
      </c>
      <c r="MT1257" s="2">
        <v>89.23</v>
      </c>
      <c r="MU1257" s="2">
        <v>89.3</v>
      </c>
      <c r="MV1257" s="2">
        <v>89.81</v>
      </c>
      <c r="MW1257" s="2">
        <v>89.90000000000001</v>
      </c>
      <c r="MX1257" s="2">
        <v>88.73</v>
      </c>
      <c r="MY1257" s="2">
        <v>88.81999999999999</v>
      </c>
      <c r="MZ1257" s="2">
        <v>89</v>
      </c>
      <c r="NA1257" s="2">
        <v>90.23999999999999</v>
      </c>
      <c r="NB1257" s="2">
        <v>89.12</v>
      </c>
      <c r="NG1257" s="2">
        <v>89.23999999999999</v>
      </c>
      <c r="NH1257" s="2">
        <v>89.34999999999999</v>
      </c>
      <c r="NI1257" s="2">
        <v>90.73</v>
      </c>
      <c r="NJ1257" s="2">
        <v>90.84</v>
      </c>
      <c r="NK1257" s="2">
        <v>90.94</v>
      </c>
      <c r="NL1257" s="2">
        <v>91.31</v>
      </c>
      <c r="NM1257" s="2">
        <v>91.40000000000001</v>
      </c>
      <c r="NN1257" s="2">
        <v>92.39</v>
      </c>
      <c r="NO1257" s="2">
        <v>94.34</v>
      </c>
      <c r="NP1257" s="2">
        <v>94.42</v>
      </c>
      <c r="NQ1257" s="2">
        <v>94.81</v>
      </c>
      <c r="NR1257" s="2">
        <v>95.61</v>
      </c>
      <c r="NW1257" s="2">
        <v>95.81</v>
      </c>
      <c r="NX1257" s="2">
        <v>95.90000000000001</v>
      </c>
      <c r="NY1257" s="2">
        <v>96.22</v>
      </c>
      <c r="NZ1257" s="2">
        <v>96.53</v>
      </c>
      <c r="OA1257" s="2">
        <v>96.59</v>
      </c>
      <c r="OB1257" s="2">
        <v>96.92</v>
      </c>
      <c r="OC1257" s="2">
        <v>96.98</v>
      </c>
      <c r="OD1257" s="2">
        <v>94.95</v>
      </c>
      <c r="OE1257" s="2">
        <v>95.16</v>
      </c>
      <c r="OF1257" s="2">
        <v>97.31999999999999</v>
      </c>
      <c r="OG1257" s="2">
        <v>95.75</v>
      </c>
      <c r="OH1257" s="2">
        <v>95.94</v>
      </c>
      <c r="OM1257" s="2">
        <v>95.98999999999999</v>
      </c>
      <c r="ON1257" s="2">
        <v>96.31999999999999</v>
      </c>
      <c r="OO1257" s="2">
        <v>98.47</v>
      </c>
      <c r="OP1257" s="2">
        <v>99.05</v>
      </c>
      <c r="OQ1257" s="2">
        <v>99.08</v>
      </c>
      <c r="OR1257" s="2">
        <v>100.3</v>
      </c>
      <c r="OS1257" s="2">
        <v>100.79</v>
      </c>
      <c r="OT1257" s="2">
        <v>101.03</v>
      </c>
      <c r="OU1257" s="2">
        <v>100</v>
      </c>
      <c r="OV1257" s="2">
        <v>101.1</v>
      </c>
      <c r="OW1257" s="2">
        <v>100.09</v>
      </c>
      <c r="OX1257" s="2">
        <v>99.92</v>
      </c>
      <c r="PC1257" s="2">
        <v>99.95999999999999</v>
      </c>
      <c r="PD1257" s="2">
        <v>100.01</v>
      </c>
      <c r="PE1257" s="2">
        <v>100.88</v>
      </c>
      <c r="PF1257" s="2">
        <v>100.82</v>
      </c>
      <c r="PG1257" s="2">
        <v>101.24</v>
      </c>
      <c r="PH1257" s="2">
        <v>101.29</v>
      </c>
      <c r="PI1257" s="2">
        <v>103.04</v>
      </c>
    </row>
    <row r="1258">
      <c r="A1258" t="inlineStr">
        <is>
          <t>A130399849A</t>
        </is>
      </c>
      <c r="B1258" t="inlineStr">
        <is>
          <t>Index Numbers ;  Other financial services ;  Australia ;</t>
        </is>
      </c>
      <c r="C1258" t="inlineStr">
        <is>
          <t>Month</t>
        </is>
      </c>
      <c r="D1258" t="inlineStr">
        <is>
          <t>Index Numbers</t>
        </is>
      </c>
      <c r="E1258" t="inlineStr">
        <is>
          <t>Seasonally Adjusted</t>
        </is>
      </c>
      <c r="F1258" t="inlineStr">
        <is>
          <t>640107.xlsx</t>
        </is>
      </c>
      <c r="G1258" t="inlineStr">
        <is>
          <t>2017-09</t>
        </is>
      </c>
      <c r="H1258" t="inlineStr">
        <is>
          <t>2026-07</t>
        </is>
      </c>
      <c r="JW1258" s="2">
        <v>80.12</v>
      </c>
      <c r="JX1258" s="2">
        <v>80.18000000000001</v>
      </c>
      <c r="JY1258" s="2">
        <v>80.26000000000001</v>
      </c>
      <c r="JZ1258" s="2">
        <v>80.23</v>
      </c>
      <c r="KE1258" s="2">
        <v>80.29000000000001</v>
      </c>
      <c r="KF1258" s="2">
        <v>80.34999999999999</v>
      </c>
      <c r="KG1258" s="2">
        <v>80.48999999999999</v>
      </c>
      <c r="KH1258" s="2">
        <v>80.56999999999999</v>
      </c>
      <c r="KI1258" s="2">
        <v>80.65000000000001</v>
      </c>
      <c r="KJ1258" s="2">
        <v>80.68000000000001</v>
      </c>
      <c r="KK1258" s="2">
        <v>80.76000000000001</v>
      </c>
      <c r="KL1258" s="2">
        <v>80.84</v>
      </c>
      <c r="KM1258" s="2">
        <v>81.11</v>
      </c>
      <c r="KN1258" s="2">
        <v>81.19</v>
      </c>
      <c r="KO1258" s="2">
        <v>81.28</v>
      </c>
      <c r="KP1258" s="2">
        <v>81.31</v>
      </c>
      <c r="KU1258" s="2">
        <v>81.36</v>
      </c>
      <c r="KV1258" s="2">
        <v>81.43000000000001</v>
      </c>
      <c r="KW1258" s="2">
        <v>81.20999999999999</v>
      </c>
      <c r="KX1258" s="2">
        <v>81.3</v>
      </c>
      <c r="KY1258" s="2">
        <v>81.38</v>
      </c>
      <c r="KZ1258" s="2">
        <v>81.41</v>
      </c>
      <c r="LA1258" s="2">
        <v>81.51000000000001</v>
      </c>
      <c r="LB1258" s="2">
        <v>81.61</v>
      </c>
      <c r="LC1258" s="2">
        <v>81.62</v>
      </c>
      <c r="LD1258" s="2">
        <v>81.75</v>
      </c>
      <c r="LE1258" s="2">
        <v>81.87</v>
      </c>
      <c r="LF1258" s="2">
        <v>81.98999999999999</v>
      </c>
      <c r="LK1258" s="2">
        <v>82.03</v>
      </c>
      <c r="LL1258" s="2">
        <v>82.14</v>
      </c>
      <c r="LM1258" s="2">
        <v>82.53</v>
      </c>
      <c r="LN1258" s="2">
        <v>82.66</v>
      </c>
      <c r="LO1258" s="2">
        <v>82.75</v>
      </c>
      <c r="LP1258" s="2">
        <v>82.84999999999999</v>
      </c>
      <c r="LQ1258" s="2">
        <v>82.94</v>
      </c>
      <c r="LR1258" s="2">
        <v>83.09999999999999</v>
      </c>
      <c r="LS1258" s="2">
        <v>82.73999999999999</v>
      </c>
      <c r="LT1258" s="2">
        <v>82.91</v>
      </c>
      <c r="LU1258" s="2">
        <v>83.08</v>
      </c>
      <c r="LV1258" s="2">
        <v>82.67</v>
      </c>
      <c r="MA1258" s="2">
        <v>82.72</v>
      </c>
      <c r="MB1258" s="2">
        <v>82.89</v>
      </c>
      <c r="MC1258" s="2">
        <v>82.61</v>
      </c>
      <c r="MD1258" s="2">
        <v>82.79000000000001</v>
      </c>
      <c r="ME1258" s="2">
        <v>82.90000000000001</v>
      </c>
      <c r="MF1258" s="2">
        <v>82.76000000000001</v>
      </c>
      <c r="MG1258" s="2">
        <v>82.87</v>
      </c>
      <c r="MH1258" s="2">
        <v>83.06999999999999</v>
      </c>
      <c r="MI1258" s="2">
        <v>83.31</v>
      </c>
      <c r="MJ1258" s="2">
        <v>83.54000000000001</v>
      </c>
      <c r="MK1258" s="2">
        <v>83.73999999999999</v>
      </c>
      <c r="ML1258" s="2">
        <v>84.62</v>
      </c>
      <c r="MQ1258" s="2">
        <v>84.7</v>
      </c>
      <c r="MR1258" s="2">
        <v>84.92</v>
      </c>
      <c r="MS1258" s="2">
        <v>84.97</v>
      </c>
      <c r="MT1258" s="2">
        <v>85.2</v>
      </c>
      <c r="MU1258" s="2">
        <v>85.33</v>
      </c>
      <c r="MV1258" s="2">
        <v>86.16</v>
      </c>
      <c r="MW1258" s="2">
        <v>86.29000000000001</v>
      </c>
      <c r="MX1258" s="2">
        <v>86.54000000000001</v>
      </c>
      <c r="MY1258" s="2">
        <v>87.31</v>
      </c>
      <c r="MZ1258" s="2">
        <v>87.59</v>
      </c>
      <c r="NA1258" s="2">
        <v>87.83</v>
      </c>
      <c r="NB1258" s="2">
        <v>89.18000000000001</v>
      </c>
      <c r="NG1258" s="2">
        <v>89.3</v>
      </c>
      <c r="NH1258" s="2">
        <v>89.56999999999999</v>
      </c>
      <c r="NI1258" s="2">
        <v>90.52</v>
      </c>
      <c r="NJ1258" s="2">
        <v>90.8</v>
      </c>
      <c r="NK1258" s="2">
        <v>90.97</v>
      </c>
      <c r="NL1258" s="2">
        <v>92.73</v>
      </c>
      <c r="NM1258" s="2">
        <v>92.89</v>
      </c>
      <c r="NN1258" s="2">
        <v>93.18000000000001</v>
      </c>
      <c r="NO1258" s="2">
        <v>93.51000000000001</v>
      </c>
      <c r="NP1258" s="2">
        <v>93.83</v>
      </c>
      <c r="NQ1258" s="2">
        <v>94.09</v>
      </c>
      <c r="NR1258" s="2">
        <v>94.53</v>
      </c>
      <c r="NW1258" s="2">
        <v>94.69</v>
      </c>
      <c r="NX1258" s="2">
        <v>94.98999999999999</v>
      </c>
      <c r="NY1258" s="2">
        <v>95.86</v>
      </c>
      <c r="NZ1258" s="2">
        <v>96.16</v>
      </c>
      <c r="OA1258" s="2">
        <v>96.34999999999999</v>
      </c>
      <c r="OB1258" s="2">
        <v>96.5</v>
      </c>
      <c r="OC1258" s="2">
        <v>96.68000000000001</v>
      </c>
      <c r="OD1258" s="2">
        <v>97</v>
      </c>
      <c r="OE1258" s="2">
        <v>97.44</v>
      </c>
      <c r="OF1258" s="2">
        <v>97.75</v>
      </c>
      <c r="OG1258" s="2">
        <v>98.03</v>
      </c>
      <c r="OH1258" s="2">
        <v>98.22</v>
      </c>
      <c r="OM1258" s="2">
        <v>98.45</v>
      </c>
      <c r="ON1258" s="2">
        <v>98.73999999999999</v>
      </c>
      <c r="OO1258" s="2">
        <v>98.65000000000001</v>
      </c>
      <c r="OP1258" s="2">
        <v>98.95</v>
      </c>
      <c r="OQ1258" s="2">
        <v>99.17</v>
      </c>
      <c r="OR1258" s="2">
        <v>99.22</v>
      </c>
      <c r="OS1258" s="2">
        <v>99.42</v>
      </c>
      <c r="OT1258" s="2">
        <v>99.73999999999999</v>
      </c>
      <c r="OU1258" s="2">
        <v>99.75</v>
      </c>
      <c r="OV1258" s="2">
        <v>100.05</v>
      </c>
      <c r="OW1258" s="2">
        <v>100.32</v>
      </c>
      <c r="OX1258" s="2">
        <v>100.45</v>
      </c>
      <c r="PC1258" s="2">
        <v>100.7</v>
      </c>
      <c r="PD1258" s="2">
        <v>100.97</v>
      </c>
      <c r="PE1258" s="2">
        <v>101.19</v>
      </c>
      <c r="PF1258" s="2">
        <v>101.46</v>
      </c>
      <c r="PG1258" s="2">
        <v>101.69</v>
      </c>
      <c r="PH1258" s="2">
        <v>102.06</v>
      </c>
      <c r="PI1258" s="2">
        <v>102.27</v>
      </c>
    </row>
    <row r="1259">
      <c r="A1259" t="inlineStr">
        <is>
          <t>A130399961A</t>
        </is>
      </c>
      <c r="B1259" t="inlineStr">
        <is>
          <t>Index Numbers ;  Tradables ;  Australia ;</t>
        </is>
      </c>
      <c r="C1259" t="inlineStr">
        <is>
          <t>Month</t>
        </is>
      </c>
      <c r="D1259" t="inlineStr">
        <is>
          <t>Index Numbers</t>
        </is>
      </c>
      <c r="E1259" t="inlineStr">
        <is>
          <t>Seasonally Adjusted</t>
        </is>
      </c>
      <c r="F1259" t="inlineStr">
        <is>
          <t>640107.xlsx</t>
        </is>
      </c>
      <c r="G1259" t="inlineStr">
        <is>
          <t>2024-04</t>
        </is>
      </c>
      <c r="H1259" t="inlineStr">
        <is>
          <t>2026-07</t>
        </is>
      </c>
      <c r="NZ1259" s="2">
        <v>100</v>
      </c>
      <c r="OA1259" s="2">
        <v>99.66</v>
      </c>
      <c r="OB1259" s="2">
        <v>99.89</v>
      </c>
      <c r="OC1259" s="2">
        <v>99.70999999999999</v>
      </c>
      <c r="OD1259" s="2">
        <v>99.73999999999999</v>
      </c>
      <c r="OE1259" s="2">
        <v>99.16</v>
      </c>
      <c r="OF1259" s="2">
        <v>99.43000000000001</v>
      </c>
      <c r="OG1259" s="2">
        <v>99.66</v>
      </c>
      <c r="OH1259" s="2">
        <v>99.70999999999999</v>
      </c>
      <c r="OM1259" s="2">
        <v>100.04</v>
      </c>
      <c r="ON1259" s="2">
        <v>100.27</v>
      </c>
      <c r="OO1259" s="2">
        <v>100.12</v>
      </c>
      <c r="OP1259" s="2">
        <v>100.38</v>
      </c>
      <c r="OQ1259" s="2">
        <v>99.81999999999999</v>
      </c>
      <c r="OR1259" s="2">
        <v>100</v>
      </c>
      <c r="OS1259" s="2">
        <v>100.9</v>
      </c>
      <c r="OT1259" s="2">
        <v>101.06</v>
      </c>
      <c r="OU1259" s="2">
        <v>101.11</v>
      </c>
      <c r="OV1259" s="2">
        <v>101.59</v>
      </c>
      <c r="OW1259" s="2">
        <v>101.56</v>
      </c>
      <c r="OX1259" s="2">
        <v>101.71</v>
      </c>
      <c r="PC1259" s="2">
        <v>101.87</v>
      </c>
      <c r="PD1259" s="2">
        <v>101.58</v>
      </c>
      <c r="PE1259" s="2">
        <v>104.56</v>
      </c>
      <c r="PF1259" s="2">
        <v>103.52</v>
      </c>
      <c r="PG1259" s="2">
        <v>102.33</v>
      </c>
      <c r="PH1259" s="2">
        <v>101.41</v>
      </c>
      <c r="PI1259" s="2">
        <v>102.57</v>
      </c>
    </row>
    <row r="1260">
      <c r="A1260" t="inlineStr">
        <is>
          <t>A130400388C</t>
        </is>
      </c>
      <c r="B1260" t="inlineStr">
        <is>
          <t>Index Numbers ;  Non-tradables ;  Australia ;</t>
        </is>
      </c>
      <c r="C1260" t="inlineStr">
        <is>
          <t>Month</t>
        </is>
      </c>
      <c r="D1260" t="inlineStr">
        <is>
          <t>Index Numbers</t>
        </is>
      </c>
      <c r="E1260" t="inlineStr">
        <is>
          <t>Seasonally Adjusted</t>
        </is>
      </c>
      <c r="F1260" t="inlineStr">
        <is>
          <t>640107.xlsx</t>
        </is>
      </c>
      <c r="G1260" t="inlineStr">
        <is>
          <t>2024-04</t>
        </is>
      </c>
      <c r="H1260" t="inlineStr">
        <is>
          <t>2026-07</t>
        </is>
      </c>
      <c r="NZ1260" s="2">
        <v>100</v>
      </c>
      <c r="OA1260" s="2">
        <v>100.63</v>
      </c>
      <c r="OB1260" s="2">
        <v>101.14</v>
      </c>
      <c r="OC1260" s="2">
        <v>101.03</v>
      </c>
      <c r="OD1260" s="2">
        <v>100.96</v>
      </c>
      <c r="OE1260" s="2">
        <v>101.06</v>
      </c>
      <c r="OF1260" s="2">
        <v>100.93</v>
      </c>
      <c r="OG1260" s="2">
        <v>101.83</v>
      </c>
      <c r="OH1260" s="2">
        <v>101.75</v>
      </c>
      <c r="OM1260" s="2">
        <v>102.4</v>
      </c>
      <c r="ON1260" s="2">
        <v>102.66</v>
      </c>
      <c r="OO1260" s="2">
        <v>103.13</v>
      </c>
      <c r="OP1260" s="2">
        <v>103.45</v>
      </c>
      <c r="OQ1260" s="2">
        <v>103.82</v>
      </c>
      <c r="OR1260" s="2">
        <v>104</v>
      </c>
      <c r="OS1260" s="2">
        <v>104.96</v>
      </c>
      <c r="OT1260" s="2">
        <v>105.16</v>
      </c>
      <c r="OU1260" s="2">
        <v>105.58</v>
      </c>
      <c r="OV1260" s="2">
        <v>105.73</v>
      </c>
      <c r="OW1260" s="2">
        <v>106.19</v>
      </c>
      <c r="OX1260" s="2">
        <v>106.45</v>
      </c>
      <c r="PC1260" s="2">
        <v>107.38</v>
      </c>
      <c r="PD1260" s="2">
        <v>107.79</v>
      </c>
      <c r="PE1260" s="2">
        <v>107.88</v>
      </c>
      <c r="PF1260" s="2">
        <v>108.31</v>
      </c>
      <c r="PG1260" s="2">
        <v>108.72</v>
      </c>
      <c r="PH1260" s="2">
        <v>109.13</v>
      </c>
      <c r="PI1260" s="2">
        <v>109.56</v>
      </c>
    </row>
    <row r="1261">
      <c r="A1261" t="inlineStr">
        <is>
          <t>A130400619A</t>
        </is>
      </c>
      <c r="B1261" t="inlineStr">
        <is>
          <t>Index Numbers ;  All groups, goods component ;  Australia ;</t>
        </is>
      </c>
      <c r="C1261" t="inlineStr">
        <is>
          <t>Month</t>
        </is>
      </c>
      <c r="D1261" t="inlineStr">
        <is>
          <t>Index Numbers</t>
        </is>
      </c>
      <c r="E1261" t="inlineStr">
        <is>
          <t>Seasonally Adjusted</t>
        </is>
      </c>
      <c r="F1261" t="inlineStr">
        <is>
          <t>640107.xlsx</t>
        </is>
      </c>
      <c r="G1261" t="inlineStr">
        <is>
          <t>2024-04</t>
        </is>
      </c>
      <c r="H1261" t="inlineStr">
        <is>
          <t>2026-07</t>
        </is>
      </c>
      <c r="NZ1261" s="2">
        <v>100</v>
      </c>
      <c r="OA1261" s="2">
        <v>99.94</v>
      </c>
      <c r="OB1261" s="2">
        <v>100.18</v>
      </c>
      <c r="OC1261" s="2">
        <v>99.94</v>
      </c>
      <c r="OD1261" s="2">
        <v>99.42</v>
      </c>
      <c r="OE1261" s="2">
        <v>99.03</v>
      </c>
      <c r="OF1261" s="2">
        <v>98.76000000000001</v>
      </c>
      <c r="OG1261" s="2">
        <v>99.73999999999999</v>
      </c>
      <c r="OH1261" s="2">
        <v>99.73999999999999</v>
      </c>
      <c r="OM1261" s="2">
        <v>100.19</v>
      </c>
      <c r="ON1261" s="2">
        <v>100.39</v>
      </c>
      <c r="OO1261" s="2">
        <v>100.53</v>
      </c>
      <c r="OP1261" s="2">
        <v>100.9</v>
      </c>
      <c r="OQ1261" s="2">
        <v>100.94</v>
      </c>
      <c r="OR1261" s="2">
        <v>101.34</v>
      </c>
      <c r="OS1261" s="2">
        <v>102.27</v>
      </c>
      <c r="OT1261" s="2">
        <v>102.37</v>
      </c>
      <c r="OU1261" s="2">
        <v>102.62</v>
      </c>
      <c r="OV1261" s="2">
        <v>102.49</v>
      </c>
      <c r="OW1261" s="2">
        <v>102.98</v>
      </c>
      <c r="OX1261" s="2">
        <v>103.09</v>
      </c>
      <c r="PC1261" s="2">
        <v>104.02</v>
      </c>
      <c r="PD1261" s="2">
        <v>103.98</v>
      </c>
      <c r="PE1261" s="2">
        <v>106</v>
      </c>
      <c r="PF1261" s="2">
        <v>105.7</v>
      </c>
      <c r="PG1261" s="2">
        <v>105.2</v>
      </c>
      <c r="PH1261" s="2">
        <v>104.84</v>
      </c>
      <c r="PI1261" s="2">
        <v>105.52</v>
      </c>
    </row>
    <row r="1262">
      <c r="A1262" t="inlineStr">
        <is>
          <t>A130399835L</t>
        </is>
      </c>
      <c r="B1262" t="inlineStr">
        <is>
          <t>Index Numbers ;  All groups, services component ;  Australia ;</t>
        </is>
      </c>
      <c r="C1262" t="inlineStr">
        <is>
          <t>Month</t>
        </is>
      </c>
      <c r="D1262" t="inlineStr">
        <is>
          <t>Index Numbers</t>
        </is>
      </c>
      <c r="E1262" t="inlineStr">
        <is>
          <t>Seasonally Adjusted</t>
        </is>
      </c>
      <c r="F1262" t="inlineStr">
        <is>
          <t>640107.xlsx</t>
        </is>
      </c>
      <c r="G1262" t="inlineStr">
        <is>
          <t>2024-04</t>
        </is>
      </c>
      <c r="H1262" t="inlineStr">
        <is>
          <t>2026-07</t>
        </is>
      </c>
      <c r="NZ1262" s="2">
        <v>100</v>
      </c>
      <c r="OA1262" s="2">
        <v>100.72</v>
      </c>
      <c r="OB1262" s="2">
        <v>101.33</v>
      </c>
      <c r="OC1262" s="2">
        <v>101.33</v>
      </c>
      <c r="OD1262" s="2">
        <v>101.87</v>
      </c>
      <c r="OE1262" s="2">
        <v>102.04</v>
      </c>
      <c r="OF1262" s="2">
        <v>102.38</v>
      </c>
      <c r="OG1262" s="2">
        <v>102.69</v>
      </c>
      <c r="OH1262" s="2">
        <v>102.61</v>
      </c>
      <c r="OM1262" s="2">
        <v>103.24</v>
      </c>
      <c r="ON1262" s="2">
        <v>103.55</v>
      </c>
      <c r="OO1262" s="2">
        <v>103.94</v>
      </c>
      <c r="OP1262" s="2">
        <v>104.16</v>
      </c>
      <c r="OQ1262" s="2">
        <v>104.21</v>
      </c>
      <c r="OR1262" s="2">
        <v>104.14</v>
      </c>
      <c r="OS1262" s="2">
        <v>105.09</v>
      </c>
      <c r="OT1262" s="2">
        <v>105.38</v>
      </c>
      <c r="OU1262" s="2">
        <v>105.71</v>
      </c>
      <c r="OV1262" s="2">
        <v>106.43</v>
      </c>
      <c r="OW1262" s="2">
        <v>106.48</v>
      </c>
      <c r="OX1262" s="2">
        <v>106.84</v>
      </c>
      <c r="PC1262" s="2">
        <v>107.19</v>
      </c>
      <c r="PD1262" s="2">
        <v>107.59</v>
      </c>
      <c r="PE1262" s="2">
        <v>107.63</v>
      </c>
      <c r="PF1262" s="2">
        <v>107.81</v>
      </c>
      <c r="PG1262" s="2">
        <v>108.07</v>
      </c>
      <c r="PH1262" s="2">
        <v>108.36</v>
      </c>
      <c r="PI1262" s="2">
        <v>109.04</v>
      </c>
    </row>
    <row r="1263">
      <c r="A1263" t="inlineStr">
        <is>
          <t>A130576778W</t>
        </is>
      </c>
      <c r="B1263" t="inlineStr">
        <is>
          <t>Combined Seasonal Adjustment Factors ;  Australia ;  Bread ;</t>
        </is>
      </c>
      <c r="C1263" t="inlineStr">
        <is>
          <t>Month</t>
        </is>
      </c>
      <c r="D1263" t="inlineStr">
        <is>
          <t>Number</t>
        </is>
      </c>
      <c r="E1263" t="inlineStr">
        <is>
          <t>Original</t>
        </is>
      </c>
      <c r="F1263" t="inlineStr">
        <is>
          <t>640108.xlsx</t>
        </is>
      </c>
      <c r="G1263" t="inlineStr">
        <is>
          <t>2017-09</t>
        </is>
      </c>
      <c r="H1263" t="inlineStr">
        <is>
          <t>2026-07</t>
        </is>
      </c>
      <c r="JW1263" s="2">
        <v>0.99503</v>
      </c>
      <c r="JX1263" s="2">
        <v>0.99531</v>
      </c>
      <c r="JY1263" s="2">
        <v>0.99578</v>
      </c>
      <c r="JZ1263" s="2">
        <v>1.00366</v>
      </c>
      <c r="KE1263" s="2">
        <v>0.99999</v>
      </c>
      <c r="KF1263" s="2">
        <v>0.99878</v>
      </c>
      <c r="KG1263" s="2">
        <v>1.00196</v>
      </c>
      <c r="KH1263" s="2">
        <v>1.00826</v>
      </c>
      <c r="KI1263" s="2">
        <v>1.0015</v>
      </c>
      <c r="KJ1263" s="2">
        <v>0.99887</v>
      </c>
      <c r="KK1263" s="2">
        <v>1.00064</v>
      </c>
      <c r="KL1263" s="2">
        <v>1.00013</v>
      </c>
      <c r="KM1263" s="2">
        <v>0.99539</v>
      </c>
      <c r="KN1263" s="2">
        <v>0.99544</v>
      </c>
      <c r="KO1263" s="2">
        <v>0.99591</v>
      </c>
      <c r="KP1263" s="2">
        <v>1.00324</v>
      </c>
      <c r="KU1263" s="2">
        <v>0.99982</v>
      </c>
      <c r="KV1263" s="2">
        <v>0.99852</v>
      </c>
      <c r="KW1263" s="2">
        <v>1.0017</v>
      </c>
      <c r="KX1263" s="2">
        <v>1.0079</v>
      </c>
      <c r="KY1263" s="2">
        <v>1.00185</v>
      </c>
      <c r="KZ1263" s="2">
        <v>0.99948</v>
      </c>
      <c r="LA1263" s="2">
        <v>1.00087</v>
      </c>
      <c r="LB1263" s="2">
        <v>1.00021</v>
      </c>
      <c r="LC1263" s="2">
        <v>0.99605</v>
      </c>
      <c r="LD1263" s="2">
        <v>0.99547</v>
      </c>
      <c r="LE1263" s="2">
        <v>0.99587</v>
      </c>
      <c r="LF1263" s="2">
        <v>1.0023</v>
      </c>
      <c r="LK1263" s="2">
        <v>0.99953</v>
      </c>
      <c r="LL1263" s="2">
        <v>0.99793</v>
      </c>
      <c r="LM1263" s="2">
        <v>1.00152</v>
      </c>
      <c r="LN1263" s="2">
        <v>1.0073</v>
      </c>
      <c r="LO1263" s="2">
        <v>1.00253</v>
      </c>
      <c r="LP1263" s="2">
        <v>1.00066</v>
      </c>
      <c r="LQ1263" s="2">
        <v>1.0012</v>
      </c>
      <c r="LR1263" s="2">
        <v>1.0002</v>
      </c>
      <c r="LS1263" s="2">
        <v>0.99676</v>
      </c>
      <c r="LT1263" s="2">
        <v>0.99538</v>
      </c>
      <c r="LU1263" s="2">
        <v>0.9958</v>
      </c>
      <c r="LV1263" s="2">
        <v>1.00102</v>
      </c>
      <c r="MA1263" s="2">
        <v>0.99934</v>
      </c>
      <c r="MB1263" s="2">
        <v>0.99765</v>
      </c>
      <c r="MC1263" s="2">
        <v>1.00136</v>
      </c>
      <c r="MD1263" s="2">
        <v>1.00657</v>
      </c>
      <c r="ME1263" s="2">
        <v>1.00311</v>
      </c>
      <c r="MF1263" s="2">
        <v>1.00184</v>
      </c>
      <c r="MG1263" s="2">
        <v>1.00163</v>
      </c>
      <c r="MH1263" s="2">
        <v>0.99996</v>
      </c>
      <c r="MI1263" s="2">
        <v>0.997</v>
      </c>
      <c r="MJ1263" s="2">
        <v>0.99522</v>
      </c>
      <c r="MK1263" s="2">
        <v>0.9958900000000001</v>
      </c>
      <c r="ML1263" s="2">
        <v>1.00034</v>
      </c>
      <c r="MQ1263" s="2">
        <v>0.99956</v>
      </c>
      <c r="MR1263" s="2">
        <v>0.99771</v>
      </c>
      <c r="MS1263" s="2">
        <v>1.00127</v>
      </c>
      <c r="MT1263" s="2">
        <v>1.00541</v>
      </c>
      <c r="MU1263" s="2">
        <v>1.00338</v>
      </c>
      <c r="MV1263" s="2">
        <v>1.00255</v>
      </c>
      <c r="MW1263" s="2">
        <v>1.00206</v>
      </c>
      <c r="MX1263" s="2">
        <v>0.99946</v>
      </c>
      <c r="MY1263" s="2">
        <v>0.99693</v>
      </c>
      <c r="MZ1263" s="2">
        <v>0.99521</v>
      </c>
      <c r="NA1263" s="2">
        <v>0.99631</v>
      </c>
      <c r="NB1263" s="2">
        <v>1.00001</v>
      </c>
      <c r="NG1263" s="2">
        <v>1.00009</v>
      </c>
      <c r="NH1263" s="2">
        <v>0.99835</v>
      </c>
      <c r="NI1263" s="2">
        <v>1.00138</v>
      </c>
      <c r="NJ1263" s="2">
        <v>1.00416</v>
      </c>
      <c r="NK1263" s="2">
        <v>1.00316</v>
      </c>
      <c r="NL1263" s="2">
        <v>1.00258</v>
      </c>
      <c r="NM1263" s="2">
        <v>1.00214</v>
      </c>
      <c r="NN1263" s="2">
        <v>0.99898</v>
      </c>
      <c r="NO1263" s="2">
        <v>0.99647</v>
      </c>
      <c r="NP1263" s="2">
        <v>0.99536</v>
      </c>
      <c r="NQ1263" s="2">
        <v>0.99679</v>
      </c>
      <c r="NR1263" s="2">
        <v>1.00052</v>
      </c>
      <c r="NW1263" s="2">
        <v>1.00093</v>
      </c>
      <c r="NX1263" s="2">
        <v>0.99904</v>
      </c>
      <c r="NY1263" s="2">
        <v>1.00172</v>
      </c>
      <c r="NZ1263" s="2">
        <v>1.003</v>
      </c>
      <c r="OA1263" s="2">
        <v>1.00269</v>
      </c>
      <c r="OB1263" s="2">
        <v>1.00203</v>
      </c>
      <c r="OC1263" s="2">
        <v>1.00182</v>
      </c>
      <c r="OD1263" s="2">
        <v>0.99853</v>
      </c>
      <c r="OE1263" s="2">
        <v>0.99594</v>
      </c>
      <c r="OF1263" s="2">
        <v>0.9958</v>
      </c>
      <c r="OG1263" s="2">
        <v>0.99733</v>
      </c>
      <c r="OH1263" s="2">
        <v>1.00102</v>
      </c>
      <c r="OM1263" s="2">
        <v>1.00166</v>
      </c>
      <c r="ON1263" s="2">
        <v>1.00002</v>
      </c>
      <c r="OO1263" s="2">
        <v>1.00207</v>
      </c>
      <c r="OP1263" s="2">
        <v>1.00237</v>
      </c>
      <c r="OQ1263" s="2">
        <v>1.00212</v>
      </c>
      <c r="OR1263" s="2">
        <v>1.00132</v>
      </c>
      <c r="OS1263" s="2">
        <v>1.00112</v>
      </c>
      <c r="OT1263" s="2">
        <v>0.99805</v>
      </c>
      <c r="OU1263" s="2">
        <v>0.99527</v>
      </c>
      <c r="OV1263" s="2">
        <v>0.99627</v>
      </c>
      <c r="OW1263" s="2">
        <v>0.99794</v>
      </c>
      <c r="OX1263" s="2">
        <v>1.00186</v>
      </c>
      <c r="PC1263" s="2">
        <v>1.00235</v>
      </c>
      <c r="PD1263" s="2">
        <v>1.00062</v>
      </c>
      <c r="PE1263" s="2">
        <v>1.00224</v>
      </c>
      <c r="PF1263" s="2">
        <v>1.00195</v>
      </c>
      <c r="PG1263" s="2">
        <v>1.00174</v>
      </c>
      <c r="PH1263" s="2">
        <v>1.00061</v>
      </c>
      <c r="PI1263" s="2">
        <v>1.00051</v>
      </c>
    </row>
    <row r="1264">
      <c r="A1264" t="inlineStr">
        <is>
          <t>A130576779X</t>
        </is>
      </c>
      <c r="B1264" t="inlineStr">
        <is>
          <t>Combined Seasonal Adjustment Factors ;  Australia ;  Cakes and biscuits ;</t>
        </is>
      </c>
      <c r="C1264" t="inlineStr">
        <is>
          <t>Month</t>
        </is>
      </c>
      <c r="D1264" t="inlineStr">
        <is>
          <t>Number</t>
        </is>
      </c>
      <c r="E1264" t="inlineStr">
        <is>
          <t>Original</t>
        </is>
      </c>
      <c r="F1264" t="inlineStr">
        <is>
          <t>640108.xlsx</t>
        </is>
      </c>
      <c r="G1264" t="inlineStr">
        <is>
          <t>2017-09</t>
        </is>
      </c>
      <c r="H1264" t="inlineStr">
        <is>
          <t>2026-07</t>
        </is>
      </c>
      <c r="JW1264" s="2">
        <v>0.99659</v>
      </c>
      <c r="JX1264" s="2">
        <v>1.00191</v>
      </c>
      <c r="JY1264" s="2">
        <v>1.0023</v>
      </c>
      <c r="JZ1264" s="2">
        <v>1.00158</v>
      </c>
      <c r="KE1264" s="2">
        <v>1.01024</v>
      </c>
      <c r="KF1264" s="2">
        <v>1.0027</v>
      </c>
      <c r="KG1264" s="2">
        <v>1.00119</v>
      </c>
      <c r="KH1264" s="2">
        <v>0.99999</v>
      </c>
      <c r="KI1264" s="2">
        <v>0.99822</v>
      </c>
      <c r="KJ1264" s="2">
        <v>0.99716</v>
      </c>
      <c r="KK1264" s="2">
        <v>0.98732</v>
      </c>
      <c r="KL1264" s="2">
        <v>1.00094</v>
      </c>
      <c r="KM1264" s="2">
        <v>0.99622</v>
      </c>
      <c r="KN1264" s="2">
        <v>1.00187</v>
      </c>
      <c r="KO1264" s="2">
        <v>1.00256</v>
      </c>
      <c r="KP1264" s="2">
        <v>1.00212</v>
      </c>
      <c r="KU1264" s="2">
        <v>1.01032</v>
      </c>
      <c r="KV1264" s="2">
        <v>1.00278</v>
      </c>
      <c r="KW1264" s="2">
        <v>1.00072</v>
      </c>
      <c r="KX1264" s="2">
        <v>0.99955</v>
      </c>
      <c r="KY1264" s="2">
        <v>0.99795</v>
      </c>
      <c r="KZ1264" s="2">
        <v>0.99695</v>
      </c>
      <c r="LA1264" s="2">
        <v>0.98792</v>
      </c>
      <c r="LB1264" s="2">
        <v>1.00083</v>
      </c>
      <c r="LC1264" s="2">
        <v>0.99602</v>
      </c>
      <c r="LD1264" s="2">
        <v>1.00223</v>
      </c>
      <c r="LE1264" s="2">
        <v>1.00256</v>
      </c>
      <c r="LF1264" s="2">
        <v>1.00338</v>
      </c>
      <c r="LK1264" s="2">
        <v>1.00983</v>
      </c>
      <c r="LL1264" s="2">
        <v>1.00328</v>
      </c>
      <c r="LM1264" s="2">
        <v>0.99954</v>
      </c>
      <c r="LN1264" s="2">
        <v>0.99887</v>
      </c>
      <c r="LO1264" s="2">
        <v>0.9980599999999999</v>
      </c>
      <c r="LP1264" s="2">
        <v>0.99609</v>
      </c>
      <c r="LQ1264" s="2">
        <v>0.98883</v>
      </c>
      <c r="LR1264" s="2">
        <v>1.00095</v>
      </c>
      <c r="LS1264" s="2">
        <v>0.99609</v>
      </c>
      <c r="LT1264" s="2">
        <v>1.00235</v>
      </c>
      <c r="LU1264" s="2">
        <v>1.00272</v>
      </c>
      <c r="LV1264" s="2">
        <v>1.00517</v>
      </c>
      <c r="MA1264" s="2">
        <v>1.00944</v>
      </c>
      <c r="MB1264" s="2">
        <v>1.00284</v>
      </c>
      <c r="MC1264" s="2">
        <v>0.99885</v>
      </c>
      <c r="MD1264" s="2">
        <v>0.99816</v>
      </c>
      <c r="ME1264" s="2">
        <v>0.99782</v>
      </c>
      <c r="MF1264" s="2">
        <v>0.9946</v>
      </c>
      <c r="MG1264" s="2">
        <v>0.99063</v>
      </c>
      <c r="MH1264" s="2">
        <v>1.00073</v>
      </c>
      <c r="MI1264" s="2">
        <v>0.99601</v>
      </c>
      <c r="MJ1264" s="2">
        <v>1.00315</v>
      </c>
      <c r="MK1264" s="2">
        <v>1.00305</v>
      </c>
      <c r="ML1264" s="2">
        <v>1.00633</v>
      </c>
      <c r="MQ1264" s="2">
        <v>1.00947</v>
      </c>
      <c r="MR1264" s="2">
        <v>1.00199</v>
      </c>
      <c r="MS1264" s="2">
        <v>0.99854</v>
      </c>
      <c r="MT1264" s="2">
        <v>0.99754</v>
      </c>
      <c r="MU1264" s="2">
        <v>0.99724</v>
      </c>
      <c r="MV1264" s="2">
        <v>0.99252</v>
      </c>
      <c r="MW1264" s="2">
        <v>0.99299</v>
      </c>
      <c r="MX1264" s="2">
        <v>1.00096</v>
      </c>
      <c r="MY1264" s="2">
        <v>0.99572</v>
      </c>
      <c r="MZ1264" s="2">
        <v>1.0033</v>
      </c>
      <c r="NA1264" s="2">
        <v>1.00383</v>
      </c>
      <c r="NB1264" s="2">
        <v>1.00695</v>
      </c>
      <c r="NG1264" s="2">
        <v>1.0107</v>
      </c>
      <c r="NH1264" s="2">
        <v>1.00008</v>
      </c>
      <c r="NI1264" s="2">
        <v>0.99902</v>
      </c>
      <c r="NJ1264" s="2">
        <v>0.99695</v>
      </c>
      <c r="NK1264" s="2">
        <v>0.9957</v>
      </c>
      <c r="NL1264" s="2">
        <v>0.99125</v>
      </c>
      <c r="NM1264" s="2">
        <v>0.99516</v>
      </c>
      <c r="NN1264" s="2">
        <v>1.00095</v>
      </c>
      <c r="NO1264" s="2">
        <v>0.99563</v>
      </c>
      <c r="NP1264" s="2">
        <v>1.00397</v>
      </c>
      <c r="NQ1264" s="2">
        <v>1.00441</v>
      </c>
      <c r="NR1264" s="2">
        <v>1.00667</v>
      </c>
      <c r="NW1264" s="2">
        <v>1.0119</v>
      </c>
      <c r="NX1264" s="2">
        <v>0.9986</v>
      </c>
      <c r="NY1264" s="2">
        <v>0.99934</v>
      </c>
      <c r="NZ1264" s="2">
        <v>0.99663</v>
      </c>
      <c r="OA1264" s="2">
        <v>0.99442</v>
      </c>
      <c r="OB1264" s="2">
        <v>0.99059</v>
      </c>
      <c r="OC1264" s="2">
        <v>0.99625</v>
      </c>
      <c r="OD1264" s="2">
        <v>1.00141</v>
      </c>
      <c r="OE1264" s="2">
        <v>0.99602</v>
      </c>
      <c r="OF1264" s="2">
        <v>1.00391</v>
      </c>
      <c r="OG1264" s="2">
        <v>1.00482</v>
      </c>
      <c r="OH1264" s="2">
        <v>1.00628</v>
      </c>
      <c r="OM1264" s="2">
        <v>1.01298</v>
      </c>
      <c r="ON1264" s="2">
        <v>0.99708</v>
      </c>
      <c r="OO1264" s="2">
        <v>1.00008</v>
      </c>
      <c r="OP1264" s="2">
        <v>0.99607</v>
      </c>
      <c r="OQ1264" s="2">
        <v>0.99347</v>
      </c>
      <c r="OR1264" s="2">
        <v>0.99108</v>
      </c>
      <c r="OS1264" s="2">
        <v>0.9967</v>
      </c>
      <c r="OT1264" s="2">
        <v>1.00137</v>
      </c>
      <c r="OU1264" s="2">
        <v>0.99625</v>
      </c>
      <c r="OV1264" s="2">
        <v>1.00407</v>
      </c>
      <c r="OW1264" s="2">
        <v>1.00517</v>
      </c>
      <c r="OX1264" s="2">
        <v>1.00543</v>
      </c>
      <c r="PC1264" s="2">
        <v>1.01376</v>
      </c>
      <c r="PD1264" s="2">
        <v>0.99632</v>
      </c>
      <c r="PE1264" s="2">
        <v>1.00044</v>
      </c>
      <c r="PF1264" s="2">
        <v>0.9958900000000001</v>
      </c>
      <c r="PG1264" s="2">
        <v>0.99296</v>
      </c>
      <c r="PH1264" s="2">
        <v>0.99173</v>
      </c>
      <c r="PI1264" s="2">
        <v>0.99677</v>
      </c>
    </row>
    <row r="1265">
      <c r="A1265" t="inlineStr">
        <is>
          <t>A130576755F</t>
        </is>
      </c>
      <c r="B1265" t="inlineStr">
        <is>
          <t>Combined Seasonal Adjustment Factors ;  Australia ;  Breakfast cereals ;</t>
        </is>
      </c>
      <c r="C1265" t="inlineStr">
        <is>
          <t>Month</t>
        </is>
      </c>
      <c r="D1265" t="inlineStr">
        <is>
          <t>Number</t>
        </is>
      </c>
      <c r="E1265" t="inlineStr">
        <is>
          <t>Original</t>
        </is>
      </c>
      <c r="F1265" t="inlineStr">
        <is>
          <t>640108.xlsx</t>
        </is>
      </c>
      <c r="G1265" t="inlineStr">
        <is>
          <t>2017-09</t>
        </is>
      </c>
      <c r="H1265" t="inlineStr">
        <is>
          <t>2026-07</t>
        </is>
      </c>
      <c r="JW1265" s="2">
        <v>0.99644</v>
      </c>
      <c r="JX1265" s="2">
        <v>0.98767</v>
      </c>
      <c r="JY1265" s="2">
        <v>1.0073</v>
      </c>
      <c r="JZ1265" s="2">
        <v>1.0251</v>
      </c>
      <c r="KE1265" s="2">
        <v>1.00385</v>
      </c>
      <c r="KF1265" s="2">
        <v>0.99829</v>
      </c>
      <c r="KG1265" s="2">
        <v>1.00586</v>
      </c>
      <c r="KH1265" s="2">
        <v>1.00185</v>
      </c>
      <c r="KI1265" s="2">
        <v>0.99221</v>
      </c>
      <c r="KJ1265" s="2">
        <v>0.99115</v>
      </c>
      <c r="KK1265" s="2">
        <v>0.98566</v>
      </c>
      <c r="KL1265" s="2">
        <v>1.00327</v>
      </c>
      <c r="KM1265" s="2">
        <v>0.9977</v>
      </c>
      <c r="KN1265" s="2">
        <v>0.98742</v>
      </c>
      <c r="KO1265" s="2">
        <v>1.00819</v>
      </c>
      <c r="KP1265" s="2">
        <v>1.02478</v>
      </c>
      <c r="KU1265" s="2">
        <v>1.00507</v>
      </c>
      <c r="KV1265" s="2">
        <v>0.99685</v>
      </c>
      <c r="KW1265" s="2">
        <v>1.00548</v>
      </c>
      <c r="KX1265" s="2">
        <v>1.00141</v>
      </c>
      <c r="KY1265" s="2">
        <v>0.99183</v>
      </c>
      <c r="KZ1265" s="2">
        <v>0.9913999999999999</v>
      </c>
      <c r="LA1265" s="2">
        <v>0.98585</v>
      </c>
      <c r="LB1265" s="2">
        <v>1.00323</v>
      </c>
      <c r="LC1265" s="2">
        <v>0.9995000000000001</v>
      </c>
      <c r="LD1265" s="2">
        <v>0.98617</v>
      </c>
      <c r="LE1265" s="2">
        <v>1.00932</v>
      </c>
      <c r="LF1265" s="2">
        <v>1.02521</v>
      </c>
      <c r="LK1265" s="2">
        <v>1.00705</v>
      </c>
      <c r="LL1265" s="2">
        <v>0.99324</v>
      </c>
      <c r="LM1265" s="2">
        <v>1.00548</v>
      </c>
      <c r="LN1265" s="2">
        <v>1.00089</v>
      </c>
      <c r="LO1265" s="2">
        <v>0.99153</v>
      </c>
      <c r="LP1265" s="2">
        <v>0.99131</v>
      </c>
      <c r="LQ1265" s="2">
        <v>0.98607</v>
      </c>
      <c r="LR1265" s="2">
        <v>1.00282</v>
      </c>
      <c r="LS1265" s="2">
        <v>1.00141</v>
      </c>
      <c r="LT1265" s="2">
        <v>0.98443</v>
      </c>
      <c r="LU1265" s="2">
        <v>1.01045</v>
      </c>
      <c r="LV1265" s="2">
        <v>1.0276</v>
      </c>
      <c r="MA1265" s="2">
        <v>1.00932</v>
      </c>
      <c r="MB1265" s="2">
        <v>0.9893999999999999</v>
      </c>
      <c r="MC1265" s="2">
        <v>1.00501</v>
      </c>
      <c r="MD1265" s="2">
        <v>1.00005</v>
      </c>
      <c r="ME1265" s="2">
        <v>0.99202</v>
      </c>
      <c r="MF1265" s="2">
        <v>0.99056</v>
      </c>
      <c r="MG1265" s="2">
        <v>0.98468</v>
      </c>
      <c r="MH1265" s="2">
        <v>1.00252</v>
      </c>
      <c r="MI1265" s="2">
        <v>1.00324</v>
      </c>
      <c r="MJ1265" s="2">
        <v>0.98256</v>
      </c>
      <c r="MK1265" s="2">
        <v>1.0117</v>
      </c>
      <c r="ML1265" s="2">
        <v>1.03161</v>
      </c>
      <c r="MQ1265" s="2">
        <v>1.01238</v>
      </c>
      <c r="MR1265" s="2">
        <v>0.98621</v>
      </c>
      <c r="MS1265" s="2">
        <v>1.00409</v>
      </c>
      <c r="MT1265" s="2">
        <v>0.99793</v>
      </c>
      <c r="MU1265" s="2">
        <v>0.9925</v>
      </c>
      <c r="MV1265" s="2">
        <v>0.99</v>
      </c>
      <c r="MW1265" s="2">
        <v>0.98391</v>
      </c>
      <c r="MX1265" s="2">
        <v>1.00072</v>
      </c>
      <c r="MY1265" s="2">
        <v>1.00404</v>
      </c>
      <c r="MZ1265" s="2">
        <v>0.98176</v>
      </c>
      <c r="NA1265" s="2">
        <v>1.01192</v>
      </c>
      <c r="NB1265" s="2">
        <v>1.03652</v>
      </c>
      <c r="NG1265" s="2">
        <v>1.01425</v>
      </c>
      <c r="NH1265" s="2">
        <v>0.9862300000000001</v>
      </c>
      <c r="NI1265" s="2">
        <v>1.00405</v>
      </c>
      <c r="NJ1265" s="2">
        <v>0.99548</v>
      </c>
      <c r="NK1265" s="2">
        <v>0.99157</v>
      </c>
      <c r="NL1265" s="2">
        <v>0.98938</v>
      </c>
      <c r="NM1265" s="2">
        <v>0.9821800000000001</v>
      </c>
      <c r="NN1265" s="2">
        <v>0.99944</v>
      </c>
      <c r="NO1265" s="2">
        <v>1.00387</v>
      </c>
      <c r="NP1265" s="2">
        <v>0.98185</v>
      </c>
      <c r="NQ1265" s="2">
        <v>1.01167</v>
      </c>
      <c r="NR1265" s="2">
        <v>1.04114</v>
      </c>
      <c r="NW1265" s="2">
        <v>1.01543</v>
      </c>
      <c r="NX1265" s="2">
        <v>0.98751</v>
      </c>
      <c r="NY1265" s="2">
        <v>1.00528</v>
      </c>
      <c r="NZ1265" s="2">
        <v>0.99341</v>
      </c>
      <c r="OA1265" s="2">
        <v>0.98971</v>
      </c>
      <c r="OB1265" s="2">
        <v>0.98852</v>
      </c>
      <c r="OC1265" s="2">
        <v>0.98131</v>
      </c>
      <c r="OD1265" s="2">
        <v>0.99761</v>
      </c>
      <c r="OE1265" s="2">
        <v>1.00221</v>
      </c>
      <c r="OF1265" s="2">
        <v>0.98343</v>
      </c>
      <c r="OG1265" s="2">
        <v>1.0117</v>
      </c>
      <c r="OH1265" s="2">
        <v>1.04422</v>
      </c>
      <c r="OM1265" s="2">
        <v>1.01515</v>
      </c>
      <c r="ON1265" s="2">
        <v>0.99016</v>
      </c>
      <c r="OO1265" s="2">
        <v>1.00693</v>
      </c>
      <c r="OP1265" s="2">
        <v>0.99285</v>
      </c>
      <c r="OQ1265" s="2">
        <v>0.98749</v>
      </c>
      <c r="OR1265" s="2">
        <v>0.98685</v>
      </c>
      <c r="OS1265" s="2">
        <v>0.97978</v>
      </c>
      <c r="OT1265" s="2">
        <v>0.99743</v>
      </c>
      <c r="OU1265" s="2">
        <v>1.00105</v>
      </c>
      <c r="OV1265" s="2">
        <v>0.98455</v>
      </c>
      <c r="OW1265" s="2">
        <v>1.01189</v>
      </c>
      <c r="OX1265" s="2">
        <v>1.0453</v>
      </c>
      <c r="PC1265" s="2">
        <v>1.01529</v>
      </c>
      <c r="PD1265" s="2">
        <v>0.99235</v>
      </c>
      <c r="PE1265" s="2">
        <v>1.00798</v>
      </c>
      <c r="PF1265" s="2">
        <v>0.99222</v>
      </c>
      <c r="PG1265" s="2">
        <v>0.98599</v>
      </c>
      <c r="PH1265" s="2">
        <v>0.98604</v>
      </c>
      <c r="PI1265" s="2">
        <v>0.97943</v>
      </c>
    </row>
    <row r="1266">
      <c r="A1266" t="inlineStr">
        <is>
          <t>A130576780J</t>
        </is>
      </c>
      <c r="B1266" t="inlineStr">
        <is>
          <t>Combined Seasonal Adjustment Factors ;  Australia ;  Other cereal products ;</t>
        </is>
      </c>
      <c r="C1266" t="inlineStr">
        <is>
          <t>Month</t>
        </is>
      </c>
      <c r="D1266" t="inlineStr">
        <is>
          <t>Number</t>
        </is>
      </c>
      <c r="E1266" t="inlineStr">
        <is>
          <t>Original</t>
        </is>
      </c>
      <c r="F1266" t="inlineStr">
        <is>
          <t>640108.xlsx</t>
        </is>
      </c>
      <c r="G1266" t="inlineStr">
        <is>
          <t>2017-09</t>
        </is>
      </c>
      <c r="H1266" t="inlineStr">
        <is>
          <t>2026-07</t>
        </is>
      </c>
      <c r="JW1266" s="2">
        <v>0.9890099999999999</v>
      </c>
      <c r="JX1266" s="2">
        <v>0.99156</v>
      </c>
      <c r="JY1266" s="2">
        <v>0.98372</v>
      </c>
      <c r="JZ1266" s="2">
        <v>1.01315</v>
      </c>
      <c r="KE1266" s="2">
        <v>0.99847</v>
      </c>
      <c r="KF1266" s="2">
        <v>0.98681</v>
      </c>
      <c r="KG1266" s="2">
        <v>1.01382</v>
      </c>
      <c r="KH1266" s="2">
        <v>1.019</v>
      </c>
      <c r="KI1266" s="2">
        <v>1.01355</v>
      </c>
      <c r="KJ1266" s="2">
        <v>1.00025</v>
      </c>
      <c r="KK1266" s="2">
        <v>0.99356</v>
      </c>
      <c r="KL1266" s="2">
        <v>0.99643</v>
      </c>
      <c r="KM1266" s="2">
        <v>0.989</v>
      </c>
      <c r="KN1266" s="2">
        <v>0.9920600000000001</v>
      </c>
      <c r="KO1266" s="2">
        <v>0.98499</v>
      </c>
      <c r="KP1266" s="2">
        <v>1.01279</v>
      </c>
      <c r="KU1266" s="2">
        <v>0.99852</v>
      </c>
      <c r="KV1266" s="2">
        <v>0.9878</v>
      </c>
      <c r="KW1266" s="2">
        <v>1.01291</v>
      </c>
      <c r="KX1266" s="2">
        <v>1.01772</v>
      </c>
      <c r="KY1266" s="2">
        <v>1.01251</v>
      </c>
      <c r="KZ1266" s="2">
        <v>0.99964</v>
      </c>
      <c r="LA1266" s="2">
        <v>0.99385</v>
      </c>
      <c r="LB1266" s="2">
        <v>0.99691</v>
      </c>
      <c r="LC1266" s="2">
        <v>0.98975</v>
      </c>
      <c r="LD1266" s="2">
        <v>0.99268</v>
      </c>
      <c r="LE1266" s="2">
        <v>0.9872</v>
      </c>
      <c r="LF1266" s="2">
        <v>1.01174</v>
      </c>
      <c r="LK1266" s="2">
        <v>0.99838</v>
      </c>
      <c r="LL1266" s="2">
        <v>0.9901</v>
      </c>
      <c r="LM1266" s="2">
        <v>1.01147</v>
      </c>
      <c r="LN1266" s="2">
        <v>1.01562</v>
      </c>
      <c r="LO1266" s="2">
        <v>1.01055</v>
      </c>
      <c r="LP1266" s="2">
        <v>0.99857</v>
      </c>
      <c r="LQ1266" s="2">
        <v>0.9942800000000001</v>
      </c>
      <c r="LR1266" s="2">
        <v>0.9972800000000001</v>
      </c>
      <c r="LS1266" s="2">
        <v>0.99119</v>
      </c>
      <c r="LT1266" s="2">
        <v>0.99356</v>
      </c>
      <c r="LU1266" s="2">
        <v>0.98973</v>
      </c>
      <c r="LV1266" s="2">
        <v>1.01084</v>
      </c>
      <c r="MA1266" s="2">
        <v>0.9988</v>
      </c>
      <c r="MB1266" s="2">
        <v>0.99256</v>
      </c>
      <c r="MC1266" s="2">
        <v>1.01025</v>
      </c>
      <c r="MD1266" s="2">
        <v>1.01201</v>
      </c>
      <c r="ME1266" s="2">
        <v>1.00849</v>
      </c>
      <c r="MF1266" s="2">
        <v>0.99737</v>
      </c>
      <c r="MG1266" s="2">
        <v>0.995</v>
      </c>
      <c r="MH1266" s="2">
        <v>0.99708</v>
      </c>
      <c r="MI1266" s="2">
        <v>0.99261</v>
      </c>
      <c r="MJ1266" s="2">
        <v>0.99391</v>
      </c>
      <c r="MK1266" s="2">
        <v>0.99288</v>
      </c>
      <c r="ML1266" s="2">
        <v>1.0112</v>
      </c>
      <c r="MQ1266" s="2">
        <v>0.99997</v>
      </c>
      <c r="MR1266" s="2">
        <v>0.99486</v>
      </c>
      <c r="MS1266" s="2">
        <v>1.00873</v>
      </c>
      <c r="MT1266" s="2">
        <v>1.0081</v>
      </c>
      <c r="MU1266" s="2">
        <v>1.00572</v>
      </c>
      <c r="MV1266" s="2">
        <v>0.99578</v>
      </c>
      <c r="MW1266" s="2">
        <v>0.99555</v>
      </c>
      <c r="MX1266" s="2">
        <v>0.99722</v>
      </c>
      <c r="MY1266" s="2">
        <v>0.99452</v>
      </c>
      <c r="MZ1266" s="2">
        <v>0.9938</v>
      </c>
      <c r="NA1266" s="2">
        <v>0.99543</v>
      </c>
      <c r="NB1266" s="2">
        <v>1.01222</v>
      </c>
      <c r="NG1266" s="2">
        <v>1.00162</v>
      </c>
      <c r="NH1266" s="2">
        <v>0.99651</v>
      </c>
      <c r="NI1266" s="2">
        <v>1.00787</v>
      </c>
      <c r="NJ1266" s="2">
        <v>1.00399</v>
      </c>
      <c r="NK1266" s="2">
        <v>1.00339</v>
      </c>
      <c r="NL1266" s="2">
        <v>0.99452</v>
      </c>
      <c r="NM1266" s="2">
        <v>0.99603</v>
      </c>
      <c r="NN1266" s="2">
        <v>0.99718</v>
      </c>
      <c r="NO1266" s="2">
        <v>0.9962800000000001</v>
      </c>
      <c r="NP1266" s="2">
        <v>0.9930099999999999</v>
      </c>
      <c r="NQ1266" s="2">
        <v>0.99729</v>
      </c>
      <c r="NR1266" s="2">
        <v>1.01371</v>
      </c>
      <c r="NW1266" s="2">
        <v>1.003</v>
      </c>
      <c r="NX1266" s="2">
        <v>0.9979</v>
      </c>
      <c r="NY1266" s="2">
        <v>1.00702</v>
      </c>
      <c r="NZ1266" s="2">
        <v>1.00157</v>
      </c>
      <c r="OA1266" s="2">
        <v>1.00123</v>
      </c>
      <c r="OB1266" s="2">
        <v>0.99364</v>
      </c>
      <c r="OC1266" s="2">
        <v>0.99579</v>
      </c>
      <c r="OD1266" s="2">
        <v>0.99707</v>
      </c>
      <c r="OE1266" s="2">
        <v>0.99835</v>
      </c>
      <c r="OF1266" s="2">
        <v>0.99238</v>
      </c>
      <c r="OG1266" s="2">
        <v>0.99774</v>
      </c>
      <c r="OH1266" s="2">
        <v>1.0148</v>
      </c>
      <c r="OM1266" s="2">
        <v>1.00427</v>
      </c>
      <c r="ON1266" s="2">
        <v>0.99852</v>
      </c>
      <c r="OO1266" s="2">
        <v>1.00668</v>
      </c>
      <c r="OP1266" s="2">
        <v>1.00006</v>
      </c>
      <c r="OQ1266" s="2">
        <v>1.00026</v>
      </c>
      <c r="OR1266" s="2">
        <v>0.99354</v>
      </c>
      <c r="OS1266" s="2">
        <v>0.99551</v>
      </c>
      <c r="OT1266" s="2">
        <v>0.9963</v>
      </c>
      <c r="OU1266" s="2">
        <v>0.99916</v>
      </c>
      <c r="OV1266" s="2">
        <v>0.9922299999999999</v>
      </c>
      <c r="OW1266" s="2">
        <v>0.99804</v>
      </c>
      <c r="OX1266" s="2">
        <v>1.01572</v>
      </c>
      <c r="PC1266" s="2">
        <v>1.00512</v>
      </c>
      <c r="PD1266" s="2">
        <v>0.99866</v>
      </c>
      <c r="PE1266" s="2">
        <v>1.00626</v>
      </c>
      <c r="PF1266" s="2">
        <v>0.99973</v>
      </c>
      <c r="PG1266" s="2">
        <v>0.99974</v>
      </c>
      <c r="PH1266" s="2">
        <v>0.99368</v>
      </c>
      <c r="PI1266" s="2">
        <v>0.99482</v>
      </c>
    </row>
    <row r="1267">
      <c r="A1267" t="inlineStr">
        <is>
          <t>A130576734V</t>
        </is>
      </c>
      <c r="B1267" t="inlineStr">
        <is>
          <t>Combined Seasonal Adjustment Factors ;  Australia ;  Beef and veal ;</t>
        </is>
      </c>
      <c r="C1267" t="inlineStr">
        <is>
          <t>Month</t>
        </is>
      </c>
      <c r="D1267" t="inlineStr">
        <is>
          <t>Number</t>
        </is>
      </c>
      <c r="E1267" t="inlineStr">
        <is>
          <t>Original</t>
        </is>
      </c>
      <c r="F1267" t="inlineStr">
        <is>
          <t>640108.xlsx</t>
        </is>
      </c>
      <c r="G1267" t="inlineStr">
        <is>
          <t>2017-09</t>
        </is>
      </c>
      <c r="H1267" t="inlineStr">
        <is>
          <t>2026-07</t>
        </is>
      </c>
      <c r="JW1267" s="2">
        <v>0.99404</v>
      </c>
      <c r="JX1267" s="2">
        <v>0.9959</v>
      </c>
      <c r="JY1267" s="2">
        <v>0.99373</v>
      </c>
      <c r="JZ1267" s="2">
        <v>0.99712</v>
      </c>
      <c r="KE1267" s="2">
        <v>1.00384</v>
      </c>
      <c r="KF1267" s="2">
        <v>1.00563</v>
      </c>
      <c r="KG1267" s="2">
        <v>1.00899</v>
      </c>
      <c r="KH1267" s="2">
        <v>1.00733</v>
      </c>
      <c r="KI1267" s="2">
        <v>1.00122</v>
      </c>
      <c r="KJ1267" s="2">
        <v>0.99827</v>
      </c>
      <c r="KK1267" s="2">
        <v>0.99544</v>
      </c>
      <c r="KL1267" s="2">
        <v>0.99868</v>
      </c>
      <c r="KM1267" s="2">
        <v>0.99391</v>
      </c>
      <c r="KN1267" s="2">
        <v>0.99563</v>
      </c>
      <c r="KO1267" s="2">
        <v>0.99371</v>
      </c>
      <c r="KP1267" s="2">
        <v>0.9976</v>
      </c>
      <c r="KU1267" s="2">
        <v>1.00364</v>
      </c>
      <c r="KV1267" s="2">
        <v>1.00543</v>
      </c>
      <c r="KW1267" s="2">
        <v>1.00846</v>
      </c>
      <c r="KX1267" s="2">
        <v>1.00722</v>
      </c>
      <c r="KY1267" s="2">
        <v>1.00194</v>
      </c>
      <c r="KZ1267" s="2">
        <v>0.99829</v>
      </c>
      <c r="LA1267" s="2">
        <v>0.99602</v>
      </c>
      <c r="LB1267" s="2">
        <v>0.99866</v>
      </c>
      <c r="LC1267" s="2">
        <v>0.99404</v>
      </c>
      <c r="LD1267" s="2">
        <v>0.9951100000000001</v>
      </c>
      <c r="LE1267" s="2">
        <v>0.99338</v>
      </c>
      <c r="LF1267" s="2">
        <v>0.99859</v>
      </c>
      <c r="LK1267" s="2">
        <v>1.00308</v>
      </c>
      <c r="LL1267" s="2">
        <v>1.00487</v>
      </c>
      <c r="LM1267" s="2">
        <v>1.00757</v>
      </c>
      <c r="LN1267" s="2">
        <v>1.00698</v>
      </c>
      <c r="LO1267" s="2">
        <v>1.00303</v>
      </c>
      <c r="LP1267" s="2">
        <v>0.9983</v>
      </c>
      <c r="LQ1267" s="2">
        <v>0.9968900000000001</v>
      </c>
      <c r="LR1267" s="2">
        <v>0.99863</v>
      </c>
      <c r="LS1267" s="2">
        <v>0.9942299999999999</v>
      </c>
      <c r="LT1267" s="2">
        <v>0.99497</v>
      </c>
      <c r="LU1267" s="2">
        <v>0.9930600000000001</v>
      </c>
      <c r="LV1267" s="2">
        <v>0.99956</v>
      </c>
      <c r="MA1267" s="2">
        <v>1.00293</v>
      </c>
      <c r="MB1267" s="2">
        <v>1.00386</v>
      </c>
      <c r="MC1267" s="2">
        <v>1.00632</v>
      </c>
      <c r="MD1267" s="2">
        <v>1.00661</v>
      </c>
      <c r="ME1267" s="2">
        <v>1.00402</v>
      </c>
      <c r="MF1267" s="2">
        <v>0.99794</v>
      </c>
      <c r="MG1267" s="2">
        <v>0.99777</v>
      </c>
      <c r="MH1267" s="2">
        <v>0.9987200000000001</v>
      </c>
      <c r="MI1267" s="2">
        <v>0.9946199999999999</v>
      </c>
      <c r="MJ1267" s="2">
        <v>0.99482</v>
      </c>
      <c r="MK1267" s="2">
        <v>0.99371</v>
      </c>
      <c r="ML1267" s="2">
        <v>1.00032</v>
      </c>
      <c r="MQ1267" s="2">
        <v>1.00295</v>
      </c>
      <c r="MR1267" s="2">
        <v>1.00275</v>
      </c>
      <c r="MS1267" s="2">
        <v>1.00511</v>
      </c>
      <c r="MT1267" s="2">
        <v>1.00582</v>
      </c>
      <c r="MU1267" s="2">
        <v>1.00469</v>
      </c>
      <c r="MV1267" s="2">
        <v>0.99743</v>
      </c>
      <c r="MW1267" s="2">
        <v>0.99798</v>
      </c>
      <c r="MX1267" s="2">
        <v>0.99873</v>
      </c>
      <c r="MY1267" s="2">
        <v>0.99516</v>
      </c>
      <c r="MZ1267" s="2">
        <v>0.99547</v>
      </c>
      <c r="NA1267" s="2">
        <v>0.9952</v>
      </c>
      <c r="NB1267" s="2">
        <v>1.00042</v>
      </c>
      <c r="NG1267" s="2">
        <v>1.00335</v>
      </c>
      <c r="NH1267" s="2">
        <v>1.00208</v>
      </c>
      <c r="NI1267" s="2">
        <v>1.00418</v>
      </c>
      <c r="NJ1267" s="2">
        <v>1.00464</v>
      </c>
      <c r="NK1267" s="2">
        <v>1.00441</v>
      </c>
      <c r="NL1267" s="2">
        <v>0.99683</v>
      </c>
      <c r="NM1267" s="2">
        <v>0.99744</v>
      </c>
      <c r="NN1267" s="2">
        <v>0.99869</v>
      </c>
      <c r="NO1267" s="2">
        <v>0.99618</v>
      </c>
      <c r="NP1267" s="2">
        <v>0.9964499999999999</v>
      </c>
      <c r="NQ1267" s="2">
        <v>0.99721</v>
      </c>
      <c r="NR1267" s="2">
        <v>1.00039</v>
      </c>
      <c r="NW1267" s="2">
        <v>1.00364</v>
      </c>
      <c r="NX1267" s="2">
        <v>1.00178</v>
      </c>
      <c r="NY1267" s="2">
        <v>1.00379</v>
      </c>
      <c r="NZ1267" s="2">
        <v>1.00323</v>
      </c>
      <c r="OA1267" s="2">
        <v>1.00341</v>
      </c>
      <c r="OB1267" s="2">
        <v>0.9965000000000001</v>
      </c>
      <c r="OC1267" s="2">
        <v>0.99625</v>
      </c>
      <c r="OD1267" s="2">
        <v>0.99863</v>
      </c>
      <c r="OE1267" s="2">
        <v>0.99712</v>
      </c>
      <c r="OF1267" s="2">
        <v>0.9979</v>
      </c>
      <c r="OG1267" s="2">
        <v>0.99897</v>
      </c>
      <c r="OH1267" s="2">
        <v>1.0004</v>
      </c>
      <c r="OM1267" s="2">
        <v>1.0041</v>
      </c>
      <c r="ON1267" s="2">
        <v>1.00144</v>
      </c>
      <c r="OO1267" s="2">
        <v>1.00349</v>
      </c>
      <c r="OP1267" s="2">
        <v>1.00204</v>
      </c>
      <c r="OQ1267" s="2">
        <v>1.00228</v>
      </c>
      <c r="OR1267" s="2">
        <v>0.9965000000000001</v>
      </c>
      <c r="OS1267" s="2">
        <v>0.9951100000000001</v>
      </c>
      <c r="OT1267" s="2">
        <v>0.99868</v>
      </c>
      <c r="OU1267" s="2">
        <v>0.99779</v>
      </c>
      <c r="OV1267" s="2">
        <v>0.99888</v>
      </c>
      <c r="OW1267" s="2">
        <v>1.0003</v>
      </c>
      <c r="OX1267" s="2">
        <v>1.00052</v>
      </c>
      <c r="PC1267" s="2">
        <v>1.00441</v>
      </c>
      <c r="PD1267" s="2">
        <v>1.00118</v>
      </c>
      <c r="PE1267" s="2">
        <v>1.00345</v>
      </c>
      <c r="PF1267" s="2">
        <v>1.00116</v>
      </c>
      <c r="PG1267" s="2">
        <v>1.00136</v>
      </c>
      <c r="PH1267" s="2">
        <v>0.99673</v>
      </c>
      <c r="PI1267" s="2">
        <v>0.99436</v>
      </c>
    </row>
    <row r="1268">
      <c r="A1268" t="inlineStr">
        <is>
          <t>A130576753A</t>
        </is>
      </c>
      <c r="B1268" t="inlineStr">
        <is>
          <t>Combined Seasonal Adjustment Factors ;  Australia ;  Pork ;</t>
        </is>
      </c>
      <c r="C1268" t="inlineStr">
        <is>
          <t>Month</t>
        </is>
      </c>
      <c r="D1268" t="inlineStr">
        <is>
          <t>Number</t>
        </is>
      </c>
      <c r="E1268" t="inlineStr">
        <is>
          <t>Original</t>
        </is>
      </c>
      <c r="F1268" t="inlineStr">
        <is>
          <t>640108.xlsx</t>
        </is>
      </c>
      <c r="G1268" t="inlineStr">
        <is>
          <t>2017-09</t>
        </is>
      </c>
      <c r="H1268" t="inlineStr">
        <is>
          <t>2026-07</t>
        </is>
      </c>
      <c r="JW1268" s="2">
        <v>1.0025</v>
      </c>
      <c r="JX1268" s="2">
        <v>0.99957</v>
      </c>
      <c r="JY1268" s="2">
        <v>1.00437</v>
      </c>
      <c r="JZ1268" s="2">
        <v>1.00412</v>
      </c>
      <c r="KE1268" s="2">
        <v>1.00536</v>
      </c>
      <c r="KF1268" s="2">
        <v>1.00797</v>
      </c>
      <c r="KG1268" s="2">
        <v>1.00463</v>
      </c>
      <c r="KH1268" s="2">
        <v>0.9974499999999999</v>
      </c>
      <c r="KI1268" s="2">
        <v>0.9971</v>
      </c>
      <c r="KJ1268" s="2">
        <v>0.98876</v>
      </c>
      <c r="KK1268" s="2">
        <v>0.99129</v>
      </c>
      <c r="KL1268" s="2">
        <v>0.99714</v>
      </c>
      <c r="KM1268" s="2">
        <v>1.00225</v>
      </c>
      <c r="KN1268" s="2">
        <v>0.9992799999999999</v>
      </c>
      <c r="KO1268" s="2">
        <v>1.00446</v>
      </c>
      <c r="KP1268" s="2">
        <v>1.00387</v>
      </c>
      <c r="KU1268" s="2">
        <v>1.00575</v>
      </c>
      <c r="KV1268" s="2">
        <v>1.00825</v>
      </c>
      <c r="KW1268" s="2">
        <v>1.00464</v>
      </c>
      <c r="KX1268" s="2">
        <v>0.99716</v>
      </c>
      <c r="KY1268" s="2">
        <v>0.99769</v>
      </c>
      <c r="KZ1268" s="2">
        <v>0.98899</v>
      </c>
      <c r="LA1268" s="2">
        <v>0.99117</v>
      </c>
      <c r="LB1268" s="2">
        <v>0.99685</v>
      </c>
      <c r="LC1268" s="2">
        <v>1.00133</v>
      </c>
      <c r="LD1268" s="2">
        <v>0.99862</v>
      </c>
      <c r="LE1268" s="2">
        <v>1.00494</v>
      </c>
      <c r="LF1268" s="2">
        <v>1.00359</v>
      </c>
      <c r="LK1268" s="2">
        <v>1.0064</v>
      </c>
      <c r="LL1268" s="2">
        <v>1.009</v>
      </c>
      <c r="LM1268" s="2">
        <v>1.00501</v>
      </c>
      <c r="LN1268" s="2">
        <v>0.99676</v>
      </c>
      <c r="LO1268" s="2">
        <v>0.99829</v>
      </c>
      <c r="LP1268" s="2">
        <v>0.98922</v>
      </c>
      <c r="LQ1268" s="2">
        <v>0.99092</v>
      </c>
      <c r="LR1268" s="2">
        <v>0.99614</v>
      </c>
      <c r="LS1268" s="2">
        <v>0.99987</v>
      </c>
      <c r="LT1268" s="2">
        <v>0.99835</v>
      </c>
      <c r="LU1268" s="2">
        <v>1.00586</v>
      </c>
      <c r="LV1268" s="2">
        <v>1.00307</v>
      </c>
      <c r="MA1268" s="2">
        <v>1.00715</v>
      </c>
      <c r="MB1268" s="2">
        <v>1.0093</v>
      </c>
      <c r="MC1268" s="2">
        <v>1.00532</v>
      </c>
      <c r="MD1268" s="2">
        <v>0.99692</v>
      </c>
      <c r="ME1268" s="2">
        <v>0.99931</v>
      </c>
      <c r="MF1268" s="2">
        <v>0.98929</v>
      </c>
      <c r="MG1268" s="2">
        <v>0.99097</v>
      </c>
      <c r="MH1268" s="2">
        <v>0.99527</v>
      </c>
      <c r="MI1268" s="2">
        <v>0.9976</v>
      </c>
      <c r="MJ1268" s="2">
        <v>0.99825</v>
      </c>
      <c r="MK1268" s="2">
        <v>1.00665</v>
      </c>
      <c r="ML1268" s="2">
        <v>1.00261</v>
      </c>
      <c r="MQ1268" s="2">
        <v>1.00793</v>
      </c>
      <c r="MR1268" s="2">
        <v>1.00953</v>
      </c>
      <c r="MS1268" s="2">
        <v>1.0059</v>
      </c>
      <c r="MT1268" s="2">
        <v>0.99703</v>
      </c>
      <c r="MU1268" s="2">
        <v>1.00032</v>
      </c>
      <c r="MV1268" s="2">
        <v>0.98938</v>
      </c>
      <c r="MW1268" s="2">
        <v>0.991</v>
      </c>
      <c r="MX1268" s="2">
        <v>0.99457</v>
      </c>
      <c r="MY1268" s="2">
        <v>0.99573</v>
      </c>
      <c r="MZ1268" s="2">
        <v>0.99839</v>
      </c>
      <c r="NA1268" s="2">
        <v>1.00708</v>
      </c>
      <c r="NB1268" s="2">
        <v>1.002</v>
      </c>
      <c r="NG1268" s="2">
        <v>1.00855</v>
      </c>
      <c r="NH1268" s="2">
        <v>1.00897</v>
      </c>
      <c r="NI1268" s="2">
        <v>1.00614</v>
      </c>
      <c r="NJ1268" s="2">
        <v>0.99776</v>
      </c>
      <c r="NK1268" s="2">
        <v>1.00165</v>
      </c>
      <c r="NL1268" s="2">
        <v>0.98949</v>
      </c>
      <c r="NM1268" s="2">
        <v>0.99132</v>
      </c>
      <c r="NN1268" s="2">
        <v>0.99416</v>
      </c>
      <c r="NO1268" s="2">
        <v>0.99416</v>
      </c>
      <c r="NP1268" s="2">
        <v>0.99834</v>
      </c>
      <c r="NQ1268" s="2">
        <v>1.00697</v>
      </c>
      <c r="NR1268" s="2">
        <v>1.00157</v>
      </c>
      <c r="NW1268" s="2">
        <v>1.00868</v>
      </c>
      <c r="NX1268" s="2">
        <v>1.00855</v>
      </c>
      <c r="NY1268" s="2">
        <v>1.00657</v>
      </c>
      <c r="NZ1268" s="2">
        <v>0.99838</v>
      </c>
      <c r="OA1268" s="2">
        <v>1.0023</v>
      </c>
      <c r="OB1268" s="2">
        <v>0.9897899999999999</v>
      </c>
      <c r="OC1268" s="2">
        <v>0.9916199999999999</v>
      </c>
      <c r="OD1268" s="2">
        <v>0.99395</v>
      </c>
      <c r="OE1268" s="2">
        <v>0.9936199999999999</v>
      </c>
      <c r="OF1268" s="2">
        <v>0.99829</v>
      </c>
      <c r="OG1268" s="2">
        <v>1.00687</v>
      </c>
      <c r="OH1268" s="2">
        <v>1.00106</v>
      </c>
      <c r="OM1268" s="2">
        <v>1.00858</v>
      </c>
      <c r="ON1268" s="2">
        <v>1.00774</v>
      </c>
      <c r="OO1268" s="2">
        <v>1.00644</v>
      </c>
      <c r="OP1268" s="2">
        <v>0.99919</v>
      </c>
      <c r="OQ1268" s="2">
        <v>1.00291</v>
      </c>
      <c r="OR1268" s="2">
        <v>0.9902</v>
      </c>
      <c r="OS1268" s="2">
        <v>0.99193</v>
      </c>
      <c r="OT1268" s="2">
        <v>0.99397</v>
      </c>
      <c r="OU1268" s="2">
        <v>0.99344</v>
      </c>
      <c r="OV1268" s="2">
        <v>0.99826</v>
      </c>
      <c r="OW1268" s="2">
        <v>1.00643</v>
      </c>
      <c r="OX1268" s="2">
        <v>1.00072</v>
      </c>
      <c r="PC1268" s="2">
        <v>1.0084</v>
      </c>
      <c r="PD1268" s="2">
        <v>1.0074</v>
      </c>
      <c r="PE1268" s="2">
        <v>1.00645</v>
      </c>
      <c r="PF1268" s="2">
        <v>0.99934</v>
      </c>
      <c r="PG1268" s="2">
        <v>1.00316</v>
      </c>
      <c r="PH1268" s="2">
        <v>0.99064</v>
      </c>
      <c r="PI1268" s="2">
        <v>0.99208</v>
      </c>
    </row>
    <row r="1269">
      <c r="A1269" t="inlineStr">
        <is>
          <t>A130576735W</t>
        </is>
      </c>
      <c r="B1269" t="inlineStr">
        <is>
          <t>Combined Seasonal Adjustment Factors ;  Australia ;  Lamb and goat ;</t>
        </is>
      </c>
      <c r="C1269" t="inlineStr">
        <is>
          <t>Month</t>
        </is>
      </c>
      <c r="D1269" t="inlineStr">
        <is>
          <t>Number</t>
        </is>
      </c>
      <c r="E1269" t="inlineStr">
        <is>
          <t>Original</t>
        </is>
      </c>
      <c r="F1269" t="inlineStr">
        <is>
          <t>640108.xlsx</t>
        </is>
      </c>
      <c r="G1269" t="inlineStr">
        <is>
          <t>2017-09</t>
        </is>
      </c>
      <c r="H1269" t="inlineStr">
        <is>
          <t>2026-07</t>
        </is>
      </c>
      <c r="JW1269" s="2">
        <v>0.98843</v>
      </c>
      <c r="JX1269" s="2">
        <v>0.99559</v>
      </c>
      <c r="JY1269" s="2">
        <v>0.99233</v>
      </c>
      <c r="JZ1269" s="2">
        <v>0.98744</v>
      </c>
      <c r="KE1269" s="2">
        <v>1.00061</v>
      </c>
      <c r="KF1269" s="2">
        <v>1.00317</v>
      </c>
      <c r="KG1269" s="2">
        <v>1.00626</v>
      </c>
      <c r="KH1269" s="2">
        <v>1.00719</v>
      </c>
      <c r="KI1269" s="2">
        <v>0.99932</v>
      </c>
      <c r="KJ1269" s="2">
        <v>1.00108</v>
      </c>
      <c r="KK1269" s="2">
        <v>1.00455</v>
      </c>
      <c r="KL1269" s="2">
        <v>1.01411</v>
      </c>
      <c r="KM1269" s="2">
        <v>0.98889</v>
      </c>
      <c r="KN1269" s="2">
        <v>0.99544</v>
      </c>
      <c r="KO1269" s="2">
        <v>0.99072</v>
      </c>
      <c r="KP1269" s="2">
        <v>0.9865</v>
      </c>
      <c r="KU1269" s="2">
        <v>1.00124</v>
      </c>
      <c r="KV1269" s="2">
        <v>1.00332</v>
      </c>
      <c r="KW1269" s="2">
        <v>1.00647</v>
      </c>
      <c r="KX1269" s="2">
        <v>1.0067</v>
      </c>
      <c r="KY1269" s="2">
        <v>1.00058</v>
      </c>
      <c r="KZ1269" s="2">
        <v>1.00251</v>
      </c>
      <c r="LA1269" s="2">
        <v>1.00615</v>
      </c>
      <c r="LB1269" s="2">
        <v>1.01389</v>
      </c>
      <c r="LC1269" s="2">
        <v>0.99012</v>
      </c>
      <c r="LD1269" s="2">
        <v>0.99392</v>
      </c>
      <c r="LE1269" s="2">
        <v>0.98783</v>
      </c>
      <c r="LF1269" s="2">
        <v>0.98458</v>
      </c>
      <c r="LK1269" s="2">
        <v>1.00165</v>
      </c>
      <c r="LL1269" s="2">
        <v>1.00363</v>
      </c>
      <c r="LM1269" s="2">
        <v>1.00574</v>
      </c>
      <c r="LN1269" s="2">
        <v>1.00539</v>
      </c>
      <c r="LO1269" s="2">
        <v>1.00262</v>
      </c>
      <c r="LP1269" s="2">
        <v>1.00466</v>
      </c>
      <c r="LQ1269" s="2">
        <v>1.00861</v>
      </c>
      <c r="LR1269" s="2">
        <v>1.01486</v>
      </c>
      <c r="LS1269" s="2">
        <v>0.99255</v>
      </c>
      <c r="LT1269" s="2">
        <v>0.9926700000000001</v>
      </c>
      <c r="LU1269" s="2">
        <v>0.9843499999999999</v>
      </c>
      <c r="LV1269" s="2">
        <v>0.98169</v>
      </c>
      <c r="MA1269" s="2">
        <v>1.0006</v>
      </c>
      <c r="MB1269" s="2">
        <v>1.00324</v>
      </c>
      <c r="MC1269" s="2">
        <v>1.00424</v>
      </c>
      <c r="MD1269" s="2">
        <v>1.00503</v>
      </c>
      <c r="ME1269" s="2">
        <v>1.00488</v>
      </c>
      <c r="MF1269" s="2">
        <v>1.00615</v>
      </c>
      <c r="MG1269" s="2">
        <v>1.01148</v>
      </c>
      <c r="MH1269" s="2">
        <v>1.01615</v>
      </c>
      <c r="MI1269" s="2">
        <v>0.99549</v>
      </c>
      <c r="MJ1269" s="2">
        <v>0.9915</v>
      </c>
      <c r="MK1269" s="2">
        <v>0.98231</v>
      </c>
      <c r="ML1269" s="2">
        <v>0.97998</v>
      </c>
      <c r="MQ1269" s="2">
        <v>0.9983</v>
      </c>
      <c r="MR1269" s="2">
        <v>1.00249</v>
      </c>
      <c r="MS1269" s="2">
        <v>1.00214</v>
      </c>
      <c r="MT1269" s="2">
        <v>1.00474</v>
      </c>
      <c r="MU1269" s="2">
        <v>1.007</v>
      </c>
      <c r="MV1269" s="2">
        <v>1.00578</v>
      </c>
      <c r="MW1269" s="2">
        <v>1.01218</v>
      </c>
      <c r="MX1269" s="2">
        <v>1.01722</v>
      </c>
      <c r="MY1269" s="2">
        <v>0.99998</v>
      </c>
      <c r="MZ1269" s="2">
        <v>0.99234</v>
      </c>
      <c r="NA1269" s="2">
        <v>0.98339</v>
      </c>
      <c r="NB1269" s="2">
        <v>0.97946</v>
      </c>
      <c r="NG1269" s="2">
        <v>0.99444</v>
      </c>
      <c r="NH1269" s="2">
        <v>1.00081</v>
      </c>
      <c r="NI1269" s="2">
        <v>1.00014</v>
      </c>
      <c r="NJ1269" s="2">
        <v>1.00395</v>
      </c>
      <c r="NK1269" s="2">
        <v>1.00821</v>
      </c>
      <c r="NL1269" s="2">
        <v>1.00381</v>
      </c>
      <c r="NM1269" s="2">
        <v>1.01123</v>
      </c>
      <c r="NN1269" s="2">
        <v>1.01725</v>
      </c>
      <c r="NO1269" s="2">
        <v>1.0049</v>
      </c>
      <c r="NP1269" s="2">
        <v>0.995</v>
      </c>
      <c r="NQ1269" s="2">
        <v>0.98743</v>
      </c>
      <c r="NR1269" s="2">
        <v>0.98067</v>
      </c>
      <c r="NW1269" s="2">
        <v>0.99026</v>
      </c>
      <c r="NX1269" s="2">
        <v>0.99923</v>
      </c>
      <c r="NY1269" s="2">
        <v>0.99824</v>
      </c>
      <c r="NZ1269" s="2">
        <v>1.00187</v>
      </c>
      <c r="OA1269" s="2">
        <v>1.00815</v>
      </c>
      <c r="OB1269" s="2">
        <v>1.00095</v>
      </c>
      <c r="OC1269" s="2">
        <v>1.00849</v>
      </c>
      <c r="OD1269" s="2">
        <v>1.01787</v>
      </c>
      <c r="OE1269" s="2">
        <v>1.01002</v>
      </c>
      <c r="OF1269" s="2">
        <v>0.99936</v>
      </c>
      <c r="OG1269" s="2">
        <v>0.99141</v>
      </c>
      <c r="OH1269" s="2">
        <v>0.9822</v>
      </c>
      <c r="OM1269" s="2">
        <v>0.98567</v>
      </c>
      <c r="ON1269" s="2">
        <v>0.99783</v>
      </c>
      <c r="OO1269" s="2">
        <v>0.99779</v>
      </c>
      <c r="OP1269" s="2">
        <v>0.99992</v>
      </c>
      <c r="OQ1269" s="2">
        <v>1.00671</v>
      </c>
      <c r="OR1269" s="2">
        <v>0.99834</v>
      </c>
      <c r="OS1269" s="2">
        <v>1.00635</v>
      </c>
      <c r="OT1269" s="2">
        <v>1.0184</v>
      </c>
      <c r="OU1269" s="2">
        <v>1.01338</v>
      </c>
      <c r="OV1269" s="2">
        <v>1.00301</v>
      </c>
      <c r="OW1269" s="2">
        <v>0.9946199999999999</v>
      </c>
      <c r="OX1269" s="2">
        <v>0.98394</v>
      </c>
      <c r="PC1269" s="2">
        <v>0.9825199999999999</v>
      </c>
      <c r="PD1269" s="2">
        <v>0.99726</v>
      </c>
      <c r="PE1269" s="2">
        <v>0.99805</v>
      </c>
      <c r="PF1269" s="2">
        <v>0.99812</v>
      </c>
      <c r="PG1269" s="2">
        <v>1.00519</v>
      </c>
      <c r="PH1269" s="2">
        <v>0.99659</v>
      </c>
      <c r="PI1269" s="2">
        <v>1.00447</v>
      </c>
    </row>
    <row r="1270">
      <c r="A1270" t="inlineStr">
        <is>
          <t>A130576781K</t>
        </is>
      </c>
      <c r="B1270" t="inlineStr">
        <is>
          <t>Combined Seasonal Adjustment Factors ;  Australia ;  Poultry ;</t>
        </is>
      </c>
      <c r="C1270" t="inlineStr">
        <is>
          <t>Month</t>
        </is>
      </c>
      <c r="D1270" t="inlineStr">
        <is>
          <t>Number</t>
        </is>
      </c>
      <c r="E1270" t="inlineStr">
        <is>
          <t>Original</t>
        </is>
      </c>
      <c r="F1270" t="inlineStr">
        <is>
          <t>640108.xlsx</t>
        </is>
      </c>
      <c r="G1270" t="inlineStr">
        <is>
          <t>2017-09</t>
        </is>
      </c>
      <c r="H1270" t="inlineStr">
        <is>
          <t>2026-07</t>
        </is>
      </c>
      <c r="JW1270" s="2">
        <v>0.9998</v>
      </c>
      <c r="JX1270" s="2">
        <v>0.99273</v>
      </c>
      <c r="JY1270" s="2">
        <v>0.99382</v>
      </c>
      <c r="JZ1270" s="2">
        <v>0.99747</v>
      </c>
      <c r="KE1270" s="2">
        <v>1.00566</v>
      </c>
      <c r="KF1270" s="2">
        <v>1.00624</v>
      </c>
      <c r="KG1270" s="2">
        <v>0.99983</v>
      </c>
      <c r="KH1270" s="2">
        <v>0.99804</v>
      </c>
      <c r="KI1270" s="2">
        <v>0.99604</v>
      </c>
      <c r="KJ1270" s="2">
        <v>0.99827</v>
      </c>
      <c r="KK1270" s="2">
        <v>1.00499</v>
      </c>
      <c r="KL1270" s="2">
        <v>1.00668</v>
      </c>
      <c r="KM1270" s="2">
        <v>1.00058</v>
      </c>
      <c r="KN1270" s="2">
        <v>0.99282</v>
      </c>
      <c r="KO1270" s="2">
        <v>0.9932800000000001</v>
      </c>
      <c r="KP1270" s="2">
        <v>0.9974</v>
      </c>
      <c r="KU1270" s="2">
        <v>1.00518</v>
      </c>
      <c r="KV1270" s="2">
        <v>1.00589</v>
      </c>
      <c r="KW1270" s="2">
        <v>1.00017</v>
      </c>
      <c r="KX1270" s="2">
        <v>0.99859</v>
      </c>
      <c r="KY1270" s="2">
        <v>0.99652</v>
      </c>
      <c r="KZ1270" s="2">
        <v>0.99795</v>
      </c>
      <c r="LA1270" s="2">
        <v>1.00448</v>
      </c>
      <c r="LB1270" s="2">
        <v>1.00668</v>
      </c>
      <c r="LC1270" s="2">
        <v>1.00193</v>
      </c>
      <c r="LD1270" s="2">
        <v>0.99308</v>
      </c>
      <c r="LE1270" s="2">
        <v>0.99277</v>
      </c>
      <c r="LF1270" s="2">
        <v>0.99758</v>
      </c>
      <c r="LK1270" s="2">
        <v>1.00393</v>
      </c>
      <c r="LL1270" s="2">
        <v>1.0049</v>
      </c>
      <c r="LM1270" s="2">
        <v>1.0003</v>
      </c>
      <c r="LN1270" s="2">
        <v>0.99925</v>
      </c>
      <c r="LO1270" s="2">
        <v>0.99782</v>
      </c>
      <c r="LP1270" s="2">
        <v>0.99735</v>
      </c>
      <c r="LQ1270" s="2">
        <v>1.00352</v>
      </c>
      <c r="LR1270" s="2">
        <v>1.0069</v>
      </c>
      <c r="LS1270" s="2">
        <v>1.00354</v>
      </c>
      <c r="LT1270" s="2">
        <v>0.99402</v>
      </c>
      <c r="LU1270" s="2">
        <v>0.99239</v>
      </c>
      <c r="LV1270" s="2">
        <v>0.99741</v>
      </c>
      <c r="MA1270" s="2">
        <v>1.00213</v>
      </c>
      <c r="MB1270" s="2">
        <v>1.00325</v>
      </c>
      <c r="MC1270" s="2">
        <v>1.00064</v>
      </c>
      <c r="MD1270" s="2">
        <v>1.00029</v>
      </c>
      <c r="ME1270" s="2">
        <v>0.99951</v>
      </c>
      <c r="MF1270" s="2">
        <v>0.99613</v>
      </c>
      <c r="MG1270" s="2">
        <v>1.00311</v>
      </c>
      <c r="MH1270" s="2">
        <v>1.0072</v>
      </c>
      <c r="MI1270" s="2">
        <v>1.00433</v>
      </c>
      <c r="MJ1270" s="2">
        <v>0.99531</v>
      </c>
      <c r="MK1270" s="2">
        <v>0.99252</v>
      </c>
      <c r="ML1270" s="2">
        <v>0.99673</v>
      </c>
      <c r="MQ1270" s="2">
        <v>1.00084</v>
      </c>
      <c r="MR1270" s="2">
        <v>1.00168</v>
      </c>
      <c r="MS1270" s="2">
        <v>1.00085</v>
      </c>
      <c r="MT1270" s="2">
        <v>1.0008</v>
      </c>
      <c r="MU1270" s="2">
        <v>1.00114</v>
      </c>
      <c r="MV1270" s="2">
        <v>0.99552</v>
      </c>
      <c r="MW1270" s="2">
        <v>1.0028</v>
      </c>
      <c r="MX1270" s="2">
        <v>1.00717</v>
      </c>
      <c r="MY1270" s="2">
        <v>1.00423</v>
      </c>
      <c r="MZ1270" s="2">
        <v>0.99698</v>
      </c>
      <c r="NA1270" s="2">
        <v>0.99294</v>
      </c>
      <c r="NB1270" s="2">
        <v>0.99588</v>
      </c>
      <c r="NG1270" s="2">
        <v>0.99995</v>
      </c>
      <c r="NH1270" s="2">
        <v>1.00044</v>
      </c>
      <c r="NI1270" s="2">
        <v>1.00144</v>
      </c>
      <c r="NJ1270" s="2">
        <v>1.00091</v>
      </c>
      <c r="NK1270" s="2">
        <v>1.00228</v>
      </c>
      <c r="NL1270" s="2">
        <v>0.995</v>
      </c>
      <c r="NM1270" s="2">
        <v>1.00279</v>
      </c>
      <c r="NN1270" s="2">
        <v>1.007</v>
      </c>
      <c r="NO1270" s="2">
        <v>1.0032</v>
      </c>
      <c r="NP1270" s="2">
        <v>0.99824</v>
      </c>
      <c r="NQ1270" s="2">
        <v>0.99393</v>
      </c>
      <c r="NR1270" s="2">
        <v>0.99529</v>
      </c>
      <c r="NW1270" s="2">
        <v>0.99986</v>
      </c>
      <c r="NX1270" s="2">
        <v>0.99998</v>
      </c>
      <c r="NY1270" s="2">
        <v>1.00168</v>
      </c>
      <c r="NZ1270" s="2">
        <v>1.00012</v>
      </c>
      <c r="OA1270" s="2">
        <v>1.00286</v>
      </c>
      <c r="OB1270" s="2">
        <v>0.99533</v>
      </c>
      <c r="OC1270" s="2">
        <v>1.0026</v>
      </c>
      <c r="OD1270" s="2">
        <v>1.00681</v>
      </c>
      <c r="OE1270" s="2">
        <v>1.00215</v>
      </c>
      <c r="OF1270" s="2">
        <v>0.99901</v>
      </c>
      <c r="OG1270" s="2">
        <v>0.99473</v>
      </c>
      <c r="OH1270" s="2">
        <v>0.99501</v>
      </c>
      <c r="OM1270" s="2">
        <v>1.00007</v>
      </c>
      <c r="ON1270" s="2">
        <v>0.99993</v>
      </c>
      <c r="OO1270" s="2">
        <v>1.00204</v>
      </c>
      <c r="OP1270" s="2">
        <v>0.9993</v>
      </c>
      <c r="OQ1270" s="2">
        <v>1.00278</v>
      </c>
      <c r="OR1270" s="2">
        <v>0.99549</v>
      </c>
      <c r="OS1270" s="2">
        <v>1.00286</v>
      </c>
      <c r="OT1270" s="2">
        <v>1.00673</v>
      </c>
      <c r="OU1270" s="2">
        <v>1.00115</v>
      </c>
      <c r="OV1270" s="2">
        <v>0.99919</v>
      </c>
      <c r="OW1270" s="2">
        <v>0.99531</v>
      </c>
      <c r="OX1270" s="2">
        <v>0.99488</v>
      </c>
      <c r="PC1270" s="2">
        <v>1.00071</v>
      </c>
      <c r="PD1270" s="2">
        <v>1.00028</v>
      </c>
      <c r="PE1270" s="2">
        <v>1.00215</v>
      </c>
      <c r="PF1270" s="2">
        <v>0.99846</v>
      </c>
      <c r="PG1270" s="2">
        <v>1.00229</v>
      </c>
      <c r="PH1270" s="2">
        <v>0.99612</v>
      </c>
      <c r="PI1270" s="2">
        <v>1.00304</v>
      </c>
    </row>
    <row r="1271">
      <c r="A1271" t="inlineStr">
        <is>
          <t>A130576756J</t>
        </is>
      </c>
      <c r="B1271" t="inlineStr">
        <is>
          <t>Combined Seasonal Adjustment Factors ;  Australia ;  Other meats ;</t>
        </is>
      </c>
      <c r="C1271" t="inlineStr">
        <is>
          <t>Month</t>
        </is>
      </c>
      <c r="D1271" t="inlineStr">
        <is>
          <t>Number</t>
        </is>
      </c>
      <c r="E1271" t="inlineStr">
        <is>
          <t>Original</t>
        </is>
      </c>
      <c r="F1271" t="inlineStr">
        <is>
          <t>640108.xlsx</t>
        </is>
      </c>
      <c r="G1271" t="inlineStr">
        <is>
          <t>2017-09</t>
        </is>
      </c>
      <c r="H1271" t="inlineStr">
        <is>
          <t>2026-07</t>
        </is>
      </c>
      <c r="JW1271" s="2">
        <v>0.9983</v>
      </c>
      <c r="JX1271" s="2">
        <v>0.99486</v>
      </c>
      <c r="JY1271" s="2">
        <v>1.00375</v>
      </c>
      <c r="JZ1271" s="2">
        <v>1.00372</v>
      </c>
      <c r="KE1271" s="2">
        <v>1.00096</v>
      </c>
      <c r="KF1271" s="2">
        <v>1.00204</v>
      </c>
      <c r="KG1271" s="2">
        <v>0.99816</v>
      </c>
      <c r="KH1271" s="2">
        <v>0.99918</v>
      </c>
      <c r="KI1271" s="2">
        <v>1.00236</v>
      </c>
      <c r="KJ1271" s="2">
        <v>0.99665</v>
      </c>
      <c r="KK1271" s="2">
        <v>0.99553</v>
      </c>
      <c r="KL1271" s="2">
        <v>1.00493</v>
      </c>
      <c r="KM1271" s="2">
        <v>0.99829</v>
      </c>
      <c r="KN1271" s="2">
        <v>0.99475</v>
      </c>
      <c r="KO1271" s="2">
        <v>1.00374</v>
      </c>
      <c r="KP1271" s="2">
        <v>1.00342</v>
      </c>
      <c r="KU1271" s="2">
        <v>1.00093</v>
      </c>
      <c r="KV1271" s="2">
        <v>1.00221</v>
      </c>
      <c r="KW1271" s="2">
        <v>0.9981</v>
      </c>
      <c r="KX1271" s="2">
        <v>0.99917</v>
      </c>
      <c r="KY1271" s="2">
        <v>1.00217</v>
      </c>
      <c r="KZ1271" s="2">
        <v>0.99651</v>
      </c>
      <c r="LA1271" s="2">
        <v>0.99593</v>
      </c>
      <c r="LB1271" s="2">
        <v>1.00477</v>
      </c>
      <c r="LC1271" s="2">
        <v>0.99855</v>
      </c>
      <c r="LD1271" s="2">
        <v>0.99444</v>
      </c>
      <c r="LE1271" s="2">
        <v>1.00334</v>
      </c>
      <c r="LF1271" s="2">
        <v>1.00354</v>
      </c>
      <c r="LK1271" s="2">
        <v>1.00102</v>
      </c>
      <c r="LL1271" s="2">
        <v>1.00272</v>
      </c>
      <c r="LM1271" s="2">
        <v>0.99857</v>
      </c>
      <c r="LN1271" s="2">
        <v>0.99888</v>
      </c>
      <c r="LO1271" s="2">
        <v>1.00186</v>
      </c>
      <c r="LP1271" s="2">
        <v>0.99585</v>
      </c>
      <c r="LQ1271" s="2">
        <v>0.99669</v>
      </c>
      <c r="LR1271" s="2">
        <v>1.00485</v>
      </c>
      <c r="LS1271" s="2">
        <v>0.99837</v>
      </c>
      <c r="LT1271" s="2">
        <v>0.99405</v>
      </c>
      <c r="LU1271" s="2">
        <v>1.00262</v>
      </c>
      <c r="LV1271" s="2">
        <v>1.0038</v>
      </c>
      <c r="MA1271" s="2">
        <v>1.0011</v>
      </c>
      <c r="MB1271" s="2">
        <v>1.00331</v>
      </c>
      <c r="MC1271" s="2">
        <v>0.99976</v>
      </c>
      <c r="MD1271" s="2">
        <v>0.99883</v>
      </c>
      <c r="ME1271" s="2">
        <v>1.00127</v>
      </c>
      <c r="MF1271" s="2">
        <v>0.99517</v>
      </c>
      <c r="MG1271" s="2">
        <v>0.99761</v>
      </c>
      <c r="MH1271" s="2">
        <v>1.00456</v>
      </c>
      <c r="MI1271" s="2">
        <v>0.9975000000000001</v>
      </c>
      <c r="MJ1271" s="2">
        <v>0.99412</v>
      </c>
      <c r="MK1271" s="2">
        <v>1.00168</v>
      </c>
      <c r="ML1271" s="2">
        <v>1.00391</v>
      </c>
      <c r="MQ1271" s="2">
        <v>1.0008</v>
      </c>
      <c r="MR1271" s="2">
        <v>1.00407</v>
      </c>
      <c r="MS1271" s="2">
        <v>1.0017</v>
      </c>
      <c r="MT1271" s="2">
        <v>0.9992</v>
      </c>
      <c r="MU1271" s="2">
        <v>1.00109</v>
      </c>
      <c r="MV1271" s="2">
        <v>0.9948399999999999</v>
      </c>
      <c r="MW1271" s="2">
        <v>0.9978900000000001</v>
      </c>
      <c r="MX1271" s="2">
        <v>1.00394</v>
      </c>
      <c r="MY1271" s="2">
        <v>0.99544</v>
      </c>
      <c r="MZ1271" s="2">
        <v>0.99433</v>
      </c>
      <c r="NA1271" s="2">
        <v>1.00102</v>
      </c>
      <c r="NB1271" s="2">
        <v>1.00419</v>
      </c>
      <c r="NG1271" s="2">
        <v>1.00069</v>
      </c>
      <c r="NH1271" s="2">
        <v>1.00456</v>
      </c>
      <c r="NI1271" s="2">
        <v>1.00397</v>
      </c>
      <c r="NJ1271" s="2">
        <v>0.99978</v>
      </c>
      <c r="NK1271" s="2">
        <v>1.00104</v>
      </c>
      <c r="NL1271" s="2">
        <v>0.9953</v>
      </c>
      <c r="NM1271" s="2">
        <v>0.99792</v>
      </c>
      <c r="NN1271" s="2">
        <v>1.00252</v>
      </c>
      <c r="NO1271" s="2">
        <v>0.99285</v>
      </c>
      <c r="NP1271" s="2">
        <v>0.99473</v>
      </c>
      <c r="NQ1271" s="2">
        <v>1.00036</v>
      </c>
      <c r="NR1271" s="2">
        <v>1.00461</v>
      </c>
      <c r="NW1271" s="2">
        <v>1.00067</v>
      </c>
      <c r="NX1271" s="2">
        <v>1.00494</v>
      </c>
      <c r="NY1271" s="2">
        <v>1.00628</v>
      </c>
      <c r="NZ1271" s="2">
        <v>1.00019</v>
      </c>
      <c r="OA1271" s="2">
        <v>1.00148</v>
      </c>
      <c r="OB1271" s="2">
        <v>0.99604</v>
      </c>
      <c r="OC1271" s="2">
        <v>0.9974499999999999</v>
      </c>
      <c r="OD1271" s="2">
        <v>1.00132</v>
      </c>
      <c r="OE1271" s="2">
        <v>0.99026</v>
      </c>
      <c r="OF1271" s="2">
        <v>0.99492</v>
      </c>
      <c r="OG1271" s="2">
        <v>0.99966</v>
      </c>
      <c r="OH1271" s="2">
        <v>1.00524</v>
      </c>
      <c r="OM1271" s="2">
        <v>1.00109</v>
      </c>
      <c r="ON1271" s="2">
        <v>1.00503</v>
      </c>
      <c r="OO1271" s="2">
        <v>1.00804</v>
      </c>
      <c r="OP1271" s="2">
        <v>1.00051</v>
      </c>
      <c r="OQ1271" s="2">
        <v>1.00183</v>
      </c>
      <c r="OR1271" s="2">
        <v>0.99679</v>
      </c>
      <c r="OS1271" s="2">
        <v>0.99705</v>
      </c>
      <c r="OT1271" s="2">
        <v>1.00032</v>
      </c>
      <c r="OU1271" s="2">
        <v>0.98831</v>
      </c>
      <c r="OV1271" s="2">
        <v>0.99513</v>
      </c>
      <c r="OW1271" s="2">
        <v>0.9991100000000001</v>
      </c>
      <c r="OX1271" s="2">
        <v>1.00578</v>
      </c>
      <c r="PC1271" s="2">
        <v>1.0013</v>
      </c>
      <c r="PD1271" s="2">
        <v>1.00501</v>
      </c>
      <c r="PE1271" s="2">
        <v>1.00897</v>
      </c>
      <c r="PF1271" s="2">
        <v>1.00087</v>
      </c>
      <c r="PG1271" s="2">
        <v>1.00234</v>
      </c>
      <c r="PH1271" s="2">
        <v>0.99739</v>
      </c>
      <c r="PI1271" s="2">
        <v>0.99643</v>
      </c>
    </row>
    <row r="1272">
      <c r="A1272" t="inlineStr">
        <is>
          <t>A130576711C</t>
        </is>
      </c>
      <c r="B1272" t="inlineStr">
        <is>
          <t>Combined Seasonal Adjustment Factors ;  Australia ;  Fish and other seafood ;</t>
        </is>
      </c>
      <c r="C1272" t="inlineStr">
        <is>
          <t>Month</t>
        </is>
      </c>
      <c r="D1272" t="inlineStr">
        <is>
          <t>Number</t>
        </is>
      </c>
      <c r="E1272" t="inlineStr">
        <is>
          <t>Original</t>
        </is>
      </c>
      <c r="F1272" t="inlineStr">
        <is>
          <t>640108.xlsx</t>
        </is>
      </c>
      <c r="G1272" t="inlineStr">
        <is>
          <t>2017-09</t>
        </is>
      </c>
      <c r="H1272" t="inlineStr">
        <is>
          <t>2026-07</t>
        </is>
      </c>
      <c r="JW1272" s="2">
        <v>0.99542</v>
      </c>
      <c r="JX1272" s="2">
        <v>1.00634</v>
      </c>
      <c r="JY1272" s="2">
        <v>1.0028</v>
      </c>
      <c r="JZ1272" s="2">
        <v>1.00477</v>
      </c>
      <c r="KE1272" s="2">
        <v>1.01289</v>
      </c>
      <c r="KF1272" s="2">
        <v>0.99651</v>
      </c>
      <c r="KG1272" s="2">
        <v>0.98317</v>
      </c>
      <c r="KH1272" s="2">
        <v>0.99578</v>
      </c>
      <c r="KI1272" s="2">
        <v>1.00011</v>
      </c>
      <c r="KJ1272" s="2">
        <v>1.00171</v>
      </c>
      <c r="KK1272" s="2">
        <v>1.00029</v>
      </c>
      <c r="KL1272" s="2">
        <v>0.99931</v>
      </c>
      <c r="KM1272" s="2">
        <v>0.99616</v>
      </c>
      <c r="KN1272" s="2">
        <v>1.00609</v>
      </c>
      <c r="KO1272" s="2">
        <v>1.00336</v>
      </c>
      <c r="KP1272" s="2">
        <v>1.00506</v>
      </c>
      <c r="KU1272" s="2">
        <v>1.01273</v>
      </c>
      <c r="KV1272" s="2">
        <v>0.99733</v>
      </c>
      <c r="KW1272" s="2">
        <v>0.98323</v>
      </c>
      <c r="KX1272" s="2">
        <v>0.99487</v>
      </c>
      <c r="KY1272" s="2">
        <v>0.99913</v>
      </c>
      <c r="KZ1272" s="2">
        <v>1.00123</v>
      </c>
      <c r="LA1272" s="2">
        <v>1.00001</v>
      </c>
      <c r="LB1272" s="2">
        <v>0.99966</v>
      </c>
      <c r="LC1272" s="2">
        <v>0.99739</v>
      </c>
      <c r="LD1272" s="2">
        <v>1.00588</v>
      </c>
      <c r="LE1272" s="2">
        <v>1.00378</v>
      </c>
      <c r="LF1272" s="2">
        <v>1.00621</v>
      </c>
      <c r="LK1272" s="2">
        <v>1.0117</v>
      </c>
      <c r="LL1272" s="2">
        <v>0.99844</v>
      </c>
      <c r="LM1272" s="2">
        <v>0.98366</v>
      </c>
      <c r="LN1272" s="2">
        <v>0.99355</v>
      </c>
      <c r="LO1272" s="2">
        <v>0.99804</v>
      </c>
      <c r="LP1272" s="2">
        <v>0.99995</v>
      </c>
      <c r="LQ1272" s="2">
        <v>0.99924</v>
      </c>
      <c r="LR1272" s="2">
        <v>1.00006</v>
      </c>
      <c r="LS1272" s="2">
        <v>0.9992</v>
      </c>
      <c r="LT1272" s="2">
        <v>1.00602</v>
      </c>
      <c r="LU1272" s="2">
        <v>1.00462</v>
      </c>
      <c r="LV1272" s="2">
        <v>1.00773</v>
      </c>
      <c r="MA1272" s="2">
        <v>1.01046</v>
      </c>
      <c r="MB1272" s="2">
        <v>0.9987</v>
      </c>
      <c r="MC1272" s="2">
        <v>0.98395</v>
      </c>
      <c r="MD1272" s="2">
        <v>0.99234</v>
      </c>
      <c r="ME1272" s="2">
        <v>0.9975000000000001</v>
      </c>
      <c r="MF1272" s="2">
        <v>0.99852</v>
      </c>
      <c r="MG1272" s="2">
        <v>0.99827</v>
      </c>
      <c r="MH1272" s="2">
        <v>1.0006</v>
      </c>
      <c r="MI1272" s="2">
        <v>1.00106</v>
      </c>
      <c r="MJ1272" s="2">
        <v>1.00654</v>
      </c>
      <c r="MK1272" s="2">
        <v>1.00568</v>
      </c>
      <c r="ML1272" s="2">
        <v>1.00861</v>
      </c>
      <c r="MQ1272" s="2">
        <v>1.00837</v>
      </c>
      <c r="MR1272" s="2">
        <v>0.99902</v>
      </c>
      <c r="MS1272" s="2">
        <v>0.98471</v>
      </c>
      <c r="MT1272" s="2">
        <v>0.991</v>
      </c>
      <c r="MU1272" s="2">
        <v>0.99779</v>
      </c>
      <c r="MV1272" s="2">
        <v>0.99722</v>
      </c>
      <c r="MW1272" s="2">
        <v>0.99738</v>
      </c>
      <c r="MX1272" s="2">
        <v>1.00149</v>
      </c>
      <c r="MY1272" s="2">
        <v>1.00274</v>
      </c>
      <c r="MZ1272" s="2">
        <v>1.00659</v>
      </c>
      <c r="NA1272" s="2">
        <v>1.00583</v>
      </c>
      <c r="NB1272" s="2">
        <v>1.00883</v>
      </c>
      <c r="NG1272" s="2">
        <v>1.00723</v>
      </c>
      <c r="NH1272" s="2">
        <v>0.99852</v>
      </c>
      <c r="NI1272" s="2">
        <v>0.98545</v>
      </c>
      <c r="NJ1272" s="2">
        <v>0.99036</v>
      </c>
      <c r="NK1272" s="2">
        <v>0.99916</v>
      </c>
      <c r="NL1272" s="2">
        <v>0.99614</v>
      </c>
      <c r="NM1272" s="2">
        <v>0.99699</v>
      </c>
      <c r="NN1272" s="2">
        <v>1.0025</v>
      </c>
      <c r="NO1272" s="2">
        <v>1.00355</v>
      </c>
      <c r="NP1272" s="2">
        <v>1.00634</v>
      </c>
      <c r="NQ1272" s="2">
        <v>1.00504</v>
      </c>
      <c r="NR1272" s="2">
        <v>1.0085</v>
      </c>
      <c r="NW1272" s="2">
        <v>1.00609</v>
      </c>
      <c r="NX1272" s="2">
        <v>0.99839</v>
      </c>
      <c r="NY1272" s="2">
        <v>0.98639</v>
      </c>
      <c r="NZ1272" s="2">
        <v>0.99027</v>
      </c>
      <c r="OA1272" s="2">
        <v>1.00123</v>
      </c>
      <c r="OB1272" s="2">
        <v>0.99508</v>
      </c>
      <c r="OC1272" s="2">
        <v>0.99693</v>
      </c>
      <c r="OD1272" s="2">
        <v>1.00316</v>
      </c>
      <c r="OE1272" s="2">
        <v>1.004</v>
      </c>
      <c r="OF1272" s="2">
        <v>1.00597</v>
      </c>
      <c r="OG1272" s="2">
        <v>1.00338</v>
      </c>
      <c r="OH1272" s="2">
        <v>1.00816</v>
      </c>
      <c r="OM1272" s="2">
        <v>1.00566</v>
      </c>
      <c r="ON1272" s="2">
        <v>0.99796</v>
      </c>
      <c r="OO1272" s="2">
        <v>0.98725</v>
      </c>
      <c r="OP1272" s="2">
        <v>0.9906700000000001</v>
      </c>
      <c r="OQ1272" s="2">
        <v>1.0034</v>
      </c>
      <c r="OR1272" s="2">
        <v>0.99395</v>
      </c>
      <c r="OS1272" s="2">
        <v>0.99725</v>
      </c>
      <c r="OT1272" s="2">
        <v>1.00349</v>
      </c>
      <c r="OU1272" s="2">
        <v>1.00419</v>
      </c>
      <c r="OV1272" s="2">
        <v>1.00552</v>
      </c>
      <c r="OW1272" s="2">
        <v>1.00193</v>
      </c>
      <c r="OX1272" s="2">
        <v>1.00756</v>
      </c>
      <c r="PC1272" s="2">
        <v>1.00532</v>
      </c>
      <c r="PD1272" s="2">
        <v>0.99803</v>
      </c>
      <c r="PE1272" s="2">
        <v>0.98809</v>
      </c>
      <c r="PF1272" s="2">
        <v>0.99091</v>
      </c>
      <c r="PG1272" s="2">
        <v>1.00477</v>
      </c>
      <c r="PH1272" s="2">
        <v>0.99332</v>
      </c>
      <c r="PI1272" s="2">
        <v>0.99765</v>
      </c>
    </row>
    <row r="1273">
      <c r="A1273" t="inlineStr">
        <is>
          <t>A130576708R</t>
        </is>
      </c>
      <c r="B1273" t="inlineStr">
        <is>
          <t>Combined Seasonal Adjustment Factors ;  Australia ;  Milk ;</t>
        </is>
      </c>
      <c r="C1273" t="inlineStr">
        <is>
          <t>Month</t>
        </is>
      </c>
      <c r="D1273" t="inlineStr">
        <is>
          <t>Number</t>
        </is>
      </c>
      <c r="E1273" t="inlineStr">
        <is>
          <t>Original</t>
        </is>
      </c>
      <c r="F1273" t="inlineStr">
        <is>
          <t>640108.xlsx</t>
        </is>
      </c>
      <c r="G1273" t="inlineStr">
        <is>
          <t>2017-09</t>
        </is>
      </c>
      <c r="H1273" t="inlineStr">
        <is>
          <t>2026-07</t>
        </is>
      </c>
      <c r="JW1273" s="2">
        <v>0.99837</v>
      </c>
      <c r="JX1273" s="2">
        <v>0.99719</v>
      </c>
      <c r="JY1273" s="2">
        <v>0.9998</v>
      </c>
      <c r="JZ1273" s="2">
        <v>1.01204</v>
      </c>
      <c r="KE1273" s="2">
        <v>1.00224</v>
      </c>
      <c r="KF1273" s="2">
        <v>0.99552</v>
      </c>
      <c r="KG1273" s="2">
        <v>1.0016</v>
      </c>
      <c r="KH1273" s="2">
        <v>1.00282</v>
      </c>
      <c r="KI1273" s="2">
        <v>0.99621</v>
      </c>
      <c r="KJ1273" s="2">
        <v>0.9997200000000001</v>
      </c>
      <c r="KK1273" s="2">
        <v>0.9978399999999999</v>
      </c>
      <c r="KL1273" s="2">
        <v>0.996</v>
      </c>
      <c r="KM1273" s="2">
        <v>0.99865</v>
      </c>
      <c r="KN1273" s="2">
        <v>0.99717</v>
      </c>
      <c r="KO1273" s="2">
        <v>0.99963</v>
      </c>
      <c r="KP1273" s="2">
        <v>1.01205</v>
      </c>
      <c r="KU1273" s="2">
        <v>1.00238</v>
      </c>
      <c r="KV1273" s="2">
        <v>0.9957</v>
      </c>
      <c r="KW1273" s="2">
        <v>1.00149</v>
      </c>
      <c r="KX1273" s="2">
        <v>1.00309</v>
      </c>
      <c r="KY1273" s="2">
        <v>0.99582</v>
      </c>
      <c r="KZ1273" s="2">
        <v>0.99978</v>
      </c>
      <c r="LA1273" s="2">
        <v>0.99803</v>
      </c>
      <c r="LB1273" s="2">
        <v>0.99632</v>
      </c>
      <c r="LC1273" s="2">
        <v>0.99915</v>
      </c>
      <c r="LD1273" s="2">
        <v>0.99674</v>
      </c>
      <c r="LE1273" s="2">
        <v>0.99946</v>
      </c>
      <c r="LF1273" s="2">
        <v>1.01205</v>
      </c>
      <c r="LK1273" s="2">
        <v>1.00244</v>
      </c>
      <c r="LL1273" s="2">
        <v>0.99607</v>
      </c>
      <c r="LM1273" s="2">
        <v>1.00147</v>
      </c>
      <c r="LN1273" s="2">
        <v>1.00255</v>
      </c>
      <c r="LO1273" s="2">
        <v>0.99517</v>
      </c>
      <c r="LP1273" s="2">
        <v>0.99956</v>
      </c>
      <c r="LQ1273" s="2">
        <v>0.9984</v>
      </c>
      <c r="LR1273" s="2">
        <v>0.99717</v>
      </c>
      <c r="LS1273" s="2">
        <v>0.99991</v>
      </c>
      <c r="LT1273" s="2">
        <v>0.99604</v>
      </c>
      <c r="LU1273" s="2">
        <v>0.99952</v>
      </c>
      <c r="LV1273" s="2">
        <v>1.01163</v>
      </c>
      <c r="MA1273" s="2">
        <v>1.00252</v>
      </c>
      <c r="MB1273" s="2">
        <v>0.9964499999999999</v>
      </c>
      <c r="MC1273" s="2">
        <v>1.00174</v>
      </c>
      <c r="MD1273" s="2">
        <v>1.00179</v>
      </c>
      <c r="ME1273" s="2">
        <v>0.9946</v>
      </c>
      <c r="MF1273" s="2">
        <v>0.99905</v>
      </c>
      <c r="MG1273" s="2">
        <v>0.99829</v>
      </c>
      <c r="MH1273" s="2">
        <v>0.99861</v>
      </c>
      <c r="MI1273" s="2">
        <v>1.0008</v>
      </c>
      <c r="MJ1273" s="2">
        <v>0.9951</v>
      </c>
      <c r="MK1273" s="2">
        <v>0.99999</v>
      </c>
      <c r="ML1273" s="2">
        <v>1.01136</v>
      </c>
      <c r="MQ1273" s="2">
        <v>1.00251</v>
      </c>
      <c r="MR1273" s="2">
        <v>0.99696</v>
      </c>
      <c r="MS1273" s="2">
        <v>1.00172</v>
      </c>
      <c r="MT1273" s="2">
        <v>1.00079</v>
      </c>
      <c r="MU1273" s="2">
        <v>0.99392</v>
      </c>
      <c r="MV1273" s="2">
        <v>0.99839</v>
      </c>
      <c r="MW1273" s="2">
        <v>0.99817</v>
      </c>
      <c r="MX1273" s="2">
        <v>1.00041</v>
      </c>
      <c r="MY1273" s="2">
        <v>1.00161</v>
      </c>
      <c r="MZ1273" s="2">
        <v>0.99432</v>
      </c>
      <c r="NA1273" s="2">
        <v>1.00085</v>
      </c>
      <c r="NB1273" s="2">
        <v>1.01072</v>
      </c>
      <c r="NG1273" s="2">
        <v>1.00266</v>
      </c>
      <c r="NH1273" s="2">
        <v>0.99713</v>
      </c>
      <c r="NI1273" s="2">
        <v>1.00143</v>
      </c>
      <c r="NJ1273" s="2">
        <v>1.00019</v>
      </c>
      <c r="NK1273" s="2">
        <v>0.99352</v>
      </c>
      <c r="NL1273" s="2">
        <v>0.99779</v>
      </c>
      <c r="NM1273" s="2">
        <v>0.99771</v>
      </c>
      <c r="NN1273" s="2">
        <v>1.00188</v>
      </c>
      <c r="NO1273" s="2">
        <v>1.00211</v>
      </c>
      <c r="NP1273" s="2">
        <v>0.99391</v>
      </c>
      <c r="NQ1273" s="2">
        <v>1.002</v>
      </c>
      <c r="NR1273" s="2">
        <v>1.01043</v>
      </c>
      <c r="NW1273" s="2">
        <v>1.00273</v>
      </c>
      <c r="NX1273" s="2">
        <v>0.99712</v>
      </c>
      <c r="NY1273" s="2">
        <v>1.00083</v>
      </c>
      <c r="NZ1273" s="2">
        <v>0.99973</v>
      </c>
      <c r="OA1273" s="2">
        <v>0.99322</v>
      </c>
      <c r="OB1273" s="2">
        <v>0.99724</v>
      </c>
      <c r="OC1273" s="2">
        <v>0.99743</v>
      </c>
      <c r="OD1273" s="2">
        <v>1.00294</v>
      </c>
      <c r="OE1273" s="2">
        <v>1.00247</v>
      </c>
      <c r="OF1273" s="2">
        <v>0.99394</v>
      </c>
      <c r="OG1273" s="2">
        <v>1.00295</v>
      </c>
      <c r="OH1273" s="2">
        <v>1.01</v>
      </c>
      <c r="OM1273" s="2">
        <v>1.00303</v>
      </c>
      <c r="ON1273" s="2">
        <v>0.99659</v>
      </c>
      <c r="OO1273" s="2">
        <v>1.00047</v>
      </c>
      <c r="OP1273" s="2">
        <v>0.99958</v>
      </c>
      <c r="OQ1273" s="2">
        <v>0.99312</v>
      </c>
      <c r="OR1273" s="2">
        <v>0.997</v>
      </c>
      <c r="OS1273" s="2">
        <v>0.9969</v>
      </c>
      <c r="OT1273" s="2">
        <v>1.00356</v>
      </c>
      <c r="OU1273" s="2">
        <v>1.00269</v>
      </c>
      <c r="OV1273" s="2">
        <v>0.99412</v>
      </c>
      <c r="OW1273" s="2">
        <v>1.00346</v>
      </c>
      <c r="OX1273" s="2">
        <v>1.00994</v>
      </c>
      <c r="PC1273" s="2">
        <v>1.00329</v>
      </c>
      <c r="PD1273" s="2">
        <v>0.9962</v>
      </c>
      <c r="PE1273" s="2">
        <v>1.00008</v>
      </c>
      <c r="PF1273" s="2">
        <v>0.99948</v>
      </c>
      <c r="PG1273" s="2">
        <v>0.99294</v>
      </c>
      <c r="PH1273" s="2">
        <v>0.99701</v>
      </c>
      <c r="PI1273" s="2">
        <v>0.99666</v>
      </c>
    </row>
    <row r="1274">
      <c r="A1274" t="inlineStr">
        <is>
          <t>A130576709T</t>
        </is>
      </c>
      <c r="B1274" t="inlineStr">
        <is>
          <t>Combined Seasonal Adjustment Factors ;  Australia ;  Cheese ;</t>
        </is>
      </c>
      <c r="C1274" t="inlineStr">
        <is>
          <t>Month</t>
        </is>
      </c>
      <c r="D1274" t="inlineStr">
        <is>
          <t>Number</t>
        </is>
      </c>
      <c r="E1274" t="inlineStr">
        <is>
          <t>Original</t>
        </is>
      </c>
      <c r="F1274" t="inlineStr">
        <is>
          <t>640108.xlsx</t>
        </is>
      </c>
      <c r="G1274" t="inlineStr">
        <is>
          <t>2017-09</t>
        </is>
      </c>
      <c r="H1274" t="inlineStr">
        <is>
          <t>2026-07</t>
        </is>
      </c>
      <c r="JW1274" s="2">
        <v>1</v>
      </c>
      <c r="JX1274" s="2">
        <v>1</v>
      </c>
      <c r="JY1274" s="2">
        <v>1</v>
      </c>
      <c r="JZ1274" s="2">
        <v>1</v>
      </c>
      <c r="KE1274" s="2">
        <v>1</v>
      </c>
      <c r="KF1274" s="2">
        <v>1</v>
      </c>
      <c r="KG1274" s="2">
        <v>1</v>
      </c>
      <c r="KH1274" s="2">
        <v>1</v>
      </c>
      <c r="KI1274" s="2">
        <v>1</v>
      </c>
      <c r="KJ1274" s="2">
        <v>1</v>
      </c>
      <c r="KK1274" s="2">
        <v>1</v>
      </c>
      <c r="KL1274" s="2">
        <v>1</v>
      </c>
      <c r="KM1274" s="2">
        <v>1</v>
      </c>
      <c r="KN1274" s="2">
        <v>1</v>
      </c>
      <c r="KO1274" s="2">
        <v>1</v>
      </c>
      <c r="KP1274" s="2">
        <v>1</v>
      </c>
      <c r="KU1274" s="2">
        <v>1</v>
      </c>
      <c r="KV1274" s="2">
        <v>1</v>
      </c>
      <c r="KW1274" s="2">
        <v>1</v>
      </c>
      <c r="KX1274" s="2">
        <v>1</v>
      </c>
      <c r="KY1274" s="2">
        <v>1</v>
      </c>
      <c r="KZ1274" s="2">
        <v>1</v>
      </c>
      <c r="LA1274" s="2">
        <v>1</v>
      </c>
      <c r="LB1274" s="2">
        <v>1</v>
      </c>
      <c r="LC1274" s="2">
        <v>1</v>
      </c>
      <c r="LD1274" s="2">
        <v>1</v>
      </c>
      <c r="LE1274" s="2">
        <v>1</v>
      </c>
      <c r="LF1274" s="2">
        <v>1</v>
      </c>
      <c r="LK1274" s="2">
        <v>1</v>
      </c>
      <c r="LL1274" s="2">
        <v>1</v>
      </c>
      <c r="LM1274" s="2">
        <v>1</v>
      </c>
      <c r="LN1274" s="2">
        <v>1</v>
      </c>
      <c r="LO1274" s="2">
        <v>1</v>
      </c>
      <c r="LP1274" s="2">
        <v>1</v>
      </c>
      <c r="LQ1274" s="2">
        <v>1</v>
      </c>
      <c r="LR1274" s="2">
        <v>1</v>
      </c>
      <c r="LS1274" s="2">
        <v>1</v>
      </c>
      <c r="LT1274" s="2">
        <v>1</v>
      </c>
      <c r="LU1274" s="2">
        <v>1</v>
      </c>
      <c r="LV1274" s="2">
        <v>1</v>
      </c>
      <c r="MA1274" s="2">
        <v>1</v>
      </c>
      <c r="MB1274" s="2">
        <v>1</v>
      </c>
      <c r="MC1274" s="2">
        <v>1</v>
      </c>
      <c r="MD1274" s="2">
        <v>1</v>
      </c>
      <c r="ME1274" s="2">
        <v>1</v>
      </c>
      <c r="MF1274" s="2">
        <v>1</v>
      </c>
      <c r="MG1274" s="2">
        <v>1</v>
      </c>
      <c r="MH1274" s="2">
        <v>1</v>
      </c>
      <c r="MI1274" s="2">
        <v>1</v>
      </c>
      <c r="MJ1274" s="2">
        <v>1</v>
      </c>
      <c r="MK1274" s="2">
        <v>1</v>
      </c>
      <c r="ML1274" s="2">
        <v>1</v>
      </c>
      <c r="MQ1274" s="2">
        <v>1</v>
      </c>
      <c r="MR1274" s="2">
        <v>1</v>
      </c>
      <c r="MS1274" s="2">
        <v>1</v>
      </c>
      <c r="MT1274" s="2">
        <v>1</v>
      </c>
      <c r="MU1274" s="2">
        <v>1</v>
      </c>
      <c r="MV1274" s="2">
        <v>1</v>
      </c>
      <c r="MW1274" s="2">
        <v>1</v>
      </c>
      <c r="MX1274" s="2">
        <v>1</v>
      </c>
      <c r="MY1274" s="2">
        <v>1</v>
      </c>
      <c r="MZ1274" s="2">
        <v>1</v>
      </c>
      <c r="NA1274" s="2">
        <v>1</v>
      </c>
      <c r="NB1274" s="2">
        <v>1</v>
      </c>
      <c r="NG1274" s="2">
        <v>1</v>
      </c>
      <c r="NH1274" s="2">
        <v>1</v>
      </c>
      <c r="NI1274" s="2">
        <v>1</v>
      </c>
      <c r="NJ1274" s="2">
        <v>1</v>
      </c>
      <c r="NK1274" s="2">
        <v>1</v>
      </c>
      <c r="NL1274" s="2">
        <v>1</v>
      </c>
      <c r="NM1274" s="2">
        <v>1</v>
      </c>
      <c r="NN1274" s="2">
        <v>1</v>
      </c>
      <c r="NO1274" s="2">
        <v>1</v>
      </c>
      <c r="NP1274" s="2">
        <v>1</v>
      </c>
      <c r="NQ1274" s="2">
        <v>1</v>
      </c>
      <c r="NR1274" s="2">
        <v>1</v>
      </c>
      <c r="NW1274" s="2">
        <v>1</v>
      </c>
      <c r="NX1274" s="2">
        <v>1</v>
      </c>
      <c r="NY1274" s="2">
        <v>1</v>
      </c>
      <c r="NZ1274" s="2">
        <v>1</v>
      </c>
      <c r="OA1274" s="2">
        <v>1</v>
      </c>
      <c r="OB1274" s="2">
        <v>1</v>
      </c>
      <c r="OC1274" s="2">
        <v>1</v>
      </c>
      <c r="OD1274" s="2">
        <v>1</v>
      </c>
      <c r="OE1274" s="2">
        <v>1</v>
      </c>
      <c r="OF1274" s="2">
        <v>1</v>
      </c>
      <c r="OG1274" s="2">
        <v>1</v>
      </c>
      <c r="OH1274" s="2">
        <v>1</v>
      </c>
      <c r="OM1274" s="2">
        <v>1</v>
      </c>
      <c r="ON1274" s="2">
        <v>1</v>
      </c>
      <c r="OO1274" s="2">
        <v>1</v>
      </c>
      <c r="OP1274" s="2">
        <v>1</v>
      </c>
      <c r="OQ1274" s="2">
        <v>1</v>
      </c>
      <c r="OR1274" s="2">
        <v>1</v>
      </c>
      <c r="OS1274" s="2">
        <v>1</v>
      </c>
      <c r="OT1274" s="2">
        <v>1</v>
      </c>
      <c r="OU1274" s="2">
        <v>1</v>
      </c>
      <c r="OV1274" s="2">
        <v>1</v>
      </c>
      <c r="OW1274" s="2">
        <v>1</v>
      </c>
      <c r="OX1274" s="2">
        <v>1</v>
      </c>
      <c r="PC1274" s="2">
        <v>1</v>
      </c>
      <c r="PD1274" s="2">
        <v>1</v>
      </c>
      <c r="PE1274" s="2">
        <v>1</v>
      </c>
      <c r="PF1274" s="2">
        <v>1</v>
      </c>
      <c r="PG1274" s="2">
        <v>1</v>
      </c>
      <c r="PH1274" s="2">
        <v>1</v>
      </c>
      <c r="PI1274" s="2">
        <v>1</v>
      </c>
    </row>
    <row r="1275">
      <c r="A1275" t="inlineStr">
        <is>
          <t>A130576710A</t>
        </is>
      </c>
      <c r="B1275" t="inlineStr">
        <is>
          <t>Combined Seasonal Adjustment Factors ;  Australia ;  Ice cream and other dairy products ;</t>
        </is>
      </c>
      <c r="C1275" t="inlineStr">
        <is>
          <t>Month</t>
        </is>
      </c>
      <c r="D1275" t="inlineStr">
        <is>
          <t>Number</t>
        </is>
      </c>
      <c r="E1275" t="inlineStr">
        <is>
          <t>Original</t>
        </is>
      </c>
      <c r="F1275" t="inlineStr">
        <is>
          <t>640108.xlsx</t>
        </is>
      </c>
      <c r="G1275" t="inlineStr">
        <is>
          <t>2017-09</t>
        </is>
      </c>
      <c r="H1275" t="inlineStr">
        <is>
          <t>2026-07</t>
        </is>
      </c>
      <c r="JW1275" s="2">
        <v>0.99698</v>
      </c>
      <c r="JX1275" s="2">
        <v>0.99613</v>
      </c>
      <c r="JY1275" s="2">
        <v>0.99305</v>
      </c>
      <c r="JZ1275" s="2">
        <v>1.00996</v>
      </c>
      <c r="KE1275" s="2">
        <v>1.00556</v>
      </c>
      <c r="KF1275" s="2">
        <v>0.99319</v>
      </c>
      <c r="KG1275" s="2">
        <v>0.99978</v>
      </c>
      <c r="KH1275" s="2">
        <v>1.00399</v>
      </c>
      <c r="KI1275" s="2">
        <v>0.99924</v>
      </c>
      <c r="KJ1275" s="2">
        <v>0.99868</v>
      </c>
      <c r="KK1275" s="2">
        <v>1.00387</v>
      </c>
      <c r="KL1275" s="2">
        <v>0.9993300000000001</v>
      </c>
      <c r="KM1275" s="2">
        <v>0.99701</v>
      </c>
      <c r="KN1275" s="2">
        <v>0.99612</v>
      </c>
      <c r="KO1275" s="2">
        <v>0.99326</v>
      </c>
      <c r="KP1275" s="2">
        <v>1.01075</v>
      </c>
      <c r="KU1275" s="2">
        <v>1.00533</v>
      </c>
      <c r="KV1275" s="2">
        <v>0.99274</v>
      </c>
      <c r="KW1275" s="2">
        <v>0.99966</v>
      </c>
      <c r="KX1275" s="2">
        <v>1.00434</v>
      </c>
      <c r="KY1275" s="2">
        <v>0.99883</v>
      </c>
      <c r="KZ1275" s="2">
        <v>0.99848</v>
      </c>
      <c r="LA1275" s="2">
        <v>1.00361</v>
      </c>
      <c r="LB1275" s="2">
        <v>0.99938</v>
      </c>
      <c r="LC1275" s="2">
        <v>0.99726</v>
      </c>
      <c r="LD1275" s="2">
        <v>0.9958399999999999</v>
      </c>
      <c r="LE1275" s="2">
        <v>0.99402</v>
      </c>
      <c r="LF1275" s="2">
        <v>1.01205</v>
      </c>
      <c r="LK1275" s="2">
        <v>1.00447</v>
      </c>
      <c r="LL1275" s="2">
        <v>0.9917899999999999</v>
      </c>
      <c r="LM1275" s="2">
        <v>0.99974</v>
      </c>
      <c r="LN1275" s="2">
        <v>1.00493</v>
      </c>
      <c r="LO1275" s="2">
        <v>0.99836</v>
      </c>
      <c r="LP1275" s="2">
        <v>0.99822</v>
      </c>
      <c r="LQ1275" s="2">
        <v>1.00302</v>
      </c>
      <c r="LR1275" s="2">
        <v>0.99992</v>
      </c>
      <c r="LS1275" s="2">
        <v>0.99726</v>
      </c>
      <c r="LT1275" s="2">
        <v>0.99568</v>
      </c>
      <c r="LU1275" s="2">
        <v>0.99495</v>
      </c>
      <c r="LV1275" s="2">
        <v>1.01345</v>
      </c>
      <c r="MA1275" s="2">
        <v>1.00349</v>
      </c>
      <c r="MB1275" s="2">
        <v>0.9906</v>
      </c>
      <c r="MC1275" s="2">
        <v>0.99975</v>
      </c>
      <c r="MD1275" s="2">
        <v>1.00551</v>
      </c>
      <c r="ME1275" s="2">
        <v>0.99803</v>
      </c>
      <c r="MF1275" s="2">
        <v>0.99792</v>
      </c>
      <c r="MG1275" s="2">
        <v>1.00237</v>
      </c>
      <c r="MH1275" s="2">
        <v>1.0008</v>
      </c>
      <c r="MI1275" s="2">
        <v>0.9974499999999999</v>
      </c>
      <c r="MJ1275" s="2">
        <v>0.99541</v>
      </c>
      <c r="MK1275" s="2">
        <v>0.99572</v>
      </c>
      <c r="ML1275" s="2">
        <v>1.01467</v>
      </c>
      <c r="MQ1275" s="2">
        <v>1.00231</v>
      </c>
      <c r="MR1275" s="2">
        <v>0.98939</v>
      </c>
      <c r="MS1275" s="2">
        <v>1.0002</v>
      </c>
      <c r="MT1275" s="2">
        <v>1.00582</v>
      </c>
      <c r="MU1275" s="2">
        <v>0.99778</v>
      </c>
      <c r="MV1275" s="2">
        <v>0.99775</v>
      </c>
      <c r="MW1275" s="2">
        <v>1.00173</v>
      </c>
      <c r="MX1275" s="2">
        <v>1.00172</v>
      </c>
      <c r="MY1275" s="2">
        <v>0.99742</v>
      </c>
      <c r="MZ1275" s="2">
        <v>0.99547</v>
      </c>
      <c r="NA1275" s="2">
        <v>0.99649</v>
      </c>
      <c r="NB1275" s="2">
        <v>1.01509</v>
      </c>
      <c r="NG1275" s="2">
        <v>1.00128</v>
      </c>
      <c r="NH1275" s="2">
        <v>0.98861</v>
      </c>
      <c r="NI1275" s="2">
        <v>1.00093</v>
      </c>
      <c r="NJ1275" s="2">
        <v>1.00575</v>
      </c>
      <c r="NK1275" s="2">
        <v>0.99713</v>
      </c>
      <c r="NL1275" s="2">
        <v>0.99792</v>
      </c>
      <c r="NM1275" s="2">
        <v>1.0015</v>
      </c>
      <c r="NN1275" s="2">
        <v>1.00234</v>
      </c>
      <c r="NO1275" s="2">
        <v>0.99796</v>
      </c>
      <c r="NP1275" s="2">
        <v>0.9954499999999999</v>
      </c>
      <c r="NQ1275" s="2">
        <v>0.9971100000000001</v>
      </c>
      <c r="NR1275" s="2">
        <v>1.01475</v>
      </c>
      <c r="NW1275" s="2">
        <v>1.0002</v>
      </c>
      <c r="NX1275" s="2">
        <v>0.98812</v>
      </c>
      <c r="NY1275" s="2">
        <v>1.00202</v>
      </c>
      <c r="NZ1275" s="2">
        <v>1.0053</v>
      </c>
      <c r="OA1275" s="2">
        <v>0.99647</v>
      </c>
      <c r="OB1275" s="2">
        <v>0.99839</v>
      </c>
      <c r="OC1275" s="2">
        <v>1.00162</v>
      </c>
      <c r="OD1275" s="2">
        <v>1.0028</v>
      </c>
      <c r="OE1275" s="2">
        <v>0.99831</v>
      </c>
      <c r="OF1275" s="2">
        <v>0.99555</v>
      </c>
      <c r="OG1275" s="2">
        <v>0.99756</v>
      </c>
      <c r="OH1275" s="2">
        <v>1.01399</v>
      </c>
      <c r="OM1275" s="2">
        <v>0.9995000000000001</v>
      </c>
      <c r="ON1275" s="2">
        <v>0.98778</v>
      </c>
      <c r="OO1275" s="2">
        <v>1.00296</v>
      </c>
      <c r="OP1275" s="2">
        <v>1.00475</v>
      </c>
      <c r="OQ1275" s="2">
        <v>0.99578</v>
      </c>
      <c r="OR1275" s="2">
        <v>0.99904</v>
      </c>
      <c r="OS1275" s="2">
        <v>1.002</v>
      </c>
      <c r="OT1275" s="2">
        <v>1.00306</v>
      </c>
      <c r="OU1275" s="2">
        <v>0.99882</v>
      </c>
      <c r="OV1275" s="2">
        <v>0.99537</v>
      </c>
      <c r="OW1275" s="2">
        <v>0.99758</v>
      </c>
      <c r="OX1275" s="2">
        <v>1.01325</v>
      </c>
      <c r="PC1275" s="2">
        <v>0.99924</v>
      </c>
      <c r="PD1275" s="2">
        <v>0.98753</v>
      </c>
      <c r="PE1275" s="2">
        <v>1.00384</v>
      </c>
      <c r="PF1275" s="2">
        <v>1.00442</v>
      </c>
      <c r="PG1275" s="2">
        <v>0.99535</v>
      </c>
      <c r="PH1275" s="2">
        <v>0.99937</v>
      </c>
      <c r="PI1275" s="2">
        <v>1.00236</v>
      </c>
    </row>
    <row r="1276">
      <c r="A1276" t="inlineStr">
        <is>
          <t>A130576730K</t>
        </is>
      </c>
      <c r="B1276" t="inlineStr">
        <is>
          <t>Combined Seasonal Adjustment Factors ;  Australia ;  Fruit ;</t>
        </is>
      </c>
      <c r="C1276" t="inlineStr">
        <is>
          <t>Month</t>
        </is>
      </c>
      <c r="D1276" t="inlineStr">
        <is>
          <t>Number</t>
        </is>
      </c>
      <c r="E1276" t="inlineStr">
        <is>
          <t>Original</t>
        </is>
      </c>
      <c r="F1276" t="inlineStr">
        <is>
          <t>640108.xlsx</t>
        </is>
      </c>
      <c r="G1276" t="inlineStr">
        <is>
          <t>2017-09</t>
        </is>
      </c>
      <c r="H1276" t="inlineStr">
        <is>
          <t>2026-07</t>
        </is>
      </c>
      <c r="JW1276" s="2">
        <v>0.94281</v>
      </c>
      <c r="JX1276" s="2">
        <v>0.98734</v>
      </c>
      <c r="JY1276" s="2">
        <v>1.0079</v>
      </c>
      <c r="JZ1276" s="2">
        <v>1.04075</v>
      </c>
      <c r="KE1276" s="2">
        <v>0.98605</v>
      </c>
      <c r="KF1276" s="2">
        <v>1.01627</v>
      </c>
      <c r="KG1276" s="2">
        <v>1.02593</v>
      </c>
      <c r="KH1276" s="2">
        <v>0.9956700000000001</v>
      </c>
      <c r="KI1276" s="2">
        <v>0.99693</v>
      </c>
      <c r="KJ1276" s="2">
        <v>1.01798</v>
      </c>
      <c r="KK1276" s="2">
        <v>1.00269</v>
      </c>
      <c r="KL1276" s="2">
        <v>0.98412</v>
      </c>
      <c r="KM1276" s="2">
        <v>0.94265</v>
      </c>
      <c r="KN1276" s="2">
        <v>0.98362</v>
      </c>
      <c r="KO1276" s="2">
        <v>1.00672</v>
      </c>
      <c r="KP1276" s="2">
        <v>1.04016</v>
      </c>
      <c r="KU1276" s="2">
        <v>0.98637</v>
      </c>
      <c r="KV1276" s="2">
        <v>1.01609</v>
      </c>
      <c r="KW1276" s="2">
        <v>1.02272</v>
      </c>
      <c r="KX1276" s="2">
        <v>0.9964</v>
      </c>
      <c r="KY1276" s="2">
        <v>0.99781</v>
      </c>
      <c r="KZ1276" s="2">
        <v>1.01743</v>
      </c>
      <c r="LA1276" s="2">
        <v>1.00725</v>
      </c>
      <c r="LB1276" s="2">
        <v>0.98715</v>
      </c>
      <c r="LC1276" s="2">
        <v>0.94681</v>
      </c>
      <c r="LD1276" s="2">
        <v>0.9819600000000001</v>
      </c>
      <c r="LE1276" s="2">
        <v>1.0032</v>
      </c>
      <c r="LF1276" s="2">
        <v>1.03585</v>
      </c>
      <c r="LK1276" s="2">
        <v>0.98428</v>
      </c>
      <c r="LL1276" s="2">
        <v>1.01455</v>
      </c>
      <c r="LM1276" s="2">
        <v>1.01989</v>
      </c>
      <c r="LN1276" s="2">
        <v>0.9965000000000001</v>
      </c>
      <c r="LO1276" s="2">
        <v>0.99886</v>
      </c>
      <c r="LP1276" s="2">
        <v>1.01992</v>
      </c>
      <c r="LQ1276" s="2">
        <v>1.01348</v>
      </c>
      <c r="LR1276" s="2">
        <v>0.99253</v>
      </c>
      <c r="LS1276" s="2">
        <v>0.95081</v>
      </c>
      <c r="LT1276" s="2">
        <v>0.98005</v>
      </c>
      <c r="LU1276" s="2">
        <v>1.00005</v>
      </c>
      <c r="LV1276" s="2">
        <v>1.02895</v>
      </c>
      <c r="MA1276" s="2">
        <v>0.98208</v>
      </c>
      <c r="MB1276" s="2">
        <v>1.01051</v>
      </c>
      <c r="MC1276" s="2">
        <v>1.01549</v>
      </c>
      <c r="MD1276" s="2">
        <v>0.99685</v>
      </c>
      <c r="ME1276" s="2">
        <v>0.99903</v>
      </c>
      <c r="MF1276" s="2">
        <v>1.02321</v>
      </c>
      <c r="MG1276" s="2">
        <v>1.02189</v>
      </c>
      <c r="MH1276" s="2">
        <v>0.99974</v>
      </c>
      <c r="MI1276" s="2">
        <v>0.95724</v>
      </c>
      <c r="MJ1276" s="2">
        <v>0.97992</v>
      </c>
      <c r="MK1276" s="2">
        <v>0.99687</v>
      </c>
      <c r="ML1276" s="2">
        <v>1.01801</v>
      </c>
      <c r="MQ1276" s="2">
        <v>0.97927</v>
      </c>
      <c r="MR1276" s="2">
        <v>1.00336</v>
      </c>
      <c r="MS1276" s="2">
        <v>1.01047</v>
      </c>
      <c r="MT1276" s="2">
        <v>0.99801</v>
      </c>
      <c r="MU1276" s="2">
        <v>1.00092</v>
      </c>
      <c r="MV1276" s="2">
        <v>1.02684</v>
      </c>
      <c r="MW1276" s="2">
        <v>1.03109</v>
      </c>
      <c r="MX1276" s="2">
        <v>1.0081</v>
      </c>
      <c r="MY1276" s="2">
        <v>0.9608100000000001</v>
      </c>
      <c r="MZ1276" s="2">
        <v>0.98083</v>
      </c>
      <c r="NA1276" s="2">
        <v>0.99622</v>
      </c>
      <c r="NB1276" s="2">
        <v>1.00456</v>
      </c>
      <c r="NG1276" s="2">
        <v>0.97829</v>
      </c>
      <c r="NH1276" s="2">
        <v>0.99644</v>
      </c>
      <c r="NI1276" s="2">
        <v>1.00522</v>
      </c>
      <c r="NJ1276" s="2">
        <v>0.9973</v>
      </c>
      <c r="NK1276" s="2">
        <v>1.0037</v>
      </c>
      <c r="NL1276" s="2">
        <v>1.02933</v>
      </c>
      <c r="NM1276" s="2">
        <v>1.03916</v>
      </c>
      <c r="NN1276" s="2">
        <v>1.01559</v>
      </c>
      <c r="NO1276" s="2">
        <v>0.9649799999999999</v>
      </c>
      <c r="NP1276" s="2">
        <v>0.98417</v>
      </c>
      <c r="NQ1276" s="2">
        <v>0.99508</v>
      </c>
      <c r="NR1276" s="2">
        <v>0.99216</v>
      </c>
      <c r="NW1276" s="2">
        <v>0.97575</v>
      </c>
      <c r="NX1276" s="2">
        <v>0.99037</v>
      </c>
      <c r="NY1276" s="2">
        <v>1.00248</v>
      </c>
      <c r="NZ1276" s="2">
        <v>0.99558</v>
      </c>
      <c r="OA1276" s="2">
        <v>1.00745</v>
      </c>
      <c r="OB1276" s="2">
        <v>1.03294</v>
      </c>
      <c r="OC1276" s="2">
        <v>1.04313</v>
      </c>
      <c r="OD1276" s="2">
        <v>1.02097</v>
      </c>
      <c r="OE1276" s="2">
        <v>0.96648</v>
      </c>
      <c r="OF1276" s="2">
        <v>0.9878400000000001</v>
      </c>
      <c r="OG1276" s="2">
        <v>0.99552</v>
      </c>
      <c r="OH1276" s="2">
        <v>0.98389</v>
      </c>
      <c r="OM1276" s="2">
        <v>0.9737</v>
      </c>
      <c r="ON1276" s="2">
        <v>0.98417</v>
      </c>
      <c r="OO1276" s="2">
        <v>1.00097</v>
      </c>
      <c r="OP1276" s="2">
        <v>0.9948399999999999</v>
      </c>
      <c r="OQ1276" s="2">
        <v>1.01041</v>
      </c>
      <c r="OR1276" s="2">
        <v>1.0365</v>
      </c>
      <c r="OS1276" s="2">
        <v>1.04386</v>
      </c>
      <c r="OT1276" s="2">
        <v>1.02462</v>
      </c>
      <c r="OU1276" s="2">
        <v>0.96784</v>
      </c>
      <c r="OV1276" s="2">
        <v>0.98978</v>
      </c>
      <c r="OW1276" s="2">
        <v>0.9956700000000001</v>
      </c>
      <c r="OX1276" s="2">
        <v>0.97912</v>
      </c>
      <c r="PC1276" s="2">
        <v>0.97277</v>
      </c>
      <c r="PD1276" s="2">
        <v>0.97948</v>
      </c>
      <c r="PE1276" s="2">
        <v>1.00005</v>
      </c>
      <c r="PF1276" s="2">
        <v>0.9961</v>
      </c>
      <c r="PG1276" s="2">
        <v>1.01242</v>
      </c>
      <c r="PH1276" s="2">
        <v>1.03861</v>
      </c>
      <c r="PI1276" s="2">
        <v>1.04337</v>
      </c>
    </row>
    <row r="1277">
      <c r="A1277" t="inlineStr">
        <is>
          <t>A130576766L</t>
        </is>
      </c>
      <c r="B1277" t="inlineStr">
        <is>
          <t>Combined Seasonal Adjustment Factors ;  Australia ;  Vegetables ;</t>
        </is>
      </c>
      <c r="C1277" t="inlineStr">
        <is>
          <t>Month</t>
        </is>
      </c>
      <c r="D1277" t="inlineStr">
        <is>
          <t>Number</t>
        </is>
      </c>
      <c r="E1277" t="inlineStr">
        <is>
          <t>Original</t>
        </is>
      </c>
      <c r="F1277" t="inlineStr">
        <is>
          <t>640108.xlsx</t>
        </is>
      </c>
      <c r="G1277" t="inlineStr">
        <is>
          <t>2017-09</t>
        </is>
      </c>
      <c r="H1277" t="inlineStr">
        <is>
          <t>2026-07</t>
        </is>
      </c>
      <c r="JW1277" s="2">
        <v>0.9952800000000001</v>
      </c>
      <c r="JX1277" s="2">
        <v>0.96885</v>
      </c>
      <c r="JY1277" s="2">
        <v>0.9696399999999999</v>
      </c>
      <c r="JZ1277" s="2">
        <v>0.98136</v>
      </c>
      <c r="KE1277" s="2">
        <v>0.99966</v>
      </c>
      <c r="KF1277" s="2">
        <v>1.01379</v>
      </c>
      <c r="KG1277" s="2">
        <v>1.01434</v>
      </c>
      <c r="KH1277" s="2">
        <v>1.02099</v>
      </c>
      <c r="KI1277" s="2">
        <v>0.99776</v>
      </c>
      <c r="KJ1277" s="2">
        <v>1.02041</v>
      </c>
      <c r="KK1277" s="2">
        <v>1.00452</v>
      </c>
      <c r="KL1277" s="2">
        <v>1.01456</v>
      </c>
      <c r="KM1277" s="2">
        <v>0.99434</v>
      </c>
      <c r="KN1277" s="2">
        <v>0.96876</v>
      </c>
      <c r="KO1277" s="2">
        <v>0.96999</v>
      </c>
      <c r="KP1277" s="2">
        <v>0.9819600000000001</v>
      </c>
      <c r="KU1277" s="2">
        <v>0.99957</v>
      </c>
      <c r="KV1277" s="2">
        <v>1.01087</v>
      </c>
      <c r="KW1277" s="2">
        <v>1.01352</v>
      </c>
      <c r="KX1277" s="2">
        <v>1.01941</v>
      </c>
      <c r="KY1277" s="2">
        <v>0.99929</v>
      </c>
      <c r="KZ1277" s="2">
        <v>1.02304</v>
      </c>
      <c r="LA1277" s="2">
        <v>1.00758</v>
      </c>
      <c r="LB1277" s="2">
        <v>1.01525</v>
      </c>
      <c r="LC1277" s="2">
        <v>0.99414</v>
      </c>
      <c r="LD1277" s="2">
        <v>0.96914</v>
      </c>
      <c r="LE1277" s="2">
        <v>0.96783</v>
      </c>
      <c r="LF1277" s="2">
        <v>0.98231</v>
      </c>
      <c r="LK1277" s="2">
        <v>0.99675</v>
      </c>
      <c r="LL1277" s="2">
        <v>1.00616</v>
      </c>
      <c r="LM1277" s="2">
        <v>1.01214</v>
      </c>
      <c r="LN1277" s="2">
        <v>1.01935</v>
      </c>
      <c r="LO1277" s="2">
        <v>1.00323</v>
      </c>
      <c r="LP1277" s="2">
        <v>1.02741</v>
      </c>
      <c r="LQ1277" s="2">
        <v>1.01171</v>
      </c>
      <c r="LR1277" s="2">
        <v>1.01563</v>
      </c>
      <c r="LS1277" s="2">
        <v>0.99287</v>
      </c>
      <c r="LT1277" s="2">
        <v>0.96813</v>
      </c>
      <c r="LU1277" s="2">
        <v>0.96618</v>
      </c>
      <c r="LV1277" s="2">
        <v>0.98168</v>
      </c>
      <c r="MA1277" s="2">
        <v>0.99399</v>
      </c>
      <c r="MB1277" s="2">
        <v>1.00169</v>
      </c>
      <c r="MC1277" s="2">
        <v>1.01058</v>
      </c>
      <c r="MD1277" s="2">
        <v>1.01935</v>
      </c>
      <c r="ME1277" s="2">
        <v>1.00891</v>
      </c>
      <c r="MF1277" s="2">
        <v>1.03057</v>
      </c>
      <c r="MG1277" s="2">
        <v>1.01472</v>
      </c>
      <c r="MH1277" s="2">
        <v>1.01734</v>
      </c>
      <c r="MI1277" s="2">
        <v>0.99236</v>
      </c>
      <c r="MJ1277" s="2">
        <v>0.9666</v>
      </c>
      <c r="MK1277" s="2">
        <v>0.96438</v>
      </c>
      <c r="ML1277" s="2">
        <v>0.97988</v>
      </c>
      <c r="MQ1277" s="2">
        <v>0.99164</v>
      </c>
      <c r="MR1277" s="2">
        <v>0.99716</v>
      </c>
      <c r="MS1277" s="2">
        <v>1.00951</v>
      </c>
      <c r="MT1277" s="2">
        <v>1.01951</v>
      </c>
      <c r="MU1277" s="2">
        <v>1.0162</v>
      </c>
      <c r="MV1277" s="2">
        <v>1.03494</v>
      </c>
      <c r="MW1277" s="2">
        <v>1.01597</v>
      </c>
      <c r="MX1277" s="2">
        <v>1.01667</v>
      </c>
      <c r="MY1277" s="2">
        <v>0.99042</v>
      </c>
      <c r="MZ1277" s="2">
        <v>0.96434</v>
      </c>
      <c r="NA1277" s="2">
        <v>0.9644</v>
      </c>
      <c r="NB1277" s="2">
        <v>0.97798</v>
      </c>
      <c r="NG1277" s="2">
        <v>0.99161</v>
      </c>
      <c r="NH1277" s="2">
        <v>0.99442</v>
      </c>
      <c r="NI1277" s="2">
        <v>1.00909</v>
      </c>
      <c r="NJ1277" s="2">
        <v>1.02065</v>
      </c>
      <c r="NK1277" s="2">
        <v>1.02222</v>
      </c>
      <c r="NL1277" s="2">
        <v>1.03516</v>
      </c>
      <c r="NM1277" s="2">
        <v>1.01519</v>
      </c>
      <c r="NN1277" s="2">
        <v>1.0161</v>
      </c>
      <c r="NO1277" s="2">
        <v>0.99034</v>
      </c>
      <c r="NP1277" s="2">
        <v>0.96343</v>
      </c>
      <c r="NQ1277" s="2">
        <v>0.96365</v>
      </c>
      <c r="NR1277" s="2">
        <v>0.97625</v>
      </c>
      <c r="NW1277" s="2">
        <v>0.99115</v>
      </c>
      <c r="NX1277" s="2">
        <v>0.99356</v>
      </c>
      <c r="NY1277" s="2">
        <v>1.01009</v>
      </c>
      <c r="NZ1277" s="2">
        <v>1.02347</v>
      </c>
      <c r="OA1277" s="2">
        <v>1.02653</v>
      </c>
      <c r="OB1277" s="2">
        <v>1.03421</v>
      </c>
      <c r="OC1277" s="2">
        <v>1.01304</v>
      </c>
      <c r="OD1277" s="2">
        <v>1.01353</v>
      </c>
      <c r="OE1277" s="2">
        <v>0.9893</v>
      </c>
      <c r="OF1277" s="2">
        <v>0.9631</v>
      </c>
      <c r="OG1277" s="2">
        <v>0.96475</v>
      </c>
      <c r="OH1277" s="2">
        <v>0.97505</v>
      </c>
      <c r="OM1277" s="2">
        <v>0.9922</v>
      </c>
      <c r="ON1277" s="2">
        <v>0.99412</v>
      </c>
      <c r="OO1277" s="2">
        <v>1.01105</v>
      </c>
      <c r="OP1277" s="2">
        <v>1.02631</v>
      </c>
      <c r="OQ1277" s="2">
        <v>1.02879</v>
      </c>
      <c r="OR1277" s="2">
        <v>1.03004</v>
      </c>
      <c r="OS1277" s="2">
        <v>1.01076</v>
      </c>
      <c r="OT1277" s="2">
        <v>1.01299</v>
      </c>
      <c r="OU1277" s="2">
        <v>0.98881</v>
      </c>
      <c r="OV1277" s="2">
        <v>0.96315</v>
      </c>
      <c r="OW1277" s="2">
        <v>0.96606</v>
      </c>
      <c r="OX1277" s="2">
        <v>0.97427</v>
      </c>
      <c r="PC1277" s="2">
        <v>0.99382</v>
      </c>
      <c r="PD1277" s="2">
        <v>0.99419</v>
      </c>
      <c r="PE1277" s="2">
        <v>1.01209</v>
      </c>
      <c r="PF1277" s="2">
        <v>1.02687</v>
      </c>
      <c r="PG1277" s="2">
        <v>1.02885</v>
      </c>
      <c r="PH1277" s="2">
        <v>1.0287</v>
      </c>
      <c r="PI1277" s="2">
        <v>1.01</v>
      </c>
    </row>
    <row r="1278">
      <c r="A1278" t="inlineStr">
        <is>
          <t>A130576712F</t>
        </is>
      </c>
      <c r="B1278" t="inlineStr">
        <is>
          <t>Combined Seasonal Adjustment Factors ;  Australia ;  Eggs ;</t>
        </is>
      </c>
      <c r="C1278" t="inlineStr">
        <is>
          <t>Month</t>
        </is>
      </c>
      <c r="D1278" t="inlineStr">
        <is>
          <t>Number</t>
        </is>
      </c>
      <c r="E1278" t="inlineStr">
        <is>
          <t>Original</t>
        </is>
      </c>
      <c r="F1278" t="inlineStr">
        <is>
          <t>640108.xlsx</t>
        </is>
      </c>
      <c r="G1278" t="inlineStr">
        <is>
          <t>2017-09</t>
        </is>
      </c>
      <c r="H1278" t="inlineStr">
        <is>
          <t>2026-07</t>
        </is>
      </c>
      <c r="JW1278" s="2">
        <v>1.00054</v>
      </c>
      <c r="JX1278" s="2">
        <v>1.00059</v>
      </c>
      <c r="JY1278" s="2">
        <v>0.99715</v>
      </c>
      <c r="JZ1278" s="2">
        <v>0.99873</v>
      </c>
      <c r="KE1278" s="2">
        <v>0.99739</v>
      </c>
      <c r="KF1278" s="2">
        <v>0.99552</v>
      </c>
      <c r="KG1278" s="2">
        <v>0.99709</v>
      </c>
      <c r="KH1278" s="2">
        <v>1.00311</v>
      </c>
      <c r="KI1278" s="2">
        <v>0.99961</v>
      </c>
      <c r="KJ1278" s="2">
        <v>1.00175</v>
      </c>
      <c r="KK1278" s="2">
        <v>1.00351</v>
      </c>
      <c r="KL1278" s="2">
        <v>1.0041</v>
      </c>
      <c r="KM1278" s="2">
        <v>1.00102</v>
      </c>
      <c r="KN1278" s="2">
        <v>1.00071</v>
      </c>
      <c r="KO1278" s="2">
        <v>0.99704</v>
      </c>
      <c r="KP1278" s="2">
        <v>0.99874</v>
      </c>
      <c r="KU1278" s="2">
        <v>0.9978399999999999</v>
      </c>
      <c r="KV1278" s="2">
        <v>0.99578</v>
      </c>
      <c r="KW1278" s="2">
        <v>0.99712</v>
      </c>
      <c r="KX1278" s="2">
        <v>1.00246</v>
      </c>
      <c r="KY1278" s="2">
        <v>0.99937</v>
      </c>
      <c r="KZ1278" s="2">
        <v>1.00159</v>
      </c>
      <c r="LA1278" s="2">
        <v>1.00375</v>
      </c>
      <c r="LB1278" s="2">
        <v>1.00445</v>
      </c>
      <c r="LC1278" s="2">
        <v>1.00171</v>
      </c>
      <c r="LD1278" s="2">
        <v>1.00083</v>
      </c>
      <c r="LE1278" s="2">
        <v>0.9968900000000001</v>
      </c>
      <c r="LF1278" s="2">
        <v>0.99834</v>
      </c>
      <c r="LK1278" s="2">
        <v>0.99793</v>
      </c>
      <c r="LL1278" s="2">
        <v>0.99602</v>
      </c>
      <c r="LM1278" s="2">
        <v>0.99718</v>
      </c>
      <c r="LN1278" s="2">
        <v>1.00123</v>
      </c>
      <c r="LO1278" s="2">
        <v>0.99908</v>
      </c>
      <c r="LP1278" s="2">
        <v>1.00135</v>
      </c>
      <c r="LQ1278" s="2">
        <v>1.00423</v>
      </c>
      <c r="LR1278" s="2">
        <v>1.00518</v>
      </c>
      <c r="LS1278" s="2">
        <v>1.00249</v>
      </c>
      <c r="LT1278" s="2">
        <v>1.00108</v>
      </c>
      <c r="LU1278" s="2">
        <v>0.99685</v>
      </c>
      <c r="LV1278" s="2">
        <v>0.99777</v>
      </c>
      <c r="MA1278" s="2">
        <v>0.9976</v>
      </c>
      <c r="MB1278" s="2">
        <v>0.99626</v>
      </c>
      <c r="MC1278" s="2">
        <v>0.99733</v>
      </c>
      <c r="MD1278" s="2">
        <v>0.9999400000000001</v>
      </c>
      <c r="ME1278" s="2">
        <v>0.99896</v>
      </c>
      <c r="MF1278" s="2">
        <v>1.00108</v>
      </c>
      <c r="MG1278" s="2">
        <v>1.00447</v>
      </c>
      <c r="MH1278" s="2">
        <v>1.00602</v>
      </c>
      <c r="MI1278" s="2">
        <v>1.00346</v>
      </c>
      <c r="MJ1278" s="2">
        <v>1.00132</v>
      </c>
      <c r="MK1278" s="2">
        <v>0.99695</v>
      </c>
      <c r="ML1278" s="2">
        <v>0.99719</v>
      </c>
      <c r="MQ1278" s="2">
        <v>0.99701</v>
      </c>
      <c r="MR1278" s="2">
        <v>0.99641</v>
      </c>
      <c r="MS1278" s="2">
        <v>0.99754</v>
      </c>
      <c r="MT1278" s="2">
        <v>0.9986</v>
      </c>
      <c r="MU1278" s="2">
        <v>0.9988899999999999</v>
      </c>
      <c r="MV1278" s="2">
        <v>1.00112</v>
      </c>
      <c r="MW1278" s="2">
        <v>1.00472</v>
      </c>
      <c r="MX1278" s="2">
        <v>1.00688</v>
      </c>
      <c r="MY1278" s="2">
        <v>1.00413</v>
      </c>
      <c r="MZ1278" s="2">
        <v>1.0016</v>
      </c>
      <c r="NA1278" s="2">
        <v>0.99712</v>
      </c>
      <c r="NB1278" s="2">
        <v>0.99654</v>
      </c>
      <c r="NG1278" s="2">
        <v>0.99601</v>
      </c>
      <c r="NH1278" s="2">
        <v>0.99643</v>
      </c>
      <c r="NI1278" s="2">
        <v>0.9980599999999999</v>
      </c>
      <c r="NJ1278" s="2">
        <v>0.99776</v>
      </c>
      <c r="NK1278" s="2">
        <v>0.99931</v>
      </c>
      <c r="NL1278" s="2">
        <v>1.00107</v>
      </c>
      <c r="NM1278" s="2">
        <v>1.00446</v>
      </c>
      <c r="NN1278" s="2">
        <v>1.00753</v>
      </c>
      <c r="NO1278" s="2">
        <v>1.00459</v>
      </c>
      <c r="NP1278" s="2">
        <v>1.00184</v>
      </c>
      <c r="NQ1278" s="2">
        <v>0.99746</v>
      </c>
      <c r="NR1278" s="2">
        <v>0.99597</v>
      </c>
      <c r="NW1278" s="2">
        <v>0.99496</v>
      </c>
      <c r="NX1278" s="2">
        <v>0.99632</v>
      </c>
      <c r="NY1278" s="2">
        <v>0.9987</v>
      </c>
      <c r="NZ1278" s="2">
        <v>0.99721</v>
      </c>
      <c r="OA1278" s="2">
        <v>0.99987</v>
      </c>
      <c r="OB1278" s="2">
        <v>1.00115</v>
      </c>
      <c r="OC1278" s="2">
        <v>1.00414</v>
      </c>
      <c r="OD1278" s="2">
        <v>1.00794</v>
      </c>
      <c r="OE1278" s="2">
        <v>1.00469</v>
      </c>
      <c r="OF1278" s="2">
        <v>1.00207</v>
      </c>
      <c r="OG1278" s="2">
        <v>0.99768</v>
      </c>
      <c r="OH1278" s="2">
        <v>0.99558</v>
      </c>
      <c r="OM1278" s="2">
        <v>0.99399</v>
      </c>
      <c r="ON1278" s="2">
        <v>0.99618</v>
      </c>
      <c r="OO1278" s="2">
        <v>0.99932</v>
      </c>
      <c r="OP1278" s="2">
        <v>0.9971100000000001</v>
      </c>
      <c r="OQ1278" s="2">
        <v>1.00073</v>
      </c>
      <c r="OR1278" s="2">
        <v>1.00092</v>
      </c>
      <c r="OS1278" s="2">
        <v>1.00352</v>
      </c>
      <c r="OT1278" s="2">
        <v>1.00818</v>
      </c>
      <c r="OU1278" s="2">
        <v>1.00487</v>
      </c>
      <c r="OV1278" s="2">
        <v>1.00219</v>
      </c>
      <c r="OW1278" s="2">
        <v>0.9978</v>
      </c>
      <c r="OX1278" s="2">
        <v>0.99533</v>
      </c>
      <c r="PC1278" s="2">
        <v>0.99346</v>
      </c>
      <c r="PD1278" s="2">
        <v>0.99605</v>
      </c>
      <c r="PE1278" s="2">
        <v>0.9996</v>
      </c>
      <c r="PF1278" s="2">
        <v>0.99714</v>
      </c>
      <c r="PG1278" s="2">
        <v>1.00125</v>
      </c>
      <c r="PH1278" s="2">
        <v>1.00091</v>
      </c>
      <c r="PI1278" s="2">
        <v>1.0032</v>
      </c>
    </row>
    <row r="1279">
      <c r="A1279" t="inlineStr">
        <is>
          <t>A130576789C</t>
        </is>
      </c>
      <c r="B1279" t="inlineStr">
        <is>
          <t>Combined Seasonal Adjustment Factors ;  Australia ;  Jams, honey and spreads ;</t>
        </is>
      </c>
      <c r="C1279" t="inlineStr">
        <is>
          <t>Month</t>
        </is>
      </c>
      <c r="D1279" t="inlineStr">
        <is>
          <t>Number</t>
        </is>
      </c>
      <c r="E1279" t="inlineStr">
        <is>
          <t>Original</t>
        </is>
      </c>
      <c r="F1279" t="inlineStr">
        <is>
          <t>640108.xlsx</t>
        </is>
      </c>
      <c r="G1279" t="inlineStr">
        <is>
          <t>2017-09</t>
        </is>
      </c>
      <c r="H1279" t="inlineStr">
        <is>
          <t>2026-07</t>
        </is>
      </c>
      <c r="JW1279" s="2">
        <v>0.99888</v>
      </c>
      <c r="JX1279" s="2">
        <v>0.99901</v>
      </c>
      <c r="JY1279" s="2">
        <v>0.99471</v>
      </c>
      <c r="JZ1279" s="2">
        <v>1.00629</v>
      </c>
      <c r="KE1279" s="2">
        <v>1.00106</v>
      </c>
      <c r="KF1279" s="2">
        <v>0.99404</v>
      </c>
      <c r="KG1279" s="2">
        <v>1.00332</v>
      </c>
      <c r="KH1279" s="2">
        <v>1.0048</v>
      </c>
      <c r="KI1279" s="2">
        <v>1.00112</v>
      </c>
      <c r="KJ1279" s="2">
        <v>0.99988</v>
      </c>
      <c r="KK1279" s="2">
        <v>0.99248</v>
      </c>
      <c r="KL1279" s="2">
        <v>1.00398</v>
      </c>
      <c r="KM1279" s="2">
        <v>0.99932</v>
      </c>
      <c r="KN1279" s="2">
        <v>0.99912</v>
      </c>
      <c r="KO1279" s="2">
        <v>0.99493</v>
      </c>
      <c r="KP1279" s="2">
        <v>1.00656</v>
      </c>
      <c r="KU1279" s="2">
        <v>1.00075</v>
      </c>
      <c r="KV1279" s="2">
        <v>0.99402</v>
      </c>
      <c r="KW1279" s="2">
        <v>1.00339</v>
      </c>
      <c r="KX1279" s="2">
        <v>1.00452</v>
      </c>
      <c r="KY1279" s="2">
        <v>1.00029</v>
      </c>
      <c r="KZ1279" s="2">
        <v>0.99997</v>
      </c>
      <c r="LA1279" s="2">
        <v>0.99234</v>
      </c>
      <c r="LB1279" s="2">
        <v>1.00414</v>
      </c>
      <c r="LC1279" s="2">
        <v>1.00013</v>
      </c>
      <c r="LD1279" s="2">
        <v>0.99904</v>
      </c>
      <c r="LE1279" s="2">
        <v>0.99516</v>
      </c>
      <c r="LF1279" s="2">
        <v>1.0073</v>
      </c>
      <c r="LK1279" s="2">
        <v>1.00044</v>
      </c>
      <c r="LL1279" s="2">
        <v>0.99414</v>
      </c>
      <c r="LM1279" s="2">
        <v>1.0037</v>
      </c>
      <c r="LN1279" s="2">
        <v>1.00382</v>
      </c>
      <c r="LO1279" s="2">
        <v>0.99847</v>
      </c>
      <c r="LP1279" s="2">
        <v>1.00003</v>
      </c>
      <c r="LQ1279" s="2">
        <v>0.99216</v>
      </c>
      <c r="LR1279" s="2">
        <v>1.00476</v>
      </c>
      <c r="LS1279" s="2">
        <v>1.0004</v>
      </c>
      <c r="LT1279" s="2">
        <v>0.99941</v>
      </c>
      <c r="LU1279" s="2">
        <v>0.99586</v>
      </c>
      <c r="LV1279" s="2">
        <v>1.00801</v>
      </c>
      <c r="MA1279" s="2">
        <v>1.00049</v>
      </c>
      <c r="MB1279" s="2">
        <v>0.99452</v>
      </c>
      <c r="MC1279" s="2">
        <v>1.00407</v>
      </c>
      <c r="MD1279" s="2">
        <v>1.00256</v>
      </c>
      <c r="ME1279" s="2">
        <v>0.99637</v>
      </c>
      <c r="MF1279" s="2">
        <v>0.99954</v>
      </c>
      <c r="MG1279" s="2">
        <v>0.99183</v>
      </c>
      <c r="MH1279" s="2">
        <v>1.00538</v>
      </c>
      <c r="MI1279" s="2">
        <v>1.00066</v>
      </c>
      <c r="MJ1279" s="2">
        <v>1.00026</v>
      </c>
      <c r="MK1279" s="2">
        <v>0.99746</v>
      </c>
      <c r="ML1279" s="2">
        <v>1.00833</v>
      </c>
      <c r="MQ1279" s="2">
        <v>1.00063</v>
      </c>
      <c r="MR1279" s="2">
        <v>0.99491</v>
      </c>
      <c r="MS1279" s="2">
        <v>1.00442</v>
      </c>
      <c r="MT1279" s="2">
        <v>1.00099</v>
      </c>
      <c r="MU1279" s="2">
        <v>0.9942299999999999</v>
      </c>
      <c r="MV1279" s="2">
        <v>0.999</v>
      </c>
      <c r="MW1279" s="2">
        <v>0.9916700000000001</v>
      </c>
      <c r="MX1279" s="2">
        <v>1.00572</v>
      </c>
      <c r="MY1279" s="2">
        <v>1.00025</v>
      </c>
      <c r="MZ1279" s="2">
        <v>1.00165</v>
      </c>
      <c r="NA1279" s="2">
        <v>0.99976</v>
      </c>
      <c r="NB1279" s="2">
        <v>1.00762</v>
      </c>
      <c r="NG1279" s="2">
        <v>1.00145</v>
      </c>
      <c r="NH1279" s="2">
        <v>0.99544</v>
      </c>
      <c r="NI1279" s="2">
        <v>1.00465</v>
      </c>
      <c r="NJ1279" s="2">
        <v>0.9993300000000001</v>
      </c>
      <c r="NK1279" s="2">
        <v>0.99269</v>
      </c>
      <c r="NL1279" s="2">
        <v>0.99804</v>
      </c>
      <c r="NM1279" s="2">
        <v>0.9916700000000001</v>
      </c>
      <c r="NN1279" s="2">
        <v>1.00552</v>
      </c>
      <c r="NO1279" s="2">
        <v>1.00014</v>
      </c>
      <c r="NP1279" s="2">
        <v>1.00279</v>
      </c>
      <c r="NQ1279" s="2">
        <v>1.00202</v>
      </c>
      <c r="NR1279" s="2">
        <v>1.00665</v>
      </c>
      <c r="NW1279" s="2">
        <v>1.0026</v>
      </c>
      <c r="NX1279" s="2">
        <v>0.9959</v>
      </c>
      <c r="NY1279" s="2">
        <v>1.00477</v>
      </c>
      <c r="NZ1279" s="2">
        <v>0.99792</v>
      </c>
      <c r="OA1279" s="2">
        <v>0.99164</v>
      </c>
      <c r="OB1279" s="2">
        <v>0.99707</v>
      </c>
      <c r="OC1279" s="2">
        <v>0.99192</v>
      </c>
      <c r="OD1279" s="2">
        <v>1.00517</v>
      </c>
      <c r="OE1279" s="2">
        <v>0.99983</v>
      </c>
      <c r="OF1279" s="2">
        <v>1.00358</v>
      </c>
      <c r="OG1279" s="2">
        <v>1.00358</v>
      </c>
      <c r="OH1279" s="2">
        <v>1.00593</v>
      </c>
      <c r="OM1279" s="2">
        <v>1.00393</v>
      </c>
      <c r="ON1279" s="2">
        <v>0.99638</v>
      </c>
      <c r="OO1279" s="2">
        <v>1.0046</v>
      </c>
      <c r="OP1279" s="2">
        <v>0.99674</v>
      </c>
      <c r="OQ1279" s="2">
        <v>0.9914500000000001</v>
      </c>
      <c r="OR1279" s="2">
        <v>0.99598</v>
      </c>
      <c r="OS1279" s="2">
        <v>0.99209</v>
      </c>
      <c r="OT1279" s="2">
        <v>1.00482</v>
      </c>
      <c r="OU1279" s="2">
        <v>0.99991</v>
      </c>
      <c r="OV1279" s="2">
        <v>1.00398</v>
      </c>
      <c r="OW1279" s="2">
        <v>1.0046</v>
      </c>
      <c r="OX1279" s="2">
        <v>1.00554</v>
      </c>
      <c r="PC1279" s="2">
        <v>1.00468</v>
      </c>
      <c r="PD1279" s="2">
        <v>0.99655</v>
      </c>
      <c r="PE1279" s="2">
        <v>1.00429</v>
      </c>
      <c r="PF1279" s="2">
        <v>0.99617</v>
      </c>
      <c r="PG1279" s="2">
        <v>0.99165</v>
      </c>
      <c r="PH1279" s="2">
        <v>0.99526</v>
      </c>
      <c r="PI1279" s="2">
        <v>0.9922800000000001</v>
      </c>
    </row>
    <row r="1280">
      <c r="A1280" t="inlineStr">
        <is>
          <t>A130576750V</t>
        </is>
      </c>
      <c r="B1280" t="inlineStr">
        <is>
          <t>Combined Seasonal Adjustment Factors ;  Australia ;  Food additives and condiments ;</t>
        </is>
      </c>
      <c r="C1280" t="inlineStr">
        <is>
          <t>Month</t>
        </is>
      </c>
      <c r="D1280" t="inlineStr">
        <is>
          <t>Number</t>
        </is>
      </c>
      <c r="E1280" t="inlineStr">
        <is>
          <t>Original</t>
        </is>
      </c>
      <c r="F1280" t="inlineStr">
        <is>
          <t>640108.xlsx</t>
        </is>
      </c>
      <c r="G1280" t="inlineStr">
        <is>
          <t>2017-09</t>
        </is>
      </c>
      <c r="H1280" t="inlineStr">
        <is>
          <t>2026-07</t>
        </is>
      </c>
      <c r="JW1280" s="2">
        <v>0.9917</v>
      </c>
      <c r="JX1280" s="2">
        <v>0.9996</v>
      </c>
      <c r="JY1280" s="2">
        <v>1.00409</v>
      </c>
      <c r="JZ1280" s="2">
        <v>0.99003</v>
      </c>
      <c r="KE1280" s="2">
        <v>1.01099</v>
      </c>
      <c r="KF1280" s="2">
        <v>1.01045</v>
      </c>
      <c r="KG1280" s="2">
        <v>1.00887</v>
      </c>
      <c r="KH1280" s="2">
        <v>0.9942299999999999</v>
      </c>
      <c r="KI1280" s="2">
        <v>0.99435</v>
      </c>
      <c r="KJ1280" s="2">
        <v>0.99478</v>
      </c>
      <c r="KK1280" s="2">
        <v>0.99919</v>
      </c>
      <c r="KL1280" s="2">
        <v>1.00121</v>
      </c>
      <c r="KM1280" s="2">
        <v>0.99216</v>
      </c>
      <c r="KN1280" s="2">
        <v>0.99984</v>
      </c>
      <c r="KO1280" s="2">
        <v>1.00411</v>
      </c>
      <c r="KP1280" s="2">
        <v>0.99015</v>
      </c>
      <c r="KU1280" s="2">
        <v>1.01126</v>
      </c>
      <c r="KV1280" s="2">
        <v>1.01014</v>
      </c>
      <c r="KW1280" s="2">
        <v>1.00826</v>
      </c>
      <c r="KX1280" s="2">
        <v>0.99412</v>
      </c>
      <c r="KY1280" s="2">
        <v>0.99436</v>
      </c>
      <c r="KZ1280" s="2">
        <v>0.9946700000000001</v>
      </c>
      <c r="LA1280" s="2">
        <v>0.99913</v>
      </c>
      <c r="LB1280" s="2">
        <v>1.00109</v>
      </c>
      <c r="LC1280" s="2">
        <v>0.9930600000000001</v>
      </c>
      <c r="LD1280" s="2">
        <v>1.00041</v>
      </c>
      <c r="LE1280" s="2">
        <v>1.00409</v>
      </c>
      <c r="LF1280" s="2">
        <v>0.99024</v>
      </c>
      <c r="LK1280" s="2">
        <v>1.01137</v>
      </c>
      <c r="LL1280" s="2">
        <v>1.00966</v>
      </c>
      <c r="LM1280" s="2">
        <v>1.00704</v>
      </c>
      <c r="LN1280" s="2">
        <v>0.99402</v>
      </c>
      <c r="LO1280" s="2">
        <v>0.99474</v>
      </c>
      <c r="LP1280" s="2">
        <v>0.99451</v>
      </c>
      <c r="LQ1280" s="2">
        <v>0.99874</v>
      </c>
      <c r="LR1280" s="2">
        <v>1.00109</v>
      </c>
      <c r="LS1280" s="2">
        <v>0.99453</v>
      </c>
      <c r="LT1280" s="2">
        <v>1.00107</v>
      </c>
      <c r="LU1280" s="2">
        <v>1.00381</v>
      </c>
      <c r="LV1280" s="2">
        <v>0.99072</v>
      </c>
      <c r="MA1280" s="2">
        <v>1.01125</v>
      </c>
      <c r="MB1280" s="2">
        <v>1.00894</v>
      </c>
      <c r="MC1280" s="2">
        <v>1.00531</v>
      </c>
      <c r="MD1280" s="2">
        <v>0.9942</v>
      </c>
      <c r="ME1280" s="2">
        <v>0.99543</v>
      </c>
      <c r="MF1280" s="2">
        <v>0.99464</v>
      </c>
      <c r="MG1280" s="2">
        <v>0.99797</v>
      </c>
      <c r="MH1280" s="2">
        <v>1.00118</v>
      </c>
      <c r="MI1280" s="2">
        <v>0.99594</v>
      </c>
      <c r="MJ1280" s="2">
        <v>1.00171</v>
      </c>
      <c r="MK1280" s="2">
        <v>1.00317</v>
      </c>
      <c r="ML1280" s="2">
        <v>0.99171</v>
      </c>
      <c r="MQ1280" s="2">
        <v>1.01111</v>
      </c>
      <c r="MR1280" s="2">
        <v>1.00806</v>
      </c>
      <c r="MS1280" s="2">
        <v>1.00361</v>
      </c>
      <c r="MT1280" s="2">
        <v>0.99448</v>
      </c>
      <c r="MU1280" s="2">
        <v>0.99608</v>
      </c>
      <c r="MV1280" s="2">
        <v>0.9949</v>
      </c>
      <c r="MW1280" s="2">
        <v>0.99707</v>
      </c>
      <c r="MX1280" s="2">
        <v>1.00124</v>
      </c>
      <c r="MY1280" s="2">
        <v>0.99729</v>
      </c>
      <c r="MZ1280" s="2">
        <v>1.00216</v>
      </c>
      <c r="NA1280" s="2">
        <v>1.0023</v>
      </c>
      <c r="NB1280" s="2">
        <v>0.99296</v>
      </c>
      <c r="NG1280" s="2">
        <v>1.01112</v>
      </c>
      <c r="NH1280" s="2">
        <v>1.00684</v>
      </c>
      <c r="NI1280" s="2">
        <v>1.00214</v>
      </c>
      <c r="NJ1280" s="2">
        <v>0.99509</v>
      </c>
      <c r="NK1280" s="2">
        <v>0.9968900000000001</v>
      </c>
      <c r="NL1280" s="2">
        <v>0.99538</v>
      </c>
      <c r="NM1280" s="2">
        <v>0.99599</v>
      </c>
      <c r="NN1280" s="2">
        <v>1.00121</v>
      </c>
      <c r="NO1280" s="2">
        <v>0.99808</v>
      </c>
      <c r="NP1280" s="2">
        <v>1.00254</v>
      </c>
      <c r="NQ1280" s="2">
        <v>1.00145</v>
      </c>
      <c r="NR1280" s="2">
        <v>0.99413</v>
      </c>
      <c r="NW1280" s="2">
        <v>1.01116</v>
      </c>
      <c r="NX1280" s="2">
        <v>1.00571</v>
      </c>
      <c r="NY1280" s="2">
        <v>1.00126</v>
      </c>
      <c r="NZ1280" s="2">
        <v>0.99575</v>
      </c>
      <c r="OA1280" s="2">
        <v>0.9977200000000001</v>
      </c>
      <c r="OB1280" s="2">
        <v>0.99571</v>
      </c>
      <c r="OC1280" s="2">
        <v>0.99494</v>
      </c>
      <c r="OD1280" s="2">
        <v>1.00118</v>
      </c>
      <c r="OE1280" s="2">
        <v>0.9984499999999999</v>
      </c>
      <c r="OF1280" s="2">
        <v>1.00268</v>
      </c>
      <c r="OG1280" s="2">
        <v>1.00084</v>
      </c>
      <c r="OH1280" s="2">
        <v>0.99514</v>
      </c>
      <c r="OM1280" s="2">
        <v>1.0111</v>
      </c>
      <c r="ON1280" s="2">
        <v>1.00484</v>
      </c>
      <c r="OO1280" s="2">
        <v>1.00086</v>
      </c>
      <c r="OP1280" s="2">
        <v>0.99639</v>
      </c>
      <c r="OQ1280" s="2">
        <v>0.9985000000000001</v>
      </c>
      <c r="OR1280" s="2">
        <v>0.9959</v>
      </c>
      <c r="OS1280" s="2">
        <v>0.99407</v>
      </c>
      <c r="OT1280" s="2">
        <v>1.0012</v>
      </c>
      <c r="OU1280" s="2">
        <v>0.9982799999999999</v>
      </c>
      <c r="OV1280" s="2">
        <v>1.00268</v>
      </c>
      <c r="OW1280" s="2">
        <v>1.00041</v>
      </c>
      <c r="OX1280" s="2">
        <v>0.99594</v>
      </c>
      <c r="PC1280" s="2">
        <v>1.01125</v>
      </c>
      <c r="PD1280" s="2">
        <v>1.00422</v>
      </c>
      <c r="PE1280" s="2">
        <v>1.00091</v>
      </c>
      <c r="PF1280" s="2">
        <v>0.9967200000000001</v>
      </c>
      <c r="PG1280" s="2">
        <v>0.99891</v>
      </c>
      <c r="PH1280" s="2">
        <v>0.99574</v>
      </c>
      <c r="PI1280" s="2">
        <v>0.99378</v>
      </c>
    </row>
    <row r="1281">
      <c r="A1281" t="inlineStr">
        <is>
          <t>A130576724R</t>
        </is>
      </c>
      <c r="B1281" t="inlineStr">
        <is>
          <t>Combined Seasonal Adjustment Factors ;  Australia ;  Oils and fats ;</t>
        </is>
      </c>
      <c r="C1281" t="inlineStr">
        <is>
          <t>Month</t>
        </is>
      </c>
      <c r="D1281" t="inlineStr">
        <is>
          <t>Number</t>
        </is>
      </c>
      <c r="E1281" t="inlineStr">
        <is>
          <t>Original</t>
        </is>
      </c>
      <c r="F1281" t="inlineStr">
        <is>
          <t>640108.xlsx</t>
        </is>
      </c>
      <c r="G1281" t="inlineStr">
        <is>
          <t>2017-09</t>
        </is>
      </c>
      <c r="H1281" t="inlineStr">
        <is>
          <t>2026-07</t>
        </is>
      </c>
      <c r="JW1281" s="2">
        <v>0.9922</v>
      </c>
      <c r="JX1281" s="2">
        <v>0.99893</v>
      </c>
      <c r="JY1281" s="2">
        <v>0.99969</v>
      </c>
      <c r="JZ1281" s="2">
        <v>0.99747</v>
      </c>
      <c r="KE1281" s="2">
        <v>1.00273</v>
      </c>
      <c r="KF1281" s="2">
        <v>0.9998899999999999</v>
      </c>
      <c r="KG1281" s="2">
        <v>1.00114</v>
      </c>
      <c r="KH1281" s="2">
        <v>1.00921</v>
      </c>
      <c r="KI1281" s="2">
        <v>0.99843</v>
      </c>
      <c r="KJ1281" s="2">
        <v>0.98976</v>
      </c>
      <c r="KK1281" s="2">
        <v>1.00653</v>
      </c>
      <c r="KL1281" s="2">
        <v>1.00378</v>
      </c>
      <c r="KM1281" s="2">
        <v>0.99274</v>
      </c>
      <c r="KN1281" s="2">
        <v>0.9989400000000001</v>
      </c>
      <c r="KO1281" s="2">
        <v>1.00004</v>
      </c>
      <c r="KP1281" s="2">
        <v>0.99646</v>
      </c>
      <c r="KU1281" s="2">
        <v>1.00268</v>
      </c>
      <c r="KV1281" s="2">
        <v>0.99997</v>
      </c>
      <c r="KW1281" s="2">
        <v>1.00132</v>
      </c>
      <c r="KX1281" s="2">
        <v>1.00881</v>
      </c>
      <c r="KY1281" s="2">
        <v>0.99805</v>
      </c>
      <c r="KZ1281" s="2">
        <v>0.99009</v>
      </c>
      <c r="LA1281" s="2">
        <v>1.00734</v>
      </c>
      <c r="LB1281" s="2">
        <v>1.00396</v>
      </c>
      <c r="LC1281" s="2">
        <v>0.9937</v>
      </c>
      <c r="LD1281" s="2">
        <v>0.99902</v>
      </c>
      <c r="LE1281" s="2">
        <v>0.9999400000000001</v>
      </c>
      <c r="LF1281" s="2">
        <v>0.99466</v>
      </c>
      <c r="LK1281" s="2">
        <v>1.00232</v>
      </c>
      <c r="LL1281" s="2">
        <v>1.00015</v>
      </c>
      <c r="LM1281" s="2">
        <v>1.0015</v>
      </c>
      <c r="LN1281" s="2">
        <v>1.00775</v>
      </c>
      <c r="LO1281" s="2">
        <v>0.99805</v>
      </c>
      <c r="LP1281" s="2">
        <v>0.99096</v>
      </c>
      <c r="LQ1281" s="2">
        <v>1.00833</v>
      </c>
      <c r="LR1281" s="2">
        <v>1.00427</v>
      </c>
      <c r="LS1281" s="2">
        <v>0.9952</v>
      </c>
      <c r="LT1281" s="2">
        <v>0.99854</v>
      </c>
      <c r="LU1281" s="2">
        <v>1.00033</v>
      </c>
      <c r="LV1281" s="2">
        <v>0.9922</v>
      </c>
      <c r="MA1281" s="2">
        <v>1.00183</v>
      </c>
      <c r="MB1281" s="2">
        <v>1.00008</v>
      </c>
      <c r="MC1281" s="2">
        <v>1.00123</v>
      </c>
      <c r="MD1281" s="2">
        <v>1.00689</v>
      </c>
      <c r="ME1281" s="2">
        <v>0.9985000000000001</v>
      </c>
      <c r="MF1281" s="2">
        <v>0.9923</v>
      </c>
      <c r="MG1281" s="2">
        <v>1.00919</v>
      </c>
      <c r="MH1281" s="2">
        <v>1.00492</v>
      </c>
      <c r="MI1281" s="2">
        <v>0.99626</v>
      </c>
      <c r="MJ1281" s="2">
        <v>0.99798</v>
      </c>
      <c r="MK1281" s="2">
        <v>1.00033</v>
      </c>
      <c r="ML1281" s="2">
        <v>0.99009</v>
      </c>
      <c r="MQ1281" s="2">
        <v>1.00154</v>
      </c>
      <c r="MR1281" s="2">
        <v>1.00012</v>
      </c>
      <c r="MS1281" s="2">
        <v>1.00039</v>
      </c>
      <c r="MT1281" s="2">
        <v>1.00562</v>
      </c>
      <c r="MU1281" s="2">
        <v>0.99958</v>
      </c>
      <c r="MV1281" s="2">
        <v>0.99439</v>
      </c>
      <c r="MW1281" s="2">
        <v>1.00939</v>
      </c>
      <c r="MX1281" s="2">
        <v>1.00549</v>
      </c>
      <c r="MY1281" s="2">
        <v>0.9972800000000001</v>
      </c>
      <c r="MZ1281" s="2">
        <v>0.99702</v>
      </c>
      <c r="NA1281" s="2">
        <v>1.0004</v>
      </c>
      <c r="NB1281" s="2">
        <v>0.98855</v>
      </c>
      <c r="NG1281" s="2">
        <v>1.00094</v>
      </c>
      <c r="NH1281" s="2">
        <v>1.00065</v>
      </c>
      <c r="NI1281" s="2">
        <v>0.99915</v>
      </c>
      <c r="NJ1281" s="2">
        <v>1.00476</v>
      </c>
      <c r="NK1281" s="2">
        <v>1.00038</v>
      </c>
      <c r="NL1281" s="2">
        <v>0.99703</v>
      </c>
      <c r="NM1281" s="2">
        <v>1.00911</v>
      </c>
      <c r="NN1281" s="2">
        <v>1.00602</v>
      </c>
      <c r="NO1281" s="2">
        <v>0.99769</v>
      </c>
      <c r="NP1281" s="2">
        <v>0.99629</v>
      </c>
      <c r="NQ1281" s="2">
        <v>0.99948</v>
      </c>
      <c r="NR1281" s="2">
        <v>0.98834</v>
      </c>
      <c r="NW1281" s="2">
        <v>1.00039</v>
      </c>
      <c r="NX1281" s="2">
        <v>1.00152</v>
      </c>
      <c r="NY1281" s="2">
        <v>0.9978</v>
      </c>
      <c r="NZ1281" s="2">
        <v>1.00376</v>
      </c>
      <c r="OA1281" s="2">
        <v>1.00134</v>
      </c>
      <c r="OB1281" s="2">
        <v>0.99968</v>
      </c>
      <c r="OC1281" s="2">
        <v>1.00827</v>
      </c>
      <c r="OD1281" s="2">
        <v>1.00623</v>
      </c>
      <c r="OE1281" s="2">
        <v>0.99813</v>
      </c>
      <c r="OF1281" s="2">
        <v>0.99561</v>
      </c>
      <c r="OG1281" s="2">
        <v>0.99877</v>
      </c>
      <c r="OH1281" s="2">
        <v>0.98846</v>
      </c>
      <c r="OM1281" s="2">
        <v>0.99998</v>
      </c>
      <c r="ON1281" s="2">
        <v>1.00203</v>
      </c>
      <c r="OO1281" s="2">
        <v>0.99669</v>
      </c>
      <c r="OP1281" s="2">
        <v>1.00338</v>
      </c>
      <c r="OQ1281" s="2">
        <v>1.00198</v>
      </c>
      <c r="OR1281" s="2">
        <v>1.00184</v>
      </c>
      <c r="OS1281" s="2">
        <v>1.00751</v>
      </c>
      <c r="OT1281" s="2">
        <v>1.00624</v>
      </c>
      <c r="OU1281" s="2">
        <v>0.99807</v>
      </c>
      <c r="OV1281" s="2">
        <v>0.99527</v>
      </c>
      <c r="OW1281" s="2">
        <v>0.9980599999999999</v>
      </c>
      <c r="OX1281" s="2">
        <v>0.98877</v>
      </c>
      <c r="PC1281" s="2">
        <v>0.99999</v>
      </c>
      <c r="PD1281" s="2">
        <v>1.00233</v>
      </c>
      <c r="PE1281" s="2">
        <v>0.99599</v>
      </c>
      <c r="PF1281" s="2">
        <v>1.00309</v>
      </c>
      <c r="PG1281" s="2">
        <v>1.00262</v>
      </c>
      <c r="PH1281" s="2">
        <v>1.00288</v>
      </c>
      <c r="PI1281" s="2">
        <v>1.00702</v>
      </c>
    </row>
    <row r="1282">
      <c r="A1282" t="inlineStr">
        <is>
          <t>A130576741T</t>
        </is>
      </c>
      <c r="B1282" t="inlineStr">
        <is>
          <t>Combined Seasonal Adjustment Factors ;  Australia ;  Snacks and confectionery ;</t>
        </is>
      </c>
      <c r="C1282" t="inlineStr">
        <is>
          <t>Month</t>
        </is>
      </c>
      <c r="D1282" t="inlineStr">
        <is>
          <t>Number</t>
        </is>
      </c>
      <c r="E1282" t="inlineStr">
        <is>
          <t>Original</t>
        </is>
      </c>
      <c r="F1282" t="inlineStr">
        <is>
          <t>640108.xlsx</t>
        </is>
      </c>
      <c r="G1282" t="inlineStr">
        <is>
          <t>2017-09</t>
        </is>
      </c>
      <c r="H1282" t="inlineStr">
        <is>
          <t>2026-07</t>
        </is>
      </c>
      <c r="JW1282" s="2">
        <v>0.99017</v>
      </c>
      <c r="JX1282" s="2">
        <v>0.9972800000000001</v>
      </c>
      <c r="JY1282" s="2">
        <v>0.99198</v>
      </c>
      <c r="JZ1282" s="2">
        <v>1.00372</v>
      </c>
      <c r="KE1282" s="2">
        <v>1.01633</v>
      </c>
      <c r="KF1282" s="2">
        <v>1.00257</v>
      </c>
      <c r="KG1282" s="2">
        <v>1.00306</v>
      </c>
      <c r="KH1282" s="2">
        <v>1.00705</v>
      </c>
      <c r="KI1282" s="2">
        <v>0.99696</v>
      </c>
      <c r="KJ1282" s="2">
        <v>0.99358</v>
      </c>
      <c r="KK1282" s="2">
        <v>0.99983</v>
      </c>
      <c r="KL1282" s="2">
        <v>0.9974499999999999</v>
      </c>
      <c r="KM1282" s="2">
        <v>0.99015</v>
      </c>
      <c r="KN1282" s="2">
        <v>0.9971100000000001</v>
      </c>
      <c r="KO1282" s="2">
        <v>0.99198</v>
      </c>
      <c r="KP1282" s="2">
        <v>1.00339</v>
      </c>
      <c r="KU1282" s="2">
        <v>1.01683</v>
      </c>
      <c r="KV1282" s="2">
        <v>1.00265</v>
      </c>
      <c r="KW1282" s="2">
        <v>1.00355</v>
      </c>
      <c r="KX1282" s="2">
        <v>1.00698</v>
      </c>
      <c r="KY1282" s="2">
        <v>0.9967200000000001</v>
      </c>
      <c r="KZ1282" s="2">
        <v>0.99382</v>
      </c>
      <c r="LA1282" s="2">
        <v>0.99919</v>
      </c>
      <c r="LB1282" s="2">
        <v>0.99725</v>
      </c>
      <c r="LC1282" s="2">
        <v>0.99049</v>
      </c>
      <c r="LD1282" s="2">
        <v>0.99694</v>
      </c>
      <c r="LE1282" s="2">
        <v>0.9916700000000001</v>
      </c>
      <c r="LF1282" s="2">
        <v>1.00266</v>
      </c>
      <c r="LK1282" s="2">
        <v>1.01781</v>
      </c>
      <c r="LL1282" s="2">
        <v>1.00292</v>
      </c>
      <c r="LM1282" s="2">
        <v>1.00466</v>
      </c>
      <c r="LN1282" s="2">
        <v>1.00663</v>
      </c>
      <c r="LO1282" s="2">
        <v>0.99663</v>
      </c>
      <c r="LP1282" s="2">
        <v>0.99437</v>
      </c>
      <c r="LQ1282" s="2">
        <v>0.99815</v>
      </c>
      <c r="LR1282" s="2">
        <v>0.99638</v>
      </c>
      <c r="LS1282" s="2">
        <v>0.99111</v>
      </c>
      <c r="LT1282" s="2">
        <v>0.99602</v>
      </c>
      <c r="LU1282" s="2">
        <v>0.99114</v>
      </c>
      <c r="LV1282" s="2">
        <v>1.0024</v>
      </c>
      <c r="MA1282" s="2">
        <v>1.01955</v>
      </c>
      <c r="MB1282" s="2">
        <v>1.00323</v>
      </c>
      <c r="MC1282" s="2">
        <v>1.00539</v>
      </c>
      <c r="MD1282" s="2">
        <v>1.0067</v>
      </c>
      <c r="ME1282" s="2">
        <v>0.9968399999999999</v>
      </c>
      <c r="MF1282" s="2">
        <v>0.99485</v>
      </c>
      <c r="MG1282" s="2">
        <v>0.99681</v>
      </c>
      <c r="MH1282" s="2">
        <v>0.9951100000000001</v>
      </c>
      <c r="MI1282" s="2">
        <v>0.99215</v>
      </c>
      <c r="MJ1282" s="2">
        <v>0.99426</v>
      </c>
      <c r="MK1282" s="2">
        <v>0.99031</v>
      </c>
      <c r="ML1282" s="2">
        <v>1.00291</v>
      </c>
      <c r="MQ1282" s="2">
        <v>1.02181</v>
      </c>
      <c r="MR1282" s="2">
        <v>1.00323</v>
      </c>
      <c r="MS1282" s="2">
        <v>1.00555</v>
      </c>
      <c r="MT1282" s="2">
        <v>1.00741</v>
      </c>
      <c r="MU1282" s="2">
        <v>0.99707</v>
      </c>
      <c r="MV1282" s="2">
        <v>0.99546</v>
      </c>
      <c r="MW1282" s="2">
        <v>0.99543</v>
      </c>
      <c r="MX1282" s="2">
        <v>0.99359</v>
      </c>
      <c r="MY1282" s="2">
        <v>0.99353</v>
      </c>
      <c r="MZ1282" s="2">
        <v>0.99183</v>
      </c>
      <c r="NA1282" s="2">
        <v>0.98958</v>
      </c>
      <c r="NB1282" s="2">
        <v>1.00383</v>
      </c>
      <c r="NG1282" s="2">
        <v>1.02366</v>
      </c>
      <c r="NH1282" s="2">
        <v>1.00335</v>
      </c>
      <c r="NI1282" s="2">
        <v>1.0051</v>
      </c>
      <c r="NJ1282" s="2">
        <v>1.00909</v>
      </c>
      <c r="NK1282" s="2">
        <v>0.99741</v>
      </c>
      <c r="NL1282" s="2">
        <v>0.99547</v>
      </c>
      <c r="NM1282" s="2">
        <v>0.99398</v>
      </c>
      <c r="NN1282" s="2">
        <v>0.99238</v>
      </c>
      <c r="NO1282" s="2">
        <v>0.99505</v>
      </c>
      <c r="NP1282" s="2">
        <v>0.98958</v>
      </c>
      <c r="NQ1282" s="2">
        <v>0.98882</v>
      </c>
      <c r="NR1282" s="2">
        <v>1.00481</v>
      </c>
      <c r="NW1282" s="2">
        <v>1.0248</v>
      </c>
      <c r="NX1282" s="2">
        <v>1.00348</v>
      </c>
      <c r="NY1282" s="2">
        <v>1.00463</v>
      </c>
      <c r="NZ1282" s="2">
        <v>1.01098</v>
      </c>
      <c r="OA1282" s="2">
        <v>0.99773</v>
      </c>
      <c r="OB1282" s="2">
        <v>0.99538</v>
      </c>
      <c r="OC1282" s="2">
        <v>0.9930600000000001</v>
      </c>
      <c r="OD1282" s="2">
        <v>0.99127</v>
      </c>
      <c r="OE1282" s="2">
        <v>0.9958399999999999</v>
      </c>
      <c r="OF1282" s="2">
        <v>0.98768</v>
      </c>
      <c r="OG1282" s="2">
        <v>0.98855</v>
      </c>
      <c r="OH1282" s="2">
        <v>1.00582</v>
      </c>
      <c r="OM1282" s="2">
        <v>1.02561</v>
      </c>
      <c r="ON1282" s="2">
        <v>1.00349</v>
      </c>
      <c r="OO1282" s="2">
        <v>1.00397</v>
      </c>
      <c r="OP1282" s="2">
        <v>1.01277</v>
      </c>
      <c r="OQ1282" s="2">
        <v>0.99795</v>
      </c>
      <c r="OR1282" s="2">
        <v>0.99488</v>
      </c>
      <c r="OS1282" s="2">
        <v>0.99261</v>
      </c>
      <c r="OT1282" s="2">
        <v>0.99063</v>
      </c>
      <c r="OU1282" s="2">
        <v>0.99619</v>
      </c>
      <c r="OV1282" s="2">
        <v>0.98647</v>
      </c>
      <c r="OW1282" s="2">
        <v>0.98853</v>
      </c>
      <c r="OX1282" s="2">
        <v>1.00666</v>
      </c>
      <c r="PC1282" s="2">
        <v>1.02617</v>
      </c>
      <c r="PD1282" s="2">
        <v>1.00313</v>
      </c>
      <c r="PE1282" s="2">
        <v>1.00339</v>
      </c>
      <c r="PF1282" s="2">
        <v>1.01413</v>
      </c>
      <c r="PG1282" s="2">
        <v>0.99781</v>
      </c>
      <c r="PH1282" s="2">
        <v>0.99468</v>
      </c>
      <c r="PI1282" s="2">
        <v>0.99242</v>
      </c>
    </row>
    <row r="1283">
      <c r="A1283" t="inlineStr">
        <is>
          <t>A130576757K</t>
        </is>
      </c>
      <c r="B1283" t="inlineStr">
        <is>
          <t>Combined Seasonal Adjustment Factors ;  Australia ;  Other food products n.e.c. ;</t>
        </is>
      </c>
      <c r="C1283" t="inlineStr">
        <is>
          <t>Month</t>
        </is>
      </c>
      <c r="D1283" t="inlineStr">
        <is>
          <t>Number</t>
        </is>
      </c>
      <c r="E1283" t="inlineStr">
        <is>
          <t>Original</t>
        </is>
      </c>
      <c r="F1283" t="inlineStr">
        <is>
          <t>640108.xlsx</t>
        </is>
      </c>
      <c r="G1283" t="inlineStr">
        <is>
          <t>2017-09</t>
        </is>
      </c>
      <c r="H1283" t="inlineStr">
        <is>
          <t>2026-07</t>
        </is>
      </c>
      <c r="JW1283" s="2">
        <v>0.98869</v>
      </c>
      <c r="JX1283" s="2">
        <v>0.99618</v>
      </c>
      <c r="JY1283" s="2">
        <v>1.00944</v>
      </c>
      <c r="JZ1283" s="2">
        <v>1.02205</v>
      </c>
      <c r="KE1283" s="2">
        <v>1.01879</v>
      </c>
      <c r="KF1283" s="2">
        <v>1.00683</v>
      </c>
      <c r="KG1283" s="2">
        <v>0.99588</v>
      </c>
      <c r="KH1283" s="2">
        <v>1.00088</v>
      </c>
      <c r="KI1283" s="2">
        <v>0.98728</v>
      </c>
      <c r="KJ1283" s="2">
        <v>0.98717</v>
      </c>
      <c r="KK1283" s="2">
        <v>0.99315</v>
      </c>
      <c r="KL1283" s="2">
        <v>0.99388</v>
      </c>
      <c r="KM1283" s="2">
        <v>0.98871</v>
      </c>
      <c r="KN1283" s="2">
        <v>0.99617</v>
      </c>
      <c r="KO1283" s="2">
        <v>1.00909</v>
      </c>
      <c r="KP1283" s="2">
        <v>1.0219</v>
      </c>
      <c r="KU1283" s="2">
        <v>1.01853</v>
      </c>
      <c r="KV1283" s="2">
        <v>1.00708</v>
      </c>
      <c r="KW1283" s="2">
        <v>0.99599</v>
      </c>
      <c r="KX1283" s="2">
        <v>1.00084</v>
      </c>
      <c r="KY1283" s="2">
        <v>0.98778</v>
      </c>
      <c r="KZ1283" s="2">
        <v>0.98699</v>
      </c>
      <c r="LA1283" s="2">
        <v>0.9931</v>
      </c>
      <c r="LB1283" s="2">
        <v>0.99439</v>
      </c>
      <c r="LC1283" s="2">
        <v>0.98867</v>
      </c>
      <c r="LD1283" s="2">
        <v>0.99626</v>
      </c>
      <c r="LE1283" s="2">
        <v>1.00844</v>
      </c>
      <c r="LF1283" s="2">
        <v>1.02161</v>
      </c>
      <c r="LK1283" s="2">
        <v>1.01757</v>
      </c>
      <c r="LL1283" s="2">
        <v>1.00734</v>
      </c>
      <c r="LM1283" s="2">
        <v>0.9965000000000001</v>
      </c>
      <c r="LN1283" s="2">
        <v>1.00097</v>
      </c>
      <c r="LO1283" s="2">
        <v>0.98889</v>
      </c>
      <c r="LP1283" s="2">
        <v>0.98697</v>
      </c>
      <c r="LQ1283" s="2">
        <v>0.99272</v>
      </c>
      <c r="LR1283" s="2">
        <v>0.99461</v>
      </c>
      <c r="LS1283" s="2">
        <v>0.98893</v>
      </c>
      <c r="LT1283" s="2">
        <v>0.9960599999999999</v>
      </c>
      <c r="LU1283" s="2">
        <v>1.00784</v>
      </c>
      <c r="LV1283" s="2">
        <v>1.02113</v>
      </c>
      <c r="MA1283" s="2">
        <v>1.01634</v>
      </c>
      <c r="MB1283" s="2">
        <v>1.00761</v>
      </c>
      <c r="MC1283" s="2">
        <v>0.99778</v>
      </c>
      <c r="MD1283" s="2">
        <v>1.00052</v>
      </c>
      <c r="ME1283" s="2">
        <v>0.99032</v>
      </c>
      <c r="MF1283" s="2">
        <v>0.98722</v>
      </c>
      <c r="MG1283" s="2">
        <v>0.99192</v>
      </c>
      <c r="MH1283" s="2">
        <v>0.99471</v>
      </c>
      <c r="MI1283" s="2">
        <v>0.98917</v>
      </c>
      <c r="MJ1283" s="2">
        <v>0.9964499999999999</v>
      </c>
      <c r="MK1283" s="2">
        <v>1.0069</v>
      </c>
      <c r="ML1283" s="2">
        <v>1.02055</v>
      </c>
      <c r="MQ1283" s="2">
        <v>1.01501</v>
      </c>
      <c r="MR1283" s="2">
        <v>1.00805</v>
      </c>
      <c r="MS1283" s="2">
        <v>0.99951</v>
      </c>
      <c r="MT1283" s="2">
        <v>0.99963</v>
      </c>
      <c r="MU1283" s="2">
        <v>0.99133</v>
      </c>
      <c r="MV1283" s="2">
        <v>0.98767</v>
      </c>
      <c r="MW1283" s="2">
        <v>0.9914500000000001</v>
      </c>
      <c r="MX1283" s="2">
        <v>0.99426</v>
      </c>
      <c r="MY1283" s="2">
        <v>0.9900099999999999</v>
      </c>
      <c r="MZ1283" s="2">
        <v>0.99649</v>
      </c>
      <c r="NA1283" s="2">
        <v>1.00602</v>
      </c>
      <c r="NB1283" s="2">
        <v>1.01991</v>
      </c>
      <c r="NG1283" s="2">
        <v>1.01437</v>
      </c>
      <c r="NH1283" s="2">
        <v>1.00826</v>
      </c>
      <c r="NI1283" s="2">
        <v>1.0015</v>
      </c>
      <c r="NJ1283" s="2">
        <v>0.9982799999999999</v>
      </c>
      <c r="NK1283" s="2">
        <v>0.99214</v>
      </c>
      <c r="NL1283" s="2">
        <v>0.98799</v>
      </c>
      <c r="NM1283" s="2">
        <v>0.99089</v>
      </c>
      <c r="NN1283" s="2">
        <v>0.99374</v>
      </c>
      <c r="NO1283" s="2">
        <v>0.99074</v>
      </c>
      <c r="NP1283" s="2">
        <v>0.99691</v>
      </c>
      <c r="NQ1283" s="2">
        <v>1.00525</v>
      </c>
      <c r="NR1283" s="2">
        <v>1.01944</v>
      </c>
      <c r="NW1283" s="2">
        <v>1.01411</v>
      </c>
      <c r="NX1283" s="2">
        <v>1.00824</v>
      </c>
      <c r="NY1283" s="2">
        <v>1.00307</v>
      </c>
      <c r="NZ1283" s="2">
        <v>0.99741</v>
      </c>
      <c r="OA1283" s="2">
        <v>0.99247</v>
      </c>
      <c r="OB1283" s="2">
        <v>0.98826</v>
      </c>
      <c r="OC1283" s="2">
        <v>0.99073</v>
      </c>
      <c r="OD1283" s="2">
        <v>0.99268</v>
      </c>
      <c r="OE1283" s="2">
        <v>0.99134</v>
      </c>
      <c r="OF1283" s="2">
        <v>0.99704</v>
      </c>
      <c r="OG1283" s="2">
        <v>1.00498</v>
      </c>
      <c r="OH1283" s="2">
        <v>1.01941</v>
      </c>
      <c r="OM1283" s="2">
        <v>1.01434</v>
      </c>
      <c r="ON1283" s="2">
        <v>1.00799</v>
      </c>
      <c r="OO1283" s="2">
        <v>1.00408</v>
      </c>
      <c r="OP1283" s="2">
        <v>0.99697</v>
      </c>
      <c r="OQ1283" s="2">
        <v>0.99249</v>
      </c>
      <c r="OR1283" s="2">
        <v>0.9881</v>
      </c>
      <c r="OS1283" s="2">
        <v>0.99066</v>
      </c>
      <c r="OT1283" s="2">
        <v>0.99194</v>
      </c>
      <c r="OU1283" s="2">
        <v>0.99152</v>
      </c>
      <c r="OV1283" s="2">
        <v>0.9974499999999999</v>
      </c>
      <c r="OW1283" s="2">
        <v>1.00485</v>
      </c>
      <c r="OX1283" s="2">
        <v>1.01959</v>
      </c>
      <c r="PC1283" s="2">
        <v>1.01458</v>
      </c>
      <c r="PD1283" s="2">
        <v>1.00782</v>
      </c>
      <c r="PE1283" s="2">
        <v>1.00436</v>
      </c>
      <c r="PF1283" s="2">
        <v>0.99693</v>
      </c>
      <c r="PG1283" s="2">
        <v>0.9922</v>
      </c>
      <c r="PH1283" s="2">
        <v>0.9878400000000001</v>
      </c>
      <c r="PI1283" s="2">
        <v>0.9910099999999999</v>
      </c>
    </row>
    <row r="1284">
      <c r="A1284" t="inlineStr">
        <is>
          <t>A130576736X</t>
        </is>
      </c>
      <c r="B1284" t="inlineStr">
        <is>
          <t>Combined Seasonal Adjustment Factors ;  Australia ;  Coffee, tea and cocoa ;</t>
        </is>
      </c>
      <c r="C1284" t="inlineStr">
        <is>
          <t>Month</t>
        </is>
      </c>
      <c r="D1284" t="inlineStr">
        <is>
          <t>Number</t>
        </is>
      </c>
      <c r="E1284" t="inlineStr">
        <is>
          <t>Original</t>
        </is>
      </c>
      <c r="F1284" t="inlineStr">
        <is>
          <t>640108.xlsx</t>
        </is>
      </c>
      <c r="G1284" t="inlineStr">
        <is>
          <t>2017-09</t>
        </is>
      </c>
      <c r="H1284" t="inlineStr">
        <is>
          <t>2026-07</t>
        </is>
      </c>
      <c r="JW1284" s="2">
        <v>0.99302</v>
      </c>
      <c r="JX1284" s="2">
        <v>0.99242</v>
      </c>
      <c r="JY1284" s="2">
        <v>0.99648</v>
      </c>
      <c r="JZ1284" s="2">
        <v>1.00325</v>
      </c>
      <c r="KE1284" s="2">
        <v>1.01533</v>
      </c>
      <c r="KF1284" s="2">
        <v>1.00668</v>
      </c>
      <c r="KG1284" s="2">
        <v>1.01534</v>
      </c>
      <c r="KH1284" s="2">
        <v>1.00401</v>
      </c>
      <c r="KI1284" s="2">
        <v>1.00315</v>
      </c>
      <c r="KJ1284" s="2">
        <v>0.98205</v>
      </c>
      <c r="KK1284" s="2">
        <v>0.99647</v>
      </c>
      <c r="KL1284" s="2">
        <v>0.9900600000000001</v>
      </c>
      <c r="KM1284" s="2">
        <v>0.994</v>
      </c>
      <c r="KN1284" s="2">
        <v>0.9943</v>
      </c>
      <c r="KO1284" s="2">
        <v>0.99554</v>
      </c>
      <c r="KP1284" s="2">
        <v>1.00337</v>
      </c>
      <c r="KU1284" s="2">
        <v>1.0153</v>
      </c>
      <c r="KV1284" s="2">
        <v>1.00674</v>
      </c>
      <c r="KW1284" s="2">
        <v>1.01414</v>
      </c>
      <c r="KX1284" s="2">
        <v>1.00483</v>
      </c>
      <c r="KY1284" s="2">
        <v>1.00245</v>
      </c>
      <c r="KZ1284" s="2">
        <v>0.98268</v>
      </c>
      <c r="LA1284" s="2">
        <v>0.99578</v>
      </c>
      <c r="LB1284" s="2">
        <v>0.9897899999999999</v>
      </c>
      <c r="LC1284" s="2">
        <v>0.99575</v>
      </c>
      <c r="LD1284" s="2">
        <v>0.99594</v>
      </c>
      <c r="LE1284" s="2">
        <v>0.99403</v>
      </c>
      <c r="LF1284" s="2">
        <v>1.00349</v>
      </c>
      <c r="LK1284" s="2">
        <v>1.01437</v>
      </c>
      <c r="LL1284" s="2">
        <v>1.00706</v>
      </c>
      <c r="LM1284" s="2">
        <v>1.01211</v>
      </c>
      <c r="LN1284" s="2">
        <v>1.00627</v>
      </c>
      <c r="LO1284" s="2">
        <v>1.0017</v>
      </c>
      <c r="LP1284" s="2">
        <v>0.98366</v>
      </c>
      <c r="LQ1284" s="2">
        <v>0.99493</v>
      </c>
      <c r="LR1284" s="2">
        <v>0.98943</v>
      </c>
      <c r="LS1284" s="2">
        <v>0.99783</v>
      </c>
      <c r="LT1284" s="2">
        <v>0.9974</v>
      </c>
      <c r="LU1284" s="2">
        <v>0.99276</v>
      </c>
      <c r="LV1284" s="2">
        <v>1.00438</v>
      </c>
      <c r="MA1284" s="2">
        <v>1.01283</v>
      </c>
      <c r="MB1284" s="2">
        <v>1.00681</v>
      </c>
      <c r="MC1284" s="2">
        <v>1.01028</v>
      </c>
      <c r="MD1284" s="2">
        <v>1.00753</v>
      </c>
      <c r="ME1284" s="2">
        <v>1.00054</v>
      </c>
      <c r="MF1284" s="2">
        <v>0.98463</v>
      </c>
      <c r="MG1284" s="2">
        <v>0.99407</v>
      </c>
      <c r="MH1284" s="2">
        <v>0.9893999999999999</v>
      </c>
      <c r="MI1284" s="2">
        <v>1.00011</v>
      </c>
      <c r="MJ1284" s="2">
        <v>0.99816</v>
      </c>
      <c r="MK1284" s="2">
        <v>0.99275</v>
      </c>
      <c r="ML1284" s="2">
        <v>1.00653</v>
      </c>
      <c r="MQ1284" s="2">
        <v>1.01095</v>
      </c>
      <c r="MR1284" s="2">
        <v>1.00658</v>
      </c>
      <c r="MS1284" s="2">
        <v>1.0071</v>
      </c>
      <c r="MT1284" s="2">
        <v>1.0073</v>
      </c>
      <c r="MU1284" s="2">
        <v>0.99854</v>
      </c>
      <c r="MV1284" s="2">
        <v>0.98721</v>
      </c>
      <c r="MW1284" s="2">
        <v>0.99385</v>
      </c>
      <c r="MX1284" s="2">
        <v>0.9901799999999999</v>
      </c>
      <c r="MY1284" s="2">
        <v>1.00168</v>
      </c>
      <c r="MZ1284" s="2">
        <v>0.99777</v>
      </c>
      <c r="NA1284" s="2">
        <v>0.99375</v>
      </c>
      <c r="NB1284" s="2">
        <v>1.01006</v>
      </c>
      <c r="NG1284" s="2">
        <v>1.00858</v>
      </c>
      <c r="NH1284" s="2">
        <v>1.00552</v>
      </c>
      <c r="NI1284" s="2">
        <v>1.00453</v>
      </c>
      <c r="NJ1284" s="2">
        <v>1.00624</v>
      </c>
      <c r="NK1284" s="2">
        <v>0.99598</v>
      </c>
      <c r="NL1284" s="2">
        <v>0.9901799999999999</v>
      </c>
      <c r="NM1284" s="2">
        <v>0.99357</v>
      </c>
      <c r="NN1284" s="2">
        <v>0.99158</v>
      </c>
      <c r="NO1284" s="2">
        <v>1.00307</v>
      </c>
      <c r="NP1284" s="2">
        <v>0.99644</v>
      </c>
      <c r="NQ1284" s="2">
        <v>0.99604</v>
      </c>
      <c r="NR1284" s="2">
        <v>1.01392</v>
      </c>
      <c r="NW1284" s="2">
        <v>1.00594</v>
      </c>
      <c r="NX1284" s="2">
        <v>1.00464</v>
      </c>
      <c r="NY1284" s="2">
        <v>1.00178</v>
      </c>
      <c r="NZ1284" s="2">
        <v>1.00405</v>
      </c>
      <c r="OA1284" s="2">
        <v>0.99366</v>
      </c>
      <c r="OB1284" s="2">
        <v>0.99329</v>
      </c>
      <c r="OC1284" s="2">
        <v>0.99403</v>
      </c>
      <c r="OD1284" s="2">
        <v>0.9932</v>
      </c>
      <c r="OE1284" s="2">
        <v>1.004</v>
      </c>
      <c r="OF1284" s="2">
        <v>0.99509</v>
      </c>
      <c r="OG1284" s="2">
        <v>0.99771</v>
      </c>
      <c r="OH1284" s="2">
        <v>1.01767</v>
      </c>
      <c r="OM1284" s="2">
        <v>1.00316</v>
      </c>
      <c r="ON1284" s="2">
        <v>1.00321</v>
      </c>
      <c r="OO1284" s="2">
        <v>1.00059</v>
      </c>
      <c r="OP1284" s="2">
        <v>1.00213</v>
      </c>
      <c r="OQ1284" s="2">
        <v>0.99256</v>
      </c>
      <c r="OR1284" s="2">
        <v>0.99515</v>
      </c>
      <c r="OS1284" s="2">
        <v>0.99452</v>
      </c>
      <c r="OT1284" s="2">
        <v>0.99407</v>
      </c>
      <c r="OU1284" s="2">
        <v>1.00468</v>
      </c>
      <c r="OV1284" s="2">
        <v>0.99442</v>
      </c>
      <c r="OW1284" s="2">
        <v>0.99886</v>
      </c>
      <c r="OX1284" s="2">
        <v>1.01991</v>
      </c>
      <c r="PC1284" s="2">
        <v>1.00168</v>
      </c>
      <c r="PD1284" s="2">
        <v>1.00229</v>
      </c>
      <c r="PE1284" s="2">
        <v>0.99939</v>
      </c>
      <c r="PF1284" s="2">
        <v>1.00052</v>
      </c>
      <c r="PG1284" s="2">
        <v>0.99183</v>
      </c>
      <c r="PH1284" s="2">
        <v>0.99685</v>
      </c>
      <c r="PI1284" s="2">
        <v>0.99538</v>
      </c>
    </row>
    <row r="1285">
      <c r="A1285" t="inlineStr">
        <is>
          <t>A130576776T</t>
        </is>
      </c>
      <c r="B1285" t="inlineStr">
        <is>
          <t>Combined Seasonal Adjustment Factors ;  Australia ;  Waters, soft drinks and juices ;</t>
        </is>
      </c>
      <c r="C1285" t="inlineStr">
        <is>
          <t>Month</t>
        </is>
      </c>
      <c r="D1285" t="inlineStr">
        <is>
          <t>Number</t>
        </is>
      </c>
      <c r="E1285" t="inlineStr">
        <is>
          <t>Original</t>
        </is>
      </c>
      <c r="F1285" t="inlineStr">
        <is>
          <t>640108.xlsx</t>
        </is>
      </c>
      <c r="G1285" t="inlineStr">
        <is>
          <t>2017-09</t>
        </is>
      </c>
      <c r="H1285" t="inlineStr">
        <is>
          <t>2026-07</t>
        </is>
      </c>
      <c r="JW1285" s="2">
        <v>0.99232</v>
      </c>
      <c r="JX1285" s="2">
        <v>0.99371</v>
      </c>
      <c r="JY1285" s="2">
        <v>0.99625</v>
      </c>
      <c r="JZ1285" s="2">
        <v>0.98107</v>
      </c>
      <c r="KE1285" s="2">
        <v>0.99679</v>
      </c>
      <c r="KF1285" s="2">
        <v>1.00408</v>
      </c>
      <c r="KG1285" s="2">
        <v>1.00165</v>
      </c>
      <c r="KH1285" s="2">
        <v>1.00605</v>
      </c>
      <c r="KI1285" s="2">
        <v>1.00824</v>
      </c>
      <c r="KJ1285" s="2">
        <v>1.00106</v>
      </c>
      <c r="KK1285" s="2">
        <v>1.01042</v>
      </c>
      <c r="KL1285" s="2">
        <v>1.00868</v>
      </c>
      <c r="KM1285" s="2">
        <v>0.9923999999999999</v>
      </c>
      <c r="KN1285" s="2">
        <v>0.99368</v>
      </c>
      <c r="KO1285" s="2">
        <v>0.99561</v>
      </c>
      <c r="KP1285" s="2">
        <v>0.98087</v>
      </c>
      <c r="KU1285" s="2">
        <v>0.99708</v>
      </c>
      <c r="KV1285" s="2">
        <v>1.00466</v>
      </c>
      <c r="KW1285" s="2">
        <v>1.00176</v>
      </c>
      <c r="KX1285" s="2">
        <v>1.00541</v>
      </c>
      <c r="KY1285" s="2">
        <v>1.00819</v>
      </c>
      <c r="KZ1285" s="2">
        <v>1.00159</v>
      </c>
      <c r="LA1285" s="2">
        <v>1.01008</v>
      </c>
      <c r="LB1285" s="2">
        <v>1.00903</v>
      </c>
      <c r="LC1285" s="2">
        <v>0.9928399999999999</v>
      </c>
      <c r="LD1285" s="2">
        <v>0.99333</v>
      </c>
      <c r="LE1285" s="2">
        <v>0.99427</v>
      </c>
      <c r="LF1285" s="2">
        <v>0.9807</v>
      </c>
      <c r="LK1285" s="2">
        <v>0.9972299999999999</v>
      </c>
      <c r="LL1285" s="2">
        <v>1.0053</v>
      </c>
      <c r="LM1285" s="2">
        <v>1.0026</v>
      </c>
      <c r="LN1285" s="2">
        <v>1.00446</v>
      </c>
      <c r="LO1285" s="2">
        <v>1.00852</v>
      </c>
      <c r="LP1285" s="2">
        <v>1.00292</v>
      </c>
      <c r="LQ1285" s="2">
        <v>1.00967</v>
      </c>
      <c r="LR1285" s="2">
        <v>1.00881</v>
      </c>
      <c r="LS1285" s="2">
        <v>0.99333</v>
      </c>
      <c r="LT1285" s="2">
        <v>0.99274</v>
      </c>
      <c r="LU1285" s="2">
        <v>0.99211</v>
      </c>
      <c r="LV1285" s="2">
        <v>0.98069</v>
      </c>
      <c r="MA1285" s="2">
        <v>0.99762</v>
      </c>
      <c r="MB1285" s="2">
        <v>1.00536</v>
      </c>
      <c r="MC1285" s="2">
        <v>1.00377</v>
      </c>
      <c r="MD1285" s="2">
        <v>1.00399</v>
      </c>
      <c r="ME1285" s="2">
        <v>1.00923</v>
      </c>
      <c r="MF1285" s="2">
        <v>1.00497</v>
      </c>
      <c r="MG1285" s="2">
        <v>1.00914</v>
      </c>
      <c r="MH1285" s="2">
        <v>1.00845</v>
      </c>
      <c r="MI1285" s="2">
        <v>0.99317</v>
      </c>
      <c r="MJ1285" s="2">
        <v>0.992</v>
      </c>
      <c r="MK1285" s="2">
        <v>0.99011</v>
      </c>
      <c r="ML1285" s="2">
        <v>0.98034</v>
      </c>
      <c r="MQ1285" s="2">
        <v>0.99718</v>
      </c>
      <c r="MR1285" s="2">
        <v>1.00545</v>
      </c>
      <c r="MS1285" s="2">
        <v>1.00569</v>
      </c>
      <c r="MT1285" s="2">
        <v>1.00293</v>
      </c>
      <c r="MU1285" s="2">
        <v>1.01087</v>
      </c>
      <c r="MV1285" s="2">
        <v>1.0079</v>
      </c>
      <c r="MW1285" s="2">
        <v>1.00902</v>
      </c>
      <c r="MX1285" s="2">
        <v>1.00757</v>
      </c>
      <c r="MY1285" s="2">
        <v>0.99241</v>
      </c>
      <c r="MZ1285" s="2">
        <v>0.99076</v>
      </c>
      <c r="NA1285" s="2">
        <v>0.98821</v>
      </c>
      <c r="NB1285" s="2">
        <v>0.98012</v>
      </c>
      <c r="NG1285" s="2">
        <v>0.99675</v>
      </c>
      <c r="NH1285" s="2">
        <v>1.00495</v>
      </c>
      <c r="NI1285" s="2">
        <v>1.00764</v>
      </c>
      <c r="NJ1285" s="2">
        <v>1.00219</v>
      </c>
      <c r="NK1285" s="2">
        <v>1.01259</v>
      </c>
      <c r="NL1285" s="2">
        <v>1.01085</v>
      </c>
      <c r="NM1285" s="2">
        <v>1.00937</v>
      </c>
      <c r="NN1285" s="2">
        <v>1.00702</v>
      </c>
      <c r="NO1285" s="2">
        <v>0.99134</v>
      </c>
      <c r="NP1285" s="2">
        <v>0.98928</v>
      </c>
      <c r="NQ1285" s="2">
        <v>0.98722</v>
      </c>
      <c r="NR1285" s="2">
        <v>0.97926</v>
      </c>
      <c r="NW1285" s="2">
        <v>0.99543</v>
      </c>
      <c r="NX1285" s="2">
        <v>1.00438</v>
      </c>
      <c r="NY1285" s="2">
        <v>1.00969</v>
      </c>
      <c r="NZ1285" s="2">
        <v>1.00157</v>
      </c>
      <c r="OA1285" s="2">
        <v>1.01458</v>
      </c>
      <c r="OB1285" s="2">
        <v>1.01346</v>
      </c>
      <c r="OC1285" s="2">
        <v>1.01057</v>
      </c>
      <c r="OD1285" s="2">
        <v>1.00593</v>
      </c>
      <c r="OE1285" s="2">
        <v>0.99016</v>
      </c>
      <c r="OF1285" s="2">
        <v>0.9880100000000001</v>
      </c>
      <c r="OG1285" s="2">
        <v>0.9867</v>
      </c>
      <c r="OH1285" s="2">
        <v>0.97841</v>
      </c>
      <c r="OM1285" s="2">
        <v>0.99448</v>
      </c>
      <c r="ON1285" s="2">
        <v>1.00357</v>
      </c>
      <c r="OO1285" s="2">
        <v>1.01104</v>
      </c>
      <c r="OP1285" s="2">
        <v>1.00154</v>
      </c>
      <c r="OQ1285" s="2">
        <v>1.0158</v>
      </c>
      <c r="OR1285" s="2">
        <v>1.01521</v>
      </c>
      <c r="OS1285" s="2">
        <v>1.01202</v>
      </c>
      <c r="OT1285" s="2">
        <v>1.00535</v>
      </c>
      <c r="OU1285" s="2">
        <v>0.9890099999999999</v>
      </c>
      <c r="OV1285" s="2">
        <v>0.98741</v>
      </c>
      <c r="OW1285" s="2">
        <v>0.98652</v>
      </c>
      <c r="OX1285" s="2">
        <v>0.97744</v>
      </c>
      <c r="PC1285" s="2">
        <v>0.99336</v>
      </c>
      <c r="PD1285" s="2">
        <v>1.00339</v>
      </c>
      <c r="PE1285" s="2">
        <v>1.0118</v>
      </c>
      <c r="PF1285" s="2">
        <v>1.00133</v>
      </c>
      <c r="PG1285" s="2">
        <v>1.0168</v>
      </c>
      <c r="PH1285" s="2">
        <v>1.01621</v>
      </c>
      <c r="PI1285" s="2">
        <v>1.01324</v>
      </c>
    </row>
    <row r="1286">
      <c r="A1286" t="inlineStr">
        <is>
          <t>A130576718V</t>
        </is>
      </c>
      <c r="B1286" t="inlineStr">
        <is>
          <t>Combined Seasonal Adjustment Factors ;  Australia ;  Restaurant meals ;</t>
        </is>
      </c>
      <c r="C1286" t="inlineStr">
        <is>
          <t>Month</t>
        </is>
      </c>
      <c r="D1286" t="inlineStr">
        <is>
          <t>Number</t>
        </is>
      </c>
      <c r="E1286" t="inlineStr">
        <is>
          <t>Original</t>
        </is>
      </c>
      <c r="F1286" t="inlineStr">
        <is>
          <t>640108.xlsx</t>
        </is>
      </c>
      <c r="G1286" t="inlineStr">
        <is>
          <t>2024-04</t>
        </is>
      </c>
      <c r="H1286" t="inlineStr">
        <is>
          <t>2026-07</t>
        </is>
      </c>
      <c r="NZ1286" s="2">
        <v>1</v>
      </c>
      <c r="OA1286" s="2">
        <v>1</v>
      </c>
      <c r="OB1286" s="2">
        <v>1</v>
      </c>
      <c r="OC1286" s="2">
        <v>1</v>
      </c>
      <c r="OD1286" s="2">
        <v>1</v>
      </c>
      <c r="OE1286" s="2">
        <v>1</v>
      </c>
      <c r="OF1286" s="2">
        <v>1</v>
      </c>
      <c r="OG1286" s="2">
        <v>1</v>
      </c>
      <c r="OH1286" s="2">
        <v>1</v>
      </c>
      <c r="OM1286" s="2">
        <v>1</v>
      </c>
      <c r="ON1286" s="2">
        <v>1</v>
      </c>
      <c r="OO1286" s="2">
        <v>1</v>
      </c>
      <c r="OP1286" s="2">
        <v>1</v>
      </c>
      <c r="OQ1286" s="2">
        <v>1</v>
      </c>
      <c r="OR1286" s="2">
        <v>1</v>
      </c>
      <c r="OS1286" s="2">
        <v>1</v>
      </c>
      <c r="OT1286" s="2">
        <v>1</v>
      </c>
      <c r="OU1286" s="2">
        <v>1</v>
      </c>
      <c r="OV1286" s="2">
        <v>1</v>
      </c>
      <c r="OW1286" s="2">
        <v>1</v>
      </c>
      <c r="OX1286" s="2">
        <v>1</v>
      </c>
      <c r="PC1286" s="2">
        <v>1</v>
      </c>
      <c r="PD1286" s="2">
        <v>1</v>
      </c>
      <c r="PE1286" s="2">
        <v>1</v>
      </c>
      <c r="PF1286" s="2">
        <v>1</v>
      </c>
      <c r="PG1286" s="2">
        <v>1</v>
      </c>
      <c r="PH1286" s="2">
        <v>1</v>
      </c>
      <c r="PI1286" s="2">
        <v>1</v>
      </c>
    </row>
    <row r="1287">
      <c r="A1287" t="inlineStr">
        <is>
          <t>A130576770C</t>
        </is>
      </c>
      <c r="B1287" t="inlineStr">
        <is>
          <t>Combined Seasonal Adjustment Factors ;  Australia ;  Take away and fast foods ;</t>
        </is>
      </c>
      <c r="C1287" t="inlineStr">
        <is>
          <t>Month</t>
        </is>
      </c>
      <c r="D1287" t="inlineStr">
        <is>
          <t>Number</t>
        </is>
      </c>
      <c r="E1287" t="inlineStr">
        <is>
          <t>Original</t>
        </is>
      </c>
      <c r="F1287" t="inlineStr">
        <is>
          <t>640108.xlsx</t>
        </is>
      </c>
      <c r="G1287" t="inlineStr">
        <is>
          <t>2024-04</t>
        </is>
      </c>
      <c r="H1287" t="inlineStr">
        <is>
          <t>2026-07</t>
        </is>
      </c>
      <c r="NZ1287" s="2">
        <v>1</v>
      </c>
      <c r="OA1287" s="2">
        <v>1</v>
      </c>
      <c r="OB1287" s="2">
        <v>1</v>
      </c>
      <c r="OC1287" s="2">
        <v>1</v>
      </c>
      <c r="OD1287" s="2">
        <v>1</v>
      </c>
      <c r="OE1287" s="2">
        <v>1</v>
      </c>
      <c r="OF1287" s="2">
        <v>1</v>
      </c>
      <c r="OG1287" s="2">
        <v>1</v>
      </c>
      <c r="OH1287" s="2">
        <v>1</v>
      </c>
      <c r="OM1287" s="2">
        <v>1</v>
      </c>
      <c r="ON1287" s="2">
        <v>1</v>
      </c>
      <c r="OO1287" s="2">
        <v>1</v>
      </c>
      <c r="OP1287" s="2">
        <v>1</v>
      </c>
      <c r="OQ1287" s="2">
        <v>1</v>
      </c>
      <c r="OR1287" s="2">
        <v>1</v>
      </c>
      <c r="OS1287" s="2">
        <v>1</v>
      </c>
      <c r="OT1287" s="2">
        <v>1</v>
      </c>
      <c r="OU1287" s="2">
        <v>1</v>
      </c>
      <c r="OV1287" s="2">
        <v>1</v>
      </c>
      <c r="OW1287" s="2">
        <v>1</v>
      </c>
      <c r="OX1287" s="2">
        <v>1</v>
      </c>
      <c r="PC1287" s="2">
        <v>1</v>
      </c>
      <c r="PD1287" s="2">
        <v>1</v>
      </c>
      <c r="PE1287" s="2">
        <v>1</v>
      </c>
      <c r="PF1287" s="2">
        <v>1</v>
      </c>
      <c r="PG1287" s="2">
        <v>1</v>
      </c>
      <c r="PH1287" s="2">
        <v>1</v>
      </c>
      <c r="PI1287" s="2">
        <v>1</v>
      </c>
    </row>
    <row r="1288">
      <c r="A1288" t="inlineStr">
        <is>
          <t>A130576748J</t>
        </is>
      </c>
      <c r="B1288" t="inlineStr">
        <is>
          <t>Combined Seasonal Adjustment Factors ;  Australia ;  Spirits ;</t>
        </is>
      </c>
      <c r="C1288" t="inlineStr">
        <is>
          <t>Month</t>
        </is>
      </c>
      <c r="D1288" t="inlineStr">
        <is>
          <t>Number</t>
        </is>
      </c>
      <c r="E1288" t="inlineStr">
        <is>
          <t>Original</t>
        </is>
      </c>
      <c r="F1288" t="inlineStr">
        <is>
          <t>640108.xlsx</t>
        </is>
      </c>
      <c r="G1288" t="inlineStr">
        <is>
          <t>2017-09</t>
        </is>
      </c>
      <c r="H1288" t="inlineStr">
        <is>
          <t>2026-07</t>
        </is>
      </c>
      <c r="JW1288" s="2">
        <v>0.9983</v>
      </c>
      <c r="JX1288" s="2">
        <v>0.9978</v>
      </c>
      <c r="JY1288" s="2">
        <v>1.00017</v>
      </c>
      <c r="JZ1288" s="2">
        <v>0.9861799999999999</v>
      </c>
      <c r="KE1288" s="2">
        <v>0.99957</v>
      </c>
      <c r="KF1288" s="2">
        <v>1.00447</v>
      </c>
      <c r="KG1288" s="2">
        <v>1.0024</v>
      </c>
      <c r="KH1288" s="2">
        <v>1.00191</v>
      </c>
      <c r="KI1288" s="2">
        <v>1.00473</v>
      </c>
      <c r="KJ1288" s="2">
        <v>0.99916</v>
      </c>
      <c r="KK1288" s="2">
        <v>1.00154</v>
      </c>
      <c r="KL1288" s="2">
        <v>1.00426</v>
      </c>
      <c r="KM1288" s="2">
        <v>0.99726</v>
      </c>
      <c r="KN1288" s="2">
        <v>0.99803</v>
      </c>
      <c r="KO1288" s="2">
        <v>0.99996</v>
      </c>
      <c r="KP1288" s="2">
        <v>0.98631</v>
      </c>
      <c r="KU1288" s="2">
        <v>0.9994</v>
      </c>
      <c r="KV1288" s="2">
        <v>1.00447</v>
      </c>
      <c r="KW1288" s="2">
        <v>1.00367</v>
      </c>
      <c r="KX1288" s="2">
        <v>1.00168</v>
      </c>
      <c r="KY1288" s="2">
        <v>1.0047</v>
      </c>
      <c r="KZ1288" s="2">
        <v>0.99959</v>
      </c>
      <c r="LA1288" s="2">
        <v>1.00129</v>
      </c>
      <c r="LB1288" s="2">
        <v>1.00325</v>
      </c>
      <c r="LC1288" s="2">
        <v>0.99673</v>
      </c>
      <c r="LD1288" s="2">
        <v>0.99831</v>
      </c>
      <c r="LE1288" s="2">
        <v>1.00017</v>
      </c>
      <c r="LF1288" s="2">
        <v>0.98721</v>
      </c>
      <c r="LK1288" s="2">
        <v>0.99851</v>
      </c>
      <c r="LL1288" s="2">
        <v>1.00445</v>
      </c>
      <c r="LM1288" s="2">
        <v>1.0051</v>
      </c>
      <c r="LN1288" s="2">
        <v>1.00164</v>
      </c>
      <c r="LO1288" s="2">
        <v>1.00431</v>
      </c>
      <c r="LP1288" s="2">
        <v>0.99935</v>
      </c>
      <c r="LQ1288" s="2">
        <v>1.00049</v>
      </c>
      <c r="LR1288" s="2">
        <v>1.0029</v>
      </c>
      <c r="LS1288" s="2">
        <v>0.99665</v>
      </c>
      <c r="LT1288" s="2">
        <v>0.99887</v>
      </c>
      <c r="LU1288" s="2">
        <v>1.00032</v>
      </c>
      <c r="LV1288" s="2">
        <v>0.98867</v>
      </c>
      <c r="MA1288" s="2">
        <v>0.99695</v>
      </c>
      <c r="MB1288" s="2">
        <v>1.00421</v>
      </c>
      <c r="MC1288" s="2">
        <v>1.00676</v>
      </c>
      <c r="MD1288" s="2">
        <v>1.00134</v>
      </c>
      <c r="ME1288" s="2">
        <v>1.00372</v>
      </c>
      <c r="MF1288" s="2">
        <v>0.9990599999999999</v>
      </c>
      <c r="MG1288" s="2">
        <v>0.99996</v>
      </c>
      <c r="MH1288" s="2">
        <v>1.0021</v>
      </c>
      <c r="MI1288" s="2">
        <v>0.99736</v>
      </c>
      <c r="MJ1288" s="2">
        <v>0.99921</v>
      </c>
      <c r="MK1288" s="2">
        <v>1.00122</v>
      </c>
      <c r="ML1288" s="2">
        <v>0.98983</v>
      </c>
      <c r="MQ1288" s="2">
        <v>0.9951100000000001</v>
      </c>
      <c r="MR1288" s="2">
        <v>1.00381</v>
      </c>
      <c r="MS1288" s="2">
        <v>1.00843</v>
      </c>
      <c r="MT1288" s="2">
        <v>1.00059</v>
      </c>
      <c r="MU1288" s="2">
        <v>1.00294</v>
      </c>
      <c r="MV1288" s="2">
        <v>0.99888</v>
      </c>
      <c r="MW1288" s="2">
        <v>0.99968</v>
      </c>
      <c r="MX1288" s="2">
        <v>1.0018</v>
      </c>
      <c r="MY1288" s="2">
        <v>0.99835</v>
      </c>
      <c r="MZ1288" s="2">
        <v>0.9997</v>
      </c>
      <c r="NA1288" s="2">
        <v>1.00167</v>
      </c>
      <c r="NB1288" s="2">
        <v>0.99066</v>
      </c>
      <c r="NG1288" s="2">
        <v>0.99338</v>
      </c>
      <c r="NH1288" s="2">
        <v>1.0037</v>
      </c>
      <c r="NI1288" s="2">
        <v>1.00942</v>
      </c>
      <c r="NJ1288" s="2">
        <v>0.99952</v>
      </c>
      <c r="NK1288" s="2">
        <v>1.00236</v>
      </c>
      <c r="NL1288" s="2">
        <v>0.9990599999999999</v>
      </c>
      <c r="NM1288" s="2">
        <v>1.00019</v>
      </c>
      <c r="NN1288" s="2">
        <v>1.0011</v>
      </c>
      <c r="NO1288" s="2">
        <v>0.99953</v>
      </c>
      <c r="NP1288" s="2">
        <v>0.99984</v>
      </c>
      <c r="NQ1288" s="2">
        <v>1.00199</v>
      </c>
      <c r="NR1288" s="2">
        <v>0.99083</v>
      </c>
      <c r="NW1288" s="2">
        <v>0.99283</v>
      </c>
      <c r="NX1288" s="2">
        <v>1.00352</v>
      </c>
      <c r="NY1288" s="2">
        <v>1.00937</v>
      </c>
      <c r="NZ1288" s="2">
        <v>0.9987</v>
      </c>
      <c r="OA1288" s="2">
        <v>1.0021</v>
      </c>
      <c r="OB1288" s="2">
        <v>0.99901</v>
      </c>
      <c r="OC1288" s="2">
        <v>1.00083</v>
      </c>
      <c r="OD1288" s="2">
        <v>1.00133</v>
      </c>
      <c r="OE1288" s="2">
        <v>1.00048</v>
      </c>
      <c r="OF1288" s="2">
        <v>0.9999</v>
      </c>
      <c r="OG1288" s="2">
        <v>1.00162</v>
      </c>
      <c r="OH1288" s="2">
        <v>0.99041</v>
      </c>
      <c r="OM1288" s="2">
        <v>0.9929</v>
      </c>
      <c r="ON1288" s="2">
        <v>1.00353</v>
      </c>
      <c r="OO1288" s="2">
        <v>1.00919</v>
      </c>
      <c r="OP1288" s="2">
        <v>0.99777</v>
      </c>
      <c r="OQ1288" s="2">
        <v>1.00243</v>
      </c>
      <c r="OR1288" s="2">
        <v>0.99891</v>
      </c>
      <c r="OS1288" s="2">
        <v>1.00163</v>
      </c>
      <c r="OT1288" s="2">
        <v>1.00129</v>
      </c>
      <c r="OU1288" s="2">
        <v>1.00122</v>
      </c>
      <c r="OV1288" s="2">
        <v>0.99964</v>
      </c>
      <c r="OW1288" s="2">
        <v>1.00145</v>
      </c>
      <c r="OX1288" s="2">
        <v>0.98983</v>
      </c>
      <c r="PC1288" s="2">
        <v>0.99324</v>
      </c>
      <c r="PD1288" s="2">
        <v>1.00351</v>
      </c>
      <c r="PE1288" s="2">
        <v>1.00893</v>
      </c>
      <c r="PF1288" s="2">
        <v>0.99729</v>
      </c>
      <c r="PG1288" s="2">
        <v>1.00264</v>
      </c>
      <c r="PH1288" s="2">
        <v>0.99907</v>
      </c>
      <c r="PI1288" s="2">
        <v>1.00196</v>
      </c>
    </row>
    <row r="1289">
      <c r="A1289" t="inlineStr">
        <is>
          <t>A130576761A</t>
        </is>
      </c>
      <c r="B1289" t="inlineStr">
        <is>
          <t>Combined Seasonal Adjustment Factors ;  Australia ;  Wine ;</t>
        </is>
      </c>
      <c r="C1289" t="inlineStr">
        <is>
          <t>Month</t>
        </is>
      </c>
      <c r="D1289" t="inlineStr">
        <is>
          <t>Number</t>
        </is>
      </c>
      <c r="E1289" t="inlineStr">
        <is>
          <t>Original</t>
        </is>
      </c>
      <c r="F1289" t="inlineStr">
        <is>
          <t>640108.xlsx</t>
        </is>
      </c>
      <c r="G1289" t="inlineStr">
        <is>
          <t>2024-04</t>
        </is>
      </c>
      <c r="H1289" t="inlineStr">
        <is>
          <t>2026-07</t>
        </is>
      </c>
      <c r="NZ1289" s="2">
        <v>0.99964</v>
      </c>
      <c r="OA1289" s="2">
        <v>1.00168</v>
      </c>
      <c r="OB1289" s="2">
        <v>0.9968399999999999</v>
      </c>
      <c r="OC1289" s="2">
        <v>1.00162</v>
      </c>
      <c r="OD1289" s="2">
        <v>1.01045</v>
      </c>
      <c r="OE1289" s="2">
        <v>1.00515</v>
      </c>
      <c r="OF1289" s="2">
        <v>1.00476</v>
      </c>
      <c r="OG1289" s="2">
        <v>0.99232</v>
      </c>
      <c r="OH1289" s="2">
        <v>0.98521</v>
      </c>
      <c r="OM1289" s="2">
        <v>0.99984</v>
      </c>
      <c r="ON1289" s="2">
        <v>0.99687</v>
      </c>
      <c r="OO1289" s="2">
        <v>1.00615</v>
      </c>
      <c r="OP1289" s="2">
        <v>0.99858</v>
      </c>
      <c r="OQ1289" s="2">
        <v>1.0023</v>
      </c>
      <c r="OR1289" s="2">
        <v>0.99569</v>
      </c>
      <c r="OS1289" s="2">
        <v>1.00247</v>
      </c>
      <c r="OT1289" s="2">
        <v>1.01109</v>
      </c>
      <c r="OU1289" s="2">
        <v>1.00562</v>
      </c>
      <c r="OV1289" s="2">
        <v>1.00384</v>
      </c>
      <c r="OW1289" s="2">
        <v>0.99225</v>
      </c>
      <c r="OX1289" s="2">
        <v>0.9848</v>
      </c>
      <c r="PC1289" s="2">
        <v>1.00078</v>
      </c>
      <c r="PD1289" s="2">
        <v>0.99692</v>
      </c>
      <c r="PE1289" s="2">
        <v>1.00603</v>
      </c>
      <c r="PF1289" s="2">
        <v>0.99742</v>
      </c>
      <c r="PG1289" s="2">
        <v>1.00316</v>
      </c>
      <c r="PH1289" s="2">
        <v>0.99466</v>
      </c>
      <c r="PI1289" s="2">
        <v>1.00329</v>
      </c>
    </row>
    <row r="1290">
      <c r="A1290" t="inlineStr">
        <is>
          <t>A130576739F</t>
        </is>
      </c>
      <c r="B1290" t="inlineStr">
        <is>
          <t>Combined Seasonal Adjustment Factors ;  Australia ;  Beer ;</t>
        </is>
      </c>
      <c r="C1290" t="inlineStr">
        <is>
          <t>Month</t>
        </is>
      </c>
      <c r="D1290" t="inlineStr">
        <is>
          <t>Number</t>
        </is>
      </c>
      <c r="E1290" t="inlineStr">
        <is>
          <t>Original</t>
        </is>
      </c>
      <c r="F1290" t="inlineStr">
        <is>
          <t>640108.xlsx</t>
        </is>
      </c>
      <c r="G1290" t="inlineStr">
        <is>
          <t>2017-09</t>
        </is>
      </c>
      <c r="H1290" t="inlineStr">
        <is>
          <t>2026-07</t>
        </is>
      </c>
      <c r="JW1290" s="2">
        <v>1.00159</v>
      </c>
      <c r="JX1290" s="2">
        <v>1.00151</v>
      </c>
      <c r="JY1290" s="2">
        <v>0.99579</v>
      </c>
      <c r="JZ1290" s="2">
        <v>0.99516</v>
      </c>
      <c r="KE1290" s="2">
        <v>0.99614</v>
      </c>
      <c r="KF1290" s="2">
        <v>1.00581</v>
      </c>
      <c r="KG1290" s="2">
        <v>1.00391</v>
      </c>
      <c r="KH1290" s="2">
        <v>1.00251</v>
      </c>
      <c r="KI1290" s="2">
        <v>1.00113</v>
      </c>
      <c r="KJ1290" s="2">
        <v>0.99769</v>
      </c>
      <c r="KK1290" s="2">
        <v>0.99671</v>
      </c>
      <c r="KL1290" s="2">
        <v>1.00307</v>
      </c>
      <c r="KM1290" s="2">
        <v>1.00081</v>
      </c>
      <c r="KN1290" s="2">
        <v>1.00139</v>
      </c>
      <c r="KO1290" s="2">
        <v>0.99591</v>
      </c>
      <c r="KP1290" s="2">
        <v>0.99466</v>
      </c>
      <c r="KU1290" s="2">
        <v>0.99626</v>
      </c>
      <c r="KV1290" s="2">
        <v>1.00545</v>
      </c>
      <c r="KW1290" s="2">
        <v>1.00376</v>
      </c>
      <c r="KX1290" s="2">
        <v>1.00278</v>
      </c>
      <c r="KY1290" s="2">
        <v>1.00152</v>
      </c>
      <c r="KZ1290" s="2">
        <v>0.99774</v>
      </c>
      <c r="LA1290" s="2">
        <v>0.9970599999999999</v>
      </c>
      <c r="LB1290" s="2">
        <v>1.00325</v>
      </c>
      <c r="LC1290" s="2">
        <v>1.00001</v>
      </c>
      <c r="LD1290" s="2">
        <v>1.00169</v>
      </c>
      <c r="LE1290" s="2">
        <v>0.99636</v>
      </c>
      <c r="LF1290" s="2">
        <v>0.99434</v>
      </c>
      <c r="LK1290" s="2">
        <v>0.99602</v>
      </c>
      <c r="LL1290" s="2">
        <v>1.00514</v>
      </c>
      <c r="LM1290" s="2">
        <v>1.00398</v>
      </c>
      <c r="LN1290" s="2">
        <v>1.00267</v>
      </c>
      <c r="LO1290" s="2">
        <v>1.0019</v>
      </c>
      <c r="LP1290" s="2">
        <v>0.99729</v>
      </c>
      <c r="LQ1290" s="2">
        <v>0.99718</v>
      </c>
      <c r="LR1290" s="2">
        <v>1.00335</v>
      </c>
      <c r="LS1290" s="2">
        <v>0.99956</v>
      </c>
      <c r="LT1290" s="2">
        <v>1.00177</v>
      </c>
      <c r="LU1290" s="2">
        <v>0.9975000000000001</v>
      </c>
      <c r="LV1290" s="2">
        <v>0.99417</v>
      </c>
      <c r="MA1290" s="2">
        <v>0.99605</v>
      </c>
      <c r="MB1290" s="2">
        <v>1.0049</v>
      </c>
      <c r="MC1290" s="2">
        <v>1.00402</v>
      </c>
      <c r="MD1290" s="2">
        <v>1.00246</v>
      </c>
      <c r="ME1290" s="2">
        <v>1.00173</v>
      </c>
      <c r="MF1290" s="2">
        <v>0.99644</v>
      </c>
      <c r="MG1290" s="2">
        <v>0.99718</v>
      </c>
      <c r="MH1290" s="2">
        <v>1.00353</v>
      </c>
      <c r="MI1290" s="2">
        <v>0.99947</v>
      </c>
      <c r="MJ1290" s="2">
        <v>1.00213</v>
      </c>
      <c r="MK1290" s="2">
        <v>0.9987200000000001</v>
      </c>
      <c r="ML1290" s="2">
        <v>0.99451</v>
      </c>
      <c r="MQ1290" s="2">
        <v>0.99572</v>
      </c>
      <c r="MR1290" s="2">
        <v>1.0049</v>
      </c>
      <c r="MS1290" s="2">
        <v>1.00402</v>
      </c>
      <c r="MT1290" s="2">
        <v>1.00174</v>
      </c>
      <c r="MU1290" s="2">
        <v>1.00133</v>
      </c>
      <c r="MV1290" s="2">
        <v>0.99571</v>
      </c>
      <c r="MW1290" s="2">
        <v>0.99724</v>
      </c>
      <c r="MX1290" s="2">
        <v>1.00348</v>
      </c>
      <c r="MY1290" s="2">
        <v>0.9998</v>
      </c>
      <c r="MZ1290" s="2">
        <v>1.0021</v>
      </c>
      <c r="NA1290" s="2">
        <v>0.99985</v>
      </c>
      <c r="NB1290" s="2">
        <v>0.99516</v>
      </c>
      <c r="NG1290" s="2">
        <v>0.99618</v>
      </c>
      <c r="NH1290" s="2">
        <v>1.00469</v>
      </c>
      <c r="NI1290" s="2">
        <v>1.00369</v>
      </c>
      <c r="NJ1290" s="2">
        <v>1.0009</v>
      </c>
      <c r="NK1290" s="2">
        <v>1.00042</v>
      </c>
      <c r="NL1290" s="2">
        <v>0.99504</v>
      </c>
      <c r="NM1290" s="2">
        <v>0.9975000000000001</v>
      </c>
      <c r="NN1290" s="2">
        <v>1.0035</v>
      </c>
      <c r="NO1290" s="2">
        <v>1.00063</v>
      </c>
      <c r="NP1290" s="2">
        <v>1.00238</v>
      </c>
      <c r="NQ1290" s="2">
        <v>1.00027</v>
      </c>
      <c r="NR1290" s="2">
        <v>0.99582</v>
      </c>
      <c r="NW1290" s="2">
        <v>0.99637</v>
      </c>
      <c r="NX1290" s="2">
        <v>1.00445</v>
      </c>
      <c r="NY1290" s="2">
        <v>1.00362</v>
      </c>
      <c r="NZ1290" s="2">
        <v>1.00003</v>
      </c>
      <c r="OA1290" s="2">
        <v>0.99946</v>
      </c>
      <c r="OB1290" s="2">
        <v>0.9948900000000001</v>
      </c>
      <c r="OC1290" s="2">
        <v>0.99785</v>
      </c>
      <c r="OD1290" s="2">
        <v>1.00334</v>
      </c>
      <c r="OE1290" s="2">
        <v>1.00142</v>
      </c>
      <c r="OF1290" s="2">
        <v>1.00244</v>
      </c>
      <c r="OG1290" s="2">
        <v>1.00032</v>
      </c>
      <c r="OH1290" s="2">
        <v>0.99646</v>
      </c>
      <c r="OM1290" s="2">
        <v>0.99688</v>
      </c>
      <c r="ON1290" s="2">
        <v>1.00397</v>
      </c>
      <c r="OO1290" s="2">
        <v>1.00353</v>
      </c>
      <c r="OP1290" s="2">
        <v>0.99932</v>
      </c>
      <c r="OQ1290" s="2">
        <v>0.99858</v>
      </c>
      <c r="OR1290" s="2">
        <v>0.9952299999999999</v>
      </c>
      <c r="OS1290" s="2">
        <v>0.9980599999999999</v>
      </c>
      <c r="OT1290" s="2">
        <v>1.00325</v>
      </c>
      <c r="OU1290" s="2">
        <v>1.00205</v>
      </c>
      <c r="OV1290" s="2">
        <v>1.00258</v>
      </c>
      <c r="OW1290" s="2">
        <v>1.00005</v>
      </c>
      <c r="OX1290" s="2">
        <v>0.99693</v>
      </c>
      <c r="PC1290" s="2">
        <v>0.99702</v>
      </c>
      <c r="PD1290" s="2">
        <v>1.00365</v>
      </c>
      <c r="PE1290" s="2">
        <v>1.00354</v>
      </c>
      <c r="PF1290" s="2">
        <v>0.99886</v>
      </c>
      <c r="PG1290" s="2">
        <v>0.9982</v>
      </c>
      <c r="PH1290" s="2">
        <v>0.99573</v>
      </c>
      <c r="PI1290" s="2">
        <v>0.99818</v>
      </c>
    </row>
    <row r="1291">
      <c r="A1291" t="inlineStr">
        <is>
          <t>A130576715L</t>
        </is>
      </c>
      <c r="B1291" t="inlineStr">
        <is>
          <t>Combined Seasonal Adjustment Factors ;  Australia ;  Tobacco ;</t>
        </is>
      </c>
      <c r="C1291" t="inlineStr">
        <is>
          <t>Month</t>
        </is>
      </c>
      <c r="D1291" t="inlineStr">
        <is>
          <t>Number</t>
        </is>
      </c>
      <c r="E1291" t="inlineStr">
        <is>
          <t>Original</t>
        </is>
      </c>
      <c r="F1291" t="inlineStr">
        <is>
          <t>640108.xlsx</t>
        </is>
      </c>
      <c r="G1291" t="inlineStr">
        <is>
          <t>2017-09</t>
        </is>
      </c>
      <c r="H1291" t="inlineStr">
        <is>
          <t>2026-07</t>
        </is>
      </c>
      <c r="JW1291" s="2">
        <v>0.99453</v>
      </c>
      <c r="JX1291" s="2">
        <v>1.02481</v>
      </c>
      <c r="JY1291" s="2">
        <v>1.02302</v>
      </c>
      <c r="JZ1291" s="2">
        <v>1.01545</v>
      </c>
      <c r="KE1291" s="2">
        <v>1.00733</v>
      </c>
      <c r="KF1291" s="2">
        <v>0.99276</v>
      </c>
      <c r="KG1291" s="2">
        <v>0.99236</v>
      </c>
      <c r="KH1291" s="2">
        <v>0.99747</v>
      </c>
      <c r="KI1291" s="2">
        <v>0.99533</v>
      </c>
      <c r="KJ1291" s="2">
        <v>0.98746</v>
      </c>
      <c r="KK1291" s="2">
        <v>0.98224</v>
      </c>
      <c r="KL1291" s="2">
        <v>0.96988</v>
      </c>
      <c r="KM1291" s="2">
        <v>0.99451</v>
      </c>
      <c r="KN1291" s="2">
        <v>1.02455</v>
      </c>
      <c r="KO1291" s="2">
        <v>1.02226</v>
      </c>
      <c r="KP1291" s="2">
        <v>1.01488</v>
      </c>
      <c r="KU1291" s="2">
        <v>1.00707</v>
      </c>
      <c r="KV1291" s="2">
        <v>0.99324</v>
      </c>
      <c r="KW1291" s="2">
        <v>0.9929</v>
      </c>
      <c r="KX1291" s="2">
        <v>0.99741</v>
      </c>
      <c r="KY1291" s="2">
        <v>0.99543</v>
      </c>
      <c r="KZ1291" s="2">
        <v>0.98788</v>
      </c>
      <c r="LA1291" s="2">
        <v>0.98288</v>
      </c>
      <c r="LB1291" s="2">
        <v>0.97048</v>
      </c>
      <c r="LC1291" s="2">
        <v>0.99492</v>
      </c>
      <c r="LD1291" s="2">
        <v>1.02349</v>
      </c>
      <c r="LE1291" s="2">
        <v>1.02093</v>
      </c>
      <c r="LF1291" s="2">
        <v>1.01366</v>
      </c>
      <c r="LK1291" s="2">
        <v>1.00619</v>
      </c>
      <c r="LL1291" s="2">
        <v>1.02966</v>
      </c>
      <c r="LM1291" s="2">
        <v>0.9938900000000001</v>
      </c>
      <c r="LN1291" s="2">
        <v>0.99773</v>
      </c>
      <c r="LO1291" s="2">
        <v>0.99546</v>
      </c>
      <c r="LP1291" s="2">
        <v>0.9885</v>
      </c>
      <c r="LQ1291" s="2">
        <v>0.98359</v>
      </c>
      <c r="LR1291" s="2">
        <v>0.97133</v>
      </c>
      <c r="LS1291" s="2">
        <v>0.99612</v>
      </c>
      <c r="LT1291" s="2">
        <v>1.02196</v>
      </c>
      <c r="LU1291" s="2">
        <v>1.01861</v>
      </c>
      <c r="LV1291" s="2">
        <v>1.01214</v>
      </c>
      <c r="MA1291" s="2">
        <v>1.00542</v>
      </c>
      <c r="MB1291" s="2">
        <v>0.99465</v>
      </c>
      <c r="MC1291" s="2">
        <v>0.99531</v>
      </c>
      <c r="MD1291" s="2">
        <v>0.99885</v>
      </c>
      <c r="ME1291" s="2">
        <v>0.99547</v>
      </c>
      <c r="MF1291" s="2">
        <v>0.98894</v>
      </c>
      <c r="MG1291" s="2">
        <v>0.98389</v>
      </c>
      <c r="MH1291" s="2">
        <v>0.97196</v>
      </c>
      <c r="MI1291" s="2">
        <v>0.99765</v>
      </c>
      <c r="MJ1291" s="2">
        <v>1.02081</v>
      </c>
      <c r="MK1291" s="2">
        <v>1.0165</v>
      </c>
      <c r="ML1291" s="2">
        <v>1.01029</v>
      </c>
      <c r="MQ1291" s="2">
        <v>1.00434</v>
      </c>
      <c r="MR1291" s="2">
        <v>0.99538</v>
      </c>
      <c r="MS1291" s="2">
        <v>0.9968</v>
      </c>
      <c r="MT1291" s="2">
        <v>1.00004</v>
      </c>
      <c r="MU1291" s="2">
        <v>0.9955000000000001</v>
      </c>
      <c r="MV1291" s="2">
        <v>0.98876</v>
      </c>
      <c r="MW1291" s="2">
        <v>0.98378</v>
      </c>
      <c r="MX1291" s="2">
        <v>0.97255</v>
      </c>
      <c r="MY1291" s="2">
        <v>0.99965</v>
      </c>
      <c r="MZ1291" s="2">
        <v>1.01989</v>
      </c>
      <c r="NA1291" s="2">
        <v>1.01455</v>
      </c>
      <c r="NB1291" s="2">
        <v>1.00917</v>
      </c>
      <c r="NG1291" s="2">
        <v>1.00356</v>
      </c>
      <c r="NH1291" s="2">
        <v>0.99557</v>
      </c>
      <c r="NI1291" s="2">
        <v>0.99839</v>
      </c>
      <c r="NJ1291" s="2">
        <v>1.00129</v>
      </c>
      <c r="NK1291" s="2">
        <v>0.99516</v>
      </c>
      <c r="NL1291" s="2">
        <v>0.98773</v>
      </c>
      <c r="NM1291" s="2">
        <v>0.9834000000000001</v>
      </c>
      <c r="NN1291" s="2">
        <v>0.97294</v>
      </c>
      <c r="NO1291" s="2">
        <v>1.00132</v>
      </c>
      <c r="NP1291" s="2">
        <v>1.01943</v>
      </c>
      <c r="NQ1291" s="2">
        <v>1.01398</v>
      </c>
      <c r="NR1291" s="2">
        <v>1.00867</v>
      </c>
      <c r="NW1291" s="2">
        <v>1.00288</v>
      </c>
      <c r="NX1291" s="2">
        <v>1.03112</v>
      </c>
      <c r="NY1291" s="2">
        <v>0.99963</v>
      </c>
      <c r="NZ1291" s="2">
        <v>1.00209</v>
      </c>
      <c r="OA1291" s="2">
        <v>0.9946700000000001</v>
      </c>
      <c r="OB1291" s="2">
        <v>0.98632</v>
      </c>
      <c r="OC1291" s="2">
        <v>0.98282</v>
      </c>
      <c r="OD1291" s="2">
        <v>0.97327</v>
      </c>
      <c r="OE1291" s="2">
        <v>1.00253</v>
      </c>
      <c r="OF1291" s="2">
        <v>1.01948</v>
      </c>
      <c r="OG1291" s="2">
        <v>1.01408</v>
      </c>
      <c r="OH1291" s="2">
        <v>1.00886</v>
      </c>
      <c r="OM1291" s="2">
        <v>1.00266</v>
      </c>
      <c r="ON1291" s="2">
        <v>0.9949</v>
      </c>
      <c r="OO1291" s="2">
        <v>1.00032</v>
      </c>
      <c r="OP1291" s="2">
        <v>1.00279</v>
      </c>
      <c r="OQ1291" s="2">
        <v>0.99411</v>
      </c>
      <c r="OR1291" s="2">
        <v>0.98506</v>
      </c>
      <c r="OS1291" s="2">
        <v>0.98245</v>
      </c>
      <c r="OT1291" s="2">
        <v>0.97346</v>
      </c>
      <c r="OU1291" s="2">
        <v>1.00285</v>
      </c>
      <c r="OV1291" s="2">
        <v>1.01999</v>
      </c>
      <c r="OW1291" s="2">
        <v>1.01479</v>
      </c>
      <c r="OX1291" s="2">
        <v>1.00898</v>
      </c>
      <c r="PC1291" s="2">
        <v>1.00263</v>
      </c>
      <c r="PD1291" s="2">
        <v>0.99446</v>
      </c>
      <c r="PE1291" s="2">
        <v>1.00063</v>
      </c>
      <c r="PF1291" s="2">
        <v>1.00283</v>
      </c>
      <c r="PG1291" s="2">
        <v>0.99385</v>
      </c>
      <c r="PH1291" s="2">
        <v>0.9841800000000001</v>
      </c>
      <c r="PI1291" s="2">
        <v>0.98232</v>
      </c>
    </row>
    <row r="1292">
      <c r="A1292" t="inlineStr">
        <is>
          <t>A130576763F</t>
        </is>
      </c>
      <c r="B1292" t="inlineStr">
        <is>
          <t>Combined Seasonal Adjustment Factors ;  Australia ;  Garments for men ;</t>
        </is>
      </c>
      <c r="C1292" t="inlineStr">
        <is>
          <t>Month</t>
        </is>
      </c>
      <c r="D1292" t="inlineStr">
        <is>
          <t>Number</t>
        </is>
      </c>
      <c r="E1292" t="inlineStr">
        <is>
          <t>Original</t>
        </is>
      </c>
      <c r="F1292" t="inlineStr">
        <is>
          <t>640108.xlsx</t>
        </is>
      </c>
      <c r="G1292" t="inlineStr">
        <is>
          <t>2024-04</t>
        </is>
      </c>
      <c r="H1292" t="inlineStr">
        <is>
          <t>2026-07</t>
        </is>
      </c>
      <c r="NZ1292" s="2">
        <v>1.02989</v>
      </c>
      <c r="OA1292" s="2">
        <v>1.00532</v>
      </c>
      <c r="OB1292" s="2">
        <v>0.97153</v>
      </c>
      <c r="OC1292" s="2">
        <v>0.99654</v>
      </c>
      <c r="OD1292" s="2">
        <v>1.00955</v>
      </c>
      <c r="OE1292" s="2">
        <v>0.98971</v>
      </c>
      <c r="OF1292" s="2">
        <v>1.02148</v>
      </c>
      <c r="OG1292" s="2">
        <v>0.9966</v>
      </c>
      <c r="OH1292" s="2">
        <v>0.98481</v>
      </c>
      <c r="OM1292" s="2">
        <v>0.98393</v>
      </c>
      <c r="ON1292" s="2">
        <v>1.01415</v>
      </c>
      <c r="OO1292" s="2">
        <v>0.99613</v>
      </c>
      <c r="OP1292" s="2">
        <v>1.02947</v>
      </c>
      <c r="OQ1292" s="2">
        <v>1.00224</v>
      </c>
      <c r="OR1292" s="2">
        <v>0.97129</v>
      </c>
      <c r="OS1292" s="2">
        <v>0.99866</v>
      </c>
      <c r="OT1292" s="2">
        <v>1.01359</v>
      </c>
      <c r="OU1292" s="2">
        <v>0.99135</v>
      </c>
      <c r="OV1292" s="2">
        <v>1.01932</v>
      </c>
      <c r="OW1292" s="2">
        <v>0.9954</v>
      </c>
      <c r="OX1292" s="2">
        <v>0.98329</v>
      </c>
      <c r="PC1292" s="2">
        <v>0.98565</v>
      </c>
      <c r="PD1292" s="2">
        <v>1.01673</v>
      </c>
      <c r="PE1292" s="2">
        <v>0.99183</v>
      </c>
      <c r="PF1292" s="2">
        <v>1.02958</v>
      </c>
      <c r="PG1292" s="2">
        <v>1.00097</v>
      </c>
      <c r="PH1292" s="2">
        <v>0.97163</v>
      </c>
      <c r="PI1292" s="2">
        <v>0.9997</v>
      </c>
    </row>
    <row r="1293">
      <c r="A1293" t="inlineStr">
        <is>
          <t>A130576716R</t>
        </is>
      </c>
      <c r="B1293" t="inlineStr">
        <is>
          <t>Combined Seasonal Adjustment Factors ;  Australia ;  Garments for women ;</t>
        </is>
      </c>
      <c r="C1293" t="inlineStr">
        <is>
          <t>Month</t>
        </is>
      </c>
      <c r="D1293" t="inlineStr">
        <is>
          <t>Number</t>
        </is>
      </c>
      <c r="E1293" t="inlineStr">
        <is>
          <t>Original</t>
        </is>
      </c>
      <c r="F1293" t="inlineStr">
        <is>
          <t>640108.xlsx</t>
        </is>
      </c>
      <c r="G1293" t="inlineStr">
        <is>
          <t>2024-04</t>
        </is>
      </c>
      <c r="H1293" t="inlineStr">
        <is>
          <t>2026-07</t>
        </is>
      </c>
      <c r="NZ1293" s="2">
        <v>1.03915</v>
      </c>
      <c r="OA1293" s="2">
        <v>1.0002</v>
      </c>
      <c r="OB1293" s="2">
        <v>0.98028</v>
      </c>
      <c r="OC1293" s="2">
        <v>1.00194</v>
      </c>
      <c r="OD1293" s="2">
        <v>1.0049</v>
      </c>
      <c r="OE1293" s="2">
        <v>0.99122</v>
      </c>
      <c r="OF1293" s="2">
        <v>1.02015</v>
      </c>
      <c r="OG1293" s="2">
        <v>0.97767</v>
      </c>
      <c r="OH1293" s="2">
        <v>0.99699</v>
      </c>
      <c r="OM1293" s="2">
        <v>0.97825</v>
      </c>
      <c r="ON1293" s="2">
        <v>1.01236</v>
      </c>
      <c r="OO1293" s="2">
        <v>0.99592</v>
      </c>
      <c r="OP1293" s="2">
        <v>1.04125</v>
      </c>
      <c r="OQ1293" s="2">
        <v>1.00212</v>
      </c>
      <c r="OR1293" s="2">
        <v>0.97718</v>
      </c>
      <c r="OS1293" s="2">
        <v>1.00388</v>
      </c>
      <c r="OT1293" s="2">
        <v>1.00569</v>
      </c>
      <c r="OU1293" s="2">
        <v>0.98989</v>
      </c>
      <c r="OV1293" s="2">
        <v>1.01693</v>
      </c>
      <c r="OW1293" s="2">
        <v>0.97884</v>
      </c>
      <c r="OX1293" s="2">
        <v>0.99485</v>
      </c>
      <c r="PC1293" s="2">
        <v>0.97876</v>
      </c>
      <c r="PD1293" s="2">
        <v>1.01506</v>
      </c>
      <c r="PE1293" s="2">
        <v>0.99436</v>
      </c>
      <c r="PF1293" s="2">
        <v>1.0426</v>
      </c>
      <c r="PG1293" s="2">
        <v>1.00409</v>
      </c>
      <c r="PH1293" s="2">
        <v>0.97558</v>
      </c>
      <c r="PI1293" s="2">
        <v>1.00472</v>
      </c>
    </row>
    <row r="1294">
      <c r="A1294" t="inlineStr">
        <is>
          <t>A130576725T</t>
        </is>
      </c>
      <c r="B1294" t="inlineStr">
        <is>
          <t>Combined Seasonal Adjustment Factors ;  Australia ;  Garments for infants and children ;</t>
        </is>
      </c>
      <c r="C1294" t="inlineStr">
        <is>
          <t>Month</t>
        </is>
      </c>
      <c r="D1294" t="inlineStr">
        <is>
          <t>Number</t>
        </is>
      </c>
      <c r="E1294" t="inlineStr">
        <is>
          <t>Original</t>
        </is>
      </c>
      <c r="F1294" t="inlineStr">
        <is>
          <t>640108.xlsx</t>
        </is>
      </c>
      <c r="G1294" t="inlineStr">
        <is>
          <t>2024-04</t>
        </is>
      </c>
      <c r="H1294" t="inlineStr">
        <is>
          <t>2026-07</t>
        </is>
      </c>
      <c r="NZ1294" s="2">
        <v>1</v>
      </c>
      <c r="OA1294" s="2">
        <v>1</v>
      </c>
      <c r="OB1294" s="2">
        <v>1</v>
      </c>
      <c r="OC1294" s="2">
        <v>1</v>
      </c>
      <c r="OD1294" s="2">
        <v>1</v>
      </c>
      <c r="OE1294" s="2">
        <v>1</v>
      </c>
      <c r="OF1294" s="2">
        <v>1</v>
      </c>
      <c r="OG1294" s="2">
        <v>1</v>
      </c>
      <c r="OH1294" s="2">
        <v>1</v>
      </c>
      <c r="OM1294" s="2">
        <v>1</v>
      </c>
      <c r="ON1294" s="2">
        <v>1</v>
      </c>
      <c r="OO1294" s="2">
        <v>0.97938</v>
      </c>
      <c r="OP1294" s="2">
        <v>1</v>
      </c>
      <c r="OQ1294" s="2">
        <v>1</v>
      </c>
      <c r="OR1294" s="2">
        <v>0.96815</v>
      </c>
      <c r="OS1294" s="2">
        <v>1</v>
      </c>
      <c r="OT1294" s="2">
        <v>1</v>
      </c>
      <c r="OU1294" s="2">
        <v>1</v>
      </c>
      <c r="OV1294" s="2">
        <v>1</v>
      </c>
      <c r="OW1294" s="2">
        <v>1</v>
      </c>
      <c r="OX1294" s="2">
        <v>0.98432</v>
      </c>
      <c r="PC1294" s="2">
        <v>1</v>
      </c>
      <c r="PD1294" s="2">
        <v>1</v>
      </c>
      <c r="PE1294" s="2">
        <v>0.97553</v>
      </c>
      <c r="PF1294" s="2">
        <v>1</v>
      </c>
      <c r="PG1294" s="2">
        <v>1</v>
      </c>
      <c r="PH1294" s="2">
        <v>0.9728</v>
      </c>
      <c r="PI1294" s="2">
        <v>1</v>
      </c>
    </row>
    <row r="1295">
      <c r="A1295" t="inlineStr">
        <is>
          <t>A130576782L</t>
        </is>
      </c>
      <c r="B1295" t="inlineStr">
        <is>
          <t>Combined Seasonal Adjustment Factors ;  Australia ;  Footwear for men ;</t>
        </is>
      </c>
      <c r="C1295" t="inlineStr">
        <is>
          <t>Month</t>
        </is>
      </c>
      <c r="D1295" t="inlineStr">
        <is>
          <t>Number</t>
        </is>
      </c>
      <c r="E1295" t="inlineStr">
        <is>
          <t>Original</t>
        </is>
      </c>
      <c r="F1295" t="inlineStr">
        <is>
          <t>640108.xlsx</t>
        </is>
      </c>
      <c r="G1295" t="inlineStr">
        <is>
          <t>2024-04</t>
        </is>
      </c>
      <c r="H1295" t="inlineStr">
        <is>
          <t>2026-07</t>
        </is>
      </c>
      <c r="NZ1295" s="2">
        <v>1.00953</v>
      </c>
      <c r="OA1295" s="2">
        <v>0.98582</v>
      </c>
      <c r="OB1295" s="2">
        <v>0.96866</v>
      </c>
      <c r="OC1295" s="2">
        <v>1.01234</v>
      </c>
      <c r="OD1295" s="2">
        <v>0.98373</v>
      </c>
      <c r="OE1295" s="2">
        <v>1.02389</v>
      </c>
      <c r="OF1295" s="2">
        <v>1.03645</v>
      </c>
      <c r="OG1295" s="2">
        <v>0.98468</v>
      </c>
      <c r="OH1295" s="2">
        <v>0.99137</v>
      </c>
      <c r="OM1295" s="2">
        <v>0.98925</v>
      </c>
      <c r="ON1295" s="2">
        <v>1.0414</v>
      </c>
      <c r="OO1295" s="2">
        <v>0.9766899999999999</v>
      </c>
      <c r="OP1295" s="2">
        <v>1.02386</v>
      </c>
      <c r="OQ1295" s="2">
        <v>0.9888</v>
      </c>
      <c r="OR1295" s="2">
        <v>1.00299</v>
      </c>
      <c r="OS1295" s="2">
        <v>1.00635</v>
      </c>
      <c r="OT1295" s="2">
        <v>0.978</v>
      </c>
      <c r="OU1295" s="2">
        <v>1.00143</v>
      </c>
      <c r="OV1295" s="2">
        <v>1.03483</v>
      </c>
      <c r="OW1295" s="2">
        <v>0.99057</v>
      </c>
      <c r="OX1295" s="2">
        <v>0.97882</v>
      </c>
      <c r="PC1295" s="2">
        <v>1.00872</v>
      </c>
      <c r="PD1295" s="2">
        <v>1.0278</v>
      </c>
      <c r="PE1295" s="2">
        <v>0.98944</v>
      </c>
      <c r="PF1295" s="2">
        <v>1.00559</v>
      </c>
      <c r="PG1295" s="2">
        <v>1.01615</v>
      </c>
      <c r="PH1295" s="2">
        <v>0.99225</v>
      </c>
      <c r="PI1295" s="2">
        <v>0.98376</v>
      </c>
    </row>
    <row r="1296">
      <c r="A1296" t="inlineStr">
        <is>
          <t>A130576790L</t>
        </is>
      </c>
      <c r="B1296" t="inlineStr">
        <is>
          <t>Combined Seasonal Adjustment Factors ;  Australia ;  Footwear for women ;</t>
        </is>
      </c>
      <c r="C1296" t="inlineStr">
        <is>
          <t>Month</t>
        </is>
      </c>
      <c r="D1296" t="inlineStr">
        <is>
          <t>Number</t>
        </is>
      </c>
      <c r="E1296" t="inlineStr">
        <is>
          <t>Original</t>
        </is>
      </c>
      <c r="F1296" t="inlineStr">
        <is>
          <t>640108.xlsx</t>
        </is>
      </c>
      <c r="G1296" t="inlineStr">
        <is>
          <t>2024-04</t>
        </is>
      </c>
      <c r="H1296" t="inlineStr">
        <is>
          <t>2026-07</t>
        </is>
      </c>
      <c r="NZ1296" s="2">
        <v>1.00726</v>
      </c>
      <c r="OA1296" s="2">
        <v>0.94369</v>
      </c>
      <c r="OB1296" s="2">
        <v>0.99931</v>
      </c>
      <c r="OC1296" s="2">
        <v>1.01444</v>
      </c>
      <c r="OD1296" s="2">
        <v>0.99256</v>
      </c>
      <c r="OE1296" s="2">
        <v>0.9927</v>
      </c>
      <c r="OF1296" s="2">
        <v>1.05799</v>
      </c>
      <c r="OG1296" s="2">
        <v>1.00239</v>
      </c>
      <c r="OH1296" s="2">
        <v>0.9850100000000001</v>
      </c>
      <c r="OM1296" s="2">
        <v>0.99844</v>
      </c>
      <c r="ON1296" s="2">
        <v>1.04192</v>
      </c>
      <c r="OO1296" s="2">
        <v>0.98807</v>
      </c>
      <c r="OP1296" s="2">
        <v>1.0259</v>
      </c>
      <c r="OQ1296" s="2">
        <v>0.99164</v>
      </c>
      <c r="OR1296" s="2">
        <v>1.0055</v>
      </c>
      <c r="OS1296" s="2">
        <v>0.98356</v>
      </c>
      <c r="OT1296" s="2">
        <v>0.97056</v>
      </c>
      <c r="OU1296" s="2">
        <v>1.02977</v>
      </c>
      <c r="OV1296" s="2">
        <v>1.04924</v>
      </c>
      <c r="OW1296" s="2">
        <v>0.9886200000000001</v>
      </c>
      <c r="OX1296" s="2">
        <v>0.98417</v>
      </c>
      <c r="PC1296" s="2">
        <v>0.9843499999999999</v>
      </c>
      <c r="PD1296" s="2">
        <v>1.03208</v>
      </c>
      <c r="PE1296" s="2">
        <v>1.01354</v>
      </c>
      <c r="PF1296" s="2">
        <v>1.03762</v>
      </c>
      <c r="PG1296" s="2">
        <v>0.98952</v>
      </c>
      <c r="PH1296" s="2">
        <v>0.98858</v>
      </c>
      <c r="PI1296" s="2">
        <v>1.01068</v>
      </c>
    </row>
    <row r="1297">
      <c r="A1297" t="inlineStr">
        <is>
          <t>A130576744X</t>
        </is>
      </c>
      <c r="B1297" t="inlineStr">
        <is>
          <t>Combined Seasonal Adjustment Factors ;  Australia ;  Footwear for infants and children ;</t>
        </is>
      </c>
      <c r="C1297" t="inlineStr">
        <is>
          <t>Month</t>
        </is>
      </c>
      <c r="D1297" t="inlineStr">
        <is>
          <t>Number</t>
        </is>
      </c>
      <c r="E1297" t="inlineStr">
        <is>
          <t>Original</t>
        </is>
      </c>
      <c r="F1297" t="inlineStr">
        <is>
          <t>640108.xlsx</t>
        </is>
      </c>
      <c r="G1297" t="inlineStr">
        <is>
          <t>2024-04</t>
        </is>
      </c>
      <c r="H1297" t="inlineStr">
        <is>
          <t>2026-07</t>
        </is>
      </c>
      <c r="NZ1297" s="2">
        <v>1.00081</v>
      </c>
      <c r="OA1297" s="2">
        <v>0.97429</v>
      </c>
      <c r="OB1297" s="2">
        <v>1.00099</v>
      </c>
      <c r="OC1297" s="2">
        <v>1.01578</v>
      </c>
      <c r="OD1297" s="2">
        <v>0.99774</v>
      </c>
      <c r="OE1297" s="2">
        <v>0.98781</v>
      </c>
      <c r="OF1297" s="2">
        <v>1.02507</v>
      </c>
      <c r="OG1297" s="2">
        <v>0.99429</v>
      </c>
      <c r="OH1297" s="2">
        <v>0.96092</v>
      </c>
      <c r="OM1297" s="2">
        <v>0.99797</v>
      </c>
      <c r="ON1297" s="2">
        <v>1.01628</v>
      </c>
      <c r="OO1297" s="2">
        <v>1.01552</v>
      </c>
      <c r="OP1297" s="2">
        <v>1.00056</v>
      </c>
      <c r="OQ1297" s="2">
        <v>0.99887</v>
      </c>
      <c r="OR1297" s="2">
        <v>0.98122</v>
      </c>
      <c r="OS1297" s="2">
        <v>1.01007</v>
      </c>
      <c r="OT1297" s="2">
        <v>0.97816</v>
      </c>
      <c r="OU1297" s="2">
        <v>0.99952</v>
      </c>
      <c r="OV1297" s="2">
        <v>1.02991</v>
      </c>
      <c r="OW1297" s="2">
        <v>0.97939</v>
      </c>
      <c r="OX1297" s="2">
        <v>0.99879</v>
      </c>
      <c r="PC1297" s="2">
        <v>1.00229</v>
      </c>
      <c r="PD1297" s="2">
        <v>1.02349</v>
      </c>
      <c r="PE1297" s="2">
        <v>0.98677</v>
      </c>
      <c r="PF1297" s="2">
        <v>1.00487</v>
      </c>
      <c r="PG1297" s="2">
        <v>1.01253</v>
      </c>
      <c r="PH1297" s="2">
        <v>0.99396</v>
      </c>
      <c r="PI1297" s="2">
        <v>0.98192</v>
      </c>
    </row>
    <row r="1298">
      <c r="A1298" t="inlineStr">
        <is>
          <t>A130576726V</t>
        </is>
      </c>
      <c r="B1298" t="inlineStr">
        <is>
          <t>Combined Seasonal Adjustment Factors ;  Australia ;  Accessories ;</t>
        </is>
      </c>
      <c r="C1298" t="inlineStr">
        <is>
          <t>Month</t>
        </is>
      </c>
      <c r="D1298" t="inlineStr">
        <is>
          <t>Number</t>
        </is>
      </c>
      <c r="E1298" t="inlineStr">
        <is>
          <t>Original</t>
        </is>
      </c>
      <c r="F1298" t="inlineStr">
        <is>
          <t>640108.xlsx</t>
        </is>
      </c>
      <c r="G1298" t="inlineStr">
        <is>
          <t>2024-04</t>
        </is>
      </c>
      <c r="H1298" t="inlineStr">
        <is>
          <t>2026-07</t>
        </is>
      </c>
      <c r="NZ1298" s="2">
        <v>1</v>
      </c>
      <c r="OA1298" s="2">
        <v>1</v>
      </c>
      <c r="OB1298" s="2">
        <v>0.95605</v>
      </c>
      <c r="OC1298" s="2">
        <v>1</v>
      </c>
      <c r="OD1298" s="2">
        <v>1</v>
      </c>
      <c r="OE1298" s="2">
        <v>1</v>
      </c>
      <c r="OF1298" s="2">
        <v>1</v>
      </c>
      <c r="OG1298" s="2">
        <v>0.93037</v>
      </c>
      <c r="OH1298" s="2">
        <v>0.96436</v>
      </c>
      <c r="OM1298" s="2">
        <v>1</v>
      </c>
      <c r="ON1298" s="2">
        <v>1</v>
      </c>
      <c r="OO1298" s="2">
        <v>1</v>
      </c>
      <c r="OP1298" s="2">
        <v>1</v>
      </c>
      <c r="OQ1298" s="2">
        <v>1</v>
      </c>
      <c r="OR1298" s="2">
        <v>1</v>
      </c>
      <c r="OS1298" s="2">
        <v>1</v>
      </c>
      <c r="OT1298" s="2">
        <v>1</v>
      </c>
      <c r="OU1298" s="2">
        <v>1</v>
      </c>
      <c r="OV1298" s="2">
        <v>1</v>
      </c>
      <c r="OW1298" s="2">
        <v>0.96937</v>
      </c>
      <c r="OX1298" s="2">
        <v>0.96579</v>
      </c>
      <c r="PC1298" s="2">
        <v>1</v>
      </c>
      <c r="PD1298" s="2">
        <v>1</v>
      </c>
      <c r="PE1298" s="2">
        <v>1</v>
      </c>
      <c r="PF1298" s="2">
        <v>1</v>
      </c>
      <c r="PG1298" s="2">
        <v>1</v>
      </c>
      <c r="PH1298" s="2">
        <v>1</v>
      </c>
      <c r="PI1298" s="2">
        <v>1</v>
      </c>
    </row>
    <row r="1299">
      <c r="A1299" t="inlineStr">
        <is>
          <t>A130576719W</t>
        </is>
      </c>
      <c r="B1299" t="inlineStr">
        <is>
          <t>Combined Seasonal Adjustment Factors ;  Australia ;  Cleaning, repair and hire of clothing and footwear ;</t>
        </is>
      </c>
      <c r="C1299" t="inlineStr">
        <is>
          <t>Month</t>
        </is>
      </c>
      <c r="D1299" t="inlineStr">
        <is>
          <t>Number</t>
        </is>
      </c>
      <c r="E1299" t="inlineStr">
        <is>
          <t>Original</t>
        </is>
      </c>
      <c r="F1299" t="inlineStr">
        <is>
          <t>640108.xlsx</t>
        </is>
      </c>
      <c r="G1299" t="inlineStr">
        <is>
          <t>2024-04</t>
        </is>
      </c>
      <c r="H1299" t="inlineStr">
        <is>
          <t>2026-07</t>
        </is>
      </c>
      <c r="NZ1299" s="2">
        <v>1</v>
      </c>
      <c r="OA1299" s="2">
        <v>1</v>
      </c>
      <c r="OB1299" s="2">
        <v>1</v>
      </c>
      <c r="OC1299" s="2">
        <v>1</v>
      </c>
      <c r="OD1299" s="2">
        <v>1</v>
      </c>
      <c r="OE1299" s="2">
        <v>1</v>
      </c>
      <c r="OF1299" s="2">
        <v>1</v>
      </c>
      <c r="OG1299" s="2">
        <v>1</v>
      </c>
      <c r="OH1299" s="2">
        <v>1</v>
      </c>
      <c r="OM1299" s="2">
        <v>1</v>
      </c>
      <c r="ON1299" s="2">
        <v>1</v>
      </c>
      <c r="OO1299" s="2">
        <v>1</v>
      </c>
      <c r="OP1299" s="2">
        <v>1</v>
      </c>
      <c r="OQ1299" s="2">
        <v>1</v>
      </c>
      <c r="OR1299" s="2">
        <v>1</v>
      </c>
      <c r="OS1299" s="2">
        <v>1</v>
      </c>
      <c r="OT1299" s="2">
        <v>1</v>
      </c>
      <c r="OU1299" s="2">
        <v>1</v>
      </c>
      <c r="OV1299" s="2">
        <v>1</v>
      </c>
      <c r="OW1299" s="2">
        <v>1</v>
      </c>
      <c r="OX1299" s="2">
        <v>1</v>
      </c>
      <c r="PC1299" s="2">
        <v>1</v>
      </c>
      <c r="PD1299" s="2">
        <v>1</v>
      </c>
      <c r="PE1299" s="2">
        <v>1</v>
      </c>
      <c r="PF1299" s="2">
        <v>1</v>
      </c>
      <c r="PG1299" s="2">
        <v>1</v>
      </c>
      <c r="PH1299" s="2">
        <v>1</v>
      </c>
      <c r="PI1299" s="2">
        <v>1</v>
      </c>
    </row>
    <row r="1300">
      <c r="A1300" t="inlineStr">
        <is>
          <t>A130576743W</t>
        </is>
      </c>
      <c r="B1300" t="inlineStr">
        <is>
          <t>Combined Seasonal Adjustment Factors ;  Australia ;  Rents ;</t>
        </is>
      </c>
      <c r="C1300" t="inlineStr">
        <is>
          <t>Month</t>
        </is>
      </c>
      <c r="D1300" t="inlineStr">
        <is>
          <t>Number</t>
        </is>
      </c>
      <c r="E1300" t="inlineStr">
        <is>
          <t>Original</t>
        </is>
      </c>
      <c r="F1300" t="inlineStr">
        <is>
          <t>640108.xlsx</t>
        </is>
      </c>
      <c r="G1300" t="inlineStr">
        <is>
          <t>2022-07</t>
        </is>
      </c>
      <c r="H1300" t="inlineStr">
        <is>
          <t>2026-07</t>
        </is>
      </c>
      <c r="MW1300" s="2">
        <v>1.00196</v>
      </c>
      <c r="MX1300" s="2">
        <v>1.00235</v>
      </c>
      <c r="MY1300" s="2">
        <v>1.00036</v>
      </c>
      <c r="MZ1300" s="2">
        <v>0.99843</v>
      </c>
      <c r="NA1300" s="2">
        <v>0.9987200000000001</v>
      </c>
      <c r="NB1300" s="2">
        <v>0.9987</v>
      </c>
      <c r="NG1300" s="2">
        <v>0.99902</v>
      </c>
      <c r="NH1300" s="2">
        <v>1.00004</v>
      </c>
      <c r="NI1300" s="2">
        <v>0.99936</v>
      </c>
      <c r="NJ1300" s="2">
        <v>0.9991</v>
      </c>
      <c r="NK1300" s="2">
        <v>1.00056</v>
      </c>
      <c r="NL1300" s="2">
        <v>1.00144</v>
      </c>
      <c r="NM1300" s="2">
        <v>1.00191</v>
      </c>
      <c r="NN1300" s="2">
        <v>1.00226</v>
      </c>
      <c r="NO1300" s="2">
        <v>1.00038</v>
      </c>
      <c r="NP1300" s="2">
        <v>0.99848</v>
      </c>
      <c r="NQ1300" s="2">
        <v>0.9988</v>
      </c>
      <c r="NR1300" s="2">
        <v>0.99869</v>
      </c>
      <c r="NW1300" s="2">
        <v>0.999</v>
      </c>
      <c r="NX1300" s="2">
        <v>1.00002</v>
      </c>
      <c r="NY1300" s="2">
        <v>0.99937</v>
      </c>
      <c r="NZ1300" s="2">
        <v>0.9990599999999999</v>
      </c>
      <c r="OA1300" s="2">
        <v>1.00057</v>
      </c>
      <c r="OB1300" s="2">
        <v>1.00145</v>
      </c>
      <c r="OC1300" s="2">
        <v>1.00192</v>
      </c>
      <c r="OD1300" s="2">
        <v>1.00214</v>
      </c>
      <c r="OE1300" s="2">
        <v>1.00041</v>
      </c>
      <c r="OF1300" s="2">
        <v>0.99855</v>
      </c>
      <c r="OG1300" s="2">
        <v>0.99892</v>
      </c>
      <c r="OH1300" s="2">
        <v>0.99868</v>
      </c>
      <c r="OM1300" s="2">
        <v>0.99897</v>
      </c>
      <c r="ON1300" s="2">
        <v>0.99997</v>
      </c>
      <c r="OO1300" s="2">
        <v>0.99936</v>
      </c>
      <c r="OP1300" s="2">
        <v>0.99899</v>
      </c>
      <c r="OQ1300" s="2">
        <v>1.0006</v>
      </c>
      <c r="OR1300" s="2">
        <v>1.0015</v>
      </c>
      <c r="OS1300" s="2">
        <v>1.00189</v>
      </c>
      <c r="OT1300" s="2">
        <v>1.00216</v>
      </c>
      <c r="OU1300" s="2">
        <v>1.00038</v>
      </c>
      <c r="OV1300" s="2">
        <v>0.99852</v>
      </c>
      <c r="OW1300" s="2">
        <v>0.99903</v>
      </c>
      <c r="OX1300" s="2">
        <v>0.9987</v>
      </c>
      <c r="PC1300" s="2">
        <v>0.9989</v>
      </c>
      <c r="PD1300" s="2">
        <v>0.9998899999999999</v>
      </c>
      <c r="PE1300" s="2">
        <v>0.99946</v>
      </c>
      <c r="PF1300" s="2">
        <v>0.99903</v>
      </c>
      <c r="PG1300" s="2">
        <v>1.00066</v>
      </c>
      <c r="PH1300" s="2">
        <v>1.00138</v>
      </c>
      <c r="PI1300" s="2">
        <v>1.00186</v>
      </c>
    </row>
    <row r="1301">
      <c r="A1301" t="inlineStr">
        <is>
          <t>A130576727W</t>
        </is>
      </c>
      <c r="B1301" t="inlineStr">
        <is>
          <t>Combined Seasonal Adjustment Factors ;  Australia ;  New dwelling purchase by owner-occupiers ;</t>
        </is>
      </c>
      <c r="C1301" t="inlineStr">
        <is>
          <t>Month</t>
        </is>
      </c>
      <c r="D1301" t="inlineStr">
        <is>
          <t>Number</t>
        </is>
      </c>
      <c r="E1301" t="inlineStr">
        <is>
          <t>Original</t>
        </is>
      </c>
      <c r="F1301" t="inlineStr">
        <is>
          <t>640108.xlsx</t>
        </is>
      </c>
      <c r="G1301" t="inlineStr">
        <is>
          <t>2017-09</t>
        </is>
      </c>
      <c r="H1301" t="inlineStr">
        <is>
          <t>2026-07</t>
        </is>
      </c>
      <c r="JW1301" s="2">
        <v>1</v>
      </c>
      <c r="JX1301" s="2">
        <v>1</v>
      </c>
      <c r="JY1301" s="2">
        <v>1</v>
      </c>
      <c r="JZ1301" s="2">
        <v>1</v>
      </c>
      <c r="KE1301" s="2">
        <v>1</v>
      </c>
      <c r="KF1301" s="2">
        <v>1</v>
      </c>
      <c r="KG1301" s="2">
        <v>1</v>
      </c>
      <c r="KH1301" s="2">
        <v>1</v>
      </c>
      <c r="KI1301" s="2">
        <v>1</v>
      </c>
      <c r="KJ1301" s="2">
        <v>1</v>
      </c>
      <c r="KK1301" s="2">
        <v>1</v>
      </c>
      <c r="KL1301" s="2">
        <v>1</v>
      </c>
      <c r="KM1301" s="2">
        <v>1</v>
      </c>
      <c r="KN1301" s="2">
        <v>1</v>
      </c>
      <c r="KO1301" s="2">
        <v>1</v>
      </c>
      <c r="KP1301" s="2">
        <v>1</v>
      </c>
      <c r="KU1301" s="2">
        <v>1</v>
      </c>
      <c r="KV1301" s="2">
        <v>1</v>
      </c>
      <c r="KW1301" s="2">
        <v>1</v>
      </c>
      <c r="KX1301" s="2">
        <v>1</v>
      </c>
      <c r="KY1301" s="2">
        <v>1</v>
      </c>
      <c r="KZ1301" s="2">
        <v>1</v>
      </c>
      <c r="LA1301" s="2">
        <v>1</v>
      </c>
      <c r="LB1301" s="2">
        <v>1</v>
      </c>
      <c r="LC1301" s="2">
        <v>1</v>
      </c>
      <c r="LD1301" s="2">
        <v>1</v>
      </c>
      <c r="LE1301" s="2">
        <v>1</v>
      </c>
      <c r="LF1301" s="2">
        <v>1</v>
      </c>
      <c r="LK1301" s="2">
        <v>1</v>
      </c>
      <c r="LL1301" s="2">
        <v>1</v>
      </c>
      <c r="LM1301" s="2">
        <v>1</v>
      </c>
      <c r="LN1301" s="2">
        <v>1</v>
      </c>
      <c r="LO1301" s="2">
        <v>1</v>
      </c>
      <c r="LP1301" s="2">
        <v>1</v>
      </c>
      <c r="LQ1301" s="2">
        <v>1</v>
      </c>
      <c r="LR1301" s="2">
        <v>1</v>
      </c>
      <c r="LS1301" s="2">
        <v>1</v>
      </c>
      <c r="LT1301" s="2">
        <v>1</v>
      </c>
      <c r="LU1301" s="2">
        <v>1</v>
      </c>
      <c r="LV1301" s="2">
        <v>1</v>
      </c>
      <c r="MA1301" s="2">
        <v>1</v>
      </c>
      <c r="MB1301" s="2">
        <v>1</v>
      </c>
      <c r="MC1301" s="2">
        <v>1</v>
      </c>
      <c r="MD1301" s="2">
        <v>1</v>
      </c>
      <c r="ME1301" s="2">
        <v>1</v>
      </c>
      <c r="MF1301" s="2">
        <v>1</v>
      </c>
      <c r="MG1301" s="2">
        <v>1</v>
      </c>
      <c r="MH1301" s="2">
        <v>1</v>
      </c>
      <c r="MI1301" s="2">
        <v>1</v>
      </c>
      <c r="MJ1301" s="2">
        <v>1</v>
      </c>
      <c r="MK1301" s="2">
        <v>1</v>
      </c>
      <c r="ML1301" s="2">
        <v>1</v>
      </c>
      <c r="MQ1301" s="2">
        <v>1</v>
      </c>
      <c r="MR1301" s="2">
        <v>1</v>
      </c>
      <c r="MS1301" s="2">
        <v>1</v>
      </c>
      <c r="MT1301" s="2">
        <v>1</v>
      </c>
      <c r="MU1301" s="2">
        <v>1</v>
      </c>
      <c r="MV1301" s="2">
        <v>1</v>
      </c>
      <c r="MW1301" s="2">
        <v>1</v>
      </c>
      <c r="MX1301" s="2">
        <v>1</v>
      </c>
      <c r="MY1301" s="2">
        <v>1</v>
      </c>
      <c r="MZ1301" s="2">
        <v>1</v>
      </c>
      <c r="NA1301" s="2">
        <v>1</v>
      </c>
      <c r="NB1301" s="2">
        <v>1</v>
      </c>
      <c r="NG1301" s="2">
        <v>1</v>
      </c>
      <c r="NH1301" s="2">
        <v>1</v>
      </c>
      <c r="NI1301" s="2">
        <v>1</v>
      </c>
      <c r="NJ1301" s="2">
        <v>1</v>
      </c>
      <c r="NK1301" s="2">
        <v>1</v>
      </c>
      <c r="NL1301" s="2">
        <v>1</v>
      </c>
      <c r="NM1301" s="2">
        <v>1</v>
      </c>
      <c r="NN1301" s="2">
        <v>1</v>
      </c>
      <c r="NO1301" s="2">
        <v>1</v>
      </c>
      <c r="NP1301" s="2">
        <v>1</v>
      </c>
      <c r="NQ1301" s="2">
        <v>1</v>
      </c>
      <c r="NR1301" s="2">
        <v>1</v>
      </c>
      <c r="NW1301" s="2">
        <v>1</v>
      </c>
      <c r="NX1301" s="2">
        <v>1</v>
      </c>
      <c r="NY1301" s="2">
        <v>1</v>
      </c>
      <c r="NZ1301" s="2">
        <v>1</v>
      </c>
      <c r="OA1301" s="2">
        <v>1</v>
      </c>
      <c r="OB1301" s="2">
        <v>1</v>
      </c>
      <c r="OC1301" s="2">
        <v>1</v>
      </c>
      <c r="OD1301" s="2">
        <v>1</v>
      </c>
      <c r="OE1301" s="2">
        <v>1</v>
      </c>
      <c r="OF1301" s="2">
        <v>1</v>
      </c>
      <c r="OG1301" s="2">
        <v>1</v>
      </c>
      <c r="OH1301" s="2">
        <v>1</v>
      </c>
      <c r="OM1301" s="2">
        <v>1</v>
      </c>
      <c r="ON1301" s="2">
        <v>1</v>
      </c>
      <c r="OO1301" s="2">
        <v>1</v>
      </c>
      <c r="OP1301" s="2">
        <v>1</v>
      </c>
      <c r="OQ1301" s="2">
        <v>1</v>
      </c>
      <c r="OR1301" s="2">
        <v>1</v>
      </c>
      <c r="OS1301" s="2">
        <v>1</v>
      </c>
      <c r="OT1301" s="2">
        <v>1</v>
      </c>
      <c r="OU1301" s="2">
        <v>1</v>
      </c>
      <c r="OV1301" s="2">
        <v>1</v>
      </c>
      <c r="OW1301" s="2">
        <v>1</v>
      </c>
      <c r="OX1301" s="2">
        <v>1</v>
      </c>
      <c r="PC1301" s="2">
        <v>1</v>
      </c>
      <c r="PD1301" s="2">
        <v>1</v>
      </c>
      <c r="PE1301" s="2">
        <v>1</v>
      </c>
      <c r="PF1301" s="2">
        <v>1</v>
      </c>
      <c r="PG1301" s="2">
        <v>1</v>
      </c>
      <c r="PH1301" s="2">
        <v>1</v>
      </c>
      <c r="PI1301" s="2">
        <v>1</v>
      </c>
    </row>
    <row r="1302">
      <c r="A1302" t="inlineStr">
        <is>
          <t>A130576745A</t>
        </is>
      </c>
      <c r="B1302" t="inlineStr">
        <is>
          <t>Combined Seasonal Adjustment Factors ;  Australia ;  Maintenance and repair of the dwelling ;</t>
        </is>
      </c>
      <c r="C1302" t="inlineStr">
        <is>
          <t>Month</t>
        </is>
      </c>
      <c r="D1302" t="inlineStr">
        <is>
          <t>Number</t>
        </is>
      </c>
      <c r="E1302" t="inlineStr">
        <is>
          <t>Original</t>
        </is>
      </c>
      <c r="F1302" t="inlineStr">
        <is>
          <t>640108.xlsx</t>
        </is>
      </c>
      <c r="G1302" t="inlineStr">
        <is>
          <t>2024-04</t>
        </is>
      </c>
      <c r="H1302" t="inlineStr">
        <is>
          <t>2026-07</t>
        </is>
      </c>
      <c r="NZ1302" s="2">
        <v>1</v>
      </c>
      <c r="OA1302" s="2">
        <v>1</v>
      </c>
      <c r="OB1302" s="2">
        <v>1</v>
      </c>
      <c r="OC1302" s="2">
        <v>1</v>
      </c>
      <c r="OD1302" s="2">
        <v>1</v>
      </c>
      <c r="OE1302" s="2">
        <v>1</v>
      </c>
      <c r="OF1302" s="2">
        <v>1</v>
      </c>
      <c r="OG1302" s="2">
        <v>1</v>
      </c>
      <c r="OH1302" s="2">
        <v>1</v>
      </c>
      <c r="OM1302" s="2">
        <v>1</v>
      </c>
      <c r="ON1302" s="2">
        <v>1</v>
      </c>
      <c r="OO1302" s="2">
        <v>1</v>
      </c>
      <c r="OP1302" s="2">
        <v>1</v>
      </c>
      <c r="OQ1302" s="2">
        <v>1</v>
      </c>
      <c r="OR1302" s="2">
        <v>1</v>
      </c>
      <c r="OS1302" s="2">
        <v>1</v>
      </c>
      <c r="OT1302" s="2">
        <v>1</v>
      </c>
      <c r="OU1302" s="2">
        <v>1</v>
      </c>
      <c r="OV1302" s="2">
        <v>1</v>
      </c>
      <c r="OW1302" s="2">
        <v>1</v>
      </c>
      <c r="OX1302" s="2">
        <v>1</v>
      </c>
      <c r="PC1302" s="2">
        <v>1</v>
      </c>
      <c r="PD1302" s="2">
        <v>1</v>
      </c>
      <c r="PE1302" s="2">
        <v>1</v>
      </c>
      <c r="PF1302" s="2">
        <v>1</v>
      </c>
      <c r="PG1302" s="2">
        <v>1</v>
      </c>
      <c r="PH1302" s="2">
        <v>1</v>
      </c>
      <c r="PI1302" s="2">
        <v>1</v>
      </c>
    </row>
    <row r="1303">
      <c r="A1303" t="inlineStr">
        <is>
          <t>A130576764J</t>
        </is>
      </c>
      <c r="B1303" t="inlineStr">
        <is>
          <t>Combined Seasonal Adjustment Factors ;  Australia ;  Property rates and charges ;</t>
        </is>
      </c>
      <c r="C1303" t="inlineStr">
        <is>
          <t>Month</t>
        </is>
      </c>
      <c r="D1303" t="inlineStr">
        <is>
          <t>Number</t>
        </is>
      </c>
      <c r="E1303" t="inlineStr">
        <is>
          <t>Original</t>
        </is>
      </c>
      <c r="F1303" t="inlineStr">
        <is>
          <t>640108.xlsx</t>
        </is>
      </c>
      <c r="G1303" t="inlineStr">
        <is>
          <t>2017-09</t>
        </is>
      </c>
      <c r="H1303" t="inlineStr">
        <is>
          <t>2026-07</t>
        </is>
      </c>
      <c r="JW1303" s="2">
        <v>1.01431</v>
      </c>
      <c r="JX1303" s="2">
        <v>1.01042</v>
      </c>
      <c r="JY1303" s="2">
        <v>1.00839</v>
      </c>
      <c r="JZ1303" s="2">
        <v>1.00605</v>
      </c>
      <c r="KE1303" s="2">
        <v>1.00359</v>
      </c>
      <c r="KF1303" s="2">
        <v>1.00111</v>
      </c>
      <c r="KG1303" s="2">
        <v>0.9986699999999999</v>
      </c>
      <c r="KH1303" s="2">
        <v>0.9966699999999999</v>
      </c>
      <c r="KI1303" s="2">
        <v>0.9942299999999999</v>
      </c>
      <c r="KJ1303" s="2">
        <v>0.99196</v>
      </c>
      <c r="KK1303" s="2">
        <v>0.98987</v>
      </c>
      <c r="KL1303" s="2">
        <v>0.98499</v>
      </c>
      <c r="KM1303" s="2">
        <v>1.01417</v>
      </c>
      <c r="KN1303" s="2">
        <v>1.01025</v>
      </c>
      <c r="KO1303" s="2">
        <v>1.00821</v>
      </c>
      <c r="KP1303" s="2">
        <v>1.00602</v>
      </c>
      <c r="KU1303" s="2">
        <v>1.00372</v>
      </c>
      <c r="KV1303" s="2">
        <v>1.00136</v>
      </c>
      <c r="KW1303" s="2">
        <v>0.9989400000000001</v>
      </c>
      <c r="KX1303" s="2">
        <v>0.99659</v>
      </c>
      <c r="KY1303" s="2">
        <v>0.9941</v>
      </c>
      <c r="KZ1303" s="2">
        <v>0.99172</v>
      </c>
      <c r="LA1303" s="2">
        <v>0.9895</v>
      </c>
      <c r="LB1303" s="2">
        <v>0.98467</v>
      </c>
      <c r="LC1303" s="2">
        <v>1.01433</v>
      </c>
      <c r="LD1303" s="2">
        <v>1.01059</v>
      </c>
      <c r="LE1303" s="2">
        <v>1.00849</v>
      </c>
      <c r="LF1303" s="2">
        <v>1.00628</v>
      </c>
      <c r="LK1303" s="2">
        <v>1.00398</v>
      </c>
      <c r="LL1303" s="2">
        <v>1.00157</v>
      </c>
      <c r="LM1303" s="2">
        <v>0.99905</v>
      </c>
      <c r="LN1303" s="2">
        <v>0.9964</v>
      </c>
      <c r="LO1303" s="2">
        <v>0.99372</v>
      </c>
      <c r="LP1303" s="2">
        <v>0.99112</v>
      </c>
      <c r="LQ1303" s="2">
        <v>0.98864</v>
      </c>
      <c r="LR1303" s="2">
        <v>0.98416</v>
      </c>
      <c r="LS1303" s="2">
        <v>1.01468</v>
      </c>
      <c r="LT1303" s="2">
        <v>1.01146</v>
      </c>
      <c r="LU1303" s="2">
        <v>1.00916</v>
      </c>
      <c r="LV1303" s="2">
        <v>1.0068</v>
      </c>
      <c r="MA1303" s="2">
        <v>1.00435</v>
      </c>
      <c r="MB1303" s="2">
        <v>1.00176</v>
      </c>
      <c r="MC1303" s="2">
        <v>0.99901</v>
      </c>
      <c r="MD1303" s="2">
        <v>0.9961</v>
      </c>
      <c r="ME1303" s="2">
        <v>0.99315</v>
      </c>
      <c r="MF1303" s="2">
        <v>0.99024</v>
      </c>
      <c r="MG1303" s="2">
        <v>0.98744</v>
      </c>
      <c r="MH1303" s="2">
        <v>0.98354</v>
      </c>
      <c r="MI1303" s="2">
        <v>1.01512</v>
      </c>
      <c r="MJ1303" s="2">
        <v>1.01273</v>
      </c>
      <c r="MK1303" s="2">
        <v>1.01011</v>
      </c>
      <c r="ML1303" s="2">
        <v>1.00747</v>
      </c>
      <c r="MQ1303" s="2">
        <v>1.00477</v>
      </c>
      <c r="MR1303" s="2">
        <v>1.00193</v>
      </c>
      <c r="MS1303" s="2">
        <v>0.99892</v>
      </c>
      <c r="MT1303" s="2">
        <v>0.99573</v>
      </c>
      <c r="MU1303" s="2">
        <v>0.99244</v>
      </c>
      <c r="MV1303" s="2">
        <v>0.98913</v>
      </c>
      <c r="MW1303" s="2">
        <v>0.98617</v>
      </c>
      <c r="MX1303" s="2">
        <v>0.98286</v>
      </c>
      <c r="MY1303" s="2">
        <v>1.01563</v>
      </c>
      <c r="MZ1303" s="2">
        <v>1.01411</v>
      </c>
      <c r="NA1303" s="2">
        <v>1.01127</v>
      </c>
      <c r="NB1303" s="2">
        <v>1.00822</v>
      </c>
      <c r="NG1303" s="2">
        <v>1.00516</v>
      </c>
      <c r="NH1303" s="2">
        <v>1.00203</v>
      </c>
      <c r="NI1303" s="2">
        <v>0.99874</v>
      </c>
      <c r="NJ1303" s="2">
        <v>0.9952800000000001</v>
      </c>
      <c r="NK1303" s="2">
        <v>0.99171</v>
      </c>
      <c r="NL1303" s="2">
        <v>0.9881</v>
      </c>
      <c r="NM1303" s="2">
        <v>0.9851</v>
      </c>
      <c r="NN1303" s="2">
        <v>0.98233</v>
      </c>
      <c r="NO1303" s="2">
        <v>1.01614</v>
      </c>
      <c r="NP1303" s="2">
        <v>1.01527</v>
      </c>
      <c r="NQ1303" s="2">
        <v>1.01231</v>
      </c>
      <c r="NR1303" s="2">
        <v>1.00887</v>
      </c>
      <c r="NW1303" s="2">
        <v>1.00548</v>
      </c>
      <c r="NX1303" s="2">
        <v>1.00207</v>
      </c>
      <c r="NY1303" s="2">
        <v>0.99856</v>
      </c>
      <c r="NZ1303" s="2">
        <v>0.9949</v>
      </c>
      <c r="OA1303" s="2">
        <v>0.99112</v>
      </c>
      <c r="OB1303" s="2">
        <v>0.98727</v>
      </c>
      <c r="OC1303" s="2">
        <v>0.98441</v>
      </c>
      <c r="OD1303" s="2">
        <v>0.98192</v>
      </c>
      <c r="OE1303" s="2">
        <v>1.01651</v>
      </c>
      <c r="OF1303" s="2">
        <v>1.01607</v>
      </c>
      <c r="OG1303" s="2">
        <v>1.01311</v>
      </c>
      <c r="OH1303" s="2">
        <v>1.00934</v>
      </c>
      <c r="OM1303" s="2">
        <v>1.00567</v>
      </c>
      <c r="ON1303" s="2">
        <v>1.00206</v>
      </c>
      <c r="OO1303" s="2">
        <v>0.99839</v>
      </c>
      <c r="OP1303" s="2">
        <v>0.9946199999999999</v>
      </c>
      <c r="OQ1303" s="2">
        <v>0.99074</v>
      </c>
      <c r="OR1303" s="2">
        <v>0.98681</v>
      </c>
      <c r="OS1303" s="2">
        <v>0.98403</v>
      </c>
      <c r="OT1303" s="2">
        <v>0.9817399999999999</v>
      </c>
      <c r="OU1303" s="2">
        <v>1.01669</v>
      </c>
      <c r="OV1303" s="2">
        <v>1.01653</v>
      </c>
      <c r="OW1303" s="2">
        <v>1.0135</v>
      </c>
      <c r="OX1303" s="2">
        <v>1.00956</v>
      </c>
      <c r="PC1303" s="2">
        <v>1.00576</v>
      </c>
      <c r="PD1303" s="2">
        <v>1.00204</v>
      </c>
      <c r="PE1303" s="2">
        <v>0.99831</v>
      </c>
      <c r="PF1303" s="2">
        <v>0.99449</v>
      </c>
      <c r="PG1303" s="2">
        <v>0.99058</v>
      </c>
      <c r="PH1303" s="2">
        <v>0.98659</v>
      </c>
      <c r="PI1303" s="2">
        <v>0.98388</v>
      </c>
    </row>
    <row r="1304">
      <c r="A1304" t="inlineStr">
        <is>
          <t>A130576784T</t>
        </is>
      </c>
      <c r="B1304" t="inlineStr">
        <is>
          <t>Combined Seasonal Adjustment Factors ;  Australia ;  Water and sewerage ;</t>
        </is>
      </c>
      <c r="C1304" t="inlineStr">
        <is>
          <t>Month</t>
        </is>
      </c>
      <c r="D1304" t="inlineStr">
        <is>
          <t>Number</t>
        </is>
      </c>
      <c r="E1304" t="inlineStr">
        <is>
          <t>Original</t>
        </is>
      </c>
      <c r="F1304" t="inlineStr">
        <is>
          <t>640108.xlsx</t>
        </is>
      </c>
      <c r="G1304" t="inlineStr">
        <is>
          <t>2024-04</t>
        </is>
      </c>
      <c r="H1304" t="inlineStr">
        <is>
          <t>2026-07</t>
        </is>
      </c>
      <c r="NZ1304" s="2">
        <v>0.9932</v>
      </c>
      <c r="OA1304" s="2">
        <v>0.99147</v>
      </c>
      <c r="OB1304" s="2">
        <v>0.98964</v>
      </c>
      <c r="OC1304" s="2">
        <v>1.01298</v>
      </c>
      <c r="OD1304" s="2">
        <v>1.01062</v>
      </c>
      <c r="OE1304" s="2">
        <v>1.00751</v>
      </c>
      <c r="OF1304" s="2">
        <v>1.00505</v>
      </c>
      <c r="OG1304" s="2">
        <v>1.0021</v>
      </c>
      <c r="OH1304" s="2">
        <v>1.00002</v>
      </c>
      <c r="OM1304" s="2">
        <v>0.99761</v>
      </c>
      <c r="ON1304" s="2">
        <v>0.99604</v>
      </c>
      <c r="OO1304" s="2">
        <v>0.99444</v>
      </c>
      <c r="OP1304" s="2">
        <v>0.9928</v>
      </c>
      <c r="OQ1304" s="2">
        <v>0.99112</v>
      </c>
      <c r="OR1304" s="2">
        <v>0.98925</v>
      </c>
      <c r="OS1304" s="2">
        <v>1.01297</v>
      </c>
      <c r="OT1304" s="2">
        <v>1.01052</v>
      </c>
      <c r="OU1304" s="2">
        <v>1.00782</v>
      </c>
      <c r="OV1304" s="2">
        <v>1.0051</v>
      </c>
      <c r="OW1304" s="2">
        <v>1.00236</v>
      </c>
      <c r="OX1304" s="2">
        <v>1.00012</v>
      </c>
      <c r="PC1304" s="2">
        <v>0.99787</v>
      </c>
      <c r="PD1304" s="2">
        <v>0.9961100000000001</v>
      </c>
      <c r="PE1304" s="2">
        <v>0.99438</v>
      </c>
      <c r="PF1304" s="2">
        <v>0.99265</v>
      </c>
      <c r="PG1304" s="2">
        <v>0.99088</v>
      </c>
      <c r="PH1304" s="2">
        <v>0.98899</v>
      </c>
      <c r="PI1304" s="2">
        <v>1.01297</v>
      </c>
    </row>
    <row r="1305">
      <c r="A1305" t="inlineStr">
        <is>
          <t>A130576783R</t>
        </is>
      </c>
      <c r="B1305" t="inlineStr">
        <is>
          <t>Combined Seasonal Adjustment Factors ;  Australia ;  Electricity ;</t>
        </is>
      </c>
      <c r="C1305" t="inlineStr">
        <is>
          <t>Month</t>
        </is>
      </c>
      <c r="D1305" t="inlineStr">
        <is>
          <t>Number</t>
        </is>
      </c>
      <c r="E1305" t="inlineStr">
        <is>
          <t>Original</t>
        </is>
      </c>
      <c r="F1305" t="inlineStr">
        <is>
          <t>640108.xlsx</t>
        </is>
      </c>
      <c r="G1305" t="inlineStr">
        <is>
          <t>2021-10</t>
        </is>
      </c>
      <c r="H1305" t="inlineStr">
        <is>
          <t>2026-07</t>
        </is>
      </c>
      <c r="MJ1305" s="2">
        <v>0.98891</v>
      </c>
      <c r="MK1305" s="2">
        <v>0.98439</v>
      </c>
      <c r="ML1305" s="2">
        <v>0.99448</v>
      </c>
      <c r="MQ1305" s="2">
        <v>1.00006</v>
      </c>
      <c r="MR1305" s="2">
        <v>0.9940600000000001</v>
      </c>
      <c r="MS1305" s="2">
        <v>1.01167</v>
      </c>
      <c r="MT1305" s="2">
        <v>0.99949</v>
      </c>
      <c r="MU1305" s="2">
        <v>0.99888</v>
      </c>
      <c r="MV1305" s="2">
        <v>0.99305</v>
      </c>
      <c r="MW1305" s="2">
        <v>1.03022</v>
      </c>
      <c r="MX1305" s="2">
        <v>1.01606</v>
      </c>
      <c r="MY1305" s="2">
        <v>0.98932</v>
      </c>
      <c r="MZ1305" s="2">
        <v>0.98942</v>
      </c>
      <c r="NA1305" s="2">
        <v>0.98336</v>
      </c>
      <c r="NB1305" s="2">
        <v>0.99271</v>
      </c>
      <c r="NG1305" s="2">
        <v>1.0007</v>
      </c>
      <c r="NH1305" s="2">
        <v>0.99453</v>
      </c>
      <c r="NI1305" s="2">
        <v>1.01181</v>
      </c>
      <c r="NJ1305" s="2">
        <v>0.99954</v>
      </c>
      <c r="NK1305" s="2">
        <v>0.99934</v>
      </c>
      <c r="NL1305" s="2">
        <v>0.99325</v>
      </c>
      <c r="NM1305" s="2">
        <v>1.03077</v>
      </c>
      <c r="NN1305" s="2">
        <v>1.01515</v>
      </c>
      <c r="NO1305" s="2">
        <v>0.99012</v>
      </c>
      <c r="NP1305" s="2">
        <v>0.9907899999999999</v>
      </c>
      <c r="NQ1305" s="2">
        <v>0.98187</v>
      </c>
      <c r="NR1305" s="2">
        <v>0.99016</v>
      </c>
      <c r="NW1305" s="2">
        <v>1.00162</v>
      </c>
      <c r="NX1305" s="2">
        <v>0.99443</v>
      </c>
      <c r="NY1305" s="2">
        <v>1.01254</v>
      </c>
      <c r="NZ1305" s="2">
        <v>0.99971</v>
      </c>
      <c r="OA1305" s="2">
        <v>0.99995</v>
      </c>
      <c r="OB1305" s="2">
        <v>0.9932</v>
      </c>
      <c r="OC1305" s="2">
        <v>1.03164</v>
      </c>
      <c r="OD1305" s="2">
        <v>1.01353</v>
      </c>
      <c r="OE1305" s="2">
        <v>0.99071</v>
      </c>
      <c r="OF1305" s="2">
        <v>0.99276</v>
      </c>
      <c r="OG1305" s="2">
        <v>0.98139</v>
      </c>
      <c r="OH1305" s="2">
        <v>0.98705</v>
      </c>
      <c r="OM1305" s="2">
        <v>1.00192</v>
      </c>
      <c r="ON1305" s="2">
        <v>0.99397</v>
      </c>
      <c r="OO1305" s="2">
        <v>1.01357</v>
      </c>
      <c r="OP1305" s="2">
        <v>0.99944</v>
      </c>
      <c r="OQ1305" s="2">
        <v>1.00103</v>
      </c>
      <c r="OR1305" s="2">
        <v>0.99422</v>
      </c>
      <c r="OS1305" s="2">
        <v>1.03158</v>
      </c>
      <c r="OT1305" s="2">
        <v>1.01075</v>
      </c>
      <c r="OU1305" s="2">
        <v>0.9929</v>
      </c>
      <c r="OV1305" s="2">
        <v>0.99395</v>
      </c>
      <c r="OW1305" s="2">
        <v>0.98088</v>
      </c>
      <c r="OX1305" s="2">
        <v>0.98456</v>
      </c>
      <c r="PC1305" s="2">
        <v>1.0027</v>
      </c>
      <c r="PD1305" s="2">
        <v>0.9932299999999999</v>
      </c>
      <c r="PE1305" s="2">
        <v>1.01415</v>
      </c>
      <c r="PF1305" s="2">
        <v>0.9995000000000001</v>
      </c>
      <c r="PG1305" s="2">
        <v>1.0015</v>
      </c>
      <c r="PH1305" s="2">
        <v>0.99464</v>
      </c>
      <c r="PI1305" s="2">
        <v>1.03211</v>
      </c>
    </row>
    <row r="1306">
      <c r="A1306" t="inlineStr">
        <is>
          <t>A130576777V</t>
        </is>
      </c>
      <c r="B1306" t="inlineStr">
        <is>
          <t>Combined Seasonal Adjustment Factors ;  Australia ;  Gas and other household fuels ;</t>
        </is>
      </c>
      <c r="C1306" t="inlineStr">
        <is>
          <t>Month</t>
        </is>
      </c>
      <c r="D1306" t="inlineStr">
        <is>
          <t>Number</t>
        </is>
      </c>
      <c r="E1306" t="inlineStr">
        <is>
          <t>Original</t>
        </is>
      </c>
      <c r="F1306" t="inlineStr">
        <is>
          <t>640108.xlsx</t>
        </is>
      </c>
      <c r="G1306" t="inlineStr">
        <is>
          <t>2021-10</t>
        </is>
      </c>
      <c r="H1306" t="inlineStr">
        <is>
          <t>2026-07</t>
        </is>
      </c>
      <c r="MJ1306" s="2">
        <v>0.9927</v>
      </c>
      <c r="MK1306" s="2">
        <v>1.01668</v>
      </c>
      <c r="ML1306" s="2">
        <v>1.01497</v>
      </c>
      <c r="MQ1306" s="2">
        <v>1.0037</v>
      </c>
      <c r="MR1306" s="2">
        <v>1.00369</v>
      </c>
      <c r="MS1306" s="2">
        <v>0.99593</v>
      </c>
      <c r="MT1306" s="2">
        <v>0.9849</v>
      </c>
      <c r="MU1306" s="2">
        <v>0.95756</v>
      </c>
      <c r="MV1306" s="2">
        <v>0.96415</v>
      </c>
      <c r="MW1306" s="2">
        <v>1.01987</v>
      </c>
      <c r="MX1306" s="2">
        <v>1.02125</v>
      </c>
      <c r="MY1306" s="2">
        <v>1.02445</v>
      </c>
      <c r="MZ1306" s="2">
        <v>0.9928</v>
      </c>
      <c r="NA1306" s="2">
        <v>1.01727</v>
      </c>
      <c r="NB1306" s="2">
        <v>1.01428</v>
      </c>
      <c r="NG1306" s="2">
        <v>1.00387</v>
      </c>
      <c r="NH1306" s="2">
        <v>1.0034</v>
      </c>
      <c r="NI1306" s="2">
        <v>0.99603</v>
      </c>
      <c r="NJ1306" s="2">
        <v>0.9852300000000001</v>
      </c>
      <c r="NK1306" s="2">
        <v>0.95762</v>
      </c>
      <c r="NL1306" s="2">
        <v>0.96443</v>
      </c>
      <c r="NM1306" s="2">
        <v>1.019</v>
      </c>
      <c r="NN1306" s="2">
        <v>1.02052</v>
      </c>
      <c r="NO1306" s="2">
        <v>1.02514</v>
      </c>
      <c r="NP1306" s="2">
        <v>0.99298</v>
      </c>
      <c r="NQ1306" s="2">
        <v>1.01859</v>
      </c>
      <c r="NR1306" s="2">
        <v>1.01354</v>
      </c>
      <c r="NW1306" s="2">
        <v>1.00397</v>
      </c>
      <c r="NX1306" s="2">
        <v>1.00243</v>
      </c>
      <c r="NY1306" s="2">
        <v>0.99604</v>
      </c>
      <c r="NZ1306" s="2">
        <v>0.98587</v>
      </c>
      <c r="OA1306" s="2">
        <v>0.95753</v>
      </c>
      <c r="OB1306" s="2">
        <v>0.96565</v>
      </c>
      <c r="OC1306" s="2">
        <v>1.01742</v>
      </c>
      <c r="OD1306" s="2">
        <v>1.01947</v>
      </c>
      <c r="OE1306" s="2">
        <v>1.02603</v>
      </c>
      <c r="OF1306" s="2">
        <v>0.99331</v>
      </c>
      <c r="OG1306" s="2">
        <v>1.01978</v>
      </c>
      <c r="OH1306" s="2">
        <v>1.01286</v>
      </c>
      <c r="OM1306" s="2">
        <v>1.00412</v>
      </c>
      <c r="ON1306" s="2">
        <v>1.0015</v>
      </c>
      <c r="OO1306" s="2">
        <v>0.99612</v>
      </c>
      <c r="OP1306" s="2">
        <v>0.98644</v>
      </c>
      <c r="OQ1306" s="2">
        <v>0.95714</v>
      </c>
      <c r="OR1306" s="2">
        <v>0.96756</v>
      </c>
      <c r="OS1306" s="2">
        <v>1.01575</v>
      </c>
      <c r="OT1306" s="2">
        <v>1.01841</v>
      </c>
      <c r="OU1306" s="2">
        <v>1.02603</v>
      </c>
      <c r="OV1306" s="2">
        <v>0.99383</v>
      </c>
      <c r="OW1306" s="2">
        <v>1.02105</v>
      </c>
      <c r="OX1306" s="2">
        <v>1.01199</v>
      </c>
      <c r="PC1306" s="2">
        <v>1.00439</v>
      </c>
      <c r="PD1306" s="2">
        <v>1.0009</v>
      </c>
      <c r="PE1306" s="2">
        <v>0.9962</v>
      </c>
      <c r="PF1306" s="2">
        <v>0.9869</v>
      </c>
      <c r="PG1306" s="2">
        <v>0.95703</v>
      </c>
      <c r="PH1306" s="2">
        <v>0.96884</v>
      </c>
      <c r="PI1306" s="2">
        <v>1.01443</v>
      </c>
    </row>
    <row r="1307">
      <c r="A1307" t="inlineStr">
        <is>
          <t>A130576737A</t>
        </is>
      </c>
      <c r="B1307" t="inlineStr">
        <is>
          <t>Combined Seasonal Adjustment Factors ;  Australia ;  Furniture ;</t>
        </is>
      </c>
      <c r="C1307" t="inlineStr">
        <is>
          <t>Month</t>
        </is>
      </c>
      <c r="D1307" t="inlineStr">
        <is>
          <t>Number</t>
        </is>
      </c>
      <c r="E1307" t="inlineStr">
        <is>
          <t>Original</t>
        </is>
      </c>
      <c r="F1307" t="inlineStr">
        <is>
          <t>640108.xlsx</t>
        </is>
      </c>
      <c r="G1307" t="inlineStr">
        <is>
          <t>2024-04</t>
        </is>
      </c>
      <c r="H1307" t="inlineStr">
        <is>
          <t>2026-07</t>
        </is>
      </c>
      <c r="NZ1307" s="2">
        <v>1</v>
      </c>
      <c r="OA1307" s="2">
        <v>1</v>
      </c>
      <c r="OB1307" s="2">
        <v>0.95365</v>
      </c>
      <c r="OC1307" s="2">
        <v>1</v>
      </c>
      <c r="OD1307" s="2">
        <v>1</v>
      </c>
      <c r="OE1307" s="2">
        <v>1</v>
      </c>
      <c r="OF1307" s="2">
        <v>1</v>
      </c>
      <c r="OG1307" s="2">
        <v>0.97568</v>
      </c>
      <c r="OH1307" s="2">
        <v>0.97482</v>
      </c>
      <c r="OM1307" s="2">
        <v>0.95775</v>
      </c>
      <c r="ON1307" s="2">
        <v>1</v>
      </c>
      <c r="OO1307" s="2">
        <v>1</v>
      </c>
      <c r="OP1307" s="2">
        <v>1</v>
      </c>
      <c r="OQ1307" s="2">
        <v>1</v>
      </c>
      <c r="OR1307" s="2">
        <v>0.9691</v>
      </c>
      <c r="OS1307" s="2">
        <v>1</v>
      </c>
      <c r="OT1307" s="2">
        <v>1</v>
      </c>
      <c r="OU1307" s="2">
        <v>1</v>
      </c>
      <c r="OV1307" s="2">
        <v>1</v>
      </c>
      <c r="OW1307" s="2">
        <v>0.97936</v>
      </c>
      <c r="OX1307" s="2">
        <v>1</v>
      </c>
      <c r="PC1307" s="2">
        <v>0.95657</v>
      </c>
      <c r="PD1307" s="2">
        <v>1</v>
      </c>
      <c r="PE1307" s="2">
        <v>1</v>
      </c>
      <c r="PF1307" s="2">
        <v>1</v>
      </c>
      <c r="PG1307" s="2">
        <v>1</v>
      </c>
      <c r="PH1307" s="2">
        <v>0.9488799999999999</v>
      </c>
      <c r="PI1307" s="2">
        <v>1</v>
      </c>
    </row>
    <row r="1308">
      <c r="A1308" t="inlineStr">
        <is>
          <t>A130576732R</t>
        </is>
      </c>
      <c r="B1308" t="inlineStr">
        <is>
          <t>Combined Seasonal Adjustment Factors ;  Australia ;  Carpets and other floor coverings ;</t>
        </is>
      </c>
      <c r="C1308" t="inlineStr">
        <is>
          <t>Month</t>
        </is>
      </c>
      <c r="D1308" t="inlineStr">
        <is>
          <t>Number</t>
        </is>
      </c>
      <c r="E1308" t="inlineStr">
        <is>
          <t>Original</t>
        </is>
      </c>
      <c r="F1308" t="inlineStr">
        <is>
          <t>640108.xlsx</t>
        </is>
      </c>
      <c r="G1308" t="inlineStr">
        <is>
          <t>2024-04</t>
        </is>
      </c>
      <c r="H1308" t="inlineStr">
        <is>
          <t>2026-07</t>
        </is>
      </c>
      <c r="NZ1308" s="2">
        <v>1</v>
      </c>
      <c r="OA1308" s="2">
        <v>1</v>
      </c>
      <c r="OB1308" s="2">
        <v>1</v>
      </c>
      <c r="OC1308" s="2">
        <v>1</v>
      </c>
      <c r="OD1308" s="2">
        <v>1</v>
      </c>
      <c r="OE1308" s="2">
        <v>1</v>
      </c>
      <c r="OF1308" s="2">
        <v>1</v>
      </c>
      <c r="OG1308" s="2">
        <v>1</v>
      </c>
      <c r="OH1308" s="2">
        <v>1</v>
      </c>
      <c r="OM1308" s="2">
        <v>1</v>
      </c>
      <c r="ON1308" s="2">
        <v>1</v>
      </c>
      <c r="OO1308" s="2">
        <v>1</v>
      </c>
      <c r="OP1308" s="2">
        <v>1</v>
      </c>
      <c r="OQ1308" s="2">
        <v>1</v>
      </c>
      <c r="OR1308" s="2">
        <v>1</v>
      </c>
      <c r="OS1308" s="2">
        <v>1</v>
      </c>
      <c r="OT1308" s="2">
        <v>1</v>
      </c>
      <c r="OU1308" s="2">
        <v>1</v>
      </c>
      <c r="OV1308" s="2">
        <v>1</v>
      </c>
      <c r="OW1308" s="2">
        <v>1</v>
      </c>
      <c r="OX1308" s="2">
        <v>1</v>
      </c>
      <c r="PC1308" s="2">
        <v>1</v>
      </c>
      <c r="PD1308" s="2">
        <v>1</v>
      </c>
      <c r="PE1308" s="2">
        <v>1</v>
      </c>
      <c r="PF1308" s="2">
        <v>1</v>
      </c>
      <c r="PG1308" s="2">
        <v>1</v>
      </c>
      <c r="PH1308" s="2">
        <v>1</v>
      </c>
      <c r="PI1308" s="2">
        <v>1</v>
      </c>
    </row>
    <row r="1309">
      <c r="A1309" t="inlineStr">
        <is>
          <t>A130576769V</t>
        </is>
      </c>
      <c r="B1309" t="inlineStr">
        <is>
          <t>Combined Seasonal Adjustment Factors ;  Australia ;  Household textiles ;</t>
        </is>
      </c>
      <c r="C1309" t="inlineStr">
        <is>
          <t>Month</t>
        </is>
      </c>
      <c r="D1309" t="inlineStr">
        <is>
          <t>Number</t>
        </is>
      </c>
      <c r="E1309" t="inlineStr">
        <is>
          <t>Original</t>
        </is>
      </c>
      <c r="F1309" t="inlineStr">
        <is>
          <t>640108.xlsx</t>
        </is>
      </c>
      <c r="G1309" t="inlineStr">
        <is>
          <t>2024-04</t>
        </is>
      </c>
      <c r="H1309" t="inlineStr">
        <is>
          <t>2026-07</t>
        </is>
      </c>
      <c r="NZ1309" s="2">
        <v>1</v>
      </c>
      <c r="OA1309" s="2">
        <v>1</v>
      </c>
      <c r="OB1309" s="2">
        <v>0.93657</v>
      </c>
      <c r="OC1309" s="2">
        <v>1</v>
      </c>
      <c r="OD1309" s="2">
        <v>1</v>
      </c>
      <c r="OE1309" s="2">
        <v>1</v>
      </c>
      <c r="OF1309" s="2">
        <v>1</v>
      </c>
      <c r="OG1309" s="2">
        <v>1</v>
      </c>
      <c r="OH1309" s="2">
        <v>0.90984</v>
      </c>
      <c r="OM1309" s="2">
        <v>0.93435</v>
      </c>
      <c r="ON1309" s="2">
        <v>1</v>
      </c>
      <c r="OO1309" s="2">
        <v>1</v>
      </c>
      <c r="OP1309" s="2">
        <v>1</v>
      </c>
      <c r="OQ1309" s="2">
        <v>1</v>
      </c>
      <c r="OR1309" s="2">
        <v>0.93008</v>
      </c>
      <c r="OS1309" s="2">
        <v>1</v>
      </c>
      <c r="OT1309" s="2">
        <v>1</v>
      </c>
      <c r="OU1309" s="2">
        <v>1</v>
      </c>
      <c r="OV1309" s="2">
        <v>1</v>
      </c>
      <c r="OW1309" s="2">
        <v>1</v>
      </c>
      <c r="OX1309" s="2">
        <v>0.9611</v>
      </c>
      <c r="PC1309" s="2">
        <v>0.94608</v>
      </c>
      <c r="PD1309" s="2">
        <v>1</v>
      </c>
      <c r="PE1309" s="2">
        <v>1</v>
      </c>
      <c r="PF1309" s="2">
        <v>1</v>
      </c>
      <c r="PG1309" s="2">
        <v>1</v>
      </c>
      <c r="PH1309" s="2">
        <v>0.96445</v>
      </c>
      <c r="PI1309" s="2">
        <v>1</v>
      </c>
    </row>
    <row r="1310">
      <c r="A1310" t="inlineStr">
        <is>
          <t>A130576758L</t>
        </is>
      </c>
      <c r="B1310" t="inlineStr">
        <is>
          <t>Combined Seasonal Adjustment Factors ;  Australia ;  Major household appliances ;</t>
        </is>
      </c>
      <c r="C1310" t="inlineStr">
        <is>
          <t>Month</t>
        </is>
      </c>
      <c r="D1310" t="inlineStr">
        <is>
          <t>Number</t>
        </is>
      </c>
      <c r="E1310" t="inlineStr">
        <is>
          <t>Original</t>
        </is>
      </c>
      <c r="F1310" t="inlineStr">
        <is>
          <t>640108.xlsx</t>
        </is>
      </c>
      <c r="G1310" t="inlineStr">
        <is>
          <t>2024-04</t>
        </is>
      </c>
      <c r="H1310" t="inlineStr">
        <is>
          <t>2026-07</t>
        </is>
      </c>
      <c r="NZ1310" s="2">
        <v>1</v>
      </c>
      <c r="OA1310" s="2">
        <v>1</v>
      </c>
      <c r="OB1310" s="2">
        <v>1</v>
      </c>
      <c r="OC1310" s="2">
        <v>1</v>
      </c>
      <c r="OD1310" s="2">
        <v>1</v>
      </c>
      <c r="OE1310" s="2">
        <v>1</v>
      </c>
      <c r="OF1310" s="2">
        <v>1</v>
      </c>
      <c r="OG1310" s="2">
        <v>1</v>
      </c>
      <c r="OH1310" s="2">
        <v>0.98297</v>
      </c>
      <c r="OM1310" s="2">
        <v>1</v>
      </c>
      <c r="ON1310" s="2">
        <v>1</v>
      </c>
      <c r="OO1310" s="2">
        <v>1</v>
      </c>
      <c r="OP1310" s="2">
        <v>1</v>
      </c>
      <c r="OQ1310" s="2">
        <v>1</v>
      </c>
      <c r="OR1310" s="2">
        <v>1</v>
      </c>
      <c r="OS1310" s="2">
        <v>1</v>
      </c>
      <c r="OT1310" s="2">
        <v>1</v>
      </c>
      <c r="OU1310" s="2">
        <v>1</v>
      </c>
      <c r="OV1310" s="2">
        <v>1</v>
      </c>
      <c r="OW1310" s="2">
        <v>1</v>
      </c>
      <c r="OX1310" s="2">
        <v>0.9678</v>
      </c>
      <c r="PC1310" s="2">
        <v>1</v>
      </c>
      <c r="PD1310" s="2">
        <v>1</v>
      </c>
      <c r="PE1310" s="2">
        <v>1</v>
      </c>
      <c r="PF1310" s="2">
        <v>1</v>
      </c>
      <c r="PG1310" s="2">
        <v>1</v>
      </c>
      <c r="PH1310" s="2">
        <v>1</v>
      </c>
      <c r="PI1310" s="2">
        <v>1</v>
      </c>
    </row>
    <row r="1311">
      <c r="A1311" t="inlineStr">
        <is>
          <t>A130576740R</t>
        </is>
      </c>
      <c r="B1311" t="inlineStr">
        <is>
          <t>Combined Seasonal Adjustment Factors ;  Australia ;  Small electric household appliances ;</t>
        </is>
      </c>
      <c r="C1311" t="inlineStr">
        <is>
          <t>Month</t>
        </is>
      </c>
      <c r="D1311" t="inlineStr">
        <is>
          <t>Number</t>
        </is>
      </c>
      <c r="E1311" t="inlineStr">
        <is>
          <t>Original</t>
        </is>
      </c>
      <c r="F1311" t="inlineStr">
        <is>
          <t>640108.xlsx</t>
        </is>
      </c>
      <c r="G1311" t="inlineStr">
        <is>
          <t>2024-04</t>
        </is>
      </c>
      <c r="H1311" t="inlineStr">
        <is>
          <t>2026-07</t>
        </is>
      </c>
      <c r="NZ1311" s="2">
        <v>1</v>
      </c>
      <c r="OA1311" s="2">
        <v>1</v>
      </c>
      <c r="OB1311" s="2">
        <v>0.96809</v>
      </c>
      <c r="OC1311" s="2">
        <v>1</v>
      </c>
      <c r="OD1311" s="2">
        <v>1</v>
      </c>
      <c r="OE1311" s="2">
        <v>1</v>
      </c>
      <c r="OF1311" s="2">
        <v>1</v>
      </c>
      <c r="OG1311" s="2">
        <v>1</v>
      </c>
      <c r="OH1311" s="2">
        <v>0.94294</v>
      </c>
      <c r="OM1311" s="2">
        <v>0.97465</v>
      </c>
      <c r="ON1311" s="2">
        <v>1</v>
      </c>
      <c r="OO1311" s="2">
        <v>1</v>
      </c>
      <c r="OP1311" s="2">
        <v>1</v>
      </c>
      <c r="OQ1311" s="2">
        <v>1</v>
      </c>
      <c r="OR1311" s="2">
        <v>1</v>
      </c>
      <c r="OS1311" s="2">
        <v>1</v>
      </c>
      <c r="OT1311" s="2">
        <v>1</v>
      </c>
      <c r="OU1311" s="2">
        <v>1</v>
      </c>
      <c r="OV1311" s="2">
        <v>1</v>
      </c>
      <c r="OW1311" s="2">
        <v>1</v>
      </c>
      <c r="OX1311" s="2">
        <v>0.94075</v>
      </c>
      <c r="PC1311" s="2">
        <v>0.95531</v>
      </c>
      <c r="PD1311" s="2">
        <v>1</v>
      </c>
      <c r="PE1311" s="2">
        <v>1</v>
      </c>
      <c r="PF1311" s="2">
        <v>1</v>
      </c>
      <c r="PG1311" s="2">
        <v>1</v>
      </c>
      <c r="PH1311" s="2">
        <v>1</v>
      </c>
      <c r="PI1311" s="2">
        <v>1</v>
      </c>
    </row>
    <row r="1312">
      <c r="A1312" t="inlineStr">
        <is>
          <t>A130576787X</t>
        </is>
      </c>
      <c r="B1312" t="inlineStr">
        <is>
          <t>Combined Seasonal Adjustment Factors ;  Australia ;  Glassware, tableware and household utensils ;</t>
        </is>
      </c>
      <c r="C1312" t="inlineStr">
        <is>
          <t>Month</t>
        </is>
      </c>
      <c r="D1312" t="inlineStr">
        <is>
          <t>Number</t>
        </is>
      </c>
      <c r="E1312" t="inlineStr">
        <is>
          <t>Original</t>
        </is>
      </c>
      <c r="F1312" t="inlineStr">
        <is>
          <t>640108.xlsx</t>
        </is>
      </c>
      <c r="G1312" t="inlineStr">
        <is>
          <t>2024-04</t>
        </is>
      </c>
      <c r="H1312" t="inlineStr">
        <is>
          <t>2026-07</t>
        </is>
      </c>
      <c r="NZ1312" s="2">
        <v>1</v>
      </c>
      <c r="OA1312" s="2">
        <v>1</v>
      </c>
      <c r="OB1312" s="2">
        <v>0.94643</v>
      </c>
      <c r="OC1312" s="2">
        <v>1</v>
      </c>
      <c r="OD1312" s="2">
        <v>1</v>
      </c>
      <c r="OE1312" s="2">
        <v>1</v>
      </c>
      <c r="OF1312" s="2">
        <v>1</v>
      </c>
      <c r="OG1312" s="2">
        <v>1</v>
      </c>
      <c r="OH1312" s="2">
        <v>0.9708</v>
      </c>
      <c r="OM1312" s="2">
        <v>1</v>
      </c>
      <c r="ON1312" s="2">
        <v>1</v>
      </c>
      <c r="OO1312" s="2">
        <v>1</v>
      </c>
      <c r="OP1312" s="2">
        <v>1</v>
      </c>
      <c r="OQ1312" s="2">
        <v>1</v>
      </c>
      <c r="OR1312" s="2">
        <v>0.95036</v>
      </c>
      <c r="OS1312" s="2">
        <v>1</v>
      </c>
      <c r="OT1312" s="2">
        <v>1</v>
      </c>
      <c r="OU1312" s="2">
        <v>1</v>
      </c>
      <c r="OV1312" s="2">
        <v>1</v>
      </c>
      <c r="OW1312" s="2">
        <v>1</v>
      </c>
      <c r="OX1312" s="2">
        <v>0.929</v>
      </c>
      <c r="PC1312" s="2">
        <v>1</v>
      </c>
      <c r="PD1312" s="2">
        <v>1</v>
      </c>
      <c r="PE1312" s="2">
        <v>1</v>
      </c>
      <c r="PF1312" s="2">
        <v>1</v>
      </c>
      <c r="PG1312" s="2">
        <v>1</v>
      </c>
      <c r="PH1312" s="2">
        <v>0.94857</v>
      </c>
      <c r="PI1312" s="2">
        <v>1</v>
      </c>
    </row>
    <row r="1313">
      <c r="A1313" t="inlineStr">
        <is>
          <t>A130576771F</t>
        </is>
      </c>
      <c r="B1313" t="inlineStr">
        <is>
          <t>Combined Seasonal Adjustment Factors ;  Australia ;  Tools and equipment for house and garden ;</t>
        </is>
      </c>
      <c r="C1313" t="inlineStr">
        <is>
          <t>Month</t>
        </is>
      </c>
      <c r="D1313" t="inlineStr">
        <is>
          <t>Number</t>
        </is>
      </c>
      <c r="E1313" t="inlineStr">
        <is>
          <t>Original</t>
        </is>
      </c>
      <c r="F1313" t="inlineStr">
        <is>
          <t>640108.xlsx</t>
        </is>
      </c>
      <c r="G1313" t="inlineStr">
        <is>
          <t>2024-04</t>
        </is>
      </c>
      <c r="H1313" t="inlineStr">
        <is>
          <t>2026-07</t>
        </is>
      </c>
      <c r="NZ1313" s="2">
        <v>1</v>
      </c>
      <c r="OA1313" s="2">
        <v>1</v>
      </c>
      <c r="OB1313" s="2">
        <v>1</v>
      </c>
      <c r="OC1313" s="2">
        <v>1</v>
      </c>
      <c r="OD1313" s="2">
        <v>1</v>
      </c>
      <c r="OE1313" s="2">
        <v>1</v>
      </c>
      <c r="OF1313" s="2">
        <v>1</v>
      </c>
      <c r="OG1313" s="2">
        <v>1</v>
      </c>
      <c r="OH1313" s="2">
        <v>1</v>
      </c>
      <c r="OM1313" s="2">
        <v>1</v>
      </c>
      <c r="ON1313" s="2">
        <v>1</v>
      </c>
      <c r="OO1313" s="2">
        <v>1</v>
      </c>
      <c r="OP1313" s="2">
        <v>1</v>
      </c>
      <c r="OQ1313" s="2">
        <v>1</v>
      </c>
      <c r="OR1313" s="2">
        <v>1</v>
      </c>
      <c r="OS1313" s="2">
        <v>1</v>
      </c>
      <c r="OT1313" s="2">
        <v>1</v>
      </c>
      <c r="OU1313" s="2">
        <v>1</v>
      </c>
      <c r="OV1313" s="2">
        <v>1</v>
      </c>
      <c r="OW1313" s="2">
        <v>1</v>
      </c>
      <c r="OX1313" s="2">
        <v>1</v>
      </c>
      <c r="PC1313" s="2">
        <v>1</v>
      </c>
      <c r="PD1313" s="2">
        <v>1</v>
      </c>
      <c r="PE1313" s="2">
        <v>1</v>
      </c>
      <c r="PF1313" s="2">
        <v>1</v>
      </c>
      <c r="PG1313" s="2">
        <v>1</v>
      </c>
      <c r="PH1313" s="2">
        <v>1</v>
      </c>
      <c r="PI1313" s="2">
        <v>1</v>
      </c>
    </row>
    <row r="1314">
      <c r="A1314" t="inlineStr">
        <is>
          <t>A130576746C</t>
        </is>
      </c>
      <c r="B1314" t="inlineStr">
        <is>
          <t>Combined Seasonal Adjustment Factors ;  Australia ;  Cleaning and maintenance products ;</t>
        </is>
      </c>
      <c r="C1314" t="inlineStr">
        <is>
          <t>Month</t>
        </is>
      </c>
      <c r="D1314" t="inlineStr">
        <is>
          <t>Number</t>
        </is>
      </c>
      <c r="E1314" t="inlineStr">
        <is>
          <t>Original</t>
        </is>
      </c>
      <c r="F1314" t="inlineStr">
        <is>
          <t>640108.xlsx</t>
        </is>
      </c>
      <c r="G1314" t="inlineStr">
        <is>
          <t>2017-09</t>
        </is>
      </c>
      <c r="H1314" t="inlineStr">
        <is>
          <t>2026-07</t>
        </is>
      </c>
      <c r="JW1314" s="2">
        <v>0.98663</v>
      </c>
      <c r="JX1314" s="2">
        <v>0.99719</v>
      </c>
      <c r="JY1314" s="2">
        <v>0.9959</v>
      </c>
      <c r="JZ1314" s="2">
        <v>1.01693</v>
      </c>
      <c r="KE1314" s="2">
        <v>0.99569</v>
      </c>
      <c r="KF1314" s="2">
        <v>1.00484</v>
      </c>
      <c r="KG1314" s="2">
        <v>1.00686</v>
      </c>
      <c r="KH1314" s="2">
        <v>1.00863</v>
      </c>
      <c r="KI1314" s="2">
        <v>1.0044</v>
      </c>
      <c r="KJ1314" s="2">
        <v>0.98897</v>
      </c>
      <c r="KK1314" s="2">
        <v>0.9996</v>
      </c>
      <c r="KL1314" s="2">
        <v>0.99459</v>
      </c>
      <c r="KM1314" s="2">
        <v>0.98689</v>
      </c>
      <c r="KN1314" s="2">
        <v>0.9966699999999999</v>
      </c>
      <c r="KO1314" s="2">
        <v>0.99624</v>
      </c>
      <c r="KP1314" s="2">
        <v>1.01678</v>
      </c>
      <c r="KU1314" s="2">
        <v>0.99571</v>
      </c>
      <c r="KV1314" s="2">
        <v>1.00508</v>
      </c>
      <c r="KW1314" s="2">
        <v>1.00629</v>
      </c>
      <c r="KX1314" s="2">
        <v>1.00794</v>
      </c>
      <c r="KY1314" s="2">
        <v>1.00454</v>
      </c>
      <c r="KZ1314" s="2">
        <v>0.98947</v>
      </c>
      <c r="LA1314" s="2">
        <v>0.99951</v>
      </c>
      <c r="LB1314" s="2">
        <v>0.99496</v>
      </c>
      <c r="LC1314" s="2">
        <v>0.98774</v>
      </c>
      <c r="LD1314" s="2">
        <v>0.996</v>
      </c>
      <c r="LE1314" s="2">
        <v>0.9971</v>
      </c>
      <c r="LF1314" s="2">
        <v>1.01652</v>
      </c>
      <c r="LK1314" s="2">
        <v>0.9953</v>
      </c>
      <c r="LL1314" s="2">
        <v>1.00477</v>
      </c>
      <c r="LM1314" s="2">
        <v>1.00553</v>
      </c>
      <c r="LN1314" s="2">
        <v>1.0068</v>
      </c>
      <c r="LO1314" s="2">
        <v>1.00464</v>
      </c>
      <c r="LP1314" s="2">
        <v>0.99044</v>
      </c>
      <c r="LQ1314" s="2">
        <v>0.99958</v>
      </c>
      <c r="LR1314" s="2">
        <v>0.99531</v>
      </c>
      <c r="LS1314" s="2">
        <v>0.9896</v>
      </c>
      <c r="LT1314" s="2">
        <v>0.99591</v>
      </c>
      <c r="LU1314" s="2">
        <v>0.99761</v>
      </c>
      <c r="LV1314" s="2">
        <v>1.01567</v>
      </c>
      <c r="MA1314" s="2">
        <v>0.99499</v>
      </c>
      <c r="MB1314" s="2">
        <v>1.00403</v>
      </c>
      <c r="MC1314" s="2">
        <v>1.0048</v>
      </c>
      <c r="MD1314" s="2">
        <v>1.00512</v>
      </c>
      <c r="ME1314" s="2">
        <v>1.00445</v>
      </c>
      <c r="MF1314" s="2">
        <v>0.9915</v>
      </c>
      <c r="MG1314" s="2">
        <v>0.99958</v>
      </c>
      <c r="MH1314" s="2">
        <v>0.99581</v>
      </c>
      <c r="MI1314" s="2">
        <v>0.992</v>
      </c>
      <c r="MJ1314" s="2">
        <v>0.99671</v>
      </c>
      <c r="MK1314" s="2">
        <v>0.99807</v>
      </c>
      <c r="ML1314" s="2">
        <v>1.01491</v>
      </c>
      <c r="MQ1314" s="2">
        <v>0.995</v>
      </c>
      <c r="MR1314" s="2">
        <v>1.0028</v>
      </c>
      <c r="MS1314" s="2">
        <v>1.00395</v>
      </c>
      <c r="MT1314" s="2">
        <v>1.00234</v>
      </c>
      <c r="MU1314" s="2">
        <v>1.00293</v>
      </c>
      <c r="MV1314" s="2">
        <v>0.99279</v>
      </c>
      <c r="MW1314" s="2">
        <v>1.00095</v>
      </c>
      <c r="MX1314" s="2">
        <v>0.9966699999999999</v>
      </c>
      <c r="MY1314" s="2">
        <v>0.99472</v>
      </c>
      <c r="MZ1314" s="2">
        <v>0.99836</v>
      </c>
      <c r="NA1314" s="2">
        <v>0.9970599999999999</v>
      </c>
      <c r="NB1314" s="2">
        <v>1.01437</v>
      </c>
      <c r="NG1314" s="2">
        <v>0.99583</v>
      </c>
      <c r="NH1314" s="2">
        <v>1.00133</v>
      </c>
      <c r="NI1314" s="2">
        <v>1.00289</v>
      </c>
      <c r="NJ1314" s="2">
        <v>0.99969</v>
      </c>
      <c r="NK1314" s="2">
        <v>1.00083</v>
      </c>
      <c r="NL1314" s="2">
        <v>0.99329</v>
      </c>
      <c r="NM1314" s="2">
        <v>1.00281</v>
      </c>
      <c r="NN1314" s="2">
        <v>0.99762</v>
      </c>
      <c r="NO1314" s="2">
        <v>0.99712</v>
      </c>
      <c r="NP1314" s="2">
        <v>1.00045</v>
      </c>
      <c r="NQ1314" s="2">
        <v>0.99591</v>
      </c>
      <c r="NR1314" s="2">
        <v>1.01465</v>
      </c>
      <c r="NW1314" s="2">
        <v>0.9968</v>
      </c>
      <c r="NX1314" s="2">
        <v>0.9995000000000001</v>
      </c>
      <c r="NY1314" s="2">
        <v>1.00162</v>
      </c>
      <c r="NZ1314" s="2">
        <v>0.99753</v>
      </c>
      <c r="OA1314" s="2">
        <v>0.99829</v>
      </c>
      <c r="OB1314" s="2">
        <v>0.99333</v>
      </c>
      <c r="OC1314" s="2">
        <v>1.0056</v>
      </c>
      <c r="OD1314" s="2">
        <v>0.99835</v>
      </c>
      <c r="OE1314" s="2">
        <v>0.99881</v>
      </c>
      <c r="OF1314" s="2">
        <v>1.00202</v>
      </c>
      <c r="OG1314" s="2">
        <v>0.99474</v>
      </c>
      <c r="OH1314" s="2">
        <v>1.01557</v>
      </c>
      <c r="OM1314" s="2">
        <v>0.99759</v>
      </c>
      <c r="ON1314" s="2">
        <v>0.99783</v>
      </c>
      <c r="OO1314" s="2">
        <v>1.0005</v>
      </c>
      <c r="OP1314" s="2">
        <v>0.99654</v>
      </c>
      <c r="OQ1314" s="2">
        <v>0.99635</v>
      </c>
      <c r="OR1314" s="2">
        <v>0.99264</v>
      </c>
      <c r="OS1314" s="2">
        <v>1.00785</v>
      </c>
      <c r="OT1314" s="2">
        <v>0.99915</v>
      </c>
      <c r="OU1314" s="2">
        <v>0.9995000000000001</v>
      </c>
      <c r="OV1314" s="2">
        <v>1.0029</v>
      </c>
      <c r="OW1314" s="2">
        <v>0.99411</v>
      </c>
      <c r="OX1314" s="2">
        <v>1.01658</v>
      </c>
      <c r="PC1314" s="2">
        <v>0.9982799999999999</v>
      </c>
      <c r="PD1314" s="2">
        <v>0.99682</v>
      </c>
      <c r="PE1314" s="2">
        <v>0.9996</v>
      </c>
      <c r="PF1314" s="2">
        <v>0.99568</v>
      </c>
      <c r="PG1314" s="2">
        <v>0.99493</v>
      </c>
      <c r="PH1314" s="2">
        <v>0.9922</v>
      </c>
      <c r="PI1314" s="2">
        <v>1.00977</v>
      </c>
    </row>
    <row r="1315">
      <c r="A1315" t="inlineStr">
        <is>
          <t>A130576762C</t>
        </is>
      </c>
      <c r="B1315" t="inlineStr">
        <is>
          <t>Combined Seasonal Adjustment Factors ;  Australia ;  Personal care products ;</t>
        </is>
      </c>
      <c r="C1315" t="inlineStr">
        <is>
          <t>Month</t>
        </is>
      </c>
      <c r="D1315" t="inlineStr">
        <is>
          <t>Number</t>
        </is>
      </c>
      <c r="E1315" t="inlineStr">
        <is>
          <t>Original</t>
        </is>
      </c>
      <c r="F1315" t="inlineStr">
        <is>
          <t>640108.xlsx</t>
        </is>
      </c>
      <c r="G1315" t="inlineStr">
        <is>
          <t>2017-09</t>
        </is>
      </c>
      <c r="H1315" t="inlineStr">
        <is>
          <t>2026-07</t>
        </is>
      </c>
      <c r="JW1315" s="2">
        <v>1.00189</v>
      </c>
      <c r="JX1315" s="2">
        <v>0.98531</v>
      </c>
      <c r="JY1315" s="2">
        <v>0.98904</v>
      </c>
      <c r="JZ1315" s="2">
        <v>1.00165</v>
      </c>
      <c r="KE1315" s="2">
        <v>1.00818</v>
      </c>
      <c r="KF1315" s="2">
        <v>0.99648</v>
      </c>
      <c r="KG1315" s="2">
        <v>1.00232</v>
      </c>
      <c r="KH1315" s="2">
        <v>1.00804</v>
      </c>
      <c r="KI1315" s="2">
        <v>1.00137</v>
      </c>
      <c r="KJ1315" s="2">
        <v>0.9953</v>
      </c>
      <c r="KK1315" s="2">
        <v>1.00822</v>
      </c>
      <c r="KL1315" s="2">
        <v>1.0021</v>
      </c>
      <c r="KM1315" s="2">
        <v>1.00215</v>
      </c>
      <c r="KN1315" s="2">
        <v>0.98573</v>
      </c>
      <c r="KO1315" s="2">
        <v>0.98883</v>
      </c>
      <c r="KP1315" s="2">
        <v>1.0015</v>
      </c>
      <c r="KU1315" s="2">
        <v>1.00798</v>
      </c>
      <c r="KV1315" s="2">
        <v>0.9967</v>
      </c>
      <c r="KW1315" s="2">
        <v>1.00215</v>
      </c>
      <c r="KX1315" s="2">
        <v>1.00798</v>
      </c>
      <c r="KY1315" s="2">
        <v>1.00157</v>
      </c>
      <c r="KZ1315" s="2">
        <v>0.99537</v>
      </c>
      <c r="LA1315" s="2">
        <v>1.00694</v>
      </c>
      <c r="LB1315" s="2">
        <v>1.00265</v>
      </c>
      <c r="LC1315" s="2">
        <v>1.0023</v>
      </c>
      <c r="LD1315" s="2">
        <v>0.98654</v>
      </c>
      <c r="LE1315" s="2">
        <v>0.98863</v>
      </c>
      <c r="LF1315" s="2">
        <v>1.00139</v>
      </c>
      <c r="LK1315" s="2">
        <v>1.00754</v>
      </c>
      <c r="LL1315" s="2">
        <v>0.99752</v>
      </c>
      <c r="LM1315" s="2">
        <v>1.00186</v>
      </c>
      <c r="LN1315" s="2">
        <v>1.00756</v>
      </c>
      <c r="LO1315" s="2">
        <v>1.00201</v>
      </c>
      <c r="LP1315" s="2">
        <v>0.99579</v>
      </c>
      <c r="LQ1315" s="2">
        <v>1.00504</v>
      </c>
      <c r="LR1315" s="2">
        <v>1.00315</v>
      </c>
      <c r="LS1315" s="2">
        <v>1.00264</v>
      </c>
      <c r="LT1315" s="2">
        <v>0.98711</v>
      </c>
      <c r="LU1315" s="2">
        <v>0.98808</v>
      </c>
      <c r="LV1315" s="2">
        <v>1.00174</v>
      </c>
      <c r="MA1315" s="2">
        <v>1.00763</v>
      </c>
      <c r="MB1315" s="2">
        <v>0.99783</v>
      </c>
      <c r="MC1315" s="2">
        <v>1.00215</v>
      </c>
      <c r="MD1315" s="2">
        <v>1.00656</v>
      </c>
      <c r="ME1315" s="2">
        <v>1.00244</v>
      </c>
      <c r="MF1315" s="2">
        <v>0.9968</v>
      </c>
      <c r="MG1315" s="2">
        <v>1.00302</v>
      </c>
      <c r="MH1315" s="2">
        <v>1.0039</v>
      </c>
      <c r="MI1315" s="2">
        <v>1.00239</v>
      </c>
      <c r="MJ1315" s="2">
        <v>0.98724</v>
      </c>
      <c r="MK1315" s="2">
        <v>0.98716</v>
      </c>
      <c r="ML1315" s="2">
        <v>1.00254</v>
      </c>
      <c r="MQ1315" s="2">
        <v>1.00762</v>
      </c>
      <c r="MR1315" s="2">
        <v>0.9987200000000001</v>
      </c>
      <c r="MS1315" s="2">
        <v>1.0026</v>
      </c>
      <c r="MT1315" s="2">
        <v>1.00606</v>
      </c>
      <c r="MU1315" s="2">
        <v>1.00236</v>
      </c>
      <c r="MV1315" s="2">
        <v>0.99774</v>
      </c>
      <c r="MW1315" s="2">
        <v>1.00122</v>
      </c>
      <c r="MX1315" s="2">
        <v>1.00442</v>
      </c>
      <c r="MY1315" s="2">
        <v>1.00199</v>
      </c>
      <c r="MZ1315" s="2">
        <v>0.9870100000000001</v>
      </c>
      <c r="NA1315" s="2">
        <v>0.98588</v>
      </c>
      <c r="NB1315" s="2">
        <v>1.00385</v>
      </c>
      <c r="NG1315" s="2">
        <v>1.00779</v>
      </c>
      <c r="NH1315" s="2">
        <v>0.99932</v>
      </c>
      <c r="NI1315" s="2">
        <v>1.00289</v>
      </c>
      <c r="NJ1315" s="2">
        <v>1.00623</v>
      </c>
      <c r="NK1315" s="2">
        <v>1.00233</v>
      </c>
      <c r="NL1315" s="2">
        <v>0.9988</v>
      </c>
      <c r="NM1315" s="2">
        <v>0.99991</v>
      </c>
      <c r="NN1315" s="2">
        <v>1.00457</v>
      </c>
      <c r="NO1315" s="2">
        <v>1.00097</v>
      </c>
      <c r="NP1315" s="2">
        <v>0.98649</v>
      </c>
      <c r="NQ1315" s="2">
        <v>0.98493</v>
      </c>
      <c r="NR1315" s="2">
        <v>1.00505</v>
      </c>
      <c r="NW1315" s="2">
        <v>1.00751</v>
      </c>
      <c r="NX1315" s="2">
        <v>1.00048</v>
      </c>
      <c r="NY1315" s="2">
        <v>1.00285</v>
      </c>
      <c r="NZ1315" s="2">
        <v>1.00701</v>
      </c>
      <c r="OA1315" s="2">
        <v>1.0022</v>
      </c>
      <c r="OB1315" s="2">
        <v>0.99941</v>
      </c>
      <c r="OC1315" s="2">
        <v>0.99963</v>
      </c>
      <c r="OD1315" s="2">
        <v>1.00393</v>
      </c>
      <c r="OE1315" s="2">
        <v>1.00005</v>
      </c>
      <c r="OF1315" s="2">
        <v>0.98616</v>
      </c>
      <c r="OG1315" s="2">
        <v>0.98422</v>
      </c>
      <c r="OH1315" s="2">
        <v>1.00589</v>
      </c>
      <c r="OM1315" s="2">
        <v>1.0074</v>
      </c>
      <c r="ON1315" s="2">
        <v>1.00111</v>
      </c>
      <c r="OO1315" s="2">
        <v>1.00273</v>
      </c>
      <c r="OP1315" s="2">
        <v>1.00783</v>
      </c>
      <c r="OQ1315" s="2">
        <v>1.00221</v>
      </c>
      <c r="OR1315" s="2">
        <v>0.99996</v>
      </c>
      <c r="OS1315" s="2">
        <v>0.99984</v>
      </c>
      <c r="OT1315" s="2">
        <v>1.00325</v>
      </c>
      <c r="OU1315" s="2">
        <v>0.99892</v>
      </c>
      <c r="OV1315" s="2">
        <v>0.98608</v>
      </c>
      <c r="OW1315" s="2">
        <v>0.9839599999999999</v>
      </c>
      <c r="OX1315" s="2">
        <v>1.00608</v>
      </c>
      <c r="PC1315" s="2">
        <v>1.00722</v>
      </c>
      <c r="PD1315" s="2">
        <v>1.00184</v>
      </c>
      <c r="PE1315" s="2">
        <v>1.00247</v>
      </c>
      <c r="PF1315" s="2">
        <v>1.00888</v>
      </c>
      <c r="PG1315" s="2">
        <v>1.00191</v>
      </c>
      <c r="PH1315" s="2">
        <v>0.99991</v>
      </c>
      <c r="PI1315" s="2">
        <v>1.00015</v>
      </c>
    </row>
    <row r="1316">
      <c r="A1316" t="inlineStr">
        <is>
          <t>A130576728X</t>
        </is>
      </c>
      <c r="B1316" t="inlineStr">
        <is>
          <t>Combined Seasonal Adjustment Factors ;  Australia ;  Other non-durable household products ;</t>
        </is>
      </c>
      <c r="C1316" t="inlineStr">
        <is>
          <t>Month</t>
        </is>
      </c>
      <c r="D1316" t="inlineStr">
        <is>
          <t>Number</t>
        </is>
      </c>
      <c r="E1316" t="inlineStr">
        <is>
          <t>Original</t>
        </is>
      </c>
      <c r="F1316" t="inlineStr">
        <is>
          <t>640108.xlsx</t>
        </is>
      </c>
      <c r="G1316" t="inlineStr">
        <is>
          <t>2017-09</t>
        </is>
      </c>
      <c r="H1316" t="inlineStr">
        <is>
          <t>2026-07</t>
        </is>
      </c>
      <c r="JW1316" s="2">
        <v>0.99197</v>
      </c>
      <c r="JX1316" s="2">
        <v>0.99305</v>
      </c>
      <c r="JY1316" s="2">
        <v>1.00008</v>
      </c>
      <c r="JZ1316" s="2">
        <v>0.99476</v>
      </c>
      <c r="KE1316" s="2">
        <v>0.99338</v>
      </c>
      <c r="KF1316" s="2">
        <v>1.00235</v>
      </c>
      <c r="KG1316" s="2">
        <v>1.0085</v>
      </c>
      <c r="KH1316" s="2">
        <v>1.0098</v>
      </c>
      <c r="KI1316" s="2">
        <v>1.00793</v>
      </c>
      <c r="KJ1316" s="2">
        <v>0.99896</v>
      </c>
      <c r="KK1316" s="2">
        <v>1.00176</v>
      </c>
      <c r="KL1316" s="2">
        <v>0.99732</v>
      </c>
      <c r="KM1316" s="2">
        <v>0.99198</v>
      </c>
      <c r="KN1316" s="2">
        <v>0.99319</v>
      </c>
      <c r="KO1316" s="2">
        <v>0.99971</v>
      </c>
      <c r="KP1316" s="2">
        <v>0.99456</v>
      </c>
      <c r="KU1316" s="2">
        <v>0.99376</v>
      </c>
      <c r="KV1316" s="2">
        <v>1.00282</v>
      </c>
      <c r="KW1316" s="2">
        <v>1.00886</v>
      </c>
      <c r="KX1316" s="2">
        <v>1.00935</v>
      </c>
      <c r="KY1316" s="2">
        <v>1.00774</v>
      </c>
      <c r="KZ1316" s="2">
        <v>0.9989400000000001</v>
      </c>
      <c r="LA1316" s="2">
        <v>1.00209</v>
      </c>
      <c r="LB1316" s="2">
        <v>0.99687</v>
      </c>
      <c r="LC1316" s="2">
        <v>0.99199</v>
      </c>
      <c r="LD1316" s="2">
        <v>0.99305</v>
      </c>
      <c r="LE1316" s="2">
        <v>0.99961</v>
      </c>
      <c r="LF1316" s="2">
        <v>0.99449</v>
      </c>
      <c r="LK1316" s="2">
        <v>0.99403</v>
      </c>
      <c r="LL1316" s="2">
        <v>1.00355</v>
      </c>
      <c r="LM1316" s="2">
        <v>1.009</v>
      </c>
      <c r="LN1316" s="2">
        <v>1.00846</v>
      </c>
      <c r="LO1316" s="2">
        <v>1.0075</v>
      </c>
      <c r="LP1316" s="2">
        <v>0.99908</v>
      </c>
      <c r="LQ1316" s="2">
        <v>1.00261</v>
      </c>
      <c r="LR1316" s="2">
        <v>0.99662</v>
      </c>
      <c r="LS1316" s="2">
        <v>0.99243</v>
      </c>
      <c r="LT1316" s="2">
        <v>0.9925</v>
      </c>
      <c r="LU1316" s="2">
        <v>0.9994499999999999</v>
      </c>
      <c r="LV1316" s="2">
        <v>0.99471</v>
      </c>
      <c r="MA1316" s="2">
        <v>0.9944499999999999</v>
      </c>
      <c r="MB1316" s="2">
        <v>1.00369</v>
      </c>
      <c r="MC1316" s="2">
        <v>1.00861</v>
      </c>
      <c r="MD1316" s="2">
        <v>1.00757</v>
      </c>
      <c r="ME1316" s="2">
        <v>1.00735</v>
      </c>
      <c r="MF1316" s="2">
        <v>0.99986</v>
      </c>
      <c r="MG1316" s="2">
        <v>1.00275</v>
      </c>
      <c r="MH1316" s="2">
        <v>0.99678</v>
      </c>
      <c r="MI1316" s="2">
        <v>0.99327</v>
      </c>
      <c r="MJ1316" s="2">
        <v>0.99173</v>
      </c>
      <c r="MK1316" s="2">
        <v>0.99893</v>
      </c>
      <c r="ML1316" s="2">
        <v>0.99549</v>
      </c>
      <c r="MQ1316" s="2">
        <v>0.99495</v>
      </c>
      <c r="MR1316" s="2">
        <v>1.00342</v>
      </c>
      <c r="MS1316" s="2">
        <v>1.0075</v>
      </c>
      <c r="MT1316" s="2">
        <v>1.00668</v>
      </c>
      <c r="MU1316" s="2">
        <v>1.00701</v>
      </c>
      <c r="MV1316" s="2">
        <v>1.00059</v>
      </c>
      <c r="MW1316" s="2">
        <v>1.00293</v>
      </c>
      <c r="MX1316" s="2">
        <v>0.99771</v>
      </c>
      <c r="MY1316" s="2">
        <v>0.99487</v>
      </c>
      <c r="MZ1316" s="2">
        <v>0.99091</v>
      </c>
      <c r="NA1316" s="2">
        <v>0.9981</v>
      </c>
      <c r="NB1316" s="2">
        <v>0.99644</v>
      </c>
      <c r="NG1316" s="2">
        <v>0.99548</v>
      </c>
      <c r="NH1316" s="2">
        <v>1.00213</v>
      </c>
      <c r="NI1316" s="2">
        <v>1.00588</v>
      </c>
      <c r="NJ1316" s="2">
        <v>1.00609</v>
      </c>
      <c r="NK1316" s="2">
        <v>1.00682</v>
      </c>
      <c r="NL1316" s="2">
        <v>1.00157</v>
      </c>
      <c r="NM1316" s="2">
        <v>1.0029</v>
      </c>
      <c r="NN1316" s="2">
        <v>0.99912</v>
      </c>
      <c r="NO1316" s="2">
        <v>0.9964499999999999</v>
      </c>
      <c r="NP1316" s="2">
        <v>0.9905</v>
      </c>
      <c r="NQ1316" s="2">
        <v>0.9974</v>
      </c>
      <c r="NR1316" s="2">
        <v>0.99738</v>
      </c>
      <c r="NW1316" s="2">
        <v>0.99548</v>
      </c>
      <c r="NX1316" s="2">
        <v>1.00067</v>
      </c>
      <c r="NY1316" s="2">
        <v>1.00399</v>
      </c>
      <c r="NZ1316" s="2">
        <v>1.00568</v>
      </c>
      <c r="OA1316" s="2">
        <v>1.0067</v>
      </c>
      <c r="OB1316" s="2">
        <v>1.00225</v>
      </c>
      <c r="OC1316" s="2">
        <v>1.00314</v>
      </c>
      <c r="OD1316" s="2">
        <v>1.00098</v>
      </c>
      <c r="OE1316" s="2">
        <v>0.99755</v>
      </c>
      <c r="OF1316" s="2">
        <v>0.99058</v>
      </c>
      <c r="OG1316" s="2">
        <v>0.99665</v>
      </c>
      <c r="OH1316" s="2">
        <v>0.99799</v>
      </c>
      <c r="OM1316" s="2">
        <v>0.99526</v>
      </c>
      <c r="ON1316" s="2">
        <v>0.99903</v>
      </c>
      <c r="OO1316" s="2">
        <v>1.00234</v>
      </c>
      <c r="OP1316" s="2">
        <v>1.00573</v>
      </c>
      <c r="OQ1316" s="2">
        <v>1.00684</v>
      </c>
      <c r="OR1316" s="2">
        <v>1.00303</v>
      </c>
      <c r="OS1316" s="2">
        <v>1.00326</v>
      </c>
      <c r="OT1316" s="2">
        <v>1.00232</v>
      </c>
      <c r="OU1316" s="2">
        <v>0.99794</v>
      </c>
      <c r="OV1316" s="2">
        <v>0.9911</v>
      </c>
      <c r="OW1316" s="2">
        <v>0.99591</v>
      </c>
      <c r="OX1316" s="2">
        <v>0.99826</v>
      </c>
      <c r="PC1316" s="2">
        <v>0.995</v>
      </c>
      <c r="PD1316" s="2">
        <v>0.99813</v>
      </c>
      <c r="PE1316" s="2">
        <v>1.00139</v>
      </c>
      <c r="PF1316" s="2">
        <v>1.00573</v>
      </c>
      <c r="PG1316" s="2">
        <v>1.00693</v>
      </c>
      <c r="PH1316" s="2">
        <v>1.00333</v>
      </c>
      <c r="PI1316" s="2">
        <v>1.00362</v>
      </c>
    </row>
    <row r="1317">
      <c r="A1317" t="inlineStr">
        <is>
          <t>A130576775R</t>
        </is>
      </c>
      <c r="B1317" t="inlineStr">
        <is>
          <t>Combined Seasonal Adjustment Factors ;  Australia ;  Child care ;</t>
        </is>
      </c>
      <c r="C1317" t="inlineStr">
        <is>
          <t>Month</t>
        </is>
      </c>
      <c r="D1317" t="inlineStr">
        <is>
          <t>Number</t>
        </is>
      </c>
      <c r="E1317" t="inlineStr">
        <is>
          <t>Original</t>
        </is>
      </c>
      <c r="F1317" t="inlineStr">
        <is>
          <t>640108.xlsx</t>
        </is>
      </c>
      <c r="G1317" t="inlineStr">
        <is>
          <t>2024-04</t>
        </is>
      </c>
      <c r="H1317" t="inlineStr">
        <is>
          <t>2026-07</t>
        </is>
      </c>
      <c r="NZ1317" s="2">
        <v>0.99022</v>
      </c>
      <c r="OA1317" s="2">
        <v>0.97609</v>
      </c>
      <c r="OB1317" s="2">
        <v>0.9766</v>
      </c>
      <c r="OC1317" s="2">
        <v>0.96939</v>
      </c>
      <c r="OD1317" s="2">
        <v>1.01855</v>
      </c>
      <c r="OE1317" s="2">
        <v>1.02509</v>
      </c>
      <c r="OF1317" s="2">
        <v>1.02152</v>
      </c>
      <c r="OG1317" s="2">
        <v>1.01552</v>
      </c>
      <c r="OH1317" s="2">
        <v>1.01445</v>
      </c>
      <c r="OM1317" s="2">
        <v>0.9958399999999999</v>
      </c>
      <c r="ON1317" s="2">
        <v>0.99452</v>
      </c>
      <c r="OO1317" s="2">
        <v>1.00202</v>
      </c>
      <c r="OP1317" s="2">
        <v>0.98968</v>
      </c>
      <c r="OQ1317" s="2">
        <v>0.97677</v>
      </c>
      <c r="OR1317" s="2">
        <v>0.97712</v>
      </c>
      <c r="OS1317" s="2">
        <v>0.9708599999999999</v>
      </c>
      <c r="OT1317" s="2">
        <v>1.01649</v>
      </c>
      <c r="OU1317" s="2">
        <v>1.02454</v>
      </c>
      <c r="OV1317" s="2">
        <v>1.02086</v>
      </c>
      <c r="OW1317" s="2">
        <v>1.01612</v>
      </c>
      <c r="OX1317" s="2">
        <v>1.015</v>
      </c>
      <c r="PC1317" s="2">
        <v>0.99686</v>
      </c>
      <c r="PD1317" s="2">
        <v>0.99438</v>
      </c>
      <c r="PE1317" s="2">
        <v>1.00103</v>
      </c>
      <c r="PF1317" s="2">
        <v>0.98925</v>
      </c>
      <c r="PG1317" s="2">
        <v>0.97732</v>
      </c>
      <c r="PH1317" s="2">
        <v>0.97742</v>
      </c>
      <c r="PI1317" s="2">
        <v>0.97189</v>
      </c>
    </row>
    <row r="1318">
      <c r="A1318" t="inlineStr">
        <is>
          <t>A130576793V</t>
        </is>
      </c>
      <c r="B1318" t="inlineStr">
        <is>
          <t>Combined Seasonal Adjustment Factors ;  Australia ;  Hairdressing and personal grooming services ;</t>
        </is>
      </c>
      <c r="C1318" t="inlineStr">
        <is>
          <t>Month</t>
        </is>
      </c>
      <c r="D1318" t="inlineStr">
        <is>
          <t>Number</t>
        </is>
      </c>
      <c r="E1318" t="inlineStr">
        <is>
          <t>Original</t>
        </is>
      </c>
      <c r="F1318" t="inlineStr">
        <is>
          <t>640108.xlsx</t>
        </is>
      </c>
      <c r="G1318" t="inlineStr">
        <is>
          <t>2024-04</t>
        </is>
      </c>
      <c r="H1318" t="inlineStr">
        <is>
          <t>2026-07</t>
        </is>
      </c>
      <c r="NZ1318" s="2">
        <v>1</v>
      </c>
      <c r="OA1318" s="2">
        <v>1</v>
      </c>
      <c r="OB1318" s="2">
        <v>1</v>
      </c>
      <c r="OC1318" s="2">
        <v>1</v>
      </c>
      <c r="OD1318" s="2">
        <v>1</v>
      </c>
      <c r="OE1318" s="2">
        <v>1</v>
      </c>
      <c r="OF1318" s="2">
        <v>1</v>
      </c>
      <c r="OG1318" s="2">
        <v>1</v>
      </c>
      <c r="OH1318" s="2">
        <v>1</v>
      </c>
      <c r="OM1318" s="2">
        <v>1</v>
      </c>
      <c r="ON1318" s="2">
        <v>1</v>
      </c>
      <c r="OO1318" s="2">
        <v>1</v>
      </c>
      <c r="OP1318" s="2">
        <v>1</v>
      </c>
      <c r="OQ1318" s="2">
        <v>1</v>
      </c>
      <c r="OR1318" s="2">
        <v>1</v>
      </c>
      <c r="OS1318" s="2">
        <v>1</v>
      </c>
      <c r="OT1318" s="2">
        <v>1</v>
      </c>
      <c r="OU1318" s="2">
        <v>1</v>
      </c>
      <c r="OV1318" s="2">
        <v>1</v>
      </c>
      <c r="OW1318" s="2">
        <v>1</v>
      </c>
      <c r="OX1318" s="2">
        <v>1</v>
      </c>
      <c r="PC1318" s="2">
        <v>1</v>
      </c>
      <c r="PD1318" s="2">
        <v>1</v>
      </c>
      <c r="PE1318" s="2">
        <v>1</v>
      </c>
      <c r="PF1318" s="2">
        <v>1</v>
      </c>
      <c r="PG1318" s="2">
        <v>1</v>
      </c>
      <c r="PH1318" s="2">
        <v>1</v>
      </c>
      <c r="PI1318" s="2">
        <v>1</v>
      </c>
    </row>
    <row r="1319">
      <c r="A1319" t="inlineStr">
        <is>
          <t>A130576752X</t>
        </is>
      </c>
      <c r="B1319" t="inlineStr">
        <is>
          <t>Combined Seasonal Adjustment Factors ;  Australia ;  Other household services ;</t>
        </is>
      </c>
      <c r="C1319" t="inlineStr">
        <is>
          <t>Month</t>
        </is>
      </c>
      <c r="D1319" t="inlineStr">
        <is>
          <t>Number</t>
        </is>
      </c>
      <c r="E1319" t="inlineStr">
        <is>
          <t>Original</t>
        </is>
      </c>
      <c r="F1319" t="inlineStr">
        <is>
          <t>640108.xlsx</t>
        </is>
      </c>
      <c r="G1319" t="inlineStr">
        <is>
          <t>2024-04</t>
        </is>
      </c>
      <c r="H1319" t="inlineStr">
        <is>
          <t>2026-07</t>
        </is>
      </c>
      <c r="NZ1319" s="2">
        <v>1</v>
      </c>
      <c r="OA1319" s="2">
        <v>1</v>
      </c>
      <c r="OB1319" s="2">
        <v>1</v>
      </c>
      <c r="OC1319" s="2">
        <v>1</v>
      </c>
      <c r="OD1319" s="2">
        <v>1</v>
      </c>
      <c r="OE1319" s="2">
        <v>1</v>
      </c>
      <c r="OF1319" s="2">
        <v>1</v>
      </c>
      <c r="OG1319" s="2">
        <v>1</v>
      </c>
      <c r="OH1319" s="2">
        <v>1</v>
      </c>
      <c r="OM1319" s="2">
        <v>1</v>
      </c>
      <c r="ON1319" s="2">
        <v>1</v>
      </c>
      <c r="OO1319" s="2">
        <v>1</v>
      </c>
      <c r="OP1319" s="2">
        <v>1</v>
      </c>
      <c r="OQ1319" s="2">
        <v>1</v>
      </c>
      <c r="OR1319" s="2">
        <v>1</v>
      </c>
      <c r="OS1319" s="2">
        <v>1</v>
      </c>
      <c r="OT1319" s="2">
        <v>1</v>
      </c>
      <c r="OU1319" s="2">
        <v>1</v>
      </c>
      <c r="OV1319" s="2">
        <v>1</v>
      </c>
      <c r="OW1319" s="2">
        <v>1</v>
      </c>
      <c r="OX1319" s="2">
        <v>1</v>
      </c>
      <c r="PC1319" s="2">
        <v>1</v>
      </c>
      <c r="PD1319" s="2">
        <v>1</v>
      </c>
      <c r="PE1319" s="2">
        <v>1</v>
      </c>
      <c r="PF1319" s="2">
        <v>1</v>
      </c>
      <c r="PG1319" s="2">
        <v>1</v>
      </c>
      <c r="PH1319" s="2">
        <v>1</v>
      </c>
      <c r="PI1319" s="2">
        <v>1</v>
      </c>
    </row>
    <row r="1320">
      <c r="A1320" t="inlineStr">
        <is>
          <t>A130576723L</t>
        </is>
      </c>
      <c r="B1320" t="inlineStr">
        <is>
          <t>Combined Seasonal Adjustment Factors ;  Australia ;  Pharmaceutical products ;</t>
        </is>
      </c>
      <c r="C1320" t="inlineStr">
        <is>
          <t>Month</t>
        </is>
      </c>
      <c r="D1320" t="inlineStr">
        <is>
          <t>Number</t>
        </is>
      </c>
      <c r="E1320" t="inlineStr">
        <is>
          <t>Original</t>
        </is>
      </c>
      <c r="F1320" t="inlineStr">
        <is>
          <t>640108.xlsx</t>
        </is>
      </c>
      <c r="G1320" t="inlineStr">
        <is>
          <t>2024-04</t>
        </is>
      </c>
      <c r="H1320" t="inlineStr">
        <is>
          <t>2026-07</t>
        </is>
      </c>
      <c r="NZ1320" s="2">
        <v>1.02164</v>
      </c>
      <c r="OA1320" s="2">
        <v>1.01212</v>
      </c>
      <c r="OB1320" s="2">
        <v>1.00136</v>
      </c>
      <c r="OC1320" s="2">
        <v>0.99641</v>
      </c>
      <c r="OD1320" s="2">
        <v>0.98937</v>
      </c>
      <c r="OE1320" s="2">
        <v>0.98178</v>
      </c>
      <c r="OF1320" s="2">
        <v>0.97851</v>
      </c>
      <c r="OG1320" s="2">
        <v>0.96961</v>
      </c>
      <c r="OH1320" s="2">
        <v>0.962</v>
      </c>
      <c r="OM1320" s="2">
        <v>1.0272</v>
      </c>
      <c r="ON1320" s="2">
        <v>1.03014</v>
      </c>
      <c r="OO1320" s="2">
        <v>1.0308</v>
      </c>
      <c r="OP1320" s="2">
        <v>1.02189</v>
      </c>
      <c r="OQ1320" s="2">
        <v>1.0121</v>
      </c>
      <c r="OR1320" s="2">
        <v>1.00052</v>
      </c>
      <c r="OS1320" s="2">
        <v>0.99568</v>
      </c>
      <c r="OT1320" s="2">
        <v>0.98924</v>
      </c>
      <c r="OU1320" s="2">
        <v>0.9815700000000001</v>
      </c>
      <c r="OV1320" s="2">
        <v>0.97905</v>
      </c>
      <c r="OW1320" s="2">
        <v>0.9694199999999999</v>
      </c>
      <c r="OX1320" s="2">
        <v>0.96183</v>
      </c>
      <c r="PC1320" s="2">
        <v>1.02739</v>
      </c>
      <c r="PD1320" s="2">
        <v>1.0306</v>
      </c>
      <c r="PE1320" s="2">
        <v>1.03134</v>
      </c>
      <c r="PF1320" s="2">
        <v>1.02216</v>
      </c>
      <c r="PG1320" s="2">
        <v>1.01202</v>
      </c>
      <c r="PH1320" s="2">
        <v>0.99974</v>
      </c>
      <c r="PI1320" s="2">
        <v>0.99535</v>
      </c>
    </row>
    <row r="1321">
      <c r="A1321" t="inlineStr">
        <is>
          <t>A130576792T</t>
        </is>
      </c>
      <c r="B1321" t="inlineStr">
        <is>
          <t>Combined Seasonal Adjustment Factors ;  Australia ;  Therapeutic appliances and equipment ;</t>
        </is>
      </c>
      <c r="C1321" t="inlineStr">
        <is>
          <t>Month</t>
        </is>
      </c>
      <c r="D1321" t="inlineStr">
        <is>
          <t>Number</t>
        </is>
      </c>
      <c r="E1321" t="inlineStr">
        <is>
          <t>Original</t>
        </is>
      </c>
      <c r="F1321" t="inlineStr">
        <is>
          <t>640108.xlsx</t>
        </is>
      </c>
      <c r="G1321" t="inlineStr">
        <is>
          <t>2024-04</t>
        </is>
      </c>
      <c r="H1321" t="inlineStr">
        <is>
          <t>2026-07</t>
        </is>
      </c>
      <c r="NZ1321" s="2">
        <v>1</v>
      </c>
      <c r="OA1321" s="2">
        <v>1</v>
      </c>
      <c r="OB1321" s="2">
        <v>1</v>
      </c>
      <c r="OC1321" s="2">
        <v>1</v>
      </c>
      <c r="OD1321" s="2">
        <v>1</v>
      </c>
      <c r="OE1321" s="2">
        <v>1</v>
      </c>
      <c r="OF1321" s="2">
        <v>1</v>
      </c>
      <c r="OG1321" s="2">
        <v>1</v>
      </c>
      <c r="OH1321" s="2">
        <v>1</v>
      </c>
      <c r="OM1321" s="2">
        <v>1</v>
      </c>
      <c r="ON1321" s="2">
        <v>1</v>
      </c>
      <c r="OO1321" s="2">
        <v>1</v>
      </c>
      <c r="OP1321" s="2">
        <v>1</v>
      </c>
      <c r="OQ1321" s="2">
        <v>1</v>
      </c>
      <c r="OR1321" s="2">
        <v>1</v>
      </c>
      <c r="OS1321" s="2">
        <v>1</v>
      </c>
      <c r="OT1321" s="2">
        <v>1</v>
      </c>
      <c r="OU1321" s="2">
        <v>1</v>
      </c>
      <c r="OV1321" s="2">
        <v>1</v>
      </c>
      <c r="OW1321" s="2">
        <v>1</v>
      </c>
      <c r="OX1321" s="2">
        <v>1</v>
      </c>
      <c r="PC1321" s="2">
        <v>1</v>
      </c>
      <c r="PD1321" s="2">
        <v>1</v>
      </c>
      <c r="PE1321" s="2">
        <v>1</v>
      </c>
      <c r="PF1321" s="2">
        <v>1</v>
      </c>
      <c r="PG1321" s="2">
        <v>1</v>
      </c>
      <c r="PH1321" s="2">
        <v>1</v>
      </c>
      <c r="PI1321" s="2">
        <v>1</v>
      </c>
    </row>
    <row r="1322">
      <c r="A1322" t="inlineStr">
        <is>
          <t>A130576773K</t>
        </is>
      </c>
      <c r="B1322" t="inlineStr">
        <is>
          <t>Combined Seasonal Adjustment Factors ;  Australia ;  Medical and hospital services ;</t>
        </is>
      </c>
      <c r="C1322" t="inlineStr">
        <is>
          <t>Month</t>
        </is>
      </c>
      <c r="D1322" t="inlineStr">
        <is>
          <t>Number</t>
        </is>
      </c>
      <c r="E1322" t="inlineStr">
        <is>
          <t>Original</t>
        </is>
      </c>
      <c r="F1322" t="inlineStr">
        <is>
          <t>640108.xlsx</t>
        </is>
      </c>
      <c r="G1322" t="inlineStr">
        <is>
          <t>2024-04</t>
        </is>
      </c>
      <c r="H1322" t="inlineStr">
        <is>
          <t>2026-07</t>
        </is>
      </c>
      <c r="NZ1322" s="2">
        <v>1.01505</v>
      </c>
      <c r="OA1322" s="2">
        <v>1.01077</v>
      </c>
      <c r="OB1322" s="2">
        <v>1.00683</v>
      </c>
      <c r="OC1322" s="2">
        <v>1.00409</v>
      </c>
      <c r="OD1322" s="2">
        <v>1.00009</v>
      </c>
      <c r="OE1322" s="2">
        <v>0.9968900000000001</v>
      </c>
      <c r="OF1322" s="2">
        <v>0.99581</v>
      </c>
      <c r="OG1322" s="2">
        <v>0.9911799999999999</v>
      </c>
      <c r="OH1322" s="2">
        <v>0.98193</v>
      </c>
      <c r="OM1322" s="2">
        <v>1.00376</v>
      </c>
      <c r="ON1322" s="2">
        <v>0.99949</v>
      </c>
      <c r="OO1322" s="2">
        <v>0.99382</v>
      </c>
      <c r="OP1322" s="2">
        <v>1.01521</v>
      </c>
      <c r="OQ1322" s="2">
        <v>1.01087</v>
      </c>
      <c r="OR1322" s="2">
        <v>1.00734</v>
      </c>
      <c r="OS1322" s="2">
        <v>1.00426</v>
      </c>
      <c r="OT1322" s="2">
        <v>1.00002</v>
      </c>
      <c r="OU1322" s="2">
        <v>0.99674</v>
      </c>
      <c r="OV1322" s="2">
        <v>0.99552</v>
      </c>
      <c r="OW1322" s="2">
        <v>0.99077</v>
      </c>
      <c r="OX1322" s="2">
        <v>0.98169</v>
      </c>
      <c r="PC1322" s="2">
        <v>1.00378</v>
      </c>
      <c r="PD1322" s="2">
        <v>0.99961</v>
      </c>
      <c r="PE1322" s="2">
        <v>0.99394</v>
      </c>
      <c r="PF1322" s="2">
        <v>1.01541</v>
      </c>
      <c r="PG1322" s="2">
        <v>1.01097</v>
      </c>
      <c r="PH1322" s="2">
        <v>1.0076</v>
      </c>
      <c r="PI1322" s="2">
        <v>1.00435</v>
      </c>
    </row>
    <row r="1323">
      <c r="A1323" t="inlineStr">
        <is>
          <t>A130576722K</t>
        </is>
      </c>
      <c r="B1323" t="inlineStr">
        <is>
          <t>Combined Seasonal Adjustment Factors ;  Australia ;  Dental services ;</t>
        </is>
      </c>
      <c r="C1323" t="inlineStr">
        <is>
          <t>Month</t>
        </is>
      </c>
      <c r="D1323" t="inlineStr">
        <is>
          <t>Number</t>
        </is>
      </c>
      <c r="E1323" t="inlineStr">
        <is>
          <t>Original</t>
        </is>
      </c>
      <c r="F1323" t="inlineStr">
        <is>
          <t>640108.xlsx</t>
        </is>
      </c>
      <c r="G1323" t="inlineStr">
        <is>
          <t>2024-04</t>
        </is>
      </c>
      <c r="H1323" t="inlineStr">
        <is>
          <t>2026-07</t>
        </is>
      </c>
      <c r="NZ1323" s="2">
        <v>1</v>
      </c>
      <c r="OA1323" s="2">
        <v>1</v>
      </c>
      <c r="OB1323" s="2">
        <v>1</v>
      </c>
      <c r="OC1323" s="2">
        <v>1</v>
      </c>
      <c r="OD1323" s="2">
        <v>1</v>
      </c>
      <c r="OE1323" s="2">
        <v>1</v>
      </c>
      <c r="OF1323" s="2">
        <v>1</v>
      </c>
      <c r="OG1323" s="2">
        <v>1</v>
      </c>
      <c r="OH1323" s="2">
        <v>1</v>
      </c>
      <c r="OM1323" s="2">
        <v>1</v>
      </c>
      <c r="ON1323" s="2">
        <v>1</v>
      </c>
      <c r="OO1323" s="2">
        <v>1</v>
      </c>
      <c r="OP1323" s="2">
        <v>1</v>
      </c>
      <c r="OQ1323" s="2">
        <v>1</v>
      </c>
      <c r="OR1323" s="2">
        <v>1</v>
      </c>
      <c r="OS1323" s="2">
        <v>1</v>
      </c>
      <c r="OT1323" s="2">
        <v>1</v>
      </c>
      <c r="OU1323" s="2">
        <v>1</v>
      </c>
      <c r="OV1323" s="2">
        <v>1</v>
      </c>
      <c r="OW1323" s="2">
        <v>1</v>
      </c>
      <c r="OX1323" s="2">
        <v>1</v>
      </c>
      <c r="PC1323" s="2">
        <v>1</v>
      </c>
      <c r="PD1323" s="2">
        <v>1</v>
      </c>
      <c r="PE1323" s="2">
        <v>1</v>
      </c>
      <c r="PF1323" s="2">
        <v>1</v>
      </c>
      <c r="PG1323" s="2">
        <v>1</v>
      </c>
      <c r="PH1323" s="2">
        <v>1</v>
      </c>
      <c r="PI1323" s="2">
        <v>1</v>
      </c>
    </row>
    <row r="1324">
      <c r="A1324" t="inlineStr">
        <is>
          <t>A130576714K</t>
        </is>
      </c>
      <c r="B1324" t="inlineStr">
        <is>
          <t>Combined Seasonal Adjustment Factors ;  Australia ;  Motor vehicles ;</t>
        </is>
      </c>
      <c r="C1324" t="inlineStr">
        <is>
          <t>Month</t>
        </is>
      </c>
      <c r="D1324" t="inlineStr">
        <is>
          <t>Number</t>
        </is>
      </c>
      <c r="E1324" t="inlineStr">
        <is>
          <t>Original</t>
        </is>
      </c>
      <c r="F1324" t="inlineStr">
        <is>
          <t>640108.xlsx</t>
        </is>
      </c>
      <c r="G1324" t="inlineStr">
        <is>
          <t>2024-04</t>
        </is>
      </c>
      <c r="H1324" t="inlineStr">
        <is>
          <t>2026-07</t>
        </is>
      </c>
      <c r="NZ1324" s="2">
        <v>1</v>
      </c>
      <c r="OA1324" s="2">
        <v>1</v>
      </c>
      <c r="OB1324" s="2">
        <v>1</v>
      </c>
      <c r="OC1324" s="2">
        <v>1</v>
      </c>
      <c r="OD1324" s="2">
        <v>1</v>
      </c>
      <c r="OE1324" s="2">
        <v>1</v>
      </c>
      <c r="OF1324" s="2">
        <v>1</v>
      </c>
      <c r="OG1324" s="2">
        <v>1</v>
      </c>
      <c r="OH1324" s="2">
        <v>1</v>
      </c>
      <c r="OM1324" s="2">
        <v>1</v>
      </c>
      <c r="ON1324" s="2">
        <v>1</v>
      </c>
      <c r="OO1324" s="2">
        <v>1</v>
      </c>
      <c r="OP1324" s="2">
        <v>1</v>
      </c>
      <c r="OQ1324" s="2">
        <v>1</v>
      </c>
      <c r="OR1324" s="2">
        <v>0.9839</v>
      </c>
      <c r="OS1324" s="2">
        <v>1</v>
      </c>
      <c r="OT1324" s="2">
        <v>1</v>
      </c>
      <c r="OU1324" s="2">
        <v>1</v>
      </c>
      <c r="OV1324" s="2">
        <v>1</v>
      </c>
      <c r="OW1324" s="2">
        <v>1</v>
      </c>
      <c r="OX1324" s="2">
        <v>1</v>
      </c>
      <c r="PC1324" s="2">
        <v>1</v>
      </c>
      <c r="PD1324" s="2">
        <v>1</v>
      </c>
      <c r="PE1324" s="2">
        <v>1</v>
      </c>
      <c r="PF1324" s="2">
        <v>1</v>
      </c>
      <c r="PG1324" s="2">
        <v>1</v>
      </c>
      <c r="PH1324" s="2">
        <v>1</v>
      </c>
      <c r="PI1324" s="2">
        <v>1</v>
      </c>
    </row>
    <row r="1325">
      <c r="A1325" t="inlineStr">
        <is>
          <t>A130576760X</t>
        </is>
      </c>
      <c r="B1325" t="inlineStr">
        <is>
          <t>Combined Seasonal Adjustment Factors ;  Australia ;  Spare parts and accessories for motor vehicles ;</t>
        </is>
      </c>
      <c r="C1325" t="inlineStr">
        <is>
          <t>Month</t>
        </is>
      </c>
      <c r="D1325" t="inlineStr">
        <is>
          <t>Number</t>
        </is>
      </c>
      <c r="E1325" t="inlineStr">
        <is>
          <t>Original</t>
        </is>
      </c>
      <c r="F1325" t="inlineStr">
        <is>
          <t>640108.xlsx</t>
        </is>
      </c>
      <c r="G1325" t="inlineStr">
        <is>
          <t>2024-04</t>
        </is>
      </c>
      <c r="H1325" t="inlineStr">
        <is>
          <t>2026-07</t>
        </is>
      </c>
      <c r="NZ1325" s="2">
        <v>1</v>
      </c>
      <c r="OA1325" s="2">
        <v>1</v>
      </c>
      <c r="OB1325" s="2">
        <v>1</v>
      </c>
      <c r="OC1325" s="2">
        <v>1</v>
      </c>
      <c r="OD1325" s="2">
        <v>1</v>
      </c>
      <c r="OE1325" s="2">
        <v>1</v>
      </c>
      <c r="OF1325" s="2">
        <v>1</v>
      </c>
      <c r="OG1325" s="2">
        <v>1</v>
      </c>
      <c r="OH1325" s="2">
        <v>0.98497</v>
      </c>
      <c r="OM1325" s="2">
        <v>1</v>
      </c>
      <c r="ON1325" s="2">
        <v>1</v>
      </c>
      <c r="OO1325" s="2">
        <v>1</v>
      </c>
      <c r="OP1325" s="2">
        <v>1</v>
      </c>
      <c r="OQ1325" s="2">
        <v>1</v>
      </c>
      <c r="OR1325" s="2">
        <v>1</v>
      </c>
      <c r="OS1325" s="2">
        <v>1</v>
      </c>
      <c r="OT1325" s="2">
        <v>1</v>
      </c>
      <c r="OU1325" s="2">
        <v>1</v>
      </c>
      <c r="OV1325" s="2">
        <v>1</v>
      </c>
      <c r="OW1325" s="2">
        <v>1</v>
      </c>
      <c r="OX1325" s="2">
        <v>0.9873</v>
      </c>
      <c r="PC1325" s="2">
        <v>1</v>
      </c>
      <c r="PD1325" s="2">
        <v>1</v>
      </c>
      <c r="PE1325" s="2">
        <v>1</v>
      </c>
      <c r="PF1325" s="2">
        <v>1</v>
      </c>
      <c r="PG1325" s="2">
        <v>1</v>
      </c>
      <c r="PH1325" s="2">
        <v>1</v>
      </c>
      <c r="PI1325" s="2">
        <v>1</v>
      </c>
    </row>
    <row r="1326">
      <c r="A1326" t="inlineStr">
        <is>
          <t>A130576747F</t>
        </is>
      </c>
      <c r="B1326" t="inlineStr">
        <is>
          <t>Combined Seasonal Adjustment Factors ;  Australia ;  Automotive fuel ;</t>
        </is>
      </c>
      <c r="C1326" t="inlineStr">
        <is>
          <t>Month</t>
        </is>
      </c>
      <c r="D1326" t="inlineStr">
        <is>
          <t>Number</t>
        </is>
      </c>
      <c r="E1326" t="inlineStr">
        <is>
          <t>Original</t>
        </is>
      </c>
      <c r="F1326" t="inlineStr">
        <is>
          <t>640108.xlsx</t>
        </is>
      </c>
      <c r="G1326" t="inlineStr">
        <is>
          <t>2017-09</t>
        </is>
      </c>
      <c r="H1326" t="inlineStr">
        <is>
          <t>2026-07</t>
        </is>
      </c>
      <c r="JW1326" s="2">
        <v>1</v>
      </c>
      <c r="JX1326" s="2">
        <v>1</v>
      </c>
      <c r="JY1326" s="2">
        <v>1</v>
      </c>
      <c r="JZ1326" s="2">
        <v>1</v>
      </c>
      <c r="KE1326" s="2">
        <v>1</v>
      </c>
      <c r="KF1326" s="2">
        <v>1</v>
      </c>
      <c r="KG1326" s="2">
        <v>1</v>
      </c>
      <c r="KH1326" s="2">
        <v>1</v>
      </c>
      <c r="KI1326" s="2">
        <v>1</v>
      </c>
      <c r="KJ1326" s="2">
        <v>1</v>
      </c>
      <c r="KK1326" s="2">
        <v>1</v>
      </c>
      <c r="KL1326" s="2">
        <v>1</v>
      </c>
      <c r="KM1326" s="2">
        <v>1</v>
      </c>
      <c r="KN1326" s="2">
        <v>1</v>
      </c>
      <c r="KO1326" s="2">
        <v>1</v>
      </c>
      <c r="KP1326" s="2">
        <v>1</v>
      </c>
      <c r="KU1326" s="2">
        <v>1</v>
      </c>
      <c r="KV1326" s="2">
        <v>1</v>
      </c>
      <c r="KW1326" s="2">
        <v>1</v>
      </c>
      <c r="KX1326" s="2">
        <v>1</v>
      </c>
      <c r="KY1326" s="2">
        <v>1</v>
      </c>
      <c r="KZ1326" s="2">
        <v>1</v>
      </c>
      <c r="LA1326" s="2">
        <v>1</v>
      </c>
      <c r="LB1326" s="2">
        <v>1</v>
      </c>
      <c r="LC1326" s="2">
        <v>1</v>
      </c>
      <c r="LD1326" s="2">
        <v>1</v>
      </c>
      <c r="LE1326" s="2">
        <v>1</v>
      </c>
      <c r="LF1326" s="2">
        <v>1</v>
      </c>
      <c r="LK1326" s="2">
        <v>1</v>
      </c>
      <c r="LL1326" s="2">
        <v>1</v>
      </c>
      <c r="LM1326" s="2">
        <v>1</v>
      </c>
      <c r="LN1326" s="2">
        <v>1</v>
      </c>
      <c r="LO1326" s="2">
        <v>1</v>
      </c>
      <c r="LP1326" s="2">
        <v>1</v>
      </c>
      <c r="LQ1326" s="2">
        <v>1</v>
      </c>
      <c r="LR1326" s="2">
        <v>1</v>
      </c>
      <c r="LS1326" s="2">
        <v>1</v>
      </c>
      <c r="LT1326" s="2">
        <v>1</v>
      </c>
      <c r="LU1326" s="2">
        <v>1</v>
      </c>
      <c r="LV1326" s="2">
        <v>1</v>
      </c>
      <c r="MA1326" s="2">
        <v>1</v>
      </c>
      <c r="MB1326" s="2">
        <v>1</v>
      </c>
      <c r="MC1326" s="2">
        <v>1</v>
      </c>
      <c r="MD1326" s="2">
        <v>1</v>
      </c>
      <c r="ME1326" s="2">
        <v>1</v>
      </c>
      <c r="MF1326" s="2">
        <v>1</v>
      </c>
      <c r="MG1326" s="2">
        <v>1</v>
      </c>
      <c r="MH1326" s="2">
        <v>1</v>
      </c>
      <c r="MI1326" s="2">
        <v>1</v>
      </c>
      <c r="MJ1326" s="2">
        <v>1</v>
      </c>
      <c r="MK1326" s="2">
        <v>1</v>
      </c>
      <c r="ML1326" s="2">
        <v>1</v>
      </c>
      <c r="MQ1326" s="2">
        <v>1</v>
      </c>
      <c r="MR1326" s="2">
        <v>1</v>
      </c>
      <c r="MS1326" s="2">
        <v>1</v>
      </c>
      <c r="MT1326" s="2">
        <v>1</v>
      </c>
      <c r="MU1326" s="2">
        <v>1</v>
      </c>
      <c r="MV1326" s="2">
        <v>1</v>
      </c>
      <c r="MW1326" s="2">
        <v>1</v>
      </c>
      <c r="MX1326" s="2">
        <v>1</v>
      </c>
      <c r="MY1326" s="2">
        <v>1</v>
      </c>
      <c r="MZ1326" s="2">
        <v>1</v>
      </c>
      <c r="NA1326" s="2">
        <v>1</v>
      </c>
      <c r="NB1326" s="2">
        <v>1</v>
      </c>
      <c r="NG1326" s="2">
        <v>1</v>
      </c>
      <c r="NH1326" s="2">
        <v>1</v>
      </c>
      <c r="NI1326" s="2">
        <v>1</v>
      </c>
      <c r="NJ1326" s="2">
        <v>1</v>
      </c>
      <c r="NK1326" s="2">
        <v>1</v>
      </c>
      <c r="NL1326" s="2">
        <v>1</v>
      </c>
      <c r="NM1326" s="2">
        <v>1</v>
      </c>
      <c r="NN1326" s="2">
        <v>1</v>
      </c>
      <c r="NO1326" s="2">
        <v>1</v>
      </c>
      <c r="NP1326" s="2">
        <v>1</v>
      </c>
      <c r="NQ1326" s="2">
        <v>1</v>
      </c>
      <c r="NR1326" s="2">
        <v>1</v>
      </c>
      <c r="NW1326" s="2">
        <v>1</v>
      </c>
      <c r="NX1326" s="2">
        <v>1</v>
      </c>
      <c r="NY1326" s="2">
        <v>1</v>
      </c>
      <c r="NZ1326" s="2">
        <v>1</v>
      </c>
      <c r="OA1326" s="2">
        <v>1</v>
      </c>
      <c r="OB1326" s="2">
        <v>1</v>
      </c>
      <c r="OC1326" s="2">
        <v>1</v>
      </c>
      <c r="OD1326" s="2">
        <v>1</v>
      </c>
      <c r="OE1326" s="2">
        <v>1</v>
      </c>
      <c r="OF1326" s="2">
        <v>1</v>
      </c>
      <c r="OG1326" s="2">
        <v>1</v>
      </c>
      <c r="OH1326" s="2">
        <v>1</v>
      </c>
      <c r="OM1326" s="2">
        <v>1</v>
      </c>
      <c r="ON1326" s="2">
        <v>1</v>
      </c>
      <c r="OO1326" s="2">
        <v>1</v>
      </c>
      <c r="OP1326" s="2">
        <v>1</v>
      </c>
      <c r="OQ1326" s="2">
        <v>1</v>
      </c>
      <c r="OR1326" s="2">
        <v>1</v>
      </c>
      <c r="OS1326" s="2">
        <v>1</v>
      </c>
      <c r="OT1326" s="2">
        <v>1</v>
      </c>
      <c r="OU1326" s="2">
        <v>1</v>
      </c>
      <c r="OV1326" s="2">
        <v>1</v>
      </c>
      <c r="OW1326" s="2">
        <v>1</v>
      </c>
      <c r="OX1326" s="2">
        <v>1</v>
      </c>
      <c r="PC1326" s="2">
        <v>1</v>
      </c>
      <c r="PD1326" s="2">
        <v>1</v>
      </c>
      <c r="PE1326" s="2">
        <v>1</v>
      </c>
      <c r="PF1326" s="2">
        <v>1</v>
      </c>
      <c r="PG1326" s="2">
        <v>1</v>
      </c>
      <c r="PH1326" s="2">
        <v>1</v>
      </c>
      <c r="PI1326" s="2">
        <v>1</v>
      </c>
    </row>
    <row r="1327">
      <c r="A1327" t="inlineStr">
        <is>
          <t>A130576772J</t>
        </is>
      </c>
      <c r="B1327" t="inlineStr">
        <is>
          <t>Combined Seasonal Adjustment Factors ;  Australia ;  Maintenance and repair of motor vehicles ;</t>
        </is>
      </c>
      <c r="C1327" t="inlineStr">
        <is>
          <t>Month</t>
        </is>
      </c>
      <c r="D1327" t="inlineStr">
        <is>
          <t>Number</t>
        </is>
      </c>
      <c r="E1327" t="inlineStr">
        <is>
          <t>Original</t>
        </is>
      </c>
      <c r="F1327" t="inlineStr">
        <is>
          <t>640108.xlsx</t>
        </is>
      </c>
      <c r="G1327" t="inlineStr">
        <is>
          <t>2024-04</t>
        </is>
      </c>
      <c r="H1327" t="inlineStr">
        <is>
          <t>2026-07</t>
        </is>
      </c>
      <c r="NZ1327" s="2">
        <v>1</v>
      </c>
      <c r="OA1327" s="2">
        <v>1</v>
      </c>
      <c r="OB1327" s="2">
        <v>1</v>
      </c>
      <c r="OC1327" s="2">
        <v>1</v>
      </c>
      <c r="OD1327" s="2">
        <v>1</v>
      </c>
      <c r="OE1327" s="2">
        <v>1</v>
      </c>
      <c r="OF1327" s="2">
        <v>1</v>
      </c>
      <c r="OG1327" s="2">
        <v>1</v>
      </c>
      <c r="OH1327" s="2">
        <v>1</v>
      </c>
      <c r="OM1327" s="2">
        <v>1</v>
      </c>
      <c r="ON1327" s="2">
        <v>1</v>
      </c>
      <c r="OO1327" s="2">
        <v>1</v>
      </c>
      <c r="OP1327" s="2">
        <v>1</v>
      </c>
      <c r="OQ1327" s="2">
        <v>1</v>
      </c>
      <c r="OR1327" s="2">
        <v>1</v>
      </c>
      <c r="OS1327" s="2">
        <v>1</v>
      </c>
      <c r="OT1327" s="2">
        <v>1</v>
      </c>
      <c r="OU1327" s="2">
        <v>1</v>
      </c>
      <c r="OV1327" s="2">
        <v>1</v>
      </c>
      <c r="OW1327" s="2">
        <v>1</v>
      </c>
      <c r="OX1327" s="2">
        <v>1</v>
      </c>
      <c r="PC1327" s="2">
        <v>1</v>
      </c>
      <c r="PD1327" s="2">
        <v>1</v>
      </c>
      <c r="PE1327" s="2">
        <v>1</v>
      </c>
      <c r="PF1327" s="2">
        <v>1</v>
      </c>
      <c r="PG1327" s="2">
        <v>1</v>
      </c>
      <c r="PH1327" s="2">
        <v>1</v>
      </c>
      <c r="PI1327" s="2">
        <v>1</v>
      </c>
    </row>
    <row r="1328">
      <c r="A1328" t="inlineStr">
        <is>
          <t>A130576721J</t>
        </is>
      </c>
      <c r="B1328" t="inlineStr">
        <is>
          <t>Combined Seasonal Adjustment Factors ;  Australia ;  Other services in respect of motor vehicles ;</t>
        </is>
      </c>
      <c r="C1328" t="inlineStr">
        <is>
          <t>Month</t>
        </is>
      </c>
      <c r="D1328" t="inlineStr">
        <is>
          <t>Number</t>
        </is>
      </c>
      <c r="E1328" t="inlineStr">
        <is>
          <t>Original</t>
        </is>
      </c>
      <c r="F1328" t="inlineStr">
        <is>
          <t>640108.xlsx</t>
        </is>
      </c>
      <c r="G1328" t="inlineStr">
        <is>
          <t>2024-04</t>
        </is>
      </c>
      <c r="H1328" t="inlineStr">
        <is>
          <t>2026-07</t>
        </is>
      </c>
      <c r="NZ1328" s="2">
        <v>0.99621</v>
      </c>
      <c r="OA1328" s="2">
        <v>0.99455</v>
      </c>
      <c r="OB1328" s="2">
        <v>0.99219</v>
      </c>
      <c r="OC1328" s="2">
        <v>1.00769</v>
      </c>
      <c r="OD1328" s="2">
        <v>1.00488</v>
      </c>
      <c r="OE1328" s="2">
        <v>1.00363</v>
      </c>
      <c r="OF1328" s="2">
        <v>1.00218</v>
      </c>
      <c r="OG1328" s="2">
        <v>1.0015</v>
      </c>
      <c r="OH1328" s="2">
        <v>0.99935</v>
      </c>
      <c r="OM1328" s="2">
        <v>1.00124</v>
      </c>
      <c r="ON1328" s="2">
        <v>0.99914</v>
      </c>
      <c r="OO1328" s="2">
        <v>0.9974</v>
      </c>
      <c r="OP1328" s="2">
        <v>0.99625</v>
      </c>
      <c r="OQ1328" s="2">
        <v>0.99456</v>
      </c>
      <c r="OR1328" s="2">
        <v>0.99221</v>
      </c>
      <c r="OS1328" s="2">
        <v>1.00774</v>
      </c>
      <c r="OT1328" s="2">
        <v>1.00486</v>
      </c>
      <c r="OU1328" s="2">
        <v>1.0036</v>
      </c>
      <c r="OV1328" s="2">
        <v>1.00208</v>
      </c>
      <c r="OW1328" s="2">
        <v>1.00148</v>
      </c>
      <c r="OX1328" s="2">
        <v>0.99936</v>
      </c>
      <c r="PC1328" s="2">
        <v>1.00127</v>
      </c>
      <c r="PD1328" s="2">
        <v>0.9992</v>
      </c>
      <c r="PE1328" s="2">
        <v>0.9974</v>
      </c>
      <c r="PF1328" s="2">
        <v>0.99625</v>
      </c>
      <c r="PG1328" s="2">
        <v>0.99452</v>
      </c>
      <c r="PH1328" s="2">
        <v>0.99222</v>
      </c>
      <c r="PI1328" s="2">
        <v>1.00779</v>
      </c>
    </row>
    <row r="1329">
      <c r="A1329" t="inlineStr">
        <is>
          <t>A130576791R</t>
        </is>
      </c>
      <c r="B1329" t="inlineStr">
        <is>
          <t>Combined Seasonal Adjustment Factors ;  Australia ;  Urban transport fares ;</t>
        </is>
      </c>
      <c r="C1329" t="inlineStr">
        <is>
          <t>Month</t>
        </is>
      </c>
      <c r="D1329" t="inlineStr">
        <is>
          <t>Number</t>
        </is>
      </c>
      <c r="E1329" t="inlineStr">
        <is>
          <t>Original</t>
        </is>
      </c>
      <c r="F1329" t="inlineStr">
        <is>
          <t>640108.xlsx</t>
        </is>
      </c>
      <c r="G1329" t="inlineStr">
        <is>
          <t>2024-04</t>
        </is>
      </c>
      <c r="H1329" t="inlineStr">
        <is>
          <t>2026-07</t>
        </is>
      </c>
      <c r="NZ1329" s="2">
        <v>0.99683</v>
      </c>
      <c r="OA1329" s="2">
        <v>0.9923999999999999</v>
      </c>
      <c r="OB1329" s="2">
        <v>0.98758</v>
      </c>
      <c r="OC1329" s="2">
        <v>1.00616</v>
      </c>
      <c r="OD1329" s="2">
        <v>1.00358</v>
      </c>
      <c r="OE1329" s="2">
        <v>1.00365</v>
      </c>
      <c r="OF1329" s="2">
        <v>1.00518</v>
      </c>
      <c r="OG1329" s="2">
        <v>1.00617</v>
      </c>
      <c r="OH1329" s="2">
        <v>0.9997</v>
      </c>
      <c r="OM1329" s="2">
        <v>0.9982</v>
      </c>
      <c r="ON1329" s="2">
        <v>0.99937</v>
      </c>
      <c r="OO1329" s="2">
        <v>1.00161</v>
      </c>
      <c r="OP1329" s="2">
        <v>0.99838</v>
      </c>
      <c r="OQ1329" s="2">
        <v>0.99183</v>
      </c>
      <c r="OR1329" s="2">
        <v>0.98753</v>
      </c>
      <c r="OS1329" s="2">
        <v>1.00452</v>
      </c>
      <c r="OT1329" s="2">
        <v>1.00279</v>
      </c>
      <c r="OU1329" s="2">
        <v>1.00346</v>
      </c>
      <c r="OV1329" s="2">
        <v>1.00582</v>
      </c>
      <c r="OW1329" s="2">
        <v>1.00725</v>
      </c>
      <c r="OX1329" s="2">
        <v>0.99935</v>
      </c>
      <c r="PC1329" s="2">
        <v>0.9970599999999999</v>
      </c>
      <c r="PD1329" s="2">
        <v>0.99955</v>
      </c>
      <c r="PE1329" s="2">
        <v>1.00262</v>
      </c>
      <c r="PF1329" s="2">
        <v>0.99981</v>
      </c>
      <c r="PG1329" s="2">
        <v>0.99155</v>
      </c>
      <c r="PH1329" s="2">
        <v>0.98745</v>
      </c>
      <c r="PI1329" s="2">
        <v>1.00309</v>
      </c>
    </row>
    <row r="1330">
      <c r="A1330" t="inlineStr">
        <is>
          <t>A130576713J</t>
        </is>
      </c>
      <c r="B1330" t="inlineStr">
        <is>
          <t>Combined Seasonal Adjustment Factors ;  Australia ;  Postal services ;</t>
        </is>
      </c>
      <c r="C1330" t="inlineStr">
        <is>
          <t>Month</t>
        </is>
      </c>
      <c r="D1330" t="inlineStr">
        <is>
          <t>Number</t>
        </is>
      </c>
      <c r="E1330" t="inlineStr">
        <is>
          <t>Original</t>
        </is>
      </c>
      <c r="F1330" t="inlineStr">
        <is>
          <t>640108.xlsx</t>
        </is>
      </c>
      <c r="G1330" t="inlineStr">
        <is>
          <t>2022-07</t>
        </is>
      </c>
      <c r="H1330" t="inlineStr">
        <is>
          <t>2026-07</t>
        </is>
      </c>
      <c r="MW1330" s="2">
        <v>1.00269</v>
      </c>
      <c r="MX1330" s="2">
        <v>0.99875</v>
      </c>
      <c r="MY1330" s="2">
        <v>0.99927</v>
      </c>
      <c r="MZ1330" s="2">
        <v>0.99654</v>
      </c>
      <c r="NA1330" s="2">
        <v>0.99544</v>
      </c>
      <c r="NB1330" s="2">
        <v>0.9942299999999999</v>
      </c>
      <c r="NG1330" s="2">
        <v>0.9887899999999999</v>
      </c>
      <c r="NH1330" s="2">
        <v>0.9989400000000001</v>
      </c>
      <c r="NI1330" s="2">
        <v>0.99557</v>
      </c>
      <c r="NJ1330" s="2">
        <v>1.01307</v>
      </c>
      <c r="NK1330" s="2">
        <v>1.00978</v>
      </c>
      <c r="NL1330" s="2">
        <v>1.00708</v>
      </c>
      <c r="NM1330" s="2">
        <v>1.00262</v>
      </c>
      <c r="NN1330" s="2">
        <v>0.9986</v>
      </c>
      <c r="NO1330" s="2">
        <v>0.99918</v>
      </c>
      <c r="NP1330" s="2">
        <v>0.9970599999999999</v>
      </c>
      <c r="NQ1330" s="2">
        <v>0.99552</v>
      </c>
      <c r="NR1330" s="2">
        <v>0.99399</v>
      </c>
      <c r="NW1330" s="2">
        <v>0.98806</v>
      </c>
      <c r="NX1330" s="2">
        <v>0.9984499999999999</v>
      </c>
      <c r="NY1330" s="2">
        <v>0.9955000000000001</v>
      </c>
      <c r="NZ1330" s="2">
        <v>1.01356</v>
      </c>
      <c r="OA1330" s="2">
        <v>1.01166</v>
      </c>
      <c r="OB1330" s="2">
        <v>1.00623</v>
      </c>
      <c r="OC1330" s="2">
        <v>1.00293</v>
      </c>
      <c r="OD1330" s="2">
        <v>0.99795</v>
      </c>
      <c r="OE1330" s="2">
        <v>0.99883</v>
      </c>
      <c r="OF1330" s="2">
        <v>0.9978</v>
      </c>
      <c r="OG1330" s="2">
        <v>0.99568</v>
      </c>
      <c r="OH1330" s="2">
        <v>0.9937</v>
      </c>
      <c r="OM1330" s="2">
        <v>0.98698</v>
      </c>
      <c r="ON1330" s="2">
        <v>0.99769</v>
      </c>
      <c r="OO1330" s="2">
        <v>0.99529</v>
      </c>
      <c r="OP1330" s="2">
        <v>1.01423</v>
      </c>
      <c r="OQ1330" s="2">
        <v>1.01449</v>
      </c>
      <c r="OR1330" s="2">
        <v>1.00472</v>
      </c>
      <c r="OS1330" s="2">
        <v>1.00328</v>
      </c>
      <c r="OT1330" s="2">
        <v>0.99857</v>
      </c>
      <c r="OU1330" s="2">
        <v>0.99849</v>
      </c>
      <c r="OV1330" s="2">
        <v>0.99765</v>
      </c>
      <c r="OW1330" s="2">
        <v>0.99524</v>
      </c>
      <c r="OX1330" s="2">
        <v>0.99288</v>
      </c>
      <c r="PC1330" s="2">
        <v>0.98602</v>
      </c>
      <c r="PD1330" s="2">
        <v>0.99739</v>
      </c>
      <c r="PE1330" s="2">
        <v>0.99655</v>
      </c>
      <c r="PF1330" s="2">
        <v>1.01457</v>
      </c>
      <c r="PG1330" s="2">
        <v>1.01602</v>
      </c>
      <c r="PH1330" s="2">
        <v>1.00324</v>
      </c>
      <c r="PI1330" s="2">
        <v>1.00363</v>
      </c>
    </row>
    <row r="1331">
      <c r="A1331" t="inlineStr">
        <is>
          <t>A130576738C</t>
        </is>
      </c>
      <c r="B1331" t="inlineStr">
        <is>
          <t>Combined Seasonal Adjustment Factors ;  Australia ;  Telecommunication equipment and services ;</t>
        </is>
      </c>
      <c r="C1331" t="inlineStr">
        <is>
          <t>Month</t>
        </is>
      </c>
      <c r="D1331" t="inlineStr">
        <is>
          <t>Number</t>
        </is>
      </c>
      <c r="E1331" t="inlineStr">
        <is>
          <t>Original</t>
        </is>
      </c>
      <c r="F1331" t="inlineStr">
        <is>
          <t>640108.xlsx</t>
        </is>
      </c>
      <c r="G1331" t="inlineStr">
        <is>
          <t>2024-04</t>
        </is>
      </c>
      <c r="H1331" t="inlineStr">
        <is>
          <t>2026-07</t>
        </is>
      </c>
      <c r="NZ1331" s="2">
        <v>1.00085</v>
      </c>
      <c r="OA1331" s="2">
        <v>0.99754</v>
      </c>
      <c r="OB1331" s="2">
        <v>0.98931</v>
      </c>
      <c r="OC1331" s="2">
        <v>1.00282</v>
      </c>
      <c r="OD1331" s="2">
        <v>1.00098</v>
      </c>
      <c r="OE1331" s="2">
        <v>1.00422</v>
      </c>
      <c r="OF1331" s="2">
        <v>1.00407</v>
      </c>
      <c r="OG1331" s="2">
        <v>1.00339</v>
      </c>
      <c r="OH1331" s="2">
        <v>0.99975</v>
      </c>
      <c r="OM1331" s="2">
        <v>0.9981</v>
      </c>
      <c r="ON1331" s="2">
        <v>1.00003</v>
      </c>
      <c r="OO1331" s="2">
        <v>0.99893</v>
      </c>
      <c r="OP1331" s="2">
        <v>1.00041</v>
      </c>
      <c r="OQ1331" s="2">
        <v>0.99738</v>
      </c>
      <c r="OR1331" s="2">
        <v>0.98905</v>
      </c>
      <c r="OS1331" s="2">
        <v>1.00365</v>
      </c>
      <c r="OT1331" s="2">
        <v>1.00141</v>
      </c>
      <c r="OU1331" s="2">
        <v>1.00407</v>
      </c>
      <c r="OV1331" s="2">
        <v>1.00401</v>
      </c>
      <c r="OW1331" s="2">
        <v>1.00356</v>
      </c>
      <c r="OX1331" s="2">
        <v>0.99973</v>
      </c>
      <c r="PC1331" s="2">
        <v>0.99783</v>
      </c>
      <c r="PD1331" s="2">
        <v>0.99991</v>
      </c>
      <c r="PE1331" s="2">
        <v>0.99904</v>
      </c>
      <c r="PF1331" s="2">
        <v>1.00011</v>
      </c>
      <c r="PG1331" s="2">
        <v>0.99732</v>
      </c>
      <c r="PH1331" s="2">
        <v>0.98899</v>
      </c>
      <c r="PI1331" s="2">
        <v>1.00408</v>
      </c>
    </row>
    <row r="1332">
      <c r="A1332" t="inlineStr">
        <is>
          <t>A130576794W</t>
        </is>
      </c>
      <c r="B1332" t="inlineStr">
        <is>
          <t>Combined Seasonal Adjustment Factors ;  Australia ;  Audio, visual and computing equipment ;</t>
        </is>
      </c>
      <c r="C1332" t="inlineStr">
        <is>
          <t>Month</t>
        </is>
      </c>
      <c r="D1332" t="inlineStr">
        <is>
          <t>Number</t>
        </is>
      </c>
      <c r="E1332" t="inlineStr">
        <is>
          <t>Original</t>
        </is>
      </c>
      <c r="F1332" t="inlineStr">
        <is>
          <t>640108.xlsx</t>
        </is>
      </c>
      <c r="G1332" t="inlineStr">
        <is>
          <t>2024-04</t>
        </is>
      </c>
      <c r="H1332" t="inlineStr">
        <is>
          <t>2026-07</t>
        </is>
      </c>
      <c r="NZ1332" s="2">
        <v>1</v>
      </c>
      <c r="OA1332" s="2">
        <v>1</v>
      </c>
      <c r="OB1332" s="2">
        <v>0.97516</v>
      </c>
      <c r="OC1332" s="2">
        <v>1</v>
      </c>
      <c r="OD1332" s="2">
        <v>1</v>
      </c>
      <c r="OE1332" s="2">
        <v>1</v>
      </c>
      <c r="OF1332" s="2">
        <v>1</v>
      </c>
      <c r="OG1332" s="2">
        <v>1</v>
      </c>
      <c r="OH1332" s="2">
        <v>0.99082</v>
      </c>
      <c r="OM1332" s="2">
        <v>1</v>
      </c>
      <c r="ON1332" s="2">
        <v>1</v>
      </c>
      <c r="OO1332" s="2">
        <v>1</v>
      </c>
      <c r="OP1332" s="2">
        <v>1</v>
      </c>
      <c r="OQ1332" s="2">
        <v>1</v>
      </c>
      <c r="OR1332" s="2">
        <v>0.98452</v>
      </c>
      <c r="OS1332" s="2">
        <v>1</v>
      </c>
      <c r="OT1332" s="2">
        <v>1</v>
      </c>
      <c r="OU1332" s="2">
        <v>1</v>
      </c>
      <c r="OV1332" s="2">
        <v>1</v>
      </c>
      <c r="OW1332" s="2">
        <v>1</v>
      </c>
      <c r="OX1332" s="2">
        <v>0.96653</v>
      </c>
      <c r="PC1332" s="2">
        <v>1</v>
      </c>
      <c r="PD1332" s="2">
        <v>1</v>
      </c>
      <c r="PE1332" s="2">
        <v>1</v>
      </c>
      <c r="PF1332" s="2">
        <v>1</v>
      </c>
      <c r="PG1332" s="2">
        <v>1</v>
      </c>
      <c r="PH1332" s="2">
        <v>0.9735</v>
      </c>
      <c r="PI1332" s="2">
        <v>1</v>
      </c>
    </row>
    <row r="1333">
      <c r="A1333" t="inlineStr">
        <is>
          <t>A130576754C</t>
        </is>
      </c>
      <c r="B1333" t="inlineStr">
        <is>
          <t>Combined Seasonal Adjustment Factors ;  Australia ;  Audio, visual and computing media and services ;</t>
        </is>
      </c>
      <c r="C1333" t="inlineStr">
        <is>
          <t>Month</t>
        </is>
      </c>
      <c r="D1333" t="inlineStr">
        <is>
          <t>Number</t>
        </is>
      </c>
      <c r="E1333" t="inlineStr">
        <is>
          <t>Original</t>
        </is>
      </c>
      <c r="F1333" t="inlineStr">
        <is>
          <t>640108.xlsx</t>
        </is>
      </c>
      <c r="G1333" t="inlineStr">
        <is>
          <t>2024-04</t>
        </is>
      </c>
      <c r="H1333" t="inlineStr">
        <is>
          <t>2026-07</t>
        </is>
      </c>
      <c r="NZ1333" s="2">
        <v>1</v>
      </c>
      <c r="OA1333" s="2">
        <v>1</v>
      </c>
      <c r="OB1333" s="2">
        <v>1</v>
      </c>
      <c r="OC1333" s="2">
        <v>1</v>
      </c>
      <c r="OD1333" s="2">
        <v>1</v>
      </c>
      <c r="OE1333" s="2">
        <v>1</v>
      </c>
      <c r="OF1333" s="2">
        <v>1</v>
      </c>
      <c r="OG1333" s="2">
        <v>1</v>
      </c>
      <c r="OH1333" s="2">
        <v>1</v>
      </c>
      <c r="OM1333" s="2">
        <v>1</v>
      </c>
      <c r="ON1333" s="2">
        <v>1</v>
      </c>
      <c r="OO1333" s="2">
        <v>1</v>
      </c>
      <c r="OP1333" s="2">
        <v>1</v>
      </c>
      <c r="OQ1333" s="2">
        <v>1</v>
      </c>
      <c r="OR1333" s="2">
        <v>1</v>
      </c>
      <c r="OS1333" s="2">
        <v>1</v>
      </c>
      <c r="OT1333" s="2">
        <v>1</v>
      </c>
      <c r="OU1333" s="2">
        <v>1</v>
      </c>
      <c r="OV1333" s="2">
        <v>1</v>
      </c>
      <c r="OW1333" s="2">
        <v>1</v>
      </c>
      <c r="OX1333" s="2">
        <v>1</v>
      </c>
      <c r="PC1333" s="2">
        <v>1</v>
      </c>
      <c r="PD1333" s="2">
        <v>1</v>
      </c>
      <c r="PE1333" s="2">
        <v>1</v>
      </c>
      <c r="PF1333" s="2">
        <v>1</v>
      </c>
      <c r="PG1333" s="2">
        <v>1</v>
      </c>
      <c r="PH1333" s="2">
        <v>1</v>
      </c>
      <c r="PI1333" s="2">
        <v>1</v>
      </c>
    </row>
    <row r="1334">
      <c r="A1334" t="inlineStr">
        <is>
          <t>A130576717T</t>
        </is>
      </c>
      <c r="B1334" t="inlineStr">
        <is>
          <t>Combined Seasonal Adjustment Factors ;  Australia ;  Books ;</t>
        </is>
      </c>
      <c r="C1334" t="inlineStr">
        <is>
          <t>Month</t>
        </is>
      </c>
      <c r="D1334" t="inlineStr">
        <is>
          <t>Number</t>
        </is>
      </c>
      <c r="E1334" t="inlineStr">
        <is>
          <t>Original</t>
        </is>
      </c>
      <c r="F1334" t="inlineStr">
        <is>
          <t>640108.xlsx</t>
        </is>
      </c>
      <c r="G1334" t="inlineStr">
        <is>
          <t>2024-04</t>
        </is>
      </c>
      <c r="H1334" t="inlineStr">
        <is>
          <t>2026-07</t>
        </is>
      </c>
      <c r="NZ1334" s="2">
        <v>1</v>
      </c>
      <c r="OA1334" s="2">
        <v>1</v>
      </c>
      <c r="OB1334" s="2">
        <v>1</v>
      </c>
      <c r="OC1334" s="2">
        <v>1</v>
      </c>
      <c r="OD1334" s="2">
        <v>1</v>
      </c>
      <c r="OE1334" s="2">
        <v>1</v>
      </c>
      <c r="OF1334" s="2">
        <v>1</v>
      </c>
      <c r="OG1334" s="2">
        <v>1</v>
      </c>
      <c r="OH1334" s="2">
        <v>1</v>
      </c>
      <c r="OM1334" s="2">
        <v>1</v>
      </c>
      <c r="ON1334" s="2">
        <v>1</v>
      </c>
      <c r="OO1334" s="2">
        <v>0.97516</v>
      </c>
      <c r="OP1334" s="2">
        <v>1</v>
      </c>
      <c r="OQ1334" s="2">
        <v>1</v>
      </c>
      <c r="OR1334" s="2">
        <v>0.98075</v>
      </c>
      <c r="OS1334" s="2">
        <v>1</v>
      </c>
      <c r="OT1334" s="2">
        <v>1</v>
      </c>
      <c r="OU1334" s="2">
        <v>1</v>
      </c>
      <c r="OV1334" s="2">
        <v>1</v>
      </c>
      <c r="OW1334" s="2">
        <v>1</v>
      </c>
      <c r="OX1334" s="2">
        <v>0.97726</v>
      </c>
      <c r="PC1334" s="2">
        <v>1</v>
      </c>
      <c r="PD1334" s="2">
        <v>1</v>
      </c>
      <c r="PE1334" s="2">
        <v>1</v>
      </c>
      <c r="PF1334" s="2">
        <v>1</v>
      </c>
      <c r="PG1334" s="2">
        <v>1</v>
      </c>
      <c r="PH1334" s="2">
        <v>1</v>
      </c>
      <c r="PI1334" s="2">
        <v>1</v>
      </c>
    </row>
    <row r="1335">
      <c r="A1335" t="inlineStr">
        <is>
          <t>A130576733T</t>
        </is>
      </c>
      <c r="B1335" t="inlineStr">
        <is>
          <t>Combined Seasonal Adjustment Factors ;  Australia ;  Newspapers, magazines and stationery ;</t>
        </is>
      </c>
      <c r="C1335" t="inlineStr">
        <is>
          <t>Month</t>
        </is>
      </c>
      <c r="D1335" t="inlineStr">
        <is>
          <t>Number</t>
        </is>
      </c>
      <c r="E1335" t="inlineStr">
        <is>
          <t>Original</t>
        </is>
      </c>
      <c r="F1335" t="inlineStr">
        <is>
          <t>640108.xlsx</t>
        </is>
      </c>
      <c r="G1335" t="inlineStr">
        <is>
          <t>2024-04</t>
        </is>
      </c>
      <c r="H1335" t="inlineStr">
        <is>
          <t>2026-07</t>
        </is>
      </c>
      <c r="NZ1335" s="2">
        <v>1</v>
      </c>
      <c r="OA1335" s="2">
        <v>1</v>
      </c>
      <c r="OB1335" s="2">
        <v>1</v>
      </c>
      <c r="OC1335" s="2">
        <v>1</v>
      </c>
      <c r="OD1335" s="2">
        <v>1</v>
      </c>
      <c r="OE1335" s="2">
        <v>1</v>
      </c>
      <c r="OF1335" s="2">
        <v>1</v>
      </c>
      <c r="OG1335" s="2">
        <v>1</v>
      </c>
      <c r="OH1335" s="2">
        <v>1</v>
      </c>
      <c r="OM1335" s="2">
        <v>1</v>
      </c>
      <c r="ON1335" s="2">
        <v>1</v>
      </c>
      <c r="OO1335" s="2">
        <v>1</v>
      </c>
      <c r="OP1335" s="2">
        <v>1</v>
      </c>
      <c r="OQ1335" s="2">
        <v>1</v>
      </c>
      <c r="OR1335" s="2">
        <v>1</v>
      </c>
      <c r="OS1335" s="2">
        <v>1</v>
      </c>
      <c r="OT1335" s="2">
        <v>1</v>
      </c>
      <c r="OU1335" s="2">
        <v>1</v>
      </c>
      <c r="OV1335" s="2">
        <v>1</v>
      </c>
      <c r="OW1335" s="2">
        <v>1</v>
      </c>
      <c r="OX1335" s="2">
        <v>1</v>
      </c>
      <c r="PC1335" s="2">
        <v>0.97702</v>
      </c>
      <c r="PD1335" s="2">
        <v>1</v>
      </c>
      <c r="PE1335" s="2">
        <v>1</v>
      </c>
      <c r="PF1335" s="2">
        <v>1</v>
      </c>
      <c r="PG1335" s="2">
        <v>1</v>
      </c>
      <c r="PH1335" s="2">
        <v>1</v>
      </c>
      <c r="PI1335" s="2">
        <v>1</v>
      </c>
    </row>
    <row r="1336">
      <c r="A1336" t="inlineStr">
        <is>
          <t>A130576774L</t>
        </is>
      </c>
      <c r="B1336" t="inlineStr">
        <is>
          <t>Combined Seasonal Adjustment Factors ;  Australia ;  Domestic holiday travel and accommodation ;</t>
        </is>
      </c>
      <c r="C1336" t="inlineStr">
        <is>
          <t>Month</t>
        </is>
      </c>
      <c r="D1336" t="inlineStr">
        <is>
          <t>Number</t>
        </is>
      </c>
      <c r="E1336" t="inlineStr">
        <is>
          <t>Original</t>
        </is>
      </c>
      <c r="F1336" t="inlineStr">
        <is>
          <t>640108.xlsx</t>
        </is>
      </c>
      <c r="G1336" t="inlineStr">
        <is>
          <t>2017-09</t>
        </is>
      </c>
      <c r="H1336" t="inlineStr">
        <is>
          <t>2026-07</t>
        </is>
      </c>
      <c r="JW1336" s="2">
        <v>0.99139</v>
      </c>
      <c r="JX1336" s="2">
        <v>1.01667</v>
      </c>
      <c r="JY1336" s="2">
        <v>0.98876</v>
      </c>
      <c r="JZ1336" s="2">
        <v>1.07353</v>
      </c>
      <c r="KE1336" s="2">
        <v>1.09344</v>
      </c>
      <c r="KF1336" s="2">
        <v>0.97359</v>
      </c>
      <c r="KG1336" s="2">
        <v>0.97629</v>
      </c>
      <c r="KH1336" s="2">
        <v>1.02111</v>
      </c>
      <c r="KI1336" s="2">
        <v>0.95277</v>
      </c>
      <c r="KJ1336" s="2">
        <v>0.9643699999999999</v>
      </c>
      <c r="KK1336" s="2">
        <v>0.99035</v>
      </c>
      <c r="KL1336" s="2">
        <v>0.95933</v>
      </c>
      <c r="KM1336" s="2">
        <v>0.9927</v>
      </c>
      <c r="KN1336" s="2">
        <v>1.01383</v>
      </c>
      <c r="KO1336" s="2">
        <v>0.98581</v>
      </c>
      <c r="KP1336" s="2">
        <v>1.07906</v>
      </c>
      <c r="KU1336" s="2">
        <v>1.09131</v>
      </c>
      <c r="KV1336" s="2">
        <v>0.97228</v>
      </c>
      <c r="KW1336" s="2">
        <v>0.97215</v>
      </c>
      <c r="KX1336" s="2">
        <v>1.02472</v>
      </c>
      <c r="KY1336" s="2">
        <v>0.95236</v>
      </c>
      <c r="KZ1336" s="2">
        <v>0.96887</v>
      </c>
      <c r="LA1336" s="2">
        <v>0.99072</v>
      </c>
      <c r="LB1336" s="2">
        <v>0.95641</v>
      </c>
      <c r="LC1336" s="2">
        <v>0.99531</v>
      </c>
      <c r="LD1336" s="2">
        <v>1.00987</v>
      </c>
      <c r="LE1336" s="2">
        <v>0.98458</v>
      </c>
      <c r="LF1336" s="2">
        <v>1.08171</v>
      </c>
      <c r="LK1336" s="2">
        <v>1.08933</v>
      </c>
      <c r="LL1336" s="2">
        <v>0.97266</v>
      </c>
      <c r="LM1336" s="2">
        <v>0.97038</v>
      </c>
      <c r="LN1336" s="2">
        <v>1.03016</v>
      </c>
      <c r="LO1336" s="2">
        <v>0.95081</v>
      </c>
      <c r="LP1336" s="2">
        <v>0.97172</v>
      </c>
      <c r="LQ1336" s="2">
        <v>0.98968</v>
      </c>
      <c r="LR1336" s="2">
        <v>0.95309</v>
      </c>
      <c r="LS1336" s="2">
        <v>0.99642</v>
      </c>
      <c r="LT1336" s="2">
        <v>1.00721</v>
      </c>
      <c r="LU1336" s="2">
        <v>0.98398</v>
      </c>
      <c r="LV1336" s="2">
        <v>1.08191</v>
      </c>
      <c r="MA1336" s="2">
        <v>1.08974</v>
      </c>
      <c r="MB1336" s="2">
        <v>0.97363</v>
      </c>
      <c r="MC1336" s="2">
        <v>0.97216</v>
      </c>
      <c r="MD1336" s="2">
        <v>1.03475</v>
      </c>
      <c r="ME1336" s="2">
        <v>0.94801</v>
      </c>
      <c r="MF1336" s="2">
        <v>0.97373</v>
      </c>
      <c r="MG1336" s="2">
        <v>0.98742</v>
      </c>
      <c r="MH1336" s="2">
        <v>0.94875</v>
      </c>
      <c r="MI1336" s="2">
        <v>0.99717</v>
      </c>
      <c r="MJ1336" s="2">
        <v>1.00457</v>
      </c>
      <c r="MK1336" s="2">
        <v>0.98672</v>
      </c>
      <c r="ML1336" s="2">
        <v>1.08034</v>
      </c>
      <c r="MQ1336" s="2">
        <v>1.08825</v>
      </c>
      <c r="MR1336" s="2">
        <v>0.97649</v>
      </c>
      <c r="MS1336" s="2">
        <v>0.97775</v>
      </c>
      <c r="MT1336" s="2">
        <v>1.03887</v>
      </c>
      <c r="MU1336" s="2">
        <v>0.94403</v>
      </c>
      <c r="MV1336" s="2">
        <v>0.97185</v>
      </c>
      <c r="MW1336" s="2">
        <v>0.98542</v>
      </c>
      <c r="MX1336" s="2">
        <v>0.94679</v>
      </c>
      <c r="MY1336" s="2">
        <v>0.9946700000000001</v>
      </c>
      <c r="MZ1336" s="2">
        <v>1.00522</v>
      </c>
      <c r="NA1336" s="2">
        <v>0.9889</v>
      </c>
      <c r="NB1336" s="2">
        <v>1.07795</v>
      </c>
      <c r="NG1336" s="2">
        <v>1.08785</v>
      </c>
      <c r="NH1336" s="2">
        <v>0.98003</v>
      </c>
      <c r="NI1336" s="2">
        <v>0.9844000000000001</v>
      </c>
      <c r="NJ1336" s="2">
        <v>1.04225</v>
      </c>
      <c r="NK1336" s="2">
        <v>0.93929</v>
      </c>
      <c r="NL1336" s="2">
        <v>0.96609</v>
      </c>
      <c r="NM1336" s="2">
        <v>0.98608</v>
      </c>
      <c r="NN1336" s="2">
        <v>0.94535</v>
      </c>
      <c r="NO1336" s="2">
        <v>0.99158</v>
      </c>
      <c r="NP1336" s="2">
        <v>1.00638</v>
      </c>
      <c r="NQ1336" s="2">
        <v>0.99281</v>
      </c>
      <c r="NR1336" s="2">
        <v>1.07543</v>
      </c>
      <c r="NW1336" s="2">
        <v>1.08675</v>
      </c>
      <c r="NX1336" s="2">
        <v>0.9840100000000001</v>
      </c>
      <c r="NY1336" s="2">
        <v>0.98977</v>
      </c>
      <c r="NZ1336" s="2">
        <v>1.04453</v>
      </c>
      <c r="OA1336" s="2">
        <v>0.93581</v>
      </c>
      <c r="OB1336" s="2">
        <v>0.95856</v>
      </c>
      <c r="OC1336" s="2">
        <v>0.9873</v>
      </c>
      <c r="OD1336" s="2">
        <v>0.94576</v>
      </c>
      <c r="OE1336" s="2">
        <v>0.988</v>
      </c>
      <c r="OF1336" s="2">
        <v>1.00912</v>
      </c>
      <c r="OG1336" s="2">
        <v>0.99439</v>
      </c>
      <c r="OH1336" s="2">
        <v>1.07446</v>
      </c>
      <c r="OM1336" s="2">
        <v>1.08723</v>
      </c>
      <c r="ON1336" s="2">
        <v>0.98698</v>
      </c>
      <c r="OO1336" s="2">
        <v>0.99221</v>
      </c>
      <c r="OP1336" s="2">
        <v>1.04542</v>
      </c>
      <c r="OQ1336" s="2">
        <v>0.93306</v>
      </c>
      <c r="OR1336" s="2">
        <v>0.9533</v>
      </c>
      <c r="OS1336" s="2">
        <v>0.98814</v>
      </c>
      <c r="OT1336" s="2">
        <v>0.94637</v>
      </c>
      <c r="OU1336" s="2">
        <v>0.98614</v>
      </c>
      <c r="OV1336" s="2">
        <v>1.01078</v>
      </c>
      <c r="OW1336" s="2">
        <v>0.99605</v>
      </c>
      <c r="OX1336" s="2">
        <v>1.07444</v>
      </c>
      <c r="PC1336" s="2">
        <v>1.08724</v>
      </c>
      <c r="PD1336" s="2">
        <v>0.98882</v>
      </c>
      <c r="PE1336" s="2">
        <v>0.99319</v>
      </c>
      <c r="PF1336" s="2">
        <v>1.04432</v>
      </c>
      <c r="PG1336" s="2">
        <v>0.93216</v>
      </c>
      <c r="PH1336" s="2">
        <v>0.95021</v>
      </c>
      <c r="PI1336" s="2">
        <v>0.98824</v>
      </c>
    </row>
    <row r="1337">
      <c r="A1337" t="inlineStr">
        <is>
          <t>A130576749K</t>
        </is>
      </c>
      <c r="B1337" t="inlineStr">
        <is>
          <t>Combined Seasonal Adjustment Factors ;  Australia ;  International holiday travel and accommodation ;</t>
        </is>
      </c>
      <c r="C1337" t="inlineStr">
        <is>
          <t>Month</t>
        </is>
      </c>
      <c r="D1337" t="inlineStr">
        <is>
          <t>Number</t>
        </is>
      </c>
      <c r="E1337" t="inlineStr">
        <is>
          <t>Original</t>
        </is>
      </c>
      <c r="F1337" t="inlineStr">
        <is>
          <t>640108.xlsx</t>
        </is>
      </c>
      <c r="G1337" t="inlineStr">
        <is>
          <t>2017-09</t>
        </is>
      </c>
      <c r="H1337" t="inlineStr">
        <is>
          <t>2026-07</t>
        </is>
      </c>
      <c r="JW1337" s="2">
        <v>1.01723</v>
      </c>
      <c r="JX1337" s="2">
        <v>0.98294</v>
      </c>
      <c r="JY1337" s="2">
        <v>0.95036</v>
      </c>
      <c r="JZ1337" s="2">
        <v>1.08231</v>
      </c>
      <c r="KE1337" s="2">
        <v>1.04532</v>
      </c>
      <c r="KF1337" s="2">
        <v>0.9589</v>
      </c>
      <c r="KG1337" s="2">
        <v>0.93109</v>
      </c>
      <c r="KH1337" s="2">
        <v>1.0103</v>
      </c>
      <c r="KI1337" s="2">
        <v>0.96724</v>
      </c>
      <c r="KJ1337" s="2">
        <v>0.99712</v>
      </c>
      <c r="KK1337" s="2">
        <v>1.08868</v>
      </c>
      <c r="KL1337" s="2">
        <v>0.98766</v>
      </c>
      <c r="KM1337" s="2">
        <v>1.01311</v>
      </c>
      <c r="KN1337" s="2">
        <v>0.98203</v>
      </c>
      <c r="KO1337" s="2">
        <v>0.9418</v>
      </c>
      <c r="KP1337" s="2">
        <v>1.08009</v>
      </c>
      <c r="KU1337" s="2">
        <v>1.05246</v>
      </c>
      <c r="KV1337" s="2">
        <v>0.95824</v>
      </c>
      <c r="KW1337" s="2">
        <v>0.92357</v>
      </c>
      <c r="KX1337" s="2">
        <v>1.01512</v>
      </c>
      <c r="KY1337" s="2">
        <v>0.97475</v>
      </c>
      <c r="KZ1337" s="2">
        <v>0.99634</v>
      </c>
      <c r="LA1337" s="2">
        <v>1.09107</v>
      </c>
      <c r="LB1337" s="2">
        <v>0.99194</v>
      </c>
      <c r="LC1337" s="2">
        <v>1.01329</v>
      </c>
      <c r="LD1337" s="2">
        <v>0.97581</v>
      </c>
      <c r="LE1337" s="2">
        <v>0.93077</v>
      </c>
      <c r="LF1337" s="2">
        <v>1.08134</v>
      </c>
      <c r="LK1337" s="2">
        <v>1.06019</v>
      </c>
      <c r="LL1337" s="2">
        <v>0.9595</v>
      </c>
      <c r="LM1337" s="2">
        <v>0.91666</v>
      </c>
      <c r="LN1337" s="2">
        <v>1.01968</v>
      </c>
      <c r="LO1337" s="2">
        <v>0.98159</v>
      </c>
      <c r="LP1337" s="2">
        <v>0.99535</v>
      </c>
      <c r="LQ1337" s="2">
        <v>1.08913</v>
      </c>
      <c r="LR1337" s="2">
        <v>0.9989400000000001</v>
      </c>
      <c r="LS1337" s="2">
        <v>1.01361</v>
      </c>
      <c r="LT1337" s="2">
        <v>0.96546</v>
      </c>
      <c r="LU1337" s="2">
        <v>0.92054</v>
      </c>
      <c r="LV1337" s="2">
        <v>1.16385</v>
      </c>
      <c r="MA1337" s="2">
        <v>0.94149</v>
      </c>
      <c r="MB1337" s="2">
        <v>0.88693</v>
      </c>
      <c r="MC1337" s="2">
        <v>0.9099</v>
      </c>
      <c r="MD1337" s="2">
        <v>0.97858</v>
      </c>
      <c r="ME1337" s="2">
        <v>0.99985</v>
      </c>
      <c r="MF1337" s="2">
        <v>1.07228</v>
      </c>
      <c r="MG1337" s="2">
        <v>1.04196</v>
      </c>
      <c r="MH1337" s="2">
        <v>0.98794</v>
      </c>
      <c r="MI1337" s="2">
        <v>1.0689</v>
      </c>
      <c r="MJ1337" s="2">
        <v>0.9676900000000001</v>
      </c>
      <c r="MK1337" s="2">
        <v>0.96691</v>
      </c>
      <c r="ML1337" s="2">
        <v>1.16709</v>
      </c>
      <c r="MQ1337" s="2">
        <v>0.94834</v>
      </c>
      <c r="MR1337" s="2">
        <v>0.89434</v>
      </c>
      <c r="MS1337" s="2">
        <v>0.9091900000000001</v>
      </c>
      <c r="MT1337" s="2">
        <v>0.98202</v>
      </c>
      <c r="MU1337" s="2">
        <v>1.0008</v>
      </c>
      <c r="MV1337" s="2">
        <v>1.06874</v>
      </c>
      <c r="MW1337" s="2">
        <v>1.03553</v>
      </c>
      <c r="MX1337" s="2">
        <v>0.99586</v>
      </c>
      <c r="MY1337" s="2">
        <v>1.06629</v>
      </c>
      <c r="MZ1337" s="2">
        <v>0.9576</v>
      </c>
      <c r="NA1337" s="2">
        <v>0.96004</v>
      </c>
      <c r="NB1337" s="2">
        <v>1.17061</v>
      </c>
      <c r="NG1337" s="2">
        <v>0.95607</v>
      </c>
      <c r="NH1337" s="2">
        <v>0.90406</v>
      </c>
      <c r="NI1337" s="2">
        <v>0.91116</v>
      </c>
      <c r="NJ1337" s="2">
        <v>0.9839599999999999</v>
      </c>
      <c r="NK1337" s="2">
        <v>0.99666</v>
      </c>
      <c r="NL1337" s="2">
        <v>1.0633</v>
      </c>
      <c r="NM1337" s="2">
        <v>1.03027</v>
      </c>
      <c r="NN1337" s="2">
        <v>1.00209</v>
      </c>
      <c r="NO1337" s="2">
        <v>1.06333</v>
      </c>
      <c r="NP1337" s="2">
        <v>0.95253</v>
      </c>
      <c r="NQ1337" s="2">
        <v>0.95496</v>
      </c>
      <c r="NR1337" s="2">
        <v>1.17046</v>
      </c>
      <c r="NW1337" s="2">
        <v>0.9629</v>
      </c>
      <c r="NX1337" s="2">
        <v>0.91414</v>
      </c>
      <c r="NY1337" s="2">
        <v>0.9160199999999999</v>
      </c>
      <c r="NZ1337" s="2">
        <v>0.9871</v>
      </c>
      <c r="OA1337" s="2">
        <v>0.9888</v>
      </c>
      <c r="OB1337" s="2">
        <v>1.0581</v>
      </c>
      <c r="OC1337" s="2">
        <v>1.02733</v>
      </c>
      <c r="OD1337" s="2">
        <v>1.00452</v>
      </c>
      <c r="OE1337" s="2">
        <v>1.0576</v>
      </c>
      <c r="OF1337" s="2">
        <v>0.952</v>
      </c>
      <c r="OG1337" s="2">
        <v>0.95275</v>
      </c>
      <c r="OH1337" s="2">
        <v>1.16962</v>
      </c>
      <c r="OM1337" s="2">
        <v>0.96966</v>
      </c>
      <c r="ON1337" s="2">
        <v>0.92222</v>
      </c>
      <c r="OO1337" s="2">
        <v>0.92064</v>
      </c>
      <c r="OP1337" s="2">
        <v>0.98771</v>
      </c>
      <c r="OQ1337" s="2">
        <v>0.98175</v>
      </c>
      <c r="OR1337" s="2">
        <v>1.05449</v>
      </c>
      <c r="OS1337" s="2">
        <v>1.02491</v>
      </c>
      <c r="OT1337" s="2">
        <v>1.00559</v>
      </c>
      <c r="OU1337" s="2">
        <v>1.05396</v>
      </c>
      <c r="OV1337" s="2">
        <v>0.95336</v>
      </c>
      <c r="OW1337" s="2">
        <v>0.95061</v>
      </c>
      <c r="OX1337" s="2">
        <v>1.1688</v>
      </c>
      <c r="PC1337" s="2">
        <v>0.97374</v>
      </c>
      <c r="PD1337" s="2">
        <v>0.92711</v>
      </c>
      <c r="PE1337" s="2">
        <v>0.92477</v>
      </c>
      <c r="PF1337" s="2">
        <v>0.9886</v>
      </c>
      <c r="PG1337" s="2">
        <v>0.97719</v>
      </c>
      <c r="PH1337" s="2">
        <v>1.0524</v>
      </c>
      <c r="PI1337" s="2">
        <v>1.02375</v>
      </c>
    </row>
    <row r="1338">
      <c r="A1338" t="inlineStr">
        <is>
          <t>A130576785V</t>
        </is>
      </c>
      <c r="B1338" t="inlineStr">
        <is>
          <t>Combined Seasonal Adjustment Factors ;  Australia ;  Equipment for sports, camping and open-air recreation ;</t>
        </is>
      </c>
      <c r="C1338" t="inlineStr">
        <is>
          <t>Month</t>
        </is>
      </c>
      <c r="D1338" t="inlineStr">
        <is>
          <t>Number</t>
        </is>
      </c>
      <c r="E1338" t="inlineStr">
        <is>
          <t>Original</t>
        </is>
      </c>
      <c r="F1338" t="inlineStr">
        <is>
          <t>640108.xlsx</t>
        </is>
      </c>
      <c r="G1338" t="inlineStr">
        <is>
          <t>2024-04</t>
        </is>
      </c>
      <c r="H1338" t="inlineStr">
        <is>
          <t>2026-07</t>
        </is>
      </c>
      <c r="NZ1338" s="2">
        <v>1</v>
      </c>
      <c r="OA1338" s="2">
        <v>1</v>
      </c>
      <c r="OB1338" s="2">
        <v>0.98417</v>
      </c>
      <c r="OC1338" s="2">
        <v>0.98439</v>
      </c>
      <c r="OD1338" s="2">
        <v>1</v>
      </c>
      <c r="OE1338" s="2">
        <v>1</v>
      </c>
      <c r="OF1338" s="2">
        <v>1</v>
      </c>
      <c r="OG1338" s="2">
        <v>1</v>
      </c>
      <c r="OH1338" s="2">
        <v>1</v>
      </c>
      <c r="OM1338" s="2">
        <v>1</v>
      </c>
      <c r="ON1338" s="2">
        <v>1</v>
      </c>
      <c r="OO1338" s="2">
        <v>1</v>
      </c>
      <c r="OP1338" s="2">
        <v>1</v>
      </c>
      <c r="OQ1338" s="2">
        <v>1</v>
      </c>
      <c r="OR1338" s="2">
        <v>1</v>
      </c>
      <c r="OS1338" s="2">
        <v>1</v>
      </c>
      <c r="OT1338" s="2">
        <v>1</v>
      </c>
      <c r="OU1338" s="2">
        <v>1</v>
      </c>
      <c r="OV1338" s="2">
        <v>1</v>
      </c>
      <c r="OW1338" s="2">
        <v>1</v>
      </c>
      <c r="OX1338" s="2">
        <v>1</v>
      </c>
      <c r="PC1338" s="2">
        <v>1</v>
      </c>
      <c r="PD1338" s="2">
        <v>1</v>
      </c>
      <c r="PE1338" s="2">
        <v>1</v>
      </c>
      <c r="PF1338" s="2">
        <v>1</v>
      </c>
      <c r="PG1338" s="2">
        <v>1</v>
      </c>
      <c r="PH1338" s="2">
        <v>1</v>
      </c>
      <c r="PI1338" s="2">
        <v>1</v>
      </c>
    </row>
    <row r="1339">
      <c r="A1339" t="inlineStr">
        <is>
          <t>A130576729A</t>
        </is>
      </c>
      <c r="B1339" t="inlineStr">
        <is>
          <t>Combined Seasonal Adjustment Factors ;  Australia ;  Games, toys and hobbies ;</t>
        </is>
      </c>
      <c r="C1339" t="inlineStr">
        <is>
          <t>Month</t>
        </is>
      </c>
      <c r="D1339" t="inlineStr">
        <is>
          <t>Number</t>
        </is>
      </c>
      <c r="E1339" t="inlineStr">
        <is>
          <t>Original</t>
        </is>
      </c>
      <c r="F1339" t="inlineStr">
        <is>
          <t>640108.xlsx</t>
        </is>
      </c>
      <c r="G1339" t="inlineStr">
        <is>
          <t>2024-04</t>
        </is>
      </c>
      <c r="H1339" t="inlineStr">
        <is>
          <t>2026-07</t>
        </is>
      </c>
      <c r="NZ1339" s="2">
        <v>1</v>
      </c>
      <c r="OA1339" s="2">
        <v>1</v>
      </c>
      <c r="OB1339" s="2">
        <v>1</v>
      </c>
      <c r="OC1339" s="2">
        <v>0.9744</v>
      </c>
      <c r="OD1339" s="2">
        <v>1</v>
      </c>
      <c r="OE1339" s="2">
        <v>1</v>
      </c>
      <c r="OF1339" s="2">
        <v>1</v>
      </c>
      <c r="OG1339" s="2">
        <v>1</v>
      </c>
      <c r="OH1339" s="2">
        <v>0.93279</v>
      </c>
      <c r="OM1339" s="2">
        <v>1</v>
      </c>
      <c r="ON1339" s="2">
        <v>1</v>
      </c>
      <c r="OO1339" s="2">
        <v>1</v>
      </c>
      <c r="OP1339" s="2">
        <v>1</v>
      </c>
      <c r="OQ1339" s="2">
        <v>1</v>
      </c>
      <c r="OR1339" s="2">
        <v>1</v>
      </c>
      <c r="OS1339" s="2">
        <v>0.97927</v>
      </c>
      <c r="OT1339" s="2">
        <v>1</v>
      </c>
      <c r="OU1339" s="2">
        <v>1</v>
      </c>
      <c r="OV1339" s="2">
        <v>1</v>
      </c>
      <c r="OW1339" s="2">
        <v>1</v>
      </c>
      <c r="OX1339" s="2">
        <v>1</v>
      </c>
      <c r="PC1339" s="2">
        <v>1</v>
      </c>
      <c r="PD1339" s="2">
        <v>1</v>
      </c>
      <c r="PE1339" s="2">
        <v>1</v>
      </c>
      <c r="PF1339" s="2">
        <v>1</v>
      </c>
      <c r="PG1339" s="2">
        <v>1</v>
      </c>
      <c r="PH1339" s="2">
        <v>1</v>
      </c>
      <c r="PI1339" s="2">
        <v>0.9778</v>
      </c>
    </row>
    <row r="1340">
      <c r="A1340" t="inlineStr">
        <is>
          <t>A130576720F</t>
        </is>
      </c>
      <c r="B1340" t="inlineStr">
        <is>
          <t>Combined Seasonal Adjustment Factors ;  Australia ;  Pets and related products ;</t>
        </is>
      </c>
      <c r="C1340" t="inlineStr">
        <is>
          <t>Month</t>
        </is>
      </c>
      <c r="D1340" t="inlineStr">
        <is>
          <t>Number</t>
        </is>
      </c>
      <c r="E1340" t="inlineStr">
        <is>
          <t>Original</t>
        </is>
      </c>
      <c r="F1340" t="inlineStr">
        <is>
          <t>640108.xlsx</t>
        </is>
      </c>
      <c r="G1340" t="inlineStr">
        <is>
          <t>2017-09</t>
        </is>
      </c>
      <c r="H1340" t="inlineStr">
        <is>
          <t>2026-07</t>
        </is>
      </c>
      <c r="JW1340" s="2">
        <v>0.996</v>
      </c>
      <c r="JX1340" s="2">
        <v>0.98568</v>
      </c>
      <c r="JY1340" s="2">
        <v>0.99525</v>
      </c>
      <c r="JZ1340" s="2">
        <v>0.99886</v>
      </c>
      <c r="KE1340" s="2">
        <v>1.0097</v>
      </c>
      <c r="KF1340" s="2">
        <v>0.99859</v>
      </c>
      <c r="KG1340" s="2">
        <v>1.00359</v>
      </c>
      <c r="KH1340" s="2">
        <v>1.00971</v>
      </c>
      <c r="KI1340" s="2">
        <v>1.00613</v>
      </c>
      <c r="KJ1340" s="2">
        <v>0.99718</v>
      </c>
      <c r="KK1340" s="2">
        <v>1.00212</v>
      </c>
      <c r="KL1340" s="2">
        <v>0.99681</v>
      </c>
      <c r="KM1340" s="2">
        <v>0.9960599999999999</v>
      </c>
      <c r="KN1340" s="2">
        <v>0.9855</v>
      </c>
      <c r="KO1340" s="2">
        <v>0.99514</v>
      </c>
      <c r="KP1340" s="2">
        <v>0.9992799999999999</v>
      </c>
      <c r="KU1340" s="2">
        <v>1.01009</v>
      </c>
      <c r="KV1340" s="2">
        <v>0.99909</v>
      </c>
      <c r="KW1340" s="2">
        <v>1.00373</v>
      </c>
      <c r="KX1340" s="2">
        <v>1.00956</v>
      </c>
      <c r="KY1340" s="2">
        <v>1.00503</v>
      </c>
      <c r="KZ1340" s="2">
        <v>0.99782</v>
      </c>
      <c r="LA1340" s="2">
        <v>1.00183</v>
      </c>
      <c r="LB1340" s="2">
        <v>0.99621</v>
      </c>
      <c r="LC1340" s="2">
        <v>0.99577</v>
      </c>
      <c r="LD1340" s="2">
        <v>0.98558</v>
      </c>
      <c r="LE1340" s="2">
        <v>0.99493</v>
      </c>
      <c r="LF1340" s="2">
        <v>1.00058</v>
      </c>
      <c r="LK1340" s="2">
        <v>1.01063</v>
      </c>
      <c r="LL1340" s="2">
        <v>0.9997</v>
      </c>
      <c r="LM1340" s="2">
        <v>1.00435</v>
      </c>
      <c r="LN1340" s="2">
        <v>1.00864</v>
      </c>
      <c r="LO1340" s="2">
        <v>1.00235</v>
      </c>
      <c r="LP1340" s="2">
        <v>0.99925</v>
      </c>
      <c r="LQ1340" s="2">
        <v>1.0022</v>
      </c>
      <c r="LR1340" s="2">
        <v>0.9954499999999999</v>
      </c>
      <c r="LS1340" s="2">
        <v>0.99507</v>
      </c>
      <c r="LT1340" s="2">
        <v>0.98569</v>
      </c>
      <c r="LU1340" s="2">
        <v>0.9944499999999999</v>
      </c>
      <c r="LV1340" s="2">
        <v>1.00229</v>
      </c>
      <c r="MA1340" s="2">
        <v>1.01181</v>
      </c>
      <c r="MB1340" s="2">
        <v>1.00061</v>
      </c>
      <c r="MC1340" s="2">
        <v>1.00536</v>
      </c>
      <c r="MD1340" s="2">
        <v>1.00675</v>
      </c>
      <c r="ME1340" s="2">
        <v>0.99836</v>
      </c>
      <c r="MF1340" s="2">
        <v>1.00119</v>
      </c>
      <c r="MG1340" s="2">
        <v>1.00252</v>
      </c>
      <c r="MH1340" s="2">
        <v>0.9950599999999999</v>
      </c>
      <c r="MI1340" s="2">
        <v>0.9948900000000001</v>
      </c>
      <c r="MJ1340" s="2">
        <v>0.98571</v>
      </c>
      <c r="MK1340" s="2">
        <v>0.99396</v>
      </c>
      <c r="ML1340" s="2">
        <v>1.00439</v>
      </c>
      <c r="MQ1340" s="2">
        <v>1.01316</v>
      </c>
      <c r="MR1340" s="2">
        <v>1.00138</v>
      </c>
      <c r="MS1340" s="2">
        <v>1.0056</v>
      </c>
      <c r="MT1340" s="2">
        <v>1.00432</v>
      </c>
      <c r="MU1340" s="2">
        <v>0.9945000000000001</v>
      </c>
      <c r="MV1340" s="2">
        <v>1.00297</v>
      </c>
      <c r="MW1340" s="2">
        <v>1.00341</v>
      </c>
      <c r="MX1340" s="2">
        <v>0.99543</v>
      </c>
      <c r="MY1340" s="2">
        <v>0.9947</v>
      </c>
      <c r="MZ1340" s="2">
        <v>0.98537</v>
      </c>
      <c r="NA1340" s="2">
        <v>0.99347</v>
      </c>
      <c r="NB1340" s="2">
        <v>1.00653</v>
      </c>
      <c r="NG1340" s="2">
        <v>1.01456</v>
      </c>
      <c r="NH1340" s="2">
        <v>1.00189</v>
      </c>
      <c r="NI1340" s="2">
        <v>1.00497</v>
      </c>
      <c r="NJ1340" s="2">
        <v>1.00205</v>
      </c>
      <c r="NK1340" s="2">
        <v>0.99192</v>
      </c>
      <c r="NL1340" s="2">
        <v>1.00422</v>
      </c>
      <c r="NM1340" s="2">
        <v>1.00361</v>
      </c>
      <c r="NN1340" s="2">
        <v>0.99617</v>
      </c>
      <c r="NO1340" s="2">
        <v>0.99483</v>
      </c>
      <c r="NP1340" s="2">
        <v>0.98526</v>
      </c>
      <c r="NQ1340" s="2">
        <v>0.99364</v>
      </c>
      <c r="NR1340" s="2">
        <v>1.0086</v>
      </c>
      <c r="NW1340" s="2">
        <v>1.01528</v>
      </c>
      <c r="NX1340" s="2">
        <v>1.00162</v>
      </c>
      <c r="NY1340" s="2">
        <v>1.00351</v>
      </c>
      <c r="NZ1340" s="2">
        <v>1.00025</v>
      </c>
      <c r="OA1340" s="2">
        <v>0.9909</v>
      </c>
      <c r="OB1340" s="2">
        <v>1.00479</v>
      </c>
      <c r="OC1340" s="2">
        <v>1.00425</v>
      </c>
      <c r="OD1340" s="2">
        <v>0.99722</v>
      </c>
      <c r="OE1340" s="2">
        <v>0.99458</v>
      </c>
      <c r="OF1340" s="2">
        <v>0.98516</v>
      </c>
      <c r="OG1340" s="2">
        <v>0.99387</v>
      </c>
      <c r="OH1340" s="2">
        <v>1.00991</v>
      </c>
      <c r="OM1340" s="2">
        <v>1.01592</v>
      </c>
      <c r="ON1340" s="2">
        <v>1.00102</v>
      </c>
      <c r="OO1340" s="2">
        <v>1.0023</v>
      </c>
      <c r="OP1340" s="2">
        <v>0.99885</v>
      </c>
      <c r="OQ1340" s="2">
        <v>0.99098</v>
      </c>
      <c r="OR1340" s="2">
        <v>1.00486</v>
      </c>
      <c r="OS1340" s="2">
        <v>1.00432</v>
      </c>
      <c r="OT1340" s="2">
        <v>0.99827</v>
      </c>
      <c r="OU1340" s="2">
        <v>0.9947</v>
      </c>
      <c r="OV1340" s="2">
        <v>0.98512</v>
      </c>
      <c r="OW1340" s="2">
        <v>0.9942</v>
      </c>
      <c r="OX1340" s="2">
        <v>1.01031</v>
      </c>
      <c r="PC1340" s="2">
        <v>1.01631</v>
      </c>
      <c r="PD1340" s="2">
        <v>1.00038</v>
      </c>
      <c r="PE1340" s="2">
        <v>1.00119</v>
      </c>
      <c r="PF1340" s="2">
        <v>0.99825</v>
      </c>
      <c r="PG1340" s="2">
        <v>0.99177</v>
      </c>
      <c r="PH1340" s="2">
        <v>1.00474</v>
      </c>
      <c r="PI1340" s="2">
        <v>1.00415</v>
      </c>
    </row>
    <row r="1341">
      <c r="A1341" t="inlineStr">
        <is>
          <t>A130576759R</t>
        </is>
      </c>
      <c r="B1341" t="inlineStr">
        <is>
          <t>Combined Seasonal Adjustment Factors ;  Australia ;  Veterinary and other services for pets ;</t>
        </is>
      </c>
      <c r="C1341" t="inlineStr">
        <is>
          <t>Month</t>
        </is>
      </c>
      <c r="D1341" t="inlineStr">
        <is>
          <t>Number</t>
        </is>
      </c>
      <c r="E1341" t="inlineStr">
        <is>
          <t>Original</t>
        </is>
      </c>
      <c r="F1341" t="inlineStr">
        <is>
          <t>640108.xlsx</t>
        </is>
      </c>
      <c r="G1341" t="inlineStr">
        <is>
          <t>2024-04</t>
        </is>
      </c>
      <c r="H1341" t="inlineStr">
        <is>
          <t>2026-07</t>
        </is>
      </c>
      <c r="NZ1341" s="2">
        <v>1</v>
      </c>
      <c r="OA1341" s="2">
        <v>1</v>
      </c>
      <c r="OB1341" s="2">
        <v>1</v>
      </c>
      <c r="OC1341" s="2">
        <v>1</v>
      </c>
      <c r="OD1341" s="2">
        <v>1</v>
      </c>
      <c r="OE1341" s="2">
        <v>1</v>
      </c>
      <c r="OF1341" s="2">
        <v>1</v>
      </c>
      <c r="OG1341" s="2">
        <v>1</v>
      </c>
      <c r="OH1341" s="2">
        <v>1</v>
      </c>
      <c r="OM1341" s="2">
        <v>1</v>
      </c>
      <c r="ON1341" s="2">
        <v>1</v>
      </c>
      <c r="OO1341" s="2">
        <v>1</v>
      </c>
      <c r="OP1341" s="2">
        <v>1</v>
      </c>
      <c r="OQ1341" s="2">
        <v>1</v>
      </c>
      <c r="OR1341" s="2">
        <v>1</v>
      </c>
      <c r="OS1341" s="2">
        <v>1</v>
      </c>
      <c r="OT1341" s="2">
        <v>1</v>
      </c>
      <c r="OU1341" s="2">
        <v>1</v>
      </c>
      <c r="OV1341" s="2">
        <v>1</v>
      </c>
      <c r="OW1341" s="2">
        <v>1</v>
      </c>
      <c r="OX1341" s="2">
        <v>1</v>
      </c>
      <c r="PC1341" s="2">
        <v>1</v>
      </c>
      <c r="PD1341" s="2">
        <v>1</v>
      </c>
      <c r="PE1341" s="2">
        <v>1</v>
      </c>
      <c r="PF1341" s="2">
        <v>1</v>
      </c>
      <c r="PG1341" s="2">
        <v>1</v>
      </c>
      <c r="PH1341" s="2">
        <v>1</v>
      </c>
      <c r="PI1341" s="2">
        <v>1</v>
      </c>
    </row>
    <row r="1342">
      <c r="A1342" t="inlineStr">
        <is>
          <t>A130576786W</t>
        </is>
      </c>
      <c r="B1342" t="inlineStr">
        <is>
          <t>Combined Seasonal Adjustment Factors ;  Australia ;  Sports participation ;</t>
        </is>
      </c>
      <c r="C1342" t="inlineStr">
        <is>
          <t>Month</t>
        </is>
      </c>
      <c r="D1342" t="inlineStr">
        <is>
          <t>Number</t>
        </is>
      </c>
      <c r="E1342" t="inlineStr">
        <is>
          <t>Original</t>
        </is>
      </c>
      <c r="F1342" t="inlineStr">
        <is>
          <t>640108.xlsx</t>
        </is>
      </c>
      <c r="G1342" t="inlineStr">
        <is>
          <t>2024-04</t>
        </is>
      </c>
      <c r="H1342" t="inlineStr">
        <is>
          <t>2026-07</t>
        </is>
      </c>
      <c r="NZ1342" s="2">
        <v>1</v>
      </c>
      <c r="OA1342" s="2">
        <v>1</v>
      </c>
      <c r="OB1342" s="2">
        <v>0.99137</v>
      </c>
      <c r="OC1342" s="2">
        <v>1.0049</v>
      </c>
      <c r="OD1342" s="2">
        <v>1</v>
      </c>
      <c r="OE1342" s="2">
        <v>1</v>
      </c>
      <c r="OF1342" s="2">
        <v>1</v>
      </c>
      <c r="OG1342" s="2">
        <v>1</v>
      </c>
      <c r="OH1342" s="2">
        <v>1</v>
      </c>
      <c r="OM1342" s="2">
        <v>1</v>
      </c>
      <c r="ON1342" s="2">
        <v>1</v>
      </c>
      <c r="OO1342" s="2">
        <v>1</v>
      </c>
      <c r="OP1342" s="2">
        <v>1</v>
      </c>
      <c r="OQ1342" s="2">
        <v>1</v>
      </c>
      <c r="OR1342" s="2">
        <v>0.99529</v>
      </c>
      <c r="OS1342" s="2">
        <v>1</v>
      </c>
      <c r="OT1342" s="2">
        <v>1</v>
      </c>
      <c r="OU1342" s="2">
        <v>1</v>
      </c>
      <c r="OV1342" s="2">
        <v>1</v>
      </c>
      <c r="OW1342" s="2">
        <v>1</v>
      </c>
      <c r="OX1342" s="2">
        <v>1</v>
      </c>
      <c r="PC1342" s="2">
        <v>1</v>
      </c>
      <c r="PD1342" s="2">
        <v>1</v>
      </c>
      <c r="PE1342" s="2">
        <v>1</v>
      </c>
      <c r="PF1342" s="2">
        <v>1</v>
      </c>
      <c r="PG1342" s="2">
        <v>1</v>
      </c>
      <c r="PH1342" s="2">
        <v>0.99683</v>
      </c>
      <c r="PI1342" s="2">
        <v>1</v>
      </c>
    </row>
    <row r="1343">
      <c r="A1343" t="inlineStr">
        <is>
          <t>A130576765K</t>
        </is>
      </c>
      <c r="B1343" t="inlineStr">
        <is>
          <t>Combined Seasonal Adjustment Factors ;  Australia ;  Other recreational, sporting and cultural services ;</t>
        </is>
      </c>
      <c r="C1343" t="inlineStr">
        <is>
          <t>Month</t>
        </is>
      </c>
      <c r="D1343" t="inlineStr">
        <is>
          <t>Number</t>
        </is>
      </c>
      <c r="E1343" t="inlineStr">
        <is>
          <t>Original</t>
        </is>
      </c>
      <c r="F1343" t="inlineStr">
        <is>
          <t>640108.xlsx</t>
        </is>
      </c>
      <c r="G1343" t="inlineStr">
        <is>
          <t>2024-04</t>
        </is>
      </c>
      <c r="H1343" t="inlineStr">
        <is>
          <t>2026-07</t>
        </is>
      </c>
      <c r="NZ1343" s="2">
        <v>1</v>
      </c>
      <c r="OA1343" s="2">
        <v>1</v>
      </c>
      <c r="OB1343" s="2">
        <v>1</v>
      </c>
      <c r="OC1343" s="2">
        <v>1</v>
      </c>
      <c r="OD1343" s="2">
        <v>1</v>
      </c>
      <c r="OE1343" s="2">
        <v>1</v>
      </c>
      <c r="OF1343" s="2">
        <v>1</v>
      </c>
      <c r="OG1343" s="2">
        <v>1</v>
      </c>
      <c r="OH1343" s="2">
        <v>1</v>
      </c>
      <c r="OM1343" s="2">
        <v>1</v>
      </c>
      <c r="ON1343" s="2">
        <v>1</v>
      </c>
      <c r="OO1343" s="2">
        <v>1</v>
      </c>
      <c r="OP1343" s="2">
        <v>1</v>
      </c>
      <c r="OQ1343" s="2">
        <v>1</v>
      </c>
      <c r="OR1343" s="2">
        <v>1</v>
      </c>
      <c r="OS1343" s="2">
        <v>1</v>
      </c>
      <c r="OT1343" s="2">
        <v>1</v>
      </c>
      <c r="OU1343" s="2">
        <v>1</v>
      </c>
      <c r="OV1343" s="2">
        <v>1</v>
      </c>
      <c r="OW1343" s="2">
        <v>1</v>
      </c>
      <c r="OX1343" s="2">
        <v>1</v>
      </c>
      <c r="PC1343" s="2">
        <v>1</v>
      </c>
      <c r="PD1343" s="2">
        <v>1</v>
      </c>
      <c r="PE1343" s="2">
        <v>1</v>
      </c>
      <c r="PF1343" s="2">
        <v>1</v>
      </c>
      <c r="PG1343" s="2">
        <v>1</v>
      </c>
      <c r="PH1343" s="2">
        <v>1</v>
      </c>
      <c r="PI1343" s="2">
        <v>1</v>
      </c>
    </row>
    <row r="1344">
      <c r="A1344" t="inlineStr">
        <is>
          <t>A130576767R</t>
        </is>
      </c>
      <c r="B1344" t="inlineStr">
        <is>
          <t>Combined Seasonal Adjustment Factors ;  Australia ;  Preschool and primary education ;</t>
        </is>
      </c>
      <c r="C1344" t="inlineStr">
        <is>
          <t>Month</t>
        </is>
      </c>
      <c r="D1344" t="inlineStr">
        <is>
          <t>Number</t>
        </is>
      </c>
      <c r="E1344" t="inlineStr">
        <is>
          <t>Original</t>
        </is>
      </c>
      <c r="F1344" t="inlineStr">
        <is>
          <t>640108.xlsx</t>
        </is>
      </c>
      <c r="G1344" t="inlineStr">
        <is>
          <t>2024-04</t>
        </is>
      </c>
      <c r="H1344" t="inlineStr">
        <is>
          <t>2026-07</t>
        </is>
      </c>
      <c r="NZ1344" s="2">
        <v>1.01262</v>
      </c>
      <c r="OA1344" s="2">
        <v>1.00861</v>
      </c>
      <c r="OB1344" s="2">
        <v>1.00478</v>
      </c>
      <c r="OC1344" s="2">
        <v>1.00106</v>
      </c>
      <c r="OD1344" s="2">
        <v>0.99838</v>
      </c>
      <c r="OE1344" s="2">
        <v>0.99408</v>
      </c>
      <c r="OF1344" s="2">
        <v>0.99059</v>
      </c>
      <c r="OG1344" s="2">
        <v>0.98777</v>
      </c>
      <c r="OH1344" s="2">
        <v>0.98481</v>
      </c>
      <c r="OM1344" s="2">
        <v>0.98137</v>
      </c>
      <c r="ON1344" s="2">
        <v>1.01907</v>
      </c>
      <c r="OO1344" s="2">
        <v>1.01689</v>
      </c>
      <c r="OP1344" s="2">
        <v>1.01238</v>
      </c>
      <c r="OQ1344" s="2">
        <v>1.00834</v>
      </c>
      <c r="OR1344" s="2">
        <v>1.00478</v>
      </c>
      <c r="OS1344" s="2">
        <v>1.0011</v>
      </c>
      <c r="OT1344" s="2">
        <v>0.9986699999999999</v>
      </c>
      <c r="OU1344" s="2">
        <v>0.99424</v>
      </c>
      <c r="OV1344" s="2">
        <v>0.99083</v>
      </c>
      <c r="OW1344" s="2">
        <v>0.98789</v>
      </c>
      <c r="OX1344" s="2">
        <v>0.98492</v>
      </c>
      <c r="PC1344" s="2">
        <v>0.98125</v>
      </c>
      <c r="PD1344" s="2">
        <v>1.01889</v>
      </c>
      <c r="PE1344" s="2">
        <v>1.01669</v>
      </c>
      <c r="PF1344" s="2">
        <v>1.0122</v>
      </c>
      <c r="PG1344" s="2">
        <v>1.00813</v>
      </c>
      <c r="PH1344" s="2">
        <v>1.00484</v>
      </c>
      <c r="PI1344" s="2">
        <v>1.00117</v>
      </c>
    </row>
    <row r="1345">
      <c r="A1345" t="inlineStr">
        <is>
          <t>A130576788A</t>
        </is>
      </c>
      <c r="B1345" t="inlineStr">
        <is>
          <t>Combined Seasonal Adjustment Factors ;  Australia ;  Secondary education ;</t>
        </is>
      </c>
      <c r="C1345" t="inlineStr">
        <is>
          <t>Month</t>
        </is>
      </c>
      <c r="D1345" t="inlineStr">
        <is>
          <t>Number</t>
        </is>
      </c>
      <c r="E1345" t="inlineStr">
        <is>
          <t>Original</t>
        </is>
      </c>
      <c r="F1345" t="inlineStr">
        <is>
          <t>640108.xlsx</t>
        </is>
      </c>
      <c r="G1345" t="inlineStr">
        <is>
          <t>2017-09</t>
        </is>
      </c>
      <c r="H1345" t="inlineStr">
        <is>
          <t>2026-07</t>
        </is>
      </c>
      <c r="JW1345" s="2">
        <v>0.99542</v>
      </c>
      <c r="JX1345" s="2">
        <v>0.99239</v>
      </c>
      <c r="JY1345" s="2">
        <v>0.98943</v>
      </c>
      <c r="JZ1345" s="2">
        <v>0.98655</v>
      </c>
      <c r="KE1345" s="2">
        <v>0.98232</v>
      </c>
      <c r="KF1345" s="2">
        <v>1.01758</v>
      </c>
      <c r="KG1345" s="2">
        <v>1.01356</v>
      </c>
      <c r="KH1345" s="2">
        <v>1.01042</v>
      </c>
      <c r="KI1345" s="2">
        <v>1.00731</v>
      </c>
      <c r="KJ1345" s="2">
        <v>1.00437</v>
      </c>
      <c r="KK1345" s="2">
        <v>1.00156</v>
      </c>
      <c r="KL1345" s="2">
        <v>0.99847</v>
      </c>
      <c r="KM1345" s="2">
        <v>0.9954</v>
      </c>
      <c r="KN1345" s="2">
        <v>0.99238</v>
      </c>
      <c r="KO1345" s="2">
        <v>0.98944</v>
      </c>
      <c r="KP1345" s="2">
        <v>0.98641</v>
      </c>
      <c r="KU1345" s="2">
        <v>0.98236</v>
      </c>
      <c r="KV1345" s="2">
        <v>1.01754</v>
      </c>
      <c r="KW1345" s="2">
        <v>1.01344</v>
      </c>
      <c r="KX1345" s="2">
        <v>1.0104</v>
      </c>
      <c r="KY1345" s="2">
        <v>1.00728</v>
      </c>
      <c r="KZ1345" s="2">
        <v>1.00438</v>
      </c>
      <c r="LA1345" s="2">
        <v>1.00153</v>
      </c>
      <c r="LB1345" s="2">
        <v>0.99848</v>
      </c>
      <c r="LC1345" s="2">
        <v>0.99543</v>
      </c>
      <c r="LD1345" s="2">
        <v>0.99238</v>
      </c>
      <c r="LE1345" s="2">
        <v>0.98938</v>
      </c>
      <c r="LF1345" s="2">
        <v>0.98627</v>
      </c>
      <c r="LK1345" s="2">
        <v>0.98239</v>
      </c>
      <c r="LL1345" s="2">
        <v>1.01752</v>
      </c>
      <c r="LM1345" s="2">
        <v>1.01354</v>
      </c>
      <c r="LN1345" s="2">
        <v>1.01057</v>
      </c>
      <c r="LO1345" s="2">
        <v>1.0074</v>
      </c>
      <c r="LP1345" s="2">
        <v>1.00444</v>
      </c>
      <c r="LQ1345" s="2">
        <v>1.00146</v>
      </c>
      <c r="LR1345" s="2">
        <v>0.99843</v>
      </c>
      <c r="LS1345" s="2">
        <v>0.99535</v>
      </c>
      <c r="LT1345" s="2">
        <v>0.9922800000000001</v>
      </c>
      <c r="LU1345" s="2">
        <v>0.9892300000000001</v>
      </c>
      <c r="LV1345" s="2">
        <v>0.98607</v>
      </c>
      <c r="MA1345" s="2">
        <v>0.98241</v>
      </c>
      <c r="MB1345" s="2">
        <v>1.01753</v>
      </c>
      <c r="MC1345" s="2">
        <v>1.01369</v>
      </c>
      <c r="MD1345" s="2">
        <v>1.01084</v>
      </c>
      <c r="ME1345" s="2">
        <v>1.00761</v>
      </c>
      <c r="MF1345" s="2">
        <v>1.00456</v>
      </c>
      <c r="MG1345" s="2">
        <v>1.00144</v>
      </c>
      <c r="MH1345" s="2">
        <v>0.9984</v>
      </c>
      <c r="MI1345" s="2">
        <v>0.99525</v>
      </c>
      <c r="MJ1345" s="2">
        <v>0.9921</v>
      </c>
      <c r="MK1345" s="2">
        <v>0.98894</v>
      </c>
      <c r="ML1345" s="2">
        <v>0.9857399999999999</v>
      </c>
      <c r="MQ1345" s="2">
        <v>0.98231</v>
      </c>
      <c r="MR1345" s="2">
        <v>1.01763</v>
      </c>
      <c r="MS1345" s="2">
        <v>1.01401</v>
      </c>
      <c r="MT1345" s="2">
        <v>1.01116</v>
      </c>
      <c r="MU1345" s="2">
        <v>1.00787</v>
      </c>
      <c r="MV1345" s="2">
        <v>1.0047</v>
      </c>
      <c r="MW1345" s="2">
        <v>1.00145</v>
      </c>
      <c r="MX1345" s="2">
        <v>0.99834</v>
      </c>
      <c r="MY1345" s="2">
        <v>0.99509</v>
      </c>
      <c r="MZ1345" s="2">
        <v>0.99188</v>
      </c>
      <c r="NA1345" s="2">
        <v>0.98865</v>
      </c>
      <c r="NB1345" s="2">
        <v>0.98539</v>
      </c>
      <c r="NG1345" s="2">
        <v>0.98202</v>
      </c>
      <c r="NH1345" s="2">
        <v>1.01792</v>
      </c>
      <c r="NI1345" s="2">
        <v>1.01436</v>
      </c>
      <c r="NJ1345" s="2">
        <v>1.01142</v>
      </c>
      <c r="NK1345" s="2">
        <v>1.00812</v>
      </c>
      <c r="NL1345" s="2">
        <v>1.00486</v>
      </c>
      <c r="NM1345" s="2">
        <v>1.00153</v>
      </c>
      <c r="NN1345" s="2">
        <v>0.99832</v>
      </c>
      <c r="NO1345" s="2">
        <v>0.9925</v>
      </c>
      <c r="NP1345" s="2">
        <v>0.98753</v>
      </c>
      <c r="NQ1345" s="2">
        <v>0.9825199999999999</v>
      </c>
      <c r="NR1345" s="2">
        <v>0.97756</v>
      </c>
      <c r="NW1345" s="2">
        <v>0.9726</v>
      </c>
      <c r="NX1345" s="2">
        <v>1.0277</v>
      </c>
      <c r="NY1345" s="2">
        <v>1.02244</v>
      </c>
      <c r="NZ1345" s="2">
        <v>1.01764</v>
      </c>
      <c r="OA1345" s="2">
        <v>1.01258</v>
      </c>
      <c r="OB1345" s="2">
        <v>1.00758</v>
      </c>
      <c r="OC1345" s="2">
        <v>1.00242</v>
      </c>
      <c r="OD1345" s="2">
        <v>0.99741</v>
      </c>
      <c r="OE1345" s="2">
        <v>0.99237</v>
      </c>
      <c r="OF1345" s="2">
        <v>0.98734</v>
      </c>
      <c r="OG1345" s="2">
        <v>0.98226</v>
      </c>
      <c r="OH1345" s="2">
        <v>0.97722</v>
      </c>
      <c r="OM1345" s="2">
        <v>0.97217</v>
      </c>
      <c r="ON1345" s="2">
        <v>1.02806</v>
      </c>
      <c r="OO1345" s="2">
        <v>1.02277</v>
      </c>
      <c r="OP1345" s="2">
        <v>1.01781</v>
      </c>
      <c r="OQ1345" s="2">
        <v>1.01273</v>
      </c>
      <c r="OR1345" s="2">
        <v>1.00776</v>
      </c>
      <c r="OS1345" s="2">
        <v>1.00252</v>
      </c>
      <c r="OT1345" s="2">
        <v>0.99736</v>
      </c>
      <c r="OU1345" s="2">
        <v>0.9922800000000001</v>
      </c>
      <c r="OV1345" s="2">
        <v>0.9872</v>
      </c>
      <c r="OW1345" s="2">
        <v>0.98206</v>
      </c>
      <c r="OX1345" s="2">
        <v>0.97698</v>
      </c>
      <c r="PC1345" s="2">
        <v>0.97189</v>
      </c>
      <c r="PD1345" s="2">
        <v>1.02827</v>
      </c>
      <c r="PE1345" s="2">
        <v>1.02299</v>
      </c>
      <c r="PF1345" s="2">
        <v>1.0179</v>
      </c>
      <c r="PG1345" s="2">
        <v>1.01283</v>
      </c>
      <c r="PH1345" s="2">
        <v>1.00793</v>
      </c>
      <c r="PI1345" s="2">
        <v>1.00259</v>
      </c>
    </row>
    <row r="1346">
      <c r="A1346" t="inlineStr">
        <is>
          <t>A130576768T</t>
        </is>
      </c>
      <c r="B1346" t="inlineStr">
        <is>
          <t>Combined Seasonal Adjustment Factors ;  Australia ;  Tertiary education ;</t>
        </is>
      </c>
      <c r="C1346" t="inlineStr">
        <is>
          <t>Month</t>
        </is>
      </c>
      <c r="D1346" t="inlineStr">
        <is>
          <t>Number</t>
        </is>
      </c>
      <c r="E1346" t="inlineStr">
        <is>
          <t>Original</t>
        </is>
      </c>
      <c r="F1346" t="inlineStr">
        <is>
          <t>640108.xlsx</t>
        </is>
      </c>
      <c r="G1346" t="inlineStr">
        <is>
          <t>2017-09</t>
        </is>
      </c>
      <c r="H1346" t="inlineStr">
        <is>
          <t>2026-07</t>
        </is>
      </c>
      <c r="JW1346" s="2">
        <v>0.99873</v>
      </c>
      <c r="JX1346" s="2">
        <v>0.99651</v>
      </c>
      <c r="JY1346" s="2">
        <v>0.99455</v>
      </c>
      <c r="JZ1346" s="2">
        <v>0.99275</v>
      </c>
      <c r="KE1346" s="2">
        <v>0.99127</v>
      </c>
      <c r="KF1346" s="2">
        <v>1.0078</v>
      </c>
      <c r="KG1346" s="2">
        <v>1.00666</v>
      </c>
      <c r="KH1346" s="2">
        <v>1.00537</v>
      </c>
      <c r="KI1346" s="2">
        <v>1.0039</v>
      </c>
      <c r="KJ1346" s="2">
        <v>1.00222</v>
      </c>
      <c r="KK1346" s="2">
        <v>1.00086</v>
      </c>
      <c r="KL1346" s="2">
        <v>1.00081</v>
      </c>
      <c r="KM1346" s="2">
        <v>0.99829</v>
      </c>
      <c r="KN1346" s="2">
        <v>0.99574</v>
      </c>
      <c r="KO1346" s="2">
        <v>0.99339</v>
      </c>
      <c r="KP1346" s="2">
        <v>0.99117</v>
      </c>
      <c r="KU1346" s="2">
        <v>0.98995</v>
      </c>
      <c r="KV1346" s="2">
        <v>1.00908</v>
      </c>
      <c r="KW1346" s="2">
        <v>1.00831</v>
      </c>
      <c r="KX1346" s="2">
        <v>1.00676</v>
      </c>
      <c r="KY1346" s="2">
        <v>1.00502</v>
      </c>
      <c r="KZ1346" s="2">
        <v>1.00305</v>
      </c>
      <c r="LA1346" s="2">
        <v>1.00127</v>
      </c>
      <c r="LB1346" s="2">
        <v>1.00051</v>
      </c>
      <c r="LC1346" s="2">
        <v>0.99763</v>
      </c>
      <c r="LD1346" s="2">
        <v>0.99463</v>
      </c>
      <c r="LE1346" s="2">
        <v>0.99173</v>
      </c>
      <c r="LF1346" s="2">
        <v>0.98882</v>
      </c>
      <c r="LK1346" s="2">
        <v>0.98763</v>
      </c>
      <c r="LL1346" s="2">
        <v>1.01118</v>
      </c>
      <c r="LM1346" s="2">
        <v>1.01078</v>
      </c>
      <c r="LN1346" s="2">
        <v>1.00854</v>
      </c>
      <c r="LO1346" s="2">
        <v>1.00626</v>
      </c>
      <c r="LP1346" s="2">
        <v>1.0039</v>
      </c>
      <c r="LQ1346" s="2">
        <v>1.00167</v>
      </c>
      <c r="LR1346" s="2">
        <v>1.0001</v>
      </c>
      <c r="LS1346" s="2">
        <v>0.99687</v>
      </c>
      <c r="LT1346" s="2">
        <v>0.99343</v>
      </c>
      <c r="LU1346" s="2">
        <v>0.98991</v>
      </c>
      <c r="LV1346" s="2">
        <v>0.98613</v>
      </c>
      <c r="MA1346" s="2">
        <v>0.98525</v>
      </c>
      <c r="MB1346" s="2">
        <v>1.01339</v>
      </c>
      <c r="MC1346" s="2">
        <v>1.01368</v>
      </c>
      <c r="MD1346" s="2">
        <v>1.01045</v>
      </c>
      <c r="ME1346" s="2">
        <v>1.00743</v>
      </c>
      <c r="MF1346" s="2">
        <v>1.00454</v>
      </c>
      <c r="MG1346" s="2">
        <v>1.00179</v>
      </c>
      <c r="MH1346" s="2">
        <v>0.99963</v>
      </c>
      <c r="MI1346" s="2">
        <v>0.99614</v>
      </c>
      <c r="MJ1346" s="2">
        <v>0.9923999999999999</v>
      </c>
      <c r="MK1346" s="2">
        <v>0.98838</v>
      </c>
      <c r="ML1346" s="2">
        <v>0.98391</v>
      </c>
      <c r="MQ1346" s="2">
        <v>0.983</v>
      </c>
      <c r="MR1346" s="2">
        <v>1.0157</v>
      </c>
      <c r="MS1346" s="2">
        <v>1.01614</v>
      </c>
      <c r="MT1346" s="2">
        <v>1.01199</v>
      </c>
      <c r="MU1346" s="2">
        <v>1.00826</v>
      </c>
      <c r="MV1346" s="2">
        <v>1.00485</v>
      </c>
      <c r="MW1346" s="2">
        <v>1.00156</v>
      </c>
      <c r="MX1346" s="2">
        <v>0.99917</v>
      </c>
      <c r="MY1346" s="2">
        <v>0.99555</v>
      </c>
      <c r="MZ1346" s="2">
        <v>0.9917</v>
      </c>
      <c r="NA1346" s="2">
        <v>0.9875</v>
      </c>
      <c r="NB1346" s="2">
        <v>0.98285</v>
      </c>
      <c r="NG1346" s="2">
        <v>0.9821299999999999</v>
      </c>
      <c r="NH1346" s="2">
        <v>1.01683</v>
      </c>
      <c r="NI1346" s="2">
        <v>1.01746</v>
      </c>
      <c r="NJ1346" s="2">
        <v>1.01285</v>
      </c>
      <c r="NK1346" s="2">
        <v>1.00867</v>
      </c>
      <c r="NL1346" s="2">
        <v>1.00482</v>
      </c>
      <c r="NM1346" s="2">
        <v>1.00113</v>
      </c>
      <c r="NN1346" s="2">
        <v>0.99878</v>
      </c>
      <c r="NO1346" s="2">
        <v>0.99512</v>
      </c>
      <c r="NP1346" s="2">
        <v>0.99136</v>
      </c>
      <c r="NQ1346" s="2">
        <v>0.98742</v>
      </c>
      <c r="NR1346" s="2">
        <v>0.98328</v>
      </c>
      <c r="NW1346" s="2">
        <v>0.98268</v>
      </c>
      <c r="NX1346" s="2">
        <v>1.01672</v>
      </c>
      <c r="NY1346" s="2">
        <v>1.01721</v>
      </c>
      <c r="NZ1346" s="2">
        <v>1.01285</v>
      </c>
      <c r="OA1346" s="2">
        <v>1.0087</v>
      </c>
      <c r="OB1346" s="2">
        <v>1.00472</v>
      </c>
      <c r="OC1346" s="2">
        <v>1.00085</v>
      </c>
      <c r="OD1346" s="2">
        <v>0.9986</v>
      </c>
      <c r="OE1346" s="2">
        <v>0.9949</v>
      </c>
      <c r="OF1346" s="2">
        <v>0.9913</v>
      </c>
      <c r="OG1346" s="2">
        <v>0.98781</v>
      </c>
      <c r="OH1346" s="2">
        <v>0.98447</v>
      </c>
      <c r="OM1346" s="2">
        <v>0.9842</v>
      </c>
      <c r="ON1346" s="2">
        <v>1.01562</v>
      </c>
      <c r="OO1346" s="2">
        <v>1.01604</v>
      </c>
      <c r="OP1346" s="2">
        <v>1.01235</v>
      </c>
      <c r="OQ1346" s="2">
        <v>1.00853</v>
      </c>
      <c r="OR1346" s="2">
        <v>1.00468</v>
      </c>
      <c r="OS1346" s="2">
        <v>1.00088</v>
      </c>
      <c r="OT1346" s="2">
        <v>0.9984499999999999</v>
      </c>
      <c r="OU1346" s="2">
        <v>0.99478</v>
      </c>
      <c r="OV1346" s="2">
        <v>0.99138</v>
      </c>
      <c r="OW1346" s="2">
        <v>0.98839</v>
      </c>
      <c r="OX1346" s="2">
        <v>0.98587</v>
      </c>
      <c r="PC1346" s="2">
        <v>0.9856</v>
      </c>
      <c r="PD1346" s="2">
        <v>1.01461</v>
      </c>
      <c r="PE1346" s="2">
        <v>1.01457</v>
      </c>
      <c r="PF1346" s="2">
        <v>1.01166</v>
      </c>
      <c r="PG1346" s="2">
        <v>1.00831</v>
      </c>
      <c r="PH1346" s="2">
        <v>1.00474</v>
      </c>
      <c r="PI1346" s="2">
        <v>1.00114</v>
      </c>
    </row>
    <row r="1347">
      <c r="A1347" t="inlineStr">
        <is>
          <t>A130576731L</t>
        </is>
      </c>
      <c r="B1347" t="inlineStr">
        <is>
          <t>Combined Seasonal Adjustment Factors ;  Australia ;  Insurance ;</t>
        </is>
      </c>
      <c r="C1347" t="inlineStr">
        <is>
          <t>Month</t>
        </is>
      </c>
      <c r="D1347" t="inlineStr">
        <is>
          <t>Number</t>
        </is>
      </c>
      <c r="E1347" t="inlineStr">
        <is>
          <t>Original</t>
        </is>
      </c>
      <c r="F1347" t="inlineStr">
        <is>
          <t>640108.xlsx</t>
        </is>
      </c>
      <c r="G1347" t="inlineStr">
        <is>
          <t>2024-04</t>
        </is>
      </c>
      <c r="H1347" t="inlineStr">
        <is>
          <t>2026-07</t>
        </is>
      </c>
      <c r="NZ1347" s="2">
        <v>1</v>
      </c>
      <c r="OA1347" s="2">
        <v>1</v>
      </c>
      <c r="OB1347" s="2">
        <v>1</v>
      </c>
      <c r="OC1347" s="2">
        <v>1</v>
      </c>
      <c r="OD1347" s="2">
        <v>1</v>
      </c>
      <c r="OE1347" s="2">
        <v>1</v>
      </c>
      <c r="OF1347" s="2">
        <v>1</v>
      </c>
      <c r="OG1347" s="2">
        <v>1</v>
      </c>
      <c r="OH1347" s="2">
        <v>1</v>
      </c>
      <c r="OM1347" s="2">
        <v>1</v>
      </c>
      <c r="ON1347" s="2">
        <v>1</v>
      </c>
      <c r="OO1347" s="2">
        <v>1</v>
      </c>
      <c r="OP1347" s="2">
        <v>1</v>
      </c>
      <c r="OQ1347" s="2">
        <v>1</v>
      </c>
      <c r="OR1347" s="2">
        <v>1</v>
      </c>
      <c r="OS1347" s="2">
        <v>1</v>
      </c>
      <c r="OT1347" s="2">
        <v>1</v>
      </c>
      <c r="OU1347" s="2">
        <v>1</v>
      </c>
      <c r="OV1347" s="2">
        <v>1</v>
      </c>
      <c r="OW1347" s="2">
        <v>1</v>
      </c>
      <c r="OX1347" s="2">
        <v>1</v>
      </c>
      <c r="PC1347" s="2">
        <v>1</v>
      </c>
      <c r="PD1347" s="2">
        <v>1</v>
      </c>
      <c r="PE1347" s="2">
        <v>1</v>
      </c>
      <c r="PF1347" s="2">
        <v>1</v>
      </c>
      <c r="PG1347" s="2">
        <v>1</v>
      </c>
      <c r="PH1347" s="2">
        <v>1</v>
      </c>
      <c r="PI1347" s="2">
        <v>1</v>
      </c>
    </row>
    <row r="1348">
      <c r="A1348" t="inlineStr">
        <is>
          <t>A130576742V</t>
        </is>
      </c>
      <c r="B1348" t="inlineStr">
        <is>
          <t>Combined Seasonal Adjustment Factors ;  Australia ;  Deposit and loan facilities (direct charges) ;</t>
        </is>
      </c>
      <c r="C1348" t="inlineStr">
        <is>
          <t>Month</t>
        </is>
      </c>
      <c r="D1348" t="inlineStr">
        <is>
          <t>Number</t>
        </is>
      </c>
      <c r="E1348" t="inlineStr">
        <is>
          <t>Original</t>
        </is>
      </c>
      <c r="F1348" t="inlineStr">
        <is>
          <t>640108.xlsx</t>
        </is>
      </c>
      <c r="G1348" t="inlineStr">
        <is>
          <t>2017-09</t>
        </is>
      </c>
      <c r="H1348" t="inlineStr">
        <is>
          <t>2026-07</t>
        </is>
      </c>
      <c r="JW1348" s="2">
        <v>1</v>
      </c>
      <c r="JX1348" s="2">
        <v>1</v>
      </c>
      <c r="JY1348" s="2">
        <v>1</v>
      </c>
      <c r="JZ1348" s="2">
        <v>1</v>
      </c>
      <c r="KE1348" s="2">
        <v>1</v>
      </c>
      <c r="KF1348" s="2">
        <v>1</v>
      </c>
      <c r="KG1348" s="2">
        <v>1</v>
      </c>
      <c r="KH1348" s="2">
        <v>1</v>
      </c>
      <c r="KI1348" s="2">
        <v>1</v>
      </c>
      <c r="KJ1348" s="2">
        <v>1</v>
      </c>
      <c r="KK1348" s="2">
        <v>1</v>
      </c>
      <c r="KL1348" s="2">
        <v>1</v>
      </c>
      <c r="KM1348" s="2">
        <v>1</v>
      </c>
      <c r="KN1348" s="2">
        <v>1</v>
      </c>
      <c r="KO1348" s="2">
        <v>1</v>
      </c>
      <c r="KP1348" s="2">
        <v>1</v>
      </c>
      <c r="KU1348" s="2">
        <v>1</v>
      </c>
      <c r="KV1348" s="2">
        <v>1</v>
      </c>
      <c r="KW1348" s="2">
        <v>1</v>
      </c>
      <c r="KX1348" s="2">
        <v>1</v>
      </c>
      <c r="KY1348" s="2">
        <v>1</v>
      </c>
      <c r="KZ1348" s="2">
        <v>1</v>
      </c>
      <c r="LA1348" s="2">
        <v>1</v>
      </c>
      <c r="LB1348" s="2">
        <v>1</v>
      </c>
      <c r="LC1348" s="2">
        <v>1</v>
      </c>
      <c r="LD1348" s="2">
        <v>1</v>
      </c>
      <c r="LE1348" s="2">
        <v>1</v>
      </c>
      <c r="LF1348" s="2">
        <v>1</v>
      </c>
      <c r="LK1348" s="2">
        <v>1</v>
      </c>
      <c r="LL1348" s="2">
        <v>1</v>
      </c>
      <c r="LM1348" s="2">
        <v>1</v>
      </c>
      <c r="LN1348" s="2">
        <v>1</v>
      </c>
      <c r="LO1348" s="2">
        <v>1</v>
      </c>
      <c r="LP1348" s="2">
        <v>1</v>
      </c>
      <c r="LQ1348" s="2">
        <v>1</v>
      </c>
      <c r="LR1348" s="2">
        <v>1</v>
      </c>
      <c r="LS1348" s="2">
        <v>1</v>
      </c>
      <c r="LT1348" s="2">
        <v>1</v>
      </c>
      <c r="LU1348" s="2">
        <v>1</v>
      </c>
      <c r="LV1348" s="2">
        <v>1</v>
      </c>
      <c r="MA1348" s="2">
        <v>1</v>
      </c>
      <c r="MB1348" s="2">
        <v>1</v>
      </c>
      <c r="MC1348" s="2">
        <v>1</v>
      </c>
      <c r="MD1348" s="2">
        <v>1</v>
      </c>
      <c r="ME1348" s="2">
        <v>1</v>
      </c>
      <c r="MF1348" s="2">
        <v>1</v>
      </c>
      <c r="MG1348" s="2">
        <v>1</v>
      </c>
      <c r="MH1348" s="2">
        <v>1</v>
      </c>
      <c r="MI1348" s="2">
        <v>1</v>
      </c>
      <c r="MJ1348" s="2">
        <v>1</v>
      </c>
      <c r="MK1348" s="2">
        <v>1</v>
      </c>
      <c r="ML1348" s="2">
        <v>1</v>
      </c>
      <c r="MQ1348" s="2">
        <v>1</v>
      </c>
      <c r="MR1348" s="2">
        <v>1</v>
      </c>
      <c r="MS1348" s="2">
        <v>1</v>
      </c>
      <c r="MT1348" s="2">
        <v>1</v>
      </c>
      <c r="MU1348" s="2">
        <v>1</v>
      </c>
      <c r="MV1348" s="2">
        <v>1</v>
      </c>
      <c r="MW1348" s="2">
        <v>1</v>
      </c>
      <c r="MX1348" s="2">
        <v>1</v>
      </c>
      <c r="MY1348" s="2">
        <v>1</v>
      </c>
      <c r="MZ1348" s="2">
        <v>1</v>
      </c>
      <c r="NA1348" s="2">
        <v>1</v>
      </c>
      <c r="NB1348" s="2">
        <v>1</v>
      </c>
      <c r="NG1348" s="2">
        <v>1</v>
      </c>
      <c r="NH1348" s="2">
        <v>1</v>
      </c>
      <c r="NI1348" s="2">
        <v>1</v>
      </c>
      <c r="NJ1348" s="2">
        <v>1</v>
      </c>
      <c r="NK1348" s="2">
        <v>1</v>
      </c>
      <c r="NL1348" s="2">
        <v>1</v>
      </c>
      <c r="NM1348" s="2">
        <v>1</v>
      </c>
      <c r="NN1348" s="2">
        <v>1</v>
      </c>
      <c r="NO1348" s="2">
        <v>1</v>
      </c>
      <c r="NP1348" s="2">
        <v>1</v>
      </c>
      <c r="NQ1348" s="2">
        <v>1</v>
      </c>
      <c r="NR1348" s="2">
        <v>1</v>
      </c>
      <c r="NW1348" s="2">
        <v>1</v>
      </c>
      <c r="NX1348" s="2">
        <v>1</v>
      </c>
      <c r="NY1348" s="2">
        <v>1</v>
      </c>
      <c r="NZ1348" s="2">
        <v>1</v>
      </c>
      <c r="OA1348" s="2">
        <v>1</v>
      </c>
      <c r="OB1348" s="2">
        <v>1</v>
      </c>
      <c r="OC1348" s="2">
        <v>1</v>
      </c>
      <c r="OD1348" s="2">
        <v>1</v>
      </c>
      <c r="OE1348" s="2">
        <v>1</v>
      </c>
      <c r="OF1348" s="2">
        <v>1</v>
      </c>
      <c r="OG1348" s="2">
        <v>1</v>
      </c>
      <c r="OH1348" s="2">
        <v>1</v>
      </c>
      <c r="OM1348" s="2">
        <v>1</v>
      </c>
      <c r="ON1348" s="2">
        <v>1</v>
      </c>
      <c r="OO1348" s="2">
        <v>1</v>
      </c>
      <c r="OP1348" s="2">
        <v>1</v>
      </c>
      <c r="OQ1348" s="2">
        <v>1</v>
      </c>
      <c r="OR1348" s="2">
        <v>1</v>
      </c>
      <c r="OS1348" s="2">
        <v>1</v>
      </c>
      <c r="OT1348" s="2">
        <v>1</v>
      </c>
      <c r="OU1348" s="2">
        <v>1</v>
      </c>
      <c r="OV1348" s="2">
        <v>1</v>
      </c>
      <c r="OW1348" s="2">
        <v>1</v>
      </c>
      <c r="OX1348" s="2">
        <v>1</v>
      </c>
      <c r="PC1348" s="2">
        <v>1</v>
      </c>
      <c r="PD1348" s="2">
        <v>1</v>
      </c>
      <c r="PE1348" s="2">
        <v>1</v>
      </c>
      <c r="PF1348" s="2">
        <v>1</v>
      </c>
      <c r="PG1348" s="2">
        <v>1</v>
      </c>
      <c r="PH1348" s="2">
        <v>1</v>
      </c>
      <c r="PI1348" s="2">
        <v>1</v>
      </c>
    </row>
    <row r="1349">
      <c r="A1349" t="inlineStr">
        <is>
          <t>A130576751W</t>
        </is>
      </c>
      <c r="B1349" t="inlineStr">
        <is>
          <t>Combined Seasonal Adjustment Factors ;  Australia ;  Other financial services ;</t>
        </is>
      </c>
      <c r="C1349" t="inlineStr">
        <is>
          <t>Month</t>
        </is>
      </c>
      <c r="D1349" t="inlineStr">
        <is>
          <t>Number</t>
        </is>
      </c>
      <c r="E1349" t="inlineStr">
        <is>
          <t>Original</t>
        </is>
      </c>
      <c r="F1349" t="inlineStr">
        <is>
          <t>640108.xlsx</t>
        </is>
      </c>
      <c r="G1349" t="inlineStr">
        <is>
          <t>2017-09</t>
        </is>
      </c>
      <c r="H1349" t="inlineStr">
        <is>
          <t>2026-07</t>
        </is>
      </c>
      <c r="JW1349" s="2">
        <v>1.00103</v>
      </c>
      <c r="JX1349" s="2">
        <v>1.0002</v>
      </c>
      <c r="JY1349" s="2">
        <v>0.9992799999999999</v>
      </c>
      <c r="JZ1349" s="2">
        <v>1.00074</v>
      </c>
      <c r="KE1349" s="2">
        <v>1.00004</v>
      </c>
      <c r="KF1349" s="2">
        <v>0.99926</v>
      </c>
      <c r="KG1349" s="2">
        <v>1.00041</v>
      </c>
      <c r="KH1349" s="2">
        <v>0.99944</v>
      </c>
      <c r="KI1349" s="2">
        <v>0.99846</v>
      </c>
      <c r="KJ1349" s="2">
        <v>1.00138</v>
      </c>
      <c r="KK1349" s="2">
        <v>1.00041</v>
      </c>
      <c r="KL1349" s="2">
        <v>0.99941</v>
      </c>
      <c r="KM1349" s="2">
        <v>1.0011</v>
      </c>
      <c r="KN1349" s="2">
        <v>1.00011</v>
      </c>
      <c r="KO1349" s="2">
        <v>0.99899</v>
      </c>
      <c r="KP1349" s="2">
        <v>1.0008</v>
      </c>
      <c r="KU1349" s="2">
        <v>1.00022</v>
      </c>
      <c r="KV1349" s="2">
        <v>0.99934</v>
      </c>
      <c r="KW1349" s="2">
        <v>1.00042</v>
      </c>
      <c r="KX1349" s="2">
        <v>0.99937</v>
      </c>
      <c r="KY1349" s="2">
        <v>0.99831</v>
      </c>
      <c r="KZ1349" s="2">
        <v>1.00164</v>
      </c>
      <c r="LA1349" s="2">
        <v>1.0005</v>
      </c>
      <c r="LB1349" s="2">
        <v>0.9992</v>
      </c>
      <c r="LC1349" s="2">
        <v>1.00141</v>
      </c>
      <c r="LD1349" s="2">
        <v>0.99993</v>
      </c>
      <c r="LE1349" s="2">
        <v>0.99847</v>
      </c>
      <c r="LF1349" s="2">
        <v>1.00097</v>
      </c>
      <c r="LK1349" s="2">
        <v>1.00052</v>
      </c>
      <c r="LL1349" s="2">
        <v>0.99916</v>
      </c>
      <c r="LM1349" s="2">
        <v>1.00066</v>
      </c>
      <c r="LN1349" s="2">
        <v>0.99915</v>
      </c>
      <c r="LO1349" s="2">
        <v>0.99804</v>
      </c>
      <c r="LP1349" s="2">
        <v>1.00202</v>
      </c>
      <c r="LQ1349" s="2">
        <v>1.00082</v>
      </c>
      <c r="LR1349" s="2">
        <v>0.99899</v>
      </c>
      <c r="LS1349" s="2">
        <v>1.00182</v>
      </c>
      <c r="LT1349" s="2">
        <v>0.9996699999999999</v>
      </c>
      <c r="LU1349" s="2">
        <v>0.99773</v>
      </c>
      <c r="LV1349" s="2">
        <v>1.00129</v>
      </c>
      <c r="MA1349" s="2">
        <v>1.00065</v>
      </c>
      <c r="MB1349" s="2">
        <v>0.99857</v>
      </c>
      <c r="MC1349" s="2">
        <v>1.00132</v>
      </c>
      <c r="MD1349" s="2">
        <v>0.99909</v>
      </c>
      <c r="ME1349" s="2">
        <v>0.99771</v>
      </c>
      <c r="MF1349" s="2">
        <v>1.00246</v>
      </c>
      <c r="MG1349" s="2">
        <v>1.0011</v>
      </c>
      <c r="MH1349" s="2">
        <v>0.9986699999999999</v>
      </c>
      <c r="MI1349" s="2">
        <v>1.00226</v>
      </c>
      <c r="MJ1349" s="2">
        <v>0.99948</v>
      </c>
      <c r="MK1349" s="2">
        <v>0.99712</v>
      </c>
      <c r="ML1349" s="2">
        <v>1.0015</v>
      </c>
      <c r="MQ1349" s="2">
        <v>1.0006</v>
      </c>
      <c r="MR1349" s="2">
        <v>0.99797</v>
      </c>
      <c r="MS1349" s="2">
        <v>1.0019</v>
      </c>
      <c r="MT1349" s="2">
        <v>0.99914</v>
      </c>
      <c r="MU1349" s="2">
        <v>0.99764</v>
      </c>
      <c r="MV1349" s="2">
        <v>1.00277</v>
      </c>
      <c r="MW1349" s="2">
        <v>1.00132</v>
      </c>
      <c r="MX1349" s="2">
        <v>0.99842</v>
      </c>
      <c r="MY1349" s="2">
        <v>1.00255</v>
      </c>
      <c r="MZ1349" s="2">
        <v>0.99937</v>
      </c>
      <c r="NA1349" s="2">
        <v>0.9966699999999999</v>
      </c>
      <c r="NB1349" s="2">
        <v>1.0017</v>
      </c>
      <c r="NG1349" s="2">
        <v>1.00035</v>
      </c>
      <c r="NH1349" s="2">
        <v>0.99738</v>
      </c>
      <c r="NI1349" s="2">
        <v>1.00246</v>
      </c>
      <c r="NJ1349" s="2">
        <v>0.99938</v>
      </c>
      <c r="NK1349" s="2">
        <v>0.99755</v>
      </c>
      <c r="NL1349" s="2">
        <v>1.0031</v>
      </c>
      <c r="NM1349" s="2">
        <v>1.00135</v>
      </c>
      <c r="NN1349" s="2">
        <v>0.99815</v>
      </c>
      <c r="NO1349" s="2">
        <v>1.00276</v>
      </c>
      <c r="NP1349" s="2">
        <v>0.99938</v>
      </c>
      <c r="NQ1349" s="2">
        <v>0.99654</v>
      </c>
      <c r="NR1349" s="2">
        <v>1.00177</v>
      </c>
      <c r="NW1349" s="2">
        <v>1.00002</v>
      </c>
      <c r="NX1349" s="2">
        <v>0.99693</v>
      </c>
      <c r="NY1349" s="2">
        <v>1.00273</v>
      </c>
      <c r="NZ1349" s="2">
        <v>0.99955</v>
      </c>
      <c r="OA1349" s="2">
        <v>0.99761</v>
      </c>
      <c r="OB1349" s="2">
        <v>1.00331</v>
      </c>
      <c r="OC1349" s="2">
        <v>1.00146</v>
      </c>
      <c r="OD1349" s="2">
        <v>0.99816</v>
      </c>
      <c r="OE1349" s="2">
        <v>1.0027</v>
      </c>
      <c r="OF1349" s="2">
        <v>0.99942</v>
      </c>
      <c r="OG1349" s="2">
        <v>0.99657</v>
      </c>
      <c r="OH1349" s="2">
        <v>1.00181</v>
      </c>
      <c r="OM1349" s="2">
        <v>0.99955</v>
      </c>
      <c r="ON1349" s="2">
        <v>0.99658</v>
      </c>
      <c r="OO1349" s="2">
        <v>1.00292</v>
      </c>
      <c r="OP1349" s="2">
        <v>0.9998899999999999</v>
      </c>
      <c r="OQ1349" s="2">
        <v>0.9976699999999999</v>
      </c>
      <c r="OR1349" s="2">
        <v>1.00344</v>
      </c>
      <c r="OS1349" s="2">
        <v>1.00141</v>
      </c>
      <c r="OT1349" s="2">
        <v>0.99823</v>
      </c>
      <c r="OU1349" s="2">
        <v>1.00251</v>
      </c>
      <c r="OV1349" s="2">
        <v>0.99951</v>
      </c>
      <c r="OW1349" s="2">
        <v>0.99676</v>
      </c>
      <c r="OX1349" s="2">
        <v>1.00171</v>
      </c>
      <c r="PC1349" s="2">
        <v>0.99919</v>
      </c>
      <c r="PD1349" s="2">
        <v>0.99656</v>
      </c>
      <c r="PE1349" s="2">
        <v>1.00279</v>
      </c>
      <c r="PF1349" s="2">
        <v>1.00011</v>
      </c>
      <c r="PG1349" s="2">
        <v>0.99782</v>
      </c>
      <c r="PH1349" s="2">
        <v>1.00348</v>
      </c>
      <c r="PI1349" s="2">
        <v>1.00138</v>
      </c>
    </row>
    <row r="1350">
      <c r="A1350" t="inlineStr">
        <is>
          <t>A130397375X</t>
        </is>
      </c>
      <c r="B1350" t="inlineStr">
        <is>
          <t>Index Numbers ;  All groups CPI ;  Sydney ;</t>
        </is>
      </c>
      <c r="C1350" t="inlineStr">
        <is>
          <t>Month</t>
        </is>
      </c>
      <c r="D1350" t="inlineStr">
        <is>
          <t>Index Numbers</t>
        </is>
      </c>
      <c r="E1350" t="inlineStr">
        <is>
          <t>Original</t>
        </is>
      </c>
      <c r="F1350" t="inlineStr">
        <is>
          <t>640109.xlsx</t>
        </is>
      </c>
      <c r="G1350" t="inlineStr">
        <is>
          <t>2024-04</t>
        </is>
      </c>
      <c r="H1350" t="inlineStr">
        <is>
          <t>2026-07</t>
        </is>
      </c>
      <c r="NZ1350" s="2">
        <v>96.69</v>
      </c>
      <c r="OA1350" s="2">
        <v>96.09</v>
      </c>
      <c r="OB1350" s="2">
        <v>96.73</v>
      </c>
      <c r="OC1350" s="2">
        <v>97.25</v>
      </c>
      <c r="OD1350" s="2">
        <v>97.04000000000001</v>
      </c>
      <c r="OE1350" s="2">
        <v>96.75</v>
      </c>
      <c r="OF1350" s="2">
        <v>96.45999999999999</v>
      </c>
      <c r="OG1350" s="2">
        <v>96.73</v>
      </c>
      <c r="OH1350" s="2">
        <v>97.56999999999999</v>
      </c>
      <c r="OM1350" s="2">
        <v>97.76000000000001</v>
      </c>
      <c r="ON1350" s="2">
        <v>97.69</v>
      </c>
      <c r="OO1350" s="2">
        <v>98.09</v>
      </c>
      <c r="OP1350" s="2">
        <v>98.72</v>
      </c>
      <c r="OQ1350" s="2">
        <v>98.16</v>
      </c>
      <c r="OR1350" s="2">
        <v>98.34</v>
      </c>
      <c r="OS1350" s="2">
        <v>100.05</v>
      </c>
      <c r="OT1350" s="2">
        <v>99.69</v>
      </c>
      <c r="OU1350" s="2">
        <v>100</v>
      </c>
      <c r="OV1350" s="2">
        <v>99.89</v>
      </c>
      <c r="OW1350" s="2">
        <v>100.06</v>
      </c>
      <c r="OX1350" s="2">
        <v>101.19</v>
      </c>
      <c r="PC1350" s="2">
        <v>101.61</v>
      </c>
      <c r="PD1350" s="2">
        <v>101.4</v>
      </c>
      <c r="PE1350" s="2">
        <v>102.41</v>
      </c>
      <c r="PF1350" s="2">
        <v>102.87</v>
      </c>
      <c r="PG1350" s="2">
        <v>102.31</v>
      </c>
      <c r="PH1350" s="2">
        <v>102.28</v>
      </c>
      <c r="PI1350" s="2">
        <v>103.22</v>
      </c>
    </row>
    <row r="1351">
      <c r="A1351" t="inlineStr">
        <is>
          <t>A130392957J</t>
        </is>
      </c>
      <c r="B1351" t="inlineStr">
        <is>
          <t>Index Numbers ;  Food and non-alcoholic beverages ;  Sydney ;</t>
        </is>
      </c>
      <c r="C1351" t="inlineStr">
        <is>
          <t>Month</t>
        </is>
      </c>
      <c r="D1351" t="inlineStr">
        <is>
          <t>Index Numbers</t>
        </is>
      </c>
      <c r="E1351" t="inlineStr">
        <is>
          <t>Original</t>
        </is>
      </c>
      <c r="F1351" t="inlineStr">
        <is>
          <t>640109.xlsx</t>
        </is>
      </c>
      <c r="G1351" t="inlineStr">
        <is>
          <t>2024-04</t>
        </is>
      </c>
      <c r="H1351" t="inlineStr">
        <is>
          <t>2026-07</t>
        </is>
      </c>
      <c r="NZ1351" s="2">
        <v>96.23</v>
      </c>
      <c r="OA1351" s="2">
        <v>96.61</v>
      </c>
      <c r="OB1351" s="2">
        <v>96.8</v>
      </c>
      <c r="OC1351" s="2">
        <v>97.31</v>
      </c>
      <c r="OD1351" s="2">
        <v>97.48999999999999</v>
      </c>
      <c r="OE1351" s="2">
        <v>96.93000000000001</v>
      </c>
      <c r="OF1351" s="2">
        <v>97.04000000000001</v>
      </c>
      <c r="OG1351" s="2">
        <v>97.34999999999999</v>
      </c>
      <c r="OH1351" s="2">
        <v>97.52</v>
      </c>
      <c r="OM1351" s="2">
        <v>98.18000000000001</v>
      </c>
      <c r="ON1351" s="2">
        <v>98.06999999999999</v>
      </c>
      <c r="OO1351" s="2">
        <v>98.72</v>
      </c>
      <c r="OP1351" s="2">
        <v>99.34</v>
      </c>
      <c r="OQ1351" s="2">
        <v>99.40000000000001</v>
      </c>
      <c r="OR1351" s="2">
        <v>99.88</v>
      </c>
      <c r="OS1351" s="2">
        <v>100.22</v>
      </c>
      <c r="OT1351" s="2">
        <v>100.28</v>
      </c>
      <c r="OU1351" s="2">
        <v>100</v>
      </c>
      <c r="OV1351" s="2">
        <v>100.18</v>
      </c>
      <c r="OW1351" s="2">
        <v>100.53</v>
      </c>
      <c r="OX1351" s="2">
        <v>101.01</v>
      </c>
      <c r="PC1351" s="2">
        <v>101.55</v>
      </c>
      <c r="PD1351" s="2">
        <v>101.32</v>
      </c>
      <c r="PE1351" s="2">
        <v>102.07</v>
      </c>
      <c r="PF1351" s="2">
        <v>102.22</v>
      </c>
      <c r="PG1351" s="2">
        <v>102.76</v>
      </c>
      <c r="PH1351" s="2">
        <v>103.18</v>
      </c>
      <c r="PI1351" s="2">
        <v>103.53</v>
      </c>
    </row>
    <row r="1352">
      <c r="A1352" t="inlineStr">
        <is>
          <t>A130396695T</t>
        </is>
      </c>
      <c r="B1352" t="inlineStr">
        <is>
          <t>Index Numbers ;  Alcohol and tobacco ;  Sydney ;</t>
        </is>
      </c>
      <c r="C1352" t="inlineStr">
        <is>
          <t>Month</t>
        </is>
      </c>
      <c r="D1352" t="inlineStr">
        <is>
          <t>Index Numbers</t>
        </is>
      </c>
      <c r="E1352" t="inlineStr">
        <is>
          <t>Original</t>
        </is>
      </c>
      <c r="F1352" t="inlineStr">
        <is>
          <t>640109.xlsx</t>
        </is>
      </c>
      <c r="G1352" t="inlineStr">
        <is>
          <t>2024-04</t>
        </is>
      </c>
      <c r="H1352" t="inlineStr">
        <is>
          <t>2026-07</t>
        </is>
      </c>
      <c r="NZ1352" s="2">
        <v>93.63</v>
      </c>
      <c r="OA1352" s="2">
        <v>93.40000000000001</v>
      </c>
      <c r="OB1352" s="2">
        <v>94.13</v>
      </c>
      <c r="OC1352" s="2">
        <v>94.23999999999999</v>
      </c>
      <c r="OD1352" s="2">
        <v>95</v>
      </c>
      <c r="OE1352" s="2">
        <v>96.41</v>
      </c>
      <c r="OF1352" s="2">
        <v>97.28</v>
      </c>
      <c r="OG1352" s="2">
        <v>96.81999999999999</v>
      </c>
      <c r="OH1352" s="2">
        <v>96.53</v>
      </c>
      <c r="OM1352" s="2">
        <v>97.14</v>
      </c>
      <c r="ON1352" s="2">
        <v>98.37</v>
      </c>
      <c r="OO1352" s="2">
        <v>99.14</v>
      </c>
      <c r="OP1352" s="2">
        <v>98.29000000000001</v>
      </c>
      <c r="OQ1352" s="2">
        <v>98.5</v>
      </c>
      <c r="OR1352" s="2">
        <v>98.3</v>
      </c>
      <c r="OS1352" s="2">
        <v>99.40000000000001</v>
      </c>
      <c r="OT1352" s="2">
        <v>99.37</v>
      </c>
      <c r="OU1352" s="2">
        <v>100</v>
      </c>
      <c r="OV1352" s="2">
        <v>100.4</v>
      </c>
      <c r="OW1352" s="2">
        <v>100.23</v>
      </c>
      <c r="OX1352" s="2">
        <v>100.27</v>
      </c>
      <c r="PC1352" s="2">
        <v>101.22</v>
      </c>
      <c r="PD1352" s="2">
        <v>101.76</v>
      </c>
      <c r="PE1352" s="2">
        <v>102.38</v>
      </c>
      <c r="PF1352" s="2">
        <v>101.74</v>
      </c>
      <c r="PG1352" s="2">
        <v>102.57</v>
      </c>
      <c r="PH1352" s="2">
        <v>102.01</v>
      </c>
      <c r="PI1352" s="2">
        <v>102.95</v>
      </c>
    </row>
    <row r="1353">
      <c r="A1353" t="inlineStr">
        <is>
          <t>A130392964F</t>
        </is>
      </c>
      <c r="B1353" t="inlineStr">
        <is>
          <t>Index Numbers ;  Clothing and footwear ;  Sydney ;</t>
        </is>
      </c>
      <c r="C1353" t="inlineStr">
        <is>
          <t>Month</t>
        </is>
      </c>
      <c r="D1353" t="inlineStr">
        <is>
          <t>Index Numbers</t>
        </is>
      </c>
      <c r="E1353" t="inlineStr">
        <is>
          <t>Original</t>
        </is>
      </c>
      <c r="F1353" t="inlineStr">
        <is>
          <t>640109.xlsx</t>
        </is>
      </c>
      <c r="G1353" t="inlineStr">
        <is>
          <t>2024-04</t>
        </is>
      </c>
      <c r="H1353" t="inlineStr">
        <is>
          <t>2026-07</t>
        </is>
      </c>
      <c r="NZ1353" s="2">
        <v>99.06</v>
      </c>
      <c r="OA1353" s="2">
        <v>95.56999999999999</v>
      </c>
      <c r="OB1353" s="2">
        <v>94.15000000000001</v>
      </c>
      <c r="OC1353" s="2">
        <v>97.01000000000001</v>
      </c>
      <c r="OD1353" s="2">
        <v>96.8</v>
      </c>
      <c r="OE1353" s="2">
        <v>95.75</v>
      </c>
      <c r="OF1353" s="2">
        <v>96.23</v>
      </c>
      <c r="OG1353" s="2">
        <v>93.94</v>
      </c>
      <c r="OH1353" s="2">
        <v>94.45999999999999</v>
      </c>
      <c r="OM1353" s="2">
        <v>95.39</v>
      </c>
      <c r="ON1353" s="2">
        <v>97.70999999999999</v>
      </c>
      <c r="OO1353" s="2">
        <v>94.42</v>
      </c>
      <c r="OP1353" s="2">
        <v>99.02</v>
      </c>
      <c r="OQ1353" s="2">
        <v>96.93000000000001</v>
      </c>
      <c r="OR1353" s="2">
        <v>95.63</v>
      </c>
      <c r="OS1353" s="2">
        <v>98.31999999999999</v>
      </c>
      <c r="OT1353" s="2">
        <v>100.59</v>
      </c>
      <c r="OU1353" s="2">
        <v>100</v>
      </c>
      <c r="OV1353" s="2">
        <v>101.67</v>
      </c>
      <c r="OW1353" s="2">
        <v>98.65000000000001</v>
      </c>
      <c r="OX1353" s="2">
        <v>97.95999999999999</v>
      </c>
      <c r="PC1353" s="2">
        <v>101.37</v>
      </c>
      <c r="PD1353" s="2">
        <v>103.43</v>
      </c>
      <c r="PE1353" s="2">
        <v>101.2</v>
      </c>
      <c r="PF1353" s="2">
        <v>105.51</v>
      </c>
      <c r="PG1353" s="2">
        <v>102.59</v>
      </c>
      <c r="PH1353" s="2">
        <v>102.08</v>
      </c>
      <c r="PI1353" s="2">
        <v>104.21</v>
      </c>
    </row>
    <row r="1354">
      <c r="A1354" t="inlineStr">
        <is>
          <t>A130394280C</t>
        </is>
      </c>
      <c r="B1354" t="inlineStr">
        <is>
          <t>Index Numbers ;  Housing ;  Sydney ;</t>
        </is>
      </c>
      <c r="C1354" t="inlineStr">
        <is>
          <t>Month</t>
        </is>
      </c>
      <c r="D1354" t="inlineStr">
        <is>
          <t>Index Numbers</t>
        </is>
      </c>
      <c r="E1354" t="inlineStr">
        <is>
          <t>Original</t>
        </is>
      </c>
      <c r="F1354" t="inlineStr">
        <is>
          <t>640109.xlsx</t>
        </is>
      </c>
      <c r="G1354" t="inlineStr">
        <is>
          <t>2024-04</t>
        </is>
      </c>
      <c r="H1354" t="inlineStr">
        <is>
          <t>2026-07</t>
        </is>
      </c>
      <c r="NZ1354" s="2">
        <v>95.86</v>
      </c>
      <c r="OA1354" s="2">
        <v>96.11</v>
      </c>
      <c r="OB1354" s="2">
        <v>96.45999999999999</v>
      </c>
      <c r="OC1354" s="2">
        <v>97.81999999999999</v>
      </c>
      <c r="OD1354" s="2">
        <v>96.91</v>
      </c>
      <c r="OE1354" s="2">
        <v>96.20999999999999</v>
      </c>
      <c r="OF1354" s="2">
        <v>94.48999999999999</v>
      </c>
      <c r="OG1354" s="2">
        <v>95.79000000000001</v>
      </c>
      <c r="OH1354" s="2">
        <v>96.59</v>
      </c>
      <c r="OM1354" s="2">
        <v>96.58</v>
      </c>
      <c r="ON1354" s="2">
        <v>96.67</v>
      </c>
      <c r="OO1354" s="2">
        <v>97.31999999999999</v>
      </c>
      <c r="OP1354" s="2">
        <v>97.45999999999999</v>
      </c>
      <c r="OQ1354" s="2">
        <v>97.64</v>
      </c>
      <c r="OR1354" s="2">
        <v>97.7</v>
      </c>
      <c r="OS1354" s="2">
        <v>101.57</v>
      </c>
      <c r="OT1354" s="2">
        <v>99.64</v>
      </c>
      <c r="OU1354" s="2">
        <v>100</v>
      </c>
      <c r="OV1354" s="2">
        <v>98.48999999999999</v>
      </c>
      <c r="OW1354" s="2">
        <v>101.07</v>
      </c>
      <c r="OX1354" s="2">
        <v>101.06</v>
      </c>
      <c r="PC1354" s="2">
        <v>103.33</v>
      </c>
      <c r="PD1354" s="2">
        <v>103.54</v>
      </c>
      <c r="PE1354" s="2">
        <v>103.72</v>
      </c>
      <c r="PF1354" s="2">
        <v>103.68</v>
      </c>
      <c r="PG1354" s="2">
        <v>104.51</v>
      </c>
      <c r="PH1354" s="2">
        <v>104.98</v>
      </c>
      <c r="PI1354" s="2">
        <v>105.42</v>
      </c>
    </row>
    <row r="1355">
      <c r="A1355" t="inlineStr">
        <is>
          <t>A130392999F</t>
        </is>
      </c>
      <c r="B1355" t="inlineStr">
        <is>
          <t>Index Numbers ;  Furnishings, household equipment and services ;  Sydney ;</t>
        </is>
      </c>
      <c r="C1355" t="inlineStr">
        <is>
          <t>Month</t>
        </is>
      </c>
      <c r="D1355" t="inlineStr">
        <is>
          <t>Index Numbers</t>
        </is>
      </c>
      <c r="E1355" t="inlineStr">
        <is>
          <t>Original</t>
        </is>
      </c>
      <c r="F1355" t="inlineStr">
        <is>
          <t>640109.xlsx</t>
        </is>
      </c>
      <c r="G1355" t="inlineStr">
        <is>
          <t>2024-04</t>
        </is>
      </c>
      <c r="H1355" t="inlineStr">
        <is>
          <t>2026-07</t>
        </is>
      </c>
      <c r="NZ1355" s="2">
        <v>97.31999999999999</v>
      </c>
      <c r="OA1355" s="2">
        <v>96.94</v>
      </c>
      <c r="OB1355" s="2">
        <v>96</v>
      </c>
      <c r="OC1355" s="2">
        <v>97.73999999999999</v>
      </c>
      <c r="OD1355" s="2">
        <v>98.92</v>
      </c>
      <c r="OE1355" s="2">
        <v>98.3</v>
      </c>
      <c r="OF1355" s="2">
        <v>98.95</v>
      </c>
      <c r="OG1355" s="2">
        <v>98.40000000000001</v>
      </c>
      <c r="OH1355" s="2">
        <v>97.87</v>
      </c>
      <c r="OM1355" s="2">
        <v>97.97</v>
      </c>
      <c r="ON1355" s="2">
        <v>99.19</v>
      </c>
      <c r="OO1355" s="2">
        <v>98.97</v>
      </c>
      <c r="OP1355" s="2">
        <v>99.33</v>
      </c>
      <c r="OQ1355" s="2">
        <v>98.41</v>
      </c>
      <c r="OR1355" s="2">
        <v>97.97</v>
      </c>
      <c r="OS1355" s="2">
        <v>99.06</v>
      </c>
      <c r="OT1355" s="2">
        <v>100.62</v>
      </c>
      <c r="OU1355" s="2">
        <v>100</v>
      </c>
      <c r="OV1355" s="2">
        <v>100.85</v>
      </c>
      <c r="OW1355" s="2">
        <v>99.70999999999999</v>
      </c>
      <c r="OX1355" s="2">
        <v>100.09</v>
      </c>
      <c r="PC1355" s="2">
        <v>99.31999999999999</v>
      </c>
      <c r="PD1355" s="2">
        <v>100.17</v>
      </c>
      <c r="PE1355" s="2">
        <v>99.90000000000001</v>
      </c>
      <c r="PF1355" s="2">
        <v>100.31</v>
      </c>
      <c r="PG1355" s="2">
        <v>100.42</v>
      </c>
      <c r="PH1355" s="2">
        <v>99.48999999999999</v>
      </c>
      <c r="PI1355" s="2">
        <v>100.99</v>
      </c>
    </row>
    <row r="1356">
      <c r="A1356" t="inlineStr">
        <is>
          <t>A130391270V</t>
        </is>
      </c>
      <c r="B1356" t="inlineStr">
        <is>
          <t>Index Numbers ;  Health ;  Sydney ;</t>
        </is>
      </c>
      <c r="C1356" t="inlineStr">
        <is>
          <t>Month</t>
        </is>
      </c>
      <c r="D1356" t="inlineStr">
        <is>
          <t>Index Numbers</t>
        </is>
      </c>
      <c r="E1356" t="inlineStr">
        <is>
          <t>Original</t>
        </is>
      </c>
      <c r="F1356" t="inlineStr">
        <is>
          <t>640109.xlsx</t>
        </is>
      </c>
      <c r="G1356" t="inlineStr">
        <is>
          <t>2024-04</t>
        </is>
      </c>
      <c r="H1356" t="inlineStr">
        <is>
          <t>2026-07</t>
        </is>
      </c>
      <c r="NZ1356" s="2">
        <v>95.81</v>
      </c>
      <c r="OA1356" s="2">
        <v>96.06999999999999</v>
      </c>
      <c r="OB1356" s="2">
        <v>96.09999999999999</v>
      </c>
      <c r="OC1356" s="2">
        <v>95.78</v>
      </c>
      <c r="OD1356" s="2">
        <v>95.5</v>
      </c>
      <c r="OE1356" s="2">
        <v>95.44</v>
      </c>
      <c r="OF1356" s="2">
        <v>95.7</v>
      </c>
      <c r="OG1356" s="2">
        <v>95.42</v>
      </c>
      <c r="OH1356" s="2">
        <v>95.19</v>
      </c>
      <c r="OM1356" s="2">
        <v>98.09</v>
      </c>
      <c r="ON1356" s="2">
        <v>97.98999999999999</v>
      </c>
      <c r="OO1356" s="2">
        <v>98.31</v>
      </c>
      <c r="OP1356" s="2">
        <v>100.06</v>
      </c>
      <c r="OQ1356" s="2">
        <v>99.55</v>
      </c>
      <c r="OR1356" s="2">
        <v>99.42</v>
      </c>
      <c r="OS1356" s="2">
        <v>99.45</v>
      </c>
      <c r="OT1356" s="2">
        <v>99.68000000000001</v>
      </c>
      <c r="OU1356" s="2">
        <v>100</v>
      </c>
      <c r="OV1356" s="2">
        <v>99.89</v>
      </c>
      <c r="OW1356" s="2">
        <v>99.28</v>
      </c>
      <c r="OX1356" s="2">
        <v>98.77</v>
      </c>
      <c r="PC1356" s="2">
        <v>101.42</v>
      </c>
      <c r="PD1356" s="2">
        <v>101.72</v>
      </c>
      <c r="PE1356" s="2">
        <v>101.05</v>
      </c>
      <c r="PF1356" s="2">
        <v>104.45</v>
      </c>
      <c r="PG1356" s="2">
        <v>103.99</v>
      </c>
      <c r="PH1356" s="2">
        <v>103.95</v>
      </c>
      <c r="PI1356" s="2">
        <v>103.79</v>
      </c>
    </row>
    <row r="1357">
      <c r="A1357" t="inlineStr">
        <is>
          <t>A130391683T</t>
        </is>
      </c>
      <c r="B1357" t="inlineStr">
        <is>
          <t>Index Numbers ;  Transport ;  Sydney ;</t>
        </is>
      </c>
      <c r="C1357" t="inlineStr">
        <is>
          <t>Month</t>
        </is>
      </c>
      <c r="D1357" t="inlineStr">
        <is>
          <t>Index Numbers</t>
        </is>
      </c>
      <c r="E1357" t="inlineStr">
        <is>
          <t>Original</t>
        </is>
      </c>
      <c r="F1357" t="inlineStr">
        <is>
          <t>640109.xlsx</t>
        </is>
      </c>
      <c r="G1357" t="inlineStr">
        <is>
          <t>2024-04</t>
        </is>
      </c>
      <c r="H1357" t="inlineStr">
        <is>
          <t>2026-07</t>
        </is>
      </c>
      <c r="NZ1357" s="2">
        <v>102.63</v>
      </c>
      <c r="OA1357" s="2">
        <v>99.45999999999999</v>
      </c>
      <c r="OB1357" s="2">
        <v>100.73</v>
      </c>
      <c r="OC1357" s="2">
        <v>99.95</v>
      </c>
      <c r="OD1357" s="2">
        <v>98.77</v>
      </c>
      <c r="OE1357" s="2">
        <v>96.89</v>
      </c>
      <c r="OF1357" s="2">
        <v>97.45</v>
      </c>
      <c r="OG1357" s="2">
        <v>98.11</v>
      </c>
      <c r="OH1357" s="2">
        <v>99.23</v>
      </c>
      <c r="OM1357" s="2">
        <v>98.89</v>
      </c>
      <c r="ON1357" s="2">
        <v>99.34999999999999</v>
      </c>
      <c r="OO1357" s="2">
        <v>100.43</v>
      </c>
      <c r="OP1357" s="2">
        <v>98.47</v>
      </c>
      <c r="OQ1357" s="2">
        <v>98.43000000000001</v>
      </c>
      <c r="OR1357" s="2">
        <v>98.81</v>
      </c>
      <c r="OS1357" s="2">
        <v>99.98999999999999</v>
      </c>
      <c r="OT1357" s="2">
        <v>99.67</v>
      </c>
      <c r="OU1357" s="2">
        <v>100</v>
      </c>
      <c r="OV1357" s="2">
        <v>100.47</v>
      </c>
      <c r="OW1357" s="2">
        <v>100.23</v>
      </c>
      <c r="OX1357" s="2">
        <v>101.3</v>
      </c>
      <c r="PC1357" s="2">
        <v>99.70999999999999</v>
      </c>
      <c r="PD1357" s="2">
        <v>98.95</v>
      </c>
      <c r="PE1357" s="2">
        <v>107.75</v>
      </c>
      <c r="PF1357" s="2">
        <v>105.24</v>
      </c>
      <c r="PG1357" s="2">
        <v>101.45</v>
      </c>
      <c r="PH1357" s="2">
        <v>98.59</v>
      </c>
      <c r="PI1357" s="2">
        <v>101.03</v>
      </c>
    </row>
    <row r="1358">
      <c r="A1358" t="inlineStr">
        <is>
          <t>A130391277K</t>
        </is>
      </c>
      <c r="B1358" t="inlineStr">
        <is>
          <t>Index Numbers ;  Communication ;  Sydney ;</t>
        </is>
      </c>
      <c r="C1358" t="inlineStr">
        <is>
          <t>Month</t>
        </is>
      </c>
      <c r="D1358" t="inlineStr">
        <is>
          <t>Index Numbers</t>
        </is>
      </c>
      <c r="E1358" t="inlineStr">
        <is>
          <t>Original</t>
        </is>
      </c>
      <c r="F1358" t="inlineStr">
        <is>
          <t>640109.xlsx</t>
        </is>
      </c>
      <c r="G1358" t="inlineStr">
        <is>
          <t>2024-04</t>
        </is>
      </c>
      <c r="H1358" t="inlineStr">
        <is>
          <t>2026-07</t>
        </is>
      </c>
      <c r="NZ1358" s="2">
        <v>98.52</v>
      </c>
      <c r="OA1358" s="2">
        <v>97.86</v>
      </c>
      <c r="OB1358" s="2">
        <v>97.2</v>
      </c>
      <c r="OC1358" s="2">
        <v>98.87</v>
      </c>
      <c r="OD1358" s="2">
        <v>98.36</v>
      </c>
      <c r="OE1358" s="2">
        <v>98.40000000000001</v>
      </c>
      <c r="OF1358" s="2">
        <v>99.02</v>
      </c>
      <c r="OG1358" s="2">
        <v>98.91</v>
      </c>
      <c r="OH1358" s="2">
        <v>98.69</v>
      </c>
      <c r="OM1358" s="2">
        <v>98.33</v>
      </c>
      <c r="ON1358" s="2">
        <v>99.06999999999999</v>
      </c>
      <c r="OO1358" s="2">
        <v>98.93000000000001</v>
      </c>
      <c r="OP1358" s="2">
        <v>99.2</v>
      </c>
      <c r="OQ1358" s="2">
        <v>98.84</v>
      </c>
      <c r="OR1358" s="2">
        <v>98.01000000000001</v>
      </c>
      <c r="OS1358" s="2">
        <v>99.48999999999999</v>
      </c>
      <c r="OT1358" s="2">
        <v>100.2</v>
      </c>
      <c r="OU1358" s="2">
        <v>100</v>
      </c>
      <c r="OV1358" s="2">
        <v>99.8</v>
      </c>
      <c r="OW1358" s="2">
        <v>100.24</v>
      </c>
      <c r="OX1358" s="2">
        <v>99.81</v>
      </c>
      <c r="PC1358" s="2">
        <v>99.72</v>
      </c>
      <c r="PD1358" s="2">
        <v>99.89</v>
      </c>
      <c r="PE1358" s="2">
        <v>100.38</v>
      </c>
      <c r="PF1358" s="2">
        <v>100.81</v>
      </c>
      <c r="PG1358" s="2">
        <v>100.96</v>
      </c>
      <c r="PH1358" s="2">
        <v>100.25</v>
      </c>
      <c r="PI1358" s="2">
        <v>102.02</v>
      </c>
    </row>
    <row r="1359">
      <c r="A1359" t="inlineStr">
        <is>
          <t>A130393825X</t>
        </is>
      </c>
      <c r="B1359" t="inlineStr">
        <is>
          <t>Index Numbers ;  Recreation and culture ;  Sydney ;</t>
        </is>
      </c>
      <c r="C1359" t="inlineStr">
        <is>
          <t>Month</t>
        </is>
      </c>
      <c r="D1359" t="inlineStr">
        <is>
          <t>Index Numbers</t>
        </is>
      </c>
      <c r="E1359" t="inlineStr">
        <is>
          <t>Original</t>
        </is>
      </c>
      <c r="F1359" t="inlineStr">
        <is>
          <t>640109.xlsx</t>
        </is>
      </c>
      <c r="G1359" t="inlineStr">
        <is>
          <t>2024-04</t>
        </is>
      </c>
      <c r="H1359" t="inlineStr">
        <is>
          <t>2026-07</t>
        </is>
      </c>
      <c r="NZ1359" s="2">
        <v>95.87</v>
      </c>
      <c r="OA1359" s="2">
        <v>93.84999999999999</v>
      </c>
      <c r="OB1359" s="2">
        <v>97.27</v>
      </c>
      <c r="OC1359" s="2">
        <v>96.62</v>
      </c>
      <c r="OD1359" s="2">
        <v>96.34</v>
      </c>
      <c r="OE1359" s="2">
        <v>97.45</v>
      </c>
      <c r="OF1359" s="2">
        <v>96.37</v>
      </c>
      <c r="OG1359" s="2">
        <v>96.54000000000001</v>
      </c>
      <c r="OH1359" s="2">
        <v>101.09</v>
      </c>
      <c r="OM1359" s="2">
        <v>99.55</v>
      </c>
      <c r="ON1359" s="2">
        <v>94.64</v>
      </c>
      <c r="OO1359" s="2">
        <v>95.20999999999999</v>
      </c>
      <c r="OP1359" s="2">
        <v>98.94</v>
      </c>
      <c r="OQ1359" s="2">
        <v>95.34</v>
      </c>
      <c r="OR1359" s="2">
        <v>96.34999999999999</v>
      </c>
      <c r="OS1359" s="2">
        <v>99.16</v>
      </c>
      <c r="OT1359" s="2">
        <v>98.05</v>
      </c>
      <c r="OU1359" s="2">
        <v>100</v>
      </c>
      <c r="OV1359" s="2">
        <v>100.06</v>
      </c>
      <c r="OW1359" s="2">
        <v>98.19</v>
      </c>
      <c r="OX1359" s="2">
        <v>105.88</v>
      </c>
      <c r="PC1359" s="2">
        <v>103.11</v>
      </c>
      <c r="PD1359" s="2">
        <v>98.77</v>
      </c>
      <c r="PE1359" s="2">
        <v>98.2</v>
      </c>
      <c r="PF1359" s="2">
        <v>100.93</v>
      </c>
      <c r="PG1359" s="2">
        <v>97.87</v>
      </c>
      <c r="PH1359" s="2">
        <v>99.45</v>
      </c>
      <c r="PI1359" s="2">
        <v>101.46</v>
      </c>
    </row>
    <row r="1360">
      <c r="A1360" t="inlineStr">
        <is>
          <t>A130396219C</t>
        </is>
      </c>
      <c r="B1360" t="inlineStr">
        <is>
          <t>Index Numbers ;  Education ;  Sydney ;</t>
        </is>
      </c>
      <c r="C1360" t="inlineStr">
        <is>
          <t>Month</t>
        </is>
      </c>
      <c r="D1360" t="inlineStr">
        <is>
          <t>Index Numbers</t>
        </is>
      </c>
      <c r="E1360" t="inlineStr">
        <is>
          <t>Original</t>
        </is>
      </c>
      <c r="F1360" t="inlineStr">
        <is>
          <t>640109.xlsx</t>
        </is>
      </c>
      <c r="G1360" t="inlineStr">
        <is>
          <t>2024-04</t>
        </is>
      </c>
      <c r="H1360" t="inlineStr">
        <is>
          <t>2026-07</t>
        </is>
      </c>
      <c r="NZ1360" s="2">
        <v>94.3</v>
      </c>
      <c r="OA1360" s="2">
        <v>94.34</v>
      </c>
      <c r="OB1360" s="2">
        <v>94.37</v>
      </c>
      <c r="OC1360" s="2">
        <v>94.39</v>
      </c>
      <c r="OD1360" s="2">
        <v>94.67</v>
      </c>
      <c r="OE1360" s="2">
        <v>94.72</v>
      </c>
      <c r="OF1360" s="2">
        <v>94.73999999999999</v>
      </c>
      <c r="OG1360" s="2">
        <v>94.76000000000001</v>
      </c>
      <c r="OH1360" s="2">
        <v>94.78</v>
      </c>
      <c r="OM1360" s="2">
        <v>94.8</v>
      </c>
      <c r="ON1360" s="2">
        <v>99.56999999999999</v>
      </c>
      <c r="OO1360" s="2">
        <v>99.58</v>
      </c>
      <c r="OP1360" s="2">
        <v>99.58</v>
      </c>
      <c r="OQ1360" s="2">
        <v>99.59</v>
      </c>
      <c r="OR1360" s="2">
        <v>99.64</v>
      </c>
      <c r="OS1360" s="2">
        <v>99.67</v>
      </c>
      <c r="OT1360" s="2">
        <v>99.98</v>
      </c>
      <c r="OU1360" s="2">
        <v>100</v>
      </c>
      <c r="OV1360" s="2">
        <v>100.03</v>
      </c>
      <c r="OW1360" s="2">
        <v>100.07</v>
      </c>
      <c r="OX1360" s="2">
        <v>100.1</v>
      </c>
      <c r="PC1360" s="2">
        <v>99.98</v>
      </c>
      <c r="PD1360" s="2">
        <v>104.19</v>
      </c>
      <c r="PE1360" s="2">
        <v>104.23</v>
      </c>
      <c r="PF1360" s="2">
        <v>104.23</v>
      </c>
      <c r="PG1360" s="2">
        <v>104.23</v>
      </c>
      <c r="PH1360" s="2">
        <v>104.24</v>
      </c>
      <c r="PI1360" s="2">
        <v>104.27</v>
      </c>
    </row>
    <row r="1361">
      <c r="A1361" t="inlineStr">
        <is>
          <t>A130398932W</t>
        </is>
      </c>
      <c r="B1361" t="inlineStr">
        <is>
          <t>Index Numbers ;  Insurance and financial services ;  Sydney ;</t>
        </is>
      </c>
      <c r="C1361" t="inlineStr">
        <is>
          <t>Month</t>
        </is>
      </c>
      <c r="D1361" t="inlineStr">
        <is>
          <t>Index Numbers</t>
        </is>
      </c>
      <c r="E1361" t="inlineStr">
        <is>
          <t>Original</t>
        </is>
      </c>
      <c r="F1361" t="inlineStr">
        <is>
          <t>640109.xlsx</t>
        </is>
      </c>
      <c r="G1361" t="inlineStr">
        <is>
          <t>2024-04</t>
        </is>
      </c>
      <c r="H1361" t="inlineStr">
        <is>
          <t>2026-07</t>
        </is>
      </c>
      <c r="NZ1361" s="2">
        <v>95.52</v>
      </c>
      <c r="OA1361" s="2">
        <v>95.70999999999999</v>
      </c>
      <c r="OB1361" s="2">
        <v>96.88</v>
      </c>
      <c r="OC1361" s="2">
        <v>97.03</v>
      </c>
      <c r="OD1361" s="2">
        <v>97.12</v>
      </c>
      <c r="OE1361" s="2">
        <v>97.68000000000001</v>
      </c>
      <c r="OF1361" s="2">
        <v>97.87</v>
      </c>
      <c r="OG1361" s="2">
        <v>97.81</v>
      </c>
      <c r="OH1361" s="2">
        <v>98.25</v>
      </c>
      <c r="OM1361" s="2">
        <v>98.84999999999999</v>
      </c>
      <c r="ON1361" s="2">
        <v>98.84999999999999</v>
      </c>
      <c r="OO1361" s="2">
        <v>99.05</v>
      </c>
      <c r="OP1361" s="2">
        <v>98.95999999999999</v>
      </c>
      <c r="OQ1361" s="2">
        <v>98.87</v>
      </c>
      <c r="OR1361" s="2">
        <v>99.53</v>
      </c>
      <c r="OS1361" s="2">
        <v>99.62</v>
      </c>
      <c r="OT1361" s="2">
        <v>99.67</v>
      </c>
      <c r="OU1361" s="2">
        <v>100</v>
      </c>
      <c r="OV1361" s="2">
        <v>100.22</v>
      </c>
      <c r="OW1361" s="2">
        <v>100.28</v>
      </c>
      <c r="OX1361" s="2">
        <v>100.75</v>
      </c>
      <c r="PC1361" s="2">
        <v>101.24</v>
      </c>
      <c r="PD1361" s="2">
        <v>101.3</v>
      </c>
      <c r="PE1361" s="2">
        <v>102.18</v>
      </c>
      <c r="PF1361" s="2">
        <v>102.18</v>
      </c>
      <c r="PG1361" s="2">
        <v>102.33</v>
      </c>
      <c r="PH1361" s="2">
        <v>103.07</v>
      </c>
      <c r="PI1361" s="2">
        <v>103.1</v>
      </c>
    </row>
    <row r="1362">
      <c r="A1362" t="inlineStr">
        <is>
          <t>A130396086K</t>
        </is>
      </c>
      <c r="B1362" t="inlineStr">
        <is>
          <t>Index Numbers ;  All groups CPI ;  Melbourne ;</t>
        </is>
      </c>
      <c r="C1362" t="inlineStr">
        <is>
          <t>Month</t>
        </is>
      </c>
      <c r="D1362" t="inlineStr">
        <is>
          <t>Index Numbers</t>
        </is>
      </c>
      <c r="E1362" t="inlineStr">
        <is>
          <t>Original</t>
        </is>
      </c>
      <c r="F1362" t="inlineStr">
        <is>
          <t>640109.xlsx</t>
        </is>
      </c>
      <c r="G1362" t="inlineStr">
        <is>
          <t>2024-04</t>
        </is>
      </c>
      <c r="H1362" t="inlineStr">
        <is>
          <t>2026-07</t>
        </is>
      </c>
      <c r="NZ1362" s="2">
        <v>96.51000000000001</v>
      </c>
      <c r="OA1362" s="2">
        <v>96.51000000000001</v>
      </c>
      <c r="OB1362" s="2">
        <v>96.81</v>
      </c>
      <c r="OC1362" s="2">
        <v>97.19</v>
      </c>
      <c r="OD1362" s="2">
        <v>97.12</v>
      </c>
      <c r="OE1362" s="2">
        <v>97.40000000000001</v>
      </c>
      <c r="OF1362" s="2">
        <v>96.83</v>
      </c>
      <c r="OG1362" s="2">
        <v>97.2</v>
      </c>
      <c r="OH1362" s="2">
        <v>97.95</v>
      </c>
      <c r="OM1362" s="2">
        <v>98.25</v>
      </c>
      <c r="ON1362" s="2">
        <v>98.09999999999999</v>
      </c>
      <c r="OO1362" s="2">
        <v>98.03</v>
      </c>
      <c r="OP1362" s="2">
        <v>98.73</v>
      </c>
      <c r="OQ1362" s="2">
        <v>98.23</v>
      </c>
      <c r="OR1362" s="2">
        <v>98.48</v>
      </c>
      <c r="OS1362" s="2">
        <v>99.45</v>
      </c>
      <c r="OT1362" s="2">
        <v>99.54000000000001</v>
      </c>
      <c r="OU1362" s="2">
        <v>100</v>
      </c>
      <c r="OV1362" s="2">
        <v>100.01</v>
      </c>
      <c r="OW1362" s="2">
        <v>100.07</v>
      </c>
      <c r="OX1362" s="2">
        <v>100.98</v>
      </c>
      <c r="PC1362" s="2">
        <v>101.45</v>
      </c>
      <c r="PD1362" s="2">
        <v>101.36</v>
      </c>
      <c r="PE1362" s="2">
        <v>102.57</v>
      </c>
      <c r="PF1362" s="2">
        <v>102.58</v>
      </c>
      <c r="PG1362" s="2">
        <v>101.63</v>
      </c>
      <c r="PH1362" s="2">
        <v>101.66</v>
      </c>
      <c r="PI1362" s="2">
        <v>102.65</v>
      </c>
    </row>
    <row r="1363">
      <c r="A1363" t="inlineStr">
        <is>
          <t>A130399170F</t>
        </is>
      </c>
      <c r="B1363" t="inlineStr">
        <is>
          <t>Index Numbers ;  Food and non-alcoholic beverages ;  Melbourne ;</t>
        </is>
      </c>
      <c r="C1363" t="inlineStr">
        <is>
          <t>Month</t>
        </is>
      </c>
      <c r="D1363" t="inlineStr">
        <is>
          <t>Index Numbers</t>
        </is>
      </c>
      <c r="E1363" t="inlineStr">
        <is>
          <t>Original</t>
        </is>
      </c>
      <c r="F1363" t="inlineStr">
        <is>
          <t>640109.xlsx</t>
        </is>
      </c>
      <c r="G1363" t="inlineStr">
        <is>
          <t>2024-04</t>
        </is>
      </c>
      <c r="H1363" t="inlineStr">
        <is>
          <t>2026-07</t>
        </is>
      </c>
      <c r="NZ1363" s="2">
        <v>96.22</v>
      </c>
      <c r="OA1363" s="2">
        <v>96.73</v>
      </c>
      <c r="OB1363" s="2">
        <v>96.31999999999999</v>
      </c>
      <c r="OC1363" s="2">
        <v>97.23</v>
      </c>
      <c r="OD1363" s="2">
        <v>97.43000000000001</v>
      </c>
      <c r="OE1363" s="2">
        <v>96.97</v>
      </c>
      <c r="OF1363" s="2">
        <v>97.09999999999999</v>
      </c>
      <c r="OG1363" s="2">
        <v>97.36</v>
      </c>
      <c r="OH1363" s="2">
        <v>97.52</v>
      </c>
      <c r="OM1363" s="2">
        <v>98.31999999999999</v>
      </c>
      <c r="ON1363" s="2">
        <v>98.16</v>
      </c>
      <c r="OO1363" s="2">
        <v>98.79000000000001</v>
      </c>
      <c r="OP1363" s="2">
        <v>99.12</v>
      </c>
      <c r="OQ1363" s="2">
        <v>99.16</v>
      </c>
      <c r="OR1363" s="2">
        <v>99.70999999999999</v>
      </c>
      <c r="OS1363" s="2">
        <v>100.07</v>
      </c>
      <c r="OT1363" s="2">
        <v>100.32</v>
      </c>
      <c r="OU1363" s="2">
        <v>100</v>
      </c>
      <c r="OV1363" s="2">
        <v>100.17</v>
      </c>
      <c r="OW1363" s="2">
        <v>100.56</v>
      </c>
      <c r="OX1363" s="2">
        <v>100.93</v>
      </c>
      <c r="PC1363" s="2">
        <v>101.41</v>
      </c>
      <c r="PD1363" s="2">
        <v>101.25</v>
      </c>
      <c r="PE1363" s="2">
        <v>101.98</v>
      </c>
      <c r="PF1363" s="2">
        <v>101.93</v>
      </c>
      <c r="PG1363" s="2">
        <v>102.58</v>
      </c>
      <c r="PH1363" s="2">
        <v>102.86</v>
      </c>
      <c r="PI1363" s="2">
        <v>103.01</v>
      </c>
    </row>
    <row r="1364">
      <c r="A1364" t="inlineStr">
        <is>
          <t>A130390409J</t>
        </is>
      </c>
      <c r="B1364" t="inlineStr">
        <is>
          <t>Index Numbers ;  Alcohol and tobacco ;  Melbourne ;</t>
        </is>
      </c>
      <c r="C1364" t="inlineStr">
        <is>
          <t>Month</t>
        </is>
      </c>
      <c r="D1364" t="inlineStr">
        <is>
          <t>Index Numbers</t>
        </is>
      </c>
      <c r="E1364" t="inlineStr">
        <is>
          <t>Original</t>
        </is>
      </c>
      <c r="F1364" t="inlineStr">
        <is>
          <t>640109.xlsx</t>
        </is>
      </c>
      <c r="G1364" t="inlineStr">
        <is>
          <t>2024-04</t>
        </is>
      </c>
      <c r="H1364" t="inlineStr">
        <is>
          <t>2026-07</t>
        </is>
      </c>
      <c r="NZ1364" s="2">
        <v>91.64</v>
      </c>
      <c r="OA1364" s="2">
        <v>92.09</v>
      </c>
      <c r="OB1364" s="2">
        <v>91.59</v>
      </c>
      <c r="OC1364" s="2">
        <v>91.83</v>
      </c>
      <c r="OD1364" s="2">
        <v>92.66</v>
      </c>
      <c r="OE1364" s="2">
        <v>94.27</v>
      </c>
      <c r="OF1364" s="2">
        <v>95.33</v>
      </c>
      <c r="OG1364" s="2">
        <v>96.12</v>
      </c>
      <c r="OH1364" s="2">
        <v>95.56</v>
      </c>
      <c r="OM1364" s="2">
        <v>96.43000000000001</v>
      </c>
      <c r="ON1364" s="2">
        <v>96.37</v>
      </c>
      <c r="OO1364" s="2">
        <v>97.13</v>
      </c>
      <c r="OP1364" s="2">
        <v>97.06</v>
      </c>
      <c r="OQ1364" s="2">
        <v>97.95</v>
      </c>
      <c r="OR1364" s="2">
        <v>97.27</v>
      </c>
      <c r="OS1364" s="2">
        <v>98.23999999999999</v>
      </c>
      <c r="OT1364" s="2">
        <v>98.31</v>
      </c>
      <c r="OU1364" s="2">
        <v>100</v>
      </c>
      <c r="OV1364" s="2">
        <v>99.64</v>
      </c>
      <c r="OW1364" s="2">
        <v>99.87</v>
      </c>
      <c r="OX1364" s="2">
        <v>99.88</v>
      </c>
      <c r="PC1364" s="2">
        <v>101.05</v>
      </c>
      <c r="PD1364" s="2">
        <v>100.74</v>
      </c>
      <c r="PE1364" s="2">
        <v>102.04</v>
      </c>
      <c r="PF1364" s="2">
        <v>101.27</v>
      </c>
      <c r="PG1364" s="2">
        <v>102.46</v>
      </c>
      <c r="PH1364" s="2">
        <v>101.38</v>
      </c>
      <c r="PI1364" s="2">
        <v>103</v>
      </c>
    </row>
    <row r="1365">
      <c r="A1365" t="inlineStr">
        <is>
          <t>A130396660T</t>
        </is>
      </c>
      <c r="B1365" t="inlineStr">
        <is>
          <t>Index Numbers ;  Clothing and footwear ;  Melbourne ;</t>
        </is>
      </c>
      <c r="C1365" t="inlineStr">
        <is>
          <t>Month</t>
        </is>
      </c>
      <c r="D1365" t="inlineStr">
        <is>
          <t>Index Numbers</t>
        </is>
      </c>
      <c r="E1365" t="inlineStr">
        <is>
          <t>Original</t>
        </is>
      </c>
      <c r="F1365" t="inlineStr">
        <is>
          <t>640109.xlsx</t>
        </is>
      </c>
      <c r="G1365" t="inlineStr">
        <is>
          <t>2024-04</t>
        </is>
      </c>
      <c r="H1365" t="inlineStr">
        <is>
          <t>2026-07</t>
        </is>
      </c>
      <c r="NZ1365" s="2">
        <v>97.29000000000001</v>
      </c>
      <c r="OA1365" s="2">
        <v>95.34</v>
      </c>
      <c r="OB1365" s="2">
        <v>93.68000000000001</v>
      </c>
      <c r="OC1365" s="2">
        <v>96.3</v>
      </c>
      <c r="OD1365" s="2">
        <v>95.3</v>
      </c>
      <c r="OE1365" s="2">
        <v>96.39</v>
      </c>
      <c r="OF1365" s="2">
        <v>96.5</v>
      </c>
      <c r="OG1365" s="2">
        <v>93.63</v>
      </c>
      <c r="OH1365" s="2">
        <v>94.84999999999999</v>
      </c>
      <c r="OM1365" s="2">
        <v>95.45999999999999</v>
      </c>
      <c r="ON1365" s="2">
        <v>98.11</v>
      </c>
      <c r="OO1365" s="2">
        <v>94.31999999999999</v>
      </c>
      <c r="OP1365" s="2">
        <v>99.40000000000001</v>
      </c>
      <c r="OQ1365" s="2">
        <v>97.45</v>
      </c>
      <c r="OR1365" s="2">
        <v>97.34</v>
      </c>
      <c r="OS1365" s="2">
        <v>99.18000000000001</v>
      </c>
      <c r="OT1365" s="2">
        <v>100.06</v>
      </c>
      <c r="OU1365" s="2">
        <v>100</v>
      </c>
      <c r="OV1365" s="2">
        <v>101.47</v>
      </c>
      <c r="OW1365" s="2">
        <v>98.31999999999999</v>
      </c>
      <c r="OX1365" s="2">
        <v>97.89</v>
      </c>
      <c r="PC1365" s="2">
        <v>100.07</v>
      </c>
      <c r="PD1365" s="2">
        <v>103.24</v>
      </c>
      <c r="PE1365" s="2">
        <v>101.29</v>
      </c>
      <c r="PF1365" s="2">
        <v>105.14</v>
      </c>
      <c r="PG1365" s="2">
        <v>101.7</v>
      </c>
      <c r="PH1365" s="2">
        <v>100.58</v>
      </c>
      <c r="PI1365" s="2">
        <v>103.51</v>
      </c>
    </row>
    <row r="1366">
      <c r="A1366" t="inlineStr">
        <is>
          <t>A130392985T</t>
        </is>
      </c>
      <c r="B1366" t="inlineStr">
        <is>
          <t>Index Numbers ;  Housing ;  Melbourne ;</t>
        </is>
      </c>
      <c r="C1366" t="inlineStr">
        <is>
          <t>Month</t>
        </is>
      </c>
      <c r="D1366" t="inlineStr">
        <is>
          <t>Index Numbers</t>
        </is>
      </c>
      <c r="E1366" t="inlineStr">
        <is>
          <t>Original</t>
        </is>
      </c>
      <c r="F1366" t="inlineStr">
        <is>
          <t>640109.xlsx</t>
        </is>
      </c>
      <c r="G1366" t="inlineStr">
        <is>
          <t>2024-04</t>
        </is>
      </c>
      <c r="H1366" t="inlineStr">
        <is>
          <t>2026-07</t>
        </is>
      </c>
      <c r="NZ1366" s="2">
        <v>96.37</v>
      </c>
      <c r="OA1366" s="2">
        <v>97.12</v>
      </c>
      <c r="OB1366" s="2">
        <v>97.78</v>
      </c>
      <c r="OC1366" s="2">
        <v>98.7</v>
      </c>
      <c r="OD1366" s="2">
        <v>98.25</v>
      </c>
      <c r="OE1366" s="2">
        <v>97.54000000000001</v>
      </c>
      <c r="OF1366" s="2">
        <v>95.53</v>
      </c>
      <c r="OG1366" s="2">
        <v>96.51000000000001</v>
      </c>
      <c r="OH1366" s="2">
        <v>97.28</v>
      </c>
      <c r="OM1366" s="2">
        <v>98.11</v>
      </c>
      <c r="ON1366" s="2">
        <v>97.37</v>
      </c>
      <c r="OO1366" s="2">
        <v>96.98999999999999</v>
      </c>
      <c r="OP1366" s="2">
        <v>96.97</v>
      </c>
      <c r="OQ1366" s="2">
        <v>97.45999999999999</v>
      </c>
      <c r="OR1366" s="2">
        <v>97.65000000000001</v>
      </c>
      <c r="OS1366" s="2">
        <v>98.66</v>
      </c>
      <c r="OT1366" s="2">
        <v>99.06</v>
      </c>
      <c r="OU1366" s="2">
        <v>100</v>
      </c>
      <c r="OV1366" s="2">
        <v>99.56</v>
      </c>
      <c r="OW1366" s="2">
        <v>100.2</v>
      </c>
      <c r="OX1366" s="2">
        <v>100.37</v>
      </c>
      <c r="PC1366" s="2">
        <v>102.43</v>
      </c>
      <c r="PD1366" s="2">
        <v>102.52</v>
      </c>
      <c r="PE1366" s="2">
        <v>102.72</v>
      </c>
      <c r="PF1366" s="2">
        <v>102.81</v>
      </c>
      <c r="PG1366" s="2">
        <v>102.61</v>
      </c>
      <c r="PH1366" s="2">
        <v>103.17</v>
      </c>
      <c r="PI1366" s="2">
        <v>103.32</v>
      </c>
    </row>
    <row r="1367">
      <c r="A1367" t="inlineStr">
        <is>
          <t>A130393006V</t>
        </is>
      </c>
      <c r="B1367" t="inlineStr">
        <is>
          <t>Index Numbers ;  Furnishings, household equipment and services ;  Melbourne ;</t>
        </is>
      </c>
      <c r="C1367" t="inlineStr">
        <is>
          <t>Month</t>
        </is>
      </c>
      <c r="D1367" t="inlineStr">
        <is>
          <t>Index Numbers</t>
        </is>
      </c>
      <c r="E1367" t="inlineStr">
        <is>
          <t>Original</t>
        </is>
      </c>
      <c r="F1367" t="inlineStr">
        <is>
          <t>640109.xlsx</t>
        </is>
      </c>
      <c r="G1367" t="inlineStr">
        <is>
          <t>2024-04</t>
        </is>
      </c>
      <c r="H1367" t="inlineStr">
        <is>
          <t>2026-07</t>
        </is>
      </c>
      <c r="NZ1367" s="2">
        <v>97.97</v>
      </c>
      <c r="OA1367" s="2">
        <v>98.13</v>
      </c>
      <c r="OB1367" s="2">
        <v>96.55</v>
      </c>
      <c r="OC1367" s="2">
        <v>98.08</v>
      </c>
      <c r="OD1367" s="2">
        <v>98.94</v>
      </c>
      <c r="OE1367" s="2">
        <v>98.58</v>
      </c>
      <c r="OF1367" s="2">
        <v>99.16</v>
      </c>
      <c r="OG1367" s="2">
        <v>99.42</v>
      </c>
      <c r="OH1367" s="2">
        <v>98.02</v>
      </c>
      <c r="OM1367" s="2">
        <v>98.44</v>
      </c>
      <c r="ON1367" s="2">
        <v>98.94</v>
      </c>
      <c r="OO1367" s="2">
        <v>98.81</v>
      </c>
      <c r="OP1367" s="2">
        <v>98.95</v>
      </c>
      <c r="OQ1367" s="2">
        <v>98.64</v>
      </c>
      <c r="OR1367" s="2">
        <v>97.53</v>
      </c>
      <c r="OS1367" s="2">
        <v>99.73999999999999</v>
      </c>
      <c r="OT1367" s="2">
        <v>100.29</v>
      </c>
      <c r="OU1367" s="2">
        <v>100</v>
      </c>
      <c r="OV1367" s="2">
        <v>100.93</v>
      </c>
      <c r="OW1367" s="2">
        <v>99.95</v>
      </c>
      <c r="OX1367" s="2">
        <v>99.29000000000001</v>
      </c>
      <c r="PC1367" s="2">
        <v>98.98999999999999</v>
      </c>
      <c r="PD1367" s="2">
        <v>99.86</v>
      </c>
      <c r="PE1367" s="2">
        <v>99.98</v>
      </c>
      <c r="PF1367" s="2">
        <v>100.01</v>
      </c>
      <c r="PG1367" s="2">
        <v>99.55</v>
      </c>
      <c r="PH1367" s="2">
        <v>97.95999999999999</v>
      </c>
      <c r="PI1367" s="2">
        <v>100.46</v>
      </c>
    </row>
    <row r="1368">
      <c r="A1368" t="inlineStr">
        <is>
          <t>A130397522L</t>
        </is>
      </c>
      <c r="B1368" t="inlineStr">
        <is>
          <t>Index Numbers ;  Health ;  Melbourne ;</t>
        </is>
      </c>
      <c r="C1368" t="inlineStr">
        <is>
          <t>Month</t>
        </is>
      </c>
      <c r="D1368" t="inlineStr">
        <is>
          <t>Index Numbers</t>
        </is>
      </c>
      <c r="E1368" t="inlineStr">
        <is>
          <t>Original</t>
        </is>
      </c>
      <c r="F1368" t="inlineStr">
        <is>
          <t>640109.xlsx</t>
        </is>
      </c>
      <c r="G1368" t="inlineStr">
        <is>
          <t>2024-04</t>
        </is>
      </c>
      <c r="H1368" t="inlineStr">
        <is>
          <t>2026-07</t>
        </is>
      </c>
      <c r="NZ1368" s="2">
        <v>96.70999999999999</v>
      </c>
      <c r="OA1368" s="2">
        <v>96.58</v>
      </c>
      <c r="OB1368" s="2">
        <v>96.40000000000001</v>
      </c>
      <c r="OC1368" s="2">
        <v>96.63</v>
      </c>
      <c r="OD1368" s="2">
        <v>96.66</v>
      </c>
      <c r="OE1368" s="2">
        <v>96.34999999999999</v>
      </c>
      <c r="OF1368" s="2">
        <v>96.73</v>
      </c>
      <c r="OG1368" s="2">
        <v>96.67</v>
      </c>
      <c r="OH1368" s="2">
        <v>96.31</v>
      </c>
      <c r="OM1368" s="2">
        <v>99.45999999999999</v>
      </c>
      <c r="ON1368" s="2">
        <v>99.48999999999999</v>
      </c>
      <c r="OO1368" s="2">
        <v>99.13</v>
      </c>
      <c r="OP1368" s="2">
        <v>100.61</v>
      </c>
      <c r="OQ1368" s="2">
        <v>100.54</v>
      </c>
      <c r="OR1368" s="2">
        <v>100.43</v>
      </c>
      <c r="OS1368" s="2">
        <v>100.33</v>
      </c>
      <c r="OT1368" s="2">
        <v>100.33</v>
      </c>
      <c r="OU1368" s="2">
        <v>100</v>
      </c>
      <c r="OV1368" s="2">
        <v>100.09</v>
      </c>
      <c r="OW1368" s="2">
        <v>99.63</v>
      </c>
      <c r="OX1368" s="2">
        <v>99.47</v>
      </c>
      <c r="PC1368" s="2">
        <v>102.18</v>
      </c>
      <c r="PD1368" s="2">
        <v>102.37</v>
      </c>
      <c r="PE1368" s="2">
        <v>102.54</v>
      </c>
      <c r="PF1368" s="2">
        <v>104.54</v>
      </c>
      <c r="PG1368" s="2">
        <v>103.96</v>
      </c>
      <c r="PH1368" s="2">
        <v>103.69</v>
      </c>
      <c r="PI1368" s="2">
        <v>103.92</v>
      </c>
    </row>
    <row r="1369">
      <c r="A1369" t="inlineStr">
        <is>
          <t>A130390402T</t>
        </is>
      </c>
      <c r="B1369" t="inlineStr">
        <is>
          <t>Index Numbers ;  Transport ;  Melbourne ;</t>
        </is>
      </c>
      <c r="C1369" t="inlineStr">
        <is>
          <t>Month</t>
        </is>
      </c>
      <c r="D1369" t="inlineStr">
        <is>
          <t>Index Numbers</t>
        </is>
      </c>
      <c r="E1369" t="inlineStr">
        <is>
          <t>Original</t>
        </is>
      </c>
      <c r="F1369" t="inlineStr">
        <is>
          <t>640109.xlsx</t>
        </is>
      </c>
      <c r="G1369" t="inlineStr">
        <is>
          <t>2024-04</t>
        </is>
      </c>
      <c r="H1369" t="inlineStr">
        <is>
          <t>2026-07</t>
        </is>
      </c>
      <c r="NZ1369" s="2">
        <v>102</v>
      </c>
      <c r="OA1369" s="2">
        <v>100.88</v>
      </c>
      <c r="OB1369" s="2">
        <v>101.27</v>
      </c>
      <c r="OC1369" s="2">
        <v>99.97</v>
      </c>
      <c r="OD1369" s="2">
        <v>99.12</v>
      </c>
      <c r="OE1369" s="2">
        <v>99.43000000000001</v>
      </c>
      <c r="OF1369" s="2">
        <v>98.03</v>
      </c>
      <c r="OG1369" s="2">
        <v>98.92</v>
      </c>
      <c r="OH1369" s="2">
        <v>99.63</v>
      </c>
      <c r="OM1369" s="2">
        <v>99.48</v>
      </c>
      <c r="ON1369" s="2">
        <v>99.95</v>
      </c>
      <c r="OO1369" s="2">
        <v>98.91</v>
      </c>
      <c r="OP1369" s="2">
        <v>100.41</v>
      </c>
      <c r="OQ1369" s="2">
        <v>97.97</v>
      </c>
      <c r="OR1369" s="2">
        <v>99.42</v>
      </c>
      <c r="OS1369" s="2">
        <v>99.95999999999999</v>
      </c>
      <c r="OT1369" s="2">
        <v>100.76</v>
      </c>
      <c r="OU1369" s="2">
        <v>100</v>
      </c>
      <c r="OV1369" s="2">
        <v>100.44</v>
      </c>
      <c r="OW1369" s="2">
        <v>101.03</v>
      </c>
      <c r="OX1369" s="2">
        <v>100.53</v>
      </c>
      <c r="PC1369" s="2">
        <v>100.61</v>
      </c>
      <c r="PD1369" s="2">
        <v>99.8</v>
      </c>
      <c r="PE1369" s="2">
        <v>108.57</v>
      </c>
      <c r="PF1369" s="2">
        <v>103.95</v>
      </c>
      <c r="PG1369" s="2">
        <v>100.34</v>
      </c>
      <c r="PH1369" s="2">
        <v>98.70999999999999</v>
      </c>
      <c r="PI1369" s="2">
        <v>100.94</v>
      </c>
    </row>
    <row r="1370">
      <c r="A1370" t="inlineStr">
        <is>
          <t>A130391284J</t>
        </is>
      </c>
      <c r="B1370" t="inlineStr">
        <is>
          <t>Index Numbers ;  Communication ;  Melbourne ;</t>
        </is>
      </c>
      <c r="C1370" t="inlineStr">
        <is>
          <t>Month</t>
        </is>
      </c>
      <c r="D1370" t="inlineStr">
        <is>
          <t>Index Numbers</t>
        </is>
      </c>
      <c r="E1370" t="inlineStr">
        <is>
          <t>Original</t>
        </is>
      </c>
      <c r="F1370" t="inlineStr">
        <is>
          <t>640109.xlsx</t>
        </is>
      </c>
      <c r="G1370" t="inlineStr">
        <is>
          <t>2024-04</t>
        </is>
      </c>
      <c r="H1370" t="inlineStr">
        <is>
          <t>2026-07</t>
        </is>
      </c>
      <c r="NZ1370" s="2">
        <v>98.54000000000001</v>
      </c>
      <c r="OA1370" s="2">
        <v>97.89</v>
      </c>
      <c r="OB1370" s="2">
        <v>97.25</v>
      </c>
      <c r="OC1370" s="2">
        <v>98.89</v>
      </c>
      <c r="OD1370" s="2">
        <v>98.38</v>
      </c>
      <c r="OE1370" s="2">
        <v>98.42</v>
      </c>
      <c r="OF1370" s="2">
        <v>99.06</v>
      </c>
      <c r="OG1370" s="2">
        <v>98.94</v>
      </c>
      <c r="OH1370" s="2">
        <v>98.72</v>
      </c>
      <c r="OM1370" s="2">
        <v>98.37</v>
      </c>
      <c r="ON1370" s="2">
        <v>99.09</v>
      </c>
      <c r="OO1370" s="2">
        <v>98.95</v>
      </c>
      <c r="OP1370" s="2">
        <v>99.20999999999999</v>
      </c>
      <c r="OQ1370" s="2">
        <v>98.84999999999999</v>
      </c>
      <c r="OR1370" s="2">
        <v>98.01000000000001</v>
      </c>
      <c r="OS1370" s="2">
        <v>99.48999999999999</v>
      </c>
      <c r="OT1370" s="2">
        <v>100.2</v>
      </c>
      <c r="OU1370" s="2">
        <v>100</v>
      </c>
      <c r="OV1370" s="2">
        <v>99.8</v>
      </c>
      <c r="OW1370" s="2">
        <v>100.24</v>
      </c>
      <c r="OX1370" s="2">
        <v>99.8</v>
      </c>
      <c r="PC1370" s="2">
        <v>99.70999999999999</v>
      </c>
      <c r="PD1370" s="2">
        <v>99.89</v>
      </c>
      <c r="PE1370" s="2">
        <v>100.35</v>
      </c>
      <c r="PF1370" s="2">
        <v>100.74</v>
      </c>
      <c r="PG1370" s="2">
        <v>100.9</v>
      </c>
      <c r="PH1370" s="2">
        <v>100.21</v>
      </c>
      <c r="PI1370" s="2">
        <v>101.99</v>
      </c>
    </row>
    <row r="1371">
      <c r="A1371" t="inlineStr">
        <is>
          <t>A130397543X</t>
        </is>
      </c>
      <c r="B1371" t="inlineStr">
        <is>
          <t>Index Numbers ;  Recreation and culture ;  Melbourne ;</t>
        </is>
      </c>
      <c r="C1371" t="inlineStr">
        <is>
          <t>Month</t>
        </is>
      </c>
      <c r="D1371" t="inlineStr">
        <is>
          <t>Index Numbers</t>
        </is>
      </c>
      <c r="E1371" t="inlineStr">
        <is>
          <t>Original</t>
        </is>
      </c>
      <c r="F1371" t="inlineStr">
        <is>
          <t>640109.xlsx</t>
        </is>
      </c>
      <c r="G1371" t="inlineStr">
        <is>
          <t>2024-04</t>
        </is>
      </c>
      <c r="H1371" t="inlineStr">
        <is>
          <t>2026-07</t>
        </is>
      </c>
      <c r="NZ1371" s="2">
        <v>95.05</v>
      </c>
      <c r="OA1371" s="2">
        <v>94.34999999999999</v>
      </c>
      <c r="OB1371" s="2">
        <v>97.58</v>
      </c>
      <c r="OC1371" s="2">
        <v>96.66</v>
      </c>
      <c r="OD1371" s="2">
        <v>96.59</v>
      </c>
      <c r="OE1371" s="2">
        <v>99.02</v>
      </c>
      <c r="OF1371" s="2">
        <v>97.52</v>
      </c>
      <c r="OG1371" s="2">
        <v>97.79000000000001</v>
      </c>
      <c r="OH1371" s="2">
        <v>102.41</v>
      </c>
      <c r="OM1371" s="2">
        <v>99.86</v>
      </c>
      <c r="ON1371" s="2">
        <v>96.38</v>
      </c>
      <c r="OO1371" s="2">
        <v>97.29000000000001</v>
      </c>
      <c r="OP1371" s="2">
        <v>98.89</v>
      </c>
      <c r="OQ1371" s="2">
        <v>96.47</v>
      </c>
      <c r="OR1371" s="2">
        <v>96.88</v>
      </c>
      <c r="OS1371" s="2">
        <v>99.31</v>
      </c>
      <c r="OT1371" s="2">
        <v>97.58</v>
      </c>
      <c r="OU1371" s="2">
        <v>100</v>
      </c>
      <c r="OV1371" s="2">
        <v>99.38</v>
      </c>
      <c r="OW1371" s="2">
        <v>99</v>
      </c>
      <c r="OX1371" s="2">
        <v>106.52</v>
      </c>
      <c r="PC1371" s="2">
        <v>103.34</v>
      </c>
      <c r="PD1371" s="2">
        <v>100.14</v>
      </c>
      <c r="PE1371" s="2">
        <v>99.45999999999999</v>
      </c>
      <c r="PF1371" s="2">
        <v>102.01</v>
      </c>
      <c r="PG1371" s="2">
        <v>97.87</v>
      </c>
      <c r="PH1371" s="2">
        <v>100.18</v>
      </c>
      <c r="PI1371" s="2">
        <v>101.99</v>
      </c>
    </row>
    <row r="1372">
      <c r="A1372" t="inlineStr">
        <is>
          <t>A130393846K</t>
        </is>
      </c>
      <c r="B1372" t="inlineStr">
        <is>
          <t>Index Numbers ;  Education ;  Melbourne ;</t>
        </is>
      </c>
      <c r="C1372" t="inlineStr">
        <is>
          <t>Month</t>
        </is>
      </c>
      <c r="D1372" t="inlineStr">
        <is>
          <t>Index Numbers</t>
        </is>
      </c>
      <c r="E1372" t="inlineStr">
        <is>
          <t>Original</t>
        </is>
      </c>
      <c r="F1372" t="inlineStr">
        <is>
          <t>640109.xlsx</t>
        </is>
      </c>
      <c r="G1372" t="inlineStr">
        <is>
          <t>2024-04</t>
        </is>
      </c>
      <c r="H1372" t="inlineStr">
        <is>
          <t>2026-07</t>
        </is>
      </c>
      <c r="NZ1372" s="2">
        <v>94.64</v>
      </c>
      <c r="OA1372" s="2">
        <v>94.65000000000001</v>
      </c>
      <c r="OB1372" s="2">
        <v>94.66</v>
      </c>
      <c r="OC1372" s="2">
        <v>94.67</v>
      </c>
      <c r="OD1372" s="2">
        <v>94.73</v>
      </c>
      <c r="OE1372" s="2">
        <v>94.75</v>
      </c>
      <c r="OF1372" s="2">
        <v>94.76000000000001</v>
      </c>
      <c r="OG1372" s="2">
        <v>94.77</v>
      </c>
      <c r="OH1372" s="2">
        <v>94.78</v>
      </c>
      <c r="OM1372" s="2">
        <v>94.73999999999999</v>
      </c>
      <c r="ON1372" s="2">
        <v>99.84</v>
      </c>
      <c r="OO1372" s="2">
        <v>99.89</v>
      </c>
      <c r="OP1372" s="2">
        <v>99.88</v>
      </c>
      <c r="OQ1372" s="2">
        <v>99.87</v>
      </c>
      <c r="OR1372" s="2">
        <v>99.91</v>
      </c>
      <c r="OS1372" s="2">
        <v>99.93000000000001</v>
      </c>
      <c r="OT1372" s="2">
        <v>99.98999999999999</v>
      </c>
      <c r="OU1372" s="2">
        <v>100</v>
      </c>
      <c r="OV1372" s="2">
        <v>100.01</v>
      </c>
      <c r="OW1372" s="2">
        <v>100.02</v>
      </c>
      <c r="OX1372" s="2">
        <v>100.03</v>
      </c>
      <c r="PC1372" s="2">
        <v>100.03</v>
      </c>
      <c r="PD1372" s="2">
        <v>104.62</v>
      </c>
      <c r="PE1372" s="2">
        <v>104.67</v>
      </c>
      <c r="PF1372" s="2">
        <v>104.66</v>
      </c>
      <c r="PG1372" s="2">
        <v>104.68</v>
      </c>
      <c r="PH1372" s="2">
        <v>104.68</v>
      </c>
      <c r="PI1372" s="2">
        <v>104.68</v>
      </c>
    </row>
    <row r="1373">
      <c r="A1373" t="inlineStr">
        <is>
          <t>A130396422K</t>
        </is>
      </c>
      <c r="B1373" t="inlineStr">
        <is>
          <t>Index Numbers ;  Insurance and financial services ;  Melbourne ;</t>
        </is>
      </c>
      <c r="C1373" t="inlineStr">
        <is>
          <t>Month</t>
        </is>
      </c>
      <c r="D1373" t="inlineStr">
        <is>
          <t>Index Numbers</t>
        </is>
      </c>
      <c r="E1373" t="inlineStr">
        <is>
          <t>Original</t>
        </is>
      </c>
      <c r="F1373" t="inlineStr">
        <is>
          <t>640109.xlsx</t>
        </is>
      </c>
      <c r="G1373" t="inlineStr">
        <is>
          <t>2024-04</t>
        </is>
      </c>
      <c r="H1373" t="inlineStr">
        <is>
          <t>2026-07</t>
        </is>
      </c>
      <c r="NZ1373" s="2">
        <v>95.06999999999999</v>
      </c>
      <c r="OA1373" s="2">
        <v>95.16</v>
      </c>
      <c r="OB1373" s="2">
        <v>95.48</v>
      </c>
      <c r="OC1373" s="2">
        <v>95.59999999999999</v>
      </c>
      <c r="OD1373" s="2">
        <v>95.7</v>
      </c>
      <c r="OE1373" s="2">
        <v>96.84</v>
      </c>
      <c r="OF1373" s="2">
        <v>97.09</v>
      </c>
      <c r="OG1373" s="2">
        <v>97.2</v>
      </c>
      <c r="OH1373" s="2">
        <v>97.8</v>
      </c>
      <c r="OM1373" s="2">
        <v>98.13</v>
      </c>
      <c r="ON1373" s="2">
        <v>98.20999999999999</v>
      </c>
      <c r="OO1373" s="2">
        <v>98.53</v>
      </c>
      <c r="OP1373" s="2">
        <v>98.53</v>
      </c>
      <c r="OQ1373" s="2">
        <v>98.59999999999999</v>
      </c>
      <c r="OR1373" s="2">
        <v>99.48999999999999</v>
      </c>
      <c r="OS1373" s="2">
        <v>99.69</v>
      </c>
      <c r="OT1373" s="2">
        <v>99.42</v>
      </c>
      <c r="OU1373" s="2">
        <v>100</v>
      </c>
      <c r="OV1373" s="2">
        <v>100.24</v>
      </c>
      <c r="OW1373" s="2">
        <v>100.32</v>
      </c>
      <c r="OX1373" s="2">
        <v>100.68</v>
      </c>
      <c r="PC1373" s="2">
        <v>101.08</v>
      </c>
      <c r="PD1373" s="2">
        <v>101.09</v>
      </c>
      <c r="PE1373" s="2">
        <v>102.09</v>
      </c>
      <c r="PF1373" s="2">
        <v>102.12</v>
      </c>
      <c r="PG1373" s="2">
        <v>102.26</v>
      </c>
      <c r="PH1373" s="2">
        <v>102.56</v>
      </c>
      <c r="PI1373" s="2">
        <v>102.79</v>
      </c>
    </row>
    <row r="1374">
      <c r="A1374" t="inlineStr">
        <is>
          <t>A130397382W</t>
        </is>
      </c>
      <c r="B1374" t="inlineStr">
        <is>
          <t>Index Numbers ;  All groups CPI ;  Brisbane ;</t>
        </is>
      </c>
      <c r="C1374" t="inlineStr">
        <is>
          <t>Month</t>
        </is>
      </c>
      <c r="D1374" t="inlineStr">
        <is>
          <t>Index Numbers</t>
        </is>
      </c>
      <c r="E1374" t="inlineStr">
        <is>
          <t>Original</t>
        </is>
      </c>
      <c r="F1374" t="inlineStr">
        <is>
          <t>640109.xlsx</t>
        </is>
      </c>
      <c r="G1374" t="inlineStr">
        <is>
          <t>2024-04</t>
        </is>
      </c>
      <c r="H1374" t="inlineStr">
        <is>
          <t>2026-07</t>
        </is>
      </c>
      <c r="NZ1374" s="2">
        <v>95.48999999999999</v>
      </c>
      <c r="OA1374" s="2">
        <v>95.42</v>
      </c>
      <c r="OB1374" s="2">
        <v>95.75</v>
      </c>
      <c r="OC1374" s="2">
        <v>94.69</v>
      </c>
      <c r="OD1374" s="2">
        <v>94.79000000000001</v>
      </c>
      <c r="OE1374" s="2">
        <v>95.06</v>
      </c>
      <c r="OF1374" s="2">
        <v>95.23</v>
      </c>
      <c r="OG1374" s="2">
        <v>95.11</v>
      </c>
      <c r="OH1374" s="2">
        <v>96.02</v>
      </c>
      <c r="OM1374" s="2">
        <v>96.94</v>
      </c>
      <c r="ON1374" s="2">
        <v>97.44</v>
      </c>
      <c r="OO1374" s="2">
        <v>97.53</v>
      </c>
      <c r="OP1374" s="2">
        <v>98.17</v>
      </c>
      <c r="OQ1374" s="2">
        <v>97.98</v>
      </c>
      <c r="OR1374" s="2">
        <v>97.95999999999999</v>
      </c>
      <c r="OS1374" s="2">
        <v>99.20999999999999</v>
      </c>
      <c r="OT1374" s="2">
        <v>99.23</v>
      </c>
      <c r="OU1374" s="2">
        <v>100</v>
      </c>
      <c r="OV1374" s="2">
        <v>100.21</v>
      </c>
      <c r="OW1374" s="2">
        <v>99.95999999999999</v>
      </c>
      <c r="OX1374" s="2">
        <v>100.98</v>
      </c>
      <c r="PC1374" s="2">
        <v>101.08</v>
      </c>
      <c r="PD1374" s="2">
        <v>101.05</v>
      </c>
      <c r="PE1374" s="2">
        <v>102.14</v>
      </c>
      <c r="PF1374" s="2">
        <v>102.66</v>
      </c>
      <c r="PG1374" s="2">
        <v>101.95</v>
      </c>
      <c r="PH1374" s="2">
        <v>101.89</v>
      </c>
      <c r="PI1374" s="2">
        <v>102.93</v>
      </c>
    </row>
    <row r="1375">
      <c r="A1375" t="inlineStr">
        <is>
          <t>A130390353J</t>
        </is>
      </c>
      <c r="B1375" t="inlineStr">
        <is>
          <t>Index Numbers ;  Food and non-alcoholic beverages ;  Brisbane ;</t>
        </is>
      </c>
      <c r="C1375" t="inlineStr">
        <is>
          <t>Month</t>
        </is>
      </c>
      <c r="D1375" t="inlineStr">
        <is>
          <t>Index Numbers</t>
        </is>
      </c>
      <c r="E1375" t="inlineStr">
        <is>
          <t>Original</t>
        </is>
      </c>
      <c r="F1375" t="inlineStr">
        <is>
          <t>640109.xlsx</t>
        </is>
      </c>
      <c r="G1375" t="inlineStr">
        <is>
          <t>2024-04</t>
        </is>
      </c>
      <c r="H1375" t="inlineStr">
        <is>
          <t>2026-07</t>
        </is>
      </c>
      <c r="NZ1375" s="2">
        <v>96.17</v>
      </c>
      <c r="OA1375" s="2">
        <v>96.61</v>
      </c>
      <c r="OB1375" s="2">
        <v>96.2</v>
      </c>
      <c r="OC1375" s="2">
        <v>97.05</v>
      </c>
      <c r="OD1375" s="2">
        <v>97.36</v>
      </c>
      <c r="OE1375" s="2">
        <v>96.84999999999999</v>
      </c>
      <c r="OF1375" s="2">
        <v>97.22</v>
      </c>
      <c r="OG1375" s="2">
        <v>97.39</v>
      </c>
      <c r="OH1375" s="2">
        <v>97.84</v>
      </c>
      <c r="OM1375" s="2">
        <v>98.86</v>
      </c>
      <c r="ON1375" s="2">
        <v>98.84</v>
      </c>
      <c r="OO1375" s="2">
        <v>99.70999999999999</v>
      </c>
      <c r="OP1375" s="2">
        <v>99.75</v>
      </c>
      <c r="OQ1375" s="2">
        <v>99.84</v>
      </c>
      <c r="OR1375" s="2">
        <v>100.11</v>
      </c>
      <c r="OS1375" s="2">
        <v>100.43</v>
      </c>
      <c r="OT1375" s="2">
        <v>100.35</v>
      </c>
      <c r="OU1375" s="2">
        <v>100</v>
      </c>
      <c r="OV1375" s="2">
        <v>100.42</v>
      </c>
      <c r="OW1375" s="2">
        <v>100.97</v>
      </c>
      <c r="OX1375" s="2">
        <v>101.12</v>
      </c>
      <c r="PC1375" s="2">
        <v>101.64</v>
      </c>
      <c r="PD1375" s="2">
        <v>101.57</v>
      </c>
      <c r="PE1375" s="2">
        <v>102.28</v>
      </c>
      <c r="PF1375" s="2">
        <v>102.36</v>
      </c>
      <c r="PG1375" s="2">
        <v>102.83</v>
      </c>
      <c r="PH1375" s="2">
        <v>103.45</v>
      </c>
      <c r="PI1375" s="2">
        <v>103.84</v>
      </c>
    </row>
    <row r="1376">
      <c r="A1376" t="inlineStr">
        <is>
          <t>A130399212T</t>
        </is>
      </c>
      <c r="B1376" t="inlineStr">
        <is>
          <t>Index Numbers ;  Alcohol and tobacco ;  Brisbane ;</t>
        </is>
      </c>
      <c r="C1376" t="inlineStr">
        <is>
          <t>Month</t>
        </is>
      </c>
      <c r="D1376" t="inlineStr">
        <is>
          <t>Index Numbers</t>
        </is>
      </c>
      <c r="E1376" t="inlineStr">
        <is>
          <t>Original</t>
        </is>
      </c>
      <c r="F1376" t="inlineStr">
        <is>
          <t>640109.xlsx</t>
        </is>
      </c>
      <c r="G1376" t="inlineStr">
        <is>
          <t>2024-04</t>
        </is>
      </c>
      <c r="H1376" t="inlineStr">
        <is>
          <t>2026-07</t>
        </is>
      </c>
      <c r="NZ1376" s="2">
        <v>91.17</v>
      </c>
      <c r="OA1376" s="2">
        <v>91.65000000000001</v>
      </c>
      <c r="OB1376" s="2">
        <v>91.61</v>
      </c>
      <c r="OC1376" s="2">
        <v>91.77</v>
      </c>
      <c r="OD1376" s="2">
        <v>92.04000000000001</v>
      </c>
      <c r="OE1376" s="2">
        <v>93.66</v>
      </c>
      <c r="OF1376" s="2">
        <v>94.89</v>
      </c>
      <c r="OG1376" s="2">
        <v>94.87</v>
      </c>
      <c r="OH1376" s="2">
        <v>94.58</v>
      </c>
      <c r="OM1376" s="2">
        <v>94.77</v>
      </c>
      <c r="ON1376" s="2">
        <v>96.81</v>
      </c>
      <c r="OO1376" s="2">
        <v>96.84999999999999</v>
      </c>
      <c r="OP1376" s="2">
        <v>96.95999999999999</v>
      </c>
      <c r="OQ1376" s="2">
        <v>97.29000000000001</v>
      </c>
      <c r="OR1376" s="2">
        <v>97.51000000000001</v>
      </c>
      <c r="OS1376" s="2">
        <v>98.2</v>
      </c>
      <c r="OT1376" s="2">
        <v>98.84999999999999</v>
      </c>
      <c r="OU1376" s="2">
        <v>100</v>
      </c>
      <c r="OV1376" s="2">
        <v>100.25</v>
      </c>
      <c r="OW1376" s="2">
        <v>100.34</v>
      </c>
      <c r="OX1376" s="2">
        <v>100.07</v>
      </c>
      <c r="PC1376" s="2">
        <v>100.49</v>
      </c>
      <c r="PD1376" s="2">
        <v>100.91</v>
      </c>
      <c r="PE1376" s="2">
        <v>101.41</v>
      </c>
      <c r="PF1376" s="2">
        <v>101.23</v>
      </c>
      <c r="PG1376" s="2">
        <v>101.98</v>
      </c>
      <c r="PH1376" s="2">
        <v>102.25</v>
      </c>
      <c r="PI1376" s="2">
        <v>103.26</v>
      </c>
    </row>
    <row r="1377">
      <c r="A1377" t="inlineStr">
        <is>
          <t>A130399177W</t>
        </is>
      </c>
      <c r="B1377" t="inlineStr">
        <is>
          <t>Index Numbers ;  Clothing and footwear ;  Brisbane ;</t>
        </is>
      </c>
      <c r="C1377" t="inlineStr">
        <is>
          <t>Month</t>
        </is>
      </c>
      <c r="D1377" t="inlineStr">
        <is>
          <t>Index Numbers</t>
        </is>
      </c>
      <c r="E1377" t="inlineStr">
        <is>
          <t>Original</t>
        </is>
      </c>
      <c r="F1377" t="inlineStr">
        <is>
          <t>640109.xlsx</t>
        </is>
      </c>
      <c r="G1377" t="inlineStr">
        <is>
          <t>2024-04</t>
        </is>
      </c>
      <c r="H1377" t="inlineStr">
        <is>
          <t>2026-07</t>
        </is>
      </c>
      <c r="NZ1377" s="2">
        <v>98.17</v>
      </c>
      <c r="OA1377" s="2">
        <v>94.52</v>
      </c>
      <c r="OB1377" s="2">
        <v>92.91</v>
      </c>
      <c r="OC1377" s="2">
        <v>95.97</v>
      </c>
      <c r="OD1377" s="2">
        <v>95.3</v>
      </c>
      <c r="OE1377" s="2">
        <v>95.39</v>
      </c>
      <c r="OF1377" s="2">
        <v>96.84999999999999</v>
      </c>
      <c r="OG1377" s="2">
        <v>93.87</v>
      </c>
      <c r="OH1377" s="2">
        <v>94.40000000000001</v>
      </c>
      <c r="OM1377" s="2">
        <v>94.62</v>
      </c>
      <c r="ON1377" s="2">
        <v>98.73</v>
      </c>
      <c r="OO1377" s="2">
        <v>94.31</v>
      </c>
      <c r="OP1377" s="2">
        <v>99.13</v>
      </c>
      <c r="OQ1377" s="2">
        <v>97.06</v>
      </c>
      <c r="OR1377" s="2">
        <v>96.98999999999999</v>
      </c>
      <c r="OS1377" s="2">
        <v>99.56999999999999</v>
      </c>
      <c r="OT1377" s="2">
        <v>100.66</v>
      </c>
      <c r="OU1377" s="2">
        <v>100</v>
      </c>
      <c r="OV1377" s="2">
        <v>103.2</v>
      </c>
      <c r="OW1377" s="2">
        <v>99.06</v>
      </c>
      <c r="OX1377" s="2">
        <v>98.23999999999999</v>
      </c>
      <c r="PC1377" s="2">
        <v>100.9</v>
      </c>
      <c r="PD1377" s="2">
        <v>103.1</v>
      </c>
      <c r="PE1377" s="2">
        <v>101.35</v>
      </c>
      <c r="PF1377" s="2">
        <v>105.6</v>
      </c>
      <c r="PG1377" s="2">
        <v>102.74</v>
      </c>
      <c r="PH1377" s="2">
        <v>101.88</v>
      </c>
      <c r="PI1377" s="2">
        <v>104.36</v>
      </c>
    </row>
    <row r="1378">
      <c r="A1378" t="inlineStr">
        <is>
          <t>A130395484X</t>
        </is>
      </c>
      <c r="B1378" t="inlineStr">
        <is>
          <t>Index Numbers ;  Housing ;  Brisbane ;</t>
        </is>
      </c>
      <c r="C1378" t="inlineStr">
        <is>
          <t>Month</t>
        </is>
      </c>
      <c r="D1378" t="inlineStr">
        <is>
          <t>Index Numbers</t>
        </is>
      </c>
      <c r="E1378" t="inlineStr">
        <is>
          <t>Original</t>
        </is>
      </c>
      <c r="F1378" t="inlineStr">
        <is>
          <t>640109.xlsx</t>
        </is>
      </c>
      <c r="G1378" t="inlineStr">
        <is>
          <t>2024-04</t>
        </is>
      </c>
      <c r="H1378" t="inlineStr">
        <is>
          <t>2026-07</t>
        </is>
      </c>
      <c r="NZ1378" s="2">
        <v>92.45999999999999</v>
      </c>
      <c r="OA1378" s="2">
        <v>92.77</v>
      </c>
      <c r="OB1378" s="2">
        <v>93.09</v>
      </c>
      <c r="OC1378" s="2">
        <v>87.36</v>
      </c>
      <c r="OD1378" s="2">
        <v>87.78</v>
      </c>
      <c r="OE1378" s="2">
        <v>88.3</v>
      </c>
      <c r="OF1378" s="2">
        <v>89.45999999999999</v>
      </c>
      <c r="OG1378" s="2">
        <v>89.78</v>
      </c>
      <c r="OH1378" s="2">
        <v>89.94</v>
      </c>
      <c r="OM1378" s="2">
        <v>95.48999999999999</v>
      </c>
      <c r="ON1378" s="2">
        <v>95.7</v>
      </c>
      <c r="OO1378" s="2">
        <v>95.87</v>
      </c>
      <c r="OP1378" s="2">
        <v>97.37</v>
      </c>
      <c r="OQ1378" s="2">
        <v>97.31999999999999</v>
      </c>
      <c r="OR1378" s="2">
        <v>97.38</v>
      </c>
      <c r="OS1378" s="2">
        <v>98.52</v>
      </c>
      <c r="OT1378" s="2">
        <v>98.79000000000001</v>
      </c>
      <c r="OU1378" s="2">
        <v>100</v>
      </c>
      <c r="OV1378" s="2">
        <v>100.55</v>
      </c>
      <c r="OW1378" s="2">
        <v>100.7</v>
      </c>
      <c r="OX1378" s="2">
        <v>101</v>
      </c>
      <c r="PC1378" s="2">
        <v>102.58</v>
      </c>
      <c r="PD1378" s="2">
        <v>102.79</v>
      </c>
      <c r="PE1378" s="2">
        <v>103.27</v>
      </c>
      <c r="PF1378" s="2">
        <v>103.76</v>
      </c>
      <c r="PG1378" s="2">
        <v>104.37</v>
      </c>
      <c r="PH1378" s="2">
        <v>104.86</v>
      </c>
      <c r="PI1378" s="2">
        <v>104.74</v>
      </c>
    </row>
    <row r="1379">
      <c r="A1379" t="inlineStr">
        <is>
          <t>A130396681C</t>
        </is>
      </c>
      <c r="B1379" t="inlineStr">
        <is>
          <t>Index Numbers ;  Furnishings, household equipment and services ;  Brisbane ;</t>
        </is>
      </c>
      <c r="C1379" t="inlineStr">
        <is>
          <t>Month</t>
        </is>
      </c>
      <c r="D1379" t="inlineStr">
        <is>
          <t>Index Numbers</t>
        </is>
      </c>
      <c r="E1379" t="inlineStr">
        <is>
          <t>Original</t>
        </is>
      </c>
      <c r="F1379" t="inlineStr">
        <is>
          <t>640109.xlsx</t>
        </is>
      </c>
      <c r="G1379" t="inlineStr">
        <is>
          <t>2024-04</t>
        </is>
      </c>
      <c r="H1379" t="inlineStr">
        <is>
          <t>2026-07</t>
        </is>
      </c>
      <c r="NZ1379" s="2">
        <v>96.04000000000001</v>
      </c>
      <c r="OA1379" s="2">
        <v>95.98</v>
      </c>
      <c r="OB1379" s="2">
        <v>95.01000000000001</v>
      </c>
      <c r="OC1379" s="2">
        <v>97.13</v>
      </c>
      <c r="OD1379" s="2">
        <v>98.19</v>
      </c>
      <c r="OE1379" s="2">
        <v>98.02</v>
      </c>
      <c r="OF1379" s="2">
        <v>97.8</v>
      </c>
      <c r="OG1379" s="2">
        <v>97.64</v>
      </c>
      <c r="OH1379" s="2">
        <v>97.14</v>
      </c>
      <c r="OM1379" s="2">
        <v>97.14</v>
      </c>
      <c r="ON1379" s="2">
        <v>98.45999999999999</v>
      </c>
      <c r="OO1379" s="2">
        <v>97.77</v>
      </c>
      <c r="OP1379" s="2">
        <v>98.56</v>
      </c>
      <c r="OQ1379" s="2">
        <v>98.86</v>
      </c>
      <c r="OR1379" s="2">
        <v>97.11</v>
      </c>
      <c r="OS1379" s="2">
        <v>99.78</v>
      </c>
      <c r="OT1379" s="2">
        <v>100.34</v>
      </c>
      <c r="OU1379" s="2">
        <v>100</v>
      </c>
      <c r="OV1379" s="2">
        <v>100.73</v>
      </c>
      <c r="OW1379" s="2">
        <v>99.58</v>
      </c>
      <c r="OX1379" s="2">
        <v>100.2</v>
      </c>
      <c r="PC1379" s="2">
        <v>99.61</v>
      </c>
      <c r="PD1379" s="2">
        <v>100.66</v>
      </c>
      <c r="PE1379" s="2">
        <v>99.97</v>
      </c>
      <c r="PF1379" s="2">
        <v>100.41</v>
      </c>
      <c r="PG1379" s="2">
        <v>100.41</v>
      </c>
      <c r="PH1379" s="2">
        <v>99.37</v>
      </c>
      <c r="PI1379" s="2">
        <v>101.18</v>
      </c>
    </row>
    <row r="1380">
      <c r="A1380" t="inlineStr">
        <is>
          <t>A130395127A</t>
        </is>
      </c>
      <c r="B1380" t="inlineStr">
        <is>
          <t>Index Numbers ;  Health ;  Brisbane ;</t>
        </is>
      </c>
      <c r="C1380" t="inlineStr">
        <is>
          <t>Month</t>
        </is>
      </c>
      <c r="D1380" t="inlineStr">
        <is>
          <t>Index Numbers</t>
        </is>
      </c>
      <c r="E1380" t="inlineStr">
        <is>
          <t>Original</t>
        </is>
      </c>
      <c r="F1380" t="inlineStr">
        <is>
          <t>640109.xlsx</t>
        </is>
      </c>
      <c r="G1380" t="inlineStr">
        <is>
          <t>2024-04</t>
        </is>
      </c>
      <c r="H1380" t="inlineStr">
        <is>
          <t>2026-07</t>
        </is>
      </c>
      <c r="NZ1380" s="2">
        <v>96.5</v>
      </c>
      <c r="OA1380" s="2">
        <v>96.5</v>
      </c>
      <c r="OB1380" s="2">
        <v>96.38</v>
      </c>
      <c r="OC1380" s="2">
        <v>96.51000000000001</v>
      </c>
      <c r="OD1380" s="2">
        <v>96.43000000000001</v>
      </c>
      <c r="OE1380" s="2">
        <v>96.31</v>
      </c>
      <c r="OF1380" s="2">
        <v>96.23999999999999</v>
      </c>
      <c r="OG1380" s="2">
        <v>96.41</v>
      </c>
      <c r="OH1380" s="2">
        <v>95.75</v>
      </c>
      <c r="OM1380" s="2">
        <v>99.13</v>
      </c>
      <c r="ON1380" s="2">
        <v>99.3</v>
      </c>
      <c r="OO1380" s="2">
        <v>99.2</v>
      </c>
      <c r="OP1380" s="2">
        <v>100.81</v>
      </c>
      <c r="OQ1380" s="2">
        <v>100.44</v>
      </c>
      <c r="OR1380" s="2">
        <v>100.21</v>
      </c>
      <c r="OS1380" s="2">
        <v>100.49</v>
      </c>
      <c r="OT1380" s="2">
        <v>100.26</v>
      </c>
      <c r="OU1380" s="2">
        <v>100</v>
      </c>
      <c r="OV1380" s="2">
        <v>100.39</v>
      </c>
      <c r="OW1380" s="2">
        <v>99.66</v>
      </c>
      <c r="OX1380" s="2">
        <v>99.23999999999999</v>
      </c>
      <c r="PC1380" s="2">
        <v>102.37</v>
      </c>
      <c r="PD1380" s="2">
        <v>102.23</v>
      </c>
      <c r="PE1380" s="2">
        <v>102.13</v>
      </c>
      <c r="PF1380" s="2">
        <v>104.39</v>
      </c>
      <c r="PG1380" s="2">
        <v>104</v>
      </c>
      <c r="PH1380" s="2">
        <v>103.66</v>
      </c>
      <c r="PI1380" s="2">
        <v>104.16</v>
      </c>
    </row>
    <row r="1381">
      <c r="A1381" t="inlineStr">
        <is>
          <t>A130397942J</t>
        </is>
      </c>
      <c r="B1381" t="inlineStr">
        <is>
          <t>Index Numbers ;  Transport ;  Brisbane ;</t>
        </is>
      </c>
      <c r="C1381" t="inlineStr">
        <is>
          <t>Month</t>
        </is>
      </c>
      <c r="D1381" t="inlineStr">
        <is>
          <t>Index Numbers</t>
        </is>
      </c>
      <c r="E1381" t="inlineStr">
        <is>
          <t>Original</t>
        </is>
      </c>
      <c r="F1381" t="inlineStr">
        <is>
          <t>640109.xlsx</t>
        </is>
      </c>
      <c r="G1381" t="inlineStr">
        <is>
          <t>2024-04</t>
        </is>
      </c>
      <c r="H1381" t="inlineStr">
        <is>
          <t>2026-07</t>
        </is>
      </c>
      <c r="NZ1381" s="2">
        <v>102.88</v>
      </c>
      <c r="OA1381" s="2">
        <v>101.58</v>
      </c>
      <c r="OB1381" s="2">
        <v>101.73</v>
      </c>
      <c r="OC1381" s="2">
        <v>100.54</v>
      </c>
      <c r="OD1381" s="2">
        <v>98.75</v>
      </c>
      <c r="OE1381" s="2">
        <v>97.13</v>
      </c>
      <c r="OF1381" s="2">
        <v>97.01000000000001</v>
      </c>
      <c r="OG1381" s="2">
        <v>96.77</v>
      </c>
      <c r="OH1381" s="2">
        <v>98.31999999999999</v>
      </c>
      <c r="OM1381" s="2">
        <v>97.67</v>
      </c>
      <c r="ON1381" s="2">
        <v>99.38</v>
      </c>
      <c r="OO1381" s="2">
        <v>99.37</v>
      </c>
      <c r="OP1381" s="2">
        <v>96.59</v>
      </c>
      <c r="OQ1381" s="2">
        <v>97.38</v>
      </c>
      <c r="OR1381" s="2">
        <v>96.44</v>
      </c>
      <c r="OS1381" s="2">
        <v>98.34</v>
      </c>
      <c r="OT1381" s="2">
        <v>98.45</v>
      </c>
      <c r="OU1381" s="2">
        <v>100</v>
      </c>
      <c r="OV1381" s="2">
        <v>100.03</v>
      </c>
      <c r="OW1381" s="2">
        <v>100.43</v>
      </c>
      <c r="OX1381" s="2">
        <v>100.03</v>
      </c>
      <c r="PC1381" s="2">
        <v>100.16</v>
      </c>
      <c r="PD1381" s="2">
        <v>99.47</v>
      </c>
      <c r="PE1381" s="2">
        <v>108.15</v>
      </c>
      <c r="PF1381" s="2">
        <v>105.58</v>
      </c>
      <c r="PG1381" s="2">
        <v>101.4</v>
      </c>
      <c r="PH1381" s="2">
        <v>97.91</v>
      </c>
      <c r="PI1381" s="2">
        <v>100.44</v>
      </c>
    </row>
    <row r="1382">
      <c r="A1382" t="inlineStr">
        <is>
          <t>A130396205R</t>
        </is>
      </c>
      <c r="B1382" t="inlineStr">
        <is>
          <t>Index Numbers ;  Communication ;  Brisbane ;</t>
        </is>
      </c>
      <c r="C1382" t="inlineStr">
        <is>
          <t>Month</t>
        </is>
      </c>
      <c r="D1382" t="inlineStr">
        <is>
          <t>Index Numbers</t>
        </is>
      </c>
      <c r="E1382" t="inlineStr">
        <is>
          <t>Original</t>
        </is>
      </c>
      <c r="F1382" t="inlineStr">
        <is>
          <t>640109.xlsx</t>
        </is>
      </c>
      <c r="G1382" t="inlineStr">
        <is>
          <t>2024-04</t>
        </is>
      </c>
      <c r="H1382" t="inlineStr">
        <is>
          <t>2026-07</t>
        </is>
      </c>
      <c r="NZ1382" s="2">
        <v>98.56</v>
      </c>
      <c r="OA1382" s="2">
        <v>97.93000000000001</v>
      </c>
      <c r="OB1382" s="2">
        <v>97.31</v>
      </c>
      <c r="OC1382" s="2">
        <v>98.92</v>
      </c>
      <c r="OD1382" s="2">
        <v>98.40000000000001</v>
      </c>
      <c r="OE1382" s="2">
        <v>98.45</v>
      </c>
      <c r="OF1382" s="2">
        <v>99.09999999999999</v>
      </c>
      <c r="OG1382" s="2">
        <v>98.98999999999999</v>
      </c>
      <c r="OH1382" s="2">
        <v>98.77</v>
      </c>
      <c r="OM1382" s="2">
        <v>98.41</v>
      </c>
      <c r="ON1382" s="2">
        <v>99.12</v>
      </c>
      <c r="OO1382" s="2">
        <v>98.98</v>
      </c>
      <c r="OP1382" s="2">
        <v>99.23</v>
      </c>
      <c r="OQ1382" s="2">
        <v>98.84999999999999</v>
      </c>
      <c r="OR1382" s="2">
        <v>98.01000000000001</v>
      </c>
      <c r="OS1382" s="2">
        <v>99.5</v>
      </c>
      <c r="OT1382" s="2">
        <v>100.2</v>
      </c>
      <c r="OU1382" s="2">
        <v>100</v>
      </c>
      <c r="OV1382" s="2">
        <v>99.8</v>
      </c>
      <c r="OW1382" s="2">
        <v>100.25</v>
      </c>
      <c r="OX1382" s="2">
        <v>99.8</v>
      </c>
      <c r="PC1382" s="2">
        <v>99.70999999999999</v>
      </c>
      <c r="PD1382" s="2">
        <v>99.90000000000001</v>
      </c>
      <c r="PE1382" s="2">
        <v>100.32</v>
      </c>
      <c r="PF1382" s="2">
        <v>100.66</v>
      </c>
      <c r="PG1382" s="2">
        <v>100.84</v>
      </c>
      <c r="PH1382" s="2">
        <v>100.16</v>
      </c>
      <c r="PI1382" s="2">
        <v>101.97</v>
      </c>
    </row>
    <row r="1383">
      <c r="A1383" t="inlineStr">
        <is>
          <t>A130396212L</t>
        </is>
      </c>
      <c r="B1383" t="inlineStr">
        <is>
          <t>Index Numbers ;  Recreation and culture ;  Brisbane ;</t>
        </is>
      </c>
      <c r="C1383" t="inlineStr">
        <is>
          <t>Month</t>
        </is>
      </c>
      <c r="D1383" t="inlineStr">
        <is>
          <t>Index Numbers</t>
        </is>
      </c>
      <c r="E1383" t="inlineStr">
        <is>
          <t>Original</t>
        </is>
      </c>
      <c r="F1383" t="inlineStr">
        <is>
          <t>640109.xlsx</t>
        </is>
      </c>
      <c r="G1383" t="inlineStr">
        <is>
          <t>2024-04</t>
        </is>
      </c>
      <c r="H1383" t="inlineStr">
        <is>
          <t>2026-07</t>
        </is>
      </c>
      <c r="NZ1383" s="2">
        <v>93.34999999999999</v>
      </c>
      <c r="OA1383" s="2">
        <v>93.56</v>
      </c>
      <c r="OB1383" s="2">
        <v>97.02</v>
      </c>
      <c r="OC1383" s="2">
        <v>95.19</v>
      </c>
      <c r="OD1383" s="2">
        <v>95.84999999999999</v>
      </c>
      <c r="OE1383" s="2">
        <v>97.95999999999999</v>
      </c>
      <c r="OF1383" s="2">
        <v>95.86</v>
      </c>
      <c r="OG1383" s="2">
        <v>95.43000000000001</v>
      </c>
      <c r="OH1383" s="2">
        <v>100.78</v>
      </c>
      <c r="OM1383" s="2">
        <v>96.42</v>
      </c>
      <c r="ON1383" s="2">
        <v>93.63</v>
      </c>
      <c r="OO1383" s="2">
        <v>94.17</v>
      </c>
      <c r="OP1383" s="2">
        <v>96.52</v>
      </c>
      <c r="OQ1383" s="2">
        <v>94.70999999999999</v>
      </c>
      <c r="OR1383" s="2">
        <v>95.87</v>
      </c>
      <c r="OS1383" s="2">
        <v>98.19</v>
      </c>
      <c r="OT1383" s="2">
        <v>97.01000000000001</v>
      </c>
      <c r="OU1383" s="2">
        <v>100</v>
      </c>
      <c r="OV1383" s="2">
        <v>98.39</v>
      </c>
      <c r="OW1383" s="2">
        <v>97.19</v>
      </c>
      <c r="OX1383" s="2">
        <v>104.92</v>
      </c>
      <c r="PC1383" s="2">
        <v>100.12</v>
      </c>
      <c r="PD1383" s="2">
        <v>97.2</v>
      </c>
      <c r="PE1383" s="2">
        <v>96.5</v>
      </c>
      <c r="PF1383" s="2">
        <v>99.31999999999999</v>
      </c>
      <c r="PG1383" s="2">
        <v>96.62</v>
      </c>
      <c r="PH1383" s="2">
        <v>98.20999999999999</v>
      </c>
      <c r="PI1383" s="2">
        <v>100.43</v>
      </c>
    </row>
    <row r="1384">
      <c r="A1384" t="inlineStr">
        <is>
          <t>A130391298W</t>
        </is>
      </c>
      <c r="B1384" t="inlineStr">
        <is>
          <t>Index Numbers ;  Education ;  Brisbane ;</t>
        </is>
      </c>
      <c r="C1384" t="inlineStr">
        <is>
          <t>Month</t>
        </is>
      </c>
      <c r="D1384" t="inlineStr">
        <is>
          <t>Index Numbers</t>
        </is>
      </c>
      <c r="E1384" t="inlineStr">
        <is>
          <t>Original</t>
        </is>
      </c>
      <c r="F1384" t="inlineStr">
        <is>
          <t>640109.xlsx</t>
        </is>
      </c>
      <c r="G1384" t="inlineStr">
        <is>
          <t>2024-04</t>
        </is>
      </c>
      <c r="H1384" t="inlineStr">
        <is>
          <t>2026-07</t>
        </is>
      </c>
      <c r="NZ1384" s="2">
        <v>95.27</v>
      </c>
      <c r="OA1384" s="2">
        <v>95.25</v>
      </c>
      <c r="OB1384" s="2">
        <v>95.29000000000001</v>
      </c>
      <c r="OC1384" s="2">
        <v>95.3</v>
      </c>
      <c r="OD1384" s="2">
        <v>95.42</v>
      </c>
      <c r="OE1384" s="2">
        <v>95.43000000000001</v>
      </c>
      <c r="OF1384" s="2">
        <v>95.45</v>
      </c>
      <c r="OG1384" s="2">
        <v>95.45</v>
      </c>
      <c r="OH1384" s="2">
        <v>95.47</v>
      </c>
      <c r="OM1384" s="2">
        <v>95.42</v>
      </c>
      <c r="ON1384" s="2">
        <v>99.8</v>
      </c>
      <c r="OO1384" s="2">
        <v>99.86</v>
      </c>
      <c r="OP1384" s="2">
        <v>99.84999999999999</v>
      </c>
      <c r="OQ1384" s="2">
        <v>99.86</v>
      </c>
      <c r="OR1384" s="2">
        <v>99.89</v>
      </c>
      <c r="OS1384" s="2">
        <v>99.91</v>
      </c>
      <c r="OT1384" s="2">
        <v>99.97</v>
      </c>
      <c r="OU1384" s="2">
        <v>100</v>
      </c>
      <c r="OV1384" s="2">
        <v>100.04</v>
      </c>
      <c r="OW1384" s="2">
        <v>100.05</v>
      </c>
      <c r="OX1384" s="2">
        <v>100.06</v>
      </c>
      <c r="PC1384" s="2">
        <v>100.04</v>
      </c>
      <c r="PD1384" s="2">
        <v>104.64</v>
      </c>
      <c r="PE1384" s="2">
        <v>104.68</v>
      </c>
      <c r="PF1384" s="2">
        <v>104.67</v>
      </c>
      <c r="PG1384" s="2">
        <v>104.65</v>
      </c>
      <c r="PH1384" s="2">
        <v>104.68</v>
      </c>
      <c r="PI1384" s="2">
        <v>104.68</v>
      </c>
    </row>
    <row r="1385">
      <c r="A1385" t="inlineStr">
        <is>
          <t>A130390171V</t>
        </is>
      </c>
      <c r="B1385" t="inlineStr">
        <is>
          <t>Index Numbers ;  Insurance and financial services ;  Brisbane ;</t>
        </is>
      </c>
      <c r="C1385" t="inlineStr">
        <is>
          <t>Month</t>
        </is>
      </c>
      <c r="D1385" t="inlineStr">
        <is>
          <t>Index Numbers</t>
        </is>
      </c>
      <c r="E1385" t="inlineStr">
        <is>
          <t>Original</t>
        </is>
      </c>
      <c r="F1385" t="inlineStr">
        <is>
          <t>640109.xlsx</t>
        </is>
      </c>
      <c r="G1385" t="inlineStr">
        <is>
          <t>2024-04</t>
        </is>
      </c>
      <c r="H1385" t="inlineStr">
        <is>
          <t>2026-07</t>
        </is>
      </c>
      <c r="NZ1385" s="2">
        <v>96.02</v>
      </c>
      <c r="OA1385" s="2">
        <v>96.54000000000001</v>
      </c>
      <c r="OB1385" s="2">
        <v>97.02</v>
      </c>
      <c r="OC1385" s="2">
        <v>97.17</v>
      </c>
      <c r="OD1385" s="2">
        <v>97.09</v>
      </c>
      <c r="OE1385" s="2">
        <v>97.84</v>
      </c>
      <c r="OF1385" s="2">
        <v>98.13</v>
      </c>
      <c r="OG1385" s="2">
        <v>97.90000000000001</v>
      </c>
      <c r="OH1385" s="2">
        <v>98.11</v>
      </c>
      <c r="OM1385" s="2">
        <v>98.43000000000001</v>
      </c>
      <c r="ON1385" s="2">
        <v>98.36</v>
      </c>
      <c r="OO1385" s="2">
        <v>99.28</v>
      </c>
      <c r="OP1385" s="2">
        <v>99.26000000000001</v>
      </c>
      <c r="OQ1385" s="2">
        <v>99.26000000000001</v>
      </c>
      <c r="OR1385" s="2">
        <v>100.31</v>
      </c>
      <c r="OS1385" s="2">
        <v>100.63</v>
      </c>
      <c r="OT1385" s="2">
        <v>100.42</v>
      </c>
      <c r="OU1385" s="2">
        <v>100</v>
      </c>
      <c r="OV1385" s="2">
        <v>100.49</v>
      </c>
      <c r="OW1385" s="2">
        <v>100.57</v>
      </c>
      <c r="OX1385" s="2">
        <v>100.41</v>
      </c>
      <c r="PC1385" s="2">
        <v>100.97</v>
      </c>
      <c r="PD1385" s="2">
        <v>100.99</v>
      </c>
      <c r="PE1385" s="2">
        <v>101.13</v>
      </c>
      <c r="PF1385" s="2">
        <v>101.36</v>
      </c>
      <c r="PG1385" s="2">
        <v>101.55</v>
      </c>
      <c r="PH1385" s="2">
        <v>103.04</v>
      </c>
      <c r="PI1385" s="2">
        <v>103.48</v>
      </c>
    </row>
    <row r="1386">
      <c r="A1386" t="inlineStr">
        <is>
          <t>A130395001V</t>
        </is>
      </c>
      <c r="B1386" t="inlineStr">
        <is>
          <t>Index Numbers ;  All groups CPI ;  Adelaide ;</t>
        </is>
      </c>
      <c r="C1386" t="inlineStr">
        <is>
          <t>Month</t>
        </is>
      </c>
      <c r="D1386" t="inlineStr">
        <is>
          <t>Index Numbers</t>
        </is>
      </c>
      <c r="E1386" t="inlineStr">
        <is>
          <t>Original</t>
        </is>
      </c>
      <c r="F1386" t="inlineStr">
        <is>
          <t>640109.xlsx</t>
        </is>
      </c>
      <c r="G1386" t="inlineStr">
        <is>
          <t>2024-04</t>
        </is>
      </c>
      <c r="H1386" t="inlineStr">
        <is>
          <t>2026-07</t>
        </is>
      </c>
      <c r="NZ1386" s="2">
        <v>96.91</v>
      </c>
      <c r="OA1386" s="2">
        <v>96.63</v>
      </c>
      <c r="OB1386" s="2">
        <v>96.58</v>
      </c>
      <c r="OC1386" s="2">
        <v>97.72</v>
      </c>
      <c r="OD1386" s="2">
        <v>97.01000000000001</v>
      </c>
      <c r="OE1386" s="2">
        <v>97.06</v>
      </c>
      <c r="OF1386" s="2">
        <v>96.5</v>
      </c>
      <c r="OG1386" s="2">
        <v>96.95999999999999</v>
      </c>
      <c r="OH1386" s="2">
        <v>97.77</v>
      </c>
      <c r="OM1386" s="2">
        <v>97.86</v>
      </c>
      <c r="ON1386" s="2">
        <v>98.09999999999999</v>
      </c>
      <c r="OO1386" s="2">
        <v>97.93000000000001</v>
      </c>
      <c r="OP1386" s="2">
        <v>98.84</v>
      </c>
      <c r="OQ1386" s="2">
        <v>98.31</v>
      </c>
      <c r="OR1386" s="2">
        <v>98.3</v>
      </c>
      <c r="OS1386" s="2">
        <v>99.40000000000001</v>
      </c>
      <c r="OT1386" s="2">
        <v>99.52</v>
      </c>
      <c r="OU1386" s="2">
        <v>100</v>
      </c>
      <c r="OV1386" s="2">
        <v>100.11</v>
      </c>
      <c r="OW1386" s="2">
        <v>100.17</v>
      </c>
      <c r="OX1386" s="2">
        <v>101</v>
      </c>
      <c r="PC1386" s="2">
        <v>101.27</v>
      </c>
      <c r="PD1386" s="2">
        <v>101.41</v>
      </c>
      <c r="PE1386" s="2">
        <v>102.7</v>
      </c>
      <c r="PF1386" s="2">
        <v>103.38</v>
      </c>
      <c r="PG1386" s="2">
        <v>102.67</v>
      </c>
      <c r="PH1386" s="2">
        <v>102.45</v>
      </c>
      <c r="PI1386" s="2">
        <v>103.75</v>
      </c>
    </row>
    <row r="1387">
      <c r="A1387" t="inlineStr">
        <is>
          <t>A130395470K</t>
        </is>
      </c>
      <c r="B1387" t="inlineStr">
        <is>
          <t>Index Numbers ;  Food and non-alcoholic beverages ;  Adelaide ;</t>
        </is>
      </c>
      <c r="C1387" t="inlineStr">
        <is>
          <t>Month</t>
        </is>
      </c>
      <c r="D1387" t="inlineStr">
        <is>
          <t>Index Numbers</t>
        </is>
      </c>
      <c r="E1387" t="inlineStr">
        <is>
          <t>Original</t>
        </is>
      </c>
      <c r="F1387" t="inlineStr">
        <is>
          <t>640109.xlsx</t>
        </is>
      </c>
      <c r="G1387" t="inlineStr">
        <is>
          <t>2024-04</t>
        </is>
      </c>
      <c r="H1387" t="inlineStr">
        <is>
          <t>2026-07</t>
        </is>
      </c>
      <c r="NZ1387" s="2">
        <v>95.90000000000001</v>
      </c>
      <c r="OA1387" s="2">
        <v>96.54000000000001</v>
      </c>
      <c r="OB1387" s="2">
        <v>96.34</v>
      </c>
      <c r="OC1387" s="2">
        <v>97.26000000000001</v>
      </c>
      <c r="OD1387" s="2">
        <v>97.40000000000001</v>
      </c>
      <c r="OE1387" s="2">
        <v>97.01000000000001</v>
      </c>
      <c r="OF1387" s="2">
        <v>96.83</v>
      </c>
      <c r="OG1387" s="2">
        <v>97.29000000000001</v>
      </c>
      <c r="OH1387" s="2">
        <v>97.61</v>
      </c>
      <c r="OM1387" s="2">
        <v>98.44</v>
      </c>
      <c r="ON1387" s="2">
        <v>98.36</v>
      </c>
      <c r="OO1387" s="2">
        <v>98.97</v>
      </c>
      <c r="OP1387" s="2">
        <v>99.33</v>
      </c>
      <c r="OQ1387" s="2">
        <v>99.44</v>
      </c>
      <c r="OR1387" s="2">
        <v>99.75</v>
      </c>
      <c r="OS1387" s="2">
        <v>100.22</v>
      </c>
      <c r="OT1387" s="2">
        <v>100.23</v>
      </c>
      <c r="OU1387" s="2">
        <v>100</v>
      </c>
      <c r="OV1387" s="2">
        <v>100.1</v>
      </c>
      <c r="OW1387" s="2">
        <v>100.35</v>
      </c>
      <c r="OX1387" s="2">
        <v>100.58</v>
      </c>
      <c r="PC1387" s="2">
        <v>100.93</v>
      </c>
      <c r="PD1387" s="2">
        <v>101.02</v>
      </c>
      <c r="PE1387" s="2">
        <v>101.55</v>
      </c>
      <c r="PF1387" s="2">
        <v>101.63</v>
      </c>
      <c r="PG1387" s="2">
        <v>102.18</v>
      </c>
      <c r="PH1387" s="2">
        <v>102.82</v>
      </c>
      <c r="PI1387" s="2">
        <v>102.98</v>
      </c>
    </row>
    <row r="1388">
      <c r="A1388" t="inlineStr">
        <is>
          <t>A130393020R</t>
        </is>
      </c>
      <c r="B1388" t="inlineStr">
        <is>
          <t>Index Numbers ;  Alcohol and tobacco ;  Adelaide ;</t>
        </is>
      </c>
      <c r="C1388" t="inlineStr">
        <is>
          <t>Month</t>
        </is>
      </c>
      <c r="D1388" t="inlineStr">
        <is>
          <t>Index Numbers</t>
        </is>
      </c>
      <c r="E1388" t="inlineStr">
        <is>
          <t>Original</t>
        </is>
      </c>
      <c r="F1388" t="inlineStr">
        <is>
          <t>640109.xlsx</t>
        </is>
      </c>
      <c r="G1388" t="inlineStr">
        <is>
          <t>2024-04</t>
        </is>
      </c>
      <c r="H1388" t="inlineStr">
        <is>
          <t>2026-07</t>
        </is>
      </c>
      <c r="NZ1388" s="2">
        <v>90.55</v>
      </c>
      <c r="OA1388" s="2">
        <v>91</v>
      </c>
      <c r="OB1388" s="2">
        <v>90.84999999999999</v>
      </c>
      <c r="OC1388" s="2">
        <v>91.59</v>
      </c>
      <c r="OD1388" s="2">
        <v>91.33</v>
      </c>
      <c r="OE1388" s="2">
        <v>93.33</v>
      </c>
      <c r="OF1388" s="2">
        <v>94.44</v>
      </c>
      <c r="OG1388" s="2">
        <v>94.81999999999999</v>
      </c>
      <c r="OH1388" s="2">
        <v>93.73999999999999</v>
      </c>
      <c r="OM1388" s="2">
        <v>94.42</v>
      </c>
      <c r="ON1388" s="2">
        <v>95.3</v>
      </c>
      <c r="OO1388" s="2">
        <v>96.22</v>
      </c>
      <c r="OP1388" s="2">
        <v>96.3</v>
      </c>
      <c r="OQ1388" s="2">
        <v>96.68000000000001</v>
      </c>
      <c r="OR1388" s="2">
        <v>97.13</v>
      </c>
      <c r="OS1388" s="2">
        <v>98.45</v>
      </c>
      <c r="OT1388" s="2">
        <v>98.43000000000001</v>
      </c>
      <c r="OU1388" s="2">
        <v>100</v>
      </c>
      <c r="OV1388" s="2">
        <v>99.98999999999999</v>
      </c>
      <c r="OW1388" s="2">
        <v>100.11</v>
      </c>
      <c r="OX1388" s="2">
        <v>99.81999999999999</v>
      </c>
      <c r="PC1388" s="2">
        <v>100.8</v>
      </c>
      <c r="PD1388" s="2">
        <v>101.1</v>
      </c>
      <c r="PE1388" s="2">
        <v>101.79</v>
      </c>
      <c r="PF1388" s="2">
        <v>101.43</v>
      </c>
      <c r="PG1388" s="2">
        <v>102.08</v>
      </c>
      <c r="PH1388" s="2">
        <v>102.23</v>
      </c>
      <c r="PI1388" s="2">
        <v>102.6</v>
      </c>
    </row>
    <row r="1389">
      <c r="A1389" t="inlineStr">
        <is>
          <t>A130392971C</t>
        </is>
      </c>
      <c r="B1389" t="inlineStr">
        <is>
          <t>Index Numbers ;  Clothing and footwear ;  Adelaide ;</t>
        </is>
      </c>
      <c r="C1389" t="inlineStr">
        <is>
          <t>Month</t>
        </is>
      </c>
      <c r="D1389" t="inlineStr">
        <is>
          <t>Index Numbers</t>
        </is>
      </c>
      <c r="E1389" t="inlineStr">
        <is>
          <t>Original</t>
        </is>
      </c>
      <c r="F1389" t="inlineStr">
        <is>
          <t>640109.xlsx</t>
        </is>
      </c>
      <c r="G1389" t="inlineStr">
        <is>
          <t>2024-04</t>
        </is>
      </c>
      <c r="H1389" t="inlineStr">
        <is>
          <t>2026-07</t>
        </is>
      </c>
      <c r="NZ1389" s="2">
        <v>100.17</v>
      </c>
      <c r="OA1389" s="2">
        <v>96.16</v>
      </c>
      <c r="OB1389" s="2">
        <v>95.2</v>
      </c>
      <c r="OC1389" s="2">
        <v>99.05</v>
      </c>
      <c r="OD1389" s="2">
        <v>98.28</v>
      </c>
      <c r="OE1389" s="2">
        <v>98.01000000000001</v>
      </c>
      <c r="OF1389" s="2">
        <v>98.81</v>
      </c>
      <c r="OG1389" s="2">
        <v>95.92</v>
      </c>
      <c r="OH1389" s="2">
        <v>96.59999999999999</v>
      </c>
      <c r="OM1389" s="2">
        <v>95.62</v>
      </c>
      <c r="ON1389" s="2">
        <v>100.75</v>
      </c>
      <c r="OO1389" s="2">
        <v>97.2</v>
      </c>
      <c r="OP1389" s="2">
        <v>101.68</v>
      </c>
      <c r="OQ1389" s="2">
        <v>99.8</v>
      </c>
      <c r="OR1389" s="2">
        <v>98.27</v>
      </c>
      <c r="OS1389" s="2">
        <v>100.59</v>
      </c>
      <c r="OT1389" s="2">
        <v>101.62</v>
      </c>
      <c r="OU1389" s="2">
        <v>100</v>
      </c>
      <c r="OV1389" s="2">
        <v>103.65</v>
      </c>
      <c r="OW1389" s="2">
        <v>99.97</v>
      </c>
      <c r="OX1389" s="2">
        <v>97.63</v>
      </c>
      <c r="PC1389" s="2">
        <v>100.96</v>
      </c>
      <c r="PD1389" s="2">
        <v>104.29</v>
      </c>
      <c r="PE1389" s="2">
        <v>102.87</v>
      </c>
      <c r="PF1389" s="2">
        <v>106.68</v>
      </c>
      <c r="PG1389" s="2">
        <v>103.73</v>
      </c>
      <c r="PH1389" s="2">
        <v>101.1</v>
      </c>
      <c r="PI1389" s="2">
        <v>104.02</v>
      </c>
    </row>
    <row r="1390">
      <c r="A1390" t="inlineStr">
        <is>
          <t>A130394287V</t>
        </is>
      </c>
      <c r="B1390" t="inlineStr">
        <is>
          <t>Index Numbers ;  Housing ;  Adelaide ;</t>
        </is>
      </c>
      <c r="C1390" t="inlineStr">
        <is>
          <t>Month</t>
        </is>
      </c>
      <c r="D1390" t="inlineStr">
        <is>
          <t>Index Numbers</t>
        </is>
      </c>
      <c r="E1390" t="inlineStr">
        <is>
          <t>Original</t>
        </is>
      </c>
      <c r="F1390" t="inlineStr">
        <is>
          <t>640109.xlsx</t>
        </is>
      </c>
      <c r="G1390" t="inlineStr">
        <is>
          <t>2024-04</t>
        </is>
      </c>
      <c r="H1390" t="inlineStr">
        <is>
          <t>2026-07</t>
        </is>
      </c>
      <c r="NZ1390" s="2">
        <v>96.93000000000001</v>
      </c>
      <c r="OA1390" s="2">
        <v>97.56999999999999</v>
      </c>
      <c r="OB1390" s="2">
        <v>97.88</v>
      </c>
      <c r="OC1390" s="2">
        <v>99.39</v>
      </c>
      <c r="OD1390" s="2">
        <v>96.91</v>
      </c>
      <c r="OE1390" s="2">
        <v>96.78</v>
      </c>
      <c r="OF1390" s="2">
        <v>93.81</v>
      </c>
      <c r="OG1390" s="2">
        <v>96.31</v>
      </c>
      <c r="OH1390" s="2">
        <v>96.63</v>
      </c>
      <c r="OM1390" s="2">
        <v>97.45999999999999</v>
      </c>
      <c r="ON1390" s="2">
        <v>97.45999999999999</v>
      </c>
      <c r="OO1390" s="2">
        <v>97.13</v>
      </c>
      <c r="OP1390" s="2">
        <v>97.09999999999999</v>
      </c>
      <c r="OQ1390" s="2">
        <v>97.38</v>
      </c>
      <c r="OR1390" s="2">
        <v>97.67</v>
      </c>
      <c r="OS1390" s="2">
        <v>98.41</v>
      </c>
      <c r="OT1390" s="2">
        <v>99.11</v>
      </c>
      <c r="OU1390" s="2">
        <v>100</v>
      </c>
      <c r="OV1390" s="2">
        <v>100.1</v>
      </c>
      <c r="OW1390" s="2">
        <v>100.45</v>
      </c>
      <c r="OX1390" s="2">
        <v>100.6</v>
      </c>
      <c r="PC1390" s="2">
        <v>103.16</v>
      </c>
      <c r="PD1390" s="2">
        <v>103.34</v>
      </c>
      <c r="PE1390" s="2">
        <v>103.66</v>
      </c>
      <c r="PF1390" s="2">
        <v>103.93</v>
      </c>
      <c r="PG1390" s="2">
        <v>105.11</v>
      </c>
      <c r="PH1390" s="2">
        <v>105.46</v>
      </c>
      <c r="PI1390" s="2">
        <v>106.76</v>
      </c>
    </row>
    <row r="1391">
      <c r="A1391" t="inlineStr">
        <is>
          <t>A130394294T</t>
        </is>
      </c>
      <c r="B1391" t="inlineStr">
        <is>
          <t>Index Numbers ;  Furnishings, household equipment and services ;  Adelaide ;</t>
        </is>
      </c>
      <c r="C1391" t="inlineStr">
        <is>
          <t>Month</t>
        </is>
      </c>
      <c r="D1391" t="inlineStr">
        <is>
          <t>Index Numbers</t>
        </is>
      </c>
      <c r="E1391" t="inlineStr">
        <is>
          <t>Original</t>
        </is>
      </c>
      <c r="F1391" t="inlineStr">
        <is>
          <t>640109.xlsx</t>
        </is>
      </c>
      <c r="G1391" t="inlineStr">
        <is>
          <t>2024-04</t>
        </is>
      </c>
      <c r="H1391" t="inlineStr">
        <is>
          <t>2026-07</t>
        </is>
      </c>
      <c r="NZ1391" s="2">
        <v>96.68000000000001</v>
      </c>
      <c r="OA1391" s="2">
        <v>97.11</v>
      </c>
      <c r="OB1391" s="2">
        <v>95.59</v>
      </c>
      <c r="OC1391" s="2">
        <v>97.7</v>
      </c>
      <c r="OD1391" s="2">
        <v>98.14</v>
      </c>
      <c r="OE1391" s="2">
        <v>97.97</v>
      </c>
      <c r="OF1391" s="2">
        <v>98.11</v>
      </c>
      <c r="OG1391" s="2">
        <v>98</v>
      </c>
      <c r="OH1391" s="2">
        <v>96.88</v>
      </c>
      <c r="OM1391" s="2">
        <v>96.76000000000001</v>
      </c>
      <c r="ON1391" s="2">
        <v>98.64</v>
      </c>
      <c r="OO1391" s="2">
        <v>98.41</v>
      </c>
      <c r="OP1391" s="2">
        <v>98.81999999999999</v>
      </c>
      <c r="OQ1391" s="2">
        <v>98.27</v>
      </c>
      <c r="OR1391" s="2">
        <v>96.59</v>
      </c>
      <c r="OS1391" s="2">
        <v>99.87</v>
      </c>
      <c r="OT1391" s="2">
        <v>99.36</v>
      </c>
      <c r="OU1391" s="2">
        <v>100</v>
      </c>
      <c r="OV1391" s="2">
        <v>99.97</v>
      </c>
      <c r="OW1391" s="2">
        <v>99.45</v>
      </c>
      <c r="OX1391" s="2">
        <v>98.67</v>
      </c>
      <c r="PC1391" s="2">
        <v>98.64</v>
      </c>
      <c r="PD1391" s="2">
        <v>99.68000000000001</v>
      </c>
      <c r="PE1391" s="2">
        <v>100.07</v>
      </c>
      <c r="PF1391" s="2">
        <v>100.21</v>
      </c>
      <c r="PG1391" s="2">
        <v>100.3</v>
      </c>
      <c r="PH1391" s="2">
        <v>99.29000000000001</v>
      </c>
      <c r="PI1391" s="2">
        <v>101.19</v>
      </c>
    </row>
    <row r="1392">
      <c r="A1392" t="inlineStr">
        <is>
          <t>A130392495A</t>
        </is>
      </c>
      <c r="B1392" t="inlineStr">
        <is>
          <t>Index Numbers ;  Health ;  Adelaide ;</t>
        </is>
      </c>
      <c r="C1392" t="inlineStr">
        <is>
          <t>Month</t>
        </is>
      </c>
      <c r="D1392" t="inlineStr">
        <is>
          <t>Index Numbers</t>
        </is>
      </c>
      <c r="E1392" t="inlineStr">
        <is>
          <t>Original</t>
        </is>
      </c>
      <c r="F1392" t="inlineStr">
        <is>
          <t>640109.xlsx</t>
        </is>
      </c>
      <c r="G1392" t="inlineStr">
        <is>
          <t>2024-04</t>
        </is>
      </c>
      <c r="H1392" t="inlineStr">
        <is>
          <t>2026-07</t>
        </is>
      </c>
      <c r="NZ1392" s="2">
        <v>95.95</v>
      </c>
      <c r="OA1392" s="2">
        <v>95.95999999999999</v>
      </c>
      <c r="OB1392" s="2">
        <v>96.02</v>
      </c>
      <c r="OC1392" s="2">
        <v>96.20999999999999</v>
      </c>
      <c r="OD1392" s="2">
        <v>96.23</v>
      </c>
      <c r="OE1392" s="2">
        <v>96.31</v>
      </c>
      <c r="OF1392" s="2">
        <v>96.14</v>
      </c>
      <c r="OG1392" s="2">
        <v>96.08</v>
      </c>
      <c r="OH1392" s="2">
        <v>95.95999999999999</v>
      </c>
      <c r="OM1392" s="2">
        <v>97.41</v>
      </c>
      <c r="ON1392" s="2">
        <v>97.73</v>
      </c>
      <c r="OO1392" s="2">
        <v>97.48999999999999</v>
      </c>
      <c r="OP1392" s="2">
        <v>100.2</v>
      </c>
      <c r="OQ1392" s="2">
        <v>99.84999999999999</v>
      </c>
      <c r="OR1392" s="2">
        <v>99.76000000000001</v>
      </c>
      <c r="OS1392" s="2">
        <v>99.92</v>
      </c>
      <c r="OT1392" s="2">
        <v>99.95999999999999</v>
      </c>
      <c r="OU1392" s="2">
        <v>100</v>
      </c>
      <c r="OV1392" s="2">
        <v>100.02</v>
      </c>
      <c r="OW1392" s="2">
        <v>99.64</v>
      </c>
      <c r="OX1392" s="2">
        <v>99.39</v>
      </c>
      <c r="PC1392" s="2">
        <v>100.8</v>
      </c>
      <c r="PD1392" s="2">
        <v>100.76</v>
      </c>
      <c r="PE1392" s="2">
        <v>100.94</v>
      </c>
      <c r="PF1392" s="2">
        <v>104.33</v>
      </c>
      <c r="PG1392" s="2">
        <v>103.9</v>
      </c>
      <c r="PH1392" s="2">
        <v>104.02</v>
      </c>
      <c r="PI1392" s="2">
        <v>104.11</v>
      </c>
    </row>
    <row r="1393">
      <c r="A1393" t="inlineStr">
        <is>
          <t>A130397949X</t>
        </is>
      </c>
      <c r="B1393" t="inlineStr">
        <is>
          <t>Index Numbers ;  Transport ;  Adelaide ;</t>
        </is>
      </c>
      <c r="C1393" t="inlineStr">
        <is>
          <t>Month</t>
        </is>
      </c>
      <c r="D1393" t="inlineStr">
        <is>
          <t>Index Numbers</t>
        </is>
      </c>
      <c r="E1393" t="inlineStr">
        <is>
          <t>Original</t>
        </is>
      </c>
      <c r="F1393" t="inlineStr">
        <is>
          <t>640109.xlsx</t>
        </is>
      </c>
      <c r="G1393" t="inlineStr">
        <is>
          <t>2024-04</t>
        </is>
      </c>
      <c r="H1393" t="inlineStr">
        <is>
          <t>2026-07</t>
        </is>
      </c>
      <c r="NZ1393" s="2">
        <v>102.61</v>
      </c>
      <c r="OA1393" s="2">
        <v>100.46</v>
      </c>
      <c r="OB1393" s="2">
        <v>99.51000000000001</v>
      </c>
      <c r="OC1393" s="2">
        <v>99.97</v>
      </c>
      <c r="OD1393" s="2">
        <v>99.79000000000001</v>
      </c>
      <c r="OE1393" s="2">
        <v>98.06999999999999</v>
      </c>
      <c r="OF1393" s="2">
        <v>98.73</v>
      </c>
      <c r="OG1393" s="2">
        <v>98.16</v>
      </c>
      <c r="OH1393" s="2">
        <v>100.08</v>
      </c>
      <c r="OM1393" s="2">
        <v>99.56</v>
      </c>
      <c r="ON1393" s="2">
        <v>99.06999999999999</v>
      </c>
      <c r="OO1393" s="2">
        <v>99.14</v>
      </c>
      <c r="OP1393" s="2">
        <v>99.31</v>
      </c>
      <c r="OQ1393" s="2">
        <v>98.92</v>
      </c>
      <c r="OR1393" s="2">
        <v>98.48</v>
      </c>
      <c r="OS1393" s="2">
        <v>99.18000000000001</v>
      </c>
      <c r="OT1393" s="2">
        <v>100.03</v>
      </c>
      <c r="OU1393" s="2">
        <v>100</v>
      </c>
      <c r="OV1393" s="2">
        <v>99.47</v>
      </c>
      <c r="OW1393" s="2">
        <v>100.54</v>
      </c>
      <c r="OX1393" s="2">
        <v>99.87</v>
      </c>
      <c r="PC1393" s="2">
        <v>98.7</v>
      </c>
      <c r="PD1393" s="2">
        <v>98.68000000000001</v>
      </c>
      <c r="PE1393" s="2">
        <v>109.96</v>
      </c>
      <c r="PF1393" s="2">
        <v>107.55</v>
      </c>
      <c r="PG1393" s="2">
        <v>102.78</v>
      </c>
      <c r="PH1393" s="2">
        <v>98.93000000000001</v>
      </c>
      <c r="PI1393" s="2">
        <v>102.6</v>
      </c>
    </row>
    <row r="1394">
      <c r="A1394" t="inlineStr">
        <is>
          <t>A130392502L</t>
        </is>
      </c>
      <c r="B1394" t="inlineStr">
        <is>
          <t>Index Numbers ;  Communication ;  Adelaide ;</t>
        </is>
      </c>
      <c r="C1394" t="inlineStr">
        <is>
          <t>Month</t>
        </is>
      </c>
      <c r="D1394" t="inlineStr">
        <is>
          <t>Index Numbers</t>
        </is>
      </c>
      <c r="E1394" t="inlineStr">
        <is>
          <t>Original</t>
        </is>
      </c>
      <c r="F1394" t="inlineStr">
        <is>
          <t>640109.xlsx</t>
        </is>
      </c>
      <c r="G1394" t="inlineStr">
        <is>
          <t>2024-04</t>
        </is>
      </c>
      <c r="H1394" t="inlineStr">
        <is>
          <t>2026-07</t>
        </is>
      </c>
      <c r="NZ1394" s="2">
        <v>98.59</v>
      </c>
      <c r="OA1394" s="2">
        <v>97.95999999999999</v>
      </c>
      <c r="OB1394" s="2">
        <v>97.33</v>
      </c>
      <c r="OC1394" s="2">
        <v>98.95</v>
      </c>
      <c r="OD1394" s="2">
        <v>98.42</v>
      </c>
      <c r="OE1394" s="2">
        <v>98.47</v>
      </c>
      <c r="OF1394" s="2">
        <v>99.13</v>
      </c>
      <c r="OG1394" s="2">
        <v>99.01000000000001</v>
      </c>
      <c r="OH1394" s="2">
        <v>98.79000000000001</v>
      </c>
      <c r="OM1394" s="2">
        <v>98.43000000000001</v>
      </c>
      <c r="ON1394" s="2">
        <v>99.13</v>
      </c>
      <c r="OO1394" s="2">
        <v>99</v>
      </c>
      <c r="OP1394" s="2">
        <v>99.26000000000001</v>
      </c>
      <c r="OQ1394" s="2">
        <v>98.84999999999999</v>
      </c>
      <c r="OR1394" s="2">
        <v>98.01000000000001</v>
      </c>
      <c r="OS1394" s="2">
        <v>99.5</v>
      </c>
      <c r="OT1394" s="2">
        <v>100.19</v>
      </c>
      <c r="OU1394" s="2">
        <v>100</v>
      </c>
      <c r="OV1394" s="2">
        <v>99.81999999999999</v>
      </c>
      <c r="OW1394" s="2">
        <v>100.27</v>
      </c>
      <c r="OX1394" s="2">
        <v>99.81999999999999</v>
      </c>
      <c r="PC1394" s="2">
        <v>99.73</v>
      </c>
      <c r="PD1394" s="2">
        <v>99.92</v>
      </c>
      <c r="PE1394" s="2">
        <v>100.35</v>
      </c>
      <c r="PF1394" s="2">
        <v>100.71</v>
      </c>
      <c r="PG1394" s="2">
        <v>100.9</v>
      </c>
      <c r="PH1394" s="2">
        <v>100.21</v>
      </c>
      <c r="PI1394" s="2">
        <v>102.02</v>
      </c>
    </row>
    <row r="1395">
      <c r="A1395" t="inlineStr">
        <is>
          <t>A130392516A</t>
        </is>
      </c>
      <c r="B1395" t="inlineStr">
        <is>
          <t>Index Numbers ;  Recreation and culture ;  Adelaide ;</t>
        </is>
      </c>
      <c r="C1395" t="inlineStr">
        <is>
          <t>Month</t>
        </is>
      </c>
      <c r="D1395" t="inlineStr">
        <is>
          <t>Index Numbers</t>
        </is>
      </c>
      <c r="E1395" t="inlineStr">
        <is>
          <t>Original</t>
        </is>
      </c>
      <c r="F1395" t="inlineStr">
        <is>
          <t>640109.xlsx</t>
        </is>
      </c>
      <c r="G1395" t="inlineStr">
        <is>
          <t>2024-04</t>
        </is>
      </c>
      <c r="H1395" t="inlineStr">
        <is>
          <t>2026-07</t>
        </is>
      </c>
      <c r="NZ1395" s="2">
        <v>97.56999999999999</v>
      </c>
      <c r="OA1395" s="2">
        <v>95.42</v>
      </c>
      <c r="OB1395" s="2">
        <v>97.01000000000001</v>
      </c>
      <c r="OC1395" s="2">
        <v>98.26000000000001</v>
      </c>
      <c r="OD1395" s="2">
        <v>97.14</v>
      </c>
      <c r="OE1395" s="2">
        <v>98.27</v>
      </c>
      <c r="OF1395" s="2">
        <v>98</v>
      </c>
      <c r="OG1395" s="2">
        <v>97.44</v>
      </c>
      <c r="OH1395" s="2">
        <v>102.2</v>
      </c>
      <c r="OM1395" s="2">
        <v>99.5</v>
      </c>
      <c r="ON1395" s="2">
        <v>97.43000000000001</v>
      </c>
      <c r="OO1395" s="2">
        <v>96.52</v>
      </c>
      <c r="OP1395" s="2">
        <v>100.2</v>
      </c>
      <c r="OQ1395" s="2">
        <v>96.73999999999999</v>
      </c>
      <c r="OR1395" s="2">
        <v>96.81</v>
      </c>
      <c r="OS1395" s="2">
        <v>99.08</v>
      </c>
      <c r="OT1395" s="2">
        <v>98.05</v>
      </c>
      <c r="OU1395" s="2">
        <v>100</v>
      </c>
      <c r="OV1395" s="2">
        <v>100.13</v>
      </c>
      <c r="OW1395" s="2">
        <v>99.90000000000001</v>
      </c>
      <c r="OX1395" s="2">
        <v>107.59</v>
      </c>
      <c r="PC1395" s="2">
        <v>103.1</v>
      </c>
      <c r="PD1395" s="2">
        <v>100.76</v>
      </c>
      <c r="PE1395" s="2">
        <v>99.09999999999999</v>
      </c>
      <c r="PF1395" s="2">
        <v>103.1</v>
      </c>
      <c r="PG1395" s="2">
        <v>98.78</v>
      </c>
      <c r="PH1395" s="2">
        <v>99.84</v>
      </c>
      <c r="PI1395" s="2">
        <v>101.85</v>
      </c>
    </row>
    <row r="1396">
      <c r="A1396" t="inlineStr">
        <is>
          <t>A130395155K</t>
        </is>
      </c>
      <c r="B1396" t="inlineStr">
        <is>
          <t>Index Numbers ;  Education ;  Adelaide ;</t>
        </is>
      </c>
      <c r="C1396" t="inlineStr">
        <is>
          <t>Month</t>
        </is>
      </c>
      <c r="D1396" t="inlineStr">
        <is>
          <t>Index Numbers</t>
        </is>
      </c>
      <c r="E1396" t="inlineStr">
        <is>
          <t>Original</t>
        </is>
      </c>
      <c r="F1396" t="inlineStr">
        <is>
          <t>640109.xlsx</t>
        </is>
      </c>
      <c r="G1396" t="inlineStr">
        <is>
          <t>2024-04</t>
        </is>
      </c>
      <c r="H1396" t="inlineStr">
        <is>
          <t>2026-07</t>
        </is>
      </c>
      <c r="NZ1396" s="2">
        <v>95.72</v>
      </c>
      <c r="OA1396" s="2">
        <v>95.73</v>
      </c>
      <c r="OB1396" s="2">
        <v>95.73999999999999</v>
      </c>
      <c r="OC1396" s="2">
        <v>95.75</v>
      </c>
      <c r="OD1396" s="2">
        <v>95.78</v>
      </c>
      <c r="OE1396" s="2">
        <v>95.81</v>
      </c>
      <c r="OF1396" s="2">
        <v>95.81</v>
      </c>
      <c r="OG1396" s="2">
        <v>95.81999999999999</v>
      </c>
      <c r="OH1396" s="2">
        <v>95.83</v>
      </c>
      <c r="OM1396" s="2">
        <v>95.8</v>
      </c>
      <c r="ON1396" s="2">
        <v>99.87</v>
      </c>
      <c r="OO1396" s="2">
        <v>99.93000000000001</v>
      </c>
      <c r="OP1396" s="2">
        <v>99.92</v>
      </c>
      <c r="OQ1396" s="2">
        <v>99.89</v>
      </c>
      <c r="OR1396" s="2">
        <v>99.95</v>
      </c>
      <c r="OS1396" s="2">
        <v>99.95</v>
      </c>
      <c r="OT1396" s="2">
        <v>99.97</v>
      </c>
      <c r="OU1396" s="2">
        <v>100</v>
      </c>
      <c r="OV1396" s="2">
        <v>100.01</v>
      </c>
      <c r="OW1396" s="2">
        <v>100.02</v>
      </c>
      <c r="OX1396" s="2">
        <v>100.03</v>
      </c>
      <c r="PC1396" s="2">
        <v>100.01</v>
      </c>
      <c r="PD1396" s="2">
        <v>104.09</v>
      </c>
      <c r="PE1396" s="2">
        <v>104.16</v>
      </c>
      <c r="PF1396" s="2">
        <v>104.16</v>
      </c>
      <c r="PG1396" s="2">
        <v>104.14</v>
      </c>
      <c r="PH1396" s="2">
        <v>104.17</v>
      </c>
      <c r="PI1396" s="2">
        <v>104.18</v>
      </c>
    </row>
    <row r="1397">
      <c r="A1397" t="inlineStr">
        <is>
          <t>A130392754J</t>
        </is>
      </c>
      <c r="B1397" t="inlineStr">
        <is>
          <t>Index Numbers ;  Insurance and financial services ;  Adelaide ;</t>
        </is>
      </c>
      <c r="C1397" t="inlineStr">
        <is>
          <t>Month</t>
        </is>
      </c>
      <c r="D1397" t="inlineStr">
        <is>
          <t>Index Numbers</t>
        </is>
      </c>
      <c r="E1397" t="inlineStr">
        <is>
          <t>Original</t>
        </is>
      </c>
      <c r="F1397" t="inlineStr">
        <is>
          <t>640109.xlsx</t>
        </is>
      </c>
      <c r="G1397" t="inlineStr">
        <is>
          <t>2024-04</t>
        </is>
      </c>
      <c r="H1397" t="inlineStr">
        <is>
          <t>2026-07</t>
        </is>
      </c>
      <c r="NZ1397" s="2">
        <v>96.62</v>
      </c>
      <c r="OA1397" s="2">
        <v>96.89</v>
      </c>
      <c r="OB1397" s="2">
        <v>96.62</v>
      </c>
      <c r="OC1397" s="2">
        <v>97.08</v>
      </c>
      <c r="OD1397" s="2">
        <v>97.41</v>
      </c>
      <c r="OE1397" s="2">
        <v>98.12</v>
      </c>
      <c r="OF1397" s="2">
        <v>98.16</v>
      </c>
      <c r="OG1397" s="2">
        <v>98.26000000000001</v>
      </c>
      <c r="OH1397" s="2">
        <v>99.53</v>
      </c>
      <c r="OM1397" s="2">
        <v>100.2</v>
      </c>
      <c r="ON1397" s="2">
        <v>100.28</v>
      </c>
      <c r="OO1397" s="2">
        <v>99.69</v>
      </c>
      <c r="OP1397" s="2">
        <v>99.84</v>
      </c>
      <c r="OQ1397" s="2">
        <v>99.22</v>
      </c>
      <c r="OR1397" s="2">
        <v>100.51</v>
      </c>
      <c r="OS1397" s="2">
        <v>101.13</v>
      </c>
      <c r="OT1397" s="2">
        <v>100.9</v>
      </c>
      <c r="OU1397" s="2">
        <v>100</v>
      </c>
      <c r="OV1397" s="2">
        <v>100.12</v>
      </c>
      <c r="OW1397" s="2">
        <v>100.23</v>
      </c>
      <c r="OX1397" s="2">
        <v>101.13</v>
      </c>
      <c r="PC1397" s="2">
        <v>101.61</v>
      </c>
      <c r="PD1397" s="2">
        <v>101.71</v>
      </c>
      <c r="PE1397" s="2">
        <v>103.77</v>
      </c>
      <c r="PF1397" s="2">
        <v>103.93</v>
      </c>
      <c r="PG1397" s="2">
        <v>104.05</v>
      </c>
      <c r="PH1397" s="2">
        <v>104.21</v>
      </c>
      <c r="PI1397" s="2">
        <v>104.79</v>
      </c>
    </row>
    <row r="1398">
      <c r="A1398" t="inlineStr">
        <is>
          <t>A130393713F</t>
        </is>
      </c>
      <c r="B1398" t="inlineStr">
        <is>
          <t>Index Numbers ;  All groups CPI ;  Perth ;</t>
        </is>
      </c>
      <c r="C1398" t="inlineStr">
        <is>
          <t>Month</t>
        </is>
      </c>
      <c r="D1398" t="inlineStr">
        <is>
          <t>Index Numbers</t>
        </is>
      </c>
      <c r="E1398" t="inlineStr">
        <is>
          <t>Original</t>
        </is>
      </c>
      <c r="F1398" t="inlineStr">
        <is>
          <t>640109.xlsx</t>
        </is>
      </c>
      <c r="G1398" t="inlineStr">
        <is>
          <t>2024-04</t>
        </is>
      </c>
      <c r="H1398" t="inlineStr">
        <is>
          <t>2026-07</t>
        </is>
      </c>
      <c r="NZ1398" s="2">
        <v>95.88</v>
      </c>
      <c r="OA1398" s="2">
        <v>96</v>
      </c>
      <c r="OB1398" s="2">
        <v>95.95999999999999</v>
      </c>
      <c r="OC1398" s="2">
        <v>96.18000000000001</v>
      </c>
      <c r="OD1398" s="2">
        <v>95.12</v>
      </c>
      <c r="OE1398" s="2">
        <v>95.2</v>
      </c>
      <c r="OF1398" s="2">
        <v>95.69</v>
      </c>
      <c r="OG1398" s="2">
        <v>96.81</v>
      </c>
      <c r="OH1398" s="2">
        <v>96.09999999999999</v>
      </c>
      <c r="OM1398" s="2">
        <v>95.86</v>
      </c>
      <c r="ON1398" s="2">
        <v>96.45</v>
      </c>
      <c r="OO1398" s="2">
        <v>97.90000000000001</v>
      </c>
      <c r="OP1398" s="2">
        <v>98.98999999999999</v>
      </c>
      <c r="OQ1398" s="2">
        <v>98.45999999999999</v>
      </c>
      <c r="OR1398" s="2">
        <v>98.48999999999999</v>
      </c>
      <c r="OS1398" s="2">
        <v>99.52</v>
      </c>
      <c r="OT1398" s="2">
        <v>99.65000000000001</v>
      </c>
      <c r="OU1398" s="2">
        <v>100</v>
      </c>
      <c r="OV1398" s="2">
        <v>99.81999999999999</v>
      </c>
      <c r="OW1398" s="2">
        <v>99.56</v>
      </c>
      <c r="OX1398" s="2">
        <v>100.29</v>
      </c>
      <c r="PC1398" s="2">
        <v>100.57</v>
      </c>
      <c r="PD1398" s="2">
        <v>101.21</v>
      </c>
      <c r="PE1398" s="2">
        <v>102.45</v>
      </c>
      <c r="PF1398" s="2">
        <v>102.89</v>
      </c>
      <c r="PG1398" s="2">
        <v>102.35</v>
      </c>
      <c r="PH1398" s="2">
        <v>102.16</v>
      </c>
      <c r="PI1398" s="2">
        <v>103.31</v>
      </c>
    </row>
    <row r="1399">
      <c r="A1399" t="inlineStr">
        <is>
          <t>A130394273F</t>
        </is>
      </c>
      <c r="B1399" t="inlineStr">
        <is>
          <t>Index Numbers ;  Food and non-alcoholic beverages ;  Perth ;</t>
        </is>
      </c>
      <c r="C1399" t="inlineStr">
        <is>
          <t>Month</t>
        </is>
      </c>
      <c r="D1399" t="inlineStr">
        <is>
          <t>Index Numbers</t>
        </is>
      </c>
      <c r="E1399" t="inlineStr">
        <is>
          <t>Original</t>
        </is>
      </c>
      <c r="F1399" t="inlineStr">
        <is>
          <t>640109.xlsx</t>
        </is>
      </c>
      <c r="G1399" t="inlineStr">
        <is>
          <t>2024-04</t>
        </is>
      </c>
      <c r="H1399" t="inlineStr">
        <is>
          <t>2026-07</t>
        </is>
      </c>
      <c r="NZ1399" s="2">
        <v>96.25</v>
      </c>
      <c r="OA1399" s="2">
        <v>96.48</v>
      </c>
      <c r="OB1399" s="2">
        <v>96.48</v>
      </c>
      <c r="OC1399" s="2">
        <v>96.78</v>
      </c>
      <c r="OD1399" s="2">
        <v>96.95999999999999</v>
      </c>
      <c r="OE1399" s="2">
        <v>96.62</v>
      </c>
      <c r="OF1399" s="2">
        <v>96.72</v>
      </c>
      <c r="OG1399" s="2">
        <v>97.13</v>
      </c>
      <c r="OH1399" s="2">
        <v>97.43000000000001</v>
      </c>
      <c r="OM1399" s="2">
        <v>98.29000000000001</v>
      </c>
      <c r="ON1399" s="2">
        <v>98.11</v>
      </c>
      <c r="OO1399" s="2">
        <v>98.7</v>
      </c>
      <c r="OP1399" s="2">
        <v>98.98999999999999</v>
      </c>
      <c r="OQ1399" s="2">
        <v>99.38</v>
      </c>
      <c r="OR1399" s="2">
        <v>99.64</v>
      </c>
      <c r="OS1399" s="2">
        <v>99.84999999999999</v>
      </c>
      <c r="OT1399" s="2">
        <v>99.98999999999999</v>
      </c>
      <c r="OU1399" s="2">
        <v>100</v>
      </c>
      <c r="OV1399" s="2">
        <v>99.65000000000001</v>
      </c>
      <c r="OW1399" s="2">
        <v>100.02</v>
      </c>
      <c r="OX1399" s="2">
        <v>100.57</v>
      </c>
      <c r="PC1399" s="2">
        <v>101.16</v>
      </c>
      <c r="PD1399" s="2">
        <v>101.13</v>
      </c>
      <c r="PE1399" s="2">
        <v>101.54</v>
      </c>
      <c r="PF1399" s="2">
        <v>101.64</v>
      </c>
      <c r="PG1399" s="2">
        <v>102.59</v>
      </c>
      <c r="PH1399" s="2">
        <v>103.12</v>
      </c>
      <c r="PI1399" s="2">
        <v>103.4</v>
      </c>
    </row>
    <row r="1400">
      <c r="A1400" t="inlineStr">
        <is>
          <t>A130399219J</t>
        </is>
      </c>
      <c r="B1400" t="inlineStr">
        <is>
          <t>Index Numbers ;  Alcohol and tobacco ;  Perth ;</t>
        </is>
      </c>
      <c r="C1400" t="inlineStr">
        <is>
          <t>Month</t>
        </is>
      </c>
      <c r="D1400" t="inlineStr">
        <is>
          <t>Index Numbers</t>
        </is>
      </c>
      <c r="E1400" t="inlineStr">
        <is>
          <t>Original</t>
        </is>
      </c>
      <c r="F1400" t="inlineStr">
        <is>
          <t>640109.xlsx</t>
        </is>
      </c>
      <c r="G1400" t="inlineStr">
        <is>
          <t>2024-04</t>
        </is>
      </c>
      <c r="H1400" t="inlineStr">
        <is>
          <t>2026-07</t>
        </is>
      </c>
      <c r="NZ1400" s="2">
        <v>92.34999999999999</v>
      </c>
      <c r="OA1400" s="2">
        <v>92.56</v>
      </c>
      <c r="OB1400" s="2">
        <v>92.03</v>
      </c>
      <c r="OC1400" s="2">
        <v>92.91</v>
      </c>
      <c r="OD1400" s="2">
        <v>93.33</v>
      </c>
      <c r="OE1400" s="2">
        <v>94.97</v>
      </c>
      <c r="OF1400" s="2">
        <v>95.45999999999999</v>
      </c>
      <c r="OG1400" s="2">
        <v>96.12</v>
      </c>
      <c r="OH1400" s="2">
        <v>94.97</v>
      </c>
      <c r="OM1400" s="2">
        <v>95.97</v>
      </c>
      <c r="ON1400" s="2">
        <v>96.79000000000001</v>
      </c>
      <c r="OO1400" s="2">
        <v>97.64</v>
      </c>
      <c r="OP1400" s="2">
        <v>96.89</v>
      </c>
      <c r="OQ1400" s="2">
        <v>97.09</v>
      </c>
      <c r="OR1400" s="2">
        <v>96.98</v>
      </c>
      <c r="OS1400" s="2">
        <v>98.5</v>
      </c>
      <c r="OT1400" s="2">
        <v>99.19</v>
      </c>
      <c r="OU1400" s="2">
        <v>100</v>
      </c>
      <c r="OV1400" s="2">
        <v>99.78</v>
      </c>
      <c r="OW1400" s="2">
        <v>99.8</v>
      </c>
      <c r="OX1400" s="2">
        <v>100.39</v>
      </c>
      <c r="PC1400" s="2">
        <v>100.74</v>
      </c>
      <c r="PD1400" s="2">
        <v>100.82</v>
      </c>
      <c r="PE1400" s="2">
        <v>101.54</v>
      </c>
      <c r="PF1400" s="2">
        <v>101.56</v>
      </c>
      <c r="PG1400" s="2">
        <v>101.97</v>
      </c>
      <c r="PH1400" s="2">
        <v>101.73</v>
      </c>
      <c r="PI1400" s="2">
        <v>103.37</v>
      </c>
    </row>
    <row r="1401">
      <c r="A1401" t="inlineStr">
        <is>
          <t>A130392978V</t>
        </is>
      </c>
      <c r="B1401" t="inlineStr">
        <is>
          <t>Index Numbers ;  Clothing and footwear ;  Perth ;</t>
        </is>
      </c>
      <c r="C1401" t="inlineStr">
        <is>
          <t>Month</t>
        </is>
      </c>
      <c r="D1401" t="inlineStr">
        <is>
          <t>Index Numbers</t>
        </is>
      </c>
      <c r="E1401" t="inlineStr">
        <is>
          <t>Original</t>
        </is>
      </c>
      <c r="F1401" t="inlineStr">
        <is>
          <t>640109.xlsx</t>
        </is>
      </c>
      <c r="G1401" t="inlineStr">
        <is>
          <t>2024-04</t>
        </is>
      </c>
      <c r="H1401" t="inlineStr">
        <is>
          <t>2026-07</t>
        </is>
      </c>
      <c r="NZ1401" s="2">
        <v>100.97</v>
      </c>
      <c r="OA1401" s="2">
        <v>97.34</v>
      </c>
      <c r="OB1401" s="2">
        <v>95.12</v>
      </c>
      <c r="OC1401" s="2">
        <v>98.09999999999999</v>
      </c>
      <c r="OD1401" s="2">
        <v>97.94</v>
      </c>
      <c r="OE1401" s="2">
        <v>97.09</v>
      </c>
      <c r="OF1401" s="2">
        <v>98.23</v>
      </c>
      <c r="OG1401" s="2">
        <v>95.43000000000001</v>
      </c>
      <c r="OH1401" s="2">
        <v>96.05</v>
      </c>
      <c r="OM1401" s="2">
        <v>97.58</v>
      </c>
      <c r="ON1401" s="2">
        <v>101.63</v>
      </c>
      <c r="OO1401" s="2">
        <v>96.88</v>
      </c>
      <c r="OP1401" s="2">
        <v>101.58</v>
      </c>
      <c r="OQ1401" s="2">
        <v>99.36</v>
      </c>
      <c r="OR1401" s="2">
        <v>97.27</v>
      </c>
      <c r="OS1401" s="2">
        <v>100.7</v>
      </c>
      <c r="OT1401" s="2">
        <v>101.45</v>
      </c>
      <c r="OU1401" s="2">
        <v>100</v>
      </c>
      <c r="OV1401" s="2">
        <v>103.23</v>
      </c>
      <c r="OW1401" s="2">
        <v>101.07</v>
      </c>
      <c r="OX1401" s="2">
        <v>99.34999999999999</v>
      </c>
      <c r="PC1401" s="2">
        <v>102.9</v>
      </c>
      <c r="PD1401" s="2">
        <v>105.61</v>
      </c>
      <c r="PE1401" s="2">
        <v>103.63</v>
      </c>
      <c r="PF1401" s="2">
        <v>106.23</v>
      </c>
      <c r="PG1401" s="2">
        <v>103.63</v>
      </c>
      <c r="PH1401" s="2">
        <v>102.51</v>
      </c>
      <c r="PI1401" s="2">
        <v>105.75</v>
      </c>
    </row>
    <row r="1402">
      <c r="A1402" t="inlineStr">
        <is>
          <t>A130396674F</t>
        </is>
      </c>
      <c r="B1402" t="inlineStr">
        <is>
          <t>Index Numbers ;  Housing ;  Perth ;</t>
        </is>
      </c>
      <c r="C1402" t="inlineStr">
        <is>
          <t>Month</t>
        </is>
      </c>
      <c r="D1402" t="inlineStr">
        <is>
          <t>Index Numbers</t>
        </is>
      </c>
      <c r="E1402" t="inlineStr">
        <is>
          <t>Original</t>
        </is>
      </c>
      <c r="F1402" t="inlineStr">
        <is>
          <t>640109.xlsx</t>
        </is>
      </c>
      <c r="G1402" t="inlineStr">
        <is>
          <t>2024-04</t>
        </is>
      </c>
      <c r="H1402" t="inlineStr">
        <is>
          <t>2026-07</t>
        </is>
      </c>
      <c r="NZ1402" s="2">
        <v>92.02</v>
      </c>
      <c r="OA1402" s="2">
        <v>92.68000000000001</v>
      </c>
      <c r="OB1402" s="2">
        <v>93.43000000000001</v>
      </c>
      <c r="OC1402" s="2">
        <v>92.36</v>
      </c>
      <c r="OD1402" s="2">
        <v>87.23</v>
      </c>
      <c r="OE1402" s="2">
        <v>87.67</v>
      </c>
      <c r="OF1402" s="2">
        <v>90.59</v>
      </c>
      <c r="OG1402" s="2">
        <v>96.27</v>
      </c>
      <c r="OH1402" s="2">
        <v>89.79000000000001</v>
      </c>
      <c r="OM1402" s="2">
        <v>88.44</v>
      </c>
      <c r="ON1402" s="2">
        <v>88.64</v>
      </c>
      <c r="OO1402" s="2">
        <v>95.53</v>
      </c>
      <c r="OP1402" s="2">
        <v>97.34</v>
      </c>
      <c r="OQ1402" s="2">
        <v>97.51000000000001</v>
      </c>
      <c r="OR1402" s="2">
        <v>97.76000000000001</v>
      </c>
      <c r="OS1402" s="2">
        <v>98.79000000000001</v>
      </c>
      <c r="OT1402" s="2">
        <v>99.04000000000001</v>
      </c>
      <c r="OU1402" s="2">
        <v>100</v>
      </c>
      <c r="OV1402" s="2">
        <v>97.73</v>
      </c>
      <c r="OW1402" s="2">
        <v>97.09</v>
      </c>
      <c r="OX1402" s="2">
        <v>97.5</v>
      </c>
      <c r="PC1402" s="2">
        <v>100.34</v>
      </c>
      <c r="PD1402" s="2">
        <v>101.72</v>
      </c>
      <c r="PE1402" s="2">
        <v>101.95</v>
      </c>
      <c r="PF1402" s="2">
        <v>102.72</v>
      </c>
      <c r="PG1402" s="2">
        <v>103.01</v>
      </c>
      <c r="PH1402" s="2">
        <v>103.35</v>
      </c>
      <c r="PI1402" s="2">
        <v>104.33</v>
      </c>
    </row>
    <row r="1403">
      <c r="A1403" t="inlineStr">
        <is>
          <t>A130390388J</t>
        </is>
      </c>
      <c r="B1403" t="inlineStr">
        <is>
          <t>Index Numbers ;  Furnishings, household equipment and services ;  Perth ;</t>
        </is>
      </c>
      <c r="C1403" t="inlineStr">
        <is>
          <t>Month</t>
        </is>
      </c>
      <c r="D1403" t="inlineStr">
        <is>
          <t>Index Numbers</t>
        </is>
      </c>
      <c r="E1403" t="inlineStr">
        <is>
          <t>Original</t>
        </is>
      </c>
      <c r="F1403" t="inlineStr">
        <is>
          <t>640109.xlsx</t>
        </is>
      </c>
      <c r="G1403" t="inlineStr">
        <is>
          <t>2024-04</t>
        </is>
      </c>
      <c r="H1403" t="inlineStr">
        <is>
          <t>2026-07</t>
        </is>
      </c>
      <c r="NZ1403" s="2">
        <v>97.55</v>
      </c>
      <c r="OA1403" s="2">
        <v>97.67</v>
      </c>
      <c r="OB1403" s="2">
        <v>95.92</v>
      </c>
      <c r="OC1403" s="2">
        <v>98.05</v>
      </c>
      <c r="OD1403" s="2">
        <v>98.70999999999999</v>
      </c>
      <c r="OE1403" s="2">
        <v>98.12</v>
      </c>
      <c r="OF1403" s="2">
        <v>98.56999999999999</v>
      </c>
      <c r="OG1403" s="2">
        <v>98.26000000000001</v>
      </c>
      <c r="OH1403" s="2">
        <v>97.52</v>
      </c>
      <c r="OM1403" s="2">
        <v>98.01000000000001</v>
      </c>
      <c r="ON1403" s="2">
        <v>98.58</v>
      </c>
      <c r="OO1403" s="2">
        <v>98.16</v>
      </c>
      <c r="OP1403" s="2">
        <v>99.09999999999999</v>
      </c>
      <c r="OQ1403" s="2">
        <v>99.19</v>
      </c>
      <c r="OR1403" s="2">
        <v>97.76000000000001</v>
      </c>
      <c r="OS1403" s="2">
        <v>99.86</v>
      </c>
      <c r="OT1403" s="2">
        <v>100.29</v>
      </c>
      <c r="OU1403" s="2">
        <v>100</v>
      </c>
      <c r="OV1403" s="2">
        <v>100.43</v>
      </c>
      <c r="OW1403" s="2">
        <v>99.95</v>
      </c>
      <c r="OX1403" s="2">
        <v>99.23999999999999</v>
      </c>
      <c r="PC1403" s="2">
        <v>99.23999999999999</v>
      </c>
      <c r="PD1403" s="2">
        <v>100.29</v>
      </c>
      <c r="PE1403" s="2">
        <v>99.48</v>
      </c>
      <c r="PF1403" s="2">
        <v>100.26</v>
      </c>
      <c r="PG1403" s="2">
        <v>101.26</v>
      </c>
      <c r="PH1403" s="2">
        <v>99.79000000000001</v>
      </c>
      <c r="PI1403" s="2">
        <v>102.17</v>
      </c>
    </row>
    <row r="1404">
      <c r="A1404" t="inlineStr">
        <is>
          <t>A130389982A</t>
        </is>
      </c>
      <c r="B1404" t="inlineStr">
        <is>
          <t>Index Numbers ;  Health ;  Perth ;</t>
        </is>
      </c>
      <c r="C1404" t="inlineStr">
        <is>
          <t>Month</t>
        </is>
      </c>
      <c r="D1404" t="inlineStr">
        <is>
          <t>Index Numbers</t>
        </is>
      </c>
      <c r="E1404" t="inlineStr">
        <is>
          <t>Original</t>
        </is>
      </c>
      <c r="F1404" t="inlineStr">
        <is>
          <t>640109.xlsx</t>
        </is>
      </c>
      <c r="G1404" t="inlineStr">
        <is>
          <t>2024-04</t>
        </is>
      </c>
      <c r="H1404" t="inlineStr">
        <is>
          <t>2026-07</t>
        </is>
      </c>
      <c r="NZ1404" s="2">
        <v>96.13</v>
      </c>
      <c r="OA1404" s="2">
        <v>96.02</v>
      </c>
      <c r="OB1404" s="2">
        <v>95.95999999999999</v>
      </c>
      <c r="OC1404" s="2">
        <v>95.98999999999999</v>
      </c>
      <c r="OD1404" s="2">
        <v>96.01000000000001</v>
      </c>
      <c r="OE1404" s="2">
        <v>95.95</v>
      </c>
      <c r="OF1404" s="2">
        <v>96.06999999999999</v>
      </c>
      <c r="OG1404" s="2">
        <v>95.69</v>
      </c>
      <c r="OH1404" s="2">
        <v>95.59</v>
      </c>
      <c r="OM1404" s="2">
        <v>98.02</v>
      </c>
      <c r="ON1404" s="2">
        <v>98.65000000000001</v>
      </c>
      <c r="OO1404" s="2">
        <v>98.72</v>
      </c>
      <c r="OP1404" s="2">
        <v>100.42</v>
      </c>
      <c r="OQ1404" s="2">
        <v>100.22</v>
      </c>
      <c r="OR1404" s="2">
        <v>100.3</v>
      </c>
      <c r="OS1404" s="2">
        <v>100.41</v>
      </c>
      <c r="OT1404" s="2">
        <v>100.14</v>
      </c>
      <c r="OU1404" s="2">
        <v>100</v>
      </c>
      <c r="OV1404" s="2">
        <v>100.02</v>
      </c>
      <c r="OW1404" s="2">
        <v>99.66</v>
      </c>
      <c r="OX1404" s="2">
        <v>99.01000000000001</v>
      </c>
      <c r="PC1404" s="2">
        <v>101.72</v>
      </c>
      <c r="PD1404" s="2">
        <v>101.38</v>
      </c>
      <c r="PE1404" s="2">
        <v>101.47</v>
      </c>
      <c r="PF1404" s="2">
        <v>103.95</v>
      </c>
      <c r="PG1404" s="2">
        <v>103.14</v>
      </c>
      <c r="PH1404" s="2">
        <v>103.32</v>
      </c>
      <c r="PI1404" s="2">
        <v>103.56</v>
      </c>
    </row>
    <row r="1405">
      <c r="A1405" t="inlineStr">
        <is>
          <t>A130399205V</t>
        </is>
      </c>
      <c r="B1405" t="inlineStr">
        <is>
          <t>Index Numbers ;  Transport ;  Perth ;</t>
        </is>
      </c>
      <c r="C1405" t="inlineStr">
        <is>
          <t>Month</t>
        </is>
      </c>
      <c r="D1405" t="inlineStr">
        <is>
          <t>Index Numbers</t>
        </is>
      </c>
      <c r="E1405" t="inlineStr">
        <is>
          <t>Original</t>
        </is>
      </c>
      <c r="F1405" t="inlineStr">
        <is>
          <t>640109.xlsx</t>
        </is>
      </c>
      <c r="G1405" t="inlineStr">
        <is>
          <t>2024-04</t>
        </is>
      </c>
      <c r="H1405" t="inlineStr">
        <is>
          <t>2026-07</t>
        </is>
      </c>
      <c r="NZ1405" s="2">
        <v>100.67</v>
      </c>
      <c r="OA1405" s="2">
        <v>100.34</v>
      </c>
      <c r="OB1405" s="2">
        <v>98.84999999999999</v>
      </c>
      <c r="OC1405" s="2">
        <v>99.42</v>
      </c>
      <c r="OD1405" s="2">
        <v>99</v>
      </c>
      <c r="OE1405" s="2">
        <v>96.84999999999999</v>
      </c>
      <c r="OF1405" s="2">
        <v>97.42</v>
      </c>
      <c r="OG1405" s="2">
        <v>96.98999999999999</v>
      </c>
      <c r="OH1405" s="2">
        <v>97.25</v>
      </c>
      <c r="OM1405" s="2">
        <v>97.93000000000001</v>
      </c>
      <c r="ON1405" s="2">
        <v>98.84</v>
      </c>
      <c r="OO1405" s="2">
        <v>98.91</v>
      </c>
      <c r="OP1405" s="2">
        <v>98.89</v>
      </c>
      <c r="OQ1405" s="2">
        <v>98.27</v>
      </c>
      <c r="OR1405" s="2">
        <v>98.63</v>
      </c>
      <c r="OS1405" s="2">
        <v>99.67</v>
      </c>
      <c r="OT1405" s="2">
        <v>100.27</v>
      </c>
      <c r="OU1405" s="2">
        <v>100</v>
      </c>
      <c r="OV1405" s="2">
        <v>99.98</v>
      </c>
      <c r="OW1405" s="2">
        <v>100.45</v>
      </c>
      <c r="OX1405" s="2">
        <v>100.15</v>
      </c>
      <c r="PC1405" s="2">
        <v>99.05</v>
      </c>
      <c r="PD1405" s="2">
        <v>98.76000000000001</v>
      </c>
      <c r="PE1405" s="2">
        <v>109.15</v>
      </c>
      <c r="PF1405" s="2">
        <v>107.6</v>
      </c>
      <c r="PG1405" s="2">
        <v>102.39</v>
      </c>
      <c r="PH1405" s="2">
        <v>99.04000000000001</v>
      </c>
      <c r="PI1405" s="2">
        <v>102.39</v>
      </c>
    </row>
    <row r="1406">
      <c r="A1406" t="inlineStr">
        <is>
          <t>A130392509C</t>
        </is>
      </c>
      <c r="B1406" t="inlineStr">
        <is>
          <t>Index Numbers ;  Communication ;  Perth ;</t>
        </is>
      </c>
      <c r="C1406" t="inlineStr">
        <is>
          <t>Month</t>
        </is>
      </c>
      <c r="D1406" t="inlineStr">
        <is>
          <t>Index Numbers</t>
        </is>
      </c>
      <c r="E1406" t="inlineStr">
        <is>
          <t>Original</t>
        </is>
      </c>
      <c r="F1406" t="inlineStr">
        <is>
          <t>640109.xlsx</t>
        </is>
      </c>
      <c r="G1406" t="inlineStr">
        <is>
          <t>2024-04</t>
        </is>
      </c>
      <c r="H1406" t="inlineStr">
        <is>
          <t>2026-07</t>
        </is>
      </c>
      <c r="NZ1406" s="2">
        <v>98.51000000000001</v>
      </c>
      <c r="OA1406" s="2">
        <v>97.89</v>
      </c>
      <c r="OB1406" s="2">
        <v>97.27</v>
      </c>
      <c r="OC1406" s="2">
        <v>98.88</v>
      </c>
      <c r="OD1406" s="2">
        <v>98.37</v>
      </c>
      <c r="OE1406" s="2">
        <v>98.41</v>
      </c>
      <c r="OF1406" s="2">
        <v>99.06</v>
      </c>
      <c r="OG1406" s="2">
        <v>98.94</v>
      </c>
      <c r="OH1406" s="2">
        <v>98.73</v>
      </c>
      <c r="OM1406" s="2">
        <v>98.37</v>
      </c>
      <c r="ON1406" s="2">
        <v>99.09999999999999</v>
      </c>
      <c r="OO1406" s="2">
        <v>98.95</v>
      </c>
      <c r="OP1406" s="2">
        <v>99.2</v>
      </c>
      <c r="OQ1406" s="2">
        <v>98.86</v>
      </c>
      <c r="OR1406" s="2">
        <v>98</v>
      </c>
      <c r="OS1406" s="2">
        <v>99.48999999999999</v>
      </c>
      <c r="OT1406" s="2">
        <v>100.22</v>
      </c>
      <c r="OU1406" s="2">
        <v>100</v>
      </c>
      <c r="OV1406" s="2">
        <v>99.77</v>
      </c>
      <c r="OW1406" s="2">
        <v>100.22</v>
      </c>
      <c r="OX1406" s="2">
        <v>99.77</v>
      </c>
      <c r="PC1406" s="2">
        <v>99.68000000000001</v>
      </c>
      <c r="PD1406" s="2">
        <v>99.86</v>
      </c>
      <c r="PE1406" s="2">
        <v>100.28</v>
      </c>
      <c r="PF1406" s="2">
        <v>100.59</v>
      </c>
      <c r="PG1406" s="2">
        <v>100.76</v>
      </c>
      <c r="PH1406" s="2">
        <v>100.08</v>
      </c>
      <c r="PI1406" s="2">
        <v>101.89</v>
      </c>
    </row>
    <row r="1407">
      <c r="A1407" t="inlineStr">
        <is>
          <t>A130395134X</t>
        </is>
      </c>
      <c r="B1407" t="inlineStr">
        <is>
          <t>Index Numbers ;  Recreation and culture ;  Perth ;</t>
        </is>
      </c>
      <c r="C1407" t="inlineStr">
        <is>
          <t>Month</t>
        </is>
      </c>
      <c r="D1407" t="inlineStr">
        <is>
          <t>Index Numbers</t>
        </is>
      </c>
      <c r="E1407" t="inlineStr">
        <is>
          <t>Original</t>
        </is>
      </c>
      <c r="F1407" t="inlineStr">
        <is>
          <t>640109.xlsx</t>
        </is>
      </c>
      <c r="G1407" t="inlineStr">
        <is>
          <t>2024-04</t>
        </is>
      </c>
      <c r="H1407" t="inlineStr">
        <is>
          <t>2026-07</t>
        </is>
      </c>
      <c r="NZ1407" s="2">
        <v>96.12</v>
      </c>
      <c r="OA1407" s="2">
        <v>96.77</v>
      </c>
      <c r="OB1407" s="2">
        <v>98.48999999999999</v>
      </c>
      <c r="OC1407" s="2">
        <v>97.92</v>
      </c>
      <c r="OD1407" s="2">
        <v>96.98999999999999</v>
      </c>
      <c r="OE1407" s="2">
        <v>98.84</v>
      </c>
      <c r="OF1407" s="2">
        <v>96.25</v>
      </c>
      <c r="OG1407" s="2">
        <v>96.81</v>
      </c>
      <c r="OH1407" s="2">
        <v>101.62</v>
      </c>
      <c r="OM1407" s="2">
        <v>97.47</v>
      </c>
      <c r="ON1407" s="2">
        <v>96.88</v>
      </c>
      <c r="OO1407" s="2">
        <v>97.08</v>
      </c>
      <c r="OP1407" s="2">
        <v>100.12</v>
      </c>
      <c r="OQ1407" s="2">
        <v>96.55</v>
      </c>
      <c r="OR1407" s="2">
        <v>97.83</v>
      </c>
      <c r="OS1407" s="2">
        <v>99.54000000000001</v>
      </c>
      <c r="OT1407" s="2">
        <v>98.72</v>
      </c>
      <c r="OU1407" s="2">
        <v>100</v>
      </c>
      <c r="OV1407" s="2">
        <v>101.66</v>
      </c>
      <c r="OW1407" s="2">
        <v>100.69</v>
      </c>
      <c r="OX1407" s="2">
        <v>105.96</v>
      </c>
      <c r="PC1407" s="2">
        <v>101.43</v>
      </c>
      <c r="PD1407" s="2">
        <v>101.26</v>
      </c>
      <c r="PE1407" s="2">
        <v>100.94</v>
      </c>
      <c r="PF1407" s="2">
        <v>101.71</v>
      </c>
      <c r="PG1407" s="2">
        <v>100.68</v>
      </c>
      <c r="PH1407" s="2">
        <v>102.24</v>
      </c>
      <c r="PI1407" s="2">
        <v>102.67</v>
      </c>
    </row>
    <row r="1408">
      <c r="A1408" t="inlineStr">
        <is>
          <t>A130398750J</t>
        </is>
      </c>
      <c r="B1408" t="inlineStr">
        <is>
          <t>Index Numbers ;  Education ;  Perth ;</t>
        </is>
      </c>
      <c r="C1408" t="inlineStr">
        <is>
          <t>Month</t>
        </is>
      </c>
      <c r="D1408" t="inlineStr">
        <is>
          <t>Index Numbers</t>
        </is>
      </c>
      <c r="E1408" t="inlineStr">
        <is>
          <t>Original</t>
        </is>
      </c>
      <c r="F1408" t="inlineStr">
        <is>
          <t>640109.xlsx</t>
        </is>
      </c>
      <c r="G1408" t="inlineStr">
        <is>
          <t>2024-04</t>
        </is>
      </c>
      <c r="H1408" t="inlineStr">
        <is>
          <t>2026-07</t>
        </is>
      </c>
      <c r="NZ1408" s="2">
        <v>94.65000000000001</v>
      </c>
      <c r="OA1408" s="2">
        <v>94.65000000000001</v>
      </c>
      <c r="OB1408" s="2">
        <v>94.67</v>
      </c>
      <c r="OC1408" s="2">
        <v>94.67</v>
      </c>
      <c r="OD1408" s="2">
        <v>94.69</v>
      </c>
      <c r="OE1408" s="2">
        <v>94.7</v>
      </c>
      <c r="OF1408" s="2">
        <v>94.7</v>
      </c>
      <c r="OG1408" s="2">
        <v>94.7</v>
      </c>
      <c r="OH1408" s="2">
        <v>94.7</v>
      </c>
      <c r="OM1408" s="2">
        <v>94.7</v>
      </c>
      <c r="ON1408" s="2">
        <v>99.95</v>
      </c>
      <c r="OO1408" s="2">
        <v>99.95</v>
      </c>
      <c r="OP1408" s="2">
        <v>99.95</v>
      </c>
      <c r="OQ1408" s="2">
        <v>99.95</v>
      </c>
      <c r="OR1408" s="2">
        <v>99.95</v>
      </c>
      <c r="OS1408" s="2">
        <v>99.95999999999999</v>
      </c>
      <c r="OT1408" s="2">
        <v>100</v>
      </c>
      <c r="OU1408" s="2">
        <v>100</v>
      </c>
      <c r="OV1408" s="2">
        <v>100</v>
      </c>
      <c r="OW1408" s="2">
        <v>100.01</v>
      </c>
      <c r="OX1408" s="2">
        <v>100.01</v>
      </c>
      <c r="PC1408" s="2">
        <v>100.01</v>
      </c>
      <c r="PD1408" s="2">
        <v>105.25</v>
      </c>
      <c r="PE1408" s="2">
        <v>105.25</v>
      </c>
      <c r="PF1408" s="2">
        <v>105.25</v>
      </c>
      <c r="PG1408" s="2">
        <v>105.25</v>
      </c>
      <c r="PH1408" s="2">
        <v>105.25</v>
      </c>
      <c r="PI1408" s="2">
        <v>105.25</v>
      </c>
    </row>
    <row r="1409">
      <c r="A1409" t="inlineStr">
        <is>
          <t>A130390178K</t>
        </is>
      </c>
      <c r="B1409" t="inlineStr">
        <is>
          <t>Index Numbers ;  Insurance and financial services ;  Perth ;</t>
        </is>
      </c>
      <c r="C1409" t="inlineStr">
        <is>
          <t>Month</t>
        </is>
      </c>
      <c r="D1409" t="inlineStr">
        <is>
          <t>Index Numbers</t>
        </is>
      </c>
      <c r="E1409" t="inlineStr">
        <is>
          <t>Original</t>
        </is>
      </c>
      <c r="F1409" t="inlineStr">
        <is>
          <t>640109.xlsx</t>
        </is>
      </c>
      <c r="G1409" t="inlineStr">
        <is>
          <t>2024-04</t>
        </is>
      </c>
      <c r="H1409" t="inlineStr">
        <is>
          <t>2026-07</t>
        </is>
      </c>
      <c r="NZ1409" s="2">
        <v>96.62</v>
      </c>
      <c r="OA1409" s="2">
        <v>96.92</v>
      </c>
      <c r="OB1409" s="2">
        <v>97.55</v>
      </c>
      <c r="OC1409" s="2">
        <v>97.92</v>
      </c>
      <c r="OD1409" s="2">
        <v>98.19</v>
      </c>
      <c r="OE1409" s="2">
        <v>98.73</v>
      </c>
      <c r="OF1409" s="2">
        <v>99.09999999999999</v>
      </c>
      <c r="OG1409" s="2">
        <v>99.06</v>
      </c>
      <c r="OH1409" s="2">
        <v>99.48999999999999</v>
      </c>
      <c r="OM1409" s="2">
        <v>99.62</v>
      </c>
      <c r="ON1409" s="2">
        <v>99.72</v>
      </c>
      <c r="OO1409" s="2">
        <v>100.86</v>
      </c>
      <c r="OP1409" s="2">
        <v>100.51</v>
      </c>
      <c r="OQ1409" s="2">
        <v>100.03</v>
      </c>
      <c r="OR1409" s="2">
        <v>98.70999999999999</v>
      </c>
      <c r="OS1409" s="2">
        <v>99.09999999999999</v>
      </c>
      <c r="OT1409" s="2">
        <v>98.98</v>
      </c>
      <c r="OU1409" s="2">
        <v>100</v>
      </c>
      <c r="OV1409" s="2">
        <v>99.98999999999999</v>
      </c>
      <c r="OW1409" s="2">
        <v>99.95999999999999</v>
      </c>
      <c r="OX1409" s="2">
        <v>100.87</v>
      </c>
      <c r="PC1409" s="2">
        <v>100.43</v>
      </c>
      <c r="PD1409" s="2">
        <v>100.92</v>
      </c>
      <c r="PE1409" s="2">
        <v>101.15</v>
      </c>
      <c r="PF1409" s="2">
        <v>101.19</v>
      </c>
      <c r="PG1409" s="2">
        <v>101.37</v>
      </c>
      <c r="PH1409" s="2">
        <v>101.55</v>
      </c>
      <c r="PI1409" s="2">
        <v>101.58</v>
      </c>
    </row>
    <row r="1410">
      <c r="A1410" t="inlineStr">
        <is>
          <t>A130392355X</t>
        </is>
      </c>
      <c r="B1410" t="inlineStr">
        <is>
          <t>Index Numbers ;  All groups CPI ;  Hobart ;</t>
        </is>
      </c>
      <c r="C1410" t="inlineStr">
        <is>
          <t>Month</t>
        </is>
      </c>
      <c r="D1410" t="inlineStr">
        <is>
          <t>Index Numbers</t>
        </is>
      </c>
      <c r="E1410" t="inlineStr">
        <is>
          <t>Original</t>
        </is>
      </c>
      <c r="F1410" t="inlineStr">
        <is>
          <t>640109.xlsx</t>
        </is>
      </c>
      <c r="G1410" t="inlineStr">
        <is>
          <t>2024-04</t>
        </is>
      </c>
      <c r="H1410" t="inlineStr">
        <is>
          <t>2026-07</t>
        </is>
      </c>
      <c r="NZ1410" s="2">
        <v>96.64</v>
      </c>
      <c r="OA1410" s="2">
        <v>96.38</v>
      </c>
      <c r="OB1410" s="2">
        <v>96.44</v>
      </c>
      <c r="OC1410" s="2">
        <v>95.67</v>
      </c>
      <c r="OD1410" s="2">
        <v>95.27</v>
      </c>
      <c r="OE1410" s="2">
        <v>95.45</v>
      </c>
      <c r="OF1410" s="2">
        <v>96.53</v>
      </c>
      <c r="OG1410" s="2">
        <v>96.81</v>
      </c>
      <c r="OH1410" s="2">
        <v>97.47</v>
      </c>
      <c r="OM1410" s="2">
        <v>97.73</v>
      </c>
      <c r="ON1410" s="2">
        <v>97.52</v>
      </c>
      <c r="OO1410" s="2">
        <v>97.87</v>
      </c>
      <c r="OP1410" s="2">
        <v>98.41</v>
      </c>
      <c r="OQ1410" s="2">
        <v>97.59999999999999</v>
      </c>
      <c r="OR1410" s="2">
        <v>98.16</v>
      </c>
      <c r="OS1410" s="2">
        <v>99.2</v>
      </c>
      <c r="OT1410" s="2">
        <v>99.44</v>
      </c>
      <c r="OU1410" s="2">
        <v>100</v>
      </c>
      <c r="OV1410" s="2">
        <v>100.46</v>
      </c>
      <c r="OW1410" s="2">
        <v>100.32</v>
      </c>
      <c r="OX1410" s="2">
        <v>101.17</v>
      </c>
      <c r="PC1410" s="2">
        <v>101.28</v>
      </c>
      <c r="PD1410" s="2">
        <v>101.46</v>
      </c>
      <c r="PE1410" s="2">
        <v>102.82</v>
      </c>
      <c r="PF1410" s="2">
        <v>103.33</v>
      </c>
      <c r="PG1410" s="2">
        <v>102.48</v>
      </c>
      <c r="PH1410" s="2">
        <v>102.33</v>
      </c>
      <c r="PI1410" s="2">
        <v>103.62</v>
      </c>
    </row>
    <row r="1411">
      <c r="A1411" t="inlineStr">
        <is>
          <t>A130390360F</t>
        </is>
      </c>
      <c r="B1411" t="inlineStr">
        <is>
          <t>Index Numbers ;  Food and non-alcoholic beverages ;  Hobart ;</t>
        </is>
      </c>
      <c r="C1411" t="inlineStr">
        <is>
          <t>Month</t>
        </is>
      </c>
      <c r="D1411" t="inlineStr">
        <is>
          <t>Index Numbers</t>
        </is>
      </c>
      <c r="E1411" t="inlineStr">
        <is>
          <t>Original</t>
        </is>
      </c>
      <c r="F1411" t="inlineStr">
        <is>
          <t>640109.xlsx</t>
        </is>
      </c>
      <c r="G1411" t="inlineStr">
        <is>
          <t>2024-04</t>
        </is>
      </c>
      <c r="H1411" t="inlineStr">
        <is>
          <t>2026-07</t>
        </is>
      </c>
      <c r="NZ1411" s="2">
        <v>95.2</v>
      </c>
      <c r="OA1411" s="2">
        <v>95.48999999999999</v>
      </c>
      <c r="OB1411" s="2">
        <v>95.55</v>
      </c>
      <c r="OC1411" s="2">
        <v>96.06</v>
      </c>
      <c r="OD1411" s="2">
        <v>96.22</v>
      </c>
      <c r="OE1411" s="2">
        <v>95.93000000000001</v>
      </c>
      <c r="OF1411" s="2">
        <v>96.3</v>
      </c>
      <c r="OG1411" s="2">
        <v>96.54000000000001</v>
      </c>
      <c r="OH1411" s="2">
        <v>97.01000000000001</v>
      </c>
      <c r="OM1411" s="2">
        <v>98.13</v>
      </c>
      <c r="ON1411" s="2">
        <v>97.68000000000001</v>
      </c>
      <c r="OO1411" s="2">
        <v>98.17</v>
      </c>
      <c r="OP1411" s="2">
        <v>98.34</v>
      </c>
      <c r="OQ1411" s="2">
        <v>98.95</v>
      </c>
      <c r="OR1411" s="2">
        <v>99.64</v>
      </c>
      <c r="OS1411" s="2">
        <v>100.23</v>
      </c>
      <c r="OT1411" s="2">
        <v>100.18</v>
      </c>
      <c r="OU1411" s="2">
        <v>100</v>
      </c>
      <c r="OV1411" s="2">
        <v>100.3</v>
      </c>
      <c r="OW1411" s="2">
        <v>100.79</v>
      </c>
      <c r="OX1411" s="2">
        <v>101.5</v>
      </c>
      <c r="PC1411" s="2">
        <v>101.85</v>
      </c>
      <c r="PD1411" s="2">
        <v>101.55</v>
      </c>
      <c r="PE1411" s="2">
        <v>102.35</v>
      </c>
      <c r="PF1411" s="2">
        <v>102.35</v>
      </c>
      <c r="PG1411" s="2">
        <v>102.87</v>
      </c>
      <c r="PH1411" s="2">
        <v>103.16</v>
      </c>
      <c r="PI1411" s="2">
        <v>103.74</v>
      </c>
    </row>
    <row r="1412">
      <c r="A1412" t="inlineStr">
        <is>
          <t>A130395491W</t>
        </is>
      </c>
      <c r="B1412" t="inlineStr">
        <is>
          <t>Index Numbers ;  Alcohol and tobacco ;  Hobart ;</t>
        </is>
      </c>
      <c r="C1412" t="inlineStr">
        <is>
          <t>Month</t>
        </is>
      </c>
      <c r="D1412" t="inlineStr">
        <is>
          <t>Index Numbers</t>
        </is>
      </c>
      <c r="E1412" t="inlineStr">
        <is>
          <t>Original</t>
        </is>
      </c>
      <c r="F1412" t="inlineStr">
        <is>
          <t>640109.xlsx</t>
        </is>
      </c>
      <c r="G1412" t="inlineStr">
        <is>
          <t>2024-04</t>
        </is>
      </c>
      <c r="H1412" t="inlineStr">
        <is>
          <t>2026-07</t>
        </is>
      </c>
      <c r="NZ1412" s="2">
        <v>89.3</v>
      </c>
      <c r="OA1412" s="2">
        <v>88.94</v>
      </c>
      <c r="OB1412" s="2">
        <v>89.77</v>
      </c>
      <c r="OC1412" s="2">
        <v>89.48</v>
      </c>
      <c r="OD1412" s="2">
        <v>89.40000000000001</v>
      </c>
      <c r="OE1412" s="2">
        <v>91.67</v>
      </c>
      <c r="OF1412" s="2">
        <v>93.05</v>
      </c>
      <c r="OG1412" s="2">
        <v>93.20999999999999</v>
      </c>
      <c r="OH1412" s="2">
        <v>92.83</v>
      </c>
      <c r="OM1412" s="2">
        <v>93.72</v>
      </c>
      <c r="ON1412" s="2">
        <v>94.48999999999999</v>
      </c>
      <c r="OO1412" s="2">
        <v>94.81</v>
      </c>
      <c r="OP1412" s="2">
        <v>95.3</v>
      </c>
      <c r="OQ1412" s="2">
        <v>95.61</v>
      </c>
      <c r="OR1412" s="2">
        <v>96.76000000000001</v>
      </c>
      <c r="OS1412" s="2">
        <v>97.41</v>
      </c>
      <c r="OT1412" s="2">
        <v>97.66</v>
      </c>
      <c r="OU1412" s="2">
        <v>100</v>
      </c>
      <c r="OV1412" s="2">
        <v>99.69</v>
      </c>
      <c r="OW1412" s="2">
        <v>100.19</v>
      </c>
      <c r="OX1412" s="2">
        <v>100.5</v>
      </c>
      <c r="PC1412" s="2">
        <v>100.56</v>
      </c>
      <c r="PD1412" s="2">
        <v>101.7</v>
      </c>
      <c r="PE1412" s="2">
        <v>102.57</v>
      </c>
      <c r="PF1412" s="2">
        <v>102.47</v>
      </c>
      <c r="PG1412" s="2">
        <v>103.58</v>
      </c>
      <c r="PH1412" s="2">
        <v>102.99</v>
      </c>
      <c r="PI1412" s="2">
        <v>104.41</v>
      </c>
    </row>
    <row r="1413">
      <c r="A1413" t="inlineStr">
        <is>
          <t>A130396667J</t>
        </is>
      </c>
      <c r="B1413" t="inlineStr">
        <is>
          <t>Index Numbers ;  Clothing and footwear ;  Hobart ;</t>
        </is>
      </c>
      <c r="C1413" t="inlineStr">
        <is>
          <t>Month</t>
        </is>
      </c>
      <c r="D1413" t="inlineStr">
        <is>
          <t>Index Numbers</t>
        </is>
      </c>
      <c r="E1413" t="inlineStr">
        <is>
          <t>Original</t>
        </is>
      </c>
      <c r="F1413" t="inlineStr">
        <is>
          <t>640109.xlsx</t>
        </is>
      </c>
      <c r="G1413" t="inlineStr">
        <is>
          <t>2024-04</t>
        </is>
      </c>
      <c r="H1413" t="inlineStr">
        <is>
          <t>2026-07</t>
        </is>
      </c>
      <c r="NZ1413" s="2">
        <v>100.12</v>
      </c>
      <c r="OA1413" s="2">
        <v>96.7</v>
      </c>
      <c r="OB1413" s="2">
        <v>94.7</v>
      </c>
      <c r="OC1413" s="2">
        <v>97.97</v>
      </c>
      <c r="OD1413" s="2">
        <v>98.47</v>
      </c>
      <c r="OE1413" s="2">
        <v>98.43000000000001</v>
      </c>
      <c r="OF1413" s="2">
        <v>99.14</v>
      </c>
      <c r="OG1413" s="2">
        <v>95.31</v>
      </c>
      <c r="OH1413" s="2">
        <v>96.34999999999999</v>
      </c>
      <c r="OM1413" s="2">
        <v>96.37</v>
      </c>
      <c r="ON1413" s="2">
        <v>98.66</v>
      </c>
      <c r="OO1413" s="2">
        <v>95.76000000000001</v>
      </c>
      <c r="OP1413" s="2">
        <v>101.46</v>
      </c>
      <c r="OQ1413" s="2">
        <v>99.13</v>
      </c>
      <c r="OR1413" s="2">
        <v>97.86</v>
      </c>
      <c r="OS1413" s="2">
        <v>99.31</v>
      </c>
      <c r="OT1413" s="2">
        <v>101.27</v>
      </c>
      <c r="OU1413" s="2">
        <v>100</v>
      </c>
      <c r="OV1413" s="2">
        <v>103.55</v>
      </c>
      <c r="OW1413" s="2">
        <v>100.41</v>
      </c>
      <c r="OX1413" s="2">
        <v>101.54</v>
      </c>
      <c r="PC1413" s="2">
        <v>101.6</v>
      </c>
      <c r="PD1413" s="2">
        <v>105.49</v>
      </c>
      <c r="PE1413" s="2">
        <v>102.99</v>
      </c>
      <c r="PF1413" s="2">
        <v>105.92</v>
      </c>
      <c r="PG1413" s="2">
        <v>101.9</v>
      </c>
      <c r="PH1413" s="2">
        <v>99.23999999999999</v>
      </c>
      <c r="PI1413" s="2">
        <v>103.2</v>
      </c>
    </row>
    <row r="1414">
      <c r="A1414" t="inlineStr">
        <is>
          <t>A130399191T</t>
        </is>
      </c>
      <c r="B1414" t="inlineStr">
        <is>
          <t>Index Numbers ;  Housing ;  Hobart ;</t>
        </is>
      </c>
      <c r="C1414" t="inlineStr">
        <is>
          <t>Month</t>
        </is>
      </c>
      <c r="D1414" t="inlineStr">
        <is>
          <t>Index Numbers</t>
        </is>
      </c>
      <c r="E1414" t="inlineStr">
        <is>
          <t>Original</t>
        </is>
      </c>
      <c r="F1414" t="inlineStr">
        <is>
          <t>640109.xlsx</t>
        </is>
      </c>
      <c r="G1414" t="inlineStr">
        <is>
          <t>2024-04</t>
        </is>
      </c>
      <c r="H1414" t="inlineStr">
        <is>
          <t>2026-07</t>
        </is>
      </c>
      <c r="NZ1414" s="2">
        <v>95.63</v>
      </c>
      <c r="OA1414" s="2">
        <v>96.09999999999999</v>
      </c>
      <c r="OB1414" s="2">
        <v>96.18000000000001</v>
      </c>
      <c r="OC1414" s="2">
        <v>91.91</v>
      </c>
      <c r="OD1414" s="2">
        <v>90.3</v>
      </c>
      <c r="OE1414" s="2">
        <v>90.72</v>
      </c>
      <c r="OF1414" s="2">
        <v>94.90000000000001</v>
      </c>
      <c r="OG1414" s="2">
        <v>96.5</v>
      </c>
      <c r="OH1414" s="2">
        <v>96.42</v>
      </c>
      <c r="OM1414" s="2">
        <v>96.56999999999999</v>
      </c>
      <c r="ON1414" s="2">
        <v>96.54000000000001</v>
      </c>
      <c r="OO1414" s="2">
        <v>97.87</v>
      </c>
      <c r="OP1414" s="2">
        <v>96.62</v>
      </c>
      <c r="OQ1414" s="2">
        <v>95.45</v>
      </c>
      <c r="OR1414" s="2">
        <v>95.64</v>
      </c>
      <c r="OS1414" s="2">
        <v>97.77</v>
      </c>
      <c r="OT1414" s="2">
        <v>99.27</v>
      </c>
      <c r="OU1414" s="2">
        <v>100</v>
      </c>
      <c r="OV1414" s="2">
        <v>100.18</v>
      </c>
      <c r="OW1414" s="2">
        <v>100.35</v>
      </c>
      <c r="OX1414" s="2">
        <v>100.42</v>
      </c>
      <c r="PC1414" s="2">
        <v>102.38</v>
      </c>
      <c r="PD1414" s="2">
        <v>102.81</v>
      </c>
      <c r="PE1414" s="2">
        <v>103.15</v>
      </c>
      <c r="PF1414" s="2">
        <v>104.27</v>
      </c>
      <c r="PG1414" s="2">
        <v>104.77</v>
      </c>
      <c r="PH1414" s="2">
        <v>104.98</v>
      </c>
      <c r="PI1414" s="2">
        <v>106.43</v>
      </c>
    </row>
    <row r="1415">
      <c r="A1415" t="inlineStr">
        <is>
          <t>A130394301C</t>
        </is>
      </c>
      <c r="B1415" t="inlineStr">
        <is>
          <t>Index Numbers ;  Furnishings, household equipment and services ;  Hobart ;</t>
        </is>
      </c>
      <c r="C1415" t="inlineStr">
        <is>
          <t>Month</t>
        </is>
      </c>
      <c r="D1415" t="inlineStr">
        <is>
          <t>Index Numbers</t>
        </is>
      </c>
      <c r="E1415" t="inlineStr">
        <is>
          <t>Original</t>
        </is>
      </c>
      <c r="F1415" t="inlineStr">
        <is>
          <t>640109.xlsx</t>
        </is>
      </c>
      <c r="G1415" t="inlineStr">
        <is>
          <t>2024-04</t>
        </is>
      </c>
      <c r="H1415" t="inlineStr">
        <is>
          <t>2026-07</t>
        </is>
      </c>
      <c r="NZ1415" s="2">
        <v>96.79000000000001</v>
      </c>
      <c r="OA1415" s="2">
        <v>96.64</v>
      </c>
      <c r="OB1415" s="2">
        <v>95.78</v>
      </c>
      <c r="OC1415" s="2">
        <v>97.55</v>
      </c>
      <c r="OD1415" s="2">
        <v>97.69</v>
      </c>
      <c r="OE1415" s="2">
        <v>97.88</v>
      </c>
      <c r="OF1415" s="2">
        <v>97.98999999999999</v>
      </c>
      <c r="OG1415" s="2">
        <v>98.48999999999999</v>
      </c>
      <c r="OH1415" s="2">
        <v>97.98</v>
      </c>
      <c r="OM1415" s="2">
        <v>97.41</v>
      </c>
      <c r="ON1415" s="2">
        <v>98.65000000000001</v>
      </c>
      <c r="OO1415" s="2">
        <v>98.31999999999999</v>
      </c>
      <c r="OP1415" s="2">
        <v>98.61</v>
      </c>
      <c r="OQ1415" s="2">
        <v>97.94</v>
      </c>
      <c r="OR1415" s="2">
        <v>97.20999999999999</v>
      </c>
      <c r="OS1415" s="2">
        <v>99.34</v>
      </c>
      <c r="OT1415" s="2">
        <v>100.1</v>
      </c>
      <c r="OU1415" s="2">
        <v>100</v>
      </c>
      <c r="OV1415" s="2">
        <v>101.28</v>
      </c>
      <c r="OW1415" s="2">
        <v>99.42</v>
      </c>
      <c r="OX1415" s="2">
        <v>99.05</v>
      </c>
      <c r="PC1415" s="2">
        <v>99.26000000000001</v>
      </c>
      <c r="PD1415" s="2">
        <v>100.09</v>
      </c>
      <c r="PE1415" s="2">
        <v>99.73</v>
      </c>
      <c r="PF1415" s="2">
        <v>100.4</v>
      </c>
      <c r="PG1415" s="2">
        <v>100.15</v>
      </c>
      <c r="PH1415" s="2">
        <v>99.11</v>
      </c>
      <c r="PI1415" s="2">
        <v>101.63</v>
      </c>
    </row>
    <row r="1416">
      <c r="A1416" t="inlineStr">
        <is>
          <t>A130396198C</t>
        </is>
      </c>
      <c r="B1416" t="inlineStr">
        <is>
          <t>Index Numbers ;  Health ;  Hobart ;</t>
        </is>
      </c>
      <c r="C1416" t="inlineStr">
        <is>
          <t>Month</t>
        </is>
      </c>
      <c r="D1416" t="inlineStr">
        <is>
          <t>Index Numbers</t>
        </is>
      </c>
      <c r="E1416" t="inlineStr">
        <is>
          <t>Original</t>
        </is>
      </c>
      <c r="F1416" t="inlineStr">
        <is>
          <t>640109.xlsx</t>
        </is>
      </c>
      <c r="G1416" t="inlineStr">
        <is>
          <t>2024-04</t>
        </is>
      </c>
      <c r="H1416" t="inlineStr">
        <is>
          <t>2026-07</t>
        </is>
      </c>
      <c r="NZ1416" s="2">
        <v>97.83</v>
      </c>
      <c r="OA1416" s="2">
        <v>97.20999999999999</v>
      </c>
      <c r="OB1416" s="2">
        <v>97.18000000000001</v>
      </c>
      <c r="OC1416" s="2">
        <v>97.09999999999999</v>
      </c>
      <c r="OD1416" s="2">
        <v>97.23999999999999</v>
      </c>
      <c r="OE1416" s="2">
        <v>96.98999999999999</v>
      </c>
      <c r="OF1416" s="2">
        <v>97.28</v>
      </c>
      <c r="OG1416" s="2">
        <v>97.17</v>
      </c>
      <c r="OH1416" s="2">
        <v>96.62</v>
      </c>
      <c r="OM1416" s="2">
        <v>99.02</v>
      </c>
      <c r="ON1416" s="2">
        <v>98.78</v>
      </c>
      <c r="OO1416" s="2">
        <v>98.97</v>
      </c>
      <c r="OP1416" s="2">
        <v>100.6</v>
      </c>
      <c r="OQ1416" s="2">
        <v>100.57</v>
      </c>
      <c r="OR1416" s="2">
        <v>100.15</v>
      </c>
      <c r="OS1416" s="2">
        <v>100.28</v>
      </c>
      <c r="OT1416" s="2">
        <v>100.18</v>
      </c>
      <c r="OU1416" s="2">
        <v>100</v>
      </c>
      <c r="OV1416" s="2">
        <v>99.63</v>
      </c>
      <c r="OW1416" s="2">
        <v>99.45999999999999</v>
      </c>
      <c r="OX1416" s="2">
        <v>99.18000000000001</v>
      </c>
      <c r="PC1416" s="2">
        <v>101.54</v>
      </c>
      <c r="PD1416" s="2">
        <v>101.46</v>
      </c>
      <c r="PE1416" s="2">
        <v>101.54</v>
      </c>
      <c r="PF1416" s="2">
        <v>104.03</v>
      </c>
      <c r="PG1416" s="2">
        <v>103.65</v>
      </c>
      <c r="PH1416" s="2">
        <v>103.4</v>
      </c>
      <c r="PI1416" s="2">
        <v>104.02</v>
      </c>
    </row>
    <row r="1417">
      <c r="A1417" t="inlineStr">
        <is>
          <t>A130394308V</t>
        </is>
      </c>
      <c r="B1417" t="inlineStr">
        <is>
          <t>Index Numbers ;  Transport ;  Hobart ;</t>
        </is>
      </c>
      <c r="C1417" t="inlineStr">
        <is>
          <t>Month</t>
        </is>
      </c>
      <c r="D1417" t="inlineStr">
        <is>
          <t>Index Numbers</t>
        </is>
      </c>
      <c r="E1417" t="inlineStr">
        <is>
          <t>Original</t>
        </is>
      </c>
      <c r="F1417" t="inlineStr">
        <is>
          <t>640109.xlsx</t>
        </is>
      </c>
      <c r="G1417" t="inlineStr">
        <is>
          <t>2024-04</t>
        </is>
      </c>
      <c r="H1417" t="inlineStr">
        <is>
          <t>2026-07</t>
        </is>
      </c>
      <c r="NZ1417" s="2">
        <v>104.17</v>
      </c>
      <c r="OA1417" s="2">
        <v>103.59</v>
      </c>
      <c r="OB1417" s="2">
        <v>101.47</v>
      </c>
      <c r="OC1417" s="2">
        <v>101.14</v>
      </c>
      <c r="OD1417" s="2">
        <v>99.76000000000001</v>
      </c>
      <c r="OE1417" s="2">
        <v>98.16</v>
      </c>
      <c r="OF1417" s="2">
        <v>98.14</v>
      </c>
      <c r="OG1417" s="2">
        <v>98.19</v>
      </c>
      <c r="OH1417" s="2">
        <v>99.7</v>
      </c>
      <c r="OM1417" s="2">
        <v>100.73</v>
      </c>
      <c r="ON1417" s="2">
        <v>99.39</v>
      </c>
      <c r="OO1417" s="2">
        <v>99.53</v>
      </c>
      <c r="OP1417" s="2">
        <v>99.29000000000001</v>
      </c>
      <c r="OQ1417" s="2">
        <v>98.02</v>
      </c>
      <c r="OR1417" s="2">
        <v>99.3</v>
      </c>
      <c r="OS1417" s="2">
        <v>100.19</v>
      </c>
      <c r="OT1417" s="2">
        <v>100.19</v>
      </c>
      <c r="OU1417" s="2">
        <v>100</v>
      </c>
      <c r="OV1417" s="2">
        <v>100.16</v>
      </c>
      <c r="OW1417" s="2">
        <v>100.84</v>
      </c>
      <c r="OX1417" s="2">
        <v>100.65</v>
      </c>
      <c r="PC1417" s="2">
        <v>99.01000000000001</v>
      </c>
      <c r="PD1417" s="2">
        <v>98.63</v>
      </c>
      <c r="PE1417" s="2">
        <v>109.13</v>
      </c>
      <c r="PF1417" s="2">
        <v>107.09</v>
      </c>
      <c r="PG1417" s="2">
        <v>102.43</v>
      </c>
      <c r="PH1417" s="2">
        <v>99.20999999999999</v>
      </c>
      <c r="PI1417" s="2">
        <v>101.49</v>
      </c>
    </row>
    <row r="1418">
      <c r="A1418" t="inlineStr">
        <is>
          <t>A130390003J</t>
        </is>
      </c>
      <c r="B1418" t="inlineStr">
        <is>
          <t>Index Numbers ;  Communication ;  Hobart ;</t>
        </is>
      </c>
      <c r="C1418" t="inlineStr">
        <is>
          <t>Month</t>
        </is>
      </c>
      <c r="D1418" t="inlineStr">
        <is>
          <t>Index Numbers</t>
        </is>
      </c>
      <c r="E1418" t="inlineStr">
        <is>
          <t>Original</t>
        </is>
      </c>
      <c r="F1418" t="inlineStr">
        <is>
          <t>640109.xlsx</t>
        </is>
      </c>
      <c r="G1418" t="inlineStr">
        <is>
          <t>2024-04</t>
        </is>
      </c>
      <c r="H1418" t="inlineStr">
        <is>
          <t>2026-07</t>
        </is>
      </c>
      <c r="NZ1418" s="2">
        <v>98.40000000000001</v>
      </c>
      <c r="OA1418" s="2">
        <v>97.76000000000001</v>
      </c>
      <c r="OB1418" s="2">
        <v>97.12</v>
      </c>
      <c r="OC1418" s="2">
        <v>98.77</v>
      </c>
      <c r="OD1418" s="2">
        <v>98.28</v>
      </c>
      <c r="OE1418" s="2">
        <v>98.31</v>
      </c>
      <c r="OF1418" s="2">
        <v>98.93000000000001</v>
      </c>
      <c r="OG1418" s="2">
        <v>98.8</v>
      </c>
      <c r="OH1418" s="2">
        <v>98.59999999999999</v>
      </c>
      <c r="OM1418" s="2">
        <v>98.23999999999999</v>
      </c>
      <c r="ON1418" s="2">
        <v>99.02</v>
      </c>
      <c r="OO1418" s="2">
        <v>98.86</v>
      </c>
      <c r="OP1418" s="2">
        <v>99.12</v>
      </c>
      <c r="OQ1418" s="2">
        <v>98.84</v>
      </c>
      <c r="OR1418" s="2">
        <v>98</v>
      </c>
      <c r="OS1418" s="2">
        <v>99.48</v>
      </c>
      <c r="OT1418" s="2">
        <v>100.24</v>
      </c>
      <c r="OU1418" s="2">
        <v>100</v>
      </c>
      <c r="OV1418" s="2">
        <v>99.72</v>
      </c>
      <c r="OW1418" s="2">
        <v>100.17</v>
      </c>
      <c r="OX1418" s="2">
        <v>99.73</v>
      </c>
      <c r="PC1418" s="2">
        <v>99.64</v>
      </c>
      <c r="PD1418" s="2">
        <v>99.81</v>
      </c>
      <c r="PE1418" s="2">
        <v>100.28</v>
      </c>
      <c r="PF1418" s="2">
        <v>100.63</v>
      </c>
      <c r="PG1418" s="2">
        <v>100.76</v>
      </c>
      <c r="PH1418" s="2">
        <v>100.06</v>
      </c>
      <c r="PI1418" s="2">
        <v>101.82</v>
      </c>
    </row>
    <row r="1419">
      <c r="A1419" t="inlineStr">
        <is>
          <t>A130397550W</t>
        </is>
      </c>
      <c r="B1419" t="inlineStr">
        <is>
          <t>Index Numbers ;  Recreation and culture ;  Hobart ;</t>
        </is>
      </c>
      <c r="C1419" t="inlineStr">
        <is>
          <t>Month</t>
        </is>
      </c>
      <c r="D1419" t="inlineStr">
        <is>
          <t>Index Numbers</t>
        </is>
      </c>
      <c r="E1419" t="inlineStr">
        <is>
          <t>Original</t>
        </is>
      </c>
      <c r="F1419" t="inlineStr">
        <is>
          <t>640109.xlsx</t>
        </is>
      </c>
      <c r="G1419" t="inlineStr">
        <is>
          <t>2024-04</t>
        </is>
      </c>
      <c r="H1419" t="inlineStr">
        <is>
          <t>2026-07</t>
        </is>
      </c>
      <c r="NZ1419" s="2">
        <v>96.79000000000001</v>
      </c>
      <c r="OA1419" s="2">
        <v>95.84</v>
      </c>
      <c r="OB1419" s="2">
        <v>98.02</v>
      </c>
      <c r="OC1419" s="2">
        <v>96.01000000000001</v>
      </c>
      <c r="OD1419" s="2">
        <v>96.14</v>
      </c>
      <c r="OE1419" s="2">
        <v>97.53</v>
      </c>
      <c r="OF1419" s="2">
        <v>97.44</v>
      </c>
      <c r="OG1419" s="2">
        <v>97.53</v>
      </c>
      <c r="OH1419" s="2">
        <v>101.35</v>
      </c>
      <c r="OM1419" s="2">
        <v>98.98</v>
      </c>
      <c r="ON1419" s="2">
        <v>96.3</v>
      </c>
      <c r="OO1419" s="2">
        <v>96.73</v>
      </c>
      <c r="OP1419" s="2">
        <v>99.54000000000001</v>
      </c>
      <c r="OQ1419" s="2">
        <v>96.23</v>
      </c>
      <c r="OR1419" s="2">
        <v>98.16</v>
      </c>
      <c r="OS1419" s="2">
        <v>98.93000000000001</v>
      </c>
      <c r="OT1419" s="2">
        <v>97.7</v>
      </c>
      <c r="OU1419" s="2">
        <v>100</v>
      </c>
      <c r="OV1419" s="2">
        <v>101.22</v>
      </c>
      <c r="OW1419" s="2">
        <v>100.25</v>
      </c>
      <c r="OX1419" s="2">
        <v>105.36</v>
      </c>
      <c r="PC1419" s="2">
        <v>103.07</v>
      </c>
      <c r="PD1419" s="2">
        <v>101.39</v>
      </c>
      <c r="PE1419" s="2">
        <v>100.24</v>
      </c>
      <c r="PF1419" s="2">
        <v>101.78</v>
      </c>
      <c r="PG1419" s="2">
        <v>98.86</v>
      </c>
      <c r="PH1419" s="2">
        <v>101.92</v>
      </c>
      <c r="PI1419" s="2">
        <v>102.58</v>
      </c>
    </row>
    <row r="1420">
      <c r="A1420" t="inlineStr">
        <is>
          <t>A130397571J</t>
        </is>
      </c>
      <c r="B1420" t="inlineStr">
        <is>
          <t>Index Numbers ;  Education ;  Hobart ;</t>
        </is>
      </c>
      <c r="C1420" t="inlineStr">
        <is>
          <t>Month</t>
        </is>
      </c>
      <c r="D1420" t="inlineStr">
        <is>
          <t>Index Numbers</t>
        </is>
      </c>
      <c r="E1420" t="inlineStr">
        <is>
          <t>Original</t>
        </is>
      </c>
      <c r="F1420" t="inlineStr">
        <is>
          <t>640109.xlsx</t>
        </is>
      </c>
      <c r="G1420" t="inlineStr">
        <is>
          <t>2024-04</t>
        </is>
      </c>
      <c r="H1420" t="inlineStr">
        <is>
          <t>2026-07</t>
        </is>
      </c>
      <c r="NZ1420" s="2">
        <v>95.72</v>
      </c>
      <c r="OA1420" s="2">
        <v>95.72</v>
      </c>
      <c r="OB1420" s="2">
        <v>95.72</v>
      </c>
      <c r="OC1420" s="2">
        <v>95.72</v>
      </c>
      <c r="OD1420" s="2">
        <v>95.72</v>
      </c>
      <c r="OE1420" s="2">
        <v>95.72</v>
      </c>
      <c r="OF1420" s="2">
        <v>95.72</v>
      </c>
      <c r="OG1420" s="2">
        <v>95.72</v>
      </c>
      <c r="OH1420" s="2">
        <v>95.72</v>
      </c>
      <c r="OM1420" s="2">
        <v>95.72</v>
      </c>
      <c r="ON1420" s="2">
        <v>100</v>
      </c>
      <c r="OO1420" s="2">
        <v>100</v>
      </c>
      <c r="OP1420" s="2">
        <v>100</v>
      </c>
      <c r="OQ1420" s="2">
        <v>100</v>
      </c>
      <c r="OR1420" s="2">
        <v>100</v>
      </c>
      <c r="OS1420" s="2">
        <v>100</v>
      </c>
      <c r="OT1420" s="2">
        <v>100</v>
      </c>
      <c r="OU1420" s="2">
        <v>100</v>
      </c>
      <c r="OV1420" s="2">
        <v>100</v>
      </c>
      <c r="OW1420" s="2">
        <v>100</v>
      </c>
      <c r="OX1420" s="2">
        <v>100</v>
      </c>
      <c r="PC1420" s="2">
        <v>100</v>
      </c>
      <c r="PD1420" s="2">
        <v>103.76</v>
      </c>
      <c r="PE1420" s="2">
        <v>103.76</v>
      </c>
      <c r="PF1420" s="2">
        <v>103.76</v>
      </c>
      <c r="PG1420" s="2">
        <v>103.76</v>
      </c>
      <c r="PH1420" s="2">
        <v>103.76</v>
      </c>
      <c r="PI1420" s="2">
        <v>103.76</v>
      </c>
    </row>
    <row r="1421">
      <c r="A1421" t="inlineStr">
        <is>
          <t>A130391459X</t>
        </is>
      </c>
      <c r="B1421" t="inlineStr">
        <is>
          <t>Index Numbers ;  Insurance and financial services ;  Hobart ;</t>
        </is>
      </c>
      <c r="C1421" t="inlineStr">
        <is>
          <t>Month</t>
        </is>
      </c>
      <c r="D1421" t="inlineStr">
        <is>
          <t>Index Numbers</t>
        </is>
      </c>
      <c r="E1421" t="inlineStr">
        <is>
          <t>Original</t>
        </is>
      </c>
      <c r="F1421" t="inlineStr">
        <is>
          <t>640109.xlsx</t>
        </is>
      </c>
      <c r="G1421" t="inlineStr">
        <is>
          <t>2024-04</t>
        </is>
      </c>
      <c r="H1421" t="inlineStr">
        <is>
          <t>2026-07</t>
        </is>
      </c>
      <c r="NZ1421" s="2">
        <v>96.23</v>
      </c>
      <c r="OA1421" s="2">
        <v>96.42</v>
      </c>
      <c r="OB1421" s="2">
        <v>98.02</v>
      </c>
      <c r="OC1421" s="2">
        <v>98.47</v>
      </c>
      <c r="OD1421" s="2">
        <v>98.64</v>
      </c>
      <c r="OE1421" s="2">
        <v>96.72</v>
      </c>
      <c r="OF1421" s="2">
        <v>97.34999999999999</v>
      </c>
      <c r="OG1421" s="2">
        <v>97.3</v>
      </c>
      <c r="OH1421" s="2">
        <v>97.11</v>
      </c>
      <c r="OM1421" s="2">
        <v>97.41</v>
      </c>
      <c r="ON1421" s="2">
        <v>97.52</v>
      </c>
      <c r="OO1421" s="2">
        <v>98.2</v>
      </c>
      <c r="OP1421" s="2">
        <v>98.28</v>
      </c>
      <c r="OQ1421" s="2">
        <v>98.45</v>
      </c>
      <c r="OR1421" s="2">
        <v>99.12</v>
      </c>
      <c r="OS1421" s="2">
        <v>99.45999999999999</v>
      </c>
      <c r="OT1421" s="2">
        <v>99.06</v>
      </c>
      <c r="OU1421" s="2">
        <v>100</v>
      </c>
      <c r="OV1421" s="2">
        <v>100.7</v>
      </c>
      <c r="OW1421" s="2">
        <v>100.78</v>
      </c>
      <c r="OX1421" s="2">
        <v>101.46</v>
      </c>
      <c r="PC1421" s="2">
        <v>101.6</v>
      </c>
      <c r="PD1421" s="2">
        <v>101.6</v>
      </c>
      <c r="PE1421" s="2">
        <v>102.31</v>
      </c>
      <c r="PF1421" s="2">
        <v>102.65</v>
      </c>
      <c r="PG1421" s="2">
        <v>103.06</v>
      </c>
      <c r="PH1421" s="2">
        <v>102.89</v>
      </c>
      <c r="PI1421" s="2">
        <v>103.03</v>
      </c>
    </row>
    <row r="1422">
      <c r="A1422" t="inlineStr">
        <is>
          <t>A130395008K</t>
        </is>
      </c>
      <c r="B1422" t="inlineStr">
        <is>
          <t>Index Numbers ;  All groups CPI ;  Darwin ;</t>
        </is>
      </c>
      <c r="C1422" t="inlineStr">
        <is>
          <t>Month</t>
        </is>
      </c>
      <c r="D1422" t="inlineStr">
        <is>
          <t>Index Numbers</t>
        </is>
      </c>
      <c r="E1422" t="inlineStr">
        <is>
          <t>Original</t>
        </is>
      </c>
      <c r="F1422" t="inlineStr">
        <is>
          <t>640109.xlsx</t>
        </is>
      </c>
      <c r="G1422" t="inlineStr">
        <is>
          <t>2024-04</t>
        </is>
      </c>
      <c r="H1422" t="inlineStr">
        <is>
          <t>2026-07</t>
        </is>
      </c>
      <c r="NZ1422" s="2">
        <v>96.91</v>
      </c>
      <c r="OA1422" s="2">
        <v>96.89</v>
      </c>
      <c r="OB1422" s="2">
        <v>97.37</v>
      </c>
      <c r="OC1422" s="2">
        <v>97.42</v>
      </c>
      <c r="OD1422" s="2">
        <v>96.92</v>
      </c>
      <c r="OE1422" s="2">
        <v>97.20999999999999</v>
      </c>
      <c r="OF1422" s="2">
        <v>96.58</v>
      </c>
      <c r="OG1422" s="2">
        <v>97</v>
      </c>
      <c r="OH1422" s="2">
        <v>97.69</v>
      </c>
      <c r="OM1422" s="2">
        <v>97.76000000000001</v>
      </c>
      <c r="ON1422" s="2">
        <v>97.81999999999999</v>
      </c>
      <c r="OO1422" s="2">
        <v>97.98</v>
      </c>
      <c r="OP1422" s="2">
        <v>98.59999999999999</v>
      </c>
      <c r="OQ1422" s="2">
        <v>98.34999999999999</v>
      </c>
      <c r="OR1422" s="2">
        <v>98.36</v>
      </c>
      <c r="OS1422" s="2">
        <v>99.52</v>
      </c>
      <c r="OT1422" s="2">
        <v>99.47</v>
      </c>
      <c r="OU1422" s="2">
        <v>100</v>
      </c>
      <c r="OV1422" s="2">
        <v>100.18</v>
      </c>
      <c r="OW1422" s="2">
        <v>100.11</v>
      </c>
      <c r="OX1422" s="2">
        <v>100.71</v>
      </c>
      <c r="PC1422" s="2">
        <v>100.83</v>
      </c>
      <c r="PD1422" s="2">
        <v>100.91</v>
      </c>
      <c r="PE1422" s="2">
        <v>102.08</v>
      </c>
      <c r="PF1422" s="2">
        <v>102.73</v>
      </c>
      <c r="PG1422" s="2">
        <v>102.16</v>
      </c>
      <c r="PH1422" s="2">
        <v>102.17</v>
      </c>
      <c r="PI1422" s="2">
        <v>103.24</v>
      </c>
    </row>
    <row r="1423">
      <c r="A1423" t="inlineStr">
        <is>
          <t>A130390367W</t>
        </is>
      </c>
      <c r="B1423" t="inlineStr">
        <is>
          <t>Index Numbers ;  Food and non-alcoholic beverages ;  Darwin ;</t>
        </is>
      </c>
      <c r="C1423" t="inlineStr">
        <is>
          <t>Month</t>
        </is>
      </c>
      <c r="D1423" t="inlineStr">
        <is>
          <t>Index Numbers</t>
        </is>
      </c>
      <c r="E1423" t="inlineStr">
        <is>
          <t>Original</t>
        </is>
      </c>
      <c r="F1423" t="inlineStr">
        <is>
          <t>640109.xlsx</t>
        </is>
      </c>
      <c r="G1423" t="inlineStr">
        <is>
          <t>2024-04</t>
        </is>
      </c>
      <c r="H1423" t="inlineStr">
        <is>
          <t>2026-07</t>
        </is>
      </c>
      <c r="NZ1423" s="2">
        <v>95.98999999999999</v>
      </c>
      <c r="OA1423" s="2">
        <v>96.59</v>
      </c>
      <c r="OB1423" s="2">
        <v>96.72</v>
      </c>
      <c r="OC1423" s="2">
        <v>97.23999999999999</v>
      </c>
      <c r="OD1423" s="2">
        <v>97.34999999999999</v>
      </c>
      <c r="OE1423" s="2">
        <v>96.81999999999999</v>
      </c>
      <c r="OF1423" s="2">
        <v>96.90000000000001</v>
      </c>
      <c r="OG1423" s="2">
        <v>97.20999999999999</v>
      </c>
      <c r="OH1423" s="2">
        <v>97.52</v>
      </c>
      <c r="OM1423" s="2">
        <v>98.44</v>
      </c>
      <c r="ON1423" s="2">
        <v>98.34999999999999</v>
      </c>
      <c r="OO1423" s="2">
        <v>98.91</v>
      </c>
      <c r="OP1423" s="2">
        <v>99.12</v>
      </c>
      <c r="OQ1423" s="2">
        <v>99.48999999999999</v>
      </c>
      <c r="OR1423" s="2">
        <v>99.84</v>
      </c>
      <c r="OS1423" s="2">
        <v>100.31</v>
      </c>
      <c r="OT1423" s="2">
        <v>100.44</v>
      </c>
      <c r="OU1423" s="2">
        <v>100</v>
      </c>
      <c r="OV1423" s="2">
        <v>100.04</v>
      </c>
      <c r="OW1423" s="2">
        <v>100.34</v>
      </c>
      <c r="OX1423" s="2">
        <v>100.43</v>
      </c>
      <c r="PC1423" s="2">
        <v>101.11</v>
      </c>
      <c r="PD1423" s="2">
        <v>101.22</v>
      </c>
      <c r="PE1423" s="2">
        <v>101.79</v>
      </c>
      <c r="PF1423" s="2">
        <v>101.95</v>
      </c>
      <c r="PG1423" s="2">
        <v>102.59</v>
      </c>
      <c r="PH1423" s="2">
        <v>102.95</v>
      </c>
      <c r="PI1423" s="2">
        <v>103.45</v>
      </c>
    </row>
    <row r="1424">
      <c r="A1424" t="inlineStr">
        <is>
          <t>A130394322R</t>
        </is>
      </c>
      <c r="B1424" t="inlineStr">
        <is>
          <t>Index Numbers ;  Alcohol and tobacco ;  Darwin ;</t>
        </is>
      </c>
      <c r="C1424" t="inlineStr">
        <is>
          <t>Month</t>
        </is>
      </c>
      <c r="D1424" t="inlineStr">
        <is>
          <t>Index Numbers</t>
        </is>
      </c>
      <c r="E1424" t="inlineStr">
        <is>
          <t>Original</t>
        </is>
      </c>
      <c r="F1424" t="inlineStr">
        <is>
          <t>640109.xlsx</t>
        </is>
      </c>
      <c r="G1424" t="inlineStr">
        <is>
          <t>2024-04</t>
        </is>
      </c>
      <c r="H1424" t="inlineStr">
        <is>
          <t>2026-07</t>
        </is>
      </c>
      <c r="NZ1424" s="2">
        <v>93.15000000000001</v>
      </c>
      <c r="OA1424" s="2">
        <v>92.73999999999999</v>
      </c>
      <c r="OB1424" s="2">
        <v>93.48999999999999</v>
      </c>
      <c r="OC1424" s="2">
        <v>93.56999999999999</v>
      </c>
      <c r="OD1424" s="2">
        <v>93.31</v>
      </c>
      <c r="OE1424" s="2">
        <v>95.43000000000001</v>
      </c>
      <c r="OF1424" s="2">
        <v>95.55</v>
      </c>
      <c r="OG1424" s="2">
        <v>96.53</v>
      </c>
      <c r="OH1424" s="2">
        <v>96.56999999999999</v>
      </c>
      <c r="OM1424" s="2">
        <v>96.78</v>
      </c>
      <c r="ON1424" s="2">
        <v>97.59999999999999</v>
      </c>
      <c r="OO1424" s="2">
        <v>97.48</v>
      </c>
      <c r="OP1424" s="2">
        <v>97.97</v>
      </c>
      <c r="OQ1424" s="2">
        <v>97.81999999999999</v>
      </c>
      <c r="OR1424" s="2">
        <v>97.5</v>
      </c>
      <c r="OS1424" s="2">
        <v>97.88</v>
      </c>
      <c r="OT1424" s="2">
        <v>97.73</v>
      </c>
      <c r="OU1424" s="2">
        <v>100</v>
      </c>
      <c r="OV1424" s="2">
        <v>99.19</v>
      </c>
      <c r="OW1424" s="2">
        <v>100.73</v>
      </c>
      <c r="OX1424" s="2">
        <v>99.56</v>
      </c>
      <c r="PC1424" s="2">
        <v>100.59</v>
      </c>
      <c r="PD1424" s="2">
        <v>101.27</v>
      </c>
      <c r="PE1424" s="2">
        <v>101.98</v>
      </c>
      <c r="PF1424" s="2">
        <v>101.92</v>
      </c>
      <c r="PG1424" s="2">
        <v>102.63</v>
      </c>
      <c r="PH1424" s="2">
        <v>102.24</v>
      </c>
      <c r="PI1424" s="2">
        <v>102.64</v>
      </c>
    </row>
    <row r="1425">
      <c r="A1425" t="inlineStr">
        <is>
          <t>A130390381T</t>
        </is>
      </c>
      <c r="B1425" t="inlineStr">
        <is>
          <t>Index Numbers ;  Clothing and footwear ;  Darwin ;</t>
        </is>
      </c>
      <c r="C1425" t="inlineStr">
        <is>
          <t>Month</t>
        </is>
      </c>
      <c r="D1425" t="inlineStr">
        <is>
          <t>Index Numbers</t>
        </is>
      </c>
      <c r="E1425" t="inlineStr">
        <is>
          <t>Original</t>
        </is>
      </c>
      <c r="F1425" t="inlineStr">
        <is>
          <t>640109.xlsx</t>
        </is>
      </c>
      <c r="G1425" t="inlineStr">
        <is>
          <t>2024-04</t>
        </is>
      </c>
      <c r="H1425" t="inlineStr">
        <is>
          <t>2026-07</t>
        </is>
      </c>
      <c r="NZ1425" s="2">
        <v>98.04000000000001</v>
      </c>
      <c r="OA1425" s="2">
        <v>96.77</v>
      </c>
      <c r="OB1425" s="2">
        <v>95.59999999999999</v>
      </c>
      <c r="OC1425" s="2">
        <v>97.56</v>
      </c>
      <c r="OD1425" s="2">
        <v>95.73999999999999</v>
      </c>
      <c r="OE1425" s="2">
        <v>97.31999999999999</v>
      </c>
      <c r="OF1425" s="2">
        <v>97.73999999999999</v>
      </c>
      <c r="OG1425" s="2">
        <v>94.56999999999999</v>
      </c>
      <c r="OH1425" s="2">
        <v>96.95999999999999</v>
      </c>
      <c r="OM1425" s="2">
        <v>97.39</v>
      </c>
      <c r="ON1425" s="2">
        <v>99.94</v>
      </c>
      <c r="OO1425" s="2">
        <v>97.02</v>
      </c>
      <c r="OP1425" s="2">
        <v>100.33</v>
      </c>
      <c r="OQ1425" s="2">
        <v>99.3</v>
      </c>
      <c r="OR1425" s="2">
        <v>97.75</v>
      </c>
      <c r="OS1425" s="2">
        <v>99.95</v>
      </c>
      <c r="OT1425" s="2">
        <v>100.09</v>
      </c>
      <c r="OU1425" s="2">
        <v>100</v>
      </c>
      <c r="OV1425" s="2">
        <v>101.98</v>
      </c>
      <c r="OW1425" s="2">
        <v>100.19</v>
      </c>
      <c r="OX1425" s="2">
        <v>101.3</v>
      </c>
      <c r="PC1425" s="2">
        <v>101.78</v>
      </c>
      <c r="PD1425" s="2">
        <v>102.76</v>
      </c>
      <c r="PE1425" s="2">
        <v>102.99</v>
      </c>
      <c r="PF1425" s="2">
        <v>103.69</v>
      </c>
      <c r="PG1425" s="2">
        <v>102.86</v>
      </c>
      <c r="PH1425" s="2">
        <v>101.65</v>
      </c>
      <c r="PI1425" s="2">
        <v>103.74</v>
      </c>
    </row>
    <row r="1426">
      <c r="A1426" t="inlineStr">
        <is>
          <t>A130392992R</t>
        </is>
      </c>
      <c r="B1426" t="inlineStr">
        <is>
          <t>Index Numbers ;  Housing ;  Darwin ;</t>
        </is>
      </c>
      <c r="C1426" t="inlineStr">
        <is>
          <t>Month</t>
        </is>
      </c>
      <c r="D1426" t="inlineStr">
        <is>
          <t>Index Numbers</t>
        </is>
      </c>
      <c r="E1426" t="inlineStr">
        <is>
          <t>Original</t>
        </is>
      </c>
      <c r="F1426" t="inlineStr">
        <is>
          <t>640109.xlsx</t>
        </is>
      </c>
      <c r="G1426" t="inlineStr">
        <is>
          <t>2024-04</t>
        </is>
      </c>
      <c r="H1426" t="inlineStr">
        <is>
          <t>2026-07</t>
        </is>
      </c>
      <c r="NZ1426" s="2">
        <v>97.3</v>
      </c>
      <c r="OA1426" s="2">
        <v>97.55</v>
      </c>
      <c r="OB1426" s="2">
        <v>97.75</v>
      </c>
      <c r="OC1426" s="2">
        <v>99.31</v>
      </c>
      <c r="OD1426" s="2">
        <v>97.56</v>
      </c>
      <c r="OE1426" s="2">
        <v>97.86</v>
      </c>
      <c r="OF1426" s="2">
        <v>95.54000000000001</v>
      </c>
      <c r="OG1426" s="2">
        <v>97.48</v>
      </c>
      <c r="OH1426" s="2">
        <v>97.54000000000001</v>
      </c>
      <c r="OM1426" s="2">
        <v>97.75</v>
      </c>
      <c r="ON1426" s="2">
        <v>97.93000000000001</v>
      </c>
      <c r="OO1426" s="2">
        <v>97.90000000000001</v>
      </c>
      <c r="OP1426" s="2">
        <v>98.04000000000001</v>
      </c>
      <c r="OQ1426" s="2">
        <v>98.13</v>
      </c>
      <c r="OR1426" s="2">
        <v>98.09999999999999</v>
      </c>
      <c r="OS1426" s="2">
        <v>99.47</v>
      </c>
      <c r="OT1426" s="2">
        <v>99.56</v>
      </c>
      <c r="OU1426" s="2">
        <v>100</v>
      </c>
      <c r="OV1426" s="2">
        <v>100.31</v>
      </c>
      <c r="OW1426" s="2">
        <v>100.51</v>
      </c>
      <c r="OX1426" s="2">
        <v>100.48</v>
      </c>
      <c r="PC1426" s="2">
        <v>102.78</v>
      </c>
      <c r="PD1426" s="2">
        <v>103.23</v>
      </c>
      <c r="PE1426" s="2">
        <v>103.27</v>
      </c>
      <c r="PF1426" s="2">
        <v>103.52</v>
      </c>
      <c r="PG1426" s="2">
        <v>103.69</v>
      </c>
      <c r="PH1426" s="2">
        <v>104.82</v>
      </c>
      <c r="PI1426" s="2">
        <v>106.8</v>
      </c>
    </row>
    <row r="1427">
      <c r="A1427" t="inlineStr">
        <is>
          <t>A130390395F</t>
        </is>
      </c>
      <c r="B1427" t="inlineStr">
        <is>
          <t>Index Numbers ;  Furnishings, household equipment and services ;  Darwin ;</t>
        </is>
      </c>
      <c r="C1427" t="inlineStr">
        <is>
          <t>Month</t>
        </is>
      </c>
      <c r="D1427" t="inlineStr">
        <is>
          <t>Index Numbers</t>
        </is>
      </c>
      <c r="E1427" t="inlineStr">
        <is>
          <t>Original</t>
        </is>
      </c>
      <c r="F1427" t="inlineStr">
        <is>
          <t>640109.xlsx</t>
        </is>
      </c>
      <c r="G1427" t="inlineStr">
        <is>
          <t>2024-04</t>
        </is>
      </c>
      <c r="H1427" t="inlineStr">
        <is>
          <t>2026-07</t>
        </is>
      </c>
      <c r="NZ1427" s="2">
        <v>95.93000000000001</v>
      </c>
      <c r="OA1427" s="2">
        <v>95.84999999999999</v>
      </c>
      <c r="OB1427" s="2">
        <v>95.19</v>
      </c>
      <c r="OC1427" s="2">
        <v>96.58</v>
      </c>
      <c r="OD1427" s="2">
        <v>96.73</v>
      </c>
      <c r="OE1427" s="2">
        <v>97.08</v>
      </c>
      <c r="OF1427" s="2">
        <v>97.88</v>
      </c>
      <c r="OG1427" s="2">
        <v>97.68000000000001</v>
      </c>
      <c r="OH1427" s="2">
        <v>96.7</v>
      </c>
      <c r="OM1427" s="2">
        <v>97.73999999999999</v>
      </c>
      <c r="ON1427" s="2">
        <v>97.28</v>
      </c>
      <c r="OO1427" s="2">
        <v>97.34999999999999</v>
      </c>
      <c r="OP1427" s="2">
        <v>98.73999999999999</v>
      </c>
      <c r="OQ1427" s="2">
        <v>98.05</v>
      </c>
      <c r="OR1427" s="2">
        <v>97.05</v>
      </c>
      <c r="OS1427" s="2">
        <v>99.95999999999999</v>
      </c>
      <c r="OT1427" s="2">
        <v>99.67</v>
      </c>
      <c r="OU1427" s="2">
        <v>100</v>
      </c>
      <c r="OV1427" s="2">
        <v>99.95999999999999</v>
      </c>
      <c r="OW1427" s="2">
        <v>99.67</v>
      </c>
      <c r="OX1427" s="2">
        <v>98.58</v>
      </c>
      <c r="PC1427" s="2">
        <v>98.95999999999999</v>
      </c>
      <c r="PD1427" s="2">
        <v>100.45</v>
      </c>
      <c r="PE1427" s="2">
        <v>100.04</v>
      </c>
      <c r="PF1427" s="2">
        <v>99.95999999999999</v>
      </c>
      <c r="PG1427" s="2">
        <v>100.15</v>
      </c>
      <c r="PH1427" s="2">
        <v>99.23999999999999</v>
      </c>
      <c r="PI1427" s="2">
        <v>101.49</v>
      </c>
    </row>
    <row r="1428">
      <c r="A1428" t="inlineStr">
        <is>
          <t>A130389996R</t>
        </is>
      </c>
      <c r="B1428" t="inlineStr">
        <is>
          <t>Index Numbers ;  Health ;  Darwin ;</t>
        </is>
      </c>
      <c r="C1428" t="inlineStr">
        <is>
          <t>Month</t>
        </is>
      </c>
      <c r="D1428" t="inlineStr">
        <is>
          <t>Index Numbers</t>
        </is>
      </c>
      <c r="E1428" t="inlineStr">
        <is>
          <t>Original</t>
        </is>
      </c>
      <c r="F1428" t="inlineStr">
        <is>
          <t>640109.xlsx</t>
        </is>
      </c>
      <c r="G1428" t="inlineStr">
        <is>
          <t>2024-04</t>
        </is>
      </c>
      <c r="H1428" t="inlineStr">
        <is>
          <t>2026-07</t>
        </is>
      </c>
      <c r="NZ1428" s="2">
        <v>93.8</v>
      </c>
      <c r="OA1428" s="2">
        <v>93.18000000000001</v>
      </c>
      <c r="OB1428" s="2">
        <v>94.23999999999999</v>
      </c>
      <c r="OC1428" s="2">
        <v>94.37</v>
      </c>
      <c r="OD1428" s="2">
        <v>95.34</v>
      </c>
      <c r="OE1428" s="2">
        <v>95.61</v>
      </c>
      <c r="OF1428" s="2">
        <v>95.68000000000001</v>
      </c>
      <c r="OG1428" s="2">
        <v>95.52</v>
      </c>
      <c r="OH1428" s="2">
        <v>95.20999999999999</v>
      </c>
      <c r="OM1428" s="2">
        <v>98.37</v>
      </c>
      <c r="ON1428" s="2">
        <v>97.48999999999999</v>
      </c>
      <c r="OO1428" s="2">
        <v>98.67</v>
      </c>
      <c r="OP1428" s="2">
        <v>98.09</v>
      </c>
      <c r="OQ1428" s="2">
        <v>97.95</v>
      </c>
      <c r="OR1428" s="2">
        <v>97.51000000000001</v>
      </c>
      <c r="OS1428" s="2">
        <v>99.17</v>
      </c>
      <c r="OT1428" s="2">
        <v>99.06</v>
      </c>
      <c r="OU1428" s="2">
        <v>100</v>
      </c>
      <c r="OV1428" s="2">
        <v>100.36</v>
      </c>
      <c r="OW1428" s="2">
        <v>98.81</v>
      </c>
      <c r="OX1428" s="2">
        <v>98.15000000000001</v>
      </c>
      <c r="PC1428" s="2">
        <v>99.63</v>
      </c>
      <c r="PD1428" s="2">
        <v>98.18000000000001</v>
      </c>
      <c r="PE1428" s="2">
        <v>99.08</v>
      </c>
      <c r="PF1428" s="2">
        <v>100.78</v>
      </c>
      <c r="PG1428" s="2">
        <v>100.26</v>
      </c>
      <c r="PH1428" s="2">
        <v>100.54</v>
      </c>
      <c r="PI1428" s="2">
        <v>99.48</v>
      </c>
    </row>
    <row r="1429">
      <c r="A1429" t="inlineStr">
        <is>
          <t>A130394315T</t>
        </is>
      </c>
      <c r="B1429" t="inlineStr">
        <is>
          <t>Index Numbers ;  Transport ;  Darwin ;</t>
        </is>
      </c>
      <c r="C1429" t="inlineStr">
        <is>
          <t>Month</t>
        </is>
      </c>
      <c r="D1429" t="inlineStr">
        <is>
          <t>Index Numbers</t>
        </is>
      </c>
      <c r="E1429" t="inlineStr">
        <is>
          <t>Original</t>
        </is>
      </c>
      <c r="F1429" t="inlineStr">
        <is>
          <t>640109.xlsx</t>
        </is>
      </c>
      <c r="G1429" t="inlineStr">
        <is>
          <t>2024-04</t>
        </is>
      </c>
      <c r="H1429" t="inlineStr">
        <is>
          <t>2026-07</t>
        </is>
      </c>
      <c r="NZ1429" s="2">
        <v>101.54</v>
      </c>
      <c r="OA1429" s="2">
        <v>100.82</v>
      </c>
      <c r="OB1429" s="2">
        <v>99.26000000000001</v>
      </c>
      <c r="OC1429" s="2">
        <v>99.37</v>
      </c>
      <c r="OD1429" s="2">
        <v>98.39</v>
      </c>
      <c r="OE1429" s="2">
        <v>96.86</v>
      </c>
      <c r="OF1429" s="2">
        <v>96.31</v>
      </c>
      <c r="OG1429" s="2">
        <v>96.05</v>
      </c>
      <c r="OH1429" s="2">
        <v>96.98</v>
      </c>
      <c r="OM1429" s="2">
        <v>98.83</v>
      </c>
      <c r="ON1429" s="2">
        <v>98.94</v>
      </c>
      <c r="OO1429" s="2">
        <v>99.31999999999999</v>
      </c>
      <c r="OP1429" s="2">
        <v>98.72</v>
      </c>
      <c r="OQ1429" s="2">
        <v>99.20999999999999</v>
      </c>
      <c r="OR1429" s="2">
        <v>98.95</v>
      </c>
      <c r="OS1429" s="2">
        <v>99.48</v>
      </c>
      <c r="OT1429" s="2">
        <v>99.81</v>
      </c>
      <c r="OU1429" s="2">
        <v>100</v>
      </c>
      <c r="OV1429" s="2">
        <v>100.61</v>
      </c>
      <c r="OW1429" s="2">
        <v>100.2</v>
      </c>
      <c r="OX1429" s="2">
        <v>100.18</v>
      </c>
      <c r="PC1429" s="2">
        <v>99.59999999999999</v>
      </c>
      <c r="PD1429" s="2">
        <v>98.83</v>
      </c>
      <c r="PE1429" s="2">
        <v>107.74</v>
      </c>
      <c r="PF1429" s="2">
        <v>108.41</v>
      </c>
      <c r="PG1429" s="2">
        <v>103.13</v>
      </c>
      <c r="PH1429" s="2">
        <v>98.73999999999999</v>
      </c>
      <c r="PI1429" s="2">
        <v>101.3</v>
      </c>
    </row>
    <row r="1430">
      <c r="A1430" t="inlineStr">
        <is>
          <t>A130390010F</t>
        </is>
      </c>
      <c r="B1430" t="inlineStr">
        <is>
          <t>Index Numbers ;  Communication ;  Darwin ;</t>
        </is>
      </c>
      <c r="C1430" t="inlineStr">
        <is>
          <t>Month</t>
        </is>
      </c>
      <c r="D1430" t="inlineStr">
        <is>
          <t>Index Numbers</t>
        </is>
      </c>
      <c r="E1430" t="inlineStr">
        <is>
          <t>Original</t>
        </is>
      </c>
      <c r="F1430" t="inlineStr">
        <is>
          <t>640109.xlsx</t>
        </is>
      </c>
      <c r="G1430" t="inlineStr">
        <is>
          <t>2024-04</t>
        </is>
      </c>
      <c r="H1430" t="inlineStr">
        <is>
          <t>2026-07</t>
        </is>
      </c>
      <c r="NZ1430" s="2">
        <v>98.65000000000001</v>
      </c>
      <c r="OA1430" s="2">
        <v>98</v>
      </c>
      <c r="OB1430" s="2">
        <v>97.36</v>
      </c>
      <c r="OC1430" s="2">
        <v>98.98999999999999</v>
      </c>
      <c r="OD1430" s="2">
        <v>98.45999999999999</v>
      </c>
      <c r="OE1430" s="2">
        <v>98.5</v>
      </c>
      <c r="OF1430" s="2">
        <v>99.16</v>
      </c>
      <c r="OG1430" s="2">
        <v>99.05</v>
      </c>
      <c r="OH1430" s="2">
        <v>98.83</v>
      </c>
      <c r="OM1430" s="2">
        <v>98.47</v>
      </c>
      <c r="ON1430" s="2">
        <v>99.15000000000001</v>
      </c>
      <c r="OO1430" s="2">
        <v>99.03</v>
      </c>
      <c r="OP1430" s="2">
        <v>99.29000000000001</v>
      </c>
      <c r="OQ1430" s="2">
        <v>98.84999999999999</v>
      </c>
      <c r="OR1430" s="2">
        <v>98.02</v>
      </c>
      <c r="OS1430" s="2">
        <v>99.5</v>
      </c>
      <c r="OT1430" s="2">
        <v>100.17</v>
      </c>
      <c r="OU1430" s="2">
        <v>100</v>
      </c>
      <c r="OV1430" s="2">
        <v>99.86</v>
      </c>
      <c r="OW1430" s="2">
        <v>100.31</v>
      </c>
      <c r="OX1430" s="2">
        <v>99.86</v>
      </c>
      <c r="PC1430" s="2">
        <v>99.77</v>
      </c>
      <c r="PD1430" s="2">
        <v>99.97</v>
      </c>
      <c r="PE1430" s="2">
        <v>100.41</v>
      </c>
      <c r="PF1430" s="2">
        <v>100.83</v>
      </c>
      <c r="PG1430" s="2">
        <v>101.02</v>
      </c>
      <c r="PH1430" s="2">
        <v>100.33</v>
      </c>
      <c r="PI1430" s="2">
        <v>102.13</v>
      </c>
    </row>
    <row r="1431">
      <c r="A1431" t="inlineStr">
        <is>
          <t>A130398729R</t>
        </is>
      </c>
      <c r="B1431" t="inlineStr">
        <is>
          <t>Index Numbers ;  Recreation and culture ;  Darwin ;</t>
        </is>
      </c>
      <c r="C1431" t="inlineStr">
        <is>
          <t>Month</t>
        </is>
      </c>
      <c r="D1431" t="inlineStr">
        <is>
          <t>Index Numbers</t>
        </is>
      </c>
      <c r="E1431" t="inlineStr">
        <is>
          <t>Original</t>
        </is>
      </c>
      <c r="F1431" t="inlineStr">
        <is>
          <t>640109.xlsx</t>
        </is>
      </c>
      <c r="G1431" t="inlineStr">
        <is>
          <t>2024-04</t>
        </is>
      </c>
      <c r="H1431" t="inlineStr">
        <is>
          <t>2026-07</t>
        </is>
      </c>
      <c r="NZ1431" s="2">
        <v>98.54000000000001</v>
      </c>
      <c r="OA1431" s="2">
        <v>98.8</v>
      </c>
      <c r="OB1431" s="2">
        <v>103.06</v>
      </c>
      <c r="OC1431" s="2">
        <v>98.36</v>
      </c>
      <c r="OD1431" s="2">
        <v>97.92</v>
      </c>
      <c r="OE1431" s="2">
        <v>99.18000000000001</v>
      </c>
      <c r="OF1431" s="2">
        <v>96.84</v>
      </c>
      <c r="OG1431" s="2">
        <v>97.23</v>
      </c>
      <c r="OH1431" s="2">
        <v>101.53</v>
      </c>
      <c r="OM1431" s="2">
        <v>96.29000000000001</v>
      </c>
      <c r="ON1431" s="2">
        <v>94.62</v>
      </c>
      <c r="OO1431" s="2">
        <v>94.78</v>
      </c>
      <c r="OP1431" s="2">
        <v>97.87</v>
      </c>
      <c r="OQ1431" s="2">
        <v>95.66</v>
      </c>
      <c r="OR1431" s="2">
        <v>96.81999999999999</v>
      </c>
      <c r="OS1431" s="2">
        <v>98.89</v>
      </c>
      <c r="OT1431" s="2">
        <v>98.19</v>
      </c>
      <c r="OU1431" s="2">
        <v>100</v>
      </c>
      <c r="OV1431" s="2">
        <v>100.44</v>
      </c>
      <c r="OW1431" s="2">
        <v>99.48999999999999</v>
      </c>
      <c r="OX1431" s="2">
        <v>105.52</v>
      </c>
      <c r="PC1431" s="2">
        <v>100.85</v>
      </c>
      <c r="PD1431" s="2">
        <v>99.37</v>
      </c>
      <c r="PE1431" s="2">
        <v>98.15000000000001</v>
      </c>
      <c r="PF1431" s="2">
        <v>100.88</v>
      </c>
      <c r="PG1431" s="2">
        <v>99.7</v>
      </c>
      <c r="PH1431" s="2">
        <v>102.57</v>
      </c>
      <c r="PI1431" s="2">
        <v>102.97</v>
      </c>
    </row>
    <row r="1432">
      <c r="A1432" t="inlineStr">
        <is>
          <t>A130396226A</t>
        </is>
      </c>
      <c r="B1432" t="inlineStr">
        <is>
          <t>Index Numbers ;  Education ;  Darwin ;</t>
        </is>
      </c>
      <c r="C1432" t="inlineStr">
        <is>
          <t>Month</t>
        </is>
      </c>
      <c r="D1432" t="inlineStr">
        <is>
          <t>Index Numbers</t>
        </is>
      </c>
      <c r="E1432" t="inlineStr">
        <is>
          <t>Original</t>
        </is>
      </c>
      <c r="F1432" t="inlineStr">
        <is>
          <t>640109.xlsx</t>
        </is>
      </c>
      <c r="G1432" t="inlineStr">
        <is>
          <t>2024-04</t>
        </is>
      </c>
      <c r="H1432" t="inlineStr">
        <is>
          <t>2026-07</t>
        </is>
      </c>
      <c r="NZ1432" s="2">
        <v>94.98</v>
      </c>
      <c r="OA1432" s="2">
        <v>95.01000000000001</v>
      </c>
      <c r="OB1432" s="2">
        <v>94.98999999999999</v>
      </c>
      <c r="OC1432" s="2">
        <v>95.02</v>
      </c>
      <c r="OD1432" s="2">
        <v>95.04000000000001</v>
      </c>
      <c r="OE1432" s="2">
        <v>95.06</v>
      </c>
      <c r="OF1432" s="2">
        <v>95.06</v>
      </c>
      <c r="OG1432" s="2">
        <v>95.06999999999999</v>
      </c>
      <c r="OH1432" s="2">
        <v>95.08</v>
      </c>
      <c r="OM1432" s="2">
        <v>95.08</v>
      </c>
      <c r="ON1432" s="2">
        <v>99.86</v>
      </c>
      <c r="OO1432" s="2">
        <v>99.88</v>
      </c>
      <c r="OP1432" s="2">
        <v>99.90000000000001</v>
      </c>
      <c r="OQ1432" s="2">
        <v>99.92</v>
      </c>
      <c r="OR1432" s="2">
        <v>99.92</v>
      </c>
      <c r="OS1432" s="2">
        <v>99.95</v>
      </c>
      <c r="OT1432" s="2">
        <v>99.98</v>
      </c>
      <c r="OU1432" s="2">
        <v>100</v>
      </c>
      <c r="OV1432" s="2">
        <v>100.02</v>
      </c>
      <c r="OW1432" s="2">
        <v>100.03</v>
      </c>
      <c r="OX1432" s="2">
        <v>100.04</v>
      </c>
      <c r="PC1432" s="2">
        <v>100.03</v>
      </c>
      <c r="PD1432" s="2">
        <v>103.3</v>
      </c>
      <c r="PE1432" s="2">
        <v>103.3</v>
      </c>
      <c r="PF1432" s="2">
        <v>103.31</v>
      </c>
      <c r="PG1432" s="2">
        <v>103.29</v>
      </c>
      <c r="PH1432" s="2">
        <v>103.3</v>
      </c>
      <c r="PI1432" s="2">
        <v>103.32</v>
      </c>
    </row>
    <row r="1433">
      <c r="A1433" t="inlineStr">
        <is>
          <t>A130391466W</t>
        </is>
      </c>
      <c r="B1433" t="inlineStr">
        <is>
          <t>Index Numbers ;  Insurance and financial services ;  Darwin ;</t>
        </is>
      </c>
      <c r="C1433" t="inlineStr">
        <is>
          <t>Month</t>
        </is>
      </c>
      <c r="D1433" t="inlineStr">
        <is>
          <t>Index Numbers</t>
        </is>
      </c>
      <c r="E1433" t="inlineStr">
        <is>
          <t>Original</t>
        </is>
      </c>
      <c r="F1433" t="inlineStr">
        <is>
          <t>640109.xlsx</t>
        </is>
      </c>
      <c r="G1433" t="inlineStr">
        <is>
          <t>2024-04</t>
        </is>
      </c>
      <c r="H1433" t="inlineStr">
        <is>
          <t>2026-07</t>
        </is>
      </c>
      <c r="NZ1433" s="2">
        <v>97.86</v>
      </c>
      <c r="OA1433" s="2">
        <v>97.97</v>
      </c>
      <c r="OB1433" s="2">
        <v>98.5</v>
      </c>
      <c r="OC1433" s="2">
        <v>98.48</v>
      </c>
      <c r="OD1433" s="2">
        <v>98.34999999999999</v>
      </c>
      <c r="OE1433" s="2">
        <v>98.54000000000001</v>
      </c>
      <c r="OF1433" s="2">
        <v>98.84999999999999</v>
      </c>
      <c r="OG1433" s="2">
        <v>98.77</v>
      </c>
      <c r="OH1433" s="2">
        <v>99.17</v>
      </c>
      <c r="OM1433" s="2">
        <v>99.54000000000001</v>
      </c>
      <c r="ON1433" s="2">
        <v>99.64</v>
      </c>
      <c r="OO1433" s="2">
        <v>99.73999999999999</v>
      </c>
      <c r="OP1433" s="2">
        <v>99.75</v>
      </c>
      <c r="OQ1433" s="2">
        <v>99.91</v>
      </c>
      <c r="OR1433" s="2">
        <v>100.75</v>
      </c>
      <c r="OS1433" s="2">
        <v>100.93</v>
      </c>
      <c r="OT1433" s="2">
        <v>100.64</v>
      </c>
      <c r="OU1433" s="2">
        <v>100</v>
      </c>
      <c r="OV1433" s="2">
        <v>100.08</v>
      </c>
      <c r="OW1433" s="2">
        <v>100.12</v>
      </c>
      <c r="OX1433" s="2">
        <v>101.13</v>
      </c>
      <c r="PC1433" s="2">
        <v>101.48</v>
      </c>
      <c r="PD1433" s="2">
        <v>101.59</v>
      </c>
      <c r="PE1433" s="2">
        <v>102.65</v>
      </c>
      <c r="PF1433" s="2">
        <v>103.03</v>
      </c>
      <c r="PG1433" s="2">
        <v>103.33</v>
      </c>
      <c r="PH1433" s="2">
        <v>104.15</v>
      </c>
      <c r="PI1433" s="2">
        <v>104.1</v>
      </c>
    </row>
    <row r="1434">
      <c r="A1434" t="inlineStr">
        <is>
          <t>A130393727V</t>
        </is>
      </c>
      <c r="B1434" t="inlineStr">
        <is>
          <t>Index Numbers ;  All groups CPI ;  Canberra ;</t>
        </is>
      </c>
      <c r="C1434" t="inlineStr">
        <is>
          <t>Month</t>
        </is>
      </c>
      <c r="D1434" t="inlineStr">
        <is>
          <t>Index Numbers</t>
        </is>
      </c>
      <c r="E1434" t="inlineStr">
        <is>
          <t>Original</t>
        </is>
      </c>
      <c r="F1434" t="inlineStr">
        <is>
          <t>640109.xlsx</t>
        </is>
      </c>
      <c r="G1434" t="inlineStr">
        <is>
          <t>2024-04</t>
        </is>
      </c>
      <c r="H1434" t="inlineStr">
        <is>
          <t>2026-07</t>
        </is>
      </c>
      <c r="NZ1434" s="2">
        <v>96.95</v>
      </c>
      <c r="OA1434" s="2">
        <v>96.67</v>
      </c>
      <c r="OB1434" s="2">
        <v>96.84999999999999</v>
      </c>
      <c r="OC1434" s="2">
        <v>97.54000000000001</v>
      </c>
      <c r="OD1434" s="2">
        <v>97.01000000000001</v>
      </c>
      <c r="OE1434" s="2">
        <v>97.06</v>
      </c>
      <c r="OF1434" s="2">
        <v>96.73999999999999</v>
      </c>
      <c r="OG1434" s="2">
        <v>97.05</v>
      </c>
      <c r="OH1434" s="2">
        <v>97.78</v>
      </c>
      <c r="OM1434" s="2">
        <v>97.94</v>
      </c>
      <c r="ON1434" s="2">
        <v>97.97</v>
      </c>
      <c r="OO1434" s="2">
        <v>98.16</v>
      </c>
      <c r="OP1434" s="2">
        <v>98.77</v>
      </c>
      <c r="OQ1434" s="2">
        <v>98.23</v>
      </c>
      <c r="OR1434" s="2">
        <v>98.25</v>
      </c>
      <c r="OS1434" s="2">
        <v>100.01</v>
      </c>
      <c r="OT1434" s="2">
        <v>99.56</v>
      </c>
      <c r="OU1434" s="2">
        <v>100</v>
      </c>
      <c r="OV1434" s="2">
        <v>99.98999999999999</v>
      </c>
      <c r="OW1434" s="2">
        <v>100.26</v>
      </c>
      <c r="OX1434" s="2">
        <v>100.97</v>
      </c>
      <c r="PC1434" s="2">
        <v>101.46</v>
      </c>
      <c r="PD1434" s="2">
        <v>101.42</v>
      </c>
      <c r="PE1434" s="2">
        <v>102.25</v>
      </c>
      <c r="PF1434" s="2">
        <v>102.71</v>
      </c>
      <c r="PG1434" s="2">
        <v>102.21</v>
      </c>
      <c r="PH1434" s="2">
        <v>101.96</v>
      </c>
      <c r="PI1434" s="2">
        <v>103.18</v>
      </c>
    </row>
    <row r="1435">
      <c r="A1435" t="inlineStr">
        <is>
          <t>A130390374V</t>
        </is>
      </c>
      <c r="B1435" t="inlineStr">
        <is>
          <t>Index Numbers ;  Food and non-alcoholic beverages ;  Canberra ;</t>
        </is>
      </c>
      <c r="C1435" t="inlineStr">
        <is>
          <t>Month</t>
        </is>
      </c>
      <c r="D1435" t="inlineStr">
        <is>
          <t>Index Numbers</t>
        </is>
      </c>
      <c r="E1435" t="inlineStr">
        <is>
          <t>Original</t>
        </is>
      </c>
      <c r="F1435" t="inlineStr">
        <is>
          <t>640109.xlsx</t>
        </is>
      </c>
      <c r="G1435" t="inlineStr">
        <is>
          <t>2024-04</t>
        </is>
      </c>
      <c r="H1435" t="inlineStr">
        <is>
          <t>2026-07</t>
        </is>
      </c>
      <c r="NZ1435" s="2">
        <v>96.40000000000001</v>
      </c>
      <c r="OA1435" s="2">
        <v>96.84999999999999</v>
      </c>
      <c r="OB1435" s="2">
        <v>96.63</v>
      </c>
      <c r="OC1435" s="2">
        <v>97.16</v>
      </c>
      <c r="OD1435" s="2">
        <v>97.40000000000001</v>
      </c>
      <c r="OE1435" s="2">
        <v>96.93000000000001</v>
      </c>
      <c r="OF1435" s="2">
        <v>97.52</v>
      </c>
      <c r="OG1435" s="2">
        <v>97.65000000000001</v>
      </c>
      <c r="OH1435" s="2">
        <v>97.76000000000001</v>
      </c>
      <c r="OM1435" s="2">
        <v>98.66</v>
      </c>
      <c r="ON1435" s="2">
        <v>98.33</v>
      </c>
      <c r="OO1435" s="2">
        <v>98.75</v>
      </c>
      <c r="OP1435" s="2">
        <v>99.25</v>
      </c>
      <c r="OQ1435" s="2">
        <v>99.28</v>
      </c>
      <c r="OR1435" s="2">
        <v>99.54000000000001</v>
      </c>
      <c r="OS1435" s="2">
        <v>100.21</v>
      </c>
      <c r="OT1435" s="2">
        <v>100.24</v>
      </c>
      <c r="OU1435" s="2">
        <v>100</v>
      </c>
      <c r="OV1435" s="2">
        <v>100.36</v>
      </c>
      <c r="OW1435" s="2">
        <v>100.7</v>
      </c>
      <c r="OX1435" s="2">
        <v>100.82</v>
      </c>
      <c r="PC1435" s="2">
        <v>101.3</v>
      </c>
      <c r="PD1435" s="2">
        <v>101.03</v>
      </c>
      <c r="PE1435" s="2">
        <v>101.72</v>
      </c>
      <c r="PF1435" s="2">
        <v>101.72</v>
      </c>
      <c r="PG1435" s="2">
        <v>102.08</v>
      </c>
      <c r="PH1435" s="2">
        <v>102.46</v>
      </c>
      <c r="PI1435" s="2">
        <v>102.73</v>
      </c>
    </row>
    <row r="1436">
      <c r="A1436" t="inlineStr">
        <is>
          <t>A130391697F</t>
        </is>
      </c>
      <c r="B1436" t="inlineStr">
        <is>
          <t>Index Numbers ;  Alcohol and tobacco ;  Canberra ;</t>
        </is>
      </c>
      <c r="C1436" t="inlineStr">
        <is>
          <t>Month</t>
        </is>
      </c>
      <c r="D1436" t="inlineStr">
        <is>
          <t>Index Numbers</t>
        </is>
      </c>
      <c r="E1436" t="inlineStr">
        <is>
          <t>Original</t>
        </is>
      </c>
      <c r="F1436" t="inlineStr">
        <is>
          <t>640109.xlsx</t>
        </is>
      </c>
      <c r="G1436" t="inlineStr">
        <is>
          <t>2024-04</t>
        </is>
      </c>
      <c r="H1436" t="inlineStr">
        <is>
          <t>2026-07</t>
        </is>
      </c>
      <c r="NZ1436" s="2">
        <v>92.17</v>
      </c>
      <c r="OA1436" s="2">
        <v>93.73999999999999</v>
      </c>
      <c r="OB1436" s="2">
        <v>93.83</v>
      </c>
      <c r="OC1436" s="2">
        <v>93.84</v>
      </c>
      <c r="OD1436" s="2">
        <v>94.05</v>
      </c>
      <c r="OE1436" s="2">
        <v>94.87</v>
      </c>
      <c r="OF1436" s="2">
        <v>95.61</v>
      </c>
      <c r="OG1436" s="2">
        <v>96.43000000000001</v>
      </c>
      <c r="OH1436" s="2">
        <v>94.14</v>
      </c>
      <c r="OM1436" s="2">
        <v>96.51000000000001</v>
      </c>
      <c r="ON1436" s="2">
        <v>96.5</v>
      </c>
      <c r="OO1436" s="2">
        <v>98.16</v>
      </c>
      <c r="OP1436" s="2">
        <v>97.09</v>
      </c>
      <c r="OQ1436" s="2">
        <v>97.44</v>
      </c>
      <c r="OR1436" s="2">
        <v>97.51000000000001</v>
      </c>
      <c r="OS1436" s="2">
        <v>99.15000000000001</v>
      </c>
      <c r="OT1436" s="2">
        <v>99.43000000000001</v>
      </c>
      <c r="OU1436" s="2">
        <v>100</v>
      </c>
      <c r="OV1436" s="2">
        <v>99.66</v>
      </c>
      <c r="OW1436" s="2">
        <v>100.39</v>
      </c>
      <c r="OX1436" s="2">
        <v>98.70999999999999</v>
      </c>
      <c r="PC1436" s="2">
        <v>101.17</v>
      </c>
      <c r="PD1436" s="2">
        <v>101.11</v>
      </c>
      <c r="PE1436" s="2">
        <v>102.39</v>
      </c>
      <c r="PF1436" s="2">
        <v>101.89</v>
      </c>
      <c r="PG1436" s="2">
        <v>102.75</v>
      </c>
      <c r="PH1436" s="2">
        <v>101.59</v>
      </c>
      <c r="PI1436" s="2">
        <v>102.77</v>
      </c>
    </row>
    <row r="1437">
      <c r="A1437" t="inlineStr">
        <is>
          <t>A130397935K</t>
        </is>
      </c>
      <c r="B1437" t="inlineStr">
        <is>
          <t>Index Numbers ;  Clothing and footwear ;  Canberra ;</t>
        </is>
      </c>
      <c r="C1437" t="inlineStr">
        <is>
          <t>Month</t>
        </is>
      </c>
      <c r="D1437" t="inlineStr">
        <is>
          <t>Index Numbers</t>
        </is>
      </c>
      <c r="E1437" t="inlineStr">
        <is>
          <t>Original</t>
        </is>
      </c>
      <c r="F1437" t="inlineStr">
        <is>
          <t>640109.xlsx</t>
        </is>
      </c>
      <c r="G1437" t="inlineStr">
        <is>
          <t>2024-04</t>
        </is>
      </c>
      <c r="H1437" t="inlineStr">
        <is>
          <t>2026-07</t>
        </is>
      </c>
      <c r="NZ1437" s="2">
        <v>101.54</v>
      </c>
      <c r="OA1437" s="2">
        <v>98.40000000000001</v>
      </c>
      <c r="OB1437" s="2">
        <v>97.54000000000001</v>
      </c>
      <c r="OC1437" s="2">
        <v>100.23</v>
      </c>
      <c r="OD1437" s="2">
        <v>99.72</v>
      </c>
      <c r="OE1437" s="2">
        <v>98.95999999999999</v>
      </c>
      <c r="OF1437" s="2">
        <v>100.56</v>
      </c>
      <c r="OG1437" s="2">
        <v>95.84</v>
      </c>
      <c r="OH1437" s="2">
        <v>97.43000000000001</v>
      </c>
      <c r="OM1437" s="2">
        <v>97.73999999999999</v>
      </c>
      <c r="ON1437" s="2">
        <v>100.82</v>
      </c>
      <c r="OO1437" s="2">
        <v>95.75</v>
      </c>
      <c r="OP1437" s="2">
        <v>101.69</v>
      </c>
      <c r="OQ1437" s="2">
        <v>99.19</v>
      </c>
      <c r="OR1437" s="2">
        <v>97.91</v>
      </c>
      <c r="OS1437" s="2">
        <v>100.36</v>
      </c>
      <c r="OT1437" s="2">
        <v>101.43</v>
      </c>
      <c r="OU1437" s="2">
        <v>100</v>
      </c>
      <c r="OV1437" s="2">
        <v>103.82</v>
      </c>
      <c r="OW1437" s="2">
        <v>100.32</v>
      </c>
      <c r="OX1437" s="2">
        <v>99</v>
      </c>
      <c r="PC1437" s="2">
        <v>100.59</v>
      </c>
      <c r="PD1437" s="2">
        <v>103.89</v>
      </c>
      <c r="PE1437" s="2">
        <v>101.41</v>
      </c>
      <c r="PF1437" s="2">
        <v>106.3</v>
      </c>
      <c r="PG1437" s="2">
        <v>103.83</v>
      </c>
      <c r="PH1437" s="2">
        <v>101.85</v>
      </c>
      <c r="PI1437" s="2">
        <v>103.84</v>
      </c>
    </row>
    <row r="1438">
      <c r="A1438" t="inlineStr">
        <is>
          <t>A130391676V</t>
        </is>
      </c>
      <c r="B1438" t="inlineStr">
        <is>
          <t>Index Numbers ;  Housing ;  Canberra ;</t>
        </is>
      </c>
      <c r="C1438" t="inlineStr">
        <is>
          <t>Month</t>
        </is>
      </c>
      <c r="D1438" t="inlineStr">
        <is>
          <t>Index Numbers</t>
        </is>
      </c>
      <c r="E1438" t="inlineStr">
        <is>
          <t>Original</t>
        </is>
      </c>
      <c r="F1438" t="inlineStr">
        <is>
          <t>640109.xlsx</t>
        </is>
      </c>
      <c r="G1438" t="inlineStr">
        <is>
          <t>2024-04</t>
        </is>
      </c>
      <c r="H1438" t="inlineStr">
        <is>
          <t>2026-07</t>
        </is>
      </c>
      <c r="NZ1438" s="2">
        <v>95.45999999999999</v>
      </c>
      <c r="OA1438" s="2">
        <v>95.37</v>
      </c>
      <c r="OB1438" s="2">
        <v>95.31</v>
      </c>
      <c r="OC1438" s="2">
        <v>97.73999999999999</v>
      </c>
      <c r="OD1438" s="2">
        <v>96.31</v>
      </c>
      <c r="OE1438" s="2">
        <v>96.76000000000001</v>
      </c>
      <c r="OF1438" s="2">
        <v>95.43000000000001</v>
      </c>
      <c r="OG1438" s="2">
        <v>97.11</v>
      </c>
      <c r="OH1438" s="2">
        <v>97.11</v>
      </c>
      <c r="OM1438" s="2">
        <v>96.73999999999999</v>
      </c>
      <c r="ON1438" s="2">
        <v>97.01000000000001</v>
      </c>
      <c r="OO1438" s="2">
        <v>97.20999999999999</v>
      </c>
      <c r="OP1438" s="2">
        <v>97.36</v>
      </c>
      <c r="OQ1438" s="2">
        <v>97.42</v>
      </c>
      <c r="OR1438" s="2">
        <v>97.65000000000001</v>
      </c>
      <c r="OS1438" s="2">
        <v>101.02</v>
      </c>
      <c r="OT1438" s="2">
        <v>99.34</v>
      </c>
      <c r="OU1438" s="2">
        <v>100</v>
      </c>
      <c r="OV1438" s="2">
        <v>98.73999999999999</v>
      </c>
      <c r="OW1438" s="2">
        <v>100.73</v>
      </c>
      <c r="OX1438" s="2">
        <v>100.56</v>
      </c>
      <c r="PC1438" s="2">
        <v>102.27</v>
      </c>
      <c r="PD1438" s="2">
        <v>102.18</v>
      </c>
      <c r="PE1438" s="2">
        <v>102.2</v>
      </c>
      <c r="PF1438" s="2">
        <v>102.44</v>
      </c>
      <c r="PG1438" s="2">
        <v>103.4</v>
      </c>
      <c r="PH1438" s="2">
        <v>103.46</v>
      </c>
      <c r="PI1438" s="2">
        <v>104.65</v>
      </c>
    </row>
    <row r="1439">
      <c r="A1439" t="inlineStr">
        <is>
          <t>A130393013T</t>
        </is>
      </c>
      <c r="B1439" t="inlineStr">
        <is>
          <t>Index Numbers ;  Furnishings, household equipment and services ;  Canberra ;</t>
        </is>
      </c>
      <c r="C1439" t="inlineStr">
        <is>
          <t>Month</t>
        </is>
      </c>
      <c r="D1439" t="inlineStr">
        <is>
          <t>Index Numbers</t>
        </is>
      </c>
      <c r="E1439" t="inlineStr">
        <is>
          <t>Original</t>
        </is>
      </c>
      <c r="F1439" t="inlineStr">
        <is>
          <t>640109.xlsx</t>
        </is>
      </c>
      <c r="G1439" t="inlineStr">
        <is>
          <t>2024-04</t>
        </is>
      </c>
      <c r="H1439" t="inlineStr">
        <is>
          <t>2026-07</t>
        </is>
      </c>
      <c r="NZ1439" s="2">
        <v>96.41</v>
      </c>
      <c r="OA1439" s="2">
        <v>96.84999999999999</v>
      </c>
      <c r="OB1439" s="2">
        <v>94.98</v>
      </c>
      <c r="OC1439" s="2">
        <v>97.08</v>
      </c>
      <c r="OD1439" s="2">
        <v>96.53</v>
      </c>
      <c r="OE1439" s="2">
        <v>97.84</v>
      </c>
      <c r="OF1439" s="2">
        <v>98.02</v>
      </c>
      <c r="OG1439" s="2">
        <v>98.08</v>
      </c>
      <c r="OH1439" s="2">
        <v>96.84999999999999</v>
      </c>
      <c r="OM1439" s="2">
        <v>97.13</v>
      </c>
      <c r="ON1439" s="2">
        <v>97.41</v>
      </c>
      <c r="OO1439" s="2">
        <v>98.2</v>
      </c>
      <c r="OP1439" s="2">
        <v>99.16</v>
      </c>
      <c r="OQ1439" s="2">
        <v>99.18000000000001</v>
      </c>
      <c r="OR1439" s="2">
        <v>97.38</v>
      </c>
      <c r="OS1439" s="2">
        <v>99.69</v>
      </c>
      <c r="OT1439" s="2">
        <v>99.98999999999999</v>
      </c>
      <c r="OU1439" s="2">
        <v>100</v>
      </c>
      <c r="OV1439" s="2">
        <v>100.05</v>
      </c>
      <c r="OW1439" s="2">
        <v>99.90000000000001</v>
      </c>
      <c r="OX1439" s="2">
        <v>98.97</v>
      </c>
      <c r="PC1439" s="2">
        <v>99.12</v>
      </c>
      <c r="PD1439" s="2">
        <v>100.05</v>
      </c>
      <c r="PE1439" s="2">
        <v>100.84</v>
      </c>
      <c r="PF1439" s="2">
        <v>101.28</v>
      </c>
      <c r="PG1439" s="2">
        <v>101.46</v>
      </c>
      <c r="PH1439" s="2">
        <v>100.19</v>
      </c>
      <c r="PI1439" s="2">
        <v>102.64</v>
      </c>
    </row>
    <row r="1440">
      <c r="A1440" t="inlineStr">
        <is>
          <t>A130397529C</t>
        </is>
      </c>
      <c r="B1440" t="inlineStr">
        <is>
          <t>Index Numbers ;  Health ;  Canberra ;</t>
        </is>
      </c>
      <c r="C1440" t="inlineStr">
        <is>
          <t>Month</t>
        </is>
      </c>
      <c r="D1440" t="inlineStr">
        <is>
          <t>Index Numbers</t>
        </is>
      </c>
      <c r="E1440" t="inlineStr">
        <is>
          <t>Original</t>
        </is>
      </c>
      <c r="F1440" t="inlineStr">
        <is>
          <t>640109.xlsx</t>
        </is>
      </c>
      <c r="G1440" t="inlineStr">
        <is>
          <t>2024-04</t>
        </is>
      </c>
      <c r="H1440" t="inlineStr">
        <is>
          <t>2026-07</t>
        </is>
      </c>
      <c r="NZ1440" s="2">
        <v>96.29000000000001</v>
      </c>
      <c r="OA1440" s="2">
        <v>95.40000000000001</v>
      </c>
      <c r="OB1440" s="2">
        <v>95.78</v>
      </c>
      <c r="OC1440" s="2">
        <v>95.68000000000001</v>
      </c>
      <c r="OD1440" s="2">
        <v>95.45</v>
      </c>
      <c r="OE1440" s="2">
        <v>95.73</v>
      </c>
      <c r="OF1440" s="2">
        <v>95.48</v>
      </c>
      <c r="OG1440" s="2">
        <v>95.78</v>
      </c>
      <c r="OH1440" s="2">
        <v>94.81999999999999</v>
      </c>
      <c r="OM1440" s="2">
        <v>99.20999999999999</v>
      </c>
      <c r="ON1440" s="2">
        <v>99.14</v>
      </c>
      <c r="OO1440" s="2">
        <v>99.11</v>
      </c>
      <c r="OP1440" s="2">
        <v>100.38</v>
      </c>
      <c r="OQ1440" s="2">
        <v>100</v>
      </c>
      <c r="OR1440" s="2">
        <v>100.34</v>
      </c>
      <c r="OS1440" s="2">
        <v>100.09</v>
      </c>
      <c r="OT1440" s="2">
        <v>100.32</v>
      </c>
      <c r="OU1440" s="2">
        <v>100</v>
      </c>
      <c r="OV1440" s="2">
        <v>99.22</v>
      </c>
      <c r="OW1440" s="2">
        <v>98.89</v>
      </c>
      <c r="OX1440" s="2">
        <v>98.67</v>
      </c>
      <c r="PC1440" s="2">
        <v>102.93</v>
      </c>
      <c r="PD1440" s="2">
        <v>102.48</v>
      </c>
      <c r="PE1440" s="2">
        <v>102.42</v>
      </c>
      <c r="PF1440" s="2">
        <v>103.96</v>
      </c>
      <c r="PG1440" s="2">
        <v>103.67</v>
      </c>
      <c r="PH1440" s="2">
        <v>103.22</v>
      </c>
      <c r="PI1440" s="2">
        <v>103.47</v>
      </c>
    </row>
    <row r="1441">
      <c r="A1441" t="inlineStr">
        <is>
          <t>A130391690R</t>
        </is>
      </c>
      <c r="B1441" t="inlineStr">
        <is>
          <t>Index Numbers ;  Transport ;  Canberra ;</t>
        </is>
      </c>
      <c r="C1441" t="inlineStr">
        <is>
          <t>Month</t>
        </is>
      </c>
      <c r="D1441" t="inlineStr">
        <is>
          <t>Index Numbers</t>
        </is>
      </c>
      <c r="E1441" t="inlineStr">
        <is>
          <t>Original</t>
        </is>
      </c>
      <c r="F1441" t="inlineStr">
        <is>
          <t>640109.xlsx</t>
        </is>
      </c>
      <c r="G1441" t="inlineStr">
        <is>
          <t>2024-04</t>
        </is>
      </c>
      <c r="H1441" t="inlineStr">
        <is>
          <t>2026-07</t>
        </is>
      </c>
      <c r="NZ1441" s="2">
        <v>101.81</v>
      </c>
      <c r="OA1441" s="2">
        <v>100.97</v>
      </c>
      <c r="OB1441" s="2">
        <v>99.88</v>
      </c>
      <c r="OC1441" s="2">
        <v>100.27</v>
      </c>
      <c r="OD1441" s="2">
        <v>99.17</v>
      </c>
      <c r="OE1441" s="2">
        <v>97.45999999999999</v>
      </c>
      <c r="OF1441" s="2">
        <v>96.38</v>
      </c>
      <c r="OG1441" s="2">
        <v>96.52</v>
      </c>
      <c r="OH1441" s="2">
        <v>99.27</v>
      </c>
      <c r="OM1441" s="2">
        <v>99.15000000000001</v>
      </c>
      <c r="ON1441" s="2">
        <v>100.04</v>
      </c>
      <c r="OO1441" s="2">
        <v>99.70999999999999</v>
      </c>
      <c r="OP1441" s="2">
        <v>98.14</v>
      </c>
      <c r="OQ1441" s="2">
        <v>97.34999999999999</v>
      </c>
      <c r="OR1441" s="2">
        <v>97.28</v>
      </c>
      <c r="OS1441" s="2">
        <v>99.2</v>
      </c>
      <c r="OT1441" s="2">
        <v>98.78</v>
      </c>
      <c r="OU1441" s="2">
        <v>100</v>
      </c>
      <c r="OV1441" s="2">
        <v>100.56</v>
      </c>
      <c r="OW1441" s="2">
        <v>101.01</v>
      </c>
      <c r="OX1441" s="2">
        <v>101.04</v>
      </c>
      <c r="PC1441" s="2">
        <v>101.36</v>
      </c>
      <c r="PD1441" s="2">
        <v>100.8</v>
      </c>
      <c r="PE1441" s="2">
        <v>106.94</v>
      </c>
      <c r="PF1441" s="2">
        <v>105.73</v>
      </c>
      <c r="PG1441" s="2">
        <v>101.89</v>
      </c>
      <c r="PH1441" s="2">
        <v>99.78</v>
      </c>
      <c r="PI1441" s="2">
        <v>102.52</v>
      </c>
    </row>
    <row r="1442">
      <c r="A1442" t="inlineStr">
        <is>
          <t>A130397536A</t>
        </is>
      </c>
      <c r="B1442" t="inlineStr">
        <is>
          <t>Index Numbers ;  Communication ;  Canberra ;</t>
        </is>
      </c>
      <c r="C1442" t="inlineStr">
        <is>
          <t>Month</t>
        </is>
      </c>
      <c r="D1442" t="inlineStr">
        <is>
          <t>Index Numbers</t>
        </is>
      </c>
      <c r="E1442" t="inlineStr">
        <is>
          <t>Original</t>
        </is>
      </c>
      <c r="F1442" t="inlineStr">
        <is>
          <t>640109.xlsx</t>
        </is>
      </c>
      <c r="G1442" t="inlineStr">
        <is>
          <t>2024-04</t>
        </is>
      </c>
      <c r="H1442" t="inlineStr">
        <is>
          <t>2026-07</t>
        </is>
      </c>
      <c r="NZ1442" s="2">
        <v>98.51000000000001</v>
      </c>
      <c r="OA1442" s="2">
        <v>97.8</v>
      </c>
      <c r="OB1442" s="2">
        <v>97.09999999999999</v>
      </c>
      <c r="OC1442" s="2">
        <v>98.83</v>
      </c>
      <c r="OD1442" s="2">
        <v>98.33</v>
      </c>
      <c r="OE1442" s="2">
        <v>98.36</v>
      </c>
      <c r="OF1442" s="2">
        <v>98.95</v>
      </c>
      <c r="OG1442" s="2">
        <v>98.84</v>
      </c>
      <c r="OH1442" s="2">
        <v>98.62</v>
      </c>
      <c r="OM1442" s="2">
        <v>98.27</v>
      </c>
      <c r="ON1442" s="2">
        <v>99.01000000000001</v>
      </c>
      <c r="OO1442" s="2">
        <v>98.89</v>
      </c>
      <c r="OP1442" s="2">
        <v>99.19</v>
      </c>
      <c r="OQ1442" s="2">
        <v>98.81999999999999</v>
      </c>
      <c r="OR1442" s="2">
        <v>98.02</v>
      </c>
      <c r="OS1442" s="2">
        <v>99.48999999999999</v>
      </c>
      <c r="OT1442" s="2">
        <v>100.17</v>
      </c>
      <c r="OU1442" s="2">
        <v>100</v>
      </c>
      <c r="OV1442" s="2">
        <v>99.84</v>
      </c>
      <c r="OW1442" s="2">
        <v>100.27</v>
      </c>
      <c r="OX1442" s="2">
        <v>99.84999999999999</v>
      </c>
      <c r="PC1442" s="2">
        <v>99.76000000000001</v>
      </c>
      <c r="PD1442" s="2">
        <v>99.93000000000001</v>
      </c>
      <c r="PE1442" s="2">
        <v>100.49</v>
      </c>
      <c r="PF1442" s="2">
        <v>101.09</v>
      </c>
      <c r="PG1442" s="2">
        <v>101.22</v>
      </c>
      <c r="PH1442" s="2">
        <v>100.46</v>
      </c>
      <c r="PI1442" s="2">
        <v>102.16</v>
      </c>
    </row>
    <row r="1443">
      <c r="A1443" t="inlineStr">
        <is>
          <t>A130398736L</t>
        </is>
      </c>
      <c r="B1443" t="inlineStr">
        <is>
          <t>Index Numbers ;  Recreation and culture ;  Canberra ;</t>
        </is>
      </c>
      <c r="C1443" t="inlineStr">
        <is>
          <t>Month</t>
        </is>
      </c>
      <c r="D1443" t="inlineStr">
        <is>
          <t>Index Numbers</t>
        </is>
      </c>
      <c r="E1443" t="inlineStr">
        <is>
          <t>Original</t>
        </is>
      </c>
      <c r="F1443" t="inlineStr">
        <is>
          <t>640109.xlsx</t>
        </is>
      </c>
      <c r="G1443" t="inlineStr">
        <is>
          <t>2024-04</t>
        </is>
      </c>
      <c r="H1443" t="inlineStr">
        <is>
          <t>2026-07</t>
        </is>
      </c>
      <c r="NZ1443" s="2">
        <v>98.59</v>
      </c>
      <c r="OA1443" s="2">
        <v>96.95999999999999</v>
      </c>
      <c r="OB1443" s="2">
        <v>100.09</v>
      </c>
      <c r="OC1443" s="2">
        <v>98.02</v>
      </c>
      <c r="OD1443" s="2">
        <v>97.42</v>
      </c>
      <c r="OE1443" s="2">
        <v>98.48</v>
      </c>
      <c r="OF1443" s="2">
        <v>97.33</v>
      </c>
      <c r="OG1443" s="2">
        <v>97.31</v>
      </c>
      <c r="OH1443" s="2">
        <v>101.83</v>
      </c>
      <c r="OM1443" s="2">
        <v>98.86</v>
      </c>
      <c r="ON1443" s="2">
        <v>95.33</v>
      </c>
      <c r="OO1443" s="2">
        <v>95.73999999999999</v>
      </c>
      <c r="OP1443" s="2">
        <v>98.70999999999999</v>
      </c>
      <c r="OQ1443" s="2">
        <v>95.98</v>
      </c>
      <c r="OR1443" s="2">
        <v>96.78</v>
      </c>
      <c r="OS1443" s="2">
        <v>99.23</v>
      </c>
      <c r="OT1443" s="2">
        <v>98.18000000000001</v>
      </c>
      <c r="OU1443" s="2">
        <v>100</v>
      </c>
      <c r="OV1443" s="2">
        <v>100.45</v>
      </c>
      <c r="OW1443" s="2">
        <v>99.20999999999999</v>
      </c>
      <c r="OX1443" s="2">
        <v>105.73</v>
      </c>
      <c r="PC1443" s="2">
        <v>101.96</v>
      </c>
      <c r="PD1443" s="2">
        <v>99.52</v>
      </c>
      <c r="PE1443" s="2">
        <v>98.66</v>
      </c>
      <c r="PF1443" s="2">
        <v>100.59</v>
      </c>
      <c r="PG1443" s="2">
        <v>98.56</v>
      </c>
      <c r="PH1443" s="2">
        <v>100.03</v>
      </c>
      <c r="PI1443" s="2">
        <v>101.7</v>
      </c>
    </row>
    <row r="1444">
      <c r="A1444" t="inlineStr">
        <is>
          <t>A130395162J</t>
        </is>
      </c>
      <c r="B1444" t="inlineStr">
        <is>
          <t>Index Numbers ;  Education ;  Canberra ;</t>
        </is>
      </c>
      <c r="C1444" t="inlineStr">
        <is>
          <t>Month</t>
        </is>
      </c>
      <c r="D1444" t="inlineStr">
        <is>
          <t>Index Numbers</t>
        </is>
      </c>
      <c r="E1444" t="inlineStr">
        <is>
          <t>Original</t>
        </is>
      </c>
      <c r="F1444" t="inlineStr">
        <is>
          <t>640109.xlsx</t>
        </is>
      </c>
      <c r="G1444" t="inlineStr">
        <is>
          <t>2024-04</t>
        </is>
      </c>
      <c r="H1444" t="inlineStr">
        <is>
          <t>2026-07</t>
        </is>
      </c>
      <c r="NZ1444" s="2">
        <v>94.11</v>
      </c>
      <c r="OA1444" s="2">
        <v>94.11</v>
      </c>
      <c r="OB1444" s="2">
        <v>94.11</v>
      </c>
      <c r="OC1444" s="2">
        <v>94.13</v>
      </c>
      <c r="OD1444" s="2">
        <v>94.11</v>
      </c>
      <c r="OE1444" s="2">
        <v>94.23</v>
      </c>
      <c r="OF1444" s="2">
        <v>94.23</v>
      </c>
      <c r="OG1444" s="2">
        <v>94.23999999999999</v>
      </c>
      <c r="OH1444" s="2">
        <v>94.25</v>
      </c>
      <c r="OM1444" s="2">
        <v>94.2</v>
      </c>
      <c r="ON1444" s="2">
        <v>99.78</v>
      </c>
      <c r="OO1444" s="2">
        <v>99.89</v>
      </c>
      <c r="OP1444" s="2">
        <v>99.90000000000001</v>
      </c>
      <c r="OQ1444" s="2">
        <v>99.81</v>
      </c>
      <c r="OR1444" s="2">
        <v>99.92</v>
      </c>
      <c r="OS1444" s="2">
        <v>99.94</v>
      </c>
      <c r="OT1444" s="2">
        <v>99.90000000000001</v>
      </c>
      <c r="OU1444" s="2">
        <v>100</v>
      </c>
      <c r="OV1444" s="2">
        <v>100.01</v>
      </c>
      <c r="OW1444" s="2">
        <v>100.03</v>
      </c>
      <c r="OX1444" s="2">
        <v>100.03</v>
      </c>
      <c r="PC1444" s="2">
        <v>100.01</v>
      </c>
      <c r="PD1444" s="2">
        <v>105.67</v>
      </c>
      <c r="PE1444" s="2">
        <v>105.79</v>
      </c>
      <c r="PF1444" s="2">
        <v>105.8</v>
      </c>
      <c r="PG1444" s="2">
        <v>105.72</v>
      </c>
      <c r="PH1444" s="2">
        <v>105.8</v>
      </c>
      <c r="PI1444" s="2">
        <v>105.81</v>
      </c>
    </row>
    <row r="1445">
      <c r="A1445" t="inlineStr">
        <is>
          <t>A130395288R</t>
        </is>
      </c>
      <c r="B1445" t="inlineStr">
        <is>
          <t>Index Numbers ;  Insurance and financial services ;  Canberra ;</t>
        </is>
      </c>
      <c r="C1445" t="inlineStr">
        <is>
          <t>Month</t>
        </is>
      </c>
      <c r="D1445" t="inlineStr">
        <is>
          <t>Index Numbers</t>
        </is>
      </c>
      <c r="E1445" t="inlineStr">
        <is>
          <t>Original</t>
        </is>
      </c>
      <c r="F1445" t="inlineStr">
        <is>
          <t>640109.xlsx</t>
        </is>
      </c>
      <c r="G1445" t="inlineStr">
        <is>
          <t>2024-04</t>
        </is>
      </c>
      <c r="H1445" t="inlineStr">
        <is>
          <t>2026-07</t>
        </is>
      </c>
      <c r="NZ1445" s="2">
        <v>95.56</v>
      </c>
      <c r="OA1445" s="2">
        <v>95.78</v>
      </c>
      <c r="OB1445" s="2">
        <v>98.3</v>
      </c>
      <c r="OC1445" s="2">
        <v>98.56</v>
      </c>
      <c r="OD1445" s="2">
        <v>98.70999999999999</v>
      </c>
      <c r="OE1445" s="2">
        <v>97.56</v>
      </c>
      <c r="OF1445" s="2">
        <v>97.87</v>
      </c>
      <c r="OG1445" s="2">
        <v>97.98999999999999</v>
      </c>
      <c r="OH1445" s="2">
        <v>99.34999999999999</v>
      </c>
      <c r="OM1445" s="2">
        <v>99.79000000000001</v>
      </c>
      <c r="ON1445" s="2">
        <v>99.89</v>
      </c>
      <c r="OO1445" s="2">
        <v>101.11</v>
      </c>
      <c r="OP1445" s="2">
        <v>100.81</v>
      </c>
      <c r="OQ1445" s="2">
        <v>100.67</v>
      </c>
      <c r="OR1445" s="2">
        <v>100.42</v>
      </c>
      <c r="OS1445" s="2">
        <v>100.49</v>
      </c>
      <c r="OT1445" s="2">
        <v>100.33</v>
      </c>
      <c r="OU1445" s="2">
        <v>100</v>
      </c>
      <c r="OV1445" s="2">
        <v>100.19</v>
      </c>
      <c r="OW1445" s="2">
        <v>100.29</v>
      </c>
      <c r="OX1445" s="2">
        <v>101.89</v>
      </c>
      <c r="PC1445" s="2">
        <v>102.23</v>
      </c>
      <c r="PD1445" s="2">
        <v>102.24</v>
      </c>
      <c r="PE1445" s="2">
        <v>102.5</v>
      </c>
      <c r="PF1445" s="2">
        <v>102.71</v>
      </c>
      <c r="PG1445" s="2">
        <v>102.75</v>
      </c>
      <c r="PH1445" s="2">
        <v>102.76</v>
      </c>
      <c r="PI1445" s="2">
        <v>102.45</v>
      </c>
    </row>
    <row r="1446">
      <c r="A1446" t="inlineStr">
        <is>
          <t>A2325806K</t>
        </is>
      </c>
      <c r="B1446" t="inlineStr">
        <is>
          <t>Index Numbers ;  All groups CPI ;  Sydney ;</t>
        </is>
      </c>
      <c r="C1446" t="inlineStr">
        <is>
          <t>Quarter</t>
        </is>
      </c>
      <c r="D1446" t="inlineStr">
        <is>
          <t>Index Numbers</t>
        </is>
      </c>
      <c r="E1446" t="inlineStr">
        <is>
          <t>Original</t>
        </is>
      </c>
      <c r="F1446" t="inlineStr">
        <is>
          <t>6401017.xlsx</t>
        </is>
      </c>
      <c r="G1446" t="inlineStr">
        <is>
          <t>1948Q3</t>
        </is>
      </c>
      <c r="H1446" t="inlineStr">
        <is>
          <t>2026Q2</t>
        </is>
      </c>
      <c r="I1446" s="2">
        <v>2.56</v>
      </c>
      <c r="J1446" s="2">
        <v>2.6</v>
      </c>
      <c r="K1446" s="2">
        <v>2.68</v>
      </c>
      <c r="L1446" s="2">
        <v>2.71</v>
      </c>
      <c r="M1446" s="2">
        <v>2.79</v>
      </c>
      <c r="N1446" s="2">
        <v>2.83</v>
      </c>
      <c r="O1446" s="2">
        <v>2.87</v>
      </c>
      <c r="P1446" s="2">
        <v>2.99</v>
      </c>
      <c r="Q1446" s="2">
        <v>3.02</v>
      </c>
      <c r="R1446" s="2">
        <v>3.18</v>
      </c>
      <c r="S1446" s="2">
        <v>3.3</v>
      </c>
      <c r="T1446" s="2">
        <v>3.53</v>
      </c>
      <c r="U1446" s="2">
        <v>3.72</v>
      </c>
      <c r="V1446" s="2">
        <v>3.96</v>
      </c>
      <c r="W1446" s="2">
        <v>4.11</v>
      </c>
      <c r="X1446" s="2">
        <v>4.27</v>
      </c>
      <c r="Y1446" s="2">
        <v>4.3</v>
      </c>
      <c r="Z1446" s="2">
        <v>4.34</v>
      </c>
      <c r="AA1446" s="2">
        <v>4.38</v>
      </c>
      <c r="AB1446" s="2">
        <v>4.42</v>
      </c>
      <c r="AC1446" s="2">
        <v>4.46</v>
      </c>
      <c r="AD1446" s="2">
        <v>4.42</v>
      </c>
      <c r="AE1446" s="2">
        <v>4.46</v>
      </c>
      <c r="AF1446" s="2">
        <v>4.42</v>
      </c>
      <c r="AG1446" s="2">
        <v>4.42</v>
      </c>
      <c r="AH1446" s="2">
        <v>4.46</v>
      </c>
      <c r="AI1446" s="2">
        <v>4.5</v>
      </c>
      <c r="AJ1446" s="2">
        <v>4.5</v>
      </c>
      <c r="AK1446" s="2">
        <v>4.54</v>
      </c>
      <c r="AL1446" s="2">
        <v>4.58</v>
      </c>
      <c r="AM1446" s="2">
        <v>4.61</v>
      </c>
      <c r="AN1446" s="2">
        <v>4.77</v>
      </c>
      <c r="AO1446" s="2">
        <v>4.93</v>
      </c>
      <c r="AP1446" s="2">
        <v>4.93</v>
      </c>
      <c r="AQ1446" s="2">
        <v>4.93</v>
      </c>
      <c r="AR1446" s="2">
        <v>4.96</v>
      </c>
      <c r="AS1446" s="2">
        <v>5</v>
      </c>
      <c r="AT1446" s="2">
        <v>5</v>
      </c>
      <c r="AU1446" s="2">
        <v>5.04</v>
      </c>
      <c r="AV1446" s="2">
        <v>5.04</v>
      </c>
      <c r="AW1446" s="2">
        <v>5</v>
      </c>
      <c r="AX1446" s="2">
        <v>5.04</v>
      </c>
      <c r="AY1446" s="2">
        <v>5.04</v>
      </c>
      <c r="AZ1446" s="2">
        <v>5.08</v>
      </c>
      <c r="BA1446" s="2">
        <v>5.08</v>
      </c>
      <c r="BB1446" s="2">
        <v>5.12</v>
      </c>
      <c r="BC1446" s="2">
        <v>5.16</v>
      </c>
      <c r="BD1446" s="2">
        <v>5.24</v>
      </c>
      <c r="BE1446" s="2">
        <v>5.27</v>
      </c>
      <c r="BF1446" s="2">
        <v>5.31</v>
      </c>
      <c r="BG1446" s="2">
        <v>5.35</v>
      </c>
      <c r="BH1446" s="2">
        <v>5.39</v>
      </c>
      <c r="BI1446" s="2">
        <v>5.35</v>
      </c>
      <c r="BJ1446" s="2">
        <v>5.35</v>
      </c>
      <c r="BK1446" s="2">
        <v>5.35</v>
      </c>
      <c r="BL1446" s="2">
        <v>5.35</v>
      </c>
      <c r="BM1446" s="2">
        <v>5.35</v>
      </c>
      <c r="BN1446" s="2">
        <v>5.39</v>
      </c>
      <c r="BO1446" s="2">
        <v>5.39</v>
      </c>
      <c r="BP1446" s="2">
        <v>5.39</v>
      </c>
      <c r="BQ1446" s="2">
        <v>5.39</v>
      </c>
      <c r="BR1446" s="2">
        <v>5.39</v>
      </c>
      <c r="BS1446" s="2">
        <v>5.43</v>
      </c>
      <c r="BT1446" s="2">
        <v>5.51</v>
      </c>
      <c r="BU1446" s="2">
        <v>5.55</v>
      </c>
      <c r="BV1446" s="2">
        <v>5.62</v>
      </c>
      <c r="BW1446" s="2">
        <v>5.62</v>
      </c>
      <c r="BX1446" s="2">
        <v>5.7</v>
      </c>
      <c r="BY1446" s="2">
        <v>5.74</v>
      </c>
      <c r="BZ1446" s="2">
        <v>5.82</v>
      </c>
      <c r="CA1446" s="2">
        <v>5.82</v>
      </c>
      <c r="CB1446" s="2">
        <v>5.86</v>
      </c>
      <c r="CC1446" s="2">
        <v>5.89</v>
      </c>
      <c r="CD1446" s="2">
        <v>5.93</v>
      </c>
      <c r="CE1446" s="2">
        <v>5.97</v>
      </c>
      <c r="CF1446" s="2">
        <v>6.01</v>
      </c>
      <c r="CG1446" s="2">
        <v>6.09</v>
      </c>
      <c r="CH1446" s="2">
        <v>6.13</v>
      </c>
      <c r="CI1446" s="2">
        <v>6.17</v>
      </c>
      <c r="CJ1446" s="2">
        <v>6.2</v>
      </c>
      <c r="CK1446" s="2">
        <v>6.2</v>
      </c>
      <c r="CL1446" s="2">
        <v>6.32</v>
      </c>
      <c r="CM1446" s="2">
        <v>6.36</v>
      </c>
      <c r="CN1446" s="2">
        <v>6.4</v>
      </c>
      <c r="CO1446" s="2">
        <v>6.44</v>
      </c>
      <c r="CP1446" s="2">
        <v>6.52</v>
      </c>
      <c r="CQ1446" s="2">
        <v>6.63</v>
      </c>
      <c r="CR1446" s="2">
        <v>6.71</v>
      </c>
      <c r="CS1446" s="2">
        <v>6.71</v>
      </c>
      <c r="CT1446" s="2">
        <v>6.9</v>
      </c>
      <c r="CU1446" s="2">
        <v>6.98</v>
      </c>
      <c r="CV1446" s="2">
        <v>7.14</v>
      </c>
      <c r="CW1446" s="2">
        <v>7.33</v>
      </c>
      <c r="CX1446" s="2">
        <v>7.52</v>
      </c>
      <c r="CY1446" s="2">
        <v>7.6</v>
      </c>
      <c r="CZ1446" s="2">
        <v>7.68</v>
      </c>
      <c r="DA1446" s="2">
        <v>7.76</v>
      </c>
      <c r="DB1446" s="2">
        <v>7.83</v>
      </c>
      <c r="DC1446" s="2">
        <v>8.029999999999999</v>
      </c>
      <c r="DD1446" s="2">
        <v>8.26</v>
      </c>
      <c r="DE1446" s="2">
        <v>8.57</v>
      </c>
      <c r="DF1446" s="2">
        <v>8.92</v>
      </c>
      <c r="DG1446" s="2">
        <v>9.07</v>
      </c>
      <c r="DH1446" s="2">
        <v>9.460000000000001</v>
      </c>
      <c r="DI1446" s="2">
        <v>9.970000000000001</v>
      </c>
      <c r="DJ1446" s="2">
        <v>10.32</v>
      </c>
      <c r="DK1446" s="2">
        <v>10.63</v>
      </c>
      <c r="DL1446" s="2">
        <v>11.05</v>
      </c>
      <c r="DM1446" s="2">
        <v>11.21</v>
      </c>
      <c r="DN1446" s="2">
        <v>11.71</v>
      </c>
      <c r="DO1446" s="2">
        <v>12.1</v>
      </c>
      <c r="DP1446" s="2">
        <v>12.37</v>
      </c>
      <c r="DQ1446" s="2">
        <v>12.57</v>
      </c>
      <c r="DR1446" s="2">
        <v>13.26</v>
      </c>
      <c r="DS1446" s="2">
        <v>13.53</v>
      </c>
      <c r="DT1446" s="2">
        <v>13.84</v>
      </c>
      <c r="DU1446" s="2">
        <v>14.08</v>
      </c>
      <c r="DV1446" s="2">
        <v>14.39</v>
      </c>
      <c r="DW1446" s="2">
        <v>14.58</v>
      </c>
      <c r="DX1446" s="2">
        <v>14.89</v>
      </c>
      <c r="DY1446" s="2">
        <v>15.2</v>
      </c>
      <c r="DZ1446" s="2">
        <v>15.55</v>
      </c>
      <c r="EA1446" s="2">
        <v>15.86</v>
      </c>
      <c r="EB1446" s="2">
        <v>16.33</v>
      </c>
      <c r="EC1446" s="2">
        <v>16.71</v>
      </c>
      <c r="ED1446" s="2">
        <v>17.18</v>
      </c>
      <c r="EE1446" s="2">
        <v>17.65</v>
      </c>
      <c r="EF1446" s="2">
        <v>18.11</v>
      </c>
      <c r="EG1446" s="2">
        <v>18.46</v>
      </c>
      <c r="EH1446" s="2">
        <v>18.85</v>
      </c>
      <c r="EI1446" s="2">
        <v>19.35</v>
      </c>
      <c r="EJ1446" s="2">
        <v>19.74</v>
      </c>
      <c r="EK1446" s="2">
        <v>20.09</v>
      </c>
      <c r="EL1446" s="2">
        <v>20.9</v>
      </c>
      <c r="EM1446" s="2">
        <v>21.29</v>
      </c>
      <c r="EN1446" s="2">
        <v>21.91</v>
      </c>
      <c r="EO1446" s="2">
        <v>22.69</v>
      </c>
      <c r="EP1446" s="2">
        <v>23.39</v>
      </c>
      <c r="EQ1446" s="2">
        <v>23.89</v>
      </c>
      <c r="ER1446" s="2">
        <v>24.35</v>
      </c>
      <c r="ES1446" s="2">
        <v>24.66</v>
      </c>
      <c r="ET1446" s="2">
        <v>25.17</v>
      </c>
      <c r="EU1446" s="2">
        <v>25.05</v>
      </c>
      <c r="EV1446" s="2">
        <v>25.05</v>
      </c>
      <c r="EW1446" s="2">
        <v>25.36</v>
      </c>
      <c r="EX1446" s="2">
        <v>25.75</v>
      </c>
      <c r="EY1446" s="2">
        <v>26.14</v>
      </c>
      <c r="EZ1446" s="2">
        <v>26.68</v>
      </c>
      <c r="FA1446" s="2">
        <v>27.26</v>
      </c>
      <c r="FB1446" s="2">
        <v>27.88</v>
      </c>
      <c r="FC1446" s="2">
        <v>28.54</v>
      </c>
      <c r="FD1446" s="2">
        <v>29.05</v>
      </c>
      <c r="FE1446" s="2">
        <v>29.75</v>
      </c>
      <c r="FF1446" s="2">
        <v>30.6</v>
      </c>
      <c r="FG1446" s="2">
        <v>31.22</v>
      </c>
      <c r="FH1446" s="2">
        <v>31.72</v>
      </c>
      <c r="FI1446" s="2">
        <v>32.27</v>
      </c>
      <c r="FJ1446" s="2">
        <v>32.81</v>
      </c>
      <c r="FK1446" s="2">
        <v>33.55</v>
      </c>
      <c r="FL1446" s="2">
        <v>34.05</v>
      </c>
      <c r="FM1446" s="2">
        <v>34.94</v>
      </c>
      <c r="FN1446" s="2">
        <v>35.83</v>
      </c>
      <c r="FO1446" s="2">
        <v>35.87</v>
      </c>
      <c r="FP1446" s="2">
        <v>36.76</v>
      </c>
      <c r="FQ1446" s="2">
        <v>37.77</v>
      </c>
      <c r="FR1446" s="2">
        <v>38.47</v>
      </c>
      <c r="FS1446" s="2">
        <v>39.13</v>
      </c>
      <c r="FT1446" s="2">
        <v>39.75</v>
      </c>
      <c r="FU1446" s="2">
        <v>39.98</v>
      </c>
      <c r="FV1446" s="2">
        <v>40.91</v>
      </c>
      <c r="FW1446" s="2">
        <v>40.99</v>
      </c>
      <c r="FX1446" s="2">
        <v>40.88</v>
      </c>
      <c r="FY1446" s="2">
        <v>41.11</v>
      </c>
      <c r="FZ1446" s="2">
        <v>41.53</v>
      </c>
      <c r="GA1446" s="2">
        <v>41.5</v>
      </c>
      <c r="GB1446" s="2">
        <v>41.3</v>
      </c>
      <c r="GC1446" s="2">
        <v>41.46</v>
      </c>
      <c r="GD1446" s="2">
        <v>41.65</v>
      </c>
      <c r="GE1446" s="2">
        <v>41.96</v>
      </c>
      <c r="GF1446" s="2">
        <v>42.04</v>
      </c>
      <c r="GG1446" s="2">
        <v>42.16</v>
      </c>
      <c r="GH1446" s="2">
        <v>42.19</v>
      </c>
      <c r="GI1446" s="2">
        <v>42.31</v>
      </c>
      <c r="GJ1446" s="2">
        <v>42.66</v>
      </c>
      <c r="GK1446" s="2">
        <v>43.05</v>
      </c>
      <c r="GL1446" s="2">
        <v>43.36</v>
      </c>
      <c r="GM1446" s="2">
        <v>44.09</v>
      </c>
      <c r="GN1446" s="2">
        <v>44.75</v>
      </c>
      <c r="GO1446" s="2">
        <v>45.49</v>
      </c>
      <c r="GP1446" s="2">
        <v>45.88</v>
      </c>
      <c r="GQ1446" s="2">
        <v>46.19</v>
      </c>
      <c r="GR1446" s="2">
        <v>46.5</v>
      </c>
      <c r="GS1446" s="2">
        <v>46.61</v>
      </c>
      <c r="GT1446" s="2">
        <v>46.69</v>
      </c>
      <c r="GU1446" s="2">
        <v>46.77</v>
      </c>
      <c r="GV1446" s="2">
        <v>46.61</v>
      </c>
      <c r="GW1446" s="2">
        <v>46.46</v>
      </c>
      <c r="GX1446" s="2">
        <v>46.58</v>
      </c>
      <c r="GY1446" s="2">
        <v>46.81</v>
      </c>
      <c r="GZ1446" s="2">
        <v>47.08</v>
      </c>
      <c r="HA1446" s="2">
        <v>47.26</v>
      </c>
      <c r="HB1446" s="2">
        <v>47.48</v>
      </c>
      <c r="HC1446" s="2">
        <v>47.53</v>
      </c>
      <c r="HD1446" s="2">
        <v>47.7</v>
      </c>
      <c r="HE1446" s="2">
        <v>48.13</v>
      </c>
      <c r="HF1446" s="2">
        <v>48.37</v>
      </c>
      <c r="HG1446" s="2">
        <v>48.79</v>
      </c>
      <c r="HH1446" s="2">
        <v>49.25</v>
      </c>
      <c r="HI1446" s="2">
        <v>51.03</v>
      </c>
      <c r="HJ1446" s="2">
        <v>51.27</v>
      </c>
      <c r="HK1446" s="2">
        <v>51.96</v>
      </c>
      <c r="HL1446" s="2">
        <v>52.36</v>
      </c>
      <c r="HM1446" s="2">
        <v>52.51</v>
      </c>
      <c r="HN1446" s="2">
        <v>52.97</v>
      </c>
      <c r="HO1446" s="2">
        <v>53.47</v>
      </c>
      <c r="HP1446" s="2">
        <v>53.83</v>
      </c>
      <c r="HQ1446" s="2">
        <v>54.12</v>
      </c>
      <c r="HR1446" s="2">
        <v>54.46</v>
      </c>
      <c r="HS1446" s="2">
        <v>55.12</v>
      </c>
      <c r="HT1446" s="2">
        <v>55.14</v>
      </c>
      <c r="HU1446" s="2">
        <v>55.24</v>
      </c>
      <c r="HV1446" s="2">
        <v>55.67</v>
      </c>
      <c r="HW1446" s="2">
        <v>56.22</v>
      </c>
      <c r="HX1446" s="2">
        <v>56.41</v>
      </c>
      <c r="HY1446" s="2">
        <v>56.7</v>
      </c>
      <c r="HZ1446" s="2">
        <v>57.14</v>
      </c>
      <c r="IA1446" s="2">
        <v>57.46</v>
      </c>
      <c r="IB1446" s="2">
        <v>57.78</v>
      </c>
      <c r="IC1446" s="2">
        <v>58.35</v>
      </c>
      <c r="ID1446" s="2">
        <v>58.56</v>
      </c>
      <c r="IE1446" s="2">
        <v>59.02</v>
      </c>
      <c r="IF1446" s="2">
        <v>59.99</v>
      </c>
      <c r="IG1446" s="2">
        <v>60.55</v>
      </c>
      <c r="IH1446" s="2">
        <v>60.43</v>
      </c>
      <c r="II1446" s="2">
        <v>60.34</v>
      </c>
      <c r="IJ1446" s="2">
        <v>61.02</v>
      </c>
      <c r="IK1446" s="2">
        <v>61.33</v>
      </c>
      <c r="IL1446" s="2">
        <v>61.85</v>
      </c>
      <c r="IM1446" s="2">
        <v>62.69</v>
      </c>
      <c r="IN1446" s="2">
        <v>63.65</v>
      </c>
      <c r="IO1446" s="2">
        <v>64.34</v>
      </c>
      <c r="IP1446" s="2">
        <v>64.19</v>
      </c>
      <c r="IQ1446" s="2">
        <v>64.23</v>
      </c>
      <c r="IR1446" s="2">
        <v>64.48999999999999</v>
      </c>
      <c r="IS1446" s="2">
        <v>65.19</v>
      </c>
      <c r="IT1446" s="2">
        <v>65.59</v>
      </c>
      <c r="IU1446" s="2">
        <v>66.12</v>
      </c>
      <c r="IV1446" s="2">
        <v>66.37</v>
      </c>
      <c r="IW1446" s="2">
        <v>66.90000000000001</v>
      </c>
      <c r="IX1446" s="2">
        <v>67.13</v>
      </c>
      <c r="IY1446" s="2">
        <v>68.22</v>
      </c>
      <c r="IZ1446" s="2">
        <v>68.86</v>
      </c>
      <c r="JA1446" s="2">
        <v>69.34999999999999</v>
      </c>
      <c r="JB1446" s="2">
        <v>69.3</v>
      </c>
      <c r="JC1446" s="2">
        <v>69.36</v>
      </c>
      <c r="JD1446" s="2">
        <v>69.77</v>
      </c>
      <c r="JE1446" s="2">
        <v>70.97</v>
      </c>
      <c r="JF1446" s="2">
        <v>71.04000000000001</v>
      </c>
      <c r="JG1446" s="2">
        <v>71.3</v>
      </c>
      <c r="JH1446" s="2">
        <v>71.63</v>
      </c>
      <c r="JI1446" s="2">
        <v>72.45999999999999</v>
      </c>
      <c r="JJ1446" s="2">
        <v>72.89</v>
      </c>
      <c r="JK1446" s="2">
        <v>73.34999999999999</v>
      </c>
      <c r="JL1446" s="2">
        <v>73.63</v>
      </c>
      <c r="JM1446" s="2">
        <v>74.05</v>
      </c>
      <c r="JN1446" s="2">
        <v>74.18000000000001</v>
      </c>
      <c r="JO1446" s="2">
        <v>74.55</v>
      </c>
      <c r="JP1446" s="2">
        <v>75.23999999999999</v>
      </c>
      <c r="JQ1446" s="2">
        <v>75.44</v>
      </c>
      <c r="JR1446" s="2">
        <v>75.63</v>
      </c>
      <c r="JS1446" s="2">
        <v>75.47</v>
      </c>
      <c r="JT1446" s="2">
        <v>75.88</v>
      </c>
      <c r="JU1446" s="2">
        <v>76.65000000000001</v>
      </c>
      <c r="JV1446" s="2">
        <v>77.05</v>
      </c>
      <c r="KA1446" s="2">
        <v>77.33</v>
      </c>
      <c r="KB1446" s="2">
        <v>77.54000000000001</v>
      </c>
      <c r="KC1446" s="2">
        <v>78.15000000000001</v>
      </c>
      <c r="KD1446" s="2">
        <v>78.68000000000001</v>
      </c>
      <c r="KQ1446" s="2">
        <v>78.89</v>
      </c>
      <c r="KR1446" s="2">
        <v>79.19</v>
      </c>
      <c r="KS1446" s="2">
        <v>79.64</v>
      </c>
      <c r="KT1446" s="2">
        <v>80.04000000000001</v>
      </c>
      <c r="LG1446" s="2">
        <v>79.97</v>
      </c>
      <c r="LH1446" s="2">
        <v>80.48</v>
      </c>
      <c r="LI1446" s="2">
        <v>80.91</v>
      </c>
      <c r="LJ1446" s="2">
        <v>81.34</v>
      </c>
      <c r="LW1446" s="2">
        <v>81.54000000000001</v>
      </c>
      <c r="LX1446" s="2">
        <v>79.63</v>
      </c>
      <c r="LY1446" s="2">
        <v>81.09999999999999</v>
      </c>
      <c r="LZ1446" s="2">
        <v>81.97</v>
      </c>
      <c r="MM1446" s="2">
        <v>82.33</v>
      </c>
      <c r="MN1446" s="2">
        <v>82.89</v>
      </c>
      <c r="MO1446" s="2">
        <v>83.48</v>
      </c>
      <c r="MP1446" s="2">
        <v>84.45</v>
      </c>
      <c r="NC1446" s="2">
        <v>85.88</v>
      </c>
      <c r="ND1446" s="2">
        <v>87.3</v>
      </c>
      <c r="NE1446" s="2">
        <v>89.33</v>
      </c>
      <c r="NF1446" s="2">
        <v>90.92</v>
      </c>
      <c r="NS1446" s="2">
        <v>92.19</v>
      </c>
      <c r="NT1446" s="2">
        <v>93.03</v>
      </c>
      <c r="NU1446" s="2">
        <v>94.33</v>
      </c>
      <c r="NV1446" s="2">
        <v>94.72</v>
      </c>
      <c r="OI1446" s="2">
        <v>95.59999999999999</v>
      </c>
      <c r="OJ1446" s="2">
        <v>96.63</v>
      </c>
      <c r="OK1446" s="2">
        <v>97.09999999999999</v>
      </c>
      <c r="OL1446" s="2">
        <v>97.03</v>
      </c>
      <c r="OY1446" s="2">
        <v>97.81999999999999</v>
      </c>
      <c r="OZ1446" s="2">
        <v>98.47</v>
      </c>
      <c r="PA1446" s="2">
        <v>99.91</v>
      </c>
      <c r="PB1446" s="2">
        <v>100.38</v>
      </c>
      <c r="PJ1446" s="2">
        <v>101.81</v>
      </c>
      <c r="PK1446" s="2">
        <v>102.49</v>
      </c>
    </row>
    <row r="1447">
      <c r="A1447" t="inlineStr">
        <is>
          <t>A2325811C</t>
        </is>
      </c>
      <c r="B1447" t="inlineStr">
        <is>
          <t>Index Numbers ;  All groups CPI ;  Melbourne ;</t>
        </is>
      </c>
      <c r="C1447" t="inlineStr">
        <is>
          <t>Quarter</t>
        </is>
      </c>
      <c r="D1447" t="inlineStr">
        <is>
          <t>Index Numbers</t>
        </is>
      </c>
      <c r="E1447" t="inlineStr">
        <is>
          <t>Original</t>
        </is>
      </c>
      <c r="F1447" t="inlineStr">
        <is>
          <t>6401017.xlsx</t>
        </is>
      </c>
      <c r="G1447" t="inlineStr">
        <is>
          <t>1948Q3</t>
        </is>
      </c>
      <c r="H1447" t="inlineStr">
        <is>
          <t>2026Q2</t>
        </is>
      </c>
      <c r="I1447" s="2">
        <v>2.64</v>
      </c>
      <c r="J1447" s="2">
        <v>2.68</v>
      </c>
      <c r="K1447" s="2">
        <v>2.72</v>
      </c>
      <c r="L1447" s="2">
        <v>2.8</v>
      </c>
      <c r="M1447" s="2">
        <v>2.84</v>
      </c>
      <c r="N1447" s="2">
        <v>2.92</v>
      </c>
      <c r="O1447" s="2">
        <v>2.99</v>
      </c>
      <c r="P1447" s="2">
        <v>3.07</v>
      </c>
      <c r="Q1447" s="2">
        <v>3.11</v>
      </c>
      <c r="R1447" s="2">
        <v>3.23</v>
      </c>
      <c r="S1447" s="2">
        <v>3.39</v>
      </c>
      <c r="T1447" s="2">
        <v>3.59</v>
      </c>
      <c r="U1447" s="2">
        <v>3.74</v>
      </c>
      <c r="V1447" s="2">
        <v>4.06</v>
      </c>
      <c r="W1447" s="2">
        <v>4.14</v>
      </c>
      <c r="X1447" s="2">
        <v>4.29</v>
      </c>
      <c r="Y1447" s="2">
        <v>4.41</v>
      </c>
      <c r="Z1447" s="2">
        <v>4.41</v>
      </c>
      <c r="AA1447" s="2">
        <v>4.45</v>
      </c>
      <c r="AB1447" s="2">
        <v>4.53</v>
      </c>
      <c r="AC1447" s="2">
        <v>4.53</v>
      </c>
      <c r="AD1447" s="2">
        <v>4.53</v>
      </c>
      <c r="AE1447" s="2">
        <v>4.53</v>
      </c>
      <c r="AF1447" s="2">
        <v>4.53</v>
      </c>
      <c r="AG1447" s="2">
        <v>4.49</v>
      </c>
      <c r="AH1447" s="2">
        <v>4.49</v>
      </c>
      <c r="AI1447" s="2">
        <v>4.53</v>
      </c>
      <c r="AJ1447" s="2">
        <v>4.57</v>
      </c>
      <c r="AK1447" s="2">
        <v>4.65</v>
      </c>
      <c r="AL1447" s="2">
        <v>4.77</v>
      </c>
      <c r="AM1447" s="2">
        <v>4.81</v>
      </c>
      <c r="AN1447" s="2">
        <v>5</v>
      </c>
      <c r="AO1447" s="2">
        <v>5.08</v>
      </c>
      <c r="AP1447" s="2">
        <v>5.08</v>
      </c>
      <c r="AQ1447" s="2">
        <v>5.04</v>
      </c>
      <c r="AR1447" s="2">
        <v>5.08</v>
      </c>
      <c r="AS1447" s="2">
        <v>5.08</v>
      </c>
      <c r="AT1447" s="2">
        <v>5.08</v>
      </c>
      <c r="AU1447" s="2">
        <v>5.08</v>
      </c>
      <c r="AV1447" s="2">
        <v>5.12</v>
      </c>
      <c r="AW1447" s="2">
        <v>5.12</v>
      </c>
      <c r="AX1447" s="2">
        <v>5.2</v>
      </c>
      <c r="AY1447" s="2">
        <v>5.2</v>
      </c>
      <c r="AZ1447" s="2">
        <v>5.24</v>
      </c>
      <c r="BA1447" s="2">
        <v>5.28</v>
      </c>
      <c r="BB1447" s="2">
        <v>5.28</v>
      </c>
      <c r="BC1447" s="2">
        <v>5.36</v>
      </c>
      <c r="BD1447" s="2">
        <v>5.48</v>
      </c>
      <c r="BE1447" s="2">
        <v>5.56</v>
      </c>
      <c r="BF1447" s="2">
        <v>5.59</v>
      </c>
      <c r="BG1447" s="2">
        <v>5.59</v>
      </c>
      <c r="BH1447" s="2">
        <v>5.63</v>
      </c>
      <c r="BI1447" s="2">
        <v>5.63</v>
      </c>
      <c r="BJ1447" s="2">
        <v>5.63</v>
      </c>
      <c r="BK1447" s="2">
        <v>5.59</v>
      </c>
      <c r="BL1447" s="2">
        <v>5.59</v>
      </c>
      <c r="BM1447" s="2">
        <v>5.59</v>
      </c>
      <c r="BN1447" s="2">
        <v>5.59</v>
      </c>
      <c r="BO1447" s="2">
        <v>5.59</v>
      </c>
      <c r="BP1447" s="2">
        <v>5.63</v>
      </c>
      <c r="BQ1447" s="2">
        <v>5.63</v>
      </c>
      <c r="BR1447" s="2">
        <v>5.63</v>
      </c>
      <c r="BS1447" s="2">
        <v>5.63</v>
      </c>
      <c r="BT1447" s="2">
        <v>5.71</v>
      </c>
      <c r="BU1447" s="2">
        <v>5.75</v>
      </c>
      <c r="BV1447" s="2">
        <v>5.87</v>
      </c>
      <c r="BW1447" s="2">
        <v>5.91</v>
      </c>
      <c r="BX1447" s="2">
        <v>5.99</v>
      </c>
      <c r="BY1447" s="2">
        <v>6.03</v>
      </c>
      <c r="BZ1447" s="2">
        <v>6.11</v>
      </c>
      <c r="CA1447" s="2">
        <v>6.11</v>
      </c>
      <c r="CB1447" s="2">
        <v>6.15</v>
      </c>
      <c r="CC1447" s="2">
        <v>6.19</v>
      </c>
      <c r="CD1447" s="2">
        <v>6.23</v>
      </c>
      <c r="CE1447" s="2">
        <v>6.26</v>
      </c>
      <c r="CF1447" s="2">
        <v>6.38</v>
      </c>
      <c r="CG1447" s="2">
        <v>6.46</v>
      </c>
      <c r="CH1447" s="2">
        <v>6.46</v>
      </c>
      <c r="CI1447" s="2">
        <v>6.5</v>
      </c>
      <c r="CJ1447" s="2">
        <v>6.58</v>
      </c>
      <c r="CK1447" s="2">
        <v>6.58</v>
      </c>
      <c r="CL1447" s="2">
        <v>6.62</v>
      </c>
      <c r="CM1447" s="2">
        <v>6.66</v>
      </c>
      <c r="CN1447" s="2">
        <v>6.7</v>
      </c>
      <c r="CO1447" s="2">
        <v>6.74</v>
      </c>
      <c r="CP1447" s="2">
        <v>6.78</v>
      </c>
      <c r="CQ1447" s="2">
        <v>6.82</v>
      </c>
      <c r="CR1447" s="2">
        <v>6.89</v>
      </c>
      <c r="CS1447" s="2">
        <v>6.93</v>
      </c>
      <c r="CT1447" s="2">
        <v>7.05</v>
      </c>
      <c r="CU1447" s="2">
        <v>7.13</v>
      </c>
      <c r="CV1447" s="2">
        <v>7.21</v>
      </c>
      <c r="CW1447" s="2">
        <v>7.29</v>
      </c>
      <c r="CX1447" s="2">
        <v>7.49</v>
      </c>
      <c r="CY1447" s="2">
        <v>7.56</v>
      </c>
      <c r="CZ1447" s="2">
        <v>7.64</v>
      </c>
      <c r="DA1447" s="2">
        <v>7.72</v>
      </c>
      <c r="DB1447" s="2">
        <v>7.8</v>
      </c>
      <c r="DC1447" s="2">
        <v>8</v>
      </c>
      <c r="DD1447" s="2">
        <v>8.27</v>
      </c>
      <c r="DE1447" s="2">
        <v>8.59</v>
      </c>
      <c r="DF1447" s="2">
        <v>8.869999999999999</v>
      </c>
      <c r="DG1447" s="2">
        <v>9.1</v>
      </c>
      <c r="DH1447" s="2">
        <v>9.5</v>
      </c>
      <c r="DI1447" s="2">
        <v>9.970000000000001</v>
      </c>
      <c r="DJ1447" s="2">
        <v>10.28</v>
      </c>
      <c r="DK1447" s="2">
        <v>10.72</v>
      </c>
      <c r="DL1447" s="2">
        <v>11.07</v>
      </c>
      <c r="DM1447" s="2">
        <v>11.11</v>
      </c>
      <c r="DN1447" s="2">
        <v>11.78</v>
      </c>
      <c r="DO1447" s="2">
        <v>12.1</v>
      </c>
      <c r="DP1447" s="2">
        <v>12.41</v>
      </c>
      <c r="DQ1447" s="2">
        <v>12.73</v>
      </c>
      <c r="DR1447" s="2">
        <v>13.47</v>
      </c>
      <c r="DS1447" s="2">
        <v>13.83</v>
      </c>
      <c r="DT1447" s="2">
        <v>14.22</v>
      </c>
      <c r="DU1447" s="2">
        <v>14.5</v>
      </c>
      <c r="DV1447" s="2">
        <v>14.81</v>
      </c>
      <c r="DW1447" s="2">
        <v>14.97</v>
      </c>
      <c r="DX1447" s="2">
        <v>15.37</v>
      </c>
      <c r="DY1447" s="2">
        <v>15.6</v>
      </c>
      <c r="DZ1447" s="2">
        <v>15.88</v>
      </c>
      <c r="EA1447" s="2">
        <v>16.19</v>
      </c>
      <c r="EB1447" s="2">
        <v>16.59</v>
      </c>
      <c r="EC1447" s="2">
        <v>17.06</v>
      </c>
      <c r="ED1447" s="2">
        <v>17.53</v>
      </c>
      <c r="EE1447" s="2">
        <v>17.81</v>
      </c>
      <c r="EF1447" s="2">
        <v>18.36</v>
      </c>
      <c r="EG1447" s="2">
        <v>18.71</v>
      </c>
      <c r="EH1447" s="2">
        <v>19.11</v>
      </c>
      <c r="EI1447" s="2">
        <v>19.54</v>
      </c>
      <c r="EJ1447" s="2">
        <v>19.98</v>
      </c>
      <c r="EK1447" s="2">
        <v>20.41</v>
      </c>
      <c r="EL1447" s="2">
        <v>21.32</v>
      </c>
      <c r="EM1447" s="2">
        <v>21.59</v>
      </c>
      <c r="EN1447" s="2">
        <v>22.1</v>
      </c>
      <c r="EO1447" s="2">
        <v>22.89</v>
      </c>
      <c r="EP1447" s="2">
        <v>23.48</v>
      </c>
      <c r="EQ1447" s="2">
        <v>23.99</v>
      </c>
      <c r="ER1447" s="2">
        <v>24.66</v>
      </c>
      <c r="ES1447" s="2">
        <v>25.06</v>
      </c>
      <c r="ET1447" s="2">
        <v>25.81</v>
      </c>
      <c r="EU1447" s="2">
        <v>25.65</v>
      </c>
      <c r="EV1447" s="2">
        <v>25.73</v>
      </c>
      <c r="EW1447" s="2">
        <v>26.12</v>
      </c>
      <c r="EX1447" s="2">
        <v>26.44</v>
      </c>
      <c r="EY1447" s="2">
        <v>26.75</v>
      </c>
      <c r="EZ1447" s="2">
        <v>27.54</v>
      </c>
      <c r="FA1447" s="2">
        <v>28.13</v>
      </c>
      <c r="FB1447" s="2">
        <v>28.6</v>
      </c>
      <c r="FC1447" s="2">
        <v>29.39</v>
      </c>
      <c r="FD1447" s="2">
        <v>29.83</v>
      </c>
      <c r="FE1447" s="2">
        <v>30.61</v>
      </c>
      <c r="FF1447" s="2">
        <v>31.52</v>
      </c>
      <c r="FG1447" s="2">
        <v>32.11</v>
      </c>
      <c r="FH1447" s="2">
        <v>32.62</v>
      </c>
      <c r="FI1447" s="2">
        <v>33.21</v>
      </c>
      <c r="FJ1447" s="2">
        <v>33.77</v>
      </c>
      <c r="FK1447" s="2">
        <v>34.28</v>
      </c>
      <c r="FL1447" s="2">
        <v>34.91</v>
      </c>
      <c r="FM1447" s="2">
        <v>35.42</v>
      </c>
      <c r="FN1447" s="2">
        <v>36.05</v>
      </c>
      <c r="FO1447" s="2">
        <v>36.52</v>
      </c>
      <c r="FP1447" s="2">
        <v>37.51</v>
      </c>
      <c r="FQ1447" s="2">
        <v>38.34</v>
      </c>
      <c r="FR1447" s="2">
        <v>39.08</v>
      </c>
      <c r="FS1447" s="2">
        <v>39.68</v>
      </c>
      <c r="FT1447" s="2">
        <v>40.46</v>
      </c>
      <c r="FU1447" s="2">
        <v>40.78</v>
      </c>
      <c r="FV1447" s="2">
        <v>42</v>
      </c>
      <c r="FW1447" s="2">
        <v>41.8</v>
      </c>
      <c r="FX1447" s="2">
        <v>42.08</v>
      </c>
      <c r="FY1447" s="2">
        <v>42.39</v>
      </c>
      <c r="FZ1447" s="2">
        <v>42.71</v>
      </c>
      <c r="GA1447" s="2">
        <v>42.67</v>
      </c>
      <c r="GB1447" s="2">
        <v>42.63</v>
      </c>
      <c r="GC1447" s="2">
        <v>42.51</v>
      </c>
      <c r="GD1447" s="2">
        <v>42.63</v>
      </c>
      <c r="GE1447" s="2">
        <v>43.14</v>
      </c>
      <c r="GF1447" s="2">
        <v>43.38</v>
      </c>
      <c r="GG1447" s="2">
        <v>43.54</v>
      </c>
      <c r="GH1447" s="2">
        <v>43.66</v>
      </c>
      <c r="GI1447" s="2">
        <v>43.81</v>
      </c>
      <c r="GJ1447" s="2">
        <v>44.13</v>
      </c>
      <c r="GK1447" s="2">
        <v>44.21</v>
      </c>
      <c r="GL1447" s="2">
        <v>44.56</v>
      </c>
      <c r="GM1447" s="2">
        <v>45.31</v>
      </c>
      <c r="GN1447" s="2">
        <v>45.78</v>
      </c>
      <c r="GO1447" s="2">
        <v>46.33</v>
      </c>
      <c r="GP1447" s="2">
        <v>46.69</v>
      </c>
      <c r="GQ1447" s="2">
        <v>46.61</v>
      </c>
      <c r="GR1447" s="2">
        <v>46.96</v>
      </c>
      <c r="GS1447" s="2">
        <v>47.12</v>
      </c>
      <c r="GT1447" s="2">
        <v>47.24</v>
      </c>
      <c r="GU1447" s="2">
        <v>47.32</v>
      </c>
      <c r="GV1447" s="2">
        <v>47.24</v>
      </c>
      <c r="GW1447" s="2">
        <v>47.08</v>
      </c>
      <c r="GX1447" s="2">
        <v>47.2</v>
      </c>
      <c r="GY1447" s="2">
        <v>47.12</v>
      </c>
      <c r="GZ1447" s="2">
        <v>47.4</v>
      </c>
      <c r="HA1447" s="2">
        <v>47.42</v>
      </c>
      <c r="HB1447" s="2">
        <v>47.6</v>
      </c>
      <c r="HC1447" s="2">
        <v>47.67</v>
      </c>
      <c r="HD1447" s="2">
        <v>47.87</v>
      </c>
      <c r="HE1447" s="2">
        <v>48.34</v>
      </c>
      <c r="HF1447" s="2">
        <v>48.65</v>
      </c>
      <c r="HG1447" s="2">
        <v>49.15</v>
      </c>
      <c r="HH1447" s="2">
        <v>49.48</v>
      </c>
      <c r="HI1447" s="2">
        <v>51.36</v>
      </c>
      <c r="HJ1447" s="2">
        <v>51.53</v>
      </c>
      <c r="HK1447" s="2">
        <v>52.07</v>
      </c>
      <c r="HL1447" s="2">
        <v>52.4</v>
      </c>
      <c r="HM1447" s="2">
        <v>52.65</v>
      </c>
      <c r="HN1447" s="2">
        <v>53.1</v>
      </c>
      <c r="HO1447" s="2">
        <v>53.6</v>
      </c>
      <c r="HP1447" s="2">
        <v>53.92</v>
      </c>
      <c r="HQ1447" s="2">
        <v>54.31</v>
      </c>
      <c r="HR1447" s="2">
        <v>54.76</v>
      </c>
      <c r="HS1447" s="2">
        <v>55.53</v>
      </c>
      <c r="HT1447" s="2">
        <v>55.51</v>
      </c>
      <c r="HU1447" s="2">
        <v>55.88</v>
      </c>
      <c r="HV1447" s="2">
        <v>55.98</v>
      </c>
      <c r="HW1447" s="2">
        <v>56.55</v>
      </c>
      <c r="HX1447" s="2">
        <v>56.68</v>
      </c>
      <c r="HY1447" s="2">
        <v>56.83</v>
      </c>
      <c r="HZ1447" s="2">
        <v>57.25</v>
      </c>
      <c r="IA1447" s="2">
        <v>57.66</v>
      </c>
      <c r="IB1447" s="2">
        <v>57.88</v>
      </c>
      <c r="IC1447" s="2">
        <v>58.53</v>
      </c>
      <c r="ID1447" s="2">
        <v>58.77</v>
      </c>
      <c r="IE1447" s="2">
        <v>59.29</v>
      </c>
      <c r="IF1447" s="2">
        <v>60.12</v>
      </c>
      <c r="IG1447" s="2">
        <v>60.55</v>
      </c>
      <c r="IH1447" s="2">
        <v>60.47</v>
      </c>
      <c r="II1447" s="2">
        <v>60.62</v>
      </c>
      <c r="IJ1447" s="2">
        <v>61.31</v>
      </c>
      <c r="IK1447" s="2">
        <v>61.82</v>
      </c>
      <c r="IL1447" s="2">
        <v>62.43</v>
      </c>
      <c r="IM1447" s="2">
        <v>63.26</v>
      </c>
      <c r="IN1447" s="2">
        <v>64.01000000000001</v>
      </c>
      <c r="IO1447" s="2">
        <v>64.76000000000001</v>
      </c>
      <c r="IP1447" s="2">
        <v>64.41</v>
      </c>
      <c r="IQ1447" s="2">
        <v>64.56</v>
      </c>
      <c r="IR1447" s="2">
        <v>64.79000000000001</v>
      </c>
      <c r="IS1447" s="2">
        <v>65.16</v>
      </c>
      <c r="IT1447" s="2">
        <v>65.55</v>
      </c>
      <c r="IU1447" s="2">
        <v>66.37</v>
      </c>
      <c r="IV1447" s="2">
        <v>66.79000000000001</v>
      </c>
      <c r="IW1447" s="2">
        <v>67.16</v>
      </c>
      <c r="IX1447" s="2">
        <v>67.55</v>
      </c>
      <c r="IY1447" s="2">
        <v>68.72</v>
      </c>
      <c r="IZ1447" s="2">
        <v>69.19</v>
      </c>
      <c r="JA1447" s="2">
        <v>69.62</v>
      </c>
      <c r="JB1447" s="2">
        <v>69.67</v>
      </c>
      <c r="JC1447" s="2">
        <v>69.68000000000001</v>
      </c>
      <c r="JD1447" s="2">
        <v>70.01000000000001</v>
      </c>
      <c r="JE1447" s="2">
        <v>70.83</v>
      </c>
      <c r="JF1447" s="2">
        <v>71.14</v>
      </c>
      <c r="JG1447" s="2">
        <v>71.43000000000001</v>
      </c>
      <c r="JH1447" s="2">
        <v>71.54000000000001</v>
      </c>
      <c r="JI1447" s="2">
        <v>72.51000000000001</v>
      </c>
      <c r="JJ1447" s="2">
        <v>73.08</v>
      </c>
      <c r="JK1447" s="2">
        <v>73.45</v>
      </c>
      <c r="JL1447" s="2">
        <v>73.89</v>
      </c>
      <c r="JM1447" s="2">
        <v>73.98</v>
      </c>
      <c r="JN1447" s="2">
        <v>74.14</v>
      </c>
      <c r="JO1447" s="2">
        <v>74.20999999999999</v>
      </c>
      <c r="JP1447" s="2">
        <v>74.72</v>
      </c>
      <c r="JQ1447" s="2">
        <v>75.06</v>
      </c>
      <c r="JR1447" s="2">
        <v>75.5</v>
      </c>
      <c r="JS1447" s="2">
        <v>75.44</v>
      </c>
      <c r="JT1447" s="2">
        <v>75.77</v>
      </c>
      <c r="JU1447" s="2">
        <v>76.13</v>
      </c>
      <c r="JV1447" s="2">
        <v>76.66</v>
      </c>
      <c r="KA1447" s="2">
        <v>77.31999999999999</v>
      </c>
      <c r="KB1447" s="2">
        <v>77.45</v>
      </c>
      <c r="KC1447" s="2">
        <v>77.79000000000001</v>
      </c>
      <c r="KD1447" s="2">
        <v>78.33</v>
      </c>
      <c r="KQ1447" s="2">
        <v>79.05</v>
      </c>
      <c r="KR1447" s="2">
        <v>79.34</v>
      </c>
      <c r="KS1447" s="2">
        <v>79.53</v>
      </c>
      <c r="KT1447" s="2">
        <v>79.95</v>
      </c>
      <c r="LG1447" s="2">
        <v>80.02</v>
      </c>
      <c r="LH1447" s="2">
        <v>80.38</v>
      </c>
      <c r="LI1447" s="2">
        <v>80.84999999999999</v>
      </c>
      <c r="LJ1447" s="2">
        <v>81.56</v>
      </c>
      <c r="LW1447" s="2">
        <v>82.15000000000001</v>
      </c>
      <c r="LX1447" s="2">
        <v>80.69</v>
      </c>
      <c r="LY1447" s="2">
        <v>81.42</v>
      </c>
      <c r="LZ1447" s="2">
        <v>82.59999999999999</v>
      </c>
      <c r="MM1447" s="2">
        <v>82.84999999999999</v>
      </c>
      <c r="MN1447" s="2">
        <v>83.06999999999999</v>
      </c>
      <c r="MO1447" s="2">
        <v>83.75</v>
      </c>
      <c r="MP1447" s="2">
        <v>84.7</v>
      </c>
      <c r="NC1447" s="2">
        <v>86.64</v>
      </c>
      <c r="ND1447" s="2">
        <v>88.16</v>
      </c>
      <c r="NE1447" s="2">
        <v>89.98999999999999</v>
      </c>
      <c r="NF1447" s="2">
        <v>91.41</v>
      </c>
      <c r="NS1447" s="2">
        <v>92.55</v>
      </c>
      <c r="NT1447" s="2">
        <v>93.14</v>
      </c>
      <c r="NU1447" s="2">
        <v>94.34999999999999</v>
      </c>
      <c r="NV1447" s="2">
        <v>94.94</v>
      </c>
      <c r="OI1447" s="2">
        <v>95.89</v>
      </c>
      <c r="OJ1447" s="2">
        <v>96.51000000000001</v>
      </c>
      <c r="OK1447" s="2">
        <v>97.15000000000001</v>
      </c>
      <c r="OL1447" s="2">
        <v>97.29000000000001</v>
      </c>
      <c r="OY1447" s="2">
        <v>98.11</v>
      </c>
      <c r="OZ1447" s="2">
        <v>98.48</v>
      </c>
      <c r="PA1447" s="2">
        <v>99.66</v>
      </c>
      <c r="PB1447" s="2">
        <v>100.36</v>
      </c>
      <c r="PJ1447" s="2">
        <v>101.79</v>
      </c>
      <c r="PK1447" s="2">
        <v>101.96</v>
      </c>
    </row>
    <row r="1448">
      <c r="A1448" t="inlineStr">
        <is>
          <t>A2325816R</t>
        </is>
      </c>
      <c r="B1448" t="inlineStr">
        <is>
          <t>Index Numbers ;  All groups CPI ;  Brisbane ;</t>
        </is>
      </c>
      <c r="C1448" t="inlineStr">
        <is>
          <t>Quarter</t>
        </is>
      </c>
      <c r="D1448" t="inlineStr">
        <is>
          <t>Index Numbers</t>
        </is>
      </c>
      <c r="E1448" t="inlineStr">
        <is>
          <t>Original</t>
        </is>
      </c>
      <c r="F1448" t="inlineStr">
        <is>
          <t>6401017.xlsx</t>
        </is>
      </c>
      <c r="G1448" t="inlineStr">
        <is>
          <t>1948Q3</t>
        </is>
      </c>
      <c r="H1448" t="inlineStr">
        <is>
          <t>2026Q2</t>
        </is>
      </c>
      <c r="I1448" s="2">
        <v>2.51</v>
      </c>
      <c r="J1448" s="2">
        <v>2.54</v>
      </c>
      <c r="K1448" s="2">
        <v>2.58</v>
      </c>
      <c r="L1448" s="2">
        <v>2.65</v>
      </c>
      <c r="M1448" s="2">
        <v>2.73</v>
      </c>
      <c r="N1448" s="2">
        <v>2.76</v>
      </c>
      <c r="O1448" s="2">
        <v>2.8</v>
      </c>
      <c r="P1448" s="2">
        <v>2.87</v>
      </c>
      <c r="Q1448" s="2">
        <v>2.91</v>
      </c>
      <c r="R1448" s="2">
        <v>3.02</v>
      </c>
      <c r="S1448" s="2">
        <v>3.17</v>
      </c>
      <c r="T1448" s="2">
        <v>3.35</v>
      </c>
      <c r="U1448" s="2">
        <v>3.5</v>
      </c>
      <c r="V1448" s="2">
        <v>3.8</v>
      </c>
      <c r="W1448" s="2">
        <v>3.94</v>
      </c>
      <c r="X1448" s="2">
        <v>4.02</v>
      </c>
      <c r="Y1448" s="2">
        <v>4.13</v>
      </c>
      <c r="Z1448" s="2">
        <v>4.13</v>
      </c>
      <c r="AA1448" s="2">
        <v>4.16</v>
      </c>
      <c r="AB1448" s="2">
        <v>4.2</v>
      </c>
      <c r="AC1448" s="2">
        <v>4.2</v>
      </c>
      <c r="AD1448" s="2">
        <v>4.24</v>
      </c>
      <c r="AE1448" s="2">
        <v>4.24</v>
      </c>
      <c r="AF1448" s="2">
        <v>4.24</v>
      </c>
      <c r="AG1448" s="2">
        <v>4.24</v>
      </c>
      <c r="AH1448" s="2">
        <v>4.24</v>
      </c>
      <c r="AI1448" s="2">
        <v>4.28</v>
      </c>
      <c r="AJ1448" s="2">
        <v>4.31</v>
      </c>
      <c r="AK1448" s="2">
        <v>4.31</v>
      </c>
      <c r="AL1448" s="2">
        <v>4.35</v>
      </c>
      <c r="AM1448" s="2">
        <v>4.42</v>
      </c>
      <c r="AN1448" s="2">
        <v>4.53</v>
      </c>
      <c r="AO1448" s="2">
        <v>4.64</v>
      </c>
      <c r="AP1448" s="2">
        <v>4.64</v>
      </c>
      <c r="AQ1448" s="2">
        <v>4.64</v>
      </c>
      <c r="AR1448" s="2">
        <v>4.68</v>
      </c>
      <c r="AS1448" s="2">
        <v>4.68</v>
      </c>
      <c r="AT1448" s="2">
        <v>4.72</v>
      </c>
      <c r="AU1448" s="2">
        <v>4.75</v>
      </c>
      <c r="AV1448" s="2">
        <v>4.79</v>
      </c>
      <c r="AW1448" s="2">
        <v>4.83</v>
      </c>
      <c r="AX1448" s="2">
        <v>4.9</v>
      </c>
      <c r="AY1448" s="2">
        <v>4.94</v>
      </c>
      <c r="AZ1448" s="2">
        <v>4.94</v>
      </c>
      <c r="BA1448" s="2">
        <v>4.98</v>
      </c>
      <c r="BB1448" s="2">
        <v>5.01</v>
      </c>
      <c r="BC1448" s="2">
        <v>5.05</v>
      </c>
      <c r="BD1448" s="2">
        <v>5.05</v>
      </c>
      <c r="BE1448" s="2">
        <v>5.12</v>
      </c>
      <c r="BF1448" s="2">
        <v>5.2</v>
      </c>
      <c r="BG1448" s="2">
        <v>5.27</v>
      </c>
      <c r="BH1448" s="2">
        <v>5.23</v>
      </c>
      <c r="BI1448" s="2">
        <v>5.27</v>
      </c>
      <c r="BJ1448" s="2">
        <v>5.27</v>
      </c>
      <c r="BK1448" s="2">
        <v>5.31</v>
      </c>
      <c r="BL1448" s="2">
        <v>5.31</v>
      </c>
      <c r="BM1448" s="2">
        <v>5.31</v>
      </c>
      <c r="BN1448" s="2">
        <v>5.31</v>
      </c>
      <c r="BO1448" s="2">
        <v>5.31</v>
      </c>
      <c r="BP1448" s="2">
        <v>5.31</v>
      </c>
      <c r="BQ1448" s="2">
        <v>5.34</v>
      </c>
      <c r="BR1448" s="2">
        <v>5.34</v>
      </c>
      <c r="BS1448" s="2">
        <v>5.38</v>
      </c>
      <c r="BT1448" s="2">
        <v>5.42</v>
      </c>
      <c r="BU1448" s="2">
        <v>5.49</v>
      </c>
      <c r="BV1448" s="2">
        <v>5.53</v>
      </c>
      <c r="BW1448" s="2">
        <v>5.6</v>
      </c>
      <c r="BX1448" s="2">
        <v>5.64</v>
      </c>
      <c r="BY1448" s="2">
        <v>5.75</v>
      </c>
      <c r="BZ1448" s="2">
        <v>5.82</v>
      </c>
      <c r="CA1448" s="2">
        <v>5.86</v>
      </c>
      <c r="CB1448" s="2">
        <v>5.9</v>
      </c>
      <c r="CC1448" s="2">
        <v>5.93</v>
      </c>
      <c r="CD1448" s="2">
        <v>5.97</v>
      </c>
      <c r="CE1448" s="2">
        <v>6.01</v>
      </c>
      <c r="CF1448" s="2">
        <v>6.04</v>
      </c>
      <c r="CG1448" s="2">
        <v>6.16</v>
      </c>
      <c r="CH1448" s="2">
        <v>6.16</v>
      </c>
      <c r="CI1448" s="2">
        <v>6.19</v>
      </c>
      <c r="CJ1448" s="2">
        <v>6.19</v>
      </c>
      <c r="CK1448" s="2">
        <v>6.27</v>
      </c>
      <c r="CL1448" s="2">
        <v>6.3</v>
      </c>
      <c r="CM1448" s="2">
        <v>6.34</v>
      </c>
      <c r="CN1448" s="2">
        <v>6.38</v>
      </c>
      <c r="CO1448" s="2">
        <v>6.41</v>
      </c>
      <c r="CP1448" s="2">
        <v>6.45</v>
      </c>
      <c r="CQ1448" s="2">
        <v>6.52</v>
      </c>
      <c r="CR1448" s="2">
        <v>6.56</v>
      </c>
      <c r="CS1448" s="2">
        <v>6.63</v>
      </c>
      <c r="CT1448" s="2">
        <v>6.78</v>
      </c>
      <c r="CU1448" s="2">
        <v>6.89</v>
      </c>
      <c r="CV1448" s="2">
        <v>7</v>
      </c>
      <c r="CW1448" s="2">
        <v>7.11</v>
      </c>
      <c r="CX1448" s="2">
        <v>7.26</v>
      </c>
      <c r="CY1448" s="2">
        <v>7.33</v>
      </c>
      <c r="CZ1448" s="2">
        <v>7.41</v>
      </c>
      <c r="DA1448" s="2">
        <v>7.45</v>
      </c>
      <c r="DB1448" s="2">
        <v>7.56</v>
      </c>
      <c r="DC1448" s="2">
        <v>7.74</v>
      </c>
      <c r="DD1448" s="2">
        <v>8</v>
      </c>
      <c r="DE1448" s="2">
        <v>8.33</v>
      </c>
      <c r="DF1448" s="2">
        <v>8.619999999999999</v>
      </c>
      <c r="DG1448" s="2">
        <v>8.85</v>
      </c>
      <c r="DH1448" s="2">
        <v>9.140000000000001</v>
      </c>
      <c r="DI1448" s="2">
        <v>9.66</v>
      </c>
      <c r="DJ1448" s="2">
        <v>9.949999999999999</v>
      </c>
      <c r="DK1448" s="2">
        <v>10.21</v>
      </c>
      <c r="DL1448" s="2">
        <v>10.5</v>
      </c>
      <c r="DM1448" s="2">
        <v>10.69</v>
      </c>
      <c r="DN1448" s="2">
        <v>11.35</v>
      </c>
      <c r="DO1448" s="2">
        <v>11.68</v>
      </c>
      <c r="DP1448" s="2">
        <v>11.98</v>
      </c>
      <c r="DQ1448" s="2">
        <v>12.27</v>
      </c>
      <c r="DR1448" s="2">
        <v>13.01</v>
      </c>
      <c r="DS1448" s="2">
        <v>13.31</v>
      </c>
      <c r="DT1448" s="2">
        <v>13.56</v>
      </c>
      <c r="DU1448" s="2">
        <v>13.82</v>
      </c>
      <c r="DV1448" s="2">
        <v>14.12</v>
      </c>
      <c r="DW1448" s="2">
        <v>14.37</v>
      </c>
      <c r="DX1448" s="2">
        <v>14.67</v>
      </c>
      <c r="DY1448" s="2">
        <v>14.93</v>
      </c>
      <c r="DZ1448" s="2">
        <v>15.41</v>
      </c>
      <c r="EA1448" s="2">
        <v>15.52</v>
      </c>
      <c r="EB1448" s="2">
        <v>15.85</v>
      </c>
      <c r="EC1448" s="2">
        <v>16.22</v>
      </c>
      <c r="ED1448" s="2">
        <v>16.73</v>
      </c>
      <c r="EE1448" s="2">
        <v>17.18</v>
      </c>
      <c r="EF1448" s="2">
        <v>17.58</v>
      </c>
      <c r="EG1448" s="2">
        <v>17.88</v>
      </c>
      <c r="EH1448" s="2">
        <v>18.28</v>
      </c>
      <c r="EI1448" s="2">
        <v>18.65</v>
      </c>
      <c r="EJ1448" s="2">
        <v>19.17</v>
      </c>
      <c r="EK1448" s="2">
        <v>19.61</v>
      </c>
      <c r="EL1448" s="2">
        <v>20.35</v>
      </c>
      <c r="EM1448" s="2">
        <v>20.82</v>
      </c>
      <c r="EN1448" s="2">
        <v>21.12</v>
      </c>
      <c r="EO1448" s="2">
        <v>21.82</v>
      </c>
      <c r="EP1448" s="2">
        <v>22.56</v>
      </c>
      <c r="EQ1448" s="2">
        <v>23.11</v>
      </c>
      <c r="ER1448" s="2">
        <v>23.4</v>
      </c>
      <c r="ES1448" s="2">
        <v>23.92</v>
      </c>
      <c r="ET1448" s="2">
        <v>24.4</v>
      </c>
      <c r="EU1448" s="2">
        <v>24.47</v>
      </c>
      <c r="EV1448" s="2">
        <v>24.66</v>
      </c>
      <c r="EW1448" s="2">
        <v>24.99</v>
      </c>
      <c r="EX1448" s="2">
        <v>25.25</v>
      </c>
      <c r="EY1448" s="2">
        <v>25.65</v>
      </c>
      <c r="EZ1448" s="2">
        <v>26.1</v>
      </c>
      <c r="FA1448" s="2">
        <v>26.76</v>
      </c>
      <c r="FB1448" s="2">
        <v>27.27</v>
      </c>
      <c r="FC1448" s="2">
        <v>27.94</v>
      </c>
      <c r="FD1448" s="2">
        <v>28.23</v>
      </c>
      <c r="FE1448" s="2">
        <v>28.93</v>
      </c>
      <c r="FF1448" s="2">
        <v>29.71</v>
      </c>
      <c r="FG1448" s="2">
        <v>30.33</v>
      </c>
      <c r="FH1448" s="2">
        <v>30.7</v>
      </c>
      <c r="FI1448" s="2">
        <v>31.14</v>
      </c>
      <c r="FJ1448" s="2">
        <v>31.73</v>
      </c>
      <c r="FK1448" s="2">
        <v>32.29</v>
      </c>
      <c r="FL1448" s="2">
        <v>32.91</v>
      </c>
      <c r="FM1448" s="2">
        <v>33.39</v>
      </c>
      <c r="FN1448" s="2">
        <v>33.98</v>
      </c>
      <c r="FO1448" s="2">
        <v>34.46</v>
      </c>
      <c r="FP1448" s="2">
        <v>35.31</v>
      </c>
      <c r="FQ1448" s="2">
        <v>35.97</v>
      </c>
      <c r="FR1448" s="2">
        <v>36.6</v>
      </c>
      <c r="FS1448" s="2">
        <v>37.15</v>
      </c>
      <c r="FT1448" s="2">
        <v>37.67</v>
      </c>
      <c r="FU1448" s="2">
        <v>37.89</v>
      </c>
      <c r="FV1448" s="2">
        <v>38.85</v>
      </c>
      <c r="FW1448" s="2">
        <v>38.96</v>
      </c>
      <c r="FX1448" s="2">
        <v>38.96</v>
      </c>
      <c r="FY1448" s="2">
        <v>39.11</v>
      </c>
      <c r="FZ1448" s="2">
        <v>39.55</v>
      </c>
      <c r="GA1448" s="2">
        <v>39.62</v>
      </c>
      <c r="GB1448" s="2">
        <v>39.44</v>
      </c>
      <c r="GC1448" s="2">
        <v>39.4</v>
      </c>
      <c r="GD1448" s="2">
        <v>39.84</v>
      </c>
      <c r="GE1448" s="2">
        <v>40.21</v>
      </c>
      <c r="GF1448" s="2">
        <v>40.43</v>
      </c>
      <c r="GG1448" s="2">
        <v>40.51</v>
      </c>
      <c r="GH1448" s="2">
        <v>40.62</v>
      </c>
      <c r="GI1448" s="2">
        <v>40.84</v>
      </c>
      <c r="GJ1448" s="2">
        <v>41.1</v>
      </c>
      <c r="GK1448" s="2">
        <v>41.46</v>
      </c>
      <c r="GL1448" s="2">
        <v>41.91</v>
      </c>
      <c r="GM1448" s="2">
        <v>42.68</v>
      </c>
      <c r="GN1448" s="2">
        <v>43.09</v>
      </c>
      <c r="GO1448" s="2">
        <v>43.46</v>
      </c>
      <c r="GP1448" s="2">
        <v>43.71</v>
      </c>
      <c r="GQ1448" s="2">
        <v>44.08</v>
      </c>
      <c r="GR1448" s="2">
        <v>44.38</v>
      </c>
      <c r="GS1448" s="2">
        <v>44.45</v>
      </c>
      <c r="GT1448" s="2">
        <v>44.52</v>
      </c>
      <c r="GU1448" s="2">
        <v>44.78</v>
      </c>
      <c r="GV1448" s="2">
        <v>44.63</v>
      </c>
      <c r="GW1448" s="2">
        <v>44.49</v>
      </c>
      <c r="GX1448" s="2">
        <v>44.75</v>
      </c>
      <c r="GY1448" s="2">
        <v>44.93</v>
      </c>
      <c r="GZ1448" s="2">
        <v>45.08</v>
      </c>
      <c r="HA1448" s="2">
        <v>45.15</v>
      </c>
      <c r="HB1448" s="2">
        <v>45.33</v>
      </c>
      <c r="HC1448" s="2">
        <v>45.25</v>
      </c>
      <c r="HD1448" s="2">
        <v>45.37</v>
      </c>
      <c r="HE1448" s="2">
        <v>45.69</v>
      </c>
      <c r="HF1448" s="2">
        <v>45.74</v>
      </c>
      <c r="HG1448" s="2">
        <v>46.25</v>
      </c>
      <c r="HH1448" s="2">
        <v>46.57</v>
      </c>
      <c r="HI1448" s="2">
        <v>48.38</v>
      </c>
      <c r="HJ1448" s="2">
        <v>48.49</v>
      </c>
      <c r="HK1448" s="2">
        <v>48.89</v>
      </c>
      <c r="HL1448" s="2">
        <v>49.38</v>
      </c>
      <c r="HM1448" s="2">
        <v>49.46</v>
      </c>
      <c r="HN1448" s="2">
        <v>50.07</v>
      </c>
      <c r="HO1448" s="2">
        <v>50.53</v>
      </c>
      <c r="HP1448" s="2">
        <v>50.91</v>
      </c>
      <c r="HQ1448" s="2">
        <v>51.3</v>
      </c>
      <c r="HR1448" s="2">
        <v>51.57</v>
      </c>
      <c r="HS1448" s="2">
        <v>52.25</v>
      </c>
      <c r="HT1448" s="2">
        <v>52.28</v>
      </c>
      <c r="HU1448" s="2">
        <v>52.81</v>
      </c>
      <c r="HV1448" s="2">
        <v>53.16</v>
      </c>
      <c r="HW1448" s="2">
        <v>53.6</v>
      </c>
      <c r="HX1448" s="2">
        <v>53.92</v>
      </c>
      <c r="HY1448" s="2">
        <v>54.13</v>
      </c>
      <c r="HZ1448" s="2">
        <v>54.54</v>
      </c>
      <c r="IA1448" s="2">
        <v>54.98</v>
      </c>
      <c r="IB1448" s="2">
        <v>55.28</v>
      </c>
      <c r="IC1448" s="2">
        <v>55.63</v>
      </c>
      <c r="ID1448" s="2">
        <v>56.06</v>
      </c>
      <c r="IE1448" s="2">
        <v>56.57</v>
      </c>
      <c r="IF1448" s="2">
        <v>57.56</v>
      </c>
      <c r="IG1448" s="2">
        <v>58.06</v>
      </c>
      <c r="IH1448" s="2">
        <v>58</v>
      </c>
      <c r="II1448" s="2">
        <v>58.23</v>
      </c>
      <c r="IJ1448" s="2">
        <v>59.05</v>
      </c>
      <c r="IK1448" s="2">
        <v>59.61</v>
      </c>
      <c r="IL1448" s="2">
        <v>60.24</v>
      </c>
      <c r="IM1448" s="2">
        <v>61.02</v>
      </c>
      <c r="IN1448" s="2">
        <v>62.06</v>
      </c>
      <c r="IO1448" s="2">
        <v>62.94</v>
      </c>
      <c r="IP1448" s="2">
        <v>62.82</v>
      </c>
      <c r="IQ1448" s="2">
        <v>62.95</v>
      </c>
      <c r="IR1448" s="2">
        <v>63.31</v>
      </c>
      <c r="IS1448" s="2">
        <v>64.18000000000001</v>
      </c>
      <c r="IT1448" s="2">
        <v>64.40000000000001</v>
      </c>
      <c r="IU1448" s="2">
        <v>64.87</v>
      </c>
      <c r="IV1448" s="2">
        <v>65.36</v>
      </c>
      <c r="IW1448" s="2">
        <v>66.02</v>
      </c>
      <c r="IX1448" s="2">
        <v>66.34999999999999</v>
      </c>
      <c r="IY1448" s="2">
        <v>67.2</v>
      </c>
      <c r="IZ1448" s="2">
        <v>67.84999999999999</v>
      </c>
      <c r="JA1448" s="2">
        <v>68.06999999999999</v>
      </c>
      <c r="JB1448" s="2">
        <v>67.95999999999999</v>
      </c>
      <c r="JC1448" s="2">
        <v>68.06999999999999</v>
      </c>
      <c r="JD1448" s="2">
        <v>68.45999999999999</v>
      </c>
      <c r="JE1448" s="2">
        <v>69.25</v>
      </c>
      <c r="JF1448" s="2">
        <v>69.45</v>
      </c>
      <c r="JG1448" s="2">
        <v>69.48999999999999</v>
      </c>
      <c r="JH1448" s="2">
        <v>69.84</v>
      </c>
      <c r="JI1448" s="2">
        <v>70.7</v>
      </c>
      <c r="JJ1448" s="2">
        <v>71.26000000000001</v>
      </c>
      <c r="JK1448" s="2">
        <v>71.69</v>
      </c>
      <c r="JL1448" s="2">
        <v>72.09999999999999</v>
      </c>
      <c r="JM1448" s="2">
        <v>72.56999999999999</v>
      </c>
      <c r="JN1448" s="2">
        <v>72.73999999999999</v>
      </c>
      <c r="JO1448" s="2">
        <v>72.7</v>
      </c>
      <c r="JP1448" s="2">
        <v>73.20999999999999</v>
      </c>
      <c r="JQ1448" s="2">
        <v>73.66</v>
      </c>
      <c r="JR1448" s="2">
        <v>73.93000000000001</v>
      </c>
      <c r="JS1448" s="2">
        <v>73.91</v>
      </c>
      <c r="JT1448" s="2">
        <v>74.27</v>
      </c>
      <c r="JU1448" s="2">
        <v>74.72</v>
      </c>
      <c r="JV1448" s="2">
        <v>75.09</v>
      </c>
      <c r="KA1448" s="2">
        <v>75.31</v>
      </c>
      <c r="KB1448" s="2">
        <v>75.61</v>
      </c>
      <c r="KC1448" s="2">
        <v>75.89</v>
      </c>
      <c r="KD1448" s="2">
        <v>76.51000000000001</v>
      </c>
      <c r="KQ1448" s="2">
        <v>76.62</v>
      </c>
      <c r="KR1448" s="2">
        <v>76.91</v>
      </c>
      <c r="KS1448" s="2">
        <v>77.28</v>
      </c>
      <c r="KT1448" s="2">
        <v>77.68000000000001</v>
      </c>
      <c r="LG1448" s="2">
        <v>77.72</v>
      </c>
      <c r="LH1448" s="2">
        <v>78.19</v>
      </c>
      <c r="LI1448" s="2">
        <v>78.68000000000001</v>
      </c>
      <c r="LJ1448" s="2">
        <v>79.23</v>
      </c>
      <c r="LW1448" s="2">
        <v>79.20999999999999</v>
      </c>
      <c r="LX1448" s="2">
        <v>77.40000000000001</v>
      </c>
      <c r="LY1448" s="2">
        <v>79.17</v>
      </c>
      <c r="LZ1448" s="2">
        <v>80.06</v>
      </c>
      <c r="MM1448" s="2">
        <v>80.56</v>
      </c>
      <c r="MN1448" s="2">
        <v>81.25</v>
      </c>
      <c r="MO1448" s="2">
        <v>82.25</v>
      </c>
      <c r="MP1448" s="2">
        <v>83.54000000000001</v>
      </c>
      <c r="NC1448" s="2">
        <v>85.41</v>
      </c>
      <c r="ND1448" s="2">
        <v>87.16</v>
      </c>
      <c r="NE1448" s="2">
        <v>88.72</v>
      </c>
      <c r="NF1448" s="2">
        <v>90.01000000000001</v>
      </c>
      <c r="NS1448" s="2">
        <v>91.73</v>
      </c>
      <c r="NT1448" s="2">
        <v>92.67</v>
      </c>
      <c r="NU1448" s="2">
        <v>93.34999999999999</v>
      </c>
      <c r="NV1448" s="2">
        <v>93.81</v>
      </c>
      <c r="OI1448" s="2">
        <v>94.88</v>
      </c>
      <c r="OJ1448" s="2">
        <v>95.78</v>
      </c>
      <c r="OK1448" s="2">
        <v>94.98999999999999</v>
      </c>
      <c r="OL1448" s="2">
        <v>95.54000000000001</v>
      </c>
      <c r="OY1448" s="2">
        <v>97.37</v>
      </c>
      <c r="OZ1448" s="2">
        <v>98.16</v>
      </c>
      <c r="PA1448" s="2">
        <v>99.48</v>
      </c>
      <c r="PB1448" s="2">
        <v>100.38</v>
      </c>
      <c r="PJ1448" s="2">
        <v>101.42</v>
      </c>
      <c r="PK1448" s="2">
        <v>102.17</v>
      </c>
    </row>
    <row r="1449">
      <c r="A1449" t="inlineStr">
        <is>
          <t>A2325821J</t>
        </is>
      </c>
      <c r="B1449" t="inlineStr">
        <is>
          <t>Index Numbers ;  All groups CPI ;  Adelaide ;</t>
        </is>
      </c>
      <c r="C1449" t="inlineStr">
        <is>
          <t>Quarter</t>
        </is>
      </c>
      <c r="D1449" t="inlineStr">
        <is>
          <t>Index Numbers</t>
        </is>
      </c>
      <c r="E1449" t="inlineStr">
        <is>
          <t>Original</t>
        </is>
      </c>
      <c r="F1449" t="inlineStr">
        <is>
          <t>6401017.xlsx</t>
        </is>
      </c>
      <c r="G1449" t="inlineStr">
        <is>
          <t>1948Q3</t>
        </is>
      </c>
      <c r="H1449" t="inlineStr">
        <is>
          <t>2026Q2</t>
        </is>
      </c>
      <c r="I1449" s="2">
        <v>2.64</v>
      </c>
      <c r="J1449" s="2">
        <v>2.68</v>
      </c>
      <c r="K1449" s="2">
        <v>2.75</v>
      </c>
      <c r="L1449" s="2">
        <v>2.79</v>
      </c>
      <c r="M1449" s="2">
        <v>2.83</v>
      </c>
      <c r="N1449" s="2">
        <v>2.86</v>
      </c>
      <c r="O1449" s="2">
        <v>2.9</v>
      </c>
      <c r="P1449" s="2">
        <v>3.02</v>
      </c>
      <c r="Q1449" s="2">
        <v>3.05</v>
      </c>
      <c r="R1449" s="2">
        <v>3.17</v>
      </c>
      <c r="S1449" s="2">
        <v>3.32</v>
      </c>
      <c r="T1449" s="2">
        <v>3.54</v>
      </c>
      <c r="U1449" s="2">
        <v>3.73</v>
      </c>
      <c r="V1449" s="2">
        <v>3.92</v>
      </c>
      <c r="W1449" s="2">
        <v>4.07</v>
      </c>
      <c r="X1449" s="2">
        <v>4.26</v>
      </c>
      <c r="Y1449" s="2">
        <v>4.37</v>
      </c>
      <c r="Z1449" s="2">
        <v>4.33</v>
      </c>
      <c r="AA1449" s="2">
        <v>4.41</v>
      </c>
      <c r="AB1449" s="2">
        <v>4.45</v>
      </c>
      <c r="AC1449" s="2">
        <v>4.49</v>
      </c>
      <c r="AD1449" s="2">
        <v>4.49</v>
      </c>
      <c r="AE1449" s="2">
        <v>4.49</v>
      </c>
      <c r="AF1449" s="2">
        <v>4.49</v>
      </c>
      <c r="AG1449" s="2">
        <v>4.52</v>
      </c>
      <c r="AH1449" s="2">
        <v>4.52</v>
      </c>
      <c r="AI1449" s="2">
        <v>4.56</v>
      </c>
      <c r="AJ1449" s="2">
        <v>4.6</v>
      </c>
      <c r="AK1449" s="2">
        <v>4.6</v>
      </c>
      <c r="AL1449" s="2">
        <v>4.64</v>
      </c>
      <c r="AM1449" s="2">
        <v>4.67</v>
      </c>
      <c r="AN1449" s="2">
        <v>4.82</v>
      </c>
      <c r="AO1449" s="2">
        <v>4.9</v>
      </c>
      <c r="AP1449" s="2">
        <v>4.9</v>
      </c>
      <c r="AQ1449" s="2">
        <v>4.82</v>
      </c>
      <c r="AR1449" s="2">
        <v>4.9</v>
      </c>
      <c r="AS1449" s="2">
        <v>4.9</v>
      </c>
      <c r="AT1449" s="2">
        <v>4.9</v>
      </c>
      <c r="AU1449" s="2">
        <v>4.9</v>
      </c>
      <c r="AV1449" s="2">
        <v>4.94</v>
      </c>
      <c r="AW1449" s="2">
        <v>4.98</v>
      </c>
      <c r="AX1449" s="2">
        <v>5.01</v>
      </c>
      <c r="AY1449" s="2">
        <v>5.05</v>
      </c>
      <c r="AZ1449" s="2">
        <v>5.05</v>
      </c>
      <c r="BA1449" s="2">
        <v>5.09</v>
      </c>
      <c r="BB1449" s="2">
        <v>5.13</v>
      </c>
      <c r="BC1449" s="2">
        <v>5.2</v>
      </c>
      <c r="BD1449" s="2">
        <v>5.28</v>
      </c>
      <c r="BE1449" s="2">
        <v>5.35</v>
      </c>
      <c r="BF1449" s="2">
        <v>5.39</v>
      </c>
      <c r="BG1449" s="2">
        <v>5.43</v>
      </c>
      <c r="BH1449" s="2">
        <v>5.47</v>
      </c>
      <c r="BI1449" s="2">
        <v>5.43</v>
      </c>
      <c r="BJ1449" s="2">
        <v>5.39</v>
      </c>
      <c r="BK1449" s="2">
        <v>5.35</v>
      </c>
      <c r="BL1449" s="2">
        <v>5.35</v>
      </c>
      <c r="BM1449" s="2">
        <v>5.35</v>
      </c>
      <c r="BN1449" s="2">
        <v>5.35</v>
      </c>
      <c r="BO1449" s="2">
        <v>5.35</v>
      </c>
      <c r="BP1449" s="2">
        <v>5.39</v>
      </c>
      <c r="BQ1449" s="2">
        <v>5.39</v>
      </c>
      <c r="BR1449" s="2">
        <v>5.39</v>
      </c>
      <c r="BS1449" s="2">
        <v>5.43</v>
      </c>
      <c r="BT1449" s="2">
        <v>5.5</v>
      </c>
      <c r="BU1449" s="2">
        <v>5.58</v>
      </c>
      <c r="BV1449" s="2">
        <v>5.65</v>
      </c>
      <c r="BW1449" s="2">
        <v>5.65</v>
      </c>
      <c r="BX1449" s="2">
        <v>5.69</v>
      </c>
      <c r="BY1449" s="2">
        <v>5.73</v>
      </c>
      <c r="BZ1449" s="2">
        <v>5.84</v>
      </c>
      <c r="CA1449" s="2">
        <v>5.84</v>
      </c>
      <c r="CB1449" s="2">
        <v>5.92</v>
      </c>
      <c r="CC1449" s="2">
        <v>5.92</v>
      </c>
      <c r="CD1449" s="2">
        <v>5.99</v>
      </c>
      <c r="CE1449" s="2">
        <v>6.03</v>
      </c>
      <c r="CF1449" s="2">
        <v>6.11</v>
      </c>
      <c r="CG1449" s="2">
        <v>6.18</v>
      </c>
      <c r="CH1449" s="2">
        <v>6.14</v>
      </c>
      <c r="CI1449" s="2">
        <v>6.18</v>
      </c>
      <c r="CJ1449" s="2">
        <v>6.26</v>
      </c>
      <c r="CK1449" s="2">
        <v>6.26</v>
      </c>
      <c r="CL1449" s="2">
        <v>6.3</v>
      </c>
      <c r="CM1449" s="2">
        <v>6.33</v>
      </c>
      <c r="CN1449" s="2">
        <v>6.37</v>
      </c>
      <c r="CO1449" s="2">
        <v>6.41</v>
      </c>
      <c r="CP1449" s="2">
        <v>6.45</v>
      </c>
      <c r="CQ1449" s="2">
        <v>6.48</v>
      </c>
      <c r="CR1449" s="2">
        <v>6.6</v>
      </c>
      <c r="CS1449" s="2">
        <v>6.6</v>
      </c>
      <c r="CT1449" s="2">
        <v>6.71</v>
      </c>
      <c r="CU1449" s="2">
        <v>6.79</v>
      </c>
      <c r="CV1449" s="2">
        <v>6.94</v>
      </c>
      <c r="CW1449" s="2">
        <v>6.97</v>
      </c>
      <c r="CX1449" s="2">
        <v>7.16</v>
      </c>
      <c r="CY1449" s="2">
        <v>7.2</v>
      </c>
      <c r="CZ1449" s="2">
        <v>7.28</v>
      </c>
      <c r="DA1449" s="2">
        <v>7.39</v>
      </c>
      <c r="DB1449" s="2">
        <v>7.46</v>
      </c>
      <c r="DC1449" s="2">
        <v>7.61</v>
      </c>
      <c r="DD1449" s="2">
        <v>7.92</v>
      </c>
      <c r="DE1449" s="2">
        <v>8.18</v>
      </c>
      <c r="DF1449" s="2">
        <v>8.52</v>
      </c>
      <c r="DG1449" s="2">
        <v>8.75</v>
      </c>
      <c r="DH1449" s="2">
        <v>9.119999999999999</v>
      </c>
      <c r="DI1449" s="2">
        <v>9.57</v>
      </c>
      <c r="DJ1449" s="2">
        <v>9.99</v>
      </c>
      <c r="DK1449" s="2">
        <v>10.44</v>
      </c>
      <c r="DL1449" s="2">
        <v>10.78</v>
      </c>
      <c r="DM1449" s="2">
        <v>10.71</v>
      </c>
      <c r="DN1449" s="2">
        <v>11.31</v>
      </c>
      <c r="DO1449" s="2">
        <v>11.69</v>
      </c>
      <c r="DP1449" s="2">
        <v>12.02</v>
      </c>
      <c r="DQ1449" s="2">
        <v>12.36</v>
      </c>
      <c r="DR1449" s="2">
        <v>13.19</v>
      </c>
      <c r="DS1449" s="2">
        <v>13.49</v>
      </c>
      <c r="DT1449" s="2">
        <v>13.8</v>
      </c>
      <c r="DU1449" s="2">
        <v>14.14</v>
      </c>
      <c r="DV1449" s="2">
        <v>14.47</v>
      </c>
      <c r="DW1449" s="2">
        <v>14.59</v>
      </c>
      <c r="DX1449" s="2">
        <v>14.89</v>
      </c>
      <c r="DY1449" s="2">
        <v>15.19</v>
      </c>
      <c r="DZ1449" s="2">
        <v>15.42</v>
      </c>
      <c r="EA1449" s="2">
        <v>15.68</v>
      </c>
      <c r="EB1449" s="2">
        <v>16.1</v>
      </c>
      <c r="EC1449" s="2">
        <v>16.4</v>
      </c>
      <c r="ED1449" s="2">
        <v>17.04</v>
      </c>
      <c r="EE1449" s="2">
        <v>17.34</v>
      </c>
      <c r="EF1449" s="2">
        <v>17.87</v>
      </c>
      <c r="EG1449" s="2">
        <v>18.09</v>
      </c>
      <c r="EH1449" s="2">
        <v>18.47</v>
      </c>
      <c r="EI1449" s="2">
        <v>18.96</v>
      </c>
      <c r="EJ1449" s="2">
        <v>19.41</v>
      </c>
      <c r="EK1449" s="2">
        <v>19.83</v>
      </c>
      <c r="EL1449" s="2">
        <v>20.62</v>
      </c>
      <c r="EM1449" s="2">
        <v>20.92</v>
      </c>
      <c r="EN1449" s="2">
        <v>21.45</v>
      </c>
      <c r="EO1449" s="2">
        <v>22.2</v>
      </c>
      <c r="EP1449" s="2">
        <v>22.81</v>
      </c>
      <c r="EQ1449" s="2">
        <v>23.45</v>
      </c>
      <c r="ER1449" s="2">
        <v>24.09</v>
      </c>
      <c r="ES1449" s="2">
        <v>24.43</v>
      </c>
      <c r="ET1449" s="2">
        <v>24.92</v>
      </c>
      <c r="EU1449" s="2">
        <v>24.92</v>
      </c>
      <c r="EV1449" s="2">
        <v>24.95</v>
      </c>
      <c r="EW1449" s="2">
        <v>25.22</v>
      </c>
      <c r="EX1449" s="2">
        <v>25.75</v>
      </c>
      <c r="EY1449" s="2">
        <v>26.12</v>
      </c>
      <c r="EZ1449" s="2">
        <v>26.8</v>
      </c>
      <c r="FA1449" s="2">
        <v>27.37</v>
      </c>
      <c r="FB1449" s="2">
        <v>27.93</v>
      </c>
      <c r="FC1449" s="2">
        <v>28.35</v>
      </c>
      <c r="FD1449" s="2">
        <v>28.91</v>
      </c>
      <c r="FE1449" s="2">
        <v>29.78</v>
      </c>
      <c r="FF1449" s="2">
        <v>30.53</v>
      </c>
      <c r="FG1449" s="2">
        <v>31.06</v>
      </c>
      <c r="FH1449" s="2">
        <v>31.55</v>
      </c>
      <c r="FI1449" s="2">
        <v>31.93</v>
      </c>
      <c r="FJ1449" s="2">
        <v>32.57</v>
      </c>
      <c r="FK1449" s="2">
        <v>33.02</v>
      </c>
      <c r="FL1449" s="2">
        <v>33.59</v>
      </c>
      <c r="FM1449" s="2">
        <v>34.23</v>
      </c>
      <c r="FN1449" s="2">
        <v>34.79</v>
      </c>
      <c r="FO1449" s="2">
        <v>35.51</v>
      </c>
      <c r="FP1449" s="2">
        <v>36.19</v>
      </c>
      <c r="FQ1449" s="2">
        <v>36.83</v>
      </c>
      <c r="FR1449" s="2">
        <v>37.39</v>
      </c>
      <c r="FS1449" s="2">
        <v>37.92</v>
      </c>
      <c r="FT1449" s="2">
        <v>38.64</v>
      </c>
      <c r="FU1449" s="2">
        <v>39.13</v>
      </c>
      <c r="FV1449" s="2">
        <v>40.3</v>
      </c>
      <c r="FW1449" s="2">
        <v>40.22</v>
      </c>
      <c r="FX1449" s="2">
        <v>40.45</v>
      </c>
      <c r="FY1449" s="2">
        <v>40.71</v>
      </c>
      <c r="FZ1449" s="2">
        <v>41.01</v>
      </c>
      <c r="GA1449" s="2">
        <v>41.28</v>
      </c>
      <c r="GB1449" s="2">
        <v>41.24</v>
      </c>
      <c r="GC1449" s="2">
        <v>41.5</v>
      </c>
      <c r="GD1449" s="2">
        <v>41.73</v>
      </c>
      <c r="GE1449" s="2">
        <v>42.07</v>
      </c>
      <c r="GF1449" s="2">
        <v>42.33</v>
      </c>
      <c r="GG1449" s="2">
        <v>42.48</v>
      </c>
      <c r="GH1449" s="2">
        <v>42.52</v>
      </c>
      <c r="GI1449" s="2">
        <v>42.82</v>
      </c>
      <c r="GJ1449" s="2">
        <v>43.12</v>
      </c>
      <c r="GK1449" s="2">
        <v>43.31</v>
      </c>
      <c r="GL1449" s="2">
        <v>43.73</v>
      </c>
      <c r="GM1449" s="2">
        <v>44.4</v>
      </c>
      <c r="GN1449" s="2">
        <v>44.78</v>
      </c>
      <c r="GO1449" s="2">
        <v>45.27</v>
      </c>
      <c r="GP1449" s="2">
        <v>45.65</v>
      </c>
      <c r="GQ1449" s="2">
        <v>45.84</v>
      </c>
      <c r="GR1449" s="2">
        <v>45.99</v>
      </c>
      <c r="GS1449" s="2">
        <v>46.06</v>
      </c>
      <c r="GT1449" s="2">
        <v>46.21</v>
      </c>
      <c r="GU1449" s="2">
        <v>46.21</v>
      </c>
      <c r="GV1449" s="2">
        <v>45.95</v>
      </c>
      <c r="GW1449" s="2">
        <v>45.69</v>
      </c>
      <c r="GX1449" s="2">
        <v>45.69</v>
      </c>
      <c r="GY1449" s="2">
        <v>45.87</v>
      </c>
      <c r="GZ1449" s="2">
        <v>46.14</v>
      </c>
      <c r="HA1449" s="2">
        <v>46.35</v>
      </c>
      <c r="HB1449" s="2">
        <v>46.59</v>
      </c>
      <c r="HC1449" s="2">
        <v>46.25</v>
      </c>
      <c r="HD1449" s="2">
        <v>46.6</v>
      </c>
      <c r="HE1449" s="2">
        <v>47.15</v>
      </c>
      <c r="HF1449" s="2">
        <v>47.37</v>
      </c>
      <c r="HG1449" s="2">
        <v>47.8</v>
      </c>
      <c r="HH1449" s="2">
        <v>48.09</v>
      </c>
      <c r="HI1449" s="2">
        <v>49.89</v>
      </c>
      <c r="HJ1449" s="2">
        <v>49.95</v>
      </c>
      <c r="HK1449" s="2">
        <v>50.55</v>
      </c>
      <c r="HL1449" s="2">
        <v>50.91</v>
      </c>
      <c r="HM1449" s="2">
        <v>51.01</v>
      </c>
      <c r="HN1449" s="2">
        <v>51.5</v>
      </c>
      <c r="HO1449" s="2">
        <v>51.91</v>
      </c>
      <c r="HP1449" s="2">
        <v>52.42</v>
      </c>
      <c r="HQ1449" s="2">
        <v>52.9</v>
      </c>
      <c r="HR1449" s="2">
        <v>53.34</v>
      </c>
      <c r="HS1449" s="2">
        <v>54.5</v>
      </c>
      <c r="HT1449" s="2">
        <v>54.4</v>
      </c>
      <c r="HU1449" s="2">
        <v>54.82</v>
      </c>
      <c r="HV1449" s="2">
        <v>55.09</v>
      </c>
      <c r="HW1449" s="2">
        <v>55.67</v>
      </c>
      <c r="HX1449" s="2">
        <v>56.01</v>
      </c>
      <c r="HY1449" s="2">
        <v>56.17</v>
      </c>
      <c r="HZ1449" s="2">
        <v>56.56</v>
      </c>
      <c r="IA1449" s="2">
        <v>56.9</v>
      </c>
      <c r="IB1449" s="2">
        <v>57.24</v>
      </c>
      <c r="IC1449" s="2">
        <v>57.83</v>
      </c>
      <c r="ID1449" s="2">
        <v>58.08</v>
      </c>
      <c r="IE1449" s="2">
        <v>58.63</v>
      </c>
      <c r="IF1449" s="2">
        <v>59.4</v>
      </c>
      <c r="IG1449" s="2">
        <v>60.06</v>
      </c>
      <c r="IH1449" s="2">
        <v>59.84</v>
      </c>
      <c r="II1449" s="2">
        <v>59.71</v>
      </c>
      <c r="IJ1449" s="2">
        <v>60.42</v>
      </c>
      <c r="IK1449" s="2">
        <v>60.87</v>
      </c>
      <c r="IL1449" s="2">
        <v>61.5</v>
      </c>
      <c r="IM1449" s="2">
        <v>62.37</v>
      </c>
      <c r="IN1449" s="2">
        <v>63.19</v>
      </c>
      <c r="IO1449" s="2">
        <v>63.99</v>
      </c>
      <c r="IP1449" s="2">
        <v>63.81</v>
      </c>
      <c r="IQ1449" s="2">
        <v>63.83</v>
      </c>
      <c r="IR1449" s="2">
        <v>64.18000000000001</v>
      </c>
      <c r="IS1449" s="2">
        <v>64.86</v>
      </c>
      <c r="IT1449" s="2">
        <v>65.09999999999999</v>
      </c>
      <c r="IU1449" s="2">
        <v>65.48999999999999</v>
      </c>
      <c r="IV1449" s="2">
        <v>65.97</v>
      </c>
      <c r="IW1449" s="2">
        <v>66.55</v>
      </c>
      <c r="IX1449" s="2">
        <v>66.76000000000001</v>
      </c>
      <c r="IY1449" s="2">
        <v>67.86</v>
      </c>
      <c r="IZ1449" s="2">
        <v>68.53</v>
      </c>
      <c r="JA1449" s="2">
        <v>69.2</v>
      </c>
      <c r="JB1449" s="2">
        <v>69.17</v>
      </c>
      <c r="JC1449" s="2">
        <v>69.11</v>
      </c>
      <c r="JD1449" s="2">
        <v>69.33</v>
      </c>
      <c r="JE1449" s="2">
        <v>70.40000000000001</v>
      </c>
      <c r="JF1449" s="2">
        <v>70.63</v>
      </c>
      <c r="JG1449" s="2">
        <v>70.69</v>
      </c>
      <c r="JH1449" s="2">
        <v>70.81999999999999</v>
      </c>
      <c r="JI1449" s="2">
        <v>71.75</v>
      </c>
      <c r="JJ1449" s="2">
        <v>72.23999999999999</v>
      </c>
      <c r="JK1449" s="2">
        <v>72.70999999999999</v>
      </c>
      <c r="JL1449" s="2">
        <v>73.01000000000001</v>
      </c>
      <c r="JM1449" s="2">
        <v>73.26000000000001</v>
      </c>
      <c r="JN1449" s="2">
        <v>73.5</v>
      </c>
      <c r="JO1449" s="2">
        <v>73.54000000000001</v>
      </c>
      <c r="JP1449" s="2">
        <v>73.91</v>
      </c>
      <c r="JQ1449" s="2">
        <v>74.09999999999999</v>
      </c>
      <c r="JR1449" s="2">
        <v>74.29000000000001</v>
      </c>
      <c r="JS1449" s="2">
        <v>74.04000000000001</v>
      </c>
      <c r="JT1449" s="2">
        <v>74.39</v>
      </c>
      <c r="JU1449" s="2">
        <v>75.04000000000001</v>
      </c>
      <c r="JV1449" s="2">
        <v>75.20999999999999</v>
      </c>
      <c r="KA1449" s="2">
        <v>75.5</v>
      </c>
      <c r="KB1449" s="2">
        <v>75.56999999999999</v>
      </c>
      <c r="KC1449" s="2">
        <v>76.39</v>
      </c>
      <c r="KD1449" s="2">
        <v>76.95</v>
      </c>
      <c r="KQ1449" s="2">
        <v>77.23999999999999</v>
      </c>
      <c r="KR1449" s="2">
        <v>77.59999999999999</v>
      </c>
      <c r="KS1449" s="2">
        <v>77.77</v>
      </c>
      <c r="KT1449" s="2">
        <v>78.2</v>
      </c>
      <c r="LG1449" s="2">
        <v>78.25</v>
      </c>
      <c r="LH1449" s="2">
        <v>78.7</v>
      </c>
      <c r="LI1449" s="2">
        <v>79.27</v>
      </c>
      <c r="LJ1449" s="2">
        <v>79.86</v>
      </c>
      <c r="LW1449" s="2">
        <v>80.12</v>
      </c>
      <c r="LX1449" s="2">
        <v>79.33</v>
      </c>
      <c r="LY1449" s="2">
        <v>80.08</v>
      </c>
      <c r="LZ1449" s="2">
        <v>80.59999999999999</v>
      </c>
      <c r="MM1449" s="2">
        <v>81.14</v>
      </c>
      <c r="MN1449" s="2">
        <v>81.52</v>
      </c>
      <c r="MO1449" s="2">
        <v>82.11</v>
      </c>
      <c r="MP1449" s="2">
        <v>83.33</v>
      </c>
      <c r="NC1449" s="2">
        <v>84.90000000000001</v>
      </c>
      <c r="ND1449" s="2">
        <v>86.72</v>
      </c>
      <c r="NE1449" s="2">
        <v>88.98</v>
      </c>
      <c r="NF1449" s="2">
        <v>90.51000000000001</v>
      </c>
      <c r="NS1449" s="2">
        <v>91.59999999999999</v>
      </c>
      <c r="NT1449" s="2">
        <v>92.69</v>
      </c>
      <c r="NU1449" s="2">
        <v>94.23999999999999</v>
      </c>
      <c r="NV1449" s="2">
        <v>94.86</v>
      </c>
      <c r="OI1449" s="2">
        <v>95.56999999999999</v>
      </c>
      <c r="OJ1449" s="2">
        <v>96.79000000000001</v>
      </c>
      <c r="OK1449" s="2">
        <v>97.31999999999999</v>
      </c>
      <c r="OL1449" s="2">
        <v>97.20999999999999</v>
      </c>
      <c r="OY1449" s="2">
        <v>97.72</v>
      </c>
      <c r="OZ1449" s="2">
        <v>98.52</v>
      </c>
      <c r="PA1449" s="2">
        <v>99.64</v>
      </c>
      <c r="PB1449" s="2">
        <v>100.43</v>
      </c>
      <c r="PJ1449" s="2">
        <v>101.79</v>
      </c>
      <c r="PK1449" s="2">
        <v>102.84</v>
      </c>
    </row>
    <row r="1450">
      <c r="A1450" t="inlineStr">
        <is>
          <t>A2325826V</t>
        </is>
      </c>
      <c r="B1450" t="inlineStr">
        <is>
          <t>Index Numbers ;  All groups CPI ;  Perth ;</t>
        </is>
      </c>
      <c r="C1450" t="inlineStr">
        <is>
          <t>Quarter</t>
        </is>
      </c>
      <c r="D1450" t="inlineStr">
        <is>
          <t>Index Numbers</t>
        </is>
      </c>
      <c r="E1450" t="inlineStr">
        <is>
          <t>Original</t>
        </is>
      </c>
      <c r="F1450" t="inlineStr">
        <is>
          <t>6401017.xlsx</t>
        </is>
      </c>
      <c r="G1450" t="inlineStr">
        <is>
          <t>1948Q3</t>
        </is>
      </c>
      <c r="H1450" t="inlineStr">
        <is>
          <t>2026Q2</t>
        </is>
      </c>
      <c r="I1450" s="2">
        <v>2.6</v>
      </c>
      <c r="J1450" s="2">
        <v>2.64</v>
      </c>
      <c r="K1450" s="2">
        <v>2.72</v>
      </c>
      <c r="L1450" s="2">
        <v>2.8</v>
      </c>
      <c r="M1450" s="2">
        <v>2.87</v>
      </c>
      <c r="N1450" s="2">
        <v>2.91</v>
      </c>
      <c r="O1450" s="2">
        <v>2.95</v>
      </c>
      <c r="P1450" s="2">
        <v>3.07</v>
      </c>
      <c r="Q1450" s="2">
        <v>3.11</v>
      </c>
      <c r="R1450" s="2">
        <v>3.18</v>
      </c>
      <c r="S1450" s="2">
        <v>3.38</v>
      </c>
      <c r="T1450" s="2">
        <v>3.57</v>
      </c>
      <c r="U1450" s="2">
        <v>3.77</v>
      </c>
      <c r="V1450" s="2">
        <v>3.96</v>
      </c>
      <c r="W1450" s="2">
        <v>4.16</v>
      </c>
      <c r="X1450" s="2">
        <v>4.31</v>
      </c>
      <c r="Y1450" s="2">
        <v>4.43</v>
      </c>
      <c r="Z1450" s="2">
        <v>4.43</v>
      </c>
      <c r="AA1450" s="2">
        <v>4.51</v>
      </c>
      <c r="AB1450" s="2">
        <v>4.54</v>
      </c>
      <c r="AC1450" s="2">
        <v>4.58</v>
      </c>
      <c r="AD1450" s="2">
        <v>4.58</v>
      </c>
      <c r="AE1450" s="2">
        <v>4.58</v>
      </c>
      <c r="AF1450" s="2">
        <v>4.66</v>
      </c>
      <c r="AG1450" s="2">
        <v>4.66</v>
      </c>
      <c r="AH1450" s="2">
        <v>4.66</v>
      </c>
      <c r="AI1450" s="2">
        <v>4.66</v>
      </c>
      <c r="AJ1450" s="2">
        <v>4.74</v>
      </c>
      <c r="AK1450" s="2">
        <v>4.74</v>
      </c>
      <c r="AL1450" s="2">
        <v>4.78</v>
      </c>
      <c r="AM1450" s="2">
        <v>4.82</v>
      </c>
      <c r="AN1450" s="2">
        <v>4.93</v>
      </c>
      <c r="AO1450" s="2">
        <v>4.97</v>
      </c>
      <c r="AP1450" s="2">
        <v>5.01</v>
      </c>
      <c r="AQ1450" s="2">
        <v>5.05</v>
      </c>
      <c r="AR1450" s="2">
        <v>5.09</v>
      </c>
      <c r="AS1450" s="2">
        <v>5.09</v>
      </c>
      <c r="AT1450" s="2">
        <v>5.05</v>
      </c>
      <c r="AU1450" s="2">
        <v>5.05</v>
      </c>
      <c r="AV1450" s="2">
        <v>5.09</v>
      </c>
      <c r="AW1450" s="2">
        <v>5.09</v>
      </c>
      <c r="AX1450" s="2">
        <v>5.09</v>
      </c>
      <c r="AY1450" s="2">
        <v>5.13</v>
      </c>
      <c r="AZ1450" s="2">
        <v>5.17</v>
      </c>
      <c r="BA1450" s="2">
        <v>5.17</v>
      </c>
      <c r="BB1450" s="2">
        <v>5.17</v>
      </c>
      <c r="BC1450" s="2">
        <v>5.24</v>
      </c>
      <c r="BD1450" s="2">
        <v>5.32</v>
      </c>
      <c r="BE1450" s="2">
        <v>5.36</v>
      </c>
      <c r="BF1450" s="2">
        <v>5.4</v>
      </c>
      <c r="BG1450" s="2">
        <v>5.44</v>
      </c>
      <c r="BH1450" s="2">
        <v>5.48</v>
      </c>
      <c r="BI1450" s="2">
        <v>5.44</v>
      </c>
      <c r="BJ1450" s="2">
        <v>5.4</v>
      </c>
      <c r="BK1450" s="2">
        <v>5.44</v>
      </c>
      <c r="BL1450" s="2">
        <v>5.44</v>
      </c>
      <c r="BM1450" s="2">
        <v>5.44</v>
      </c>
      <c r="BN1450" s="2">
        <v>5.44</v>
      </c>
      <c r="BO1450" s="2">
        <v>5.48</v>
      </c>
      <c r="BP1450" s="2">
        <v>5.48</v>
      </c>
      <c r="BQ1450" s="2">
        <v>5.48</v>
      </c>
      <c r="BR1450" s="2">
        <v>5.51</v>
      </c>
      <c r="BS1450" s="2">
        <v>5.55</v>
      </c>
      <c r="BT1450" s="2">
        <v>5.59</v>
      </c>
      <c r="BU1450" s="2">
        <v>5.67</v>
      </c>
      <c r="BV1450" s="2">
        <v>5.67</v>
      </c>
      <c r="BW1450" s="2">
        <v>5.71</v>
      </c>
      <c r="BX1450" s="2">
        <v>5.79</v>
      </c>
      <c r="BY1450" s="2">
        <v>5.83</v>
      </c>
      <c r="BZ1450" s="2">
        <v>5.86</v>
      </c>
      <c r="CA1450" s="2">
        <v>5.94</v>
      </c>
      <c r="CB1450" s="2">
        <v>6.06</v>
      </c>
      <c r="CC1450" s="2">
        <v>6.1</v>
      </c>
      <c r="CD1450" s="2">
        <v>6.14</v>
      </c>
      <c r="CE1450" s="2">
        <v>6.18</v>
      </c>
      <c r="CF1450" s="2">
        <v>6.25</v>
      </c>
      <c r="CG1450" s="2">
        <v>6.29</v>
      </c>
      <c r="CH1450" s="2">
        <v>6.33</v>
      </c>
      <c r="CI1450" s="2">
        <v>6.37</v>
      </c>
      <c r="CJ1450" s="2">
        <v>6.41</v>
      </c>
      <c r="CK1450" s="2">
        <v>6.45</v>
      </c>
      <c r="CL1450" s="2">
        <v>6.45</v>
      </c>
      <c r="CM1450" s="2">
        <v>6.52</v>
      </c>
      <c r="CN1450" s="2">
        <v>6.6</v>
      </c>
      <c r="CO1450" s="2">
        <v>6.64</v>
      </c>
      <c r="CP1450" s="2">
        <v>6.72</v>
      </c>
      <c r="CQ1450" s="2">
        <v>6.76</v>
      </c>
      <c r="CR1450" s="2">
        <v>6.87</v>
      </c>
      <c r="CS1450" s="2">
        <v>6.87</v>
      </c>
      <c r="CT1450" s="2">
        <v>6.99</v>
      </c>
      <c r="CU1450" s="2">
        <v>7.07</v>
      </c>
      <c r="CV1450" s="2">
        <v>7.15</v>
      </c>
      <c r="CW1450" s="2">
        <v>7.22</v>
      </c>
      <c r="CX1450" s="2">
        <v>7.42</v>
      </c>
      <c r="CY1450" s="2">
        <v>7.5</v>
      </c>
      <c r="CZ1450" s="2">
        <v>7.57</v>
      </c>
      <c r="DA1450" s="2">
        <v>7.69</v>
      </c>
      <c r="DB1450" s="2">
        <v>7.73</v>
      </c>
      <c r="DC1450" s="2">
        <v>7.88</v>
      </c>
      <c r="DD1450" s="2">
        <v>8.08</v>
      </c>
      <c r="DE1450" s="2">
        <v>8.27</v>
      </c>
      <c r="DF1450" s="2">
        <v>8.539999999999999</v>
      </c>
      <c r="DG1450" s="2">
        <v>8.74</v>
      </c>
      <c r="DH1450" s="2">
        <v>9.050000000000001</v>
      </c>
      <c r="DI1450" s="2">
        <v>9.48</v>
      </c>
      <c r="DJ1450" s="2">
        <v>10.06</v>
      </c>
      <c r="DK1450" s="2">
        <v>10.45</v>
      </c>
      <c r="DL1450" s="2">
        <v>10.87</v>
      </c>
      <c r="DM1450" s="2">
        <v>10.87</v>
      </c>
      <c r="DN1450" s="2">
        <v>11.53</v>
      </c>
      <c r="DO1450" s="2">
        <v>11.92</v>
      </c>
      <c r="DP1450" s="2">
        <v>12.35</v>
      </c>
      <c r="DQ1450" s="2">
        <v>12.66</v>
      </c>
      <c r="DR1450" s="2">
        <v>13.48</v>
      </c>
      <c r="DS1450" s="2">
        <v>13.79</v>
      </c>
      <c r="DT1450" s="2">
        <v>14.1</v>
      </c>
      <c r="DU1450" s="2">
        <v>14.45</v>
      </c>
      <c r="DV1450" s="2">
        <v>14.95</v>
      </c>
      <c r="DW1450" s="2">
        <v>15.11</v>
      </c>
      <c r="DX1450" s="2">
        <v>15.38</v>
      </c>
      <c r="DY1450" s="2">
        <v>15.69</v>
      </c>
      <c r="DZ1450" s="2">
        <v>16.04</v>
      </c>
      <c r="EA1450" s="2">
        <v>16.27</v>
      </c>
      <c r="EB1450" s="2">
        <v>16.7</v>
      </c>
      <c r="EC1450" s="2">
        <v>17.01</v>
      </c>
      <c r="ED1450" s="2">
        <v>17.59</v>
      </c>
      <c r="EE1450" s="2">
        <v>17.9</v>
      </c>
      <c r="EF1450" s="2">
        <v>18.33</v>
      </c>
      <c r="EG1450" s="2">
        <v>18.76</v>
      </c>
      <c r="EH1450" s="2">
        <v>19.03</v>
      </c>
      <c r="EI1450" s="2">
        <v>19.42</v>
      </c>
      <c r="EJ1450" s="2">
        <v>19.85</v>
      </c>
      <c r="EK1450" s="2">
        <v>20.51</v>
      </c>
      <c r="EL1450" s="2">
        <v>21.4</v>
      </c>
      <c r="EM1450" s="2">
        <v>21.63</v>
      </c>
      <c r="EN1450" s="2">
        <v>22.06</v>
      </c>
      <c r="EO1450" s="2">
        <v>22.84</v>
      </c>
      <c r="EP1450" s="2">
        <v>23.46</v>
      </c>
      <c r="EQ1450" s="2">
        <v>23.81</v>
      </c>
      <c r="ER1450" s="2">
        <v>24.23</v>
      </c>
      <c r="ES1450" s="2">
        <v>24.93</v>
      </c>
      <c r="ET1450" s="2">
        <v>25.48</v>
      </c>
      <c r="EU1450" s="2">
        <v>25.24</v>
      </c>
      <c r="EV1450" s="2">
        <v>25.24</v>
      </c>
      <c r="EW1450" s="2">
        <v>25.63</v>
      </c>
      <c r="EX1450" s="2">
        <v>25.94</v>
      </c>
      <c r="EY1450" s="2">
        <v>26.33</v>
      </c>
      <c r="EZ1450" s="2">
        <v>26.95</v>
      </c>
      <c r="FA1450" s="2">
        <v>27.5</v>
      </c>
      <c r="FB1450" s="2">
        <v>28.12</v>
      </c>
      <c r="FC1450" s="2">
        <v>28.58</v>
      </c>
      <c r="FD1450" s="2">
        <v>29.05</v>
      </c>
      <c r="FE1450" s="2">
        <v>30.02</v>
      </c>
      <c r="FF1450" s="2">
        <v>30.95</v>
      </c>
      <c r="FG1450" s="2">
        <v>31.54</v>
      </c>
      <c r="FH1450" s="2">
        <v>32.08</v>
      </c>
      <c r="FI1450" s="2">
        <v>32.55</v>
      </c>
      <c r="FJ1450" s="2">
        <v>33.09</v>
      </c>
      <c r="FK1450" s="2">
        <v>33.63</v>
      </c>
      <c r="FL1450" s="2">
        <v>34.22</v>
      </c>
      <c r="FM1450" s="2">
        <v>34.91</v>
      </c>
      <c r="FN1450" s="2">
        <v>35.65</v>
      </c>
      <c r="FO1450" s="2">
        <v>36</v>
      </c>
      <c r="FP1450" s="2">
        <v>36.78</v>
      </c>
      <c r="FQ1450" s="2">
        <v>37.63</v>
      </c>
      <c r="FR1450" s="2">
        <v>38.41</v>
      </c>
      <c r="FS1450" s="2">
        <v>39.3</v>
      </c>
      <c r="FT1450" s="2">
        <v>39.96</v>
      </c>
      <c r="FU1450" s="2">
        <v>40.27</v>
      </c>
      <c r="FV1450" s="2">
        <v>41.25</v>
      </c>
      <c r="FW1450" s="2">
        <v>40.86</v>
      </c>
      <c r="FX1450" s="2">
        <v>40.82</v>
      </c>
      <c r="FY1450" s="2">
        <v>41.05</v>
      </c>
      <c r="FZ1450" s="2">
        <v>41.21</v>
      </c>
      <c r="GA1450" s="2">
        <v>41.21</v>
      </c>
      <c r="GB1450" s="2">
        <v>41.01</v>
      </c>
      <c r="GC1450" s="2">
        <v>40.97</v>
      </c>
      <c r="GD1450" s="2">
        <v>41.21</v>
      </c>
      <c r="GE1450" s="2">
        <v>41.32</v>
      </c>
      <c r="GF1450" s="2">
        <v>41.48</v>
      </c>
      <c r="GG1450" s="2">
        <v>41.91</v>
      </c>
      <c r="GH1450" s="2">
        <v>42.14</v>
      </c>
      <c r="GI1450" s="2">
        <v>42.18</v>
      </c>
      <c r="GJ1450" s="2">
        <v>42.37</v>
      </c>
      <c r="GK1450" s="2">
        <v>42.76</v>
      </c>
      <c r="GL1450" s="2">
        <v>43.11</v>
      </c>
      <c r="GM1450" s="2">
        <v>43.89</v>
      </c>
      <c r="GN1450" s="2">
        <v>44.62</v>
      </c>
      <c r="GO1450" s="2">
        <v>44.9</v>
      </c>
      <c r="GP1450" s="2">
        <v>45.17</v>
      </c>
      <c r="GQ1450" s="2">
        <v>45.48</v>
      </c>
      <c r="GR1450" s="2">
        <v>45.79</v>
      </c>
      <c r="GS1450" s="2">
        <v>45.94</v>
      </c>
      <c r="GT1450" s="2">
        <v>45.98</v>
      </c>
      <c r="GU1450" s="2">
        <v>45.91</v>
      </c>
      <c r="GV1450" s="2">
        <v>45.87</v>
      </c>
      <c r="GW1450" s="2">
        <v>45.63</v>
      </c>
      <c r="GX1450" s="2">
        <v>45.67</v>
      </c>
      <c r="GY1450" s="2">
        <v>45.83</v>
      </c>
      <c r="GZ1450" s="2">
        <v>46.18</v>
      </c>
      <c r="HA1450" s="2">
        <v>46.46</v>
      </c>
      <c r="HB1450" s="2">
        <v>46.68</v>
      </c>
      <c r="HC1450" s="2">
        <v>46.52</v>
      </c>
      <c r="HD1450" s="2">
        <v>46.93</v>
      </c>
      <c r="HE1450" s="2">
        <v>47.34</v>
      </c>
      <c r="HF1450" s="2">
        <v>47.64</v>
      </c>
      <c r="HG1450" s="2">
        <v>47.83</v>
      </c>
      <c r="HH1450" s="2">
        <v>48.17</v>
      </c>
      <c r="HI1450" s="2">
        <v>49.94</v>
      </c>
      <c r="HJ1450" s="2">
        <v>50.02</v>
      </c>
      <c r="HK1450" s="2">
        <v>50.34</v>
      </c>
      <c r="HL1450" s="2">
        <v>51.02</v>
      </c>
      <c r="HM1450" s="2">
        <v>51.07</v>
      </c>
      <c r="HN1450" s="2">
        <v>51.52</v>
      </c>
      <c r="HO1450" s="2">
        <v>51.91</v>
      </c>
      <c r="HP1450" s="2">
        <v>52.26</v>
      </c>
      <c r="HQ1450" s="2">
        <v>52.74</v>
      </c>
      <c r="HR1450" s="2">
        <v>52.99</v>
      </c>
      <c r="HS1450" s="2">
        <v>53.38</v>
      </c>
      <c r="HT1450" s="2">
        <v>53.36</v>
      </c>
      <c r="HU1450" s="2">
        <v>53.83</v>
      </c>
      <c r="HV1450" s="2">
        <v>54.05</v>
      </c>
      <c r="HW1450" s="2">
        <v>54.2</v>
      </c>
      <c r="HX1450" s="2">
        <v>54.78</v>
      </c>
      <c r="HY1450" s="2">
        <v>55.15</v>
      </c>
      <c r="HZ1450" s="2">
        <v>55.64</v>
      </c>
      <c r="IA1450" s="2">
        <v>56.07</v>
      </c>
      <c r="IB1450" s="2">
        <v>56.81</v>
      </c>
      <c r="IC1450" s="2">
        <v>57.41</v>
      </c>
      <c r="ID1450" s="2">
        <v>57.88</v>
      </c>
      <c r="IE1450" s="2">
        <v>58.44</v>
      </c>
      <c r="IF1450" s="2">
        <v>59.51</v>
      </c>
      <c r="IG1450" s="2">
        <v>60.17</v>
      </c>
      <c r="IH1450" s="2">
        <v>60.4</v>
      </c>
      <c r="II1450" s="2">
        <v>60.49</v>
      </c>
      <c r="IJ1450" s="2">
        <v>61.36</v>
      </c>
      <c r="IK1450" s="2">
        <v>61.73</v>
      </c>
      <c r="IL1450" s="2">
        <v>62.22</v>
      </c>
      <c r="IM1450" s="2">
        <v>63.09</v>
      </c>
      <c r="IN1450" s="2">
        <v>64.13</v>
      </c>
      <c r="IO1450" s="2">
        <v>64.73</v>
      </c>
      <c r="IP1450" s="2">
        <v>64.56</v>
      </c>
      <c r="IQ1450" s="2">
        <v>64.45999999999999</v>
      </c>
      <c r="IR1450" s="2">
        <v>65.01000000000001</v>
      </c>
      <c r="IS1450" s="2">
        <v>65.53</v>
      </c>
      <c r="IT1450" s="2">
        <v>65.91</v>
      </c>
      <c r="IU1450" s="2">
        <v>66.66</v>
      </c>
      <c r="IV1450" s="2">
        <v>67.27</v>
      </c>
      <c r="IW1450" s="2">
        <v>67.56999999999999</v>
      </c>
      <c r="IX1450" s="2">
        <v>67.59999999999999</v>
      </c>
      <c r="IY1450" s="2">
        <v>68.39</v>
      </c>
      <c r="IZ1450" s="2">
        <v>69.28</v>
      </c>
      <c r="JA1450" s="2">
        <v>69.45999999999999</v>
      </c>
      <c r="JB1450" s="2">
        <v>69.56</v>
      </c>
      <c r="JC1450" s="2">
        <v>69.73</v>
      </c>
      <c r="JD1450" s="2">
        <v>70.08</v>
      </c>
      <c r="JE1450" s="2">
        <v>70.86</v>
      </c>
      <c r="JF1450" s="2">
        <v>71</v>
      </c>
      <c r="JG1450" s="2">
        <v>71.34999999999999</v>
      </c>
      <c r="JH1450" s="2">
        <v>71.78</v>
      </c>
      <c r="JI1450" s="2">
        <v>72.62</v>
      </c>
      <c r="JJ1450" s="2">
        <v>73.09999999999999</v>
      </c>
      <c r="JK1450" s="2">
        <v>73.63</v>
      </c>
      <c r="JL1450" s="2">
        <v>74.17</v>
      </c>
      <c r="JM1450" s="2">
        <v>74.54000000000001</v>
      </c>
      <c r="JN1450" s="2">
        <v>74.59999999999999</v>
      </c>
      <c r="JO1450" s="2">
        <v>74.67</v>
      </c>
      <c r="JP1450" s="2">
        <v>75.11</v>
      </c>
      <c r="JQ1450" s="2">
        <v>75.38</v>
      </c>
      <c r="JR1450" s="2">
        <v>75.70999999999999</v>
      </c>
      <c r="JS1450" s="2">
        <v>75.23999999999999</v>
      </c>
      <c r="JT1450" s="2">
        <v>75.45</v>
      </c>
      <c r="JU1450" s="2">
        <v>75.7</v>
      </c>
      <c r="JV1450" s="2">
        <v>75.98999999999999</v>
      </c>
      <c r="KA1450" s="2">
        <v>75.95999999999999</v>
      </c>
      <c r="KB1450" s="2">
        <v>75.95999999999999</v>
      </c>
      <c r="KC1450" s="2">
        <v>76.3</v>
      </c>
      <c r="KD1450" s="2">
        <v>76.64</v>
      </c>
      <c r="KQ1450" s="2">
        <v>76.65000000000001</v>
      </c>
      <c r="KR1450" s="2">
        <v>76.81999999999999</v>
      </c>
      <c r="KS1450" s="2">
        <v>77.2</v>
      </c>
      <c r="KT1450" s="2">
        <v>77.56999999999999</v>
      </c>
      <c r="LG1450" s="2">
        <v>77.48999999999999</v>
      </c>
      <c r="LH1450" s="2">
        <v>78.08</v>
      </c>
      <c r="LI1450" s="2">
        <v>78.47</v>
      </c>
      <c r="LJ1450" s="2">
        <v>78.84999999999999</v>
      </c>
      <c r="LW1450" s="2">
        <v>79.09999999999999</v>
      </c>
      <c r="LX1450" s="2">
        <v>78.13</v>
      </c>
      <c r="LY1450" s="2">
        <v>79.52</v>
      </c>
      <c r="LZ1450" s="2">
        <v>78.77</v>
      </c>
      <c r="MM1450" s="2">
        <v>79.86</v>
      </c>
      <c r="MN1450" s="2">
        <v>81.43000000000001</v>
      </c>
      <c r="MO1450" s="2">
        <v>82.06999999999999</v>
      </c>
      <c r="MP1450" s="2">
        <v>83.26000000000001</v>
      </c>
      <c r="NC1450" s="2">
        <v>85.97</v>
      </c>
      <c r="ND1450" s="2">
        <v>87.43000000000001</v>
      </c>
      <c r="NE1450" s="2">
        <v>86.98999999999999</v>
      </c>
      <c r="NF1450" s="2">
        <v>90.11</v>
      </c>
      <c r="NS1450" s="2">
        <v>90.93000000000001</v>
      </c>
      <c r="NT1450" s="2">
        <v>91.67</v>
      </c>
      <c r="NU1450" s="2">
        <v>92.01000000000001</v>
      </c>
      <c r="NV1450" s="2">
        <v>93.40000000000001</v>
      </c>
      <c r="OI1450" s="2">
        <v>93.95999999999999</v>
      </c>
      <c r="OJ1450" s="2">
        <v>95.89</v>
      </c>
      <c r="OK1450" s="2">
        <v>95.47</v>
      </c>
      <c r="OL1450" s="2">
        <v>96.14</v>
      </c>
      <c r="OY1450" s="2">
        <v>96.63</v>
      </c>
      <c r="OZ1450" s="2">
        <v>98.52</v>
      </c>
      <c r="PA1450" s="2">
        <v>99.72</v>
      </c>
      <c r="PB1450" s="2">
        <v>99.89</v>
      </c>
      <c r="PJ1450" s="2">
        <v>101.41</v>
      </c>
      <c r="PK1450" s="2">
        <v>102.46</v>
      </c>
    </row>
    <row r="1451">
      <c r="A1451" t="inlineStr">
        <is>
          <t>A2325831L</t>
        </is>
      </c>
      <c r="B1451" t="inlineStr">
        <is>
          <t>Index Numbers ;  All groups CPI ;  Hobart ;</t>
        </is>
      </c>
      <c r="C1451" t="inlineStr">
        <is>
          <t>Quarter</t>
        </is>
      </c>
      <c r="D1451" t="inlineStr">
        <is>
          <t>Index Numbers</t>
        </is>
      </c>
      <c r="E1451" t="inlineStr">
        <is>
          <t>Original</t>
        </is>
      </c>
      <c r="F1451" t="inlineStr">
        <is>
          <t>6401017.xlsx</t>
        </is>
      </c>
      <c r="G1451" t="inlineStr">
        <is>
          <t>1948Q3</t>
        </is>
      </c>
      <c r="H1451" t="inlineStr">
        <is>
          <t>2026Q2</t>
        </is>
      </c>
      <c r="I1451" s="2">
        <v>2.66</v>
      </c>
      <c r="J1451" s="2">
        <v>2.7</v>
      </c>
      <c r="K1451" s="2">
        <v>2.78</v>
      </c>
      <c r="L1451" s="2">
        <v>2.86</v>
      </c>
      <c r="M1451" s="2">
        <v>2.86</v>
      </c>
      <c r="N1451" s="2">
        <v>2.9</v>
      </c>
      <c r="O1451" s="2">
        <v>2.9</v>
      </c>
      <c r="P1451" s="2">
        <v>3.01</v>
      </c>
      <c r="Q1451" s="2">
        <v>3.09</v>
      </c>
      <c r="R1451" s="2">
        <v>3.17</v>
      </c>
      <c r="S1451" s="2">
        <v>3.37</v>
      </c>
      <c r="T1451" s="2">
        <v>3.6</v>
      </c>
      <c r="U1451" s="2">
        <v>3.8</v>
      </c>
      <c r="V1451" s="2">
        <v>4.03</v>
      </c>
      <c r="W1451" s="2">
        <v>4.15</v>
      </c>
      <c r="X1451" s="2">
        <v>4.31</v>
      </c>
      <c r="Y1451" s="2">
        <v>4.42</v>
      </c>
      <c r="Z1451" s="2">
        <v>4.46</v>
      </c>
      <c r="AA1451" s="2">
        <v>4.54</v>
      </c>
      <c r="AB1451" s="2">
        <v>4.62</v>
      </c>
      <c r="AC1451" s="2">
        <v>4.74</v>
      </c>
      <c r="AD1451" s="2">
        <v>4.78</v>
      </c>
      <c r="AE1451" s="2">
        <v>4.74</v>
      </c>
      <c r="AF1451" s="2">
        <v>4.74</v>
      </c>
      <c r="AG1451" s="2">
        <v>4.7</v>
      </c>
      <c r="AH1451" s="2">
        <v>4.7</v>
      </c>
      <c r="AI1451" s="2">
        <v>4.74</v>
      </c>
      <c r="AJ1451" s="2">
        <v>4.78</v>
      </c>
      <c r="AK1451" s="2">
        <v>4.85</v>
      </c>
      <c r="AL1451" s="2">
        <v>4.93</v>
      </c>
      <c r="AM1451" s="2">
        <v>5.01</v>
      </c>
      <c r="AN1451" s="2">
        <v>5.13</v>
      </c>
      <c r="AO1451" s="2">
        <v>5.25</v>
      </c>
      <c r="AP1451" s="2">
        <v>5.28</v>
      </c>
      <c r="AQ1451" s="2">
        <v>5.28</v>
      </c>
      <c r="AR1451" s="2">
        <v>5.28</v>
      </c>
      <c r="AS1451" s="2">
        <v>5.28</v>
      </c>
      <c r="AT1451" s="2">
        <v>5.28</v>
      </c>
      <c r="AU1451" s="2">
        <v>5.28</v>
      </c>
      <c r="AV1451" s="2">
        <v>5.28</v>
      </c>
      <c r="AW1451" s="2">
        <v>5.32</v>
      </c>
      <c r="AX1451" s="2">
        <v>5.36</v>
      </c>
      <c r="AY1451" s="2">
        <v>5.36</v>
      </c>
      <c r="AZ1451" s="2">
        <v>5.4</v>
      </c>
      <c r="BA1451" s="2">
        <v>5.4</v>
      </c>
      <c r="BB1451" s="2">
        <v>5.4</v>
      </c>
      <c r="BC1451" s="2">
        <v>5.44</v>
      </c>
      <c r="BD1451" s="2">
        <v>5.52</v>
      </c>
      <c r="BE1451" s="2">
        <v>5.68</v>
      </c>
      <c r="BF1451" s="2">
        <v>5.72</v>
      </c>
      <c r="BG1451" s="2">
        <v>5.79</v>
      </c>
      <c r="BH1451" s="2">
        <v>5.79</v>
      </c>
      <c r="BI1451" s="2">
        <v>5.83</v>
      </c>
      <c r="BJ1451" s="2">
        <v>5.79</v>
      </c>
      <c r="BK1451" s="2">
        <v>5.75</v>
      </c>
      <c r="BL1451" s="2">
        <v>5.75</v>
      </c>
      <c r="BM1451" s="2">
        <v>5.75</v>
      </c>
      <c r="BN1451" s="2">
        <v>5.79</v>
      </c>
      <c r="BO1451" s="2">
        <v>5.79</v>
      </c>
      <c r="BP1451" s="2">
        <v>5.79</v>
      </c>
      <c r="BQ1451" s="2">
        <v>5.79</v>
      </c>
      <c r="BR1451" s="2">
        <v>5.83</v>
      </c>
      <c r="BS1451" s="2">
        <v>5.83</v>
      </c>
      <c r="BT1451" s="2">
        <v>5.87</v>
      </c>
      <c r="BU1451" s="2">
        <v>5.95</v>
      </c>
      <c r="BV1451" s="2">
        <v>6.03</v>
      </c>
      <c r="BW1451" s="2">
        <v>6.03</v>
      </c>
      <c r="BX1451" s="2">
        <v>6.11</v>
      </c>
      <c r="BY1451" s="2">
        <v>6.19</v>
      </c>
      <c r="BZ1451" s="2">
        <v>6.26</v>
      </c>
      <c r="CA1451" s="2">
        <v>6.22</v>
      </c>
      <c r="CB1451" s="2">
        <v>6.26</v>
      </c>
      <c r="CC1451" s="2">
        <v>6.26</v>
      </c>
      <c r="CD1451" s="2">
        <v>6.3</v>
      </c>
      <c r="CE1451" s="2">
        <v>6.38</v>
      </c>
      <c r="CF1451" s="2">
        <v>6.46</v>
      </c>
      <c r="CG1451" s="2">
        <v>6.62</v>
      </c>
      <c r="CH1451" s="2">
        <v>6.69</v>
      </c>
      <c r="CI1451" s="2">
        <v>6.65</v>
      </c>
      <c r="CJ1451" s="2">
        <v>6.65</v>
      </c>
      <c r="CK1451" s="2">
        <v>6.69</v>
      </c>
      <c r="CL1451" s="2">
        <v>6.73</v>
      </c>
      <c r="CM1451" s="2">
        <v>6.77</v>
      </c>
      <c r="CN1451" s="2">
        <v>6.81</v>
      </c>
      <c r="CO1451" s="2">
        <v>6.81</v>
      </c>
      <c r="CP1451" s="2">
        <v>6.89</v>
      </c>
      <c r="CQ1451" s="2">
        <v>6.93</v>
      </c>
      <c r="CR1451" s="2">
        <v>6.97</v>
      </c>
      <c r="CS1451" s="2">
        <v>7.01</v>
      </c>
      <c r="CT1451" s="2">
        <v>7.16</v>
      </c>
      <c r="CU1451" s="2">
        <v>7.2</v>
      </c>
      <c r="CV1451" s="2">
        <v>7.32</v>
      </c>
      <c r="CW1451" s="2">
        <v>7.44</v>
      </c>
      <c r="CX1451" s="2">
        <v>7.67</v>
      </c>
      <c r="CY1451" s="2">
        <v>7.71</v>
      </c>
      <c r="CZ1451" s="2">
        <v>7.75</v>
      </c>
      <c r="DA1451" s="2">
        <v>7.87</v>
      </c>
      <c r="DB1451" s="2">
        <v>7.95</v>
      </c>
      <c r="DC1451" s="2">
        <v>8.1</v>
      </c>
      <c r="DD1451" s="2">
        <v>8.34</v>
      </c>
      <c r="DE1451" s="2">
        <v>8.609999999999999</v>
      </c>
      <c r="DF1451" s="2">
        <v>8.960000000000001</v>
      </c>
      <c r="DG1451" s="2">
        <v>9.16</v>
      </c>
      <c r="DH1451" s="2">
        <v>9.550000000000001</v>
      </c>
      <c r="DI1451" s="2">
        <v>10.02</v>
      </c>
      <c r="DJ1451" s="2">
        <v>10.53</v>
      </c>
      <c r="DK1451" s="2">
        <v>10.77</v>
      </c>
      <c r="DL1451" s="2">
        <v>11.12</v>
      </c>
      <c r="DM1451" s="2">
        <v>11.2</v>
      </c>
      <c r="DN1451" s="2">
        <v>12.06</v>
      </c>
      <c r="DO1451" s="2">
        <v>12.37</v>
      </c>
      <c r="DP1451" s="2">
        <v>12.76</v>
      </c>
      <c r="DQ1451" s="2">
        <v>13.07</v>
      </c>
      <c r="DR1451" s="2">
        <v>13.82</v>
      </c>
      <c r="DS1451" s="2">
        <v>14.09</v>
      </c>
      <c r="DT1451" s="2">
        <v>14.45</v>
      </c>
      <c r="DU1451" s="2">
        <v>14.76</v>
      </c>
      <c r="DV1451" s="2">
        <v>15.15</v>
      </c>
      <c r="DW1451" s="2">
        <v>15.35</v>
      </c>
      <c r="DX1451" s="2">
        <v>15.62</v>
      </c>
      <c r="DY1451" s="2">
        <v>15.85</v>
      </c>
      <c r="DZ1451" s="2">
        <v>16.21</v>
      </c>
      <c r="EA1451" s="2">
        <v>16.56</v>
      </c>
      <c r="EB1451" s="2">
        <v>16.99</v>
      </c>
      <c r="EC1451" s="2">
        <v>17.42</v>
      </c>
      <c r="ED1451" s="2">
        <v>17.89</v>
      </c>
      <c r="EE1451" s="2">
        <v>18.28</v>
      </c>
      <c r="EF1451" s="2">
        <v>18.71</v>
      </c>
      <c r="EG1451" s="2">
        <v>19.14</v>
      </c>
      <c r="EH1451" s="2">
        <v>19.49</v>
      </c>
      <c r="EI1451" s="2">
        <v>19.93</v>
      </c>
      <c r="EJ1451" s="2">
        <v>20.36</v>
      </c>
      <c r="EK1451" s="2">
        <v>20.87</v>
      </c>
      <c r="EL1451" s="2">
        <v>21.65</v>
      </c>
      <c r="EM1451" s="2">
        <v>21.96</v>
      </c>
      <c r="EN1451" s="2">
        <v>22.39</v>
      </c>
      <c r="EO1451" s="2">
        <v>23.1</v>
      </c>
      <c r="EP1451" s="2">
        <v>23.88</v>
      </c>
      <c r="EQ1451" s="2">
        <v>24.39</v>
      </c>
      <c r="ER1451" s="2">
        <v>24.86</v>
      </c>
      <c r="ES1451" s="2">
        <v>25.17</v>
      </c>
      <c r="ET1451" s="2">
        <v>25.76</v>
      </c>
      <c r="EU1451" s="2">
        <v>25.8</v>
      </c>
      <c r="EV1451" s="2">
        <v>25.84</v>
      </c>
      <c r="EW1451" s="2">
        <v>26.11</v>
      </c>
      <c r="EX1451" s="2">
        <v>26.62</v>
      </c>
      <c r="EY1451" s="2">
        <v>27.05</v>
      </c>
      <c r="EZ1451" s="2">
        <v>27.68</v>
      </c>
      <c r="FA1451" s="2">
        <v>28.38</v>
      </c>
      <c r="FB1451" s="2">
        <v>28.97</v>
      </c>
      <c r="FC1451" s="2">
        <v>29.4</v>
      </c>
      <c r="FD1451" s="2">
        <v>30.06</v>
      </c>
      <c r="FE1451" s="2">
        <v>30.85</v>
      </c>
      <c r="FF1451" s="2">
        <v>31.87</v>
      </c>
      <c r="FG1451" s="2">
        <v>32.53</v>
      </c>
      <c r="FH1451" s="2">
        <v>33.04</v>
      </c>
      <c r="FI1451" s="2">
        <v>33.63</v>
      </c>
      <c r="FJ1451" s="2">
        <v>34.14</v>
      </c>
      <c r="FK1451" s="2">
        <v>34.72</v>
      </c>
      <c r="FL1451" s="2">
        <v>35.23</v>
      </c>
      <c r="FM1451" s="2">
        <v>35.66</v>
      </c>
      <c r="FN1451" s="2">
        <v>36.21</v>
      </c>
      <c r="FO1451" s="2">
        <v>36.88</v>
      </c>
      <c r="FP1451" s="2">
        <v>37.58</v>
      </c>
      <c r="FQ1451" s="2">
        <v>38.21</v>
      </c>
      <c r="FR1451" s="2">
        <v>38.91</v>
      </c>
      <c r="FS1451" s="2">
        <v>39.54</v>
      </c>
      <c r="FT1451" s="2">
        <v>39.89</v>
      </c>
      <c r="FU1451" s="2">
        <v>40.32</v>
      </c>
      <c r="FV1451" s="2">
        <v>41.3</v>
      </c>
      <c r="FW1451" s="2">
        <v>41.18</v>
      </c>
      <c r="FX1451" s="2">
        <v>41.42</v>
      </c>
      <c r="FY1451" s="2">
        <v>41.77</v>
      </c>
      <c r="FZ1451" s="2">
        <v>42.04</v>
      </c>
      <c r="GA1451" s="2">
        <v>42.04</v>
      </c>
      <c r="GB1451" s="2">
        <v>41.89</v>
      </c>
      <c r="GC1451" s="2">
        <v>42.12</v>
      </c>
      <c r="GD1451" s="2">
        <v>42.28</v>
      </c>
      <c r="GE1451" s="2">
        <v>42.71</v>
      </c>
      <c r="GF1451" s="2">
        <v>42.83</v>
      </c>
      <c r="GG1451" s="2">
        <v>43.45</v>
      </c>
      <c r="GH1451" s="2">
        <v>43.69</v>
      </c>
      <c r="GI1451" s="2">
        <v>43.8</v>
      </c>
      <c r="GJ1451" s="2">
        <v>44</v>
      </c>
      <c r="GK1451" s="2">
        <v>44.35</v>
      </c>
      <c r="GL1451" s="2">
        <v>44.71</v>
      </c>
      <c r="GM1451" s="2">
        <v>45.45</v>
      </c>
      <c r="GN1451" s="2">
        <v>45.84</v>
      </c>
      <c r="GO1451" s="2">
        <v>46.35</v>
      </c>
      <c r="GP1451" s="2">
        <v>46.66</v>
      </c>
      <c r="GQ1451" s="2">
        <v>47.02</v>
      </c>
      <c r="GR1451" s="2">
        <v>47.21</v>
      </c>
      <c r="GS1451" s="2">
        <v>47.41</v>
      </c>
      <c r="GT1451" s="2">
        <v>47.48</v>
      </c>
      <c r="GU1451" s="2">
        <v>47.72</v>
      </c>
      <c r="GV1451" s="2">
        <v>47.48</v>
      </c>
      <c r="GW1451" s="2">
        <v>47.21</v>
      </c>
      <c r="GX1451" s="2">
        <v>47.45</v>
      </c>
      <c r="GY1451" s="2">
        <v>47.56</v>
      </c>
      <c r="GZ1451" s="2">
        <v>47.76</v>
      </c>
      <c r="HA1451" s="2">
        <v>48.05</v>
      </c>
      <c r="HB1451" s="2">
        <v>48.05</v>
      </c>
      <c r="HC1451" s="2">
        <v>47.81</v>
      </c>
      <c r="HD1451" s="2">
        <v>47.95</v>
      </c>
      <c r="HE1451" s="2">
        <v>48.26</v>
      </c>
      <c r="HF1451" s="2">
        <v>48.52</v>
      </c>
      <c r="HG1451" s="2">
        <v>49.05</v>
      </c>
      <c r="HH1451" s="2">
        <v>49.5</v>
      </c>
      <c r="HI1451" s="2">
        <v>51.41</v>
      </c>
      <c r="HJ1451" s="2">
        <v>51.36</v>
      </c>
      <c r="HK1451" s="2">
        <v>51.72</v>
      </c>
      <c r="HL1451" s="2">
        <v>52.23</v>
      </c>
      <c r="HM1451" s="2">
        <v>51.99</v>
      </c>
      <c r="HN1451" s="2">
        <v>52.42</v>
      </c>
      <c r="HO1451" s="2">
        <v>52.92</v>
      </c>
      <c r="HP1451" s="2">
        <v>53.65</v>
      </c>
      <c r="HQ1451" s="2">
        <v>53.83</v>
      </c>
      <c r="HR1451" s="2">
        <v>54.04</v>
      </c>
      <c r="HS1451" s="2">
        <v>54.82</v>
      </c>
      <c r="HT1451" s="2">
        <v>55.13</v>
      </c>
      <c r="HU1451" s="2">
        <v>55.25</v>
      </c>
      <c r="HV1451" s="2">
        <v>55.6</v>
      </c>
      <c r="HW1451" s="2">
        <v>55.99</v>
      </c>
      <c r="HX1451" s="2">
        <v>56.51</v>
      </c>
      <c r="HY1451" s="2">
        <v>56.78</v>
      </c>
      <c r="HZ1451" s="2">
        <v>57.44</v>
      </c>
      <c r="IA1451" s="2">
        <v>57.95</v>
      </c>
      <c r="IB1451" s="2">
        <v>58.26</v>
      </c>
      <c r="IC1451" s="2">
        <v>58.78</v>
      </c>
      <c r="ID1451" s="2">
        <v>59.12</v>
      </c>
      <c r="IE1451" s="2">
        <v>59.58</v>
      </c>
      <c r="IF1451" s="2">
        <v>60.28</v>
      </c>
      <c r="IG1451" s="2">
        <v>60.72</v>
      </c>
      <c r="IH1451" s="2">
        <v>60.55</v>
      </c>
      <c r="II1451" s="2">
        <v>60.85</v>
      </c>
      <c r="IJ1451" s="2">
        <v>61.62</v>
      </c>
      <c r="IK1451" s="2">
        <v>61.82</v>
      </c>
      <c r="IL1451" s="2">
        <v>62.32</v>
      </c>
      <c r="IM1451" s="2">
        <v>63.14</v>
      </c>
      <c r="IN1451" s="2">
        <v>63.77</v>
      </c>
      <c r="IO1451" s="2">
        <v>64.48999999999999</v>
      </c>
      <c r="IP1451" s="2">
        <v>64.34999999999999</v>
      </c>
      <c r="IQ1451" s="2">
        <v>64.5</v>
      </c>
      <c r="IR1451" s="2">
        <v>64.88</v>
      </c>
      <c r="IS1451" s="2">
        <v>65.63</v>
      </c>
      <c r="IT1451" s="2">
        <v>66.05</v>
      </c>
      <c r="IU1451" s="2">
        <v>66.55</v>
      </c>
      <c r="IV1451" s="2">
        <v>66.81</v>
      </c>
      <c r="IW1451" s="2">
        <v>67.5</v>
      </c>
      <c r="IX1451" s="2">
        <v>67.58</v>
      </c>
      <c r="IY1451" s="2">
        <v>68.45999999999999</v>
      </c>
      <c r="IZ1451" s="2">
        <v>69.08</v>
      </c>
      <c r="JA1451" s="2">
        <v>69.65000000000001</v>
      </c>
      <c r="JB1451" s="2">
        <v>69.73</v>
      </c>
      <c r="JC1451" s="2">
        <v>69.91</v>
      </c>
      <c r="JD1451" s="2">
        <v>69.65000000000001</v>
      </c>
      <c r="JE1451" s="2">
        <v>70.13</v>
      </c>
      <c r="JF1451" s="2">
        <v>70.43000000000001</v>
      </c>
      <c r="JG1451" s="2">
        <v>70.63</v>
      </c>
      <c r="JH1451" s="2">
        <v>70.90000000000001</v>
      </c>
      <c r="JI1451" s="2">
        <v>71.56999999999999</v>
      </c>
      <c r="JJ1451" s="2">
        <v>72.23999999999999</v>
      </c>
      <c r="JK1451" s="2">
        <v>72.56999999999999</v>
      </c>
      <c r="JL1451" s="2">
        <v>72.84999999999999</v>
      </c>
      <c r="JM1451" s="2">
        <v>72.91</v>
      </c>
      <c r="JN1451" s="2">
        <v>73.04000000000001</v>
      </c>
      <c r="JO1451" s="2">
        <v>73.23999999999999</v>
      </c>
      <c r="JP1451" s="2">
        <v>73.27</v>
      </c>
      <c r="JQ1451" s="2">
        <v>73.7</v>
      </c>
      <c r="JR1451" s="2">
        <v>74.31999999999999</v>
      </c>
      <c r="JS1451" s="2">
        <v>74.20999999999999</v>
      </c>
      <c r="JT1451" s="2">
        <v>74.17</v>
      </c>
      <c r="JU1451" s="2">
        <v>74.72</v>
      </c>
      <c r="JV1451" s="2">
        <v>75.34</v>
      </c>
      <c r="KA1451" s="2">
        <v>75.91</v>
      </c>
      <c r="KB1451" s="2">
        <v>75.95999999999999</v>
      </c>
      <c r="KC1451" s="2">
        <v>76.17</v>
      </c>
      <c r="KD1451" s="2">
        <v>76.91</v>
      </c>
      <c r="KQ1451" s="2">
        <v>77.5</v>
      </c>
      <c r="KR1451" s="2">
        <v>77.76000000000001</v>
      </c>
      <c r="KS1451" s="2">
        <v>78.26000000000001</v>
      </c>
      <c r="KT1451" s="2">
        <v>79.23</v>
      </c>
      <c r="LG1451" s="2">
        <v>79.08</v>
      </c>
      <c r="LH1451" s="2">
        <v>79.58</v>
      </c>
      <c r="LI1451" s="2">
        <v>80.02</v>
      </c>
      <c r="LJ1451" s="2">
        <v>81.34999999999999</v>
      </c>
      <c r="LW1451" s="2">
        <v>81.73999999999999</v>
      </c>
      <c r="LX1451" s="2">
        <v>80.59999999999999</v>
      </c>
      <c r="LY1451" s="2">
        <v>81.41</v>
      </c>
      <c r="LZ1451" s="2">
        <v>81.98999999999999</v>
      </c>
      <c r="MM1451" s="2">
        <v>82.61</v>
      </c>
      <c r="MN1451" s="2">
        <v>83.54000000000001</v>
      </c>
      <c r="MO1451" s="2">
        <v>83.84</v>
      </c>
      <c r="MP1451" s="2">
        <v>85.7</v>
      </c>
      <c r="NC1451" s="2">
        <v>87.43000000000001</v>
      </c>
      <c r="ND1451" s="2">
        <v>88.95</v>
      </c>
      <c r="NE1451" s="2">
        <v>91</v>
      </c>
      <c r="NF1451" s="2">
        <v>92.33</v>
      </c>
      <c r="NS1451" s="2">
        <v>93.43000000000001</v>
      </c>
      <c r="NT1451" s="2">
        <v>93.84</v>
      </c>
      <c r="NU1451" s="2">
        <v>94.69</v>
      </c>
      <c r="NV1451" s="2">
        <v>95.37</v>
      </c>
      <c r="OI1451" s="2">
        <v>96.28</v>
      </c>
      <c r="OJ1451" s="2">
        <v>96.45999999999999</v>
      </c>
      <c r="OK1451" s="2">
        <v>95.39</v>
      </c>
      <c r="OL1451" s="2">
        <v>96.89</v>
      </c>
      <c r="OY1451" s="2">
        <v>97.62</v>
      </c>
      <c r="OZ1451" s="2">
        <v>98.09999999999999</v>
      </c>
      <c r="PA1451" s="2">
        <v>99.55</v>
      </c>
      <c r="PB1451" s="2">
        <v>100.65</v>
      </c>
      <c r="PJ1451" s="2">
        <v>101.86</v>
      </c>
      <c r="PK1451" s="2">
        <v>102.71</v>
      </c>
    </row>
    <row r="1452">
      <c r="A1452" t="inlineStr">
        <is>
          <t>A2325836X</t>
        </is>
      </c>
      <c r="B1452" t="inlineStr">
        <is>
          <t>Index Numbers ;  All groups CPI ;  Darwin ;</t>
        </is>
      </c>
      <c r="C1452" t="inlineStr">
        <is>
          <t>Quarter</t>
        </is>
      </c>
      <c r="D1452" t="inlineStr">
        <is>
          <t>Index Numbers</t>
        </is>
      </c>
      <c r="E1452" t="inlineStr">
        <is>
          <t>Original</t>
        </is>
      </c>
      <c r="F1452" t="inlineStr">
        <is>
          <t>6401017.xlsx</t>
        </is>
      </c>
      <c r="G1452" t="inlineStr">
        <is>
          <t>1980Q3</t>
        </is>
      </c>
      <c r="H1452" t="inlineStr">
        <is>
          <t>2026Q2</t>
        </is>
      </c>
      <c r="EG1452" s="2">
        <v>20.94</v>
      </c>
      <c r="EH1452" s="2">
        <v>21.44</v>
      </c>
      <c r="EI1452" s="2">
        <v>21.85</v>
      </c>
      <c r="EJ1452" s="2">
        <v>22.26</v>
      </c>
      <c r="EK1452" s="2">
        <v>22.71</v>
      </c>
      <c r="EL1452" s="2">
        <v>24.06</v>
      </c>
      <c r="EM1452" s="2">
        <v>24.43</v>
      </c>
      <c r="EN1452" s="2">
        <v>24.84</v>
      </c>
      <c r="EO1452" s="2">
        <v>25.66</v>
      </c>
      <c r="EP1452" s="2">
        <v>26.4</v>
      </c>
      <c r="EQ1452" s="2">
        <v>26.94</v>
      </c>
      <c r="ER1452" s="2">
        <v>27.43</v>
      </c>
      <c r="ES1452" s="2">
        <v>27.8</v>
      </c>
      <c r="ET1452" s="2">
        <v>28.17</v>
      </c>
      <c r="EU1452" s="2">
        <v>28.29</v>
      </c>
      <c r="EV1452" s="2">
        <v>28.29</v>
      </c>
      <c r="EW1452" s="2">
        <v>28.66</v>
      </c>
      <c r="EX1452" s="2">
        <v>28.95</v>
      </c>
      <c r="EY1452" s="2">
        <v>29.24</v>
      </c>
      <c r="EZ1452" s="2">
        <v>29.89</v>
      </c>
      <c r="FA1452" s="2">
        <v>30.96</v>
      </c>
      <c r="FB1452" s="2">
        <v>31.29</v>
      </c>
      <c r="FC1452" s="2">
        <v>31.87</v>
      </c>
      <c r="FD1452" s="2">
        <v>32.28</v>
      </c>
      <c r="FE1452" s="2">
        <v>33.14</v>
      </c>
      <c r="FF1452" s="2">
        <v>34.29</v>
      </c>
      <c r="FG1452" s="2">
        <v>34.86</v>
      </c>
      <c r="FH1452" s="2">
        <v>35.44</v>
      </c>
      <c r="FI1452" s="2">
        <v>36.01</v>
      </c>
      <c r="FJ1452" s="2">
        <v>36.63</v>
      </c>
      <c r="FK1452" s="2">
        <v>37.12</v>
      </c>
      <c r="FL1452" s="2">
        <v>37.7</v>
      </c>
      <c r="FM1452" s="2">
        <v>37.94</v>
      </c>
      <c r="FN1452" s="2">
        <v>38.31</v>
      </c>
      <c r="FO1452" s="2">
        <v>38.89</v>
      </c>
      <c r="FP1452" s="2">
        <v>39.54</v>
      </c>
      <c r="FQ1452" s="2">
        <v>40.08</v>
      </c>
      <c r="FR1452" s="2">
        <v>40.82</v>
      </c>
      <c r="FS1452" s="2">
        <v>41.31</v>
      </c>
      <c r="FT1452" s="2">
        <v>42.05</v>
      </c>
      <c r="FU1452" s="2">
        <v>42.5</v>
      </c>
      <c r="FV1452" s="2">
        <v>43.69</v>
      </c>
      <c r="FW1452" s="2">
        <v>43.57</v>
      </c>
      <c r="FX1452" s="2">
        <v>43.77</v>
      </c>
      <c r="FY1452" s="2">
        <v>43.9</v>
      </c>
      <c r="FZ1452" s="2">
        <v>44.43</v>
      </c>
      <c r="GA1452" s="2">
        <v>44.47</v>
      </c>
      <c r="GB1452" s="2">
        <v>44.51</v>
      </c>
      <c r="GC1452" s="2">
        <v>44.72</v>
      </c>
      <c r="GD1452" s="2">
        <v>44.84</v>
      </c>
      <c r="GE1452" s="2">
        <v>45.09</v>
      </c>
      <c r="GF1452" s="2">
        <v>45.17</v>
      </c>
      <c r="GG1452" s="2">
        <v>45.42</v>
      </c>
      <c r="GH1452" s="2">
        <v>45.87</v>
      </c>
      <c r="GI1452" s="2">
        <v>45.74</v>
      </c>
      <c r="GJ1452" s="2">
        <v>46.16</v>
      </c>
      <c r="GK1452" s="2">
        <v>46.4</v>
      </c>
      <c r="GL1452" s="2">
        <v>46.69</v>
      </c>
      <c r="GM1452" s="2">
        <v>47.35</v>
      </c>
      <c r="GN1452" s="2">
        <v>47.96</v>
      </c>
      <c r="GO1452" s="2">
        <v>48.46</v>
      </c>
      <c r="GP1452" s="2">
        <v>48.95</v>
      </c>
      <c r="GQ1452" s="2">
        <v>49.19</v>
      </c>
      <c r="GR1452" s="2">
        <v>49.6</v>
      </c>
      <c r="GS1452" s="2">
        <v>49.93</v>
      </c>
      <c r="GT1452" s="2">
        <v>49.97</v>
      </c>
      <c r="GU1452" s="2">
        <v>49.93</v>
      </c>
      <c r="GV1452" s="2">
        <v>49.89</v>
      </c>
      <c r="GW1452" s="2">
        <v>49.69</v>
      </c>
      <c r="GX1452" s="2">
        <v>49.6</v>
      </c>
      <c r="GY1452" s="2">
        <v>49.89</v>
      </c>
      <c r="GZ1452" s="2">
        <v>50.02</v>
      </c>
      <c r="HA1452" s="2">
        <v>50.16</v>
      </c>
      <c r="HB1452" s="2">
        <v>50.37</v>
      </c>
      <c r="HC1452" s="2">
        <v>50.14</v>
      </c>
      <c r="HD1452" s="2">
        <v>50.39</v>
      </c>
      <c r="HE1452" s="2">
        <v>50.47</v>
      </c>
      <c r="HF1452" s="2">
        <v>50.76</v>
      </c>
      <c r="HG1452" s="2">
        <v>51.09</v>
      </c>
      <c r="HH1452" s="2">
        <v>51.61</v>
      </c>
      <c r="HI1452" s="2">
        <v>53.36</v>
      </c>
      <c r="HJ1452" s="2">
        <v>53.65</v>
      </c>
      <c r="HK1452" s="2">
        <v>53.67</v>
      </c>
      <c r="HL1452" s="2">
        <v>54.27</v>
      </c>
      <c r="HM1452" s="2">
        <v>54.42</v>
      </c>
      <c r="HN1452" s="2">
        <v>54.8</v>
      </c>
      <c r="HO1452" s="2">
        <v>54.95</v>
      </c>
      <c r="HP1452" s="2">
        <v>55.44</v>
      </c>
      <c r="HQ1452" s="2">
        <v>55.61</v>
      </c>
      <c r="HR1452" s="2">
        <v>55.94</v>
      </c>
      <c r="HS1452" s="2">
        <v>56.45</v>
      </c>
      <c r="HT1452" s="2">
        <v>56.65</v>
      </c>
      <c r="HU1452" s="2">
        <v>56.58</v>
      </c>
      <c r="HV1452" s="2">
        <v>56.86</v>
      </c>
      <c r="HW1452" s="2">
        <v>57.07</v>
      </c>
      <c r="HX1452" s="2">
        <v>57.34</v>
      </c>
      <c r="HY1452" s="2">
        <v>57.82</v>
      </c>
      <c r="HZ1452" s="2">
        <v>57.94</v>
      </c>
      <c r="IA1452" s="2">
        <v>58.28</v>
      </c>
      <c r="IB1452" s="2">
        <v>58.78</v>
      </c>
      <c r="IC1452" s="2">
        <v>59.41</v>
      </c>
      <c r="ID1452" s="2">
        <v>59.72</v>
      </c>
      <c r="IE1452" s="2">
        <v>60.24</v>
      </c>
      <c r="IF1452" s="2">
        <v>61.27</v>
      </c>
      <c r="IG1452" s="2">
        <v>62.32</v>
      </c>
      <c r="IH1452" s="2">
        <v>62.65</v>
      </c>
      <c r="II1452" s="2">
        <v>62.64</v>
      </c>
      <c r="IJ1452" s="2">
        <v>63.53</v>
      </c>
      <c r="IK1452" s="2">
        <v>64.3</v>
      </c>
      <c r="IL1452" s="2">
        <v>64.5</v>
      </c>
      <c r="IM1452" s="2">
        <v>65.08</v>
      </c>
      <c r="IN1452" s="2">
        <v>66.03</v>
      </c>
      <c r="IO1452" s="2">
        <v>67.19</v>
      </c>
      <c r="IP1452" s="2">
        <v>66.91</v>
      </c>
      <c r="IQ1452" s="2">
        <v>66.94</v>
      </c>
      <c r="IR1452" s="2">
        <v>67.68000000000001</v>
      </c>
      <c r="IS1452" s="2">
        <v>69</v>
      </c>
      <c r="IT1452" s="2">
        <v>68.92</v>
      </c>
      <c r="IU1452" s="2">
        <v>69.29000000000001</v>
      </c>
      <c r="IV1452" s="2">
        <v>69.84999999999999</v>
      </c>
      <c r="IW1452" s="2">
        <v>70.59</v>
      </c>
      <c r="IX1452" s="2">
        <v>70.54000000000001</v>
      </c>
      <c r="IY1452" s="2">
        <v>71.33</v>
      </c>
      <c r="IZ1452" s="2">
        <v>72.02</v>
      </c>
      <c r="JA1452" s="2">
        <v>72.56</v>
      </c>
      <c r="JB1452" s="2">
        <v>72.28</v>
      </c>
      <c r="JC1452" s="2">
        <v>72.52</v>
      </c>
      <c r="JD1452" s="2">
        <v>73.16</v>
      </c>
      <c r="JE1452" s="2">
        <v>74.09999999999999</v>
      </c>
      <c r="JF1452" s="2">
        <v>74.06</v>
      </c>
      <c r="JG1452" s="2">
        <v>75.31</v>
      </c>
      <c r="JH1452" s="2">
        <v>75.94</v>
      </c>
      <c r="JI1452" s="2">
        <v>76.59999999999999</v>
      </c>
      <c r="JJ1452" s="2">
        <v>77.38</v>
      </c>
      <c r="JK1452" s="2">
        <v>77.98999999999999</v>
      </c>
      <c r="JL1452" s="2">
        <v>78.5</v>
      </c>
      <c r="JM1452" s="2">
        <v>78.68000000000001</v>
      </c>
      <c r="JN1452" s="2">
        <v>78.81999999999999</v>
      </c>
      <c r="JO1452" s="2">
        <v>78.64</v>
      </c>
      <c r="JP1452" s="2">
        <v>78.63</v>
      </c>
      <c r="JQ1452" s="2">
        <v>78.92</v>
      </c>
      <c r="JR1452" s="2">
        <v>79.17</v>
      </c>
      <c r="JS1452" s="2">
        <v>78.43000000000001</v>
      </c>
      <c r="JT1452" s="2">
        <v>78.68000000000001</v>
      </c>
      <c r="JU1452" s="2">
        <v>78.94</v>
      </c>
      <c r="JV1452" s="2">
        <v>78.86</v>
      </c>
      <c r="KA1452" s="2">
        <v>78.8</v>
      </c>
      <c r="KB1452" s="2">
        <v>79.01000000000001</v>
      </c>
      <c r="KC1452" s="2">
        <v>79.48999999999999</v>
      </c>
      <c r="KD1452" s="2">
        <v>79.68000000000001</v>
      </c>
      <c r="KQ1452" s="2">
        <v>79.7</v>
      </c>
      <c r="KR1452" s="2">
        <v>79.95999999999999</v>
      </c>
      <c r="KS1452" s="2">
        <v>80.45999999999999</v>
      </c>
      <c r="KT1452" s="2">
        <v>80.62</v>
      </c>
      <c r="LG1452" s="2">
        <v>79.98999999999999</v>
      </c>
      <c r="LH1452" s="2">
        <v>80.59999999999999</v>
      </c>
      <c r="LI1452" s="2">
        <v>80.84</v>
      </c>
      <c r="LJ1452" s="2">
        <v>80.98999999999999</v>
      </c>
      <c r="LW1452" s="2">
        <v>81.19</v>
      </c>
      <c r="LX1452" s="2">
        <v>79.14</v>
      </c>
      <c r="LY1452" s="2">
        <v>80.47</v>
      </c>
      <c r="LZ1452" s="2">
        <v>80.95999999999999</v>
      </c>
      <c r="MM1452" s="2">
        <v>83.06999999999999</v>
      </c>
      <c r="MN1452" s="2">
        <v>83.97</v>
      </c>
      <c r="MO1452" s="2">
        <v>85.17</v>
      </c>
      <c r="MP1452" s="2">
        <v>85.84999999999999</v>
      </c>
      <c r="NC1452" s="2">
        <v>87.64</v>
      </c>
      <c r="ND1452" s="2">
        <v>89.45</v>
      </c>
      <c r="NE1452" s="2">
        <v>91.16</v>
      </c>
      <c r="NF1452" s="2">
        <v>91.97</v>
      </c>
      <c r="NS1452" s="2">
        <v>93.15000000000001</v>
      </c>
      <c r="NT1452" s="2">
        <v>94.18000000000001</v>
      </c>
      <c r="NU1452" s="2">
        <v>95.05</v>
      </c>
      <c r="NV1452" s="2">
        <v>95.52</v>
      </c>
      <c r="OI1452" s="2">
        <v>96.14</v>
      </c>
      <c r="OJ1452" s="2">
        <v>97.05</v>
      </c>
      <c r="OK1452" s="2">
        <v>97.19</v>
      </c>
      <c r="OL1452" s="2">
        <v>97.12</v>
      </c>
      <c r="OY1452" s="2">
        <v>97.78</v>
      </c>
      <c r="OZ1452" s="2">
        <v>98.56999999999999</v>
      </c>
      <c r="PA1452" s="2">
        <v>99.66</v>
      </c>
      <c r="PB1452" s="2">
        <v>100.33</v>
      </c>
      <c r="PJ1452" s="2">
        <v>101.27</v>
      </c>
      <c r="PK1452" s="2">
        <v>102.35</v>
      </c>
    </row>
    <row r="1453">
      <c r="A1453" t="inlineStr">
        <is>
          <t>A2325841T</t>
        </is>
      </c>
      <c r="B1453" t="inlineStr">
        <is>
          <t>Index Numbers ;  All groups CPI ;  Canberra ;</t>
        </is>
      </c>
      <c r="C1453" t="inlineStr">
        <is>
          <t>Quarter</t>
        </is>
      </c>
      <c r="D1453" t="inlineStr">
        <is>
          <t>Index Numbers</t>
        </is>
      </c>
      <c r="E1453" t="inlineStr">
        <is>
          <t>Original</t>
        </is>
      </c>
      <c r="F1453" t="inlineStr">
        <is>
          <t>6401017.xlsx</t>
        </is>
      </c>
      <c r="G1453" t="inlineStr">
        <is>
          <t>1948Q3</t>
        </is>
      </c>
      <c r="H1453" t="inlineStr">
        <is>
          <t>2026Q2</t>
        </is>
      </c>
      <c r="I1453" s="2">
        <v>2.79</v>
      </c>
      <c r="J1453" s="2">
        <v>2.87</v>
      </c>
      <c r="K1453" s="2">
        <v>2.91</v>
      </c>
      <c r="L1453" s="2">
        <v>2.98</v>
      </c>
      <c r="M1453" s="2">
        <v>3.02</v>
      </c>
      <c r="N1453" s="2">
        <v>3.06</v>
      </c>
      <c r="O1453" s="2">
        <v>3.1</v>
      </c>
      <c r="P1453" s="2">
        <v>3.22</v>
      </c>
      <c r="Q1453" s="2">
        <v>3.3</v>
      </c>
      <c r="R1453" s="2">
        <v>3.42</v>
      </c>
      <c r="S1453" s="2">
        <v>3.61</v>
      </c>
      <c r="T1453" s="2">
        <v>3.85</v>
      </c>
      <c r="U1453" s="2">
        <v>4.05</v>
      </c>
      <c r="V1453" s="2">
        <v>4.28</v>
      </c>
      <c r="W1453" s="2">
        <v>4.4</v>
      </c>
      <c r="X1453" s="2">
        <v>4.63</v>
      </c>
      <c r="Y1453" s="2">
        <v>4.71</v>
      </c>
      <c r="Z1453" s="2">
        <v>4.75</v>
      </c>
      <c r="AA1453" s="2">
        <v>4.79</v>
      </c>
      <c r="AB1453" s="2">
        <v>4.83</v>
      </c>
      <c r="AC1453" s="2">
        <v>4.91</v>
      </c>
      <c r="AD1453" s="2">
        <v>4.95</v>
      </c>
      <c r="AE1453" s="2">
        <v>4.91</v>
      </c>
      <c r="AF1453" s="2">
        <v>4.91</v>
      </c>
      <c r="AG1453" s="2">
        <v>4.91</v>
      </c>
      <c r="AH1453" s="2">
        <v>4.99</v>
      </c>
      <c r="AI1453" s="2">
        <v>4.99</v>
      </c>
      <c r="AJ1453" s="2">
        <v>5.03</v>
      </c>
      <c r="AK1453" s="2">
        <v>5.07</v>
      </c>
      <c r="AL1453" s="2">
        <v>5.11</v>
      </c>
      <c r="AM1453" s="2">
        <v>5.14</v>
      </c>
      <c r="AN1453" s="2">
        <v>5.26</v>
      </c>
      <c r="AO1453" s="2">
        <v>5.38</v>
      </c>
      <c r="AP1453" s="2">
        <v>5.42</v>
      </c>
      <c r="AQ1453" s="2">
        <v>5.42</v>
      </c>
      <c r="AR1453" s="2">
        <v>5.42</v>
      </c>
      <c r="AS1453" s="2">
        <v>5.42</v>
      </c>
      <c r="AT1453" s="2">
        <v>5.42</v>
      </c>
      <c r="AU1453" s="2">
        <v>5.46</v>
      </c>
      <c r="AV1453" s="2">
        <v>5.5</v>
      </c>
      <c r="AW1453" s="2">
        <v>5.46</v>
      </c>
      <c r="AX1453" s="2">
        <v>5.5</v>
      </c>
      <c r="AY1453" s="2">
        <v>5.5</v>
      </c>
      <c r="AZ1453" s="2">
        <v>5.58</v>
      </c>
      <c r="BA1453" s="2">
        <v>5.58</v>
      </c>
      <c r="BB1453" s="2">
        <v>5.62</v>
      </c>
      <c r="BC1453" s="2">
        <v>5.66</v>
      </c>
      <c r="BD1453" s="2">
        <v>5.69</v>
      </c>
      <c r="BE1453" s="2">
        <v>5.77</v>
      </c>
      <c r="BF1453" s="2">
        <v>5.77</v>
      </c>
      <c r="BG1453" s="2">
        <v>5.81</v>
      </c>
      <c r="BH1453" s="2">
        <v>5.85</v>
      </c>
      <c r="BI1453" s="2">
        <v>5.85</v>
      </c>
      <c r="BJ1453" s="2">
        <v>5.93</v>
      </c>
      <c r="BK1453" s="2">
        <v>5.89</v>
      </c>
      <c r="BL1453" s="2">
        <v>5.89</v>
      </c>
      <c r="BM1453" s="2">
        <v>5.89</v>
      </c>
      <c r="BN1453" s="2">
        <v>5.93</v>
      </c>
      <c r="BO1453" s="2">
        <v>5.89</v>
      </c>
      <c r="BP1453" s="2">
        <v>5.89</v>
      </c>
      <c r="BQ1453" s="2">
        <v>5.93</v>
      </c>
      <c r="BR1453" s="2">
        <v>5.93</v>
      </c>
      <c r="BS1453" s="2">
        <v>5.93</v>
      </c>
      <c r="BT1453" s="2">
        <v>5.97</v>
      </c>
      <c r="BU1453" s="2">
        <v>6.05</v>
      </c>
      <c r="BV1453" s="2">
        <v>6.13</v>
      </c>
      <c r="BW1453" s="2">
        <v>6.13</v>
      </c>
      <c r="BX1453" s="2">
        <v>6.21</v>
      </c>
      <c r="BY1453" s="2">
        <v>6.24</v>
      </c>
      <c r="BZ1453" s="2">
        <v>6.32</v>
      </c>
      <c r="CA1453" s="2">
        <v>6.32</v>
      </c>
      <c r="CB1453" s="2">
        <v>6.32</v>
      </c>
      <c r="CC1453" s="2">
        <v>6.36</v>
      </c>
      <c r="CD1453" s="2">
        <v>6.4</v>
      </c>
      <c r="CE1453" s="2">
        <v>6.44</v>
      </c>
      <c r="CF1453" s="2">
        <v>6.52</v>
      </c>
      <c r="CG1453" s="2">
        <v>6.56</v>
      </c>
      <c r="CH1453" s="2">
        <v>6.6</v>
      </c>
      <c r="CI1453" s="2">
        <v>6.6</v>
      </c>
      <c r="CJ1453" s="2">
        <v>6.64</v>
      </c>
      <c r="CK1453" s="2">
        <v>6.64</v>
      </c>
      <c r="CL1453" s="2">
        <v>6.68</v>
      </c>
      <c r="CM1453" s="2">
        <v>6.76</v>
      </c>
      <c r="CN1453" s="2">
        <v>6.76</v>
      </c>
      <c r="CO1453" s="2">
        <v>6.79</v>
      </c>
      <c r="CP1453" s="2">
        <v>6.87</v>
      </c>
      <c r="CQ1453" s="2">
        <v>6.95</v>
      </c>
      <c r="CR1453" s="2">
        <v>6.99</v>
      </c>
      <c r="CS1453" s="2">
        <v>7.07</v>
      </c>
      <c r="CT1453" s="2">
        <v>7.27</v>
      </c>
      <c r="CU1453" s="2">
        <v>7.3</v>
      </c>
      <c r="CV1453" s="2">
        <v>7.42</v>
      </c>
      <c r="CW1453" s="2">
        <v>7.54</v>
      </c>
      <c r="CX1453" s="2">
        <v>7.66</v>
      </c>
      <c r="CY1453" s="2">
        <v>7.7</v>
      </c>
      <c r="CZ1453" s="2">
        <v>7.78</v>
      </c>
      <c r="DA1453" s="2">
        <v>7.89</v>
      </c>
      <c r="DB1453" s="2">
        <v>8.01</v>
      </c>
      <c r="DC1453" s="2">
        <v>8.17</v>
      </c>
      <c r="DD1453" s="2">
        <v>8.4</v>
      </c>
      <c r="DE1453" s="2">
        <v>8.720000000000001</v>
      </c>
      <c r="DF1453" s="2">
        <v>9.07</v>
      </c>
      <c r="DG1453" s="2">
        <v>9.31</v>
      </c>
      <c r="DH1453" s="2">
        <v>9.619999999999999</v>
      </c>
      <c r="DI1453" s="2">
        <v>10.13</v>
      </c>
      <c r="DJ1453" s="2">
        <v>10.45</v>
      </c>
      <c r="DK1453" s="2">
        <v>10.68</v>
      </c>
      <c r="DL1453" s="2">
        <v>11.15</v>
      </c>
      <c r="DM1453" s="2">
        <v>11.11</v>
      </c>
      <c r="DN1453" s="2">
        <v>12.02</v>
      </c>
      <c r="DO1453" s="2">
        <v>12.33</v>
      </c>
      <c r="DP1453" s="2">
        <v>12.72</v>
      </c>
      <c r="DQ1453" s="2">
        <v>13</v>
      </c>
      <c r="DR1453" s="2">
        <v>13.71</v>
      </c>
      <c r="DS1453" s="2">
        <v>13.94</v>
      </c>
      <c r="DT1453" s="2">
        <v>14.18</v>
      </c>
      <c r="DU1453" s="2">
        <v>14.45</v>
      </c>
      <c r="DV1453" s="2">
        <v>14.92</v>
      </c>
      <c r="DW1453" s="2">
        <v>15.08</v>
      </c>
      <c r="DX1453" s="2">
        <v>15.32</v>
      </c>
      <c r="DY1453" s="2">
        <v>15.63</v>
      </c>
      <c r="DZ1453" s="2">
        <v>15.98</v>
      </c>
      <c r="EA1453" s="2">
        <v>16.26</v>
      </c>
      <c r="EB1453" s="2">
        <v>16.77</v>
      </c>
      <c r="EC1453" s="2">
        <v>17.2</v>
      </c>
      <c r="ED1453" s="2">
        <v>17.63</v>
      </c>
      <c r="EE1453" s="2">
        <v>18.11</v>
      </c>
      <c r="EF1453" s="2">
        <v>18.62</v>
      </c>
      <c r="EG1453" s="2">
        <v>18.97</v>
      </c>
      <c r="EH1453" s="2">
        <v>19.4</v>
      </c>
      <c r="EI1453" s="2">
        <v>19.79</v>
      </c>
      <c r="EJ1453" s="2">
        <v>20.3</v>
      </c>
      <c r="EK1453" s="2">
        <v>20.74</v>
      </c>
      <c r="EL1453" s="2">
        <v>21.56</v>
      </c>
      <c r="EM1453" s="2">
        <v>21.91</v>
      </c>
      <c r="EN1453" s="2">
        <v>22.58</v>
      </c>
      <c r="EO1453" s="2">
        <v>23.29</v>
      </c>
      <c r="EP1453" s="2">
        <v>24.19</v>
      </c>
      <c r="EQ1453" s="2">
        <v>24.7</v>
      </c>
      <c r="ER1453" s="2">
        <v>25.1</v>
      </c>
      <c r="ES1453" s="2">
        <v>25.45</v>
      </c>
      <c r="ET1453" s="2">
        <v>26.08</v>
      </c>
      <c r="EU1453" s="2">
        <v>26.12</v>
      </c>
      <c r="EV1453" s="2">
        <v>26.16</v>
      </c>
      <c r="EW1453" s="2">
        <v>26.55</v>
      </c>
      <c r="EX1453" s="2">
        <v>26.94</v>
      </c>
      <c r="EY1453" s="2">
        <v>27.37</v>
      </c>
      <c r="EZ1453" s="2">
        <v>28</v>
      </c>
      <c r="FA1453" s="2">
        <v>28.67</v>
      </c>
      <c r="FB1453" s="2">
        <v>29.3</v>
      </c>
      <c r="FC1453" s="2">
        <v>29.93</v>
      </c>
      <c r="FD1453" s="2">
        <v>30.44</v>
      </c>
      <c r="FE1453" s="2">
        <v>31.07</v>
      </c>
      <c r="FF1453" s="2">
        <v>31.85</v>
      </c>
      <c r="FG1453" s="2">
        <v>32.4</v>
      </c>
      <c r="FH1453" s="2">
        <v>32.91</v>
      </c>
      <c r="FI1453" s="2">
        <v>33.34</v>
      </c>
      <c r="FJ1453" s="2">
        <v>33.93</v>
      </c>
      <c r="FK1453" s="2">
        <v>34.6</v>
      </c>
      <c r="FL1453" s="2">
        <v>35.23</v>
      </c>
      <c r="FM1453" s="2">
        <v>35.66</v>
      </c>
      <c r="FN1453" s="2">
        <v>36.29</v>
      </c>
      <c r="FO1453" s="2">
        <v>36.72</v>
      </c>
      <c r="FP1453" s="2">
        <v>37.58</v>
      </c>
      <c r="FQ1453" s="2">
        <v>38.17</v>
      </c>
      <c r="FR1453" s="2">
        <v>39</v>
      </c>
      <c r="FS1453" s="2">
        <v>39.74</v>
      </c>
      <c r="FT1453" s="2">
        <v>40.18</v>
      </c>
      <c r="FU1453" s="2">
        <v>40.49</v>
      </c>
      <c r="FV1453" s="2">
        <v>41.63</v>
      </c>
      <c r="FW1453" s="2">
        <v>41.43</v>
      </c>
      <c r="FX1453" s="2">
        <v>41.47</v>
      </c>
      <c r="FY1453" s="2">
        <v>42.02</v>
      </c>
      <c r="FZ1453" s="2">
        <v>42.38</v>
      </c>
      <c r="GA1453" s="2">
        <v>42.49</v>
      </c>
      <c r="GB1453" s="2">
        <v>42.38</v>
      </c>
      <c r="GC1453" s="2">
        <v>42.65</v>
      </c>
      <c r="GD1453" s="2">
        <v>42.81</v>
      </c>
      <c r="GE1453" s="2">
        <v>43.24</v>
      </c>
      <c r="GF1453" s="2">
        <v>43.32</v>
      </c>
      <c r="GG1453" s="2">
        <v>43.59</v>
      </c>
      <c r="GH1453" s="2">
        <v>43.71</v>
      </c>
      <c r="GI1453" s="2">
        <v>43.75</v>
      </c>
      <c r="GJ1453" s="2">
        <v>43.99</v>
      </c>
      <c r="GK1453" s="2">
        <v>44.22</v>
      </c>
      <c r="GL1453" s="2">
        <v>44.69</v>
      </c>
      <c r="GM1453" s="2">
        <v>45.67</v>
      </c>
      <c r="GN1453" s="2">
        <v>46.19</v>
      </c>
      <c r="GO1453" s="2">
        <v>46.77</v>
      </c>
      <c r="GP1453" s="2">
        <v>47.13</v>
      </c>
      <c r="GQ1453" s="2">
        <v>47.44</v>
      </c>
      <c r="GR1453" s="2">
        <v>47.68</v>
      </c>
      <c r="GS1453" s="2">
        <v>47.68</v>
      </c>
      <c r="GT1453" s="2">
        <v>47.68</v>
      </c>
      <c r="GU1453" s="2">
        <v>47.68</v>
      </c>
      <c r="GV1453" s="2">
        <v>47.29</v>
      </c>
      <c r="GW1453" s="2">
        <v>47.05</v>
      </c>
      <c r="GX1453" s="2">
        <v>47.05</v>
      </c>
      <c r="GY1453" s="2">
        <v>47.36</v>
      </c>
      <c r="GZ1453" s="2">
        <v>47.6</v>
      </c>
      <c r="HA1453" s="2">
        <v>47.64</v>
      </c>
      <c r="HB1453" s="2">
        <v>47.79</v>
      </c>
      <c r="HC1453" s="2">
        <v>47.67</v>
      </c>
      <c r="HD1453" s="2">
        <v>47.72</v>
      </c>
      <c r="HE1453" s="2">
        <v>48.08</v>
      </c>
      <c r="HF1453" s="2">
        <v>48.57</v>
      </c>
      <c r="HG1453" s="2">
        <v>49.04</v>
      </c>
      <c r="HH1453" s="2">
        <v>49.43</v>
      </c>
      <c r="HI1453" s="2">
        <v>51.32</v>
      </c>
      <c r="HJ1453" s="2">
        <v>51.5</v>
      </c>
      <c r="HK1453" s="2">
        <v>51.9</v>
      </c>
      <c r="HL1453" s="2">
        <v>52.4</v>
      </c>
      <c r="HM1453" s="2">
        <v>52.33</v>
      </c>
      <c r="HN1453" s="2">
        <v>52.98</v>
      </c>
      <c r="HO1453" s="2">
        <v>53.27</v>
      </c>
      <c r="HP1453" s="2">
        <v>53.9</v>
      </c>
      <c r="HQ1453" s="2">
        <v>54.23</v>
      </c>
      <c r="HR1453" s="2">
        <v>54.67</v>
      </c>
      <c r="HS1453" s="2">
        <v>55.25</v>
      </c>
      <c r="HT1453" s="2">
        <v>55.24</v>
      </c>
      <c r="HU1453" s="2">
        <v>55.74</v>
      </c>
      <c r="HV1453" s="2">
        <v>56.11</v>
      </c>
      <c r="HW1453" s="2">
        <v>56.51</v>
      </c>
      <c r="HX1453" s="2">
        <v>56.87</v>
      </c>
      <c r="HY1453" s="2">
        <v>57.15</v>
      </c>
      <c r="HZ1453" s="2">
        <v>57.45</v>
      </c>
      <c r="IA1453" s="2">
        <v>57.75</v>
      </c>
      <c r="IB1453" s="2">
        <v>58.06</v>
      </c>
      <c r="IC1453" s="2">
        <v>58.79</v>
      </c>
      <c r="ID1453" s="2">
        <v>59.26</v>
      </c>
      <c r="IE1453" s="2">
        <v>59.77</v>
      </c>
      <c r="IF1453" s="2">
        <v>60.85</v>
      </c>
      <c r="IG1453" s="2">
        <v>61.28</v>
      </c>
      <c r="IH1453" s="2">
        <v>61.13</v>
      </c>
      <c r="II1453" s="2">
        <v>61.22</v>
      </c>
      <c r="IJ1453" s="2">
        <v>62.06</v>
      </c>
      <c r="IK1453" s="2">
        <v>62.53</v>
      </c>
      <c r="IL1453" s="2">
        <v>63.15</v>
      </c>
      <c r="IM1453" s="2">
        <v>64.02</v>
      </c>
      <c r="IN1453" s="2">
        <v>64.79000000000001</v>
      </c>
      <c r="IO1453" s="2">
        <v>65.8</v>
      </c>
      <c r="IP1453" s="2">
        <v>65.52</v>
      </c>
      <c r="IQ1453" s="2">
        <v>65.73999999999999</v>
      </c>
      <c r="IR1453" s="2">
        <v>66.15000000000001</v>
      </c>
      <c r="IS1453" s="2">
        <v>66.73</v>
      </c>
      <c r="IT1453" s="2">
        <v>66.98999999999999</v>
      </c>
      <c r="IU1453" s="2">
        <v>67.43000000000001</v>
      </c>
      <c r="IV1453" s="2">
        <v>67.67</v>
      </c>
      <c r="IW1453" s="2">
        <v>68.12</v>
      </c>
      <c r="IX1453" s="2">
        <v>68.42</v>
      </c>
      <c r="IY1453" s="2">
        <v>69.45</v>
      </c>
      <c r="IZ1453" s="2">
        <v>70.19</v>
      </c>
      <c r="JA1453" s="2">
        <v>70.64</v>
      </c>
      <c r="JB1453" s="2">
        <v>70.83</v>
      </c>
      <c r="JC1453" s="2">
        <v>70.56999999999999</v>
      </c>
      <c r="JD1453" s="2">
        <v>71.01000000000001</v>
      </c>
      <c r="JE1453" s="2">
        <v>71.75</v>
      </c>
      <c r="JF1453" s="2">
        <v>72.01000000000001</v>
      </c>
      <c r="JG1453" s="2">
        <v>72.14</v>
      </c>
      <c r="JH1453" s="2">
        <v>72.51000000000001</v>
      </c>
      <c r="JI1453" s="2">
        <v>72.98</v>
      </c>
      <c r="JJ1453" s="2">
        <v>73.69</v>
      </c>
      <c r="JK1453" s="2">
        <v>74</v>
      </c>
      <c r="JL1453" s="2">
        <v>74.17</v>
      </c>
      <c r="JM1453" s="2">
        <v>74.42</v>
      </c>
      <c r="JN1453" s="2">
        <v>74.5</v>
      </c>
      <c r="JO1453" s="2">
        <v>74.42</v>
      </c>
      <c r="JP1453" s="2">
        <v>74.76000000000001</v>
      </c>
      <c r="JQ1453" s="2">
        <v>74.84</v>
      </c>
      <c r="JR1453" s="2">
        <v>75.03</v>
      </c>
      <c r="JS1453" s="2">
        <v>75.13</v>
      </c>
      <c r="JT1453" s="2">
        <v>75.26000000000001</v>
      </c>
      <c r="JU1453" s="2">
        <v>75.93000000000001</v>
      </c>
      <c r="JV1453" s="2">
        <v>76.34</v>
      </c>
      <c r="KA1453" s="2">
        <v>76.86</v>
      </c>
      <c r="KB1453" s="2">
        <v>76.84999999999999</v>
      </c>
      <c r="KC1453" s="2">
        <v>77.53</v>
      </c>
      <c r="KD1453" s="2">
        <v>78.06</v>
      </c>
      <c r="KQ1453" s="2">
        <v>78.66</v>
      </c>
      <c r="KR1453" s="2">
        <v>79.01000000000001</v>
      </c>
      <c r="KS1453" s="2">
        <v>79.45</v>
      </c>
      <c r="KT1453" s="2">
        <v>80.03</v>
      </c>
      <c r="LG1453" s="2">
        <v>80.06999999999999</v>
      </c>
      <c r="LH1453" s="2">
        <v>80.31</v>
      </c>
      <c r="LI1453" s="2">
        <v>80.87</v>
      </c>
      <c r="LJ1453" s="2">
        <v>81.39</v>
      </c>
      <c r="LW1453" s="2">
        <v>81.75</v>
      </c>
      <c r="LX1453" s="2">
        <v>79.8</v>
      </c>
      <c r="LY1453" s="2">
        <v>81.67</v>
      </c>
      <c r="LZ1453" s="2">
        <v>82.29000000000001</v>
      </c>
      <c r="MM1453" s="2">
        <v>82.98999999999999</v>
      </c>
      <c r="MN1453" s="2">
        <v>83.63</v>
      </c>
      <c r="MO1453" s="2">
        <v>84.73999999999999</v>
      </c>
      <c r="MP1453" s="2">
        <v>85.58</v>
      </c>
      <c r="NC1453" s="2">
        <v>87.48</v>
      </c>
      <c r="ND1453" s="2">
        <v>88.90000000000001</v>
      </c>
      <c r="NE1453" s="2">
        <v>90.56</v>
      </c>
      <c r="NF1453" s="2">
        <v>91.59999999999999</v>
      </c>
      <c r="NS1453" s="2">
        <v>92.91</v>
      </c>
      <c r="NT1453" s="2">
        <v>93.91</v>
      </c>
      <c r="NU1453" s="2">
        <v>94.64</v>
      </c>
      <c r="NV1453" s="2">
        <v>95.06</v>
      </c>
      <c r="OI1453" s="2">
        <v>95.94</v>
      </c>
      <c r="OJ1453" s="2">
        <v>96.81999999999999</v>
      </c>
      <c r="OK1453" s="2">
        <v>97.09999999999999</v>
      </c>
      <c r="OL1453" s="2">
        <v>97.13</v>
      </c>
      <c r="OY1453" s="2">
        <v>98.08</v>
      </c>
      <c r="OZ1453" s="2">
        <v>98.36</v>
      </c>
      <c r="PA1453" s="2">
        <v>99.86</v>
      </c>
      <c r="PB1453" s="2">
        <v>100.41</v>
      </c>
      <c r="PJ1453" s="2">
        <v>101.71</v>
      </c>
      <c r="PK1453" s="2">
        <v>102.29</v>
      </c>
    </row>
    <row r="1454">
      <c r="A1454" t="inlineStr">
        <is>
          <t>A2325846C</t>
        </is>
      </c>
      <c r="B1454" t="inlineStr">
        <is>
          <t>Index Numbers ;  All groups CPI ;  Australia ;</t>
        </is>
      </c>
      <c r="C1454" t="inlineStr">
        <is>
          <t>Quarter</t>
        </is>
      </c>
      <c r="D1454" t="inlineStr">
        <is>
          <t>Index Numbers</t>
        </is>
      </c>
      <c r="E1454" t="inlineStr">
        <is>
          <t>Original</t>
        </is>
      </c>
      <c r="F1454" t="inlineStr">
        <is>
          <t>6401017.xlsx</t>
        </is>
      </c>
      <c r="G1454" t="inlineStr">
        <is>
          <t>1948Q3</t>
        </is>
      </c>
      <c r="H1454" t="inlineStr">
        <is>
          <t>2026Q2</t>
        </is>
      </c>
      <c r="I1454" s="2">
        <v>2.59</v>
      </c>
      <c r="J1454" s="2">
        <v>2.63</v>
      </c>
      <c r="K1454" s="2">
        <v>2.71</v>
      </c>
      <c r="L1454" s="2">
        <v>2.74</v>
      </c>
      <c r="M1454" s="2">
        <v>2.82</v>
      </c>
      <c r="N1454" s="2">
        <v>2.86</v>
      </c>
      <c r="O1454" s="2">
        <v>2.9</v>
      </c>
      <c r="P1454" s="2">
        <v>3.02</v>
      </c>
      <c r="Q1454" s="2">
        <v>3.05</v>
      </c>
      <c r="R1454" s="2">
        <v>3.17</v>
      </c>
      <c r="S1454" s="2">
        <v>3.32</v>
      </c>
      <c r="T1454" s="2">
        <v>3.52</v>
      </c>
      <c r="U1454" s="2">
        <v>3.71</v>
      </c>
      <c r="V1454" s="2">
        <v>3.98</v>
      </c>
      <c r="W1454" s="2">
        <v>4.1</v>
      </c>
      <c r="X1454" s="2">
        <v>4.25</v>
      </c>
      <c r="Y1454" s="2">
        <v>4.33</v>
      </c>
      <c r="Z1454" s="2">
        <v>4.37</v>
      </c>
      <c r="AA1454" s="2">
        <v>4.41</v>
      </c>
      <c r="AB1454" s="2">
        <v>4.45</v>
      </c>
      <c r="AC1454" s="2">
        <v>4.48</v>
      </c>
      <c r="AD1454" s="2">
        <v>4.45</v>
      </c>
      <c r="AE1454" s="2">
        <v>4.48</v>
      </c>
      <c r="AF1454" s="2">
        <v>4.48</v>
      </c>
      <c r="AG1454" s="2">
        <v>4.48</v>
      </c>
      <c r="AH1454" s="2">
        <v>4.48</v>
      </c>
      <c r="AI1454" s="2">
        <v>4.52</v>
      </c>
      <c r="AJ1454" s="2">
        <v>4.56</v>
      </c>
      <c r="AK1454" s="2">
        <v>4.6</v>
      </c>
      <c r="AL1454" s="2">
        <v>4.64</v>
      </c>
      <c r="AM1454" s="2">
        <v>4.68</v>
      </c>
      <c r="AN1454" s="2">
        <v>4.83</v>
      </c>
      <c r="AO1454" s="2">
        <v>4.95</v>
      </c>
      <c r="AP1454" s="2">
        <v>4.95</v>
      </c>
      <c r="AQ1454" s="2">
        <v>4.95</v>
      </c>
      <c r="AR1454" s="2">
        <v>4.99</v>
      </c>
      <c r="AS1454" s="2">
        <v>4.99</v>
      </c>
      <c r="AT1454" s="2">
        <v>4.99</v>
      </c>
      <c r="AU1454" s="2">
        <v>5.03</v>
      </c>
      <c r="AV1454" s="2">
        <v>5.03</v>
      </c>
      <c r="AW1454" s="2">
        <v>5.03</v>
      </c>
      <c r="AX1454" s="2">
        <v>5.06</v>
      </c>
      <c r="AY1454" s="2">
        <v>5.1</v>
      </c>
      <c r="AZ1454" s="2">
        <v>5.1</v>
      </c>
      <c r="BA1454" s="2">
        <v>5.14</v>
      </c>
      <c r="BB1454" s="2">
        <v>5.18</v>
      </c>
      <c r="BC1454" s="2">
        <v>5.22</v>
      </c>
      <c r="BD1454" s="2">
        <v>5.3</v>
      </c>
      <c r="BE1454" s="2">
        <v>5.37</v>
      </c>
      <c r="BF1454" s="2">
        <v>5.41</v>
      </c>
      <c r="BG1454" s="2">
        <v>5.45</v>
      </c>
      <c r="BH1454" s="2">
        <v>5.49</v>
      </c>
      <c r="BI1454" s="2">
        <v>5.45</v>
      </c>
      <c r="BJ1454" s="2">
        <v>5.45</v>
      </c>
      <c r="BK1454" s="2">
        <v>5.45</v>
      </c>
      <c r="BL1454" s="2">
        <v>5.45</v>
      </c>
      <c r="BM1454" s="2">
        <v>5.45</v>
      </c>
      <c r="BN1454" s="2">
        <v>5.45</v>
      </c>
      <c r="BO1454" s="2">
        <v>5.45</v>
      </c>
      <c r="BP1454" s="2">
        <v>5.45</v>
      </c>
      <c r="BQ1454" s="2">
        <v>5.49</v>
      </c>
      <c r="BR1454" s="2">
        <v>5.49</v>
      </c>
      <c r="BS1454" s="2">
        <v>5.53</v>
      </c>
      <c r="BT1454" s="2">
        <v>5.57</v>
      </c>
      <c r="BU1454" s="2">
        <v>5.64</v>
      </c>
      <c r="BV1454" s="2">
        <v>5.68</v>
      </c>
      <c r="BW1454" s="2">
        <v>5.72</v>
      </c>
      <c r="BX1454" s="2">
        <v>5.8</v>
      </c>
      <c r="BY1454" s="2">
        <v>5.84</v>
      </c>
      <c r="BZ1454" s="2">
        <v>5.91</v>
      </c>
      <c r="CA1454" s="2">
        <v>5.95</v>
      </c>
      <c r="CB1454" s="2">
        <v>5.99</v>
      </c>
      <c r="CC1454" s="2">
        <v>5.99</v>
      </c>
      <c r="CD1454" s="2">
        <v>6.07</v>
      </c>
      <c r="CE1454" s="2">
        <v>6.11</v>
      </c>
      <c r="CF1454" s="2">
        <v>6.15</v>
      </c>
      <c r="CG1454" s="2">
        <v>6.26</v>
      </c>
      <c r="CH1454" s="2">
        <v>6.26</v>
      </c>
      <c r="CI1454" s="2">
        <v>6.3</v>
      </c>
      <c r="CJ1454" s="2">
        <v>6.34</v>
      </c>
      <c r="CK1454" s="2">
        <v>6.38</v>
      </c>
      <c r="CL1454" s="2">
        <v>6.42</v>
      </c>
      <c r="CM1454" s="2">
        <v>6.49</v>
      </c>
      <c r="CN1454" s="2">
        <v>6.53</v>
      </c>
      <c r="CO1454" s="2">
        <v>6.57</v>
      </c>
      <c r="CP1454" s="2">
        <v>6.61</v>
      </c>
      <c r="CQ1454" s="2">
        <v>6.69</v>
      </c>
      <c r="CR1454" s="2">
        <v>6.77</v>
      </c>
      <c r="CS1454" s="2">
        <v>6.8</v>
      </c>
      <c r="CT1454" s="2">
        <v>6.92</v>
      </c>
      <c r="CU1454" s="2">
        <v>7</v>
      </c>
      <c r="CV1454" s="2">
        <v>7.11</v>
      </c>
      <c r="CW1454" s="2">
        <v>7.27</v>
      </c>
      <c r="CX1454" s="2">
        <v>7.42</v>
      </c>
      <c r="CY1454" s="2">
        <v>7.5</v>
      </c>
      <c r="CZ1454" s="2">
        <v>7.58</v>
      </c>
      <c r="DA1454" s="2">
        <v>7.69</v>
      </c>
      <c r="DB1454" s="2">
        <v>7.77</v>
      </c>
      <c r="DC1454" s="2">
        <v>7.93</v>
      </c>
      <c r="DD1454" s="2">
        <v>8.199999999999999</v>
      </c>
      <c r="DE1454" s="2">
        <v>8.470000000000001</v>
      </c>
      <c r="DF1454" s="2">
        <v>8.779999999999999</v>
      </c>
      <c r="DG1454" s="2">
        <v>9.01</v>
      </c>
      <c r="DH1454" s="2">
        <v>9.390000000000001</v>
      </c>
      <c r="DI1454" s="2">
        <v>9.859999999999999</v>
      </c>
      <c r="DJ1454" s="2">
        <v>10.21</v>
      </c>
      <c r="DK1454" s="2">
        <v>10.59</v>
      </c>
      <c r="DL1454" s="2">
        <v>10.98</v>
      </c>
      <c r="DM1454" s="2">
        <v>11.06</v>
      </c>
      <c r="DN1454" s="2">
        <v>11.68</v>
      </c>
      <c r="DO1454" s="2">
        <v>11.98</v>
      </c>
      <c r="DP1454" s="2">
        <v>12.29</v>
      </c>
      <c r="DQ1454" s="2">
        <v>12.6</v>
      </c>
      <c r="DR1454" s="2">
        <v>13.34</v>
      </c>
      <c r="DS1454" s="2">
        <v>13.65</v>
      </c>
      <c r="DT1454" s="2">
        <v>13.96</v>
      </c>
      <c r="DU1454" s="2">
        <v>14.23</v>
      </c>
      <c r="DV1454" s="2">
        <v>14.57</v>
      </c>
      <c r="DW1454" s="2">
        <v>14.77</v>
      </c>
      <c r="DX1454" s="2">
        <v>15.08</v>
      </c>
      <c r="DY1454" s="2">
        <v>15.35</v>
      </c>
      <c r="DZ1454" s="2">
        <v>15.7</v>
      </c>
      <c r="EA1454" s="2">
        <v>15.97</v>
      </c>
      <c r="EB1454" s="2">
        <v>16.39</v>
      </c>
      <c r="EC1454" s="2">
        <v>16.78</v>
      </c>
      <c r="ED1454" s="2">
        <v>17.28</v>
      </c>
      <c r="EE1454" s="2">
        <v>17.67</v>
      </c>
      <c r="EF1454" s="2">
        <v>18.17</v>
      </c>
      <c r="EG1454" s="2">
        <v>18.48</v>
      </c>
      <c r="EH1454" s="2">
        <v>18.87</v>
      </c>
      <c r="EI1454" s="2">
        <v>19.33</v>
      </c>
      <c r="EJ1454" s="2">
        <v>19.76</v>
      </c>
      <c r="EK1454" s="2">
        <v>20.14</v>
      </c>
      <c r="EL1454" s="2">
        <v>20.99</v>
      </c>
      <c r="EM1454" s="2">
        <v>21.38</v>
      </c>
      <c r="EN1454" s="2">
        <v>21.88</v>
      </c>
      <c r="EO1454" s="2">
        <v>22.65</v>
      </c>
      <c r="EP1454" s="2">
        <v>23.31</v>
      </c>
      <c r="EQ1454" s="2">
        <v>23.81</v>
      </c>
      <c r="ER1454" s="2">
        <v>24.32</v>
      </c>
      <c r="ES1454" s="2">
        <v>24.74</v>
      </c>
      <c r="ET1454" s="2">
        <v>25.32</v>
      </c>
      <c r="EU1454" s="2">
        <v>25.21</v>
      </c>
      <c r="EV1454" s="2">
        <v>25.28</v>
      </c>
      <c r="EW1454" s="2">
        <v>25.59</v>
      </c>
      <c r="EX1454" s="2">
        <v>25.98</v>
      </c>
      <c r="EY1454" s="2">
        <v>26.33</v>
      </c>
      <c r="EZ1454" s="2">
        <v>26.95</v>
      </c>
      <c r="FA1454" s="2">
        <v>27.56</v>
      </c>
      <c r="FB1454" s="2">
        <v>28.11</v>
      </c>
      <c r="FC1454" s="2">
        <v>28.76</v>
      </c>
      <c r="FD1454" s="2">
        <v>29.23</v>
      </c>
      <c r="FE1454" s="2">
        <v>30</v>
      </c>
      <c r="FF1454" s="2">
        <v>30.85</v>
      </c>
      <c r="FG1454" s="2">
        <v>31.47</v>
      </c>
      <c r="FH1454" s="2">
        <v>31.93</v>
      </c>
      <c r="FI1454" s="2">
        <v>32.47</v>
      </c>
      <c r="FJ1454" s="2">
        <v>33.05</v>
      </c>
      <c r="FK1454" s="2">
        <v>33.63</v>
      </c>
      <c r="FL1454" s="2">
        <v>34.21</v>
      </c>
      <c r="FM1454" s="2">
        <v>34.87</v>
      </c>
      <c r="FN1454" s="2">
        <v>35.57</v>
      </c>
      <c r="FO1454" s="2">
        <v>35.91</v>
      </c>
      <c r="FP1454" s="2">
        <v>36.8</v>
      </c>
      <c r="FQ1454" s="2">
        <v>37.65</v>
      </c>
      <c r="FR1454" s="2">
        <v>38.35</v>
      </c>
      <c r="FS1454" s="2">
        <v>39.01</v>
      </c>
      <c r="FT1454" s="2">
        <v>39.63</v>
      </c>
      <c r="FU1454" s="2">
        <v>39.94</v>
      </c>
      <c r="FV1454" s="2">
        <v>40.98</v>
      </c>
      <c r="FW1454" s="2">
        <v>40.9</v>
      </c>
      <c r="FX1454" s="2">
        <v>40.98</v>
      </c>
      <c r="FY1454" s="2">
        <v>41.21</v>
      </c>
      <c r="FZ1454" s="2">
        <v>41.6</v>
      </c>
      <c r="GA1454" s="2">
        <v>41.6</v>
      </c>
      <c r="GB1454" s="2">
        <v>41.48</v>
      </c>
      <c r="GC1454" s="2">
        <v>41.52</v>
      </c>
      <c r="GD1454" s="2">
        <v>41.71</v>
      </c>
      <c r="GE1454" s="2">
        <v>42.1</v>
      </c>
      <c r="GF1454" s="2">
        <v>42.25</v>
      </c>
      <c r="GG1454" s="2">
        <v>42.45</v>
      </c>
      <c r="GH1454" s="2">
        <v>42.53</v>
      </c>
      <c r="GI1454" s="2">
        <v>42.68</v>
      </c>
      <c r="GJ1454" s="2">
        <v>42.99</v>
      </c>
      <c r="GK1454" s="2">
        <v>43.26</v>
      </c>
      <c r="GL1454" s="2">
        <v>43.61</v>
      </c>
      <c r="GM1454" s="2">
        <v>44.34</v>
      </c>
      <c r="GN1454" s="2">
        <v>44.92</v>
      </c>
      <c r="GO1454" s="2">
        <v>45.46</v>
      </c>
      <c r="GP1454" s="2">
        <v>45.81</v>
      </c>
      <c r="GQ1454" s="2">
        <v>46</v>
      </c>
      <c r="GR1454" s="2">
        <v>46.31</v>
      </c>
      <c r="GS1454" s="2">
        <v>46.43</v>
      </c>
      <c r="GT1454" s="2">
        <v>46.51</v>
      </c>
      <c r="GU1454" s="2">
        <v>46.58</v>
      </c>
      <c r="GV1454" s="2">
        <v>46.47</v>
      </c>
      <c r="GW1454" s="2">
        <v>46.28</v>
      </c>
      <c r="GX1454" s="2">
        <v>46.39</v>
      </c>
      <c r="GY1454" s="2">
        <v>46.51</v>
      </c>
      <c r="GZ1454" s="2">
        <v>46.78</v>
      </c>
      <c r="HA1454" s="2">
        <v>46.91</v>
      </c>
      <c r="HB1454" s="2">
        <v>47.11</v>
      </c>
      <c r="HC1454" s="2">
        <v>47.08</v>
      </c>
      <c r="HD1454" s="2">
        <v>47.29</v>
      </c>
      <c r="HE1454" s="2">
        <v>47.72</v>
      </c>
      <c r="HF1454" s="2">
        <v>47.97</v>
      </c>
      <c r="HG1454" s="2">
        <v>48.4</v>
      </c>
      <c r="HH1454" s="2">
        <v>48.77</v>
      </c>
      <c r="HI1454" s="2">
        <v>50.59</v>
      </c>
      <c r="HJ1454" s="2">
        <v>50.76</v>
      </c>
      <c r="HK1454" s="2">
        <v>51.3</v>
      </c>
      <c r="HL1454" s="2">
        <v>51.73</v>
      </c>
      <c r="HM1454" s="2">
        <v>51.87</v>
      </c>
      <c r="HN1454" s="2">
        <v>52.35</v>
      </c>
      <c r="HO1454" s="2">
        <v>52.82</v>
      </c>
      <c r="HP1454" s="2">
        <v>53.2</v>
      </c>
      <c r="HQ1454" s="2">
        <v>53.56</v>
      </c>
      <c r="HR1454" s="2">
        <v>53.92</v>
      </c>
      <c r="HS1454" s="2">
        <v>54.62</v>
      </c>
      <c r="HT1454" s="2">
        <v>54.62</v>
      </c>
      <c r="HU1454" s="2">
        <v>54.93</v>
      </c>
      <c r="HV1454" s="2">
        <v>55.22</v>
      </c>
      <c r="HW1454" s="2">
        <v>55.71</v>
      </c>
      <c r="HX1454" s="2">
        <v>55.97</v>
      </c>
      <c r="HY1454" s="2">
        <v>56.2</v>
      </c>
      <c r="HZ1454" s="2">
        <v>56.63</v>
      </c>
      <c r="IA1454" s="2">
        <v>57.01</v>
      </c>
      <c r="IB1454" s="2">
        <v>57.35</v>
      </c>
      <c r="IC1454" s="2">
        <v>57.92</v>
      </c>
      <c r="ID1454" s="2">
        <v>58.22</v>
      </c>
      <c r="IE1454" s="2">
        <v>58.72</v>
      </c>
      <c r="IF1454" s="2">
        <v>59.65</v>
      </c>
      <c r="IG1454" s="2">
        <v>60.18</v>
      </c>
      <c r="IH1454" s="2">
        <v>60.11</v>
      </c>
      <c r="II1454" s="2">
        <v>60.16</v>
      </c>
      <c r="IJ1454" s="2">
        <v>60.9</v>
      </c>
      <c r="IK1454" s="2">
        <v>61.32</v>
      </c>
      <c r="IL1454" s="2">
        <v>61.89</v>
      </c>
      <c r="IM1454" s="2">
        <v>62.72</v>
      </c>
      <c r="IN1454" s="2">
        <v>63.63</v>
      </c>
      <c r="IO1454" s="2">
        <v>64.37</v>
      </c>
      <c r="IP1454" s="2">
        <v>64.16</v>
      </c>
      <c r="IQ1454" s="2">
        <v>64.23</v>
      </c>
      <c r="IR1454" s="2">
        <v>64.55</v>
      </c>
      <c r="IS1454" s="2">
        <v>65.16</v>
      </c>
      <c r="IT1454" s="2">
        <v>65.51000000000001</v>
      </c>
      <c r="IU1454" s="2">
        <v>66.12</v>
      </c>
      <c r="IV1454" s="2">
        <v>66.52</v>
      </c>
      <c r="IW1454" s="2">
        <v>67</v>
      </c>
      <c r="IX1454" s="2">
        <v>67.26000000000001</v>
      </c>
      <c r="IY1454" s="2">
        <v>68.3</v>
      </c>
      <c r="IZ1454" s="2">
        <v>68.93000000000001</v>
      </c>
      <c r="JA1454" s="2">
        <v>69.34</v>
      </c>
      <c r="JB1454" s="2">
        <v>69.34</v>
      </c>
      <c r="JC1454" s="2">
        <v>69.38</v>
      </c>
      <c r="JD1454" s="2">
        <v>69.73999999999999</v>
      </c>
      <c r="JE1454" s="2">
        <v>70.69</v>
      </c>
      <c r="JF1454" s="2">
        <v>70.87</v>
      </c>
      <c r="JG1454" s="2">
        <v>71.11</v>
      </c>
      <c r="JH1454" s="2">
        <v>71.38</v>
      </c>
      <c r="JI1454" s="2">
        <v>72.25</v>
      </c>
      <c r="JJ1454" s="2">
        <v>72.77</v>
      </c>
      <c r="JK1454" s="2">
        <v>73.2</v>
      </c>
      <c r="JL1454" s="2">
        <v>73.56999999999999</v>
      </c>
      <c r="JM1454" s="2">
        <v>73.88</v>
      </c>
      <c r="JN1454" s="2">
        <v>74.02</v>
      </c>
      <c r="JO1454" s="2">
        <v>74.16</v>
      </c>
      <c r="JP1454" s="2">
        <v>74.69</v>
      </c>
      <c r="JQ1454" s="2">
        <v>74.98</v>
      </c>
      <c r="JR1454" s="2">
        <v>75.27</v>
      </c>
      <c r="JS1454" s="2">
        <v>75.12</v>
      </c>
      <c r="JT1454" s="2">
        <v>75.45</v>
      </c>
      <c r="JU1454" s="2">
        <v>75.98</v>
      </c>
      <c r="JV1454" s="2">
        <v>76.38</v>
      </c>
      <c r="KA1454" s="2">
        <v>76.73</v>
      </c>
      <c r="KB1454" s="2">
        <v>76.88</v>
      </c>
      <c r="KC1454" s="2">
        <v>77.34999999999999</v>
      </c>
      <c r="KD1454" s="2">
        <v>77.87</v>
      </c>
      <c r="KQ1454" s="2">
        <v>78.20999999999999</v>
      </c>
      <c r="KR1454" s="2">
        <v>78.48999999999999</v>
      </c>
      <c r="KS1454" s="2">
        <v>78.83</v>
      </c>
      <c r="KT1454" s="2">
        <v>79.23999999999999</v>
      </c>
      <c r="LG1454" s="2">
        <v>79.23</v>
      </c>
      <c r="LH1454" s="2">
        <v>79.7</v>
      </c>
      <c r="LI1454" s="2">
        <v>80.15000000000001</v>
      </c>
      <c r="LJ1454" s="2">
        <v>80.7</v>
      </c>
      <c r="LW1454" s="2">
        <v>81</v>
      </c>
      <c r="LX1454" s="2">
        <v>79.44</v>
      </c>
      <c r="LY1454" s="2">
        <v>80.67</v>
      </c>
      <c r="LZ1454" s="2">
        <v>81.40000000000001</v>
      </c>
      <c r="MM1454" s="2">
        <v>81.87</v>
      </c>
      <c r="MN1454" s="2">
        <v>82.47</v>
      </c>
      <c r="MO1454" s="2">
        <v>83.17</v>
      </c>
      <c r="MP1454" s="2">
        <v>84.23</v>
      </c>
      <c r="NC1454" s="2">
        <v>86.05</v>
      </c>
      <c r="ND1454" s="2">
        <v>87.59</v>
      </c>
      <c r="NE1454" s="2">
        <v>89.2</v>
      </c>
      <c r="NF1454" s="2">
        <v>90.84999999999999</v>
      </c>
      <c r="NS1454" s="2">
        <v>92.08</v>
      </c>
      <c r="NT1454" s="2">
        <v>92.87</v>
      </c>
      <c r="NU1454" s="2">
        <v>93.94</v>
      </c>
      <c r="NV1454" s="2">
        <v>94.53</v>
      </c>
      <c r="OI1454" s="2">
        <v>95.41</v>
      </c>
      <c r="OJ1454" s="2">
        <v>96.41</v>
      </c>
      <c r="OK1454" s="2">
        <v>96.62</v>
      </c>
      <c r="OL1454" s="2">
        <v>96.81</v>
      </c>
      <c r="OY1454" s="2">
        <v>97.7</v>
      </c>
      <c r="OZ1454" s="2">
        <v>98.43000000000001</v>
      </c>
      <c r="PA1454" s="2">
        <v>99.73</v>
      </c>
      <c r="PB1454" s="2">
        <v>100.32</v>
      </c>
      <c r="PJ1454" s="2">
        <v>101.7</v>
      </c>
      <c r="PK1454" s="2">
        <v>102.31</v>
      </c>
    </row>
    <row r="1455">
      <c r="A1455" t="inlineStr">
        <is>
          <t>A2325810A</t>
        </is>
      </c>
      <c r="B1455" t="inlineStr">
        <is>
          <t>Percentage Change from Previous Period ;  All groups CPI ;  Sydney ;</t>
        </is>
      </c>
      <c r="C1455" t="inlineStr">
        <is>
          <t>Quarter</t>
        </is>
      </c>
      <c r="D1455" t="inlineStr">
        <is>
          <t>Percent</t>
        </is>
      </c>
      <c r="E1455" t="inlineStr">
        <is>
          <t>Original</t>
        </is>
      </c>
      <c r="F1455" t="inlineStr">
        <is>
          <t>6401017.xlsx</t>
        </is>
      </c>
      <c r="G1455" t="inlineStr">
        <is>
          <t>1948Q4</t>
        </is>
      </c>
      <c r="H1455" t="inlineStr">
        <is>
          <t>2026Q2</t>
        </is>
      </c>
      <c r="J1455" s="2">
        <v>1.6</v>
      </c>
      <c r="K1455" s="2">
        <v>3.1</v>
      </c>
      <c r="L1455" s="2">
        <v>1.1</v>
      </c>
      <c r="M1455" s="2">
        <v>3</v>
      </c>
      <c r="N1455" s="2">
        <v>1.4</v>
      </c>
      <c r="O1455" s="2">
        <v>1.4</v>
      </c>
      <c r="P1455" s="2">
        <v>4.2</v>
      </c>
      <c r="Q1455" s="2">
        <v>1</v>
      </c>
      <c r="R1455" s="2">
        <v>5.3</v>
      </c>
      <c r="S1455" s="2">
        <v>3.8</v>
      </c>
      <c r="T1455" s="2">
        <v>7</v>
      </c>
      <c r="U1455" s="2">
        <v>5.4</v>
      </c>
      <c r="V1455" s="2">
        <v>6.5</v>
      </c>
      <c r="W1455" s="2">
        <v>3.8</v>
      </c>
      <c r="X1455" s="2">
        <v>3.9</v>
      </c>
      <c r="Y1455" s="2">
        <v>0.7</v>
      </c>
      <c r="Z1455" s="2">
        <v>0.9</v>
      </c>
      <c r="AA1455" s="2">
        <v>0.9</v>
      </c>
      <c r="AB1455" s="2">
        <v>0.9</v>
      </c>
      <c r="AC1455" s="2">
        <v>0.9</v>
      </c>
      <c r="AD1455" s="2">
        <v>-0.9</v>
      </c>
      <c r="AE1455" s="2">
        <v>0.9</v>
      </c>
      <c r="AF1455" s="2">
        <v>-0.9</v>
      </c>
      <c r="AG1455" s="2">
        <v>0</v>
      </c>
      <c r="AH1455" s="2">
        <v>0.9</v>
      </c>
      <c r="AI1455" s="2">
        <v>0.9</v>
      </c>
      <c r="AJ1455" s="2">
        <v>0</v>
      </c>
      <c r="AK1455" s="2">
        <v>0.9</v>
      </c>
      <c r="AL1455" s="2">
        <v>0.9</v>
      </c>
      <c r="AM1455" s="2">
        <v>0.7</v>
      </c>
      <c r="AN1455" s="2">
        <v>3.5</v>
      </c>
      <c r="AO1455" s="2">
        <v>3.4</v>
      </c>
      <c r="AP1455" s="2">
        <v>0</v>
      </c>
      <c r="AQ1455" s="2">
        <v>0</v>
      </c>
      <c r="AR1455" s="2">
        <v>0.6</v>
      </c>
      <c r="AS1455" s="2">
        <v>0.8</v>
      </c>
      <c r="AT1455" s="2">
        <v>0</v>
      </c>
      <c r="AU1455" s="2">
        <v>0.8</v>
      </c>
      <c r="AV1455" s="2">
        <v>0</v>
      </c>
      <c r="AW1455" s="2">
        <v>-0.8</v>
      </c>
      <c r="AX1455" s="2">
        <v>0.8</v>
      </c>
      <c r="AY1455" s="2">
        <v>0</v>
      </c>
      <c r="AZ1455" s="2">
        <v>0.8</v>
      </c>
      <c r="BA1455" s="2">
        <v>0</v>
      </c>
      <c r="BB1455" s="2">
        <v>0.8</v>
      </c>
      <c r="BC1455" s="2">
        <v>0.8</v>
      </c>
      <c r="BD1455" s="2">
        <v>1.6</v>
      </c>
      <c r="BE1455" s="2">
        <v>0.6</v>
      </c>
      <c r="BF1455" s="2">
        <v>0.8</v>
      </c>
      <c r="BG1455" s="2">
        <v>0.8</v>
      </c>
      <c r="BH1455" s="2">
        <v>0.7</v>
      </c>
      <c r="BI1455" s="2">
        <v>-0.7</v>
      </c>
      <c r="BJ1455" s="2">
        <v>0</v>
      </c>
      <c r="BK1455" s="2">
        <v>0</v>
      </c>
      <c r="BL1455" s="2">
        <v>0</v>
      </c>
      <c r="BM1455" s="2">
        <v>0</v>
      </c>
      <c r="BN1455" s="2">
        <v>0.7</v>
      </c>
      <c r="BO1455" s="2">
        <v>0</v>
      </c>
      <c r="BP1455" s="2">
        <v>0</v>
      </c>
      <c r="BQ1455" s="2">
        <v>0</v>
      </c>
      <c r="BR1455" s="2">
        <v>0</v>
      </c>
      <c r="BS1455" s="2">
        <v>0.7</v>
      </c>
      <c r="BT1455" s="2">
        <v>1.5</v>
      </c>
      <c r="BU1455" s="2">
        <v>0.7</v>
      </c>
      <c r="BV1455" s="2">
        <v>1.3</v>
      </c>
      <c r="BW1455" s="2">
        <v>0</v>
      </c>
      <c r="BX1455" s="2">
        <v>1.4</v>
      </c>
      <c r="BY1455" s="2">
        <v>0.7</v>
      </c>
      <c r="BZ1455" s="2">
        <v>1.4</v>
      </c>
      <c r="CA1455" s="2">
        <v>0</v>
      </c>
      <c r="CB1455" s="2">
        <v>0.7</v>
      </c>
      <c r="CC1455" s="2">
        <v>0.5</v>
      </c>
      <c r="CD1455" s="2">
        <v>0.7</v>
      </c>
      <c r="CE1455" s="2">
        <v>0.7</v>
      </c>
      <c r="CF1455" s="2">
        <v>0.7</v>
      </c>
      <c r="CG1455" s="2">
        <v>1.3</v>
      </c>
      <c r="CH1455" s="2">
        <v>0.7</v>
      </c>
      <c r="CI1455" s="2">
        <v>0.7</v>
      </c>
      <c r="CJ1455" s="2">
        <v>0.5</v>
      </c>
      <c r="CK1455" s="2">
        <v>0</v>
      </c>
      <c r="CL1455" s="2">
        <v>1.9</v>
      </c>
      <c r="CM1455" s="2">
        <v>0.6</v>
      </c>
      <c r="CN1455" s="2">
        <v>0.6</v>
      </c>
      <c r="CO1455" s="2">
        <v>0.6</v>
      </c>
      <c r="CP1455" s="2">
        <v>1.2</v>
      </c>
      <c r="CQ1455" s="2">
        <v>1.7</v>
      </c>
      <c r="CR1455" s="2">
        <v>1.2</v>
      </c>
      <c r="CS1455" s="2">
        <v>0</v>
      </c>
      <c r="CT1455" s="2">
        <v>2.8</v>
      </c>
      <c r="CU1455" s="2">
        <v>1.2</v>
      </c>
      <c r="CV1455" s="2">
        <v>2.3</v>
      </c>
      <c r="CW1455" s="2">
        <v>2.7</v>
      </c>
      <c r="CX1455" s="2">
        <v>2.6</v>
      </c>
      <c r="CY1455" s="2">
        <v>1.1</v>
      </c>
      <c r="CZ1455" s="2">
        <v>1.1</v>
      </c>
      <c r="DA1455" s="2">
        <v>1</v>
      </c>
      <c r="DB1455" s="2">
        <v>0.9</v>
      </c>
      <c r="DC1455" s="2">
        <v>2.6</v>
      </c>
      <c r="DD1455" s="2">
        <v>2.9</v>
      </c>
      <c r="DE1455" s="2">
        <v>3.8</v>
      </c>
      <c r="DF1455" s="2">
        <v>4.1</v>
      </c>
      <c r="DG1455" s="2">
        <v>1.7</v>
      </c>
      <c r="DH1455" s="2">
        <v>4.3</v>
      </c>
      <c r="DI1455" s="2">
        <v>5.4</v>
      </c>
      <c r="DJ1455" s="2">
        <v>3.5</v>
      </c>
      <c r="DK1455" s="2">
        <v>3</v>
      </c>
      <c r="DL1455" s="2">
        <v>4</v>
      </c>
      <c r="DM1455" s="2">
        <v>1.4</v>
      </c>
      <c r="DN1455" s="2">
        <v>4.5</v>
      </c>
      <c r="DO1455" s="2">
        <v>3.3</v>
      </c>
      <c r="DP1455" s="2">
        <v>2.2</v>
      </c>
      <c r="DQ1455" s="2">
        <v>1.6</v>
      </c>
      <c r="DR1455" s="2">
        <v>5.5</v>
      </c>
      <c r="DS1455" s="2">
        <v>2</v>
      </c>
      <c r="DT1455" s="2">
        <v>2.3</v>
      </c>
      <c r="DU1455" s="2">
        <v>1.7</v>
      </c>
      <c r="DV1455" s="2">
        <v>2.2</v>
      </c>
      <c r="DW1455" s="2">
        <v>1.3</v>
      </c>
      <c r="DX1455" s="2">
        <v>2.1</v>
      </c>
      <c r="DY1455" s="2">
        <v>2.1</v>
      </c>
      <c r="DZ1455" s="2">
        <v>2.3</v>
      </c>
      <c r="EA1455" s="2">
        <v>2</v>
      </c>
      <c r="EB1455" s="2">
        <v>3</v>
      </c>
      <c r="EC1455" s="2">
        <v>2.3</v>
      </c>
      <c r="ED1455" s="2">
        <v>2.8</v>
      </c>
      <c r="EE1455" s="2">
        <v>2.7</v>
      </c>
      <c r="EF1455" s="2">
        <v>2.6</v>
      </c>
      <c r="EG1455" s="2">
        <v>1.9</v>
      </c>
      <c r="EH1455" s="2">
        <v>2.1</v>
      </c>
      <c r="EI1455" s="2">
        <v>2.7</v>
      </c>
      <c r="EJ1455" s="2">
        <v>2</v>
      </c>
      <c r="EK1455" s="2">
        <v>1.8</v>
      </c>
      <c r="EL1455" s="2">
        <v>4</v>
      </c>
      <c r="EM1455" s="2">
        <v>1.9</v>
      </c>
      <c r="EN1455" s="2">
        <v>2.9</v>
      </c>
      <c r="EO1455" s="2">
        <v>3.6</v>
      </c>
      <c r="EP1455" s="2">
        <v>3.1</v>
      </c>
      <c r="EQ1455" s="2">
        <v>2.1</v>
      </c>
      <c r="ER1455" s="2">
        <v>1.9</v>
      </c>
      <c r="ES1455" s="2">
        <v>1.3</v>
      </c>
      <c r="ET1455" s="2">
        <v>2.1</v>
      </c>
      <c r="EU1455" s="2">
        <v>-0.5</v>
      </c>
      <c r="EV1455" s="2">
        <v>0</v>
      </c>
      <c r="EW1455" s="2">
        <v>1.2</v>
      </c>
      <c r="EX1455" s="2">
        <v>1.5</v>
      </c>
      <c r="EY1455" s="2">
        <v>1.5</v>
      </c>
      <c r="EZ1455" s="2">
        <v>2.1</v>
      </c>
      <c r="FA1455" s="2">
        <v>2.2</v>
      </c>
      <c r="FB1455" s="2">
        <v>2.3</v>
      </c>
      <c r="FC1455" s="2">
        <v>2.4</v>
      </c>
      <c r="FD1455" s="2">
        <v>1.8</v>
      </c>
      <c r="FE1455" s="2">
        <v>2.4</v>
      </c>
      <c r="FF1455" s="2">
        <v>2.9</v>
      </c>
      <c r="FG1455" s="2">
        <v>2</v>
      </c>
      <c r="FH1455" s="2">
        <v>1.6</v>
      </c>
      <c r="FI1455" s="2">
        <v>1.7</v>
      </c>
      <c r="FJ1455" s="2">
        <v>1.7</v>
      </c>
      <c r="FK1455" s="2">
        <v>2.3</v>
      </c>
      <c r="FL1455" s="2">
        <v>1.5</v>
      </c>
      <c r="FM1455" s="2">
        <v>2.6</v>
      </c>
      <c r="FN1455" s="2">
        <v>2.5</v>
      </c>
      <c r="FO1455" s="2">
        <v>0.1</v>
      </c>
      <c r="FP1455" s="2">
        <v>2.5</v>
      </c>
      <c r="FQ1455" s="2">
        <v>2.7</v>
      </c>
      <c r="FR1455" s="2">
        <v>1.9</v>
      </c>
      <c r="FS1455" s="2">
        <v>1.7</v>
      </c>
      <c r="FT1455" s="2">
        <v>1.6</v>
      </c>
      <c r="FU1455" s="2">
        <v>0.6</v>
      </c>
      <c r="FV1455" s="2">
        <v>2.3</v>
      </c>
      <c r="FW1455" s="2">
        <v>0.2</v>
      </c>
      <c r="FX1455" s="2">
        <v>-0.3</v>
      </c>
      <c r="FY1455" s="2">
        <v>0.6</v>
      </c>
      <c r="FZ1455" s="2">
        <v>1</v>
      </c>
      <c r="GA1455" s="2">
        <v>-0.1</v>
      </c>
      <c r="GB1455" s="2">
        <v>-0.5</v>
      </c>
      <c r="GC1455" s="2">
        <v>0.4</v>
      </c>
      <c r="GD1455" s="2">
        <v>0.5</v>
      </c>
      <c r="GE1455" s="2">
        <v>0.7</v>
      </c>
      <c r="GF1455" s="2">
        <v>0.2</v>
      </c>
      <c r="GG1455" s="2">
        <v>0.3</v>
      </c>
      <c r="GH1455" s="2">
        <v>0.1</v>
      </c>
      <c r="GI1455" s="2">
        <v>0.3</v>
      </c>
      <c r="GJ1455" s="2">
        <v>0.8</v>
      </c>
      <c r="GK1455" s="2">
        <v>0.9</v>
      </c>
      <c r="GL1455" s="2">
        <v>0.7</v>
      </c>
      <c r="GM1455" s="2">
        <v>1.7</v>
      </c>
      <c r="GN1455" s="2">
        <v>1.5</v>
      </c>
      <c r="GO1455" s="2">
        <v>1.7</v>
      </c>
      <c r="GP1455" s="2">
        <v>0.9</v>
      </c>
      <c r="GQ1455" s="2">
        <v>0.7</v>
      </c>
      <c r="GR1455" s="2">
        <v>0.7</v>
      </c>
      <c r="GS1455" s="2">
        <v>0.2</v>
      </c>
      <c r="GT1455" s="2">
        <v>0.2</v>
      </c>
      <c r="GU1455" s="2">
        <v>0.2</v>
      </c>
      <c r="GV1455" s="2">
        <v>-0.3</v>
      </c>
      <c r="GW1455" s="2">
        <v>-0.3</v>
      </c>
      <c r="GX1455" s="2">
        <v>0.3</v>
      </c>
      <c r="GY1455" s="2">
        <v>0.5</v>
      </c>
      <c r="GZ1455" s="2">
        <v>0.6</v>
      </c>
      <c r="HA1455" s="2">
        <v>0.4</v>
      </c>
      <c r="HB1455" s="2">
        <v>0.5</v>
      </c>
      <c r="HC1455" s="2">
        <v>0.1</v>
      </c>
      <c r="HD1455" s="2">
        <v>0.4</v>
      </c>
      <c r="HE1455" s="2">
        <v>0.9</v>
      </c>
      <c r="HF1455" s="2">
        <v>0.5</v>
      </c>
      <c r="HG1455" s="2">
        <v>0.9</v>
      </c>
      <c r="HH1455" s="2">
        <v>0.9</v>
      </c>
      <c r="HI1455" s="2">
        <v>3.6</v>
      </c>
      <c r="HJ1455" s="2">
        <v>0.5</v>
      </c>
      <c r="HK1455" s="2">
        <v>1.3</v>
      </c>
      <c r="HL1455" s="2">
        <v>0.8</v>
      </c>
      <c r="HM1455" s="2">
        <v>0.3</v>
      </c>
      <c r="HN1455" s="2">
        <v>0.9</v>
      </c>
      <c r="HO1455" s="2">
        <v>0.9</v>
      </c>
      <c r="HP1455" s="2">
        <v>0.7</v>
      </c>
      <c r="HQ1455" s="2">
        <v>0.5</v>
      </c>
      <c r="HR1455" s="2">
        <v>0.6</v>
      </c>
      <c r="HS1455" s="2">
        <v>1.2</v>
      </c>
      <c r="HT1455" s="2">
        <v>0</v>
      </c>
      <c r="HU1455" s="2">
        <v>0.2</v>
      </c>
      <c r="HV1455" s="2">
        <v>0.8</v>
      </c>
      <c r="HW1455" s="2">
        <v>1</v>
      </c>
      <c r="HX1455" s="2">
        <v>0.3</v>
      </c>
      <c r="HY1455" s="2">
        <v>0.5</v>
      </c>
      <c r="HZ1455" s="2">
        <v>0.8</v>
      </c>
      <c r="IA1455" s="2">
        <v>0.6</v>
      </c>
      <c r="IB1455" s="2">
        <v>0.6</v>
      </c>
      <c r="IC1455" s="2">
        <v>1</v>
      </c>
      <c r="ID1455" s="2">
        <v>0.4</v>
      </c>
      <c r="IE1455" s="2">
        <v>0.8</v>
      </c>
      <c r="IF1455" s="2">
        <v>1.6</v>
      </c>
      <c r="IG1455" s="2">
        <v>0.9</v>
      </c>
      <c r="IH1455" s="2">
        <v>-0.2</v>
      </c>
      <c r="II1455" s="2">
        <v>-0.1</v>
      </c>
      <c r="IJ1455" s="2">
        <v>1.1</v>
      </c>
      <c r="IK1455" s="2">
        <v>0.5</v>
      </c>
      <c r="IL1455" s="2">
        <v>0.8</v>
      </c>
      <c r="IM1455" s="2">
        <v>1.4</v>
      </c>
      <c r="IN1455" s="2">
        <v>1.5</v>
      </c>
      <c r="IO1455" s="2">
        <v>1.1</v>
      </c>
      <c r="IP1455" s="2">
        <v>-0.2</v>
      </c>
      <c r="IQ1455" s="2">
        <v>0.1</v>
      </c>
      <c r="IR1455" s="2">
        <v>0.4</v>
      </c>
      <c r="IS1455" s="2">
        <v>1.1</v>
      </c>
      <c r="IT1455" s="2">
        <v>0.6</v>
      </c>
      <c r="IU1455" s="2">
        <v>0.8</v>
      </c>
      <c r="IV1455" s="2">
        <v>0.4</v>
      </c>
      <c r="IW1455" s="2">
        <v>0.8</v>
      </c>
      <c r="IX1455" s="2">
        <v>0.3</v>
      </c>
      <c r="IY1455" s="2">
        <v>1.6</v>
      </c>
      <c r="IZ1455" s="2">
        <v>0.9</v>
      </c>
      <c r="JA1455" s="2">
        <v>0.7</v>
      </c>
      <c r="JB1455" s="2">
        <v>-0.1</v>
      </c>
      <c r="JC1455" s="2">
        <v>0.1</v>
      </c>
      <c r="JD1455" s="2">
        <v>0.6</v>
      </c>
      <c r="JE1455" s="2">
        <v>1.7</v>
      </c>
      <c r="JF1455" s="2">
        <v>0.1</v>
      </c>
      <c r="JG1455" s="2">
        <v>0.4</v>
      </c>
      <c r="JH1455" s="2">
        <v>0.5</v>
      </c>
      <c r="JI1455" s="2">
        <v>1.2</v>
      </c>
      <c r="JJ1455" s="2">
        <v>0.6</v>
      </c>
      <c r="JK1455" s="2">
        <v>0.6</v>
      </c>
      <c r="JL1455" s="2">
        <v>0.4</v>
      </c>
      <c r="JM1455" s="2">
        <v>0.6</v>
      </c>
      <c r="JN1455" s="2">
        <v>0.2</v>
      </c>
      <c r="JO1455" s="2">
        <v>0.5</v>
      </c>
      <c r="JP1455" s="2">
        <v>0.9</v>
      </c>
      <c r="JQ1455" s="2">
        <v>0.3</v>
      </c>
      <c r="JR1455" s="2">
        <v>0.3</v>
      </c>
      <c r="JS1455" s="2">
        <v>-0.2</v>
      </c>
      <c r="JT1455" s="2">
        <v>0.5</v>
      </c>
      <c r="JU1455" s="2">
        <v>1</v>
      </c>
      <c r="JV1455" s="2">
        <v>0.5</v>
      </c>
      <c r="KA1455" s="2">
        <v>0.4</v>
      </c>
      <c r="KB1455" s="2">
        <v>0.3</v>
      </c>
      <c r="KC1455" s="2">
        <v>0.8</v>
      </c>
      <c r="KD1455" s="2">
        <v>0.7</v>
      </c>
      <c r="KQ1455" s="2">
        <v>0.3</v>
      </c>
      <c r="KR1455" s="2">
        <v>0.4</v>
      </c>
      <c r="KS1455" s="2">
        <v>0.6</v>
      </c>
      <c r="KT1455" s="2">
        <v>0.5</v>
      </c>
      <c r="LG1455" s="2">
        <v>-0.1</v>
      </c>
      <c r="LH1455" s="2">
        <v>0.6</v>
      </c>
      <c r="LI1455" s="2">
        <v>0.5</v>
      </c>
      <c r="LJ1455" s="2">
        <v>0.5</v>
      </c>
      <c r="LW1455" s="2">
        <v>0.2</v>
      </c>
      <c r="LX1455" s="2">
        <v>-2.3</v>
      </c>
      <c r="LY1455" s="2">
        <v>1.8</v>
      </c>
      <c r="LZ1455" s="2">
        <v>1.1</v>
      </c>
      <c r="MM1455" s="2">
        <v>0.4</v>
      </c>
      <c r="MN1455" s="2">
        <v>0.7</v>
      </c>
      <c r="MO1455" s="2">
        <v>0.7</v>
      </c>
      <c r="MP1455" s="2">
        <v>1.2</v>
      </c>
      <c r="NC1455" s="2">
        <v>1.7</v>
      </c>
      <c r="ND1455" s="2">
        <v>1.7</v>
      </c>
      <c r="NE1455" s="2">
        <v>2.3</v>
      </c>
      <c r="NF1455" s="2">
        <v>1.8</v>
      </c>
      <c r="NS1455" s="2">
        <v>1.4</v>
      </c>
      <c r="NT1455" s="2">
        <v>0.9</v>
      </c>
      <c r="NU1455" s="2">
        <v>1.4</v>
      </c>
      <c r="NV1455" s="2">
        <v>0.4</v>
      </c>
      <c r="OI1455" s="2">
        <v>0.9</v>
      </c>
      <c r="OJ1455" s="2">
        <v>1.1</v>
      </c>
      <c r="OK1455" s="2">
        <v>0.5</v>
      </c>
      <c r="OL1455" s="2">
        <v>-0.1</v>
      </c>
      <c r="OY1455" s="2">
        <v>0.8</v>
      </c>
      <c r="OZ1455" s="2">
        <v>0.7</v>
      </c>
      <c r="PA1455" s="2">
        <v>1.5</v>
      </c>
      <c r="PB1455" s="2">
        <v>0.5</v>
      </c>
      <c r="PJ1455" s="2">
        <v>1.4</v>
      </c>
      <c r="PK1455" s="2">
        <v>0.7</v>
      </c>
    </row>
    <row r="1456">
      <c r="A1456" t="inlineStr">
        <is>
          <t>A2325815L</t>
        </is>
      </c>
      <c r="B1456" t="inlineStr">
        <is>
          <t>Percentage Change from Previous Period ;  All groups CPI ;  Melbourne ;</t>
        </is>
      </c>
      <c r="C1456" t="inlineStr">
        <is>
          <t>Quarter</t>
        </is>
      </c>
      <c r="D1456" t="inlineStr">
        <is>
          <t>Percent</t>
        </is>
      </c>
      <c r="E1456" t="inlineStr">
        <is>
          <t>Original</t>
        </is>
      </c>
      <c r="F1456" t="inlineStr">
        <is>
          <t>6401017.xlsx</t>
        </is>
      </c>
      <c r="G1456" t="inlineStr">
        <is>
          <t>1948Q4</t>
        </is>
      </c>
      <c r="H1456" t="inlineStr">
        <is>
          <t>2026Q2</t>
        </is>
      </c>
      <c r="J1456" s="2">
        <v>1.5</v>
      </c>
      <c r="K1456" s="2">
        <v>1.5</v>
      </c>
      <c r="L1456" s="2">
        <v>2.9</v>
      </c>
      <c r="M1456" s="2">
        <v>1.4</v>
      </c>
      <c r="N1456" s="2">
        <v>2.8</v>
      </c>
      <c r="O1456" s="2">
        <v>2.4</v>
      </c>
      <c r="P1456" s="2">
        <v>2.7</v>
      </c>
      <c r="Q1456" s="2">
        <v>1.3</v>
      </c>
      <c r="R1456" s="2">
        <v>3.9</v>
      </c>
      <c r="S1456" s="2">
        <v>5</v>
      </c>
      <c r="T1456" s="2">
        <v>5.9</v>
      </c>
      <c r="U1456" s="2">
        <v>4.2</v>
      </c>
      <c r="V1456" s="2">
        <v>8.6</v>
      </c>
      <c r="W1456" s="2">
        <v>2</v>
      </c>
      <c r="X1456" s="2">
        <v>3.6</v>
      </c>
      <c r="Y1456" s="2">
        <v>2.8</v>
      </c>
      <c r="Z1456" s="2">
        <v>0</v>
      </c>
      <c r="AA1456" s="2">
        <v>0.9</v>
      </c>
      <c r="AB1456" s="2">
        <v>1.8</v>
      </c>
      <c r="AC1456" s="2">
        <v>0</v>
      </c>
      <c r="AD1456" s="2">
        <v>0</v>
      </c>
      <c r="AE1456" s="2">
        <v>0</v>
      </c>
      <c r="AF1456" s="2">
        <v>0</v>
      </c>
      <c r="AG1456" s="2">
        <v>-0.9</v>
      </c>
      <c r="AH1456" s="2">
        <v>0</v>
      </c>
      <c r="AI1456" s="2">
        <v>0.9</v>
      </c>
      <c r="AJ1456" s="2">
        <v>0.9</v>
      </c>
      <c r="AK1456" s="2">
        <v>1.8</v>
      </c>
      <c r="AL1456" s="2">
        <v>2.6</v>
      </c>
      <c r="AM1456" s="2">
        <v>0.8</v>
      </c>
      <c r="AN1456" s="2">
        <v>4</v>
      </c>
      <c r="AO1456" s="2">
        <v>1.6</v>
      </c>
      <c r="AP1456" s="2">
        <v>0</v>
      </c>
      <c r="AQ1456" s="2">
        <v>-0.8</v>
      </c>
      <c r="AR1456" s="2">
        <v>0.8</v>
      </c>
      <c r="AS1456" s="2">
        <v>0</v>
      </c>
      <c r="AT1456" s="2">
        <v>0</v>
      </c>
      <c r="AU1456" s="2">
        <v>0</v>
      </c>
      <c r="AV1456" s="2">
        <v>0.8</v>
      </c>
      <c r="AW1456" s="2">
        <v>0</v>
      </c>
      <c r="AX1456" s="2">
        <v>1.6</v>
      </c>
      <c r="AY1456" s="2">
        <v>0</v>
      </c>
      <c r="AZ1456" s="2">
        <v>0.8</v>
      </c>
      <c r="BA1456" s="2">
        <v>0.8</v>
      </c>
      <c r="BB1456" s="2">
        <v>0</v>
      </c>
      <c r="BC1456" s="2">
        <v>1.5</v>
      </c>
      <c r="BD1456" s="2">
        <v>2.2</v>
      </c>
      <c r="BE1456" s="2">
        <v>1.5</v>
      </c>
      <c r="BF1456" s="2">
        <v>0.5</v>
      </c>
      <c r="BG1456" s="2">
        <v>0</v>
      </c>
      <c r="BH1456" s="2">
        <v>0.7</v>
      </c>
      <c r="BI1456" s="2">
        <v>0</v>
      </c>
      <c r="BJ1456" s="2">
        <v>0</v>
      </c>
      <c r="BK1456" s="2">
        <v>-0.7</v>
      </c>
      <c r="BL1456" s="2">
        <v>0</v>
      </c>
      <c r="BM1456" s="2">
        <v>0</v>
      </c>
      <c r="BN1456" s="2">
        <v>0</v>
      </c>
      <c r="BO1456" s="2">
        <v>0</v>
      </c>
      <c r="BP1456" s="2">
        <v>0.7</v>
      </c>
      <c r="BQ1456" s="2">
        <v>0</v>
      </c>
      <c r="BR1456" s="2">
        <v>0</v>
      </c>
      <c r="BS1456" s="2">
        <v>0</v>
      </c>
      <c r="BT1456" s="2">
        <v>1.4</v>
      </c>
      <c r="BU1456" s="2">
        <v>0.7</v>
      </c>
      <c r="BV1456" s="2">
        <v>2.1</v>
      </c>
      <c r="BW1456" s="2">
        <v>0.7</v>
      </c>
      <c r="BX1456" s="2">
        <v>1.4</v>
      </c>
      <c r="BY1456" s="2">
        <v>0.7</v>
      </c>
      <c r="BZ1456" s="2">
        <v>1.3</v>
      </c>
      <c r="CA1456" s="2">
        <v>0</v>
      </c>
      <c r="CB1456" s="2">
        <v>0.7</v>
      </c>
      <c r="CC1456" s="2">
        <v>0.7</v>
      </c>
      <c r="CD1456" s="2">
        <v>0.6</v>
      </c>
      <c r="CE1456" s="2">
        <v>0.5</v>
      </c>
      <c r="CF1456" s="2">
        <v>1.9</v>
      </c>
      <c r="CG1456" s="2">
        <v>1.3</v>
      </c>
      <c r="CH1456" s="2">
        <v>0</v>
      </c>
      <c r="CI1456" s="2">
        <v>0.6</v>
      </c>
      <c r="CJ1456" s="2">
        <v>1.2</v>
      </c>
      <c r="CK1456" s="2">
        <v>0</v>
      </c>
      <c r="CL1456" s="2">
        <v>0.6</v>
      </c>
      <c r="CM1456" s="2">
        <v>0.6</v>
      </c>
      <c r="CN1456" s="2">
        <v>0.6</v>
      </c>
      <c r="CO1456" s="2">
        <v>0.6</v>
      </c>
      <c r="CP1456" s="2">
        <v>0.6</v>
      </c>
      <c r="CQ1456" s="2">
        <v>0.6</v>
      </c>
      <c r="CR1456" s="2">
        <v>1</v>
      </c>
      <c r="CS1456" s="2">
        <v>0.6</v>
      </c>
      <c r="CT1456" s="2">
        <v>1.7</v>
      </c>
      <c r="CU1456" s="2">
        <v>1.1</v>
      </c>
      <c r="CV1456" s="2">
        <v>1.1</v>
      </c>
      <c r="CW1456" s="2">
        <v>1.1</v>
      </c>
      <c r="CX1456" s="2">
        <v>2.7</v>
      </c>
      <c r="CY1456" s="2">
        <v>0.9</v>
      </c>
      <c r="CZ1456" s="2">
        <v>1.1</v>
      </c>
      <c r="DA1456" s="2">
        <v>1</v>
      </c>
      <c r="DB1456" s="2">
        <v>1</v>
      </c>
      <c r="DC1456" s="2">
        <v>2.6</v>
      </c>
      <c r="DD1456" s="2">
        <v>3.4</v>
      </c>
      <c r="DE1456" s="2">
        <v>3.9</v>
      </c>
      <c r="DF1456" s="2">
        <v>3.3</v>
      </c>
      <c r="DG1456" s="2">
        <v>2.6</v>
      </c>
      <c r="DH1456" s="2">
        <v>4.4</v>
      </c>
      <c r="DI1456" s="2">
        <v>4.9</v>
      </c>
      <c r="DJ1456" s="2">
        <v>3.1</v>
      </c>
      <c r="DK1456" s="2">
        <v>4.3</v>
      </c>
      <c r="DL1456" s="2">
        <v>3.3</v>
      </c>
      <c r="DM1456" s="2">
        <v>0.4</v>
      </c>
      <c r="DN1456" s="2">
        <v>6</v>
      </c>
      <c r="DO1456" s="2">
        <v>2.7</v>
      </c>
      <c r="DP1456" s="2">
        <v>2.6</v>
      </c>
      <c r="DQ1456" s="2">
        <v>2.6</v>
      </c>
      <c r="DR1456" s="2">
        <v>5.8</v>
      </c>
      <c r="DS1456" s="2">
        <v>2.7</v>
      </c>
      <c r="DT1456" s="2">
        <v>2.8</v>
      </c>
      <c r="DU1456" s="2">
        <v>2</v>
      </c>
      <c r="DV1456" s="2">
        <v>2.1</v>
      </c>
      <c r="DW1456" s="2">
        <v>1.1</v>
      </c>
      <c r="DX1456" s="2">
        <v>2.7</v>
      </c>
      <c r="DY1456" s="2">
        <v>1.5</v>
      </c>
      <c r="DZ1456" s="2">
        <v>1.8</v>
      </c>
      <c r="EA1456" s="2">
        <v>2</v>
      </c>
      <c r="EB1456" s="2">
        <v>2.5</v>
      </c>
      <c r="EC1456" s="2">
        <v>2.8</v>
      </c>
      <c r="ED1456" s="2">
        <v>2.8</v>
      </c>
      <c r="EE1456" s="2">
        <v>1.6</v>
      </c>
      <c r="EF1456" s="2">
        <v>3.1</v>
      </c>
      <c r="EG1456" s="2">
        <v>1.9</v>
      </c>
      <c r="EH1456" s="2">
        <v>2.1</v>
      </c>
      <c r="EI1456" s="2">
        <v>2.3</v>
      </c>
      <c r="EJ1456" s="2">
        <v>2.3</v>
      </c>
      <c r="EK1456" s="2">
        <v>2.2</v>
      </c>
      <c r="EL1456" s="2">
        <v>4.5</v>
      </c>
      <c r="EM1456" s="2">
        <v>1.3</v>
      </c>
      <c r="EN1456" s="2">
        <v>2.4</v>
      </c>
      <c r="EO1456" s="2">
        <v>3.6</v>
      </c>
      <c r="EP1456" s="2">
        <v>2.6</v>
      </c>
      <c r="EQ1456" s="2">
        <v>2.2</v>
      </c>
      <c r="ER1456" s="2">
        <v>2.8</v>
      </c>
      <c r="ES1456" s="2">
        <v>1.6</v>
      </c>
      <c r="ET1456" s="2">
        <v>3</v>
      </c>
      <c r="EU1456" s="2">
        <v>-0.6</v>
      </c>
      <c r="EV1456" s="2">
        <v>0.3</v>
      </c>
      <c r="EW1456" s="2">
        <v>1.5</v>
      </c>
      <c r="EX1456" s="2">
        <v>1.2</v>
      </c>
      <c r="EY1456" s="2">
        <v>1.2</v>
      </c>
      <c r="EZ1456" s="2">
        <v>3</v>
      </c>
      <c r="FA1456" s="2">
        <v>2.1</v>
      </c>
      <c r="FB1456" s="2">
        <v>1.7</v>
      </c>
      <c r="FC1456" s="2">
        <v>2.8</v>
      </c>
      <c r="FD1456" s="2">
        <v>1.5</v>
      </c>
      <c r="FE1456" s="2">
        <v>2.6</v>
      </c>
      <c r="FF1456" s="2">
        <v>3</v>
      </c>
      <c r="FG1456" s="2">
        <v>1.9</v>
      </c>
      <c r="FH1456" s="2">
        <v>1.6</v>
      </c>
      <c r="FI1456" s="2">
        <v>1.8</v>
      </c>
      <c r="FJ1456" s="2">
        <v>1.7</v>
      </c>
      <c r="FK1456" s="2">
        <v>1.5</v>
      </c>
      <c r="FL1456" s="2">
        <v>1.8</v>
      </c>
      <c r="FM1456" s="2">
        <v>1.5</v>
      </c>
      <c r="FN1456" s="2">
        <v>1.8</v>
      </c>
      <c r="FO1456" s="2">
        <v>1.3</v>
      </c>
      <c r="FP1456" s="2">
        <v>2.7</v>
      </c>
      <c r="FQ1456" s="2">
        <v>2.2</v>
      </c>
      <c r="FR1456" s="2">
        <v>1.9</v>
      </c>
      <c r="FS1456" s="2">
        <v>1.5</v>
      </c>
      <c r="FT1456" s="2">
        <v>2</v>
      </c>
      <c r="FU1456" s="2">
        <v>0.8</v>
      </c>
      <c r="FV1456" s="2">
        <v>3</v>
      </c>
      <c r="FW1456" s="2">
        <v>-0.5</v>
      </c>
      <c r="FX1456" s="2">
        <v>0.7</v>
      </c>
      <c r="FY1456" s="2">
        <v>0.7</v>
      </c>
      <c r="FZ1456" s="2">
        <v>0.8</v>
      </c>
      <c r="GA1456" s="2">
        <v>-0.1</v>
      </c>
      <c r="GB1456" s="2">
        <v>-0.1</v>
      </c>
      <c r="GC1456" s="2">
        <v>-0.3</v>
      </c>
      <c r="GD1456" s="2">
        <v>0.3</v>
      </c>
      <c r="GE1456" s="2">
        <v>1.2</v>
      </c>
      <c r="GF1456" s="2">
        <v>0.6</v>
      </c>
      <c r="GG1456" s="2">
        <v>0.4</v>
      </c>
      <c r="GH1456" s="2">
        <v>0.3</v>
      </c>
      <c r="GI1456" s="2">
        <v>0.3</v>
      </c>
      <c r="GJ1456" s="2">
        <v>0.7</v>
      </c>
      <c r="GK1456" s="2">
        <v>0.2</v>
      </c>
      <c r="GL1456" s="2">
        <v>0.8</v>
      </c>
      <c r="GM1456" s="2">
        <v>1.7</v>
      </c>
      <c r="GN1456" s="2">
        <v>1</v>
      </c>
      <c r="GO1456" s="2">
        <v>1.2</v>
      </c>
      <c r="GP1456" s="2">
        <v>0.8</v>
      </c>
      <c r="GQ1456" s="2">
        <v>-0.2</v>
      </c>
      <c r="GR1456" s="2">
        <v>0.8</v>
      </c>
      <c r="GS1456" s="2">
        <v>0.3</v>
      </c>
      <c r="GT1456" s="2">
        <v>0.3</v>
      </c>
      <c r="GU1456" s="2">
        <v>0.2</v>
      </c>
      <c r="GV1456" s="2">
        <v>-0.2</v>
      </c>
      <c r="GW1456" s="2">
        <v>-0.3</v>
      </c>
      <c r="GX1456" s="2">
        <v>0.3</v>
      </c>
      <c r="GY1456" s="2">
        <v>-0.2</v>
      </c>
      <c r="GZ1456" s="2">
        <v>0.6</v>
      </c>
      <c r="HA1456" s="2">
        <v>0</v>
      </c>
      <c r="HB1456" s="2">
        <v>0.4</v>
      </c>
      <c r="HC1456" s="2">
        <v>0.1</v>
      </c>
      <c r="HD1456" s="2">
        <v>0.4</v>
      </c>
      <c r="HE1456" s="2">
        <v>1</v>
      </c>
      <c r="HF1456" s="2">
        <v>0.6</v>
      </c>
      <c r="HG1456" s="2">
        <v>1</v>
      </c>
      <c r="HH1456" s="2">
        <v>0.7</v>
      </c>
      <c r="HI1456" s="2">
        <v>3.8</v>
      </c>
      <c r="HJ1456" s="2">
        <v>0.3</v>
      </c>
      <c r="HK1456" s="2">
        <v>1</v>
      </c>
      <c r="HL1456" s="2">
        <v>0.6</v>
      </c>
      <c r="HM1456" s="2">
        <v>0.5</v>
      </c>
      <c r="HN1456" s="2">
        <v>0.9</v>
      </c>
      <c r="HO1456" s="2">
        <v>0.9</v>
      </c>
      <c r="HP1456" s="2">
        <v>0.6</v>
      </c>
      <c r="HQ1456" s="2">
        <v>0.7</v>
      </c>
      <c r="HR1456" s="2">
        <v>0.8</v>
      </c>
      <c r="HS1456" s="2">
        <v>1.4</v>
      </c>
      <c r="HT1456" s="2">
        <v>0</v>
      </c>
      <c r="HU1456" s="2">
        <v>0.7</v>
      </c>
      <c r="HV1456" s="2">
        <v>0.2</v>
      </c>
      <c r="HW1456" s="2">
        <v>1</v>
      </c>
      <c r="HX1456" s="2">
        <v>0.2</v>
      </c>
      <c r="HY1456" s="2">
        <v>0.3</v>
      </c>
      <c r="HZ1456" s="2">
        <v>0.7</v>
      </c>
      <c r="IA1456" s="2">
        <v>0.7</v>
      </c>
      <c r="IB1456" s="2">
        <v>0.4</v>
      </c>
      <c r="IC1456" s="2">
        <v>1.1</v>
      </c>
      <c r="ID1456" s="2">
        <v>0.4</v>
      </c>
      <c r="IE1456" s="2">
        <v>0.9</v>
      </c>
      <c r="IF1456" s="2">
        <v>1.4</v>
      </c>
      <c r="IG1456" s="2">
        <v>0.7</v>
      </c>
      <c r="IH1456" s="2">
        <v>-0.1</v>
      </c>
      <c r="II1456" s="2">
        <v>0.2</v>
      </c>
      <c r="IJ1456" s="2">
        <v>1.1</v>
      </c>
      <c r="IK1456" s="2">
        <v>0.8</v>
      </c>
      <c r="IL1456" s="2">
        <v>1</v>
      </c>
      <c r="IM1456" s="2">
        <v>1.3</v>
      </c>
      <c r="IN1456" s="2">
        <v>1.2</v>
      </c>
      <c r="IO1456" s="2">
        <v>1.2</v>
      </c>
      <c r="IP1456" s="2">
        <v>-0.5</v>
      </c>
      <c r="IQ1456" s="2">
        <v>0.2</v>
      </c>
      <c r="IR1456" s="2">
        <v>0.4</v>
      </c>
      <c r="IS1456" s="2">
        <v>0.6</v>
      </c>
      <c r="IT1456" s="2">
        <v>0.6</v>
      </c>
      <c r="IU1456" s="2">
        <v>1.3</v>
      </c>
      <c r="IV1456" s="2">
        <v>0.6</v>
      </c>
      <c r="IW1456" s="2">
        <v>0.6</v>
      </c>
      <c r="IX1456" s="2">
        <v>0.6</v>
      </c>
      <c r="IY1456" s="2">
        <v>1.7</v>
      </c>
      <c r="IZ1456" s="2">
        <v>0.7</v>
      </c>
      <c r="JA1456" s="2">
        <v>0.6</v>
      </c>
      <c r="JB1456" s="2">
        <v>0.1</v>
      </c>
      <c r="JC1456" s="2">
        <v>0</v>
      </c>
      <c r="JD1456" s="2">
        <v>0.5</v>
      </c>
      <c r="JE1456" s="2">
        <v>1.2</v>
      </c>
      <c r="JF1456" s="2">
        <v>0.4</v>
      </c>
      <c r="JG1456" s="2">
        <v>0.4</v>
      </c>
      <c r="JH1456" s="2">
        <v>0.2</v>
      </c>
      <c r="JI1456" s="2">
        <v>1.4</v>
      </c>
      <c r="JJ1456" s="2">
        <v>0.8</v>
      </c>
      <c r="JK1456" s="2">
        <v>0.5</v>
      </c>
      <c r="JL1456" s="2">
        <v>0.6</v>
      </c>
      <c r="JM1456" s="2">
        <v>0.1</v>
      </c>
      <c r="JN1456" s="2">
        <v>0.2</v>
      </c>
      <c r="JO1456" s="2">
        <v>0.1</v>
      </c>
      <c r="JP1456" s="2">
        <v>0.7</v>
      </c>
      <c r="JQ1456" s="2">
        <v>0.5</v>
      </c>
      <c r="JR1456" s="2">
        <v>0.6</v>
      </c>
      <c r="JS1456" s="2">
        <v>-0.1</v>
      </c>
      <c r="JT1456" s="2">
        <v>0.4</v>
      </c>
      <c r="JU1456" s="2">
        <v>0.5</v>
      </c>
      <c r="JV1456" s="2">
        <v>0.7</v>
      </c>
      <c r="KA1456" s="2">
        <v>0.9</v>
      </c>
      <c r="KB1456" s="2">
        <v>0.2</v>
      </c>
      <c r="KC1456" s="2">
        <v>0.4</v>
      </c>
      <c r="KD1456" s="2">
        <v>0.7</v>
      </c>
      <c r="KQ1456" s="2">
        <v>0.9</v>
      </c>
      <c r="KR1456" s="2">
        <v>0.4</v>
      </c>
      <c r="KS1456" s="2">
        <v>0.2</v>
      </c>
      <c r="KT1456" s="2">
        <v>0.5</v>
      </c>
      <c r="LG1456" s="2">
        <v>0.1</v>
      </c>
      <c r="LH1456" s="2">
        <v>0.4</v>
      </c>
      <c r="LI1456" s="2">
        <v>0.6</v>
      </c>
      <c r="LJ1456" s="2">
        <v>0.9</v>
      </c>
      <c r="LW1456" s="2">
        <v>0.7</v>
      </c>
      <c r="LX1456" s="2">
        <v>-1.8</v>
      </c>
      <c r="LY1456" s="2">
        <v>0.9</v>
      </c>
      <c r="LZ1456" s="2">
        <v>1.4</v>
      </c>
      <c r="MM1456" s="2">
        <v>0.3</v>
      </c>
      <c r="MN1456" s="2">
        <v>0.3</v>
      </c>
      <c r="MO1456" s="2">
        <v>0.8</v>
      </c>
      <c r="MP1456" s="2">
        <v>1.1</v>
      </c>
      <c r="NC1456" s="2">
        <v>2.3</v>
      </c>
      <c r="ND1456" s="2">
        <v>1.8</v>
      </c>
      <c r="NE1456" s="2">
        <v>2.1</v>
      </c>
      <c r="NF1456" s="2">
        <v>1.6</v>
      </c>
      <c r="NS1456" s="2">
        <v>1.2</v>
      </c>
      <c r="NT1456" s="2">
        <v>0.6</v>
      </c>
      <c r="NU1456" s="2">
        <v>1.3</v>
      </c>
      <c r="NV1456" s="2">
        <v>0.6</v>
      </c>
      <c r="OI1456" s="2">
        <v>1</v>
      </c>
      <c r="OJ1456" s="2">
        <v>0.6</v>
      </c>
      <c r="OK1456" s="2">
        <v>0.7</v>
      </c>
      <c r="OL1456" s="2">
        <v>0.1</v>
      </c>
      <c r="OY1456" s="2">
        <v>0.8</v>
      </c>
      <c r="OZ1456" s="2">
        <v>0.4</v>
      </c>
      <c r="PA1456" s="2">
        <v>1.2</v>
      </c>
      <c r="PB1456" s="2">
        <v>0.7</v>
      </c>
      <c r="PJ1456" s="2">
        <v>1.4</v>
      </c>
      <c r="PK1456" s="2">
        <v>0.2</v>
      </c>
    </row>
    <row r="1457">
      <c r="A1457" t="inlineStr">
        <is>
          <t>A2325820F</t>
        </is>
      </c>
      <c r="B1457" t="inlineStr">
        <is>
          <t>Percentage Change from Previous Period ;  All groups CPI ;  Brisbane ;</t>
        </is>
      </c>
      <c r="C1457" t="inlineStr">
        <is>
          <t>Quarter</t>
        </is>
      </c>
      <c r="D1457" t="inlineStr">
        <is>
          <t>Percent</t>
        </is>
      </c>
      <c r="E1457" t="inlineStr">
        <is>
          <t>Original</t>
        </is>
      </c>
      <c r="F1457" t="inlineStr">
        <is>
          <t>6401017.xlsx</t>
        </is>
      </c>
      <c r="G1457" t="inlineStr">
        <is>
          <t>1948Q4</t>
        </is>
      </c>
      <c r="H1457" t="inlineStr">
        <is>
          <t>2026Q2</t>
        </is>
      </c>
      <c r="J1457" s="2">
        <v>1.2</v>
      </c>
      <c r="K1457" s="2">
        <v>1.6</v>
      </c>
      <c r="L1457" s="2">
        <v>2.7</v>
      </c>
      <c r="M1457" s="2">
        <v>3</v>
      </c>
      <c r="N1457" s="2">
        <v>1.1</v>
      </c>
      <c r="O1457" s="2">
        <v>1.4</v>
      </c>
      <c r="P1457" s="2">
        <v>2.5</v>
      </c>
      <c r="Q1457" s="2">
        <v>1.4</v>
      </c>
      <c r="R1457" s="2">
        <v>3.8</v>
      </c>
      <c r="S1457" s="2">
        <v>5</v>
      </c>
      <c r="T1457" s="2">
        <v>5.7</v>
      </c>
      <c r="U1457" s="2">
        <v>4.5</v>
      </c>
      <c r="V1457" s="2">
        <v>8.6</v>
      </c>
      <c r="W1457" s="2">
        <v>3.7</v>
      </c>
      <c r="X1457" s="2">
        <v>2</v>
      </c>
      <c r="Y1457" s="2">
        <v>2.7</v>
      </c>
      <c r="Z1457" s="2">
        <v>0</v>
      </c>
      <c r="AA1457" s="2">
        <v>0.7</v>
      </c>
      <c r="AB1457" s="2">
        <v>1</v>
      </c>
      <c r="AC1457" s="2">
        <v>0</v>
      </c>
      <c r="AD1457" s="2">
        <v>1</v>
      </c>
      <c r="AE1457" s="2">
        <v>0</v>
      </c>
      <c r="AF1457" s="2">
        <v>0</v>
      </c>
      <c r="AG1457" s="2">
        <v>0</v>
      </c>
      <c r="AH1457" s="2">
        <v>0</v>
      </c>
      <c r="AI1457" s="2">
        <v>0.9</v>
      </c>
      <c r="AJ1457" s="2">
        <v>0.7</v>
      </c>
      <c r="AK1457" s="2">
        <v>0</v>
      </c>
      <c r="AL1457" s="2">
        <v>0.9</v>
      </c>
      <c r="AM1457" s="2">
        <v>1.6</v>
      </c>
      <c r="AN1457" s="2">
        <v>2.5</v>
      </c>
      <c r="AO1457" s="2">
        <v>2.4</v>
      </c>
      <c r="AP1457" s="2">
        <v>0</v>
      </c>
      <c r="AQ1457" s="2">
        <v>0</v>
      </c>
      <c r="AR1457" s="2">
        <v>0.9</v>
      </c>
      <c r="AS1457" s="2">
        <v>0</v>
      </c>
      <c r="AT1457" s="2">
        <v>0.9</v>
      </c>
      <c r="AU1457" s="2">
        <v>0.6</v>
      </c>
      <c r="AV1457" s="2">
        <v>0.8</v>
      </c>
      <c r="AW1457" s="2">
        <v>0.8</v>
      </c>
      <c r="AX1457" s="2">
        <v>1.4</v>
      </c>
      <c r="AY1457" s="2">
        <v>0.8</v>
      </c>
      <c r="AZ1457" s="2">
        <v>0</v>
      </c>
      <c r="BA1457" s="2">
        <v>0.8</v>
      </c>
      <c r="BB1457" s="2">
        <v>0.6</v>
      </c>
      <c r="BC1457" s="2">
        <v>0.8</v>
      </c>
      <c r="BD1457" s="2">
        <v>0</v>
      </c>
      <c r="BE1457" s="2">
        <v>1.4</v>
      </c>
      <c r="BF1457" s="2">
        <v>1.6</v>
      </c>
      <c r="BG1457" s="2">
        <v>1.3</v>
      </c>
      <c r="BH1457" s="2">
        <v>-0.8</v>
      </c>
      <c r="BI1457" s="2">
        <v>0.8</v>
      </c>
      <c r="BJ1457" s="2">
        <v>0</v>
      </c>
      <c r="BK1457" s="2">
        <v>0.8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0.6</v>
      </c>
      <c r="BR1457" s="2">
        <v>0</v>
      </c>
      <c r="BS1457" s="2">
        <v>0.7</v>
      </c>
      <c r="BT1457" s="2">
        <v>0.7</v>
      </c>
      <c r="BU1457" s="2">
        <v>1.3</v>
      </c>
      <c r="BV1457" s="2">
        <v>0.7</v>
      </c>
      <c r="BW1457" s="2">
        <v>1.3</v>
      </c>
      <c r="BX1457" s="2">
        <v>0.7</v>
      </c>
      <c r="BY1457" s="2">
        <v>2</v>
      </c>
      <c r="BZ1457" s="2">
        <v>1.2</v>
      </c>
      <c r="CA1457" s="2">
        <v>0.7</v>
      </c>
      <c r="CB1457" s="2">
        <v>0.7</v>
      </c>
      <c r="CC1457" s="2">
        <v>0.5</v>
      </c>
      <c r="CD1457" s="2">
        <v>0.7</v>
      </c>
      <c r="CE1457" s="2">
        <v>0.7</v>
      </c>
      <c r="CF1457" s="2">
        <v>0.5</v>
      </c>
      <c r="CG1457" s="2">
        <v>2</v>
      </c>
      <c r="CH1457" s="2">
        <v>0</v>
      </c>
      <c r="CI1457" s="2">
        <v>0.5</v>
      </c>
      <c r="CJ1457" s="2">
        <v>0</v>
      </c>
      <c r="CK1457" s="2">
        <v>1.3</v>
      </c>
      <c r="CL1457" s="2">
        <v>0.5</v>
      </c>
      <c r="CM1457" s="2">
        <v>0.6</v>
      </c>
      <c r="CN1457" s="2">
        <v>0.6</v>
      </c>
      <c r="CO1457" s="2">
        <v>0.5</v>
      </c>
      <c r="CP1457" s="2">
        <v>0.6</v>
      </c>
      <c r="CQ1457" s="2">
        <v>1.1</v>
      </c>
      <c r="CR1457" s="2">
        <v>0.6</v>
      </c>
      <c r="CS1457" s="2">
        <v>1.1</v>
      </c>
      <c r="CT1457" s="2">
        <v>2.3</v>
      </c>
      <c r="CU1457" s="2">
        <v>1.6</v>
      </c>
      <c r="CV1457" s="2">
        <v>1.6</v>
      </c>
      <c r="CW1457" s="2">
        <v>1.6</v>
      </c>
      <c r="CX1457" s="2">
        <v>2.1</v>
      </c>
      <c r="CY1457" s="2">
        <v>1</v>
      </c>
      <c r="CZ1457" s="2">
        <v>1.1</v>
      </c>
      <c r="DA1457" s="2">
        <v>0.5</v>
      </c>
      <c r="DB1457" s="2">
        <v>1.5</v>
      </c>
      <c r="DC1457" s="2">
        <v>2.4</v>
      </c>
      <c r="DD1457" s="2">
        <v>3.4</v>
      </c>
      <c r="DE1457" s="2">
        <v>4.1</v>
      </c>
      <c r="DF1457" s="2">
        <v>3.5</v>
      </c>
      <c r="DG1457" s="2">
        <v>2.7</v>
      </c>
      <c r="DH1457" s="2">
        <v>3.3</v>
      </c>
      <c r="DI1457" s="2">
        <v>5.7</v>
      </c>
      <c r="DJ1457" s="2">
        <v>3</v>
      </c>
      <c r="DK1457" s="2">
        <v>2.6</v>
      </c>
      <c r="DL1457" s="2">
        <v>2.8</v>
      </c>
      <c r="DM1457" s="2">
        <v>1.8</v>
      </c>
      <c r="DN1457" s="2">
        <v>6.2</v>
      </c>
      <c r="DO1457" s="2">
        <v>2.9</v>
      </c>
      <c r="DP1457" s="2">
        <v>2.6</v>
      </c>
      <c r="DQ1457" s="2">
        <v>2.4</v>
      </c>
      <c r="DR1457" s="2">
        <v>6</v>
      </c>
      <c r="DS1457" s="2">
        <v>2.3</v>
      </c>
      <c r="DT1457" s="2">
        <v>1.9</v>
      </c>
      <c r="DU1457" s="2">
        <v>1.9</v>
      </c>
      <c r="DV1457" s="2">
        <v>2.2</v>
      </c>
      <c r="DW1457" s="2">
        <v>1.8</v>
      </c>
      <c r="DX1457" s="2">
        <v>2.1</v>
      </c>
      <c r="DY1457" s="2">
        <v>1.8</v>
      </c>
      <c r="DZ1457" s="2">
        <v>3.2</v>
      </c>
      <c r="EA1457" s="2">
        <v>0.7</v>
      </c>
      <c r="EB1457" s="2">
        <v>2.1</v>
      </c>
      <c r="EC1457" s="2">
        <v>2.3</v>
      </c>
      <c r="ED1457" s="2">
        <v>3.1</v>
      </c>
      <c r="EE1457" s="2">
        <v>2.7</v>
      </c>
      <c r="EF1457" s="2">
        <v>2.3</v>
      </c>
      <c r="EG1457" s="2">
        <v>1.7</v>
      </c>
      <c r="EH1457" s="2">
        <v>2.2</v>
      </c>
      <c r="EI1457" s="2">
        <v>2</v>
      </c>
      <c r="EJ1457" s="2">
        <v>2.8</v>
      </c>
      <c r="EK1457" s="2">
        <v>2.3</v>
      </c>
      <c r="EL1457" s="2">
        <v>3.8</v>
      </c>
      <c r="EM1457" s="2">
        <v>2.3</v>
      </c>
      <c r="EN1457" s="2">
        <v>1.4</v>
      </c>
      <c r="EO1457" s="2">
        <v>3.3</v>
      </c>
      <c r="EP1457" s="2">
        <v>3.4</v>
      </c>
      <c r="EQ1457" s="2">
        <v>2.4</v>
      </c>
      <c r="ER1457" s="2">
        <v>1.3</v>
      </c>
      <c r="ES1457" s="2">
        <v>2.2</v>
      </c>
      <c r="ET1457" s="2">
        <v>2</v>
      </c>
      <c r="EU1457" s="2">
        <v>0.3</v>
      </c>
      <c r="EV1457" s="2">
        <v>0.8</v>
      </c>
      <c r="EW1457" s="2">
        <v>1.3</v>
      </c>
      <c r="EX1457" s="2">
        <v>1</v>
      </c>
      <c r="EY1457" s="2">
        <v>1.6</v>
      </c>
      <c r="EZ1457" s="2">
        <v>1.8</v>
      </c>
      <c r="FA1457" s="2">
        <v>2.5</v>
      </c>
      <c r="FB1457" s="2">
        <v>1.9</v>
      </c>
      <c r="FC1457" s="2">
        <v>2.5</v>
      </c>
      <c r="FD1457" s="2">
        <v>1</v>
      </c>
      <c r="FE1457" s="2">
        <v>2.5</v>
      </c>
      <c r="FF1457" s="2">
        <v>2.7</v>
      </c>
      <c r="FG1457" s="2">
        <v>2.1</v>
      </c>
      <c r="FH1457" s="2">
        <v>1.2</v>
      </c>
      <c r="FI1457" s="2">
        <v>1.4</v>
      </c>
      <c r="FJ1457" s="2">
        <v>1.9</v>
      </c>
      <c r="FK1457" s="2">
        <v>1.8</v>
      </c>
      <c r="FL1457" s="2">
        <v>1.9</v>
      </c>
      <c r="FM1457" s="2">
        <v>1.5</v>
      </c>
      <c r="FN1457" s="2">
        <v>1.8</v>
      </c>
      <c r="FO1457" s="2">
        <v>1.4</v>
      </c>
      <c r="FP1457" s="2">
        <v>2.5</v>
      </c>
      <c r="FQ1457" s="2">
        <v>1.9</v>
      </c>
      <c r="FR1457" s="2">
        <v>1.8</v>
      </c>
      <c r="FS1457" s="2">
        <v>1.5</v>
      </c>
      <c r="FT1457" s="2">
        <v>1.4</v>
      </c>
      <c r="FU1457" s="2">
        <v>0.6</v>
      </c>
      <c r="FV1457" s="2">
        <v>2.5</v>
      </c>
      <c r="FW1457" s="2">
        <v>0.3</v>
      </c>
      <c r="FX1457" s="2">
        <v>0</v>
      </c>
      <c r="FY1457" s="2">
        <v>0.4</v>
      </c>
      <c r="FZ1457" s="2">
        <v>1.1</v>
      </c>
      <c r="GA1457" s="2">
        <v>0.2</v>
      </c>
      <c r="GB1457" s="2">
        <v>-0.5</v>
      </c>
      <c r="GC1457" s="2">
        <v>-0.1</v>
      </c>
      <c r="GD1457" s="2">
        <v>1.1</v>
      </c>
      <c r="GE1457" s="2">
        <v>0.9</v>
      </c>
      <c r="GF1457" s="2">
        <v>0.5</v>
      </c>
      <c r="GG1457" s="2">
        <v>0.2</v>
      </c>
      <c r="GH1457" s="2">
        <v>0.3</v>
      </c>
      <c r="GI1457" s="2">
        <v>0.5</v>
      </c>
      <c r="GJ1457" s="2">
        <v>0.6</v>
      </c>
      <c r="GK1457" s="2">
        <v>0.9</v>
      </c>
      <c r="GL1457" s="2">
        <v>1.1</v>
      </c>
      <c r="GM1457" s="2">
        <v>1.8</v>
      </c>
      <c r="GN1457" s="2">
        <v>1</v>
      </c>
      <c r="GO1457" s="2">
        <v>0.9</v>
      </c>
      <c r="GP1457" s="2">
        <v>0.6</v>
      </c>
      <c r="GQ1457" s="2">
        <v>0.8</v>
      </c>
      <c r="GR1457" s="2">
        <v>0.7</v>
      </c>
      <c r="GS1457" s="2">
        <v>0.2</v>
      </c>
      <c r="GT1457" s="2">
        <v>0.2</v>
      </c>
      <c r="GU1457" s="2">
        <v>0.6</v>
      </c>
      <c r="GV1457" s="2">
        <v>-0.3</v>
      </c>
      <c r="GW1457" s="2">
        <v>-0.3</v>
      </c>
      <c r="GX1457" s="2">
        <v>0.6</v>
      </c>
      <c r="GY1457" s="2">
        <v>0.4</v>
      </c>
      <c r="GZ1457" s="2">
        <v>0.3</v>
      </c>
      <c r="HA1457" s="2">
        <v>0.2</v>
      </c>
      <c r="HB1457" s="2">
        <v>0.4</v>
      </c>
      <c r="HC1457" s="2">
        <v>-0.2</v>
      </c>
      <c r="HD1457" s="2">
        <v>0.3</v>
      </c>
      <c r="HE1457" s="2">
        <v>0.7</v>
      </c>
      <c r="HF1457" s="2">
        <v>0.1</v>
      </c>
      <c r="HG1457" s="2">
        <v>1.1</v>
      </c>
      <c r="HH1457" s="2">
        <v>0.7</v>
      </c>
      <c r="HI1457" s="2">
        <v>3.9</v>
      </c>
      <c r="HJ1457" s="2">
        <v>0.2</v>
      </c>
      <c r="HK1457" s="2">
        <v>0.8</v>
      </c>
      <c r="HL1457" s="2">
        <v>1</v>
      </c>
      <c r="HM1457" s="2">
        <v>0.2</v>
      </c>
      <c r="HN1457" s="2">
        <v>1.2</v>
      </c>
      <c r="HO1457" s="2">
        <v>0.9</v>
      </c>
      <c r="HP1457" s="2">
        <v>0.8</v>
      </c>
      <c r="HQ1457" s="2">
        <v>0.8</v>
      </c>
      <c r="HR1457" s="2">
        <v>0.5</v>
      </c>
      <c r="HS1457" s="2">
        <v>1.3</v>
      </c>
      <c r="HT1457" s="2">
        <v>0.1</v>
      </c>
      <c r="HU1457" s="2">
        <v>1</v>
      </c>
      <c r="HV1457" s="2">
        <v>0.7</v>
      </c>
      <c r="HW1457" s="2">
        <v>0.8</v>
      </c>
      <c r="HX1457" s="2">
        <v>0.6</v>
      </c>
      <c r="HY1457" s="2">
        <v>0.4</v>
      </c>
      <c r="HZ1457" s="2">
        <v>0.8</v>
      </c>
      <c r="IA1457" s="2">
        <v>0.8</v>
      </c>
      <c r="IB1457" s="2">
        <v>0.5</v>
      </c>
      <c r="IC1457" s="2">
        <v>0.6</v>
      </c>
      <c r="ID1457" s="2">
        <v>0.8</v>
      </c>
      <c r="IE1457" s="2">
        <v>0.9</v>
      </c>
      <c r="IF1457" s="2">
        <v>1.8</v>
      </c>
      <c r="IG1457" s="2">
        <v>0.9</v>
      </c>
      <c r="IH1457" s="2">
        <v>-0.1</v>
      </c>
      <c r="II1457" s="2">
        <v>0.4</v>
      </c>
      <c r="IJ1457" s="2">
        <v>1.4</v>
      </c>
      <c r="IK1457" s="2">
        <v>0.9</v>
      </c>
      <c r="IL1457" s="2">
        <v>1.1</v>
      </c>
      <c r="IM1457" s="2">
        <v>1.3</v>
      </c>
      <c r="IN1457" s="2">
        <v>1.7</v>
      </c>
      <c r="IO1457" s="2">
        <v>1.4</v>
      </c>
      <c r="IP1457" s="2">
        <v>-0.2</v>
      </c>
      <c r="IQ1457" s="2">
        <v>0.2</v>
      </c>
      <c r="IR1457" s="2">
        <v>0.6</v>
      </c>
      <c r="IS1457" s="2">
        <v>1.4</v>
      </c>
      <c r="IT1457" s="2">
        <v>0.3</v>
      </c>
      <c r="IU1457" s="2">
        <v>0.7</v>
      </c>
      <c r="IV1457" s="2">
        <v>0.8</v>
      </c>
      <c r="IW1457" s="2">
        <v>1</v>
      </c>
      <c r="IX1457" s="2">
        <v>0.5</v>
      </c>
      <c r="IY1457" s="2">
        <v>1.3</v>
      </c>
      <c r="IZ1457" s="2">
        <v>1</v>
      </c>
      <c r="JA1457" s="2">
        <v>0.3</v>
      </c>
      <c r="JB1457" s="2">
        <v>-0.2</v>
      </c>
      <c r="JC1457" s="2">
        <v>0.2</v>
      </c>
      <c r="JD1457" s="2">
        <v>0.6</v>
      </c>
      <c r="JE1457" s="2">
        <v>1.2</v>
      </c>
      <c r="JF1457" s="2">
        <v>0.3</v>
      </c>
      <c r="JG1457" s="2">
        <v>0.1</v>
      </c>
      <c r="JH1457" s="2">
        <v>0.5</v>
      </c>
      <c r="JI1457" s="2">
        <v>1.2</v>
      </c>
      <c r="JJ1457" s="2">
        <v>0.8</v>
      </c>
      <c r="JK1457" s="2">
        <v>0.6</v>
      </c>
      <c r="JL1457" s="2">
        <v>0.6</v>
      </c>
      <c r="JM1457" s="2">
        <v>0.7</v>
      </c>
      <c r="JN1457" s="2">
        <v>0.2</v>
      </c>
      <c r="JO1457" s="2">
        <v>-0.1</v>
      </c>
      <c r="JP1457" s="2">
        <v>0.7</v>
      </c>
      <c r="JQ1457" s="2">
        <v>0.6</v>
      </c>
      <c r="JR1457" s="2">
        <v>0.4</v>
      </c>
      <c r="JS1457" s="2">
        <v>0</v>
      </c>
      <c r="JT1457" s="2">
        <v>0.5</v>
      </c>
      <c r="JU1457" s="2">
        <v>0.6</v>
      </c>
      <c r="JV1457" s="2">
        <v>0.5</v>
      </c>
      <c r="KA1457" s="2">
        <v>0.3</v>
      </c>
      <c r="KB1457" s="2">
        <v>0.4</v>
      </c>
      <c r="KC1457" s="2">
        <v>0.4</v>
      </c>
      <c r="KD1457" s="2">
        <v>0.8</v>
      </c>
      <c r="KQ1457" s="2">
        <v>0.1</v>
      </c>
      <c r="KR1457" s="2">
        <v>0.4</v>
      </c>
      <c r="KS1457" s="2">
        <v>0.5</v>
      </c>
      <c r="KT1457" s="2">
        <v>0.5</v>
      </c>
      <c r="LG1457" s="2">
        <v>0.1</v>
      </c>
      <c r="LH1457" s="2">
        <v>0.6</v>
      </c>
      <c r="LI1457" s="2">
        <v>0.6</v>
      </c>
      <c r="LJ1457" s="2">
        <v>0.7</v>
      </c>
      <c r="LW1457" s="2">
        <v>0</v>
      </c>
      <c r="LX1457" s="2">
        <v>-2.3</v>
      </c>
      <c r="LY1457" s="2">
        <v>2.3</v>
      </c>
      <c r="LZ1457" s="2">
        <v>1.1</v>
      </c>
      <c r="MM1457" s="2">
        <v>0.6</v>
      </c>
      <c r="MN1457" s="2">
        <v>0.9</v>
      </c>
      <c r="MO1457" s="2">
        <v>1.2</v>
      </c>
      <c r="MP1457" s="2">
        <v>1.6</v>
      </c>
      <c r="NC1457" s="2">
        <v>2.2</v>
      </c>
      <c r="ND1457" s="2">
        <v>2</v>
      </c>
      <c r="NE1457" s="2">
        <v>1.8</v>
      </c>
      <c r="NF1457" s="2">
        <v>1.5</v>
      </c>
      <c r="NS1457" s="2">
        <v>1.9</v>
      </c>
      <c r="NT1457" s="2">
        <v>1</v>
      </c>
      <c r="NU1457" s="2">
        <v>0.7</v>
      </c>
      <c r="NV1457" s="2">
        <v>0.5</v>
      </c>
      <c r="OI1457" s="2">
        <v>1.1</v>
      </c>
      <c r="OJ1457" s="2">
        <v>0.9</v>
      </c>
      <c r="OK1457" s="2">
        <v>-0.8</v>
      </c>
      <c r="OL1457" s="2">
        <v>0.6</v>
      </c>
      <c r="OY1457" s="2">
        <v>1.9</v>
      </c>
      <c r="OZ1457" s="2">
        <v>0.8</v>
      </c>
      <c r="PA1457" s="2">
        <v>1.3</v>
      </c>
      <c r="PB1457" s="2">
        <v>0.9</v>
      </c>
      <c r="PJ1457" s="2">
        <v>1</v>
      </c>
      <c r="PK1457" s="2">
        <v>0.7</v>
      </c>
    </row>
    <row r="1458">
      <c r="A1458" t="inlineStr">
        <is>
          <t>A2325825T</t>
        </is>
      </c>
      <c r="B1458" t="inlineStr">
        <is>
          <t>Percentage Change from Previous Period ;  All groups CPI ;  Adelaide ;</t>
        </is>
      </c>
      <c r="C1458" t="inlineStr">
        <is>
          <t>Quarter</t>
        </is>
      </c>
      <c r="D1458" t="inlineStr">
        <is>
          <t>Percent</t>
        </is>
      </c>
      <c r="E1458" t="inlineStr">
        <is>
          <t>Original</t>
        </is>
      </c>
      <c r="F1458" t="inlineStr">
        <is>
          <t>6401017.xlsx</t>
        </is>
      </c>
      <c r="G1458" t="inlineStr">
        <is>
          <t>1948Q4</t>
        </is>
      </c>
      <c r="H1458" t="inlineStr">
        <is>
          <t>2026Q2</t>
        </is>
      </c>
      <c r="J1458" s="2">
        <v>1.5</v>
      </c>
      <c r="K1458" s="2">
        <v>2.6</v>
      </c>
      <c r="L1458" s="2">
        <v>1.5</v>
      </c>
      <c r="M1458" s="2">
        <v>1.4</v>
      </c>
      <c r="N1458" s="2">
        <v>1.1</v>
      </c>
      <c r="O1458" s="2">
        <v>1.4</v>
      </c>
      <c r="P1458" s="2">
        <v>4.1</v>
      </c>
      <c r="Q1458" s="2">
        <v>1</v>
      </c>
      <c r="R1458" s="2">
        <v>3.9</v>
      </c>
      <c r="S1458" s="2">
        <v>4.7</v>
      </c>
      <c r="T1458" s="2">
        <v>6.6</v>
      </c>
      <c r="U1458" s="2">
        <v>5.4</v>
      </c>
      <c r="V1458" s="2">
        <v>5.1</v>
      </c>
      <c r="W1458" s="2">
        <v>3.8</v>
      </c>
      <c r="X1458" s="2">
        <v>4.7</v>
      </c>
      <c r="Y1458" s="2">
        <v>2.6</v>
      </c>
      <c r="Z1458" s="2">
        <v>-0.9</v>
      </c>
      <c r="AA1458" s="2">
        <v>1.8</v>
      </c>
      <c r="AB1458" s="2">
        <v>0.9</v>
      </c>
      <c r="AC1458" s="2">
        <v>0.9</v>
      </c>
      <c r="AD1458" s="2">
        <v>0</v>
      </c>
      <c r="AE1458" s="2">
        <v>0</v>
      </c>
      <c r="AF1458" s="2">
        <v>0</v>
      </c>
      <c r="AG1458" s="2">
        <v>0.7</v>
      </c>
      <c r="AH1458" s="2">
        <v>0</v>
      </c>
      <c r="AI1458" s="2">
        <v>0.9</v>
      </c>
      <c r="AJ1458" s="2">
        <v>0.9</v>
      </c>
      <c r="AK1458" s="2">
        <v>0</v>
      </c>
      <c r="AL1458" s="2">
        <v>0.9</v>
      </c>
      <c r="AM1458" s="2">
        <v>0.6</v>
      </c>
      <c r="AN1458" s="2">
        <v>3.2</v>
      </c>
      <c r="AO1458" s="2">
        <v>1.7</v>
      </c>
      <c r="AP1458" s="2">
        <v>0</v>
      </c>
      <c r="AQ1458" s="2">
        <v>-1.6</v>
      </c>
      <c r="AR1458" s="2">
        <v>1.7</v>
      </c>
      <c r="AS1458" s="2">
        <v>0</v>
      </c>
      <c r="AT1458" s="2">
        <v>0</v>
      </c>
      <c r="AU1458" s="2">
        <v>0</v>
      </c>
      <c r="AV1458" s="2">
        <v>0.8</v>
      </c>
      <c r="AW1458" s="2">
        <v>0.8</v>
      </c>
      <c r="AX1458" s="2">
        <v>0.6</v>
      </c>
      <c r="AY1458" s="2">
        <v>0.8</v>
      </c>
      <c r="AZ1458" s="2">
        <v>0</v>
      </c>
      <c r="BA1458" s="2">
        <v>0.8</v>
      </c>
      <c r="BB1458" s="2">
        <v>0.8</v>
      </c>
      <c r="BC1458" s="2">
        <v>1.4</v>
      </c>
      <c r="BD1458" s="2">
        <v>1.5</v>
      </c>
      <c r="BE1458" s="2">
        <v>1.3</v>
      </c>
      <c r="BF1458" s="2">
        <v>0.7</v>
      </c>
      <c r="BG1458" s="2">
        <v>0.7</v>
      </c>
      <c r="BH1458" s="2">
        <v>0.7</v>
      </c>
      <c r="BI1458" s="2">
        <v>-0.7</v>
      </c>
      <c r="BJ1458" s="2">
        <v>-0.7</v>
      </c>
      <c r="BK1458" s="2">
        <v>-0.7</v>
      </c>
      <c r="BL1458" s="2">
        <v>0</v>
      </c>
      <c r="BM1458" s="2">
        <v>0</v>
      </c>
      <c r="BN1458" s="2">
        <v>0</v>
      </c>
      <c r="BO1458" s="2">
        <v>0</v>
      </c>
      <c r="BP1458" s="2">
        <v>0.7</v>
      </c>
      <c r="BQ1458" s="2">
        <v>0</v>
      </c>
      <c r="BR1458" s="2">
        <v>0</v>
      </c>
      <c r="BS1458" s="2">
        <v>0.7</v>
      </c>
      <c r="BT1458" s="2">
        <v>1.3</v>
      </c>
      <c r="BU1458" s="2">
        <v>1.5</v>
      </c>
      <c r="BV1458" s="2">
        <v>1.3</v>
      </c>
      <c r="BW1458" s="2">
        <v>0</v>
      </c>
      <c r="BX1458" s="2">
        <v>0.7</v>
      </c>
      <c r="BY1458" s="2">
        <v>0.7</v>
      </c>
      <c r="BZ1458" s="2">
        <v>1.9</v>
      </c>
      <c r="CA1458" s="2">
        <v>0</v>
      </c>
      <c r="CB1458" s="2">
        <v>1.4</v>
      </c>
      <c r="CC1458" s="2">
        <v>0</v>
      </c>
      <c r="CD1458" s="2">
        <v>1.2</v>
      </c>
      <c r="CE1458" s="2">
        <v>0.7</v>
      </c>
      <c r="CF1458" s="2">
        <v>1.3</v>
      </c>
      <c r="CG1458" s="2">
        <v>1.1</v>
      </c>
      <c r="CH1458" s="2">
        <v>-0.6</v>
      </c>
      <c r="CI1458" s="2">
        <v>0.7</v>
      </c>
      <c r="CJ1458" s="2">
        <v>1.3</v>
      </c>
      <c r="CK1458" s="2">
        <v>0</v>
      </c>
      <c r="CL1458" s="2">
        <v>0.6</v>
      </c>
      <c r="CM1458" s="2">
        <v>0.5</v>
      </c>
      <c r="CN1458" s="2">
        <v>0.6</v>
      </c>
      <c r="CO1458" s="2">
        <v>0.6</v>
      </c>
      <c r="CP1458" s="2">
        <v>0.6</v>
      </c>
      <c r="CQ1458" s="2">
        <v>0.5</v>
      </c>
      <c r="CR1458" s="2">
        <v>1.9</v>
      </c>
      <c r="CS1458" s="2">
        <v>0</v>
      </c>
      <c r="CT1458" s="2">
        <v>1.7</v>
      </c>
      <c r="CU1458" s="2">
        <v>1.2</v>
      </c>
      <c r="CV1458" s="2">
        <v>2.2</v>
      </c>
      <c r="CW1458" s="2">
        <v>0.4</v>
      </c>
      <c r="CX1458" s="2">
        <v>2.7</v>
      </c>
      <c r="CY1458" s="2">
        <v>0.6</v>
      </c>
      <c r="CZ1458" s="2">
        <v>1.1</v>
      </c>
      <c r="DA1458" s="2">
        <v>1.5</v>
      </c>
      <c r="DB1458" s="2">
        <v>0.9</v>
      </c>
      <c r="DC1458" s="2">
        <v>2</v>
      </c>
      <c r="DD1458" s="2">
        <v>4.1</v>
      </c>
      <c r="DE1458" s="2">
        <v>3.3</v>
      </c>
      <c r="DF1458" s="2">
        <v>4.2</v>
      </c>
      <c r="DG1458" s="2">
        <v>2.7</v>
      </c>
      <c r="DH1458" s="2">
        <v>4.2</v>
      </c>
      <c r="DI1458" s="2">
        <v>4.9</v>
      </c>
      <c r="DJ1458" s="2">
        <v>4.4</v>
      </c>
      <c r="DK1458" s="2">
        <v>4.5</v>
      </c>
      <c r="DL1458" s="2">
        <v>3.3</v>
      </c>
      <c r="DM1458" s="2">
        <v>-0.6</v>
      </c>
      <c r="DN1458" s="2">
        <v>5.6</v>
      </c>
      <c r="DO1458" s="2">
        <v>3.4</v>
      </c>
      <c r="DP1458" s="2">
        <v>2.8</v>
      </c>
      <c r="DQ1458" s="2">
        <v>2.8</v>
      </c>
      <c r="DR1458" s="2">
        <v>6.7</v>
      </c>
      <c r="DS1458" s="2">
        <v>2.3</v>
      </c>
      <c r="DT1458" s="2">
        <v>2.3</v>
      </c>
      <c r="DU1458" s="2">
        <v>2.5</v>
      </c>
      <c r="DV1458" s="2">
        <v>2.3</v>
      </c>
      <c r="DW1458" s="2">
        <v>0.8</v>
      </c>
      <c r="DX1458" s="2">
        <v>2.1</v>
      </c>
      <c r="DY1458" s="2">
        <v>2</v>
      </c>
      <c r="DZ1458" s="2">
        <v>1.5</v>
      </c>
      <c r="EA1458" s="2">
        <v>1.7</v>
      </c>
      <c r="EB1458" s="2">
        <v>2.7</v>
      </c>
      <c r="EC1458" s="2">
        <v>1.9</v>
      </c>
      <c r="ED1458" s="2">
        <v>3.9</v>
      </c>
      <c r="EE1458" s="2">
        <v>1.8</v>
      </c>
      <c r="EF1458" s="2">
        <v>3.1</v>
      </c>
      <c r="EG1458" s="2">
        <v>1.2</v>
      </c>
      <c r="EH1458" s="2">
        <v>2.1</v>
      </c>
      <c r="EI1458" s="2">
        <v>2.7</v>
      </c>
      <c r="EJ1458" s="2">
        <v>2.4</v>
      </c>
      <c r="EK1458" s="2">
        <v>2.2</v>
      </c>
      <c r="EL1458" s="2">
        <v>4</v>
      </c>
      <c r="EM1458" s="2">
        <v>1.5</v>
      </c>
      <c r="EN1458" s="2">
        <v>2.5</v>
      </c>
      <c r="EO1458" s="2">
        <v>3.5</v>
      </c>
      <c r="EP1458" s="2">
        <v>2.7</v>
      </c>
      <c r="EQ1458" s="2">
        <v>2.8</v>
      </c>
      <c r="ER1458" s="2">
        <v>2.7</v>
      </c>
      <c r="ES1458" s="2">
        <v>1.4</v>
      </c>
      <c r="ET1458" s="2">
        <v>2</v>
      </c>
      <c r="EU1458" s="2">
        <v>0</v>
      </c>
      <c r="EV1458" s="2">
        <v>0.1</v>
      </c>
      <c r="EW1458" s="2">
        <v>1.1</v>
      </c>
      <c r="EX1458" s="2">
        <v>2.1</v>
      </c>
      <c r="EY1458" s="2">
        <v>1.4</v>
      </c>
      <c r="EZ1458" s="2">
        <v>2.6</v>
      </c>
      <c r="FA1458" s="2">
        <v>2.1</v>
      </c>
      <c r="FB1458" s="2">
        <v>2</v>
      </c>
      <c r="FC1458" s="2">
        <v>1.5</v>
      </c>
      <c r="FD1458" s="2">
        <v>2</v>
      </c>
      <c r="FE1458" s="2">
        <v>3</v>
      </c>
      <c r="FF1458" s="2">
        <v>2.5</v>
      </c>
      <c r="FG1458" s="2">
        <v>1.7</v>
      </c>
      <c r="FH1458" s="2">
        <v>1.6</v>
      </c>
      <c r="FI1458" s="2">
        <v>1.2</v>
      </c>
      <c r="FJ1458" s="2">
        <v>2</v>
      </c>
      <c r="FK1458" s="2">
        <v>1.4</v>
      </c>
      <c r="FL1458" s="2">
        <v>1.7</v>
      </c>
      <c r="FM1458" s="2">
        <v>1.9</v>
      </c>
      <c r="FN1458" s="2">
        <v>1.6</v>
      </c>
      <c r="FO1458" s="2">
        <v>2.1</v>
      </c>
      <c r="FP1458" s="2">
        <v>1.9</v>
      </c>
      <c r="FQ1458" s="2">
        <v>1.8</v>
      </c>
      <c r="FR1458" s="2">
        <v>1.5</v>
      </c>
      <c r="FS1458" s="2">
        <v>1.4</v>
      </c>
      <c r="FT1458" s="2">
        <v>1.9</v>
      </c>
      <c r="FU1458" s="2">
        <v>1.3</v>
      </c>
      <c r="FV1458" s="2">
        <v>3</v>
      </c>
      <c r="FW1458" s="2">
        <v>-0.2</v>
      </c>
      <c r="FX1458" s="2">
        <v>0.6</v>
      </c>
      <c r="FY1458" s="2">
        <v>0.6</v>
      </c>
      <c r="FZ1458" s="2">
        <v>0.7</v>
      </c>
      <c r="GA1458" s="2">
        <v>0.7</v>
      </c>
      <c r="GB1458" s="2">
        <v>-0.1</v>
      </c>
      <c r="GC1458" s="2">
        <v>0.6</v>
      </c>
      <c r="GD1458" s="2">
        <v>0.6</v>
      </c>
      <c r="GE1458" s="2">
        <v>0.8</v>
      </c>
      <c r="GF1458" s="2">
        <v>0.6</v>
      </c>
      <c r="GG1458" s="2">
        <v>0.4</v>
      </c>
      <c r="GH1458" s="2">
        <v>0.1</v>
      </c>
      <c r="GI1458" s="2">
        <v>0.7</v>
      </c>
      <c r="GJ1458" s="2">
        <v>0.7</v>
      </c>
      <c r="GK1458" s="2">
        <v>0.4</v>
      </c>
      <c r="GL1458" s="2">
        <v>1</v>
      </c>
      <c r="GM1458" s="2">
        <v>1.5</v>
      </c>
      <c r="GN1458" s="2">
        <v>0.9</v>
      </c>
      <c r="GO1458" s="2">
        <v>1.1</v>
      </c>
      <c r="GP1458" s="2">
        <v>0.8</v>
      </c>
      <c r="GQ1458" s="2">
        <v>0.4</v>
      </c>
      <c r="GR1458" s="2">
        <v>0.3</v>
      </c>
      <c r="GS1458" s="2">
        <v>0.2</v>
      </c>
      <c r="GT1458" s="2">
        <v>0.3</v>
      </c>
      <c r="GU1458" s="2">
        <v>0</v>
      </c>
      <c r="GV1458" s="2">
        <v>-0.6</v>
      </c>
      <c r="GW1458" s="2">
        <v>-0.6</v>
      </c>
      <c r="GX1458" s="2">
        <v>0</v>
      </c>
      <c r="GY1458" s="2">
        <v>0.4</v>
      </c>
      <c r="GZ1458" s="2">
        <v>0.6</v>
      </c>
      <c r="HA1458" s="2">
        <v>0.5</v>
      </c>
      <c r="HB1458" s="2">
        <v>0.5</v>
      </c>
      <c r="HC1458" s="2">
        <v>-0.7</v>
      </c>
      <c r="HD1458" s="2">
        <v>0.8</v>
      </c>
      <c r="HE1458" s="2">
        <v>1.2</v>
      </c>
      <c r="HF1458" s="2">
        <v>0.5</v>
      </c>
      <c r="HG1458" s="2">
        <v>0.9</v>
      </c>
      <c r="HH1458" s="2">
        <v>0.6</v>
      </c>
      <c r="HI1458" s="2">
        <v>3.7</v>
      </c>
      <c r="HJ1458" s="2">
        <v>0.1</v>
      </c>
      <c r="HK1458" s="2">
        <v>1.2</v>
      </c>
      <c r="HL1458" s="2">
        <v>0.7</v>
      </c>
      <c r="HM1458" s="2">
        <v>0.2</v>
      </c>
      <c r="HN1458" s="2">
        <v>1</v>
      </c>
      <c r="HO1458" s="2">
        <v>0.8</v>
      </c>
      <c r="HP1458" s="2">
        <v>1</v>
      </c>
      <c r="HQ1458" s="2">
        <v>0.9</v>
      </c>
      <c r="HR1458" s="2">
        <v>0.8</v>
      </c>
      <c r="HS1458" s="2">
        <v>2.2</v>
      </c>
      <c r="HT1458" s="2">
        <v>-0.2</v>
      </c>
      <c r="HU1458" s="2">
        <v>0.8</v>
      </c>
      <c r="HV1458" s="2">
        <v>0.5</v>
      </c>
      <c r="HW1458" s="2">
        <v>1.1</v>
      </c>
      <c r="HX1458" s="2">
        <v>0.6</v>
      </c>
      <c r="HY1458" s="2">
        <v>0.3</v>
      </c>
      <c r="HZ1458" s="2">
        <v>0.7</v>
      </c>
      <c r="IA1458" s="2">
        <v>0.6</v>
      </c>
      <c r="IB1458" s="2">
        <v>0.6</v>
      </c>
      <c r="IC1458" s="2">
        <v>1</v>
      </c>
      <c r="ID1458" s="2">
        <v>0.4</v>
      </c>
      <c r="IE1458" s="2">
        <v>0.9</v>
      </c>
      <c r="IF1458" s="2">
        <v>1.3</v>
      </c>
      <c r="IG1458" s="2">
        <v>1.1</v>
      </c>
      <c r="IH1458" s="2">
        <v>-0.4</v>
      </c>
      <c r="II1458" s="2">
        <v>-0.2</v>
      </c>
      <c r="IJ1458" s="2">
        <v>1.2</v>
      </c>
      <c r="IK1458" s="2">
        <v>0.7</v>
      </c>
      <c r="IL1458" s="2">
        <v>1</v>
      </c>
      <c r="IM1458" s="2">
        <v>1.4</v>
      </c>
      <c r="IN1458" s="2">
        <v>1.3</v>
      </c>
      <c r="IO1458" s="2">
        <v>1.3</v>
      </c>
      <c r="IP1458" s="2">
        <v>-0.3</v>
      </c>
      <c r="IQ1458" s="2">
        <v>0</v>
      </c>
      <c r="IR1458" s="2">
        <v>0.5</v>
      </c>
      <c r="IS1458" s="2">
        <v>1.1</v>
      </c>
      <c r="IT1458" s="2">
        <v>0.4</v>
      </c>
      <c r="IU1458" s="2">
        <v>0.6</v>
      </c>
      <c r="IV1458" s="2">
        <v>0.7</v>
      </c>
      <c r="IW1458" s="2">
        <v>0.9</v>
      </c>
      <c r="IX1458" s="2">
        <v>0.3</v>
      </c>
      <c r="IY1458" s="2">
        <v>1.6</v>
      </c>
      <c r="IZ1458" s="2">
        <v>1</v>
      </c>
      <c r="JA1458" s="2">
        <v>1</v>
      </c>
      <c r="JB1458" s="2">
        <v>0</v>
      </c>
      <c r="JC1458" s="2">
        <v>-0.1</v>
      </c>
      <c r="JD1458" s="2">
        <v>0.3</v>
      </c>
      <c r="JE1458" s="2">
        <v>1.5</v>
      </c>
      <c r="JF1458" s="2">
        <v>0.3</v>
      </c>
      <c r="JG1458" s="2">
        <v>0.1</v>
      </c>
      <c r="JH1458" s="2">
        <v>0.2</v>
      </c>
      <c r="JI1458" s="2">
        <v>1.3</v>
      </c>
      <c r="JJ1458" s="2">
        <v>0.7</v>
      </c>
      <c r="JK1458" s="2">
        <v>0.7</v>
      </c>
      <c r="JL1458" s="2">
        <v>0.4</v>
      </c>
      <c r="JM1458" s="2">
        <v>0.3</v>
      </c>
      <c r="JN1458" s="2">
        <v>0.3</v>
      </c>
      <c r="JO1458" s="2">
        <v>0.1</v>
      </c>
      <c r="JP1458" s="2">
        <v>0.5</v>
      </c>
      <c r="JQ1458" s="2">
        <v>0.3</v>
      </c>
      <c r="JR1458" s="2">
        <v>0.3</v>
      </c>
      <c r="JS1458" s="2">
        <v>-0.3</v>
      </c>
      <c r="JT1458" s="2">
        <v>0.5</v>
      </c>
      <c r="JU1458" s="2">
        <v>0.9</v>
      </c>
      <c r="JV1458" s="2">
        <v>0.2</v>
      </c>
      <c r="KA1458" s="2">
        <v>0.4</v>
      </c>
      <c r="KB1458" s="2">
        <v>0.1</v>
      </c>
      <c r="KC1458" s="2">
        <v>1.1</v>
      </c>
      <c r="KD1458" s="2">
        <v>0.7</v>
      </c>
      <c r="KQ1458" s="2">
        <v>0.4</v>
      </c>
      <c r="KR1458" s="2">
        <v>0.5</v>
      </c>
      <c r="KS1458" s="2">
        <v>0.2</v>
      </c>
      <c r="KT1458" s="2">
        <v>0.6</v>
      </c>
      <c r="LG1458" s="2">
        <v>0.1</v>
      </c>
      <c r="LH1458" s="2">
        <v>0.6</v>
      </c>
      <c r="LI1458" s="2">
        <v>0.7</v>
      </c>
      <c r="LJ1458" s="2">
        <v>0.7</v>
      </c>
      <c r="LW1458" s="2">
        <v>0.3</v>
      </c>
      <c r="LX1458" s="2">
        <v>-1</v>
      </c>
      <c r="LY1458" s="2">
        <v>0.9</v>
      </c>
      <c r="LZ1458" s="2">
        <v>0.6</v>
      </c>
      <c r="MM1458" s="2">
        <v>0.7</v>
      </c>
      <c r="MN1458" s="2">
        <v>0.5</v>
      </c>
      <c r="MO1458" s="2">
        <v>0.7</v>
      </c>
      <c r="MP1458" s="2">
        <v>1.5</v>
      </c>
      <c r="NC1458" s="2">
        <v>1.9</v>
      </c>
      <c r="ND1458" s="2">
        <v>2.1</v>
      </c>
      <c r="NE1458" s="2">
        <v>2.6</v>
      </c>
      <c r="NF1458" s="2">
        <v>1.7</v>
      </c>
      <c r="NS1458" s="2">
        <v>1.2</v>
      </c>
      <c r="NT1458" s="2">
        <v>1.2</v>
      </c>
      <c r="NU1458" s="2">
        <v>1.7</v>
      </c>
      <c r="NV1458" s="2">
        <v>0.7</v>
      </c>
      <c r="OI1458" s="2">
        <v>0.7</v>
      </c>
      <c r="OJ1458" s="2">
        <v>1.3</v>
      </c>
      <c r="OK1458" s="2">
        <v>0.5</v>
      </c>
      <c r="OL1458" s="2">
        <v>-0.1</v>
      </c>
      <c r="OY1458" s="2">
        <v>0.5</v>
      </c>
      <c r="OZ1458" s="2">
        <v>0.8</v>
      </c>
      <c r="PA1458" s="2">
        <v>1.1</v>
      </c>
      <c r="PB1458" s="2">
        <v>0.8</v>
      </c>
      <c r="PJ1458" s="2">
        <v>1.4</v>
      </c>
      <c r="PK1458" s="2">
        <v>1</v>
      </c>
    </row>
    <row r="1459">
      <c r="A1459" t="inlineStr">
        <is>
          <t>A2325830K</t>
        </is>
      </c>
      <c r="B1459" t="inlineStr">
        <is>
          <t>Percentage Change from Previous Period ;  All groups CPI ;  Perth ;</t>
        </is>
      </c>
      <c r="C1459" t="inlineStr">
        <is>
          <t>Quarter</t>
        </is>
      </c>
      <c r="D1459" t="inlineStr">
        <is>
          <t>Percent</t>
        </is>
      </c>
      <c r="E1459" t="inlineStr">
        <is>
          <t>Original</t>
        </is>
      </c>
      <c r="F1459" t="inlineStr">
        <is>
          <t>6401017.xlsx</t>
        </is>
      </c>
      <c r="G1459" t="inlineStr">
        <is>
          <t>1948Q4</t>
        </is>
      </c>
      <c r="H1459" t="inlineStr">
        <is>
          <t>2026Q2</t>
        </is>
      </c>
      <c r="J1459" s="2">
        <v>1.5</v>
      </c>
      <c r="K1459" s="2">
        <v>3</v>
      </c>
      <c r="L1459" s="2">
        <v>2.9</v>
      </c>
      <c r="M1459" s="2">
        <v>2.5</v>
      </c>
      <c r="N1459" s="2">
        <v>1.4</v>
      </c>
      <c r="O1459" s="2">
        <v>1.4</v>
      </c>
      <c r="P1459" s="2">
        <v>4.1</v>
      </c>
      <c r="Q1459" s="2">
        <v>1.3</v>
      </c>
      <c r="R1459" s="2">
        <v>2.3</v>
      </c>
      <c r="S1459" s="2">
        <v>6.3</v>
      </c>
      <c r="T1459" s="2">
        <v>5.6</v>
      </c>
      <c r="U1459" s="2">
        <v>5.6</v>
      </c>
      <c r="V1459" s="2">
        <v>5</v>
      </c>
      <c r="W1459" s="2">
        <v>5.1</v>
      </c>
      <c r="X1459" s="2">
        <v>3.6</v>
      </c>
      <c r="Y1459" s="2">
        <v>2.8</v>
      </c>
      <c r="Z1459" s="2">
        <v>0</v>
      </c>
      <c r="AA1459" s="2">
        <v>1.8</v>
      </c>
      <c r="AB1459" s="2">
        <v>0.7</v>
      </c>
      <c r="AC1459" s="2">
        <v>0.9</v>
      </c>
      <c r="AD1459" s="2">
        <v>0</v>
      </c>
      <c r="AE1459" s="2">
        <v>0</v>
      </c>
      <c r="AF1459" s="2">
        <v>1.7</v>
      </c>
      <c r="AG1459" s="2">
        <v>0</v>
      </c>
      <c r="AH1459" s="2">
        <v>0</v>
      </c>
      <c r="AI1459" s="2">
        <v>0</v>
      </c>
      <c r="AJ1459" s="2">
        <v>1.7</v>
      </c>
      <c r="AK1459" s="2">
        <v>0</v>
      </c>
      <c r="AL1459" s="2">
        <v>0.8</v>
      </c>
      <c r="AM1459" s="2">
        <v>0.8</v>
      </c>
      <c r="AN1459" s="2">
        <v>2.3</v>
      </c>
      <c r="AO1459" s="2">
        <v>0.8</v>
      </c>
      <c r="AP1459" s="2">
        <v>0.8</v>
      </c>
      <c r="AQ1459" s="2">
        <v>0.8</v>
      </c>
      <c r="AR1459" s="2">
        <v>0.8</v>
      </c>
      <c r="AS1459" s="2">
        <v>0</v>
      </c>
      <c r="AT1459" s="2">
        <v>-0.8</v>
      </c>
      <c r="AU1459" s="2">
        <v>0</v>
      </c>
      <c r="AV1459" s="2">
        <v>0.8</v>
      </c>
      <c r="AW1459" s="2">
        <v>0</v>
      </c>
      <c r="AX1459" s="2">
        <v>0</v>
      </c>
      <c r="AY1459" s="2">
        <v>0.8</v>
      </c>
      <c r="AZ1459" s="2">
        <v>0.8</v>
      </c>
      <c r="BA1459" s="2">
        <v>0</v>
      </c>
      <c r="BB1459" s="2">
        <v>0</v>
      </c>
      <c r="BC1459" s="2">
        <v>1.4</v>
      </c>
      <c r="BD1459" s="2">
        <v>1.5</v>
      </c>
      <c r="BE1459" s="2">
        <v>0.8</v>
      </c>
      <c r="BF1459" s="2">
        <v>0.7</v>
      </c>
      <c r="BG1459" s="2">
        <v>0.7</v>
      </c>
      <c r="BH1459" s="2">
        <v>0.7</v>
      </c>
      <c r="BI1459" s="2">
        <v>-0.7</v>
      </c>
      <c r="BJ1459" s="2">
        <v>-0.7</v>
      </c>
      <c r="BK1459" s="2">
        <v>0.7</v>
      </c>
      <c r="BL1459" s="2">
        <v>0</v>
      </c>
      <c r="BM1459" s="2">
        <v>0</v>
      </c>
      <c r="BN1459" s="2">
        <v>0</v>
      </c>
      <c r="BO1459" s="2">
        <v>0.7</v>
      </c>
      <c r="BP1459" s="2">
        <v>0</v>
      </c>
      <c r="BQ1459" s="2">
        <v>0</v>
      </c>
      <c r="BR1459" s="2">
        <v>0.5</v>
      </c>
      <c r="BS1459" s="2">
        <v>0.7</v>
      </c>
      <c r="BT1459" s="2">
        <v>0.7</v>
      </c>
      <c r="BU1459" s="2">
        <v>1.4</v>
      </c>
      <c r="BV1459" s="2">
        <v>0</v>
      </c>
      <c r="BW1459" s="2">
        <v>0.7</v>
      </c>
      <c r="BX1459" s="2">
        <v>1.4</v>
      </c>
      <c r="BY1459" s="2">
        <v>0.7</v>
      </c>
      <c r="BZ1459" s="2">
        <v>0.5</v>
      </c>
      <c r="CA1459" s="2">
        <v>1.4</v>
      </c>
      <c r="CB1459" s="2">
        <v>2</v>
      </c>
      <c r="CC1459" s="2">
        <v>0.7</v>
      </c>
      <c r="CD1459" s="2">
        <v>0.7</v>
      </c>
      <c r="CE1459" s="2">
        <v>0.7</v>
      </c>
      <c r="CF1459" s="2">
        <v>1.1</v>
      </c>
      <c r="CG1459" s="2">
        <v>0.6</v>
      </c>
      <c r="CH1459" s="2">
        <v>0.6</v>
      </c>
      <c r="CI1459" s="2">
        <v>0.6</v>
      </c>
      <c r="CJ1459" s="2">
        <v>0.6</v>
      </c>
      <c r="CK1459" s="2">
        <v>0.6</v>
      </c>
      <c r="CL1459" s="2">
        <v>0</v>
      </c>
      <c r="CM1459" s="2">
        <v>1.1</v>
      </c>
      <c r="CN1459" s="2">
        <v>1.2</v>
      </c>
      <c r="CO1459" s="2">
        <v>0.6</v>
      </c>
      <c r="CP1459" s="2">
        <v>1.2</v>
      </c>
      <c r="CQ1459" s="2">
        <v>0.6</v>
      </c>
      <c r="CR1459" s="2">
        <v>1.6</v>
      </c>
      <c r="CS1459" s="2">
        <v>0</v>
      </c>
      <c r="CT1459" s="2">
        <v>1.7</v>
      </c>
      <c r="CU1459" s="2">
        <v>1.1</v>
      </c>
      <c r="CV1459" s="2">
        <v>1.1</v>
      </c>
      <c r="CW1459" s="2">
        <v>1</v>
      </c>
      <c r="CX1459" s="2">
        <v>2.8</v>
      </c>
      <c r="CY1459" s="2">
        <v>1.1</v>
      </c>
      <c r="CZ1459" s="2">
        <v>0.9</v>
      </c>
      <c r="DA1459" s="2">
        <v>1.6</v>
      </c>
      <c r="DB1459" s="2">
        <v>0.5</v>
      </c>
      <c r="DC1459" s="2">
        <v>1.9</v>
      </c>
      <c r="DD1459" s="2">
        <v>2.5</v>
      </c>
      <c r="DE1459" s="2">
        <v>2.4</v>
      </c>
      <c r="DF1459" s="2">
        <v>3.3</v>
      </c>
      <c r="DG1459" s="2">
        <v>2.3</v>
      </c>
      <c r="DH1459" s="2">
        <v>3.5</v>
      </c>
      <c r="DI1459" s="2">
        <v>4.8</v>
      </c>
      <c r="DJ1459" s="2">
        <v>6.1</v>
      </c>
      <c r="DK1459" s="2">
        <v>3.9</v>
      </c>
      <c r="DL1459" s="2">
        <v>4</v>
      </c>
      <c r="DM1459" s="2">
        <v>0</v>
      </c>
      <c r="DN1459" s="2">
        <v>6.1</v>
      </c>
      <c r="DO1459" s="2">
        <v>3.4</v>
      </c>
      <c r="DP1459" s="2">
        <v>3.6</v>
      </c>
      <c r="DQ1459" s="2">
        <v>2.5</v>
      </c>
      <c r="DR1459" s="2">
        <v>6.5</v>
      </c>
      <c r="DS1459" s="2">
        <v>2.3</v>
      </c>
      <c r="DT1459" s="2">
        <v>2.2</v>
      </c>
      <c r="DU1459" s="2">
        <v>2.5</v>
      </c>
      <c r="DV1459" s="2">
        <v>3.5</v>
      </c>
      <c r="DW1459" s="2">
        <v>1.1</v>
      </c>
      <c r="DX1459" s="2">
        <v>1.8</v>
      </c>
      <c r="DY1459" s="2">
        <v>2</v>
      </c>
      <c r="DZ1459" s="2">
        <v>2.2</v>
      </c>
      <c r="EA1459" s="2">
        <v>1.4</v>
      </c>
      <c r="EB1459" s="2">
        <v>2.6</v>
      </c>
      <c r="EC1459" s="2">
        <v>1.9</v>
      </c>
      <c r="ED1459" s="2">
        <v>3.4</v>
      </c>
      <c r="EE1459" s="2">
        <v>1.8</v>
      </c>
      <c r="EF1459" s="2">
        <v>2.4</v>
      </c>
      <c r="EG1459" s="2">
        <v>2.3</v>
      </c>
      <c r="EH1459" s="2">
        <v>1.4</v>
      </c>
      <c r="EI1459" s="2">
        <v>2</v>
      </c>
      <c r="EJ1459" s="2">
        <v>2.2</v>
      </c>
      <c r="EK1459" s="2">
        <v>3.3</v>
      </c>
      <c r="EL1459" s="2">
        <v>4.3</v>
      </c>
      <c r="EM1459" s="2">
        <v>1.1</v>
      </c>
      <c r="EN1459" s="2">
        <v>2</v>
      </c>
      <c r="EO1459" s="2">
        <v>3.5</v>
      </c>
      <c r="EP1459" s="2">
        <v>2.7</v>
      </c>
      <c r="EQ1459" s="2">
        <v>1.5</v>
      </c>
      <c r="ER1459" s="2">
        <v>1.8</v>
      </c>
      <c r="ES1459" s="2">
        <v>2.9</v>
      </c>
      <c r="ET1459" s="2">
        <v>2.2</v>
      </c>
      <c r="EU1459" s="2">
        <v>-0.9</v>
      </c>
      <c r="EV1459" s="2">
        <v>0</v>
      </c>
      <c r="EW1459" s="2">
        <v>1.5</v>
      </c>
      <c r="EX1459" s="2">
        <v>1.2</v>
      </c>
      <c r="EY1459" s="2">
        <v>1.5</v>
      </c>
      <c r="EZ1459" s="2">
        <v>2.4</v>
      </c>
      <c r="FA1459" s="2">
        <v>2</v>
      </c>
      <c r="FB1459" s="2">
        <v>2.3</v>
      </c>
      <c r="FC1459" s="2">
        <v>1.6</v>
      </c>
      <c r="FD1459" s="2">
        <v>1.6</v>
      </c>
      <c r="FE1459" s="2">
        <v>3.3</v>
      </c>
      <c r="FF1459" s="2">
        <v>3.1</v>
      </c>
      <c r="FG1459" s="2">
        <v>1.9</v>
      </c>
      <c r="FH1459" s="2">
        <v>1.7</v>
      </c>
      <c r="FI1459" s="2">
        <v>1.5</v>
      </c>
      <c r="FJ1459" s="2">
        <v>1.7</v>
      </c>
      <c r="FK1459" s="2">
        <v>1.6</v>
      </c>
      <c r="FL1459" s="2">
        <v>1.8</v>
      </c>
      <c r="FM1459" s="2">
        <v>2</v>
      </c>
      <c r="FN1459" s="2">
        <v>2.1</v>
      </c>
      <c r="FO1459" s="2">
        <v>1</v>
      </c>
      <c r="FP1459" s="2">
        <v>2.2</v>
      </c>
      <c r="FQ1459" s="2">
        <v>2.3</v>
      </c>
      <c r="FR1459" s="2">
        <v>2.1</v>
      </c>
      <c r="FS1459" s="2">
        <v>2.3</v>
      </c>
      <c r="FT1459" s="2">
        <v>1.7</v>
      </c>
      <c r="FU1459" s="2">
        <v>0.8</v>
      </c>
      <c r="FV1459" s="2">
        <v>2.4</v>
      </c>
      <c r="FW1459" s="2">
        <v>-0.9</v>
      </c>
      <c r="FX1459" s="2">
        <v>-0.1</v>
      </c>
      <c r="FY1459" s="2">
        <v>0.6</v>
      </c>
      <c r="FZ1459" s="2">
        <v>0.4</v>
      </c>
      <c r="GA1459" s="2">
        <v>0</v>
      </c>
      <c r="GB1459" s="2">
        <v>-0.5</v>
      </c>
      <c r="GC1459" s="2">
        <v>-0.1</v>
      </c>
      <c r="GD1459" s="2">
        <v>0.6</v>
      </c>
      <c r="GE1459" s="2">
        <v>0.3</v>
      </c>
      <c r="GF1459" s="2">
        <v>0.4</v>
      </c>
      <c r="GG1459" s="2">
        <v>1</v>
      </c>
      <c r="GH1459" s="2">
        <v>0.5</v>
      </c>
      <c r="GI1459" s="2">
        <v>0.1</v>
      </c>
      <c r="GJ1459" s="2">
        <v>0.5</v>
      </c>
      <c r="GK1459" s="2">
        <v>0.9</v>
      </c>
      <c r="GL1459" s="2">
        <v>0.8</v>
      </c>
      <c r="GM1459" s="2">
        <v>1.8</v>
      </c>
      <c r="GN1459" s="2">
        <v>1.7</v>
      </c>
      <c r="GO1459" s="2">
        <v>0.6</v>
      </c>
      <c r="GP1459" s="2">
        <v>0.6</v>
      </c>
      <c r="GQ1459" s="2">
        <v>0.7</v>
      </c>
      <c r="GR1459" s="2">
        <v>0.7</v>
      </c>
      <c r="GS1459" s="2">
        <v>0.3</v>
      </c>
      <c r="GT1459" s="2">
        <v>0.1</v>
      </c>
      <c r="GU1459" s="2">
        <v>-0.2</v>
      </c>
      <c r="GV1459" s="2">
        <v>-0.1</v>
      </c>
      <c r="GW1459" s="2">
        <v>-0.5</v>
      </c>
      <c r="GX1459" s="2">
        <v>0.1</v>
      </c>
      <c r="GY1459" s="2">
        <v>0.4</v>
      </c>
      <c r="GZ1459" s="2">
        <v>0.8</v>
      </c>
      <c r="HA1459" s="2">
        <v>0.6</v>
      </c>
      <c r="HB1459" s="2">
        <v>0.5</v>
      </c>
      <c r="HC1459" s="2">
        <v>-0.3</v>
      </c>
      <c r="HD1459" s="2">
        <v>0.9</v>
      </c>
      <c r="HE1459" s="2">
        <v>0.9</v>
      </c>
      <c r="HF1459" s="2">
        <v>0.6</v>
      </c>
      <c r="HG1459" s="2">
        <v>0.4</v>
      </c>
      <c r="HH1459" s="2">
        <v>0.7</v>
      </c>
      <c r="HI1459" s="2">
        <v>3.7</v>
      </c>
      <c r="HJ1459" s="2">
        <v>0.2</v>
      </c>
      <c r="HK1459" s="2">
        <v>0.6</v>
      </c>
      <c r="HL1459" s="2">
        <v>1.4</v>
      </c>
      <c r="HM1459" s="2">
        <v>0.1</v>
      </c>
      <c r="HN1459" s="2">
        <v>0.9</v>
      </c>
      <c r="HO1459" s="2">
        <v>0.8</v>
      </c>
      <c r="HP1459" s="2">
        <v>0.7</v>
      </c>
      <c r="HQ1459" s="2">
        <v>0.9</v>
      </c>
      <c r="HR1459" s="2">
        <v>0.5</v>
      </c>
      <c r="HS1459" s="2">
        <v>0.7</v>
      </c>
      <c r="HT1459" s="2">
        <v>0</v>
      </c>
      <c r="HU1459" s="2">
        <v>0.9</v>
      </c>
      <c r="HV1459" s="2">
        <v>0.4</v>
      </c>
      <c r="HW1459" s="2">
        <v>0.3</v>
      </c>
      <c r="HX1459" s="2">
        <v>1.1</v>
      </c>
      <c r="HY1459" s="2">
        <v>0.7</v>
      </c>
      <c r="HZ1459" s="2">
        <v>0.9</v>
      </c>
      <c r="IA1459" s="2">
        <v>0.8</v>
      </c>
      <c r="IB1459" s="2">
        <v>1.3</v>
      </c>
      <c r="IC1459" s="2">
        <v>1.1</v>
      </c>
      <c r="ID1459" s="2">
        <v>0.8</v>
      </c>
      <c r="IE1459" s="2">
        <v>1</v>
      </c>
      <c r="IF1459" s="2">
        <v>1.8</v>
      </c>
      <c r="IG1459" s="2">
        <v>1.1</v>
      </c>
      <c r="IH1459" s="2">
        <v>0.4</v>
      </c>
      <c r="II1459" s="2">
        <v>0.1</v>
      </c>
      <c r="IJ1459" s="2">
        <v>1.4</v>
      </c>
      <c r="IK1459" s="2">
        <v>0.6</v>
      </c>
      <c r="IL1459" s="2">
        <v>0.8</v>
      </c>
      <c r="IM1459" s="2">
        <v>1.4</v>
      </c>
      <c r="IN1459" s="2">
        <v>1.6</v>
      </c>
      <c r="IO1459" s="2">
        <v>0.9</v>
      </c>
      <c r="IP1459" s="2">
        <v>-0.3</v>
      </c>
      <c r="IQ1459" s="2">
        <v>-0.2</v>
      </c>
      <c r="IR1459" s="2">
        <v>0.9</v>
      </c>
      <c r="IS1459" s="2">
        <v>0.8</v>
      </c>
      <c r="IT1459" s="2">
        <v>0.6</v>
      </c>
      <c r="IU1459" s="2">
        <v>1.1</v>
      </c>
      <c r="IV1459" s="2">
        <v>0.9</v>
      </c>
      <c r="IW1459" s="2">
        <v>0.4</v>
      </c>
      <c r="IX1459" s="2">
        <v>0</v>
      </c>
      <c r="IY1459" s="2">
        <v>1.2</v>
      </c>
      <c r="IZ1459" s="2">
        <v>1.3</v>
      </c>
      <c r="JA1459" s="2">
        <v>0.3</v>
      </c>
      <c r="JB1459" s="2">
        <v>0.1</v>
      </c>
      <c r="JC1459" s="2">
        <v>0.2</v>
      </c>
      <c r="JD1459" s="2">
        <v>0.5</v>
      </c>
      <c r="JE1459" s="2">
        <v>1.1</v>
      </c>
      <c r="JF1459" s="2">
        <v>0.2</v>
      </c>
      <c r="JG1459" s="2">
        <v>0.5</v>
      </c>
      <c r="JH1459" s="2">
        <v>0.6</v>
      </c>
      <c r="JI1459" s="2">
        <v>1.2</v>
      </c>
      <c r="JJ1459" s="2">
        <v>0.7</v>
      </c>
      <c r="JK1459" s="2">
        <v>0.7</v>
      </c>
      <c r="JL1459" s="2">
        <v>0.7</v>
      </c>
      <c r="JM1459" s="2">
        <v>0.5</v>
      </c>
      <c r="JN1459" s="2">
        <v>0.1</v>
      </c>
      <c r="JO1459" s="2">
        <v>0.1</v>
      </c>
      <c r="JP1459" s="2">
        <v>0.6</v>
      </c>
      <c r="JQ1459" s="2">
        <v>0.4</v>
      </c>
      <c r="JR1459" s="2">
        <v>0.4</v>
      </c>
      <c r="JS1459" s="2">
        <v>-0.6</v>
      </c>
      <c r="JT1459" s="2">
        <v>0.3</v>
      </c>
      <c r="JU1459" s="2">
        <v>0.3</v>
      </c>
      <c r="JV1459" s="2">
        <v>0.4</v>
      </c>
      <c r="KA1459" s="2">
        <v>0</v>
      </c>
      <c r="KB1459" s="2">
        <v>0</v>
      </c>
      <c r="KC1459" s="2">
        <v>0.4</v>
      </c>
      <c r="KD1459" s="2">
        <v>0.4</v>
      </c>
      <c r="KQ1459" s="2">
        <v>0</v>
      </c>
      <c r="KR1459" s="2">
        <v>0.2</v>
      </c>
      <c r="KS1459" s="2">
        <v>0.5</v>
      </c>
      <c r="KT1459" s="2">
        <v>0.5</v>
      </c>
      <c r="LG1459" s="2">
        <v>-0.1</v>
      </c>
      <c r="LH1459" s="2">
        <v>0.8</v>
      </c>
      <c r="LI1459" s="2">
        <v>0.5</v>
      </c>
      <c r="LJ1459" s="2">
        <v>0.5</v>
      </c>
      <c r="LW1459" s="2">
        <v>0.3</v>
      </c>
      <c r="LX1459" s="2">
        <v>-1.2</v>
      </c>
      <c r="LY1459" s="2">
        <v>1.8</v>
      </c>
      <c r="LZ1459" s="2">
        <v>-0.9</v>
      </c>
      <c r="MM1459" s="2">
        <v>1.4</v>
      </c>
      <c r="MN1459" s="2">
        <v>2</v>
      </c>
      <c r="MO1459" s="2">
        <v>0.8</v>
      </c>
      <c r="MP1459" s="2">
        <v>1.4</v>
      </c>
      <c r="NC1459" s="2">
        <v>3.3</v>
      </c>
      <c r="ND1459" s="2">
        <v>1.7</v>
      </c>
      <c r="NE1459" s="2">
        <v>-0.5</v>
      </c>
      <c r="NF1459" s="2">
        <v>3.6</v>
      </c>
      <c r="NS1459" s="2">
        <v>0.9</v>
      </c>
      <c r="NT1459" s="2">
        <v>0.8</v>
      </c>
      <c r="NU1459" s="2">
        <v>0.4</v>
      </c>
      <c r="NV1459" s="2">
        <v>1.5</v>
      </c>
      <c r="OI1459" s="2">
        <v>0.6</v>
      </c>
      <c r="OJ1459" s="2">
        <v>2.1</v>
      </c>
      <c r="OK1459" s="2">
        <v>-0.4</v>
      </c>
      <c r="OL1459" s="2">
        <v>0.7</v>
      </c>
      <c r="OY1459" s="2">
        <v>0.5</v>
      </c>
      <c r="OZ1459" s="2">
        <v>2</v>
      </c>
      <c r="PA1459" s="2">
        <v>1.2</v>
      </c>
      <c r="PB1459" s="2">
        <v>0.2</v>
      </c>
      <c r="PJ1459" s="2">
        <v>1.5</v>
      </c>
      <c r="PK1459" s="2">
        <v>1</v>
      </c>
    </row>
    <row r="1460">
      <c r="A1460" t="inlineStr">
        <is>
          <t>A2325835W</t>
        </is>
      </c>
      <c r="B1460" t="inlineStr">
        <is>
          <t>Percentage Change from Previous Period ;  All groups CPI ;  Hobart ;</t>
        </is>
      </c>
      <c r="C1460" t="inlineStr">
        <is>
          <t>Quarter</t>
        </is>
      </c>
      <c r="D1460" t="inlineStr">
        <is>
          <t>Percent</t>
        </is>
      </c>
      <c r="E1460" t="inlineStr">
        <is>
          <t>Original</t>
        </is>
      </c>
      <c r="F1460" t="inlineStr">
        <is>
          <t>6401017.xlsx</t>
        </is>
      </c>
      <c r="G1460" t="inlineStr">
        <is>
          <t>1948Q4</t>
        </is>
      </c>
      <c r="H1460" t="inlineStr">
        <is>
          <t>2026Q2</t>
        </is>
      </c>
      <c r="J1460" s="2">
        <v>1.5</v>
      </c>
      <c r="K1460" s="2">
        <v>3</v>
      </c>
      <c r="L1460" s="2">
        <v>2.9</v>
      </c>
      <c r="M1460" s="2">
        <v>0</v>
      </c>
      <c r="N1460" s="2">
        <v>1.4</v>
      </c>
      <c r="O1460" s="2">
        <v>0</v>
      </c>
      <c r="P1460" s="2">
        <v>3.8</v>
      </c>
      <c r="Q1460" s="2">
        <v>2.7</v>
      </c>
      <c r="R1460" s="2">
        <v>2.6</v>
      </c>
      <c r="S1460" s="2">
        <v>6.3</v>
      </c>
      <c r="T1460" s="2">
        <v>6.8</v>
      </c>
      <c r="U1460" s="2">
        <v>5.6</v>
      </c>
      <c r="V1460" s="2">
        <v>6.1</v>
      </c>
      <c r="W1460" s="2">
        <v>3</v>
      </c>
      <c r="X1460" s="2">
        <v>3.9</v>
      </c>
      <c r="Y1460" s="2">
        <v>2.6</v>
      </c>
      <c r="Z1460" s="2">
        <v>0.9</v>
      </c>
      <c r="AA1460" s="2">
        <v>1.8</v>
      </c>
      <c r="AB1460" s="2">
        <v>1.8</v>
      </c>
      <c r="AC1460" s="2">
        <v>2.6</v>
      </c>
      <c r="AD1460" s="2">
        <v>0.8</v>
      </c>
      <c r="AE1460" s="2">
        <v>-0.8</v>
      </c>
      <c r="AF1460" s="2">
        <v>0</v>
      </c>
      <c r="AG1460" s="2">
        <v>-0.8</v>
      </c>
      <c r="AH1460" s="2">
        <v>0</v>
      </c>
      <c r="AI1460" s="2">
        <v>0.9</v>
      </c>
      <c r="AJ1460" s="2">
        <v>0.8</v>
      </c>
      <c r="AK1460" s="2">
        <v>1.5</v>
      </c>
      <c r="AL1460" s="2">
        <v>1.6</v>
      </c>
      <c r="AM1460" s="2">
        <v>1.6</v>
      </c>
      <c r="AN1460" s="2">
        <v>2.4</v>
      </c>
      <c r="AO1460" s="2">
        <v>2.3</v>
      </c>
      <c r="AP1460" s="2">
        <v>0.6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0.8</v>
      </c>
      <c r="AX1460" s="2">
        <v>0.8</v>
      </c>
      <c r="AY1460" s="2">
        <v>0</v>
      </c>
      <c r="AZ1460" s="2">
        <v>0.7</v>
      </c>
      <c r="BA1460" s="2">
        <v>0</v>
      </c>
      <c r="BB1460" s="2">
        <v>0</v>
      </c>
      <c r="BC1460" s="2">
        <v>0.7</v>
      </c>
      <c r="BD1460" s="2">
        <v>1.5</v>
      </c>
      <c r="BE1460" s="2">
        <v>2.9</v>
      </c>
      <c r="BF1460" s="2">
        <v>0.7</v>
      </c>
      <c r="BG1460" s="2">
        <v>1.2</v>
      </c>
      <c r="BH1460" s="2">
        <v>0</v>
      </c>
      <c r="BI1460" s="2">
        <v>0.7</v>
      </c>
      <c r="BJ1460" s="2">
        <v>-0.7</v>
      </c>
      <c r="BK1460" s="2">
        <v>-0.7</v>
      </c>
      <c r="BL1460" s="2">
        <v>0</v>
      </c>
      <c r="BM1460" s="2">
        <v>0</v>
      </c>
      <c r="BN1460" s="2">
        <v>0.7</v>
      </c>
      <c r="BO1460" s="2">
        <v>0</v>
      </c>
      <c r="BP1460" s="2">
        <v>0</v>
      </c>
      <c r="BQ1460" s="2">
        <v>0</v>
      </c>
      <c r="BR1460" s="2">
        <v>0.7</v>
      </c>
      <c r="BS1460" s="2">
        <v>0</v>
      </c>
      <c r="BT1460" s="2">
        <v>0.7</v>
      </c>
      <c r="BU1460" s="2">
        <v>1.4</v>
      </c>
      <c r="BV1460" s="2">
        <v>1.3</v>
      </c>
      <c r="BW1460" s="2">
        <v>0</v>
      </c>
      <c r="BX1460" s="2">
        <v>1.3</v>
      </c>
      <c r="BY1460" s="2">
        <v>1.3</v>
      </c>
      <c r="BZ1460" s="2">
        <v>1.1</v>
      </c>
      <c r="CA1460" s="2">
        <v>-0.6</v>
      </c>
      <c r="CB1460" s="2">
        <v>0.6</v>
      </c>
      <c r="CC1460" s="2">
        <v>0</v>
      </c>
      <c r="CD1460" s="2">
        <v>0.6</v>
      </c>
      <c r="CE1460" s="2">
        <v>1.3</v>
      </c>
      <c r="CF1460" s="2">
        <v>1.3</v>
      </c>
      <c r="CG1460" s="2">
        <v>2.5</v>
      </c>
      <c r="CH1460" s="2">
        <v>1.1</v>
      </c>
      <c r="CI1460" s="2">
        <v>-0.6</v>
      </c>
      <c r="CJ1460" s="2">
        <v>0</v>
      </c>
      <c r="CK1460" s="2">
        <v>0.6</v>
      </c>
      <c r="CL1460" s="2">
        <v>0.6</v>
      </c>
      <c r="CM1460" s="2">
        <v>0.6</v>
      </c>
      <c r="CN1460" s="2">
        <v>0.6</v>
      </c>
      <c r="CO1460" s="2">
        <v>0</v>
      </c>
      <c r="CP1460" s="2">
        <v>1.2</v>
      </c>
      <c r="CQ1460" s="2">
        <v>0.6</v>
      </c>
      <c r="CR1460" s="2">
        <v>0.6</v>
      </c>
      <c r="CS1460" s="2">
        <v>0.6</v>
      </c>
      <c r="CT1460" s="2">
        <v>2.1</v>
      </c>
      <c r="CU1460" s="2">
        <v>0.6</v>
      </c>
      <c r="CV1460" s="2">
        <v>1.7</v>
      </c>
      <c r="CW1460" s="2">
        <v>1.6</v>
      </c>
      <c r="CX1460" s="2">
        <v>3.1</v>
      </c>
      <c r="CY1460" s="2">
        <v>0.5</v>
      </c>
      <c r="CZ1460" s="2">
        <v>0.5</v>
      </c>
      <c r="DA1460" s="2">
        <v>1.5</v>
      </c>
      <c r="DB1460" s="2">
        <v>1</v>
      </c>
      <c r="DC1460" s="2">
        <v>1.9</v>
      </c>
      <c r="DD1460" s="2">
        <v>3</v>
      </c>
      <c r="DE1460" s="2">
        <v>3.2</v>
      </c>
      <c r="DF1460" s="2">
        <v>4.1</v>
      </c>
      <c r="DG1460" s="2">
        <v>2.2</v>
      </c>
      <c r="DH1460" s="2">
        <v>4.3</v>
      </c>
      <c r="DI1460" s="2">
        <v>4.9</v>
      </c>
      <c r="DJ1460" s="2">
        <v>5.1</v>
      </c>
      <c r="DK1460" s="2">
        <v>2.3</v>
      </c>
      <c r="DL1460" s="2">
        <v>3.2</v>
      </c>
      <c r="DM1460" s="2">
        <v>0.7</v>
      </c>
      <c r="DN1460" s="2">
        <v>7.7</v>
      </c>
      <c r="DO1460" s="2">
        <v>2.6</v>
      </c>
      <c r="DP1460" s="2">
        <v>3.2</v>
      </c>
      <c r="DQ1460" s="2">
        <v>2.4</v>
      </c>
      <c r="DR1460" s="2">
        <v>5.7</v>
      </c>
      <c r="DS1460" s="2">
        <v>2</v>
      </c>
      <c r="DT1460" s="2">
        <v>2.6</v>
      </c>
      <c r="DU1460" s="2">
        <v>2.1</v>
      </c>
      <c r="DV1460" s="2">
        <v>2.6</v>
      </c>
      <c r="DW1460" s="2">
        <v>1.3</v>
      </c>
      <c r="DX1460" s="2">
        <v>1.8</v>
      </c>
      <c r="DY1460" s="2">
        <v>1.5</v>
      </c>
      <c r="DZ1460" s="2">
        <v>2.3</v>
      </c>
      <c r="EA1460" s="2">
        <v>2.2</v>
      </c>
      <c r="EB1460" s="2">
        <v>2.6</v>
      </c>
      <c r="EC1460" s="2">
        <v>2.5</v>
      </c>
      <c r="ED1460" s="2">
        <v>2.7</v>
      </c>
      <c r="EE1460" s="2">
        <v>2.2</v>
      </c>
      <c r="EF1460" s="2">
        <v>2.4</v>
      </c>
      <c r="EG1460" s="2">
        <v>2.3</v>
      </c>
      <c r="EH1460" s="2">
        <v>1.8</v>
      </c>
      <c r="EI1460" s="2">
        <v>2.3</v>
      </c>
      <c r="EJ1460" s="2">
        <v>2.2</v>
      </c>
      <c r="EK1460" s="2">
        <v>2.5</v>
      </c>
      <c r="EL1460" s="2">
        <v>3.7</v>
      </c>
      <c r="EM1460" s="2">
        <v>1.4</v>
      </c>
      <c r="EN1460" s="2">
        <v>2</v>
      </c>
      <c r="EO1460" s="2">
        <v>3.2</v>
      </c>
      <c r="EP1460" s="2">
        <v>3.4</v>
      </c>
      <c r="EQ1460" s="2">
        <v>2.1</v>
      </c>
      <c r="ER1460" s="2">
        <v>1.9</v>
      </c>
      <c r="ES1460" s="2">
        <v>1.2</v>
      </c>
      <c r="ET1460" s="2">
        <v>2.3</v>
      </c>
      <c r="EU1460" s="2">
        <v>0.2</v>
      </c>
      <c r="EV1460" s="2">
        <v>0.2</v>
      </c>
      <c r="EW1460" s="2">
        <v>1</v>
      </c>
      <c r="EX1460" s="2">
        <v>2</v>
      </c>
      <c r="EY1460" s="2">
        <v>1.6</v>
      </c>
      <c r="EZ1460" s="2">
        <v>2.3</v>
      </c>
      <c r="FA1460" s="2">
        <v>2.5</v>
      </c>
      <c r="FB1460" s="2">
        <v>2.1</v>
      </c>
      <c r="FC1460" s="2">
        <v>1.5</v>
      </c>
      <c r="FD1460" s="2">
        <v>2.2</v>
      </c>
      <c r="FE1460" s="2">
        <v>2.6</v>
      </c>
      <c r="FF1460" s="2">
        <v>3.3</v>
      </c>
      <c r="FG1460" s="2">
        <v>2.1</v>
      </c>
      <c r="FH1460" s="2">
        <v>1.6</v>
      </c>
      <c r="FI1460" s="2">
        <v>1.8</v>
      </c>
      <c r="FJ1460" s="2">
        <v>1.5</v>
      </c>
      <c r="FK1460" s="2">
        <v>1.7</v>
      </c>
      <c r="FL1460" s="2">
        <v>1.5</v>
      </c>
      <c r="FM1460" s="2">
        <v>1.2</v>
      </c>
      <c r="FN1460" s="2">
        <v>1.5</v>
      </c>
      <c r="FO1460" s="2">
        <v>1.9</v>
      </c>
      <c r="FP1460" s="2">
        <v>1.9</v>
      </c>
      <c r="FQ1460" s="2">
        <v>1.7</v>
      </c>
      <c r="FR1460" s="2">
        <v>1.8</v>
      </c>
      <c r="FS1460" s="2">
        <v>1.6</v>
      </c>
      <c r="FT1460" s="2">
        <v>0.9</v>
      </c>
      <c r="FU1460" s="2">
        <v>1.1</v>
      </c>
      <c r="FV1460" s="2">
        <v>2.4</v>
      </c>
      <c r="FW1460" s="2">
        <v>-0.3</v>
      </c>
      <c r="FX1460" s="2">
        <v>0.6</v>
      </c>
      <c r="FY1460" s="2">
        <v>0.8</v>
      </c>
      <c r="FZ1460" s="2">
        <v>0.6</v>
      </c>
      <c r="GA1460" s="2">
        <v>0</v>
      </c>
      <c r="GB1460" s="2">
        <v>-0.4</v>
      </c>
      <c r="GC1460" s="2">
        <v>0.5</v>
      </c>
      <c r="GD1460" s="2">
        <v>0.4</v>
      </c>
      <c r="GE1460" s="2">
        <v>1</v>
      </c>
      <c r="GF1460" s="2">
        <v>0.3</v>
      </c>
      <c r="GG1460" s="2">
        <v>1.4</v>
      </c>
      <c r="GH1460" s="2">
        <v>0.6</v>
      </c>
      <c r="GI1460" s="2">
        <v>0.3</v>
      </c>
      <c r="GJ1460" s="2">
        <v>0.5</v>
      </c>
      <c r="GK1460" s="2">
        <v>0.8</v>
      </c>
      <c r="GL1460" s="2">
        <v>0.8</v>
      </c>
      <c r="GM1460" s="2">
        <v>1.7</v>
      </c>
      <c r="GN1460" s="2">
        <v>0.9</v>
      </c>
      <c r="GO1460" s="2">
        <v>1.1</v>
      </c>
      <c r="GP1460" s="2">
        <v>0.7</v>
      </c>
      <c r="GQ1460" s="2">
        <v>0.8</v>
      </c>
      <c r="GR1460" s="2">
        <v>0.4</v>
      </c>
      <c r="GS1460" s="2">
        <v>0.4</v>
      </c>
      <c r="GT1460" s="2">
        <v>0.1</v>
      </c>
      <c r="GU1460" s="2">
        <v>0.5</v>
      </c>
      <c r="GV1460" s="2">
        <v>-0.5</v>
      </c>
      <c r="GW1460" s="2">
        <v>-0.6</v>
      </c>
      <c r="GX1460" s="2">
        <v>0.5</v>
      </c>
      <c r="GY1460" s="2">
        <v>0.2</v>
      </c>
      <c r="GZ1460" s="2">
        <v>0.4</v>
      </c>
      <c r="HA1460" s="2">
        <v>0.6</v>
      </c>
      <c r="HB1460" s="2">
        <v>0</v>
      </c>
      <c r="HC1460" s="2">
        <v>-0.5</v>
      </c>
      <c r="HD1460" s="2">
        <v>0.3</v>
      </c>
      <c r="HE1460" s="2">
        <v>0.6</v>
      </c>
      <c r="HF1460" s="2">
        <v>0.5</v>
      </c>
      <c r="HG1460" s="2">
        <v>1.1</v>
      </c>
      <c r="HH1460" s="2">
        <v>0.9</v>
      </c>
      <c r="HI1460" s="2">
        <v>3.9</v>
      </c>
      <c r="HJ1460" s="2">
        <v>-0.1</v>
      </c>
      <c r="HK1460" s="2">
        <v>0.7</v>
      </c>
      <c r="HL1460" s="2">
        <v>1</v>
      </c>
      <c r="HM1460" s="2">
        <v>-0.5</v>
      </c>
      <c r="HN1460" s="2">
        <v>0.8</v>
      </c>
      <c r="HO1460" s="2">
        <v>1</v>
      </c>
      <c r="HP1460" s="2">
        <v>1.4</v>
      </c>
      <c r="HQ1460" s="2">
        <v>0.3</v>
      </c>
      <c r="HR1460" s="2">
        <v>0.4</v>
      </c>
      <c r="HS1460" s="2">
        <v>1.4</v>
      </c>
      <c r="HT1460" s="2">
        <v>0.6</v>
      </c>
      <c r="HU1460" s="2">
        <v>0.2</v>
      </c>
      <c r="HV1460" s="2">
        <v>0.6</v>
      </c>
      <c r="HW1460" s="2">
        <v>0.7</v>
      </c>
      <c r="HX1460" s="2">
        <v>0.9</v>
      </c>
      <c r="HY1460" s="2">
        <v>0.5</v>
      </c>
      <c r="HZ1460" s="2">
        <v>1.2</v>
      </c>
      <c r="IA1460" s="2">
        <v>0.9</v>
      </c>
      <c r="IB1460" s="2">
        <v>0.5</v>
      </c>
      <c r="IC1460" s="2">
        <v>0.9</v>
      </c>
      <c r="ID1460" s="2">
        <v>0.6</v>
      </c>
      <c r="IE1460" s="2">
        <v>0.8</v>
      </c>
      <c r="IF1460" s="2">
        <v>1.2</v>
      </c>
      <c r="IG1460" s="2">
        <v>0.7</v>
      </c>
      <c r="IH1460" s="2">
        <v>-0.3</v>
      </c>
      <c r="II1460" s="2">
        <v>0.5</v>
      </c>
      <c r="IJ1460" s="2">
        <v>1.3</v>
      </c>
      <c r="IK1460" s="2">
        <v>0.3</v>
      </c>
      <c r="IL1460" s="2">
        <v>0.8</v>
      </c>
      <c r="IM1460" s="2">
        <v>1.3</v>
      </c>
      <c r="IN1460" s="2">
        <v>1</v>
      </c>
      <c r="IO1460" s="2">
        <v>1.1</v>
      </c>
      <c r="IP1460" s="2">
        <v>-0.2</v>
      </c>
      <c r="IQ1460" s="2">
        <v>0.2</v>
      </c>
      <c r="IR1460" s="2">
        <v>0.6</v>
      </c>
      <c r="IS1460" s="2">
        <v>1.2</v>
      </c>
      <c r="IT1460" s="2">
        <v>0.6</v>
      </c>
      <c r="IU1460" s="2">
        <v>0.8</v>
      </c>
      <c r="IV1460" s="2">
        <v>0.4</v>
      </c>
      <c r="IW1460" s="2">
        <v>1</v>
      </c>
      <c r="IX1460" s="2">
        <v>0.1</v>
      </c>
      <c r="IY1460" s="2">
        <v>1.3</v>
      </c>
      <c r="IZ1460" s="2">
        <v>0.9</v>
      </c>
      <c r="JA1460" s="2">
        <v>0.8</v>
      </c>
      <c r="JB1460" s="2">
        <v>0.1</v>
      </c>
      <c r="JC1460" s="2">
        <v>0.3</v>
      </c>
      <c r="JD1460" s="2">
        <v>-0.4</v>
      </c>
      <c r="JE1460" s="2">
        <v>0.7</v>
      </c>
      <c r="JF1460" s="2">
        <v>0.4</v>
      </c>
      <c r="JG1460" s="2">
        <v>0.3</v>
      </c>
      <c r="JH1460" s="2">
        <v>0.4</v>
      </c>
      <c r="JI1460" s="2">
        <v>0.9</v>
      </c>
      <c r="JJ1460" s="2">
        <v>0.9</v>
      </c>
      <c r="JK1460" s="2">
        <v>0.5</v>
      </c>
      <c r="JL1460" s="2">
        <v>0.4</v>
      </c>
      <c r="JM1460" s="2">
        <v>0.1</v>
      </c>
      <c r="JN1460" s="2">
        <v>0.2</v>
      </c>
      <c r="JO1460" s="2">
        <v>0.3</v>
      </c>
      <c r="JP1460" s="2">
        <v>0</v>
      </c>
      <c r="JQ1460" s="2">
        <v>0.6</v>
      </c>
      <c r="JR1460" s="2">
        <v>0.8</v>
      </c>
      <c r="JS1460" s="2">
        <v>-0.1</v>
      </c>
      <c r="JT1460" s="2">
        <v>-0.1</v>
      </c>
      <c r="JU1460" s="2">
        <v>0.7</v>
      </c>
      <c r="JV1460" s="2">
        <v>0.8</v>
      </c>
      <c r="KA1460" s="2">
        <v>0.8</v>
      </c>
      <c r="KB1460" s="2">
        <v>0.1</v>
      </c>
      <c r="KC1460" s="2">
        <v>0.3</v>
      </c>
      <c r="KD1460" s="2">
        <v>1</v>
      </c>
      <c r="KQ1460" s="2">
        <v>0.8</v>
      </c>
      <c r="KR1460" s="2">
        <v>0.3</v>
      </c>
      <c r="KS1460" s="2">
        <v>0.6</v>
      </c>
      <c r="KT1460" s="2">
        <v>1.2</v>
      </c>
      <c r="LG1460" s="2">
        <v>-0.2</v>
      </c>
      <c r="LH1460" s="2">
        <v>0.6</v>
      </c>
      <c r="LI1460" s="2">
        <v>0.6</v>
      </c>
      <c r="LJ1460" s="2">
        <v>1.7</v>
      </c>
      <c r="LW1460" s="2">
        <v>0.5</v>
      </c>
      <c r="LX1460" s="2">
        <v>-1.4</v>
      </c>
      <c r="LY1460" s="2">
        <v>1</v>
      </c>
      <c r="LZ1460" s="2">
        <v>0.7</v>
      </c>
      <c r="MM1460" s="2">
        <v>0.8</v>
      </c>
      <c r="MN1460" s="2">
        <v>1.1</v>
      </c>
      <c r="MO1460" s="2">
        <v>0.4</v>
      </c>
      <c r="MP1460" s="2">
        <v>2.2</v>
      </c>
      <c r="NC1460" s="2">
        <v>2</v>
      </c>
      <c r="ND1460" s="2">
        <v>1.7</v>
      </c>
      <c r="NE1460" s="2">
        <v>2.3</v>
      </c>
      <c r="NF1460" s="2">
        <v>1.5</v>
      </c>
      <c r="NS1460" s="2">
        <v>1.2</v>
      </c>
      <c r="NT1460" s="2">
        <v>0.4</v>
      </c>
      <c r="NU1460" s="2">
        <v>0.9</v>
      </c>
      <c r="NV1460" s="2">
        <v>0.7</v>
      </c>
      <c r="OI1460" s="2">
        <v>1</v>
      </c>
      <c r="OJ1460" s="2">
        <v>0.2</v>
      </c>
      <c r="OK1460" s="2">
        <v>-1.1</v>
      </c>
      <c r="OL1460" s="2">
        <v>1.6</v>
      </c>
      <c r="OY1460" s="2">
        <v>0.8</v>
      </c>
      <c r="OZ1460" s="2">
        <v>0.5</v>
      </c>
      <c r="PA1460" s="2">
        <v>1.5</v>
      </c>
      <c r="PB1460" s="2">
        <v>1.1</v>
      </c>
      <c r="PJ1460" s="2">
        <v>1.2</v>
      </c>
      <c r="PK1460" s="2">
        <v>0.8</v>
      </c>
    </row>
    <row r="1461">
      <c r="A1461" t="inlineStr">
        <is>
          <t>A2325840R</t>
        </is>
      </c>
      <c r="B1461" t="inlineStr">
        <is>
          <t>Percentage Change from Previous Period ;  All groups CPI ;  Darwin ;</t>
        </is>
      </c>
      <c r="C1461" t="inlineStr">
        <is>
          <t>Quarter</t>
        </is>
      </c>
      <c r="D1461" t="inlineStr">
        <is>
          <t>Percent</t>
        </is>
      </c>
      <c r="E1461" t="inlineStr">
        <is>
          <t>Original</t>
        </is>
      </c>
      <c r="F1461" t="inlineStr">
        <is>
          <t>6401017.xlsx</t>
        </is>
      </c>
      <c r="G1461" t="inlineStr">
        <is>
          <t>1980Q4</t>
        </is>
      </c>
      <c r="H1461" t="inlineStr">
        <is>
          <t>2026Q2</t>
        </is>
      </c>
      <c r="EH1461" s="2">
        <v>2.4</v>
      </c>
      <c r="EI1461" s="2">
        <v>1.9</v>
      </c>
      <c r="EJ1461" s="2">
        <v>1.9</v>
      </c>
      <c r="EK1461" s="2">
        <v>2</v>
      </c>
      <c r="EL1461" s="2">
        <v>5.9</v>
      </c>
      <c r="EM1461" s="2">
        <v>1.5</v>
      </c>
      <c r="EN1461" s="2">
        <v>1.7</v>
      </c>
      <c r="EO1461" s="2">
        <v>3.3</v>
      </c>
      <c r="EP1461" s="2">
        <v>2.9</v>
      </c>
      <c r="EQ1461" s="2">
        <v>2</v>
      </c>
      <c r="ER1461" s="2">
        <v>1.8</v>
      </c>
      <c r="ES1461" s="2">
        <v>1.3</v>
      </c>
      <c r="ET1461" s="2">
        <v>1.3</v>
      </c>
      <c r="EU1461" s="2">
        <v>0.4</v>
      </c>
      <c r="EV1461" s="2">
        <v>0</v>
      </c>
      <c r="EW1461" s="2">
        <v>1.3</v>
      </c>
      <c r="EX1461" s="2">
        <v>1</v>
      </c>
      <c r="EY1461" s="2">
        <v>1</v>
      </c>
      <c r="EZ1461" s="2">
        <v>2.2</v>
      </c>
      <c r="FA1461" s="2">
        <v>3.6</v>
      </c>
      <c r="FB1461" s="2">
        <v>1.1</v>
      </c>
      <c r="FC1461" s="2">
        <v>1.9</v>
      </c>
      <c r="FD1461" s="2">
        <v>1.3</v>
      </c>
      <c r="FE1461" s="2">
        <v>2.7</v>
      </c>
      <c r="FF1461" s="2">
        <v>3.5</v>
      </c>
      <c r="FG1461" s="2">
        <v>1.7</v>
      </c>
      <c r="FH1461" s="2">
        <v>1.7</v>
      </c>
      <c r="FI1461" s="2">
        <v>1.6</v>
      </c>
      <c r="FJ1461" s="2">
        <v>1.7</v>
      </c>
      <c r="FK1461" s="2">
        <v>1.3</v>
      </c>
      <c r="FL1461" s="2">
        <v>1.6</v>
      </c>
      <c r="FM1461" s="2">
        <v>0.6</v>
      </c>
      <c r="FN1461" s="2">
        <v>1</v>
      </c>
      <c r="FO1461" s="2">
        <v>1.5</v>
      </c>
      <c r="FP1461" s="2">
        <v>1.7</v>
      </c>
      <c r="FQ1461" s="2">
        <v>1.4</v>
      </c>
      <c r="FR1461" s="2">
        <v>1.8</v>
      </c>
      <c r="FS1461" s="2">
        <v>1.2</v>
      </c>
      <c r="FT1461" s="2">
        <v>1.8</v>
      </c>
      <c r="FU1461" s="2">
        <v>1.1</v>
      </c>
      <c r="FV1461" s="2">
        <v>2.8</v>
      </c>
      <c r="FW1461" s="2">
        <v>-0.3</v>
      </c>
      <c r="FX1461" s="2">
        <v>0.5</v>
      </c>
      <c r="FY1461" s="2">
        <v>0.3</v>
      </c>
      <c r="FZ1461" s="2">
        <v>1.2</v>
      </c>
      <c r="GA1461" s="2">
        <v>0.1</v>
      </c>
      <c r="GB1461" s="2">
        <v>0.1</v>
      </c>
      <c r="GC1461" s="2">
        <v>0.5</v>
      </c>
      <c r="GD1461" s="2">
        <v>0.3</v>
      </c>
      <c r="GE1461" s="2">
        <v>0.6</v>
      </c>
      <c r="GF1461" s="2">
        <v>0.2</v>
      </c>
      <c r="GG1461" s="2">
        <v>0.6</v>
      </c>
      <c r="GH1461" s="2">
        <v>1</v>
      </c>
      <c r="GI1461" s="2">
        <v>-0.3</v>
      </c>
      <c r="GJ1461" s="2">
        <v>0.9</v>
      </c>
      <c r="GK1461" s="2">
        <v>0.5</v>
      </c>
      <c r="GL1461" s="2">
        <v>0.6</v>
      </c>
      <c r="GM1461" s="2">
        <v>1.4</v>
      </c>
      <c r="GN1461" s="2">
        <v>1.3</v>
      </c>
      <c r="GO1461" s="2">
        <v>1</v>
      </c>
      <c r="GP1461" s="2">
        <v>1</v>
      </c>
      <c r="GQ1461" s="2">
        <v>0.5</v>
      </c>
      <c r="GR1461" s="2">
        <v>0.8</v>
      </c>
      <c r="GS1461" s="2">
        <v>0.7</v>
      </c>
      <c r="GT1461" s="2">
        <v>0.1</v>
      </c>
      <c r="GU1461" s="2">
        <v>-0.1</v>
      </c>
      <c r="GV1461" s="2">
        <v>-0.1</v>
      </c>
      <c r="GW1461" s="2">
        <v>-0.4</v>
      </c>
      <c r="GX1461" s="2">
        <v>-0.2</v>
      </c>
      <c r="GY1461" s="2">
        <v>0.6</v>
      </c>
      <c r="GZ1461" s="2">
        <v>0.3</v>
      </c>
      <c r="HA1461" s="2">
        <v>0.3</v>
      </c>
      <c r="HB1461" s="2">
        <v>0.4</v>
      </c>
      <c r="HC1461" s="2">
        <v>-0.5</v>
      </c>
      <c r="HD1461" s="2">
        <v>0.5</v>
      </c>
      <c r="HE1461" s="2">
        <v>0.2</v>
      </c>
      <c r="HF1461" s="2">
        <v>0.6</v>
      </c>
      <c r="HG1461" s="2">
        <v>0.7</v>
      </c>
      <c r="HH1461" s="2">
        <v>1</v>
      </c>
      <c r="HI1461" s="2">
        <v>3.4</v>
      </c>
      <c r="HJ1461" s="2">
        <v>0.5</v>
      </c>
      <c r="HK1461" s="2">
        <v>0</v>
      </c>
      <c r="HL1461" s="2">
        <v>1.1</v>
      </c>
      <c r="HM1461" s="2">
        <v>0.3</v>
      </c>
      <c r="HN1461" s="2">
        <v>0.7</v>
      </c>
      <c r="HO1461" s="2">
        <v>0.3</v>
      </c>
      <c r="HP1461" s="2">
        <v>0.9</v>
      </c>
      <c r="HQ1461" s="2">
        <v>0.3</v>
      </c>
      <c r="HR1461" s="2">
        <v>0.6</v>
      </c>
      <c r="HS1461" s="2">
        <v>0.9</v>
      </c>
      <c r="HT1461" s="2">
        <v>0.4</v>
      </c>
      <c r="HU1461" s="2">
        <v>-0.1</v>
      </c>
      <c r="HV1461" s="2">
        <v>0.5</v>
      </c>
      <c r="HW1461" s="2">
        <v>0.4</v>
      </c>
      <c r="HX1461" s="2">
        <v>0.5</v>
      </c>
      <c r="HY1461" s="2">
        <v>0.8</v>
      </c>
      <c r="HZ1461" s="2">
        <v>0.2</v>
      </c>
      <c r="IA1461" s="2">
        <v>0.6</v>
      </c>
      <c r="IB1461" s="2">
        <v>0.9</v>
      </c>
      <c r="IC1461" s="2">
        <v>1.1</v>
      </c>
      <c r="ID1461" s="2">
        <v>0.5</v>
      </c>
      <c r="IE1461" s="2">
        <v>0.9</v>
      </c>
      <c r="IF1461" s="2">
        <v>1.7</v>
      </c>
      <c r="IG1461" s="2">
        <v>1.7</v>
      </c>
      <c r="IH1461" s="2">
        <v>0.5</v>
      </c>
      <c r="II1461" s="2">
        <v>0</v>
      </c>
      <c r="IJ1461" s="2">
        <v>1.4</v>
      </c>
      <c r="IK1461" s="2">
        <v>1.2</v>
      </c>
      <c r="IL1461" s="2">
        <v>0.3</v>
      </c>
      <c r="IM1461" s="2">
        <v>0.9</v>
      </c>
      <c r="IN1461" s="2">
        <v>1.5</v>
      </c>
      <c r="IO1461" s="2">
        <v>1.8</v>
      </c>
      <c r="IP1461" s="2">
        <v>-0.4</v>
      </c>
      <c r="IQ1461" s="2">
        <v>0</v>
      </c>
      <c r="IR1461" s="2">
        <v>1.1</v>
      </c>
      <c r="IS1461" s="2">
        <v>2</v>
      </c>
      <c r="IT1461" s="2">
        <v>-0.1</v>
      </c>
      <c r="IU1461" s="2">
        <v>0.5</v>
      </c>
      <c r="IV1461" s="2">
        <v>0.8</v>
      </c>
      <c r="IW1461" s="2">
        <v>1.1</v>
      </c>
      <c r="IX1461" s="2">
        <v>-0.1</v>
      </c>
      <c r="IY1461" s="2">
        <v>1.1</v>
      </c>
      <c r="IZ1461" s="2">
        <v>1</v>
      </c>
      <c r="JA1461" s="2">
        <v>0.7</v>
      </c>
      <c r="JB1461" s="2">
        <v>-0.4</v>
      </c>
      <c r="JC1461" s="2">
        <v>0.3</v>
      </c>
      <c r="JD1461" s="2">
        <v>0.9</v>
      </c>
      <c r="JE1461" s="2">
        <v>1.3</v>
      </c>
      <c r="JF1461" s="2">
        <v>-0.1</v>
      </c>
      <c r="JG1461" s="2">
        <v>1.7</v>
      </c>
      <c r="JH1461" s="2">
        <v>0.8</v>
      </c>
      <c r="JI1461" s="2">
        <v>0.9</v>
      </c>
      <c r="JJ1461" s="2">
        <v>1</v>
      </c>
      <c r="JK1461" s="2">
        <v>0.8</v>
      </c>
      <c r="JL1461" s="2">
        <v>0.7</v>
      </c>
      <c r="JM1461" s="2">
        <v>0.2</v>
      </c>
      <c r="JN1461" s="2">
        <v>0.2</v>
      </c>
      <c r="JO1461" s="2">
        <v>-0.2</v>
      </c>
      <c r="JP1461" s="2">
        <v>0</v>
      </c>
      <c r="JQ1461" s="2">
        <v>0.4</v>
      </c>
      <c r="JR1461" s="2">
        <v>0.3</v>
      </c>
      <c r="JS1461" s="2">
        <v>-0.9</v>
      </c>
      <c r="JT1461" s="2">
        <v>0.3</v>
      </c>
      <c r="JU1461" s="2">
        <v>0.3</v>
      </c>
      <c r="JV1461" s="2">
        <v>-0.1</v>
      </c>
      <c r="KA1461" s="2">
        <v>-0.1</v>
      </c>
      <c r="KB1461" s="2">
        <v>0.3</v>
      </c>
      <c r="KC1461" s="2">
        <v>0.6</v>
      </c>
      <c r="KD1461" s="2">
        <v>0.2</v>
      </c>
      <c r="KQ1461" s="2">
        <v>0</v>
      </c>
      <c r="KR1461" s="2">
        <v>0.3</v>
      </c>
      <c r="KS1461" s="2">
        <v>0.6</v>
      </c>
      <c r="KT1461" s="2">
        <v>0.2</v>
      </c>
      <c r="LG1461" s="2">
        <v>-0.8</v>
      </c>
      <c r="LH1461" s="2">
        <v>0.8</v>
      </c>
      <c r="LI1461" s="2">
        <v>0.3</v>
      </c>
      <c r="LJ1461" s="2">
        <v>0.2</v>
      </c>
      <c r="LW1461" s="2">
        <v>0.2</v>
      </c>
      <c r="LX1461" s="2">
        <v>-2.5</v>
      </c>
      <c r="LY1461" s="2">
        <v>1.7</v>
      </c>
      <c r="LZ1461" s="2">
        <v>0.6</v>
      </c>
      <c r="MM1461" s="2">
        <v>2.6</v>
      </c>
      <c r="MN1461" s="2">
        <v>1.1</v>
      </c>
      <c r="MO1461" s="2">
        <v>1.4</v>
      </c>
      <c r="MP1461" s="2">
        <v>0.8</v>
      </c>
      <c r="NC1461" s="2">
        <v>2.1</v>
      </c>
      <c r="ND1461" s="2">
        <v>2.1</v>
      </c>
      <c r="NE1461" s="2">
        <v>1.9</v>
      </c>
      <c r="NF1461" s="2">
        <v>0.9</v>
      </c>
      <c r="NS1461" s="2">
        <v>1.3</v>
      </c>
      <c r="NT1461" s="2">
        <v>1.1</v>
      </c>
      <c r="NU1461" s="2">
        <v>0.9</v>
      </c>
      <c r="NV1461" s="2">
        <v>0.5</v>
      </c>
      <c r="OI1461" s="2">
        <v>0.6</v>
      </c>
      <c r="OJ1461" s="2">
        <v>0.9</v>
      </c>
      <c r="OK1461" s="2">
        <v>0.1</v>
      </c>
      <c r="OL1461" s="2">
        <v>-0.1</v>
      </c>
      <c r="OY1461" s="2">
        <v>0.7</v>
      </c>
      <c r="OZ1461" s="2">
        <v>0.8</v>
      </c>
      <c r="PA1461" s="2">
        <v>1.1</v>
      </c>
      <c r="PB1461" s="2">
        <v>0.7</v>
      </c>
      <c r="PJ1461" s="2">
        <v>0.9</v>
      </c>
      <c r="PK1461" s="2">
        <v>1.1</v>
      </c>
    </row>
    <row r="1462">
      <c r="A1462" t="inlineStr">
        <is>
          <t>A2325845A</t>
        </is>
      </c>
      <c r="B1462" t="inlineStr">
        <is>
          <t>Percentage Change from Previous Period ;  All groups CPI ;  Canberra ;</t>
        </is>
      </c>
      <c r="C1462" t="inlineStr">
        <is>
          <t>Quarter</t>
        </is>
      </c>
      <c r="D1462" t="inlineStr">
        <is>
          <t>Percent</t>
        </is>
      </c>
      <c r="E1462" t="inlineStr">
        <is>
          <t>Original</t>
        </is>
      </c>
      <c r="F1462" t="inlineStr">
        <is>
          <t>6401017.xlsx</t>
        </is>
      </c>
      <c r="G1462" t="inlineStr">
        <is>
          <t>1948Q4</t>
        </is>
      </c>
      <c r="H1462" t="inlineStr">
        <is>
          <t>2026Q2</t>
        </is>
      </c>
      <c r="J1462" s="2">
        <v>2.9</v>
      </c>
      <c r="K1462" s="2">
        <v>1.4</v>
      </c>
      <c r="L1462" s="2">
        <v>2.4</v>
      </c>
      <c r="M1462" s="2">
        <v>1.3</v>
      </c>
      <c r="N1462" s="2">
        <v>1.3</v>
      </c>
      <c r="O1462" s="2">
        <v>1.3</v>
      </c>
      <c r="P1462" s="2">
        <v>3.9</v>
      </c>
      <c r="Q1462" s="2">
        <v>2.5</v>
      </c>
      <c r="R1462" s="2">
        <v>3.6</v>
      </c>
      <c r="S1462" s="2">
        <v>5.6</v>
      </c>
      <c r="T1462" s="2">
        <v>6.6</v>
      </c>
      <c r="U1462" s="2">
        <v>5.2</v>
      </c>
      <c r="V1462" s="2">
        <v>5.7</v>
      </c>
      <c r="W1462" s="2">
        <v>2.8</v>
      </c>
      <c r="X1462" s="2">
        <v>5.2</v>
      </c>
      <c r="Y1462" s="2">
        <v>1.7</v>
      </c>
      <c r="Z1462" s="2">
        <v>0.8</v>
      </c>
      <c r="AA1462" s="2">
        <v>0.8</v>
      </c>
      <c r="AB1462" s="2">
        <v>0.8</v>
      </c>
      <c r="AC1462" s="2">
        <v>1.7</v>
      </c>
      <c r="AD1462" s="2">
        <v>0.8</v>
      </c>
      <c r="AE1462" s="2">
        <v>-0.8</v>
      </c>
      <c r="AF1462" s="2">
        <v>0</v>
      </c>
      <c r="AG1462" s="2">
        <v>0</v>
      </c>
      <c r="AH1462" s="2">
        <v>1.6</v>
      </c>
      <c r="AI1462" s="2">
        <v>0</v>
      </c>
      <c r="AJ1462" s="2">
        <v>0.8</v>
      </c>
      <c r="AK1462" s="2">
        <v>0.8</v>
      </c>
      <c r="AL1462" s="2">
        <v>0.8</v>
      </c>
      <c r="AM1462" s="2">
        <v>0.6</v>
      </c>
      <c r="AN1462" s="2">
        <v>2.3</v>
      </c>
      <c r="AO1462" s="2">
        <v>2.3</v>
      </c>
      <c r="AP1462" s="2">
        <v>0.7</v>
      </c>
      <c r="AQ1462" s="2">
        <v>0</v>
      </c>
      <c r="AR1462" s="2">
        <v>0</v>
      </c>
      <c r="AS1462" s="2">
        <v>0</v>
      </c>
      <c r="AT1462" s="2">
        <v>0</v>
      </c>
      <c r="AU1462" s="2">
        <v>0.7</v>
      </c>
      <c r="AV1462" s="2">
        <v>0.7</v>
      </c>
      <c r="AW1462" s="2">
        <v>-0.7</v>
      </c>
      <c r="AX1462" s="2">
        <v>0.7</v>
      </c>
      <c r="AY1462" s="2">
        <v>0</v>
      </c>
      <c r="AZ1462" s="2">
        <v>1.5</v>
      </c>
      <c r="BA1462" s="2">
        <v>0</v>
      </c>
      <c r="BB1462" s="2">
        <v>0.7</v>
      </c>
      <c r="BC1462" s="2">
        <v>0.7</v>
      </c>
      <c r="BD1462" s="2">
        <v>0.5</v>
      </c>
      <c r="BE1462" s="2">
        <v>1.4</v>
      </c>
      <c r="BF1462" s="2">
        <v>0</v>
      </c>
      <c r="BG1462" s="2">
        <v>0.7</v>
      </c>
      <c r="BH1462" s="2">
        <v>0.7</v>
      </c>
      <c r="BI1462" s="2">
        <v>0</v>
      </c>
      <c r="BJ1462" s="2">
        <v>1.4</v>
      </c>
      <c r="BK1462" s="2">
        <v>-0.7</v>
      </c>
      <c r="BL1462" s="2">
        <v>0</v>
      </c>
      <c r="BM1462" s="2">
        <v>0</v>
      </c>
      <c r="BN1462" s="2">
        <v>0.7</v>
      </c>
      <c r="BO1462" s="2">
        <v>-0.7</v>
      </c>
      <c r="BP1462" s="2">
        <v>0</v>
      </c>
      <c r="BQ1462" s="2">
        <v>0.7</v>
      </c>
      <c r="BR1462" s="2">
        <v>0</v>
      </c>
      <c r="BS1462" s="2">
        <v>0</v>
      </c>
      <c r="BT1462" s="2">
        <v>0.7</v>
      </c>
      <c r="BU1462" s="2">
        <v>1.3</v>
      </c>
      <c r="BV1462" s="2">
        <v>1.3</v>
      </c>
      <c r="BW1462" s="2">
        <v>0</v>
      </c>
      <c r="BX1462" s="2">
        <v>1.3</v>
      </c>
      <c r="BY1462" s="2">
        <v>0.5</v>
      </c>
      <c r="BZ1462" s="2">
        <v>1.3</v>
      </c>
      <c r="CA1462" s="2">
        <v>0</v>
      </c>
      <c r="CB1462" s="2">
        <v>0</v>
      </c>
      <c r="CC1462" s="2">
        <v>0.6</v>
      </c>
      <c r="CD1462" s="2">
        <v>0.6</v>
      </c>
      <c r="CE1462" s="2">
        <v>0.6</v>
      </c>
      <c r="CF1462" s="2">
        <v>1.2</v>
      </c>
      <c r="CG1462" s="2">
        <v>0.6</v>
      </c>
      <c r="CH1462" s="2">
        <v>0.6</v>
      </c>
      <c r="CI1462" s="2">
        <v>0</v>
      </c>
      <c r="CJ1462" s="2">
        <v>0.6</v>
      </c>
      <c r="CK1462" s="2">
        <v>0</v>
      </c>
      <c r="CL1462" s="2">
        <v>0.6</v>
      </c>
      <c r="CM1462" s="2">
        <v>1.2</v>
      </c>
      <c r="CN1462" s="2">
        <v>0</v>
      </c>
      <c r="CO1462" s="2">
        <v>0.4</v>
      </c>
      <c r="CP1462" s="2">
        <v>1.2</v>
      </c>
      <c r="CQ1462" s="2">
        <v>1.2</v>
      </c>
      <c r="CR1462" s="2">
        <v>0.6</v>
      </c>
      <c r="CS1462" s="2">
        <v>1.1</v>
      </c>
      <c r="CT1462" s="2">
        <v>2.8</v>
      </c>
      <c r="CU1462" s="2">
        <v>0.4</v>
      </c>
      <c r="CV1462" s="2">
        <v>1.6</v>
      </c>
      <c r="CW1462" s="2">
        <v>1.6</v>
      </c>
      <c r="CX1462" s="2">
        <v>1.6</v>
      </c>
      <c r="CY1462" s="2">
        <v>0.5</v>
      </c>
      <c r="CZ1462" s="2">
        <v>1</v>
      </c>
      <c r="DA1462" s="2">
        <v>1.4</v>
      </c>
      <c r="DB1462" s="2">
        <v>1.5</v>
      </c>
      <c r="DC1462" s="2">
        <v>2</v>
      </c>
      <c r="DD1462" s="2">
        <v>2.8</v>
      </c>
      <c r="DE1462" s="2">
        <v>3.8</v>
      </c>
      <c r="DF1462" s="2">
        <v>4</v>
      </c>
      <c r="DG1462" s="2">
        <v>2.6</v>
      </c>
      <c r="DH1462" s="2">
        <v>3.3</v>
      </c>
      <c r="DI1462" s="2">
        <v>5.3</v>
      </c>
      <c r="DJ1462" s="2">
        <v>3.2</v>
      </c>
      <c r="DK1462" s="2">
        <v>2.2</v>
      </c>
      <c r="DL1462" s="2">
        <v>4.4</v>
      </c>
      <c r="DM1462" s="2">
        <v>-0.4</v>
      </c>
      <c r="DN1462" s="2">
        <v>8.199999999999999</v>
      </c>
      <c r="DO1462" s="2">
        <v>2.6</v>
      </c>
      <c r="DP1462" s="2">
        <v>3.2</v>
      </c>
      <c r="DQ1462" s="2">
        <v>2.2</v>
      </c>
      <c r="DR1462" s="2">
        <v>5.5</v>
      </c>
      <c r="DS1462" s="2">
        <v>1.7</v>
      </c>
      <c r="DT1462" s="2">
        <v>1.7</v>
      </c>
      <c r="DU1462" s="2">
        <v>1.9</v>
      </c>
      <c r="DV1462" s="2">
        <v>3.3</v>
      </c>
      <c r="DW1462" s="2">
        <v>1.1</v>
      </c>
      <c r="DX1462" s="2">
        <v>1.6</v>
      </c>
      <c r="DY1462" s="2">
        <v>2</v>
      </c>
      <c r="DZ1462" s="2">
        <v>2.2</v>
      </c>
      <c r="EA1462" s="2">
        <v>1.8</v>
      </c>
      <c r="EB1462" s="2">
        <v>3.1</v>
      </c>
      <c r="EC1462" s="2">
        <v>2.6</v>
      </c>
      <c r="ED1462" s="2">
        <v>2.5</v>
      </c>
      <c r="EE1462" s="2">
        <v>2.7</v>
      </c>
      <c r="EF1462" s="2">
        <v>2.8</v>
      </c>
      <c r="EG1462" s="2">
        <v>1.9</v>
      </c>
      <c r="EH1462" s="2">
        <v>2.3</v>
      </c>
      <c r="EI1462" s="2">
        <v>2</v>
      </c>
      <c r="EJ1462" s="2">
        <v>2.6</v>
      </c>
      <c r="EK1462" s="2">
        <v>2.2</v>
      </c>
      <c r="EL1462" s="2">
        <v>4</v>
      </c>
      <c r="EM1462" s="2">
        <v>1.6</v>
      </c>
      <c r="EN1462" s="2">
        <v>3.1</v>
      </c>
      <c r="EO1462" s="2">
        <v>3.1</v>
      </c>
      <c r="EP1462" s="2">
        <v>3.9</v>
      </c>
      <c r="EQ1462" s="2">
        <v>2.1</v>
      </c>
      <c r="ER1462" s="2">
        <v>1.6</v>
      </c>
      <c r="ES1462" s="2">
        <v>1.4</v>
      </c>
      <c r="ET1462" s="2">
        <v>2.5</v>
      </c>
      <c r="EU1462" s="2">
        <v>0.2</v>
      </c>
      <c r="EV1462" s="2">
        <v>0.2</v>
      </c>
      <c r="EW1462" s="2">
        <v>1.5</v>
      </c>
      <c r="EX1462" s="2">
        <v>1.5</v>
      </c>
      <c r="EY1462" s="2">
        <v>1.6</v>
      </c>
      <c r="EZ1462" s="2">
        <v>2.3</v>
      </c>
      <c r="FA1462" s="2">
        <v>2.4</v>
      </c>
      <c r="FB1462" s="2">
        <v>2.2</v>
      </c>
      <c r="FC1462" s="2">
        <v>2.2</v>
      </c>
      <c r="FD1462" s="2">
        <v>1.7</v>
      </c>
      <c r="FE1462" s="2">
        <v>2.1</v>
      </c>
      <c r="FF1462" s="2">
        <v>2.5</v>
      </c>
      <c r="FG1462" s="2">
        <v>1.7</v>
      </c>
      <c r="FH1462" s="2">
        <v>1.6</v>
      </c>
      <c r="FI1462" s="2">
        <v>1.3</v>
      </c>
      <c r="FJ1462" s="2">
        <v>1.8</v>
      </c>
      <c r="FK1462" s="2">
        <v>2</v>
      </c>
      <c r="FL1462" s="2">
        <v>1.8</v>
      </c>
      <c r="FM1462" s="2">
        <v>1.2</v>
      </c>
      <c r="FN1462" s="2">
        <v>1.8</v>
      </c>
      <c r="FO1462" s="2">
        <v>1.2</v>
      </c>
      <c r="FP1462" s="2">
        <v>2.3</v>
      </c>
      <c r="FQ1462" s="2">
        <v>1.6</v>
      </c>
      <c r="FR1462" s="2">
        <v>2.2</v>
      </c>
      <c r="FS1462" s="2">
        <v>1.9</v>
      </c>
      <c r="FT1462" s="2">
        <v>1.1</v>
      </c>
      <c r="FU1462" s="2">
        <v>0.8</v>
      </c>
      <c r="FV1462" s="2">
        <v>2.8</v>
      </c>
      <c r="FW1462" s="2">
        <v>-0.5</v>
      </c>
      <c r="FX1462" s="2">
        <v>0.1</v>
      </c>
      <c r="FY1462" s="2">
        <v>1.3</v>
      </c>
      <c r="FZ1462" s="2">
        <v>0.9</v>
      </c>
      <c r="GA1462" s="2">
        <v>0.3</v>
      </c>
      <c r="GB1462" s="2">
        <v>-0.3</v>
      </c>
      <c r="GC1462" s="2">
        <v>0.6</v>
      </c>
      <c r="GD1462" s="2">
        <v>0.4</v>
      </c>
      <c r="GE1462" s="2">
        <v>1</v>
      </c>
      <c r="GF1462" s="2">
        <v>0.2</v>
      </c>
      <c r="GG1462" s="2">
        <v>0.6</v>
      </c>
      <c r="GH1462" s="2">
        <v>0.3</v>
      </c>
      <c r="GI1462" s="2">
        <v>0.1</v>
      </c>
      <c r="GJ1462" s="2">
        <v>0.5</v>
      </c>
      <c r="GK1462" s="2">
        <v>0.5</v>
      </c>
      <c r="GL1462" s="2">
        <v>1.1</v>
      </c>
      <c r="GM1462" s="2">
        <v>2.2</v>
      </c>
      <c r="GN1462" s="2">
        <v>1.1</v>
      </c>
      <c r="GO1462" s="2">
        <v>1.3</v>
      </c>
      <c r="GP1462" s="2">
        <v>0.8</v>
      </c>
      <c r="GQ1462" s="2">
        <v>0.7</v>
      </c>
      <c r="GR1462" s="2">
        <v>0.5</v>
      </c>
      <c r="GS1462" s="2">
        <v>0</v>
      </c>
      <c r="GT1462" s="2">
        <v>0</v>
      </c>
      <c r="GU1462" s="2">
        <v>0</v>
      </c>
      <c r="GV1462" s="2">
        <v>-0.8</v>
      </c>
      <c r="GW1462" s="2">
        <v>-0.5</v>
      </c>
      <c r="GX1462" s="2">
        <v>0</v>
      </c>
      <c r="GY1462" s="2">
        <v>0.7</v>
      </c>
      <c r="GZ1462" s="2">
        <v>0.5</v>
      </c>
      <c r="HA1462" s="2">
        <v>0.1</v>
      </c>
      <c r="HB1462" s="2">
        <v>0.3</v>
      </c>
      <c r="HC1462" s="2">
        <v>-0.3</v>
      </c>
      <c r="HD1462" s="2">
        <v>0.1</v>
      </c>
      <c r="HE1462" s="2">
        <v>0.8</v>
      </c>
      <c r="HF1462" s="2">
        <v>1</v>
      </c>
      <c r="HG1462" s="2">
        <v>1</v>
      </c>
      <c r="HH1462" s="2">
        <v>0.8</v>
      </c>
      <c r="HI1462" s="2">
        <v>3.8</v>
      </c>
      <c r="HJ1462" s="2">
        <v>0.4</v>
      </c>
      <c r="HK1462" s="2">
        <v>0.8</v>
      </c>
      <c r="HL1462" s="2">
        <v>1</v>
      </c>
      <c r="HM1462" s="2">
        <v>-0.1</v>
      </c>
      <c r="HN1462" s="2">
        <v>1.2</v>
      </c>
      <c r="HO1462" s="2">
        <v>0.5</v>
      </c>
      <c r="HP1462" s="2">
        <v>1.2</v>
      </c>
      <c r="HQ1462" s="2">
        <v>0.6</v>
      </c>
      <c r="HR1462" s="2">
        <v>0.8</v>
      </c>
      <c r="HS1462" s="2">
        <v>1.1</v>
      </c>
      <c r="HT1462" s="2">
        <v>0</v>
      </c>
      <c r="HU1462" s="2">
        <v>0.9</v>
      </c>
      <c r="HV1462" s="2">
        <v>0.7</v>
      </c>
      <c r="HW1462" s="2">
        <v>0.7</v>
      </c>
      <c r="HX1462" s="2">
        <v>0.6</v>
      </c>
      <c r="HY1462" s="2">
        <v>0.5</v>
      </c>
      <c r="HZ1462" s="2">
        <v>0.5</v>
      </c>
      <c r="IA1462" s="2">
        <v>0.5</v>
      </c>
      <c r="IB1462" s="2">
        <v>0.5</v>
      </c>
      <c r="IC1462" s="2">
        <v>1.3</v>
      </c>
      <c r="ID1462" s="2">
        <v>0.8</v>
      </c>
      <c r="IE1462" s="2">
        <v>0.9</v>
      </c>
      <c r="IF1462" s="2">
        <v>1.8</v>
      </c>
      <c r="IG1462" s="2">
        <v>0.7</v>
      </c>
      <c r="IH1462" s="2">
        <v>-0.2</v>
      </c>
      <c r="II1462" s="2">
        <v>0.1</v>
      </c>
      <c r="IJ1462" s="2">
        <v>1.4</v>
      </c>
      <c r="IK1462" s="2">
        <v>0.8</v>
      </c>
      <c r="IL1462" s="2">
        <v>1</v>
      </c>
      <c r="IM1462" s="2">
        <v>1.4</v>
      </c>
      <c r="IN1462" s="2">
        <v>1.2</v>
      </c>
      <c r="IO1462" s="2">
        <v>1.6</v>
      </c>
      <c r="IP1462" s="2">
        <v>-0.4</v>
      </c>
      <c r="IQ1462" s="2">
        <v>0.3</v>
      </c>
      <c r="IR1462" s="2">
        <v>0.6</v>
      </c>
      <c r="IS1462" s="2">
        <v>0.9</v>
      </c>
      <c r="IT1462" s="2">
        <v>0.4</v>
      </c>
      <c r="IU1462" s="2">
        <v>0.7</v>
      </c>
      <c r="IV1462" s="2">
        <v>0.4</v>
      </c>
      <c r="IW1462" s="2">
        <v>0.7</v>
      </c>
      <c r="IX1462" s="2">
        <v>0.4</v>
      </c>
      <c r="IY1462" s="2">
        <v>1.5</v>
      </c>
      <c r="IZ1462" s="2">
        <v>1.1</v>
      </c>
      <c r="JA1462" s="2">
        <v>0.6</v>
      </c>
      <c r="JB1462" s="2">
        <v>0.3</v>
      </c>
      <c r="JC1462" s="2">
        <v>-0.4</v>
      </c>
      <c r="JD1462" s="2">
        <v>0.6</v>
      </c>
      <c r="JE1462" s="2">
        <v>1</v>
      </c>
      <c r="JF1462" s="2">
        <v>0.4</v>
      </c>
      <c r="JG1462" s="2">
        <v>0.2</v>
      </c>
      <c r="JH1462" s="2">
        <v>0.5</v>
      </c>
      <c r="JI1462" s="2">
        <v>0.6</v>
      </c>
      <c r="JJ1462" s="2">
        <v>1</v>
      </c>
      <c r="JK1462" s="2">
        <v>0.4</v>
      </c>
      <c r="JL1462" s="2">
        <v>0.2</v>
      </c>
      <c r="JM1462" s="2">
        <v>0.3</v>
      </c>
      <c r="JN1462" s="2">
        <v>0.1</v>
      </c>
      <c r="JO1462" s="2">
        <v>-0.1</v>
      </c>
      <c r="JP1462" s="2">
        <v>0.5</v>
      </c>
      <c r="JQ1462" s="2">
        <v>0.1</v>
      </c>
      <c r="JR1462" s="2">
        <v>0.3</v>
      </c>
      <c r="JS1462" s="2">
        <v>0.1</v>
      </c>
      <c r="JT1462" s="2">
        <v>0.2</v>
      </c>
      <c r="JU1462" s="2">
        <v>0.9</v>
      </c>
      <c r="JV1462" s="2">
        <v>0.5</v>
      </c>
      <c r="KA1462" s="2">
        <v>0.7</v>
      </c>
      <c r="KB1462" s="2">
        <v>0</v>
      </c>
      <c r="KC1462" s="2">
        <v>0.9</v>
      </c>
      <c r="KD1462" s="2">
        <v>0.7</v>
      </c>
      <c r="KQ1462" s="2">
        <v>0.8</v>
      </c>
      <c r="KR1462" s="2">
        <v>0.4</v>
      </c>
      <c r="KS1462" s="2">
        <v>0.6</v>
      </c>
      <c r="KT1462" s="2">
        <v>0.7</v>
      </c>
      <c r="LG1462" s="2">
        <v>0</v>
      </c>
      <c r="LH1462" s="2">
        <v>0.3</v>
      </c>
      <c r="LI1462" s="2">
        <v>0.7</v>
      </c>
      <c r="LJ1462" s="2">
        <v>0.6</v>
      </c>
      <c r="LW1462" s="2">
        <v>0.4</v>
      </c>
      <c r="LX1462" s="2">
        <v>-2.4</v>
      </c>
      <c r="LY1462" s="2">
        <v>2.3</v>
      </c>
      <c r="LZ1462" s="2">
        <v>0.8</v>
      </c>
      <c r="MM1462" s="2">
        <v>0.9</v>
      </c>
      <c r="MN1462" s="2">
        <v>0.8</v>
      </c>
      <c r="MO1462" s="2">
        <v>1.3</v>
      </c>
      <c r="MP1462" s="2">
        <v>1</v>
      </c>
      <c r="NC1462" s="2">
        <v>2.2</v>
      </c>
      <c r="ND1462" s="2">
        <v>1.6</v>
      </c>
      <c r="NE1462" s="2">
        <v>1.9</v>
      </c>
      <c r="NF1462" s="2">
        <v>1.1</v>
      </c>
      <c r="NS1462" s="2">
        <v>1.4</v>
      </c>
      <c r="NT1462" s="2">
        <v>1.1</v>
      </c>
      <c r="NU1462" s="2">
        <v>0.8</v>
      </c>
      <c r="NV1462" s="2">
        <v>0.4</v>
      </c>
      <c r="OI1462" s="2">
        <v>0.9</v>
      </c>
      <c r="OJ1462" s="2">
        <v>0.9</v>
      </c>
      <c r="OK1462" s="2">
        <v>0.3</v>
      </c>
      <c r="OL1462" s="2">
        <v>0</v>
      </c>
      <c r="OY1462" s="2">
        <v>1</v>
      </c>
      <c r="OZ1462" s="2">
        <v>0.3</v>
      </c>
      <c r="PA1462" s="2">
        <v>1.5</v>
      </c>
      <c r="PB1462" s="2">
        <v>0.6</v>
      </c>
      <c r="PJ1462" s="2">
        <v>1.3</v>
      </c>
      <c r="PK1462" s="2">
        <v>0.6</v>
      </c>
    </row>
    <row r="1463">
      <c r="A1463" t="inlineStr">
        <is>
          <t>A2325850V</t>
        </is>
      </c>
      <c r="B1463" t="inlineStr">
        <is>
          <t>Percentage Change from Previous Period ;  All groups CPI ;  Australia ;</t>
        </is>
      </c>
      <c r="C1463" t="inlineStr">
        <is>
          <t>Quarter</t>
        </is>
      </c>
      <c r="D1463" t="inlineStr">
        <is>
          <t>Percent</t>
        </is>
      </c>
      <c r="E1463" t="inlineStr">
        <is>
          <t>Original</t>
        </is>
      </c>
      <c r="F1463" t="inlineStr">
        <is>
          <t>6401017.xlsx</t>
        </is>
      </c>
      <c r="G1463" t="inlineStr">
        <is>
          <t>1948Q4</t>
        </is>
      </c>
      <c r="H1463" t="inlineStr">
        <is>
          <t>2026Q2</t>
        </is>
      </c>
      <c r="J1463" s="2">
        <v>1.5</v>
      </c>
      <c r="K1463" s="2">
        <v>3</v>
      </c>
      <c r="L1463" s="2">
        <v>1.1</v>
      </c>
      <c r="M1463" s="2">
        <v>2.9</v>
      </c>
      <c r="N1463" s="2">
        <v>1.4</v>
      </c>
      <c r="O1463" s="2">
        <v>1.4</v>
      </c>
      <c r="P1463" s="2">
        <v>4.1</v>
      </c>
      <c r="Q1463" s="2">
        <v>1</v>
      </c>
      <c r="R1463" s="2">
        <v>3.9</v>
      </c>
      <c r="S1463" s="2">
        <v>4.7</v>
      </c>
      <c r="T1463" s="2">
        <v>6</v>
      </c>
      <c r="U1463" s="2">
        <v>5.4</v>
      </c>
      <c r="V1463" s="2">
        <v>7.3</v>
      </c>
      <c r="W1463" s="2">
        <v>3</v>
      </c>
      <c r="X1463" s="2">
        <v>3.7</v>
      </c>
      <c r="Y1463" s="2">
        <v>1.9</v>
      </c>
      <c r="Z1463" s="2">
        <v>0.9</v>
      </c>
      <c r="AA1463" s="2">
        <v>0.9</v>
      </c>
      <c r="AB1463" s="2">
        <v>0.9</v>
      </c>
      <c r="AC1463" s="2">
        <v>0.7</v>
      </c>
      <c r="AD1463" s="2">
        <v>-0.7</v>
      </c>
      <c r="AE1463" s="2">
        <v>0.7</v>
      </c>
      <c r="AF1463" s="2">
        <v>0</v>
      </c>
      <c r="AG1463" s="2">
        <v>0</v>
      </c>
      <c r="AH1463" s="2">
        <v>0</v>
      </c>
      <c r="AI1463" s="2">
        <v>0.9</v>
      </c>
      <c r="AJ1463" s="2">
        <v>0.9</v>
      </c>
      <c r="AK1463" s="2">
        <v>0.9</v>
      </c>
      <c r="AL1463" s="2">
        <v>0.9</v>
      </c>
      <c r="AM1463" s="2">
        <v>0.9</v>
      </c>
      <c r="AN1463" s="2">
        <v>3.2</v>
      </c>
      <c r="AO1463" s="2">
        <v>2.5</v>
      </c>
      <c r="AP1463" s="2">
        <v>0</v>
      </c>
      <c r="AQ1463" s="2">
        <v>0</v>
      </c>
      <c r="AR1463" s="2">
        <v>0.8</v>
      </c>
      <c r="AS1463" s="2">
        <v>0</v>
      </c>
      <c r="AT1463" s="2">
        <v>0</v>
      </c>
      <c r="AU1463" s="2">
        <v>0.8</v>
      </c>
      <c r="AV1463" s="2">
        <v>0</v>
      </c>
      <c r="AW1463" s="2">
        <v>0</v>
      </c>
      <c r="AX1463" s="2">
        <v>0.6</v>
      </c>
      <c r="AY1463" s="2">
        <v>0.8</v>
      </c>
      <c r="AZ1463" s="2">
        <v>0</v>
      </c>
      <c r="BA1463" s="2">
        <v>0.8</v>
      </c>
      <c r="BB1463" s="2">
        <v>0.8</v>
      </c>
      <c r="BC1463" s="2">
        <v>0.8</v>
      </c>
      <c r="BD1463" s="2">
        <v>1.5</v>
      </c>
      <c r="BE1463" s="2">
        <v>1.3</v>
      </c>
      <c r="BF1463" s="2">
        <v>0.7</v>
      </c>
      <c r="BG1463" s="2">
        <v>0.7</v>
      </c>
      <c r="BH1463" s="2">
        <v>0.7</v>
      </c>
      <c r="BI1463" s="2">
        <v>-0.7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0.7</v>
      </c>
      <c r="BR1463" s="2">
        <v>0</v>
      </c>
      <c r="BS1463" s="2">
        <v>0.7</v>
      </c>
      <c r="BT1463" s="2">
        <v>0.7</v>
      </c>
      <c r="BU1463" s="2">
        <v>1.3</v>
      </c>
      <c r="BV1463" s="2">
        <v>0.7</v>
      </c>
      <c r="BW1463" s="2">
        <v>0.7</v>
      </c>
      <c r="BX1463" s="2">
        <v>1.4</v>
      </c>
      <c r="BY1463" s="2">
        <v>0.7</v>
      </c>
      <c r="BZ1463" s="2">
        <v>1.2</v>
      </c>
      <c r="CA1463" s="2">
        <v>0.7</v>
      </c>
      <c r="CB1463" s="2">
        <v>0.7</v>
      </c>
      <c r="CC1463" s="2">
        <v>0</v>
      </c>
      <c r="CD1463" s="2">
        <v>1.3</v>
      </c>
      <c r="CE1463" s="2">
        <v>0.7</v>
      </c>
      <c r="CF1463" s="2">
        <v>0.7</v>
      </c>
      <c r="CG1463" s="2">
        <v>1.8</v>
      </c>
      <c r="CH1463" s="2">
        <v>0</v>
      </c>
      <c r="CI1463" s="2">
        <v>0.6</v>
      </c>
      <c r="CJ1463" s="2">
        <v>0.6</v>
      </c>
      <c r="CK1463" s="2">
        <v>0.6</v>
      </c>
      <c r="CL1463" s="2">
        <v>0.6</v>
      </c>
      <c r="CM1463" s="2">
        <v>1.1</v>
      </c>
      <c r="CN1463" s="2">
        <v>0.6</v>
      </c>
      <c r="CO1463" s="2">
        <v>0.6</v>
      </c>
      <c r="CP1463" s="2">
        <v>0.6</v>
      </c>
      <c r="CQ1463" s="2">
        <v>1.2</v>
      </c>
      <c r="CR1463" s="2">
        <v>1.2</v>
      </c>
      <c r="CS1463" s="2">
        <v>0.4</v>
      </c>
      <c r="CT1463" s="2">
        <v>1.8</v>
      </c>
      <c r="CU1463" s="2">
        <v>1.2</v>
      </c>
      <c r="CV1463" s="2">
        <v>1.6</v>
      </c>
      <c r="CW1463" s="2">
        <v>2.3</v>
      </c>
      <c r="CX1463" s="2">
        <v>2.1</v>
      </c>
      <c r="CY1463" s="2">
        <v>1.1</v>
      </c>
      <c r="CZ1463" s="2">
        <v>1.1</v>
      </c>
      <c r="DA1463" s="2">
        <v>1.5</v>
      </c>
      <c r="DB1463" s="2">
        <v>1</v>
      </c>
      <c r="DC1463" s="2">
        <v>2.1</v>
      </c>
      <c r="DD1463" s="2">
        <v>3.4</v>
      </c>
      <c r="DE1463" s="2">
        <v>3.3</v>
      </c>
      <c r="DF1463" s="2">
        <v>3.7</v>
      </c>
      <c r="DG1463" s="2">
        <v>2.6</v>
      </c>
      <c r="DH1463" s="2">
        <v>4.2</v>
      </c>
      <c r="DI1463" s="2">
        <v>5</v>
      </c>
      <c r="DJ1463" s="2">
        <v>3.5</v>
      </c>
      <c r="DK1463" s="2">
        <v>3.7</v>
      </c>
      <c r="DL1463" s="2">
        <v>3.7</v>
      </c>
      <c r="DM1463" s="2">
        <v>0.7</v>
      </c>
      <c r="DN1463" s="2">
        <v>5.6</v>
      </c>
      <c r="DO1463" s="2">
        <v>2.6</v>
      </c>
      <c r="DP1463" s="2">
        <v>2.6</v>
      </c>
      <c r="DQ1463" s="2">
        <v>2.5</v>
      </c>
      <c r="DR1463" s="2">
        <v>5.9</v>
      </c>
      <c r="DS1463" s="2">
        <v>2.3</v>
      </c>
      <c r="DT1463" s="2">
        <v>2.3</v>
      </c>
      <c r="DU1463" s="2">
        <v>1.9</v>
      </c>
      <c r="DV1463" s="2">
        <v>2.4</v>
      </c>
      <c r="DW1463" s="2">
        <v>1.4</v>
      </c>
      <c r="DX1463" s="2">
        <v>2.1</v>
      </c>
      <c r="DY1463" s="2">
        <v>1.8</v>
      </c>
      <c r="DZ1463" s="2">
        <v>2.3</v>
      </c>
      <c r="EA1463" s="2">
        <v>1.7</v>
      </c>
      <c r="EB1463" s="2">
        <v>2.6</v>
      </c>
      <c r="EC1463" s="2">
        <v>2.4</v>
      </c>
      <c r="ED1463" s="2">
        <v>3</v>
      </c>
      <c r="EE1463" s="2">
        <v>2.3</v>
      </c>
      <c r="EF1463" s="2">
        <v>2.8</v>
      </c>
      <c r="EG1463" s="2">
        <v>1.7</v>
      </c>
      <c r="EH1463" s="2">
        <v>2.1</v>
      </c>
      <c r="EI1463" s="2">
        <v>2.4</v>
      </c>
      <c r="EJ1463" s="2">
        <v>2.2</v>
      </c>
      <c r="EK1463" s="2">
        <v>1.9</v>
      </c>
      <c r="EL1463" s="2">
        <v>4.2</v>
      </c>
      <c r="EM1463" s="2">
        <v>1.9</v>
      </c>
      <c r="EN1463" s="2">
        <v>2.3</v>
      </c>
      <c r="EO1463" s="2">
        <v>3.5</v>
      </c>
      <c r="EP1463" s="2">
        <v>2.9</v>
      </c>
      <c r="EQ1463" s="2">
        <v>2.1</v>
      </c>
      <c r="ER1463" s="2">
        <v>2.1</v>
      </c>
      <c r="ES1463" s="2">
        <v>1.7</v>
      </c>
      <c r="ET1463" s="2">
        <v>2.3</v>
      </c>
      <c r="EU1463" s="2">
        <v>-0.4</v>
      </c>
      <c r="EV1463" s="2">
        <v>0.3</v>
      </c>
      <c r="EW1463" s="2">
        <v>1.2</v>
      </c>
      <c r="EX1463" s="2">
        <v>1.5</v>
      </c>
      <c r="EY1463" s="2">
        <v>1.3</v>
      </c>
      <c r="EZ1463" s="2">
        <v>2.4</v>
      </c>
      <c r="FA1463" s="2">
        <v>2.3</v>
      </c>
      <c r="FB1463" s="2">
        <v>2</v>
      </c>
      <c r="FC1463" s="2">
        <v>2.3</v>
      </c>
      <c r="FD1463" s="2">
        <v>1.6</v>
      </c>
      <c r="FE1463" s="2">
        <v>2.6</v>
      </c>
      <c r="FF1463" s="2">
        <v>2.8</v>
      </c>
      <c r="FG1463" s="2">
        <v>2</v>
      </c>
      <c r="FH1463" s="2">
        <v>1.5</v>
      </c>
      <c r="FI1463" s="2">
        <v>1.7</v>
      </c>
      <c r="FJ1463" s="2">
        <v>1.8</v>
      </c>
      <c r="FK1463" s="2">
        <v>1.8</v>
      </c>
      <c r="FL1463" s="2">
        <v>1.7</v>
      </c>
      <c r="FM1463" s="2">
        <v>1.9</v>
      </c>
      <c r="FN1463" s="2">
        <v>2</v>
      </c>
      <c r="FO1463" s="2">
        <v>1</v>
      </c>
      <c r="FP1463" s="2">
        <v>2.5</v>
      </c>
      <c r="FQ1463" s="2">
        <v>2.3</v>
      </c>
      <c r="FR1463" s="2">
        <v>1.9</v>
      </c>
      <c r="FS1463" s="2">
        <v>1.7</v>
      </c>
      <c r="FT1463" s="2">
        <v>1.6</v>
      </c>
      <c r="FU1463" s="2">
        <v>0.8</v>
      </c>
      <c r="FV1463" s="2">
        <v>2.6</v>
      </c>
      <c r="FW1463" s="2">
        <v>-0.2</v>
      </c>
      <c r="FX1463" s="2">
        <v>0.2</v>
      </c>
      <c r="FY1463" s="2">
        <v>0.6</v>
      </c>
      <c r="FZ1463" s="2">
        <v>0.9</v>
      </c>
      <c r="GA1463" s="2">
        <v>0</v>
      </c>
      <c r="GB1463" s="2">
        <v>-0.3</v>
      </c>
      <c r="GC1463" s="2">
        <v>0.1</v>
      </c>
      <c r="GD1463" s="2">
        <v>0.5</v>
      </c>
      <c r="GE1463" s="2">
        <v>0.9</v>
      </c>
      <c r="GF1463" s="2">
        <v>0.4</v>
      </c>
      <c r="GG1463" s="2">
        <v>0.5</v>
      </c>
      <c r="GH1463" s="2">
        <v>0.2</v>
      </c>
      <c r="GI1463" s="2">
        <v>0.4</v>
      </c>
      <c r="GJ1463" s="2">
        <v>0.7</v>
      </c>
      <c r="GK1463" s="2">
        <v>0.6</v>
      </c>
      <c r="GL1463" s="2">
        <v>0.8</v>
      </c>
      <c r="GM1463" s="2">
        <v>1.7</v>
      </c>
      <c r="GN1463" s="2">
        <v>1.3</v>
      </c>
      <c r="GO1463" s="2">
        <v>1.2</v>
      </c>
      <c r="GP1463" s="2">
        <v>0.8</v>
      </c>
      <c r="GQ1463" s="2">
        <v>0.4</v>
      </c>
      <c r="GR1463" s="2">
        <v>0.7</v>
      </c>
      <c r="GS1463" s="2">
        <v>0.3</v>
      </c>
      <c r="GT1463" s="2">
        <v>0.2</v>
      </c>
      <c r="GU1463" s="2">
        <v>0.2</v>
      </c>
      <c r="GV1463" s="2">
        <v>-0.2</v>
      </c>
      <c r="GW1463" s="2">
        <v>-0.4</v>
      </c>
      <c r="GX1463" s="2">
        <v>0.2</v>
      </c>
      <c r="GY1463" s="2">
        <v>0.3</v>
      </c>
      <c r="GZ1463" s="2">
        <v>0.6</v>
      </c>
      <c r="HA1463" s="2">
        <v>0.3</v>
      </c>
      <c r="HB1463" s="2">
        <v>0.4</v>
      </c>
      <c r="HC1463" s="2">
        <v>-0.1</v>
      </c>
      <c r="HD1463" s="2">
        <v>0.4</v>
      </c>
      <c r="HE1463" s="2">
        <v>0.9</v>
      </c>
      <c r="HF1463" s="2">
        <v>0.5</v>
      </c>
      <c r="HG1463" s="2">
        <v>0.9</v>
      </c>
      <c r="HH1463" s="2">
        <v>0.8</v>
      </c>
      <c r="HI1463" s="2">
        <v>3.7</v>
      </c>
      <c r="HJ1463" s="2">
        <v>0.3</v>
      </c>
      <c r="HK1463" s="2">
        <v>1.1</v>
      </c>
      <c r="HL1463" s="2">
        <v>0.8</v>
      </c>
      <c r="HM1463" s="2">
        <v>0.3</v>
      </c>
      <c r="HN1463" s="2">
        <v>0.9</v>
      </c>
      <c r="HO1463" s="2">
        <v>0.9</v>
      </c>
      <c r="HP1463" s="2">
        <v>0.7</v>
      </c>
      <c r="HQ1463" s="2">
        <v>0.7</v>
      </c>
      <c r="HR1463" s="2">
        <v>0.7</v>
      </c>
      <c r="HS1463" s="2">
        <v>1.3</v>
      </c>
      <c r="HT1463" s="2">
        <v>0</v>
      </c>
      <c r="HU1463" s="2">
        <v>0.6</v>
      </c>
      <c r="HV1463" s="2">
        <v>0.5</v>
      </c>
      <c r="HW1463" s="2">
        <v>0.9</v>
      </c>
      <c r="HX1463" s="2">
        <v>0.5</v>
      </c>
      <c r="HY1463" s="2">
        <v>0.4</v>
      </c>
      <c r="HZ1463" s="2">
        <v>0.8</v>
      </c>
      <c r="IA1463" s="2">
        <v>0.7</v>
      </c>
      <c r="IB1463" s="2">
        <v>0.6</v>
      </c>
      <c r="IC1463" s="2">
        <v>1</v>
      </c>
      <c r="ID1463" s="2">
        <v>0.5</v>
      </c>
      <c r="IE1463" s="2">
        <v>0.9</v>
      </c>
      <c r="IF1463" s="2">
        <v>1.6</v>
      </c>
      <c r="IG1463" s="2">
        <v>0.9</v>
      </c>
      <c r="IH1463" s="2">
        <v>-0.1</v>
      </c>
      <c r="II1463" s="2">
        <v>0.1</v>
      </c>
      <c r="IJ1463" s="2">
        <v>1.2</v>
      </c>
      <c r="IK1463" s="2">
        <v>0.7</v>
      </c>
      <c r="IL1463" s="2">
        <v>0.9</v>
      </c>
      <c r="IM1463" s="2">
        <v>1.3</v>
      </c>
      <c r="IN1463" s="2">
        <v>1.5</v>
      </c>
      <c r="IO1463" s="2">
        <v>1.2</v>
      </c>
      <c r="IP1463" s="2">
        <v>-0.3</v>
      </c>
      <c r="IQ1463" s="2">
        <v>0.1</v>
      </c>
      <c r="IR1463" s="2">
        <v>0.5</v>
      </c>
      <c r="IS1463" s="2">
        <v>0.9</v>
      </c>
      <c r="IT1463" s="2">
        <v>0.5</v>
      </c>
      <c r="IU1463" s="2">
        <v>0.9</v>
      </c>
      <c r="IV1463" s="2">
        <v>0.6</v>
      </c>
      <c r="IW1463" s="2">
        <v>0.7</v>
      </c>
      <c r="IX1463" s="2">
        <v>0.4</v>
      </c>
      <c r="IY1463" s="2">
        <v>1.5</v>
      </c>
      <c r="IZ1463" s="2">
        <v>0.9</v>
      </c>
      <c r="JA1463" s="2">
        <v>0.6</v>
      </c>
      <c r="JB1463" s="2">
        <v>0</v>
      </c>
      <c r="JC1463" s="2">
        <v>0.1</v>
      </c>
      <c r="JD1463" s="2">
        <v>0.5</v>
      </c>
      <c r="JE1463" s="2">
        <v>1.4</v>
      </c>
      <c r="JF1463" s="2">
        <v>0.3</v>
      </c>
      <c r="JG1463" s="2">
        <v>0.3</v>
      </c>
      <c r="JH1463" s="2">
        <v>0.4</v>
      </c>
      <c r="JI1463" s="2">
        <v>1.2</v>
      </c>
      <c r="JJ1463" s="2">
        <v>0.7</v>
      </c>
      <c r="JK1463" s="2">
        <v>0.6</v>
      </c>
      <c r="JL1463" s="2">
        <v>0.5</v>
      </c>
      <c r="JM1463" s="2">
        <v>0.4</v>
      </c>
      <c r="JN1463" s="2">
        <v>0.2</v>
      </c>
      <c r="JO1463" s="2">
        <v>0.2</v>
      </c>
      <c r="JP1463" s="2">
        <v>0.7</v>
      </c>
      <c r="JQ1463" s="2">
        <v>0.4</v>
      </c>
      <c r="JR1463" s="2">
        <v>0.4</v>
      </c>
      <c r="JS1463" s="2">
        <v>-0.2</v>
      </c>
      <c r="JT1463" s="2">
        <v>0.4</v>
      </c>
      <c r="JU1463" s="2">
        <v>0.7</v>
      </c>
      <c r="JV1463" s="2">
        <v>0.5</v>
      </c>
      <c r="KA1463" s="2">
        <v>0.5</v>
      </c>
      <c r="KB1463" s="2">
        <v>0.2</v>
      </c>
      <c r="KC1463" s="2">
        <v>0.6</v>
      </c>
      <c r="KD1463" s="2">
        <v>0.7</v>
      </c>
      <c r="KQ1463" s="2">
        <v>0.4</v>
      </c>
      <c r="KR1463" s="2">
        <v>0.4</v>
      </c>
      <c r="KS1463" s="2">
        <v>0.4</v>
      </c>
      <c r="KT1463" s="2">
        <v>0.5</v>
      </c>
      <c r="LG1463" s="2">
        <v>0</v>
      </c>
      <c r="LH1463" s="2">
        <v>0.6</v>
      </c>
      <c r="LI1463" s="2">
        <v>0.6</v>
      </c>
      <c r="LJ1463" s="2">
        <v>0.7</v>
      </c>
      <c r="LW1463" s="2">
        <v>0.4</v>
      </c>
      <c r="LX1463" s="2">
        <v>-1.9</v>
      </c>
      <c r="LY1463" s="2">
        <v>1.5</v>
      </c>
      <c r="LZ1463" s="2">
        <v>0.9</v>
      </c>
      <c r="MM1463" s="2">
        <v>0.6</v>
      </c>
      <c r="MN1463" s="2">
        <v>0.7</v>
      </c>
      <c r="MO1463" s="2">
        <v>0.8</v>
      </c>
      <c r="MP1463" s="2">
        <v>1.3</v>
      </c>
      <c r="NC1463" s="2">
        <v>2.2</v>
      </c>
      <c r="ND1463" s="2">
        <v>1.8</v>
      </c>
      <c r="NE1463" s="2">
        <v>1.8</v>
      </c>
      <c r="NF1463" s="2">
        <v>1.8</v>
      </c>
      <c r="NS1463" s="2">
        <v>1.4</v>
      </c>
      <c r="NT1463" s="2">
        <v>0.9</v>
      </c>
      <c r="NU1463" s="2">
        <v>1.2</v>
      </c>
      <c r="NV1463" s="2">
        <v>0.6</v>
      </c>
      <c r="OI1463" s="2">
        <v>0.9</v>
      </c>
      <c r="OJ1463" s="2">
        <v>1</v>
      </c>
      <c r="OK1463" s="2">
        <v>0.2</v>
      </c>
      <c r="OL1463" s="2">
        <v>0.2</v>
      </c>
      <c r="OY1463" s="2">
        <v>0.9</v>
      </c>
      <c r="OZ1463" s="2">
        <v>0.7</v>
      </c>
      <c r="PA1463" s="2">
        <v>1.3</v>
      </c>
      <c r="PB1463" s="2">
        <v>0.6</v>
      </c>
      <c r="PJ1463" s="2">
        <v>1.4</v>
      </c>
      <c r="PK1463" s="2">
        <v>0.6</v>
      </c>
    </row>
    <row r="1464">
      <c r="A1464" t="inlineStr">
        <is>
          <t>A2325846C</t>
        </is>
      </c>
      <c r="B1464" t="inlineStr">
        <is>
          <t>Index Numbers ;  All groups CPI ;  Australia ;</t>
        </is>
      </c>
      <c r="C1464" t="inlineStr">
        <is>
          <t>Quarter</t>
        </is>
      </c>
      <c r="D1464" t="inlineStr">
        <is>
          <t>Index Numbers</t>
        </is>
      </c>
      <c r="E1464" t="inlineStr">
        <is>
          <t>Original</t>
        </is>
      </c>
      <c r="F1464" t="inlineStr">
        <is>
          <t>6401018.xlsx</t>
        </is>
      </c>
      <c r="G1464" t="inlineStr">
        <is>
          <t>1948Q3</t>
        </is>
      </c>
      <c r="H1464" t="inlineStr">
        <is>
          <t>2026Q2</t>
        </is>
      </c>
      <c r="I1464" s="2">
        <v>2.59</v>
      </c>
      <c r="J1464" s="2">
        <v>2.63</v>
      </c>
      <c r="K1464" s="2">
        <v>2.71</v>
      </c>
      <c r="L1464" s="2">
        <v>2.74</v>
      </c>
      <c r="M1464" s="2">
        <v>2.82</v>
      </c>
      <c r="N1464" s="2">
        <v>2.86</v>
      </c>
      <c r="O1464" s="2">
        <v>2.9</v>
      </c>
      <c r="P1464" s="2">
        <v>3.02</v>
      </c>
      <c r="Q1464" s="2">
        <v>3.05</v>
      </c>
      <c r="R1464" s="2">
        <v>3.17</v>
      </c>
      <c r="S1464" s="2">
        <v>3.32</v>
      </c>
      <c r="T1464" s="2">
        <v>3.52</v>
      </c>
      <c r="U1464" s="2">
        <v>3.71</v>
      </c>
      <c r="V1464" s="2">
        <v>3.98</v>
      </c>
      <c r="W1464" s="2">
        <v>4.1</v>
      </c>
      <c r="X1464" s="2">
        <v>4.25</v>
      </c>
      <c r="Y1464" s="2">
        <v>4.33</v>
      </c>
      <c r="Z1464" s="2">
        <v>4.37</v>
      </c>
      <c r="AA1464" s="2">
        <v>4.41</v>
      </c>
      <c r="AB1464" s="2">
        <v>4.45</v>
      </c>
      <c r="AC1464" s="2">
        <v>4.48</v>
      </c>
      <c r="AD1464" s="2">
        <v>4.45</v>
      </c>
      <c r="AE1464" s="2">
        <v>4.48</v>
      </c>
      <c r="AF1464" s="2">
        <v>4.48</v>
      </c>
      <c r="AG1464" s="2">
        <v>4.48</v>
      </c>
      <c r="AH1464" s="2">
        <v>4.48</v>
      </c>
      <c r="AI1464" s="2">
        <v>4.52</v>
      </c>
      <c r="AJ1464" s="2">
        <v>4.56</v>
      </c>
      <c r="AK1464" s="2">
        <v>4.6</v>
      </c>
      <c r="AL1464" s="2">
        <v>4.64</v>
      </c>
      <c r="AM1464" s="2">
        <v>4.68</v>
      </c>
      <c r="AN1464" s="2">
        <v>4.83</v>
      </c>
      <c r="AO1464" s="2">
        <v>4.95</v>
      </c>
      <c r="AP1464" s="2">
        <v>4.95</v>
      </c>
      <c r="AQ1464" s="2">
        <v>4.95</v>
      </c>
      <c r="AR1464" s="2">
        <v>4.99</v>
      </c>
      <c r="AS1464" s="2">
        <v>4.99</v>
      </c>
      <c r="AT1464" s="2">
        <v>4.99</v>
      </c>
      <c r="AU1464" s="2">
        <v>5.03</v>
      </c>
      <c r="AV1464" s="2">
        <v>5.03</v>
      </c>
      <c r="AW1464" s="2">
        <v>5.03</v>
      </c>
      <c r="AX1464" s="2">
        <v>5.06</v>
      </c>
      <c r="AY1464" s="2">
        <v>5.1</v>
      </c>
      <c r="AZ1464" s="2">
        <v>5.1</v>
      </c>
      <c r="BA1464" s="2">
        <v>5.14</v>
      </c>
      <c r="BB1464" s="2">
        <v>5.18</v>
      </c>
      <c r="BC1464" s="2">
        <v>5.22</v>
      </c>
      <c r="BD1464" s="2">
        <v>5.3</v>
      </c>
      <c r="BE1464" s="2">
        <v>5.37</v>
      </c>
      <c r="BF1464" s="2">
        <v>5.41</v>
      </c>
      <c r="BG1464" s="2">
        <v>5.45</v>
      </c>
      <c r="BH1464" s="2">
        <v>5.49</v>
      </c>
      <c r="BI1464" s="2">
        <v>5.45</v>
      </c>
      <c r="BJ1464" s="2">
        <v>5.45</v>
      </c>
      <c r="BK1464" s="2">
        <v>5.45</v>
      </c>
      <c r="BL1464" s="2">
        <v>5.45</v>
      </c>
      <c r="BM1464" s="2">
        <v>5.45</v>
      </c>
      <c r="BN1464" s="2">
        <v>5.45</v>
      </c>
      <c r="BO1464" s="2">
        <v>5.45</v>
      </c>
      <c r="BP1464" s="2">
        <v>5.45</v>
      </c>
      <c r="BQ1464" s="2">
        <v>5.49</v>
      </c>
      <c r="BR1464" s="2">
        <v>5.49</v>
      </c>
      <c r="BS1464" s="2">
        <v>5.53</v>
      </c>
      <c r="BT1464" s="2">
        <v>5.57</v>
      </c>
      <c r="BU1464" s="2">
        <v>5.64</v>
      </c>
      <c r="BV1464" s="2">
        <v>5.68</v>
      </c>
      <c r="BW1464" s="2">
        <v>5.72</v>
      </c>
      <c r="BX1464" s="2">
        <v>5.8</v>
      </c>
      <c r="BY1464" s="2">
        <v>5.84</v>
      </c>
      <c r="BZ1464" s="2">
        <v>5.91</v>
      </c>
      <c r="CA1464" s="2">
        <v>5.95</v>
      </c>
      <c r="CB1464" s="2">
        <v>5.99</v>
      </c>
      <c r="CC1464" s="2">
        <v>5.99</v>
      </c>
      <c r="CD1464" s="2">
        <v>6.07</v>
      </c>
      <c r="CE1464" s="2">
        <v>6.11</v>
      </c>
      <c r="CF1464" s="2">
        <v>6.15</v>
      </c>
      <c r="CG1464" s="2">
        <v>6.26</v>
      </c>
      <c r="CH1464" s="2">
        <v>6.26</v>
      </c>
      <c r="CI1464" s="2">
        <v>6.3</v>
      </c>
      <c r="CJ1464" s="2">
        <v>6.34</v>
      </c>
      <c r="CK1464" s="2">
        <v>6.38</v>
      </c>
      <c r="CL1464" s="2">
        <v>6.42</v>
      </c>
      <c r="CM1464" s="2">
        <v>6.49</v>
      </c>
      <c r="CN1464" s="2">
        <v>6.53</v>
      </c>
      <c r="CO1464" s="2">
        <v>6.57</v>
      </c>
      <c r="CP1464" s="2">
        <v>6.61</v>
      </c>
      <c r="CQ1464" s="2">
        <v>6.69</v>
      </c>
      <c r="CR1464" s="2">
        <v>6.77</v>
      </c>
      <c r="CS1464" s="2">
        <v>6.8</v>
      </c>
      <c r="CT1464" s="2">
        <v>6.92</v>
      </c>
      <c r="CU1464" s="2">
        <v>7</v>
      </c>
      <c r="CV1464" s="2">
        <v>7.11</v>
      </c>
      <c r="CW1464" s="2">
        <v>7.27</v>
      </c>
      <c r="CX1464" s="2">
        <v>7.42</v>
      </c>
      <c r="CY1464" s="2">
        <v>7.5</v>
      </c>
      <c r="CZ1464" s="2">
        <v>7.58</v>
      </c>
      <c r="DA1464" s="2">
        <v>7.69</v>
      </c>
      <c r="DB1464" s="2">
        <v>7.77</v>
      </c>
      <c r="DC1464" s="2">
        <v>7.93</v>
      </c>
      <c r="DD1464" s="2">
        <v>8.199999999999999</v>
      </c>
      <c r="DE1464" s="2">
        <v>8.470000000000001</v>
      </c>
      <c r="DF1464" s="2">
        <v>8.779999999999999</v>
      </c>
      <c r="DG1464" s="2">
        <v>9.01</v>
      </c>
      <c r="DH1464" s="2">
        <v>9.390000000000001</v>
      </c>
      <c r="DI1464" s="2">
        <v>9.859999999999999</v>
      </c>
      <c r="DJ1464" s="2">
        <v>10.21</v>
      </c>
      <c r="DK1464" s="2">
        <v>10.59</v>
      </c>
      <c r="DL1464" s="2">
        <v>10.98</v>
      </c>
      <c r="DM1464" s="2">
        <v>11.06</v>
      </c>
      <c r="DN1464" s="2">
        <v>11.68</v>
      </c>
      <c r="DO1464" s="2">
        <v>11.98</v>
      </c>
      <c r="DP1464" s="2">
        <v>12.29</v>
      </c>
      <c r="DQ1464" s="2">
        <v>12.6</v>
      </c>
      <c r="DR1464" s="2">
        <v>13.34</v>
      </c>
      <c r="DS1464" s="2">
        <v>13.65</v>
      </c>
      <c r="DT1464" s="2">
        <v>13.96</v>
      </c>
      <c r="DU1464" s="2">
        <v>14.23</v>
      </c>
      <c r="DV1464" s="2">
        <v>14.57</v>
      </c>
      <c r="DW1464" s="2">
        <v>14.77</v>
      </c>
      <c r="DX1464" s="2">
        <v>15.08</v>
      </c>
      <c r="DY1464" s="2">
        <v>15.35</v>
      </c>
      <c r="DZ1464" s="2">
        <v>15.7</v>
      </c>
      <c r="EA1464" s="2">
        <v>15.97</v>
      </c>
      <c r="EB1464" s="2">
        <v>16.39</v>
      </c>
      <c r="EC1464" s="2">
        <v>16.78</v>
      </c>
      <c r="ED1464" s="2">
        <v>17.28</v>
      </c>
      <c r="EE1464" s="2">
        <v>17.67</v>
      </c>
      <c r="EF1464" s="2">
        <v>18.17</v>
      </c>
      <c r="EG1464" s="2">
        <v>18.48</v>
      </c>
      <c r="EH1464" s="2">
        <v>18.87</v>
      </c>
      <c r="EI1464" s="2">
        <v>19.33</v>
      </c>
      <c r="EJ1464" s="2">
        <v>19.76</v>
      </c>
      <c r="EK1464" s="2">
        <v>20.14</v>
      </c>
      <c r="EL1464" s="2">
        <v>20.99</v>
      </c>
      <c r="EM1464" s="2">
        <v>21.38</v>
      </c>
      <c r="EN1464" s="2">
        <v>21.88</v>
      </c>
      <c r="EO1464" s="2">
        <v>22.65</v>
      </c>
      <c r="EP1464" s="2">
        <v>23.31</v>
      </c>
      <c r="EQ1464" s="2">
        <v>23.81</v>
      </c>
      <c r="ER1464" s="2">
        <v>24.32</v>
      </c>
      <c r="ES1464" s="2">
        <v>24.74</v>
      </c>
      <c r="ET1464" s="2">
        <v>25.32</v>
      </c>
      <c r="EU1464" s="2">
        <v>25.21</v>
      </c>
      <c r="EV1464" s="2">
        <v>25.28</v>
      </c>
      <c r="EW1464" s="2">
        <v>25.59</v>
      </c>
      <c r="EX1464" s="2">
        <v>25.98</v>
      </c>
      <c r="EY1464" s="2">
        <v>26.33</v>
      </c>
      <c r="EZ1464" s="2">
        <v>26.95</v>
      </c>
      <c r="FA1464" s="2">
        <v>27.56</v>
      </c>
      <c r="FB1464" s="2">
        <v>28.11</v>
      </c>
      <c r="FC1464" s="2">
        <v>28.76</v>
      </c>
      <c r="FD1464" s="2">
        <v>29.23</v>
      </c>
      <c r="FE1464" s="2">
        <v>30</v>
      </c>
      <c r="FF1464" s="2">
        <v>30.85</v>
      </c>
      <c r="FG1464" s="2">
        <v>31.47</v>
      </c>
      <c r="FH1464" s="2">
        <v>31.93</v>
      </c>
      <c r="FI1464" s="2">
        <v>32.47</v>
      </c>
      <c r="FJ1464" s="2">
        <v>33.05</v>
      </c>
      <c r="FK1464" s="2">
        <v>33.63</v>
      </c>
      <c r="FL1464" s="2">
        <v>34.21</v>
      </c>
      <c r="FM1464" s="2">
        <v>34.87</v>
      </c>
      <c r="FN1464" s="2">
        <v>35.57</v>
      </c>
      <c r="FO1464" s="2">
        <v>35.91</v>
      </c>
      <c r="FP1464" s="2">
        <v>36.8</v>
      </c>
      <c r="FQ1464" s="2">
        <v>37.65</v>
      </c>
      <c r="FR1464" s="2">
        <v>38.35</v>
      </c>
      <c r="FS1464" s="2">
        <v>39.01</v>
      </c>
      <c r="FT1464" s="2">
        <v>39.63</v>
      </c>
      <c r="FU1464" s="2">
        <v>39.94</v>
      </c>
      <c r="FV1464" s="2">
        <v>40.98</v>
      </c>
      <c r="FW1464" s="2">
        <v>40.9</v>
      </c>
      <c r="FX1464" s="2">
        <v>40.98</v>
      </c>
      <c r="FY1464" s="2">
        <v>41.21</v>
      </c>
      <c r="FZ1464" s="2">
        <v>41.6</v>
      </c>
      <c r="GA1464" s="2">
        <v>41.6</v>
      </c>
      <c r="GB1464" s="2">
        <v>41.48</v>
      </c>
      <c r="GC1464" s="2">
        <v>41.52</v>
      </c>
      <c r="GD1464" s="2">
        <v>41.71</v>
      </c>
      <c r="GE1464" s="2">
        <v>42.1</v>
      </c>
      <c r="GF1464" s="2">
        <v>42.25</v>
      </c>
      <c r="GG1464" s="2">
        <v>42.45</v>
      </c>
      <c r="GH1464" s="2">
        <v>42.53</v>
      </c>
      <c r="GI1464" s="2">
        <v>42.68</v>
      </c>
      <c r="GJ1464" s="2">
        <v>42.99</v>
      </c>
      <c r="GK1464" s="2">
        <v>43.26</v>
      </c>
      <c r="GL1464" s="2">
        <v>43.61</v>
      </c>
      <c r="GM1464" s="2">
        <v>44.34</v>
      </c>
      <c r="GN1464" s="2">
        <v>44.92</v>
      </c>
      <c r="GO1464" s="2">
        <v>45.46</v>
      </c>
      <c r="GP1464" s="2">
        <v>45.81</v>
      </c>
      <c r="GQ1464" s="2">
        <v>46</v>
      </c>
      <c r="GR1464" s="2">
        <v>46.31</v>
      </c>
      <c r="GS1464" s="2">
        <v>46.43</v>
      </c>
      <c r="GT1464" s="2">
        <v>46.51</v>
      </c>
      <c r="GU1464" s="2">
        <v>46.58</v>
      </c>
      <c r="GV1464" s="2">
        <v>46.47</v>
      </c>
      <c r="GW1464" s="2">
        <v>46.28</v>
      </c>
      <c r="GX1464" s="2">
        <v>46.39</v>
      </c>
      <c r="GY1464" s="2">
        <v>46.51</v>
      </c>
      <c r="GZ1464" s="2">
        <v>46.78</v>
      </c>
      <c r="HA1464" s="2">
        <v>46.91</v>
      </c>
      <c r="HB1464" s="2">
        <v>47.11</v>
      </c>
      <c r="HC1464" s="2">
        <v>47.08</v>
      </c>
      <c r="HD1464" s="2">
        <v>47.29</v>
      </c>
      <c r="HE1464" s="2">
        <v>47.72</v>
      </c>
      <c r="HF1464" s="2">
        <v>47.97</v>
      </c>
      <c r="HG1464" s="2">
        <v>48.4</v>
      </c>
      <c r="HH1464" s="2">
        <v>48.77</v>
      </c>
      <c r="HI1464" s="2">
        <v>50.59</v>
      </c>
      <c r="HJ1464" s="2">
        <v>50.76</v>
      </c>
      <c r="HK1464" s="2">
        <v>51.3</v>
      </c>
      <c r="HL1464" s="2">
        <v>51.73</v>
      </c>
      <c r="HM1464" s="2">
        <v>51.87</v>
      </c>
      <c r="HN1464" s="2">
        <v>52.35</v>
      </c>
      <c r="HO1464" s="2">
        <v>52.82</v>
      </c>
      <c r="HP1464" s="2">
        <v>53.2</v>
      </c>
      <c r="HQ1464" s="2">
        <v>53.56</v>
      </c>
      <c r="HR1464" s="2">
        <v>53.92</v>
      </c>
      <c r="HS1464" s="2">
        <v>54.62</v>
      </c>
      <c r="HT1464" s="2">
        <v>54.62</v>
      </c>
      <c r="HU1464" s="2">
        <v>54.93</v>
      </c>
      <c r="HV1464" s="2">
        <v>55.22</v>
      </c>
      <c r="HW1464" s="2">
        <v>55.71</v>
      </c>
      <c r="HX1464" s="2">
        <v>55.97</v>
      </c>
      <c r="HY1464" s="2">
        <v>56.2</v>
      </c>
      <c r="HZ1464" s="2">
        <v>56.63</v>
      </c>
      <c r="IA1464" s="2">
        <v>57.01</v>
      </c>
      <c r="IB1464" s="2">
        <v>57.35</v>
      </c>
      <c r="IC1464" s="2">
        <v>57.92</v>
      </c>
      <c r="ID1464" s="2">
        <v>58.22</v>
      </c>
      <c r="IE1464" s="2">
        <v>58.72</v>
      </c>
      <c r="IF1464" s="2">
        <v>59.65</v>
      </c>
      <c r="IG1464" s="2">
        <v>60.18</v>
      </c>
      <c r="IH1464" s="2">
        <v>60.11</v>
      </c>
      <c r="II1464" s="2">
        <v>60.16</v>
      </c>
      <c r="IJ1464" s="2">
        <v>60.9</v>
      </c>
      <c r="IK1464" s="2">
        <v>61.32</v>
      </c>
      <c r="IL1464" s="2">
        <v>61.89</v>
      </c>
      <c r="IM1464" s="2">
        <v>62.72</v>
      </c>
      <c r="IN1464" s="2">
        <v>63.63</v>
      </c>
      <c r="IO1464" s="2">
        <v>64.37</v>
      </c>
      <c r="IP1464" s="2">
        <v>64.16</v>
      </c>
      <c r="IQ1464" s="2">
        <v>64.23</v>
      </c>
      <c r="IR1464" s="2">
        <v>64.55</v>
      </c>
      <c r="IS1464" s="2">
        <v>65.16</v>
      </c>
      <c r="IT1464" s="2">
        <v>65.51000000000001</v>
      </c>
      <c r="IU1464" s="2">
        <v>66.12</v>
      </c>
      <c r="IV1464" s="2">
        <v>66.52</v>
      </c>
      <c r="IW1464" s="2">
        <v>67</v>
      </c>
      <c r="IX1464" s="2">
        <v>67.26000000000001</v>
      </c>
      <c r="IY1464" s="2">
        <v>68.3</v>
      </c>
      <c r="IZ1464" s="2">
        <v>68.93000000000001</v>
      </c>
      <c r="JA1464" s="2">
        <v>69.34</v>
      </c>
      <c r="JB1464" s="2">
        <v>69.34</v>
      </c>
      <c r="JC1464" s="2">
        <v>69.38</v>
      </c>
      <c r="JD1464" s="2">
        <v>69.73999999999999</v>
      </c>
      <c r="JE1464" s="2">
        <v>70.69</v>
      </c>
      <c r="JF1464" s="2">
        <v>70.87</v>
      </c>
      <c r="JG1464" s="2">
        <v>71.11</v>
      </c>
      <c r="JH1464" s="2">
        <v>71.38</v>
      </c>
      <c r="JI1464" s="2">
        <v>72.25</v>
      </c>
      <c r="JJ1464" s="2">
        <v>72.77</v>
      </c>
      <c r="JK1464" s="2">
        <v>73.2</v>
      </c>
      <c r="JL1464" s="2">
        <v>73.56999999999999</v>
      </c>
      <c r="JM1464" s="2">
        <v>73.88</v>
      </c>
      <c r="JN1464" s="2">
        <v>74.02</v>
      </c>
      <c r="JO1464" s="2">
        <v>74.16</v>
      </c>
      <c r="JP1464" s="2">
        <v>74.69</v>
      </c>
      <c r="JQ1464" s="2">
        <v>74.98</v>
      </c>
      <c r="JR1464" s="2">
        <v>75.27</v>
      </c>
      <c r="JS1464" s="2">
        <v>75.12</v>
      </c>
      <c r="JT1464" s="2">
        <v>75.45</v>
      </c>
      <c r="JU1464" s="2">
        <v>75.98</v>
      </c>
      <c r="JV1464" s="2">
        <v>76.38</v>
      </c>
      <c r="KA1464" s="2">
        <v>76.73</v>
      </c>
      <c r="KB1464" s="2">
        <v>76.88</v>
      </c>
      <c r="KC1464" s="2">
        <v>77.34999999999999</v>
      </c>
      <c r="KD1464" s="2">
        <v>77.87</v>
      </c>
      <c r="KQ1464" s="2">
        <v>78.20999999999999</v>
      </c>
      <c r="KR1464" s="2">
        <v>78.48999999999999</v>
      </c>
      <c r="KS1464" s="2">
        <v>78.83</v>
      </c>
      <c r="KT1464" s="2">
        <v>79.23999999999999</v>
      </c>
      <c r="LG1464" s="2">
        <v>79.23</v>
      </c>
      <c r="LH1464" s="2">
        <v>79.7</v>
      </c>
      <c r="LI1464" s="2">
        <v>80.15000000000001</v>
      </c>
      <c r="LJ1464" s="2">
        <v>80.7</v>
      </c>
      <c r="LW1464" s="2">
        <v>81</v>
      </c>
      <c r="LX1464" s="2">
        <v>79.44</v>
      </c>
      <c r="LY1464" s="2">
        <v>80.67</v>
      </c>
      <c r="LZ1464" s="2">
        <v>81.40000000000001</v>
      </c>
      <c r="MM1464" s="2">
        <v>81.87</v>
      </c>
      <c r="MN1464" s="2">
        <v>82.47</v>
      </c>
      <c r="MO1464" s="2">
        <v>83.17</v>
      </c>
      <c r="MP1464" s="2">
        <v>84.23</v>
      </c>
      <c r="NC1464" s="2">
        <v>86.05</v>
      </c>
      <c r="ND1464" s="2">
        <v>87.59</v>
      </c>
      <c r="NE1464" s="2">
        <v>89.2</v>
      </c>
      <c r="NF1464" s="2">
        <v>90.84999999999999</v>
      </c>
      <c r="NS1464" s="2">
        <v>92.08</v>
      </c>
      <c r="NT1464" s="2">
        <v>92.87</v>
      </c>
      <c r="NU1464" s="2">
        <v>93.94</v>
      </c>
      <c r="NV1464" s="2">
        <v>94.53</v>
      </c>
      <c r="OI1464" s="2">
        <v>95.41</v>
      </c>
      <c r="OJ1464" s="2">
        <v>96.41</v>
      </c>
      <c r="OK1464" s="2">
        <v>96.62</v>
      </c>
      <c r="OL1464" s="2">
        <v>96.81</v>
      </c>
      <c r="OY1464" s="2">
        <v>97.7</v>
      </c>
      <c r="OZ1464" s="2">
        <v>98.43000000000001</v>
      </c>
      <c r="PA1464" s="2">
        <v>99.73</v>
      </c>
      <c r="PB1464" s="2">
        <v>100.32</v>
      </c>
      <c r="PJ1464" s="2">
        <v>101.7</v>
      </c>
      <c r="PK1464" s="2">
        <v>102.31</v>
      </c>
    </row>
    <row r="1465">
      <c r="A1465" t="inlineStr">
        <is>
          <t>A2325891R</t>
        </is>
      </c>
      <c r="B1465" t="inlineStr">
        <is>
          <t>Index Numbers ;  Food and non-alcoholic beverages ;  Australia ;</t>
        </is>
      </c>
      <c r="C1465" t="inlineStr">
        <is>
          <t>Quarter</t>
        </is>
      </c>
      <c r="D1465" t="inlineStr">
        <is>
          <t>Index Numbers</t>
        </is>
      </c>
      <c r="E1465" t="inlineStr">
        <is>
          <t>Original</t>
        </is>
      </c>
      <c r="F1465" t="inlineStr">
        <is>
          <t>6401018.xlsx</t>
        </is>
      </c>
      <c r="G1465" t="inlineStr">
        <is>
          <t>1972Q3</t>
        </is>
      </c>
      <c r="H1465" t="inlineStr">
        <is>
          <t>2026Q2</t>
        </is>
      </c>
      <c r="DA1465" s="2">
        <v>7.24</v>
      </c>
      <c r="DB1465" s="2">
        <v>7.35</v>
      </c>
      <c r="DC1465" s="2">
        <v>7.68</v>
      </c>
      <c r="DD1465" s="2">
        <v>8.08</v>
      </c>
      <c r="DE1465" s="2">
        <v>8.56</v>
      </c>
      <c r="DF1465" s="2">
        <v>8.880000000000001</v>
      </c>
      <c r="DG1465" s="2">
        <v>9.17</v>
      </c>
      <c r="DH1465" s="2">
        <v>9.539999999999999</v>
      </c>
      <c r="DI1465" s="2">
        <v>9.76</v>
      </c>
      <c r="DJ1465" s="2">
        <v>9.76</v>
      </c>
      <c r="DK1465" s="2">
        <v>9.869999999999999</v>
      </c>
      <c r="DL1465" s="2">
        <v>10.19</v>
      </c>
      <c r="DM1465" s="2">
        <v>10.34</v>
      </c>
      <c r="DN1465" s="2">
        <v>10.67</v>
      </c>
      <c r="DO1465" s="2">
        <v>11.21</v>
      </c>
      <c r="DP1465" s="2">
        <v>11.25</v>
      </c>
      <c r="DQ1465" s="2">
        <v>11.61</v>
      </c>
      <c r="DR1465" s="2">
        <v>12.05</v>
      </c>
      <c r="DS1465" s="2">
        <v>12.27</v>
      </c>
      <c r="DT1465" s="2">
        <v>12.63</v>
      </c>
      <c r="DU1465" s="2">
        <v>13.14</v>
      </c>
      <c r="DV1465" s="2">
        <v>13.4</v>
      </c>
      <c r="DW1465" s="2">
        <v>13.47</v>
      </c>
      <c r="DX1465" s="2">
        <v>13.87</v>
      </c>
      <c r="DY1465" s="2">
        <v>14.27</v>
      </c>
      <c r="DZ1465" s="2">
        <v>14.74</v>
      </c>
      <c r="EA1465" s="2">
        <v>15.18</v>
      </c>
      <c r="EB1465" s="2">
        <v>15.91</v>
      </c>
      <c r="EC1465" s="2">
        <v>16.38</v>
      </c>
      <c r="ED1465" s="2">
        <v>16.75</v>
      </c>
      <c r="EE1465" s="2">
        <v>17.44</v>
      </c>
      <c r="EF1465" s="2">
        <v>17.87</v>
      </c>
      <c r="EG1465" s="2">
        <v>18.24</v>
      </c>
      <c r="EH1465" s="2">
        <v>18.75</v>
      </c>
      <c r="EI1465" s="2">
        <v>19.15</v>
      </c>
      <c r="EJ1465" s="2">
        <v>19.4</v>
      </c>
      <c r="EK1465" s="2">
        <v>20.1</v>
      </c>
      <c r="EL1465" s="2">
        <v>20.42</v>
      </c>
      <c r="EM1465" s="2">
        <v>20.61</v>
      </c>
      <c r="EN1465" s="2">
        <v>20.9</v>
      </c>
      <c r="EO1465" s="2">
        <v>21.55</v>
      </c>
      <c r="EP1465" s="2">
        <v>22.06</v>
      </c>
      <c r="EQ1465" s="2">
        <v>22.46</v>
      </c>
      <c r="ER1465" s="2">
        <v>23.44</v>
      </c>
      <c r="ES1465" s="2">
        <v>23.74</v>
      </c>
      <c r="ET1465" s="2">
        <v>24.03</v>
      </c>
      <c r="EU1465" s="2">
        <v>24.39</v>
      </c>
      <c r="EV1465" s="2">
        <v>24.32</v>
      </c>
      <c r="EW1465" s="2">
        <v>24.86</v>
      </c>
      <c r="EX1465" s="2">
        <v>25.23</v>
      </c>
      <c r="EY1465" s="2">
        <v>25.48</v>
      </c>
      <c r="EZ1465" s="2">
        <v>25.96</v>
      </c>
      <c r="FA1465" s="2">
        <v>26.43</v>
      </c>
      <c r="FB1465" s="2">
        <v>27.05</v>
      </c>
      <c r="FC1465" s="2">
        <v>27.59</v>
      </c>
      <c r="FD1465" s="2">
        <v>28.21</v>
      </c>
      <c r="FE1465" s="2">
        <v>29.01</v>
      </c>
      <c r="FF1465" s="2">
        <v>29.45</v>
      </c>
      <c r="FG1465" s="2">
        <v>29.78</v>
      </c>
      <c r="FH1465" s="2">
        <v>29.82</v>
      </c>
      <c r="FI1465" s="2">
        <v>30.25</v>
      </c>
      <c r="FJ1465" s="2">
        <v>30.65</v>
      </c>
      <c r="FK1465" s="2">
        <v>31.16</v>
      </c>
      <c r="FL1465" s="2">
        <v>32.18</v>
      </c>
      <c r="FM1465" s="2">
        <v>33.09</v>
      </c>
      <c r="FN1465" s="2">
        <v>33.6</v>
      </c>
      <c r="FO1465" s="2">
        <v>34.11</v>
      </c>
      <c r="FP1465" s="2">
        <v>35.17</v>
      </c>
      <c r="FQ1465" s="2">
        <v>36.04</v>
      </c>
      <c r="FR1465" s="2">
        <v>36.15</v>
      </c>
      <c r="FS1465" s="2">
        <v>36.22</v>
      </c>
      <c r="FT1465" s="2">
        <v>37.21</v>
      </c>
      <c r="FU1465" s="2">
        <v>36.95</v>
      </c>
      <c r="FV1465" s="2">
        <v>37.32</v>
      </c>
      <c r="FW1465" s="2">
        <v>38.12</v>
      </c>
      <c r="FX1465" s="2">
        <v>37.97</v>
      </c>
      <c r="FY1465" s="2">
        <v>38.23</v>
      </c>
      <c r="FZ1465" s="2">
        <v>38.41</v>
      </c>
      <c r="GA1465" s="2">
        <v>38.63</v>
      </c>
      <c r="GB1465" s="2">
        <v>38.73</v>
      </c>
      <c r="GC1465" s="2">
        <v>38.59</v>
      </c>
      <c r="GD1465" s="2">
        <v>38.84</v>
      </c>
      <c r="GE1465" s="2">
        <v>39.68</v>
      </c>
      <c r="GF1465" s="2">
        <v>39.32</v>
      </c>
      <c r="GG1465" s="2">
        <v>39.61</v>
      </c>
      <c r="GH1465" s="2">
        <v>39.86</v>
      </c>
      <c r="GI1465" s="2">
        <v>39.97</v>
      </c>
      <c r="GJ1465" s="2">
        <v>39.86</v>
      </c>
      <c r="GK1465" s="2">
        <v>40.19</v>
      </c>
      <c r="GL1465" s="2">
        <v>40.37</v>
      </c>
      <c r="GM1465" s="2">
        <v>41.21</v>
      </c>
      <c r="GN1465" s="2">
        <v>41.39</v>
      </c>
      <c r="GO1465" s="2">
        <v>42.01</v>
      </c>
      <c r="GP1465" s="2">
        <v>42.12</v>
      </c>
      <c r="GQ1465" s="2">
        <v>42.19</v>
      </c>
      <c r="GR1465" s="2">
        <v>42.63</v>
      </c>
      <c r="GS1465" s="2">
        <v>43.07</v>
      </c>
      <c r="GT1465" s="2">
        <v>43.47</v>
      </c>
      <c r="GU1465" s="2">
        <v>43.76</v>
      </c>
      <c r="GV1465" s="2">
        <v>43.98</v>
      </c>
      <c r="GW1465" s="2">
        <v>43.98</v>
      </c>
      <c r="GX1465" s="2">
        <v>44.09</v>
      </c>
      <c r="GY1465" s="2">
        <v>44.45</v>
      </c>
      <c r="GZ1465" s="2">
        <v>44.81</v>
      </c>
      <c r="HA1465" s="2">
        <v>45.4</v>
      </c>
      <c r="HB1465" s="2">
        <v>45.87</v>
      </c>
      <c r="HC1465" s="2">
        <v>46.42</v>
      </c>
      <c r="HD1465" s="2">
        <v>46.52</v>
      </c>
      <c r="HE1465" s="2">
        <v>46.76</v>
      </c>
      <c r="HF1465" s="2">
        <v>46.91</v>
      </c>
      <c r="HG1465" s="2">
        <v>47</v>
      </c>
      <c r="HH1465" s="2">
        <v>47.4</v>
      </c>
      <c r="HI1465" s="2">
        <v>48.22</v>
      </c>
      <c r="HJ1465" s="2">
        <v>48.56</v>
      </c>
      <c r="HK1465" s="2">
        <v>50.1</v>
      </c>
      <c r="HL1465" s="2">
        <v>50.55</v>
      </c>
      <c r="HM1465" s="2">
        <v>50.88</v>
      </c>
      <c r="HN1465" s="2">
        <v>52.22</v>
      </c>
      <c r="HO1465" s="2">
        <v>52.48</v>
      </c>
      <c r="HP1465" s="2">
        <v>52.23</v>
      </c>
      <c r="HQ1465" s="2">
        <v>52.78</v>
      </c>
      <c r="HR1465" s="2">
        <v>53.51</v>
      </c>
      <c r="HS1465" s="2">
        <v>54.53</v>
      </c>
      <c r="HT1465" s="2">
        <v>54.54</v>
      </c>
      <c r="HU1465" s="2">
        <v>54.37</v>
      </c>
      <c r="HV1465" s="2">
        <v>55.34</v>
      </c>
      <c r="HW1465" s="2">
        <v>56.33</v>
      </c>
      <c r="HX1465" s="2">
        <v>55.82</v>
      </c>
      <c r="HY1465" s="2">
        <v>55.49</v>
      </c>
      <c r="HZ1465" s="2">
        <v>56.28</v>
      </c>
      <c r="IA1465" s="2">
        <v>56.79</v>
      </c>
      <c r="IB1465" s="2">
        <v>56.85</v>
      </c>
      <c r="IC1465" s="2">
        <v>57.29</v>
      </c>
      <c r="ID1465" s="2">
        <v>58.31</v>
      </c>
      <c r="IE1465" s="2">
        <v>59.16</v>
      </c>
      <c r="IF1465" s="2">
        <v>61.58</v>
      </c>
      <c r="IG1465" s="2">
        <v>62.99</v>
      </c>
      <c r="IH1465" s="2">
        <v>63.3</v>
      </c>
      <c r="II1465" s="2">
        <v>61.84</v>
      </c>
      <c r="IJ1465" s="2">
        <v>62.91</v>
      </c>
      <c r="IK1465" s="2">
        <v>64.12</v>
      </c>
      <c r="IL1465" s="2">
        <v>64.02</v>
      </c>
      <c r="IM1465" s="2">
        <v>65.38</v>
      </c>
      <c r="IN1465" s="2">
        <v>65.34999999999999</v>
      </c>
      <c r="IO1465" s="2">
        <v>66.28</v>
      </c>
      <c r="IP1465" s="2">
        <v>67.64</v>
      </c>
      <c r="IQ1465" s="2">
        <v>69.14</v>
      </c>
      <c r="IR1465" s="2">
        <v>68.47</v>
      </c>
      <c r="IS1465" s="2">
        <v>67.93000000000001</v>
      </c>
      <c r="IT1465" s="2">
        <v>68.92</v>
      </c>
      <c r="IU1465" s="2">
        <v>69.66</v>
      </c>
      <c r="IV1465" s="2">
        <v>69.42</v>
      </c>
      <c r="IW1465" s="2">
        <v>69.09999999999999</v>
      </c>
      <c r="IX1465" s="2">
        <v>70.63</v>
      </c>
      <c r="IY1465" s="2">
        <v>72.67</v>
      </c>
      <c r="IZ1465" s="2">
        <v>73.7</v>
      </c>
      <c r="JA1465" s="2">
        <v>73.51000000000001</v>
      </c>
      <c r="JB1465" s="2">
        <v>72.42</v>
      </c>
      <c r="JC1465" s="2">
        <v>70.87</v>
      </c>
      <c r="JD1465" s="2">
        <v>71.33</v>
      </c>
      <c r="JE1465" s="2">
        <v>72.70999999999999</v>
      </c>
      <c r="JF1465" s="2">
        <v>72.59999999999999</v>
      </c>
      <c r="JG1465" s="2">
        <v>72.03</v>
      </c>
      <c r="JH1465" s="2">
        <v>72.09999999999999</v>
      </c>
      <c r="JI1465" s="2">
        <v>72.23999999999999</v>
      </c>
      <c r="JJ1465" s="2">
        <v>73.37</v>
      </c>
      <c r="JK1465" s="2">
        <v>73.58</v>
      </c>
      <c r="JL1465" s="2">
        <v>73.91</v>
      </c>
      <c r="JM1465" s="2">
        <v>74.76000000000001</v>
      </c>
      <c r="JN1465" s="2">
        <v>74.81999999999999</v>
      </c>
      <c r="JO1465" s="2">
        <v>74.98999999999999</v>
      </c>
      <c r="JP1465" s="2">
        <v>74.84</v>
      </c>
      <c r="JQ1465" s="2">
        <v>74.88</v>
      </c>
      <c r="JR1465" s="2">
        <v>75.09999999999999</v>
      </c>
      <c r="JS1465" s="2">
        <v>74.95</v>
      </c>
      <c r="JT1465" s="2">
        <v>74.77</v>
      </c>
      <c r="JU1465" s="2">
        <v>76.06999999999999</v>
      </c>
      <c r="JV1465" s="2">
        <v>76.5</v>
      </c>
      <c r="KA1465" s="2">
        <v>76.36</v>
      </c>
      <c r="KB1465" s="2">
        <v>76.23999999999999</v>
      </c>
      <c r="KC1465" s="2">
        <v>75.55</v>
      </c>
      <c r="KD1465" s="2">
        <v>76.38</v>
      </c>
      <c r="KQ1465" s="2">
        <v>76.70999999999999</v>
      </c>
      <c r="KR1465" s="2">
        <v>76.40000000000001</v>
      </c>
      <c r="KS1465" s="2">
        <v>76.79000000000001</v>
      </c>
      <c r="KT1465" s="2">
        <v>77.48</v>
      </c>
      <c r="LG1465" s="2">
        <v>78.54000000000001</v>
      </c>
      <c r="LH1465" s="2">
        <v>78.2</v>
      </c>
      <c r="LI1465" s="2">
        <v>78.48999999999999</v>
      </c>
      <c r="LJ1465" s="2">
        <v>79.51000000000001</v>
      </c>
      <c r="LW1465" s="2">
        <v>81.06999999999999</v>
      </c>
      <c r="LX1465" s="2">
        <v>81.5</v>
      </c>
      <c r="LY1465" s="2">
        <v>81.15000000000001</v>
      </c>
      <c r="LZ1465" s="2">
        <v>81.34</v>
      </c>
      <c r="MM1465" s="2">
        <v>81.64</v>
      </c>
      <c r="MN1465" s="2">
        <v>82.05</v>
      </c>
      <c r="MO1465" s="2">
        <v>82.3</v>
      </c>
      <c r="MP1465" s="2">
        <v>82.83</v>
      </c>
      <c r="NC1465" s="2">
        <v>85.12</v>
      </c>
      <c r="ND1465" s="2">
        <v>86.87</v>
      </c>
      <c r="NE1465" s="2">
        <v>89.7</v>
      </c>
      <c r="NF1465" s="2">
        <v>90.47</v>
      </c>
      <c r="NS1465" s="2">
        <v>91.90000000000001</v>
      </c>
      <c r="NT1465" s="2">
        <v>93.40000000000001</v>
      </c>
      <c r="NU1465" s="2">
        <v>94.01000000000001</v>
      </c>
      <c r="NV1465" s="2">
        <v>94.51000000000001</v>
      </c>
      <c r="OI1465" s="2">
        <v>95.37</v>
      </c>
      <c r="OJ1465" s="2">
        <v>96.48999999999999</v>
      </c>
      <c r="OK1465" s="2">
        <v>97.13</v>
      </c>
      <c r="OL1465" s="2">
        <v>97.29000000000001</v>
      </c>
      <c r="OY1465" s="2">
        <v>98.47</v>
      </c>
      <c r="OZ1465" s="2">
        <v>99.43000000000001</v>
      </c>
      <c r="PA1465" s="2">
        <v>100.14</v>
      </c>
      <c r="PB1465" s="2">
        <v>100.53</v>
      </c>
      <c r="PJ1465" s="2">
        <v>101.56</v>
      </c>
      <c r="PK1465" s="2">
        <v>102.58</v>
      </c>
    </row>
    <row r="1466">
      <c r="A1466" t="inlineStr">
        <is>
          <t>A2326206X</t>
        </is>
      </c>
      <c r="B1466" t="inlineStr">
        <is>
          <t>Index Numbers ;  Bread and cereal products ;  Australia ;</t>
        </is>
      </c>
      <c r="C1466" t="inlineStr">
        <is>
          <t>Quarter</t>
        </is>
      </c>
      <c r="D1466" t="inlineStr">
        <is>
          <t>Index Numbers</t>
        </is>
      </c>
      <c r="E1466" t="inlineStr">
        <is>
          <t>Original</t>
        </is>
      </c>
      <c r="F1466" t="inlineStr">
        <is>
          <t>6401018.xlsx</t>
        </is>
      </c>
      <c r="G1466" t="inlineStr">
        <is>
          <t>1972Q3</t>
        </is>
      </c>
      <c r="H1466" t="inlineStr">
        <is>
          <t>2026Q2</t>
        </is>
      </c>
      <c r="DA1466" s="2">
        <v>7.03</v>
      </c>
      <c r="DB1466" s="2">
        <v>7.03</v>
      </c>
      <c r="DC1466" s="2">
        <v>7.14</v>
      </c>
      <c r="DD1466" s="2">
        <v>7.29</v>
      </c>
      <c r="DE1466" s="2">
        <v>7.51</v>
      </c>
      <c r="DF1466" s="2">
        <v>7.66</v>
      </c>
      <c r="DG1466" s="2">
        <v>7.92</v>
      </c>
      <c r="DH1466" s="2">
        <v>8.25</v>
      </c>
      <c r="DI1466" s="2">
        <v>8.84</v>
      </c>
      <c r="DJ1466" s="2">
        <v>9.5</v>
      </c>
      <c r="DK1466" s="2">
        <v>9.98</v>
      </c>
      <c r="DL1466" s="2">
        <v>10.31</v>
      </c>
      <c r="DM1466" s="2">
        <v>10.64</v>
      </c>
      <c r="DN1466" s="2">
        <v>10.94</v>
      </c>
      <c r="DO1466" s="2">
        <v>11.42</v>
      </c>
      <c r="DP1466" s="2">
        <v>11.71</v>
      </c>
      <c r="DQ1466" s="2">
        <v>11.86</v>
      </c>
      <c r="DR1466" s="2">
        <v>12.08</v>
      </c>
      <c r="DS1466" s="2">
        <v>12.37</v>
      </c>
      <c r="DT1466" s="2">
        <v>12.56</v>
      </c>
      <c r="DU1466" s="2">
        <v>12.85</v>
      </c>
      <c r="DV1466" s="2">
        <v>13.15</v>
      </c>
      <c r="DW1466" s="2">
        <v>13.48</v>
      </c>
      <c r="DX1466" s="2">
        <v>13.66</v>
      </c>
      <c r="DY1466" s="2">
        <v>13.88</v>
      </c>
      <c r="DZ1466" s="2">
        <v>13.99</v>
      </c>
      <c r="EA1466" s="2">
        <v>14.33</v>
      </c>
      <c r="EB1466" s="2">
        <v>14.44</v>
      </c>
      <c r="EC1466" s="2">
        <v>14.8</v>
      </c>
      <c r="ED1466" s="2">
        <v>15.1</v>
      </c>
      <c r="EE1466" s="2">
        <v>15.61</v>
      </c>
      <c r="EF1466" s="2">
        <v>15.91</v>
      </c>
      <c r="EG1466" s="2">
        <v>16.5</v>
      </c>
      <c r="EH1466" s="2">
        <v>17.12</v>
      </c>
      <c r="EI1466" s="2">
        <v>17.6</v>
      </c>
      <c r="EJ1466" s="2">
        <v>18.01</v>
      </c>
      <c r="EK1466" s="2">
        <v>18.45</v>
      </c>
      <c r="EL1466" s="2">
        <v>19</v>
      </c>
      <c r="EM1466" s="2">
        <v>19.89</v>
      </c>
      <c r="EN1466" s="2">
        <v>20.51</v>
      </c>
      <c r="EO1466" s="2">
        <v>20.95</v>
      </c>
      <c r="EP1466" s="2">
        <v>21.4</v>
      </c>
      <c r="EQ1466" s="2">
        <v>22.13</v>
      </c>
      <c r="ER1466" s="2">
        <v>22.46</v>
      </c>
      <c r="ES1466" s="2">
        <v>22.83</v>
      </c>
      <c r="ET1466" s="2">
        <v>23.39</v>
      </c>
      <c r="EU1466" s="2">
        <v>24.01</v>
      </c>
      <c r="EV1466" s="2">
        <v>24.56</v>
      </c>
      <c r="EW1466" s="2">
        <v>24.97</v>
      </c>
      <c r="EX1466" s="2">
        <v>25.01</v>
      </c>
      <c r="EY1466" s="2">
        <v>25.34</v>
      </c>
      <c r="EZ1466" s="2">
        <v>26.04</v>
      </c>
      <c r="FA1466" s="2">
        <v>26.74</v>
      </c>
      <c r="FB1466" s="2">
        <v>28.06</v>
      </c>
      <c r="FC1466" s="2">
        <v>28.58</v>
      </c>
      <c r="FD1466" s="2">
        <v>29.06</v>
      </c>
      <c r="FE1466" s="2">
        <v>29.54</v>
      </c>
      <c r="FF1466" s="2">
        <v>29.65</v>
      </c>
      <c r="FG1466" s="2">
        <v>30.05</v>
      </c>
      <c r="FH1466" s="2">
        <v>30.53</v>
      </c>
      <c r="FI1466" s="2">
        <v>30.9</v>
      </c>
      <c r="FJ1466" s="2">
        <v>31.05</v>
      </c>
      <c r="FK1466" s="2">
        <v>31.71</v>
      </c>
      <c r="FL1466" s="2">
        <v>32.63</v>
      </c>
      <c r="FM1466" s="2">
        <v>33.18</v>
      </c>
      <c r="FN1466" s="2">
        <v>34.32</v>
      </c>
      <c r="FO1466" s="2">
        <v>34.73</v>
      </c>
      <c r="FP1466" s="2">
        <v>34.95</v>
      </c>
      <c r="FQ1466" s="2">
        <v>35.69</v>
      </c>
      <c r="FR1466" s="2">
        <v>36.35</v>
      </c>
      <c r="FS1466" s="2">
        <v>37.2</v>
      </c>
      <c r="FT1466" s="2">
        <v>38.04</v>
      </c>
      <c r="FU1466" s="2">
        <v>38.34</v>
      </c>
      <c r="FV1466" s="2">
        <v>39.26</v>
      </c>
      <c r="FW1466" s="2">
        <v>39.52</v>
      </c>
      <c r="FX1466" s="2">
        <v>40.07</v>
      </c>
      <c r="FY1466" s="2">
        <v>39.99</v>
      </c>
      <c r="FZ1466" s="2">
        <v>40.58</v>
      </c>
      <c r="GA1466" s="2">
        <v>40.84</v>
      </c>
      <c r="GB1466" s="2">
        <v>41.36</v>
      </c>
      <c r="GC1466" s="2">
        <v>41.54</v>
      </c>
      <c r="GD1466" s="2">
        <v>41.76</v>
      </c>
      <c r="GE1466" s="2">
        <v>42.28</v>
      </c>
      <c r="GF1466" s="2">
        <v>42.13</v>
      </c>
      <c r="GG1466" s="2">
        <v>42.43</v>
      </c>
      <c r="GH1466" s="2">
        <v>42.76</v>
      </c>
      <c r="GI1466" s="2">
        <v>42.79</v>
      </c>
      <c r="GJ1466" s="2">
        <v>42.83</v>
      </c>
      <c r="GK1466" s="2">
        <v>42.76</v>
      </c>
      <c r="GL1466" s="2">
        <v>43.09</v>
      </c>
      <c r="GM1466" s="2">
        <v>44.38</v>
      </c>
      <c r="GN1466" s="2">
        <v>45.19</v>
      </c>
      <c r="GO1466" s="2">
        <v>46.07</v>
      </c>
      <c r="GP1466" s="2">
        <v>46.66</v>
      </c>
      <c r="GQ1466" s="2">
        <v>46.62</v>
      </c>
      <c r="GR1466" s="2">
        <v>47.51</v>
      </c>
      <c r="GS1466" s="2">
        <v>48.39</v>
      </c>
      <c r="GT1466" s="2">
        <v>49.16</v>
      </c>
      <c r="GU1466" s="2">
        <v>49.39</v>
      </c>
      <c r="GV1466" s="2">
        <v>49.5</v>
      </c>
      <c r="GW1466" s="2">
        <v>49.72</v>
      </c>
      <c r="GX1466" s="2">
        <v>49.83</v>
      </c>
      <c r="GY1466" s="2">
        <v>50.01</v>
      </c>
      <c r="GZ1466" s="2">
        <v>50.42</v>
      </c>
      <c r="HA1466" s="2">
        <v>51.13</v>
      </c>
      <c r="HB1466" s="2">
        <v>50.82</v>
      </c>
      <c r="HC1466" s="2">
        <v>51.61</v>
      </c>
      <c r="HD1466" s="2">
        <v>51.98</v>
      </c>
      <c r="HE1466" s="2">
        <v>52.52</v>
      </c>
      <c r="HF1466" s="2">
        <v>52.66</v>
      </c>
      <c r="HG1466" s="2">
        <v>53.2</v>
      </c>
      <c r="HH1466" s="2">
        <v>53.15</v>
      </c>
      <c r="HI1466" s="2">
        <v>54.04</v>
      </c>
      <c r="HJ1466" s="2">
        <v>54.07</v>
      </c>
      <c r="HK1466" s="2">
        <v>55.25</v>
      </c>
      <c r="HL1466" s="2">
        <v>56.07</v>
      </c>
      <c r="HM1466" s="2">
        <v>56.85</v>
      </c>
      <c r="HN1466" s="2">
        <v>57.06</v>
      </c>
      <c r="HO1466" s="2">
        <v>57.91</v>
      </c>
      <c r="HP1466" s="2">
        <v>57.26</v>
      </c>
      <c r="HQ1466" s="2">
        <v>57.77</v>
      </c>
      <c r="HR1466" s="2">
        <v>59.03</v>
      </c>
      <c r="HS1466" s="2">
        <v>60.18</v>
      </c>
      <c r="HT1466" s="2">
        <v>61.01</v>
      </c>
      <c r="HU1466" s="2">
        <v>60.62</v>
      </c>
      <c r="HV1466" s="2">
        <v>60.16</v>
      </c>
      <c r="HW1466" s="2">
        <v>59.86</v>
      </c>
      <c r="HX1466" s="2">
        <v>60.07</v>
      </c>
      <c r="HY1466" s="2">
        <v>59.77</v>
      </c>
      <c r="HZ1466" s="2">
        <v>59.96</v>
      </c>
      <c r="IA1466" s="2">
        <v>60.06</v>
      </c>
      <c r="IB1466" s="2">
        <v>60.72</v>
      </c>
      <c r="IC1466" s="2">
        <v>61.28</v>
      </c>
      <c r="ID1466" s="2">
        <v>62.65</v>
      </c>
      <c r="IE1466" s="2">
        <v>63.14</v>
      </c>
      <c r="IF1466" s="2">
        <v>63.96</v>
      </c>
      <c r="IG1466" s="2">
        <v>64.47</v>
      </c>
      <c r="IH1466" s="2">
        <v>65.76000000000001</v>
      </c>
      <c r="II1466" s="2">
        <v>66.78</v>
      </c>
      <c r="IJ1466" s="2">
        <v>67.25</v>
      </c>
      <c r="IK1466" s="2">
        <v>67.90000000000001</v>
      </c>
      <c r="IL1466" s="2">
        <v>69.34999999999999</v>
      </c>
      <c r="IM1466" s="2">
        <v>72.06</v>
      </c>
      <c r="IN1466" s="2">
        <v>72.45</v>
      </c>
      <c r="IO1466" s="2">
        <v>74.65000000000001</v>
      </c>
      <c r="IP1466" s="2">
        <v>75.52</v>
      </c>
      <c r="IQ1466" s="2">
        <v>76.45</v>
      </c>
      <c r="IR1466" s="2">
        <v>75.87</v>
      </c>
      <c r="IS1466" s="2">
        <v>75.76000000000001</v>
      </c>
      <c r="IT1466" s="2">
        <v>76.58</v>
      </c>
      <c r="IU1466" s="2">
        <v>77.38</v>
      </c>
      <c r="IV1466" s="2">
        <v>76.73</v>
      </c>
      <c r="IW1466" s="2">
        <v>76.84</v>
      </c>
      <c r="IX1466" s="2">
        <v>77</v>
      </c>
      <c r="IY1466" s="2">
        <v>77.33</v>
      </c>
      <c r="IZ1466" s="2">
        <v>77.48</v>
      </c>
      <c r="JA1466" s="2">
        <v>77.17</v>
      </c>
      <c r="JB1466" s="2">
        <v>77.78</v>
      </c>
      <c r="JC1466" s="2">
        <v>78.02</v>
      </c>
      <c r="JD1466" s="2">
        <v>76.15000000000001</v>
      </c>
      <c r="JE1466" s="2">
        <v>77.13</v>
      </c>
      <c r="JF1466" s="2">
        <v>78.02</v>
      </c>
      <c r="JG1466" s="2">
        <v>77.83</v>
      </c>
      <c r="JH1466" s="2">
        <v>77.94</v>
      </c>
      <c r="JI1466" s="2">
        <v>78.78</v>
      </c>
      <c r="JJ1466" s="2">
        <v>79</v>
      </c>
      <c r="JK1466" s="2">
        <v>78.56999999999999</v>
      </c>
      <c r="JL1466" s="2">
        <v>79.08</v>
      </c>
      <c r="JM1466" s="2">
        <v>77.53</v>
      </c>
      <c r="JN1466" s="2">
        <v>78.16</v>
      </c>
      <c r="JO1466" s="2">
        <v>77.8</v>
      </c>
      <c r="JP1466" s="2">
        <v>77.26000000000001</v>
      </c>
      <c r="JQ1466" s="2">
        <v>76.68000000000001</v>
      </c>
      <c r="JR1466" s="2">
        <v>76.95999999999999</v>
      </c>
      <c r="JS1466" s="2">
        <v>76.23999999999999</v>
      </c>
      <c r="JT1466" s="2">
        <v>75.76000000000001</v>
      </c>
      <c r="JU1466" s="2">
        <v>75.73</v>
      </c>
      <c r="JV1466" s="2">
        <v>76.02</v>
      </c>
      <c r="KA1466" s="2">
        <v>75.93000000000001</v>
      </c>
      <c r="KB1466" s="2">
        <v>75.44</v>
      </c>
      <c r="KC1466" s="2">
        <v>74.78</v>
      </c>
      <c r="KD1466" s="2">
        <v>75.39</v>
      </c>
      <c r="KQ1466" s="2">
        <v>75.04000000000001</v>
      </c>
      <c r="KR1466" s="2">
        <v>74.79000000000001</v>
      </c>
      <c r="KS1466" s="2">
        <v>74.98999999999999</v>
      </c>
      <c r="KT1466" s="2">
        <v>75.79000000000001</v>
      </c>
      <c r="LG1466" s="2">
        <v>76.5</v>
      </c>
      <c r="LH1466" s="2">
        <v>76.66</v>
      </c>
      <c r="LI1466" s="2">
        <v>77.64</v>
      </c>
      <c r="LJ1466" s="2">
        <v>78.5</v>
      </c>
      <c r="LW1466" s="2">
        <v>79.42</v>
      </c>
      <c r="LX1466" s="2">
        <v>80.18000000000001</v>
      </c>
      <c r="LY1466" s="2">
        <v>78.67</v>
      </c>
      <c r="LZ1466" s="2">
        <v>79.27</v>
      </c>
      <c r="MM1466" s="2">
        <v>79.31999999999999</v>
      </c>
      <c r="MN1466" s="2">
        <v>79.23999999999999</v>
      </c>
      <c r="MO1466" s="2">
        <v>79.19</v>
      </c>
      <c r="MP1466" s="2">
        <v>80.20999999999999</v>
      </c>
      <c r="NC1466" s="2">
        <v>81.67</v>
      </c>
      <c r="ND1466" s="2">
        <v>84.27</v>
      </c>
      <c r="NE1466" s="2">
        <v>87.06999999999999</v>
      </c>
      <c r="NF1466" s="2">
        <v>90.01000000000001</v>
      </c>
      <c r="NS1466" s="2">
        <v>91.37</v>
      </c>
      <c r="NT1466" s="2">
        <v>93.95</v>
      </c>
      <c r="NU1466" s="2">
        <v>95.5</v>
      </c>
      <c r="NV1466" s="2">
        <v>97.34999999999999</v>
      </c>
      <c r="OI1466" s="2">
        <v>97.95</v>
      </c>
      <c r="OJ1466" s="2">
        <v>97.61</v>
      </c>
      <c r="OK1466" s="2">
        <v>98.22</v>
      </c>
      <c r="OL1466" s="2">
        <v>99.84999999999999</v>
      </c>
      <c r="OY1466" s="2">
        <v>100.51</v>
      </c>
      <c r="OZ1466" s="2">
        <v>99.8</v>
      </c>
      <c r="PA1466" s="2">
        <v>100.17</v>
      </c>
      <c r="PB1466" s="2">
        <v>100.94</v>
      </c>
      <c r="PJ1466" s="2">
        <v>101.36</v>
      </c>
      <c r="PK1466" s="2">
        <v>101.32</v>
      </c>
    </row>
    <row r="1467">
      <c r="A1467" t="inlineStr">
        <is>
          <t>A2327061R</t>
        </is>
      </c>
      <c r="B1467" t="inlineStr">
        <is>
          <t>Index Numbers ;  Bread ;  Australia ;</t>
        </is>
      </c>
      <c r="C1467" t="inlineStr">
        <is>
          <t>Quarter</t>
        </is>
      </c>
      <c r="D1467" t="inlineStr">
        <is>
          <t>Index Numbers</t>
        </is>
      </c>
      <c r="E1467" t="inlineStr">
        <is>
          <t>Original</t>
        </is>
      </c>
      <c r="F1467" t="inlineStr">
        <is>
          <t>6401018.xlsx</t>
        </is>
      </c>
      <c r="G1467" t="inlineStr">
        <is>
          <t>1980Q3</t>
        </is>
      </c>
      <c r="H1467" t="inlineStr">
        <is>
          <t>2026Q2</t>
        </is>
      </c>
      <c r="EG1467" s="2">
        <v>14.52</v>
      </c>
      <c r="EH1467" s="2">
        <v>15.15</v>
      </c>
      <c r="EI1467" s="2">
        <v>15.69</v>
      </c>
      <c r="EJ1467" s="2">
        <v>15.94</v>
      </c>
      <c r="EK1467" s="2">
        <v>16.31</v>
      </c>
      <c r="EL1467" s="2">
        <v>16.81</v>
      </c>
      <c r="EM1467" s="2">
        <v>17.63</v>
      </c>
      <c r="EN1467" s="2">
        <v>17.98</v>
      </c>
      <c r="EO1467" s="2">
        <v>18.23</v>
      </c>
      <c r="EP1467" s="2">
        <v>18.45</v>
      </c>
      <c r="EQ1467" s="2">
        <v>19.2</v>
      </c>
      <c r="ER1467" s="2">
        <v>19.32</v>
      </c>
      <c r="ES1467" s="2">
        <v>19.58</v>
      </c>
      <c r="ET1467" s="2">
        <v>20.14</v>
      </c>
      <c r="EU1467" s="2">
        <v>20.92</v>
      </c>
      <c r="EV1467" s="2">
        <v>21.39</v>
      </c>
      <c r="EW1467" s="2">
        <v>21.65</v>
      </c>
      <c r="EX1467" s="2">
        <v>21.46</v>
      </c>
      <c r="EY1467" s="2">
        <v>21.68</v>
      </c>
      <c r="EZ1467" s="2">
        <v>22.65</v>
      </c>
      <c r="FA1467" s="2">
        <v>23.28</v>
      </c>
      <c r="FB1467" s="2">
        <v>23.65</v>
      </c>
      <c r="FC1467" s="2">
        <v>24</v>
      </c>
      <c r="FD1467" s="2">
        <v>24.38</v>
      </c>
      <c r="FE1467" s="2">
        <v>24.81</v>
      </c>
      <c r="FF1467" s="2">
        <v>24.94</v>
      </c>
      <c r="FG1467" s="2">
        <v>25.54</v>
      </c>
      <c r="FH1467" s="2">
        <v>25.97</v>
      </c>
      <c r="FI1467" s="2">
        <v>25.85</v>
      </c>
      <c r="FJ1467" s="2">
        <v>26.04</v>
      </c>
      <c r="FK1467" s="2">
        <v>26.51</v>
      </c>
      <c r="FL1467" s="2">
        <v>27.2</v>
      </c>
      <c r="FM1467" s="2">
        <v>27.64</v>
      </c>
      <c r="FN1467" s="2">
        <v>28.67</v>
      </c>
      <c r="FO1467" s="2">
        <v>29.33</v>
      </c>
      <c r="FP1467" s="2">
        <v>29.58</v>
      </c>
      <c r="FQ1467" s="2">
        <v>30.4</v>
      </c>
      <c r="FR1467" s="2">
        <v>31.15</v>
      </c>
      <c r="FS1467" s="2">
        <v>31.75</v>
      </c>
      <c r="FT1467" s="2">
        <v>32.22</v>
      </c>
      <c r="FU1467" s="2">
        <v>32.5</v>
      </c>
      <c r="FV1467" s="2">
        <v>32.94</v>
      </c>
      <c r="FW1467" s="2">
        <v>33.25</v>
      </c>
      <c r="FX1467" s="2">
        <v>33.72</v>
      </c>
      <c r="FY1467" s="2">
        <v>33.63</v>
      </c>
      <c r="FZ1467" s="2">
        <v>34.35</v>
      </c>
      <c r="GA1467" s="2">
        <v>34.79</v>
      </c>
      <c r="GB1467" s="2">
        <v>35.42</v>
      </c>
      <c r="GC1467" s="2">
        <v>35.73</v>
      </c>
      <c r="GD1467" s="2">
        <v>36.08</v>
      </c>
      <c r="GE1467" s="2">
        <v>36.74</v>
      </c>
      <c r="GF1467" s="2">
        <v>36.55</v>
      </c>
      <c r="GG1467" s="2">
        <v>36.64</v>
      </c>
      <c r="GH1467" s="2">
        <v>36.67</v>
      </c>
      <c r="GI1467" s="2">
        <v>36.48</v>
      </c>
      <c r="GJ1467" s="2">
        <v>36.74</v>
      </c>
      <c r="GK1467" s="2">
        <v>37.11</v>
      </c>
      <c r="GL1467" s="2">
        <v>38.18</v>
      </c>
      <c r="GM1467" s="2">
        <v>39.62</v>
      </c>
      <c r="GN1467" s="2">
        <v>40.69</v>
      </c>
      <c r="GO1467" s="2">
        <v>41.13</v>
      </c>
      <c r="GP1467" s="2">
        <v>41.63</v>
      </c>
      <c r="GQ1467" s="2">
        <v>41.82</v>
      </c>
      <c r="GR1467" s="2">
        <v>43.2</v>
      </c>
      <c r="GS1467" s="2">
        <v>44.73</v>
      </c>
      <c r="GT1467" s="2">
        <v>45.8</v>
      </c>
      <c r="GU1467" s="2">
        <v>45.96</v>
      </c>
      <c r="GV1467" s="2">
        <v>45.93</v>
      </c>
      <c r="GW1467" s="2">
        <v>46.77</v>
      </c>
      <c r="GX1467" s="2">
        <v>46.55</v>
      </c>
      <c r="GY1467" s="2">
        <v>47.09</v>
      </c>
      <c r="GZ1467" s="2">
        <v>47.37</v>
      </c>
      <c r="HA1467" s="2">
        <v>48.97</v>
      </c>
      <c r="HB1467" s="2">
        <v>48.8</v>
      </c>
      <c r="HC1467" s="2">
        <v>50.2</v>
      </c>
      <c r="HD1467" s="2">
        <v>51.11</v>
      </c>
      <c r="HE1467" s="2">
        <v>51.54</v>
      </c>
      <c r="HF1467" s="2">
        <v>51.92</v>
      </c>
      <c r="HG1467" s="2">
        <v>52.69</v>
      </c>
      <c r="HH1467" s="2">
        <v>53.04</v>
      </c>
      <c r="HI1467" s="2">
        <v>52.87</v>
      </c>
      <c r="HJ1467" s="2">
        <v>53.59</v>
      </c>
      <c r="HK1467" s="2">
        <v>55.1</v>
      </c>
      <c r="HL1467" s="2">
        <v>55.69</v>
      </c>
      <c r="HM1467" s="2">
        <v>57.01</v>
      </c>
      <c r="HN1467" s="2">
        <v>56.7</v>
      </c>
      <c r="HO1467" s="2">
        <v>56.95</v>
      </c>
      <c r="HP1467" s="2">
        <v>56.41</v>
      </c>
      <c r="HQ1467" s="2">
        <v>56.6</v>
      </c>
      <c r="HR1467" s="2">
        <v>57.46</v>
      </c>
      <c r="HS1467" s="2">
        <v>58.6</v>
      </c>
      <c r="HT1467" s="2">
        <v>59.51</v>
      </c>
      <c r="HU1467" s="2">
        <v>59.44</v>
      </c>
      <c r="HV1467" s="2">
        <v>57.49</v>
      </c>
      <c r="HW1467" s="2">
        <v>57.12</v>
      </c>
      <c r="HX1467" s="2">
        <v>56.86</v>
      </c>
      <c r="HY1467" s="2">
        <v>57.14</v>
      </c>
      <c r="HZ1467" s="2">
        <v>57.12</v>
      </c>
      <c r="IA1467" s="2">
        <v>57.03</v>
      </c>
      <c r="IB1467" s="2">
        <v>57.63</v>
      </c>
      <c r="IC1467" s="2">
        <v>58.55</v>
      </c>
      <c r="ID1467" s="2">
        <v>60.63</v>
      </c>
      <c r="IE1467" s="2">
        <v>61.58</v>
      </c>
      <c r="IF1467" s="2">
        <v>62.16</v>
      </c>
      <c r="IG1467" s="2">
        <v>63.22</v>
      </c>
      <c r="IH1467" s="2">
        <v>64.36</v>
      </c>
      <c r="II1467" s="2">
        <v>66.84999999999999</v>
      </c>
      <c r="IJ1467" s="2">
        <v>67.65000000000001</v>
      </c>
      <c r="IK1467" s="2">
        <v>68.20999999999999</v>
      </c>
      <c r="IL1467" s="2">
        <v>70.06</v>
      </c>
      <c r="IM1467" s="2">
        <v>72.84</v>
      </c>
      <c r="IN1467" s="2">
        <v>72.23</v>
      </c>
      <c r="IO1467" s="2">
        <v>75.62</v>
      </c>
      <c r="IP1467" s="2">
        <v>75.8</v>
      </c>
      <c r="IQ1467" s="2">
        <v>76.84</v>
      </c>
      <c r="IR1467" s="2">
        <v>76.45999999999999</v>
      </c>
      <c r="IS1467" s="2">
        <v>77.26000000000001</v>
      </c>
      <c r="IT1467" s="2">
        <v>77.92</v>
      </c>
      <c r="IU1467" s="2">
        <v>78.25</v>
      </c>
      <c r="IV1467" s="2">
        <v>78.31999999999999</v>
      </c>
      <c r="IW1467" s="2">
        <v>77.7</v>
      </c>
      <c r="IX1467" s="2">
        <v>78.2</v>
      </c>
      <c r="IY1467" s="2">
        <v>77.61</v>
      </c>
      <c r="IZ1467" s="2">
        <v>77.14</v>
      </c>
      <c r="JA1467" s="2">
        <v>76.18000000000001</v>
      </c>
      <c r="JB1467" s="2">
        <v>76.42</v>
      </c>
      <c r="JC1467" s="2">
        <v>77.65000000000001</v>
      </c>
      <c r="JD1467" s="2">
        <v>75.25</v>
      </c>
      <c r="JE1467" s="2">
        <v>77.42</v>
      </c>
      <c r="JF1467" s="2">
        <v>77.17</v>
      </c>
      <c r="JG1467" s="2">
        <v>76.93000000000001</v>
      </c>
      <c r="JH1467" s="2">
        <v>78.15000000000001</v>
      </c>
      <c r="JI1467" s="2">
        <v>77.93000000000001</v>
      </c>
      <c r="JJ1467" s="2">
        <v>79.23999999999999</v>
      </c>
      <c r="JK1467" s="2">
        <v>78.78</v>
      </c>
      <c r="JL1467" s="2">
        <v>79.42</v>
      </c>
      <c r="JM1467" s="2">
        <v>77.04000000000001</v>
      </c>
      <c r="JN1467" s="2">
        <v>76.59999999999999</v>
      </c>
      <c r="JO1467" s="2">
        <v>74.16</v>
      </c>
      <c r="JP1467" s="2">
        <v>73.39</v>
      </c>
      <c r="JQ1467" s="2">
        <v>72.69</v>
      </c>
      <c r="JR1467" s="2">
        <v>73.33</v>
      </c>
      <c r="JS1467" s="2">
        <v>73.31999999999999</v>
      </c>
      <c r="JT1467" s="2">
        <v>73.7</v>
      </c>
      <c r="JU1467" s="2">
        <v>73.39</v>
      </c>
      <c r="JV1467" s="2">
        <v>73</v>
      </c>
      <c r="KA1467" s="2">
        <v>72.84999999999999</v>
      </c>
      <c r="KB1467" s="2">
        <v>72.84999999999999</v>
      </c>
      <c r="KC1467" s="2">
        <v>72.55</v>
      </c>
      <c r="KD1467" s="2">
        <v>73.41</v>
      </c>
      <c r="KQ1467" s="2">
        <v>73.33</v>
      </c>
      <c r="KR1467" s="2">
        <v>73.39</v>
      </c>
      <c r="KS1467" s="2">
        <v>74.34</v>
      </c>
      <c r="KT1467" s="2">
        <v>74.75</v>
      </c>
      <c r="LG1467" s="2">
        <v>76.13</v>
      </c>
      <c r="LH1467" s="2">
        <v>76.92</v>
      </c>
      <c r="LI1467" s="2">
        <v>76.95999999999999</v>
      </c>
      <c r="LJ1467" s="2">
        <v>77.03</v>
      </c>
      <c r="LW1467" s="2">
        <v>77.89</v>
      </c>
      <c r="LX1467" s="2">
        <v>77.76000000000001</v>
      </c>
      <c r="LY1467" s="2">
        <v>77.40000000000001</v>
      </c>
      <c r="LZ1467" s="2">
        <v>78.20999999999999</v>
      </c>
      <c r="MM1467" s="2">
        <v>78.20999999999999</v>
      </c>
      <c r="MN1467" s="2">
        <v>78.12</v>
      </c>
      <c r="MO1467" s="2">
        <v>78.02</v>
      </c>
      <c r="MP1467" s="2">
        <v>78.61</v>
      </c>
      <c r="NC1467" s="2">
        <v>80.26000000000001</v>
      </c>
      <c r="ND1467" s="2">
        <v>83.81999999999999</v>
      </c>
      <c r="NE1467" s="2">
        <v>86.23</v>
      </c>
      <c r="NF1467" s="2">
        <v>89.13</v>
      </c>
      <c r="NS1467" s="2">
        <v>90.84999999999999</v>
      </c>
      <c r="NT1467" s="2">
        <v>95.56</v>
      </c>
      <c r="NU1467" s="2">
        <v>97.06999999999999</v>
      </c>
      <c r="NV1467" s="2">
        <v>97.67</v>
      </c>
      <c r="OI1467" s="2">
        <v>98.41</v>
      </c>
      <c r="OJ1467" s="2">
        <v>98.54000000000001</v>
      </c>
      <c r="OK1467" s="2">
        <v>98.54000000000001</v>
      </c>
      <c r="OL1467" s="2">
        <v>100.18</v>
      </c>
      <c r="OY1467" s="2">
        <v>101.09</v>
      </c>
      <c r="OZ1467" s="2">
        <v>100.41</v>
      </c>
      <c r="PA1467" s="2">
        <v>100.08</v>
      </c>
      <c r="PB1467" s="2">
        <v>100.88</v>
      </c>
      <c r="PJ1467" s="2">
        <v>101.79</v>
      </c>
      <c r="PK1467" s="2">
        <v>102.39</v>
      </c>
    </row>
    <row r="1468">
      <c r="A1468" t="inlineStr">
        <is>
          <t>A2327106J</t>
        </is>
      </c>
      <c r="B1468" t="inlineStr">
        <is>
          <t>Index Numbers ;  Cakes and biscuits ;  Australia ;</t>
        </is>
      </c>
      <c r="C1468" t="inlineStr">
        <is>
          <t>Quarter</t>
        </is>
      </c>
      <c r="D1468" t="inlineStr">
        <is>
          <t>Index Numbers</t>
        </is>
      </c>
      <c r="E1468" t="inlineStr">
        <is>
          <t>Original</t>
        </is>
      </c>
      <c r="F1468" t="inlineStr">
        <is>
          <t>6401018.xlsx</t>
        </is>
      </c>
      <c r="G1468" t="inlineStr">
        <is>
          <t>1980Q3</t>
        </is>
      </c>
      <c r="H1468" t="inlineStr">
        <is>
          <t>2026Q2</t>
        </is>
      </c>
      <c r="EG1468" s="2">
        <v>16.73</v>
      </c>
      <c r="EH1468" s="2">
        <v>17.34</v>
      </c>
      <c r="EI1468" s="2">
        <v>17.72</v>
      </c>
      <c r="EJ1468" s="2">
        <v>18.18</v>
      </c>
      <c r="EK1468" s="2">
        <v>18.6</v>
      </c>
      <c r="EL1468" s="2">
        <v>19.17</v>
      </c>
      <c r="EM1468" s="2">
        <v>19.85</v>
      </c>
      <c r="EN1468" s="2">
        <v>20.77</v>
      </c>
      <c r="EO1468" s="2">
        <v>21.34</v>
      </c>
      <c r="EP1468" s="2">
        <v>22.13</v>
      </c>
      <c r="EQ1468" s="2">
        <v>22.44</v>
      </c>
      <c r="ER1468" s="2">
        <v>23.01</v>
      </c>
      <c r="ES1468" s="2">
        <v>23.5</v>
      </c>
      <c r="ET1468" s="2">
        <v>23.96</v>
      </c>
      <c r="EU1468" s="2">
        <v>24.19</v>
      </c>
      <c r="EV1468" s="2">
        <v>24.83</v>
      </c>
      <c r="EW1468" s="2">
        <v>25.29</v>
      </c>
      <c r="EX1468" s="2">
        <v>25.6</v>
      </c>
      <c r="EY1468" s="2">
        <v>25.94</v>
      </c>
      <c r="EZ1468" s="2">
        <v>26.32</v>
      </c>
      <c r="FA1468" s="2">
        <v>26.96</v>
      </c>
      <c r="FB1468" s="2">
        <v>29.63</v>
      </c>
      <c r="FC1468" s="2">
        <v>30.35</v>
      </c>
      <c r="FD1468" s="2">
        <v>31</v>
      </c>
      <c r="FE1468" s="2">
        <v>31.22</v>
      </c>
      <c r="FF1468" s="2">
        <v>31.22</v>
      </c>
      <c r="FG1468" s="2">
        <v>31.38</v>
      </c>
      <c r="FH1468" s="2">
        <v>31.68</v>
      </c>
      <c r="FI1468" s="2">
        <v>32.44</v>
      </c>
      <c r="FJ1468" s="2">
        <v>32.78</v>
      </c>
      <c r="FK1468" s="2">
        <v>33.58</v>
      </c>
      <c r="FL1468" s="2">
        <v>34.04</v>
      </c>
      <c r="FM1468" s="2">
        <v>34.53</v>
      </c>
      <c r="FN1468" s="2">
        <v>35.64</v>
      </c>
      <c r="FO1468" s="2">
        <v>35.98</v>
      </c>
      <c r="FP1468" s="2">
        <v>36.21</v>
      </c>
      <c r="FQ1468" s="2">
        <v>36.85</v>
      </c>
      <c r="FR1468" s="2">
        <v>37.31</v>
      </c>
      <c r="FS1468" s="2">
        <v>38.26</v>
      </c>
      <c r="FT1468" s="2">
        <v>39.71</v>
      </c>
      <c r="FU1468" s="2">
        <v>39.78</v>
      </c>
      <c r="FV1468" s="2">
        <v>41.07</v>
      </c>
      <c r="FW1468" s="2">
        <v>41.15</v>
      </c>
      <c r="FX1468" s="2">
        <v>41.91</v>
      </c>
      <c r="FY1468" s="2">
        <v>41.91</v>
      </c>
      <c r="FZ1468" s="2">
        <v>42.41</v>
      </c>
      <c r="GA1468" s="2">
        <v>42.33</v>
      </c>
      <c r="GB1468" s="2">
        <v>42.6</v>
      </c>
      <c r="GC1468" s="2">
        <v>42.79</v>
      </c>
      <c r="GD1468" s="2">
        <v>42.86</v>
      </c>
      <c r="GE1468" s="2">
        <v>42.86</v>
      </c>
      <c r="GF1468" s="2">
        <v>42.9</v>
      </c>
      <c r="GG1468" s="2">
        <v>43.47</v>
      </c>
      <c r="GH1468" s="2">
        <v>44.23</v>
      </c>
      <c r="GI1468" s="2">
        <v>44.04</v>
      </c>
      <c r="GJ1468" s="2">
        <v>44.08</v>
      </c>
      <c r="GK1468" s="2">
        <v>43.43</v>
      </c>
      <c r="GL1468" s="2">
        <v>42.79</v>
      </c>
      <c r="GM1468" s="2">
        <v>43.93</v>
      </c>
      <c r="GN1468" s="2">
        <v>43.97</v>
      </c>
      <c r="GO1468" s="2">
        <v>45.83</v>
      </c>
      <c r="GP1468" s="2">
        <v>46.63</v>
      </c>
      <c r="GQ1468" s="2">
        <v>46.21</v>
      </c>
      <c r="GR1468" s="2">
        <v>46.55</v>
      </c>
      <c r="GS1468" s="2">
        <v>46.89</v>
      </c>
      <c r="GT1468" s="2">
        <v>47.27</v>
      </c>
      <c r="GU1468" s="2">
        <v>47.62</v>
      </c>
      <c r="GV1468" s="2">
        <v>47.54</v>
      </c>
      <c r="GW1468" s="2">
        <v>47.54</v>
      </c>
      <c r="GX1468" s="2">
        <v>47.81</v>
      </c>
      <c r="GY1468" s="2">
        <v>47.73</v>
      </c>
      <c r="GZ1468" s="2">
        <v>48.11</v>
      </c>
      <c r="HA1468" s="2">
        <v>48.03</v>
      </c>
      <c r="HB1468" s="2">
        <v>48.44</v>
      </c>
      <c r="HC1468" s="2">
        <v>48.76</v>
      </c>
      <c r="HD1468" s="2">
        <v>48.67</v>
      </c>
      <c r="HE1468" s="2">
        <v>49.71</v>
      </c>
      <c r="HF1468" s="2">
        <v>49.42</v>
      </c>
      <c r="HG1468" s="2">
        <v>50.23</v>
      </c>
      <c r="HH1468" s="2">
        <v>49.56</v>
      </c>
      <c r="HI1468" s="2">
        <v>51.74</v>
      </c>
      <c r="HJ1468" s="2">
        <v>51.93</v>
      </c>
      <c r="HK1468" s="2">
        <v>52.86</v>
      </c>
      <c r="HL1468" s="2">
        <v>53.72</v>
      </c>
      <c r="HM1468" s="2">
        <v>53.9</v>
      </c>
      <c r="HN1468" s="2">
        <v>54.05</v>
      </c>
      <c r="HO1468" s="2">
        <v>56.11</v>
      </c>
      <c r="HP1468" s="2">
        <v>54.76</v>
      </c>
      <c r="HQ1468" s="2">
        <v>55.39</v>
      </c>
      <c r="HR1468" s="2">
        <v>56.93</v>
      </c>
      <c r="HS1468" s="2">
        <v>58.17</v>
      </c>
      <c r="HT1468" s="2">
        <v>57.83</v>
      </c>
      <c r="HU1468" s="2">
        <v>57.39</v>
      </c>
      <c r="HV1468" s="2">
        <v>57.94</v>
      </c>
      <c r="HW1468" s="2">
        <v>58.14</v>
      </c>
      <c r="HX1468" s="2">
        <v>58.39</v>
      </c>
      <c r="HY1468" s="2">
        <v>58.02</v>
      </c>
      <c r="HZ1468" s="2">
        <v>58.07</v>
      </c>
      <c r="IA1468" s="2">
        <v>58.1</v>
      </c>
      <c r="IB1468" s="2">
        <v>59.01</v>
      </c>
      <c r="IC1468" s="2">
        <v>59.26</v>
      </c>
      <c r="ID1468" s="2">
        <v>60.19</v>
      </c>
      <c r="IE1468" s="2">
        <v>60.94</v>
      </c>
      <c r="IF1468" s="2">
        <v>61.52</v>
      </c>
      <c r="IG1468" s="2">
        <v>61.72</v>
      </c>
      <c r="IH1468" s="2">
        <v>62.94</v>
      </c>
      <c r="II1468" s="2">
        <v>63.84</v>
      </c>
      <c r="IJ1468" s="2">
        <v>64.16</v>
      </c>
      <c r="IK1468" s="2">
        <v>64.58</v>
      </c>
      <c r="IL1468" s="2">
        <v>65.58</v>
      </c>
      <c r="IM1468" s="2">
        <v>67.87</v>
      </c>
      <c r="IN1468" s="2">
        <v>69.40000000000001</v>
      </c>
      <c r="IO1468" s="2">
        <v>70.47</v>
      </c>
      <c r="IP1468" s="2">
        <v>71.70999999999999</v>
      </c>
      <c r="IQ1468" s="2">
        <v>72.26000000000001</v>
      </c>
      <c r="IR1468" s="2">
        <v>71.78</v>
      </c>
      <c r="IS1468" s="2">
        <v>70.87</v>
      </c>
      <c r="IT1468" s="2">
        <v>72.3</v>
      </c>
      <c r="IU1468" s="2">
        <v>73.72</v>
      </c>
      <c r="IV1468" s="2">
        <v>72.45999999999999</v>
      </c>
      <c r="IW1468" s="2">
        <v>72.93000000000001</v>
      </c>
      <c r="IX1468" s="2">
        <v>73.23</v>
      </c>
      <c r="IY1468" s="2">
        <v>74.90000000000001</v>
      </c>
      <c r="IZ1468" s="2">
        <v>75.33</v>
      </c>
      <c r="JA1468" s="2">
        <v>74.62</v>
      </c>
      <c r="JB1468" s="2">
        <v>75.61</v>
      </c>
      <c r="JC1468" s="2">
        <v>75.26000000000001</v>
      </c>
      <c r="JD1468" s="2">
        <v>73.17</v>
      </c>
      <c r="JE1468" s="2">
        <v>73.98999999999999</v>
      </c>
      <c r="JF1468" s="2">
        <v>75.26000000000001</v>
      </c>
      <c r="JG1468" s="2">
        <v>75</v>
      </c>
      <c r="JH1468" s="2">
        <v>74.56</v>
      </c>
      <c r="JI1468" s="2">
        <v>76.03</v>
      </c>
      <c r="JJ1468" s="2">
        <v>76.01000000000001</v>
      </c>
      <c r="JK1468" s="2">
        <v>75.66</v>
      </c>
      <c r="JL1468" s="2">
        <v>76.61</v>
      </c>
      <c r="JM1468" s="2">
        <v>75.59999999999999</v>
      </c>
      <c r="JN1468" s="2">
        <v>77.45999999999999</v>
      </c>
      <c r="JO1468" s="2">
        <v>77.98</v>
      </c>
      <c r="JP1468" s="2">
        <v>77.5</v>
      </c>
      <c r="JQ1468" s="2">
        <v>76.81999999999999</v>
      </c>
      <c r="JR1468" s="2">
        <v>77.63</v>
      </c>
      <c r="JS1468" s="2">
        <v>76.54000000000001</v>
      </c>
      <c r="JT1468" s="2">
        <v>76.18000000000001</v>
      </c>
      <c r="JU1468" s="2">
        <v>76.22</v>
      </c>
      <c r="JV1468" s="2">
        <v>76.88</v>
      </c>
      <c r="KA1468" s="2">
        <v>77.43000000000001</v>
      </c>
      <c r="KB1468" s="2">
        <v>76.54000000000001</v>
      </c>
      <c r="KC1468" s="2">
        <v>75.69</v>
      </c>
      <c r="KD1468" s="2">
        <v>75.76000000000001</v>
      </c>
      <c r="KQ1468" s="2">
        <v>75.56</v>
      </c>
      <c r="KR1468" s="2">
        <v>74.98</v>
      </c>
      <c r="KS1468" s="2">
        <v>75.09</v>
      </c>
      <c r="KT1468" s="2">
        <v>75.89</v>
      </c>
      <c r="LG1468" s="2">
        <v>76.12</v>
      </c>
      <c r="LH1468" s="2">
        <v>75.77</v>
      </c>
      <c r="LI1468" s="2">
        <v>77.64</v>
      </c>
      <c r="LJ1468" s="2">
        <v>79.28</v>
      </c>
      <c r="LW1468" s="2">
        <v>79.36</v>
      </c>
      <c r="LX1468" s="2">
        <v>79.66</v>
      </c>
      <c r="LY1468" s="2">
        <v>78.26000000000001</v>
      </c>
      <c r="LZ1468" s="2">
        <v>78.65000000000001</v>
      </c>
      <c r="MM1468" s="2">
        <v>79.62</v>
      </c>
      <c r="MN1468" s="2">
        <v>79.47</v>
      </c>
      <c r="MO1468" s="2">
        <v>79.15000000000001</v>
      </c>
      <c r="MP1468" s="2">
        <v>80.33</v>
      </c>
      <c r="NC1468" s="2">
        <v>81.33</v>
      </c>
      <c r="ND1468" s="2">
        <v>82.59</v>
      </c>
      <c r="NE1468" s="2">
        <v>85.43000000000001</v>
      </c>
      <c r="NF1468" s="2">
        <v>88.69</v>
      </c>
      <c r="NS1468" s="2">
        <v>89.90000000000001</v>
      </c>
      <c r="NT1468" s="2">
        <v>91.36</v>
      </c>
      <c r="NU1468" s="2">
        <v>93.19</v>
      </c>
      <c r="NV1468" s="2">
        <v>95.67</v>
      </c>
      <c r="OI1468" s="2">
        <v>96.66</v>
      </c>
      <c r="OJ1468" s="2">
        <v>96.06999999999999</v>
      </c>
      <c r="OK1468" s="2">
        <v>97.16</v>
      </c>
      <c r="OL1468" s="2">
        <v>99.23</v>
      </c>
      <c r="OY1468" s="2">
        <v>99.81999999999999</v>
      </c>
      <c r="OZ1468" s="2">
        <v>99.44</v>
      </c>
      <c r="PA1468" s="2">
        <v>100.52</v>
      </c>
      <c r="PB1468" s="2">
        <v>100.7</v>
      </c>
      <c r="PJ1468" s="2">
        <v>101</v>
      </c>
      <c r="PK1468" s="2">
        <v>100.53</v>
      </c>
    </row>
    <row r="1469">
      <c r="A1469" t="inlineStr">
        <is>
          <t>A2327151V</t>
        </is>
      </c>
      <c r="B1469" t="inlineStr">
        <is>
          <t>Index Numbers ;  Breakfast cereals ;  Australia ;</t>
        </is>
      </c>
      <c r="C1469" t="inlineStr">
        <is>
          <t>Quarter</t>
        </is>
      </c>
      <c r="D1469" t="inlineStr">
        <is>
          <t>Index Numbers</t>
        </is>
      </c>
      <c r="E1469" t="inlineStr">
        <is>
          <t>Original</t>
        </is>
      </c>
      <c r="F1469" t="inlineStr">
        <is>
          <t>6401018.xlsx</t>
        </is>
      </c>
      <c r="G1469" t="inlineStr">
        <is>
          <t>1980Q3</t>
        </is>
      </c>
      <c r="H1469" t="inlineStr">
        <is>
          <t>2026Q2</t>
        </is>
      </c>
      <c r="EG1469" s="2">
        <v>21.3</v>
      </c>
      <c r="EH1469" s="2">
        <v>21.87</v>
      </c>
      <c r="EI1469" s="2">
        <v>21.98</v>
      </c>
      <c r="EJ1469" s="2">
        <v>22.71</v>
      </c>
      <c r="EK1469" s="2">
        <v>23.75</v>
      </c>
      <c r="EL1469" s="2">
        <v>24.54</v>
      </c>
      <c r="EM1469" s="2">
        <v>25.69</v>
      </c>
      <c r="EN1469" s="2">
        <v>26.89</v>
      </c>
      <c r="EO1469" s="2">
        <v>27.73</v>
      </c>
      <c r="EP1469" s="2">
        <v>27.84</v>
      </c>
      <c r="EQ1469" s="2">
        <v>29.88</v>
      </c>
      <c r="ER1469" s="2">
        <v>30.03</v>
      </c>
      <c r="ES1469" s="2">
        <v>30.92</v>
      </c>
      <c r="ET1469" s="2">
        <v>31.86</v>
      </c>
      <c r="EU1469" s="2">
        <v>32.96</v>
      </c>
      <c r="EV1469" s="2">
        <v>34.01</v>
      </c>
      <c r="EW1469" s="2">
        <v>34.74</v>
      </c>
      <c r="EX1469" s="2">
        <v>35.06</v>
      </c>
      <c r="EY1469" s="2">
        <v>35.47</v>
      </c>
      <c r="EZ1469" s="2">
        <v>36.15</v>
      </c>
      <c r="FA1469" s="2">
        <v>37.46</v>
      </c>
      <c r="FB1469" s="2">
        <v>38.3</v>
      </c>
      <c r="FC1469" s="2">
        <v>38.51</v>
      </c>
      <c r="FD1469" s="2">
        <v>39.24</v>
      </c>
      <c r="FE1469" s="2">
        <v>40.03</v>
      </c>
      <c r="FF1469" s="2">
        <v>40.86</v>
      </c>
      <c r="FG1469" s="2">
        <v>41.33</v>
      </c>
      <c r="FH1469" s="2">
        <v>42.54</v>
      </c>
      <c r="FI1469" s="2">
        <v>43.48</v>
      </c>
      <c r="FJ1469" s="2">
        <v>42.17</v>
      </c>
      <c r="FK1469" s="2">
        <v>42.9</v>
      </c>
      <c r="FL1469" s="2">
        <v>47.3</v>
      </c>
      <c r="FM1469" s="2">
        <v>49.08</v>
      </c>
      <c r="FN1469" s="2">
        <v>50.8</v>
      </c>
      <c r="FO1469" s="2">
        <v>49.44</v>
      </c>
      <c r="FP1469" s="2">
        <v>49.86</v>
      </c>
      <c r="FQ1469" s="2">
        <v>50.49</v>
      </c>
      <c r="FR1469" s="2">
        <v>51.96</v>
      </c>
      <c r="FS1469" s="2">
        <v>53.37</v>
      </c>
      <c r="FT1469" s="2">
        <v>53.47</v>
      </c>
      <c r="FU1469" s="2">
        <v>55.25</v>
      </c>
      <c r="FV1469" s="2">
        <v>57.03</v>
      </c>
      <c r="FW1469" s="2">
        <v>57.82</v>
      </c>
      <c r="FX1469" s="2">
        <v>57.87</v>
      </c>
      <c r="FY1469" s="2">
        <v>57.34</v>
      </c>
      <c r="FZ1469" s="2">
        <v>57.34</v>
      </c>
      <c r="GA1469" s="2">
        <v>58.29</v>
      </c>
      <c r="GB1469" s="2">
        <v>59.02</v>
      </c>
      <c r="GC1469" s="2">
        <v>58.76</v>
      </c>
      <c r="GD1469" s="2">
        <v>59.75</v>
      </c>
      <c r="GE1469" s="2">
        <v>59.96</v>
      </c>
      <c r="GF1469" s="2">
        <v>60.64</v>
      </c>
      <c r="GG1469" s="2">
        <v>61.74</v>
      </c>
      <c r="GH1469" s="2">
        <v>61.95</v>
      </c>
      <c r="GI1469" s="2">
        <v>62.79</v>
      </c>
      <c r="GJ1469" s="2">
        <v>62.05</v>
      </c>
      <c r="GK1469" s="2">
        <v>62.37</v>
      </c>
      <c r="GL1469" s="2">
        <v>61.64</v>
      </c>
      <c r="GM1469" s="2">
        <v>62.16</v>
      </c>
      <c r="GN1469" s="2">
        <v>64.56999999999999</v>
      </c>
      <c r="GO1469" s="2">
        <v>65.45</v>
      </c>
      <c r="GP1469" s="2">
        <v>65.34999999999999</v>
      </c>
      <c r="GQ1469" s="2">
        <v>65.81999999999999</v>
      </c>
      <c r="GR1469" s="2">
        <v>65.93000000000001</v>
      </c>
      <c r="GS1469" s="2">
        <v>66.14</v>
      </c>
      <c r="GT1469" s="2">
        <v>66.97</v>
      </c>
      <c r="GU1469" s="2">
        <v>67.7</v>
      </c>
      <c r="GV1469" s="2">
        <v>68.7</v>
      </c>
      <c r="GW1469" s="2">
        <v>67.34</v>
      </c>
      <c r="GX1469" s="2">
        <v>67.59999999999999</v>
      </c>
      <c r="GY1469" s="2">
        <v>66.97</v>
      </c>
      <c r="GZ1469" s="2">
        <v>68.33</v>
      </c>
      <c r="HA1469" s="2">
        <v>68.39</v>
      </c>
      <c r="HB1469" s="2">
        <v>65.48</v>
      </c>
      <c r="HC1469" s="2">
        <v>64.48999999999999</v>
      </c>
      <c r="HD1469" s="2">
        <v>64.20999999999999</v>
      </c>
      <c r="HE1469" s="2">
        <v>63.32</v>
      </c>
      <c r="HF1469" s="2">
        <v>64.2</v>
      </c>
      <c r="HG1469" s="2">
        <v>63.29</v>
      </c>
      <c r="HH1469" s="2">
        <v>62.77</v>
      </c>
      <c r="HI1469" s="2">
        <v>64.04000000000001</v>
      </c>
      <c r="HJ1469" s="2">
        <v>62.28</v>
      </c>
      <c r="HK1469" s="2">
        <v>62.97</v>
      </c>
      <c r="HL1469" s="2">
        <v>63.8</v>
      </c>
      <c r="HM1469" s="2">
        <v>65.62</v>
      </c>
      <c r="HN1469" s="2">
        <v>67.62</v>
      </c>
      <c r="HO1469" s="2">
        <v>66.54000000000001</v>
      </c>
      <c r="HP1469" s="2">
        <v>68.08</v>
      </c>
      <c r="HQ1469" s="2">
        <v>69.59</v>
      </c>
      <c r="HR1469" s="2">
        <v>71.20999999999999</v>
      </c>
      <c r="HS1469" s="2">
        <v>71.78</v>
      </c>
      <c r="HT1469" s="2">
        <v>74.19</v>
      </c>
      <c r="HU1469" s="2">
        <v>73.48</v>
      </c>
      <c r="HV1469" s="2">
        <v>74.52</v>
      </c>
      <c r="HW1469" s="2">
        <v>73.23</v>
      </c>
      <c r="HX1469" s="2">
        <v>73.73</v>
      </c>
      <c r="HY1469" s="2">
        <v>72.15000000000001</v>
      </c>
      <c r="HZ1469" s="2">
        <v>72.88</v>
      </c>
      <c r="IA1469" s="2">
        <v>74.37</v>
      </c>
      <c r="IB1469" s="2">
        <v>74.09999999999999</v>
      </c>
      <c r="IC1469" s="2">
        <v>75.05</v>
      </c>
      <c r="ID1469" s="2">
        <v>77.26000000000001</v>
      </c>
      <c r="IE1469" s="2">
        <v>76.3</v>
      </c>
      <c r="IF1469" s="2">
        <v>78.66</v>
      </c>
      <c r="IG1469" s="2">
        <v>78.98</v>
      </c>
      <c r="IH1469" s="2">
        <v>81.03</v>
      </c>
      <c r="II1469" s="2">
        <v>77.01000000000001</v>
      </c>
      <c r="IJ1469" s="2">
        <v>75.83</v>
      </c>
      <c r="IK1469" s="2">
        <v>78.53</v>
      </c>
      <c r="IL1469" s="2">
        <v>80.62</v>
      </c>
      <c r="IM1469" s="2">
        <v>82.27</v>
      </c>
      <c r="IN1469" s="2">
        <v>82.53</v>
      </c>
      <c r="IO1469" s="2">
        <v>81.86</v>
      </c>
      <c r="IP1469" s="2">
        <v>83.20999999999999</v>
      </c>
      <c r="IQ1469" s="2">
        <v>83.81</v>
      </c>
      <c r="IR1469" s="2">
        <v>82.43000000000001</v>
      </c>
      <c r="IS1469" s="2">
        <v>80.93000000000001</v>
      </c>
      <c r="IT1469" s="2">
        <v>82.28</v>
      </c>
      <c r="IU1469" s="2">
        <v>81.95999999999999</v>
      </c>
      <c r="IV1469" s="2">
        <v>81.69</v>
      </c>
      <c r="IW1469" s="2">
        <v>82.73999999999999</v>
      </c>
      <c r="IX1469" s="2">
        <v>82.81</v>
      </c>
      <c r="IY1469" s="2">
        <v>80.75</v>
      </c>
      <c r="IZ1469" s="2">
        <v>81.68000000000001</v>
      </c>
      <c r="JA1469" s="2">
        <v>84.59</v>
      </c>
      <c r="JB1469" s="2">
        <v>86.48999999999999</v>
      </c>
      <c r="JC1469" s="2">
        <v>86.19</v>
      </c>
      <c r="JD1469" s="2">
        <v>84.31</v>
      </c>
      <c r="JE1469" s="2">
        <v>83.55</v>
      </c>
      <c r="JF1469" s="2">
        <v>86.56</v>
      </c>
      <c r="JG1469" s="2">
        <v>86.40000000000001</v>
      </c>
      <c r="JH1469" s="2">
        <v>85.20999999999999</v>
      </c>
      <c r="JI1469" s="2">
        <v>87.08</v>
      </c>
      <c r="JJ1469" s="2">
        <v>85.48</v>
      </c>
      <c r="JK1469" s="2">
        <v>85.90000000000001</v>
      </c>
      <c r="JL1469" s="2">
        <v>85.77</v>
      </c>
      <c r="JM1469" s="2">
        <v>81.89</v>
      </c>
      <c r="JN1469" s="2">
        <v>80.68000000000001</v>
      </c>
      <c r="JO1469" s="2">
        <v>83.8</v>
      </c>
      <c r="JP1469" s="2">
        <v>85.65000000000001</v>
      </c>
      <c r="JQ1469" s="2">
        <v>84.55</v>
      </c>
      <c r="JR1469" s="2">
        <v>81.23</v>
      </c>
      <c r="JS1469" s="2">
        <v>80.29000000000001</v>
      </c>
      <c r="JT1469" s="2">
        <v>78.83</v>
      </c>
      <c r="JU1469" s="2">
        <v>79.45</v>
      </c>
      <c r="JV1469" s="2">
        <v>80.84</v>
      </c>
      <c r="KA1469" s="2">
        <v>78.73</v>
      </c>
      <c r="KB1469" s="2">
        <v>79.20999999999999</v>
      </c>
      <c r="KC1469" s="2">
        <v>77.56</v>
      </c>
      <c r="KD1469" s="2">
        <v>78.88</v>
      </c>
      <c r="KQ1469" s="2">
        <v>77.66</v>
      </c>
      <c r="KR1469" s="2">
        <v>76.66</v>
      </c>
      <c r="KS1469" s="2">
        <v>75.81999999999999</v>
      </c>
      <c r="KT1469" s="2">
        <v>78.81999999999999</v>
      </c>
      <c r="LG1469" s="2">
        <v>78.84</v>
      </c>
      <c r="LH1469" s="2">
        <v>77.95999999999999</v>
      </c>
      <c r="LI1469" s="2">
        <v>80.66</v>
      </c>
      <c r="LJ1469" s="2">
        <v>80.72</v>
      </c>
      <c r="LW1469" s="2">
        <v>82.88</v>
      </c>
      <c r="LX1469" s="2">
        <v>84.33</v>
      </c>
      <c r="LY1469" s="2">
        <v>80.14</v>
      </c>
      <c r="LZ1469" s="2">
        <v>82.08</v>
      </c>
      <c r="MM1469" s="2">
        <v>80.78</v>
      </c>
      <c r="MN1469" s="2">
        <v>80.12</v>
      </c>
      <c r="MO1469" s="2">
        <v>80.59</v>
      </c>
      <c r="MP1469" s="2">
        <v>81.39</v>
      </c>
      <c r="NC1469" s="2">
        <v>83</v>
      </c>
      <c r="ND1469" s="2">
        <v>87.19</v>
      </c>
      <c r="NE1469" s="2">
        <v>91.15000000000001</v>
      </c>
      <c r="NF1469" s="2">
        <v>93.84</v>
      </c>
      <c r="NS1469" s="2">
        <v>93.5</v>
      </c>
      <c r="NT1469" s="2">
        <v>94.41</v>
      </c>
      <c r="NU1469" s="2">
        <v>96.31999999999999</v>
      </c>
      <c r="NV1469" s="2">
        <v>101.78</v>
      </c>
      <c r="OI1469" s="2">
        <v>99.45</v>
      </c>
      <c r="OJ1469" s="2">
        <v>98.28</v>
      </c>
      <c r="OK1469" s="2">
        <v>99.72</v>
      </c>
      <c r="OL1469" s="2">
        <v>100.5</v>
      </c>
      <c r="OY1469" s="2">
        <v>101.14</v>
      </c>
      <c r="OZ1469" s="2">
        <v>99.29000000000001</v>
      </c>
      <c r="PA1469" s="2">
        <v>99.54000000000001</v>
      </c>
      <c r="PB1469" s="2">
        <v>105.11</v>
      </c>
      <c r="PJ1469" s="2">
        <v>105.14</v>
      </c>
      <c r="PK1469" s="2">
        <v>103.22</v>
      </c>
    </row>
    <row r="1470">
      <c r="A1470" t="inlineStr">
        <is>
          <t>A2327196X</t>
        </is>
      </c>
      <c r="B1470" t="inlineStr">
        <is>
          <t>Index Numbers ;  Other cereal products ;  Australia ;</t>
        </is>
      </c>
      <c r="C1470" t="inlineStr">
        <is>
          <t>Quarter</t>
        </is>
      </c>
      <c r="D1470" t="inlineStr">
        <is>
          <t>Index Numbers</t>
        </is>
      </c>
      <c r="E1470" t="inlineStr">
        <is>
          <t>Original</t>
        </is>
      </c>
      <c r="F1470" t="inlineStr">
        <is>
          <t>6401018.xlsx</t>
        </is>
      </c>
      <c r="G1470" t="inlineStr">
        <is>
          <t>1980Q3</t>
        </is>
      </c>
      <c r="H1470" t="inlineStr">
        <is>
          <t>2026Q2</t>
        </is>
      </c>
      <c r="EG1470" s="2">
        <v>22.34</v>
      </c>
      <c r="EH1470" s="2">
        <v>22.86</v>
      </c>
      <c r="EI1470" s="2">
        <v>24.01</v>
      </c>
      <c r="EJ1470" s="2">
        <v>24.82</v>
      </c>
      <c r="EK1470" s="2">
        <v>24.77</v>
      </c>
      <c r="EL1470" s="2">
        <v>25.82</v>
      </c>
      <c r="EM1470" s="2">
        <v>27.68</v>
      </c>
      <c r="EN1470" s="2">
        <v>28.21</v>
      </c>
      <c r="EO1470" s="2">
        <v>28.64</v>
      </c>
      <c r="EP1470" s="2">
        <v>28.73</v>
      </c>
      <c r="EQ1470" s="2">
        <v>30.5</v>
      </c>
      <c r="ER1470" s="2">
        <v>30.83</v>
      </c>
      <c r="ES1470" s="2">
        <v>30.45</v>
      </c>
      <c r="ET1470" s="2">
        <v>31.16</v>
      </c>
      <c r="EU1470" s="2">
        <v>32.84</v>
      </c>
      <c r="EV1470" s="2">
        <v>32.55</v>
      </c>
      <c r="EW1470" s="2">
        <v>33.31</v>
      </c>
      <c r="EX1470" s="2">
        <v>33.03</v>
      </c>
      <c r="EY1470" s="2">
        <v>33.65</v>
      </c>
      <c r="EZ1470" s="2">
        <v>34.12</v>
      </c>
      <c r="FA1470" s="2">
        <v>35.22</v>
      </c>
      <c r="FB1470" s="2">
        <v>36.03</v>
      </c>
      <c r="FC1470" s="2">
        <v>36.8</v>
      </c>
      <c r="FD1470" s="2">
        <v>36.46</v>
      </c>
      <c r="FE1470" s="2">
        <v>37.99</v>
      </c>
      <c r="FF1470" s="2">
        <v>38.23</v>
      </c>
      <c r="FG1470" s="2">
        <v>38.66</v>
      </c>
      <c r="FH1470" s="2">
        <v>39.76</v>
      </c>
      <c r="FI1470" s="2">
        <v>40.52</v>
      </c>
      <c r="FJ1470" s="2">
        <v>41</v>
      </c>
      <c r="FK1470" s="2">
        <v>42</v>
      </c>
      <c r="FL1470" s="2">
        <v>43.14</v>
      </c>
      <c r="FM1470" s="2">
        <v>43.29</v>
      </c>
      <c r="FN1470" s="2">
        <v>44.81</v>
      </c>
      <c r="FO1470" s="2">
        <v>45.86</v>
      </c>
      <c r="FP1470" s="2">
        <v>45.39</v>
      </c>
      <c r="FQ1470" s="2">
        <v>47.15</v>
      </c>
      <c r="FR1470" s="2">
        <v>47.3</v>
      </c>
      <c r="FS1470" s="2">
        <v>48.16</v>
      </c>
      <c r="FT1470" s="2">
        <v>48.3</v>
      </c>
      <c r="FU1470" s="2">
        <v>48.78</v>
      </c>
      <c r="FV1470" s="2">
        <v>48.97</v>
      </c>
      <c r="FW1470" s="2">
        <v>50.02</v>
      </c>
      <c r="FX1470" s="2">
        <v>49.73</v>
      </c>
      <c r="FY1470" s="2">
        <v>49.97</v>
      </c>
      <c r="FZ1470" s="2">
        <v>51.07</v>
      </c>
      <c r="GA1470" s="2">
        <v>51.4</v>
      </c>
      <c r="GB1470" s="2">
        <v>52.31</v>
      </c>
      <c r="GC1470" s="2">
        <v>52.21</v>
      </c>
      <c r="GD1470" s="2">
        <v>51.45</v>
      </c>
      <c r="GE1470" s="2">
        <v>53.64</v>
      </c>
      <c r="GF1470" s="2">
        <v>52.12</v>
      </c>
      <c r="GG1470" s="2">
        <v>51.45</v>
      </c>
      <c r="GH1470" s="2">
        <v>51.97</v>
      </c>
      <c r="GI1470" s="2">
        <v>53.69</v>
      </c>
      <c r="GJ1470" s="2">
        <v>53.12</v>
      </c>
      <c r="GK1470" s="2">
        <v>52.69</v>
      </c>
      <c r="GL1470" s="2">
        <v>54.07</v>
      </c>
      <c r="GM1470" s="2">
        <v>55.65</v>
      </c>
      <c r="GN1470" s="2">
        <v>56.94</v>
      </c>
      <c r="GO1470" s="2">
        <v>56.22</v>
      </c>
      <c r="GP1470" s="2">
        <v>56.6</v>
      </c>
      <c r="GQ1470" s="2">
        <v>56.84</v>
      </c>
      <c r="GR1470" s="2">
        <v>57.37</v>
      </c>
      <c r="GS1470" s="2">
        <v>57.65</v>
      </c>
      <c r="GT1470" s="2">
        <v>58.37</v>
      </c>
      <c r="GU1470" s="2">
        <v>57.84</v>
      </c>
      <c r="GV1470" s="2">
        <v>58.65</v>
      </c>
      <c r="GW1470" s="2">
        <v>57.84</v>
      </c>
      <c r="GX1470" s="2">
        <v>59.23</v>
      </c>
      <c r="GY1470" s="2">
        <v>59.28</v>
      </c>
      <c r="GZ1470" s="2">
        <v>59.51</v>
      </c>
      <c r="HA1470" s="2">
        <v>59.89</v>
      </c>
      <c r="HB1470" s="2">
        <v>57.68</v>
      </c>
      <c r="HC1470" s="2">
        <v>59.29</v>
      </c>
      <c r="HD1470" s="2">
        <v>59.73</v>
      </c>
      <c r="HE1470" s="2">
        <v>59.65</v>
      </c>
      <c r="HF1470" s="2">
        <v>59.92</v>
      </c>
      <c r="HG1470" s="2">
        <v>59.31</v>
      </c>
      <c r="HH1470" s="2">
        <v>60.72</v>
      </c>
      <c r="HI1470" s="2">
        <v>59.75</v>
      </c>
      <c r="HJ1470" s="2">
        <v>58.17</v>
      </c>
      <c r="HK1470" s="2">
        <v>59.69</v>
      </c>
      <c r="HL1470" s="2">
        <v>61.16</v>
      </c>
      <c r="HM1470" s="2">
        <v>61.62</v>
      </c>
      <c r="HN1470" s="2">
        <v>62.31</v>
      </c>
      <c r="HO1470" s="2">
        <v>62.12</v>
      </c>
      <c r="HP1470" s="2">
        <v>61.99</v>
      </c>
      <c r="HQ1470" s="2">
        <v>62.23</v>
      </c>
      <c r="HR1470" s="2">
        <v>63.44</v>
      </c>
      <c r="HS1470" s="2">
        <v>64.81999999999999</v>
      </c>
      <c r="HT1470" s="2">
        <v>68.81</v>
      </c>
      <c r="HU1470" s="2">
        <v>67.83</v>
      </c>
      <c r="HV1470" s="2">
        <v>67.23999999999999</v>
      </c>
      <c r="HW1470" s="2">
        <v>65.97</v>
      </c>
      <c r="HX1470" s="2">
        <v>67.5</v>
      </c>
      <c r="HY1470" s="2">
        <v>66.52</v>
      </c>
      <c r="HZ1470" s="2">
        <v>67.58</v>
      </c>
      <c r="IA1470" s="2">
        <v>67.39</v>
      </c>
      <c r="IB1470" s="2">
        <v>68.06</v>
      </c>
      <c r="IC1470" s="2">
        <v>68.19</v>
      </c>
      <c r="ID1470" s="2">
        <v>67.79000000000001</v>
      </c>
      <c r="IE1470" s="2">
        <v>66.59</v>
      </c>
      <c r="IF1470" s="2">
        <v>67.98</v>
      </c>
      <c r="IG1470" s="2">
        <v>67.78</v>
      </c>
      <c r="IH1470" s="2">
        <v>69.31</v>
      </c>
      <c r="II1470" s="2">
        <v>69.76000000000001</v>
      </c>
      <c r="IJ1470" s="2">
        <v>71.19</v>
      </c>
      <c r="IK1470" s="2">
        <v>71.2</v>
      </c>
      <c r="IL1470" s="2">
        <v>72.37</v>
      </c>
      <c r="IM1470" s="2">
        <v>77.81999999999999</v>
      </c>
      <c r="IN1470" s="2">
        <v>77.29000000000001</v>
      </c>
      <c r="IO1470" s="2">
        <v>82.56999999999999</v>
      </c>
      <c r="IP1470" s="2">
        <v>84.17</v>
      </c>
      <c r="IQ1470" s="2">
        <v>86.66</v>
      </c>
      <c r="IR1470" s="2">
        <v>85.64</v>
      </c>
      <c r="IS1470" s="2">
        <v>86.73</v>
      </c>
      <c r="IT1470" s="2">
        <v>84.95999999999999</v>
      </c>
      <c r="IU1470" s="2">
        <v>86.05</v>
      </c>
      <c r="IV1470" s="2">
        <v>84.73999999999999</v>
      </c>
      <c r="IW1470" s="2">
        <v>85.31999999999999</v>
      </c>
      <c r="IX1470" s="2">
        <v>83.56999999999999</v>
      </c>
      <c r="IY1470" s="2">
        <v>84.01000000000001</v>
      </c>
      <c r="IZ1470" s="2">
        <v>84.65000000000001</v>
      </c>
      <c r="JA1470" s="2">
        <v>85.02</v>
      </c>
      <c r="JB1470" s="2">
        <v>84.2</v>
      </c>
      <c r="JC1470" s="2">
        <v>84.20999999999999</v>
      </c>
      <c r="JD1470" s="2">
        <v>84.84</v>
      </c>
      <c r="JE1470" s="2">
        <v>84.36</v>
      </c>
      <c r="JF1470" s="2">
        <v>85.34999999999999</v>
      </c>
      <c r="JG1470" s="2">
        <v>85.56999999999999</v>
      </c>
      <c r="JH1470" s="2">
        <v>85.64</v>
      </c>
      <c r="JI1470" s="2">
        <v>86.3</v>
      </c>
      <c r="JJ1470" s="2">
        <v>85.73999999999999</v>
      </c>
      <c r="JK1470" s="2">
        <v>84.41</v>
      </c>
      <c r="JL1470" s="2">
        <v>83.29000000000001</v>
      </c>
      <c r="JM1470" s="2">
        <v>84.08</v>
      </c>
      <c r="JN1470" s="2">
        <v>84.75</v>
      </c>
      <c r="JO1470" s="2">
        <v>84.17</v>
      </c>
      <c r="JP1470" s="2">
        <v>81.95999999999999</v>
      </c>
      <c r="JQ1470" s="2">
        <v>82.64</v>
      </c>
      <c r="JR1470" s="2">
        <v>82.86</v>
      </c>
      <c r="JS1470" s="2">
        <v>81.61</v>
      </c>
      <c r="JT1470" s="2">
        <v>78.89</v>
      </c>
      <c r="JU1470" s="2">
        <v>78.8</v>
      </c>
      <c r="JV1470" s="2">
        <v>78.75</v>
      </c>
      <c r="KA1470" s="2">
        <v>78.01000000000001</v>
      </c>
      <c r="KB1470" s="2">
        <v>76.79000000000001</v>
      </c>
      <c r="KC1470" s="2">
        <v>76.69</v>
      </c>
      <c r="KD1470" s="2">
        <v>78.05</v>
      </c>
      <c r="KQ1470" s="2">
        <v>76.81999999999999</v>
      </c>
      <c r="KR1470" s="2">
        <v>77.42</v>
      </c>
      <c r="KS1470" s="2">
        <v>76.29000000000001</v>
      </c>
      <c r="KT1470" s="2">
        <v>76.7</v>
      </c>
      <c r="LG1470" s="2">
        <v>77.53</v>
      </c>
      <c r="LH1470" s="2">
        <v>78.37</v>
      </c>
      <c r="LI1470" s="2">
        <v>77.7</v>
      </c>
      <c r="LJ1470" s="2">
        <v>78.83</v>
      </c>
      <c r="LW1470" s="2">
        <v>82.31999999999999</v>
      </c>
      <c r="LX1470" s="2">
        <v>87.29000000000001</v>
      </c>
      <c r="LY1470" s="2">
        <v>83.53</v>
      </c>
      <c r="LZ1470" s="2">
        <v>83.25</v>
      </c>
      <c r="MM1470" s="2">
        <v>80.95999999999999</v>
      </c>
      <c r="MN1470" s="2">
        <v>81.67</v>
      </c>
      <c r="MO1470" s="2">
        <v>82.40000000000001</v>
      </c>
      <c r="MP1470" s="2">
        <v>84.34999999999999</v>
      </c>
      <c r="NC1470" s="2">
        <v>86.86</v>
      </c>
      <c r="ND1470" s="2">
        <v>90.16</v>
      </c>
      <c r="NE1470" s="2">
        <v>93.31</v>
      </c>
      <c r="NF1470" s="2">
        <v>95.39</v>
      </c>
      <c r="NS1470" s="2">
        <v>97.23</v>
      </c>
      <c r="NT1470" s="2">
        <v>98.23</v>
      </c>
      <c r="NU1470" s="2">
        <v>98.62</v>
      </c>
      <c r="NV1470" s="2">
        <v>99.8</v>
      </c>
      <c r="OI1470" s="2">
        <v>100.25</v>
      </c>
      <c r="OJ1470" s="2">
        <v>99.77</v>
      </c>
      <c r="OK1470" s="2">
        <v>100.14</v>
      </c>
      <c r="OL1470" s="2">
        <v>100.59</v>
      </c>
      <c r="OY1470" s="2">
        <v>100.73</v>
      </c>
      <c r="OZ1470" s="2">
        <v>99.36</v>
      </c>
      <c r="PA1470" s="2">
        <v>99.52</v>
      </c>
      <c r="PB1470" s="2">
        <v>99.81</v>
      </c>
      <c r="PJ1470" s="2">
        <v>99.16</v>
      </c>
      <c r="PK1470" s="2">
        <v>99.61</v>
      </c>
    </row>
    <row r="1471">
      <c r="A1471" t="inlineStr">
        <is>
          <t>A2326251K</t>
        </is>
      </c>
      <c r="B1471" t="inlineStr">
        <is>
          <t>Index Numbers ;  Meat and seafoods ;  Australia ;</t>
        </is>
      </c>
      <c r="C1471" t="inlineStr">
        <is>
          <t>Quarter</t>
        </is>
      </c>
      <c r="D1471" t="inlineStr">
        <is>
          <t>Index Numbers</t>
        </is>
      </c>
      <c r="E1471" t="inlineStr">
        <is>
          <t>Original</t>
        </is>
      </c>
      <c r="F1471" t="inlineStr">
        <is>
          <t>6401018.xlsx</t>
        </is>
      </c>
      <c r="G1471" t="inlineStr">
        <is>
          <t>1972Q3</t>
        </is>
      </c>
      <c r="H1471" t="inlineStr">
        <is>
          <t>2026Q2</t>
        </is>
      </c>
      <c r="DA1471" s="2">
        <v>8.5</v>
      </c>
      <c r="DB1471" s="2">
        <v>8.630000000000001</v>
      </c>
      <c r="DC1471" s="2">
        <v>9.33</v>
      </c>
      <c r="DD1471" s="2">
        <v>10.36</v>
      </c>
      <c r="DE1471" s="2">
        <v>11.1</v>
      </c>
      <c r="DF1471" s="2">
        <v>11.56</v>
      </c>
      <c r="DG1471" s="2">
        <v>12.42</v>
      </c>
      <c r="DH1471" s="2">
        <v>12.63</v>
      </c>
      <c r="DI1471" s="2">
        <v>11.97</v>
      </c>
      <c r="DJ1471" s="2">
        <v>11.18</v>
      </c>
      <c r="DK1471" s="2">
        <v>11.1</v>
      </c>
      <c r="DL1471" s="2">
        <v>11.56</v>
      </c>
      <c r="DM1471" s="2">
        <v>11.64</v>
      </c>
      <c r="DN1471" s="2">
        <v>11.97</v>
      </c>
      <c r="DO1471" s="2">
        <v>12.34</v>
      </c>
      <c r="DP1471" s="2">
        <v>12.42</v>
      </c>
      <c r="DQ1471" s="2">
        <v>12.92</v>
      </c>
      <c r="DR1471" s="2">
        <v>13.37</v>
      </c>
      <c r="DS1471" s="2">
        <v>13.7</v>
      </c>
      <c r="DT1471" s="2">
        <v>14.4</v>
      </c>
      <c r="DU1471" s="2">
        <v>14.49</v>
      </c>
      <c r="DV1471" s="2">
        <v>14.57</v>
      </c>
      <c r="DW1471" s="2">
        <v>15.06</v>
      </c>
      <c r="DX1471" s="2">
        <v>15.64</v>
      </c>
      <c r="DY1471" s="2">
        <v>16.43</v>
      </c>
      <c r="DZ1471" s="2">
        <v>16.88</v>
      </c>
      <c r="EA1471" s="2">
        <v>18.78</v>
      </c>
      <c r="EB1471" s="2">
        <v>22.37</v>
      </c>
      <c r="EC1471" s="2">
        <v>23.19</v>
      </c>
      <c r="ED1471" s="2">
        <v>23.15</v>
      </c>
      <c r="EE1471" s="2">
        <v>24.56</v>
      </c>
      <c r="EF1471" s="2">
        <v>25.05</v>
      </c>
      <c r="EG1471" s="2">
        <v>24.93</v>
      </c>
      <c r="EH1471" s="2">
        <v>24.85</v>
      </c>
      <c r="EI1471" s="2">
        <v>25.22</v>
      </c>
      <c r="EJ1471" s="2">
        <v>25.22</v>
      </c>
      <c r="EK1471" s="2">
        <v>25.63</v>
      </c>
      <c r="EL1471" s="2">
        <v>25.63</v>
      </c>
      <c r="EM1471" s="2">
        <v>25.51</v>
      </c>
      <c r="EN1471" s="2">
        <v>26</v>
      </c>
      <c r="EO1471" s="2">
        <v>26.21</v>
      </c>
      <c r="EP1471" s="2">
        <v>26.7</v>
      </c>
      <c r="EQ1471" s="2">
        <v>27.16</v>
      </c>
      <c r="ER1471" s="2">
        <v>29.43</v>
      </c>
      <c r="ES1471" s="2">
        <v>28.81</v>
      </c>
      <c r="ET1471" s="2">
        <v>28.23</v>
      </c>
      <c r="EU1471" s="2">
        <v>28.85</v>
      </c>
      <c r="EV1471" s="2">
        <v>28.93</v>
      </c>
      <c r="EW1471" s="2">
        <v>29.47</v>
      </c>
      <c r="EX1471" s="2">
        <v>29.76</v>
      </c>
      <c r="EY1471" s="2">
        <v>29.88</v>
      </c>
      <c r="EZ1471" s="2">
        <v>30.79</v>
      </c>
      <c r="FA1471" s="2">
        <v>31.04</v>
      </c>
      <c r="FB1471" s="2">
        <v>30.83</v>
      </c>
      <c r="FC1471" s="2">
        <v>31.24</v>
      </c>
      <c r="FD1471" s="2">
        <v>31.74</v>
      </c>
      <c r="FE1471" s="2">
        <v>32.56</v>
      </c>
      <c r="FF1471" s="2">
        <v>33.27</v>
      </c>
      <c r="FG1471" s="2">
        <v>33.76</v>
      </c>
      <c r="FH1471" s="2">
        <v>34.21</v>
      </c>
      <c r="FI1471" s="2">
        <v>34.67</v>
      </c>
      <c r="FJ1471" s="2">
        <v>34.87</v>
      </c>
      <c r="FK1471" s="2">
        <v>35.41</v>
      </c>
      <c r="FL1471" s="2">
        <v>36.65</v>
      </c>
      <c r="FM1471" s="2">
        <v>37.43</v>
      </c>
      <c r="FN1471" s="2">
        <v>38.14</v>
      </c>
      <c r="FO1471" s="2">
        <v>39.21</v>
      </c>
      <c r="FP1471" s="2">
        <v>40.32</v>
      </c>
      <c r="FQ1471" s="2">
        <v>40.86</v>
      </c>
      <c r="FR1471" s="2">
        <v>40.9</v>
      </c>
      <c r="FS1471" s="2">
        <v>41.44</v>
      </c>
      <c r="FT1471" s="2">
        <v>41.93</v>
      </c>
      <c r="FU1471" s="2">
        <v>41.68</v>
      </c>
      <c r="FV1471" s="2">
        <v>41.68</v>
      </c>
      <c r="FW1471" s="2">
        <v>42.3</v>
      </c>
      <c r="FX1471" s="2">
        <v>42.1</v>
      </c>
      <c r="FY1471" s="2">
        <v>41.77</v>
      </c>
      <c r="FZ1471" s="2">
        <v>41.23</v>
      </c>
      <c r="GA1471" s="2">
        <v>41.44</v>
      </c>
      <c r="GB1471" s="2">
        <v>41.4</v>
      </c>
      <c r="GC1471" s="2">
        <v>40.9</v>
      </c>
      <c r="GD1471" s="2">
        <v>40.9</v>
      </c>
      <c r="GE1471" s="2">
        <v>41.64</v>
      </c>
      <c r="GF1471" s="2">
        <v>41.73</v>
      </c>
      <c r="GG1471" s="2">
        <v>42.1</v>
      </c>
      <c r="GH1471" s="2">
        <v>42.35</v>
      </c>
      <c r="GI1471" s="2">
        <v>42.26</v>
      </c>
      <c r="GJ1471" s="2">
        <v>42.26</v>
      </c>
      <c r="GK1471" s="2">
        <v>41.6</v>
      </c>
      <c r="GL1471" s="2">
        <v>42.01</v>
      </c>
      <c r="GM1471" s="2">
        <v>42.84</v>
      </c>
      <c r="GN1471" s="2">
        <v>43.17</v>
      </c>
      <c r="GO1471" s="2">
        <v>43.91</v>
      </c>
      <c r="GP1471" s="2">
        <v>43.58</v>
      </c>
      <c r="GQ1471" s="2">
        <v>44.33</v>
      </c>
      <c r="GR1471" s="2">
        <v>44.7</v>
      </c>
      <c r="GS1471" s="2">
        <v>44.78</v>
      </c>
      <c r="GT1471" s="2">
        <v>44.95</v>
      </c>
      <c r="GU1471" s="2">
        <v>44.95</v>
      </c>
      <c r="GV1471" s="2">
        <v>44.86</v>
      </c>
      <c r="GW1471" s="2">
        <v>45.28</v>
      </c>
      <c r="GX1471" s="2">
        <v>45.19</v>
      </c>
      <c r="GY1471" s="2">
        <v>45.23</v>
      </c>
      <c r="GZ1471" s="2">
        <v>45.19</v>
      </c>
      <c r="HA1471" s="2">
        <v>45.15</v>
      </c>
      <c r="HB1471" s="2">
        <v>45.2</v>
      </c>
      <c r="HC1471" s="2">
        <v>45.65</v>
      </c>
      <c r="HD1471" s="2">
        <v>46.45</v>
      </c>
      <c r="HE1471" s="2">
        <v>46.53</v>
      </c>
      <c r="HF1471" s="2">
        <v>47.13</v>
      </c>
      <c r="HG1471" s="2">
        <v>47.55</v>
      </c>
      <c r="HH1471" s="2">
        <v>47.72</v>
      </c>
      <c r="HI1471" s="2">
        <v>47.08</v>
      </c>
      <c r="HJ1471" s="2">
        <v>47.77</v>
      </c>
      <c r="HK1471" s="2">
        <v>49.69</v>
      </c>
      <c r="HL1471" s="2">
        <v>51.87</v>
      </c>
      <c r="HM1471" s="2">
        <v>53.43</v>
      </c>
      <c r="HN1471" s="2">
        <v>54.81</v>
      </c>
      <c r="HO1471" s="2">
        <v>55.8</v>
      </c>
      <c r="HP1471" s="2">
        <v>55.93</v>
      </c>
      <c r="HQ1471" s="2">
        <v>55.17</v>
      </c>
      <c r="HR1471" s="2">
        <v>55.46</v>
      </c>
      <c r="HS1471" s="2">
        <v>56</v>
      </c>
      <c r="HT1471" s="2">
        <v>56.7</v>
      </c>
      <c r="HU1471" s="2">
        <v>57.35</v>
      </c>
      <c r="HV1471" s="2">
        <v>58.27</v>
      </c>
      <c r="HW1471" s="2">
        <v>58.55</v>
      </c>
      <c r="HX1471" s="2">
        <v>58.18</v>
      </c>
      <c r="HY1471" s="2">
        <v>57.87</v>
      </c>
      <c r="HZ1471" s="2">
        <v>58.86</v>
      </c>
      <c r="IA1471" s="2">
        <v>59.42</v>
      </c>
      <c r="IB1471" s="2">
        <v>59.8</v>
      </c>
      <c r="IC1471" s="2">
        <v>59.8</v>
      </c>
      <c r="ID1471" s="2">
        <v>60.01</v>
      </c>
      <c r="IE1471" s="2">
        <v>60.58</v>
      </c>
      <c r="IF1471" s="2">
        <v>61.12</v>
      </c>
      <c r="IG1471" s="2">
        <v>60.91</v>
      </c>
      <c r="IH1471" s="2">
        <v>61.1</v>
      </c>
      <c r="II1471" s="2">
        <v>61.65</v>
      </c>
      <c r="IJ1471" s="2">
        <v>61.92</v>
      </c>
      <c r="IK1471" s="2">
        <v>62.16</v>
      </c>
      <c r="IL1471" s="2">
        <v>63.06</v>
      </c>
      <c r="IM1471" s="2">
        <v>64.61</v>
      </c>
      <c r="IN1471" s="2">
        <v>64.5</v>
      </c>
      <c r="IO1471" s="2">
        <v>64.92</v>
      </c>
      <c r="IP1471" s="2">
        <v>66.34999999999999</v>
      </c>
      <c r="IQ1471" s="2">
        <v>68.41</v>
      </c>
      <c r="IR1471" s="2">
        <v>68.2</v>
      </c>
      <c r="IS1471" s="2">
        <v>68.06999999999999</v>
      </c>
      <c r="IT1471" s="2">
        <v>67.61</v>
      </c>
      <c r="IU1471" s="2">
        <v>68.42</v>
      </c>
      <c r="IV1471" s="2">
        <v>68.52</v>
      </c>
      <c r="IW1471" s="2">
        <v>68.93000000000001</v>
      </c>
      <c r="IX1471" s="2">
        <v>69.05</v>
      </c>
      <c r="IY1471" s="2">
        <v>69.75</v>
      </c>
      <c r="IZ1471" s="2">
        <v>70.23</v>
      </c>
      <c r="JA1471" s="2">
        <v>69.61</v>
      </c>
      <c r="JB1471" s="2">
        <v>68.98999999999999</v>
      </c>
      <c r="JC1471" s="2">
        <v>68.79000000000001</v>
      </c>
      <c r="JD1471" s="2">
        <v>68.81</v>
      </c>
      <c r="JE1471" s="2">
        <v>68.81</v>
      </c>
      <c r="JF1471" s="2">
        <v>69.06999999999999</v>
      </c>
      <c r="JG1471" s="2">
        <v>68.89</v>
      </c>
      <c r="JH1471" s="2">
        <v>69.11</v>
      </c>
      <c r="JI1471" s="2">
        <v>68.45999999999999</v>
      </c>
      <c r="JJ1471" s="2">
        <v>68.59</v>
      </c>
      <c r="JK1471" s="2">
        <v>69.38</v>
      </c>
      <c r="JL1471" s="2">
        <v>71.01000000000001</v>
      </c>
      <c r="JM1471" s="2">
        <v>71.27</v>
      </c>
      <c r="JN1471" s="2">
        <v>71.97</v>
      </c>
      <c r="JO1471" s="2">
        <v>73.08</v>
      </c>
      <c r="JP1471" s="2">
        <v>73.83</v>
      </c>
      <c r="JQ1471" s="2">
        <v>73.86</v>
      </c>
      <c r="JR1471" s="2">
        <v>74.95</v>
      </c>
      <c r="JS1471" s="2">
        <v>75.84</v>
      </c>
      <c r="JT1471" s="2">
        <v>75.63</v>
      </c>
      <c r="JU1471" s="2">
        <v>75.62</v>
      </c>
      <c r="JV1471" s="2">
        <v>75.94</v>
      </c>
      <c r="KA1471" s="2">
        <v>75.89</v>
      </c>
      <c r="KB1471" s="2">
        <v>75.73999999999999</v>
      </c>
      <c r="KC1471" s="2">
        <v>75.90000000000001</v>
      </c>
      <c r="KD1471" s="2">
        <v>76.29000000000001</v>
      </c>
      <c r="KQ1471" s="2">
        <v>76.45999999999999</v>
      </c>
      <c r="KR1471" s="2">
        <v>76.56</v>
      </c>
      <c r="KS1471" s="2">
        <v>76.89</v>
      </c>
      <c r="KT1471" s="2">
        <v>78.15000000000001</v>
      </c>
      <c r="LG1471" s="2">
        <v>79.61</v>
      </c>
      <c r="LH1471" s="2">
        <v>79.81999999999999</v>
      </c>
      <c r="LI1471" s="2">
        <v>81.19</v>
      </c>
      <c r="LJ1471" s="2">
        <v>82.45999999999999</v>
      </c>
      <c r="LW1471" s="2">
        <v>84.14</v>
      </c>
      <c r="LX1471" s="2">
        <v>84.69</v>
      </c>
      <c r="LY1471" s="2">
        <v>85.52</v>
      </c>
      <c r="LZ1471" s="2">
        <v>85.61</v>
      </c>
      <c r="MM1471" s="2">
        <v>86.56</v>
      </c>
      <c r="MN1471" s="2">
        <v>87.16</v>
      </c>
      <c r="MO1471" s="2">
        <v>87.64</v>
      </c>
      <c r="MP1471" s="2">
        <v>87.73</v>
      </c>
      <c r="NC1471" s="2">
        <v>91.94</v>
      </c>
      <c r="ND1471" s="2">
        <v>92.64</v>
      </c>
      <c r="NE1471" s="2">
        <v>94.02</v>
      </c>
      <c r="NF1471" s="2">
        <v>94.92</v>
      </c>
      <c r="NS1471" s="2">
        <v>95.76000000000001</v>
      </c>
      <c r="NT1471" s="2">
        <v>95.88</v>
      </c>
      <c r="NU1471" s="2">
        <v>96.13</v>
      </c>
      <c r="NV1471" s="2">
        <v>94.97</v>
      </c>
      <c r="OI1471" s="2">
        <v>94.23999999999999</v>
      </c>
      <c r="OJ1471" s="2">
        <v>95.48999999999999</v>
      </c>
      <c r="OK1471" s="2">
        <v>96.56</v>
      </c>
      <c r="OL1471" s="2">
        <v>97.39</v>
      </c>
      <c r="OY1471" s="2">
        <v>98.31999999999999</v>
      </c>
      <c r="OZ1471" s="2">
        <v>98.34</v>
      </c>
      <c r="PA1471" s="2">
        <v>99.34</v>
      </c>
      <c r="PB1471" s="2">
        <v>101.36</v>
      </c>
      <c r="PJ1471" s="2">
        <v>102.65</v>
      </c>
      <c r="PK1471" s="2">
        <v>103.52</v>
      </c>
    </row>
    <row r="1472">
      <c r="A1472" t="inlineStr">
        <is>
          <t>A2327241X</t>
        </is>
      </c>
      <c r="B1472" t="inlineStr">
        <is>
          <t>Index Numbers ;  Beef and veal ;  Australia ;</t>
        </is>
      </c>
      <c r="C1472" t="inlineStr">
        <is>
          <t>Quarter</t>
        </is>
      </c>
      <c r="D1472" t="inlineStr">
        <is>
          <t>Index Numbers</t>
        </is>
      </c>
      <c r="E1472" t="inlineStr">
        <is>
          <t>Original</t>
        </is>
      </c>
      <c r="F1472" t="inlineStr">
        <is>
          <t>6401018.xlsx</t>
        </is>
      </c>
      <c r="G1472" t="inlineStr">
        <is>
          <t>1972Q3</t>
        </is>
      </c>
      <c r="H1472" t="inlineStr">
        <is>
          <t>2026Q2</t>
        </is>
      </c>
      <c r="DA1472" s="2">
        <v>7.19</v>
      </c>
      <c r="DB1472" s="2">
        <v>7.3</v>
      </c>
      <c r="DC1472" s="2">
        <v>7.74</v>
      </c>
      <c r="DD1472" s="2">
        <v>8.48</v>
      </c>
      <c r="DE1472" s="2">
        <v>8.960000000000001</v>
      </c>
      <c r="DF1472" s="2">
        <v>9.300000000000001</v>
      </c>
      <c r="DG1472" s="2">
        <v>9.67</v>
      </c>
      <c r="DH1472" s="2">
        <v>9.539999999999999</v>
      </c>
      <c r="DI1472" s="2">
        <v>8.76</v>
      </c>
      <c r="DJ1472" s="2">
        <v>7.98</v>
      </c>
      <c r="DK1472" s="2">
        <v>7.6</v>
      </c>
      <c r="DL1472" s="2">
        <v>7.6</v>
      </c>
      <c r="DM1472" s="2">
        <v>7.5</v>
      </c>
      <c r="DN1472" s="2">
        <v>7.94</v>
      </c>
      <c r="DO1472" s="2">
        <v>8.140000000000001</v>
      </c>
      <c r="DP1472" s="2">
        <v>8.210000000000001</v>
      </c>
      <c r="DQ1472" s="2">
        <v>8.59</v>
      </c>
      <c r="DR1472" s="2">
        <v>8.859999999999999</v>
      </c>
      <c r="DS1472" s="2">
        <v>8.890000000000001</v>
      </c>
      <c r="DT1472" s="2">
        <v>9.369999999999999</v>
      </c>
      <c r="DU1472" s="2">
        <v>9.4</v>
      </c>
      <c r="DV1472" s="2">
        <v>9.4</v>
      </c>
      <c r="DW1472" s="2">
        <v>9.640000000000001</v>
      </c>
      <c r="DX1472" s="2">
        <v>10.18</v>
      </c>
      <c r="DY1472" s="2">
        <v>11.17</v>
      </c>
      <c r="DZ1472" s="2">
        <v>11.54</v>
      </c>
      <c r="EA1472" s="2">
        <v>13.54</v>
      </c>
      <c r="EB1472" s="2">
        <v>17.61</v>
      </c>
      <c r="EC1472" s="2">
        <v>18.63</v>
      </c>
      <c r="ED1472" s="2">
        <v>18.5</v>
      </c>
      <c r="EE1472" s="2">
        <v>19.55</v>
      </c>
      <c r="EF1472" s="2">
        <v>19.68</v>
      </c>
      <c r="EG1472" s="2">
        <v>19.72</v>
      </c>
      <c r="EH1472" s="2">
        <v>19.58</v>
      </c>
      <c r="EI1472" s="2">
        <v>19.55</v>
      </c>
      <c r="EJ1472" s="2">
        <v>19.45</v>
      </c>
      <c r="EK1472" s="2">
        <v>19.51</v>
      </c>
      <c r="EL1472" s="2">
        <v>19.51</v>
      </c>
      <c r="EM1472" s="2">
        <v>19.17</v>
      </c>
      <c r="EN1472" s="2">
        <v>19.55</v>
      </c>
      <c r="EO1472" s="2">
        <v>19.68</v>
      </c>
      <c r="EP1472" s="2">
        <v>20.12</v>
      </c>
      <c r="EQ1472" s="2">
        <v>20.36</v>
      </c>
      <c r="ER1472" s="2">
        <v>23.11</v>
      </c>
      <c r="ES1472" s="2">
        <v>23.01</v>
      </c>
      <c r="ET1472" s="2">
        <v>22.67</v>
      </c>
      <c r="EU1472" s="2">
        <v>23.04</v>
      </c>
      <c r="EV1472" s="2">
        <v>23.25</v>
      </c>
      <c r="EW1472" s="2">
        <v>23.76</v>
      </c>
      <c r="EX1472" s="2">
        <v>24.06</v>
      </c>
      <c r="EY1472" s="2">
        <v>23.93</v>
      </c>
      <c r="EZ1472" s="2">
        <v>24.71</v>
      </c>
      <c r="FA1472" s="2">
        <v>24.77</v>
      </c>
      <c r="FB1472" s="2">
        <v>24.81</v>
      </c>
      <c r="FC1472" s="2">
        <v>24.94</v>
      </c>
      <c r="FD1472" s="2">
        <v>25.25</v>
      </c>
      <c r="FE1472" s="2">
        <v>25.62</v>
      </c>
      <c r="FF1472" s="2">
        <v>26.13</v>
      </c>
      <c r="FG1472" s="2">
        <v>26.4</v>
      </c>
      <c r="FH1472" s="2">
        <v>26.67</v>
      </c>
      <c r="FI1472" s="2">
        <v>27.25</v>
      </c>
      <c r="FJ1472" s="2">
        <v>27.22</v>
      </c>
      <c r="FK1472" s="2">
        <v>27.69</v>
      </c>
      <c r="FL1472" s="2">
        <v>29.05</v>
      </c>
      <c r="FM1472" s="2">
        <v>30.2</v>
      </c>
      <c r="FN1472" s="2">
        <v>30.31</v>
      </c>
      <c r="FO1472" s="2">
        <v>31.05</v>
      </c>
      <c r="FP1472" s="2">
        <v>32.85</v>
      </c>
      <c r="FQ1472" s="2">
        <v>33.6</v>
      </c>
      <c r="FR1472" s="2">
        <v>33.36</v>
      </c>
      <c r="FS1472" s="2">
        <v>33.97</v>
      </c>
      <c r="FT1472" s="2">
        <v>34.79</v>
      </c>
      <c r="FU1472" s="2">
        <v>34.85</v>
      </c>
      <c r="FV1472" s="2">
        <v>34.82</v>
      </c>
      <c r="FW1472" s="2">
        <v>34.99</v>
      </c>
      <c r="FX1472" s="2">
        <v>35.16</v>
      </c>
      <c r="FY1472" s="2">
        <v>35.23</v>
      </c>
      <c r="FZ1472" s="2">
        <v>34.89</v>
      </c>
      <c r="GA1472" s="2">
        <v>34.99</v>
      </c>
      <c r="GB1472" s="2">
        <v>35.09</v>
      </c>
      <c r="GC1472" s="2">
        <v>34.65</v>
      </c>
      <c r="GD1472" s="2">
        <v>34.04</v>
      </c>
      <c r="GE1472" s="2">
        <v>34.17</v>
      </c>
      <c r="GF1472" s="2">
        <v>34.28</v>
      </c>
      <c r="GG1472" s="2">
        <v>35.02</v>
      </c>
      <c r="GH1472" s="2">
        <v>35.29</v>
      </c>
      <c r="GI1472" s="2">
        <v>35.67</v>
      </c>
      <c r="GJ1472" s="2">
        <v>36.07</v>
      </c>
      <c r="GK1472" s="2">
        <v>36.11</v>
      </c>
      <c r="GL1472" s="2">
        <v>35.77</v>
      </c>
      <c r="GM1472" s="2">
        <v>35.7</v>
      </c>
      <c r="GN1472" s="2">
        <v>36.07</v>
      </c>
      <c r="GO1472" s="2">
        <v>36.89</v>
      </c>
      <c r="GP1472" s="2">
        <v>36.48</v>
      </c>
      <c r="GQ1472" s="2">
        <v>36.35</v>
      </c>
      <c r="GR1472" s="2">
        <v>35.91</v>
      </c>
      <c r="GS1472" s="2">
        <v>35.23</v>
      </c>
      <c r="GT1472" s="2">
        <v>35.23</v>
      </c>
      <c r="GU1472" s="2">
        <v>35.02</v>
      </c>
      <c r="GV1472" s="2">
        <v>35.19</v>
      </c>
      <c r="GW1472" s="2">
        <v>35.23</v>
      </c>
      <c r="GX1472" s="2">
        <v>35.4</v>
      </c>
      <c r="GY1472" s="2">
        <v>35.5</v>
      </c>
      <c r="GZ1472" s="2">
        <v>35.43</v>
      </c>
      <c r="HA1472" s="2">
        <v>35.4</v>
      </c>
      <c r="HB1472" s="2">
        <v>35.13</v>
      </c>
      <c r="HC1472" s="2">
        <v>35.44</v>
      </c>
      <c r="HD1472" s="2">
        <v>36.59</v>
      </c>
      <c r="HE1472" s="2">
        <v>36.66</v>
      </c>
      <c r="HF1472" s="2">
        <v>36.89</v>
      </c>
      <c r="HG1472" s="2">
        <v>37.73</v>
      </c>
      <c r="HH1472" s="2">
        <v>38.67</v>
      </c>
      <c r="HI1472" s="2">
        <v>38.04</v>
      </c>
      <c r="HJ1472" s="2">
        <v>38.33</v>
      </c>
      <c r="HK1472" s="2">
        <v>40.1</v>
      </c>
      <c r="HL1472" s="2">
        <v>43.71</v>
      </c>
      <c r="HM1472" s="2">
        <v>45.12</v>
      </c>
      <c r="HN1472" s="2">
        <v>47.62</v>
      </c>
      <c r="HO1472" s="2">
        <v>47.82</v>
      </c>
      <c r="HP1472" s="2">
        <v>48.22</v>
      </c>
      <c r="HQ1472" s="2">
        <v>46.72</v>
      </c>
      <c r="HR1472" s="2">
        <v>47.41</v>
      </c>
      <c r="HS1472" s="2">
        <v>47.72</v>
      </c>
      <c r="HT1472" s="2">
        <v>48.99</v>
      </c>
      <c r="HU1472" s="2">
        <v>50.07</v>
      </c>
      <c r="HV1472" s="2">
        <v>50.16</v>
      </c>
      <c r="HW1472" s="2">
        <v>50.27</v>
      </c>
      <c r="HX1472" s="2">
        <v>50.15</v>
      </c>
      <c r="HY1472" s="2">
        <v>49.71</v>
      </c>
      <c r="HZ1472" s="2">
        <v>51.5</v>
      </c>
      <c r="IA1472" s="2">
        <v>53.08</v>
      </c>
      <c r="IB1472" s="2">
        <v>54.32</v>
      </c>
      <c r="IC1472" s="2">
        <v>54.22</v>
      </c>
      <c r="ID1472" s="2">
        <v>55.29</v>
      </c>
      <c r="IE1472" s="2">
        <v>55.84</v>
      </c>
      <c r="IF1472" s="2">
        <v>56.34</v>
      </c>
      <c r="IG1472" s="2">
        <v>56.16</v>
      </c>
      <c r="IH1472" s="2">
        <v>55.11</v>
      </c>
      <c r="II1472" s="2">
        <v>54.58</v>
      </c>
      <c r="IJ1472" s="2">
        <v>55.61</v>
      </c>
      <c r="IK1472" s="2">
        <v>55.39</v>
      </c>
      <c r="IL1472" s="2">
        <v>55.14</v>
      </c>
      <c r="IM1472" s="2">
        <v>56.84</v>
      </c>
      <c r="IN1472" s="2">
        <v>56.56</v>
      </c>
      <c r="IO1472" s="2">
        <v>56.61</v>
      </c>
      <c r="IP1472" s="2">
        <v>57.43</v>
      </c>
      <c r="IQ1472" s="2">
        <v>58.57</v>
      </c>
      <c r="IR1472" s="2">
        <v>58.32</v>
      </c>
      <c r="IS1472" s="2">
        <v>57.78</v>
      </c>
      <c r="IT1472" s="2">
        <v>57.74</v>
      </c>
      <c r="IU1472" s="2">
        <v>58.09</v>
      </c>
      <c r="IV1472" s="2">
        <v>57.9</v>
      </c>
      <c r="IW1472" s="2">
        <v>58.45</v>
      </c>
      <c r="IX1472" s="2">
        <v>56.32</v>
      </c>
      <c r="IY1472" s="2">
        <v>55.98</v>
      </c>
      <c r="IZ1472" s="2">
        <v>56.09</v>
      </c>
      <c r="JA1472" s="2">
        <v>55.44</v>
      </c>
      <c r="JB1472" s="2">
        <v>55.26</v>
      </c>
      <c r="JC1472" s="2">
        <v>55.93</v>
      </c>
      <c r="JD1472" s="2">
        <v>56.16</v>
      </c>
      <c r="JE1472" s="2">
        <v>56.36</v>
      </c>
      <c r="JF1472" s="2">
        <v>56.16</v>
      </c>
      <c r="JG1472" s="2">
        <v>56.09</v>
      </c>
      <c r="JH1472" s="2">
        <v>55.8</v>
      </c>
      <c r="JI1472" s="2">
        <v>54.37</v>
      </c>
      <c r="JJ1472" s="2">
        <v>54.51</v>
      </c>
      <c r="JK1472" s="2">
        <v>55.81</v>
      </c>
      <c r="JL1472" s="2">
        <v>57.57</v>
      </c>
      <c r="JM1472" s="2">
        <v>58.79</v>
      </c>
      <c r="JN1472" s="2">
        <v>59.75</v>
      </c>
      <c r="JO1472" s="2">
        <v>60.99</v>
      </c>
      <c r="JP1472" s="2">
        <v>62.2</v>
      </c>
      <c r="JQ1472" s="2">
        <v>64</v>
      </c>
      <c r="JR1472" s="2">
        <v>66.66</v>
      </c>
      <c r="JS1472" s="2">
        <v>68.98999999999999</v>
      </c>
      <c r="JT1472" s="2">
        <v>68.98999999999999</v>
      </c>
      <c r="JU1472" s="2">
        <v>69.68000000000001</v>
      </c>
      <c r="JV1472" s="2">
        <v>69.84</v>
      </c>
      <c r="KA1472" s="2">
        <v>69.16</v>
      </c>
      <c r="KB1472" s="2">
        <v>69.39</v>
      </c>
      <c r="KC1472" s="2">
        <v>69.45</v>
      </c>
      <c r="KD1472" s="2">
        <v>69.64</v>
      </c>
      <c r="KQ1472" s="2">
        <v>70.31</v>
      </c>
      <c r="KR1472" s="2">
        <v>69.06</v>
      </c>
      <c r="KS1472" s="2">
        <v>69.58</v>
      </c>
      <c r="KT1472" s="2">
        <v>70.88</v>
      </c>
      <c r="LG1472" s="2">
        <v>72.97</v>
      </c>
      <c r="LH1472" s="2">
        <v>73.23</v>
      </c>
      <c r="LI1472" s="2">
        <v>74.54000000000001</v>
      </c>
      <c r="LJ1472" s="2">
        <v>76.7</v>
      </c>
      <c r="LW1472" s="2">
        <v>79.39</v>
      </c>
      <c r="LX1472" s="2">
        <v>78.45999999999999</v>
      </c>
      <c r="LY1472" s="2">
        <v>80.53</v>
      </c>
      <c r="LZ1472" s="2">
        <v>82.94</v>
      </c>
      <c r="MM1472" s="2">
        <v>86</v>
      </c>
      <c r="MN1472" s="2">
        <v>89.08</v>
      </c>
      <c r="MO1472" s="2">
        <v>89.31999999999999</v>
      </c>
      <c r="MP1472" s="2">
        <v>89.64</v>
      </c>
      <c r="NC1472" s="2">
        <v>96.38</v>
      </c>
      <c r="ND1472" s="2">
        <v>97.45999999999999</v>
      </c>
      <c r="NE1472" s="2">
        <v>97.62</v>
      </c>
      <c r="NF1472" s="2">
        <v>97.34999999999999</v>
      </c>
      <c r="NS1472" s="2">
        <v>97.12</v>
      </c>
      <c r="NT1472" s="2">
        <v>95.54000000000001</v>
      </c>
      <c r="NU1472" s="2">
        <v>94.33</v>
      </c>
      <c r="NV1472" s="2">
        <v>92.95</v>
      </c>
      <c r="OI1472" s="2">
        <v>91.5</v>
      </c>
      <c r="OJ1472" s="2">
        <v>92.06</v>
      </c>
      <c r="OK1472" s="2">
        <v>92.78</v>
      </c>
      <c r="OL1472" s="2">
        <v>93.5</v>
      </c>
      <c r="OY1472" s="2">
        <v>94.90000000000001</v>
      </c>
      <c r="OZ1472" s="2">
        <v>96.29000000000001</v>
      </c>
      <c r="PA1472" s="2">
        <v>98.45999999999999</v>
      </c>
      <c r="PB1472" s="2">
        <v>103.67</v>
      </c>
      <c r="PJ1472" s="2">
        <v>106.47</v>
      </c>
      <c r="PK1472" s="2">
        <v>108.2</v>
      </c>
    </row>
    <row r="1473">
      <c r="A1473" t="inlineStr">
        <is>
          <t>A3604358R</t>
        </is>
      </c>
      <c r="B1473" t="inlineStr">
        <is>
          <t>Index Numbers ;  Pork ;  Australia ;</t>
        </is>
      </c>
      <c r="C1473" t="inlineStr">
        <is>
          <t>Quarter</t>
        </is>
      </c>
      <c r="D1473" t="inlineStr">
        <is>
          <t>Index Numbers</t>
        </is>
      </c>
      <c r="E1473" t="inlineStr">
        <is>
          <t>Original</t>
        </is>
      </c>
      <c r="F1473" t="inlineStr">
        <is>
          <t>6401018.xlsx</t>
        </is>
      </c>
      <c r="G1473" t="inlineStr">
        <is>
          <t>1980Q3</t>
        </is>
      </c>
      <c r="H1473" t="inlineStr">
        <is>
          <t>2026Q2</t>
        </is>
      </c>
      <c r="EG1473" s="2">
        <v>26.46</v>
      </c>
      <c r="EH1473" s="2">
        <v>27.82</v>
      </c>
      <c r="EI1473" s="2">
        <v>28.71</v>
      </c>
      <c r="EJ1473" s="2">
        <v>28.88</v>
      </c>
      <c r="EK1473" s="2">
        <v>29.94</v>
      </c>
      <c r="EL1473" s="2">
        <v>31.17</v>
      </c>
      <c r="EM1473" s="2">
        <v>31.76</v>
      </c>
      <c r="EN1473" s="2">
        <v>32.65</v>
      </c>
      <c r="EO1473" s="2">
        <v>34.05</v>
      </c>
      <c r="EP1473" s="2">
        <v>34.52</v>
      </c>
      <c r="EQ1473" s="2">
        <v>35.19</v>
      </c>
      <c r="ER1473" s="2">
        <v>35.28</v>
      </c>
      <c r="ES1473" s="2">
        <v>34.3</v>
      </c>
      <c r="ET1473" s="2">
        <v>34.22</v>
      </c>
      <c r="EU1473" s="2">
        <v>33.84</v>
      </c>
      <c r="EV1473" s="2">
        <v>34.13</v>
      </c>
      <c r="EW1473" s="2">
        <v>34.39</v>
      </c>
      <c r="EX1473" s="2">
        <v>34.9</v>
      </c>
      <c r="EY1473" s="2">
        <v>35.7</v>
      </c>
      <c r="EZ1473" s="2">
        <v>35.75</v>
      </c>
      <c r="FA1473" s="2">
        <v>36.09</v>
      </c>
      <c r="FB1473" s="2">
        <v>36.04</v>
      </c>
      <c r="FC1473" s="2">
        <v>36.47</v>
      </c>
      <c r="FD1473" s="2">
        <v>36.51</v>
      </c>
      <c r="FE1473" s="2">
        <v>35.96</v>
      </c>
      <c r="FF1473" s="2">
        <v>37.61</v>
      </c>
      <c r="FG1473" s="2">
        <v>37.06</v>
      </c>
      <c r="FH1473" s="2">
        <v>36.89</v>
      </c>
      <c r="FI1473" s="2">
        <v>37.1</v>
      </c>
      <c r="FJ1473" s="2">
        <v>37.74</v>
      </c>
      <c r="FK1473" s="2">
        <v>37.87</v>
      </c>
      <c r="FL1473" s="2">
        <v>37.99</v>
      </c>
      <c r="FM1473" s="2">
        <v>37.95</v>
      </c>
      <c r="FN1473" s="2">
        <v>39.48</v>
      </c>
      <c r="FO1473" s="2">
        <v>40.66</v>
      </c>
      <c r="FP1473" s="2">
        <v>40.88</v>
      </c>
      <c r="FQ1473" s="2">
        <v>41.39</v>
      </c>
      <c r="FR1473" s="2">
        <v>42.7</v>
      </c>
      <c r="FS1473" s="2">
        <v>42.66</v>
      </c>
      <c r="FT1473" s="2">
        <v>42.83</v>
      </c>
      <c r="FU1473" s="2">
        <v>42.28</v>
      </c>
      <c r="FV1473" s="2">
        <v>43.08</v>
      </c>
      <c r="FW1473" s="2">
        <v>43.55</v>
      </c>
      <c r="FX1473" s="2">
        <v>43.55</v>
      </c>
      <c r="FY1473" s="2">
        <v>42.7</v>
      </c>
      <c r="FZ1473" s="2">
        <v>43.29</v>
      </c>
      <c r="GA1473" s="2">
        <v>43.51</v>
      </c>
      <c r="GB1473" s="2">
        <v>43.12</v>
      </c>
      <c r="GC1473" s="2">
        <v>43.29</v>
      </c>
      <c r="GD1473" s="2">
        <v>43.12</v>
      </c>
      <c r="GE1473" s="2">
        <v>43.68</v>
      </c>
      <c r="GF1473" s="2">
        <v>43.89</v>
      </c>
      <c r="GG1473" s="2">
        <v>44.1</v>
      </c>
      <c r="GH1473" s="2">
        <v>45.12</v>
      </c>
      <c r="GI1473" s="2">
        <v>44.99</v>
      </c>
      <c r="GJ1473" s="2">
        <v>44.44</v>
      </c>
      <c r="GK1473" s="2">
        <v>43.76</v>
      </c>
      <c r="GL1473" s="2">
        <v>44.35</v>
      </c>
      <c r="GM1473" s="2">
        <v>44.78</v>
      </c>
      <c r="GN1473" s="2">
        <v>44.52</v>
      </c>
      <c r="GO1473" s="2">
        <v>45.12</v>
      </c>
      <c r="GP1473" s="2">
        <v>45.33</v>
      </c>
      <c r="GQ1473" s="2">
        <v>45.8</v>
      </c>
      <c r="GR1473" s="2">
        <v>46.86</v>
      </c>
      <c r="GS1473" s="2">
        <v>47.49</v>
      </c>
      <c r="GT1473" s="2">
        <v>48.51</v>
      </c>
      <c r="GU1473" s="2">
        <v>48.89</v>
      </c>
      <c r="GV1473" s="2">
        <v>48.64</v>
      </c>
      <c r="GW1473" s="2">
        <v>47.92</v>
      </c>
      <c r="GX1473" s="2">
        <v>48.3</v>
      </c>
      <c r="GY1473" s="2">
        <v>48.42</v>
      </c>
      <c r="GZ1473" s="2">
        <v>47.79</v>
      </c>
      <c r="HA1473" s="2">
        <v>47.36</v>
      </c>
      <c r="HB1473" s="2">
        <v>47.19</v>
      </c>
      <c r="HC1473" s="2">
        <v>47.66</v>
      </c>
      <c r="HD1473" s="2">
        <v>47.32</v>
      </c>
      <c r="HE1473" s="2">
        <v>48.09</v>
      </c>
      <c r="HF1473" s="2">
        <v>50.37</v>
      </c>
      <c r="HG1473" s="2">
        <v>50.8</v>
      </c>
      <c r="HH1473" s="2">
        <v>49.7</v>
      </c>
      <c r="HI1473" s="2">
        <v>49.78</v>
      </c>
      <c r="HJ1473" s="2">
        <v>50.54</v>
      </c>
      <c r="HK1473" s="2">
        <v>52.37</v>
      </c>
      <c r="HL1473" s="2">
        <v>54.4</v>
      </c>
      <c r="HM1473" s="2">
        <v>56.99</v>
      </c>
      <c r="HN1473" s="2">
        <v>58.09</v>
      </c>
      <c r="HO1473" s="2">
        <v>60.38</v>
      </c>
      <c r="HP1473" s="2">
        <v>59.36</v>
      </c>
      <c r="HQ1473" s="2">
        <v>59.15</v>
      </c>
      <c r="HR1473" s="2">
        <v>58.26</v>
      </c>
      <c r="HS1473" s="2">
        <v>58.73</v>
      </c>
      <c r="HT1473" s="2">
        <v>59.36</v>
      </c>
      <c r="HU1473" s="2">
        <v>58.56</v>
      </c>
      <c r="HV1473" s="2">
        <v>60.3</v>
      </c>
      <c r="HW1473" s="2">
        <v>60.17</v>
      </c>
      <c r="HX1473" s="2">
        <v>59.15</v>
      </c>
      <c r="HY1473" s="2">
        <v>56.35</v>
      </c>
      <c r="HZ1473" s="2">
        <v>60.76</v>
      </c>
      <c r="IA1473" s="2">
        <v>61.06</v>
      </c>
      <c r="IB1473" s="2">
        <v>63.1</v>
      </c>
      <c r="IC1473" s="2">
        <v>62.88</v>
      </c>
      <c r="ID1473" s="2">
        <v>61.99</v>
      </c>
      <c r="IE1473" s="2">
        <v>63.56</v>
      </c>
      <c r="IF1473" s="2">
        <v>63.35</v>
      </c>
      <c r="IG1473" s="2">
        <v>63.77</v>
      </c>
      <c r="IH1473" s="2">
        <v>65.47</v>
      </c>
      <c r="II1473" s="2">
        <v>66.83</v>
      </c>
      <c r="IJ1473" s="2">
        <v>65.09</v>
      </c>
      <c r="IK1473" s="2">
        <v>64.5</v>
      </c>
      <c r="IL1473" s="2">
        <v>65.13</v>
      </c>
      <c r="IM1473" s="2">
        <v>67.04000000000001</v>
      </c>
      <c r="IN1473" s="2">
        <v>66.79000000000001</v>
      </c>
      <c r="IO1473" s="2">
        <v>65.59999999999999</v>
      </c>
      <c r="IP1473" s="2">
        <v>68.95</v>
      </c>
      <c r="IQ1473" s="2">
        <v>72.51000000000001</v>
      </c>
      <c r="IR1473" s="2">
        <v>72</v>
      </c>
      <c r="IS1473" s="2">
        <v>71.03</v>
      </c>
      <c r="IT1473" s="2">
        <v>68.65000000000001</v>
      </c>
      <c r="IU1473" s="2">
        <v>71.79000000000001</v>
      </c>
      <c r="IV1473" s="2">
        <v>70.77</v>
      </c>
      <c r="IW1473" s="2">
        <v>70.86</v>
      </c>
      <c r="IX1473" s="2">
        <v>72.81</v>
      </c>
      <c r="IY1473" s="2">
        <v>73.40000000000001</v>
      </c>
      <c r="IZ1473" s="2">
        <v>73.02</v>
      </c>
      <c r="JA1473" s="2">
        <v>72.64</v>
      </c>
      <c r="JB1473" s="2">
        <v>70.97</v>
      </c>
      <c r="JC1473" s="2">
        <v>71.93000000000001</v>
      </c>
      <c r="JD1473" s="2">
        <v>70.76000000000001</v>
      </c>
      <c r="JE1473" s="2">
        <v>71</v>
      </c>
      <c r="JF1473" s="2">
        <v>71.48999999999999</v>
      </c>
      <c r="JG1473" s="2">
        <v>72.06999999999999</v>
      </c>
      <c r="JH1473" s="2">
        <v>72.09</v>
      </c>
      <c r="JI1473" s="2">
        <v>72.17</v>
      </c>
      <c r="JJ1473" s="2">
        <v>71.63</v>
      </c>
      <c r="JK1473" s="2">
        <v>73.90000000000001</v>
      </c>
      <c r="JL1473" s="2">
        <v>74.52</v>
      </c>
      <c r="JM1473" s="2">
        <v>74.44</v>
      </c>
      <c r="JN1473" s="2">
        <v>75.70999999999999</v>
      </c>
      <c r="JO1473" s="2">
        <v>77.8</v>
      </c>
      <c r="JP1473" s="2">
        <v>77.91</v>
      </c>
      <c r="JQ1473" s="2">
        <v>78.23999999999999</v>
      </c>
      <c r="JR1473" s="2">
        <v>79.33</v>
      </c>
      <c r="JS1473" s="2">
        <v>80.36</v>
      </c>
      <c r="JT1473" s="2">
        <v>79.7</v>
      </c>
      <c r="JU1473" s="2">
        <v>78.8</v>
      </c>
      <c r="JV1473" s="2">
        <v>80.06</v>
      </c>
      <c r="KA1473" s="2">
        <v>79.90000000000001</v>
      </c>
      <c r="KB1473" s="2">
        <v>77.48999999999999</v>
      </c>
      <c r="KC1473" s="2">
        <v>77.87</v>
      </c>
      <c r="KD1473" s="2">
        <v>78.26000000000001</v>
      </c>
      <c r="KQ1473" s="2">
        <v>78.59999999999999</v>
      </c>
      <c r="KR1473" s="2">
        <v>77.79000000000001</v>
      </c>
      <c r="KS1473" s="2">
        <v>77.11</v>
      </c>
      <c r="KT1473" s="2">
        <v>77.79000000000001</v>
      </c>
      <c r="LG1473" s="2">
        <v>78.42</v>
      </c>
      <c r="LH1473" s="2">
        <v>78.7</v>
      </c>
      <c r="LI1473" s="2">
        <v>80.14</v>
      </c>
      <c r="LJ1473" s="2">
        <v>83.95999999999999</v>
      </c>
      <c r="LW1473" s="2">
        <v>85.12</v>
      </c>
      <c r="LX1473" s="2">
        <v>86.17</v>
      </c>
      <c r="LY1473" s="2">
        <v>86.38</v>
      </c>
      <c r="LZ1473" s="2">
        <v>86.7</v>
      </c>
      <c r="MM1473" s="2">
        <v>86.78</v>
      </c>
      <c r="MN1473" s="2">
        <v>85.78</v>
      </c>
      <c r="MO1473" s="2">
        <v>86.03</v>
      </c>
      <c r="MP1473" s="2">
        <v>87.26000000000001</v>
      </c>
      <c r="NC1473" s="2">
        <v>89.64</v>
      </c>
      <c r="ND1473" s="2">
        <v>89.18000000000001</v>
      </c>
      <c r="NE1473" s="2">
        <v>89.33</v>
      </c>
      <c r="NF1473" s="2">
        <v>91.38</v>
      </c>
      <c r="NS1473" s="2">
        <v>93.11</v>
      </c>
      <c r="NT1473" s="2">
        <v>92.48999999999999</v>
      </c>
      <c r="NU1473" s="2">
        <v>93.36</v>
      </c>
      <c r="NV1473" s="2">
        <v>96.39</v>
      </c>
      <c r="OI1473" s="2">
        <v>96.94</v>
      </c>
      <c r="OJ1473" s="2">
        <v>96.86</v>
      </c>
      <c r="OK1473" s="2">
        <v>96.67</v>
      </c>
      <c r="OL1473" s="2">
        <v>98.81</v>
      </c>
      <c r="OY1473" s="2">
        <v>100.59</v>
      </c>
      <c r="OZ1473" s="2">
        <v>99.84999999999999</v>
      </c>
      <c r="PA1473" s="2">
        <v>100.01</v>
      </c>
      <c r="PB1473" s="2">
        <v>99.92</v>
      </c>
      <c r="PJ1473" s="2">
        <v>100.9</v>
      </c>
      <c r="PK1473" s="2">
        <v>101.68</v>
      </c>
    </row>
    <row r="1474">
      <c r="A1474" t="inlineStr">
        <is>
          <t>A2327286C</t>
        </is>
      </c>
      <c r="B1474" t="inlineStr">
        <is>
          <t>Index Numbers ;  Lamb and goat ;  Australia ;</t>
        </is>
      </c>
      <c r="C1474" t="inlineStr">
        <is>
          <t>Quarter</t>
        </is>
      </c>
      <c r="D1474" t="inlineStr">
        <is>
          <t>Index Numbers</t>
        </is>
      </c>
      <c r="E1474" t="inlineStr">
        <is>
          <t>Original</t>
        </is>
      </c>
      <c r="F1474" t="inlineStr">
        <is>
          <t>6401018.xlsx</t>
        </is>
      </c>
      <c r="G1474" t="inlineStr">
        <is>
          <t>1972Q3</t>
        </is>
      </c>
      <c r="H1474" t="inlineStr">
        <is>
          <t>2026Q2</t>
        </is>
      </c>
      <c r="DA1474" s="2">
        <v>4.78</v>
      </c>
      <c r="DB1474" s="2">
        <v>4.88</v>
      </c>
      <c r="DC1474" s="2">
        <v>5.79</v>
      </c>
      <c r="DD1474" s="2">
        <v>6.71</v>
      </c>
      <c r="DE1474" s="2">
        <v>7.48</v>
      </c>
      <c r="DF1474" s="2">
        <v>7.62</v>
      </c>
      <c r="DG1474" s="2">
        <v>8.69</v>
      </c>
      <c r="DH1474" s="2">
        <v>8.76</v>
      </c>
      <c r="DI1474" s="2">
        <v>7.95</v>
      </c>
      <c r="DJ1474" s="2">
        <v>6.78</v>
      </c>
      <c r="DK1474" s="2">
        <v>7.01</v>
      </c>
      <c r="DL1474" s="2">
        <v>7.67</v>
      </c>
      <c r="DM1474" s="2">
        <v>7.8</v>
      </c>
      <c r="DN1474" s="2">
        <v>7.77</v>
      </c>
      <c r="DO1474" s="2">
        <v>7.97</v>
      </c>
      <c r="DP1474" s="2">
        <v>7.95</v>
      </c>
      <c r="DQ1474" s="2">
        <v>8.710000000000001</v>
      </c>
      <c r="DR1474" s="2">
        <v>9.33</v>
      </c>
      <c r="DS1474" s="2">
        <v>9.31</v>
      </c>
      <c r="DT1474" s="2">
        <v>10.15</v>
      </c>
      <c r="DU1474" s="2">
        <v>10.12</v>
      </c>
      <c r="DV1474" s="2">
        <v>9.779999999999999</v>
      </c>
      <c r="DW1474" s="2">
        <v>10.72</v>
      </c>
      <c r="DX1474" s="2">
        <v>11.41</v>
      </c>
      <c r="DY1474" s="2">
        <v>11.73</v>
      </c>
      <c r="DZ1474" s="2">
        <v>11.51</v>
      </c>
      <c r="EA1474" s="2">
        <v>13.07</v>
      </c>
      <c r="EB1474" s="2">
        <v>15.27</v>
      </c>
      <c r="EC1474" s="2">
        <v>14.31</v>
      </c>
      <c r="ED1474" s="2">
        <v>13.84</v>
      </c>
      <c r="EE1474" s="2">
        <v>15.79</v>
      </c>
      <c r="EF1474" s="2">
        <v>16.73</v>
      </c>
      <c r="EG1474" s="2">
        <v>16.44</v>
      </c>
      <c r="EH1474" s="2">
        <v>15.15</v>
      </c>
      <c r="EI1474" s="2">
        <v>15.59</v>
      </c>
      <c r="EJ1474" s="2">
        <v>15.82</v>
      </c>
      <c r="EK1474" s="2">
        <v>16.59</v>
      </c>
      <c r="EL1474" s="2">
        <v>15.62</v>
      </c>
      <c r="EM1474" s="2">
        <v>15.55</v>
      </c>
      <c r="EN1474" s="2">
        <v>16.41</v>
      </c>
      <c r="EO1474" s="2">
        <v>15.62</v>
      </c>
      <c r="EP1474" s="2">
        <v>15.79</v>
      </c>
      <c r="EQ1474" s="2">
        <v>16.14</v>
      </c>
      <c r="ER1474" s="2">
        <v>19.13</v>
      </c>
      <c r="ES1474" s="2">
        <v>16.11</v>
      </c>
      <c r="ET1474" s="2">
        <v>15.1</v>
      </c>
      <c r="EU1474" s="2">
        <v>16.88</v>
      </c>
      <c r="EV1474" s="2">
        <v>16.98</v>
      </c>
      <c r="EW1474" s="2">
        <v>17.85</v>
      </c>
      <c r="EX1474" s="2">
        <v>17.15</v>
      </c>
      <c r="EY1474" s="2">
        <v>16.93</v>
      </c>
      <c r="EZ1474" s="2">
        <v>17.7</v>
      </c>
      <c r="FA1474" s="2">
        <v>17.58</v>
      </c>
      <c r="FB1474" s="2">
        <v>16.29</v>
      </c>
      <c r="FC1474" s="2">
        <v>16.83</v>
      </c>
      <c r="FD1474" s="2">
        <v>18.29</v>
      </c>
      <c r="FE1474" s="2">
        <v>20.45</v>
      </c>
      <c r="FF1474" s="2">
        <v>19.31</v>
      </c>
      <c r="FG1474" s="2">
        <v>20.52</v>
      </c>
      <c r="FH1474" s="2">
        <v>20.99</v>
      </c>
      <c r="FI1474" s="2">
        <v>21.41</v>
      </c>
      <c r="FJ1474" s="2">
        <v>20.32</v>
      </c>
      <c r="FK1474" s="2">
        <v>21.09</v>
      </c>
      <c r="FL1474" s="2">
        <v>22.82</v>
      </c>
      <c r="FM1474" s="2">
        <v>23.71</v>
      </c>
      <c r="FN1474" s="2">
        <v>22.18</v>
      </c>
      <c r="FO1474" s="2">
        <v>23.12</v>
      </c>
      <c r="FP1474" s="2">
        <v>24.43</v>
      </c>
      <c r="FQ1474" s="2">
        <v>24.46</v>
      </c>
      <c r="FR1474" s="2">
        <v>23.81</v>
      </c>
      <c r="FS1474" s="2">
        <v>24.83</v>
      </c>
      <c r="FT1474" s="2">
        <v>25.92</v>
      </c>
      <c r="FU1474" s="2">
        <v>25.67</v>
      </c>
      <c r="FV1474" s="2">
        <v>24.28</v>
      </c>
      <c r="FW1474" s="2">
        <v>25.2</v>
      </c>
      <c r="FX1474" s="2">
        <v>24.85</v>
      </c>
      <c r="FY1474" s="2">
        <v>25</v>
      </c>
      <c r="FZ1474" s="2">
        <v>23.62</v>
      </c>
      <c r="GA1474" s="2">
        <v>23.76</v>
      </c>
      <c r="GB1474" s="2">
        <v>24.06</v>
      </c>
      <c r="GC1474" s="2">
        <v>24.04</v>
      </c>
      <c r="GD1474" s="2">
        <v>23.54</v>
      </c>
      <c r="GE1474" s="2">
        <v>26.14</v>
      </c>
      <c r="GF1474" s="2">
        <v>25.94</v>
      </c>
      <c r="GG1474" s="2">
        <v>28.17</v>
      </c>
      <c r="GH1474" s="2">
        <v>27.08</v>
      </c>
      <c r="GI1474" s="2">
        <v>27.2</v>
      </c>
      <c r="GJ1474" s="2">
        <v>26.88</v>
      </c>
      <c r="GK1474" s="2">
        <v>25.82</v>
      </c>
      <c r="GL1474" s="2">
        <v>25.74</v>
      </c>
      <c r="GM1474" s="2">
        <v>26.78</v>
      </c>
      <c r="GN1474" s="2">
        <v>28.17</v>
      </c>
      <c r="GO1474" s="2">
        <v>30.08</v>
      </c>
      <c r="GP1474" s="2">
        <v>28.22</v>
      </c>
      <c r="GQ1474" s="2">
        <v>30.74</v>
      </c>
      <c r="GR1474" s="2">
        <v>30.77</v>
      </c>
      <c r="GS1474" s="2">
        <v>30.94</v>
      </c>
      <c r="GT1474" s="2">
        <v>30.1</v>
      </c>
      <c r="GU1474" s="2">
        <v>30.25</v>
      </c>
      <c r="GV1474" s="2">
        <v>30.35</v>
      </c>
      <c r="GW1474" s="2">
        <v>31.12</v>
      </c>
      <c r="GX1474" s="2">
        <v>30.13</v>
      </c>
      <c r="GY1474" s="2">
        <v>29.9</v>
      </c>
      <c r="GZ1474" s="2">
        <v>30.37</v>
      </c>
      <c r="HA1474" s="2">
        <v>30.19</v>
      </c>
      <c r="HB1474" s="2">
        <v>29.89</v>
      </c>
      <c r="HC1474" s="2">
        <v>30.66</v>
      </c>
      <c r="HD1474" s="2">
        <v>32.09</v>
      </c>
      <c r="HE1474" s="2">
        <v>31.34</v>
      </c>
      <c r="HF1474" s="2">
        <v>30.97</v>
      </c>
      <c r="HG1474" s="2">
        <v>31.17</v>
      </c>
      <c r="HH1474" s="2">
        <v>31.85</v>
      </c>
      <c r="HI1474" s="2">
        <v>31.28</v>
      </c>
      <c r="HJ1474" s="2">
        <v>30.91</v>
      </c>
      <c r="HK1474" s="2">
        <v>33.06</v>
      </c>
      <c r="HL1474" s="2">
        <v>36.65</v>
      </c>
      <c r="HM1474" s="2">
        <v>38.79</v>
      </c>
      <c r="HN1474" s="2">
        <v>39.83</v>
      </c>
      <c r="HO1474" s="2">
        <v>41.59</v>
      </c>
      <c r="HP1474" s="2">
        <v>43.56</v>
      </c>
      <c r="HQ1474" s="2">
        <v>42.36</v>
      </c>
      <c r="HR1474" s="2">
        <v>42.44</v>
      </c>
      <c r="HS1474" s="2">
        <v>44.35</v>
      </c>
      <c r="HT1474" s="2">
        <v>46.49</v>
      </c>
      <c r="HU1474" s="2">
        <v>49.85</v>
      </c>
      <c r="HV1474" s="2">
        <v>49.05</v>
      </c>
      <c r="HW1474" s="2">
        <v>49.47</v>
      </c>
      <c r="HX1474" s="2">
        <v>49.15</v>
      </c>
      <c r="HY1474" s="2">
        <v>51.49</v>
      </c>
      <c r="HZ1474" s="2">
        <v>49.96</v>
      </c>
      <c r="IA1474" s="2">
        <v>50.64</v>
      </c>
      <c r="IB1474" s="2">
        <v>50.02</v>
      </c>
      <c r="IC1474" s="2">
        <v>53.13</v>
      </c>
      <c r="ID1474" s="2">
        <v>51.77</v>
      </c>
      <c r="IE1474" s="2">
        <v>52.06</v>
      </c>
      <c r="IF1474" s="2">
        <v>53.24</v>
      </c>
      <c r="IG1474" s="2">
        <v>53.53</v>
      </c>
      <c r="IH1474" s="2">
        <v>53.14</v>
      </c>
      <c r="II1474" s="2">
        <v>51.49</v>
      </c>
      <c r="IJ1474" s="2">
        <v>52.78</v>
      </c>
      <c r="IK1474" s="2">
        <v>52.83</v>
      </c>
      <c r="IL1474" s="2">
        <v>52.83</v>
      </c>
      <c r="IM1474" s="2">
        <v>53.99</v>
      </c>
      <c r="IN1474" s="2">
        <v>55.01</v>
      </c>
      <c r="IO1474" s="2">
        <v>55.2</v>
      </c>
      <c r="IP1474" s="2">
        <v>56.56</v>
      </c>
      <c r="IQ1474" s="2">
        <v>60.09</v>
      </c>
      <c r="IR1474" s="2">
        <v>60.59</v>
      </c>
      <c r="IS1474" s="2">
        <v>60.39</v>
      </c>
      <c r="IT1474" s="2">
        <v>59.22</v>
      </c>
      <c r="IU1474" s="2">
        <v>61.2</v>
      </c>
      <c r="IV1474" s="2">
        <v>62.72</v>
      </c>
      <c r="IW1474" s="2">
        <v>63.51</v>
      </c>
      <c r="IX1474" s="2">
        <v>64.08</v>
      </c>
      <c r="IY1474" s="2">
        <v>68.36</v>
      </c>
      <c r="IZ1474" s="2">
        <v>69.97</v>
      </c>
      <c r="JA1474" s="2">
        <v>68.01000000000001</v>
      </c>
      <c r="JB1474" s="2">
        <v>66.69</v>
      </c>
      <c r="JC1474" s="2">
        <v>67.18000000000001</v>
      </c>
      <c r="JD1474" s="2">
        <v>66.62</v>
      </c>
      <c r="JE1474" s="2">
        <v>65.06999999999999</v>
      </c>
      <c r="JF1474" s="2">
        <v>58.47</v>
      </c>
      <c r="JG1474" s="2">
        <v>59.09</v>
      </c>
      <c r="JH1474" s="2">
        <v>58.31</v>
      </c>
      <c r="JI1474" s="2">
        <v>58.13</v>
      </c>
      <c r="JJ1474" s="2">
        <v>57.59</v>
      </c>
      <c r="JK1474" s="2">
        <v>58.21</v>
      </c>
      <c r="JL1474" s="2">
        <v>63.02</v>
      </c>
      <c r="JM1474" s="2">
        <v>61.61</v>
      </c>
      <c r="JN1474" s="2">
        <v>59.35</v>
      </c>
      <c r="JO1474" s="2">
        <v>62.01</v>
      </c>
      <c r="JP1474" s="2">
        <v>63.47</v>
      </c>
      <c r="JQ1474" s="2">
        <v>64.03</v>
      </c>
      <c r="JR1474" s="2">
        <v>66.48</v>
      </c>
      <c r="JS1474" s="2">
        <v>66.72</v>
      </c>
      <c r="JT1474" s="2">
        <v>67.29000000000001</v>
      </c>
      <c r="JU1474" s="2">
        <v>69.20999999999999</v>
      </c>
      <c r="JV1474" s="2">
        <v>68.08</v>
      </c>
      <c r="KA1474" s="2">
        <v>67.66</v>
      </c>
      <c r="KB1474" s="2">
        <v>70.08</v>
      </c>
      <c r="KC1474" s="2">
        <v>69.81</v>
      </c>
      <c r="KD1474" s="2">
        <v>70.04000000000001</v>
      </c>
      <c r="KQ1474" s="2">
        <v>70.06999999999999</v>
      </c>
      <c r="KR1474" s="2">
        <v>71.59</v>
      </c>
      <c r="KS1474" s="2">
        <v>72.94</v>
      </c>
      <c r="KT1474" s="2">
        <v>77.95</v>
      </c>
      <c r="LG1474" s="2">
        <v>80.79000000000001</v>
      </c>
      <c r="LH1474" s="2">
        <v>81.23</v>
      </c>
      <c r="LI1474" s="2">
        <v>83.34999999999999</v>
      </c>
      <c r="LJ1474" s="2">
        <v>82.56</v>
      </c>
      <c r="LW1474" s="2">
        <v>84.91</v>
      </c>
      <c r="LX1474" s="2">
        <v>85.09</v>
      </c>
      <c r="LY1474" s="2">
        <v>85.98999999999999</v>
      </c>
      <c r="LZ1474" s="2">
        <v>83.77</v>
      </c>
      <c r="MM1474" s="2">
        <v>86.31</v>
      </c>
      <c r="MN1474" s="2">
        <v>86.67</v>
      </c>
      <c r="MO1474" s="2">
        <v>86.77</v>
      </c>
      <c r="MP1474" s="2">
        <v>86.5</v>
      </c>
      <c r="NC1474" s="2">
        <v>92.58</v>
      </c>
      <c r="ND1474" s="2">
        <v>92.81</v>
      </c>
      <c r="NE1474" s="2">
        <v>91.56</v>
      </c>
      <c r="NF1474" s="2">
        <v>89.27</v>
      </c>
      <c r="NS1474" s="2">
        <v>90.34999999999999</v>
      </c>
      <c r="NT1474" s="2">
        <v>90.53</v>
      </c>
      <c r="NU1474" s="2">
        <v>86.34</v>
      </c>
      <c r="NV1474" s="2">
        <v>75.81999999999999</v>
      </c>
      <c r="OI1474" s="2">
        <v>75.20999999999999</v>
      </c>
      <c r="OJ1474" s="2">
        <v>80.66</v>
      </c>
      <c r="OK1474" s="2">
        <v>86.92</v>
      </c>
      <c r="OL1474" s="2">
        <v>88.98999999999999</v>
      </c>
      <c r="OY1474" s="2">
        <v>90.01000000000001</v>
      </c>
      <c r="OZ1474" s="2">
        <v>90.40000000000001</v>
      </c>
      <c r="PA1474" s="2">
        <v>95.67</v>
      </c>
      <c r="PB1474" s="2">
        <v>100.94</v>
      </c>
      <c r="PJ1474" s="2">
        <v>101.67</v>
      </c>
      <c r="PK1474" s="2">
        <v>103.71</v>
      </c>
    </row>
    <row r="1475">
      <c r="A1475" t="inlineStr">
        <is>
          <t>A2327376J</t>
        </is>
      </c>
      <c r="B1475" t="inlineStr">
        <is>
          <t>Index Numbers ;  Poultry ;  Australia ;</t>
        </is>
      </c>
      <c r="C1475" t="inlineStr">
        <is>
          <t>Quarter</t>
        </is>
      </c>
      <c r="D1475" t="inlineStr">
        <is>
          <t>Index Numbers</t>
        </is>
      </c>
      <c r="E1475" t="inlineStr">
        <is>
          <t>Original</t>
        </is>
      </c>
      <c r="F1475" t="inlineStr">
        <is>
          <t>6401018.xlsx</t>
        </is>
      </c>
      <c r="G1475" t="inlineStr">
        <is>
          <t>1972Q3</t>
        </is>
      </c>
      <c r="H1475" t="inlineStr">
        <is>
          <t>2026Q2</t>
        </is>
      </c>
      <c r="DA1475" s="2">
        <v>25.66</v>
      </c>
      <c r="DB1475" s="2">
        <v>25.89</v>
      </c>
      <c r="DC1475" s="2">
        <v>25.74</v>
      </c>
      <c r="DD1475" s="2">
        <v>27.76</v>
      </c>
      <c r="DE1475" s="2">
        <v>29.56</v>
      </c>
      <c r="DF1475" s="2">
        <v>29.71</v>
      </c>
      <c r="DG1475" s="2">
        <v>31.59</v>
      </c>
      <c r="DH1475" s="2">
        <v>32.44</v>
      </c>
      <c r="DI1475" s="2">
        <v>32.91</v>
      </c>
      <c r="DJ1475" s="2">
        <v>32.44</v>
      </c>
      <c r="DK1475" s="2">
        <v>32.05</v>
      </c>
      <c r="DL1475" s="2">
        <v>34.39</v>
      </c>
      <c r="DM1475" s="2">
        <v>35.41</v>
      </c>
      <c r="DN1475" s="2">
        <v>35.41</v>
      </c>
      <c r="DO1475" s="2">
        <v>37.04</v>
      </c>
      <c r="DP1475" s="2">
        <v>37.12</v>
      </c>
      <c r="DQ1475" s="2">
        <v>36.58</v>
      </c>
      <c r="DR1475" s="2">
        <v>37.04</v>
      </c>
      <c r="DS1475" s="2">
        <v>40.16</v>
      </c>
      <c r="DT1475" s="2">
        <v>40.63</v>
      </c>
      <c r="DU1475" s="2">
        <v>41.57</v>
      </c>
      <c r="DV1475" s="2">
        <v>42.27</v>
      </c>
      <c r="DW1475" s="2">
        <v>42.04</v>
      </c>
      <c r="DX1475" s="2">
        <v>42.27</v>
      </c>
      <c r="DY1475" s="2">
        <v>41.65</v>
      </c>
      <c r="DZ1475" s="2">
        <v>42.97</v>
      </c>
      <c r="EA1475" s="2">
        <v>43.6</v>
      </c>
      <c r="EB1475" s="2">
        <v>44.3</v>
      </c>
      <c r="EC1475" s="2">
        <v>46.17</v>
      </c>
      <c r="ED1475" s="2">
        <v>45.7</v>
      </c>
      <c r="EE1475" s="2">
        <v>46.17</v>
      </c>
      <c r="EF1475" s="2">
        <v>48.59</v>
      </c>
      <c r="EG1475" s="2">
        <v>47.34</v>
      </c>
      <c r="EH1475" s="2">
        <v>50.93</v>
      </c>
      <c r="EI1475" s="2">
        <v>53.81</v>
      </c>
      <c r="EJ1475" s="2">
        <v>54.44</v>
      </c>
      <c r="EK1475" s="2">
        <v>55.68</v>
      </c>
      <c r="EL1475" s="2">
        <v>57.24</v>
      </c>
      <c r="EM1475" s="2">
        <v>58.26</v>
      </c>
      <c r="EN1475" s="2">
        <v>58.1</v>
      </c>
      <c r="EO1475" s="2">
        <v>59.51</v>
      </c>
      <c r="EP1475" s="2">
        <v>59.19</v>
      </c>
      <c r="EQ1475" s="2">
        <v>60.83</v>
      </c>
      <c r="ER1475" s="2">
        <v>60.52</v>
      </c>
      <c r="ES1475" s="2">
        <v>64.5</v>
      </c>
      <c r="ET1475" s="2">
        <v>61.3</v>
      </c>
      <c r="EU1475" s="2">
        <v>61.69</v>
      </c>
      <c r="EV1475" s="2">
        <v>59.58</v>
      </c>
      <c r="EW1475" s="2">
        <v>60.36</v>
      </c>
      <c r="EX1475" s="2">
        <v>62.08</v>
      </c>
      <c r="EY1475" s="2">
        <v>64.18000000000001</v>
      </c>
      <c r="EZ1475" s="2">
        <v>64.11</v>
      </c>
      <c r="FA1475" s="2">
        <v>63.25</v>
      </c>
      <c r="FB1475" s="2">
        <v>63.72</v>
      </c>
      <c r="FC1475" s="2">
        <v>65.81999999999999</v>
      </c>
      <c r="FD1475" s="2">
        <v>65.28</v>
      </c>
      <c r="FE1475" s="2">
        <v>64.65000000000001</v>
      </c>
      <c r="FF1475" s="2">
        <v>65.43000000000001</v>
      </c>
      <c r="FG1475" s="2">
        <v>67.69</v>
      </c>
      <c r="FH1475" s="2">
        <v>70.27</v>
      </c>
      <c r="FI1475" s="2">
        <v>68.16</v>
      </c>
      <c r="FJ1475" s="2">
        <v>68.47</v>
      </c>
      <c r="FK1475" s="2">
        <v>68.08</v>
      </c>
      <c r="FL1475" s="2">
        <v>71.52</v>
      </c>
      <c r="FM1475" s="2">
        <v>70.34999999999999</v>
      </c>
      <c r="FN1475" s="2">
        <v>73.39</v>
      </c>
      <c r="FO1475" s="2">
        <v>75.02</v>
      </c>
      <c r="FP1475" s="2">
        <v>77.91</v>
      </c>
      <c r="FQ1475" s="2">
        <v>76.66</v>
      </c>
      <c r="FR1475" s="2">
        <v>78.92</v>
      </c>
      <c r="FS1475" s="2">
        <v>78.22</v>
      </c>
      <c r="FT1475" s="2">
        <v>78.14</v>
      </c>
      <c r="FU1475" s="2">
        <v>75.48999999999999</v>
      </c>
      <c r="FV1475" s="2">
        <v>75.34</v>
      </c>
      <c r="FW1475" s="2">
        <v>76.19</v>
      </c>
      <c r="FX1475" s="2">
        <v>73.93000000000001</v>
      </c>
      <c r="FY1475" s="2">
        <v>72.06</v>
      </c>
      <c r="FZ1475" s="2">
        <v>70.81</v>
      </c>
      <c r="GA1475" s="2">
        <v>71.2</v>
      </c>
      <c r="GB1475" s="2">
        <v>69.8</v>
      </c>
      <c r="GC1475" s="2">
        <v>68.70999999999999</v>
      </c>
      <c r="GD1475" s="2">
        <v>68.86</v>
      </c>
      <c r="GE1475" s="2">
        <v>68.55</v>
      </c>
      <c r="GF1475" s="2">
        <v>69.41</v>
      </c>
      <c r="GG1475" s="2">
        <v>68.63</v>
      </c>
      <c r="GH1475" s="2">
        <v>67.23</v>
      </c>
      <c r="GI1475" s="2">
        <v>64.73</v>
      </c>
      <c r="GJ1475" s="2">
        <v>65.2</v>
      </c>
      <c r="GK1475" s="2">
        <v>63.72</v>
      </c>
      <c r="GL1475" s="2">
        <v>64.5</v>
      </c>
      <c r="GM1475" s="2">
        <v>69.41</v>
      </c>
      <c r="GN1475" s="2">
        <v>69.09999999999999</v>
      </c>
      <c r="GO1475" s="2">
        <v>67.84999999999999</v>
      </c>
      <c r="GP1475" s="2">
        <v>70.66</v>
      </c>
      <c r="GQ1475" s="2">
        <v>71.52</v>
      </c>
      <c r="GR1475" s="2">
        <v>72.84</v>
      </c>
      <c r="GS1475" s="2">
        <v>74.17</v>
      </c>
      <c r="GT1475" s="2">
        <v>75.48999999999999</v>
      </c>
      <c r="GU1475" s="2">
        <v>76.27</v>
      </c>
      <c r="GV1475" s="2">
        <v>74.40000000000001</v>
      </c>
      <c r="GW1475" s="2">
        <v>76.19</v>
      </c>
      <c r="GX1475" s="2">
        <v>75.02</v>
      </c>
      <c r="GY1475" s="2">
        <v>75.09999999999999</v>
      </c>
      <c r="GZ1475" s="2">
        <v>74.01000000000001</v>
      </c>
      <c r="HA1475" s="2">
        <v>73.23999999999999</v>
      </c>
      <c r="HB1475" s="2">
        <v>73.67</v>
      </c>
      <c r="HC1475" s="2">
        <v>74.56999999999999</v>
      </c>
      <c r="HD1475" s="2">
        <v>75.41</v>
      </c>
      <c r="HE1475" s="2">
        <v>74.81999999999999</v>
      </c>
      <c r="HF1475" s="2">
        <v>74.55</v>
      </c>
      <c r="HG1475" s="2">
        <v>74.23999999999999</v>
      </c>
      <c r="HH1475" s="2">
        <v>74.40000000000001</v>
      </c>
      <c r="HI1475" s="2">
        <v>71.19</v>
      </c>
      <c r="HJ1475" s="2">
        <v>71.97</v>
      </c>
      <c r="HK1475" s="2">
        <v>75.17</v>
      </c>
      <c r="HL1475" s="2">
        <v>75.76000000000001</v>
      </c>
      <c r="HM1475" s="2">
        <v>76.2</v>
      </c>
      <c r="HN1475" s="2">
        <v>76.41</v>
      </c>
      <c r="HO1475" s="2">
        <v>79.15000000000001</v>
      </c>
      <c r="HP1475" s="2">
        <v>77.04000000000001</v>
      </c>
      <c r="HQ1475" s="2">
        <v>76.02</v>
      </c>
      <c r="HR1475" s="2">
        <v>75.26000000000001</v>
      </c>
      <c r="HS1475" s="2">
        <v>76.69</v>
      </c>
      <c r="HT1475" s="2">
        <v>76.55</v>
      </c>
      <c r="HU1475" s="2">
        <v>76.98</v>
      </c>
      <c r="HV1475" s="2">
        <v>80.81999999999999</v>
      </c>
      <c r="HW1475" s="2">
        <v>82.56</v>
      </c>
      <c r="HX1475" s="2">
        <v>81.31</v>
      </c>
      <c r="HY1475" s="2">
        <v>81.20999999999999</v>
      </c>
      <c r="HZ1475" s="2">
        <v>80.88</v>
      </c>
      <c r="IA1475" s="2">
        <v>80.59</v>
      </c>
      <c r="IB1475" s="2">
        <v>78.11</v>
      </c>
      <c r="IC1475" s="2">
        <v>76.65000000000001</v>
      </c>
      <c r="ID1475" s="2">
        <v>76.19</v>
      </c>
      <c r="IE1475" s="2">
        <v>75.33</v>
      </c>
      <c r="IF1475" s="2">
        <v>75.84999999999999</v>
      </c>
      <c r="IG1475" s="2">
        <v>74.15000000000001</v>
      </c>
      <c r="IH1475" s="2">
        <v>73.93000000000001</v>
      </c>
      <c r="II1475" s="2">
        <v>75.5</v>
      </c>
      <c r="IJ1475" s="2">
        <v>75.98</v>
      </c>
      <c r="IK1475" s="2">
        <v>77.13</v>
      </c>
      <c r="IL1475" s="2">
        <v>80.34</v>
      </c>
      <c r="IM1475" s="2">
        <v>84.26000000000001</v>
      </c>
      <c r="IN1475" s="2">
        <v>84.29000000000001</v>
      </c>
      <c r="IO1475" s="2">
        <v>83.75</v>
      </c>
      <c r="IP1475" s="2">
        <v>84.14</v>
      </c>
      <c r="IQ1475" s="2">
        <v>84.52</v>
      </c>
      <c r="IR1475" s="2">
        <v>82.70999999999999</v>
      </c>
      <c r="IS1475" s="2">
        <v>83.95</v>
      </c>
      <c r="IT1475" s="2">
        <v>83.93000000000001</v>
      </c>
      <c r="IU1475" s="2">
        <v>82.48</v>
      </c>
      <c r="IV1475" s="2">
        <v>83.23</v>
      </c>
      <c r="IW1475" s="2">
        <v>83.06</v>
      </c>
      <c r="IX1475" s="2">
        <v>84.43000000000001</v>
      </c>
      <c r="IY1475" s="2">
        <v>84.67</v>
      </c>
      <c r="IZ1475" s="2">
        <v>85.26000000000001</v>
      </c>
      <c r="JA1475" s="2">
        <v>84.02</v>
      </c>
      <c r="JB1475" s="2">
        <v>81.45999999999999</v>
      </c>
      <c r="JC1475" s="2">
        <v>78.91</v>
      </c>
      <c r="JD1475" s="2">
        <v>79.20999999999999</v>
      </c>
      <c r="JE1475" s="2">
        <v>80.52</v>
      </c>
      <c r="JF1475" s="2">
        <v>85.33</v>
      </c>
      <c r="JG1475" s="2">
        <v>85.45</v>
      </c>
      <c r="JH1475" s="2">
        <v>85.20999999999999</v>
      </c>
      <c r="JI1475" s="2">
        <v>84.12</v>
      </c>
      <c r="JJ1475" s="2">
        <v>85.16</v>
      </c>
      <c r="JK1475" s="2">
        <v>85.38</v>
      </c>
      <c r="JL1475" s="2">
        <v>84.84999999999999</v>
      </c>
      <c r="JM1475" s="2">
        <v>85.05</v>
      </c>
      <c r="JN1475" s="2">
        <v>85.39</v>
      </c>
      <c r="JO1475" s="2">
        <v>85.56</v>
      </c>
      <c r="JP1475" s="2">
        <v>85.39</v>
      </c>
      <c r="JQ1475" s="2">
        <v>83.77</v>
      </c>
      <c r="JR1475" s="2">
        <v>82.26000000000001</v>
      </c>
      <c r="JS1475" s="2">
        <v>83.09</v>
      </c>
      <c r="JT1475" s="2">
        <v>81.17</v>
      </c>
      <c r="JU1475" s="2">
        <v>80.91</v>
      </c>
      <c r="JV1475" s="2">
        <v>81.31999999999999</v>
      </c>
      <c r="KA1475" s="2">
        <v>82.11</v>
      </c>
      <c r="KB1475" s="2">
        <v>81.26000000000001</v>
      </c>
      <c r="KC1475" s="2">
        <v>81.12</v>
      </c>
      <c r="KD1475" s="2">
        <v>82.17</v>
      </c>
      <c r="KQ1475" s="2">
        <v>82.56</v>
      </c>
      <c r="KR1475" s="2">
        <v>82.38</v>
      </c>
      <c r="KS1475" s="2">
        <v>82.70999999999999</v>
      </c>
      <c r="KT1475" s="2">
        <v>83.5</v>
      </c>
      <c r="LG1475" s="2">
        <v>85.93000000000001</v>
      </c>
      <c r="LH1475" s="2">
        <v>85.76000000000001</v>
      </c>
      <c r="LI1475" s="2">
        <v>86.93000000000001</v>
      </c>
      <c r="LJ1475" s="2">
        <v>86.16</v>
      </c>
      <c r="LW1475" s="2">
        <v>86.93000000000001</v>
      </c>
      <c r="LX1475" s="2">
        <v>85.84999999999999</v>
      </c>
      <c r="LY1475" s="2">
        <v>87.22</v>
      </c>
      <c r="LZ1475" s="2">
        <v>86.13</v>
      </c>
      <c r="MM1475" s="2">
        <v>86.76000000000001</v>
      </c>
      <c r="MN1475" s="2">
        <v>86.34</v>
      </c>
      <c r="MO1475" s="2">
        <v>86.92</v>
      </c>
      <c r="MP1475" s="2">
        <v>85.44</v>
      </c>
      <c r="NC1475" s="2">
        <v>89.98999999999999</v>
      </c>
      <c r="ND1475" s="2">
        <v>91.39</v>
      </c>
      <c r="NE1475" s="2">
        <v>94.33</v>
      </c>
      <c r="NF1475" s="2">
        <v>95.42</v>
      </c>
      <c r="NS1475" s="2">
        <v>96.52</v>
      </c>
      <c r="NT1475" s="2">
        <v>98.61</v>
      </c>
      <c r="NU1475" s="2">
        <v>99.7</v>
      </c>
      <c r="NV1475" s="2">
        <v>98.26000000000001</v>
      </c>
      <c r="OI1475" s="2">
        <v>98.5</v>
      </c>
      <c r="OJ1475" s="2">
        <v>99.17</v>
      </c>
      <c r="OK1475" s="2">
        <v>100.76</v>
      </c>
      <c r="OL1475" s="2">
        <v>100.82</v>
      </c>
      <c r="OY1475" s="2">
        <v>101.65</v>
      </c>
      <c r="OZ1475" s="2">
        <v>100.22</v>
      </c>
      <c r="PA1475" s="2">
        <v>100.31</v>
      </c>
      <c r="PB1475" s="2">
        <v>100.25</v>
      </c>
      <c r="PJ1475" s="2">
        <v>101.09</v>
      </c>
      <c r="PK1475" s="2">
        <v>101.57</v>
      </c>
    </row>
    <row r="1476">
      <c r="A1476" t="inlineStr">
        <is>
          <t>A2327466L</t>
        </is>
      </c>
      <c r="B1476" t="inlineStr">
        <is>
          <t>Index Numbers ;  Other meats ;  Australia ;</t>
        </is>
      </c>
      <c r="C1476" t="inlineStr">
        <is>
          <t>Quarter</t>
        </is>
      </c>
      <c r="D1476" t="inlineStr">
        <is>
          <t>Index Numbers</t>
        </is>
      </c>
      <c r="E1476" t="inlineStr">
        <is>
          <t>Original</t>
        </is>
      </c>
      <c r="F1476" t="inlineStr">
        <is>
          <t>6401018.xlsx</t>
        </is>
      </c>
      <c r="G1476" t="inlineStr">
        <is>
          <t>1980Q3</t>
        </is>
      </c>
      <c r="H1476" t="inlineStr">
        <is>
          <t>2026Q2</t>
        </is>
      </c>
      <c r="EG1476" s="2">
        <v>20.98</v>
      </c>
      <c r="EH1476" s="2">
        <v>21.43</v>
      </c>
      <c r="EI1476" s="2">
        <v>21.98</v>
      </c>
      <c r="EJ1476" s="2">
        <v>22.05</v>
      </c>
      <c r="EK1476" s="2">
        <v>22.15</v>
      </c>
      <c r="EL1476" s="2">
        <v>22.43</v>
      </c>
      <c r="EM1476" s="2">
        <v>22.84</v>
      </c>
      <c r="EN1476" s="2">
        <v>23.18</v>
      </c>
      <c r="EO1476" s="2">
        <v>23.29</v>
      </c>
      <c r="EP1476" s="2">
        <v>23.67</v>
      </c>
      <c r="EQ1476" s="2">
        <v>24.43</v>
      </c>
      <c r="ER1476" s="2">
        <v>24.36</v>
      </c>
      <c r="ES1476" s="2">
        <v>24.8</v>
      </c>
      <c r="ET1476" s="2">
        <v>24.87</v>
      </c>
      <c r="EU1476" s="2">
        <v>24.94</v>
      </c>
      <c r="EV1476" s="2">
        <v>24.74</v>
      </c>
      <c r="EW1476" s="2">
        <v>24.94</v>
      </c>
      <c r="EX1476" s="2">
        <v>25.01</v>
      </c>
      <c r="EY1476" s="2">
        <v>25.49</v>
      </c>
      <c r="EZ1476" s="2">
        <v>26.22</v>
      </c>
      <c r="FA1476" s="2">
        <v>26.6</v>
      </c>
      <c r="FB1476" s="2">
        <v>26.84</v>
      </c>
      <c r="FC1476" s="2">
        <v>27.11</v>
      </c>
      <c r="FD1476" s="2">
        <v>27.22</v>
      </c>
      <c r="FE1476" s="2">
        <v>27.49</v>
      </c>
      <c r="FF1476" s="2">
        <v>28.15</v>
      </c>
      <c r="FG1476" s="2">
        <v>28.18</v>
      </c>
      <c r="FH1476" s="2">
        <v>28.7</v>
      </c>
      <c r="FI1476" s="2">
        <v>29.39</v>
      </c>
      <c r="FJ1476" s="2">
        <v>29.7</v>
      </c>
      <c r="FK1476" s="2">
        <v>29.87</v>
      </c>
      <c r="FL1476" s="2">
        <v>30.38</v>
      </c>
      <c r="FM1476" s="2">
        <v>31.25</v>
      </c>
      <c r="FN1476" s="2">
        <v>31.73</v>
      </c>
      <c r="FO1476" s="2">
        <v>32.11</v>
      </c>
      <c r="FP1476" s="2">
        <v>32.62</v>
      </c>
      <c r="FQ1476" s="2">
        <v>33.45</v>
      </c>
      <c r="FR1476" s="2">
        <v>34.35</v>
      </c>
      <c r="FS1476" s="2">
        <v>34.9</v>
      </c>
      <c r="FT1476" s="2">
        <v>35.1</v>
      </c>
      <c r="FU1476" s="2">
        <v>35</v>
      </c>
      <c r="FV1476" s="2">
        <v>35.52</v>
      </c>
      <c r="FW1476" s="2">
        <v>36.17</v>
      </c>
      <c r="FX1476" s="2">
        <v>36.28</v>
      </c>
      <c r="FY1476" s="2">
        <v>36.69</v>
      </c>
      <c r="FZ1476" s="2">
        <v>36.52</v>
      </c>
      <c r="GA1476" s="2">
        <v>36.65</v>
      </c>
      <c r="GB1476" s="2">
        <v>36.69</v>
      </c>
      <c r="GC1476" s="2">
        <v>35.86</v>
      </c>
      <c r="GD1476" s="2">
        <v>36.14</v>
      </c>
      <c r="GE1476" s="2">
        <v>36.52</v>
      </c>
      <c r="GF1476" s="2">
        <v>36.52</v>
      </c>
      <c r="GG1476" s="2">
        <v>35.62</v>
      </c>
      <c r="GH1476" s="2">
        <v>36.38</v>
      </c>
      <c r="GI1476" s="2">
        <v>36.38</v>
      </c>
      <c r="GJ1476" s="2">
        <v>36.69</v>
      </c>
      <c r="GK1476" s="2">
        <v>35.72</v>
      </c>
      <c r="GL1476" s="2">
        <v>36.45</v>
      </c>
      <c r="GM1476" s="2">
        <v>37.14</v>
      </c>
      <c r="GN1476" s="2">
        <v>37.48</v>
      </c>
      <c r="GO1476" s="2">
        <v>37.72</v>
      </c>
      <c r="GP1476" s="2">
        <v>37.14</v>
      </c>
      <c r="GQ1476" s="2">
        <v>37.58</v>
      </c>
      <c r="GR1476" s="2">
        <v>38.62</v>
      </c>
      <c r="GS1476" s="2">
        <v>38.93</v>
      </c>
      <c r="GT1476" s="2">
        <v>38.96</v>
      </c>
      <c r="GU1476" s="2">
        <v>38.58</v>
      </c>
      <c r="GV1476" s="2">
        <v>39.03</v>
      </c>
      <c r="GW1476" s="2">
        <v>39.38</v>
      </c>
      <c r="GX1476" s="2">
        <v>39.55</v>
      </c>
      <c r="GY1476" s="2">
        <v>39.51</v>
      </c>
      <c r="GZ1476" s="2">
        <v>39.65</v>
      </c>
      <c r="HA1476" s="2">
        <v>39.92</v>
      </c>
      <c r="HB1476" s="2">
        <v>39.74</v>
      </c>
      <c r="HC1476" s="2">
        <v>39.84</v>
      </c>
      <c r="HD1476" s="2">
        <v>40.57</v>
      </c>
      <c r="HE1476" s="2">
        <v>41.16</v>
      </c>
      <c r="HF1476" s="2">
        <v>41.32</v>
      </c>
      <c r="HG1476" s="2">
        <v>41.94</v>
      </c>
      <c r="HH1476" s="2">
        <v>42.32</v>
      </c>
      <c r="HI1476" s="2">
        <v>41.98</v>
      </c>
      <c r="HJ1476" s="2">
        <v>43.05</v>
      </c>
      <c r="HK1476" s="2">
        <v>44.51</v>
      </c>
      <c r="HL1476" s="2">
        <v>46.8</v>
      </c>
      <c r="HM1476" s="2">
        <v>48.17</v>
      </c>
      <c r="HN1476" s="2">
        <v>49.41</v>
      </c>
      <c r="HO1476" s="2">
        <v>50.06</v>
      </c>
      <c r="HP1476" s="2">
        <v>50.9</v>
      </c>
      <c r="HQ1476" s="2">
        <v>50.35</v>
      </c>
      <c r="HR1476" s="2">
        <v>50.85</v>
      </c>
      <c r="HS1476" s="2">
        <v>50.57</v>
      </c>
      <c r="HT1476" s="2">
        <v>50.61</v>
      </c>
      <c r="HU1476" s="2">
        <v>51.16</v>
      </c>
      <c r="HV1476" s="2">
        <v>51.67</v>
      </c>
      <c r="HW1476" s="2">
        <v>52.02</v>
      </c>
      <c r="HX1476" s="2">
        <v>52.38</v>
      </c>
      <c r="HY1476" s="2">
        <v>52.26</v>
      </c>
      <c r="HZ1476" s="2">
        <v>52.13</v>
      </c>
      <c r="IA1476" s="2">
        <v>52.25</v>
      </c>
      <c r="IB1476" s="2">
        <v>52.55</v>
      </c>
      <c r="IC1476" s="2">
        <v>52.37</v>
      </c>
      <c r="ID1476" s="2">
        <v>52.46</v>
      </c>
      <c r="IE1476" s="2">
        <v>52.89</v>
      </c>
      <c r="IF1476" s="2">
        <v>54.46</v>
      </c>
      <c r="IG1476" s="2">
        <v>54.39</v>
      </c>
      <c r="IH1476" s="2">
        <v>54.83</v>
      </c>
      <c r="II1476" s="2">
        <v>55.27</v>
      </c>
      <c r="IJ1476" s="2">
        <v>55.39</v>
      </c>
      <c r="IK1476" s="2">
        <v>55.44</v>
      </c>
      <c r="IL1476" s="2">
        <v>56.75</v>
      </c>
      <c r="IM1476" s="2">
        <v>57.09</v>
      </c>
      <c r="IN1476" s="2">
        <v>57</v>
      </c>
      <c r="IO1476" s="2">
        <v>58.54</v>
      </c>
      <c r="IP1476" s="2">
        <v>60.8</v>
      </c>
      <c r="IQ1476" s="2">
        <v>62.49</v>
      </c>
      <c r="IR1476" s="2">
        <v>62.72</v>
      </c>
      <c r="IS1476" s="2">
        <v>62.07</v>
      </c>
      <c r="IT1476" s="2">
        <v>62</v>
      </c>
      <c r="IU1476" s="2">
        <v>63.06</v>
      </c>
      <c r="IV1476" s="2">
        <v>63.52</v>
      </c>
      <c r="IW1476" s="2">
        <v>64.31999999999999</v>
      </c>
      <c r="IX1476" s="2">
        <v>64.36</v>
      </c>
      <c r="IY1476" s="2">
        <v>65.16</v>
      </c>
      <c r="IZ1476" s="2">
        <v>66.59999999999999</v>
      </c>
      <c r="JA1476" s="2">
        <v>66.81</v>
      </c>
      <c r="JB1476" s="2">
        <v>68.09</v>
      </c>
      <c r="JC1476" s="2">
        <v>67.81</v>
      </c>
      <c r="JD1476" s="2">
        <v>68.91</v>
      </c>
      <c r="JE1476" s="2">
        <v>68.06999999999999</v>
      </c>
      <c r="JF1476" s="2">
        <v>67.78</v>
      </c>
      <c r="JG1476" s="2">
        <v>66.75</v>
      </c>
      <c r="JH1476" s="2">
        <v>67.61</v>
      </c>
      <c r="JI1476" s="2">
        <v>66.11</v>
      </c>
      <c r="JJ1476" s="2">
        <v>65.33</v>
      </c>
      <c r="JK1476" s="2">
        <v>67.05</v>
      </c>
      <c r="JL1476" s="2">
        <v>70.22</v>
      </c>
      <c r="JM1476" s="2">
        <v>71.28</v>
      </c>
      <c r="JN1476" s="2">
        <v>72.81999999999999</v>
      </c>
      <c r="JO1476" s="2">
        <v>75.11</v>
      </c>
      <c r="JP1476" s="2">
        <v>74.95</v>
      </c>
      <c r="JQ1476" s="2">
        <v>75.47</v>
      </c>
      <c r="JR1476" s="2">
        <v>75.88</v>
      </c>
      <c r="JS1476" s="2">
        <v>76.77</v>
      </c>
      <c r="JT1476" s="2">
        <v>76.52</v>
      </c>
      <c r="JU1476" s="2">
        <v>75.54000000000001</v>
      </c>
      <c r="JV1476" s="2">
        <v>75.95</v>
      </c>
      <c r="KA1476" s="2">
        <v>75.93000000000001</v>
      </c>
      <c r="KB1476" s="2">
        <v>76.40000000000001</v>
      </c>
      <c r="KC1476" s="2">
        <v>76.97</v>
      </c>
      <c r="KD1476" s="2">
        <v>77.25</v>
      </c>
      <c r="KQ1476" s="2">
        <v>76.81999999999999</v>
      </c>
      <c r="KR1476" s="2">
        <v>77.23</v>
      </c>
      <c r="KS1476" s="2">
        <v>77.31999999999999</v>
      </c>
      <c r="KT1476" s="2">
        <v>77.79000000000001</v>
      </c>
      <c r="LG1476" s="2">
        <v>78.34999999999999</v>
      </c>
      <c r="LH1476" s="2">
        <v>79.08</v>
      </c>
      <c r="LI1476" s="2">
        <v>80.94</v>
      </c>
      <c r="LJ1476" s="2">
        <v>83.55</v>
      </c>
      <c r="LW1476" s="2">
        <v>85.58</v>
      </c>
      <c r="LX1476" s="2">
        <v>87.13</v>
      </c>
      <c r="LY1476" s="2">
        <v>88.26000000000001</v>
      </c>
      <c r="LZ1476" s="2">
        <v>87.72</v>
      </c>
      <c r="MM1476" s="2">
        <v>87.75</v>
      </c>
      <c r="MN1476" s="2">
        <v>88.98999999999999</v>
      </c>
      <c r="MO1476" s="2">
        <v>89.48999999999999</v>
      </c>
      <c r="MP1476" s="2">
        <v>89.94</v>
      </c>
      <c r="NC1476" s="2">
        <v>94.09</v>
      </c>
      <c r="ND1476" s="2">
        <v>95.48999999999999</v>
      </c>
      <c r="NE1476" s="2">
        <v>97.44</v>
      </c>
      <c r="NF1476" s="2">
        <v>98.86</v>
      </c>
      <c r="NS1476" s="2">
        <v>100.32</v>
      </c>
      <c r="NT1476" s="2">
        <v>100.13</v>
      </c>
      <c r="NU1476" s="2">
        <v>101.12</v>
      </c>
      <c r="NV1476" s="2">
        <v>100.81</v>
      </c>
      <c r="OI1476" s="2">
        <v>99.54000000000001</v>
      </c>
      <c r="OJ1476" s="2">
        <v>100.27</v>
      </c>
      <c r="OK1476" s="2">
        <v>99.31</v>
      </c>
      <c r="OL1476" s="2">
        <v>100.65</v>
      </c>
      <c r="OY1476" s="2">
        <v>101.78</v>
      </c>
      <c r="OZ1476" s="2">
        <v>101.56</v>
      </c>
      <c r="PA1476" s="2">
        <v>100.75</v>
      </c>
      <c r="PB1476" s="2">
        <v>102.19</v>
      </c>
      <c r="PJ1476" s="2">
        <v>103.27</v>
      </c>
      <c r="PK1476" s="2">
        <v>103.87</v>
      </c>
    </row>
    <row r="1477">
      <c r="A1477" t="inlineStr">
        <is>
          <t>A2327511L</t>
        </is>
      </c>
      <c r="B1477" t="inlineStr">
        <is>
          <t>Index Numbers ;  Fish and other seafood ;  Australia ;</t>
        </is>
      </c>
      <c r="C1477" t="inlineStr">
        <is>
          <t>Quarter</t>
        </is>
      </c>
      <c r="D1477" t="inlineStr">
        <is>
          <t>Index Numbers</t>
        </is>
      </c>
      <c r="E1477" t="inlineStr">
        <is>
          <t>Original</t>
        </is>
      </c>
      <c r="F1477" t="inlineStr">
        <is>
          <t>6401018.xlsx</t>
        </is>
      </c>
      <c r="G1477" t="inlineStr">
        <is>
          <t>1976Q3</t>
        </is>
      </c>
      <c r="H1477" t="inlineStr">
        <is>
          <t>2026Q2</t>
        </is>
      </c>
      <c r="DQ1477" s="2">
        <v>12.46</v>
      </c>
      <c r="DR1477" s="2">
        <v>13.13</v>
      </c>
      <c r="DS1477" s="2">
        <v>14.46</v>
      </c>
      <c r="DT1477" s="2">
        <v>15.32</v>
      </c>
      <c r="DU1477" s="2">
        <v>15.7</v>
      </c>
      <c r="DV1477" s="2">
        <v>16.41</v>
      </c>
      <c r="DW1477" s="2">
        <v>16.74</v>
      </c>
      <c r="DX1477" s="2">
        <v>16.79</v>
      </c>
      <c r="DY1477" s="2">
        <v>17.08</v>
      </c>
      <c r="DZ1477" s="2">
        <v>17.84</v>
      </c>
      <c r="EA1477" s="2">
        <v>17.79</v>
      </c>
      <c r="EB1477" s="2">
        <v>18.55</v>
      </c>
      <c r="EC1477" s="2">
        <v>19.12</v>
      </c>
      <c r="ED1477" s="2">
        <v>20.4</v>
      </c>
      <c r="EE1477" s="2">
        <v>21.17</v>
      </c>
      <c r="EF1477" s="2">
        <v>21.21</v>
      </c>
      <c r="EG1477" s="2">
        <v>21.64</v>
      </c>
      <c r="EH1477" s="2">
        <v>22.16</v>
      </c>
      <c r="EI1477" s="2">
        <v>22.35</v>
      </c>
      <c r="EJ1477" s="2">
        <v>21.64</v>
      </c>
      <c r="EK1477" s="2">
        <v>21.69</v>
      </c>
      <c r="EL1477" s="2">
        <v>22.21</v>
      </c>
      <c r="EM1477" s="2">
        <v>22.12</v>
      </c>
      <c r="EN1477" s="2">
        <v>21.74</v>
      </c>
      <c r="EO1477" s="2">
        <v>22.59</v>
      </c>
      <c r="EP1477" s="2">
        <v>23.97</v>
      </c>
      <c r="EQ1477" s="2">
        <v>24.11</v>
      </c>
      <c r="ER1477" s="2">
        <v>24.73</v>
      </c>
      <c r="ES1477" s="2">
        <v>24.78</v>
      </c>
      <c r="ET1477" s="2">
        <v>25.11</v>
      </c>
      <c r="EU1477" s="2">
        <v>25.4</v>
      </c>
      <c r="EV1477" s="2">
        <v>25.45</v>
      </c>
      <c r="EW1477" s="2">
        <v>25.35</v>
      </c>
      <c r="EX1477" s="2">
        <v>26.73</v>
      </c>
      <c r="EY1477" s="2">
        <v>26.59</v>
      </c>
      <c r="EZ1477" s="2">
        <v>28.44</v>
      </c>
      <c r="FA1477" s="2">
        <v>30.63</v>
      </c>
      <c r="FB1477" s="2">
        <v>31.3</v>
      </c>
      <c r="FC1477" s="2">
        <v>31.58</v>
      </c>
      <c r="FD1477" s="2">
        <v>31.39</v>
      </c>
      <c r="FE1477" s="2">
        <v>32.44</v>
      </c>
      <c r="FF1477" s="2">
        <v>37</v>
      </c>
      <c r="FG1477" s="2">
        <v>37.57</v>
      </c>
      <c r="FH1477" s="2">
        <v>37.72</v>
      </c>
      <c r="FI1477" s="2">
        <v>38.62</v>
      </c>
      <c r="FJ1477" s="2">
        <v>41</v>
      </c>
      <c r="FK1477" s="2">
        <v>42.38</v>
      </c>
      <c r="FL1477" s="2">
        <v>42.62</v>
      </c>
      <c r="FM1477" s="2">
        <v>42.9</v>
      </c>
      <c r="FN1477" s="2">
        <v>47.37</v>
      </c>
      <c r="FO1477" s="2">
        <v>49.42</v>
      </c>
      <c r="FP1477" s="2">
        <v>48.61</v>
      </c>
      <c r="FQ1477" s="2">
        <v>49.32</v>
      </c>
      <c r="FR1477" s="2">
        <v>47.47</v>
      </c>
      <c r="FS1477" s="2">
        <v>47.13</v>
      </c>
      <c r="FT1477" s="2">
        <v>46.28</v>
      </c>
      <c r="FU1477" s="2">
        <v>46.66</v>
      </c>
      <c r="FV1477" s="2">
        <v>47.52</v>
      </c>
      <c r="FW1477" s="2">
        <v>48.37</v>
      </c>
      <c r="FX1477" s="2">
        <v>47.66</v>
      </c>
      <c r="FY1477" s="2">
        <v>45.47</v>
      </c>
      <c r="FZ1477" s="2">
        <v>44.8</v>
      </c>
      <c r="GA1477" s="2">
        <v>45.14</v>
      </c>
      <c r="GB1477" s="2">
        <v>45.04</v>
      </c>
      <c r="GC1477" s="2">
        <v>44.38</v>
      </c>
      <c r="GD1477" s="2">
        <v>46.33</v>
      </c>
      <c r="GE1477" s="2">
        <v>46.52</v>
      </c>
      <c r="GF1477" s="2">
        <v>46.37</v>
      </c>
      <c r="GG1477" s="2">
        <v>45.99</v>
      </c>
      <c r="GH1477" s="2">
        <v>47.56</v>
      </c>
      <c r="GI1477" s="2">
        <v>47.42</v>
      </c>
      <c r="GJ1477" s="2">
        <v>46.71</v>
      </c>
      <c r="GK1477" s="2">
        <v>46.56</v>
      </c>
      <c r="GL1477" s="2">
        <v>48.7</v>
      </c>
      <c r="GM1477" s="2">
        <v>48.56</v>
      </c>
      <c r="GN1477" s="2">
        <v>47.99</v>
      </c>
      <c r="GO1477" s="2">
        <v>48.04</v>
      </c>
      <c r="GP1477" s="2">
        <v>49.13</v>
      </c>
      <c r="GQ1477" s="2">
        <v>48.94</v>
      </c>
      <c r="GR1477" s="2">
        <v>48.56</v>
      </c>
      <c r="GS1477" s="2">
        <v>47.94</v>
      </c>
      <c r="GT1477" s="2">
        <v>48.75</v>
      </c>
      <c r="GU1477" s="2">
        <v>48.85</v>
      </c>
      <c r="GV1477" s="2">
        <v>48.23</v>
      </c>
      <c r="GW1477" s="2">
        <v>49.04</v>
      </c>
      <c r="GX1477" s="2">
        <v>50.13</v>
      </c>
      <c r="GY1477" s="2">
        <v>50.46</v>
      </c>
      <c r="GZ1477" s="2">
        <v>50.56</v>
      </c>
      <c r="HA1477" s="2">
        <v>51.3</v>
      </c>
      <c r="HB1477" s="2">
        <v>52.74</v>
      </c>
      <c r="HC1477" s="2">
        <v>53.11</v>
      </c>
      <c r="HD1477" s="2">
        <v>53.51</v>
      </c>
      <c r="HE1477" s="2">
        <v>53.55</v>
      </c>
      <c r="HF1477" s="2">
        <v>55.29</v>
      </c>
      <c r="HG1477" s="2">
        <v>55.2</v>
      </c>
      <c r="HH1477" s="2">
        <v>54.13</v>
      </c>
      <c r="HI1477" s="2">
        <v>54.39</v>
      </c>
      <c r="HJ1477" s="2">
        <v>56.07</v>
      </c>
      <c r="HK1477" s="2">
        <v>57.39</v>
      </c>
      <c r="HL1477" s="2">
        <v>56.64</v>
      </c>
      <c r="HM1477" s="2">
        <v>57.62</v>
      </c>
      <c r="HN1477" s="2">
        <v>58.64</v>
      </c>
      <c r="HO1477" s="2">
        <v>57.56</v>
      </c>
      <c r="HP1477" s="2">
        <v>57.56</v>
      </c>
      <c r="HQ1477" s="2">
        <v>57.97</v>
      </c>
      <c r="HR1477" s="2">
        <v>59.64</v>
      </c>
      <c r="HS1477" s="2">
        <v>59.52</v>
      </c>
      <c r="HT1477" s="2">
        <v>59.27</v>
      </c>
      <c r="HU1477" s="2">
        <v>58.25</v>
      </c>
      <c r="HV1477" s="2">
        <v>59.38</v>
      </c>
      <c r="HW1477" s="2">
        <v>59.01</v>
      </c>
      <c r="HX1477" s="2">
        <v>58.77</v>
      </c>
      <c r="HY1477" s="2">
        <v>58.37</v>
      </c>
      <c r="HZ1477" s="2">
        <v>59.01</v>
      </c>
      <c r="IA1477" s="2">
        <v>59.13</v>
      </c>
      <c r="IB1477" s="2">
        <v>59.56</v>
      </c>
      <c r="IC1477" s="2">
        <v>59.01</v>
      </c>
      <c r="ID1477" s="2">
        <v>60.98</v>
      </c>
      <c r="IE1477" s="2">
        <v>62.26</v>
      </c>
      <c r="IF1477" s="2">
        <v>61.95</v>
      </c>
      <c r="IG1477" s="2">
        <v>61.93</v>
      </c>
      <c r="IH1477" s="2">
        <v>62.89</v>
      </c>
      <c r="II1477" s="2">
        <v>64.98</v>
      </c>
      <c r="IJ1477" s="2">
        <v>65.23</v>
      </c>
      <c r="IK1477" s="2">
        <v>66.39</v>
      </c>
      <c r="IL1477" s="2">
        <v>67.19</v>
      </c>
      <c r="IM1477" s="2">
        <v>67.62</v>
      </c>
      <c r="IN1477" s="2">
        <v>66.89</v>
      </c>
      <c r="IO1477" s="2">
        <v>69.09</v>
      </c>
      <c r="IP1477" s="2">
        <v>69.61</v>
      </c>
      <c r="IQ1477" s="2">
        <v>72.16</v>
      </c>
      <c r="IR1477" s="2">
        <v>72.73</v>
      </c>
      <c r="IS1477" s="2">
        <v>73.26000000000001</v>
      </c>
      <c r="IT1477" s="2">
        <v>73.78</v>
      </c>
      <c r="IU1477" s="2">
        <v>73.88</v>
      </c>
      <c r="IV1477" s="2">
        <v>73.3</v>
      </c>
      <c r="IW1477" s="2">
        <v>73.63</v>
      </c>
      <c r="IX1477" s="2">
        <v>73.73</v>
      </c>
      <c r="IY1477" s="2">
        <v>73.47</v>
      </c>
      <c r="IZ1477" s="2">
        <v>73.27</v>
      </c>
      <c r="JA1477" s="2">
        <v>73.12</v>
      </c>
      <c r="JB1477" s="2">
        <v>73.48</v>
      </c>
      <c r="JC1477" s="2">
        <v>73.2</v>
      </c>
      <c r="JD1477" s="2">
        <v>73.02</v>
      </c>
      <c r="JE1477" s="2">
        <v>73.09</v>
      </c>
      <c r="JF1477" s="2">
        <v>74.09</v>
      </c>
      <c r="JG1477" s="2">
        <v>73.13</v>
      </c>
      <c r="JH1477" s="2">
        <v>74.66</v>
      </c>
      <c r="JI1477" s="2">
        <v>75.33</v>
      </c>
      <c r="JJ1477" s="2">
        <v>76.53</v>
      </c>
      <c r="JK1477" s="2">
        <v>75.06</v>
      </c>
      <c r="JL1477" s="2">
        <v>75.97</v>
      </c>
      <c r="JM1477" s="2">
        <v>75.69</v>
      </c>
      <c r="JN1477" s="2">
        <v>77.03</v>
      </c>
      <c r="JO1477" s="2">
        <v>75.84</v>
      </c>
      <c r="JP1477" s="2">
        <v>77.98999999999999</v>
      </c>
      <c r="JQ1477" s="2">
        <v>76.40000000000001</v>
      </c>
      <c r="JR1477" s="2">
        <v>78.03</v>
      </c>
      <c r="JS1477" s="2">
        <v>77.48999999999999</v>
      </c>
      <c r="JT1477" s="2">
        <v>78.73999999999999</v>
      </c>
      <c r="JU1477" s="2">
        <v>78.63</v>
      </c>
      <c r="JV1477" s="2">
        <v>79.06</v>
      </c>
      <c r="KA1477" s="2">
        <v>79.23</v>
      </c>
      <c r="KB1477" s="2">
        <v>79.03</v>
      </c>
      <c r="KC1477" s="2">
        <v>79.28</v>
      </c>
      <c r="KD1477" s="2">
        <v>79.41</v>
      </c>
      <c r="KQ1477" s="2">
        <v>79.22</v>
      </c>
      <c r="KR1477" s="2">
        <v>80.98</v>
      </c>
      <c r="KS1477" s="2">
        <v>81.47</v>
      </c>
      <c r="KT1477" s="2">
        <v>81.98</v>
      </c>
      <c r="LG1477" s="2">
        <v>82.20999999999999</v>
      </c>
      <c r="LH1477" s="2">
        <v>82</v>
      </c>
      <c r="LI1477" s="2">
        <v>82.67</v>
      </c>
      <c r="LJ1477" s="2">
        <v>82.92</v>
      </c>
      <c r="LW1477" s="2">
        <v>83.81999999999999</v>
      </c>
      <c r="LX1477" s="2">
        <v>86.94</v>
      </c>
      <c r="LY1477" s="2">
        <v>85.7</v>
      </c>
      <c r="LZ1477" s="2">
        <v>86.06</v>
      </c>
      <c r="MM1477" s="2">
        <v>85.09</v>
      </c>
      <c r="MN1477" s="2">
        <v>84.38</v>
      </c>
      <c r="MO1477" s="2">
        <v>85.48999999999999</v>
      </c>
      <c r="MP1477" s="2">
        <v>86</v>
      </c>
      <c r="NC1477" s="2">
        <v>86.92</v>
      </c>
      <c r="ND1477" s="2">
        <v>87.04000000000001</v>
      </c>
      <c r="NE1477" s="2">
        <v>90.47</v>
      </c>
      <c r="NF1477" s="2">
        <v>93.59999999999999</v>
      </c>
      <c r="NS1477" s="2">
        <v>94.13</v>
      </c>
      <c r="NT1477" s="2">
        <v>95.06</v>
      </c>
      <c r="NU1477" s="2">
        <v>98.31</v>
      </c>
      <c r="NV1477" s="2">
        <v>100.66</v>
      </c>
      <c r="OI1477" s="2">
        <v>99.2</v>
      </c>
      <c r="OJ1477" s="2">
        <v>100.37</v>
      </c>
      <c r="OK1477" s="2">
        <v>100.31</v>
      </c>
      <c r="OL1477" s="2">
        <v>99.84999999999999</v>
      </c>
      <c r="OY1477" s="2">
        <v>99.41</v>
      </c>
      <c r="OZ1477" s="2">
        <v>99.98999999999999</v>
      </c>
      <c r="PA1477" s="2">
        <v>100</v>
      </c>
      <c r="PB1477" s="2">
        <v>100.29</v>
      </c>
      <c r="PJ1477" s="2">
        <v>101.14</v>
      </c>
      <c r="PK1477" s="2">
        <v>100.95</v>
      </c>
    </row>
    <row r="1478">
      <c r="A1478" t="inlineStr">
        <is>
          <t>A2326161F</t>
        </is>
      </c>
      <c r="B1478" t="inlineStr">
        <is>
          <t>Index Numbers ;  Dairy and related products ;  Australia ;</t>
        </is>
      </c>
      <c r="C1478" t="inlineStr">
        <is>
          <t>Quarter</t>
        </is>
      </c>
      <c r="D1478" t="inlineStr">
        <is>
          <t>Index Numbers</t>
        </is>
      </c>
      <c r="E1478" t="inlineStr">
        <is>
          <t>Original</t>
        </is>
      </c>
      <c r="F1478" t="inlineStr">
        <is>
          <t>6401018.xlsx</t>
        </is>
      </c>
      <c r="G1478" t="inlineStr">
        <is>
          <t>1972Q3</t>
        </is>
      </c>
      <c r="H1478" t="inlineStr">
        <is>
          <t>2026Q2</t>
        </is>
      </c>
      <c r="DA1478" s="2">
        <v>9.15</v>
      </c>
      <c r="DB1478" s="2">
        <v>9.19</v>
      </c>
      <c r="DC1478" s="2">
        <v>9.380000000000001</v>
      </c>
      <c r="DD1478" s="2">
        <v>9.609999999999999</v>
      </c>
      <c r="DE1478" s="2">
        <v>9.76</v>
      </c>
      <c r="DF1478" s="2">
        <v>10.07</v>
      </c>
      <c r="DG1478" s="2">
        <v>10.3</v>
      </c>
      <c r="DH1478" s="2">
        <v>10.6</v>
      </c>
      <c r="DI1478" s="2">
        <v>11.21</v>
      </c>
      <c r="DJ1478" s="2">
        <v>11.9</v>
      </c>
      <c r="DK1478" s="2">
        <v>12.43</v>
      </c>
      <c r="DL1478" s="2">
        <v>12.7</v>
      </c>
      <c r="DM1478" s="2">
        <v>13.04</v>
      </c>
      <c r="DN1478" s="2">
        <v>13.23</v>
      </c>
      <c r="DO1478" s="2">
        <v>13.73</v>
      </c>
      <c r="DP1478" s="2">
        <v>13.84</v>
      </c>
      <c r="DQ1478" s="2">
        <v>14</v>
      </c>
      <c r="DR1478" s="2">
        <v>14.11</v>
      </c>
      <c r="DS1478" s="2">
        <v>14.61</v>
      </c>
      <c r="DT1478" s="2">
        <v>15.03</v>
      </c>
      <c r="DU1478" s="2">
        <v>15.33</v>
      </c>
      <c r="DV1478" s="2">
        <v>16.09</v>
      </c>
      <c r="DW1478" s="2">
        <v>16.28</v>
      </c>
      <c r="DX1478" s="2">
        <v>16.4</v>
      </c>
      <c r="DY1478" s="2">
        <v>16.59</v>
      </c>
      <c r="DZ1478" s="2">
        <v>17.2</v>
      </c>
      <c r="EA1478" s="2">
        <v>17.35</v>
      </c>
      <c r="EB1478" s="2">
        <v>17.66</v>
      </c>
      <c r="EC1478" s="2">
        <v>17.85</v>
      </c>
      <c r="ED1478" s="2">
        <v>18.23</v>
      </c>
      <c r="EE1478" s="2">
        <v>18.57</v>
      </c>
      <c r="EF1478" s="2">
        <v>19.34</v>
      </c>
      <c r="EG1478" s="2">
        <v>19.79</v>
      </c>
      <c r="EH1478" s="2">
        <v>20.75</v>
      </c>
      <c r="EI1478" s="2">
        <v>21.32</v>
      </c>
      <c r="EJ1478" s="2">
        <v>21.93</v>
      </c>
      <c r="EK1478" s="2">
        <v>22.54</v>
      </c>
      <c r="EL1478" s="2">
        <v>23.34</v>
      </c>
      <c r="EM1478" s="2">
        <v>24.41</v>
      </c>
      <c r="EN1478" s="2">
        <v>25.09</v>
      </c>
      <c r="EO1478" s="2">
        <v>25.9</v>
      </c>
      <c r="EP1478" s="2">
        <v>26.54</v>
      </c>
      <c r="EQ1478" s="2">
        <v>26.89</v>
      </c>
      <c r="ER1478" s="2">
        <v>27.31</v>
      </c>
      <c r="ES1478" s="2">
        <v>27.46</v>
      </c>
      <c r="ET1478" s="2">
        <v>28.03</v>
      </c>
      <c r="EU1478" s="2">
        <v>28.18</v>
      </c>
      <c r="EV1478" s="2">
        <v>28.15</v>
      </c>
      <c r="EW1478" s="2">
        <v>28.11</v>
      </c>
      <c r="EX1478" s="2">
        <v>27.99</v>
      </c>
      <c r="EY1478" s="2">
        <v>28.53</v>
      </c>
      <c r="EZ1478" s="2">
        <v>29.14</v>
      </c>
      <c r="FA1478" s="2">
        <v>29.33</v>
      </c>
      <c r="FB1478" s="2">
        <v>29.75</v>
      </c>
      <c r="FC1478" s="2">
        <v>30.2</v>
      </c>
      <c r="FD1478" s="2">
        <v>30.78</v>
      </c>
      <c r="FE1478" s="2">
        <v>31.46</v>
      </c>
      <c r="FF1478" s="2">
        <v>31.31</v>
      </c>
      <c r="FG1478" s="2">
        <v>31.88</v>
      </c>
      <c r="FH1478" s="2">
        <v>32.11</v>
      </c>
      <c r="FI1478" s="2">
        <v>32.76</v>
      </c>
      <c r="FJ1478" s="2">
        <v>33.37</v>
      </c>
      <c r="FK1478" s="2">
        <v>33.83</v>
      </c>
      <c r="FL1478" s="2">
        <v>34.29</v>
      </c>
      <c r="FM1478" s="2">
        <v>34.63</v>
      </c>
      <c r="FN1478" s="2">
        <v>35.58</v>
      </c>
      <c r="FO1478" s="2">
        <v>36.19</v>
      </c>
      <c r="FP1478" s="2">
        <v>36.57</v>
      </c>
      <c r="FQ1478" s="2">
        <v>36.76</v>
      </c>
      <c r="FR1478" s="2">
        <v>37.79</v>
      </c>
      <c r="FS1478" s="2">
        <v>38.63</v>
      </c>
      <c r="FT1478" s="2">
        <v>39.32</v>
      </c>
      <c r="FU1478" s="2">
        <v>39.32</v>
      </c>
      <c r="FV1478" s="2">
        <v>39.97</v>
      </c>
      <c r="FW1478" s="2">
        <v>40.35</v>
      </c>
      <c r="FX1478" s="2">
        <v>40.54</v>
      </c>
      <c r="FY1478" s="2">
        <v>41.45</v>
      </c>
      <c r="FZ1478" s="2">
        <v>41.42</v>
      </c>
      <c r="GA1478" s="2">
        <v>41.87</v>
      </c>
      <c r="GB1478" s="2">
        <v>42.07</v>
      </c>
      <c r="GC1478" s="2">
        <v>42.6</v>
      </c>
      <c r="GD1478" s="2">
        <v>42.52</v>
      </c>
      <c r="GE1478" s="2">
        <v>42.71</v>
      </c>
      <c r="GF1478" s="2">
        <v>43.4</v>
      </c>
      <c r="GG1478" s="2">
        <v>43.59</v>
      </c>
      <c r="GH1478" s="2">
        <v>44.09</v>
      </c>
      <c r="GI1478" s="2">
        <v>44.39</v>
      </c>
      <c r="GJ1478" s="2">
        <v>44.47</v>
      </c>
      <c r="GK1478" s="2">
        <v>44.96</v>
      </c>
      <c r="GL1478" s="2">
        <v>45.19</v>
      </c>
      <c r="GM1478" s="2">
        <v>45.38</v>
      </c>
      <c r="GN1478" s="2">
        <v>45.96</v>
      </c>
      <c r="GO1478" s="2">
        <v>46.64</v>
      </c>
      <c r="GP1478" s="2">
        <v>47.14</v>
      </c>
      <c r="GQ1478" s="2">
        <v>47.71</v>
      </c>
      <c r="GR1478" s="2">
        <v>48.36</v>
      </c>
      <c r="GS1478" s="2">
        <v>48.82</v>
      </c>
      <c r="GT1478" s="2">
        <v>49.23</v>
      </c>
      <c r="GU1478" s="2">
        <v>50</v>
      </c>
      <c r="GV1478" s="2">
        <v>50.23</v>
      </c>
      <c r="GW1478" s="2">
        <v>50.3</v>
      </c>
      <c r="GX1478" s="2">
        <v>50.46</v>
      </c>
      <c r="GY1478" s="2">
        <v>51.1</v>
      </c>
      <c r="GZ1478" s="2">
        <v>51.14</v>
      </c>
      <c r="HA1478" s="2">
        <v>51.31</v>
      </c>
      <c r="HB1478" s="2">
        <v>51.39</v>
      </c>
      <c r="HC1478" s="2">
        <v>52.36</v>
      </c>
      <c r="HD1478" s="2">
        <v>52.8</v>
      </c>
      <c r="HE1478" s="2">
        <v>53.05</v>
      </c>
      <c r="HF1478" s="2">
        <v>53.91</v>
      </c>
      <c r="HG1478" s="2">
        <v>54.38</v>
      </c>
      <c r="HH1478" s="2">
        <v>55.17</v>
      </c>
      <c r="HI1478" s="2">
        <v>54.26</v>
      </c>
      <c r="HJ1478" s="2">
        <v>53.83</v>
      </c>
      <c r="HK1478" s="2">
        <v>54.31</v>
      </c>
      <c r="HL1478" s="2">
        <v>54.7</v>
      </c>
      <c r="HM1478" s="2">
        <v>55.91</v>
      </c>
      <c r="HN1478" s="2">
        <v>58.07</v>
      </c>
      <c r="HO1478" s="2">
        <v>58.15</v>
      </c>
      <c r="HP1478" s="2">
        <v>58.34</v>
      </c>
      <c r="HQ1478" s="2">
        <v>58.91</v>
      </c>
      <c r="HR1478" s="2">
        <v>60.13</v>
      </c>
      <c r="HS1478" s="2">
        <v>60.33</v>
      </c>
      <c r="HT1478" s="2">
        <v>60.56</v>
      </c>
      <c r="HU1478" s="2">
        <v>60.38</v>
      </c>
      <c r="HV1478" s="2">
        <v>60.49</v>
      </c>
      <c r="HW1478" s="2">
        <v>60.92</v>
      </c>
      <c r="HX1478" s="2">
        <v>61.51</v>
      </c>
      <c r="HY1478" s="2">
        <v>61.75</v>
      </c>
      <c r="HZ1478" s="2">
        <v>62.17</v>
      </c>
      <c r="IA1478" s="2">
        <v>63.15</v>
      </c>
      <c r="IB1478" s="2">
        <v>64.23999999999999</v>
      </c>
      <c r="IC1478" s="2">
        <v>64.34</v>
      </c>
      <c r="ID1478" s="2">
        <v>65.56</v>
      </c>
      <c r="IE1478" s="2">
        <v>66.14</v>
      </c>
      <c r="IF1478" s="2">
        <v>66.81999999999999</v>
      </c>
      <c r="IG1478" s="2">
        <v>67.39</v>
      </c>
      <c r="IH1478" s="2">
        <v>68.15000000000001</v>
      </c>
      <c r="II1478" s="2">
        <v>68.89</v>
      </c>
      <c r="IJ1478" s="2">
        <v>69.67</v>
      </c>
      <c r="IK1478" s="2">
        <v>71.12</v>
      </c>
      <c r="IL1478" s="2">
        <v>74.31999999999999</v>
      </c>
      <c r="IM1478" s="2">
        <v>75.97</v>
      </c>
      <c r="IN1478" s="2">
        <v>78.09</v>
      </c>
      <c r="IO1478" s="2">
        <v>79.19</v>
      </c>
      <c r="IP1478" s="2">
        <v>80.19</v>
      </c>
      <c r="IQ1478" s="2">
        <v>80.48999999999999</v>
      </c>
      <c r="IR1478" s="2">
        <v>79.43000000000001</v>
      </c>
      <c r="IS1478" s="2">
        <v>78.75</v>
      </c>
      <c r="IT1478" s="2">
        <v>79.38</v>
      </c>
      <c r="IU1478" s="2">
        <v>78.65000000000001</v>
      </c>
      <c r="IV1478" s="2">
        <v>79.44</v>
      </c>
      <c r="IW1478" s="2">
        <v>78.81</v>
      </c>
      <c r="IX1478" s="2">
        <v>79.37</v>
      </c>
      <c r="IY1478" s="2">
        <v>77.22</v>
      </c>
      <c r="IZ1478" s="2">
        <v>75.78</v>
      </c>
      <c r="JA1478" s="2">
        <v>75.8</v>
      </c>
      <c r="JB1478" s="2">
        <v>75.66</v>
      </c>
      <c r="JC1478" s="2">
        <v>75.48999999999999</v>
      </c>
      <c r="JD1478" s="2">
        <v>75.22</v>
      </c>
      <c r="JE1478" s="2">
        <v>76</v>
      </c>
      <c r="JF1478" s="2">
        <v>74.84999999999999</v>
      </c>
      <c r="JG1478" s="2">
        <v>74.04000000000001</v>
      </c>
      <c r="JH1478" s="2">
        <v>73.27</v>
      </c>
      <c r="JI1478" s="2">
        <v>74.20999999999999</v>
      </c>
      <c r="JJ1478" s="2">
        <v>74.58</v>
      </c>
      <c r="JK1478" s="2">
        <v>74.53</v>
      </c>
      <c r="JL1478" s="2">
        <v>75.59</v>
      </c>
      <c r="JM1478" s="2">
        <v>76.29000000000001</v>
      </c>
      <c r="JN1478" s="2">
        <v>75.73</v>
      </c>
      <c r="JO1478" s="2">
        <v>76.47</v>
      </c>
      <c r="JP1478" s="2">
        <v>75.78</v>
      </c>
      <c r="JQ1478" s="2">
        <v>75.45999999999999</v>
      </c>
      <c r="JR1478" s="2">
        <v>74.58</v>
      </c>
      <c r="JS1478" s="2">
        <v>74.38</v>
      </c>
      <c r="JT1478" s="2">
        <v>74.77</v>
      </c>
      <c r="JU1478" s="2">
        <v>74.18000000000001</v>
      </c>
      <c r="JV1478" s="2">
        <v>73.63</v>
      </c>
      <c r="KA1478" s="2">
        <v>73.38</v>
      </c>
      <c r="KB1478" s="2">
        <v>73.2</v>
      </c>
      <c r="KC1478" s="2">
        <v>73.02</v>
      </c>
      <c r="KD1478" s="2">
        <v>73.40000000000001</v>
      </c>
      <c r="KQ1478" s="2">
        <v>73.48</v>
      </c>
      <c r="KR1478" s="2">
        <v>73.94</v>
      </c>
      <c r="KS1478" s="2">
        <v>73.63</v>
      </c>
      <c r="KT1478" s="2">
        <v>74.27</v>
      </c>
      <c r="LG1478" s="2">
        <v>74.44</v>
      </c>
      <c r="LH1478" s="2">
        <v>75.23999999999999</v>
      </c>
      <c r="LI1478" s="2">
        <v>76.92</v>
      </c>
      <c r="LJ1478" s="2">
        <v>77.90000000000001</v>
      </c>
      <c r="LW1478" s="2">
        <v>78.73</v>
      </c>
      <c r="LX1478" s="2">
        <v>79.52</v>
      </c>
      <c r="LY1478" s="2">
        <v>79.34999999999999</v>
      </c>
      <c r="LZ1478" s="2">
        <v>79.31</v>
      </c>
      <c r="MM1478" s="2">
        <v>79.02</v>
      </c>
      <c r="MN1478" s="2">
        <v>79.13</v>
      </c>
      <c r="MO1478" s="2">
        <v>79.41</v>
      </c>
      <c r="MP1478" s="2">
        <v>80.73999999999999</v>
      </c>
      <c r="NC1478" s="2">
        <v>82.26000000000001</v>
      </c>
      <c r="ND1478" s="2">
        <v>83.31999999999999</v>
      </c>
      <c r="NE1478" s="2">
        <v>88.95999999999999</v>
      </c>
      <c r="NF1478" s="2">
        <v>92.78</v>
      </c>
      <c r="NS1478" s="2">
        <v>94.5</v>
      </c>
      <c r="NT1478" s="2">
        <v>95.98</v>
      </c>
      <c r="NU1478" s="2">
        <v>98.08</v>
      </c>
      <c r="NV1478" s="2">
        <v>98.68000000000001</v>
      </c>
      <c r="OI1478" s="2">
        <v>98.34</v>
      </c>
      <c r="OJ1478" s="2">
        <v>98.18000000000001</v>
      </c>
      <c r="OK1478" s="2">
        <v>97.84999999999999</v>
      </c>
      <c r="OL1478" s="2">
        <v>97.45999999999999</v>
      </c>
      <c r="OY1478" s="2">
        <v>98.12</v>
      </c>
      <c r="OZ1478" s="2">
        <v>98.33</v>
      </c>
      <c r="PA1478" s="2">
        <v>99.19</v>
      </c>
      <c r="PB1478" s="2">
        <v>100.42</v>
      </c>
      <c r="PJ1478" s="2">
        <v>100.69</v>
      </c>
      <c r="PK1478" s="2">
        <v>102.85</v>
      </c>
    </row>
    <row r="1479">
      <c r="A1479" t="inlineStr">
        <is>
          <t>A2326926W</t>
        </is>
      </c>
      <c r="B1479" t="inlineStr">
        <is>
          <t>Index Numbers ;  Milk ;  Australia ;</t>
        </is>
      </c>
      <c r="C1479" t="inlineStr">
        <is>
          <t>Quarter</t>
        </is>
      </c>
      <c r="D1479" t="inlineStr">
        <is>
          <t>Index Numbers</t>
        </is>
      </c>
      <c r="E1479" t="inlineStr">
        <is>
          <t>Original</t>
        </is>
      </c>
      <c r="F1479" t="inlineStr">
        <is>
          <t>6401018.xlsx</t>
        </is>
      </c>
      <c r="G1479" t="inlineStr">
        <is>
          <t>1980Q3</t>
        </is>
      </c>
      <c r="H1479" t="inlineStr">
        <is>
          <t>2026Q2</t>
        </is>
      </c>
      <c r="EG1479" s="2">
        <v>22.73</v>
      </c>
      <c r="EH1479" s="2">
        <v>23.98</v>
      </c>
      <c r="EI1479" s="2">
        <v>24.66</v>
      </c>
      <c r="EJ1479" s="2">
        <v>25.26</v>
      </c>
      <c r="EK1479" s="2">
        <v>25.83</v>
      </c>
      <c r="EL1479" s="2">
        <v>26.67</v>
      </c>
      <c r="EM1479" s="2">
        <v>25.87</v>
      </c>
      <c r="EN1479" s="2">
        <v>26.36</v>
      </c>
      <c r="EO1479" s="2">
        <v>26.78</v>
      </c>
      <c r="EP1479" s="2">
        <v>27.31</v>
      </c>
      <c r="EQ1479" s="2">
        <v>27.35</v>
      </c>
      <c r="ER1479" s="2">
        <v>27.65</v>
      </c>
      <c r="ES1479" s="2">
        <v>27.76</v>
      </c>
      <c r="ET1479" s="2">
        <v>28.64</v>
      </c>
      <c r="EU1479" s="2">
        <v>28.98</v>
      </c>
      <c r="EV1479" s="2">
        <v>29.05</v>
      </c>
      <c r="EW1479" s="2">
        <v>29.05</v>
      </c>
      <c r="EX1479" s="2">
        <v>29.01</v>
      </c>
      <c r="EY1479" s="2">
        <v>29.85</v>
      </c>
      <c r="EZ1479" s="2">
        <v>30.19</v>
      </c>
      <c r="FA1479" s="2">
        <v>30.6</v>
      </c>
      <c r="FB1479" s="2">
        <v>31.17</v>
      </c>
      <c r="FC1479" s="2">
        <v>31.67</v>
      </c>
      <c r="FD1479" s="2">
        <v>32.31</v>
      </c>
      <c r="FE1479" s="2">
        <v>32.76</v>
      </c>
      <c r="FF1479" s="2">
        <v>32.92</v>
      </c>
      <c r="FG1479" s="2">
        <v>33.14</v>
      </c>
      <c r="FH1479" s="2">
        <v>33.56</v>
      </c>
      <c r="FI1479" s="2">
        <v>34.13</v>
      </c>
      <c r="FJ1479" s="2">
        <v>34.47</v>
      </c>
      <c r="FK1479" s="2">
        <v>34.85</v>
      </c>
      <c r="FL1479" s="2">
        <v>35.26</v>
      </c>
      <c r="FM1479" s="2">
        <v>35.6</v>
      </c>
      <c r="FN1479" s="2">
        <v>36.1</v>
      </c>
      <c r="FO1479" s="2">
        <v>37.12</v>
      </c>
      <c r="FP1479" s="2">
        <v>36.97</v>
      </c>
      <c r="FQ1479" s="2">
        <v>36.97</v>
      </c>
      <c r="FR1479" s="2">
        <v>37.61</v>
      </c>
      <c r="FS1479" s="2">
        <v>38.26</v>
      </c>
      <c r="FT1479" s="2">
        <v>38.67</v>
      </c>
      <c r="FU1479" s="2">
        <v>39.01</v>
      </c>
      <c r="FV1479" s="2">
        <v>39.81</v>
      </c>
      <c r="FW1479" s="2">
        <v>40.64</v>
      </c>
      <c r="FX1479" s="2">
        <v>41.25</v>
      </c>
      <c r="FY1479" s="2">
        <v>42.2</v>
      </c>
      <c r="FZ1479" s="2">
        <v>42.8</v>
      </c>
      <c r="GA1479" s="2">
        <v>42.92</v>
      </c>
      <c r="GB1479" s="2">
        <v>43.45</v>
      </c>
      <c r="GC1479" s="2">
        <v>43.48</v>
      </c>
      <c r="GD1479" s="2">
        <v>43.71</v>
      </c>
      <c r="GE1479" s="2">
        <v>44.32</v>
      </c>
      <c r="GF1479" s="2">
        <v>45.23</v>
      </c>
      <c r="GG1479" s="2">
        <v>45.64</v>
      </c>
      <c r="GH1479" s="2">
        <v>45.98</v>
      </c>
      <c r="GI1479" s="2">
        <v>46.48</v>
      </c>
      <c r="GJ1479" s="2">
        <v>46.7</v>
      </c>
      <c r="GK1479" s="2">
        <v>47.23</v>
      </c>
      <c r="GL1479" s="2">
        <v>47.91</v>
      </c>
      <c r="GM1479" s="2">
        <v>48.67</v>
      </c>
      <c r="GN1479" s="2">
        <v>49.43</v>
      </c>
      <c r="GO1479" s="2">
        <v>50.34</v>
      </c>
      <c r="GP1479" s="2">
        <v>50.76</v>
      </c>
      <c r="GQ1479" s="2">
        <v>51.63</v>
      </c>
      <c r="GR1479" s="2">
        <v>52.04</v>
      </c>
      <c r="GS1479" s="2">
        <v>52.88</v>
      </c>
      <c r="GT1479" s="2">
        <v>53.26</v>
      </c>
      <c r="GU1479" s="2">
        <v>54.32</v>
      </c>
      <c r="GV1479" s="2">
        <v>54.66</v>
      </c>
      <c r="GW1479" s="2">
        <v>55.04</v>
      </c>
      <c r="GX1479" s="2">
        <v>55.68</v>
      </c>
      <c r="GY1479" s="2">
        <v>56.29</v>
      </c>
      <c r="GZ1479" s="2">
        <v>56.4</v>
      </c>
      <c r="HA1479" s="2">
        <v>56.48</v>
      </c>
      <c r="HB1479" s="2">
        <v>56.88</v>
      </c>
      <c r="HC1479" s="2">
        <v>57.61</v>
      </c>
      <c r="HD1479" s="2">
        <v>57.79</v>
      </c>
      <c r="HE1479" s="2">
        <v>58.31</v>
      </c>
      <c r="HF1479" s="2">
        <v>59.7</v>
      </c>
      <c r="HG1479" s="2">
        <v>60.49</v>
      </c>
      <c r="HH1479" s="2">
        <v>61.61</v>
      </c>
      <c r="HI1479" s="2">
        <v>60.05</v>
      </c>
      <c r="HJ1479" s="2">
        <v>58.06</v>
      </c>
      <c r="HK1479" s="2">
        <v>58.18</v>
      </c>
      <c r="HL1479" s="2">
        <v>58.44</v>
      </c>
      <c r="HM1479" s="2">
        <v>59.15</v>
      </c>
      <c r="HN1479" s="2">
        <v>61.53</v>
      </c>
      <c r="HO1479" s="2">
        <v>61.76</v>
      </c>
      <c r="HP1479" s="2">
        <v>62.23</v>
      </c>
      <c r="HQ1479" s="2">
        <v>62.51</v>
      </c>
      <c r="HR1479" s="2">
        <v>64.09</v>
      </c>
      <c r="HS1479" s="2">
        <v>64.83</v>
      </c>
      <c r="HT1479" s="2">
        <v>65.33</v>
      </c>
      <c r="HU1479" s="2">
        <v>65.11</v>
      </c>
      <c r="HV1479" s="2">
        <v>65.56999999999999</v>
      </c>
      <c r="HW1479" s="2">
        <v>65.84</v>
      </c>
      <c r="HX1479" s="2">
        <v>66.65000000000001</v>
      </c>
      <c r="HY1479" s="2">
        <v>67.08</v>
      </c>
      <c r="HZ1479" s="2">
        <v>67.25</v>
      </c>
      <c r="IA1479" s="2">
        <v>68.45999999999999</v>
      </c>
      <c r="IB1479" s="2">
        <v>69.73999999999999</v>
      </c>
      <c r="IC1479" s="2">
        <v>69.55</v>
      </c>
      <c r="ID1479" s="2">
        <v>71.16</v>
      </c>
      <c r="IE1479" s="2">
        <v>71.37</v>
      </c>
      <c r="IF1479" s="2">
        <v>72.06</v>
      </c>
      <c r="IG1479" s="2">
        <v>72.64</v>
      </c>
      <c r="IH1479" s="2">
        <v>73.45999999999999</v>
      </c>
      <c r="II1479" s="2">
        <v>74.19</v>
      </c>
      <c r="IJ1479" s="2">
        <v>74.75</v>
      </c>
      <c r="IK1479" s="2">
        <v>76.59</v>
      </c>
      <c r="IL1479" s="2">
        <v>80.88</v>
      </c>
      <c r="IM1479" s="2">
        <v>82.81999999999999</v>
      </c>
      <c r="IN1479" s="2">
        <v>83.8</v>
      </c>
      <c r="IO1479" s="2">
        <v>84.95</v>
      </c>
      <c r="IP1479" s="2">
        <v>85.98999999999999</v>
      </c>
      <c r="IQ1479" s="2">
        <v>84.66</v>
      </c>
      <c r="IR1479" s="2">
        <v>82.12</v>
      </c>
      <c r="IS1479" s="2">
        <v>81.72</v>
      </c>
      <c r="IT1479" s="2">
        <v>81.88</v>
      </c>
      <c r="IU1479" s="2">
        <v>81.97</v>
      </c>
      <c r="IV1479" s="2">
        <v>82.20999999999999</v>
      </c>
      <c r="IW1479" s="2">
        <v>82.20999999999999</v>
      </c>
      <c r="IX1479" s="2">
        <v>81.90000000000001</v>
      </c>
      <c r="IY1479" s="2">
        <v>76.84</v>
      </c>
      <c r="IZ1479" s="2">
        <v>73.31999999999999</v>
      </c>
      <c r="JA1479" s="2">
        <v>73.54000000000001</v>
      </c>
      <c r="JB1479" s="2">
        <v>73.59</v>
      </c>
      <c r="JC1479" s="2">
        <v>73.79000000000001</v>
      </c>
      <c r="JD1479" s="2">
        <v>73.66</v>
      </c>
      <c r="JE1479" s="2">
        <v>73.29000000000001</v>
      </c>
      <c r="JF1479" s="2">
        <v>72.98999999999999</v>
      </c>
      <c r="JG1479" s="2">
        <v>71.90000000000001</v>
      </c>
      <c r="JH1479" s="2">
        <v>71.23</v>
      </c>
      <c r="JI1479" s="2">
        <v>71.55</v>
      </c>
      <c r="JJ1479" s="2">
        <v>71.84999999999999</v>
      </c>
      <c r="JK1479" s="2">
        <v>71.95</v>
      </c>
      <c r="JL1479" s="2">
        <v>71.95</v>
      </c>
      <c r="JM1479" s="2">
        <v>71.83</v>
      </c>
      <c r="JN1479" s="2">
        <v>71.92</v>
      </c>
      <c r="JO1479" s="2">
        <v>71.88</v>
      </c>
      <c r="JP1479" s="2">
        <v>71.55</v>
      </c>
      <c r="JQ1479" s="2">
        <v>71.37</v>
      </c>
      <c r="JR1479" s="2">
        <v>71.03</v>
      </c>
      <c r="JS1479" s="2">
        <v>71.15000000000001</v>
      </c>
      <c r="JT1479" s="2">
        <v>71.16</v>
      </c>
      <c r="JU1479" s="2">
        <v>71.14</v>
      </c>
      <c r="JV1479" s="2">
        <v>70.97</v>
      </c>
      <c r="KA1479" s="2">
        <v>71.23999999999999</v>
      </c>
      <c r="KB1479" s="2">
        <v>71.06999999999999</v>
      </c>
      <c r="KC1479" s="2">
        <v>70.95999999999999</v>
      </c>
      <c r="KD1479" s="2">
        <v>71.41</v>
      </c>
      <c r="KQ1479" s="2">
        <v>71.31999999999999</v>
      </c>
      <c r="KR1479" s="2">
        <v>71.78</v>
      </c>
      <c r="KS1479" s="2">
        <v>71.34</v>
      </c>
      <c r="KT1479" s="2">
        <v>72.8</v>
      </c>
      <c r="LG1479" s="2">
        <v>72.5</v>
      </c>
      <c r="LH1479" s="2">
        <v>73.90000000000001</v>
      </c>
      <c r="LI1479" s="2">
        <v>76.16</v>
      </c>
      <c r="LJ1479" s="2">
        <v>77.47</v>
      </c>
      <c r="LW1479" s="2">
        <v>78.09</v>
      </c>
      <c r="LX1479" s="2">
        <v>78.62</v>
      </c>
      <c r="LY1479" s="2">
        <v>78.37</v>
      </c>
      <c r="LZ1479" s="2">
        <v>78.91</v>
      </c>
      <c r="MM1479" s="2">
        <v>78.7</v>
      </c>
      <c r="MN1479" s="2">
        <v>78.61</v>
      </c>
      <c r="MO1479" s="2">
        <v>78.88</v>
      </c>
      <c r="MP1479" s="2">
        <v>79.95999999999999</v>
      </c>
      <c r="NC1479" s="2">
        <v>82.13</v>
      </c>
      <c r="ND1479" s="2">
        <v>82.8</v>
      </c>
      <c r="NE1479" s="2">
        <v>91.63</v>
      </c>
      <c r="NF1479" s="2">
        <v>94.26000000000001</v>
      </c>
      <c r="NS1479" s="2">
        <v>95.38</v>
      </c>
      <c r="NT1479" s="2">
        <v>95.44</v>
      </c>
      <c r="NU1479" s="2">
        <v>96.65000000000001</v>
      </c>
      <c r="NV1479" s="2">
        <v>97.95</v>
      </c>
      <c r="OI1479" s="2">
        <v>97.78</v>
      </c>
      <c r="OJ1479" s="2">
        <v>97.59</v>
      </c>
      <c r="OK1479" s="2">
        <v>97.77</v>
      </c>
      <c r="OL1479" s="2">
        <v>97.22</v>
      </c>
      <c r="OY1479" s="2">
        <v>97.23</v>
      </c>
      <c r="OZ1479" s="2">
        <v>97.56999999999999</v>
      </c>
      <c r="PA1479" s="2">
        <v>99.06999999999999</v>
      </c>
      <c r="PB1479" s="2">
        <v>100.93</v>
      </c>
      <c r="PJ1479" s="2">
        <v>101</v>
      </c>
      <c r="PK1479" s="2">
        <v>104.76</v>
      </c>
    </row>
    <row r="1480">
      <c r="A1480" t="inlineStr">
        <is>
          <t>A2326971J</t>
        </is>
      </c>
      <c r="B1480" t="inlineStr">
        <is>
          <t>Index Numbers ;  Cheese ;  Australia ;</t>
        </is>
      </c>
      <c r="C1480" t="inlineStr">
        <is>
          <t>Quarter</t>
        </is>
      </c>
      <c r="D1480" t="inlineStr">
        <is>
          <t>Index Numbers</t>
        </is>
      </c>
      <c r="E1480" t="inlineStr">
        <is>
          <t>Original</t>
        </is>
      </c>
      <c r="F1480" t="inlineStr">
        <is>
          <t>6401018.xlsx</t>
        </is>
      </c>
      <c r="G1480" t="inlineStr">
        <is>
          <t>1980Q3</t>
        </is>
      </c>
      <c r="H1480" t="inlineStr">
        <is>
          <t>2026Q2</t>
        </is>
      </c>
      <c r="EG1480" s="2">
        <v>16.48</v>
      </c>
      <c r="EH1480" s="2">
        <v>17.23</v>
      </c>
      <c r="EI1480" s="2">
        <v>17.68</v>
      </c>
      <c r="EJ1480" s="2">
        <v>18.32</v>
      </c>
      <c r="EK1480" s="2">
        <v>18.76</v>
      </c>
      <c r="EL1480" s="2">
        <v>19.7</v>
      </c>
      <c r="EM1480" s="2">
        <v>20.41</v>
      </c>
      <c r="EN1480" s="2">
        <v>21.61</v>
      </c>
      <c r="EO1480" s="2">
        <v>22.91</v>
      </c>
      <c r="EP1480" s="2">
        <v>23.81</v>
      </c>
      <c r="EQ1480" s="2">
        <v>24.6</v>
      </c>
      <c r="ER1480" s="2">
        <v>25.61</v>
      </c>
      <c r="ES1480" s="2">
        <v>25.83</v>
      </c>
      <c r="ET1480" s="2">
        <v>25.68</v>
      </c>
      <c r="EU1480" s="2">
        <v>25.49</v>
      </c>
      <c r="EV1480" s="2">
        <v>25.31</v>
      </c>
      <c r="EW1480" s="2">
        <v>25.38</v>
      </c>
      <c r="EX1480" s="2">
        <v>24.93</v>
      </c>
      <c r="EY1480" s="2">
        <v>25.23</v>
      </c>
      <c r="EZ1480" s="2">
        <v>26.35</v>
      </c>
      <c r="FA1480" s="2">
        <v>25.9</v>
      </c>
      <c r="FB1480" s="2">
        <v>25.83</v>
      </c>
      <c r="FC1480" s="2">
        <v>26.43</v>
      </c>
      <c r="FD1480" s="2">
        <v>27.1</v>
      </c>
      <c r="FE1480" s="2">
        <v>28.52</v>
      </c>
      <c r="FF1480" s="2">
        <v>27.36</v>
      </c>
      <c r="FG1480" s="2">
        <v>28.78</v>
      </c>
      <c r="FH1480" s="2">
        <v>28.48</v>
      </c>
      <c r="FI1480" s="2">
        <v>29.19</v>
      </c>
      <c r="FJ1480" s="2">
        <v>30.28</v>
      </c>
      <c r="FK1480" s="2">
        <v>30.91</v>
      </c>
      <c r="FL1480" s="2">
        <v>31.47</v>
      </c>
      <c r="FM1480" s="2">
        <v>31.7</v>
      </c>
      <c r="FN1480" s="2">
        <v>33.75</v>
      </c>
      <c r="FO1480" s="2">
        <v>33.72</v>
      </c>
      <c r="FP1480" s="2">
        <v>34.54</v>
      </c>
      <c r="FQ1480" s="2">
        <v>35.14</v>
      </c>
      <c r="FR1480" s="2">
        <v>36.82</v>
      </c>
      <c r="FS1480" s="2">
        <v>38.17</v>
      </c>
      <c r="FT1480" s="2">
        <v>39.4</v>
      </c>
      <c r="FU1480" s="2">
        <v>38.95</v>
      </c>
      <c r="FV1480" s="2">
        <v>39.4</v>
      </c>
      <c r="FW1480" s="2">
        <v>39.21</v>
      </c>
      <c r="FX1480" s="2">
        <v>38.54</v>
      </c>
      <c r="FY1480" s="2">
        <v>39.88</v>
      </c>
      <c r="FZ1480" s="2">
        <v>39.17</v>
      </c>
      <c r="GA1480" s="2">
        <v>40.45</v>
      </c>
      <c r="GB1480" s="2">
        <v>40.45</v>
      </c>
      <c r="GC1480" s="2">
        <v>42.24</v>
      </c>
      <c r="GD1480" s="2">
        <v>40.89</v>
      </c>
      <c r="GE1480" s="2">
        <v>40.52</v>
      </c>
      <c r="GF1480" s="2">
        <v>40.56</v>
      </c>
      <c r="GG1480" s="2">
        <v>40.48</v>
      </c>
      <c r="GH1480" s="2">
        <v>40.97</v>
      </c>
      <c r="GI1480" s="2">
        <v>41.16</v>
      </c>
      <c r="GJ1480" s="2">
        <v>40.63</v>
      </c>
      <c r="GK1480" s="2">
        <v>41.23</v>
      </c>
      <c r="GL1480" s="2">
        <v>40.78</v>
      </c>
      <c r="GM1480" s="2">
        <v>40.41</v>
      </c>
      <c r="GN1480" s="2">
        <v>40.45</v>
      </c>
      <c r="GO1480" s="2">
        <v>40.59</v>
      </c>
      <c r="GP1480" s="2">
        <v>41.53</v>
      </c>
      <c r="GQ1480" s="2">
        <v>41.72</v>
      </c>
      <c r="GR1480" s="2">
        <v>42.43</v>
      </c>
      <c r="GS1480" s="2">
        <v>41.83</v>
      </c>
      <c r="GT1480" s="2">
        <v>42.09</v>
      </c>
      <c r="GU1480" s="2">
        <v>42.76</v>
      </c>
      <c r="GV1480" s="2">
        <v>42.31</v>
      </c>
      <c r="GW1480" s="2">
        <v>42.2</v>
      </c>
      <c r="GX1480" s="2">
        <v>41.19</v>
      </c>
      <c r="GY1480" s="2">
        <v>41.75</v>
      </c>
      <c r="GZ1480" s="2">
        <v>41.42</v>
      </c>
      <c r="HA1480" s="2">
        <v>42.04</v>
      </c>
      <c r="HB1480" s="2">
        <v>42.19</v>
      </c>
      <c r="HC1480" s="2">
        <v>43.15</v>
      </c>
      <c r="HD1480" s="2">
        <v>43.35</v>
      </c>
      <c r="HE1480" s="2">
        <v>43.46</v>
      </c>
      <c r="HF1480" s="2">
        <v>43.29</v>
      </c>
      <c r="HG1480" s="2">
        <v>43.42</v>
      </c>
      <c r="HH1480" s="2">
        <v>43.06</v>
      </c>
      <c r="HI1480" s="2">
        <v>42.8</v>
      </c>
      <c r="HJ1480" s="2">
        <v>43.24</v>
      </c>
      <c r="HK1480" s="2">
        <v>43.67</v>
      </c>
      <c r="HL1480" s="2">
        <v>44.03</v>
      </c>
      <c r="HM1480" s="2">
        <v>45.57</v>
      </c>
      <c r="HN1480" s="2">
        <v>48.87</v>
      </c>
      <c r="HO1480" s="2">
        <v>48.35</v>
      </c>
      <c r="HP1480" s="2">
        <v>48.44</v>
      </c>
      <c r="HQ1480" s="2">
        <v>48.66</v>
      </c>
      <c r="HR1480" s="2">
        <v>49.37</v>
      </c>
      <c r="HS1480" s="2">
        <v>48.76</v>
      </c>
      <c r="HT1480" s="2">
        <v>49.36</v>
      </c>
      <c r="HU1480" s="2">
        <v>49.12</v>
      </c>
      <c r="HV1480" s="2">
        <v>49.34</v>
      </c>
      <c r="HW1480" s="2">
        <v>50.26</v>
      </c>
      <c r="HX1480" s="2">
        <v>50.57</v>
      </c>
      <c r="HY1480" s="2">
        <v>51.42</v>
      </c>
      <c r="HZ1480" s="2">
        <v>52.72</v>
      </c>
      <c r="IA1480" s="2">
        <v>53.23</v>
      </c>
      <c r="IB1480" s="2">
        <v>54.15</v>
      </c>
      <c r="IC1480" s="2">
        <v>54.8</v>
      </c>
      <c r="ID1480" s="2">
        <v>55.95</v>
      </c>
      <c r="IE1480" s="2">
        <v>56.92</v>
      </c>
      <c r="IF1480" s="2">
        <v>57.45</v>
      </c>
      <c r="IG1480" s="2">
        <v>58.16</v>
      </c>
      <c r="IH1480" s="2">
        <v>58.33</v>
      </c>
      <c r="II1480" s="2">
        <v>59.54</v>
      </c>
      <c r="IJ1480" s="2">
        <v>61.41</v>
      </c>
      <c r="IK1480" s="2">
        <v>63.1</v>
      </c>
      <c r="IL1480" s="2">
        <v>66.2</v>
      </c>
      <c r="IM1480" s="2">
        <v>68.48</v>
      </c>
      <c r="IN1480" s="2">
        <v>70.12</v>
      </c>
      <c r="IO1480" s="2">
        <v>71.87</v>
      </c>
      <c r="IP1480" s="2">
        <v>73.52</v>
      </c>
      <c r="IQ1480" s="2">
        <v>73.48999999999999</v>
      </c>
      <c r="IR1480" s="2">
        <v>73.34</v>
      </c>
      <c r="IS1480" s="2">
        <v>72.29000000000001</v>
      </c>
      <c r="IT1480" s="2">
        <v>72.78</v>
      </c>
      <c r="IU1480" s="2">
        <v>72.37</v>
      </c>
      <c r="IV1480" s="2">
        <v>72.56999999999999</v>
      </c>
      <c r="IW1480" s="2">
        <v>71.58</v>
      </c>
      <c r="IX1480" s="2">
        <v>73.58</v>
      </c>
      <c r="IY1480" s="2">
        <v>73.20999999999999</v>
      </c>
      <c r="IZ1480" s="2">
        <v>74.25</v>
      </c>
      <c r="JA1480" s="2">
        <v>74.87</v>
      </c>
      <c r="JB1480" s="2">
        <v>73.39</v>
      </c>
      <c r="JC1480" s="2">
        <v>73.11</v>
      </c>
      <c r="JD1480" s="2">
        <v>72.84</v>
      </c>
      <c r="JE1480" s="2">
        <v>74.76000000000001</v>
      </c>
      <c r="JF1480" s="2">
        <v>73</v>
      </c>
      <c r="JG1480" s="2">
        <v>72.42</v>
      </c>
      <c r="JH1480" s="2">
        <v>70.84999999999999</v>
      </c>
      <c r="JI1480" s="2">
        <v>72.66</v>
      </c>
      <c r="JJ1480" s="2">
        <v>73.53</v>
      </c>
      <c r="JK1480" s="2">
        <v>74.7</v>
      </c>
      <c r="JL1480" s="2">
        <v>76.62</v>
      </c>
      <c r="JM1480" s="2">
        <v>78.95999999999999</v>
      </c>
      <c r="JN1480" s="2">
        <v>78.53</v>
      </c>
      <c r="JO1480" s="2">
        <v>78.84999999999999</v>
      </c>
      <c r="JP1480" s="2">
        <v>77.59</v>
      </c>
      <c r="JQ1480" s="2">
        <v>77.09</v>
      </c>
      <c r="JR1480" s="2">
        <v>77.14</v>
      </c>
      <c r="JS1480" s="2">
        <v>75.59</v>
      </c>
      <c r="JT1480" s="2">
        <v>75.52</v>
      </c>
      <c r="JU1480" s="2">
        <v>74.92</v>
      </c>
      <c r="JV1480" s="2">
        <v>73.97</v>
      </c>
      <c r="KA1480" s="2">
        <v>73.34</v>
      </c>
      <c r="KB1480" s="2">
        <v>72.29000000000001</v>
      </c>
      <c r="KC1480" s="2">
        <v>72.84999999999999</v>
      </c>
      <c r="KD1480" s="2">
        <v>73.48999999999999</v>
      </c>
      <c r="KQ1480" s="2">
        <v>73.67</v>
      </c>
      <c r="KR1480" s="2">
        <v>74.15000000000001</v>
      </c>
      <c r="KS1480" s="2">
        <v>73.98999999999999</v>
      </c>
      <c r="KT1480" s="2">
        <v>74.12</v>
      </c>
      <c r="LG1480" s="2">
        <v>74.56999999999999</v>
      </c>
      <c r="LH1480" s="2">
        <v>74.69</v>
      </c>
      <c r="LI1480" s="2">
        <v>76.5</v>
      </c>
      <c r="LJ1480" s="2">
        <v>78.34</v>
      </c>
      <c r="LW1480" s="2">
        <v>79.67</v>
      </c>
      <c r="LX1480" s="2">
        <v>80.61</v>
      </c>
      <c r="LY1480" s="2">
        <v>80.43000000000001</v>
      </c>
      <c r="LZ1480" s="2">
        <v>79.91</v>
      </c>
      <c r="MM1480" s="2">
        <v>79.73</v>
      </c>
      <c r="MN1480" s="2">
        <v>79.78</v>
      </c>
      <c r="MO1480" s="2">
        <v>79.98</v>
      </c>
      <c r="MP1480" s="2">
        <v>81.48</v>
      </c>
      <c r="NC1480" s="2">
        <v>82.36</v>
      </c>
      <c r="ND1480" s="2">
        <v>83.70999999999999</v>
      </c>
      <c r="NE1480" s="2">
        <v>87.55</v>
      </c>
      <c r="NF1480" s="2">
        <v>93.09999999999999</v>
      </c>
      <c r="NS1480" s="2">
        <v>96.23999999999999</v>
      </c>
      <c r="NT1480" s="2">
        <v>97.34999999999999</v>
      </c>
      <c r="NU1480" s="2">
        <v>101.52</v>
      </c>
      <c r="NV1480" s="2">
        <v>100.98</v>
      </c>
      <c r="OI1480" s="2">
        <v>100.9</v>
      </c>
      <c r="OJ1480" s="2">
        <v>100.12</v>
      </c>
      <c r="OK1480" s="2">
        <v>99.25</v>
      </c>
      <c r="OL1480" s="2">
        <v>99.17</v>
      </c>
      <c r="OY1480" s="2">
        <v>100.66</v>
      </c>
      <c r="OZ1480" s="2">
        <v>100.63</v>
      </c>
      <c r="PA1480" s="2">
        <v>99.95</v>
      </c>
      <c r="PB1480" s="2">
        <v>99.97</v>
      </c>
      <c r="PJ1480" s="2">
        <v>100.25</v>
      </c>
      <c r="PK1480" s="2">
        <v>100.88</v>
      </c>
    </row>
    <row r="1481">
      <c r="A1481" t="inlineStr">
        <is>
          <t>A2327016C</t>
        </is>
      </c>
      <c r="B1481" t="inlineStr">
        <is>
          <t>Index Numbers ;  Ice cream and other dairy products ;  Australia ;</t>
        </is>
      </c>
      <c r="C1481" t="inlineStr">
        <is>
          <t>Quarter</t>
        </is>
      </c>
      <c r="D1481" t="inlineStr">
        <is>
          <t>Index Numbers</t>
        </is>
      </c>
      <c r="E1481" t="inlineStr">
        <is>
          <t>Original</t>
        </is>
      </c>
      <c r="F1481" t="inlineStr">
        <is>
          <t>6401018.xlsx</t>
        </is>
      </c>
      <c r="G1481" t="inlineStr">
        <is>
          <t>1980Q3</t>
        </is>
      </c>
      <c r="H1481" t="inlineStr">
        <is>
          <t>2026Q2</t>
        </is>
      </c>
      <c r="EG1481" s="2">
        <v>22.19</v>
      </c>
      <c r="EH1481" s="2">
        <v>22.85</v>
      </c>
      <c r="EI1481" s="2">
        <v>23.26</v>
      </c>
      <c r="EJ1481" s="2">
        <v>23.92</v>
      </c>
      <c r="EK1481" s="2">
        <v>24.58</v>
      </c>
      <c r="EL1481" s="2">
        <v>24.74</v>
      </c>
      <c r="EM1481" s="2">
        <v>25.32</v>
      </c>
      <c r="EN1481" s="2">
        <v>26.52</v>
      </c>
      <c r="EO1481" s="2">
        <v>27.5</v>
      </c>
      <c r="EP1481" s="2">
        <v>28.33</v>
      </c>
      <c r="EQ1481" s="2">
        <v>29.27</v>
      </c>
      <c r="ER1481" s="2">
        <v>29.69</v>
      </c>
      <c r="ES1481" s="2">
        <v>29.4</v>
      </c>
      <c r="ET1481" s="2">
        <v>29.85</v>
      </c>
      <c r="EU1481" s="2">
        <v>30.14</v>
      </c>
      <c r="EV1481" s="2">
        <v>29.85</v>
      </c>
      <c r="EW1481" s="2">
        <v>30.06</v>
      </c>
      <c r="EX1481" s="2">
        <v>29.6</v>
      </c>
      <c r="EY1481" s="2">
        <v>29.73</v>
      </c>
      <c r="EZ1481" s="2">
        <v>30.18</v>
      </c>
      <c r="FA1481" s="2">
        <v>30.55</v>
      </c>
      <c r="FB1481" s="2">
        <v>30.63</v>
      </c>
      <c r="FC1481" s="2">
        <v>30.96</v>
      </c>
      <c r="FD1481" s="2">
        <v>30.8</v>
      </c>
      <c r="FE1481" s="2">
        <v>31.09</v>
      </c>
      <c r="FF1481" s="2">
        <v>31.29</v>
      </c>
      <c r="FG1481" s="2">
        <v>31.66</v>
      </c>
      <c r="FH1481" s="2">
        <v>32.2</v>
      </c>
      <c r="FI1481" s="2">
        <v>33.35</v>
      </c>
      <c r="FJ1481" s="2">
        <v>34.13</v>
      </c>
      <c r="FK1481" s="2">
        <v>34.5</v>
      </c>
      <c r="FL1481" s="2">
        <v>35.66</v>
      </c>
      <c r="FM1481" s="2">
        <v>35.82</v>
      </c>
      <c r="FN1481" s="2">
        <v>36.85</v>
      </c>
      <c r="FO1481" s="2">
        <v>37.01</v>
      </c>
      <c r="FP1481" s="2">
        <v>38.83</v>
      </c>
      <c r="FQ1481" s="2">
        <v>39.16</v>
      </c>
      <c r="FR1481" s="2">
        <v>41.3</v>
      </c>
      <c r="FS1481" s="2">
        <v>41.34</v>
      </c>
      <c r="FT1481" s="2">
        <v>42.9</v>
      </c>
      <c r="FU1481" s="2">
        <v>42.37</v>
      </c>
      <c r="FV1481" s="2">
        <v>43.36</v>
      </c>
      <c r="FW1481" s="2">
        <v>43.52</v>
      </c>
      <c r="FX1481" s="2">
        <v>44.18</v>
      </c>
      <c r="FY1481" s="2">
        <v>44.06</v>
      </c>
      <c r="FZ1481" s="2">
        <v>43.19</v>
      </c>
      <c r="GA1481" s="2">
        <v>43.31</v>
      </c>
      <c r="GB1481" s="2">
        <v>42.98</v>
      </c>
      <c r="GC1481" s="2">
        <v>42.82</v>
      </c>
      <c r="GD1481" s="2">
        <v>44.8</v>
      </c>
      <c r="GE1481" s="2">
        <v>43.23</v>
      </c>
      <c r="GF1481" s="2">
        <v>45.91</v>
      </c>
      <c r="GG1481" s="2">
        <v>45.7</v>
      </c>
      <c r="GH1481" s="2">
        <v>46.85</v>
      </c>
      <c r="GI1481" s="2">
        <v>46.48</v>
      </c>
      <c r="GJ1481" s="2">
        <v>47.72</v>
      </c>
      <c r="GK1481" s="2">
        <v>47.43</v>
      </c>
      <c r="GL1481" s="2">
        <v>47.06</v>
      </c>
      <c r="GM1481" s="2">
        <v>46.53</v>
      </c>
      <c r="GN1481" s="2">
        <v>47.6</v>
      </c>
      <c r="GO1481" s="2">
        <v>47.88</v>
      </c>
      <c r="GP1481" s="2">
        <v>47.06</v>
      </c>
      <c r="GQ1481" s="2">
        <v>47.51</v>
      </c>
      <c r="GR1481" s="2">
        <v>48.87</v>
      </c>
      <c r="GS1481" s="2">
        <v>49.53</v>
      </c>
      <c r="GT1481" s="2">
        <v>50.68</v>
      </c>
      <c r="GU1481" s="2">
        <v>50.6</v>
      </c>
      <c r="GV1481" s="2">
        <v>52.04</v>
      </c>
      <c r="GW1481" s="2">
        <v>50.97</v>
      </c>
      <c r="GX1481" s="2">
        <v>51.26</v>
      </c>
      <c r="GY1481" s="2">
        <v>52.62</v>
      </c>
      <c r="GZ1481" s="2">
        <v>53.28</v>
      </c>
      <c r="HA1481" s="2">
        <v>52.93</v>
      </c>
      <c r="HB1481" s="2">
        <v>51.8</v>
      </c>
      <c r="HC1481" s="2">
        <v>53.66</v>
      </c>
      <c r="HD1481" s="2">
        <v>55.41</v>
      </c>
      <c r="HE1481" s="2">
        <v>55.01</v>
      </c>
      <c r="HF1481" s="2">
        <v>55.94</v>
      </c>
      <c r="HG1481" s="2">
        <v>55.92</v>
      </c>
      <c r="HH1481" s="2">
        <v>57.59</v>
      </c>
      <c r="HI1481" s="2">
        <v>57.28</v>
      </c>
      <c r="HJ1481" s="2">
        <v>59.06</v>
      </c>
      <c r="HK1481" s="2">
        <v>60.43</v>
      </c>
      <c r="HL1481" s="2">
        <v>61.12</v>
      </c>
      <c r="HM1481" s="2">
        <v>63</v>
      </c>
      <c r="HN1481" s="2">
        <v>63.21</v>
      </c>
      <c r="HO1481" s="2">
        <v>63.71</v>
      </c>
      <c r="HP1481" s="2">
        <v>63.42</v>
      </c>
      <c r="HQ1481" s="2">
        <v>65.12</v>
      </c>
      <c r="HR1481" s="2">
        <v>66.27</v>
      </c>
      <c r="HS1481" s="2">
        <v>66.33</v>
      </c>
      <c r="HT1481" s="2">
        <v>65.48999999999999</v>
      </c>
      <c r="HU1481" s="2">
        <v>65.45999999999999</v>
      </c>
      <c r="HV1481" s="2">
        <v>64.67</v>
      </c>
      <c r="HW1481" s="2">
        <v>64.81</v>
      </c>
      <c r="HX1481" s="2">
        <v>65.29000000000001</v>
      </c>
      <c r="HY1481" s="2">
        <v>64.31</v>
      </c>
      <c r="HZ1481" s="2">
        <v>64.11</v>
      </c>
      <c r="IA1481" s="2">
        <v>65.20999999999999</v>
      </c>
      <c r="IB1481" s="2">
        <v>66.09999999999999</v>
      </c>
      <c r="IC1481" s="2">
        <v>66</v>
      </c>
      <c r="ID1481" s="2">
        <v>66.62</v>
      </c>
      <c r="IE1481" s="2">
        <v>67.34</v>
      </c>
      <c r="IF1481" s="2">
        <v>68.17</v>
      </c>
      <c r="IG1481" s="2">
        <v>68.52</v>
      </c>
      <c r="IH1481" s="2">
        <v>69.92</v>
      </c>
      <c r="II1481" s="2">
        <v>70.06</v>
      </c>
      <c r="IJ1481" s="2">
        <v>69.84</v>
      </c>
      <c r="IK1481" s="2">
        <v>70.3</v>
      </c>
      <c r="IL1481" s="2">
        <v>71.69</v>
      </c>
      <c r="IM1481" s="2">
        <v>72.02</v>
      </c>
      <c r="IN1481" s="2">
        <v>76.63</v>
      </c>
      <c r="IO1481" s="2">
        <v>76.76000000000001</v>
      </c>
      <c r="IP1481" s="2">
        <v>76.88</v>
      </c>
      <c r="IQ1481" s="2">
        <v>80.34</v>
      </c>
      <c r="IR1481" s="2">
        <v>80.66</v>
      </c>
      <c r="IS1481" s="2">
        <v>79.98</v>
      </c>
      <c r="IT1481" s="2">
        <v>81.56</v>
      </c>
      <c r="IU1481" s="2">
        <v>79.08</v>
      </c>
      <c r="IV1481" s="2">
        <v>81.5</v>
      </c>
      <c r="IW1481" s="2">
        <v>80.28</v>
      </c>
      <c r="IX1481" s="2">
        <v>80.5</v>
      </c>
      <c r="IY1481" s="2">
        <v>81.06999999999999</v>
      </c>
      <c r="IZ1481" s="2">
        <v>80.06999999999999</v>
      </c>
      <c r="JA1481" s="2">
        <v>79.26000000000001</v>
      </c>
      <c r="JB1481" s="2">
        <v>80.17</v>
      </c>
      <c r="JC1481" s="2">
        <v>79.66</v>
      </c>
      <c r="JD1481" s="2">
        <v>79.22</v>
      </c>
      <c r="JE1481" s="2">
        <v>80.31</v>
      </c>
      <c r="JF1481" s="2">
        <v>78.70999999999999</v>
      </c>
      <c r="JG1481" s="2">
        <v>78.02</v>
      </c>
      <c r="JH1481" s="2">
        <v>77.90000000000001</v>
      </c>
      <c r="JI1481" s="2">
        <v>78.76000000000001</v>
      </c>
      <c r="JJ1481" s="2">
        <v>78.73</v>
      </c>
      <c r="JK1481" s="2">
        <v>77.34</v>
      </c>
      <c r="JL1481" s="2">
        <v>78.84999999999999</v>
      </c>
      <c r="JM1481" s="2">
        <v>78.98999999999999</v>
      </c>
      <c r="JN1481" s="2">
        <v>77.54000000000001</v>
      </c>
      <c r="JO1481" s="2">
        <v>79.62</v>
      </c>
      <c r="JP1481" s="2">
        <v>79.01000000000001</v>
      </c>
      <c r="JQ1481" s="2">
        <v>78.7</v>
      </c>
      <c r="JR1481" s="2">
        <v>76.3</v>
      </c>
      <c r="JS1481" s="2">
        <v>76.98999999999999</v>
      </c>
      <c r="JT1481" s="2">
        <v>78.26000000000001</v>
      </c>
      <c r="JU1481" s="2">
        <v>77.02</v>
      </c>
      <c r="JV1481" s="2">
        <v>76.37</v>
      </c>
      <c r="KA1481" s="2">
        <v>75.87</v>
      </c>
      <c r="KB1481" s="2">
        <v>76.5</v>
      </c>
      <c r="KC1481" s="2">
        <v>75.53</v>
      </c>
      <c r="KD1481" s="2">
        <v>75.61</v>
      </c>
      <c r="KQ1481" s="2">
        <v>75.78</v>
      </c>
      <c r="KR1481" s="2">
        <v>76.23</v>
      </c>
      <c r="KS1481" s="2">
        <v>75.94</v>
      </c>
      <c r="KT1481" s="2">
        <v>76.09</v>
      </c>
      <c r="LG1481" s="2">
        <v>76.53</v>
      </c>
      <c r="LH1481" s="2">
        <v>77.26000000000001</v>
      </c>
      <c r="LI1481" s="2">
        <v>78.15000000000001</v>
      </c>
      <c r="LJ1481" s="2">
        <v>77.95999999999999</v>
      </c>
      <c r="LW1481" s="2">
        <v>78.56999999999999</v>
      </c>
      <c r="LX1481" s="2">
        <v>79.52</v>
      </c>
      <c r="LY1481" s="2">
        <v>79.45</v>
      </c>
      <c r="LZ1481" s="2">
        <v>79.19</v>
      </c>
      <c r="MM1481" s="2">
        <v>78.7</v>
      </c>
      <c r="MN1481" s="2">
        <v>79.11</v>
      </c>
      <c r="MO1481" s="2">
        <v>79.45999999999999</v>
      </c>
      <c r="MP1481" s="2">
        <v>80.94</v>
      </c>
      <c r="NC1481" s="2">
        <v>82.25</v>
      </c>
      <c r="ND1481" s="2">
        <v>83.56999999999999</v>
      </c>
      <c r="NE1481" s="2">
        <v>86.77</v>
      </c>
      <c r="NF1481" s="2">
        <v>90.43000000000001</v>
      </c>
      <c r="NS1481" s="2">
        <v>91.48999999999999</v>
      </c>
      <c r="NT1481" s="2">
        <v>95.27</v>
      </c>
      <c r="NU1481" s="2">
        <v>96.45</v>
      </c>
      <c r="NV1481" s="2">
        <v>97.26000000000001</v>
      </c>
      <c r="OI1481" s="2">
        <v>96.42</v>
      </c>
      <c r="OJ1481" s="2">
        <v>96.95</v>
      </c>
      <c r="OK1481" s="2">
        <v>96.48</v>
      </c>
      <c r="OL1481" s="2">
        <v>95.98999999999999</v>
      </c>
      <c r="OY1481" s="2">
        <v>96.63</v>
      </c>
      <c r="OZ1481" s="2">
        <v>96.93000000000001</v>
      </c>
      <c r="PA1481" s="2">
        <v>98.54000000000001</v>
      </c>
      <c r="PB1481" s="2">
        <v>100.23</v>
      </c>
      <c r="PJ1481" s="2">
        <v>100.74</v>
      </c>
      <c r="PK1481" s="2">
        <v>102.4</v>
      </c>
    </row>
    <row r="1482">
      <c r="A1482" t="inlineStr">
        <is>
          <t>A2330886T</t>
        </is>
      </c>
      <c r="B1482" t="inlineStr">
        <is>
          <t>Index Numbers ;  Fruit and vegetables ;  Australia ;</t>
        </is>
      </c>
      <c r="C1482" t="inlineStr">
        <is>
          <t>Quarter</t>
        </is>
      </c>
      <c r="D1482" t="inlineStr">
        <is>
          <t>Index Numbers</t>
        </is>
      </c>
      <c r="E1482" t="inlineStr">
        <is>
          <t>Original</t>
        </is>
      </c>
      <c r="F1482" t="inlineStr">
        <is>
          <t>6401018.xlsx</t>
        </is>
      </c>
      <c r="G1482" t="inlineStr">
        <is>
          <t>1989Q3</t>
        </is>
      </c>
      <c r="H1482" t="inlineStr">
        <is>
          <t>2026Q2</t>
        </is>
      </c>
      <c r="FQ1482" s="2">
        <v>41.55</v>
      </c>
      <c r="FR1482" s="2">
        <v>38.44</v>
      </c>
      <c r="FS1482" s="2">
        <v>34.26</v>
      </c>
      <c r="FT1482" s="2">
        <v>37.56</v>
      </c>
      <c r="FU1482" s="2">
        <v>34</v>
      </c>
      <c r="FV1482" s="2">
        <v>31.72</v>
      </c>
      <c r="FW1482" s="2">
        <v>36.84</v>
      </c>
      <c r="FX1482" s="2">
        <v>33.13</v>
      </c>
      <c r="FY1482" s="2">
        <v>34.07</v>
      </c>
      <c r="FZ1482" s="2">
        <v>34.83</v>
      </c>
      <c r="GA1482" s="2">
        <v>34.64</v>
      </c>
      <c r="GB1482" s="2">
        <v>33.09</v>
      </c>
      <c r="GC1482" s="2">
        <v>30.62</v>
      </c>
      <c r="GD1482" s="2">
        <v>32.18</v>
      </c>
      <c r="GE1482" s="2">
        <v>36.81</v>
      </c>
      <c r="GF1482" s="2">
        <v>32.52</v>
      </c>
      <c r="GG1482" s="2">
        <v>32.86</v>
      </c>
      <c r="GH1482" s="2">
        <v>33.66</v>
      </c>
      <c r="GI1482" s="2">
        <v>34.34</v>
      </c>
      <c r="GJ1482" s="2">
        <v>34.49</v>
      </c>
      <c r="GK1482" s="2">
        <v>36.84</v>
      </c>
      <c r="GL1482" s="2">
        <v>37.41</v>
      </c>
      <c r="GM1482" s="2">
        <v>40.68</v>
      </c>
      <c r="GN1482" s="2">
        <v>38.32</v>
      </c>
      <c r="GO1482" s="2">
        <v>39.2</v>
      </c>
      <c r="GP1482" s="2">
        <v>38.97</v>
      </c>
      <c r="GQ1482" s="2">
        <v>37.72</v>
      </c>
      <c r="GR1482" s="2">
        <v>37.64</v>
      </c>
      <c r="GS1482" s="2">
        <v>38.89</v>
      </c>
      <c r="GT1482" s="2">
        <v>40.6</v>
      </c>
      <c r="GU1482" s="2">
        <v>40.98</v>
      </c>
      <c r="GV1482" s="2">
        <v>40.68</v>
      </c>
      <c r="GW1482" s="2">
        <v>38.51</v>
      </c>
      <c r="GX1482" s="2">
        <v>38.48</v>
      </c>
      <c r="GY1482" s="2">
        <v>39.08</v>
      </c>
      <c r="GZ1482" s="2">
        <v>40.83</v>
      </c>
      <c r="HA1482" s="2">
        <v>42.69</v>
      </c>
      <c r="HB1482" s="2">
        <v>45.87</v>
      </c>
      <c r="HC1482" s="2">
        <v>46.37</v>
      </c>
      <c r="HD1482" s="2">
        <v>45.19</v>
      </c>
      <c r="HE1482" s="2">
        <v>44.89</v>
      </c>
      <c r="HF1482" s="2">
        <v>43.86</v>
      </c>
      <c r="HG1482" s="2">
        <v>42.95</v>
      </c>
      <c r="HH1482" s="2">
        <v>44.24</v>
      </c>
      <c r="HI1482" s="2">
        <v>43.71</v>
      </c>
      <c r="HJ1482" s="2">
        <v>44.11</v>
      </c>
      <c r="HK1482" s="2">
        <v>50.09</v>
      </c>
      <c r="HL1482" s="2">
        <v>47.26</v>
      </c>
      <c r="HM1482" s="2">
        <v>46.3</v>
      </c>
      <c r="HN1482" s="2">
        <v>51.02</v>
      </c>
      <c r="HO1482" s="2">
        <v>50.24</v>
      </c>
      <c r="HP1482" s="2">
        <v>47.33</v>
      </c>
      <c r="HQ1482" s="2">
        <v>49.27</v>
      </c>
      <c r="HR1482" s="2">
        <v>51.32</v>
      </c>
      <c r="HS1482" s="2">
        <v>54.44</v>
      </c>
      <c r="HT1482" s="2">
        <v>51.62</v>
      </c>
      <c r="HU1482" s="2">
        <v>49.21</v>
      </c>
      <c r="HV1482" s="2">
        <v>54.4</v>
      </c>
      <c r="HW1482" s="2">
        <v>59.49</v>
      </c>
      <c r="HX1482" s="2">
        <v>54.83</v>
      </c>
      <c r="HY1482" s="2">
        <v>51.98</v>
      </c>
      <c r="HZ1482" s="2">
        <v>54.72</v>
      </c>
      <c r="IA1482" s="2">
        <v>55.01</v>
      </c>
      <c r="IB1482" s="2">
        <v>52.31</v>
      </c>
      <c r="IC1482" s="2">
        <v>53.05</v>
      </c>
      <c r="ID1482" s="2">
        <v>56.4</v>
      </c>
      <c r="IE1482" s="2">
        <v>58.59</v>
      </c>
      <c r="IF1482" s="2">
        <v>71.97</v>
      </c>
      <c r="IG1482" s="2">
        <v>78.19</v>
      </c>
      <c r="IH1482" s="2">
        <v>77.03</v>
      </c>
      <c r="II1482" s="2">
        <v>62.63</v>
      </c>
      <c r="IJ1482" s="2">
        <v>67.12</v>
      </c>
      <c r="IK1482" s="2">
        <v>72.98999999999999</v>
      </c>
      <c r="IL1482" s="2">
        <v>65.63</v>
      </c>
      <c r="IM1482" s="2">
        <v>66.51000000000001</v>
      </c>
      <c r="IN1482" s="2">
        <v>61.91</v>
      </c>
      <c r="IO1482" s="2">
        <v>63.63</v>
      </c>
      <c r="IP1482" s="2">
        <v>67.06</v>
      </c>
      <c r="IQ1482" s="2">
        <v>70.26000000000001</v>
      </c>
      <c r="IR1482" s="2">
        <v>65.17</v>
      </c>
      <c r="IS1482" s="2">
        <v>61.59</v>
      </c>
      <c r="IT1482" s="2">
        <v>66.73999999999999</v>
      </c>
      <c r="IU1482" s="2">
        <v>68.36</v>
      </c>
      <c r="IV1482" s="2">
        <v>65.76000000000001</v>
      </c>
      <c r="IW1482" s="2">
        <v>63.59</v>
      </c>
      <c r="IX1482" s="2">
        <v>72.03</v>
      </c>
      <c r="IY1482" s="2">
        <v>83.05</v>
      </c>
      <c r="IZ1482" s="2">
        <v>88.90000000000001</v>
      </c>
      <c r="JA1482" s="2">
        <v>87.3</v>
      </c>
      <c r="JB1482" s="2">
        <v>78.95</v>
      </c>
      <c r="JC1482" s="2">
        <v>66.41</v>
      </c>
      <c r="JD1482" s="2">
        <v>69.45999999999999</v>
      </c>
      <c r="JE1482" s="2">
        <v>76.55</v>
      </c>
      <c r="JF1482" s="2">
        <v>74.63</v>
      </c>
      <c r="JG1482" s="2">
        <v>70.62</v>
      </c>
      <c r="JH1482" s="2">
        <v>70.87</v>
      </c>
      <c r="JI1482" s="2">
        <v>69.98999999999999</v>
      </c>
      <c r="JJ1482" s="2">
        <v>75.28</v>
      </c>
      <c r="JK1482" s="2">
        <v>75.83</v>
      </c>
      <c r="JL1482" s="2">
        <v>74.76000000000001</v>
      </c>
      <c r="JM1482" s="2">
        <v>79.84</v>
      </c>
      <c r="JN1482" s="2">
        <v>78.09999999999999</v>
      </c>
      <c r="JO1482" s="2">
        <v>76.53</v>
      </c>
      <c r="JP1482" s="2">
        <v>75.58</v>
      </c>
      <c r="JQ1482" s="2">
        <v>75.77</v>
      </c>
      <c r="JR1482" s="2">
        <v>75.63</v>
      </c>
      <c r="JS1482" s="2">
        <v>72.34999999999999</v>
      </c>
      <c r="JT1482" s="2">
        <v>73.55</v>
      </c>
      <c r="JU1482" s="2">
        <v>82.13</v>
      </c>
      <c r="JV1482" s="2">
        <v>83.16</v>
      </c>
      <c r="KA1482" s="2">
        <v>81.58</v>
      </c>
      <c r="KB1482" s="2">
        <v>80.22</v>
      </c>
      <c r="KC1482" s="2">
        <v>75.34999999999999</v>
      </c>
      <c r="KD1482" s="2">
        <v>79.26000000000001</v>
      </c>
      <c r="KQ1482" s="2">
        <v>79.78</v>
      </c>
      <c r="KR1482" s="2">
        <v>77.61</v>
      </c>
      <c r="KS1482" s="2">
        <v>79.14</v>
      </c>
      <c r="KT1482" s="2">
        <v>80.48</v>
      </c>
      <c r="LG1482" s="2">
        <v>84.38</v>
      </c>
      <c r="LH1482" s="2">
        <v>82.01000000000001</v>
      </c>
      <c r="LI1482" s="2">
        <v>79.68000000000001</v>
      </c>
      <c r="LJ1482" s="2">
        <v>82.47</v>
      </c>
      <c r="LW1482" s="2">
        <v>87.34999999999999</v>
      </c>
      <c r="LX1482" s="2">
        <v>86.77</v>
      </c>
      <c r="LY1482" s="2">
        <v>86.78</v>
      </c>
      <c r="LZ1482" s="2">
        <v>85.18000000000001</v>
      </c>
      <c r="MM1482" s="2">
        <v>84.69</v>
      </c>
      <c r="MN1482" s="2">
        <v>89.06999999999999</v>
      </c>
      <c r="MO1482" s="2">
        <v>85.95999999999999</v>
      </c>
      <c r="MP1482" s="2">
        <v>85.31999999999999</v>
      </c>
      <c r="NC1482" s="2">
        <v>90.33</v>
      </c>
      <c r="ND1482" s="2">
        <v>95.51000000000001</v>
      </c>
      <c r="NE1482" s="2">
        <v>99.81999999999999</v>
      </c>
      <c r="NF1482" s="2">
        <v>92.59</v>
      </c>
      <c r="NS1482" s="2">
        <v>94.79000000000001</v>
      </c>
      <c r="NT1482" s="2">
        <v>97.02</v>
      </c>
      <c r="NU1482" s="2">
        <v>93.48</v>
      </c>
      <c r="NV1482" s="2">
        <v>92.38</v>
      </c>
      <c r="OI1482" s="2">
        <v>94.67</v>
      </c>
      <c r="OJ1482" s="2">
        <v>100.63</v>
      </c>
      <c r="OK1482" s="2">
        <v>101.57</v>
      </c>
      <c r="OL1482" s="2">
        <v>98.2</v>
      </c>
      <c r="OY1482" s="2">
        <v>100.93</v>
      </c>
      <c r="OZ1482" s="2">
        <v>105.22</v>
      </c>
      <c r="PA1482" s="2">
        <v>103.82</v>
      </c>
      <c r="PB1482" s="2">
        <v>100.93</v>
      </c>
      <c r="PJ1482" s="2">
        <v>102.67</v>
      </c>
      <c r="PK1482" s="2">
        <v>106.2</v>
      </c>
    </row>
    <row r="1483">
      <c r="A1483" t="inlineStr">
        <is>
          <t>A2330931T</t>
        </is>
      </c>
      <c r="B1483" t="inlineStr">
        <is>
          <t>Index Numbers ;  Fruit ;  Australia ;</t>
        </is>
      </c>
      <c r="C1483" t="inlineStr">
        <is>
          <t>Quarter</t>
        </is>
      </c>
      <c r="D1483" t="inlineStr">
        <is>
          <t>Index Numbers</t>
        </is>
      </c>
      <c r="E1483" t="inlineStr">
        <is>
          <t>Original</t>
        </is>
      </c>
      <c r="F1483" t="inlineStr">
        <is>
          <t>6401018.xlsx</t>
        </is>
      </c>
      <c r="G1483" t="inlineStr">
        <is>
          <t>1989Q3</t>
        </is>
      </c>
      <c r="H1483" t="inlineStr">
        <is>
          <t>2026Q2</t>
        </is>
      </c>
      <c r="FQ1483" s="2">
        <v>34.77</v>
      </c>
      <c r="FR1483" s="2">
        <v>33.55</v>
      </c>
      <c r="FS1483" s="2">
        <v>34.87</v>
      </c>
      <c r="FT1483" s="2">
        <v>35.74</v>
      </c>
      <c r="FU1483" s="2">
        <v>35.32</v>
      </c>
      <c r="FV1483" s="2">
        <v>35.15</v>
      </c>
      <c r="FW1483" s="2">
        <v>38.48</v>
      </c>
      <c r="FX1483" s="2">
        <v>39.18</v>
      </c>
      <c r="FY1483" s="2">
        <v>39.45</v>
      </c>
      <c r="FZ1483" s="2">
        <v>36.29</v>
      </c>
      <c r="GA1483" s="2">
        <v>37.47</v>
      </c>
      <c r="GB1483" s="2">
        <v>34.07</v>
      </c>
      <c r="GC1483" s="2">
        <v>33.62</v>
      </c>
      <c r="GD1483" s="2">
        <v>33.06</v>
      </c>
      <c r="GE1483" s="2">
        <v>37.13</v>
      </c>
      <c r="GF1483" s="2">
        <v>34.9</v>
      </c>
      <c r="GG1483" s="2">
        <v>34.24</v>
      </c>
      <c r="GH1483" s="2">
        <v>34.31</v>
      </c>
      <c r="GI1483" s="2">
        <v>33.65</v>
      </c>
      <c r="GJ1483" s="2">
        <v>35.81</v>
      </c>
      <c r="GK1483" s="2">
        <v>40.25</v>
      </c>
      <c r="GL1483" s="2">
        <v>39.77</v>
      </c>
      <c r="GM1483" s="2">
        <v>41.16</v>
      </c>
      <c r="GN1483" s="2">
        <v>37.16</v>
      </c>
      <c r="GO1483" s="2">
        <v>39.11</v>
      </c>
      <c r="GP1483" s="2">
        <v>38.59</v>
      </c>
      <c r="GQ1483" s="2">
        <v>39.84</v>
      </c>
      <c r="GR1483" s="2">
        <v>39.38</v>
      </c>
      <c r="GS1483" s="2">
        <v>42.75</v>
      </c>
      <c r="GT1483" s="2">
        <v>44.18</v>
      </c>
      <c r="GU1483" s="2">
        <v>43.1</v>
      </c>
      <c r="GV1483" s="2">
        <v>42.27</v>
      </c>
      <c r="GW1483" s="2">
        <v>41.02</v>
      </c>
      <c r="GX1483" s="2">
        <v>39.94</v>
      </c>
      <c r="GY1483" s="2">
        <v>37.75</v>
      </c>
      <c r="GZ1483" s="2">
        <v>39.63</v>
      </c>
      <c r="HA1483" s="2">
        <v>41.02</v>
      </c>
      <c r="HB1483" s="2">
        <v>45.57</v>
      </c>
      <c r="HC1483" s="2">
        <v>48.66</v>
      </c>
      <c r="HD1483" s="2">
        <v>48.45</v>
      </c>
      <c r="HE1483" s="2">
        <v>50.32</v>
      </c>
      <c r="HF1483" s="2">
        <v>47.41</v>
      </c>
      <c r="HG1483" s="2">
        <v>42.55</v>
      </c>
      <c r="HH1483" s="2">
        <v>41.12</v>
      </c>
      <c r="HI1483" s="2">
        <v>43.56</v>
      </c>
      <c r="HJ1483" s="2">
        <v>45.94</v>
      </c>
      <c r="HK1483" s="2">
        <v>48.76</v>
      </c>
      <c r="HL1483" s="2">
        <v>45.52</v>
      </c>
      <c r="HM1483" s="2">
        <v>48.4</v>
      </c>
      <c r="HN1483" s="2">
        <v>55.87</v>
      </c>
      <c r="HO1483" s="2">
        <v>55.76</v>
      </c>
      <c r="HP1483" s="2">
        <v>52.28</v>
      </c>
      <c r="HQ1483" s="2">
        <v>50.15</v>
      </c>
      <c r="HR1483" s="2">
        <v>51.39</v>
      </c>
      <c r="HS1483" s="2">
        <v>50.99</v>
      </c>
      <c r="HT1483" s="2">
        <v>49.09</v>
      </c>
      <c r="HU1483" s="2">
        <v>48.91</v>
      </c>
      <c r="HV1483" s="2">
        <v>54.98</v>
      </c>
      <c r="HW1483" s="2">
        <v>57.68</v>
      </c>
      <c r="HX1483" s="2">
        <v>55.84</v>
      </c>
      <c r="HY1483" s="2">
        <v>54.58</v>
      </c>
      <c r="HZ1483" s="2">
        <v>59.63</v>
      </c>
      <c r="IA1483" s="2">
        <v>57.56</v>
      </c>
      <c r="IB1483" s="2">
        <v>51.49</v>
      </c>
      <c r="IC1483" s="2">
        <v>53.04</v>
      </c>
      <c r="ID1483" s="2">
        <v>56.08</v>
      </c>
      <c r="IE1483" s="2">
        <v>55.64</v>
      </c>
      <c r="IF1483" s="2">
        <v>84.56999999999999</v>
      </c>
      <c r="IG1483" s="2">
        <v>101.91</v>
      </c>
      <c r="IH1483" s="2">
        <v>96.56999999999999</v>
      </c>
      <c r="II1483" s="2">
        <v>63.95</v>
      </c>
      <c r="IJ1483" s="2">
        <v>69.28</v>
      </c>
      <c r="IK1483" s="2">
        <v>75.97</v>
      </c>
      <c r="IL1483" s="2">
        <v>65.7</v>
      </c>
      <c r="IM1483" s="2">
        <v>65.31999999999999</v>
      </c>
      <c r="IN1483" s="2">
        <v>60.47</v>
      </c>
      <c r="IO1483" s="2">
        <v>63.21</v>
      </c>
      <c r="IP1483" s="2">
        <v>68.23999999999999</v>
      </c>
      <c r="IQ1483" s="2">
        <v>70.5</v>
      </c>
      <c r="IR1483" s="2">
        <v>65.13</v>
      </c>
      <c r="IS1483" s="2">
        <v>61.59</v>
      </c>
      <c r="IT1483" s="2">
        <v>71.36</v>
      </c>
      <c r="IU1483" s="2">
        <v>67.28</v>
      </c>
      <c r="IV1483" s="2">
        <v>64.03</v>
      </c>
      <c r="IW1483" s="2">
        <v>63.58</v>
      </c>
      <c r="IX1483" s="2">
        <v>73.43000000000001</v>
      </c>
      <c r="IY1483" s="2">
        <v>84.04000000000001</v>
      </c>
      <c r="IZ1483" s="2">
        <v>106.7</v>
      </c>
      <c r="JA1483" s="2">
        <v>105.42</v>
      </c>
      <c r="JB1483" s="2">
        <v>91.29000000000001</v>
      </c>
      <c r="JC1483" s="2">
        <v>63.92</v>
      </c>
      <c r="JD1483" s="2">
        <v>66.33</v>
      </c>
      <c r="JE1483" s="2">
        <v>72.78</v>
      </c>
      <c r="JF1483" s="2">
        <v>73.98</v>
      </c>
      <c r="JG1483" s="2">
        <v>68.78</v>
      </c>
      <c r="JH1483" s="2">
        <v>66.45999999999999</v>
      </c>
      <c r="JI1483" s="2">
        <v>68.55</v>
      </c>
      <c r="JJ1483" s="2">
        <v>74.16</v>
      </c>
      <c r="JK1483" s="2">
        <v>72.25</v>
      </c>
      <c r="JL1483" s="2">
        <v>71.31</v>
      </c>
      <c r="JM1483" s="2">
        <v>81.73</v>
      </c>
      <c r="JN1483" s="2">
        <v>79.54000000000001</v>
      </c>
      <c r="JO1483" s="2">
        <v>73.17</v>
      </c>
      <c r="JP1483" s="2">
        <v>72.64</v>
      </c>
      <c r="JQ1483" s="2">
        <v>78.64</v>
      </c>
      <c r="JR1483" s="2">
        <v>76.61</v>
      </c>
      <c r="JS1483" s="2">
        <v>68.05</v>
      </c>
      <c r="JT1483" s="2">
        <v>68.69</v>
      </c>
      <c r="JU1483" s="2">
        <v>82.11</v>
      </c>
      <c r="JV1483" s="2">
        <v>81.91</v>
      </c>
      <c r="KA1483" s="2">
        <v>76.40000000000001</v>
      </c>
      <c r="KB1483" s="2">
        <v>73.05</v>
      </c>
      <c r="KC1483" s="2">
        <v>73.62</v>
      </c>
      <c r="KD1483" s="2">
        <v>80.48</v>
      </c>
      <c r="KQ1483" s="2">
        <v>78.27</v>
      </c>
      <c r="KR1483" s="2">
        <v>76.31</v>
      </c>
      <c r="KS1483" s="2">
        <v>78.14</v>
      </c>
      <c r="KT1483" s="2">
        <v>82.03</v>
      </c>
      <c r="LG1483" s="2">
        <v>83.53</v>
      </c>
      <c r="LH1483" s="2">
        <v>80.14</v>
      </c>
      <c r="LI1483" s="2">
        <v>77.62</v>
      </c>
      <c r="LJ1483" s="2">
        <v>82.97</v>
      </c>
      <c r="LW1483" s="2">
        <v>84.97</v>
      </c>
      <c r="LX1483" s="2">
        <v>85.17</v>
      </c>
      <c r="LY1483" s="2">
        <v>84.77</v>
      </c>
      <c r="LZ1483" s="2">
        <v>87.64</v>
      </c>
      <c r="MM1483" s="2">
        <v>86.22</v>
      </c>
      <c r="MN1483" s="2">
        <v>90.33</v>
      </c>
      <c r="MO1483" s="2">
        <v>82.8</v>
      </c>
      <c r="MP1483" s="2">
        <v>81.81</v>
      </c>
      <c r="NC1483" s="2">
        <v>85.81</v>
      </c>
      <c r="ND1483" s="2">
        <v>89.01000000000001</v>
      </c>
      <c r="NE1483" s="2">
        <v>94.94</v>
      </c>
      <c r="NF1483" s="2">
        <v>92.15000000000001</v>
      </c>
      <c r="NS1483" s="2">
        <v>94.89</v>
      </c>
      <c r="NT1483" s="2">
        <v>95.29000000000001</v>
      </c>
      <c r="NU1483" s="2">
        <v>94.31999999999999</v>
      </c>
      <c r="NV1483" s="2">
        <v>93.25</v>
      </c>
      <c r="OI1483" s="2">
        <v>90.20999999999999</v>
      </c>
      <c r="OJ1483" s="2">
        <v>99.77</v>
      </c>
      <c r="OK1483" s="2">
        <v>103.36</v>
      </c>
      <c r="OL1483" s="2">
        <v>99.81999999999999</v>
      </c>
      <c r="OY1483" s="2">
        <v>101.28</v>
      </c>
      <c r="OZ1483" s="2">
        <v>105.36</v>
      </c>
      <c r="PA1483" s="2">
        <v>104.49</v>
      </c>
      <c r="PB1483" s="2">
        <v>103.04</v>
      </c>
      <c r="PJ1483" s="2">
        <v>104.25</v>
      </c>
      <c r="PK1483" s="2">
        <v>108.51</v>
      </c>
    </row>
    <row r="1484">
      <c r="A1484" t="inlineStr">
        <is>
          <t>A2330976W</t>
        </is>
      </c>
      <c r="B1484" t="inlineStr">
        <is>
          <t>Index Numbers ;  Vegetables ;  Australia ;</t>
        </is>
      </c>
      <c r="C1484" t="inlineStr">
        <is>
          <t>Quarter</t>
        </is>
      </c>
      <c r="D1484" t="inlineStr">
        <is>
          <t>Index Numbers</t>
        </is>
      </c>
      <c r="E1484" t="inlineStr">
        <is>
          <t>Original</t>
        </is>
      </c>
      <c r="F1484" t="inlineStr">
        <is>
          <t>6401018.xlsx</t>
        </is>
      </c>
      <c r="G1484" t="inlineStr">
        <is>
          <t>1989Q3</t>
        </is>
      </c>
      <c r="H1484" t="inlineStr">
        <is>
          <t>2026Q2</t>
        </is>
      </c>
      <c r="FQ1484" s="2">
        <v>46.34</v>
      </c>
      <c r="FR1484" s="2">
        <v>41.84</v>
      </c>
      <c r="FS1484" s="2">
        <v>33.73</v>
      </c>
      <c r="FT1484" s="2">
        <v>38.75</v>
      </c>
      <c r="FU1484" s="2">
        <v>32.97</v>
      </c>
      <c r="FV1484" s="2">
        <v>29.19</v>
      </c>
      <c r="FW1484" s="2">
        <v>35.58</v>
      </c>
      <c r="FX1484" s="2">
        <v>28.67</v>
      </c>
      <c r="FY1484" s="2">
        <v>30.12</v>
      </c>
      <c r="FZ1484" s="2">
        <v>33.69</v>
      </c>
      <c r="GA1484" s="2">
        <v>32.49</v>
      </c>
      <c r="GB1484" s="2">
        <v>32.33</v>
      </c>
      <c r="GC1484" s="2">
        <v>28.31</v>
      </c>
      <c r="GD1484" s="2">
        <v>31.48</v>
      </c>
      <c r="GE1484" s="2">
        <v>36.62</v>
      </c>
      <c r="GF1484" s="2">
        <v>30.68</v>
      </c>
      <c r="GG1484" s="2">
        <v>31.8</v>
      </c>
      <c r="GH1484" s="2">
        <v>33.13</v>
      </c>
      <c r="GI1484" s="2">
        <v>34.94</v>
      </c>
      <c r="GJ1484" s="2">
        <v>33.49</v>
      </c>
      <c r="GK1484" s="2">
        <v>34.21</v>
      </c>
      <c r="GL1484" s="2">
        <v>35.58</v>
      </c>
      <c r="GM1484" s="2">
        <v>40.36</v>
      </c>
      <c r="GN1484" s="2">
        <v>39.31</v>
      </c>
      <c r="GO1484" s="2">
        <v>39.31</v>
      </c>
      <c r="GP1484" s="2">
        <v>39.35</v>
      </c>
      <c r="GQ1484" s="2">
        <v>36.06</v>
      </c>
      <c r="GR1484" s="2">
        <v>36.3</v>
      </c>
      <c r="GS1484" s="2">
        <v>35.86</v>
      </c>
      <c r="GT1484" s="2">
        <v>37.79</v>
      </c>
      <c r="GU1484" s="2">
        <v>39.31</v>
      </c>
      <c r="GV1484" s="2">
        <v>39.43</v>
      </c>
      <c r="GW1484" s="2">
        <v>36.58</v>
      </c>
      <c r="GX1484" s="2">
        <v>37.35</v>
      </c>
      <c r="GY1484" s="2">
        <v>40.2</v>
      </c>
      <c r="GZ1484" s="2">
        <v>41.8</v>
      </c>
      <c r="HA1484" s="2">
        <v>44.01</v>
      </c>
      <c r="HB1484" s="2">
        <v>46.14</v>
      </c>
      <c r="HC1484" s="2">
        <v>44.45</v>
      </c>
      <c r="HD1484" s="2">
        <v>42.45</v>
      </c>
      <c r="HE1484" s="2">
        <v>40.36</v>
      </c>
      <c r="HF1484" s="2">
        <v>40.88</v>
      </c>
      <c r="HG1484" s="2">
        <v>43.25</v>
      </c>
      <c r="HH1484" s="2">
        <v>46.82</v>
      </c>
      <c r="HI1484" s="2">
        <v>43.88</v>
      </c>
      <c r="HJ1484" s="2">
        <v>42.68</v>
      </c>
      <c r="HK1484" s="2">
        <v>51.22</v>
      </c>
      <c r="HL1484" s="2">
        <v>48.73</v>
      </c>
      <c r="HM1484" s="2">
        <v>44.65</v>
      </c>
      <c r="HN1484" s="2">
        <v>47.16</v>
      </c>
      <c r="HO1484" s="2">
        <v>45.82</v>
      </c>
      <c r="HP1484" s="2">
        <v>43.37</v>
      </c>
      <c r="HQ1484" s="2">
        <v>48.61</v>
      </c>
      <c r="HR1484" s="2">
        <v>51.32</v>
      </c>
      <c r="HS1484" s="2">
        <v>57.3</v>
      </c>
      <c r="HT1484" s="2">
        <v>53.73</v>
      </c>
      <c r="HU1484" s="2">
        <v>49.5</v>
      </c>
      <c r="HV1484" s="2">
        <v>54</v>
      </c>
      <c r="HW1484" s="2">
        <v>61.03</v>
      </c>
      <c r="HX1484" s="2">
        <v>54.07</v>
      </c>
      <c r="HY1484" s="2">
        <v>49.93</v>
      </c>
      <c r="HZ1484" s="2">
        <v>50.81</v>
      </c>
      <c r="IA1484" s="2">
        <v>53.01</v>
      </c>
      <c r="IB1484" s="2">
        <v>53.03</v>
      </c>
      <c r="IC1484" s="2">
        <v>53.08</v>
      </c>
      <c r="ID1484" s="2">
        <v>56.71</v>
      </c>
      <c r="IE1484" s="2">
        <v>61.14</v>
      </c>
      <c r="IF1484" s="2">
        <v>61.26</v>
      </c>
      <c r="IG1484" s="2">
        <v>58.01</v>
      </c>
      <c r="IH1484" s="2">
        <v>60.41</v>
      </c>
      <c r="II1484" s="2">
        <v>61.54</v>
      </c>
      <c r="IJ1484" s="2">
        <v>65.3</v>
      </c>
      <c r="IK1484" s="2">
        <v>70.48</v>
      </c>
      <c r="IL1484" s="2">
        <v>65.59999999999999</v>
      </c>
      <c r="IM1484" s="2">
        <v>67.55</v>
      </c>
      <c r="IN1484" s="2">
        <v>63.16</v>
      </c>
      <c r="IO1484" s="2">
        <v>64.01000000000001</v>
      </c>
      <c r="IP1484" s="2">
        <v>66.09</v>
      </c>
      <c r="IQ1484" s="2">
        <v>70.08</v>
      </c>
      <c r="IR1484" s="2">
        <v>65.23999999999999</v>
      </c>
      <c r="IS1484" s="2">
        <v>61.61</v>
      </c>
      <c r="IT1484" s="2">
        <v>62.83</v>
      </c>
      <c r="IU1484" s="2">
        <v>69.31999999999999</v>
      </c>
      <c r="IV1484" s="2">
        <v>67.27</v>
      </c>
      <c r="IW1484" s="2">
        <v>63.62</v>
      </c>
      <c r="IX1484" s="2">
        <v>70.88</v>
      </c>
      <c r="IY1484" s="2">
        <v>82.23999999999999</v>
      </c>
      <c r="IZ1484" s="2">
        <v>73.77</v>
      </c>
      <c r="JA1484" s="2">
        <v>71.91</v>
      </c>
      <c r="JB1484" s="2">
        <v>68.36</v>
      </c>
      <c r="JC1484" s="2">
        <v>68.13</v>
      </c>
      <c r="JD1484" s="2">
        <v>71.68000000000001</v>
      </c>
      <c r="JE1484" s="2">
        <v>79.27</v>
      </c>
      <c r="JF1484" s="2">
        <v>74.79000000000001</v>
      </c>
      <c r="JG1484" s="2">
        <v>71.78</v>
      </c>
      <c r="JH1484" s="2">
        <v>74.15000000000001</v>
      </c>
      <c r="JI1484" s="2">
        <v>70.81999999999999</v>
      </c>
      <c r="JJ1484" s="2">
        <v>75.83</v>
      </c>
      <c r="JK1484" s="2">
        <v>78.39</v>
      </c>
      <c r="JL1484" s="2">
        <v>77.23</v>
      </c>
      <c r="JM1484" s="2">
        <v>77.89</v>
      </c>
      <c r="JN1484" s="2">
        <v>76.52</v>
      </c>
      <c r="JO1484" s="2">
        <v>78.91</v>
      </c>
      <c r="JP1484" s="2">
        <v>77.61</v>
      </c>
      <c r="JQ1484" s="2">
        <v>73.03</v>
      </c>
      <c r="JR1484" s="2">
        <v>74.43000000000001</v>
      </c>
      <c r="JS1484" s="2">
        <v>75.53</v>
      </c>
      <c r="JT1484" s="2">
        <v>77.19</v>
      </c>
      <c r="JU1484" s="2">
        <v>81.73999999999999</v>
      </c>
      <c r="JV1484" s="2">
        <v>83.77</v>
      </c>
      <c r="KA1484" s="2">
        <v>85.43000000000001</v>
      </c>
      <c r="KB1484" s="2">
        <v>85.72</v>
      </c>
      <c r="KC1484" s="2">
        <v>76.39</v>
      </c>
      <c r="KD1484" s="2">
        <v>77.73</v>
      </c>
      <c r="KQ1484" s="2">
        <v>80.61</v>
      </c>
      <c r="KR1484" s="2">
        <v>78.28</v>
      </c>
      <c r="KS1484" s="2">
        <v>79.53</v>
      </c>
      <c r="KT1484" s="2">
        <v>78.59</v>
      </c>
      <c r="LG1484" s="2">
        <v>84.61</v>
      </c>
      <c r="LH1484" s="2">
        <v>83.15000000000001</v>
      </c>
      <c r="LI1484" s="2">
        <v>81.01000000000001</v>
      </c>
      <c r="LJ1484" s="2">
        <v>81.51000000000001</v>
      </c>
      <c r="LW1484" s="2">
        <v>88.91</v>
      </c>
      <c r="LX1484" s="2">
        <v>87.65000000000001</v>
      </c>
      <c r="LY1484" s="2">
        <v>88.02</v>
      </c>
      <c r="LZ1484" s="2">
        <v>82.73999999999999</v>
      </c>
      <c r="MM1484" s="2">
        <v>83.02</v>
      </c>
      <c r="MN1484" s="2">
        <v>87.59</v>
      </c>
      <c r="MO1484" s="2">
        <v>88.15000000000001</v>
      </c>
      <c r="MP1484" s="2">
        <v>87.81</v>
      </c>
      <c r="NC1484" s="2">
        <v>93.61</v>
      </c>
      <c r="ND1484" s="2">
        <v>100.39</v>
      </c>
      <c r="NE1484" s="2">
        <v>103.36</v>
      </c>
      <c r="NF1484" s="2">
        <v>92.84</v>
      </c>
      <c r="NS1484" s="2">
        <v>94.63</v>
      </c>
      <c r="NT1484" s="2">
        <v>98.22</v>
      </c>
      <c r="NU1484" s="2">
        <v>92.77</v>
      </c>
      <c r="NV1484" s="2">
        <v>91.65000000000001</v>
      </c>
      <c r="OI1484" s="2">
        <v>97.98</v>
      </c>
      <c r="OJ1484" s="2">
        <v>101.21</v>
      </c>
      <c r="OK1484" s="2">
        <v>100.12</v>
      </c>
      <c r="OL1484" s="2">
        <v>96.89</v>
      </c>
      <c r="OY1484" s="2">
        <v>100.64</v>
      </c>
      <c r="OZ1484" s="2">
        <v>105.12</v>
      </c>
      <c r="PA1484" s="2">
        <v>103.27</v>
      </c>
      <c r="PB1484" s="2">
        <v>99.23</v>
      </c>
      <c r="PJ1484" s="2">
        <v>101.4</v>
      </c>
      <c r="PK1484" s="2">
        <v>104.34</v>
      </c>
    </row>
    <row r="1485">
      <c r="A1485" t="inlineStr">
        <is>
          <t>A3604363J</t>
        </is>
      </c>
      <c r="B1485" t="inlineStr">
        <is>
          <t>Index Numbers ;  Food products n.e.c. ;  Australia ;</t>
        </is>
      </c>
      <c r="C1485" t="inlineStr">
        <is>
          <t>Quarter</t>
        </is>
      </c>
      <c r="D1485" t="inlineStr">
        <is>
          <t>Index Numbers</t>
        </is>
      </c>
      <c r="E1485" t="inlineStr">
        <is>
          <t>Original</t>
        </is>
      </c>
      <c r="F1485" t="inlineStr">
        <is>
          <t>6401018.xlsx</t>
        </is>
      </c>
      <c r="G1485" t="inlineStr">
        <is>
          <t>1989Q3</t>
        </is>
      </c>
      <c r="H1485" t="inlineStr">
        <is>
          <t>2026Q2</t>
        </is>
      </c>
      <c r="FQ1485" s="2">
        <v>33.44</v>
      </c>
      <c r="FR1485" s="2">
        <v>34.2</v>
      </c>
      <c r="FS1485" s="2">
        <v>35.17</v>
      </c>
      <c r="FT1485" s="2">
        <v>35.51</v>
      </c>
      <c r="FU1485" s="2">
        <v>36.13</v>
      </c>
      <c r="FV1485" s="2">
        <v>36.51</v>
      </c>
      <c r="FW1485" s="2">
        <v>36.76</v>
      </c>
      <c r="FX1485" s="2">
        <v>37.38</v>
      </c>
      <c r="FY1485" s="2">
        <v>37.59</v>
      </c>
      <c r="FZ1485" s="2">
        <v>38.14</v>
      </c>
      <c r="GA1485" s="2">
        <v>38.28</v>
      </c>
      <c r="GB1485" s="2">
        <v>38.97</v>
      </c>
      <c r="GC1485" s="2">
        <v>39.28</v>
      </c>
      <c r="GD1485" s="2">
        <v>39.66</v>
      </c>
      <c r="GE1485" s="2">
        <v>39.87</v>
      </c>
      <c r="GF1485" s="2">
        <v>40.42</v>
      </c>
      <c r="GG1485" s="2">
        <v>40.73</v>
      </c>
      <c r="GH1485" s="2">
        <v>41.39</v>
      </c>
      <c r="GI1485" s="2">
        <v>41.84</v>
      </c>
      <c r="GJ1485" s="2">
        <v>41.98</v>
      </c>
      <c r="GK1485" s="2">
        <v>42.29</v>
      </c>
      <c r="GL1485" s="2">
        <v>42.5</v>
      </c>
      <c r="GM1485" s="2">
        <v>43.12</v>
      </c>
      <c r="GN1485" s="2">
        <v>43.19</v>
      </c>
      <c r="GO1485" s="2">
        <v>43.91</v>
      </c>
      <c r="GP1485" s="2">
        <v>44.5</v>
      </c>
      <c r="GQ1485" s="2">
        <v>44.71</v>
      </c>
      <c r="GR1485" s="2">
        <v>45.06</v>
      </c>
      <c r="GS1485" s="2">
        <v>45.51</v>
      </c>
      <c r="GT1485" s="2">
        <v>45.57</v>
      </c>
      <c r="GU1485" s="2">
        <v>46.3</v>
      </c>
      <c r="GV1485" s="2">
        <v>46.75</v>
      </c>
      <c r="GW1485" s="2">
        <v>47.51</v>
      </c>
      <c r="GX1485" s="2">
        <v>48.31</v>
      </c>
      <c r="GY1485" s="2">
        <v>48.44</v>
      </c>
      <c r="GZ1485" s="2">
        <v>48.65</v>
      </c>
      <c r="HA1485" s="2">
        <v>49.27</v>
      </c>
      <c r="HB1485" s="2">
        <v>49.38</v>
      </c>
      <c r="HC1485" s="2">
        <v>49.69</v>
      </c>
      <c r="HD1485" s="2">
        <v>50.66</v>
      </c>
      <c r="HE1485" s="2">
        <v>50.83</v>
      </c>
      <c r="HF1485" s="2">
        <v>51.28</v>
      </c>
      <c r="HG1485" s="2">
        <v>51.63</v>
      </c>
      <c r="HH1485" s="2">
        <v>51.9</v>
      </c>
      <c r="HI1485" s="2">
        <v>51.97</v>
      </c>
      <c r="HJ1485" s="2">
        <v>52.59</v>
      </c>
      <c r="HK1485" s="2">
        <v>52.94</v>
      </c>
      <c r="HL1485" s="2">
        <v>53.77</v>
      </c>
      <c r="HM1485" s="2">
        <v>54.15</v>
      </c>
      <c r="HN1485" s="2">
        <v>55.01</v>
      </c>
      <c r="HO1485" s="2">
        <v>55.36</v>
      </c>
      <c r="HP1485" s="2">
        <v>56.05</v>
      </c>
      <c r="HQ1485" s="2">
        <v>56.54</v>
      </c>
      <c r="HR1485" s="2">
        <v>56.99</v>
      </c>
      <c r="HS1485" s="2">
        <v>58.75</v>
      </c>
      <c r="HT1485" s="2">
        <v>58.64</v>
      </c>
      <c r="HU1485" s="2">
        <v>58.99</v>
      </c>
      <c r="HV1485" s="2">
        <v>58.68</v>
      </c>
      <c r="HW1485" s="2">
        <v>59.44</v>
      </c>
      <c r="HX1485" s="2">
        <v>59.41</v>
      </c>
      <c r="HY1485" s="2">
        <v>59.37</v>
      </c>
      <c r="HZ1485" s="2">
        <v>59.72</v>
      </c>
      <c r="IA1485" s="2">
        <v>60.79</v>
      </c>
      <c r="IB1485" s="2">
        <v>60.96</v>
      </c>
      <c r="IC1485" s="2">
        <v>61.55</v>
      </c>
      <c r="ID1485" s="2">
        <v>62.14</v>
      </c>
      <c r="IE1485" s="2">
        <v>63</v>
      </c>
      <c r="IF1485" s="2">
        <v>63.49</v>
      </c>
      <c r="IG1485" s="2">
        <v>64.56</v>
      </c>
      <c r="IH1485" s="2">
        <v>65.20999999999999</v>
      </c>
      <c r="II1485" s="2">
        <v>66.39</v>
      </c>
      <c r="IJ1485" s="2">
        <v>66.53</v>
      </c>
      <c r="IK1485" s="2">
        <v>66.53</v>
      </c>
      <c r="IL1485" s="2">
        <v>67.7</v>
      </c>
      <c r="IM1485" s="2">
        <v>68.91</v>
      </c>
      <c r="IN1485" s="2">
        <v>69.88</v>
      </c>
      <c r="IO1485" s="2">
        <v>70.3</v>
      </c>
      <c r="IP1485" s="2">
        <v>71.58</v>
      </c>
      <c r="IQ1485" s="2">
        <v>73.17</v>
      </c>
      <c r="IR1485" s="2">
        <v>73.31</v>
      </c>
      <c r="IS1485" s="2">
        <v>73.06</v>
      </c>
      <c r="IT1485" s="2">
        <v>73.76000000000001</v>
      </c>
      <c r="IU1485" s="2">
        <v>74.03</v>
      </c>
      <c r="IV1485" s="2">
        <v>74.06999999999999</v>
      </c>
      <c r="IW1485" s="2">
        <v>73.81999999999999</v>
      </c>
      <c r="IX1485" s="2">
        <v>73.86</v>
      </c>
      <c r="IY1485" s="2">
        <v>74.69</v>
      </c>
      <c r="IZ1485" s="2">
        <v>74.72</v>
      </c>
      <c r="JA1485" s="2">
        <v>74.77</v>
      </c>
      <c r="JB1485" s="2">
        <v>74.59</v>
      </c>
      <c r="JC1485" s="2">
        <v>74.88</v>
      </c>
      <c r="JD1485" s="2">
        <v>75.26000000000001</v>
      </c>
      <c r="JE1485" s="2">
        <v>75.58</v>
      </c>
      <c r="JF1485" s="2">
        <v>75.59</v>
      </c>
      <c r="JG1485" s="2">
        <v>75.45999999999999</v>
      </c>
      <c r="JH1485" s="2">
        <v>75.27</v>
      </c>
      <c r="JI1485" s="2">
        <v>75.67</v>
      </c>
      <c r="JJ1485" s="2">
        <v>76.63</v>
      </c>
      <c r="JK1485" s="2">
        <v>76.27</v>
      </c>
      <c r="JL1485" s="2">
        <v>76.18000000000001</v>
      </c>
      <c r="JM1485" s="2">
        <v>76.28</v>
      </c>
      <c r="JN1485" s="2">
        <v>76.77</v>
      </c>
      <c r="JO1485" s="2">
        <v>77.3</v>
      </c>
      <c r="JP1485" s="2">
        <v>76.33</v>
      </c>
      <c r="JQ1485" s="2">
        <v>76.05</v>
      </c>
      <c r="JR1485" s="2">
        <v>76.5</v>
      </c>
      <c r="JS1485" s="2">
        <v>77.41</v>
      </c>
      <c r="JT1485" s="2">
        <v>75.09</v>
      </c>
      <c r="JU1485" s="2">
        <v>75.40000000000001</v>
      </c>
      <c r="JV1485" s="2">
        <v>76.48999999999999</v>
      </c>
      <c r="KA1485" s="2">
        <v>76.31999999999999</v>
      </c>
      <c r="KB1485" s="2">
        <v>75.68000000000001</v>
      </c>
      <c r="KC1485" s="2">
        <v>75.5</v>
      </c>
      <c r="KD1485" s="2">
        <v>75.69</v>
      </c>
      <c r="KQ1485" s="2">
        <v>75.8</v>
      </c>
      <c r="KR1485" s="2">
        <v>74.8</v>
      </c>
      <c r="KS1485" s="2">
        <v>74.90000000000001</v>
      </c>
      <c r="KT1485" s="2">
        <v>75.31999999999999</v>
      </c>
      <c r="LG1485" s="2">
        <v>75.56999999999999</v>
      </c>
      <c r="LH1485" s="2">
        <v>74.91</v>
      </c>
      <c r="LI1485" s="2">
        <v>75.15000000000001</v>
      </c>
      <c r="LJ1485" s="2">
        <v>76.08</v>
      </c>
      <c r="LW1485" s="2">
        <v>77.81999999999999</v>
      </c>
      <c r="LX1485" s="2">
        <v>78.70999999999999</v>
      </c>
      <c r="LY1485" s="2">
        <v>77.45999999999999</v>
      </c>
      <c r="LZ1485" s="2">
        <v>77.78</v>
      </c>
      <c r="MM1485" s="2">
        <v>78.05</v>
      </c>
      <c r="MN1485" s="2">
        <v>77.47</v>
      </c>
      <c r="MO1485" s="2">
        <v>78.12</v>
      </c>
      <c r="MP1485" s="2">
        <v>79.09</v>
      </c>
      <c r="NC1485" s="2">
        <v>81.33</v>
      </c>
      <c r="ND1485" s="2">
        <v>82.25</v>
      </c>
      <c r="NE1485" s="2">
        <v>85.47</v>
      </c>
      <c r="NF1485" s="2">
        <v>87.73</v>
      </c>
      <c r="NS1485" s="2">
        <v>90.51000000000001</v>
      </c>
      <c r="NT1485" s="2">
        <v>91.48</v>
      </c>
      <c r="NU1485" s="2">
        <v>91.73999999999999</v>
      </c>
      <c r="NV1485" s="2">
        <v>93.44</v>
      </c>
      <c r="OI1485" s="2">
        <v>95.22</v>
      </c>
      <c r="OJ1485" s="2">
        <v>95.13</v>
      </c>
      <c r="OK1485" s="2">
        <v>95.61</v>
      </c>
      <c r="OL1485" s="2">
        <v>96.59999999999999</v>
      </c>
      <c r="OY1485" s="2">
        <v>98.13</v>
      </c>
      <c r="OZ1485" s="2">
        <v>98.67</v>
      </c>
      <c r="PA1485" s="2">
        <v>99.47</v>
      </c>
      <c r="PB1485" s="2">
        <v>99.98999999999999</v>
      </c>
      <c r="PJ1485" s="2">
        <v>101.06</v>
      </c>
      <c r="PK1485" s="2">
        <v>100.33</v>
      </c>
    </row>
    <row r="1486">
      <c r="A1486" t="inlineStr">
        <is>
          <t>A2327646W</t>
        </is>
      </c>
      <c r="B1486" t="inlineStr">
        <is>
          <t>Index Numbers ;  Eggs ;  Australia ;</t>
        </is>
      </c>
      <c r="C1486" t="inlineStr">
        <is>
          <t>Quarter</t>
        </is>
      </c>
      <c r="D1486" t="inlineStr">
        <is>
          <t>Index Numbers</t>
        </is>
      </c>
      <c r="E1486" t="inlineStr">
        <is>
          <t>Original</t>
        </is>
      </c>
      <c r="F1486" t="inlineStr">
        <is>
          <t>6401018.xlsx</t>
        </is>
      </c>
      <c r="G1486" t="inlineStr">
        <is>
          <t>1980Q3</t>
        </is>
      </c>
      <c r="H1486" t="inlineStr">
        <is>
          <t>2026Q2</t>
        </is>
      </c>
      <c r="EG1486" s="2">
        <v>21.28</v>
      </c>
      <c r="EH1486" s="2">
        <v>21.81</v>
      </c>
      <c r="EI1486" s="2">
        <v>22.73</v>
      </c>
      <c r="EJ1486" s="2">
        <v>23.86</v>
      </c>
      <c r="EK1486" s="2">
        <v>23.86</v>
      </c>
      <c r="EL1486" s="2">
        <v>23.89</v>
      </c>
      <c r="EM1486" s="2">
        <v>24.17</v>
      </c>
      <c r="EN1486" s="2">
        <v>24.6</v>
      </c>
      <c r="EO1486" s="2">
        <v>25</v>
      </c>
      <c r="EP1486" s="2">
        <v>25.8</v>
      </c>
      <c r="EQ1486" s="2">
        <v>26.35</v>
      </c>
      <c r="ER1486" s="2">
        <v>26.87</v>
      </c>
      <c r="ES1486" s="2">
        <v>27.27</v>
      </c>
      <c r="ET1486" s="2">
        <v>26.47</v>
      </c>
      <c r="EU1486" s="2">
        <v>26.35</v>
      </c>
      <c r="EV1486" s="2">
        <v>26.35</v>
      </c>
      <c r="EW1486" s="2">
        <v>26.17</v>
      </c>
      <c r="EX1486" s="2">
        <v>26.23</v>
      </c>
      <c r="EY1486" s="2">
        <v>26.69</v>
      </c>
      <c r="EZ1486" s="2">
        <v>26.78</v>
      </c>
      <c r="FA1486" s="2">
        <v>27.76</v>
      </c>
      <c r="FB1486" s="2">
        <v>27.86</v>
      </c>
      <c r="FC1486" s="2">
        <v>28.04</v>
      </c>
      <c r="FD1486" s="2">
        <v>27.73</v>
      </c>
      <c r="FE1486" s="2">
        <v>27.52</v>
      </c>
      <c r="FF1486" s="2">
        <v>27.37</v>
      </c>
      <c r="FG1486" s="2">
        <v>27.76</v>
      </c>
      <c r="FH1486" s="2">
        <v>27.83</v>
      </c>
      <c r="FI1486" s="2">
        <v>27.92</v>
      </c>
      <c r="FJ1486" s="2">
        <v>27.92</v>
      </c>
      <c r="FK1486" s="2">
        <v>28.47</v>
      </c>
      <c r="FL1486" s="2">
        <v>29.58</v>
      </c>
      <c r="FM1486" s="2">
        <v>31.39</v>
      </c>
      <c r="FN1486" s="2">
        <v>31.66</v>
      </c>
      <c r="FO1486" s="2">
        <v>31.97</v>
      </c>
      <c r="FP1486" s="2">
        <v>32.52</v>
      </c>
      <c r="FQ1486" s="2">
        <v>31.14</v>
      </c>
      <c r="FR1486" s="2">
        <v>30.93</v>
      </c>
      <c r="FS1486" s="2">
        <v>30.34</v>
      </c>
      <c r="FT1486" s="2">
        <v>30.47</v>
      </c>
      <c r="FU1486" s="2">
        <v>30.9</v>
      </c>
      <c r="FV1486" s="2">
        <v>30.77</v>
      </c>
      <c r="FW1486" s="2">
        <v>30.47</v>
      </c>
      <c r="FX1486" s="2">
        <v>30.77</v>
      </c>
      <c r="FY1486" s="2">
        <v>30.1</v>
      </c>
      <c r="FZ1486" s="2">
        <v>29.67</v>
      </c>
      <c r="GA1486" s="2">
        <v>29.58</v>
      </c>
      <c r="GB1486" s="2">
        <v>30.34</v>
      </c>
      <c r="GC1486" s="2">
        <v>31.14</v>
      </c>
      <c r="GD1486" s="2">
        <v>32.19</v>
      </c>
      <c r="GE1486" s="2">
        <v>31.79</v>
      </c>
      <c r="GF1486" s="2">
        <v>31.57</v>
      </c>
      <c r="GG1486" s="2">
        <v>32.28</v>
      </c>
      <c r="GH1486" s="2">
        <v>32.03</v>
      </c>
      <c r="GI1486" s="2">
        <v>32.16</v>
      </c>
      <c r="GJ1486" s="2">
        <v>32</v>
      </c>
      <c r="GK1486" s="2">
        <v>32</v>
      </c>
      <c r="GL1486" s="2">
        <v>31.82</v>
      </c>
      <c r="GM1486" s="2">
        <v>32.89</v>
      </c>
      <c r="GN1486" s="2">
        <v>34.43</v>
      </c>
      <c r="GO1486" s="2">
        <v>38.64</v>
      </c>
      <c r="GP1486" s="2">
        <v>39.62</v>
      </c>
      <c r="GQ1486" s="2">
        <v>40.05</v>
      </c>
      <c r="GR1486" s="2">
        <v>41.59</v>
      </c>
      <c r="GS1486" s="2">
        <v>43.06</v>
      </c>
      <c r="GT1486" s="2">
        <v>43.18</v>
      </c>
      <c r="GU1486" s="2">
        <v>43.15</v>
      </c>
      <c r="GV1486" s="2">
        <v>44.26</v>
      </c>
      <c r="GW1486" s="2">
        <v>44.2</v>
      </c>
      <c r="GX1486" s="2">
        <v>44.81</v>
      </c>
      <c r="GY1486" s="2">
        <v>43.92</v>
      </c>
      <c r="GZ1486" s="2">
        <v>44.1</v>
      </c>
      <c r="HA1486" s="2">
        <v>44.7</v>
      </c>
      <c r="HB1486" s="2">
        <v>43.86</v>
      </c>
      <c r="HC1486" s="2">
        <v>44.63</v>
      </c>
      <c r="HD1486" s="2">
        <v>46.01</v>
      </c>
      <c r="HE1486" s="2">
        <v>47.3</v>
      </c>
      <c r="HF1486" s="2">
        <v>46.79</v>
      </c>
      <c r="HG1486" s="2">
        <v>46.68</v>
      </c>
      <c r="HH1486" s="2">
        <v>46.92</v>
      </c>
      <c r="HI1486" s="2">
        <v>46.2</v>
      </c>
      <c r="HJ1486" s="2">
        <v>45.43</v>
      </c>
      <c r="HK1486" s="2">
        <v>45.88</v>
      </c>
      <c r="HL1486" s="2">
        <v>48.55</v>
      </c>
      <c r="HM1486" s="2">
        <v>49.94</v>
      </c>
      <c r="HN1486" s="2">
        <v>50.68</v>
      </c>
      <c r="HO1486" s="2">
        <v>50.63</v>
      </c>
      <c r="HP1486" s="2">
        <v>50.82</v>
      </c>
      <c r="HQ1486" s="2">
        <v>50.89</v>
      </c>
      <c r="HR1486" s="2">
        <v>48.53</v>
      </c>
      <c r="HS1486" s="2">
        <v>55.28</v>
      </c>
      <c r="HT1486" s="2">
        <v>56.76</v>
      </c>
      <c r="HU1486" s="2">
        <v>56.39</v>
      </c>
      <c r="HV1486" s="2">
        <v>54.81</v>
      </c>
      <c r="HW1486" s="2">
        <v>55.33</v>
      </c>
      <c r="HX1486" s="2">
        <v>54.8</v>
      </c>
      <c r="HY1486" s="2">
        <v>54.34</v>
      </c>
      <c r="HZ1486" s="2">
        <v>54.9</v>
      </c>
      <c r="IA1486" s="2">
        <v>53.56</v>
      </c>
      <c r="IB1486" s="2">
        <v>52.44</v>
      </c>
      <c r="IC1486" s="2">
        <v>53.25</v>
      </c>
      <c r="ID1486" s="2">
        <v>54.55</v>
      </c>
      <c r="IE1486" s="2">
        <v>53.82</v>
      </c>
      <c r="IF1486" s="2">
        <v>56.02</v>
      </c>
      <c r="IG1486" s="2">
        <v>56.73</v>
      </c>
      <c r="IH1486" s="2">
        <v>59.43</v>
      </c>
      <c r="II1486" s="2">
        <v>61.6</v>
      </c>
      <c r="IJ1486" s="2">
        <v>62.32</v>
      </c>
      <c r="IK1486" s="2">
        <v>62.3</v>
      </c>
      <c r="IL1486" s="2">
        <v>62</v>
      </c>
      <c r="IM1486" s="2">
        <v>65.22</v>
      </c>
      <c r="IN1486" s="2">
        <v>63.27</v>
      </c>
      <c r="IO1486" s="2">
        <v>63.84</v>
      </c>
      <c r="IP1486" s="2">
        <v>63.51</v>
      </c>
      <c r="IQ1486" s="2">
        <v>63.99</v>
      </c>
      <c r="IR1486" s="2">
        <v>63.99</v>
      </c>
      <c r="IS1486" s="2">
        <v>63.18</v>
      </c>
      <c r="IT1486" s="2">
        <v>62.71</v>
      </c>
      <c r="IU1486" s="2">
        <v>61.09</v>
      </c>
      <c r="IV1486" s="2">
        <v>61.27</v>
      </c>
      <c r="IW1486" s="2">
        <v>61.46</v>
      </c>
      <c r="IX1486" s="2">
        <v>61.21</v>
      </c>
      <c r="IY1486" s="2">
        <v>61.29</v>
      </c>
      <c r="IZ1486" s="2">
        <v>61.16</v>
      </c>
      <c r="JA1486" s="2">
        <v>60.85</v>
      </c>
      <c r="JB1486" s="2">
        <v>60.71</v>
      </c>
      <c r="JC1486" s="2">
        <v>61.65</v>
      </c>
      <c r="JD1486" s="2">
        <v>61.79</v>
      </c>
      <c r="JE1486" s="2">
        <v>62.12</v>
      </c>
      <c r="JF1486" s="2">
        <v>63.41</v>
      </c>
      <c r="JG1486" s="2">
        <v>63.31</v>
      </c>
      <c r="JH1486" s="2">
        <v>63.83</v>
      </c>
      <c r="JI1486" s="2">
        <v>64.05</v>
      </c>
      <c r="JJ1486" s="2">
        <v>65.91</v>
      </c>
      <c r="JK1486" s="2">
        <v>66.73</v>
      </c>
      <c r="JL1486" s="2">
        <v>68.56999999999999</v>
      </c>
      <c r="JM1486" s="2">
        <v>68.84999999999999</v>
      </c>
      <c r="JN1486" s="2">
        <v>67.09</v>
      </c>
      <c r="JO1486" s="2">
        <v>66.64</v>
      </c>
      <c r="JP1486" s="2">
        <v>66.94</v>
      </c>
      <c r="JQ1486" s="2">
        <v>66.89</v>
      </c>
      <c r="JR1486" s="2">
        <v>65.73</v>
      </c>
      <c r="JS1486" s="2">
        <v>65.95999999999999</v>
      </c>
      <c r="JT1486" s="2">
        <v>66.61</v>
      </c>
      <c r="JU1486" s="2">
        <v>66.81</v>
      </c>
      <c r="JV1486" s="2">
        <v>66.42</v>
      </c>
      <c r="KA1486" s="2">
        <v>66.55</v>
      </c>
      <c r="KB1486" s="2">
        <v>66.01000000000001</v>
      </c>
      <c r="KC1486" s="2">
        <v>63.74</v>
      </c>
      <c r="KD1486" s="2">
        <v>63.15</v>
      </c>
      <c r="KQ1486" s="2">
        <v>63.2</v>
      </c>
      <c r="KR1486" s="2">
        <v>63.62</v>
      </c>
      <c r="KS1486" s="2">
        <v>63.05</v>
      </c>
      <c r="KT1486" s="2">
        <v>63.36</v>
      </c>
      <c r="LG1486" s="2">
        <v>63.5</v>
      </c>
      <c r="LH1486" s="2">
        <v>64.15000000000001</v>
      </c>
      <c r="LI1486" s="2">
        <v>65.84999999999999</v>
      </c>
      <c r="LJ1486" s="2">
        <v>66.66</v>
      </c>
      <c r="LW1486" s="2">
        <v>67.31999999999999</v>
      </c>
      <c r="LX1486" s="2">
        <v>68.65000000000001</v>
      </c>
      <c r="LY1486" s="2">
        <v>68.47</v>
      </c>
      <c r="LZ1486" s="2">
        <v>67.92</v>
      </c>
      <c r="MM1486" s="2">
        <v>67.93000000000001</v>
      </c>
      <c r="MN1486" s="2">
        <v>67.64</v>
      </c>
      <c r="MO1486" s="2">
        <v>68.26000000000001</v>
      </c>
      <c r="MP1486" s="2">
        <v>67.98999999999999</v>
      </c>
      <c r="NC1486" s="2">
        <v>69</v>
      </c>
      <c r="ND1486" s="2">
        <v>71.56</v>
      </c>
      <c r="NE1486" s="2">
        <v>75.34999999999999</v>
      </c>
      <c r="NF1486" s="2">
        <v>75.95999999999999</v>
      </c>
      <c r="NS1486" s="2">
        <v>77.95</v>
      </c>
      <c r="NT1486" s="2">
        <v>79.56999999999999</v>
      </c>
      <c r="NU1486" s="2">
        <v>81.28</v>
      </c>
      <c r="NV1486" s="2">
        <v>84.03</v>
      </c>
      <c r="OI1486" s="2">
        <v>84.20999999999999</v>
      </c>
      <c r="OJ1486" s="2">
        <v>84.70999999999999</v>
      </c>
      <c r="OK1486" s="2">
        <v>88.72</v>
      </c>
      <c r="OL1486" s="2">
        <v>93.48</v>
      </c>
      <c r="OY1486" s="2">
        <v>94.72</v>
      </c>
      <c r="OZ1486" s="2">
        <v>100.9</v>
      </c>
      <c r="PA1486" s="2">
        <v>100.86</v>
      </c>
      <c r="PB1486" s="2">
        <v>97.76000000000001</v>
      </c>
      <c r="PJ1486" s="2">
        <v>97.16</v>
      </c>
      <c r="PK1486" s="2">
        <v>96.44</v>
      </c>
    </row>
    <row r="1487">
      <c r="A1487" t="inlineStr">
        <is>
          <t>A2327691J</t>
        </is>
      </c>
      <c r="B1487" t="inlineStr">
        <is>
          <t>Index Numbers ;  Jams, honey and spreads ;  Australia ;</t>
        </is>
      </c>
      <c r="C1487" t="inlineStr">
        <is>
          <t>Quarter</t>
        </is>
      </c>
      <c r="D1487" t="inlineStr">
        <is>
          <t>Index Numbers</t>
        </is>
      </c>
      <c r="E1487" t="inlineStr">
        <is>
          <t>Original</t>
        </is>
      </c>
      <c r="F1487" t="inlineStr">
        <is>
          <t>6401018.xlsx</t>
        </is>
      </c>
      <c r="G1487" t="inlineStr">
        <is>
          <t>1980Q3</t>
        </is>
      </c>
      <c r="H1487" t="inlineStr">
        <is>
          <t>2026Q2</t>
        </is>
      </c>
      <c r="EG1487" s="2">
        <v>18.98</v>
      </c>
      <c r="EH1487" s="2">
        <v>19.8</v>
      </c>
      <c r="EI1487" s="2">
        <v>20.07</v>
      </c>
      <c r="EJ1487" s="2">
        <v>20.22</v>
      </c>
      <c r="EK1487" s="2">
        <v>19.73</v>
      </c>
      <c r="EL1487" s="2">
        <v>20.07</v>
      </c>
      <c r="EM1487" s="2">
        <v>20.59</v>
      </c>
      <c r="EN1487" s="2">
        <v>20.67</v>
      </c>
      <c r="EO1487" s="2">
        <v>21.76</v>
      </c>
      <c r="EP1487" s="2">
        <v>22.4</v>
      </c>
      <c r="EQ1487" s="2">
        <v>23.07</v>
      </c>
      <c r="ER1487" s="2">
        <v>22.89</v>
      </c>
      <c r="ES1487" s="2">
        <v>23.56</v>
      </c>
      <c r="ET1487" s="2">
        <v>24.24</v>
      </c>
      <c r="EU1487" s="2">
        <v>24.16</v>
      </c>
      <c r="EV1487" s="2">
        <v>24.73</v>
      </c>
      <c r="EW1487" s="2">
        <v>24.88</v>
      </c>
      <c r="EX1487" s="2">
        <v>25.18</v>
      </c>
      <c r="EY1487" s="2">
        <v>25.82</v>
      </c>
      <c r="EZ1487" s="2">
        <v>25.52</v>
      </c>
      <c r="FA1487" s="2">
        <v>26.83</v>
      </c>
      <c r="FB1487" s="2">
        <v>28.19</v>
      </c>
      <c r="FC1487" s="2">
        <v>28.15</v>
      </c>
      <c r="FD1487" s="2">
        <v>29.09</v>
      </c>
      <c r="FE1487" s="2">
        <v>29.12</v>
      </c>
      <c r="FF1487" s="2">
        <v>30.67</v>
      </c>
      <c r="FG1487" s="2">
        <v>31.42</v>
      </c>
      <c r="FH1487" s="2">
        <v>32.09</v>
      </c>
      <c r="FI1487" s="2">
        <v>32.69</v>
      </c>
      <c r="FJ1487" s="2">
        <v>33.3</v>
      </c>
      <c r="FK1487" s="2">
        <v>33.6</v>
      </c>
      <c r="FL1487" s="2">
        <v>34.42</v>
      </c>
      <c r="FM1487" s="2">
        <v>34.84</v>
      </c>
      <c r="FN1487" s="2">
        <v>35.33</v>
      </c>
      <c r="FO1487" s="2">
        <v>35.51</v>
      </c>
      <c r="FP1487" s="2">
        <v>36.11</v>
      </c>
      <c r="FQ1487" s="2">
        <v>36.3</v>
      </c>
      <c r="FR1487" s="2">
        <v>37.35</v>
      </c>
      <c r="FS1487" s="2">
        <v>38.11</v>
      </c>
      <c r="FT1487" s="2">
        <v>38.56</v>
      </c>
      <c r="FU1487" s="2">
        <v>39.91</v>
      </c>
      <c r="FV1487" s="2">
        <v>41.04</v>
      </c>
      <c r="FW1487" s="2">
        <v>41.6</v>
      </c>
      <c r="FX1487" s="2">
        <v>42.05</v>
      </c>
      <c r="FY1487" s="2">
        <v>42.95</v>
      </c>
      <c r="FZ1487" s="2">
        <v>43.37</v>
      </c>
      <c r="GA1487" s="2">
        <v>43.97</v>
      </c>
      <c r="GB1487" s="2">
        <v>44.61</v>
      </c>
      <c r="GC1487" s="2">
        <v>44.87</v>
      </c>
      <c r="GD1487" s="2">
        <v>45.62</v>
      </c>
      <c r="GE1487" s="2">
        <v>45.92</v>
      </c>
      <c r="GF1487" s="2">
        <v>45.62</v>
      </c>
      <c r="GG1487" s="2">
        <v>46.83</v>
      </c>
      <c r="GH1487" s="2">
        <v>46.6</v>
      </c>
      <c r="GI1487" s="2">
        <v>47.05</v>
      </c>
      <c r="GJ1487" s="2">
        <v>47.05</v>
      </c>
      <c r="GK1487" s="2">
        <v>47.61</v>
      </c>
      <c r="GL1487" s="2">
        <v>47.8</v>
      </c>
      <c r="GM1487" s="2">
        <v>48.63</v>
      </c>
      <c r="GN1487" s="2">
        <v>48.93</v>
      </c>
      <c r="GO1487" s="2">
        <v>48.82</v>
      </c>
      <c r="GP1487" s="2">
        <v>49.16</v>
      </c>
      <c r="GQ1487" s="2">
        <v>49.72</v>
      </c>
      <c r="GR1487" s="2">
        <v>50.51</v>
      </c>
      <c r="GS1487" s="2">
        <v>50.36</v>
      </c>
      <c r="GT1487" s="2">
        <v>51.03</v>
      </c>
      <c r="GU1487" s="2">
        <v>50.13</v>
      </c>
      <c r="GV1487" s="2">
        <v>51.26</v>
      </c>
      <c r="GW1487" s="2">
        <v>51.82</v>
      </c>
      <c r="GX1487" s="2">
        <v>52.88</v>
      </c>
      <c r="GY1487" s="2">
        <v>53.4</v>
      </c>
      <c r="GZ1487" s="2">
        <v>52.39</v>
      </c>
      <c r="HA1487" s="2">
        <v>52.65</v>
      </c>
      <c r="HB1487" s="2">
        <v>52.48</v>
      </c>
      <c r="HC1487" s="2">
        <v>52.48</v>
      </c>
      <c r="HD1487" s="2">
        <v>53.12</v>
      </c>
      <c r="HE1487" s="2">
        <v>54.02</v>
      </c>
      <c r="HF1487" s="2">
        <v>54.12</v>
      </c>
      <c r="HG1487" s="2">
        <v>54.32</v>
      </c>
      <c r="HH1487" s="2">
        <v>53.31</v>
      </c>
      <c r="HI1487" s="2">
        <v>54.48</v>
      </c>
      <c r="HJ1487" s="2">
        <v>52.81</v>
      </c>
      <c r="HK1487" s="2">
        <v>54.85</v>
      </c>
      <c r="HL1487" s="2">
        <v>55.97</v>
      </c>
      <c r="HM1487" s="2">
        <v>55.75</v>
      </c>
      <c r="HN1487" s="2">
        <v>56.34</v>
      </c>
      <c r="HO1487" s="2">
        <v>55.28</v>
      </c>
      <c r="HP1487" s="2">
        <v>57.31</v>
      </c>
      <c r="HQ1487" s="2">
        <v>60.89</v>
      </c>
      <c r="HR1487" s="2">
        <v>64.87</v>
      </c>
      <c r="HS1487" s="2">
        <v>65.59999999999999</v>
      </c>
      <c r="HT1487" s="2">
        <v>66.5</v>
      </c>
      <c r="HU1487" s="2">
        <v>66.31999999999999</v>
      </c>
      <c r="HV1487" s="2">
        <v>66.11</v>
      </c>
      <c r="HW1487" s="2">
        <v>66.62</v>
      </c>
      <c r="HX1487" s="2">
        <v>66.92</v>
      </c>
      <c r="HY1487" s="2">
        <v>66.63</v>
      </c>
      <c r="HZ1487" s="2">
        <v>66.67</v>
      </c>
      <c r="IA1487" s="2">
        <v>67.75</v>
      </c>
      <c r="IB1487" s="2">
        <v>65.97</v>
      </c>
      <c r="IC1487" s="2">
        <v>69.11</v>
      </c>
      <c r="ID1487" s="2">
        <v>68.67</v>
      </c>
      <c r="IE1487" s="2">
        <v>69.94</v>
      </c>
      <c r="IF1487" s="2">
        <v>68.59</v>
      </c>
      <c r="IG1487" s="2">
        <v>71.38</v>
      </c>
      <c r="IH1487" s="2">
        <v>71.62</v>
      </c>
      <c r="II1487" s="2">
        <v>72.38</v>
      </c>
      <c r="IJ1487" s="2">
        <v>72.78</v>
      </c>
      <c r="IK1487" s="2">
        <v>72.77</v>
      </c>
      <c r="IL1487" s="2">
        <v>73.81</v>
      </c>
      <c r="IM1487" s="2">
        <v>74.7</v>
      </c>
      <c r="IN1487" s="2">
        <v>76.45999999999999</v>
      </c>
      <c r="IO1487" s="2">
        <v>77.06</v>
      </c>
      <c r="IP1487" s="2">
        <v>78.95</v>
      </c>
      <c r="IQ1487" s="2">
        <v>81.06999999999999</v>
      </c>
      <c r="IR1487" s="2">
        <v>81.68000000000001</v>
      </c>
      <c r="IS1487" s="2">
        <v>81.13</v>
      </c>
      <c r="IT1487" s="2">
        <v>81.79000000000001</v>
      </c>
      <c r="IU1487" s="2">
        <v>81.15000000000001</v>
      </c>
      <c r="IV1487" s="2">
        <v>79.64</v>
      </c>
      <c r="IW1487" s="2">
        <v>78.31999999999999</v>
      </c>
      <c r="IX1487" s="2">
        <v>78.81</v>
      </c>
      <c r="IY1487" s="2">
        <v>78.8</v>
      </c>
      <c r="IZ1487" s="2">
        <v>80.23999999999999</v>
      </c>
      <c r="JA1487" s="2">
        <v>80.13</v>
      </c>
      <c r="JB1487" s="2">
        <v>80.38</v>
      </c>
      <c r="JC1487" s="2">
        <v>80.81</v>
      </c>
      <c r="JD1487" s="2">
        <v>79.93000000000001</v>
      </c>
      <c r="JE1487" s="2">
        <v>79.61</v>
      </c>
      <c r="JF1487" s="2">
        <v>81.59999999999999</v>
      </c>
      <c r="JG1487" s="2">
        <v>80.73999999999999</v>
      </c>
      <c r="JH1487" s="2">
        <v>80.44</v>
      </c>
      <c r="JI1487" s="2">
        <v>80.48999999999999</v>
      </c>
      <c r="JJ1487" s="2">
        <v>78.76000000000001</v>
      </c>
      <c r="JK1487" s="2">
        <v>79.47</v>
      </c>
      <c r="JL1487" s="2">
        <v>82.5</v>
      </c>
      <c r="JM1487" s="2">
        <v>85.69</v>
      </c>
      <c r="JN1487" s="2">
        <v>87.23</v>
      </c>
      <c r="JO1487" s="2">
        <v>86.56</v>
      </c>
      <c r="JP1487" s="2">
        <v>85.65000000000001</v>
      </c>
      <c r="JQ1487" s="2">
        <v>84.7</v>
      </c>
      <c r="JR1487" s="2">
        <v>85.97</v>
      </c>
      <c r="JS1487" s="2">
        <v>85.58</v>
      </c>
      <c r="JT1487" s="2">
        <v>83.29000000000001</v>
      </c>
      <c r="JU1487" s="2">
        <v>84.56</v>
      </c>
      <c r="JV1487" s="2">
        <v>84.98999999999999</v>
      </c>
      <c r="KA1487" s="2">
        <v>83.90000000000001</v>
      </c>
      <c r="KB1487" s="2">
        <v>85.19</v>
      </c>
      <c r="KC1487" s="2">
        <v>81.69</v>
      </c>
      <c r="KD1487" s="2">
        <v>82.36</v>
      </c>
      <c r="KQ1487" s="2">
        <v>81.56</v>
      </c>
      <c r="KR1487" s="2">
        <v>80.51000000000001</v>
      </c>
      <c r="KS1487" s="2">
        <v>81.38</v>
      </c>
      <c r="KT1487" s="2">
        <v>81.67</v>
      </c>
      <c r="LG1487" s="2">
        <v>81.54000000000001</v>
      </c>
      <c r="LH1487" s="2">
        <v>82.01000000000001</v>
      </c>
      <c r="LI1487" s="2">
        <v>81.79000000000001</v>
      </c>
      <c r="LJ1487" s="2">
        <v>82.16</v>
      </c>
      <c r="LW1487" s="2">
        <v>83.8</v>
      </c>
      <c r="LX1487" s="2">
        <v>86.09</v>
      </c>
      <c r="LY1487" s="2">
        <v>85.92</v>
      </c>
      <c r="LZ1487" s="2">
        <v>85.89</v>
      </c>
      <c r="MM1487" s="2">
        <v>85.03</v>
      </c>
      <c r="MN1487" s="2">
        <v>85.75</v>
      </c>
      <c r="MO1487" s="2">
        <v>85.61</v>
      </c>
      <c r="MP1487" s="2">
        <v>86.22</v>
      </c>
      <c r="NC1487" s="2">
        <v>86.89</v>
      </c>
      <c r="ND1487" s="2">
        <v>87.64</v>
      </c>
      <c r="NE1487" s="2">
        <v>91.44</v>
      </c>
      <c r="NF1487" s="2">
        <v>92.33</v>
      </c>
      <c r="NS1487" s="2">
        <v>92.94</v>
      </c>
      <c r="NT1487" s="2">
        <v>92.95999999999999</v>
      </c>
      <c r="NU1487" s="2">
        <v>95.06999999999999</v>
      </c>
      <c r="NV1487" s="2">
        <v>96.7</v>
      </c>
      <c r="OI1487" s="2">
        <v>96.75</v>
      </c>
      <c r="OJ1487" s="2">
        <v>96.06999999999999</v>
      </c>
      <c r="OK1487" s="2">
        <v>96.69</v>
      </c>
      <c r="OL1487" s="2">
        <v>97.70999999999999</v>
      </c>
      <c r="OY1487" s="2">
        <v>97.54000000000001</v>
      </c>
      <c r="OZ1487" s="2">
        <v>97.54000000000001</v>
      </c>
      <c r="PA1487" s="2">
        <v>98.88</v>
      </c>
      <c r="PB1487" s="2">
        <v>99.98</v>
      </c>
      <c r="PJ1487" s="2">
        <v>100.83</v>
      </c>
      <c r="PK1487" s="2">
        <v>100.51</v>
      </c>
    </row>
    <row r="1488">
      <c r="A1488" t="inlineStr">
        <is>
          <t>A2329491A</t>
        </is>
      </c>
      <c r="B1488" t="inlineStr">
        <is>
          <t>Index Numbers ;  Food additives and condiments ;  Australia ;</t>
        </is>
      </c>
      <c r="C1488" t="inlineStr">
        <is>
          <t>Quarter</t>
        </is>
      </c>
      <c r="D1488" t="inlineStr">
        <is>
          <t>Index Numbers</t>
        </is>
      </c>
      <c r="E1488" t="inlineStr">
        <is>
          <t>Original</t>
        </is>
      </c>
      <c r="F1488" t="inlineStr">
        <is>
          <t>6401018.xlsx</t>
        </is>
      </c>
      <c r="G1488" t="inlineStr">
        <is>
          <t>1989Q3</t>
        </is>
      </c>
      <c r="H1488" t="inlineStr">
        <is>
          <t>2026Q2</t>
        </is>
      </c>
      <c r="FQ1488" s="2">
        <v>49.83</v>
      </c>
      <c r="FR1488" s="2">
        <v>51.48</v>
      </c>
      <c r="FS1488" s="2">
        <v>51.85</v>
      </c>
      <c r="FT1488" s="2">
        <v>53.97</v>
      </c>
      <c r="FU1488" s="2">
        <v>54.96</v>
      </c>
      <c r="FV1488" s="2">
        <v>54.8</v>
      </c>
      <c r="FW1488" s="2">
        <v>55.01</v>
      </c>
      <c r="FX1488" s="2">
        <v>55.21</v>
      </c>
      <c r="FY1488" s="2">
        <v>55.47</v>
      </c>
      <c r="FZ1488" s="2">
        <v>54.9</v>
      </c>
      <c r="GA1488" s="2">
        <v>54.7</v>
      </c>
      <c r="GB1488" s="2">
        <v>55.58</v>
      </c>
      <c r="GC1488" s="2">
        <v>55.52</v>
      </c>
      <c r="GD1488" s="2">
        <v>55.32</v>
      </c>
      <c r="GE1488" s="2">
        <v>55.47</v>
      </c>
      <c r="GF1488" s="2">
        <v>55.63</v>
      </c>
      <c r="GG1488" s="2">
        <v>58.22</v>
      </c>
      <c r="GH1488" s="2">
        <v>58.27</v>
      </c>
      <c r="GI1488" s="2">
        <v>58.58</v>
      </c>
      <c r="GJ1488" s="2">
        <v>57.75</v>
      </c>
      <c r="GK1488" s="2">
        <v>58.11</v>
      </c>
      <c r="GL1488" s="2">
        <v>58.27</v>
      </c>
      <c r="GM1488" s="2">
        <v>58.32</v>
      </c>
      <c r="GN1488" s="2">
        <v>58.74</v>
      </c>
      <c r="GO1488" s="2">
        <v>58.68</v>
      </c>
      <c r="GP1488" s="2">
        <v>58.53</v>
      </c>
      <c r="GQ1488" s="2">
        <v>58.27</v>
      </c>
      <c r="GR1488" s="2">
        <v>57.75</v>
      </c>
      <c r="GS1488" s="2">
        <v>58.48</v>
      </c>
      <c r="GT1488" s="2">
        <v>58.43</v>
      </c>
      <c r="GU1488" s="2">
        <v>58.48</v>
      </c>
      <c r="GV1488" s="2">
        <v>59.36</v>
      </c>
      <c r="GW1488" s="2">
        <v>59.67</v>
      </c>
      <c r="GX1488" s="2">
        <v>59</v>
      </c>
      <c r="GY1488" s="2">
        <v>61.22</v>
      </c>
      <c r="GZ1488" s="2">
        <v>61.9</v>
      </c>
      <c r="HA1488" s="2">
        <v>63.46</v>
      </c>
      <c r="HB1488" s="2">
        <v>63.12</v>
      </c>
      <c r="HC1488" s="2">
        <v>64.06</v>
      </c>
      <c r="HD1488" s="2">
        <v>64.43000000000001</v>
      </c>
      <c r="HE1488" s="2">
        <v>64.92</v>
      </c>
      <c r="HF1488" s="2">
        <v>63.53</v>
      </c>
      <c r="HG1488" s="2">
        <v>64.36</v>
      </c>
      <c r="HH1488" s="2">
        <v>64.90000000000001</v>
      </c>
      <c r="HI1488" s="2">
        <v>64.05</v>
      </c>
      <c r="HJ1488" s="2">
        <v>64.55</v>
      </c>
      <c r="HK1488" s="2">
        <v>65.12</v>
      </c>
      <c r="HL1488" s="2">
        <v>65.54000000000001</v>
      </c>
      <c r="HM1488" s="2">
        <v>68.09999999999999</v>
      </c>
      <c r="HN1488" s="2">
        <v>66.77</v>
      </c>
      <c r="HO1488" s="2">
        <v>67.56</v>
      </c>
      <c r="HP1488" s="2">
        <v>67.70999999999999</v>
      </c>
      <c r="HQ1488" s="2">
        <v>67.66</v>
      </c>
      <c r="HR1488" s="2">
        <v>66.51000000000001</v>
      </c>
      <c r="HS1488" s="2">
        <v>68.27</v>
      </c>
      <c r="HT1488" s="2">
        <v>68.45</v>
      </c>
      <c r="HU1488" s="2">
        <v>68.19</v>
      </c>
      <c r="HV1488" s="2">
        <v>66.79000000000001</v>
      </c>
      <c r="HW1488" s="2">
        <v>67.09</v>
      </c>
      <c r="HX1488" s="2">
        <v>66.66</v>
      </c>
      <c r="HY1488" s="2">
        <v>66.47</v>
      </c>
      <c r="HZ1488" s="2">
        <v>66.83</v>
      </c>
      <c r="IA1488" s="2">
        <v>66.92</v>
      </c>
      <c r="IB1488" s="2">
        <v>66.67</v>
      </c>
      <c r="IC1488" s="2">
        <v>68.31999999999999</v>
      </c>
      <c r="ID1488" s="2">
        <v>67.2</v>
      </c>
      <c r="IE1488" s="2">
        <v>67.95</v>
      </c>
      <c r="IF1488" s="2">
        <v>68.29000000000001</v>
      </c>
      <c r="IG1488" s="2">
        <v>69.59999999999999</v>
      </c>
      <c r="IH1488" s="2">
        <v>71.39</v>
      </c>
      <c r="II1488" s="2">
        <v>72.36</v>
      </c>
      <c r="IJ1488" s="2">
        <v>73</v>
      </c>
      <c r="IK1488" s="2">
        <v>73.59999999999999</v>
      </c>
      <c r="IL1488" s="2">
        <v>72.73999999999999</v>
      </c>
      <c r="IM1488" s="2">
        <v>73.17</v>
      </c>
      <c r="IN1488" s="2">
        <v>75.20999999999999</v>
      </c>
      <c r="IO1488" s="2">
        <v>76.31999999999999</v>
      </c>
      <c r="IP1488" s="2">
        <v>76.47</v>
      </c>
      <c r="IQ1488" s="2">
        <v>76.70999999999999</v>
      </c>
      <c r="IR1488" s="2">
        <v>78.87</v>
      </c>
      <c r="IS1488" s="2">
        <v>79.95999999999999</v>
      </c>
      <c r="IT1488" s="2">
        <v>79.05</v>
      </c>
      <c r="IU1488" s="2">
        <v>80.56</v>
      </c>
      <c r="IV1488" s="2">
        <v>80.59999999999999</v>
      </c>
      <c r="IW1488" s="2">
        <v>80.95999999999999</v>
      </c>
      <c r="IX1488" s="2">
        <v>80.19</v>
      </c>
      <c r="IY1488" s="2">
        <v>81.56</v>
      </c>
      <c r="IZ1488" s="2">
        <v>82.40000000000001</v>
      </c>
      <c r="JA1488" s="2">
        <v>83.09</v>
      </c>
      <c r="JB1488" s="2">
        <v>82.69</v>
      </c>
      <c r="JC1488" s="2">
        <v>84.98</v>
      </c>
      <c r="JD1488" s="2">
        <v>84.48999999999999</v>
      </c>
      <c r="JE1488" s="2">
        <v>84.76000000000001</v>
      </c>
      <c r="JF1488" s="2">
        <v>82.37</v>
      </c>
      <c r="JG1488" s="2">
        <v>82.52</v>
      </c>
      <c r="JH1488" s="2">
        <v>84.20999999999999</v>
      </c>
      <c r="JI1488" s="2">
        <v>84.91</v>
      </c>
      <c r="JJ1488" s="2">
        <v>84.81</v>
      </c>
      <c r="JK1488" s="2">
        <v>85.48</v>
      </c>
      <c r="JL1488" s="2">
        <v>83.51000000000001</v>
      </c>
      <c r="JM1488" s="2">
        <v>83.76000000000001</v>
      </c>
      <c r="JN1488" s="2">
        <v>82.23</v>
      </c>
      <c r="JO1488" s="2">
        <v>82.94</v>
      </c>
      <c r="JP1488" s="2">
        <v>81.95</v>
      </c>
      <c r="JQ1488" s="2">
        <v>82.58</v>
      </c>
      <c r="JR1488" s="2">
        <v>80.97</v>
      </c>
      <c r="JS1488" s="2">
        <v>82.31</v>
      </c>
      <c r="JT1488" s="2">
        <v>81.08</v>
      </c>
      <c r="JU1488" s="2">
        <v>81.94</v>
      </c>
      <c r="JV1488" s="2">
        <v>80.66</v>
      </c>
      <c r="KA1488" s="2">
        <v>81.83</v>
      </c>
      <c r="KB1488" s="2">
        <v>79.87</v>
      </c>
      <c r="KC1488" s="2">
        <v>81.23999999999999</v>
      </c>
      <c r="KD1488" s="2">
        <v>81.39</v>
      </c>
      <c r="KQ1488" s="2">
        <v>82.42</v>
      </c>
      <c r="KR1488" s="2">
        <v>80.95999999999999</v>
      </c>
      <c r="KS1488" s="2">
        <v>80.61</v>
      </c>
      <c r="KT1488" s="2">
        <v>80.67</v>
      </c>
      <c r="LG1488" s="2">
        <v>81.87</v>
      </c>
      <c r="LH1488" s="2">
        <v>80.45999999999999</v>
      </c>
      <c r="LI1488" s="2">
        <v>80.75</v>
      </c>
      <c r="LJ1488" s="2">
        <v>80.95999999999999</v>
      </c>
      <c r="LW1488" s="2">
        <v>83.05</v>
      </c>
      <c r="LX1488" s="2">
        <v>83.36</v>
      </c>
      <c r="LY1488" s="2">
        <v>82.44</v>
      </c>
      <c r="LZ1488" s="2">
        <v>82.20999999999999</v>
      </c>
      <c r="MM1488" s="2">
        <v>83.31</v>
      </c>
      <c r="MN1488" s="2">
        <v>82.41</v>
      </c>
      <c r="MO1488" s="2">
        <v>83.48</v>
      </c>
      <c r="MP1488" s="2">
        <v>84.23</v>
      </c>
      <c r="NC1488" s="2">
        <v>87.64</v>
      </c>
      <c r="ND1488" s="2">
        <v>89.04000000000001</v>
      </c>
      <c r="NE1488" s="2">
        <v>91.45</v>
      </c>
      <c r="NF1488" s="2">
        <v>92.5</v>
      </c>
      <c r="NS1488" s="2">
        <v>95.31</v>
      </c>
      <c r="NT1488" s="2">
        <v>96.3</v>
      </c>
      <c r="NU1488" s="2">
        <v>96.93000000000001</v>
      </c>
      <c r="NV1488" s="2">
        <v>97.20999999999999</v>
      </c>
      <c r="OI1488" s="2">
        <v>98.7</v>
      </c>
      <c r="OJ1488" s="2">
        <v>98.37</v>
      </c>
      <c r="OK1488" s="2">
        <v>98.09999999999999</v>
      </c>
      <c r="OL1488" s="2">
        <v>98.59999999999999</v>
      </c>
      <c r="OY1488" s="2">
        <v>99.83</v>
      </c>
      <c r="OZ1488" s="2">
        <v>99.03</v>
      </c>
      <c r="PA1488" s="2">
        <v>99.77</v>
      </c>
      <c r="PB1488" s="2">
        <v>100.34</v>
      </c>
      <c r="PJ1488" s="2">
        <v>100.8</v>
      </c>
      <c r="PK1488" s="2">
        <v>100.39</v>
      </c>
    </row>
    <row r="1489">
      <c r="A1489" t="inlineStr">
        <is>
          <t>A2329536V</t>
        </is>
      </c>
      <c r="B1489" t="inlineStr">
        <is>
          <t>Index Numbers ;  Oils and fats ;  Australia ;</t>
        </is>
      </c>
      <c r="C1489" t="inlineStr">
        <is>
          <t>Quarter</t>
        </is>
      </c>
      <c r="D1489" t="inlineStr">
        <is>
          <t>Index Numbers</t>
        </is>
      </c>
      <c r="E1489" t="inlineStr">
        <is>
          <t>Original</t>
        </is>
      </c>
      <c r="F1489" t="inlineStr">
        <is>
          <t>6401018.xlsx</t>
        </is>
      </c>
      <c r="G1489" t="inlineStr">
        <is>
          <t>1989Q3</t>
        </is>
      </c>
      <c r="H1489" t="inlineStr">
        <is>
          <t>2026Q2</t>
        </is>
      </c>
      <c r="FQ1489" s="2">
        <v>29.27</v>
      </c>
      <c r="FR1489" s="2">
        <v>30.33</v>
      </c>
      <c r="FS1489" s="2">
        <v>30.2</v>
      </c>
      <c r="FT1489" s="2">
        <v>30.78</v>
      </c>
      <c r="FU1489" s="2">
        <v>31.02</v>
      </c>
      <c r="FV1489" s="2">
        <v>30.99</v>
      </c>
      <c r="FW1489" s="2">
        <v>30.9</v>
      </c>
      <c r="FX1489" s="2">
        <v>30.84</v>
      </c>
      <c r="FY1489" s="2">
        <v>31.17</v>
      </c>
      <c r="FZ1489" s="2">
        <v>30.26</v>
      </c>
      <c r="GA1489" s="2">
        <v>30.78</v>
      </c>
      <c r="GB1489" s="2">
        <v>30.75</v>
      </c>
      <c r="GC1489" s="2">
        <v>31.02</v>
      </c>
      <c r="GD1489" s="2">
        <v>30.93</v>
      </c>
      <c r="GE1489" s="2">
        <v>31.32</v>
      </c>
      <c r="GF1489" s="2">
        <v>30.75</v>
      </c>
      <c r="GG1489" s="2">
        <v>31.44</v>
      </c>
      <c r="GH1489" s="2">
        <v>31.08</v>
      </c>
      <c r="GI1489" s="2">
        <v>31.53</v>
      </c>
      <c r="GJ1489" s="2">
        <v>31.47</v>
      </c>
      <c r="GK1489" s="2">
        <v>31.83</v>
      </c>
      <c r="GL1489" s="2">
        <v>32.25</v>
      </c>
      <c r="GM1489" s="2">
        <v>32.16</v>
      </c>
      <c r="GN1489" s="2">
        <v>33.4</v>
      </c>
      <c r="GO1489" s="2">
        <v>34.36</v>
      </c>
      <c r="GP1489" s="2">
        <v>33.88</v>
      </c>
      <c r="GQ1489" s="2">
        <v>34.45</v>
      </c>
      <c r="GR1489" s="2">
        <v>33.94</v>
      </c>
      <c r="GS1489" s="2">
        <v>34.39</v>
      </c>
      <c r="GT1489" s="2">
        <v>34.33</v>
      </c>
      <c r="GU1489" s="2">
        <v>34.39</v>
      </c>
      <c r="GV1489" s="2">
        <v>34.64</v>
      </c>
      <c r="GW1489" s="2">
        <v>33.79</v>
      </c>
      <c r="GX1489" s="2">
        <v>33.55</v>
      </c>
      <c r="GY1489" s="2">
        <v>34.24</v>
      </c>
      <c r="GZ1489" s="2">
        <v>34.45</v>
      </c>
      <c r="HA1489" s="2">
        <v>35.88</v>
      </c>
      <c r="HB1489" s="2">
        <v>35.46</v>
      </c>
      <c r="HC1489" s="2">
        <v>35.57</v>
      </c>
      <c r="HD1489" s="2">
        <v>35.17</v>
      </c>
      <c r="HE1489" s="2">
        <v>35.98</v>
      </c>
      <c r="HF1489" s="2">
        <v>35.81</v>
      </c>
      <c r="HG1489" s="2">
        <v>36.1</v>
      </c>
      <c r="HH1489" s="2">
        <v>35.87</v>
      </c>
      <c r="HI1489" s="2">
        <v>35.27</v>
      </c>
      <c r="HJ1489" s="2">
        <v>35.71</v>
      </c>
      <c r="HK1489" s="2">
        <v>35.54</v>
      </c>
      <c r="HL1489" s="2">
        <v>36.35</v>
      </c>
      <c r="HM1489" s="2">
        <v>36.63</v>
      </c>
      <c r="HN1489" s="2">
        <v>37.45</v>
      </c>
      <c r="HO1489" s="2">
        <v>38.83</v>
      </c>
      <c r="HP1489" s="2">
        <v>40.49</v>
      </c>
      <c r="HQ1489" s="2">
        <v>41.19</v>
      </c>
      <c r="HR1489" s="2">
        <v>40.47</v>
      </c>
      <c r="HS1489" s="2">
        <v>41.04</v>
      </c>
      <c r="HT1489" s="2">
        <v>41.17</v>
      </c>
      <c r="HU1489" s="2">
        <v>41.44</v>
      </c>
      <c r="HV1489" s="2">
        <v>41.22</v>
      </c>
      <c r="HW1489" s="2">
        <v>41.72</v>
      </c>
      <c r="HX1489" s="2">
        <v>41.6</v>
      </c>
      <c r="HY1489" s="2">
        <v>42.29</v>
      </c>
      <c r="HZ1489" s="2">
        <v>42.61</v>
      </c>
      <c r="IA1489" s="2">
        <v>43.75</v>
      </c>
      <c r="IB1489" s="2">
        <v>44.55</v>
      </c>
      <c r="IC1489" s="2">
        <v>44.39</v>
      </c>
      <c r="ID1489" s="2">
        <v>45.63</v>
      </c>
      <c r="IE1489" s="2">
        <v>46.46</v>
      </c>
      <c r="IF1489" s="2">
        <v>46.98</v>
      </c>
      <c r="IG1489" s="2">
        <v>48.89</v>
      </c>
      <c r="IH1489" s="2">
        <v>50.67</v>
      </c>
      <c r="II1489" s="2">
        <v>51.47</v>
      </c>
      <c r="IJ1489" s="2">
        <v>51.97</v>
      </c>
      <c r="IK1489" s="2">
        <v>51.84</v>
      </c>
      <c r="IL1489" s="2">
        <v>52.25</v>
      </c>
      <c r="IM1489" s="2">
        <v>53.45</v>
      </c>
      <c r="IN1489" s="2">
        <v>56.21</v>
      </c>
      <c r="IO1489" s="2">
        <v>57.88</v>
      </c>
      <c r="IP1489" s="2">
        <v>57.82</v>
      </c>
      <c r="IQ1489" s="2">
        <v>59.12</v>
      </c>
      <c r="IR1489" s="2">
        <v>59.59</v>
      </c>
      <c r="IS1489" s="2">
        <v>59.02</v>
      </c>
      <c r="IT1489" s="2">
        <v>59.06</v>
      </c>
      <c r="IU1489" s="2">
        <v>59.11</v>
      </c>
      <c r="IV1489" s="2">
        <v>58.69</v>
      </c>
      <c r="IW1489" s="2">
        <v>58.7</v>
      </c>
      <c r="IX1489" s="2">
        <v>58.92</v>
      </c>
      <c r="IY1489" s="2">
        <v>59.12</v>
      </c>
      <c r="IZ1489" s="2">
        <v>57.32</v>
      </c>
      <c r="JA1489" s="2">
        <v>57.49</v>
      </c>
      <c r="JB1489" s="2">
        <v>58.31</v>
      </c>
      <c r="JC1489" s="2">
        <v>58.66</v>
      </c>
      <c r="JD1489" s="2">
        <v>57.5</v>
      </c>
      <c r="JE1489" s="2">
        <v>57.2</v>
      </c>
      <c r="JF1489" s="2">
        <v>57.51</v>
      </c>
      <c r="JG1489" s="2">
        <v>57.1</v>
      </c>
      <c r="JH1489" s="2">
        <v>58.01</v>
      </c>
      <c r="JI1489" s="2">
        <v>58</v>
      </c>
      <c r="JJ1489" s="2">
        <v>57.57</v>
      </c>
      <c r="JK1489" s="2">
        <v>58.11</v>
      </c>
      <c r="JL1489" s="2">
        <v>58.27</v>
      </c>
      <c r="JM1489" s="2">
        <v>57.82</v>
      </c>
      <c r="JN1489" s="2">
        <v>57.27</v>
      </c>
      <c r="JO1489" s="2">
        <v>58.58</v>
      </c>
      <c r="JP1489" s="2">
        <v>58.5</v>
      </c>
      <c r="JQ1489" s="2">
        <v>57.81</v>
      </c>
      <c r="JR1489" s="2">
        <v>57.37</v>
      </c>
      <c r="JS1489" s="2">
        <v>58.34</v>
      </c>
      <c r="JT1489" s="2">
        <v>59.08</v>
      </c>
      <c r="JU1489" s="2">
        <v>59.12</v>
      </c>
      <c r="JV1489" s="2">
        <v>58.92</v>
      </c>
      <c r="KA1489" s="2">
        <v>60.02</v>
      </c>
      <c r="KB1489" s="2">
        <v>61.5</v>
      </c>
      <c r="KC1489" s="2">
        <v>62.93</v>
      </c>
      <c r="KD1489" s="2">
        <v>65.67</v>
      </c>
      <c r="KQ1489" s="2">
        <v>65.84999999999999</v>
      </c>
      <c r="KR1489" s="2">
        <v>65.70999999999999</v>
      </c>
      <c r="KS1489" s="2">
        <v>66.3</v>
      </c>
      <c r="KT1489" s="2">
        <v>67.40000000000001</v>
      </c>
      <c r="LG1489" s="2">
        <v>66.97</v>
      </c>
      <c r="LH1489" s="2">
        <v>66.55</v>
      </c>
      <c r="LI1489" s="2">
        <v>66.78</v>
      </c>
      <c r="LJ1489" s="2">
        <v>67</v>
      </c>
      <c r="LW1489" s="2">
        <v>67.95999999999999</v>
      </c>
      <c r="LX1489" s="2">
        <v>69</v>
      </c>
      <c r="LY1489" s="2">
        <v>67.52</v>
      </c>
      <c r="LZ1489" s="2">
        <v>67.31</v>
      </c>
      <c r="MM1489" s="2">
        <v>68.45</v>
      </c>
      <c r="MN1489" s="2">
        <v>68.48</v>
      </c>
      <c r="MO1489" s="2">
        <v>70.38</v>
      </c>
      <c r="MP1489" s="2">
        <v>70.95</v>
      </c>
      <c r="NC1489" s="2">
        <v>74.27</v>
      </c>
      <c r="ND1489" s="2">
        <v>78.06999999999999</v>
      </c>
      <c r="NE1489" s="2">
        <v>83.95999999999999</v>
      </c>
      <c r="NF1489" s="2">
        <v>85.79000000000001</v>
      </c>
      <c r="NS1489" s="2">
        <v>88.52</v>
      </c>
      <c r="NT1489" s="2">
        <v>89.40000000000001</v>
      </c>
      <c r="NU1489" s="2">
        <v>91.81</v>
      </c>
      <c r="NV1489" s="2">
        <v>93</v>
      </c>
      <c r="OI1489" s="2">
        <v>95.2</v>
      </c>
      <c r="OJ1489" s="2">
        <v>99.75</v>
      </c>
      <c r="OK1489" s="2">
        <v>100.43</v>
      </c>
      <c r="OL1489" s="2">
        <v>100.01</v>
      </c>
      <c r="OY1489" s="2">
        <v>100.33</v>
      </c>
      <c r="OZ1489" s="2">
        <v>99.65000000000001</v>
      </c>
      <c r="PA1489" s="2">
        <v>99.63</v>
      </c>
      <c r="PB1489" s="2">
        <v>98.11</v>
      </c>
      <c r="PJ1489" s="2">
        <v>99.23</v>
      </c>
      <c r="PK1489" s="2">
        <v>100.19</v>
      </c>
    </row>
    <row r="1490">
      <c r="A1490" t="inlineStr">
        <is>
          <t>A2331741W</t>
        </is>
      </c>
      <c r="B1490" t="inlineStr">
        <is>
          <t>Index Numbers ;  Snacks and confectionery ;  Australia ;</t>
        </is>
      </c>
      <c r="C1490" t="inlineStr">
        <is>
          <t>Quarter</t>
        </is>
      </c>
      <c r="D1490" t="inlineStr">
        <is>
          <t>Index Numbers</t>
        </is>
      </c>
      <c r="E1490" t="inlineStr">
        <is>
          <t>Original</t>
        </is>
      </c>
      <c r="F1490" t="inlineStr">
        <is>
          <t>6401018.xlsx</t>
        </is>
      </c>
      <c r="G1490" t="inlineStr">
        <is>
          <t>1989Q3</t>
        </is>
      </c>
      <c r="H1490" t="inlineStr">
        <is>
          <t>2026Q2</t>
        </is>
      </c>
      <c r="FQ1490" s="2">
        <v>31.37</v>
      </c>
      <c r="FR1490" s="2">
        <v>32.12</v>
      </c>
      <c r="FS1490" s="2">
        <v>33.06</v>
      </c>
      <c r="FT1490" s="2">
        <v>33.39</v>
      </c>
      <c r="FU1490" s="2">
        <v>34</v>
      </c>
      <c r="FV1490" s="2">
        <v>34.36</v>
      </c>
      <c r="FW1490" s="2">
        <v>34.59</v>
      </c>
      <c r="FX1490" s="2">
        <v>35.21</v>
      </c>
      <c r="FY1490" s="2">
        <v>35.4</v>
      </c>
      <c r="FZ1490" s="2">
        <v>35.92</v>
      </c>
      <c r="GA1490" s="2">
        <v>36.05</v>
      </c>
      <c r="GB1490" s="2">
        <v>36.73</v>
      </c>
      <c r="GC1490" s="2">
        <v>37.02</v>
      </c>
      <c r="GD1490" s="2">
        <v>37.38</v>
      </c>
      <c r="GE1490" s="2">
        <v>37.58</v>
      </c>
      <c r="GF1490" s="2">
        <v>38.1</v>
      </c>
      <c r="GG1490" s="2">
        <v>38.42</v>
      </c>
      <c r="GH1490" s="2">
        <v>39.04</v>
      </c>
      <c r="GI1490" s="2">
        <v>39.46</v>
      </c>
      <c r="GJ1490" s="2">
        <v>39.59</v>
      </c>
      <c r="GK1490" s="2">
        <v>39.92</v>
      </c>
      <c r="GL1490" s="2">
        <v>40.11</v>
      </c>
      <c r="GM1490" s="2">
        <v>40.73</v>
      </c>
      <c r="GN1490" s="2">
        <v>40.79</v>
      </c>
      <c r="GO1490" s="2">
        <v>41.51</v>
      </c>
      <c r="GP1490" s="2">
        <v>42.06</v>
      </c>
      <c r="GQ1490" s="2">
        <v>42.25</v>
      </c>
      <c r="GR1490" s="2">
        <v>42.58</v>
      </c>
      <c r="GS1490" s="2">
        <v>43.03</v>
      </c>
      <c r="GT1490" s="2">
        <v>43.1</v>
      </c>
      <c r="GU1490" s="2">
        <v>43.78</v>
      </c>
      <c r="GV1490" s="2">
        <v>44.2</v>
      </c>
      <c r="GW1490" s="2">
        <v>44.92</v>
      </c>
      <c r="GX1490" s="2">
        <v>45.7</v>
      </c>
      <c r="GY1490" s="2">
        <v>45.83</v>
      </c>
      <c r="GZ1490" s="2">
        <v>46.02</v>
      </c>
      <c r="HA1490" s="2">
        <v>46.61</v>
      </c>
      <c r="HB1490" s="2">
        <v>46.7</v>
      </c>
      <c r="HC1490" s="2">
        <v>47</v>
      </c>
      <c r="HD1490" s="2">
        <v>47.9</v>
      </c>
      <c r="HE1490" s="2">
        <v>48.07</v>
      </c>
      <c r="HF1490" s="2">
        <v>48.49</v>
      </c>
      <c r="HG1490" s="2">
        <v>48.85</v>
      </c>
      <c r="HH1490" s="2">
        <v>49.11</v>
      </c>
      <c r="HI1490" s="2">
        <v>49.18</v>
      </c>
      <c r="HJ1490" s="2">
        <v>49.89</v>
      </c>
      <c r="HK1490" s="2">
        <v>50.28</v>
      </c>
      <c r="HL1490" s="2">
        <v>50.72</v>
      </c>
      <c r="HM1490" s="2">
        <v>50.82</v>
      </c>
      <c r="HN1490" s="2">
        <v>51.66</v>
      </c>
      <c r="HO1490" s="2">
        <v>51.79</v>
      </c>
      <c r="HP1490" s="2">
        <v>52.41</v>
      </c>
      <c r="HQ1490" s="2">
        <v>52.8</v>
      </c>
      <c r="HR1490" s="2">
        <v>53.67</v>
      </c>
      <c r="HS1490" s="2">
        <v>55.85</v>
      </c>
      <c r="HT1490" s="2">
        <v>55.5</v>
      </c>
      <c r="HU1490" s="2">
        <v>56.27</v>
      </c>
      <c r="HV1490" s="2">
        <v>56.09</v>
      </c>
      <c r="HW1490" s="2">
        <v>56.6</v>
      </c>
      <c r="HX1490" s="2">
        <v>56.79</v>
      </c>
      <c r="HY1490" s="2">
        <v>57.1</v>
      </c>
      <c r="HZ1490" s="2">
        <v>57.12</v>
      </c>
      <c r="IA1490" s="2">
        <v>58.71</v>
      </c>
      <c r="IB1490" s="2">
        <v>59.39</v>
      </c>
      <c r="IC1490" s="2">
        <v>59.87</v>
      </c>
      <c r="ID1490" s="2">
        <v>60.4</v>
      </c>
      <c r="IE1490" s="2">
        <v>61.03</v>
      </c>
      <c r="IF1490" s="2">
        <v>62.3</v>
      </c>
      <c r="IG1490" s="2">
        <v>62.82</v>
      </c>
      <c r="IH1490" s="2">
        <v>62.84</v>
      </c>
      <c r="II1490" s="2">
        <v>64.02</v>
      </c>
      <c r="IJ1490" s="2">
        <v>64.09</v>
      </c>
      <c r="IK1490" s="2">
        <v>64.39</v>
      </c>
      <c r="IL1490" s="2">
        <v>65.66</v>
      </c>
      <c r="IM1490" s="2">
        <v>66.78</v>
      </c>
      <c r="IN1490" s="2">
        <v>67.48999999999999</v>
      </c>
      <c r="IO1490" s="2">
        <v>67.55</v>
      </c>
      <c r="IP1490" s="2">
        <v>69.01000000000001</v>
      </c>
      <c r="IQ1490" s="2">
        <v>70.68000000000001</v>
      </c>
      <c r="IR1490" s="2">
        <v>70.98999999999999</v>
      </c>
      <c r="IS1490" s="2">
        <v>70.43000000000001</v>
      </c>
      <c r="IT1490" s="2">
        <v>71.17</v>
      </c>
      <c r="IU1490" s="2">
        <v>71.88</v>
      </c>
      <c r="IV1490" s="2">
        <v>72.51000000000001</v>
      </c>
      <c r="IW1490" s="2">
        <v>72.5</v>
      </c>
      <c r="IX1490" s="2">
        <v>72.73</v>
      </c>
      <c r="IY1490" s="2">
        <v>73.51000000000001</v>
      </c>
      <c r="IZ1490" s="2">
        <v>74.51000000000001</v>
      </c>
      <c r="JA1490" s="2">
        <v>74.3</v>
      </c>
      <c r="JB1490" s="2">
        <v>72.98999999999999</v>
      </c>
      <c r="JC1490" s="2">
        <v>72.56</v>
      </c>
      <c r="JD1490" s="2">
        <v>74.87</v>
      </c>
      <c r="JE1490" s="2">
        <v>74.98</v>
      </c>
      <c r="JF1490" s="2">
        <v>75.13</v>
      </c>
      <c r="JG1490" s="2">
        <v>74.95999999999999</v>
      </c>
      <c r="JH1490" s="2">
        <v>74.8</v>
      </c>
      <c r="JI1490" s="2">
        <v>74.98</v>
      </c>
      <c r="JJ1490" s="2">
        <v>76.59</v>
      </c>
      <c r="JK1490" s="2">
        <v>75.09999999999999</v>
      </c>
      <c r="JL1490" s="2">
        <v>76.17</v>
      </c>
      <c r="JM1490" s="2">
        <v>75.75</v>
      </c>
      <c r="JN1490" s="2">
        <v>76</v>
      </c>
      <c r="JO1490" s="2">
        <v>77.09999999999999</v>
      </c>
      <c r="JP1490" s="2">
        <v>76.73</v>
      </c>
      <c r="JQ1490" s="2">
        <v>76.22</v>
      </c>
      <c r="JR1490" s="2">
        <v>76.56999999999999</v>
      </c>
      <c r="JS1490" s="2">
        <v>77.84</v>
      </c>
      <c r="JT1490" s="2">
        <v>75.53</v>
      </c>
      <c r="JU1490" s="2">
        <v>75.29000000000001</v>
      </c>
      <c r="JV1490" s="2">
        <v>76.23</v>
      </c>
      <c r="KA1490" s="2">
        <v>76.98</v>
      </c>
      <c r="KB1490" s="2">
        <v>75.98</v>
      </c>
      <c r="KC1490" s="2">
        <v>75.47</v>
      </c>
      <c r="KD1490" s="2">
        <v>74.81</v>
      </c>
      <c r="KQ1490" s="2">
        <v>75.17</v>
      </c>
      <c r="KR1490" s="2">
        <v>74.31999999999999</v>
      </c>
      <c r="KS1490" s="2">
        <v>74.42</v>
      </c>
      <c r="KT1490" s="2">
        <v>74.26000000000001</v>
      </c>
      <c r="LG1490" s="2">
        <v>74.90000000000001</v>
      </c>
      <c r="LH1490" s="2">
        <v>74.56</v>
      </c>
      <c r="LI1490" s="2">
        <v>74.40000000000001</v>
      </c>
      <c r="LJ1490" s="2">
        <v>75.12</v>
      </c>
      <c r="LW1490" s="2">
        <v>76.98</v>
      </c>
      <c r="LX1490" s="2">
        <v>76.97</v>
      </c>
      <c r="LY1490" s="2">
        <v>76.37</v>
      </c>
      <c r="LZ1490" s="2">
        <v>76.45999999999999</v>
      </c>
      <c r="MM1490" s="2">
        <v>76.94</v>
      </c>
      <c r="MN1490" s="2">
        <v>76.2</v>
      </c>
      <c r="MO1490" s="2">
        <v>76.28</v>
      </c>
      <c r="MP1490" s="2">
        <v>77.09999999999999</v>
      </c>
      <c r="NC1490" s="2">
        <v>79.31999999999999</v>
      </c>
      <c r="ND1490" s="2">
        <v>79.45</v>
      </c>
      <c r="NE1490" s="2">
        <v>82.14</v>
      </c>
      <c r="NF1490" s="2">
        <v>84.29000000000001</v>
      </c>
      <c r="NS1490" s="2">
        <v>87.75</v>
      </c>
      <c r="NT1490" s="2">
        <v>88.62</v>
      </c>
      <c r="NU1490" s="2">
        <v>88.13</v>
      </c>
      <c r="NV1490" s="2">
        <v>90.03</v>
      </c>
      <c r="OI1490" s="2">
        <v>92.95</v>
      </c>
      <c r="OJ1490" s="2">
        <v>92.67</v>
      </c>
      <c r="OK1490" s="2">
        <v>92.7</v>
      </c>
      <c r="OL1490" s="2">
        <v>93.3</v>
      </c>
      <c r="OY1490" s="2">
        <v>96.14</v>
      </c>
      <c r="OZ1490" s="2">
        <v>97.8</v>
      </c>
      <c r="PA1490" s="2">
        <v>99.06999999999999</v>
      </c>
      <c r="PB1490" s="2">
        <v>99.88</v>
      </c>
      <c r="PJ1490" s="2">
        <v>101.92</v>
      </c>
      <c r="PK1490" s="2">
        <v>100.86</v>
      </c>
    </row>
    <row r="1491">
      <c r="A1491" t="inlineStr">
        <is>
          <t>A2327781L</t>
        </is>
      </c>
      <c r="B1491" t="inlineStr">
        <is>
          <t>Index Numbers ;  Other food products n.e.c. ;  Australia ;</t>
        </is>
      </c>
      <c r="C1491" t="inlineStr">
        <is>
          <t>Quarter</t>
        </is>
      </c>
      <c r="D1491" t="inlineStr">
        <is>
          <t>Index Numbers</t>
        </is>
      </c>
      <c r="E1491" t="inlineStr">
        <is>
          <t>Original</t>
        </is>
      </c>
      <c r="F1491" t="inlineStr">
        <is>
          <t>6401018.xlsx</t>
        </is>
      </c>
      <c r="G1491" t="inlineStr">
        <is>
          <t>1980Q3</t>
        </is>
      </c>
      <c r="H1491" t="inlineStr">
        <is>
          <t>2026Q2</t>
        </is>
      </c>
      <c r="EG1491" s="2">
        <v>23.24</v>
      </c>
      <c r="EH1491" s="2">
        <v>24.31</v>
      </c>
      <c r="EI1491" s="2">
        <v>24.7</v>
      </c>
      <c r="EJ1491" s="2">
        <v>24.89</v>
      </c>
      <c r="EK1491" s="2">
        <v>25.96</v>
      </c>
      <c r="EL1491" s="2">
        <v>27.51</v>
      </c>
      <c r="EM1491" s="2">
        <v>28.63</v>
      </c>
      <c r="EN1491" s="2">
        <v>28.58</v>
      </c>
      <c r="EO1491" s="2">
        <v>29.84</v>
      </c>
      <c r="EP1491" s="2">
        <v>31.06</v>
      </c>
      <c r="EQ1491" s="2">
        <v>31.83</v>
      </c>
      <c r="ER1491" s="2">
        <v>31.88</v>
      </c>
      <c r="ES1491" s="2">
        <v>31.74</v>
      </c>
      <c r="ET1491" s="2">
        <v>32.56</v>
      </c>
      <c r="EU1491" s="2">
        <v>32.46</v>
      </c>
      <c r="EV1491" s="2">
        <v>32.71</v>
      </c>
      <c r="EW1491" s="2">
        <v>32.71</v>
      </c>
      <c r="EX1491" s="2">
        <v>33.68</v>
      </c>
      <c r="EY1491" s="2">
        <v>34.11</v>
      </c>
      <c r="EZ1491" s="2">
        <v>34.41</v>
      </c>
      <c r="FA1491" s="2">
        <v>35.38</v>
      </c>
      <c r="FB1491" s="2">
        <v>36.54</v>
      </c>
      <c r="FC1491" s="2">
        <v>37.66</v>
      </c>
      <c r="FD1491" s="2">
        <v>38.14</v>
      </c>
      <c r="FE1491" s="2">
        <v>38.58</v>
      </c>
      <c r="FF1491" s="2">
        <v>39.79</v>
      </c>
      <c r="FG1491" s="2">
        <v>40.71</v>
      </c>
      <c r="FH1491" s="2">
        <v>40.62</v>
      </c>
      <c r="FI1491" s="2">
        <v>41.88</v>
      </c>
      <c r="FJ1491" s="2">
        <v>42.07</v>
      </c>
      <c r="FK1491" s="2">
        <v>41.68</v>
      </c>
      <c r="FL1491" s="2">
        <v>42.12</v>
      </c>
      <c r="FM1491" s="2">
        <v>43.48</v>
      </c>
      <c r="FN1491" s="2">
        <v>44.79</v>
      </c>
      <c r="FO1491" s="2">
        <v>46</v>
      </c>
      <c r="FP1491" s="2">
        <v>45.66</v>
      </c>
      <c r="FQ1491" s="2">
        <v>46.88</v>
      </c>
      <c r="FR1491" s="2">
        <v>48.96</v>
      </c>
      <c r="FS1491" s="2">
        <v>49.01</v>
      </c>
      <c r="FT1491" s="2">
        <v>49.25</v>
      </c>
      <c r="FU1491" s="2">
        <v>49.98</v>
      </c>
      <c r="FV1491" s="2">
        <v>51.73</v>
      </c>
      <c r="FW1491" s="2">
        <v>52.55</v>
      </c>
      <c r="FX1491" s="2">
        <v>53.14</v>
      </c>
      <c r="FY1491" s="2">
        <v>52.85</v>
      </c>
      <c r="FZ1491" s="2">
        <v>52.99</v>
      </c>
      <c r="GA1491" s="2">
        <v>53.62</v>
      </c>
      <c r="GB1491" s="2">
        <v>53.72</v>
      </c>
      <c r="GC1491" s="2">
        <v>54.25</v>
      </c>
      <c r="GD1491" s="2">
        <v>55.32</v>
      </c>
      <c r="GE1491" s="2">
        <v>54.93</v>
      </c>
      <c r="GF1491" s="2">
        <v>54.35</v>
      </c>
      <c r="GG1491" s="2">
        <v>53.91</v>
      </c>
      <c r="GH1491" s="2">
        <v>55.08</v>
      </c>
      <c r="GI1491" s="2">
        <v>55.32</v>
      </c>
      <c r="GJ1491" s="2">
        <v>54.54</v>
      </c>
      <c r="GK1491" s="2">
        <v>54.3</v>
      </c>
      <c r="GL1491" s="2">
        <v>54.88</v>
      </c>
      <c r="GM1491" s="2">
        <v>55.66</v>
      </c>
      <c r="GN1491" s="2">
        <v>54.3</v>
      </c>
      <c r="GO1491" s="2">
        <v>55.51</v>
      </c>
      <c r="GP1491" s="2">
        <v>56.19</v>
      </c>
      <c r="GQ1491" s="2">
        <v>56.44</v>
      </c>
      <c r="GR1491" s="2">
        <v>57.84</v>
      </c>
      <c r="GS1491" s="2">
        <v>57.5</v>
      </c>
      <c r="GT1491" s="2">
        <v>57.79</v>
      </c>
      <c r="GU1491" s="2">
        <v>58.09</v>
      </c>
      <c r="GV1491" s="2">
        <v>58.33</v>
      </c>
      <c r="GW1491" s="2">
        <v>58.57</v>
      </c>
      <c r="GX1491" s="2">
        <v>59.06</v>
      </c>
      <c r="GY1491" s="2">
        <v>59.11</v>
      </c>
      <c r="GZ1491" s="2">
        <v>59.11</v>
      </c>
      <c r="HA1491" s="2">
        <v>58.23</v>
      </c>
      <c r="HB1491" s="2">
        <v>59.85</v>
      </c>
      <c r="HC1491" s="2">
        <v>60.02</v>
      </c>
      <c r="HD1491" s="2">
        <v>60.24</v>
      </c>
      <c r="HE1491" s="2">
        <v>61.66</v>
      </c>
      <c r="HF1491" s="2">
        <v>62.78</v>
      </c>
      <c r="HG1491" s="2">
        <v>61.1</v>
      </c>
      <c r="HH1491" s="2">
        <v>61.06</v>
      </c>
      <c r="HI1491" s="2">
        <v>61.91</v>
      </c>
      <c r="HJ1491" s="2">
        <v>63.71</v>
      </c>
      <c r="HK1491" s="2">
        <v>63.63</v>
      </c>
      <c r="HL1491" s="2">
        <v>64.91</v>
      </c>
      <c r="HM1491" s="2">
        <v>64.84999999999999</v>
      </c>
      <c r="HN1491" s="2">
        <v>67.20999999999999</v>
      </c>
      <c r="HO1491" s="2">
        <v>67.76000000000001</v>
      </c>
      <c r="HP1491" s="2">
        <v>68.01000000000001</v>
      </c>
      <c r="HQ1491" s="2">
        <v>67.76000000000001</v>
      </c>
      <c r="HR1491" s="2">
        <v>68.28</v>
      </c>
      <c r="HS1491" s="2">
        <v>68.55</v>
      </c>
      <c r="HT1491" s="2">
        <v>67.87</v>
      </c>
      <c r="HU1491" s="2">
        <v>67.83</v>
      </c>
      <c r="HV1491" s="2">
        <v>68.08</v>
      </c>
      <c r="HW1491" s="2">
        <v>70.25</v>
      </c>
      <c r="HX1491" s="2">
        <v>69.81</v>
      </c>
      <c r="HY1491" s="2">
        <v>68.65000000000001</v>
      </c>
      <c r="HZ1491" s="2">
        <v>70.08</v>
      </c>
      <c r="IA1491" s="2">
        <v>70.84999999999999</v>
      </c>
      <c r="IB1491" s="2">
        <v>70.48</v>
      </c>
      <c r="IC1491" s="2">
        <v>70.45</v>
      </c>
      <c r="ID1491" s="2">
        <v>71.79000000000001</v>
      </c>
      <c r="IE1491" s="2">
        <v>73.59999999999999</v>
      </c>
      <c r="IF1491" s="2">
        <v>72.36</v>
      </c>
      <c r="IG1491" s="2">
        <v>73.78</v>
      </c>
      <c r="IH1491" s="2">
        <v>74.23</v>
      </c>
      <c r="II1491" s="2">
        <v>75.54000000000001</v>
      </c>
      <c r="IJ1491" s="2">
        <v>75.15000000000001</v>
      </c>
      <c r="IK1491" s="2">
        <v>74.27</v>
      </c>
      <c r="IL1491" s="2">
        <v>77.13</v>
      </c>
      <c r="IM1491" s="2">
        <v>78.61</v>
      </c>
      <c r="IN1491" s="2">
        <v>79.12</v>
      </c>
      <c r="IO1491" s="2">
        <v>79.20999999999999</v>
      </c>
      <c r="IP1491" s="2">
        <v>81.59999999999999</v>
      </c>
      <c r="IQ1491" s="2">
        <v>83.91</v>
      </c>
      <c r="IR1491" s="2">
        <v>82.28</v>
      </c>
      <c r="IS1491" s="2">
        <v>82.48</v>
      </c>
      <c r="IT1491" s="2">
        <v>84.66</v>
      </c>
      <c r="IU1491" s="2">
        <v>84.11</v>
      </c>
      <c r="IV1491" s="2">
        <v>83.31999999999999</v>
      </c>
      <c r="IW1491" s="2">
        <v>82.31</v>
      </c>
      <c r="IX1491" s="2">
        <v>82.26000000000001</v>
      </c>
      <c r="IY1491" s="2">
        <v>83.59999999999999</v>
      </c>
      <c r="IZ1491" s="2">
        <v>81.66</v>
      </c>
      <c r="JA1491" s="2">
        <v>81.95999999999999</v>
      </c>
      <c r="JB1491" s="2">
        <v>83.84</v>
      </c>
      <c r="JC1491" s="2">
        <v>84.17</v>
      </c>
      <c r="JD1491" s="2">
        <v>82.02</v>
      </c>
      <c r="JE1491" s="2">
        <v>83.37</v>
      </c>
      <c r="JF1491" s="2">
        <v>83.42</v>
      </c>
      <c r="JG1491" s="2">
        <v>83.59</v>
      </c>
      <c r="JH1491" s="2">
        <v>81.34999999999999</v>
      </c>
      <c r="JI1491" s="2">
        <v>82.42</v>
      </c>
      <c r="JJ1491" s="2">
        <v>83.89</v>
      </c>
      <c r="JK1491" s="2">
        <v>84.26000000000001</v>
      </c>
      <c r="JL1491" s="2">
        <v>81.08</v>
      </c>
      <c r="JM1491" s="2">
        <v>81.48999999999999</v>
      </c>
      <c r="JN1491" s="2">
        <v>84.72</v>
      </c>
      <c r="JO1491" s="2">
        <v>84.15000000000001</v>
      </c>
      <c r="JP1491" s="2">
        <v>80.90000000000001</v>
      </c>
      <c r="JQ1491" s="2">
        <v>80.95999999999999</v>
      </c>
      <c r="JR1491" s="2">
        <v>83.68000000000001</v>
      </c>
      <c r="JS1491" s="2">
        <v>84.05</v>
      </c>
      <c r="JT1491" s="2">
        <v>78.47</v>
      </c>
      <c r="JU1491" s="2">
        <v>79.53</v>
      </c>
      <c r="JV1491" s="2">
        <v>83.83</v>
      </c>
      <c r="KA1491" s="2">
        <v>80.27</v>
      </c>
      <c r="KB1491" s="2">
        <v>79.54000000000001</v>
      </c>
      <c r="KC1491" s="2">
        <v>79.94</v>
      </c>
      <c r="KD1491" s="2">
        <v>80.79000000000001</v>
      </c>
      <c r="KQ1491" s="2">
        <v>80.19</v>
      </c>
      <c r="KR1491" s="2">
        <v>78.42</v>
      </c>
      <c r="KS1491" s="2">
        <v>78.59</v>
      </c>
      <c r="KT1491" s="2">
        <v>80.02</v>
      </c>
      <c r="LG1491" s="2">
        <v>79.48</v>
      </c>
      <c r="LH1491" s="2">
        <v>77.90000000000001</v>
      </c>
      <c r="LI1491" s="2">
        <v>78.52</v>
      </c>
      <c r="LJ1491" s="2">
        <v>80.66</v>
      </c>
      <c r="LW1491" s="2">
        <v>82.7</v>
      </c>
      <c r="LX1491" s="2">
        <v>84.92</v>
      </c>
      <c r="LY1491" s="2">
        <v>81.92</v>
      </c>
      <c r="LZ1491" s="2">
        <v>83.52</v>
      </c>
      <c r="MM1491" s="2">
        <v>82.91</v>
      </c>
      <c r="MN1491" s="2">
        <v>82.12</v>
      </c>
      <c r="MO1491" s="2">
        <v>83.13</v>
      </c>
      <c r="MP1491" s="2">
        <v>85.16</v>
      </c>
      <c r="NC1491" s="2">
        <v>86.97</v>
      </c>
      <c r="ND1491" s="2">
        <v>87.22</v>
      </c>
      <c r="NE1491" s="2">
        <v>90.31</v>
      </c>
      <c r="NF1491" s="2">
        <v>94.59999999999999</v>
      </c>
      <c r="NS1491" s="2">
        <v>96.86</v>
      </c>
      <c r="NT1491" s="2">
        <v>98.11</v>
      </c>
      <c r="NU1491" s="2">
        <v>97.59</v>
      </c>
      <c r="NV1491" s="2">
        <v>99.76000000000001</v>
      </c>
      <c r="OI1491" s="2">
        <v>100.19</v>
      </c>
      <c r="OJ1491" s="2">
        <v>98.16</v>
      </c>
      <c r="OK1491" s="2">
        <v>98.81999999999999</v>
      </c>
      <c r="OL1491" s="2">
        <v>100.5</v>
      </c>
      <c r="OY1491" s="2">
        <v>100.83</v>
      </c>
      <c r="OZ1491" s="2">
        <v>99.25</v>
      </c>
      <c r="PA1491" s="2">
        <v>99.73999999999999</v>
      </c>
      <c r="PB1491" s="2">
        <v>101.53</v>
      </c>
      <c r="PJ1491" s="2">
        <v>101.65</v>
      </c>
      <c r="PK1491" s="2">
        <v>100.42</v>
      </c>
    </row>
    <row r="1492">
      <c r="A1492" t="inlineStr">
        <is>
          <t>A3604418F</t>
        </is>
      </c>
      <c r="B1492" t="inlineStr">
        <is>
          <t>Index Numbers ;  Non-alcoholic beverages ;  Australia ;</t>
        </is>
      </c>
      <c r="C1492" t="inlineStr">
        <is>
          <t>Quarter</t>
        </is>
      </c>
      <c r="D1492" t="inlineStr">
        <is>
          <t>Index Numbers</t>
        </is>
      </c>
      <c r="E1492" t="inlineStr">
        <is>
          <t>Original</t>
        </is>
      </c>
      <c r="F1492" t="inlineStr">
        <is>
          <t>6401018.xlsx</t>
        </is>
      </c>
      <c r="G1492" t="inlineStr">
        <is>
          <t>1989Q3</t>
        </is>
      </c>
      <c r="H1492" t="inlineStr">
        <is>
          <t>2026Q2</t>
        </is>
      </c>
      <c r="FQ1492" s="2">
        <v>38.81</v>
      </c>
      <c r="FR1492" s="2">
        <v>39.73</v>
      </c>
      <c r="FS1492" s="2">
        <v>40.25</v>
      </c>
      <c r="FT1492" s="2">
        <v>41.53</v>
      </c>
      <c r="FU1492" s="2">
        <v>41.41</v>
      </c>
      <c r="FV1492" s="2">
        <v>41.97</v>
      </c>
      <c r="FW1492" s="2">
        <v>42.74</v>
      </c>
      <c r="FX1492" s="2">
        <v>43.9</v>
      </c>
      <c r="FY1492" s="2">
        <v>43.94</v>
      </c>
      <c r="FZ1492" s="2">
        <v>44.3</v>
      </c>
      <c r="GA1492" s="2">
        <v>45.54</v>
      </c>
      <c r="GB1492" s="2">
        <v>46.06</v>
      </c>
      <c r="GC1492" s="2">
        <v>46.22</v>
      </c>
      <c r="GD1492" s="2">
        <v>46.06</v>
      </c>
      <c r="GE1492" s="2">
        <v>46.18</v>
      </c>
      <c r="GF1492" s="2">
        <v>46.18</v>
      </c>
      <c r="GG1492" s="2">
        <v>46.34</v>
      </c>
      <c r="GH1492" s="2">
        <v>46.5</v>
      </c>
      <c r="GI1492" s="2">
        <v>46.74</v>
      </c>
      <c r="GJ1492" s="2">
        <v>46.86</v>
      </c>
      <c r="GK1492" s="2">
        <v>47.03</v>
      </c>
      <c r="GL1492" s="2">
        <v>46.46</v>
      </c>
      <c r="GM1492" s="2">
        <v>46.5</v>
      </c>
      <c r="GN1492" s="2">
        <v>47.43</v>
      </c>
      <c r="GO1492" s="2">
        <v>48.55</v>
      </c>
      <c r="GP1492" s="2">
        <v>48.51</v>
      </c>
      <c r="GQ1492" s="2">
        <v>48.87</v>
      </c>
      <c r="GR1492" s="2">
        <v>49.11</v>
      </c>
      <c r="GS1492" s="2">
        <v>49.59</v>
      </c>
      <c r="GT1492" s="2">
        <v>49.63</v>
      </c>
      <c r="GU1492" s="2">
        <v>49.91</v>
      </c>
      <c r="GV1492" s="2">
        <v>50.47</v>
      </c>
      <c r="GW1492" s="2">
        <v>50.63</v>
      </c>
      <c r="GX1492" s="2">
        <v>51.4</v>
      </c>
      <c r="GY1492" s="2">
        <v>51.84</v>
      </c>
      <c r="GZ1492" s="2">
        <v>52</v>
      </c>
      <c r="HA1492" s="2">
        <v>53</v>
      </c>
      <c r="HB1492" s="2">
        <v>52.56</v>
      </c>
      <c r="HC1492" s="2">
        <v>52.88</v>
      </c>
      <c r="HD1492" s="2">
        <v>52.6</v>
      </c>
      <c r="HE1492" s="2">
        <v>52.6</v>
      </c>
      <c r="HF1492" s="2">
        <v>52.6</v>
      </c>
      <c r="HG1492" s="2">
        <v>52.36</v>
      </c>
      <c r="HH1492" s="2">
        <v>52.92</v>
      </c>
      <c r="HI1492" s="2">
        <v>51.31</v>
      </c>
      <c r="HJ1492" s="2">
        <v>50.43</v>
      </c>
      <c r="HK1492" s="2">
        <v>52</v>
      </c>
      <c r="HL1492" s="2">
        <v>53.36</v>
      </c>
      <c r="HM1492" s="2">
        <v>52.36</v>
      </c>
      <c r="HN1492" s="2">
        <v>53.12</v>
      </c>
      <c r="HO1492" s="2">
        <v>52.48</v>
      </c>
      <c r="HP1492" s="2">
        <v>52.64</v>
      </c>
      <c r="HQ1492" s="2">
        <v>53.84</v>
      </c>
      <c r="HR1492" s="2">
        <v>54.08</v>
      </c>
      <c r="HS1492" s="2">
        <v>53.96</v>
      </c>
      <c r="HT1492" s="2">
        <v>54.68</v>
      </c>
      <c r="HU1492" s="2">
        <v>53.88</v>
      </c>
      <c r="HV1492" s="2">
        <v>54.08</v>
      </c>
      <c r="HW1492" s="2">
        <v>54.36</v>
      </c>
      <c r="HX1492" s="2">
        <v>54.8</v>
      </c>
      <c r="HY1492" s="2">
        <v>55.2</v>
      </c>
      <c r="HZ1492" s="2">
        <v>55.64</v>
      </c>
      <c r="IA1492" s="2">
        <v>55.6</v>
      </c>
      <c r="IB1492" s="2">
        <v>56.53</v>
      </c>
      <c r="IC1492" s="2">
        <v>56.73</v>
      </c>
      <c r="ID1492" s="2">
        <v>57.13</v>
      </c>
      <c r="IE1492" s="2">
        <v>58.37</v>
      </c>
      <c r="IF1492" s="2">
        <v>58.77</v>
      </c>
      <c r="IG1492" s="2">
        <v>60.5</v>
      </c>
      <c r="IH1492" s="2">
        <v>61.18</v>
      </c>
      <c r="II1492" s="2">
        <v>61.74</v>
      </c>
      <c r="IJ1492" s="2">
        <v>63.26</v>
      </c>
      <c r="IK1492" s="2">
        <v>62.46</v>
      </c>
      <c r="IL1492" s="2">
        <v>63.86</v>
      </c>
      <c r="IM1492" s="2">
        <v>65.39</v>
      </c>
      <c r="IN1492" s="2">
        <v>66.31</v>
      </c>
      <c r="IO1492" s="2">
        <v>66.39</v>
      </c>
      <c r="IP1492" s="2">
        <v>67.23</v>
      </c>
      <c r="IQ1492" s="2">
        <v>68.63</v>
      </c>
      <c r="IR1492" s="2">
        <v>69.23999999999999</v>
      </c>
      <c r="IS1492" s="2">
        <v>68.98999999999999</v>
      </c>
      <c r="IT1492" s="2">
        <v>68.55</v>
      </c>
      <c r="IU1492" s="2">
        <v>70.48</v>
      </c>
      <c r="IV1492" s="2">
        <v>71.40000000000001</v>
      </c>
      <c r="IW1492" s="2">
        <v>70.23999999999999</v>
      </c>
      <c r="IX1492" s="2">
        <v>70.56</v>
      </c>
      <c r="IY1492" s="2">
        <v>72.8</v>
      </c>
      <c r="IZ1492" s="2">
        <v>72.16</v>
      </c>
      <c r="JA1492" s="2">
        <v>72.09999999999999</v>
      </c>
      <c r="JB1492" s="2">
        <v>72.59999999999999</v>
      </c>
      <c r="JC1492" s="2">
        <v>74.26000000000001</v>
      </c>
      <c r="JD1492" s="2">
        <v>74.37</v>
      </c>
      <c r="JE1492" s="2">
        <v>74.51000000000001</v>
      </c>
      <c r="JF1492" s="2">
        <v>74.77</v>
      </c>
      <c r="JG1492" s="2">
        <v>74.95</v>
      </c>
      <c r="JH1492" s="2">
        <v>75.20999999999999</v>
      </c>
      <c r="JI1492" s="2">
        <v>75.56</v>
      </c>
      <c r="JJ1492" s="2">
        <v>75.86</v>
      </c>
      <c r="JK1492" s="2">
        <v>76.05</v>
      </c>
      <c r="JL1492" s="2">
        <v>75.81</v>
      </c>
      <c r="JM1492" s="2">
        <v>76.56</v>
      </c>
      <c r="JN1492" s="2">
        <v>76.04000000000001</v>
      </c>
      <c r="JO1492" s="2">
        <v>76.3</v>
      </c>
      <c r="JP1492" s="2">
        <v>76.70999999999999</v>
      </c>
      <c r="JQ1492" s="2">
        <v>76.23999999999999</v>
      </c>
      <c r="JR1492" s="2">
        <v>74.63</v>
      </c>
      <c r="JS1492" s="2">
        <v>75.78</v>
      </c>
      <c r="JT1492" s="2">
        <v>75.23999999999999</v>
      </c>
      <c r="JU1492" s="2">
        <v>74.44</v>
      </c>
      <c r="JV1492" s="2">
        <v>73.04000000000001</v>
      </c>
      <c r="KA1492" s="2">
        <v>73.73</v>
      </c>
      <c r="KB1492" s="2">
        <v>74.5</v>
      </c>
      <c r="KC1492" s="2">
        <v>74.31999999999999</v>
      </c>
      <c r="KD1492" s="2">
        <v>74.33</v>
      </c>
      <c r="KQ1492" s="2">
        <v>76.03</v>
      </c>
      <c r="KR1492" s="2">
        <v>75.48999999999999</v>
      </c>
      <c r="KS1492" s="2">
        <v>75.31999999999999</v>
      </c>
      <c r="KT1492" s="2">
        <v>75.23</v>
      </c>
      <c r="LG1492" s="2">
        <v>76.38</v>
      </c>
      <c r="LH1492" s="2">
        <v>76.25</v>
      </c>
      <c r="LI1492" s="2">
        <v>76.37</v>
      </c>
      <c r="LJ1492" s="2">
        <v>75.04000000000001</v>
      </c>
      <c r="LW1492" s="2">
        <v>76.5</v>
      </c>
      <c r="LX1492" s="2">
        <v>78.01000000000001</v>
      </c>
      <c r="LY1492" s="2">
        <v>77.97</v>
      </c>
      <c r="LZ1492" s="2">
        <v>77.45</v>
      </c>
      <c r="MM1492" s="2">
        <v>78.3</v>
      </c>
      <c r="MN1492" s="2">
        <v>78.58</v>
      </c>
      <c r="MO1492" s="2">
        <v>79.26000000000001</v>
      </c>
      <c r="MP1492" s="2">
        <v>78.97</v>
      </c>
      <c r="NC1492" s="2">
        <v>83.59</v>
      </c>
      <c r="ND1492" s="2">
        <v>84.84</v>
      </c>
      <c r="NE1492" s="2">
        <v>86.66</v>
      </c>
      <c r="NF1492" s="2">
        <v>87.27</v>
      </c>
      <c r="NS1492" s="2">
        <v>90.11</v>
      </c>
      <c r="NT1492" s="2">
        <v>92.09</v>
      </c>
      <c r="NU1492" s="2">
        <v>91.48</v>
      </c>
      <c r="NV1492" s="2">
        <v>91.86</v>
      </c>
      <c r="OI1492" s="2">
        <v>94.95</v>
      </c>
      <c r="OJ1492" s="2">
        <v>95.95999999999999</v>
      </c>
      <c r="OK1492" s="2">
        <v>95.72</v>
      </c>
      <c r="OL1492" s="2">
        <v>95.31</v>
      </c>
      <c r="OY1492" s="2">
        <v>98.40000000000001</v>
      </c>
      <c r="OZ1492" s="2">
        <v>100.59</v>
      </c>
      <c r="PA1492" s="2">
        <v>100.8</v>
      </c>
      <c r="PB1492" s="2">
        <v>99.61</v>
      </c>
      <c r="PJ1492" s="2">
        <v>100.88</v>
      </c>
      <c r="PK1492" s="2">
        <v>102.46</v>
      </c>
    </row>
    <row r="1493">
      <c r="A1493" t="inlineStr">
        <is>
          <t>A2327736A</t>
        </is>
      </c>
      <c r="B1493" t="inlineStr">
        <is>
          <t>Index Numbers ;  Coffee, tea and cocoa ;  Australia ;</t>
        </is>
      </c>
      <c r="C1493" t="inlineStr">
        <is>
          <t>Quarter</t>
        </is>
      </c>
      <c r="D1493" t="inlineStr">
        <is>
          <t>Index Numbers</t>
        </is>
      </c>
      <c r="E1493" t="inlineStr">
        <is>
          <t>Original</t>
        </is>
      </c>
      <c r="F1493" t="inlineStr">
        <is>
          <t>6401018.xlsx</t>
        </is>
      </c>
      <c r="G1493" t="inlineStr">
        <is>
          <t>1980Q3</t>
        </is>
      </c>
      <c r="H1493" t="inlineStr">
        <is>
          <t>2026Q2</t>
        </is>
      </c>
      <c r="EG1493" s="2">
        <v>26.75</v>
      </c>
      <c r="EH1493" s="2">
        <v>27.2</v>
      </c>
      <c r="EI1493" s="2">
        <v>26.65</v>
      </c>
      <c r="EJ1493" s="2">
        <v>26.15</v>
      </c>
      <c r="EK1493" s="2">
        <v>25.7</v>
      </c>
      <c r="EL1493" s="2">
        <v>26.11</v>
      </c>
      <c r="EM1493" s="2">
        <v>26.29</v>
      </c>
      <c r="EN1493" s="2">
        <v>26.79</v>
      </c>
      <c r="EO1493" s="2">
        <v>27.65</v>
      </c>
      <c r="EP1493" s="2">
        <v>27.88</v>
      </c>
      <c r="EQ1493" s="2">
        <v>29.33</v>
      </c>
      <c r="ER1493" s="2">
        <v>30.24</v>
      </c>
      <c r="ES1493" s="2">
        <v>31.01</v>
      </c>
      <c r="ET1493" s="2">
        <v>32.24</v>
      </c>
      <c r="EU1493" s="2">
        <v>33.15</v>
      </c>
      <c r="EV1493" s="2">
        <v>34.28</v>
      </c>
      <c r="EW1493" s="2">
        <v>36.05</v>
      </c>
      <c r="EX1493" s="2">
        <v>36.83</v>
      </c>
      <c r="EY1493" s="2">
        <v>38.46</v>
      </c>
      <c r="EZ1493" s="2">
        <v>38.91</v>
      </c>
      <c r="FA1493" s="2">
        <v>40.37</v>
      </c>
      <c r="FB1493" s="2">
        <v>40.82</v>
      </c>
      <c r="FC1493" s="2">
        <v>41.28</v>
      </c>
      <c r="FD1493" s="2">
        <v>49.63</v>
      </c>
      <c r="FE1493" s="2">
        <v>47.13</v>
      </c>
      <c r="FF1493" s="2">
        <v>46.18</v>
      </c>
      <c r="FG1493" s="2">
        <v>46.54</v>
      </c>
      <c r="FH1493" s="2">
        <v>44.73</v>
      </c>
      <c r="FI1493" s="2">
        <v>44</v>
      </c>
      <c r="FJ1493" s="2">
        <v>44.18</v>
      </c>
      <c r="FK1493" s="2">
        <v>44.82</v>
      </c>
      <c r="FL1493" s="2">
        <v>44.86</v>
      </c>
      <c r="FM1493" s="2">
        <v>45</v>
      </c>
      <c r="FN1493" s="2">
        <v>45.04</v>
      </c>
      <c r="FO1493" s="2">
        <v>45.77</v>
      </c>
      <c r="FP1493" s="2">
        <v>44.95</v>
      </c>
      <c r="FQ1493" s="2">
        <v>45.18</v>
      </c>
      <c r="FR1493" s="2">
        <v>44.59</v>
      </c>
      <c r="FS1493" s="2">
        <v>45.77</v>
      </c>
      <c r="FT1493" s="2">
        <v>46.13</v>
      </c>
      <c r="FU1493" s="2">
        <v>46.13</v>
      </c>
      <c r="FV1493" s="2">
        <v>46.72</v>
      </c>
      <c r="FW1493" s="2">
        <v>46.59</v>
      </c>
      <c r="FX1493" s="2">
        <v>46.22</v>
      </c>
      <c r="FY1493" s="2">
        <v>45.91</v>
      </c>
      <c r="FZ1493" s="2">
        <v>45.41</v>
      </c>
      <c r="GA1493" s="2">
        <v>45.63</v>
      </c>
      <c r="GB1493" s="2">
        <v>45.68</v>
      </c>
      <c r="GC1493" s="2">
        <v>45.27</v>
      </c>
      <c r="GD1493" s="2">
        <v>44.82</v>
      </c>
      <c r="GE1493" s="2">
        <v>44.64</v>
      </c>
      <c r="GF1493" s="2">
        <v>44.95</v>
      </c>
      <c r="GG1493" s="2">
        <v>45.36</v>
      </c>
      <c r="GH1493" s="2">
        <v>45.63</v>
      </c>
      <c r="GI1493" s="2">
        <v>45.77</v>
      </c>
      <c r="GJ1493" s="2">
        <v>46.13</v>
      </c>
      <c r="GK1493" s="2">
        <v>47.41</v>
      </c>
      <c r="GL1493" s="2">
        <v>50.9</v>
      </c>
      <c r="GM1493" s="2">
        <v>53.94</v>
      </c>
      <c r="GN1493" s="2">
        <v>54.17</v>
      </c>
      <c r="GO1493" s="2">
        <v>54.44</v>
      </c>
      <c r="GP1493" s="2">
        <v>55.9</v>
      </c>
      <c r="GQ1493" s="2">
        <v>54.31</v>
      </c>
      <c r="GR1493" s="2">
        <v>54.4</v>
      </c>
      <c r="GS1493" s="2">
        <v>55.08</v>
      </c>
      <c r="GT1493" s="2">
        <v>54.99</v>
      </c>
      <c r="GU1493" s="2">
        <v>54.22</v>
      </c>
      <c r="GV1493" s="2">
        <v>57.21</v>
      </c>
      <c r="GW1493" s="2">
        <v>60.53</v>
      </c>
      <c r="GX1493" s="2">
        <v>61.71</v>
      </c>
      <c r="GY1493" s="2">
        <v>63.71</v>
      </c>
      <c r="GZ1493" s="2">
        <v>62.71</v>
      </c>
      <c r="HA1493" s="2">
        <v>63.12</v>
      </c>
      <c r="HB1493" s="2">
        <v>62.39</v>
      </c>
      <c r="HC1493" s="2">
        <v>63.18</v>
      </c>
      <c r="HD1493" s="2">
        <v>62.96</v>
      </c>
      <c r="HE1493" s="2">
        <v>63.17</v>
      </c>
      <c r="HF1493" s="2">
        <v>61.48</v>
      </c>
      <c r="HG1493" s="2">
        <v>62.71</v>
      </c>
      <c r="HH1493" s="2">
        <v>60.54</v>
      </c>
      <c r="HI1493" s="2">
        <v>61.5</v>
      </c>
      <c r="HJ1493" s="2">
        <v>61.88</v>
      </c>
      <c r="HK1493" s="2">
        <v>62.22</v>
      </c>
      <c r="HL1493" s="2">
        <v>64.55</v>
      </c>
      <c r="HM1493" s="2">
        <v>62.79</v>
      </c>
      <c r="HN1493" s="2">
        <v>65.36</v>
      </c>
      <c r="HO1493" s="2">
        <v>65.87</v>
      </c>
      <c r="HP1493" s="2">
        <v>64.34999999999999</v>
      </c>
      <c r="HQ1493" s="2">
        <v>65.38</v>
      </c>
      <c r="HR1493" s="2">
        <v>64.56999999999999</v>
      </c>
      <c r="HS1493" s="2">
        <v>62.51</v>
      </c>
      <c r="HT1493" s="2">
        <v>64.11</v>
      </c>
      <c r="HU1493" s="2">
        <v>62.28</v>
      </c>
      <c r="HV1493" s="2">
        <v>62.96</v>
      </c>
      <c r="HW1493" s="2">
        <v>61.31</v>
      </c>
      <c r="HX1493" s="2">
        <v>60.45</v>
      </c>
      <c r="HY1493" s="2">
        <v>60.61</v>
      </c>
      <c r="HZ1493" s="2">
        <v>60.67</v>
      </c>
      <c r="IA1493" s="2">
        <v>59.28</v>
      </c>
      <c r="IB1493" s="2">
        <v>61.06</v>
      </c>
      <c r="IC1493" s="2">
        <v>61.6</v>
      </c>
      <c r="ID1493" s="2">
        <v>62.47</v>
      </c>
      <c r="IE1493" s="2">
        <v>63.7</v>
      </c>
      <c r="IF1493" s="2">
        <v>64.20999999999999</v>
      </c>
      <c r="IG1493" s="2">
        <v>65.42</v>
      </c>
      <c r="IH1493" s="2">
        <v>66.56</v>
      </c>
      <c r="II1493" s="2">
        <v>66.62</v>
      </c>
      <c r="IJ1493" s="2">
        <v>68</v>
      </c>
      <c r="IK1493" s="2">
        <v>65.48999999999999</v>
      </c>
      <c r="IL1493" s="2">
        <v>68.42</v>
      </c>
      <c r="IM1493" s="2">
        <v>70.09999999999999</v>
      </c>
      <c r="IN1493" s="2">
        <v>70.88</v>
      </c>
      <c r="IO1493" s="2">
        <v>70.55</v>
      </c>
      <c r="IP1493" s="2">
        <v>71.59</v>
      </c>
      <c r="IQ1493" s="2">
        <v>73.33</v>
      </c>
      <c r="IR1493" s="2">
        <v>75.13</v>
      </c>
      <c r="IS1493" s="2">
        <v>73.52</v>
      </c>
      <c r="IT1493" s="2">
        <v>74.08</v>
      </c>
      <c r="IU1493" s="2">
        <v>74.03</v>
      </c>
      <c r="IV1493" s="2">
        <v>74.23999999999999</v>
      </c>
      <c r="IW1493" s="2">
        <v>73.38</v>
      </c>
      <c r="IX1493" s="2">
        <v>73.39</v>
      </c>
      <c r="IY1493" s="2">
        <v>74.17</v>
      </c>
      <c r="IZ1493" s="2">
        <v>70.51000000000001</v>
      </c>
      <c r="JA1493" s="2">
        <v>70.55</v>
      </c>
      <c r="JB1493" s="2">
        <v>74.58</v>
      </c>
      <c r="JC1493" s="2">
        <v>75.94</v>
      </c>
      <c r="JD1493" s="2">
        <v>76.64</v>
      </c>
      <c r="JE1493" s="2">
        <v>77.12</v>
      </c>
      <c r="JF1493" s="2">
        <v>77.67</v>
      </c>
      <c r="JG1493" s="2">
        <v>77.64</v>
      </c>
      <c r="JH1493" s="2">
        <v>76.43000000000001</v>
      </c>
      <c r="JI1493" s="2">
        <v>76.72</v>
      </c>
      <c r="JJ1493" s="2">
        <v>77.23999999999999</v>
      </c>
      <c r="JK1493" s="2">
        <v>75.06999999999999</v>
      </c>
      <c r="JL1493" s="2">
        <v>74.56999999999999</v>
      </c>
      <c r="JM1493" s="2">
        <v>78.5</v>
      </c>
      <c r="JN1493" s="2">
        <v>78.19</v>
      </c>
      <c r="JO1493" s="2">
        <v>79.73</v>
      </c>
      <c r="JP1493" s="2">
        <v>79.19</v>
      </c>
      <c r="JQ1493" s="2">
        <v>78.09</v>
      </c>
      <c r="JR1493" s="2">
        <v>76.65000000000001</v>
      </c>
      <c r="JS1493" s="2">
        <v>79.73</v>
      </c>
      <c r="JT1493" s="2">
        <v>75.56</v>
      </c>
      <c r="JU1493" s="2">
        <v>74.17</v>
      </c>
      <c r="JV1493" s="2">
        <v>75.98999999999999</v>
      </c>
      <c r="KA1493" s="2">
        <v>77.53</v>
      </c>
      <c r="KB1493" s="2">
        <v>74.92</v>
      </c>
      <c r="KC1493" s="2">
        <v>73.62</v>
      </c>
      <c r="KD1493" s="2">
        <v>74.11</v>
      </c>
      <c r="KQ1493" s="2">
        <v>74.58</v>
      </c>
      <c r="KR1493" s="2">
        <v>71.94</v>
      </c>
      <c r="KS1493" s="2">
        <v>72.48999999999999</v>
      </c>
      <c r="KT1493" s="2">
        <v>73.45</v>
      </c>
      <c r="LG1493" s="2">
        <v>73.43000000000001</v>
      </c>
      <c r="LH1493" s="2">
        <v>72</v>
      </c>
      <c r="LI1493" s="2">
        <v>72.27</v>
      </c>
      <c r="LJ1493" s="2">
        <v>72.20999999999999</v>
      </c>
      <c r="LW1493" s="2">
        <v>74.06999999999999</v>
      </c>
      <c r="LX1493" s="2">
        <v>75.40000000000001</v>
      </c>
      <c r="LY1493" s="2">
        <v>74.04000000000001</v>
      </c>
      <c r="LZ1493" s="2">
        <v>73.52</v>
      </c>
      <c r="MM1493" s="2">
        <v>73.38</v>
      </c>
      <c r="MN1493" s="2">
        <v>72.73999999999999</v>
      </c>
      <c r="MO1493" s="2">
        <v>73.16</v>
      </c>
      <c r="MP1493" s="2">
        <v>74.31</v>
      </c>
      <c r="NC1493" s="2">
        <v>79.40000000000001</v>
      </c>
      <c r="ND1493" s="2">
        <v>79.52</v>
      </c>
      <c r="NE1493" s="2">
        <v>80.98</v>
      </c>
      <c r="NF1493" s="2">
        <v>83.12</v>
      </c>
      <c r="NS1493" s="2">
        <v>85.08</v>
      </c>
      <c r="NT1493" s="2">
        <v>84.58</v>
      </c>
      <c r="NU1493" s="2">
        <v>84.97</v>
      </c>
      <c r="NV1493" s="2">
        <v>85.94</v>
      </c>
      <c r="OI1493" s="2">
        <v>86.40000000000001</v>
      </c>
      <c r="OJ1493" s="2">
        <v>85.47</v>
      </c>
      <c r="OK1493" s="2">
        <v>85.88</v>
      </c>
      <c r="OL1493" s="2">
        <v>87.31999999999999</v>
      </c>
      <c r="OY1493" s="2">
        <v>89.65000000000001</v>
      </c>
      <c r="OZ1493" s="2">
        <v>93.48</v>
      </c>
      <c r="PA1493" s="2">
        <v>98.48</v>
      </c>
      <c r="PB1493" s="2">
        <v>100.98</v>
      </c>
      <c r="PJ1493" s="2">
        <v>100.28</v>
      </c>
      <c r="PK1493" s="2">
        <v>100.18</v>
      </c>
    </row>
    <row r="1494">
      <c r="A1494" t="inlineStr">
        <is>
          <t>A2331786A</t>
        </is>
      </c>
      <c r="B1494" t="inlineStr">
        <is>
          <t>Index Numbers ;  Waters, soft drinks and juices ;  Australia ;</t>
        </is>
      </c>
      <c r="C1494" t="inlineStr">
        <is>
          <t>Quarter</t>
        </is>
      </c>
      <c r="D1494" t="inlineStr">
        <is>
          <t>Index Numbers</t>
        </is>
      </c>
      <c r="E1494" t="inlineStr">
        <is>
          <t>Original</t>
        </is>
      </c>
      <c r="F1494" t="inlineStr">
        <is>
          <t>6401018.xlsx</t>
        </is>
      </c>
      <c r="G1494" t="inlineStr">
        <is>
          <t>1989Q3</t>
        </is>
      </c>
      <c r="H1494" t="inlineStr">
        <is>
          <t>2026Q2</t>
        </is>
      </c>
      <c r="FQ1494" s="2">
        <v>37.58</v>
      </c>
      <c r="FR1494" s="2">
        <v>38.47</v>
      </c>
      <c r="FS1494" s="2">
        <v>38.97</v>
      </c>
      <c r="FT1494" s="2">
        <v>40.22</v>
      </c>
      <c r="FU1494" s="2">
        <v>40.1</v>
      </c>
      <c r="FV1494" s="2">
        <v>40.64</v>
      </c>
      <c r="FW1494" s="2">
        <v>41.38</v>
      </c>
      <c r="FX1494" s="2">
        <v>42.51</v>
      </c>
      <c r="FY1494" s="2">
        <v>42.54</v>
      </c>
      <c r="FZ1494" s="2">
        <v>42.89</v>
      </c>
      <c r="GA1494" s="2">
        <v>44.1</v>
      </c>
      <c r="GB1494" s="2">
        <v>44.6</v>
      </c>
      <c r="GC1494" s="2">
        <v>44.76</v>
      </c>
      <c r="GD1494" s="2">
        <v>44.6</v>
      </c>
      <c r="GE1494" s="2">
        <v>44.72</v>
      </c>
      <c r="GF1494" s="2">
        <v>44.72</v>
      </c>
      <c r="GG1494" s="2">
        <v>44.87</v>
      </c>
      <c r="GH1494" s="2">
        <v>45.03</v>
      </c>
      <c r="GI1494" s="2">
        <v>45.26</v>
      </c>
      <c r="GJ1494" s="2">
        <v>45.38</v>
      </c>
      <c r="GK1494" s="2">
        <v>45.53</v>
      </c>
      <c r="GL1494" s="2">
        <v>44.99</v>
      </c>
      <c r="GM1494" s="2">
        <v>45.03</v>
      </c>
      <c r="GN1494" s="2">
        <v>45.92</v>
      </c>
      <c r="GO1494" s="2">
        <v>47.01</v>
      </c>
      <c r="GP1494" s="2">
        <v>46.97</v>
      </c>
      <c r="GQ1494" s="2">
        <v>47.32</v>
      </c>
      <c r="GR1494" s="2">
        <v>47.55</v>
      </c>
      <c r="GS1494" s="2">
        <v>48.02</v>
      </c>
      <c r="GT1494" s="2">
        <v>48.06</v>
      </c>
      <c r="GU1494" s="2">
        <v>48.33</v>
      </c>
      <c r="GV1494" s="2">
        <v>48.87</v>
      </c>
      <c r="GW1494" s="2">
        <v>49.03</v>
      </c>
      <c r="GX1494" s="2">
        <v>49.76</v>
      </c>
      <c r="GY1494" s="2">
        <v>50.19</v>
      </c>
      <c r="GZ1494" s="2">
        <v>50.35</v>
      </c>
      <c r="HA1494" s="2">
        <v>51.32</v>
      </c>
      <c r="HB1494" s="2">
        <v>50.89</v>
      </c>
      <c r="HC1494" s="2">
        <v>51.2</v>
      </c>
      <c r="HD1494" s="2">
        <v>50.93</v>
      </c>
      <c r="HE1494" s="2">
        <v>50.93</v>
      </c>
      <c r="HF1494" s="2">
        <v>50.93</v>
      </c>
      <c r="HG1494" s="2">
        <v>50.7</v>
      </c>
      <c r="HH1494" s="2">
        <v>51.24</v>
      </c>
      <c r="HI1494" s="2">
        <v>49.11</v>
      </c>
      <c r="HJ1494" s="2">
        <v>47.97</v>
      </c>
      <c r="HK1494" s="2">
        <v>49.8</v>
      </c>
      <c r="HL1494" s="2">
        <v>50.95</v>
      </c>
      <c r="HM1494" s="2">
        <v>50.08</v>
      </c>
      <c r="HN1494" s="2">
        <v>50.48</v>
      </c>
      <c r="HO1494" s="2">
        <v>49.59</v>
      </c>
      <c r="HP1494" s="2">
        <v>50.09</v>
      </c>
      <c r="HQ1494" s="2">
        <v>51.34</v>
      </c>
      <c r="HR1494" s="2">
        <v>51.81</v>
      </c>
      <c r="HS1494" s="2">
        <v>52.1</v>
      </c>
      <c r="HT1494" s="2">
        <v>52.62</v>
      </c>
      <c r="HU1494" s="2">
        <v>52.03</v>
      </c>
      <c r="HV1494" s="2">
        <v>52.13</v>
      </c>
      <c r="HW1494" s="2">
        <v>52.82</v>
      </c>
      <c r="HX1494" s="2">
        <v>53.52</v>
      </c>
      <c r="HY1494" s="2">
        <v>54</v>
      </c>
      <c r="HZ1494" s="2">
        <v>54.51</v>
      </c>
      <c r="IA1494" s="2">
        <v>54.76</v>
      </c>
      <c r="IB1494" s="2">
        <v>55.49</v>
      </c>
      <c r="IC1494" s="2">
        <v>55.62</v>
      </c>
      <c r="ID1494" s="2">
        <v>55.88</v>
      </c>
      <c r="IE1494" s="2">
        <v>57.17</v>
      </c>
      <c r="IF1494" s="2">
        <v>57.55</v>
      </c>
      <c r="IG1494" s="2">
        <v>59.39</v>
      </c>
      <c r="IH1494" s="2">
        <v>59.93</v>
      </c>
      <c r="II1494" s="2">
        <v>60.65</v>
      </c>
      <c r="IJ1494" s="2">
        <v>62.2</v>
      </c>
      <c r="IK1494" s="2">
        <v>61.79</v>
      </c>
      <c r="IL1494" s="2">
        <v>62.85</v>
      </c>
      <c r="IM1494" s="2">
        <v>64.34999999999999</v>
      </c>
      <c r="IN1494" s="2">
        <v>65.3</v>
      </c>
      <c r="IO1494" s="2">
        <v>65.44</v>
      </c>
      <c r="IP1494" s="2">
        <v>66.23</v>
      </c>
      <c r="IQ1494" s="2">
        <v>67.56999999999999</v>
      </c>
      <c r="IR1494" s="2">
        <v>67.91</v>
      </c>
      <c r="IS1494" s="2">
        <v>67.95999999999999</v>
      </c>
      <c r="IT1494" s="2">
        <v>67.31999999999999</v>
      </c>
      <c r="IU1494" s="2">
        <v>69.68000000000001</v>
      </c>
      <c r="IV1494" s="2">
        <v>70.79000000000001</v>
      </c>
      <c r="IW1494" s="2">
        <v>69.58</v>
      </c>
      <c r="IX1494" s="2">
        <v>69.95</v>
      </c>
      <c r="IY1494" s="2">
        <v>72.55</v>
      </c>
      <c r="IZ1494" s="2">
        <v>72.63</v>
      </c>
      <c r="JA1494" s="2">
        <v>72.55</v>
      </c>
      <c r="JB1494" s="2">
        <v>71.89</v>
      </c>
      <c r="JC1494" s="2">
        <v>73.66</v>
      </c>
      <c r="JD1494" s="2">
        <v>73.56</v>
      </c>
      <c r="JE1494" s="2">
        <v>73.59</v>
      </c>
      <c r="JF1494" s="2">
        <v>73.77</v>
      </c>
      <c r="JG1494" s="2">
        <v>74.01000000000001</v>
      </c>
      <c r="JH1494" s="2">
        <v>74.75</v>
      </c>
      <c r="JI1494" s="2">
        <v>75.12</v>
      </c>
      <c r="JJ1494" s="2">
        <v>75.34</v>
      </c>
      <c r="JK1494" s="2">
        <v>76.3</v>
      </c>
      <c r="JL1494" s="2">
        <v>76.15000000000001</v>
      </c>
      <c r="JM1494" s="2">
        <v>75.86</v>
      </c>
      <c r="JN1494" s="2">
        <v>75.28</v>
      </c>
      <c r="JO1494" s="2">
        <v>75.12</v>
      </c>
      <c r="JP1494" s="2">
        <v>75.84</v>
      </c>
      <c r="JQ1494" s="2">
        <v>75.56999999999999</v>
      </c>
      <c r="JR1494" s="2">
        <v>73.91</v>
      </c>
      <c r="JS1494" s="2">
        <v>74.43000000000001</v>
      </c>
      <c r="JT1494" s="2">
        <v>75.06999999999999</v>
      </c>
      <c r="JU1494" s="2">
        <v>74.45999999999999</v>
      </c>
      <c r="JV1494" s="2">
        <v>72.02</v>
      </c>
      <c r="KA1494" s="2">
        <v>72.43000000000001</v>
      </c>
      <c r="KB1494" s="2">
        <v>74.3</v>
      </c>
      <c r="KC1494" s="2">
        <v>74.48999999999999</v>
      </c>
      <c r="KD1494" s="2">
        <v>74.34</v>
      </c>
      <c r="KQ1494" s="2">
        <v>76.43000000000001</v>
      </c>
      <c r="KR1494" s="2">
        <v>76.55</v>
      </c>
      <c r="KS1494" s="2">
        <v>76.15000000000001</v>
      </c>
      <c r="KT1494" s="2">
        <v>75.73999999999999</v>
      </c>
      <c r="LG1494" s="2">
        <v>77.25</v>
      </c>
      <c r="LH1494" s="2">
        <v>77.5</v>
      </c>
      <c r="LI1494" s="2">
        <v>77.58</v>
      </c>
      <c r="LJ1494" s="2">
        <v>75.87</v>
      </c>
      <c r="LW1494" s="2">
        <v>77.20999999999999</v>
      </c>
      <c r="LX1494" s="2">
        <v>78.77</v>
      </c>
      <c r="LY1494" s="2">
        <v>79.12</v>
      </c>
      <c r="LZ1494" s="2">
        <v>78.61</v>
      </c>
      <c r="MM1494" s="2">
        <v>79.77</v>
      </c>
      <c r="MN1494" s="2">
        <v>80.36</v>
      </c>
      <c r="MO1494" s="2">
        <v>81.12</v>
      </c>
      <c r="MP1494" s="2">
        <v>80.38</v>
      </c>
      <c r="NC1494" s="2">
        <v>84.84</v>
      </c>
      <c r="ND1494" s="2">
        <v>86.45</v>
      </c>
      <c r="NE1494" s="2">
        <v>88.38</v>
      </c>
      <c r="NF1494" s="2">
        <v>88.51000000000001</v>
      </c>
      <c r="NS1494" s="2">
        <v>91.63</v>
      </c>
      <c r="NT1494" s="2">
        <v>94.39</v>
      </c>
      <c r="NU1494" s="2">
        <v>93.45999999999999</v>
      </c>
      <c r="NV1494" s="2">
        <v>93.65000000000001</v>
      </c>
      <c r="OI1494" s="2">
        <v>97.58</v>
      </c>
      <c r="OJ1494" s="2">
        <v>99.19</v>
      </c>
      <c r="OK1494" s="2">
        <v>98.73999999999999</v>
      </c>
      <c r="OL1494" s="2">
        <v>97.76000000000001</v>
      </c>
      <c r="OY1494" s="2">
        <v>101.08</v>
      </c>
      <c r="OZ1494" s="2">
        <v>102.76</v>
      </c>
      <c r="PA1494" s="2">
        <v>101.52</v>
      </c>
      <c r="PB1494" s="2">
        <v>99.19</v>
      </c>
      <c r="PJ1494" s="2">
        <v>101.06</v>
      </c>
      <c r="PK1494" s="2">
        <v>103.15</v>
      </c>
    </row>
    <row r="1495">
      <c r="A1495" t="inlineStr">
        <is>
          <t>A2326296R</t>
        </is>
      </c>
      <c r="B1495" t="inlineStr">
        <is>
          <t>Index Numbers ;  Meals out and take away foods ;  Australia ;</t>
        </is>
      </c>
      <c r="C1495" t="inlineStr">
        <is>
          <t>Quarter</t>
        </is>
      </c>
      <c r="D1495" t="inlineStr">
        <is>
          <t>Index Numbers</t>
        </is>
      </c>
      <c r="E1495" t="inlineStr">
        <is>
          <t>Original</t>
        </is>
      </c>
      <c r="F1495" t="inlineStr">
        <is>
          <t>6401018.xlsx</t>
        </is>
      </c>
      <c r="G1495" t="inlineStr">
        <is>
          <t>1976Q3</t>
        </is>
      </c>
      <c r="H1495" t="inlineStr">
        <is>
          <t>2026Q2</t>
        </is>
      </c>
      <c r="DQ1495" s="2">
        <v>10.18</v>
      </c>
      <c r="DR1495" s="2">
        <v>10.38</v>
      </c>
      <c r="DS1495" s="2">
        <v>10.74</v>
      </c>
      <c r="DT1495" s="2">
        <v>11.13</v>
      </c>
      <c r="DU1495" s="2">
        <v>11.46</v>
      </c>
      <c r="DV1495" s="2">
        <v>11.65</v>
      </c>
      <c r="DW1495" s="2">
        <v>11.85</v>
      </c>
      <c r="DX1495" s="2">
        <v>11.98</v>
      </c>
      <c r="DY1495" s="2">
        <v>12.24</v>
      </c>
      <c r="DZ1495" s="2">
        <v>12.57</v>
      </c>
      <c r="EA1495" s="2">
        <v>12.89</v>
      </c>
      <c r="EB1495" s="2">
        <v>13.29</v>
      </c>
      <c r="EC1495" s="2">
        <v>13.77</v>
      </c>
      <c r="ED1495" s="2">
        <v>14.13</v>
      </c>
      <c r="EE1495" s="2">
        <v>14.59</v>
      </c>
      <c r="EF1495" s="2">
        <v>14.92</v>
      </c>
      <c r="EG1495" s="2">
        <v>15.28</v>
      </c>
      <c r="EH1495" s="2">
        <v>15.64</v>
      </c>
      <c r="EI1495" s="2">
        <v>16.03</v>
      </c>
      <c r="EJ1495" s="2">
        <v>16.32</v>
      </c>
      <c r="EK1495" s="2">
        <v>16.71</v>
      </c>
      <c r="EL1495" s="2">
        <v>17.17</v>
      </c>
      <c r="EM1495" s="2">
        <v>17.66</v>
      </c>
      <c r="EN1495" s="2">
        <v>18.12</v>
      </c>
      <c r="EO1495" s="2">
        <v>18.57</v>
      </c>
      <c r="EP1495" s="2">
        <v>19</v>
      </c>
      <c r="EQ1495" s="2">
        <v>19.45</v>
      </c>
      <c r="ER1495" s="2">
        <v>19.75</v>
      </c>
      <c r="ES1495" s="2">
        <v>20.24</v>
      </c>
      <c r="ET1495" s="2">
        <v>20.6</v>
      </c>
      <c r="EU1495" s="2">
        <v>21.02</v>
      </c>
      <c r="EV1495" s="2">
        <v>21.48</v>
      </c>
      <c r="EW1495" s="2">
        <v>21.67</v>
      </c>
      <c r="EX1495" s="2">
        <v>22.07</v>
      </c>
      <c r="EY1495" s="2">
        <v>22.52</v>
      </c>
      <c r="EZ1495" s="2">
        <v>23.05</v>
      </c>
      <c r="FA1495" s="2">
        <v>23.57</v>
      </c>
      <c r="FB1495" s="2">
        <v>24.12</v>
      </c>
      <c r="FC1495" s="2">
        <v>24.74</v>
      </c>
      <c r="FD1495" s="2">
        <v>25.2</v>
      </c>
      <c r="FE1495" s="2">
        <v>25.66</v>
      </c>
      <c r="FF1495" s="2">
        <v>26.24</v>
      </c>
      <c r="FG1495" s="2">
        <v>26.73</v>
      </c>
      <c r="FH1495" s="2">
        <v>27.16</v>
      </c>
      <c r="FI1495" s="2">
        <v>27.55</v>
      </c>
      <c r="FJ1495" s="2">
        <v>28.01</v>
      </c>
      <c r="FK1495" s="2">
        <v>28.5</v>
      </c>
      <c r="FL1495" s="2">
        <v>28.95</v>
      </c>
      <c r="FM1495" s="2">
        <v>29.44</v>
      </c>
      <c r="FN1495" s="2">
        <v>30.03</v>
      </c>
      <c r="FO1495" s="2">
        <v>30.59</v>
      </c>
      <c r="FP1495" s="2">
        <v>31.3</v>
      </c>
      <c r="FQ1495" s="2">
        <v>31.76</v>
      </c>
      <c r="FR1495" s="2">
        <v>32.22</v>
      </c>
      <c r="FS1495" s="2">
        <v>32.94</v>
      </c>
      <c r="FT1495" s="2">
        <v>33.69</v>
      </c>
      <c r="FU1495" s="2">
        <v>33.98</v>
      </c>
      <c r="FV1495" s="2">
        <v>34.63</v>
      </c>
      <c r="FW1495" s="2">
        <v>34.99</v>
      </c>
      <c r="FX1495" s="2">
        <v>35.42</v>
      </c>
      <c r="FY1495" s="2">
        <v>35.78</v>
      </c>
      <c r="FZ1495" s="2">
        <v>36.17</v>
      </c>
      <c r="GA1495" s="2">
        <v>36.27</v>
      </c>
      <c r="GB1495" s="2">
        <v>36.66</v>
      </c>
      <c r="GC1495" s="2">
        <v>36.95</v>
      </c>
      <c r="GD1495" s="2">
        <v>36.95</v>
      </c>
      <c r="GE1495" s="2">
        <v>37.31</v>
      </c>
      <c r="GF1495" s="2">
        <v>37.57</v>
      </c>
      <c r="GG1495" s="2">
        <v>37.64</v>
      </c>
      <c r="GH1495" s="2">
        <v>37.54</v>
      </c>
      <c r="GI1495" s="2">
        <v>37.31</v>
      </c>
      <c r="GJ1495" s="2">
        <v>36.82</v>
      </c>
      <c r="GK1495" s="2">
        <v>37.02</v>
      </c>
      <c r="GL1495" s="2">
        <v>36.85</v>
      </c>
      <c r="GM1495" s="2">
        <v>37.08</v>
      </c>
      <c r="GN1495" s="2">
        <v>37.67</v>
      </c>
      <c r="GO1495" s="2">
        <v>37.7</v>
      </c>
      <c r="GP1495" s="2">
        <v>37.8</v>
      </c>
      <c r="GQ1495" s="2">
        <v>37.93</v>
      </c>
      <c r="GR1495" s="2">
        <v>38.48</v>
      </c>
      <c r="GS1495" s="2">
        <v>38.58</v>
      </c>
      <c r="GT1495" s="2">
        <v>38.81</v>
      </c>
      <c r="GU1495" s="2">
        <v>39.1</v>
      </c>
      <c r="GV1495" s="2">
        <v>39.3</v>
      </c>
      <c r="GW1495" s="2">
        <v>39.4</v>
      </c>
      <c r="GX1495" s="2">
        <v>39.24</v>
      </c>
      <c r="GY1495" s="2">
        <v>39.69</v>
      </c>
      <c r="GZ1495" s="2">
        <v>39.99</v>
      </c>
      <c r="HA1495" s="2">
        <v>40.03</v>
      </c>
      <c r="HB1495" s="2">
        <v>40.13</v>
      </c>
      <c r="HC1495" s="2">
        <v>40.64</v>
      </c>
      <c r="HD1495" s="2">
        <v>40.87</v>
      </c>
      <c r="HE1495" s="2">
        <v>41.24</v>
      </c>
      <c r="HF1495" s="2">
        <v>41.78</v>
      </c>
      <c r="HG1495" s="2">
        <v>42.04</v>
      </c>
      <c r="HH1495" s="2">
        <v>42.4</v>
      </c>
      <c r="HI1495" s="2">
        <v>45.88</v>
      </c>
      <c r="HJ1495" s="2">
        <v>46.52</v>
      </c>
      <c r="HK1495" s="2">
        <v>46.82</v>
      </c>
      <c r="HL1495" s="2">
        <v>47.4</v>
      </c>
      <c r="HM1495" s="2">
        <v>47.71</v>
      </c>
      <c r="HN1495" s="2">
        <v>48.1</v>
      </c>
      <c r="HO1495" s="2">
        <v>48.53</v>
      </c>
      <c r="HP1495" s="2">
        <v>48.81</v>
      </c>
      <c r="HQ1495" s="2">
        <v>49.23</v>
      </c>
      <c r="HR1495" s="2">
        <v>49.56</v>
      </c>
      <c r="HS1495" s="2">
        <v>50.01</v>
      </c>
      <c r="HT1495" s="2">
        <v>50.49</v>
      </c>
      <c r="HU1495" s="2">
        <v>50.93</v>
      </c>
      <c r="HV1495" s="2">
        <v>51.51</v>
      </c>
      <c r="HW1495" s="2">
        <v>51.9</v>
      </c>
      <c r="HX1495" s="2">
        <v>52.21</v>
      </c>
      <c r="HY1495" s="2">
        <v>52.51</v>
      </c>
      <c r="HZ1495" s="2">
        <v>52.94</v>
      </c>
      <c r="IA1495" s="2">
        <v>53.47</v>
      </c>
      <c r="IB1495" s="2">
        <v>53.9</v>
      </c>
      <c r="IC1495" s="2">
        <v>54.45</v>
      </c>
      <c r="ID1495" s="2">
        <v>54.94</v>
      </c>
      <c r="IE1495" s="2">
        <v>55.37</v>
      </c>
      <c r="IF1495" s="2">
        <v>55.77</v>
      </c>
      <c r="IG1495" s="2">
        <v>56.26</v>
      </c>
      <c r="IH1495" s="2">
        <v>56.66</v>
      </c>
      <c r="II1495" s="2">
        <v>57.4</v>
      </c>
      <c r="IJ1495" s="2">
        <v>57.81</v>
      </c>
      <c r="IK1495" s="2">
        <v>58.45</v>
      </c>
      <c r="IL1495" s="2">
        <v>59.17</v>
      </c>
      <c r="IM1495" s="2">
        <v>60.17</v>
      </c>
      <c r="IN1495" s="2">
        <v>61.09</v>
      </c>
      <c r="IO1495" s="2">
        <v>61.88</v>
      </c>
      <c r="IP1495" s="2">
        <v>62.63</v>
      </c>
      <c r="IQ1495" s="2">
        <v>63.54</v>
      </c>
      <c r="IR1495" s="2">
        <v>64.12</v>
      </c>
      <c r="IS1495" s="2">
        <v>64.52</v>
      </c>
      <c r="IT1495" s="2">
        <v>64.83</v>
      </c>
      <c r="IU1495" s="2">
        <v>65.34</v>
      </c>
      <c r="IV1495" s="2">
        <v>65.61</v>
      </c>
      <c r="IW1495" s="2">
        <v>65.88</v>
      </c>
      <c r="IX1495" s="2">
        <v>66.43000000000001</v>
      </c>
      <c r="IY1495" s="2">
        <v>66.87</v>
      </c>
      <c r="IZ1495" s="2">
        <v>67.54000000000001</v>
      </c>
      <c r="JA1495" s="2">
        <v>68</v>
      </c>
      <c r="JB1495" s="2">
        <v>68.44</v>
      </c>
      <c r="JC1495" s="2">
        <v>68.8</v>
      </c>
      <c r="JD1495" s="2">
        <v>69.26000000000001</v>
      </c>
      <c r="JE1495" s="2">
        <v>69.69</v>
      </c>
      <c r="JF1495" s="2">
        <v>69.98</v>
      </c>
      <c r="JG1495" s="2">
        <v>70.3</v>
      </c>
      <c r="JH1495" s="2">
        <v>70.45</v>
      </c>
      <c r="JI1495" s="2">
        <v>70.84</v>
      </c>
      <c r="JJ1495" s="2">
        <v>71.28</v>
      </c>
      <c r="JK1495" s="2">
        <v>71.56999999999999</v>
      </c>
      <c r="JL1495" s="2">
        <v>72.01000000000001</v>
      </c>
      <c r="JM1495" s="2">
        <v>72.33</v>
      </c>
      <c r="JN1495" s="2">
        <v>72.81</v>
      </c>
      <c r="JO1495" s="2">
        <v>73.2</v>
      </c>
      <c r="JP1495" s="2">
        <v>73.41</v>
      </c>
      <c r="JQ1495" s="2">
        <v>73.83</v>
      </c>
      <c r="JR1495" s="2">
        <v>74.31</v>
      </c>
      <c r="JS1495" s="2">
        <v>74.58</v>
      </c>
      <c r="JT1495" s="2">
        <v>74.64</v>
      </c>
      <c r="JU1495" s="2">
        <v>74.97</v>
      </c>
      <c r="JV1495" s="2">
        <v>75.55</v>
      </c>
      <c r="KA1495" s="2">
        <v>75.81999999999999</v>
      </c>
      <c r="KB1495" s="2">
        <v>76.34999999999999</v>
      </c>
      <c r="KC1495" s="2">
        <v>76.64</v>
      </c>
      <c r="KD1495" s="2">
        <v>76.91</v>
      </c>
      <c r="KQ1495" s="2">
        <v>77.28</v>
      </c>
      <c r="KR1495" s="2">
        <v>77.75</v>
      </c>
      <c r="KS1495" s="2">
        <v>78.05</v>
      </c>
      <c r="KT1495" s="2">
        <v>78.51000000000001</v>
      </c>
      <c r="LG1495" s="2">
        <v>78.91</v>
      </c>
      <c r="LH1495" s="2">
        <v>78.89</v>
      </c>
      <c r="LI1495" s="2">
        <v>79.37</v>
      </c>
      <c r="LJ1495" s="2">
        <v>80.15000000000001</v>
      </c>
      <c r="LW1495" s="2">
        <v>80.70999999999999</v>
      </c>
      <c r="LX1495" s="2">
        <v>80.98</v>
      </c>
      <c r="LY1495" s="2">
        <v>80.59999999999999</v>
      </c>
      <c r="LZ1495" s="2">
        <v>81.48999999999999</v>
      </c>
      <c r="MM1495" s="2">
        <v>81.92</v>
      </c>
      <c r="MN1495" s="2">
        <v>81.39</v>
      </c>
      <c r="MO1495" s="2">
        <v>82.61</v>
      </c>
      <c r="MP1495" s="2">
        <v>83.45999999999999</v>
      </c>
      <c r="NC1495" s="2">
        <v>84.04000000000001</v>
      </c>
      <c r="ND1495" s="2">
        <v>85.26000000000001</v>
      </c>
      <c r="NE1495" s="2">
        <v>87.7</v>
      </c>
      <c r="NF1495" s="2">
        <v>89.54000000000001</v>
      </c>
      <c r="NS1495" s="2">
        <v>90.22</v>
      </c>
      <c r="NT1495" s="2">
        <v>91.8</v>
      </c>
      <c r="NU1495" s="2">
        <v>93.70999999999999</v>
      </c>
      <c r="NV1495" s="2">
        <v>94.56999999999999</v>
      </c>
      <c r="OI1495" s="2">
        <v>95.05</v>
      </c>
      <c r="OJ1495" s="2">
        <v>95.65000000000001</v>
      </c>
      <c r="OK1495" s="2">
        <v>96.42</v>
      </c>
      <c r="OL1495" s="2">
        <v>97</v>
      </c>
      <c r="OY1495" s="2">
        <v>97.56999999999999</v>
      </c>
      <c r="OZ1495" s="2">
        <v>98.25</v>
      </c>
      <c r="PA1495" s="2">
        <v>99.58</v>
      </c>
      <c r="PB1495" s="2">
        <v>100.43</v>
      </c>
      <c r="PJ1495" s="2">
        <v>101.36</v>
      </c>
      <c r="PK1495" s="2">
        <v>102.24</v>
      </c>
    </row>
    <row r="1496">
      <c r="A1496" t="inlineStr">
        <is>
          <t>A2327556T</t>
        </is>
      </c>
      <c r="B1496" t="inlineStr">
        <is>
          <t>Index Numbers ;  Restaurant meals ;  Australia ;</t>
        </is>
      </c>
      <c r="C1496" t="inlineStr">
        <is>
          <t>Quarter</t>
        </is>
      </c>
      <c r="D1496" t="inlineStr">
        <is>
          <t>Index Numbers</t>
        </is>
      </c>
      <c r="E1496" t="inlineStr">
        <is>
          <t>Original</t>
        </is>
      </c>
      <c r="F1496" t="inlineStr">
        <is>
          <t>6401018.xlsx</t>
        </is>
      </c>
      <c r="G1496" t="inlineStr">
        <is>
          <t>1980Q3</t>
        </is>
      </c>
      <c r="H1496" t="inlineStr">
        <is>
          <t>2026Q2</t>
        </is>
      </c>
      <c r="EG1496" s="2">
        <v>16.32</v>
      </c>
      <c r="EH1496" s="2">
        <v>16.72</v>
      </c>
      <c r="EI1496" s="2">
        <v>17.02</v>
      </c>
      <c r="EJ1496" s="2">
        <v>17.29</v>
      </c>
      <c r="EK1496" s="2">
        <v>17.7</v>
      </c>
      <c r="EL1496" s="2">
        <v>18.23</v>
      </c>
      <c r="EM1496" s="2">
        <v>18.7</v>
      </c>
      <c r="EN1496" s="2">
        <v>19.11</v>
      </c>
      <c r="EO1496" s="2">
        <v>19.54</v>
      </c>
      <c r="EP1496" s="2">
        <v>19.98</v>
      </c>
      <c r="EQ1496" s="2">
        <v>20.48</v>
      </c>
      <c r="ER1496" s="2">
        <v>20.78</v>
      </c>
      <c r="ES1496" s="2">
        <v>21.12</v>
      </c>
      <c r="ET1496" s="2">
        <v>21.52</v>
      </c>
      <c r="EU1496" s="2">
        <v>22.03</v>
      </c>
      <c r="EV1496" s="2">
        <v>22.53</v>
      </c>
      <c r="EW1496" s="2">
        <v>22.73</v>
      </c>
      <c r="EX1496" s="2">
        <v>23.1</v>
      </c>
      <c r="EY1496" s="2">
        <v>23.54</v>
      </c>
      <c r="EZ1496" s="2">
        <v>24.24</v>
      </c>
      <c r="FA1496" s="2">
        <v>24.88</v>
      </c>
      <c r="FB1496" s="2">
        <v>25.22</v>
      </c>
      <c r="FC1496" s="2">
        <v>26.06</v>
      </c>
      <c r="FD1496" s="2">
        <v>26.39</v>
      </c>
      <c r="FE1496" s="2">
        <v>26.93</v>
      </c>
      <c r="FF1496" s="2">
        <v>27.74</v>
      </c>
      <c r="FG1496" s="2">
        <v>28.17</v>
      </c>
      <c r="FH1496" s="2">
        <v>28.54</v>
      </c>
      <c r="FI1496" s="2">
        <v>29.04</v>
      </c>
      <c r="FJ1496" s="2">
        <v>29.45</v>
      </c>
      <c r="FK1496" s="2">
        <v>29.72</v>
      </c>
      <c r="FL1496" s="2">
        <v>30.29</v>
      </c>
      <c r="FM1496" s="2">
        <v>30.72</v>
      </c>
      <c r="FN1496" s="2">
        <v>31.26</v>
      </c>
      <c r="FO1496" s="2">
        <v>31.46</v>
      </c>
      <c r="FP1496" s="2">
        <v>32.03</v>
      </c>
      <c r="FQ1496" s="2">
        <v>32.87</v>
      </c>
      <c r="FR1496" s="2">
        <v>33.04</v>
      </c>
      <c r="FS1496" s="2">
        <v>33.78</v>
      </c>
      <c r="FT1496" s="2">
        <v>34.62</v>
      </c>
      <c r="FU1496" s="2">
        <v>34.82</v>
      </c>
      <c r="FV1496" s="2">
        <v>35.36</v>
      </c>
      <c r="FW1496" s="2">
        <v>35.59</v>
      </c>
      <c r="FX1496" s="2">
        <v>35.76</v>
      </c>
      <c r="FY1496" s="2">
        <v>36.1</v>
      </c>
      <c r="FZ1496" s="2">
        <v>36.13</v>
      </c>
      <c r="GA1496" s="2">
        <v>36.26</v>
      </c>
      <c r="GB1496" s="2">
        <v>36.53</v>
      </c>
      <c r="GC1496" s="2">
        <v>36.9</v>
      </c>
      <c r="GD1496" s="2">
        <v>36.73</v>
      </c>
      <c r="GE1496" s="2">
        <v>36.87</v>
      </c>
      <c r="GF1496" s="2">
        <v>37.17</v>
      </c>
      <c r="GG1496" s="2">
        <v>37.17</v>
      </c>
      <c r="GH1496" s="2">
        <v>37.2</v>
      </c>
      <c r="GI1496" s="2">
        <v>37.34</v>
      </c>
      <c r="GJ1496" s="2">
        <v>37.41</v>
      </c>
      <c r="GK1496" s="2">
        <v>37.91</v>
      </c>
      <c r="GL1496" s="2">
        <v>37.77</v>
      </c>
      <c r="GM1496" s="2">
        <v>38.01</v>
      </c>
      <c r="GN1496" s="2">
        <v>38.78</v>
      </c>
      <c r="GO1496" s="2">
        <v>39.08</v>
      </c>
      <c r="GP1496" s="2">
        <v>39.29</v>
      </c>
      <c r="GQ1496" s="2">
        <v>39.52</v>
      </c>
      <c r="GR1496" s="2">
        <v>39.79</v>
      </c>
      <c r="GS1496" s="2">
        <v>39.99</v>
      </c>
      <c r="GT1496" s="2">
        <v>40.53</v>
      </c>
      <c r="GU1496" s="2">
        <v>40.43</v>
      </c>
      <c r="GV1496" s="2">
        <v>40.56</v>
      </c>
      <c r="GW1496" s="2">
        <v>40.83</v>
      </c>
      <c r="GX1496" s="2">
        <v>41.13</v>
      </c>
      <c r="GY1496" s="2">
        <v>41.33</v>
      </c>
      <c r="GZ1496" s="2">
        <v>41.84</v>
      </c>
      <c r="HA1496" s="2">
        <v>41.85</v>
      </c>
      <c r="HB1496" s="2">
        <v>41.95</v>
      </c>
      <c r="HC1496" s="2">
        <v>42.36</v>
      </c>
      <c r="HD1496" s="2">
        <v>42.56</v>
      </c>
      <c r="HE1496" s="2">
        <v>42.91</v>
      </c>
      <c r="HF1496" s="2">
        <v>43.48</v>
      </c>
      <c r="HG1496" s="2">
        <v>43.91</v>
      </c>
      <c r="HH1496" s="2">
        <v>44.45</v>
      </c>
      <c r="HI1496" s="2">
        <v>48.45</v>
      </c>
      <c r="HJ1496" s="2">
        <v>48.79</v>
      </c>
      <c r="HK1496" s="2">
        <v>49.07</v>
      </c>
      <c r="HL1496" s="2">
        <v>49.66</v>
      </c>
      <c r="HM1496" s="2">
        <v>49.99</v>
      </c>
      <c r="HN1496" s="2">
        <v>50.06</v>
      </c>
      <c r="HO1496" s="2">
        <v>50.67</v>
      </c>
      <c r="HP1496" s="2">
        <v>51.12</v>
      </c>
      <c r="HQ1496" s="2">
        <v>51.61</v>
      </c>
      <c r="HR1496" s="2">
        <v>52.11</v>
      </c>
      <c r="HS1496" s="2">
        <v>52.29</v>
      </c>
      <c r="HT1496" s="2">
        <v>52.87</v>
      </c>
      <c r="HU1496" s="2">
        <v>53.09</v>
      </c>
      <c r="HV1496" s="2">
        <v>53.71</v>
      </c>
      <c r="HW1496" s="2">
        <v>54.43</v>
      </c>
      <c r="HX1496" s="2">
        <v>54.8</v>
      </c>
      <c r="HY1496" s="2">
        <v>55.15</v>
      </c>
      <c r="HZ1496" s="2">
        <v>55.77</v>
      </c>
      <c r="IA1496" s="2">
        <v>56.19</v>
      </c>
      <c r="IB1496" s="2">
        <v>56.88</v>
      </c>
      <c r="IC1496" s="2">
        <v>57.66</v>
      </c>
      <c r="ID1496" s="2">
        <v>57.97</v>
      </c>
      <c r="IE1496" s="2">
        <v>58.55</v>
      </c>
      <c r="IF1496" s="2">
        <v>58.89</v>
      </c>
      <c r="IG1496" s="2">
        <v>59.4</v>
      </c>
      <c r="IH1496" s="2">
        <v>59.9</v>
      </c>
      <c r="II1496" s="2">
        <v>60.43</v>
      </c>
      <c r="IJ1496" s="2">
        <v>60.81</v>
      </c>
      <c r="IK1496" s="2">
        <v>61.58</v>
      </c>
      <c r="IL1496" s="2">
        <v>62.19</v>
      </c>
      <c r="IM1496" s="2">
        <v>62.81</v>
      </c>
      <c r="IN1496" s="2">
        <v>63.57</v>
      </c>
      <c r="IO1496" s="2">
        <v>64.36</v>
      </c>
      <c r="IP1496" s="2">
        <v>64.91</v>
      </c>
      <c r="IQ1496" s="2">
        <v>65.67</v>
      </c>
      <c r="IR1496" s="2">
        <v>66.18000000000001</v>
      </c>
      <c r="IS1496" s="2">
        <v>66.41</v>
      </c>
      <c r="IT1496" s="2">
        <v>66.98999999999999</v>
      </c>
      <c r="IU1496" s="2">
        <v>67.56</v>
      </c>
      <c r="IV1496" s="2">
        <v>67.79000000000001</v>
      </c>
      <c r="IW1496" s="2">
        <v>68.01000000000001</v>
      </c>
      <c r="IX1496" s="2">
        <v>68.31999999999999</v>
      </c>
      <c r="IY1496" s="2">
        <v>68.62</v>
      </c>
      <c r="IZ1496" s="2">
        <v>69.53</v>
      </c>
      <c r="JA1496" s="2">
        <v>69.81</v>
      </c>
      <c r="JB1496" s="2">
        <v>70.38</v>
      </c>
      <c r="JC1496" s="2">
        <v>70.72</v>
      </c>
      <c r="JD1496" s="2">
        <v>70.97</v>
      </c>
      <c r="JE1496" s="2">
        <v>71.18000000000001</v>
      </c>
      <c r="JF1496" s="2">
        <v>71.43000000000001</v>
      </c>
      <c r="JG1496" s="2">
        <v>71.66</v>
      </c>
      <c r="JH1496" s="2">
        <v>71.79000000000001</v>
      </c>
      <c r="JI1496" s="2">
        <v>72.18000000000001</v>
      </c>
      <c r="JJ1496" s="2">
        <v>72.65000000000001</v>
      </c>
      <c r="JK1496" s="2">
        <v>72.84999999999999</v>
      </c>
      <c r="JL1496" s="2">
        <v>73.25</v>
      </c>
      <c r="JM1496" s="2">
        <v>73.78</v>
      </c>
      <c r="JN1496" s="2">
        <v>74.26000000000001</v>
      </c>
      <c r="JO1496" s="2">
        <v>74.59999999999999</v>
      </c>
      <c r="JP1496" s="2">
        <v>74.87</v>
      </c>
      <c r="JQ1496" s="2">
        <v>75.28</v>
      </c>
      <c r="JR1496" s="2">
        <v>75.31999999999999</v>
      </c>
      <c r="JS1496" s="2">
        <v>75.76000000000001</v>
      </c>
      <c r="JT1496" s="2">
        <v>75.89</v>
      </c>
      <c r="JU1496" s="2">
        <v>76.33</v>
      </c>
      <c r="JV1496" s="2">
        <v>77.17</v>
      </c>
      <c r="KA1496" s="2">
        <v>77.45999999999999</v>
      </c>
      <c r="KB1496" s="2">
        <v>77.98</v>
      </c>
      <c r="KC1496" s="2">
        <v>78.31</v>
      </c>
      <c r="KD1496" s="2">
        <v>78.52</v>
      </c>
      <c r="KQ1496" s="2">
        <v>78.87</v>
      </c>
      <c r="KR1496" s="2">
        <v>79.23</v>
      </c>
      <c r="KS1496" s="2">
        <v>79.31999999999999</v>
      </c>
      <c r="KT1496" s="2">
        <v>79.77</v>
      </c>
      <c r="LG1496" s="2">
        <v>79.89</v>
      </c>
      <c r="LH1496" s="2">
        <v>80.08</v>
      </c>
      <c r="LI1496" s="2">
        <v>80.54000000000001</v>
      </c>
      <c r="LJ1496" s="2">
        <v>81.2</v>
      </c>
      <c r="LW1496" s="2">
        <v>81.83</v>
      </c>
      <c r="LX1496" s="2">
        <v>81.84999999999999</v>
      </c>
      <c r="LY1496" s="2">
        <v>81.59999999999999</v>
      </c>
      <c r="LZ1496" s="2">
        <v>82.62</v>
      </c>
      <c r="MM1496" s="2">
        <v>83</v>
      </c>
      <c r="MN1496" s="2">
        <v>82.54000000000001</v>
      </c>
      <c r="MO1496" s="2">
        <v>83.84999999999999</v>
      </c>
      <c r="MP1496" s="2">
        <v>84.88</v>
      </c>
      <c r="NC1496" s="2">
        <v>85.37</v>
      </c>
      <c r="ND1496" s="2">
        <v>86.61</v>
      </c>
      <c r="NE1496" s="2">
        <v>88.75</v>
      </c>
      <c r="NF1496" s="2">
        <v>90.68000000000001</v>
      </c>
      <c r="NS1496" s="2">
        <v>91.3</v>
      </c>
      <c r="NT1496" s="2">
        <v>92.25</v>
      </c>
      <c r="NU1496" s="2">
        <v>94.13</v>
      </c>
      <c r="NV1496" s="2">
        <v>94.83</v>
      </c>
      <c r="OI1496" s="2">
        <v>95.34999999999999</v>
      </c>
      <c r="OJ1496" s="2">
        <v>96.06999999999999</v>
      </c>
      <c r="OK1496" s="2">
        <v>96.78</v>
      </c>
      <c r="OL1496" s="2">
        <v>97.42</v>
      </c>
      <c r="OY1496" s="2">
        <v>97.95</v>
      </c>
      <c r="OZ1496" s="2">
        <v>98.33</v>
      </c>
      <c r="PA1496" s="2">
        <v>99.53</v>
      </c>
      <c r="PB1496" s="2">
        <v>100.66</v>
      </c>
      <c r="PJ1496" s="2">
        <v>101.58</v>
      </c>
      <c r="PK1496" s="2">
        <v>102.19</v>
      </c>
    </row>
    <row r="1497">
      <c r="A1497" t="inlineStr">
        <is>
          <t>A2327601T</t>
        </is>
      </c>
      <c r="B1497" t="inlineStr">
        <is>
          <t>Index Numbers ;  Take away and fast foods ;  Australia ;</t>
        </is>
      </c>
      <c r="C1497" t="inlineStr">
        <is>
          <t>Quarter</t>
        </is>
      </c>
      <c r="D1497" t="inlineStr">
        <is>
          <t>Index Numbers</t>
        </is>
      </c>
      <c r="E1497" t="inlineStr">
        <is>
          <t>Original</t>
        </is>
      </c>
      <c r="F1497" t="inlineStr">
        <is>
          <t>6401018.xlsx</t>
        </is>
      </c>
      <c r="G1497" t="inlineStr">
        <is>
          <t>1980Q3</t>
        </is>
      </c>
      <c r="H1497" t="inlineStr">
        <is>
          <t>2026Q2</t>
        </is>
      </c>
      <c r="EG1497" s="2">
        <v>14.06</v>
      </c>
      <c r="EH1497" s="2">
        <v>14.43</v>
      </c>
      <c r="EI1497" s="2">
        <v>14.87</v>
      </c>
      <c r="EJ1497" s="2">
        <v>15.18</v>
      </c>
      <c r="EK1497" s="2">
        <v>15.49</v>
      </c>
      <c r="EL1497" s="2">
        <v>15.87</v>
      </c>
      <c r="EM1497" s="2">
        <v>16.43</v>
      </c>
      <c r="EN1497" s="2">
        <v>16.89</v>
      </c>
      <c r="EO1497" s="2">
        <v>17.36</v>
      </c>
      <c r="EP1497" s="2">
        <v>17.8</v>
      </c>
      <c r="EQ1497" s="2">
        <v>18.17</v>
      </c>
      <c r="ER1497" s="2">
        <v>18.45</v>
      </c>
      <c r="ES1497" s="2">
        <v>19.01</v>
      </c>
      <c r="ET1497" s="2">
        <v>19.39</v>
      </c>
      <c r="EU1497" s="2">
        <v>19.7</v>
      </c>
      <c r="EV1497" s="2">
        <v>20.17</v>
      </c>
      <c r="EW1497" s="2">
        <v>20.35</v>
      </c>
      <c r="EX1497" s="2">
        <v>20.73</v>
      </c>
      <c r="EY1497" s="2">
        <v>21.2</v>
      </c>
      <c r="EZ1497" s="2">
        <v>21.6</v>
      </c>
      <c r="FA1497" s="2">
        <v>22.01</v>
      </c>
      <c r="FB1497" s="2">
        <v>22.69</v>
      </c>
      <c r="FC1497" s="2">
        <v>23.13</v>
      </c>
      <c r="FD1497" s="2">
        <v>23.66</v>
      </c>
      <c r="FE1497" s="2">
        <v>24.03</v>
      </c>
      <c r="FF1497" s="2">
        <v>24.44</v>
      </c>
      <c r="FG1497" s="2">
        <v>24.97</v>
      </c>
      <c r="FH1497" s="2">
        <v>25.43</v>
      </c>
      <c r="FI1497" s="2">
        <v>25.75</v>
      </c>
      <c r="FJ1497" s="2">
        <v>26.18</v>
      </c>
      <c r="FK1497" s="2">
        <v>26.87</v>
      </c>
      <c r="FL1497" s="2">
        <v>27.21</v>
      </c>
      <c r="FM1497" s="2">
        <v>27.74</v>
      </c>
      <c r="FN1497" s="2">
        <v>28.36</v>
      </c>
      <c r="FO1497" s="2">
        <v>29.21</v>
      </c>
      <c r="FP1497" s="2">
        <v>30.05</v>
      </c>
      <c r="FQ1497" s="2">
        <v>30.14</v>
      </c>
      <c r="FR1497" s="2">
        <v>30.83</v>
      </c>
      <c r="FS1497" s="2">
        <v>31.54</v>
      </c>
      <c r="FT1497" s="2">
        <v>32.17</v>
      </c>
      <c r="FU1497" s="2">
        <v>32.54</v>
      </c>
      <c r="FV1497" s="2">
        <v>33.29</v>
      </c>
      <c r="FW1497" s="2">
        <v>33.73</v>
      </c>
      <c r="FX1497" s="2">
        <v>34.38</v>
      </c>
      <c r="FY1497" s="2">
        <v>34.75</v>
      </c>
      <c r="FZ1497" s="2">
        <v>35.41</v>
      </c>
      <c r="GA1497" s="2">
        <v>35.47</v>
      </c>
      <c r="GB1497" s="2">
        <v>35.94</v>
      </c>
      <c r="GC1497" s="2">
        <v>36.19</v>
      </c>
      <c r="GD1497" s="2">
        <v>36.28</v>
      </c>
      <c r="GE1497" s="2">
        <v>36.81</v>
      </c>
      <c r="GF1497" s="2">
        <v>37</v>
      </c>
      <c r="GG1497" s="2">
        <v>37.12</v>
      </c>
      <c r="GH1497" s="2">
        <v>36.97</v>
      </c>
      <c r="GI1497" s="2">
        <v>36.5</v>
      </c>
      <c r="GJ1497" s="2">
        <v>35.72</v>
      </c>
      <c r="GK1497" s="2">
        <v>35.75</v>
      </c>
      <c r="GL1497" s="2">
        <v>35.56</v>
      </c>
      <c r="GM1497" s="2">
        <v>35.75</v>
      </c>
      <c r="GN1497" s="2">
        <v>36.25</v>
      </c>
      <c r="GO1497" s="2">
        <v>36.13</v>
      </c>
      <c r="GP1497" s="2">
        <v>36.16</v>
      </c>
      <c r="GQ1497" s="2">
        <v>36.22</v>
      </c>
      <c r="GR1497" s="2">
        <v>36.9</v>
      </c>
      <c r="GS1497" s="2">
        <v>36.97</v>
      </c>
      <c r="GT1497" s="2">
        <v>37</v>
      </c>
      <c r="GU1497" s="2">
        <v>37.5</v>
      </c>
      <c r="GV1497" s="2">
        <v>37.75</v>
      </c>
      <c r="GW1497" s="2">
        <v>37.75</v>
      </c>
      <c r="GX1497" s="2">
        <v>37.34</v>
      </c>
      <c r="GY1497" s="2">
        <v>37.93</v>
      </c>
      <c r="GZ1497" s="2">
        <v>38.09</v>
      </c>
      <c r="HA1497" s="2">
        <v>38.15</v>
      </c>
      <c r="HB1497" s="2">
        <v>38.26</v>
      </c>
      <c r="HC1497" s="2">
        <v>38.83</v>
      </c>
      <c r="HD1497" s="2">
        <v>39.08</v>
      </c>
      <c r="HE1497" s="2">
        <v>39.46</v>
      </c>
      <c r="HF1497" s="2">
        <v>39.97</v>
      </c>
      <c r="HG1497" s="2">
        <v>40.1</v>
      </c>
      <c r="HH1497" s="2">
        <v>40.32</v>
      </c>
      <c r="HI1497" s="2">
        <v>43.4</v>
      </c>
      <c r="HJ1497" s="2">
        <v>44.23</v>
      </c>
      <c r="HK1497" s="2">
        <v>44.53</v>
      </c>
      <c r="HL1497" s="2">
        <v>45.09</v>
      </c>
      <c r="HM1497" s="2">
        <v>45.38</v>
      </c>
      <c r="HN1497" s="2">
        <v>45.98</v>
      </c>
      <c r="HO1497" s="2">
        <v>46.28</v>
      </c>
      <c r="HP1497" s="2">
        <v>46.45</v>
      </c>
      <c r="HQ1497" s="2">
        <v>46.82</v>
      </c>
      <c r="HR1497" s="2">
        <v>47.02</v>
      </c>
      <c r="HS1497" s="2">
        <v>47.64</v>
      </c>
      <c r="HT1497" s="2">
        <v>48.05</v>
      </c>
      <c r="HU1497" s="2">
        <v>48.62</v>
      </c>
      <c r="HV1497" s="2">
        <v>49.17</v>
      </c>
      <c r="HW1497" s="2">
        <v>49.33</v>
      </c>
      <c r="HX1497" s="2">
        <v>49.61</v>
      </c>
      <c r="HY1497" s="2">
        <v>49.88</v>
      </c>
      <c r="HZ1497" s="2">
        <v>50.17</v>
      </c>
      <c r="IA1497" s="2">
        <v>50.76</v>
      </c>
      <c r="IB1497" s="2">
        <v>51.02</v>
      </c>
      <c r="IC1497" s="2">
        <v>51.39</v>
      </c>
      <c r="ID1497" s="2">
        <v>52</v>
      </c>
      <c r="IE1497" s="2">
        <v>52.33</v>
      </c>
      <c r="IF1497" s="2">
        <v>52.76</v>
      </c>
      <c r="IG1497" s="2">
        <v>53.24</v>
      </c>
      <c r="IH1497" s="2">
        <v>53.55</v>
      </c>
      <c r="II1497" s="2">
        <v>54.43</v>
      </c>
      <c r="IJ1497" s="2">
        <v>54.85</v>
      </c>
      <c r="IK1497" s="2">
        <v>55.4</v>
      </c>
      <c r="IL1497" s="2">
        <v>56.17</v>
      </c>
      <c r="IM1497" s="2">
        <v>57.44</v>
      </c>
      <c r="IN1497" s="2">
        <v>58.45</v>
      </c>
      <c r="IO1497" s="2">
        <v>59.23</v>
      </c>
      <c r="IP1497" s="2">
        <v>60.11</v>
      </c>
      <c r="IQ1497" s="2">
        <v>61.11</v>
      </c>
      <c r="IR1497" s="2">
        <v>61.73</v>
      </c>
      <c r="IS1497" s="2">
        <v>62.24</v>
      </c>
      <c r="IT1497" s="2">
        <v>62.35</v>
      </c>
      <c r="IU1497" s="2">
        <v>62.83</v>
      </c>
      <c r="IV1497" s="2">
        <v>63.12</v>
      </c>
      <c r="IW1497" s="2">
        <v>63.43</v>
      </c>
      <c r="IX1497" s="2">
        <v>64.14</v>
      </c>
      <c r="IY1497" s="2">
        <v>64.66</v>
      </c>
      <c r="IZ1497" s="2">
        <v>65.16</v>
      </c>
      <c r="JA1497" s="2">
        <v>65.79000000000001</v>
      </c>
      <c r="JB1497" s="2">
        <v>66.09999999999999</v>
      </c>
      <c r="JC1497" s="2">
        <v>66.47</v>
      </c>
      <c r="JD1497" s="2">
        <v>67.15000000000001</v>
      </c>
      <c r="JE1497" s="2">
        <v>67.8</v>
      </c>
      <c r="JF1497" s="2">
        <v>68.13</v>
      </c>
      <c r="JG1497" s="2">
        <v>68.54000000000001</v>
      </c>
      <c r="JH1497" s="2">
        <v>68.7</v>
      </c>
      <c r="JI1497" s="2">
        <v>69.08</v>
      </c>
      <c r="JJ1497" s="2">
        <v>69.48</v>
      </c>
      <c r="JK1497" s="2">
        <v>69.87</v>
      </c>
      <c r="JL1497" s="2">
        <v>70.34999999999999</v>
      </c>
      <c r="JM1497" s="2">
        <v>70.45999999999999</v>
      </c>
      <c r="JN1497" s="2">
        <v>70.94</v>
      </c>
      <c r="JO1497" s="2">
        <v>71.38</v>
      </c>
      <c r="JP1497" s="2">
        <v>71.53</v>
      </c>
      <c r="JQ1497" s="2">
        <v>71.95999999999999</v>
      </c>
      <c r="JR1497" s="2">
        <v>72.87</v>
      </c>
      <c r="JS1497" s="2">
        <v>72.95999999999999</v>
      </c>
      <c r="JT1497" s="2">
        <v>72.95999999999999</v>
      </c>
      <c r="JU1497" s="2">
        <v>73.16</v>
      </c>
      <c r="JV1497" s="2">
        <v>73.48999999999999</v>
      </c>
      <c r="KA1497" s="2">
        <v>73.73999999999999</v>
      </c>
      <c r="KB1497" s="2">
        <v>74.27</v>
      </c>
      <c r="KC1497" s="2">
        <v>74.52</v>
      </c>
      <c r="KD1497" s="2">
        <v>74.87</v>
      </c>
      <c r="KQ1497" s="2">
        <v>75.26000000000001</v>
      </c>
      <c r="KR1497" s="2">
        <v>75.86</v>
      </c>
      <c r="KS1497" s="2">
        <v>76.43000000000001</v>
      </c>
      <c r="KT1497" s="2">
        <v>76.91</v>
      </c>
      <c r="LG1497" s="2">
        <v>77.64</v>
      </c>
      <c r="LH1497" s="2">
        <v>77.37</v>
      </c>
      <c r="LI1497" s="2">
        <v>77.87</v>
      </c>
      <c r="LJ1497" s="2">
        <v>78.78</v>
      </c>
      <c r="LW1497" s="2">
        <v>79.26000000000001</v>
      </c>
      <c r="LX1497" s="2">
        <v>79.84</v>
      </c>
      <c r="LY1497" s="2">
        <v>79.31</v>
      </c>
      <c r="LZ1497" s="2">
        <v>80.04000000000001</v>
      </c>
      <c r="MM1497" s="2">
        <v>80.51000000000001</v>
      </c>
      <c r="MN1497" s="2">
        <v>79.91</v>
      </c>
      <c r="MO1497" s="2">
        <v>81</v>
      </c>
      <c r="MP1497" s="2">
        <v>81.66</v>
      </c>
      <c r="NC1497" s="2">
        <v>82.34</v>
      </c>
      <c r="ND1497" s="2">
        <v>83.55</v>
      </c>
      <c r="NE1497" s="2">
        <v>86.3</v>
      </c>
      <c r="NF1497" s="2">
        <v>88.03</v>
      </c>
      <c r="NS1497" s="2">
        <v>88.79000000000001</v>
      </c>
      <c r="NT1497" s="2">
        <v>91.20999999999999</v>
      </c>
      <c r="NU1497" s="2">
        <v>93.17</v>
      </c>
      <c r="NV1497" s="2">
        <v>94.23999999999999</v>
      </c>
      <c r="OI1497" s="2">
        <v>94.68000000000001</v>
      </c>
      <c r="OJ1497" s="2">
        <v>95.14</v>
      </c>
      <c r="OK1497" s="2">
        <v>95.98</v>
      </c>
      <c r="OL1497" s="2">
        <v>96.48</v>
      </c>
      <c r="OY1497" s="2">
        <v>97.11</v>
      </c>
      <c r="OZ1497" s="2">
        <v>98.15000000000001</v>
      </c>
      <c r="PA1497" s="2">
        <v>99.65000000000001</v>
      </c>
      <c r="PB1497" s="2">
        <v>100.16</v>
      </c>
      <c r="PJ1497" s="2">
        <v>101.1</v>
      </c>
      <c r="PK1497" s="2">
        <v>102.3</v>
      </c>
    </row>
    <row r="1498">
      <c r="A1498" t="inlineStr">
        <is>
          <t>A2326116V</t>
        </is>
      </c>
      <c r="B1498" t="inlineStr">
        <is>
          <t>Index Numbers ;  Alcohol and tobacco ;  Australia ;</t>
        </is>
      </c>
      <c r="C1498" t="inlineStr">
        <is>
          <t>Quarter</t>
        </is>
      </c>
      <c r="D1498" t="inlineStr">
        <is>
          <t>Index Numbers</t>
        </is>
      </c>
      <c r="E1498" t="inlineStr">
        <is>
          <t>Original</t>
        </is>
      </c>
      <c r="F1498" t="inlineStr">
        <is>
          <t>6401018.xlsx</t>
        </is>
      </c>
      <c r="G1498" t="inlineStr">
        <is>
          <t>1972Q3</t>
        </is>
      </c>
      <c r="H1498" t="inlineStr">
        <is>
          <t>2026Q2</t>
        </is>
      </c>
      <c r="DA1498" s="2">
        <v>2.61</v>
      </c>
      <c r="DB1498" s="2">
        <v>2.63</v>
      </c>
      <c r="DC1498" s="2">
        <v>2.68</v>
      </c>
      <c r="DD1498" s="2">
        <v>2.77</v>
      </c>
      <c r="DE1498" s="2">
        <v>2.77</v>
      </c>
      <c r="DF1498" s="2">
        <v>2.93</v>
      </c>
      <c r="DG1498" s="2">
        <v>2.93</v>
      </c>
      <c r="DH1498" s="2">
        <v>3.08</v>
      </c>
      <c r="DI1498" s="2">
        <v>3.29</v>
      </c>
      <c r="DJ1498" s="2">
        <v>3.34</v>
      </c>
      <c r="DK1498" s="2">
        <v>3.52</v>
      </c>
      <c r="DL1498" s="2">
        <v>3.59</v>
      </c>
      <c r="DM1498" s="2">
        <v>3.67</v>
      </c>
      <c r="DN1498" s="2">
        <v>4.36</v>
      </c>
      <c r="DO1498" s="2">
        <v>4.45</v>
      </c>
      <c r="DP1498" s="2">
        <v>4.56</v>
      </c>
      <c r="DQ1498" s="2">
        <v>4.56</v>
      </c>
      <c r="DR1498" s="2">
        <v>4.62</v>
      </c>
      <c r="DS1498" s="2">
        <v>4.65</v>
      </c>
      <c r="DT1498" s="2">
        <v>4.71</v>
      </c>
      <c r="DU1498" s="2">
        <v>4.77</v>
      </c>
      <c r="DV1498" s="2">
        <v>4.83</v>
      </c>
      <c r="DW1498" s="2">
        <v>4.89</v>
      </c>
      <c r="DX1498" s="2">
        <v>4.9</v>
      </c>
      <c r="DY1498" s="2">
        <v>4.94</v>
      </c>
      <c r="DZ1498" s="2">
        <v>5.79</v>
      </c>
      <c r="EA1498" s="2">
        <v>5.78</v>
      </c>
      <c r="EB1498" s="2">
        <v>5.85</v>
      </c>
      <c r="EC1498" s="2">
        <v>5.93</v>
      </c>
      <c r="ED1498" s="2">
        <v>6</v>
      </c>
      <c r="EE1498" s="2">
        <v>6.12</v>
      </c>
      <c r="EF1498" s="2">
        <v>6.22</v>
      </c>
      <c r="EG1498" s="2">
        <v>6.34</v>
      </c>
      <c r="EH1498" s="2">
        <v>6.4</v>
      </c>
      <c r="EI1498" s="2">
        <v>6.54</v>
      </c>
      <c r="EJ1498" s="2">
        <v>6.65</v>
      </c>
      <c r="EK1498" s="2">
        <v>6.85</v>
      </c>
      <c r="EL1498" s="2">
        <v>6.97</v>
      </c>
      <c r="EM1498" s="2">
        <v>7.16</v>
      </c>
      <c r="EN1498" s="2">
        <v>7.32</v>
      </c>
      <c r="EO1498" s="2">
        <v>7.64</v>
      </c>
      <c r="EP1498" s="2">
        <v>8.039999999999999</v>
      </c>
      <c r="EQ1498" s="2">
        <v>8.16</v>
      </c>
      <c r="ER1498" s="2">
        <v>8.33</v>
      </c>
      <c r="ES1498" s="2">
        <v>8.51</v>
      </c>
      <c r="ET1498" s="2">
        <v>9.039999999999999</v>
      </c>
      <c r="EU1498" s="2">
        <v>9.199999999999999</v>
      </c>
      <c r="EV1498" s="2">
        <v>9.43</v>
      </c>
      <c r="EW1498" s="2">
        <v>9.57</v>
      </c>
      <c r="EX1498" s="2">
        <v>9.76</v>
      </c>
      <c r="EY1498" s="2">
        <v>9.869999999999999</v>
      </c>
      <c r="EZ1498" s="2">
        <v>10.02</v>
      </c>
      <c r="FA1498" s="2">
        <v>10.3</v>
      </c>
      <c r="FB1498" s="2">
        <v>10.55</v>
      </c>
      <c r="FC1498" s="2">
        <v>10.86</v>
      </c>
      <c r="FD1498" s="2">
        <v>11.08</v>
      </c>
      <c r="FE1498" s="2">
        <v>11.34</v>
      </c>
      <c r="FF1498" s="2">
        <v>11.68</v>
      </c>
      <c r="FG1498" s="2">
        <v>12</v>
      </c>
      <c r="FH1498" s="2">
        <v>12.29</v>
      </c>
      <c r="FI1498" s="2">
        <v>12.48</v>
      </c>
      <c r="FJ1498" s="2">
        <v>12.69</v>
      </c>
      <c r="FK1498" s="2">
        <v>12.95</v>
      </c>
      <c r="FL1498" s="2">
        <v>13.16</v>
      </c>
      <c r="FM1498" s="2">
        <v>13.32</v>
      </c>
      <c r="FN1498" s="2">
        <v>13.35</v>
      </c>
      <c r="FO1498" s="2">
        <v>13.61</v>
      </c>
      <c r="FP1498" s="2">
        <v>13.91</v>
      </c>
      <c r="FQ1498" s="2">
        <v>14.23</v>
      </c>
      <c r="FR1498" s="2">
        <v>14.51</v>
      </c>
      <c r="FS1498" s="2">
        <v>14.83</v>
      </c>
      <c r="FT1498" s="2">
        <v>15.1</v>
      </c>
      <c r="FU1498" s="2">
        <v>15.39</v>
      </c>
      <c r="FV1498" s="2">
        <v>15.9</v>
      </c>
      <c r="FW1498" s="2">
        <v>16.12</v>
      </c>
      <c r="FX1498" s="2">
        <v>16.45</v>
      </c>
      <c r="FY1498" s="2">
        <v>16.67</v>
      </c>
      <c r="FZ1498" s="2">
        <v>16.83</v>
      </c>
      <c r="GA1498" s="2">
        <v>16.9</v>
      </c>
      <c r="GB1498" s="2">
        <v>17.09</v>
      </c>
      <c r="GC1498" s="2">
        <v>17.63</v>
      </c>
      <c r="GD1498" s="2">
        <v>18.1</v>
      </c>
      <c r="GE1498" s="2">
        <v>18.5</v>
      </c>
      <c r="GF1498" s="2">
        <v>18.78</v>
      </c>
      <c r="GG1498" s="2">
        <v>19.19</v>
      </c>
      <c r="GH1498" s="2">
        <v>19.53</v>
      </c>
      <c r="GI1498" s="2">
        <v>19.73</v>
      </c>
      <c r="GJ1498" s="2">
        <v>19.98</v>
      </c>
      <c r="GK1498" s="2">
        <v>20.16</v>
      </c>
      <c r="GL1498" s="2">
        <v>20.41</v>
      </c>
      <c r="GM1498" s="2">
        <v>20.7</v>
      </c>
      <c r="GN1498" s="2">
        <v>21.48</v>
      </c>
      <c r="GO1498" s="2">
        <v>22.21</v>
      </c>
      <c r="GP1498" s="2">
        <v>22.78</v>
      </c>
      <c r="GQ1498" s="2">
        <v>23.15</v>
      </c>
      <c r="GR1498" s="2">
        <v>23.44</v>
      </c>
      <c r="GS1498" s="2">
        <v>23.53</v>
      </c>
      <c r="GT1498" s="2">
        <v>23.65</v>
      </c>
      <c r="GU1498" s="2">
        <v>23.72</v>
      </c>
      <c r="GV1498" s="2">
        <v>23.78</v>
      </c>
      <c r="GW1498" s="2">
        <v>23.75</v>
      </c>
      <c r="GX1498" s="2">
        <v>24.1</v>
      </c>
      <c r="GY1498" s="2">
        <v>24.27</v>
      </c>
      <c r="GZ1498" s="2">
        <v>24.46</v>
      </c>
      <c r="HA1498" s="2">
        <v>24.57</v>
      </c>
      <c r="HB1498" s="2">
        <v>24.63</v>
      </c>
      <c r="HC1498" s="2">
        <v>24.82</v>
      </c>
      <c r="HD1498" s="2">
        <v>24.99</v>
      </c>
      <c r="HE1498" s="2">
        <v>25.05</v>
      </c>
      <c r="HF1498" s="2">
        <v>25.55</v>
      </c>
      <c r="HG1498" s="2">
        <v>25.99</v>
      </c>
      <c r="HH1498" s="2">
        <v>26.2</v>
      </c>
      <c r="HI1498" s="2">
        <v>27.9</v>
      </c>
      <c r="HJ1498" s="2">
        <v>28.19</v>
      </c>
      <c r="HK1498" s="2">
        <v>28.91</v>
      </c>
      <c r="HL1498" s="2">
        <v>29.25</v>
      </c>
      <c r="HM1498" s="2">
        <v>29.56</v>
      </c>
      <c r="HN1498" s="2">
        <v>29.61</v>
      </c>
      <c r="HO1498" s="2">
        <v>29.92</v>
      </c>
      <c r="HP1498" s="2">
        <v>30.08</v>
      </c>
      <c r="HQ1498" s="2">
        <v>30.41</v>
      </c>
      <c r="HR1498" s="2">
        <v>30.42</v>
      </c>
      <c r="HS1498" s="2">
        <v>30.8</v>
      </c>
      <c r="HT1498" s="2">
        <v>30.98</v>
      </c>
      <c r="HU1498" s="2">
        <v>31.57</v>
      </c>
      <c r="HV1498" s="2">
        <v>31.76</v>
      </c>
      <c r="HW1498" s="2">
        <v>32.11</v>
      </c>
      <c r="HX1498" s="2">
        <v>32.35</v>
      </c>
      <c r="HY1498" s="2">
        <v>32.65</v>
      </c>
      <c r="HZ1498" s="2">
        <v>32.87</v>
      </c>
      <c r="IA1498" s="2">
        <v>33.29</v>
      </c>
      <c r="IB1498" s="2">
        <v>33.46</v>
      </c>
      <c r="IC1498" s="2">
        <v>33.79</v>
      </c>
      <c r="ID1498" s="2">
        <v>33.95</v>
      </c>
      <c r="IE1498" s="2">
        <v>34.38</v>
      </c>
      <c r="IF1498" s="2">
        <v>34.68</v>
      </c>
      <c r="IG1498" s="2">
        <v>34.88</v>
      </c>
      <c r="IH1498" s="2">
        <v>35.14</v>
      </c>
      <c r="II1498" s="2">
        <v>35.44</v>
      </c>
      <c r="IJ1498" s="2">
        <v>35.74</v>
      </c>
      <c r="IK1498" s="2">
        <v>35.95</v>
      </c>
      <c r="IL1498" s="2">
        <v>36.41</v>
      </c>
      <c r="IM1498" s="2">
        <v>36.79</v>
      </c>
      <c r="IN1498" s="2">
        <v>37.47</v>
      </c>
      <c r="IO1498" s="2">
        <v>38.01</v>
      </c>
      <c r="IP1498" s="2">
        <v>38.53</v>
      </c>
      <c r="IQ1498" s="2">
        <v>38.89</v>
      </c>
      <c r="IR1498" s="2">
        <v>39.22</v>
      </c>
      <c r="IS1498" s="2">
        <v>39.52</v>
      </c>
      <c r="IT1498" s="2">
        <v>39.73</v>
      </c>
      <c r="IU1498" s="2">
        <v>40.24</v>
      </c>
      <c r="IV1498" s="2">
        <v>42.63</v>
      </c>
      <c r="IW1498" s="2">
        <v>43.94</v>
      </c>
      <c r="IX1498" s="2">
        <v>44.28</v>
      </c>
      <c r="IY1498" s="2">
        <v>44.75</v>
      </c>
      <c r="IZ1498" s="2">
        <v>45.03</v>
      </c>
      <c r="JA1498" s="2">
        <v>45.28</v>
      </c>
      <c r="JB1498" s="2">
        <v>45.66</v>
      </c>
      <c r="JC1498" s="2">
        <v>46.31</v>
      </c>
      <c r="JD1498" s="2">
        <v>46.78</v>
      </c>
      <c r="JE1498" s="2">
        <v>47.18</v>
      </c>
      <c r="JF1498" s="2">
        <v>47.28</v>
      </c>
      <c r="JG1498" s="2">
        <v>48.03</v>
      </c>
      <c r="JH1498" s="2">
        <v>48.68</v>
      </c>
      <c r="JI1498" s="2">
        <v>49.08</v>
      </c>
      <c r="JJ1498" s="2">
        <v>49.87</v>
      </c>
      <c r="JK1498" s="2">
        <v>51.31</v>
      </c>
      <c r="JL1498" s="2">
        <v>52.11</v>
      </c>
      <c r="JM1498" s="2">
        <v>52.66</v>
      </c>
      <c r="JN1498" s="2">
        <v>53.55</v>
      </c>
      <c r="JO1498" s="2">
        <v>53.96</v>
      </c>
      <c r="JP1498" s="2">
        <v>54.61</v>
      </c>
      <c r="JQ1498" s="2">
        <v>55.29</v>
      </c>
      <c r="JR1498" s="2">
        <v>56.78</v>
      </c>
      <c r="JS1498" s="2">
        <v>57.26</v>
      </c>
      <c r="JT1498" s="2">
        <v>57.81</v>
      </c>
      <c r="JU1498" s="2">
        <v>58.49</v>
      </c>
      <c r="JV1498" s="2">
        <v>60.14</v>
      </c>
      <c r="KA1498" s="2">
        <v>60.79</v>
      </c>
      <c r="KB1498" s="2">
        <v>61.24</v>
      </c>
      <c r="KC1498" s="2">
        <v>62.56</v>
      </c>
      <c r="KD1498" s="2">
        <v>64.56</v>
      </c>
      <c r="KQ1498" s="2">
        <v>65.03</v>
      </c>
      <c r="KR1498" s="2">
        <v>66.01000000000001</v>
      </c>
      <c r="KS1498" s="2">
        <v>66.84999999999999</v>
      </c>
      <c r="KT1498" s="2">
        <v>68.95</v>
      </c>
      <c r="LG1498" s="2">
        <v>69.17</v>
      </c>
      <c r="LH1498" s="2">
        <v>69.88</v>
      </c>
      <c r="LI1498" s="2">
        <v>71.28</v>
      </c>
      <c r="LJ1498" s="2">
        <v>73.43000000000001</v>
      </c>
      <c r="LW1498" s="2">
        <v>74.62</v>
      </c>
      <c r="LX1498" s="2">
        <v>75.77</v>
      </c>
      <c r="LY1498" s="2">
        <v>77.01000000000001</v>
      </c>
      <c r="LZ1498" s="2">
        <v>80.25</v>
      </c>
      <c r="MM1498" s="2">
        <v>80.53</v>
      </c>
      <c r="MN1498" s="2">
        <v>80.83</v>
      </c>
      <c r="MO1498" s="2">
        <v>80.40000000000001</v>
      </c>
      <c r="MP1498" s="2">
        <v>81.12</v>
      </c>
      <c r="NC1498" s="2">
        <v>81.98999999999999</v>
      </c>
      <c r="ND1498" s="2">
        <v>82.62</v>
      </c>
      <c r="NE1498" s="2">
        <v>83.63</v>
      </c>
      <c r="NF1498" s="2">
        <v>84.63</v>
      </c>
      <c r="NS1498" s="2">
        <v>85.64</v>
      </c>
      <c r="NT1498" s="2">
        <v>86.51000000000001</v>
      </c>
      <c r="NU1498" s="2">
        <v>87.75</v>
      </c>
      <c r="NV1498" s="2">
        <v>90.23</v>
      </c>
      <c r="OI1498" s="2">
        <v>91.01000000000001</v>
      </c>
      <c r="OJ1498" s="2">
        <v>92.33</v>
      </c>
      <c r="OK1498" s="2">
        <v>93.59</v>
      </c>
      <c r="OL1498" s="2">
        <v>95.77</v>
      </c>
      <c r="OY1498" s="2">
        <v>96.95</v>
      </c>
      <c r="OZ1498" s="2">
        <v>97.56</v>
      </c>
      <c r="PA1498" s="2">
        <v>99.15000000000001</v>
      </c>
      <c r="PB1498" s="2">
        <v>100.05</v>
      </c>
      <c r="PJ1498" s="2">
        <v>101.35</v>
      </c>
      <c r="PK1498" s="2">
        <v>101.9</v>
      </c>
    </row>
    <row r="1499">
      <c r="A1499" t="inlineStr">
        <is>
          <t>A2326746L</t>
        </is>
      </c>
      <c r="B1499" t="inlineStr">
        <is>
          <t>Index Numbers ;  Alcoholic beverages ;  Australia ;</t>
        </is>
      </c>
      <c r="C1499" t="inlineStr">
        <is>
          <t>Quarter</t>
        </is>
      </c>
      <c r="D1499" t="inlineStr">
        <is>
          <t>Index Numbers</t>
        </is>
      </c>
      <c r="E1499" t="inlineStr">
        <is>
          <t>Original</t>
        </is>
      </c>
      <c r="F1499" t="inlineStr">
        <is>
          <t>6401018.xlsx</t>
        </is>
      </c>
      <c r="G1499" t="inlineStr">
        <is>
          <t>1972Q3</t>
        </is>
      </c>
      <c r="H1499" t="inlineStr">
        <is>
          <t>2026Q2</t>
        </is>
      </c>
      <c r="DA1499" s="2">
        <v>7.04</v>
      </c>
      <c r="DB1499" s="2">
        <v>7.11</v>
      </c>
      <c r="DC1499" s="2">
        <v>7.14</v>
      </c>
      <c r="DD1499" s="2">
        <v>7.61</v>
      </c>
      <c r="DE1499" s="2">
        <v>7.64</v>
      </c>
      <c r="DF1499" s="2">
        <v>7.64</v>
      </c>
      <c r="DG1499" s="2">
        <v>7.68</v>
      </c>
      <c r="DH1499" s="2">
        <v>8.24</v>
      </c>
      <c r="DI1499" s="2">
        <v>8.640000000000001</v>
      </c>
      <c r="DJ1499" s="2">
        <v>8.92</v>
      </c>
      <c r="DK1499" s="2">
        <v>9.199999999999999</v>
      </c>
      <c r="DL1499" s="2">
        <v>9.35</v>
      </c>
      <c r="DM1499" s="2">
        <v>9.6</v>
      </c>
      <c r="DN1499" s="2">
        <v>11.44</v>
      </c>
      <c r="DO1499" s="2">
        <v>11.59</v>
      </c>
      <c r="DP1499" s="2">
        <v>11.94</v>
      </c>
      <c r="DQ1499" s="2">
        <v>11.91</v>
      </c>
      <c r="DR1499" s="2">
        <v>12.08</v>
      </c>
      <c r="DS1499" s="2">
        <v>12.15</v>
      </c>
      <c r="DT1499" s="2">
        <v>12.3</v>
      </c>
      <c r="DU1499" s="2">
        <v>12.44</v>
      </c>
      <c r="DV1499" s="2">
        <v>12.69</v>
      </c>
      <c r="DW1499" s="2">
        <v>12.79</v>
      </c>
      <c r="DX1499" s="2">
        <v>12.9</v>
      </c>
      <c r="DY1499" s="2">
        <v>13.04</v>
      </c>
      <c r="DZ1499" s="2">
        <v>15.39</v>
      </c>
      <c r="EA1499" s="2">
        <v>15.32</v>
      </c>
      <c r="EB1499" s="2">
        <v>15.53</v>
      </c>
      <c r="EC1499" s="2">
        <v>15.67</v>
      </c>
      <c r="ED1499" s="2">
        <v>15.85</v>
      </c>
      <c r="EE1499" s="2">
        <v>16.17</v>
      </c>
      <c r="EF1499" s="2">
        <v>16.45</v>
      </c>
      <c r="EG1499" s="2">
        <v>16.77</v>
      </c>
      <c r="EH1499" s="2">
        <v>17.02</v>
      </c>
      <c r="EI1499" s="2">
        <v>17.45</v>
      </c>
      <c r="EJ1499" s="2">
        <v>17.73</v>
      </c>
      <c r="EK1499" s="2">
        <v>18.27</v>
      </c>
      <c r="EL1499" s="2">
        <v>18.55</v>
      </c>
      <c r="EM1499" s="2">
        <v>19.16</v>
      </c>
      <c r="EN1499" s="2">
        <v>19.58</v>
      </c>
      <c r="EO1499" s="2">
        <v>20.33</v>
      </c>
      <c r="EP1499" s="2">
        <v>21.22</v>
      </c>
      <c r="EQ1499" s="2">
        <v>21.5</v>
      </c>
      <c r="ER1499" s="2">
        <v>21.82</v>
      </c>
      <c r="ES1499" s="2">
        <v>22</v>
      </c>
      <c r="ET1499" s="2">
        <v>22.92</v>
      </c>
      <c r="EU1499" s="2">
        <v>23.42</v>
      </c>
      <c r="EV1499" s="2">
        <v>24.06</v>
      </c>
      <c r="EW1499" s="2">
        <v>24.31</v>
      </c>
      <c r="EX1499" s="2">
        <v>24.81</v>
      </c>
      <c r="EY1499" s="2">
        <v>25.09</v>
      </c>
      <c r="EZ1499" s="2">
        <v>25.41</v>
      </c>
      <c r="FA1499" s="2">
        <v>26.05</v>
      </c>
      <c r="FB1499" s="2">
        <v>26.58</v>
      </c>
      <c r="FC1499" s="2">
        <v>27.19</v>
      </c>
      <c r="FD1499" s="2">
        <v>27.68</v>
      </c>
      <c r="FE1499" s="2">
        <v>28.32</v>
      </c>
      <c r="FF1499" s="2">
        <v>29.18</v>
      </c>
      <c r="FG1499" s="2">
        <v>29.96</v>
      </c>
      <c r="FH1499" s="2">
        <v>30.67</v>
      </c>
      <c r="FI1499" s="2">
        <v>31.2</v>
      </c>
      <c r="FJ1499" s="2">
        <v>31.66</v>
      </c>
      <c r="FK1499" s="2">
        <v>32.3</v>
      </c>
      <c r="FL1499" s="2">
        <v>32.91</v>
      </c>
      <c r="FM1499" s="2">
        <v>33.19</v>
      </c>
      <c r="FN1499" s="2">
        <v>32.91</v>
      </c>
      <c r="FO1499" s="2">
        <v>33.34</v>
      </c>
      <c r="FP1499" s="2">
        <v>34.08</v>
      </c>
      <c r="FQ1499" s="2">
        <v>34.72</v>
      </c>
      <c r="FR1499" s="2">
        <v>35.22</v>
      </c>
      <c r="FS1499" s="2">
        <v>35.82</v>
      </c>
      <c r="FT1499" s="2">
        <v>36.39</v>
      </c>
      <c r="FU1499" s="2">
        <v>37.1</v>
      </c>
      <c r="FV1499" s="2">
        <v>37.85</v>
      </c>
      <c r="FW1499" s="2">
        <v>38.38</v>
      </c>
      <c r="FX1499" s="2">
        <v>39.06</v>
      </c>
      <c r="FY1499" s="2">
        <v>39.2</v>
      </c>
      <c r="FZ1499" s="2">
        <v>39.52</v>
      </c>
      <c r="GA1499" s="2">
        <v>39.63</v>
      </c>
      <c r="GB1499" s="2">
        <v>40.05</v>
      </c>
      <c r="GC1499" s="2">
        <v>40.19</v>
      </c>
      <c r="GD1499" s="2">
        <v>40.37</v>
      </c>
      <c r="GE1499" s="2">
        <v>40.69</v>
      </c>
      <c r="GF1499" s="2">
        <v>41.01</v>
      </c>
      <c r="GG1499" s="2">
        <v>41.47</v>
      </c>
      <c r="GH1499" s="2">
        <v>41.86</v>
      </c>
      <c r="GI1499" s="2">
        <v>41.97</v>
      </c>
      <c r="GJ1499" s="2">
        <v>42.43</v>
      </c>
      <c r="GK1499" s="2">
        <v>42.93</v>
      </c>
      <c r="GL1499" s="2">
        <v>43.14</v>
      </c>
      <c r="GM1499" s="2">
        <v>43.5</v>
      </c>
      <c r="GN1499" s="2">
        <v>44.07</v>
      </c>
      <c r="GO1499" s="2">
        <v>44.67</v>
      </c>
      <c r="GP1499" s="2">
        <v>45.06</v>
      </c>
      <c r="GQ1499" s="2">
        <v>45.74</v>
      </c>
      <c r="GR1499" s="2">
        <v>46.52</v>
      </c>
      <c r="GS1499" s="2">
        <v>46.59</v>
      </c>
      <c r="GT1499" s="2">
        <v>46.56</v>
      </c>
      <c r="GU1499" s="2">
        <v>46.88</v>
      </c>
      <c r="GV1499" s="2">
        <v>47.05</v>
      </c>
      <c r="GW1499" s="2">
        <v>46.98</v>
      </c>
      <c r="GX1499" s="2">
        <v>47.16</v>
      </c>
      <c r="GY1499" s="2">
        <v>47.3</v>
      </c>
      <c r="GZ1499" s="2">
        <v>47.55</v>
      </c>
      <c r="HA1499" s="2">
        <v>47.67</v>
      </c>
      <c r="HB1499" s="2">
        <v>47.8</v>
      </c>
      <c r="HC1499" s="2">
        <v>48.05</v>
      </c>
      <c r="HD1499" s="2">
        <v>48.29</v>
      </c>
      <c r="HE1499" s="2">
        <v>48.18</v>
      </c>
      <c r="HF1499" s="2">
        <v>48.51</v>
      </c>
      <c r="HG1499" s="2">
        <v>48.7</v>
      </c>
      <c r="HH1499" s="2">
        <v>49.27</v>
      </c>
      <c r="HI1499" s="2">
        <v>51.44</v>
      </c>
      <c r="HJ1499" s="2">
        <v>51.71</v>
      </c>
      <c r="HK1499" s="2">
        <v>52.7</v>
      </c>
      <c r="HL1499" s="2">
        <v>53.1</v>
      </c>
      <c r="HM1499" s="2">
        <v>53.51</v>
      </c>
      <c r="HN1499" s="2">
        <v>53.57</v>
      </c>
      <c r="HO1499" s="2">
        <v>53.84</v>
      </c>
      <c r="HP1499" s="2">
        <v>53.97</v>
      </c>
      <c r="HQ1499" s="2">
        <v>54.57</v>
      </c>
      <c r="HR1499" s="2">
        <v>54.5</v>
      </c>
      <c r="HS1499" s="2">
        <v>55.12</v>
      </c>
      <c r="HT1499" s="2">
        <v>55.31</v>
      </c>
      <c r="HU1499" s="2">
        <v>56.49</v>
      </c>
      <c r="HV1499" s="2">
        <v>56.86</v>
      </c>
      <c r="HW1499" s="2">
        <v>57.36</v>
      </c>
      <c r="HX1499" s="2">
        <v>57.86</v>
      </c>
      <c r="HY1499" s="2">
        <v>58.34</v>
      </c>
      <c r="HZ1499" s="2">
        <v>58.93</v>
      </c>
      <c r="IA1499" s="2">
        <v>59.39</v>
      </c>
      <c r="IB1499" s="2">
        <v>59.55</v>
      </c>
      <c r="IC1499" s="2">
        <v>60.15</v>
      </c>
      <c r="ID1499" s="2">
        <v>60.4</v>
      </c>
      <c r="IE1499" s="2">
        <v>61.1</v>
      </c>
      <c r="IF1499" s="2">
        <v>61.55</v>
      </c>
      <c r="IG1499" s="2">
        <v>61.62</v>
      </c>
      <c r="IH1499" s="2">
        <v>62.13</v>
      </c>
      <c r="II1499" s="2">
        <v>62.49</v>
      </c>
      <c r="IJ1499" s="2">
        <v>63.2</v>
      </c>
      <c r="IK1499" s="2">
        <v>63.47</v>
      </c>
      <c r="IL1499" s="2">
        <v>64.34</v>
      </c>
      <c r="IM1499" s="2">
        <v>65.15000000000001</v>
      </c>
      <c r="IN1499" s="2">
        <v>66.48</v>
      </c>
      <c r="IO1499" s="2">
        <v>67.39</v>
      </c>
      <c r="IP1499" s="2">
        <v>68.18000000000001</v>
      </c>
      <c r="IQ1499" s="2">
        <v>68.45</v>
      </c>
      <c r="IR1499" s="2">
        <v>68.90000000000001</v>
      </c>
      <c r="IS1499" s="2">
        <v>69.77</v>
      </c>
      <c r="IT1499" s="2">
        <v>70.55</v>
      </c>
      <c r="IU1499" s="2">
        <v>71.09999999999999</v>
      </c>
      <c r="IV1499" s="2">
        <v>71.56</v>
      </c>
      <c r="IW1499" s="2">
        <v>71.98</v>
      </c>
      <c r="IX1499" s="2">
        <v>72.31999999999999</v>
      </c>
      <c r="IY1499" s="2">
        <v>72.58</v>
      </c>
      <c r="IZ1499" s="2">
        <v>72.64</v>
      </c>
      <c r="JA1499" s="2">
        <v>72.59</v>
      </c>
      <c r="JB1499" s="2">
        <v>73.2</v>
      </c>
      <c r="JC1499" s="2">
        <v>73.98999999999999</v>
      </c>
      <c r="JD1499" s="2">
        <v>74.48999999999999</v>
      </c>
      <c r="JE1499" s="2">
        <v>75.06999999999999</v>
      </c>
      <c r="JF1499" s="2">
        <v>74.95</v>
      </c>
      <c r="JG1499" s="2">
        <v>75.31999999999999</v>
      </c>
      <c r="JH1499" s="2">
        <v>75.66</v>
      </c>
      <c r="JI1499" s="2">
        <v>76.12</v>
      </c>
      <c r="JJ1499" s="2">
        <v>77.08</v>
      </c>
      <c r="JK1499" s="2">
        <v>77.67</v>
      </c>
      <c r="JL1499" s="2">
        <v>78.2</v>
      </c>
      <c r="JM1499" s="2">
        <v>78.45999999999999</v>
      </c>
      <c r="JN1499" s="2">
        <v>78.27</v>
      </c>
      <c r="JO1499" s="2">
        <v>78.8</v>
      </c>
      <c r="JP1499" s="2">
        <v>79.12</v>
      </c>
      <c r="JQ1499" s="2">
        <v>79.61</v>
      </c>
      <c r="JR1499" s="2">
        <v>79.31</v>
      </c>
      <c r="JS1499" s="2">
        <v>79.98999999999999</v>
      </c>
      <c r="JT1499" s="2">
        <v>80.09</v>
      </c>
      <c r="JU1499" s="2">
        <v>80.34999999999999</v>
      </c>
      <c r="JV1499" s="2">
        <v>79.83</v>
      </c>
      <c r="KA1499" s="2">
        <v>80.79000000000001</v>
      </c>
      <c r="KB1499" s="2">
        <v>81.19</v>
      </c>
      <c r="KC1499" s="2">
        <v>81.68000000000001</v>
      </c>
      <c r="KD1499" s="2">
        <v>81.75</v>
      </c>
      <c r="KQ1499" s="2">
        <v>82.54000000000001</v>
      </c>
      <c r="KR1499" s="2">
        <v>83.09</v>
      </c>
      <c r="KS1499" s="2">
        <v>83.88</v>
      </c>
      <c r="KT1499" s="2">
        <v>83.23</v>
      </c>
      <c r="LG1499" s="2">
        <v>84.05</v>
      </c>
      <c r="LH1499" s="2">
        <v>84.12</v>
      </c>
      <c r="LI1499" s="2">
        <v>85.01000000000001</v>
      </c>
      <c r="LJ1499" s="2">
        <v>84.38</v>
      </c>
      <c r="LW1499" s="2">
        <v>85.48</v>
      </c>
      <c r="LX1499" s="2">
        <v>86.06</v>
      </c>
      <c r="LY1499" s="2">
        <v>86.44</v>
      </c>
      <c r="LZ1499" s="2">
        <v>86.14</v>
      </c>
      <c r="MM1499" s="2">
        <v>87.05</v>
      </c>
      <c r="MN1499" s="2">
        <v>87.31999999999999</v>
      </c>
      <c r="MO1499" s="2">
        <v>87.06</v>
      </c>
      <c r="MP1499" s="2">
        <v>87.13</v>
      </c>
      <c r="NC1499" s="2">
        <v>87.98</v>
      </c>
      <c r="ND1499" s="2">
        <v>88.55</v>
      </c>
      <c r="NE1499" s="2">
        <v>89.79000000000001</v>
      </c>
      <c r="NF1499" s="2">
        <v>90.7</v>
      </c>
      <c r="NS1499" s="2">
        <v>92.11</v>
      </c>
      <c r="NT1499" s="2">
        <v>93.01000000000001</v>
      </c>
      <c r="NU1499" s="2">
        <v>94.2</v>
      </c>
      <c r="NV1499" s="2">
        <v>94.76000000000001</v>
      </c>
      <c r="OI1499" s="2">
        <v>95.45</v>
      </c>
      <c r="OJ1499" s="2">
        <v>96.14</v>
      </c>
      <c r="OK1499" s="2">
        <v>97.31999999999999</v>
      </c>
      <c r="OL1499" s="2">
        <v>97.98</v>
      </c>
      <c r="OY1499" s="2">
        <v>99.04000000000001</v>
      </c>
      <c r="OZ1499" s="2">
        <v>99.11</v>
      </c>
      <c r="PA1499" s="2">
        <v>100.22</v>
      </c>
      <c r="PB1499" s="2">
        <v>99.38</v>
      </c>
      <c r="PJ1499" s="2">
        <v>100.78</v>
      </c>
      <c r="PK1499" s="2">
        <v>100.9</v>
      </c>
    </row>
    <row r="1500">
      <c r="A1500" t="inlineStr">
        <is>
          <t>A2328951K</t>
        </is>
      </c>
      <c r="B1500" t="inlineStr">
        <is>
          <t>Index Numbers ;  Spirits ;  Australia ;</t>
        </is>
      </c>
      <c r="C1500" t="inlineStr">
        <is>
          <t>Quarter</t>
        </is>
      </c>
      <c r="D1500" t="inlineStr">
        <is>
          <t>Index Numbers</t>
        </is>
      </c>
      <c r="E1500" t="inlineStr">
        <is>
          <t>Original</t>
        </is>
      </c>
      <c r="F1500" t="inlineStr">
        <is>
          <t>6401018.xlsx</t>
        </is>
      </c>
      <c r="G1500" t="inlineStr">
        <is>
          <t>1980Q3</t>
        </is>
      </c>
      <c r="H1500" t="inlineStr">
        <is>
          <t>2026Q2</t>
        </is>
      </c>
      <c r="EG1500" s="2">
        <v>13.98</v>
      </c>
      <c r="EH1500" s="2">
        <v>14.1</v>
      </c>
      <c r="EI1500" s="2">
        <v>14.22</v>
      </c>
      <c r="EJ1500" s="2">
        <v>14.3</v>
      </c>
      <c r="EK1500" s="2">
        <v>14.69</v>
      </c>
      <c r="EL1500" s="2">
        <v>15.02</v>
      </c>
      <c r="EM1500" s="2">
        <v>15.59</v>
      </c>
      <c r="EN1500" s="2">
        <v>15.77</v>
      </c>
      <c r="EO1500" s="2">
        <v>16.09</v>
      </c>
      <c r="EP1500" s="2">
        <v>16.51</v>
      </c>
      <c r="EQ1500" s="2">
        <v>16.75</v>
      </c>
      <c r="ER1500" s="2">
        <v>16.9</v>
      </c>
      <c r="ES1500" s="2">
        <v>17.08</v>
      </c>
      <c r="ET1500" s="2">
        <v>17.7</v>
      </c>
      <c r="EU1500" s="2">
        <v>18</v>
      </c>
      <c r="EV1500" s="2">
        <v>18.42</v>
      </c>
      <c r="EW1500" s="2">
        <v>18.72</v>
      </c>
      <c r="EX1500" s="2">
        <v>18.78</v>
      </c>
      <c r="EY1500" s="2">
        <v>19.01</v>
      </c>
      <c r="EZ1500" s="2">
        <v>19.49</v>
      </c>
      <c r="FA1500" s="2">
        <v>19.94</v>
      </c>
      <c r="FB1500" s="2">
        <v>20.59</v>
      </c>
      <c r="FC1500" s="2">
        <v>21.1</v>
      </c>
      <c r="FD1500" s="2">
        <v>21.61</v>
      </c>
      <c r="FE1500" s="2">
        <v>22.08</v>
      </c>
      <c r="FF1500" s="2">
        <v>22.71</v>
      </c>
      <c r="FG1500" s="2">
        <v>23.22</v>
      </c>
      <c r="FH1500" s="2">
        <v>23.93</v>
      </c>
      <c r="FI1500" s="2">
        <v>24.29</v>
      </c>
      <c r="FJ1500" s="2">
        <v>24.77</v>
      </c>
      <c r="FK1500" s="2">
        <v>25.27</v>
      </c>
      <c r="FL1500" s="2">
        <v>25.9</v>
      </c>
      <c r="FM1500" s="2">
        <v>26.34</v>
      </c>
      <c r="FN1500" s="2">
        <v>26.88</v>
      </c>
      <c r="FO1500" s="2">
        <v>27.39</v>
      </c>
      <c r="FP1500" s="2">
        <v>28.34</v>
      </c>
      <c r="FQ1500" s="2">
        <v>28.88</v>
      </c>
      <c r="FR1500" s="2">
        <v>29.41</v>
      </c>
      <c r="FS1500" s="2">
        <v>29.98</v>
      </c>
      <c r="FT1500" s="2">
        <v>30.9</v>
      </c>
      <c r="FU1500" s="2">
        <v>31.65</v>
      </c>
      <c r="FV1500" s="2">
        <v>32.72</v>
      </c>
      <c r="FW1500" s="2">
        <v>33.2</v>
      </c>
      <c r="FX1500" s="2">
        <v>34.24</v>
      </c>
      <c r="FY1500" s="2">
        <v>34.6</v>
      </c>
      <c r="FZ1500" s="2">
        <v>35.05</v>
      </c>
      <c r="GA1500" s="2">
        <v>34.96</v>
      </c>
      <c r="GB1500" s="2">
        <v>35.2</v>
      </c>
      <c r="GC1500" s="2">
        <v>34.96</v>
      </c>
      <c r="GD1500" s="2">
        <v>35.58</v>
      </c>
      <c r="GE1500" s="2">
        <v>35.67</v>
      </c>
      <c r="GF1500" s="2">
        <v>35.94</v>
      </c>
      <c r="GG1500" s="2">
        <v>36.24</v>
      </c>
      <c r="GH1500" s="2">
        <v>36.48</v>
      </c>
      <c r="GI1500" s="2">
        <v>36.42</v>
      </c>
      <c r="GJ1500" s="2">
        <v>36.75</v>
      </c>
      <c r="GK1500" s="2">
        <v>37.31</v>
      </c>
      <c r="GL1500" s="2">
        <v>37.67</v>
      </c>
      <c r="GM1500" s="2">
        <v>37.88</v>
      </c>
      <c r="GN1500" s="2">
        <v>37.91</v>
      </c>
      <c r="GO1500" s="2">
        <v>38.24</v>
      </c>
      <c r="GP1500" s="2">
        <v>38.41</v>
      </c>
      <c r="GQ1500" s="2">
        <v>38.8</v>
      </c>
      <c r="GR1500" s="2">
        <v>39.46</v>
      </c>
      <c r="GS1500" s="2">
        <v>39.85</v>
      </c>
      <c r="GT1500" s="2">
        <v>39.85</v>
      </c>
      <c r="GU1500" s="2">
        <v>40.26</v>
      </c>
      <c r="GV1500" s="2">
        <v>40.56</v>
      </c>
      <c r="GW1500" s="2">
        <v>39.82</v>
      </c>
      <c r="GX1500" s="2">
        <v>39.93</v>
      </c>
      <c r="GY1500" s="2">
        <v>40.08</v>
      </c>
      <c r="GZ1500" s="2">
        <v>40.14</v>
      </c>
      <c r="HA1500" s="2">
        <v>40.44</v>
      </c>
      <c r="HB1500" s="2">
        <v>40.59</v>
      </c>
      <c r="HC1500" s="2">
        <v>40.84</v>
      </c>
      <c r="HD1500" s="2">
        <v>40.98</v>
      </c>
      <c r="HE1500" s="2">
        <v>41.02</v>
      </c>
      <c r="HF1500" s="2">
        <v>41.13</v>
      </c>
      <c r="HG1500" s="2">
        <v>41.37</v>
      </c>
      <c r="HH1500" s="2">
        <v>41.62</v>
      </c>
      <c r="HI1500" s="2">
        <v>43.34</v>
      </c>
      <c r="HJ1500" s="2">
        <v>43.37</v>
      </c>
      <c r="HK1500" s="2">
        <v>44.24</v>
      </c>
      <c r="HL1500" s="2">
        <v>44.61</v>
      </c>
      <c r="HM1500" s="2">
        <v>44.98</v>
      </c>
      <c r="HN1500" s="2">
        <v>44.97</v>
      </c>
      <c r="HO1500" s="2">
        <v>45.41</v>
      </c>
      <c r="HP1500" s="2">
        <v>45.55</v>
      </c>
      <c r="HQ1500" s="2">
        <v>45.78</v>
      </c>
      <c r="HR1500" s="2">
        <v>45.84</v>
      </c>
      <c r="HS1500" s="2">
        <v>46.36</v>
      </c>
      <c r="HT1500" s="2">
        <v>46.85</v>
      </c>
      <c r="HU1500" s="2">
        <v>47.31</v>
      </c>
      <c r="HV1500" s="2">
        <v>47.2</v>
      </c>
      <c r="HW1500" s="2">
        <v>47.75</v>
      </c>
      <c r="HX1500" s="2">
        <v>48.1</v>
      </c>
      <c r="HY1500" s="2">
        <v>48.51</v>
      </c>
      <c r="HZ1500" s="2">
        <v>48.89</v>
      </c>
      <c r="IA1500" s="2">
        <v>48.91</v>
      </c>
      <c r="IB1500" s="2">
        <v>49.16</v>
      </c>
      <c r="IC1500" s="2">
        <v>49.38</v>
      </c>
      <c r="ID1500" s="2">
        <v>49.89</v>
      </c>
      <c r="IE1500" s="2">
        <v>50.63</v>
      </c>
      <c r="IF1500" s="2">
        <v>51.04</v>
      </c>
      <c r="IG1500" s="2">
        <v>51.5</v>
      </c>
      <c r="IH1500" s="2">
        <v>52.28</v>
      </c>
      <c r="II1500" s="2">
        <v>52.83</v>
      </c>
      <c r="IJ1500" s="2">
        <v>53.34</v>
      </c>
      <c r="IK1500" s="2">
        <v>53.91</v>
      </c>
      <c r="IL1500" s="2">
        <v>54.31</v>
      </c>
      <c r="IM1500" s="2">
        <v>54.91</v>
      </c>
      <c r="IN1500" s="2">
        <v>58.27</v>
      </c>
      <c r="IO1500" s="2">
        <v>61.03</v>
      </c>
      <c r="IP1500" s="2">
        <v>61.87</v>
      </c>
      <c r="IQ1500" s="2">
        <v>63.04</v>
      </c>
      <c r="IR1500" s="2">
        <v>63.51</v>
      </c>
      <c r="IS1500" s="2">
        <v>64.36</v>
      </c>
      <c r="IT1500" s="2">
        <v>64.89</v>
      </c>
      <c r="IU1500" s="2">
        <v>65.31999999999999</v>
      </c>
      <c r="IV1500" s="2">
        <v>65.16</v>
      </c>
      <c r="IW1500" s="2">
        <v>65.64</v>
      </c>
      <c r="IX1500" s="2">
        <v>66.28</v>
      </c>
      <c r="IY1500" s="2">
        <v>67.02</v>
      </c>
      <c r="IZ1500" s="2">
        <v>67.25</v>
      </c>
      <c r="JA1500" s="2">
        <v>67.02</v>
      </c>
      <c r="JB1500" s="2">
        <v>67.8</v>
      </c>
      <c r="JC1500" s="2">
        <v>68.48</v>
      </c>
      <c r="JD1500" s="2">
        <v>68.89</v>
      </c>
      <c r="JE1500" s="2">
        <v>69.69</v>
      </c>
      <c r="JF1500" s="2">
        <v>69.61</v>
      </c>
      <c r="JG1500" s="2">
        <v>70.2</v>
      </c>
      <c r="JH1500" s="2">
        <v>70.59</v>
      </c>
      <c r="JI1500" s="2">
        <v>71.54000000000001</v>
      </c>
      <c r="JJ1500" s="2">
        <v>72.56999999999999</v>
      </c>
      <c r="JK1500" s="2">
        <v>73.2</v>
      </c>
      <c r="JL1500" s="2">
        <v>73.06</v>
      </c>
      <c r="JM1500" s="2">
        <v>73.44</v>
      </c>
      <c r="JN1500" s="2">
        <v>72.86</v>
      </c>
      <c r="JO1500" s="2">
        <v>73.64</v>
      </c>
      <c r="JP1500" s="2">
        <v>73.78</v>
      </c>
      <c r="JQ1500" s="2">
        <v>74.01000000000001</v>
      </c>
      <c r="JR1500" s="2">
        <v>74.2</v>
      </c>
      <c r="JS1500" s="2">
        <v>74.88</v>
      </c>
      <c r="JT1500" s="2">
        <v>75.34</v>
      </c>
      <c r="JU1500" s="2">
        <v>75.34999999999999</v>
      </c>
      <c r="JV1500" s="2">
        <v>74.48</v>
      </c>
      <c r="KA1500" s="2">
        <v>75.40000000000001</v>
      </c>
      <c r="KB1500" s="2">
        <v>76.04000000000001</v>
      </c>
      <c r="KC1500" s="2">
        <v>76.19</v>
      </c>
      <c r="KD1500" s="2">
        <v>76.13</v>
      </c>
      <c r="KQ1500" s="2">
        <v>77.25</v>
      </c>
      <c r="KR1500" s="2">
        <v>77.91</v>
      </c>
      <c r="KS1500" s="2">
        <v>78.13</v>
      </c>
      <c r="KT1500" s="2">
        <v>78.04000000000001</v>
      </c>
      <c r="LG1500" s="2">
        <v>78.97</v>
      </c>
      <c r="LH1500" s="2">
        <v>79.15000000000001</v>
      </c>
      <c r="LI1500" s="2">
        <v>79.7</v>
      </c>
      <c r="LJ1500" s="2">
        <v>79.39</v>
      </c>
      <c r="LW1500" s="2">
        <v>81.12</v>
      </c>
      <c r="LX1500" s="2">
        <v>81.09999999999999</v>
      </c>
      <c r="LY1500" s="2">
        <v>81.45</v>
      </c>
      <c r="LZ1500" s="2">
        <v>81.16</v>
      </c>
      <c r="MM1500" s="2">
        <v>82.27</v>
      </c>
      <c r="MN1500" s="2">
        <v>82.62</v>
      </c>
      <c r="MO1500" s="2">
        <v>82.51000000000001</v>
      </c>
      <c r="MP1500" s="2">
        <v>83.08</v>
      </c>
      <c r="NC1500" s="2">
        <v>83.93000000000001</v>
      </c>
      <c r="ND1500" s="2">
        <v>84.62</v>
      </c>
      <c r="NE1500" s="2">
        <v>87.52</v>
      </c>
      <c r="NF1500" s="2">
        <v>89.31999999999999</v>
      </c>
      <c r="NS1500" s="2">
        <v>92.16</v>
      </c>
      <c r="NT1500" s="2">
        <v>93.56</v>
      </c>
      <c r="NU1500" s="2">
        <v>94.83</v>
      </c>
      <c r="NV1500" s="2">
        <v>94.41</v>
      </c>
      <c r="OI1500" s="2">
        <v>95.34999999999999</v>
      </c>
      <c r="OJ1500" s="2">
        <v>95.88</v>
      </c>
      <c r="OK1500" s="2">
        <v>96.53</v>
      </c>
      <c r="OL1500" s="2">
        <v>97.53</v>
      </c>
      <c r="OY1500" s="2">
        <v>99.17</v>
      </c>
      <c r="OZ1500" s="2">
        <v>99.23</v>
      </c>
      <c r="PA1500" s="2">
        <v>100</v>
      </c>
      <c r="PB1500" s="2">
        <v>99.52</v>
      </c>
      <c r="PJ1500" s="2">
        <v>101.27</v>
      </c>
      <c r="PK1500" s="2">
        <v>101.62</v>
      </c>
    </row>
    <row r="1501">
      <c r="A1501" t="inlineStr">
        <is>
          <t>A2328906X</t>
        </is>
      </c>
      <c r="B1501" t="inlineStr">
        <is>
          <t>Index Numbers ;  Wine ;  Australia ;</t>
        </is>
      </c>
      <c r="C1501" t="inlineStr">
        <is>
          <t>Quarter</t>
        </is>
      </c>
      <c r="D1501" t="inlineStr">
        <is>
          <t>Index Numbers</t>
        </is>
      </c>
      <c r="E1501" t="inlineStr">
        <is>
          <t>Original</t>
        </is>
      </c>
      <c r="F1501" t="inlineStr">
        <is>
          <t>6401018.xlsx</t>
        </is>
      </c>
      <c r="G1501" t="inlineStr">
        <is>
          <t>1980Q3</t>
        </is>
      </c>
      <c r="H1501" t="inlineStr">
        <is>
          <t>2026Q2</t>
        </is>
      </c>
      <c r="EG1501" s="2">
        <v>32.1</v>
      </c>
      <c r="EH1501" s="2">
        <v>32.91</v>
      </c>
      <c r="EI1501" s="2">
        <v>33.08</v>
      </c>
      <c r="EJ1501" s="2">
        <v>33.78</v>
      </c>
      <c r="EK1501" s="2">
        <v>34.07</v>
      </c>
      <c r="EL1501" s="2">
        <v>34.19</v>
      </c>
      <c r="EM1501" s="2">
        <v>35.46</v>
      </c>
      <c r="EN1501" s="2">
        <v>36.63</v>
      </c>
      <c r="EO1501" s="2">
        <v>37.44</v>
      </c>
      <c r="EP1501" s="2">
        <v>37.96</v>
      </c>
      <c r="EQ1501" s="2">
        <v>38.25</v>
      </c>
      <c r="ER1501" s="2">
        <v>38.95</v>
      </c>
      <c r="ES1501" s="2">
        <v>39.24</v>
      </c>
      <c r="ET1501" s="2">
        <v>41.21</v>
      </c>
      <c r="EU1501" s="2">
        <v>41.56</v>
      </c>
      <c r="EV1501" s="2">
        <v>42.08</v>
      </c>
      <c r="EW1501" s="2">
        <v>42.55</v>
      </c>
      <c r="EX1501" s="2">
        <v>44.29</v>
      </c>
      <c r="EY1501" s="2">
        <v>44.35</v>
      </c>
      <c r="EZ1501" s="2">
        <v>44.29</v>
      </c>
      <c r="FA1501" s="2">
        <v>44.87</v>
      </c>
      <c r="FB1501" s="2">
        <v>44.75</v>
      </c>
      <c r="FC1501" s="2">
        <v>45.22</v>
      </c>
      <c r="FD1501" s="2">
        <v>45.33</v>
      </c>
      <c r="FE1501" s="2">
        <v>46.2</v>
      </c>
      <c r="FF1501" s="2">
        <v>48.76</v>
      </c>
      <c r="FG1501" s="2">
        <v>49.57</v>
      </c>
      <c r="FH1501" s="2">
        <v>50.15</v>
      </c>
      <c r="FI1501" s="2">
        <v>50.85</v>
      </c>
      <c r="FJ1501" s="2">
        <v>50.79</v>
      </c>
      <c r="FK1501" s="2">
        <v>51.66</v>
      </c>
      <c r="FL1501" s="2">
        <v>53.23</v>
      </c>
      <c r="FM1501" s="2">
        <v>54.68</v>
      </c>
      <c r="FN1501" s="2">
        <v>55.26</v>
      </c>
      <c r="FO1501" s="2">
        <v>55.61</v>
      </c>
      <c r="FP1501" s="2">
        <v>57.29</v>
      </c>
      <c r="FQ1501" s="2">
        <v>58.39</v>
      </c>
      <c r="FR1501" s="2">
        <v>58.16</v>
      </c>
      <c r="FS1501" s="2">
        <v>57.99</v>
      </c>
      <c r="FT1501" s="2">
        <v>57.58</v>
      </c>
      <c r="FU1501" s="2">
        <v>57.81</v>
      </c>
      <c r="FV1501" s="2">
        <v>57.75</v>
      </c>
      <c r="FW1501" s="2">
        <v>58.86</v>
      </c>
      <c r="FX1501" s="2">
        <v>59.78</v>
      </c>
      <c r="FY1501" s="2">
        <v>59.9</v>
      </c>
      <c r="FZ1501" s="2">
        <v>60.13</v>
      </c>
      <c r="GA1501" s="2">
        <v>60.02</v>
      </c>
      <c r="GB1501" s="2">
        <v>60.77</v>
      </c>
      <c r="GC1501" s="2">
        <v>61.12</v>
      </c>
      <c r="GD1501" s="2">
        <v>60.83</v>
      </c>
      <c r="GE1501" s="2">
        <v>61.47</v>
      </c>
      <c r="GF1501" s="2">
        <v>61.64</v>
      </c>
      <c r="GG1501" s="2">
        <v>63.04</v>
      </c>
      <c r="GH1501" s="2">
        <v>63.79</v>
      </c>
      <c r="GI1501" s="2">
        <v>63.96</v>
      </c>
      <c r="GJ1501" s="2">
        <v>65.41</v>
      </c>
      <c r="GK1501" s="2">
        <v>66.69</v>
      </c>
      <c r="GL1501" s="2">
        <v>67.04000000000001</v>
      </c>
      <c r="GM1501" s="2">
        <v>67.27</v>
      </c>
      <c r="GN1501" s="2">
        <v>68.31999999999999</v>
      </c>
      <c r="GO1501" s="2">
        <v>68.90000000000001</v>
      </c>
      <c r="GP1501" s="2">
        <v>70.12</v>
      </c>
      <c r="GQ1501" s="2">
        <v>71.45</v>
      </c>
      <c r="GR1501" s="2">
        <v>72.84</v>
      </c>
      <c r="GS1501" s="2">
        <v>72.31999999999999</v>
      </c>
      <c r="GT1501" s="2">
        <v>71.34</v>
      </c>
      <c r="GU1501" s="2">
        <v>71.97</v>
      </c>
      <c r="GV1501" s="2">
        <v>72.95999999999999</v>
      </c>
      <c r="GW1501" s="2">
        <v>73.89</v>
      </c>
      <c r="GX1501" s="2">
        <v>74.47</v>
      </c>
      <c r="GY1501" s="2">
        <v>74.76000000000001</v>
      </c>
      <c r="GZ1501" s="2">
        <v>75.40000000000001</v>
      </c>
      <c r="HA1501" s="2">
        <v>75.70999999999999</v>
      </c>
      <c r="HB1501" s="2">
        <v>75.34999999999999</v>
      </c>
      <c r="HC1501" s="2">
        <v>75.44</v>
      </c>
      <c r="HD1501" s="2">
        <v>75.95</v>
      </c>
      <c r="HE1501" s="2">
        <v>75.76000000000001</v>
      </c>
      <c r="HF1501" s="2">
        <v>75.88</v>
      </c>
      <c r="HG1501" s="2">
        <v>75.78</v>
      </c>
      <c r="HH1501" s="2">
        <v>76.08</v>
      </c>
      <c r="HI1501" s="2">
        <v>79.12</v>
      </c>
      <c r="HJ1501" s="2">
        <v>78.95</v>
      </c>
      <c r="HK1501" s="2">
        <v>80.23999999999999</v>
      </c>
      <c r="HL1501" s="2">
        <v>81.63</v>
      </c>
      <c r="HM1501" s="2">
        <v>82.28</v>
      </c>
      <c r="HN1501" s="2">
        <v>82.05</v>
      </c>
      <c r="HO1501" s="2">
        <v>82.3</v>
      </c>
      <c r="HP1501" s="2">
        <v>82.44</v>
      </c>
      <c r="HQ1501" s="2">
        <v>82.81</v>
      </c>
      <c r="HR1501" s="2">
        <v>82.5</v>
      </c>
      <c r="HS1501" s="2">
        <v>83.28</v>
      </c>
      <c r="HT1501" s="2">
        <v>83.15000000000001</v>
      </c>
      <c r="HU1501" s="2">
        <v>83.52</v>
      </c>
      <c r="HV1501" s="2">
        <v>83.66</v>
      </c>
      <c r="HW1501" s="2">
        <v>84.45999999999999</v>
      </c>
      <c r="HX1501" s="2">
        <v>85.09</v>
      </c>
      <c r="HY1501" s="2">
        <v>85.55</v>
      </c>
      <c r="HZ1501" s="2">
        <v>85.79000000000001</v>
      </c>
      <c r="IA1501" s="2">
        <v>86.23</v>
      </c>
      <c r="IB1501" s="2">
        <v>86.02</v>
      </c>
      <c r="IC1501" s="2">
        <v>86.26000000000001</v>
      </c>
      <c r="ID1501" s="2">
        <v>86.28</v>
      </c>
      <c r="IE1501" s="2">
        <v>86.62</v>
      </c>
      <c r="IF1501" s="2">
        <v>87.22</v>
      </c>
      <c r="IG1501" s="2">
        <v>86.05</v>
      </c>
      <c r="IH1501" s="2">
        <v>85.98</v>
      </c>
      <c r="II1501" s="2">
        <v>86.06</v>
      </c>
      <c r="IJ1501" s="2">
        <v>86.37</v>
      </c>
      <c r="IK1501" s="2">
        <v>86.05</v>
      </c>
      <c r="IL1501" s="2">
        <v>86.73999999999999</v>
      </c>
      <c r="IM1501" s="2">
        <v>87.52</v>
      </c>
      <c r="IN1501" s="2">
        <v>89</v>
      </c>
      <c r="IO1501" s="2">
        <v>88.98999999999999</v>
      </c>
      <c r="IP1501" s="2">
        <v>89.15000000000001</v>
      </c>
      <c r="IQ1501" s="2">
        <v>88.5</v>
      </c>
      <c r="IR1501" s="2">
        <v>88.43000000000001</v>
      </c>
      <c r="IS1501" s="2">
        <v>89.23999999999999</v>
      </c>
      <c r="IT1501" s="2">
        <v>89.19</v>
      </c>
      <c r="IU1501" s="2">
        <v>89.45999999999999</v>
      </c>
      <c r="IV1501" s="2">
        <v>89.73999999999999</v>
      </c>
      <c r="IW1501" s="2">
        <v>90.33</v>
      </c>
      <c r="IX1501" s="2">
        <v>90.29000000000001</v>
      </c>
      <c r="IY1501" s="2">
        <v>90.94</v>
      </c>
      <c r="IZ1501" s="2">
        <v>90.44</v>
      </c>
      <c r="JA1501" s="2">
        <v>90.31</v>
      </c>
      <c r="JB1501" s="2">
        <v>90.39</v>
      </c>
      <c r="JC1501" s="2">
        <v>90.8</v>
      </c>
      <c r="JD1501" s="2">
        <v>91.34</v>
      </c>
      <c r="JE1501" s="2">
        <v>91.73999999999999</v>
      </c>
      <c r="JF1501" s="2">
        <v>91.98999999999999</v>
      </c>
      <c r="JG1501" s="2">
        <v>93.02</v>
      </c>
      <c r="JH1501" s="2">
        <v>93.09</v>
      </c>
      <c r="JI1501" s="2">
        <v>93.98</v>
      </c>
      <c r="JJ1501" s="2">
        <v>94.59999999999999</v>
      </c>
      <c r="JK1501" s="2">
        <v>95.52</v>
      </c>
      <c r="JL1501" s="2">
        <v>96.03</v>
      </c>
      <c r="JM1501" s="2">
        <v>95.59999999999999</v>
      </c>
      <c r="JN1501" s="2">
        <v>94.78</v>
      </c>
      <c r="JO1501" s="2">
        <v>94.59</v>
      </c>
      <c r="JP1501" s="2">
        <v>95.2</v>
      </c>
      <c r="JQ1501" s="2">
        <v>94.78</v>
      </c>
      <c r="JR1501" s="2">
        <v>92.68000000000001</v>
      </c>
      <c r="JS1501" s="2">
        <v>92.95999999999999</v>
      </c>
      <c r="JT1501" s="2">
        <v>92.67</v>
      </c>
      <c r="JU1501" s="2">
        <v>92.56999999999999</v>
      </c>
      <c r="JV1501" s="2">
        <v>90.78</v>
      </c>
      <c r="KA1501" s="2">
        <v>92.23</v>
      </c>
      <c r="KB1501" s="2">
        <v>91.87</v>
      </c>
      <c r="KC1501" s="2">
        <v>92.18000000000001</v>
      </c>
      <c r="KD1501" s="2">
        <v>91.59</v>
      </c>
      <c r="KQ1501" s="2">
        <v>91.20999999999999</v>
      </c>
      <c r="KR1501" s="2">
        <v>91.88</v>
      </c>
      <c r="KS1501" s="2">
        <v>93.09999999999999</v>
      </c>
      <c r="KT1501" s="2">
        <v>91.3</v>
      </c>
      <c r="LG1501" s="2">
        <v>91.95999999999999</v>
      </c>
      <c r="LH1501" s="2">
        <v>91.56</v>
      </c>
      <c r="LI1501" s="2">
        <v>93.19</v>
      </c>
      <c r="LJ1501" s="2">
        <v>91.68000000000001</v>
      </c>
      <c r="LW1501" s="2">
        <v>92.56999999999999</v>
      </c>
      <c r="LX1501" s="2">
        <v>93.41</v>
      </c>
      <c r="LY1501" s="2">
        <v>94.65000000000001</v>
      </c>
      <c r="LZ1501" s="2">
        <v>93.83</v>
      </c>
      <c r="MM1501" s="2">
        <v>94.86</v>
      </c>
      <c r="MN1501" s="2">
        <v>94.48</v>
      </c>
      <c r="MO1501" s="2">
        <v>94.43000000000001</v>
      </c>
      <c r="MP1501" s="2">
        <v>93.75</v>
      </c>
      <c r="NC1501" s="2">
        <v>94.91</v>
      </c>
      <c r="ND1501" s="2">
        <v>95.56999999999999</v>
      </c>
      <c r="NE1501" s="2">
        <v>95.93000000000001</v>
      </c>
      <c r="NF1501" s="2">
        <v>95.84</v>
      </c>
      <c r="NS1501" s="2">
        <v>96.18000000000001</v>
      </c>
      <c r="NT1501" s="2">
        <v>96.31</v>
      </c>
      <c r="NU1501" s="2">
        <v>96.91</v>
      </c>
      <c r="NV1501" s="2">
        <v>96.73999999999999</v>
      </c>
      <c r="OI1501" s="2">
        <v>96.70999999999999</v>
      </c>
      <c r="OJ1501" s="2">
        <v>97.79000000000001</v>
      </c>
      <c r="OK1501" s="2">
        <v>99.13</v>
      </c>
      <c r="OL1501" s="2">
        <v>98.98</v>
      </c>
      <c r="OY1501" s="2">
        <v>99.34999999999999</v>
      </c>
      <c r="OZ1501" s="2">
        <v>99.31</v>
      </c>
      <c r="PA1501" s="2">
        <v>100.81</v>
      </c>
      <c r="PB1501" s="2">
        <v>98.34</v>
      </c>
      <c r="PJ1501" s="2">
        <v>100.37</v>
      </c>
      <c r="PK1501" s="2">
        <v>99.87</v>
      </c>
    </row>
    <row r="1502">
      <c r="A1502" t="inlineStr">
        <is>
          <t>A2328861F</t>
        </is>
      </c>
      <c r="B1502" t="inlineStr">
        <is>
          <t>Index Numbers ;  Beer ;  Australia ;</t>
        </is>
      </c>
      <c r="C1502" t="inlineStr">
        <is>
          <t>Quarter</t>
        </is>
      </c>
      <c r="D1502" t="inlineStr">
        <is>
          <t>Index Numbers</t>
        </is>
      </c>
      <c r="E1502" t="inlineStr">
        <is>
          <t>Original</t>
        </is>
      </c>
      <c r="F1502" t="inlineStr">
        <is>
          <t>6401018.xlsx</t>
        </is>
      </c>
      <c r="G1502" t="inlineStr">
        <is>
          <t>1972Q3</t>
        </is>
      </c>
      <c r="H1502" t="inlineStr">
        <is>
          <t>2026Q2</t>
        </is>
      </c>
      <c r="DA1502" s="2">
        <v>5.15</v>
      </c>
      <c r="DB1502" s="2">
        <v>5.23</v>
      </c>
      <c r="DC1502" s="2">
        <v>5.25</v>
      </c>
      <c r="DD1502" s="2">
        <v>5.58</v>
      </c>
      <c r="DE1502" s="2">
        <v>5.58</v>
      </c>
      <c r="DF1502" s="2">
        <v>5.58</v>
      </c>
      <c r="DG1502" s="2">
        <v>5.61</v>
      </c>
      <c r="DH1502" s="2">
        <v>6.07</v>
      </c>
      <c r="DI1502" s="2">
        <v>6.26</v>
      </c>
      <c r="DJ1502" s="2">
        <v>6.45</v>
      </c>
      <c r="DK1502" s="2">
        <v>6.64</v>
      </c>
      <c r="DL1502" s="2">
        <v>6.75</v>
      </c>
      <c r="DM1502" s="2">
        <v>6.89</v>
      </c>
      <c r="DN1502" s="2">
        <v>8.49</v>
      </c>
      <c r="DO1502" s="2">
        <v>8.550000000000001</v>
      </c>
      <c r="DP1502" s="2">
        <v>8.85</v>
      </c>
      <c r="DQ1502" s="2">
        <v>8.789999999999999</v>
      </c>
      <c r="DR1502" s="2">
        <v>8.93</v>
      </c>
      <c r="DS1502" s="2">
        <v>9.01</v>
      </c>
      <c r="DT1502" s="2">
        <v>9.119999999999999</v>
      </c>
      <c r="DU1502" s="2">
        <v>9.26</v>
      </c>
      <c r="DV1502" s="2">
        <v>9.42</v>
      </c>
      <c r="DW1502" s="2">
        <v>9.470000000000001</v>
      </c>
      <c r="DX1502" s="2">
        <v>9.56</v>
      </c>
      <c r="DY1502" s="2">
        <v>9.66</v>
      </c>
      <c r="DZ1502" s="2">
        <v>11.38</v>
      </c>
      <c r="EA1502" s="2">
        <v>11.22</v>
      </c>
      <c r="EB1502" s="2">
        <v>11.41</v>
      </c>
      <c r="EC1502" s="2">
        <v>11.54</v>
      </c>
      <c r="ED1502" s="2">
        <v>11.65</v>
      </c>
      <c r="EE1502" s="2">
        <v>11.98</v>
      </c>
      <c r="EF1502" s="2">
        <v>12.22</v>
      </c>
      <c r="EG1502" s="2">
        <v>12.5</v>
      </c>
      <c r="EH1502" s="2">
        <v>12.66</v>
      </c>
      <c r="EI1502" s="2">
        <v>13.09</v>
      </c>
      <c r="EJ1502" s="2">
        <v>13.34</v>
      </c>
      <c r="EK1502" s="2">
        <v>13.78</v>
      </c>
      <c r="EL1502" s="2">
        <v>13.99</v>
      </c>
      <c r="EM1502" s="2">
        <v>14.43</v>
      </c>
      <c r="EN1502" s="2">
        <v>14.76</v>
      </c>
      <c r="EO1502" s="2">
        <v>15.41</v>
      </c>
      <c r="EP1502" s="2">
        <v>16.25</v>
      </c>
      <c r="EQ1502" s="2">
        <v>16.5</v>
      </c>
      <c r="ER1502" s="2">
        <v>16.74</v>
      </c>
      <c r="ES1502" s="2">
        <v>16.88</v>
      </c>
      <c r="ET1502" s="2">
        <v>17.59</v>
      </c>
      <c r="EU1502" s="2">
        <v>18.05</v>
      </c>
      <c r="EV1502" s="2">
        <v>18.57</v>
      </c>
      <c r="EW1502" s="2">
        <v>18.78</v>
      </c>
      <c r="EX1502" s="2">
        <v>19.11</v>
      </c>
      <c r="EY1502" s="2">
        <v>19.38</v>
      </c>
      <c r="EZ1502" s="2">
        <v>19.66</v>
      </c>
      <c r="FA1502" s="2">
        <v>20.2</v>
      </c>
      <c r="FB1502" s="2">
        <v>20.66</v>
      </c>
      <c r="FC1502" s="2">
        <v>21.18</v>
      </c>
      <c r="FD1502" s="2">
        <v>21.64</v>
      </c>
      <c r="FE1502" s="2">
        <v>22.16</v>
      </c>
      <c r="FF1502" s="2">
        <v>22.73</v>
      </c>
      <c r="FG1502" s="2">
        <v>23.41</v>
      </c>
      <c r="FH1502" s="2">
        <v>24.04</v>
      </c>
      <c r="FI1502" s="2">
        <v>24.47</v>
      </c>
      <c r="FJ1502" s="2">
        <v>24.99</v>
      </c>
      <c r="FK1502" s="2">
        <v>25.45</v>
      </c>
      <c r="FL1502" s="2">
        <v>25.84</v>
      </c>
      <c r="FM1502" s="2">
        <v>25.84</v>
      </c>
      <c r="FN1502" s="2">
        <v>25.18</v>
      </c>
      <c r="FO1502" s="2">
        <v>25.51</v>
      </c>
      <c r="FP1502" s="2">
        <v>25.92</v>
      </c>
      <c r="FQ1502" s="2">
        <v>26.41</v>
      </c>
      <c r="FR1502" s="2">
        <v>26.92</v>
      </c>
      <c r="FS1502" s="2">
        <v>27.55</v>
      </c>
      <c r="FT1502" s="2">
        <v>28.04</v>
      </c>
      <c r="FU1502" s="2">
        <v>28.67</v>
      </c>
      <c r="FV1502" s="2">
        <v>29.35</v>
      </c>
      <c r="FW1502" s="2">
        <v>29.67</v>
      </c>
      <c r="FX1502" s="2">
        <v>30.11</v>
      </c>
      <c r="FY1502" s="2">
        <v>30.16</v>
      </c>
      <c r="FZ1502" s="2">
        <v>30.36</v>
      </c>
      <c r="GA1502" s="2">
        <v>30.55</v>
      </c>
      <c r="GB1502" s="2">
        <v>30.87</v>
      </c>
      <c r="GC1502" s="2">
        <v>31.09</v>
      </c>
      <c r="GD1502" s="2">
        <v>31.17</v>
      </c>
      <c r="GE1502" s="2">
        <v>31.44</v>
      </c>
      <c r="GF1502" s="2">
        <v>31.77</v>
      </c>
      <c r="GG1502" s="2">
        <v>32.07</v>
      </c>
      <c r="GH1502" s="2">
        <v>32.34</v>
      </c>
      <c r="GI1502" s="2">
        <v>32.51</v>
      </c>
      <c r="GJ1502" s="2">
        <v>32.75</v>
      </c>
      <c r="GK1502" s="2">
        <v>33</v>
      </c>
      <c r="GL1502" s="2">
        <v>33.1</v>
      </c>
      <c r="GM1502" s="2">
        <v>33.43</v>
      </c>
      <c r="GN1502" s="2">
        <v>34.03</v>
      </c>
      <c r="GO1502" s="2">
        <v>34.63</v>
      </c>
      <c r="GP1502" s="2">
        <v>34.87</v>
      </c>
      <c r="GQ1502" s="2">
        <v>35.39</v>
      </c>
      <c r="GR1502" s="2">
        <v>35.96</v>
      </c>
      <c r="GS1502" s="2">
        <v>36.02</v>
      </c>
      <c r="GT1502" s="2">
        <v>36.15</v>
      </c>
      <c r="GU1502" s="2">
        <v>36.34</v>
      </c>
      <c r="GV1502" s="2">
        <v>36.29</v>
      </c>
      <c r="GW1502" s="2">
        <v>36.29</v>
      </c>
      <c r="GX1502" s="2">
        <v>36.4</v>
      </c>
      <c r="GY1502" s="2">
        <v>36.45</v>
      </c>
      <c r="GZ1502" s="2">
        <v>36.64</v>
      </c>
      <c r="HA1502" s="2">
        <v>36.67</v>
      </c>
      <c r="HB1502" s="2">
        <v>36.88</v>
      </c>
      <c r="HC1502" s="2">
        <v>37.15</v>
      </c>
      <c r="HD1502" s="2">
        <v>37.31</v>
      </c>
      <c r="HE1502" s="2">
        <v>37.2</v>
      </c>
      <c r="HF1502" s="2">
        <v>37.61</v>
      </c>
      <c r="HG1502" s="2">
        <v>37.82</v>
      </c>
      <c r="HH1502" s="2">
        <v>38.49</v>
      </c>
      <c r="HI1502" s="2">
        <v>40.34</v>
      </c>
      <c r="HJ1502" s="2">
        <v>40.85</v>
      </c>
      <c r="HK1502" s="2">
        <v>41.7</v>
      </c>
      <c r="HL1502" s="2">
        <v>41.71</v>
      </c>
      <c r="HM1502" s="2">
        <v>42.01</v>
      </c>
      <c r="HN1502" s="2">
        <v>42.2</v>
      </c>
      <c r="HO1502" s="2">
        <v>42.4</v>
      </c>
      <c r="HP1502" s="2">
        <v>42.51</v>
      </c>
      <c r="HQ1502" s="2">
        <v>43.29</v>
      </c>
      <c r="HR1502" s="2">
        <v>43.25</v>
      </c>
      <c r="HS1502" s="2">
        <v>43.81</v>
      </c>
      <c r="HT1502" s="2">
        <v>43.98</v>
      </c>
      <c r="HU1502" s="2">
        <v>45.63</v>
      </c>
      <c r="HV1502" s="2">
        <v>46.24</v>
      </c>
      <c r="HW1502" s="2">
        <v>46.57</v>
      </c>
      <c r="HX1502" s="2">
        <v>47.04</v>
      </c>
      <c r="HY1502" s="2">
        <v>47.52</v>
      </c>
      <c r="HZ1502" s="2">
        <v>48.26</v>
      </c>
      <c r="IA1502" s="2">
        <v>48.86</v>
      </c>
      <c r="IB1502" s="2">
        <v>49.1</v>
      </c>
      <c r="IC1502" s="2">
        <v>50.02</v>
      </c>
      <c r="ID1502" s="2">
        <v>50.25</v>
      </c>
      <c r="IE1502" s="2">
        <v>51.07</v>
      </c>
      <c r="IF1502" s="2">
        <v>51.43</v>
      </c>
      <c r="IG1502" s="2">
        <v>51.9</v>
      </c>
      <c r="IH1502" s="2">
        <v>52.54</v>
      </c>
      <c r="II1502" s="2">
        <v>52.92</v>
      </c>
      <c r="IJ1502" s="2">
        <v>53.88</v>
      </c>
      <c r="IK1502" s="2">
        <v>54.27</v>
      </c>
      <c r="IL1502" s="2">
        <v>55.4</v>
      </c>
      <c r="IM1502" s="2">
        <v>56.28</v>
      </c>
      <c r="IN1502" s="2">
        <v>56.57</v>
      </c>
      <c r="IO1502" s="2">
        <v>57.02</v>
      </c>
      <c r="IP1502" s="2">
        <v>58.04</v>
      </c>
      <c r="IQ1502" s="2">
        <v>58.31</v>
      </c>
      <c r="IR1502" s="2">
        <v>58.98</v>
      </c>
      <c r="IS1502" s="2">
        <v>59.84</v>
      </c>
      <c r="IT1502" s="2">
        <v>61.09</v>
      </c>
      <c r="IU1502" s="2">
        <v>61.79</v>
      </c>
      <c r="IV1502" s="2">
        <v>62.6</v>
      </c>
      <c r="IW1502" s="2">
        <v>62.89</v>
      </c>
      <c r="IX1502" s="2">
        <v>63.25</v>
      </c>
      <c r="IY1502" s="2">
        <v>63.1</v>
      </c>
      <c r="IZ1502" s="2">
        <v>63.35</v>
      </c>
      <c r="JA1502" s="2">
        <v>63.4</v>
      </c>
      <c r="JB1502" s="2">
        <v>64.2</v>
      </c>
      <c r="JC1502" s="2">
        <v>65.22</v>
      </c>
      <c r="JD1502" s="2">
        <v>65.70999999999999</v>
      </c>
      <c r="JE1502" s="2">
        <v>66.29000000000001</v>
      </c>
      <c r="JF1502" s="2">
        <v>65.97</v>
      </c>
      <c r="JG1502" s="2">
        <v>65.89</v>
      </c>
      <c r="JH1502" s="2">
        <v>66.34999999999999</v>
      </c>
      <c r="JI1502" s="2">
        <v>66.38</v>
      </c>
      <c r="JJ1502" s="2">
        <v>67.47</v>
      </c>
      <c r="JK1502" s="2">
        <v>67.84999999999999</v>
      </c>
      <c r="JL1502" s="2">
        <v>68.62</v>
      </c>
      <c r="JM1502" s="2">
        <v>69.19</v>
      </c>
      <c r="JN1502" s="2">
        <v>69.48999999999999</v>
      </c>
      <c r="JO1502" s="2">
        <v>70.27</v>
      </c>
      <c r="JP1502" s="2">
        <v>70.5</v>
      </c>
      <c r="JQ1502" s="2">
        <v>71.56</v>
      </c>
      <c r="JR1502" s="2">
        <v>72.02</v>
      </c>
      <c r="JS1502" s="2">
        <v>72.88</v>
      </c>
      <c r="JT1502" s="2">
        <v>73.05</v>
      </c>
      <c r="JU1502" s="2">
        <v>73.58</v>
      </c>
      <c r="JV1502" s="2">
        <v>73.88</v>
      </c>
      <c r="KA1502" s="2">
        <v>74.56</v>
      </c>
      <c r="KB1502" s="2">
        <v>75.26000000000001</v>
      </c>
      <c r="KC1502" s="2">
        <v>75.95999999999999</v>
      </c>
      <c r="KD1502" s="2">
        <v>76.62</v>
      </c>
      <c r="KQ1502" s="2">
        <v>78.17</v>
      </c>
      <c r="KR1502" s="2">
        <v>78.56999999999999</v>
      </c>
      <c r="KS1502" s="2">
        <v>79.3</v>
      </c>
      <c r="KT1502" s="2">
        <v>79.28</v>
      </c>
      <c r="LG1502" s="2">
        <v>80.16</v>
      </c>
      <c r="LH1502" s="2">
        <v>80.55</v>
      </c>
      <c r="LI1502" s="2">
        <v>81</v>
      </c>
      <c r="LJ1502" s="2">
        <v>80.92</v>
      </c>
      <c r="LW1502" s="2">
        <v>81.89</v>
      </c>
      <c r="LX1502" s="2">
        <v>82.53</v>
      </c>
      <c r="LY1502" s="2">
        <v>82.28</v>
      </c>
      <c r="LZ1502" s="2">
        <v>82.38</v>
      </c>
      <c r="MM1502" s="2">
        <v>83.09999999999999</v>
      </c>
      <c r="MN1502" s="2">
        <v>83.84</v>
      </c>
      <c r="MO1502" s="2">
        <v>83.34</v>
      </c>
      <c r="MP1502" s="2">
        <v>83.76000000000001</v>
      </c>
      <c r="NC1502" s="2">
        <v>84.39</v>
      </c>
      <c r="ND1502" s="2">
        <v>84.84</v>
      </c>
      <c r="NE1502" s="2">
        <v>86.02</v>
      </c>
      <c r="NF1502" s="2">
        <v>87.31</v>
      </c>
      <c r="NS1502" s="2">
        <v>88.92</v>
      </c>
      <c r="NT1502" s="2">
        <v>90.2</v>
      </c>
      <c r="NU1502" s="2">
        <v>91.81999999999999</v>
      </c>
      <c r="NV1502" s="2">
        <v>93.36</v>
      </c>
      <c r="OI1502" s="2">
        <v>94.51000000000001</v>
      </c>
      <c r="OJ1502" s="2">
        <v>94.95</v>
      </c>
      <c r="OK1502" s="2">
        <v>96.23999999999999</v>
      </c>
      <c r="OL1502" s="2">
        <v>97.38</v>
      </c>
      <c r="OY1502" s="2">
        <v>98.73999999999999</v>
      </c>
      <c r="OZ1502" s="2">
        <v>98.89</v>
      </c>
      <c r="PA1502" s="2">
        <v>99.84999999999999</v>
      </c>
      <c r="PB1502" s="2">
        <v>100.15</v>
      </c>
      <c r="PJ1502" s="2">
        <v>100.9</v>
      </c>
      <c r="PK1502" s="2">
        <v>101.39</v>
      </c>
    </row>
    <row r="1503">
      <c r="A1503" t="inlineStr">
        <is>
          <t>A2326791X</t>
        </is>
      </c>
      <c r="B1503" t="inlineStr">
        <is>
          <t>Index Numbers ;  Tobacco ;  Australia ;</t>
        </is>
      </c>
      <c r="C1503" t="inlineStr">
        <is>
          <t>Quarter</t>
        </is>
      </c>
      <c r="D1503" t="inlineStr">
        <is>
          <t>Index Numbers</t>
        </is>
      </c>
      <c r="E1503" t="inlineStr">
        <is>
          <t>Original</t>
        </is>
      </c>
      <c r="F1503" t="inlineStr">
        <is>
          <t>6401018.xlsx</t>
        </is>
      </c>
      <c r="G1503" t="inlineStr">
        <is>
          <t>1972Q3</t>
        </is>
      </c>
      <c r="H1503" t="inlineStr">
        <is>
          <t>2026Q2</t>
        </is>
      </c>
      <c r="DA1503" s="2">
        <v>0.49</v>
      </c>
      <c r="DB1503" s="2">
        <v>0.49</v>
      </c>
      <c r="DC1503" s="2">
        <v>0.5</v>
      </c>
      <c r="DD1503" s="2">
        <v>0.5</v>
      </c>
      <c r="DE1503" s="2">
        <v>0.5</v>
      </c>
      <c r="DF1503" s="2">
        <v>0.5600000000000001</v>
      </c>
      <c r="DG1503" s="2">
        <v>0.5600000000000001</v>
      </c>
      <c r="DH1503" s="2">
        <v>0.57</v>
      </c>
      <c r="DI1503" s="2">
        <v>0.62</v>
      </c>
      <c r="DJ1503" s="2">
        <v>0.62</v>
      </c>
      <c r="DK1503" s="2">
        <v>0.68</v>
      </c>
      <c r="DL1503" s="2">
        <v>0.6899999999999999</v>
      </c>
      <c r="DM1503" s="2">
        <v>0.7</v>
      </c>
      <c r="DN1503" s="2">
        <v>0.83</v>
      </c>
      <c r="DO1503" s="2">
        <v>0.86</v>
      </c>
      <c r="DP1503" s="2">
        <v>0.87</v>
      </c>
      <c r="DQ1503" s="2">
        <v>0.87</v>
      </c>
      <c r="DR1503" s="2">
        <v>0.89</v>
      </c>
      <c r="DS1503" s="2">
        <v>0.89</v>
      </c>
      <c r="DT1503" s="2">
        <v>0.9</v>
      </c>
      <c r="DU1503" s="2">
        <v>0.91</v>
      </c>
      <c r="DV1503" s="2">
        <v>0.91</v>
      </c>
      <c r="DW1503" s="2">
        <v>0.93</v>
      </c>
      <c r="DX1503" s="2">
        <v>0.92</v>
      </c>
      <c r="DY1503" s="2">
        <v>0.93</v>
      </c>
      <c r="DZ1503" s="2">
        <v>1.07</v>
      </c>
      <c r="EA1503" s="2">
        <v>1.07</v>
      </c>
      <c r="EB1503" s="2">
        <v>1.08</v>
      </c>
      <c r="EC1503" s="2">
        <v>1.11</v>
      </c>
      <c r="ED1503" s="2">
        <v>1.13</v>
      </c>
      <c r="EE1503" s="2">
        <v>1.14</v>
      </c>
      <c r="EF1503" s="2">
        <v>1.16</v>
      </c>
      <c r="EG1503" s="2">
        <v>1.18</v>
      </c>
      <c r="EH1503" s="2">
        <v>1.18</v>
      </c>
      <c r="EI1503" s="2">
        <v>1.19</v>
      </c>
      <c r="EJ1503" s="2">
        <v>1.21</v>
      </c>
      <c r="EK1503" s="2">
        <v>1.26</v>
      </c>
      <c r="EL1503" s="2">
        <v>1.28</v>
      </c>
      <c r="EM1503" s="2">
        <v>1.3</v>
      </c>
      <c r="EN1503" s="2">
        <v>1.33</v>
      </c>
      <c r="EO1503" s="2">
        <v>1.41</v>
      </c>
      <c r="EP1503" s="2">
        <v>1.51</v>
      </c>
      <c r="EQ1503" s="2">
        <v>1.54</v>
      </c>
      <c r="ER1503" s="2">
        <v>1.59</v>
      </c>
      <c r="ES1503" s="2">
        <v>1.67</v>
      </c>
      <c r="ET1503" s="2">
        <v>1.86</v>
      </c>
      <c r="EU1503" s="2">
        <v>1.87</v>
      </c>
      <c r="EV1503" s="2">
        <v>1.91</v>
      </c>
      <c r="EW1503" s="2">
        <v>1.95</v>
      </c>
      <c r="EX1503" s="2">
        <v>2</v>
      </c>
      <c r="EY1503" s="2">
        <v>2.02</v>
      </c>
      <c r="EZ1503" s="2">
        <v>2.06</v>
      </c>
      <c r="FA1503" s="2">
        <v>2.13</v>
      </c>
      <c r="FB1503" s="2">
        <v>2.2</v>
      </c>
      <c r="FC1503" s="2">
        <v>2.29</v>
      </c>
      <c r="FD1503" s="2">
        <v>2.34</v>
      </c>
      <c r="FE1503" s="2">
        <v>2.4</v>
      </c>
      <c r="FF1503" s="2">
        <v>2.47</v>
      </c>
      <c r="FG1503" s="2">
        <v>2.55</v>
      </c>
      <c r="FH1503" s="2">
        <v>2.62</v>
      </c>
      <c r="FI1503" s="2">
        <v>2.64</v>
      </c>
      <c r="FJ1503" s="2">
        <v>2.7</v>
      </c>
      <c r="FK1503" s="2">
        <v>2.76</v>
      </c>
      <c r="FL1503" s="2">
        <v>2.77</v>
      </c>
      <c r="FM1503" s="2">
        <v>2.84</v>
      </c>
      <c r="FN1503" s="2">
        <v>2.93</v>
      </c>
      <c r="FO1503" s="2">
        <v>3.04</v>
      </c>
      <c r="FP1503" s="2">
        <v>3.1</v>
      </c>
      <c r="FQ1503" s="2">
        <v>3.2</v>
      </c>
      <c r="FR1503" s="2">
        <v>3.31</v>
      </c>
      <c r="FS1503" s="2">
        <v>3.42</v>
      </c>
      <c r="FT1503" s="2">
        <v>3.5</v>
      </c>
      <c r="FU1503" s="2">
        <v>3.57</v>
      </c>
      <c r="FV1503" s="2">
        <v>3.8</v>
      </c>
      <c r="FW1503" s="2">
        <v>3.85</v>
      </c>
      <c r="FX1503" s="2">
        <v>3.95</v>
      </c>
      <c r="FY1503" s="2">
        <v>4.09</v>
      </c>
      <c r="FZ1503" s="2">
        <v>4.15</v>
      </c>
      <c r="GA1503" s="2">
        <v>4.19</v>
      </c>
      <c r="GB1503" s="2">
        <v>4.24</v>
      </c>
      <c r="GC1503" s="2">
        <v>4.62</v>
      </c>
      <c r="GD1503" s="2">
        <v>4.95</v>
      </c>
      <c r="GE1503" s="2">
        <v>5.18</v>
      </c>
      <c r="GF1503" s="2">
        <v>5.32</v>
      </c>
      <c r="GG1503" s="2">
        <v>5.53</v>
      </c>
      <c r="GH1503" s="2">
        <v>5.7</v>
      </c>
      <c r="GI1503" s="2">
        <v>5.83</v>
      </c>
      <c r="GJ1503" s="2">
        <v>5.92</v>
      </c>
      <c r="GK1503" s="2">
        <v>5.95</v>
      </c>
      <c r="GL1503" s="2">
        <v>6.1</v>
      </c>
      <c r="GM1503" s="2">
        <v>6.25</v>
      </c>
      <c r="GN1503" s="2">
        <v>6.71</v>
      </c>
      <c r="GO1503" s="2">
        <v>7.13</v>
      </c>
      <c r="GP1503" s="2">
        <v>7.49</v>
      </c>
      <c r="GQ1503" s="2">
        <v>7.63</v>
      </c>
      <c r="GR1503" s="2">
        <v>7.68</v>
      </c>
      <c r="GS1503" s="2">
        <v>7.73</v>
      </c>
      <c r="GT1503" s="2">
        <v>7.82</v>
      </c>
      <c r="GU1503" s="2">
        <v>7.81</v>
      </c>
      <c r="GV1503" s="2">
        <v>7.82</v>
      </c>
      <c r="GW1503" s="2">
        <v>7.81</v>
      </c>
      <c r="GX1503" s="2">
        <v>8.039999999999999</v>
      </c>
      <c r="GY1503" s="2">
        <v>8.140000000000001</v>
      </c>
      <c r="GZ1503" s="2">
        <v>8.23</v>
      </c>
      <c r="HA1503" s="2">
        <v>8.289999999999999</v>
      </c>
      <c r="HB1503" s="2">
        <v>8.300000000000001</v>
      </c>
      <c r="HC1503" s="2">
        <v>8.41</v>
      </c>
      <c r="HD1503" s="2">
        <v>8.49</v>
      </c>
      <c r="HE1503" s="2">
        <v>8.57</v>
      </c>
      <c r="HF1503" s="2">
        <v>8.92</v>
      </c>
      <c r="HG1503" s="2">
        <v>9.26</v>
      </c>
      <c r="HH1503" s="2">
        <v>9.289999999999999</v>
      </c>
      <c r="HI1503" s="2">
        <v>10.32</v>
      </c>
      <c r="HJ1503" s="2">
        <v>10.54</v>
      </c>
      <c r="HK1503" s="2">
        <v>10.96</v>
      </c>
      <c r="HL1503" s="2">
        <v>11.18</v>
      </c>
      <c r="HM1503" s="2">
        <v>11.36</v>
      </c>
      <c r="HN1503" s="2">
        <v>11.4</v>
      </c>
      <c r="HO1503" s="2">
        <v>11.63</v>
      </c>
      <c r="HP1503" s="2">
        <v>11.76</v>
      </c>
      <c r="HQ1503" s="2">
        <v>11.89</v>
      </c>
      <c r="HR1503" s="2">
        <v>11.93</v>
      </c>
      <c r="HS1503" s="2">
        <v>12.1</v>
      </c>
      <c r="HT1503" s="2">
        <v>12.23</v>
      </c>
      <c r="HU1503" s="2">
        <v>12.41</v>
      </c>
      <c r="HV1503" s="2">
        <v>12.48</v>
      </c>
      <c r="HW1503" s="2">
        <v>12.66</v>
      </c>
      <c r="HX1503" s="2">
        <v>12.73</v>
      </c>
      <c r="HY1503" s="2">
        <v>12.87</v>
      </c>
      <c r="HZ1503" s="2">
        <v>12.88</v>
      </c>
      <c r="IA1503" s="2">
        <v>13.16</v>
      </c>
      <c r="IB1503" s="2">
        <v>13.3</v>
      </c>
      <c r="IC1503" s="2">
        <v>13.42</v>
      </c>
      <c r="ID1503" s="2">
        <v>13.5</v>
      </c>
      <c r="IE1503" s="2">
        <v>13.69</v>
      </c>
      <c r="IF1503" s="2">
        <v>13.85</v>
      </c>
      <c r="IG1503" s="2">
        <v>14.04</v>
      </c>
      <c r="IH1503" s="2">
        <v>14.12</v>
      </c>
      <c r="II1503" s="2">
        <v>14.32</v>
      </c>
      <c r="IJ1503" s="2">
        <v>14.37</v>
      </c>
      <c r="IK1503" s="2">
        <v>14.49</v>
      </c>
      <c r="IL1503" s="2">
        <v>14.65</v>
      </c>
      <c r="IM1503" s="2">
        <v>14.75</v>
      </c>
      <c r="IN1503" s="2">
        <v>14.97</v>
      </c>
      <c r="IO1503" s="2">
        <v>15.2</v>
      </c>
      <c r="IP1503" s="2">
        <v>15.46</v>
      </c>
      <c r="IQ1503" s="2">
        <v>15.76</v>
      </c>
      <c r="IR1503" s="2">
        <v>15.95</v>
      </c>
      <c r="IS1503" s="2">
        <v>15.93</v>
      </c>
      <c r="IT1503" s="2">
        <v>15.85</v>
      </c>
      <c r="IU1503" s="2">
        <v>16.19</v>
      </c>
      <c r="IV1503" s="2">
        <v>18.68</v>
      </c>
      <c r="IW1503" s="2">
        <v>19.98</v>
      </c>
      <c r="IX1503" s="2">
        <v>20.22</v>
      </c>
      <c r="IY1503" s="2">
        <v>20.64</v>
      </c>
      <c r="IZ1503" s="2">
        <v>20.93</v>
      </c>
      <c r="JA1503" s="2">
        <v>21.31</v>
      </c>
      <c r="JB1503" s="2">
        <v>21.5</v>
      </c>
      <c r="JC1503" s="2">
        <v>21.95</v>
      </c>
      <c r="JD1503" s="2">
        <v>22.31</v>
      </c>
      <c r="JE1503" s="2">
        <v>22.55</v>
      </c>
      <c r="JF1503" s="2">
        <v>22.75</v>
      </c>
      <c r="JG1503" s="2">
        <v>23.6</v>
      </c>
      <c r="JH1503" s="2">
        <v>24.32</v>
      </c>
      <c r="JI1503" s="2">
        <v>24.61</v>
      </c>
      <c r="JJ1503" s="2">
        <v>25.17</v>
      </c>
      <c r="JK1503" s="2">
        <v>26.86</v>
      </c>
      <c r="JL1503" s="2">
        <v>27.68</v>
      </c>
      <c r="JM1503" s="2">
        <v>28.31</v>
      </c>
      <c r="JN1503" s="2">
        <v>29.68</v>
      </c>
      <c r="JO1503" s="2">
        <v>29.95</v>
      </c>
      <c r="JP1503" s="2">
        <v>30.68</v>
      </c>
      <c r="JQ1503" s="2">
        <v>31.35</v>
      </c>
      <c r="JR1503" s="2">
        <v>33.65</v>
      </c>
      <c r="JS1503" s="2">
        <v>33.93</v>
      </c>
      <c r="JT1503" s="2">
        <v>34.65</v>
      </c>
      <c r="JU1503" s="2">
        <v>35.45</v>
      </c>
      <c r="JV1503" s="2">
        <v>38.1</v>
      </c>
      <c r="KA1503" s="2">
        <v>38.47</v>
      </c>
      <c r="KB1503" s="2">
        <v>38.86</v>
      </c>
      <c r="KC1503" s="2">
        <v>40.44</v>
      </c>
      <c r="KD1503" s="2">
        <v>43.89</v>
      </c>
      <c r="KQ1503" s="2">
        <v>44.05</v>
      </c>
      <c r="KR1503" s="2">
        <v>45.3</v>
      </c>
      <c r="KS1503" s="2">
        <v>46.12</v>
      </c>
      <c r="KT1503" s="2">
        <v>50.47</v>
      </c>
      <c r="LG1503" s="2">
        <v>50.14</v>
      </c>
      <c r="LH1503" s="2">
        <v>51.35</v>
      </c>
      <c r="LI1503" s="2">
        <v>53.1</v>
      </c>
      <c r="LJ1503" s="2">
        <v>57.55</v>
      </c>
      <c r="LW1503" s="2">
        <v>58.72</v>
      </c>
      <c r="LX1503" s="2">
        <v>60.28</v>
      </c>
      <c r="LY1503" s="2">
        <v>62.19</v>
      </c>
      <c r="LZ1503" s="2">
        <v>68.98</v>
      </c>
      <c r="MM1503" s="2">
        <v>68.56999999999999</v>
      </c>
      <c r="MN1503" s="2">
        <v>68.90000000000001</v>
      </c>
      <c r="MO1503" s="2">
        <v>68.3</v>
      </c>
      <c r="MP1503" s="2">
        <v>69.77</v>
      </c>
      <c r="NC1503" s="2">
        <v>70.62</v>
      </c>
      <c r="ND1503" s="2">
        <v>71.3</v>
      </c>
      <c r="NE1503" s="2">
        <v>71.98</v>
      </c>
      <c r="NF1503" s="2">
        <v>73.06999999999999</v>
      </c>
      <c r="NS1503" s="2">
        <v>73.45999999999999</v>
      </c>
      <c r="NT1503" s="2">
        <v>74.26000000000001</v>
      </c>
      <c r="NU1503" s="2">
        <v>75.54000000000001</v>
      </c>
      <c r="NV1503" s="2">
        <v>80.8</v>
      </c>
      <c r="OI1503" s="2">
        <v>81.73</v>
      </c>
      <c r="OJ1503" s="2">
        <v>84.22</v>
      </c>
      <c r="OK1503" s="2">
        <v>85.65000000000001</v>
      </c>
      <c r="OL1503" s="2">
        <v>90.64</v>
      </c>
      <c r="OY1503" s="2">
        <v>92.08</v>
      </c>
      <c r="OZ1503" s="2">
        <v>93.95</v>
      </c>
      <c r="PA1503" s="2">
        <v>96.66</v>
      </c>
      <c r="PB1503" s="2">
        <v>101.6</v>
      </c>
      <c r="PJ1503" s="2">
        <v>102.68</v>
      </c>
      <c r="PK1503" s="2">
        <v>104.23</v>
      </c>
    </row>
    <row r="1504">
      <c r="A1504" t="inlineStr">
        <is>
          <t>A2328996R</t>
        </is>
      </c>
      <c r="B1504" t="inlineStr">
        <is>
          <t>Index Numbers ;  Tobacco ;  Australia ;</t>
        </is>
      </c>
      <c r="C1504" t="inlineStr">
        <is>
          <t>Quarter</t>
        </is>
      </c>
      <c r="D1504" t="inlineStr">
        <is>
          <t>Index Numbers</t>
        </is>
      </c>
      <c r="E1504" t="inlineStr">
        <is>
          <t>Original</t>
        </is>
      </c>
      <c r="F1504" t="inlineStr">
        <is>
          <t>6401018.xlsx</t>
        </is>
      </c>
      <c r="G1504" t="inlineStr">
        <is>
          <t>1972Q3</t>
        </is>
      </c>
      <c r="H1504" t="inlineStr">
        <is>
          <t>2026Q2</t>
        </is>
      </c>
      <c r="DA1504" s="2">
        <v>0.49</v>
      </c>
      <c r="DB1504" s="2">
        <v>0.49</v>
      </c>
      <c r="DC1504" s="2">
        <v>0.5</v>
      </c>
      <c r="DD1504" s="2">
        <v>0.5</v>
      </c>
      <c r="DE1504" s="2">
        <v>0.5</v>
      </c>
      <c r="DF1504" s="2">
        <v>0.5600000000000001</v>
      </c>
      <c r="DG1504" s="2">
        <v>0.5600000000000001</v>
      </c>
      <c r="DH1504" s="2">
        <v>0.57</v>
      </c>
      <c r="DI1504" s="2">
        <v>0.62</v>
      </c>
      <c r="DJ1504" s="2">
        <v>0.62</v>
      </c>
      <c r="DK1504" s="2">
        <v>0.68</v>
      </c>
      <c r="DL1504" s="2">
        <v>0.6899999999999999</v>
      </c>
      <c r="DM1504" s="2">
        <v>0.7</v>
      </c>
      <c r="DN1504" s="2">
        <v>0.83</v>
      </c>
      <c r="DO1504" s="2">
        <v>0.86</v>
      </c>
      <c r="DP1504" s="2">
        <v>0.87</v>
      </c>
      <c r="DQ1504" s="2">
        <v>0.87</v>
      </c>
      <c r="DR1504" s="2">
        <v>0.89</v>
      </c>
      <c r="DS1504" s="2">
        <v>0.89</v>
      </c>
      <c r="DT1504" s="2">
        <v>0.9</v>
      </c>
      <c r="DU1504" s="2">
        <v>0.91</v>
      </c>
      <c r="DV1504" s="2">
        <v>0.91</v>
      </c>
      <c r="DW1504" s="2">
        <v>0.93</v>
      </c>
      <c r="DX1504" s="2">
        <v>0.92</v>
      </c>
      <c r="DY1504" s="2">
        <v>0.93</v>
      </c>
      <c r="DZ1504" s="2">
        <v>1.07</v>
      </c>
      <c r="EA1504" s="2">
        <v>1.07</v>
      </c>
      <c r="EB1504" s="2">
        <v>1.08</v>
      </c>
      <c r="EC1504" s="2">
        <v>1.11</v>
      </c>
      <c r="ED1504" s="2">
        <v>1.13</v>
      </c>
      <c r="EE1504" s="2">
        <v>1.14</v>
      </c>
      <c r="EF1504" s="2">
        <v>1.16</v>
      </c>
      <c r="EG1504" s="2">
        <v>1.18</v>
      </c>
      <c r="EH1504" s="2">
        <v>1.18</v>
      </c>
      <c r="EI1504" s="2">
        <v>1.19</v>
      </c>
      <c r="EJ1504" s="2">
        <v>1.21</v>
      </c>
      <c r="EK1504" s="2">
        <v>1.26</v>
      </c>
      <c r="EL1504" s="2">
        <v>1.28</v>
      </c>
      <c r="EM1504" s="2">
        <v>1.3</v>
      </c>
      <c r="EN1504" s="2">
        <v>1.33</v>
      </c>
      <c r="EO1504" s="2">
        <v>1.41</v>
      </c>
      <c r="EP1504" s="2">
        <v>1.51</v>
      </c>
      <c r="EQ1504" s="2">
        <v>1.54</v>
      </c>
      <c r="ER1504" s="2">
        <v>1.59</v>
      </c>
      <c r="ES1504" s="2">
        <v>1.67</v>
      </c>
      <c r="ET1504" s="2">
        <v>1.86</v>
      </c>
      <c r="EU1504" s="2">
        <v>1.87</v>
      </c>
      <c r="EV1504" s="2">
        <v>1.91</v>
      </c>
      <c r="EW1504" s="2">
        <v>1.95</v>
      </c>
      <c r="EX1504" s="2">
        <v>2</v>
      </c>
      <c r="EY1504" s="2">
        <v>2.02</v>
      </c>
      <c r="EZ1504" s="2">
        <v>2.06</v>
      </c>
      <c r="FA1504" s="2">
        <v>2.13</v>
      </c>
      <c r="FB1504" s="2">
        <v>2.2</v>
      </c>
      <c r="FC1504" s="2">
        <v>2.29</v>
      </c>
      <c r="FD1504" s="2">
        <v>2.34</v>
      </c>
      <c r="FE1504" s="2">
        <v>2.4</v>
      </c>
      <c r="FF1504" s="2">
        <v>2.47</v>
      </c>
      <c r="FG1504" s="2">
        <v>2.55</v>
      </c>
      <c r="FH1504" s="2">
        <v>2.62</v>
      </c>
      <c r="FI1504" s="2">
        <v>2.64</v>
      </c>
      <c r="FJ1504" s="2">
        <v>2.7</v>
      </c>
      <c r="FK1504" s="2">
        <v>2.76</v>
      </c>
      <c r="FL1504" s="2">
        <v>2.77</v>
      </c>
      <c r="FM1504" s="2">
        <v>2.84</v>
      </c>
      <c r="FN1504" s="2">
        <v>2.93</v>
      </c>
      <c r="FO1504" s="2">
        <v>3.04</v>
      </c>
      <c r="FP1504" s="2">
        <v>3.1</v>
      </c>
      <c r="FQ1504" s="2">
        <v>3.2</v>
      </c>
      <c r="FR1504" s="2">
        <v>3.31</v>
      </c>
      <c r="FS1504" s="2">
        <v>3.42</v>
      </c>
      <c r="FT1504" s="2">
        <v>3.5</v>
      </c>
      <c r="FU1504" s="2">
        <v>3.57</v>
      </c>
      <c r="FV1504" s="2">
        <v>3.8</v>
      </c>
      <c r="FW1504" s="2">
        <v>3.85</v>
      </c>
      <c r="FX1504" s="2">
        <v>3.95</v>
      </c>
      <c r="FY1504" s="2">
        <v>4.09</v>
      </c>
      <c r="FZ1504" s="2">
        <v>4.15</v>
      </c>
      <c r="GA1504" s="2">
        <v>4.19</v>
      </c>
      <c r="GB1504" s="2">
        <v>4.24</v>
      </c>
      <c r="GC1504" s="2">
        <v>4.62</v>
      </c>
      <c r="GD1504" s="2">
        <v>4.95</v>
      </c>
      <c r="GE1504" s="2">
        <v>5.18</v>
      </c>
      <c r="GF1504" s="2">
        <v>5.32</v>
      </c>
      <c r="GG1504" s="2">
        <v>5.53</v>
      </c>
      <c r="GH1504" s="2">
        <v>5.7</v>
      </c>
      <c r="GI1504" s="2">
        <v>5.83</v>
      </c>
      <c r="GJ1504" s="2">
        <v>5.92</v>
      </c>
      <c r="GK1504" s="2">
        <v>5.95</v>
      </c>
      <c r="GL1504" s="2">
        <v>6.1</v>
      </c>
      <c r="GM1504" s="2">
        <v>6.25</v>
      </c>
      <c r="GN1504" s="2">
        <v>6.71</v>
      </c>
      <c r="GO1504" s="2">
        <v>7.13</v>
      </c>
      <c r="GP1504" s="2">
        <v>7.49</v>
      </c>
      <c r="GQ1504" s="2">
        <v>7.63</v>
      </c>
      <c r="GR1504" s="2">
        <v>7.68</v>
      </c>
      <c r="GS1504" s="2">
        <v>7.73</v>
      </c>
      <c r="GT1504" s="2">
        <v>7.82</v>
      </c>
      <c r="GU1504" s="2">
        <v>7.81</v>
      </c>
      <c r="GV1504" s="2">
        <v>7.82</v>
      </c>
      <c r="GW1504" s="2">
        <v>7.81</v>
      </c>
      <c r="GX1504" s="2">
        <v>8.039999999999999</v>
      </c>
      <c r="GY1504" s="2">
        <v>8.140000000000001</v>
      </c>
      <c r="GZ1504" s="2">
        <v>8.23</v>
      </c>
      <c r="HA1504" s="2">
        <v>8.289999999999999</v>
      </c>
      <c r="HB1504" s="2">
        <v>8.300000000000001</v>
      </c>
      <c r="HC1504" s="2">
        <v>8.41</v>
      </c>
      <c r="HD1504" s="2">
        <v>8.49</v>
      </c>
      <c r="HE1504" s="2">
        <v>8.57</v>
      </c>
      <c r="HF1504" s="2">
        <v>8.92</v>
      </c>
      <c r="HG1504" s="2">
        <v>9.26</v>
      </c>
      <c r="HH1504" s="2">
        <v>9.289999999999999</v>
      </c>
      <c r="HI1504" s="2">
        <v>10.32</v>
      </c>
      <c r="HJ1504" s="2">
        <v>10.54</v>
      </c>
      <c r="HK1504" s="2">
        <v>10.96</v>
      </c>
      <c r="HL1504" s="2">
        <v>11.18</v>
      </c>
      <c r="HM1504" s="2">
        <v>11.36</v>
      </c>
      <c r="HN1504" s="2">
        <v>11.4</v>
      </c>
      <c r="HO1504" s="2">
        <v>11.63</v>
      </c>
      <c r="HP1504" s="2">
        <v>11.76</v>
      </c>
      <c r="HQ1504" s="2">
        <v>11.89</v>
      </c>
      <c r="HR1504" s="2">
        <v>11.93</v>
      </c>
      <c r="HS1504" s="2">
        <v>12.1</v>
      </c>
      <c r="HT1504" s="2">
        <v>12.23</v>
      </c>
      <c r="HU1504" s="2">
        <v>12.41</v>
      </c>
      <c r="HV1504" s="2">
        <v>12.48</v>
      </c>
      <c r="HW1504" s="2">
        <v>12.66</v>
      </c>
      <c r="HX1504" s="2">
        <v>12.73</v>
      </c>
      <c r="HY1504" s="2">
        <v>12.87</v>
      </c>
      <c r="HZ1504" s="2">
        <v>12.88</v>
      </c>
      <c r="IA1504" s="2">
        <v>13.16</v>
      </c>
      <c r="IB1504" s="2">
        <v>13.3</v>
      </c>
      <c r="IC1504" s="2">
        <v>13.42</v>
      </c>
      <c r="ID1504" s="2">
        <v>13.5</v>
      </c>
      <c r="IE1504" s="2">
        <v>13.69</v>
      </c>
      <c r="IF1504" s="2">
        <v>13.85</v>
      </c>
      <c r="IG1504" s="2">
        <v>14.04</v>
      </c>
      <c r="IH1504" s="2">
        <v>14.12</v>
      </c>
      <c r="II1504" s="2">
        <v>14.32</v>
      </c>
      <c r="IJ1504" s="2">
        <v>14.37</v>
      </c>
      <c r="IK1504" s="2">
        <v>14.49</v>
      </c>
      <c r="IL1504" s="2">
        <v>14.65</v>
      </c>
      <c r="IM1504" s="2">
        <v>14.75</v>
      </c>
      <c r="IN1504" s="2">
        <v>14.97</v>
      </c>
      <c r="IO1504" s="2">
        <v>15.2</v>
      </c>
      <c r="IP1504" s="2">
        <v>15.46</v>
      </c>
      <c r="IQ1504" s="2">
        <v>15.76</v>
      </c>
      <c r="IR1504" s="2">
        <v>15.95</v>
      </c>
      <c r="IS1504" s="2">
        <v>15.93</v>
      </c>
      <c r="IT1504" s="2">
        <v>15.85</v>
      </c>
      <c r="IU1504" s="2">
        <v>16.19</v>
      </c>
      <c r="IV1504" s="2">
        <v>18.68</v>
      </c>
      <c r="IW1504" s="2">
        <v>19.98</v>
      </c>
      <c r="IX1504" s="2">
        <v>20.22</v>
      </c>
      <c r="IY1504" s="2">
        <v>20.64</v>
      </c>
      <c r="IZ1504" s="2">
        <v>20.93</v>
      </c>
      <c r="JA1504" s="2">
        <v>21.31</v>
      </c>
      <c r="JB1504" s="2">
        <v>21.5</v>
      </c>
      <c r="JC1504" s="2">
        <v>21.95</v>
      </c>
      <c r="JD1504" s="2">
        <v>22.31</v>
      </c>
      <c r="JE1504" s="2">
        <v>22.55</v>
      </c>
      <c r="JF1504" s="2">
        <v>22.75</v>
      </c>
      <c r="JG1504" s="2">
        <v>23.6</v>
      </c>
      <c r="JH1504" s="2">
        <v>24.32</v>
      </c>
      <c r="JI1504" s="2">
        <v>24.61</v>
      </c>
      <c r="JJ1504" s="2">
        <v>25.17</v>
      </c>
      <c r="JK1504" s="2">
        <v>26.86</v>
      </c>
      <c r="JL1504" s="2">
        <v>27.68</v>
      </c>
      <c r="JM1504" s="2">
        <v>28.31</v>
      </c>
      <c r="JN1504" s="2">
        <v>29.68</v>
      </c>
      <c r="JO1504" s="2">
        <v>29.95</v>
      </c>
      <c r="JP1504" s="2">
        <v>30.68</v>
      </c>
      <c r="JQ1504" s="2">
        <v>31.35</v>
      </c>
      <c r="JR1504" s="2">
        <v>33.65</v>
      </c>
      <c r="JS1504" s="2">
        <v>33.93</v>
      </c>
      <c r="JT1504" s="2">
        <v>34.65</v>
      </c>
      <c r="JU1504" s="2">
        <v>35.45</v>
      </c>
      <c r="JV1504" s="2">
        <v>38.1</v>
      </c>
      <c r="KA1504" s="2">
        <v>38.47</v>
      </c>
      <c r="KB1504" s="2">
        <v>38.86</v>
      </c>
      <c r="KC1504" s="2">
        <v>40.44</v>
      </c>
      <c r="KD1504" s="2">
        <v>43.89</v>
      </c>
      <c r="KQ1504" s="2">
        <v>44.05</v>
      </c>
      <c r="KR1504" s="2">
        <v>45.3</v>
      </c>
      <c r="KS1504" s="2">
        <v>46.12</v>
      </c>
      <c r="KT1504" s="2">
        <v>50.47</v>
      </c>
      <c r="LG1504" s="2">
        <v>50.14</v>
      </c>
      <c r="LH1504" s="2">
        <v>51.35</v>
      </c>
      <c r="LI1504" s="2">
        <v>53.1</v>
      </c>
      <c r="LJ1504" s="2">
        <v>57.55</v>
      </c>
      <c r="LW1504" s="2">
        <v>58.72</v>
      </c>
      <c r="LX1504" s="2">
        <v>60.28</v>
      </c>
      <c r="LY1504" s="2">
        <v>62.19</v>
      </c>
      <c r="LZ1504" s="2">
        <v>68.98</v>
      </c>
      <c r="MM1504" s="2">
        <v>68.56999999999999</v>
      </c>
      <c r="MN1504" s="2">
        <v>68.90000000000001</v>
      </c>
      <c r="MO1504" s="2">
        <v>68.3</v>
      </c>
      <c r="MP1504" s="2">
        <v>69.77</v>
      </c>
      <c r="NC1504" s="2">
        <v>70.62</v>
      </c>
      <c r="ND1504" s="2">
        <v>71.3</v>
      </c>
      <c r="NE1504" s="2">
        <v>71.98</v>
      </c>
      <c r="NF1504" s="2">
        <v>73.06999999999999</v>
      </c>
      <c r="NS1504" s="2">
        <v>73.45999999999999</v>
      </c>
      <c r="NT1504" s="2">
        <v>74.26000000000001</v>
      </c>
      <c r="NU1504" s="2">
        <v>75.54000000000001</v>
      </c>
      <c r="NV1504" s="2">
        <v>80.8</v>
      </c>
      <c r="OI1504" s="2">
        <v>81.73</v>
      </c>
      <c r="OJ1504" s="2">
        <v>84.22</v>
      </c>
      <c r="OK1504" s="2">
        <v>85.65000000000001</v>
      </c>
      <c r="OL1504" s="2">
        <v>90.64</v>
      </c>
      <c r="OY1504" s="2">
        <v>92.08</v>
      </c>
      <c r="OZ1504" s="2">
        <v>93.95</v>
      </c>
      <c r="PA1504" s="2">
        <v>96.66</v>
      </c>
      <c r="PB1504" s="2">
        <v>101.6</v>
      </c>
      <c r="PJ1504" s="2">
        <v>102.68</v>
      </c>
      <c r="PK1504" s="2">
        <v>104.23</v>
      </c>
    </row>
    <row r="1505">
      <c r="A1505" t="inlineStr">
        <is>
          <t>A2325936J</t>
        </is>
      </c>
      <c r="B1505" t="inlineStr">
        <is>
          <t>Index Numbers ;  Clothing and footwear ;  Australia ;</t>
        </is>
      </c>
      <c r="C1505" t="inlineStr">
        <is>
          <t>Quarter</t>
        </is>
      </c>
      <c r="D1505" t="inlineStr">
        <is>
          <t>Index Numbers</t>
        </is>
      </c>
      <c r="E1505" t="inlineStr">
        <is>
          <t>Original</t>
        </is>
      </c>
      <c r="F1505" t="inlineStr">
        <is>
          <t>6401018.xlsx</t>
        </is>
      </c>
      <c r="G1505" t="inlineStr">
        <is>
          <t>1972Q3</t>
        </is>
      </c>
      <c r="H1505" t="inlineStr">
        <is>
          <t>2026Q2</t>
        </is>
      </c>
      <c r="DA1505" s="2">
        <v>18.84</v>
      </c>
      <c r="DB1505" s="2">
        <v>19.11</v>
      </c>
      <c r="DC1505" s="2">
        <v>19.38</v>
      </c>
      <c r="DD1505" s="2">
        <v>20.19</v>
      </c>
      <c r="DE1505" s="2">
        <v>20.73</v>
      </c>
      <c r="DF1505" s="2">
        <v>21.63</v>
      </c>
      <c r="DG1505" s="2">
        <v>22.08</v>
      </c>
      <c r="DH1505" s="2">
        <v>23.7</v>
      </c>
      <c r="DI1505" s="2">
        <v>24.79</v>
      </c>
      <c r="DJ1505" s="2">
        <v>26.59</v>
      </c>
      <c r="DK1505" s="2">
        <v>26.95</v>
      </c>
      <c r="DL1505" s="2">
        <v>28.12</v>
      </c>
      <c r="DM1505" s="2">
        <v>28.75</v>
      </c>
      <c r="DN1505" s="2">
        <v>30.82</v>
      </c>
      <c r="DO1505" s="2">
        <v>31.18</v>
      </c>
      <c r="DP1505" s="2">
        <v>32.99</v>
      </c>
      <c r="DQ1505" s="2">
        <v>33.53</v>
      </c>
      <c r="DR1505" s="2">
        <v>35.78</v>
      </c>
      <c r="DS1505" s="2">
        <v>36.32</v>
      </c>
      <c r="DT1505" s="2">
        <v>37.58</v>
      </c>
      <c r="DU1505" s="2">
        <v>38.21</v>
      </c>
      <c r="DV1505" s="2">
        <v>39.48</v>
      </c>
      <c r="DW1505" s="2">
        <v>39.93</v>
      </c>
      <c r="DX1505" s="2">
        <v>40.92</v>
      </c>
      <c r="DY1505" s="2">
        <v>41.37</v>
      </c>
      <c r="DZ1505" s="2">
        <v>42.36</v>
      </c>
      <c r="EA1505" s="2">
        <v>42.54</v>
      </c>
      <c r="EB1505" s="2">
        <v>43.8</v>
      </c>
      <c r="EC1505" s="2">
        <v>44.43</v>
      </c>
      <c r="ED1505" s="2">
        <v>45.15</v>
      </c>
      <c r="EE1505" s="2">
        <v>45.43</v>
      </c>
      <c r="EF1505" s="2">
        <v>46.78</v>
      </c>
      <c r="EG1505" s="2">
        <v>47.32</v>
      </c>
      <c r="EH1505" s="2">
        <v>48.4</v>
      </c>
      <c r="EI1505" s="2">
        <v>48.85</v>
      </c>
      <c r="EJ1505" s="2">
        <v>50.29</v>
      </c>
      <c r="EK1505" s="2">
        <v>50.74</v>
      </c>
      <c r="EL1505" s="2">
        <v>52.09</v>
      </c>
      <c r="EM1505" s="2">
        <v>52.28</v>
      </c>
      <c r="EN1505" s="2">
        <v>53.63</v>
      </c>
      <c r="EO1505" s="2">
        <v>54.17</v>
      </c>
      <c r="EP1505" s="2">
        <v>55.43</v>
      </c>
      <c r="EQ1505" s="2">
        <v>55.52</v>
      </c>
      <c r="ER1505" s="2">
        <v>57.41</v>
      </c>
      <c r="ES1505" s="2">
        <v>57.41</v>
      </c>
      <c r="ET1505" s="2">
        <v>58.67</v>
      </c>
      <c r="EU1505" s="2">
        <v>58.85</v>
      </c>
      <c r="EV1505" s="2">
        <v>60.57</v>
      </c>
      <c r="EW1505" s="2">
        <v>60.84</v>
      </c>
      <c r="EX1505" s="2">
        <v>62.37</v>
      </c>
      <c r="EY1505" s="2">
        <v>62.55</v>
      </c>
      <c r="EZ1505" s="2">
        <v>64.26000000000001</v>
      </c>
      <c r="FA1505" s="2">
        <v>65.06999999999999</v>
      </c>
      <c r="FB1505" s="2">
        <v>67.23999999999999</v>
      </c>
      <c r="FC1505" s="2">
        <v>67.69</v>
      </c>
      <c r="FD1505" s="2">
        <v>70.84</v>
      </c>
      <c r="FE1505" s="2">
        <v>71.2</v>
      </c>
      <c r="FF1505" s="2">
        <v>74.18000000000001</v>
      </c>
      <c r="FG1505" s="2">
        <v>74.63</v>
      </c>
      <c r="FH1505" s="2">
        <v>76.88</v>
      </c>
      <c r="FI1505" s="2">
        <v>77.51000000000001</v>
      </c>
      <c r="FJ1505" s="2">
        <v>79.76000000000001</v>
      </c>
      <c r="FK1505" s="2">
        <v>79.84999999999999</v>
      </c>
      <c r="FL1505" s="2">
        <v>82.83</v>
      </c>
      <c r="FM1505" s="2">
        <v>83.19</v>
      </c>
      <c r="FN1505" s="2">
        <v>85.70999999999999</v>
      </c>
      <c r="FO1505" s="2">
        <v>85.70999999999999</v>
      </c>
      <c r="FP1505" s="2">
        <v>88.06</v>
      </c>
      <c r="FQ1505" s="2">
        <v>88.23999999999999</v>
      </c>
      <c r="FR1505" s="2">
        <v>90.04000000000001</v>
      </c>
      <c r="FS1505" s="2">
        <v>90.13</v>
      </c>
      <c r="FT1505" s="2">
        <v>91.93000000000001</v>
      </c>
      <c r="FU1505" s="2">
        <v>92.56</v>
      </c>
      <c r="FV1505" s="2">
        <v>94.09999999999999</v>
      </c>
      <c r="FW1505" s="2">
        <v>94.55</v>
      </c>
      <c r="FX1505" s="2">
        <v>95.90000000000001</v>
      </c>
      <c r="FY1505" s="2">
        <v>95.54000000000001</v>
      </c>
      <c r="FZ1505" s="2">
        <v>95.98999999999999</v>
      </c>
      <c r="GA1505" s="2">
        <v>95.81</v>
      </c>
      <c r="GB1505" s="2">
        <v>96.26000000000001</v>
      </c>
      <c r="GC1505" s="2">
        <v>96.08</v>
      </c>
      <c r="GD1505" s="2">
        <v>97.16</v>
      </c>
      <c r="GE1505" s="2">
        <v>96.89</v>
      </c>
      <c r="GF1505" s="2">
        <v>97.43000000000001</v>
      </c>
      <c r="GG1505" s="2">
        <v>96.53</v>
      </c>
      <c r="GH1505" s="2">
        <v>96.26000000000001</v>
      </c>
      <c r="GI1505" s="2">
        <v>95.81</v>
      </c>
      <c r="GJ1505" s="2">
        <v>95.90000000000001</v>
      </c>
      <c r="GK1505" s="2">
        <v>96.08</v>
      </c>
      <c r="GL1505" s="2">
        <v>96.26000000000001</v>
      </c>
      <c r="GM1505" s="2">
        <v>95.72</v>
      </c>
      <c r="GN1505" s="2">
        <v>96.62</v>
      </c>
      <c r="GO1505" s="2">
        <v>96.17</v>
      </c>
      <c r="GP1505" s="2">
        <v>96.53</v>
      </c>
      <c r="GQ1505" s="2">
        <v>96.26000000000001</v>
      </c>
      <c r="GR1505" s="2">
        <v>96.8</v>
      </c>
      <c r="GS1505" s="2">
        <v>96.62</v>
      </c>
      <c r="GT1505" s="2">
        <v>96.89</v>
      </c>
      <c r="GU1505" s="2">
        <v>96.44</v>
      </c>
      <c r="GV1505" s="2">
        <v>96.70999999999999</v>
      </c>
      <c r="GW1505" s="2">
        <v>96.53</v>
      </c>
      <c r="GX1505" s="2">
        <v>97.16</v>
      </c>
      <c r="GY1505" s="2">
        <v>96.8</v>
      </c>
      <c r="GZ1505" s="2">
        <v>96.70999999999999</v>
      </c>
      <c r="HA1505" s="2">
        <v>96.45</v>
      </c>
      <c r="HB1505" s="2">
        <v>96.39</v>
      </c>
      <c r="HC1505" s="2">
        <v>95.83</v>
      </c>
      <c r="HD1505" s="2">
        <v>96.13</v>
      </c>
      <c r="HE1505" s="2">
        <v>95.73</v>
      </c>
      <c r="HF1505" s="2">
        <v>94.8</v>
      </c>
      <c r="HG1505" s="2">
        <v>94.45999999999999</v>
      </c>
      <c r="HH1505" s="2">
        <v>95.3</v>
      </c>
      <c r="HI1505" s="2">
        <v>102.33</v>
      </c>
      <c r="HJ1505" s="2">
        <v>101.95</v>
      </c>
      <c r="HK1505" s="2">
        <v>99.8</v>
      </c>
      <c r="HL1505" s="2">
        <v>101.42</v>
      </c>
      <c r="HM1505" s="2">
        <v>100.15</v>
      </c>
      <c r="HN1505" s="2">
        <v>101.55</v>
      </c>
      <c r="HO1505" s="2">
        <v>101.16</v>
      </c>
      <c r="HP1505" s="2">
        <v>102.48</v>
      </c>
      <c r="HQ1505" s="2">
        <v>101.81</v>
      </c>
      <c r="HR1505" s="2">
        <v>102.74</v>
      </c>
      <c r="HS1505" s="2">
        <v>101.3</v>
      </c>
      <c r="HT1505" s="2">
        <v>102.49</v>
      </c>
      <c r="HU1505" s="2">
        <v>102.15</v>
      </c>
      <c r="HV1505" s="2">
        <v>101.91</v>
      </c>
      <c r="HW1505" s="2">
        <v>100.5</v>
      </c>
      <c r="HX1505" s="2">
        <v>101.58</v>
      </c>
      <c r="HY1505" s="2">
        <v>101.36</v>
      </c>
      <c r="HZ1505" s="2">
        <v>99.95999999999999</v>
      </c>
      <c r="IA1505" s="2">
        <v>98.59999999999999</v>
      </c>
      <c r="IB1505" s="2">
        <v>99.42</v>
      </c>
      <c r="IC1505" s="2">
        <v>99.56</v>
      </c>
      <c r="ID1505" s="2">
        <v>99.41</v>
      </c>
      <c r="IE1505" s="2">
        <v>96.88</v>
      </c>
      <c r="IF1505" s="2">
        <v>97.72</v>
      </c>
      <c r="IG1505" s="2">
        <v>97.83</v>
      </c>
      <c r="IH1505" s="2">
        <v>97.42</v>
      </c>
      <c r="II1505" s="2">
        <v>97.09999999999999</v>
      </c>
      <c r="IJ1505" s="2">
        <v>98.45</v>
      </c>
      <c r="IK1505" s="2">
        <v>98.76000000000001</v>
      </c>
      <c r="IL1505" s="2">
        <v>99</v>
      </c>
      <c r="IM1505" s="2">
        <v>96.58</v>
      </c>
      <c r="IN1505" s="2">
        <v>99.45999999999999</v>
      </c>
      <c r="IO1505" s="2">
        <v>98.77</v>
      </c>
      <c r="IP1505" s="2">
        <v>99.13</v>
      </c>
      <c r="IQ1505" s="2">
        <v>98.67</v>
      </c>
      <c r="IR1505" s="2">
        <v>100.76</v>
      </c>
      <c r="IS1505" s="2">
        <v>101.05</v>
      </c>
      <c r="IT1505" s="2">
        <v>101.26</v>
      </c>
      <c r="IU1505" s="2">
        <v>96.92</v>
      </c>
      <c r="IV1505" s="2">
        <v>96.93000000000001</v>
      </c>
      <c r="IW1505" s="2">
        <v>98.2</v>
      </c>
      <c r="IX1505" s="2">
        <v>96.38</v>
      </c>
      <c r="IY1505" s="2">
        <v>95.66</v>
      </c>
      <c r="IZ1505" s="2">
        <v>97.97</v>
      </c>
      <c r="JA1505" s="2">
        <v>99.43000000000001</v>
      </c>
      <c r="JB1505" s="2">
        <v>98.83</v>
      </c>
      <c r="JC1505" s="2">
        <v>97.06999999999999</v>
      </c>
      <c r="JD1505" s="2">
        <v>98.51000000000001</v>
      </c>
      <c r="JE1505" s="2">
        <v>98.63</v>
      </c>
      <c r="JF1505" s="2">
        <v>99.48</v>
      </c>
      <c r="JG1505" s="2">
        <v>95.63</v>
      </c>
      <c r="JH1505" s="2">
        <v>98.16</v>
      </c>
      <c r="JI1505" s="2">
        <v>99.26000000000001</v>
      </c>
      <c r="JJ1505" s="2">
        <v>98.16</v>
      </c>
      <c r="JK1505" s="2">
        <v>96.06</v>
      </c>
      <c r="JL1505" s="2">
        <v>97.61</v>
      </c>
      <c r="JM1505" s="2">
        <v>96.62</v>
      </c>
      <c r="JN1505" s="2">
        <v>96.73</v>
      </c>
      <c r="JO1505" s="2">
        <v>95.40000000000001</v>
      </c>
      <c r="JP1505" s="2">
        <v>96.73</v>
      </c>
      <c r="JQ1505" s="2">
        <v>95.61</v>
      </c>
      <c r="JR1505" s="2">
        <v>97.15000000000001</v>
      </c>
      <c r="JS1505" s="2">
        <v>94.63</v>
      </c>
      <c r="JT1505" s="2">
        <v>96.51000000000001</v>
      </c>
      <c r="JU1505" s="2">
        <v>96.76000000000001</v>
      </c>
      <c r="JV1505" s="2">
        <v>96.31999999999999</v>
      </c>
      <c r="KA1505" s="2">
        <v>94.89</v>
      </c>
      <c r="KB1505" s="2">
        <v>94.63</v>
      </c>
      <c r="KC1505" s="2">
        <v>93.70999999999999</v>
      </c>
      <c r="KD1505" s="2">
        <v>93.43000000000001</v>
      </c>
      <c r="KQ1505" s="2">
        <v>91.58</v>
      </c>
      <c r="KR1505" s="2">
        <v>92.75</v>
      </c>
      <c r="KS1505" s="2">
        <v>92.93000000000001</v>
      </c>
      <c r="KT1505" s="2">
        <v>92.77</v>
      </c>
      <c r="LG1505" s="2">
        <v>91.52</v>
      </c>
      <c r="LH1505" s="2">
        <v>92.97</v>
      </c>
      <c r="LI1505" s="2">
        <v>94.29000000000001</v>
      </c>
      <c r="LJ1505" s="2">
        <v>94.03</v>
      </c>
      <c r="LW1505" s="2">
        <v>93.3</v>
      </c>
      <c r="LX1505" s="2">
        <v>93.39</v>
      </c>
      <c r="LY1505" s="2">
        <v>93.86</v>
      </c>
      <c r="LZ1505" s="2">
        <v>92.88</v>
      </c>
      <c r="MM1505" s="2">
        <v>93.34999999999999</v>
      </c>
      <c r="MN1505" s="2">
        <v>93.78</v>
      </c>
      <c r="MO1505" s="2">
        <v>90.23</v>
      </c>
      <c r="MP1505" s="2">
        <v>92.53</v>
      </c>
      <c r="NC1505" s="2">
        <v>91.92</v>
      </c>
      <c r="ND1505" s="2">
        <v>95.23</v>
      </c>
      <c r="NE1505" s="2">
        <v>95.04000000000001</v>
      </c>
      <c r="NF1505" s="2">
        <v>97.45</v>
      </c>
      <c r="NS1505" s="2">
        <v>94.92</v>
      </c>
      <c r="NT1505" s="2">
        <v>95.45999999999999</v>
      </c>
      <c r="NU1505" s="2">
        <v>95.87</v>
      </c>
      <c r="NV1505" s="2">
        <v>96.43000000000001</v>
      </c>
      <c r="OI1505" s="2">
        <v>95.31</v>
      </c>
      <c r="OJ1505" s="2">
        <v>98.23999999999999</v>
      </c>
      <c r="OK1505" s="2">
        <v>97.53</v>
      </c>
      <c r="OL1505" s="2">
        <v>97.69</v>
      </c>
      <c r="OY1505" s="2">
        <v>96.86</v>
      </c>
      <c r="OZ1505" s="2">
        <v>99.44</v>
      </c>
      <c r="PA1505" s="2">
        <v>99.95999999999999</v>
      </c>
      <c r="PB1505" s="2">
        <v>99.83</v>
      </c>
      <c r="PJ1505" s="2">
        <v>102.12</v>
      </c>
      <c r="PK1505" s="2">
        <v>103.23</v>
      </c>
    </row>
    <row r="1506">
      <c r="A1506" t="inlineStr">
        <is>
          <t>A3604368V</t>
        </is>
      </c>
      <c r="B1506" t="inlineStr">
        <is>
          <t>Index Numbers ;  Garments ;  Australia ;</t>
        </is>
      </c>
      <c r="C1506" t="inlineStr">
        <is>
          <t>Quarter</t>
        </is>
      </c>
      <c r="D1506" t="inlineStr">
        <is>
          <t>Index Numbers</t>
        </is>
      </c>
      <c r="E1506" t="inlineStr">
        <is>
          <t>Original</t>
        </is>
      </c>
      <c r="F1506" t="inlineStr">
        <is>
          <t>6401018.xlsx</t>
        </is>
      </c>
      <c r="G1506" t="inlineStr">
        <is>
          <t>1989Q3</t>
        </is>
      </c>
      <c r="H1506" t="inlineStr">
        <is>
          <t>2026Q2</t>
        </is>
      </c>
      <c r="FQ1506" s="2">
        <v>102.29</v>
      </c>
      <c r="FR1506" s="2">
        <v>104.59</v>
      </c>
      <c r="FS1506" s="2">
        <v>104.49</v>
      </c>
      <c r="FT1506" s="2">
        <v>106.89</v>
      </c>
      <c r="FU1506" s="2">
        <v>107.42</v>
      </c>
      <c r="FV1506" s="2">
        <v>109.4</v>
      </c>
      <c r="FW1506" s="2">
        <v>109.82</v>
      </c>
      <c r="FX1506" s="2">
        <v>111.29</v>
      </c>
      <c r="FY1506" s="2">
        <v>110.76</v>
      </c>
      <c r="FZ1506" s="2">
        <v>111.29</v>
      </c>
      <c r="GA1506" s="2">
        <v>110.97</v>
      </c>
      <c r="GB1506" s="2">
        <v>111.81</v>
      </c>
      <c r="GC1506" s="2">
        <v>111.7</v>
      </c>
      <c r="GD1506" s="2">
        <v>112.96</v>
      </c>
      <c r="GE1506" s="2">
        <v>112.75</v>
      </c>
      <c r="GF1506" s="2">
        <v>113.59</v>
      </c>
      <c r="GG1506" s="2">
        <v>112.65</v>
      </c>
      <c r="GH1506" s="2">
        <v>112.23</v>
      </c>
      <c r="GI1506" s="2">
        <v>112.12</v>
      </c>
      <c r="GJ1506" s="2">
        <v>112.23</v>
      </c>
      <c r="GK1506" s="2">
        <v>112.54</v>
      </c>
      <c r="GL1506" s="2">
        <v>112.54</v>
      </c>
      <c r="GM1506" s="2">
        <v>112.33</v>
      </c>
      <c r="GN1506" s="2">
        <v>113.27</v>
      </c>
      <c r="GO1506" s="2">
        <v>113.27</v>
      </c>
      <c r="GP1506" s="2">
        <v>113.06</v>
      </c>
      <c r="GQ1506" s="2">
        <v>112.96</v>
      </c>
      <c r="GR1506" s="2">
        <v>113.38</v>
      </c>
      <c r="GS1506" s="2">
        <v>113.38</v>
      </c>
      <c r="GT1506" s="2">
        <v>113.48</v>
      </c>
      <c r="GU1506" s="2">
        <v>113.27</v>
      </c>
      <c r="GV1506" s="2">
        <v>114.21</v>
      </c>
      <c r="GW1506" s="2">
        <v>114.01</v>
      </c>
      <c r="GX1506" s="2">
        <v>114.84</v>
      </c>
      <c r="GY1506" s="2">
        <v>114.53</v>
      </c>
      <c r="GZ1506" s="2">
        <v>114.53</v>
      </c>
      <c r="HA1506" s="2">
        <v>114.42</v>
      </c>
      <c r="HB1506" s="2">
        <v>114.01</v>
      </c>
      <c r="HC1506" s="2">
        <v>113.59</v>
      </c>
      <c r="HD1506" s="2">
        <v>113.59</v>
      </c>
      <c r="HE1506" s="2">
        <v>113.27</v>
      </c>
      <c r="HF1506" s="2">
        <v>112.02</v>
      </c>
      <c r="HG1506" s="2">
        <v>111.5</v>
      </c>
      <c r="HH1506" s="2">
        <v>113.17</v>
      </c>
      <c r="HI1506" s="2">
        <v>122.9</v>
      </c>
      <c r="HJ1506" s="2">
        <v>121.85</v>
      </c>
      <c r="HK1506" s="2">
        <v>118.19</v>
      </c>
      <c r="HL1506" s="2">
        <v>120.7</v>
      </c>
      <c r="HM1506" s="2">
        <v>117.88</v>
      </c>
      <c r="HN1506" s="2">
        <v>120.7</v>
      </c>
      <c r="HO1506" s="2">
        <v>119.76</v>
      </c>
      <c r="HP1506" s="2">
        <v>121.85</v>
      </c>
      <c r="HQ1506" s="2">
        <v>119.86</v>
      </c>
      <c r="HR1506" s="2">
        <v>122.16</v>
      </c>
      <c r="HS1506" s="2">
        <v>119.86</v>
      </c>
      <c r="HT1506" s="2">
        <v>121.43</v>
      </c>
      <c r="HU1506" s="2">
        <v>121.22</v>
      </c>
      <c r="HV1506" s="2">
        <v>121.01</v>
      </c>
      <c r="HW1506" s="2">
        <v>119.55</v>
      </c>
      <c r="HX1506" s="2">
        <v>121.01</v>
      </c>
      <c r="HY1506" s="2">
        <v>120.28</v>
      </c>
      <c r="HZ1506" s="2">
        <v>118.08</v>
      </c>
      <c r="IA1506" s="2">
        <v>115.89</v>
      </c>
      <c r="IB1506" s="2">
        <v>117.25</v>
      </c>
      <c r="IC1506" s="2">
        <v>117.25</v>
      </c>
      <c r="ID1506" s="2">
        <v>116.62</v>
      </c>
      <c r="IE1506" s="2">
        <v>113.8</v>
      </c>
      <c r="IF1506" s="2">
        <v>114.11</v>
      </c>
      <c r="IG1506" s="2">
        <v>114.01</v>
      </c>
      <c r="IH1506" s="2">
        <v>113.8</v>
      </c>
      <c r="II1506" s="2">
        <v>113.48</v>
      </c>
      <c r="IJ1506" s="2">
        <v>115.05</v>
      </c>
      <c r="IK1506" s="2">
        <v>114.84</v>
      </c>
      <c r="IL1506" s="2">
        <v>114.63</v>
      </c>
      <c r="IM1506" s="2">
        <v>112.44</v>
      </c>
      <c r="IN1506" s="2">
        <v>115.47</v>
      </c>
      <c r="IO1506" s="2">
        <v>114.01</v>
      </c>
      <c r="IP1506" s="2">
        <v>113.9</v>
      </c>
      <c r="IQ1506" s="2">
        <v>113.9</v>
      </c>
      <c r="IR1506" s="2">
        <v>116.2</v>
      </c>
      <c r="IS1506" s="2">
        <v>116.31</v>
      </c>
      <c r="IT1506" s="2">
        <v>116.62</v>
      </c>
      <c r="IU1506" s="2">
        <v>110.34</v>
      </c>
      <c r="IV1506" s="2">
        <v>110.55</v>
      </c>
      <c r="IW1506" s="2">
        <v>111.5</v>
      </c>
      <c r="IX1506" s="2">
        <v>109.19</v>
      </c>
      <c r="IY1506" s="2">
        <v>108.25</v>
      </c>
      <c r="IZ1506" s="2">
        <v>109.51</v>
      </c>
      <c r="JA1506" s="2">
        <v>110.21</v>
      </c>
      <c r="JB1506" s="2">
        <v>110.45</v>
      </c>
      <c r="JC1506" s="2">
        <v>106.69</v>
      </c>
      <c r="JD1506" s="2">
        <v>108.8</v>
      </c>
      <c r="JE1506" s="2">
        <v>109.87</v>
      </c>
      <c r="JF1506" s="2">
        <v>108.98</v>
      </c>
      <c r="JG1506" s="2">
        <v>105.42</v>
      </c>
      <c r="JH1506" s="2">
        <v>108.59</v>
      </c>
      <c r="JI1506" s="2">
        <v>109.13</v>
      </c>
      <c r="JJ1506" s="2">
        <v>108.31</v>
      </c>
      <c r="JK1506" s="2">
        <v>106.04</v>
      </c>
      <c r="JL1506" s="2">
        <v>108.03</v>
      </c>
      <c r="JM1506" s="2">
        <v>106.34</v>
      </c>
      <c r="JN1506" s="2">
        <v>106.02</v>
      </c>
      <c r="JO1506" s="2">
        <v>103.75</v>
      </c>
      <c r="JP1506" s="2">
        <v>105.94</v>
      </c>
      <c r="JQ1506" s="2">
        <v>105.09</v>
      </c>
      <c r="JR1506" s="2">
        <v>105.83</v>
      </c>
      <c r="JS1506" s="2">
        <v>103.7</v>
      </c>
      <c r="JT1506" s="2">
        <v>105.68</v>
      </c>
      <c r="JU1506" s="2">
        <v>104.46</v>
      </c>
      <c r="JV1506" s="2">
        <v>105.29</v>
      </c>
      <c r="KA1506" s="2">
        <v>102.42</v>
      </c>
      <c r="KB1506" s="2">
        <v>101.41</v>
      </c>
      <c r="KC1506" s="2">
        <v>100.03</v>
      </c>
      <c r="KD1506" s="2">
        <v>99.59</v>
      </c>
      <c r="KQ1506" s="2">
        <v>96.84999999999999</v>
      </c>
      <c r="KR1506" s="2">
        <v>98.34999999999999</v>
      </c>
      <c r="KS1506" s="2">
        <v>98.59999999999999</v>
      </c>
      <c r="KT1506" s="2">
        <v>99</v>
      </c>
      <c r="LG1506" s="2">
        <v>97.23999999999999</v>
      </c>
      <c r="LH1506" s="2">
        <v>99.56</v>
      </c>
      <c r="LI1506" s="2">
        <v>100.7</v>
      </c>
      <c r="LJ1506" s="2">
        <v>99.29000000000001</v>
      </c>
      <c r="LW1506" s="2">
        <v>98.18000000000001</v>
      </c>
      <c r="LX1506" s="2">
        <v>99.03</v>
      </c>
      <c r="LY1506" s="2">
        <v>99.95999999999999</v>
      </c>
      <c r="LZ1506" s="2">
        <v>97.67</v>
      </c>
      <c r="MM1506" s="2">
        <v>96.37</v>
      </c>
      <c r="MN1506" s="2">
        <v>97.33</v>
      </c>
      <c r="MO1506" s="2">
        <v>92.06999999999999</v>
      </c>
      <c r="MP1506" s="2">
        <v>94.59999999999999</v>
      </c>
      <c r="NC1506" s="2">
        <v>93.56</v>
      </c>
      <c r="ND1506" s="2">
        <v>97.66</v>
      </c>
      <c r="NE1506" s="2">
        <v>97.81</v>
      </c>
      <c r="NF1506" s="2">
        <v>99.81999999999999</v>
      </c>
      <c r="NS1506" s="2">
        <v>96.65000000000001</v>
      </c>
      <c r="NT1506" s="2">
        <v>98.12</v>
      </c>
      <c r="NU1506" s="2">
        <v>97.19</v>
      </c>
      <c r="NV1506" s="2">
        <v>98.98</v>
      </c>
      <c r="OI1506" s="2">
        <v>98.45</v>
      </c>
      <c r="OJ1506" s="2">
        <v>101.13</v>
      </c>
      <c r="OK1506" s="2">
        <v>99.93000000000001</v>
      </c>
      <c r="OL1506" s="2">
        <v>99.61</v>
      </c>
      <c r="OY1506" s="2">
        <v>98.56</v>
      </c>
      <c r="OZ1506" s="2">
        <v>102.03</v>
      </c>
      <c r="PA1506" s="2">
        <v>101.32</v>
      </c>
      <c r="PB1506" s="2">
        <v>100.58</v>
      </c>
      <c r="PJ1506" s="2">
        <v>102.22</v>
      </c>
      <c r="PK1506" s="2">
        <v>102.95</v>
      </c>
    </row>
    <row r="1507">
      <c r="A1507" t="inlineStr">
        <is>
          <t>A2329581F</t>
        </is>
      </c>
      <c r="B1507" t="inlineStr">
        <is>
          <t>Index Numbers ;  Garments for men ;  Australia ;</t>
        </is>
      </c>
      <c r="C1507" t="inlineStr">
        <is>
          <t>Quarter</t>
        </is>
      </c>
      <c r="D1507" t="inlineStr">
        <is>
          <t>Index Numbers</t>
        </is>
      </c>
      <c r="E1507" t="inlineStr">
        <is>
          <t>Original</t>
        </is>
      </c>
      <c r="F1507" t="inlineStr">
        <is>
          <t>6401018.xlsx</t>
        </is>
      </c>
      <c r="G1507" t="inlineStr">
        <is>
          <t>1989Q3</t>
        </is>
      </c>
      <c r="H1507" t="inlineStr">
        <is>
          <t>2026Q2</t>
        </is>
      </c>
      <c r="FQ1507" s="2">
        <v>99.25</v>
      </c>
      <c r="FR1507" s="2">
        <v>100.77</v>
      </c>
      <c r="FS1507" s="2">
        <v>100.56</v>
      </c>
      <c r="FT1507" s="2">
        <v>103.7</v>
      </c>
      <c r="FU1507" s="2">
        <v>104.71</v>
      </c>
      <c r="FV1507" s="2">
        <v>105.21</v>
      </c>
      <c r="FW1507" s="2">
        <v>106.22</v>
      </c>
      <c r="FX1507" s="2">
        <v>108.95</v>
      </c>
      <c r="FY1507" s="2">
        <v>107.13</v>
      </c>
      <c r="FZ1507" s="2">
        <v>109.46</v>
      </c>
      <c r="GA1507" s="2">
        <v>108.45</v>
      </c>
      <c r="GB1507" s="2">
        <v>108.85</v>
      </c>
      <c r="GC1507" s="2">
        <v>109.05</v>
      </c>
      <c r="GD1507" s="2">
        <v>110.16</v>
      </c>
      <c r="GE1507" s="2">
        <v>110.27</v>
      </c>
      <c r="GF1507" s="2">
        <v>111.07</v>
      </c>
      <c r="GG1507" s="2">
        <v>108.45</v>
      </c>
      <c r="GH1507" s="2">
        <v>109.05</v>
      </c>
      <c r="GI1507" s="2">
        <v>109.36</v>
      </c>
      <c r="GJ1507" s="2">
        <v>109.96</v>
      </c>
      <c r="GK1507" s="2">
        <v>110.47</v>
      </c>
      <c r="GL1507" s="2">
        <v>110.47</v>
      </c>
      <c r="GM1507" s="2">
        <v>110.06</v>
      </c>
      <c r="GN1507" s="2">
        <v>111.28</v>
      </c>
      <c r="GO1507" s="2">
        <v>111.28</v>
      </c>
      <c r="GP1507" s="2">
        <v>111.58</v>
      </c>
      <c r="GQ1507" s="2">
        <v>111.38</v>
      </c>
      <c r="GR1507" s="2">
        <v>112.29</v>
      </c>
      <c r="GS1507" s="2">
        <v>111.48</v>
      </c>
      <c r="GT1507" s="2">
        <v>111.68</v>
      </c>
      <c r="GU1507" s="2">
        <v>111.38</v>
      </c>
      <c r="GV1507" s="2">
        <v>111.88</v>
      </c>
      <c r="GW1507" s="2">
        <v>111.48</v>
      </c>
      <c r="GX1507" s="2">
        <v>111.88</v>
      </c>
      <c r="GY1507" s="2">
        <v>111.07</v>
      </c>
      <c r="GZ1507" s="2">
        <v>112.08</v>
      </c>
      <c r="HA1507" s="2">
        <v>112.07</v>
      </c>
      <c r="HB1507" s="2">
        <v>109.94</v>
      </c>
      <c r="HC1507" s="2">
        <v>110.03</v>
      </c>
      <c r="HD1507" s="2">
        <v>110.06</v>
      </c>
      <c r="HE1507" s="2">
        <v>109.35</v>
      </c>
      <c r="HF1507" s="2">
        <v>109.06</v>
      </c>
      <c r="HG1507" s="2">
        <v>107.63</v>
      </c>
      <c r="HH1507" s="2">
        <v>108.27</v>
      </c>
      <c r="HI1507" s="2">
        <v>117.7</v>
      </c>
      <c r="HJ1507" s="2">
        <v>114.62</v>
      </c>
      <c r="HK1507" s="2">
        <v>112.36</v>
      </c>
      <c r="HL1507" s="2">
        <v>113.66</v>
      </c>
      <c r="HM1507" s="2">
        <v>111.85</v>
      </c>
      <c r="HN1507" s="2">
        <v>113.1</v>
      </c>
      <c r="HO1507" s="2">
        <v>113.3</v>
      </c>
      <c r="HP1507" s="2">
        <v>113.91</v>
      </c>
      <c r="HQ1507" s="2">
        <v>111.91</v>
      </c>
      <c r="HR1507" s="2">
        <v>114.01</v>
      </c>
      <c r="HS1507" s="2">
        <v>111.73</v>
      </c>
      <c r="HT1507" s="2">
        <v>112.5</v>
      </c>
      <c r="HU1507" s="2">
        <v>112.77</v>
      </c>
      <c r="HV1507" s="2">
        <v>112.02</v>
      </c>
      <c r="HW1507" s="2">
        <v>109.58</v>
      </c>
      <c r="HX1507" s="2">
        <v>110.65</v>
      </c>
      <c r="HY1507" s="2">
        <v>110.82</v>
      </c>
      <c r="HZ1507" s="2">
        <v>110.3</v>
      </c>
      <c r="IA1507" s="2">
        <v>107.78</v>
      </c>
      <c r="IB1507" s="2">
        <v>109.85</v>
      </c>
      <c r="IC1507" s="2">
        <v>108.84</v>
      </c>
      <c r="ID1507" s="2">
        <v>108.53</v>
      </c>
      <c r="IE1507" s="2">
        <v>105.56</v>
      </c>
      <c r="IF1507" s="2">
        <v>107.84</v>
      </c>
      <c r="IG1507" s="2">
        <v>107.42</v>
      </c>
      <c r="IH1507" s="2">
        <v>108</v>
      </c>
      <c r="II1507" s="2">
        <v>105.89</v>
      </c>
      <c r="IJ1507" s="2">
        <v>107.19</v>
      </c>
      <c r="IK1507" s="2">
        <v>108.05</v>
      </c>
      <c r="IL1507" s="2">
        <v>107.8</v>
      </c>
      <c r="IM1507" s="2">
        <v>103.95</v>
      </c>
      <c r="IN1507" s="2">
        <v>109.47</v>
      </c>
      <c r="IO1507" s="2">
        <v>107.35</v>
      </c>
      <c r="IP1507" s="2">
        <v>108.99</v>
      </c>
      <c r="IQ1507" s="2">
        <v>107.62</v>
      </c>
      <c r="IR1507" s="2">
        <v>109.72</v>
      </c>
      <c r="IS1507" s="2">
        <v>109.53</v>
      </c>
      <c r="IT1507" s="2">
        <v>110.76</v>
      </c>
      <c r="IU1507" s="2">
        <v>103.96</v>
      </c>
      <c r="IV1507" s="2">
        <v>103.72</v>
      </c>
      <c r="IW1507" s="2">
        <v>106.79</v>
      </c>
      <c r="IX1507" s="2">
        <v>104.62</v>
      </c>
      <c r="IY1507" s="2">
        <v>103.04</v>
      </c>
      <c r="IZ1507" s="2">
        <v>104.33</v>
      </c>
      <c r="JA1507" s="2">
        <v>105.83</v>
      </c>
      <c r="JB1507" s="2">
        <v>105.46</v>
      </c>
      <c r="JC1507" s="2">
        <v>100.01</v>
      </c>
      <c r="JD1507" s="2">
        <v>102.46</v>
      </c>
      <c r="JE1507" s="2">
        <v>105.45</v>
      </c>
      <c r="JF1507" s="2">
        <v>106.57</v>
      </c>
      <c r="JG1507" s="2">
        <v>100.72</v>
      </c>
      <c r="JH1507" s="2">
        <v>107.92</v>
      </c>
      <c r="JI1507" s="2">
        <v>108.57</v>
      </c>
      <c r="JJ1507" s="2">
        <v>108.3</v>
      </c>
      <c r="JK1507" s="2">
        <v>105.19</v>
      </c>
      <c r="JL1507" s="2">
        <v>108.58</v>
      </c>
      <c r="JM1507" s="2">
        <v>104.62</v>
      </c>
      <c r="JN1507" s="2">
        <v>105.8</v>
      </c>
      <c r="JO1507" s="2">
        <v>103.26</v>
      </c>
      <c r="JP1507" s="2">
        <v>106.91</v>
      </c>
      <c r="JQ1507" s="2">
        <v>106.85</v>
      </c>
      <c r="JR1507" s="2">
        <v>107.2</v>
      </c>
      <c r="JS1507" s="2">
        <v>104.24</v>
      </c>
      <c r="JT1507" s="2">
        <v>105.83</v>
      </c>
      <c r="JU1507" s="2">
        <v>105.19</v>
      </c>
      <c r="JV1507" s="2">
        <v>107.84</v>
      </c>
      <c r="KA1507" s="2">
        <v>103.61</v>
      </c>
      <c r="KB1507" s="2">
        <v>101.69</v>
      </c>
      <c r="KC1507" s="2">
        <v>99.53</v>
      </c>
      <c r="KD1507" s="2">
        <v>100.95</v>
      </c>
      <c r="KQ1507" s="2">
        <v>98.92</v>
      </c>
      <c r="KR1507" s="2">
        <v>97.44</v>
      </c>
      <c r="KS1507" s="2">
        <v>98.91</v>
      </c>
      <c r="KT1507" s="2">
        <v>101.47</v>
      </c>
      <c r="LG1507" s="2">
        <v>102.47</v>
      </c>
      <c r="LH1507" s="2">
        <v>102.14</v>
      </c>
      <c r="LI1507" s="2">
        <v>103.04</v>
      </c>
      <c r="LJ1507" s="2">
        <v>102.76</v>
      </c>
      <c r="LW1507" s="2">
        <v>103.65</v>
      </c>
      <c r="LX1507" s="2">
        <v>101.52</v>
      </c>
      <c r="LY1507" s="2">
        <v>101.67</v>
      </c>
      <c r="LZ1507" s="2">
        <v>103.6</v>
      </c>
      <c r="MM1507" s="2">
        <v>102.51</v>
      </c>
      <c r="MN1507" s="2">
        <v>102.88</v>
      </c>
      <c r="MO1507" s="2">
        <v>97.11</v>
      </c>
      <c r="MP1507" s="2">
        <v>97.31</v>
      </c>
      <c r="NC1507" s="2">
        <v>97.20999999999999</v>
      </c>
      <c r="ND1507" s="2">
        <v>98.88</v>
      </c>
      <c r="NE1507" s="2">
        <v>99.02</v>
      </c>
      <c r="NF1507" s="2">
        <v>103.5</v>
      </c>
      <c r="NS1507" s="2">
        <v>101.77</v>
      </c>
      <c r="NT1507" s="2">
        <v>102.72</v>
      </c>
      <c r="NU1507" s="2">
        <v>101.68</v>
      </c>
      <c r="NV1507" s="2">
        <v>103.34</v>
      </c>
      <c r="OI1507" s="2">
        <v>104.22</v>
      </c>
      <c r="OJ1507" s="2">
        <v>104.44</v>
      </c>
      <c r="OK1507" s="2">
        <v>104.19</v>
      </c>
      <c r="OL1507" s="2">
        <v>102</v>
      </c>
      <c r="OY1507" s="2">
        <v>100.8</v>
      </c>
      <c r="OZ1507" s="2">
        <v>103.26</v>
      </c>
      <c r="PA1507" s="2">
        <v>101.18</v>
      </c>
      <c r="PB1507" s="2">
        <v>100.95</v>
      </c>
      <c r="PJ1507" s="2">
        <v>101.48</v>
      </c>
      <c r="PK1507" s="2">
        <v>101.65</v>
      </c>
    </row>
    <row r="1508">
      <c r="A1508" t="inlineStr">
        <is>
          <t>A2329716C</t>
        </is>
      </c>
      <c r="B1508" t="inlineStr">
        <is>
          <t>Index Numbers ;  Garments for women ;  Australia ;</t>
        </is>
      </c>
      <c r="C1508" t="inlineStr">
        <is>
          <t>Quarter</t>
        </is>
      </c>
      <c r="D1508" t="inlineStr">
        <is>
          <t>Index Numbers</t>
        </is>
      </c>
      <c r="E1508" t="inlineStr">
        <is>
          <t>Original</t>
        </is>
      </c>
      <c r="F1508" t="inlineStr">
        <is>
          <t>6401018.xlsx</t>
        </is>
      </c>
      <c r="G1508" t="inlineStr">
        <is>
          <t>1989Q3</t>
        </is>
      </c>
      <c r="H1508" t="inlineStr">
        <is>
          <t>2026Q2</t>
        </is>
      </c>
      <c r="FQ1508" s="2">
        <v>108.64</v>
      </c>
      <c r="FR1508" s="2">
        <v>111.42</v>
      </c>
      <c r="FS1508" s="2">
        <v>111.75</v>
      </c>
      <c r="FT1508" s="2">
        <v>113.42</v>
      </c>
      <c r="FU1508" s="2">
        <v>113.53</v>
      </c>
      <c r="FV1508" s="2">
        <v>116.43</v>
      </c>
      <c r="FW1508" s="2">
        <v>116.76</v>
      </c>
      <c r="FX1508" s="2">
        <v>117.54</v>
      </c>
      <c r="FY1508" s="2">
        <v>117.65</v>
      </c>
      <c r="FZ1508" s="2">
        <v>117.65</v>
      </c>
      <c r="GA1508" s="2">
        <v>117.76</v>
      </c>
      <c r="GB1508" s="2">
        <v>118.65</v>
      </c>
      <c r="GC1508" s="2">
        <v>118.43</v>
      </c>
      <c r="GD1508" s="2">
        <v>119.43</v>
      </c>
      <c r="GE1508" s="2">
        <v>119.32</v>
      </c>
      <c r="GF1508" s="2">
        <v>120.21</v>
      </c>
      <c r="GG1508" s="2">
        <v>119.99</v>
      </c>
      <c r="GH1508" s="2">
        <v>119.1</v>
      </c>
      <c r="GI1508" s="2">
        <v>119.21</v>
      </c>
      <c r="GJ1508" s="2">
        <v>118.77</v>
      </c>
      <c r="GK1508" s="2">
        <v>118.88</v>
      </c>
      <c r="GL1508" s="2">
        <v>118.88</v>
      </c>
      <c r="GM1508" s="2">
        <v>118.65</v>
      </c>
      <c r="GN1508" s="2">
        <v>119.55</v>
      </c>
      <c r="GO1508" s="2">
        <v>119.55</v>
      </c>
      <c r="GP1508" s="2">
        <v>118.88</v>
      </c>
      <c r="GQ1508" s="2">
        <v>118.77</v>
      </c>
      <c r="GR1508" s="2">
        <v>118.77</v>
      </c>
      <c r="GS1508" s="2">
        <v>118.99</v>
      </c>
      <c r="GT1508" s="2">
        <v>118.88</v>
      </c>
      <c r="GU1508" s="2">
        <v>118.88</v>
      </c>
      <c r="GV1508" s="2">
        <v>119.99</v>
      </c>
      <c r="GW1508" s="2">
        <v>120.1</v>
      </c>
      <c r="GX1508" s="2">
        <v>121.21</v>
      </c>
      <c r="GY1508" s="2">
        <v>121.21</v>
      </c>
      <c r="GZ1508" s="2">
        <v>120.77</v>
      </c>
      <c r="HA1508" s="2">
        <v>120.61</v>
      </c>
      <c r="HB1508" s="2">
        <v>121.09</v>
      </c>
      <c r="HC1508" s="2">
        <v>120.73</v>
      </c>
      <c r="HD1508" s="2">
        <v>120.38</v>
      </c>
      <c r="HE1508" s="2">
        <v>120.01</v>
      </c>
      <c r="HF1508" s="2">
        <v>118.16</v>
      </c>
      <c r="HG1508" s="2">
        <v>118.53</v>
      </c>
      <c r="HH1508" s="2">
        <v>121.08</v>
      </c>
      <c r="HI1508" s="2">
        <v>131.1</v>
      </c>
      <c r="HJ1508" s="2">
        <v>131.22</v>
      </c>
      <c r="HK1508" s="2">
        <v>126.43</v>
      </c>
      <c r="HL1508" s="2">
        <v>129.93</v>
      </c>
      <c r="HM1508" s="2">
        <v>126.41</v>
      </c>
      <c r="HN1508" s="2">
        <v>130.47</v>
      </c>
      <c r="HO1508" s="2">
        <v>128.85</v>
      </c>
      <c r="HP1508" s="2">
        <v>131.41</v>
      </c>
      <c r="HQ1508" s="2">
        <v>129.1</v>
      </c>
      <c r="HR1508" s="2">
        <v>131.3</v>
      </c>
      <c r="HS1508" s="2">
        <v>129.36</v>
      </c>
      <c r="HT1508" s="2">
        <v>131.45</v>
      </c>
      <c r="HU1508" s="2">
        <v>130.37</v>
      </c>
      <c r="HV1508" s="2">
        <v>130.5</v>
      </c>
      <c r="HW1508" s="2">
        <v>130.48</v>
      </c>
      <c r="HX1508" s="2">
        <v>132.34</v>
      </c>
      <c r="HY1508" s="2">
        <v>130.22</v>
      </c>
      <c r="HZ1508" s="2">
        <v>126.69</v>
      </c>
      <c r="IA1508" s="2">
        <v>125.11</v>
      </c>
      <c r="IB1508" s="2">
        <v>125.68</v>
      </c>
      <c r="IC1508" s="2">
        <v>125.9</v>
      </c>
      <c r="ID1508" s="2">
        <v>124.89</v>
      </c>
      <c r="IE1508" s="2">
        <v>122.74</v>
      </c>
      <c r="IF1508" s="2">
        <v>121.14</v>
      </c>
      <c r="IG1508" s="2">
        <v>120.88</v>
      </c>
      <c r="IH1508" s="2">
        <v>120.14</v>
      </c>
      <c r="II1508" s="2">
        <v>120.79</v>
      </c>
      <c r="IJ1508" s="2">
        <v>122.86</v>
      </c>
      <c r="IK1508" s="2">
        <v>122.02</v>
      </c>
      <c r="IL1508" s="2">
        <v>121.52</v>
      </c>
      <c r="IM1508" s="2">
        <v>121</v>
      </c>
      <c r="IN1508" s="2">
        <v>122.2</v>
      </c>
      <c r="IO1508" s="2">
        <v>121.47</v>
      </c>
      <c r="IP1508" s="2">
        <v>120.01</v>
      </c>
      <c r="IQ1508" s="2">
        <v>121.64</v>
      </c>
      <c r="IR1508" s="2">
        <v>123.83</v>
      </c>
      <c r="IS1508" s="2">
        <v>123.53</v>
      </c>
      <c r="IT1508" s="2">
        <v>123.07</v>
      </c>
      <c r="IU1508" s="2">
        <v>118.75</v>
      </c>
      <c r="IV1508" s="2">
        <v>118.72</v>
      </c>
      <c r="IW1508" s="2">
        <v>118.05</v>
      </c>
      <c r="IX1508" s="2">
        <v>115.31</v>
      </c>
      <c r="IY1508" s="2">
        <v>115.8</v>
      </c>
      <c r="IZ1508" s="2">
        <v>116.76</v>
      </c>
      <c r="JA1508" s="2">
        <v>117.06</v>
      </c>
      <c r="JB1508" s="2">
        <v>117.81</v>
      </c>
      <c r="JC1508" s="2">
        <v>114.88</v>
      </c>
      <c r="JD1508" s="2">
        <v>117.03</v>
      </c>
      <c r="JE1508" s="2">
        <v>116.78</v>
      </c>
      <c r="JF1508" s="2">
        <v>114.66</v>
      </c>
      <c r="JG1508" s="2">
        <v>113.1</v>
      </c>
      <c r="JH1508" s="2">
        <v>113.43</v>
      </c>
      <c r="JI1508" s="2">
        <v>114.22</v>
      </c>
      <c r="JJ1508" s="2">
        <v>112.62</v>
      </c>
      <c r="JK1508" s="2">
        <v>111.11</v>
      </c>
      <c r="JL1508" s="2">
        <v>112</v>
      </c>
      <c r="JM1508" s="2">
        <v>111.51</v>
      </c>
      <c r="JN1508" s="2">
        <v>109.85</v>
      </c>
      <c r="JO1508" s="2">
        <v>108.15</v>
      </c>
      <c r="JP1508" s="2">
        <v>109.46</v>
      </c>
      <c r="JQ1508" s="2">
        <v>108.74</v>
      </c>
      <c r="JR1508" s="2">
        <v>109.05</v>
      </c>
      <c r="JS1508" s="2">
        <v>107.65</v>
      </c>
      <c r="JT1508" s="2">
        <v>109.49</v>
      </c>
      <c r="JU1508" s="2">
        <v>107.73</v>
      </c>
      <c r="JV1508" s="2">
        <v>107.05</v>
      </c>
      <c r="KA1508" s="2">
        <v>105.14</v>
      </c>
      <c r="KB1508" s="2">
        <v>104.04</v>
      </c>
      <c r="KC1508" s="2">
        <v>102.85</v>
      </c>
      <c r="KD1508" s="2">
        <v>101.24</v>
      </c>
      <c r="KQ1508" s="2">
        <v>98.7</v>
      </c>
      <c r="KR1508" s="2">
        <v>100.93</v>
      </c>
      <c r="KS1508" s="2">
        <v>100.59</v>
      </c>
      <c r="KT1508" s="2">
        <v>99.61</v>
      </c>
      <c r="LG1508" s="2">
        <v>96.73</v>
      </c>
      <c r="LH1508" s="2">
        <v>100.74</v>
      </c>
      <c r="LI1508" s="2">
        <v>102.06</v>
      </c>
      <c r="LJ1508" s="2">
        <v>99.59</v>
      </c>
      <c r="LW1508" s="2">
        <v>97.5</v>
      </c>
      <c r="LX1508" s="2">
        <v>100.28</v>
      </c>
      <c r="LY1508" s="2">
        <v>101.76</v>
      </c>
      <c r="LZ1508" s="2">
        <v>96.25</v>
      </c>
      <c r="MM1508" s="2">
        <v>95.23</v>
      </c>
      <c r="MN1508" s="2">
        <v>96</v>
      </c>
      <c r="MO1508" s="2">
        <v>91.15000000000001</v>
      </c>
      <c r="MP1508" s="2">
        <v>94.59999999999999</v>
      </c>
      <c r="NC1508" s="2">
        <v>92.89</v>
      </c>
      <c r="ND1508" s="2">
        <v>98.42</v>
      </c>
      <c r="NE1508" s="2">
        <v>98.3</v>
      </c>
      <c r="NF1508" s="2">
        <v>99.73999999999999</v>
      </c>
      <c r="NS1508" s="2">
        <v>95.51000000000001</v>
      </c>
      <c r="NT1508" s="2">
        <v>95.52</v>
      </c>
      <c r="NU1508" s="2">
        <v>94.98</v>
      </c>
      <c r="NV1508" s="2">
        <v>97.08</v>
      </c>
      <c r="OI1508" s="2">
        <v>96.88</v>
      </c>
      <c r="OJ1508" s="2">
        <v>99.58</v>
      </c>
      <c r="OK1508" s="2">
        <v>98.14</v>
      </c>
      <c r="OL1508" s="2">
        <v>98.84</v>
      </c>
      <c r="OY1508" s="2">
        <v>98.5</v>
      </c>
      <c r="OZ1508" s="2">
        <v>102.02</v>
      </c>
      <c r="PA1508" s="2">
        <v>101.9</v>
      </c>
      <c r="PB1508" s="2">
        <v>100.53</v>
      </c>
      <c r="PJ1508" s="2">
        <v>103.18</v>
      </c>
      <c r="PK1508" s="2">
        <v>105.11</v>
      </c>
    </row>
    <row r="1509">
      <c r="A1509" t="inlineStr">
        <is>
          <t>A2329761R</t>
        </is>
      </c>
      <c r="B1509" t="inlineStr">
        <is>
          <t>Index Numbers ;  Garments for infants and children ;  Australia ;</t>
        </is>
      </c>
      <c r="C1509" t="inlineStr">
        <is>
          <t>Quarter</t>
        </is>
      </c>
      <c r="D1509" t="inlineStr">
        <is>
          <t>Index Numbers</t>
        </is>
      </c>
      <c r="E1509" t="inlineStr">
        <is>
          <t>Original</t>
        </is>
      </c>
      <c r="F1509" t="inlineStr">
        <is>
          <t>6401018.xlsx</t>
        </is>
      </c>
      <c r="G1509" t="inlineStr">
        <is>
          <t>1989Q3</t>
        </is>
      </c>
      <c r="H1509" t="inlineStr">
        <is>
          <t>2026Q2</t>
        </is>
      </c>
      <c r="FQ1509" s="2">
        <v>86.90000000000001</v>
      </c>
      <c r="FR1509" s="2">
        <v>88.93000000000001</v>
      </c>
      <c r="FS1509" s="2">
        <v>87.52</v>
      </c>
      <c r="FT1509" s="2">
        <v>91.23999999999999</v>
      </c>
      <c r="FU1509" s="2">
        <v>91.95</v>
      </c>
      <c r="FV1509" s="2">
        <v>93.98999999999999</v>
      </c>
      <c r="FW1509" s="2">
        <v>93.01000000000001</v>
      </c>
      <c r="FX1509" s="2">
        <v>94.61</v>
      </c>
      <c r="FY1509" s="2">
        <v>94.17</v>
      </c>
      <c r="FZ1509" s="2">
        <v>93.63</v>
      </c>
      <c r="GA1509" s="2">
        <v>92.93000000000001</v>
      </c>
      <c r="GB1509" s="2">
        <v>94.17</v>
      </c>
      <c r="GC1509" s="2">
        <v>94.08</v>
      </c>
      <c r="GD1509" s="2">
        <v>96.47</v>
      </c>
      <c r="GE1509" s="2">
        <v>95.41</v>
      </c>
      <c r="GF1509" s="2">
        <v>96.29000000000001</v>
      </c>
      <c r="GG1509" s="2">
        <v>95.76000000000001</v>
      </c>
      <c r="GH1509" s="2">
        <v>95.05</v>
      </c>
      <c r="GI1509" s="2">
        <v>93.45999999999999</v>
      </c>
      <c r="GJ1509" s="2">
        <v>94.34</v>
      </c>
      <c r="GK1509" s="2">
        <v>95.14</v>
      </c>
      <c r="GL1509" s="2">
        <v>95.41</v>
      </c>
      <c r="GM1509" s="2">
        <v>95.41</v>
      </c>
      <c r="GN1509" s="2">
        <v>96.29000000000001</v>
      </c>
      <c r="GO1509" s="2">
        <v>96.38</v>
      </c>
      <c r="GP1509" s="2">
        <v>96.65000000000001</v>
      </c>
      <c r="GQ1509" s="2">
        <v>96.83</v>
      </c>
      <c r="GR1509" s="2">
        <v>97.8</v>
      </c>
      <c r="GS1509" s="2">
        <v>98.16</v>
      </c>
      <c r="GT1509" s="2">
        <v>98.95</v>
      </c>
      <c r="GU1509" s="2">
        <v>98.42</v>
      </c>
      <c r="GV1509" s="2">
        <v>99.13</v>
      </c>
      <c r="GW1509" s="2">
        <v>98.33</v>
      </c>
      <c r="GX1509" s="2">
        <v>99.04000000000001</v>
      </c>
      <c r="GY1509" s="2">
        <v>98.59999999999999</v>
      </c>
      <c r="GZ1509" s="2">
        <v>98.06999999999999</v>
      </c>
      <c r="HA1509" s="2">
        <v>98.06</v>
      </c>
      <c r="HB1509" s="2">
        <v>98.12</v>
      </c>
      <c r="HC1509" s="2">
        <v>96.5</v>
      </c>
      <c r="HD1509" s="2">
        <v>97.28</v>
      </c>
      <c r="HE1509" s="2">
        <v>97.90000000000001</v>
      </c>
      <c r="HF1509" s="2">
        <v>97.05</v>
      </c>
      <c r="HG1509" s="2">
        <v>95.22</v>
      </c>
      <c r="HH1509" s="2">
        <v>95.43000000000001</v>
      </c>
      <c r="HI1509" s="2">
        <v>104.96</v>
      </c>
      <c r="HJ1509" s="2">
        <v>103.9</v>
      </c>
      <c r="HK1509" s="2">
        <v>101.08</v>
      </c>
      <c r="HL1509" s="2">
        <v>103.14</v>
      </c>
      <c r="HM1509" s="2">
        <v>100.42</v>
      </c>
      <c r="HN1509" s="2">
        <v>102.64</v>
      </c>
      <c r="HO1509" s="2">
        <v>101.32</v>
      </c>
      <c r="HP1509" s="2">
        <v>104.75</v>
      </c>
      <c r="HQ1509" s="2">
        <v>103.9</v>
      </c>
      <c r="HR1509" s="2">
        <v>106.81</v>
      </c>
      <c r="HS1509" s="2">
        <v>103.34</v>
      </c>
      <c r="HT1509" s="2">
        <v>104.98</v>
      </c>
      <c r="HU1509" s="2">
        <v>106.05</v>
      </c>
      <c r="HV1509" s="2">
        <v>106.38</v>
      </c>
      <c r="HW1509" s="2">
        <v>101.92</v>
      </c>
      <c r="HX1509" s="2">
        <v>103.18</v>
      </c>
      <c r="HY1509" s="2">
        <v>104.77</v>
      </c>
      <c r="HZ1509" s="2">
        <v>103.77</v>
      </c>
      <c r="IA1509" s="2">
        <v>100.43</v>
      </c>
      <c r="IB1509" s="2">
        <v>102.76</v>
      </c>
      <c r="IC1509" s="2">
        <v>104.06</v>
      </c>
      <c r="ID1509" s="2">
        <v>103.57</v>
      </c>
      <c r="IE1509" s="2">
        <v>99.38</v>
      </c>
      <c r="IF1509" s="2">
        <v>101.69</v>
      </c>
      <c r="IG1509" s="2">
        <v>102.63</v>
      </c>
      <c r="IH1509" s="2">
        <v>102.43</v>
      </c>
      <c r="II1509" s="2">
        <v>102.84</v>
      </c>
      <c r="IJ1509" s="2">
        <v>103.3</v>
      </c>
      <c r="IK1509" s="2">
        <v>102.87</v>
      </c>
      <c r="IL1509" s="2">
        <v>103.47</v>
      </c>
      <c r="IM1509" s="2">
        <v>99.36</v>
      </c>
      <c r="IN1509" s="2">
        <v>103.17</v>
      </c>
      <c r="IO1509" s="2">
        <v>101.08</v>
      </c>
      <c r="IP1509" s="2">
        <v>102.04</v>
      </c>
      <c r="IQ1509" s="2">
        <v>99.39</v>
      </c>
      <c r="IR1509" s="2">
        <v>102.48</v>
      </c>
      <c r="IS1509" s="2">
        <v>104.25</v>
      </c>
      <c r="IT1509" s="2">
        <v>104.9</v>
      </c>
      <c r="IU1509" s="2">
        <v>94.56</v>
      </c>
      <c r="IV1509" s="2">
        <v>95.93000000000001</v>
      </c>
      <c r="IW1509" s="2">
        <v>97.51000000000001</v>
      </c>
      <c r="IX1509" s="2">
        <v>96.5</v>
      </c>
      <c r="IY1509" s="2">
        <v>92.75</v>
      </c>
      <c r="IZ1509" s="2">
        <v>94.54000000000001</v>
      </c>
      <c r="JA1509" s="2">
        <v>95.19</v>
      </c>
      <c r="JB1509" s="2">
        <v>94.81</v>
      </c>
      <c r="JC1509" s="2">
        <v>91.47</v>
      </c>
      <c r="JD1509" s="2">
        <v>92.8</v>
      </c>
      <c r="JE1509" s="2">
        <v>94.70999999999999</v>
      </c>
      <c r="JF1509" s="2">
        <v>94.19</v>
      </c>
      <c r="JG1509" s="2">
        <v>87.84999999999999</v>
      </c>
      <c r="JH1509" s="2">
        <v>93.14</v>
      </c>
      <c r="JI1509" s="2">
        <v>92.53</v>
      </c>
      <c r="JJ1509" s="2">
        <v>93.45</v>
      </c>
      <c r="JK1509" s="2">
        <v>90.09</v>
      </c>
      <c r="JL1509" s="2">
        <v>93.31</v>
      </c>
      <c r="JM1509" s="2">
        <v>91.94</v>
      </c>
      <c r="JN1509" s="2">
        <v>93.45999999999999</v>
      </c>
      <c r="JO1509" s="2">
        <v>89.53</v>
      </c>
      <c r="JP1509" s="2">
        <v>92.02</v>
      </c>
      <c r="JQ1509" s="2">
        <v>88.91</v>
      </c>
      <c r="JR1509" s="2">
        <v>92.17</v>
      </c>
      <c r="JS1509" s="2">
        <v>89</v>
      </c>
      <c r="JT1509" s="2">
        <v>92.39</v>
      </c>
      <c r="JU1509" s="2">
        <v>92.01000000000001</v>
      </c>
      <c r="JV1509" s="2">
        <v>94.63</v>
      </c>
      <c r="KA1509" s="2">
        <v>91</v>
      </c>
      <c r="KB1509" s="2">
        <v>92.31999999999999</v>
      </c>
      <c r="KC1509" s="2">
        <v>91.87</v>
      </c>
      <c r="KD1509" s="2">
        <v>92.29000000000001</v>
      </c>
      <c r="KQ1509" s="2">
        <v>87.75</v>
      </c>
      <c r="KR1509" s="2">
        <v>91.64</v>
      </c>
      <c r="KS1509" s="2">
        <v>91.84</v>
      </c>
      <c r="KT1509" s="2">
        <v>93.36</v>
      </c>
      <c r="LG1509" s="2">
        <v>90.94</v>
      </c>
      <c r="LH1509" s="2">
        <v>91.91</v>
      </c>
      <c r="LI1509" s="2">
        <v>92.81999999999999</v>
      </c>
      <c r="LJ1509" s="2">
        <v>93.11</v>
      </c>
      <c r="LW1509" s="2">
        <v>92</v>
      </c>
      <c r="LX1509" s="2">
        <v>91.27</v>
      </c>
      <c r="LY1509" s="2">
        <v>91.68000000000001</v>
      </c>
      <c r="LZ1509" s="2">
        <v>93.23</v>
      </c>
      <c r="MM1509" s="2">
        <v>90.72</v>
      </c>
      <c r="MN1509" s="2">
        <v>93.20999999999999</v>
      </c>
      <c r="MO1509" s="2">
        <v>87.42</v>
      </c>
      <c r="MP1509" s="2">
        <v>90.38</v>
      </c>
      <c r="NC1509" s="2">
        <v>90.19</v>
      </c>
      <c r="ND1509" s="2">
        <v>93.16</v>
      </c>
      <c r="NE1509" s="2">
        <v>94.23</v>
      </c>
      <c r="NF1509" s="2">
        <v>94.28</v>
      </c>
      <c r="NS1509" s="2">
        <v>92.43000000000001</v>
      </c>
      <c r="NT1509" s="2">
        <v>99.7</v>
      </c>
      <c r="NU1509" s="2">
        <v>97.59</v>
      </c>
      <c r="NV1509" s="2">
        <v>98.51000000000001</v>
      </c>
      <c r="OI1509" s="2">
        <v>94.70999999999999</v>
      </c>
      <c r="OJ1509" s="2">
        <v>101.14</v>
      </c>
      <c r="OK1509" s="2">
        <v>99.28</v>
      </c>
      <c r="OL1509" s="2">
        <v>98.45</v>
      </c>
      <c r="OY1509" s="2">
        <v>95.34999999999999</v>
      </c>
      <c r="OZ1509" s="2">
        <v>100.17</v>
      </c>
      <c r="PA1509" s="2">
        <v>99.64</v>
      </c>
      <c r="PB1509" s="2">
        <v>100.18</v>
      </c>
      <c r="PJ1509" s="2">
        <v>100.24</v>
      </c>
      <c r="PK1509" s="2">
        <v>97.92</v>
      </c>
    </row>
    <row r="1510">
      <c r="A1510" t="inlineStr">
        <is>
          <t>A2326386V</t>
        </is>
      </c>
      <c r="B1510" t="inlineStr">
        <is>
          <t>Index Numbers ;  Footwear ;  Australia ;</t>
        </is>
      </c>
      <c r="C1510" t="inlineStr">
        <is>
          <t>Quarter</t>
        </is>
      </c>
      <c r="D1510" t="inlineStr">
        <is>
          <t>Index Numbers</t>
        </is>
      </c>
      <c r="E1510" t="inlineStr">
        <is>
          <t>Original</t>
        </is>
      </c>
      <c r="F1510" t="inlineStr">
        <is>
          <t>6401018.xlsx</t>
        </is>
      </c>
      <c r="G1510" t="inlineStr">
        <is>
          <t>1972Q3</t>
        </is>
      </c>
      <c r="H1510" t="inlineStr">
        <is>
          <t>2026Q2</t>
        </is>
      </c>
      <c r="DA1510" s="2">
        <v>22.55</v>
      </c>
      <c r="DB1510" s="2">
        <v>22.77</v>
      </c>
      <c r="DC1510" s="2">
        <v>23.44</v>
      </c>
      <c r="DD1510" s="2">
        <v>24.34</v>
      </c>
      <c r="DE1510" s="2">
        <v>25.79</v>
      </c>
      <c r="DF1510" s="2">
        <v>26.46</v>
      </c>
      <c r="DG1510" s="2">
        <v>27.35</v>
      </c>
      <c r="DH1510" s="2">
        <v>28.25</v>
      </c>
      <c r="DI1510" s="2">
        <v>31.59</v>
      </c>
      <c r="DJ1510" s="2">
        <v>33.16</v>
      </c>
      <c r="DK1510" s="2">
        <v>34.05</v>
      </c>
      <c r="DL1510" s="2">
        <v>35.28</v>
      </c>
      <c r="DM1510" s="2">
        <v>37.06</v>
      </c>
      <c r="DN1510" s="2">
        <v>38.18</v>
      </c>
      <c r="DO1510" s="2">
        <v>39.19</v>
      </c>
      <c r="DP1510" s="2">
        <v>40.75</v>
      </c>
      <c r="DQ1510" s="2">
        <v>42.2</v>
      </c>
      <c r="DR1510" s="2">
        <v>42.76</v>
      </c>
      <c r="DS1510" s="2">
        <v>44.43</v>
      </c>
      <c r="DT1510" s="2">
        <v>45.77</v>
      </c>
      <c r="DU1510" s="2">
        <v>47</v>
      </c>
      <c r="DV1510" s="2">
        <v>47.78</v>
      </c>
      <c r="DW1510" s="2">
        <v>48.68</v>
      </c>
      <c r="DX1510" s="2">
        <v>49.35</v>
      </c>
      <c r="DY1510" s="2">
        <v>50.24</v>
      </c>
      <c r="DZ1510" s="2">
        <v>51.02</v>
      </c>
      <c r="EA1510" s="2">
        <v>51.24</v>
      </c>
      <c r="EB1510" s="2">
        <v>52.92</v>
      </c>
      <c r="EC1510" s="2">
        <v>54.59</v>
      </c>
      <c r="ED1510" s="2">
        <v>55.6</v>
      </c>
      <c r="EE1510" s="2">
        <v>56.6</v>
      </c>
      <c r="EF1510" s="2">
        <v>58.28</v>
      </c>
      <c r="EG1510" s="2">
        <v>59.28</v>
      </c>
      <c r="EH1510" s="2">
        <v>60.96</v>
      </c>
      <c r="EI1510" s="2">
        <v>61.74</v>
      </c>
      <c r="EJ1510" s="2">
        <v>63.75</v>
      </c>
      <c r="EK1510" s="2">
        <v>63.86</v>
      </c>
      <c r="EL1510" s="2">
        <v>65.2</v>
      </c>
      <c r="EM1510" s="2">
        <v>65.65000000000001</v>
      </c>
      <c r="EN1510" s="2">
        <v>67.65000000000001</v>
      </c>
      <c r="EO1510" s="2">
        <v>68.98999999999999</v>
      </c>
      <c r="EP1510" s="2">
        <v>70.45</v>
      </c>
      <c r="EQ1510" s="2">
        <v>69.66</v>
      </c>
      <c r="ER1510" s="2">
        <v>74.34999999999999</v>
      </c>
      <c r="ES1510" s="2">
        <v>74.45999999999999</v>
      </c>
      <c r="ET1510" s="2">
        <v>74.23999999999999</v>
      </c>
      <c r="EU1510" s="2">
        <v>75.02</v>
      </c>
      <c r="EV1510" s="2">
        <v>77.37</v>
      </c>
      <c r="EW1510" s="2">
        <v>78.04000000000001</v>
      </c>
      <c r="EX1510" s="2">
        <v>80.48999999999999</v>
      </c>
      <c r="EY1510" s="2">
        <v>80.83</v>
      </c>
      <c r="EZ1510" s="2">
        <v>82.39</v>
      </c>
      <c r="FA1510" s="2">
        <v>83.62</v>
      </c>
      <c r="FB1510" s="2">
        <v>85.06999999999999</v>
      </c>
      <c r="FC1510" s="2">
        <v>85.63</v>
      </c>
      <c r="FD1510" s="2">
        <v>92.44</v>
      </c>
      <c r="FE1510" s="2">
        <v>93.33</v>
      </c>
      <c r="FF1510" s="2">
        <v>95.34</v>
      </c>
      <c r="FG1510" s="2">
        <v>95.56999999999999</v>
      </c>
      <c r="FH1510" s="2">
        <v>97.23999999999999</v>
      </c>
      <c r="FI1510" s="2">
        <v>97.91</v>
      </c>
      <c r="FJ1510" s="2">
        <v>99.58</v>
      </c>
      <c r="FK1510" s="2">
        <v>99.92</v>
      </c>
      <c r="FL1510" s="2">
        <v>103.49</v>
      </c>
      <c r="FM1510" s="2">
        <v>104.5</v>
      </c>
      <c r="FN1510" s="2">
        <v>107.85</v>
      </c>
      <c r="FO1510" s="2">
        <v>107.06</v>
      </c>
      <c r="FP1510" s="2">
        <v>111.19</v>
      </c>
      <c r="FQ1510" s="2">
        <v>110.41</v>
      </c>
      <c r="FR1510" s="2">
        <v>111.64</v>
      </c>
      <c r="FS1510" s="2">
        <v>111.75</v>
      </c>
      <c r="FT1510" s="2">
        <v>112.87</v>
      </c>
      <c r="FU1510" s="2">
        <v>113.32</v>
      </c>
      <c r="FV1510" s="2">
        <v>115.21</v>
      </c>
      <c r="FW1510" s="2">
        <v>116.11</v>
      </c>
      <c r="FX1510" s="2">
        <v>117.22</v>
      </c>
      <c r="FY1510" s="2">
        <v>118</v>
      </c>
      <c r="FZ1510" s="2">
        <v>118.34</v>
      </c>
      <c r="GA1510" s="2">
        <v>118.56</v>
      </c>
      <c r="GB1510" s="2">
        <v>118.56</v>
      </c>
      <c r="GC1510" s="2">
        <v>115.77</v>
      </c>
      <c r="GD1510" s="2">
        <v>117.67</v>
      </c>
      <c r="GE1510" s="2">
        <v>116.22</v>
      </c>
      <c r="GF1510" s="2">
        <v>116.78</v>
      </c>
      <c r="GG1510" s="2">
        <v>115.55</v>
      </c>
      <c r="GH1510" s="2">
        <v>115.77</v>
      </c>
      <c r="GI1510" s="2">
        <v>114.66</v>
      </c>
      <c r="GJ1510" s="2">
        <v>114.21</v>
      </c>
      <c r="GK1510" s="2">
        <v>112.42</v>
      </c>
      <c r="GL1510" s="2">
        <v>113.09</v>
      </c>
      <c r="GM1510" s="2">
        <v>110.52</v>
      </c>
      <c r="GN1510" s="2">
        <v>110.97</v>
      </c>
      <c r="GO1510" s="2">
        <v>109.3</v>
      </c>
      <c r="GP1510" s="2">
        <v>111.19</v>
      </c>
      <c r="GQ1510" s="2">
        <v>109.63</v>
      </c>
      <c r="GR1510" s="2">
        <v>111.75</v>
      </c>
      <c r="GS1510" s="2">
        <v>109.86</v>
      </c>
      <c r="GT1510" s="2">
        <v>111.75</v>
      </c>
      <c r="GU1510" s="2">
        <v>111.64</v>
      </c>
      <c r="GV1510" s="2">
        <v>110.41</v>
      </c>
      <c r="GW1510" s="2">
        <v>110.08</v>
      </c>
      <c r="GX1510" s="2">
        <v>111.08</v>
      </c>
      <c r="GY1510" s="2">
        <v>109.3</v>
      </c>
      <c r="GZ1510" s="2">
        <v>108.63</v>
      </c>
      <c r="HA1510" s="2">
        <v>106.97</v>
      </c>
      <c r="HB1510" s="2">
        <v>108.34</v>
      </c>
      <c r="HC1510" s="2">
        <v>106.93</v>
      </c>
      <c r="HD1510" s="2">
        <v>107.57</v>
      </c>
      <c r="HE1510" s="2">
        <v>106.49</v>
      </c>
      <c r="HF1510" s="2">
        <v>106.37</v>
      </c>
      <c r="HG1510" s="2">
        <v>105.42</v>
      </c>
      <c r="HH1510" s="2">
        <v>105.4</v>
      </c>
      <c r="HI1510" s="2">
        <v>113.41</v>
      </c>
      <c r="HJ1510" s="2">
        <v>112.54</v>
      </c>
      <c r="HK1510" s="2">
        <v>112.24</v>
      </c>
      <c r="HL1510" s="2">
        <v>113.19</v>
      </c>
      <c r="HM1510" s="2">
        <v>113.28</v>
      </c>
      <c r="HN1510" s="2">
        <v>114.66</v>
      </c>
      <c r="HO1510" s="2">
        <v>114.81</v>
      </c>
      <c r="HP1510" s="2">
        <v>114.3</v>
      </c>
      <c r="HQ1510" s="2">
        <v>115.67</v>
      </c>
      <c r="HR1510" s="2">
        <v>114.27</v>
      </c>
      <c r="HS1510" s="2">
        <v>111.98</v>
      </c>
      <c r="HT1510" s="2">
        <v>112.78</v>
      </c>
      <c r="HU1510" s="2">
        <v>110.68</v>
      </c>
      <c r="HV1510" s="2">
        <v>110.64</v>
      </c>
      <c r="HW1510" s="2">
        <v>108.18</v>
      </c>
      <c r="HX1510" s="2">
        <v>108.75</v>
      </c>
      <c r="HY1510" s="2">
        <v>110.35</v>
      </c>
      <c r="HZ1510" s="2">
        <v>110.14</v>
      </c>
      <c r="IA1510" s="2">
        <v>108.49</v>
      </c>
      <c r="IB1510" s="2">
        <v>108.3</v>
      </c>
      <c r="IC1510" s="2">
        <v>108.35</v>
      </c>
      <c r="ID1510" s="2">
        <v>109.45</v>
      </c>
      <c r="IE1510" s="2">
        <v>105.96</v>
      </c>
      <c r="IF1510" s="2">
        <v>108.61</v>
      </c>
      <c r="IG1510" s="2">
        <v>109.61</v>
      </c>
      <c r="IH1510" s="2">
        <v>108.12</v>
      </c>
      <c r="II1510" s="2">
        <v>109.78</v>
      </c>
      <c r="IJ1510" s="2">
        <v>106.89</v>
      </c>
      <c r="IK1510" s="2">
        <v>109.23</v>
      </c>
      <c r="IL1510" s="2">
        <v>109.93</v>
      </c>
      <c r="IM1510" s="2">
        <v>106.91</v>
      </c>
      <c r="IN1510" s="2">
        <v>108.34</v>
      </c>
      <c r="IO1510" s="2">
        <v>108.05</v>
      </c>
      <c r="IP1510" s="2">
        <v>108.88</v>
      </c>
      <c r="IQ1510" s="2">
        <v>106.93</v>
      </c>
      <c r="IR1510" s="2">
        <v>105.84</v>
      </c>
      <c r="IS1510" s="2">
        <v>107.05</v>
      </c>
      <c r="IT1510" s="2">
        <v>106.86</v>
      </c>
      <c r="IU1510" s="2">
        <v>104.8</v>
      </c>
      <c r="IV1510" s="2">
        <v>102.29</v>
      </c>
      <c r="IW1510" s="2">
        <v>104.8</v>
      </c>
      <c r="IX1510" s="2">
        <v>104.49</v>
      </c>
      <c r="IY1510" s="2">
        <v>100.32</v>
      </c>
      <c r="IZ1510" s="2">
        <v>101.64</v>
      </c>
      <c r="JA1510" s="2">
        <v>104.56</v>
      </c>
      <c r="JB1510" s="2">
        <v>104.14</v>
      </c>
      <c r="JC1510" s="2">
        <v>104.79</v>
      </c>
      <c r="JD1510" s="2">
        <v>104.82</v>
      </c>
      <c r="JE1510" s="2">
        <v>105.09</v>
      </c>
      <c r="JF1510" s="2">
        <v>105.91</v>
      </c>
      <c r="JG1510" s="2">
        <v>99.20999999999999</v>
      </c>
      <c r="JH1510" s="2">
        <v>102.6</v>
      </c>
      <c r="JI1510" s="2">
        <v>105.36</v>
      </c>
      <c r="JJ1510" s="2">
        <v>103.38</v>
      </c>
      <c r="JK1510" s="2">
        <v>100.58</v>
      </c>
      <c r="JL1510" s="2">
        <v>101.61</v>
      </c>
      <c r="JM1510" s="2">
        <v>100.54</v>
      </c>
      <c r="JN1510" s="2">
        <v>104.68</v>
      </c>
      <c r="JO1510" s="2">
        <v>100.8</v>
      </c>
      <c r="JP1510" s="2">
        <v>99.5</v>
      </c>
      <c r="JQ1510" s="2">
        <v>98.70999999999999</v>
      </c>
      <c r="JR1510" s="2">
        <v>100.49</v>
      </c>
      <c r="JS1510" s="2">
        <v>96.92</v>
      </c>
      <c r="JT1510" s="2">
        <v>101.05</v>
      </c>
      <c r="JU1510" s="2">
        <v>100.18</v>
      </c>
      <c r="JV1510" s="2">
        <v>100.6</v>
      </c>
      <c r="KA1510" s="2">
        <v>97.54000000000001</v>
      </c>
      <c r="KB1510" s="2">
        <v>98.98999999999999</v>
      </c>
      <c r="KC1510" s="2">
        <v>98.83</v>
      </c>
      <c r="KD1510" s="2">
        <v>98.28</v>
      </c>
      <c r="KQ1510" s="2">
        <v>94.56999999999999</v>
      </c>
      <c r="KR1510" s="2">
        <v>96.11</v>
      </c>
      <c r="KS1510" s="2">
        <v>95.01000000000001</v>
      </c>
      <c r="KT1510" s="2">
        <v>92.84</v>
      </c>
      <c r="LG1510" s="2">
        <v>92.29000000000001</v>
      </c>
      <c r="LH1510" s="2">
        <v>93.8</v>
      </c>
      <c r="LI1510" s="2">
        <v>96.18000000000001</v>
      </c>
      <c r="LJ1510" s="2">
        <v>96.05</v>
      </c>
      <c r="LW1510" s="2">
        <v>95.64</v>
      </c>
      <c r="LX1510" s="2">
        <v>94.2</v>
      </c>
      <c r="LY1510" s="2">
        <v>94.34999999999999</v>
      </c>
      <c r="LZ1510" s="2">
        <v>97.48</v>
      </c>
      <c r="MM1510" s="2">
        <v>96.14</v>
      </c>
      <c r="MN1510" s="2">
        <v>98.81</v>
      </c>
      <c r="MO1510" s="2">
        <v>93.83</v>
      </c>
      <c r="MP1510" s="2">
        <v>97.76000000000001</v>
      </c>
      <c r="NC1510" s="2">
        <v>95.45</v>
      </c>
      <c r="ND1510" s="2">
        <v>99.70999999999999</v>
      </c>
      <c r="NE1510" s="2">
        <v>97.11</v>
      </c>
      <c r="NF1510" s="2">
        <v>102.41</v>
      </c>
      <c r="NS1510" s="2">
        <v>97.28</v>
      </c>
      <c r="NT1510" s="2">
        <v>98.63</v>
      </c>
      <c r="NU1510" s="2">
        <v>99.12</v>
      </c>
      <c r="NV1510" s="2">
        <v>98.48</v>
      </c>
      <c r="OI1510" s="2">
        <v>95.93000000000001</v>
      </c>
      <c r="OJ1510" s="2">
        <v>99.97</v>
      </c>
      <c r="OK1510" s="2">
        <v>97.93000000000001</v>
      </c>
      <c r="OL1510" s="2">
        <v>99.03</v>
      </c>
      <c r="OY1510" s="2">
        <v>95.42</v>
      </c>
      <c r="OZ1510" s="2">
        <v>100.84</v>
      </c>
      <c r="PA1510" s="2">
        <v>98.12</v>
      </c>
      <c r="PB1510" s="2">
        <v>98.29000000000001</v>
      </c>
      <c r="PJ1510" s="2">
        <v>100.09</v>
      </c>
      <c r="PK1510" s="2">
        <v>100.91</v>
      </c>
    </row>
    <row r="1511">
      <c r="A1511" t="inlineStr">
        <is>
          <t>A2327916K</t>
        </is>
      </c>
      <c r="B1511" t="inlineStr">
        <is>
          <t>Index Numbers ;  Footwear for men ;  Australia ;</t>
        </is>
      </c>
      <c r="C1511" t="inlineStr">
        <is>
          <t>Quarter</t>
        </is>
      </c>
      <c r="D1511" t="inlineStr">
        <is>
          <t>Index Numbers</t>
        </is>
      </c>
      <c r="E1511" t="inlineStr">
        <is>
          <t>Original</t>
        </is>
      </c>
      <c r="F1511" t="inlineStr">
        <is>
          <t>6401018.xlsx</t>
        </is>
      </c>
      <c r="G1511" t="inlineStr">
        <is>
          <t>1980Q3</t>
        </is>
      </c>
      <c r="H1511" t="inlineStr">
        <is>
          <t>2026Q2</t>
        </is>
      </c>
      <c r="EG1511" s="2">
        <v>71.06</v>
      </c>
      <c r="EH1511" s="2">
        <v>72.25</v>
      </c>
      <c r="EI1511" s="2">
        <v>74.27</v>
      </c>
      <c r="EJ1511" s="2">
        <v>75.22</v>
      </c>
      <c r="EK1511" s="2">
        <v>75.56999999999999</v>
      </c>
      <c r="EL1511" s="2">
        <v>76.28</v>
      </c>
      <c r="EM1511" s="2">
        <v>76.88</v>
      </c>
      <c r="EN1511" s="2">
        <v>78.89</v>
      </c>
      <c r="EO1511" s="2">
        <v>79.13</v>
      </c>
      <c r="EP1511" s="2">
        <v>80.55</v>
      </c>
      <c r="EQ1511" s="2">
        <v>81.27</v>
      </c>
      <c r="ER1511" s="2">
        <v>83.16</v>
      </c>
      <c r="ES1511" s="2">
        <v>82.93000000000001</v>
      </c>
      <c r="ET1511" s="2">
        <v>83.52</v>
      </c>
      <c r="EU1511" s="2">
        <v>83.16</v>
      </c>
      <c r="EV1511" s="2">
        <v>85.66</v>
      </c>
      <c r="EW1511" s="2">
        <v>87.67</v>
      </c>
      <c r="EX1511" s="2">
        <v>90.40000000000001</v>
      </c>
      <c r="EY1511" s="2">
        <v>90.40000000000001</v>
      </c>
      <c r="EZ1511" s="2">
        <v>91.94</v>
      </c>
      <c r="FA1511" s="2">
        <v>93.37</v>
      </c>
      <c r="FB1511" s="2">
        <v>95.73999999999999</v>
      </c>
      <c r="FC1511" s="2">
        <v>95.73999999999999</v>
      </c>
      <c r="FD1511" s="2">
        <v>98.70999999999999</v>
      </c>
      <c r="FE1511" s="2">
        <v>100.25</v>
      </c>
      <c r="FF1511" s="2">
        <v>102.62</v>
      </c>
      <c r="FG1511" s="2">
        <v>103.21</v>
      </c>
      <c r="FH1511" s="2">
        <v>105.59</v>
      </c>
      <c r="FI1511" s="2">
        <v>105.11</v>
      </c>
      <c r="FJ1511" s="2">
        <v>106.54</v>
      </c>
      <c r="FK1511" s="2">
        <v>107.25</v>
      </c>
      <c r="FL1511" s="2">
        <v>112.82</v>
      </c>
      <c r="FM1511" s="2">
        <v>113.06</v>
      </c>
      <c r="FN1511" s="2">
        <v>116.26</v>
      </c>
      <c r="FO1511" s="2">
        <v>114.72</v>
      </c>
      <c r="FP1511" s="2">
        <v>117.45</v>
      </c>
      <c r="FQ1511" s="2">
        <v>115.08</v>
      </c>
      <c r="FR1511" s="2">
        <v>118.87</v>
      </c>
      <c r="FS1511" s="2">
        <v>118.64</v>
      </c>
      <c r="FT1511" s="2">
        <v>121.84</v>
      </c>
      <c r="FU1511" s="2">
        <v>123.5</v>
      </c>
      <c r="FV1511" s="2">
        <v>124.57</v>
      </c>
      <c r="FW1511" s="2">
        <v>125.64</v>
      </c>
      <c r="FX1511" s="2">
        <v>126.94</v>
      </c>
      <c r="FY1511" s="2">
        <v>127.65</v>
      </c>
      <c r="FZ1511" s="2">
        <v>128.48</v>
      </c>
      <c r="GA1511" s="2">
        <v>128.13</v>
      </c>
      <c r="GB1511" s="2">
        <v>128.96</v>
      </c>
      <c r="GC1511" s="2">
        <v>128.37</v>
      </c>
      <c r="GD1511" s="2">
        <v>127.42</v>
      </c>
      <c r="GE1511" s="2">
        <v>125.99</v>
      </c>
      <c r="GF1511" s="2">
        <v>125.76</v>
      </c>
      <c r="GG1511" s="2">
        <v>122.67</v>
      </c>
      <c r="GH1511" s="2">
        <v>124.81</v>
      </c>
      <c r="GI1511" s="2">
        <v>123.26</v>
      </c>
      <c r="GJ1511" s="2">
        <v>121.01</v>
      </c>
      <c r="GK1511" s="2">
        <v>117.09</v>
      </c>
      <c r="GL1511" s="2">
        <v>117.57</v>
      </c>
      <c r="GM1511" s="2">
        <v>116.74</v>
      </c>
      <c r="GN1511" s="2">
        <v>116.86</v>
      </c>
      <c r="GO1511" s="2">
        <v>116.26</v>
      </c>
      <c r="GP1511" s="2">
        <v>116.62</v>
      </c>
      <c r="GQ1511" s="2">
        <v>113.65</v>
      </c>
      <c r="GR1511" s="2">
        <v>115.43</v>
      </c>
      <c r="GS1511" s="2">
        <v>114.37</v>
      </c>
      <c r="GT1511" s="2">
        <v>116.86</v>
      </c>
      <c r="GU1511" s="2">
        <v>117.21</v>
      </c>
      <c r="GV1511" s="2">
        <v>115.08</v>
      </c>
      <c r="GW1511" s="2">
        <v>115.43</v>
      </c>
      <c r="GX1511" s="2">
        <v>112.71</v>
      </c>
      <c r="GY1511" s="2">
        <v>112.23</v>
      </c>
      <c r="GZ1511" s="2">
        <v>109.5</v>
      </c>
      <c r="HA1511" s="2">
        <v>110.48</v>
      </c>
      <c r="HB1511" s="2">
        <v>110.23</v>
      </c>
      <c r="HC1511" s="2">
        <v>109.32</v>
      </c>
      <c r="HD1511" s="2">
        <v>110.04</v>
      </c>
      <c r="HE1511" s="2">
        <v>109.01</v>
      </c>
      <c r="HF1511" s="2">
        <v>108.83</v>
      </c>
      <c r="HG1511" s="2">
        <v>107.16</v>
      </c>
      <c r="HH1511" s="2">
        <v>106.25</v>
      </c>
      <c r="HI1511" s="2">
        <v>114.03</v>
      </c>
      <c r="HJ1511" s="2">
        <v>114.95</v>
      </c>
      <c r="HK1511" s="2">
        <v>113.15</v>
      </c>
      <c r="HL1511" s="2">
        <v>115.55</v>
      </c>
      <c r="HM1511" s="2">
        <v>115.55</v>
      </c>
      <c r="HN1511" s="2">
        <v>116.87</v>
      </c>
      <c r="HO1511" s="2">
        <v>116.54</v>
      </c>
      <c r="HP1511" s="2">
        <v>117.03</v>
      </c>
      <c r="HQ1511" s="2">
        <v>118.99</v>
      </c>
      <c r="HR1511" s="2">
        <v>116.51</v>
      </c>
      <c r="HS1511" s="2">
        <v>116.48</v>
      </c>
      <c r="HT1511" s="2">
        <v>116.86</v>
      </c>
      <c r="HU1511" s="2">
        <v>114.55</v>
      </c>
      <c r="HV1511" s="2">
        <v>111.43</v>
      </c>
      <c r="HW1511" s="2">
        <v>109.17</v>
      </c>
      <c r="HX1511" s="2">
        <v>109.29</v>
      </c>
      <c r="HY1511" s="2">
        <v>112.06</v>
      </c>
      <c r="HZ1511" s="2">
        <v>110.75</v>
      </c>
      <c r="IA1511" s="2">
        <v>108.93</v>
      </c>
      <c r="IB1511" s="2">
        <v>108.23</v>
      </c>
      <c r="IC1511" s="2">
        <v>108.52</v>
      </c>
      <c r="ID1511" s="2">
        <v>110.06</v>
      </c>
      <c r="IE1511" s="2">
        <v>106.89</v>
      </c>
      <c r="IF1511" s="2">
        <v>107.7</v>
      </c>
      <c r="IG1511" s="2">
        <v>108.58</v>
      </c>
      <c r="IH1511" s="2">
        <v>106.29</v>
      </c>
      <c r="II1511" s="2">
        <v>110.31</v>
      </c>
      <c r="IJ1511" s="2">
        <v>108.85</v>
      </c>
      <c r="IK1511" s="2">
        <v>111.41</v>
      </c>
      <c r="IL1511" s="2">
        <v>108.63</v>
      </c>
      <c r="IM1511" s="2">
        <v>105.69</v>
      </c>
      <c r="IN1511" s="2">
        <v>106.35</v>
      </c>
      <c r="IO1511" s="2">
        <v>105.3</v>
      </c>
      <c r="IP1511" s="2">
        <v>105.68</v>
      </c>
      <c r="IQ1511" s="2">
        <v>107.77</v>
      </c>
      <c r="IR1511" s="2">
        <v>105.82</v>
      </c>
      <c r="IS1511" s="2">
        <v>102.88</v>
      </c>
      <c r="IT1511" s="2">
        <v>104.46</v>
      </c>
      <c r="IU1511" s="2">
        <v>104.69</v>
      </c>
      <c r="IV1511" s="2">
        <v>103.94</v>
      </c>
      <c r="IW1511" s="2">
        <v>104.8</v>
      </c>
      <c r="IX1511" s="2">
        <v>103.27</v>
      </c>
      <c r="IY1511" s="2">
        <v>99.76000000000001</v>
      </c>
      <c r="IZ1511" s="2">
        <v>103.03</v>
      </c>
      <c r="JA1511" s="2">
        <v>101.81</v>
      </c>
      <c r="JB1511" s="2">
        <v>103.45</v>
      </c>
      <c r="JC1511" s="2">
        <v>101.48</v>
      </c>
      <c r="JD1511" s="2">
        <v>101.35</v>
      </c>
      <c r="JE1511" s="2">
        <v>102.7</v>
      </c>
      <c r="JF1511" s="2">
        <v>101.97</v>
      </c>
      <c r="JG1511" s="2">
        <v>94.90000000000001</v>
      </c>
      <c r="JH1511" s="2">
        <v>99.61</v>
      </c>
      <c r="JI1511" s="2">
        <v>103.3</v>
      </c>
      <c r="JJ1511" s="2">
        <v>99.89</v>
      </c>
      <c r="JK1511" s="2">
        <v>99.18000000000001</v>
      </c>
      <c r="JL1511" s="2">
        <v>102.93</v>
      </c>
      <c r="JM1511" s="2">
        <v>99.97</v>
      </c>
      <c r="JN1511" s="2">
        <v>103.7</v>
      </c>
      <c r="JO1511" s="2">
        <v>101.99</v>
      </c>
      <c r="JP1511" s="2">
        <v>102.67</v>
      </c>
      <c r="JQ1511" s="2">
        <v>100.97</v>
      </c>
      <c r="JR1511" s="2">
        <v>100.49</v>
      </c>
      <c r="JS1511" s="2">
        <v>98.14</v>
      </c>
      <c r="JT1511" s="2">
        <v>100.08</v>
      </c>
      <c r="JU1511" s="2">
        <v>100.57</v>
      </c>
      <c r="JV1511" s="2">
        <v>101.68</v>
      </c>
      <c r="KA1511" s="2">
        <v>97.97</v>
      </c>
      <c r="KB1511" s="2">
        <v>99.2</v>
      </c>
      <c r="KC1511" s="2">
        <v>97.45</v>
      </c>
      <c r="KD1511" s="2">
        <v>100.01</v>
      </c>
      <c r="KQ1511" s="2">
        <v>96.70999999999999</v>
      </c>
      <c r="KR1511" s="2">
        <v>94.44</v>
      </c>
      <c r="KS1511" s="2">
        <v>91.97</v>
      </c>
      <c r="KT1511" s="2">
        <v>92.64</v>
      </c>
      <c r="LG1511" s="2">
        <v>92.04000000000001</v>
      </c>
      <c r="LH1511" s="2">
        <v>93.43000000000001</v>
      </c>
      <c r="LI1511" s="2">
        <v>94.20999999999999</v>
      </c>
      <c r="LJ1511" s="2">
        <v>96.04000000000001</v>
      </c>
      <c r="LW1511" s="2">
        <v>94.84999999999999</v>
      </c>
      <c r="LX1511" s="2">
        <v>91.55</v>
      </c>
      <c r="LY1511" s="2">
        <v>91.93000000000001</v>
      </c>
      <c r="LZ1511" s="2">
        <v>96.89</v>
      </c>
      <c r="MM1511" s="2">
        <v>93.93000000000001</v>
      </c>
      <c r="MN1511" s="2">
        <v>94.38</v>
      </c>
      <c r="MO1511" s="2">
        <v>90.45999999999999</v>
      </c>
      <c r="MP1511" s="2">
        <v>94.56</v>
      </c>
      <c r="NC1511" s="2">
        <v>94.29000000000001</v>
      </c>
      <c r="ND1511" s="2">
        <v>97.47</v>
      </c>
      <c r="NE1511" s="2">
        <v>94.83</v>
      </c>
      <c r="NF1511" s="2">
        <v>100.7</v>
      </c>
      <c r="NS1511" s="2">
        <v>98.67</v>
      </c>
      <c r="NT1511" s="2">
        <v>97.19</v>
      </c>
      <c r="NU1511" s="2">
        <v>100.01</v>
      </c>
      <c r="NV1511" s="2">
        <v>98.76000000000001</v>
      </c>
      <c r="OI1511" s="2">
        <v>98.39</v>
      </c>
      <c r="OJ1511" s="2">
        <v>100.89</v>
      </c>
      <c r="OK1511" s="2">
        <v>100.32</v>
      </c>
      <c r="OL1511" s="2">
        <v>102.6</v>
      </c>
      <c r="OY1511" s="2">
        <v>98.04000000000001</v>
      </c>
      <c r="OZ1511" s="2">
        <v>103.4</v>
      </c>
      <c r="PA1511" s="2">
        <v>100.39</v>
      </c>
      <c r="PB1511" s="2">
        <v>99.76000000000001</v>
      </c>
      <c r="PJ1511" s="2">
        <v>103.21</v>
      </c>
      <c r="PK1511" s="2">
        <v>104.53</v>
      </c>
    </row>
    <row r="1512">
      <c r="A1512" t="inlineStr">
        <is>
          <t>A2327961W</t>
        </is>
      </c>
      <c r="B1512" t="inlineStr">
        <is>
          <t>Index Numbers ;  Footwear for women ;  Australia ;</t>
        </is>
      </c>
      <c r="C1512" t="inlineStr">
        <is>
          <t>Quarter</t>
        </is>
      </c>
      <c r="D1512" t="inlineStr">
        <is>
          <t>Index Numbers</t>
        </is>
      </c>
      <c r="E1512" t="inlineStr">
        <is>
          <t>Original</t>
        </is>
      </c>
      <c r="F1512" t="inlineStr">
        <is>
          <t>6401018.xlsx</t>
        </is>
      </c>
      <c r="G1512" t="inlineStr">
        <is>
          <t>1980Q3</t>
        </is>
      </c>
      <c r="H1512" t="inlineStr">
        <is>
          <t>2026Q2</t>
        </is>
      </c>
      <c r="EG1512" s="2">
        <v>52.74</v>
      </c>
      <c r="EH1512" s="2">
        <v>55.06</v>
      </c>
      <c r="EI1512" s="2">
        <v>55.28</v>
      </c>
      <c r="EJ1512" s="2">
        <v>58.04</v>
      </c>
      <c r="EK1512" s="2">
        <v>58.37</v>
      </c>
      <c r="EL1512" s="2">
        <v>59.36</v>
      </c>
      <c r="EM1512" s="2">
        <v>59.58</v>
      </c>
      <c r="EN1512" s="2">
        <v>63.22</v>
      </c>
      <c r="EO1512" s="2">
        <v>64.09999999999999</v>
      </c>
      <c r="EP1512" s="2">
        <v>65.87</v>
      </c>
      <c r="EQ1512" s="2">
        <v>65.87</v>
      </c>
      <c r="ER1512" s="2">
        <v>69.95</v>
      </c>
      <c r="ES1512" s="2">
        <v>70.17</v>
      </c>
      <c r="ET1512" s="2">
        <v>69.06999999999999</v>
      </c>
      <c r="EU1512" s="2">
        <v>69.18000000000001</v>
      </c>
      <c r="EV1512" s="2">
        <v>71.61</v>
      </c>
      <c r="EW1512" s="2">
        <v>71.83</v>
      </c>
      <c r="EX1512" s="2">
        <v>74.59</v>
      </c>
      <c r="EY1512" s="2">
        <v>74.92</v>
      </c>
      <c r="EZ1512" s="2">
        <v>76.79000000000001</v>
      </c>
      <c r="FA1512" s="2">
        <v>77.45999999999999</v>
      </c>
      <c r="FB1512" s="2">
        <v>78.23</v>
      </c>
      <c r="FC1512" s="2">
        <v>78.34</v>
      </c>
      <c r="FD1512" s="2">
        <v>89.37</v>
      </c>
      <c r="FE1512" s="2">
        <v>90.03</v>
      </c>
      <c r="FF1512" s="2">
        <v>92.02</v>
      </c>
      <c r="FG1512" s="2">
        <v>92.13</v>
      </c>
      <c r="FH1512" s="2">
        <v>93.67</v>
      </c>
      <c r="FI1512" s="2">
        <v>94.01000000000001</v>
      </c>
      <c r="FJ1512" s="2">
        <v>96.20999999999999</v>
      </c>
      <c r="FK1512" s="2">
        <v>96.54000000000001</v>
      </c>
      <c r="FL1512" s="2">
        <v>99.52</v>
      </c>
      <c r="FM1512" s="2">
        <v>100.96</v>
      </c>
      <c r="FN1512" s="2">
        <v>105.15</v>
      </c>
      <c r="FO1512" s="2">
        <v>105.26</v>
      </c>
      <c r="FP1512" s="2">
        <v>110.45</v>
      </c>
      <c r="FQ1512" s="2">
        <v>110.34</v>
      </c>
      <c r="FR1512" s="2">
        <v>109.89</v>
      </c>
      <c r="FS1512" s="2">
        <v>110.11</v>
      </c>
      <c r="FT1512" s="2">
        <v>111</v>
      </c>
      <c r="FU1512" s="2">
        <v>110.89</v>
      </c>
      <c r="FV1512" s="2">
        <v>113.87</v>
      </c>
      <c r="FW1512" s="2">
        <v>114.31</v>
      </c>
      <c r="FX1512" s="2">
        <v>115.74</v>
      </c>
      <c r="FY1512" s="2">
        <v>116.07</v>
      </c>
      <c r="FZ1512" s="2">
        <v>115.63</v>
      </c>
      <c r="GA1512" s="2">
        <v>116.29</v>
      </c>
      <c r="GB1512" s="2">
        <v>114.86</v>
      </c>
      <c r="GC1512" s="2">
        <v>114.75</v>
      </c>
      <c r="GD1512" s="2">
        <v>114.53</v>
      </c>
      <c r="GE1512" s="2">
        <v>113.76</v>
      </c>
      <c r="GF1512" s="2">
        <v>115.08</v>
      </c>
      <c r="GG1512" s="2">
        <v>114.42</v>
      </c>
      <c r="GH1512" s="2">
        <v>113.2</v>
      </c>
      <c r="GI1512" s="2">
        <v>113.2</v>
      </c>
      <c r="GJ1512" s="2">
        <v>114.2</v>
      </c>
      <c r="GK1512" s="2">
        <v>113.87</v>
      </c>
      <c r="GL1512" s="2">
        <v>114.75</v>
      </c>
      <c r="GM1512" s="2">
        <v>111.55</v>
      </c>
      <c r="GN1512" s="2">
        <v>111.77</v>
      </c>
      <c r="GO1512" s="2">
        <v>109.89</v>
      </c>
      <c r="GP1512" s="2">
        <v>112.21</v>
      </c>
      <c r="GQ1512" s="2">
        <v>111</v>
      </c>
      <c r="GR1512" s="2">
        <v>114.2</v>
      </c>
      <c r="GS1512" s="2">
        <v>112.76</v>
      </c>
      <c r="GT1512" s="2">
        <v>114.09</v>
      </c>
      <c r="GU1512" s="2">
        <v>113.65</v>
      </c>
      <c r="GV1512" s="2">
        <v>112.54</v>
      </c>
      <c r="GW1512" s="2">
        <v>110.78</v>
      </c>
      <c r="GX1512" s="2">
        <v>114.31</v>
      </c>
      <c r="GY1512" s="2">
        <v>111.77</v>
      </c>
      <c r="GZ1512" s="2">
        <v>112.65</v>
      </c>
      <c r="HA1512" s="2">
        <v>109.24</v>
      </c>
      <c r="HB1512" s="2">
        <v>111.57</v>
      </c>
      <c r="HC1512" s="2">
        <v>109.78</v>
      </c>
      <c r="HD1512" s="2">
        <v>110.17</v>
      </c>
      <c r="HE1512" s="2">
        <v>108.88</v>
      </c>
      <c r="HF1512" s="2">
        <v>108.9</v>
      </c>
      <c r="HG1512" s="2">
        <v>108.66</v>
      </c>
      <c r="HH1512" s="2">
        <v>108.97</v>
      </c>
      <c r="HI1512" s="2">
        <v>118.1</v>
      </c>
      <c r="HJ1512" s="2">
        <v>116.56</v>
      </c>
      <c r="HK1512" s="2">
        <v>116.93</v>
      </c>
      <c r="HL1512" s="2">
        <v>116.83</v>
      </c>
      <c r="HM1512" s="2">
        <v>116.36</v>
      </c>
      <c r="HN1512" s="2">
        <v>118.65</v>
      </c>
      <c r="HO1512" s="2">
        <v>119.36</v>
      </c>
      <c r="HP1512" s="2">
        <v>117.72</v>
      </c>
      <c r="HQ1512" s="2">
        <v>118.99</v>
      </c>
      <c r="HR1512" s="2">
        <v>117.27</v>
      </c>
      <c r="HS1512" s="2">
        <v>112.68</v>
      </c>
      <c r="HT1512" s="2">
        <v>114.39</v>
      </c>
      <c r="HU1512" s="2">
        <v>112.66</v>
      </c>
      <c r="HV1512" s="2">
        <v>113.84</v>
      </c>
      <c r="HW1512" s="2">
        <v>111.63</v>
      </c>
      <c r="HX1512" s="2">
        <v>112.3</v>
      </c>
      <c r="HY1512" s="2">
        <v>113.91</v>
      </c>
      <c r="HZ1512" s="2">
        <v>113.63</v>
      </c>
      <c r="IA1512" s="2">
        <v>111.76</v>
      </c>
      <c r="IB1512" s="2">
        <v>111.58</v>
      </c>
      <c r="IC1512" s="2">
        <v>111.23</v>
      </c>
      <c r="ID1512" s="2">
        <v>112.44</v>
      </c>
      <c r="IE1512" s="2">
        <v>109.49</v>
      </c>
      <c r="IF1512" s="2">
        <v>112.56</v>
      </c>
      <c r="IG1512" s="2">
        <v>114.31</v>
      </c>
      <c r="IH1512" s="2">
        <v>112.81</v>
      </c>
      <c r="II1512" s="2">
        <v>113.98</v>
      </c>
      <c r="IJ1512" s="2">
        <v>109.78</v>
      </c>
      <c r="IK1512" s="2">
        <v>111.71</v>
      </c>
      <c r="IL1512" s="2">
        <v>114.27</v>
      </c>
      <c r="IM1512" s="2">
        <v>110.22</v>
      </c>
      <c r="IN1512" s="2">
        <v>112.52</v>
      </c>
      <c r="IO1512" s="2">
        <v>112.01</v>
      </c>
      <c r="IP1512" s="2">
        <v>113.53</v>
      </c>
      <c r="IQ1512" s="2">
        <v>109.34</v>
      </c>
      <c r="IR1512" s="2">
        <v>107.13</v>
      </c>
      <c r="IS1512" s="2">
        <v>110.63</v>
      </c>
      <c r="IT1512" s="2">
        <v>110.84</v>
      </c>
      <c r="IU1512" s="2">
        <v>106.85</v>
      </c>
      <c r="IV1512" s="2">
        <v>102.74</v>
      </c>
      <c r="IW1512" s="2">
        <v>106.41</v>
      </c>
      <c r="IX1512" s="2">
        <v>107.02</v>
      </c>
      <c r="IY1512" s="2">
        <v>103.79</v>
      </c>
      <c r="IZ1512" s="2">
        <v>101.38</v>
      </c>
      <c r="JA1512" s="2">
        <v>106.63</v>
      </c>
      <c r="JB1512" s="2">
        <v>105.46</v>
      </c>
      <c r="JC1512" s="2">
        <v>108.38</v>
      </c>
      <c r="JD1512" s="2">
        <v>107.92</v>
      </c>
      <c r="JE1512" s="2">
        <v>107.3</v>
      </c>
      <c r="JF1512" s="2">
        <v>109.56</v>
      </c>
      <c r="JG1512" s="2">
        <v>102.15</v>
      </c>
      <c r="JH1512" s="2">
        <v>105.4</v>
      </c>
      <c r="JI1512" s="2">
        <v>107.61</v>
      </c>
      <c r="JJ1512" s="2">
        <v>106.26</v>
      </c>
      <c r="JK1512" s="2">
        <v>102.75</v>
      </c>
      <c r="JL1512" s="2">
        <v>101.48</v>
      </c>
      <c r="JM1512" s="2">
        <v>102.01</v>
      </c>
      <c r="JN1512" s="2">
        <v>107.3</v>
      </c>
      <c r="JO1512" s="2">
        <v>101.86</v>
      </c>
      <c r="JP1512" s="2">
        <v>98.79000000000001</v>
      </c>
      <c r="JQ1512" s="2">
        <v>99.04000000000001</v>
      </c>
      <c r="JR1512" s="2">
        <v>101.21</v>
      </c>
      <c r="JS1512" s="2">
        <v>96.67</v>
      </c>
      <c r="JT1512" s="2">
        <v>101.05</v>
      </c>
      <c r="JU1512" s="2">
        <v>100.23</v>
      </c>
      <c r="JV1512" s="2">
        <v>101.13</v>
      </c>
      <c r="KA1512" s="2">
        <v>98.22</v>
      </c>
      <c r="KB1512" s="2">
        <v>98.95999999999999</v>
      </c>
      <c r="KC1512" s="2">
        <v>100.09</v>
      </c>
      <c r="KD1512" s="2">
        <v>98.29000000000001</v>
      </c>
      <c r="KQ1512" s="2">
        <v>93.95999999999999</v>
      </c>
      <c r="KR1512" s="2">
        <v>96.42</v>
      </c>
      <c r="KS1512" s="2">
        <v>95.84</v>
      </c>
      <c r="KT1512" s="2">
        <v>92.45999999999999</v>
      </c>
      <c r="LG1512" s="2">
        <v>92.34999999999999</v>
      </c>
      <c r="LH1512" s="2">
        <v>94.19</v>
      </c>
      <c r="LI1512" s="2">
        <v>96.73</v>
      </c>
      <c r="LJ1512" s="2">
        <v>95.98999999999999</v>
      </c>
      <c r="LW1512" s="2">
        <v>95.86</v>
      </c>
      <c r="LX1512" s="2">
        <v>94.97</v>
      </c>
      <c r="LY1512" s="2">
        <v>95.33</v>
      </c>
      <c r="LZ1512" s="2">
        <v>97.40000000000001</v>
      </c>
      <c r="MM1512" s="2">
        <v>96.91</v>
      </c>
      <c r="MN1512" s="2">
        <v>101.16</v>
      </c>
      <c r="MO1512" s="2">
        <v>94.19</v>
      </c>
      <c r="MP1512" s="2">
        <v>98.48999999999999</v>
      </c>
      <c r="NC1512" s="2">
        <v>94.78</v>
      </c>
      <c r="ND1512" s="2">
        <v>101.19</v>
      </c>
      <c r="NE1512" s="2">
        <v>98.02</v>
      </c>
      <c r="NF1512" s="2">
        <v>103.81</v>
      </c>
      <c r="NS1512" s="2">
        <v>97.22</v>
      </c>
      <c r="NT1512" s="2">
        <v>99.70999999999999</v>
      </c>
      <c r="NU1512" s="2">
        <v>98.78</v>
      </c>
      <c r="NV1512" s="2">
        <v>98.23</v>
      </c>
      <c r="OI1512" s="2">
        <v>95.28</v>
      </c>
      <c r="OJ1512" s="2">
        <v>99.33</v>
      </c>
      <c r="OK1512" s="2">
        <v>96.20999999999999</v>
      </c>
      <c r="OL1512" s="2">
        <v>96.90000000000001</v>
      </c>
      <c r="OY1512" s="2">
        <v>92.88</v>
      </c>
      <c r="OZ1512" s="2">
        <v>99.75</v>
      </c>
      <c r="PA1512" s="2">
        <v>96.89</v>
      </c>
      <c r="PB1512" s="2">
        <v>96.76000000000001</v>
      </c>
      <c r="PJ1512" s="2">
        <v>97.63</v>
      </c>
      <c r="PK1512" s="2">
        <v>98.52</v>
      </c>
    </row>
    <row r="1513">
      <c r="A1513" t="inlineStr">
        <is>
          <t>A2328006T</t>
        </is>
      </c>
      <c r="B1513" t="inlineStr">
        <is>
          <t>Index Numbers ;  Footwear for infants and children ;  Australia ;</t>
        </is>
      </c>
      <c r="C1513" t="inlineStr">
        <is>
          <t>Quarter</t>
        </is>
      </c>
      <c r="D1513" t="inlineStr">
        <is>
          <t>Index Numbers</t>
        </is>
      </c>
      <c r="E1513" t="inlineStr">
        <is>
          <t>Original</t>
        </is>
      </c>
      <c r="F1513" t="inlineStr">
        <is>
          <t>6401018.xlsx</t>
        </is>
      </c>
      <c r="G1513" t="inlineStr">
        <is>
          <t>1980Q3</t>
        </is>
      </c>
      <c r="H1513" t="inlineStr">
        <is>
          <t>2026Q2</t>
        </is>
      </c>
      <c r="EG1513" s="2">
        <v>57.28</v>
      </c>
      <c r="EH1513" s="2">
        <v>57.99</v>
      </c>
      <c r="EI1513" s="2">
        <v>58.6</v>
      </c>
      <c r="EJ1513" s="2">
        <v>60.12</v>
      </c>
      <c r="EK1513" s="2">
        <v>59.51</v>
      </c>
      <c r="EL1513" s="2">
        <v>61.64</v>
      </c>
      <c r="EM1513" s="2">
        <v>62.45</v>
      </c>
      <c r="EN1513" s="2">
        <v>60.93</v>
      </c>
      <c r="EO1513" s="2">
        <v>64.58</v>
      </c>
      <c r="EP1513" s="2">
        <v>65.48999999999999</v>
      </c>
      <c r="EQ1513" s="2">
        <v>61.33</v>
      </c>
      <c r="ER1513" s="2">
        <v>70.56</v>
      </c>
      <c r="ES1513" s="2">
        <v>70.86</v>
      </c>
      <c r="ET1513" s="2">
        <v>71.17</v>
      </c>
      <c r="EU1513" s="2">
        <v>74.92</v>
      </c>
      <c r="EV1513" s="2">
        <v>76.84</v>
      </c>
      <c r="EW1513" s="2">
        <v>77.05</v>
      </c>
      <c r="EX1513" s="2">
        <v>78.36</v>
      </c>
      <c r="EY1513" s="2">
        <v>78.77</v>
      </c>
      <c r="EZ1513" s="2">
        <v>79.78</v>
      </c>
      <c r="FA1513" s="2">
        <v>81.91</v>
      </c>
      <c r="FB1513" s="2">
        <v>83.84</v>
      </c>
      <c r="FC1513" s="2">
        <v>85.87</v>
      </c>
      <c r="FD1513" s="2">
        <v>87.89</v>
      </c>
      <c r="FE1513" s="2">
        <v>88.59999999999999</v>
      </c>
      <c r="FF1513" s="2">
        <v>89.62</v>
      </c>
      <c r="FG1513" s="2">
        <v>89.92</v>
      </c>
      <c r="FH1513" s="2">
        <v>90.94</v>
      </c>
      <c r="FI1513" s="2">
        <v>93.37</v>
      </c>
      <c r="FJ1513" s="2">
        <v>94.48</v>
      </c>
      <c r="FK1513" s="2">
        <v>94.59</v>
      </c>
      <c r="FL1513" s="2">
        <v>96.41</v>
      </c>
      <c r="FM1513" s="2">
        <v>97.83</v>
      </c>
      <c r="FN1513" s="2">
        <v>99.45</v>
      </c>
      <c r="FO1513" s="2">
        <v>97.42</v>
      </c>
      <c r="FP1513" s="2">
        <v>100.26</v>
      </c>
      <c r="FQ1513" s="2">
        <v>100.36</v>
      </c>
      <c r="FR1513" s="2">
        <v>101.78</v>
      </c>
      <c r="FS1513" s="2">
        <v>102.09</v>
      </c>
      <c r="FT1513" s="2">
        <v>101.17</v>
      </c>
      <c r="FU1513" s="2">
        <v>101.58</v>
      </c>
      <c r="FV1513" s="2">
        <v>101.88</v>
      </c>
      <c r="FW1513" s="2">
        <v>103.51</v>
      </c>
      <c r="FX1513" s="2">
        <v>103.61</v>
      </c>
      <c r="FY1513" s="2">
        <v>105.74</v>
      </c>
      <c r="FZ1513" s="2">
        <v>106.75</v>
      </c>
      <c r="GA1513" s="2">
        <v>106.85</v>
      </c>
      <c r="GB1513" s="2">
        <v>108.88</v>
      </c>
      <c r="GC1513" s="2">
        <v>99.34999999999999</v>
      </c>
      <c r="GD1513" s="2">
        <v>108.07</v>
      </c>
      <c r="GE1513" s="2">
        <v>105.23</v>
      </c>
      <c r="GF1513" s="2">
        <v>105.53</v>
      </c>
      <c r="GG1513" s="2">
        <v>105.53</v>
      </c>
      <c r="GH1513" s="2">
        <v>106.04</v>
      </c>
      <c r="GI1513" s="2">
        <v>103.51</v>
      </c>
      <c r="GJ1513" s="2">
        <v>102.39</v>
      </c>
      <c r="GK1513" s="2">
        <v>101.17</v>
      </c>
      <c r="GL1513" s="2">
        <v>101.38</v>
      </c>
      <c r="GM1513" s="2">
        <v>97.93000000000001</v>
      </c>
      <c r="GN1513" s="2">
        <v>99.25</v>
      </c>
      <c r="GO1513" s="2">
        <v>96.70999999999999</v>
      </c>
      <c r="GP1513" s="2">
        <v>99.45</v>
      </c>
      <c r="GQ1513" s="2">
        <v>99.05</v>
      </c>
      <c r="GR1513" s="2">
        <v>99.86</v>
      </c>
      <c r="GS1513" s="2">
        <v>96.31</v>
      </c>
      <c r="GT1513" s="2">
        <v>98.34</v>
      </c>
      <c r="GU1513" s="2">
        <v>98.34</v>
      </c>
      <c r="GV1513" s="2">
        <v>98.03</v>
      </c>
      <c r="GW1513" s="2">
        <v>99.25</v>
      </c>
      <c r="GX1513" s="2">
        <v>100.36</v>
      </c>
      <c r="GY1513" s="2">
        <v>98.54000000000001</v>
      </c>
      <c r="GZ1513" s="2">
        <v>97.53</v>
      </c>
      <c r="HA1513" s="2">
        <v>97.51000000000001</v>
      </c>
      <c r="HB1513" s="2">
        <v>98.12</v>
      </c>
      <c r="HC1513" s="2">
        <v>97.17</v>
      </c>
      <c r="HD1513" s="2">
        <v>98.42</v>
      </c>
      <c r="HE1513" s="2">
        <v>97.89</v>
      </c>
      <c r="HF1513" s="2">
        <v>97.45</v>
      </c>
      <c r="HG1513" s="2">
        <v>95.31999999999999</v>
      </c>
      <c r="HH1513" s="2">
        <v>95.43000000000001</v>
      </c>
      <c r="HI1513" s="2">
        <v>101.44</v>
      </c>
      <c r="HJ1513" s="2">
        <v>99.67</v>
      </c>
      <c r="HK1513" s="2">
        <v>99.95999999999999</v>
      </c>
      <c r="HL1513" s="2">
        <v>101.08</v>
      </c>
      <c r="HM1513" s="2">
        <v>102.32</v>
      </c>
      <c r="HN1513" s="2">
        <v>102.02</v>
      </c>
      <c r="HO1513" s="2">
        <v>101.71</v>
      </c>
      <c r="HP1513" s="2">
        <v>102.1</v>
      </c>
      <c r="HQ1513" s="2">
        <v>102.91</v>
      </c>
      <c r="HR1513" s="2">
        <v>103.45</v>
      </c>
      <c r="HS1513" s="2">
        <v>102.77</v>
      </c>
      <c r="HT1513" s="2">
        <v>102.33</v>
      </c>
      <c r="HU1513" s="2">
        <v>99.84999999999999</v>
      </c>
      <c r="HV1513" s="2">
        <v>101.28</v>
      </c>
      <c r="HW1513" s="2">
        <v>98.19</v>
      </c>
      <c r="HX1513" s="2">
        <v>99.12</v>
      </c>
      <c r="HY1513" s="2">
        <v>99.23</v>
      </c>
      <c r="HZ1513" s="2">
        <v>100.5</v>
      </c>
      <c r="IA1513" s="2">
        <v>99.48999999999999</v>
      </c>
      <c r="IB1513" s="2">
        <v>99.90000000000001</v>
      </c>
      <c r="IC1513" s="2">
        <v>100.63</v>
      </c>
      <c r="ID1513" s="2">
        <v>100.89</v>
      </c>
      <c r="IE1513" s="2">
        <v>95.67</v>
      </c>
      <c r="IF1513" s="2">
        <v>99.67</v>
      </c>
      <c r="IG1513" s="2">
        <v>98.97</v>
      </c>
      <c r="IH1513" s="2">
        <v>98.56</v>
      </c>
      <c r="II1513" s="2">
        <v>98.36</v>
      </c>
      <c r="IJ1513" s="2">
        <v>96.81999999999999</v>
      </c>
      <c r="IK1513" s="2">
        <v>99.88</v>
      </c>
      <c r="IL1513" s="2">
        <v>100.55</v>
      </c>
      <c r="IM1513" s="2">
        <v>99.95999999999999</v>
      </c>
      <c r="IN1513" s="2">
        <v>100.25</v>
      </c>
      <c r="IO1513" s="2">
        <v>101.51</v>
      </c>
      <c r="IP1513" s="2">
        <v>101.22</v>
      </c>
      <c r="IQ1513" s="2">
        <v>99.48999999999999</v>
      </c>
      <c r="IR1513" s="2">
        <v>102.28</v>
      </c>
      <c r="IS1513" s="2">
        <v>103.31</v>
      </c>
      <c r="IT1513" s="2">
        <v>99.81</v>
      </c>
      <c r="IU1513" s="2">
        <v>99.48999999999999</v>
      </c>
      <c r="IV1513" s="2">
        <v>98.62</v>
      </c>
      <c r="IW1513" s="2">
        <v>100.45</v>
      </c>
      <c r="IX1513" s="2">
        <v>99.47</v>
      </c>
      <c r="IY1513" s="2">
        <v>92.16</v>
      </c>
      <c r="IZ1513" s="2">
        <v>100.07</v>
      </c>
      <c r="JA1513" s="2">
        <v>101.22</v>
      </c>
      <c r="JB1513" s="2">
        <v>100.54</v>
      </c>
      <c r="JC1513" s="2">
        <v>97.97</v>
      </c>
      <c r="JD1513" s="2">
        <v>99.48999999999999</v>
      </c>
      <c r="JE1513" s="2">
        <v>100.95</v>
      </c>
      <c r="JF1513" s="2">
        <v>99.59999999999999</v>
      </c>
      <c r="JG1513" s="2">
        <v>95.23</v>
      </c>
      <c r="JH1513" s="2">
        <v>97.56999999999999</v>
      </c>
      <c r="JI1513" s="2">
        <v>100.75</v>
      </c>
      <c r="JJ1513" s="2">
        <v>98.66</v>
      </c>
      <c r="JK1513" s="2">
        <v>95.54000000000001</v>
      </c>
      <c r="JL1513" s="2">
        <v>99.75</v>
      </c>
      <c r="JM1513" s="2">
        <v>96.45</v>
      </c>
      <c r="JN1513" s="2">
        <v>97.94</v>
      </c>
      <c r="JO1513" s="2">
        <v>95.88</v>
      </c>
      <c r="JP1513" s="2">
        <v>97.2</v>
      </c>
      <c r="JQ1513" s="2">
        <v>94.62</v>
      </c>
      <c r="JR1513" s="2">
        <v>97.81</v>
      </c>
      <c r="JS1513" s="2">
        <v>95.54000000000001</v>
      </c>
      <c r="JT1513" s="2">
        <v>101.37</v>
      </c>
      <c r="JU1513" s="2">
        <v>98.84999999999999</v>
      </c>
      <c r="JV1513" s="2">
        <v>97.23999999999999</v>
      </c>
      <c r="KA1513" s="2">
        <v>94.5</v>
      </c>
      <c r="KB1513" s="2">
        <v>98.11</v>
      </c>
      <c r="KC1513" s="2">
        <v>96.20999999999999</v>
      </c>
      <c r="KD1513" s="2">
        <v>94.95999999999999</v>
      </c>
      <c r="KQ1513" s="2">
        <v>93.01000000000001</v>
      </c>
      <c r="KR1513" s="2">
        <v>97.89</v>
      </c>
      <c r="KS1513" s="2">
        <v>97.15000000000001</v>
      </c>
      <c r="KT1513" s="2">
        <v>94.83</v>
      </c>
      <c r="LG1513" s="2">
        <v>92.54000000000001</v>
      </c>
      <c r="LH1513" s="2">
        <v>92.90000000000001</v>
      </c>
      <c r="LI1513" s="2">
        <v>97.56</v>
      </c>
      <c r="LJ1513" s="2">
        <v>96.53</v>
      </c>
      <c r="LW1513" s="2">
        <v>96.33</v>
      </c>
      <c r="LX1513" s="2">
        <v>95.84999999999999</v>
      </c>
      <c r="LY1513" s="2">
        <v>94.78</v>
      </c>
      <c r="LZ1513" s="2">
        <v>99.05</v>
      </c>
      <c r="MM1513" s="2">
        <v>97.09</v>
      </c>
      <c r="MN1513" s="2">
        <v>97.16</v>
      </c>
      <c r="MO1513" s="2">
        <v>98.3</v>
      </c>
      <c r="MP1513" s="2">
        <v>100.5</v>
      </c>
      <c r="NC1513" s="2">
        <v>100.3</v>
      </c>
      <c r="ND1513" s="2">
        <v>97.86</v>
      </c>
      <c r="NE1513" s="2">
        <v>97.56999999999999</v>
      </c>
      <c r="NF1513" s="2">
        <v>100.13</v>
      </c>
      <c r="NS1513" s="2">
        <v>95.58</v>
      </c>
      <c r="NT1513" s="2">
        <v>97.13</v>
      </c>
      <c r="NU1513" s="2">
        <v>99.38</v>
      </c>
      <c r="NV1513" s="2">
        <v>99.33</v>
      </c>
      <c r="OI1513" s="2">
        <v>94.86</v>
      </c>
      <c r="OJ1513" s="2">
        <v>101.35</v>
      </c>
      <c r="OK1513" s="2">
        <v>101.18</v>
      </c>
      <c r="OL1513" s="2">
        <v>102.02</v>
      </c>
      <c r="OY1513" s="2">
        <v>101.58</v>
      </c>
      <c r="OZ1513" s="2">
        <v>101.27</v>
      </c>
      <c r="PA1513" s="2">
        <v>99.56</v>
      </c>
      <c r="PB1513" s="2">
        <v>102.26</v>
      </c>
      <c r="PJ1513" s="2">
        <v>105.26</v>
      </c>
      <c r="PK1513" s="2">
        <v>105.01</v>
      </c>
    </row>
    <row r="1514">
      <c r="A1514" t="inlineStr">
        <is>
          <t>A2329806J</t>
        </is>
      </c>
      <c r="B1514" t="inlineStr">
        <is>
          <t>Index Numbers ;  Accessories and clothing services ;  Australia ;</t>
        </is>
      </c>
      <c r="C1514" t="inlineStr">
        <is>
          <t>Quarter</t>
        </is>
      </c>
      <c r="D1514" t="inlineStr">
        <is>
          <t>Index Numbers</t>
        </is>
      </c>
      <c r="E1514" t="inlineStr">
        <is>
          <t>Original</t>
        </is>
      </c>
      <c r="F1514" t="inlineStr">
        <is>
          <t>6401018.xlsx</t>
        </is>
      </c>
      <c r="G1514" t="inlineStr">
        <is>
          <t>1998Q2</t>
        </is>
      </c>
      <c r="H1514" t="inlineStr">
        <is>
          <t>2026Q2</t>
        </is>
      </c>
      <c r="GZ1514" s="2">
        <v>55.92</v>
      </c>
      <c r="HA1514" s="2">
        <v>56.11</v>
      </c>
      <c r="HB1514" s="2">
        <v>55.98</v>
      </c>
      <c r="HC1514" s="2">
        <v>55.49</v>
      </c>
      <c r="HD1514" s="2">
        <v>56.59</v>
      </c>
      <c r="HE1514" s="2">
        <v>56.3</v>
      </c>
      <c r="HF1514" s="2">
        <v>55.54</v>
      </c>
      <c r="HG1514" s="2">
        <v>55.94</v>
      </c>
      <c r="HH1514" s="2">
        <v>55.41</v>
      </c>
      <c r="HI1514" s="2">
        <v>57.31</v>
      </c>
      <c r="HJ1514" s="2">
        <v>58.19</v>
      </c>
      <c r="HK1514" s="2">
        <v>57.74</v>
      </c>
      <c r="HL1514" s="2">
        <v>58.07</v>
      </c>
      <c r="HM1514" s="2">
        <v>58.7</v>
      </c>
      <c r="HN1514" s="2">
        <v>57.81</v>
      </c>
      <c r="HO1514" s="2">
        <v>58.16</v>
      </c>
      <c r="HP1514" s="2">
        <v>58.89</v>
      </c>
      <c r="HQ1514" s="2">
        <v>59.38</v>
      </c>
      <c r="HR1514" s="2">
        <v>59.15</v>
      </c>
      <c r="HS1514" s="2">
        <v>59.47</v>
      </c>
      <c r="HT1514" s="2">
        <v>60.09</v>
      </c>
      <c r="HU1514" s="2">
        <v>60.42</v>
      </c>
      <c r="HV1514" s="2">
        <v>59.93</v>
      </c>
      <c r="HW1514" s="2">
        <v>59.27</v>
      </c>
      <c r="HX1514" s="2">
        <v>59.82</v>
      </c>
      <c r="HY1514" s="2">
        <v>59.68</v>
      </c>
      <c r="HZ1514" s="2">
        <v>59.09</v>
      </c>
      <c r="IA1514" s="2">
        <v>59.18</v>
      </c>
      <c r="IB1514" s="2">
        <v>59.54</v>
      </c>
      <c r="IC1514" s="2">
        <v>59.91</v>
      </c>
      <c r="ID1514" s="2">
        <v>60.17</v>
      </c>
      <c r="IE1514" s="2">
        <v>58.64</v>
      </c>
      <c r="IF1514" s="2">
        <v>59.55</v>
      </c>
      <c r="IG1514" s="2">
        <v>59.58</v>
      </c>
      <c r="IH1514" s="2">
        <v>59.41</v>
      </c>
      <c r="II1514" s="2">
        <v>58.01</v>
      </c>
      <c r="IJ1514" s="2">
        <v>61</v>
      </c>
      <c r="IK1514" s="2">
        <v>61.32</v>
      </c>
      <c r="IL1514" s="2">
        <v>62.15</v>
      </c>
      <c r="IM1514" s="2">
        <v>59.73</v>
      </c>
      <c r="IN1514" s="2">
        <v>62.98</v>
      </c>
      <c r="IO1514" s="2">
        <v>63.41</v>
      </c>
      <c r="IP1514" s="2">
        <v>64.29000000000001</v>
      </c>
      <c r="IQ1514" s="2">
        <v>63.85</v>
      </c>
      <c r="IR1514" s="2">
        <v>67</v>
      </c>
      <c r="IS1514" s="2">
        <v>67.18000000000001</v>
      </c>
      <c r="IT1514" s="2">
        <v>67.47</v>
      </c>
      <c r="IU1514" s="2">
        <v>65.51000000000001</v>
      </c>
      <c r="IV1514" s="2">
        <v>66.48</v>
      </c>
      <c r="IW1514" s="2">
        <v>67.78</v>
      </c>
      <c r="IX1514" s="2">
        <v>66.09999999999999</v>
      </c>
      <c r="IY1514" s="2">
        <v>67.40000000000001</v>
      </c>
      <c r="IZ1514" s="2">
        <v>72.09999999999999</v>
      </c>
      <c r="JA1514" s="2">
        <v>74.25</v>
      </c>
      <c r="JB1514" s="2">
        <v>71.94</v>
      </c>
      <c r="JC1514" s="2">
        <v>72.87</v>
      </c>
      <c r="JD1514" s="2">
        <v>73.67</v>
      </c>
      <c r="JE1514" s="2">
        <v>71.92</v>
      </c>
      <c r="JF1514" s="2">
        <v>76.11</v>
      </c>
      <c r="JG1514" s="2">
        <v>73.19</v>
      </c>
      <c r="JH1514" s="2">
        <v>74.04000000000001</v>
      </c>
      <c r="JI1514" s="2">
        <v>75.34999999999999</v>
      </c>
      <c r="JJ1514" s="2">
        <v>74.18000000000001</v>
      </c>
      <c r="JK1514" s="2">
        <v>72.79000000000001</v>
      </c>
      <c r="JL1514" s="2">
        <v>73.7</v>
      </c>
      <c r="JM1514" s="2">
        <v>74.15000000000001</v>
      </c>
      <c r="JN1514" s="2">
        <v>73.05</v>
      </c>
      <c r="JO1514" s="2">
        <v>74.84999999999999</v>
      </c>
      <c r="JP1514" s="2">
        <v>75.79000000000001</v>
      </c>
      <c r="JQ1514" s="2">
        <v>74.02</v>
      </c>
      <c r="JR1514" s="2">
        <v>76.95</v>
      </c>
      <c r="JS1514" s="2">
        <v>74.25</v>
      </c>
      <c r="JT1514" s="2">
        <v>74.78</v>
      </c>
      <c r="JU1514" s="2">
        <v>78.42</v>
      </c>
      <c r="JV1514" s="2">
        <v>75.13</v>
      </c>
      <c r="KA1514" s="2">
        <v>77.33</v>
      </c>
      <c r="KB1514" s="2">
        <v>77.66</v>
      </c>
      <c r="KC1514" s="2">
        <v>77.25</v>
      </c>
      <c r="KD1514" s="2">
        <v>77.45999999999999</v>
      </c>
      <c r="KQ1514" s="2">
        <v>78.51000000000001</v>
      </c>
      <c r="KR1514" s="2">
        <v>78.8</v>
      </c>
      <c r="KS1514" s="2">
        <v>79.51000000000001</v>
      </c>
      <c r="KT1514" s="2">
        <v>79.23</v>
      </c>
      <c r="LG1514" s="2">
        <v>78.66</v>
      </c>
      <c r="LH1514" s="2">
        <v>78.27</v>
      </c>
      <c r="LI1514" s="2">
        <v>79.44</v>
      </c>
      <c r="LJ1514" s="2">
        <v>81.40000000000001</v>
      </c>
      <c r="LW1514" s="2">
        <v>81.3</v>
      </c>
      <c r="LX1514" s="2">
        <v>80.63</v>
      </c>
      <c r="LY1514" s="2">
        <v>80.31</v>
      </c>
      <c r="LZ1514" s="2">
        <v>79.89</v>
      </c>
      <c r="MM1514" s="2">
        <v>85.03</v>
      </c>
      <c r="MN1514" s="2">
        <v>83.14</v>
      </c>
      <c r="MO1514" s="2">
        <v>83.94</v>
      </c>
      <c r="MP1514" s="2">
        <v>84.92</v>
      </c>
      <c r="NC1514" s="2">
        <v>86.08</v>
      </c>
      <c r="ND1514" s="2">
        <v>87.20999999999999</v>
      </c>
      <c r="NE1514" s="2">
        <v>87.54000000000001</v>
      </c>
      <c r="NF1514" s="2">
        <v>89.31999999999999</v>
      </c>
      <c r="NS1514" s="2">
        <v>89.33</v>
      </c>
      <c r="NT1514" s="2">
        <v>87.62</v>
      </c>
      <c r="NU1514" s="2">
        <v>90.63</v>
      </c>
      <c r="NV1514" s="2">
        <v>89.34</v>
      </c>
      <c r="OI1514" s="2">
        <v>87.61</v>
      </c>
      <c r="OJ1514" s="2">
        <v>90.54000000000001</v>
      </c>
      <c r="OK1514" s="2">
        <v>91.73</v>
      </c>
      <c r="OL1514" s="2">
        <v>92.52</v>
      </c>
      <c r="OY1514" s="2">
        <v>93.73999999999999</v>
      </c>
      <c r="OZ1514" s="2">
        <v>92.67</v>
      </c>
      <c r="PA1514" s="2">
        <v>97.87</v>
      </c>
      <c r="PB1514" s="2">
        <v>98.93000000000001</v>
      </c>
      <c r="PJ1514" s="2">
        <v>103</v>
      </c>
      <c r="PK1514" s="2">
        <v>105.14</v>
      </c>
    </row>
    <row r="1515">
      <c r="A1515" t="inlineStr">
        <is>
          <t>A2329851V</t>
        </is>
      </c>
      <c r="B1515" t="inlineStr">
        <is>
          <t>Index Numbers ;  Accessories ;  Australia ;</t>
        </is>
      </c>
      <c r="C1515" t="inlineStr">
        <is>
          <t>Quarter</t>
        </is>
      </c>
      <c r="D1515" t="inlineStr">
        <is>
          <t>Index Numbers</t>
        </is>
      </c>
      <c r="E1515" t="inlineStr">
        <is>
          <t>Original</t>
        </is>
      </c>
      <c r="F1515" t="inlineStr">
        <is>
          <t>6401018.xlsx</t>
        </is>
      </c>
      <c r="G1515" t="inlineStr">
        <is>
          <t>1998Q2</t>
        </is>
      </c>
      <c r="H1515" t="inlineStr">
        <is>
          <t>2026Q2</t>
        </is>
      </c>
      <c r="GZ1515" s="2">
        <v>66.44</v>
      </c>
      <c r="HA1515" s="2">
        <v>66.51000000000001</v>
      </c>
      <c r="HB1515" s="2">
        <v>65.98</v>
      </c>
      <c r="HC1515" s="2">
        <v>65.34</v>
      </c>
      <c r="HD1515" s="2">
        <v>67.3</v>
      </c>
      <c r="HE1515" s="2">
        <v>66.75</v>
      </c>
      <c r="HF1515" s="2">
        <v>64.66</v>
      </c>
      <c r="HG1515" s="2">
        <v>64.45999999999999</v>
      </c>
      <c r="HH1515" s="2">
        <v>62.97</v>
      </c>
      <c r="HI1515" s="2">
        <v>62.91</v>
      </c>
      <c r="HJ1515" s="2">
        <v>64.20999999999999</v>
      </c>
      <c r="HK1515" s="2">
        <v>63.3</v>
      </c>
      <c r="HL1515" s="2">
        <v>63.82</v>
      </c>
      <c r="HM1515" s="2">
        <v>63.78</v>
      </c>
      <c r="HN1515" s="2">
        <v>61.79</v>
      </c>
      <c r="HO1515" s="2">
        <v>62.33</v>
      </c>
      <c r="HP1515" s="2">
        <v>63.35</v>
      </c>
      <c r="HQ1515" s="2">
        <v>63.58</v>
      </c>
      <c r="HR1515" s="2">
        <v>62.73</v>
      </c>
      <c r="HS1515" s="2">
        <v>63.52</v>
      </c>
      <c r="HT1515" s="2">
        <v>64.14</v>
      </c>
      <c r="HU1515" s="2">
        <v>64.64</v>
      </c>
      <c r="HV1515" s="2">
        <v>63.3</v>
      </c>
      <c r="HW1515" s="2">
        <v>62.16</v>
      </c>
      <c r="HX1515" s="2">
        <v>63.06</v>
      </c>
      <c r="HY1515" s="2">
        <v>62.45</v>
      </c>
      <c r="HZ1515" s="2">
        <v>60.98</v>
      </c>
      <c r="IA1515" s="2">
        <v>61.08</v>
      </c>
      <c r="IB1515" s="2">
        <v>60.84</v>
      </c>
      <c r="IC1515" s="2">
        <v>61.23</v>
      </c>
      <c r="ID1515" s="2">
        <v>61.29</v>
      </c>
      <c r="IE1515" s="2">
        <v>59.14</v>
      </c>
      <c r="IF1515" s="2">
        <v>60.25</v>
      </c>
      <c r="IG1515" s="2">
        <v>59.99</v>
      </c>
      <c r="IH1515" s="2">
        <v>59.76</v>
      </c>
      <c r="II1515" s="2">
        <v>57.77</v>
      </c>
      <c r="IJ1515" s="2">
        <v>61.5</v>
      </c>
      <c r="IK1515" s="2">
        <v>61.85</v>
      </c>
      <c r="IL1515" s="2">
        <v>62.91</v>
      </c>
      <c r="IM1515" s="2">
        <v>59.58</v>
      </c>
      <c r="IN1515" s="2">
        <v>63.64</v>
      </c>
      <c r="IO1515" s="2">
        <v>64</v>
      </c>
      <c r="IP1515" s="2">
        <v>64.88</v>
      </c>
      <c r="IQ1515" s="2">
        <v>64.11</v>
      </c>
      <c r="IR1515" s="2">
        <v>68.17</v>
      </c>
      <c r="IS1515" s="2">
        <v>68.33</v>
      </c>
      <c r="IT1515" s="2">
        <v>68.5</v>
      </c>
      <c r="IU1515" s="2">
        <v>65.69</v>
      </c>
      <c r="IV1515" s="2">
        <v>66.84</v>
      </c>
      <c r="IW1515" s="2">
        <v>68.44</v>
      </c>
      <c r="IX1515" s="2">
        <v>66.04000000000001</v>
      </c>
      <c r="IY1515" s="2">
        <v>67.68000000000001</v>
      </c>
      <c r="IZ1515" s="2">
        <v>73.7</v>
      </c>
      <c r="JA1515" s="2">
        <v>76.17</v>
      </c>
      <c r="JB1515" s="2">
        <v>73.37</v>
      </c>
      <c r="JC1515" s="2">
        <v>74.45</v>
      </c>
      <c r="JD1515" s="2">
        <v>75.33</v>
      </c>
      <c r="JE1515" s="2">
        <v>73.09</v>
      </c>
      <c r="JF1515" s="2">
        <v>77.97</v>
      </c>
      <c r="JG1515" s="2">
        <v>74.45999999999999</v>
      </c>
      <c r="JH1515" s="2">
        <v>75.39</v>
      </c>
      <c r="JI1515" s="2">
        <v>76.84999999999999</v>
      </c>
      <c r="JJ1515" s="2">
        <v>75.43000000000001</v>
      </c>
      <c r="JK1515" s="2">
        <v>73.75</v>
      </c>
      <c r="JL1515" s="2">
        <v>74.81</v>
      </c>
      <c r="JM1515" s="2">
        <v>75.15000000000001</v>
      </c>
      <c r="JN1515" s="2">
        <v>73.77</v>
      </c>
      <c r="JO1515" s="2">
        <v>75.79000000000001</v>
      </c>
      <c r="JP1515" s="2">
        <v>76.81</v>
      </c>
      <c r="JQ1515" s="2">
        <v>74.65000000000001</v>
      </c>
      <c r="JR1515" s="2">
        <v>78.02</v>
      </c>
      <c r="JS1515" s="2">
        <v>74.66</v>
      </c>
      <c r="JT1515" s="2">
        <v>75.27</v>
      </c>
      <c r="JU1515" s="2">
        <v>79.51000000000001</v>
      </c>
      <c r="JV1515" s="2">
        <v>75.52</v>
      </c>
      <c r="KA1515" s="2">
        <v>77.98999999999999</v>
      </c>
      <c r="KB1515" s="2">
        <v>78.28</v>
      </c>
      <c r="KC1515" s="2">
        <v>77.75</v>
      </c>
      <c r="KD1515" s="2">
        <v>77.91</v>
      </c>
      <c r="KQ1515" s="2">
        <v>79.06999999999999</v>
      </c>
      <c r="KR1515" s="2">
        <v>79.20999999999999</v>
      </c>
      <c r="KS1515" s="2">
        <v>80.03</v>
      </c>
      <c r="KT1515" s="2">
        <v>79.69</v>
      </c>
      <c r="LG1515" s="2">
        <v>78.92</v>
      </c>
      <c r="LH1515" s="2">
        <v>78.41</v>
      </c>
      <c r="LI1515" s="2">
        <v>79.73999999999999</v>
      </c>
      <c r="LJ1515" s="2">
        <v>81.98999999999999</v>
      </c>
      <c r="LW1515" s="2">
        <v>81.84</v>
      </c>
      <c r="LX1515" s="2">
        <v>81.02</v>
      </c>
      <c r="LY1515" s="2">
        <v>80.54000000000001</v>
      </c>
      <c r="LZ1515" s="2">
        <v>79.94</v>
      </c>
      <c r="MM1515" s="2">
        <v>85.76000000000001</v>
      </c>
      <c r="MN1515" s="2">
        <v>83.5</v>
      </c>
      <c r="MO1515" s="2">
        <v>84.3</v>
      </c>
      <c r="MP1515" s="2">
        <v>85.38</v>
      </c>
      <c r="NC1515" s="2">
        <v>86.48</v>
      </c>
      <c r="ND1515" s="2">
        <v>87.43000000000001</v>
      </c>
      <c r="NE1515" s="2">
        <v>87.59</v>
      </c>
      <c r="NF1515" s="2">
        <v>89.42</v>
      </c>
      <c r="NS1515" s="2">
        <v>89.33</v>
      </c>
      <c r="NT1515" s="2">
        <v>87.38</v>
      </c>
      <c r="NU1515" s="2">
        <v>90.5</v>
      </c>
      <c r="NV1515" s="2">
        <v>88.95</v>
      </c>
      <c r="OI1515" s="2">
        <v>87</v>
      </c>
      <c r="OJ1515" s="2">
        <v>90.13</v>
      </c>
      <c r="OK1515" s="2">
        <v>91.37</v>
      </c>
      <c r="OL1515" s="2">
        <v>92.19</v>
      </c>
      <c r="OY1515" s="2">
        <v>93.47</v>
      </c>
      <c r="OZ1515" s="2">
        <v>92.19</v>
      </c>
      <c r="PA1515" s="2">
        <v>97.69</v>
      </c>
      <c r="PB1515" s="2">
        <v>98.78</v>
      </c>
      <c r="PJ1515" s="2">
        <v>103.17</v>
      </c>
      <c r="PK1515" s="2">
        <v>105.41</v>
      </c>
    </row>
    <row r="1516">
      <c r="A1516" t="inlineStr">
        <is>
          <t>A2328051C</t>
        </is>
      </c>
      <c r="B1516" t="inlineStr">
        <is>
          <t>Index Numbers ;  Cleaning, repair and hire of clothing and footwear ;  Australia ;</t>
        </is>
      </c>
      <c r="C1516" t="inlineStr">
        <is>
          <t>Quarter</t>
        </is>
      </c>
      <c r="D1516" t="inlineStr">
        <is>
          <t>Index Numbers</t>
        </is>
      </c>
      <c r="E1516" t="inlineStr">
        <is>
          <t>Original</t>
        </is>
      </c>
      <c r="F1516" t="inlineStr">
        <is>
          <t>6401018.xlsx</t>
        </is>
      </c>
      <c r="G1516" t="inlineStr">
        <is>
          <t>1972Q3</t>
        </is>
      </c>
      <c r="H1516" t="inlineStr">
        <is>
          <t>2026Q2</t>
        </is>
      </c>
      <c r="DA1516" s="2">
        <v>4.32</v>
      </c>
      <c r="DB1516" s="2">
        <v>4.41</v>
      </c>
      <c r="DC1516" s="2">
        <v>4.47</v>
      </c>
      <c r="DD1516" s="2">
        <v>4.65</v>
      </c>
      <c r="DE1516" s="2">
        <v>5.01</v>
      </c>
      <c r="DF1516" s="2">
        <v>5.1</v>
      </c>
      <c r="DG1516" s="2">
        <v>5.33</v>
      </c>
      <c r="DH1516" s="2">
        <v>5.84</v>
      </c>
      <c r="DI1516" s="2">
        <v>6.31</v>
      </c>
      <c r="DJ1516" s="2">
        <v>6.81</v>
      </c>
      <c r="DK1516" s="2">
        <v>7.02</v>
      </c>
      <c r="DL1516" s="2">
        <v>7.61</v>
      </c>
      <c r="DM1516" s="2">
        <v>8.289999999999999</v>
      </c>
      <c r="DN1516" s="2">
        <v>8.800000000000001</v>
      </c>
      <c r="DO1516" s="2">
        <v>8.800000000000001</v>
      </c>
      <c r="DP1516" s="2">
        <v>9.06</v>
      </c>
      <c r="DQ1516" s="2">
        <v>9.24</v>
      </c>
      <c r="DR1516" s="2">
        <v>9.51</v>
      </c>
      <c r="DS1516" s="2">
        <v>9.66</v>
      </c>
      <c r="DT1516" s="2">
        <v>10.01</v>
      </c>
      <c r="DU1516" s="2">
        <v>10.22</v>
      </c>
      <c r="DV1516" s="2">
        <v>10.6</v>
      </c>
      <c r="DW1516" s="2">
        <v>10.69</v>
      </c>
      <c r="DX1516" s="2">
        <v>10.87</v>
      </c>
      <c r="DY1516" s="2">
        <v>11.11</v>
      </c>
      <c r="DZ1516" s="2">
        <v>11.32</v>
      </c>
      <c r="EA1516" s="2">
        <v>11.58</v>
      </c>
      <c r="EB1516" s="2">
        <v>11.85</v>
      </c>
      <c r="EC1516" s="2">
        <v>12.29</v>
      </c>
      <c r="ED1516" s="2">
        <v>12.53</v>
      </c>
      <c r="EE1516" s="2">
        <v>12.71</v>
      </c>
      <c r="EF1516" s="2">
        <v>13.3</v>
      </c>
      <c r="EG1516" s="2">
        <v>13.45</v>
      </c>
      <c r="EH1516" s="2">
        <v>13.72</v>
      </c>
      <c r="EI1516" s="2">
        <v>14.28</v>
      </c>
      <c r="EJ1516" s="2">
        <v>14.78</v>
      </c>
      <c r="EK1516" s="2">
        <v>15.37</v>
      </c>
      <c r="EL1516" s="2">
        <v>15.52</v>
      </c>
      <c r="EM1516" s="2">
        <v>16.03</v>
      </c>
      <c r="EN1516" s="2">
        <v>16.77</v>
      </c>
      <c r="EO1516" s="2">
        <v>17.33</v>
      </c>
      <c r="EP1516" s="2">
        <v>17.68</v>
      </c>
      <c r="EQ1516" s="2">
        <v>17.83</v>
      </c>
      <c r="ER1516" s="2">
        <v>18.22</v>
      </c>
      <c r="ES1516" s="2">
        <v>18.37</v>
      </c>
      <c r="ET1516" s="2">
        <v>18.72</v>
      </c>
      <c r="EU1516" s="2">
        <v>18.87</v>
      </c>
      <c r="EV1516" s="2">
        <v>19.28</v>
      </c>
      <c r="EW1516" s="2">
        <v>20.05</v>
      </c>
      <c r="EX1516" s="2">
        <v>20.14</v>
      </c>
      <c r="EY1516" s="2">
        <v>19.64</v>
      </c>
      <c r="EZ1516" s="2">
        <v>19.85</v>
      </c>
      <c r="FA1516" s="2">
        <v>20.38</v>
      </c>
      <c r="FB1516" s="2">
        <v>20.38</v>
      </c>
      <c r="FC1516" s="2">
        <v>20.94</v>
      </c>
      <c r="FD1516" s="2">
        <v>21.65</v>
      </c>
      <c r="FE1516" s="2">
        <v>21.86</v>
      </c>
      <c r="FF1516" s="2">
        <v>22.04</v>
      </c>
      <c r="FG1516" s="2">
        <v>22.45</v>
      </c>
      <c r="FH1516" s="2">
        <v>23.05</v>
      </c>
      <c r="FI1516" s="2">
        <v>23.43</v>
      </c>
      <c r="FJ1516" s="2">
        <v>23.85</v>
      </c>
      <c r="FK1516" s="2">
        <v>24.38</v>
      </c>
      <c r="FL1516" s="2">
        <v>25.03</v>
      </c>
      <c r="FM1516" s="2">
        <v>25.77</v>
      </c>
      <c r="FN1516" s="2">
        <v>26.57</v>
      </c>
      <c r="FO1516" s="2">
        <v>27.28</v>
      </c>
      <c r="FP1516" s="2">
        <v>27.96</v>
      </c>
      <c r="FQ1516" s="2">
        <v>28.38</v>
      </c>
      <c r="FR1516" s="2">
        <v>29.21</v>
      </c>
      <c r="FS1516" s="2">
        <v>29.92</v>
      </c>
      <c r="FT1516" s="2">
        <v>31.01</v>
      </c>
      <c r="FU1516" s="2">
        <v>31.49</v>
      </c>
      <c r="FV1516" s="2">
        <v>32.05</v>
      </c>
      <c r="FW1516" s="2">
        <v>32.2</v>
      </c>
      <c r="FX1516" s="2">
        <v>33.27</v>
      </c>
      <c r="FY1516" s="2">
        <v>33.3</v>
      </c>
      <c r="FZ1516" s="2">
        <v>33.33</v>
      </c>
      <c r="GA1516" s="2">
        <v>33.77</v>
      </c>
      <c r="GB1516" s="2">
        <v>33.41</v>
      </c>
      <c r="GC1516" s="2">
        <v>33.89</v>
      </c>
      <c r="GD1516" s="2">
        <v>34.48</v>
      </c>
      <c r="GE1516" s="2">
        <v>34.69</v>
      </c>
      <c r="GF1516" s="2">
        <v>34.9</v>
      </c>
      <c r="GG1516" s="2">
        <v>35.13</v>
      </c>
      <c r="GH1516" s="2">
        <v>35.22</v>
      </c>
      <c r="GI1516" s="2">
        <v>35.31</v>
      </c>
      <c r="GJ1516" s="2">
        <v>35.4</v>
      </c>
      <c r="GK1516" s="2">
        <v>35.7</v>
      </c>
      <c r="GL1516" s="2">
        <v>35.7</v>
      </c>
      <c r="GM1516" s="2">
        <v>35.75</v>
      </c>
      <c r="GN1516" s="2">
        <v>36.29</v>
      </c>
      <c r="GO1516" s="2">
        <v>36.64</v>
      </c>
      <c r="GP1516" s="2">
        <v>37.47</v>
      </c>
      <c r="GQ1516" s="2">
        <v>37.59</v>
      </c>
      <c r="GR1516" s="2">
        <v>37.95</v>
      </c>
      <c r="GS1516" s="2">
        <v>38.18</v>
      </c>
      <c r="GT1516" s="2">
        <v>38.36</v>
      </c>
      <c r="GU1516" s="2">
        <v>38.57</v>
      </c>
      <c r="GV1516" s="2">
        <v>38.84</v>
      </c>
      <c r="GW1516" s="2">
        <v>39.25</v>
      </c>
      <c r="GX1516" s="2">
        <v>39.25</v>
      </c>
      <c r="GY1516" s="2">
        <v>39.58</v>
      </c>
      <c r="GZ1516" s="2">
        <v>39.66</v>
      </c>
      <c r="HA1516" s="2">
        <v>39.96</v>
      </c>
      <c r="HB1516" s="2">
        <v>40.23</v>
      </c>
      <c r="HC1516" s="2">
        <v>40.28</v>
      </c>
      <c r="HD1516" s="2">
        <v>40.33</v>
      </c>
      <c r="HE1516" s="2">
        <v>40.39</v>
      </c>
      <c r="HF1516" s="2">
        <v>40.88</v>
      </c>
      <c r="HG1516" s="2">
        <v>41.56</v>
      </c>
      <c r="HH1516" s="2">
        <v>41.8</v>
      </c>
      <c r="HI1516" s="2">
        <v>45.15</v>
      </c>
      <c r="HJ1516" s="2">
        <v>46.06</v>
      </c>
      <c r="HK1516" s="2">
        <v>46.05</v>
      </c>
      <c r="HL1516" s="2">
        <v>45.87</v>
      </c>
      <c r="HM1516" s="2">
        <v>46.76</v>
      </c>
      <c r="HN1516" s="2">
        <v>46.76</v>
      </c>
      <c r="HO1516" s="2">
        <v>47</v>
      </c>
      <c r="HP1516" s="2">
        <v>47.52</v>
      </c>
      <c r="HQ1516" s="2">
        <v>48.36</v>
      </c>
      <c r="HR1516" s="2">
        <v>48.61</v>
      </c>
      <c r="HS1516" s="2">
        <v>48.91</v>
      </c>
      <c r="HT1516" s="2">
        <v>49.43</v>
      </c>
      <c r="HU1516" s="2">
        <v>49.64</v>
      </c>
      <c r="HV1516" s="2">
        <v>49.94</v>
      </c>
      <c r="HW1516" s="2">
        <v>50.1</v>
      </c>
      <c r="HX1516" s="2">
        <v>50.21</v>
      </c>
      <c r="HY1516" s="2">
        <v>50.53</v>
      </c>
      <c r="HZ1516" s="2">
        <v>50.86</v>
      </c>
      <c r="IA1516" s="2">
        <v>51.18</v>
      </c>
      <c r="IB1516" s="2">
        <v>51.78</v>
      </c>
      <c r="IC1516" s="2">
        <v>52.12</v>
      </c>
      <c r="ID1516" s="2">
        <v>52.95</v>
      </c>
      <c r="IE1516" s="2">
        <v>53.35</v>
      </c>
      <c r="IF1516" s="2">
        <v>53.57</v>
      </c>
      <c r="IG1516" s="2">
        <v>54.44</v>
      </c>
      <c r="IH1516" s="2">
        <v>54.47</v>
      </c>
      <c r="II1516" s="2">
        <v>54.95</v>
      </c>
      <c r="IJ1516" s="2">
        <v>55.53</v>
      </c>
      <c r="IK1516" s="2">
        <v>55.74</v>
      </c>
      <c r="IL1516" s="2">
        <v>55.86</v>
      </c>
      <c r="IM1516" s="2">
        <v>56.28</v>
      </c>
      <c r="IN1516" s="2">
        <v>56.94</v>
      </c>
      <c r="IO1516" s="2">
        <v>57.53</v>
      </c>
      <c r="IP1516" s="2">
        <v>58.36</v>
      </c>
      <c r="IQ1516" s="2">
        <v>58.92</v>
      </c>
      <c r="IR1516" s="2">
        <v>59.16</v>
      </c>
      <c r="IS1516" s="2">
        <v>59.42</v>
      </c>
      <c r="IT1516" s="2">
        <v>60.01</v>
      </c>
      <c r="IU1516" s="2">
        <v>60.68</v>
      </c>
      <c r="IV1516" s="2">
        <v>61.06</v>
      </c>
      <c r="IW1516" s="2">
        <v>61.4</v>
      </c>
      <c r="IX1516" s="2">
        <v>61.94</v>
      </c>
      <c r="IY1516" s="2">
        <v>62.18</v>
      </c>
      <c r="IZ1516" s="2">
        <v>62.69</v>
      </c>
      <c r="JA1516" s="2">
        <v>63.07</v>
      </c>
      <c r="JB1516" s="2">
        <v>63.39</v>
      </c>
      <c r="JC1516" s="2">
        <v>63.52</v>
      </c>
      <c r="JD1516" s="2">
        <v>63.91</v>
      </c>
      <c r="JE1516" s="2">
        <v>64.7</v>
      </c>
      <c r="JF1516" s="2">
        <v>65.25</v>
      </c>
      <c r="JG1516" s="2">
        <v>65.45999999999999</v>
      </c>
      <c r="JH1516" s="2">
        <v>65.84999999999999</v>
      </c>
      <c r="JI1516" s="2">
        <v>66.34999999999999</v>
      </c>
      <c r="JJ1516" s="2">
        <v>66.56999999999999</v>
      </c>
      <c r="JK1516" s="2">
        <v>66.67</v>
      </c>
      <c r="JL1516" s="2">
        <v>66.79000000000001</v>
      </c>
      <c r="JM1516" s="2">
        <v>67.81999999999999</v>
      </c>
      <c r="JN1516" s="2">
        <v>68.25</v>
      </c>
      <c r="JO1516" s="2">
        <v>68.84</v>
      </c>
      <c r="JP1516" s="2">
        <v>69.37</v>
      </c>
      <c r="JQ1516" s="2">
        <v>69.62</v>
      </c>
      <c r="JR1516" s="2">
        <v>70.25</v>
      </c>
      <c r="JS1516" s="2">
        <v>71</v>
      </c>
      <c r="JT1516" s="2">
        <v>71.14</v>
      </c>
      <c r="JU1516" s="2">
        <v>71.55</v>
      </c>
      <c r="JV1516" s="2">
        <v>71.98</v>
      </c>
      <c r="KA1516" s="2">
        <v>72.8</v>
      </c>
      <c r="KB1516" s="2">
        <v>73.28</v>
      </c>
      <c r="KC1516" s="2">
        <v>73.51000000000001</v>
      </c>
      <c r="KD1516" s="2">
        <v>73.98</v>
      </c>
      <c r="KQ1516" s="2">
        <v>74.47</v>
      </c>
      <c r="KR1516" s="2">
        <v>75.51000000000001</v>
      </c>
      <c r="KS1516" s="2">
        <v>75.64</v>
      </c>
      <c r="KT1516" s="2">
        <v>75.7</v>
      </c>
      <c r="LG1516" s="2">
        <v>76.23</v>
      </c>
      <c r="LH1516" s="2">
        <v>76.48999999999999</v>
      </c>
      <c r="LI1516" s="2">
        <v>76.78</v>
      </c>
      <c r="LJ1516" s="2">
        <v>77.11</v>
      </c>
      <c r="LW1516" s="2">
        <v>77.31999999999999</v>
      </c>
      <c r="LX1516" s="2">
        <v>77.5</v>
      </c>
      <c r="LY1516" s="2">
        <v>78</v>
      </c>
      <c r="LZ1516" s="2">
        <v>78.69</v>
      </c>
      <c r="MM1516" s="2">
        <v>79.73</v>
      </c>
      <c r="MN1516" s="2">
        <v>80.02</v>
      </c>
      <c r="MO1516" s="2">
        <v>80.88</v>
      </c>
      <c r="MP1516" s="2">
        <v>81.18000000000001</v>
      </c>
      <c r="NC1516" s="2">
        <v>82.66</v>
      </c>
      <c r="ND1516" s="2">
        <v>84.97</v>
      </c>
      <c r="NE1516" s="2">
        <v>86.39</v>
      </c>
      <c r="NF1516" s="2">
        <v>87.62</v>
      </c>
      <c r="NS1516" s="2">
        <v>88.78</v>
      </c>
      <c r="NT1516" s="2">
        <v>90.11</v>
      </c>
      <c r="NU1516" s="2">
        <v>91.76000000000001</v>
      </c>
      <c r="NV1516" s="2">
        <v>93.8</v>
      </c>
      <c r="OI1516" s="2">
        <v>94.67</v>
      </c>
      <c r="OJ1516" s="2">
        <v>95.23999999999999</v>
      </c>
      <c r="OK1516" s="2">
        <v>95.78</v>
      </c>
      <c r="OL1516" s="2">
        <v>96.31999999999999</v>
      </c>
      <c r="OY1516" s="2">
        <v>96.81999999999999</v>
      </c>
      <c r="OZ1516" s="2">
        <v>98.06999999999999</v>
      </c>
      <c r="PA1516" s="2">
        <v>99.81</v>
      </c>
      <c r="PB1516" s="2">
        <v>100.61</v>
      </c>
      <c r="PJ1516" s="2">
        <v>101.05</v>
      </c>
      <c r="PK1516" s="2">
        <v>102.17</v>
      </c>
    </row>
    <row r="1517">
      <c r="A1517" t="inlineStr">
        <is>
          <t>A2325981V</t>
        </is>
      </c>
      <c r="B1517" t="inlineStr">
        <is>
          <t>Index Numbers ;  Housing ;  Australia ;</t>
        </is>
      </c>
      <c r="C1517" t="inlineStr">
        <is>
          <t>Quarter</t>
        </is>
      </c>
      <c r="D1517" t="inlineStr">
        <is>
          <t>Index Numbers</t>
        </is>
      </c>
      <c r="E1517" t="inlineStr">
        <is>
          <t>Original</t>
        </is>
      </c>
      <c r="F1517" t="inlineStr">
        <is>
          <t>6401018.xlsx</t>
        </is>
      </c>
      <c r="G1517" t="inlineStr">
        <is>
          <t>1972Q3</t>
        </is>
      </c>
      <c r="H1517" t="inlineStr">
        <is>
          <t>2026Q2</t>
        </is>
      </c>
      <c r="DA1517" s="2">
        <v>6.51</v>
      </c>
      <c r="DB1517" s="2">
        <v>6.62</v>
      </c>
      <c r="DC1517" s="2">
        <v>6.69</v>
      </c>
      <c r="DD1517" s="2">
        <v>6.88</v>
      </c>
      <c r="DE1517" s="2">
        <v>7.02</v>
      </c>
      <c r="DF1517" s="2">
        <v>7.28</v>
      </c>
      <c r="DG1517" s="2">
        <v>7.47</v>
      </c>
      <c r="DH1517" s="2">
        <v>7.84</v>
      </c>
      <c r="DI1517" s="2">
        <v>8.210000000000001</v>
      </c>
      <c r="DJ1517" s="2">
        <v>8.65</v>
      </c>
      <c r="DK1517" s="2">
        <v>8.91</v>
      </c>
      <c r="DL1517" s="2">
        <v>9.390000000000001</v>
      </c>
      <c r="DM1517" s="2">
        <v>9.720000000000001</v>
      </c>
      <c r="DN1517" s="2">
        <v>10.24</v>
      </c>
      <c r="DO1517" s="2">
        <v>10.54</v>
      </c>
      <c r="DP1517" s="2">
        <v>10.98</v>
      </c>
      <c r="DQ1517" s="2">
        <v>11.31</v>
      </c>
      <c r="DR1517" s="2">
        <v>11.68</v>
      </c>
      <c r="DS1517" s="2">
        <v>11.94</v>
      </c>
      <c r="DT1517" s="2">
        <v>12.27</v>
      </c>
      <c r="DU1517" s="2">
        <v>12.5</v>
      </c>
      <c r="DV1517" s="2">
        <v>12.83</v>
      </c>
      <c r="DW1517" s="2">
        <v>12.98</v>
      </c>
      <c r="DX1517" s="2">
        <v>13.2</v>
      </c>
      <c r="DY1517" s="2">
        <v>13.38</v>
      </c>
      <c r="DZ1517" s="2">
        <v>13.64</v>
      </c>
      <c r="EA1517" s="2">
        <v>13.79</v>
      </c>
      <c r="EB1517" s="2">
        <v>14.05</v>
      </c>
      <c r="EC1517" s="2">
        <v>14.27</v>
      </c>
      <c r="ED1517" s="2">
        <v>14.6</v>
      </c>
      <c r="EE1517" s="2">
        <v>14.86</v>
      </c>
      <c r="EF1517" s="2">
        <v>15.19</v>
      </c>
      <c r="EG1517" s="2">
        <v>15.6</v>
      </c>
      <c r="EH1517" s="2">
        <v>16.01</v>
      </c>
      <c r="EI1517" s="2">
        <v>16.38</v>
      </c>
      <c r="EJ1517" s="2">
        <v>16.82</v>
      </c>
      <c r="EK1517" s="2">
        <v>17.23</v>
      </c>
      <c r="EL1517" s="2">
        <v>17.78</v>
      </c>
      <c r="EM1517" s="2">
        <v>18.19</v>
      </c>
      <c r="EN1517" s="2">
        <v>18.78</v>
      </c>
      <c r="EO1517" s="2">
        <v>19.26</v>
      </c>
      <c r="EP1517" s="2">
        <v>19.81</v>
      </c>
      <c r="EQ1517" s="2">
        <v>20.11</v>
      </c>
      <c r="ER1517" s="2">
        <v>20.41</v>
      </c>
      <c r="ES1517" s="2">
        <v>20.63</v>
      </c>
      <c r="ET1517" s="2">
        <v>21.15</v>
      </c>
      <c r="EU1517" s="2">
        <v>21.48</v>
      </c>
      <c r="EV1517" s="2">
        <v>21.96</v>
      </c>
      <c r="EW1517" s="2">
        <v>22.33</v>
      </c>
      <c r="EX1517" s="2">
        <v>22.7</v>
      </c>
      <c r="EY1517" s="2">
        <v>23.03</v>
      </c>
      <c r="EZ1517" s="2">
        <v>23.55</v>
      </c>
      <c r="FA1517" s="2">
        <v>24.1</v>
      </c>
      <c r="FB1517" s="2">
        <v>24.66</v>
      </c>
      <c r="FC1517" s="2">
        <v>25.1</v>
      </c>
      <c r="FD1517" s="2">
        <v>25.54</v>
      </c>
      <c r="FE1517" s="2">
        <v>25.99</v>
      </c>
      <c r="FF1517" s="2">
        <v>26.43</v>
      </c>
      <c r="FG1517" s="2">
        <v>26.91</v>
      </c>
      <c r="FH1517" s="2">
        <v>27.43</v>
      </c>
      <c r="FI1517" s="2">
        <v>27.91</v>
      </c>
      <c r="FJ1517" s="2">
        <v>28.24</v>
      </c>
      <c r="FK1517" s="2">
        <v>28.69</v>
      </c>
      <c r="FL1517" s="2">
        <v>29.28</v>
      </c>
      <c r="FM1517" s="2">
        <v>30.46</v>
      </c>
      <c r="FN1517" s="2">
        <v>32.35</v>
      </c>
      <c r="FO1517" s="2">
        <v>32.01</v>
      </c>
      <c r="FP1517" s="2">
        <v>33.71</v>
      </c>
      <c r="FQ1517" s="2">
        <v>35.53</v>
      </c>
      <c r="FR1517" s="2">
        <v>36.75</v>
      </c>
      <c r="FS1517" s="2">
        <v>37.49</v>
      </c>
      <c r="FT1517" s="2">
        <v>38.08</v>
      </c>
      <c r="FU1517" s="2">
        <v>38.3</v>
      </c>
      <c r="FV1517" s="2">
        <v>38.63</v>
      </c>
      <c r="FW1517" s="2">
        <v>38.08</v>
      </c>
      <c r="FX1517" s="2">
        <v>38.08</v>
      </c>
      <c r="FY1517" s="2">
        <v>37.3</v>
      </c>
      <c r="FZ1517" s="2">
        <v>37.12</v>
      </c>
      <c r="GA1517" s="2">
        <v>36.27</v>
      </c>
      <c r="GB1517" s="2">
        <v>35.56</v>
      </c>
      <c r="GC1517" s="2">
        <v>34.97</v>
      </c>
      <c r="GD1517" s="2">
        <v>34.75</v>
      </c>
      <c r="GE1517" s="2">
        <v>34.9</v>
      </c>
      <c r="GF1517" s="2">
        <v>35.19</v>
      </c>
      <c r="GG1517" s="2">
        <v>35.08</v>
      </c>
      <c r="GH1517" s="2">
        <v>34.6</v>
      </c>
      <c r="GI1517" s="2">
        <v>34.64</v>
      </c>
      <c r="GJ1517" s="2">
        <v>34.9</v>
      </c>
      <c r="GK1517" s="2">
        <v>35.08</v>
      </c>
      <c r="GL1517" s="2">
        <v>36.04</v>
      </c>
      <c r="GM1517" s="2">
        <v>38</v>
      </c>
      <c r="GN1517" s="2">
        <v>38.71</v>
      </c>
      <c r="GO1517" s="2">
        <v>38.96</v>
      </c>
      <c r="GP1517" s="2">
        <v>39.22</v>
      </c>
      <c r="GQ1517" s="2">
        <v>39.08</v>
      </c>
      <c r="GR1517" s="2">
        <v>39.3</v>
      </c>
      <c r="GS1517" s="2">
        <v>39.22</v>
      </c>
      <c r="GT1517" s="2">
        <v>38.15</v>
      </c>
      <c r="GU1517" s="2">
        <v>37.04</v>
      </c>
      <c r="GV1517" s="2">
        <v>35.82</v>
      </c>
      <c r="GW1517" s="2">
        <v>35.45</v>
      </c>
      <c r="GX1517" s="2">
        <v>34.82</v>
      </c>
      <c r="GY1517" s="2">
        <v>34.53</v>
      </c>
      <c r="GZ1517" s="2">
        <v>34.93</v>
      </c>
      <c r="HA1517" s="2">
        <v>35.06</v>
      </c>
      <c r="HB1517" s="2">
        <v>35.3</v>
      </c>
      <c r="HC1517" s="2">
        <v>35.56</v>
      </c>
      <c r="HD1517" s="2">
        <v>35.72</v>
      </c>
      <c r="HE1517" s="2">
        <v>36.25</v>
      </c>
      <c r="HF1517" s="2">
        <v>36.83</v>
      </c>
      <c r="HG1517" s="2">
        <v>37.24</v>
      </c>
      <c r="HH1517" s="2">
        <v>37.42</v>
      </c>
      <c r="HI1517" s="2">
        <v>39.7</v>
      </c>
      <c r="HJ1517" s="2">
        <v>39.82</v>
      </c>
      <c r="HK1517" s="2">
        <v>39.99</v>
      </c>
      <c r="HL1517" s="2">
        <v>40.06</v>
      </c>
      <c r="HM1517" s="2">
        <v>40.66</v>
      </c>
      <c r="HN1517" s="2">
        <v>40.91</v>
      </c>
      <c r="HO1517" s="2">
        <v>41.21</v>
      </c>
      <c r="HP1517" s="2">
        <v>41.47</v>
      </c>
      <c r="HQ1517" s="2">
        <v>42.03</v>
      </c>
      <c r="HR1517" s="2">
        <v>42.2</v>
      </c>
      <c r="HS1517" s="2">
        <v>42.78</v>
      </c>
      <c r="HT1517" s="2">
        <v>43.19</v>
      </c>
      <c r="HU1517" s="2">
        <v>43.94</v>
      </c>
      <c r="HV1517" s="2">
        <v>44.21</v>
      </c>
      <c r="HW1517" s="2">
        <v>44.62</v>
      </c>
      <c r="HX1517" s="2">
        <v>44.92</v>
      </c>
      <c r="HY1517" s="2">
        <v>45.54</v>
      </c>
      <c r="HZ1517" s="2">
        <v>45.94</v>
      </c>
      <c r="IA1517" s="2">
        <v>46.4</v>
      </c>
      <c r="IB1517" s="2">
        <v>46.66</v>
      </c>
      <c r="IC1517" s="2">
        <v>47.3</v>
      </c>
      <c r="ID1517" s="2">
        <v>47.63</v>
      </c>
      <c r="IE1517" s="2">
        <v>47.93</v>
      </c>
      <c r="IF1517" s="2">
        <v>48.28</v>
      </c>
      <c r="IG1517" s="2">
        <v>48.86</v>
      </c>
      <c r="IH1517" s="2">
        <v>49.12</v>
      </c>
      <c r="II1517" s="2">
        <v>49.6</v>
      </c>
      <c r="IJ1517" s="2">
        <v>50.01</v>
      </c>
      <c r="IK1517" s="2">
        <v>50.93</v>
      </c>
      <c r="IL1517" s="2">
        <v>51.5</v>
      </c>
      <c r="IM1517" s="2">
        <v>52.47</v>
      </c>
      <c r="IN1517" s="2">
        <v>53.02</v>
      </c>
      <c r="IO1517" s="2">
        <v>54.41</v>
      </c>
      <c r="IP1517" s="2">
        <v>54.84</v>
      </c>
      <c r="IQ1517" s="2">
        <v>55.35</v>
      </c>
      <c r="IR1517" s="2">
        <v>55.78</v>
      </c>
      <c r="IS1517" s="2">
        <v>57.4</v>
      </c>
      <c r="IT1517" s="2">
        <v>57.87</v>
      </c>
      <c r="IU1517" s="2">
        <v>58.71</v>
      </c>
      <c r="IV1517" s="2">
        <v>59.05</v>
      </c>
      <c r="IW1517" s="2">
        <v>60.35</v>
      </c>
      <c r="IX1517" s="2">
        <v>60.74</v>
      </c>
      <c r="IY1517" s="2">
        <v>61.52</v>
      </c>
      <c r="IZ1517" s="2">
        <v>61.78</v>
      </c>
      <c r="JA1517" s="2">
        <v>62.9</v>
      </c>
      <c r="JB1517" s="2">
        <v>63.2</v>
      </c>
      <c r="JC1517" s="2">
        <v>63.58</v>
      </c>
      <c r="JD1517" s="2">
        <v>63.85</v>
      </c>
      <c r="JE1517" s="2">
        <v>65.81999999999999</v>
      </c>
      <c r="JF1517" s="2">
        <v>65.98999999999999</v>
      </c>
      <c r="JG1517" s="2">
        <v>66.77</v>
      </c>
      <c r="JH1517" s="2">
        <v>67.18000000000001</v>
      </c>
      <c r="JI1517" s="2">
        <v>68.51000000000001</v>
      </c>
      <c r="JJ1517" s="2">
        <v>68.84999999999999</v>
      </c>
      <c r="JK1517" s="2">
        <v>69.23999999999999</v>
      </c>
      <c r="JL1517" s="2">
        <v>69.75</v>
      </c>
      <c r="JM1517" s="2">
        <v>70.12</v>
      </c>
      <c r="JN1517" s="2">
        <v>70.5</v>
      </c>
      <c r="JO1517" s="2">
        <v>71.03</v>
      </c>
      <c r="JP1517" s="2">
        <v>71.54000000000001</v>
      </c>
      <c r="JQ1517" s="2">
        <v>72.02</v>
      </c>
      <c r="JR1517" s="2">
        <v>72.08</v>
      </c>
      <c r="JS1517" s="2">
        <v>72.23</v>
      </c>
      <c r="JT1517" s="2">
        <v>72.53</v>
      </c>
      <c r="JU1517" s="2">
        <v>73.23999999999999</v>
      </c>
      <c r="JV1517" s="2">
        <v>73.44</v>
      </c>
      <c r="KA1517" s="2">
        <v>74.02</v>
      </c>
      <c r="KB1517" s="2">
        <v>74.3</v>
      </c>
      <c r="KC1517" s="2">
        <v>75.65000000000001</v>
      </c>
      <c r="KD1517" s="2">
        <v>75.92</v>
      </c>
      <c r="KQ1517" s="2">
        <v>76.44</v>
      </c>
      <c r="KR1517" s="2">
        <v>76.54000000000001</v>
      </c>
      <c r="KS1517" s="2">
        <v>76.88</v>
      </c>
      <c r="KT1517" s="2">
        <v>77.08</v>
      </c>
      <c r="LG1517" s="2">
        <v>77.09</v>
      </c>
      <c r="LH1517" s="2">
        <v>76.95999999999999</v>
      </c>
      <c r="LI1517" s="2">
        <v>77.22</v>
      </c>
      <c r="LJ1517" s="2">
        <v>77.26000000000001</v>
      </c>
      <c r="LW1517" s="2">
        <v>77.54000000000001</v>
      </c>
      <c r="LX1517" s="2">
        <v>77.01000000000001</v>
      </c>
      <c r="LY1517" s="2">
        <v>77.01000000000001</v>
      </c>
      <c r="LZ1517" s="2">
        <v>76.54000000000001</v>
      </c>
      <c r="MM1517" s="2">
        <v>76.59999999999999</v>
      </c>
      <c r="MN1517" s="2">
        <v>76.91</v>
      </c>
      <c r="MO1517" s="2">
        <v>78.19</v>
      </c>
      <c r="MP1517" s="2">
        <v>79.64</v>
      </c>
      <c r="NC1517" s="2">
        <v>81.75</v>
      </c>
      <c r="ND1517" s="2">
        <v>83.77</v>
      </c>
      <c r="NE1517" s="2">
        <v>86.42</v>
      </c>
      <c r="NF1517" s="2">
        <v>88.09</v>
      </c>
      <c r="NS1517" s="2">
        <v>89.8</v>
      </c>
      <c r="NT1517" s="2">
        <v>90.59999999999999</v>
      </c>
      <c r="NU1517" s="2">
        <v>92.53</v>
      </c>
      <c r="NV1517" s="2">
        <v>93.47</v>
      </c>
      <c r="OI1517" s="2">
        <v>94.19</v>
      </c>
      <c r="OJ1517" s="2">
        <v>95.28</v>
      </c>
      <c r="OK1517" s="2">
        <v>95.11</v>
      </c>
      <c r="OL1517" s="2">
        <v>94.43000000000001</v>
      </c>
      <c r="OY1517" s="2">
        <v>96.01000000000001</v>
      </c>
      <c r="OZ1517" s="2">
        <v>97.19</v>
      </c>
      <c r="PA1517" s="2">
        <v>99.65000000000001</v>
      </c>
      <c r="PB1517" s="2">
        <v>99.95</v>
      </c>
      <c r="PJ1517" s="2">
        <v>102.87</v>
      </c>
      <c r="PK1517" s="2">
        <v>103.8</v>
      </c>
    </row>
    <row r="1518">
      <c r="A1518" t="inlineStr">
        <is>
          <t>A2331876F</t>
        </is>
      </c>
      <c r="B1518" t="inlineStr">
        <is>
          <t>Index Numbers ;  Rents ;  Australia ;</t>
        </is>
      </c>
      <c r="C1518" t="inlineStr">
        <is>
          <t>Quarter</t>
        </is>
      </c>
      <c r="D1518" t="inlineStr">
        <is>
          <t>Index Numbers</t>
        </is>
      </c>
      <c r="E1518" t="inlineStr">
        <is>
          <t>Original</t>
        </is>
      </c>
      <c r="F1518" t="inlineStr">
        <is>
          <t>6401018.xlsx</t>
        </is>
      </c>
      <c r="G1518" t="inlineStr">
        <is>
          <t>1972Q3</t>
        </is>
      </c>
      <c r="H1518" t="inlineStr">
        <is>
          <t>2026Q2</t>
        </is>
      </c>
      <c r="DA1518" s="2">
        <v>7.07</v>
      </c>
      <c r="DB1518" s="2">
        <v>7.18</v>
      </c>
      <c r="DC1518" s="2">
        <v>7.29</v>
      </c>
      <c r="DD1518" s="2">
        <v>7.4</v>
      </c>
      <c r="DE1518" s="2">
        <v>7.55</v>
      </c>
      <c r="DF1518" s="2">
        <v>7.8</v>
      </c>
      <c r="DG1518" s="2">
        <v>7.91</v>
      </c>
      <c r="DH1518" s="2">
        <v>8.17</v>
      </c>
      <c r="DI1518" s="2">
        <v>8.5</v>
      </c>
      <c r="DJ1518" s="2">
        <v>8.83</v>
      </c>
      <c r="DK1518" s="2">
        <v>9.119999999999999</v>
      </c>
      <c r="DL1518" s="2">
        <v>9.48</v>
      </c>
      <c r="DM1518" s="2">
        <v>9.92</v>
      </c>
      <c r="DN1518" s="2">
        <v>10.28</v>
      </c>
      <c r="DO1518" s="2">
        <v>10.61</v>
      </c>
      <c r="DP1518" s="2">
        <v>10.9</v>
      </c>
      <c r="DQ1518" s="2">
        <v>11.38</v>
      </c>
      <c r="DR1518" s="2">
        <v>11.71</v>
      </c>
      <c r="DS1518" s="2">
        <v>12</v>
      </c>
      <c r="DT1518" s="2">
        <v>12.25</v>
      </c>
      <c r="DU1518" s="2">
        <v>12.51</v>
      </c>
      <c r="DV1518" s="2">
        <v>12.84</v>
      </c>
      <c r="DW1518" s="2">
        <v>13.06</v>
      </c>
      <c r="DX1518" s="2">
        <v>13.27</v>
      </c>
      <c r="DY1518" s="2">
        <v>13.57</v>
      </c>
      <c r="DZ1518" s="2">
        <v>13.86</v>
      </c>
      <c r="EA1518" s="2">
        <v>14.15</v>
      </c>
      <c r="EB1518" s="2">
        <v>14.4</v>
      </c>
      <c r="EC1518" s="2">
        <v>14.7</v>
      </c>
      <c r="ED1518" s="2">
        <v>14.92</v>
      </c>
      <c r="EE1518" s="2">
        <v>15.1</v>
      </c>
      <c r="EF1518" s="2">
        <v>15.35</v>
      </c>
      <c r="EG1518" s="2">
        <v>15.72</v>
      </c>
      <c r="EH1518" s="2">
        <v>15.94</v>
      </c>
      <c r="EI1518" s="2">
        <v>16.23</v>
      </c>
      <c r="EJ1518" s="2">
        <v>16.56</v>
      </c>
      <c r="EK1518" s="2">
        <v>16.99</v>
      </c>
      <c r="EL1518" s="2">
        <v>17.43</v>
      </c>
      <c r="EM1518" s="2">
        <v>17.83</v>
      </c>
      <c r="EN1518" s="2">
        <v>18.45</v>
      </c>
      <c r="EO1518" s="2">
        <v>19.18</v>
      </c>
      <c r="EP1518" s="2">
        <v>19.58</v>
      </c>
      <c r="EQ1518" s="2">
        <v>19.91</v>
      </c>
      <c r="ER1518" s="2">
        <v>20.28</v>
      </c>
      <c r="ES1518" s="2">
        <v>20.6</v>
      </c>
      <c r="ET1518" s="2">
        <v>20.93</v>
      </c>
      <c r="EU1518" s="2">
        <v>21.26</v>
      </c>
      <c r="EV1518" s="2">
        <v>21.74</v>
      </c>
      <c r="EW1518" s="2">
        <v>22.14</v>
      </c>
      <c r="EX1518" s="2">
        <v>22.54</v>
      </c>
      <c r="EY1518" s="2">
        <v>22.94</v>
      </c>
      <c r="EZ1518" s="2">
        <v>23.41</v>
      </c>
      <c r="FA1518" s="2">
        <v>24.18</v>
      </c>
      <c r="FB1518" s="2">
        <v>24.69</v>
      </c>
      <c r="FC1518" s="2">
        <v>25.24</v>
      </c>
      <c r="FD1518" s="2">
        <v>25.93</v>
      </c>
      <c r="FE1518" s="2">
        <v>26.62</v>
      </c>
      <c r="FF1518" s="2">
        <v>27.21</v>
      </c>
      <c r="FG1518" s="2">
        <v>27.83</v>
      </c>
      <c r="FH1518" s="2">
        <v>28.48</v>
      </c>
      <c r="FI1518" s="2">
        <v>29.43</v>
      </c>
      <c r="FJ1518" s="2">
        <v>30.12</v>
      </c>
      <c r="FK1518" s="2">
        <v>31</v>
      </c>
      <c r="FL1518" s="2">
        <v>31.76</v>
      </c>
      <c r="FM1518" s="2">
        <v>32.75</v>
      </c>
      <c r="FN1518" s="2">
        <v>33.51</v>
      </c>
      <c r="FO1518" s="2">
        <v>34.32</v>
      </c>
      <c r="FP1518" s="2">
        <v>34.97</v>
      </c>
      <c r="FQ1518" s="2">
        <v>35.7</v>
      </c>
      <c r="FR1518" s="2">
        <v>36.32</v>
      </c>
      <c r="FS1518" s="2">
        <v>36.72</v>
      </c>
      <c r="FT1518" s="2">
        <v>37.16</v>
      </c>
      <c r="FU1518" s="2">
        <v>37.67</v>
      </c>
      <c r="FV1518" s="2">
        <v>38.15</v>
      </c>
      <c r="FW1518" s="2">
        <v>38.36</v>
      </c>
      <c r="FX1518" s="2">
        <v>38.66</v>
      </c>
      <c r="FY1518" s="2">
        <v>38.8</v>
      </c>
      <c r="FZ1518" s="2">
        <v>38.88</v>
      </c>
      <c r="GA1518" s="2">
        <v>38.95</v>
      </c>
      <c r="GB1518" s="2">
        <v>38.98</v>
      </c>
      <c r="GC1518" s="2">
        <v>39.06</v>
      </c>
      <c r="GD1518" s="2">
        <v>39.09</v>
      </c>
      <c r="GE1518" s="2">
        <v>39.09</v>
      </c>
      <c r="GF1518" s="2">
        <v>39.17</v>
      </c>
      <c r="GG1518" s="2">
        <v>39.2</v>
      </c>
      <c r="GH1518" s="2">
        <v>39.35</v>
      </c>
      <c r="GI1518" s="2">
        <v>39.39</v>
      </c>
      <c r="GJ1518" s="2">
        <v>39.46</v>
      </c>
      <c r="GK1518" s="2">
        <v>39.53</v>
      </c>
      <c r="GL1518" s="2">
        <v>39.6</v>
      </c>
      <c r="GM1518" s="2">
        <v>39.71</v>
      </c>
      <c r="GN1518" s="2">
        <v>40.04</v>
      </c>
      <c r="GO1518" s="2">
        <v>40.3</v>
      </c>
      <c r="GP1518" s="2">
        <v>40.55</v>
      </c>
      <c r="GQ1518" s="2">
        <v>40.88</v>
      </c>
      <c r="GR1518" s="2">
        <v>41.21</v>
      </c>
      <c r="GS1518" s="2">
        <v>41.54</v>
      </c>
      <c r="GT1518" s="2">
        <v>41.83</v>
      </c>
      <c r="GU1518" s="2">
        <v>42.05</v>
      </c>
      <c r="GV1518" s="2">
        <v>42.45</v>
      </c>
      <c r="GW1518" s="2">
        <v>42.74</v>
      </c>
      <c r="GX1518" s="2">
        <v>43.07</v>
      </c>
      <c r="GY1518" s="2">
        <v>43.32</v>
      </c>
      <c r="GZ1518" s="2">
        <v>43.76</v>
      </c>
      <c r="HA1518" s="2">
        <v>44.13</v>
      </c>
      <c r="HB1518" s="2">
        <v>44.31</v>
      </c>
      <c r="HC1518" s="2">
        <v>44.6</v>
      </c>
      <c r="HD1518" s="2">
        <v>44.89</v>
      </c>
      <c r="HE1518" s="2">
        <v>45.17</v>
      </c>
      <c r="HF1518" s="2">
        <v>45.48</v>
      </c>
      <c r="HG1518" s="2">
        <v>45.88</v>
      </c>
      <c r="HH1518" s="2">
        <v>46.32</v>
      </c>
      <c r="HI1518" s="2">
        <v>46.64</v>
      </c>
      <c r="HJ1518" s="2">
        <v>46.91</v>
      </c>
      <c r="HK1518" s="2">
        <v>47.32</v>
      </c>
      <c r="HL1518" s="2">
        <v>47.79</v>
      </c>
      <c r="HM1518" s="2">
        <v>48.09</v>
      </c>
      <c r="HN1518" s="2">
        <v>48.38</v>
      </c>
      <c r="HO1518" s="2">
        <v>48.61</v>
      </c>
      <c r="HP1518" s="2">
        <v>49.02</v>
      </c>
      <c r="HQ1518" s="2">
        <v>49.2</v>
      </c>
      <c r="HR1518" s="2">
        <v>49.39</v>
      </c>
      <c r="HS1518" s="2">
        <v>49.54</v>
      </c>
      <c r="HT1518" s="2">
        <v>49.8</v>
      </c>
      <c r="HU1518" s="2">
        <v>50.11</v>
      </c>
      <c r="HV1518" s="2">
        <v>50.5</v>
      </c>
      <c r="HW1518" s="2">
        <v>50.8</v>
      </c>
      <c r="HX1518" s="2">
        <v>51.15</v>
      </c>
      <c r="HY1518" s="2">
        <v>51.4</v>
      </c>
      <c r="HZ1518" s="2">
        <v>51.62</v>
      </c>
      <c r="IA1518" s="2">
        <v>51.87</v>
      </c>
      <c r="IB1518" s="2">
        <v>52.23</v>
      </c>
      <c r="IC1518" s="2">
        <v>52.55</v>
      </c>
      <c r="ID1518" s="2">
        <v>52.92</v>
      </c>
      <c r="IE1518" s="2">
        <v>53.32</v>
      </c>
      <c r="IF1518" s="2">
        <v>53.81</v>
      </c>
      <c r="IG1518" s="2">
        <v>54.33</v>
      </c>
      <c r="IH1518" s="2">
        <v>54.88</v>
      </c>
      <c r="II1518" s="2">
        <v>55.66</v>
      </c>
      <c r="IJ1518" s="2">
        <v>56.58</v>
      </c>
      <c r="IK1518" s="2">
        <v>57.48</v>
      </c>
      <c r="IL1518" s="2">
        <v>58.44</v>
      </c>
      <c r="IM1518" s="2">
        <v>59.58</v>
      </c>
      <c r="IN1518" s="2">
        <v>60.91</v>
      </c>
      <c r="IO1518" s="2">
        <v>62.17</v>
      </c>
      <c r="IP1518" s="2">
        <v>63.33</v>
      </c>
      <c r="IQ1518" s="2">
        <v>64.39</v>
      </c>
      <c r="IR1518" s="2">
        <v>65.3</v>
      </c>
      <c r="IS1518" s="2">
        <v>66.04000000000001</v>
      </c>
      <c r="IT1518" s="2">
        <v>66.68000000000001</v>
      </c>
      <c r="IU1518" s="2">
        <v>67.34</v>
      </c>
      <c r="IV1518" s="2">
        <v>68.13</v>
      </c>
      <c r="IW1518" s="2">
        <v>68.87</v>
      </c>
      <c r="IX1518" s="2">
        <v>69.47</v>
      </c>
      <c r="IY1518" s="2">
        <v>70.39</v>
      </c>
      <c r="IZ1518" s="2">
        <v>71.18000000000001</v>
      </c>
      <c r="JA1518" s="2">
        <v>72.05</v>
      </c>
      <c r="JB1518" s="2">
        <v>72.78</v>
      </c>
      <c r="JC1518" s="2">
        <v>73.48999999999999</v>
      </c>
      <c r="JD1518" s="2">
        <v>74.31</v>
      </c>
      <c r="JE1518" s="2">
        <v>74.93000000000001</v>
      </c>
      <c r="JF1518" s="2">
        <v>75.5</v>
      </c>
      <c r="JG1518" s="2">
        <v>76.09999999999999</v>
      </c>
      <c r="JH1518" s="2">
        <v>76.88</v>
      </c>
      <c r="JI1518" s="2">
        <v>77.34999999999999</v>
      </c>
      <c r="JJ1518" s="2">
        <v>77.78</v>
      </c>
      <c r="JK1518" s="2">
        <v>78.26000000000001</v>
      </c>
      <c r="JL1518" s="2">
        <v>78.75</v>
      </c>
      <c r="JM1518" s="2">
        <v>79.22</v>
      </c>
      <c r="JN1518" s="2">
        <v>79.63</v>
      </c>
      <c r="JO1518" s="2">
        <v>79.87</v>
      </c>
      <c r="JP1518" s="2">
        <v>80.17</v>
      </c>
      <c r="JQ1518" s="2">
        <v>80.42</v>
      </c>
      <c r="JR1518" s="2">
        <v>80.58</v>
      </c>
      <c r="JS1518" s="2">
        <v>80.59999999999999</v>
      </c>
      <c r="JT1518" s="2">
        <v>80.76000000000001</v>
      </c>
      <c r="JU1518" s="2">
        <v>81</v>
      </c>
      <c r="JV1518" s="2">
        <v>81.06999999999999</v>
      </c>
      <c r="KA1518" s="2">
        <v>81.13</v>
      </c>
      <c r="KB1518" s="2">
        <v>81.27</v>
      </c>
      <c r="KC1518" s="2">
        <v>81.43000000000001</v>
      </c>
      <c r="KD1518" s="2">
        <v>81.62</v>
      </c>
      <c r="KQ1518" s="2">
        <v>81.83</v>
      </c>
      <c r="KR1518" s="2">
        <v>81.83</v>
      </c>
      <c r="KS1518" s="2">
        <v>81.95999999999999</v>
      </c>
      <c r="KT1518" s="2">
        <v>82.09</v>
      </c>
      <c r="LG1518" s="2">
        <v>82.15000000000001</v>
      </c>
      <c r="LH1518" s="2">
        <v>82.19</v>
      </c>
      <c r="LI1518" s="2">
        <v>82.23</v>
      </c>
      <c r="LJ1518" s="2">
        <v>82.23999999999999</v>
      </c>
      <c r="LW1518" s="2">
        <v>82.29000000000001</v>
      </c>
      <c r="LX1518" s="2">
        <v>81.22</v>
      </c>
      <c r="LY1518" s="2">
        <v>81.03</v>
      </c>
      <c r="LZ1518" s="2">
        <v>81.14</v>
      </c>
      <c r="MM1518" s="2">
        <v>81.14</v>
      </c>
      <c r="MN1518" s="2">
        <v>81.19</v>
      </c>
      <c r="MO1518" s="2">
        <v>81.31999999999999</v>
      </c>
      <c r="MP1518" s="2">
        <v>81.40000000000001</v>
      </c>
      <c r="NC1518" s="2">
        <v>81.95</v>
      </c>
      <c r="ND1518" s="2">
        <v>82.48999999999999</v>
      </c>
      <c r="NE1518" s="2">
        <v>83.62</v>
      </c>
      <c r="NF1518" s="2">
        <v>84.62</v>
      </c>
      <c r="NS1518" s="2">
        <v>85.97</v>
      </c>
      <c r="NT1518" s="2">
        <v>88.09999999999999</v>
      </c>
      <c r="NU1518" s="2">
        <v>90.01000000000001</v>
      </c>
      <c r="NV1518" s="2">
        <v>90.8</v>
      </c>
      <c r="OI1518" s="2">
        <v>92.7</v>
      </c>
      <c r="OJ1518" s="2">
        <v>94.5</v>
      </c>
      <c r="OK1518" s="2">
        <v>96.09</v>
      </c>
      <c r="OL1518" s="2">
        <v>96.64</v>
      </c>
      <c r="OY1518" s="2">
        <v>97.79000000000001</v>
      </c>
      <c r="OZ1518" s="2">
        <v>98.79000000000001</v>
      </c>
      <c r="PA1518" s="2">
        <v>99.73999999999999</v>
      </c>
      <c r="PB1518" s="2">
        <v>100.53</v>
      </c>
      <c r="PJ1518" s="2">
        <v>101.46</v>
      </c>
      <c r="PK1518" s="2">
        <v>102.29</v>
      </c>
    </row>
    <row r="1519">
      <c r="A1519" t="inlineStr">
        <is>
          <t>A2326431V</t>
        </is>
      </c>
      <c r="B1519" t="inlineStr">
        <is>
          <t>Index Numbers ;  Rents ;  Australia ;</t>
        </is>
      </c>
      <c r="C1519" t="inlineStr">
        <is>
          <t>Quarter</t>
        </is>
      </c>
      <c r="D1519" t="inlineStr">
        <is>
          <t>Index Numbers</t>
        </is>
      </c>
      <c r="E1519" t="inlineStr">
        <is>
          <t>Original</t>
        </is>
      </c>
      <c r="F1519" t="inlineStr">
        <is>
          <t>6401018.xlsx</t>
        </is>
      </c>
      <c r="G1519" t="inlineStr">
        <is>
          <t>1972Q3</t>
        </is>
      </c>
      <c r="H1519" t="inlineStr">
        <is>
          <t>2026Q2</t>
        </is>
      </c>
      <c r="DA1519" s="2">
        <v>7.07</v>
      </c>
      <c r="DB1519" s="2">
        <v>7.18</v>
      </c>
      <c r="DC1519" s="2">
        <v>7.29</v>
      </c>
      <c r="DD1519" s="2">
        <v>7.4</v>
      </c>
      <c r="DE1519" s="2">
        <v>7.55</v>
      </c>
      <c r="DF1519" s="2">
        <v>7.8</v>
      </c>
      <c r="DG1519" s="2">
        <v>7.91</v>
      </c>
      <c r="DH1519" s="2">
        <v>8.17</v>
      </c>
      <c r="DI1519" s="2">
        <v>8.5</v>
      </c>
      <c r="DJ1519" s="2">
        <v>8.83</v>
      </c>
      <c r="DK1519" s="2">
        <v>9.119999999999999</v>
      </c>
      <c r="DL1519" s="2">
        <v>9.48</v>
      </c>
      <c r="DM1519" s="2">
        <v>9.92</v>
      </c>
      <c r="DN1519" s="2">
        <v>10.28</v>
      </c>
      <c r="DO1519" s="2">
        <v>10.61</v>
      </c>
      <c r="DP1519" s="2">
        <v>10.9</v>
      </c>
      <c r="DQ1519" s="2">
        <v>11.38</v>
      </c>
      <c r="DR1519" s="2">
        <v>11.71</v>
      </c>
      <c r="DS1519" s="2">
        <v>12</v>
      </c>
      <c r="DT1519" s="2">
        <v>12.25</v>
      </c>
      <c r="DU1519" s="2">
        <v>12.51</v>
      </c>
      <c r="DV1519" s="2">
        <v>12.84</v>
      </c>
      <c r="DW1519" s="2">
        <v>13.06</v>
      </c>
      <c r="DX1519" s="2">
        <v>13.27</v>
      </c>
      <c r="DY1519" s="2">
        <v>13.57</v>
      </c>
      <c r="DZ1519" s="2">
        <v>13.86</v>
      </c>
      <c r="EA1519" s="2">
        <v>14.15</v>
      </c>
      <c r="EB1519" s="2">
        <v>14.4</v>
      </c>
      <c r="EC1519" s="2">
        <v>14.7</v>
      </c>
      <c r="ED1519" s="2">
        <v>14.92</v>
      </c>
      <c r="EE1519" s="2">
        <v>15.1</v>
      </c>
      <c r="EF1519" s="2">
        <v>15.35</v>
      </c>
      <c r="EG1519" s="2">
        <v>15.72</v>
      </c>
      <c r="EH1519" s="2">
        <v>15.94</v>
      </c>
      <c r="EI1519" s="2">
        <v>16.23</v>
      </c>
      <c r="EJ1519" s="2">
        <v>16.56</v>
      </c>
      <c r="EK1519" s="2">
        <v>16.99</v>
      </c>
      <c r="EL1519" s="2">
        <v>17.43</v>
      </c>
      <c r="EM1519" s="2">
        <v>17.83</v>
      </c>
      <c r="EN1519" s="2">
        <v>18.45</v>
      </c>
      <c r="EO1519" s="2">
        <v>19.18</v>
      </c>
      <c r="EP1519" s="2">
        <v>19.58</v>
      </c>
      <c r="EQ1519" s="2">
        <v>19.91</v>
      </c>
      <c r="ER1519" s="2">
        <v>20.28</v>
      </c>
      <c r="ES1519" s="2">
        <v>20.6</v>
      </c>
      <c r="ET1519" s="2">
        <v>20.93</v>
      </c>
      <c r="EU1519" s="2">
        <v>21.26</v>
      </c>
      <c r="EV1519" s="2">
        <v>21.74</v>
      </c>
      <c r="EW1519" s="2">
        <v>22.14</v>
      </c>
      <c r="EX1519" s="2">
        <v>22.54</v>
      </c>
      <c r="EY1519" s="2">
        <v>22.94</v>
      </c>
      <c r="EZ1519" s="2">
        <v>23.41</v>
      </c>
      <c r="FA1519" s="2">
        <v>24.18</v>
      </c>
      <c r="FB1519" s="2">
        <v>24.69</v>
      </c>
      <c r="FC1519" s="2">
        <v>25.24</v>
      </c>
      <c r="FD1519" s="2">
        <v>25.93</v>
      </c>
      <c r="FE1519" s="2">
        <v>26.62</v>
      </c>
      <c r="FF1519" s="2">
        <v>27.21</v>
      </c>
      <c r="FG1519" s="2">
        <v>27.83</v>
      </c>
      <c r="FH1519" s="2">
        <v>28.48</v>
      </c>
      <c r="FI1519" s="2">
        <v>29.43</v>
      </c>
      <c r="FJ1519" s="2">
        <v>30.12</v>
      </c>
      <c r="FK1519" s="2">
        <v>31</v>
      </c>
      <c r="FL1519" s="2">
        <v>31.76</v>
      </c>
      <c r="FM1519" s="2">
        <v>32.75</v>
      </c>
      <c r="FN1519" s="2">
        <v>33.51</v>
      </c>
      <c r="FO1519" s="2">
        <v>34.32</v>
      </c>
      <c r="FP1519" s="2">
        <v>34.97</v>
      </c>
      <c r="FQ1519" s="2">
        <v>35.7</v>
      </c>
      <c r="FR1519" s="2">
        <v>36.32</v>
      </c>
      <c r="FS1519" s="2">
        <v>36.72</v>
      </c>
      <c r="FT1519" s="2">
        <v>37.16</v>
      </c>
      <c r="FU1519" s="2">
        <v>37.67</v>
      </c>
      <c r="FV1519" s="2">
        <v>38.15</v>
      </c>
      <c r="FW1519" s="2">
        <v>38.36</v>
      </c>
      <c r="FX1519" s="2">
        <v>38.66</v>
      </c>
      <c r="FY1519" s="2">
        <v>38.8</v>
      </c>
      <c r="FZ1519" s="2">
        <v>38.88</v>
      </c>
      <c r="GA1519" s="2">
        <v>38.95</v>
      </c>
      <c r="GB1519" s="2">
        <v>38.98</v>
      </c>
      <c r="GC1519" s="2">
        <v>39.06</v>
      </c>
      <c r="GD1519" s="2">
        <v>39.09</v>
      </c>
      <c r="GE1519" s="2">
        <v>39.09</v>
      </c>
      <c r="GF1519" s="2">
        <v>39.17</v>
      </c>
      <c r="GG1519" s="2">
        <v>39.2</v>
      </c>
      <c r="GH1519" s="2">
        <v>39.35</v>
      </c>
      <c r="GI1519" s="2">
        <v>39.39</v>
      </c>
      <c r="GJ1519" s="2">
        <v>39.46</v>
      </c>
      <c r="GK1519" s="2">
        <v>39.53</v>
      </c>
      <c r="GL1519" s="2">
        <v>39.6</v>
      </c>
      <c r="GM1519" s="2">
        <v>39.71</v>
      </c>
      <c r="GN1519" s="2">
        <v>40.04</v>
      </c>
      <c r="GO1519" s="2">
        <v>40.3</v>
      </c>
      <c r="GP1519" s="2">
        <v>40.55</v>
      </c>
      <c r="GQ1519" s="2">
        <v>40.88</v>
      </c>
      <c r="GR1519" s="2">
        <v>41.21</v>
      </c>
      <c r="GS1519" s="2">
        <v>41.54</v>
      </c>
      <c r="GT1519" s="2">
        <v>41.83</v>
      </c>
      <c r="GU1519" s="2">
        <v>42.05</v>
      </c>
      <c r="GV1519" s="2">
        <v>42.45</v>
      </c>
      <c r="GW1519" s="2">
        <v>42.74</v>
      </c>
      <c r="GX1519" s="2">
        <v>43.07</v>
      </c>
      <c r="GY1519" s="2">
        <v>43.32</v>
      </c>
      <c r="GZ1519" s="2">
        <v>43.76</v>
      </c>
      <c r="HA1519" s="2">
        <v>44.13</v>
      </c>
      <c r="HB1519" s="2">
        <v>44.32</v>
      </c>
      <c r="HC1519" s="2">
        <v>44.6</v>
      </c>
      <c r="HD1519" s="2">
        <v>44.9</v>
      </c>
      <c r="HE1519" s="2">
        <v>45.17</v>
      </c>
      <c r="HF1519" s="2">
        <v>45.48</v>
      </c>
      <c r="HG1519" s="2">
        <v>45.88</v>
      </c>
      <c r="HH1519" s="2">
        <v>46.32</v>
      </c>
      <c r="HI1519" s="2">
        <v>46.64</v>
      </c>
      <c r="HJ1519" s="2">
        <v>46.91</v>
      </c>
      <c r="HK1519" s="2">
        <v>47.32</v>
      </c>
      <c r="HL1519" s="2">
        <v>47.79</v>
      </c>
      <c r="HM1519" s="2">
        <v>48.09</v>
      </c>
      <c r="HN1519" s="2">
        <v>48.38</v>
      </c>
      <c r="HO1519" s="2">
        <v>48.61</v>
      </c>
      <c r="HP1519" s="2">
        <v>49.02</v>
      </c>
      <c r="HQ1519" s="2">
        <v>49.2</v>
      </c>
      <c r="HR1519" s="2">
        <v>49.39</v>
      </c>
      <c r="HS1519" s="2">
        <v>49.54</v>
      </c>
      <c r="HT1519" s="2">
        <v>49.8</v>
      </c>
      <c r="HU1519" s="2">
        <v>50.11</v>
      </c>
      <c r="HV1519" s="2">
        <v>50.5</v>
      </c>
      <c r="HW1519" s="2">
        <v>50.8</v>
      </c>
      <c r="HX1519" s="2">
        <v>51.15</v>
      </c>
      <c r="HY1519" s="2">
        <v>51.4</v>
      </c>
      <c r="HZ1519" s="2">
        <v>51.62</v>
      </c>
      <c r="IA1519" s="2">
        <v>51.87</v>
      </c>
      <c r="IB1519" s="2">
        <v>52.23</v>
      </c>
      <c r="IC1519" s="2">
        <v>52.55</v>
      </c>
      <c r="ID1519" s="2">
        <v>52.92</v>
      </c>
      <c r="IE1519" s="2">
        <v>53.32</v>
      </c>
      <c r="IF1519" s="2">
        <v>53.81</v>
      </c>
      <c r="IG1519" s="2">
        <v>54.33</v>
      </c>
      <c r="IH1519" s="2">
        <v>54.88</v>
      </c>
      <c r="II1519" s="2">
        <v>55.66</v>
      </c>
      <c r="IJ1519" s="2">
        <v>56.58</v>
      </c>
      <c r="IK1519" s="2">
        <v>57.48</v>
      </c>
      <c r="IL1519" s="2">
        <v>58.44</v>
      </c>
      <c r="IM1519" s="2">
        <v>59.58</v>
      </c>
      <c r="IN1519" s="2">
        <v>60.91</v>
      </c>
      <c r="IO1519" s="2">
        <v>62.17</v>
      </c>
      <c r="IP1519" s="2">
        <v>63.33</v>
      </c>
      <c r="IQ1519" s="2">
        <v>64.39</v>
      </c>
      <c r="IR1519" s="2">
        <v>65.3</v>
      </c>
      <c r="IS1519" s="2">
        <v>66.04000000000001</v>
      </c>
      <c r="IT1519" s="2">
        <v>66.68000000000001</v>
      </c>
      <c r="IU1519" s="2">
        <v>67.34</v>
      </c>
      <c r="IV1519" s="2">
        <v>68.13</v>
      </c>
      <c r="IW1519" s="2">
        <v>68.87</v>
      </c>
      <c r="IX1519" s="2">
        <v>69.47</v>
      </c>
      <c r="IY1519" s="2">
        <v>70.39</v>
      </c>
      <c r="IZ1519" s="2">
        <v>71.18000000000001</v>
      </c>
      <c r="JA1519" s="2">
        <v>72.05</v>
      </c>
      <c r="JB1519" s="2">
        <v>72.78</v>
      </c>
      <c r="JC1519" s="2">
        <v>73.48999999999999</v>
      </c>
      <c r="JD1519" s="2">
        <v>74.31</v>
      </c>
      <c r="JE1519" s="2">
        <v>74.93000000000001</v>
      </c>
      <c r="JF1519" s="2">
        <v>75.5</v>
      </c>
      <c r="JG1519" s="2">
        <v>76.09999999999999</v>
      </c>
      <c r="JH1519" s="2">
        <v>76.88</v>
      </c>
      <c r="JI1519" s="2">
        <v>77.34999999999999</v>
      </c>
      <c r="JJ1519" s="2">
        <v>77.78</v>
      </c>
      <c r="JK1519" s="2">
        <v>78.26000000000001</v>
      </c>
      <c r="JL1519" s="2">
        <v>78.75</v>
      </c>
      <c r="JM1519" s="2">
        <v>79.22</v>
      </c>
      <c r="JN1519" s="2">
        <v>79.63</v>
      </c>
      <c r="JO1519" s="2">
        <v>79.87</v>
      </c>
      <c r="JP1519" s="2">
        <v>80.17</v>
      </c>
      <c r="JQ1519" s="2">
        <v>80.42</v>
      </c>
      <c r="JR1519" s="2">
        <v>80.58</v>
      </c>
      <c r="JS1519" s="2">
        <v>80.59999999999999</v>
      </c>
      <c r="JT1519" s="2">
        <v>80.76000000000001</v>
      </c>
      <c r="JU1519" s="2">
        <v>81</v>
      </c>
      <c r="JV1519" s="2">
        <v>81.06999999999999</v>
      </c>
      <c r="KA1519" s="2">
        <v>81.13</v>
      </c>
      <c r="KB1519" s="2">
        <v>81.27</v>
      </c>
      <c r="KC1519" s="2">
        <v>81.43000000000001</v>
      </c>
      <c r="KD1519" s="2">
        <v>81.62</v>
      </c>
      <c r="KQ1519" s="2">
        <v>81.83</v>
      </c>
      <c r="KR1519" s="2">
        <v>81.83</v>
      </c>
      <c r="KS1519" s="2">
        <v>81.95999999999999</v>
      </c>
      <c r="KT1519" s="2">
        <v>82.09</v>
      </c>
      <c r="LG1519" s="2">
        <v>82.15000000000001</v>
      </c>
      <c r="LH1519" s="2">
        <v>82.19</v>
      </c>
      <c r="LI1519" s="2">
        <v>82.23</v>
      </c>
      <c r="LJ1519" s="2">
        <v>82.23999999999999</v>
      </c>
      <c r="LW1519" s="2">
        <v>82.29000000000001</v>
      </c>
      <c r="LX1519" s="2">
        <v>81.22</v>
      </c>
      <c r="LY1519" s="2">
        <v>81.03</v>
      </c>
      <c r="LZ1519" s="2">
        <v>81.14</v>
      </c>
      <c r="MM1519" s="2">
        <v>81.14</v>
      </c>
      <c r="MN1519" s="2">
        <v>81.19</v>
      </c>
      <c r="MO1519" s="2">
        <v>81.31999999999999</v>
      </c>
      <c r="MP1519" s="2">
        <v>81.40000000000001</v>
      </c>
      <c r="NC1519" s="2">
        <v>81.95</v>
      </c>
      <c r="ND1519" s="2">
        <v>82.48999999999999</v>
      </c>
      <c r="NE1519" s="2">
        <v>83.62</v>
      </c>
      <c r="NF1519" s="2">
        <v>84.62</v>
      </c>
      <c r="NS1519" s="2">
        <v>85.97</v>
      </c>
      <c r="NT1519" s="2">
        <v>88.09999999999999</v>
      </c>
      <c r="NU1519" s="2">
        <v>90.01000000000001</v>
      </c>
      <c r="NV1519" s="2">
        <v>90.8</v>
      </c>
      <c r="OI1519" s="2">
        <v>92.7</v>
      </c>
      <c r="OJ1519" s="2">
        <v>94.5</v>
      </c>
      <c r="OK1519" s="2">
        <v>96.09</v>
      </c>
      <c r="OL1519" s="2">
        <v>96.64</v>
      </c>
      <c r="OY1519" s="2">
        <v>97.79000000000001</v>
      </c>
      <c r="OZ1519" s="2">
        <v>98.79000000000001</v>
      </c>
      <c r="PA1519" s="2">
        <v>99.73999999999999</v>
      </c>
      <c r="PB1519" s="2">
        <v>100.53</v>
      </c>
      <c r="PJ1519" s="2">
        <v>101.46</v>
      </c>
      <c r="PK1519" s="2">
        <v>102.29</v>
      </c>
    </row>
    <row r="1520">
      <c r="A1520" t="inlineStr">
        <is>
          <t>A3604373L</t>
        </is>
      </c>
      <c r="B1520" t="inlineStr">
        <is>
          <t>Index Numbers ;  New dwelling purchase by owner-occupiers ;  Australia ;</t>
        </is>
      </c>
      <c r="C1520" t="inlineStr">
        <is>
          <t>Quarter</t>
        </is>
      </c>
      <c r="D1520" t="inlineStr">
        <is>
          <t>Index Numbers</t>
        </is>
      </c>
      <c r="E1520" t="inlineStr">
        <is>
          <t>Original</t>
        </is>
      </c>
      <c r="F1520" t="inlineStr">
        <is>
          <t>6401018.xlsx</t>
        </is>
      </c>
      <c r="G1520" t="inlineStr">
        <is>
          <t>1998Q2</t>
        </is>
      </c>
      <c r="H1520" t="inlineStr">
        <is>
          <t>2026Q2</t>
        </is>
      </c>
      <c r="GZ1520" s="2">
        <v>32.9</v>
      </c>
      <c r="HA1520" s="2">
        <v>33.1</v>
      </c>
      <c r="HB1520" s="2">
        <v>33.39</v>
      </c>
      <c r="HC1520" s="2">
        <v>33.9</v>
      </c>
      <c r="HD1520" s="2">
        <v>34.22</v>
      </c>
      <c r="HE1520" s="2">
        <v>34.91</v>
      </c>
      <c r="HF1520" s="2">
        <v>36.03</v>
      </c>
      <c r="HG1520" s="2">
        <v>36.62</v>
      </c>
      <c r="HH1520" s="2">
        <v>36.78</v>
      </c>
      <c r="HI1520" s="2">
        <v>39.74</v>
      </c>
      <c r="HJ1520" s="2">
        <v>39.85</v>
      </c>
      <c r="HK1520" s="2">
        <v>39.94</v>
      </c>
      <c r="HL1520" s="2">
        <v>39.81</v>
      </c>
      <c r="HM1520" s="2">
        <v>40.17</v>
      </c>
      <c r="HN1520" s="2">
        <v>40.6</v>
      </c>
      <c r="HO1520" s="2">
        <v>40.9</v>
      </c>
      <c r="HP1520" s="2">
        <v>41.32</v>
      </c>
      <c r="HQ1520" s="2">
        <v>41.72</v>
      </c>
      <c r="HR1520" s="2">
        <v>42.01</v>
      </c>
      <c r="HS1520" s="2">
        <v>42.67</v>
      </c>
      <c r="HT1520" s="2">
        <v>43.52</v>
      </c>
      <c r="HU1520" s="2">
        <v>44.25</v>
      </c>
      <c r="HV1520" s="2">
        <v>44.71</v>
      </c>
      <c r="HW1520" s="2">
        <v>45.21</v>
      </c>
      <c r="HX1520" s="2">
        <v>45.83</v>
      </c>
      <c r="HY1520" s="2">
        <v>46.32</v>
      </c>
      <c r="HZ1520" s="2">
        <v>47.02</v>
      </c>
      <c r="IA1520" s="2">
        <v>47.67</v>
      </c>
      <c r="IB1520" s="2">
        <v>48.1</v>
      </c>
      <c r="IC1520" s="2">
        <v>48.69</v>
      </c>
      <c r="ID1520" s="2">
        <v>49.09</v>
      </c>
      <c r="IE1520" s="2">
        <v>49.25</v>
      </c>
      <c r="IF1520" s="2">
        <v>49.81</v>
      </c>
      <c r="IG1520" s="2">
        <v>49.91</v>
      </c>
      <c r="IH1520" s="2">
        <v>50.14</v>
      </c>
      <c r="II1520" s="2">
        <v>50.67</v>
      </c>
      <c r="IJ1520" s="2">
        <v>51.15</v>
      </c>
      <c r="IK1520" s="2">
        <v>51.65</v>
      </c>
      <c r="IL1520" s="2">
        <v>52.33</v>
      </c>
      <c r="IM1520" s="2">
        <v>53.2</v>
      </c>
      <c r="IN1520" s="2">
        <v>53.73</v>
      </c>
      <c r="IO1520" s="2">
        <v>54.43</v>
      </c>
      <c r="IP1520" s="2">
        <v>54.55</v>
      </c>
      <c r="IQ1520" s="2">
        <v>54.29</v>
      </c>
      <c r="IR1520" s="2">
        <v>54.71</v>
      </c>
      <c r="IS1520" s="2">
        <v>55.34</v>
      </c>
      <c r="IT1520" s="2">
        <v>55.87</v>
      </c>
      <c r="IU1520" s="2">
        <v>56.52</v>
      </c>
      <c r="IV1520" s="2">
        <v>56.85</v>
      </c>
      <c r="IW1520" s="2">
        <v>57.12</v>
      </c>
      <c r="IX1520" s="2">
        <v>57.51</v>
      </c>
      <c r="IY1520" s="2">
        <v>57.97</v>
      </c>
      <c r="IZ1520" s="2">
        <v>58.23</v>
      </c>
      <c r="JA1520" s="2">
        <v>58.18</v>
      </c>
      <c r="JB1520" s="2">
        <v>58.34</v>
      </c>
      <c r="JC1520" s="2">
        <v>58.31</v>
      </c>
      <c r="JD1520" s="2">
        <v>58.36</v>
      </c>
      <c r="JE1520" s="2">
        <v>58.88</v>
      </c>
      <c r="JF1520" s="2">
        <v>58.94</v>
      </c>
      <c r="JG1520" s="2">
        <v>59.94</v>
      </c>
      <c r="JH1520" s="2">
        <v>60.44</v>
      </c>
      <c r="JI1520" s="2">
        <v>60.77</v>
      </c>
      <c r="JJ1520" s="2">
        <v>61.3</v>
      </c>
      <c r="JK1520" s="2">
        <v>61.38</v>
      </c>
      <c r="JL1520" s="2">
        <v>62.36</v>
      </c>
      <c r="JM1520" s="2">
        <v>63.08</v>
      </c>
      <c r="JN1520" s="2">
        <v>63.75</v>
      </c>
      <c r="JO1520" s="2">
        <v>64.34</v>
      </c>
      <c r="JP1520" s="2">
        <v>65.34999999999999</v>
      </c>
      <c r="JQ1520" s="2">
        <v>65.81999999999999</v>
      </c>
      <c r="JR1520" s="2">
        <v>65.89</v>
      </c>
      <c r="JS1520" s="2">
        <v>65.98</v>
      </c>
      <c r="JT1520" s="2">
        <v>66.59</v>
      </c>
      <c r="JU1520" s="2">
        <v>66.84999999999999</v>
      </c>
      <c r="JV1520" s="2">
        <v>67.23999999999999</v>
      </c>
      <c r="KA1520" s="2">
        <v>67.84999999999999</v>
      </c>
      <c r="KB1520" s="2">
        <v>68.44</v>
      </c>
      <c r="KC1520" s="2">
        <v>68.98</v>
      </c>
      <c r="KD1520" s="2">
        <v>69.37</v>
      </c>
      <c r="KQ1520" s="2">
        <v>69.73</v>
      </c>
      <c r="KR1520" s="2">
        <v>70.31999999999999</v>
      </c>
      <c r="KS1520" s="2">
        <v>70.38</v>
      </c>
      <c r="KT1520" s="2">
        <v>70.63</v>
      </c>
      <c r="LG1520" s="2">
        <v>70.54000000000001</v>
      </c>
      <c r="LH1520" s="2">
        <v>70.43000000000001</v>
      </c>
      <c r="LI1520" s="2">
        <v>70.31999999999999</v>
      </c>
      <c r="LJ1520" s="2">
        <v>70.58</v>
      </c>
      <c r="LW1520" s="2">
        <v>70.89</v>
      </c>
      <c r="LX1520" s="2">
        <v>70.94</v>
      </c>
      <c r="LY1520" s="2">
        <v>71.3</v>
      </c>
      <c r="LZ1520" s="2">
        <v>71.73999999999999</v>
      </c>
      <c r="MM1520" s="2">
        <v>71.73</v>
      </c>
      <c r="MN1520" s="2">
        <v>71.66</v>
      </c>
      <c r="MO1520" s="2">
        <v>74.06</v>
      </c>
      <c r="MP1520" s="2">
        <v>77.12</v>
      </c>
      <c r="NC1520" s="2">
        <v>81.54000000000001</v>
      </c>
      <c r="ND1520" s="2">
        <v>86.17</v>
      </c>
      <c r="NE1520" s="2">
        <v>89.39</v>
      </c>
      <c r="NF1520" s="2">
        <v>90.86</v>
      </c>
      <c r="NS1520" s="2">
        <v>91.92</v>
      </c>
      <c r="NT1520" s="2">
        <v>92.87</v>
      </c>
      <c r="NU1520" s="2">
        <v>94.06</v>
      </c>
      <c r="NV1520" s="2">
        <v>95.45999999999999</v>
      </c>
      <c r="OI1520" s="2">
        <v>96.54000000000001</v>
      </c>
      <c r="OJ1520" s="2">
        <v>97.59999999999999</v>
      </c>
      <c r="OK1520" s="2">
        <v>98.53</v>
      </c>
      <c r="OL1520" s="2">
        <v>98.31</v>
      </c>
      <c r="OY1520" s="2">
        <v>97.88</v>
      </c>
      <c r="OZ1520" s="2">
        <v>98.31</v>
      </c>
      <c r="PA1520" s="2">
        <v>99.42</v>
      </c>
      <c r="PB1520" s="2">
        <v>100.79</v>
      </c>
      <c r="PJ1520" s="2">
        <v>101.74</v>
      </c>
      <c r="PK1520" s="2">
        <v>103.57</v>
      </c>
    </row>
    <row r="1521">
      <c r="A1521" t="inlineStr">
        <is>
          <t>A2329941X</t>
        </is>
      </c>
      <c r="B1521" t="inlineStr">
        <is>
          <t>Index Numbers ;  New dwelling purchase by owner-occupiers ;  Australia ;</t>
        </is>
      </c>
      <c r="C1521" t="inlineStr">
        <is>
          <t>Quarter</t>
        </is>
      </c>
      <c r="D1521" t="inlineStr">
        <is>
          <t>Index Numbers</t>
        </is>
      </c>
      <c r="E1521" t="inlineStr">
        <is>
          <t>Original</t>
        </is>
      </c>
      <c r="F1521" t="inlineStr">
        <is>
          <t>6401018.xlsx</t>
        </is>
      </c>
      <c r="G1521" t="inlineStr">
        <is>
          <t>1998Q2</t>
        </is>
      </c>
      <c r="H1521" t="inlineStr">
        <is>
          <t>2026Q2</t>
        </is>
      </c>
      <c r="GZ1521" s="2">
        <v>32.9</v>
      </c>
      <c r="HA1521" s="2">
        <v>33.09</v>
      </c>
      <c r="HB1521" s="2">
        <v>33.41</v>
      </c>
      <c r="HC1521" s="2">
        <v>33.9</v>
      </c>
      <c r="HD1521" s="2">
        <v>34.22</v>
      </c>
      <c r="HE1521" s="2">
        <v>34.92</v>
      </c>
      <c r="HF1521" s="2">
        <v>36.01</v>
      </c>
      <c r="HG1521" s="2">
        <v>36.62</v>
      </c>
      <c r="HH1521" s="2">
        <v>36.77</v>
      </c>
      <c r="HI1521" s="2">
        <v>39.73</v>
      </c>
      <c r="HJ1521" s="2">
        <v>39.85</v>
      </c>
      <c r="HK1521" s="2">
        <v>39.93</v>
      </c>
      <c r="HL1521" s="2">
        <v>39.82</v>
      </c>
      <c r="HM1521" s="2">
        <v>40.19</v>
      </c>
      <c r="HN1521" s="2">
        <v>40.58</v>
      </c>
      <c r="HO1521" s="2">
        <v>40.9</v>
      </c>
      <c r="HP1521" s="2">
        <v>41.32</v>
      </c>
      <c r="HQ1521" s="2">
        <v>41.73</v>
      </c>
      <c r="HR1521" s="2">
        <v>42.02</v>
      </c>
      <c r="HS1521" s="2">
        <v>42.68</v>
      </c>
      <c r="HT1521" s="2">
        <v>43.52</v>
      </c>
      <c r="HU1521" s="2">
        <v>44.24</v>
      </c>
      <c r="HV1521" s="2">
        <v>44.71</v>
      </c>
      <c r="HW1521" s="2">
        <v>45.19</v>
      </c>
      <c r="HX1521" s="2">
        <v>45.82</v>
      </c>
      <c r="HY1521" s="2">
        <v>46.33</v>
      </c>
      <c r="HZ1521" s="2">
        <v>47.02</v>
      </c>
      <c r="IA1521" s="2">
        <v>47.68</v>
      </c>
      <c r="IB1521" s="2">
        <v>48.11</v>
      </c>
      <c r="IC1521" s="2">
        <v>48.7</v>
      </c>
      <c r="ID1521" s="2">
        <v>49.08</v>
      </c>
      <c r="IE1521" s="2">
        <v>49.24</v>
      </c>
      <c r="IF1521" s="2">
        <v>49.8</v>
      </c>
      <c r="IG1521" s="2">
        <v>49.91</v>
      </c>
      <c r="IH1521" s="2">
        <v>50.15</v>
      </c>
      <c r="II1521" s="2">
        <v>50.66</v>
      </c>
      <c r="IJ1521" s="2">
        <v>51.15</v>
      </c>
      <c r="IK1521" s="2">
        <v>51.66</v>
      </c>
      <c r="IL1521" s="2">
        <v>52.33</v>
      </c>
      <c r="IM1521" s="2">
        <v>53.21</v>
      </c>
      <c r="IN1521" s="2">
        <v>53.73</v>
      </c>
      <c r="IO1521" s="2">
        <v>54.43</v>
      </c>
      <c r="IP1521" s="2">
        <v>54.54</v>
      </c>
      <c r="IQ1521" s="2">
        <v>54.3</v>
      </c>
      <c r="IR1521" s="2">
        <v>54.73</v>
      </c>
      <c r="IS1521" s="2">
        <v>55.34</v>
      </c>
      <c r="IT1521" s="2">
        <v>55.88</v>
      </c>
      <c r="IU1521" s="2">
        <v>56.53</v>
      </c>
      <c r="IV1521" s="2">
        <v>56.87</v>
      </c>
      <c r="IW1521" s="2">
        <v>57.12</v>
      </c>
      <c r="IX1521" s="2">
        <v>57.51</v>
      </c>
      <c r="IY1521" s="2">
        <v>57.98</v>
      </c>
      <c r="IZ1521" s="2">
        <v>58.24</v>
      </c>
      <c r="JA1521" s="2">
        <v>58.18</v>
      </c>
      <c r="JB1521" s="2">
        <v>58.34</v>
      </c>
      <c r="JC1521" s="2">
        <v>58.31</v>
      </c>
      <c r="JD1521" s="2">
        <v>58.36</v>
      </c>
      <c r="JE1521" s="2">
        <v>58.88</v>
      </c>
      <c r="JF1521" s="2">
        <v>58.94</v>
      </c>
      <c r="JG1521" s="2">
        <v>59.94</v>
      </c>
      <c r="JH1521" s="2">
        <v>60.44</v>
      </c>
      <c r="JI1521" s="2">
        <v>60.77</v>
      </c>
      <c r="JJ1521" s="2">
        <v>61.3</v>
      </c>
      <c r="JK1521" s="2">
        <v>61.38</v>
      </c>
      <c r="JL1521" s="2">
        <v>62.36</v>
      </c>
      <c r="JM1521" s="2">
        <v>63.08</v>
      </c>
      <c r="JN1521" s="2">
        <v>63.75</v>
      </c>
      <c r="JO1521" s="2">
        <v>64.34</v>
      </c>
      <c r="JP1521" s="2">
        <v>65.34999999999999</v>
      </c>
      <c r="JQ1521" s="2">
        <v>65.81999999999999</v>
      </c>
      <c r="JR1521" s="2">
        <v>65.89</v>
      </c>
      <c r="JS1521" s="2">
        <v>65.98</v>
      </c>
      <c r="JT1521" s="2">
        <v>66.59</v>
      </c>
      <c r="JU1521" s="2">
        <v>66.84999999999999</v>
      </c>
      <c r="JV1521" s="2">
        <v>67.23999999999999</v>
      </c>
      <c r="KA1521" s="2">
        <v>67.84999999999999</v>
      </c>
      <c r="KB1521" s="2">
        <v>68.44</v>
      </c>
      <c r="KC1521" s="2">
        <v>68.98</v>
      </c>
      <c r="KD1521" s="2">
        <v>69.37</v>
      </c>
      <c r="KQ1521" s="2">
        <v>69.73</v>
      </c>
      <c r="KR1521" s="2">
        <v>70.31999999999999</v>
      </c>
      <c r="KS1521" s="2">
        <v>70.38</v>
      </c>
      <c r="KT1521" s="2">
        <v>70.63</v>
      </c>
      <c r="LG1521" s="2">
        <v>70.54000000000001</v>
      </c>
      <c r="LH1521" s="2">
        <v>70.43000000000001</v>
      </c>
      <c r="LI1521" s="2">
        <v>70.31999999999999</v>
      </c>
      <c r="LJ1521" s="2">
        <v>70.58</v>
      </c>
      <c r="LW1521" s="2">
        <v>70.89</v>
      </c>
      <c r="LX1521" s="2">
        <v>70.94</v>
      </c>
      <c r="LY1521" s="2">
        <v>71.3</v>
      </c>
      <c r="LZ1521" s="2">
        <v>71.73999999999999</v>
      </c>
      <c r="MM1521" s="2">
        <v>71.73</v>
      </c>
      <c r="MN1521" s="2">
        <v>71.66</v>
      </c>
      <c r="MO1521" s="2">
        <v>74.06</v>
      </c>
      <c r="MP1521" s="2">
        <v>77.12</v>
      </c>
      <c r="NC1521" s="2">
        <v>81.54000000000001</v>
      </c>
      <c r="ND1521" s="2">
        <v>86.17</v>
      </c>
      <c r="NE1521" s="2">
        <v>89.39</v>
      </c>
      <c r="NF1521" s="2">
        <v>90.86</v>
      </c>
      <c r="NS1521" s="2">
        <v>91.92</v>
      </c>
      <c r="NT1521" s="2">
        <v>92.87</v>
      </c>
      <c r="NU1521" s="2">
        <v>94.06</v>
      </c>
      <c r="NV1521" s="2">
        <v>95.45999999999999</v>
      </c>
      <c r="OI1521" s="2">
        <v>96.54000000000001</v>
      </c>
      <c r="OJ1521" s="2">
        <v>97.59999999999999</v>
      </c>
      <c r="OK1521" s="2">
        <v>98.53</v>
      </c>
      <c r="OL1521" s="2">
        <v>98.31</v>
      </c>
      <c r="OY1521" s="2">
        <v>97.88</v>
      </c>
      <c r="OZ1521" s="2">
        <v>98.31</v>
      </c>
      <c r="PA1521" s="2">
        <v>99.42</v>
      </c>
      <c r="PB1521" s="2">
        <v>100.79</v>
      </c>
      <c r="PJ1521" s="2">
        <v>101.74</v>
      </c>
      <c r="PK1521" s="2">
        <v>103.57</v>
      </c>
    </row>
    <row r="1522">
      <c r="A1522" t="inlineStr">
        <is>
          <t>A3604413V</t>
        </is>
      </c>
      <c r="B1522" t="inlineStr">
        <is>
          <t>Index Numbers ;  Other housing ;  Australia ;</t>
        </is>
      </c>
      <c r="C1522" t="inlineStr">
        <is>
          <t>Quarter</t>
        </is>
      </c>
      <c r="D1522" t="inlineStr">
        <is>
          <t>Index Numbers</t>
        </is>
      </c>
      <c r="E1522" t="inlineStr">
        <is>
          <t>Original</t>
        </is>
      </c>
      <c r="F1522" t="inlineStr">
        <is>
          <t>6401018.xlsx</t>
        </is>
      </c>
      <c r="G1522" t="inlineStr">
        <is>
          <t>1998Q2</t>
        </is>
      </c>
      <c r="H1522" t="inlineStr">
        <is>
          <t>2026Q2</t>
        </is>
      </c>
      <c r="GZ1522" s="2">
        <v>34.83</v>
      </c>
      <c r="HA1522" s="2">
        <v>35.39</v>
      </c>
      <c r="HB1522" s="2">
        <v>35.53</v>
      </c>
      <c r="HC1522" s="2">
        <v>35.53</v>
      </c>
      <c r="HD1522" s="2">
        <v>35.53</v>
      </c>
      <c r="HE1522" s="2">
        <v>36.47</v>
      </c>
      <c r="HF1522" s="2">
        <v>36.78</v>
      </c>
      <c r="HG1522" s="2">
        <v>37.24</v>
      </c>
      <c r="HH1522" s="2">
        <v>37.55</v>
      </c>
      <c r="HI1522" s="2">
        <v>40.58</v>
      </c>
      <c r="HJ1522" s="2">
        <v>40.69</v>
      </c>
      <c r="HK1522" s="2">
        <v>40.86</v>
      </c>
      <c r="HL1522" s="2">
        <v>41</v>
      </c>
      <c r="HM1522" s="2">
        <v>42.11</v>
      </c>
      <c r="HN1522" s="2">
        <v>42.36</v>
      </c>
      <c r="HO1522" s="2">
        <v>42.29</v>
      </c>
      <c r="HP1522" s="2">
        <v>42.46</v>
      </c>
      <c r="HQ1522" s="2">
        <v>43.61</v>
      </c>
      <c r="HR1522" s="2">
        <v>43.82</v>
      </c>
      <c r="HS1522" s="2">
        <v>43.93</v>
      </c>
      <c r="HT1522" s="2">
        <v>44.27</v>
      </c>
      <c r="HU1522" s="2">
        <v>45.56</v>
      </c>
      <c r="HV1522" s="2">
        <v>45.67</v>
      </c>
      <c r="HW1522" s="2">
        <v>45.74</v>
      </c>
      <c r="HX1522" s="2">
        <v>45.95</v>
      </c>
      <c r="HY1522" s="2">
        <v>47.17</v>
      </c>
      <c r="HZ1522" s="2">
        <v>47.37</v>
      </c>
      <c r="IA1522" s="2">
        <v>47.48</v>
      </c>
      <c r="IB1522" s="2">
        <v>47.76</v>
      </c>
      <c r="IC1522" s="2">
        <v>48.84</v>
      </c>
      <c r="ID1522" s="2">
        <v>49.01</v>
      </c>
      <c r="IE1522" s="2">
        <v>49.15</v>
      </c>
      <c r="IF1522" s="2">
        <v>49.5</v>
      </c>
      <c r="IG1522" s="2">
        <v>50.65</v>
      </c>
      <c r="IH1522" s="2">
        <v>50.75</v>
      </c>
      <c r="II1522" s="2">
        <v>50.72</v>
      </c>
      <c r="IJ1522" s="2">
        <v>50.89</v>
      </c>
      <c r="IK1522" s="2">
        <v>51.97</v>
      </c>
      <c r="IL1522" s="2">
        <v>52.25</v>
      </c>
      <c r="IM1522" s="2">
        <v>52.53</v>
      </c>
      <c r="IN1522" s="2">
        <v>52.74</v>
      </c>
      <c r="IO1522" s="2">
        <v>54.24</v>
      </c>
      <c r="IP1522" s="2">
        <v>54.62</v>
      </c>
      <c r="IQ1522" s="2">
        <v>55.21</v>
      </c>
      <c r="IR1522" s="2">
        <v>55.63</v>
      </c>
      <c r="IS1522" s="2">
        <v>57.09</v>
      </c>
      <c r="IT1522" s="2">
        <v>57.2</v>
      </c>
      <c r="IU1522" s="2">
        <v>57.34</v>
      </c>
      <c r="IV1522" s="2">
        <v>57.48</v>
      </c>
      <c r="IW1522" s="2">
        <v>59.01</v>
      </c>
      <c r="IX1522" s="2">
        <v>59.32</v>
      </c>
      <c r="IY1522" s="2">
        <v>59.46</v>
      </c>
      <c r="IZ1522" s="2">
        <v>59.71</v>
      </c>
      <c r="JA1522" s="2">
        <v>61.05</v>
      </c>
      <c r="JB1522" s="2">
        <v>61.06</v>
      </c>
      <c r="JC1522" s="2">
        <v>60.91</v>
      </c>
      <c r="JD1522" s="2">
        <v>61.2</v>
      </c>
      <c r="JE1522" s="2">
        <v>62.9</v>
      </c>
      <c r="JF1522" s="2">
        <v>63.09</v>
      </c>
      <c r="JG1522" s="2">
        <v>63.34</v>
      </c>
      <c r="JH1522" s="2">
        <v>63.48</v>
      </c>
      <c r="JI1522" s="2">
        <v>65.84</v>
      </c>
      <c r="JJ1522" s="2">
        <v>66.06999999999999</v>
      </c>
      <c r="JK1522" s="2">
        <v>66.3</v>
      </c>
      <c r="JL1522" s="2">
        <v>66.5</v>
      </c>
      <c r="JM1522" s="2">
        <v>68.55</v>
      </c>
      <c r="JN1522" s="2">
        <v>68.78</v>
      </c>
      <c r="JO1522" s="2">
        <v>68.92</v>
      </c>
      <c r="JP1522" s="2">
        <v>69.14</v>
      </c>
      <c r="JQ1522" s="2">
        <v>70.95</v>
      </c>
      <c r="JR1522" s="2">
        <v>71.12</v>
      </c>
      <c r="JS1522" s="2">
        <v>71.37</v>
      </c>
      <c r="JT1522" s="2">
        <v>71.54000000000001</v>
      </c>
      <c r="JU1522" s="2">
        <v>72.94</v>
      </c>
      <c r="JV1522" s="2">
        <v>73.34</v>
      </c>
      <c r="KA1522" s="2">
        <v>73.42</v>
      </c>
      <c r="KB1522" s="2">
        <v>73.45999999999999</v>
      </c>
      <c r="KC1522" s="2">
        <v>74.54000000000001</v>
      </c>
      <c r="KD1522" s="2">
        <v>74.86</v>
      </c>
      <c r="KQ1522" s="2">
        <v>74.98999999999999</v>
      </c>
      <c r="KR1522" s="2">
        <v>75.19</v>
      </c>
      <c r="KS1522" s="2">
        <v>76.29000000000001</v>
      </c>
      <c r="KT1522" s="2">
        <v>76.56</v>
      </c>
      <c r="LG1522" s="2">
        <v>76.87</v>
      </c>
      <c r="LH1522" s="2">
        <v>77.25</v>
      </c>
      <c r="LI1522" s="2">
        <v>78.37</v>
      </c>
      <c r="LJ1522" s="2">
        <v>78.59999999999999</v>
      </c>
      <c r="LW1522" s="2">
        <v>78.77</v>
      </c>
      <c r="LX1522" s="2">
        <v>78.91</v>
      </c>
      <c r="LY1522" s="2">
        <v>79.48</v>
      </c>
      <c r="LZ1522" s="2">
        <v>79.81999999999999</v>
      </c>
      <c r="MM1522" s="2">
        <v>80.31999999999999</v>
      </c>
      <c r="MN1522" s="2">
        <v>80.69</v>
      </c>
      <c r="MO1522" s="2">
        <v>82.43000000000001</v>
      </c>
      <c r="MP1522" s="2">
        <v>83.58</v>
      </c>
      <c r="NC1522" s="2">
        <v>83.95999999999999</v>
      </c>
      <c r="ND1522" s="2">
        <v>84.59</v>
      </c>
      <c r="NE1522" s="2">
        <v>86.90000000000001</v>
      </c>
      <c r="NF1522" s="2">
        <v>87.72</v>
      </c>
      <c r="NS1522" s="2">
        <v>88.25</v>
      </c>
      <c r="NT1522" s="2">
        <v>88.68000000000001</v>
      </c>
      <c r="NU1522" s="2">
        <v>90.75</v>
      </c>
      <c r="NV1522" s="2">
        <v>91.36</v>
      </c>
      <c r="OI1522" s="2">
        <v>91.54000000000001</v>
      </c>
      <c r="OJ1522" s="2">
        <v>91.81</v>
      </c>
      <c r="OK1522" s="2">
        <v>94.3</v>
      </c>
      <c r="OL1522" s="2">
        <v>94.63</v>
      </c>
      <c r="OY1522" s="2">
        <v>94.92</v>
      </c>
      <c r="OZ1522" s="2">
        <v>95.23999999999999</v>
      </c>
      <c r="PA1522" s="2">
        <v>98.29000000000001</v>
      </c>
      <c r="PB1522" s="2">
        <v>100.51</v>
      </c>
      <c r="PJ1522" s="2">
        <v>100.76</v>
      </c>
      <c r="PK1522" s="2">
        <v>101.39</v>
      </c>
    </row>
    <row r="1523">
      <c r="A1523" t="inlineStr">
        <is>
          <t>A2328096J</t>
        </is>
      </c>
      <c r="B1523" t="inlineStr">
        <is>
          <t>Index Numbers ;  Maintenance and repair of the dwelling ;  Australia ;</t>
        </is>
      </c>
      <c r="C1523" t="inlineStr">
        <is>
          <t>Quarter</t>
        </is>
      </c>
      <c r="D1523" t="inlineStr">
        <is>
          <t>Index Numbers</t>
        </is>
      </c>
      <c r="E1523" t="inlineStr">
        <is>
          <t>Original</t>
        </is>
      </c>
      <c r="F1523" t="inlineStr">
        <is>
          <t>6401018.xlsx</t>
        </is>
      </c>
      <c r="G1523" t="inlineStr">
        <is>
          <t>1980Q3</t>
        </is>
      </c>
      <c r="H1523" t="inlineStr">
        <is>
          <t>2026Q2</t>
        </is>
      </c>
      <c r="EG1523" s="2">
        <v>18.82</v>
      </c>
      <c r="EH1523" s="2">
        <v>19.03</v>
      </c>
      <c r="EI1523" s="2">
        <v>19.54</v>
      </c>
      <c r="EJ1523" s="2">
        <v>19.82</v>
      </c>
      <c r="EK1523" s="2">
        <v>20.32</v>
      </c>
      <c r="EL1523" s="2">
        <v>20.61</v>
      </c>
      <c r="EM1523" s="2">
        <v>21.33</v>
      </c>
      <c r="EN1523" s="2">
        <v>22.22</v>
      </c>
      <c r="EO1523" s="2">
        <v>23.16</v>
      </c>
      <c r="EP1523" s="2">
        <v>23.48</v>
      </c>
      <c r="EQ1523" s="2">
        <v>24.09</v>
      </c>
      <c r="ER1523" s="2">
        <v>24.48</v>
      </c>
      <c r="ES1523" s="2">
        <v>24.7</v>
      </c>
      <c r="ET1523" s="2">
        <v>25.16</v>
      </c>
      <c r="EU1523" s="2">
        <v>25.84</v>
      </c>
      <c r="EV1523" s="2">
        <v>26.35</v>
      </c>
      <c r="EW1523" s="2">
        <v>26.63</v>
      </c>
      <c r="EX1523" s="2">
        <v>26.56</v>
      </c>
      <c r="EY1523" s="2">
        <v>26.7</v>
      </c>
      <c r="EZ1523" s="2">
        <v>27.17</v>
      </c>
      <c r="FA1523" s="2">
        <v>27.67</v>
      </c>
      <c r="FB1523" s="2">
        <v>28.57</v>
      </c>
      <c r="FC1523" s="2">
        <v>29.36</v>
      </c>
      <c r="FD1523" s="2">
        <v>29.29</v>
      </c>
      <c r="FE1523" s="2">
        <v>29.39</v>
      </c>
      <c r="FF1523" s="2">
        <v>29.75</v>
      </c>
      <c r="FG1523" s="2">
        <v>30.11</v>
      </c>
      <c r="FH1523" s="2">
        <v>30.5</v>
      </c>
      <c r="FI1523" s="2">
        <v>30.97</v>
      </c>
      <c r="FJ1523" s="2">
        <v>31.19</v>
      </c>
      <c r="FK1523" s="2">
        <v>31.65</v>
      </c>
      <c r="FL1523" s="2">
        <v>32.19</v>
      </c>
      <c r="FM1523" s="2">
        <v>33.01</v>
      </c>
      <c r="FN1523" s="2">
        <v>33.8</v>
      </c>
      <c r="FO1523" s="2">
        <v>33.69</v>
      </c>
      <c r="FP1523" s="2">
        <v>34.7</v>
      </c>
      <c r="FQ1523" s="2">
        <v>34.98</v>
      </c>
      <c r="FR1523" s="2">
        <v>35.59</v>
      </c>
      <c r="FS1523" s="2">
        <v>35.99</v>
      </c>
      <c r="FT1523" s="2">
        <v>36.81</v>
      </c>
      <c r="FU1523" s="2">
        <v>37.39</v>
      </c>
      <c r="FV1523" s="2">
        <v>37.53</v>
      </c>
      <c r="FW1523" s="2">
        <v>38.03</v>
      </c>
      <c r="FX1523" s="2">
        <v>38.46</v>
      </c>
      <c r="FY1523" s="2">
        <v>39.25</v>
      </c>
      <c r="FZ1523" s="2">
        <v>39.43</v>
      </c>
      <c r="GA1523" s="2">
        <v>39.29</v>
      </c>
      <c r="GB1523" s="2">
        <v>39.64</v>
      </c>
      <c r="GC1523" s="2">
        <v>39.86</v>
      </c>
      <c r="GD1523" s="2">
        <v>39.93</v>
      </c>
      <c r="GE1523" s="2">
        <v>39.75</v>
      </c>
      <c r="GF1523" s="2">
        <v>40.18</v>
      </c>
      <c r="GG1523" s="2">
        <v>40.61</v>
      </c>
      <c r="GH1523" s="2">
        <v>40.79</v>
      </c>
      <c r="GI1523" s="2">
        <v>40.61</v>
      </c>
      <c r="GJ1523" s="2">
        <v>41.19</v>
      </c>
      <c r="GK1523" s="2">
        <v>41.26</v>
      </c>
      <c r="GL1523" s="2">
        <v>41.22</v>
      </c>
      <c r="GM1523" s="2">
        <v>41.11</v>
      </c>
      <c r="GN1523" s="2">
        <v>41.19</v>
      </c>
      <c r="GO1523" s="2">
        <v>41.26</v>
      </c>
      <c r="GP1523" s="2">
        <v>41.83</v>
      </c>
      <c r="GQ1523" s="2">
        <v>41.62</v>
      </c>
      <c r="GR1523" s="2">
        <v>41.87</v>
      </c>
      <c r="GS1523" s="2">
        <v>42.4</v>
      </c>
      <c r="GT1523" s="2">
        <v>42.33</v>
      </c>
      <c r="GU1523" s="2">
        <v>42.4</v>
      </c>
      <c r="GV1523" s="2">
        <v>42.66</v>
      </c>
      <c r="GW1523" s="2">
        <v>42.94</v>
      </c>
      <c r="GX1523" s="2">
        <v>43.19</v>
      </c>
      <c r="GY1523" s="2">
        <v>43.09</v>
      </c>
      <c r="GZ1523" s="2">
        <v>43.48</v>
      </c>
      <c r="HA1523" s="2">
        <v>43.72</v>
      </c>
      <c r="HB1523" s="2">
        <v>43.86</v>
      </c>
      <c r="HC1523" s="2">
        <v>43.95</v>
      </c>
      <c r="HD1523" s="2">
        <v>43.87</v>
      </c>
      <c r="HE1523" s="2">
        <v>44.16</v>
      </c>
      <c r="HF1523" s="2">
        <v>44.31</v>
      </c>
      <c r="HG1523" s="2">
        <v>44.82</v>
      </c>
      <c r="HH1523" s="2">
        <v>44.92</v>
      </c>
      <c r="HI1523" s="2">
        <v>49.49</v>
      </c>
      <c r="HJ1523" s="2">
        <v>49.72</v>
      </c>
      <c r="HK1523" s="2">
        <v>50.25</v>
      </c>
      <c r="HL1523" s="2">
        <v>50.51</v>
      </c>
      <c r="HM1523" s="2">
        <v>51.19</v>
      </c>
      <c r="HN1523" s="2">
        <v>51.73</v>
      </c>
      <c r="HO1523" s="2">
        <v>51.58</v>
      </c>
      <c r="HP1523" s="2">
        <v>51.91</v>
      </c>
      <c r="HQ1523" s="2">
        <v>52.28</v>
      </c>
      <c r="HR1523" s="2">
        <v>52.71</v>
      </c>
      <c r="HS1523" s="2">
        <v>52.88</v>
      </c>
      <c r="HT1523" s="2">
        <v>53.53</v>
      </c>
      <c r="HU1523" s="2">
        <v>54.07</v>
      </c>
      <c r="HV1523" s="2">
        <v>54.26</v>
      </c>
      <c r="HW1523" s="2">
        <v>54.34</v>
      </c>
      <c r="HX1523" s="2">
        <v>54.77</v>
      </c>
      <c r="HY1523" s="2">
        <v>55.34</v>
      </c>
      <c r="HZ1523" s="2">
        <v>55.74</v>
      </c>
      <c r="IA1523" s="2">
        <v>55.92</v>
      </c>
      <c r="IB1523" s="2">
        <v>56.53</v>
      </c>
      <c r="IC1523" s="2">
        <v>56.98</v>
      </c>
      <c r="ID1523" s="2">
        <v>57.31</v>
      </c>
      <c r="IE1523" s="2">
        <v>57.55</v>
      </c>
      <c r="IF1523" s="2">
        <v>58.16</v>
      </c>
      <c r="IG1523" s="2">
        <v>58.46</v>
      </c>
      <c r="IH1523" s="2">
        <v>58.67</v>
      </c>
      <c r="II1523" s="2">
        <v>58.6</v>
      </c>
      <c r="IJ1523" s="2">
        <v>58.95</v>
      </c>
      <c r="IK1523" s="2">
        <v>59.35</v>
      </c>
      <c r="IL1523" s="2">
        <v>59.89</v>
      </c>
      <c r="IM1523" s="2">
        <v>60.35</v>
      </c>
      <c r="IN1523" s="2">
        <v>60.77</v>
      </c>
      <c r="IO1523" s="2">
        <v>61.36</v>
      </c>
      <c r="IP1523" s="2">
        <v>62.08</v>
      </c>
      <c r="IQ1523" s="2">
        <v>63.14</v>
      </c>
      <c r="IR1523" s="2">
        <v>63.9</v>
      </c>
      <c r="IS1523" s="2">
        <v>64.43000000000001</v>
      </c>
      <c r="IT1523" s="2">
        <v>64.62</v>
      </c>
      <c r="IU1523" s="2">
        <v>64.83</v>
      </c>
      <c r="IV1523" s="2">
        <v>65.12</v>
      </c>
      <c r="IW1523" s="2">
        <v>65.52</v>
      </c>
      <c r="IX1523" s="2">
        <v>66.04000000000001</v>
      </c>
      <c r="IY1523" s="2">
        <v>66.29000000000001</v>
      </c>
      <c r="IZ1523" s="2">
        <v>66.73999999999999</v>
      </c>
      <c r="JA1523" s="2">
        <v>67.01000000000001</v>
      </c>
      <c r="JB1523" s="2">
        <v>67.05</v>
      </c>
      <c r="JC1523" s="2">
        <v>66.77</v>
      </c>
      <c r="JD1523" s="2">
        <v>67.3</v>
      </c>
      <c r="JE1523" s="2">
        <v>67.84999999999999</v>
      </c>
      <c r="JF1523" s="2">
        <v>68.19</v>
      </c>
      <c r="JG1523" s="2">
        <v>68.65000000000001</v>
      </c>
      <c r="JH1523" s="2">
        <v>68.89</v>
      </c>
      <c r="JI1523" s="2">
        <v>69.52</v>
      </c>
      <c r="JJ1523" s="2">
        <v>69.94</v>
      </c>
      <c r="JK1523" s="2">
        <v>70.36</v>
      </c>
      <c r="JL1523" s="2">
        <v>70.72</v>
      </c>
      <c r="JM1523" s="2">
        <v>71.29000000000001</v>
      </c>
      <c r="JN1523" s="2">
        <v>71.70999999999999</v>
      </c>
      <c r="JO1523" s="2">
        <v>71.95</v>
      </c>
      <c r="JP1523" s="2">
        <v>72.34999999999999</v>
      </c>
      <c r="JQ1523" s="2">
        <v>73.23</v>
      </c>
      <c r="JR1523" s="2">
        <v>73.52</v>
      </c>
      <c r="JS1523" s="2">
        <v>73.98</v>
      </c>
      <c r="JT1523" s="2">
        <v>74.28</v>
      </c>
      <c r="JU1523" s="2">
        <v>74.61</v>
      </c>
      <c r="JV1523" s="2">
        <v>75.33</v>
      </c>
      <c r="KA1523" s="2">
        <v>75.47</v>
      </c>
      <c r="KB1523" s="2">
        <v>75.54000000000001</v>
      </c>
      <c r="KC1523" s="2">
        <v>76.02</v>
      </c>
      <c r="KD1523" s="2">
        <v>76.56999999999999</v>
      </c>
      <c r="KQ1523" s="2">
        <v>76.8</v>
      </c>
      <c r="KR1523" s="2">
        <v>77.15000000000001</v>
      </c>
      <c r="KS1523" s="2">
        <v>77.84999999999999</v>
      </c>
      <c r="KT1523" s="2">
        <v>78.33</v>
      </c>
      <c r="LG1523" s="2">
        <v>78.87</v>
      </c>
      <c r="LH1523" s="2">
        <v>79.56</v>
      </c>
      <c r="LI1523" s="2">
        <v>80.09999999999999</v>
      </c>
      <c r="LJ1523" s="2">
        <v>80.48999999999999</v>
      </c>
      <c r="LW1523" s="2">
        <v>80.81</v>
      </c>
      <c r="LX1523" s="2">
        <v>81.06</v>
      </c>
      <c r="LY1523" s="2">
        <v>81.3</v>
      </c>
      <c r="LZ1523" s="2">
        <v>81.89</v>
      </c>
      <c r="MM1523" s="2">
        <v>82.77</v>
      </c>
      <c r="MN1523" s="2">
        <v>83.40000000000001</v>
      </c>
      <c r="MO1523" s="2">
        <v>84.56999999999999</v>
      </c>
      <c r="MP1523" s="2">
        <v>86.58</v>
      </c>
      <c r="NC1523" s="2">
        <v>87.23999999999999</v>
      </c>
      <c r="ND1523" s="2">
        <v>88.34999999999999</v>
      </c>
      <c r="NE1523" s="2">
        <v>90.20999999999999</v>
      </c>
      <c r="NF1523" s="2">
        <v>91.66</v>
      </c>
      <c r="NS1523" s="2">
        <v>92.56999999999999</v>
      </c>
      <c r="NT1523" s="2">
        <v>93.34</v>
      </c>
      <c r="NU1523" s="2">
        <v>94.28</v>
      </c>
      <c r="NV1523" s="2">
        <v>95.34999999999999</v>
      </c>
      <c r="OI1523" s="2">
        <v>95.66</v>
      </c>
      <c r="OJ1523" s="2">
        <v>96.14</v>
      </c>
      <c r="OK1523" s="2">
        <v>97.23999999999999</v>
      </c>
      <c r="OL1523" s="2">
        <v>97.81999999999999</v>
      </c>
      <c r="OY1523" s="2">
        <v>98.34999999999999</v>
      </c>
      <c r="OZ1523" s="2">
        <v>98.91</v>
      </c>
      <c r="PA1523" s="2">
        <v>99.94</v>
      </c>
      <c r="PB1523" s="2">
        <v>100.89</v>
      </c>
      <c r="PJ1523" s="2">
        <v>101.33</v>
      </c>
      <c r="PK1523" s="2">
        <v>102.43</v>
      </c>
    </row>
    <row r="1524">
      <c r="A1524" t="inlineStr">
        <is>
          <t>A2329986C</t>
        </is>
      </c>
      <c r="B1524" t="inlineStr">
        <is>
          <t>Index Numbers ;  Property rates and charges ;  Australia ;</t>
        </is>
      </c>
      <c r="C1524" t="inlineStr">
        <is>
          <t>Quarter</t>
        </is>
      </c>
      <c r="D1524" t="inlineStr">
        <is>
          <t>Index Numbers</t>
        </is>
      </c>
      <c r="E1524" t="inlineStr">
        <is>
          <t>Original</t>
        </is>
      </c>
      <c r="F1524" t="inlineStr">
        <is>
          <t>6401018.xlsx</t>
        </is>
      </c>
      <c r="G1524" t="inlineStr">
        <is>
          <t>1998Q2</t>
        </is>
      </c>
      <c r="H1524" t="inlineStr">
        <is>
          <t>2026Q2</t>
        </is>
      </c>
      <c r="GZ1524" s="2">
        <v>26.21</v>
      </c>
      <c r="HA1524" s="2">
        <v>27.02</v>
      </c>
      <c r="HB1524" s="2">
        <v>27.11</v>
      </c>
      <c r="HC1524" s="2">
        <v>27.11</v>
      </c>
      <c r="HD1524" s="2">
        <v>27.11</v>
      </c>
      <c r="HE1524" s="2">
        <v>28.53</v>
      </c>
      <c r="HF1524" s="2">
        <v>28.53</v>
      </c>
      <c r="HG1524" s="2">
        <v>28.52</v>
      </c>
      <c r="HH1524" s="2">
        <v>28.52</v>
      </c>
      <c r="HI1524" s="2">
        <v>29.92</v>
      </c>
      <c r="HJ1524" s="2">
        <v>29.92</v>
      </c>
      <c r="HK1524" s="2">
        <v>29.75</v>
      </c>
      <c r="HL1524" s="2">
        <v>29.75</v>
      </c>
      <c r="HM1524" s="2">
        <v>31.2</v>
      </c>
      <c r="HN1524" s="2">
        <v>31.2</v>
      </c>
      <c r="HO1524" s="2">
        <v>31.19</v>
      </c>
      <c r="HP1524" s="2">
        <v>31.19</v>
      </c>
      <c r="HQ1524" s="2">
        <v>33.08</v>
      </c>
      <c r="HR1524" s="2">
        <v>33.08</v>
      </c>
      <c r="HS1524" s="2">
        <v>33.08</v>
      </c>
      <c r="HT1524" s="2">
        <v>33.08</v>
      </c>
      <c r="HU1524" s="2">
        <v>35.09</v>
      </c>
      <c r="HV1524" s="2">
        <v>35.09</v>
      </c>
      <c r="HW1524" s="2">
        <v>35.13</v>
      </c>
      <c r="HX1524" s="2">
        <v>35.13</v>
      </c>
      <c r="HY1524" s="2">
        <v>36.93</v>
      </c>
      <c r="HZ1524" s="2">
        <v>36.93</v>
      </c>
      <c r="IA1524" s="2">
        <v>36.93</v>
      </c>
      <c r="IB1524" s="2">
        <v>36.93</v>
      </c>
      <c r="IC1524" s="2">
        <v>38.75</v>
      </c>
      <c r="ID1524" s="2">
        <v>38.75</v>
      </c>
      <c r="IE1524" s="2">
        <v>38.75</v>
      </c>
      <c r="IF1524" s="2">
        <v>38.75</v>
      </c>
      <c r="IG1524" s="2">
        <v>40.93</v>
      </c>
      <c r="IH1524" s="2">
        <v>40.93</v>
      </c>
      <c r="II1524" s="2">
        <v>40.93</v>
      </c>
      <c r="IJ1524" s="2">
        <v>40.93</v>
      </c>
      <c r="IK1524" s="2">
        <v>42.79</v>
      </c>
      <c r="IL1524" s="2">
        <v>42.79</v>
      </c>
      <c r="IM1524" s="2">
        <v>42.79</v>
      </c>
      <c r="IN1524" s="2">
        <v>42.79</v>
      </c>
      <c r="IO1524" s="2">
        <v>45.39</v>
      </c>
      <c r="IP1524" s="2">
        <v>45.39</v>
      </c>
      <c r="IQ1524" s="2">
        <v>45.39</v>
      </c>
      <c r="IR1524" s="2">
        <v>45.39</v>
      </c>
      <c r="IS1524" s="2">
        <v>47.99</v>
      </c>
      <c r="IT1524" s="2">
        <v>47.99</v>
      </c>
      <c r="IU1524" s="2">
        <v>47.99</v>
      </c>
      <c r="IV1524" s="2">
        <v>47.99</v>
      </c>
      <c r="IW1524" s="2">
        <v>50.94</v>
      </c>
      <c r="IX1524" s="2">
        <v>50.94</v>
      </c>
      <c r="IY1524" s="2">
        <v>50.94</v>
      </c>
      <c r="IZ1524" s="2">
        <v>50.94</v>
      </c>
      <c r="JA1524" s="2">
        <v>53.62</v>
      </c>
      <c r="JB1524" s="2">
        <v>53.62</v>
      </c>
      <c r="JC1524" s="2">
        <v>53.62</v>
      </c>
      <c r="JD1524" s="2">
        <v>53.62</v>
      </c>
      <c r="JE1524" s="2">
        <v>56.74</v>
      </c>
      <c r="JF1524" s="2">
        <v>56.74</v>
      </c>
      <c r="JG1524" s="2">
        <v>56.74</v>
      </c>
      <c r="JH1524" s="2">
        <v>56.74</v>
      </c>
      <c r="JI1524" s="2">
        <v>61.24</v>
      </c>
      <c r="JJ1524" s="2">
        <v>61.24</v>
      </c>
      <c r="JK1524" s="2">
        <v>61.24</v>
      </c>
      <c r="JL1524" s="2">
        <v>61.24</v>
      </c>
      <c r="JM1524" s="2">
        <v>65.12</v>
      </c>
      <c r="JN1524" s="2">
        <v>65.12</v>
      </c>
      <c r="JO1524" s="2">
        <v>65.12</v>
      </c>
      <c r="JP1524" s="2">
        <v>65.12</v>
      </c>
      <c r="JQ1524" s="2">
        <v>68.09</v>
      </c>
      <c r="JR1524" s="2">
        <v>68.09</v>
      </c>
      <c r="JS1524" s="2">
        <v>68.09</v>
      </c>
      <c r="JT1524" s="2">
        <v>68.09</v>
      </c>
      <c r="JU1524" s="2">
        <v>70.84</v>
      </c>
      <c r="JV1524" s="2">
        <v>70.84</v>
      </c>
      <c r="KA1524" s="2">
        <v>70.84</v>
      </c>
      <c r="KB1524" s="2">
        <v>70.84</v>
      </c>
      <c r="KC1524" s="2">
        <v>72.65000000000001</v>
      </c>
      <c r="KD1524" s="2">
        <v>72.65000000000001</v>
      </c>
      <c r="KQ1524" s="2">
        <v>72.65000000000001</v>
      </c>
      <c r="KR1524" s="2">
        <v>72.65000000000001</v>
      </c>
      <c r="KS1524" s="2">
        <v>74.3</v>
      </c>
      <c r="KT1524" s="2">
        <v>74.3</v>
      </c>
      <c r="LG1524" s="2">
        <v>74.3</v>
      </c>
      <c r="LH1524" s="2">
        <v>74.3</v>
      </c>
      <c r="LI1524" s="2">
        <v>76.17</v>
      </c>
      <c r="LJ1524" s="2">
        <v>76.17</v>
      </c>
      <c r="LW1524" s="2">
        <v>76.17</v>
      </c>
      <c r="LX1524" s="2">
        <v>76.17</v>
      </c>
      <c r="LY1524" s="2">
        <v>77.15000000000001</v>
      </c>
      <c r="LZ1524" s="2">
        <v>77.15000000000001</v>
      </c>
      <c r="MM1524" s="2">
        <v>77.15000000000001</v>
      </c>
      <c r="MN1524" s="2">
        <v>77.15000000000001</v>
      </c>
      <c r="MO1524" s="2">
        <v>79.68000000000001</v>
      </c>
      <c r="MP1524" s="2">
        <v>79.68000000000001</v>
      </c>
      <c r="NC1524" s="2">
        <v>79.68000000000001</v>
      </c>
      <c r="ND1524" s="2">
        <v>79.68000000000001</v>
      </c>
      <c r="NE1524" s="2">
        <v>82.59</v>
      </c>
      <c r="NF1524" s="2">
        <v>82.59</v>
      </c>
      <c r="NS1524" s="2">
        <v>82.59</v>
      </c>
      <c r="NT1524" s="2">
        <v>82.59</v>
      </c>
      <c r="NU1524" s="2">
        <v>86.16</v>
      </c>
      <c r="NV1524" s="2">
        <v>86.16</v>
      </c>
      <c r="OI1524" s="2">
        <v>86.16</v>
      </c>
      <c r="OJ1524" s="2">
        <v>86.16</v>
      </c>
      <c r="OK1524" s="2">
        <v>90.43000000000001</v>
      </c>
      <c r="OL1524" s="2">
        <v>90.43000000000001</v>
      </c>
      <c r="OY1524" s="2">
        <v>90.43000000000001</v>
      </c>
      <c r="OZ1524" s="2">
        <v>90.43000000000001</v>
      </c>
      <c r="PA1524" s="2">
        <v>96.08</v>
      </c>
      <c r="PB1524" s="2">
        <v>100</v>
      </c>
      <c r="PJ1524" s="2">
        <v>100</v>
      </c>
      <c r="PK1524" s="2">
        <v>100</v>
      </c>
    </row>
    <row r="1525">
      <c r="A1525" t="inlineStr">
        <is>
          <t>A2326521X</t>
        </is>
      </c>
      <c r="B1525" t="inlineStr">
        <is>
          <t>Index Numbers ;  Utilities ;  Australia ;</t>
        </is>
      </c>
      <c r="C1525" t="inlineStr">
        <is>
          <t>Quarter</t>
        </is>
      </c>
      <c r="D1525" t="inlineStr">
        <is>
          <t>Index Numbers</t>
        </is>
      </c>
      <c r="E1525" t="inlineStr">
        <is>
          <t>Original</t>
        </is>
      </c>
      <c r="F1525" t="inlineStr">
        <is>
          <t>6401018.xlsx</t>
        </is>
      </c>
      <c r="G1525" t="inlineStr">
        <is>
          <t>1972Q3</t>
        </is>
      </c>
      <c r="H1525" t="inlineStr">
        <is>
          <t>2026Q2</t>
        </is>
      </c>
      <c r="DA1525" s="2">
        <v>4.33</v>
      </c>
      <c r="DB1525" s="2">
        <v>4.33</v>
      </c>
      <c r="DC1525" s="2">
        <v>4.35</v>
      </c>
      <c r="DD1525" s="2">
        <v>4.35</v>
      </c>
      <c r="DE1525" s="2">
        <v>4.56</v>
      </c>
      <c r="DF1525" s="2">
        <v>4.56</v>
      </c>
      <c r="DG1525" s="2">
        <v>4.72</v>
      </c>
      <c r="DH1525" s="2">
        <v>4.9</v>
      </c>
      <c r="DI1525" s="2">
        <v>5.08</v>
      </c>
      <c r="DJ1525" s="2">
        <v>5.19</v>
      </c>
      <c r="DK1525" s="2">
        <v>5.66</v>
      </c>
      <c r="DL1525" s="2">
        <v>5.98</v>
      </c>
      <c r="DM1525" s="2">
        <v>6.11</v>
      </c>
      <c r="DN1525" s="2">
        <v>6.27</v>
      </c>
      <c r="DO1525" s="2">
        <v>6.43</v>
      </c>
      <c r="DP1525" s="2">
        <v>6.57</v>
      </c>
      <c r="DQ1525" s="2">
        <v>6.59</v>
      </c>
      <c r="DR1525" s="2">
        <v>6.66</v>
      </c>
      <c r="DS1525" s="2">
        <v>7.04</v>
      </c>
      <c r="DT1525" s="2">
        <v>7.06</v>
      </c>
      <c r="DU1525" s="2">
        <v>7.13</v>
      </c>
      <c r="DV1525" s="2">
        <v>7.45</v>
      </c>
      <c r="DW1525" s="2">
        <v>7.49</v>
      </c>
      <c r="DX1525" s="2">
        <v>7.81</v>
      </c>
      <c r="DY1525" s="2">
        <v>7.85</v>
      </c>
      <c r="DZ1525" s="2">
        <v>8.08</v>
      </c>
      <c r="EA1525" s="2">
        <v>8.460000000000001</v>
      </c>
      <c r="EB1525" s="2">
        <v>8.619999999999999</v>
      </c>
      <c r="EC1525" s="2">
        <v>8.93</v>
      </c>
      <c r="ED1525" s="2">
        <v>9.23</v>
      </c>
      <c r="EE1525" s="2">
        <v>9.75</v>
      </c>
      <c r="EF1525" s="2">
        <v>9.949999999999999</v>
      </c>
      <c r="EG1525" s="2">
        <v>10.33</v>
      </c>
      <c r="EH1525" s="2">
        <v>10.42</v>
      </c>
      <c r="EI1525" s="2">
        <v>11.14</v>
      </c>
      <c r="EJ1525" s="2">
        <v>11.24</v>
      </c>
      <c r="EK1525" s="2">
        <v>11.69</v>
      </c>
      <c r="EL1525" s="2">
        <v>12.05</v>
      </c>
      <c r="EM1525" s="2">
        <v>12.86</v>
      </c>
      <c r="EN1525" s="2">
        <v>13.36</v>
      </c>
      <c r="EO1525" s="2">
        <v>14.42</v>
      </c>
      <c r="EP1525" s="2">
        <v>15.43</v>
      </c>
      <c r="EQ1525" s="2">
        <v>15.57</v>
      </c>
      <c r="ER1525" s="2">
        <v>15.57</v>
      </c>
      <c r="ES1525" s="2">
        <v>16.02</v>
      </c>
      <c r="ET1525" s="2">
        <v>16.74</v>
      </c>
      <c r="EU1525" s="2">
        <v>16.67</v>
      </c>
      <c r="EV1525" s="2">
        <v>16.45</v>
      </c>
      <c r="EW1525" s="2">
        <v>16.9</v>
      </c>
      <c r="EX1525" s="2">
        <v>17.33</v>
      </c>
      <c r="EY1525" s="2">
        <v>17.76</v>
      </c>
      <c r="EZ1525" s="2">
        <v>17.94</v>
      </c>
      <c r="FA1525" s="2">
        <v>18.21</v>
      </c>
      <c r="FB1525" s="2">
        <v>18.43</v>
      </c>
      <c r="FC1525" s="2">
        <v>18.79</v>
      </c>
      <c r="FD1525" s="2">
        <v>18.75</v>
      </c>
      <c r="FE1525" s="2">
        <v>19.13</v>
      </c>
      <c r="FF1525" s="2">
        <v>19.49</v>
      </c>
      <c r="FG1525" s="2">
        <v>19.63</v>
      </c>
      <c r="FH1525" s="2">
        <v>19.67</v>
      </c>
      <c r="FI1525" s="2">
        <v>20.49</v>
      </c>
      <c r="FJ1525" s="2">
        <v>20.71</v>
      </c>
      <c r="FK1525" s="2">
        <v>20.78</v>
      </c>
      <c r="FL1525" s="2">
        <v>20.8</v>
      </c>
      <c r="FM1525" s="2">
        <v>21.59</v>
      </c>
      <c r="FN1525" s="2">
        <v>21.68</v>
      </c>
      <c r="FO1525" s="2">
        <v>21.7</v>
      </c>
      <c r="FP1525" s="2">
        <v>21.73</v>
      </c>
      <c r="FQ1525" s="2">
        <v>22.36</v>
      </c>
      <c r="FR1525" s="2">
        <v>22.58</v>
      </c>
      <c r="FS1525" s="2">
        <v>22.65</v>
      </c>
      <c r="FT1525" s="2">
        <v>22.67</v>
      </c>
      <c r="FU1525" s="2">
        <v>22.29</v>
      </c>
      <c r="FV1525" s="2">
        <v>23.8</v>
      </c>
      <c r="FW1525" s="2">
        <v>23.91</v>
      </c>
      <c r="FX1525" s="2">
        <v>23.89</v>
      </c>
      <c r="FY1525" s="2">
        <v>24.82</v>
      </c>
      <c r="FZ1525" s="2">
        <v>24.91</v>
      </c>
      <c r="GA1525" s="2">
        <v>24.95</v>
      </c>
      <c r="GB1525" s="2">
        <v>24.95</v>
      </c>
      <c r="GC1525" s="2">
        <v>25.36</v>
      </c>
      <c r="GD1525" s="2">
        <v>25.9</v>
      </c>
      <c r="GE1525" s="2">
        <v>26.31</v>
      </c>
      <c r="GF1525" s="2">
        <v>26.33</v>
      </c>
      <c r="GG1525" s="2">
        <v>26.55</v>
      </c>
      <c r="GH1525" s="2">
        <v>26.58</v>
      </c>
      <c r="GI1525" s="2">
        <v>26.6</v>
      </c>
      <c r="GJ1525" s="2">
        <v>26.6</v>
      </c>
      <c r="GK1525" s="2">
        <v>26.73</v>
      </c>
      <c r="GL1525" s="2">
        <v>26.76</v>
      </c>
      <c r="GM1525" s="2">
        <v>26.8</v>
      </c>
      <c r="GN1525" s="2">
        <v>26.82</v>
      </c>
      <c r="GO1525" s="2">
        <v>26.94</v>
      </c>
      <c r="GP1525" s="2">
        <v>26.94</v>
      </c>
      <c r="GQ1525" s="2">
        <v>26.96</v>
      </c>
      <c r="GR1525" s="2">
        <v>26.96</v>
      </c>
      <c r="GS1525" s="2">
        <v>27.3</v>
      </c>
      <c r="GT1525" s="2">
        <v>27.34</v>
      </c>
      <c r="GU1525" s="2">
        <v>27.41</v>
      </c>
      <c r="GV1525" s="2">
        <v>27.39</v>
      </c>
      <c r="GW1525" s="2">
        <v>27.66</v>
      </c>
      <c r="GX1525" s="2">
        <v>27.66</v>
      </c>
      <c r="GY1525" s="2">
        <v>27.64</v>
      </c>
      <c r="GZ1525" s="2">
        <v>27.66</v>
      </c>
      <c r="HA1525" s="2">
        <v>27.13</v>
      </c>
      <c r="HB1525" s="2">
        <v>27.36</v>
      </c>
      <c r="HC1525" s="2">
        <v>27.42</v>
      </c>
      <c r="HD1525" s="2">
        <v>27.25</v>
      </c>
      <c r="HE1525" s="2">
        <v>27.47</v>
      </c>
      <c r="HF1525" s="2">
        <v>27.65</v>
      </c>
      <c r="HG1525" s="2">
        <v>27.71</v>
      </c>
      <c r="HH1525" s="2">
        <v>27.6</v>
      </c>
      <c r="HI1525" s="2">
        <v>30.02</v>
      </c>
      <c r="HJ1525" s="2">
        <v>29.98</v>
      </c>
      <c r="HK1525" s="2">
        <v>30.04</v>
      </c>
      <c r="HL1525" s="2">
        <v>29.99</v>
      </c>
      <c r="HM1525" s="2">
        <v>30.96</v>
      </c>
      <c r="HN1525" s="2">
        <v>30.87</v>
      </c>
      <c r="HO1525" s="2">
        <v>31.43</v>
      </c>
      <c r="HP1525" s="2">
        <v>31.34</v>
      </c>
      <c r="HQ1525" s="2">
        <v>32.08</v>
      </c>
      <c r="HR1525" s="2">
        <v>31.98</v>
      </c>
      <c r="HS1525" s="2">
        <v>33.21</v>
      </c>
      <c r="HT1525" s="2">
        <v>33.01</v>
      </c>
      <c r="HU1525" s="2">
        <v>33.81</v>
      </c>
      <c r="HV1525" s="2">
        <v>33.71</v>
      </c>
      <c r="HW1525" s="2">
        <v>34.32</v>
      </c>
      <c r="HX1525" s="2">
        <v>34.02</v>
      </c>
      <c r="HY1525" s="2">
        <v>34.76</v>
      </c>
      <c r="HZ1525" s="2">
        <v>34.94</v>
      </c>
      <c r="IA1525" s="2">
        <v>35.51</v>
      </c>
      <c r="IB1525" s="2">
        <v>35.3</v>
      </c>
      <c r="IC1525" s="2">
        <v>36.05</v>
      </c>
      <c r="ID1525" s="2">
        <v>36.33</v>
      </c>
      <c r="IE1525" s="2">
        <v>36.9</v>
      </c>
      <c r="IF1525" s="2">
        <v>36.7</v>
      </c>
      <c r="IG1525" s="2">
        <v>37.77</v>
      </c>
      <c r="IH1525" s="2">
        <v>37.85</v>
      </c>
      <c r="II1525" s="2">
        <v>38.35</v>
      </c>
      <c r="IJ1525" s="2">
        <v>38.15</v>
      </c>
      <c r="IK1525" s="2">
        <v>39.74</v>
      </c>
      <c r="IL1525" s="2">
        <v>39.9</v>
      </c>
      <c r="IM1525" s="2">
        <v>41.39</v>
      </c>
      <c r="IN1525" s="2">
        <v>41.32</v>
      </c>
      <c r="IO1525" s="2">
        <v>44.02</v>
      </c>
      <c r="IP1525" s="2">
        <v>44.21</v>
      </c>
      <c r="IQ1525" s="2">
        <v>45.42</v>
      </c>
      <c r="IR1525" s="2">
        <v>45.3</v>
      </c>
      <c r="IS1525" s="2">
        <v>49.91</v>
      </c>
      <c r="IT1525" s="2">
        <v>50.32</v>
      </c>
      <c r="IU1525" s="2">
        <v>52.24</v>
      </c>
      <c r="IV1525" s="2">
        <v>52.24</v>
      </c>
      <c r="IW1525" s="2">
        <v>55.88</v>
      </c>
      <c r="IX1525" s="2">
        <v>56.09</v>
      </c>
      <c r="IY1525" s="2">
        <v>57.78</v>
      </c>
      <c r="IZ1525" s="2">
        <v>57.42</v>
      </c>
      <c r="JA1525" s="2">
        <v>61.54</v>
      </c>
      <c r="JB1525" s="2">
        <v>61.76</v>
      </c>
      <c r="JC1525" s="2">
        <v>63.06</v>
      </c>
      <c r="JD1525" s="2">
        <v>63.03</v>
      </c>
      <c r="JE1525" s="2">
        <v>70.7</v>
      </c>
      <c r="JF1525" s="2">
        <v>70.5</v>
      </c>
      <c r="JG1525" s="2">
        <v>71.52</v>
      </c>
      <c r="JH1525" s="2">
        <v>71.38</v>
      </c>
      <c r="JI1525" s="2">
        <v>75.45999999999999</v>
      </c>
      <c r="JJ1525" s="2">
        <v>75.31</v>
      </c>
      <c r="JK1525" s="2">
        <v>76.39</v>
      </c>
      <c r="JL1525" s="2">
        <v>76.13</v>
      </c>
      <c r="JM1525" s="2">
        <v>74.02</v>
      </c>
      <c r="JN1525" s="2">
        <v>73.81</v>
      </c>
      <c r="JO1525" s="2">
        <v>74.98</v>
      </c>
      <c r="JP1525" s="2">
        <v>74.87</v>
      </c>
      <c r="JQ1525" s="2">
        <v>74.51000000000001</v>
      </c>
      <c r="JR1525" s="2">
        <v>74.31999999999999</v>
      </c>
      <c r="JS1525" s="2">
        <v>74.70999999999999</v>
      </c>
      <c r="JT1525" s="2">
        <v>74.59</v>
      </c>
      <c r="JU1525" s="2">
        <v>76.45999999999999</v>
      </c>
      <c r="JV1525" s="2">
        <v>76.25</v>
      </c>
      <c r="KA1525" s="2">
        <v>77.92</v>
      </c>
      <c r="KB1525" s="2">
        <v>77.91</v>
      </c>
      <c r="KC1525" s="2">
        <v>83.22</v>
      </c>
      <c r="KD1525" s="2">
        <v>83.31999999999999</v>
      </c>
      <c r="KQ1525" s="2">
        <v>85.17</v>
      </c>
      <c r="KR1525" s="2">
        <v>84.17</v>
      </c>
      <c r="KS1525" s="2">
        <v>84.86</v>
      </c>
      <c r="KT1525" s="2">
        <v>84.98</v>
      </c>
      <c r="LG1525" s="2">
        <v>84.88</v>
      </c>
      <c r="LH1525" s="2">
        <v>83.98</v>
      </c>
      <c r="LI1525" s="2">
        <v>84.59</v>
      </c>
      <c r="LJ1525" s="2">
        <v>84.08</v>
      </c>
      <c r="LW1525" s="2">
        <v>84.76000000000001</v>
      </c>
      <c r="LX1525" s="2">
        <v>83.31</v>
      </c>
      <c r="LY1525" s="2">
        <v>82.37</v>
      </c>
      <c r="LZ1525" s="2">
        <v>78.53</v>
      </c>
      <c r="MM1525" s="2">
        <v>78.43000000000001</v>
      </c>
      <c r="MN1525" s="2">
        <v>79.83</v>
      </c>
      <c r="MO1525" s="2">
        <v>80.13</v>
      </c>
      <c r="MP1525" s="2">
        <v>80.34</v>
      </c>
      <c r="NC1525" s="2">
        <v>81.27</v>
      </c>
      <c r="ND1525" s="2">
        <v>81.05</v>
      </c>
      <c r="NE1525" s="2">
        <v>84.92</v>
      </c>
      <c r="NF1525" s="2">
        <v>88.70999999999999</v>
      </c>
      <c r="NS1525" s="2">
        <v>93.34999999999999</v>
      </c>
      <c r="NT1525" s="2">
        <v>92.28</v>
      </c>
      <c r="NU1525" s="2">
        <v>95.59</v>
      </c>
      <c r="NV1525" s="2">
        <v>96.12</v>
      </c>
      <c r="OI1525" s="2">
        <v>94.84999999999999</v>
      </c>
      <c r="OJ1525" s="2">
        <v>95.61</v>
      </c>
      <c r="OK1525" s="2">
        <v>88.28</v>
      </c>
      <c r="OL1525" s="2">
        <v>83.92</v>
      </c>
      <c r="OY1525" s="2">
        <v>90.81</v>
      </c>
      <c r="OZ1525" s="2">
        <v>94.31</v>
      </c>
      <c r="PA1525" s="2">
        <v>101.05</v>
      </c>
      <c r="PB1525" s="2">
        <v>97.09</v>
      </c>
      <c r="PJ1525" s="2">
        <v>108.86</v>
      </c>
      <c r="PK1525" s="2">
        <v>108.58</v>
      </c>
    </row>
    <row r="1526">
      <c r="A1526" t="inlineStr">
        <is>
          <t>A2329896X</t>
        </is>
      </c>
      <c r="B1526" t="inlineStr">
        <is>
          <t>Index Numbers ;  Water and sewerage ;  Australia ;</t>
        </is>
      </c>
      <c r="C1526" t="inlineStr">
        <is>
          <t>Quarter</t>
        </is>
      </c>
      <c r="D1526" t="inlineStr">
        <is>
          <t>Index Numbers</t>
        </is>
      </c>
      <c r="E1526" t="inlineStr">
        <is>
          <t>Original</t>
        </is>
      </c>
      <c r="F1526" t="inlineStr">
        <is>
          <t>6401018.xlsx</t>
        </is>
      </c>
      <c r="G1526" t="inlineStr">
        <is>
          <t>1998Q2</t>
        </is>
      </c>
      <c r="H1526" t="inlineStr">
        <is>
          <t>2026Q2</t>
        </is>
      </c>
      <c r="GZ1526" s="2">
        <v>31.54</v>
      </c>
      <c r="HA1526" s="2">
        <v>32.14</v>
      </c>
      <c r="HB1526" s="2">
        <v>32.35</v>
      </c>
      <c r="HC1526" s="2">
        <v>32.35</v>
      </c>
      <c r="HD1526" s="2">
        <v>32.35</v>
      </c>
      <c r="HE1526" s="2">
        <v>33.36</v>
      </c>
      <c r="HF1526" s="2">
        <v>33.51</v>
      </c>
      <c r="HG1526" s="2">
        <v>33.55</v>
      </c>
      <c r="HH1526" s="2">
        <v>33.55</v>
      </c>
      <c r="HI1526" s="2">
        <v>34.06</v>
      </c>
      <c r="HJ1526" s="2">
        <v>34.13</v>
      </c>
      <c r="HK1526" s="2">
        <v>34.01</v>
      </c>
      <c r="HL1526" s="2">
        <v>34.01</v>
      </c>
      <c r="HM1526" s="2">
        <v>34.98</v>
      </c>
      <c r="HN1526" s="2">
        <v>35.3</v>
      </c>
      <c r="HO1526" s="2">
        <v>35.35</v>
      </c>
      <c r="HP1526" s="2">
        <v>35.35</v>
      </c>
      <c r="HQ1526" s="2">
        <v>36.4</v>
      </c>
      <c r="HR1526" s="2">
        <v>36.6</v>
      </c>
      <c r="HS1526" s="2">
        <v>36.62</v>
      </c>
      <c r="HT1526" s="2">
        <v>36.62</v>
      </c>
      <c r="HU1526" s="2">
        <v>38.1</v>
      </c>
      <c r="HV1526" s="2">
        <v>38.24</v>
      </c>
      <c r="HW1526" s="2">
        <v>38.31</v>
      </c>
      <c r="HX1526" s="2">
        <v>38.31</v>
      </c>
      <c r="HY1526" s="2">
        <v>39.19</v>
      </c>
      <c r="HZ1526" s="2">
        <v>39.42</v>
      </c>
      <c r="IA1526" s="2">
        <v>39.64</v>
      </c>
      <c r="IB1526" s="2">
        <v>39.64</v>
      </c>
      <c r="IC1526" s="2">
        <v>40.83</v>
      </c>
      <c r="ID1526" s="2">
        <v>41.66</v>
      </c>
      <c r="IE1526" s="2">
        <v>42.08</v>
      </c>
      <c r="IF1526" s="2">
        <v>42.08</v>
      </c>
      <c r="IG1526" s="2">
        <v>44.05</v>
      </c>
      <c r="IH1526" s="2">
        <v>44.21</v>
      </c>
      <c r="II1526" s="2">
        <v>44.21</v>
      </c>
      <c r="IJ1526" s="2">
        <v>44.21</v>
      </c>
      <c r="IK1526" s="2">
        <v>46.65</v>
      </c>
      <c r="IL1526" s="2">
        <v>46.85</v>
      </c>
      <c r="IM1526" s="2">
        <v>46.85</v>
      </c>
      <c r="IN1526" s="2">
        <v>46.85</v>
      </c>
      <c r="IO1526" s="2">
        <v>52.61</v>
      </c>
      <c r="IP1526" s="2">
        <v>53</v>
      </c>
      <c r="IQ1526" s="2">
        <v>53</v>
      </c>
      <c r="IR1526" s="2">
        <v>53</v>
      </c>
      <c r="IS1526" s="2">
        <v>60.46</v>
      </c>
      <c r="IT1526" s="2">
        <v>60.46</v>
      </c>
      <c r="IU1526" s="2">
        <v>60.44</v>
      </c>
      <c r="IV1526" s="2">
        <v>60.44</v>
      </c>
      <c r="IW1526" s="2">
        <v>68.19</v>
      </c>
      <c r="IX1526" s="2">
        <v>68.19</v>
      </c>
      <c r="IY1526" s="2">
        <v>68.19</v>
      </c>
      <c r="IZ1526" s="2">
        <v>68.19</v>
      </c>
      <c r="JA1526" s="2">
        <v>74.03</v>
      </c>
      <c r="JB1526" s="2">
        <v>74.03</v>
      </c>
      <c r="JC1526" s="2">
        <v>74.52</v>
      </c>
      <c r="JD1526" s="2">
        <v>74.52</v>
      </c>
      <c r="JE1526" s="2">
        <v>76.91</v>
      </c>
      <c r="JF1526" s="2">
        <v>76.91</v>
      </c>
      <c r="JG1526" s="2">
        <v>76.40000000000001</v>
      </c>
      <c r="JH1526" s="2">
        <v>76.41</v>
      </c>
      <c r="JI1526" s="2">
        <v>83.98</v>
      </c>
      <c r="JJ1526" s="2">
        <v>83.98</v>
      </c>
      <c r="JK1526" s="2">
        <v>84.69</v>
      </c>
      <c r="JL1526" s="2">
        <v>84.89</v>
      </c>
      <c r="JM1526" s="2">
        <v>84.38</v>
      </c>
      <c r="JN1526" s="2">
        <v>84.3</v>
      </c>
      <c r="JO1526" s="2">
        <v>84.08</v>
      </c>
      <c r="JP1526" s="2">
        <v>84.08</v>
      </c>
      <c r="JQ1526" s="2">
        <v>86.23</v>
      </c>
      <c r="JR1526" s="2">
        <v>86.23</v>
      </c>
      <c r="JS1526" s="2">
        <v>86.23</v>
      </c>
      <c r="JT1526" s="2">
        <v>86.23</v>
      </c>
      <c r="JU1526" s="2">
        <v>84.64</v>
      </c>
      <c r="JV1526" s="2">
        <v>84.64</v>
      </c>
      <c r="KA1526" s="2">
        <v>84.64</v>
      </c>
      <c r="KB1526" s="2">
        <v>84.64</v>
      </c>
      <c r="KC1526" s="2">
        <v>87.33</v>
      </c>
      <c r="KD1526" s="2">
        <v>87.33</v>
      </c>
      <c r="KQ1526" s="2">
        <v>87.33</v>
      </c>
      <c r="KR1526" s="2">
        <v>87.33</v>
      </c>
      <c r="KS1526" s="2">
        <v>88.48999999999999</v>
      </c>
      <c r="KT1526" s="2">
        <v>88.48999999999999</v>
      </c>
      <c r="LG1526" s="2">
        <v>88.48999999999999</v>
      </c>
      <c r="LH1526" s="2">
        <v>88.48999999999999</v>
      </c>
      <c r="LI1526" s="2">
        <v>90.47</v>
      </c>
      <c r="LJ1526" s="2">
        <v>91</v>
      </c>
      <c r="LW1526" s="2">
        <v>91</v>
      </c>
      <c r="LX1526" s="2">
        <v>90.47</v>
      </c>
      <c r="LY1526" s="2">
        <v>88.05</v>
      </c>
      <c r="LZ1526" s="2">
        <v>88.05</v>
      </c>
      <c r="MM1526" s="2">
        <v>88.22</v>
      </c>
      <c r="MN1526" s="2">
        <v>88.22</v>
      </c>
      <c r="MO1526" s="2">
        <v>88.33</v>
      </c>
      <c r="MP1526" s="2">
        <v>88.34</v>
      </c>
      <c r="NC1526" s="2">
        <v>88.34</v>
      </c>
      <c r="ND1526" s="2">
        <v>88.34</v>
      </c>
      <c r="NE1526" s="2">
        <v>90.59999999999999</v>
      </c>
      <c r="NF1526" s="2">
        <v>88.73</v>
      </c>
      <c r="NS1526" s="2">
        <v>89.58</v>
      </c>
      <c r="NT1526" s="2">
        <v>90.43000000000001</v>
      </c>
      <c r="NU1526" s="2">
        <v>94.73999999999999</v>
      </c>
      <c r="NV1526" s="2">
        <v>94.73999999999999</v>
      </c>
      <c r="OI1526" s="2">
        <v>94.73999999999999</v>
      </c>
      <c r="OJ1526" s="2">
        <v>94.73999999999999</v>
      </c>
      <c r="OK1526" s="2">
        <v>97.33</v>
      </c>
      <c r="OL1526" s="2">
        <v>97.33</v>
      </c>
      <c r="OY1526" s="2">
        <v>97.33</v>
      </c>
      <c r="OZ1526" s="2">
        <v>97.33</v>
      </c>
      <c r="PA1526" s="2">
        <v>100</v>
      </c>
      <c r="PB1526" s="2">
        <v>104.21</v>
      </c>
      <c r="PJ1526" s="2">
        <v>104.21</v>
      </c>
      <c r="PK1526" s="2">
        <v>104.21</v>
      </c>
    </row>
    <row r="1527">
      <c r="A1527" t="inlineStr">
        <is>
          <t>A2328141J</t>
        </is>
      </c>
      <c r="B1527" t="inlineStr">
        <is>
          <t>Index Numbers ;  Electricity ;  Australia ;</t>
        </is>
      </c>
      <c r="C1527" t="inlineStr">
        <is>
          <t>Quarter</t>
        </is>
      </c>
      <c r="D1527" t="inlineStr">
        <is>
          <t>Index Numbers</t>
        </is>
      </c>
      <c r="E1527" t="inlineStr">
        <is>
          <t>Original</t>
        </is>
      </c>
      <c r="F1527" t="inlineStr">
        <is>
          <t>6401018.xlsx</t>
        </is>
      </c>
      <c r="G1527" t="inlineStr">
        <is>
          <t>1980Q3</t>
        </is>
      </c>
      <c r="H1527" t="inlineStr">
        <is>
          <t>2026Q2</t>
        </is>
      </c>
      <c r="EG1527" s="2">
        <v>10.46</v>
      </c>
      <c r="EH1527" s="2">
        <v>10.53</v>
      </c>
      <c r="EI1527" s="2">
        <v>11.47</v>
      </c>
      <c r="EJ1527" s="2">
        <v>11.57</v>
      </c>
      <c r="EK1527" s="2">
        <v>12.05</v>
      </c>
      <c r="EL1527" s="2">
        <v>12.31</v>
      </c>
      <c r="EM1527" s="2">
        <v>13.42</v>
      </c>
      <c r="EN1527" s="2">
        <v>14.07</v>
      </c>
      <c r="EO1527" s="2">
        <v>15.45</v>
      </c>
      <c r="EP1527" s="2">
        <v>16.53</v>
      </c>
      <c r="EQ1527" s="2">
        <v>16.63</v>
      </c>
      <c r="ER1527" s="2">
        <v>16.6</v>
      </c>
      <c r="ES1527" s="2">
        <v>17.11</v>
      </c>
      <c r="ET1527" s="2">
        <v>17.88</v>
      </c>
      <c r="EU1527" s="2">
        <v>17.66</v>
      </c>
      <c r="EV1527" s="2">
        <v>17.33</v>
      </c>
      <c r="EW1527" s="2">
        <v>17.9</v>
      </c>
      <c r="EX1527" s="2">
        <v>18.39</v>
      </c>
      <c r="EY1527" s="2">
        <v>18.96</v>
      </c>
      <c r="EZ1527" s="2">
        <v>19.04</v>
      </c>
      <c r="FA1527" s="2">
        <v>19.37</v>
      </c>
      <c r="FB1527" s="2">
        <v>19.54</v>
      </c>
      <c r="FC1527" s="2">
        <v>20</v>
      </c>
      <c r="FD1527" s="2">
        <v>20.12</v>
      </c>
      <c r="FE1527" s="2">
        <v>20.46</v>
      </c>
      <c r="FF1527" s="2">
        <v>20.75</v>
      </c>
      <c r="FG1527" s="2">
        <v>20.87</v>
      </c>
      <c r="FH1527" s="2">
        <v>20.92</v>
      </c>
      <c r="FI1527" s="2">
        <v>21.9</v>
      </c>
      <c r="FJ1527" s="2">
        <v>22.07</v>
      </c>
      <c r="FK1527" s="2">
        <v>22.14</v>
      </c>
      <c r="FL1527" s="2">
        <v>22.17</v>
      </c>
      <c r="FM1527" s="2">
        <v>23.16</v>
      </c>
      <c r="FN1527" s="2">
        <v>23.23</v>
      </c>
      <c r="FO1527" s="2">
        <v>23.28</v>
      </c>
      <c r="FP1527" s="2">
        <v>23.28</v>
      </c>
      <c r="FQ1527" s="2">
        <v>23.98</v>
      </c>
      <c r="FR1527" s="2">
        <v>24.12</v>
      </c>
      <c r="FS1527" s="2">
        <v>24.14</v>
      </c>
      <c r="FT1527" s="2">
        <v>24.14</v>
      </c>
      <c r="FU1527" s="2">
        <v>23.28</v>
      </c>
      <c r="FV1527" s="2">
        <v>25.3</v>
      </c>
      <c r="FW1527" s="2">
        <v>25.37</v>
      </c>
      <c r="FX1527" s="2">
        <v>25.4</v>
      </c>
      <c r="FY1527" s="2">
        <v>26.41</v>
      </c>
      <c r="FZ1527" s="2">
        <v>26.53</v>
      </c>
      <c r="GA1527" s="2">
        <v>26.55</v>
      </c>
      <c r="GB1527" s="2">
        <v>26.58</v>
      </c>
      <c r="GC1527" s="2">
        <v>27.13</v>
      </c>
      <c r="GD1527" s="2">
        <v>27.64</v>
      </c>
      <c r="GE1527" s="2">
        <v>27.88</v>
      </c>
      <c r="GF1527" s="2">
        <v>27.9</v>
      </c>
      <c r="GG1527" s="2">
        <v>28.22</v>
      </c>
      <c r="GH1527" s="2">
        <v>28.24</v>
      </c>
      <c r="GI1527" s="2">
        <v>28.26</v>
      </c>
      <c r="GJ1527" s="2">
        <v>28.29</v>
      </c>
      <c r="GK1527" s="2">
        <v>28.26</v>
      </c>
      <c r="GL1527" s="2">
        <v>28.26</v>
      </c>
      <c r="GM1527" s="2">
        <v>28.26</v>
      </c>
      <c r="GN1527" s="2">
        <v>28.26</v>
      </c>
      <c r="GO1527" s="2">
        <v>28.34</v>
      </c>
      <c r="GP1527" s="2">
        <v>28.34</v>
      </c>
      <c r="GQ1527" s="2">
        <v>28.34</v>
      </c>
      <c r="GR1527" s="2">
        <v>28.34</v>
      </c>
      <c r="GS1527" s="2">
        <v>28.7</v>
      </c>
      <c r="GT1527" s="2">
        <v>28.7</v>
      </c>
      <c r="GU1527" s="2">
        <v>28.75</v>
      </c>
      <c r="GV1527" s="2">
        <v>28.75</v>
      </c>
      <c r="GW1527" s="2">
        <v>28.94</v>
      </c>
      <c r="GX1527" s="2">
        <v>28.94</v>
      </c>
      <c r="GY1527" s="2">
        <v>28.94</v>
      </c>
      <c r="GZ1527" s="2">
        <v>28.94</v>
      </c>
      <c r="HA1527" s="2">
        <v>27.8</v>
      </c>
      <c r="HB1527" s="2">
        <v>27.95</v>
      </c>
      <c r="HC1527" s="2">
        <v>28.28</v>
      </c>
      <c r="HD1527" s="2">
        <v>27.99</v>
      </c>
      <c r="HE1527" s="2">
        <v>27.93</v>
      </c>
      <c r="HF1527" s="2">
        <v>28.26</v>
      </c>
      <c r="HG1527" s="2">
        <v>28.49</v>
      </c>
      <c r="HH1527" s="2">
        <v>28.17</v>
      </c>
      <c r="HI1527" s="2">
        <v>31.25</v>
      </c>
      <c r="HJ1527" s="2">
        <v>31.4</v>
      </c>
      <c r="HK1527" s="2">
        <v>31.58</v>
      </c>
      <c r="HL1527" s="2">
        <v>31.3</v>
      </c>
      <c r="HM1527" s="2">
        <v>32.23</v>
      </c>
      <c r="HN1527" s="2">
        <v>32.5</v>
      </c>
      <c r="HO1527" s="2">
        <v>33</v>
      </c>
      <c r="HP1527" s="2">
        <v>32.7</v>
      </c>
      <c r="HQ1527" s="2">
        <v>33.08</v>
      </c>
      <c r="HR1527" s="2">
        <v>33.36</v>
      </c>
      <c r="HS1527" s="2">
        <v>35.1</v>
      </c>
      <c r="HT1527" s="2">
        <v>34.58</v>
      </c>
      <c r="HU1527" s="2">
        <v>35.06</v>
      </c>
      <c r="HV1527" s="2">
        <v>35.07</v>
      </c>
      <c r="HW1527" s="2">
        <v>35.53</v>
      </c>
      <c r="HX1527" s="2">
        <v>35.05</v>
      </c>
      <c r="HY1527" s="2">
        <v>35.84</v>
      </c>
      <c r="HZ1527" s="2">
        <v>36.04</v>
      </c>
      <c r="IA1527" s="2">
        <v>36.62</v>
      </c>
      <c r="IB1527" s="2">
        <v>36.14</v>
      </c>
      <c r="IC1527" s="2">
        <v>36.76</v>
      </c>
      <c r="ID1527" s="2">
        <v>37.02</v>
      </c>
      <c r="IE1527" s="2">
        <v>37.57</v>
      </c>
      <c r="IF1527" s="2">
        <v>37.12</v>
      </c>
      <c r="IG1527" s="2">
        <v>37.94</v>
      </c>
      <c r="IH1527" s="2">
        <v>38.13</v>
      </c>
      <c r="II1527" s="2">
        <v>38.85</v>
      </c>
      <c r="IJ1527" s="2">
        <v>38.41</v>
      </c>
      <c r="IK1527" s="2">
        <v>40.04</v>
      </c>
      <c r="IL1527" s="2">
        <v>40.32</v>
      </c>
      <c r="IM1527" s="2">
        <v>42.74</v>
      </c>
      <c r="IN1527" s="2">
        <v>42.17</v>
      </c>
      <c r="IO1527" s="2">
        <v>44.11</v>
      </c>
      <c r="IP1527" s="2">
        <v>44.42</v>
      </c>
      <c r="IQ1527" s="2">
        <v>46.01</v>
      </c>
      <c r="IR1527" s="2">
        <v>45.77</v>
      </c>
      <c r="IS1527" s="2">
        <v>51</v>
      </c>
      <c r="IT1527" s="2">
        <v>51.39</v>
      </c>
      <c r="IU1527" s="2">
        <v>54.41</v>
      </c>
      <c r="IV1527" s="2">
        <v>54.06</v>
      </c>
      <c r="IW1527" s="2">
        <v>57.33</v>
      </c>
      <c r="IX1527" s="2">
        <v>57.84</v>
      </c>
      <c r="IY1527" s="2">
        <v>60.78</v>
      </c>
      <c r="IZ1527" s="2">
        <v>59.86</v>
      </c>
      <c r="JA1527" s="2">
        <v>64.51000000000001</v>
      </c>
      <c r="JB1527" s="2">
        <v>64.87</v>
      </c>
      <c r="JC1527" s="2">
        <v>66.79000000000001</v>
      </c>
      <c r="JD1527" s="2">
        <v>66.23</v>
      </c>
      <c r="JE1527" s="2">
        <v>76.45</v>
      </c>
      <c r="JF1527" s="2">
        <v>76.34999999999999</v>
      </c>
      <c r="JG1527" s="2">
        <v>78.20999999999999</v>
      </c>
      <c r="JH1527" s="2">
        <v>77.68000000000001</v>
      </c>
      <c r="JI1527" s="2">
        <v>81.09999999999999</v>
      </c>
      <c r="JJ1527" s="2">
        <v>81.17</v>
      </c>
      <c r="JK1527" s="2">
        <v>82.29000000000001</v>
      </c>
      <c r="JL1527" s="2">
        <v>81.64</v>
      </c>
      <c r="JM1527" s="2">
        <v>77.51000000000001</v>
      </c>
      <c r="JN1527" s="2">
        <v>77.51000000000001</v>
      </c>
      <c r="JO1527" s="2">
        <v>79.03</v>
      </c>
      <c r="JP1527" s="2">
        <v>78.58</v>
      </c>
      <c r="JQ1527" s="2">
        <v>77.45</v>
      </c>
      <c r="JR1527" s="2">
        <v>77.45</v>
      </c>
      <c r="JS1527" s="2">
        <v>77.31999999999999</v>
      </c>
      <c r="JT1527" s="2">
        <v>76.98999999999999</v>
      </c>
      <c r="JU1527" s="2">
        <v>81.16</v>
      </c>
      <c r="JV1527" s="2">
        <v>81.15000000000001</v>
      </c>
      <c r="KA1527" s="2">
        <v>83.19</v>
      </c>
      <c r="KB1527" s="2">
        <v>83.06</v>
      </c>
      <c r="KC1527" s="2">
        <v>90.44</v>
      </c>
      <c r="KD1527" s="2">
        <v>91.25</v>
      </c>
      <c r="KQ1527" s="2">
        <v>92.90000000000001</v>
      </c>
      <c r="KR1527" s="2">
        <v>91.69</v>
      </c>
      <c r="KS1527" s="2">
        <v>92.13</v>
      </c>
      <c r="KT1527" s="2">
        <v>92.86</v>
      </c>
      <c r="LG1527" s="2">
        <v>92.36</v>
      </c>
      <c r="LH1527" s="2">
        <v>90.81</v>
      </c>
      <c r="LI1527" s="2">
        <v>90.17</v>
      </c>
      <c r="LJ1527" s="2">
        <v>89.63</v>
      </c>
      <c r="LW1527" s="2">
        <v>90.79000000000001</v>
      </c>
      <c r="LX1527" s="2">
        <v>88.56</v>
      </c>
      <c r="LY1527" s="2">
        <v>87.97</v>
      </c>
      <c r="LZ1527" s="2">
        <v>81.34999999999999</v>
      </c>
      <c r="MM1527" s="2">
        <v>80.62</v>
      </c>
      <c r="MN1527" s="2">
        <v>83.3</v>
      </c>
      <c r="MO1527" s="2">
        <v>83.45</v>
      </c>
      <c r="MP1527" s="2">
        <v>83.78</v>
      </c>
      <c r="NC1527" s="2">
        <v>83.45</v>
      </c>
      <c r="ND1527" s="2">
        <v>83.45</v>
      </c>
      <c r="NE1527" s="2">
        <v>86.09999999999999</v>
      </c>
      <c r="NF1527" s="2">
        <v>93.55</v>
      </c>
      <c r="NS1527" s="2">
        <v>96.40000000000001</v>
      </c>
      <c r="NT1527" s="2">
        <v>94.62</v>
      </c>
      <c r="NU1527" s="2">
        <v>98.56999999999999</v>
      </c>
      <c r="NV1527" s="2">
        <v>99.98</v>
      </c>
      <c r="OI1527" s="2">
        <v>98.26000000000001</v>
      </c>
      <c r="OJ1527" s="2">
        <v>100.32</v>
      </c>
      <c r="OK1527" s="2">
        <v>83.01000000000001</v>
      </c>
      <c r="OL1527" s="2">
        <v>74.76000000000001</v>
      </c>
      <c r="OY1527" s="2">
        <v>87.02</v>
      </c>
      <c r="OZ1527" s="2">
        <v>94.06999999999999</v>
      </c>
      <c r="PA1527" s="2">
        <v>102.54</v>
      </c>
      <c r="PB1527" s="2">
        <v>93.88</v>
      </c>
      <c r="PJ1527" s="2">
        <v>114.44</v>
      </c>
      <c r="PK1527" s="2">
        <v>114.73</v>
      </c>
    </row>
    <row r="1528">
      <c r="A1528" t="inlineStr">
        <is>
          <t>A2331921F</t>
        </is>
      </c>
      <c r="B1528" t="inlineStr">
        <is>
          <t>Index Numbers ;  Gas and other household fuels ;  Australia ;</t>
        </is>
      </c>
      <c r="C1528" t="inlineStr">
        <is>
          <t>Quarter</t>
        </is>
      </c>
      <c r="D1528" t="inlineStr">
        <is>
          <t>Index Numbers</t>
        </is>
      </c>
      <c r="E1528" t="inlineStr">
        <is>
          <t>Original</t>
        </is>
      </c>
      <c r="F1528" t="inlineStr">
        <is>
          <t>6401018.xlsx</t>
        </is>
      </c>
      <c r="G1528" t="inlineStr">
        <is>
          <t>1989Q3</t>
        </is>
      </c>
      <c r="H1528" t="inlineStr">
        <is>
          <t>2026Q2</t>
        </is>
      </c>
      <c r="FQ1528" s="2">
        <v>16.89</v>
      </c>
      <c r="FR1528" s="2">
        <v>17.24</v>
      </c>
      <c r="FS1528" s="2">
        <v>17.41</v>
      </c>
      <c r="FT1528" s="2">
        <v>17.48</v>
      </c>
      <c r="FU1528" s="2">
        <v>18.12</v>
      </c>
      <c r="FV1528" s="2">
        <v>18.46</v>
      </c>
      <c r="FW1528" s="2">
        <v>18.64</v>
      </c>
      <c r="FX1528" s="2">
        <v>18.53</v>
      </c>
      <c r="FY1528" s="2">
        <v>19.15</v>
      </c>
      <c r="FZ1528" s="2">
        <v>19.15</v>
      </c>
      <c r="GA1528" s="2">
        <v>19.24</v>
      </c>
      <c r="GB1528" s="2">
        <v>19.19</v>
      </c>
      <c r="GC1528" s="2">
        <v>19.27</v>
      </c>
      <c r="GD1528" s="2">
        <v>19.83</v>
      </c>
      <c r="GE1528" s="2">
        <v>20.57</v>
      </c>
      <c r="GF1528" s="2">
        <v>20.55</v>
      </c>
      <c r="GG1528" s="2">
        <v>20.57</v>
      </c>
      <c r="GH1528" s="2">
        <v>20.62</v>
      </c>
      <c r="GI1528" s="2">
        <v>20.62</v>
      </c>
      <c r="GJ1528" s="2">
        <v>20.55</v>
      </c>
      <c r="GK1528" s="2">
        <v>21.02</v>
      </c>
      <c r="GL1528" s="2">
        <v>21.1</v>
      </c>
      <c r="GM1528" s="2">
        <v>21.24</v>
      </c>
      <c r="GN1528" s="2">
        <v>21.28</v>
      </c>
      <c r="GO1528" s="2">
        <v>21.48</v>
      </c>
      <c r="GP1528" s="2">
        <v>21.48</v>
      </c>
      <c r="GQ1528" s="2">
        <v>21.54</v>
      </c>
      <c r="GR1528" s="2">
        <v>21.55</v>
      </c>
      <c r="GS1528" s="2">
        <v>21.85</v>
      </c>
      <c r="GT1528" s="2">
        <v>21.95</v>
      </c>
      <c r="GU1528" s="2">
        <v>22.04</v>
      </c>
      <c r="GV1528" s="2">
        <v>22</v>
      </c>
      <c r="GW1528" s="2">
        <v>22.38</v>
      </c>
      <c r="GX1528" s="2">
        <v>22.36</v>
      </c>
      <c r="GY1528" s="2">
        <v>22.36</v>
      </c>
      <c r="GZ1528" s="2">
        <v>22.38</v>
      </c>
      <c r="HA1528" s="2">
        <v>21.98</v>
      </c>
      <c r="HB1528" s="2">
        <v>22.36</v>
      </c>
      <c r="HC1528" s="2">
        <v>22</v>
      </c>
      <c r="HD1528" s="2">
        <v>21.91</v>
      </c>
      <c r="HE1528" s="2">
        <v>21.93</v>
      </c>
      <c r="HF1528" s="2">
        <v>21.9</v>
      </c>
      <c r="HG1528" s="2">
        <v>21.71</v>
      </c>
      <c r="HH1528" s="2">
        <v>21.86</v>
      </c>
      <c r="HI1528" s="2">
        <v>24.6</v>
      </c>
      <c r="HJ1528" s="2">
        <v>24.12</v>
      </c>
      <c r="HK1528" s="2">
        <v>24.13</v>
      </c>
      <c r="HL1528" s="2">
        <v>24.44</v>
      </c>
      <c r="HM1528" s="2">
        <v>25.49</v>
      </c>
      <c r="HN1528" s="2">
        <v>24.41</v>
      </c>
      <c r="HO1528" s="2">
        <v>25.5</v>
      </c>
      <c r="HP1528" s="2">
        <v>25.71</v>
      </c>
      <c r="HQ1528" s="2">
        <v>26.86</v>
      </c>
      <c r="HR1528" s="2">
        <v>25.81</v>
      </c>
      <c r="HS1528" s="2">
        <v>27.09</v>
      </c>
      <c r="HT1528" s="2">
        <v>27.33</v>
      </c>
      <c r="HU1528" s="2">
        <v>28.18</v>
      </c>
      <c r="HV1528" s="2">
        <v>27.66</v>
      </c>
      <c r="HW1528" s="2">
        <v>28.99</v>
      </c>
      <c r="HX1528" s="2">
        <v>28.78</v>
      </c>
      <c r="HY1528" s="2">
        <v>29.31</v>
      </c>
      <c r="HZ1528" s="2">
        <v>29.43</v>
      </c>
      <c r="IA1528" s="2">
        <v>30.24</v>
      </c>
      <c r="IB1528" s="2">
        <v>30.38</v>
      </c>
      <c r="IC1528" s="2">
        <v>31</v>
      </c>
      <c r="ID1528" s="2">
        <v>30.89</v>
      </c>
      <c r="IE1528" s="2">
        <v>31.64</v>
      </c>
      <c r="IF1528" s="2">
        <v>31.73</v>
      </c>
      <c r="IG1528" s="2">
        <v>32.54</v>
      </c>
      <c r="IH1528" s="2">
        <v>32.33</v>
      </c>
      <c r="II1528" s="2">
        <v>32.84</v>
      </c>
      <c r="IJ1528" s="2">
        <v>32.94</v>
      </c>
      <c r="IK1528" s="2">
        <v>33.75</v>
      </c>
      <c r="IL1528" s="2">
        <v>33.65</v>
      </c>
      <c r="IM1528" s="2">
        <v>34.6</v>
      </c>
      <c r="IN1528" s="2">
        <v>35.43</v>
      </c>
      <c r="IO1528" s="2">
        <v>37.08</v>
      </c>
      <c r="IP1528" s="2">
        <v>36.88</v>
      </c>
      <c r="IQ1528" s="2">
        <v>38.36</v>
      </c>
      <c r="IR1528" s="2">
        <v>38.37</v>
      </c>
      <c r="IS1528" s="2">
        <v>39.41</v>
      </c>
      <c r="IT1528" s="2">
        <v>40.21</v>
      </c>
      <c r="IU1528" s="2">
        <v>41.64</v>
      </c>
      <c r="IV1528" s="2">
        <v>42.34</v>
      </c>
      <c r="IW1528" s="2">
        <v>43.27</v>
      </c>
      <c r="IX1528" s="2">
        <v>43.06</v>
      </c>
      <c r="IY1528" s="2">
        <v>43.74</v>
      </c>
      <c r="IZ1528" s="2">
        <v>44.17</v>
      </c>
      <c r="JA1528" s="2">
        <v>45.88</v>
      </c>
      <c r="JB1528" s="2">
        <v>45.97</v>
      </c>
      <c r="JC1528" s="2">
        <v>46.65</v>
      </c>
      <c r="JD1528" s="2">
        <v>47.71</v>
      </c>
      <c r="JE1528" s="2">
        <v>54.49</v>
      </c>
      <c r="JF1528" s="2">
        <v>53.91</v>
      </c>
      <c r="JG1528" s="2">
        <v>54.45</v>
      </c>
      <c r="JH1528" s="2">
        <v>55.03</v>
      </c>
      <c r="JI1528" s="2">
        <v>57.67</v>
      </c>
      <c r="JJ1528" s="2">
        <v>56.93</v>
      </c>
      <c r="JK1528" s="2">
        <v>58.22</v>
      </c>
      <c r="JL1528" s="2">
        <v>58.4</v>
      </c>
      <c r="JM1528" s="2">
        <v>59.12</v>
      </c>
      <c r="JN1528" s="2">
        <v>58.35</v>
      </c>
      <c r="JO1528" s="2">
        <v>59.94</v>
      </c>
      <c r="JP1528" s="2">
        <v>60.44</v>
      </c>
      <c r="JQ1528" s="2">
        <v>59.65</v>
      </c>
      <c r="JR1528" s="2">
        <v>58.92</v>
      </c>
      <c r="JS1528" s="2">
        <v>60.68</v>
      </c>
      <c r="JT1528" s="2">
        <v>60.88</v>
      </c>
      <c r="JU1528" s="2">
        <v>60.86</v>
      </c>
      <c r="JV1528" s="2">
        <v>60.06</v>
      </c>
      <c r="KA1528" s="2">
        <v>62.34</v>
      </c>
      <c r="KB1528" s="2">
        <v>62.57</v>
      </c>
      <c r="KC1528" s="2">
        <v>65.8</v>
      </c>
      <c r="KD1528" s="2">
        <v>64.70999999999999</v>
      </c>
      <c r="KQ1528" s="2">
        <v>68.56999999999999</v>
      </c>
      <c r="KR1528" s="2">
        <v>67.05</v>
      </c>
      <c r="KS1528" s="2">
        <v>67.78</v>
      </c>
      <c r="KT1528" s="2">
        <v>66.79000000000001</v>
      </c>
      <c r="LG1528" s="2">
        <v>67.38</v>
      </c>
      <c r="LH1528" s="2">
        <v>67.02</v>
      </c>
      <c r="LI1528" s="2">
        <v>69.03</v>
      </c>
      <c r="LJ1528" s="2">
        <v>67.73</v>
      </c>
      <c r="LW1528" s="2">
        <v>67.95</v>
      </c>
      <c r="LX1528" s="2">
        <v>67.37</v>
      </c>
      <c r="LY1528" s="2">
        <v>66.92</v>
      </c>
      <c r="LZ1528" s="2">
        <v>65.98</v>
      </c>
      <c r="MM1528" s="2">
        <v>67.03</v>
      </c>
      <c r="MN1528" s="2">
        <v>66.8</v>
      </c>
      <c r="MO1528" s="2">
        <v>67.58</v>
      </c>
      <c r="MP1528" s="2">
        <v>67.69</v>
      </c>
      <c r="NC1528" s="2">
        <v>71.95999999999999</v>
      </c>
      <c r="ND1528" s="2">
        <v>71.11</v>
      </c>
      <c r="NE1528" s="2">
        <v>78.81</v>
      </c>
      <c r="NF1528" s="2">
        <v>79.45</v>
      </c>
      <c r="NS1528" s="2">
        <v>90.83</v>
      </c>
      <c r="NT1528" s="2">
        <v>89.73</v>
      </c>
      <c r="NU1528" s="2">
        <v>90.97</v>
      </c>
      <c r="NV1528" s="2">
        <v>90.09999999999999</v>
      </c>
      <c r="OI1528" s="2">
        <v>88.73</v>
      </c>
      <c r="OJ1528" s="2">
        <v>87.28</v>
      </c>
      <c r="OK1528" s="2">
        <v>93.65000000000001</v>
      </c>
      <c r="OL1528" s="2">
        <v>94.2</v>
      </c>
      <c r="OY1528" s="2">
        <v>94.23</v>
      </c>
      <c r="OZ1528" s="2">
        <v>92.25</v>
      </c>
      <c r="PA1528" s="2">
        <v>98.41</v>
      </c>
      <c r="PB1528" s="2">
        <v>98.52</v>
      </c>
      <c r="PJ1528" s="2">
        <v>99.54000000000001</v>
      </c>
      <c r="PK1528" s="2">
        <v>97.69</v>
      </c>
    </row>
    <row r="1529">
      <c r="A1529" t="inlineStr">
        <is>
          <t>A2326026R</t>
        </is>
      </c>
      <c r="B1529" t="inlineStr">
        <is>
          <t>Index Numbers ;  Furnishings, household equipment and services ;  Australia ;</t>
        </is>
      </c>
      <c r="C1529" t="inlineStr">
        <is>
          <t>Quarter</t>
        </is>
      </c>
      <c r="D1529" t="inlineStr">
        <is>
          <t>Index Numbers</t>
        </is>
      </c>
      <c r="E1529" t="inlineStr">
        <is>
          <t>Original</t>
        </is>
      </c>
      <c r="F1529" t="inlineStr">
        <is>
          <t>6401018.xlsx</t>
        </is>
      </c>
      <c r="G1529" t="inlineStr">
        <is>
          <t>1972Q3</t>
        </is>
      </c>
      <c r="H1529" t="inlineStr">
        <is>
          <t>2026Q2</t>
        </is>
      </c>
      <c r="DA1529" s="2">
        <v>14.01</v>
      </c>
      <c r="DB1529" s="2">
        <v>14.13</v>
      </c>
      <c r="DC1529" s="2">
        <v>14.26</v>
      </c>
      <c r="DD1529" s="2">
        <v>14.57</v>
      </c>
      <c r="DE1529" s="2">
        <v>15.01</v>
      </c>
      <c r="DF1529" s="2">
        <v>15.26</v>
      </c>
      <c r="DG1529" s="2">
        <v>15.69</v>
      </c>
      <c r="DH1529" s="2">
        <v>16.26</v>
      </c>
      <c r="DI1529" s="2">
        <v>17.2</v>
      </c>
      <c r="DJ1529" s="2">
        <v>18.2</v>
      </c>
      <c r="DK1529" s="2">
        <v>18.88</v>
      </c>
      <c r="DL1529" s="2">
        <v>19.51</v>
      </c>
      <c r="DM1529" s="2">
        <v>19.95</v>
      </c>
      <c r="DN1529" s="2">
        <v>21.38</v>
      </c>
      <c r="DO1529" s="2">
        <v>21.82</v>
      </c>
      <c r="DP1529" s="2">
        <v>22.39</v>
      </c>
      <c r="DQ1529" s="2">
        <v>22.76</v>
      </c>
      <c r="DR1529" s="2">
        <v>23.14</v>
      </c>
      <c r="DS1529" s="2">
        <v>23.82</v>
      </c>
      <c r="DT1529" s="2">
        <v>24.39</v>
      </c>
      <c r="DU1529" s="2">
        <v>24.76</v>
      </c>
      <c r="DV1529" s="2">
        <v>25.39</v>
      </c>
      <c r="DW1529" s="2">
        <v>25.64</v>
      </c>
      <c r="DX1529" s="2">
        <v>26.2</v>
      </c>
      <c r="DY1529" s="2">
        <v>26.51</v>
      </c>
      <c r="DZ1529" s="2">
        <v>26.89</v>
      </c>
      <c r="EA1529" s="2">
        <v>27.33</v>
      </c>
      <c r="EB1529" s="2">
        <v>27.64</v>
      </c>
      <c r="EC1529" s="2">
        <v>28.26</v>
      </c>
      <c r="ED1529" s="2">
        <v>28.89</v>
      </c>
      <c r="EE1529" s="2">
        <v>29.64</v>
      </c>
      <c r="EF1529" s="2">
        <v>30.39</v>
      </c>
      <c r="EG1529" s="2">
        <v>31.45</v>
      </c>
      <c r="EH1529" s="2">
        <v>32.14</v>
      </c>
      <c r="EI1529" s="2">
        <v>33.02</v>
      </c>
      <c r="EJ1529" s="2">
        <v>33.52</v>
      </c>
      <c r="EK1529" s="2">
        <v>34.33</v>
      </c>
      <c r="EL1529" s="2">
        <v>35.52</v>
      </c>
      <c r="EM1529" s="2">
        <v>36.45</v>
      </c>
      <c r="EN1529" s="2">
        <v>37.58</v>
      </c>
      <c r="EO1529" s="2">
        <v>38.77</v>
      </c>
      <c r="EP1529" s="2">
        <v>40.21</v>
      </c>
      <c r="EQ1529" s="2">
        <v>40.83</v>
      </c>
      <c r="ER1529" s="2">
        <v>41.33</v>
      </c>
      <c r="ES1529" s="2">
        <v>42.02</v>
      </c>
      <c r="ET1529" s="2">
        <v>43.21</v>
      </c>
      <c r="EU1529" s="2">
        <v>43.52</v>
      </c>
      <c r="EV1529" s="2">
        <v>43.83</v>
      </c>
      <c r="EW1529" s="2">
        <v>44.33</v>
      </c>
      <c r="EX1529" s="2">
        <v>44.77</v>
      </c>
      <c r="EY1529" s="2">
        <v>45.46</v>
      </c>
      <c r="EZ1529" s="2">
        <v>46.21</v>
      </c>
      <c r="FA1529" s="2">
        <v>47.15</v>
      </c>
      <c r="FB1529" s="2">
        <v>48.59</v>
      </c>
      <c r="FC1529" s="2">
        <v>49.46</v>
      </c>
      <c r="FD1529" s="2">
        <v>50.21</v>
      </c>
      <c r="FE1529" s="2">
        <v>51.02</v>
      </c>
      <c r="FF1529" s="2">
        <v>52.15</v>
      </c>
      <c r="FG1529" s="2">
        <v>52.71</v>
      </c>
      <c r="FH1529" s="2">
        <v>53.9</v>
      </c>
      <c r="FI1529" s="2">
        <v>54.9</v>
      </c>
      <c r="FJ1529" s="2">
        <v>55.78</v>
      </c>
      <c r="FK1529" s="2">
        <v>56.4</v>
      </c>
      <c r="FL1529" s="2">
        <v>57.28</v>
      </c>
      <c r="FM1529" s="2">
        <v>58.21</v>
      </c>
      <c r="FN1529" s="2">
        <v>59.15</v>
      </c>
      <c r="FO1529" s="2">
        <v>59.59</v>
      </c>
      <c r="FP1529" s="2">
        <v>60.22</v>
      </c>
      <c r="FQ1529" s="2">
        <v>61.09</v>
      </c>
      <c r="FR1529" s="2">
        <v>62.03</v>
      </c>
      <c r="FS1529" s="2">
        <v>62.97</v>
      </c>
      <c r="FT1529" s="2">
        <v>64.03</v>
      </c>
      <c r="FU1529" s="2">
        <v>64.59</v>
      </c>
      <c r="FV1529" s="2">
        <v>65.78</v>
      </c>
      <c r="FW1529" s="2">
        <v>66.09</v>
      </c>
      <c r="FX1529" s="2">
        <v>66.28</v>
      </c>
      <c r="FY1529" s="2">
        <v>66.91</v>
      </c>
      <c r="FZ1529" s="2">
        <v>67.34</v>
      </c>
      <c r="GA1529" s="2">
        <v>67.16</v>
      </c>
      <c r="GB1529" s="2">
        <v>67.53</v>
      </c>
      <c r="GC1529" s="2">
        <v>67.16</v>
      </c>
      <c r="GD1529" s="2">
        <v>67.22</v>
      </c>
      <c r="GE1529" s="2">
        <v>66.84</v>
      </c>
      <c r="GF1529" s="2">
        <v>67.16</v>
      </c>
      <c r="GG1529" s="2">
        <v>67.22</v>
      </c>
      <c r="GH1529" s="2">
        <v>67.16</v>
      </c>
      <c r="GI1529" s="2">
        <v>67.47</v>
      </c>
      <c r="GJ1529" s="2">
        <v>67.66</v>
      </c>
      <c r="GK1529" s="2">
        <v>67.66</v>
      </c>
      <c r="GL1529" s="2">
        <v>68.09</v>
      </c>
      <c r="GM1529" s="2">
        <v>68.34</v>
      </c>
      <c r="GN1529" s="2">
        <v>68.91</v>
      </c>
      <c r="GO1529" s="2">
        <v>69.41</v>
      </c>
      <c r="GP1529" s="2">
        <v>69.78</v>
      </c>
      <c r="GQ1529" s="2">
        <v>69.78</v>
      </c>
      <c r="GR1529" s="2">
        <v>70.34999999999999</v>
      </c>
      <c r="GS1529" s="2">
        <v>70.72</v>
      </c>
      <c r="GT1529" s="2">
        <v>71.03</v>
      </c>
      <c r="GU1529" s="2">
        <v>70.97</v>
      </c>
      <c r="GV1529" s="2">
        <v>71.22</v>
      </c>
      <c r="GW1529" s="2">
        <v>70.91</v>
      </c>
      <c r="GX1529" s="2">
        <v>71.16</v>
      </c>
      <c r="GY1529" s="2">
        <v>71.16</v>
      </c>
      <c r="GZ1529" s="2">
        <v>71.28</v>
      </c>
      <c r="HA1529" s="2">
        <v>71.22</v>
      </c>
      <c r="HB1529" s="2">
        <v>71.33</v>
      </c>
      <c r="HC1529" s="2">
        <v>70.67</v>
      </c>
      <c r="HD1529" s="2">
        <v>71.01000000000001</v>
      </c>
      <c r="HE1529" s="2">
        <v>70.66</v>
      </c>
      <c r="HF1529" s="2">
        <v>70.84999999999999</v>
      </c>
      <c r="HG1529" s="2">
        <v>70.55</v>
      </c>
      <c r="HH1529" s="2">
        <v>71.34999999999999</v>
      </c>
      <c r="HI1529" s="2">
        <v>72.76000000000001</v>
      </c>
      <c r="HJ1529" s="2">
        <v>72.75</v>
      </c>
      <c r="HK1529" s="2">
        <v>73.3</v>
      </c>
      <c r="HL1529" s="2">
        <v>74.56999999999999</v>
      </c>
      <c r="HM1529" s="2">
        <v>74.37</v>
      </c>
      <c r="HN1529" s="2">
        <v>75.2</v>
      </c>
      <c r="HO1529" s="2">
        <v>74.65000000000001</v>
      </c>
      <c r="HP1529" s="2">
        <v>75.19</v>
      </c>
      <c r="HQ1529" s="2">
        <v>75.31999999999999</v>
      </c>
      <c r="HR1529" s="2">
        <v>76.06</v>
      </c>
      <c r="HS1529" s="2">
        <v>75.28</v>
      </c>
      <c r="HT1529" s="2">
        <v>75.93000000000001</v>
      </c>
      <c r="HU1529" s="2">
        <v>75.95999999999999</v>
      </c>
      <c r="HV1529" s="2">
        <v>75.90000000000001</v>
      </c>
      <c r="HW1529" s="2">
        <v>75.45</v>
      </c>
      <c r="HX1529" s="2">
        <v>75.45</v>
      </c>
      <c r="HY1529" s="2">
        <v>75.43000000000001</v>
      </c>
      <c r="HZ1529" s="2">
        <v>75.87</v>
      </c>
      <c r="IA1529" s="2">
        <v>74.88</v>
      </c>
      <c r="IB1529" s="2">
        <v>75.78</v>
      </c>
      <c r="IC1529" s="2">
        <v>76.05</v>
      </c>
      <c r="ID1529" s="2">
        <v>76.53</v>
      </c>
      <c r="IE1529" s="2">
        <v>76.25</v>
      </c>
      <c r="IF1529" s="2">
        <v>76.83</v>
      </c>
      <c r="IG1529" s="2">
        <v>77.83</v>
      </c>
      <c r="IH1529" s="2">
        <v>77.97</v>
      </c>
      <c r="II1529" s="2">
        <v>77.31</v>
      </c>
      <c r="IJ1529" s="2">
        <v>78.45</v>
      </c>
      <c r="IK1529" s="2">
        <v>76.59999999999999</v>
      </c>
      <c r="IL1529" s="2">
        <v>77.2</v>
      </c>
      <c r="IM1529" s="2">
        <v>76.69</v>
      </c>
      <c r="IN1529" s="2">
        <v>77.97</v>
      </c>
      <c r="IO1529" s="2">
        <v>77.27</v>
      </c>
      <c r="IP1529" s="2">
        <v>77.56</v>
      </c>
      <c r="IQ1529" s="2">
        <v>78.16</v>
      </c>
      <c r="IR1529" s="2">
        <v>79.86</v>
      </c>
      <c r="IS1529" s="2">
        <v>80.34999999999999</v>
      </c>
      <c r="IT1529" s="2">
        <v>80.34</v>
      </c>
      <c r="IU1529" s="2">
        <v>79.29000000000001</v>
      </c>
      <c r="IV1529" s="2">
        <v>80.01000000000001</v>
      </c>
      <c r="IW1529" s="2">
        <v>80.66</v>
      </c>
      <c r="IX1529" s="2">
        <v>80.17</v>
      </c>
      <c r="IY1529" s="2">
        <v>78.93000000000001</v>
      </c>
      <c r="IZ1529" s="2">
        <v>80.06999999999999</v>
      </c>
      <c r="JA1529" s="2">
        <v>80.3</v>
      </c>
      <c r="JB1529" s="2">
        <v>80.33</v>
      </c>
      <c r="JC1529" s="2">
        <v>79.48</v>
      </c>
      <c r="JD1529" s="2">
        <v>80.66</v>
      </c>
      <c r="JE1529" s="2">
        <v>81.48999999999999</v>
      </c>
      <c r="JF1529" s="2">
        <v>81.02</v>
      </c>
      <c r="JG1529" s="2">
        <v>79.95</v>
      </c>
      <c r="JH1529" s="2">
        <v>80.73999999999999</v>
      </c>
      <c r="JI1529" s="2">
        <v>81.56</v>
      </c>
      <c r="JJ1529" s="2">
        <v>81.84999999999999</v>
      </c>
      <c r="JK1529" s="2">
        <v>80.7</v>
      </c>
      <c r="JL1529" s="2">
        <v>81.56999999999999</v>
      </c>
      <c r="JM1529" s="2">
        <v>81.84</v>
      </c>
      <c r="JN1529" s="2">
        <v>82.27</v>
      </c>
      <c r="JO1529" s="2">
        <v>81.86</v>
      </c>
      <c r="JP1529" s="2">
        <v>82.70999999999999</v>
      </c>
      <c r="JQ1529" s="2">
        <v>83.33</v>
      </c>
      <c r="JR1529" s="2">
        <v>83.79000000000001</v>
      </c>
      <c r="JS1529" s="2">
        <v>83.45999999999999</v>
      </c>
      <c r="JT1529" s="2">
        <v>84</v>
      </c>
      <c r="JU1529" s="2">
        <v>84.95999999999999</v>
      </c>
      <c r="JV1529" s="2">
        <v>84.25</v>
      </c>
      <c r="KA1529" s="2">
        <v>83.41</v>
      </c>
      <c r="KB1529" s="2">
        <v>84</v>
      </c>
      <c r="KC1529" s="2">
        <v>84.31</v>
      </c>
      <c r="KD1529" s="2">
        <v>83.62</v>
      </c>
      <c r="KQ1529" s="2">
        <v>83.31999999999999</v>
      </c>
      <c r="KR1529" s="2">
        <v>83.58</v>
      </c>
      <c r="KS1529" s="2">
        <v>82.59999999999999</v>
      </c>
      <c r="KT1529" s="2">
        <v>83.02</v>
      </c>
      <c r="LG1529" s="2">
        <v>82.68000000000001</v>
      </c>
      <c r="LH1529" s="2">
        <v>83.26000000000001</v>
      </c>
      <c r="LI1529" s="2">
        <v>84.11</v>
      </c>
      <c r="LJ1529" s="2">
        <v>83.90000000000001</v>
      </c>
      <c r="LW1529" s="2">
        <v>84.54000000000001</v>
      </c>
      <c r="LX1529" s="2">
        <v>75.02</v>
      </c>
      <c r="LY1529" s="2">
        <v>84.06</v>
      </c>
      <c r="LZ1529" s="2">
        <v>86.95</v>
      </c>
      <c r="MM1529" s="2">
        <v>86.79000000000001</v>
      </c>
      <c r="MN1529" s="2">
        <v>87.73</v>
      </c>
      <c r="MO1529" s="2">
        <v>89.13</v>
      </c>
      <c r="MP1529" s="2">
        <v>90.04000000000001</v>
      </c>
      <c r="NC1529" s="2">
        <v>91.02</v>
      </c>
      <c r="ND1529" s="2">
        <v>93.23</v>
      </c>
      <c r="NE1529" s="2">
        <v>95.94</v>
      </c>
      <c r="NF1529" s="2">
        <v>97.61</v>
      </c>
      <c r="NS1529" s="2">
        <v>97.12</v>
      </c>
      <c r="NT1529" s="2">
        <v>99.15000000000001</v>
      </c>
      <c r="NU1529" s="2">
        <v>98.34999999999999</v>
      </c>
      <c r="NV1529" s="2">
        <v>97.37</v>
      </c>
      <c r="OI1529" s="2">
        <v>97.28</v>
      </c>
      <c r="OJ1529" s="2">
        <v>98.11</v>
      </c>
      <c r="OK1529" s="2">
        <v>98.95999999999999</v>
      </c>
      <c r="OL1529" s="2">
        <v>98.81</v>
      </c>
      <c r="OY1529" s="2">
        <v>97.94</v>
      </c>
      <c r="OZ1529" s="2">
        <v>99</v>
      </c>
      <c r="PA1529" s="2">
        <v>99.95</v>
      </c>
      <c r="PB1529" s="2">
        <v>100.04</v>
      </c>
      <c r="PJ1529" s="2">
        <v>99.75</v>
      </c>
      <c r="PK1529" s="2">
        <v>99.88</v>
      </c>
    </row>
    <row r="1530">
      <c r="A1530" t="inlineStr">
        <is>
          <t>A3604403R</t>
        </is>
      </c>
      <c r="B1530" t="inlineStr">
        <is>
          <t>Index Numbers ;  Furniture and furnishings ;  Australia ;</t>
        </is>
      </c>
      <c r="C1530" t="inlineStr">
        <is>
          <t>Quarter</t>
        </is>
      </c>
      <c r="D1530" t="inlineStr">
        <is>
          <t>Index Numbers</t>
        </is>
      </c>
      <c r="E1530" t="inlineStr">
        <is>
          <t>Original</t>
        </is>
      </c>
      <c r="F1530" t="inlineStr">
        <is>
          <t>6401018.xlsx</t>
        </is>
      </c>
      <c r="G1530" t="inlineStr">
        <is>
          <t>1972Q3</t>
        </is>
      </c>
      <c r="H1530" t="inlineStr">
        <is>
          <t>2026Q2</t>
        </is>
      </c>
      <c r="DA1530" s="2">
        <v>11.89</v>
      </c>
      <c r="DB1530" s="2">
        <v>12.07</v>
      </c>
      <c r="DC1530" s="2">
        <v>12.42</v>
      </c>
      <c r="DD1530" s="2">
        <v>12.89</v>
      </c>
      <c r="DE1530" s="2">
        <v>13.18</v>
      </c>
      <c r="DF1530" s="2">
        <v>13.71</v>
      </c>
      <c r="DG1530" s="2">
        <v>14.29</v>
      </c>
      <c r="DH1530" s="2">
        <v>15.06</v>
      </c>
      <c r="DI1530" s="2">
        <v>16.23</v>
      </c>
      <c r="DJ1530" s="2">
        <v>17.05</v>
      </c>
      <c r="DK1530" s="2">
        <v>17.4</v>
      </c>
      <c r="DL1530" s="2">
        <v>17.75</v>
      </c>
      <c r="DM1530" s="2">
        <v>18.4</v>
      </c>
      <c r="DN1530" s="2">
        <v>19.22</v>
      </c>
      <c r="DO1530" s="2">
        <v>19.74</v>
      </c>
      <c r="DP1530" s="2">
        <v>20.86</v>
      </c>
      <c r="DQ1530" s="2">
        <v>21.44</v>
      </c>
      <c r="DR1530" s="2">
        <v>22.2</v>
      </c>
      <c r="DS1530" s="2">
        <v>22.73</v>
      </c>
      <c r="DT1530" s="2">
        <v>23.67</v>
      </c>
      <c r="DU1530" s="2">
        <v>23.84</v>
      </c>
      <c r="DV1530" s="2">
        <v>24.31</v>
      </c>
      <c r="DW1530" s="2">
        <v>24.66</v>
      </c>
      <c r="DX1530" s="2">
        <v>24.96</v>
      </c>
      <c r="DY1530" s="2">
        <v>25.25</v>
      </c>
      <c r="DZ1530" s="2">
        <v>25.43</v>
      </c>
      <c r="EA1530" s="2">
        <v>25.6</v>
      </c>
      <c r="EB1530" s="2">
        <v>25.6</v>
      </c>
      <c r="EC1530" s="2">
        <v>26.25</v>
      </c>
      <c r="ED1530" s="2">
        <v>26.71</v>
      </c>
      <c r="EE1530" s="2">
        <v>27.24</v>
      </c>
      <c r="EF1530" s="2">
        <v>27.89</v>
      </c>
      <c r="EG1530" s="2">
        <v>28.77</v>
      </c>
      <c r="EH1530" s="2">
        <v>29.76</v>
      </c>
      <c r="EI1530" s="2">
        <v>30.05</v>
      </c>
      <c r="EJ1530" s="2">
        <v>30.58</v>
      </c>
      <c r="EK1530" s="2">
        <v>30.82</v>
      </c>
      <c r="EL1530" s="2">
        <v>31.93</v>
      </c>
      <c r="EM1530" s="2">
        <v>32.28</v>
      </c>
      <c r="EN1530" s="2">
        <v>33.75</v>
      </c>
      <c r="EO1530" s="2">
        <v>34.8</v>
      </c>
      <c r="EP1530" s="2">
        <v>35.85</v>
      </c>
      <c r="EQ1530" s="2">
        <v>36.38</v>
      </c>
      <c r="ER1530" s="2">
        <v>37.03</v>
      </c>
      <c r="ES1530" s="2">
        <v>37.73</v>
      </c>
      <c r="ET1530" s="2">
        <v>38.37</v>
      </c>
      <c r="EU1530" s="2">
        <v>38.84</v>
      </c>
      <c r="EV1530" s="2">
        <v>39.14</v>
      </c>
      <c r="EW1530" s="2">
        <v>39.66</v>
      </c>
      <c r="EX1530" s="2">
        <v>40.48</v>
      </c>
      <c r="EY1530" s="2">
        <v>40.95</v>
      </c>
      <c r="EZ1530" s="2">
        <v>41.24</v>
      </c>
      <c r="FA1530" s="2">
        <v>42.83</v>
      </c>
      <c r="FB1530" s="2">
        <v>44.41</v>
      </c>
      <c r="FC1530" s="2">
        <v>45.35</v>
      </c>
      <c r="FD1530" s="2">
        <v>46.05</v>
      </c>
      <c r="FE1530" s="2">
        <v>46.87</v>
      </c>
      <c r="FF1530" s="2">
        <v>47.86</v>
      </c>
      <c r="FG1530" s="2">
        <v>47.45</v>
      </c>
      <c r="FH1530" s="2">
        <v>49.45</v>
      </c>
      <c r="FI1530" s="2">
        <v>49.8</v>
      </c>
      <c r="FJ1530" s="2">
        <v>50.68</v>
      </c>
      <c r="FK1530" s="2">
        <v>51.61</v>
      </c>
      <c r="FL1530" s="2">
        <v>53.08</v>
      </c>
      <c r="FM1530" s="2">
        <v>53.2</v>
      </c>
      <c r="FN1530" s="2">
        <v>54.02</v>
      </c>
      <c r="FO1530" s="2">
        <v>54.78</v>
      </c>
      <c r="FP1530" s="2">
        <v>55.95</v>
      </c>
      <c r="FQ1530" s="2">
        <v>56.53</v>
      </c>
      <c r="FR1530" s="2">
        <v>57.88</v>
      </c>
      <c r="FS1530" s="2">
        <v>59.11</v>
      </c>
      <c r="FT1530" s="2">
        <v>60.81</v>
      </c>
      <c r="FU1530" s="2">
        <v>61.1</v>
      </c>
      <c r="FV1530" s="2">
        <v>62.57</v>
      </c>
      <c r="FW1530" s="2">
        <v>62.16</v>
      </c>
      <c r="FX1530" s="2">
        <v>62.74</v>
      </c>
      <c r="FY1530" s="2">
        <v>62.1</v>
      </c>
      <c r="FZ1530" s="2">
        <v>63.68</v>
      </c>
      <c r="GA1530" s="2">
        <v>62.74</v>
      </c>
      <c r="GB1530" s="2">
        <v>64.44</v>
      </c>
      <c r="GC1530" s="2">
        <v>63.33</v>
      </c>
      <c r="GD1530" s="2">
        <v>64.44</v>
      </c>
      <c r="GE1530" s="2">
        <v>63.04</v>
      </c>
      <c r="GF1530" s="2">
        <v>63.57</v>
      </c>
      <c r="GG1530" s="2">
        <v>63.98</v>
      </c>
      <c r="GH1530" s="2">
        <v>64.73999999999999</v>
      </c>
      <c r="GI1530" s="2">
        <v>65.62</v>
      </c>
      <c r="GJ1530" s="2">
        <v>66.44</v>
      </c>
      <c r="GK1530" s="2">
        <v>66.31999999999999</v>
      </c>
      <c r="GL1530" s="2">
        <v>67.26000000000001</v>
      </c>
      <c r="GM1530" s="2">
        <v>66.67</v>
      </c>
      <c r="GN1530" s="2">
        <v>67.14</v>
      </c>
      <c r="GO1530" s="2">
        <v>67.08</v>
      </c>
      <c r="GP1530" s="2">
        <v>67.84</v>
      </c>
      <c r="GQ1530" s="2">
        <v>67.31</v>
      </c>
      <c r="GR1530" s="2">
        <v>68.54000000000001</v>
      </c>
      <c r="GS1530" s="2">
        <v>68.13</v>
      </c>
      <c r="GT1530" s="2">
        <v>68.90000000000001</v>
      </c>
      <c r="GU1530" s="2">
        <v>68.54000000000001</v>
      </c>
      <c r="GV1530" s="2">
        <v>69.19</v>
      </c>
      <c r="GW1530" s="2">
        <v>68.43000000000001</v>
      </c>
      <c r="GX1530" s="2">
        <v>69.78</v>
      </c>
      <c r="GY1530" s="2">
        <v>69.83</v>
      </c>
      <c r="GZ1530" s="2">
        <v>70.06999999999999</v>
      </c>
      <c r="HA1530" s="2">
        <v>69.78</v>
      </c>
      <c r="HB1530" s="2">
        <v>70.59999999999999</v>
      </c>
      <c r="HC1530" s="2">
        <v>69.48</v>
      </c>
      <c r="HD1530" s="2">
        <v>70.54000000000001</v>
      </c>
      <c r="HE1530" s="2">
        <v>70.23999999999999</v>
      </c>
      <c r="HF1530" s="2">
        <v>70.65000000000001</v>
      </c>
      <c r="HG1530" s="2">
        <v>69.95</v>
      </c>
      <c r="HH1530" s="2">
        <v>71.06</v>
      </c>
      <c r="HI1530" s="2">
        <v>73.88</v>
      </c>
      <c r="HJ1530" s="2">
        <v>73.64</v>
      </c>
      <c r="HK1530" s="2">
        <v>73.52</v>
      </c>
      <c r="HL1530" s="2">
        <v>75.22</v>
      </c>
      <c r="HM1530" s="2">
        <v>74.93000000000001</v>
      </c>
      <c r="HN1530" s="2">
        <v>76.04000000000001</v>
      </c>
      <c r="HO1530" s="2">
        <v>75.28</v>
      </c>
      <c r="HP1530" s="2">
        <v>76.92</v>
      </c>
      <c r="HQ1530" s="2">
        <v>76.45</v>
      </c>
      <c r="HR1530" s="2">
        <v>78.15000000000001</v>
      </c>
      <c r="HS1530" s="2">
        <v>76.75</v>
      </c>
      <c r="HT1530" s="2">
        <v>78.45</v>
      </c>
      <c r="HU1530" s="2">
        <v>78.27</v>
      </c>
      <c r="HV1530" s="2">
        <v>78.45</v>
      </c>
      <c r="HW1530" s="2">
        <v>77.33</v>
      </c>
      <c r="HX1530" s="2">
        <v>77.98</v>
      </c>
      <c r="HY1530" s="2">
        <v>77.63</v>
      </c>
      <c r="HZ1530" s="2">
        <v>78.15000000000001</v>
      </c>
      <c r="IA1530" s="2">
        <v>76.75</v>
      </c>
      <c r="IB1530" s="2">
        <v>77.27</v>
      </c>
      <c r="IC1530" s="2">
        <v>77.98</v>
      </c>
      <c r="ID1530" s="2">
        <v>78.39</v>
      </c>
      <c r="IE1530" s="2">
        <v>76.45</v>
      </c>
      <c r="IF1530" s="2">
        <v>77.33</v>
      </c>
      <c r="IG1530" s="2">
        <v>78.20999999999999</v>
      </c>
      <c r="IH1530" s="2">
        <v>78.86</v>
      </c>
      <c r="II1530" s="2">
        <v>76.98</v>
      </c>
      <c r="IJ1530" s="2">
        <v>79.20999999999999</v>
      </c>
      <c r="IK1530" s="2">
        <v>78.39</v>
      </c>
      <c r="IL1530" s="2">
        <v>79.62</v>
      </c>
      <c r="IM1530" s="2">
        <v>77.51000000000001</v>
      </c>
      <c r="IN1530" s="2">
        <v>79.62</v>
      </c>
      <c r="IO1530" s="2">
        <v>78.91</v>
      </c>
      <c r="IP1530" s="2">
        <v>79.38</v>
      </c>
      <c r="IQ1530" s="2">
        <v>79.84999999999999</v>
      </c>
      <c r="IR1530" s="2">
        <v>82.61</v>
      </c>
      <c r="IS1530" s="2">
        <v>83.06999999999999</v>
      </c>
      <c r="IT1530" s="2">
        <v>83.72</v>
      </c>
      <c r="IU1530" s="2">
        <v>80.79000000000001</v>
      </c>
      <c r="IV1530" s="2">
        <v>81.95999999999999</v>
      </c>
      <c r="IW1530" s="2">
        <v>82.95999999999999</v>
      </c>
      <c r="IX1530" s="2">
        <v>82.95999999999999</v>
      </c>
      <c r="IY1530" s="2">
        <v>78.91</v>
      </c>
      <c r="IZ1530" s="2">
        <v>82.55</v>
      </c>
      <c r="JA1530" s="2">
        <v>82.03</v>
      </c>
      <c r="JB1530" s="2">
        <v>82.84999999999999</v>
      </c>
      <c r="JC1530" s="2">
        <v>78.61</v>
      </c>
      <c r="JD1530" s="2">
        <v>81.55</v>
      </c>
      <c r="JE1530" s="2">
        <v>82.76000000000001</v>
      </c>
      <c r="JF1530" s="2">
        <v>81.69</v>
      </c>
      <c r="JG1530" s="2">
        <v>76.90000000000001</v>
      </c>
      <c r="JH1530" s="2">
        <v>80.06</v>
      </c>
      <c r="JI1530" s="2">
        <v>80.08</v>
      </c>
      <c r="JJ1530" s="2">
        <v>81.01000000000001</v>
      </c>
      <c r="JK1530" s="2">
        <v>78.19</v>
      </c>
      <c r="JL1530" s="2">
        <v>81.29000000000001</v>
      </c>
      <c r="JM1530" s="2">
        <v>81.56</v>
      </c>
      <c r="JN1530" s="2">
        <v>81.45999999999999</v>
      </c>
      <c r="JO1530" s="2">
        <v>79.06</v>
      </c>
      <c r="JP1530" s="2">
        <v>81.73999999999999</v>
      </c>
      <c r="JQ1530" s="2">
        <v>82.25</v>
      </c>
      <c r="JR1530" s="2">
        <v>83.05</v>
      </c>
      <c r="JS1530" s="2">
        <v>82.06</v>
      </c>
      <c r="JT1530" s="2">
        <v>83.81999999999999</v>
      </c>
      <c r="JU1530" s="2">
        <v>84.68000000000001</v>
      </c>
      <c r="JV1530" s="2">
        <v>83.52</v>
      </c>
      <c r="KA1530" s="2">
        <v>80.98999999999999</v>
      </c>
      <c r="KB1530" s="2">
        <v>81.79000000000001</v>
      </c>
      <c r="KC1530" s="2">
        <v>82.06999999999999</v>
      </c>
      <c r="KD1530" s="2">
        <v>81.43000000000001</v>
      </c>
      <c r="KQ1530" s="2">
        <v>79.47</v>
      </c>
      <c r="KR1530" s="2">
        <v>80.09</v>
      </c>
      <c r="KS1530" s="2">
        <v>81.31999999999999</v>
      </c>
      <c r="KT1530" s="2">
        <v>82.55</v>
      </c>
      <c r="LG1530" s="2">
        <v>80.94</v>
      </c>
      <c r="LH1530" s="2">
        <v>82.15000000000001</v>
      </c>
      <c r="LI1530" s="2">
        <v>83.81999999999999</v>
      </c>
      <c r="LJ1530" s="2">
        <v>83.03</v>
      </c>
      <c r="LW1530" s="2">
        <v>80.53</v>
      </c>
      <c r="LX1530" s="2">
        <v>83.19</v>
      </c>
      <c r="LY1530" s="2">
        <v>87.77</v>
      </c>
      <c r="LZ1530" s="2">
        <v>86.98</v>
      </c>
      <c r="MM1530" s="2">
        <v>84.55</v>
      </c>
      <c r="MN1530" s="2">
        <v>87.36</v>
      </c>
      <c r="MO1530" s="2">
        <v>90.3</v>
      </c>
      <c r="MP1530" s="2">
        <v>91.22</v>
      </c>
      <c r="NC1530" s="2">
        <v>88.98999999999999</v>
      </c>
      <c r="ND1530" s="2">
        <v>94.54000000000001</v>
      </c>
      <c r="NE1530" s="2">
        <v>100.4</v>
      </c>
      <c r="NF1530" s="2">
        <v>101.12</v>
      </c>
      <c r="NS1530" s="2">
        <v>97.56999999999999</v>
      </c>
      <c r="NT1530" s="2">
        <v>101.67</v>
      </c>
      <c r="NU1530" s="2">
        <v>103.49</v>
      </c>
      <c r="NV1530" s="2">
        <v>99.88</v>
      </c>
      <c r="OI1530" s="2">
        <v>95.36</v>
      </c>
      <c r="OJ1530" s="2">
        <v>98.03</v>
      </c>
      <c r="OK1530" s="2">
        <v>99.13</v>
      </c>
      <c r="OL1530" s="2">
        <v>101.02</v>
      </c>
      <c r="OY1530" s="2">
        <v>96.38</v>
      </c>
      <c r="OZ1530" s="2">
        <v>98.73999999999999</v>
      </c>
      <c r="PA1530" s="2">
        <v>99.06999999999999</v>
      </c>
      <c r="PB1530" s="2">
        <v>99.68000000000001</v>
      </c>
      <c r="PJ1530" s="2">
        <v>98.06</v>
      </c>
      <c r="PK1530" s="2">
        <v>97.98</v>
      </c>
    </row>
    <row r="1531">
      <c r="A1531" t="inlineStr">
        <is>
          <t>A2328186L</t>
        </is>
      </c>
      <c r="B1531" t="inlineStr">
        <is>
          <t>Index Numbers ;  Furniture ;  Australia ;</t>
        </is>
      </c>
      <c r="C1531" t="inlineStr">
        <is>
          <t>Quarter</t>
        </is>
      </c>
      <c r="D1531" t="inlineStr">
        <is>
          <t>Index Numbers</t>
        </is>
      </c>
      <c r="E1531" t="inlineStr">
        <is>
          <t>Original</t>
        </is>
      </c>
      <c r="F1531" t="inlineStr">
        <is>
          <t>6401018.xlsx</t>
        </is>
      </c>
      <c r="G1531" t="inlineStr">
        <is>
          <t>1980Q3</t>
        </is>
      </c>
      <c r="H1531" t="inlineStr">
        <is>
          <t>2026Q2</t>
        </is>
      </c>
      <c r="EG1531" s="2">
        <v>30.59</v>
      </c>
      <c r="EH1531" s="2">
        <v>31.72</v>
      </c>
      <c r="EI1531" s="2">
        <v>32.03</v>
      </c>
      <c r="EJ1531" s="2">
        <v>32.47</v>
      </c>
      <c r="EK1531" s="2">
        <v>32.72</v>
      </c>
      <c r="EL1531" s="2">
        <v>34.04</v>
      </c>
      <c r="EM1531" s="2">
        <v>34.35</v>
      </c>
      <c r="EN1531" s="2">
        <v>36.35</v>
      </c>
      <c r="EO1531" s="2">
        <v>37.48</v>
      </c>
      <c r="EP1531" s="2">
        <v>38.79</v>
      </c>
      <c r="EQ1531" s="2">
        <v>39.42</v>
      </c>
      <c r="ER1531" s="2">
        <v>40.04</v>
      </c>
      <c r="ES1531" s="2">
        <v>40.92</v>
      </c>
      <c r="ET1531" s="2">
        <v>41.61</v>
      </c>
      <c r="EU1531" s="2">
        <v>42.11</v>
      </c>
      <c r="EV1531" s="2">
        <v>42.36</v>
      </c>
      <c r="EW1531" s="2">
        <v>42.98</v>
      </c>
      <c r="EX1531" s="2">
        <v>44.05</v>
      </c>
      <c r="EY1531" s="2">
        <v>44.55</v>
      </c>
      <c r="EZ1531" s="2">
        <v>44.61</v>
      </c>
      <c r="FA1531" s="2">
        <v>46.17</v>
      </c>
      <c r="FB1531" s="2">
        <v>47.67</v>
      </c>
      <c r="FC1531" s="2">
        <v>48.68</v>
      </c>
      <c r="FD1531" s="2">
        <v>49.55</v>
      </c>
      <c r="FE1531" s="2">
        <v>50.68</v>
      </c>
      <c r="FF1531" s="2">
        <v>51.8</v>
      </c>
      <c r="FG1531" s="2">
        <v>50.99</v>
      </c>
      <c r="FH1531" s="2">
        <v>53.31</v>
      </c>
      <c r="FI1531" s="2">
        <v>53.43</v>
      </c>
      <c r="FJ1531" s="2">
        <v>54.18</v>
      </c>
      <c r="FK1531" s="2">
        <v>55.12</v>
      </c>
      <c r="FL1531" s="2">
        <v>56.56</v>
      </c>
      <c r="FM1531" s="2">
        <v>56.56</v>
      </c>
      <c r="FN1531" s="2">
        <v>57.25</v>
      </c>
      <c r="FO1531" s="2">
        <v>58.06</v>
      </c>
      <c r="FP1531" s="2">
        <v>59.5</v>
      </c>
      <c r="FQ1531" s="2">
        <v>60.25</v>
      </c>
      <c r="FR1531" s="2">
        <v>61.69</v>
      </c>
      <c r="FS1531" s="2">
        <v>63</v>
      </c>
      <c r="FT1531" s="2">
        <v>65.31999999999999</v>
      </c>
      <c r="FU1531" s="2">
        <v>65.38</v>
      </c>
      <c r="FV1531" s="2">
        <v>67.38</v>
      </c>
      <c r="FW1531" s="2">
        <v>66.81999999999999</v>
      </c>
      <c r="FX1531" s="2">
        <v>67.81999999999999</v>
      </c>
      <c r="FY1531" s="2">
        <v>66.88</v>
      </c>
      <c r="FZ1531" s="2">
        <v>69.31999999999999</v>
      </c>
      <c r="GA1531" s="2">
        <v>67.76000000000001</v>
      </c>
      <c r="GB1531" s="2">
        <v>70.51000000000001</v>
      </c>
      <c r="GC1531" s="2">
        <v>69.13</v>
      </c>
      <c r="GD1531" s="2">
        <v>70.7</v>
      </c>
      <c r="GE1531" s="2">
        <v>68.76000000000001</v>
      </c>
      <c r="GF1531" s="2">
        <v>69.2</v>
      </c>
      <c r="GG1531" s="2">
        <v>69.81999999999999</v>
      </c>
      <c r="GH1531" s="2">
        <v>70.76000000000001</v>
      </c>
      <c r="GI1531" s="2">
        <v>71.95</v>
      </c>
      <c r="GJ1531" s="2">
        <v>72.95</v>
      </c>
      <c r="GK1531" s="2">
        <v>72.51000000000001</v>
      </c>
      <c r="GL1531" s="2">
        <v>73.89</v>
      </c>
      <c r="GM1531" s="2">
        <v>73.01000000000001</v>
      </c>
      <c r="GN1531" s="2">
        <v>73.58</v>
      </c>
      <c r="GO1531" s="2">
        <v>73.26000000000001</v>
      </c>
      <c r="GP1531" s="2">
        <v>74.26000000000001</v>
      </c>
      <c r="GQ1531" s="2">
        <v>73.51000000000001</v>
      </c>
      <c r="GR1531" s="2">
        <v>75.02</v>
      </c>
      <c r="GS1531" s="2">
        <v>74.39</v>
      </c>
      <c r="GT1531" s="2">
        <v>75.39</v>
      </c>
      <c r="GU1531" s="2">
        <v>74.83</v>
      </c>
      <c r="GV1531" s="2">
        <v>75.7</v>
      </c>
      <c r="GW1531" s="2">
        <v>74.64</v>
      </c>
      <c r="GX1531" s="2">
        <v>76.39</v>
      </c>
      <c r="GY1531" s="2">
        <v>76.39</v>
      </c>
      <c r="GZ1531" s="2">
        <v>76.45</v>
      </c>
      <c r="HA1531" s="2">
        <v>76.04000000000001</v>
      </c>
      <c r="HB1531" s="2">
        <v>77.02</v>
      </c>
      <c r="HC1531" s="2">
        <v>75.56999999999999</v>
      </c>
      <c r="HD1531" s="2">
        <v>77.14</v>
      </c>
      <c r="HE1531" s="2">
        <v>76.67</v>
      </c>
      <c r="HF1531" s="2">
        <v>77.09</v>
      </c>
      <c r="HG1531" s="2">
        <v>76.28</v>
      </c>
      <c r="HH1531" s="2">
        <v>77.54000000000001</v>
      </c>
      <c r="HI1531" s="2">
        <v>80.27</v>
      </c>
      <c r="HJ1531" s="2">
        <v>79.86</v>
      </c>
      <c r="HK1531" s="2">
        <v>79.65000000000001</v>
      </c>
      <c r="HL1531" s="2">
        <v>81.37</v>
      </c>
      <c r="HM1531" s="2">
        <v>80.78</v>
      </c>
      <c r="HN1531" s="2">
        <v>82.27</v>
      </c>
      <c r="HO1531" s="2">
        <v>81.15000000000001</v>
      </c>
      <c r="HP1531" s="2">
        <v>82.81999999999999</v>
      </c>
      <c r="HQ1531" s="2">
        <v>81.81999999999999</v>
      </c>
      <c r="HR1531" s="2">
        <v>83.78</v>
      </c>
      <c r="HS1531" s="2">
        <v>81.73999999999999</v>
      </c>
      <c r="HT1531" s="2">
        <v>83.44</v>
      </c>
      <c r="HU1531" s="2">
        <v>82.95999999999999</v>
      </c>
      <c r="HV1531" s="2">
        <v>83.14</v>
      </c>
      <c r="HW1531" s="2">
        <v>81.65000000000001</v>
      </c>
      <c r="HX1531" s="2">
        <v>82.23999999999999</v>
      </c>
      <c r="HY1531" s="2">
        <v>81.58</v>
      </c>
      <c r="HZ1531" s="2">
        <v>82.22</v>
      </c>
      <c r="IA1531" s="2">
        <v>80.17</v>
      </c>
      <c r="IB1531" s="2">
        <v>80.68000000000001</v>
      </c>
      <c r="IC1531" s="2">
        <v>81.36</v>
      </c>
      <c r="ID1531" s="2">
        <v>81.73999999999999</v>
      </c>
      <c r="IE1531" s="2">
        <v>79.12</v>
      </c>
      <c r="IF1531" s="2">
        <v>80.15000000000001</v>
      </c>
      <c r="IG1531" s="2">
        <v>81.25</v>
      </c>
      <c r="IH1531" s="2">
        <v>81.98999999999999</v>
      </c>
      <c r="II1531" s="2">
        <v>79.29000000000001</v>
      </c>
      <c r="IJ1531" s="2">
        <v>82.38</v>
      </c>
      <c r="IK1531" s="2">
        <v>81.16</v>
      </c>
      <c r="IL1531" s="2">
        <v>82.81999999999999</v>
      </c>
      <c r="IM1531" s="2">
        <v>79.81</v>
      </c>
      <c r="IN1531" s="2">
        <v>82.37</v>
      </c>
      <c r="IO1531" s="2">
        <v>81.3</v>
      </c>
      <c r="IP1531" s="2">
        <v>81.72</v>
      </c>
      <c r="IQ1531" s="2">
        <v>81.75</v>
      </c>
      <c r="IR1531" s="2">
        <v>84.8</v>
      </c>
      <c r="IS1531" s="2">
        <v>85.20999999999999</v>
      </c>
      <c r="IT1531" s="2">
        <v>86.40000000000001</v>
      </c>
      <c r="IU1531" s="2">
        <v>82.39</v>
      </c>
      <c r="IV1531" s="2">
        <v>84.01000000000001</v>
      </c>
      <c r="IW1531" s="2">
        <v>85.2</v>
      </c>
      <c r="IX1531" s="2">
        <v>85.34</v>
      </c>
      <c r="IY1531" s="2">
        <v>80.11</v>
      </c>
      <c r="IZ1531" s="2">
        <v>84.89</v>
      </c>
      <c r="JA1531" s="2">
        <v>84.17</v>
      </c>
      <c r="JB1531" s="2">
        <v>85.09</v>
      </c>
      <c r="JC1531" s="2">
        <v>79.98</v>
      </c>
      <c r="JD1531" s="2">
        <v>83.59</v>
      </c>
      <c r="JE1531" s="2">
        <v>85.11</v>
      </c>
      <c r="JF1531" s="2">
        <v>83.76000000000001</v>
      </c>
      <c r="JG1531" s="2">
        <v>78.09999999999999</v>
      </c>
      <c r="JH1531" s="2">
        <v>81.86</v>
      </c>
      <c r="JI1531" s="2">
        <v>81.81</v>
      </c>
      <c r="JJ1531" s="2">
        <v>82.90000000000001</v>
      </c>
      <c r="JK1531" s="2">
        <v>79.29000000000001</v>
      </c>
      <c r="JL1531" s="2">
        <v>83.11</v>
      </c>
      <c r="JM1531" s="2">
        <v>83.34</v>
      </c>
      <c r="JN1531" s="2">
        <v>83.18000000000001</v>
      </c>
      <c r="JO1531" s="2">
        <v>80.47</v>
      </c>
      <c r="JP1531" s="2">
        <v>83.25</v>
      </c>
      <c r="JQ1531" s="2">
        <v>83.73</v>
      </c>
      <c r="JR1531" s="2">
        <v>84.53</v>
      </c>
      <c r="JS1531" s="2">
        <v>83.20999999999999</v>
      </c>
      <c r="JT1531" s="2">
        <v>85.23</v>
      </c>
      <c r="JU1531" s="2">
        <v>86.28</v>
      </c>
      <c r="JV1531" s="2">
        <v>84.92</v>
      </c>
      <c r="KA1531" s="2">
        <v>81.98999999999999</v>
      </c>
      <c r="KB1531" s="2">
        <v>82.68000000000001</v>
      </c>
      <c r="KC1531" s="2">
        <v>83.06</v>
      </c>
      <c r="KD1531" s="2">
        <v>82.25</v>
      </c>
      <c r="KQ1531" s="2">
        <v>79.90000000000001</v>
      </c>
      <c r="KR1531" s="2">
        <v>80.45</v>
      </c>
      <c r="KS1531" s="2">
        <v>81.92</v>
      </c>
      <c r="KT1531" s="2">
        <v>83.43000000000001</v>
      </c>
      <c r="LG1531" s="2">
        <v>81.42</v>
      </c>
      <c r="LH1531" s="2">
        <v>82.67</v>
      </c>
      <c r="LI1531" s="2">
        <v>84.67</v>
      </c>
      <c r="LJ1531" s="2">
        <v>83.56999999999999</v>
      </c>
      <c r="LW1531" s="2">
        <v>80.42</v>
      </c>
      <c r="LX1531" s="2">
        <v>83.53</v>
      </c>
      <c r="LY1531" s="2">
        <v>88.86</v>
      </c>
      <c r="LZ1531" s="2">
        <v>87.84</v>
      </c>
      <c r="MM1531" s="2">
        <v>85.17</v>
      </c>
      <c r="MN1531" s="2">
        <v>88.41</v>
      </c>
      <c r="MO1531" s="2">
        <v>91.81999999999999</v>
      </c>
      <c r="MP1531" s="2">
        <v>92.90000000000001</v>
      </c>
      <c r="NC1531" s="2">
        <v>89.69</v>
      </c>
      <c r="ND1531" s="2">
        <v>95.92</v>
      </c>
      <c r="NE1531" s="2">
        <v>102.25</v>
      </c>
      <c r="NF1531" s="2">
        <v>102.53</v>
      </c>
      <c r="NS1531" s="2">
        <v>97.73999999999999</v>
      </c>
      <c r="NT1531" s="2">
        <v>102.6</v>
      </c>
      <c r="NU1531" s="2">
        <v>104.56</v>
      </c>
      <c r="NV1531" s="2">
        <v>100.14</v>
      </c>
      <c r="OI1531" s="2">
        <v>94.5</v>
      </c>
      <c r="OJ1531" s="2">
        <v>97.65000000000001</v>
      </c>
      <c r="OK1531" s="2">
        <v>99.02</v>
      </c>
      <c r="OL1531" s="2">
        <v>101.52</v>
      </c>
      <c r="OY1531" s="2">
        <v>95.94</v>
      </c>
      <c r="OZ1531" s="2">
        <v>98.72</v>
      </c>
      <c r="PA1531" s="2">
        <v>98.95999999999999</v>
      </c>
      <c r="PB1531" s="2">
        <v>99.7</v>
      </c>
      <c r="PJ1531" s="2">
        <v>97.45999999999999</v>
      </c>
      <c r="PK1531" s="2">
        <v>97.34999999999999</v>
      </c>
    </row>
    <row r="1532">
      <c r="A1532" t="inlineStr">
        <is>
          <t>A3604433C</t>
        </is>
      </c>
      <c r="B1532" t="inlineStr">
        <is>
          <t>Index Numbers ;  Carpets and other floor coverings ;  Australia ;</t>
        </is>
      </c>
      <c r="C1532" t="inlineStr">
        <is>
          <t>Quarter</t>
        </is>
      </c>
      <c r="D1532" t="inlineStr">
        <is>
          <t>Index Numbers</t>
        </is>
      </c>
      <c r="E1532" t="inlineStr">
        <is>
          <t>Original</t>
        </is>
      </c>
      <c r="F1532" t="inlineStr">
        <is>
          <t>6401018.xlsx</t>
        </is>
      </c>
      <c r="G1532" t="inlineStr">
        <is>
          <t>1980Q3</t>
        </is>
      </c>
      <c r="H1532" t="inlineStr">
        <is>
          <t>2026Q2</t>
        </is>
      </c>
      <c r="EG1532" s="2">
        <v>22.08</v>
      </c>
      <c r="EH1532" s="2">
        <v>22.61</v>
      </c>
      <c r="EI1532" s="2">
        <v>22.79</v>
      </c>
      <c r="EJ1532" s="2">
        <v>23.45</v>
      </c>
      <c r="EK1532" s="2">
        <v>23.67</v>
      </c>
      <c r="EL1532" s="2">
        <v>24.25</v>
      </c>
      <c r="EM1532" s="2">
        <v>24.65</v>
      </c>
      <c r="EN1532" s="2">
        <v>24.83</v>
      </c>
      <c r="EO1532" s="2">
        <v>25.63</v>
      </c>
      <c r="EP1532" s="2">
        <v>26.07</v>
      </c>
      <c r="EQ1532" s="2">
        <v>26.29</v>
      </c>
      <c r="ER1532" s="2">
        <v>26.96</v>
      </c>
      <c r="ES1532" s="2">
        <v>27.27</v>
      </c>
      <c r="ET1532" s="2">
        <v>27.8</v>
      </c>
      <c r="EU1532" s="2">
        <v>28.02</v>
      </c>
      <c r="EV1532" s="2">
        <v>28.42</v>
      </c>
      <c r="EW1532" s="2">
        <v>28.68</v>
      </c>
      <c r="EX1532" s="2">
        <v>28.99</v>
      </c>
      <c r="EY1532" s="2">
        <v>29.39</v>
      </c>
      <c r="EZ1532" s="2">
        <v>30.06</v>
      </c>
      <c r="FA1532" s="2">
        <v>31.43</v>
      </c>
      <c r="FB1532" s="2">
        <v>32.99</v>
      </c>
      <c r="FC1532" s="2">
        <v>33.61</v>
      </c>
      <c r="FD1532" s="2">
        <v>34</v>
      </c>
      <c r="FE1532" s="2">
        <v>34.23</v>
      </c>
      <c r="FF1532" s="2">
        <v>34.85</v>
      </c>
      <c r="FG1532" s="2">
        <v>35.29</v>
      </c>
      <c r="FH1532" s="2">
        <v>36.31</v>
      </c>
      <c r="FI1532" s="2">
        <v>37.15</v>
      </c>
      <c r="FJ1532" s="2">
        <v>38.26</v>
      </c>
      <c r="FK1532" s="2">
        <v>39.15</v>
      </c>
      <c r="FL1532" s="2">
        <v>40.48</v>
      </c>
      <c r="FM1532" s="2">
        <v>40.79</v>
      </c>
      <c r="FN1532" s="2">
        <v>41.72</v>
      </c>
      <c r="FO1532" s="2">
        <v>42.21</v>
      </c>
      <c r="FP1532" s="2">
        <v>42.69</v>
      </c>
      <c r="FQ1532" s="2">
        <v>43.05</v>
      </c>
      <c r="FR1532" s="2">
        <v>43.98</v>
      </c>
      <c r="FS1532" s="2">
        <v>44.96</v>
      </c>
      <c r="FT1532" s="2">
        <v>45.35</v>
      </c>
      <c r="FU1532" s="2">
        <v>45.93</v>
      </c>
      <c r="FV1532" s="2">
        <v>46.11</v>
      </c>
      <c r="FW1532" s="2">
        <v>46.15</v>
      </c>
      <c r="FX1532" s="2">
        <v>45.84</v>
      </c>
      <c r="FY1532" s="2">
        <v>45.84</v>
      </c>
      <c r="FZ1532" s="2">
        <v>45.44</v>
      </c>
      <c r="GA1532" s="2">
        <v>45.84</v>
      </c>
      <c r="GB1532" s="2">
        <v>45.31</v>
      </c>
      <c r="GC1532" s="2">
        <v>44.91</v>
      </c>
      <c r="GD1532" s="2">
        <v>44.78</v>
      </c>
      <c r="GE1532" s="2">
        <v>44.91</v>
      </c>
      <c r="GF1532" s="2">
        <v>45.44</v>
      </c>
      <c r="GG1532" s="2">
        <v>45.31</v>
      </c>
      <c r="GH1532" s="2">
        <v>45.66</v>
      </c>
      <c r="GI1532" s="2">
        <v>45.8</v>
      </c>
      <c r="GJ1532" s="2">
        <v>45.89</v>
      </c>
      <c r="GK1532" s="2">
        <v>46.73</v>
      </c>
      <c r="GL1532" s="2">
        <v>46.37</v>
      </c>
      <c r="GM1532" s="2">
        <v>46.73</v>
      </c>
      <c r="GN1532" s="2">
        <v>46.82</v>
      </c>
      <c r="GO1532" s="2">
        <v>47.48</v>
      </c>
      <c r="GP1532" s="2">
        <v>47.44</v>
      </c>
      <c r="GQ1532" s="2">
        <v>47.57</v>
      </c>
      <c r="GR1532" s="2">
        <v>47.97</v>
      </c>
      <c r="GS1532" s="2">
        <v>48.19</v>
      </c>
      <c r="GT1532" s="2">
        <v>48.41</v>
      </c>
      <c r="GU1532" s="2">
        <v>48.64</v>
      </c>
      <c r="GV1532" s="2">
        <v>48.68</v>
      </c>
      <c r="GW1532" s="2">
        <v>48.59</v>
      </c>
      <c r="GX1532" s="2">
        <v>48.81</v>
      </c>
      <c r="GY1532" s="2">
        <v>49.17</v>
      </c>
      <c r="GZ1532" s="2">
        <v>49.79</v>
      </c>
      <c r="HA1532" s="2">
        <v>49.83</v>
      </c>
      <c r="HB1532" s="2">
        <v>50.23</v>
      </c>
      <c r="HC1532" s="2">
        <v>49.97</v>
      </c>
      <c r="HD1532" s="2">
        <v>49.57</v>
      </c>
      <c r="HE1532" s="2">
        <v>49.74</v>
      </c>
      <c r="HF1532" s="2">
        <v>50.23</v>
      </c>
      <c r="HG1532" s="2">
        <v>49.83</v>
      </c>
      <c r="HH1532" s="2">
        <v>50.36</v>
      </c>
      <c r="HI1532" s="2">
        <v>53.16</v>
      </c>
      <c r="HJ1532" s="2">
        <v>53.33</v>
      </c>
      <c r="HK1532" s="2">
        <v>53.47</v>
      </c>
      <c r="HL1532" s="2">
        <v>55.02</v>
      </c>
      <c r="HM1532" s="2">
        <v>55.55</v>
      </c>
      <c r="HN1532" s="2">
        <v>55.64</v>
      </c>
      <c r="HO1532" s="2">
        <v>55.86</v>
      </c>
      <c r="HP1532" s="2">
        <v>57.19</v>
      </c>
      <c r="HQ1532" s="2">
        <v>58.17</v>
      </c>
      <c r="HR1532" s="2">
        <v>59.05</v>
      </c>
      <c r="HS1532" s="2">
        <v>59.36</v>
      </c>
      <c r="HT1532" s="2">
        <v>60.92</v>
      </c>
      <c r="HU1532" s="2">
        <v>61.54</v>
      </c>
      <c r="HV1532" s="2">
        <v>61.63</v>
      </c>
      <c r="HW1532" s="2">
        <v>61.67</v>
      </c>
      <c r="HX1532" s="2">
        <v>62.33</v>
      </c>
      <c r="HY1532" s="2">
        <v>62.78</v>
      </c>
      <c r="HZ1532" s="2">
        <v>62.96</v>
      </c>
      <c r="IA1532" s="2">
        <v>63.27</v>
      </c>
      <c r="IB1532" s="2">
        <v>63.89</v>
      </c>
      <c r="IC1532" s="2">
        <v>64.59999999999999</v>
      </c>
      <c r="ID1532" s="2">
        <v>64.91</v>
      </c>
      <c r="IE1532" s="2">
        <v>64.77</v>
      </c>
      <c r="IF1532" s="2">
        <v>65.22</v>
      </c>
      <c r="IG1532" s="2">
        <v>65.56999999999999</v>
      </c>
      <c r="IH1532" s="2">
        <v>65.88</v>
      </c>
      <c r="II1532" s="2">
        <v>66.28</v>
      </c>
      <c r="IJ1532" s="2">
        <v>66.15000000000001</v>
      </c>
      <c r="IK1532" s="2">
        <v>66.37</v>
      </c>
      <c r="IL1532" s="2">
        <v>66.37</v>
      </c>
      <c r="IM1532" s="2">
        <v>66.72</v>
      </c>
      <c r="IN1532" s="2">
        <v>67.56999999999999</v>
      </c>
      <c r="IO1532" s="2">
        <v>67.92</v>
      </c>
      <c r="IP1532" s="2">
        <v>68.41</v>
      </c>
      <c r="IQ1532" s="2">
        <v>70.09</v>
      </c>
      <c r="IR1532" s="2">
        <v>71.73</v>
      </c>
      <c r="IS1532" s="2">
        <v>72.34999999999999</v>
      </c>
      <c r="IT1532" s="2">
        <v>71.59999999999999</v>
      </c>
      <c r="IU1532" s="2">
        <v>71.56</v>
      </c>
      <c r="IV1532" s="2">
        <v>71.69</v>
      </c>
      <c r="IW1532" s="2">
        <v>72.13</v>
      </c>
      <c r="IX1532" s="2">
        <v>71.64</v>
      </c>
      <c r="IY1532" s="2">
        <v>71.02</v>
      </c>
      <c r="IZ1532" s="2">
        <v>71.47</v>
      </c>
      <c r="JA1532" s="2">
        <v>71.81</v>
      </c>
      <c r="JB1532" s="2">
        <v>72.12</v>
      </c>
      <c r="JC1532" s="2">
        <v>72.16</v>
      </c>
      <c r="JD1532" s="2">
        <v>71.83</v>
      </c>
      <c r="JE1532" s="2">
        <v>71.54000000000001</v>
      </c>
      <c r="JF1532" s="2">
        <v>71.78</v>
      </c>
      <c r="JG1532" s="2">
        <v>71.29000000000001</v>
      </c>
      <c r="JH1532" s="2">
        <v>71.52</v>
      </c>
      <c r="JI1532" s="2">
        <v>71.89</v>
      </c>
      <c r="JJ1532" s="2">
        <v>72.05</v>
      </c>
      <c r="JK1532" s="2">
        <v>73.11</v>
      </c>
      <c r="JL1532" s="2">
        <v>72.7</v>
      </c>
      <c r="JM1532" s="2">
        <v>73.09</v>
      </c>
      <c r="JN1532" s="2">
        <v>73.31</v>
      </c>
      <c r="JO1532" s="2">
        <v>72.45999999999999</v>
      </c>
      <c r="JP1532" s="2">
        <v>74.63</v>
      </c>
      <c r="JQ1532" s="2">
        <v>75.3</v>
      </c>
      <c r="JR1532" s="2">
        <v>76.13</v>
      </c>
      <c r="JS1532" s="2">
        <v>76.78</v>
      </c>
      <c r="JT1532" s="2">
        <v>77.23</v>
      </c>
      <c r="JU1532" s="2">
        <v>77.19</v>
      </c>
      <c r="JV1532" s="2">
        <v>77.02</v>
      </c>
      <c r="KA1532" s="2">
        <v>76.47</v>
      </c>
      <c r="KB1532" s="2">
        <v>77.76000000000001</v>
      </c>
      <c r="KC1532" s="2">
        <v>77.56999999999999</v>
      </c>
      <c r="KD1532" s="2">
        <v>77.64</v>
      </c>
      <c r="KQ1532" s="2">
        <v>77.34999999999999</v>
      </c>
      <c r="KR1532" s="2">
        <v>78.27</v>
      </c>
      <c r="KS1532" s="2">
        <v>78.47</v>
      </c>
      <c r="KT1532" s="2">
        <v>78.48999999999999</v>
      </c>
      <c r="LG1532" s="2">
        <v>78.59999999999999</v>
      </c>
      <c r="LH1532" s="2">
        <v>79.59999999999999</v>
      </c>
      <c r="LI1532" s="2">
        <v>79.92</v>
      </c>
      <c r="LJ1532" s="2">
        <v>80.45</v>
      </c>
      <c r="LW1532" s="2">
        <v>80.64</v>
      </c>
      <c r="LX1532" s="2">
        <v>81.41</v>
      </c>
      <c r="LY1532" s="2">
        <v>82.84</v>
      </c>
      <c r="LZ1532" s="2">
        <v>83.05</v>
      </c>
      <c r="MM1532" s="2">
        <v>81.67</v>
      </c>
      <c r="MN1532" s="2">
        <v>82.61</v>
      </c>
      <c r="MO1532" s="2">
        <v>83.52</v>
      </c>
      <c r="MP1532" s="2">
        <v>83.79000000000001</v>
      </c>
      <c r="NC1532" s="2">
        <v>85.75</v>
      </c>
      <c r="ND1532" s="2">
        <v>88.31999999999999</v>
      </c>
      <c r="NE1532" s="2">
        <v>92.17</v>
      </c>
      <c r="NF1532" s="2">
        <v>94.81999999999999</v>
      </c>
      <c r="NS1532" s="2">
        <v>96.73</v>
      </c>
      <c r="NT1532" s="2">
        <v>97.45</v>
      </c>
      <c r="NU1532" s="2">
        <v>98.68000000000001</v>
      </c>
      <c r="NV1532" s="2">
        <v>98.65000000000001</v>
      </c>
      <c r="OI1532" s="2">
        <v>99.04000000000001</v>
      </c>
      <c r="OJ1532" s="2">
        <v>99.58</v>
      </c>
      <c r="OK1532" s="2">
        <v>99.51000000000001</v>
      </c>
      <c r="OL1532" s="2">
        <v>98.73</v>
      </c>
      <c r="OY1532" s="2">
        <v>98.41</v>
      </c>
      <c r="OZ1532" s="2">
        <v>98.81</v>
      </c>
      <c r="PA1532" s="2">
        <v>99.61</v>
      </c>
      <c r="PB1532" s="2">
        <v>99.59999999999999</v>
      </c>
      <c r="PJ1532" s="2">
        <v>100.77</v>
      </c>
      <c r="PK1532" s="2">
        <v>100.86</v>
      </c>
    </row>
    <row r="1533">
      <c r="A1533" t="inlineStr">
        <is>
          <t>A3604428K</t>
        </is>
      </c>
      <c r="B1533" t="inlineStr">
        <is>
          <t>Index Numbers ;  Household textiles ;  Australia ;</t>
        </is>
      </c>
      <c r="C1533" t="inlineStr">
        <is>
          <t>Quarter</t>
        </is>
      </c>
      <c r="D1533" t="inlineStr">
        <is>
          <t>Index Numbers</t>
        </is>
      </c>
      <c r="E1533" t="inlineStr">
        <is>
          <t>Original</t>
        </is>
      </c>
      <c r="F1533" t="inlineStr">
        <is>
          <t>6401018.xlsx</t>
        </is>
      </c>
      <c r="G1533" t="inlineStr">
        <is>
          <t>1972Q3</t>
        </is>
      </c>
      <c r="H1533" t="inlineStr">
        <is>
          <t>2026Q2</t>
        </is>
      </c>
      <c r="DA1533" s="2">
        <v>18.54</v>
      </c>
      <c r="DB1533" s="2">
        <v>18.64</v>
      </c>
      <c r="DC1533" s="2">
        <v>18.96</v>
      </c>
      <c r="DD1533" s="2">
        <v>21.29</v>
      </c>
      <c r="DE1533" s="2">
        <v>22.35</v>
      </c>
      <c r="DF1533" s="2">
        <v>23.2</v>
      </c>
      <c r="DG1533" s="2">
        <v>24.58</v>
      </c>
      <c r="DH1533" s="2">
        <v>26.8</v>
      </c>
      <c r="DI1533" s="2">
        <v>27.65</v>
      </c>
      <c r="DJ1533" s="2">
        <v>28.81</v>
      </c>
      <c r="DK1533" s="2">
        <v>29.45</v>
      </c>
      <c r="DL1533" s="2">
        <v>30.83</v>
      </c>
      <c r="DM1533" s="2">
        <v>31.99</v>
      </c>
      <c r="DN1533" s="2">
        <v>32.84</v>
      </c>
      <c r="DO1533" s="2">
        <v>33.47</v>
      </c>
      <c r="DP1533" s="2">
        <v>35.17</v>
      </c>
      <c r="DQ1533" s="2">
        <v>36.23</v>
      </c>
      <c r="DR1533" s="2">
        <v>36.33</v>
      </c>
      <c r="DS1533" s="2">
        <v>38.45</v>
      </c>
      <c r="DT1533" s="2">
        <v>41.31</v>
      </c>
      <c r="DU1533" s="2">
        <v>42.58</v>
      </c>
      <c r="DV1533" s="2">
        <v>43.96</v>
      </c>
      <c r="DW1533" s="2">
        <v>44.6</v>
      </c>
      <c r="DX1533" s="2">
        <v>45.87</v>
      </c>
      <c r="DY1533" s="2">
        <v>46.5</v>
      </c>
      <c r="DZ1533" s="2">
        <v>47.35</v>
      </c>
      <c r="EA1533" s="2">
        <v>48.09</v>
      </c>
      <c r="EB1533" s="2">
        <v>48.09</v>
      </c>
      <c r="EC1533" s="2">
        <v>49.47</v>
      </c>
      <c r="ED1533" s="2">
        <v>50.53</v>
      </c>
      <c r="EE1533" s="2">
        <v>51.38</v>
      </c>
      <c r="EF1533" s="2">
        <v>52.43</v>
      </c>
      <c r="EG1533" s="2">
        <v>53.92</v>
      </c>
      <c r="EH1533" s="2">
        <v>56.14</v>
      </c>
      <c r="EI1533" s="2">
        <v>56.67</v>
      </c>
      <c r="EJ1533" s="2">
        <v>57.84</v>
      </c>
      <c r="EK1533" s="2">
        <v>59.11</v>
      </c>
      <c r="EL1533" s="2">
        <v>60.17</v>
      </c>
      <c r="EM1533" s="2">
        <v>60.7</v>
      </c>
      <c r="EN1533" s="2">
        <v>61.86</v>
      </c>
      <c r="EO1533" s="2">
        <v>62.18</v>
      </c>
      <c r="EP1533" s="2">
        <v>63.34</v>
      </c>
      <c r="EQ1533" s="2">
        <v>64.83</v>
      </c>
      <c r="ER1533" s="2">
        <v>69.06999999999999</v>
      </c>
      <c r="ES1533" s="2">
        <v>70.12</v>
      </c>
      <c r="ET1533" s="2">
        <v>71.29000000000001</v>
      </c>
      <c r="EU1533" s="2">
        <v>72.03</v>
      </c>
      <c r="EV1533" s="2">
        <v>73.73</v>
      </c>
      <c r="EW1533" s="2">
        <v>73.3</v>
      </c>
      <c r="EX1533" s="2">
        <v>73.51000000000001</v>
      </c>
      <c r="EY1533" s="2">
        <v>73.41</v>
      </c>
      <c r="EZ1533" s="2">
        <v>75.42</v>
      </c>
      <c r="FA1533" s="2">
        <v>76.69</v>
      </c>
      <c r="FB1533" s="2">
        <v>79.45</v>
      </c>
      <c r="FC1533" s="2">
        <v>81.04000000000001</v>
      </c>
      <c r="FD1533" s="2">
        <v>85.06</v>
      </c>
      <c r="FE1533" s="2">
        <v>86.54000000000001</v>
      </c>
      <c r="FF1533" s="2">
        <v>87.70999999999999</v>
      </c>
      <c r="FG1533" s="2">
        <v>87.92</v>
      </c>
      <c r="FH1533" s="2">
        <v>90.89</v>
      </c>
      <c r="FI1533" s="2">
        <v>92.37</v>
      </c>
      <c r="FJ1533" s="2">
        <v>93.31999999999999</v>
      </c>
      <c r="FK1533" s="2">
        <v>94.38</v>
      </c>
      <c r="FL1533" s="2">
        <v>94.28</v>
      </c>
      <c r="FM1533" s="2">
        <v>96.70999999999999</v>
      </c>
      <c r="FN1533" s="2">
        <v>97.45</v>
      </c>
      <c r="FO1533" s="2">
        <v>99.36</v>
      </c>
      <c r="FP1533" s="2">
        <v>101.69</v>
      </c>
      <c r="FQ1533" s="2">
        <v>103.81</v>
      </c>
      <c r="FR1533" s="2">
        <v>105.29</v>
      </c>
      <c r="FS1533" s="2">
        <v>106.25</v>
      </c>
      <c r="FT1533" s="2">
        <v>108.36</v>
      </c>
      <c r="FU1533" s="2">
        <v>109.21</v>
      </c>
      <c r="FV1533" s="2">
        <v>108.68</v>
      </c>
      <c r="FW1533" s="2">
        <v>110.69</v>
      </c>
      <c r="FX1533" s="2">
        <v>113.24</v>
      </c>
      <c r="FY1533" s="2">
        <v>113.34</v>
      </c>
      <c r="FZ1533" s="2">
        <v>112.92</v>
      </c>
      <c r="GA1533" s="2">
        <v>113.03</v>
      </c>
      <c r="GB1533" s="2">
        <v>112.18</v>
      </c>
      <c r="GC1533" s="2">
        <v>112.28</v>
      </c>
      <c r="GD1533" s="2">
        <v>113.13</v>
      </c>
      <c r="GE1533" s="2">
        <v>113.13</v>
      </c>
      <c r="GF1533" s="2">
        <v>113.66</v>
      </c>
      <c r="GG1533" s="2">
        <v>113.55</v>
      </c>
      <c r="GH1533" s="2">
        <v>113.77</v>
      </c>
      <c r="GI1533" s="2">
        <v>113.03</v>
      </c>
      <c r="GJ1533" s="2">
        <v>113.98</v>
      </c>
      <c r="GK1533" s="2">
        <v>114.3</v>
      </c>
      <c r="GL1533" s="2">
        <v>115.46</v>
      </c>
      <c r="GM1533" s="2">
        <v>115.57</v>
      </c>
      <c r="GN1533" s="2">
        <v>118.11</v>
      </c>
      <c r="GO1533" s="2">
        <v>118.96</v>
      </c>
      <c r="GP1533" s="2">
        <v>121.29</v>
      </c>
      <c r="GQ1533" s="2">
        <v>122.35</v>
      </c>
      <c r="GR1533" s="2">
        <v>121.82</v>
      </c>
      <c r="GS1533" s="2">
        <v>122.66</v>
      </c>
      <c r="GT1533" s="2">
        <v>124.89</v>
      </c>
      <c r="GU1533" s="2">
        <v>124.68</v>
      </c>
      <c r="GV1533" s="2">
        <v>125</v>
      </c>
      <c r="GW1533" s="2">
        <v>125.84</v>
      </c>
      <c r="GX1533" s="2">
        <v>127.01</v>
      </c>
      <c r="GY1533" s="2">
        <v>127.54</v>
      </c>
      <c r="GZ1533" s="2">
        <v>127.33</v>
      </c>
      <c r="HA1533" s="2">
        <v>127.86</v>
      </c>
      <c r="HB1533" s="2">
        <v>128.6</v>
      </c>
      <c r="HC1533" s="2">
        <v>128.91</v>
      </c>
      <c r="HD1533" s="2">
        <v>128.38</v>
      </c>
      <c r="HE1533" s="2">
        <v>127.96</v>
      </c>
      <c r="HF1533" s="2">
        <v>127.96</v>
      </c>
      <c r="HG1533" s="2">
        <v>127.22</v>
      </c>
      <c r="HH1533" s="2">
        <v>126.05</v>
      </c>
      <c r="HI1533" s="2">
        <v>131.24</v>
      </c>
      <c r="HJ1533" s="2">
        <v>127.01</v>
      </c>
      <c r="HK1533" s="2">
        <v>127.96</v>
      </c>
      <c r="HL1533" s="2">
        <v>130.29</v>
      </c>
      <c r="HM1533" s="2">
        <v>126.8</v>
      </c>
      <c r="HN1533" s="2">
        <v>128.91</v>
      </c>
      <c r="HO1533" s="2">
        <v>127.33</v>
      </c>
      <c r="HP1533" s="2">
        <v>124.68</v>
      </c>
      <c r="HQ1533" s="2">
        <v>122.88</v>
      </c>
      <c r="HR1533" s="2">
        <v>125.1</v>
      </c>
      <c r="HS1533" s="2">
        <v>123.51</v>
      </c>
      <c r="HT1533" s="2">
        <v>123.94</v>
      </c>
      <c r="HU1533" s="2">
        <v>125</v>
      </c>
      <c r="HV1533" s="2">
        <v>121.92</v>
      </c>
      <c r="HW1533" s="2">
        <v>121.82</v>
      </c>
      <c r="HX1533" s="2">
        <v>118</v>
      </c>
      <c r="HY1533" s="2">
        <v>118.96</v>
      </c>
      <c r="HZ1533" s="2">
        <v>119.17</v>
      </c>
      <c r="IA1533" s="2">
        <v>115.25</v>
      </c>
      <c r="IB1533" s="2">
        <v>118.85</v>
      </c>
      <c r="IC1533" s="2">
        <v>117.37</v>
      </c>
      <c r="ID1533" s="2">
        <v>117.69</v>
      </c>
      <c r="IE1533" s="2">
        <v>115.78</v>
      </c>
      <c r="IF1533" s="2">
        <v>115.89</v>
      </c>
      <c r="IG1533" s="2">
        <v>118.32</v>
      </c>
      <c r="IH1533" s="2">
        <v>117.58</v>
      </c>
      <c r="II1533" s="2">
        <v>112.5</v>
      </c>
      <c r="IJ1533" s="2">
        <v>117.16</v>
      </c>
      <c r="IK1533" s="2">
        <v>114.08</v>
      </c>
      <c r="IL1533" s="2">
        <v>113.87</v>
      </c>
      <c r="IM1533" s="2">
        <v>108.89</v>
      </c>
      <c r="IN1533" s="2">
        <v>112.39</v>
      </c>
      <c r="IO1533" s="2">
        <v>113.13</v>
      </c>
      <c r="IP1533" s="2">
        <v>113.13</v>
      </c>
      <c r="IQ1533" s="2">
        <v>111.01</v>
      </c>
      <c r="IR1533" s="2">
        <v>114.93</v>
      </c>
      <c r="IS1533" s="2">
        <v>114.3</v>
      </c>
      <c r="IT1533" s="2">
        <v>114.93</v>
      </c>
      <c r="IU1533" s="2">
        <v>108.89</v>
      </c>
      <c r="IV1533" s="2">
        <v>109.64</v>
      </c>
      <c r="IW1533" s="2">
        <v>111.54</v>
      </c>
      <c r="IX1533" s="2">
        <v>110.59</v>
      </c>
      <c r="IY1533" s="2">
        <v>106.35</v>
      </c>
      <c r="IZ1533" s="2">
        <v>111.54</v>
      </c>
      <c r="JA1533" s="2">
        <v>112.13</v>
      </c>
      <c r="JB1533" s="2">
        <v>113.28</v>
      </c>
      <c r="JC1533" s="2">
        <v>106.95</v>
      </c>
      <c r="JD1533" s="2">
        <v>110.03</v>
      </c>
      <c r="JE1533" s="2">
        <v>110.91</v>
      </c>
      <c r="JF1533" s="2">
        <v>109.61</v>
      </c>
      <c r="JG1533" s="2">
        <v>102.3</v>
      </c>
      <c r="JH1533" s="2">
        <v>104.53</v>
      </c>
      <c r="JI1533" s="2">
        <v>108.54</v>
      </c>
      <c r="JJ1533" s="2">
        <v>108.62</v>
      </c>
      <c r="JK1533" s="2">
        <v>105.47</v>
      </c>
      <c r="JL1533" s="2">
        <v>103.3</v>
      </c>
      <c r="JM1533" s="2">
        <v>99.81999999999999</v>
      </c>
      <c r="JN1533" s="2">
        <v>102.96</v>
      </c>
      <c r="JO1533" s="2">
        <v>97.45999999999999</v>
      </c>
      <c r="JP1533" s="2">
        <v>97.34</v>
      </c>
      <c r="JQ1533" s="2">
        <v>102.57</v>
      </c>
      <c r="JR1533" s="2">
        <v>104.74</v>
      </c>
      <c r="JS1533" s="2">
        <v>100.46</v>
      </c>
      <c r="JT1533" s="2">
        <v>99.15000000000001</v>
      </c>
      <c r="JU1533" s="2">
        <v>105.03</v>
      </c>
      <c r="JV1533" s="2">
        <v>100.56</v>
      </c>
      <c r="KA1533" s="2">
        <v>94.95</v>
      </c>
      <c r="KB1533" s="2">
        <v>98.68000000000001</v>
      </c>
      <c r="KC1533" s="2">
        <v>101.11</v>
      </c>
      <c r="KD1533" s="2">
        <v>95.38</v>
      </c>
      <c r="KQ1533" s="2">
        <v>92.05</v>
      </c>
      <c r="KR1533" s="2">
        <v>93.09999999999999</v>
      </c>
      <c r="KS1533" s="2">
        <v>93.39</v>
      </c>
      <c r="KT1533" s="2">
        <v>91.81999999999999</v>
      </c>
      <c r="LG1533" s="2">
        <v>89.98</v>
      </c>
      <c r="LH1533" s="2">
        <v>92.68000000000001</v>
      </c>
      <c r="LI1533" s="2">
        <v>93.70999999999999</v>
      </c>
      <c r="LJ1533" s="2">
        <v>90.29000000000001</v>
      </c>
      <c r="LW1533" s="2">
        <v>93.7</v>
      </c>
      <c r="LX1533" s="2">
        <v>93.55</v>
      </c>
      <c r="LY1533" s="2">
        <v>98.56</v>
      </c>
      <c r="LZ1533" s="2">
        <v>96.61</v>
      </c>
      <c r="MM1533" s="2">
        <v>95.06</v>
      </c>
      <c r="MN1533" s="2">
        <v>96.98</v>
      </c>
      <c r="MO1533" s="2">
        <v>99.94</v>
      </c>
      <c r="MP1533" s="2">
        <v>97.04000000000001</v>
      </c>
      <c r="NC1533" s="2">
        <v>97.61</v>
      </c>
      <c r="ND1533" s="2">
        <v>101.54</v>
      </c>
      <c r="NE1533" s="2">
        <v>103.06</v>
      </c>
      <c r="NF1533" s="2">
        <v>100.87</v>
      </c>
      <c r="NS1533" s="2">
        <v>96.65000000000001</v>
      </c>
      <c r="NT1533" s="2">
        <v>105.89</v>
      </c>
      <c r="NU1533" s="2">
        <v>102.41</v>
      </c>
      <c r="NV1533" s="2">
        <v>96.97</v>
      </c>
      <c r="OI1533" s="2">
        <v>96.8</v>
      </c>
      <c r="OJ1533" s="2">
        <v>97.81999999999999</v>
      </c>
      <c r="OK1533" s="2">
        <v>98.87</v>
      </c>
      <c r="OL1533" s="2">
        <v>96.78</v>
      </c>
      <c r="OY1533" s="2">
        <v>93.48</v>
      </c>
      <c r="OZ1533" s="2">
        <v>96.75</v>
      </c>
      <c r="PA1533" s="2">
        <v>101.31</v>
      </c>
      <c r="PB1533" s="2">
        <v>99.79000000000001</v>
      </c>
      <c r="PJ1533" s="2">
        <v>97.94</v>
      </c>
      <c r="PK1533" s="2">
        <v>94.81999999999999</v>
      </c>
    </row>
    <row r="1534">
      <c r="A1534" t="inlineStr">
        <is>
          <t>A3604383T</t>
        </is>
      </c>
      <c r="B1534" t="inlineStr">
        <is>
          <t>Index Numbers ;  Household textiles ;  Australia ;</t>
        </is>
      </c>
      <c r="C1534" t="inlineStr">
        <is>
          <t>Quarter</t>
        </is>
      </c>
      <c r="D1534" t="inlineStr">
        <is>
          <t>Index Numbers</t>
        </is>
      </c>
      <c r="E1534" t="inlineStr">
        <is>
          <t>Original</t>
        </is>
      </c>
      <c r="F1534" t="inlineStr">
        <is>
          <t>6401018.xlsx</t>
        </is>
      </c>
      <c r="G1534" t="inlineStr">
        <is>
          <t>1972Q3</t>
        </is>
      </c>
      <c r="H1534" t="inlineStr">
        <is>
          <t>2026Q2</t>
        </is>
      </c>
      <c r="DA1534" s="2">
        <v>18.54</v>
      </c>
      <c r="DB1534" s="2">
        <v>18.64</v>
      </c>
      <c r="DC1534" s="2">
        <v>18.96</v>
      </c>
      <c r="DD1534" s="2">
        <v>21.29</v>
      </c>
      <c r="DE1534" s="2">
        <v>22.35</v>
      </c>
      <c r="DF1534" s="2">
        <v>23.2</v>
      </c>
      <c r="DG1534" s="2">
        <v>24.58</v>
      </c>
      <c r="DH1534" s="2">
        <v>26.8</v>
      </c>
      <c r="DI1534" s="2">
        <v>27.65</v>
      </c>
      <c r="DJ1534" s="2">
        <v>28.81</v>
      </c>
      <c r="DK1534" s="2">
        <v>29.45</v>
      </c>
      <c r="DL1534" s="2">
        <v>30.83</v>
      </c>
      <c r="DM1534" s="2">
        <v>31.99</v>
      </c>
      <c r="DN1534" s="2">
        <v>32.84</v>
      </c>
      <c r="DO1534" s="2">
        <v>33.47</v>
      </c>
      <c r="DP1534" s="2">
        <v>35.17</v>
      </c>
      <c r="DQ1534" s="2">
        <v>36.23</v>
      </c>
      <c r="DR1534" s="2">
        <v>36.33</v>
      </c>
      <c r="DS1534" s="2">
        <v>38.45</v>
      </c>
      <c r="DT1534" s="2">
        <v>41.31</v>
      </c>
      <c r="DU1534" s="2">
        <v>42.58</v>
      </c>
      <c r="DV1534" s="2">
        <v>43.96</v>
      </c>
      <c r="DW1534" s="2">
        <v>44.6</v>
      </c>
      <c r="DX1534" s="2">
        <v>45.87</v>
      </c>
      <c r="DY1534" s="2">
        <v>46.5</v>
      </c>
      <c r="DZ1534" s="2">
        <v>47.35</v>
      </c>
      <c r="EA1534" s="2">
        <v>48.09</v>
      </c>
      <c r="EB1534" s="2">
        <v>48.09</v>
      </c>
      <c r="EC1534" s="2">
        <v>49.47</v>
      </c>
      <c r="ED1534" s="2">
        <v>50.53</v>
      </c>
      <c r="EE1534" s="2">
        <v>51.38</v>
      </c>
      <c r="EF1534" s="2">
        <v>52.43</v>
      </c>
      <c r="EG1534" s="2">
        <v>53.92</v>
      </c>
      <c r="EH1534" s="2">
        <v>56.14</v>
      </c>
      <c r="EI1534" s="2">
        <v>56.67</v>
      </c>
      <c r="EJ1534" s="2">
        <v>57.84</v>
      </c>
      <c r="EK1534" s="2">
        <v>59.11</v>
      </c>
      <c r="EL1534" s="2">
        <v>60.17</v>
      </c>
      <c r="EM1534" s="2">
        <v>60.7</v>
      </c>
      <c r="EN1534" s="2">
        <v>61.86</v>
      </c>
      <c r="EO1534" s="2">
        <v>62.18</v>
      </c>
      <c r="EP1534" s="2">
        <v>63.34</v>
      </c>
      <c r="EQ1534" s="2">
        <v>64.83</v>
      </c>
      <c r="ER1534" s="2">
        <v>69.06999999999999</v>
      </c>
      <c r="ES1534" s="2">
        <v>70.12</v>
      </c>
      <c r="ET1534" s="2">
        <v>71.29000000000001</v>
      </c>
      <c r="EU1534" s="2">
        <v>72.03</v>
      </c>
      <c r="EV1534" s="2">
        <v>73.73</v>
      </c>
      <c r="EW1534" s="2">
        <v>73.3</v>
      </c>
      <c r="EX1534" s="2">
        <v>73.51000000000001</v>
      </c>
      <c r="EY1534" s="2">
        <v>73.41</v>
      </c>
      <c r="EZ1534" s="2">
        <v>75.42</v>
      </c>
      <c r="FA1534" s="2">
        <v>76.69</v>
      </c>
      <c r="FB1534" s="2">
        <v>79.45</v>
      </c>
      <c r="FC1534" s="2">
        <v>81.04000000000001</v>
      </c>
      <c r="FD1534" s="2">
        <v>85.06</v>
      </c>
      <c r="FE1534" s="2">
        <v>86.54000000000001</v>
      </c>
      <c r="FF1534" s="2">
        <v>87.70999999999999</v>
      </c>
      <c r="FG1534" s="2">
        <v>87.92</v>
      </c>
      <c r="FH1534" s="2">
        <v>90.89</v>
      </c>
      <c r="FI1534" s="2">
        <v>92.37</v>
      </c>
      <c r="FJ1534" s="2">
        <v>93.31999999999999</v>
      </c>
      <c r="FK1534" s="2">
        <v>94.38</v>
      </c>
      <c r="FL1534" s="2">
        <v>94.28</v>
      </c>
      <c r="FM1534" s="2">
        <v>96.70999999999999</v>
      </c>
      <c r="FN1534" s="2">
        <v>97.45</v>
      </c>
      <c r="FO1534" s="2">
        <v>99.36</v>
      </c>
      <c r="FP1534" s="2">
        <v>101.69</v>
      </c>
      <c r="FQ1534" s="2">
        <v>103.81</v>
      </c>
      <c r="FR1534" s="2">
        <v>105.29</v>
      </c>
      <c r="FS1534" s="2">
        <v>106.25</v>
      </c>
      <c r="FT1534" s="2">
        <v>108.36</v>
      </c>
      <c r="FU1534" s="2">
        <v>109.21</v>
      </c>
      <c r="FV1534" s="2">
        <v>108.68</v>
      </c>
      <c r="FW1534" s="2">
        <v>110.69</v>
      </c>
      <c r="FX1534" s="2">
        <v>113.24</v>
      </c>
      <c r="FY1534" s="2">
        <v>113.34</v>
      </c>
      <c r="FZ1534" s="2">
        <v>112.92</v>
      </c>
      <c r="GA1534" s="2">
        <v>113.03</v>
      </c>
      <c r="GB1534" s="2">
        <v>112.18</v>
      </c>
      <c r="GC1534" s="2">
        <v>112.28</v>
      </c>
      <c r="GD1534" s="2">
        <v>113.13</v>
      </c>
      <c r="GE1534" s="2">
        <v>113.13</v>
      </c>
      <c r="GF1534" s="2">
        <v>113.66</v>
      </c>
      <c r="GG1534" s="2">
        <v>113.55</v>
      </c>
      <c r="GH1534" s="2">
        <v>113.77</v>
      </c>
      <c r="GI1534" s="2">
        <v>113.03</v>
      </c>
      <c r="GJ1534" s="2">
        <v>113.98</v>
      </c>
      <c r="GK1534" s="2">
        <v>114.3</v>
      </c>
      <c r="GL1534" s="2">
        <v>115.46</v>
      </c>
      <c r="GM1534" s="2">
        <v>115.57</v>
      </c>
      <c r="GN1534" s="2">
        <v>118.11</v>
      </c>
      <c r="GO1534" s="2">
        <v>118.96</v>
      </c>
      <c r="GP1534" s="2">
        <v>121.29</v>
      </c>
      <c r="GQ1534" s="2">
        <v>122.35</v>
      </c>
      <c r="GR1534" s="2">
        <v>121.82</v>
      </c>
      <c r="GS1534" s="2">
        <v>122.66</v>
      </c>
      <c r="GT1534" s="2">
        <v>124.89</v>
      </c>
      <c r="GU1534" s="2">
        <v>124.68</v>
      </c>
      <c r="GV1534" s="2">
        <v>125</v>
      </c>
      <c r="GW1534" s="2">
        <v>125.84</v>
      </c>
      <c r="GX1534" s="2">
        <v>127.01</v>
      </c>
      <c r="GY1534" s="2">
        <v>127.54</v>
      </c>
      <c r="GZ1534" s="2">
        <v>127.33</v>
      </c>
      <c r="HA1534" s="2">
        <v>127.86</v>
      </c>
      <c r="HB1534" s="2">
        <v>128.6</v>
      </c>
      <c r="HC1534" s="2">
        <v>128.91</v>
      </c>
      <c r="HD1534" s="2">
        <v>128.38</v>
      </c>
      <c r="HE1534" s="2">
        <v>127.96</v>
      </c>
      <c r="HF1534" s="2">
        <v>127.96</v>
      </c>
      <c r="HG1534" s="2">
        <v>127.22</v>
      </c>
      <c r="HH1534" s="2">
        <v>126.05</v>
      </c>
      <c r="HI1534" s="2">
        <v>131.24</v>
      </c>
      <c r="HJ1534" s="2">
        <v>127.01</v>
      </c>
      <c r="HK1534" s="2">
        <v>127.96</v>
      </c>
      <c r="HL1534" s="2">
        <v>130.29</v>
      </c>
      <c r="HM1534" s="2">
        <v>126.8</v>
      </c>
      <c r="HN1534" s="2">
        <v>128.91</v>
      </c>
      <c r="HO1534" s="2">
        <v>127.33</v>
      </c>
      <c r="HP1534" s="2">
        <v>124.68</v>
      </c>
      <c r="HQ1534" s="2">
        <v>122.88</v>
      </c>
      <c r="HR1534" s="2">
        <v>125.1</v>
      </c>
      <c r="HS1534" s="2">
        <v>123.51</v>
      </c>
      <c r="HT1534" s="2">
        <v>123.94</v>
      </c>
      <c r="HU1534" s="2">
        <v>125</v>
      </c>
      <c r="HV1534" s="2">
        <v>121.92</v>
      </c>
      <c r="HW1534" s="2">
        <v>121.82</v>
      </c>
      <c r="HX1534" s="2">
        <v>118</v>
      </c>
      <c r="HY1534" s="2">
        <v>118.96</v>
      </c>
      <c r="HZ1534" s="2">
        <v>119.17</v>
      </c>
      <c r="IA1534" s="2">
        <v>115.25</v>
      </c>
      <c r="IB1534" s="2">
        <v>118.85</v>
      </c>
      <c r="IC1534" s="2">
        <v>117.37</v>
      </c>
      <c r="ID1534" s="2">
        <v>117.69</v>
      </c>
      <c r="IE1534" s="2">
        <v>115.78</v>
      </c>
      <c r="IF1534" s="2">
        <v>115.89</v>
      </c>
      <c r="IG1534" s="2">
        <v>118.32</v>
      </c>
      <c r="IH1534" s="2">
        <v>117.58</v>
      </c>
      <c r="II1534" s="2">
        <v>112.5</v>
      </c>
      <c r="IJ1534" s="2">
        <v>117.16</v>
      </c>
      <c r="IK1534" s="2">
        <v>114.08</v>
      </c>
      <c r="IL1534" s="2">
        <v>113.87</v>
      </c>
      <c r="IM1534" s="2">
        <v>108.89</v>
      </c>
      <c r="IN1534" s="2">
        <v>112.39</v>
      </c>
      <c r="IO1534" s="2">
        <v>113.13</v>
      </c>
      <c r="IP1534" s="2">
        <v>113.13</v>
      </c>
      <c r="IQ1534" s="2">
        <v>111.01</v>
      </c>
      <c r="IR1534" s="2">
        <v>114.93</v>
      </c>
      <c r="IS1534" s="2">
        <v>114.3</v>
      </c>
      <c r="IT1534" s="2">
        <v>114.93</v>
      </c>
      <c r="IU1534" s="2">
        <v>108.89</v>
      </c>
      <c r="IV1534" s="2">
        <v>109.64</v>
      </c>
      <c r="IW1534" s="2">
        <v>111.54</v>
      </c>
      <c r="IX1534" s="2">
        <v>110.59</v>
      </c>
      <c r="IY1534" s="2">
        <v>106.35</v>
      </c>
      <c r="IZ1534" s="2">
        <v>111.54</v>
      </c>
      <c r="JA1534" s="2">
        <v>112.13</v>
      </c>
      <c r="JB1534" s="2">
        <v>113.28</v>
      </c>
      <c r="JC1534" s="2">
        <v>106.95</v>
      </c>
      <c r="JD1534" s="2">
        <v>110.03</v>
      </c>
      <c r="JE1534" s="2">
        <v>110.91</v>
      </c>
      <c r="JF1534" s="2">
        <v>109.61</v>
      </c>
      <c r="JG1534" s="2">
        <v>102.3</v>
      </c>
      <c r="JH1534" s="2">
        <v>104.53</v>
      </c>
      <c r="JI1534" s="2">
        <v>108.54</v>
      </c>
      <c r="JJ1534" s="2">
        <v>108.62</v>
      </c>
      <c r="JK1534" s="2">
        <v>105.47</v>
      </c>
      <c r="JL1534" s="2">
        <v>103.3</v>
      </c>
      <c r="JM1534" s="2">
        <v>99.81999999999999</v>
      </c>
      <c r="JN1534" s="2">
        <v>102.96</v>
      </c>
      <c r="JO1534" s="2">
        <v>97.45999999999999</v>
      </c>
      <c r="JP1534" s="2">
        <v>97.34</v>
      </c>
      <c r="JQ1534" s="2">
        <v>102.57</v>
      </c>
      <c r="JR1534" s="2">
        <v>104.74</v>
      </c>
      <c r="JS1534" s="2">
        <v>100.46</v>
      </c>
      <c r="JT1534" s="2">
        <v>99.15000000000001</v>
      </c>
      <c r="JU1534" s="2">
        <v>105.03</v>
      </c>
      <c r="JV1534" s="2">
        <v>100.56</v>
      </c>
      <c r="KA1534" s="2">
        <v>94.95</v>
      </c>
      <c r="KB1534" s="2">
        <v>98.68000000000001</v>
      </c>
      <c r="KC1534" s="2">
        <v>101.11</v>
      </c>
      <c r="KD1534" s="2">
        <v>95.38</v>
      </c>
      <c r="KQ1534" s="2">
        <v>92.05</v>
      </c>
      <c r="KR1534" s="2">
        <v>93.09999999999999</v>
      </c>
      <c r="KS1534" s="2">
        <v>93.39</v>
      </c>
      <c r="KT1534" s="2">
        <v>91.81999999999999</v>
      </c>
      <c r="LG1534" s="2">
        <v>89.98</v>
      </c>
      <c r="LH1534" s="2">
        <v>92.68000000000001</v>
      </c>
      <c r="LI1534" s="2">
        <v>93.70999999999999</v>
      </c>
      <c r="LJ1534" s="2">
        <v>90.29000000000001</v>
      </c>
      <c r="LW1534" s="2">
        <v>93.7</v>
      </c>
      <c r="LX1534" s="2">
        <v>93.55</v>
      </c>
      <c r="LY1534" s="2">
        <v>98.56</v>
      </c>
      <c r="LZ1534" s="2">
        <v>96.61</v>
      </c>
      <c r="MM1534" s="2">
        <v>95.06</v>
      </c>
      <c r="MN1534" s="2">
        <v>96.98</v>
      </c>
      <c r="MO1534" s="2">
        <v>99.94</v>
      </c>
      <c r="MP1534" s="2">
        <v>97.04000000000001</v>
      </c>
      <c r="NC1534" s="2">
        <v>97.61</v>
      </c>
      <c r="ND1534" s="2">
        <v>101.54</v>
      </c>
      <c r="NE1534" s="2">
        <v>103.06</v>
      </c>
      <c r="NF1534" s="2">
        <v>100.87</v>
      </c>
      <c r="NS1534" s="2">
        <v>96.65000000000001</v>
      </c>
      <c r="NT1534" s="2">
        <v>105.89</v>
      </c>
      <c r="NU1534" s="2">
        <v>102.41</v>
      </c>
      <c r="NV1534" s="2">
        <v>96.97</v>
      </c>
      <c r="OI1534" s="2">
        <v>96.8</v>
      </c>
      <c r="OJ1534" s="2">
        <v>97.81999999999999</v>
      </c>
      <c r="OK1534" s="2">
        <v>98.87</v>
      </c>
      <c r="OL1534" s="2">
        <v>96.78</v>
      </c>
      <c r="OY1534" s="2">
        <v>93.48</v>
      </c>
      <c r="OZ1534" s="2">
        <v>96.75</v>
      </c>
      <c r="PA1534" s="2">
        <v>101.31</v>
      </c>
      <c r="PB1534" s="2">
        <v>99.79000000000001</v>
      </c>
      <c r="PJ1534" s="2">
        <v>97.94</v>
      </c>
      <c r="PK1534" s="2">
        <v>94.81999999999999</v>
      </c>
    </row>
    <row r="1535">
      <c r="A1535" t="inlineStr">
        <is>
          <t>A2330031K</t>
        </is>
      </c>
      <c r="B1535" t="inlineStr">
        <is>
          <t>Index Numbers ;  Household appliances, utensils and tools ;  Australia ;</t>
        </is>
      </c>
      <c r="C1535" t="inlineStr">
        <is>
          <t>Quarter</t>
        </is>
      </c>
      <c r="D1535" t="inlineStr">
        <is>
          <t>Index Numbers</t>
        </is>
      </c>
      <c r="E1535" t="inlineStr">
        <is>
          <t>Original</t>
        </is>
      </c>
      <c r="F1535" t="inlineStr">
        <is>
          <t>6401018.xlsx</t>
        </is>
      </c>
      <c r="G1535" t="inlineStr">
        <is>
          <t>1989Q3</t>
        </is>
      </c>
      <c r="H1535" t="inlineStr">
        <is>
          <t>2026Q2</t>
        </is>
      </c>
      <c r="FQ1535" s="2">
        <v>96.20999999999999</v>
      </c>
      <c r="FR1535" s="2">
        <v>97.28</v>
      </c>
      <c r="FS1535" s="2">
        <v>97.97</v>
      </c>
      <c r="FT1535" s="2">
        <v>98.84</v>
      </c>
      <c r="FU1535" s="2">
        <v>100.11</v>
      </c>
      <c r="FV1535" s="2">
        <v>100.21</v>
      </c>
      <c r="FW1535" s="2">
        <v>101.38</v>
      </c>
      <c r="FX1535" s="2">
        <v>101.38</v>
      </c>
      <c r="FY1535" s="2">
        <v>101.77</v>
      </c>
      <c r="FZ1535" s="2">
        <v>101.87</v>
      </c>
      <c r="GA1535" s="2">
        <v>102.36</v>
      </c>
      <c r="GB1535" s="2">
        <v>102.55</v>
      </c>
      <c r="GC1535" s="2">
        <v>101.58</v>
      </c>
      <c r="GD1535" s="2">
        <v>101.48</v>
      </c>
      <c r="GE1535" s="2">
        <v>101.67</v>
      </c>
      <c r="GF1535" s="2">
        <v>103.04</v>
      </c>
      <c r="GG1535" s="2">
        <v>103.14</v>
      </c>
      <c r="GH1535" s="2">
        <v>103.24</v>
      </c>
      <c r="GI1535" s="2">
        <v>103.63</v>
      </c>
      <c r="GJ1535" s="2">
        <v>103.92</v>
      </c>
      <c r="GK1535" s="2">
        <v>104.31</v>
      </c>
      <c r="GL1535" s="2">
        <v>104.7</v>
      </c>
      <c r="GM1535" s="2">
        <v>104.41</v>
      </c>
      <c r="GN1535" s="2">
        <v>104.21</v>
      </c>
      <c r="GO1535" s="2">
        <v>104.89</v>
      </c>
      <c r="GP1535" s="2">
        <v>104.6</v>
      </c>
      <c r="GQ1535" s="2">
        <v>104.8</v>
      </c>
      <c r="GR1535" s="2">
        <v>105.48</v>
      </c>
      <c r="GS1535" s="2">
        <v>105.67</v>
      </c>
      <c r="GT1535" s="2">
        <v>105.19</v>
      </c>
      <c r="GU1535" s="2">
        <v>104.8</v>
      </c>
      <c r="GV1535" s="2">
        <v>105.19</v>
      </c>
      <c r="GW1535" s="2">
        <v>104.41</v>
      </c>
      <c r="GX1535" s="2">
        <v>104.6</v>
      </c>
      <c r="GY1535" s="2">
        <v>104.6</v>
      </c>
      <c r="GZ1535" s="2">
        <v>104.8</v>
      </c>
      <c r="HA1535" s="2">
        <v>104.67</v>
      </c>
      <c r="HB1535" s="2">
        <v>104.19</v>
      </c>
      <c r="HC1535" s="2">
        <v>103.85</v>
      </c>
      <c r="HD1535" s="2">
        <v>104.97</v>
      </c>
      <c r="HE1535" s="2">
        <v>104.94</v>
      </c>
      <c r="HF1535" s="2">
        <v>104.26</v>
      </c>
      <c r="HG1535" s="2">
        <v>104</v>
      </c>
      <c r="HH1535" s="2">
        <v>104.04</v>
      </c>
      <c r="HI1535" s="2">
        <v>105.75</v>
      </c>
      <c r="HJ1535" s="2">
        <v>104.88</v>
      </c>
      <c r="HK1535" s="2">
        <v>106.32</v>
      </c>
      <c r="HL1535" s="2">
        <v>107.42</v>
      </c>
      <c r="HM1535" s="2">
        <v>106.62</v>
      </c>
      <c r="HN1535" s="2">
        <v>107.61</v>
      </c>
      <c r="HO1535" s="2">
        <v>105.7</v>
      </c>
      <c r="HP1535" s="2">
        <v>105.85</v>
      </c>
      <c r="HQ1535" s="2">
        <v>105.39</v>
      </c>
      <c r="HR1535" s="2">
        <v>105.47</v>
      </c>
      <c r="HS1535" s="2">
        <v>103.82</v>
      </c>
      <c r="HT1535" s="2">
        <v>104.54</v>
      </c>
      <c r="HU1535" s="2">
        <v>104.37</v>
      </c>
      <c r="HV1535" s="2">
        <v>103.82</v>
      </c>
      <c r="HW1535" s="2">
        <v>102.69</v>
      </c>
      <c r="HX1535" s="2">
        <v>101.9</v>
      </c>
      <c r="HY1535" s="2">
        <v>101.65</v>
      </c>
      <c r="HZ1535" s="2">
        <v>101.7</v>
      </c>
      <c r="IA1535" s="2">
        <v>100.37</v>
      </c>
      <c r="IB1535" s="2">
        <v>102.17</v>
      </c>
      <c r="IC1535" s="2">
        <v>102.76</v>
      </c>
      <c r="ID1535" s="2">
        <v>101.52</v>
      </c>
      <c r="IE1535" s="2">
        <v>100.44</v>
      </c>
      <c r="IF1535" s="2">
        <v>101.41</v>
      </c>
      <c r="IG1535" s="2">
        <v>101.12</v>
      </c>
      <c r="IH1535" s="2">
        <v>100.21</v>
      </c>
      <c r="II1535" s="2">
        <v>99.44</v>
      </c>
      <c r="IJ1535" s="2">
        <v>100.56</v>
      </c>
      <c r="IK1535" s="2">
        <v>100.75</v>
      </c>
      <c r="IL1535" s="2">
        <v>100.72</v>
      </c>
      <c r="IM1535" s="2">
        <v>99.41</v>
      </c>
      <c r="IN1535" s="2">
        <v>100.99</v>
      </c>
      <c r="IO1535" s="2">
        <v>100.28</v>
      </c>
      <c r="IP1535" s="2">
        <v>99.69</v>
      </c>
      <c r="IQ1535" s="2">
        <v>99.75</v>
      </c>
      <c r="IR1535" s="2">
        <v>102.2</v>
      </c>
      <c r="IS1535" s="2">
        <v>103.77</v>
      </c>
      <c r="IT1535" s="2">
        <v>102.3</v>
      </c>
      <c r="IU1535" s="2">
        <v>100.14</v>
      </c>
      <c r="IV1535" s="2">
        <v>101.88</v>
      </c>
      <c r="IW1535" s="2">
        <v>101.41</v>
      </c>
      <c r="IX1535" s="2">
        <v>99.59999999999999</v>
      </c>
      <c r="IY1535" s="2">
        <v>97.89</v>
      </c>
      <c r="IZ1535" s="2">
        <v>99.56999999999999</v>
      </c>
      <c r="JA1535" s="2">
        <v>100.16</v>
      </c>
      <c r="JB1535" s="2">
        <v>97.68000000000001</v>
      </c>
      <c r="JC1535" s="2">
        <v>97.44</v>
      </c>
      <c r="JD1535" s="2">
        <v>96.83</v>
      </c>
      <c r="JE1535" s="2">
        <v>97.59</v>
      </c>
      <c r="JF1535" s="2">
        <v>95.45999999999999</v>
      </c>
      <c r="JG1535" s="2">
        <v>93.14</v>
      </c>
      <c r="JH1535" s="2">
        <v>93.67</v>
      </c>
      <c r="JI1535" s="2">
        <v>94.54000000000001</v>
      </c>
      <c r="JJ1535" s="2">
        <v>95.3</v>
      </c>
      <c r="JK1535" s="2">
        <v>94.37</v>
      </c>
      <c r="JL1535" s="2">
        <v>94.3</v>
      </c>
      <c r="JM1535" s="2">
        <v>95.56</v>
      </c>
      <c r="JN1535" s="2">
        <v>93.22</v>
      </c>
      <c r="JO1535" s="2">
        <v>92.59999999999999</v>
      </c>
      <c r="JP1535" s="2">
        <v>94.13</v>
      </c>
      <c r="JQ1535" s="2">
        <v>95.81999999999999</v>
      </c>
      <c r="JR1535" s="2">
        <v>95.89</v>
      </c>
      <c r="JS1535" s="2">
        <v>95.54000000000001</v>
      </c>
      <c r="JT1535" s="2">
        <v>96.5</v>
      </c>
      <c r="JU1535" s="2">
        <v>97.05</v>
      </c>
      <c r="JV1535" s="2">
        <v>95.03</v>
      </c>
      <c r="KA1535" s="2">
        <v>93.38</v>
      </c>
      <c r="KB1535" s="2">
        <v>93.75</v>
      </c>
      <c r="KC1535" s="2">
        <v>94.48</v>
      </c>
      <c r="KD1535" s="2">
        <v>92.42</v>
      </c>
      <c r="KQ1535" s="2">
        <v>91.12</v>
      </c>
      <c r="KR1535" s="2">
        <v>92.23</v>
      </c>
      <c r="KS1535" s="2">
        <v>93.12</v>
      </c>
      <c r="KT1535" s="2">
        <v>93.64</v>
      </c>
      <c r="LG1535" s="2">
        <v>92.02</v>
      </c>
      <c r="LH1535" s="2">
        <v>92.7</v>
      </c>
      <c r="LI1535" s="2">
        <v>93.19</v>
      </c>
      <c r="LJ1535" s="2">
        <v>92.01000000000001</v>
      </c>
      <c r="LW1535" s="2">
        <v>92.51000000000001</v>
      </c>
      <c r="LX1535" s="2">
        <v>94.47</v>
      </c>
      <c r="LY1535" s="2">
        <v>98.68000000000001</v>
      </c>
      <c r="LZ1535" s="2">
        <v>98.48</v>
      </c>
      <c r="MM1535" s="2">
        <v>97.08</v>
      </c>
      <c r="MN1535" s="2">
        <v>97.94</v>
      </c>
      <c r="MO1535" s="2">
        <v>98.05</v>
      </c>
      <c r="MP1535" s="2">
        <v>98.08</v>
      </c>
      <c r="NC1535" s="2">
        <v>98.56</v>
      </c>
      <c r="ND1535" s="2">
        <v>102.41</v>
      </c>
      <c r="NE1535" s="2">
        <v>104.47</v>
      </c>
      <c r="NF1535" s="2">
        <v>106.04</v>
      </c>
      <c r="NS1535" s="2">
        <v>103.02</v>
      </c>
      <c r="NT1535" s="2">
        <v>103.93</v>
      </c>
      <c r="NU1535" s="2">
        <v>103.83</v>
      </c>
      <c r="NV1535" s="2">
        <v>102.66</v>
      </c>
      <c r="OI1535" s="2">
        <v>102.2</v>
      </c>
      <c r="OJ1535" s="2">
        <v>102.08</v>
      </c>
      <c r="OK1535" s="2">
        <v>103.08</v>
      </c>
      <c r="OL1535" s="2">
        <v>102.88</v>
      </c>
      <c r="OY1535" s="2">
        <v>100.76</v>
      </c>
      <c r="OZ1535" s="2">
        <v>101.61</v>
      </c>
      <c r="PA1535" s="2">
        <v>101.13</v>
      </c>
      <c r="PB1535" s="2">
        <v>99.12</v>
      </c>
      <c r="PJ1535" s="2">
        <v>98.98</v>
      </c>
      <c r="PK1535" s="2">
        <v>98.98999999999999</v>
      </c>
    </row>
    <row r="1536">
      <c r="A1536" t="inlineStr">
        <is>
          <t>A2328276T</t>
        </is>
      </c>
      <c r="B1536" t="inlineStr">
        <is>
          <t>Index Numbers ;  Major household appliances ;  Australia ;</t>
        </is>
      </c>
      <c r="C1536" t="inlineStr">
        <is>
          <t>Quarter</t>
        </is>
      </c>
      <c r="D1536" t="inlineStr">
        <is>
          <t>Index Numbers</t>
        </is>
      </c>
      <c r="E1536" t="inlineStr">
        <is>
          <t>Original</t>
        </is>
      </c>
      <c r="F1536" t="inlineStr">
        <is>
          <t>6401018.xlsx</t>
        </is>
      </c>
      <c r="G1536" t="inlineStr">
        <is>
          <t>1972Q3</t>
        </is>
      </c>
      <c r="H1536" t="inlineStr">
        <is>
          <t>2026Q2</t>
        </is>
      </c>
      <c r="DA1536" s="2">
        <v>44.33</v>
      </c>
      <c r="DB1536" s="2">
        <v>44.53</v>
      </c>
      <c r="DC1536" s="2">
        <v>44.53</v>
      </c>
      <c r="DD1536" s="2">
        <v>44.72</v>
      </c>
      <c r="DE1536" s="2">
        <v>45.41</v>
      </c>
      <c r="DF1536" s="2">
        <v>45.9</v>
      </c>
      <c r="DG1536" s="2">
        <v>46.39</v>
      </c>
      <c r="DH1536" s="2">
        <v>46.87</v>
      </c>
      <c r="DI1536" s="2">
        <v>49.52</v>
      </c>
      <c r="DJ1536" s="2">
        <v>50.79</v>
      </c>
      <c r="DK1536" s="2">
        <v>51.57</v>
      </c>
      <c r="DL1536" s="2">
        <v>52.35</v>
      </c>
      <c r="DM1536" s="2">
        <v>52.35</v>
      </c>
      <c r="DN1536" s="2">
        <v>53.63</v>
      </c>
      <c r="DO1536" s="2">
        <v>53.92</v>
      </c>
      <c r="DP1536" s="2">
        <v>54.31</v>
      </c>
      <c r="DQ1536" s="2">
        <v>54.61</v>
      </c>
      <c r="DR1536" s="2">
        <v>55</v>
      </c>
      <c r="DS1536" s="2">
        <v>55.68</v>
      </c>
      <c r="DT1536" s="2">
        <v>56.95</v>
      </c>
      <c r="DU1536" s="2">
        <v>56.86</v>
      </c>
      <c r="DV1536" s="2">
        <v>57.93</v>
      </c>
      <c r="DW1536" s="2">
        <v>58.52</v>
      </c>
      <c r="DX1536" s="2">
        <v>59.01</v>
      </c>
      <c r="DY1536" s="2">
        <v>59.69</v>
      </c>
      <c r="DZ1536" s="2">
        <v>59.89</v>
      </c>
      <c r="EA1536" s="2">
        <v>60.48</v>
      </c>
      <c r="EB1536" s="2">
        <v>60.87</v>
      </c>
      <c r="EC1536" s="2">
        <v>61.26</v>
      </c>
      <c r="ED1536" s="2">
        <v>61.94</v>
      </c>
      <c r="EE1536" s="2">
        <v>63.51</v>
      </c>
      <c r="EF1536" s="2">
        <v>64.48999999999999</v>
      </c>
      <c r="EG1536" s="2">
        <v>66.84</v>
      </c>
      <c r="EH1536" s="2">
        <v>66.84</v>
      </c>
      <c r="EI1536" s="2">
        <v>67.52</v>
      </c>
      <c r="EJ1536" s="2">
        <v>68.7</v>
      </c>
      <c r="EK1536" s="2">
        <v>69.87</v>
      </c>
      <c r="EL1536" s="2">
        <v>71.34</v>
      </c>
      <c r="EM1536" s="2">
        <v>72.31999999999999</v>
      </c>
      <c r="EN1536" s="2">
        <v>73</v>
      </c>
      <c r="EO1536" s="2">
        <v>74.18000000000001</v>
      </c>
      <c r="EP1536" s="2">
        <v>74.37</v>
      </c>
      <c r="EQ1536" s="2">
        <v>74.47</v>
      </c>
      <c r="ER1536" s="2">
        <v>75.34999999999999</v>
      </c>
      <c r="ES1536" s="2">
        <v>75.84</v>
      </c>
      <c r="ET1536" s="2">
        <v>76.43000000000001</v>
      </c>
      <c r="EU1536" s="2">
        <v>76.92</v>
      </c>
      <c r="EV1536" s="2">
        <v>77.41</v>
      </c>
      <c r="EW1536" s="2">
        <v>77.01000000000001</v>
      </c>
      <c r="EX1536" s="2">
        <v>76.72</v>
      </c>
      <c r="EY1536" s="2">
        <v>76.33</v>
      </c>
      <c r="EZ1536" s="2">
        <v>77.31</v>
      </c>
      <c r="FA1536" s="2">
        <v>77.41</v>
      </c>
      <c r="FB1536" s="2">
        <v>79.84999999999999</v>
      </c>
      <c r="FC1536" s="2">
        <v>82.48999999999999</v>
      </c>
      <c r="FD1536" s="2">
        <v>83.28</v>
      </c>
      <c r="FE1536" s="2">
        <v>84.94</v>
      </c>
      <c r="FF1536" s="2">
        <v>86.20999999999999</v>
      </c>
      <c r="FG1536" s="2">
        <v>87.19</v>
      </c>
      <c r="FH1536" s="2">
        <v>88.86</v>
      </c>
      <c r="FI1536" s="2">
        <v>89.25</v>
      </c>
      <c r="FJ1536" s="2">
        <v>90.13</v>
      </c>
      <c r="FK1536" s="2">
        <v>91.2</v>
      </c>
      <c r="FL1536" s="2">
        <v>92.48</v>
      </c>
      <c r="FM1536" s="2">
        <v>93.65000000000001</v>
      </c>
      <c r="FN1536" s="2">
        <v>95.31</v>
      </c>
      <c r="FO1536" s="2">
        <v>95.8</v>
      </c>
      <c r="FP1536" s="2">
        <v>95.41</v>
      </c>
      <c r="FQ1536" s="2">
        <v>97.08</v>
      </c>
      <c r="FR1536" s="2">
        <v>98.34999999999999</v>
      </c>
      <c r="FS1536" s="2">
        <v>97.86</v>
      </c>
      <c r="FT1536" s="2">
        <v>98.05</v>
      </c>
      <c r="FU1536" s="2">
        <v>99.03</v>
      </c>
      <c r="FV1536" s="2">
        <v>99.33</v>
      </c>
      <c r="FW1536" s="2">
        <v>99.33</v>
      </c>
      <c r="FX1536" s="2">
        <v>101.19</v>
      </c>
      <c r="FY1536" s="2">
        <v>101.87</v>
      </c>
      <c r="FZ1536" s="2">
        <v>101.97</v>
      </c>
      <c r="GA1536" s="2">
        <v>102.46</v>
      </c>
      <c r="GB1536" s="2">
        <v>102.07</v>
      </c>
      <c r="GC1536" s="2">
        <v>101.48</v>
      </c>
      <c r="GD1536" s="2">
        <v>101.19</v>
      </c>
      <c r="GE1536" s="2">
        <v>101.87</v>
      </c>
      <c r="GF1536" s="2">
        <v>102.95</v>
      </c>
      <c r="GG1536" s="2">
        <v>103.05</v>
      </c>
      <c r="GH1536" s="2">
        <v>103.34</v>
      </c>
      <c r="GI1536" s="2">
        <v>103.73</v>
      </c>
      <c r="GJ1536" s="2">
        <v>103.73</v>
      </c>
      <c r="GK1536" s="2">
        <v>105</v>
      </c>
      <c r="GL1536" s="2">
        <v>105.88</v>
      </c>
      <c r="GM1536" s="2">
        <v>105.88</v>
      </c>
      <c r="GN1536" s="2">
        <v>105.1</v>
      </c>
      <c r="GO1536" s="2">
        <v>106.08</v>
      </c>
      <c r="GP1536" s="2">
        <v>105.79</v>
      </c>
      <c r="GQ1536" s="2">
        <v>106.08</v>
      </c>
      <c r="GR1536" s="2">
        <v>107.16</v>
      </c>
      <c r="GS1536" s="2">
        <v>107.74</v>
      </c>
      <c r="GT1536" s="2">
        <v>107.35</v>
      </c>
      <c r="GU1536" s="2">
        <v>107.06</v>
      </c>
      <c r="GV1536" s="2">
        <v>107.45</v>
      </c>
      <c r="GW1536" s="2">
        <v>107.06</v>
      </c>
      <c r="GX1536" s="2">
        <v>106.67</v>
      </c>
      <c r="GY1536" s="2">
        <v>106.18</v>
      </c>
      <c r="GZ1536" s="2">
        <v>106.18</v>
      </c>
      <c r="HA1536" s="2">
        <v>105.75</v>
      </c>
      <c r="HB1536" s="2">
        <v>104.25</v>
      </c>
      <c r="HC1536" s="2">
        <v>103.93</v>
      </c>
      <c r="HD1536" s="2">
        <v>104.4</v>
      </c>
      <c r="HE1536" s="2">
        <v>104.45</v>
      </c>
      <c r="HF1536" s="2">
        <v>103.62</v>
      </c>
      <c r="HG1536" s="2">
        <v>103.06</v>
      </c>
      <c r="HH1536" s="2">
        <v>102.85</v>
      </c>
      <c r="HI1536" s="2">
        <v>105.88</v>
      </c>
      <c r="HJ1536" s="2">
        <v>106.39</v>
      </c>
      <c r="HK1536" s="2">
        <v>108.78</v>
      </c>
      <c r="HL1536" s="2">
        <v>108.95</v>
      </c>
      <c r="HM1536" s="2">
        <v>108.11</v>
      </c>
      <c r="HN1536" s="2">
        <v>108.1</v>
      </c>
      <c r="HO1536" s="2">
        <v>106.28</v>
      </c>
      <c r="HP1536" s="2">
        <v>105.88</v>
      </c>
      <c r="HQ1536" s="2">
        <v>105.9</v>
      </c>
      <c r="HR1536" s="2">
        <v>106.02</v>
      </c>
      <c r="HS1536" s="2">
        <v>104.44</v>
      </c>
      <c r="HT1536" s="2">
        <v>104.43</v>
      </c>
      <c r="HU1536" s="2">
        <v>104.71</v>
      </c>
      <c r="HV1536" s="2">
        <v>105.42</v>
      </c>
      <c r="HW1536" s="2">
        <v>104.57</v>
      </c>
      <c r="HX1536" s="2">
        <v>104.05</v>
      </c>
      <c r="HY1536" s="2">
        <v>104.09</v>
      </c>
      <c r="HZ1536" s="2">
        <v>104.6</v>
      </c>
      <c r="IA1536" s="2">
        <v>104.89</v>
      </c>
      <c r="IB1536" s="2">
        <v>106.75</v>
      </c>
      <c r="IC1536" s="2">
        <v>108.6</v>
      </c>
      <c r="ID1536" s="2">
        <v>107.54</v>
      </c>
      <c r="IE1536" s="2">
        <v>106.65</v>
      </c>
      <c r="IF1536" s="2">
        <v>106.57</v>
      </c>
      <c r="IG1536" s="2">
        <v>104.54</v>
      </c>
      <c r="IH1536" s="2">
        <v>104.38</v>
      </c>
      <c r="II1536" s="2">
        <v>103.89</v>
      </c>
      <c r="IJ1536" s="2">
        <v>104.23</v>
      </c>
      <c r="IK1536" s="2">
        <v>104.32</v>
      </c>
      <c r="IL1536" s="2">
        <v>103.65</v>
      </c>
      <c r="IM1536" s="2">
        <v>103.03</v>
      </c>
      <c r="IN1536" s="2">
        <v>104.87</v>
      </c>
      <c r="IO1536" s="2">
        <v>103.62</v>
      </c>
      <c r="IP1536" s="2">
        <v>103.36</v>
      </c>
      <c r="IQ1536" s="2">
        <v>105.22</v>
      </c>
      <c r="IR1536" s="2">
        <v>104.39</v>
      </c>
      <c r="IS1536" s="2">
        <v>106.17</v>
      </c>
      <c r="IT1536" s="2">
        <v>103.21</v>
      </c>
      <c r="IU1536" s="2">
        <v>102.72</v>
      </c>
      <c r="IV1536" s="2">
        <v>102.1</v>
      </c>
      <c r="IW1536" s="2">
        <v>101.45</v>
      </c>
      <c r="IX1536" s="2">
        <v>99.25</v>
      </c>
      <c r="IY1536" s="2">
        <v>97.59999999999999</v>
      </c>
      <c r="IZ1536" s="2">
        <v>98.56</v>
      </c>
      <c r="JA1536" s="2">
        <v>97.91</v>
      </c>
      <c r="JB1536" s="2">
        <v>94.64</v>
      </c>
      <c r="JC1536" s="2">
        <v>94.92</v>
      </c>
      <c r="JD1536" s="2">
        <v>93.91</v>
      </c>
      <c r="JE1536" s="2">
        <v>94.53</v>
      </c>
      <c r="JF1536" s="2">
        <v>91.81</v>
      </c>
      <c r="JG1536" s="2">
        <v>90.18000000000001</v>
      </c>
      <c r="JH1536" s="2">
        <v>90.2</v>
      </c>
      <c r="JI1536" s="2">
        <v>89.52</v>
      </c>
      <c r="JJ1536" s="2">
        <v>92.75</v>
      </c>
      <c r="JK1536" s="2">
        <v>92.16</v>
      </c>
      <c r="JL1536" s="2">
        <v>92.7</v>
      </c>
      <c r="JM1536" s="2">
        <v>93.18000000000001</v>
      </c>
      <c r="JN1536" s="2">
        <v>90.90000000000001</v>
      </c>
      <c r="JO1536" s="2">
        <v>89.56</v>
      </c>
      <c r="JP1536" s="2">
        <v>93.19</v>
      </c>
      <c r="JQ1536" s="2">
        <v>94.19</v>
      </c>
      <c r="JR1536" s="2">
        <v>93.45</v>
      </c>
      <c r="JS1536" s="2">
        <v>94.08</v>
      </c>
      <c r="JT1536" s="2">
        <v>95.41</v>
      </c>
      <c r="JU1536" s="2">
        <v>94.5</v>
      </c>
      <c r="JV1536" s="2">
        <v>91.81999999999999</v>
      </c>
      <c r="KA1536" s="2">
        <v>90.75</v>
      </c>
      <c r="KB1536" s="2">
        <v>90.90000000000001</v>
      </c>
      <c r="KC1536" s="2">
        <v>90.48999999999999</v>
      </c>
      <c r="KD1536" s="2">
        <v>87.81</v>
      </c>
      <c r="KQ1536" s="2">
        <v>87.18000000000001</v>
      </c>
      <c r="KR1536" s="2">
        <v>88.01000000000001</v>
      </c>
      <c r="KS1536" s="2">
        <v>89.78</v>
      </c>
      <c r="KT1536" s="2">
        <v>91.48</v>
      </c>
      <c r="LG1536" s="2">
        <v>90.20999999999999</v>
      </c>
      <c r="LH1536" s="2">
        <v>92.45</v>
      </c>
      <c r="LI1536" s="2">
        <v>91.53</v>
      </c>
      <c r="LJ1536" s="2">
        <v>90.42</v>
      </c>
      <c r="LW1536" s="2">
        <v>91.83</v>
      </c>
      <c r="LX1536" s="2">
        <v>94.56999999999999</v>
      </c>
      <c r="LY1536" s="2">
        <v>99.67</v>
      </c>
      <c r="LZ1536" s="2">
        <v>99.40000000000001</v>
      </c>
      <c r="MM1536" s="2">
        <v>98.63</v>
      </c>
      <c r="MN1536" s="2">
        <v>98.14</v>
      </c>
      <c r="MO1536" s="2">
        <v>96.43000000000001</v>
      </c>
      <c r="MP1536" s="2">
        <v>96.88</v>
      </c>
      <c r="NC1536" s="2">
        <v>100.4</v>
      </c>
      <c r="ND1536" s="2">
        <v>103.75</v>
      </c>
      <c r="NE1536" s="2">
        <v>105.36</v>
      </c>
      <c r="NF1536" s="2">
        <v>106.78</v>
      </c>
      <c r="NS1536" s="2">
        <v>102.67</v>
      </c>
      <c r="NT1536" s="2">
        <v>102.29</v>
      </c>
      <c r="NU1536" s="2">
        <v>102.27</v>
      </c>
      <c r="NV1536" s="2">
        <v>99.12</v>
      </c>
      <c r="OI1536" s="2">
        <v>100.23</v>
      </c>
      <c r="OJ1536" s="2">
        <v>101.03</v>
      </c>
      <c r="OK1536" s="2">
        <v>100.6</v>
      </c>
      <c r="OL1536" s="2">
        <v>100.51</v>
      </c>
      <c r="OY1536" s="2">
        <v>98.25</v>
      </c>
      <c r="OZ1536" s="2">
        <v>99.95</v>
      </c>
      <c r="PA1536" s="2">
        <v>100.18</v>
      </c>
      <c r="PB1536" s="2">
        <v>98.31999999999999</v>
      </c>
      <c r="PJ1536" s="2">
        <v>98.42</v>
      </c>
      <c r="PK1536" s="2">
        <v>98.26000000000001</v>
      </c>
    </row>
    <row r="1537">
      <c r="A1537" t="inlineStr">
        <is>
          <t>A2331021X</t>
        </is>
      </c>
      <c r="B1537" t="inlineStr">
        <is>
          <t>Index Numbers ;  Small electric household appliances ;  Australia ;</t>
        </is>
      </c>
      <c r="C1537" t="inlineStr">
        <is>
          <t>Quarter</t>
        </is>
      </c>
      <c r="D1537" t="inlineStr">
        <is>
          <t>Index Numbers</t>
        </is>
      </c>
      <c r="E1537" t="inlineStr">
        <is>
          <t>Original</t>
        </is>
      </c>
      <c r="F1537" t="inlineStr">
        <is>
          <t>6401018.xlsx</t>
        </is>
      </c>
      <c r="G1537" t="inlineStr">
        <is>
          <t>1972Q3</t>
        </is>
      </c>
      <c r="H1537" t="inlineStr">
        <is>
          <t>2026Q2</t>
        </is>
      </c>
      <c r="DA1537" s="2">
        <v>50.57</v>
      </c>
      <c r="DB1537" s="2">
        <v>50.79</v>
      </c>
      <c r="DC1537" s="2">
        <v>50.79</v>
      </c>
      <c r="DD1537" s="2">
        <v>51.01</v>
      </c>
      <c r="DE1537" s="2">
        <v>51.79</v>
      </c>
      <c r="DF1537" s="2">
        <v>52.35</v>
      </c>
      <c r="DG1537" s="2">
        <v>52.91</v>
      </c>
      <c r="DH1537" s="2">
        <v>53.47</v>
      </c>
      <c r="DI1537" s="2">
        <v>56.48</v>
      </c>
      <c r="DJ1537" s="2">
        <v>57.93</v>
      </c>
      <c r="DK1537" s="2">
        <v>58.83</v>
      </c>
      <c r="DL1537" s="2">
        <v>59.72</v>
      </c>
      <c r="DM1537" s="2">
        <v>59.72</v>
      </c>
      <c r="DN1537" s="2">
        <v>61.17</v>
      </c>
      <c r="DO1537" s="2">
        <v>61.51</v>
      </c>
      <c r="DP1537" s="2">
        <v>61.95</v>
      </c>
      <c r="DQ1537" s="2">
        <v>62.29</v>
      </c>
      <c r="DR1537" s="2">
        <v>62.73</v>
      </c>
      <c r="DS1537" s="2">
        <v>63.51</v>
      </c>
      <c r="DT1537" s="2">
        <v>64.97</v>
      </c>
      <c r="DU1537" s="2">
        <v>64.84999999999999</v>
      </c>
      <c r="DV1537" s="2">
        <v>66.08</v>
      </c>
      <c r="DW1537" s="2">
        <v>66.75</v>
      </c>
      <c r="DX1537" s="2">
        <v>67.31</v>
      </c>
      <c r="DY1537" s="2">
        <v>68.09</v>
      </c>
      <c r="DZ1537" s="2">
        <v>68.31</v>
      </c>
      <c r="EA1537" s="2">
        <v>68.98</v>
      </c>
      <c r="EB1537" s="2">
        <v>69.43000000000001</v>
      </c>
      <c r="EC1537" s="2">
        <v>69.88</v>
      </c>
      <c r="ED1537" s="2">
        <v>70.66</v>
      </c>
      <c r="EE1537" s="2">
        <v>72.44</v>
      </c>
      <c r="EF1537" s="2">
        <v>73.56</v>
      </c>
      <c r="EG1537" s="2">
        <v>76.23999999999999</v>
      </c>
      <c r="EH1537" s="2">
        <v>76.23999999999999</v>
      </c>
      <c r="EI1537" s="2">
        <v>77.02</v>
      </c>
      <c r="EJ1537" s="2">
        <v>78.36</v>
      </c>
      <c r="EK1537" s="2">
        <v>79.7</v>
      </c>
      <c r="EL1537" s="2">
        <v>81.37</v>
      </c>
      <c r="EM1537" s="2">
        <v>82.48999999999999</v>
      </c>
      <c r="EN1537" s="2">
        <v>83.27</v>
      </c>
      <c r="EO1537" s="2">
        <v>84.61</v>
      </c>
      <c r="EP1537" s="2">
        <v>84.84</v>
      </c>
      <c r="EQ1537" s="2">
        <v>84.95</v>
      </c>
      <c r="ER1537" s="2">
        <v>85.95</v>
      </c>
      <c r="ES1537" s="2">
        <v>86.51000000000001</v>
      </c>
      <c r="ET1537" s="2">
        <v>87.18000000000001</v>
      </c>
      <c r="EU1537" s="2">
        <v>87.73999999999999</v>
      </c>
      <c r="EV1537" s="2">
        <v>88.3</v>
      </c>
      <c r="EW1537" s="2">
        <v>87.84999999999999</v>
      </c>
      <c r="EX1537" s="2">
        <v>87.51000000000001</v>
      </c>
      <c r="EY1537" s="2">
        <v>87.06999999999999</v>
      </c>
      <c r="EZ1537" s="2">
        <v>88.18000000000001</v>
      </c>
      <c r="FA1537" s="2">
        <v>88.3</v>
      </c>
      <c r="FB1537" s="2">
        <v>91.09</v>
      </c>
      <c r="FC1537" s="2">
        <v>94.09999999999999</v>
      </c>
      <c r="FD1537" s="2">
        <v>94.98999999999999</v>
      </c>
      <c r="FE1537" s="2">
        <v>96.89</v>
      </c>
      <c r="FF1537" s="2">
        <v>98.34</v>
      </c>
      <c r="FG1537" s="2">
        <v>99.45999999999999</v>
      </c>
      <c r="FH1537" s="2">
        <v>101.36</v>
      </c>
      <c r="FI1537" s="2">
        <v>101.8</v>
      </c>
      <c r="FJ1537" s="2">
        <v>102.81</v>
      </c>
      <c r="FK1537" s="2">
        <v>104.03</v>
      </c>
      <c r="FL1537" s="2">
        <v>105.49</v>
      </c>
      <c r="FM1537" s="2">
        <v>106.83</v>
      </c>
      <c r="FN1537" s="2">
        <v>108.72</v>
      </c>
      <c r="FO1537" s="2">
        <v>109.28</v>
      </c>
      <c r="FP1537" s="2">
        <v>108.83</v>
      </c>
      <c r="FQ1537" s="2">
        <v>110.73</v>
      </c>
      <c r="FR1537" s="2">
        <v>112.18</v>
      </c>
      <c r="FS1537" s="2">
        <v>111.63</v>
      </c>
      <c r="FT1537" s="2">
        <v>111.85</v>
      </c>
      <c r="FU1537" s="2">
        <v>112.96</v>
      </c>
      <c r="FV1537" s="2">
        <v>113.3</v>
      </c>
      <c r="FW1537" s="2">
        <v>113.3</v>
      </c>
      <c r="FX1537" s="2">
        <v>115.42</v>
      </c>
      <c r="FY1537" s="2">
        <v>116.2</v>
      </c>
      <c r="FZ1537" s="2">
        <v>116.31</v>
      </c>
      <c r="GA1537" s="2">
        <v>116.87</v>
      </c>
      <c r="GB1537" s="2">
        <v>116.43</v>
      </c>
      <c r="GC1537" s="2">
        <v>115.76</v>
      </c>
      <c r="GD1537" s="2">
        <v>115.42</v>
      </c>
      <c r="GE1537" s="2">
        <v>116.2</v>
      </c>
      <c r="GF1537" s="2">
        <v>117.43</v>
      </c>
      <c r="GG1537" s="2">
        <v>117.54</v>
      </c>
      <c r="GH1537" s="2">
        <v>117.88</v>
      </c>
      <c r="GI1537" s="2">
        <v>118.32</v>
      </c>
      <c r="GJ1537" s="2">
        <v>118.32</v>
      </c>
      <c r="GK1537" s="2">
        <v>119.77</v>
      </c>
      <c r="GL1537" s="2">
        <v>120.78</v>
      </c>
      <c r="GM1537" s="2">
        <v>120.78</v>
      </c>
      <c r="GN1537" s="2">
        <v>119.89</v>
      </c>
      <c r="GO1537" s="2">
        <v>121</v>
      </c>
      <c r="GP1537" s="2">
        <v>120.67</v>
      </c>
      <c r="GQ1537" s="2">
        <v>121</v>
      </c>
      <c r="GR1537" s="2">
        <v>122.23</v>
      </c>
      <c r="GS1537" s="2">
        <v>122.9</v>
      </c>
      <c r="GT1537" s="2">
        <v>122.45</v>
      </c>
      <c r="GU1537" s="2">
        <v>122.12</v>
      </c>
      <c r="GV1537" s="2">
        <v>122.56</v>
      </c>
      <c r="GW1537" s="2">
        <v>122.12</v>
      </c>
      <c r="GX1537" s="2">
        <v>121.67</v>
      </c>
      <c r="GY1537" s="2">
        <v>121.11</v>
      </c>
      <c r="GZ1537" s="2">
        <v>121.11</v>
      </c>
      <c r="HA1537" s="2">
        <v>120.67</v>
      </c>
      <c r="HB1537" s="2">
        <v>118.88</v>
      </c>
      <c r="HC1537" s="2">
        <v>118.55</v>
      </c>
      <c r="HD1537" s="2">
        <v>119.1</v>
      </c>
      <c r="HE1537" s="2">
        <v>119.1</v>
      </c>
      <c r="HF1537" s="2">
        <v>118.21</v>
      </c>
      <c r="HG1537" s="2">
        <v>117.55</v>
      </c>
      <c r="HH1537" s="2">
        <v>117.32</v>
      </c>
      <c r="HI1537" s="2">
        <v>118.77</v>
      </c>
      <c r="HJ1537" s="2">
        <v>118.43</v>
      </c>
      <c r="HK1537" s="2">
        <v>119.95</v>
      </c>
      <c r="HL1537" s="2">
        <v>119.07</v>
      </c>
      <c r="HM1537" s="2">
        <v>120.16</v>
      </c>
      <c r="HN1537" s="2">
        <v>121.09</v>
      </c>
      <c r="HO1537" s="2">
        <v>119.16</v>
      </c>
      <c r="HP1537" s="2">
        <v>119.7</v>
      </c>
      <c r="HQ1537" s="2">
        <v>119.29</v>
      </c>
      <c r="HR1537" s="2">
        <v>119.68</v>
      </c>
      <c r="HS1537" s="2">
        <v>118.66</v>
      </c>
      <c r="HT1537" s="2">
        <v>117.78</v>
      </c>
      <c r="HU1537" s="2">
        <v>118</v>
      </c>
      <c r="HV1537" s="2">
        <v>114.19</v>
      </c>
      <c r="HW1537" s="2">
        <v>114.53</v>
      </c>
      <c r="HX1537" s="2">
        <v>113.4</v>
      </c>
      <c r="HY1537" s="2">
        <v>112.65</v>
      </c>
      <c r="HZ1537" s="2">
        <v>109.78</v>
      </c>
      <c r="IA1537" s="2">
        <v>106.54</v>
      </c>
      <c r="IB1537" s="2">
        <v>106.97</v>
      </c>
      <c r="IC1537" s="2">
        <v>106.61</v>
      </c>
      <c r="ID1537" s="2">
        <v>104.92</v>
      </c>
      <c r="IE1537" s="2">
        <v>103.97</v>
      </c>
      <c r="IF1537" s="2">
        <v>104.16</v>
      </c>
      <c r="IG1537" s="2">
        <v>104.38</v>
      </c>
      <c r="IH1537" s="2">
        <v>103.71</v>
      </c>
      <c r="II1537" s="2">
        <v>103.42</v>
      </c>
      <c r="IJ1537" s="2">
        <v>104.46</v>
      </c>
      <c r="IK1537" s="2">
        <v>104.75</v>
      </c>
      <c r="IL1537" s="2">
        <v>105.72</v>
      </c>
      <c r="IM1537" s="2">
        <v>104.29</v>
      </c>
      <c r="IN1537" s="2">
        <v>104.39</v>
      </c>
      <c r="IO1537" s="2">
        <v>104.18</v>
      </c>
      <c r="IP1537" s="2">
        <v>103.81</v>
      </c>
      <c r="IQ1537" s="2">
        <v>104.84</v>
      </c>
      <c r="IR1537" s="2">
        <v>107.5</v>
      </c>
      <c r="IS1537" s="2">
        <v>109.4</v>
      </c>
      <c r="IT1537" s="2">
        <v>107.23</v>
      </c>
      <c r="IU1537" s="2">
        <v>105.57</v>
      </c>
      <c r="IV1537" s="2">
        <v>107.44</v>
      </c>
      <c r="IW1537" s="2">
        <v>107.42</v>
      </c>
      <c r="IX1537" s="2">
        <v>106.63</v>
      </c>
      <c r="IY1537" s="2">
        <v>106.01</v>
      </c>
      <c r="IZ1537" s="2">
        <v>105.83</v>
      </c>
      <c r="JA1537" s="2">
        <v>106.89</v>
      </c>
      <c r="JB1537" s="2">
        <v>103.28</v>
      </c>
      <c r="JC1537" s="2">
        <v>103.99</v>
      </c>
      <c r="JD1537" s="2">
        <v>103.24</v>
      </c>
      <c r="JE1537" s="2">
        <v>103.3</v>
      </c>
      <c r="JF1537" s="2">
        <v>101.45</v>
      </c>
      <c r="JG1537" s="2">
        <v>99.09</v>
      </c>
      <c r="JH1537" s="2">
        <v>97.56999999999999</v>
      </c>
      <c r="JI1537" s="2">
        <v>98.77</v>
      </c>
      <c r="JJ1537" s="2">
        <v>98.65000000000001</v>
      </c>
      <c r="JK1537" s="2">
        <v>98.17</v>
      </c>
      <c r="JL1537" s="2">
        <v>98.16</v>
      </c>
      <c r="JM1537" s="2">
        <v>98.38</v>
      </c>
      <c r="JN1537" s="2">
        <v>97.23</v>
      </c>
      <c r="JO1537" s="2">
        <v>95.28</v>
      </c>
      <c r="JP1537" s="2">
        <v>96.68000000000001</v>
      </c>
      <c r="JQ1537" s="2">
        <v>100.42</v>
      </c>
      <c r="JR1537" s="2">
        <v>100.8</v>
      </c>
      <c r="JS1537" s="2">
        <v>100.19</v>
      </c>
      <c r="JT1537" s="2">
        <v>98.92</v>
      </c>
      <c r="JU1537" s="2">
        <v>98.90000000000001</v>
      </c>
      <c r="JV1537" s="2">
        <v>97.98</v>
      </c>
      <c r="KA1537" s="2">
        <v>95.23</v>
      </c>
      <c r="KB1537" s="2">
        <v>94.84999999999999</v>
      </c>
      <c r="KC1537" s="2">
        <v>95.23</v>
      </c>
      <c r="KD1537" s="2">
        <v>92.27</v>
      </c>
      <c r="KQ1537" s="2">
        <v>91.18000000000001</v>
      </c>
      <c r="KR1537" s="2">
        <v>92.28</v>
      </c>
      <c r="KS1537" s="2">
        <v>92.94</v>
      </c>
      <c r="KT1537" s="2">
        <v>94.81</v>
      </c>
      <c r="LG1537" s="2">
        <v>93.97</v>
      </c>
      <c r="LH1537" s="2">
        <v>92.54000000000001</v>
      </c>
      <c r="LI1537" s="2">
        <v>94.84999999999999</v>
      </c>
      <c r="LJ1537" s="2">
        <v>93.31999999999999</v>
      </c>
      <c r="LW1537" s="2">
        <v>92.45999999999999</v>
      </c>
      <c r="LX1537" s="2">
        <v>93.7</v>
      </c>
      <c r="LY1537" s="2">
        <v>99.13</v>
      </c>
      <c r="LZ1537" s="2">
        <v>101.34</v>
      </c>
      <c r="MM1537" s="2">
        <v>99.08</v>
      </c>
      <c r="MN1537" s="2">
        <v>99.59999999999999</v>
      </c>
      <c r="MO1537" s="2">
        <v>97.8</v>
      </c>
      <c r="MP1537" s="2">
        <v>99.39</v>
      </c>
      <c r="NC1537" s="2">
        <v>101.65</v>
      </c>
      <c r="ND1537" s="2">
        <v>106.62</v>
      </c>
      <c r="NE1537" s="2">
        <v>107.6</v>
      </c>
      <c r="NF1537" s="2">
        <v>108.31</v>
      </c>
      <c r="NS1537" s="2">
        <v>104.42</v>
      </c>
      <c r="NT1537" s="2">
        <v>105.47</v>
      </c>
      <c r="NU1537" s="2">
        <v>105.46</v>
      </c>
      <c r="NV1537" s="2">
        <v>106.85</v>
      </c>
      <c r="OI1537" s="2">
        <v>102.03</v>
      </c>
      <c r="OJ1537" s="2">
        <v>103.16</v>
      </c>
      <c r="OK1537" s="2">
        <v>105.8</v>
      </c>
      <c r="OL1537" s="2">
        <v>103.47</v>
      </c>
      <c r="OY1537" s="2">
        <v>101.23</v>
      </c>
      <c r="OZ1537" s="2">
        <v>102.52</v>
      </c>
      <c r="PA1537" s="2">
        <v>101.02</v>
      </c>
      <c r="PB1537" s="2">
        <v>99.90000000000001</v>
      </c>
      <c r="PJ1537" s="2">
        <v>99.15000000000001</v>
      </c>
      <c r="PK1537" s="2">
        <v>98.78</v>
      </c>
    </row>
    <row r="1538">
      <c r="A1538" t="inlineStr">
        <is>
          <t>A2331066C</t>
        </is>
      </c>
      <c r="B1538" t="inlineStr">
        <is>
          <t>Index Numbers ;  Glassware, tableware and household utensils ;  Australia ;</t>
        </is>
      </c>
      <c r="C1538" t="inlineStr">
        <is>
          <t>Quarter</t>
        </is>
      </c>
      <c r="D1538" t="inlineStr">
        <is>
          <t>Index Numbers</t>
        </is>
      </c>
      <c r="E1538" t="inlineStr">
        <is>
          <t>Original</t>
        </is>
      </c>
      <c r="F1538" t="inlineStr">
        <is>
          <t>6401018.xlsx</t>
        </is>
      </c>
      <c r="G1538" t="inlineStr">
        <is>
          <t>1989Q3</t>
        </is>
      </c>
      <c r="H1538" t="inlineStr">
        <is>
          <t>2026Q2</t>
        </is>
      </c>
      <c r="FQ1538" s="2">
        <v>116.91</v>
      </c>
      <c r="FR1538" s="2">
        <v>116.55</v>
      </c>
      <c r="FS1538" s="2">
        <v>120.49</v>
      </c>
      <c r="FT1538" s="2">
        <v>122.75</v>
      </c>
      <c r="FU1538" s="2">
        <v>123.23</v>
      </c>
      <c r="FV1538" s="2">
        <v>125.73</v>
      </c>
      <c r="FW1538" s="2">
        <v>127.16</v>
      </c>
      <c r="FX1538" s="2">
        <v>125.37</v>
      </c>
      <c r="FY1538" s="2">
        <v>121.68</v>
      </c>
      <c r="FZ1538" s="2">
        <v>123.23</v>
      </c>
      <c r="GA1538" s="2">
        <v>123.47</v>
      </c>
      <c r="GB1538" s="2">
        <v>125.01</v>
      </c>
      <c r="GC1538" s="2">
        <v>122.15</v>
      </c>
      <c r="GD1538" s="2">
        <v>124.06</v>
      </c>
      <c r="GE1538" s="2">
        <v>123.35</v>
      </c>
      <c r="GF1538" s="2">
        <v>125.61</v>
      </c>
      <c r="GG1538" s="2">
        <v>125.37</v>
      </c>
      <c r="GH1538" s="2">
        <v>125.61</v>
      </c>
      <c r="GI1538" s="2">
        <v>126.33</v>
      </c>
      <c r="GJ1538" s="2">
        <v>126.92</v>
      </c>
      <c r="GK1538" s="2">
        <v>125.25</v>
      </c>
      <c r="GL1538" s="2">
        <v>125.37</v>
      </c>
      <c r="GM1538" s="2">
        <v>123.94</v>
      </c>
      <c r="GN1538" s="2">
        <v>124.54</v>
      </c>
      <c r="GO1538" s="2">
        <v>124.78</v>
      </c>
      <c r="GP1538" s="2">
        <v>123.47</v>
      </c>
      <c r="GQ1538" s="2">
        <v>123.82</v>
      </c>
      <c r="GR1538" s="2">
        <v>123.35</v>
      </c>
      <c r="GS1538" s="2">
        <v>123.11</v>
      </c>
      <c r="GT1538" s="2">
        <v>122.87</v>
      </c>
      <c r="GU1538" s="2">
        <v>121.92</v>
      </c>
      <c r="GV1538" s="2">
        <v>122.27</v>
      </c>
      <c r="GW1538" s="2">
        <v>119.17</v>
      </c>
      <c r="GX1538" s="2">
        <v>121.56</v>
      </c>
      <c r="GY1538" s="2">
        <v>122.51</v>
      </c>
      <c r="GZ1538" s="2">
        <v>122.87</v>
      </c>
      <c r="HA1538" s="2">
        <v>122.15</v>
      </c>
      <c r="HB1538" s="2">
        <v>124.06</v>
      </c>
      <c r="HC1538" s="2">
        <v>122.27</v>
      </c>
      <c r="HD1538" s="2">
        <v>126.21</v>
      </c>
      <c r="HE1538" s="2">
        <v>125.25</v>
      </c>
      <c r="HF1538" s="2">
        <v>124.42</v>
      </c>
      <c r="HG1538" s="2">
        <v>124.42</v>
      </c>
      <c r="HH1538" s="2">
        <v>124.9</v>
      </c>
      <c r="HI1538" s="2">
        <v>128.96</v>
      </c>
      <c r="HJ1538" s="2">
        <v>124.17</v>
      </c>
      <c r="HK1538" s="2">
        <v>124.15</v>
      </c>
      <c r="HL1538" s="2">
        <v>127.8</v>
      </c>
      <c r="HM1538" s="2">
        <v>124.34</v>
      </c>
      <c r="HN1538" s="2">
        <v>128.57</v>
      </c>
      <c r="HO1538" s="2">
        <v>124.68</v>
      </c>
      <c r="HP1538" s="2">
        <v>126.04</v>
      </c>
      <c r="HQ1538" s="2">
        <v>123.53</v>
      </c>
      <c r="HR1538" s="2">
        <v>123.62</v>
      </c>
      <c r="HS1538" s="2">
        <v>120.76</v>
      </c>
      <c r="HT1538" s="2">
        <v>124.81</v>
      </c>
      <c r="HU1538" s="2">
        <v>123.39</v>
      </c>
      <c r="HV1538" s="2">
        <v>120.77</v>
      </c>
      <c r="HW1538" s="2">
        <v>117.55</v>
      </c>
      <c r="HX1538" s="2">
        <v>115.44</v>
      </c>
      <c r="HY1538" s="2">
        <v>114.62</v>
      </c>
      <c r="HZ1538" s="2">
        <v>116.28</v>
      </c>
      <c r="IA1538" s="2">
        <v>111.37</v>
      </c>
      <c r="IB1538" s="2">
        <v>115.47</v>
      </c>
      <c r="IC1538" s="2">
        <v>116.14</v>
      </c>
      <c r="ID1538" s="2">
        <v>113.67</v>
      </c>
      <c r="IE1538" s="2">
        <v>111.42</v>
      </c>
      <c r="IF1538" s="2">
        <v>115.2</v>
      </c>
      <c r="IG1538" s="2">
        <v>116.73</v>
      </c>
      <c r="IH1538" s="2">
        <v>113.23</v>
      </c>
      <c r="II1538" s="2">
        <v>110.67</v>
      </c>
      <c r="IJ1538" s="2">
        <v>114.7</v>
      </c>
      <c r="IK1538" s="2">
        <v>115.52</v>
      </c>
      <c r="IL1538" s="2">
        <v>115.67</v>
      </c>
      <c r="IM1538" s="2">
        <v>111.76</v>
      </c>
      <c r="IN1538" s="2">
        <v>114.69</v>
      </c>
      <c r="IO1538" s="2">
        <v>114.24</v>
      </c>
      <c r="IP1538" s="2">
        <v>111.94</v>
      </c>
      <c r="IQ1538" s="2">
        <v>108.56</v>
      </c>
      <c r="IR1538" s="2">
        <v>114.52</v>
      </c>
      <c r="IS1538" s="2">
        <v>116.68</v>
      </c>
      <c r="IT1538" s="2">
        <v>115.16</v>
      </c>
      <c r="IU1538" s="2">
        <v>107.34</v>
      </c>
      <c r="IV1538" s="2">
        <v>114.11</v>
      </c>
      <c r="IW1538" s="2">
        <v>114.1</v>
      </c>
      <c r="IX1538" s="2">
        <v>110.7</v>
      </c>
      <c r="IY1538" s="2">
        <v>107.35</v>
      </c>
      <c r="IZ1538" s="2">
        <v>112.6</v>
      </c>
      <c r="JA1538" s="2">
        <v>116.29</v>
      </c>
      <c r="JB1538" s="2">
        <v>113.07</v>
      </c>
      <c r="JC1538" s="2">
        <v>111.2</v>
      </c>
      <c r="JD1538" s="2">
        <v>110.89</v>
      </c>
      <c r="JE1538" s="2">
        <v>112.82</v>
      </c>
      <c r="JF1538" s="2">
        <v>109.67</v>
      </c>
      <c r="JG1538" s="2">
        <v>104.54</v>
      </c>
      <c r="JH1538" s="2">
        <v>107.42</v>
      </c>
      <c r="JI1538" s="2">
        <v>110.96</v>
      </c>
      <c r="JJ1538" s="2">
        <v>109.47</v>
      </c>
      <c r="JK1538" s="2">
        <v>106.6</v>
      </c>
      <c r="JL1538" s="2">
        <v>105.49</v>
      </c>
      <c r="JM1538" s="2">
        <v>109.6</v>
      </c>
      <c r="JN1538" s="2">
        <v>104.67</v>
      </c>
      <c r="JO1538" s="2">
        <v>105.09</v>
      </c>
      <c r="JP1538" s="2">
        <v>104.63</v>
      </c>
      <c r="JQ1538" s="2">
        <v>106.29</v>
      </c>
      <c r="JR1538" s="2">
        <v>106.96</v>
      </c>
      <c r="JS1538" s="2">
        <v>104.31</v>
      </c>
      <c r="JT1538" s="2">
        <v>106.12</v>
      </c>
      <c r="JU1538" s="2">
        <v>108.58</v>
      </c>
      <c r="JV1538" s="2">
        <v>105.57</v>
      </c>
      <c r="KA1538" s="2">
        <v>101.92</v>
      </c>
      <c r="KB1538" s="2">
        <v>102.96</v>
      </c>
      <c r="KC1538" s="2">
        <v>105.86</v>
      </c>
      <c r="KD1538" s="2">
        <v>103.54</v>
      </c>
      <c r="KQ1538" s="2">
        <v>100.26</v>
      </c>
      <c r="KR1538" s="2">
        <v>103.7</v>
      </c>
      <c r="KS1538" s="2">
        <v>104.67</v>
      </c>
      <c r="KT1538" s="2">
        <v>103.58</v>
      </c>
      <c r="LG1538" s="2">
        <v>99.17</v>
      </c>
      <c r="LH1538" s="2">
        <v>99.43000000000001</v>
      </c>
      <c r="LI1538" s="2">
        <v>99.92</v>
      </c>
      <c r="LJ1538" s="2">
        <v>97.45999999999999</v>
      </c>
      <c r="LW1538" s="2">
        <v>98.38</v>
      </c>
      <c r="LX1538" s="2">
        <v>100.42</v>
      </c>
      <c r="LY1538" s="2">
        <v>105.81</v>
      </c>
      <c r="LZ1538" s="2">
        <v>103.11</v>
      </c>
      <c r="MM1538" s="2">
        <v>100.1</v>
      </c>
      <c r="MN1538" s="2">
        <v>103.2</v>
      </c>
      <c r="MO1538" s="2">
        <v>105.35</v>
      </c>
      <c r="MP1538" s="2">
        <v>102.4</v>
      </c>
      <c r="NC1538" s="2">
        <v>97.53</v>
      </c>
      <c r="ND1538" s="2">
        <v>103.52</v>
      </c>
      <c r="NE1538" s="2">
        <v>107.42</v>
      </c>
      <c r="NF1538" s="2">
        <v>110.04</v>
      </c>
      <c r="NS1538" s="2">
        <v>106.04</v>
      </c>
      <c r="NT1538" s="2">
        <v>107.77</v>
      </c>
      <c r="NU1538" s="2">
        <v>107.31</v>
      </c>
      <c r="NV1538" s="2">
        <v>104.37</v>
      </c>
      <c r="OI1538" s="2">
        <v>104.95</v>
      </c>
      <c r="OJ1538" s="2">
        <v>103.03</v>
      </c>
      <c r="OK1538" s="2">
        <v>104.6</v>
      </c>
      <c r="OL1538" s="2">
        <v>107.1</v>
      </c>
      <c r="OY1538" s="2">
        <v>102.95</v>
      </c>
      <c r="OZ1538" s="2">
        <v>103.47</v>
      </c>
      <c r="PA1538" s="2">
        <v>103.02</v>
      </c>
      <c r="PB1538" s="2">
        <v>98.68000000000001</v>
      </c>
      <c r="PJ1538" s="2">
        <v>99.12</v>
      </c>
      <c r="PK1538" s="2">
        <v>97.88</v>
      </c>
    </row>
    <row r="1539">
      <c r="A1539" t="inlineStr">
        <is>
          <t>A2328321T</t>
        </is>
      </c>
      <c r="B1539" t="inlineStr">
        <is>
          <t>Index Numbers ;  Tools and equipment for house and garden ;  Australia ;</t>
        </is>
      </c>
      <c r="C1539" t="inlineStr">
        <is>
          <t>Quarter</t>
        </is>
      </c>
      <c r="D1539" t="inlineStr">
        <is>
          <t>Index Numbers</t>
        </is>
      </c>
      <c r="E1539" t="inlineStr">
        <is>
          <t>Original</t>
        </is>
      </c>
      <c r="F1539" t="inlineStr">
        <is>
          <t>6401018.xlsx</t>
        </is>
      </c>
      <c r="G1539" t="inlineStr">
        <is>
          <t>1980Q3</t>
        </is>
      </c>
      <c r="H1539" t="inlineStr">
        <is>
          <t>2026Q2</t>
        </is>
      </c>
      <c r="EG1539" s="2">
        <v>29.15</v>
      </c>
      <c r="EH1539" s="2">
        <v>30.47</v>
      </c>
      <c r="EI1539" s="2">
        <v>31.58</v>
      </c>
      <c r="EJ1539" s="2">
        <v>32.14</v>
      </c>
      <c r="EK1539" s="2">
        <v>32.76</v>
      </c>
      <c r="EL1539" s="2">
        <v>33.32</v>
      </c>
      <c r="EM1539" s="2">
        <v>34.09</v>
      </c>
      <c r="EN1539" s="2">
        <v>34.57</v>
      </c>
      <c r="EO1539" s="2">
        <v>35.34</v>
      </c>
      <c r="EP1539" s="2">
        <v>37.08</v>
      </c>
      <c r="EQ1539" s="2">
        <v>38.05</v>
      </c>
      <c r="ER1539" s="2">
        <v>39.02</v>
      </c>
      <c r="ES1539" s="2">
        <v>40.42</v>
      </c>
      <c r="ET1539" s="2">
        <v>42.02</v>
      </c>
      <c r="EU1539" s="2">
        <v>42.15</v>
      </c>
      <c r="EV1539" s="2">
        <v>42.71</v>
      </c>
      <c r="EW1539" s="2">
        <v>42.85</v>
      </c>
      <c r="EX1539" s="2">
        <v>43.27</v>
      </c>
      <c r="EY1539" s="2">
        <v>43.61</v>
      </c>
      <c r="EZ1539" s="2">
        <v>45.21</v>
      </c>
      <c r="FA1539" s="2">
        <v>47.16</v>
      </c>
      <c r="FB1539" s="2">
        <v>48.83</v>
      </c>
      <c r="FC1539" s="2">
        <v>50.08</v>
      </c>
      <c r="FD1539" s="2">
        <v>51.2</v>
      </c>
      <c r="FE1539" s="2">
        <v>52.73</v>
      </c>
      <c r="FF1539" s="2">
        <v>57.39</v>
      </c>
      <c r="FG1539" s="2">
        <v>59.06</v>
      </c>
      <c r="FH1539" s="2">
        <v>61.77</v>
      </c>
      <c r="FI1539" s="2">
        <v>61.63</v>
      </c>
      <c r="FJ1539" s="2">
        <v>63.79</v>
      </c>
      <c r="FK1539" s="2">
        <v>63.93</v>
      </c>
      <c r="FL1539" s="2">
        <v>64.90000000000001</v>
      </c>
      <c r="FM1539" s="2">
        <v>66.01000000000001</v>
      </c>
      <c r="FN1539" s="2">
        <v>67.81999999999999</v>
      </c>
      <c r="FO1539" s="2">
        <v>67.2</v>
      </c>
      <c r="FP1539" s="2">
        <v>68.52</v>
      </c>
      <c r="FQ1539" s="2">
        <v>68.23999999999999</v>
      </c>
      <c r="FR1539" s="2">
        <v>69.7</v>
      </c>
      <c r="FS1539" s="2">
        <v>69.84</v>
      </c>
      <c r="FT1539" s="2">
        <v>70.54000000000001</v>
      </c>
      <c r="FU1539" s="2">
        <v>72.41</v>
      </c>
      <c r="FV1539" s="2">
        <v>70.81</v>
      </c>
      <c r="FW1539" s="2">
        <v>73.04000000000001</v>
      </c>
      <c r="FX1539" s="2">
        <v>71.93000000000001</v>
      </c>
      <c r="FY1539" s="2">
        <v>74.22</v>
      </c>
      <c r="FZ1539" s="2">
        <v>73.59999999999999</v>
      </c>
      <c r="GA1539" s="2">
        <v>73.94</v>
      </c>
      <c r="GB1539" s="2">
        <v>74.15000000000001</v>
      </c>
      <c r="GC1539" s="2">
        <v>74.08</v>
      </c>
      <c r="GD1539" s="2">
        <v>72.76000000000001</v>
      </c>
      <c r="GE1539" s="2">
        <v>72.83</v>
      </c>
      <c r="GF1539" s="2">
        <v>73.73999999999999</v>
      </c>
      <c r="GG1539" s="2">
        <v>74.36</v>
      </c>
      <c r="GH1539" s="2">
        <v>73.94</v>
      </c>
      <c r="GI1539" s="2">
        <v>74.01000000000001</v>
      </c>
      <c r="GJ1539" s="2">
        <v>74.56999999999999</v>
      </c>
      <c r="GK1539" s="2">
        <v>74.64</v>
      </c>
      <c r="GL1539" s="2">
        <v>74.29000000000001</v>
      </c>
      <c r="GM1539" s="2">
        <v>74.15000000000001</v>
      </c>
      <c r="GN1539" s="2">
        <v>74.5</v>
      </c>
      <c r="GO1539" s="2">
        <v>74.98999999999999</v>
      </c>
      <c r="GP1539" s="2">
        <v>75.68000000000001</v>
      </c>
      <c r="GQ1539" s="2">
        <v>75.27</v>
      </c>
      <c r="GR1539" s="2">
        <v>76.03</v>
      </c>
      <c r="GS1539" s="2">
        <v>75.95999999999999</v>
      </c>
      <c r="GT1539" s="2">
        <v>74.92</v>
      </c>
      <c r="GU1539" s="2">
        <v>74.84999999999999</v>
      </c>
      <c r="GV1539" s="2">
        <v>75.13</v>
      </c>
      <c r="GW1539" s="2">
        <v>75.47</v>
      </c>
      <c r="GX1539" s="2">
        <v>75.27</v>
      </c>
      <c r="GY1539" s="2">
        <v>75.47</v>
      </c>
      <c r="GZ1539" s="2">
        <v>76.09999999999999</v>
      </c>
      <c r="HA1539" s="2">
        <v>77.15000000000001</v>
      </c>
      <c r="HB1539" s="2">
        <v>77.17</v>
      </c>
      <c r="HC1539" s="2">
        <v>77.94</v>
      </c>
      <c r="HD1539" s="2">
        <v>78.29000000000001</v>
      </c>
      <c r="HE1539" s="2">
        <v>78.70999999999999</v>
      </c>
      <c r="HF1539" s="2">
        <v>78.52</v>
      </c>
      <c r="HG1539" s="2">
        <v>78.78</v>
      </c>
      <c r="HH1539" s="2">
        <v>78.98999999999999</v>
      </c>
      <c r="HI1539" s="2">
        <v>76.06999999999999</v>
      </c>
      <c r="HJ1539" s="2">
        <v>75.73999999999999</v>
      </c>
      <c r="HK1539" s="2">
        <v>76.55</v>
      </c>
      <c r="HL1539" s="2">
        <v>78.26000000000001</v>
      </c>
      <c r="HM1539" s="2">
        <v>78.92</v>
      </c>
      <c r="HN1539" s="2">
        <v>78.95</v>
      </c>
      <c r="HO1539" s="2">
        <v>78.70999999999999</v>
      </c>
      <c r="HP1539" s="2">
        <v>78.64</v>
      </c>
      <c r="HQ1539" s="2">
        <v>79.06</v>
      </c>
      <c r="HR1539" s="2">
        <v>78.87</v>
      </c>
      <c r="HS1539" s="2">
        <v>77.86</v>
      </c>
      <c r="HT1539" s="2">
        <v>77.87</v>
      </c>
      <c r="HU1539" s="2">
        <v>77.73</v>
      </c>
      <c r="HV1539" s="2">
        <v>78.42</v>
      </c>
      <c r="HW1539" s="2">
        <v>77.83</v>
      </c>
      <c r="HX1539" s="2">
        <v>77.94</v>
      </c>
      <c r="HY1539" s="2">
        <v>77.90000000000001</v>
      </c>
      <c r="HZ1539" s="2">
        <v>77.23</v>
      </c>
      <c r="IA1539" s="2">
        <v>77.01000000000001</v>
      </c>
      <c r="IB1539" s="2">
        <v>77.38</v>
      </c>
      <c r="IC1539" s="2">
        <v>76.63</v>
      </c>
      <c r="ID1539" s="2">
        <v>76.56999999999999</v>
      </c>
      <c r="IE1539" s="2">
        <v>76.23999999999999</v>
      </c>
      <c r="IF1539" s="2">
        <v>76.51000000000001</v>
      </c>
      <c r="IG1539" s="2">
        <v>76.73</v>
      </c>
      <c r="IH1539" s="2">
        <v>76.98999999999999</v>
      </c>
      <c r="II1539" s="2">
        <v>77.22</v>
      </c>
      <c r="IJ1539" s="2">
        <v>76.83</v>
      </c>
      <c r="IK1539" s="2">
        <v>76.52</v>
      </c>
      <c r="IL1539" s="2">
        <v>76.65000000000001</v>
      </c>
      <c r="IM1539" s="2">
        <v>76.86</v>
      </c>
      <c r="IN1539" s="2">
        <v>77.62</v>
      </c>
      <c r="IO1539" s="2">
        <v>77.14</v>
      </c>
      <c r="IP1539" s="2">
        <v>77.56999999999999</v>
      </c>
      <c r="IQ1539" s="2">
        <v>77.69</v>
      </c>
      <c r="IR1539" s="2">
        <v>81.29000000000001</v>
      </c>
      <c r="IS1539" s="2">
        <v>81.81</v>
      </c>
      <c r="IT1539" s="2">
        <v>82.84999999999999</v>
      </c>
      <c r="IU1539" s="2">
        <v>83.31</v>
      </c>
      <c r="IV1539" s="2">
        <v>83.61</v>
      </c>
      <c r="IW1539" s="2">
        <v>82.78</v>
      </c>
      <c r="IX1539" s="2">
        <v>82.45</v>
      </c>
      <c r="IY1539" s="2">
        <v>81.61</v>
      </c>
      <c r="IZ1539" s="2">
        <v>82.01000000000001</v>
      </c>
      <c r="JA1539" s="2">
        <v>80.56999999999999</v>
      </c>
      <c r="JB1539" s="2">
        <v>80.95</v>
      </c>
      <c r="JC1539" s="2">
        <v>81.18000000000001</v>
      </c>
      <c r="JD1539" s="2">
        <v>80.94</v>
      </c>
      <c r="JE1539" s="2">
        <v>81.04000000000001</v>
      </c>
      <c r="JF1539" s="2">
        <v>80.84</v>
      </c>
      <c r="JG1539" s="2">
        <v>80.76000000000001</v>
      </c>
      <c r="JH1539" s="2">
        <v>80.73999999999999</v>
      </c>
      <c r="JI1539" s="2">
        <v>80.68000000000001</v>
      </c>
      <c r="JJ1539" s="2">
        <v>80.81999999999999</v>
      </c>
      <c r="JK1539" s="2">
        <v>81.33</v>
      </c>
      <c r="JL1539" s="2">
        <v>81.48999999999999</v>
      </c>
      <c r="JM1539" s="2">
        <v>81.33</v>
      </c>
      <c r="JN1539" s="2">
        <v>81.13</v>
      </c>
      <c r="JO1539" s="2">
        <v>81.34999999999999</v>
      </c>
      <c r="JP1539" s="2">
        <v>82.03</v>
      </c>
      <c r="JQ1539" s="2">
        <v>83.41</v>
      </c>
      <c r="JR1539" s="2">
        <v>83.81999999999999</v>
      </c>
      <c r="JS1539" s="2">
        <v>84.84</v>
      </c>
      <c r="JT1539" s="2">
        <v>85.77</v>
      </c>
      <c r="JU1539" s="2">
        <v>86.75</v>
      </c>
      <c r="JV1539" s="2">
        <v>86.16</v>
      </c>
      <c r="KA1539" s="2">
        <v>86.73</v>
      </c>
      <c r="KB1539" s="2">
        <v>87.19</v>
      </c>
      <c r="KC1539" s="2">
        <v>87.37</v>
      </c>
      <c r="KD1539" s="2">
        <v>86.92</v>
      </c>
      <c r="KQ1539" s="2">
        <v>86.58</v>
      </c>
      <c r="KR1539" s="2">
        <v>85.84</v>
      </c>
      <c r="KS1539" s="2">
        <v>85.95</v>
      </c>
      <c r="KT1539" s="2">
        <v>85.70999999999999</v>
      </c>
      <c r="LG1539" s="2">
        <v>85.78</v>
      </c>
      <c r="LH1539" s="2">
        <v>86.89</v>
      </c>
      <c r="LI1539" s="2">
        <v>87.40000000000001</v>
      </c>
      <c r="LJ1539" s="2">
        <v>87.62</v>
      </c>
      <c r="LW1539" s="2">
        <v>87.86</v>
      </c>
      <c r="LX1539" s="2">
        <v>89.48</v>
      </c>
      <c r="LY1539" s="2">
        <v>90.75</v>
      </c>
      <c r="LZ1539" s="2">
        <v>91.06999999999999</v>
      </c>
      <c r="MM1539" s="2">
        <v>91.13</v>
      </c>
      <c r="MN1539" s="2">
        <v>91.59</v>
      </c>
      <c r="MO1539" s="2">
        <v>93.08</v>
      </c>
      <c r="MP1539" s="2">
        <v>94.19</v>
      </c>
      <c r="NC1539" s="2">
        <v>95.06999999999999</v>
      </c>
      <c r="ND1539" s="2">
        <v>96.59999999999999</v>
      </c>
      <c r="NE1539" s="2">
        <v>98.27</v>
      </c>
      <c r="NF1539" s="2">
        <v>99.64</v>
      </c>
      <c r="NS1539" s="2">
        <v>99.31999999999999</v>
      </c>
      <c r="NT1539" s="2">
        <v>100.64</v>
      </c>
      <c r="NU1539" s="2">
        <v>100.73</v>
      </c>
      <c r="NV1539" s="2">
        <v>101.3</v>
      </c>
      <c r="OI1539" s="2">
        <v>101.52</v>
      </c>
      <c r="OJ1539" s="2">
        <v>101.29</v>
      </c>
      <c r="OK1539" s="2">
        <v>101.97</v>
      </c>
      <c r="OL1539" s="2">
        <v>100.62</v>
      </c>
      <c r="OY1539" s="2">
        <v>100.71</v>
      </c>
      <c r="OZ1539" s="2">
        <v>100.69</v>
      </c>
      <c r="PA1539" s="2">
        <v>100.25</v>
      </c>
      <c r="PB1539" s="2">
        <v>99.8</v>
      </c>
      <c r="PJ1539" s="2">
        <v>99.25</v>
      </c>
      <c r="PK1539" s="2">
        <v>100.98</v>
      </c>
    </row>
    <row r="1540">
      <c r="A1540" t="inlineStr">
        <is>
          <t>A2330076R</t>
        </is>
      </c>
      <c r="B1540" t="inlineStr">
        <is>
          <t>Index Numbers ;  Non-durable household products ;  Australia ;</t>
        </is>
      </c>
      <c r="C1540" t="inlineStr">
        <is>
          <t>Quarter</t>
        </is>
      </c>
      <c r="D1540" t="inlineStr">
        <is>
          <t>Index Numbers</t>
        </is>
      </c>
      <c r="E1540" t="inlineStr">
        <is>
          <t>Original</t>
        </is>
      </c>
      <c r="F1540" t="inlineStr">
        <is>
          <t>6401018.xlsx</t>
        </is>
      </c>
      <c r="G1540" t="inlineStr">
        <is>
          <t>1989Q3</t>
        </is>
      </c>
      <c r="H1540" t="inlineStr">
        <is>
          <t>2026Q2</t>
        </is>
      </c>
      <c r="FQ1540" s="2">
        <v>60.68</v>
      </c>
      <c r="FR1540" s="2">
        <v>61.23</v>
      </c>
      <c r="FS1540" s="2">
        <v>62.35</v>
      </c>
      <c r="FT1540" s="2">
        <v>63.65</v>
      </c>
      <c r="FU1540" s="2">
        <v>64.77</v>
      </c>
      <c r="FV1540" s="2">
        <v>65.95</v>
      </c>
      <c r="FW1540" s="2">
        <v>65.7</v>
      </c>
      <c r="FX1540" s="2">
        <v>66.01000000000001</v>
      </c>
      <c r="FY1540" s="2">
        <v>66.75</v>
      </c>
      <c r="FZ1540" s="2">
        <v>66.69</v>
      </c>
      <c r="GA1540" s="2">
        <v>66.38</v>
      </c>
      <c r="GB1540" s="2">
        <v>67.62</v>
      </c>
      <c r="GC1540" s="2">
        <v>68.42</v>
      </c>
      <c r="GD1540" s="2">
        <v>68.11</v>
      </c>
      <c r="GE1540" s="2">
        <v>67.62</v>
      </c>
      <c r="GF1540" s="2">
        <v>68.05</v>
      </c>
      <c r="GG1540" s="2">
        <v>68.61</v>
      </c>
      <c r="GH1540" s="2">
        <v>68.55</v>
      </c>
      <c r="GI1540" s="2">
        <v>70.28</v>
      </c>
      <c r="GJ1540" s="2">
        <v>69.48</v>
      </c>
      <c r="GK1540" s="2">
        <v>69.42</v>
      </c>
      <c r="GL1540" s="2">
        <v>69.59999999999999</v>
      </c>
      <c r="GM1540" s="2">
        <v>69.97</v>
      </c>
      <c r="GN1540" s="2">
        <v>71.28</v>
      </c>
      <c r="GO1540" s="2">
        <v>73.13</v>
      </c>
      <c r="GP1540" s="2">
        <v>73.01000000000001</v>
      </c>
      <c r="GQ1540" s="2">
        <v>73.69</v>
      </c>
      <c r="GR1540" s="2">
        <v>73.75</v>
      </c>
      <c r="GS1540" s="2">
        <v>75.37</v>
      </c>
      <c r="GT1540" s="2">
        <v>75.23999999999999</v>
      </c>
      <c r="GU1540" s="2">
        <v>75.92</v>
      </c>
      <c r="GV1540" s="2">
        <v>76.17</v>
      </c>
      <c r="GW1540" s="2">
        <v>75.12</v>
      </c>
      <c r="GX1540" s="2">
        <v>75.86</v>
      </c>
      <c r="GY1540" s="2">
        <v>75.55</v>
      </c>
      <c r="GZ1540" s="2">
        <v>76.17</v>
      </c>
      <c r="HA1540" s="2">
        <v>76.81999999999999</v>
      </c>
      <c r="HB1540" s="2">
        <v>76.84</v>
      </c>
      <c r="HC1540" s="2">
        <v>76.81999999999999</v>
      </c>
      <c r="HD1540" s="2">
        <v>76.13</v>
      </c>
      <c r="HE1540" s="2">
        <v>76.20999999999999</v>
      </c>
      <c r="HF1540" s="2">
        <v>76.63</v>
      </c>
      <c r="HG1540" s="2">
        <v>75.67</v>
      </c>
      <c r="HH1540" s="2">
        <v>76.92</v>
      </c>
      <c r="HI1540" s="2">
        <v>74.26000000000001</v>
      </c>
      <c r="HJ1540" s="2">
        <v>75.87</v>
      </c>
      <c r="HK1540" s="2">
        <v>76.98999999999999</v>
      </c>
      <c r="HL1540" s="2">
        <v>78.45999999999999</v>
      </c>
      <c r="HM1540" s="2">
        <v>79.2</v>
      </c>
      <c r="HN1540" s="2">
        <v>79.79000000000001</v>
      </c>
      <c r="HO1540" s="2">
        <v>79.95999999999999</v>
      </c>
      <c r="HP1540" s="2">
        <v>80.20999999999999</v>
      </c>
      <c r="HQ1540" s="2">
        <v>82</v>
      </c>
      <c r="HR1540" s="2">
        <v>81.62</v>
      </c>
      <c r="HS1540" s="2">
        <v>81.56</v>
      </c>
      <c r="HT1540" s="2">
        <v>80.93000000000001</v>
      </c>
      <c r="HU1540" s="2">
        <v>81.06999999999999</v>
      </c>
      <c r="HV1540" s="2">
        <v>81.26000000000001</v>
      </c>
      <c r="HW1540" s="2">
        <v>81.58</v>
      </c>
      <c r="HX1540" s="2">
        <v>81.78</v>
      </c>
      <c r="HY1540" s="2">
        <v>82.04000000000001</v>
      </c>
      <c r="HZ1540" s="2">
        <v>82.81</v>
      </c>
      <c r="IA1540" s="2">
        <v>82.11</v>
      </c>
      <c r="IB1540" s="2">
        <v>82.93000000000001</v>
      </c>
      <c r="IC1540" s="2">
        <v>82.68000000000001</v>
      </c>
      <c r="ID1540" s="2">
        <v>83.73</v>
      </c>
      <c r="IE1540" s="2">
        <v>84.3</v>
      </c>
      <c r="IF1540" s="2">
        <v>84.37</v>
      </c>
      <c r="IG1540" s="2">
        <v>85.81999999999999</v>
      </c>
      <c r="IH1540" s="2">
        <v>85.68000000000001</v>
      </c>
      <c r="II1540" s="2">
        <v>85.09</v>
      </c>
      <c r="IJ1540" s="2">
        <v>85.40000000000001</v>
      </c>
      <c r="IK1540" s="2">
        <v>85.09</v>
      </c>
      <c r="IL1540" s="2">
        <v>85.37</v>
      </c>
      <c r="IM1540" s="2">
        <v>85.83</v>
      </c>
      <c r="IN1540" s="2">
        <v>86.59999999999999</v>
      </c>
      <c r="IO1540" s="2">
        <v>86.95999999999999</v>
      </c>
      <c r="IP1540" s="2">
        <v>87.23999999999999</v>
      </c>
      <c r="IQ1540" s="2">
        <v>88.52</v>
      </c>
      <c r="IR1540" s="2">
        <v>89.93000000000001</v>
      </c>
      <c r="IS1540" s="2">
        <v>90.02</v>
      </c>
      <c r="IT1540" s="2">
        <v>89.59999999999999</v>
      </c>
      <c r="IU1540" s="2">
        <v>89.73999999999999</v>
      </c>
      <c r="IV1540" s="2">
        <v>89.81999999999999</v>
      </c>
      <c r="IW1540" s="2">
        <v>90.48999999999999</v>
      </c>
      <c r="IX1540" s="2">
        <v>89.34</v>
      </c>
      <c r="IY1540" s="2">
        <v>89.41</v>
      </c>
      <c r="IZ1540" s="2">
        <v>87.93000000000001</v>
      </c>
      <c r="JA1540" s="2">
        <v>88.11</v>
      </c>
      <c r="JB1540" s="2">
        <v>87.38</v>
      </c>
      <c r="JC1540" s="2">
        <v>87.31</v>
      </c>
      <c r="JD1540" s="2">
        <v>88.3</v>
      </c>
      <c r="JE1540" s="2">
        <v>88.62</v>
      </c>
      <c r="JF1540" s="2">
        <v>88.14</v>
      </c>
      <c r="JG1540" s="2">
        <v>88.84999999999999</v>
      </c>
      <c r="JH1540" s="2">
        <v>88.27</v>
      </c>
      <c r="JI1540" s="2">
        <v>88.90000000000001</v>
      </c>
      <c r="JJ1540" s="2">
        <v>88.53</v>
      </c>
      <c r="JK1540" s="2">
        <v>87.06999999999999</v>
      </c>
      <c r="JL1540" s="2">
        <v>87.59999999999999</v>
      </c>
      <c r="JM1540" s="2">
        <v>87.15000000000001</v>
      </c>
      <c r="JN1540" s="2">
        <v>88.52</v>
      </c>
      <c r="JO1540" s="2">
        <v>88.59</v>
      </c>
      <c r="JP1540" s="2">
        <v>88.42</v>
      </c>
      <c r="JQ1540" s="2">
        <v>87.29000000000001</v>
      </c>
      <c r="JR1540" s="2">
        <v>87.58</v>
      </c>
      <c r="JS1540" s="2">
        <v>86.79000000000001</v>
      </c>
      <c r="JT1540" s="2">
        <v>86.73999999999999</v>
      </c>
      <c r="JU1540" s="2">
        <v>86.81999999999999</v>
      </c>
      <c r="JV1540" s="2">
        <v>86.12</v>
      </c>
      <c r="KA1540" s="2">
        <v>86.09999999999999</v>
      </c>
      <c r="KB1540" s="2">
        <v>86.36</v>
      </c>
      <c r="KC1540" s="2">
        <v>85.51000000000001</v>
      </c>
      <c r="KD1540" s="2">
        <v>84.77</v>
      </c>
      <c r="KQ1540" s="2">
        <v>84.92</v>
      </c>
      <c r="KR1540" s="2">
        <v>84.06</v>
      </c>
      <c r="KS1540" s="2">
        <v>83.73999999999999</v>
      </c>
      <c r="KT1540" s="2">
        <v>83.56</v>
      </c>
      <c r="LG1540" s="2">
        <v>83.28</v>
      </c>
      <c r="LH1540" s="2">
        <v>83.63</v>
      </c>
      <c r="LI1540" s="2">
        <v>83.67</v>
      </c>
      <c r="LJ1540" s="2">
        <v>83.52</v>
      </c>
      <c r="LW1540" s="2">
        <v>85.83</v>
      </c>
      <c r="LX1540" s="2">
        <v>89.11</v>
      </c>
      <c r="LY1540" s="2">
        <v>85.83</v>
      </c>
      <c r="LZ1540" s="2">
        <v>84.43000000000001</v>
      </c>
      <c r="MM1540" s="2">
        <v>84.79000000000001</v>
      </c>
      <c r="MN1540" s="2">
        <v>84.65000000000001</v>
      </c>
      <c r="MO1540" s="2">
        <v>85.58</v>
      </c>
      <c r="MP1540" s="2">
        <v>87.47</v>
      </c>
      <c r="NC1540" s="2">
        <v>91.52</v>
      </c>
      <c r="ND1540" s="2">
        <v>93.65000000000001</v>
      </c>
      <c r="NE1540" s="2">
        <v>95.76000000000001</v>
      </c>
      <c r="NF1540" s="2">
        <v>97.92</v>
      </c>
      <c r="NS1540" s="2">
        <v>99.64</v>
      </c>
      <c r="NT1540" s="2">
        <v>100.46</v>
      </c>
      <c r="NU1540" s="2">
        <v>100.54</v>
      </c>
      <c r="NV1540" s="2">
        <v>99.42</v>
      </c>
      <c r="OI1540" s="2">
        <v>100.11</v>
      </c>
      <c r="OJ1540" s="2">
        <v>100.35</v>
      </c>
      <c r="OK1540" s="2">
        <v>99.70999999999999</v>
      </c>
      <c r="OL1540" s="2">
        <v>98.91</v>
      </c>
      <c r="OY1540" s="2">
        <v>99.73999999999999</v>
      </c>
      <c r="OZ1540" s="2">
        <v>100.16</v>
      </c>
      <c r="PA1540" s="2">
        <v>100.32</v>
      </c>
      <c r="PB1540" s="2">
        <v>99.63</v>
      </c>
      <c r="PJ1540" s="2">
        <v>99.53</v>
      </c>
      <c r="PK1540" s="2">
        <v>100.03</v>
      </c>
    </row>
    <row r="1541">
      <c r="A1541" t="inlineStr">
        <is>
          <t>A2328366W</t>
        </is>
      </c>
      <c r="B1541" t="inlineStr">
        <is>
          <t>Index Numbers ;  Cleaning and maintenance products ;  Australia ;</t>
        </is>
      </c>
      <c r="C1541" t="inlineStr">
        <is>
          <t>Quarter</t>
        </is>
      </c>
      <c r="D1541" t="inlineStr">
        <is>
          <t>Index Numbers</t>
        </is>
      </c>
      <c r="E1541" t="inlineStr">
        <is>
          <t>Original</t>
        </is>
      </c>
      <c r="F1541" t="inlineStr">
        <is>
          <t>6401018.xlsx</t>
        </is>
      </c>
      <c r="G1541" t="inlineStr">
        <is>
          <t>1980Q3</t>
        </is>
      </c>
      <c r="H1541" t="inlineStr">
        <is>
          <t>2026Q2</t>
        </is>
      </c>
      <c r="EG1541" s="2">
        <v>29.95</v>
      </c>
      <c r="EH1541" s="2">
        <v>31.94</v>
      </c>
      <c r="EI1541" s="2">
        <v>32.9</v>
      </c>
      <c r="EJ1541" s="2">
        <v>32.9</v>
      </c>
      <c r="EK1541" s="2">
        <v>34.18</v>
      </c>
      <c r="EL1541" s="2">
        <v>35.66</v>
      </c>
      <c r="EM1541" s="2">
        <v>36.3</v>
      </c>
      <c r="EN1541" s="2">
        <v>37.84</v>
      </c>
      <c r="EO1541" s="2">
        <v>39.06</v>
      </c>
      <c r="EP1541" s="2">
        <v>40.21</v>
      </c>
      <c r="EQ1541" s="2">
        <v>41.75</v>
      </c>
      <c r="ER1541" s="2">
        <v>42.13</v>
      </c>
      <c r="ES1541" s="2">
        <v>43.42</v>
      </c>
      <c r="ET1541" s="2">
        <v>43.67</v>
      </c>
      <c r="EU1541" s="2">
        <v>44.31</v>
      </c>
      <c r="EV1541" s="2">
        <v>45.79</v>
      </c>
      <c r="EW1541" s="2">
        <v>45.66</v>
      </c>
      <c r="EX1541" s="2">
        <v>46.17</v>
      </c>
      <c r="EY1541" s="2">
        <v>47.65</v>
      </c>
      <c r="EZ1541" s="2">
        <v>50.09</v>
      </c>
      <c r="FA1541" s="2">
        <v>51.11</v>
      </c>
      <c r="FB1541" s="2">
        <v>52.33</v>
      </c>
      <c r="FC1541" s="2">
        <v>53.42</v>
      </c>
      <c r="FD1541" s="2">
        <v>54.06</v>
      </c>
      <c r="FE1541" s="2">
        <v>53.93</v>
      </c>
      <c r="FF1541" s="2">
        <v>53.81</v>
      </c>
      <c r="FG1541" s="2">
        <v>55.54</v>
      </c>
      <c r="FH1541" s="2">
        <v>55.92</v>
      </c>
      <c r="FI1541" s="2">
        <v>56.05</v>
      </c>
      <c r="FJ1541" s="2">
        <v>58.1</v>
      </c>
      <c r="FK1541" s="2">
        <v>58.23</v>
      </c>
      <c r="FL1541" s="2">
        <v>58.74</v>
      </c>
      <c r="FM1541" s="2">
        <v>59.26</v>
      </c>
      <c r="FN1541" s="2">
        <v>59.58</v>
      </c>
      <c r="FO1541" s="2">
        <v>60.54</v>
      </c>
      <c r="FP1541" s="2">
        <v>61.44</v>
      </c>
      <c r="FQ1541" s="2">
        <v>61.76</v>
      </c>
      <c r="FR1541" s="2">
        <v>64</v>
      </c>
      <c r="FS1541" s="2">
        <v>64.64</v>
      </c>
      <c r="FT1541" s="2">
        <v>66.12</v>
      </c>
      <c r="FU1541" s="2">
        <v>67.02</v>
      </c>
      <c r="FV1541" s="2">
        <v>69.97</v>
      </c>
      <c r="FW1541" s="2">
        <v>70.03</v>
      </c>
      <c r="FX1541" s="2">
        <v>68.3</v>
      </c>
      <c r="FY1541" s="2">
        <v>69.58</v>
      </c>
      <c r="FZ1541" s="2">
        <v>69.58</v>
      </c>
      <c r="GA1541" s="2">
        <v>69.2</v>
      </c>
      <c r="GB1541" s="2">
        <v>70.93000000000001</v>
      </c>
      <c r="GC1541" s="2">
        <v>71.83</v>
      </c>
      <c r="GD1541" s="2">
        <v>71.63</v>
      </c>
      <c r="GE1541" s="2">
        <v>70.48</v>
      </c>
      <c r="GF1541" s="2">
        <v>70.61</v>
      </c>
      <c r="GG1541" s="2">
        <v>73.3</v>
      </c>
      <c r="GH1541" s="2">
        <v>72.53</v>
      </c>
      <c r="GI1541" s="2">
        <v>72.84999999999999</v>
      </c>
      <c r="GJ1541" s="2">
        <v>71.89</v>
      </c>
      <c r="GK1541" s="2">
        <v>72.47</v>
      </c>
      <c r="GL1541" s="2">
        <v>72.15000000000001</v>
      </c>
      <c r="GM1541" s="2">
        <v>72.66</v>
      </c>
      <c r="GN1541" s="2">
        <v>73.94</v>
      </c>
      <c r="GO1541" s="2">
        <v>75.29000000000001</v>
      </c>
      <c r="GP1541" s="2">
        <v>76.31999999999999</v>
      </c>
      <c r="GQ1541" s="2">
        <v>77.53</v>
      </c>
      <c r="GR1541" s="2">
        <v>78.43000000000001</v>
      </c>
      <c r="GS1541" s="2">
        <v>79.65000000000001</v>
      </c>
      <c r="GT1541" s="2">
        <v>80.04000000000001</v>
      </c>
      <c r="GU1541" s="2">
        <v>80.36</v>
      </c>
      <c r="GV1541" s="2">
        <v>80.23</v>
      </c>
      <c r="GW1541" s="2">
        <v>77.20999999999999</v>
      </c>
      <c r="GX1541" s="2">
        <v>76.83</v>
      </c>
      <c r="GY1541" s="2">
        <v>77.02</v>
      </c>
      <c r="GZ1541" s="2">
        <v>77.20999999999999</v>
      </c>
      <c r="HA1541" s="2">
        <v>77.91</v>
      </c>
      <c r="HB1541" s="2">
        <v>77.04000000000001</v>
      </c>
      <c r="HC1541" s="2">
        <v>76.95999999999999</v>
      </c>
      <c r="HD1541" s="2">
        <v>77.98</v>
      </c>
      <c r="HE1541" s="2">
        <v>78.34</v>
      </c>
      <c r="HF1541" s="2">
        <v>77.87</v>
      </c>
      <c r="HG1541" s="2">
        <v>78.76000000000001</v>
      </c>
      <c r="HH1541" s="2">
        <v>78.58</v>
      </c>
      <c r="HI1541" s="2">
        <v>71.83</v>
      </c>
      <c r="HJ1541" s="2">
        <v>72.70999999999999</v>
      </c>
      <c r="HK1541" s="2">
        <v>74.06999999999999</v>
      </c>
      <c r="HL1541" s="2">
        <v>75.31</v>
      </c>
      <c r="HM1541" s="2">
        <v>75.84999999999999</v>
      </c>
      <c r="HN1541" s="2">
        <v>75.51000000000001</v>
      </c>
      <c r="HO1541" s="2">
        <v>76.98999999999999</v>
      </c>
      <c r="HP1541" s="2">
        <v>77.25</v>
      </c>
      <c r="HQ1541" s="2">
        <v>78.09</v>
      </c>
      <c r="HR1541" s="2">
        <v>77.64</v>
      </c>
      <c r="HS1541" s="2">
        <v>78.23</v>
      </c>
      <c r="HT1541" s="2">
        <v>78.66</v>
      </c>
      <c r="HU1541" s="2">
        <v>79.20999999999999</v>
      </c>
      <c r="HV1541" s="2">
        <v>78.45999999999999</v>
      </c>
      <c r="HW1541" s="2">
        <v>78.45</v>
      </c>
      <c r="HX1541" s="2">
        <v>80.34</v>
      </c>
      <c r="HY1541" s="2">
        <v>78.23999999999999</v>
      </c>
      <c r="HZ1541" s="2">
        <v>80.06</v>
      </c>
      <c r="IA1541" s="2">
        <v>78.63</v>
      </c>
      <c r="IB1541" s="2">
        <v>80.44</v>
      </c>
      <c r="IC1541" s="2">
        <v>81.03</v>
      </c>
      <c r="ID1541" s="2">
        <v>82.15000000000001</v>
      </c>
      <c r="IE1541" s="2">
        <v>81.59999999999999</v>
      </c>
      <c r="IF1541" s="2">
        <v>82.81</v>
      </c>
      <c r="IG1541" s="2">
        <v>83.39</v>
      </c>
      <c r="IH1541" s="2">
        <v>84.18000000000001</v>
      </c>
      <c r="II1541" s="2">
        <v>83.56999999999999</v>
      </c>
      <c r="IJ1541" s="2">
        <v>84.84</v>
      </c>
      <c r="IK1541" s="2">
        <v>84.73</v>
      </c>
      <c r="IL1541" s="2">
        <v>83.72</v>
      </c>
      <c r="IM1541" s="2">
        <v>84.39</v>
      </c>
      <c r="IN1541" s="2">
        <v>82.61</v>
      </c>
      <c r="IO1541" s="2">
        <v>85.2</v>
      </c>
      <c r="IP1541" s="2">
        <v>85.54000000000001</v>
      </c>
      <c r="IQ1541" s="2">
        <v>85.79000000000001</v>
      </c>
      <c r="IR1541" s="2">
        <v>85.28</v>
      </c>
      <c r="IS1541" s="2">
        <v>85.09</v>
      </c>
      <c r="IT1541" s="2">
        <v>85.45999999999999</v>
      </c>
      <c r="IU1541" s="2">
        <v>88.3</v>
      </c>
      <c r="IV1541" s="2">
        <v>88.63</v>
      </c>
      <c r="IW1541" s="2">
        <v>87.79000000000001</v>
      </c>
      <c r="IX1541" s="2">
        <v>85.56999999999999</v>
      </c>
      <c r="IY1541" s="2">
        <v>85.54000000000001</v>
      </c>
      <c r="IZ1541" s="2">
        <v>86.23999999999999</v>
      </c>
      <c r="JA1541" s="2">
        <v>87.43000000000001</v>
      </c>
      <c r="JB1541" s="2">
        <v>87.65000000000001</v>
      </c>
      <c r="JC1541" s="2">
        <v>84.7</v>
      </c>
      <c r="JD1541" s="2">
        <v>88.72</v>
      </c>
      <c r="JE1541" s="2">
        <v>88.59999999999999</v>
      </c>
      <c r="JF1541" s="2">
        <v>88.69</v>
      </c>
      <c r="JG1541" s="2">
        <v>88.87</v>
      </c>
      <c r="JH1541" s="2">
        <v>87.98</v>
      </c>
      <c r="JI1541" s="2">
        <v>87.51000000000001</v>
      </c>
      <c r="JJ1541" s="2">
        <v>86.95999999999999</v>
      </c>
      <c r="JK1541" s="2">
        <v>84.86</v>
      </c>
      <c r="JL1541" s="2">
        <v>85.56</v>
      </c>
      <c r="JM1541" s="2">
        <v>86.84</v>
      </c>
      <c r="JN1541" s="2">
        <v>85.58</v>
      </c>
      <c r="JO1541" s="2">
        <v>87.31999999999999</v>
      </c>
      <c r="JP1541" s="2">
        <v>85.54000000000001</v>
      </c>
      <c r="JQ1541" s="2">
        <v>84.44</v>
      </c>
      <c r="JR1541" s="2">
        <v>85.58</v>
      </c>
      <c r="JS1541" s="2">
        <v>84.37</v>
      </c>
      <c r="JT1541" s="2">
        <v>84.83</v>
      </c>
      <c r="JU1541" s="2">
        <v>83.90000000000001</v>
      </c>
      <c r="JV1541" s="2">
        <v>83.5</v>
      </c>
      <c r="KA1541" s="2">
        <v>82.70999999999999</v>
      </c>
      <c r="KB1541" s="2">
        <v>83.52</v>
      </c>
      <c r="KC1541" s="2">
        <v>82.75</v>
      </c>
      <c r="KD1541" s="2">
        <v>82.36</v>
      </c>
      <c r="KQ1541" s="2">
        <v>81.28</v>
      </c>
      <c r="KR1541" s="2">
        <v>79.69</v>
      </c>
      <c r="KS1541" s="2">
        <v>79.56999999999999</v>
      </c>
      <c r="KT1541" s="2">
        <v>81.16</v>
      </c>
      <c r="LG1541" s="2">
        <v>80.34999999999999</v>
      </c>
      <c r="LH1541" s="2">
        <v>80.52</v>
      </c>
      <c r="LI1541" s="2">
        <v>80.77</v>
      </c>
      <c r="LJ1541" s="2">
        <v>81.63</v>
      </c>
      <c r="LW1541" s="2">
        <v>83.12</v>
      </c>
      <c r="LX1541" s="2">
        <v>88.29000000000001</v>
      </c>
      <c r="LY1541" s="2">
        <v>84.44</v>
      </c>
      <c r="LZ1541" s="2">
        <v>84.93000000000001</v>
      </c>
      <c r="MM1541" s="2">
        <v>83.79000000000001</v>
      </c>
      <c r="MN1541" s="2">
        <v>84.15000000000001</v>
      </c>
      <c r="MO1541" s="2">
        <v>84.81999999999999</v>
      </c>
      <c r="MP1541" s="2">
        <v>86.12</v>
      </c>
      <c r="NC1541" s="2">
        <v>88.47</v>
      </c>
      <c r="ND1541" s="2">
        <v>90.88</v>
      </c>
      <c r="NE1541" s="2">
        <v>92.40000000000001</v>
      </c>
      <c r="NF1541" s="2">
        <v>97.36</v>
      </c>
      <c r="NS1541" s="2">
        <v>98.59</v>
      </c>
      <c r="NT1541" s="2">
        <v>99.25</v>
      </c>
      <c r="NU1541" s="2">
        <v>100.14</v>
      </c>
      <c r="NV1541" s="2">
        <v>101.2</v>
      </c>
      <c r="OI1541" s="2">
        <v>100.32</v>
      </c>
      <c r="OJ1541" s="2">
        <v>99.2</v>
      </c>
      <c r="OK1541" s="2">
        <v>99.15000000000001</v>
      </c>
      <c r="OL1541" s="2">
        <v>99.06999999999999</v>
      </c>
      <c r="OY1541" s="2">
        <v>99.09</v>
      </c>
      <c r="OZ1541" s="2">
        <v>98.86</v>
      </c>
      <c r="PA1541" s="2">
        <v>100.27</v>
      </c>
      <c r="PB1541" s="2">
        <v>100.55</v>
      </c>
      <c r="PJ1541" s="2">
        <v>99.54000000000001</v>
      </c>
      <c r="PK1541" s="2">
        <v>99.53</v>
      </c>
    </row>
    <row r="1542">
      <c r="A1542" t="inlineStr">
        <is>
          <t>A2329221A</t>
        </is>
      </c>
      <c r="B1542" t="inlineStr">
        <is>
          <t>Index Numbers ;  Personal care products ;  Australia ;</t>
        </is>
      </c>
      <c r="C1542" t="inlineStr">
        <is>
          <t>Quarter</t>
        </is>
      </c>
      <c r="D1542" t="inlineStr">
        <is>
          <t>Index Numbers</t>
        </is>
      </c>
      <c r="E1542" t="inlineStr">
        <is>
          <t>Original</t>
        </is>
      </c>
      <c r="F1542" t="inlineStr">
        <is>
          <t>6401018.xlsx</t>
        </is>
      </c>
      <c r="G1542" t="inlineStr">
        <is>
          <t>1980Q3</t>
        </is>
      </c>
      <c r="H1542" t="inlineStr">
        <is>
          <t>2026Q2</t>
        </is>
      </c>
      <c r="EG1542" s="2">
        <v>36.2</v>
      </c>
      <c r="EH1542" s="2">
        <v>37.41</v>
      </c>
      <c r="EI1542" s="2">
        <v>38.41</v>
      </c>
      <c r="EJ1542" s="2">
        <v>38.91</v>
      </c>
      <c r="EK1542" s="2">
        <v>39.48</v>
      </c>
      <c r="EL1542" s="2">
        <v>40.27</v>
      </c>
      <c r="EM1542" s="2">
        <v>41.63</v>
      </c>
      <c r="EN1542" s="2">
        <v>42.05</v>
      </c>
      <c r="EO1542" s="2">
        <v>43.2</v>
      </c>
      <c r="EP1542" s="2">
        <v>45.55</v>
      </c>
      <c r="EQ1542" s="2">
        <v>47.7</v>
      </c>
      <c r="ER1542" s="2">
        <v>48.77</v>
      </c>
      <c r="ES1542" s="2">
        <v>49.69</v>
      </c>
      <c r="ET1542" s="2">
        <v>49.62</v>
      </c>
      <c r="EU1542" s="2">
        <v>50.41</v>
      </c>
      <c r="EV1542" s="2">
        <v>50.62</v>
      </c>
      <c r="EW1542" s="2">
        <v>51.62</v>
      </c>
      <c r="EX1542" s="2">
        <v>53.98</v>
      </c>
      <c r="EY1542" s="2">
        <v>54.84</v>
      </c>
      <c r="EZ1542" s="2">
        <v>56.05</v>
      </c>
      <c r="FA1542" s="2">
        <v>57.55</v>
      </c>
      <c r="FB1542" s="2">
        <v>57.69</v>
      </c>
      <c r="FC1542" s="2">
        <v>58.91</v>
      </c>
      <c r="FD1542" s="2">
        <v>60.12</v>
      </c>
      <c r="FE1542" s="2">
        <v>61.05</v>
      </c>
      <c r="FF1542" s="2">
        <v>61.55</v>
      </c>
      <c r="FG1542" s="2">
        <v>63.26</v>
      </c>
      <c r="FH1542" s="2">
        <v>64.47</v>
      </c>
      <c r="FI1542" s="2">
        <v>65.26000000000001</v>
      </c>
      <c r="FJ1542" s="2">
        <v>65.55</v>
      </c>
      <c r="FK1542" s="2">
        <v>66.90000000000001</v>
      </c>
      <c r="FL1542" s="2">
        <v>68.54000000000001</v>
      </c>
      <c r="FM1542" s="2">
        <v>69.69</v>
      </c>
      <c r="FN1542" s="2">
        <v>67.62</v>
      </c>
      <c r="FO1542" s="2">
        <v>68.12</v>
      </c>
      <c r="FP1542" s="2">
        <v>68.19</v>
      </c>
      <c r="FQ1542" s="2">
        <v>69.83</v>
      </c>
      <c r="FR1542" s="2">
        <v>70.12</v>
      </c>
      <c r="FS1542" s="2">
        <v>71.90000000000001</v>
      </c>
      <c r="FT1542" s="2">
        <v>73.76000000000001</v>
      </c>
      <c r="FU1542" s="2">
        <v>74.97</v>
      </c>
      <c r="FV1542" s="2">
        <v>75.90000000000001</v>
      </c>
      <c r="FW1542" s="2">
        <v>77.18000000000001</v>
      </c>
      <c r="FX1542" s="2">
        <v>77.83</v>
      </c>
      <c r="FY1542" s="2">
        <v>77.68000000000001</v>
      </c>
      <c r="FZ1542" s="2">
        <v>79.40000000000001</v>
      </c>
      <c r="GA1542" s="2">
        <v>79.83</v>
      </c>
      <c r="GB1542" s="2">
        <v>80.90000000000001</v>
      </c>
      <c r="GC1542" s="2">
        <v>81.25</v>
      </c>
      <c r="GD1542" s="2">
        <v>81.54000000000001</v>
      </c>
      <c r="GE1542" s="2">
        <v>81.33</v>
      </c>
      <c r="GF1542" s="2">
        <v>82.97</v>
      </c>
      <c r="GG1542" s="2">
        <v>82.61</v>
      </c>
      <c r="GH1542" s="2">
        <v>83.61</v>
      </c>
      <c r="GI1542" s="2">
        <v>84.90000000000001</v>
      </c>
      <c r="GJ1542" s="2">
        <v>85.68000000000001</v>
      </c>
      <c r="GK1542" s="2">
        <v>85.61</v>
      </c>
      <c r="GL1542" s="2">
        <v>85.47</v>
      </c>
      <c r="GM1542" s="2">
        <v>86.31999999999999</v>
      </c>
      <c r="GN1542" s="2">
        <v>86.97</v>
      </c>
      <c r="GO1542" s="2">
        <v>87.68000000000001</v>
      </c>
      <c r="GP1542" s="2">
        <v>88.47</v>
      </c>
      <c r="GQ1542" s="2">
        <v>88.89</v>
      </c>
      <c r="GR1542" s="2">
        <v>89.47</v>
      </c>
      <c r="GS1542" s="2">
        <v>89.89</v>
      </c>
      <c r="GT1542" s="2">
        <v>90.11</v>
      </c>
      <c r="GU1542" s="2">
        <v>90.45999999999999</v>
      </c>
      <c r="GV1542" s="2">
        <v>90.25</v>
      </c>
      <c r="GW1542" s="2">
        <v>90.04000000000001</v>
      </c>
      <c r="GX1542" s="2">
        <v>90.31999999999999</v>
      </c>
      <c r="GY1542" s="2">
        <v>90.18000000000001</v>
      </c>
      <c r="GZ1542" s="2">
        <v>90.95999999999999</v>
      </c>
      <c r="HA1542" s="2">
        <v>91.78</v>
      </c>
      <c r="HB1542" s="2">
        <v>91.72</v>
      </c>
      <c r="HC1542" s="2">
        <v>93</v>
      </c>
      <c r="HD1542" s="2">
        <v>93.76000000000001</v>
      </c>
      <c r="HE1542" s="2">
        <v>93.59</v>
      </c>
      <c r="HF1542" s="2">
        <v>93.98</v>
      </c>
      <c r="HG1542" s="2">
        <v>95.03</v>
      </c>
      <c r="HH1542" s="2">
        <v>95.15000000000001</v>
      </c>
      <c r="HI1542" s="2">
        <v>94.97</v>
      </c>
      <c r="HJ1542" s="2">
        <v>95.73999999999999</v>
      </c>
      <c r="HK1542" s="2">
        <v>95.22</v>
      </c>
      <c r="HL1542" s="2">
        <v>96.73</v>
      </c>
      <c r="HM1542" s="2">
        <v>98.26000000000001</v>
      </c>
      <c r="HN1542" s="2">
        <v>97.93000000000001</v>
      </c>
      <c r="HO1542" s="2">
        <v>97.48</v>
      </c>
      <c r="HP1542" s="2">
        <v>97.91</v>
      </c>
      <c r="HQ1542" s="2">
        <v>99.67</v>
      </c>
      <c r="HR1542" s="2">
        <v>99.52</v>
      </c>
      <c r="HS1542" s="2">
        <v>100.41</v>
      </c>
      <c r="HT1542" s="2">
        <v>100.77</v>
      </c>
      <c r="HU1542" s="2">
        <v>100.37</v>
      </c>
      <c r="HV1542" s="2">
        <v>99.28</v>
      </c>
      <c r="HW1542" s="2">
        <v>100.4</v>
      </c>
      <c r="HX1542" s="2">
        <v>100.23</v>
      </c>
      <c r="HY1542" s="2">
        <v>100.88</v>
      </c>
      <c r="HZ1542" s="2">
        <v>100.58</v>
      </c>
      <c r="IA1542" s="2">
        <v>100.97</v>
      </c>
      <c r="IB1542" s="2">
        <v>102.02</v>
      </c>
      <c r="IC1542" s="2">
        <v>101.51</v>
      </c>
      <c r="ID1542" s="2">
        <v>102.76</v>
      </c>
      <c r="IE1542" s="2">
        <v>103.88</v>
      </c>
      <c r="IF1542" s="2">
        <v>103.89</v>
      </c>
      <c r="IG1542" s="2">
        <v>104.5</v>
      </c>
      <c r="IH1542" s="2">
        <v>103.56</v>
      </c>
      <c r="II1542" s="2">
        <v>103.37</v>
      </c>
      <c r="IJ1542" s="2">
        <v>103.67</v>
      </c>
      <c r="IK1542" s="2">
        <v>102.83</v>
      </c>
      <c r="IL1542" s="2">
        <v>103.09</v>
      </c>
      <c r="IM1542" s="2">
        <v>103.13</v>
      </c>
      <c r="IN1542" s="2">
        <v>103.4</v>
      </c>
      <c r="IO1542" s="2">
        <v>103.12</v>
      </c>
      <c r="IP1542" s="2">
        <v>102.45</v>
      </c>
      <c r="IQ1542" s="2">
        <v>104.13</v>
      </c>
      <c r="IR1542" s="2">
        <v>105.93</v>
      </c>
      <c r="IS1542" s="2">
        <v>105.37</v>
      </c>
      <c r="IT1542" s="2">
        <v>104.76</v>
      </c>
      <c r="IU1542" s="2">
        <v>104.25</v>
      </c>
      <c r="IV1542" s="2">
        <v>103.88</v>
      </c>
      <c r="IW1542" s="2">
        <v>104.51</v>
      </c>
      <c r="IX1542" s="2">
        <v>103.47</v>
      </c>
      <c r="IY1542" s="2">
        <v>103.85</v>
      </c>
      <c r="IZ1542" s="2">
        <v>101.36</v>
      </c>
      <c r="JA1542" s="2">
        <v>101.34</v>
      </c>
      <c r="JB1542" s="2">
        <v>100.52</v>
      </c>
      <c r="JC1542" s="2">
        <v>100.48</v>
      </c>
      <c r="JD1542" s="2">
        <v>102.67</v>
      </c>
      <c r="JE1542" s="2">
        <v>103.02</v>
      </c>
      <c r="JF1542" s="2">
        <v>101.76</v>
      </c>
      <c r="JG1542" s="2">
        <v>101.22</v>
      </c>
      <c r="JH1542" s="2">
        <v>101.04</v>
      </c>
      <c r="JI1542" s="2">
        <v>101.39</v>
      </c>
      <c r="JJ1542" s="2">
        <v>100.73</v>
      </c>
      <c r="JK1542" s="2">
        <v>98.79000000000001</v>
      </c>
      <c r="JL1542" s="2">
        <v>98.62</v>
      </c>
      <c r="JM1542" s="2">
        <v>97.53</v>
      </c>
      <c r="JN1542" s="2">
        <v>98.73999999999999</v>
      </c>
      <c r="JO1542" s="2">
        <v>98.56</v>
      </c>
      <c r="JP1542" s="2">
        <v>97.63</v>
      </c>
      <c r="JQ1542" s="2">
        <v>96.09999999999999</v>
      </c>
      <c r="JR1542" s="2">
        <v>97.04000000000001</v>
      </c>
      <c r="JS1542" s="2">
        <v>95.53</v>
      </c>
      <c r="JT1542" s="2">
        <v>94.63</v>
      </c>
      <c r="JU1542" s="2">
        <v>95.09999999999999</v>
      </c>
      <c r="JV1542" s="2">
        <v>93.11</v>
      </c>
      <c r="KA1542" s="2">
        <v>93.63</v>
      </c>
      <c r="KB1542" s="2">
        <v>93.48</v>
      </c>
      <c r="KC1542" s="2">
        <v>92.5</v>
      </c>
      <c r="KD1542" s="2">
        <v>91.14</v>
      </c>
      <c r="KQ1542" s="2">
        <v>91.34</v>
      </c>
      <c r="KR1542" s="2">
        <v>89.47</v>
      </c>
      <c r="KS1542" s="2">
        <v>89.37</v>
      </c>
      <c r="KT1542" s="2">
        <v>88.59999999999999</v>
      </c>
      <c r="LG1542" s="2">
        <v>88.37</v>
      </c>
      <c r="LH1542" s="2">
        <v>88.70999999999999</v>
      </c>
      <c r="LI1542" s="2">
        <v>88.45</v>
      </c>
      <c r="LJ1542" s="2">
        <v>87.54000000000001</v>
      </c>
      <c r="LW1542" s="2">
        <v>89.47</v>
      </c>
      <c r="LX1542" s="2">
        <v>91.48</v>
      </c>
      <c r="LY1542" s="2">
        <v>88.73999999999999</v>
      </c>
      <c r="LZ1542" s="2">
        <v>87.09</v>
      </c>
      <c r="MM1542" s="2">
        <v>87.70999999999999</v>
      </c>
      <c r="MN1542" s="2">
        <v>87.47</v>
      </c>
      <c r="MO1542" s="2">
        <v>88.3</v>
      </c>
      <c r="MP1542" s="2">
        <v>88.59</v>
      </c>
      <c r="NC1542" s="2">
        <v>90.37</v>
      </c>
      <c r="ND1542" s="2">
        <v>92.29000000000001</v>
      </c>
      <c r="NE1542" s="2">
        <v>94.06999999999999</v>
      </c>
      <c r="NF1542" s="2">
        <v>95.45</v>
      </c>
      <c r="NS1542" s="2">
        <v>97.41</v>
      </c>
      <c r="NT1542" s="2">
        <v>98.39</v>
      </c>
      <c r="NU1542" s="2">
        <v>98.84999999999999</v>
      </c>
      <c r="NV1542" s="2">
        <v>97.97</v>
      </c>
      <c r="OI1542" s="2">
        <v>99.36</v>
      </c>
      <c r="OJ1542" s="2">
        <v>99.04000000000001</v>
      </c>
      <c r="OK1542" s="2">
        <v>98.56</v>
      </c>
      <c r="OL1542" s="2">
        <v>97.26000000000001</v>
      </c>
      <c r="OY1542" s="2">
        <v>99.36</v>
      </c>
      <c r="OZ1542" s="2">
        <v>99.53</v>
      </c>
      <c r="PA1542" s="2">
        <v>100.13</v>
      </c>
      <c r="PB1542" s="2">
        <v>99.69</v>
      </c>
      <c r="PJ1542" s="2">
        <v>100.6</v>
      </c>
      <c r="PK1542" s="2">
        <v>100.8</v>
      </c>
    </row>
    <row r="1543">
      <c r="A1543" t="inlineStr">
        <is>
          <t>A2330121R</t>
        </is>
      </c>
      <c r="B1543" t="inlineStr">
        <is>
          <t>Index Numbers ;  Other non-durable household products ;  Australia ;</t>
        </is>
      </c>
      <c r="C1543" t="inlineStr">
        <is>
          <t>Quarter</t>
        </is>
      </c>
      <c r="D1543" t="inlineStr">
        <is>
          <t>Index Numbers</t>
        </is>
      </c>
      <c r="E1543" t="inlineStr">
        <is>
          <t>Original</t>
        </is>
      </c>
      <c r="F1543" t="inlineStr">
        <is>
          <t>6401018.xlsx</t>
        </is>
      </c>
      <c r="G1543" t="inlineStr">
        <is>
          <t>1989Q3</t>
        </is>
      </c>
      <c r="H1543" t="inlineStr">
        <is>
          <t>2026Q2</t>
        </is>
      </c>
      <c r="FQ1543" s="2">
        <v>51.48</v>
      </c>
      <c r="FR1543" s="2">
        <v>51.53</v>
      </c>
      <c r="FS1543" s="2">
        <v>51.84</v>
      </c>
      <c r="FT1543" s="2">
        <v>52.72</v>
      </c>
      <c r="FU1543" s="2">
        <v>53.81</v>
      </c>
      <c r="FV1543" s="2">
        <v>54.44</v>
      </c>
      <c r="FW1543" s="2">
        <v>54.18</v>
      </c>
      <c r="FX1543" s="2">
        <v>55.37</v>
      </c>
      <c r="FY1543" s="2">
        <v>55.94</v>
      </c>
      <c r="FZ1543" s="2">
        <v>55.73</v>
      </c>
      <c r="GA1543" s="2">
        <v>55.53</v>
      </c>
      <c r="GB1543" s="2">
        <v>56.15</v>
      </c>
      <c r="GC1543" s="2">
        <v>56.77</v>
      </c>
      <c r="GD1543" s="2">
        <v>56.36</v>
      </c>
      <c r="GE1543" s="2">
        <v>56.2</v>
      </c>
      <c r="GF1543" s="2">
        <v>56.3</v>
      </c>
      <c r="GG1543" s="2">
        <v>55.63</v>
      </c>
      <c r="GH1543" s="2">
        <v>55.99</v>
      </c>
      <c r="GI1543" s="2">
        <v>57.55</v>
      </c>
      <c r="GJ1543" s="2">
        <v>57.08</v>
      </c>
      <c r="GK1543" s="2">
        <v>57.39</v>
      </c>
      <c r="GL1543" s="2">
        <v>57.08</v>
      </c>
      <c r="GM1543" s="2">
        <v>57.45</v>
      </c>
      <c r="GN1543" s="2">
        <v>58.79</v>
      </c>
      <c r="GO1543" s="2">
        <v>60.66</v>
      </c>
      <c r="GP1543" s="2">
        <v>60.14</v>
      </c>
      <c r="GQ1543" s="2">
        <v>60.09</v>
      </c>
      <c r="GR1543" s="2">
        <v>60.14</v>
      </c>
      <c r="GS1543" s="2">
        <v>61.23</v>
      </c>
      <c r="GT1543" s="2">
        <v>61.08</v>
      </c>
      <c r="GU1543" s="2">
        <v>61.6</v>
      </c>
      <c r="GV1543" s="2">
        <v>61.86</v>
      </c>
      <c r="GW1543" s="2">
        <v>61.8</v>
      </c>
      <c r="GX1543" s="2">
        <v>62.43</v>
      </c>
      <c r="GY1543" s="2">
        <v>62.22</v>
      </c>
      <c r="GZ1543" s="2">
        <v>63.05</v>
      </c>
      <c r="HA1543" s="2">
        <v>63.83</v>
      </c>
      <c r="HB1543" s="2">
        <v>63.59</v>
      </c>
      <c r="HC1543" s="2">
        <v>64.06999999999999</v>
      </c>
      <c r="HD1543" s="2">
        <v>63.4</v>
      </c>
      <c r="HE1543" s="2">
        <v>64.03</v>
      </c>
      <c r="HF1543" s="2">
        <v>64.48999999999999</v>
      </c>
      <c r="HG1543" s="2">
        <v>64.13</v>
      </c>
      <c r="HH1543" s="2">
        <v>65.34</v>
      </c>
      <c r="HI1543" s="2">
        <v>64.06</v>
      </c>
      <c r="HJ1543" s="2">
        <v>65.59999999999999</v>
      </c>
      <c r="HK1543" s="2">
        <v>66.51000000000001</v>
      </c>
      <c r="HL1543" s="2">
        <v>67.81</v>
      </c>
      <c r="HM1543" s="2">
        <v>68.5</v>
      </c>
      <c r="HN1543" s="2">
        <v>69.23</v>
      </c>
      <c r="HO1543" s="2">
        <v>69.06</v>
      </c>
      <c r="HP1543" s="2">
        <v>69.27</v>
      </c>
      <c r="HQ1543" s="2">
        <v>71.03</v>
      </c>
      <c r="HR1543" s="2">
        <v>70.72</v>
      </c>
      <c r="HS1543" s="2">
        <v>70.51000000000001</v>
      </c>
      <c r="HT1543" s="2">
        <v>69.72</v>
      </c>
      <c r="HU1543" s="2">
        <v>69.73999999999999</v>
      </c>
      <c r="HV1543" s="2">
        <v>70.13</v>
      </c>
      <c r="HW1543" s="2">
        <v>70.48</v>
      </c>
      <c r="HX1543" s="2">
        <v>70.23999999999999</v>
      </c>
      <c r="HY1543" s="2">
        <v>71.04000000000001</v>
      </c>
      <c r="HZ1543" s="2">
        <v>71.45</v>
      </c>
      <c r="IA1543" s="2">
        <v>71.02</v>
      </c>
      <c r="IB1543" s="2">
        <v>71.48</v>
      </c>
      <c r="IC1543" s="2">
        <v>71.20999999999999</v>
      </c>
      <c r="ID1543" s="2">
        <v>72.12</v>
      </c>
      <c r="IE1543" s="2">
        <v>72.59</v>
      </c>
      <c r="IF1543" s="2">
        <v>72.47</v>
      </c>
      <c r="IG1543" s="2">
        <v>74.56999999999999</v>
      </c>
      <c r="IH1543" s="2">
        <v>74.73</v>
      </c>
      <c r="II1543" s="2">
        <v>73.90000000000001</v>
      </c>
      <c r="IJ1543" s="2">
        <v>74.01000000000001</v>
      </c>
      <c r="IK1543" s="2">
        <v>73.98</v>
      </c>
      <c r="IL1543" s="2">
        <v>74.54000000000001</v>
      </c>
      <c r="IM1543" s="2">
        <v>75.20999999999999</v>
      </c>
      <c r="IN1543" s="2">
        <v>76.79000000000001</v>
      </c>
      <c r="IO1543" s="2">
        <v>77.06</v>
      </c>
      <c r="IP1543" s="2">
        <v>77.90000000000001</v>
      </c>
      <c r="IQ1543" s="2">
        <v>79.14</v>
      </c>
      <c r="IR1543" s="2">
        <v>80.7</v>
      </c>
      <c r="IS1543" s="2">
        <v>81.23999999999999</v>
      </c>
      <c r="IT1543" s="2">
        <v>80.77</v>
      </c>
      <c r="IU1543" s="2">
        <v>80.73</v>
      </c>
      <c r="IV1543" s="2">
        <v>81.04000000000001</v>
      </c>
      <c r="IW1543" s="2">
        <v>82.03</v>
      </c>
      <c r="IX1543" s="2">
        <v>81.05</v>
      </c>
      <c r="IY1543" s="2">
        <v>80.95</v>
      </c>
      <c r="IZ1543" s="2">
        <v>79.63</v>
      </c>
      <c r="JA1543" s="2">
        <v>79.73</v>
      </c>
      <c r="JB1543" s="2">
        <v>78.90000000000001</v>
      </c>
      <c r="JC1543" s="2">
        <v>79.34</v>
      </c>
      <c r="JD1543" s="2">
        <v>79.06</v>
      </c>
      <c r="JE1543" s="2">
        <v>79.44</v>
      </c>
      <c r="JF1543" s="2">
        <v>79.31999999999999</v>
      </c>
      <c r="JG1543" s="2">
        <v>80.84999999999999</v>
      </c>
      <c r="JH1543" s="2">
        <v>80.11</v>
      </c>
      <c r="JI1543" s="2">
        <v>81.09999999999999</v>
      </c>
      <c r="JJ1543" s="2">
        <v>80.94</v>
      </c>
      <c r="JK1543" s="2">
        <v>79.87</v>
      </c>
      <c r="JL1543" s="2">
        <v>80.8</v>
      </c>
      <c r="JM1543" s="2">
        <v>80.41</v>
      </c>
      <c r="JN1543" s="2">
        <v>82.34999999999999</v>
      </c>
      <c r="JO1543" s="2">
        <v>82.26000000000001</v>
      </c>
      <c r="JP1543" s="2">
        <v>82.83</v>
      </c>
      <c r="JQ1543" s="2">
        <v>81.95</v>
      </c>
      <c r="JR1543" s="2">
        <v>81.7</v>
      </c>
      <c r="JS1543" s="2">
        <v>81.41</v>
      </c>
      <c r="JT1543" s="2">
        <v>81.78</v>
      </c>
      <c r="JU1543" s="2">
        <v>81.81999999999999</v>
      </c>
      <c r="JV1543" s="2">
        <v>81.83</v>
      </c>
      <c r="KA1543" s="2">
        <v>81.63</v>
      </c>
      <c r="KB1543" s="2">
        <v>82.03</v>
      </c>
      <c r="KC1543" s="2">
        <v>81.23999999999999</v>
      </c>
      <c r="KD1543" s="2">
        <v>80.87</v>
      </c>
      <c r="KQ1543" s="2">
        <v>81.23</v>
      </c>
      <c r="KR1543" s="2">
        <v>81.22</v>
      </c>
      <c r="KS1543" s="2">
        <v>80.72</v>
      </c>
      <c r="KT1543" s="2">
        <v>80.62</v>
      </c>
      <c r="LG1543" s="2">
        <v>80.39</v>
      </c>
      <c r="LH1543" s="2">
        <v>80.79000000000001</v>
      </c>
      <c r="LI1543" s="2">
        <v>80.98999999999999</v>
      </c>
      <c r="LJ1543" s="2">
        <v>81.19</v>
      </c>
      <c r="LW1543" s="2">
        <v>83.92</v>
      </c>
      <c r="LX1543" s="2">
        <v>87.76000000000001</v>
      </c>
      <c r="LY1543" s="2">
        <v>84.19</v>
      </c>
      <c r="LZ1543" s="2">
        <v>82.61</v>
      </c>
      <c r="MM1543" s="2">
        <v>83.06</v>
      </c>
      <c r="MN1543" s="2">
        <v>82.91</v>
      </c>
      <c r="MO1543" s="2">
        <v>83.95999999999999</v>
      </c>
      <c r="MP1543" s="2">
        <v>87.02</v>
      </c>
      <c r="NC1543" s="2">
        <v>92.91</v>
      </c>
      <c r="ND1543" s="2">
        <v>95.12</v>
      </c>
      <c r="NE1543" s="2">
        <v>97.58</v>
      </c>
      <c r="NF1543" s="2">
        <v>99.76000000000001</v>
      </c>
      <c r="NS1543" s="2">
        <v>101.38</v>
      </c>
      <c r="NT1543" s="2">
        <v>102.14</v>
      </c>
      <c r="NU1543" s="2">
        <v>101.8</v>
      </c>
      <c r="NV1543" s="2">
        <v>100.09</v>
      </c>
      <c r="OI1543" s="2">
        <v>100.59</v>
      </c>
      <c r="OJ1543" s="2">
        <v>101.46</v>
      </c>
      <c r="OK1543" s="2">
        <v>100.61</v>
      </c>
      <c r="OL1543" s="2">
        <v>100.03</v>
      </c>
      <c r="OY1543" s="2">
        <v>100.13</v>
      </c>
      <c r="OZ1543" s="2">
        <v>100.83</v>
      </c>
      <c r="PA1543" s="2">
        <v>100.46</v>
      </c>
      <c r="PB1543" s="2">
        <v>99.42</v>
      </c>
      <c r="PJ1543" s="2">
        <v>98.79000000000001</v>
      </c>
      <c r="PK1543" s="2">
        <v>99.59</v>
      </c>
    </row>
    <row r="1544">
      <c r="A1544" t="inlineStr">
        <is>
          <t>A2330166V</t>
        </is>
      </c>
      <c r="B1544" t="inlineStr">
        <is>
          <t>Index Numbers ;  Domestic and household services ;  Australia ;</t>
        </is>
      </c>
      <c r="C1544" t="inlineStr">
        <is>
          <t>Quarter</t>
        </is>
      </c>
      <c r="D1544" t="inlineStr">
        <is>
          <t>Index Numbers</t>
        </is>
      </c>
      <c r="E1544" t="inlineStr">
        <is>
          <t>Original</t>
        </is>
      </c>
      <c r="F1544" t="inlineStr">
        <is>
          <t>6401018.xlsx</t>
        </is>
      </c>
      <c r="G1544" t="inlineStr">
        <is>
          <t>1989Q3</t>
        </is>
      </c>
      <c r="H1544" t="inlineStr">
        <is>
          <t>2026Q2</t>
        </is>
      </c>
      <c r="FQ1544" s="2">
        <v>24.19</v>
      </c>
      <c r="FR1544" s="2">
        <v>24.47</v>
      </c>
      <c r="FS1544" s="2">
        <v>24.86</v>
      </c>
      <c r="FT1544" s="2">
        <v>25.93</v>
      </c>
      <c r="FU1544" s="2">
        <v>26.51</v>
      </c>
      <c r="FV1544" s="2">
        <v>27</v>
      </c>
      <c r="FW1544" s="2">
        <v>27.8</v>
      </c>
      <c r="FX1544" s="2">
        <v>28.17</v>
      </c>
      <c r="FY1544" s="2">
        <v>28.82</v>
      </c>
      <c r="FZ1544" s="2">
        <v>29.26</v>
      </c>
      <c r="GA1544" s="2">
        <v>29.69</v>
      </c>
      <c r="GB1544" s="2">
        <v>30.31</v>
      </c>
      <c r="GC1544" s="2">
        <v>30.36</v>
      </c>
      <c r="GD1544" s="2">
        <v>30.36</v>
      </c>
      <c r="GE1544" s="2">
        <v>30.58</v>
      </c>
      <c r="GF1544" s="2">
        <v>31.2</v>
      </c>
      <c r="GG1544" s="2">
        <v>31.78</v>
      </c>
      <c r="GH1544" s="2">
        <v>31.98</v>
      </c>
      <c r="GI1544" s="2">
        <v>31.88</v>
      </c>
      <c r="GJ1544" s="2">
        <v>31.65</v>
      </c>
      <c r="GK1544" s="2">
        <v>32.02</v>
      </c>
      <c r="GL1544" s="2">
        <v>32.25</v>
      </c>
      <c r="GM1544" s="2">
        <v>33.07</v>
      </c>
      <c r="GN1544" s="2">
        <v>33.47</v>
      </c>
      <c r="GO1544" s="2">
        <v>33.62</v>
      </c>
      <c r="GP1544" s="2">
        <v>34.06</v>
      </c>
      <c r="GQ1544" s="2">
        <v>34.31</v>
      </c>
      <c r="GR1544" s="2">
        <v>34.76</v>
      </c>
      <c r="GS1544" s="2">
        <v>34.93</v>
      </c>
      <c r="GT1544" s="2">
        <v>35.26</v>
      </c>
      <c r="GU1544" s="2">
        <v>35.8</v>
      </c>
      <c r="GV1544" s="2">
        <v>36.4</v>
      </c>
      <c r="GW1544" s="2">
        <v>36.77</v>
      </c>
      <c r="GX1544" s="2">
        <v>36.92</v>
      </c>
      <c r="GY1544" s="2">
        <v>37.2</v>
      </c>
      <c r="GZ1544" s="2">
        <v>37.42</v>
      </c>
      <c r="HA1544" s="2">
        <v>37.58</v>
      </c>
      <c r="HB1544" s="2">
        <v>37.8</v>
      </c>
      <c r="HC1544" s="2">
        <v>37.98</v>
      </c>
      <c r="HD1544" s="2">
        <v>38.17</v>
      </c>
      <c r="HE1544" s="2">
        <v>38.64</v>
      </c>
      <c r="HF1544" s="2">
        <v>39.28</v>
      </c>
      <c r="HG1544" s="2">
        <v>39.92</v>
      </c>
      <c r="HH1544" s="2">
        <v>40.68</v>
      </c>
      <c r="HI1544" s="2">
        <v>44.01</v>
      </c>
      <c r="HJ1544" s="2">
        <v>44.48</v>
      </c>
      <c r="HK1544" s="2">
        <v>44.99</v>
      </c>
      <c r="HL1544" s="2">
        <v>45.26</v>
      </c>
      <c r="HM1544" s="2">
        <v>45.56</v>
      </c>
      <c r="HN1544" s="2">
        <v>45.79</v>
      </c>
      <c r="HO1544" s="2">
        <v>46.32</v>
      </c>
      <c r="HP1544" s="2">
        <v>46.4</v>
      </c>
      <c r="HQ1544" s="2">
        <v>46.86</v>
      </c>
      <c r="HR1544" s="2">
        <v>47.51</v>
      </c>
      <c r="HS1544" s="2">
        <v>48.12</v>
      </c>
      <c r="HT1544" s="2">
        <v>48.44</v>
      </c>
      <c r="HU1544" s="2">
        <v>48.76</v>
      </c>
      <c r="HV1544" s="2">
        <v>49.28</v>
      </c>
      <c r="HW1544" s="2">
        <v>49.77</v>
      </c>
      <c r="HX1544" s="2">
        <v>50.08</v>
      </c>
      <c r="HY1544" s="2">
        <v>50.45</v>
      </c>
      <c r="HZ1544" s="2">
        <v>50.89</v>
      </c>
      <c r="IA1544" s="2">
        <v>51.44</v>
      </c>
      <c r="IB1544" s="2">
        <v>51.86</v>
      </c>
      <c r="IC1544" s="2">
        <v>52.3</v>
      </c>
      <c r="ID1544" s="2">
        <v>53.17</v>
      </c>
      <c r="IE1544" s="2">
        <v>54.24</v>
      </c>
      <c r="IF1544" s="2">
        <v>54.94</v>
      </c>
      <c r="IG1544" s="2">
        <v>56.05</v>
      </c>
      <c r="IH1544" s="2">
        <v>56.65</v>
      </c>
      <c r="II1544" s="2">
        <v>57.73</v>
      </c>
      <c r="IJ1544" s="2">
        <v>58.2</v>
      </c>
      <c r="IK1544" s="2">
        <v>52.95</v>
      </c>
      <c r="IL1544" s="2">
        <v>53.74</v>
      </c>
      <c r="IM1544" s="2">
        <v>54.78</v>
      </c>
      <c r="IN1544" s="2">
        <v>55.36</v>
      </c>
      <c r="IO1544" s="2">
        <v>53.36</v>
      </c>
      <c r="IP1544" s="2">
        <v>54.01</v>
      </c>
      <c r="IQ1544" s="2">
        <v>54.69</v>
      </c>
      <c r="IR1544" s="2">
        <v>55.13</v>
      </c>
      <c r="IS1544" s="2">
        <v>55.68</v>
      </c>
      <c r="IT1544" s="2">
        <v>56.08</v>
      </c>
      <c r="IU1544" s="2">
        <v>56.83</v>
      </c>
      <c r="IV1544" s="2">
        <v>57.23</v>
      </c>
      <c r="IW1544" s="2">
        <v>57.97</v>
      </c>
      <c r="IX1544" s="2">
        <v>58.38</v>
      </c>
      <c r="IY1544" s="2">
        <v>59.07</v>
      </c>
      <c r="IZ1544" s="2">
        <v>59.7</v>
      </c>
      <c r="JA1544" s="2">
        <v>60.26</v>
      </c>
      <c r="JB1544" s="2">
        <v>61.21</v>
      </c>
      <c r="JC1544" s="2">
        <v>62.32</v>
      </c>
      <c r="JD1544" s="2">
        <v>62.99</v>
      </c>
      <c r="JE1544" s="2">
        <v>64.03</v>
      </c>
      <c r="JF1544" s="2">
        <v>64.66</v>
      </c>
      <c r="JG1544" s="2">
        <v>65.70999999999999</v>
      </c>
      <c r="JH1544" s="2">
        <v>66.09999999999999</v>
      </c>
      <c r="JI1544" s="2">
        <v>67.09</v>
      </c>
      <c r="JJ1544" s="2">
        <v>67.43000000000001</v>
      </c>
      <c r="JK1544" s="2">
        <v>67.73999999999999</v>
      </c>
      <c r="JL1544" s="2">
        <v>68.34</v>
      </c>
      <c r="JM1544" s="2">
        <v>69.40000000000001</v>
      </c>
      <c r="JN1544" s="2">
        <v>69.98</v>
      </c>
      <c r="JO1544" s="2">
        <v>71.19</v>
      </c>
      <c r="JP1544" s="2">
        <v>71.68000000000001</v>
      </c>
      <c r="JQ1544" s="2">
        <v>72.77</v>
      </c>
      <c r="JR1544" s="2">
        <v>73.06999999999999</v>
      </c>
      <c r="JS1544" s="2">
        <v>74.12</v>
      </c>
      <c r="JT1544" s="2">
        <v>74.51000000000001</v>
      </c>
      <c r="JU1544" s="2">
        <v>75.72</v>
      </c>
      <c r="JV1544" s="2">
        <v>76.3</v>
      </c>
      <c r="KA1544" s="2">
        <v>76.79000000000001</v>
      </c>
      <c r="KB1544" s="2">
        <v>77.15000000000001</v>
      </c>
      <c r="KC1544" s="2">
        <v>78.02</v>
      </c>
      <c r="KD1544" s="2">
        <v>78.58</v>
      </c>
      <c r="KQ1544" s="2">
        <v>79.62</v>
      </c>
      <c r="KR1544" s="2">
        <v>80.13</v>
      </c>
      <c r="KS1544" s="2">
        <v>76.43000000000001</v>
      </c>
      <c r="KT1544" s="2">
        <v>77.12</v>
      </c>
      <c r="LG1544" s="2">
        <v>78.13</v>
      </c>
      <c r="LH1544" s="2">
        <v>78.27</v>
      </c>
      <c r="LI1544" s="2">
        <v>79.44</v>
      </c>
      <c r="LJ1544" s="2">
        <v>80.31</v>
      </c>
      <c r="LW1544" s="2">
        <v>81.02</v>
      </c>
      <c r="LX1544" s="2">
        <v>48.57</v>
      </c>
      <c r="LY1544" s="2">
        <v>72.45999999999999</v>
      </c>
      <c r="LZ1544" s="2">
        <v>82.45</v>
      </c>
      <c r="MM1544" s="2">
        <v>83.77</v>
      </c>
      <c r="MN1544" s="2">
        <v>84.47</v>
      </c>
      <c r="MO1544" s="2">
        <v>85.76000000000001</v>
      </c>
      <c r="MP1544" s="2">
        <v>86.87</v>
      </c>
      <c r="NC1544" s="2">
        <v>87.69</v>
      </c>
      <c r="ND1544" s="2">
        <v>86.56999999999999</v>
      </c>
      <c r="NE1544" s="2">
        <v>88.2</v>
      </c>
      <c r="NF1544" s="2">
        <v>90.73999999999999</v>
      </c>
      <c r="NS1544" s="2">
        <v>92.17</v>
      </c>
      <c r="NT1544" s="2">
        <v>93.33</v>
      </c>
      <c r="NU1544" s="2">
        <v>90.19</v>
      </c>
      <c r="NV1544" s="2">
        <v>91.84</v>
      </c>
      <c r="OI1544" s="2">
        <v>93.75</v>
      </c>
      <c r="OJ1544" s="2">
        <v>94.45999999999999</v>
      </c>
      <c r="OK1544" s="2">
        <v>96.23999999999999</v>
      </c>
      <c r="OL1544" s="2">
        <v>95.81999999999999</v>
      </c>
      <c r="OY1544" s="2">
        <v>96.72</v>
      </c>
      <c r="OZ1544" s="2">
        <v>97.29000000000001</v>
      </c>
      <c r="PA1544" s="2">
        <v>99.31</v>
      </c>
      <c r="PB1544" s="2">
        <v>101.08</v>
      </c>
      <c r="PJ1544" s="2">
        <v>101.61</v>
      </c>
      <c r="PK1544" s="2">
        <v>102.18</v>
      </c>
    </row>
    <row r="1545">
      <c r="A1545" t="inlineStr">
        <is>
          <t>A2331606F</t>
        </is>
      </c>
      <c r="B1545" t="inlineStr">
        <is>
          <t>Index Numbers ;  Child care ;  Australia ;</t>
        </is>
      </c>
      <c r="C1545" t="inlineStr">
        <is>
          <t>Quarter</t>
        </is>
      </c>
      <c r="D1545" t="inlineStr">
        <is>
          <t>Index Numbers</t>
        </is>
      </c>
      <c r="E1545" t="inlineStr">
        <is>
          <t>Original</t>
        </is>
      </c>
      <c r="F1545" t="inlineStr">
        <is>
          <t>6401018.xlsx</t>
        </is>
      </c>
      <c r="G1545" t="inlineStr">
        <is>
          <t>1982Q1</t>
        </is>
      </c>
      <c r="H1545" t="inlineStr">
        <is>
          <t>2026Q2</t>
        </is>
      </c>
      <c r="EM1545" s="2">
        <v>15.39</v>
      </c>
      <c r="EN1545" s="2">
        <v>15.84</v>
      </c>
      <c r="EO1545" s="2">
        <v>16.27</v>
      </c>
      <c r="EP1545" s="2">
        <v>16.66</v>
      </c>
      <c r="EQ1545" s="2">
        <v>17.67</v>
      </c>
      <c r="ER1545" s="2">
        <v>18.02</v>
      </c>
      <c r="ES1545" s="2">
        <v>18.71</v>
      </c>
      <c r="ET1545" s="2">
        <v>19.07</v>
      </c>
      <c r="EU1545" s="2">
        <v>19.91</v>
      </c>
      <c r="EV1545" s="2">
        <v>20.27</v>
      </c>
      <c r="EW1545" s="2">
        <v>20.33</v>
      </c>
      <c r="EX1545" s="2">
        <v>19.75</v>
      </c>
      <c r="EY1545" s="2">
        <v>20.24</v>
      </c>
      <c r="EZ1545" s="2">
        <v>20.4</v>
      </c>
      <c r="FA1545" s="2">
        <v>20.66</v>
      </c>
      <c r="FB1545" s="2">
        <v>21.21</v>
      </c>
      <c r="FC1545" s="2">
        <v>22.19</v>
      </c>
      <c r="FD1545" s="2">
        <v>23.2</v>
      </c>
      <c r="FE1545" s="2">
        <v>23.65</v>
      </c>
      <c r="FF1545" s="2">
        <v>23.78</v>
      </c>
      <c r="FG1545" s="2">
        <v>24.89</v>
      </c>
      <c r="FH1545" s="2">
        <v>25.21</v>
      </c>
      <c r="FI1545" s="2">
        <v>25.93</v>
      </c>
      <c r="FJ1545" s="2">
        <v>26.09</v>
      </c>
      <c r="FK1545" s="2">
        <v>27.52</v>
      </c>
      <c r="FL1545" s="2">
        <v>28.08</v>
      </c>
      <c r="FM1545" s="2">
        <v>28.44</v>
      </c>
      <c r="FN1545" s="2">
        <v>28.83</v>
      </c>
      <c r="FO1545" s="2">
        <v>29.96</v>
      </c>
      <c r="FP1545" s="2">
        <v>30.29</v>
      </c>
      <c r="FQ1545" s="2">
        <v>31.4</v>
      </c>
      <c r="FR1545" s="2">
        <v>31.56</v>
      </c>
      <c r="FS1545" s="2">
        <v>33.35</v>
      </c>
      <c r="FT1545" s="2">
        <v>33.84</v>
      </c>
      <c r="FU1545" s="2">
        <v>34.94</v>
      </c>
      <c r="FV1545" s="2">
        <v>34.32</v>
      </c>
      <c r="FW1545" s="2">
        <v>29.28</v>
      </c>
      <c r="FX1545" s="2">
        <v>29.38</v>
      </c>
      <c r="FY1545" s="2">
        <v>29.61</v>
      </c>
      <c r="FZ1545" s="2">
        <v>29.67</v>
      </c>
      <c r="GA1545" s="2">
        <v>31.53</v>
      </c>
      <c r="GB1545" s="2">
        <v>31.53</v>
      </c>
      <c r="GC1545" s="2">
        <v>31.72</v>
      </c>
      <c r="GD1545" s="2">
        <v>31.72</v>
      </c>
      <c r="GE1545" s="2">
        <v>34.19</v>
      </c>
      <c r="GF1545" s="2">
        <v>34.58</v>
      </c>
      <c r="GG1545" s="2">
        <v>34.49</v>
      </c>
      <c r="GH1545" s="2">
        <v>34.58</v>
      </c>
      <c r="GI1545" s="2">
        <v>36.5</v>
      </c>
      <c r="GJ1545" s="2">
        <v>37.12</v>
      </c>
      <c r="GK1545" s="2">
        <v>35.24</v>
      </c>
      <c r="GL1545" s="2">
        <v>34.98</v>
      </c>
      <c r="GM1545" s="2">
        <v>36.02</v>
      </c>
      <c r="GN1545" s="2">
        <v>36.41</v>
      </c>
      <c r="GO1545" s="2">
        <v>36.76</v>
      </c>
      <c r="GP1545" s="2">
        <v>36.89</v>
      </c>
      <c r="GQ1545" s="2">
        <v>38.46</v>
      </c>
      <c r="GR1545" s="2">
        <v>38.78</v>
      </c>
      <c r="GS1545" s="2">
        <v>38.88</v>
      </c>
      <c r="GT1545" s="2">
        <v>38.94</v>
      </c>
      <c r="GU1545" s="2">
        <v>39.6</v>
      </c>
      <c r="GV1545" s="2">
        <v>40.99</v>
      </c>
      <c r="GW1545" s="2">
        <v>41.84</v>
      </c>
      <c r="GX1545" s="2">
        <v>42.3</v>
      </c>
      <c r="GY1545" s="2">
        <v>43.27</v>
      </c>
      <c r="GZ1545" s="2">
        <v>44.02</v>
      </c>
      <c r="HA1545" s="2">
        <v>45.16</v>
      </c>
      <c r="HB1545" s="2">
        <v>45.22</v>
      </c>
      <c r="HC1545" s="2">
        <v>45.84</v>
      </c>
      <c r="HD1545" s="2">
        <v>46.33</v>
      </c>
      <c r="HE1545" s="2">
        <v>46.85</v>
      </c>
      <c r="HF1545" s="2">
        <v>47.21</v>
      </c>
      <c r="HG1545" s="2">
        <v>48.81</v>
      </c>
      <c r="HH1545" s="2">
        <v>48.94</v>
      </c>
      <c r="HI1545" s="2">
        <v>41.55</v>
      </c>
      <c r="HJ1545" s="2">
        <v>42.54</v>
      </c>
      <c r="HK1545" s="2">
        <v>44.5</v>
      </c>
      <c r="HL1545" s="2">
        <v>44.67</v>
      </c>
      <c r="HM1545" s="2">
        <v>41.8</v>
      </c>
      <c r="HN1545" s="2">
        <v>42.52</v>
      </c>
      <c r="HO1545" s="2">
        <v>43.93</v>
      </c>
      <c r="HP1545" s="2">
        <v>44.24</v>
      </c>
      <c r="HQ1545" s="2">
        <v>49.15</v>
      </c>
      <c r="HR1545" s="2">
        <v>50.02</v>
      </c>
      <c r="HS1545" s="2">
        <v>51.2</v>
      </c>
      <c r="HT1545" s="2">
        <v>51.54</v>
      </c>
      <c r="HU1545" s="2">
        <v>55.28</v>
      </c>
      <c r="HV1545" s="2">
        <v>55.29</v>
      </c>
      <c r="HW1545" s="2">
        <v>57.7</v>
      </c>
      <c r="HX1545" s="2">
        <v>58.3</v>
      </c>
      <c r="HY1545" s="2">
        <v>60.96</v>
      </c>
      <c r="HZ1545" s="2">
        <v>62.52</v>
      </c>
      <c r="IA1545" s="2">
        <v>64.64</v>
      </c>
      <c r="IB1545" s="2">
        <v>65.56999999999999</v>
      </c>
      <c r="IC1545" s="2">
        <v>66.48999999999999</v>
      </c>
      <c r="ID1545" s="2">
        <v>68.90000000000001</v>
      </c>
      <c r="IE1545" s="2">
        <v>72.37</v>
      </c>
      <c r="IF1545" s="2">
        <v>73.7</v>
      </c>
      <c r="IG1545" s="2">
        <v>76.09</v>
      </c>
      <c r="IH1545" s="2">
        <v>77.61</v>
      </c>
      <c r="II1545" s="2">
        <v>81.77</v>
      </c>
      <c r="IJ1545" s="2">
        <v>83.16</v>
      </c>
      <c r="IK1545" s="2">
        <v>55.39</v>
      </c>
      <c r="IL1545" s="2">
        <v>56.06</v>
      </c>
      <c r="IM1545" s="2">
        <v>58.6</v>
      </c>
      <c r="IN1545" s="2">
        <v>59.31</v>
      </c>
      <c r="IO1545" s="2">
        <v>45.73</v>
      </c>
      <c r="IP1545" s="2">
        <v>46.36</v>
      </c>
      <c r="IQ1545" s="2">
        <v>47.76</v>
      </c>
      <c r="IR1545" s="2">
        <v>48.22</v>
      </c>
      <c r="IS1545" s="2">
        <v>48.64</v>
      </c>
      <c r="IT1545" s="2">
        <v>49.24</v>
      </c>
      <c r="IU1545" s="2">
        <v>50.76</v>
      </c>
      <c r="IV1545" s="2">
        <v>50.89</v>
      </c>
      <c r="IW1545" s="2">
        <v>52.12</v>
      </c>
      <c r="IX1545" s="2">
        <v>52.72</v>
      </c>
      <c r="IY1545" s="2">
        <v>54.23</v>
      </c>
      <c r="IZ1545" s="2">
        <v>54.71</v>
      </c>
      <c r="JA1545" s="2">
        <v>55.74</v>
      </c>
      <c r="JB1545" s="2">
        <v>57.17</v>
      </c>
      <c r="JC1545" s="2">
        <v>59.47</v>
      </c>
      <c r="JD1545" s="2">
        <v>60.09</v>
      </c>
      <c r="JE1545" s="2">
        <v>61.32</v>
      </c>
      <c r="JF1545" s="2">
        <v>62.1</v>
      </c>
      <c r="JG1545" s="2">
        <v>64.16</v>
      </c>
      <c r="JH1545" s="2">
        <v>64.48</v>
      </c>
      <c r="JI1545" s="2">
        <v>66.7</v>
      </c>
      <c r="JJ1545" s="2">
        <v>67.06999999999999</v>
      </c>
      <c r="JK1545" s="2">
        <v>68.86</v>
      </c>
      <c r="JL1545" s="2">
        <v>69.40000000000001</v>
      </c>
      <c r="JM1545" s="2">
        <v>71.55</v>
      </c>
      <c r="JN1545" s="2">
        <v>72.51000000000001</v>
      </c>
      <c r="JO1545" s="2">
        <v>74.73999999999999</v>
      </c>
      <c r="JP1545" s="2">
        <v>75.28</v>
      </c>
      <c r="JQ1545" s="2">
        <v>78.29000000000001</v>
      </c>
      <c r="JR1545" s="2">
        <v>78.47</v>
      </c>
      <c r="JS1545" s="2">
        <v>80.98</v>
      </c>
      <c r="JT1545" s="2">
        <v>81.62</v>
      </c>
      <c r="JU1545" s="2">
        <v>84.48999999999999</v>
      </c>
      <c r="JV1545" s="2">
        <v>84.86</v>
      </c>
      <c r="KA1545" s="2">
        <v>85.84999999999999</v>
      </c>
      <c r="KB1545" s="2">
        <v>86.59999999999999</v>
      </c>
      <c r="KC1545" s="2">
        <v>88.52</v>
      </c>
      <c r="KD1545" s="2">
        <v>89.45</v>
      </c>
      <c r="KQ1545" s="2">
        <v>90.89</v>
      </c>
      <c r="KR1545" s="2">
        <v>91.76000000000001</v>
      </c>
      <c r="KS1545" s="2">
        <v>80.98</v>
      </c>
      <c r="KT1545" s="2">
        <v>82.08</v>
      </c>
      <c r="LG1545" s="2">
        <v>83.61</v>
      </c>
      <c r="LH1545" s="2">
        <v>84.51000000000001</v>
      </c>
      <c r="LI1545" s="2">
        <v>86.58</v>
      </c>
      <c r="LJ1545" s="2">
        <v>87.94</v>
      </c>
      <c r="LW1545" s="2">
        <v>88.79000000000001</v>
      </c>
      <c r="LX1545" s="2">
        <v>4.44</v>
      </c>
      <c r="LY1545" s="2">
        <v>65.45999999999999</v>
      </c>
      <c r="LZ1545" s="2">
        <v>90.08</v>
      </c>
      <c r="MM1545" s="2">
        <v>92.04000000000001</v>
      </c>
      <c r="MN1545" s="2">
        <v>93.17</v>
      </c>
      <c r="MO1545" s="2">
        <v>95.16</v>
      </c>
      <c r="MP1545" s="2">
        <v>95.94</v>
      </c>
      <c r="NC1545" s="2">
        <v>95.92</v>
      </c>
      <c r="ND1545" s="2">
        <v>88.92</v>
      </c>
      <c r="NE1545" s="2">
        <v>89.94</v>
      </c>
      <c r="NF1545" s="2">
        <v>94.04000000000001</v>
      </c>
      <c r="NS1545" s="2">
        <v>95.93000000000001</v>
      </c>
      <c r="NT1545" s="2">
        <v>97.34</v>
      </c>
      <c r="NU1545" s="2">
        <v>84.53</v>
      </c>
      <c r="NV1545" s="2">
        <v>87.23999999999999</v>
      </c>
      <c r="OI1545" s="2">
        <v>90.58</v>
      </c>
      <c r="OJ1545" s="2">
        <v>91.81999999999999</v>
      </c>
      <c r="OK1545" s="2">
        <v>94.7</v>
      </c>
      <c r="OL1545" s="2">
        <v>90.81999999999999</v>
      </c>
      <c r="OY1545" s="2">
        <v>93.05</v>
      </c>
      <c r="OZ1545" s="2">
        <v>94.18000000000001</v>
      </c>
      <c r="PA1545" s="2">
        <v>97.95</v>
      </c>
      <c r="PB1545" s="2">
        <v>101.64</v>
      </c>
      <c r="PJ1545" s="2">
        <v>101.47</v>
      </c>
      <c r="PK1545" s="2">
        <v>101.5</v>
      </c>
    </row>
    <row r="1546">
      <c r="A1546" t="inlineStr">
        <is>
          <t>A2329266F</t>
        </is>
      </c>
      <c r="B1546" t="inlineStr">
        <is>
          <t>Index Numbers ;  Hairdressing and personal grooming services ;  Australia ;</t>
        </is>
      </c>
      <c r="C1546" t="inlineStr">
        <is>
          <t>Quarter</t>
        </is>
      </c>
      <c r="D1546" t="inlineStr">
        <is>
          <t>Index Numbers</t>
        </is>
      </c>
      <c r="E1546" t="inlineStr">
        <is>
          <t>Original</t>
        </is>
      </c>
      <c r="F1546" t="inlineStr">
        <is>
          <t>6401018.xlsx</t>
        </is>
      </c>
      <c r="G1546" t="inlineStr">
        <is>
          <t>1972Q3</t>
        </is>
      </c>
      <c r="H1546" t="inlineStr">
        <is>
          <t>2026Q2</t>
        </is>
      </c>
      <c r="DA1546" s="2">
        <v>3.92</v>
      </c>
      <c r="DB1546" s="2">
        <v>4.07</v>
      </c>
      <c r="DC1546" s="2">
        <v>4.19</v>
      </c>
      <c r="DD1546" s="2">
        <v>4.22</v>
      </c>
      <c r="DE1546" s="2">
        <v>4.64</v>
      </c>
      <c r="DF1546" s="2">
        <v>4.82</v>
      </c>
      <c r="DG1546" s="2">
        <v>5.12</v>
      </c>
      <c r="DH1546" s="2">
        <v>5.21</v>
      </c>
      <c r="DI1546" s="2">
        <v>6.18</v>
      </c>
      <c r="DJ1546" s="2">
        <v>6.54</v>
      </c>
      <c r="DK1546" s="2">
        <v>7.02</v>
      </c>
      <c r="DL1546" s="2">
        <v>7.14</v>
      </c>
      <c r="DM1546" s="2">
        <v>7.77</v>
      </c>
      <c r="DN1546" s="2">
        <v>8.1</v>
      </c>
      <c r="DO1546" s="2">
        <v>8.220000000000001</v>
      </c>
      <c r="DP1546" s="2">
        <v>8.949999999999999</v>
      </c>
      <c r="DQ1546" s="2">
        <v>9.31</v>
      </c>
      <c r="DR1546" s="2">
        <v>9.609999999999999</v>
      </c>
      <c r="DS1546" s="2">
        <v>10.06</v>
      </c>
      <c r="DT1546" s="2">
        <v>10.45</v>
      </c>
      <c r="DU1546" s="2">
        <v>10.84</v>
      </c>
      <c r="DV1546" s="2">
        <v>11.15</v>
      </c>
      <c r="DW1546" s="2">
        <v>11.54</v>
      </c>
      <c r="DX1546" s="2">
        <v>11.78</v>
      </c>
      <c r="DY1546" s="2">
        <v>12.14</v>
      </c>
      <c r="DZ1546" s="2">
        <v>12.5</v>
      </c>
      <c r="EA1546" s="2">
        <v>12.89</v>
      </c>
      <c r="EB1546" s="2">
        <v>13.22</v>
      </c>
      <c r="EC1546" s="2">
        <v>13.47</v>
      </c>
      <c r="ED1546" s="2">
        <v>13.71</v>
      </c>
      <c r="EE1546" s="2">
        <v>13.89</v>
      </c>
      <c r="EF1546" s="2">
        <v>14.31</v>
      </c>
      <c r="EG1546" s="2">
        <v>14.49</v>
      </c>
      <c r="EH1546" s="2">
        <v>14.94</v>
      </c>
      <c r="EI1546" s="2">
        <v>15.33</v>
      </c>
      <c r="EJ1546" s="2">
        <v>15.66</v>
      </c>
      <c r="EK1546" s="2">
        <v>15.97</v>
      </c>
      <c r="EL1546" s="2">
        <v>16.48</v>
      </c>
      <c r="EM1546" s="2">
        <v>16.75</v>
      </c>
      <c r="EN1546" s="2">
        <v>17.29</v>
      </c>
      <c r="EO1546" s="2">
        <v>18.31</v>
      </c>
      <c r="EP1546" s="2">
        <v>18.53</v>
      </c>
      <c r="EQ1546" s="2">
        <v>18.89</v>
      </c>
      <c r="ER1546" s="2">
        <v>19.07</v>
      </c>
      <c r="ES1546" s="2">
        <v>19.64</v>
      </c>
      <c r="ET1546" s="2">
        <v>20.42</v>
      </c>
      <c r="EU1546" s="2">
        <v>20.63</v>
      </c>
      <c r="EV1546" s="2">
        <v>20.6</v>
      </c>
      <c r="EW1546" s="2">
        <v>21</v>
      </c>
      <c r="EX1546" s="2">
        <v>21.48</v>
      </c>
      <c r="EY1546" s="2">
        <v>21.78</v>
      </c>
      <c r="EZ1546" s="2">
        <v>22.17</v>
      </c>
      <c r="FA1546" s="2">
        <v>22.53</v>
      </c>
      <c r="FB1546" s="2">
        <v>22.89</v>
      </c>
      <c r="FC1546" s="2">
        <v>23.26</v>
      </c>
      <c r="FD1546" s="2">
        <v>23.53</v>
      </c>
      <c r="FE1546" s="2">
        <v>24.04</v>
      </c>
      <c r="FF1546" s="2">
        <v>24.46</v>
      </c>
      <c r="FG1546" s="2">
        <v>24.67</v>
      </c>
      <c r="FH1546" s="2">
        <v>25.3</v>
      </c>
      <c r="FI1546" s="2">
        <v>25.82</v>
      </c>
      <c r="FJ1546" s="2">
        <v>26.09</v>
      </c>
      <c r="FK1546" s="2">
        <v>26.54</v>
      </c>
      <c r="FL1546" s="2">
        <v>26.96</v>
      </c>
      <c r="FM1546" s="2">
        <v>27.29</v>
      </c>
      <c r="FN1546" s="2">
        <v>27.8</v>
      </c>
      <c r="FO1546" s="2">
        <v>28.23</v>
      </c>
      <c r="FP1546" s="2">
        <v>28.53</v>
      </c>
      <c r="FQ1546" s="2">
        <v>29.16</v>
      </c>
      <c r="FR1546" s="2">
        <v>29.7</v>
      </c>
      <c r="FS1546" s="2">
        <v>30.42</v>
      </c>
      <c r="FT1546" s="2">
        <v>31.18</v>
      </c>
      <c r="FU1546" s="2">
        <v>31.48</v>
      </c>
      <c r="FV1546" s="2">
        <v>31.87</v>
      </c>
      <c r="FW1546" s="2">
        <v>32.29</v>
      </c>
      <c r="FX1546" s="2">
        <v>32.77</v>
      </c>
      <c r="FY1546" s="2">
        <v>32.77</v>
      </c>
      <c r="FZ1546" s="2">
        <v>33.11</v>
      </c>
      <c r="GA1546" s="2">
        <v>33.38</v>
      </c>
      <c r="GB1546" s="2">
        <v>33.62</v>
      </c>
      <c r="GC1546" s="2">
        <v>33.23</v>
      </c>
      <c r="GD1546" s="2">
        <v>33.71</v>
      </c>
      <c r="GE1546" s="2">
        <v>33.65</v>
      </c>
      <c r="GF1546" s="2">
        <v>33.8</v>
      </c>
      <c r="GG1546" s="2">
        <v>34.1</v>
      </c>
      <c r="GH1546" s="2">
        <v>34.13</v>
      </c>
      <c r="GI1546" s="2">
        <v>34.25</v>
      </c>
      <c r="GJ1546" s="2">
        <v>34.64</v>
      </c>
      <c r="GK1546" s="2">
        <v>34.82</v>
      </c>
      <c r="GL1546" s="2">
        <v>35.36</v>
      </c>
      <c r="GM1546" s="2">
        <v>35.7</v>
      </c>
      <c r="GN1546" s="2">
        <v>36.03</v>
      </c>
      <c r="GO1546" s="2">
        <v>36.15</v>
      </c>
      <c r="GP1546" s="2">
        <v>36.3</v>
      </c>
      <c r="GQ1546" s="2">
        <v>36.93</v>
      </c>
      <c r="GR1546" s="2">
        <v>36.96</v>
      </c>
      <c r="GS1546" s="2">
        <v>37.11</v>
      </c>
      <c r="GT1546" s="2">
        <v>37.44</v>
      </c>
      <c r="GU1546" s="2">
        <v>37.74</v>
      </c>
      <c r="GV1546" s="2">
        <v>38.56</v>
      </c>
      <c r="GW1546" s="2">
        <v>38.59</v>
      </c>
      <c r="GX1546" s="2">
        <v>39.1</v>
      </c>
      <c r="GY1546" s="2">
        <v>39.37</v>
      </c>
      <c r="GZ1546" s="2">
        <v>39.52</v>
      </c>
      <c r="HA1546" s="2">
        <v>39.82</v>
      </c>
      <c r="HB1546" s="2">
        <v>40.11</v>
      </c>
      <c r="HC1546" s="2">
        <v>40.46</v>
      </c>
      <c r="HD1546" s="2">
        <v>40.7</v>
      </c>
      <c r="HE1546" s="2">
        <v>41.29</v>
      </c>
      <c r="HF1546" s="2">
        <v>41.47</v>
      </c>
      <c r="HG1546" s="2">
        <v>41.75</v>
      </c>
      <c r="HH1546" s="2">
        <v>42.15</v>
      </c>
      <c r="HI1546" s="2">
        <v>46.49</v>
      </c>
      <c r="HJ1546" s="2">
        <v>46.72</v>
      </c>
      <c r="HK1546" s="2">
        <v>47.06</v>
      </c>
      <c r="HL1546" s="2">
        <v>47.23</v>
      </c>
      <c r="HM1546" s="2">
        <v>47.35</v>
      </c>
      <c r="HN1546" s="2">
        <v>47.68</v>
      </c>
      <c r="HO1546" s="2">
        <v>47.92</v>
      </c>
      <c r="HP1546" s="2">
        <v>48.01</v>
      </c>
      <c r="HQ1546" s="2">
        <v>48.36</v>
      </c>
      <c r="HR1546" s="2">
        <v>48.66</v>
      </c>
      <c r="HS1546" s="2">
        <v>49.08</v>
      </c>
      <c r="HT1546" s="2">
        <v>49.3</v>
      </c>
      <c r="HU1546" s="2">
        <v>49.84</v>
      </c>
      <c r="HV1546" s="2">
        <v>50.84</v>
      </c>
      <c r="HW1546" s="2">
        <v>51.14</v>
      </c>
      <c r="HX1546" s="2">
        <v>51.43</v>
      </c>
      <c r="HY1546" s="2">
        <v>51.8</v>
      </c>
      <c r="HZ1546" s="2">
        <v>52.41</v>
      </c>
      <c r="IA1546" s="2">
        <v>52.77</v>
      </c>
      <c r="IB1546" s="2">
        <v>53.14</v>
      </c>
      <c r="IC1546" s="2">
        <v>53.6</v>
      </c>
      <c r="ID1546" s="2">
        <v>54.12</v>
      </c>
      <c r="IE1546" s="2">
        <v>54.64</v>
      </c>
      <c r="IF1546" s="2">
        <v>55.11</v>
      </c>
      <c r="IG1546" s="2">
        <v>55.68</v>
      </c>
      <c r="IH1546" s="2">
        <v>56.04</v>
      </c>
      <c r="II1546" s="2">
        <v>56.28</v>
      </c>
      <c r="IJ1546" s="2">
        <v>56.58</v>
      </c>
      <c r="IK1546" s="2">
        <v>56.98</v>
      </c>
      <c r="IL1546" s="2">
        <v>57.66</v>
      </c>
      <c r="IM1546" s="2">
        <v>58.15</v>
      </c>
      <c r="IN1546" s="2">
        <v>58.75</v>
      </c>
      <c r="IO1546" s="2">
        <v>59.32</v>
      </c>
      <c r="IP1546" s="2">
        <v>60.07</v>
      </c>
      <c r="IQ1546" s="2">
        <v>60.43</v>
      </c>
      <c r="IR1546" s="2">
        <v>60.86</v>
      </c>
      <c r="IS1546" s="2">
        <v>61.24</v>
      </c>
      <c r="IT1546" s="2">
        <v>61.8</v>
      </c>
      <c r="IU1546" s="2">
        <v>62.3</v>
      </c>
      <c r="IV1546" s="2">
        <v>62.71</v>
      </c>
      <c r="IW1546" s="2">
        <v>63.18</v>
      </c>
      <c r="IX1546" s="2">
        <v>63.47</v>
      </c>
      <c r="IY1546" s="2">
        <v>63.95</v>
      </c>
      <c r="IZ1546" s="2">
        <v>64.59999999999999</v>
      </c>
      <c r="JA1546" s="2">
        <v>64.64</v>
      </c>
      <c r="JB1546" s="2">
        <v>65.19</v>
      </c>
      <c r="JC1546" s="2">
        <v>65.47</v>
      </c>
      <c r="JD1546" s="2">
        <v>65.95</v>
      </c>
      <c r="JE1546" s="2">
        <v>66.73</v>
      </c>
      <c r="JF1546" s="2">
        <v>67.08</v>
      </c>
      <c r="JG1546" s="2">
        <v>67.3</v>
      </c>
      <c r="JH1546" s="2">
        <v>67.59999999999999</v>
      </c>
      <c r="JI1546" s="2">
        <v>67.84</v>
      </c>
      <c r="JJ1546" s="2">
        <v>68.09999999999999</v>
      </c>
      <c r="JK1546" s="2">
        <v>68.16</v>
      </c>
      <c r="JL1546" s="2">
        <v>68.69</v>
      </c>
      <c r="JM1546" s="2">
        <v>69.2</v>
      </c>
      <c r="JN1546" s="2">
        <v>69.68000000000001</v>
      </c>
      <c r="JO1546" s="2">
        <v>70.20999999999999</v>
      </c>
      <c r="JP1546" s="2">
        <v>70.59</v>
      </c>
      <c r="JQ1546" s="2">
        <v>70.78</v>
      </c>
      <c r="JR1546" s="2">
        <v>71.06</v>
      </c>
      <c r="JS1546" s="2">
        <v>71.56999999999999</v>
      </c>
      <c r="JT1546" s="2">
        <v>71.8</v>
      </c>
      <c r="JU1546" s="2">
        <v>72.18000000000001</v>
      </c>
      <c r="JV1546" s="2">
        <v>72.88</v>
      </c>
      <c r="KA1546" s="2">
        <v>73.11</v>
      </c>
      <c r="KB1546" s="2">
        <v>73.27</v>
      </c>
      <c r="KC1546" s="2">
        <v>73.52</v>
      </c>
      <c r="KD1546" s="2">
        <v>73.93000000000001</v>
      </c>
      <c r="KQ1546" s="2">
        <v>74.33</v>
      </c>
      <c r="KR1546" s="2">
        <v>74.87</v>
      </c>
      <c r="KS1546" s="2">
        <v>75.73999999999999</v>
      </c>
      <c r="KT1546" s="2">
        <v>76.29000000000001</v>
      </c>
      <c r="LG1546" s="2">
        <v>77.03</v>
      </c>
      <c r="LH1546" s="2">
        <v>77.03</v>
      </c>
      <c r="LI1546" s="2">
        <v>77.61</v>
      </c>
      <c r="LJ1546" s="2">
        <v>78.02</v>
      </c>
      <c r="LW1546" s="2">
        <v>78.59999999999999</v>
      </c>
      <c r="LX1546" s="2">
        <v>78.69</v>
      </c>
      <c r="LY1546" s="2">
        <v>79.09999999999999</v>
      </c>
      <c r="LZ1546" s="2">
        <v>79.28</v>
      </c>
      <c r="MM1546" s="2">
        <v>80.19</v>
      </c>
      <c r="MN1546" s="2">
        <v>80.56999999999999</v>
      </c>
      <c r="MO1546" s="2">
        <v>81.16</v>
      </c>
      <c r="MP1546" s="2">
        <v>82.18000000000001</v>
      </c>
      <c r="NC1546" s="2">
        <v>83.13</v>
      </c>
      <c r="ND1546" s="2">
        <v>84.31</v>
      </c>
      <c r="NE1546" s="2">
        <v>85.44</v>
      </c>
      <c r="NF1546" s="2">
        <v>87.16</v>
      </c>
      <c r="NS1546" s="2">
        <v>88.40000000000001</v>
      </c>
      <c r="NT1546" s="2">
        <v>90.31</v>
      </c>
      <c r="NU1546" s="2">
        <v>91.14</v>
      </c>
      <c r="NV1546" s="2">
        <v>92.7</v>
      </c>
      <c r="OI1546" s="2">
        <v>94.61</v>
      </c>
      <c r="OJ1546" s="2">
        <v>95.33</v>
      </c>
      <c r="OK1546" s="2">
        <v>96.84999999999999</v>
      </c>
      <c r="OL1546" s="2">
        <v>97.84</v>
      </c>
      <c r="OY1546" s="2">
        <v>98.31</v>
      </c>
      <c r="OZ1546" s="2">
        <v>98.79000000000001</v>
      </c>
      <c r="PA1546" s="2">
        <v>99.54000000000001</v>
      </c>
      <c r="PB1546" s="2">
        <v>100.79</v>
      </c>
      <c r="PJ1546" s="2">
        <v>101.83</v>
      </c>
      <c r="PK1546" s="2">
        <v>102.55</v>
      </c>
    </row>
    <row r="1547">
      <c r="A1547" t="inlineStr">
        <is>
          <t>A2331696W</t>
        </is>
      </c>
      <c r="B1547" t="inlineStr">
        <is>
          <t>Index Numbers ;  Other household services ;  Australia ;</t>
        </is>
      </c>
      <c r="C1547" t="inlineStr">
        <is>
          <t>Quarter</t>
        </is>
      </c>
      <c r="D1547" t="inlineStr">
        <is>
          <t>Index Numbers</t>
        </is>
      </c>
      <c r="E1547" t="inlineStr">
        <is>
          <t>Original</t>
        </is>
      </c>
      <c r="F1547" t="inlineStr">
        <is>
          <t>6401018.xlsx</t>
        </is>
      </c>
      <c r="G1547" t="inlineStr">
        <is>
          <t>1989Q3</t>
        </is>
      </c>
      <c r="H1547" t="inlineStr">
        <is>
          <t>2026Q2</t>
        </is>
      </c>
      <c r="FQ1547" s="2">
        <v>21.49</v>
      </c>
      <c r="FR1547" s="2">
        <v>21.74</v>
      </c>
      <c r="FS1547" s="2">
        <v>22.09</v>
      </c>
      <c r="FT1547" s="2">
        <v>23.04</v>
      </c>
      <c r="FU1547" s="2">
        <v>23.55</v>
      </c>
      <c r="FV1547" s="2">
        <v>23.99</v>
      </c>
      <c r="FW1547" s="2">
        <v>24.69</v>
      </c>
      <c r="FX1547" s="2">
        <v>25.03</v>
      </c>
      <c r="FY1547" s="2">
        <v>25.6</v>
      </c>
      <c r="FZ1547" s="2">
        <v>26</v>
      </c>
      <c r="GA1547" s="2">
        <v>26.37</v>
      </c>
      <c r="GB1547" s="2">
        <v>26.93</v>
      </c>
      <c r="GC1547" s="2">
        <v>26.97</v>
      </c>
      <c r="GD1547" s="2">
        <v>26.97</v>
      </c>
      <c r="GE1547" s="2">
        <v>27.17</v>
      </c>
      <c r="GF1547" s="2">
        <v>27.72</v>
      </c>
      <c r="GG1547" s="2">
        <v>28.23</v>
      </c>
      <c r="GH1547" s="2">
        <v>28.41</v>
      </c>
      <c r="GI1547" s="2">
        <v>28.32</v>
      </c>
      <c r="GJ1547" s="2">
        <v>28.12</v>
      </c>
      <c r="GK1547" s="2">
        <v>28.45</v>
      </c>
      <c r="GL1547" s="2">
        <v>28.65</v>
      </c>
      <c r="GM1547" s="2">
        <v>29.38</v>
      </c>
      <c r="GN1547" s="2">
        <v>29.73</v>
      </c>
      <c r="GO1547" s="2">
        <v>29.86</v>
      </c>
      <c r="GP1547" s="2">
        <v>30.26</v>
      </c>
      <c r="GQ1547" s="2">
        <v>30.48</v>
      </c>
      <c r="GR1547" s="2">
        <v>30.88</v>
      </c>
      <c r="GS1547" s="2">
        <v>31.03</v>
      </c>
      <c r="GT1547" s="2">
        <v>31.32</v>
      </c>
      <c r="GU1547" s="2">
        <v>31.81</v>
      </c>
      <c r="GV1547" s="2">
        <v>32.34</v>
      </c>
      <c r="GW1547" s="2">
        <v>32.67</v>
      </c>
      <c r="GX1547" s="2">
        <v>32.8</v>
      </c>
      <c r="GY1547" s="2">
        <v>33.04</v>
      </c>
      <c r="GZ1547" s="2">
        <v>33.24</v>
      </c>
      <c r="HA1547" s="2">
        <v>33.38</v>
      </c>
      <c r="HB1547" s="2">
        <v>33.57</v>
      </c>
      <c r="HC1547" s="2">
        <v>33.75</v>
      </c>
      <c r="HD1547" s="2">
        <v>33.91</v>
      </c>
      <c r="HE1547" s="2">
        <v>34.33</v>
      </c>
      <c r="HF1547" s="2">
        <v>34.9</v>
      </c>
      <c r="HG1547" s="2">
        <v>35.46</v>
      </c>
      <c r="HH1547" s="2">
        <v>36.14</v>
      </c>
      <c r="HI1547" s="2">
        <v>39.1</v>
      </c>
      <c r="HJ1547" s="2">
        <v>39.51</v>
      </c>
      <c r="HK1547" s="2">
        <v>39.96</v>
      </c>
      <c r="HL1547" s="2">
        <v>40.2</v>
      </c>
      <c r="HM1547" s="2">
        <v>40.48</v>
      </c>
      <c r="HN1547" s="2">
        <v>40.68</v>
      </c>
      <c r="HO1547" s="2">
        <v>41.15</v>
      </c>
      <c r="HP1547" s="2">
        <v>41.22</v>
      </c>
      <c r="HQ1547" s="2">
        <v>41.63</v>
      </c>
      <c r="HR1547" s="2">
        <v>42.21</v>
      </c>
      <c r="HS1547" s="2">
        <v>42.75</v>
      </c>
      <c r="HT1547" s="2">
        <v>43.03</v>
      </c>
      <c r="HU1547" s="2">
        <v>43.31</v>
      </c>
      <c r="HV1547" s="2">
        <v>43.78</v>
      </c>
      <c r="HW1547" s="2">
        <v>44.22</v>
      </c>
      <c r="HX1547" s="2">
        <v>44.49</v>
      </c>
      <c r="HY1547" s="2">
        <v>44.82</v>
      </c>
      <c r="HZ1547" s="2">
        <v>45.21</v>
      </c>
      <c r="IA1547" s="2">
        <v>45.7</v>
      </c>
      <c r="IB1547" s="2">
        <v>46.07</v>
      </c>
      <c r="IC1547" s="2">
        <v>46.24</v>
      </c>
      <c r="ID1547" s="2">
        <v>46.73</v>
      </c>
      <c r="IE1547" s="2">
        <v>47.2</v>
      </c>
      <c r="IF1547" s="2">
        <v>47.87</v>
      </c>
      <c r="IG1547" s="2">
        <v>48.94</v>
      </c>
      <c r="IH1547" s="2">
        <v>49.34</v>
      </c>
      <c r="II1547" s="2">
        <v>49.77</v>
      </c>
      <c r="IJ1547" s="2">
        <v>49.99</v>
      </c>
      <c r="IK1547" s="2">
        <v>50.15</v>
      </c>
      <c r="IL1547" s="2">
        <v>51.15</v>
      </c>
      <c r="IM1547" s="2">
        <v>52.05</v>
      </c>
      <c r="IN1547" s="2">
        <v>52.58</v>
      </c>
      <c r="IO1547" s="2">
        <v>53.75</v>
      </c>
      <c r="IP1547" s="2">
        <v>54.34</v>
      </c>
      <c r="IQ1547" s="2">
        <v>55.03</v>
      </c>
      <c r="IR1547" s="2">
        <v>55.5</v>
      </c>
      <c r="IS1547" s="2">
        <v>56.33</v>
      </c>
      <c r="IT1547" s="2">
        <v>56.46</v>
      </c>
      <c r="IU1547" s="2">
        <v>57.14</v>
      </c>
      <c r="IV1547" s="2">
        <v>57.68</v>
      </c>
      <c r="IW1547" s="2">
        <v>58.49</v>
      </c>
      <c r="IX1547" s="2">
        <v>58.96</v>
      </c>
      <c r="IY1547" s="2">
        <v>59.48</v>
      </c>
      <c r="IZ1547" s="2">
        <v>60.19</v>
      </c>
      <c r="JA1547" s="2">
        <v>60.88</v>
      </c>
      <c r="JB1547" s="2">
        <v>61.81</v>
      </c>
      <c r="JC1547" s="2">
        <v>62.63</v>
      </c>
      <c r="JD1547" s="2">
        <v>63.63</v>
      </c>
      <c r="JE1547" s="2">
        <v>64.76000000000001</v>
      </c>
      <c r="JF1547" s="2">
        <v>65.59</v>
      </c>
      <c r="JG1547" s="2">
        <v>66.56999999999999</v>
      </c>
      <c r="JH1547" s="2">
        <v>67.15000000000001</v>
      </c>
      <c r="JI1547" s="2">
        <v>67.73</v>
      </c>
      <c r="JJ1547" s="2">
        <v>68.12</v>
      </c>
      <c r="JK1547" s="2">
        <v>67.13</v>
      </c>
      <c r="JL1547" s="2">
        <v>67.90000000000001</v>
      </c>
      <c r="JM1547" s="2">
        <v>68.45</v>
      </c>
      <c r="JN1547" s="2">
        <v>68.75</v>
      </c>
      <c r="JO1547" s="2">
        <v>69.66</v>
      </c>
      <c r="JP1547" s="2">
        <v>70.26000000000001</v>
      </c>
      <c r="JQ1547" s="2">
        <v>70.34</v>
      </c>
      <c r="JR1547" s="2">
        <v>70.8</v>
      </c>
      <c r="JS1547" s="2">
        <v>70.94</v>
      </c>
      <c r="JT1547" s="2">
        <v>71.25</v>
      </c>
      <c r="JU1547" s="2">
        <v>71.66</v>
      </c>
      <c r="JV1547" s="2">
        <v>72.34</v>
      </c>
      <c r="KA1547" s="2">
        <v>72.59999999999999</v>
      </c>
      <c r="KB1547" s="2">
        <v>72.81</v>
      </c>
      <c r="KC1547" s="2">
        <v>73.27</v>
      </c>
      <c r="KD1547" s="2">
        <v>73.5</v>
      </c>
      <c r="KQ1547" s="2">
        <v>74.81999999999999</v>
      </c>
      <c r="KR1547" s="2">
        <v>74.78</v>
      </c>
      <c r="KS1547" s="2">
        <v>75.95999999999999</v>
      </c>
      <c r="KT1547" s="2">
        <v>76.22</v>
      </c>
      <c r="LG1547" s="2">
        <v>76.81</v>
      </c>
      <c r="LH1547" s="2">
        <v>75.90000000000001</v>
      </c>
      <c r="LI1547" s="2">
        <v>76.44</v>
      </c>
      <c r="LJ1547" s="2">
        <v>77.22</v>
      </c>
      <c r="LW1547" s="2">
        <v>77.95</v>
      </c>
      <c r="LX1547" s="2">
        <v>78.09999999999999</v>
      </c>
      <c r="LY1547" s="2">
        <v>78.98999999999999</v>
      </c>
      <c r="LZ1547" s="2">
        <v>80.19</v>
      </c>
      <c r="MM1547" s="2">
        <v>81.15000000000001</v>
      </c>
      <c r="MN1547" s="2">
        <v>81.67</v>
      </c>
      <c r="MO1547" s="2">
        <v>82.88</v>
      </c>
      <c r="MP1547" s="2">
        <v>84.5</v>
      </c>
      <c r="NC1547" s="2">
        <v>86</v>
      </c>
      <c r="ND1547" s="2">
        <v>87.86</v>
      </c>
      <c r="NE1547" s="2">
        <v>90.84999999999999</v>
      </c>
      <c r="NF1547" s="2">
        <v>92.90000000000001</v>
      </c>
      <c r="NS1547" s="2">
        <v>94.09</v>
      </c>
      <c r="NT1547" s="2">
        <v>93.67</v>
      </c>
      <c r="NU1547" s="2">
        <v>95.56999999999999</v>
      </c>
      <c r="NV1547" s="2">
        <v>96.09</v>
      </c>
      <c r="OI1547" s="2">
        <v>96.22</v>
      </c>
      <c r="OJ1547" s="2">
        <v>96.25</v>
      </c>
      <c r="OK1547" s="2">
        <v>97.13</v>
      </c>
      <c r="OL1547" s="2">
        <v>98.51000000000001</v>
      </c>
      <c r="OY1547" s="2">
        <v>98.53</v>
      </c>
      <c r="OZ1547" s="2">
        <v>98.62</v>
      </c>
      <c r="PA1547" s="2">
        <v>100.57</v>
      </c>
      <c r="PB1547" s="2">
        <v>100.86</v>
      </c>
      <c r="PJ1547" s="2">
        <v>101.46</v>
      </c>
      <c r="PK1547" s="2">
        <v>102.42</v>
      </c>
    </row>
    <row r="1548">
      <c r="A1548" t="inlineStr">
        <is>
          <t>A2331111C</t>
        </is>
      </c>
      <c r="B1548" t="inlineStr">
        <is>
          <t>Index Numbers ;  Health ;  Australia ;</t>
        </is>
      </c>
      <c r="C1548" t="inlineStr">
        <is>
          <t>Quarter</t>
        </is>
      </c>
      <c r="D1548" t="inlineStr">
        <is>
          <t>Index Numbers</t>
        </is>
      </c>
      <c r="E1548" t="inlineStr">
        <is>
          <t>Original</t>
        </is>
      </c>
      <c r="F1548" t="inlineStr">
        <is>
          <t>6401018.xlsx</t>
        </is>
      </c>
      <c r="G1548" t="inlineStr">
        <is>
          <t>1989Q3</t>
        </is>
      </c>
      <c r="H1548" t="inlineStr">
        <is>
          <t>2026Q2</t>
        </is>
      </c>
      <c r="FQ1548" s="2">
        <v>20.08</v>
      </c>
      <c r="FR1548" s="2">
        <v>20.21</v>
      </c>
      <c r="FS1548" s="2">
        <v>21.09</v>
      </c>
      <c r="FT1548" s="2">
        <v>21.32</v>
      </c>
      <c r="FU1548" s="2">
        <v>21.57</v>
      </c>
      <c r="FV1548" s="2">
        <v>22.58</v>
      </c>
      <c r="FW1548" s="2">
        <v>23.56</v>
      </c>
      <c r="FX1548" s="2">
        <v>23.99</v>
      </c>
      <c r="FY1548" s="2">
        <v>24.65</v>
      </c>
      <c r="FZ1548" s="2">
        <v>25.93</v>
      </c>
      <c r="GA1548" s="2">
        <v>27.57</v>
      </c>
      <c r="GB1548" s="2">
        <v>25.98</v>
      </c>
      <c r="GC1548" s="2">
        <v>25.89</v>
      </c>
      <c r="GD1548" s="2">
        <v>26.2</v>
      </c>
      <c r="GE1548" s="2">
        <v>27.15</v>
      </c>
      <c r="GF1548" s="2">
        <v>27.24</v>
      </c>
      <c r="GG1548" s="2">
        <v>27.24</v>
      </c>
      <c r="GH1548" s="2">
        <v>27.32</v>
      </c>
      <c r="GI1548" s="2">
        <v>28.29</v>
      </c>
      <c r="GJ1548" s="2">
        <v>28.54</v>
      </c>
      <c r="GK1548" s="2">
        <v>28.97</v>
      </c>
      <c r="GL1548" s="2">
        <v>29.02</v>
      </c>
      <c r="GM1548" s="2">
        <v>29.76</v>
      </c>
      <c r="GN1548" s="2">
        <v>30.28</v>
      </c>
      <c r="GO1548" s="2">
        <v>30.36</v>
      </c>
      <c r="GP1548" s="2">
        <v>30.81</v>
      </c>
      <c r="GQ1548" s="2">
        <v>31.54</v>
      </c>
      <c r="GR1548" s="2">
        <v>31.56</v>
      </c>
      <c r="GS1548" s="2">
        <v>31.87</v>
      </c>
      <c r="GT1548" s="2">
        <v>32.34</v>
      </c>
      <c r="GU1548" s="2">
        <v>33.46</v>
      </c>
      <c r="GV1548" s="2">
        <v>34.41</v>
      </c>
      <c r="GW1548" s="2">
        <v>32.78</v>
      </c>
      <c r="GX1548" s="2">
        <v>34.04</v>
      </c>
      <c r="GY1548" s="2">
        <v>34.56</v>
      </c>
      <c r="GZ1548" s="2">
        <v>35.45</v>
      </c>
      <c r="HA1548" s="2">
        <v>35.65</v>
      </c>
      <c r="HB1548" s="2">
        <v>35.43</v>
      </c>
      <c r="HC1548" s="2">
        <v>31.97</v>
      </c>
      <c r="HD1548" s="2">
        <v>32.1</v>
      </c>
      <c r="HE1548" s="2">
        <v>32.43</v>
      </c>
      <c r="HF1548" s="2">
        <v>32.37</v>
      </c>
      <c r="HG1548" s="2">
        <v>33.13</v>
      </c>
      <c r="HH1548" s="2">
        <v>33.36</v>
      </c>
      <c r="HI1548" s="2">
        <v>33.53</v>
      </c>
      <c r="HJ1548" s="2">
        <v>33.49</v>
      </c>
      <c r="HK1548" s="2">
        <v>34.41</v>
      </c>
      <c r="HL1548" s="2">
        <v>34.48</v>
      </c>
      <c r="HM1548" s="2">
        <v>34.43</v>
      </c>
      <c r="HN1548" s="2">
        <v>34.36</v>
      </c>
      <c r="HO1548" s="2">
        <v>35.39</v>
      </c>
      <c r="HP1548" s="2">
        <v>36.37</v>
      </c>
      <c r="HQ1548" s="2">
        <v>36.48</v>
      </c>
      <c r="HR1548" s="2">
        <v>36.62</v>
      </c>
      <c r="HS1548" s="2">
        <v>37.95</v>
      </c>
      <c r="HT1548" s="2">
        <v>39.11</v>
      </c>
      <c r="HU1548" s="2">
        <v>39.12</v>
      </c>
      <c r="HV1548" s="2">
        <v>39.17</v>
      </c>
      <c r="HW1548" s="2">
        <v>40.44</v>
      </c>
      <c r="HX1548" s="2">
        <v>41.69</v>
      </c>
      <c r="HY1548" s="2">
        <v>41.39</v>
      </c>
      <c r="HZ1548" s="2">
        <v>41.11</v>
      </c>
      <c r="IA1548" s="2">
        <v>42.75</v>
      </c>
      <c r="IB1548" s="2">
        <v>43.77</v>
      </c>
      <c r="IC1548" s="2">
        <v>43.28</v>
      </c>
      <c r="ID1548" s="2">
        <v>42.83</v>
      </c>
      <c r="IE1548" s="2">
        <v>44.71</v>
      </c>
      <c r="IF1548" s="2">
        <v>45.79</v>
      </c>
      <c r="IG1548" s="2">
        <v>45.46</v>
      </c>
      <c r="IH1548" s="2">
        <v>45.09</v>
      </c>
      <c r="II1548" s="2">
        <v>46.69</v>
      </c>
      <c r="IJ1548" s="2">
        <v>47.68</v>
      </c>
      <c r="IK1548" s="2">
        <v>47.42</v>
      </c>
      <c r="IL1548" s="2">
        <v>46.93</v>
      </c>
      <c r="IM1548" s="2">
        <v>48.81</v>
      </c>
      <c r="IN1548" s="2">
        <v>49.96</v>
      </c>
      <c r="IO1548" s="2">
        <v>49.85</v>
      </c>
      <c r="IP1548" s="2">
        <v>49.25</v>
      </c>
      <c r="IQ1548" s="2">
        <v>51.4</v>
      </c>
      <c r="IR1548" s="2">
        <v>52.54</v>
      </c>
      <c r="IS1548" s="2">
        <v>52.03</v>
      </c>
      <c r="IT1548" s="2">
        <v>51.55</v>
      </c>
      <c r="IU1548" s="2">
        <v>54</v>
      </c>
      <c r="IV1548" s="2">
        <v>55.17</v>
      </c>
      <c r="IW1548" s="2">
        <v>54.77</v>
      </c>
      <c r="IX1548" s="2">
        <v>54.12</v>
      </c>
      <c r="IY1548" s="2">
        <v>56.22</v>
      </c>
      <c r="IZ1548" s="2">
        <v>57.38</v>
      </c>
      <c r="JA1548" s="2">
        <v>56.8</v>
      </c>
      <c r="JB1548" s="2">
        <v>56.08</v>
      </c>
      <c r="JC1548" s="2">
        <v>58.57</v>
      </c>
      <c r="JD1548" s="2">
        <v>59.45</v>
      </c>
      <c r="JE1548" s="2">
        <v>60.9</v>
      </c>
      <c r="JF1548" s="2">
        <v>60.37</v>
      </c>
      <c r="JG1548" s="2">
        <v>62.17</v>
      </c>
      <c r="JH1548" s="2">
        <v>63.37</v>
      </c>
      <c r="JI1548" s="2">
        <v>63.36</v>
      </c>
      <c r="JJ1548" s="2">
        <v>63.06</v>
      </c>
      <c r="JK1548" s="2">
        <v>64.68000000000001</v>
      </c>
      <c r="JL1548" s="2">
        <v>66.5</v>
      </c>
      <c r="JM1548" s="2">
        <v>66.38</v>
      </c>
      <c r="JN1548" s="2">
        <v>65.79000000000001</v>
      </c>
      <c r="JO1548" s="2">
        <v>67.51000000000001</v>
      </c>
      <c r="JP1548" s="2">
        <v>69.34</v>
      </c>
      <c r="JQ1548" s="2">
        <v>69.53</v>
      </c>
      <c r="JR1548" s="2">
        <v>69.23999999999999</v>
      </c>
      <c r="JS1548" s="2">
        <v>70.62</v>
      </c>
      <c r="JT1548" s="2">
        <v>72.45999999999999</v>
      </c>
      <c r="JU1548" s="2">
        <v>72.25</v>
      </c>
      <c r="JV1548" s="2">
        <v>71.8</v>
      </c>
      <c r="KA1548" s="2">
        <v>73.25</v>
      </c>
      <c r="KB1548" s="2">
        <v>75.22</v>
      </c>
      <c r="KC1548" s="2">
        <v>75.09</v>
      </c>
      <c r="KD1548" s="2">
        <v>74.7</v>
      </c>
      <c r="KQ1548" s="2">
        <v>76.3</v>
      </c>
      <c r="KR1548" s="2">
        <v>77.76000000000001</v>
      </c>
      <c r="KS1548" s="2">
        <v>77.45</v>
      </c>
      <c r="KT1548" s="2">
        <v>77.18000000000001</v>
      </c>
      <c r="LG1548" s="2">
        <v>78.65000000000001</v>
      </c>
      <c r="LH1548" s="2">
        <v>80.06999999999999</v>
      </c>
      <c r="LI1548" s="2">
        <v>79.91</v>
      </c>
      <c r="LJ1548" s="2">
        <v>79.67</v>
      </c>
      <c r="LW1548" s="2">
        <v>81</v>
      </c>
      <c r="LX1548" s="2">
        <v>80.84</v>
      </c>
      <c r="LY1548" s="2">
        <v>80.68000000000001</v>
      </c>
      <c r="LZ1548" s="2">
        <v>81.73999999999999</v>
      </c>
      <c r="MM1548" s="2">
        <v>83.39</v>
      </c>
      <c r="MN1548" s="2">
        <v>84.66</v>
      </c>
      <c r="MO1548" s="2">
        <v>84.70999999999999</v>
      </c>
      <c r="MP1548" s="2">
        <v>84.43000000000001</v>
      </c>
      <c r="NC1548" s="2">
        <v>86.34999999999999</v>
      </c>
      <c r="ND1548" s="2">
        <v>86.72</v>
      </c>
      <c r="NE1548" s="2">
        <v>86.91</v>
      </c>
      <c r="NF1548" s="2">
        <v>87.64</v>
      </c>
      <c r="NS1548" s="2">
        <v>91</v>
      </c>
      <c r="NT1548" s="2">
        <v>90.90000000000001</v>
      </c>
      <c r="NU1548" s="2">
        <v>91.61</v>
      </c>
      <c r="NV1548" s="2">
        <v>92.13</v>
      </c>
      <c r="OI1548" s="2">
        <v>94.73</v>
      </c>
      <c r="OJ1548" s="2">
        <v>96.12</v>
      </c>
      <c r="OK1548" s="2">
        <v>96</v>
      </c>
      <c r="OL1548" s="2">
        <v>95.81</v>
      </c>
      <c r="OY1548" s="2">
        <v>98.56999999999999</v>
      </c>
      <c r="OZ1548" s="2">
        <v>100.02</v>
      </c>
      <c r="PA1548" s="2">
        <v>100.02</v>
      </c>
      <c r="PB1548" s="2">
        <v>99.54000000000001</v>
      </c>
      <c r="PJ1548" s="2">
        <v>101.76</v>
      </c>
      <c r="PK1548" s="2">
        <v>103.96</v>
      </c>
    </row>
    <row r="1549">
      <c r="A1549" t="inlineStr">
        <is>
          <t>A3604438R</t>
        </is>
      </c>
      <c r="B1549" t="inlineStr">
        <is>
          <t>Index Numbers ;  Medical products, appliances and equipment ;  Australia ;</t>
        </is>
      </c>
      <c r="C1549" t="inlineStr">
        <is>
          <t>Quarter</t>
        </is>
      </c>
      <c r="D1549" t="inlineStr">
        <is>
          <t>Index Numbers</t>
        </is>
      </c>
      <c r="E1549" t="inlineStr">
        <is>
          <t>Original</t>
        </is>
      </c>
      <c r="F1549" t="inlineStr">
        <is>
          <t>6401018.xlsx</t>
        </is>
      </c>
      <c r="G1549" t="inlineStr">
        <is>
          <t>1986Q4</t>
        </is>
      </c>
      <c r="H1549" t="inlineStr">
        <is>
          <t>2026Q2</t>
        </is>
      </c>
      <c r="FF1549" s="2">
        <v>45.28</v>
      </c>
      <c r="FG1549" s="2">
        <v>47.28</v>
      </c>
      <c r="FH1549" s="2">
        <v>46.23</v>
      </c>
      <c r="FI1549" s="2">
        <v>44.33</v>
      </c>
      <c r="FJ1549" s="2">
        <v>42.17</v>
      </c>
      <c r="FK1549" s="2">
        <v>50.28</v>
      </c>
      <c r="FL1549" s="2">
        <v>50.28</v>
      </c>
      <c r="FM1549" s="2">
        <v>48.49</v>
      </c>
      <c r="FN1549" s="2">
        <v>45.01</v>
      </c>
      <c r="FO1549" s="2">
        <v>53.33</v>
      </c>
      <c r="FP1549" s="2">
        <v>52.75</v>
      </c>
      <c r="FQ1549" s="2">
        <v>50.96</v>
      </c>
      <c r="FR1549" s="2">
        <v>48.44</v>
      </c>
      <c r="FS1549" s="2">
        <v>55.7</v>
      </c>
      <c r="FT1549" s="2">
        <v>55.54</v>
      </c>
      <c r="FU1549" s="2">
        <v>54.12</v>
      </c>
      <c r="FV1549" s="2">
        <v>52.33</v>
      </c>
      <c r="FW1549" s="2">
        <v>58.39</v>
      </c>
      <c r="FX1549" s="2">
        <v>58.6</v>
      </c>
      <c r="FY1549" s="2">
        <v>57.86</v>
      </c>
      <c r="FZ1549" s="2">
        <v>56.02</v>
      </c>
      <c r="GA1549" s="2">
        <v>59.65</v>
      </c>
      <c r="GB1549" s="2">
        <v>59.91</v>
      </c>
      <c r="GC1549" s="2">
        <v>57.91</v>
      </c>
      <c r="GD1549" s="2">
        <v>55.28</v>
      </c>
      <c r="GE1549" s="2">
        <v>61.97</v>
      </c>
      <c r="GF1549" s="2">
        <v>61.44</v>
      </c>
      <c r="GG1549" s="2">
        <v>59.23</v>
      </c>
      <c r="GH1549" s="2">
        <v>56.54</v>
      </c>
      <c r="GI1549" s="2">
        <v>63.07</v>
      </c>
      <c r="GJ1549" s="2">
        <v>62.91</v>
      </c>
      <c r="GK1549" s="2">
        <v>62.23</v>
      </c>
      <c r="GL1549" s="2">
        <v>59.91</v>
      </c>
      <c r="GM1549" s="2">
        <v>64.44</v>
      </c>
      <c r="GN1549" s="2">
        <v>64.59999999999999</v>
      </c>
      <c r="GO1549" s="2">
        <v>63.34</v>
      </c>
      <c r="GP1549" s="2">
        <v>61.55</v>
      </c>
      <c r="GQ1549" s="2">
        <v>66.48999999999999</v>
      </c>
      <c r="GR1549" s="2">
        <v>66.39</v>
      </c>
      <c r="GS1549" s="2">
        <v>66.39</v>
      </c>
      <c r="GT1549" s="2">
        <v>64.86</v>
      </c>
      <c r="GU1549" s="2">
        <v>66.86</v>
      </c>
      <c r="GV1549" s="2">
        <v>69.5</v>
      </c>
      <c r="GW1549" s="2">
        <v>68.28</v>
      </c>
      <c r="GX1549" s="2">
        <v>65.44</v>
      </c>
      <c r="GY1549" s="2">
        <v>68.81</v>
      </c>
      <c r="GZ1549" s="2">
        <v>70.18000000000001</v>
      </c>
      <c r="HA1549" s="2">
        <v>67.86</v>
      </c>
      <c r="HB1549" s="2">
        <v>65.44</v>
      </c>
      <c r="HC1549" s="2">
        <v>69.76000000000001</v>
      </c>
      <c r="HD1549" s="2">
        <v>69.81</v>
      </c>
      <c r="HE1549" s="2">
        <v>68.70999999999999</v>
      </c>
      <c r="HF1549" s="2">
        <v>66.39</v>
      </c>
      <c r="HG1549" s="2">
        <v>70.76000000000001</v>
      </c>
      <c r="HH1549" s="2">
        <v>70.5</v>
      </c>
      <c r="HI1549" s="2">
        <v>70.81</v>
      </c>
      <c r="HJ1549" s="2">
        <v>68.55</v>
      </c>
      <c r="HK1549" s="2">
        <v>74.13</v>
      </c>
      <c r="HL1549" s="2">
        <v>73.65000000000001</v>
      </c>
      <c r="HM1549" s="2">
        <v>71.39</v>
      </c>
      <c r="HN1549" s="2">
        <v>68.5</v>
      </c>
      <c r="HO1549" s="2">
        <v>75.29000000000001</v>
      </c>
      <c r="HP1549" s="2">
        <v>74.5</v>
      </c>
      <c r="HQ1549" s="2">
        <v>71.65000000000001</v>
      </c>
      <c r="HR1549" s="2">
        <v>69.86</v>
      </c>
      <c r="HS1549" s="2">
        <v>77.02</v>
      </c>
      <c r="HT1549" s="2">
        <v>76.5</v>
      </c>
      <c r="HU1549" s="2">
        <v>74.18000000000001</v>
      </c>
      <c r="HV1549" s="2">
        <v>71.65000000000001</v>
      </c>
      <c r="HW1549" s="2">
        <v>78.76000000000001</v>
      </c>
      <c r="HX1549" s="2">
        <v>78.29000000000001</v>
      </c>
      <c r="HY1549" s="2">
        <v>75.34</v>
      </c>
      <c r="HZ1549" s="2">
        <v>72.70999999999999</v>
      </c>
      <c r="IA1549" s="2">
        <v>83.23999999999999</v>
      </c>
      <c r="IB1549" s="2">
        <v>82.03</v>
      </c>
      <c r="IC1549" s="2">
        <v>78.39</v>
      </c>
      <c r="ID1549" s="2">
        <v>75.23</v>
      </c>
      <c r="IE1549" s="2">
        <v>84.92</v>
      </c>
      <c r="IF1549" s="2">
        <v>84.55</v>
      </c>
      <c r="IG1549" s="2">
        <v>80.76000000000001</v>
      </c>
      <c r="IH1549" s="2">
        <v>77.13</v>
      </c>
      <c r="II1549" s="2">
        <v>86.03</v>
      </c>
      <c r="IJ1549" s="2">
        <v>85.70999999999999</v>
      </c>
      <c r="IK1549" s="2">
        <v>82.23999999999999</v>
      </c>
      <c r="IL1549" s="2">
        <v>78.34</v>
      </c>
      <c r="IM1549" s="2">
        <v>87.61</v>
      </c>
      <c r="IN1549" s="2">
        <v>86.92</v>
      </c>
      <c r="IO1549" s="2">
        <v>83.87</v>
      </c>
      <c r="IP1549" s="2">
        <v>80.18000000000001</v>
      </c>
      <c r="IQ1549" s="2">
        <v>89.5</v>
      </c>
      <c r="IR1549" s="2">
        <v>89.19</v>
      </c>
      <c r="IS1549" s="2">
        <v>85.45</v>
      </c>
      <c r="IT1549" s="2">
        <v>81.59999999999999</v>
      </c>
      <c r="IU1549" s="2">
        <v>91.40000000000001</v>
      </c>
      <c r="IV1549" s="2">
        <v>90.29000000000001</v>
      </c>
      <c r="IW1549" s="2">
        <v>87.08</v>
      </c>
      <c r="IX1549" s="2">
        <v>82.13</v>
      </c>
      <c r="IY1549" s="2">
        <v>91.40000000000001</v>
      </c>
      <c r="IZ1549" s="2">
        <v>90.81999999999999</v>
      </c>
      <c r="JA1549" s="2">
        <v>87.15000000000001</v>
      </c>
      <c r="JB1549" s="2">
        <v>82.89</v>
      </c>
      <c r="JC1549" s="2">
        <v>93.09999999999999</v>
      </c>
      <c r="JD1549" s="2">
        <v>91.64</v>
      </c>
      <c r="JE1549" s="2">
        <v>89.51000000000001</v>
      </c>
      <c r="JF1549" s="2">
        <v>86.8</v>
      </c>
      <c r="JG1549" s="2">
        <v>92.56999999999999</v>
      </c>
      <c r="JH1549" s="2">
        <v>91.18000000000001</v>
      </c>
      <c r="JI1549" s="2">
        <v>90.20999999999999</v>
      </c>
      <c r="JJ1549" s="2">
        <v>88.90000000000001</v>
      </c>
      <c r="JK1549" s="2">
        <v>93.66</v>
      </c>
      <c r="JL1549" s="2">
        <v>92.09999999999999</v>
      </c>
      <c r="JM1549" s="2">
        <v>90.98</v>
      </c>
      <c r="JN1549" s="2">
        <v>87.98</v>
      </c>
      <c r="JO1549" s="2">
        <v>92.55</v>
      </c>
      <c r="JP1549" s="2">
        <v>90.95</v>
      </c>
      <c r="JQ1549" s="2">
        <v>91.3</v>
      </c>
      <c r="JR1549" s="2">
        <v>89.66</v>
      </c>
      <c r="JS1549" s="2">
        <v>93.45</v>
      </c>
      <c r="JT1549" s="2">
        <v>91.88</v>
      </c>
      <c r="JU1549" s="2">
        <v>91.18000000000001</v>
      </c>
      <c r="JV1549" s="2">
        <v>89.09</v>
      </c>
      <c r="KA1549" s="2">
        <v>92.88</v>
      </c>
      <c r="KB1549" s="2">
        <v>91.90000000000001</v>
      </c>
      <c r="KC1549" s="2">
        <v>91.37</v>
      </c>
      <c r="KD1549" s="2">
        <v>89.65000000000001</v>
      </c>
      <c r="KQ1549" s="2">
        <v>94.12</v>
      </c>
      <c r="KR1549" s="2">
        <v>93.26000000000001</v>
      </c>
      <c r="KS1549" s="2">
        <v>92.34</v>
      </c>
      <c r="KT1549" s="2">
        <v>90.78</v>
      </c>
      <c r="LG1549" s="2">
        <v>94.69</v>
      </c>
      <c r="LH1549" s="2">
        <v>94.56</v>
      </c>
      <c r="LI1549" s="2">
        <v>93.72</v>
      </c>
      <c r="LJ1549" s="2">
        <v>92.64</v>
      </c>
      <c r="LW1549" s="2">
        <v>96.73</v>
      </c>
      <c r="LX1549" s="2">
        <v>96.37</v>
      </c>
      <c r="LY1549" s="2">
        <v>94.65000000000001</v>
      </c>
      <c r="LZ1549" s="2">
        <v>92.34999999999999</v>
      </c>
      <c r="MM1549" s="2">
        <v>96.66</v>
      </c>
      <c r="MN1549" s="2">
        <v>95.69</v>
      </c>
      <c r="MO1549" s="2">
        <v>94.19</v>
      </c>
      <c r="MP1549" s="2">
        <v>93.15000000000001</v>
      </c>
      <c r="NC1549" s="2">
        <v>97.63</v>
      </c>
      <c r="ND1549" s="2">
        <v>96.79000000000001</v>
      </c>
      <c r="NE1549" s="2">
        <v>95.31</v>
      </c>
      <c r="NF1549" s="2">
        <v>95.27</v>
      </c>
      <c r="NS1549" s="2">
        <v>99.11</v>
      </c>
      <c r="NT1549" s="2">
        <v>98.27</v>
      </c>
      <c r="NU1549" s="2">
        <v>97.31999999999999</v>
      </c>
      <c r="NV1549" s="2">
        <v>95.79000000000001</v>
      </c>
      <c r="OI1549" s="2">
        <v>101.74</v>
      </c>
      <c r="OJ1549" s="2">
        <v>101.26</v>
      </c>
      <c r="OK1549" s="2">
        <v>99.91</v>
      </c>
      <c r="OL1549" s="2">
        <v>98.45</v>
      </c>
      <c r="OY1549" s="2">
        <v>103.22</v>
      </c>
      <c r="OZ1549" s="2">
        <v>101.55</v>
      </c>
      <c r="PA1549" s="2">
        <v>100.55</v>
      </c>
      <c r="PB1549" s="2">
        <v>99.37</v>
      </c>
      <c r="PJ1549" s="2">
        <v>102.38</v>
      </c>
      <c r="PK1549" s="2">
        <v>100.64</v>
      </c>
    </row>
    <row r="1550">
      <c r="A1550" t="inlineStr">
        <is>
          <t>A2329176A</t>
        </is>
      </c>
      <c r="B1550" t="inlineStr">
        <is>
          <t>Index Numbers ;  Pharmaceutical products ;  Australia ;</t>
        </is>
      </c>
      <c r="C1550" t="inlineStr">
        <is>
          <t>Quarter</t>
        </is>
      </c>
      <c r="D1550" t="inlineStr">
        <is>
          <t>Index Numbers</t>
        </is>
      </c>
      <c r="E1550" t="inlineStr">
        <is>
          <t>Original</t>
        </is>
      </c>
      <c r="F1550" t="inlineStr">
        <is>
          <t>6401018.xlsx</t>
        </is>
      </c>
      <c r="G1550" t="inlineStr">
        <is>
          <t>1980Q3</t>
        </is>
      </c>
      <c r="H1550" t="inlineStr">
        <is>
          <t>2026Q2</t>
        </is>
      </c>
      <c r="EG1550" s="2">
        <v>21.51</v>
      </c>
      <c r="EH1550" s="2">
        <v>21.87</v>
      </c>
      <c r="EI1550" s="2">
        <v>22.54</v>
      </c>
      <c r="EJ1550" s="2">
        <v>22.96</v>
      </c>
      <c r="EK1550" s="2">
        <v>23.37</v>
      </c>
      <c r="EL1550" s="2">
        <v>24.14</v>
      </c>
      <c r="EM1550" s="2">
        <v>25.17</v>
      </c>
      <c r="EN1550" s="2">
        <v>25.94</v>
      </c>
      <c r="EO1550" s="2">
        <v>26.76</v>
      </c>
      <c r="EP1550" s="2">
        <v>27.33</v>
      </c>
      <c r="EQ1550" s="2">
        <v>29.96</v>
      </c>
      <c r="ER1550" s="2">
        <v>30.52</v>
      </c>
      <c r="ES1550" s="2">
        <v>31.09</v>
      </c>
      <c r="ET1550" s="2">
        <v>31.29</v>
      </c>
      <c r="EU1550" s="2">
        <v>32.01</v>
      </c>
      <c r="EV1550" s="2">
        <v>32.58</v>
      </c>
      <c r="EW1550" s="2">
        <v>32.79</v>
      </c>
      <c r="EX1550" s="2">
        <v>33.35</v>
      </c>
      <c r="EY1550" s="2">
        <v>33.87</v>
      </c>
      <c r="EZ1550" s="2">
        <v>34.23</v>
      </c>
      <c r="FA1550" s="2">
        <v>36.65</v>
      </c>
      <c r="FB1550" s="2">
        <v>37.32</v>
      </c>
      <c r="FC1550" s="2">
        <v>38.19</v>
      </c>
      <c r="FD1550" s="2">
        <v>39.32</v>
      </c>
      <c r="FE1550" s="2">
        <v>39.94</v>
      </c>
      <c r="FF1550" s="2">
        <v>44.16</v>
      </c>
      <c r="FG1550" s="2">
        <v>46.37</v>
      </c>
      <c r="FH1550" s="2">
        <v>44.98</v>
      </c>
      <c r="FI1550" s="2">
        <v>42.67</v>
      </c>
      <c r="FJ1550" s="2">
        <v>39.99</v>
      </c>
      <c r="FK1550" s="2">
        <v>49.62</v>
      </c>
      <c r="FL1550" s="2">
        <v>49.21</v>
      </c>
      <c r="FM1550" s="2">
        <v>46.99</v>
      </c>
      <c r="FN1550" s="2">
        <v>42.77</v>
      </c>
      <c r="FO1550" s="2">
        <v>52.6</v>
      </c>
      <c r="FP1550" s="2">
        <v>51.88</v>
      </c>
      <c r="FQ1550" s="2">
        <v>49.57</v>
      </c>
      <c r="FR1550" s="2">
        <v>46.48</v>
      </c>
      <c r="FS1550" s="2">
        <v>55.12</v>
      </c>
      <c r="FT1550" s="2">
        <v>54.76</v>
      </c>
      <c r="FU1550" s="2">
        <v>52.96</v>
      </c>
      <c r="FV1550" s="2">
        <v>50.7</v>
      </c>
      <c r="FW1550" s="2">
        <v>57.9</v>
      </c>
      <c r="FX1550" s="2">
        <v>58.01</v>
      </c>
      <c r="FY1550" s="2">
        <v>57.08</v>
      </c>
      <c r="FZ1550" s="2">
        <v>54.76</v>
      </c>
      <c r="GA1550" s="2">
        <v>59.14</v>
      </c>
      <c r="GB1550" s="2">
        <v>59.5</v>
      </c>
      <c r="GC1550" s="2">
        <v>56.62</v>
      </c>
      <c r="GD1550" s="2">
        <v>53.22</v>
      </c>
      <c r="GE1550" s="2">
        <v>61.2</v>
      </c>
      <c r="GF1550" s="2">
        <v>60.94</v>
      </c>
      <c r="GG1550" s="2">
        <v>57.85</v>
      </c>
      <c r="GH1550" s="2">
        <v>54.56</v>
      </c>
      <c r="GI1550" s="2">
        <v>62.38</v>
      </c>
      <c r="GJ1550" s="2">
        <v>62.18</v>
      </c>
      <c r="GK1550" s="2">
        <v>61.15</v>
      </c>
      <c r="GL1550" s="2">
        <v>58.37</v>
      </c>
      <c r="GM1550" s="2">
        <v>63.87</v>
      </c>
      <c r="GN1550" s="2">
        <v>63.98</v>
      </c>
      <c r="GO1550" s="2">
        <v>62.28</v>
      </c>
      <c r="GP1550" s="2">
        <v>60.01</v>
      </c>
      <c r="GQ1550" s="2">
        <v>65.88</v>
      </c>
      <c r="GR1550" s="2">
        <v>66.04000000000001</v>
      </c>
      <c r="GS1550" s="2">
        <v>65.73</v>
      </c>
      <c r="GT1550" s="2">
        <v>63.77</v>
      </c>
      <c r="GU1550" s="2">
        <v>66.14</v>
      </c>
      <c r="GV1550" s="2">
        <v>69.23</v>
      </c>
      <c r="GW1550" s="2">
        <v>67.68000000000001</v>
      </c>
      <c r="GX1550" s="2">
        <v>64.18000000000001</v>
      </c>
      <c r="GY1550" s="2">
        <v>68.2</v>
      </c>
      <c r="GZ1550" s="2">
        <v>69.73999999999999</v>
      </c>
      <c r="HA1550" s="2">
        <v>67.06999999999999</v>
      </c>
      <c r="HB1550" s="2">
        <v>64.22</v>
      </c>
      <c r="HC1550" s="2">
        <v>69.2</v>
      </c>
      <c r="HD1550" s="2">
        <v>69.27</v>
      </c>
      <c r="HE1550" s="2">
        <v>67.90000000000001</v>
      </c>
      <c r="HF1550" s="2">
        <v>65.16</v>
      </c>
      <c r="HG1550" s="2">
        <v>70.2</v>
      </c>
      <c r="HH1550" s="2">
        <v>69.89</v>
      </c>
      <c r="HI1550" s="2">
        <v>69.69</v>
      </c>
      <c r="HJ1550" s="2">
        <v>67.14</v>
      </c>
      <c r="HK1550" s="2">
        <v>73.39</v>
      </c>
      <c r="HL1550" s="2">
        <v>72.8</v>
      </c>
      <c r="HM1550" s="2">
        <v>70.20999999999999</v>
      </c>
      <c r="HN1550" s="2">
        <v>66.84999999999999</v>
      </c>
      <c r="HO1550" s="2">
        <v>74.48999999999999</v>
      </c>
      <c r="HP1550" s="2">
        <v>73.59</v>
      </c>
      <c r="HQ1550" s="2">
        <v>70.31</v>
      </c>
      <c r="HR1550" s="2">
        <v>68.29000000000001</v>
      </c>
      <c r="HS1550" s="2">
        <v>76.36</v>
      </c>
      <c r="HT1550" s="2">
        <v>75.83</v>
      </c>
      <c r="HU1550" s="2">
        <v>73.09999999999999</v>
      </c>
      <c r="HV1550" s="2">
        <v>70.26000000000001</v>
      </c>
      <c r="HW1550" s="2">
        <v>78.17</v>
      </c>
      <c r="HX1550" s="2">
        <v>77.61</v>
      </c>
      <c r="HY1550" s="2">
        <v>74.15000000000001</v>
      </c>
      <c r="HZ1550" s="2">
        <v>71.14</v>
      </c>
      <c r="IA1550" s="2">
        <v>83.06999999999999</v>
      </c>
      <c r="IB1550" s="2">
        <v>81.59999999999999</v>
      </c>
      <c r="IC1550" s="2">
        <v>77.64</v>
      </c>
      <c r="ID1550" s="2">
        <v>74.06</v>
      </c>
      <c r="IE1550" s="2">
        <v>84.63</v>
      </c>
      <c r="IF1550" s="2">
        <v>84.20999999999999</v>
      </c>
      <c r="IG1550" s="2">
        <v>80.04000000000001</v>
      </c>
      <c r="IH1550" s="2">
        <v>76</v>
      </c>
      <c r="II1550" s="2">
        <v>85.73999999999999</v>
      </c>
      <c r="IJ1550" s="2">
        <v>85.42</v>
      </c>
      <c r="IK1550" s="2">
        <v>81.56</v>
      </c>
      <c r="IL1550" s="2">
        <v>77.19</v>
      </c>
      <c r="IM1550" s="2">
        <v>87.36</v>
      </c>
      <c r="IN1550" s="2">
        <v>86.59</v>
      </c>
      <c r="IO1550" s="2">
        <v>83.23999999999999</v>
      </c>
      <c r="IP1550" s="2">
        <v>79.31</v>
      </c>
      <c r="IQ1550" s="2">
        <v>89.59999999999999</v>
      </c>
      <c r="IR1550" s="2">
        <v>89.09999999999999</v>
      </c>
      <c r="IS1550" s="2">
        <v>85.13</v>
      </c>
      <c r="IT1550" s="2">
        <v>80.61</v>
      </c>
      <c r="IU1550" s="2">
        <v>91.31</v>
      </c>
      <c r="IV1550" s="2">
        <v>90.12</v>
      </c>
      <c r="IW1550" s="2">
        <v>86.62</v>
      </c>
      <c r="IX1550" s="2">
        <v>81.22</v>
      </c>
      <c r="IY1550" s="2">
        <v>91.34</v>
      </c>
      <c r="IZ1550" s="2">
        <v>90.63</v>
      </c>
      <c r="JA1550" s="2">
        <v>86.09</v>
      </c>
      <c r="JB1550" s="2">
        <v>81.31999999999999</v>
      </c>
      <c r="JC1550" s="2">
        <v>92.76000000000001</v>
      </c>
      <c r="JD1550" s="2">
        <v>91.19</v>
      </c>
      <c r="JE1550" s="2">
        <v>88.79000000000001</v>
      </c>
      <c r="JF1550" s="2">
        <v>85.73999999999999</v>
      </c>
      <c r="JG1550" s="2">
        <v>92.2</v>
      </c>
      <c r="JH1550" s="2">
        <v>90.63</v>
      </c>
      <c r="JI1550" s="2">
        <v>89.67</v>
      </c>
      <c r="JJ1550" s="2">
        <v>88.31</v>
      </c>
      <c r="JK1550" s="2">
        <v>93.66</v>
      </c>
      <c r="JL1550" s="2">
        <v>91.84999999999999</v>
      </c>
      <c r="JM1550" s="2">
        <v>90.56999999999999</v>
      </c>
      <c r="JN1550" s="2">
        <v>87.18000000000001</v>
      </c>
      <c r="JO1550" s="2">
        <v>92.22</v>
      </c>
      <c r="JP1550" s="2">
        <v>90.54000000000001</v>
      </c>
      <c r="JQ1550" s="2">
        <v>91.14</v>
      </c>
      <c r="JR1550" s="2">
        <v>89.12</v>
      </c>
      <c r="JS1550" s="2">
        <v>93.5</v>
      </c>
      <c r="JT1550" s="2">
        <v>91.73999999999999</v>
      </c>
      <c r="JU1550" s="2">
        <v>90.95</v>
      </c>
      <c r="JV1550" s="2">
        <v>88.58</v>
      </c>
      <c r="KA1550" s="2">
        <v>92.87</v>
      </c>
      <c r="KB1550" s="2">
        <v>91.77</v>
      </c>
      <c r="KC1550" s="2">
        <v>91.13</v>
      </c>
      <c r="KD1550" s="2">
        <v>89.2</v>
      </c>
      <c r="KQ1550" s="2">
        <v>94.27</v>
      </c>
      <c r="KR1550" s="2">
        <v>93.28</v>
      </c>
      <c r="KS1550" s="2">
        <v>92.26000000000001</v>
      </c>
      <c r="KT1550" s="2">
        <v>90.47</v>
      </c>
      <c r="LG1550" s="2">
        <v>94.94</v>
      </c>
      <c r="LH1550" s="2">
        <v>94.79000000000001</v>
      </c>
      <c r="LI1550" s="2">
        <v>93.83</v>
      </c>
      <c r="LJ1550" s="2">
        <v>92.58</v>
      </c>
      <c r="LW1550" s="2">
        <v>97.31</v>
      </c>
      <c r="LX1550" s="2">
        <v>96.84999999999999</v>
      </c>
      <c r="LY1550" s="2">
        <v>94.84999999999999</v>
      </c>
      <c r="LZ1550" s="2">
        <v>92.17</v>
      </c>
      <c r="MM1550" s="2">
        <v>97.06999999999999</v>
      </c>
      <c r="MN1550" s="2">
        <v>95.95999999999999</v>
      </c>
      <c r="MO1550" s="2">
        <v>94.22</v>
      </c>
      <c r="MP1550" s="2">
        <v>93.01000000000001</v>
      </c>
      <c r="NC1550" s="2">
        <v>98.27</v>
      </c>
      <c r="ND1550" s="2">
        <v>97.19</v>
      </c>
      <c r="NE1550" s="2">
        <v>95.40000000000001</v>
      </c>
      <c r="NF1550" s="2">
        <v>95.34999999999999</v>
      </c>
      <c r="NS1550" s="2">
        <v>99.70999999999999</v>
      </c>
      <c r="NT1550" s="2">
        <v>98.72</v>
      </c>
      <c r="NU1550" s="2">
        <v>97.47</v>
      </c>
      <c r="NV1550" s="2">
        <v>95.86</v>
      </c>
      <c r="OI1550" s="2">
        <v>102.62</v>
      </c>
      <c r="OJ1550" s="2">
        <v>101.96</v>
      </c>
      <c r="OK1550" s="2">
        <v>100.38</v>
      </c>
      <c r="OL1550" s="2">
        <v>98.81</v>
      </c>
      <c r="OY1550" s="2">
        <v>104.09</v>
      </c>
      <c r="OZ1550" s="2">
        <v>101.97</v>
      </c>
      <c r="PA1550" s="2">
        <v>100.67</v>
      </c>
      <c r="PB1550" s="2">
        <v>99.31999999999999</v>
      </c>
      <c r="PJ1550" s="2">
        <v>102.87</v>
      </c>
      <c r="PK1550" s="2">
        <v>100.85</v>
      </c>
    </row>
    <row r="1551">
      <c r="A1551" t="inlineStr">
        <is>
          <t>A2329086W</t>
        </is>
      </c>
      <c r="B1551" t="inlineStr">
        <is>
          <t>Index Numbers ;  Therapeutic appliances and equipment ;  Australia ;</t>
        </is>
      </c>
      <c r="C1551" t="inlineStr">
        <is>
          <t>Quarter</t>
        </is>
      </c>
      <c r="D1551" t="inlineStr">
        <is>
          <t>Index Numbers</t>
        </is>
      </c>
      <c r="E1551" t="inlineStr">
        <is>
          <t>Original</t>
        </is>
      </c>
      <c r="F1551" t="inlineStr">
        <is>
          <t>6401018.xlsx</t>
        </is>
      </c>
      <c r="G1551" t="inlineStr">
        <is>
          <t>1986Q4</t>
        </is>
      </c>
      <c r="H1551" t="inlineStr">
        <is>
          <t>2026Q2</t>
        </is>
      </c>
      <c r="FF1551" s="2">
        <v>51.94</v>
      </c>
      <c r="FG1551" s="2">
        <v>53.08</v>
      </c>
      <c r="FH1551" s="2">
        <v>53.74</v>
      </c>
      <c r="FI1551" s="2">
        <v>53.86</v>
      </c>
      <c r="FJ1551" s="2">
        <v>54.1</v>
      </c>
      <c r="FK1551" s="2">
        <v>55.06</v>
      </c>
      <c r="FL1551" s="2">
        <v>56.97</v>
      </c>
      <c r="FM1551" s="2">
        <v>57.33</v>
      </c>
      <c r="FN1551" s="2">
        <v>57.39</v>
      </c>
      <c r="FO1551" s="2">
        <v>58.41</v>
      </c>
      <c r="FP1551" s="2">
        <v>58.65</v>
      </c>
      <c r="FQ1551" s="2">
        <v>59.19</v>
      </c>
      <c r="FR1551" s="2">
        <v>59.49</v>
      </c>
      <c r="FS1551" s="2">
        <v>60.21</v>
      </c>
      <c r="FT1551" s="2">
        <v>60.93</v>
      </c>
      <c r="FU1551" s="2">
        <v>61.53</v>
      </c>
      <c r="FV1551" s="2">
        <v>61.95</v>
      </c>
      <c r="FW1551" s="2">
        <v>62.43</v>
      </c>
      <c r="FX1551" s="2">
        <v>63.09</v>
      </c>
      <c r="FY1551" s="2">
        <v>63.33</v>
      </c>
      <c r="FZ1551" s="2">
        <v>63.69</v>
      </c>
      <c r="GA1551" s="2">
        <v>63.93</v>
      </c>
      <c r="GB1551" s="2">
        <v>63.69</v>
      </c>
      <c r="GC1551" s="2">
        <v>66.03</v>
      </c>
      <c r="GD1551" s="2">
        <v>66.93000000000001</v>
      </c>
      <c r="GE1551" s="2">
        <v>67.53</v>
      </c>
      <c r="GF1551" s="2">
        <v>65.73</v>
      </c>
      <c r="GG1551" s="2">
        <v>67.83</v>
      </c>
      <c r="GH1551" s="2">
        <v>68.01000000000001</v>
      </c>
      <c r="GI1551" s="2">
        <v>68.31</v>
      </c>
      <c r="GJ1551" s="2">
        <v>68.25</v>
      </c>
      <c r="GK1551" s="2">
        <v>69.20999999999999</v>
      </c>
      <c r="GL1551" s="2">
        <v>69.39</v>
      </c>
      <c r="GM1551" s="2">
        <v>69.20999999999999</v>
      </c>
      <c r="GN1551" s="2">
        <v>69.63</v>
      </c>
      <c r="GO1551" s="2">
        <v>70.47</v>
      </c>
      <c r="GP1551" s="2">
        <v>71.01000000000001</v>
      </c>
      <c r="GQ1551" s="2">
        <v>71.43000000000001</v>
      </c>
      <c r="GR1551" s="2">
        <v>69.87</v>
      </c>
      <c r="GS1551" s="2">
        <v>71.43000000000001</v>
      </c>
      <c r="GT1551" s="2">
        <v>72.09</v>
      </c>
      <c r="GU1551" s="2">
        <v>72.39</v>
      </c>
      <c r="GV1551" s="2">
        <v>72.75</v>
      </c>
      <c r="GW1551" s="2">
        <v>73.17</v>
      </c>
      <c r="GX1551" s="2">
        <v>73.53</v>
      </c>
      <c r="GY1551" s="2">
        <v>73.83</v>
      </c>
      <c r="GZ1551" s="2">
        <v>74.37</v>
      </c>
      <c r="HA1551" s="2">
        <v>74.31999999999999</v>
      </c>
      <c r="HB1551" s="2">
        <v>74.53</v>
      </c>
      <c r="HC1551" s="2">
        <v>74.68000000000001</v>
      </c>
      <c r="HD1551" s="2">
        <v>74.77</v>
      </c>
      <c r="HE1551" s="2">
        <v>75.18000000000001</v>
      </c>
      <c r="HF1551" s="2">
        <v>75.45</v>
      </c>
      <c r="HG1551" s="2">
        <v>75.76000000000001</v>
      </c>
      <c r="HH1551" s="2">
        <v>75.73</v>
      </c>
      <c r="HI1551" s="2">
        <v>80.06</v>
      </c>
      <c r="HJ1551" s="2">
        <v>80.26000000000001</v>
      </c>
      <c r="HK1551" s="2">
        <v>80.61</v>
      </c>
      <c r="HL1551" s="2">
        <v>80.93000000000001</v>
      </c>
      <c r="HM1551" s="2">
        <v>81.40000000000001</v>
      </c>
      <c r="HN1551" s="2">
        <v>81.78</v>
      </c>
      <c r="HO1551" s="2">
        <v>82.05</v>
      </c>
      <c r="HP1551" s="2">
        <v>82.33</v>
      </c>
      <c r="HQ1551" s="2">
        <v>82.56</v>
      </c>
      <c r="HR1551" s="2">
        <v>82.59999999999999</v>
      </c>
      <c r="HS1551" s="2">
        <v>82.75</v>
      </c>
      <c r="HT1551" s="2">
        <v>82.51000000000001</v>
      </c>
      <c r="HU1551" s="2">
        <v>83.2</v>
      </c>
      <c r="HV1551" s="2">
        <v>83.25</v>
      </c>
      <c r="HW1551" s="2">
        <v>83.79000000000001</v>
      </c>
      <c r="HX1551" s="2">
        <v>84.34999999999999</v>
      </c>
      <c r="HY1551" s="2">
        <v>85.06</v>
      </c>
      <c r="HZ1551" s="2">
        <v>85.40000000000001</v>
      </c>
      <c r="IA1551" s="2">
        <v>85.34999999999999</v>
      </c>
      <c r="IB1551" s="2">
        <v>86.15000000000001</v>
      </c>
      <c r="IC1551" s="2">
        <v>85.88</v>
      </c>
      <c r="ID1551" s="2">
        <v>86.98</v>
      </c>
      <c r="IE1551" s="2">
        <v>87.56</v>
      </c>
      <c r="IF1551" s="2">
        <v>87.58</v>
      </c>
      <c r="IG1551" s="2">
        <v>87.84</v>
      </c>
      <c r="IH1551" s="2">
        <v>87.91</v>
      </c>
      <c r="II1551" s="2">
        <v>88.26000000000001</v>
      </c>
      <c r="IJ1551" s="2">
        <v>88.48999999999999</v>
      </c>
      <c r="IK1551" s="2">
        <v>88.83</v>
      </c>
      <c r="IL1551" s="2">
        <v>89.63</v>
      </c>
      <c r="IM1551" s="2">
        <v>89.94</v>
      </c>
      <c r="IN1551" s="2">
        <v>89.89</v>
      </c>
      <c r="IO1551" s="2">
        <v>90</v>
      </c>
      <c r="IP1551" s="2">
        <v>88.53</v>
      </c>
      <c r="IQ1551" s="2">
        <v>88.15000000000001</v>
      </c>
      <c r="IR1551" s="2">
        <v>89.72</v>
      </c>
      <c r="IS1551" s="2">
        <v>87.97</v>
      </c>
      <c r="IT1551" s="2">
        <v>91.03</v>
      </c>
      <c r="IU1551" s="2">
        <v>91.58</v>
      </c>
      <c r="IV1551" s="2">
        <v>91.59</v>
      </c>
      <c r="IW1551" s="2">
        <v>91.34</v>
      </c>
      <c r="IX1551" s="2">
        <v>91.06999999999999</v>
      </c>
      <c r="IY1551" s="2">
        <v>91.64</v>
      </c>
      <c r="IZ1551" s="2">
        <v>92.03</v>
      </c>
      <c r="JA1551" s="2">
        <v>95.75</v>
      </c>
      <c r="JB1551" s="2">
        <v>95.64</v>
      </c>
      <c r="JC1551" s="2">
        <v>95.7</v>
      </c>
      <c r="JD1551" s="2">
        <v>95.19</v>
      </c>
      <c r="JE1551" s="2">
        <v>95.28</v>
      </c>
      <c r="JF1551" s="2">
        <v>95.33</v>
      </c>
      <c r="JG1551" s="2">
        <v>95.45</v>
      </c>
      <c r="JH1551" s="2">
        <v>95.55</v>
      </c>
      <c r="JI1551" s="2">
        <v>94.48999999999999</v>
      </c>
      <c r="JJ1551" s="2">
        <v>93.61</v>
      </c>
      <c r="JK1551" s="2">
        <v>93.44</v>
      </c>
      <c r="JL1551" s="2">
        <v>93.93000000000001</v>
      </c>
      <c r="JM1551" s="2">
        <v>94.2</v>
      </c>
      <c r="JN1551" s="2">
        <v>94.40000000000001</v>
      </c>
      <c r="JO1551" s="2">
        <v>95.16</v>
      </c>
      <c r="JP1551" s="2">
        <v>94.16</v>
      </c>
      <c r="JQ1551" s="2">
        <v>92.51000000000001</v>
      </c>
      <c r="JR1551" s="2">
        <v>93.95999999999999</v>
      </c>
      <c r="JS1551" s="2">
        <v>92.89</v>
      </c>
      <c r="JT1551" s="2">
        <v>92.89</v>
      </c>
      <c r="JU1551" s="2">
        <v>92.95</v>
      </c>
      <c r="JV1551" s="2">
        <v>93.08</v>
      </c>
      <c r="KA1551" s="2">
        <v>92.84999999999999</v>
      </c>
      <c r="KB1551" s="2">
        <v>92.81999999999999</v>
      </c>
      <c r="KC1551" s="2">
        <v>93.16</v>
      </c>
      <c r="KD1551" s="2">
        <v>92.97</v>
      </c>
      <c r="KQ1551" s="2">
        <v>93.11</v>
      </c>
      <c r="KR1551" s="2">
        <v>93.14</v>
      </c>
      <c r="KS1551" s="2">
        <v>93.05</v>
      </c>
      <c r="KT1551" s="2">
        <v>93.12</v>
      </c>
      <c r="LG1551" s="2">
        <v>93.06</v>
      </c>
      <c r="LH1551" s="2">
        <v>93</v>
      </c>
      <c r="LI1551" s="2">
        <v>93.03</v>
      </c>
      <c r="LJ1551" s="2">
        <v>93.09</v>
      </c>
      <c r="LW1551" s="2">
        <v>92.89</v>
      </c>
      <c r="LX1551" s="2">
        <v>93.18000000000001</v>
      </c>
      <c r="LY1551" s="2">
        <v>93.38</v>
      </c>
      <c r="LZ1551" s="2">
        <v>93.56</v>
      </c>
      <c r="MM1551" s="2">
        <v>94.05</v>
      </c>
      <c r="MN1551" s="2">
        <v>93.89</v>
      </c>
      <c r="MO1551" s="2">
        <v>93.98999999999999</v>
      </c>
      <c r="MP1551" s="2">
        <v>94.05</v>
      </c>
      <c r="NC1551" s="2">
        <v>93.44</v>
      </c>
      <c r="ND1551" s="2">
        <v>94.13</v>
      </c>
      <c r="NE1551" s="2">
        <v>94.78</v>
      </c>
      <c r="NF1551" s="2">
        <v>94.8</v>
      </c>
      <c r="NS1551" s="2">
        <v>95.23999999999999</v>
      </c>
      <c r="NT1551" s="2">
        <v>95.39</v>
      </c>
      <c r="NU1551" s="2">
        <v>96.36</v>
      </c>
      <c r="NV1551" s="2">
        <v>95.36</v>
      </c>
      <c r="OI1551" s="2">
        <v>95.95</v>
      </c>
      <c r="OJ1551" s="2">
        <v>96.73</v>
      </c>
      <c r="OK1551" s="2">
        <v>96.87</v>
      </c>
      <c r="OL1551" s="2">
        <v>96.09999999999999</v>
      </c>
      <c r="OY1551" s="2">
        <v>97.59</v>
      </c>
      <c r="OZ1551" s="2">
        <v>98.83</v>
      </c>
      <c r="PA1551" s="2">
        <v>99.8</v>
      </c>
      <c r="PB1551" s="2">
        <v>99.65000000000001</v>
      </c>
      <c r="PJ1551" s="2">
        <v>99.20999999999999</v>
      </c>
      <c r="PK1551" s="2">
        <v>99.27</v>
      </c>
    </row>
    <row r="1552">
      <c r="A1552" t="inlineStr">
        <is>
          <t>A3604388C</t>
        </is>
      </c>
      <c r="B1552" t="inlineStr">
        <is>
          <t>Index Numbers ;  Medical, dental and hospital services ;  Australia ;</t>
        </is>
      </c>
      <c r="C1552" t="inlineStr">
        <is>
          <t>Quarter</t>
        </is>
      </c>
      <c r="D1552" t="inlineStr">
        <is>
          <t>Index Numbers</t>
        </is>
      </c>
      <c r="E1552" t="inlineStr">
        <is>
          <t>Original</t>
        </is>
      </c>
      <c r="F1552" t="inlineStr">
        <is>
          <t>6401018.xlsx</t>
        </is>
      </c>
      <c r="G1552" t="inlineStr">
        <is>
          <t>1980Q3</t>
        </is>
      </c>
      <c r="H1552" t="inlineStr">
        <is>
          <t>2026Q2</t>
        </is>
      </c>
      <c r="EG1552" s="2">
        <v>7.8</v>
      </c>
      <c r="EH1552" s="2">
        <v>7.8</v>
      </c>
      <c r="EI1552" s="2">
        <v>7.83</v>
      </c>
      <c r="EJ1552" s="2">
        <v>7.88</v>
      </c>
      <c r="EK1552" s="2">
        <v>7.92</v>
      </c>
      <c r="EL1552" s="2">
        <v>11.34</v>
      </c>
      <c r="EM1552" s="2">
        <v>11.54</v>
      </c>
      <c r="EN1552" s="2">
        <v>11.86</v>
      </c>
      <c r="EO1552" s="2">
        <v>12.78</v>
      </c>
      <c r="EP1552" s="2">
        <v>13.65</v>
      </c>
      <c r="EQ1552" s="2">
        <v>14.11</v>
      </c>
      <c r="ER1552" s="2">
        <v>14.45</v>
      </c>
      <c r="ES1552" s="2">
        <v>14.76</v>
      </c>
      <c r="ET1552" s="2">
        <v>15.15</v>
      </c>
      <c r="EU1552" s="2">
        <v>10.68</v>
      </c>
      <c r="EV1552" s="2">
        <v>8.300000000000001</v>
      </c>
      <c r="EW1552" s="2">
        <v>8.18</v>
      </c>
      <c r="EX1552" s="2">
        <v>8.289999999999999</v>
      </c>
      <c r="EY1552" s="2">
        <v>8.48</v>
      </c>
      <c r="EZ1552" s="2">
        <v>8.6</v>
      </c>
      <c r="FA1552" s="2">
        <v>8.75</v>
      </c>
      <c r="FB1552" s="2">
        <v>8.890000000000001</v>
      </c>
      <c r="FC1552" s="2">
        <v>9.16</v>
      </c>
      <c r="FD1552" s="2">
        <v>9.81</v>
      </c>
      <c r="FE1552" s="2">
        <v>10.14</v>
      </c>
      <c r="FF1552" s="2">
        <v>11.13</v>
      </c>
      <c r="FG1552" s="2">
        <v>11.54</v>
      </c>
      <c r="FH1552" s="2">
        <v>11.97</v>
      </c>
      <c r="FI1552" s="2">
        <v>12.26</v>
      </c>
      <c r="FJ1552" s="2">
        <v>13.14</v>
      </c>
      <c r="FK1552" s="2">
        <v>13.43</v>
      </c>
      <c r="FL1552" s="2">
        <v>13.68</v>
      </c>
      <c r="FM1552" s="2">
        <v>13.9</v>
      </c>
      <c r="FN1552" s="2">
        <v>14.45</v>
      </c>
      <c r="FO1552" s="2">
        <v>15.07</v>
      </c>
      <c r="FP1552" s="2">
        <v>15.21</v>
      </c>
      <c r="FQ1552" s="2">
        <v>15.47</v>
      </c>
      <c r="FR1552" s="2">
        <v>15.8</v>
      </c>
      <c r="FS1552" s="2">
        <v>16.05</v>
      </c>
      <c r="FT1552" s="2">
        <v>16.27</v>
      </c>
      <c r="FU1552" s="2">
        <v>16.64</v>
      </c>
      <c r="FV1552" s="2">
        <v>17.85</v>
      </c>
      <c r="FW1552" s="2">
        <v>18.3</v>
      </c>
      <c r="FX1552" s="2">
        <v>18.72</v>
      </c>
      <c r="FY1552" s="2">
        <v>19.47</v>
      </c>
      <c r="FZ1552" s="2">
        <v>20.97</v>
      </c>
      <c r="GA1552" s="2">
        <v>22.35</v>
      </c>
      <c r="GB1552" s="2">
        <v>20.64</v>
      </c>
      <c r="GC1552" s="2">
        <v>20.76</v>
      </c>
      <c r="GD1552" s="2">
        <v>21.32</v>
      </c>
      <c r="GE1552" s="2">
        <v>21.63</v>
      </c>
      <c r="GF1552" s="2">
        <v>21.78</v>
      </c>
      <c r="GG1552" s="2">
        <v>21.98</v>
      </c>
      <c r="GH1552" s="2">
        <v>22.3</v>
      </c>
      <c r="GI1552" s="2">
        <v>22.69</v>
      </c>
      <c r="GJ1552" s="2">
        <v>22.96</v>
      </c>
      <c r="GK1552" s="2">
        <v>23.47</v>
      </c>
      <c r="GL1552" s="2">
        <v>23.71</v>
      </c>
      <c r="GM1552" s="2">
        <v>24.04</v>
      </c>
      <c r="GN1552" s="2">
        <v>24.54</v>
      </c>
      <c r="GO1552" s="2">
        <v>24.75</v>
      </c>
      <c r="GP1552" s="2">
        <v>25.37</v>
      </c>
      <c r="GQ1552" s="2">
        <v>25.64</v>
      </c>
      <c r="GR1552" s="2">
        <v>25.67</v>
      </c>
      <c r="GS1552" s="2">
        <v>25.98</v>
      </c>
      <c r="GT1552" s="2">
        <v>26.6</v>
      </c>
      <c r="GU1552" s="2">
        <v>27.53</v>
      </c>
      <c r="GV1552" s="2">
        <v>28.26</v>
      </c>
      <c r="GW1552" s="2">
        <v>26.73</v>
      </c>
      <c r="GX1552" s="2">
        <v>28.25</v>
      </c>
      <c r="GY1552" s="2">
        <v>28.47</v>
      </c>
      <c r="GZ1552" s="2">
        <v>29.23</v>
      </c>
      <c r="HA1552" s="2">
        <v>29.81</v>
      </c>
      <c r="HB1552" s="2">
        <v>29.91</v>
      </c>
      <c r="HC1552" s="2">
        <v>25.43</v>
      </c>
      <c r="HD1552" s="2">
        <v>25.56</v>
      </c>
      <c r="HE1552" s="2">
        <v>26.08</v>
      </c>
      <c r="HF1552" s="2">
        <v>26.35</v>
      </c>
      <c r="HG1552" s="2">
        <v>26.58</v>
      </c>
      <c r="HH1552" s="2">
        <v>26.85</v>
      </c>
      <c r="HI1552" s="2">
        <v>27</v>
      </c>
      <c r="HJ1552" s="2">
        <v>27.28</v>
      </c>
      <c r="HK1552" s="2">
        <v>27.49</v>
      </c>
      <c r="HL1552" s="2">
        <v>27.64</v>
      </c>
      <c r="HM1552" s="2">
        <v>27.91</v>
      </c>
      <c r="HN1552" s="2">
        <v>28.26</v>
      </c>
      <c r="HO1552" s="2">
        <v>28.42</v>
      </c>
      <c r="HP1552" s="2">
        <v>29.62</v>
      </c>
      <c r="HQ1552" s="2">
        <v>30.16</v>
      </c>
      <c r="HR1552" s="2">
        <v>30.57</v>
      </c>
      <c r="HS1552" s="2">
        <v>31.01</v>
      </c>
      <c r="HT1552" s="2">
        <v>32.37</v>
      </c>
      <c r="HU1552" s="2">
        <v>32.72</v>
      </c>
      <c r="HV1552" s="2">
        <v>33.15</v>
      </c>
      <c r="HW1552" s="2">
        <v>33.53</v>
      </c>
      <c r="HX1552" s="2">
        <v>34.97</v>
      </c>
      <c r="HY1552" s="2">
        <v>35.08</v>
      </c>
      <c r="HZ1552" s="2">
        <v>35.16</v>
      </c>
      <c r="IA1552" s="2">
        <v>35.44</v>
      </c>
      <c r="IB1552" s="2">
        <v>36.75</v>
      </c>
      <c r="IC1552" s="2">
        <v>36.79</v>
      </c>
      <c r="ID1552" s="2">
        <v>36.79</v>
      </c>
      <c r="IE1552" s="2">
        <v>37.35</v>
      </c>
      <c r="IF1552" s="2">
        <v>38.65</v>
      </c>
      <c r="IG1552" s="2">
        <v>38.89</v>
      </c>
      <c r="IH1552" s="2">
        <v>39.06</v>
      </c>
      <c r="II1552" s="2">
        <v>39.44</v>
      </c>
      <c r="IJ1552" s="2">
        <v>40.63</v>
      </c>
      <c r="IK1552" s="2">
        <v>40.9</v>
      </c>
      <c r="IL1552" s="2">
        <v>40.96</v>
      </c>
      <c r="IM1552" s="2">
        <v>41.61</v>
      </c>
      <c r="IN1552" s="2">
        <v>43.05</v>
      </c>
      <c r="IO1552" s="2">
        <v>43.41</v>
      </c>
      <c r="IP1552" s="2">
        <v>43.33</v>
      </c>
      <c r="IQ1552" s="2">
        <v>44.27</v>
      </c>
      <c r="IR1552" s="2">
        <v>45.63</v>
      </c>
      <c r="IS1552" s="2">
        <v>45.66</v>
      </c>
      <c r="IT1552" s="2">
        <v>45.74</v>
      </c>
      <c r="IU1552" s="2">
        <v>46.94</v>
      </c>
      <c r="IV1552" s="2">
        <v>48.46</v>
      </c>
      <c r="IW1552" s="2">
        <v>48.52</v>
      </c>
      <c r="IX1552" s="2">
        <v>48.58</v>
      </c>
      <c r="IY1552" s="2">
        <v>49.48</v>
      </c>
      <c r="IZ1552" s="2">
        <v>50.91</v>
      </c>
      <c r="JA1552" s="2">
        <v>50.9</v>
      </c>
      <c r="JB1552" s="2">
        <v>50.84</v>
      </c>
      <c r="JC1552" s="2">
        <v>51.89</v>
      </c>
      <c r="JD1552" s="2">
        <v>53.2</v>
      </c>
      <c r="JE1552" s="2">
        <v>55.3</v>
      </c>
      <c r="JF1552" s="2">
        <v>55.18</v>
      </c>
      <c r="JG1552" s="2">
        <v>56.23</v>
      </c>
      <c r="JH1552" s="2">
        <v>57.92</v>
      </c>
      <c r="JI1552" s="2">
        <v>58.09</v>
      </c>
      <c r="JJ1552" s="2">
        <v>57.97</v>
      </c>
      <c r="JK1552" s="2">
        <v>59</v>
      </c>
      <c r="JL1552" s="2">
        <v>61.44</v>
      </c>
      <c r="JM1552" s="2">
        <v>61.51</v>
      </c>
      <c r="JN1552" s="2">
        <v>61.37</v>
      </c>
      <c r="JO1552" s="2">
        <v>62.55</v>
      </c>
      <c r="JP1552" s="2">
        <v>65.01000000000001</v>
      </c>
      <c r="JQ1552" s="2">
        <v>65.17</v>
      </c>
      <c r="JR1552" s="2">
        <v>65.14</v>
      </c>
      <c r="JS1552" s="2">
        <v>66.05</v>
      </c>
      <c r="JT1552" s="2">
        <v>68.52</v>
      </c>
      <c r="JU1552" s="2">
        <v>68.41</v>
      </c>
      <c r="JV1552" s="2">
        <v>68.26000000000001</v>
      </c>
      <c r="KA1552" s="2">
        <v>69.27</v>
      </c>
      <c r="KB1552" s="2">
        <v>71.79000000000001</v>
      </c>
      <c r="KC1552" s="2">
        <v>71.73</v>
      </c>
      <c r="KD1552" s="2">
        <v>71.63</v>
      </c>
      <c r="KQ1552" s="2">
        <v>72.59999999999999</v>
      </c>
      <c r="KR1552" s="2">
        <v>74.58</v>
      </c>
      <c r="KS1552" s="2">
        <v>74.39</v>
      </c>
      <c r="KT1552" s="2">
        <v>74.39</v>
      </c>
      <c r="LG1552" s="2">
        <v>75.37</v>
      </c>
      <c r="LH1552" s="2">
        <v>77.09999999999999</v>
      </c>
      <c r="LI1552" s="2">
        <v>77.06999999999999</v>
      </c>
      <c r="LJ1552" s="2">
        <v>77.01000000000001</v>
      </c>
      <c r="LW1552" s="2">
        <v>77.77</v>
      </c>
      <c r="LX1552" s="2">
        <v>77.66</v>
      </c>
      <c r="LY1552" s="2">
        <v>77.81</v>
      </c>
      <c r="LZ1552" s="2">
        <v>79.56</v>
      </c>
      <c r="MM1552" s="2">
        <v>80.66</v>
      </c>
      <c r="MN1552" s="2">
        <v>82.40000000000001</v>
      </c>
      <c r="MO1552" s="2">
        <v>82.77</v>
      </c>
      <c r="MP1552" s="2">
        <v>82.65000000000001</v>
      </c>
      <c r="NC1552" s="2">
        <v>84.04000000000001</v>
      </c>
      <c r="ND1552" s="2">
        <v>84.66</v>
      </c>
      <c r="NE1552" s="2">
        <v>85.19</v>
      </c>
      <c r="NF1552" s="2">
        <v>86.09</v>
      </c>
      <c r="NS1552" s="2">
        <v>89.34999999999999</v>
      </c>
      <c r="NT1552" s="2">
        <v>89.41</v>
      </c>
      <c r="NU1552" s="2">
        <v>90.47</v>
      </c>
      <c r="NV1552" s="2">
        <v>91.43000000000001</v>
      </c>
      <c r="OI1552" s="2">
        <v>93.37</v>
      </c>
      <c r="OJ1552" s="2">
        <v>95.14</v>
      </c>
      <c r="OK1552" s="2">
        <v>95.26000000000001</v>
      </c>
      <c r="OL1552" s="2">
        <v>95.31</v>
      </c>
      <c r="OY1552" s="2">
        <v>97.69</v>
      </c>
      <c r="OZ1552" s="2">
        <v>99.73</v>
      </c>
      <c r="PA1552" s="2">
        <v>99.92</v>
      </c>
      <c r="PB1552" s="2">
        <v>99.56999999999999</v>
      </c>
      <c r="PJ1552" s="2">
        <v>101.65</v>
      </c>
      <c r="PK1552" s="2">
        <v>104.58</v>
      </c>
    </row>
    <row r="1553">
      <c r="A1553" t="inlineStr">
        <is>
          <t>A2329041T</t>
        </is>
      </c>
      <c r="B1553" t="inlineStr">
        <is>
          <t>Index Numbers ;  Medical and hospital services ;  Australia ;</t>
        </is>
      </c>
      <c r="C1553" t="inlineStr">
        <is>
          <t>Quarter</t>
        </is>
      </c>
      <c r="D1553" t="inlineStr">
        <is>
          <t>Index Numbers</t>
        </is>
      </c>
      <c r="E1553" t="inlineStr">
        <is>
          <t>Original</t>
        </is>
      </c>
      <c r="F1553" t="inlineStr">
        <is>
          <t>6401018.xlsx</t>
        </is>
      </c>
      <c r="G1553" t="inlineStr">
        <is>
          <t>1980Q3</t>
        </is>
      </c>
      <c r="H1553" t="inlineStr">
        <is>
          <t>2026Q2</t>
        </is>
      </c>
      <c r="EG1553" s="2">
        <v>7.42</v>
      </c>
      <c r="EH1553" s="2">
        <v>7.39</v>
      </c>
      <c r="EI1553" s="2">
        <v>7.39</v>
      </c>
      <c r="EJ1553" s="2">
        <v>7.41</v>
      </c>
      <c r="EK1553" s="2">
        <v>7.42</v>
      </c>
      <c r="EL1553" s="2">
        <v>11.27</v>
      </c>
      <c r="EM1553" s="2">
        <v>11.45</v>
      </c>
      <c r="EN1553" s="2">
        <v>11.75</v>
      </c>
      <c r="EO1553" s="2">
        <v>12.76</v>
      </c>
      <c r="EP1553" s="2">
        <v>13.71</v>
      </c>
      <c r="EQ1553" s="2">
        <v>14.19</v>
      </c>
      <c r="ER1553" s="2">
        <v>14.57</v>
      </c>
      <c r="ES1553" s="2">
        <v>14.87</v>
      </c>
      <c r="ET1553" s="2">
        <v>15.27</v>
      </c>
      <c r="EU1553" s="2">
        <v>10.14</v>
      </c>
      <c r="EV1553" s="2">
        <v>7.41</v>
      </c>
      <c r="EW1553" s="2">
        <v>7.25</v>
      </c>
      <c r="EX1553" s="2">
        <v>7.32</v>
      </c>
      <c r="EY1553" s="2">
        <v>7.48</v>
      </c>
      <c r="EZ1553" s="2">
        <v>7.57</v>
      </c>
      <c r="FA1553" s="2">
        <v>7.67</v>
      </c>
      <c r="FB1553" s="2">
        <v>7.79</v>
      </c>
      <c r="FC1553" s="2">
        <v>8.039999999999999</v>
      </c>
      <c r="FD1553" s="2">
        <v>8.710000000000001</v>
      </c>
      <c r="FE1553" s="2">
        <v>9.01</v>
      </c>
      <c r="FF1553" s="2">
        <v>10.08</v>
      </c>
      <c r="FG1553" s="2">
        <v>10.48</v>
      </c>
      <c r="FH1553" s="2">
        <v>10.89</v>
      </c>
      <c r="FI1553" s="2">
        <v>11.13</v>
      </c>
      <c r="FJ1553" s="2">
        <v>12.08</v>
      </c>
      <c r="FK1553" s="2">
        <v>12.38</v>
      </c>
      <c r="FL1553" s="2">
        <v>12.57</v>
      </c>
      <c r="FM1553" s="2">
        <v>12.76</v>
      </c>
      <c r="FN1553" s="2">
        <v>13.3</v>
      </c>
      <c r="FO1553" s="2">
        <v>13.91</v>
      </c>
      <c r="FP1553" s="2">
        <v>14.03</v>
      </c>
      <c r="FQ1553" s="2">
        <v>14.22</v>
      </c>
      <c r="FR1553" s="2">
        <v>14.54</v>
      </c>
      <c r="FS1553" s="2">
        <v>14.76</v>
      </c>
      <c r="FT1553" s="2">
        <v>14.93</v>
      </c>
      <c r="FU1553" s="2">
        <v>15.25</v>
      </c>
      <c r="FV1553" s="2">
        <v>16.6</v>
      </c>
      <c r="FW1553" s="2">
        <v>17.01</v>
      </c>
      <c r="FX1553" s="2">
        <v>17.43</v>
      </c>
      <c r="FY1553" s="2">
        <v>18.21</v>
      </c>
      <c r="FZ1553" s="2">
        <v>19.87</v>
      </c>
      <c r="GA1553" s="2">
        <v>21.38</v>
      </c>
      <c r="GB1553" s="2">
        <v>19.43</v>
      </c>
      <c r="GC1553" s="2">
        <v>19.53</v>
      </c>
      <c r="GD1553" s="2">
        <v>20.13</v>
      </c>
      <c r="GE1553" s="2">
        <v>20.44</v>
      </c>
      <c r="GF1553" s="2">
        <v>20.57</v>
      </c>
      <c r="GG1553" s="2">
        <v>20.76</v>
      </c>
      <c r="GH1553" s="2">
        <v>21.1</v>
      </c>
      <c r="GI1553" s="2">
        <v>21.49</v>
      </c>
      <c r="GJ1553" s="2">
        <v>21.74</v>
      </c>
      <c r="GK1553" s="2">
        <v>22.27</v>
      </c>
      <c r="GL1553" s="2">
        <v>22.52</v>
      </c>
      <c r="GM1553" s="2">
        <v>22.82</v>
      </c>
      <c r="GN1553" s="2">
        <v>23.33</v>
      </c>
      <c r="GO1553" s="2">
        <v>23.54</v>
      </c>
      <c r="GP1553" s="2">
        <v>24.18</v>
      </c>
      <c r="GQ1553" s="2">
        <v>24.43</v>
      </c>
      <c r="GR1553" s="2">
        <v>24.4</v>
      </c>
      <c r="GS1553" s="2">
        <v>24.72</v>
      </c>
      <c r="GT1553" s="2">
        <v>25.39</v>
      </c>
      <c r="GU1553" s="2">
        <v>26.4</v>
      </c>
      <c r="GV1553" s="2">
        <v>27.13</v>
      </c>
      <c r="GW1553" s="2">
        <v>25.38</v>
      </c>
      <c r="GX1553" s="2">
        <v>27.06</v>
      </c>
      <c r="GY1553" s="2">
        <v>27.23</v>
      </c>
      <c r="GZ1553" s="2">
        <v>28.05</v>
      </c>
      <c r="HA1553" s="2">
        <v>28.7</v>
      </c>
      <c r="HB1553" s="2">
        <v>28.79</v>
      </c>
      <c r="HC1553" s="2">
        <v>23.65</v>
      </c>
      <c r="HD1553" s="2">
        <v>23.73</v>
      </c>
      <c r="HE1553" s="2">
        <v>24.28</v>
      </c>
      <c r="HF1553" s="2">
        <v>24.48</v>
      </c>
      <c r="HG1553" s="2">
        <v>24.62</v>
      </c>
      <c r="HH1553" s="2">
        <v>24.84</v>
      </c>
      <c r="HI1553" s="2">
        <v>24.92</v>
      </c>
      <c r="HJ1553" s="2">
        <v>25.21</v>
      </c>
      <c r="HK1553" s="2">
        <v>25.37</v>
      </c>
      <c r="HL1553" s="2">
        <v>25.48</v>
      </c>
      <c r="HM1553" s="2">
        <v>25.71</v>
      </c>
      <c r="HN1553" s="2">
        <v>26.03</v>
      </c>
      <c r="HO1553" s="2">
        <v>26.15</v>
      </c>
      <c r="HP1553" s="2">
        <v>27.44</v>
      </c>
      <c r="HQ1553" s="2">
        <v>27.96</v>
      </c>
      <c r="HR1553" s="2">
        <v>28.38</v>
      </c>
      <c r="HS1553" s="2">
        <v>28.77</v>
      </c>
      <c r="HT1553" s="2">
        <v>30.26</v>
      </c>
      <c r="HU1553" s="2">
        <v>30.56</v>
      </c>
      <c r="HV1553" s="2">
        <v>30.96</v>
      </c>
      <c r="HW1553" s="2">
        <v>31.27</v>
      </c>
      <c r="HX1553" s="2">
        <v>32.87</v>
      </c>
      <c r="HY1553" s="2">
        <v>32.91</v>
      </c>
      <c r="HZ1553" s="2">
        <v>32.9</v>
      </c>
      <c r="IA1553" s="2">
        <v>33.08</v>
      </c>
      <c r="IB1553" s="2">
        <v>34.47</v>
      </c>
      <c r="IC1553" s="2">
        <v>34.42</v>
      </c>
      <c r="ID1553" s="2">
        <v>34.36</v>
      </c>
      <c r="IE1553" s="2">
        <v>34.85</v>
      </c>
      <c r="IF1553" s="2">
        <v>36.25</v>
      </c>
      <c r="IG1553" s="2">
        <v>36.39</v>
      </c>
      <c r="IH1553" s="2">
        <v>36.56</v>
      </c>
      <c r="II1553" s="2">
        <v>36.9</v>
      </c>
      <c r="IJ1553" s="2">
        <v>38.15</v>
      </c>
      <c r="IK1553" s="2">
        <v>38.33</v>
      </c>
      <c r="IL1553" s="2">
        <v>38.33</v>
      </c>
      <c r="IM1553" s="2">
        <v>38.92</v>
      </c>
      <c r="IN1553" s="2">
        <v>40.48</v>
      </c>
      <c r="IO1553" s="2">
        <v>40.83</v>
      </c>
      <c r="IP1553" s="2">
        <v>40.67</v>
      </c>
      <c r="IQ1553" s="2">
        <v>41.58</v>
      </c>
      <c r="IR1553" s="2">
        <v>43.09</v>
      </c>
      <c r="IS1553" s="2">
        <v>43.05</v>
      </c>
      <c r="IT1553" s="2">
        <v>43.06</v>
      </c>
      <c r="IU1553" s="2">
        <v>44.31</v>
      </c>
      <c r="IV1553" s="2">
        <v>45.99</v>
      </c>
      <c r="IW1553" s="2">
        <v>46</v>
      </c>
      <c r="IX1553" s="2">
        <v>46.01</v>
      </c>
      <c r="IY1553" s="2">
        <v>46.97</v>
      </c>
      <c r="IZ1553" s="2">
        <v>48.56</v>
      </c>
      <c r="JA1553" s="2">
        <v>48.46</v>
      </c>
      <c r="JB1553" s="2">
        <v>48.34</v>
      </c>
      <c r="JC1553" s="2">
        <v>49.37</v>
      </c>
      <c r="JD1553" s="2">
        <v>50.78</v>
      </c>
      <c r="JE1553" s="2">
        <v>53.03</v>
      </c>
      <c r="JF1553" s="2">
        <v>52.88</v>
      </c>
      <c r="JG1553" s="2">
        <v>53.98</v>
      </c>
      <c r="JH1553" s="2">
        <v>55.81</v>
      </c>
      <c r="JI1553" s="2">
        <v>55.98</v>
      </c>
      <c r="JJ1553" s="2">
        <v>55.82</v>
      </c>
      <c r="JK1553" s="2">
        <v>56.85</v>
      </c>
      <c r="JL1553" s="2">
        <v>59.49</v>
      </c>
      <c r="JM1553" s="2">
        <v>59.48</v>
      </c>
      <c r="JN1553" s="2">
        <v>59.3</v>
      </c>
      <c r="JO1553" s="2">
        <v>60.56</v>
      </c>
      <c r="JP1553" s="2">
        <v>63.27</v>
      </c>
      <c r="JQ1553" s="2">
        <v>63.4</v>
      </c>
      <c r="JR1553" s="2">
        <v>63.34</v>
      </c>
      <c r="JS1553" s="2">
        <v>64.29000000000001</v>
      </c>
      <c r="JT1553" s="2">
        <v>67.01000000000001</v>
      </c>
      <c r="JU1553" s="2">
        <v>66.88</v>
      </c>
      <c r="JV1553" s="2">
        <v>66.72</v>
      </c>
      <c r="KA1553" s="2">
        <v>67.81999999999999</v>
      </c>
      <c r="KB1553" s="2">
        <v>70.55</v>
      </c>
      <c r="KC1553" s="2">
        <v>70.47</v>
      </c>
      <c r="KD1553" s="2">
        <v>70.33</v>
      </c>
      <c r="KQ1553" s="2">
        <v>71.40000000000001</v>
      </c>
      <c r="KR1553" s="2">
        <v>73.59999999999999</v>
      </c>
      <c r="KS1553" s="2">
        <v>73.37</v>
      </c>
      <c r="KT1553" s="2">
        <v>73.3</v>
      </c>
      <c r="LG1553" s="2">
        <v>74.28</v>
      </c>
      <c r="LH1553" s="2">
        <v>76.2</v>
      </c>
      <c r="LI1553" s="2">
        <v>76.11</v>
      </c>
      <c r="LJ1553" s="2">
        <v>75.98999999999999</v>
      </c>
      <c r="LW1553" s="2">
        <v>76.81</v>
      </c>
      <c r="LX1553" s="2">
        <v>76.66</v>
      </c>
      <c r="LY1553" s="2">
        <v>76.81</v>
      </c>
      <c r="LZ1553" s="2">
        <v>78.73999999999999</v>
      </c>
      <c r="MM1553" s="2">
        <v>79.92</v>
      </c>
      <c r="MN1553" s="2">
        <v>81.84999999999999</v>
      </c>
      <c r="MO1553" s="2">
        <v>82.23999999999999</v>
      </c>
      <c r="MP1553" s="2">
        <v>82.09999999999999</v>
      </c>
      <c r="NC1553" s="2">
        <v>83.56</v>
      </c>
      <c r="ND1553" s="2">
        <v>84.17</v>
      </c>
      <c r="NE1553" s="2">
        <v>84.65000000000001</v>
      </c>
      <c r="NF1553" s="2">
        <v>85.55</v>
      </c>
      <c r="NS1553" s="2">
        <v>89.12</v>
      </c>
      <c r="NT1553" s="2">
        <v>89.12</v>
      </c>
      <c r="NU1553" s="2">
        <v>90.03</v>
      </c>
      <c r="NV1553" s="2">
        <v>91.09</v>
      </c>
      <c r="OI1553" s="2">
        <v>93.16</v>
      </c>
      <c r="OJ1553" s="2">
        <v>95.08</v>
      </c>
      <c r="OK1553" s="2">
        <v>95.09999999999999</v>
      </c>
      <c r="OL1553" s="2">
        <v>95.14</v>
      </c>
      <c r="OY1553" s="2">
        <v>97.73999999999999</v>
      </c>
      <c r="OZ1553" s="2">
        <v>99.97</v>
      </c>
      <c r="PA1553" s="2">
        <v>99.97</v>
      </c>
      <c r="PB1553" s="2">
        <v>99.5</v>
      </c>
      <c r="PJ1553" s="2">
        <v>101.75</v>
      </c>
      <c r="PK1553" s="2">
        <v>104.95</v>
      </c>
    </row>
    <row r="1554">
      <c r="A1554" t="inlineStr">
        <is>
          <t>A2329131W</t>
        </is>
      </c>
      <c r="B1554" t="inlineStr">
        <is>
          <t>Index Numbers ;  Dental services ;  Australia ;</t>
        </is>
      </c>
      <c r="C1554" t="inlineStr">
        <is>
          <t>Quarter</t>
        </is>
      </c>
      <c r="D1554" t="inlineStr">
        <is>
          <t>Index Numbers</t>
        </is>
      </c>
      <c r="E1554" t="inlineStr">
        <is>
          <t>Original</t>
        </is>
      </c>
      <c r="F1554" t="inlineStr">
        <is>
          <t>6401018.xlsx</t>
        </is>
      </c>
      <c r="G1554" t="inlineStr">
        <is>
          <t>1980Q3</t>
        </is>
      </c>
      <c r="H1554" t="inlineStr">
        <is>
          <t>2026Q2</t>
        </is>
      </c>
      <c r="EG1554" s="2">
        <v>10.91</v>
      </c>
      <c r="EH1554" s="2">
        <v>11.07</v>
      </c>
      <c r="EI1554" s="2">
        <v>11.41</v>
      </c>
      <c r="EJ1554" s="2">
        <v>11.67</v>
      </c>
      <c r="EK1554" s="2">
        <v>11.93</v>
      </c>
      <c r="EL1554" s="2">
        <v>12.11</v>
      </c>
      <c r="EM1554" s="2">
        <v>12.45</v>
      </c>
      <c r="EN1554" s="2">
        <v>12.95</v>
      </c>
      <c r="EO1554" s="2">
        <v>13.29</v>
      </c>
      <c r="EP1554" s="2">
        <v>13.45</v>
      </c>
      <c r="EQ1554" s="2">
        <v>13.84</v>
      </c>
      <c r="ER1554" s="2">
        <v>13.94</v>
      </c>
      <c r="ES1554" s="2">
        <v>14.21</v>
      </c>
      <c r="ET1554" s="2">
        <v>14.6</v>
      </c>
      <c r="EU1554" s="2">
        <v>15.1</v>
      </c>
      <c r="EV1554" s="2">
        <v>15.36</v>
      </c>
      <c r="EW1554" s="2">
        <v>15.51</v>
      </c>
      <c r="EX1554" s="2">
        <v>15.96</v>
      </c>
      <c r="EY1554" s="2">
        <v>16.38</v>
      </c>
      <c r="EZ1554" s="2">
        <v>16.74</v>
      </c>
      <c r="FA1554" s="2">
        <v>17.19</v>
      </c>
      <c r="FB1554" s="2">
        <v>17.61</v>
      </c>
      <c r="FC1554" s="2">
        <v>18.05</v>
      </c>
      <c r="FD1554" s="2">
        <v>18.42</v>
      </c>
      <c r="FE1554" s="2">
        <v>19.05</v>
      </c>
      <c r="FF1554" s="2">
        <v>19.46</v>
      </c>
      <c r="FG1554" s="2">
        <v>20.07</v>
      </c>
      <c r="FH1554" s="2">
        <v>20.62</v>
      </c>
      <c r="FI1554" s="2">
        <v>21.24</v>
      </c>
      <c r="FJ1554" s="2">
        <v>21.53</v>
      </c>
      <c r="FK1554" s="2">
        <v>21.87</v>
      </c>
      <c r="FL1554" s="2">
        <v>22.6</v>
      </c>
      <c r="FM1554" s="2">
        <v>23.07</v>
      </c>
      <c r="FN1554" s="2">
        <v>23.65</v>
      </c>
      <c r="FO1554" s="2">
        <v>24.3</v>
      </c>
      <c r="FP1554" s="2">
        <v>24.75</v>
      </c>
      <c r="FQ1554" s="2">
        <v>25.38</v>
      </c>
      <c r="FR1554" s="2">
        <v>25.87</v>
      </c>
      <c r="FS1554" s="2">
        <v>26.37</v>
      </c>
      <c r="FT1554" s="2">
        <v>27.03</v>
      </c>
      <c r="FU1554" s="2">
        <v>27.63</v>
      </c>
      <c r="FV1554" s="2">
        <v>27.94</v>
      </c>
      <c r="FW1554" s="2">
        <v>28.62</v>
      </c>
      <c r="FX1554" s="2">
        <v>29.12</v>
      </c>
      <c r="FY1554" s="2">
        <v>29.64</v>
      </c>
      <c r="FZ1554" s="2">
        <v>29.88</v>
      </c>
      <c r="GA1554" s="2">
        <v>30.27</v>
      </c>
      <c r="GB1554" s="2">
        <v>30.43</v>
      </c>
      <c r="GC1554" s="2">
        <v>30.64</v>
      </c>
      <c r="GD1554" s="2">
        <v>30.84</v>
      </c>
      <c r="GE1554" s="2">
        <v>31.32</v>
      </c>
      <c r="GF1554" s="2">
        <v>31.53</v>
      </c>
      <c r="GG1554" s="2">
        <v>31.87</v>
      </c>
      <c r="GH1554" s="2">
        <v>32.1</v>
      </c>
      <c r="GI1554" s="2">
        <v>32.44</v>
      </c>
      <c r="GJ1554" s="2">
        <v>32.86</v>
      </c>
      <c r="GK1554" s="2">
        <v>33.2</v>
      </c>
      <c r="GL1554" s="2">
        <v>33.41</v>
      </c>
      <c r="GM1554" s="2">
        <v>33.88</v>
      </c>
      <c r="GN1554" s="2">
        <v>34.4</v>
      </c>
      <c r="GO1554" s="2">
        <v>34.61</v>
      </c>
      <c r="GP1554" s="2">
        <v>35.03</v>
      </c>
      <c r="GQ1554" s="2">
        <v>35.45</v>
      </c>
      <c r="GR1554" s="2">
        <v>35.95</v>
      </c>
      <c r="GS1554" s="2">
        <v>36.29</v>
      </c>
      <c r="GT1554" s="2">
        <v>36.44</v>
      </c>
      <c r="GU1554" s="2">
        <v>36.84</v>
      </c>
      <c r="GV1554" s="2">
        <v>37.54</v>
      </c>
      <c r="GW1554" s="2">
        <v>37.7</v>
      </c>
      <c r="GX1554" s="2">
        <v>37.99</v>
      </c>
      <c r="GY1554" s="2">
        <v>38.54</v>
      </c>
      <c r="GZ1554" s="2">
        <v>38.88</v>
      </c>
      <c r="HA1554" s="2">
        <v>39.11</v>
      </c>
      <c r="HB1554" s="2">
        <v>39.23</v>
      </c>
      <c r="HC1554" s="2">
        <v>39.6</v>
      </c>
      <c r="HD1554" s="2">
        <v>40.14</v>
      </c>
      <c r="HE1554" s="2">
        <v>40.4</v>
      </c>
      <c r="HF1554" s="2">
        <v>41.22</v>
      </c>
      <c r="HG1554" s="2">
        <v>42.16</v>
      </c>
      <c r="HH1554" s="2">
        <v>42.83</v>
      </c>
      <c r="HI1554" s="2">
        <v>43.4</v>
      </c>
      <c r="HJ1554" s="2">
        <v>43.67</v>
      </c>
      <c r="HK1554" s="2">
        <v>44.21</v>
      </c>
      <c r="HL1554" s="2">
        <v>44.71</v>
      </c>
      <c r="HM1554" s="2">
        <v>45.31</v>
      </c>
      <c r="HN1554" s="2">
        <v>45.81</v>
      </c>
      <c r="HO1554" s="2">
        <v>46.27</v>
      </c>
      <c r="HP1554" s="2">
        <v>46.93</v>
      </c>
      <c r="HQ1554" s="2">
        <v>47.68</v>
      </c>
      <c r="HR1554" s="2">
        <v>48.11</v>
      </c>
      <c r="HS1554" s="2">
        <v>48.86</v>
      </c>
      <c r="HT1554" s="2">
        <v>49.53</v>
      </c>
      <c r="HU1554" s="2">
        <v>50.22</v>
      </c>
      <c r="HV1554" s="2">
        <v>50.85</v>
      </c>
      <c r="HW1554" s="2">
        <v>51.75</v>
      </c>
      <c r="HX1554" s="2">
        <v>52.26</v>
      </c>
      <c r="HY1554" s="2">
        <v>52.79</v>
      </c>
      <c r="HZ1554" s="2">
        <v>53.43</v>
      </c>
      <c r="IA1554" s="2">
        <v>54.47</v>
      </c>
      <c r="IB1554" s="2">
        <v>55.38</v>
      </c>
      <c r="IC1554" s="2">
        <v>55.93</v>
      </c>
      <c r="ID1554" s="2">
        <v>56.36</v>
      </c>
      <c r="IE1554" s="2">
        <v>57.54</v>
      </c>
      <c r="IF1554" s="2">
        <v>58.32</v>
      </c>
      <c r="IG1554" s="2">
        <v>59.17</v>
      </c>
      <c r="IH1554" s="2">
        <v>59.47</v>
      </c>
      <c r="II1554" s="2">
        <v>60.08</v>
      </c>
      <c r="IJ1554" s="2">
        <v>60.93</v>
      </c>
      <c r="IK1554" s="2">
        <v>61.82</v>
      </c>
      <c r="IL1554" s="2">
        <v>62.4</v>
      </c>
      <c r="IM1554" s="2">
        <v>63.39</v>
      </c>
      <c r="IN1554" s="2">
        <v>64.19</v>
      </c>
      <c r="IO1554" s="2">
        <v>64.65000000000001</v>
      </c>
      <c r="IP1554" s="2">
        <v>65.14</v>
      </c>
      <c r="IQ1554" s="2">
        <v>66.36</v>
      </c>
      <c r="IR1554" s="2">
        <v>66.86</v>
      </c>
      <c r="IS1554" s="2">
        <v>67.34</v>
      </c>
      <c r="IT1554" s="2">
        <v>67.89</v>
      </c>
      <c r="IU1554" s="2">
        <v>68.95999999999999</v>
      </c>
      <c r="IV1554" s="2">
        <v>69.51000000000001</v>
      </c>
      <c r="IW1554" s="2">
        <v>69.88</v>
      </c>
      <c r="IX1554" s="2">
        <v>70.29000000000001</v>
      </c>
      <c r="IY1554" s="2">
        <v>70.93000000000001</v>
      </c>
      <c r="IZ1554" s="2">
        <v>71.38</v>
      </c>
      <c r="JA1554" s="2">
        <v>72.18000000000001</v>
      </c>
      <c r="JB1554" s="2">
        <v>72.7</v>
      </c>
      <c r="JC1554" s="2">
        <v>73.86</v>
      </c>
      <c r="JD1554" s="2">
        <v>74.31</v>
      </c>
      <c r="JE1554" s="2">
        <v>75.01000000000001</v>
      </c>
      <c r="JF1554" s="2">
        <v>75.15000000000001</v>
      </c>
      <c r="JG1554" s="2">
        <v>75.81999999999999</v>
      </c>
      <c r="JH1554" s="2">
        <v>76.16</v>
      </c>
      <c r="JI1554" s="2">
        <v>76.33</v>
      </c>
      <c r="JJ1554" s="2">
        <v>76.54000000000001</v>
      </c>
      <c r="JK1554" s="2">
        <v>77.56999999999999</v>
      </c>
      <c r="JL1554" s="2">
        <v>78.20999999999999</v>
      </c>
      <c r="JM1554" s="2">
        <v>78.98</v>
      </c>
      <c r="JN1554" s="2">
        <v>79.22</v>
      </c>
      <c r="JO1554" s="2">
        <v>79.68000000000001</v>
      </c>
      <c r="JP1554" s="2">
        <v>79.88</v>
      </c>
      <c r="JQ1554" s="2">
        <v>80.26000000000001</v>
      </c>
      <c r="JR1554" s="2">
        <v>80.5</v>
      </c>
      <c r="JS1554" s="2">
        <v>81.09999999999999</v>
      </c>
      <c r="JT1554" s="2">
        <v>81.23999999999999</v>
      </c>
      <c r="JU1554" s="2">
        <v>81.27</v>
      </c>
      <c r="JV1554" s="2">
        <v>81.23</v>
      </c>
      <c r="KA1554" s="2">
        <v>81.47</v>
      </c>
      <c r="KB1554" s="2">
        <v>81.91</v>
      </c>
      <c r="KC1554" s="2">
        <v>82.04000000000001</v>
      </c>
      <c r="KD1554" s="2">
        <v>82.3</v>
      </c>
      <c r="KQ1554" s="2">
        <v>82.47</v>
      </c>
      <c r="KR1554" s="2">
        <v>82.56</v>
      </c>
      <c r="KS1554" s="2">
        <v>82.75</v>
      </c>
      <c r="KT1554" s="2">
        <v>83.34</v>
      </c>
      <c r="LG1554" s="2">
        <v>84.23999999999999</v>
      </c>
      <c r="LH1554" s="2">
        <v>84.45</v>
      </c>
      <c r="LI1554" s="2">
        <v>84.95</v>
      </c>
      <c r="LJ1554" s="2">
        <v>85.34</v>
      </c>
      <c r="LW1554" s="2">
        <v>85.67</v>
      </c>
      <c r="LX1554" s="2">
        <v>85.87</v>
      </c>
      <c r="LY1554" s="2">
        <v>86</v>
      </c>
      <c r="LZ1554" s="2">
        <v>86.23</v>
      </c>
      <c r="MM1554" s="2">
        <v>86.70999999999999</v>
      </c>
      <c r="MN1554" s="2">
        <v>86.81</v>
      </c>
      <c r="MO1554" s="2">
        <v>87</v>
      </c>
      <c r="MP1554" s="2">
        <v>87.06999999999999</v>
      </c>
      <c r="NC1554" s="2">
        <v>87.93000000000001</v>
      </c>
      <c r="ND1554" s="2">
        <v>88.59999999999999</v>
      </c>
      <c r="NE1554" s="2">
        <v>89.56999999999999</v>
      </c>
      <c r="NF1554" s="2">
        <v>90.45999999999999</v>
      </c>
      <c r="NS1554" s="2">
        <v>91.25</v>
      </c>
      <c r="NT1554" s="2">
        <v>91.75</v>
      </c>
      <c r="NU1554" s="2">
        <v>94.02</v>
      </c>
      <c r="NV1554" s="2">
        <v>94.15000000000001</v>
      </c>
      <c r="OI1554" s="2">
        <v>95.19</v>
      </c>
      <c r="OJ1554" s="2">
        <v>95.7</v>
      </c>
      <c r="OK1554" s="2">
        <v>96.58</v>
      </c>
      <c r="OL1554" s="2">
        <v>96.84999999999999</v>
      </c>
      <c r="OY1554" s="2">
        <v>97.23999999999999</v>
      </c>
      <c r="OZ1554" s="2">
        <v>97.69</v>
      </c>
      <c r="PA1554" s="2">
        <v>99.53</v>
      </c>
      <c r="PB1554" s="2">
        <v>100.2</v>
      </c>
      <c r="PJ1554" s="2">
        <v>100.76</v>
      </c>
      <c r="PK1554" s="2">
        <v>101.44</v>
      </c>
    </row>
    <row r="1555">
      <c r="A1555" t="inlineStr">
        <is>
          <t>A2326071A</t>
        </is>
      </c>
      <c r="B1555" t="inlineStr">
        <is>
          <t>Index Numbers ;  Transport ;  Australia ;</t>
        </is>
      </c>
      <c r="C1555" t="inlineStr">
        <is>
          <t>Quarter</t>
        </is>
      </c>
      <c r="D1555" t="inlineStr">
        <is>
          <t>Index Numbers</t>
        </is>
      </c>
      <c r="E1555" t="inlineStr">
        <is>
          <t>Original</t>
        </is>
      </c>
      <c r="F1555" t="inlineStr">
        <is>
          <t>6401018.xlsx</t>
        </is>
      </c>
      <c r="G1555" t="inlineStr">
        <is>
          <t>1972Q3</t>
        </is>
      </c>
      <c r="H1555" t="inlineStr">
        <is>
          <t>2026Q2</t>
        </is>
      </c>
      <c r="DA1555" s="2">
        <v>8.66</v>
      </c>
      <c r="DB1555" s="2">
        <v>8.710000000000001</v>
      </c>
      <c r="DC1555" s="2">
        <v>8.75</v>
      </c>
      <c r="DD1555" s="2">
        <v>8.800000000000001</v>
      </c>
      <c r="DE1555" s="2">
        <v>9.02</v>
      </c>
      <c r="DF1555" s="2">
        <v>9.279999999999999</v>
      </c>
      <c r="DG1555" s="2">
        <v>9.5</v>
      </c>
      <c r="DH1555" s="2">
        <v>9.720000000000001</v>
      </c>
      <c r="DI1555" s="2">
        <v>10.51</v>
      </c>
      <c r="DJ1555" s="2">
        <v>11</v>
      </c>
      <c r="DK1555" s="2">
        <v>11.48</v>
      </c>
      <c r="DL1555" s="2">
        <v>11.83</v>
      </c>
      <c r="DM1555" s="2">
        <v>12.45</v>
      </c>
      <c r="DN1555" s="2">
        <v>13.15</v>
      </c>
      <c r="DO1555" s="2">
        <v>13.5</v>
      </c>
      <c r="DP1555" s="2">
        <v>13.68</v>
      </c>
      <c r="DQ1555" s="2">
        <v>13.94</v>
      </c>
      <c r="DR1555" s="2">
        <v>14.16</v>
      </c>
      <c r="DS1555" s="2">
        <v>14.56</v>
      </c>
      <c r="DT1555" s="2">
        <v>14.82</v>
      </c>
      <c r="DU1555" s="2">
        <v>15.04</v>
      </c>
      <c r="DV1555" s="2">
        <v>15.48</v>
      </c>
      <c r="DW1555" s="2">
        <v>15.74</v>
      </c>
      <c r="DX1555" s="2">
        <v>15.92</v>
      </c>
      <c r="DY1555" s="2">
        <v>16.27</v>
      </c>
      <c r="DZ1555" s="2">
        <v>16.8</v>
      </c>
      <c r="EA1555" s="2">
        <v>17.2</v>
      </c>
      <c r="EB1555" s="2">
        <v>17.72</v>
      </c>
      <c r="EC1555" s="2">
        <v>18.43</v>
      </c>
      <c r="ED1555" s="2">
        <v>19.09</v>
      </c>
      <c r="EE1555" s="2">
        <v>19.18</v>
      </c>
      <c r="EF1555" s="2">
        <v>20.1</v>
      </c>
      <c r="EG1555" s="2">
        <v>20.14</v>
      </c>
      <c r="EH1555" s="2">
        <v>20.54</v>
      </c>
      <c r="EI1555" s="2">
        <v>21.29</v>
      </c>
      <c r="EJ1555" s="2">
        <v>22.12</v>
      </c>
      <c r="EK1555" s="2">
        <v>22.12</v>
      </c>
      <c r="EL1555" s="2">
        <v>23.13</v>
      </c>
      <c r="EM1555" s="2">
        <v>23.4</v>
      </c>
      <c r="EN1555" s="2">
        <v>24.1</v>
      </c>
      <c r="EO1555" s="2">
        <v>25.46</v>
      </c>
      <c r="EP1555" s="2">
        <v>25.82</v>
      </c>
      <c r="EQ1555" s="2">
        <v>26.56</v>
      </c>
      <c r="ER1555" s="2">
        <v>26.56</v>
      </c>
      <c r="ES1555" s="2">
        <v>27.53</v>
      </c>
      <c r="ET1555" s="2">
        <v>28.28</v>
      </c>
      <c r="EU1555" s="2">
        <v>28.5</v>
      </c>
      <c r="EV1555" s="2">
        <v>29.03</v>
      </c>
      <c r="EW1555" s="2">
        <v>29.38</v>
      </c>
      <c r="EX1555" s="2">
        <v>29.64</v>
      </c>
      <c r="EY1555" s="2">
        <v>30.13</v>
      </c>
      <c r="EZ1555" s="2">
        <v>31.49</v>
      </c>
      <c r="FA1555" s="2">
        <v>32.15</v>
      </c>
      <c r="FB1555" s="2">
        <v>32.33</v>
      </c>
      <c r="FC1555" s="2">
        <v>33.42</v>
      </c>
      <c r="FD1555" s="2">
        <v>32.9</v>
      </c>
      <c r="FE1555" s="2">
        <v>34.57</v>
      </c>
      <c r="FF1555" s="2">
        <v>36.15</v>
      </c>
      <c r="FG1555" s="2">
        <v>37.16</v>
      </c>
      <c r="FH1555" s="2">
        <v>37.52</v>
      </c>
      <c r="FI1555" s="2">
        <v>38.22</v>
      </c>
      <c r="FJ1555" s="2">
        <v>39.23</v>
      </c>
      <c r="FK1555" s="2">
        <v>39.67</v>
      </c>
      <c r="FL1555" s="2">
        <v>39.58</v>
      </c>
      <c r="FM1555" s="2">
        <v>40.15</v>
      </c>
      <c r="FN1555" s="2">
        <v>40.29</v>
      </c>
      <c r="FO1555" s="2">
        <v>40.68</v>
      </c>
      <c r="FP1555" s="2">
        <v>41.65</v>
      </c>
      <c r="FQ1555" s="2">
        <v>42.57</v>
      </c>
      <c r="FR1555" s="2">
        <v>43.58</v>
      </c>
      <c r="FS1555" s="2">
        <v>44.73</v>
      </c>
      <c r="FT1555" s="2">
        <v>44.99</v>
      </c>
      <c r="FU1555" s="2">
        <v>45.87</v>
      </c>
      <c r="FV1555" s="2">
        <v>48.95</v>
      </c>
      <c r="FW1555" s="2">
        <v>46.71</v>
      </c>
      <c r="FX1555" s="2">
        <v>46.44</v>
      </c>
      <c r="FY1555" s="2">
        <v>47.32</v>
      </c>
      <c r="FZ1555" s="2">
        <v>48.07</v>
      </c>
      <c r="GA1555" s="2">
        <v>48.07</v>
      </c>
      <c r="GB1555" s="2">
        <v>47.89</v>
      </c>
      <c r="GC1555" s="2">
        <v>48.77</v>
      </c>
      <c r="GD1555" s="2">
        <v>48.77</v>
      </c>
      <c r="GE1555" s="2">
        <v>48.95</v>
      </c>
      <c r="GF1555" s="2">
        <v>49.3</v>
      </c>
      <c r="GG1555" s="2">
        <v>49.79</v>
      </c>
      <c r="GH1555" s="2">
        <v>49.92</v>
      </c>
      <c r="GI1555" s="2">
        <v>49.79</v>
      </c>
      <c r="GJ1555" s="2">
        <v>50.67</v>
      </c>
      <c r="GK1555" s="2">
        <v>51.46</v>
      </c>
      <c r="GL1555" s="2">
        <v>51.37</v>
      </c>
      <c r="GM1555" s="2">
        <v>51.59</v>
      </c>
      <c r="GN1555" s="2">
        <v>52.25</v>
      </c>
      <c r="GO1555" s="2">
        <v>53.66</v>
      </c>
      <c r="GP1555" s="2">
        <v>53.79</v>
      </c>
      <c r="GQ1555" s="2">
        <v>53.83</v>
      </c>
      <c r="GR1555" s="2">
        <v>54.45</v>
      </c>
      <c r="GS1555" s="2">
        <v>54.27</v>
      </c>
      <c r="GT1555" s="2">
        <v>54.76</v>
      </c>
      <c r="GU1555" s="2">
        <v>55.06</v>
      </c>
      <c r="GV1555" s="2">
        <v>54.49</v>
      </c>
      <c r="GW1555" s="2">
        <v>54.71</v>
      </c>
      <c r="GX1555" s="2">
        <v>54.54</v>
      </c>
      <c r="GY1555" s="2">
        <v>54.05</v>
      </c>
      <c r="GZ1555" s="2">
        <v>54.01</v>
      </c>
      <c r="HA1555" s="2">
        <v>53.78</v>
      </c>
      <c r="HB1555" s="2">
        <v>53.63</v>
      </c>
      <c r="HC1555" s="2">
        <v>53.31</v>
      </c>
      <c r="HD1555" s="2">
        <v>54.04</v>
      </c>
      <c r="HE1555" s="2">
        <v>55.82</v>
      </c>
      <c r="HF1555" s="2">
        <v>55.58</v>
      </c>
      <c r="HG1555" s="2">
        <v>57.2</v>
      </c>
      <c r="HH1555" s="2">
        <v>58.09</v>
      </c>
      <c r="HI1555" s="2">
        <v>59.63</v>
      </c>
      <c r="HJ1555" s="2">
        <v>59.98</v>
      </c>
      <c r="HK1555" s="2">
        <v>60.12</v>
      </c>
      <c r="HL1555" s="2">
        <v>61.31</v>
      </c>
      <c r="HM1555" s="2">
        <v>60.24</v>
      </c>
      <c r="HN1555" s="2">
        <v>59.87</v>
      </c>
      <c r="HO1555" s="2">
        <v>60.15</v>
      </c>
      <c r="HP1555" s="2">
        <v>61.26</v>
      </c>
      <c r="HQ1555" s="2">
        <v>61.06</v>
      </c>
      <c r="HR1555" s="2">
        <v>61.71</v>
      </c>
      <c r="HS1555" s="2">
        <v>63.2</v>
      </c>
      <c r="HT1555" s="2">
        <v>61.32</v>
      </c>
      <c r="HU1555" s="2">
        <v>62.14</v>
      </c>
      <c r="HV1555" s="2">
        <v>61.89</v>
      </c>
      <c r="HW1555" s="2">
        <v>62.31</v>
      </c>
      <c r="HX1555" s="2">
        <v>63.37</v>
      </c>
      <c r="HY1555" s="2">
        <v>63.86</v>
      </c>
      <c r="HZ1555" s="2">
        <v>64.73999999999999</v>
      </c>
      <c r="IA1555" s="2">
        <v>64.14</v>
      </c>
      <c r="IB1555" s="2">
        <v>65.45999999999999</v>
      </c>
      <c r="IC1555" s="2">
        <v>67.59999999999999</v>
      </c>
      <c r="ID1555" s="2">
        <v>67.29000000000001</v>
      </c>
      <c r="IE1555" s="2">
        <v>68.17</v>
      </c>
      <c r="IF1555" s="2">
        <v>70.47</v>
      </c>
      <c r="IG1555" s="2">
        <v>70.72</v>
      </c>
      <c r="IH1555" s="2">
        <v>68.06</v>
      </c>
      <c r="II1555" s="2">
        <v>68.5</v>
      </c>
      <c r="IJ1555" s="2">
        <v>70.59999999999999</v>
      </c>
      <c r="IK1555" s="2">
        <v>70.12</v>
      </c>
      <c r="IL1555" s="2">
        <v>71.81</v>
      </c>
      <c r="IM1555" s="2">
        <v>73.2</v>
      </c>
      <c r="IN1555" s="2">
        <v>75.45999999999999</v>
      </c>
      <c r="IO1555" s="2">
        <v>76.23</v>
      </c>
      <c r="IP1555" s="2">
        <v>70.95</v>
      </c>
      <c r="IQ1555" s="2">
        <v>69.83</v>
      </c>
      <c r="IR1555" s="2">
        <v>70.95999999999999</v>
      </c>
      <c r="IS1555" s="2">
        <v>72.34999999999999</v>
      </c>
      <c r="IT1555" s="2">
        <v>71.77</v>
      </c>
      <c r="IU1555" s="2">
        <v>72.7</v>
      </c>
      <c r="IV1555" s="2">
        <v>73.23</v>
      </c>
      <c r="IW1555" s="2">
        <v>72.78</v>
      </c>
      <c r="IX1555" s="2">
        <v>72.98</v>
      </c>
      <c r="IY1555" s="2">
        <v>74.90000000000001</v>
      </c>
      <c r="IZ1555" s="2">
        <v>75.8</v>
      </c>
      <c r="JA1555" s="2">
        <v>75.90000000000001</v>
      </c>
      <c r="JB1555" s="2">
        <v>75.91</v>
      </c>
      <c r="JC1555" s="2">
        <v>76.73</v>
      </c>
      <c r="JD1555" s="2">
        <v>77.45999999999999</v>
      </c>
      <c r="JE1555" s="2">
        <v>76.86</v>
      </c>
      <c r="JF1555" s="2">
        <v>77.41</v>
      </c>
      <c r="JG1555" s="2">
        <v>77.79000000000001</v>
      </c>
      <c r="JH1555" s="2">
        <v>77.13</v>
      </c>
      <c r="JI1555" s="2">
        <v>78.97</v>
      </c>
      <c r="JJ1555" s="2">
        <v>78.86</v>
      </c>
      <c r="JK1555" s="2">
        <v>79.73</v>
      </c>
      <c r="JL1555" s="2">
        <v>79.16</v>
      </c>
      <c r="JM1555" s="2">
        <v>79.11</v>
      </c>
      <c r="JN1555" s="2">
        <v>77.34999999999999</v>
      </c>
      <c r="JO1555" s="2">
        <v>74.76000000000001</v>
      </c>
      <c r="JP1555" s="2">
        <v>77.23</v>
      </c>
      <c r="JQ1555" s="2">
        <v>77.33</v>
      </c>
      <c r="JR1555" s="2">
        <v>76.29000000000001</v>
      </c>
      <c r="JS1555" s="2">
        <v>74.34</v>
      </c>
      <c r="JT1555" s="2">
        <v>75.15000000000001</v>
      </c>
      <c r="JU1555" s="2">
        <v>74.70999999999999</v>
      </c>
      <c r="JV1555" s="2">
        <v>76.01000000000001</v>
      </c>
      <c r="KA1555" s="2">
        <v>77.18000000000001</v>
      </c>
      <c r="KB1555" s="2">
        <v>76.73999999999999</v>
      </c>
      <c r="KC1555" s="2">
        <v>76.69</v>
      </c>
      <c r="KD1555" s="2">
        <v>78.56</v>
      </c>
      <c r="KQ1555" s="2">
        <v>79.44</v>
      </c>
      <c r="KR1555" s="2">
        <v>80.68000000000001</v>
      </c>
      <c r="KS1555" s="2">
        <v>81.29000000000001</v>
      </c>
      <c r="KT1555" s="2">
        <v>80.81</v>
      </c>
      <c r="LG1555" s="2">
        <v>79.37</v>
      </c>
      <c r="LH1555" s="2">
        <v>82.08</v>
      </c>
      <c r="LI1555" s="2">
        <v>81.88</v>
      </c>
      <c r="LJ1555" s="2">
        <v>83.08</v>
      </c>
      <c r="LW1555" s="2">
        <v>81.48999999999999</v>
      </c>
      <c r="LX1555" s="2">
        <v>75.98999999999999</v>
      </c>
      <c r="LY1555" s="2">
        <v>78.53</v>
      </c>
      <c r="LZ1555" s="2">
        <v>79.23</v>
      </c>
      <c r="MM1555" s="2">
        <v>81.75</v>
      </c>
      <c r="MN1555" s="2">
        <v>84.09999999999999</v>
      </c>
      <c r="MO1555" s="2">
        <v>86.72</v>
      </c>
      <c r="MP1555" s="2">
        <v>89.20999999999999</v>
      </c>
      <c r="NC1555" s="2">
        <v>92.95</v>
      </c>
      <c r="ND1555" s="2">
        <v>95.08</v>
      </c>
      <c r="NE1555" s="2">
        <v>94.67</v>
      </c>
      <c r="NF1555" s="2">
        <v>96.28</v>
      </c>
      <c r="NS1555" s="2">
        <v>96.94</v>
      </c>
      <c r="NT1555" s="2">
        <v>96.83</v>
      </c>
      <c r="NU1555" s="2">
        <v>99.95</v>
      </c>
      <c r="NV1555" s="2">
        <v>99.84</v>
      </c>
      <c r="OI1555" s="2">
        <v>100.38</v>
      </c>
      <c r="OJ1555" s="2">
        <v>101.26</v>
      </c>
      <c r="OK1555" s="2">
        <v>99.05</v>
      </c>
      <c r="OL1555" s="2">
        <v>98.40000000000001</v>
      </c>
      <c r="OY1555" s="2">
        <v>99.34</v>
      </c>
      <c r="OZ1555" s="2">
        <v>98.67</v>
      </c>
      <c r="PA1555" s="2">
        <v>99.83</v>
      </c>
      <c r="PB1555" s="2">
        <v>100.49</v>
      </c>
      <c r="PJ1555" s="2">
        <v>102.53</v>
      </c>
      <c r="PK1555" s="2">
        <v>101.81</v>
      </c>
    </row>
    <row r="1556">
      <c r="A1556" t="inlineStr">
        <is>
          <t>A2326656J</t>
        </is>
      </c>
      <c r="B1556" t="inlineStr">
        <is>
          <t>Index Numbers ;  Private motoring ;  Australia ;</t>
        </is>
      </c>
      <c r="C1556" t="inlineStr">
        <is>
          <t>Quarter</t>
        </is>
      </c>
      <c r="D1556" t="inlineStr">
        <is>
          <t>Index Numbers</t>
        </is>
      </c>
      <c r="E1556" t="inlineStr">
        <is>
          <t>Original</t>
        </is>
      </c>
      <c r="F1556" t="inlineStr">
        <is>
          <t>6401018.xlsx</t>
        </is>
      </c>
      <c r="G1556" t="inlineStr">
        <is>
          <t>1972Q3</t>
        </is>
      </c>
      <c r="H1556" t="inlineStr">
        <is>
          <t>2026Q2</t>
        </is>
      </c>
      <c r="DA1556" s="2">
        <v>8.81</v>
      </c>
      <c r="DB1556" s="2">
        <v>8.81</v>
      </c>
      <c r="DC1556" s="2">
        <v>8.85</v>
      </c>
      <c r="DD1556" s="2">
        <v>8.9</v>
      </c>
      <c r="DE1556" s="2">
        <v>9.130000000000001</v>
      </c>
      <c r="DF1556" s="2">
        <v>9.49</v>
      </c>
      <c r="DG1556" s="2">
        <v>9.710000000000001</v>
      </c>
      <c r="DH1556" s="2">
        <v>9.98</v>
      </c>
      <c r="DI1556" s="2">
        <v>10.8</v>
      </c>
      <c r="DJ1556" s="2">
        <v>11.29</v>
      </c>
      <c r="DK1556" s="2">
        <v>11.84</v>
      </c>
      <c r="DL1556" s="2">
        <v>12.24</v>
      </c>
      <c r="DM1556" s="2">
        <v>12.83</v>
      </c>
      <c r="DN1556" s="2">
        <v>13.6</v>
      </c>
      <c r="DO1556" s="2">
        <v>13.96</v>
      </c>
      <c r="DP1556" s="2">
        <v>14.14</v>
      </c>
      <c r="DQ1556" s="2">
        <v>14.5</v>
      </c>
      <c r="DR1556" s="2">
        <v>14.73</v>
      </c>
      <c r="DS1556" s="2">
        <v>15.22</v>
      </c>
      <c r="DT1556" s="2">
        <v>15.49</v>
      </c>
      <c r="DU1556" s="2">
        <v>15.77</v>
      </c>
      <c r="DV1556" s="2">
        <v>16.26</v>
      </c>
      <c r="DW1556" s="2">
        <v>16.44</v>
      </c>
      <c r="DX1556" s="2">
        <v>16.67</v>
      </c>
      <c r="DY1556" s="2">
        <v>17.03</v>
      </c>
      <c r="DZ1556" s="2">
        <v>17.66</v>
      </c>
      <c r="EA1556" s="2">
        <v>18.02</v>
      </c>
      <c r="EB1556" s="2">
        <v>18.66</v>
      </c>
      <c r="EC1556" s="2">
        <v>19.33</v>
      </c>
      <c r="ED1556" s="2">
        <v>20.01</v>
      </c>
      <c r="EE1556" s="2">
        <v>20.01</v>
      </c>
      <c r="EF1556" s="2">
        <v>21.1</v>
      </c>
      <c r="EG1556" s="2">
        <v>21.01</v>
      </c>
      <c r="EH1556" s="2">
        <v>21.28</v>
      </c>
      <c r="EI1556" s="2">
        <v>22.09</v>
      </c>
      <c r="EJ1556" s="2">
        <v>23.04</v>
      </c>
      <c r="EK1556" s="2">
        <v>22.9</v>
      </c>
      <c r="EL1556" s="2">
        <v>23.85</v>
      </c>
      <c r="EM1556" s="2">
        <v>24.12</v>
      </c>
      <c r="EN1556" s="2">
        <v>24.94</v>
      </c>
      <c r="EO1556" s="2">
        <v>26.34</v>
      </c>
      <c r="EP1556" s="2">
        <v>26.61</v>
      </c>
      <c r="EQ1556" s="2">
        <v>27.47</v>
      </c>
      <c r="ER1556" s="2">
        <v>27.47</v>
      </c>
      <c r="ES1556" s="2">
        <v>28.46</v>
      </c>
      <c r="ET1556" s="2">
        <v>29.09</v>
      </c>
      <c r="EU1556" s="2">
        <v>29.27</v>
      </c>
      <c r="EV1556" s="2">
        <v>29.91</v>
      </c>
      <c r="EW1556" s="2">
        <v>30.22</v>
      </c>
      <c r="EX1556" s="2">
        <v>30.45</v>
      </c>
      <c r="EY1556" s="2">
        <v>31.03</v>
      </c>
      <c r="EZ1556" s="2">
        <v>32.48</v>
      </c>
      <c r="FA1556" s="2">
        <v>33.16</v>
      </c>
      <c r="FB1556" s="2">
        <v>33.29</v>
      </c>
      <c r="FC1556" s="2">
        <v>34.51</v>
      </c>
      <c r="FD1556" s="2">
        <v>33.88</v>
      </c>
      <c r="FE1556" s="2">
        <v>35.55</v>
      </c>
      <c r="FF1556" s="2">
        <v>37.27</v>
      </c>
      <c r="FG1556" s="2">
        <v>38.4</v>
      </c>
      <c r="FH1556" s="2">
        <v>38.71</v>
      </c>
      <c r="FI1556" s="2">
        <v>39.44</v>
      </c>
      <c r="FJ1556" s="2">
        <v>40.52</v>
      </c>
      <c r="FK1556" s="2">
        <v>40.93</v>
      </c>
      <c r="FL1556" s="2">
        <v>40.79</v>
      </c>
      <c r="FM1556" s="2">
        <v>41.29</v>
      </c>
      <c r="FN1556" s="2">
        <v>41.38</v>
      </c>
      <c r="FO1556" s="2">
        <v>41.83</v>
      </c>
      <c r="FP1556" s="2">
        <v>42.87</v>
      </c>
      <c r="FQ1556" s="2">
        <v>43.73</v>
      </c>
      <c r="FR1556" s="2">
        <v>44.77</v>
      </c>
      <c r="FS1556" s="2">
        <v>45.99</v>
      </c>
      <c r="FT1556" s="2">
        <v>46.26</v>
      </c>
      <c r="FU1556" s="2">
        <v>47.03</v>
      </c>
      <c r="FV1556" s="2">
        <v>50.28</v>
      </c>
      <c r="FW1556" s="2">
        <v>47.79</v>
      </c>
      <c r="FX1556" s="2">
        <v>47.43</v>
      </c>
      <c r="FY1556" s="2">
        <v>48.29</v>
      </c>
      <c r="FZ1556" s="2">
        <v>49.1</v>
      </c>
      <c r="GA1556" s="2">
        <v>49.06</v>
      </c>
      <c r="GB1556" s="2">
        <v>48.83</v>
      </c>
      <c r="GC1556" s="2">
        <v>49.74</v>
      </c>
      <c r="GD1556" s="2">
        <v>49.74</v>
      </c>
      <c r="GE1556" s="2">
        <v>49.83</v>
      </c>
      <c r="GF1556" s="2">
        <v>50.19</v>
      </c>
      <c r="GG1556" s="2">
        <v>50.64</v>
      </c>
      <c r="GH1556" s="2">
        <v>50.82</v>
      </c>
      <c r="GI1556" s="2">
        <v>50.6</v>
      </c>
      <c r="GJ1556" s="2">
        <v>51.59</v>
      </c>
      <c r="GK1556" s="2">
        <v>52.36</v>
      </c>
      <c r="GL1556" s="2">
        <v>52.22</v>
      </c>
      <c r="GM1556" s="2">
        <v>52.45</v>
      </c>
      <c r="GN1556" s="2">
        <v>53.17</v>
      </c>
      <c r="GO1556" s="2">
        <v>54.62</v>
      </c>
      <c r="GP1556" s="2">
        <v>54.71</v>
      </c>
      <c r="GQ1556" s="2">
        <v>54.8</v>
      </c>
      <c r="GR1556" s="2">
        <v>55.47</v>
      </c>
      <c r="GS1556" s="2">
        <v>55.07</v>
      </c>
      <c r="GT1556" s="2">
        <v>55.61</v>
      </c>
      <c r="GU1556" s="2">
        <v>55.88</v>
      </c>
      <c r="GV1556" s="2">
        <v>55.2</v>
      </c>
      <c r="GW1556" s="2">
        <v>55.38</v>
      </c>
      <c r="GX1556" s="2">
        <v>55.2</v>
      </c>
      <c r="GY1556" s="2">
        <v>54.62</v>
      </c>
      <c r="GZ1556" s="2">
        <v>54.62</v>
      </c>
      <c r="HA1556" s="2">
        <v>54.29</v>
      </c>
      <c r="HB1556" s="2">
        <v>54.13</v>
      </c>
      <c r="HC1556" s="2">
        <v>53.76</v>
      </c>
      <c r="HD1556" s="2">
        <v>54.54</v>
      </c>
      <c r="HE1556" s="2">
        <v>56.37</v>
      </c>
      <c r="HF1556" s="2">
        <v>56.04</v>
      </c>
      <c r="HG1556" s="2">
        <v>57.77</v>
      </c>
      <c r="HH1556" s="2">
        <v>58.73</v>
      </c>
      <c r="HI1556" s="2">
        <v>60.1</v>
      </c>
      <c r="HJ1556" s="2">
        <v>60.43</v>
      </c>
      <c r="HK1556" s="2">
        <v>60.52</v>
      </c>
      <c r="HL1556" s="2">
        <v>61.8</v>
      </c>
      <c r="HM1556" s="2">
        <v>60.56</v>
      </c>
      <c r="HN1556" s="2">
        <v>60.16</v>
      </c>
      <c r="HO1556" s="2">
        <v>60.44</v>
      </c>
      <c r="HP1556" s="2">
        <v>61.63</v>
      </c>
      <c r="HQ1556" s="2">
        <v>61.38</v>
      </c>
      <c r="HR1556" s="2">
        <v>62.08</v>
      </c>
      <c r="HS1556" s="2">
        <v>63.64</v>
      </c>
      <c r="HT1556" s="2">
        <v>61.61</v>
      </c>
      <c r="HU1556" s="2">
        <v>62.37</v>
      </c>
      <c r="HV1556" s="2">
        <v>62.09</v>
      </c>
      <c r="HW1556" s="2">
        <v>62.47</v>
      </c>
      <c r="HX1556" s="2">
        <v>63.61</v>
      </c>
      <c r="HY1556" s="2">
        <v>64.14</v>
      </c>
      <c r="HZ1556" s="2">
        <v>65.05</v>
      </c>
      <c r="IA1556" s="2">
        <v>64.36</v>
      </c>
      <c r="IB1556" s="2">
        <v>65.77</v>
      </c>
      <c r="IC1556" s="2">
        <v>68.02</v>
      </c>
      <c r="ID1556" s="2">
        <v>67.64</v>
      </c>
      <c r="IE1556" s="2">
        <v>68.53</v>
      </c>
      <c r="IF1556" s="2">
        <v>70.98</v>
      </c>
      <c r="IG1556" s="2">
        <v>71.15000000000001</v>
      </c>
      <c r="IH1556" s="2">
        <v>68.31</v>
      </c>
      <c r="II1556" s="2">
        <v>68.76000000000001</v>
      </c>
      <c r="IJ1556" s="2">
        <v>70.97</v>
      </c>
      <c r="IK1556" s="2">
        <v>70.39</v>
      </c>
      <c r="IL1556" s="2">
        <v>72.12</v>
      </c>
      <c r="IM1556" s="2">
        <v>73.54000000000001</v>
      </c>
      <c r="IN1556" s="2">
        <v>75.94</v>
      </c>
      <c r="IO1556" s="2">
        <v>76.7</v>
      </c>
      <c r="IP1556" s="2">
        <v>71.06</v>
      </c>
      <c r="IQ1556" s="2">
        <v>69.73</v>
      </c>
      <c r="IR1556" s="2">
        <v>70.93000000000001</v>
      </c>
      <c r="IS1556" s="2">
        <v>72.37</v>
      </c>
      <c r="IT1556" s="2">
        <v>71.73999999999999</v>
      </c>
      <c r="IU1556" s="2">
        <v>72.59</v>
      </c>
      <c r="IV1556" s="2">
        <v>73.22</v>
      </c>
      <c r="IW1556" s="2">
        <v>72.70999999999999</v>
      </c>
      <c r="IX1556" s="2">
        <v>72.92</v>
      </c>
      <c r="IY1556" s="2">
        <v>74.92</v>
      </c>
      <c r="IZ1556" s="2">
        <v>75.83</v>
      </c>
      <c r="JA1556" s="2">
        <v>75.90000000000001</v>
      </c>
      <c r="JB1556" s="2">
        <v>75.91</v>
      </c>
      <c r="JC1556" s="2">
        <v>76.55</v>
      </c>
      <c r="JD1556" s="2">
        <v>77.33</v>
      </c>
      <c r="JE1556" s="2">
        <v>76.63</v>
      </c>
      <c r="JF1556" s="2">
        <v>77.22</v>
      </c>
      <c r="JG1556" s="2">
        <v>77.45</v>
      </c>
      <c r="JH1556" s="2">
        <v>76.73</v>
      </c>
      <c r="JI1556" s="2">
        <v>78.68000000000001</v>
      </c>
      <c r="JJ1556" s="2">
        <v>78.56</v>
      </c>
      <c r="JK1556" s="2">
        <v>79.37</v>
      </c>
      <c r="JL1556" s="2">
        <v>78.76000000000001</v>
      </c>
      <c r="JM1556" s="2">
        <v>78.65000000000001</v>
      </c>
      <c r="JN1556" s="2">
        <v>76.87</v>
      </c>
      <c r="JO1556" s="2">
        <v>74.3</v>
      </c>
      <c r="JP1556" s="2">
        <v>76.93000000000001</v>
      </c>
      <c r="JQ1556" s="2">
        <v>77.02</v>
      </c>
      <c r="JR1556" s="2">
        <v>75.93000000000001</v>
      </c>
      <c r="JS1556" s="2">
        <v>73.83</v>
      </c>
      <c r="JT1556" s="2">
        <v>74.7</v>
      </c>
      <c r="JU1556" s="2">
        <v>74.22</v>
      </c>
      <c r="JV1556" s="2">
        <v>75.51000000000001</v>
      </c>
      <c r="KA1556" s="2">
        <v>76.8</v>
      </c>
      <c r="KB1556" s="2">
        <v>76.31999999999999</v>
      </c>
      <c r="KC1556" s="2">
        <v>76.2</v>
      </c>
      <c r="KD1556" s="2">
        <v>78.2</v>
      </c>
      <c r="KQ1556" s="2">
        <v>79.04000000000001</v>
      </c>
      <c r="KR1556" s="2">
        <v>80.38</v>
      </c>
      <c r="KS1556" s="2">
        <v>80.97</v>
      </c>
      <c r="KT1556" s="2">
        <v>80.45999999999999</v>
      </c>
      <c r="LG1556" s="2">
        <v>78.86</v>
      </c>
      <c r="LH1556" s="2">
        <v>81.76000000000001</v>
      </c>
      <c r="LI1556" s="2">
        <v>81.48</v>
      </c>
      <c r="LJ1556" s="2">
        <v>82.75</v>
      </c>
      <c r="LW1556" s="2">
        <v>81.04000000000001</v>
      </c>
      <c r="LX1556" s="2">
        <v>75.3</v>
      </c>
      <c r="LY1556" s="2">
        <v>78.19</v>
      </c>
      <c r="LZ1556" s="2">
        <v>78.75</v>
      </c>
      <c r="MM1556" s="2">
        <v>81.38</v>
      </c>
      <c r="MN1556" s="2">
        <v>83.81999999999999</v>
      </c>
      <c r="MO1556" s="2">
        <v>86.54000000000001</v>
      </c>
      <c r="MP1556" s="2">
        <v>89.11</v>
      </c>
      <c r="NC1556" s="2">
        <v>92.97</v>
      </c>
      <c r="ND1556" s="2">
        <v>95.3</v>
      </c>
      <c r="NE1556" s="2">
        <v>94.68000000000001</v>
      </c>
      <c r="NF1556" s="2">
        <v>96.37</v>
      </c>
      <c r="NS1556" s="2">
        <v>96.98</v>
      </c>
      <c r="NT1556" s="2">
        <v>96.87</v>
      </c>
      <c r="NU1556" s="2">
        <v>100</v>
      </c>
      <c r="NV1556" s="2">
        <v>99.84</v>
      </c>
      <c r="OI1556" s="2">
        <v>100.39</v>
      </c>
      <c r="OJ1556" s="2">
        <v>101.27</v>
      </c>
      <c r="OK1556" s="2">
        <v>99.06</v>
      </c>
      <c r="OL1556" s="2">
        <v>98.48</v>
      </c>
      <c r="OY1556" s="2">
        <v>99.43000000000001</v>
      </c>
      <c r="OZ1556" s="2">
        <v>98.68000000000001</v>
      </c>
      <c r="PA1556" s="2">
        <v>99.83</v>
      </c>
      <c r="PB1556" s="2">
        <v>100.57</v>
      </c>
      <c r="PJ1556" s="2">
        <v>102.76</v>
      </c>
      <c r="PK1556" s="2">
        <v>102.48</v>
      </c>
    </row>
    <row r="1557">
      <c r="A1557" t="inlineStr">
        <is>
          <t>A2328591T</t>
        </is>
      </c>
      <c r="B1557" t="inlineStr">
        <is>
          <t>Index Numbers ;  Motor vehicles ;  Australia ;</t>
        </is>
      </c>
      <c r="C1557" t="inlineStr">
        <is>
          <t>Quarter</t>
        </is>
      </c>
      <c r="D1557" t="inlineStr">
        <is>
          <t>Index Numbers</t>
        </is>
      </c>
      <c r="E1557" t="inlineStr">
        <is>
          <t>Original</t>
        </is>
      </c>
      <c r="F1557" t="inlineStr">
        <is>
          <t>6401018.xlsx</t>
        </is>
      </c>
      <c r="G1557" t="inlineStr">
        <is>
          <t>1972Q3</t>
        </is>
      </c>
      <c r="H1557" t="inlineStr">
        <is>
          <t>2026Q2</t>
        </is>
      </c>
      <c r="DA1557" s="2">
        <v>19.86</v>
      </c>
      <c r="DB1557" s="2">
        <v>19.86</v>
      </c>
      <c r="DC1557" s="2">
        <v>19.86</v>
      </c>
      <c r="DD1557" s="2">
        <v>19.95</v>
      </c>
      <c r="DE1557" s="2">
        <v>20.34</v>
      </c>
      <c r="DF1557" s="2">
        <v>20.82</v>
      </c>
      <c r="DG1557" s="2">
        <v>21.5</v>
      </c>
      <c r="DH1557" s="2">
        <v>21.69</v>
      </c>
      <c r="DI1557" s="2">
        <v>23.33</v>
      </c>
      <c r="DJ1557" s="2">
        <v>25.16</v>
      </c>
      <c r="DK1557" s="2">
        <v>24.2</v>
      </c>
      <c r="DL1557" s="2">
        <v>25.45</v>
      </c>
      <c r="DM1557" s="2">
        <v>27.47</v>
      </c>
      <c r="DN1557" s="2">
        <v>29.59</v>
      </c>
      <c r="DO1557" s="2">
        <v>30.27</v>
      </c>
      <c r="DP1557" s="2">
        <v>31.14</v>
      </c>
      <c r="DQ1557" s="2">
        <v>32</v>
      </c>
      <c r="DR1557" s="2">
        <v>32.68</v>
      </c>
      <c r="DS1557" s="2">
        <v>33.55</v>
      </c>
      <c r="DT1557" s="2">
        <v>34.51</v>
      </c>
      <c r="DU1557" s="2">
        <v>35.28</v>
      </c>
      <c r="DV1557" s="2">
        <v>35.76</v>
      </c>
      <c r="DW1557" s="2">
        <v>36.73</v>
      </c>
      <c r="DX1557" s="2">
        <v>37.6</v>
      </c>
      <c r="DY1557" s="2">
        <v>38.85</v>
      </c>
      <c r="DZ1557" s="2">
        <v>37.6</v>
      </c>
      <c r="EA1557" s="2">
        <v>38.46</v>
      </c>
      <c r="EB1557" s="2">
        <v>38.85</v>
      </c>
      <c r="EC1557" s="2">
        <v>39.62</v>
      </c>
      <c r="ED1557" s="2">
        <v>40.1</v>
      </c>
      <c r="EE1557" s="2">
        <v>40.87</v>
      </c>
      <c r="EF1557" s="2">
        <v>41.16</v>
      </c>
      <c r="EG1557" s="2">
        <v>41.16</v>
      </c>
      <c r="EH1557" s="2">
        <v>41.93</v>
      </c>
      <c r="EI1557" s="2">
        <v>42.9</v>
      </c>
      <c r="EJ1557" s="2">
        <v>43.67</v>
      </c>
      <c r="EK1557" s="2">
        <v>44.73</v>
      </c>
      <c r="EL1557" s="2">
        <v>46.56</v>
      </c>
      <c r="EM1557" s="2">
        <v>47.52</v>
      </c>
      <c r="EN1557" s="2">
        <v>48.01</v>
      </c>
      <c r="EO1557" s="2">
        <v>49.26</v>
      </c>
      <c r="EP1557" s="2">
        <v>49.55</v>
      </c>
      <c r="EQ1557" s="2">
        <v>51.09</v>
      </c>
      <c r="ER1557" s="2">
        <v>52.83</v>
      </c>
      <c r="ES1557" s="2">
        <v>53.5</v>
      </c>
      <c r="ET1557" s="2">
        <v>53.98</v>
      </c>
      <c r="EU1557" s="2">
        <v>54.46</v>
      </c>
      <c r="EV1557" s="2">
        <v>55.24</v>
      </c>
      <c r="EW1557" s="2">
        <v>55.81</v>
      </c>
      <c r="EX1557" s="2">
        <v>56.68</v>
      </c>
      <c r="EY1557" s="2">
        <v>58.32</v>
      </c>
      <c r="EZ1557" s="2">
        <v>60.15</v>
      </c>
      <c r="FA1557" s="2">
        <v>61.5</v>
      </c>
      <c r="FB1557" s="2">
        <v>63.33</v>
      </c>
      <c r="FC1557" s="2">
        <v>66.42</v>
      </c>
      <c r="FD1557" s="2">
        <v>68.15000000000001</v>
      </c>
      <c r="FE1557" s="2">
        <v>71.62</v>
      </c>
      <c r="FF1557" s="2">
        <v>76.44</v>
      </c>
      <c r="FG1557" s="2">
        <v>78.84999999999999</v>
      </c>
      <c r="FH1557" s="2">
        <v>80.40000000000001</v>
      </c>
      <c r="FI1557" s="2">
        <v>82.31999999999999</v>
      </c>
      <c r="FJ1557" s="2">
        <v>84.54000000000001</v>
      </c>
      <c r="FK1557" s="2">
        <v>86.28</v>
      </c>
      <c r="FL1557" s="2">
        <v>88.40000000000001</v>
      </c>
      <c r="FM1557" s="2">
        <v>90.61</v>
      </c>
      <c r="FN1557" s="2">
        <v>91.77</v>
      </c>
      <c r="FO1557" s="2">
        <v>93.12</v>
      </c>
      <c r="FP1557" s="2">
        <v>93.7</v>
      </c>
      <c r="FQ1557" s="2">
        <v>94.76000000000001</v>
      </c>
      <c r="FR1557" s="2">
        <v>96.40000000000001</v>
      </c>
      <c r="FS1557" s="2">
        <v>97.36</v>
      </c>
      <c r="FT1557" s="2">
        <v>97.17</v>
      </c>
      <c r="FU1557" s="2">
        <v>95.43000000000001</v>
      </c>
      <c r="FV1557" s="2">
        <v>96.88</v>
      </c>
      <c r="FW1557" s="2">
        <v>96.20999999999999</v>
      </c>
      <c r="FX1557" s="2">
        <v>98.13</v>
      </c>
      <c r="FY1557" s="2">
        <v>99.58</v>
      </c>
      <c r="FZ1557" s="2">
        <v>101.51</v>
      </c>
      <c r="GA1557" s="2">
        <v>101.99</v>
      </c>
      <c r="GB1557" s="2">
        <v>100.83</v>
      </c>
      <c r="GC1557" s="2">
        <v>101.99</v>
      </c>
      <c r="GD1557" s="2">
        <v>102.66</v>
      </c>
      <c r="GE1557" s="2">
        <v>105.36</v>
      </c>
      <c r="GF1557" s="2">
        <v>107.19</v>
      </c>
      <c r="GG1557" s="2">
        <v>109.41</v>
      </c>
      <c r="GH1557" s="2">
        <v>108.45</v>
      </c>
      <c r="GI1557" s="2">
        <v>109.99</v>
      </c>
      <c r="GJ1557" s="2">
        <v>110.18</v>
      </c>
      <c r="GK1557" s="2">
        <v>112.21</v>
      </c>
      <c r="GL1557" s="2">
        <v>113.46</v>
      </c>
      <c r="GM1557" s="2">
        <v>113.07</v>
      </c>
      <c r="GN1557" s="2">
        <v>115.58</v>
      </c>
      <c r="GO1557" s="2">
        <v>117.41</v>
      </c>
      <c r="GP1557" s="2">
        <v>117.51</v>
      </c>
      <c r="GQ1557" s="2">
        <v>117.32</v>
      </c>
      <c r="GR1557" s="2">
        <v>117.32</v>
      </c>
      <c r="GS1557" s="2">
        <v>115.1</v>
      </c>
      <c r="GT1557" s="2">
        <v>114.33</v>
      </c>
      <c r="GU1557" s="2">
        <v>112.11</v>
      </c>
      <c r="GV1557" s="2">
        <v>108.83</v>
      </c>
      <c r="GW1557" s="2">
        <v>109.99</v>
      </c>
      <c r="GX1557" s="2">
        <v>106.52</v>
      </c>
      <c r="GY1557" s="2">
        <v>107.39</v>
      </c>
      <c r="GZ1557" s="2">
        <v>105.17</v>
      </c>
      <c r="HA1557" s="2">
        <v>103.03</v>
      </c>
      <c r="HB1557" s="2">
        <v>102.18</v>
      </c>
      <c r="HC1557" s="2">
        <v>101.69</v>
      </c>
      <c r="HD1557" s="2">
        <v>101.3</v>
      </c>
      <c r="HE1557" s="2">
        <v>101.97</v>
      </c>
      <c r="HF1557" s="2">
        <v>100.34</v>
      </c>
      <c r="HG1557" s="2">
        <v>100.81</v>
      </c>
      <c r="HH1557" s="2">
        <v>100.81</v>
      </c>
      <c r="HI1557" s="2">
        <v>98.31999999999999</v>
      </c>
      <c r="HJ1557" s="2">
        <v>97.95</v>
      </c>
      <c r="HK1557" s="2">
        <v>99.81999999999999</v>
      </c>
      <c r="HL1557" s="2">
        <v>101.84</v>
      </c>
      <c r="HM1557" s="2">
        <v>102.19</v>
      </c>
      <c r="HN1557" s="2">
        <v>102.77</v>
      </c>
      <c r="HO1557" s="2">
        <v>103.7</v>
      </c>
      <c r="HP1557" s="2">
        <v>102.8</v>
      </c>
      <c r="HQ1557" s="2">
        <v>101.79</v>
      </c>
      <c r="HR1557" s="2">
        <v>102.78</v>
      </c>
      <c r="HS1557" s="2">
        <v>102.25</v>
      </c>
      <c r="HT1557" s="2">
        <v>101.29</v>
      </c>
      <c r="HU1557" s="2">
        <v>100.81</v>
      </c>
      <c r="HV1557" s="2">
        <v>100.08</v>
      </c>
      <c r="HW1557" s="2">
        <v>98.28</v>
      </c>
      <c r="HX1557" s="2">
        <v>98.31</v>
      </c>
      <c r="HY1557" s="2">
        <v>96.55</v>
      </c>
      <c r="HZ1557" s="2">
        <v>98.02</v>
      </c>
      <c r="IA1557" s="2">
        <v>96.68000000000001</v>
      </c>
      <c r="IB1557" s="2">
        <v>95.64</v>
      </c>
      <c r="IC1557" s="2">
        <v>95.40000000000001</v>
      </c>
      <c r="ID1557" s="2">
        <v>94.36</v>
      </c>
      <c r="IE1557" s="2">
        <v>95.69</v>
      </c>
      <c r="IF1557" s="2">
        <v>94.78</v>
      </c>
      <c r="IG1557" s="2">
        <v>95.56999999999999</v>
      </c>
      <c r="IH1557" s="2">
        <v>95.81</v>
      </c>
      <c r="II1557" s="2">
        <v>95.89</v>
      </c>
      <c r="IJ1557" s="2">
        <v>96.08</v>
      </c>
      <c r="IK1557" s="2">
        <v>96.03</v>
      </c>
      <c r="IL1557" s="2">
        <v>95.36</v>
      </c>
      <c r="IM1557" s="2">
        <v>94.94</v>
      </c>
      <c r="IN1557" s="2">
        <v>94.90000000000001</v>
      </c>
      <c r="IO1557" s="2">
        <v>94.15000000000001</v>
      </c>
      <c r="IP1557" s="2">
        <v>91.98</v>
      </c>
      <c r="IQ1557" s="2">
        <v>93.13</v>
      </c>
      <c r="IR1557" s="2">
        <v>94.02</v>
      </c>
      <c r="IS1557" s="2">
        <v>94.34999999999999</v>
      </c>
      <c r="IT1557" s="2">
        <v>94.11</v>
      </c>
      <c r="IU1557" s="2">
        <v>93.54000000000001</v>
      </c>
      <c r="IV1557" s="2">
        <v>93.31999999999999</v>
      </c>
      <c r="IW1557" s="2">
        <v>93.62</v>
      </c>
      <c r="IX1557" s="2">
        <v>92.65000000000001</v>
      </c>
      <c r="IY1557" s="2">
        <v>92.12</v>
      </c>
      <c r="IZ1557" s="2">
        <v>91.98</v>
      </c>
      <c r="JA1557" s="2">
        <v>90.98999999999999</v>
      </c>
      <c r="JB1557" s="2">
        <v>89.93000000000001</v>
      </c>
      <c r="JC1557" s="2">
        <v>89.52</v>
      </c>
      <c r="JD1557" s="2">
        <v>90.56</v>
      </c>
      <c r="JE1557" s="2">
        <v>89.59</v>
      </c>
      <c r="JF1557" s="2">
        <v>88.84</v>
      </c>
      <c r="JG1557" s="2">
        <v>87.59999999999999</v>
      </c>
      <c r="JH1557" s="2">
        <v>87.42</v>
      </c>
      <c r="JI1557" s="2">
        <v>86.76000000000001</v>
      </c>
      <c r="JJ1557" s="2">
        <v>86.23999999999999</v>
      </c>
      <c r="JK1557" s="2">
        <v>86.62</v>
      </c>
      <c r="JL1557" s="2">
        <v>86.84999999999999</v>
      </c>
      <c r="JM1557" s="2">
        <v>86.54000000000001</v>
      </c>
      <c r="JN1557" s="2">
        <v>85.54000000000001</v>
      </c>
      <c r="JO1557" s="2">
        <v>85.94</v>
      </c>
      <c r="JP1557" s="2">
        <v>85.66</v>
      </c>
      <c r="JQ1557" s="2">
        <v>86.51000000000001</v>
      </c>
      <c r="JR1557" s="2">
        <v>86.27</v>
      </c>
      <c r="JS1557" s="2">
        <v>86.92</v>
      </c>
      <c r="JT1557" s="2">
        <v>85.7</v>
      </c>
      <c r="JU1557" s="2">
        <v>85.20999999999999</v>
      </c>
      <c r="JV1557" s="2">
        <v>84.7</v>
      </c>
      <c r="KA1557" s="2">
        <v>84.36</v>
      </c>
      <c r="KB1557" s="2">
        <v>84.66</v>
      </c>
      <c r="KC1557" s="2">
        <v>84.22</v>
      </c>
      <c r="KD1557" s="2">
        <v>83.34999999999999</v>
      </c>
      <c r="KQ1557" s="2">
        <v>84.52</v>
      </c>
      <c r="KR1557" s="2">
        <v>82.8</v>
      </c>
      <c r="KS1557" s="2">
        <v>82.66</v>
      </c>
      <c r="KT1557" s="2">
        <v>82.44</v>
      </c>
      <c r="LG1557" s="2">
        <v>84.40000000000001</v>
      </c>
      <c r="LH1557" s="2">
        <v>85.56</v>
      </c>
      <c r="LI1557" s="2">
        <v>85.70999999999999</v>
      </c>
      <c r="LJ1557" s="2">
        <v>85.17</v>
      </c>
      <c r="LW1557" s="2">
        <v>84.58</v>
      </c>
      <c r="LX1557" s="2">
        <v>85.01000000000001</v>
      </c>
      <c r="LY1557" s="2">
        <v>87.16</v>
      </c>
      <c r="LZ1557" s="2">
        <v>88.73</v>
      </c>
      <c r="MM1557" s="2">
        <v>89.33</v>
      </c>
      <c r="MN1557" s="2">
        <v>91.3</v>
      </c>
      <c r="MO1557" s="2">
        <v>92.59999999999999</v>
      </c>
      <c r="MP1557" s="2">
        <v>94.33</v>
      </c>
      <c r="NC1557" s="2">
        <v>95.23999999999999</v>
      </c>
      <c r="ND1557" s="2">
        <v>96.38</v>
      </c>
      <c r="NE1557" s="2">
        <v>96.81999999999999</v>
      </c>
      <c r="NF1557" s="2">
        <v>99.01000000000001</v>
      </c>
      <c r="NS1557" s="2">
        <v>100.82</v>
      </c>
      <c r="NT1557" s="2">
        <v>100.17</v>
      </c>
      <c r="NU1557" s="2">
        <v>100.69</v>
      </c>
      <c r="NV1557" s="2">
        <v>100.15</v>
      </c>
      <c r="OI1557" s="2">
        <v>101.2</v>
      </c>
      <c r="OJ1557" s="2">
        <v>100.86</v>
      </c>
      <c r="OK1557" s="2">
        <v>100.06</v>
      </c>
      <c r="OL1557" s="2">
        <v>99.93000000000001</v>
      </c>
      <c r="OY1557" s="2">
        <v>100.09</v>
      </c>
      <c r="OZ1557" s="2">
        <v>99.89</v>
      </c>
      <c r="PA1557" s="2">
        <v>100.55</v>
      </c>
      <c r="PB1557" s="2">
        <v>100.43</v>
      </c>
      <c r="PJ1557" s="2">
        <v>101.44</v>
      </c>
      <c r="PK1557" s="2">
        <v>101.14</v>
      </c>
    </row>
    <row r="1558">
      <c r="A1558" t="inlineStr">
        <is>
          <t>A2328726R</t>
        </is>
      </c>
      <c r="B1558" t="inlineStr">
        <is>
          <t>Index Numbers ;  Spare parts and accessories for motor vehicles ;  Australia ;</t>
        </is>
      </c>
      <c r="C1558" t="inlineStr">
        <is>
          <t>Quarter</t>
        </is>
      </c>
      <c r="D1558" t="inlineStr">
        <is>
          <t>Index Numbers</t>
        </is>
      </c>
      <c r="E1558" t="inlineStr">
        <is>
          <t>Original</t>
        </is>
      </c>
      <c r="F1558" t="inlineStr">
        <is>
          <t>6401018.xlsx</t>
        </is>
      </c>
      <c r="G1558" t="inlineStr">
        <is>
          <t>1980Q3</t>
        </is>
      </c>
      <c r="H1558" t="inlineStr">
        <is>
          <t>2026Q2</t>
        </is>
      </c>
      <c r="EG1558" s="2">
        <v>29.19</v>
      </c>
      <c r="EH1558" s="2">
        <v>29.78</v>
      </c>
      <c r="EI1558" s="2">
        <v>29.88</v>
      </c>
      <c r="EJ1558" s="2">
        <v>30.52</v>
      </c>
      <c r="EK1558" s="2">
        <v>30.47</v>
      </c>
      <c r="EL1558" s="2">
        <v>31.11</v>
      </c>
      <c r="EM1558" s="2">
        <v>30.61</v>
      </c>
      <c r="EN1558" s="2">
        <v>31.16</v>
      </c>
      <c r="EO1558" s="2">
        <v>31.75</v>
      </c>
      <c r="EP1558" s="2">
        <v>31.65</v>
      </c>
      <c r="EQ1558" s="2">
        <v>31.7</v>
      </c>
      <c r="ER1558" s="2">
        <v>33.32</v>
      </c>
      <c r="ES1558" s="2">
        <v>34.5</v>
      </c>
      <c r="ET1558" s="2">
        <v>34.79</v>
      </c>
      <c r="EU1558" s="2">
        <v>35.33</v>
      </c>
      <c r="EV1558" s="2">
        <v>36.36</v>
      </c>
      <c r="EW1558" s="2">
        <v>37</v>
      </c>
      <c r="EX1558" s="2">
        <v>37.1</v>
      </c>
      <c r="EY1558" s="2">
        <v>37.4</v>
      </c>
      <c r="EZ1558" s="2">
        <v>38.28</v>
      </c>
      <c r="FA1558" s="2">
        <v>38.87</v>
      </c>
      <c r="FB1558" s="2">
        <v>38.97</v>
      </c>
      <c r="FC1558" s="2">
        <v>39.51</v>
      </c>
      <c r="FD1558" s="2">
        <v>39.85</v>
      </c>
      <c r="FE1558" s="2">
        <v>40.59</v>
      </c>
      <c r="FF1558" s="2">
        <v>41.43</v>
      </c>
      <c r="FG1558" s="2">
        <v>41.72</v>
      </c>
      <c r="FH1558" s="2">
        <v>42.46</v>
      </c>
      <c r="FI1558" s="2">
        <v>43.24</v>
      </c>
      <c r="FJ1558" s="2">
        <v>43.88</v>
      </c>
      <c r="FK1558" s="2">
        <v>44.91</v>
      </c>
      <c r="FL1558" s="2">
        <v>46.34</v>
      </c>
      <c r="FM1558" s="2">
        <v>46.44</v>
      </c>
      <c r="FN1558" s="2">
        <v>47.42</v>
      </c>
      <c r="FO1558" s="2">
        <v>47.57</v>
      </c>
      <c r="FP1558" s="2">
        <v>48.31</v>
      </c>
      <c r="FQ1558" s="2">
        <v>48.45</v>
      </c>
      <c r="FR1558" s="2">
        <v>48.55</v>
      </c>
      <c r="FS1558" s="2">
        <v>49.44</v>
      </c>
      <c r="FT1558" s="2">
        <v>50.12</v>
      </c>
      <c r="FU1558" s="2">
        <v>50.12</v>
      </c>
      <c r="FV1558" s="2">
        <v>50.91</v>
      </c>
      <c r="FW1558" s="2">
        <v>51.45</v>
      </c>
      <c r="FX1558" s="2">
        <v>50.22</v>
      </c>
      <c r="FY1558" s="2">
        <v>50.37</v>
      </c>
      <c r="FZ1558" s="2">
        <v>50.47</v>
      </c>
      <c r="GA1558" s="2">
        <v>50.17</v>
      </c>
      <c r="GB1558" s="2">
        <v>50.03</v>
      </c>
      <c r="GC1558" s="2">
        <v>49.63</v>
      </c>
      <c r="GD1558" s="2">
        <v>50.37</v>
      </c>
      <c r="GE1558" s="2">
        <v>50.52</v>
      </c>
      <c r="GF1558" s="2">
        <v>49.93</v>
      </c>
      <c r="GG1558" s="2">
        <v>50.81</v>
      </c>
      <c r="GH1558" s="2">
        <v>50.66</v>
      </c>
      <c r="GI1558" s="2">
        <v>50.91</v>
      </c>
      <c r="GJ1558" s="2">
        <v>51.06</v>
      </c>
      <c r="GK1558" s="2">
        <v>51.01</v>
      </c>
      <c r="GL1558" s="2">
        <v>51.45</v>
      </c>
      <c r="GM1558" s="2">
        <v>51.75</v>
      </c>
      <c r="GN1558" s="2">
        <v>52.24</v>
      </c>
      <c r="GO1558" s="2">
        <v>52.63</v>
      </c>
      <c r="GP1558" s="2">
        <v>52.34</v>
      </c>
      <c r="GQ1558" s="2">
        <v>51.99</v>
      </c>
      <c r="GR1558" s="2">
        <v>51.7</v>
      </c>
      <c r="GS1558" s="2">
        <v>52.04</v>
      </c>
      <c r="GT1558" s="2">
        <v>52.58</v>
      </c>
      <c r="GU1558" s="2">
        <v>52.14</v>
      </c>
      <c r="GV1558" s="2">
        <v>52.38</v>
      </c>
      <c r="GW1558" s="2">
        <v>52.29</v>
      </c>
      <c r="GX1558" s="2">
        <v>52.04</v>
      </c>
      <c r="GY1558" s="2">
        <v>52.04</v>
      </c>
      <c r="GZ1558" s="2">
        <v>52.09</v>
      </c>
      <c r="HA1558" s="2">
        <v>52</v>
      </c>
      <c r="HB1558" s="2">
        <v>52.57</v>
      </c>
      <c r="HC1558" s="2">
        <v>52.82</v>
      </c>
      <c r="HD1558" s="2">
        <v>52.68</v>
      </c>
      <c r="HE1558" s="2">
        <v>53.02</v>
      </c>
      <c r="HF1558" s="2">
        <v>53.02</v>
      </c>
      <c r="HG1558" s="2">
        <v>52.46</v>
      </c>
      <c r="HH1558" s="2">
        <v>52.17</v>
      </c>
      <c r="HI1558" s="2">
        <v>50.26</v>
      </c>
      <c r="HJ1558" s="2">
        <v>50.76</v>
      </c>
      <c r="HK1558" s="2">
        <v>51.6</v>
      </c>
      <c r="HL1558" s="2">
        <v>53.02</v>
      </c>
      <c r="HM1558" s="2">
        <v>53.89</v>
      </c>
      <c r="HN1558" s="2">
        <v>54.35</v>
      </c>
      <c r="HO1558" s="2">
        <v>54.3</v>
      </c>
      <c r="HP1558" s="2">
        <v>54.65</v>
      </c>
      <c r="HQ1558" s="2">
        <v>53.65</v>
      </c>
      <c r="HR1558" s="2">
        <v>55.22</v>
      </c>
      <c r="HS1558" s="2">
        <v>54.95</v>
      </c>
      <c r="HT1558" s="2">
        <v>55.6</v>
      </c>
      <c r="HU1558" s="2">
        <v>55.43</v>
      </c>
      <c r="HV1558" s="2">
        <v>55.87</v>
      </c>
      <c r="HW1558" s="2">
        <v>56.08</v>
      </c>
      <c r="HX1558" s="2">
        <v>55.72</v>
      </c>
      <c r="HY1558" s="2">
        <v>55.98</v>
      </c>
      <c r="HZ1558" s="2">
        <v>56.25</v>
      </c>
      <c r="IA1558" s="2">
        <v>56.81</v>
      </c>
      <c r="IB1558" s="2">
        <v>56.93</v>
      </c>
      <c r="IC1558" s="2">
        <v>57.44</v>
      </c>
      <c r="ID1558" s="2">
        <v>58.23</v>
      </c>
      <c r="IE1558" s="2">
        <v>58.25</v>
      </c>
      <c r="IF1558" s="2">
        <v>58.99</v>
      </c>
      <c r="IG1558" s="2">
        <v>59.38</v>
      </c>
      <c r="IH1558" s="2">
        <v>59.74</v>
      </c>
      <c r="II1558" s="2">
        <v>60.44</v>
      </c>
      <c r="IJ1558" s="2">
        <v>61.05</v>
      </c>
      <c r="IK1558" s="2">
        <v>62.12</v>
      </c>
      <c r="IL1558" s="2">
        <v>63.01</v>
      </c>
      <c r="IM1558" s="2">
        <v>64.06</v>
      </c>
      <c r="IN1558" s="2">
        <v>64.06</v>
      </c>
      <c r="IO1558" s="2">
        <v>65.53</v>
      </c>
      <c r="IP1558" s="2">
        <v>66.78</v>
      </c>
      <c r="IQ1558" s="2">
        <v>68.58</v>
      </c>
      <c r="IR1558" s="2">
        <v>69.70999999999999</v>
      </c>
      <c r="IS1558" s="2">
        <v>70.37</v>
      </c>
      <c r="IT1558" s="2">
        <v>70.39</v>
      </c>
      <c r="IU1558" s="2">
        <v>70.08</v>
      </c>
      <c r="IV1558" s="2">
        <v>70.03</v>
      </c>
      <c r="IW1558" s="2">
        <v>70.01000000000001</v>
      </c>
      <c r="IX1558" s="2">
        <v>70.38</v>
      </c>
      <c r="IY1558" s="2">
        <v>70.16</v>
      </c>
      <c r="IZ1558" s="2">
        <v>70.04000000000001</v>
      </c>
      <c r="JA1558" s="2">
        <v>70.36</v>
      </c>
      <c r="JB1558" s="2">
        <v>70.53</v>
      </c>
      <c r="JC1558" s="2">
        <v>70.18000000000001</v>
      </c>
      <c r="JD1558" s="2">
        <v>70.39</v>
      </c>
      <c r="JE1558" s="2">
        <v>70.75</v>
      </c>
      <c r="JF1558" s="2">
        <v>71.05</v>
      </c>
      <c r="JG1558" s="2">
        <v>70.79000000000001</v>
      </c>
      <c r="JH1558" s="2">
        <v>70.63</v>
      </c>
      <c r="JI1558" s="2">
        <v>70.58</v>
      </c>
      <c r="JJ1558" s="2">
        <v>71.34999999999999</v>
      </c>
      <c r="JK1558" s="2">
        <v>71.43000000000001</v>
      </c>
      <c r="JL1558" s="2">
        <v>71.98</v>
      </c>
      <c r="JM1558" s="2">
        <v>72.06999999999999</v>
      </c>
      <c r="JN1558" s="2">
        <v>72.29000000000001</v>
      </c>
      <c r="JO1558" s="2">
        <v>74.13</v>
      </c>
      <c r="JP1558" s="2">
        <v>74.69</v>
      </c>
      <c r="JQ1558" s="2">
        <v>74.56</v>
      </c>
      <c r="JR1558" s="2">
        <v>74.63</v>
      </c>
      <c r="JS1558" s="2">
        <v>74.84</v>
      </c>
      <c r="JT1558" s="2">
        <v>74.75</v>
      </c>
      <c r="JU1558" s="2">
        <v>75.23999999999999</v>
      </c>
      <c r="JV1558" s="2">
        <v>75.09</v>
      </c>
      <c r="KA1558" s="2">
        <v>75.77</v>
      </c>
      <c r="KB1558" s="2">
        <v>75.8</v>
      </c>
      <c r="KC1558" s="2">
        <v>77.02</v>
      </c>
      <c r="KD1558" s="2">
        <v>76.58</v>
      </c>
      <c r="KQ1558" s="2">
        <v>77.06999999999999</v>
      </c>
      <c r="KR1558" s="2">
        <v>77.48999999999999</v>
      </c>
      <c r="KS1558" s="2">
        <v>76.90000000000001</v>
      </c>
      <c r="KT1558" s="2">
        <v>78.42</v>
      </c>
      <c r="LG1558" s="2">
        <v>78.8</v>
      </c>
      <c r="LH1558" s="2">
        <v>78.62</v>
      </c>
      <c r="LI1558" s="2">
        <v>78.84</v>
      </c>
      <c r="LJ1558" s="2">
        <v>77.97</v>
      </c>
      <c r="LW1558" s="2">
        <v>79.7</v>
      </c>
      <c r="LX1558" s="2">
        <v>79.31</v>
      </c>
      <c r="LY1558" s="2">
        <v>79.95999999999999</v>
      </c>
      <c r="LZ1558" s="2">
        <v>78.22</v>
      </c>
      <c r="MM1558" s="2">
        <v>79.66</v>
      </c>
      <c r="MN1558" s="2">
        <v>79.87</v>
      </c>
      <c r="MO1558" s="2">
        <v>80.78</v>
      </c>
      <c r="MP1558" s="2">
        <v>81.73</v>
      </c>
      <c r="NC1558" s="2">
        <v>83.16</v>
      </c>
      <c r="ND1558" s="2">
        <v>87.41</v>
      </c>
      <c r="NE1558" s="2">
        <v>90.04000000000001</v>
      </c>
      <c r="NF1558" s="2">
        <v>92.13</v>
      </c>
      <c r="NS1558" s="2">
        <v>95.18000000000001</v>
      </c>
      <c r="NT1558" s="2">
        <v>97.63</v>
      </c>
      <c r="NU1558" s="2">
        <v>98.26000000000001</v>
      </c>
      <c r="NV1558" s="2">
        <v>94.89</v>
      </c>
      <c r="OI1558" s="2">
        <v>97.86</v>
      </c>
      <c r="OJ1558" s="2">
        <v>98.95999999999999</v>
      </c>
      <c r="OK1558" s="2">
        <v>99.97</v>
      </c>
      <c r="OL1558" s="2">
        <v>99.94</v>
      </c>
      <c r="OY1558" s="2">
        <v>101.27</v>
      </c>
      <c r="OZ1558" s="2">
        <v>101.98</v>
      </c>
      <c r="PA1558" s="2">
        <v>100.65</v>
      </c>
      <c r="PB1558" s="2">
        <v>100.92</v>
      </c>
      <c r="PJ1558" s="2">
        <v>100.42</v>
      </c>
      <c r="PK1558" s="2">
        <v>101.53</v>
      </c>
    </row>
    <row r="1559">
      <c r="A1559" t="inlineStr">
        <is>
          <t>A2328636K</t>
        </is>
      </c>
      <c r="B1559" t="inlineStr">
        <is>
          <t>Index Numbers ;  Automotive fuel ;  Australia ;</t>
        </is>
      </c>
      <c r="C1559" t="inlineStr">
        <is>
          <t>Quarter</t>
        </is>
      </c>
      <c r="D1559" t="inlineStr">
        <is>
          <t>Index Numbers</t>
        </is>
      </c>
      <c r="E1559" t="inlineStr">
        <is>
          <t>Original</t>
        </is>
      </c>
      <c r="F1559" t="inlineStr">
        <is>
          <t>6401018.xlsx</t>
        </is>
      </c>
      <c r="G1559" t="inlineStr">
        <is>
          <t>1972Q3</t>
        </is>
      </c>
      <c r="H1559" t="inlineStr">
        <is>
          <t>2026Q2</t>
        </is>
      </c>
      <c r="DA1559" s="2">
        <v>5.3</v>
      </c>
      <c r="DB1559" s="2">
        <v>5.3</v>
      </c>
      <c r="DC1559" s="2">
        <v>5.27</v>
      </c>
      <c r="DD1559" s="2">
        <v>5.24</v>
      </c>
      <c r="DE1559" s="2">
        <v>5.42</v>
      </c>
      <c r="DF1559" s="2">
        <v>6.02</v>
      </c>
      <c r="DG1559" s="2">
        <v>6.08</v>
      </c>
      <c r="DH1559" s="2">
        <v>6.14</v>
      </c>
      <c r="DI1559" s="2">
        <v>6.42</v>
      </c>
      <c r="DJ1559" s="2">
        <v>6.42</v>
      </c>
      <c r="DK1559" s="2">
        <v>7.14</v>
      </c>
      <c r="DL1559" s="2">
        <v>7.33</v>
      </c>
      <c r="DM1559" s="2">
        <v>7.26</v>
      </c>
      <c r="DN1559" s="2">
        <v>7.98</v>
      </c>
      <c r="DO1559" s="2">
        <v>8.199999999999999</v>
      </c>
      <c r="DP1559" s="2">
        <v>7.92</v>
      </c>
      <c r="DQ1559" s="2">
        <v>8.07</v>
      </c>
      <c r="DR1559" s="2">
        <v>8.07</v>
      </c>
      <c r="DS1559" s="2">
        <v>8.390000000000001</v>
      </c>
      <c r="DT1559" s="2">
        <v>8.26</v>
      </c>
      <c r="DU1559" s="2">
        <v>8.390000000000001</v>
      </c>
      <c r="DV1559" s="2">
        <v>9.17</v>
      </c>
      <c r="DW1559" s="2">
        <v>9.07</v>
      </c>
      <c r="DX1559" s="2">
        <v>9.1</v>
      </c>
      <c r="DY1559" s="2">
        <v>9.1</v>
      </c>
      <c r="DZ1559" s="2">
        <v>11</v>
      </c>
      <c r="EA1559" s="2">
        <v>11.32</v>
      </c>
      <c r="EB1559" s="2">
        <v>12.44</v>
      </c>
      <c r="EC1559" s="2">
        <v>13.5</v>
      </c>
      <c r="ED1559" s="2">
        <v>14.9</v>
      </c>
      <c r="EE1559" s="2">
        <v>14.56</v>
      </c>
      <c r="EF1559" s="2">
        <v>16.65</v>
      </c>
      <c r="EG1559" s="2">
        <v>15.99</v>
      </c>
      <c r="EH1559" s="2">
        <v>16.4</v>
      </c>
      <c r="EI1559" s="2">
        <v>17.61</v>
      </c>
      <c r="EJ1559" s="2">
        <v>19.3</v>
      </c>
      <c r="EK1559" s="2">
        <v>18.14</v>
      </c>
      <c r="EL1559" s="2">
        <v>18.95</v>
      </c>
      <c r="EM1559" s="2">
        <v>18.58</v>
      </c>
      <c r="EN1559" s="2">
        <v>19.11</v>
      </c>
      <c r="EO1559" s="2">
        <v>21.45</v>
      </c>
      <c r="EP1559" s="2">
        <v>21.48</v>
      </c>
      <c r="EQ1559" s="2">
        <v>22.35</v>
      </c>
      <c r="ER1559" s="2">
        <v>21.29</v>
      </c>
      <c r="ES1559" s="2">
        <v>22.88</v>
      </c>
      <c r="ET1559" s="2">
        <v>23.97</v>
      </c>
      <c r="EU1559" s="2">
        <v>23.85</v>
      </c>
      <c r="EV1559" s="2">
        <v>24.72</v>
      </c>
      <c r="EW1559" s="2">
        <v>24.94</v>
      </c>
      <c r="EX1559" s="2">
        <v>24.72</v>
      </c>
      <c r="EY1559" s="2">
        <v>25.22</v>
      </c>
      <c r="EZ1559" s="2">
        <v>27.65</v>
      </c>
      <c r="FA1559" s="2">
        <v>28.34</v>
      </c>
      <c r="FB1559" s="2">
        <v>27.34</v>
      </c>
      <c r="FC1559" s="2">
        <v>27.99</v>
      </c>
      <c r="FD1559" s="2">
        <v>24.85</v>
      </c>
      <c r="FE1559" s="2">
        <v>26.41</v>
      </c>
      <c r="FF1559" s="2">
        <v>28.18</v>
      </c>
      <c r="FG1559" s="2">
        <v>28.77</v>
      </c>
      <c r="FH1559" s="2">
        <v>27.93</v>
      </c>
      <c r="FI1559" s="2">
        <v>27.78</v>
      </c>
      <c r="FJ1559" s="2">
        <v>28.93</v>
      </c>
      <c r="FK1559" s="2">
        <v>29.09</v>
      </c>
      <c r="FL1559" s="2">
        <v>27.31</v>
      </c>
      <c r="FM1559" s="2">
        <v>27.15</v>
      </c>
      <c r="FN1559" s="2">
        <v>26.5</v>
      </c>
      <c r="FO1559" s="2">
        <v>26.5</v>
      </c>
      <c r="FP1559" s="2">
        <v>28.71</v>
      </c>
      <c r="FQ1559" s="2">
        <v>29.15</v>
      </c>
      <c r="FR1559" s="2">
        <v>30.52</v>
      </c>
      <c r="FS1559" s="2">
        <v>32.48</v>
      </c>
      <c r="FT1559" s="2">
        <v>32.52</v>
      </c>
      <c r="FU1559" s="2">
        <v>34.23</v>
      </c>
      <c r="FV1559" s="2">
        <v>41.37</v>
      </c>
      <c r="FW1559" s="2">
        <v>34.98</v>
      </c>
      <c r="FX1559" s="2">
        <v>33.05</v>
      </c>
      <c r="FY1559" s="2">
        <v>34.88</v>
      </c>
      <c r="FZ1559" s="2">
        <v>34.76</v>
      </c>
      <c r="GA1559" s="2">
        <v>34.32</v>
      </c>
      <c r="GB1559" s="2">
        <v>34.48</v>
      </c>
      <c r="GC1559" s="2">
        <v>35.94</v>
      </c>
      <c r="GD1559" s="2">
        <v>35.76</v>
      </c>
      <c r="GE1559" s="2">
        <v>34.57</v>
      </c>
      <c r="GF1559" s="2">
        <v>34.92</v>
      </c>
      <c r="GG1559" s="2">
        <v>34.98</v>
      </c>
      <c r="GH1559" s="2">
        <v>35.26</v>
      </c>
      <c r="GI1559" s="2">
        <v>33.76</v>
      </c>
      <c r="GJ1559" s="2">
        <v>35.38</v>
      </c>
      <c r="GK1559" s="2">
        <v>35.6</v>
      </c>
      <c r="GL1559" s="2">
        <v>34.76</v>
      </c>
      <c r="GM1559" s="2">
        <v>35.45</v>
      </c>
      <c r="GN1559" s="2">
        <v>36.07</v>
      </c>
      <c r="GO1559" s="2">
        <v>37.41</v>
      </c>
      <c r="GP1559" s="2">
        <v>36.88</v>
      </c>
      <c r="GQ1559" s="2">
        <v>36.69</v>
      </c>
      <c r="GR1559" s="2">
        <v>37.82</v>
      </c>
      <c r="GS1559" s="2">
        <v>37.04</v>
      </c>
      <c r="GT1559" s="2">
        <v>38.03</v>
      </c>
      <c r="GU1559" s="2">
        <v>38.63</v>
      </c>
      <c r="GV1559" s="2">
        <v>38</v>
      </c>
      <c r="GW1559" s="2">
        <v>37.69</v>
      </c>
      <c r="GX1559" s="2">
        <v>38.13</v>
      </c>
      <c r="GY1559" s="2">
        <v>36.47</v>
      </c>
      <c r="GZ1559" s="2">
        <v>36.79</v>
      </c>
      <c r="HA1559" s="2">
        <v>35.99</v>
      </c>
      <c r="HB1559" s="2">
        <v>35.44</v>
      </c>
      <c r="HC1559" s="2">
        <v>34.5</v>
      </c>
      <c r="HD1559" s="2">
        <v>36.32</v>
      </c>
      <c r="HE1559" s="2">
        <v>39.52</v>
      </c>
      <c r="HF1559" s="2">
        <v>39.78</v>
      </c>
      <c r="HG1559" s="2">
        <v>42.87</v>
      </c>
      <c r="HH1559" s="2">
        <v>44.25</v>
      </c>
      <c r="HI1559" s="2">
        <v>48.86</v>
      </c>
      <c r="HJ1559" s="2">
        <v>49.51</v>
      </c>
      <c r="HK1559" s="2">
        <v>47.71</v>
      </c>
      <c r="HL1559" s="2">
        <v>49.22</v>
      </c>
      <c r="HM1559" s="2">
        <v>45.14</v>
      </c>
      <c r="HN1559" s="2">
        <v>43.5</v>
      </c>
      <c r="HO1559" s="2">
        <v>43.47</v>
      </c>
      <c r="HP1559" s="2">
        <v>46.73</v>
      </c>
      <c r="HQ1559" s="2">
        <v>46.17</v>
      </c>
      <c r="HR1559" s="2">
        <v>47.01</v>
      </c>
      <c r="HS1559" s="2">
        <v>51.04</v>
      </c>
      <c r="HT1559" s="2">
        <v>46.15</v>
      </c>
      <c r="HU1559" s="2">
        <v>47.53</v>
      </c>
      <c r="HV1559" s="2">
        <v>47.1</v>
      </c>
      <c r="HW1559" s="2">
        <v>48.69</v>
      </c>
      <c r="HX1559" s="2">
        <v>51.53</v>
      </c>
      <c r="HY1559" s="2">
        <v>53.25</v>
      </c>
      <c r="HZ1559" s="2">
        <v>54.59</v>
      </c>
      <c r="IA1559" s="2">
        <v>53.11</v>
      </c>
      <c r="IB1559" s="2">
        <v>56.91</v>
      </c>
      <c r="IC1559" s="2">
        <v>63.51</v>
      </c>
      <c r="ID1559" s="2">
        <v>62.91</v>
      </c>
      <c r="IE1559" s="2">
        <v>63.81</v>
      </c>
      <c r="IF1559" s="2">
        <v>70.97</v>
      </c>
      <c r="IG1559" s="2">
        <v>70.14</v>
      </c>
      <c r="IH1559" s="2">
        <v>61.47</v>
      </c>
      <c r="II1559" s="2">
        <v>62.33</v>
      </c>
      <c r="IJ1559" s="2">
        <v>68</v>
      </c>
      <c r="IK1559" s="2">
        <v>65.47</v>
      </c>
      <c r="IL1559" s="2">
        <v>70.25</v>
      </c>
      <c r="IM1559" s="2">
        <v>74.08</v>
      </c>
      <c r="IN1559" s="2">
        <v>80.48</v>
      </c>
      <c r="IO1559" s="2">
        <v>82.08</v>
      </c>
      <c r="IP1559" s="2">
        <v>67.17</v>
      </c>
      <c r="IQ1559" s="2">
        <v>61.71</v>
      </c>
      <c r="IR1559" s="2">
        <v>63.95</v>
      </c>
      <c r="IS1559" s="2">
        <v>66.48</v>
      </c>
      <c r="IT1559" s="2">
        <v>64.64</v>
      </c>
      <c r="IU1559" s="2">
        <v>67.37</v>
      </c>
      <c r="IV1559" s="2">
        <v>68.81</v>
      </c>
      <c r="IW1559" s="2">
        <v>66.27</v>
      </c>
      <c r="IX1559" s="2">
        <v>67.69</v>
      </c>
      <c r="IY1559" s="2">
        <v>73.59999999999999</v>
      </c>
      <c r="IZ1559" s="2">
        <v>76.56</v>
      </c>
      <c r="JA1559" s="2">
        <v>75.5</v>
      </c>
      <c r="JB1559" s="2">
        <v>76.06</v>
      </c>
      <c r="JC1559" s="2">
        <v>77.95</v>
      </c>
      <c r="JD1559" s="2">
        <v>78.47</v>
      </c>
      <c r="JE1559" s="2">
        <v>75.39</v>
      </c>
      <c r="JF1559" s="2">
        <v>77.33</v>
      </c>
      <c r="JG1559" s="2">
        <v>78.23999999999999</v>
      </c>
      <c r="JH1559" s="2">
        <v>75.81</v>
      </c>
      <c r="JI1559" s="2">
        <v>81.59</v>
      </c>
      <c r="JJ1559" s="2">
        <v>80.70999999999999</v>
      </c>
      <c r="JK1559" s="2">
        <v>83.98</v>
      </c>
      <c r="JL1559" s="2">
        <v>81.72</v>
      </c>
      <c r="JM1559" s="2">
        <v>79.58</v>
      </c>
      <c r="JN1559" s="2">
        <v>74.23999999999999</v>
      </c>
      <c r="JO1559" s="2">
        <v>65.16</v>
      </c>
      <c r="JP1559" s="2">
        <v>73.09999999999999</v>
      </c>
      <c r="JQ1559" s="2">
        <v>71.8</v>
      </c>
      <c r="JR1559" s="2">
        <v>67.73999999999999</v>
      </c>
      <c r="JS1559" s="2">
        <v>60.99</v>
      </c>
      <c r="JT1559" s="2">
        <v>64.63</v>
      </c>
      <c r="JU1559" s="2">
        <v>62.75</v>
      </c>
      <c r="JV1559" s="2">
        <v>67.02</v>
      </c>
      <c r="KA1559" s="2">
        <v>70.86</v>
      </c>
      <c r="KB1559" s="2">
        <v>69.04000000000001</v>
      </c>
      <c r="KC1559" s="2">
        <v>67.43000000000001</v>
      </c>
      <c r="KD1559" s="2">
        <v>74.42</v>
      </c>
      <c r="KQ1559" s="2">
        <v>75.12</v>
      </c>
      <c r="KR1559" s="2">
        <v>80.3</v>
      </c>
      <c r="KS1559" s="2">
        <v>81.48</v>
      </c>
      <c r="KT1559" s="2">
        <v>79.43000000000001</v>
      </c>
      <c r="LG1559" s="2">
        <v>72.51000000000001</v>
      </c>
      <c r="LH1559" s="2">
        <v>79.91</v>
      </c>
      <c r="LI1559" s="2">
        <v>78.28</v>
      </c>
      <c r="LJ1559" s="2">
        <v>81.75</v>
      </c>
      <c r="LW1559" s="2">
        <v>76.86</v>
      </c>
      <c r="LX1559" s="2">
        <v>61.95</v>
      </c>
      <c r="LY1559" s="2">
        <v>67.79000000000001</v>
      </c>
      <c r="LZ1559" s="2">
        <v>68.13</v>
      </c>
      <c r="MM1559" s="2">
        <v>74.09</v>
      </c>
      <c r="MN1559" s="2">
        <v>78.92</v>
      </c>
      <c r="MO1559" s="2">
        <v>84.53</v>
      </c>
      <c r="MP1559" s="2">
        <v>90.19</v>
      </c>
      <c r="NC1559" s="2">
        <v>100.06</v>
      </c>
      <c r="ND1559" s="2">
        <v>104.25</v>
      </c>
      <c r="NE1559" s="2">
        <v>99.79000000000001</v>
      </c>
      <c r="NF1559" s="2">
        <v>102.04</v>
      </c>
      <c r="NS1559" s="2">
        <v>101.15</v>
      </c>
      <c r="NT1559" s="2">
        <v>100.49</v>
      </c>
      <c r="NU1559" s="2">
        <v>107.71</v>
      </c>
      <c r="NV1559" s="2">
        <v>107.47</v>
      </c>
      <c r="OI1559" s="2">
        <v>106.38</v>
      </c>
      <c r="OJ1559" s="2">
        <v>108.29</v>
      </c>
      <c r="OK1559" s="2">
        <v>101</v>
      </c>
      <c r="OL1559" s="2">
        <v>99.04000000000001</v>
      </c>
      <c r="OY1559" s="2">
        <v>100.95</v>
      </c>
      <c r="OZ1559" s="2">
        <v>97.45999999999999</v>
      </c>
      <c r="PA1559" s="2">
        <v>99.41</v>
      </c>
      <c r="PB1559" s="2">
        <v>100.55</v>
      </c>
      <c r="PJ1559" s="2">
        <v>105.79</v>
      </c>
      <c r="PK1559" s="2">
        <v>103.58</v>
      </c>
    </row>
    <row r="1560">
      <c r="A1560" t="inlineStr">
        <is>
          <t>A2328771A</t>
        </is>
      </c>
      <c r="B1560" t="inlineStr">
        <is>
          <t>Index Numbers ;  Maintenance and repair of motor vehicles ;  Australia ;</t>
        </is>
      </c>
      <c r="C1560" t="inlineStr">
        <is>
          <t>Quarter</t>
        </is>
      </c>
      <c r="D1560" t="inlineStr">
        <is>
          <t>Index Numbers</t>
        </is>
      </c>
      <c r="E1560" t="inlineStr">
        <is>
          <t>Original</t>
        </is>
      </c>
      <c r="F1560" t="inlineStr">
        <is>
          <t>6401018.xlsx</t>
        </is>
      </c>
      <c r="G1560" t="inlineStr">
        <is>
          <t>1980Q3</t>
        </is>
      </c>
      <c r="H1560" t="inlineStr">
        <is>
          <t>2026Q2</t>
        </is>
      </c>
      <c r="EG1560" s="2">
        <v>19.3</v>
      </c>
      <c r="EH1560" s="2">
        <v>19.58</v>
      </c>
      <c r="EI1560" s="2">
        <v>19.9</v>
      </c>
      <c r="EJ1560" s="2">
        <v>20.26</v>
      </c>
      <c r="EK1560" s="2">
        <v>20.7</v>
      </c>
      <c r="EL1560" s="2">
        <v>21.46</v>
      </c>
      <c r="EM1560" s="2">
        <v>21.78</v>
      </c>
      <c r="EN1560" s="2">
        <v>23.18</v>
      </c>
      <c r="EO1560" s="2">
        <v>23.74</v>
      </c>
      <c r="EP1560" s="2">
        <v>24.22</v>
      </c>
      <c r="EQ1560" s="2">
        <v>24.94</v>
      </c>
      <c r="ER1560" s="2">
        <v>25.22</v>
      </c>
      <c r="ES1560" s="2">
        <v>25.62</v>
      </c>
      <c r="ET1560" s="2">
        <v>25.9</v>
      </c>
      <c r="EU1560" s="2">
        <v>26.42</v>
      </c>
      <c r="EV1560" s="2">
        <v>26.78</v>
      </c>
      <c r="EW1560" s="2">
        <v>27.02</v>
      </c>
      <c r="EX1560" s="2">
        <v>27.38</v>
      </c>
      <c r="EY1560" s="2">
        <v>27.66</v>
      </c>
      <c r="EZ1560" s="2">
        <v>28.3</v>
      </c>
      <c r="FA1560" s="2">
        <v>28.82</v>
      </c>
      <c r="FB1560" s="2">
        <v>29.51</v>
      </c>
      <c r="FC1560" s="2">
        <v>30.43</v>
      </c>
      <c r="FD1560" s="2">
        <v>31.27</v>
      </c>
      <c r="FE1560" s="2">
        <v>32.15</v>
      </c>
      <c r="FF1560" s="2">
        <v>32.83</v>
      </c>
      <c r="FG1560" s="2">
        <v>33.79</v>
      </c>
      <c r="FH1560" s="2">
        <v>34.63</v>
      </c>
      <c r="FI1560" s="2">
        <v>35.11</v>
      </c>
      <c r="FJ1560" s="2">
        <v>35.55</v>
      </c>
      <c r="FK1560" s="2">
        <v>35.83</v>
      </c>
      <c r="FL1560" s="2">
        <v>36.71</v>
      </c>
      <c r="FM1560" s="2">
        <v>37.39</v>
      </c>
      <c r="FN1560" s="2">
        <v>37.95</v>
      </c>
      <c r="FO1560" s="2">
        <v>38.55</v>
      </c>
      <c r="FP1560" s="2">
        <v>38.43</v>
      </c>
      <c r="FQ1560" s="2">
        <v>38.83</v>
      </c>
      <c r="FR1560" s="2">
        <v>39.59</v>
      </c>
      <c r="FS1560" s="2">
        <v>40.27</v>
      </c>
      <c r="FT1560" s="2">
        <v>41.44</v>
      </c>
      <c r="FU1560" s="2">
        <v>42.08</v>
      </c>
      <c r="FV1560" s="2">
        <v>42.68</v>
      </c>
      <c r="FW1560" s="2">
        <v>43.2</v>
      </c>
      <c r="FX1560" s="2">
        <v>43.44</v>
      </c>
      <c r="FY1560" s="2">
        <v>43.92</v>
      </c>
      <c r="FZ1560" s="2">
        <v>43.96</v>
      </c>
      <c r="GA1560" s="2">
        <v>44.16</v>
      </c>
      <c r="GB1560" s="2">
        <v>43.96</v>
      </c>
      <c r="GC1560" s="2">
        <v>44</v>
      </c>
      <c r="GD1560" s="2">
        <v>43.96</v>
      </c>
      <c r="GE1560" s="2">
        <v>44.36</v>
      </c>
      <c r="GF1560" s="2">
        <v>44.44</v>
      </c>
      <c r="GG1560" s="2">
        <v>44.64</v>
      </c>
      <c r="GH1560" s="2">
        <v>44.96</v>
      </c>
      <c r="GI1560" s="2">
        <v>45.12</v>
      </c>
      <c r="GJ1560" s="2">
        <v>45.12</v>
      </c>
      <c r="GK1560" s="2">
        <v>45.6</v>
      </c>
      <c r="GL1560" s="2">
        <v>45.72</v>
      </c>
      <c r="GM1560" s="2">
        <v>45.6</v>
      </c>
      <c r="GN1560" s="2">
        <v>45.64</v>
      </c>
      <c r="GO1560" s="2">
        <v>46.24</v>
      </c>
      <c r="GP1560" s="2">
        <v>46.68</v>
      </c>
      <c r="GQ1560" s="2">
        <v>46.88</v>
      </c>
      <c r="GR1560" s="2">
        <v>47.4</v>
      </c>
      <c r="GS1560" s="2">
        <v>47.64</v>
      </c>
      <c r="GT1560" s="2">
        <v>47.76</v>
      </c>
      <c r="GU1560" s="2">
        <v>48.16</v>
      </c>
      <c r="GV1560" s="2">
        <v>47.76</v>
      </c>
      <c r="GW1560" s="2">
        <v>47.64</v>
      </c>
      <c r="GX1560" s="2">
        <v>47.52</v>
      </c>
      <c r="GY1560" s="2">
        <v>47.56</v>
      </c>
      <c r="GZ1560" s="2">
        <v>47.8</v>
      </c>
      <c r="HA1560" s="2">
        <v>48.32</v>
      </c>
      <c r="HB1560" s="2">
        <v>48.74</v>
      </c>
      <c r="HC1560" s="2">
        <v>49.15</v>
      </c>
      <c r="HD1560" s="2">
        <v>49.25</v>
      </c>
      <c r="HE1560" s="2">
        <v>49.52</v>
      </c>
      <c r="HF1560" s="2">
        <v>47.8</v>
      </c>
      <c r="HG1560" s="2">
        <v>47.9</v>
      </c>
      <c r="HH1560" s="2">
        <v>47.92</v>
      </c>
      <c r="HI1560" s="2">
        <v>48.82</v>
      </c>
      <c r="HJ1560" s="2">
        <v>49.43</v>
      </c>
      <c r="HK1560" s="2">
        <v>50.82</v>
      </c>
      <c r="HL1560" s="2">
        <v>51.34</v>
      </c>
      <c r="HM1560" s="2">
        <v>52.05</v>
      </c>
      <c r="HN1560" s="2">
        <v>52.4</v>
      </c>
      <c r="HO1560" s="2">
        <v>52.53</v>
      </c>
      <c r="HP1560" s="2">
        <v>52.81</v>
      </c>
      <c r="HQ1560" s="2">
        <v>53.82</v>
      </c>
      <c r="HR1560" s="2">
        <v>53.7</v>
      </c>
      <c r="HS1560" s="2">
        <v>54.26</v>
      </c>
      <c r="HT1560" s="2">
        <v>54.51</v>
      </c>
      <c r="HU1560" s="2">
        <v>55.19</v>
      </c>
      <c r="HV1560" s="2">
        <v>55.16</v>
      </c>
      <c r="HW1560" s="2">
        <v>55.85</v>
      </c>
      <c r="HX1560" s="2">
        <v>56.02</v>
      </c>
      <c r="HY1560" s="2">
        <v>56.9</v>
      </c>
      <c r="HZ1560" s="2">
        <v>56.92</v>
      </c>
      <c r="IA1560" s="2">
        <v>57.67</v>
      </c>
      <c r="IB1560" s="2">
        <v>58.34</v>
      </c>
      <c r="IC1560" s="2">
        <v>57.85</v>
      </c>
      <c r="ID1560" s="2">
        <v>58.2</v>
      </c>
      <c r="IE1560" s="2">
        <v>59.04</v>
      </c>
      <c r="IF1560" s="2">
        <v>59.58</v>
      </c>
      <c r="IG1560" s="2">
        <v>59.97</v>
      </c>
      <c r="IH1560" s="2">
        <v>60.56</v>
      </c>
      <c r="II1560" s="2">
        <v>60.62</v>
      </c>
      <c r="IJ1560" s="2">
        <v>61.17</v>
      </c>
      <c r="IK1560" s="2">
        <v>61.77</v>
      </c>
      <c r="IL1560" s="2">
        <v>62.33</v>
      </c>
      <c r="IM1560" s="2">
        <v>62.72</v>
      </c>
      <c r="IN1560" s="2">
        <v>63.27</v>
      </c>
      <c r="IO1560" s="2">
        <v>64.05</v>
      </c>
      <c r="IP1560" s="2">
        <v>64.59999999999999</v>
      </c>
      <c r="IQ1560" s="2">
        <v>65.34999999999999</v>
      </c>
      <c r="IR1560" s="2">
        <v>65.90000000000001</v>
      </c>
      <c r="IS1560" s="2">
        <v>66.45</v>
      </c>
      <c r="IT1560" s="2">
        <v>66.72</v>
      </c>
      <c r="IU1560" s="2">
        <v>66.76000000000001</v>
      </c>
      <c r="IV1560" s="2">
        <v>67.33</v>
      </c>
      <c r="IW1560" s="2">
        <v>67.84</v>
      </c>
      <c r="IX1560" s="2">
        <v>66.51000000000001</v>
      </c>
      <c r="IY1560" s="2">
        <v>66.77</v>
      </c>
      <c r="IZ1560" s="2">
        <v>66.19</v>
      </c>
      <c r="JA1560" s="2">
        <v>68.64</v>
      </c>
      <c r="JB1560" s="2">
        <v>68.83</v>
      </c>
      <c r="JC1560" s="2">
        <v>69.28</v>
      </c>
      <c r="JD1560" s="2">
        <v>69.52</v>
      </c>
      <c r="JE1560" s="2">
        <v>71.18000000000001</v>
      </c>
      <c r="JF1560" s="2">
        <v>71.39</v>
      </c>
      <c r="JG1560" s="2">
        <v>72.17</v>
      </c>
      <c r="JH1560" s="2">
        <v>72.70999999999999</v>
      </c>
      <c r="JI1560" s="2">
        <v>72.97</v>
      </c>
      <c r="JJ1560" s="2">
        <v>73.66</v>
      </c>
      <c r="JK1560" s="2">
        <v>71.18000000000001</v>
      </c>
      <c r="JL1560" s="2">
        <v>71.25</v>
      </c>
      <c r="JM1560" s="2">
        <v>71.33</v>
      </c>
      <c r="JN1560" s="2">
        <v>72.29000000000001</v>
      </c>
      <c r="JO1560" s="2">
        <v>72.38</v>
      </c>
      <c r="JP1560" s="2">
        <v>72.69</v>
      </c>
      <c r="JQ1560" s="2">
        <v>73.39</v>
      </c>
      <c r="JR1560" s="2">
        <v>74.66</v>
      </c>
      <c r="JS1560" s="2">
        <v>74.28</v>
      </c>
      <c r="JT1560" s="2">
        <v>74.20999999999999</v>
      </c>
      <c r="JU1560" s="2">
        <v>74.43000000000001</v>
      </c>
      <c r="JV1560" s="2">
        <v>74.56999999999999</v>
      </c>
      <c r="KA1560" s="2">
        <v>74.69</v>
      </c>
      <c r="KB1560" s="2">
        <v>74.88</v>
      </c>
      <c r="KC1560" s="2">
        <v>75.23</v>
      </c>
      <c r="KD1560" s="2">
        <v>74.95</v>
      </c>
      <c r="KQ1560" s="2">
        <v>75.87</v>
      </c>
      <c r="KR1560" s="2">
        <v>76.14</v>
      </c>
      <c r="KS1560" s="2">
        <v>76.56</v>
      </c>
      <c r="KT1560" s="2">
        <v>77.01000000000001</v>
      </c>
      <c r="LG1560" s="2">
        <v>77.43000000000001</v>
      </c>
      <c r="LH1560" s="2">
        <v>78.23</v>
      </c>
      <c r="LI1560" s="2">
        <v>78.48999999999999</v>
      </c>
      <c r="LJ1560" s="2">
        <v>79.56</v>
      </c>
      <c r="LW1560" s="2">
        <v>80.03</v>
      </c>
      <c r="LX1560" s="2">
        <v>80.68000000000001</v>
      </c>
      <c r="LY1560" s="2">
        <v>80.56999999999999</v>
      </c>
      <c r="LZ1560" s="2">
        <v>80.64</v>
      </c>
      <c r="MM1560" s="2">
        <v>81.45</v>
      </c>
      <c r="MN1560" s="2">
        <v>82.40000000000001</v>
      </c>
      <c r="MO1560" s="2">
        <v>83.23999999999999</v>
      </c>
      <c r="MP1560" s="2">
        <v>84.03</v>
      </c>
      <c r="NC1560" s="2">
        <v>85.20999999999999</v>
      </c>
      <c r="ND1560" s="2">
        <v>86.7</v>
      </c>
      <c r="NE1560" s="2">
        <v>88.42</v>
      </c>
      <c r="NF1560" s="2">
        <v>89.23999999999999</v>
      </c>
      <c r="NS1560" s="2">
        <v>89.84999999999999</v>
      </c>
      <c r="NT1560" s="2">
        <v>90.3</v>
      </c>
      <c r="NU1560" s="2">
        <v>91.45999999999999</v>
      </c>
      <c r="NV1560" s="2">
        <v>92.73999999999999</v>
      </c>
      <c r="OI1560" s="2">
        <v>93.76000000000001</v>
      </c>
      <c r="OJ1560" s="2">
        <v>95.09999999999999</v>
      </c>
      <c r="OK1560" s="2">
        <v>95.42</v>
      </c>
      <c r="OL1560" s="2">
        <v>96.52</v>
      </c>
      <c r="OY1560" s="2">
        <v>97.20999999999999</v>
      </c>
      <c r="OZ1560" s="2">
        <v>98.63</v>
      </c>
      <c r="PA1560" s="2">
        <v>99.78</v>
      </c>
      <c r="PB1560" s="2">
        <v>100.98</v>
      </c>
      <c r="PJ1560" s="2">
        <v>102.54</v>
      </c>
      <c r="PK1560" s="2">
        <v>104.41</v>
      </c>
    </row>
    <row r="1561">
      <c r="A1561" t="inlineStr">
        <is>
          <t>A2328681W</t>
        </is>
      </c>
      <c r="B1561" t="inlineStr">
        <is>
          <t>Index Numbers ;  Other services in respect of motor vehicles ;  Australia ;</t>
        </is>
      </c>
      <c r="C1561" t="inlineStr">
        <is>
          <t>Quarter</t>
        </is>
      </c>
      <c r="D1561" t="inlineStr">
        <is>
          <t>Index Numbers</t>
        </is>
      </c>
      <c r="E1561" t="inlineStr">
        <is>
          <t>Original</t>
        </is>
      </c>
      <c r="F1561" t="inlineStr">
        <is>
          <t>6401018.xlsx</t>
        </is>
      </c>
      <c r="G1561" t="inlineStr">
        <is>
          <t>1980Q3</t>
        </is>
      </c>
      <c r="H1561" t="inlineStr">
        <is>
          <t>2026Q2</t>
        </is>
      </c>
      <c r="EG1561" s="2">
        <v>11.82</v>
      </c>
      <c r="EH1561" s="2">
        <v>11.82</v>
      </c>
      <c r="EI1561" s="2">
        <v>12.5</v>
      </c>
      <c r="EJ1561" s="2">
        <v>12.59</v>
      </c>
      <c r="EK1561" s="2">
        <v>12.69</v>
      </c>
      <c r="EL1561" s="2">
        <v>13.48</v>
      </c>
      <c r="EM1561" s="2">
        <v>14.39</v>
      </c>
      <c r="EN1561" s="2">
        <v>15.18</v>
      </c>
      <c r="EO1561" s="2">
        <v>15.88</v>
      </c>
      <c r="EP1561" s="2">
        <v>16.02</v>
      </c>
      <c r="EQ1561" s="2">
        <v>16.09</v>
      </c>
      <c r="ER1561" s="2">
        <v>16.07</v>
      </c>
      <c r="ES1561" s="2">
        <v>16.58</v>
      </c>
      <c r="ET1561" s="2">
        <v>16.77</v>
      </c>
      <c r="EU1561" s="2">
        <v>16.91</v>
      </c>
      <c r="EV1561" s="2">
        <v>17.33</v>
      </c>
      <c r="EW1561" s="2">
        <v>17.82</v>
      </c>
      <c r="EX1561" s="2">
        <v>18.49</v>
      </c>
      <c r="EY1561" s="2">
        <v>18.56</v>
      </c>
      <c r="EZ1561" s="2">
        <v>18.63</v>
      </c>
      <c r="FA1561" s="2">
        <v>19.05</v>
      </c>
      <c r="FB1561" s="2">
        <v>19.24</v>
      </c>
      <c r="FC1561" s="2">
        <v>19.5</v>
      </c>
      <c r="FD1561" s="2">
        <v>19.54</v>
      </c>
      <c r="FE1561" s="2">
        <v>20.4</v>
      </c>
      <c r="FF1561" s="2">
        <v>20.61</v>
      </c>
      <c r="FG1561" s="2">
        <v>20.71</v>
      </c>
      <c r="FH1561" s="2">
        <v>21.55</v>
      </c>
      <c r="FI1561" s="2">
        <v>22.74</v>
      </c>
      <c r="FJ1561" s="2">
        <v>23.09</v>
      </c>
      <c r="FK1561" s="2">
        <v>22.11</v>
      </c>
      <c r="FL1561" s="2">
        <v>22.22</v>
      </c>
      <c r="FM1561" s="2">
        <v>22.13</v>
      </c>
      <c r="FN1561" s="2">
        <v>22.53</v>
      </c>
      <c r="FO1561" s="2">
        <v>22.76</v>
      </c>
      <c r="FP1561" s="2">
        <v>22.99</v>
      </c>
      <c r="FQ1561" s="2">
        <v>22.83</v>
      </c>
      <c r="FR1561" s="2">
        <v>23.34</v>
      </c>
      <c r="FS1561" s="2">
        <v>23.53</v>
      </c>
      <c r="FT1561" s="2">
        <v>23.6</v>
      </c>
      <c r="FU1561" s="2">
        <v>24.3</v>
      </c>
      <c r="FV1561" s="2">
        <v>24.56</v>
      </c>
      <c r="FW1561" s="2">
        <v>25.07</v>
      </c>
      <c r="FX1561" s="2">
        <v>25.23</v>
      </c>
      <c r="FY1561" s="2">
        <v>26.14</v>
      </c>
      <c r="FZ1561" s="2">
        <v>27.07</v>
      </c>
      <c r="GA1561" s="2">
        <v>27.07</v>
      </c>
      <c r="GB1561" s="2">
        <v>27.24</v>
      </c>
      <c r="GC1561" s="2">
        <v>27.59</v>
      </c>
      <c r="GD1561" s="2">
        <v>27.63</v>
      </c>
      <c r="GE1561" s="2">
        <v>29.69</v>
      </c>
      <c r="GF1561" s="2">
        <v>29.73</v>
      </c>
      <c r="GG1561" s="2">
        <v>30.04</v>
      </c>
      <c r="GH1561" s="2">
        <v>30.18</v>
      </c>
      <c r="GI1561" s="2">
        <v>30.41</v>
      </c>
      <c r="GJ1561" s="2">
        <v>30.48</v>
      </c>
      <c r="GK1561" s="2">
        <v>30.97</v>
      </c>
      <c r="GL1561" s="2">
        <v>31.08</v>
      </c>
      <c r="GM1561" s="2">
        <v>31.18</v>
      </c>
      <c r="GN1561" s="2">
        <v>31.27</v>
      </c>
      <c r="GO1561" s="2">
        <v>31.81</v>
      </c>
      <c r="GP1561" s="2">
        <v>32.11</v>
      </c>
      <c r="GQ1561" s="2">
        <v>32.32</v>
      </c>
      <c r="GR1561" s="2">
        <v>32.53</v>
      </c>
      <c r="GS1561" s="2">
        <v>33.28</v>
      </c>
      <c r="GT1561" s="2">
        <v>33.35</v>
      </c>
      <c r="GU1561" s="2">
        <v>33.74</v>
      </c>
      <c r="GV1561" s="2">
        <v>33.91</v>
      </c>
      <c r="GW1561" s="2">
        <v>34.68</v>
      </c>
      <c r="GX1561" s="2">
        <v>34.72</v>
      </c>
      <c r="GY1561" s="2">
        <v>34.93</v>
      </c>
      <c r="GZ1561" s="2">
        <v>35.03</v>
      </c>
      <c r="HA1561" s="2">
        <v>36.7</v>
      </c>
      <c r="HB1561" s="2">
        <v>36.76</v>
      </c>
      <c r="HC1561" s="2">
        <v>36.85</v>
      </c>
      <c r="HD1561" s="2">
        <v>36.85</v>
      </c>
      <c r="HE1561" s="2">
        <v>37.58</v>
      </c>
      <c r="HF1561" s="2">
        <v>37.98</v>
      </c>
      <c r="HG1561" s="2">
        <v>38.29</v>
      </c>
      <c r="HH1561" s="2">
        <v>38.41</v>
      </c>
      <c r="HI1561" s="2">
        <v>39.56</v>
      </c>
      <c r="HJ1561" s="2">
        <v>39.65</v>
      </c>
      <c r="HK1561" s="2">
        <v>39.87</v>
      </c>
      <c r="HL1561" s="2">
        <v>39.87</v>
      </c>
      <c r="HM1561" s="2">
        <v>40.55</v>
      </c>
      <c r="HN1561" s="2">
        <v>40.57</v>
      </c>
      <c r="HO1561" s="2">
        <v>40.99</v>
      </c>
      <c r="HP1561" s="2">
        <v>41.34</v>
      </c>
      <c r="HQ1561" s="2">
        <v>42.26</v>
      </c>
      <c r="HR1561" s="2">
        <v>42.5</v>
      </c>
      <c r="HS1561" s="2">
        <v>42.74</v>
      </c>
      <c r="HT1561" s="2">
        <v>42.82</v>
      </c>
      <c r="HU1561" s="2">
        <v>44.74</v>
      </c>
      <c r="HV1561" s="2">
        <v>45.04</v>
      </c>
      <c r="HW1561" s="2">
        <v>45.32</v>
      </c>
      <c r="HX1561" s="2">
        <v>45.44</v>
      </c>
      <c r="HY1561" s="2">
        <v>46.17</v>
      </c>
      <c r="HZ1561" s="2">
        <v>46.3</v>
      </c>
      <c r="IA1561" s="2">
        <v>46.51</v>
      </c>
      <c r="IB1561" s="2">
        <v>46.83</v>
      </c>
      <c r="IC1561" s="2">
        <v>47.1</v>
      </c>
      <c r="ID1561" s="2">
        <v>47.2</v>
      </c>
      <c r="IE1561" s="2">
        <v>47.62</v>
      </c>
      <c r="IF1561" s="2">
        <v>47.84</v>
      </c>
      <c r="IG1561" s="2">
        <v>49.15</v>
      </c>
      <c r="IH1561" s="2">
        <v>49.39</v>
      </c>
      <c r="II1561" s="2">
        <v>49.98</v>
      </c>
      <c r="IJ1561" s="2">
        <v>50.12</v>
      </c>
      <c r="IK1561" s="2">
        <v>51.39</v>
      </c>
      <c r="IL1561" s="2">
        <v>51.98</v>
      </c>
      <c r="IM1561" s="2">
        <v>52.37</v>
      </c>
      <c r="IN1561" s="2">
        <v>52.77</v>
      </c>
      <c r="IO1561" s="2">
        <v>54.18</v>
      </c>
      <c r="IP1561" s="2">
        <v>54.55</v>
      </c>
      <c r="IQ1561" s="2">
        <v>54.84</v>
      </c>
      <c r="IR1561" s="2">
        <v>54.83</v>
      </c>
      <c r="IS1561" s="2">
        <v>57.49</v>
      </c>
      <c r="IT1561" s="2">
        <v>57.81</v>
      </c>
      <c r="IU1561" s="2">
        <v>58.25</v>
      </c>
      <c r="IV1561" s="2">
        <v>59.04</v>
      </c>
      <c r="IW1561" s="2">
        <v>60.8</v>
      </c>
      <c r="IX1561" s="2">
        <v>62.48</v>
      </c>
      <c r="IY1561" s="2">
        <v>62.68</v>
      </c>
      <c r="IZ1561" s="2">
        <v>62.78</v>
      </c>
      <c r="JA1561" s="2">
        <v>64.09999999999999</v>
      </c>
      <c r="JB1561" s="2">
        <v>64.37</v>
      </c>
      <c r="JC1561" s="2">
        <v>64.88</v>
      </c>
      <c r="JD1561" s="2">
        <v>66.81</v>
      </c>
      <c r="JE1561" s="2">
        <v>68.20999999999999</v>
      </c>
      <c r="JF1561" s="2">
        <v>68.73</v>
      </c>
      <c r="JG1561" s="2">
        <v>69.56</v>
      </c>
      <c r="JH1561" s="2">
        <v>69.84999999999999</v>
      </c>
      <c r="JI1561" s="2">
        <v>71.11</v>
      </c>
      <c r="JJ1561" s="2">
        <v>71.76000000000001</v>
      </c>
      <c r="JK1561" s="2">
        <v>72.27</v>
      </c>
      <c r="JL1561" s="2">
        <v>72.34</v>
      </c>
      <c r="JM1561" s="2">
        <v>76.52</v>
      </c>
      <c r="JN1561" s="2">
        <v>76.64</v>
      </c>
      <c r="JO1561" s="2">
        <v>77.16</v>
      </c>
      <c r="JP1561" s="2">
        <v>77.23999999999999</v>
      </c>
      <c r="JQ1561" s="2">
        <v>78.51000000000001</v>
      </c>
      <c r="JR1561" s="2">
        <v>78.91</v>
      </c>
      <c r="JS1561" s="2">
        <v>78.77</v>
      </c>
      <c r="JT1561" s="2">
        <v>78.8</v>
      </c>
      <c r="JU1561" s="2">
        <v>79.94</v>
      </c>
      <c r="JV1561" s="2">
        <v>80.03</v>
      </c>
      <c r="KA1561" s="2">
        <v>80.3</v>
      </c>
      <c r="KB1561" s="2">
        <v>80.31</v>
      </c>
      <c r="KC1561" s="2">
        <v>82.5</v>
      </c>
      <c r="KD1561" s="2">
        <v>82.66</v>
      </c>
      <c r="KQ1561" s="2">
        <v>83.27</v>
      </c>
      <c r="KR1561" s="2">
        <v>83.27</v>
      </c>
      <c r="KS1561" s="2">
        <v>84.83</v>
      </c>
      <c r="KT1561" s="2">
        <v>84.92</v>
      </c>
      <c r="LG1561" s="2">
        <v>85.40000000000001</v>
      </c>
      <c r="LH1561" s="2">
        <v>85.53</v>
      </c>
      <c r="LI1561" s="2">
        <v>86.59999999999999</v>
      </c>
      <c r="LJ1561" s="2">
        <v>86.42</v>
      </c>
      <c r="LW1561" s="2">
        <v>86.56999999999999</v>
      </c>
      <c r="LX1561" s="2">
        <v>83.68000000000001</v>
      </c>
      <c r="LY1561" s="2">
        <v>85.09999999999999</v>
      </c>
      <c r="LZ1561" s="2">
        <v>86.55</v>
      </c>
      <c r="MM1561" s="2">
        <v>86.48</v>
      </c>
      <c r="MN1561" s="2">
        <v>86.41</v>
      </c>
      <c r="MO1561" s="2">
        <v>87.04000000000001</v>
      </c>
      <c r="MP1561" s="2">
        <v>87.17</v>
      </c>
      <c r="NC1561" s="2">
        <v>87.45999999999999</v>
      </c>
      <c r="ND1561" s="2">
        <v>87.86</v>
      </c>
      <c r="NE1561" s="2">
        <v>89.45999999999999</v>
      </c>
      <c r="NF1561" s="2">
        <v>89.72</v>
      </c>
      <c r="NS1561" s="2">
        <v>90.13</v>
      </c>
      <c r="NT1561" s="2">
        <v>90.22</v>
      </c>
      <c r="NU1561" s="2">
        <v>93.15000000000001</v>
      </c>
      <c r="NV1561" s="2">
        <v>93.73999999999999</v>
      </c>
      <c r="OI1561" s="2">
        <v>94.97</v>
      </c>
      <c r="OJ1561" s="2">
        <v>95.27</v>
      </c>
      <c r="OK1561" s="2">
        <v>96.62</v>
      </c>
      <c r="OL1561" s="2">
        <v>95.52</v>
      </c>
      <c r="OY1561" s="2">
        <v>96.23</v>
      </c>
      <c r="OZ1561" s="2">
        <v>96.56</v>
      </c>
      <c r="PA1561" s="2">
        <v>98.55</v>
      </c>
      <c r="PB1561" s="2">
        <v>100.13</v>
      </c>
      <c r="PJ1561" s="2">
        <v>100.57</v>
      </c>
      <c r="PK1561" s="2">
        <v>100.86</v>
      </c>
    </row>
    <row r="1562">
      <c r="A1562" t="inlineStr">
        <is>
          <t>A2326701J</t>
        </is>
      </c>
      <c r="B1562" t="inlineStr">
        <is>
          <t>Index Numbers ;  Urban transport fares ;  Australia ;</t>
        </is>
      </c>
      <c r="C1562" t="inlineStr">
        <is>
          <t>Quarter</t>
        </is>
      </c>
      <c r="D1562" t="inlineStr">
        <is>
          <t>Index Numbers</t>
        </is>
      </c>
      <c r="E1562" t="inlineStr">
        <is>
          <t>Original</t>
        </is>
      </c>
      <c r="F1562" t="inlineStr">
        <is>
          <t>6401018.xlsx</t>
        </is>
      </c>
      <c r="G1562" t="inlineStr">
        <is>
          <t>1972Q3</t>
        </is>
      </c>
      <c r="H1562" t="inlineStr">
        <is>
          <t>2026Q2</t>
        </is>
      </c>
      <c r="DA1562" s="2">
        <v>6.46</v>
      </c>
      <c r="DB1562" s="2">
        <v>6.46</v>
      </c>
      <c r="DC1562" s="2">
        <v>6.52</v>
      </c>
      <c r="DD1562" s="2">
        <v>6.59</v>
      </c>
      <c r="DE1562" s="2">
        <v>6.68</v>
      </c>
      <c r="DF1562" s="2">
        <v>6.74</v>
      </c>
      <c r="DG1562" s="2">
        <v>6.77</v>
      </c>
      <c r="DH1562" s="2">
        <v>6.83</v>
      </c>
      <c r="DI1562" s="2">
        <v>7.11</v>
      </c>
      <c r="DJ1562" s="2">
        <v>7.61</v>
      </c>
      <c r="DK1562" s="2">
        <v>7.76</v>
      </c>
      <c r="DL1562" s="2">
        <v>7.76</v>
      </c>
      <c r="DM1562" s="2">
        <v>8.380000000000001</v>
      </c>
      <c r="DN1562" s="2">
        <v>8.470000000000001</v>
      </c>
      <c r="DO1562" s="2">
        <v>9</v>
      </c>
      <c r="DP1562" s="2">
        <v>9</v>
      </c>
      <c r="DQ1562" s="2">
        <v>8.69</v>
      </c>
      <c r="DR1562" s="2">
        <v>8.75</v>
      </c>
      <c r="DS1562" s="2">
        <v>8.75</v>
      </c>
      <c r="DT1562" s="2">
        <v>8.779999999999999</v>
      </c>
      <c r="DU1562" s="2">
        <v>8.869999999999999</v>
      </c>
      <c r="DV1562" s="2">
        <v>8.970000000000001</v>
      </c>
      <c r="DW1562" s="2">
        <v>9.52</v>
      </c>
      <c r="DX1562" s="2">
        <v>9.52</v>
      </c>
      <c r="DY1562" s="2">
        <v>9.619999999999999</v>
      </c>
      <c r="DZ1562" s="2">
        <v>9.619999999999999</v>
      </c>
      <c r="EA1562" s="2">
        <v>10.02</v>
      </c>
      <c r="EB1562" s="2">
        <v>10.02</v>
      </c>
      <c r="EC1562" s="2">
        <v>10.48</v>
      </c>
      <c r="ED1562" s="2">
        <v>11.16</v>
      </c>
      <c r="EE1562" s="2">
        <v>11.6</v>
      </c>
      <c r="EF1562" s="2">
        <v>11.66</v>
      </c>
      <c r="EG1562" s="2">
        <v>12.59</v>
      </c>
      <c r="EH1562" s="2">
        <v>13.39</v>
      </c>
      <c r="EI1562" s="2">
        <v>13.54</v>
      </c>
      <c r="EJ1562" s="2">
        <v>13.54</v>
      </c>
      <c r="EK1562" s="2">
        <v>14.01</v>
      </c>
      <c r="EL1562" s="2">
        <v>15.31</v>
      </c>
      <c r="EM1562" s="2">
        <v>15.55</v>
      </c>
      <c r="EN1562" s="2">
        <v>15.55</v>
      </c>
      <c r="EO1562" s="2">
        <v>16.39</v>
      </c>
      <c r="EP1562" s="2">
        <v>17.16</v>
      </c>
      <c r="EQ1562" s="2">
        <v>17.29</v>
      </c>
      <c r="ER1562" s="2">
        <v>17.29</v>
      </c>
      <c r="ES1562" s="2">
        <v>17.78</v>
      </c>
      <c r="ET1562" s="2">
        <v>19.36</v>
      </c>
      <c r="EU1562" s="2">
        <v>19.57</v>
      </c>
      <c r="EV1562" s="2">
        <v>19.57</v>
      </c>
      <c r="EW1562" s="2">
        <v>20.04</v>
      </c>
      <c r="EX1562" s="2">
        <v>20.5</v>
      </c>
      <c r="EY1562" s="2">
        <v>20.59</v>
      </c>
      <c r="EZ1562" s="2">
        <v>20.66</v>
      </c>
      <c r="FA1562" s="2">
        <v>21.21</v>
      </c>
      <c r="FB1562" s="2">
        <v>21.68</v>
      </c>
      <c r="FC1562" s="2">
        <v>22.05</v>
      </c>
      <c r="FD1562" s="2">
        <v>22.14</v>
      </c>
      <c r="FE1562" s="2">
        <v>23.53</v>
      </c>
      <c r="FF1562" s="2">
        <v>24</v>
      </c>
      <c r="FG1562" s="2">
        <v>24.24</v>
      </c>
      <c r="FH1562" s="2">
        <v>24.3</v>
      </c>
      <c r="FI1562" s="2">
        <v>25.36</v>
      </c>
      <c r="FJ1562" s="2">
        <v>25.7</v>
      </c>
      <c r="FK1562" s="2">
        <v>26.13</v>
      </c>
      <c r="FL1562" s="2">
        <v>26.28</v>
      </c>
      <c r="FM1562" s="2">
        <v>28.17</v>
      </c>
      <c r="FN1562" s="2">
        <v>28.57</v>
      </c>
      <c r="FO1562" s="2">
        <v>28.63</v>
      </c>
      <c r="FP1562" s="2">
        <v>28.73</v>
      </c>
      <c r="FQ1562" s="2">
        <v>30.33</v>
      </c>
      <c r="FR1562" s="2">
        <v>30.86</v>
      </c>
      <c r="FS1562" s="2">
        <v>31.17</v>
      </c>
      <c r="FT1562" s="2">
        <v>31.32</v>
      </c>
      <c r="FU1562" s="2">
        <v>33.15</v>
      </c>
      <c r="FV1562" s="2">
        <v>34.66</v>
      </c>
      <c r="FW1562" s="2">
        <v>35.1</v>
      </c>
      <c r="FX1562" s="2">
        <v>35.87</v>
      </c>
      <c r="FY1562" s="2">
        <v>36.95</v>
      </c>
      <c r="FZ1562" s="2">
        <v>37.42</v>
      </c>
      <c r="GA1562" s="2">
        <v>37.88</v>
      </c>
      <c r="GB1562" s="2">
        <v>37.91</v>
      </c>
      <c r="GC1562" s="2">
        <v>38.75</v>
      </c>
      <c r="GD1562" s="2">
        <v>38.81</v>
      </c>
      <c r="GE1562" s="2">
        <v>39.98</v>
      </c>
      <c r="GF1562" s="2">
        <v>40.11</v>
      </c>
      <c r="GG1562" s="2">
        <v>40.85</v>
      </c>
      <c r="GH1562" s="2">
        <v>40.91</v>
      </c>
      <c r="GI1562" s="2">
        <v>41.28</v>
      </c>
      <c r="GJ1562" s="2">
        <v>41.38</v>
      </c>
      <c r="GK1562" s="2">
        <v>42.05</v>
      </c>
      <c r="GL1562" s="2">
        <v>42.24</v>
      </c>
      <c r="GM1562" s="2">
        <v>42.52</v>
      </c>
      <c r="GN1562" s="2">
        <v>42.61</v>
      </c>
      <c r="GO1562" s="2">
        <v>43.75</v>
      </c>
      <c r="GP1562" s="2">
        <v>43.82</v>
      </c>
      <c r="GQ1562" s="2">
        <v>43.97</v>
      </c>
      <c r="GR1562" s="2">
        <v>44.25</v>
      </c>
      <c r="GS1562" s="2">
        <v>45.7</v>
      </c>
      <c r="GT1562" s="2">
        <v>46.07</v>
      </c>
      <c r="GU1562" s="2">
        <v>46.75</v>
      </c>
      <c r="GV1562" s="2">
        <v>47</v>
      </c>
      <c r="GW1562" s="2">
        <v>47.47</v>
      </c>
      <c r="GX1562" s="2">
        <v>47.53</v>
      </c>
      <c r="GY1562" s="2">
        <v>47.62</v>
      </c>
      <c r="GZ1562" s="2">
        <v>47.71</v>
      </c>
      <c r="HA1562" s="2">
        <v>48.23</v>
      </c>
      <c r="HB1562" s="2">
        <v>48.15</v>
      </c>
      <c r="HC1562" s="2">
        <v>48.56</v>
      </c>
      <c r="HD1562" s="2">
        <v>48.67</v>
      </c>
      <c r="HE1562" s="2">
        <v>49.77</v>
      </c>
      <c r="HF1562" s="2">
        <v>50.66</v>
      </c>
      <c r="HG1562" s="2">
        <v>50.98</v>
      </c>
      <c r="HH1562" s="2">
        <v>50.98</v>
      </c>
      <c r="HI1562" s="2">
        <v>55.13</v>
      </c>
      <c r="HJ1562" s="2">
        <v>55.64</v>
      </c>
      <c r="HK1562" s="2">
        <v>56.58</v>
      </c>
      <c r="HL1562" s="2">
        <v>56.58</v>
      </c>
      <c r="HM1562" s="2">
        <v>57.92</v>
      </c>
      <c r="HN1562" s="2">
        <v>57.91</v>
      </c>
      <c r="HO1562" s="2">
        <v>58.33</v>
      </c>
      <c r="HP1562" s="2">
        <v>58.34</v>
      </c>
      <c r="HQ1562" s="2">
        <v>58.83</v>
      </c>
      <c r="HR1562" s="2">
        <v>58.84</v>
      </c>
      <c r="HS1562" s="2">
        <v>59.2</v>
      </c>
      <c r="HT1562" s="2">
        <v>59.5</v>
      </c>
      <c r="HU1562" s="2">
        <v>61.19</v>
      </c>
      <c r="HV1562" s="2">
        <v>61.35</v>
      </c>
      <c r="HW1562" s="2">
        <v>62.49</v>
      </c>
      <c r="HX1562" s="2">
        <v>62.5</v>
      </c>
      <c r="HY1562" s="2">
        <v>62.4</v>
      </c>
      <c r="HZ1562" s="2">
        <v>62.78</v>
      </c>
      <c r="IA1562" s="2">
        <v>63.52</v>
      </c>
      <c r="IB1562" s="2">
        <v>63.52</v>
      </c>
      <c r="IC1562" s="2">
        <v>64.12</v>
      </c>
      <c r="ID1562" s="2">
        <v>64.84999999999999</v>
      </c>
      <c r="IE1562" s="2">
        <v>65.59</v>
      </c>
      <c r="IF1562" s="2">
        <v>65.59</v>
      </c>
      <c r="IG1562" s="2">
        <v>67.19</v>
      </c>
      <c r="IH1562" s="2">
        <v>67.25</v>
      </c>
      <c r="II1562" s="2">
        <v>67.54000000000001</v>
      </c>
      <c r="IJ1562" s="2">
        <v>68.03</v>
      </c>
      <c r="IK1562" s="2">
        <v>69.16</v>
      </c>
      <c r="IL1562" s="2">
        <v>70.19</v>
      </c>
      <c r="IM1562" s="2">
        <v>71.15000000000001</v>
      </c>
      <c r="IN1562" s="2">
        <v>71.34999999999999</v>
      </c>
      <c r="IO1562" s="2">
        <v>72.20999999999999</v>
      </c>
      <c r="IP1562" s="2">
        <v>72.54000000000001</v>
      </c>
      <c r="IQ1562" s="2">
        <v>74.95999999999999</v>
      </c>
      <c r="IR1562" s="2">
        <v>74.98</v>
      </c>
      <c r="IS1562" s="2">
        <v>75.59999999999999</v>
      </c>
      <c r="IT1562" s="2">
        <v>75.73999999999999</v>
      </c>
      <c r="IU1562" s="2">
        <v>78.15000000000001</v>
      </c>
      <c r="IV1562" s="2">
        <v>76.90000000000001</v>
      </c>
      <c r="IW1562" s="2">
        <v>77.51000000000001</v>
      </c>
      <c r="IX1562" s="2">
        <v>77.51000000000001</v>
      </c>
      <c r="IY1562" s="2">
        <v>78.31</v>
      </c>
      <c r="IZ1562" s="2">
        <v>79.12</v>
      </c>
      <c r="JA1562" s="2">
        <v>79.51000000000001</v>
      </c>
      <c r="JB1562" s="2">
        <v>79.54000000000001</v>
      </c>
      <c r="JC1562" s="2">
        <v>83.18000000000001</v>
      </c>
      <c r="JD1562" s="2">
        <v>83.22</v>
      </c>
      <c r="JE1562" s="2">
        <v>84.09999999999999</v>
      </c>
      <c r="JF1562" s="2">
        <v>84.16</v>
      </c>
      <c r="JG1562" s="2">
        <v>86.89</v>
      </c>
      <c r="JH1562" s="2">
        <v>86.90000000000001</v>
      </c>
      <c r="JI1562" s="2">
        <v>87.2</v>
      </c>
      <c r="JJ1562" s="2">
        <v>87.2</v>
      </c>
      <c r="JK1562" s="2">
        <v>89.09</v>
      </c>
      <c r="JL1562" s="2">
        <v>89.09</v>
      </c>
      <c r="JM1562" s="2">
        <v>90.06</v>
      </c>
      <c r="JN1562" s="2">
        <v>88.41</v>
      </c>
      <c r="JO1562" s="2">
        <v>85.5</v>
      </c>
      <c r="JP1562" s="2">
        <v>85.5</v>
      </c>
      <c r="JQ1562" s="2">
        <v>85.7</v>
      </c>
      <c r="JR1562" s="2">
        <v>85.40000000000001</v>
      </c>
      <c r="JS1562" s="2">
        <v>85.63</v>
      </c>
      <c r="JT1562" s="2">
        <v>85.63</v>
      </c>
      <c r="JU1562" s="2">
        <v>85.81999999999999</v>
      </c>
      <c r="JV1562" s="2">
        <v>87.42</v>
      </c>
      <c r="KA1562" s="2">
        <v>86.63</v>
      </c>
      <c r="KB1562" s="2">
        <v>86.78</v>
      </c>
      <c r="KC1562" s="2">
        <v>87.86</v>
      </c>
      <c r="KD1562" s="2">
        <v>87.86</v>
      </c>
      <c r="KQ1562" s="2">
        <v>89.41</v>
      </c>
      <c r="KR1562" s="2">
        <v>89.27</v>
      </c>
      <c r="KS1562" s="2">
        <v>90.06999999999999</v>
      </c>
      <c r="KT1562" s="2">
        <v>90.06999999999999</v>
      </c>
      <c r="LG1562" s="2">
        <v>91.09</v>
      </c>
      <c r="LH1562" s="2">
        <v>90.92</v>
      </c>
      <c r="LI1562" s="2">
        <v>91.95999999999999</v>
      </c>
      <c r="LJ1562" s="2">
        <v>91.98999999999999</v>
      </c>
      <c r="LW1562" s="2">
        <v>92.52</v>
      </c>
      <c r="LX1562" s="2">
        <v>90.66</v>
      </c>
      <c r="LY1562" s="2">
        <v>87.43000000000001</v>
      </c>
      <c r="LZ1562" s="2">
        <v>91.37</v>
      </c>
      <c r="MM1562" s="2">
        <v>91.55</v>
      </c>
      <c r="MN1562" s="2">
        <v>91.67</v>
      </c>
      <c r="MO1562" s="2">
        <v>92.23</v>
      </c>
      <c r="MP1562" s="2">
        <v>92.27</v>
      </c>
      <c r="NC1562" s="2">
        <v>92.66</v>
      </c>
      <c r="ND1562" s="2">
        <v>88.59999999999999</v>
      </c>
      <c r="NE1562" s="2">
        <v>94.48999999999999</v>
      </c>
      <c r="NF1562" s="2">
        <v>93.93000000000001</v>
      </c>
      <c r="NS1562" s="2">
        <v>95.73</v>
      </c>
      <c r="NT1562" s="2">
        <v>95.73999999999999</v>
      </c>
      <c r="NU1562" s="2">
        <v>98.52</v>
      </c>
      <c r="NV1562" s="2">
        <v>100.05</v>
      </c>
      <c r="OI1562" s="2">
        <v>100.32</v>
      </c>
      <c r="OJ1562" s="2">
        <v>101.08</v>
      </c>
      <c r="OK1562" s="2">
        <v>98.93000000000001</v>
      </c>
      <c r="OL1562" s="2">
        <v>95.79000000000001</v>
      </c>
      <c r="OY1562" s="2">
        <v>96.48</v>
      </c>
      <c r="OZ1562" s="2">
        <v>98.13</v>
      </c>
      <c r="PA1562" s="2">
        <v>99.98999999999999</v>
      </c>
      <c r="PB1562" s="2">
        <v>97.88</v>
      </c>
      <c r="PJ1562" s="2">
        <v>95.31999999999999</v>
      </c>
      <c r="PK1562" s="2">
        <v>80.86</v>
      </c>
    </row>
    <row r="1563">
      <c r="A1563" t="inlineStr">
        <is>
          <t>A2328816V</t>
        </is>
      </c>
      <c r="B1563" t="inlineStr">
        <is>
          <t>Index Numbers ;  Urban transport fares ;  Australia ;</t>
        </is>
      </c>
      <c r="C1563" t="inlineStr">
        <is>
          <t>Quarter</t>
        </is>
      </c>
      <c r="D1563" t="inlineStr">
        <is>
          <t>Index Numbers</t>
        </is>
      </c>
      <c r="E1563" t="inlineStr">
        <is>
          <t>Original</t>
        </is>
      </c>
      <c r="F1563" t="inlineStr">
        <is>
          <t>6401018.xlsx</t>
        </is>
      </c>
      <c r="G1563" t="inlineStr">
        <is>
          <t>1972Q3</t>
        </is>
      </c>
      <c r="H1563" t="inlineStr">
        <is>
          <t>2026Q2</t>
        </is>
      </c>
      <c r="DA1563" s="2">
        <v>6.46</v>
      </c>
      <c r="DB1563" s="2">
        <v>6.46</v>
      </c>
      <c r="DC1563" s="2">
        <v>6.53</v>
      </c>
      <c r="DD1563" s="2">
        <v>6.59</v>
      </c>
      <c r="DE1563" s="2">
        <v>6.68</v>
      </c>
      <c r="DF1563" s="2">
        <v>6.74</v>
      </c>
      <c r="DG1563" s="2">
        <v>6.77</v>
      </c>
      <c r="DH1563" s="2">
        <v>6.83</v>
      </c>
      <c r="DI1563" s="2">
        <v>7.11</v>
      </c>
      <c r="DJ1563" s="2">
        <v>7.61</v>
      </c>
      <c r="DK1563" s="2">
        <v>7.76</v>
      </c>
      <c r="DL1563" s="2">
        <v>7.76</v>
      </c>
      <c r="DM1563" s="2">
        <v>8.380000000000001</v>
      </c>
      <c r="DN1563" s="2">
        <v>8.470000000000001</v>
      </c>
      <c r="DO1563" s="2">
        <v>9</v>
      </c>
      <c r="DP1563" s="2">
        <v>9</v>
      </c>
      <c r="DQ1563" s="2">
        <v>8.69</v>
      </c>
      <c r="DR1563" s="2">
        <v>8.75</v>
      </c>
      <c r="DS1563" s="2">
        <v>8.75</v>
      </c>
      <c r="DT1563" s="2">
        <v>8.779999999999999</v>
      </c>
      <c r="DU1563" s="2">
        <v>8.880000000000001</v>
      </c>
      <c r="DV1563" s="2">
        <v>8.970000000000001</v>
      </c>
      <c r="DW1563" s="2">
        <v>9.52</v>
      </c>
      <c r="DX1563" s="2">
        <v>9.52</v>
      </c>
      <c r="DY1563" s="2">
        <v>9.619999999999999</v>
      </c>
      <c r="DZ1563" s="2">
        <v>9.619999999999999</v>
      </c>
      <c r="EA1563" s="2">
        <v>10.02</v>
      </c>
      <c r="EB1563" s="2">
        <v>10.02</v>
      </c>
      <c r="EC1563" s="2">
        <v>10.48</v>
      </c>
      <c r="ED1563" s="2">
        <v>11.16</v>
      </c>
      <c r="EE1563" s="2">
        <v>11.6</v>
      </c>
      <c r="EF1563" s="2">
        <v>11.66</v>
      </c>
      <c r="EG1563" s="2">
        <v>12.59</v>
      </c>
      <c r="EH1563" s="2">
        <v>13.39</v>
      </c>
      <c r="EI1563" s="2">
        <v>13.54</v>
      </c>
      <c r="EJ1563" s="2">
        <v>13.54</v>
      </c>
      <c r="EK1563" s="2">
        <v>14.01</v>
      </c>
      <c r="EL1563" s="2">
        <v>15.31</v>
      </c>
      <c r="EM1563" s="2">
        <v>15.55</v>
      </c>
      <c r="EN1563" s="2">
        <v>15.55</v>
      </c>
      <c r="EO1563" s="2">
        <v>16.39</v>
      </c>
      <c r="EP1563" s="2">
        <v>17.16</v>
      </c>
      <c r="EQ1563" s="2">
        <v>17.29</v>
      </c>
      <c r="ER1563" s="2">
        <v>17.29</v>
      </c>
      <c r="ES1563" s="2">
        <v>17.78</v>
      </c>
      <c r="ET1563" s="2">
        <v>19.36</v>
      </c>
      <c r="EU1563" s="2">
        <v>19.58</v>
      </c>
      <c r="EV1563" s="2">
        <v>19.58</v>
      </c>
      <c r="EW1563" s="2">
        <v>20.04</v>
      </c>
      <c r="EX1563" s="2">
        <v>20.5</v>
      </c>
      <c r="EY1563" s="2">
        <v>20.6</v>
      </c>
      <c r="EZ1563" s="2">
        <v>20.66</v>
      </c>
      <c r="FA1563" s="2">
        <v>21.21</v>
      </c>
      <c r="FB1563" s="2">
        <v>21.68</v>
      </c>
      <c r="FC1563" s="2">
        <v>22.05</v>
      </c>
      <c r="FD1563" s="2">
        <v>22.14</v>
      </c>
      <c r="FE1563" s="2">
        <v>23.53</v>
      </c>
      <c r="FF1563" s="2">
        <v>24</v>
      </c>
      <c r="FG1563" s="2">
        <v>24.24</v>
      </c>
      <c r="FH1563" s="2">
        <v>24.31</v>
      </c>
      <c r="FI1563" s="2">
        <v>25.36</v>
      </c>
      <c r="FJ1563" s="2">
        <v>25.7</v>
      </c>
      <c r="FK1563" s="2">
        <v>26.13</v>
      </c>
      <c r="FL1563" s="2">
        <v>26.29</v>
      </c>
      <c r="FM1563" s="2">
        <v>28.17</v>
      </c>
      <c r="FN1563" s="2">
        <v>28.57</v>
      </c>
      <c r="FO1563" s="2">
        <v>28.64</v>
      </c>
      <c r="FP1563" s="2">
        <v>28.73</v>
      </c>
      <c r="FQ1563" s="2">
        <v>30.34</v>
      </c>
      <c r="FR1563" s="2">
        <v>30.86</v>
      </c>
      <c r="FS1563" s="2">
        <v>31.17</v>
      </c>
      <c r="FT1563" s="2">
        <v>31.33</v>
      </c>
      <c r="FU1563" s="2">
        <v>33.15</v>
      </c>
      <c r="FV1563" s="2">
        <v>34.67</v>
      </c>
      <c r="FW1563" s="2">
        <v>35.1</v>
      </c>
      <c r="FX1563" s="2">
        <v>35.87</v>
      </c>
      <c r="FY1563" s="2">
        <v>36.95</v>
      </c>
      <c r="FZ1563" s="2">
        <v>37.42</v>
      </c>
      <c r="GA1563" s="2">
        <v>37.88</v>
      </c>
      <c r="GB1563" s="2">
        <v>37.91</v>
      </c>
      <c r="GC1563" s="2">
        <v>38.75</v>
      </c>
      <c r="GD1563" s="2">
        <v>38.81</v>
      </c>
      <c r="GE1563" s="2">
        <v>39.99</v>
      </c>
      <c r="GF1563" s="2">
        <v>40.11</v>
      </c>
      <c r="GG1563" s="2">
        <v>40.85</v>
      </c>
      <c r="GH1563" s="2">
        <v>40.91</v>
      </c>
      <c r="GI1563" s="2">
        <v>41.28</v>
      </c>
      <c r="GJ1563" s="2">
        <v>41.38</v>
      </c>
      <c r="GK1563" s="2">
        <v>42.06</v>
      </c>
      <c r="GL1563" s="2">
        <v>42.24</v>
      </c>
      <c r="GM1563" s="2">
        <v>42.52</v>
      </c>
      <c r="GN1563" s="2">
        <v>42.61</v>
      </c>
      <c r="GO1563" s="2">
        <v>43.76</v>
      </c>
      <c r="GP1563" s="2">
        <v>43.82</v>
      </c>
      <c r="GQ1563" s="2">
        <v>43.97</v>
      </c>
      <c r="GR1563" s="2">
        <v>44.25</v>
      </c>
      <c r="GS1563" s="2">
        <v>45.71</v>
      </c>
      <c r="GT1563" s="2">
        <v>46.08</v>
      </c>
      <c r="GU1563" s="2">
        <v>46.76</v>
      </c>
      <c r="GV1563" s="2">
        <v>47</v>
      </c>
      <c r="GW1563" s="2">
        <v>47.47</v>
      </c>
      <c r="GX1563" s="2">
        <v>47.53</v>
      </c>
      <c r="GY1563" s="2">
        <v>47.62</v>
      </c>
      <c r="GZ1563" s="2">
        <v>47.72</v>
      </c>
      <c r="HA1563" s="2">
        <v>48.23</v>
      </c>
      <c r="HB1563" s="2">
        <v>48.15</v>
      </c>
      <c r="HC1563" s="2">
        <v>48.56</v>
      </c>
      <c r="HD1563" s="2">
        <v>48.67</v>
      </c>
      <c r="HE1563" s="2">
        <v>49.77</v>
      </c>
      <c r="HF1563" s="2">
        <v>50.66</v>
      </c>
      <c r="HG1563" s="2">
        <v>50.98</v>
      </c>
      <c r="HH1563" s="2">
        <v>50.98</v>
      </c>
      <c r="HI1563" s="2">
        <v>55.13</v>
      </c>
      <c r="HJ1563" s="2">
        <v>55.64</v>
      </c>
      <c r="HK1563" s="2">
        <v>56.58</v>
      </c>
      <c r="HL1563" s="2">
        <v>56.58</v>
      </c>
      <c r="HM1563" s="2">
        <v>57.92</v>
      </c>
      <c r="HN1563" s="2">
        <v>57.91</v>
      </c>
      <c r="HO1563" s="2">
        <v>58.33</v>
      </c>
      <c r="HP1563" s="2">
        <v>58.34</v>
      </c>
      <c r="HQ1563" s="2">
        <v>58.83</v>
      </c>
      <c r="HR1563" s="2">
        <v>58.84</v>
      </c>
      <c r="HS1563" s="2">
        <v>59.2</v>
      </c>
      <c r="HT1563" s="2">
        <v>59.5</v>
      </c>
      <c r="HU1563" s="2">
        <v>61.19</v>
      </c>
      <c r="HV1563" s="2">
        <v>61.35</v>
      </c>
      <c r="HW1563" s="2">
        <v>62.49</v>
      </c>
      <c r="HX1563" s="2">
        <v>62.5</v>
      </c>
      <c r="HY1563" s="2">
        <v>62.4</v>
      </c>
      <c r="HZ1563" s="2">
        <v>62.78</v>
      </c>
      <c r="IA1563" s="2">
        <v>63.52</v>
      </c>
      <c r="IB1563" s="2">
        <v>63.52</v>
      </c>
      <c r="IC1563" s="2">
        <v>64.14</v>
      </c>
      <c r="ID1563" s="2">
        <v>64.84999999999999</v>
      </c>
      <c r="IE1563" s="2">
        <v>65.59</v>
      </c>
      <c r="IF1563" s="2">
        <v>65.59</v>
      </c>
      <c r="IG1563" s="2">
        <v>67.19</v>
      </c>
      <c r="IH1563" s="2">
        <v>67.25</v>
      </c>
      <c r="II1563" s="2">
        <v>67.54000000000001</v>
      </c>
      <c r="IJ1563" s="2">
        <v>68.03</v>
      </c>
      <c r="IK1563" s="2">
        <v>69.16</v>
      </c>
      <c r="IL1563" s="2">
        <v>70.19</v>
      </c>
      <c r="IM1563" s="2">
        <v>71.15000000000001</v>
      </c>
      <c r="IN1563" s="2">
        <v>71.34999999999999</v>
      </c>
      <c r="IO1563" s="2">
        <v>72.20999999999999</v>
      </c>
      <c r="IP1563" s="2">
        <v>72.54000000000001</v>
      </c>
      <c r="IQ1563" s="2">
        <v>74.95999999999999</v>
      </c>
      <c r="IR1563" s="2">
        <v>74.98</v>
      </c>
      <c r="IS1563" s="2">
        <v>75.59999999999999</v>
      </c>
      <c r="IT1563" s="2">
        <v>75.73999999999999</v>
      </c>
      <c r="IU1563" s="2">
        <v>78.15000000000001</v>
      </c>
      <c r="IV1563" s="2">
        <v>76.90000000000001</v>
      </c>
      <c r="IW1563" s="2">
        <v>77.51000000000001</v>
      </c>
      <c r="IX1563" s="2">
        <v>77.51000000000001</v>
      </c>
      <c r="IY1563" s="2">
        <v>78.31</v>
      </c>
      <c r="IZ1563" s="2">
        <v>79.12</v>
      </c>
      <c r="JA1563" s="2">
        <v>79.51000000000001</v>
      </c>
      <c r="JB1563" s="2">
        <v>79.54000000000001</v>
      </c>
      <c r="JC1563" s="2">
        <v>83.18000000000001</v>
      </c>
      <c r="JD1563" s="2">
        <v>83.22</v>
      </c>
      <c r="JE1563" s="2">
        <v>84.09999999999999</v>
      </c>
      <c r="JF1563" s="2">
        <v>84.16</v>
      </c>
      <c r="JG1563" s="2">
        <v>86.89</v>
      </c>
      <c r="JH1563" s="2">
        <v>86.90000000000001</v>
      </c>
      <c r="JI1563" s="2">
        <v>87.2</v>
      </c>
      <c r="JJ1563" s="2">
        <v>87.2</v>
      </c>
      <c r="JK1563" s="2">
        <v>89.09</v>
      </c>
      <c r="JL1563" s="2">
        <v>89.09</v>
      </c>
      <c r="JM1563" s="2">
        <v>90.06</v>
      </c>
      <c r="JN1563" s="2">
        <v>88.41</v>
      </c>
      <c r="JO1563" s="2">
        <v>85.5</v>
      </c>
      <c r="JP1563" s="2">
        <v>85.5</v>
      </c>
      <c r="JQ1563" s="2">
        <v>85.7</v>
      </c>
      <c r="JR1563" s="2">
        <v>85.40000000000001</v>
      </c>
      <c r="JS1563" s="2">
        <v>85.63</v>
      </c>
      <c r="JT1563" s="2">
        <v>85.63</v>
      </c>
      <c r="JU1563" s="2">
        <v>85.81999999999999</v>
      </c>
      <c r="JV1563" s="2">
        <v>87.42</v>
      </c>
      <c r="KA1563" s="2">
        <v>86.63</v>
      </c>
      <c r="KB1563" s="2">
        <v>86.78</v>
      </c>
      <c r="KC1563" s="2">
        <v>87.86</v>
      </c>
      <c r="KD1563" s="2">
        <v>87.86</v>
      </c>
      <c r="KQ1563" s="2">
        <v>89.41</v>
      </c>
      <c r="KR1563" s="2">
        <v>89.27</v>
      </c>
      <c r="KS1563" s="2">
        <v>90.06999999999999</v>
      </c>
      <c r="KT1563" s="2">
        <v>90.06999999999999</v>
      </c>
      <c r="LG1563" s="2">
        <v>91.09</v>
      </c>
      <c r="LH1563" s="2">
        <v>90.92</v>
      </c>
      <c r="LI1563" s="2">
        <v>91.95999999999999</v>
      </c>
      <c r="LJ1563" s="2">
        <v>91.98999999999999</v>
      </c>
      <c r="LW1563" s="2">
        <v>92.52</v>
      </c>
      <c r="LX1563" s="2">
        <v>90.66</v>
      </c>
      <c r="LY1563" s="2">
        <v>87.43000000000001</v>
      </c>
      <c r="LZ1563" s="2">
        <v>91.37</v>
      </c>
      <c r="MM1563" s="2">
        <v>91.55</v>
      </c>
      <c r="MN1563" s="2">
        <v>91.67</v>
      </c>
      <c r="MO1563" s="2">
        <v>92.23</v>
      </c>
      <c r="MP1563" s="2">
        <v>92.27</v>
      </c>
      <c r="NC1563" s="2">
        <v>92.66</v>
      </c>
      <c r="ND1563" s="2">
        <v>88.59999999999999</v>
      </c>
      <c r="NE1563" s="2">
        <v>94.48999999999999</v>
      </c>
      <c r="NF1563" s="2">
        <v>93.93000000000001</v>
      </c>
      <c r="NS1563" s="2">
        <v>95.73</v>
      </c>
      <c r="NT1563" s="2">
        <v>95.73999999999999</v>
      </c>
      <c r="NU1563" s="2">
        <v>98.52</v>
      </c>
      <c r="NV1563" s="2">
        <v>100.05</v>
      </c>
      <c r="OI1563" s="2">
        <v>100.32</v>
      </c>
      <c r="OJ1563" s="2">
        <v>101.08</v>
      </c>
      <c r="OK1563" s="2">
        <v>98.93000000000001</v>
      </c>
      <c r="OL1563" s="2">
        <v>95.79000000000001</v>
      </c>
      <c r="OY1563" s="2">
        <v>96.48</v>
      </c>
      <c r="OZ1563" s="2">
        <v>98.13</v>
      </c>
      <c r="PA1563" s="2">
        <v>99.98999999999999</v>
      </c>
      <c r="PB1563" s="2">
        <v>97.88</v>
      </c>
      <c r="PJ1563" s="2">
        <v>95.31999999999999</v>
      </c>
      <c r="PK1563" s="2">
        <v>80.86</v>
      </c>
    </row>
    <row r="1564">
      <c r="A1564" t="inlineStr">
        <is>
          <t>A2331201J</t>
        </is>
      </c>
      <c r="B1564" t="inlineStr">
        <is>
          <t>Index Numbers ;  Communication ;  Australia ;</t>
        </is>
      </c>
      <c r="C1564" t="inlineStr">
        <is>
          <t>Quarter</t>
        </is>
      </c>
      <c r="D1564" t="inlineStr">
        <is>
          <t>Index Numbers</t>
        </is>
      </c>
      <c r="E1564" t="inlineStr">
        <is>
          <t>Original</t>
        </is>
      </c>
      <c r="F1564" t="inlineStr">
        <is>
          <t>6401018.xlsx</t>
        </is>
      </c>
      <c r="G1564" t="inlineStr">
        <is>
          <t>1972Q3</t>
        </is>
      </c>
      <c r="H1564" t="inlineStr">
        <is>
          <t>2026Q2</t>
        </is>
      </c>
      <c r="DA1564" s="2">
        <v>37.26</v>
      </c>
      <c r="DB1564" s="2">
        <v>37.26</v>
      </c>
      <c r="DC1564" s="2">
        <v>37.26</v>
      </c>
      <c r="DD1564" s="2">
        <v>37.26</v>
      </c>
      <c r="DE1564" s="2">
        <v>37.26</v>
      </c>
      <c r="DF1564" s="2">
        <v>37.26</v>
      </c>
      <c r="DG1564" s="2">
        <v>37.26</v>
      </c>
      <c r="DH1564" s="2">
        <v>37.26</v>
      </c>
      <c r="DI1564" s="2">
        <v>37.26</v>
      </c>
      <c r="DJ1564" s="2">
        <v>45.4</v>
      </c>
      <c r="DK1564" s="2">
        <v>45.4</v>
      </c>
      <c r="DL1564" s="2">
        <v>45.4</v>
      </c>
      <c r="DM1564" s="2">
        <v>45.4</v>
      </c>
      <c r="DN1564" s="2">
        <v>63.97</v>
      </c>
      <c r="DO1564" s="2">
        <v>63.97</v>
      </c>
      <c r="DP1564" s="2">
        <v>64.19</v>
      </c>
      <c r="DQ1564" s="2">
        <v>64.19</v>
      </c>
      <c r="DR1564" s="2">
        <v>64.73999999999999</v>
      </c>
      <c r="DS1564" s="2">
        <v>64.73999999999999</v>
      </c>
      <c r="DT1564" s="2">
        <v>64.73999999999999</v>
      </c>
      <c r="DU1564" s="2">
        <v>64.73999999999999</v>
      </c>
      <c r="DV1564" s="2">
        <v>65.62</v>
      </c>
      <c r="DW1564" s="2">
        <v>65.51000000000001</v>
      </c>
      <c r="DX1564" s="2">
        <v>65.51000000000001</v>
      </c>
      <c r="DY1564" s="2">
        <v>66.94</v>
      </c>
      <c r="DZ1564" s="2">
        <v>67.70999999999999</v>
      </c>
      <c r="EA1564" s="2">
        <v>67.16</v>
      </c>
      <c r="EB1564" s="2">
        <v>67.16</v>
      </c>
      <c r="EC1564" s="2">
        <v>67.16</v>
      </c>
      <c r="ED1564" s="2">
        <v>68.26000000000001</v>
      </c>
      <c r="EE1564" s="2">
        <v>68.48</v>
      </c>
      <c r="EF1564" s="2">
        <v>69.58</v>
      </c>
      <c r="EG1564" s="2">
        <v>69.58</v>
      </c>
      <c r="EH1564" s="2">
        <v>69.47</v>
      </c>
      <c r="EI1564" s="2">
        <v>69.47</v>
      </c>
      <c r="EJ1564" s="2">
        <v>68.81</v>
      </c>
      <c r="EK1564" s="2">
        <v>70.34999999999999</v>
      </c>
      <c r="EL1564" s="2">
        <v>73.76000000000001</v>
      </c>
      <c r="EM1564" s="2">
        <v>75.95999999999999</v>
      </c>
      <c r="EN1564" s="2">
        <v>77.17</v>
      </c>
      <c r="EO1564" s="2">
        <v>79.36</v>
      </c>
      <c r="EP1564" s="2">
        <v>82.44</v>
      </c>
      <c r="EQ1564" s="2">
        <v>82.55</v>
      </c>
      <c r="ER1564" s="2">
        <v>82.44</v>
      </c>
      <c r="ES1564" s="2">
        <v>82.44</v>
      </c>
      <c r="ET1564" s="2">
        <v>90.47</v>
      </c>
      <c r="EU1564" s="2">
        <v>90.58</v>
      </c>
      <c r="EV1564" s="2">
        <v>90.58</v>
      </c>
      <c r="EW1564" s="2">
        <v>90.58</v>
      </c>
      <c r="EX1564" s="2">
        <v>90.58</v>
      </c>
      <c r="EY1564" s="2">
        <v>93.31999999999999</v>
      </c>
      <c r="EZ1564" s="2">
        <v>95.41</v>
      </c>
      <c r="FA1564" s="2">
        <v>95.41</v>
      </c>
      <c r="FB1564" s="2">
        <v>97.17</v>
      </c>
      <c r="FC1564" s="2">
        <v>97.94</v>
      </c>
      <c r="FD1564" s="2">
        <v>97.94</v>
      </c>
      <c r="FE1564" s="2">
        <v>98.70999999999999</v>
      </c>
      <c r="FF1564" s="2">
        <v>100.91</v>
      </c>
      <c r="FG1564" s="2">
        <v>101.57</v>
      </c>
      <c r="FH1564" s="2">
        <v>101.9</v>
      </c>
      <c r="FI1564" s="2">
        <v>107.61</v>
      </c>
      <c r="FJ1564" s="2">
        <v>109.59</v>
      </c>
      <c r="FK1564" s="2">
        <v>108.93</v>
      </c>
      <c r="FL1564" s="2">
        <v>108.93</v>
      </c>
      <c r="FM1564" s="2">
        <v>110.03</v>
      </c>
      <c r="FN1564" s="2">
        <v>112.78</v>
      </c>
      <c r="FO1564" s="2">
        <v>111.46</v>
      </c>
      <c r="FP1564" s="2">
        <v>109.04</v>
      </c>
      <c r="FQ1564" s="2">
        <v>109.04</v>
      </c>
      <c r="FR1564" s="2">
        <v>110.03</v>
      </c>
      <c r="FS1564" s="2">
        <v>110.25</v>
      </c>
      <c r="FT1564" s="2">
        <v>110.36</v>
      </c>
      <c r="FU1564" s="2">
        <v>112.78</v>
      </c>
      <c r="FV1564" s="2">
        <v>112.89</v>
      </c>
      <c r="FW1564" s="2">
        <v>112.89</v>
      </c>
      <c r="FX1564" s="2">
        <v>113</v>
      </c>
      <c r="FY1564" s="2">
        <v>117.51</v>
      </c>
      <c r="FZ1564" s="2">
        <v>117.51</v>
      </c>
      <c r="GA1564" s="2">
        <v>118.39</v>
      </c>
      <c r="GB1564" s="2">
        <v>117.62</v>
      </c>
      <c r="GC1564" s="2">
        <v>117.4</v>
      </c>
      <c r="GD1564" s="2">
        <v>117.84</v>
      </c>
      <c r="GE1564" s="2">
        <v>117.84</v>
      </c>
      <c r="GF1564" s="2">
        <v>116.96</v>
      </c>
      <c r="GG1564" s="2">
        <v>116.3</v>
      </c>
      <c r="GH1564" s="2">
        <v>116.08</v>
      </c>
      <c r="GI1564" s="2">
        <v>117.29</v>
      </c>
      <c r="GJ1564" s="2">
        <v>117.29</v>
      </c>
      <c r="GK1564" s="2">
        <v>117.29</v>
      </c>
      <c r="GL1564" s="2">
        <v>118.61</v>
      </c>
      <c r="GM1564" s="2">
        <v>118.61</v>
      </c>
      <c r="GN1564" s="2">
        <v>118.39</v>
      </c>
      <c r="GO1564" s="2">
        <v>118.5</v>
      </c>
      <c r="GP1564" s="2">
        <v>118.5</v>
      </c>
      <c r="GQ1564" s="2">
        <v>117.4</v>
      </c>
      <c r="GR1564" s="2">
        <v>117.29</v>
      </c>
      <c r="GS1564" s="2">
        <v>117.29</v>
      </c>
      <c r="GT1564" s="2">
        <v>116.85</v>
      </c>
      <c r="GU1564" s="2">
        <v>116.96</v>
      </c>
      <c r="GV1564" s="2">
        <v>116.96</v>
      </c>
      <c r="GW1564" s="2">
        <v>117.07</v>
      </c>
      <c r="GX1564" s="2">
        <v>117.4</v>
      </c>
      <c r="GY1564" s="2">
        <v>117.4</v>
      </c>
      <c r="GZ1564" s="2">
        <v>116.63</v>
      </c>
      <c r="HA1564" s="2">
        <v>115.64</v>
      </c>
      <c r="HB1564" s="2">
        <v>114.43</v>
      </c>
      <c r="HC1564" s="2">
        <v>111.24</v>
      </c>
      <c r="HD1564" s="2">
        <v>110.91</v>
      </c>
      <c r="HE1564" s="2">
        <v>107.39</v>
      </c>
      <c r="HF1564" s="2">
        <v>106.95</v>
      </c>
      <c r="HG1564" s="2">
        <v>107.18</v>
      </c>
      <c r="HH1564" s="2">
        <v>108.59</v>
      </c>
      <c r="HI1564" s="2">
        <v>116.12</v>
      </c>
      <c r="HJ1564" s="2">
        <v>115.34</v>
      </c>
      <c r="HK1564" s="2">
        <v>114.78</v>
      </c>
      <c r="HL1564" s="2">
        <v>114.11</v>
      </c>
      <c r="HM1564" s="2">
        <v>113.87</v>
      </c>
      <c r="HN1564" s="2">
        <v>115.88</v>
      </c>
      <c r="HO1564" s="2">
        <v>115.93</v>
      </c>
      <c r="HP1564" s="2">
        <v>116.83</v>
      </c>
      <c r="HQ1564" s="2">
        <v>118.64</v>
      </c>
      <c r="HR1564" s="2">
        <v>119.2</v>
      </c>
      <c r="HS1564" s="2">
        <v>119.55</v>
      </c>
      <c r="HT1564" s="2">
        <v>119.73</v>
      </c>
      <c r="HU1564" s="2">
        <v>120.62</v>
      </c>
      <c r="HV1564" s="2">
        <v>120.85</v>
      </c>
      <c r="HW1564" s="2">
        <v>120.89</v>
      </c>
      <c r="HX1564" s="2">
        <v>121.4</v>
      </c>
      <c r="HY1564" s="2">
        <v>121.93</v>
      </c>
      <c r="HZ1564" s="2">
        <v>122.23</v>
      </c>
      <c r="IA1564" s="2">
        <v>122.67</v>
      </c>
      <c r="IB1564" s="2">
        <v>121.55</v>
      </c>
      <c r="IC1564" s="2">
        <v>120.7</v>
      </c>
      <c r="ID1564" s="2">
        <v>119.82</v>
      </c>
      <c r="IE1564" s="2">
        <v>120.34</v>
      </c>
      <c r="IF1564" s="2">
        <v>120.46</v>
      </c>
      <c r="IG1564" s="2">
        <v>121.19</v>
      </c>
      <c r="IH1564" s="2">
        <v>121.75</v>
      </c>
      <c r="II1564" s="2">
        <v>121.98</v>
      </c>
      <c r="IJ1564" s="2">
        <v>122.18</v>
      </c>
      <c r="IK1564" s="2">
        <v>122.19</v>
      </c>
      <c r="IL1564" s="2">
        <v>122.21</v>
      </c>
      <c r="IM1564" s="2">
        <v>122.14</v>
      </c>
      <c r="IN1564" s="2">
        <v>122.22</v>
      </c>
      <c r="IO1564" s="2">
        <v>122.5</v>
      </c>
      <c r="IP1564" s="2">
        <v>122.94</v>
      </c>
      <c r="IQ1564" s="2">
        <v>123.38</v>
      </c>
      <c r="IR1564" s="2">
        <v>123.65</v>
      </c>
      <c r="IS1564" s="2">
        <v>123.71</v>
      </c>
      <c r="IT1564" s="2">
        <v>123.63</v>
      </c>
      <c r="IU1564" s="2">
        <v>123.52</v>
      </c>
      <c r="IV1564" s="2">
        <v>123.47</v>
      </c>
      <c r="IW1564" s="2">
        <v>123.16</v>
      </c>
      <c r="IX1564" s="2">
        <v>123.17</v>
      </c>
      <c r="IY1564" s="2">
        <v>123.37</v>
      </c>
      <c r="IZ1564" s="2">
        <v>123.9</v>
      </c>
      <c r="JA1564" s="2">
        <v>123.87</v>
      </c>
      <c r="JB1564" s="2">
        <v>125.17</v>
      </c>
      <c r="JC1564" s="2">
        <v>125.28</v>
      </c>
      <c r="JD1564" s="2">
        <v>124.94</v>
      </c>
      <c r="JE1564" s="2">
        <v>125.56</v>
      </c>
      <c r="JF1564" s="2">
        <v>127.14</v>
      </c>
      <c r="JG1564" s="2">
        <v>127.14</v>
      </c>
      <c r="JH1564" s="2">
        <v>127.68</v>
      </c>
      <c r="JI1564" s="2">
        <v>127.81</v>
      </c>
      <c r="JJ1564" s="2">
        <v>129.28</v>
      </c>
      <c r="JK1564" s="2">
        <v>129.56</v>
      </c>
      <c r="JL1564" s="2">
        <v>127.32</v>
      </c>
      <c r="JM1564" s="2">
        <v>125.51</v>
      </c>
      <c r="JN1564" s="2">
        <v>125.39</v>
      </c>
      <c r="JO1564" s="2">
        <v>123.71</v>
      </c>
      <c r="JP1564" s="2">
        <v>122.91</v>
      </c>
      <c r="JQ1564" s="2">
        <v>120.49</v>
      </c>
      <c r="JR1564" s="2">
        <v>117.6</v>
      </c>
      <c r="JS1564" s="2">
        <v>115.79</v>
      </c>
      <c r="JT1564" s="2">
        <v>114.11</v>
      </c>
      <c r="JU1564" s="2">
        <v>111.43</v>
      </c>
      <c r="JV1564" s="2">
        <v>110.65</v>
      </c>
      <c r="KA1564" s="2">
        <v>110.25</v>
      </c>
      <c r="KB1564" s="2">
        <v>109.75</v>
      </c>
      <c r="KC1564" s="2">
        <v>108.18</v>
      </c>
      <c r="KD1564" s="2">
        <v>106.8</v>
      </c>
      <c r="KQ1564" s="2">
        <v>106.44</v>
      </c>
      <c r="KR1564" s="2">
        <v>105.07</v>
      </c>
      <c r="KS1564" s="2">
        <v>103.62</v>
      </c>
      <c r="KT1564" s="2">
        <v>102.2</v>
      </c>
      <c r="LG1564" s="2">
        <v>101.64</v>
      </c>
      <c r="LH1564" s="2">
        <v>100.45</v>
      </c>
      <c r="LI1564" s="2">
        <v>99.33</v>
      </c>
      <c r="LJ1564" s="2">
        <v>98.36</v>
      </c>
      <c r="LW1564" s="2">
        <v>98.13</v>
      </c>
      <c r="LX1564" s="2">
        <v>96.86</v>
      </c>
      <c r="LY1564" s="2">
        <v>96.12</v>
      </c>
      <c r="LZ1564" s="2">
        <v>95.79000000000001</v>
      </c>
      <c r="MM1564" s="2">
        <v>96.20999999999999</v>
      </c>
      <c r="MN1564" s="2">
        <v>95.67</v>
      </c>
      <c r="MO1564" s="2">
        <v>95.11</v>
      </c>
      <c r="MP1564" s="2">
        <v>95.26000000000001</v>
      </c>
      <c r="NC1564" s="2">
        <v>95.53</v>
      </c>
      <c r="ND1564" s="2">
        <v>95.58</v>
      </c>
      <c r="NE1564" s="2">
        <v>96.93000000000001</v>
      </c>
      <c r="NF1564" s="2">
        <v>96.51000000000001</v>
      </c>
      <c r="NS1564" s="2">
        <v>96.66</v>
      </c>
      <c r="NT1564" s="2">
        <v>96.2</v>
      </c>
      <c r="NU1564" s="2">
        <v>98.25</v>
      </c>
      <c r="NV1564" s="2">
        <v>98.58</v>
      </c>
      <c r="OI1564" s="2">
        <v>98.3</v>
      </c>
      <c r="OJ1564" s="2">
        <v>97.56999999999999</v>
      </c>
      <c r="OK1564" s="2">
        <v>98.09999999999999</v>
      </c>
      <c r="OL1564" s="2">
        <v>98.61</v>
      </c>
      <c r="OY1564" s="2">
        <v>98.31999999999999</v>
      </c>
      <c r="OZ1564" s="2">
        <v>98.53</v>
      </c>
      <c r="PA1564" s="2">
        <v>99.90000000000001</v>
      </c>
      <c r="PB1564" s="2">
        <v>99.95</v>
      </c>
      <c r="PJ1564" s="2">
        <v>99.98</v>
      </c>
      <c r="PK1564" s="2">
        <v>100.62</v>
      </c>
    </row>
    <row r="1565">
      <c r="A1565" t="inlineStr">
        <is>
          <t>A2326611C</t>
        </is>
      </c>
      <c r="B1565" t="inlineStr">
        <is>
          <t>Index Numbers ;  Communication ;  Australia ;</t>
        </is>
      </c>
      <c r="C1565" t="inlineStr">
        <is>
          <t>Quarter</t>
        </is>
      </c>
      <c r="D1565" t="inlineStr">
        <is>
          <t>Index Numbers</t>
        </is>
      </c>
      <c r="E1565" t="inlineStr">
        <is>
          <t>Original</t>
        </is>
      </c>
      <c r="F1565" t="inlineStr">
        <is>
          <t>6401018.xlsx</t>
        </is>
      </c>
      <c r="G1565" t="inlineStr">
        <is>
          <t>1972Q3</t>
        </is>
      </c>
      <c r="H1565" t="inlineStr">
        <is>
          <t>2026Q2</t>
        </is>
      </c>
      <c r="DA1565" s="2">
        <v>37.26</v>
      </c>
      <c r="DB1565" s="2">
        <v>37.26</v>
      </c>
      <c r="DC1565" s="2">
        <v>37.26</v>
      </c>
      <c r="DD1565" s="2">
        <v>37.26</v>
      </c>
      <c r="DE1565" s="2">
        <v>37.26</v>
      </c>
      <c r="DF1565" s="2">
        <v>37.26</v>
      </c>
      <c r="DG1565" s="2">
        <v>37.26</v>
      </c>
      <c r="DH1565" s="2">
        <v>37.26</v>
      </c>
      <c r="DI1565" s="2">
        <v>37.26</v>
      </c>
      <c r="DJ1565" s="2">
        <v>45.4</v>
      </c>
      <c r="DK1565" s="2">
        <v>45.4</v>
      </c>
      <c r="DL1565" s="2">
        <v>45.4</v>
      </c>
      <c r="DM1565" s="2">
        <v>45.4</v>
      </c>
      <c r="DN1565" s="2">
        <v>63.97</v>
      </c>
      <c r="DO1565" s="2">
        <v>63.97</v>
      </c>
      <c r="DP1565" s="2">
        <v>64.19</v>
      </c>
      <c r="DQ1565" s="2">
        <v>64.19</v>
      </c>
      <c r="DR1565" s="2">
        <v>64.73999999999999</v>
      </c>
      <c r="DS1565" s="2">
        <v>64.73999999999999</v>
      </c>
      <c r="DT1565" s="2">
        <v>64.73999999999999</v>
      </c>
      <c r="DU1565" s="2">
        <v>64.73999999999999</v>
      </c>
      <c r="DV1565" s="2">
        <v>65.62</v>
      </c>
      <c r="DW1565" s="2">
        <v>65.51000000000001</v>
      </c>
      <c r="DX1565" s="2">
        <v>65.51000000000001</v>
      </c>
      <c r="DY1565" s="2">
        <v>66.94</v>
      </c>
      <c r="DZ1565" s="2">
        <v>67.70999999999999</v>
      </c>
      <c r="EA1565" s="2">
        <v>67.16</v>
      </c>
      <c r="EB1565" s="2">
        <v>67.16</v>
      </c>
      <c r="EC1565" s="2">
        <v>67.16</v>
      </c>
      <c r="ED1565" s="2">
        <v>68.26000000000001</v>
      </c>
      <c r="EE1565" s="2">
        <v>68.48</v>
      </c>
      <c r="EF1565" s="2">
        <v>69.58</v>
      </c>
      <c r="EG1565" s="2">
        <v>69.58</v>
      </c>
      <c r="EH1565" s="2">
        <v>69.47</v>
      </c>
      <c r="EI1565" s="2">
        <v>69.47</v>
      </c>
      <c r="EJ1565" s="2">
        <v>68.81</v>
      </c>
      <c r="EK1565" s="2">
        <v>70.34999999999999</v>
      </c>
      <c r="EL1565" s="2">
        <v>73.76000000000001</v>
      </c>
      <c r="EM1565" s="2">
        <v>75.95999999999999</v>
      </c>
      <c r="EN1565" s="2">
        <v>77.17</v>
      </c>
      <c r="EO1565" s="2">
        <v>79.36</v>
      </c>
      <c r="EP1565" s="2">
        <v>82.44</v>
      </c>
      <c r="EQ1565" s="2">
        <v>82.55</v>
      </c>
      <c r="ER1565" s="2">
        <v>82.44</v>
      </c>
      <c r="ES1565" s="2">
        <v>82.44</v>
      </c>
      <c r="ET1565" s="2">
        <v>90.47</v>
      </c>
      <c r="EU1565" s="2">
        <v>90.58</v>
      </c>
      <c r="EV1565" s="2">
        <v>90.58</v>
      </c>
      <c r="EW1565" s="2">
        <v>90.58</v>
      </c>
      <c r="EX1565" s="2">
        <v>90.58</v>
      </c>
      <c r="EY1565" s="2">
        <v>93.31999999999999</v>
      </c>
      <c r="EZ1565" s="2">
        <v>95.41</v>
      </c>
      <c r="FA1565" s="2">
        <v>95.41</v>
      </c>
      <c r="FB1565" s="2">
        <v>97.17</v>
      </c>
      <c r="FC1565" s="2">
        <v>97.94</v>
      </c>
      <c r="FD1565" s="2">
        <v>97.94</v>
      </c>
      <c r="FE1565" s="2">
        <v>98.70999999999999</v>
      </c>
      <c r="FF1565" s="2">
        <v>100.91</v>
      </c>
      <c r="FG1565" s="2">
        <v>101.57</v>
      </c>
      <c r="FH1565" s="2">
        <v>101.9</v>
      </c>
      <c r="FI1565" s="2">
        <v>107.61</v>
      </c>
      <c r="FJ1565" s="2">
        <v>109.59</v>
      </c>
      <c r="FK1565" s="2">
        <v>108.93</v>
      </c>
      <c r="FL1565" s="2">
        <v>108.93</v>
      </c>
      <c r="FM1565" s="2">
        <v>110.03</v>
      </c>
      <c r="FN1565" s="2">
        <v>112.78</v>
      </c>
      <c r="FO1565" s="2">
        <v>111.46</v>
      </c>
      <c r="FP1565" s="2">
        <v>109.04</v>
      </c>
      <c r="FQ1565" s="2">
        <v>109.04</v>
      </c>
      <c r="FR1565" s="2">
        <v>110.03</v>
      </c>
      <c r="FS1565" s="2">
        <v>110.25</v>
      </c>
      <c r="FT1565" s="2">
        <v>110.36</v>
      </c>
      <c r="FU1565" s="2">
        <v>112.78</v>
      </c>
      <c r="FV1565" s="2">
        <v>112.89</v>
      </c>
      <c r="FW1565" s="2">
        <v>112.89</v>
      </c>
      <c r="FX1565" s="2">
        <v>113</v>
      </c>
      <c r="FY1565" s="2">
        <v>117.51</v>
      </c>
      <c r="FZ1565" s="2">
        <v>117.51</v>
      </c>
      <c r="GA1565" s="2">
        <v>118.39</v>
      </c>
      <c r="GB1565" s="2">
        <v>117.62</v>
      </c>
      <c r="GC1565" s="2">
        <v>117.4</v>
      </c>
      <c r="GD1565" s="2">
        <v>117.84</v>
      </c>
      <c r="GE1565" s="2">
        <v>117.84</v>
      </c>
      <c r="GF1565" s="2">
        <v>116.96</v>
      </c>
      <c r="GG1565" s="2">
        <v>116.3</v>
      </c>
      <c r="GH1565" s="2">
        <v>116.08</v>
      </c>
      <c r="GI1565" s="2">
        <v>117.29</v>
      </c>
      <c r="GJ1565" s="2">
        <v>117.29</v>
      </c>
      <c r="GK1565" s="2">
        <v>117.29</v>
      </c>
      <c r="GL1565" s="2">
        <v>118.61</v>
      </c>
      <c r="GM1565" s="2">
        <v>118.61</v>
      </c>
      <c r="GN1565" s="2">
        <v>118.39</v>
      </c>
      <c r="GO1565" s="2">
        <v>118.5</v>
      </c>
      <c r="GP1565" s="2">
        <v>118.5</v>
      </c>
      <c r="GQ1565" s="2">
        <v>117.4</v>
      </c>
      <c r="GR1565" s="2">
        <v>117.29</v>
      </c>
      <c r="GS1565" s="2">
        <v>117.29</v>
      </c>
      <c r="GT1565" s="2">
        <v>116.85</v>
      </c>
      <c r="GU1565" s="2">
        <v>116.96</v>
      </c>
      <c r="GV1565" s="2">
        <v>116.96</v>
      </c>
      <c r="GW1565" s="2">
        <v>117.07</v>
      </c>
      <c r="GX1565" s="2">
        <v>117.4</v>
      </c>
      <c r="GY1565" s="2">
        <v>117.4</v>
      </c>
      <c r="GZ1565" s="2">
        <v>116.63</v>
      </c>
      <c r="HA1565" s="2">
        <v>115.59</v>
      </c>
      <c r="HB1565" s="2">
        <v>114.42</v>
      </c>
      <c r="HC1565" s="2">
        <v>111.23</v>
      </c>
      <c r="HD1565" s="2">
        <v>110.93</v>
      </c>
      <c r="HE1565" s="2">
        <v>107.35</v>
      </c>
      <c r="HF1565" s="2">
        <v>106.98</v>
      </c>
      <c r="HG1565" s="2">
        <v>107.18</v>
      </c>
      <c r="HH1565" s="2">
        <v>108.59</v>
      </c>
      <c r="HI1565" s="2">
        <v>116.12</v>
      </c>
      <c r="HJ1565" s="2">
        <v>115.34</v>
      </c>
      <c r="HK1565" s="2">
        <v>114.78</v>
      </c>
      <c r="HL1565" s="2">
        <v>114.11</v>
      </c>
      <c r="HM1565" s="2">
        <v>113.87</v>
      </c>
      <c r="HN1565" s="2">
        <v>115.88</v>
      </c>
      <c r="HO1565" s="2">
        <v>115.93</v>
      </c>
      <c r="HP1565" s="2">
        <v>116.83</v>
      </c>
      <c r="HQ1565" s="2">
        <v>118.64</v>
      </c>
      <c r="HR1565" s="2">
        <v>119.2</v>
      </c>
      <c r="HS1565" s="2">
        <v>119.55</v>
      </c>
      <c r="HT1565" s="2">
        <v>119.73</v>
      </c>
      <c r="HU1565" s="2">
        <v>120.62</v>
      </c>
      <c r="HV1565" s="2">
        <v>120.85</v>
      </c>
      <c r="HW1565" s="2">
        <v>120.89</v>
      </c>
      <c r="HX1565" s="2">
        <v>121.4</v>
      </c>
      <c r="HY1565" s="2">
        <v>121.93</v>
      </c>
      <c r="HZ1565" s="2">
        <v>122.23</v>
      </c>
      <c r="IA1565" s="2">
        <v>122.67</v>
      </c>
      <c r="IB1565" s="2">
        <v>121.55</v>
      </c>
      <c r="IC1565" s="2">
        <v>120.7</v>
      </c>
      <c r="ID1565" s="2">
        <v>119.82</v>
      </c>
      <c r="IE1565" s="2">
        <v>120.34</v>
      </c>
      <c r="IF1565" s="2">
        <v>120.46</v>
      </c>
      <c r="IG1565" s="2">
        <v>121.19</v>
      </c>
      <c r="IH1565" s="2">
        <v>121.75</v>
      </c>
      <c r="II1565" s="2">
        <v>121.98</v>
      </c>
      <c r="IJ1565" s="2">
        <v>122.18</v>
      </c>
      <c r="IK1565" s="2">
        <v>122.19</v>
      </c>
      <c r="IL1565" s="2">
        <v>122.21</v>
      </c>
      <c r="IM1565" s="2">
        <v>122.14</v>
      </c>
      <c r="IN1565" s="2">
        <v>122.22</v>
      </c>
      <c r="IO1565" s="2">
        <v>122.5</v>
      </c>
      <c r="IP1565" s="2">
        <v>122.94</v>
      </c>
      <c r="IQ1565" s="2">
        <v>123.38</v>
      </c>
      <c r="IR1565" s="2">
        <v>123.65</v>
      </c>
      <c r="IS1565" s="2">
        <v>123.71</v>
      </c>
      <c r="IT1565" s="2">
        <v>123.63</v>
      </c>
      <c r="IU1565" s="2">
        <v>123.52</v>
      </c>
      <c r="IV1565" s="2">
        <v>123.47</v>
      </c>
      <c r="IW1565" s="2">
        <v>123.16</v>
      </c>
      <c r="IX1565" s="2">
        <v>123.17</v>
      </c>
      <c r="IY1565" s="2">
        <v>123.37</v>
      </c>
      <c r="IZ1565" s="2">
        <v>123.9</v>
      </c>
      <c r="JA1565" s="2">
        <v>123.87</v>
      </c>
      <c r="JB1565" s="2">
        <v>125.17</v>
      </c>
      <c r="JC1565" s="2">
        <v>125.28</v>
      </c>
      <c r="JD1565" s="2">
        <v>124.94</v>
      </c>
      <c r="JE1565" s="2">
        <v>125.56</v>
      </c>
      <c r="JF1565" s="2">
        <v>127.14</v>
      </c>
      <c r="JG1565" s="2">
        <v>127.14</v>
      </c>
      <c r="JH1565" s="2">
        <v>127.68</v>
      </c>
      <c r="JI1565" s="2">
        <v>127.81</v>
      </c>
      <c r="JJ1565" s="2">
        <v>129.28</v>
      </c>
      <c r="JK1565" s="2">
        <v>129.56</v>
      </c>
      <c r="JL1565" s="2">
        <v>127.32</v>
      </c>
      <c r="JM1565" s="2">
        <v>125.51</v>
      </c>
      <c r="JN1565" s="2">
        <v>125.39</v>
      </c>
      <c r="JO1565" s="2">
        <v>123.71</v>
      </c>
      <c r="JP1565" s="2">
        <v>122.91</v>
      </c>
      <c r="JQ1565" s="2">
        <v>120.49</v>
      </c>
      <c r="JR1565" s="2">
        <v>117.6</v>
      </c>
      <c r="JS1565" s="2">
        <v>115.79</v>
      </c>
      <c r="JT1565" s="2">
        <v>114.11</v>
      </c>
      <c r="JU1565" s="2">
        <v>111.43</v>
      </c>
      <c r="JV1565" s="2">
        <v>110.65</v>
      </c>
      <c r="KA1565" s="2">
        <v>110.25</v>
      </c>
      <c r="KB1565" s="2">
        <v>109.75</v>
      </c>
      <c r="KC1565" s="2">
        <v>108.18</v>
      </c>
      <c r="KD1565" s="2">
        <v>106.8</v>
      </c>
      <c r="KQ1565" s="2">
        <v>106.44</v>
      </c>
      <c r="KR1565" s="2">
        <v>105.07</v>
      </c>
      <c r="KS1565" s="2">
        <v>103.62</v>
      </c>
      <c r="KT1565" s="2">
        <v>102.2</v>
      </c>
      <c r="LG1565" s="2">
        <v>101.64</v>
      </c>
      <c r="LH1565" s="2">
        <v>100.45</v>
      </c>
      <c r="LI1565" s="2">
        <v>99.33</v>
      </c>
      <c r="LJ1565" s="2">
        <v>98.36</v>
      </c>
      <c r="LW1565" s="2">
        <v>98.13</v>
      </c>
      <c r="LX1565" s="2">
        <v>96.86</v>
      </c>
      <c r="LY1565" s="2">
        <v>96.12</v>
      </c>
      <c r="LZ1565" s="2">
        <v>95.79000000000001</v>
      </c>
      <c r="MM1565" s="2">
        <v>96.20999999999999</v>
      </c>
      <c r="MN1565" s="2">
        <v>95.67</v>
      </c>
      <c r="MO1565" s="2">
        <v>95.11</v>
      </c>
      <c r="MP1565" s="2">
        <v>95.26000000000001</v>
      </c>
      <c r="NC1565" s="2">
        <v>95.53</v>
      </c>
      <c r="ND1565" s="2">
        <v>95.58</v>
      </c>
      <c r="NE1565" s="2">
        <v>96.93000000000001</v>
      </c>
      <c r="NF1565" s="2">
        <v>96.51000000000001</v>
      </c>
      <c r="NS1565" s="2">
        <v>96.66</v>
      </c>
      <c r="NT1565" s="2">
        <v>96.2</v>
      </c>
      <c r="NU1565" s="2">
        <v>98.25</v>
      </c>
      <c r="NV1565" s="2">
        <v>98.58</v>
      </c>
      <c r="OI1565" s="2">
        <v>98.3</v>
      </c>
      <c r="OJ1565" s="2">
        <v>97.56999999999999</v>
      </c>
      <c r="OK1565" s="2">
        <v>98.09999999999999</v>
      </c>
      <c r="OL1565" s="2">
        <v>98.61</v>
      </c>
      <c r="OY1565" s="2">
        <v>98.31999999999999</v>
      </c>
      <c r="OZ1565" s="2">
        <v>98.53</v>
      </c>
      <c r="PA1565" s="2">
        <v>99.90000000000001</v>
      </c>
      <c r="PB1565" s="2">
        <v>99.95</v>
      </c>
      <c r="PJ1565" s="2">
        <v>99.98</v>
      </c>
      <c r="PK1565" s="2">
        <v>100.62</v>
      </c>
    </row>
    <row r="1566">
      <c r="A1566" t="inlineStr">
        <is>
          <t>A2328501A</t>
        </is>
      </c>
      <c r="B1566" t="inlineStr">
        <is>
          <t>Index Numbers ;  Postal services ;  Australia ;</t>
        </is>
      </c>
      <c r="C1566" t="inlineStr">
        <is>
          <t>Quarter</t>
        </is>
      </c>
      <c r="D1566" t="inlineStr">
        <is>
          <t>Index Numbers</t>
        </is>
      </c>
      <c r="E1566" t="inlineStr">
        <is>
          <t>Original</t>
        </is>
      </c>
      <c r="F1566" t="inlineStr">
        <is>
          <t>6401018.xlsx</t>
        </is>
      </c>
      <c r="G1566" t="inlineStr">
        <is>
          <t>1980Q3</t>
        </is>
      </c>
      <c r="H1566" t="inlineStr">
        <is>
          <t>2026Q2</t>
        </is>
      </c>
      <c r="EG1566" s="2">
        <v>17.61</v>
      </c>
      <c r="EH1566" s="2">
        <v>17.61</v>
      </c>
      <c r="EI1566" s="2">
        <v>17.61</v>
      </c>
      <c r="EJ1566" s="2">
        <v>17.57</v>
      </c>
      <c r="EK1566" s="2">
        <v>19.09</v>
      </c>
      <c r="EL1566" s="2">
        <v>19.15</v>
      </c>
      <c r="EM1566" s="2">
        <v>19.15</v>
      </c>
      <c r="EN1566" s="2">
        <v>20.8</v>
      </c>
      <c r="EO1566" s="2">
        <v>21.2</v>
      </c>
      <c r="EP1566" s="2">
        <v>21.54</v>
      </c>
      <c r="EQ1566" s="2">
        <v>21.54</v>
      </c>
      <c r="ER1566" s="2">
        <v>21.54</v>
      </c>
      <c r="ES1566" s="2">
        <v>21.54</v>
      </c>
      <c r="ET1566" s="2">
        <v>23.89</v>
      </c>
      <c r="EU1566" s="2">
        <v>23.92</v>
      </c>
      <c r="EV1566" s="2">
        <v>23.92</v>
      </c>
      <c r="EW1566" s="2">
        <v>23.92</v>
      </c>
      <c r="EX1566" s="2">
        <v>23.92</v>
      </c>
      <c r="EY1566" s="2">
        <v>24.7</v>
      </c>
      <c r="EZ1566" s="2">
        <v>26.21</v>
      </c>
      <c r="FA1566" s="2">
        <v>26.21</v>
      </c>
      <c r="FB1566" s="2">
        <v>26.38</v>
      </c>
      <c r="FC1566" s="2">
        <v>26.38</v>
      </c>
      <c r="FD1566" s="2">
        <v>26.38</v>
      </c>
      <c r="FE1566" s="2">
        <v>27.42</v>
      </c>
      <c r="FF1566" s="2">
        <v>28.96</v>
      </c>
      <c r="FG1566" s="2">
        <v>28.96</v>
      </c>
      <c r="FH1566" s="2">
        <v>28.96</v>
      </c>
      <c r="FI1566" s="2">
        <v>29.74</v>
      </c>
      <c r="FJ1566" s="2">
        <v>29.74</v>
      </c>
      <c r="FK1566" s="2">
        <v>29.74</v>
      </c>
      <c r="FL1566" s="2">
        <v>29.74</v>
      </c>
      <c r="FM1566" s="2">
        <v>29.74</v>
      </c>
      <c r="FN1566" s="2">
        <v>31.05</v>
      </c>
      <c r="FO1566" s="2">
        <v>31.65</v>
      </c>
      <c r="FP1566" s="2">
        <v>32.12</v>
      </c>
      <c r="FQ1566" s="2">
        <v>32.59</v>
      </c>
      <c r="FR1566" s="2">
        <v>33.73</v>
      </c>
      <c r="FS1566" s="2">
        <v>33.97</v>
      </c>
      <c r="FT1566" s="2">
        <v>34.07</v>
      </c>
      <c r="FU1566" s="2">
        <v>34.61</v>
      </c>
      <c r="FV1566" s="2">
        <v>34.84</v>
      </c>
      <c r="FW1566" s="2">
        <v>34.84</v>
      </c>
      <c r="FX1566" s="2">
        <v>35.08</v>
      </c>
      <c r="FY1566" s="2">
        <v>35.08</v>
      </c>
      <c r="FZ1566" s="2">
        <v>35.08</v>
      </c>
      <c r="GA1566" s="2">
        <v>36.93</v>
      </c>
      <c r="GB1566" s="2">
        <v>36.99</v>
      </c>
      <c r="GC1566" s="2">
        <v>36.99</v>
      </c>
      <c r="GD1566" s="2">
        <v>36.99</v>
      </c>
      <c r="GE1566" s="2">
        <v>36.99</v>
      </c>
      <c r="GF1566" s="2">
        <v>36.99</v>
      </c>
      <c r="GG1566" s="2">
        <v>36.99</v>
      </c>
      <c r="GH1566" s="2">
        <v>36.99</v>
      </c>
      <c r="GI1566" s="2">
        <v>36.99</v>
      </c>
      <c r="GJ1566" s="2">
        <v>36.99</v>
      </c>
      <c r="GK1566" s="2">
        <v>36.99</v>
      </c>
      <c r="GL1566" s="2">
        <v>36.99</v>
      </c>
      <c r="GM1566" s="2">
        <v>36.99</v>
      </c>
      <c r="GN1566" s="2">
        <v>36.99</v>
      </c>
      <c r="GO1566" s="2">
        <v>37.13</v>
      </c>
      <c r="GP1566" s="2">
        <v>37.13</v>
      </c>
      <c r="GQ1566" s="2">
        <v>37.13</v>
      </c>
      <c r="GR1566" s="2">
        <v>37.13</v>
      </c>
      <c r="GS1566" s="2">
        <v>37.13</v>
      </c>
      <c r="GT1566" s="2">
        <v>37.13</v>
      </c>
      <c r="GU1566" s="2">
        <v>37.4</v>
      </c>
      <c r="GV1566" s="2">
        <v>37.4</v>
      </c>
      <c r="GW1566" s="2">
        <v>37.4</v>
      </c>
      <c r="GX1566" s="2">
        <v>37.4</v>
      </c>
      <c r="GY1566" s="2">
        <v>37.43</v>
      </c>
      <c r="GZ1566" s="2">
        <v>37.43</v>
      </c>
      <c r="HA1566" s="2">
        <v>37.42</v>
      </c>
      <c r="HB1566" s="2">
        <v>37.47</v>
      </c>
      <c r="HC1566" s="2">
        <v>37.47</v>
      </c>
      <c r="HD1566" s="2">
        <v>37.47</v>
      </c>
      <c r="HE1566" s="2">
        <v>37.47</v>
      </c>
      <c r="HF1566" s="2">
        <v>38.93</v>
      </c>
      <c r="HG1566" s="2">
        <v>38.98</v>
      </c>
      <c r="HH1566" s="2">
        <v>38.98</v>
      </c>
      <c r="HI1566" s="2">
        <v>40.08</v>
      </c>
      <c r="HJ1566" s="2">
        <v>40.08</v>
      </c>
      <c r="HK1566" s="2">
        <v>40.08</v>
      </c>
      <c r="HL1566" s="2">
        <v>40.08</v>
      </c>
      <c r="HM1566" s="2">
        <v>40.08</v>
      </c>
      <c r="HN1566" s="2">
        <v>40.68</v>
      </c>
      <c r="HO1566" s="2">
        <v>40.68</v>
      </c>
      <c r="HP1566" s="2">
        <v>40.68</v>
      </c>
      <c r="HQ1566" s="2">
        <v>41.68</v>
      </c>
      <c r="HR1566" s="2">
        <v>41.68</v>
      </c>
      <c r="HS1566" s="2">
        <v>43.5</v>
      </c>
      <c r="HT1566" s="2">
        <v>43.78</v>
      </c>
      <c r="HU1566" s="2">
        <v>44.03</v>
      </c>
      <c r="HV1566" s="2">
        <v>44.6</v>
      </c>
      <c r="HW1566" s="2">
        <v>44.6</v>
      </c>
      <c r="HX1566" s="2">
        <v>44.6</v>
      </c>
      <c r="HY1566" s="2">
        <v>44.75</v>
      </c>
      <c r="HZ1566" s="2">
        <v>45.05</v>
      </c>
      <c r="IA1566" s="2">
        <v>45.05</v>
      </c>
      <c r="IB1566" s="2">
        <v>45.05</v>
      </c>
      <c r="IC1566" s="2">
        <v>45.26</v>
      </c>
      <c r="ID1566" s="2">
        <v>45.7</v>
      </c>
      <c r="IE1566" s="2">
        <v>45.81</v>
      </c>
      <c r="IF1566" s="2">
        <v>46.04</v>
      </c>
      <c r="IG1566" s="2">
        <v>46.19</v>
      </c>
      <c r="IH1566" s="2">
        <v>46.48</v>
      </c>
      <c r="II1566" s="2">
        <v>46.88</v>
      </c>
      <c r="IJ1566" s="2">
        <v>47.67</v>
      </c>
      <c r="IK1566" s="2">
        <v>47.82</v>
      </c>
      <c r="IL1566" s="2">
        <v>48.12</v>
      </c>
      <c r="IM1566" s="2">
        <v>48.14</v>
      </c>
      <c r="IN1566" s="2">
        <v>48.15</v>
      </c>
      <c r="IO1566" s="2">
        <v>49.5</v>
      </c>
      <c r="IP1566" s="2">
        <v>51.27</v>
      </c>
      <c r="IQ1566" s="2">
        <v>51.27</v>
      </c>
      <c r="IR1566" s="2">
        <v>51.27</v>
      </c>
      <c r="IS1566" s="2">
        <v>52.22</v>
      </c>
      <c r="IT1566" s="2">
        <v>52.22</v>
      </c>
      <c r="IU1566" s="2">
        <v>52.22</v>
      </c>
      <c r="IV1566" s="2">
        <v>52.22</v>
      </c>
      <c r="IW1566" s="2">
        <v>55.57</v>
      </c>
      <c r="IX1566" s="2">
        <v>55.57</v>
      </c>
      <c r="IY1566" s="2">
        <v>55.57</v>
      </c>
      <c r="IZ1566" s="2">
        <v>56.74</v>
      </c>
      <c r="JA1566" s="2">
        <v>58.11</v>
      </c>
      <c r="JB1566" s="2">
        <v>58.11</v>
      </c>
      <c r="JC1566" s="2">
        <v>58.11</v>
      </c>
      <c r="JD1566" s="2">
        <v>59.18</v>
      </c>
      <c r="JE1566" s="2">
        <v>59.18</v>
      </c>
      <c r="JF1566" s="2">
        <v>59.54</v>
      </c>
      <c r="JG1566" s="2">
        <v>59.72</v>
      </c>
      <c r="JH1566" s="2">
        <v>60.96</v>
      </c>
      <c r="JI1566" s="2">
        <v>60.96</v>
      </c>
      <c r="JJ1566" s="2">
        <v>61.15</v>
      </c>
      <c r="JK1566" s="2">
        <v>65.39</v>
      </c>
      <c r="JL1566" s="2">
        <v>64.15000000000001</v>
      </c>
      <c r="JM1566" s="2">
        <v>64.18000000000001</v>
      </c>
      <c r="JN1566" s="2">
        <v>64.87</v>
      </c>
      <c r="JO1566" s="2">
        <v>64.31</v>
      </c>
      <c r="JP1566" s="2">
        <v>64.88</v>
      </c>
      <c r="JQ1566" s="2">
        <v>64.98999999999999</v>
      </c>
      <c r="JR1566" s="2">
        <v>63.63</v>
      </c>
      <c r="JS1566" s="2">
        <v>63.98</v>
      </c>
      <c r="JT1566" s="2">
        <v>64.3</v>
      </c>
      <c r="JU1566" s="2">
        <v>64.91</v>
      </c>
      <c r="JV1566" s="2">
        <v>65.76000000000001</v>
      </c>
      <c r="KA1566" s="2">
        <v>66.62</v>
      </c>
      <c r="KB1566" s="2">
        <v>66.56999999999999</v>
      </c>
      <c r="KC1566" s="2">
        <v>66.90000000000001</v>
      </c>
      <c r="KD1566" s="2">
        <v>68.01000000000001</v>
      </c>
      <c r="KQ1566" s="2">
        <v>68.15000000000001</v>
      </c>
      <c r="KR1566" s="2">
        <v>71.67</v>
      </c>
      <c r="KS1566" s="2">
        <v>73.94</v>
      </c>
      <c r="KT1566" s="2">
        <v>74.84999999999999</v>
      </c>
      <c r="LG1566" s="2">
        <v>74.98999999999999</v>
      </c>
      <c r="LH1566" s="2">
        <v>74.94</v>
      </c>
      <c r="LI1566" s="2">
        <v>74.69</v>
      </c>
      <c r="LJ1566" s="2">
        <v>73.45999999999999</v>
      </c>
      <c r="LW1566" s="2">
        <v>74.56999999999999</v>
      </c>
      <c r="LX1566" s="2">
        <v>73.54000000000001</v>
      </c>
      <c r="LY1566" s="2">
        <v>72.75</v>
      </c>
      <c r="LZ1566" s="2">
        <v>72.77</v>
      </c>
      <c r="MM1566" s="2">
        <v>73.63</v>
      </c>
      <c r="MN1566" s="2">
        <v>75.31</v>
      </c>
      <c r="MO1566" s="2">
        <v>75.65000000000001</v>
      </c>
      <c r="MP1566" s="2">
        <v>76.12</v>
      </c>
      <c r="NC1566" s="2">
        <v>79.03</v>
      </c>
      <c r="ND1566" s="2">
        <v>79.12</v>
      </c>
      <c r="NE1566" s="2">
        <v>81.31</v>
      </c>
      <c r="NF1566" s="2">
        <v>81.65000000000001</v>
      </c>
      <c r="NS1566" s="2">
        <v>83.03</v>
      </c>
      <c r="NT1566" s="2">
        <v>85.84</v>
      </c>
      <c r="NU1566" s="2">
        <v>92.86</v>
      </c>
      <c r="NV1566" s="2">
        <v>94.94</v>
      </c>
      <c r="OI1566" s="2">
        <v>95.81999999999999</v>
      </c>
      <c r="OJ1566" s="2">
        <v>94.59</v>
      </c>
      <c r="OK1566" s="2">
        <v>96.13</v>
      </c>
      <c r="OL1566" s="2">
        <v>95.2</v>
      </c>
      <c r="OY1566" s="2">
        <v>96.05</v>
      </c>
      <c r="OZ1566" s="2">
        <v>98.13</v>
      </c>
      <c r="PA1566" s="2">
        <v>99.66</v>
      </c>
      <c r="PB1566" s="2">
        <v>100.69</v>
      </c>
      <c r="PJ1566" s="2">
        <v>101.76</v>
      </c>
      <c r="PK1566" s="2">
        <v>108.84</v>
      </c>
    </row>
    <row r="1567">
      <c r="A1567" t="inlineStr">
        <is>
          <t>A2328546F</t>
        </is>
      </c>
      <c r="B1567" t="inlineStr">
        <is>
          <t>Index Numbers ;  Telecommunication equipment and services ;  Australia ;</t>
        </is>
      </c>
      <c r="C1567" t="inlineStr">
        <is>
          <t>Quarter</t>
        </is>
      </c>
      <c r="D1567" t="inlineStr">
        <is>
          <t>Index Numbers</t>
        </is>
      </c>
      <c r="E1567" t="inlineStr">
        <is>
          <t>Original</t>
        </is>
      </c>
      <c r="F1567" t="inlineStr">
        <is>
          <t>6401018.xlsx</t>
        </is>
      </c>
      <c r="G1567" t="inlineStr">
        <is>
          <t>1980Q3</t>
        </is>
      </c>
      <c r="H1567" t="inlineStr">
        <is>
          <t>2026Q2</t>
        </is>
      </c>
      <c r="EG1567" s="2">
        <v>77.20999999999999</v>
      </c>
      <c r="EH1567" s="2">
        <v>76.98</v>
      </c>
      <c r="EI1567" s="2">
        <v>76.98</v>
      </c>
      <c r="EJ1567" s="2">
        <v>76.04000000000001</v>
      </c>
      <c r="EK1567" s="2">
        <v>76.04000000000001</v>
      </c>
      <c r="EL1567" s="2">
        <v>81.2</v>
      </c>
      <c r="EM1567" s="2">
        <v>84.36</v>
      </c>
      <c r="EN1567" s="2">
        <v>84.36</v>
      </c>
      <c r="EO1567" s="2">
        <v>86.81999999999999</v>
      </c>
      <c r="EP1567" s="2">
        <v>90.8</v>
      </c>
      <c r="EQ1567" s="2">
        <v>90.8</v>
      </c>
      <c r="ER1567" s="2">
        <v>90.8</v>
      </c>
      <c r="ES1567" s="2">
        <v>90.8</v>
      </c>
      <c r="ET1567" s="2">
        <v>99.23999999999999</v>
      </c>
      <c r="EU1567" s="2">
        <v>99.47</v>
      </c>
      <c r="EV1567" s="2">
        <v>99.47</v>
      </c>
      <c r="EW1567" s="2">
        <v>99.47</v>
      </c>
      <c r="EX1567" s="2">
        <v>99.47</v>
      </c>
      <c r="EY1567" s="2">
        <v>102.4</v>
      </c>
      <c r="EZ1567" s="2">
        <v>103.81</v>
      </c>
      <c r="FA1567" s="2">
        <v>103.81</v>
      </c>
      <c r="FB1567" s="2">
        <v>105.92</v>
      </c>
      <c r="FC1567" s="2">
        <v>107.09</v>
      </c>
      <c r="FD1567" s="2">
        <v>107.09</v>
      </c>
      <c r="FE1567" s="2">
        <v>107.09</v>
      </c>
      <c r="FF1567" s="2">
        <v>108.49</v>
      </c>
      <c r="FG1567" s="2">
        <v>109.31</v>
      </c>
      <c r="FH1567" s="2">
        <v>109.67</v>
      </c>
      <c r="FI1567" s="2">
        <v>116.11</v>
      </c>
      <c r="FJ1567" s="2">
        <v>118.69</v>
      </c>
      <c r="FK1567" s="2">
        <v>117.75</v>
      </c>
      <c r="FL1567" s="2">
        <v>117.75</v>
      </c>
      <c r="FM1567" s="2">
        <v>119.16</v>
      </c>
      <c r="FN1567" s="2">
        <v>121.85</v>
      </c>
      <c r="FO1567" s="2">
        <v>119.98</v>
      </c>
      <c r="FP1567" s="2">
        <v>116.81</v>
      </c>
      <c r="FQ1567" s="2">
        <v>116.58</v>
      </c>
      <c r="FR1567" s="2">
        <v>117.16</v>
      </c>
      <c r="FS1567" s="2">
        <v>117.4</v>
      </c>
      <c r="FT1567" s="2">
        <v>117.4</v>
      </c>
      <c r="FU1567" s="2">
        <v>120.09</v>
      </c>
      <c r="FV1567" s="2">
        <v>120.21</v>
      </c>
      <c r="FW1567" s="2">
        <v>120.21</v>
      </c>
      <c r="FX1567" s="2">
        <v>120.21</v>
      </c>
      <c r="FY1567" s="2">
        <v>125.72</v>
      </c>
      <c r="FZ1567" s="2">
        <v>125.6</v>
      </c>
      <c r="GA1567" s="2">
        <v>125.72</v>
      </c>
      <c r="GB1567" s="2">
        <v>124.78</v>
      </c>
      <c r="GC1567" s="2">
        <v>124.55</v>
      </c>
      <c r="GD1567" s="2">
        <v>125.01</v>
      </c>
      <c r="GE1567" s="2">
        <v>125.13</v>
      </c>
      <c r="GF1567" s="2">
        <v>124.08</v>
      </c>
      <c r="GG1567" s="2">
        <v>123.26</v>
      </c>
      <c r="GH1567" s="2">
        <v>123.02</v>
      </c>
      <c r="GI1567" s="2">
        <v>124.31</v>
      </c>
      <c r="GJ1567" s="2">
        <v>124.31</v>
      </c>
      <c r="GK1567" s="2">
        <v>124.31</v>
      </c>
      <c r="GL1567" s="2">
        <v>125.95</v>
      </c>
      <c r="GM1567" s="2">
        <v>125.95</v>
      </c>
      <c r="GN1567" s="2">
        <v>125.72</v>
      </c>
      <c r="GO1567" s="2">
        <v>125.72</v>
      </c>
      <c r="GP1567" s="2">
        <v>125.72</v>
      </c>
      <c r="GQ1567" s="2">
        <v>124.43</v>
      </c>
      <c r="GR1567" s="2">
        <v>124.43</v>
      </c>
      <c r="GS1567" s="2">
        <v>124.43</v>
      </c>
      <c r="GT1567" s="2">
        <v>123.84</v>
      </c>
      <c r="GU1567" s="2">
        <v>123.96</v>
      </c>
      <c r="GV1567" s="2">
        <v>123.96</v>
      </c>
      <c r="GW1567" s="2">
        <v>124.08</v>
      </c>
      <c r="GX1567" s="2">
        <v>124.31</v>
      </c>
      <c r="GY1567" s="2">
        <v>124.43</v>
      </c>
      <c r="GZ1567" s="2">
        <v>123.49</v>
      </c>
      <c r="HA1567" s="2">
        <v>122.28</v>
      </c>
      <c r="HB1567" s="2">
        <v>120.91</v>
      </c>
      <c r="HC1567" s="2">
        <v>117.2</v>
      </c>
      <c r="HD1567" s="2">
        <v>116.85</v>
      </c>
      <c r="HE1567" s="2">
        <v>112.7</v>
      </c>
      <c r="HF1567" s="2">
        <v>111.8</v>
      </c>
      <c r="HG1567" s="2">
        <v>112.02</v>
      </c>
      <c r="HH1567" s="2">
        <v>113.65</v>
      </c>
      <c r="HI1567" s="2">
        <v>121.8</v>
      </c>
      <c r="HJ1567" s="2">
        <v>120.94</v>
      </c>
      <c r="HK1567" s="2">
        <v>120.32</v>
      </c>
      <c r="HL1567" s="2">
        <v>119.57</v>
      </c>
      <c r="HM1567" s="2">
        <v>119.31</v>
      </c>
      <c r="HN1567" s="2">
        <v>121.44</v>
      </c>
      <c r="HO1567" s="2">
        <v>121.49</v>
      </c>
      <c r="HP1567" s="2">
        <v>122.48</v>
      </c>
      <c r="HQ1567" s="2">
        <v>124.32</v>
      </c>
      <c r="HR1567" s="2">
        <v>124.94</v>
      </c>
      <c r="HS1567" s="2">
        <v>125.03</v>
      </c>
      <c r="HT1567" s="2">
        <v>125.19</v>
      </c>
      <c r="HU1567" s="2">
        <v>126.13</v>
      </c>
      <c r="HV1567" s="2">
        <v>126.29</v>
      </c>
      <c r="HW1567" s="2">
        <v>126.33</v>
      </c>
      <c r="HX1567" s="2">
        <v>126.9</v>
      </c>
      <c r="HY1567" s="2">
        <v>127.45</v>
      </c>
      <c r="HZ1567" s="2">
        <v>127.74</v>
      </c>
      <c r="IA1567" s="2">
        <v>128.23</v>
      </c>
      <c r="IB1567" s="2">
        <v>126.99</v>
      </c>
      <c r="IC1567" s="2">
        <v>126.05</v>
      </c>
      <c r="ID1567" s="2">
        <v>125.06</v>
      </c>
      <c r="IE1567" s="2">
        <v>125.6</v>
      </c>
      <c r="IF1567" s="2">
        <v>125.71</v>
      </c>
      <c r="IG1567" s="2">
        <v>126.49</v>
      </c>
      <c r="IH1567" s="2">
        <v>127.07</v>
      </c>
      <c r="II1567" s="2">
        <v>127.27</v>
      </c>
      <c r="IJ1567" s="2">
        <v>127.41</v>
      </c>
      <c r="IK1567" s="2">
        <v>127.41</v>
      </c>
      <c r="IL1567" s="2">
        <v>127.4</v>
      </c>
      <c r="IM1567" s="2">
        <v>127.32</v>
      </c>
      <c r="IN1567" s="2">
        <v>127.41</v>
      </c>
      <c r="IO1567" s="2">
        <v>127.58</v>
      </c>
      <c r="IP1567" s="2">
        <v>127.89</v>
      </c>
      <c r="IQ1567" s="2">
        <v>128.36</v>
      </c>
      <c r="IR1567" s="2">
        <v>128.65</v>
      </c>
      <c r="IS1567" s="2">
        <v>128.63</v>
      </c>
      <c r="IT1567" s="2">
        <v>128.54</v>
      </c>
      <c r="IU1567" s="2">
        <v>128.42</v>
      </c>
      <c r="IV1567" s="2">
        <v>128.37</v>
      </c>
      <c r="IW1567" s="2">
        <v>127.7</v>
      </c>
      <c r="IX1567" s="2">
        <v>127.72</v>
      </c>
      <c r="IY1567" s="2">
        <v>127.93</v>
      </c>
      <c r="IZ1567" s="2">
        <v>128.39</v>
      </c>
      <c r="JA1567" s="2">
        <v>128.23</v>
      </c>
      <c r="JB1567" s="2">
        <v>129.63</v>
      </c>
      <c r="JC1567" s="2">
        <v>129.75</v>
      </c>
      <c r="JD1567" s="2">
        <v>129.28</v>
      </c>
      <c r="JE1567" s="2">
        <v>129.95</v>
      </c>
      <c r="JF1567" s="2">
        <v>131.63</v>
      </c>
      <c r="JG1567" s="2">
        <v>131.6</v>
      </c>
      <c r="JH1567" s="2">
        <v>132.07</v>
      </c>
      <c r="JI1567" s="2">
        <v>132.21</v>
      </c>
      <c r="JJ1567" s="2">
        <v>133.78</v>
      </c>
      <c r="JK1567" s="2">
        <v>133.67</v>
      </c>
      <c r="JL1567" s="2">
        <v>131.38</v>
      </c>
      <c r="JM1567" s="2">
        <v>129.42</v>
      </c>
      <c r="JN1567" s="2">
        <v>129.22</v>
      </c>
      <c r="JO1567" s="2">
        <v>127.46</v>
      </c>
      <c r="JP1567" s="2">
        <v>126.55</v>
      </c>
      <c r="JQ1567" s="2">
        <v>123.93</v>
      </c>
      <c r="JR1567" s="2">
        <v>120.94</v>
      </c>
      <c r="JS1567" s="2">
        <v>118.94</v>
      </c>
      <c r="JT1567" s="2">
        <v>117.1</v>
      </c>
      <c r="JU1567" s="2">
        <v>114.15</v>
      </c>
      <c r="JV1567" s="2">
        <v>113.22</v>
      </c>
      <c r="KA1567" s="2">
        <v>112.71</v>
      </c>
      <c r="KB1567" s="2">
        <v>112.18</v>
      </c>
      <c r="KC1567" s="2">
        <v>110.45</v>
      </c>
      <c r="KD1567" s="2">
        <v>108.93</v>
      </c>
      <c r="KQ1567" s="2">
        <v>108.55</v>
      </c>
      <c r="KR1567" s="2">
        <v>106.92</v>
      </c>
      <c r="KS1567" s="2">
        <v>105.27</v>
      </c>
      <c r="KT1567" s="2">
        <v>103.73</v>
      </c>
      <c r="LG1567" s="2">
        <v>103.14</v>
      </c>
      <c r="LH1567" s="2">
        <v>101.89</v>
      </c>
      <c r="LI1567" s="2">
        <v>100.72</v>
      </c>
      <c r="LJ1567" s="2">
        <v>99.76000000000001</v>
      </c>
      <c r="LW1567" s="2">
        <v>99.47</v>
      </c>
      <c r="LX1567" s="2">
        <v>98.18000000000001</v>
      </c>
      <c r="LY1567" s="2">
        <v>97.44</v>
      </c>
      <c r="LZ1567" s="2">
        <v>97.09</v>
      </c>
      <c r="MM1567" s="2">
        <v>97.48</v>
      </c>
      <c r="MN1567" s="2">
        <v>96.8</v>
      </c>
      <c r="MO1567" s="2">
        <v>96.19</v>
      </c>
      <c r="MP1567" s="2">
        <v>96.31999999999999</v>
      </c>
      <c r="NC1567" s="2">
        <v>96.42</v>
      </c>
      <c r="ND1567" s="2">
        <v>96.47</v>
      </c>
      <c r="NE1567" s="2">
        <v>97.76000000000001</v>
      </c>
      <c r="NF1567" s="2">
        <v>97.3</v>
      </c>
      <c r="NS1567" s="2">
        <v>97.39</v>
      </c>
      <c r="NT1567" s="2">
        <v>96.76000000000001</v>
      </c>
      <c r="NU1567" s="2">
        <v>98.53</v>
      </c>
      <c r="NV1567" s="2">
        <v>98.77</v>
      </c>
      <c r="OI1567" s="2">
        <v>98.42</v>
      </c>
      <c r="OJ1567" s="2">
        <v>97.72</v>
      </c>
      <c r="OK1567" s="2">
        <v>98.19</v>
      </c>
      <c r="OL1567" s="2">
        <v>98.79000000000001</v>
      </c>
      <c r="OY1567" s="2">
        <v>98.44</v>
      </c>
      <c r="OZ1567" s="2">
        <v>98.55</v>
      </c>
      <c r="PA1567" s="2">
        <v>99.91</v>
      </c>
      <c r="PB1567" s="2">
        <v>99.91</v>
      </c>
      <c r="PJ1567" s="2">
        <v>99.89</v>
      </c>
      <c r="PK1567" s="2">
        <v>100.18</v>
      </c>
    </row>
    <row r="1568">
      <c r="A1568" t="inlineStr">
        <is>
          <t>A2331246L</t>
        </is>
      </c>
      <c r="B1568" t="inlineStr">
        <is>
          <t>Index Numbers ;  Recreation and culture ;  Australia ;</t>
        </is>
      </c>
      <c r="C1568" t="inlineStr">
        <is>
          <t>Quarter</t>
        </is>
      </c>
      <c r="D1568" t="inlineStr">
        <is>
          <t>Index Numbers</t>
        </is>
      </c>
      <c r="E1568" t="inlineStr">
        <is>
          <t>Original</t>
        </is>
      </c>
      <c r="F1568" t="inlineStr">
        <is>
          <t>6401018.xlsx</t>
        </is>
      </c>
      <c r="G1568" t="inlineStr">
        <is>
          <t>1989Q3</t>
        </is>
      </c>
      <c r="H1568" t="inlineStr">
        <is>
          <t>2026Q2</t>
        </is>
      </c>
      <c r="FQ1568" s="2">
        <v>56.34</v>
      </c>
      <c r="FR1568" s="2">
        <v>58.02</v>
      </c>
      <c r="FS1568" s="2">
        <v>58.48</v>
      </c>
      <c r="FT1568" s="2">
        <v>59.12</v>
      </c>
      <c r="FU1568" s="2">
        <v>59.35</v>
      </c>
      <c r="FV1568" s="2">
        <v>61.55</v>
      </c>
      <c r="FW1568" s="2">
        <v>60.97</v>
      </c>
      <c r="FX1568" s="2">
        <v>60.45</v>
      </c>
      <c r="FY1568" s="2">
        <v>61.15</v>
      </c>
      <c r="FZ1568" s="2">
        <v>61.84</v>
      </c>
      <c r="GA1568" s="2">
        <v>61.03</v>
      </c>
      <c r="GB1568" s="2">
        <v>60.97</v>
      </c>
      <c r="GC1568" s="2">
        <v>61.26</v>
      </c>
      <c r="GD1568" s="2">
        <v>62.08</v>
      </c>
      <c r="GE1568" s="2">
        <v>62.25</v>
      </c>
      <c r="GF1568" s="2">
        <v>62.6</v>
      </c>
      <c r="GG1568" s="2">
        <v>62.83</v>
      </c>
      <c r="GH1568" s="2">
        <v>63.64</v>
      </c>
      <c r="GI1568" s="2">
        <v>63.23</v>
      </c>
      <c r="GJ1568" s="2">
        <v>63.81</v>
      </c>
      <c r="GK1568" s="2">
        <v>63.87</v>
      </c>
      <c r="GL1568" s="2">
        <v>64.73999999999999</v>
      </c>
      <c r="GM1568" s="2">
        <v>64.97</v>
      </c>
      <c r="GN1568" s="2">
        <v>65.38</v>
      </c>
      <c r="GO1568" s="2">
        <v>65.5</v>
      </c>
      <c r="GP1568" s="2">
        <v>66.31</v>
      </c>
      <c r="GQ1568" s="2">
        <v>66.77</v>
      </c>
      <c r="GR1568" s="2">
        <v>66.06999999999999</v>
      </c>
      <c r="GS1568" s="2">
        <v>66.06999999999999</v>
      </c>
      <c r="GT1568" s="2">
        <v>66.48</v>
      </c>
      <c r="GU1568" s="2">
        <v>67.12</v>
      </c>
      <c r="GV1568" s="2">
        <v>66.94</v>
      </c>
      <c r="GW1568" s="2">
        <v>67.64</v>
      </c>
      <c r="GX1568" s="2">
        <v>67.87</v>
      </c>
      <c r="GY1568" s="2">
        <v>68.73999999999999</v>
      </c>
      <c r="GZ1568" s="2">
        <v>68.8</v>
      </c>
      <c r="HA1568" s="2">
        <v>68.45</v>
      </c>
      <c r="HB1568" s="2">
        <v>69.15000000000001</v>
      </c>
      <c r="HC1568" s="2">
        <v>69.67</v>
      </c>
      <c r="HD1568" s="2">
        <v>69.44</v>
      </c>
      <c r="HE1568" s="2">
        <v>69.78</v>
      </c>
      <c r="HF1568" s="2">
        <v>70.13</v>
      </c>
      <c r="HG1568" s="2">
        <v>69.67</v>
      </c>
      <c r="HH1568" s="2">
        <v>69.55</v>
      </c>
      <c r="HI1568" s="2">
        <v>72.31999999999999</v>
      </c>
      <c r="HJ1568" s="2">
        <v>72.22</v>
      </c>
      <c r="HK1568" s="2">
        <v>72.13</v>
      </c>
      <c r="HL1568" s="2">
        <v>72.06999999999999</v>
      </c>
      <c r="HM1568" s="2">
        <v>72.66</v>
      </c>
      <c r="HN1568" s="2">
        <v>73.90000000000001</v>
      </c>
      <c r="HO1568" s="2">
        <v>75.59999999999999</v>
      </c>
      <c r="HP1568" s="2">
        <v>76.01000000000001</v>
      </c>
      <c r="HQ1568" s="2">
        <v>76.38</v>
      </c>
      <c r="HR1568" s="2">
        <v>76.43000000000001</v>
      </c>
      <c r="HS1568" s="2">
        <v>76.73</v>
      </c>
      <c r="HT1568" s="2">
        <v>76.2</v>
      </c>
      <c r="HU1568" s="2">
        <v>75.36</v>
      </c>
      <c r="HV1568" s="2">
        <v>75.97</v>
      </c>
      <c r="HW1568" s="2">
        <v>75.15000000000001</v>
      </c>
      <c r="HX1568" s="2">
        <v>74.93000000000001</v>
      </c>
      <c r="HY1568" s="2">
        <v>75.27</v>
      </c>
      <c r="HZ1568" s="2">
        <v>75.90000000000001</v>
      </c>
      <c r="IA1568" s="2">
        <v>76.37</v>
      </c>
      <c r="IB1568" s="2">
        <v>75.40000000000001</v>
      </c>
      <c r="IC1568" s="2">
        <v>76.31</v>
      </c>
      <c r="ID1568" s="2">
        <v>76.33</v>
      </c>
      <c r="IE1568" s="2">
        <v>76.81999999999999</v>
      </c>
      <c r="IF1568" s="2">
        <v>76.52</v>
      </c>
      <c r="IG1568" s="2">
        <v>77.11</v>
      </c>
      <c r="IH1568" s="2">
        <v>78.12</v>
      </c>
      <c r="II1568" s="2">
        <v>77.61</v>
      </c>
      <c r="IJ1568" s="2">
        <v>77.23999999999999</v>
      </c>
      <c r="IK1568" s="2">
        <v>78.31</v>
      </c>
      <c r="IL1568" s="2">
        <v>78.97</v>
      </c>
      <c r="IM1568" s="2">
        <v>78.70999999999999</v>
      </c>
      <c r="IN1568" s="2">
        <v>78.51000000000001</v>
      </c>
      <c r="IO1568" s="2">
        <v>79.56</v>
      </c>
      <c r="IP1568" s="2">
        <v>79.98</v>
      </c>
      <c r="IQ1568" s="2">
        <v>79.09</v>
      </c>
      <c r="IR1568" s="2">
        <v>79.04000000000001</v>
      </c>
      <c r="IS1568" s="2">
        <v>79.61</v>
      </c>
      <c r="IT1568" s="2">
        <v>80.83</v>
      </c>
      <c r="IU1568" s="2">
        <v>80.05</v>
      </c>
      <c r="IV1568" s="2">
        <v>78.62</v>
      </c>
      <c r="IW1568" s="2">
        <v>79.14</v>
      </c>
      <c r="IX1568" s="2">
        <v>79.29000000000001</v>
      </c>
      <c r="IY1568" s="2">
        <v>78.81999999999999</v>
      </c>
      <c r="IZ1568" s="2">
        <v>78.38</v>
      </c>
      <c r="JA1568" s="2">
        <v>79.08</v>
      </c>
      <c r="JB1568" s="2">
        <v>79.68000000000001</v>
      </c>
      <c r="JC1568" s="2">
        <v>78.16</v>
      </c>
      <c r="JD1568" s="2">
        <v>77.15000000000001</v>
      </c>
      <c r="JE1568" s="2">
        <v>77.84999999999999</v>
      </c>
      <c r="JF1568" s="2">
        <v>78.39</v>
      </c>
      <c r="JG1568" s="2">
        <v>77.73</v>
      </c>
      <c r="JH1568" s="2">
        <v>77.13</v>
      </c>
      <c r="JI1568" s="2">
        <v>78.63</v>
      </c>
      <c r="JJ1568" s="2">
        <v>80.23</v>
      </c>
      <c r="JK1568" s="2">
        <v>79.84999999999999</v>
      </c>
      <c r="JL1568" s="2">
        <v>79.64</v>
      </c>
      <c r="JM1568" s="2">
        <v>80.06</v>
      </c>
      <c r="JN1568" s="2">
        <v>80.88</v>
      </c>
      <c r="JO1568" s="2">
        <v>81.40000000000001</v>
      </c>
      <c r="JP1568" s="2">
        <v>80.29000000000001</v>
      </c>
      <c r="JQ1568" s="2">
        <v>80.91</v>
      </c>
      <c r="JR1568" s="2">
        <v>82.28</v>
      </c>
      <c r="JS1568" s="2">
        <v>81.48</v>
      </c>
      <c r="JT1568" s="2">
        <v>80.98</v>
      </c>
      <c r="JU1568" s="2">
        <v>81.42</v>
      </c>
      <c r="JV1568" s="2">
        <v>81.90000000000001</v>
      </c>
      <c r="KA1568" s="2">
        <v>81.34999999999999</v>
      </c>
      <c r="KB1568" s="2">
        <v>80.91</v>
      </c>
      <c r="KC1568" s="2">
        <v>81.89</v>
      </c>
      <c r="KD1568" s="2">
        <v>82.40000000000001</v>
      </c>
      <c r="KQ1568" s="2">
        <v>81.81999999999999</v>
      </c>
      <c r="KR1568" s="2">
        <v>81.52</v>
      </c>
      <c r="KS1568" s="2">
        <v>82.81999999999999</v>
      </c>
      <c r="KT1568" s="2">
        <v>83.8</v>
      </c>
      <c r="LG1568" s="2">
        <v>82.53</v>
      </c>
      <c r="LH1568" s="2">
        <v>82.95999999999999</v>
      </c>
      <c r="LI1568" s="2">
        <v>84.28</v>
      </c>
      <c r="LJ1568" s="2">
        <v>85.06</v>
      </c>
      <c r="LW1568" s="2">
        <v>83.59999999999999</v>
      </c>
      <c r="LX1568" s="2">
        <v>82.73</v>
      </c>
      <c r="LY1568" s="2">
        <v>83.67</v>
      </c>
      <c r="LZ1568" s="2">
        <v>85.06</v>
      </c>
      <c r="MM1568" s="2">
        <v>84.87</v>
      </c>
      <c r="MN1568" s="2">
        <v>84.83</v>
      </c>
      <c r="MO1568" s="2">
        <v>85.58</v>
      </c>
      <c r="MP1568" s="2">
        <v>86.8</v>
      </c>
      <c r="NC1568" s="2">
        <v>87.42</v>
      </c>
      <c r="ND1568" s="2">
        <v>88.68000000000001</v>
      </c>
      <c r="NE1568" s="2">
        <v>89.81</v>
      </c>
      <c r="NF1568" s="2">
        <v>94.69</v>
      </c>
      <c r="NS1568" s="2">
        <v>94.95999999999999</v>
      </c>
      <c r="NT1568" s="2">
        <v>94.70999999999999</v>
      </c>
      <c r="NU1568" s="2">
        <v>94.83</v>
      </c>
      <c r="NV1568" s="2">
        <v>95.19</v>
      </c>
      <c r="OI1568" s="2">
        <v>95.12</v>
      </c>
      <c r="OJ1568" s="2">
        <v>95.55</v>
      </c>
      <c r="OK1568" s="2">
        <v>96.83</v>
      </c>
      <c r="OL1568" s="2">
        <v>98.34</v>
      </c>
      <c r="OY1568" s="2">
        <v>96.77</v>
      </c>
      <c r="OZ1568" s="2">
        <v>97.16</v>
      </c>
      <c r="PA1568" s="2">
        <v>98.98</v>
      </c>
      <c r="PB1568" s="2">
        <v>101.55</v>
      </c>
      <c r="PJ1568" s="2">
        <v>100.22</v>
      </c>
      <c r="PK1568" s="2">
        <v>99.77</v>
      </c>
    </row>
    <row r="1569">
      <c r="A1569" t="inlineStr">
        <is>
          <t>A3604423X</t>
        </is>
      </c>
      <c r="B1569" t="inlineStr">
        <is>
          <t>Index Numbers ;  Audio, visual and computing equipment and services ;  Australia ;</t>
        </is>
      </c>
      <c r="C1569" t="inlineStr">
        <is>
          <t>Quarter</t>
        </is>
      </c>
      <c r="D1569" t="inlineStr">
        <is>
          <t>Index Numbers</t>
        </is>
      </c>
      <c r="E1569" t="inlineStr">
        <is>
          <t>Original</t>
        </is>
      </c>
      <c r="F1569" t="inlineStr">
        <is>
          <t>6401018.xlsx</t>
        </is>
      </c>
      <c r="G1569" t="inlineStr">
        <is>
          <t>1989Q3</t>
        </is>
      </c>
      <c r="H1569" t="inlineStr">
        <is>
          <t>2026Q2</t>
        </is>
      </c>
      <c r="FQ1569" s="2">
        <v>305.22</v>
      </c>
      <c r="FR1569" s="2">
        <v>308.01</v>
      </c>
      <c r="FS1569" s="2">
        <v>309.86</v>
      </c>
      <c r="FT1569" s="2">
        <v>313.57</v>
      </c>
      <c r="FU1569" s="2">
        <v>318.52</v>
      </c>
      <c r="FV1569" s="2">
        <v>322.54</v>
      </c>
      <c r="FW1569" s="2">
        <v>320.69</v>
      </c>
      <c r="FX1569" s="2">
        <v>325.02</v>
      </c>
      <c r="FY1569" s="2">
        <v>323.78</v>
      </c>
      <c r="FZ1569" s="2">
        <v>320.07</v>
      </c>
      <c r="GA1569" s="2">
        <v>308.63</v>
      </c>
      <c r="GB1569" s="2">
        <v>316.67</v>
      </c>
      <c r="GC1569" s="2">
        <v>313.88</v>
      </c>
      <c r="GD1569" s="2">
        <v>314.5</v>
      </c>
      <c r="GE1569" s="2">
        <v>317.28</v>
      </c>
      <c r="GF1569" s="2">
        <v>321</v>
      </c>
      <c r="GG1569" s="2">
        <v>321.61</v>
      </c>
      <c r="GH1569" s="2">
        <v>325.33</v>
      </c>
      <c r="GI1569" s="2">
        <v>326.25</v>
      </c>
      <c r="GJ1569" s="2">
        <v>328.42</v>
      </c>
      <c r="GK1569" s="2">
        <v>331.82</v>
      </c>
      <c r="GL1569" s="2">
        <v>333.06</v>
      </c>
      <c r="GM1569" s="2">
        <v>332.75</v>
      </c>
      <c r="GN1569" s="2">
        <v>332.44</v>
      </c>
      <c r="GO1569" s="2">
        <v>332.44</v>
      </c>
      <c r="GP1569" s="2">
        <v>333.06</v>
      </c>
      <c r="GQ1569" s="2">
        <v>335.84</v>
      </c>
      <c r="GR1569" s="2">
        <v>335.22</v>
      </c>
      <c r="GS1569" s="2">
        <v>332.75</v>
      </c>
      <c r="GT1569" s="2">
        <v>328.42</v>
      </c>
      <c r="GU1569" s="2">
        <v>327.8</v>
      </c>
      <c r="GV1569" s="2">
        <v>327.49</v>
      </c>
      <c r="GW1569" s="2">
        <v>324.71</v>
      </c>
      <c r="GX1569" s="2">
        <v>324.71</v>
      </c>
      <c r="GY1569" s="2">
        <v>329.96</v>
      </c>
      <c r="GZ1569" s="2">
        <v>330.89</v>
      </c>
      <c r="HA1569" s="2">
        <v>330.58</v>
      </c>
      <c r="HB1569" s="2">
        <v>336.46</v>
      </c>
      <c r="HC1569" s="2">
        <v>332.13</v>
      </c>
      <c r="HD1569" s="2">
        <v>327.8</v>
      </c>
      <c r="HE1569" s="2">
        <v>325.33</v>
      </c>
      <c r="HF1569" s="2">
        <v>324.4</v>
      </c>
      <c r="HG1569" s="2">
        <v>321.3</v>
      </c>
      <c r="HH1569" s="2">
        <v>318.52</v>
      </c>
      <c r="HI1569" s="2">
        <v>306.15</v>
      </c>
      <c r="HJ1569" s="2">
        <v>307.7</v>
      </c>
      <c r="HK1569" s="2">
        <v>309.55</v>
      </c>
      <c r="HL1569" s="2">
        <v>303.68</v>
      </c>
      <c r="HM1569" s="2">
        <v>302.13</v>
      </c>
      <c r="HN1569" s="2">
        <v>296.26</v>
      </c>
      <c r="HO1569" s="2">
        <v>294.09</v>
      </c>
      <c r="HP1569" s="2">
        <v>289.76</v>
      </c>
      <c r="HQ1569" s="2">
        <v>284.2</v>
      </c>
      <c r="HR1569" s="2">
        <v>275.23</v>
      </c>
      <c r="HS1569" s="2">
        <v>269.66</v>
      </c>
      <c r="HT1569" s="2">
        <v>262.24</v>
      </c>
      <c r="HU1569" s="2">
        <v>251.72</v>
      </c>
      <c r="HV1569" s="2">
        <v>244.3</v>
      </c>
      <c r="HW1569" s="2">
        <v>236.88</v>
      </c>
      <c r="HX1569" s="2">
        <v>231.93</v>
      </c>
      <c r="HY1569" s="2">
        <v>226.99</v>
      </c>
      <c r="HZ1569" s="2">
        <v>226.99</v>
      </c>
      <c r="IA1569" s="2">
        <v>219.25</v>
      </c>
      <c r="IB1569" s="2">
        <v>216.47</v>
      </c>
      <c r="IC1569" s="2">
        <v>214.62</v>
      </c>
      <c r="ID1569" s="2">
        <v>209.36</v>
      </c>
      <c r="IE1569" s="2">
        <v>207.81</v>
      </c>
      <c r="IF1569" s="2">
        <v>205.03</v>
      </c>
      <c r="IG1569" s="2">
        <v>202.25</v>
      </c>
      <c r="IH1569" s="2">
        <v>197.92</v>
      </c>
      <c r="II1569" s="2">
        <v>195.75</v>
      </c>
      <c r="IJ1569" s="2">
        <v>191.73</v>
      </c>
      <c r="IK1569" s="2">
        <v>188.64</v>
      </c>
      <c r="IL1569" s="2">
        <v>186.78</v>
      </c>
      <c r="IM1569" s="2">
        <v>180.91</v>
      </c>
      <c r="IN1569" s="2">
        <v>178.43</v>
      </c>
      <c r="IO1569" s="2">
        <v>174.1</v>
      </c>
      <c r="IP1569" s="2">
        <v>168.23</v>
      </c>
      <c r="IQ1569" s="2">
        <v>171.01</v>
      </c>
      <c r="IR1569" s="2">
        <v>168.85</v>
      </c>
      <c r="IS1569" s="2">
        <v>167.61</v>
      </c>
      <c r="IT1569" s="2">
        <v>162.66</v>
      </c>
      <c r="IU1569" s="2">
        <v>157.41</v>
      </c>
      <c r="IV1569" s="2">
        <v>152.77</v>
      </c>
      <c r="IW1569" s="2">
        <v>151.53</v>
      </c>
      <c r="IX1569" s="2">
        <v>148.13</v>
      </c>
      <c r="IY1569" s="2">
        <v>142.87</v>
      </c>
      <c r="IZ1569" s="2">
        <v>139.47</v>
      </c>
      <c r="JA1569" s="2">
        <v>135.58</v>
      </c>
      <c r="JB1569" s="2">
        <v>133.62</v>
      </c>
      <c r="JC1569" s="2">
        <v>128.84</v>
      </c>
      <c r="JD1569" s="2">
        <v>125.78</v>
      </c>
      <c r="JE1569" s="2">
        <v>123.89</v>
      </c>
      <c r="JF1569" s="2">
        <v>121.08</v>
      </c>
      <c r="JG1569" s="2">
        <v>117.96</v>
      </c>
      <c r="JH1569" s="2">
        <v>116.65</v>
      </c>
      <c r="JI1569" s="2">
        <v>116.12</v>
      </c>
      <c r="JJ1569" s="2">
        <v>115.29</v>
      </c>
      <c r="JK1569" s="2">
        <v>114.33</v>
      </c>
      <c r="JL1569" s="2">
        <v>112.42</v>
      </c>
      <c r="JM1569" s="2">
        <v>112.95</v>
      </c>
      <c r="JN1569" s="2">
        <v>107.79</v>
      </c>
      <c r="JO1569" s="2">
        <v>106.73</v>
      </c>
      <c r="JP1569" s="2">
        <v>106.65</v>
      </c>
      <c r="JQ1569" s="2">
        <v>106.65</v>
      </c>
      <c r="JR1569" s="2">
        <v>105.78</v>
      </c>
      <c r="JS1569" s="2">
        <v>102.2</v>
      </c>
      <c r="JT1569" s="2">
        <v>102.28</v>
      </c>
      <c r="JU1569" s="2">
        <v>101.22</v>
      </c>
      <c r="JV1569" s="2">
        <v>100.44</v>
      </c>
      <c r="KA1569" s="2">
        <v>98.7</v>
      </c>
      <c r="KB1569" s="2">
        <v>98.2</v>
      </c>
      <c r="KC1569" s="2">
        <v>99.38</v>
      </c>
      <c r="KD1569" s="2">
        <v>97.87</v>
      </c>
      <c r="KQ1569" s="2">
        <v>93.81999999999999</v>
      </c>
      <c r="KR1569" s="2">
        <v>94.19</v>
      </c>
      <c r="KS1569" s="2">
        <v>94.39</v>
      </c>
      <c r="KT1569" s="2">
        <v>92.41</v>
      </c>
      <c r="LG1569" s="2">
        <v>90.56</v>
      </c>
      <c r="LH1569" s="2">
        <v>90.34</v>
      </c>
      <c r="LI1569" s="2">
        <v>90.27</v>
      </c>
      <c r="LJ1569" s="2">
        <v>90.18000000000001</v>
      </c>
      <c r="LW1569" s="2">
        <v>88.3</v>
      </c>
      <c r="LX1569" s="2">
        <v>89.13</v>
      </c>
      <c r="LY1569" s="2">
        <v>90.03</v>
      </c>
      <c r="LZ1569" s="2">
        <v>89.56999999999999</v>
      </c>
      <c r="MM1569" s="2">
        <v>88.62</v>
      </c>
      <c r="MN1569" s="2">
        <v>88.77</v>
      </c>
      <c r="MO1569" s="2">
        <v>89.87</v>
      </c>
      <c r="MP1569" s="2">
        <v>90.73999999999999</v>
      </c>
      <c r="NC1569" s="2">
        <v>90.40000000000001</v>
      </c>
      <c r="ND1569" s="2">
        <v>91.44</v>
      </c>
      <c r="NE1569" s="2">
        <v>91.95999999999999</v>
      </c>
      <c r="NF1569" s="2">
        <v>92.03</v>
      </c>
      <c r="NS1569" s="2">
        <v>93.06</v>
      </c>
      <c r="NT1569" s="2">
        <v>93.2</v>
      </c>
      <c r="NU1569" s="2">
        <v>93.08</v>
      </c>
      <c r="NV1569" s="2">
        <v>92.72</v>
      </c>
      <c r="OI1569" s="2">
        <v>94.17</v>
      </c>
      <c r="OJ1569" s="2">
        <v>95.08</v>
      </c>
      <c r="OK1569" s="2">
        <v>95.93000000000001</v>
      </c>
      <c r="OL1569" s="2">
        <v>95.81999999999999</v>
      </c>
      <c r="OY1569" s="2">
        <v>94.84999999999999</v>
      </c>
      <c r="OZ1569" s="2">
        <v>96.59999999999999</v>
      </c>
      <c r="PA1569" s="2">
        <v>99.43000000000001</v>
      </c>
      <c r="PB1569" s="2">
        <v>99.65000000000001</v>
      </c>
      <c r="PJ1569" s="2">
        <v>100.77</v>
      </c>
      <c r="PK1569" s="2">
        <v>100.97</v>
      </c>
    </row>
    <row r="1570">
      <c r="A1570" t="inlineStr">
        <is>
          <t>A2329311F</t>
        </is>
      </c>
      <c r="B1570" t="inlineStr">
        <is>
          <t>Index Numbers ;  Audio, visual and computing equipment ;  Australia ;</t>
        </is>
      </c>
      <c r="C1570" t="inlineStr">
        <is>
          <t>Quarter</t>
        </is>
      </c>
      <c r="D1570" t="inlineStr">
        <is>
          <t>Index Numbers</t>
        </is>
      </c>
      <c r="E1570" t="inlineStr">
        <is>
          <t>Original</t>
        </is>
      </c>
      <c r="F1570" t="inlineStr">
        <is>
          <t>6401018.xlsx</t>
        </is>
      </c>
      <c r="G1570" t="inlineStr">
        <is>
          <t>1980Q3</t>
        </is>
      </c>
      <c r="H1570" t="inlineStr">
        <is>
          <t>2026Q2</t>
        </is>
      </c>
      <c r="EG1570" s="2">
        <v>2276.45</v>
      </c>
      <c r="EH1570" s="2">
        <v>2233.46</v>
      </c>
      <c r="EI1570" s="2">
        <v>2240.94</v>
      </c>
      <c r="EJ1570" s="2">
        <v>2244.67</v>
      </c>
      <c r="EK1570" s="2">
        <v>2235.33</v>
      </c>
      <c r="EL1570" s="2">
        <v>2313.83</v>
      </c>
      <c r="EM1570" s="2">
        <v>2282.05</v>
      </c>
      <c r="EN1570" s="2">
        <v>2214.77</v>
      </c>
      <c r="EO1570" s="2">
        <v>2196.08</v>
      </c>
      <c r="EP1570" s="2">
        <v>2141.88</v>
      </c>
      <c r="EQ1570" s="2">
        <v>2108.24</v>
      </c>
      <c r="ER1570" s="2">
        <v>2166.18</v>
      </c>
      <c r="ES1570" s="2">
        <v>2175.52</v>
      </c>
      <c r="ET1570" s="2">
        <v>2130.67</v>
      </c>
      <c r="EU1570" s="2">
        <v>2091.42</v>
      </c>
      <c r="EV1570" s="2">
        <v>2037.22</v>
      </c>
      <c r="EW1570" s="2">
        <v>1997.97</v>
      </c>
      <c r="EX1570" s="2">
        <v>1923.21</v>
      </c>
      <c r="EY1570" s="2">
        <v>1876.48</v>
      </c>
      <c r="EZ1570" s="2">
        <v>1923.21</v>
      </c>
      <c r="FA1570" s="2">
        <v>1947.5</v>
      </c>
      <c r="FB1570" s="2">
        <v>1923.21</v>
      </c>
      <c r="FC1570" s="2">
        <v>1941.9</v>
      </c>
      <c r="FD1570" s="2">
        <v>1964.32</v>
      </c>
      <c r="FE1570" s="2">
        <v>1999.84</v>
      </c>
      <c r="FF1570" s="2">
        <v>2052.17</v>
      </c>
      <c r="FG1570" s="2">
        <v>2115.71</v>
      </c>
      <c r="FH1570" s="2">
        <v>2153.09</v>
      </c>
      <c r="FI1570" s="2">
        <v>2134.4</v>
      </c>
      <c r="FJ1570" s="2">
        <v>2119.45</v>
      </c>
      <c r="FK1570" s="2">
        <v>2076.46</v>
      </c>
      <c r="FL1570" s="2">
        <v>2063.38</v>
      </c>
      <c r="FM1570" s="2">
        <v>2059.64</v>
      </c>
      <c r="FN1570" s="2">
        <v>2042.82</v>
      </c>
      <c r="FO1570" s="2">
        <v>2014.79</v>
      </c>
      <c r="FP1570" s="2">
        <v>1975.54</v>
      </c>
      <c r="FQ1570" s="2">
        <v>1923.21</v>
      </c>
      <c r="FR1570" s="2">
        <v>1895.17</v>
      </c>
      <c r="FS1570" s="2">
        <v>1850.31</v>
      </c>
      <c r="FT1570" s="2">
        <v>1805.46</v>
      </c>
      <c r="FU1570" s="2">
        <v>1792.38</v>
      </c>
      <c r="FV1570" s="2">
        <v>1779.29</v>
      </c>
      <c r="FW1570" s="2">
        <v>1762.47</v>
      </c>
      <c r="FX1570" s="2">
        <v>1734.44</v>
      </c>
      <c r="FY1570" s="2">
        <v>1712.01</v>
      </c>
      <c r="FZ1570" s="2">
        <v>1726.96</v>
      </c>
      <c r="GA1570" s="2">
        <v>1713.88</v>
      </c>
      <c r="GB1570" s="2">
        <v>1691.45</v>
      </c>
      <c r="GC1570" s="2">
        <v>1685.84</v>
      </c>
      <c r="GD1570" s="2">
        <v>1683.97</v>
      </c>
      <c r="GE1570" s="2">
        <v>1689.58</v>
      </c>
      <c r="GF1570" s="2">
        <v>1700.79</v>
      </c>
      <c r="GG1570" s="2">
        <v>1691.45</v>
      </c>
      <c r="GH1570" s="2">
        <v>1700.79</v>
      </c>
      <c r="GI1570" s="2">
        <v>1676.5</v>
      </c>
      <c r="GJ1570" s="2">
        <v>1700.79</v>
      </c>
      <c r="GK1570" s="2">
        <v>1693.32</v>
      </c>
      <c r="GL1570" s="2">
        <v>1704.53</v>
      </c>
      <c r="GM1570" s="2">
        <v>1687.71</v>
      </c>
      <c r="GN1570" s="2">
        <v>1648.46</v>
      </c>
      <c r="GO1570" s="2">
        <v>1601.74</v>
      </c>
      <c r="GP1570" s="2">
        <v>1571.83</v>
      </c>
      <c r="GQ1570" s="2">
        <v>1553.14</v>
      </c>
      <c r="GR1570" s="2">
        <v>1519.5</v>
      </c>
      <c r="GS1570" s="2">
        <v>1504.55</v>
      </c>
      <c r="GT1570" s="2">
        <v>1489.6</v>
      </c>
      <c r="GU1570" s="2">
        <v>1452.22</v>
      </c>
      <c r="GV1570" s="2">
        <v>1433.53</v>
      </c>
      <c r="GW1570" s="2">
        <v>1409.23</v>
      </c>
      <c r="GX1570" s="2">
        <v>1390.54</v>
      </c>
      <c r="GY1570" s="2">
        <v>1379.33</v>
      </c>
      <c r="GZ1570" s="2">
        <v>1383.06</v>
      </c>
      <c r="HA1570" s="2">
        <v>1339.52</v>
      </c>
      <c r="HB1570" s="2">
        <v>1317.52</v>
      </c>
      <c r="HC1570" s="2">
        <v>1279.15</v>
      </c>
      <c r="HD1570" s="2">
        <v>1238.68</v>
      </c>
      <c r="HE1570" s="2">
        <v>1165.98</v>
      </c>
      <c r="HF1570" s="2">
        <v>1076.58</v>
      </c>
      <c r="HG1570" s="2">
        <v>1065.94</v>
      </c>
      <c r="HH1570" s="2">
        <v>1051.56</v>
      </c>
      <c r="HI1570" s="2">
        <v>1000.64</v>
      </c>
      <c r="HJ1570" s="2">
        <v>1002.77</v>
      </c>
      <c r="HK1570" s="2">
        <v>1005.27</v>
      </c>
      <c r="HL1570" s="2">
        <v>970.84</v>
      </c>
      <c r="HM1570" s="2">
        <v>964.62</v>
      </c>
      <c r="HN1570" s="2">
        <v>948.5700000000001</v>
      </c>
      <c r="HO1570" s="2">
        <v>939.17</v>
      </c>
      <c r="HP1570" s="2">
        <v>928.88</v>
      </c>
      <c r="HQ1570" s="2">
        <v>898.01</v>
      </c>
      <c r="HR1570" s="2">
        <v>851.7</v>
      </c>
      <c r="HS1570" s="2">
        <v>815.15</v>
      </c>
      <c r="HT1570" s="2">
        <v>766.13</v>
      </c>
      <c r="HU1570" s="2">
        <v>710.85</v>
      </c>
      <c r="HV1570" s="2">
        <v>670.51</v>
      </c>
      <c r="HW1570" s="2">
        <v>640.26</v>
      </c>
      <c r="HX1570" s="2">
        <v>608.05</v>
      </c>
      <c r="HY1570" s="2">
        <v>591.77</v>
      </c>
      <c r="HZ1570" s="2">
        <v>582.97</v>
      </c>
      <c r="IA1570" s="2">
        <v>545.87</v>
      </c>
      <c r="IB1570" s="2">
        <v>538.38</v>
      </c>
      <c r="IC1570" s="2">
        <v>529.46</v>
      </c>
      <c r="ID1570" s="2">
        <v>511.58</v>
      </c>
      <c r="IE1570" s="2">
        <v>503.72</v>
      </c>
      <c r="IF1570" s="2">
        <v>492.07</v>
      </c>
      <c r="IG1570" s="2">
        <v>484.35</v>
      </c>
      <c r="IH1570" s="2">
        <v>470.94</v>
      </c>
      <c r="II1570" s="2">
        <v>458.91</v>
      </c>
      <c r="IJ1570" s="2">
        <v>449.01</v>
      </c>
      <c r="IK1570" s="2">
        <v>437.49</v>
      </c>
      <c r="IL1570" s="2">
        <v>419.38</v>
      </c>
      <c r="IM1570" s="2">
        <v>394.25</v>
      </c>
      <c r="IN1570" s="2">
        <v>387.09</v>
      </c>
      <c r="IO1570" s="2">
        <v>371.13</v>
      </c>
      <c r="IP1570" s="2">
        <v>359.94</v>
      </c>
      <c r="IQ1570" s="2">
        <v>352.77</v>
      </c>
      <c r="IR1570" s="2">
        <v>347.55</v>
      </c>
      <c r="IS1570" s="2">
        <v>341.01</v>
      </c>
      <c r="IT1570" s="2">
        <v>315.39</v>
      </c>
      <c r="IU1570" s="2">
        <v>296.78</v>
      </c>
      <c r="IV1570" s="2">
        <v>279.06</v>
      </c>
      <c r="IW1570" s="2">
        <v>271.9</v>
      </c>
      <c r="IX1570" s="2">
        <v>257.8</v>
      </c>
      <c r="IY1570" s="2">
        <v>239.88</v>
      </c>
      <c r="IZ1570" s="2">
        <v>224.32</v>
      </c>
      <c r="JA1570" s="2">
        <v>216.79</v>
      </c>
      <c r="JB1570" s="2">
        <v>208.46</v>
      </c>
      <c r="JC1570" s="2">
        <v>197.03</v>
      </c>
      <c r="JD1570" s="2">
        <v>189.69</v>
      </c>
      <c r="JE1570" s="2">
        <v>186.89</v>
      </c>
      <c r="JF1570" s="2">
        <v>178.86</v>
      </c>
      <c r="JG1570" s="2">
        <v>170.52</v>
      </c>
      <c r="JH1570" s="2">
        <v>167.17</v>
      </c>
      <c r="JI1570" s="2">
        <v>165.81</v>
      </c>
      <c r="JJ1570" s="2">
        <v>162.42</v>
      </c>
      <c r="JK1570" s="2">
        <v>158.1</v>
      </c>
      <c r="JL1570" s="2">
        <v>155.57</v>
      </c>
      <c r="JM1570" s="2">
        <v>155.99</v>
      </c>
      <c r="JN1570" s="2">
        <v>147.85</v>
      </c>
      <c r="JO1570" s="2">
        <v>143.85</v>
      </c>
      <c r="JP1570" s="2">
        <v>145.85</v>
      </c>
      <c r="JQ1570" s="2">
        <v>143.75</v>
      </c>
      <c r="JR1570" s="2">
        <v>141.15</v>
      </c>
      <c r="JS1570" s="2">
        <v>134.73</v>
      </c>
      <c r="JT1570" s="2">
        <v>133.31</v>
      </c>
      <c r="JU1570" s="2">
        <v>130.99</v>
      </c>
      <c r="JV1570" s="2">
        <v>127.15</v>
      </c>
      <c r="KA1570" s="2">
        <v>125.02</v>
      </c>
      <c r="KB1570" s="2">
        <v>123.96</v>
      </c>
      <c r="KC1570" s="2">
        <v>121.88</v>
      </c>
      <c r="KD1570" s="2">
        <v>117.62</v>
      </c>
      <c r="KQ1570" s="2">
        <v>114.12</v>
      </c>
      <c r="KR1570" s="2">
        <v>112.84</v>
      </c>
      <c r="KS1570" s="2">
        <v>110.79</v>
      </c>
      <c r="KT1570" s="2">
        <v>107.26</v>
      </c>
      <c r="LG1570" s="2">
        <v>105.43</v>
      </c>
      <c r="LH1570" s="2">
        <v>104.61</v>
      </c>
      <c r="LI1570" s="2">
        <v>103.59</v>
      </c>
      <c r="LJ1570" s="2">
        <v>101.86</v>
      </c>
      <c r="LW1570" s="2">
        <v>99.63</v>
      </c>
      <c r="LX1570" s="2">
        <v>101.44</v>
      </c>
      <c r="LY1570" s="2">
        <v>103.06</v>
      </c>
      <c r="LZ1570" s="2">
        <v>101.53</v>
      </c>
      <c r="MM1570" s="2">
        <v>99.86</v>
      </c>
      <c r="MN1570" s="2">
        <v>99.44</v>
      </c>
      <c r="MO1570" s="2">
        <v>101.31</v>
      </c>
      <c r="MP1570" s="2">
        <v>101.84</v>
      </c>
      <c r="NC1570" s="2">
        <v>101.77</v>
      </c>
      <c r="ND1570" s="2">
        <v>102.39</v>
      </c>
      <c r="NE1570" s="2">
        <v>102.61</v>
      </c>
      <c r="NF1570" s="2">
        <v>102.37</v>
      </c>
      <c r="NS1570" s="2">
        <v>103.31</v>
      </c>
      <c r="NT1570" s="2">
        <v>103.25</v>
      </c>
      <c r="NU1570" s="2">
        <v>102.8</v>
      </c>
      <c r="NV1570" s="2">
        <v>102</v>
      </c>
      <c r="OI1570" s="2">
        <v>103.32</v>
      </c>
      <c r="OJ1570" s="2">
        <v>102.17</v>
      </c>
      <c r="OK1570" s="2">
        <v>102.13</v>
      </c>
      <c r="OL1570" s="2">
        <v>100.99</v>
      </c>
      <c r="OY1570" s="2">
        <v>98.70999999999999</v>
      </c>
      <c r="OZ1570" s="2">
        <v>100.98</v>
      </c>
      <c r="PA1570" s="2">
        <v>100.98</v>
      </c>
      <c r="PB1570" s="2">
        <v>98.88</v>
      </c>
      <c r="PJ1570" s="2">
        <v>100.13</v>
      </c>
      <c r="PK1570" s="2">
        <v>99.01000000000001</v>
      </c>
    </row>
    <row r="1571">
      <c r="A1571" t="inlineStr">
        <is>
          <t>A3604443J</t>
        </is>
      </c>
      <c r="B1571" t="inlineStr">
        <is>
          <t>Index Numbers ;  Audio, visual and computing media and services ;  Australia ;</t>
        </is>
      </c>
      <c r="C1571" t="inlineStr">
        <is>
          <t>Quarter</t>
        </is>
      </c>
      <c r="D1571" t="inlineStr">
        <is>
          <t>Index Numbers</t>
        </is>
      </c>
      <c r="E1571" t="inlineStr">
        <is>
          <t>Original</t>
        </is>
      </c>
      <c r="F1571" t="inlineStr">
        <is>
          <t>6401018.xlsx</t>
        </is>
      </c>
      <c r="G1571" t="inlineStr">
        <is>
          <t>1989Q3</t>
        </is>
      </c>
      <c r="H1571" t="inlineStr">
        <is>
          <t>2026Q2</t>
        </is>
      </c>
      <c r="FQ1571" s="2">
        <v>80.52</v>
      </c>
      <c r="FR1571" s="2">
        <v>81.25</v>
      </c>
      <c r="FS1571" s="2">
        <v>81.73999999999999</v>
      </c>
      <c r="FT1571" s="2">
        <v>82.72</v>
      </c>
      <c r="FU1571" s="2">
        <v>84.11</v>
      </c>
      <c r="FV1571" s="2">
        <v>85.17</v>
      </c>
      <c r="FW1571" s="2">
        <v>84.68000000000001</v>
      </c>
      <c r="FX1571" s="2">
        <v>85.81999999999999</v>
      </c>
      <c r="FY1571" s="2">
        <v>85.5</v>
      </c>
      <c r="FZ1571" s="2">
        <v>84.52</v>
      </c>
      <c r="GA1571" s="2">
        <v>81.5</v>
      </c>
      <c r="GB1571" s="2">
        <v>83.62</v>
      </c>
      <c r="GC1571" s="2">
        <v>82.88</v>
      </c>
      <c r="GD1571" s="2">
        <v>83.05</v>
      </c>
      <c r="GE1571" s="2">
        <v>83.78</v>
      </c>
      <c r="GF1571" s="2">
        <v>84.76000000000001</v>
      </c>
      <c r="GG1571" s="2">
        <v>84.92</v>
      </c>
      <c r="GH1571" s="2">
        <v>85.90000000000001</v>
      </c>
      <c r="GI1571" s="2">
        <v>86.15000000000001</v>
      </c>
      <c r="GJ1571" s="2">
        <v>86.72</v>
      </c>
      <c r="GK1571" s="2">
        <v>87.62</v>
      </c>
      <c r="GL1571" s="2">
        <v>87.94</v>
      </c>
      <c r="GM1571" s="2">
        <v>87.86</v>
      </c>
      <c r="GN1571" s="2">
        <v>87.78</v>
      </c>
      <c r="GO1571" s="2">
        <v>87.86</v>
      </c>
      <c r="GP1571" s="2">
        <v>88.02</v>
      </c>
      <c r="GQ1571" s="2">
        <v>88.76000000000001</v>
      </c>
      <c r="GR1571" s="2">
        <v>88.59999999999999</v>
      </c>
      <c r="GS1571" s="2">
        <v>87.94</v>
      </c>
      <c r="GT1571" s="2">
        <v>86.8</v>
      </c>
      <c r="GU1571" s="2">
        <v>86.64</v>
      </c>
      <c r="GV1571" s="2">
        <v>86.56</v>
      </c>
      <c r="GW1571" s="2">
        <v>85.81999999999999</v>
      </c>
      <c r="GX1571" s="2">
        <v>85.81999999999999</v>
      </c>
      <c r="GY1571" s="2">
        <v>87.20999999999999</v>
      </c>
      <c r="GZ1571" s="2">
        <v>87.45</v>
      </c>
      <c r="HA1571" s="2">
        <v>87.45</v>
      </c>
      <c r="HB1571" s="2">
        <v>89.08</v>
      </c>
      <c r="HC1571" s="2">
        <v>88.02</v>
      </c>
      <c r="HD1571" s="2">
        <v>86.88</v>
      </c>
      <c r="HE1571" s="2">
        <v>86.31</v>
      </c>
      <c r="HF1571" s="2">
        <v>86.23</v>
      </c>
      <c r="HG1571" s="2">
        <v>85.41</v>
      </c>
      <c r="HH1571" s="2">
        <v>84.68000000000001</v>
      </c>
      <c r="HI1571" s="2">
        <v>82.72</v>
      </c>
      <c r="HJ1571" s="2">
        <v>83.7</v>
      </c>
      <c r="HK1571" s="2">
        <v>84.68000000000001</v>
      </c>
      <c r="HL1571" s="2">
        <v>85.09</v>
      </c>
      <c r="HM1571" s="2">
        <v>84.76000000000001</v>
      </c>
      <c r="HN1571" s="2">
        <v>82.72</v>
      </c>
      <c r="HO1571" s="2">
        <v>82.48</v>
      </c>
      <c r="HP1571" s="2">
        <v>80.93000000000001</v>
      </c>
      <c r="HQ1571" s="2">
        <v>80.68000000000001</v>
      </c>
      <c r="HR1571" s="2">
        <v>79.95</v>
      </c>
      <c r="HS1571" s="2">
        <v>80.19</v>
      </c>
      <c r="HT1571" s="2">
        <v>80.68000000000001</v>
      </c>
      <c r="HU1571" s="2">
        <v>79.95</v>
      </c>
      <c r="HV1571" s="2">
        <v>79.7</v>
      </c>
      <c r="HW1571" s="2">
        <v>78.23</v>
      </c>
      <c r="HX1571" s="2">
        <v>78.40000000000001</v>
      </c>
      <c r="HY1571" s="2">
        <v>77.17</v>
      </c>
      <c r="HZ1571" s="2">
        <v>78.06999999999999</v>
      </c>
      <c r="IA1571" s="2">
        <v>77.09</v>
      </c>
      <c r="IB1571" s="2">
        <v>76.2</v>
      </c>
      <c r="IC1571" s="2">
        <v>76.52</v>
      </c>
      <c r="ID1571" s="2">
        <v>75.70999999999999</v>
      </c>
      <c r="IE1571" s="2">
        <v>76.03</v>
      </c>
      <c r="IF1571" s="2">
        <v>75.87</v>
      </c>
      <c r="IG1571" s="2">
        <v>75.13</v>
      </c>
      <c r="IH1571" s="2">
        <v>74.23999999999999</v>
      </c>
      <c r="II1571" s="2">
        <v>74.89</v>
      </c>
      <c r="IJ1571" s="2">
        <v>73.5</v>
      </c>
      <c r="IK1571" s="2">
        <v>73.09999999999999</v>
      </c>
      <c r="IL1571" s="2">
        <v>75.3</v>
      </c>
      <c r="IM1571" s="2">
        <v>75.45999999999999</v>
      </c>
      <c r="IN1571" s="2">
        <v>74.81</v>
      </c>
      <c r="IO1571" s="2">
        <v>74.48</v>
      </c>
      <c r="IP1571" s="2">
        <v>71.70999999999999</v>
      </c>
      <c r="IQ1571" s="2">
        <v>75.70999999999999</v>
      </c>
      <c r="IR1571" s="2">
        <v>74.89</v>
      </c>
      <c r="IS1571" s="2">
        <v>75.13</v>
      </c>
      <c r="IT1571" s="2">
        <v>76.28</v>
      </c>
      <c r="IU1571" s="2">
        <v>75.54000000000001</v>
      </c>
      <c r="IV1571" s="2">
        <v>75.05</v>
      </c>
      <c r="IW1571" s="2">
        <v>75.70999999999999</v>
      </c>
      <c r="IX1571" s="2">
        <v>75.62</v>
      </c>
      <c r="IY1571" s="2">
        <v>74.73</v>
      </c>
      <c r="IZ1571" s="2">
        <v>75.05</v>
      </c>
      <c r="JA1571" s="2">
        <v>73.77</v>
      </c>
      <c r="JB1571" s="2">
        <v>75.45999999999999</v>
      </c>
      <c r="JC1571" s="2">
        <v>74.87</v>
      </c>
      <c r="JD1571" s="2">
        <v>74.51000000000001</v>
      </c>
      <c r="JE1571" s="2">
        <v>73.37</v>
      </c>
      <c r="JF1571" s="2">
        <v>73.7</v>
      </c>
      <c r="JG1571" s="2">
        <v>73.79000000000001</v>
      </c>
      <c r="JH1571" s="2">
        <v>73.73999999999999</v>
      </c>
      <c r="JI1571" s="2">
        <v>73.73</v>
      </c>
      <c r="JJ1571" s="2">
        <v>74.37</v>
      </c>
      <c r="JK1571" s="2">
        <v>75.33</v>
      </c>
      <c r="JL1571" s="2">
        <v>74.01000000000001</v>
      </c>
      <c r="JM1571" s="2">
        <v>74.53</v>
      </c>
      <c r="JN1571" s="2">
        <v>71.67</v>
      </c>
      <c r="JO1571" s="2">
        <v>72.3</v>
      </c>
      <c r="JP1571" s="2">
        <v>71.13</v>
      </c>
      <c r="JQ1571" s="2">
        <v>72.25</v>
      </c>
      <c r="JR1571" s="2">
        <v>72.41</v>
      </c>
      <c r="JS1571" s="2">
        <v>70.84</v>
      </c>
      <c r="JT1571" s="2">
        <v>71.7</v>
      </c>
      <c r="JU1571" s="2">
        <v>71.45</v>
      </c>
      <c r="JV1571" s="2">
        <v>72.41</v>
      </c>
      <c r="KA1571" s="2">
        <v>71.12</v>
      </c>
      <c r="KB1571" s="2">
        <v>70.98999999999999</v>
      </c>
      <c r="KC1571" s="2">
        <v>73.73</v>
      </c>
      <c r="KD1571" s="2">
        <v>75.14</v>
      </c>
      <c r="KQ1571" s="2">
        <v>70.61</v>
      </c>
      <c r="KR1571" s="2">
        <v>72.72</v>
      </c>
      <c r="KS1571" s="2">
        <v>75.28</v>
      </c>
      <c r="KT1571" s="2">
        <v>75</v>
      </c>
      <c r="LG1571" s="2">
        <v>73.17</v>
      </c>
      <c r="LH1571" s="2">
        <v>73.59999999999999</v>
      </c>
      <c r="LI1571" s="2">
        <v>74.54000000000001</v>
      </c>
      <c r="LJ1571" s="2">
        <v>76.33</v>
      </c>
      <c r="LW1571" s="2">
        <v>74.87</v>
      </c>
      <c r="LX1571" s="2">
        <v>74.56999999999999</v>
      </c>
      <c r="LY1571" s="2">
        <v>74.65000000000001</v>
      </c>
      <c r="LZ1571" s="2">
        <v>75.67</v>
      </c>
      <c r="MM1571" s="2">
        <v>75.69</v>
      </c>
      <c r="MN1571" s="2">
        <v>76.62</v>
      </c>
      <c r="MO1571" s="2">
        <v>76.69</v>
      </c>
      <c r="MP1571" s="2">
        <v>78.09</v>
      </c>
      <c r="NC1571" s="2">
        <v>77.34</v>
      </c>
      <c r="ND1571" s="2">
        <v>79.05</v>
      </c>
      <c r="NE1571" s="2">
        <v>80.02</v>
      </c>
      <c r="NF1571" s="2">
        <v>80.55</v>
      </c>
      <c r="NS1571" s="2">
        <v>81.76000000000001</v>
      </c>
      <c r="NT1571" s="2">
        <v>82.22</v>
      </c>
      <c r="NU1571" s="2">
        <v>82.56</v>
      </c>
      <c r="NV1571" s="2">
        <v>82.83</v>
      </c>
      <c r="OI1571" s="2">
        <v>84.45</v>
      </c>
      <c r="OJ1571" s="2">
        <v>87.61</v>
      </c>
      <c r="OK1571" s="2">
        <v>89.45999999999999</v>
      </c>
      <c r="OL1571" s="2">
        <v>90.48</v>
      </c>
      <c r="OY1571" s="2">
        <v>90.84999999999999</v>
      </c>
      <c r="OZ1571" s="2">
        <v>92.06999999999999</v>
      </c>
      <c r="PA1571" s="2">
        <v>97.83</v>
      </c>
      <c r="PB1571" s="2">
        <v>100.44</v>
      </c>
      <c r="PJ1571" s="2">
        <v>101.43</v>
      </c>
      <c r="PK1571" s="2">
        <v>103.01</v>
      </c>
    </row>
    <row r="1572">
      <c r="A1572" t="inlineStr">
        <is>
          <t>A3604408A</t>
        </is>
      </c>
      <c r="B1572" t="inlineStr">
        <is>
          <t>Index Numbers ;  Newspapers, books and stationery ;  Australia ;</t>
        </is>
      </c>
      <c r="C1572" t="inlineStr">
        <is>
          <t>Quarter</t>
        </is>
      </c>
      <c r="D1572" t="inlineStr">
        <is>
          <t>Index Numbers</t>
        </is>
      </c>
      <c r="E1572" t="inlineStr">
        <is>
          <t>Original</t>
        </is>
      </c>
      <c r="F1572" t="inlineStr">
        <is>
          <t>6401018.xlsx</t>
        </is>
      </c>
      <c r="G1572" t="inlineStr">
        <is>
          <t>1989Q3</t>
        </is>
      </c>
      <c r="H1572" t="inlineStr">
        <is>
          <t>2026Q2</t>
        </is>
      </c>
      <c r="FQ1572" s="2">
        <v>36.37</v>
      </c>
      <c r="FR1572" s="2">
        <v>36.52</v>
      </c>
      <c r="FS1572" s="2">
        <v>37.41</v>
      </c>
      <c r="FT1572" s="2">
        <v>38.11</v>
      </c>
      <c r="FU1572" s="2">
        <v>38.52</v>
      </c>
      <c r="FV1572" s="2">
        <v>38.86</v>
      </c>
      <c r="FW1572" s="2">
        <v>38.82</v>
      </c>
      <c r="FX1572" s="2">
        <v>40.01</v>
      </c>
      <c r="FY1572" s="2">
        <v>40.75</v>
      </c>
      <c r="FZ1572" s="2">
        <v>40.9</v>
      </c>
      <c r="GA1572" s="2">
        <v>41.45</v>
      </c>
      <c r="GB1572" s="2">
        <v>41.64</v>
      </c>
      <c r="GC1572" s="2">
        <v>42.64</v>
      </c>
      <c r="GD1572" s="2">
        <v>43.12</v>
      </c>
      <c r="GE1572" s="2">
        <v>44.83</v>
      </c>
      <c r="GF1572" s="2">
        <v>45.2</v>
      </c>
      <c r="GG1572" s="2">
        <v>45.61</v>
      </c>
      <c r="GH1572" s="2">
        <v>45.8</v>
      </c>
      <c r="GI1572" s="2">
        <v>46.32</v>
      </c>
      <c r="GJ1572" s="2">
        <v>47.17</v>
      </c>
      <c r="GK1572" s="2">
        <v>47.43</v>
      </c>
      <c r="GL1572" s="2">
        <v>47.54</v>
      </c>
      <c r="GM1572" s="2">
        <v>47.87</v>
      </c>
      <c r="GN1572" s="2">
        <v>47.99</v>
      </c>
      <c r="GO1572" s="2">
        <v>48.21</v>
      </c>
      <c r="GP1572" s="2">
        <v>48.88</v>
      </c>
      <c r="GQ1572" s="2">
        <v>49.43</v>
      </c>
      <c r="GR1572" s="2">
        <v>50.25</v>
      </c>
      <c r="GS1572" s="2">
        <v>50.32</v>
      </c>
      <c r="GT1572" s="2">
        <v>50.84</v>
      </c>
      <c r="GU1572" s="2">
        <v>51.66</v>
      </c>
      <c r="GV1572" s="2">
        <v>52.59</v>
      </c>
      <c r="GW1572" s="2">
        <v>53.14</v>
      </c>
      <c r="GX1572" s="2">
        <v>53.92</v>
      </c>
      <c r="GY1572" s="2">
        <v>54.18</v>
      </c>
      <c r="GZ1572" s="2">
        <v>54.74</v>
      </c>
      <c r="HA1572" s="2">
        <v>55.82</v>
      </c>
      <c r="HB1572" s="2">
        <v>56.19</v>
      </c>
      <c r="HC1572" s="2">
        <v>56.78</v>
      </c>
      <c r="HD1572" s="2">
        <v>57.08</v>
      </c>
      <c r="HE1572" s="2">
        <v>57.64</v>
      </c>
      <c r="HF1572" s="2">
        <v>57.93</v>
      </c>
      <c r="HG1572" s="2">
        <v>58.49</v>
      </c>
      <c r="HH1572" s="2">
        <v>58.67</v>
      </c>
      <c r="HI1572" s="2">
        <v>61.68</v>
      </c>
      <c r="HJ1572" s="2">
        <v>61.42</v>
      </c>
      <c r="HK1572" s="2">
        <v>62.42</v>
      </c>
      <c r="HL1572" s="2">
        <v>62.68</v>
      </c>
      <c r="HM1572" s="2">
        <v>62.98</v>
      </c>
      <c r="HN1572" s="2">
        <v>63.72</v>
      </c>
      <c r="HO1572" s="2">
        <v>64.28</v>
      </c>
      <c r="HP1572" s="2">
        <v>64.76000000000001</v>
      </c>
      <c r="HQ1572" s="2">
        <v>64.72</v>
      </c>
      <c r="HR1572" s="2">
        <v>65.28</v>
      </c>
      <c r="HS1572" s="2">
        <v>66.02</v>
      </c>
      <c r="HT1572" s="2">
        <v>66.28</v>
      </c>
      <c r="HU1572" s="2">
        <v>66.62</v>
      </c>
      <c r="HV1572" s="2">
        <v>66.62</v>
      </c>
      <c r="HW1572" s="2">
        <v>66.88</v>
      </c>
      <c r="HX1572" s="2">
        <v>66.8</v>
      </c>
      <c r="HY1572" s="2">
        <v>66.47</v>
      </c>
      <c r="HZ1572" s="2">
        <v>67.20999999999999</v>
      </c>
      <c r="IA1572" s="2">
        <v>67.58</v>
      </c>
      <c r="IB1572" s="2">
        <v>67.66</v>
      </c>
      <c r="IC1572" s="2">
        <v>68.06</v>
      </c>
      <c r="ID1572" s="2">
        <v>68.20999999999999</v>
      </c>
      <c r="IE1572" s="2">
        <v>68.29000000000001</v>
      </c>
      <c r="IF1572" s="2">
        <v>68.51000000000001</v>
      </c>
      <c r="IG1572" s="2">
        <v>68.81</v>
      </c>
      <c r="IH1572" s="2">
        <v>69.36</v>
      </c>
      <c r="II1572" s="2">
        <v>69.51000000000001</v>
      </c>
      <c r="IJ1572" s="2">
        <v>69.88</v>
      </c>
      <c r="IK1572" s="2">
        <v>70.33</v>
      </c>
      <c r="IL1572" s="2">
        <v>70.44</v>
      </c>
      <c r="IM1572" s="2">
        <v>70.73999999999999</v>
      </c>
      <c r="IN1572" s="2">
        <v>71.03</v>
      </c>
      <c r="IO1572" s="2">
        <v>71.22</v>
      </c>
      <c r="IP1572" s="2">
        <v>71.89</v>
      </c>
      <c r="IQ1572" s="2">
        <v>72.37</v>
      </c>
      <c r="IR1572" s="2">
        <v>73.04000000000001</v>
      </c>
      <c r="IS1572" s="2">
        <v>73.7</v>
      </c>
      <c r="IT1572" s="2">
        <v>73.89</v>
      </c>
      <c r="IU1572" s="2">
        <v>73.48</v>
      </c>
      <c r="IV1572" s="2">
        <v>73.26000000000001</v>
      </c>
      <c r="IW1572" s="2">
        <v>73.93000000000001</v>
      </c>
      <c r="IX1572" s="2">
        <v>73.95999999999999</v>
      </c>
      <c r="IY1572" s="2">
        <v>74.15000000000001</v>
      </c>
      <c r="IZ1572" s="2">
        <v>73.95999999999999</v>
      </c>
      <c r="JA1572" s="2">
        <v>73.92</v>
      </c>
      <c r="JB1572" s="2">
        <v>74.06</v>
      </c>
      <c r="JC1572" s="2">
        <v>73.83</v>
      </c>
      <c r="JD1572" s="2">
        <v>74.34</v>
      </c>
      <c r="JE1572" s="2">
        <v>74.69</v>
      </c>
      <c r="JF1572" s="2">
        <v>75.08</v>
      </c>
      <c r="JG1572" s="2">
        <v>75.59999999999999</v>
      </c>
      <c r="JH1572" s="2">
        <v>76.02</v>
      </c>
      <c r="JI1572" s="2">
        <v>76.19</v>
      </c>
      <c r="JJ1572" s="2">
        <v>77.04000000000001</v>
      </c>
      <c r="JK1572" s="2">
        <v>77.26000000000001</v>
      </c>
      <c r="JL1572" s="2">
        <v>77.54000000000001</v>
      </c>
      <c r="JM1572" s="2">
        <v>78.69</v>
      </c>
      <c r="JN1572" s="2">
        <v>79.48999999999999</v>
      </c>
      <c r="JO1572" s="2">
        <v>80.14</v>
      </c>
      <c r="JP1572" s="2">
        <v>80.17</v>
      </c>
      <c r="JQ1572" s="2">
        <v>80.5</v>
      </c>
      <c r="JR1572" s="2">
        <v>80</v>
      </c>
      <c r="JS1572" s="2">
        <v>81.06</v>
      </c>
      <c r="JT1572" s="2">
        <v>81.11</v>
      </c>
      <c r="JU1572" s="2">
        <v>81.7</v>
      </c>
      <c r="JV1572" s="2">
        <v>81.61</v>
      </c>
      <c r="KA1572" s="2">
        <v>82.62</v>
      </c>
      <c r="KB1572" s="2">
        <v>82.43000000000001</v>
      </c>
      <c r="KC1572" s="2">
        <v>83.14</v>
      </c>
      <c r="KD1572" s="2">
        <v>82.79000000000001</v>
      </c>
      <c r="KQ1572" s="2">
        <v>83.54000000000001</v>
      </c>
      <c r="KR1572" s="2">
        <v>83.38</v>
      </c>
      <c r="KS1572" s="2">
        <v>82.64</v>
      </c>
      <c r="KT1572" s="2">
        <v>82.56999999999999</v>
      </c>
      <c r="LG1572" s="2">
        <v>82.90000000000001</v>
      </c>
      <c r="LH1572" s="2">
        <v>83.19</v>
      </c>
      <c r="LI1572" s="2">
        <v>84.28</v>
      </c>
      <c r="LJ1572" s="2">
        <v>83.75</v>
      </c>
      <c r="LW1572" s="2">
        <v>84.17</v>
      </c>
      <c r="LX1572" s="2">
        <v>85.27</v>
      </c>
      <c r="LY1572" s="2">
        <v>85.16</v>
      </c>
      <c r="LZ1572" s="2">
        <v>84.59999999999999</v>
      </c>
      <c r="MM1572" s="2">
        <v>85.58</v>
      </c>
      <c r="MN1572" s="2">
        <v>86.05</v>
      </c>
      <c r="MO1572" s="2">
        <v>86.78</v>
      </c>
      <c r="MP1572" s="2">
        <v>85.81999999999999</v>
      </c>
      <c r="NC1572" s="2">
        <v>87.48999999999999</v>
      </c>
      <c r="ND1572" s="2">
        <v>87.87</v>
      </c>
      <c r="NE1572" s="2">
        <v>90.05</v>
      </c>
      <c r="NF1572" s="2">
        <v>91.34</v>
      </c>
      <c r="NS1572" s="2">
        <v>92.33</v>
      </c>
      <c r="NT1572" s="2">
        <v>93.72</v>
      </c>
      <c r="NU1572" s="2">
        <v>94.31999999999999</v>
      </c>
      <c r="NV1572" s="2">
        <v>93.98999999999999</v>
      </c>
      <c r="OI1572" s="2">
        <v>96.06</v>
      </c>
      <c r="OJ1572" s="2">
        <v>96.44</v>
      </c>
      <c r="OK1572" s="2">
        <v>96.58</v>
      </c>
      <c r="OL1572" s="2">
        <v>96.69</v>
      </c>
      <c r="OY1572" s="2">
        <v>97.23</v>
      </c>
      <c r="OZ1572" s="2">
        <v>98.72</v>
      </c>
      <c r="PA1572" s="2">
        <v>100.31</v>
      </c>
      <c r="PB1572" s="2">
        <v>100.37</v>
      </c>
      <c r="PJ1572" s="2">
        <v>100.96</v>
      </c>
      <c r="PK1572" s="2">
        <v>101.31</v>
      </c>
    </row>
    <row r="1573">
      <c r="A1573" t="inlineStr">
        <is>
          <t>A2330211V</t>
        </is>
      </c>
      <c r="B1573" t="inlineStr">
        <is>
          <t>Index Numbers ;  Books ;  Australia ;</t>
        </is>
      </c>
      <c r="C1573" t="inlineStr">
        <is>
          <t>Quarter</t>
        </is>
      </c>
      <c r="D1573" t="inlineStr">
        <is>
          <t>Index Numbers</t>
        </is>
      </c>
      <c r="E1573" t="inlineStr">
        <is>
          <t>Original</t>
        </is>
      </c>
      <c r="F1573" t="inlineStr">
        <is>
          <t>6401018.xlsx</t>
        </is>
      </c>
      <c r="G1573" t="inlineStr">
        <is>
          <t>1998Q2</t>
        </is>
      </c>
      <c r="H1573" t="inlineStr">
        <is>
          <t>2026Q2</t>
        </is>
      </c>
      <c r="GZ1573" s="2">
        <v>76.69</v>
      </c>
      <c r="HA1573" s="2">
        <v>78.17</v>
      </c>
      <c r="HB1573" s="2">
        <v>78.52</v>
      </c>
      <c r="HC1573" s="2">
        <v>80.45</v>
      </c>
      <c r="HD1573" s="2">
        <v>79.47</v>
      </c>
      <c r="HE1573" s="2">
        <v>79.34999999999999</v>
      </c>
      <c r="HF1573" s="2">
        <v>79.7</v>
      </c>
      <c r="HG1573" s="2">
        <v>81.20999999999999</v>
      </c>
      <c r="HH1573" s="2">
        <v>81.62</v>
      </c>
      <c r="HI1573" s="2">
        <v>87.19</v>
      </c>
      <c r="HJ1573" s="2">
        <v>85.94</v>
      </c>
      <c r="HK1573" s="2">
        <v>87.36</v>
      </c>
      <c r="HL1573" s="2">
        <v>89.15000000000001</v>
      </c>
      <c r="HM1573" s="2">
        <v>90.02</v>
      </c>
      <c r="HN1573" s="2">
        <v>90.08</v>
      </c>
      <c r="HO1573" s="2">
        <v>90.76000000000001</v>
      </c>
      <c r="HP1573" s="2">
        <v>91.15000000000001</v>
      </c>
      <c r="HQ1573" s="2">
        <v>91.14</v>
      </c>
      <c r="HR1573" s="2">
        <v>91.56999999999999</v>
      </c>
      <c r="HS1573" s="2">
        <v>92.48</v>
      </c>
      <c r="HT1573" s="2">
        <v>92.56</v>
      </c>
      <c r="HU1573" s="2">
        <v>92.98999999999999</v>
      </c>
      <c r="HV1573" s="2">
        <v>92.90000000000001</v>
      </c>
      <c r="HW1573" s="2">
        <v>93.55</v>
      </c>
      <c r="HX1573" s="2">
        <v>93.69</v>
      </c>
      <c r="HY1573" s="2">
        <v>94.14</v>
      </c>
      <c r="HZ1573" s="2">
        <v>94.23</v>
      </c>
      <c r="IA1573" s="2">
        <v>94.93000000000001</v>
      </c>
      <c r="IB1573" s="2">
        <v>95.11</v>
      </c>
      <c r="IC1573" s="2">
        <v>95.36</v>
      </c>
      <c r="ID1573" s="2">
        <v>95.68000000000001</v>
      </c>
      <c r="IE1573" s="2">
        <v>95.83</v>
      </c>
      <c r="IF1573" s="2">
        <v>95.3</v>
      </c>
      <c r="IG1573" s="2">
        <v>96.14</v>
      </c>
      <c r="IH1573" s="2">
        <v>96.58</v>
      </c>
      <c r="II1573" s="2">
        <v>96.95999999999999</v>
      </c>
      <c r="IJ1573" s="2">
        <v>96.90000000000001</v>
      </c>
      <c r="IK1573" s="2">
        <v>97.31</v>
      </c>
      <c r="IL1573" s="2">
        <v>97.34</v>
      </c>
      <c r="IM1573" s="2">
        <v>98.91</v>
      </c>
      <c r="IN1573" s="2">
        <v>98.48</v>
      </c>
      <c r="IO1573" s="2">
        <v>98.54000000000001</v>
      </c>
      <c r="IP1573" s="2">
        <v>99.76000000000001</v>
      </c>
      <c r="IQ1573" s="2">
        <v>99.95999999999999</v>
      </c>
      <c r="IR1573" s="2">
        <v>99.68000000000001</v>
      </c>
      <c r="IS1573" s="2">
        <v>100.26</v>
      </c>
      <c r="IT1573" s="2">
        <v>101.44</v>
      </c>
      <c r="IU1573" s="2">
        <v>101.41</v>
      </c>
      <c r="IV1573" s="2">
        <v>100.94</v>
      </c>
      <c r="IW1573" s="2">
        <v>101.57</v>
      </c>
      <c r="IX1573" s="2">
        <v>101.6</v>
      </c>
      <c r="IY1573" s="2">
        <v>102.04</v>
      </c>
      <c r="IZ1573" s="2">
        <v>101.69</v>
      </c>
      <c r="JA1573" s="2">
        <v>101.19</v>
      </c>
      <c r="JB1573" s="2">
        <v>101.12</v>
      </c>
      <c r="JC1573" s="2">
        <v>101.16</v>
      </c>
      <c r="JD1573" s="2">
        <v>101.61</v>
      </c>
      <c r="JE1573" s="2">
        <v>99.51000000000001</v>
      </c>
      <c r="JF1573" s="2">
        <v>99.76000000000001</v>
      </c>
      <c r="JG1573" s="2">
        <v>99.75</v>
      </c>
      <c r="JH1573" s="2">
        <v>99.29000000000001</v>
      </c>
      <c r="JI1573" s="2">
        <v>97.72</v>
      </c>
      <c r="JJ1573" s="2">
        <v>98.66</v>
      </c>
      <c r="JK1573" s="2">
        <v>99.51000000000001</v>
      </c>
      <c r="JL1573" s="2">
        <v>97.89</v>
      </c>
      <c r="JM1573" s="2">
        <v>99.69</v>
      </c>
      <c r="JN1573" s="2">
        <v>100.72</v>
      </c>
      <c r="JO1573" s="2">
        <v>101.19</v>
      </c>
      <c r="JP1573" s="2">
        <v>100.68</v>
      </c>
      <c r="JQ1573" s="2">
        <v>99.89</v>
      </c>
      <c r="JR1573" s="2">
        <v>97.29000000000001</v>
      </c>
      <c r="JS1573" s="2">
        <v>99.63</v>
      </c>
      <c r="JT1573" s="2">
        <v>99.36</v>
      </c>
      <c r="JU1573" s="2">
        <v>101.77</v>
      </c>
      <c r="JV1573" s="2">
        <v>99.43000000000001</v>
      </c>
      <c r="KA1573" s="2">
        <v>101.96</v>
      </c>
      <c r="KB1573" s="2">
        <v>102.61</v>
      </c>
      <c r="KC1573" s="2">
        <v>104.33</v>
      </c>
      <c r="KD1573" s="2">
        <v>100.77</v>
      </c>
      <c r="KQ1573" s="2">
        <v>104.48</v>
      </c>
      <c r="KR1573" s="2">
        <v>103.33</v>
      </c>
      <c r="KS1573" s="2">
        <v>102.03</v>
      </c>
      <c r="KT1573" s="2">
        <v>99.97</v>
      </c>
      <c r="LG1573" s="2">
        <v>103.77</v>
      </c>
      <c r="LH1573" s="2">
        <v>101.27</v>
      </c>
      <c r="LI1573" s="2">
        <v>102.81</v>
      </c>
      <c r="LJ1573" s="2">
        <v>101.74</v>
      </c>
      <c r="LW1573" s="2">
        <v>101.72</v>
      </c>
      <c r="LX1573" s="2">
        <v>104.26</v>
      </c>
      <c r="LY1573" s="2">
        <v>103.34</v>
      </c>
      <c r="LZ1573" s="2">
        <v>100.12</v>
      </c>
      <c r="MM1573" s="2">
        <v>103.24</v>
      </c>
      <c r="MN1573" s="2">
        <v>102.46</v>
      </c>
      <c r="MO1573" s="2">
        <v>102.41</v>
      </c>
      <c r="MP1573" s="2">
        <v>99.5</v>
      </c>
      <c r="NC1573" s="2">
        <v>103.35</v>
      </c>
      <c r="ND1573" s="2">
        <v>101.92</v>
      </c>
      <c r="NE1573" s="2">
        <v>102.6</v>
      </c>
      <c r="NF1573" s="2">
        <v>98.73</v>
      </c>
      <c r="NS1573" s="2">
        <v>102.46</v>
      </c>
      <c r="NT1573" s="2">
        <v>102.54</v>
      </c>
      <c r="NU1573" s="2">
        <v>101.92</v>
      </c>
      <c r="NV1573" s="2">
        <v>100.09</v>
      </c>
      <c r="OI1573" s="2">
        <v>102.2</v>
      </c>
      <c r="OJ1573" s="2">
        <v>103.11</v>
      </c>
      <c r="OK1573" s="2">
        <v>100.69</v>
      </c>
      <c r="OL1573" s="2">
        <v>101.18</v>
      </c>
      <c r="OY1573" s="2">
        <v>101.31</v>
      </c>
      <c r="OZ1573" s="2">
        <v>101.26</v>
      </c>
      <c r="PA1573" s="2">
        <v>101</v>
      </c>
      <c r="PB1573" s="2">
        <v>100.96</v>
      </c>
      <c r="PJ1573" s="2">
        <v>102.61</v>
      </c>
      <c r="PK1573" s="2">
        <v>100.18</v>
      </c>
    </row>
    <row r="1574">
      <c r="A1574" t="inlineStr">
        <is>
          <t>A3604393W</t>
        </is>
      </c>
      <c r="B1574" t="inlineStr">
        <is>
          <t>Index Numbers ;  Newspapers, magazines and stationery ;  Australia ;</t>
        </is>
      </c>
      <c r="C1574" t="inlineStr">
        <is>
          <t>Quarter</t>
        </is>
      </c>
      <c r="D1574" t="inlineStr">
        <is>
          <t>Index Numbers</t>
        </is>
      </c>
      <c r="E1574" t="inlineStr">
        <is>
          <t>Original</t>
        </is>
      </c>
      <c r="F1574" t="inlineStr">
        <is>
          <t>6401018.xlsx</t>
        </is>
      </c>
      <c r="G1574" t="inlineStr">
        <is>
          <t>1998Q2</t>
        </is>
      </c>
      <c r="H1574" t="inlineStr">
        <is>
          <t>2026Q2</t>
        </is>
      </c>
      <c r="GZ1574" s="2">
        <v>46.7</v>
      </c>
      <c r="HA1574" s="2">
        <v>47.64</v>
      </c>
      <c r="HB1574" s="2">
        <v>47.96</v>
      </c>
      <c r="HC1574" s="2">
        <v>48.2</v>
      </c>
      <c r="HD1574" s="2">
        <v>48.85</v>
      </c>
      <c r="HE1574" s="2">
        <v>49.6</v>
      </c>
      <c r="HF1574" s="2">
        <v>49.83</v>
      </c>
      <c r="HG1574" s="2">
        <v>50.11</v>
      </c>
      <c r="HH1574" s="2">
        <v>50.21</v>
      </c>
      <c r="HI1574" s="2">
        <v>52.4</v>
      </c>
      <c r="HJ1574" s="2">
        <v>52.4</v>
      </c>
      <c r="HK1574" s="2">
        <v>53.29</v>
      </c>
      <c r="HL1574" s="2">
        <v>53.15</v>
      </c>
      <c r="HM1574" s="2">
        <v>53.29</v>
      </c>
      <c r="HN1574" s="2">
        <v>54.18</v>
      </c>
      <c r="HO1574" s="2">
        <v>54.64</v>
      </c>
      <c r="HP1574" s="2">
        <v>55.11</v>
      </c>
      <c r="HQ1574" s="2">
        <v>55.11</v>
      </c>
      <c r="HR1574" s="2">
        <v>55.72</v>
      </c>
      <c r="HS1574" s="2">
        <v>56.37</v>
      </c>
      <c r="HT1574" s="2">
        <v>56.65</v>
      </c>
      <c r="HU1574" s="2">
        <v>56.93</v>
      </c>
      <c r="HV1574" s="2">
        <v>57.02</v>
      </c>
      <c r="HW1574" s="2">
        <v>57.12</v>
      </c>
      <c r="HX1574" s="2">
        <v>56.98</v>
      </c>
      <c r="HY1574" s="2">
        <v>56.42</v>
      </c>
      <c r="HZ1574" s="2">
        <v>57.4</v>
      </c>
      <c r="IA1574" s="2">
        <v>57.58</v>
      </c>
      <c r="IB1574" s="2">
        <v>57.68</v>
      </c>
      <c r="IC1574" s="2">
        <v>58.15</v>
      </c>
      <c r="ID1574" s="2">
        <v>58.19</v>
      </c>
      <c r="IE1574" s="2">
        <v>58.29</v>
      </c>
      <c r="IF1574" s="2">
        <v>58.75</v>
      </c>
      <c r="IG1574" s="2">
        <v>58.85</v>
      </c>
      <c r="IH1574" s="2">
        <v>59.41</v>
      </c>
      <c r="II1574" s="2">
        <v>59.5</v>
      </c>
      <c r="IJ1574" s="2">
        <v>60.06</v>
      </c>
      <c r="IK1574" s="2">
        <v>60.48</v>
      </c>
      <c r="IL1574" s="2">
        <v>60.62</v>
      </c>
      <c r="IM1574" s="2">
        <v>60.48</v>
      </c>
      <c r="IN1574" s="2">
        <v>60.99</v>
      </c>
      <c r="IO1574" s="2">
        <v>61.27</v>
      </c>
      <c r="IP1574" s="2">
        <v>61.69</v>
      </c>
      <c r="IQ1574" s="2">
        <v>62.3</v>
      </c>
      <c r="IR1574" s="2">
        <v>63.28</v>
      </c>
      <c r="IS1574" s="2">
        <v>63.98</v>
      </c>
      <c r="IT1574" s="2">
        <v>63.84</v>
      </c>
      <c r="IU1574" s="2">
        <v>63.24</v>
      </c>
      <c r="IV1574" s="2">
        <v>63.14</v>
      </c>
      <c r="IW1574" s="2">
        <v>63.84</v>
      </c>
      <c r="IX1574" s="2">
        <v>63.89</v>
      </c>
      <c r="IY1574" s="2">
        <v>63.98</v>
      </c>
      <c r="IZ1574" s="2">
        <v>63.84</v>
      </c>
      <c r="JA1574" s="2">
        <v>63.96</v>
      </c>
      <c r="JB1574" s="2">
        <v>64.17</v>
      </c>
      <c r="JC1574" s="2">
        <v>63.84</v>
      </c>
      <c r="JD1574" s="2">
        <v>64.38</v>
      </c>
      <c r="JE1574" s="2">
        <v>65.62</v>
      </c>
      <c r="JF1574" s="2">
        <v>66.06</v>
      </c>
      <c r="JG1574" s="2">
        <v>66.77</v>
      </c>
      <c r="JH1574" s="2">
        <v>67.52</v>
      </c>
      <c r="JI1574" s="2">
        <v>68.31</v>
      </c>
      <c r="JJ1574" s="2">
        <v>69.14</v>
      </c>
      <c r="JK1574" s="2">
        <v>69.12</v>
      </c>
      <c r="JL1574" s="2">
        <v>70.09999999999999</v>
      </c>
      <c r="JM1574" s="2">
        <v>71.01000000000001</v>
      </c>
      <c r="JN1574" s="2">
        <v>71.73</v>
      </c>
      <c r="JO1574" s="2">
        <v>72.44</v>
      </c>
      <c r="JP1574" s="2">
        <v>72.67</v>
      </c>
      <c r="JQ1574" s="2">
        <v>73.41</v>
      </c>
      <c r="JR1574" s="2">
        <v>73.67</v>
      </c>
      <c r="JS1574" s="2">
        <v>74.26000000000001</v>
      </c>
      <c r="JT1574" s="2">
        <v>74.44</v>
      </c>
      <c r="JU1574" s="2">
        <v>74.34999999999999</v>
      </c>
      <c r="JV1574" s="2">
        <v>75.09</v>
      </c>
      <c r="KA1574" s="2">
        <v>75.55</v>
      </c>
      <c r="KB1574" s="2">
        <v>75.05</v>
      </c>
      <c r="KC1574" s="2">
        <v>75.39</v>
      </c>
      <c r="KD1574" s="2">
        <v>76.22</v>
      </c>
      <c r="KQ1574" s="2">
        <v>75.88</v>
      </c>
      <c r="KR1574" s="2">
        <v>76.09</v>
      </c>
      <c r="KS1574" s="2">
        <v>75.55</v>
      </c>
      <c r="KT1574" s="2">
        <v>76.22</v>
      </c>
      <c r="LG1574" s="2">
        <v>75.26000000000001</v>
      </c>
      <c r="LH1574" s="2">
        <v>76.59</v>
      </c>
      <c r="LI1574" s="2">
        <v>77.52</v>
      </c>
      <c r="LJ1574" s="2">
        <v>77.18000000000001</v>
      </c>
      <c r="LW1574" s="2">
        <v>77.76000000000001</v>
      </c>
      <c r="LX1574" s="2">
        <v>78.33</v>
      </c>
      <c r="LY1574" s="2">
        <v>78.53</v>
      </c>
      <c r="LZ1574" s="2">
        <v>78.91</v>
      </c>
      <c r="MM1574" s="2">
        <v>79.13</v>
      </c>
      <c r="MN1574" s="2">
        <v>80.04000000000001</v>
      </c>
      <c r="MO1574" s="2">
        <v>81.04000000000001</v>
      </c>
      <c r="MP1574" s="2">
        <v>80.78</v>
      </c>
      <c r="NC1574" s="2">
        <v>81.66</v>
      </c>
      <c r="ND1574" s="2">
        <v>82.70999999999999</v>
      </c>
      <c r="NE1574" s="2">
        <v>85.41</v>
      </c>
      <c r="NF1574" s="2">
        <v>88.59</v>
      </c>
      <c r="NS1574" s="2">
        <v>88.58</v>
      </c>
      <c r="NT1574" s="2">
        <v>90.44</v>
      </c>
      <c r="NU1574" s="2">
        <v>91.48999999999999</v>
      </c>
      <c r="NV1574" s="2">
        <v>91.70999999999999</v>
      </c>
      <c r="OI1574" s="2">
        <v>93.76000000000001</v>
      </c>
      <c r="OJ1574" s="2">
        <v>93.95</v>
      </c>
      <c r="OK1574" s="2">
        <v>95.03</v>
      </c>
      <c r="OL1574" s="2">
        <v>94.98999999999999</v>
      </c>
      <c r="OY1574" s="2">
        <v>95.69</v>
      </c>
      <c r="OZ1574" s="2">
        <v>97.76000000000001</v>
      </c>
      <c r="PA1574" s="2">
        <v>100.05</v>
      </c>
      <c r="PB1574" s="2">
        <v>100.15</v>
      </c>
      <c r="PJ1574" s="2">
        <v>100.33</v>
      </c>
      <c r="PK1574" s="2">
        <v>101.74</v>
      </c>
    </row>
    <row r="1575">
      <c r="A1575" t="inlineStr">
        <is>
          <t>A2326881C</t>
        </is>
      </c>
      <c r="B1575" t="inlineStr">
        <is>
          <t>Index Numbers ;  Holiday travel and accommodation ;  Australia ;</t>
        </is>
      </c>
      <c r="C1575" t="inlineStr">
        <is>
          <t>Quarter</t>
        </is>
      </c>
      <c r="D1575" t="inlineStr">
        <is>
          <t>Index Numbers</t>
        </is>
      </c>
      <c r="E1575" t="inlineStr">
        <is>
          <t>Original</t>
        </is>
      </c>
      <c r="F1575" t="inlineStr">
        <is>
          <t>6401018.xlsx</t>
        </is>
      </c>
      <c r="G1575" t="inlineStr">
        <is>
          <t>1982Q1</t>
        </is>
      </c>
      <c r="H1575" t="inlineStr">
        <is>
          <t>2026Q2</t>
        </is>
      </c>
      <c r="EM1575" s="2">
        <v>23.81</v>
      </c>
      <c r="EN1575" s="2">
        <v>23.46</v>
      </c>
      <c r="EO1575" s="2">
        <v>23.9</v>
      </c>
      <c r="EP1575" s="2">
        <v>25.12</v>
      </c>
      <c r="EQ1575" s="2">
        <v>26.42</v>
      </c>
      <c r="ER1575" s="2">
        <v>27.47</v>
      </c>
      <c r="ES1575" s="2">
        <v>27.56</v>
      </c>
      <c r="ET1575" s="2">
        <v>27.38</v>
      </c>
      <c r="EU1575" s="2">
        <v>27.82</v>
      </c>
      <c r="EV1575" s="2">
        <v>27.6</v>
      </c>
      <c r="EW1575" s="2">
        <v>28.08</v>
      </c>
      <c r="EX1575" s="2">
        <v>28.34</v>
      </c>
      <c r="EY1575" s="2">
        <v>29.04</v>
      </c>
      <c r="EZ1575" s="2">
        <v>30.38</v>
      </c>
      <c r="FA1575" s="2">
        <v>31.47</v>
      </c>
      <c r="FB1575" s="2">
        <v>32.08</v>
      </c>
      <c r="FC1575" s="2">
        <v>32.17</v>
      </c>
      <c r="FD1575" s="2">
        <v>32.69</v>
      </c>
      <c r="FE1575" s="2">
        <v>34.39</v>
      </c>
      <c r="FF1575" s="2">
        <v>34.13</v>
      </c>
      <c r="FG1575" s="2">
        <v>34.91</v>
      </c>
      <c r="FH1575" s="2">
        <v>34.61</v>
      </c>
      <c r="FI1575" s="2">
        <v>36.04</v>
      </c>
      <c r="FJ1575" s="2">
        <v>36.39</v>
      </c>
      <c r="FK1575" s="2">
        <v>38.48</v>
      </c>
      <c r="FL1575" s="2">
        <v>38.79</v>
      </c>
      <c r="FM1575" s="2">
        <v>38.74</v>
      </c>
      <c r="FN1575" s="2">
        <v>41.27</v>
      </c>
      <c r="FO1575" s="2">
        <v>39.83</v>
      </c>
      <c r="FP1575" s="2">
        <v>40.83</v>
      </c>
      <c r="FQ1575" s="2">
        <v>41.44</v>
      </c>
      <c r="FR1575" s="2">
        <v>44.18</v>
      </c>
      <c r="FS1575" s="2">
        <v>44.14</v>
      </c>
      <c r="FT1575" s="2">
        <v>44.4</v>
      </c>
      <c r="FU1575" s="2">
        <v>44.18</v>
      </c>
      <c r="FV1575" s="2">
        <v>47.93</v>
      </c>
      <c r="FW1575" s="2">
        <v>45.45</v>
      </c>
      <c r="FX1575" s="2">
        <v>42.92</v>
      </c>
      <c r="FY1575" s="2">
        <v>43.44</v>
      </c>
      <c r="FZ1575" s="2">
        <v>45.23</v>
      </c>
      <c r="GA1575" s="2">
        <v>42.44</v>
      </c>
      <c r="GB1575" s="2">
        <v>41.7</v>
      </c>
      <c r="GC1575" s="2">
        <v>41.83</v>
      </c>
      <c r="GD1575" s="2">
        <v>42.97</v>
      </c>
      <c r="GE1575" s="2">
        <v>41.18</v>
      </c>
      <c r="GF1575" s="2">
        <v>41.79</v>
      </c>
      <c r="GG1575" s="2">
        <v>41.88</v>
      </c>
      <c r="GH1575" s="2">
        <v>44.4</v>
      </c>
      <c r="GI1575" s="2">
        <v>42.83</v>
      </c>
      <c r="GJ1575" s="2">
        <v>42.83</v>
      </c>
      <c r="GK1575" s="2">
        <v>42.75</v>
      </c>
      <c r="GL1575" s="2">
        <v>44.71</v>
      </c>
      <c r="GM1575" s="2">
        <v>44.62</v>
      </c>
      <c r="GN1575" s="2">
        <v>44.62</v>
      </c>
      <c r="GO1575" s="2">
        <v>44.58</v>
      </c>
      <c r="GP1575" s="2">
        <v>46.14</v>
      </c>
      <c r="GQ1575" s="2">
        <v>46.36</v>
      </c>
      <c r="GR1575" s="2">
        <v>44.75</v>
      </c>
      <c r="GS1575" s="2">
        <v>44.45</v>
      </c>
      <c r="GT1575" s="2">
        <v>45.23</v>
      </c>
      <c r="GU1575" s="2">
        <v>45.58</v>
      </c>
      <c r="GV1575" s="2">
        <v>44.71</v>
      </c>
      <c r="GW1575" s="2">
        <v>45.58</v>
      </c>
      <c r="GX1575" s="2">
        <v>46.01</v>
      </c>
      <c r="GY1575" s="2">
        <v>46.93</v>
      </c>
      <c r="GZ1575" s="2">
        <v>46.62</v>
      </c>
      <c r="HA1575" s="2">
        <v>45.82</v>
      </c>
      <c r="HB1575" s="2">
        <v>47.16</v>
      </c>
      <c r="HC1575" s="2">
        <v>47.78</v>
      </c>
      <c r="HD1575" s="2">
        <v>47.49</v>
      </c>
      <c r="HE1575" s="2">
        <v>48.55</v>
      </c>
      <c r="HF1575" s="2">
        <v>50.16</v>
      </c>
      <c r="HG1575" s="2">
        <v>48.27</v>
      </c>
      <c r="HH1575" s="2">
        <v>47.88</v>
      </c>
      <c r="HI1575" s="2">
        <v>51.24</v>
      </c>
      <c r="HJ1575" s="2">
        <v>51.16</v>
      </c>
      <c r="HK1575" s="2">
        <v>49.8</v>
      </c>
      <c r="HL1575" s="2">
        <v>49.8</v>
      </c>
      <c r="HM1575" s="2">
        <v>50.51</v>
      </c>
      <c r="HN1575" s="2">
        <v>52.95</v>
      </c>
      <c r="HO1575" s="2">
        <v>55.42</v>
      </c>
      <c r="HP1575" s="2">
        <v>56.05</v>
      </c>
      <c r="HQ1575" s="2">
        <v>57.03</v>
      </c>
      <c r="HR1575" s="2">
        <v>57.81</v>
      </c>
      <c r="HS1575" s="2">
        <v>57.94</v>
      </c>
      <c r="HT1575" s="2">
        <v>57.2</v>
      </c>
      <c r="HU1575" s="2">
        <v>56.15</v>
      </c>
      <c r="HV1575" s="2">
        <v>58.14</v>
      </c>
      <c r="HW1575" s="2">
        <v>56.33</v>
      </c>
      <c r="HX1575" s="2">
        <v>56.05</v>
      </c>
      <c r="HY1575" s="2">
        <v>56.65</v>
      </c>
      <c r="HZ1575" s="2">
        <v>57.79</v>
      </c>
      <c r="IA1575" s="2">
        <v>58.79</v>
      </c>
      <c r="IB1575" s="2">
        <v>56.98</v>
      </c>
      <c r="IC1575" s="2">
        <v>58.55</v>
      </c>
      <c r="ID1575" s="2">
        <v>59.01</v>
      </c>
      <c r="IE1575" s="2">
        <v>60</v>
      </c>
      <c r="IF1575" s="2">
        <v>59.84</v>
      </c>
      <c r="IG1575" s="2">
        <v>60.61</v>
      </c>
      <c r="IH1575" s="2">
        <v>63.08</v>
      </c>
      <c r="II1575" s="2">
        <v>62.02</v>
      </c>
      <c r="IJ1575" s="2">
        <v>61.42</v>
      </c>
      <c r="IK1575" s="2">
        <v>63.16</v>
      </c>
      <c r="IL1575" s="2">
        <v>64.78</v>
      </c>
      <c r="IM1575" s="2">
        <v>64.45999999999999</v>
      </c>
      <c r="IN1575" s="2">
        <v>64.01000000000001</v>
      </c>
      <c r="IO1575" s="2">
        <v>66.26000000000001</v>
      </c>
      <c r="IP1575" s="2">
        <v>67.31999999999999</v>
      </c>
      <c r="IQ1575" s="2">
        <v>64.23999999999999</v>
      </c>
      <c r="IR1575" s="2">
        <v>63.61</v>
      </c>
      <c r="IS1575" s="2">
        <v>63.79</v>
      </c>
      <c r="IT1575" s="2">
        <v>66.8</v>
      </c>
      <c r="IU1575" s="2">
        <v>65.83</v>
      </c>
      <c r="IV1575" s="2">
        <v>63.06</v>
      </c>
      <c r="IW1575" s="2">
        <v>64.19</v>
      </c>
      <c r="IX1575" s="2">
        <v>65.33</v>
      </c>
      <c r="IY1575" s="2">
        <v>64.62</v>
      </c>
      <c r="IZ1575" s="2">
        <v>63.73</v>
      </c>
      <c r="JA1575" s="2">
        <v>65.84</v>
      </c>
      <c r="JB1575" s="2">
        <v>67.67</v>
      </c>
      <c r="JC1575" s="2">
        <v>65.44</v>
      </c>
      <c r="JD1575" s="2">
        <v>63.92</v>
      </c>
      <c r="JE1575" s="2">
        <v>65.45</v>
      </c>
      <c r="JF1575" s="2">
        <v>67.17</v>
      </c>
      <c r="JG1575" s="2">
        <v>65.95999999999999</v>
      </c>
      <c r="JH1575" s="2">
        <v>64.67</v>
      </c>
      <c r="JI1575" s="2">
        <v>67.72</v>
      </c>
      <c r="JJ1575" s="2">
        <v>71.02</v>
      </c>
      <c r="JK1575" s="2">
        <v>69.34999999999999</v>
      </c>
      <c r="JL1575" s="2">
        <v>69.05</v>
      </c>
      <c r="JM1575" s="2">
        <v>69.47</v>
      </c>
      <c r="JN1575" s="2">
        <v>72.17</v>
      </c>
      <c r="JO1575" s="2">
        <v>72.48</v>
      </c>
      <c r="JP1575" s="2">
        <v>69.91</v>
      </c>
      <c r="JQ1575" s="2">
        <v>71.08</v>
      </c>
      <c r="JR1575" s="2">
        <v>74.06999999999999</v>
      </c>
      <c r="JS1575" s="2">
        <v>72.63</v>
      </c>
      <c r="JT1575" s="2">
        <v>71.31</v>
      </c>
      <c r="JU1575" s="2">
        <v>72.09</v>
      </c>
      <c r="JV1575" s="2">
        <v>73.23</v>
      </c>
      <c r="KA1575" s="2">
        <v>71.81999999999999</v>
      </c>
      <c r="KB1575" s="2">
        <v>70.89</v>
      </c>
      <c r="KC1575" s="2">
        <v>72.29000000000001</v>
      </c>
      <c r="KD1575" s="2">
        <v>73.65000000000001</v>
      </c>
      <c r="KQ1575" s="2">
        <v>73.27</v>
      </c>
      <c r="KR1575" s="2">
        <v>72.8</v>
      </c>
      <c r="KS1575" s="2">
        <v>75.23999999999999</v>
      </c>
      <c r="KT1575" s="2">
        <v>77.23</v>
      </c>
      <c r="LG1575" s="2">
        <v>74.93000000000001</v>
      </c>
      <c r="LH1575" s="2">
        <v>75.38</v>
      </c>
      <c r="LI1575" s="2">
        <v>77.75</v>
      </c>
      <c r="LJ1575" s="2">
        <v>79.23</v>
      </c>
      <c r="LW1575" s="2">
        <v>76.79000000000001</v>
      </c>
      <c r="LX1575" s="2">
        <v>75.3</v>
      </c>
      <c r="LY1575" s="2">
        <v>76.45</v>
      </c>
      <c r="LZ1575" s="2">
        <v>81.09</v>
      </c>
      <c r="MM1575" s="2">
        <v>79.70999999999999</v>
      </c>
      <c r="MN1575" s="2">
        <v>78.93000000000001</v>
      </c>
      <c r="MO1575" s="2">
        <v>79.36</v>
      </c>
      <c r="MP1575" s="2">
        <v>83.54000000000001</v>
      </c>
      <c r="NC1575" s="2">
        <v>82.98</v>
      </c>
      <c r="ND1575" s="2">
        <v>84.88</v>
      </c>
      <c r="NE1575" s="2">
        <v>88.33</v>
      </c>
      <c r="NF1575" s="2">
        <v>97.91</v>
      </c>
      <c r="NS1575" s="2">
        <v>97.22</v>
      </c>
      <c r="NT1575" s="2">
        <v>95.20999999999999</v>
      </c>
      <c r="NU1575" s="2">
        <v>94.37</v>
      </c>
      <c r="NV1575" s="2">
        <v>95.33</v>
      </c>
      <c r="OI1575" s="2">
        <v>93.45</v>
      </c>
      <c r="OJ1575" s="2">
        <v>94.28</v>
      </c>
      <c r="OK1575" s="2">
        <v>95.64</v>
      </c>
      <c r="OL1575" s="2">
        <v>98.59</v>
      </c>
      <c r="OY1575" s="2">
        <v>95.02</v>
      </c>
      <c r="OZ1575" s="2">
        <v>95.27</v>
      </c>
      <c r="PA1575" s="2">
        <v>98.06</v>
      </c>
      <c r="PB1575" s="2">
        <v>102.53</v>
      </c>
      <c r="PJ1575" s="2">
        <v>98.63</v>
      </c>
      <c r="PK1575" s="2">
        <v>97.64</v>
      </c>
    </row>
    <row r="1576">
      <c r="A1576" t="inlineStr">
        <is>
          <t>A2329356K</t>
        </is>
      </c>
      <c r="B1576" t="inlineStr">
        <is>
          <t>Index Numbers ;  Domestic holiday travel and accommodation ;  Australia ;</t>
        </is>
      </c>
      <c r="C1576" t="inlineStr">
        <is>
          <t>Quarter</t>
        </is>
      </c>
      <c r="D1576" t="inlineStr">
        <is>
          <t>Index Numbers</t>
        </is>
      </c>
      <c r="E1576" t="inlineStr">
        <is>
          <t>Original</t>
        </is>
      </c>
      <c r="F1576" t="inlineStr">
        <is>
          <t>6401018.xlsx</t>
        </is>
      </c>
      <c r="G1576" t="inlineStr">
        <is>
          <t>1982Q1</t>
        </is>
      </c>
      <c r="H1576" t="inlineStr">
        <is>
          <t>2026Q2</t>
        </is>
      </c>
      <c r="EM1576" s="2">
        <v>19.88</v>
      </c>
      <c r="EN1576" s="2">
        <v>20.22</v>
      </c>
      <c r="EO1576" s="2">
        <v>21.33</v>
      </c>
      <c r="EP1576" s="2">
        <v>23.12</v>
      </c>
      <c r="EQ1576" s="2">
        <v>22.78</v>
      </c>
      <c r="ER1576" s="2">
        <v>22.81</v>
      </c>
      <c r="ES1576" s="2">
        <v>23.2</v>
      </c>
      <c r="ET1576" s="2">
        <v>24.49</v>
      </c>
      <c r="EU1576" s="2">
        <v>24.23</v>
      </c>
      <c r="EV1576" s="2">
        <v>24.23</v>
      </c>
      <c r="EW1576" s="2">
        <v>24.53</v>
      </c>
      <c r="EX1576" s="2">
        <v>25.79</v>
      </c>
      <c r="EY1576" s="2">
        <v>25.6</v>
      </c>
      <c r="EZ1576" s="2">
        <v>25.6</v>
      </c>
      <c r="FA1576" s="2">
        <v>26.44</v>
      </c>
      <c r="FB1576" s="2">
        <v>27.89</v>
      </c>
      <c r="FC1576" s="2">
        <v>27.2</v>
      </c>
      <c r="FD1576" s="2">
        <v>27.39</v>
      </c>
      <c r="FE1576" s="2">
        <v>28.8</v>
      </c>
      <c r="FF1576" s="2">
        <v>29.99</v>
      </c>
      <c r="FG1576" s="2">
        <v>30.37</v>
      </c>
      <c r="FH1576" s="2">
        <v>29.57</v>
      </c>
      <c r="FI1576" s="2">
        <v>30.86</v>
      </c>
      <c r="FJ1576" s="2">
        <v>32.43</v>
      </c>
      <c r="FK1576" s="2">
        <v>32.73</v>
      </c>
      <c r="FL1576" s="2">
        <v>32.85</v>
      </c>
      <c r="FM1576" s="2">
        <v>34.03</v>
      </c>
      <c r="FN1576" s="2">
        <v>36.01</v>
      </c>
      <c r="FO1576" s="2">
        <v>35.37</v>
      </c>
      <c r="FP1576" s="2">
        <v>35.48</v>
      </c>
      <c r="FQ1576" s="2">
        <v>36.4</v>
      </c>
      <c r="FR1576" s="2">
        <v>38.76</v>
      </c>
      <c r="FS1576" s="2">
        <v>38.72</v>
      </c>
      <c r="FT1576" s="2">
        <v>38.72</v>
      </c>
      <c r="FU1576" s="2">
        <v>38.42</v>
      </c>
      <c r="FV1576" s="2">
        <v>41.28</v>
      </c>
      <c r="FW1576" s="2">
        <v>39.22</v>
      </c>
      <c r="FX1576" s="2">
        <v>35.56</v>
      </c>
      <c r="FY1576" s="2">
        <v>36.36</v>
      </c>
      <c r="FZ1576" s="2">
        <v>37.16</v>
      </c>
      <c r="GA1576" s="2">
        <v>36.4</v>
      </c>
      <c r="GB1576" s="2">
        <v>36.47</v>
      </c>
      <c r="GC1576" s="2">
        <v>37.39</v>
      </c>
      <c r="GD1576" s="2">
        <v>37.27</v>
      </c>
      <c r="GE1576" s="2">
        <v>36.7</v>
      </c>
      <c r="GF1576" s="2">
        <v>36.93</v>
      </c>
      <c r="GG1576" s="2">
        <v>37.43</v>
      </c>
      <c r="GH1576" s="2">
        <v>38.8</v>
      </c>
      <c r="GI1576" s="2">
        <v>38.57</v>
      </c>
      <c r="GJ1576" s="2">
        <v>37.16</v>
      </c>
      <c r="GK1576" s="2">
        <v>37.58</v>
      </c>
      <c r="GL1576" s="2">
        <v>40.21</v>
      </c>
      <c r="GM1576" s="2">
        <v>40.94</v>
      </c>
      <c r="GN1576" s="2">
        <v>38.91</v>
      </c>
      <c r="GO1576" s="2">
        <v>38.95</v>
      </c>
      <c r="GP1576" s="2">
        <v>41.36</v>
      </c>
      <c r="GQ1576" s="2">
        <v>41.66</v>
      </c>
      <c r="GR1576" s="2">
        <v>38.99</v>
      </c>
      <c r="GS1576" s="2">
        <v>38.76</v>
      </c>
      <c r="GT1576" s="2">
        <v>40.52</v>
      </c>
      <c r="GU1576" s="2">
        <v>42.61</v>
      </c>
      <c r="GV1576" s="2">
        <v>39.98</v>
      </c>
      <c r="GW1576" s="2">
        <v>40.71</v>
      </c>
      <c r="GX1576" s="2">
        <v>41.66</v>
      </c>
      <c r="GY1576" s="2">
        <v>44.03</v>
      </c>
      <c r="GZ1576" s="2">
        <v>42.27</v>
      </c>
      <c r="HA1576" s="2">
        <v>41.41</v>
      </c>
      <c r="HB1576" s="2">
        <v>43.92</v>
      </c>
      <c r="HC1576" s="2">
        <v>45.14</v>
      </c>
      <c r="HD1576" s="2">
        <v>42.38</v>
      </c>
      <c r="HE1576" s="2">
        <v>43.34</v>
      </c>
      <c r="HF1576" s="2">
        <v>45.82</v>
      </c>
      <c r="HG1576" s="2">
        <v>46.32</v>
      </c>
      <c r="HH1576" s="2">
        <v>44.35</v>
      </c>
      <c r="HI1576" s="2">
        <v>48.77</v>
      </c>
      <c r="HJ1576" s="2">
        <v>48.7</v>
      </c>
      <c r="HK1576" s="2">
        <v>46.15</v>
      </c>
      <c r="HL1576" s="2">
        <v>45.14</v>
      </c>
      <c r="HM1576" s="2">
        <v>45.19</v>
      </c>
      <c r="HN1576" s="2">
        <v>48.69</v>
      </c>
      <c r="HO1576" s="2">
        <v>49.85</v>
      </c>
      <c r="HP1576" s="2">
        <v>49.09</v>
      </c>
      <c r="HQ1576" s="2">
        <v>49.43</v>
      </c>
      <c r="HR1576" s="2">
        <v>50.76</v>
      </c>
      <c r="HS1576" s="2">
        <v>51.55</v>
      </c>
      <c r="HT1576" s="2">
        <v>49.57</v>
      </c>
      <c r="HU1576" s="2">
        <v>49.13</v>
      </c>
      <c r="HV1576" s="2">
        <v>52.37</v>
      </c>
      <c r="HW1576" s="2">
        <v>51.81</v>
      </c>
      <c r="HX1576" s="2">
        <v>50.93</v>
      </c>
      <c r="HY1576" s="2">
        <v>50.95</v>
      </c>
      <c r="HZ1576" s="2">
        <v>53.11</v>
      </c>
      <c r="IA1576" s="2">
        <v>55.32</v>
      </c>
      <c r="IB1576" s="2">
        <v>52.14</v>
      </c>
      <c r="IC1576" s="2">
        <v>53.89</v>
      </c>
      <c r="ID1576" s="2">
        <v>55.7</v>
      </c>
      <c r="IE1576" s="2">
        <v>56.26</v>
      </c>
      <c r="IF1576" s="2">
        <v>55.77</v>
      </c>
      <c r="IG1576" s="2">
        <v>56.44</v>
      </c>
      <c r="IH1576" s="2">
        <v>59.92</v>
      </c>
      <c r="II1576" s="2">
        <v>59.19</v>
      </c>
      <c r="IJ1576" s="2">
        <v>57.11</v>
      </c>
      <c r="IK1576" s="2">
        <v>58.15</v>
      </c>
      <c r="IL1576" s="2">
        <v>60.32</v>
      </c>
      <c r="IM1576" s="2">
        <v>59.48</v>
      </c>
      <c r="IN1576" s="2">
        <v>58.31</v>
      </c>
      <c r="IO1576" s="2">
        <v>59.67</v>
      </c>
      <c r="IP1576" s="2">
        <v>60.64</v>
      </c>
      <c r="IQ1576" s="2">
        <v>57.57</v>
      </c>
      <c r="IR1576" s="2">
        <v>58.15</v>
      </c>
      <c r="IS1576" s="2">
        <v>58.14</v>
      </c>
      <c r="IT1576" s="2">
        <v>62.01</v>
      </c>
      <c r="IU1576" s="2">
        <v>60.55</v>
      </c>
      <c r="IV1576" s="2">
        <v>56.89</v>
      </c>
      <c r="IW1576" s="2">
        <v>57.99</v>
      </c>
      <c r="IX1576" s="2">
        <v>60.17</v>
      </c>
      <c r="IY1576" s="2">
        <v>59.75</v>
      </c>
      <c r="IZ1576" s="2">
        <v>58.87</v>
      </c>
      <c r="JA1576" s="2">
        <v>59.87</v>
      </c>
      <c r="JB1576" s="2">
        <v>64.23</v>
      </c>
      <c r="JC1576" s="2">
        <v>62.95</v>
      </c>
      <c r="JD1576" s="2">
        <v>60.43</v>
      </c>
      <c r="JE1576" s="2">
        <v>59.65</v>
      </c>
      <c r="JF1576" s="2">
        <v>63.34</v>
      </c>
      <c r="JG1576" s="2">
        <v>64.12</v>
      </c>
      <c r="JH1576" s="2">
        <v>61.56</v>
      </c>
      <c r="JI1576" s="2">
        <v>63.73</v>
      </c>
      <c r="JJ1576" s="2">
        <v>68.14</v>
      </c>
      <c r="JK1576" s="2">
        <v>66.53</v>
      </c>
      <c r="JL1576" s="2">
        <v>63.96</v>
      </c>
      <c r="JM1576" s="2">
        <v>63.94</v>
      </c>
      <c r="JN1576" s="2">
        <v>67.59999999999999</v>
      </c>
      <c r="JO1576" s="2">
        <v>69.98999999999999</v>
      </c>
      <c r="JP1576" s="2">
        <v>66.18000000000001</v>
      </c>
      <c r="JQ1576" s="2">
        <v>65.56</v>
      </c>
      <c r="JR1576" s="2">
        <v>69.47</v>
      </c>
      <c r="JS1576" s="2">
        <v>68.15000000000001</v>
      </c>
      <c r="JT1576" s="2">
        <v>65.62</v>
      </c>
      <c r="JU1576" s="2">
        <v>65.84</v>
      </c>
      <c r="JV1576" s="2">
        <v>69.51000000000001</v>
      </c>
      <c r="KA1576" s="2">
        <v>69.31999999999999</v>
      </c>
      <c r="KB1576" s="2">
        <v>67.09</v>
      </c>
      <c r="KC1576" s="2">
        <v>67.16</v>
      </c>
      <c r="KD1576" s="2">
        <v>71.31</v>
      </c>
      <c r="KQ1576" s="2">
        <v>72.37</v>
      </c>
      <c r="KR1576" s="2">
        <v>70.38</v>
      </c>
      <c r="KS1576" s="2">
        <v>72.05</v>
      </c>
      <c r="KT1576" s="2">
        <v>76.55</v>
      </c>
      <c r="LG1576" s="2">
        <v>73.59999999999999</v>
      </c>
      <c r="LH1576" s="2">
        <v>72.53</v>
      </c>
      <c r="LI1576" s="2">
        <v>72.54000000000001</v>
      </c>
      <c r="LJ1576" s="2">
        <v>77.87</v>
      </c>
      <c r="LW1576" s="2">
        <v>75.47</v>
      </c>
      <c r="LX1576" s="2">
        <v>74.02</v>
      </c>
      <c r="LY1576" s="2">
        <v>75.14</v>
      </c>
      <c r="LZ1576" s="2">
        <v>79.84</v>
      </c>
      <c r="MM1576" s="2">
        <v>78.41</v>
      </c>
      <c r="MN1576" s="2">
        <v>77.37</v>
      </c>
      <c r="MO1576" s="2">
        <v>77.95999999999999</v>
      </c>
      <c r="MP1576" s="2">
        <v>81.73999999999999</v>
      </c>
      <c r="NC1576" s="2">
        <v>81.97</v>
      </c>
      <c r="ND1576" s="2">
        <v>83.38</v>
      </c>
      <c r="NE1576" s="2">
        <v>86.36</v>
      </c>
      <c r="NF1576" s="2">
        <v>97.86</v>
      </c>
      <c r="NS1576" s="2">
        <v>102.43</v>
      </c>
      <c r="NT1576" s="2">
        <v>95.01000000000001</v>
      </c>
      <c r="NU1576" s="2">
        <v>92.70999999999999</v>
      </c>
      <c r="NV1576" s="2">
        <v>96.34999999999999</v>
      </c>
      <c r="OI1576" s="2">
        <v>97.65000000000001</v>
      </c>
      <c r="OJ1576" s="2">
        <v>92.94</v>
      </c>
      <c r="OK1576" s="2">
        <v>93.90000000000001</v>
      </c>
      <c r="OL1576" s="2">
        <v>99.23</v>
      </c>
      <c r="OY1576" s="2">
        <v>99.48</v>
      </c>
      <c r="OZ1576" s="2">
        <v>95.75</v>
      </c>
      <c r="PA1576" s="2">
        <v>98.81999999999999</v>
      </c>
      <c r="PB1576" s="2">
        <v>105.84</v>
      </c>
      <c r="PJ1576" s="2">
        <v>105.19</v>
      </c>
      <c r="PK1576" s="2">
        <v>100.04</v>
      </c>
    </row>
    <row r="1577">
      <c r="A1577" t="inlineStr">
        <is>
          <t>A2329401K</t>
        </is>
      </c>
      <c r="B1577" t="inlineStr">
        <is>
          <t>Index Numbers ;  International holiday travel and accommodation ;  Australia ;</t>
        </is>
      </c>
      <c r="C1577" t="inlineStr">
        <is>
          <t>Quarter</t>
        </is>
      </c>
      <c r="D1577" t="inlineStr">
        <is>
          <t>Index Numbers</t>
        </is>
      </c>
      <c r="E1577" t="inlineStr">
        <is>
          <t>Original</t>
        </is>
      </c>
      <c r="F1577" t="inlineStr">
        <is>
          <t>6401018.xlsx</t>
        </is>
      </c>
      <c r="G1577" t="inlineStr">
        <is>
          <t>1982Q1</t>
        </is>
      </c>
      <c r="H1577" t="inlineStr">
        <is>
          <t>2026Q2</t>
        </is>
      </c>
      <c r="EM1577" s="2">
        <v>25.41</v>
      </c>
      <c r="EN1577" s="2">
        <v>24.38</v>
      </c>
      <c r="EO1577" s="2">
        <v>24.2</v>
      </c>
      <c r="EP1577" s="2">
        <v>24.73</v>
      </c>
      <c r="EQ1577" s="2">
        <v>27.46</v>
      </c>
      <c r="ER1577" s="2">
        <v>29.39</v>
      </c>
      <c r="ES1577" s="2">
        <v>29.21</v>
      </c>
      <c r="ET1577" s="2">
        <v>27.64</v>
      </c>
      <c r="EU1577" s="2">
        <v>28.72</v>
      </c>
      <c r="EV1577" s="2">
        <v>28.36</v>
      </c>
      <c r="EW1577" s="2">
        <v>28.89</v>
      </c>
      <c r="EX1577" s="2">
        <v>28.18</v>
      </c>
      <c r="EY1577" s="2">
        <v>29.65</v>
      </c>
      <c r="EZ1577" s="2">
        <v>32.11</v>
      </c>
      <c r="FA1577" s="2">
        <v>33.37</v>
      </c>
      <c r="FB1577" s="2">
        <v>33.19</v>
      </c>
      <c r="FC1577" s="2">
        <v>33.9</v>
      </c>
      <c r="FD1577" s="2">
        <v>34.8</v>
      </c>
      <c r="FE1577" s="2">
        <v>36.54</v>
      </c>
      <c r="FF1577" s="2">
        <v>34.93</v>
      </c>
      <c r="FG1577" s="2">
        <v>36.1</v>
      </c>
      <c r="FH1577" s="2">
        <v>36.41</v>
      </c>
      <c r="FI1577" s="2">
        <v>37.79</v>
      </c>
      <c r="FJ1577" s="2">
        <v>36.72</v>
      </c>
      <c r="FK1577" s="2">
        <v>40.7</v>
      </c>
      <c r="FL1577" s="2">
        <v>41.1</v>
      </c>
      <c r="FM1577" s="2">
        <v>39.72</v>
      </c>
      <c r="FN1577" s="2">
        <v>42.58</v>
      </c>
      <c r="FO1577" s="2">
        <v>40.3</v>
      </c>
      <c r="FP1577" s="2">
        <v>42.31</v>
      </c>
      <c r="FQ1577" s="2">
        <v>42.49</v>
      </c>
      <c r="FR1577" s="2">
        <v>45.35</v>
      </c>
      <c r="FS1577" s="2">
        <v>45.35</v>
      </c>
      <c r="FT1577" s="2">
        <v>45.76</v>
      </c>
      <c r="FU1577" s="2">
        <v>45.71</v>
      </c>
      <c r="FV1577" s="2">
        <v>50.01</v>
      </c>
      <c r="FW1577" s="2">
        <v>47.37</v>
      </c>
      <c r="FX1577" s="2">
        <v>46.47</v>
      </c>
      <c r="FY1577" s="2">
        <v>46.65</v>
      </c>
      <c r="FZ1577" s="2">
        <v>49.29</v>
      </c>
      <c r="GA1577" s="2">
        <v>44.46</v>
      </c>
      <c r="GB1577" s="2">
        <v>42.89</v>
      </c>
      <c r="GC1577" s="2">
        <v>41.91</v>
      </c>
      <c r="GD1577" s="2">
        <v>44.68</v>
      </c>
      <c r="GE1577" s="2">
        <v>41.37</v>
      </c>
      <c r="GF1577" s="2">
        <v>42.49</v>
      </c>
      <c r="GG1577" s="2">
        <v>41.95</v>
      </c>
      <c r="GH1577" s="2">
        <v>45.71</v>
      </c>
      <c r="GI1577" s="2">
        <v>42.4</v>
      </c>
      <c r="GJ1577" s="2">
        <v>44.55</v>
      </c>
      <c r="GK1577" s="2">
        <v>43.74</v>
      </c>
      <c r="GL1577" s="2">
        <v>44.41</v>
      </c>
      <c r="GM1577" s="2">
        <v>43.12</v>
      </c>
      <c r="GN1577" s="2">
        <v>46.02</v>
      </c>
      <c r="GO1577" s="2">
        <v>45.94</v>
      </c>
      <c r="GP1577" s="2">
        <v>46.02</v>
      </c>
      <c r="GQ1577" s="2">
        <v>46.07</v>
      </c>
      <c r="GR1577" s="2">
        <v>46.25</v>
      </c>
      <c r="GS1577" s="2">
        <v>45.89</v>
      </c>
      <c r="GT1577" s="2">
        <v>45.17</v>
      </c>
      <c r="GU1577" s="2">
        <v>42.94</v>
      </c>
      <c r="GV1577" s="2">
        <v>44.73</v>
      </c>
      <c r="GW1577" s="2">
        <v>45.71</v>
      </c>
      <c r="GX1577" s="2">
        <v>45.35</v>
      </c>
      <c r="GY1577" s="2">
        <v>43.97</v>
      </c>
      <c r="GZ1577" s="2">
        <v>45.85</v>
      </c>
      <c r="HA1577" s="2">
        <v>45.22</v>
      </c>
      <c r="HB1577" s="2">
        <v>44.72</v>
      </c>
      <c r="HC1577" s="2">
        <v>44.42</v>
      </c>
      <c r="HD1577" s="2">
        <v>47.62</v>
      </c>
      <c r="HE1577" s="2">
        <v>48.66</v>
      </c>
      <c r="HF1577" s="2">
        <v>48.84</v>
      </c>
      <c r="HG1577" s="2">
        <v>43.86</v>
      </c>
      <c r="HH1577" s="2">
        <v>45.76</v>
      </c>
      <c r="HI1577" s="2">
        <v>47.29</v>
      </c>
      <c r="HJ1577" s="2">
        <v>47.23</v>
      </c>
      <c r="HK1577" s="2">
        <v>47.56</v>
      </c>
      <c r="HL1577" s="2">
        <v>48.83</v>
      </c>
      <c r="HM1577" s="2">
        <v>50.29</v>
      </c>
      <c r="HN1577" s="2">
        <v>51.06</v>
      </c>
      <c r="HO1577" s="2">
        <v>54.84</v>
      </c>
      <c r="HP1577" s="2">
        <v>57.14</v>
      </c>
      <c r="HQ1577" s="2">
        <v>58.8</v>
      </c>
      <c r="HR1577" s="2">
        <v>58.78</v>
      </c>
      <c r="HS1577" s="2">
        <v>58.06</v>
      </c>
      <c r="HT1577" s="2">
        <v>58.99</v>
      </c>
      <c r="HU1577" s="2">
        <v>57.31</v>
      </c>
      <c r="HV1577" s="2">
        <v>57.45</v>
      </c>
      <c r="HW1577" s="2">
        <v>54.3</v>
      </c>
      <c r="HX1577" s="2">
        <v>54.82</v>
      </c>
      <c r="HY1577" s="2">
        <v>56.06</v>
      </c>
      <c r="HZ1577" s="2">
        <v>55.76</v>
      </c>
      <c r="IA1577" s="2">
        <v>55.07</v>
      </c>
      <c r="IB1577" s="2">
        <v>55.25</v>
      </c>
      <c r="IC1577" s="2">
        <v>56.35</v>
      </c>
      <c r="ID1577" s="2">
        <v>54.94</v>
      </c>
      <c r="IE1577" s="2">
        <v>56.36</v>
      </c>
      <c r="IF1577" s="2">
        <v>56.67</v>
      </c>
      <c r="IG1577" s="2">
        <v>57.46</v>
      </c>
      <c r="IH1577" s="2">
        <v>58.21</v>
      </c>
      <c r="II1577" s="2">
        <v>56.88</v>
      </c>
      <c r="IJ1577" s="2">
        <v>58.34</v>
      </c>
      <c r="IK1577" s="2">
        <v>60.76</v>
      </c>
      <c r="IL1577" s="2">
        <v>61.41</v>
      </c>
      <c r="IM1577" s="2">
        <v>61.83</v>
      </c>
      <c r="IN1577" s="2">
        <v>62.43</v>
      </c>
      <c r="IO1577" s="2">
        <v>65.54000000000001</v>
      </c>
      <c r="IP1577" s="2">
        <v>66.55</v>
      </c>
      <c r="IQ1577" s="2">
        <v>63.91</v>
      </c>
      <c r="IR1577" s="2">
        <v>61.75</v>
      </c>
      <c r="IS1577" s="2">
        <v>62.17</v>
      </c>
      <c r="IT1577" s="2">
        <v>63.58</v>
      </c>
      <c r="IU1577" s="2">
        <v>63.41</v>
      </c>
      <c r="IV1577" s="2">
        <v>62.24</v>
      </c>
      <c r="IW1577" s="2">
        <v>63.24</v>
      </c>
      <c r="IX1577" s="2">
        <v>62.83</v>
      </c>
      <c r="IY1577" s="2">
        <v>61.81</v>
      </c>
      <c r="IZ1577" s="2">
        <v>61.05</v>
      </c>
      <c r="JA1577" s="2">
        <v>64.13</v>
      </c>
      <c r="JB1577" s="2">
        <v>62.91</v>
      </c>
      <c r="JC1577" s="2">
        <v>59.89</v>
      </c>
      <c r="JD1577" s="2">
        <v>59.68</v>
      </c>
      <c r="JE1577" s="2">
        <v>63.6</v>
      </c>
      <c r="JF1577" s="2">
        <v>62.91</v>
      </c>
      <c r="JG1577" s="2">
        <v>59.62</v>
      </c>
      <c r="JH1577" s="2">
        <v>59.91</v>
      </c>
      <c r="JI1577" s="2">
        <v>63.55</v>
      </c>
      <c r="JJ1577" s="2">
        <v>65.2</v>
      </c>
      <c r="JK1577" s="2">
        <v>63.67</v>
      </c>
      <c r="JL1577" s="2">
        <v>65.95</v>
      </c>
      <c r="JM1577" s="2">
        <v>66.81999999999999</v>
      </c>
      <c r="JN1577" s="2">
        <v>68.09</v>
      </c>
      <c r="JO1577" s="2">
        <v>66.04000000000001</v>
      </c>
      <c r="JP1577" s="2">
        <v>65.2</v>
      </c>
      <c r="JQ1577" s="2">
        <v>68.20999999999999</v>
      </c>
      <c r="JR1577" s="2">
        <v>69.78</v>
      </c>
      <c r="JS1577" s="2">
        <v>68.38</v>
      </c>
      <c r="JT1577" s="2">
        <v>68.59999999999999</v>
      </c>
      <c r="JU1577" s="2">
        <v>69.91</v>
      </c>
      <c r="JV1577" s="2">
        <v>68.08</v>
      </c>
      <c r="KA1577" s="2">
        <v>65.47</v>
      </c>
      <c r="KB1577" s="2">
        <v>66.11</v>
      </c>
      <c r="KC1577" s="2">
        <v>68.81999999999999</v>
      </c>
      <c r="KD1577" s="2">
        <v>67.61</v>
      </c>
      <c r="KQ1577" s="2">
        <v>66.01000000000001</v>
      </c>
      <c r="KR1577" s="2">
        <v>66.92</v>
      </c>
      <c r="KS1577" s="2">
        <v>69.76000000000001</v>
      </c>
      <c r="KT1577" s="2">
        <v>69.23999999999999</v>
      </c>
      <c r="LG1577" s="2">
        <v>67.78</v>
      </c>
      <c r="LH1577" s="2">
        <v>69.58</v>
      </c>
      <c r="LI1577" s="2">
        <v>73.84</v>
      </c>
      <c r="LJ1577" s="2">
        <v>71.72</v>
      </c>
      <c r="LW1577" s="2">
        <v>69.52</v>
      </c>
      <c r="LX1577" s="2">
        <v>68.16</v>
      </c>
      <c r="LY1577" s="2">
        <v>69.22</v>
      </c>
      <c r="LZ1577" s="2">
        <v>69.86</v>
      </c>
      <c r="MM1577" s="2">
        <v>70.22</v>
      </c>
      <c r="MN1577" s="2">
        <v>76.27</v>
      </c>
      <c r="MO1577" s="2">
        <v>72.53</v>
      </c>
      <c r="MP1577" s="2">
        <v>84.36</v>
      </c>
      <c r="NC1577" s="2">
        <v>64.86</v>
      </c>
      <c r="ND1577" s="2">
        <v>77.75</v>
      </c>
      <c r="NE1577" s="2">
        <v>90.81999999999999</v>
      </c>
      <c r="NF1577" s="2">
        <v>97.7</v>
      </c>
      <c r="NS1577" s="2">
        <v>89.73</v>
      </c>
      <c r="NT1577" s="2">
        <v>95.22</v>
      </c>
      <c r="NU1577" s="2">
        <v>95.7</v>
      </c>
      <c r="NV1577" s="2">
        <v>94.25</v>
      </c>
      <c r="OI1577" s="2">
        <v>88.7</v>
      </c>
      <c r="OJ1577" s="2">
        <v>95.90000000000001</v>
      </c>
      <c r="OK1577" s="2">
        <v>97.73</v>
      </c>
      <c r="OL1577" s="2">
        <v>97.94</v>
      </c>
      <c r="OY1577" s="2">
        <v>90.53</v>
      </c>
      <c r="OZ1577" s="2">
        <v>94.78</v>
      </c>
      <c r="PA1577" s="2">
        <v>97.3</v>
      </c>
      <c r="PB1577" s="2">
        <v>99.20999999999999</v>
      </c>
      <c r="PJ1577" s="2">
        <v>92.04000000000001</v>
      </c>
      <c r="PK1577" s="2">
        <v>95.23</v>
      </c>
    </row>
    <row r="1578">
      <c r="A1578" t="inlineStr">
        <is>
          <t>A2331381C</t>
        </is>
      </c>
      <c r="B1578" t="inlineStr">
        <is>
          <t>Index Numbers ;  Other recreation, sport and culture ;  Australia ;</t>
        </is>
      </c>
      <c r="C1578" t="inlineStr">
        <is>
          <t>Quarter</t>
        </is>
      </c>
      <c r="D1578" t="inlineStr">
        <is>
          <t>Index Numbers</t>
        </is>
      </c>
      <c r="E1578" t="inlineStr">
        <is>
          <t>Original</t>
        </is>
      </c>
      <c r="F1578" t="inlineStr">
        <is>
          <t>6401018.xlsx</t>
        </is>
      </c>
      <c r="G1578" t="inlineStr">
        <is>
          <t>1989Q3</t>
        </is>
      </c>
      <c r="H1578" t="inlineStr">
        <is>
          <t>2026Q2</t>
        </is>
      </c>
      <c r="FQ1578" s="2">
        <v>36.56</v>
      </c>
      <c r="FR1578" s="2">
        <v>36.6</v>
      </c>
      <c r="FS1578" s="2">
        <v>38.52</v>
      </c>
      <c r="FT1578" s="2">
        <v>39.43</v>
      </c>
      <c r="FU1578" s="2">
        <v>39.99</v>
      </c>
      <c r="FV1578" s="2">
        <v>40.07</v>
      </c>
      <c r="FW1578" s="2">
        <v>40.26</v>
      </c>
      <c r="FX1578" s="2">
        <v>40.56</v>
      </c>
      <c r="FY1578" s="2">
        <v>40.82</v>
      </c>
      <c r="FZ1578" s="2">
        <v>41.09</v>
      </c>
      <c r="GA1578" s="2">
        <v>41.2</v>
      </c>
      <c r="GB1578" s="2">
        <v>41.96</v>
      </c>
      <c r="GC1578" s="2">
        <v>42.45</v>
      </c>
      <c r="GD1578" s="2">
        <v>42.52</v>
      </c>
      <c r="GE1578" s="2">
        <v>42.49</v>
      </c>
      <c r="GF1578" s="2">
        <v>43.13</v>
      </c>
      <c r="GG1578" s="2">
        <v>43.92</v>
      </c>
      <c r="GH1578" s="2">
        <v>43.96</v>
      </c>
      <c r="GI1578" s="2">
        <v>45.43</v>
      </c>
      <c r="GJ1578" s="2">
        <v>44.94</v>
      </c>
      <c r="GK1578" s="2">
        <v>44.11</v>
      </c>
      <c r="GL1578" s="2">
        <v>45.24</v>
      </c>
      <c r="GM1578" s="2">
        <v>45.47</v>
      </c>
      <c r="GN1578" s="2">
        <v>45.77</v>
      </c>
      <c r="GO1578" s="2">
        <v>46.49</v>
      </c>
      <c r="GP1578" s="2">
        <v>46.6</v>
      </c>
      <c r="GQ1578" s="2">
        <v>47.4</v>
      </c>
      <c r="GR1578" s="2">
        <v>47.21</v>
      </c>
      <c r="GS1578" s="2">
        <v>48.57</v>
      </c>
      <c r="GT1578" s="2">
        <v>48.45</v>
      </c>
      <c r="GU1578" s="2">
        <v>49.25</v>
      </c>
      <c r="GV1578" s="2">
        <v>49.81</v>
      </c>
      <c r="GW1578" s="2">
        <v>49.25</v>
      </c>
      <c r="GX1578" s="2">
        <v>50.23</v>
      </c>
      <c r="GY1578" s="2">
        <v>49.96</v>
      </c>
      <c r="GZ1578" s="2">
        <v>50.12</v>
      </c>
      <c r="HA1578" s="2">
        <v>50.3</v>
      </c>
      <c r="HB1578" s="2">
        <v>50.61</v>
      </c>
      <c r="HC1578" s="2">
        <v>51.06</v>
      </c>
      <c r="HD1578" s="2">
        <v>51.1</v>
      </c>
      <c r="HE1578" s="2">
        <v>51.29</v>
      </c>
      <c r="HF1578" s="2">
        <v>51.47</v>
      </c>
      <c r="HG1578" s="2">
        <v>51.93</v>
      </c>
      <c r="HH1578" s="2">
        <v>52.53</v>
      </c>
      <c r="HI1578" s="2">
        <v>54.78</v>
      </c>
      <c r="HJ1578" s="2">
        <v>54.6</v>
      </c>
      <c r="HK1578" s="2">
        <v>55.44</v>
      </c>
      <c r="HL1578" s="2">
        <v>55.7</v>
      </c>
      <c r="HM1578" s="2">
        <v>56.23</v>
      </c>
      <c r="HN1578" s="2">
        <v>56.39</v>
      </c>
      <c r="HO1578" s="2">
        <v>57.33</v>
      </c>
      <c r="HP1578" s="2">
        <v>57.71</v>
      </c>
      <c r="HQ1578" s="2">
        <v>57.92</v>
      </c>
      <c r="HR1578" s="2">
        <v>57.78</v>
      </c>
      <c r="HS1578" s="2">
        <v>58.62</v>
      </c>
      <c r="HT1578" s="2">
        <v>58.89</v>
      </c>
      <c r="HU1578" s="2">
        <v>59.08</v>
      </c>
      <c r="HV1578" s="2">
        <v>58.82</v>
      </c>
      <c r="HW1578" s="2">
        <v>59.7</v>
      </c>
      <c r="HX1578" s="2">
        <v>60.04</v>
      </c>
      <c r="HY1578" s="2">
        <v>60.66</v>
      </c>
      <c r="HZ1578" s="2">
        <v>60.5</v>
      </c>
      <c r="IA1578" s="2">
        <v>61.02</v>
      </c>
      <c r="IB1578" s="2">
        <v>61.17</v>
      </c>
      <c r="IC1578" s="2">
        <v>61.85</v>
      </c>
      <c r="ID1578" s="2">
        <v>62.32</v>
      </c>
      <c r="IE1578" s="2">
        <v>62.67</v>
      </c>
      <c r="IF1578" s="2">
        <v>62.62</v>
      </c>
      <c r="IG1578" s="2">
        <v>63.63</v>
      </c>
      <c r="IH1578" s="2">
        <v>63.95</v>
      </c>
      <c r="II1578" s="2">
        <v>64.29000000000001</v>
      </c>
      <c r="IJ1578" s="2">
        <v>64.72</v>
      </c>
      <c r="IK1578" s="2">
        <v>65.89</v>
      </c>
      <c r="IL1578" s="2">
        <v>65.95999999999999</v>
      </c>
      <c r="IM1578" s="2">
        <v>66.73999999999999</v>
      </c>
      <c r="IN1578" s="2">
        <v>67.17</v>
      </c>
      <c r="IO1578" s="2">
        <v>67.92</v>
      </c>
      <c r="IP1578" s="2">
        <v>68.7</v>
      </c>
      <c r="IQ1578" s="2">
        <v>69.36</v>
      </c>
      <c r="IR1578" s="2">
        <v>70.20999999999999</v>
      </c>
      <c r="IS1578" s="2">
        <v>71.48999999999999</v>
      </c>
      <c r="IT1578" s="2">
        <v>71.91</v>
      </c>
      <c r="IU1578" s="2">
        <v>72.23999999999999</v>
      </c>
      <c r="IV1578" s="2">
        <v>72.89</v>
      </c>
      <c r="IW1578" s="2">
        <v>72.89</v>
      </c>
      <c r="IX1578" s="2">
        <v>72.61</v>
      </c>
      <c r="IY1578" s="2">
        <v>73.22</v>
      </c>
      <c r="IZ1578" s="2">
        <v>73.88</v>
      </c>
      <c r="JA1578" s="2">
        <v>74.28</v>
      </c>
      <c r="JB1578" s="2">
        <v>74.16</v>
      </c>
      <c r="JC1578" s="2">
        <v>74.41</v>
      </c>
      <c r="JD1578" s="2">
        <v>74.41</v>
      </c>
      <c r="JE1578" s="2">
        <v>74.88</v>
      </c>
      <c r="JF1578" s="2">
        <v>74.93000000000001</v>
      </c>
      <c r="JG1578" s="2">
        <v>75.55</v>
      </c>
      <c r="JH1578" s="2">
        <v>75.84999999999999</v>
      </c>
      <c r="JI1578" s="2">
        <v>76.2</v>
      </c>
      <c r="JJ1578" s="2">
        <v>76.43000000000001</v>
      </c>
      <c r="JK1578" s="2">
        <v>77.81999999999999</v>
      </c>
      <c r="JL1578" s="2">
        <v>78.16</v>
      </c>
      <c r="JM1578" s="2">
        <v>78.31</v>
      </c>
      <c r="JN1578" s="2">
        <v>78.54000000000001</v>
      </c>
      <c r="JO1578" s="2">
        <v>79.76000000000001</v>
      </c>
      <c r="JP1578" s="2">
        <v>80.01000000000001</v>
      </c>
      <c r="JQ1578" s="2">
        <v>80.16</v>
      </c>
      <c r="JR1578" s="2">
        <v>80.48999999999999</v>
      </c>
      <c r="JS1578" s="2">
        <v>81</v>
      </c>
      <c r="JT1578" s="2">
        <v>81.29000000000001</v>
      </c>
      <c r="JU1578" s="2">
        <v>81.69</v>
      </c>
      <c r="JV1578" s="2">
        <v>81.81999999999999</v>
      </c>
      <c r="KA1578" s="2">
        <v>82.42</v>
      </c>
      <c r="KB1578" s="2">
        <v>82.61</v>
      </c>
      <c r="KC1578" s="2">
        <v>82.98</v>
      </c>
      <c r="KD1578" s="2">
        <v>83.01000000000001</v>
      </c>
      <c r="KQ1578" s="2">
        <v>83.25</v>
      </c>
      <c r="KR1578" s="2">
        <v>82.97</v>
      </c>
      <c r="KS1578" s="2">
        <v>83.12</v>
      </c>
      <c r="KT1578" s="2">
        <v>83.72</v>
      </c>
      <c r="LG1578" s="2">
        <v>84.19</v>
      </c>
      <c r="LH1578" s="2">
        <v>84.81999999999999</v>
      </c>
      <c r="LI1578" s="2">
        <v>84.91</v>
      </c>
      <c r="LJ1578" s="2">
        <v>85</v>
      </c>
      <c r="LW1578" s="2">
        <v>85.22</v>
      </c>
      <c r="LX1578" s="2">
        <v>84.45999999999999</v>
      </c>
      <c r="LY1578" s="2">
        <v>85.12</v>
      </c>
      <c r="LZ1578" s="2">
        <v>85.72</v>
      </c>
      <c r="MM1578" s="2">
        <v>86.39</v>
      </c>
      <c r="MN1578" s="2">
        <v>86.63</v>
      </c>
      <c r="MO1578" s="2">
        <v>87.43000000000001</v>
      </c>
      <c r="MP1578" s="2">
        <v>87.47</v>
      </c>
      <c r="NC1578" s="2">
        <v>89.09999999999999</v>
      </c>
      <c r="ND1578" s="2">
        <v>90.23</v>
      </c>
      <c r="NE1578" s="2">
        <v>90.23</v>
      </c>
      <c r="NF1578" s="2">
        <v>92.77</v>
      </c>
      <c r="NS1578" s="2">
        <v>93.63</v>
      </c>
      <c r="NT1578" s="2">
        <v>94.86</v>
      </c>
      <c r="NU1578" s="2">
        <v>96.31</v>
      </c>
      <c r="NV1578" s="2">
        <v>96.31</v>
      </c>
      <c r="OI1578" s="2">
        <v>97.91</v>
      </c>
      <c r="OJ1578" s="2">
        <v>97.53</v>
      </c>
      <c r="OK1578" s="2">
        <v>99.04000000000001</v>
      </c>
      <c r="OL1578" s="2">
        <v>99.34999999999999</v>
      </c>
      <c r="OY1578" s="2">
        <v>100.32</v>
      </c>
      <c r="OZ1578" s="2">
        <v>100.16</v>
      </c>
      <c r="PA1578" s="2">
        <v>100</v>
      </c>
      <c r="PB1578" s="2">
        <v>101.11</v>
      </c>
      <c r="PJ1578" s="2">
        <v>102.3</v>
      </c>
      <c r="PK1578" s="2">
        <v>102.26</v>
      </c>
    </row>
    <row r="1579">
      <c r="A1579" t="inlineStr">
        <is>
          <t>A2330346C</t>
        </is>
      </c>
      <c r="B1579" t="inlineStr">
        <is>
          <t>Index Numbers ;  Equipment for sports, camping and open-air recreation ;  Australia ;</t>
        </is>
      </c>
      <c r="C1579" t="inlineStr">
        <is>
          <t>Quarter</t>
        </is>
      </c>
      <c r="D1579" t="inlineStr">
        <is>
          <t>Index Numbers</t>
        </is>
      </c>
      <c r="E1579" t="inlineStr">
        <is>
          <t>Original</t>
        </is>
      </c>
      <c r="F1579" t="inlineStr">
        <is>
          <t>6401018.xlsx</t>
        </is>
      </c>
      <c r="G1579" t="inlineStr">
        <is>
          <t>1998Q2</t>
        </is>
      </c>
      <c r="H1579" t="inlineStr">
        <is>
          <t>2026Q2</t>
        </is>
      </c>
      <c r="GZ1579" s="2">
        <v>105.2</v>
      </c>
      <c r="HA1579" s="2">
        <v>106.26</v>
      </c>
      <c r="HB1579" s="2">
        <v>107.02</v>
      </c>
      <c r="HC1579" s="2">
        <v>106.99</v>
      </c>
      <c r="HD1579" s="2">
        <v>106.3</v>
      </c>
      <c r="HE1579" s="2">
        <v>105.73</v>
      </c>
      <c r="HF1579" s="2">
        <v>104.48</v>
      </c>
      <c r="HG1579" s="2">
        <v>103.69</v>
      </c>
      <c r="HH1579" s="2">
        <v>103.15</v>
      </c>
      <c r="HI1579" s="2">
        <v>101.3</v>
      </c>
      <c r="HJ1579" s="2">
        <v>100.1</v>
      </c>
      <c r="HK1579" s="2">
        <v>100.89</v>
      </c>
      <c r="HL1579" s="2">
        <v>101.11</v>
      </c>
      <c r="HM1579" s="2">
        <v>102.03</v>
      </c>
      <c r="HN1579" s="2">
        <v>101.92</v>
      </c>
      <c r="HO1579" s="2">
        <v>101.36</v>
      </c>
      <c r="HP1579" s="2">
        <v>100.72</v>
      </c>
      <c r="HQ1579" s="2">
        <v>99.84999999999999</v>
      </c>
      <c r="HR1579" s="2">
        <v>99.23</v>
      </c>
      <c r="HS1579" s="2">
        <v>98.51000000000001</v>
      </c>
      <c r="HT1579" s="2">
        <v>98.26000000000001</v>
      </c>
      <c r="HU1579" s="2">
        <v>97.98</v>
      </c>
      <c r="HV1579" s="2">
        <v>96.61</v>
      </c>
      <c r="HW1579" s="2">
        <v>96.31999999999999</v>
      </c>
      <c r="HX1579" s="2">
        <v>95.33</v>
      </c>
      <c r="HY1579" s="2">
        <v>95.5</v>
      </c>
      <c r="HZ1579" s="2">
        <v>94.70999999999999</v>
      </c>
      <c r="IA1579" s="2">
        <v>94.31999999999999</v>
      </c>
      <c r="IB1579" s="2">
        <v>93.81</v>
      </c>
      <c r="IC1579" s="2">
        <v>93.8</v>
      </c>
      <c r="ID1579" s="2">
        <v>92.88</v>
      </c>
      <c r="IE1579" s="2">
        <v>91.97</v>
      </c>
      <c r="IF1579" s="2">
        <v>90.59</v>
      </c>
      <c r="IG1579" s="2">
        <v>91.09</v>
      </c>
      <c r="IH1579" s="2">
        <v>90.95</v>
      </c>
      <c r="II1579" s="2">
        <v>90.58</v>
      </c>
      <c r="IJ1579" s="2">
        <v>90.39</v>
      </c>
      <c r="IK1579" s="2">
        <v>90.77</v>
      </c>
      <c r="IL1579" s="2">
        <v>90.5</v>
      </c>
      <c r="IM1579" s="2">
        <v>90.76000000000001</v>
      </c>
      <c r="IN1579" s="2">
        <v>90.29000000000001</v>
      </c>
      <c r="IO1579" s="2">
        <v>89.84999999999999</v>
      </c>
      <c r="IP1579" s="2">
        <v>91.03</v>
      </c>
      <c r="IQ1579" s="2">
        <v>93.33</v>
      </c>
      <c r="IR1579" s="2">
        <v>95.17</v>
      </c>
      <c r="IS1579" s="2">
        <v>95.17</v>
      </c>
      <c r="IT1579" s="2">
        <v>95.2</v>
      </c>
      <c r="IU1579" s="2">
        <v>94.08</v>
      </c>
      <c r="IV1579" s="2">
        <v>92.44</v>
      </c>
      <c r="IW1579" s="2">
        <v>91.89</v>
      </c>
      <c r="IX1579" s="2">
        <v>89.17</v>
      </c>
      <c r="IY1579" s="2">
        <v>87.73999999999999</v>
      </c>
      <c r="IZ1579" s="2">
        <v>86.22</v>
      </c>
      <c r="JA1579" s="2">
        <v>84.86</v>
      </c>
      <c r="JB1579" s="2">
        <v>84.91</v>
      </c>
      <c r="JC1579" s="2">
        <v>84.39</v>
      </c>
      <c r="JD1579" s="2">
        <v>84.34999999999999</v>
      </c>
      <c r="JE1579" s="2">
        <v>84.5</v>
      </c>
      <c r="JF1579" s="2">
        <v>82.92</v>
      </c>
      <c r="JG1579" s="2">
        <v>83.23</v>
      </c>
      <c r="JH1579" s="2">
        <v>82.42</v>
      </c>
      <c r="JI1579" s="2">
        <v>82.64</v>
      </c>
      <c r="JJ1579" s="2">
        <v>83.17</v>
      </c>
      <c r="JK1579" s="2">
        <v>83.16</v>
      </c>
      <c r="JL1579" s="2">
        <v>83.70999999999999</v>
      </c>
      <c r="JM1579" s="2">
        <v>84.81</v>
      </c>
      <c r="JN1579" s="2">
        <v>85.09999999999999</v>
      </c>
      <c r="JO1579" s="2">
        <v>85.92</v>
      </c>
      <c r="JP1579" s="2">
        <v>87.03</v>
      </c>
      <c r="JQ1579" s="2">
        <v>86.83</v>
      </c>
      <c r="JR1579" s="2">
        <v>88.34</v>
      </c>
      <c r="JS1579" s="2">
        <v>88.78</v>
      </c>
      <c r="JT1579" s="2">
        <v>88.14</v>
      </c>
      <c r="JU1579" s="2">
        <v>87.95</v>
      </c>
      <c r="JV1579" s="2">
        <v>87.7</v>
      </c>
      <c r="KA1579" s="2">
        <v>88.16</v>
      </c>
      <c r="KB1579" s="2">
        <v>87.53</v>
      </c>
      <c r="KC1579" s="2">
        <v>87.98</v>
      </c>
      <c r="KD1579" s="2">
        <v>87.27</v>
      </c>
      <c r="KQ1579" s="2">
        <v>88.7</v>
      </c>
      <c r="KR1579" s="2">
        <v>88.13</v>
      </c>
      <c r="KS1579" s="2">
        <v>89.25</v>
      </c>
      <c r="KT1579" s="2">
        <v>88.05</v>
      </c>
      <c r="LG1579" s="2">
        <v>89.41</v>
      </c>
      <c r="LH1579" s="2">
        <v>89.67</v>
      </c>
      <c r="LI1579" s="2">
        <v>90.73999999999999</v>
      </c>
      <c r="LJ1579" s="2">
        <v>89.65000000000001</v>
      </c>
      <c r="LW1579" s="2">
        <v>91</v>
      </c>
      <c r="LX1579" s="2">
        <v>91.5</v>
      </c>
      <c r="LY1579" s="2">
        <v>91.86</v>
      </c>
      <c r="LZ1579" s="2">
        <v>91.5</v>
      </c>
      <c r="MM1579" s="2">
        <v>92.59999999999999</v>
      </c>
      <c r="MN1579" s="2">
        <v>93.14</v>
      </c>
      <c r="MO1579" s="2">
        <v>92.92</v>
      </c>
      <c r="MP1579" s="2">
        <v>93.75</v>
      </c>
      <c r="NC1579" s="2">
        <v>95.62</v>
      </c>
      <c r="ND1579" s="2">
        <v>96.44</v>
      </c>
      <c r="NE1579" s="2">
        <v>98.43000000000001</v>
      </c>
      <c r="NF1579" s="2">
        <v>99.83</v>
      </c>
      <c r="NS1579" s="2">
        <v>101.48</v>
      </c>
      <c r="NT1579" s="2">
        <v>101.28</v>
      </c>
      <c r="NU1579" s="2">
        <v>101.12</v>
      </c>
      <c r="NV1579" s="2">
        <v>100.11</v>
      </c>
      <c r="OI1579" s="2">
        <v>101.73</v>
      </c>
      <c r="OJ1579" s="2">
        <v>101.14</v>
      </c>
      <c r="OK1579" s="2">
        <v>100.34</v>
      </c>
      <c r="OL1579" s="2">
        <v>101.54</v>
      </c>
      <c r="OY1579" s="2">
        <v>100.7</v>
      </c>
      <c r="OZ1579" s="2">
        <v>100.44</v>
      </c>
      <c r="PA1579" s="2">
        <v>100.22</v>
      </c>
      <c r="PB1579" s="2">
        <v>99.03</v>
      </c>
      <c r="PJ1579" s="2">
        <v>99.41</v>
      </c>
      <c r="PK1579" s="2">
        <v>100.37</v>
      </c>
    </row>
    <row r="1580">
      <c r="A1580" t="inlineStr">
        <is>
          <t>A2330391R</t>
        </is>
      </c>
      <c r="B1580" t="inlineStr">
        <is>
          <t>Index Numbers ;  Games, toys and hobbies ;  Australia ;</t>
        </is>
      </c>
      <c r="C1580" t="inlineStr">
        <is>
          <t>Quarter</t>
        </is>
      </c>
      <c r="D1580" t="inlineStr">
        <is>
          <t>Index Numbers</t>
        </is>
      </c>
      <c r="E1580" t="inlineStr">
        <is>
          <t>Original</t>
        </is>
      </c>
      <c r="F1580" t="inlineStr">
        <is>
          <t>6401018.xlsx</t>
        </is>
      </c>
      <c r="G1580" t="inlineStr">
        <is>
          <t>1998Q2</t>
        </is>
      </c>
      <c r="H1580" t="inlineStr">
        <is>
          <t>2026Q2</t>
        </is>
      </c>
      <c r="GZ1580" s="2">
        <v>130.4</v>
      </c>
      <c r="HA1580" s="2">
        <v>129.85</v>
      </c>
      <c r="HB1580" s="2">
        <v>127.51</v>
      </c>
      <c r="HC1580" s="2">
        <v>130.16</v>
      </c>
      <c r="HD1580" s="2">
        <v>130.68</v>
      </c>
      <c r="HE1580" s="2">
        <v>129.21</v>
      </c>
      <c r="HF1580" s="2">
        <v>123.58</v>
      </c>
      <c r="HG1580" s="2">
        <v>127.58</v>
      </c>
      <c r="HH1580" s="2">
        <v>126.95</v>
      </c>
      <c r="HI1580" s="2">
        <v>121.06</v>
      </c>
      <c r="HJ1580" s="2">
        <v>120.63</v>
      </c>
      <c r="HK1580" s="2">
        <v>126.55</v>
      </c>
      <c r="HL1580" s="2">
        <v>129.07</v>
      </c>
      <c r="HM1580" s="2">
        <v>126.55</v>
      </c>
      <c r="HN1580" s="2">
        <v>126.11</v>
      </c>
      <c r="HO1580" s="2">
        <v>131.55</v>
      </c>
      <c r="HP1580" s="2">
        <v>132.43</v>
      </c>
      <c r="HQ1580" s="2">
        <v>130.66</v>
      </c>
      <c r="HR1580" s="2">
        <v>126.43</v>
      </c>
      <c r="HS1580" s="2">
        <v>129.8</v>
      </c>
      <c r="HT1580" s="2">
        <v>130.12</v>
      </c>
      <c r="HU1580" s="2">
        <v>127.27</v>
      </c>
      <c r="HV1580" s="2">
        <v>122.95</v>
      </c>
      <c r="HW1580" s="2">
        <v>127.75</v>
      </c>
      <c r="HX1580" s="2">
        <v>128.53</v>
      </c>
      <c r="HY1580" s="2">
        <v>128.76</v>
      </c>
      <c r="HZ1580" s="2">
        <v>124.74</v>
      </c>
      <c r="IA1580" s="2">
        <v>127.71</v>
      </c>
      <c r="IB1580" s="2">
        <v>127.61</v>
      </c>
      <c r="IC1580" s="2">
        <v>127.34</v>
      </c>
      <c r="ID1580" s="2">
        <v>125.93</v>
      </c>
      <c r="IE1580" s="2">
        <v>125.47</v>
      </c>
      <c r="IF1580" s="2">
        <v>125.17</v>
      </c>
      <c r="IG1580" s="2">
        <v>124.47</v>
      </c>
      <c r="IH1580" s="2">
        <v>123.31</v>
      </c>
      <c r="II1580" s="2">
        <v>123.27</v>
      </c>
      <c r="IJ1580" s="2">
        <v>124.54</v>
      </c>
      <c r="IK1580" s="2">
        <v>123.98</v>
      </c>
      <c r="IL1580" s="2">
        <v>122.29</v>
      </c>
      <c r="IM1580" s="2">
        <v>124.07</v>
      </c>
      <c r="IN1580" s="2">
        <v>122.87</v>
      </c>
      <c r="IO1580" s="2">
        <v>123.25</v>
      </c>
      <c r="IP1580" s="2">
        <v>122.52</v>
      </c>
      <c r="IQ1580" s="2">
        <v>123.77</v>
      </c>
      <c r="IR1580" s="2">
        <v>124.17</v>
      </c>
      <c r="IS1580" s="2">
        <v>124.72</v>
      </c>
      <c r="IT1580" s="2">
        <v>124.07</v>
      </c>
      <c r="IU1580" s="2">
        <v>123.97</v>
      </c>
      <c r="IV1580" s="2">
        <v>123.7</v>
      </c>
      <c r="IW1580" s="2">
        <v>123</v>
      </c>
      <c r="IX1580" s="2">
        <v>122.72</v>
      </c>
      <c r="IY1580" s="2">
        <v>122.37</v>
      </c>
      <c r="IZ1580" s="2">
        <v>121.63</v>
      </c>
      <c r="JA1580" s="2">
        <v>120.41</v>
      </c>
      <c r="JB1580" s="2">
        <v>117.15</v>
      </c>
      <c r="JC1580" s="2">
        <v>115.98</v>
      </c>
      <c r="JD1580" s="2">
        <v>114.32</v>
      </c>
      <c r="JE1580" s="2">
        <v>112.6</v>
      </c>
      <c r="JF1580" s="2">
        <v>111.76</v>
      </c>
      <c r="JG1580" s="2">
        <v>111.12</v>
      </c>
      <c r="JH1580" s="2">
        <v>111.5</v>
      </c>
      <c r="JI1580" s="2">
        <v>109.5</v>
      </c>
      <c r="JJ1580" s="2">
        <v>109.98</v>
      </c>
      <c r="JK1580" s="2">
        <v>112.2</v>
      </c>
      <c r="JL1580" s="2">
        <v>112.05</v>
      </c>
      <c r="JM1580" s="2">
        <v>110.7</v>
      </c>
      <c r="JN1580" s="2">
        <v>109.13</v>
      </c>
      <c r="JO1580" s="2">
        <v>108.64</v>
      </c>
      <c r="JP1580" s="2">
        <v>108.23</v>
      </c>
      <c r="JQ1580" s="2">
        <v>107.29</v>
      </c>
      <c r="JR1580" s="2">
        <v>106.9</v>
      </c>
      <c r="JS1580" s="2">
        <v>104.7</v>
      </c>
      <c r="JT1580" s="2">
        <v>103.05</v>
      </c>
      <c r="JU1580" s="2">
        <v>103.92</v>
      </c>
      <c r="JV1580" s="2">
        <v>103.75</v>
      </c>
      <c r="KA1580" s="2">
        <v>105.46</v>
      </c>
      <c r="KB1580" s="2">
        <v>104.22</v>
      </c>
      <c r="KC1580" s="2">
        <v>101.95</v>
      </c>
      <c r="KD1580" s="2">
        <v>102.05</v>
      </c>
      <c r="KQ1580" s="2">
        <v>100.83</v>
      </c>
      <c r="KR1580" s="2">
        <v>101</v>
      </c>
      <c r="KS1580" s="2">
        <v>98.12</v>
      </c>
      <c r="KT1580" s="2">
        <v>99.23</v>
      </c>
      <c r="LG1580" s="2">
        <v>100.99</v>
      </c>
      <c r="LH1580" s="2">
        <v>100.36</v>
      </c>
      <c r="LI1580" s="2">
        <v>97.15000000000001</v>
      </c>
      <c r="LJ1580" s="2">
        <v>96.64</v>
      </c>
      <c r="LW1580" s="2">
        <v>97.70999999999999</v>
      </c>
      <c r="LX1580" s="2">
        <v>97.01000000000001</v>
      </c>
      <c r="LY1580" s="2">
        <v>97.77</v>
      </c>
      <c r="LZ1580" s="2">
        <v>99.44</v>
      </c>
      <c r="MM1580" s="2">
        <v>99.09</v>
      </c>
      <c r="MN1580" s="2">
        <v>98.09</v>
      </c>
      <c r="MO1580" s="2">
        <v>99.51000000000001</v>
      </c>
      <c r="MP1580" s="2">
        <v>98.39</v>
      </c>
      <c r="NC1580" s="2">
        <v>100.36</v>
      </c>
      <c r="ND1580" s="2">
        <v>100.75</v>
      </c>
      <c r="NE1580" s="2">
        <v>96.19</v>
      </c>
      <c r="NF1580" s="2">
        <v>103.77</v>
      </c>
      <c r="NS1580" s="2">
        <v>104.39</v>
      </c>
      <c r="NT1580" s="2">
        <v>104.22</v>
      </c>
      <c r="NU1580" s="2">
        <v>103.89</v>
      </c>
      <c r="NV1580" s="2">
        <v>101.4</v>
      </c>
      <c r="OI1580" s="2">
        <v>102.65</v>
      </c>
      <c r="OJ1580" s="2">
        <v>98.19</v>
      </c>
      <c r="OK1580" s="2">
        <v>98.33</v>
      </c>
      <c r="OL1580" s="2">
        <v>101.09</v>
      </c>
      <c r="OY1580" s="2">
        <v>101.74</v>
      </c>
      <c r="OZ1580" s="2">
        <v>101.46</v>
      </c>
      <c r="PA1580" s="2">
        <v>98.06</v>
      </c>
      <c r="PB1580" s="2">
        <v>100.23</v>
      </c>
      <c r="PJ1580" s="2">
        <v>104.9</v>
      </c>
      <c r="PK1580" s="2">
        <v>103.07</v>
      </c>
    </row>
    <row r="1581">
      <c r="A1581" t="inlineStr">
        <is>
          <t>A2328456A</t>
        </is>
      </c>
      <c r="B1581" t="inlineStr">
        <is>
          <t>Index Numbers ;  Pets and related products ;  Australia ;</t>
        </is>
      </c>
      <c r="C1581" t="inlineStr">
        <is>
          <t>Quarter</t>
        </is>
      </c>
      <c r="D1581" t="inlineStr">
        <is>
          <t>Index Numbers</t>
        </is>
      </c>
      <c r="E1581" t="inlineStr">
        <is>
          <t>Original</t>
        </is>
      </c>
      <c r="F1581" t="inlineStr">
        <is>
          <t>6401018.xlsx</t>
        </is>
      </c>
      <c r="G1581" t="inlineStr">
        <is>
          <t>1980Q3</t>
        </is>
      </c>
      <c r="H1581" t="inlineStr">
        <is>
          <t>2026Q2</t>
        </is>
      </c>
      <c r="EG1581" s="2">
        <v>19.84</v>
      </c>
      <c r="EH1581" s="2">
        <v>19.77</v>
      </c>
      <c r="EI1581" s="2">
        <v>19.52</v>
      </c>
      <c r="EJ1581" s="2">
        <v>19.7</v>
      </c>
      <c r="EK1581" s="2">
        <v>19.74</v>
      </c>
      <c r="EL1581" s="2">
        <v>23.13</v>
      </c>
      <c r="EM1581" s="2">
        <v>23.2</v>
      </c>
      <c r="EN1581" s="2">
        <v>23.99</v>
      </c>
      <c r="EO1581" s="2">
        <v>24.07</v>
      </c>
      <c r="EP1581" s="2">
        <v>25.04</v>
      </c>
      <c r="EQ1581" s="2">
        <v>25.94</v>
      </c>
      <c r="ER1581" s="2">
        <v>25.51</v>
      </c>
      <c r="ES1581" s="2">
        <v>25.4</v>
      </c>
      <c r="ET1581" s="2">
        <v>25.4</v>
      </c>
      <c r="EU1581" s="2">
        <v>25.36</v>
      </c>
      <c r="EV1581" s="2">
        <v>26.16</v>
      </c>
      <c r="EW1581" s="2">
        <v>26.01</v>
      </c>
      <c r="EX1581" s="2">
        <v>26.66</v>
      </c>
      <c r="EY1581" s="2">
        <v>26.66</v>
      </c>
      <c r="EZ1581" s="2">
        <v>27.24</v>
      </c>
      <c r="FA1581" s="2">
        <v>27.85</v>
      </c>
      <c r="FB1581" s="2">
        <v>27.89</v>
      </c>
      <c r="FC1581" s="2">
        <v>28.83</v>
      </c>
      <c r="FD1581" s="2">
        <v>29.22</v>
      </c>
      <c r="FE1581" s="2">
        <v>29.87</v>
      </c>
      <c r="FF1581" s="2">
        <v>30.6</v>
      </c>
      <c r="FG1581" s="2">
        <v>30.7</v>
      </c>
      <c r="FH1581" s="2">
        <v>31.14</v>
      </c>
      <c r="FI1581" s="2">
        <v>31.32</v>
      </c>
      <c r="FJ1581" s="2">
        <v>32.08</v>
      </c>
      <c r="FK1581" s="2">
        <v>32.33</v>
      </c>
      <c r="FL1581" s="2">
        <v>33.63</v>
      </c>
      <c r="FM1581" s="2">
        <v>33.95</v>
      </c>
      <c r="FN1581" s="2">
        <v>35</v>
      </c>
      <c r="FO1581" s="2">
        <v>34.93</v>
      </c>
      <c r="FP1581" s="2">
        <v>34.6</v>
      </c>
      <c r="FQ1581" s="2">
        <v>34.82</v>
      </c>
      <c r="FR1581" s="2">
        <v>34.71</v>
      </c>
      <c r="FS1581" s="2">
        <v>36.87</v>
      </c>
      <c r="FT1581" s="2">
        <v>37.92</v>
      </c>
      <c r="FU1581" s="2">
        <v>38.5</v>
      </c>
      <c r="FV1581" s="2">
        <v>38.43</v>
      </c>
      <c r="FW1581" s="2">
        <v>38.17</v>
      </c>
      <c r="FX1581" s="2">
        <v>38.28</v>
      </c>
      <c r="FY1581" s="2">
        <v>38.35</v>
      </c>
      <c r="FZ1581" s="2">
        <v>38.61</v>
      </c>
      <c r="GA1581" s="2">
        <v>38.39</v>
      </c>
      <c r="GB1581" s="2">
        <v>39.44</v>
      </c>
      <c r="GC1581" s="2">
        <v>39.94</v>
      </c>
      <c r="GD1581" s="2">
        <v>40.01</v>
      </c>
      <c r="GE1581" s="2">
        <v>39.69</v>
      </c>
      <c r="GF1581" s="2">
        <v>40.59</v>
      </c>
      <c r="GG1581" s="2">
        <v>41.49</v>
      </c>
      <c r="GH1581" s="2">
        <v>41.38</v>
      </c>
      <c r="GI1581" s="2">
        <v>43.15</v>
      </c>
      <c r="GJ1581" s="2">
        <v>42.5</v>
      </c>
      <c r="GK1581" s="2">
        <v>41.17</v>
      </c>
      <c r="GL1581" s="2">
        <v>42.61</v>
      </c>
      <c r="GM1581" s="2">
        <v>42.65</v>
      </c>
      <c r="GN1581" s="2">
        <v>42.94</v>
      </c>
      <c r="GO1581" s="2">
        <v>43.87</v>
      </c>
      <c r="GP1581" s="2">
        <v>43.84</v>
      </c>
      <c r="GQ1581" s="2">
        <v>44.81</v>
      </c>
      <c r="GR1581" s="2">
        <v>44.27</v>
      </c>
      <c r="GS1581" s="2">
        <v>46.04</v>
      </c>
      <c r="GT1581" s="2">
        <v>45.79</v>
      </c>
      <c r="GU1581" s="2">
        <v>46.51</v>
      </c>
      <c r="GV1581" s="2">
        <v>46.94</v>
      </c>
      <c r="GW1581" s="2">
        <v>46.11</v>
      </c>
      <c r="GX1581" s="2">
        <v>47.41</v>
      </c>
      <c r="GY1581" s="2">
        <v>46.83</v>
      </c>
      <c r="GZ1581" s="2">
        <v>46.94</v>
      </c>
      <c r="HA1581" s="2">
        <v>47</v>
      </c>
      <c r="HB1581" s="2">
        <v>47.77</v>
      </c>
      <c r="HC1581" s="2">
        <v>47.2</v>
      </c>
      <c r="HD1581" s="2">
        <v>46.02</v>
      </c>
      <c r="HE1581" s="2">
        <v>45.25</v>
      </c>
      <c r="HF1581" s="2">
        <v>45.84</v>
      </c>
      <c r="HG1581" s="2">
        <v>43.77</v>
      </c>
      <c r="HH1581" s="2">
        <v>45.09</v>
      </c>
      <c r="HI1581" s="2">
        <v>43.82</v>
      </c>
      <c r="HJ1581" s="2">
        <v>42.6</v>
      </c>
      <c r="HK1581" s="2">
        <v>43.69</v>
      </c>
      <c r="HL1581" s="2">
        <v>43.28</v>
      </c>
      <c r="HM1581" s="2">
        <v>45.65</v>
      </c>
      <c r="HN1581" s="2">
        <v>46.65</v>
      </c>
      <c r="HO1581" s="2">
        <v>47.97</v>
      </c>
      <c r="HP1581" s="2">
        <v>48.36</v>
      </c>
      <c r="HQ1581" s="2">
        <v>47.62</v>
      </c>
      <c r="HR1581" s="2">
        <v>47.44</v>
      </c>
      <c r="HS1581" s="2">
        <v>50.07</v>
      </c>
      <c r="HT1581" s="2">
        <v>49.07</v>
      </c>
      <c r="HU1581" s="2">
        <v>48.94</v>
      </c>
      <c r="HV1581" s="2">
        <v>47.26</v>
      </c>
      <c r="HW1581" s="2">
        <v>47.11</v>
      </c>
      <c r="HX1581" s="2">
        <v>47.62</v>
      </c>
      <c r="HY1581" s="2">
        <v>49.16</v>
      </c>
      <c r="HZ1581" s="2">
        <v>48.31</v>
      </c>
      <c r="IA1581" s="2">
        <v>49.19</v>
      </c>
      <c r="IB1581" s="2">
        <v>49.53</v>
      </c>
      <c r="IC1581" s="2">
        <v>51.52</v>
      </c>
      <c r="ID1581" s="2">
        <v>53.16</v>
      </c>
      <c r="IE1581" s="2">
        <v>53.26</v>
      </c>
      <c r="IF1581" s="2">
        <v>52.95</v>
      </c>
      <c r="IG1581" s="2">
        <v>54.88</v>
      </c>
      <c r="IH1581" s="2">
        <v>55.79</v>
      </c>
      <c r="II1581" s="2">
        <v>55.95</v>
      </c>
      <c r="IJ1581" s="2">
        <v>57.08</v>
      </c>
      <c r="IK1581" s="2">
        <v>58.57</v>
      </c>
      <c r="IL1581" s="2">
        <v>58.05</v>
      </c>
      <c r="IM1581" s="2">
        <v>58.58</v>
      </c>
      <c r="IN1581" s="2">
        <v>58.14</v>
      </c>
      <c r="IO1581" s="2">
        <v>58.96</v>
      </c>
      <c r="IP1581" s="2">
        <v>61.55</v>
      </c>
      <c r="IQ1581" s="2">
        <v>60.86</v>
      </c>
      <c r="IR1581" s="2">
        <v>63.88</v>
      </c>
      <c r="IS1581" s="2">
        <v>67.33</v>
      </c>
      <c r="IT1581" s="2">
        <v>69.38</v>
      </c>
      <c r="IU1581" s="2">
        <v>69.09999999999999</v>
      </c>
      <c r="IV1581" s="2">
        <v>72.23999999999999</v>
      </c>
      <c r="IW1581" s="2">
        <v>70.53</v>
      </c>
      <c r="IX1581" s="2">
        <v>68.73</v>
      </c>
      <c r="IY1581" s="2">
        <v>68.69</v>
      </c>
      <c r="IZ1581" s="2">
        <v>71.47</v>
      </c>
      <c r="JA1581" s="2">
        <v>73.01000000000001</v>
      </c>
      <c r="JB1581" s="2">
        <v>74.03</v>
      </c>
      <c r="JC1581" s="2">
        <v>72.90000000000001</v>
      </c>
      <c r="JD1581" s="2">
        <v>73.36</v>
      </c>
      <c r="JE1581" s="2">
        <v>73.36</v>
      </c>
      <c r="JF1581" s="2">
        <v>74.5</v>
      </c>
      <c r="JG1581" s="2">
        <v>73.94</v>
      </c>
      <c r="JH1581" s="2">
        <v>74.13</v>
      </c>
      <c r="JI1581" s="2">
        <v>74.95999999999999</v>
      </c>
      <c r="JJ1581" s="2">
        <v>74.56</v>
      </c>
      <c r="JK1581" s="2">
        <v>75.3</v>
      </c>
      <c r="JL1581" s="2">
        <v>74.13</v>
      </c>
      <c r="JM1581" s="2">
        <v>72.84</v>
      </c>
      <c r="JN1581" s="2">
        <v>72.73</v>
      </c>
      <c r="JO1581" s="2">
        <v>74.56999999999999</v>
      </c>
      <c r="JP1581" s="2">
        <v>74.06999999999999</v>
      </c>
      <c r="JQ1581" s="2">
        <v>71.97</v>
      </c>
      <c r="JR1581" s="2">
        <v>70.14</v>
      </c>
      <c r="JS1581" s="2">
        <v>70.45999999999999</v>
      </c>
      <c r="JT1581" s="2">
        <v>73.34</v>
      </c>
      <c r="JU1581" s="2">
        <v>74.40000000000001</v>
      </c>
      <c r="JV1581" s="2">
        <v>73.95999999999999</v>
      </c>
      <c r="KA1581" s="2">
        <v>74.61</v>
      </c>
      <c r="KB1581" s="2">
        <v>75.56</v>
      </c>
      <c r="KC1581" s="2">
        <v>75.38</v>
      </c>
      <c r="KD1581" s="2">
        <v>74.8</v>
      </c>
      <c r="KQ1581" s="2">
        <v>74.62</v>
      </c>
      <c r="KR1581" s="2">
        <v>74.56</v>
      </c>
      <c r="KS1581" s="2">
        <v>74.43000000000001</v>
      </c>
      <c r="KT1581" s="2">
        <v>75.26000000000001</v>
      </c>
      <c r="LG1581" s="2">
        <v>76.40000000000001</v>
      </c>
      <c r="LH1581" s="2">
        <v>78.90000000000001</v>
      </c>
      <c r="LI1581" s="2">
        <v>79.56999999999999</v>
      </c>
      <c r="LJ1581" s="2">
        <v>79.63</v>
      </c>
      <c r="LW1581" s="2">
        <v>81.18000000000001</v>
      </c>
      <c r="LX1581" s="2">
        <v>81.76000000000001</v>
      </c>
      <c r="LY1581" s="2">
        <v>81.2</v>
      </c>
      <c r="LZ1581" s="2">
        <v>81.11</v>
      </c>
      <c r="MM1581" s="2">
        <v>81.81999999999999</v>
      </c>
      <c r="MN1581" s="2">
        <v>81.28</v>
      </c>
      <c r="MO1581" s="2">
        <v>81.51000000000001</v>
      </c>
      <c r="MP1581" s="2">
        <v>81.83</v>
      </c>
      <c r="NC1581" s="2">
        <v>87.33</v>
      </c>
      <c r="ND1581" s="2">
        <v>90.81</v>
      </c>
      <c r="NE1581" s="2">
        <v>92.75</v>
      </c>
      <c r="NF1581" s="2">
        <v>97.36</v>
      </c>
      <c r="NS1581" s="2">
        <v>99.7</v>
      </c>
      <c r="NT1581" s="2">
        <v>99.84</v>
      </c>
      <c r="NU1581" s="2">
        <v>100.79</v>
      </c>
      <c r="NV1581" s="2">
        <v>100.11</v>
      </c>
      <c r="OI1581" s="2">
        <v>101.73</v>
      </c>
      <c r="OJ1581" s="2">
        <v>100.94</v>
      </c>
      <c r="OK1581" s="2">
        <v>102.22</v>
      </c>
      <c r="OL1581" s="2">
        <v>99.37</v>
      </c>
      <c r="OY1581" s="2">
        <v>101.43</v>
      </c>
      <c r="OZ1581" s="2">
        <v>100.8</v>
      </c>
      <c r="PA1581" s="2">
        <v>100.4</v>
      </c>
      <c r="PB1581" s="2">
        <v>101.51</v>
      </c>
      <c r="PJ1581" s="2">
        <v>101.04</v>
      </c>
      <c r="PK1581" s="2">
        <v>99.95</v>
      </c>
    </row>
    <row r="1582">
      <c r="A1582" t="inlineStr">
        <is>
          <t>A2328411W</t>
        </is>
      </c>
      <c r="B1582" t="inlineStr">
        <is>
          <t>Index Numbers ;  Veterinary and other services for pets ;  Australia ;</t>
        </is>
      </c>
      <c r="C1582" t="inlineStr">
        <is>
          <t>Quarter</t>
        </is>
      </c>
      <c r="D1582" t="inlineStr">
        <is>
          <t>Index Numbers</t>
        </is>
      </c>
      <c r="E1582" t="inlineStr">
        <is>
          <t>Original</t>
        </is>
      </c>
      <c r="F1582" t="inlineStr">
        <is>
          <t>6401018.xlsx</t>
        </is>
      </c>
      <c r="G1582" t="inlineStr">
        <is>
          <t>1986Q4</t>
        </is>
      </c>
      <c r="H1582" t="inlineStr">
        <is>
          <t>2026Q2</t>
        </is>
      </c>
      <c r="FF1582" s="2">
        <v>16.05</v>
      </c>
      <c r="FG1582" s="2">
        <v>16.97</v>
      </c>
      <c r="FH1582" s="2">
        <v>17.19</v>
      </c>
      <c r="FI1582" s="2">
        <v>17.61</v>
      </c>
      <c r="FJ1582" s="2">
        <v>17.74</v>
      </c>
      <c r="FK1582" s="2">
        <v>18.72</v>
      </c>
      <c r="FL1582" s="2">
        <v>18.98</v>
      </c>
      <c r="FM1582" s="2">
        <v>19.2</v>
      </c>
      <c r="FN1582" s="2">
        <v>19.58</v>
      </c>
      <c r="FO1582" s="2">
        <v>20.25</v>
      </c>
      <c r="FP1582" s="2">
        <v>20.73</v>
      </c>
      <c r="FQ1582" s="2">
        <v>21.02</v>
      </c>
      <c r="FR1582" s="2">
        <v>21.37</v>
      </c>
      <c r="FS1582" s="2">
        <v>22.4</v>
      </c>
      <c r="FT1582" s="2">
        <v>22.68</v>
      </c>
      <c r="FU1582" s="2">
        <v>23.01</v>
      </c>
      <c r="FV1582" s="2">
        <v>23.23</v>
      </c>
      <c r="FW1582" s="2">
        <v>24.17</v>
      </c>
      <c r="FX1582" s="2">
        <v>24.56</v>
      </c>
      <c r="FY1582" s="2">
        <v>24.98</v>
      </c>
      <c r="FZ1582" s="2">
        <v>25.2</v>
      </c>
      <c r="GA1582" s="2">
        <v>25.79</v>
      </c>
      <c r="GB1582" s="2">
        <v>25.98</v>
      </c>
      <c r="GC1582" s="2">
        <v>26.14</v>
      </c>
      <c r="GD1582" s="2">
        <v>26.42</v>
      </c>
      <c r="GE1582" s="2">
        <v>26.64</v>
      </c>
      <c r="GF1582" s="2">
        <v>27.08</v>
      </c>
      <c r="GG1582" s="2">
        <v>27.58</v>
      </c>
      <c r="GH1582" s="2">
        <v>27.82</v>
      </c>
      <c r="GI1582" s="2">
        <v>28.24</v>
      </c>
      <c r="GJ1582" s="2">
        <v>28.21</v>
      </c>
      <c r="GK1582" s="2">
        <v>28.41</v>
      </c>
      <c r="GL1582" s="2">
        <v>28.61</v>
      </c>
      <c r="GM1582" s="2">
        <v>29</v>
      </c>
      <c r="GN1582" s="2">
        <v>29.26</v>
      </c>
      <c r="GO1582" s="2">
        <v>29.44</v>
      </c>
      <c r="GP1582" s="2">
        <v>29.59</v>
      </c>
      <c r="GQ1582" s="2">
        <v>30.01</v>
      </c>
      <c r="GR1582" s="2">
        <v>30.18</v>
      </c>
      <c r="GS1582" s="2">
        <v>30.53</v>
      </c>
      <c r="GT1582" s="2">
        <v>30.58</v>
      </c>
      <c r="GU1582" s="2">
        <v>31.1</v>
      </c>
      <c r="GV1582" s="2">
        <v>31.61</v>
      </c>
      <c r="GW1582" s="2">
        <v>31.69</v>
      </c>
      <c r="GX1582" s="2">
        <v>31.78</v>
      </c>
      <c r="GY1582" s="2">
        <v>32.02</v>
      </c>
      <c r="GZ1582" s="2">
        <v>32.28</v>
      </c>
      <c r="HA1582" s="2">
        <v>32.18</v>
      </c>
      <c r="HB1582" s="2">
        <v>32.35</v>
      </c>
      <c r="HC1582" s="2">
        <v>32.58</v>
      </c>
      <c r="HD1582" s="2">
        <v>32.66</v>
      </c>
      <c r="HE1582" s="2">
        <v>32.85</v>
      </c>
      <c r="HF1582" s="2">
        <v>33.12</v>
      </c>
      <c r="HG1582" s="2">
        <v>33.52</v>
      </c>
      <c r="HH1582" s="2">
        <v>33.82</v>
      </c>
      <c r="HI1582" s="2">
        <v>37.34</v>
      </c>
      <c r="HJ1582" s="2">
        <v>37.43</v>
      </c>
      <c r="HK1582" s="2">
        <v>37.88</v>
      </c>
      <c r="HL1582" s="2">
        <v>38.18</v>
      </c>
      <c r="HM1582" s="2">
        <v>38.38</v>
      </c>
      <c r="HN1582" s="2">
        <v>38.67</v>
      </c>
      <c r="HO1582" s="2">
        <v>39.02</v>
      </c>
      <c r="HP1582" s="2">
        <v>39.47</v>
      </c>
      <c r="HQ1582" s="2">
        <v>39.97</v>
      </c>
      <c r="HR1582" s="2">
        <v>40.11</v>
      </c>
      <c r="HS1582" s="2">
        <v>40.42</v>
      </c>
      <c r="HT1582" s="2">
        <v>40.64</v>
      </c>
      <c r="HU1582" s="2">
        <v>41</v>
      </c>
      <c r="HV1582" s="2">
        <v>41.17</v>
      </c>
      <c r="HW1582" s="2">
        <v>41.66</v>
      </c>
      <c r="HX1582" s="2">
        <v>42.26</v>
      </c>
      <c r="HY1582" s="2">
        <v>42.59</v>
      </c>
      <c r="HZ1582" s="2">
        <v>42.7</v>
      </c>
      <c r="IA1582" s="2">
        <v>42.93</v>
      </c>
      <c r="IB1582" s="2">
        <v>43.15</v>
      </c>
      <c r="IC1582" s="2">
        <v>43.75</v>
      </c>
      <c r="ID1582" s="2">
        <v>44.11</v>
      </c>
      <c r="IE1582" s="2">
        <v>44.62</v>
      </c>
      <c r="IF1582" s="2">
        <v>44.82</v>
      </c>
      <c r="IG1582" s="2">
        <v>45.37</v>
      </c>
      <c r="IH1582" s="2">
        <v>45.59</v>
      </c>
      <c r="II1582" s="2">
        <v>46.2</v>
      </c>
      <c r="IJ1582" s="2">
        <v>46.47</v>
      </c>
      <c r="IK1582" s="2">
        <v>47.3</v>
      </c>
      <c r="IL1582" s="2">
        <v>47.64</v>
      </c>
      <c r="IM1582" s="2">
        <v>48.14</v>
      </c>
      <c r="IN1582" s="2">
        <v>48.46</v>
      </c>
      <c r="IO1582" s="2">
        <v>49</v>
      </c>
      <c r="IP1582" s="2">
        <v>49.42</v>
      </c>
      <c r="IQ1582" s="2">
        <v>50.18</v>
      </c>
      <c r="IR1582" s="2">
        <v>50.3</v>
      </c>
      <c r="IS1582" s="2">
        <v>51.02</v>
      </c>
      <c r="IT1582" s="2">
        <v>51.32</v>
      </c>
      <c r="IU1582" s="2">
        <v>51.87</v>
      </c>
      <c r="IV1582" s="2">
        <v>52.37</v>
      </c>
      <c r="IW1582" s="2">
        <v>52.94</v>
      </c>
      <c r="IX1582" s="2">
        <v>53.38</v>
      </c>
      <c r="IY1582" s="2">
        <v>53.82</v>
      </c>
      <c r="IZ1582" s="2">
        <v>54.62</v>
      </c>
      <c r="JA1582" s="2">
        <v>55.51</v>
      </c>
      <c r="JB1582" s="2">
        <v>56.05</v>
      </c>
      <c r="JC1582" s="2">
        <v>56.65</v>
      </c>
      <c r="JD1582" s="2">
        <v>56.78</v>
      </c>
      <c r="JE1582" s="2">
        <v>57.23</v>
      </c>
      <c r="JF1582" s="2">
        <v>57.67</v>
      </c>
      <c r="JG1582" s="2">
        <v>58.11</v>
      </c>
      <c r="JH1582" s="2">
        <v>58.35</v>
      </c>
      <c r="JI1582" s="2">
        <v>58.77</v>
      </c>
      <c r="JJ1582" s="2">
        <v>59.05</v>
      </c>
      <c r="JK1582" s="2">
        <v>60.06</v>
      </c>
      <c r="JL1582" s="2">
        <v>60.36</v>
      </c>
      <c r="JM1582" s="2">
        <v>61.1</v>
      </c>
      <c r="JN1582" s="2">
        <v>61.92</v>
      </c>
      <c r="JO1582" s="2">
        <v>62.67</v>
      </c>
      <c r="JP1582" s="2">
        <v>62.82</v>
      </c>
      <c r="JQ1582" s="2">
        <v>63.4</v>
      </c>
      <c r="JR1582" s="2">
        <v>63.93</v>
      </c>
      <c r="JS1582" s="2">
        <v>64.76000000000001</v>
      </c>
      <c r="JT1582" s="2">
        <v>65.5</v>
      </c>
      <c r="JU1582" s="2">
        <v>66.11</v>
      </c>
      <c r="JV1582" s="2">
        <v>66.54000000000001</v>
      </c>
      <c r="KA1582" s="2">
        <v>66.8</v>
      </c>
      <c r="KB1582" s="2">
        <v>67.34</v>
      </c>
      <c r="KC1582" s="2">
        <v>68.34999999999999</v>
      </c>
      <c r="KD1582" s="2">
        <v>68.62</v>
      </c>
      <c r="KQ1582" s="2">
        <v>69.22</v>
      </c>
      <c r="KR1582" s="2">
        <v>69.7</v>
      </c>
      <c r="KS1582" s="2">
        <v>70.02</v>
      </c>
      <c r="KT1582" s="2">
        <v>70</v>
      </c>
      <c r="LG1582" s="2">
        <v>70.66</v>
      </c>
      <c r="LH1582" s="2">
        <v>70.88</v>
      </c>
      <c r="LI1582" s="2">
        <v>72.02</v>
      </c>
      <c r="LJ1582" s="2">
        <v>72.2</v>
      </c>
      <c r="LW1582" s="2">
        <v>72.63</v>
      </c>
      <c r="LX1582" s="2">
        <v>72.83</v>
      </c>
      <c r="LY1582" s="2">
        <v>73.25</v>
      </c>
      <c r="LZ1582" s="2">
        <v>73.45999999999999</v>
      </c>
      <c r="MM1582" s="2">
        <v>74.15000000000001</v>
      </c>
      <c r="MN1582" s="2">
        <v>75.95999999999999</v>
      </c>
      <c r="MO1582" s="2">
        <v>77.42</v>
      </c>
      <c r="MP1582" s="2">
        <v>77.90000000000001</v>
      </c>
      <c r="NC1582" s="2">
        <v>79.38</v>
      </c>
      <c r="ND1582" s="2">
        <v>81.42</v>
      </c>
      <c r="NE1582" s="2">
        <v>83.51000000000001</v>
      </c>
      <c r="NF1582" s="2">
        <v>84.63</v>
      </c>
      <c r="NS1582" s="2">
        <v>85.83</v>
      </c>
      <c r="NT1582" s="2">
        <v>87.7</v>
      </c>
      <c r="NU1582" s="2">
        <v>89.79000000000001</v>
      </c>
      <c r="NV1582" s="2">
        <v>91.06</v>
      </c>
      <c r="OI1582" s="2">
        <v>91.91</v>
      </c>
      <c r="OJ1582" s="2">
        <v>93.61</v>
      </c>
      <c r="OK1582" s="2">
        <v>94.93000000000001</v>
      </c>
      <c r="OL1582" s="2">
        <v>95.92</v>
      </c>
      <c r="OY1582" s="2">
        <v>97.19</v>
      </c>
      <c r="OZ1582" s="2">
        <v>97.90000000000001</v>
      </c>
      <c r="PA1582" s="2">
        <v>99.65000000000001</v>
      </c>
      <c r="PB1582" s="2">
        <v>100.33</v>
      </c>
      <c r="PJ1582" s="2">
        <v>101.56</v>
      </c>
      <c r="PK1582" s="2">
        <v>101.73</v>
      </c>
    </row>
    <row r="1583">
      <c r="A1583" t="inlineStr">
        <is>
          <t>A2330436J</t>
        </is>
      </c>
      <c r="B1583" t="inlineStr">
        <is>
          <t>Index Numbers ;  Sports participation ;  Australia ;</t>
        </is>
      </c>
      <c r="C1583" t="inlineStr">
        <is>
          <t>Quarter</t>
        </is>
      </c>
      <c r="D1583" t="inlineStr">
        <is>
          <t>Index Numbers</t>
        </is>
      </c>
      <c r="E1583" t="inlineStr">
        <is>
          <t>Original</t>
        </is>
      </c>
      <c r="F1583" t="inlineStr">
        <is>
          <t>6401018.xlsx</t>
        </is>
      </c>
      <c r="G1583" t="inlineStr">
        <is>
          <t>1998Q2</t>
        </is>
      </c>
      <c r="H1583" t="inlineStr">
        <is>
          <t>2026Q2</t>
        </is>
      </c>
      <c r="GZ1583" s="2">
        <v>35.64</v>
      </c>
      <c r="HA1583" s="2">
        <v>35.72</v>
      </c>
      <c r="HB1583" s="2">
        <v>35.81</v>
      </c>
      <c r="HC1583" s="2">
        <v>36.18</v>
      </c>
      <c r="HD1583" s="2">
        <v>36.43</v>
      </c>
      <c r="HE1583" s="2">
        <v>37.04</v>
      </c>
      <c r="HF1583" s="2">
        <v>37.63</v>
      </c>
      <c r="HG1583" s="2">
        <v>38.24</v>
      </c>
      <c r="HH1583" s="2">
        <v>38.97</v>
      </c>
      <c r="HI1583" s="2">
        <v>42.66</v>
      </c>
      <c r="HJ1583" s="2">
        <v>43.34</v>
      </c>
      <c r="HK1583" s="2">
        <v>43.74</v>
      </c>
      <c r="HL1583" s="2">
        <v>43.87</v>
      </c>
      <c r="HM1583" s="2">
        <v>44.42</v>
      </c>
      <c r="HN1583" s="2">
        <v>44.65</v>
      </c>
      <c r="HO1583" s="2">
        <v>45.25</v>
      </c>
      <c r="HP1583" s="2">
        <v>45.62</v>
      </c>
      <c r="HQ1583" s="2">
        <v>46.28</v>
      </c>
      <c r="HR1583" s="2">
        <v>46.59</v>
      </c>
      <c r="HS1583" s="2">
        <v>46.97</v>
      </c>
      <c r="HT1583" s="2">
        <v>47.49</v>
      </c>
      <c r="HU1583" s="2">
        <v>48.25</v>
      </c>
      <c r="HV1583" s="2">
        <v>48.56</v>
      </c>
      <c r="HW1583" s="2">
        <v>49.04</v>
      </c>
      <c r="HX1583" s="2">
        <v>49.51</v>
      </c>
      <c r="HY1583" s="2">
        <v>50.33</v>
      </c>
      <c r="HZ1583" s="2">
        <v>50.81</v>
      </c>
      <c r="IA1583" s="2">
        <v>51.14</v>
      </c>
      <c r="IB1583" s="2">
        <v>51.74</v>
      </c>
      <c r="IC1583" s="2">
        <v>52.83</v>
      </c>
      <c r="ID1583" s="2">
        <v>53.05</v>
      </c>
      <c r="IE1583" s="2">
        <v>53.53</v>
      </c>
      <c r="IF1583" s="2">
        <v>53.6</v>
      </c>
      <c r="IG1583" s="2">
        <v>54.54</v>
      </c>
      <c r="IH1583" s="2">
        <v>54.92</v>
      </c>
      <c r="II1583" s="2">
        <v>55.12</v>
      </c>
      <c r="IJ1583" s="2">
        <v>55.29</v>
      </c>
      <c r="IK1583" s="2">
        <v>57.48</v>
      </c>
      <c r="IL1583" s="2">
        <v>57.95</v>
      </c>
      <c r="IM1583" s="2">
        <v>58.33</v>
      </c>
      <c r="IN1583" s="2">
        <v>58.74</v>
      </c>
      <c r="IO1583" s="2">
        <v>60.3</v>
      </c>
      <c r="IP1583" s="2">
        <v>60.11</v>
      </c>
      <c r="IQ1583" s="2">
        <v>60.28</v>
      </c>
      <c r="IR1583" s="2">
        <v>60.52</v>
      </c>
      <c r="IS1583" s="2">
        <v>61.8</v>
      </c>
      <c r="IT1583" s="2">
        <v>62.13</v>
      </c>
      <c r="IU1583" s="2">
        <v>62.56</v>
      </c>
      <c r="IV1583" s="2">
        <v>62.81</v>
      </c>
      <c r="IW1583" s="2">
        <v>64.14</v>
      </c>
      <c r="IX1583" s="2">
        <v>64.39</v>
      </c>
      <c r="IY1583" s="2">
        <v>65.06</v>
      </c>
      <c r="IZ1583" s="2">
        <v>65.19</v>
      </c>
      <c r="JA1583" s="2">
        <v>66.55</v>
      </c>
      <c r="JB1583" s="2">
        <v>66.7</v>
      </c>
      <c r="JC1583" s="2">
        <v>67.06</v>
      </c>
      <c r="JD1583" s="2">
        <v>67.34</v>
      </c>
      <c r="JE1583" s="2">
        <v>68.93000000000001</v>
      </c>
      <c r="JF1583" s="2">
        <v>69.34999999999999</v>
      </c>
      <c r="JG1583" s="2">
        <v>70</v>
      </c>
      <c r="JH1583" s="2">
        <v>70.52</v>
      </c>
      <c r="JI1583" s="2">
        <v>71.75</v>
      </c>
      <c r="JJ1583" s="2">
        <v>71.84</v>
      </c>
      <c r="JK1583" s="2">
        <v>72.97</v>
      </c>
      <c r="JL1583" s="2">
        <v>74.38</v>
      </c>
      <c r="JM1583" s="2">
        <v>74.55</v>
      </c>
      <c r="JN1583" s="2">
        <v>75.03</v>
      </c>
      <c r="JO1583" s="2">
        <v>75.68000000000001</v>
      </c>
      <c r="JP1583" s="2">
        <v>75.88</v>
      </c>
      <c r="JQ1583" s="2">
        <v>76.73</v>
      </c>
      <c r="JR1583" s="2">
        <v>77.23999999999999</v>
      </c>
      <c r="JS1583" s="2">
        <v>77.88</v>
      </c>
      <c r="JT1583" s="2">
        <v>78.04000000000001</v>
      </c>
      <c r="JU1583" s="2">
        <v>78.31</v>
      </c>
      <c r="JV1583" s="2">
        <v>78.87</v>
      </c>
      <c r="KA1583" s="2">
        <v>79.23</v>
      </c>
      <c r="KB1583" s="2">
        <v>79.69</v>
      </c>
      <c r="KC1583" s="2">
        <v>81.26000000000001</v>
      </c>
      <c r="KD1583" s="2">
        <v>81.75</v>
      </c>
      <c r="KQ1583" s="2">
        <v>80.92</v>
      </c>
      <c r="KR1583" s="2">
        <v>79.26000000000001</v>
      </c>
      <c r="KS1583" s="2">
        <v>80.8</v>
      </c>
      <c r="KT1583" s="2">
        <v>82.22</v>
      </c>
      <c r="LG1583" s="2">
        <v>81.2</v>
      </c>
      <c r="LH1583" s="2">
        <v>82.41</v>
      </c>
      <c r="LI1583" s="2">
        <v>82.09</v>
      </c>
      <c r="LJ1583" s="2">
        <v>83.26000000000001</v>
      </c>
      <c r="LW1583" s="2">
        <v>82.37</v>
      </c>
      <c r="LX1583" s="2">
        <v>80.77</v>
      </c>
      <c r="LY1583" s="2">
        <v>81.31999999999999</v>
      </c>
      <c r="LZ1583" s="2">
        <v>82.27</v>
      </c>
      <c r="MM1583" s="2">
        <v>81.01000000000001</v>
      </c>
      <c r="MN1583" s="2">
        <v>81.98999999999999</v>
      </c>
      <c r="MO1583" s="2">
        <v>83.16</v>
      </c>
      <c r="MP1583" s="2">
        <v>82.98999999999999</v>
      </c>
      <c r="NC1583" s="2">
        <v>82.70999999999999</v>
      </c>
      <c r="ND1583" s="2">
        <v>84.11</v>
      </c>
      <c r="NE1583" s="2">
        <v>84.62</v>
      </c>
      <c r="NF1583" s="2">
        <v>85.84</v>
      </c>
      <c r="NS1583" s="2">
        <v>85.81</v>
      </c>
      <c r="NT1583" s="2">
        <v>88.62</v>
      </c>
      <c r="NU1583" s="2">
        <v>90.40000000000001</v>
      </c>
      <c r="NV1583" s="2">
        <v>91.41</v>
      </c>
      <c r="OI1583" s="2">
        <v>92.54000000000001</v>
      </c>
      <c r="OJ1583" s="2">
        <v>93.40000000000001</v>
      </c>
      <c r="OK1583" s="2">
        <v>96.3</v>
      </c>
      <c r="OL1583" s="2">
        <v>96.67</v>
      </c>
      <c r="OY1583" s="2">
        <v>97.64</v>
      </c>
      <c r="OZ1583" s="2">
        <v>98.25</v>
      </c>
      <c r="PA1583" s="2">
        <v>99.76000000000001</v>
      </c>
      <c r="PB1583" s="2">
        <v>100.56</v>
      </c>
      <c r="PJ1583" s="2">
        <v>101.24</v>
      </c>
      <c r="PK1583" s="2">
        <v>102.38</v>
      </c>
    </row>
    <row r="1584">
      <c r="A1584" t="inlineStr">
        <is>
          <t>A2330481V</t>
        </is>
      </c>
      <c r="B1584" t="inlineStr">
        <is>
          <t>Index Numbers ;  Other recreational, sporting and cultural services ;  Australia ;</t>
        </is>
      </c>
      <c r="C1584" t="inlineStr">
        <is>
          <t>Quarter</t>
        </is>
      </c>
      <c r="D1584" t="inlineStr">
        <is>
          <t>Index Numbers</t>
        </is>
      </c>
      <c r="E1584" t="inlineStr">
        <is>
          <t>Original</t>
        </is>
      </c>
      <c r="F1584" t="inlineStr">
        <is>
          <t>6401018.xlsx</t>
        </is>
      </c>
      <c r="G1584" t="inlineStr">
        <is>
          <t>1998Q2</t>
        </is>
      </c>
      <c r="H1584" t="inlineStr">
        <is>
          <t>2026Q2</t>
        </is>
      </c>
      <c r="GZ1584" s="2">
        <v>36.28</v>
      </c>
      <c r="HA1584" s="2">
        <v>36.49</v>
      </c>
      <c r="HB1584" s="2">
        <v>36.7</v>
      </c>
      <c r="HC1584" s="2">
        <v>37.4</v>
      </c>
      <c r="HD1584" s="2">
        <v>37.77</v>
      </c>
      <c r="HE1584" s="2">
        <v>38.18</v>
      </c>
      <c r="HF1584" s="2">
        <v>38.49</v>
      </c>
      <c r="HG1584" s="2">
        <v>39.39</v>
      </c>
      <c r="HH1584" s="2">
        <v>39.83</v>
      </c>
      <c r="HI1584" s="2">
        <v>43.08</v>
      </c>
      <c r="HJ1584" s="2">
        <v>42.84</v>
      </c>
      <c r="HK1584" s="2">
        <v>43.25</v>
      </c>
      <c r="HL1584" s="2">
        <v>43.45</v>
      </c>
      <c r="HM1584" s="2">
        <v>43.75</v>
      </c>
      <c r="HN1584" s="2">
        <v>43.69</v>
      </c>
      <c r="HO1584" s="2">
        <v>44.44</v>
      </c>
      <c r="HP1584" s="2">
        <v>44.87</v>
      </c>
      <c r="HQ1584" s="2">
        <v>45.37</v>
      </c>
      <c r="HR1584" s="2">
        <v>45.49</v>
      </c>
      <c r="HS1584" s="2">
        <v>46.07</v>
      </c>
      <c r="HT1584" s="2">
        <v>46.6</v>
      </c>
      <c r="HU1584" s="2">
        <v>46.89</v>
      </c>
      <c r="HV1584" s="2">
        <v>47.3</v>
      </c>
      <c r="HW1584" s="2">
        <v>48.36</v>
      </c>
      <c r="HX1584" s="2">
        <v>48.63</v>
      </c>
      <c r="HY1584" s="2">
        <v>48.97</v>
      </c>
      <c r="HZ1584" s="2">
        <v>49.15</v>
      </c>
      <c r="IA1584" s="2">
        <v>49.54</v>
      </c>
      <c r="IB1584" s="2">
        <v>49.47</v>
      </c>
      <c r="IC1584" s="2">
        <v>49.69</v>
      </c>
      <c r="ID1584" s="2">
        <v>50.6</v>
      </c>
      <c r="IE1584" s="2">
        <v>51.33</v>
      </c>
      <c r="IF1584" s="2">
        <v>51.58</v>
      </c>
      <c r="IG1584" s="2">
        <v>52.8</v>
      </c>
      <c r="IH1584" s="2">
        <v>53.26</v>
      </c>
      <c r="II1584" s="2">
        <v>53.84</v>
      </c>
      <c r="IJ1584" s="2">
        <v>54.2</v>
      </c>
      <c r="IK1584" s="2">
        <v>55.11</v>
      </c>
      <c r="IL1584" s="2">
        <v>55.4</v>
      </c>
      <c r="IM1584" s="2">
        <v>56.52</v>
      </c>
      <c r="IN1584" s="2">
        <v>57.8</v>
      </c>
      <c r="IO1584" s="2">
        <v>58.36</v>
      </c>
      <c r="IP1584" s="2">
        <v>59.32</v>
      </c>
      <c r="IQ1584" s="2">
        <v>60.1</v>
      </c>
      <c r="IR1584" s="2">
        <v>60.58</v>
      </c>
      <c r="IS1584" s="2">
        <v>61.59</v>
      </c>
      <c r="IT1584" s="2">
        <v>61.77</v>
      </c>
      <c r="IU1584" s="2">
        <v>62.58</v>
      </c>
      <c r="IV1584" s="2">
        <v>63.32</v>
      </c>
      <c r="IW1584" s="2">
        <v>63.1</v>
      </c>
      <c r="IX1584" s="2">
        <v>63.39</v>
      </c>
      <c r="IY1584" s="2">
        <v>64.92</v>
      </c>
      <c r="IZ1584" s="2">
        <v>65.81999999999999</v>
      </c>
      <c r="JA1584" s="2">
        <v>66.19</v>
      </c>
      <c r="JB1584" s="2">
        <v>66.31999999999999</v>
      </c>
      <c r="JC1584" s="2">
        <v>67.63</v>
      </c>
      <c r="JD1584" s="2">
        <v>67.84</v>
      </c>
      <c r="JE1584" s="2">
        <v>68.48999999999999</v>
      </c>
      <c r="JF1584" s="2">
        <v>68.72</v>
      </c>
      <c r="JG1584" s="2">
        <v>70.41</v>
      </c>
      <c r="JH1584" s="2">
        <v>70.98999999999999</v>
      </c>
      <c r="JI1584" s="2">
        <v>71.36</v>
      </c>
      <c r="JJ1584" s="2">
        <v>71.66</v>
      </c>
      <c r="JK1584" s="2">
        <v>73.91</v>
      </c>
      <c r="JL1584" s="2">
        <v>73.91</v>
      </c>
      <c r="JM1584" s="2">
        <v>74.39</v>
      </c>
      <c r="JN1584" s="2">
        <v>74.94</v>
      </c>
      <c r="JO1584" s="2">
        <v>77.48999999999999</v>
      </c>
      <c r="JP1584" s="2">
        <v>77.94</v>
      </c>
      <c r="JQ1584" s="2">
        <v>78.58</v>
      </c>
      <c r="JR1584" s="2">
        <v>79.13</v>
      </c>
      <c r="JS1584" s="2">
        <v>80.52</v>
      </c>
      <c r="JT1584" s="2">
        <v>81.04000000000001</v>
      </c>
      <c r="JU1584" s="2">
        <v>81.33</v>
      </c>
      <c r="JV1584" s="2">
        <v>81.42</v>
      </c>
      <c r="KA1584" s="2">
        <v>81.98</v>
      </c>
      <c r="KB1584" s="2">
        <v>82.42</v>
      </c>
      <c r="KC1584" s="2">
        <v>82.62</v>
      </c>
      <c r="KD1584" s="2">
        <v>82.78</v>
      </c>
      <c r="KQ1584" s="2">
        <v>84.36</v>
      </c>
      <c r="KR1584" s="2">
        <v>84.79000000000001</v>
      </c>
      <c r="KS1584" s="2">
        <v>85.06999999999999</v>
      </c>
      <c r="KT1584" s="2">
        <v>85.69</v>
      </c>
      <c r="LG1584" s="2">
        <v>85.98</v>
      </c>
      <c r="LH1584" s="2">
        <v>86.33</v>
      </c>
      <c r="LI1584" s="2">
        <v>87.53</v>
      </c>
      <c r="LJ1584" s="2">
        <v>87.53</v>
      </c>
      <c r="LW1584" s="2">
        <v>87.04000000000001</v>
      </c>
      <c r="LX1584" s="2">
        <v>85.36</v>
      </c>
      <c r="LY1584" s="2">
        <v>86.88</v>
      </c>
      <c r="LZ1584" s="2">
        <v>87.59999999999999</v>
      </c>
      <c r="MM1584" s="2">
        <v>90.91</v>
      </c>
      <c r="MN1584" s="2">
        <v>90.45999999999999</v>
      </c>
      <c r="MO1584" s="2">
        <v>91.04000000000001</v>
      </c>
      <c r="MP1584" s="2">
        <v>91.09999999999999</v>
      </c>
      <c r="NC1584" s="2">
        <v>91.78</v>
      </c>
      <c r="ND1584" s="2">
        <v>91.47</v>
      </c>
      <c r="NE1584" s="2">
        <v>90.31</v>
      </c>
      <c r="NF1584" s="2">
        <v>91.31999999999999</v>
      </c>
      <c r="NS1584" s="2">
        <v>91.73</v>
      </c>
      <c r="NT1584" s="2">
        <v>93.33</v>
      </c>
      <c r="NU1584" s="2">
        <v>96.52</v>
      </c>
      <c r="NV1584" s="2">
        <v>97.33</v>
      </c>
      <c r="OI1584" s="2">
        <v>100.19</v>
      </c>
      <c r="OJ1584" s="2">
        <v>100.37</v>
      </c>
      <c r="OK1584" s="2">
        <v>102.91</v>
      </c>
      <c r="OL1584" s="2">
        <v>102.28</v>
      </c>
      <c r="OY1584" s="2">
        <v>103.64</v>
      </c>
      <c r="OZ1584" s="2">
        <v>102.39</v>
      </c>
      <c r="PA1584" s="2">
        <v>101.52</v>
      </c>
      <c r="PB1584" s="2">
        <v>103.7</v>
      </c>
      <c r="PJ1584" s="2">
        <v>104.44</v>
      </c>
      <c r="PK1584" s="2">
        <v>104.16</v>
      </c>
    </row>
    <row r="1585">
      <c r="A1585" t="inlineStr">
        <is>
          <t>A2331426W</t>
        </is>
      </c>
      <c r="B1585" t="inlineStr">
        <is>
          <t>Index Numbers ;  Education ;  Australia ;</t>
        </is>
      </c>
      <c r="C1585" t="inlineStr">
        <is>
          <t>Quarter</t>
        </is>
      </c>
      <c r="D1585" t="inlineStr">
        <is>
          <t>Index Numbers</t>
        </is>
      </c>
      <c r="E1585" t="inlineStr">
        <is>
          <t>Original</t>
        </is>
      </c>
      <c r="F1585" t="inlineStr">
        <is>
          <t>6401018.xlsx</t>
        </is>
      </c>
      <c r="G1585" t="inlineStr">
        <is>
          <t>1982Q1</t>
        </is>
      </c>
      <c r="H1585" t="inlineStr">
        <is>
          <t>2026Q2</t>
        </is>
      </c>
      <c r="EM1585" s="2">
        <v>7.63</v>
      </c>
      <c r="EN1585" s="2">
        <v>7.63</v>
      </c>
      <c r="EO1585" s="2">
        <v>7.63</v>
      </c>
      <c r="EP1585" s="2">
        <v>7.63</v>
      </c>
      <c r="EQ1585" s="2">
        <v>8.65</v>
      </c>
      <c r="ER1585" s="2">
        <v>8.65</v>
      </c>
      <c r="ES1585" s="2">
        <v>8.65</v>
      </c>
      <c r="ET1585" s="2">
        <v>8.65</v>
      </c>
      <c r="EU1585" s="2">
        <v>9.59</v>
      </c>
      <c r="EV1585" s="2">
        <v>9.59</v>
      </c>
      <c r="EW1585" s="2">
        <v>9.640000000000001</v>
      </c>
      <c r="EX1585" s="2">
        <v>9.640000000000001</v>
      </c>
      <c r="EY1585" s="2">
        <v>10.42</v>
      </c>
      <c r="EZ1585" s="2">
        <v>10.42</v>
      </c>
      <c r="FA1585" s="2">
        <v>10.44</v>
      </c>
      <c r="FB1585" s="2">
        <v>10.44</v>
      </c>
      <c r="FC1585" s="2">
        <v>11.46</v>
      </c>
      <c r="FD1585" s="2">
        <v>11.48</v>
      </c>
      <c r="FE1585" s="2">
        <v>11.48</v>
      </c>
      <c r="FF1585" s="2">
        <v>11.48</v>
      </c>
      <c r="FG1585" s="2">
        <v>12.65</v>
      </c>
      <c r="FH1585" s="2">
        <v>12.65</v>
      </c>
      <c r="FI1585" s="2">
        <v>12.65</v>
      </c>
      <c r="FJ1585" s="2">
        <v>12.65</v>
      </c>
      <c r="FK1585" s="2">
        <v>14.15</v>
      </c>
      <c r="FL1585" s="2">
        <v>14.15</v>
      </c>
      <c r="FM1585" s="2">
        <v>14.15</v>
      </c>
      <c r="FN1585" s="2">
        <v>14.15</v>
      </c>
      <c r="FO1585" s="2">
        <v>15.91</v>
      </c>
      <c r="FP1585" s="2">
        <v>15.91</v>
      </c>
      <c r="FQ1585" s="2">
        <v>15.91</v>
      </c>
      <c r="FR1585" s="2">
        <v>15.91</v>
      </c>
      <c r="FS1585" s="2">
        <v>18.16</v>
      </c>
      <c r="FT1585" s="2">
        <v>18.16</v>
      </c>
      <c r="FU1585" s="2">
        <v>18.16</v>
      </c>
      <c r="FV1585" s="2">
        <v>18.16</v>
      </c>
      <c r="FW1585" s="2">
        <v>20.01</v>
      </c>
      <c r="FX1585" s="2">
        <v>20.01</v>
      </c>
      <c r="FY1585" s="2">
        <v>20.01</v>
      </c>
      <c r="FZ1585" s="2">
        <v>20.01</v>
      </c>
      <c r="GA1585" s="2">
        <v>21.58</v>
      </c>
      <c r="GB1585" s="2">
        <v>21.58</v>
      </c>
      <c r="GC1585" s="2">
        <v>21.58</v>
      </c>
      <c r="GD1585" s="2">
        <v>21.58</v>
      </c>
      <c r="GE1585" s="2">
        <v>22.5</v>
      </c>
      <c r="GF1585" s="2">
        <v>22.5</v>
      </c>
      <c r="GG1585" s="2">
        <v>22.5</v>
      </c>
      <c r="GH1585" s="2">
        <v>22.5</v>
      </c>
      <c r="GI1585" s="2">
        <v>23.3</v>
      </c>
      <c r="GJ1585" s="2">
        <v>23.3</v>
      </c>
      <c r="GK1585" s="2">
        <v>23.3</v>
      </c>
      <c r="GL1585" s="2">
        <v>23.3</v>
      </c>
      <c r="GM1585" s="2">
        <v>24.34</v>
      </c>
      <c r="GN1585" s="2">
        <v>24.34</v>
      </c>
      <c r="GO1585" s="2">
        <v>24.34</v>
      </c>
      <c r="GP1585" s="2">
        <v>24.34</v>
      </c>
      <c r="GQ1585" s="2">
        <v>25.74</v>
      </c>
      <c r="GR1585" s="2">
        <v>25.74</v>
      </c>
      <c r="GS1585" s="2">
        <v>25.74</v>
      </c>
      <c r="GT1585" s="2">
        <v>25.74</v>
      </c>
      <c r="GU1585" s="2">
        <v>27.39</v>
      </c>
      <c r="GV1585" s="2">
        <v>27.39</v>
      </c>
      <c r="GW1585" s="2">
        <v>27.39</v>
      </c>
      <c r="GX1585" s="2">
        <v>27.39</v>
      </c>
      <c r="GY1585" s="2">
        <v>29.01</v>
      </c>
      <c r="GZ1585" s="2">
        <v>29.01</v>
      </c>
      <c r="HA1585" s="2">
        <v>29.01</v>
      </c>
      <c r="HB1585" s="2">
        <v>29.01</v>
      </c>
      <c r="HC1585" s="2">
        <v>30.28</v>
      </c>
      <c r="HD1585" s="2">
        <v>30.28</v>
      </c>
      <c r="HE1585" s="2">
        <v>30.28</v>
      </c>
      <c r="HF1585" s="2">
        <v>30.28</v>
      </c>
      <c r="HG1585" s="2">
        <v>31.86</v>
      </c>
      <c r="HH1585" s="2">
        <v>31.86</v>
      </c>
      <c r="HI1585" s="2">
        <v>31.91</v>
      </c>
      <c r="HJ1585" s="2">
        <v>31.93</v>
      </c>
      <c r="HK1585" s="2">
        <v>33.27</v>
      </c>
      <c r="HL1585" s="2">
        <v>33.27</v>
      </c>
      <c r="HM1585" s="2">
        <v>33.29</v>
      </c>
      <c r="HN1585" s="2">
        <v>33.3</v>
      </c>
      <c r="HO1585" s="2">
        <v>34.85</v>
      </c>
      <c r="HP1585" s="2">
        <v>34.86</v>
      </c>
      <c r="HQ1585" s="2">
        <v>34.92</v>
      </c>
      <c r="HR1585" s="2">
        <v>34.96</v>
      </c>
      <c r="HS1585" s="2">
        <v>36.58</v>
      </c>
      <c r="HT1585" s="2">
        <v>36.58</v>
      </c>
      <c r="HU1585" s="2">
        <v>36.64</v>
      </c>
      <c r="HV1585" s="2">
        <v>36.64</v>
      </c>
      <c r="HW1585" s="2">
        <v>39.4</v>
      </c>
      <c r="HX1585" s="2">
        <v>39.42</v>
      </c>
      <c r="HY1585" s="2">
        <v>39.44</v>
      </c>
      <c r="HZ1585" s="2">
        <v>39.46</v>
      </c>
      <c r="IA1585" s="2">
        <v>41.85</v>
      </c>
      <c r="IB1585" s="2">
        <v>41.89</v>
      </c>
      <c r="IC1585" s="2">
        <v>41.9</v>
      </c>
      <c r="ID1585" s="2">
        <v>41.94</v>
      </c>
      <c r="IE1585" s="2">
        <v>44.3</v>
      </c>
      <c r="IF1585" s="2">
        <v>44.32</v>
      </c>
      <c r="IG1585" s="2">
        <v>43.93</v>
      </c>
      <c r="IH1585" s="2">
        <v>43.94</v>
      </c>
      <c r="II1585" s="2">
        <v>46.14</v>
      </c>
      <c r="IJ1585" s="2">
        <v>46.2</v>
      </c>
      <c r="IK1585" s="2">
        <v>45.75</v>
      </c>
      <c r="IL1585" s="2">
        <v>45.76</v>
      </c>
      <c r="IM1585" s="2">
        <v>48.12</v>
      </c>
      <c r="IN1585" s="2">
        <v>48.14</v>
      </c>
      <c r="IO1585" s="2">
        <v>47.91</v>
      </c>
      <c r="IP1585" s="2">
        <v>47.92</v>
      </c>
      <c r="IQ1585" s="2">
        <v>50.54</v>
      </c>
      <c r="IR1585" s="2">
        <v>50.57</v>
      </c>
      <c r="IS1585" s="2">
        <v>50.59</v>
      </c>
      <c r="IT1585" s="2">
        <v>50.62</v>
      </c>
      <c r="IU1585" s="2">
        <v>53.43</v>
      </c>
      <c r="IV1585" s="2">
        <v>53.44</v>
      </c>
      <c r="IW1585" s="2">
        <v>53.52</v>
      </c>
      <c r="IX1585" s="2">
        <v>53.51</v>
      </c>
      <c r="IY1585" s="2">
        <v>56.58</v>
      </c>
      <c r="IZ1585" s="2">
        <v>56.59</v>
      </c>
      <c r="JA1585" s="2">
        <v>56.61</v>
      </c>
      <c r="JB1585" s="2">
        <v>56.62</v>
      </c>
      <c r="JC1585" s="2">
        <v>59.99</v>
      </c>
      <c r="JD1585" s="2">
        <v>60.01</v>
      </c>
      <c r="JE1585" s="2">
        <v>60.05</v>
      </c>
      <c r="JF1585" s="2">
        <v>60.06</v>
      </c>
      <c r="JG1585" s="2">
        <v>63.5</v>
      </c>
      <c r="JH1585" s="2">
        <v>63.42</v>
      </c>
      <c r="JI1585" s="2">
        <v>63.44</v>
      </c>
      <c r="JJ1585" s="2">
        <v>63.45</v>
      </c>
      <c r="JK1585" s="2">
        <v>66.70999999999999</v>
      </c>
      <c r="JL1585" s="2">
        <v>66.72</v>
      </c>
      <c r="JM1585" s="2">
        <v>66.76000000000001</v>
      </c>
      <c r="JN1585" s="2">
        <v>66.78</v>
      </c>
      <c r="JO1585" s="2">
        <v>70.33</v>
      </c>
      <c r="JP1585" s="2">
        <v>70.33</v>
      </c>
      <c r="JQ1585" s="2">
        <v>70.42</v>
      </c>
      <c r="JR1585" s="2">
        <v>70.42</v>
      </c>
      <c r="JS1585" s="2">
        <v>72.65000000000001</v>
      </c>
      <c r="JT1585" s="2">
        <v>72.66</v>
      </c>
      <c r="JU1585" s="2">
        <v>72.79000000000001</v>
      </c>
      <c r="JV1585" s="2">
        <v>72.79000000000001</v>
      </c>
      <c r="KA1585" s="2">
        <v>75.02</v>
      </c>
      <c r="KB1585" s="2">
        <v>75.02</v>
      </c>
      <c r="KC1585" s="2">
        <v>75.06</v>
      </c>
      <c r="KD1585" s="2">
        <v>75.09999999999999</v>
      </c>
      <c r="KQ1585" s="2">
        <v>77.05</v>
      </c>
      <c r="KR1585" s="2">
        <v>77.09</v>
      </c>
      <c r="KS1585" s="2">
        <v>77.12</v>
      </c>
      <c r="KT1585" s="2">
        <v>77.14</v>
      </c>
      <c r="LG1585" s="2">
        <v>79.23999999999999</v>
      </c>
      <c r="LH1585" s="2">
        <v>79.26000000000001</v>
      </c>
      <c r="LI1585" s="2">
        <v>79.31999999999999</v>
      </c>
      <c r="LJ1585" s="2">
        <v>79.36</v>
      </c>
      <c r="LW1585" s="2">
        <v>81.39</v>
      </c>
      <c r="LX1585" s="2">
        <v>78.41</v>
      </c>
      <c r="LY1585" s="2">
        <v>80.06</v>
      </c>
      <c r="LZ1585" s="2">
        <v>80.98</v>
      </c>
      <c r="MM1585" s="2">
        <v>81.34</v>
      </c>
      <c r="MN1585" s="2">
        <v>81.37</v>
      </c>
      <c r="MO1585" s="2">
        <v>81.42</v>
      </c>
      <c r="MP1585" s="2">
        <v>81.43000000000001</v>
      </c>
      <c r="NC1585" s="2">
        <v>85.11</v>
      </c>
      <c r="ND1585" s="2">
        <v>85.12</v>
      </c>
      <c r="NE1585" s="2">
        <v>85.12</v>
      </c>
      <c r="NF1585" s="2">
        <v>85.19</v>
      </c>
      <c r="NS1585" s="2">
        <v>89.76000000000001</v>
      </c>
      <c r="NT1585" s="2">
        <v>89.54000000000001</v>
      </c>
      <c r="NU1585" s="2">
        <v>89.23999999999999</v>
      </c>
      <c r="NV1585" s="2">
        <v>89.17</v>
      </c>
      <c r="OI1585" s="2">
        <v>94.40000000000001</v>
      </c>
      <c r="OJ1585" s="2">
        <v>94.58</v>
      </c>
      <c r="OK1585" s="2">
        <v>94.93000000000001</v>
      </c>
      <c r="OL1585" s="2">
        <v>94.91</v>
      </c>
      <c r="OY1585" s="2">
        <v>99.83</v>
      </c>
      <c r="OZ1585" s="2">
        <v>99.8</v>
      </c>
      <c r="PA1585" s="2">
        <v>99.94</v>
      </c>
      <c r="PB1585" s="2">
        <v>100.04</v>
      </c>
      <c r="PJ1585" s="2">
        <v>103.04</v>
      </c>
      <c r="PK1585" s="2">
        <v>104.58</v>
      </c>
    </row>
    <row r="1586">
      <c r="A1586" t="inlineStr">
        <is>
          <t>A2329446R</t>
        </is>
      </c>
      <c r="B1586" t="inlineStr">
        <is>
          <t>Index Numbers ;  Education ;  Australia ;</t>
        </is>
      </c>
      <c r="C1586" t="inlineStr">
        <is>
          <t>Quarter</t>
        </is>
      </c>
      <c r="D1586" t="inlineStr">
        <is>
          <t>Index Numbers</t>
        </is>
      </c>
      <c r="E1586" t="inlineStr">
        <is>
          <t>Original</t>
        </is>
      </c>
      <c r="F1586" t="inlineStr">
        <is>
          <t>6401018.xlsx</t>
        </is>
      </c>
      <c r="G1586" t="inlineStr">
        <is>
          <t>1982Q1</t>
        </is>
      </c>
      <c r="H1586" t="inlineStr">
        <is>
          <t>2026Q2</t>
        </is>
      </c>
      <c r="EM1586" s="2">
        <v>7.63</v>
      </c>
      <c r="EN1586" s="2">
        <v>7.63</v>
      </c>
      <c r="EO1586" s="2">
        <v>7.63</v>
      </c>
      <c r="EP1586" s="2">
        <v>7.63</v>
      </c>
      <c r="EQ1586" s="2">
        <v>8.65</v>
      </c>
      <c r="ER1586" s="2">
        <v>8.65</v>
      </c>
      <c r="ES1586" s="2">
        <v>8.65</v>
      </c>
      <c r="ET1586" s="2">
        <v>8.65</v>
      </c>
      <c r="EU1586" s="2">
        <v>9.59</v>
      </c>
      <c r="EV1586" s="2">
        <v>9.59</v>
      </c>
      <c r="EW1586" s="2">
        <v>9.640000000000001</v>
      </c>
      <c r="EX1586" s="2">
        <v>9.640000000000001</v>
      </c>
      <c r="EY1586" s="2">
        <v>10.42</v>
      </c>
      <c r="EZ1586" s="2">
        <v>10.42</v>
      </c>
      <c r="FA1586" s="2">
        <v>10.44</v>
      </c>
      <c r="FB1586" s="2">
        <v>10.44</v>
      </c>
      <c r="FC1586" s="2">
        <v>11.46</v>
      </c>
      <c r="FD1586" s="2">
        <v>11.48</v>
      </c>
      <c r="FE1586" s="2">
        <v>11.48</v>
      </c>
      <c r="FF1586" s="2">
        <v>11.48</v>
      </c>
      <c r="FG1586" s="2">
        <v>12.65</v>
      </c>
      <c r="FH1586" s="2">
        <v>12.65</v>
      </c>
      <c r="FI1586" s="2">
        <v>12.65</v>
      </c>
      <c r="FJ1586" s="2">
        <v>12.65</v>
      </c>
      <c r="FK1586" s="2">
        <v>14.15</v>
      </c>
      <c r="FL1586" s="2">
        <v>14.15</v>
      </c>
      <c r="FM1586" s="2">
        <v>14.15</v>
      </c>
      <c r="FN1586" s="2">
        <v>14.15</v>
      </c>
      <c r="FO1586" s="2">
        <v>15.91</v>
      </c>
      <c r="FP1586" s="2">
        <v>15.91</v>
      </c>
      <c r="FQ1586" s="2">
        <v>15.91</v>
      </c>
      <c r="FR1586" s="2">
        <v>15.91</v>
      </c>
      <c r="FS1586" s="2">
        <v>18.16</v>
      </c>
      <c r="FT1586" s="2">
        <v>18.16</v>
      </c>
      <c r="FU1586" s="2">
        <v>18.16</v>
      </c>
      <c r="FV1586" s="2">
        <v>18.16</v>
      </c>
      <c r="FW1586" s="2">
        <v>20.01</v>
      </c>
      <c r="FX1586" s="2">
        <v>20.01</v>
      </c>
      <c r="FY1586" s="2">
        <v>20.01</v>
      </c>
      <c r="FZ1586" s="2">
        <v>20.01</v>
      </c>
      <c r="GA1586" s="2">
        <v>21.58</v>
      </c>
      <c r="GB1586" s="2">
        <v>21.58</v>
      </c>
      <c r="GC1586" s="2">
        <v>21.58</v>
      </c>
      <c r="GD1586" s="2">
        <v>21.58</v>
      </c>
      <c r="GE1586" s="2">
        <v>22.5</v>
      </c>
      <c r="GF1586" s="2">
        <v>22.5</v>
      </c>
      <c r="GG1586" s="2">
        <v>22.5</v>
      </c>
      <c r="GH1586" s="2">
        <v>22.5</v>
      </c>
      <c r="GI1586" s="2">
        <v>23.3</v>
      </c>
      <c r="GJ1586" s="2">
        <v>23.3</v>
      </c>
      <c r="GK1586" s="2">
        <v>23.3</v>
      </c>
      <c r="GL1586" s="2">
        <v>23.3</v>
      </c>
      <c r="GM1586" s="2">
        <v>24.34</v>
      </c>
      <c r="GN1586" s="2">
        <v>24.34</v>
      </c>
      <c r="GO1586" s="2">
        <v>24.34</v>
      </c>
      <c r="GP1586" s="2">
        <v>24.34</v>
      </c>
      <c r="GQ1586" s="2">
        <v>25.74</v>
      </c>
      <c r="GR1586" s="2">
        <v>25.74</v>
      </c>
      <c r="GS1586" s="2">
        <v>25.74</v>
      </c>
      <c r="GT1586" s="2">
        <v>25.74</v>
      </c>
      <c r="GU1586" s="2">
        <v>27.39</v>
      </c>
      <c r="GV1586" s="2">
        <v>27.39</v>
      </c>
      <c r="GW1586" s="2">
        <v>27.39</v>
      </c>
      <c r="GX1586" s="2">
        <v>27.39</v>
      </c>
      <c r="GY1586" s="2">
        <v>29.01</v>
      </c>
      <c r="GZ1586" s="2">
        <v>29.01</v>
      </c>
      <c r="HA1586" s="2">
        <v>29.01</v>
      </c>
      <c r="HB1586" s="2">
        <v>29.01</v>
      </c>
      <c r="HC1586" s="2">
        <v>30.28</v>
      </c>
      <c r="HD1586" s="2">
        <v>30.28</v>
      </c>
      <c r="HE1586" s="2">
        <v>30.28</v>
      </c>
      <c r="HF1586" s="2">
        <v>30.28</v>
      </c>
      <c r="HG1586" s="2">
        <v>31.86</v>
      </c>
      <c r="HH1586" s="2">
        <v>31.86</v>
      </c>
      <c r="HI1586" s="2">
        <v>31.91</v>
      </c>
      <c r="HJ1586" s="2">
        <v>31.93</v>
      </c>
      <c r="HK1586" s="2">
        <v>33.27</v>
      </c>
      <c r="HL1586" s="2">
        <v>33.27</v>
      </c>
      <c r="HM1586" s="2">
        <v>33.29</v>
      </c>
      <c r="HN1586" s="2">
        <v>33.3</v>
      </c>
      <c r="HO1586" s="2">
        <v>34.85</v>
      </c>
      <c r="HP1586" s="2">
        <v>34.86</v>
      </c>
      <c r="HQ1586" s="2">
        <v>34.92</v>
      </c>
      <c r="HR1586" s="2">
        <v>34.96</v>
      </c>
      <c r="HS1586" s="2">
        <v>36.58</v>
      </c>
      <c r="HT1586" s="2">
        <v>36.58</v>
      </c>
      <c r="HU1586" s="2">
        <v>36.64</v>
      </c>
      <c r="HV1586" s="2">
        <v>36.64</v>
      </c>
      <c r="HW1586" s="2">
        <v>39.4</v>
      </c>
      <c r="HX1586" s="2">
        <v>39.42</v>
      </c>
      <c r="HY1586" s="2">
        <v>39.44</v>
      </c>
      <c r="HZ1586" s="2">
        <v>39.46</v>
      </c>
      <c r="IA1586" s="2">
        <v>41.85</v>
      </c>
      <c r="IB1586" s="2">
        <v>41.89</v>
      </c>
      <c r="IC1586" s="2">
        <v>41.9</v>
      </c>
      <c r="ID1586" s="2">
        <v>41.94</v>
      </c>
      <c r="IE1586" s="2">
        <v>44.3</v>
      </c>
      <c r="IF1586" s="2">
        <v>44.32</v>
      </c>
      <c r="IG1586" s="2">
        <v>43.93</v>
      </c>
      <c r="IH1586" s="2">
        <v>43.94</v>
      </c>
      <c r="II1586" s="2">
        <v>46.14</v>
      </c>
      <c r="IJ1586" s="2">
        <v>46.2</v>
      </c>
      <c r="IK1586" s="2">
        <v>45.75</v>
      </c>
      <c r="IL1586" s="2">
        <v>45.76</v>
      </c>
      <c r="IM1586" s="2">
        <v>48.12</v>
      </c>
      <c r="IN1586" s="2">
        <v>48.14</v>
      </c>
      <c r="IO1586" s="2">
        <v>47.91</v>
      </c>
      <c r="IP1586" s="2">
        <v>47.92</v>
      </c>
      <c r="IQ1586" s="2">
        <v>50.54</v>
      </c>
      <c r="IR1586" s="2">
        <v>50.57</v>
      </c>
      <c r="IS1586" s="2">
        <v>50.59</v>
      </c>
      <c r="IT1586" s="2">
        <v>50.62</v>
      </c>
      <c r="IU1586" s="2">
        <v>53.43</v>
      </c>
      <c r="IV1586" s="2">
        <v>53.44</v>
      </c>
      <c r="IW1586" s="2">
        <v>53.52</v>
      </c>
      <c r="IX1586" s="2">
        <v>53.51</v>
      </c>
      <c r="IY1586" s="2">
        <v>56.58</v>
      </c>
      <c r="IZ1586" s="2">
        <v>56.59</v>
      </c>
      <c r="JA1586" s="2">
        <v>56.61</v>
      </c>
      <c r="JB1586" s="2">
        <v>56.62</v>
      </c>
      <c r="JC1586" s="2">
        <v>59.99</v>
      </c>
      <c r="JD1586" s="2">
        <v>60.01</v>
      </c>
      <c r="JE1586" s="2">
        <v>60.05</v>
      </c>
      <c r="JF1586" s="2">
        <v>60.06</v>
      </c>
      <c r="JG1586" s="2">
        <v>63.5</v>
      </c>
      <c r="JH1586" s="2">
        <v>63.42</v>
      </c>
      <c r="JI1586" s="2">
        <v>63.44</v>
      </c>
      <c r="JJ1586" s="2">
        <v>63.45</v>
      </c>
      <c r="JK1586" s="2">
        <v>66.70999999999999</v>
      </c>
      <c r="JL1586" s="2">
        <v>66.72</v>
      </c>
      <c r="JM1586" s="2">
        <v>66.76000000000001</v>
      </c>
      <c r="JN1586" s="2">
        <v>66.78</v>
      </c>
      <c r="JO1586" s="2">
        <v>70.33</v>
      </c>
      <c r="JP1586" s="2">
        <v>70.33</v>
      </c>
      <c r="JQ1586" s="2">
        <v>70.42</v>
      </c>
      <c r="JR1586" s="2">
        <v>70.42</v>
      </c>
      <c r="JS1586" s="2">
        <v>72.65000000000001</v>
      </c>
      <c r="JT1586" s="2">
        <v>72.66</v>
      </c>
      <c r="JU1586" s="2">
        <v>72.79000000000001</v>
      </c>
      <c r="JV1586" s="2">
        <v>72.79000000000001</v>
      </c>
      <c r="KA1586" s="2">
        <v>75.02</v>
      </c>
      <c r="KB1586" s="2">
        <v>75.02</v>
      </c>
      <c r="KC1586" s="2">
        <v>75.06</v>
      </c>
      <c r="KD1586" s="2">
        <v>75.09999999999999</v>
      </c>
      <c r="KQ1586" s="2">
        <v>77.05</v>
      </c>
      <c r="KR1586" s="2">
        <v>77.09</v>
      </c>
      <c r="KS1586" s="2">
        <v>77.12</v>
      </c>
      <c r="KT1586" s="2">
        <v>77.14</v>
      </c>
      <c r="LG1586" s="2">
        <v>79.23999999999999</v>
      </c>
      <c r="LH1586" s="2">
        <v>79.26000000000001</v>
      </c>
      <c r="LI1586" s="2">
        <v>79.31999999999999</v>
      </c>
      <c r="LJ1586" s="2">
        <v>79.36</v>
      </c>
      <c r="LW1586" s="2">
        <v>81.39</v>
      </c>
      <c r="LX1586" s="2">
        <v>78.41</v>
      </c>
      <c r="LY1586" s="2">
        <v>80.06</v>
      </c>
      <c r="LZ1586" s="2">
        <v>80.98</v>
      </c>
      <c r="MM1586" s="2">
        <v>81.34</v>
      </c>
      <c r="MN1586" s="2">
        <v>81.37</v>
      </c>
      <c r="MO1586" s="2">
        <v>81.42</v>
      </c>
      <c r="MP1586" s="2">
        <v>81.43000000000001</v>
      </c>
      <c r="NC1586" s="2">
        <v>85.11</v>
      </c>
      <c r="ND1586" s="2">
        <v>85.12</v>
      </c>
      <c r="NE1586" s="2">
        <v>85.12</v>
      </c>
      <c r="NF1586" s="2">
        <v>85.19</v>
      </c>
      <c r="NS1586" s="2">
        <v>89.76000000000001</v>
      </c>
      <c r="NT1586" s="2">
        <v>89.54000000000001</v>
      </c>
      <c r="NU1586" s="2">
        <v>89.23999999999999</v>
      </c>
      <c r="NV1586" s="2">
        <v>89.17</v>
      </c>
      <c r="OI1586" s="2">
        <v>94.40000000000001</v>
      </c>
      <c r="OJ1586" s="2">
        <v>94.58</v>
      </c>
      <c r="OK1586" s="2">
        <v>94.93000000000001</v>
      </c>
      <c r="OL1586" s="2">
        <v>94.91</v>
      </c>
      <c r="OY1586" s="2">
        <v>99.83</v>
      </c>
      <c r="OZ1586" s="2">
        <v>99.8</v>
      </c>
      <c r="PA1586" s="2">
        <v>99.94</v>
      </c>
      <c r="PB1586" s="2">
        <v>100.04</v>
      </c>
      <c r="PJ1586" s="2">
        <v>103.04</v>
      </c>
      <c r="PK1586" s="2">
        <v>104.58</v>
      </c>
    </row>
    <row r="1587">
      <c r="A1587" t="inlineStr">
        <is>
          <t>A2331471J</t>
        </is>
      </c>
      <c r="B1587" t="inlineStr">
        <is>
          <t>Index Numbers ;  Preschool and primary education ;  Australia ;</t>
        </is>
      </c>
      <c r="C1587" t="inlineStr">
        <is>
          <t>Quarter</t>
        </is>
      </c>
      <c r="D1587" t="inlineStr">
        <is>
          <t>Index Numbers</t>
        </is>
      </c>
      <c r="E1587" t="inlineStr">
        <is>
          <t>Original</t>
        </is>
      </c>
      <c r="F1587" t="inlineStr">
        <is>
          <t>6401018.xlsx</t>
        </is>
      </c>
      <c r="G1587" t="inlineStr">
        <is>
          <t>2000Q2</t>
        </is>
      </c>
      <c r="H1587" t="inlineStr">
        <is>
          <t>2026Q2</t>
        </is>
      </c>
      <c r="HH1587" s="2">
        <v>32.88</v>
      </c>
      <c r="HI1587" s="2">
        <v>32.88</v>
      </c>
      <c r="HJ1587" s="2">
        <v>33.03</v>
      </c>
      <c r="HK1587" s="2">
        <v>34.47</v>
      </c>
      <c r="HL1587" s="2">
        <v>34.47</v>
      </c>
      <c r="HM1587" s="2">
        <v>34.54</v>
      </c>
      <c r="HN1587" s="2">
        <v>34.62</v>
      </c>
      <c r="HO1587" s="2">
        <v>36.5</v>
      </c>
      <c r="HP1587" s="2">
        <v>36.53</v>
      </c>
      <c r="HQ1587" s="2">
        <v>36.89</v>
      </c>
      <c r="HR1587" s="2">
        <v>37.11</v>
      </c>
      <c r="HS1587" s="2">
        <v>39.15</v>
      </c>
      <c r="HT1587" s="2">
        <v>39.16</v>
      </c>
      <c r="HU1587" s="2">
        <v>39.49</v>
      </c>
      <c r="HV1587" s="2">
        <v>39.51</v>
      </c>
      <c r="HW1587" s="2">
        <v>42.11</v>
      </c>
      <c r="HX1587" s="2">
        <v>42.21</v>
      </c>
      <c r="HY1587" s="2">
        <v>42.28</v>
      </c>
      <c r="HZ1587" s="2">
        <v>42.4</v>
      </c>
      <c r="IA1587" s="2">
        <v>45.09</v>
      </c>
      <c r="IB1587" s="2">
        <v>45.27</v>
      </c>
      <c r="IC1587" s="2">
        <v>45.36</v>
      </c>
      <c r="ID1587" s="2">
        <v>45.59</v>
      </c>
      <c r="IE1587" s="2">
        <v>48.06</v>
      </c>
      <c r="IF1587" s="2">
        <v>48.19</v>
      </c>
      <c r="IG1587" s="2">
        <v>48.56</v>
      </c>
      <c r="IH1587" s="2">
        <v>48.6</v>
      </c>
      <c r="II1587" s="2">
        <v>51.82</v>
      </c>
      <c r="IJ1587" s="2">
        <v>52.17</v>
      </c>
      <c r="IK1587" s="2">
        <v>49.62</v>
      </c>
      <c r="IL1587" s="2">
        <v>49.67</v>
      </c>
      <c r="IM1587" s="2">
        <v>52.54</v>
      </c>
      <c r="IN1587" s="2">
        <v>52.63</v>
      </c>
      <c r="IO1587" s="2">
        <v>51.37</v>
      </c>
      <c r="IP1587" s="2">
        <v>51.45</v>
      </c>
      <c r="IQ1587" s="2">
        <v>54.81</v>
      </c>
      <c r="IR1587" s="2">
        <v>55.01</v>
      </c>
      <c r="IS1587" s="2">
        <v>55.1</v>
      </c>
      <c r="IT1587" s="2">
        <v>55.29</v>
      </c>
      <c r="IU1587" s="2">
        <v>57.75</v>
      </c>
      <c r="IV1587" s="2">
        <v>57.82</v>
      </c>
      <c r="IW1587" s="2">
        <v>58.24</v>
      </c>
      <c r="IX1587" s="2">
        <v>58.2</v>
      </c>
      <c r="IY1587" s="2">
        <v>61.37</v>
      </c>
      <c r="IZ1587" s="2">
        <v>61.42</v>
      </c>
      <c r="JA1587" s="2">
        <v>61.54</v>
      </c>
      <c r="JB1587" s="2">
        <v>61.64</v>
      </c>
      <c r="JC1587" s="2">
        <v>64.81</v>
      </c>
      <c r="JD1587" s="2">
        <v>64.91</v>
      </c>
      <c r="JE1587" s="2">
        <v>65.15000000000001</v>
      </c>
      <c r="JF1587" s="2">
        <v>65.20999999999999</v>
      </c>
      <c r="JG1587" s="2">
        <v>68.13</v>
      </c>
      <c r="JH1587" s="2">
        <v>67.59999999999999</v>
      </c>
      <c r="JI1587" s="2">
        <v>67.77</v>
      </c>
      <c r="JJ1587" s="2">
        <v>67.81</v>
      </c>
      <c r="JK1587" s="2">
        <v>71.15000000000001</v>
      </c>
      <c r="JL1587" s="2">
        <v>71.22</v>
      </c>
      <c r="JM1587" s="2">
        <v>71.48</v>
      </c>
      <c r="JN1587" s="2">
        <v>71.63</v>
      </c>
      <c r="JO1587" s="2">
        <v>75.69</v>
      </c>
      <c r="JP1587" s="2">
        <v>75.75</v>
      </c>
      <c r="JQ1587" s="2">
        <v>76.17</v>
      </c>
      <c r="JR1587" s="2">
        <v>76.19</v>
      </c>
      <c r="JS1587" s="2">
        <v>79.3</v>
      </c>
      <c r="JT1587" s="2">
        <v>79.36</v>
      </c>
      <c r="JU1587" s="2">
        <v>79.66</v>
      </c>
      <c r="JV1587" s="2">
        <v>79.7</v>
      </c>
      <c r="KA1587" s="2">
        <v>81.56</v>
      </c>
      <c r="KB1587" s="2">
        <v>81.55</v>
      </c>
      <c r="KC1587" s="2">
        <v>81.59</v>
      </c>
      <c r="KD1587" s="2">
        <v>81.78</v>
      </c>
      <c r="KQ1587" s="2">
        <v>84.48999999999999</v>
      </c>
      <c r="KR1587" s="2">
        <v>84.68000000000001</v>
      </c>
      <c r="KS1587" s="2">
        <v>83.43000000000001</v>
      </c>
      <c r="KT1587" s="2">
        <v>83.55</v>
      </c>
      <c r="LG1587" s="2">
        <v>85.41</v>
      </c>
      <c r="LH1587" s="2">
        <v>85.53</v>
      </c>
      <c r="LI1587" s="2">
        <v>85.77</v>
      </c>
      <c r="LJ1587" s="2">
        <v>85.94</v>
      </c>
      <c r="LW1587" s="2">
        <v>88.45999999999999</v>
      </c>
      <c r="LX1587" s="2">
        <v>74.13</v>
      </c>
      <c r="LY1587" s="2">
        <v>82.29000000000001</v>
      </c>
      <c r="LZ1587" s="2">
        <v>86.76000000000001</v>
      </c>
      <c r="MM1587" s="2">
        <v>87.70999999999999</v>
      </c>
      <c r="MN1587" s="2">
        <v>87.84999999999999</v>
      </c>
      <c r="MO1587" s="2">
        <v>88.06999999999999</v>
      </c>
      <c r="MP1587" s="2">
        <v>88.13</v>
      </c>
      <c r="NC1587" s="2">
        <v>92.15000000000001</v>
      </c>
      <c r="ND1587" s="2">
        <v>92.17</v>
      </c>
      <c r="NE1587" s="2">
        <v>92.36</v>
      </c>
      <c r="NF1587" s="2">
        <v>92.73999999999999</v>
      </c>
      <c r="NS1587" s="2">
        <v>92.02</v>
      </c>
      <c r="NT1587" s="2">
        <v>90.88</v>
      </c>
      <c r="NU1587" s="2">
        <v>88.5</v>
      </c>
      <c r="NV1587" s="2">
        <v>88.15000000000001</v>
      </c>
      <c r="OI1587" s="2">
        <v>91.91</v>
      </c>
      <c r="OJ1587" s="2">
        <v>92.83</v>
      </c>
      <c r="OK1587" s="2">
        <v>94.36</v>
      </c>
      <c r="OL1587" s="2">
        <v>94.23</v>
      </c>
      <c r="OY1587" s="2">
        <v>99.5</v>
      </c>
      <c r="OZ1587" s="2">
        <v>99.34999999999999</v>
      </c>
      <c r="PA1587" s="2">
        <v>99.8</v>
      </c>
      <c r="PB1587" s="2">
        <v>100.19</v>
      </c>
      <c r="PJ1587" s="2">
        <v>103.03</v>
      </c>
      <c r="PK1587" s="2">
        <v>104.61</v>
      </c>
    </row>
    <row r="1588">
      <c r="A1588" t="inlineStr">
        <is>
          <t>A2331516A</t>
        </is>
      </c>
      <c r="B1588" t="inlineStr">
        <is>
          <t>Index Numbers ;  Secondary education ;  Australia ;</t>
        </is>
      </c>
      <c r="C1588" t="inlineStr">
        <is>
          <t>Quarter</t>
        </is>
      </c>
      <c r="D1588" t="inlineStr">
        <is>
          <t>Index Numbers</t>
        </is>
      </c>
      <c r="E1588" t="inlineStr">
        <is>
          <t>Original</t>
        </is>
      </c>
      <c r="F1588" t="inlineStr">
        <is>
          <t>6401018.xlsx</t>
        </is>
      </c>
      <c r="G1588" t="inlineStr">
        <is>
          <t>2000Q2</t>
        </is>
      </c>
      <c r="H1588" t="inlineStr">
        <is>
          <t>2026Q2</t>
        </is>
      </c>
      <c r="HH1588" s="2">
        <v>25.75</v>
      </c>
      <c r="HI1588" s="2">
        <v>25.75</v>
      </c>
      <c r="HJ1588" s="2">
        <v>25.75</v>
      </c>
      <c r="HK1588" s="2">
        <v>27.38</v>
      </c>
      <c r="HL1588" s="2">
        <v>27.38</v>
      </c>
      <c r="HM1588" s="2">
        <v>27.38</v>
      </c>
      <c r="HN1588" s="2">
        <v>27.38</v>
      </c>
      <c r="HO1588" s="2">
        <v>29.12</v>
      </c>
      <c r="HP1588" s="2">
        <v>29.12</v>
      </c>
      <c r="HQ1588" s="2">
        <v>29.12</v>
      </c>
      <c r="HR1588" s="2">
        <v>29.12</v>
      </c>
      <c r="HS1588" s="2">
        <v>31.13</v>
      </c>
      <c r="HT1588" s="2">
        <v>31.13</v>
      </c>
      <c r="HU1588" s="2">
        <v>31.13</v>
      </c>
      <c r="HV1588" s="2">
        <v>31.13</v>
      </c>
      <c r="HW1588" s="2">
        <v>33.31</v>
      </c>
      <c r="HX1588" s="2">
        <v>33.31</v>
      </c>
      <c r="HY1588" s="2">
        <v>33.31</v>
      </c>
      <c r="HZ1588" s="2">
        <v>33.31</v>
      </c>
      <c r="IA1588" s="2">
        <v>35.61</v>
      </c>
      <c r="IB1588" s="2">
        <v>35.61</v>
      </c>
      <c r="IC1588" s="2">
        <v>35.61</v>
      </c>
      <c r="ID1588" s="2">
        <v>35.61</v>
      </c>
      <c r="IE1588" s="2">
        <v>38.07</v>
      </c>
      <c r="IF1588" s="2">
        <v>38.07</v>
      </c>
      <c r="IG1588" s="2">
        <v>38.07</v>
      </c>
      <c r="IH1588" s="2">
        <v>38.07</v>
      </c>
      <c r="II1588" s="2">
        <v>40.78</v>
      </c>
      <c r="IJ1588" s="2">
        <v>40.78</v>
      </c>
      <c r="IK1588" s="2">
        <v>40.78</v>
      </c>
      <c r="IL1588" s="2">
        <v>40.78</v>
      </c>
      <c r="IM1588" s="2">
        <v>43.45</v>
      </c>
      <c r="IN1588" s="2">
        <v>43.45</v>
      </c>
      <c r="IO1588" s="2">
        <v>43.45</v>
      </c>
      <c r="IP1588" s="2">
        <v>43.45</v>
      </c>
      <c r="IQ1588" s="2">
        <v>46.75</v>
      </c>
      <c r="IR1588" s="2">
        <v>46.75</v>
      </c>
      <c r="IS1588" s="2">
        <v>46.75</v>
      </c>
      <c r="IT1588" s="2">
        <v>46.75</v>
      </c>
      <c r="IU1588" s="2">
        <v>49.42</v>
      </c>
      <c r="IV1588" s="2">
        <v>49.42</v>
      </c>
      <c r="IW1588" s="2">
        <v>49.42</v>
      </c>
      <c r="IX1588" s="2">
        <v>49.42</v>
      </c>
      <c r="IY1588" s="2">
        <v>52.8</v>
      </c>
      <c r="IZ1588" s="2">
        <v>52.8</v>
      </c>
      <c r="JA1588" s="2">
        <v>52.8</v>
      </c>
      <c r="JB1588" s="2">
        <v>52.8</v>
      </c>
      <c r="JC1588" s="2">
        <v>56.86</v>
      </c>
      <c r="JD1588" s="2">
        <v>56.86</v>
      </c>
      <c r="JE1588" s="2">
        <v>56.86</v>
      </c>
      <c r="JF1588" s="2">
        <v>56.86</v>
      </c>
      <c r="JG1588" s="2">
        <v>59.92</v>
      </c>
      <c r="JH1588" s="2">
        <v>59.92</v>
      </c>
      <c r="JI1588" s="2">
        <v>59.92</v>
      </c>
      <c r="JJ1588" s="2">
        <v>59.92</v>
      </c>
      <c r="JK1588" s="2">
        <v>63.56</v>
      </c>
      <c r="JL1588" s="2">
        <v>63.56</v>
      </c>
      <c r="JM1588" s="2">
        <v>63.56</v>
      </c>
      <c r="JN1588" s="2">
        <v>63.56</v>
      </c>
      <c r="JO1588" s="2">
        <v>66.56999999999999</v>
      </c>
      <c r="JP1588" s="2">
        <v>66.56999999999999</v>
      </c>
      <c r="JQ1588" s="2">
        <v>66.56999999999999</v>
      </c>
      <c r="JR1588" s="2">
        <v>66.56999999999999</v>
      </c>
      <c r="JS1588" s="2">
        <v>69.64</v>
      </c>
      <c r="JT1588" s="2">
        <v>69.64</v>
      </c>
      <c r="JU1588" s="2">
        <v>69.64</v>
      </c>
      <c r="JV1588" s="2">
        <v>69.64</v>
      </c>
      <c r="KA1588" s="2">
        <v>72.47</v>
      </c>
      <c r="KB1588" s="2">
        <v>72.47</v>
      </c>
      <c r="KC1588" s="2">
        <v>72.47</v>
      </c>
      <c r="KD1588" s="2">
        <v>72.47</v>
      </c>
      <c r="KQ1588" s="2">
        <v>74.92</v>
      </c>
      <c r="KR1588" s="2">
        <v>74.92</v>
      </c>
      <c r="KS1588" s="2">
        <v>74.92</v>
      </c>
      <c r="KT1588" s="2">
        <v>74.92</v>
      </c>
      <c r="LG1588" s="2">
        <v>78.03</v>
      </c>
      <c r="LH1588" s="2">
        <v>78.03</v>
      </c>
      <c r="LI1588" s="2">
        <v>78.03</v>
      </c>
      <c r="LJ1588" s="2">
        <v>78.03</v>
      </c>
      <c r="LW1588" s="2">
        <v>80.69</v>
      </c>
      <c r="LX1588" s="2">
        <v>80.59</v>
      </c>
      <c r="LY1588" s="2">
        <v>80.59</v>
      </c>
      <c r="LZ1588" s="2">
        <v>80.59</v>
      </c>
      <c r="MM1588" s="2">
        <v>82.06999999999999</v>
      </c>
      <c r="MN1588" s="2">
        <v>82.06999999999999</v>
      </c>
      <c r="MO1588" s="2">
        <v>82.06999999999999</v>
      </c>
      <c r="MP1588" s="2">
        <v>82.06999999999999</v>
      </c>
      <c r="NC1588" s="2">
        <v>84.53</v>
      </c>
      <c r="ND1588" s="2">
        <v>84.53</v>
      </c>
      <c r="NE1588" s="2">
        <v>84.53</v>
      </c>
      <c r="NF1588" s="2">
        <v>84.53</v>
      </c>
      <c r="NS1588" s="2">
        <v>88.64</v>
      </c>
      <c r="NT1588" s="2">
        <v>88.64</v>
      </c>
      <c r="NU1588" s="2">
        <v>88.64</v>
      </c>
      <c r="NV1588" s="2">
        <v>88.64</v>
      </c>
      <c r="OI1588" s="2">
        <v>94.04000000000001</v>
      </c>
      <c r="OJ1588" s="2">
        <v>94.04000000000001</v>
      </c>
      <c r="OK1588" s="2">
        <v>94.04000000000001</v>
      </c>
      <c r="OL1588" s="2">
        <v>94.04000000000001</v>
      </c>
      <c r="OY1588" s="2">
        <v>100</v>
      </c>
      <c r="OZ1588" s="2">
        <v>100</v>
      </c>
      <c r="PA1588" s="2">
        <v>100</v>
      </c>
      <c r="PB1588" s="2">
        <v>100</v>
      </c>
      <c r="PJ1588" s="2">
        <v>104.38</v>
      </c>
      <c r="PK1588" s="2">
        <v>106.57</v>
      </c>
    </row>
    <row r="1589">
      <c r="A1589" t="inlineStr">
        <is>
          <t>A2331561L</t>
        </is>
      </c>
      <c r="B1589" t="inlineStr">
        <is>
          <t>Index Numbers ;  Tertiary education ;  Australia ;</t>
        </is>
      </c>
      <c r="C1589" t="inlineStr">
        <is>
          <t>Quarter</t>
        </is>
      </c>
      <c r="D1589" t="inlineStr">
        <is>
          <t>Index Numbers</t>
        </is>
      </c>
      <c r="E1589" t="inlineStr">
        <is>
          <t>Original</t>
        </is>
      </c>
      <c r="F1589" t="inlineStr">
        <is>
          <t>6401018.xlsx</t>
        </is>
      </c>
      <c r="G1589" t="inlineStr">
        <is>
          <t>2000Q2</t>
        </is>
      </c>
      <c r="H1589" t="inlineStr">
        <is>
          <t>2026Q2</t>
        </is>
      </c>
      <c r="HH1589" s="2">
        <v>37.46</v>
      </c>
      <c r="HI1589" s="2">
        <v>37.59</v>
      </c>
      <c r="HJ1589" s="2">
        <v>37.59</v>
      </c>
      <c r="HK1589" s="2">
        <v>38.55</v>
      </c>
      <c r="HL1589" s="2">
        <v>38.55</v>
      </c>
      <c r="HM1589" s="2">
        <v>38.55</v>
      </c>
      <c r="HN1589" s="2">
        <v>38.55</v>
      </c>
      <c r="HO1589" s="2">
        <v>39.71</v>
      </c>
      <c r="HP1589" s="2">
        <v>39.71</v>
      </c>
      <c r="HQ1589" s="2">
        <v>39.71</v>
      </c>
      <c r="HR1589" s="2">
        <v>39.71</v>
      </c>
      <c r="HS1589" s="2">
        <v>40.67</v>
      </c>
      <c r="HT1589" s="2">
        <v>40.67</v>
      </c>
      <c r="HU1589" s="2">
        <v>40.67</v>
      </c>
      <c r="HV1589" s="2">
        <v>40.67</v>
      </c>
      <c r="HW1589" s="2">
        <v>44.1</v>
      </c>
      <c r="HX1589" s="2">
        <v>44.1</v>
      </c>
      <c r="HY1589" s="2">
        <v>44.1</v>
      </c>
      <c r="HZ1589" s="2">
        <v>44.1</v>
      </c>
      <c r="IA1589" s="2">
        <v>46.42</v>
      </c>
      <c r="IB1589" s="2">
        <v>46.42</v>
      </c>
      <c r="IC1589" s="2">
        <v>46.42</v>
      </c>
      <c r="ID1589" s="2">
        <v>46.42</v>
      </c>
      <c r="IE1589" s="2">
        <v>48.62</v>
      </c>
      <c r="IF1589" s="2">
        <v>48.62</v>
      </c>
      <c r="IG1589" s="2">
        <v>47.53</v>
      </c>
      <c r="IH1589" s="2">
        <v>47.53</v>
      </c>
      <c r="II1589" s="2">
        <v>48.78</v>
      </c>
      <c r="IJ1589" s="2">
        <v>48.78</v>
      </c>
      <c r="IK1589" s="2">
        <v>48.78</v>
      </c>
      <c r="IL1589" s="2">
        <v>48.78</v>
      </c>
      <c r="IM1589" s="2">
        <v>50.61</v>
      </c>
      <c r="IN1589" s="2">
        <v>50.61</v>
      </c>
      <c r="IO1589" s="2">
        <v>50.61</v>
      </c>
      <c r="IP1589" s="2">
        <v>50.61</v>
      </c>
      <c r="IQ1589" s="2">
        <v>52.23</v>
      </c>
      <c r="IR1589" s="2">
        <v>52.23</v>
      </c>
      <c r="IS1589" s="2">
        <v>52.23</v>
      </c>
      <c r="IT1589" s="2">
        <v>52.23</v>
      </c>
      <c r="IU1589" s="2">
        <v>55.3</v>
      </c>
      <c r="IV1589" s="2">
        <v>55.3</v>
      </c>
      <c r="IW1589" s="2">
        <v>55.3</v>
      </c>
      <c r="IX1589" s="2">
        <v>55.3</v>
      </c>
      <c r="IY1589" s="2">
        <v>58.02</v>
      </c>
      <c r="IZ1589" s="2">
        <v>58.02</v>
      </c>
      <c r="JA1589" s="2">
        <v>58.02</v>
      </c>
      <c r="JB1589" s="2">
        <v>58.02</v>
      </c>
      <c r="JC1589" s="2">
        <v>60.75</v>
      </c>
      <c r="JD1589" s="2">
        <v>60.75</v>
      </c>
      <c r="JE1589" s="2">
        <v>60.75</v>
      </c>
      <c r="JF1589" s="2">
        <v>60.75</v>
      </c>
      <c r="JG1589" s="2">
        <v>64.72</v>
      </c>
      <c r="JH1589" s="2">
        <v>64.72</v>
      </c>
      <c r="JI1589" s="2">
        <v>64.72</v>
      </c>
      <c r="JJ1589" s="2">
        <v>64.72</v>
      </c>
      <c r="JK1589" s="2">
        <v>67.55</v>
      </c>
      <c r="JL1589" s="2">
        <v>67.55</v>
      </c>
      <c r="JM1589" s="2">
        <v>67.55</v>
      </c>
      <c r="JN1589" s="2">
        <v>67.55</v>
      </c>
      <c r="JO1589" s="2">
        <v>71.39</v>
      </c>
      <c r="JP1589" s="2">
        <v>71.39</v>
      </c>
      <c r="JQ1589" s="2">
        <v>71.43000000000001</v>
      </c>
      <c r="JR1589" s="2">
        <v>71.43000000000001</v>
      </c>
      <c r="JS1589" s="2">
        <v>72.5</v>
      </c>
      <c r="JT1589" s="2">
        <v>72.5</v>
      </c>
      <c r="JU1589" s="2">
        <v>72.7</v>
      </c>
      <c r="JV1589" s="2">
        <v>72.7</v>
      </c>
      <c r="KA1589" s="2">
        <v>74.43000000000001</v>
      </c>
      <c r="KB1589" s="2">
        <v>74.43000000000001</v>
      </c>
      <c r="KC1589" s="2">
        <v>74.51000000000001</v>
      </c>
      <c r="KD1589" s="2">
        <v>74.51000000000001</v>
      </c>
      <c r="KQ1589" s="2">
        <v>75.55</v>
      </c>
      <c r="KR1589" s="2">
        <v>75.55</v>
      </c>
      <c r="KS1589" s="2">
        <v>76.28</v>
      </c>
      <c r="KT1589" s="2">
        <v>76.28</v>
      </c>
      <c r="LG1589" s="2">
        <v>77.38</v>
      </c>
      <c r="LH1589" s="2">
        <v>77.38</v>
      </c>
      <c r="LI1589" s="2">
        <v>77.42</v>
      </c>
      <c r="LJ1589" s="2">
        <v>77.42</v>
      </c>
      <c r="LW1589" s="2">
        <v>78.45999999999999</v>
      </c>
      <c r="LX1589" s="2">
        <v>78.45999999999999</v>
      </c>
      <c r="LY1589" s="2">
        <v>78.39</v>
      </c>
      <c r="LZ1589" s="2">
        <v>78.39</v>
      </c>
      <c r="MM1589" s="2">
        <v>77.11</v>
      </c>
      <c r="MN1589" s="2">
        <v>77.11</v>
      </c>
      <c r="MO1589" s="2">
        <v>77.13</v>
      </c>
      <c r="MP1589" s="2">
        <v>77.13</v>
      </c>
      <c r="NC1589" s="2">
        <v>82.04000000000001</v>
      </c>
      <c r="ND1589" s="2">
        <v>82.04000000000001</v>
      </c>
      <c r="NE1589" s="2">
        <v>81.94</v>
      </c>
      <c r="NF1589" s="2">
        <v>81.94</v>
      </c>
      <c r="NS1589" s="2">
        <v>89.89</v>
      </c>
      <c r="NT1589" s="2">
        <v>89.89</v>
      </c>
      <c r="NU1589" s="2">
        <v>90.34999999999999</v>
      </c>
      <c r="NV1589" s="2">
        <v>90.34999999999999</v>
      </c>
      <c r="OI1589" s="2">
        <v>96.19</v>
      </c>
      <c r="OJ1589" s="2">
        <v>96.19</v>
      </c>
      <c r="OK1589" s="2">
        <v>96.31999999999999</v>
      </c>
      <c r="OL1589" s="2">
        <v>96.31999999999999</v>
      </c>
      <c r="OY1589" s="2">
        <v>99.81999999999999</v>
      </c>
      <c r="OZ1589" s="2">
        <v>99.81999999999999</v>
      </c>
      <c r="PA1589" s="2">
        <v>99.95</v>
      </c>
      <c r="PB1589" s="2">
        <v>100</v>
      </c>
      <c r="PJ1589" s="2">
        <v>101.47</v>
      </c>
      <c r="PK1589" s="2">
        <v>102.2</v>
      </c>
    </row>
    <row r="1590">
      <c r="A1590" t="inlineStr">
        <is>
          <t>A2332596F</t>
        </is>
      </c>
      <c r="B1590" t="inlineStr">
        <is>
          <t>Index Numbers ;  Insurance and financial services ;  Australia ;</t>
        </is>
      </c>
      <c r="C1590" t="inlineStr">
        <is>
          <t>Quarter</t>
        </is>
      </c>
      <c r="D1590" t="inlineStr">
        <is>
          <t>Index Numbers</t>
        </is>
      </c>
      <c r="E1590" t="inlineStr">
        <is>
          <t>Original</t>
        </is>
      </c>
      <c r="F1590" t="inlineStr">
        <is>
          <t>6401018.xlsx</t>
        </is>
      </c>
      <c r="G1590" t="inlineStr">
        <is>
          <t>2005Q2</t>
        </is>
      </c>
      <c r="H1590" t="inlineStr">
        <is>
          <t>2026Q2</t>
        </is>
      </c>
      <c r="IB1590" s="2">
        <v>58.53</v>
      </c>
      <c r="IC1590" s="2">
        <v>58.56</v>
      </c>
      <c r="ID1590" s="2">
        <v>59.45</v>
      </c>
      <c r="IE1590" s="2">
        <v>59.1</v>
      </c>
      <c r="IF1590" s="2">
        <v>59.8</v>
      </c>
      <c r="IG1590" s="2">
        <v>60.01</v>
      </c>
      <c r="IH1590" s="2">
        <v>60.26</v>
      </c>
      <c r="II1590" s="2">
        <v>60.16</v>
      </c>
      <c r="IJ1590" s="2">
        <v>60.68</v>
      </c>
      <c r="IK1590" s="2">
        <v>61.91</v>
      </c>
      <c r="IL1590" s="2">
        <v>63.22</v>
      </c>
      <c r="IM1590" s="2">
        <v>64.29000000000001</v>
      </c>
      <c r="IN1590" s="2">
        <v>66.72</v>
      </c>
      <c r="IO1590" s="2">
        <v>67.86</v>
      </c>
      <c r="IP1590" s="2">
        <v>67.64</v>
      </c>
      <c r="IQ1590" s="2">
        <v>63.4</v>
      </c>
      <c r="IR1590" s="2">
        <v>62.33</v>
      </c>
      <c r="IS1590" s="2">
        <v>62.93</v>
      </c>
      <c r="IT1590" s="2">
        <v>63.37</v>
      </c>
      <c r="IU1590" s="2">
        <v>64.7</v>
      </c>
      <c r="IV1590" s="2">
        <v>64.79000000000001</v>
      </c>
      <c r="IW1590" s="2">
        <v>65.09</v>
      </c>
      <c r="IX1590" s="2">
        <v>64.81</v>
      </c>
      <c r="IY1590" s="2">
        <v>66.5</v>
      </c>
      <c r="IZ1590" s="2">
        <v>67.54000000000001</v>
      </c>
      <c r="JA1590" s="2">
        <v>67.98999999999999</v>
      </c>
      <c r="JB1590" s="2">
        <v>68.44</v>
      </c>
      <c r="JC1590" s="2">
        <v>69.09999999999999</v>
      </c>
      <c r="JD1590" s="2">
        <v>69.45999999999999</v>
      </c>
      <c r="JE1590" s="2">
        <v>69.58</v>
      </c>
      <c r="JF1590" s="2">
        <v>70.63</v>
      </c>
      <c r="JG1590" s="2">
        <v>71.05</v>
      </c>
      <c r="JH1590" s="2">
        <v>71.28</v>
      </c>
      <c r="JI1590" s="2">
        <v>71.59</v>
      </c>
      <c r="JJ1590" s="2">
        <v>71.70999999999999</v>
      </c>
      <c r="JK1590" s="2">
        <v>71.98</v>
      </c>
      <c r="JL1590" s="2">
        <v>72.01000000000001</v>
      </c>
      <c r="JM1590" s="2">
        <v>72.39</v>
      </c>
      <c r="JN1590" s="2">
        <v>73.17</v>
      </c>
      <c r="JO1590" s="2">
        <v>73.26000000000001</v>
      </c>
      <c r="JP1590" s="2">
        <v>73.5</v>
      </c>
      <c r="JQ1590" s="2">
        <v>73.86</v>
      </c>
      <c r="JR1590" s="2">
        <v>74.44</v>
      </c>
      <c r="JS1590" s="2">
        <v>74.94</v>
      </c>
      <c r="JT1590" s="2">
        <v>75.25</v>
      </c>
      <c r="JU1590" s="2">
        <v>75.95</v>
      </c>
      <c r="JV1590" s="2">
        <v>76.44</v>
      </c>
      <c r="KA1590" s="2">
        <v>76.95999999999999</v>
      </c>
      <c r="KB1590" s="2">
        <v>76.87</v>
      </c>
      <c r="KC1590" s="2">
        <v>77.37</v>
      </c>
      <c r="KD1590" s="2">
        <v>77.48</v>
      </c>
      <c r="KQ1590" s="2">
        <v>77.7</v>
      </c>
      <c r="KR1590" s="2">
        <v>78.03</v>
      </c>
      <c r="KS1590" s="2">
        <v>78.43000000000001</v>
      </c>
      <c r="KT1590" s="2">
        <v>78.66</v>
      </c>
      <c r="LG1590" s="2">
        <v>78.53</v>
      </c>
      <c r="LH1590" s="2">
        <v>78.69</v>
      </c>
      <c r="LI1590" s="2">
        <v>78.86</v>
      </c>
      <c r="LJ1590" s="2">
        <v>79.2</v>
      </c>
      <c r="LW1590" s="2">
        <v>79.73999999999999</v>
      </c>
      <c r="LX1590" s="2">
        <v>80.05</v>
      </c>
      <c r="LY1590" s="2">
        <v>80.06999999999999</v>
      </c>
      <c r="LZ1590" s="2">
        <v>80.18000000000001</v>
      </c>
      <c r="MM1590" s="2">
        <v>80.2</v>
      </c>
      <c r="MN1590" s="2">
        <v>80.53</v>
      </c>
      <c r="MO1590" s="2">
        <v>80.95</v>
      </c>
      <c r="MP1590" s="2">
        <v>81.92</v>
      </c>
      <c r="NC1590" s="2">
        <v>82.39</v>
      </c>
      <c r="ND1590" s="2">
        <v>83.22</v>
      </c>
      <c r="NE1590" s="2">
        <v>84.37</v>
      </c>
      <c r="NF1590" s="2">
        <v>86.09</v>
      </c>
      <c r="NS1590" s="2">
        <v>87.72</v>
      </c>
      <c r="NT1590" s="2">
        <v>90.36</v>
      </c>
      <c r="NU1590" s="2">
        <v>91.54000000000001</v>
      </c>
      <c r="NV1590" s="2">
        <v>93.09999999999999</v>
      </c>
      <c r="OI1590" s="2">
        <v>94.94</v>
      </c>
      <c r="OJ1590" s="2">
        <v>96.13</v>
      </c>
      <c r="OK1590" s="2">
        <v>97.29000000000001</v>
      </c>
      <c r="OL1590" s="2">
        <v>98.06999999999999</v>
      </c>
      <c r="OY1590" s="2">
        <v>98.61</v>
      </c>
      <c r="OZ1590" s="2">
        <v>99.09</v>
      </c>
      <c r="PA1590" s="2">
        <v>99.84999999999999</v>
      </c>
      <c r="PB1590" s="2">
        <v>100.43</v>
      </c>
      <c r="PJ1590" s="2">
        <v>101.45</v>
      </c>
      <c r="PK1590" s="2">
        <v>102.38</v>
      </c>
    </row>
    <row r="1591">
      <c r="A1591" t="inlineStr">
        <is>
          <t>A3602833C</t>
        </is>
      </c>
      <c r="B1591" t="inlineStr">
        <is>
          <t>Index Numbers ;  Insurance ;  Australia ;</t>
        </is>
      </c>
      <c r="C1591" t="inlineStr">
        <is>
          <t>Quarter</t>
        </is>
      </c>
      <c r="D1591" t="inlineStr">
        <is>
          <t>Index Numbers</t>
        </is>
      </c>
      <c r="E1591" t="inlineStr">
        <is>
          <t>Original</t>
        </is>
      </c>
      <c r="F1591" t="inlineStr">
        <is>
          <t>6401018.xlsx</t>
        </is>
      </c>
      <c r="G1591" t="inlineStr">
        <is>
          <t>1989Q3</t>
        </is>
      </c>
      <c r="H1591" t="inlineStr">
        <is>
          <t>2026Q2</t>
        </is>
      </c>
      <c r="FQ1591" s="2">
        <v>14.14</v>
      </c>
      <c r="FR1591" s="2">
        <v>14.28</v>
      </c>
      <c r="FS1591" s="2">
        <v>14.44</v>
      </c>
      <c r="FT1591" s="2">
        <v>14.61</v>
      </c>
      <c r="FU1591" s="2">
        <v>15.13</v>
      </c>
      <c r="FV1591" s="2">
        <v>15.27</v>
      </c>
      <c r="FW1591" s="2">
        <v>15.37</v>
      </c>
      <c r="FX1591" s="2">
        <v>15.63</v>
      </c>
      <c r="FY1591" s="2">
        <v>15.14</v>
      </c>
      <c r="FZ1591" s="2">
        <v>15.96</v>
      </c>
      <c r="GA1591" s="2">
        <v>15.98</v>
      </c>
      <c r="GB1591" s="2">
        <v>15.98</v>
      </c>
      <c r="GC1591" s="2">
        <v>16.06</v>
      </c>
      <c r="GD1591" s="2">
        <v>16.03</v>
      </c>
      <c r="GE1591" s="2">
        <v>15.95</v>
      </c>
      <c r="GF1591" s="2">
        <v>16</v>
      </c>
      <c r="GG1591" s="2">
        <v>16.22</v>
      </c>
      <c r="GH1591" s="2">
        <v>16.36</v>
      </c>
      <c r="GI1591" s="2">
        <v>16.75</v>
      </c>
      <c r="GJ1591" s="2">
        <v>17.02</v>
      </c>
      <c r="GK1591" s="2">
        <v>17.48</v>
      </c>
      <c r="GL1591" s="2">
        <v>17.61</v>
      </c>
      <c r="GM1591" s="2">
        <v>17.79</v>
      </c>
      <c r="GN1591" s="2">
        <v>17.99</v>
      </c>
      <c r="GO1591" s="2">
        <v>18.68</v>
      </c>
      <c r="GP1591" s="2">
        <v>19.17</v>
      </c>
      <c r="GQ1591" s="2">
        <v>19.37</v>
      </c>
      <c r="GR1591" s="2">
        <v>19.5</v>
      </c>
      <c r="GS1591" s="2">
        <v>19.74</v>
      </c>
      <c r="GT1591" s="2">
        <v>20.04</v>
      </c>
      <c r="GU1591" s="2">
        <v>20.4</v>
      </c>
      <c r="GV1591" s="2">
        <v>20.66</v>
      </c>
      <c r="GW1591" s="2">
        <v>20.93</v>
      </c>
      <c r="GX1591" s="2">
        <v>21.1</v>
      </c>
      <c r="GY1591" s="2">
        <v>21.21</v>
      </c>
      <c r="GZ1591" s="2">
        <v>21.36</v>
      </c>
      <c r="HA1591" s="2">
        <v>21.84</v>
      </c>
      <c r="HB1591" s="2">
        <v>22.24</v>
      </c>
      <c r="HC1591" s="2">
        <v>22.1</v>
      </c>
      <c r="HD1591" s="2">
        <v>22.18</v>
      </c>
      <c r="HE1591" s="2">
        <v>22.99</v>
      </c>
      <c r="HF1591" s="2">
        <v>24.45</v>
      </c>
      <c r="HG1591" s="2">
        <v>26.45</v>
      </c>
      <c r="HH1591" s="2">
        <v>28.99</v>
      </c>
      <c r="HI1591" s="2">
        <v>30.45</v>
      </c>
      <c r="HJ1591" s="2">
        <v>30.7</v>
      </c>
      <c r="HK1591" s="2">
        <v>31.24</v>
      </c>
      <c r="HL1591" s="2">
        <v>31.74</v>
      </c>
      <c r="HM1591" s="2">
        <v>32.6</v>
      </c>
      <c r="HN1591" s="2">
        <v>32.55</v>
      </c>
      <c r="HO1591" s="2">
        <v>33.41</v>
      </c>
      <c r="HP1591" s="2">
        <v>33.59</v>
      </c>
      <c r="HQ1591" s="2">
        <v>34.03</v>
      </c>
      <c r="HR1591" s="2">
        <v>34.12</v>
      </c>
      <c r="HS1591" s="2">
        <v>34.1</v>
      </c>
      <c r="HT1591" s="2">
        <v>34.07</v>
      </c>
      <c r="HU1591" s="2">
        <v>34.59</v>
      </c>
      <c r="HV1591" s="2">
        <v>34.56</v>
      </c>
      <c r="HW1591" s="2">
        <v>34.87</v>
      </c>
      <c r="HX1591" s="2">
        <v>34.7</v>
      </c>
      <c r="HY1591" s="2">
        <v>35.08</v>
      </c>
      <c r="HZ1591" s="2">
        <v>35.11</v>
      </c>
      <c r="IA1591" s="2">
        <v>35.32</v>
      </c>
      <c r="IB1591" s="2">
        <v>35.71</v>
      </c>
      <c r="IC1591" s="2">
        <v>36.14</v>
      </c>
      <c r="ID1591" s="2">
        <v>36.45</v>
      </c>
      <c r="IE1591" s="2">
        <v>36.72</v>
      </c>
      <c r="IF1591" s="2">
        <v>37.04</v>
      </c>
      <c r="IG1591" s="2">
        <v>37.84</v>
      </c>
      <c r="IH1591" s="2">
        <v>37.63</v>
      </c>
      <c r="II1591" s="2">
        <v>37.6</v>
      </c>
      <c r="IJ1591" s="2">
        <v>37.9</v>
      </c>
      <c r="IK1591" s="2">
        <v>38.27</v>
      </c>
      <c r="IL1591" s="2">
        <v>38.73</v>
      </c>
      <c r="IM1591" s="2">
        <v>39.55</v>
      </c>
      <c r="IN1591" s="2">
        <v>40.54</v>
      </c>
      <c r="IO1591" s="2">
        <v>41.73</v>
      </c>
      <c r="IP1591" s="2">
        <v>42.42</v>
      </c>
      <c r="IQ1591" s="2">
        <v>43.61</v>
      </c>
      <c r="IR1591" s="2">
        <v>44.18</v>
      </c>
      <c r="IS1591" s="2">
        <v>45.4</v>
      </c>
      <c r="IT1591" s="2">
        <v>45.97</v>
      </c>
      <c r="IU1591" s="2">
        <v>46.72</v>
      </c>
      <c r="IV1591" s="2">
        <v>46.47</v>
      </c>
      <c r="IW1591" s="2">
        <v>47.33</v>
      </c>
      <c r="IX1591" s="2">
        <v>47.59</v>
      </c>
      <c r="IY1591" s="2">
        <v>48.14</v>
      </c>
      <c r="IZ1591" s="2">
        <v>48.93</v>
      </c>
      <c r="JA1591" s="2">
        <v>50.32</v>
      </c>
      <c r="JB1591" s="2">
        <v>50.99</v>
      </c>
      <c r="JC1591" s="2">
        <v>51.67</v>
      </c>
      <c r="JD1591" s="2">
        <v>52.34</v>
      </c>
      <c r="JE1591" s="2">
        <v>53.74</v>
      </c>
      <c r="JF1591" s="2">
        <v>55.28</v>
      </c>
      <c r="JG1591" s="2">
        <v>56.34</v>
      </c>
      <c r="JH1591" s="2">
        <v>56.31</v>
      </c>
      <c r="JI1591" s="2">
        <v>55.9</v>
      </c>
      <c r="JJ1591" s="2">
        <v>55.86</v>
      </c>
      <c r="JK1591" s="2">
        <v>55.98</v>
      </c>
      <c r="JL1591" s="2">
        <v>55.29</v>
      </c>
      <c r="JM1591" s="2">
        <v>55.68</v>
      </c>
      <c r="JN1591" s="2">
        <v>56.39</v>
      </c>
      <c r="JO1591" s="2">
        <v>56.62</v>
      </c>
      <c r="JP1591" s="2">
        <v>56.77</v>
      </c>
      <c r="JQ1591" s="2">
        <v>57.4</v>
      </c>
      <c r="JR1591" s="2">
        <v>58.56</v>
      </c>
      <c r="JS1591" s="2">
        <v>59.56</v>
      </c>
      <c r="JT1591" s="2">
        <v>60.34</v>
      </c>
      <c r="JU1591" s="2">
        <v>61.83</v>
      </c>
      <c r="JV1591" s="2">
        <v>63.09</v>
      </c>
      <c r="KA1591" s="2">
        <v>63.6</v>
      </c>
      <c r="KB1591" s="2">
        <v>62.96</v>
      </c>
      <c r="KC1591" s="2">
        <v>64.09</v>
      </c>
      <c r="KD1591" s="2">
        <v>65.27</v>
      </c>
      <c r="KQ1591" s="2">
        <v>65.70999999999999</v>
      </c>
      <c r="KR1591" s="2">
        <v>66.3</v>
      </c>
      <c r="KS1591" s="2">
        <v>66.77</v>
      </c>
      <c r="KT1591" s="2">
        <v>67.20999999999999</v>
      </c>
      <c r="LG1591" s="2">
        <v>66.98</v>
      </c>
      <c r="LH1591" s="2">
        <v>67.02</v>
      </c>
      <c r="LI1591" s="2">
        <v>67.41</v>
      </c>
      <c r="LJ1591" s="2">
        <v>67.66</v>
      </c>
      <c r="LW1591" s="2">
        <v>68.13</v>
      </c>
      <c r="LX1591" s="2">
        <v>68.64</v>
      </c>
      <c r="LY1591" s="2">
        <v>68.98</v>
      </c>
      <c r="LZ1591" s="2">
        <v>69.45</v>
      </c>
      <c r="MM1591" s="2">
        <v>69.7</v>
      </c>
      <c r="MN1591" s="2">
        <v>70.61</v>
      </c>
      <c r="MO1591" s="2">
        <v>71.48999999999999</v>
      </c>
      <c r="MP1591" s="2">
        <v>71.84</v>
      </c>
      <c r="NC1591" s="2">
        <v>72.63</v>
      </c>
      <c r="ND1591" s="2">
        <v>72.86</v>
      </c>
      <c r="NE1591" s="2">
        <v>74.5</v>
      </c>
      <c r="NF1591" s="2">
        <v>76.3</v>
      </c>
      <c r="NS1591" s="2">
        <v>79</v>
      </c>
      <c r="NT1591" s="2">
        <v>83.13</v>
      </c>
      <c r="NU1591" s="2">
        <v>85.44</v>
      </c>
      <c r="NV1591" s="2">
        <v>88.72</v>
      </c>
      <c r="OI1591" s="2">
        <v>91.98999999999999</v>
      </c>
      <c r="OJ1591" s="2">
        <v>94.79000000000001</v>
      </c>
      <c r="OK1591" s="2">
        <v>97.44</v>
      </c>
      <c r="OL1591" s="2">
        <v>98.45999999999999</v>
      </c>
      <c r="OY1591" s="2">
        <v>99.01000000000001</v>
      </c>
      <c r="OZ1591" s="2">
        <v>98.48999999999999</v>
      </c>
      <c r="PA1591" s="2">
        <v>100.01</v>
      </c>
      <c r="PB1591" s="2">
        <v>101.07</v>
      </c>
      <c r="PJ1591" s="2">
        <v>103.32</v>
      </c>
      <c r="PK1591" s="2">
        <v>104.42</v>
      </c>
    </row>
    <row r="1592">
      <c r="A1592" t="inlineStr">
        <is>
          <t>A3602878J</t>
        </is>
      </c>
      <c r="B1592" t="inlineStr">
        <is>
          <t>Index Numbers ;  Insurance ;  Australia ;</t>
        </is>
      </c>
      <c r="C1592" t="inlineStr">
        <is>
          <t>Quarter</t>
        </is>
      </c>
      <c r="D1592" t="inlineStr">
        <is>
          <t>Index Numbers</t>
        </is>
      </c>
      <c r="E1592" t="inlineStr">
        <is>
          <t>Original</t>
        </is>
      </c>
      <c r="F1592" t="inlineStr">
        <is>
          <t>6401018.xlsx</t>
        </is>
      </c>
      <c r="G1592" t="inlineStr">
        <is>
          <t>1989Q3</t>
        </is>
      </c>
      <c r="H1592" t="inlineStr">
        <is>
          <t>2026Q2</t>
        </is>
      </c>
      <c r="FQ1592" s="2">
        <v>14.14</v>
      </c>
      <c r="FR1592" s="2">
        <v>14.28</v>
      </c>
      <c r="FS1592" s="2">
        <v>14.44</v>
      </c>
      <c r="FT1592" s="2">
        <v>14.61</v>
      </c>
      <c r="FU1592" s="2">
        <v>15.13</v>
      </c>
      <c r="FV1592" s="2">
        <v>15.27</v>
      </c>
      <c r="FW1592" s="2">
        <v>15.37</v>
      </c>
      <c r="FX1592" s="2">
        <v>15.63</v>
      </c>
      <c r="FY1592" s="2">
        <v>15.14</v>
      </c>
      <c r="FZ1592" s="2">
        <v>15.96</v>
      </c>
      <c r="GA1592" s="2">
        <v>15.98</v>
      </c>
      <c r="GB1592" s="2">
        <v>15.98</v>
      </c>
      <c r="GC1592" s="2">
        <v>16.06</v>
      </c>
      <c r="GD1592" s="2">
        <v>16.03</v>
      </c>
      <c r="GE1592" s="2">
        <v>15.95</v>
      </c>
      <c r="GF1592" s="2">
        <v>16</v>
      </c>
      <c r="GG1592" s="2">
        <v>16.22</v>
      </c>
      <c r="GH1592" s="2">
        <v>16.36</v>
      </c>
      <c r="GI1592" s="2">
        <v>16.75</v>
      </c>
      <c r="GJ1592" s="2">
        <v>17.02</v>
      </c>
      <c r="GK1592" s="2">
        <v>17.48</v>
      </c>
      <c r="GL1592" s="2">
        <v>17.61</v>
      </c>
      <c r="GM1592" s="2">
        <v>17.79</v>
      </c>
      <c r="GN1592" s="2">
        <v>17.99</v>
      </c>
      <c r="GO1592" s="2">
        <v>18.68</v>
      </c>
      <c r="GP1592" s="2">
        <v>19.17</v>
      </c>
      <c r="GQ1592" s="2">
        <v>19.37</v>
      </c>
      <c r="GR1592" s="2">
        <v>19.5</v>
      </c>
      <c r="GS1592" s="2">
        <v>19.74</v>
      </c>
      <c r="GT1592" s="2">
        <v>20.04</v>
      </c>
      <c r="GU1592" s="2">
        <v>20.4</v>
      </c>
      <c r="GV1592" s="2">
        <v>20.66</v>
      </c>
      <c r="GW1592" s="2">
        <v>20.93</v>
      </c>
      <c r="GX1592" s="2">
        <v>21.1</v>
      </c>
      <c r="GY1592" s="2">
        <v>21.21</v>
      </c>
      <c r="GZ1592" s="2">
        <v>21.36</v>
      </c>
      <c r="HA1592" s="2">
        <v>21.84</v>
      </c>
      <c r="HB1592" s="2">
        <v>22.24</v>
      </c>
      <c r="HC1592" s="2">
        <v>22.1</v>
      </c>
      <c r="HD1592" s="2">
        <v>22.18</v>
      </c>
      <c r="HE1592" s="2">
        <v>22.99</v>
      </c>
      <c r="HF1592" s="2">
        <v>24.45</v>
      </c>
      <c r="HG1592" s="2">
        <v>26.45</v>
      </c>
      <c r="HH1592" s="2">
        <v>28.99</v>
      </c>
      <c r="HI1592" s="2">
        <v>30.45</v>
      </c>
      <c r="HJ1592" s="2">
        <v>30.7</v>
      </c>
      <c r="HK1592" s="2">
        <v>31.24</v>
      </c>
      <c r="HL1592" s="2">
        <v>31.74</v>
      </c>
      <c r="HM1592" s="2">
        <v>32.6</v>
      </c>
      <c r="HN1592" s="2">
        <v>32.55</v>
      </c>
      <c r="HO1592" s="2">
        <v>33.41</v>
      </c>
      <c r="HP1592" s="2">
        <v>33.59</v>
      </c>
      <c r="HQ1592" s="2">
        <v>34.03</v>
      </c>
      <c r="HR1592" s="2">
        <v>34.12</v>
      </c>
      <c r="HS1592" s="2">
        <v>34.1</v>
      </c>
      <c r="HT1592" s="2">
        <v>34.07</v>
      </c>
      <c r="HU1592" s="2">
        <v>34.59</v>
      </c>
      <c r="HV1592" s="2">
        <v>34.56</v>
      </c>
      <c r="HW1592" s="2">
        <v>34.87</v>
      </c>
      <c r="HX1592" s="2">
        <v>34.7</v>
      </c>
      <c r="HY1592" s="2">
        <v>35.08</v>
      </c>
      <c r="HZ1592" s="2">
        <v>35.11</v>
      </c>
      <c r="IA1592" s="2">
        <v>35.32</v>
      </c>
      <c r="IB1592" s="2">
        <v>35.71</v>
      </c>
      <c r="IC1592" s="2">
        <v>36.14</v>
      </c>
      <c r="ID1592" s="2">
        <v>36.45</v>
      </c>
      <c r="IE1592" s="2">
        <v>36.72</v>
      </c>
      <c r="IF1592" s="2">
        <v>37.04</v>
      </c>
      <c r="IG1592" s="2">
        <v>37.84</v>
      </c>
      <c r="IH1592" s="2">
        <v>37.63</v>
      </c>
      <c r="II1592" s="2">
        <v>37.6</v>
      </c>
      <c r="IJ1592" s="2">
        <v>37.9</v>
      </c>
      <c r="IK1592" s="2">
        <v>38.27</v>
      </c>
      <c r="IL1592" s="2">
        <v>38.73</v>
      </c>
      <c r="IM1592" s="2">
        <v>39.55</v>
      </c>
      <c r="IN1592" s="2">
        <v>40.54</v>
      </c>
      <c r="IO1592" s="2">
        <v>41.73</v>
      </c>
      <c r="IP1592" s="2">
        <v>42.42</v>
      </c>
      <c r="IQ1592" s="2">
        <v>43.61</v>
      </c>
      <c r="IR1592" s="2">
        <v>44.18</v>
      </c>
      <c r="IS1592" s="2">
        <v>45.4</v>
      </c>
      <c r="IT1592" s="2">
        <v>45.97</v>
      </c>
      <c r="IU1592" s="2">
        <v>46.72</v>
      </c>
      <c r="IV1592" s="2">
        <v>46.47</v>
      </c>
      <c r="IW1592" s="2">
        <v>47.33</v>
      </c>
      <c r="IX1592" s="2">
        <v>47.59</v>
      </c>
      <c r="IY1592" s="2">
        <v>48.14</v>
      </c>
      <c r="IZ1592" s="2">
        <v>48.93</v>
      </c>
      <c r="JA1592" s="2">
        <v>50.32</v>
      </c>
      <c r="JB1592" s="2">
        <v>50.99</v>
      </c>
      <c r="JC1592" s="2">
        <v>51.67</v>
      </c>
      <c r="JD1592" s="2">
        <v>52.34</v>
      </c>
      <c r="JE1592" s="2">
        <v>53.74</v>
      </c>
      <c r="JF1592" s="2">
        <v>55.28</v>
      </c>
      <c r="JG1592" s="2">
        <v>56.34</v>
      </c>
      <c r="JH1592" s="2">
        <v>56.31</v>
      </c>
      <c r="JI1592" s="2">
        <v>55.9</v>
      </c>
      <c r="JJ1592" s="2">
        <v>55.86</v>
      </c>
      <c r="JK1592" s="2">
        <v>55.98</v>
      </c>
      <c r="JL1592" s="2">
        <v>55.29</v>
      </c>
      <c r="JM1592" s="2">
        <v>55.68</v>
      </c>
      <c r="JN1592" s="2">
        <v>56.39</v>
      </c>
      <c r="JO1592" s="2">
        <v>56.62</v>
      </c>
      <c r="JP1592" s="2">
        <v>56.77</v>
      </c>
      <c r="JQ1592" s="2">
        <v>57.4</v>
      </c>
      <c r="JR1592" s="2">
        <v>58.56</v>
      </c>
      <c r="JS1592" s="2">
        <v>59.56</v>
      </c>
      <c r="JT1592" s="2">
        <v>60.34</v>
      </c>
      <c r="JU1592" s="2">
        <v>61.83</v>
      </c>
      <c r="JV1592" s="2">
        <v>63.09</v>
      </c>
      <c r="KA1592" s="2">
        <v>63.6</v>
      </c>
      <c r="KB1592" s="2">
        <v>62.96</v>
      </c>
      <c r="KC1592" s="2">
        <v>64.09</v>
      </c>
      <c r="KD1592" s="2">
        <v>65.27</v>
      </c>
      <c r="KQ1592" s="2">
        <v>65.70999999999999</v>
      </c>
      <c r="KR1592" s="2">
        <v>66.3</v>
      </c>
      <c r="KS1592" s="2">
        <v>66.77</v>
      </c>
      <c r="KT1592" s="2">
        <v>67.20999999999999</v>
      </c>
      <c r="LG1592" s="2">
        <v>66.98</v>
      </c>
      <c r="LH1592" s="2">
        <v>67.02</v>
      </c>
      <c r="LI1592" s="2">
        <v>67.41</v>
      </c>
      <c r="LJ1592" s="2">
        <v>67.66</v>
      </c>
      <c r="LW1592" s="2">
        <v>68.13</v>
      </c>
      <c r="LX1592" s="2">
        <v>68.64</v>
      </c>
      <c r="LY1592" s="2">
        <v>68.98</v>
      </c>
      <c r="LZ1592" s="2">
        <v>69.45</v>
      </c>
      <c r="MM1592" s="2">
        <v>69.7</v>
      </c>
      <c r="MN1592" s="2">
        <v>70.61</v>
      </c>
      <c r="MO1592" s="2">
        <v>71.48999999999999</v>
      </c>
      <c r="MP1592" s="2">
        <v>71.84</v>
      </c>
      <c r="NC1592" s="2">
        <v>72.63</v>
      </c>
      <c r="ND1592" s="2">
        <v>72.86</v>
      </c>
      <c r="NE1592" s="2">
        <v>74.5</v>
      </c>
      <c r="NF1592" s="2">
        <v>76.3</v>
      </c>
      <c r="NS1592" s="2">
        <v>79</v>
      </c>
      <c r="NT1592" s="2">
        <v>83.13</v>
      </c>
      <c r="NU1592" s="2">
        <v>85.44</v>
      </c>
      <c r="NV1592" s="2">
        <v>88.72</v>
      </c>
      <c r="OI1592" s="2">
        <v>91.98999999999999</v>
      </c>
      <c r="OJ1592" s="2">
        <v>94.79000000000001</v>
      </c>
      <c r="OK1592" s="2">
        <v>97.44</v>
      </c>
      <c r="OL1592" s="2">
        <v>98.45999999999999</v>
      </c>
      <c r="OY1592" s="2">
        <v>99.01000000000001</v>
      </c>
      <c r="OZ1592" s="2">
        <v>98.48999999999999</v>
      </c>
      <c r="PA1592" s="2">
        <v>100.01</v>
      </c>
      <c r="PB1592" s="2">
        <v>101.07</v>
      </c>
      <c r="PJ1592" s="2">
        <v>103.32</v>
      </c>
      <c r="PK1592" s="2">
        <v>104.42</v>
      </c>
    </row>
    <row r="1593">
      <c r="A1593" t="inlineStr">
        <is>
          <t>A3604453L</t>
        </is>
      </c>
      <c r="B1593" t="inlineStr">
        <is>
          <t>Index Numbers ;  Financial services ;  Australia ;</t>
        </is>
      </c>
      <c r="C1593" t="inlineStr">
        <is>
          <t>Quarter</t>
        </is>
      </c>
      <c r="D1593" t="inlineStr">
        <is>
          <t>Index Numbers</t>
        </is>
      </c>
      <c r="E1593" t="inlineStr">
        <is>
          <t>Original</t>
        </is>
      </c>
      <c r="F1593" t="inlineStr">
        <is>
          <t>6401018.xlsx</t>
        </is>
      </c>
      <c r="G1593" t="inlineStr">
        <is>
          <t>2011Q2</t>
        </is>
      </c>
      <c r="H1593" t="inlineStr">
        <is>
          <t>2026Q2</t>
        </is>
      </c>
      <c r="IZ1593" s="2">
        <v>75.42</v>
      </c>
      <c r="JA1593" s="2">
        <v>75.29000000000001</v>
      </c>
      <c r="JB1593" s="2">
        <v>75.59</v>
      </c>
      <c r="JC1593" s="2">
        <v>76.2</v>
      </c>
      <c r="JD1593" s="2">
        <v>76.36</v>
      </c>
      <c r="JE1593" s="2">
        <v>75.73</v>
      </c>
      <c r="JF1593" s="2">
        <v>76.45</v>
      </c>
      <c r="JG1593" s="2">
        <v>76.47</v>
      </c>
      <c r="JH1593" s="2">
        <v>76.84999999999999</v>
      </c>
      <c r="JI1593" s="2">
        <v>77.56</v>
      </c>
      <c r="JJ1593" s="2">
        <v>77.76000000000001</v>
      </c>
      <c r="JK1593" s="2">
        <v>78.11</v>
      </c>
      <c r="JL1593" s="2">
        <v>78.56</v>
      </c>
      <c r="JM1593" s="2">
        <v>78.92</v>
      </c>
      <c r="JN1593" s="2">
        <v>79.70999999999999</v>
      </c>
      <c r="JO1593" s="2">
        <v>79.72</v>
      </c>
      <c r="JP1593" s="2">
        <v>79.98999999999999</v>
      </c>
      <c r="JQ1593" s="2">
        <v>80.18000000000001</v>
      </c>
      <c r="JR1593" s="2">
        <v>80.39</v>
      </c>
      <c r="JS1593" s="2">
        <v>80.56999999999999</v>
      </c>
      <c r="JT1593" s="2">
        <v>80.59</v>
      </c>
      <c r="JU1593" s="2">
        <v>80.8</v>
      </c>
      <c r="JV1593" s="2">
        <v>80.81999999999999</v>
      </c>
      <c r="KA1593" s="2">
        <v>81.31999999999999</v>
      </c>
      <c r="KB1593" s="2">
        <v>81.56</v>
      </c>
      <c r="KC1593" s="2">
        <v>81.66</v>
      </c>
      <c r="KD1593" s="2">
        <v>81.42</v>
      </c>
      <c r="KQ1593" s="2">
        <v>81.56999999999999</v>
      </c>
      <c r="KR1593" s="2">
        <v>81.81999999999999</v>
      </c>
      <c r="KS1593" s="2">
        <v>82.19</v>
      </c>
      <c r="KT1593" s="2">
        <v>82.34</v>
      </c>
      <c r="LG1593" s="2">
        <v>82.25</v>
      </c>
      <c r="LH1593" s="2">
        <v>82.45</v>
      </c>
      <c r="LI1593" s="2">
        <v>82.55</v>
      </c>
      <c r="LJ1593" s="2">
        <v>82.92</v>
      </c>
      <c r="LW1593" s="2">
        <v>83.47</v>
      </c>
      <c r="LX1593" s="2">
        <v>83.70999999999999</v>
      </c>
      <c r="LY1593" s="2">
        <v>83.63</v>
      </c>
      <c r="LZ1593" s="2">
        <v>83.59999999999999</v>
      </c>
      <c r="MM1593" s="2">
        <v>83.52</v>
      </c>
      <c r="MN1593" s="2">
        <v>83.64</v>
      </c>
      <c r="MO1593" s="2">
        <v>83.87</v>
      </c>
      <c r="MP1593" s="2">
        <v>85.04000000000001</v>
      </c>
      <c r="NC1593" s="2">
        <v>85.40000000000001</v>
      </c>
      <c r="ND1593" s="2">
        <v>86.42</v>
      </c>
      <c r="NE1593" s="2">
        <v>87.41</v>
      </c>
      <c r="NF1593" s="2">
        <v>89.11</v>
      </c>
      <c r="NS1593" s="2">
        <v>90.42</v>
      </c>
      <c r="NT1593" s="2">
        <v>92.59</v>
      </c>
      <c r="NU1593" s="2">
        <v>93.42</v>
      </c>
      <c r="NV1593" s="2">
        <v>94.45999999999999</v>
      </c>
      <c r="OI1593" s="2">
        <v>95.84</v>
      </c>
      <c r="OJ1593" s="2">
        <v>96.54000000000001</v>
      </c>
      <c r="OK1593" s="2">
        <v>97.23999999999999</v>
      </c>
      <c r="OL1593" s="2">
        <v>97.94</v>
      </c>
      <c r="OY1593" s="2">
        <v>98.48</v>
      </c>
      <c r="OZ1593" s="2">
        <v>99.29000000000001</v>
      </c>
      <c r="PA1593" s="2">
        <v>99.79000000000001</v>
      </c>
      <c r="PB1593" s="2">
        <v>100.22</v>
      </c>
      <c r="PJ1593" s="2">
        <v>100.85</v>
      </c>
      <c r="PK1593" s="2">
        <v>101.72</v>
      </c>
    </row>
    <row r="1594">
      <c r="A1594" t="inlineStr">
        <is>
          <t>A3604448V</t>
        </is>
      </c>
      <c r="B1594" t="inlineStr">
        <is>
          <t>Index Numbers ;  Deposit and loan facilities (direct charges) ;  Australia ;</t>
        </is>
      </c>
      <c r="C1594" t="inlineStr">
        <is>
          <t>Quarter</t>
        </is>
      </c>
      <c r="D1594" t="inlineStr">
        <is>
          <t>Index Numbers</t>
        </is>
      </c>
      <c r="E1594" t="inlineStr">
        <is>
          <t>Original</t>
        </is>
      </c>
      <c r="F1594" t="inlineStr">
        <is>
          <t>6401018.xlsx</t>
        </is>
      </c>
      <c r="G1594" t="inlineStr">
        <is>
          <t>2011Q2</t>
        </is>
      </c>
      <c r="H1594" t="inlineStr">
        <is>
          <t>2026Q2</t>
        </is>
      </c>
      <c r="IZ1594" s="2">
        <v>93.93000000000001</v>
      </c>
      <c r="JA1594" s="2">
        <v>93.5</v>
      </c>
      <c r="JB1594" s="2">
        <v>93.54000000000001</v>
      </c>
      <c r="JC1594" s="2">
        <v>93.84</v>
      </c>
      <c r="JD1594" s="2">
        <v>94.06</v>
      </c>
      <c r="JE1594" s="2">
        <v>93.66</v>
      </c>
      <c r="JF1594" s="2">
        <v>93.94</v>
      </c>
      <c r="JG1594" s="2">
        <v>93.8</v>
      </c>
      <c r="JH1594" s="2">
        <v>94.12</v>
      </c>
      <c r="JI1594" s="2">
        <v>93.91</v>
      </c>
      <c r="JJ1594" s="2">
        <v>93.62</v>
      </c>
      <c r="JK1594" s="2">
        <v>94.33</v>
      </c>
      <c r="JL1594" s="2">
        <v>94.78</v>
      </c>
      <c r="JM1594" s="2">
        <v>95.06</v>
      </c>
      <c r="JN1594" s="2">
        <v>95.34</v>
      </c>
      <c r="JO1594" s="2">
        <v>95.16</v>
      </c>
      <c r="JP1594" s="2">
        <v>94.84</v>
      </c>
      <c r="JQ1594" s="2">
        <v>94.95</v>
      </c>
      <c r="JR1594" s="2">
        <v>95</v>
      </c>
      <c r="JS1594" s="2">
        <v>95.06</v>
      </c>
      <c r="JT1594" s="2">
        <v>94.79000000000001</v>
      </c>
      <c r="JU1594" s="2">
        <v>95.33</v>
      </c>
      <c r="JV1594" s="2">
        <v>94.86</v>
      </c>
      <c r="KA1594" s="2">
        <v>95.62</v>
      </c>
      <c r="KB1594" s="2">
        <v>96.12</v>
      </c>
      <c r="KC1594" s="2">
        <v>96.33</v>
      </c>
      <c r="KD1594" s="2">
        <v>93.44</v>
      </c>
      <c r="KQ1594" s="2">
        <v>92.95</v>
      </c>
      <c r="KR1594" s="2">
        <v>93.01000000000001</v>
      </c>
      <c r="KS1594" s="2">
        <v>93.08</v>
      </c>
      <c r="KT1594" s="2">
        <v>93.15000000000001</v>
      </c>
      <c r="LG1594" s="2">
        <v>93.34</v>
      </c>
      <c r="LH1594" s="2">
        <v>92.77</v>
      </c>
      <c r="LI1594" s="2">
        <v>92.09</v>
      </c>
      <c r="LJ1594" s="2">
        <v>92.81999999999999</v>
      </c>
      <c r="LW1594" s="2">
        <v>93.7</v>
      </c>
      <c r="LX1594" s="2">
        <v>92.36</v>
      </c>
      <c r="LY1594" s="2">
        <v>92.59</v>
      </c>
      <c r="LZ1594" s="2">
        <v>93.25</v>
      </c>
      <c r="MM1594" s="2">
        <v>93.06999999999999</v>
      </c>
      <c r="MN1594" s="2">
        <v>92.14</v>
      </c>
      <c r="MO1594" s="2">
        <v>89.91</v>
      </c>
      <c r="MP1594" s="2">
        <v>90.37</v>
      </c>
      <c r="NC1594" s="2">
        <v>90.52</v>
      </c>
      <c r="ND1594" s="2">
        <v>89.12</v>
      </c>
      <c r="NE1594" s="2">
        <v>88.81999999999999</v>
      </c>
      <c r="NF1594" s="2">
        <v>89.47</v>
      </c>
      <c r="NS1594" s="2">
        <v>89.77</v>
      </c>
      <c r="NT1594" s="2">
        <v>91.03</v>
      </c>
      <c r="NU1594" s="2">
        <v>92.70999999999999</v>
      </c>
      <c r="NV1594" s="2">
        <v>94.95</v>
      </c>
      <c r="OI1594" s="2">
        <v>95.98</v>
      </c>
      <c r="OJ1594" s="2">
        <v>96.68000000000001</v>
      </c>
      <c r="OK1594" s="2">
        <v>95.7</v>
      </c>
      <c r="OL1594" s="2">
        <v>96.33</v>
      </c>
      <c r="OY1594" s="2">
        <v>96.93000000000001</v>
      </c>
      <c r="OZ1594" s="2">
        <v>99.48</v>
      </c>
      <c r="PA1594" s="2">
        <v>100.61</v>
      </c>
      <c r="PB1594" s="2">
        <v>100.37</v>
      </c>
      <c r="PJ1594" s="2">
        <v>100.28</v>
      </c>
      <c r="PK1594" s="2">
        <v>101.12</v>
      </c>
    </row>
    <row r="1595">
      <c r="A1595" t="inlineStr">
        <is>
          <t>A2332776R</t>
        </is>
      </c>
      <c r="B1595" t="inlineStr">
        <is>
          <t>Index Numbers ;  Other financial services ;  Australia ;</t>
        </is>
      </c>
      <c r="C1595" t="inlineStr">
        <is>
          <t>Quarter</t>
        </is>
      </c>
      <c r="D1595" t="inlineStr">
        <is>
          <t>Index Numbers</t>
        </is>
      </c>
      <c r="E1595" t="inlineStr">
        <is>
          <t>Original</t>
        </is>
      </c>
      <c r="F1595" t="inlineStr">
        <is>
          <t>6401018.xlsx</t>
        </is>
      </c>
      <c r="G1595" t="inlineStr">
        <is>
          <t>2005Q2</t>
        </is>
      </c>
      <c r="H1595" t="inlineStr">
        <is>
          <t>2026Q2</t>
        </is>
      </c>
      <c r="IB1595" s="2">
        <v>63.68</v>
      </c>
      <c r="IC1595" s="2">
        <v>64.04000000000001</v>
      </c>
      <c r="ID1595" s="2">
        <v>64.55</v>
      </c>
      <c r="IE1595" s="2">
        <v>64.98999999999999</v>
      </c>
      <c r="IF1595" s="2">
        <v>65.62</v>
      </c>
      <c r="IG1595" s="2">
        <v>66.11</v>
      </c>
      <c r="IH1595" s="2">
        <v>66.63</v>
      </c>
      <c r="II1595" s="2">
        <v>66.84</v>
      </c>
      <c r="IJ1595" s="2">
        <v>67.11</v>
      </c>
      <c r="IK1595" s="2">
        <v>68.63</v>
      </c>
      <c r="IL1595" s="2">
        <v>69.91</v>
      </c>
      <c r="IM1595" s="2">
        <v>71.34999999999999</v>
      </c>
      <c r="IN1595" s="2">
        <v>69.22</v>
      </c>
      <c r="IO1595" s="2">
        <v>69.75</v>
      </c>
      <c r="IP1595" s="2">
        <v>70.52</v>
      </c>
      <c r="IQ1595" s="2">
        <v>70.93000000000001</v>
      </c>
      <c r="IR1595" s="2">
        <v>71.02</v>
      </c>
      <c r="IS1595" s="2">
        <v>69.34999999999999</v>
      </c>
      <c r="IT1595" s="2">
        <v>70.2</v>
      </c>
      <c r="IU1595" s="2">
        <v>70.77</v>
      </c>
      <c r="IV1595" s="2">
        <v>71.31</v>
      </c>
      <c r="IW1595" s="2">
        <v>71.45999999999999</v>
      </c>
      <c r="IX1595" s="2">
        <v>71.54000000000001</v>
      </c>
      <c r="IY1595" s="2">
        <v>72.2</v>
      </c>
      <c r="IZ1595" s="2">
        <v>72.86</v>
      </c>
      <c r="JA1595" s="2">
        <v>72.8</v>
      </c>
      <c r="JB1595" s="2">
        <v>73.16</v>
      </c>
      <c r="JC1595" s="2">
        <v>73.84</v>
      </c>
      <c r="JD1595" s="2">
        <v>73.98999999999999</v>
      </c>
      <c r="JE1595" s="2">
        <v>73.3</v>
      </c>
      <c r="JF1595" s="2">
        <v>74.12</v>
      </c>
      <c r="JG1595" s="2">
        <v>74.18000000000001</v>
      </c>
      <c r="JH1595" s="2">
        <v>74.56999999999999</v>
      </c>
      <c r="JI1595" s="2">
        <v>75.48</v>
      </c>
      <c r="JJ1595" s="2">
        <v>75.78</v>
      </c>
      <c r="JK1595" s="2">
        <v>76.06999999999999</v>
      </c>
      <c r="JL1595" s="2">
        <v>76.52</v>
      </c>
      <c r="JM1595" s="2">
        <v>76.90000000000001</v>
      </c>
      <c r="JN1595" s="2">
        <v>77.8</v>
      </c>
      <c r="JO1595" s="2">
        <v>77.84999999999999</v>
      </c>
      <c r="JP1595" s="2">
        <v>78.23999999999999</v>
      </c>
      <c r="JQ1595" s="2">
        <v>78.45999999999999</v>
      </c>
      <c r="JR1595" s="2">
        <v>78.7</v>
      </c>
      <c r="JS1595" s="2">
        <v>78.91</v>
      </c>
      <c r="JT1595" s="2">
        <v>78.98999999999999</v>
      </c>
      <c r="JU1595" s="2">
        <v>79.13</v>
      </c>
      <c r="JV1595" s="2">
        <v>79.25</v>
      </c>
      <c r="KA1595" s="2">
        <v>79.7</v>
      </c>
      <c r="KB1595" s="2">
        <v>79.90000000000001</v>
      </c>
      <c r="KC1595" s="2">
        <v>79.97</v>
      </c>
      <c r="KD1595" s="2">
        <v>80.06</v>
      </c>
      <c r="KQ1595" s="2">
        <v>80.3</v>
      </c>
      <c r="KR1595" s="2">
        <v>80.56</v>
      </c>
      <c r="KS1595" s="2">
        <v>80.97</v>
      </c>
      <c r="KT1595" s="2">
        <v>81.14</v>
      </c>
      <c r="LG1595" s="2">
        <v>81.01000000000001</v>
      </c>
      <c r="LH1595" s="2">
        <v>81.31</v>
      </c>
      <c r="LI1595" s="2">
        <v>81.51000000000001</v>
      </c>
      <c r="LJ1595" s="2">
        <v>81.83</v>
      </c>
      <c r="LW1595" s="2">
        <v>82.34999999999999</v>
      </c>
      <c r="LX1595" s="2">
        <v>82.77</v>
      </c>
      <c r="LY1595" s="2">
        <v>82.65000000000001</v>
      </c>
      <c r="LZ1595" s="2">
        <v>82.54000000000001</v>
      </c>
      <c r="MM1595" s="2">
        <v>82.48</v>
      </c>
      <c r="MN1595" s="2">
        <v>82.72</v>
      </c>
      <c r="MO1595" s="2">
        <v>83.26000000000001</v>
      </c>
      <c r="MP1595" s="2">
        <v>84.5</v>
      </c>
      <c r="NC1595" s="2">
        <v>84.88</v>
      </c>
      <c r="ND1595" s="2">
        <v>86.15000000000001</v>
      </c>
      <c r="NE1595" s="2">
        <v>87.28</v>
      </c>
      <c r="NF1595" s="2">
        <v>89.08</v>
      </c>
      <c r="NS1595" s="2">
        <v>90.48</v>
      </c>
      <c r="NT1595" s="2">
        <v>92.75</v>
      </c>
      <c r="NU1595" s="2">
        <v>93.48999999999999</v>
      </c>
      <c r="NV1595" s="2">
        <v>94.41</v>
      </c>
      <c r="OI1595" s="2">
        <v>95.84</v>
      </c>
      <c r="OJ1595" s="2">
        <v>96.53</v>
      </c>
      <c r="OK1595" s="2">
        <v>97.41</v>
      </c>
      <c r="OL1595" s="2">
        <v>98.11</v>
      </c>
      <c r="OY1595" s="2">
        <v>98.65000000000001</v>
      </c>
      <c r="OZ1595" s="2">
        <v>99.26000000000001</v>
      </c>
      <c r="PA1595" s="2">
        <v>99.70999999999999</v>
      </c>
      <c r="PB1595" s="2">
        <v>100.21</v>
      </c>
      <c r="PJ1595" s="2">
        <v>100.91</v>
      </c>
      <c r="PK1595" s="2">
        <v>101.78</v>
      </c>
    </row>
    <row r="1596">
      <c r="A1596" t="inlineStr">
        <is>
          <t>A2325850V</t>
        </is>
      </c>
      <c r="B1596" t="inlineStr">
        <is>
          <t>Percentage Change from Previous Period ;  All groups CPI ;  Australia ;</t>
        </is>
      </c>
      <c r="C1596" t="inlineStr">
        <is>
          <t>Quarter</t>
        </is>
      </c>
      <c r="D1596" t="inlineStr">
        <is>
          <t>Percent</t>
        </is>
      </c>
      <c r="E1596" t="inlineStr">
        <is>
          <t>Original</t>
        </is>
      </c>
      <c r="F1596" t="inlineStr">
        <is>
          <t>6401018.xlsx</t>
        </is>
      </c>
      <c r="G1596" t="inlineStr">
        <is>
          <t>1948Q4</t>
        </is>
      </c>
      <c r="H1596" t="inlineStr">
        <is>
          <t>2026Q2</t>
        </is>
      </c>
      <c r="J1596" s="2">
        <v>1.5</v>
      </c>
      <c r="K1596" s="2">
        <v>3</v>
      </c>
      <c r="L1596" s="2">
        <v>1.1</v>
      </c>
      <c r="M1596" s="2">
        <v>2.9</v>
      </c>
      <c r="N1596" s="2">
        <v>1.4</v>
      </c>
      <c r="O1596" s="2">
        <v>1.4</v>
      </c>
      <c r="P1596" s="2">
        <v>4.1</v>
      </c>
      <c r="Q1596" s="2">
        <v>1</v>
      </c>
      <c r="R1596" s="2">
        <v>3.9</v>
      </c>
      <c r="S1596" s="2">
        <v>4.7</v>
      </c>
      <c r="T1596" s="2">
        <v>6</v>
      </c>
      <c r="U1596" s="2">
        <v>5.4</v>
      </c>
      <c r="V1596" s="2">
        <v>7.3</v>
      </c>
      <c r="W1596" s="2">
        <v>3</v>
      </c>
      <c r="X1596" s="2">
        <v>3.7</v>
      </c>
      <c r="Y1596" s="2">
        <v>1.9</v>
      </c>
      <c r="Z1596" s="2">
        <v>0.9</v>
      </c>
      <c r="AA1596" s="2">
        <v>0.9</v>
      </c>
      <c r="AB1596" s="2">
        <v>0.9</v>
      </c>
      <c r="AC1596" s="2">
        <v>0.7</v>
      </c>
      <c r="AD1596" s="2">
        <v>-0.7</v>
      </c>
      <c r="AE1596" s="2">
        <v>0.7</v>
      </c>
      <c r="AF1596" s="2">
        <v>0</v>
      </c>
      <c r="AG1596" s="2">
        <v>0</v>
      </c>
      <c r="AH1596" s="2">
        <v>0</v>
      </c>
      <c r="AI1596" s="2">
        <v>0.9</v>
      </c>
      <c r="AJ1596" s="2">
        <v>0.9</v>
      </c>
      <c r="AK1596" s="2">
        <v>0.9</v>
      </c>
      <c r="AL1596" s="2">
        <v>0.9</v>
      </c>
      <c r="AM1596" s="2">
        <v>0.9</v>
      </c>
      <c r="AN1596" s="2">
        <v>3.2</v>
      </c>
      <c r="AO1596" s="2">
        <v>2.5</v>
      </c>
      <c r="AP1596" s="2">
        <v>0</v>
      </c>
      <c r="AQ1596" s="2">
        <v>0</v>
      </c>
      <c r="AR1596" s="2">
        <v>0.8</v>
      </c>
      <c r="AS1596" s="2">
        <v>0</v>
      </c>
      <c r="AT1596" s="2">
        <v>0</v>
      </c>
      <c r="AU1596" s="2">
        <v>0.8</v>
      </c>
      <c r="AV1596" s="2">
        <v>0</v>
      </c>
      <c r="AW1596" s="2">
        <v>0</v>
      </c>
      <c r="AX1596" s="2">
        <v>0.6</v>
      </c>
      <c r="AY1596" s="2">
        <v>0.8</v>
      </c>
      <c r="AZ1596" s="2">
        <v>0</v>
      </c>
      <c r="BA1596" s="2">
        <v>0.8</v>
      </c>
      <c r="BB1596" s="2">
        <v>0.8</v>
      </c>
      <c r="BC1596" s="2">
        <v>0.8</v>
      </c>
      <c r="BD1596" s="2">
        <v>1.5</v>
      </c>
      <c r="BE1596" s="2">
        <v>1.3</v>
      </c>
      <c r="BF1596" s="2">
        <v>0.7</v>
      </c>
      <c r="BG1596" s="2">
        <v>0.7</v>
      </c>
      <c r="BH1596" s="2">
        <v>0.7</v>
      </c>
      <c r="BI1596" s="2">
        <v>-0.7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0.7</v>
      </c>
      <c r="BR1596" s="2">
        <v>0</v>
      </c>
      <c r="BS1596" s="2">
        <v>0.7</v>
      </c>
      <c r="BT1596" s="2">
        <v>0.7</v>
      </c>
      <c r="BU1596" s="2">
        <v>1.3</v>
      </c>
      <c r="BV1596" s="2">
        <v>0.7</v>
      </c>
      <c r="BW1596" s="2">
        <v>0.7</v>
      </c>
      <c r="BX1596" s="2">
        <v>1.4</v>
      </c>
      <c r="BY1596" s="2">
        <v>0.7</v>
      </c>
      <c r="BZ1596" s="2">
        <v>1.2</v>
      </c>
      <c r="CA1596" s="2">
        <v>0.7</v>
      </c>
      <c r="CB1596" s="2">
        <v>0.7</v>
      </c>
      <c r="CC1596" s="2">
        <v>0</v>
      </c>
      <c r="CD1596" s="2">
        <v>1.3</v>
      </c>
      <c r="CE1596" s="2">
        <v>0.7</v>
      </c>
      <c r="CF1596" s="2">
        <v>0.7</v>
      </c>
      <c r="CG1596" s="2">
        <v>1.8</v>
      </c>
      <c r="CH1596" s="2">
        <v>0</v>
      </c>
      <c r="CI1596" s="2">
        <v>0.6</v>
      </c>
      <c r="CJ1596" s="2">
        <v>0.6</v>
      </c>
      <c r="CK1596" s="2">
        <v>0.6</v>
      </c>
      <c r="CL1596" s="2">
        <v>0.6</v>
      </c>
      <c r="CM1596" s="2">
        <v>1.1</v>
      </c>
      <c r="CN1596" s="2">
        <v>0.6</v>
      </c>
      <c r="CO1596" s="2">
        <v>0.6</v>
      </c>
      <c r="CP1596" s="2">
        <v>0.6</v>
      </c>
      <c r="CQ1596" s="2">
        <v>1.2</v>
      </c>
      <c r="CR1596" s="2">
        <v>1.2</v>
      </c>
      <c r="CS1596" s="2">
        <v>0.4</v>
      </c>
      <c r="CT1596" s="2">
        <v>1.8</v>
      </c>
      <c r="CU1596" s="2">
        <v>1.2</v>
      </c>
      <c r="CV1596" s="2">
        <v>1.6</v>
      </c>
      <c r="CW1596" s="2">
        <v>2.3</v>
      </c>
      <c r="CX1596" s="2">
        <v>2.1</v>
      </c>
      <c r="CY1596" s="2">
        <v>1.1</v>
      </c>
      <c r="CZ1596" s="2">
        <v>1.1</v>
      </c>
      <c r="DA1596" s="2">
        <v>1.5</v>
      </c>
      <c r="DB1596" s="2">
        <v>1</v>
      </c>
      <c r="DC1596" s="2">
        <v>2.1</v>
      </c>
      <c r="DD1596" s="2">
        <v>3.4</v>
      </c>
      <c r="DE1596" s="2">
        <v>3.3</v>
      </c>
      <c r="DF1596" s="2">
        <v>3.7</v>
      </c>
      <c r="DG1596" s="2">
        <v>2.6</v>
      </c>
      <c r="DH1596" s="2">
        <v>4.2</v>
      </c>
      <c r="DI1596" s="2">
        <v>5</v>
      </c>
      <c r="DJ1596" s="2">
        <v>3.5</v>
      </c>
      <c r="DK1596" s="2">
        <v>3.7</v>
      </c>
      <c r="DL1596" s="2">
        <v>3.7</v>
      </c>
      <c r="DM1596" s="2">
        <v>0.7</v>
      </c>
      <c r="DN1596" s="2">
        <v>5.6</v>
      </c>
      <c r="DO1596" s="2">
        <v>2.6</v>
      </c>
      <c r="DP1596" s="2">
        <v>2.6</v>
      </c>
      <c r="DQ1596" s="2">
        <v>2.5</v>
      </c>
      <c r="DR1596" s="2">
        <v>5.9</v>
      </c>
      <c r="DS1596" s="2">
        <v>2.3</v>
      </c>
      <c r="DT1596" s="2">
        <v>2.3</v>
      </c>
      <c r="DU1596" s="2">
        <v>1.9</v>
      </c>
      <c r="DV1596" s="2">
        <v>2.4</v>
      </c>
      <c r="DW1596" s="2">
        <v>1.4</v>
      </c>
      <c r="DX1596" s="2">
        <v>2.1</v>
      </c>
      <c r="DY1596" s="2">
        <v>1.8</v>
      </c>
      <c r="DZ1596" s="2">
        <v>2.3</v>
      </c>
      <c r="EA1596" s="2">
        <v>1.7</v>
      </c>
      <c r="EB1596" s="2">
        <v>2.6</v>
      </c>
      <c r="EC1596" s="2">
        <v>2.4</v>
      </c>
      <c r="ED1596" s="2">
        <v>3</v>
      </c>
      <c r="EE1596" s="2">
        <v>2.3</v>
      </c>
      <c r="EF1596" s="2">
        <v>2.8</v>
      </c>
      <c r="EG1596" s="2">
        <v>1.7</v>
      </c>
      <c r="EH1596" s="2">
        <v>2.1</v>
      </c>
      <c r="EI1596" s="2">
        <v>2.4</v>
      </c>
      <c r="EJ1596" s="2">
        <v>2.2</v>
      </c>
      <c r="EK1596" s="2">
        <v>1.9</v>
      </c>
      <c r="EL1596" s="2">
        <v>4.2</v>
      </c>
      <c r="EM1596" s="2">
        <v>1.9</v>
      </c>
      <c r="EN1596" s="2">
        <v>2.3</v>
      </c>
      <c r="EO1596" s="2">
        <v>3.5</v>
      </c>
      <c r="EP1596" s="2">
        <v>2.9</v>
      </c>
      <c r="EQ1596" s="2">
        <v>2.1</v>
      </c>
      <c r="ER1596" s="2">
        <v>2.1</v>
      </c>
      <c r="ES1596" s="2">
        <v>1.7</v>
      </c>
      <c r="ET1596" s="2">
        <v>2.3</v>
      </c>
      <c r="EU1596" s="2">
        <v>-0.4</v>
      </c>
      <c r="EV1596" s="2">
        <v>0.3</v>
      </c>
      <c r="EW1596" s="2">
        <v>1.2</v>
      </c>
      <c r="EX1596" s="2">
        <v>1.5</v>
      </c>
      <c r="EY1596" s="2">
        <v>1.3</v>
      </c>
      <c r="EZ1596" s="2">
        <v>2.4</v>
      </c>
      <c r="FA1596" s="2">
        <v>2.3</v>
      </c>
      <c r="FB1596" s="2">
        <v>2</v>
      </c>
      <c r="FC1596" s="2">
        <v>2.3</v>
      </c>
      <c r="FD1596" s="2">
        <v>1.6</v>
      </c>
      <c r="FE1596" s="2">
        <v>2.6</v>
      </c>
      <c r="FF1596" s="2">
        <v>2.8</v>
      </c>
      <c r="FG1596" s="2">
        <v>2</v>
      </c>
      <c r="FH1596" s="2">
        <v>1.5</v>
      </c>
      <c r="FI1596" s="2">
        <v>1.7</v>
      </c>
      <c r="FJ1596" s="2">
        <v>1.8</v>
      </c>
      <c r="FK1596" s="2">
        <v>1.8</v>
      </c>
      <c r="FL1596" s="2">
        <v>1.7</v>
      </c>
      <c r="FM1596" s="2">
        <v>1.9</v>
      </c>
      <c r="FN1596" s="2">
        <v>2</v>
      </c>
      <c r="FO1596" s="2">
        <v>1</v>
      </c>
      <c r="FP1596" s="2">
        <v>2.5</v>
      </c>
      <c r="FQ1596" s="2">
        <v>2.3</v>
      </c>
      <c r="FR1596" s="2">
        <v>1.9</v>
      </c>
      <c r="FS1596" s="2">
        <v>1.7</v>
      </c>
      <c r="FT1596" s="2">
        <v>1.6</v>
      </c>
      <c r="FU1596" s="2">
        <v>0.8</v>
      </c>
      <c r="FV1596" s="2">
        <v>2.6</v>
      </c>
      <c r="FW1596" s="2">
        <v>-0.2</v>
      </c>
      <c r="FX1596" s="2">
        <v>0.2</v>
      </c>
      <c r="FY1596" s="2">
        <v>0.6</v>
      </c>
      <c r="FZ1596" s="2">
        <v>0.9</v>
      </c>
      <c r="GA1596" s="2">
        <v>0</v>
      </c>
      <c r="GB1596" s="2">
        <v>-0.3</v>
      </c>
      <c r="GC1596" s="2">
        <v>0.1</v>
      </c>
      <c r="GD1596" s="2">
        <v>0.5</v>
      </c>
      <c r="GE1596" s="2">
        <v>0.9</v>
      </c>
      <c r="GF1596" s="2">
        <v>0.4</v>
      </c>
      <c r="GG1596" s="2">
        <v>0.5</v>
      </c>
      <c r="GH1596" s="2">
        <v>0.2</v>
      </c>
      <c r="GI1596" s="2">
        <v>0.4</v>
      </c>
      <c r="GJ1596" s="2">
        <v>0.7</v>
      </c>
      <c r="GK1596" s="2">
        <v>0.6</v>
      </c>
      <c r="GL1596" s="2">
        <v>0.8</v>
      </c>
      <c r="GM1596" s="2">
        <v>1.7</v>
      </c>
      <c r="GN1596" s="2">
        <v>1.3</v>
      </c>
      <c r="GO1596" s="2">
        <v>1.2</v>
      </c>
      <c r="GP1596" s="2">
        <v>0.8</v>
      </c>
      <c r="GQ1596" s="2">
        <v>0.4</v>
      </c>
      <c r="GR1596" s="2">
        <v>0.7</v>
      </c>
      <c r="GS1596" s="2">
        <v>0.3</v>
      </c>
      <c r="GT1596" s="2">
        <v>0.2</v>
      </c>
      <c r="GU1596" s="2">
        <v>0.2</v>
      </c>
      <c r="GV1596" s="2">
        <v>-0.2</v>
      </c>
      <c r="GW1596" s="2">
        <v>-0.4</v>
      </c>
      <c r="GX1596" s="2">
        <v>0.2</v>
      </c>
      <c r="GY1596" s="2">
        <v>0.3</v>
      </c>
      <c r="GZ1596" s="2">
        <v>0.6</v>
      </c>
      <c r="HA1596" s="2">
        <v>0.3</v>
      </c>
      <c r="HB1596" s="2">
        <v>0.4</v>
      </c>
      <c r="HC1596" s="2">
        <v>-0.1</v>
      </c>
      <c r="HD1596" s="2">
        <v>0.4</v>
      </c>
      <c r="HE1596" s="2">
        <v>0.9</v>
      </c>
      <c r="HF1596" s="2">
        <v>0.5</v>
      </c>
      <c r="HG1596" s="2">
        <v>0.9</v>
      </c>
      <c r="HH1596" s="2">
        <v>0.8</v>
      </c>
      <c r="HI1596" s="2">
        <v>3.7</v>
      </c>
      <c r="HJ1596" s="2">
        <v>0.3</v>
      </c>
      <c r="HK1596" s="2">
        <v>1.1</v>
      </c>
      <c r="HL1596" s="2">
        <v>0.8</v>
      </c>
      <c r="HM1596" s="2">
        <v>0.3</v>
      </c>
      <c r="HN1596" s="2">
        <v>0.9</v>
      </c>
      <c r="HO1596" s="2">
        <v>0.9</v>
      </c>
      <c r="HP1596" s="2">
        <v>0.7</v>
      </c>
      <c r="HQ1596" s="2">
        <v>0.7</v>
      </c>
      <c r="HR1596" s="2">
        <v>0.7</v>
      </c>
      <c r="HS1596" s="2">
        <v>1.3</v>
      </c>
      <c r="HT1596" s="2">
        <v>0</v>
      </c>
      <c r="HU1596" s="2">
        <v>0.6</v>
      </c>
      <c r="HV1596" s="2">
        <v>0.5</v>
      </c>
      <c r="HW1596" s="2">
        <v>0.9</v>
      </c>
      <c r="HX1596" s="2">
        <v>0.5</v>
      </c>
      <c r="HY1596" s="2">
        <v>0.4</v>
      </c>
      <c r="HZ1596" s="2">
        <v>0.8</v>
      </c>
      <c r="IA1596" s="2">
        <v>0.7</v>
      </c>
      <c r="IB1596" s="2">
        <v>0.6</v>
      </c>
      <c r="IC1596" s="2">
        <v>1</v>
      </c>
      <c r="ID1596" s="2">
        <v>0.5</v>
      </c>
      <c r="IE1596" s="2">
        <v>0.9</v>
      </c>
      <c r="IF1596" s="2">
        <v>1.6</v>
      </c>
      <c r="IG1596" s="2">
        <v>0.9</v>
      </c>
      <c r="IH1596" s="2">
        <v>-0.1</v>
      </c>
      <c r="II1596" s="2">
        <v>0.1</v>
      </c>
      <c r="IJ1596" s="2">
        <v>1.2</v>
      </c>
      <c r="IK1596" s="2">
        <v>0.7</v>
      </c>
      <c r="IL1596" s="2">
        <v>0.9</v>
      </c>
      <c r="IM1596" s="2">
        <v>1.3</v>
      </c>
      <c r="IN1596" s="2">
        <v>1.5</v>
      </c>
      <c r="IO1596" s="2">
        <v>1.2</v>
      </c>
      <c r="IP1596" s="2">
        <v>-0.3</v>
      </c>
      <c r="IQ1596" s="2">
        <v>0.1</v>
      </c>
      <c r="IR1596" s="2">
        <v>0.5</v>
      </c>
      <c r="IS1596" s="2">
        <v>0.9</v>
      </c>
      <c r="IT1596" s="2">
        <v>0.5</v>
      </c>
      <c r="IU1596" s="2">
        <v>0.9</v>
      </c>
      <c r="IV1596" s="2">
        <v>0.6</v>
      </c>
      <c r="IW1596" s="2">
        <v>0.7</v>
      </c>
      <c r="IX1596" s="2">
        <v>0.4</v>
      </c>
      <c r="IY1596" s="2">
        <v>1.5</v>
      </c>
      <c r="IZ1596" s="2">
        <v>0.9</v>
      </c>
      <c r="JA1596" s="2">
        <v>0.6</v>
      </c>
      <c r="JB1596" s="2">
        <v>0</v>
      </c>
      <c r="JC1596" s="2">
        <v>0.1</v>
      </c>
      <c r="JD1596" s="2">
        <v>0.5</v>
      </c>
      <c r="JE1596" s="2">
        <v>1.4</v>
      </c>
      <c r="JF1596" s="2">
        <v>0.3</v>
      </c>
      <c r="JG1596" s="2">
        <v>0.3</v>
      </c>
      <c r="JH1596" s="2">
        <v>0.4</v>
      </c>
      <c r="JI1596" s="2">
        <v>1.2</v>
      </c>
      <c r="JJ1596" s="2">
        <v>0.7</v>
      </c>
      <c r="JK1596" s="2">
        <v>0.6</v>
      </c>
      <c r="JL1596" s="2">
        <v>0.5</v>
      </c>
      <c r="JM1596" s="2">
        <v>0.4</v>
      </c>
      <c r="JN1596" s="2">
        <v>0.2</v>
      </c>
      <c r="JO1596" s="2">
        <v>0.2</v>
      </c>
      <c r="JP1596" s="2">
        <v>0.7</v>
      </c>
      <c r="JQ1596" s="2">
        <v>0.4</v>
      </c>
      <c r="JR1596" s="2">
        <v>0.4</v>
      </c>
      <c r="JS1596" s="2">
        <v>-0.2</v>
      </c>
      <c r="JT1596" s="2">
        <v>0.4</v>
      </c>
      <c r="JU1596" s="2">
        <v>0.7</v>
      </c>
      <c r="JV1596" s="2">
        <v>0.5</v>
      </c>
      <c r="KA1596" s="2">
        <v>0.5</v>
      </c>
      <c r="KB1596" s="2">
        <v>0.2</v>
      </c>
      <c r="KC1596" s="2">
        <v>0.6</v>
      </c>
      <c r="KD1596" s="2">
        <v>0.7</v>
      </c>
      <c r="KQ1596" s="2">
        <v>0.4</v>
      </c>
      <c r="KR1596" s="2">
        <v>0.4</v>
      </c>
      <c r="KS1596" s="2">
        <v>0.4</v>
      </c>
      <c r="KT1596" s="2">
        <v>0.5</v>
      </c>
      <c r="LG1596" s="2">
        <v>0</v>
      </c>
      <c r="LH1596" s="2">
        <v>0.6</v>
      </c>
      <c r="LI1596" s="2">
        <v>0.6</v>
      </c>
      <c r="LJ1596" s="2">
        <v>0.7</v>
      </c>
      <c r="LW1596" s="2">
        <v>0.4</v>
      </c>
      <c r="LX1596" s="2">
        <v>-1.9</v>
      </c>
      <c r="LY1596" s="2">
        <v>1.5</v>
      </c>
      <c r="LZ1596" s="2">
        <v>0.9</v>
      </c>
      <c r="MM1596" s="2">
        <v>0.6</v>
      </c>
      <c r="MN1596" s="2">
        <v>0.7</v>
      </c>
      <c r="MO1596" s="2">
        <v>0.8</v>
      </c>
      <c r="MP1596" s="2">
        <v>1.3</v>
      </c>
      <c r="NC1596" s="2">
        <v>2.2</v>
      </c>
      <c r="ND1596" s="2">
        <v>1.8</v>
      </c>
      <c r="NE1596" s="2">
        <v>1.8</v>
      </c>
      <c r="NF1596" s="2">
        <v>1.8</v>
      </c>
      <c r="NS1596" s="2">
        <v>1.4</v>
      </c>
      <c r="NT1596" s="2">
        <v>0.9</v>
      </c>
      <c r="NU1596" s="2">
        <v>1.2</v>
      </c>
      <c r="NV1596" s="2">
        <v>0.6</v>
      </c>
      <c r="OI1596" s="2">
        <v>0.9</v>
      </c>
      <c r="OJ1596" s="2">
        <v>1</v>
      </c>
      <c r="OK1596" s="2">
        <v>0.2</v>
      </c>
      <c r="OL1596" s="2">
        <v>0.2</v>
      </c>
      <c r="OY1596" s="2">
        <v>0.9</v>
      </c>
      <c r="OZ1596" s="2">
        <v>0.7</v>
      </c>
      <c r="PA1596" s="2">
        <v>1.3</v>
      </c>
      <c r="PB1596" s="2">
        <v>0.6</v>
      </c>
      <c r="PJ1596" s="2">
        <v>1.4</v>
      </c>
      <c r="PK1596" s="2">
        <v>0.6</v>
      </c>
    </row>
    <row r="1597">
      <c r="A1597" t="inlineStr">
        <is>
          <t>A2325895X</t>
        </is>
      </c>
      <c r="B1597" t="inlineStr">
        <is>
          <t>Percentage Change from Previous Period ;  Food and non-alcoholic beverages ;  Australia ;</t>
        </is>
      </c>
      <c r="C1597" t="inlineStr">
        <is>
          <t>Quarter</t>
        </is>
      </c>
      <c r="D1597" t="inlineStr">
        <is>
          <t>Percent</t>
        </is>
      </c>
      <c r="E1597" t="inlineStr">
        <is>
          <t>Original</t>
        </is>
      </c>
      <c r="F1597" t="inlineStr">
        <is>
          <t>6401018.xlsx</t>
        </is>
      </c>
      <c r="G1597" t="inlineStr">
        <is>
          <t>1972Q4</t>
        </is>
      </c>
      <c r="H1597" t="inlineStr">
        <is>
          <t>2026Q2</t>
        </is>
      </c>
      <c r="DB1597" s="2">
        <v>1.5</v>
      </c>
      <c r="DC1597" s="2">
        <v>4.5</v>
      </c>
      <c r="DD1597" s="2">
        <v>5.2</v>
      </c>
      <c r="DE1597" s="2">
        <v>5.9</v>
      </c>
      <c r="DF1597" s="2">
        <v>3.7</v>
      </c>
      <c r="DG1597" s="2">
        <v>3.3</v>
      </c>
      <c r="DH1597" s="2">
        <v>4</v>
      </c>
      <c r="DI1597" s="2">
        <v>2.3</v>
      </c>
      <c r="DJ1597" s="2">
        <v>0</v>
      </c>
      <c r="DK1597" s="2">
        <v>1.1</v>
      </c>
      <c r="DL1597" s="2">
        <v>3.2</v>
      </c>
      <c r="DM1597" s="2">
        <v>1.5</v>
      </c>
      <c r="DN1597" s="2">
        <v>3.2</v>
      </c>
      <c r="DO1597" s="2">
        <v>5.1</v>
      </c>
      <c r="DP1597" s="2">
        <v>0.4</v>
      </c>
      <c r="DQ1597" s="2">
        <v>3.2</v>
      </c>
      <c r="DR1597" s="2">
        <v>3.8</v>
      </c>
      <c r="DS1597" s="2">
        <v>1.8</v>
      </c>
      <c r="DT1597" s="2">
        <v>2.9</v>
      </c>
      <c r="DU1597" s="2">
        <v>4</v>
      </c>
      <c r="DV1597" s="2">
        <v>2</v>
      </c>
      <c r="DW1597" s="2">
        <v>0.5</v>
      </c>
      <c r="DX1597" s="2">
        <v>3</v>
      </c>
      <c r="DY1597" s="2">
        <v>2.9</v>
      </c>
      <c r="DZ1597" s="2">
        <v>3.3</v>
      </c>
      <c r="EA1597" s="2">
        <v>3</v>
      </c>
      <c r="EB1597" s="2">
        <v>4.8</v>
      </c>
      <c r="EC1597" s="2">
        <v>3</v>
      </c>
      <c r="ED1597" s="2">
        <v>2.3</v>
      </c>
      <c r="EE1597" s="2">
        <v>4.1</v>
      </c>
      <c r="EF1597" s="2">
        <v>2.5</v>
      </c>
      <c r="EG1597" s="2">
        <v>2.1</v>
      </c>
      <c r="EH1597" s="2">
        <v>2.8</v>
      </c>
      <c r="EI1597" s="2">
        <v>2.1</v>
      </c>
      <c r="EJ1597" s="2">
        <v>1.3</v>
      </c>
      <c r="EK1597" s="2">
        <v>3.6</v>
      </c>
      <c r="EL1597" s="2">
        <v>1.6</v>
      </c>
      <c r="EM1597" s="2">
        <v>0.9</v>
      </c>
      <c r="EN1597" s="2">
        <v>1.4</v>
      </c>
      <c r="EO1597" s="2">
        <v>3.1</v>
      </c>
      <c r="EP1597" s="2">
        <v>2.4</v>
      </c>
      <c r="EQ1597" s="2">
        <v>1.8</v>
      </c>
      <c r="ER1597" s="2">
        <v>4.4</v>
      </c>
      <c r="ES1597" s="2">
        <v>1.3</v>
      </c>
      <c r="ET1597" s="2">
        <v>1.2</v>
      </c>
      <c r="EU1597" s="2">
        <v>1.5</v>
      </c>
      <c r="EV1597" s="2">
        <v>-0.3</v>
      </c>
      <c r="EW1597" s="2">
        <v>2.2</v>
      </c>
      <c r="EX1597" s="2">
        <v>1.5</v>
      </c>
      <c r="EY1597" s="2">
        <v>1</v>
      </c>
      <c r="EZ1597" s="2">
        <v>1.9</v>
      </c>
      <c r="FA1597" s="2">
        <v>1.8</v>
      </c>
      <c r="FB1597" s="2">
        <v>2.3</v>
      </c>
      <c r="FC1597" s="2">
        <v>2</v>
      </c>
      <c r="FD1597" s="2">
        <v>2.2</v>
      </c>
      <c r="FE1597" s="2">
        <v>2.8</v>
      </c>
      <c r="FF1597" s="2">
        <v>1.5</v>
      </c>
      <c r="FG1597" s="2">
        <v>1.1</v>
      </c>
      <c r="FH1597" s="2">
        <v>0.1</v>
      </c>
      <c r="FI1597" s="2">
        <v>1.4</v>
      </c>
      <c r="FJ1597" s="2">
        <v>1.3</v>
      </c>
      <c r="FK1597" s="2">
        <v>1.7</v>
      </c>
      <c r="FL1597" s="2">
        <v>3.3</v>
      </c>
      <c r="FM1597" s="2">
        <v>2.8</v>
      </c>
      <c r="FN1597" s="2">
        <v>1.5</v>
      </c>
      <c r="FO1597" s="2">
        <v>1.5</v>
      </c>
      <c r="FP1597" s="2">
        <v>3.1</v>
      </c>
      <c r="FQ1597" s="2">
        <v>2.5</v>
      </c>
      <c r="FR1597" s="2">
        <v>0.3</v>
      </c>
      <c r="FS1597" s="2">
        <v>0.2</v>
      </c>
      <c r="FT1597" s="2">
        <v>2.7</v>
      </c>
      <c r="FU1597" s="2">
        <v>-0.7</v>
      </c>
      <c r="FV1597" s="2">
        <v>1</v>
      </c>
      <c r="FW1597" s="2">
        <v>2.1</v>
      </c>
      <c r="FX1597" s="2">
        <v>-0.4</v>
      </c>
      <c r="FY1597" s="2">
        <v>0.7</v>
      </c>
      <c r="FZ1597" s="2">
        <v>0.5</v>
      </c>
      <c r="GA1597" s="2">
        <v>0.6</v>
      </c>
      <c r="GB1597" s="2">
        <v>0.3</v>
      </c>
      <c r="GC1597" s="2">
        <v>-0.4</v>
      </c>
      <c r="GD1597" s="2">
        <v>0.6</v>
      </c>
      <c r="GE1597" s="2">
        <v>2.2</v>
      </c>
      <c r="GF1597" s="2">
        <v>-0.9</v>
      </c>
      <c r="GG1597" s="2">
        <v>0.7</v>
      </c>
      <c r="GH1597" s="2">
        <v>0.6</v>
      </c>
      <c r="GI1597" s="2">
        <v>0.3</v>
      </c>
      <c r="GJ1597" s="2">
        <v>-0.3</v>
      </c>
      <c r="GK1597" s="2">
        <v>0.8</v>
      </c>
      <c r="GL1597" s="2">
        <v>0.4</v>
      </c>
      <c r="GM1597" s="2">
        <v>2.1</v>
      </c>
      <c r="GN1597" s="2">
        <v>0.4</v>
      </c>
      <c r="GO1597" s="2">
        <v>1.5</v>
      </c>
      <c r="GP1597" s="2">
        <v>0.3</v>
      </c>
      <c r="GQ1597" s="2">
        <v>0.2</v>
      </c>
      <c r="GR1597" s="2">
        <v>1</v>
      </c>
      <c r="GS1597" s="2">
        <v>1</v>
      </c>
      <c r="GT1597" s="2">
        <v>0.9</v>
      </c>
      <c r="GU1597" s="2">
        <v>0.7</v>
      </c>
      <c r="GV1597" s="2">
        <v>0.5</v>
      </c>
      <c r="GW1597" s="2">
        <v>0</v>
      </c>
      <c r="GX1597" s="2">
        <v>0.3</v>
      </c>
      <c r="GY1597" s="2">
        <v>0.8</v>
      </c>
      <c r="GZ1597" s="2">
        <v>0.8</v>
      </c>
      <c r="HA1597" s="2">
        <v>1.3</v>
      </c>
      <c r="HB1597" s="2">
        <v>1</v>
      </c>
      <c r="HC1597" s="2">
        <v>1.2</v>
      </c>
      <c r="HD1597" s="2">
        <v>0.2</v>
      </c>
      <c r="HE1597" s="2">
        <v>0.5</v>
      </c>
      <c r="HF1597" s="2">
        <v>0.3</v>
      </c>
      <c r="HG1597" s="2">
        <v>0.2</v>
      </c>
      <c r="HH1597" s="2">
        <v>0.9</v>
      </c>
      <c r="HI1597" s="2">
        <v>1.7</v>
      </c>
      <c r="HJ1597" s="2">
        <v>0.7</v>
      </c>
      <c r="HK1597" s="2">
        <v>3.2</v>
      </c>
      <c r="HL1597" s="2">
        <v>0.9</v>
      </c>
      <c r="HM1597" s="2">
        <v>0.7</v>
      </c>
      <c r="HN1597" s="2">
        <v>2.6</v>
      </c>
      <c r="HO1597" s="2">
        <v>0.5</v>
      </c>
      <c r="HP1597" s="2">
        <v>-0.5</v>
      </c>
      <c r="HQ1597" s="2">
        <v>1.1</v>
      </c>
      <c r="HR1597" s="2">
        <v>1.4</v>
      </c>
      <c r="HS1597" s="2">
        <v>1.9</v>
      </c>
      <c r="HT1597" s="2">
        <v>0</v>
      </c>
      <c r="HU1597" s="2">
        <v>-0.3</v>
      </c>
      <c r="HV1597" s="2">
        <v>1.8</v>
      </c>
      <c r="HW1597" s="2">
        <v>1.8</v>
      </c>
      <c r="HX1597" s="2">
        <v>-0.9</v>
      </c>
      <c r="HY1597" s="2">
        <v>-0.6</v>
      </c>
      <c r="HZ1597" s="2">
        <v>1.4</v>
      </c>
      <c r="IA1597" s="2">
        <v>0.9</v>
      </c>
      <c r="IB1597" s="2">
        <v>0.1</v>
      </c>
      <c r="IC1597" s="2">
        <v>0.8</v>
      </c>
      <c r="ID1597" s="2">
        <v>1.8</v>
      </c>
      <c r="IE1597" s="2">
        <v>1.5</v>
      </c>
      <c r="IF1597" s="2">
        <v>4.1</v>
      </c>
      <c r="IG1597" s="2">
        <v>2.3</v>
      </c>
      <c r="IH1597" s="2">
        <v>0.5</v>
      </c>
      <c r="II1597" s="2">
        <v>-2.3</v>
      </c>
      <c r="IJ1597" s="2">
        <v>1.7</v>
      </c>
      <c r="IK1597" s="2">
        <v>1.9</v>
      </c>
      <c r="IL1597" s="2">
        <v>-0.2</v>
      </c>
      <c r="IM1597" s="2">
        <v>2.1</v>
      </c>
      <c r="IN1597" s="2">
        <v>0</v>
      </c>
      <c r="IO1597" s="2">
        <v>1.4</v>
      </c>
      <c r="IP1597" s="2">
        <v>2.1</v>
      </c>
      <c r="IQ1597" s="2">
        <v>2.2</v>
      </c>
      <c r="IR1597" s="2">
        <v>-1</v>
      </c>
      <c r="IS1597" s="2">
        <v>-0.8</v>
      </c>
      <c r="IT1597" s="2">
        <v>1.5</v>
      </c>
      <c r="IU1597" s="2">
        <v>1.1</v>
      </c>
      <c r="IV1597" s="2">
        <v>-0.3</v>
      </c>
      <c r="IW1597" s="2">
        <v>-0.5</v>
      </c>
      <c r="IX1597" s="2">
        <v>2.2</v>
      </c>
      <c r="IY1597" s="2">
        <v>2.9</v>
      </c>
      <c r="IZ1597" s="2">
        <v>1.4</v>
      </c>
      <c r="JA1597" s="2">
        <v>-0.3</v>
      </c>
      <c r="JB1597" s="2">
        <v>-1.5</v>
      </c>
      <c r="JC1597" s="2">
        <v>-2.1</v>
      </c>
      <c r="JD1597" s="2">
        <v>0.6</v>
      </c>
      <c r="JE1597" s="2">
        <v>1.9</v>
      </c>
      <c r="JF1597" s="2">
        <v>-0.2</v>
      </c>
      <c r="JG1597" s="2">
        <v>-0.8</v>
      </c>
      <c r="JH1597" s="2">
        <v>0.1</v>
      </c>
      <c r="JI1597" s="2">
        <v>0.2</v>
      </c>
      <c r="JJ1597" s="2">
        <v>1.6</v>
      </c>
      <c r="JK1597" s="2">
        <v>0.3</v>
      </c>
      <c r="JL1597" s="2">
        <v>0.4</v>
      </c>
      <c r="JM1597" s="2">
        <v>1.2</v>
      </c>
      <c r="JN1597" s="2">
        <v>0.1</v>
      </c>
      <c r="JO1597" s="2">
        <v>0.2</v>
      </c>
      <c r="JP1597" s="2">
        <v>-0.2</v>
      </c>
      <c r="JQ1597" s="2">
        <v>0.1</v>
      </c>
      <c r="JR1597" s="2">
        <v>0.3</v>
      </c>
      <c r="JS1597" s="2">
        <v>-0.2</v>
      </c>
      <c r="JT1597" s="2">
        <v>-0.2</v>
      </c>
      <c r="JU1597" s="2">
        <v>1.7</v>
      </c>
      <c r="JV1597" s="2">
        <v>0.6</v>
      </c>
      <c r="KA1597" s="2">
        <v>-0.2</v>
      </c>
      <c r="KB1597" s="2">
        <v>-0.2</v>
      </c>
      <c r="KC1597" s="2">
        <v>-0.9</v>
      </c>
      <c r="KD1597" s="2">
        <v>1.1</v>
      </c>
      <c r="KQ1597" s="2">
        <v>0.4</v>
      </c>
      <c r="KR1597" s="2">
        <v>-0.4</v>
      </c>
      <c r="KS1597" s="2">
        <v>0.5</v>
      </c>
      <c r="KT1597" s="2">
        <v>0.9</v>
      </c>
      <c r="LG1597" s="2">
        <v>1.4</v>
      </c>
      <c r="LH1597" s="2">
        <v>-0.4</v>
      </c>
      <c r="LI1597" s="2">
        <v>0.4</v>
      </c>
      <c r="LJ1597" s="2">
        <v>1.3</v>
      </c>
      <c r="LW1597" s="2">
        <v>2</v>
      </c>
      <c r="LX1597" s="2">
        <v>0.5</v>
      </c>
      <c r="LY1597" s="2">
        <v>-0.4</v>
      </c>
      <c r="LZ1597" s="2">
        <v>0.2</v>
      </c>
      <c r="MM1597" s="2">
        <v>0.4</v>
      </c>
      <c r="MN1597" s="2">
        <v>0.5</v>
      </c>
      <c r="MO1597" s="2">
        <v>0.3</v>
      </c>
      <c r="MP1597" s="2">
        <v>0.6</v>
      </c>
      <c r="NC1597" s="2">
        <v>2.8</v>
      </c>
      <c r="ND1597" s="2">
        <v>2.1</v>
      </c>
      <c r="NE1597" s="2">
        <v>3.3</v>
      </c>
      <c r="NF1597" s="2">
        <v>0.9</v>
      </c>
      <c r="NS1597" s="2">
        <v>1.6</v>
      </c>
      <c r="NT1597" s="2">
        <v>1.6</v>
      </c>
      <c r="NU1597" s="2">
        <v>0.7</v>
      </c>
      <c r="NV1597" s="2">
        <v>0.5</v>
      </c>
      <c r="OI1597" s="2">
        <v>0.9</v>
      </c>
      <c r="OJ1597" s="2">
        <v>1.2</v>
      </c>
      <c r="OK1597" s="2">
        <v>0.7</v>
      </c>
      <c r="OL1597" s="2">
        <v>0.2</v>
      </c>
      <c r="OY1597" s="2">
        <v>1.2</v>
      </c>
      <c r="OZ1597" s="2">
        <v>1</v>
      </c>
      <c r="PA1597" s="2">
        <v>0.7</v>
      </c>
      <c r="PB1597" s="2">
        <v>0.4</v>
      </c>
      <c r="PJ1597" s="2">
        <v>1</v>
      </c>
      <c r="PK1597" s="2">
        <v>1</v>
      </c>
    </row>
    <row r="1598">
      <c r="A1598" t="inlineStr">
        <is>
          <t>A2326210R</t>
        </is>
      </c>
      <c r="B1598" t="inlineStr">
        <is>
          <t>Percentage Change from Previous Period ;  Bread and cereal products ;  Australia ;</t>
        </is>
      </c>
      <c r="C1598" t="inlineStr">
        <is>
          <t>Quarter</t>
        </is>
      </c>
      <c r="D1598" t="inlineStr">
        <is>
          <t>Percent</t>
        </is>
      </c>
      <c r="E1598" t="inlineStr">
        <is>
          <t>Original</t>
        </is>
      </c>
      <c r="F1598" t="inlineStr">
        <is>
          <t>6401018.xlsx</t>
        </is>
      </c>
      <c r="G1598" t="inlineStr">
        <is>
          <t>1972Q4</t>
        </is>
      </c>
      <c r="H1598" t="inlineStr">
        <is>
          <t>2026Q2</t>
        </is>
      </c>
      <c r="DB1598" s="2">
        <v>0</v>
      </c>
      <c r="DC1598" s="2">
        <v>1.6</v>
      </c>
      <c r="DD1598" s="2">
        <v>2.1</v>
      </c>
      <c r="DE1598" s="2">
        <v>3</v>
      </c>
      <c r="DF1598" s="2">
        <v>2</v>
      </c>
      <c r="DG1598" s="2">
        <v>3.4</v>
      </c>
      <c r="DH1598" s="2">
        <v>4.2</v>
      </c>
      <c r="DI1598" s="2">
        <v>7.2</v>
      </c>
      <c r="DJ1598" s="2">
        <v>7.5</v>
      </c>
      <c r="DK1598" s="2">
        <v>5.1</v>
      </c>
      <c r="DL1598" s="2">
        <v>3.3</v>
      </c>
      <c r="DM1598" s="2">
        <v>3.2</v>
      </c>
      <c r="DN1598" s="2">
        <v>2.8</v>
      </c>
      <c r="DO1598" s="2">
        <v>4.4</v>
      </c>
      <c r="DP1598" s="2">
        <v>2.5</v>
      </c>
      <c r="DQ1598" s="2">
        <v>1.3</v>
      </c>
      <c r="DR1598" s="2">
        <v>1.9</v>
      </c>
      <c r="DS1598" s="2">
        <v>2.4</v>
      </c>
      <c r="DT1598" s="2">
        <v>1.5</v>
      </c>
      <c r="DU1598" s="2">
        <v>2.3</v>
      </c>
      <c r="DV1598" s="2">
        <v>2.3</v>
      </c>
      <c r="DW1598" s="2">
        <v>2.5</v>
      </c>
      <c r="DX1598" s="2">
        <v>1.3</v>
      </c>
      <c r="DY1598" s="2">
        <v>1.6</v>
      </c>
      <c r="DZ1598" s="2">
        <v>0.8</v>
      </c>
      <c r="EA1598" s="2">
        <v>2.4</v>
      </c>
      <c r="EB1598" s="2">
        <v>0.8</v>
      </c>
      <c r="EC1598" s="2">
        <v>2.5</v>
      </c>
      <c r="ED1598" s="2">
        <v>2</v>
      </c>
      <c r="EE1598" s="2">
        <v>3.4</v>
      </c>
      <c r="EF1598" s="2">
        <v>1.9</v>
      </c>
      <c r="EG1598" s="2">
        <v>3.7</v>
      </c>
      <c r="EH1598" s="2">
        <v>3.8</v>
      </c>
      <c r="EI1598" s="2">
        <v>2.8</v>
      </c>
      <c r="EJ1598" s="2">
        <v>2.3</v>
      </c>
      <c r="EK1598" s="2">
        <v>2.4</v>
      </c>
      <c r="EL1598" s="2">
        <v>3</v>
      </c>
      <c r="EM1598" s="2">
        <v>4.7</v>
      </c>
      <c r="EN1598" s="2">
        <v>3.1</v>
      </c>
      <c r="EO1598" s="2">
        <v>2.1</v>
      </c>
      <c r="EP1598" s="2">
        <v>2.1</v>
      </c>
      <c r="EQ1598" s="2">
        <v>3.4</v>
      </c>
      <c r="ER1598" s="2">
        <v>1.5</v>
      </c>
      <c r="ES1598" s="2">
        <v>1.6</v>
      </c>
      <c r="ET1598" s="2">
        <v>2.5</v>
      </c>
      <c r="EU1598" s="2">
        <v>2.7</v>
      </c>
      <c r="EV1598" s="2">
        <v>2.3</v>
      </c>
      <c r="EW1598" s="2">
        <v>1.7</v>
      </c>
      <c r="EX1598" s="2">
        <v>0.2</v>
      </c>
      <c r="EY1598" s="2">
        <v>1.3</v>
      </c>
      <c r="EZ1598" s="2">
        <v>2.8</v>
      </c>
      <c r="FA1598" s="2">
        <v>2.7</v>
      </c>
      <c r="FB1598" s="2">
        <v>4.9</v>
      </c>
      <c r="FC1598" s="2">
        <v>1.9</v>
      </c>
      <c r="FD1598" s="2">
        <v>1.7</v>
      </c>
      <c r="FE1598" s="2">
        <v>1.7</v>
      </c>
      <c r="FF1598" s="2">
        <v>0.4</v>
      </c>
      <c r="FG1598" s="2">
        <v>1.3</v>
      </c>
      <c r="FH1598" s="2">
        <v>1.6</v>
      </c>
      <c r="FI1598" s="2">
        <v>1.2</v>
      </c>
      <c r="FJ1598" s="2">
        <v>0.5</v>
      </c>
      <c r="FK1598" s="2">
        <v>2.1</v>
      </c>
      <c r="FL1598" s="2">
        <v>2.9</v>
      </c>
      <c r="FM1598" s="2">
        <v>1.7</v>
      </c>
      <c r="FN1598" s="2">
        <v>3.4</v>
      </c>
      <c r="FO1598" s="2">
        <v>1.2</v>
      </c>
      <c r="FP1598" s="2">
        <v>0.6</v>
      </c>
      <c r="FQ1598" s="2">
        <v>2.1</v>
      </c>
      <c r="FR1598" s="2">
        <v>1.8</v>
      </c>
      <c r="FS1598" s="2">
        <v>2.3</v>
      </c>
      <c r="FT1598" s="2">
        <v>2.3</v>
      </c>
      <c r="FU1598" s="2">
        <v>0.8</v>
      </c>
      <c r="FV1598" s="2">
        <v>2.4</v>
      </c>
      <c r="FW1598" s="2">
        <v>0.7</v>
      </c>
      <c r="FX1598" s="2">
        <v>1.4</v>
      </c>
      <c r="FY1598" s="2">
        <v>-0.2</v>
      </c>
      <c r="FZ1598" s="2">
        <v>1.5</v>
      </c>
      <c r="GA1598" s="2">
        <v>0.6</v>
      </c>
      <c r="GB1598" s="2">
        <v>1.3</v>
      </c>
      <c r="GC1598" s="2">
        <v>0.4</v>
      </c>
      <c r="GD1598" s="2">
        <v>0.5</v>
      </c>
      <c r="GE1598" s="2">
        <v>1.2</v>
      </c>
      <c r="GF1598" s="2">
        <v>-0.4</v>
      </c>
      <c r="GG1598" s="2">
        <v>0.7</v>
      </c>
      <c r="GH1598" s="2">
        <v>0.8</v>
      </c>
      <c r="GI1598" s="2">
        <v>0.1</v>
      </c>
      <c r="GJ1598" s="2">
        <v>0.1</v>
      </c>
      <c r="GK1598" s="2">
        <v>-0.2</v>
      </c>
      <c r="GL1598" s="2">
        <v>0.8</v>
      </c>
      <c r="GM1598" s="2">
        <v>3</v>
      </c>
      <c r="GN1598" s="2">
        <v>1.8</v>
      </c>
      <c r="GO1598" s="2">
        <v>1.9</v>
      </c>
      <c r="GP1598" s="2">
        <v>1.3</v>
      </c>
      <c r="GQ1598" s="2">
        <v>-0.1</v>
      </c>
      <c r="GR1598" s="2">
        <v>1.9</v>
      </c>
      <c r="GS1598" s="2">
        <v>1.9</v>
      </c>
      <c r="GT1598" s="2">
        <v>1.6</v>
      </c>
      <c r="GU1598" s="2">
        <v>0.5</v>
      </c>
      <c r="GV1598" s="2">
        <v>0.2</v>
      </c>
      <c r="GW1598" s="2">
        <v>0.4</v>
      </c>
      <c r="GX1598" s="2">
        <v>0.2</v>
      </c>
      <c r="GY1598" s="2">
        <v>0.4</v>
      </c>
      <c r="GZ1598" s="2">
        <v>0.8</v>
      </c>
      <c r="HA1598" s="2">
        <v>1.4</v>
      </c>
      <c r="HB1598" s="2">
        <v>-0.6</v>
      </c>
      <c r="HC1598" s="2">
        <v>1.6</v>
      </c>
      <c r="HD1598" s="2">
        <v>0.7</v>
      </c>
      <c r="HE1598" s="2">
        <v>1</v>
      </c>
      <c r="HF1598" s="2">
        <v>0.3</v>
      </c>
      <c r="HG1598" s="2">
        <v>1</v>
      </c>
      <c r="HH1598" s="2">
        <v>-0.1</v>
      </c>
      <c r="HI1598" s="2">
        <v>1.7</v>
      </c>
      <c r="HJ1598" s="2">
        <v>0.1</v>
      </c>
      <c r="HK1598" s="2">
        <v>2.2</v>
      </c>
      <c r="HL1598" s="2">
        <v>1.5</v>
      </c>
      <c r="HM1598" s="2">
        <v>1.4</v>
      </c>
      <c r="HN1598" s="2">
        <v>0.4</v>
      </c>
      <c r="HO1598" s="2">
        <v>1.5</v>
      </c>
      <c r="HP1598" s="2">
        <v>-1.1</v>
      </c>
      <c r="HQ1598" s="2">
        <v>0.9</v>
      </c>
      <c r="HR1598" s="2">
        <v>2.2</v>
      </c>
      <c r="HS1598" s="2">
        <v>1.9</v>
      </c>
      <c r="HT1598" s="2">
        <v>1.4</v>
      </c>
      <c r="HU1598" s="2">
        <v>-0.6</v>
      </c>
      <c r="HV1598" s="2">
        <v>-0.8</v>
      </c>
      <c r="HW1598" s="2">
        <v>-0.5</v>
      </c>
      <c r="HX1598" s="2">
        <v>0.4</v>
      </c>
      <c r="HY1598" s="2">
        <v>-0.5</v>
      </c>
      <c r="HZ1598" s="2">
        <v>0.3</v>
      </c>
      <c r="IA1598" s="2">
        <v>0.2</v>
      </c>
      <c r="IB1598" s="2">
        <v>1.1</v>
      </c>
      <c r="IC1598" s="2">
        <v>0.9</v>
      </c>
      <c r="ID1598" s="2">
        <v>2.2</v>
      </c>
      <c r="IE1598" s="2">
        <v>0.8</v>
      </c>
      <c r="IF1598" s="2">
        <v>1.3</v>
      </c>
      <c r="IG1598" s="2">
        <v>0.8</v>
      </c>
      <c r="IH1598" s="2">
        <v>2</v>
      </c>
      <c r="II1598" s="2">
        <v>1.6</v>
      </c>
      <c r="IJ1598" s="2">
        <v>0.7</v>
      </c>
      <c r="IK1598" s="2">
        <v>1</v>
      </c>
      <c r="IL1598" s="2">
        <v>2.1</v>
      </c>
      <c r="IM1598" s="2">
        <v>3.9</v>
      </c>
      <c r="IN1598" s="2">
        <v>0.5</v>
      </c>
      <c r="IO1598" s="2">
        <v>3</v>
      </c>
      <c r="IP1598" s="2">
        <v>1.2</v>
      </c>
      <c r="IQ1598" s="2">
        <v>1.2</v>
      </c>
      <c r="IR1598" s="2">
        <v>-0.8</v>
      </c>
      <c r="IS1598" s="2">
        <v>-0.1</v>
      </c>
      <c r="IT1598" s="2">
        <v>1.1</v>
      </c>
      <c r="IU1598" s="2">
        <v>1</v>
      </c>
      <c r="IV1598" s="2">
        <v>-0.8</v>
      </c>
      <c r="IW1598" s="2">
        <v>0.1</v>
      </c>
      <c r="IX1598" s="2">
        <v>0.2</v>
      </c>
      <c r="IY1598" s="2">
        <v>0.4</v>
      </c>
      <c r="IZ1598" s="2">
        <v>0.2</v>
      </c>
      <c r="JA1598" s="2">
        <v>-0.4</v>
      </c>
      <c r="JB1598" s="2">
        <v>0.8</v>
      </c>
      <c r="JC1598" s="2">
        <v>0.3</v>
      </c>
      <c r="JD1598" s="2">
        <v>-2.4</v>
      </c>
      <c r="JE1598" s="2">
        <v>1.3</v>
      </c>
      <c r="JF1598" s="2">
        <v>1.2</v>
      </c>
      <c r="JG1598" s="2">
        <v>-0.2</v>
      </c>
      <c r="JH1598" s="2">
        <v>0.1</v>
      </c>
      <c r="JI1598" s="2">
        <v>1.1</v>
      </c>
      <c r="JJ1598" s="2">
        <v>0.3</v>
      </c>
      <c r="JK1598" s="2">
        <v>-0.5</v>
      </c>
      <c r="JL1598" s="2">
        <v>0.6</v>
      </c>
      <c r="JM1598" s="2">
        <v>-2</v>
      </c>
      <c r="JN1598" s="2">
        <v>0.8</v>
      </c>
      <c r="JO1598" s="2">
        <v>-0.5</v>
      </c>
      <c r="JP1598" s="2">
        <v>-0.7</v>
      </c>
      <c r="JQ1598" s="2">
        <v>-0.8</v>
      </c>
      <c r="JR1598" s="2">
        <v>0.4</v>
      </c>
      <c r="JS1598" s="2">
        <v>-0.9</v>
      </c>
      <c r="JT1598" s="2">
        <v>-0.6</v>
      </c>
      <c r="JU1598" s="2">
        <v>0</v>
      </c>
      <c r="JV1598" s="2">
        <v>0.4</v>
      </c>
      <c r="KA1598" s="2">
        <v>-0.1</v>
      </c>
      <c r="KB1598" s="2">
        <v>-0.6</v>
      </c>
      <c r="KC1598" s="2">
        <v>-0.9</v>
      </c>
      <c r="KD1598" s="2">
        <v>0.8</v>
      </c>
      <c r="KQ1598" s="2">
        <v>-0.5</v>
      </c>
      <c r="KR1598" s="2">
        <v>-0.3</v>
      </c>
      <c r="KS1598" s="2">
        <v>0.3</v>
      </c>
      <c r="KT1598" s="2">
        <v>1.1</v>
      </c>
      <c r="LG1598" s="2">
        <v>0.9</v>
      </c>
      <c r="LH1598" s="2">
        <v>0.2</v>
      </c>
      <c r="LI1598" s="2">
        <v>1.3</v>
      </c>
      <c r="LJ1598" s="2">
        <v>1.1</v>
      </c>
      <c r="LW1598" s="2">
        <v>1.2</v>
      </c>
      <c r="LX1598" s="2">
        <v>1</v>
      </c>
      <c r="LY1598" s="2">
        <v>-1.9</v>
      </c>
      <c r="LZ1598" s="2">
        <v>0.8</v>
      </c>
      <c r="MM1598" s="2">
        <v>0.1</v>
      </c>
      <c r="MN1598" s="2">
        <v>-0.1</v>
      </c>
      <c r="MO1598" s="2">
        <v>-0.1</v>
      </c>
      <c r="MP1598" s="2">
        <v>1.3</v>
      </c>
      <c r="NC1598" s="2">
        <v>1.8</v>
      </c>
      <c r="ND1598" s="2">
        <v>3.2</v>
      </c>
      <c r="NE1598" s="2">
        <v>3.3</v>
      </c>
      <c r="NF1598" s="2">
        <v>3.4</v>
      </c>
      <c r="NS1598" s="2">
        <v>1.5</v>
      </c>
      <c r="NT1598" s="2">
        <v>2.8</v>
      </c>
      <c r="NU1598" s="2">
        <v>1.6</v>
      </c>
      <c r="NV1598" s="2">
        <v>1.9</v>
      </c>
      <c r="OI1598" s="2">
        <v>0.6</v>
      </c>
      <c r="OJ1598" s="2">
        <v>-0.3</v>
      </c>
      <c r="OK1598" s="2">
        <v>0.6</v>
      </c>
      <c r="OL1598" s="2">
        <v>1.7</v>
      </c>
      <c r="OY1598" s="2">
        <v>0.7</v>
      </c>
      <c r="OZ1598" s="2">
        <v>-0.7</v>
      </c>
      <c r="PA1598" s="2">
        <v>0.4</v>
      </c>
      <c r="PB1598" s="2">
        <v>0.8</v>
      </c>
      <c r="PJ1598" s="2">
        <v>0.4</v>
      </c>
      <c r="PK1598" s="2">
        <v>0</v>
      </c>
    </row>
    <row r="1599">
      <c r="A1599" t="inlineStr">
        <is>
          <t>A2327065X</t>
        </is>
      </c>
      <c r="B1599" t="inlineStr">
        <is>
          <t>Percentage Change from Previous Period ;  Bread ;  Australia ;</t>
        </is>
      </c>
      <c r="C1599" t="inlineStr">
        <is>
          <t>Quarter</t>
        </is>
      </c>
      <c r="D1599" t="inlineStr">
        <is>
          <t>Percent</t>
        </is>
      </c>
      <c r="E1599" t="inlineStr">
        <is>
          <t>Original</t>
        </is>
      </c>
      <c r="F1599" t="inlineStr">
        <is>
          <t>6401018.xlsx</t>
        </is>
      </c>
      <c r="G1599" t="inlineStr">
        <is>
          <t>1980Q4</t>
        </is>
      </c>
      <c r="H1599" t="inlineStr">
        <is>
          <t>2026Q2</t>
        </is>
      </c>
      <c r="EH1599" s="2">
        <v>4.3</v>
      </c>
      <c r="EI1599" s="2">
        <v>3.6</v>
      </c>
      <c r="EJ1599" s="2">
        <v>1.6</v>
      </c>
      <c r="EK1599" s="2">
        <v>2.3</v>
      </c>
      <c r="EL1599" s="2">
        <v>3.1</v>
      </c>
      <c r="EM1599" s="2">
        <v>4.9</v>
      </c>
      <c r="EN1599" s="2">
        <v>2</v>
      </c>
      <c r="EO1599" s="2">
        <v>1.4</v>
      </c>
      <c r="EP1599" s="2">
        <v>1.2</v>
      </c>
      <c r="EQ1599" s="2">
        <v>4.1</v>
      </c>
      <c r="ER1599" s="2">
        <v>0.6</v>
      </c>
      <c r="ES1599" s="2">
        <v>1.3</v>
      </c>
      <c r="ET1599" s="2">
        <v>2.9</v>
      </c>
      <c r="EU1599" s="2">
        <v>3.9</v>
      </c>
      <c r="EV1599" s="2">
        <v>2.2</v>
      </c>
      <c r="EW1599" s="2">
        <v>1.2</v>
      </c>
      <c r="EX1599" s="2">
        <v>-0.9</v>
      </c>
      <c r="EY1599" s="2">
        <v>1</v>
      </c>
      <c r="EZ1599" s="2">
        <v>4.5</v>
      </c>
      <c r="FA1599" s="2">
        <v>2.8</v>
      </c>
      <c r="FB1599" s="2">
        <v>1.6</v>
      </c>
      <c r="FC1599" s="2">
        <v>1.5</v>
      </c>
      <c r="FD1599" s="2">
        <v>1.6</v>
      </c>
      <c r="FE1599" s="2">
        <v>1.8</v>
      </c>
      <c r="FF1599" s="2">
        <v>0.5</v>
      </c>
      <c r="FG1599" s="2">
        <v>2.4</v>
      </c>
      <c r="FH1599" s="2">
        <v>1.7</v>
      </c>
      <c r="FI1599" s="2">
        <v>-0.5</v>
      </c>
      <c r="FJ1599" s="2">
        <v>0.7</v>
      </c>
      <c r="FK1599" s="2">
        <v>1.8</v>
      </c>
      <c r="FL1599" s="2">
        <v>2.6</v>
      </c>
      <c r="FM1599" s="2">
        <v>1.6</v>
      </c>
      <c r="FN1599" s="2">
        <v>3.7</v>
      </c>
      <c r="FO1599" s="2">
        <v>2.3</v>
      </c>
      <c r="FP1599" s="2">
        <v>0.9</v>
      </c>
      <c r="FQ1599" s="2">
        <v>2.8</v>
      </c>
      <c r="FR1599" s="2">
        <v>2.5</v>
      </c>
      <c r="FS1599" s="2">
        <v>1.9</v>
      </c>
      <c r="FT1599" s="2">
        <v>1.5</v>
      </c>
      <c r="FU1599" s="2">
        <v>0.9</v>
      </c>
      <c r="FV1599" s="2">
        <v>1.4</v>
      </c>
      <c r="FW1599" s="2">
        <v>0.9</v>
      </c>
      <c r="FX1599" s="2">
        <v>1.4</v>
      </c>
      <c r="FY1599" s="2">
        <v>-0.3</v>
      </c>
      <c r="FZ1599" s="2">
        <v>2.1</v>
      </c>
      <c r="GA1599" s="2">
        <v>1.3</v>
      </c>
      <c r="GB1599" s="2">
        <v>1.8</v>
      </c>
      <c r="GC1599" s="2">
        <v>0.9</v>
      </c>
      <c r="GD1599" s="2">
        <v>1</v>
      </c>
      <c r="GE1599" s="2">
        <v>1.8</v>
      </c>
      <c r="GF1599" s="2">
        <v>-0.5</v>
      </c>
      <c r="GG1599" s="2">
        <v>0.2</v>
      </c>
      <c r="GH1599" s="2">
        <v>0.1</v>
      </c>
      <c r="GI1599" s="2">
        <v>-0.5</v>
      </c>
      <c r="GJ1599" s="2">
        <v>0.7</v>
      </c>
      <c r="GK1599" s="2">
        <v>1</v>
      </c>
      <c r="GL1599" s="2">
        <v>2.9</v>
      </c>
      <c r="GM1599" s="2">
        <v>3.8</v>
      </c>
      <c r="GN1599" s="2">
        <v>2.7</v>
      </c>
      <c r="GO1599" s="2">
        <v>1.1</v>
      </c>
      <c r="GP1599" s="2">
        <v>1.2</v>
      </c>
      <c r="GQ1599" s="2">
        <v>0.5</v>
      </c>
      <c r="GR1599" s="2">
        <v>3.3</v>
      </c>
      <c r="GS1599" s="2">
        <v>3.5</v>
      </c>
      <c r="GT1599" s="2">
        <v>2.4</v>
      </c>
      <c r="GU1599" s="2">
        <v>0.3</v>
      </c>
      <c r="GV1599" s="2">
        <v>-0.1</v>
      </c>
      <c r="GW1599" s="2">
        <v>1.8</v>
      </c>
      <c r="GX1599" s="2">
        <v>-0.5</v>
      </c>
      <c r="GY1599" s="2">
        <v>1.2</v>
      </c>
      <c r="GZ1599" s="2">
        <v>0.6</v>
      </c>
      <c r="HA1599" s="2">
        <v>3.4</v>
      </c>
      <c r="HB1599" s="2">
        <v>-0.3</v>
      </c>
      <c r="HC1599" s="2">
        <v>2.9</v>
      </c>
      <c r="HD1599" s="2">
        <v>1.8</v>
      </c>
      <c r="HE1599" s="2">
        <v>0.8</v>
      </c>
      <c r="HF1599" s="2">
        <v>0.7</v>
      </c>
      <c r="HG1599" s="2">
        <v>1.5</v>
      </c>
      <c r="HH1599" s="2">
        <v>0.7</v>
      </c>
      <c r="HI1599" s="2">
        <v>-0.3</v>
      </c>
      <c r="HJ1599" s="2">
        <v>1.4</v>
      </c>
      <c r="HK1599" s="2">
        <v>2.8</v>
      </c>
      <c r="HL1599" s="2">
        <v>1.1</v>
      </c>
      <c r="HM1599" s="2">
        <v>2.4</v>
      </c>
      <c r="HN1599" s="2">
        <v>-0.5</v>
      </c>
      <c r="HO1599" s="2">
        <v>0.4</v>
      </c>
      <c r="HP1599" s="2">
        <v>-0.9</v>
      </c>
      <c r="HQ1599" s="2">
        <v>0.3</v>
      </c>
      <c r="HR1599" s="2">
        <v>1.5</v>
      </c>
      <c r="HS1599" s="2">
        <v>2</v>
      </c>
      <c r="HT1599" s="2">
        <v>1.6</v>
      </c>
      <c r="HU1599" s="2">
        <v>-0.1</v>
      </c>
      <c r="HV1599" s="2">
        <v>-3.3</v>
      </c>
      <c r="HW1599" s="2">
        <v>-0.6</v>
      </c>
      <c r="HX1599" s="2">
        <v>-0.5</v>
      </c>
      <c r="HY1599" s="2">
        <v>0.5</v>
      </c>
      <c r="HZ1599" s="2">
        <v>0</v>
      </c>
      <c r="IA1599" s="2">
        <v>-0.2</v>
      </c>
      <c r="IB1599" s="2">
        <v>1.1</v>
      </c>
      <c r="IC1599" s="2">
        <v>1.6</v>
      </c>
      <c r="ID1599" s="2">
        <v>3.6</v>
      </c>
      <c r="IE1599" s="2">
        <v>1.6</v>
      </c>
      <c r="IF1599" s="2">
        <v>0.9</v>
      </c>
      <c r="IG1599" s="2">
        <v>1.7</v>
      </c>
      <c r="IH1599" s="2">
        <v>1.8</v>
      </c>
      <c r="II1599" s="2">
        <v>3.9</v>
      </c>
      <c r="IJ1599" s="2">
        <v>1.2</v>
      </c>
      <c r="IK1599" s="2">
        <v>0.8</v>
      </c>
      <c r="IL1599" s="2">
        <v>2.7</v>
      </c>
      <c r="IM1599" s="2">
        <v>4</v>
      </c>
      <c r="IN1599" s="2">
        <v>-0.8</v>
      </c>
      <c r="IO1599" s="2">
        <v>4.7</v>
      </c>
      <c r="IP1599" s="2">
        <v>0.2</v>
      </c>
      <c r="IQ1599" s="2">
        <v>1.4</v>
      </c>
      <c r="IR1599" s="2">
        <v>-0.5</v>
      </c>
      <c r="IS1599" s="2">
        <v>1</v>
      </c>
      <c r="IT1599" s="2">
        <v>0.9</v>
      </c>
      <c r="IU1599" s="2">
        <v>0.4</v>
      </c>
      <c r="IV1599" s="2">
        <v>0.1</v>
      </c>
      <c r="IW1599" s="2">
        <v>-0.8</v>
      </c>
      <c r="IX1599" s="2">
        <v>0.6</v>
      </c>
      <c r="IY1599" s="2">
        <v>-0.8</v>
      </c>
      <c r="IZ1599" s="2">
        <v>-0.6</v>
      </c>
      <c r="JA1599" s="2">
        <v>-1.2</v>
      </c>
      <c r="JB1599" s="2">
        <v>0.3</v>
      </c>
      <c r="JC1599" s="2">
        <v>1.6</v>
      </c>
      <c r="JD1599" s="2">
        <v>-3.1</v>
      </c>
      <c r="JE1599" s="2">
        <v>2.9</v>
      </c>
      <c r="JF1599" s="2">
        <v>-0.3</v>
      </c>
      <c r="JG1599" s="2">
        <v>-0.3</v>
      </c>
      <c r="JH1599" s="2">
        <v>1.6</v>
      </c>
      <c r="JI1599" s="2">
        <v>-0.3</v>
      </c>
      <c r="JJ1599" s="2">
        <v>1.7</v>
      </c>
      <c r="JK1599" s="2">
        <v>-0.6</v>
      </c>
      <c r="JL1599" s="2">
        <v>0.8</v>
      </c>
      <c r="JM1599" s="2">
        <v>-3</v>
      </c>
      <c r="JN1599" s="2">
        <v>-0.6</v>
      </c>
      <c r="JO1599" s="2">
        <v>-3.2</v>
      </c>
      <c r="JP1599" s="2">
        <v>-1</v>
      </c>
      <c r="JQ1599" s="2">
        <v>-1</v>
      </c>
      <c r="JR1599" s="2">
        <v>0.9</v>
      </c>
      <c r="JS1599" s="2">
        <v>0</v>
      </c>
      <c r="JT1599" s="2">
        <v>0.5</v>
      </c>
      <c r="JU1599" s="2">
        <v>-0.4</v>
      </c>
      <c r="JV1599" s="2">
        <v>-0.5</v>
      </c>
      <c r="KA1599" s="2">
        <v>-0.2</v>
      </c>
      <c r="KB1599" s="2">
        <v>0</v>
      </c>
      <c r="KC1599" s="2">
        <v>-0.4</v>
      </c>
      <c r="KD1599" s="2">
        <v>1.2</v>
      </c>
      <c r="KQ1599" s="2">
        <v>-0.1</v>
      </c>
      <c r="KR1599" s="2">
        <v>0.1</v>
      </c>
      <c r="KS1599" s="2">
        <v>1.3</v>
      </c>
      <c r="KT1599" s="2">
        <v>0.6</v>
      </c>
      <c r="LG1599" s="2">
        <v>1.8</v>
      </c>
      <c r="LH1599" s="2">
        <v>1</v>
      </c>
      <c r="LI1599" s="2">
        <v>0.1</v>
      </c>
      <c r="LJ1599" s="2">
        <v>0.1</v>
      </c>
      <c r="LW1599" s="2">
        <v>1.1</v>
      </c>
      <c r="LX1599" s="2">
        <v>-0.2</v>
      </c>
      <c r="LY1599" s="2">
        <v>-0.5</v>
      </c>
      <c r="LZ1599" s="2">
        <v>1</v>
      </c>
      <c r="MM1599" s="2">
        <v>0</v>
      </c>
      <c r="MN1599" s="2">
        <v>-0.1</v>
      </c>
      <c r="MO1599" s="2">
        <v>-0.1</v>
      </c>
      <c r="MP1599" s="2">
        <v>0.8</v>
      </c>
      <c r="NC1599" s="2">
        <v>2.1</v>
      </c>
      <c r="ND1599" s="2">
        <v>4.4</v>
      </c>
      <c r="NE1599" s="2">
        <v>2.9</v>
      </c>
      <c r="NF1599" s="2">
        <v>3.4</v>
      </c>
      <c r="NS1599" s="2">
        <v>1.9</v>
      </c>
      <c r="NT1599" s="2">
        <v>5.2</v>
      </c>
      <c r="NU1599" s="2">
        <v>1.6</v>
      </c>
      <c r="NV1599" s="2">
        <v>0.6</v>
      </c>
      <c r="OI1599" s="2">
        <v>0.8</v>
      </c>
      <c r="OJ1599" s="2">
        <v>0.1</v>
      </c>
      <c r="OK1599" s="2">
        <v>0</v>
      </c>
      <c r="OL1599" s="2">
        <v>1.7</v>
      </c>
      <c r="OY1599" s="2">
        <v>0.9</v>
      </c>
      <c r="OZ1599" s="2">
        <v>-0.7</v>
      </c>
      <c r="PA1599" s="2">
        <v>-0.3</v>
      </c>
      <c r="PB1599" s="2">
        <v>0.8</v>
      </c>
      <c r="PJ1599" s="2">
        <v>0.9</v>
      </c>
      <c r="PK1599" s="2">
        <v>0.6</v>
      </c>
    </row>
    <row r="1600">
      <c r="A1600" t="inlineStr">
        <is>
          <t>A2327110X</t>
        </is>
      </c>
      <c r="B1600" t="inlineStr">
        <is>
          <t>Percentage Change from Previous Period ;  Cakes and biscuits ;  Australia ;</t>
        </is>
      </c>
      <c r="C1600" t="inlineStr">
        <is>
          <t>Quarter</t>
        </is>
      </c>
      <c r="D1600" t="inlineStr">
        <is>
          <t>Percent</t>
        </is>
      </c>
      <c r="E1600" t="inlineStr">
        <is>
          <t>Original</t>
        </is>
      </c>
      <c r="F1600" t="inlineStr">
        <is>
          <t>6401018.xlsx</t>
        </is>
      </c>
      <c r="G1600" t="inlineStr">
        <is>
          <t>1980Q4</t>
        </is>
      </c>
      <c r="H1600" t="inlineStr">
        <is>
          <t>2026Q2</t>
        </is>
      </c>
      <c r="EH1600" s="2">
        <v>3.6</v>
      </c>
      <c r="EI1600" s="2">
        <v>2.2</v>
      </c>
      <c r="EJ1600" s="2">
        <v>2.6</v>
      </c>
      <c r="EK1600" s="2">
        <v>2.3</v>
      </c>
      <c r="EL1600" s="2">
        <v>3.1</v>
      </c>
      <c r="EM1600" s="2">
        <v>3.5</v>
      </c>
      <c r="EN1600" s="2">
        <v>4.6</v>
      </c>
      <c r="EO1600" s="2">
        <v>2.7</v>
      </c>
      <c r="EP1600" s="2">
        <v>3.7</v>
      </c>
      <c r="EQ1600" s="2">
        <v>1.4</v>
      </c>
      <c r="ER1600" s="2">
        <v>2.5</v>
      </c>
      <c r="ES1600" s="2">
        <v>2.1</v>
      </c>
      <c r="ET1600" s="2">
        <v>2</v>
      </c>
      <c r="EU1600" s="2">
        <v>1</v>
      </c>
      <c r="EV1600" s="2">
        <v>2.6</v>
      </c>
      <c r="EW1600" s="2">
        <v>1.9</v>
      </c>
      <c r="EX1600" s="2">
        <v>1.2</v>
      </c>
      <c r="EY1600" s="2">
        <v>1.3</v>
      </c>
      <c r="EZ1600" s="2">
        <v>1.5</v>
      </c>
      <c r="FA1600" s="2">
        <v>2.4</v>
      </c>
      <c r="FB1600" s="2">
        <v>9.9</v>
      </c>
      <c r="FC1600" s="2">
        <v>2.4</v>
      </c>
      <c r="FD1600" s="2">
        <v>2.1</v>
      </c>
      <c r="FE1600" s="2">
        <v>0.7</v>
      </c>
      <c r="FF1600" s="2">
        <v>0</v>
      </c>
      <c r="FG1600" s="2">
        <v>0.5</v>
      </c>
      <c r="FH1600" s="2">
        <v>1</v>
      </c>
      <c r="FI1600" s="2">
        <v>2.4</v>
      </c>
      <c r="FJ1600" s="2">
        <v>1</v>
      </c>
      <c r="FK1600" s="2">
        <v>2.4</v>
      </c>
      <c r="FL1600" s="2">
        <v>1.4</v>
      </c>
      <c r="FM1600" s="2">
        <v>1.4</v>
      </c>
      <c r="FN1600" s="2">
        <v>3.2</v>
      </c>
      <c r="FO1600" s="2">
        <v>1</v>
      </c>
      <c r="FP1600" s="2">
        <v>0.6</v>
      </c>
      <c r="FQ1600" s="2">
        <v>1.8</v>
      </c>
      <c r="FR1600" s="2">
        <v>1.2</v>
      </c>
      <c r="FS1600" s="2">
        <v>2.5</v>
      </c>
      <c r="FT1600" s="2">
        <v>3.8</v>
      </c>
      <c r="FU1600" s="2">
        <v>0.2</v>
      </c>
      <c r="FV1600" s="2">
        <v>3.2</v>
      </c>
      <c r="FW1600" s="2">
        <v>0.2</v>
      </c>
      <c r="FX1600" s="2">
        <v>1.8</v>
      </c>
      <c r="FY1600" s="2">
        <v>0</v>
      </c>
      <c r="FZ1600" s="2">
        <v>1.2</v>
      </c>
      <c r="GA1600" s="2">
        <v>-0.2</v>
      </c>
      <c r="GB1600" s="2">
        <v>0.6</v>
      </c>
      <c r="GC1600" s="2">
        <v>0.4</v>
      </c>
      <c r="GD1600" s="2">
        <v>0.2</v>
      </c>
      <c r="GE1600" s="2">
        <v>0</v>
      </c>
      <c r="GF1600" s="2">
        <v>0.1</v>
      </c>
      <c r="GG1600" s="2">
        <v>1.3</v>
      </c>
      <c r="GH1600" s="2">
        <v>1.7</v>
      </c>
      <c r="GI1600" s="2">
        <v>-0.4</v>
      </c>
      <c r="GJ1600" s="2">
        <v>0.1</v>
      </c>
      <c r="GK1600" s="2">
        <v>-1.5</v>
      </c>
      <c r="GL1600" s="2">
        <v>-1.5</v>
      </c>
      <c r="GM1600" s="2">
        <v>2.7</v>
      </c>
      <c r="GN1600" s="2">
        <v>0.1</v>
      </c>
      <c r="GO1600" s="2">
        <v>4.2</v>
      </c>
      <c r="GP1600" s="2">
        <v>1.7</v>
      </c>
      <c r="GQ1600" s="2">
        <v>-0.9</v>
      </c>
      <c r="GR1600" s="2">
        <v>0.7</v>
      </c>
      <c r="GS1600" s="2">
        <v>0.7</v>
      </c>
      <c r="GT1600" s="2">
        <v>0.8</v>
      </c>
      <c r="GU1600" s="2">
        <v>0.7</v>
      </c>
      <c r="GV1600" s="2">
        <v>-0.2</v>
      </c>
      <c r="GW1600" s="2">
        <v>0</v>
      </c>
      <c r="GX1600" s="2">
        <v>0.6</v>
      </c>
      <c r="GY1600" s="2">
        <v>-0.2</v>
      </c>
      <c r="GZ1600" s="2">
        <v>0.8</v>
      </c>
      <c r="HA1600" s="2">
        <v>-0.2</v>
      </c>
      <c r="HB1600" s="2">
        <v>0.9</v>
      </c>
      <c r="HC1600" s="2">
        <v>0.7</v>
      </c>
      <c r="HD1600" s="2">
        <v>-0.2</v>
      </c>
      <c r="HE1600" s="2">
        <v>2.1</v>
      </c>
      <c r="HF1600" s="2">
        <v>-0.6</v>
      </c>
      <c r="HG1600" s="2">
        <v>1.6</v>
      </c>
      <c r="HH1600" s="2">
        <v>-1.3</v>
      </c>
      <c r="HI1600" s="2">
        <v>4.4</v>
      </c>
      <c r="HJ1600" s="2">
        <v>0.4</v>
      </c>
      <c r="HK1600" s="2">
        <v>1.8</v>
      </c>
      <c r="HL1600" s="2">
        <v>1.6</v>
      </c>
      <c r="HM1600" s="2">
        <v>0.3</v>
      </c>
      <c r="HN1600" s="2">
        <v>0.3</v>
      </c>
      <c r="HO1600" s="2">
        <v>3.8</v>
      </c>
      <c r="HP1600" s="2">
        <v>-2.4</v>
      </c>
      <c r="HQ1600" s="2">
        <v>1.2</v>
      </c>
      <c r="HR1600" s="2">
        <v>2.8</v>
      </c>
      <c r="HS1600" s="2">
        <v>2.2</v>
      </c>
      <c r="HT1600" s="2">
        <v>-0.6</v>
      </c>
      <c r="HU1600" s="2">
        <v>-0.8</v>
      </c>
      <c r="HV1600" s="2">
        <v>1</v>
      </c>
      <c r="HW1600" s="2">
        <v>0.3</v>
      </c>
      <c r="HX1600" s="2">
        <v>0.4</v>
      </c>
      <c r="HY1600" s="2">
        <v>-0.6</v>
      </c>
      <c r="HZ1600" s="2">
        <v>0.1</v>
      </c>
      <c r="IA1600" s="2">
        <v>0.1</v>
      </c>
      <c r="IB1600" s="2">
        <v>1.6</v>
      </c>
      <c r="IC1600" s="2">
        <v>0.4</v>
      </c>
      <c r="ID1600" s="2">
        <v>1.6</v>
      </c>
      <c r="IE1600" s="2">
        <v>1.2</v>
      </c>
      <c r="IF1600" s="2">
        <v>1</v>
      </c>
      <c r="IG1600" s="2">
        <v>0.3</v>
      </c>
      <c r="IH1600" s="2">
        <v>2</v>
      </c>
      <c r="II1600" s="2">
        <v>1.4</v>
      </c>
      <c r="IJ1600" s="2">
        <v>0.5</v>
      </c>
      <c r="IK1600" s="2">
        <v>0.7</v>
      </c>
      <c r="IL1600" s="2">
        <v>1.5</v>
      </c>
      <c r="IM1600" s="2">
        <v>3.5</v>
      </c>
      <c r="IN1600" s="2">
        <v>2.3</v>
      </c>
      <c r="IO1600" s="2">
        <v>1.5</v>
      </c>
      <c r="IP1600" s="2">
        <v>1.8</v>
      </c>
      <c r="IQ1600" s="2">
        <v>0.8</v>
      </c>
      <c r="IR1600" s="2">
        <v>-0.7</v>
      </c>
      <c r="IS1600" s="2">
        <v>-1.3</v>
      </c>
      <c r="IT1600" s="2">
        <v>2</v>
      </c>
      <c r="IU1600" s="2">
        <v>2</v>
      </c>
      <c r="IV1600" s="2">
        <v>-1.7</v>
      </c>
      <c r="IW1600" s="2">
        <v>0.6</v>
      </c>
      <c r="IX1600" s="2">
        <v>0.4</v>
      </c>
      <c r="IY1600" s="2">
        <v>2.3</v>
      </c>
      <c r="IZ1600" s="2">
        <v>0.6</v>
      </c>
      <c r="JA1600" s="2">
        <v>-0.9</v>
      </c>
      <c r="JB1600" s="2">
        <v>1.3</v>
      </c>
      <c r="JC1600" s="2">
        <v>-0.5</v>
      </c>
      <c r="JD1600" s="2">
        <v>-2.8</v>
      </c>
      <c r="JE1600" s="2">
        <v>1.1</v>
      </c>
      <c r="JF1600" s="2">
        <v>1.7</v>
      </c>
      <c r="JG1600" s="2">
        <v>-0.3</v>
      </c>
      <c r="JH1600" s="2">
        <v>-0.6</v>
      </c>
      <c r="JI1600" s="2">
        <v>2</v>
      </c>
      <c r="JJ1600" s="2">
        <v>0</v>
      </c>
      <c r="JK1600" s="2">
        <v>-0.5</v>
      </c>
      <c r="JL1600" s="2">
        <v>1.3</v>
      </c>
      <c r="JM1600" s="2">
        <v>-1.3</v>
      </c>
      <c r="JN1600" s="2">
        <v>2.5</v>
      </c>
      <c r="JO1600" s="2">
        <v>0.7</v>
      </c>
      <c r="JP1600" s="2">
        <v>-0.6</v>
      </c>
      <c r="JQ1600" s="2">
        <v>-0.9</v>
      </c>
      <c r="JR1600" s="2">
        <v>1.1</v>
      </c>
      <c r="JS1600" s="2">
        <v>-1.4</v>
      </c>
      <c r="JT1600" s="2">
        <v>-0.5</v>
      </c>
      <c r="JU1600" s="2">
        <v>0.1</v>
      </c>
      <c r="JV1600" s="2">
        <v>0.9</v>
      </c>
      <c r="KA1600" s="2">
        <v>0.7</v>
      </c>
      <c r="KB1600" s="2">
        <v>-1.1</v>
      </c>
      <c r="KC1600" s="2">
        <v>-1.1</v>
      </c>
      <c r="KD1600" s="2">
        <v>0.1</v>
      </c>
      <c r="KQ1600" s="2">
        <v>-0.3</v>
      </c>
      <c r="KR1600" s="2">
        <v>-0.8</v>
      </c>
      <c r="KS1600" s="2">
        <v>0.1</v>
      </c>
      <c r="KT1600" s="2">
        <v>1.1</v>
      </c>
      <c r="LG1600" s="2">
        <v>0.3</v>
      </c>
      <c r="LH1600" s="2">
        <v>-0.5</v>
      </c>
      <c r="LI1600" s="2">
        <v>2.5</v>
      </c>
      <c r="LJ1600" s="2">
        <v>2.1</v>
      </c>
      <c r="LW1600" s="2">
        <v>0.1</v>
      </c>
      <c r="LX1600" s="2">
        <v>0.4</v>
      </c>
      <c r="LY1600" s="2">
        <v>-1.8</v>
      </c>
      <c r="LZ1600" s="2">
        <v>0.5</v>
      </c>
      <c r="MM1600" s="2">
        <v>1.2</v>
      </c>
      <c r="MN1600" s="2">
        <v>-0.2</v>
      </c>
      <c r="MO1600" s="2">
        <v>-0.4</v>
      </c>
      <c r="MP1600" s="2">
        <v>1.5</v>
      </c>
      <c r="NC1600" s="2">
        <v>1.2</v>
      </c>
      <c r="ND1600" s="2">
        <v>1.5</v>
      </c>
      <c r="NE1600" s="2">
        <v>3.4</v>
      </c>
      <c r="NF1600" s="2">
        <v>3.8</v>
      </c>
      <c r="NS1600" s="2">
        <v>1.4</v>
      </c>
      <c r="NT1600" s="2">
        <v>1.6</v>
      </c>
      <c r="NU1600" s="2">
        <v>2</v>
      </c>
      <c r="NV1600" s="2">
        <v>2.7</v>
      </c>
      <c r="OI1600" s="2">
        <v>1</v>
      </c>
      <c r="OJ1600" s="2">
        <v>-0.6</v>
      </c>
      <c r="OK1600" s="2">
        <v>1.1</v>
      </c>
      <c r="OL1600" s="2">
        <v>2.1</v>
      </c>
      <c r="OY1600" s="2">
        <v>0.6</v>
      </c>
      <c r="OZ1600" s="2">
        <v>-0.4</v>
      </c>
      <c r="PA1600" s="2">
        <v>1.1</v>
      </c>
      <c r="PB1600" s="2">
        <v>0.2</v>
      </c>
      <c r="PJ1600" s="2">
        <v>0.3</v>
      </c>
      <c r="PK1600" s="2">
        <v>-0.5</v>
      </c>
    </row>
    <row r="1601">
      <c r="A1601" t="inlineStr">
        <is>
          <t>A2327155C</t>
        </is>
      </c>
      <c r="B1601" t="inlineStr">
        <is>
          <t>Percentage Change from Previous Period ;  Breakfast cereals ;  Australia ;</t>
        </is>
      </c>
      <c r="C1601" t="inlineStr">
        <is>
          <t>Quarter</t>
        </is>
      </c>
      <c r="D1601" t="inlineStr">
        <is>
          <t>Percent</t>
        </is>
      </c>
      <c r="E1601" t="inlineStr">
        <is>
          <t>Original</t>
        </is>
      </c>
      <c r="F1601" t="inlineStr">
        <is>
          <t>6401018.xlsx</t>
        </is>
      </c>
      <c r="G1601" t="inlineStr">
        <is>
          <t>1980Q4</t>
        </is>
      </c>
      <c r="H1601" t="inlineStr">
        <is>
          <t>2026Q2</t>
        </is>
      </c>
      <c r="EH1601" s="2">
        <v>2.7</v>
      </c>
      <c r="EI1601" s="2">
        <v>0.5</v>
      </c>
      <c r="EJ1601" s="2">
        <v>3.3</v>
      </c>
      <c r="EK1601" s="2">
        <v>4.6</v>
      </c>
      <c r="EL1601" s="2">
        <v>3.3</v>
      </c>
      <c r="EM1601" s="2">
        <v>4.7</v>
      </c>
      <c r="EN1601" s="2">
        <v>4.7</v>
      </c>
      <c r="EO1601" s="2">
        <v>3.1</v>
      </c>
      <c r="EP1601" s="2">
        <v>0.4</v>
      </c>
      <c r="EQ1601" s="2">
        <v>7.3</v>
      </c>
      <c r="ER1601" s="2">
        <v>0.5</v>
      </c>
      <c r="ES1601" s="2">
        <v>3</v>
      </c>
      <c r="ET1601" s="2">
        <v>3</v>
      </c>
      <c r="EU1601" s="2">
        <v>3.5</v>
      </c>
      <c r="EV1601" s="2">
        <v>3.2</v>
      </c>
      <c r="EW1601" s="2">
        <v>2.1</v>
      </c>
      <c r="EX1601" s="2">
        <v>0.9</v>
      </c>
      <c r="EY1601" s="2">
        <v>1.2</v>
      </c>
      <c r="EZ1601" s="2">
        <v>1.9</v>
      </c>
      <c r="FA1601" s="2">
        <v>3.6</v>
      </c>
      <c r="FB1601" s="2">
        <v>2.2</v>
      </c>
      <c r="FC1601" s="2">
        <v>0.5</v>
      </c>
      <c r="FD1601" s="2">
        <v>1.9</v>
      </c>
      <c r="FE1601" s="2">
        <v>2</v>
      </c>
      <c r="FF1601" s="2">
        <v>2.1</v>
      </c>
      <c r="FG1601" s="2">
        <v>1.2</v>
      </c>
      <c r="FH1601" s="2">
        <v>2.9</v>
      </c>
      <c r="FI1601" s="2">
        <v>2.2</v>
      </c>
      <c r="FJ1601" s="2">
        <v>-3</v>
      </c>
      <c r="FK1601" s="2">
        <v>1.7</v>
      </c>
      <c r="FL1601" s="2">
        <v>10.3</v>
      </c>
      <c r="FM1601" s="2">
        <v>3.8</v>
      </c>
      <c r="FN1601" s="2">
        <v>3.5</v>
      </c>
      <c r="FO1601" s="2">
        <v>-2.7</v>
      </c>
      <c r="FP1601" s="2">
        <v>0.8</v>
      </c>
      <c r="FQ1601" s="2">
        <v>1.3</v>
      </c>
      <c r="FR1601" s="2">
        <v>2.9</v>
      </c>
      <c r="FS1601" s="2">
        <v>2.7</v>
      </c>
      <c r="FT1601" s="2">
        <v>0.2</v>
      </c>
      <c r="FU1601" s="2">
        <v>3.3</v>
      </c>
      <c r="FV1601" s="2">
        <v>3.2</v>
      </c>
      <c r="FW1601" s="2">
        <v>1.4</v>
      </c>
      <c r="FX1601" s="2">
        <v>0.1</v>
      </c>
      <c r="FY1601" s="2">
        <v>-0.9</v>
      </c>
      <c r="FZ1601" s="2">
        <v>0</v>
      </c>
      <c r="GA1601" s="2">
        <v>1.7</v>
      </c>
      <c r="GB1601" s="2">
        <v>1.3</v>
      </c>
      <c r="GC1601" s="2">
        <v>-0.4</v>
      </c>
      <c r="GD1601" s="2">
        <v>1.7</v>
      </c>
      <c r="GE1601" s="2">
        <v>0.4</v>
      </c>
      <c r="GF1601" s="2">
        <v>1.1</v>
      </c>
      <c r="GG1601" s="2">
        <v>1.8</v>
      </c>
      <c r="GH1601" s="2">
        <v>0.3</v>
      </c>
      <c r="GI1601" s="2">
        <v>1.4</v>
      </c>
      <c r="GJ1601" s="2">
        <v>-1.2</v>
      </c>
      <c r="GK1601" s="2">
        <v>0.5</v>
      </c>
      <c r="GL1601" s="2">
        <v>-1.2</v>
      </c>
      <c r="GM1601" s="2">
        <v>0.8</v>
      </c>
      <c r="GN1601" s="2">
        <v>3.9</v>
      </c>
      <c r="GO1601" s="2">
        <v>1.4</v>
      </c>
      <c r="GP1601" s="2">
        <v>-0.2</v>
      </c>
      <c r="GQ1601" s="2">
        <v>0.7</v>
      </c>
      <c r="GR1601" s="2">
        <v>0.2</v>
      </c>
      <c r="GS1601" s="2">
        <v>0.3</v>
      </c>
      <c r="GT1601" s="2">
        <v>1.3</v>
      </c>
      <c r="GU1601" s="2">
        <v>1.1</v>
      </c>
      <c r="GV1601" s="2">
        <v>1.5</v>
      </c>
      <c r="GW1601" s="2">
        <v>-2</v>
      </c>
      <c r="GX1601" s="2">
        <v>0.4</v>
      </c>
      <c r="GY1601" s="2">
        <v>-0.9</v>
      </c>
      <c r="GZ1601" s="2">
        <v>2</v>
      </c>
      <c r="HA1601" s="2">
        <v>0.1</v>
      </c>
      <c r="HB1601" s="2">
        <v>-4.3</v>
      </c>
      <c r="HC1601" s="2">
        <v>-1.5</v>
      </c>
      <c r="HD1601" s="2">
        <v>-0.4</v>
      </c>
      <c r="HE1601" s="2">
        <v>-1.4</v>
      </c>
      <c r="HF1601" s="2">
        <v>1.4</v>
      </c>
      <c r="HG1601" s="2">
        <v>-1.4</v>
      </c>
      <c r="HH1601" s="2">
        <v>-0.8</v>
      </c>
      <c r="HI1601" s="2">
        <v>2</v>
      </c>
      <c r="HJ1601" s="2">
        <v>-2.7</v>
      </c>
      <c r="HK1601" s="2">
        <v>1.1</v>
      </c>
      <c r="HL1601" s="2">
        <v>1.3</v>
      </c>
      <c r="HM1601" s="2">
        <v>2.9</v>
      </c>
      <c r="HN1601" s="2">
        <v>3</v>
      </c>
      <c r="HO1601" s="2">
        <v>-1.6</v>
      </c>
      <c r="HP1601" s="2">
        <v>2.3</v>
      </c>
      <c r="HQ1601" s="2">
        <v>2.2</v>
      </c>
      <c r="HR1601" s="2">
        <v>2.3</v>
      </c>
      <c r="HS1601" s="2">
        <v>0.8</v>
      </c>
      <c r="HT1601" s="2">
        <v>3.4</v>
      </c>
      <c r="HU1601" s="2">
        <v>-1</v>
      </c>
      <c r="HV1601" s="2">
        <v>1.4</v>
      </c>
      <c r="HW1601" s="2">
        <v>-1.7</v>
      </c>
      <c r="HX1601" s="2">
        <v>0.7</v>
      </c>
      <c r="HY1601" s="2">
        <v>-2.1</v>
      </c>
      <c r="HZ1601" s="2">
        <v>1</v>
      </c>
      <c r="IA1601" s="2">
        <v>2</v>
      </c>
      <c r="IB1601" s="2">
        <v>-0.4</v>
      </c>
      <c r="IC1601" s="2">
        <v>1.3</v>
      </c>
      <c r="ID1601" s="2">
        <v>2.9</v>
      </c>
      <c r="IE1601" s="2">
        <v>-1.2</v>
      </c>
      <c r="IF1601" s="2">
        <v>3.1</v>
      </c>
      <c r="IG1601" s="2">
        <v>0.4</v>
      </c>
      <c r="IH1601" s="2">
        <v>2.6</v>
      </c>
      <c r="II1601" s="2">
        <v>-5</v>
      </c>
      <c r="IJ1601" s="2">
        <v>-1.5</v>
      </c>
      <c r="IK1601" s="2">
        <v>3.6</v>
      </c>
      <c r="IL1601" s="2">
        <v>2.7</v>
      </c>
      <c r="IM1601" s="2">
        <v>2</v>
      </c>
      <c r="IN1601" s="2">
        <v>0.3</v>
      </c>
      <c r="IO1601" s="2">
        <v>-0.8</v>
      </c>
      <c r="IP1601" s="2">
        <v>1.6</v>
      </c>
      <c r="IQ1601" s="2">
        <v>0.7</v>
      </c>
      <c r="IR1601" s="2">
        <v>-1.6</v>
      </c>
      <c r="IS1601" s="2">
        <v>-1.8</v>
      </c>
      <c r="IT1601" s="2">
        <v>1.7</v>
      </c>
      <c r="IU1601" s="2">
        <v>-0.4</v>
      </c>
      <c r="IV1601" s="2">
        <v>-0.3</v>
      </c>
      <c r="IW1601" s="2">
        <v>1.3</v>
      </c>
      <c r="IX1601" s="2">
        <v>0.1</v>
      </c>
      <c r="IY1601" s="2">
        <v>-2.5</v>
      </c>
      <c r="IZ1601" s="2">
        <v>1.2</v>
      </c>
      <c r="JA1601" s="2">
        <v>3.6</v>
      </c>
      <c r="JB1601" s="2">
        <v>2.2</v>
      </c>
      <c r="JC1601" s="2">
        <v>-0.3</v>
      </c>
      <c r="JD1601" s="2">
        <v>-2.2</v>
      </c>
      <c r="JE1601" s="2">
        <v>-0.9</v>
      </c>
      <c r="JF1601" s="2">
        <v>3.6</v>
      </c>
      <c r="JG1601" s="2">
        <v>-0.2</v>
      </c>
      <c r="JH1601" s="2">
        <v>-1.4</v>
      </c>
      <c r="JI1601" s="2">
        <v>2.2</v>
      </c>
      <c r="JJ1601" s="2">
        <v>-1.8</v>
      </c>
      <c r="JK1601" s="2">
        <v>0.5</v>
      </c>
      <c r="JL1601" s="2">
        <v>-0.2</v>
      </c>
      <c r="JM1601" s="2">
        <v>-4.5</v>
      </c>
      <c r="JN1601" s="2">
        <v>-1.5</v>
      </c>
      <c r="JO1601" s="2">
        <v>3.9</v>
      </c>
      <c r="JP1601" s="2">
        <v>2.2</v>
      </c>
      <c r="JQ1601" s="2">
        <v>-1.3</v>
      </c>
      <c r="JR1601" s="2">
        <v>-3.9</v>
      </c>
      <c r="JS1601" s="2">
        <v>-1.2</v>
      </c>
      <c r="JT1601" s="2">
        <v>-1.8</v>
      </c>
      <c r="JU1601" s="2">
        <v>0.8</v>
      </c>
      <c r="JV1601" s="2">
        <v>1.7</v>
      </c>
      <c r="KA1601" s="2">
        <v>-2.6</v>
      </c>
      <c r="KB1601" s="2">
        <v>0.6</v>
      </c>
      <c r="KC1601" s="2">
        <v>-2.1</v>
      </c>
      <c r="KD1601" s="2">
        <v>1.7</v>
      </c>
      <c r="KQ1601" s="2">
        <v>-1.5</v>
      </c>
      <c r="KR1601" s="2">
        <v>-1.3</v>
      </c>
      <c r="KS1601" s="2">
        <v>-1.1</v>
      </c>
      <c r="KT1601" s="2">
        <v>4</v>
      </c>
      <c r="LG1601" s="2">
        <v>0</v>
      </c>
      <c r="LH1601" s="2">
        <v>-1.1</v>
      </c>
      <c r="LI1601" s="2">
        <v>3.5</v>
      </c>
      <c r="LJ1601" s="2">
        <v>0.1</v>
      </c>
      <c r="LW1601" s="2">
        <v>2.7</v>
      </c>
      <c r="LX1601" s="2">
        <v>1.7</v>
      </c>
      <c r="LY1601" s="2">
        <v>-5</v>
      </c>
      <c r="LZ1601" s="2">
        <v>2.4</v>
      </c>
      <c r="MM1601" s="2">
        <v>-1.6</v>
      </c>
      <c r="MN1601" s="2">
        <v>-0.8</v>
      </c>
      <c r="MO1601" s="2">
        <v>0.6</v>
      </c>
      <c r="MP1601" s="2">
        <v>1</v>
      </c>
      <c r="NC1601" s="2">
        <v>2</v>
      </c>
      <c r="ND1601" s="2">
        <v>5</v>
      </c>
      <c r="NE1601" s="2">
        <v>4.5</v>
      </c>
      <c r="NF1601" s="2">
        <v>3</v>
      </c>
      <c r="NS1601" s="2">
        <v>-0.4</v>
      </c>
      <c r="NT1601" s="2">
        <v>1</v>
      </c>
      <c r="NU1601" s="2">
        <v>2</v>
      </c>
      <c r="NV1601" s="2">
        <v>5.7</v>
      </c>
      <c r="OI1601" s="2">
        <v>-2.3</v>
      </c>
      <c r="OJ1601" s="2">
        <v>-1.2</v>
      </c>
      <c r="OK1601" s="2">
        <v>1.5</v>
      </c>
      <c r="OL1601" s="2">
        <v>0.8</v>
      </c>
      <c r="OY1601" s="2">
        <v>0.6</v>
      </c>
      <c r="OZ1601" s="2">
        <v>-1.8</v>
      </c>
      <c r="PA1601" s="2">
        <v>0.3</v>
      </c>
      <c r="PB1601" s="2">
        <v>5.6</v>
      </c>
      <c r="PJ1601" s="2">
        <v>0</v>
      </c>
      <c r="PK1601" s="2">
        <v>-1.8</v>
      </c>
    </row>
    <row r="1602">
      <c r="A1602" t="inlineStr">
        <is>
          <t>A2327200C</t>
        </is>
      </c>
      <c r="B1602" t="inlineStr">
        <is>
          <t>Percentage Change from Previous Period ;  Other cereal products ;  Australia ;</t>
        </is>
      </c>
      <c r="C1602" t="inlineStr">
        <is>
          <t>Quarter</t>
        </is>
      </c>
      <c r="D1602" t="inlineStr">
        <is>
          <t>Percent</t>
        </is>
      </c>
      <c r="E1602" t="inlineStr">
        <is>
          <t>Original</t>
        </is>
      </c>
      <c r="F1602" t="inlineStr">
        <is>
          <t>6401018.xlsx</t>
        </is>
      </c>
      <c r="G1602" t="inlineStr">
        <is>
          <t>1980Q4</t>
        </is>
      </c>
      <c r="H1602" t="inlineStr">
        <is>
          <t>2026Q2</t>
        </is>
      </c>
      <c r="EH1602" s="2">
        <v>2.3</v>
      </c>
      <c r="EI1602" s="2">
        <v>5</v>
      </c>
      <c r="EJ1602" s="2">
        <v>3.4</v>
      </c>
      <c r="EK1602" s="2">
        <v>-0.2</v>
      </c>
      <c r="EL1602" s="2">
        <v>4.2</v>
      </c>
      <c r="EM1602" s="2">
        <v>7.2</v>
      </c>
      <c r="EN1602" s="2">
        <v>1.9</v>
      </c>
      <c r="EO1602" s="2">
        <v>1.5</v>
      </c>
      <c r="EP1602" s="2">
        <v>0.3</v>
      </c>
      <c r="EQ1602" s="2">
        <v>6.2</v>
      </c>
      <c r="ER1602" s="2">
        <v>1.1</v>
      </c>
      <c r="ES1602" s="2">
        <v>-1.2</v>
      </c>
      <c r="ET1602" s="2">
        <v>2.3</v>
      </c>
      <c r="EU1602" s="2">
        <v>5.4</v>
      </c>
      <c r="EV1602" s="2">
        <v>-0.9</v>
      </c>
      <c r="EW1602" s="2">
        <v>2.3</v>
      </c>
      <c r="EX1602" s="2">
        <v>-0.8</v>
      </c>
      <c r="EY1602" s="2">
        <v>1.9</v>
      </c>
      <c r="EZ1602" s="2">
        <v>1.4</v>
      </c>
      <c r="FA1602" s="2">
        <v>3.2</v>
      </c>
      <c r="FB1602" s="2">
        <v>2.3</v>
      </c>
      <c r="FC1602" s="2">
        <v>2.1</v>
      </c>
      <c r="FD1602" s="2">
        <v>-0.9</v>
      </c>
      <c r="FE1602" s="2">
        <v>4.2</v>
      </c>
      <c r="FF1602" s="2">
        <v>0.6</v>
      </c>
      <c r="FG1602" s="2">
        <v>1.1</v>
      </c>
      <c r="FH1602" s="2">
        <v>2.8</v>
      </c>
      <c r="FI1602" s="2">
        <v>1.9</v>
      </c>
      <c r="FJ1602" s="2">
        <v>1.2</v>
      </c>
      <c r="FK1602" s="2">
        <v>2.4</v>
      </c>
      <c r="FL1602" s="2">
        <v>2.7</v>
      </c>
      <c r="FM1602" s="2">
        <v>0.3</v>
      </c>
      <c r="FN1602" s="2">
        <v>3.5</v>
      </c>
      <c r="FO1602" s="2">
        <v>2.3</v>
      </c>
      <c r="FP1602" s="2">
        <v>-1</v>
      </c>
      <c r="FQ1602" s="2">
        <v>3.9</v>
      </c>
      <c r="FR1602" s="2">
        <v>0.3</v>
      </c>
      <c r="FS1602" s="2">
        <v>1.8</v>
      </c>
      <c r="FT1602" s="2">
        <v>0.3</v>
      </c>
      <c r="FU1602" s="2">
        <v>1</v>
      </c>
      <c r="FV1602" s="2">
        <v>0.4</v>
      </c>
      <c r="FW1602" s="2">
        <v>2.1</v>
      </c>
      <c r="FX1602" s="2">
        <v>-0.6</v>
      </c>
      <c r="FY1602" s="2">
        <v>0.5</v>
      </c>
      <c r="FZ1602" s="2">
        <v>2.2</v>
      </c>
      <c r="GA1602" s="2">
        <v>0.6</v>
      </c>
      <c r="GB1602" s="2">
        <v>1.8</v>
      </c>
      <c r="GC1602" s="2">
        <v>-0.2</v>
      </c>
      <c r="GD1602" s="2">
        <v>-1.5</v>
      </c>
      <c r="GE1602" s="2">
        <v>4.3</v>
      </c>
      <c r="GF1602" s="2">
        <v>-2.8</v>
      </c>
      <c r="GG1602" s="2">
        <v>-1.3</v>
      </c>
      <c r="GH1602" s="2">
        <v>1</v>
      </c>
      <c r="GI1602" s="2">
        <v>3.3</v>
      </c>
      <c r="GJ1602" s="2">
        <v>-1.1</v>
      </c>
      <c r="GK1602" s="2">
        <v>-0.8</v>
      </c>
      <c r="GL1602" s="2">
        <v>2.6</v>
      </c>
      <c r="GM1602" s="2">
        <v>2.9</v>
      </c>
      <c r="GN1602" s="2">
        <v>2.3</v>
      </c>
      <c r="GO1602" s="2">
        <v>-1.3</v>
      </c>
      <c r="GP1602" s="2">
        <v>0.7</v>
      </c>
      <c r="GQ1602" s="2">
        <v>0.4</v>
      </c>
      <c r="GR1602" s="2">
        <v>0.9</v>
      </c>
      <c r="GS1602" s="2">
        <v>0.5</v>
      </c>
      <c r="GT1602" s="2">
        <v>1.2</v>
      </c>
      <c r="GU1602" s="2">
        <v>-0.9</v>
      </c>
      <c r="GV1602" s="2">
        <v>1.4</v>
      </c>
      <c r="GW1602" s="2">
        <v>-1.4</v>
      </c>
      <c r="GX1602" s="2">
        <v>2.4</v>
      </c>
      <c r="GY1602" s="2">
        <v>0.1</v>
      </c>
      <c r="GZ1602" s="2">
        <v>0.4</v>
      </c>
      <c r="HA1602" s="2">
        <v>0.6</v>
      </c>
      <c r="HB1602" s="2">
        <v>-3.7</v>
      </c>
      <c r="HC1602" s="2">
        <v>2.8</v>
      </c>
      <c r="HD1602" s="2">
        <v>0.7</v>
      </c>
      <c r="HE1602" s="2">
        <v>-0.1</v>
      </c>
      <c r="HF1602" s="2">
        <v>0.5</v>
      </c>
      <c r="HG1602" s="2">
        <v>-1</v>
      </c>
      <c r="HH1602" s="2">
        <v>2.4</v>
      </c>
      <c r="HI1602" s="2">
        <v>-1.6</v>
      </c>
      <c r="HJ1602" s="2">
        <v>-2.6</v>
      </c>
      <c r="HK1602" s="2">
        <v>2.6</v>
      </c>
      <c r="HL1602" s="2">
        <v>2.5</v>
      </c>
      <c r="HM1602" s="2">
        <v>0.8</v>
      </c>
      <c r="HN1602" s="2">
        <v>1.1</v>
      </c>
      <c r="HO1602" s="2">
        <v>-0.3</v>
      </c>
      <c r="HP1602" s="2">
        <v>-0.2</v>
      </c>
      <c r="HQ1602" s="2">
        <v>0.4</v>
      </c>
      <c r="HR1602" s="2">
        <v>1.9</v>
      </c>
      <c r="HS1602" s="2">
        <v>2.2</v>
      </c>
      <c r="HT1602" s="2">
        <v>6.2</v>
      </c>
      <c r="HU1602" s="2">
        <v>-1.4</v>
      </c>
      <c r="HV1602" s="2">
        <v>-0.9</v>
      </c>
      <c r="HW1602" s="2">
        <v>-1.9</v>
      </c>
      <c r="HX1602" s="2">
        <v>2.3</v>
      </c>
      <c r="HY1602" s="2">
        <v>-1.5</v>
      </c>
      <c r="HZ1602" s="2">
        <v>1.6</v>
      </c>
      <c r="IA1602" s="2">
        <v>-0.3</v>
      </c>
      <c r="IB1602" s="2">
        <v>1</v>
      </c>
      <c r="IC1602" s="2">
        <v>0.2</v>
      </c>
      <c r="ID1602" s="2">
        <v>-0.6</v>
      </c>
      <c r="IE1602" s="2">
        <v>-1.8</v>
      </c>
      <c r="IF1602" s="2">
        <v>2.1</v>
      </c>
      <c r="IG1602" s="2">
        <v>-0.3</v>
      </c>
      <c r="IH1602" s="2">
        <v>2.3</v>
      </c>
      <c r="II1602" s="2">
        <v>0.6</v>
      </c>
      <c r="IJ1602" s="2">
        <v>2</v>
      </c>
      <c r="IK1602" s="2">
        <v>0</v>
      </c>
      <c r="IL1602" s="2">
        <v>1.6</v>
      </c>
      <c r="IM1602" s="2">
        <v>7.5</v>
      </c>
      <c r="IN1602" s="2">
        <v>-0.7</v>
      </c>
      <c r="IO1602" s="2">
        <v>6.8</v>
      </c>
      <c r="IP1602" s="2">
        <v>1.9</v>
      </c>
      <c r="IQ1602" s="2">
        <v>3</v>
      </c>
      <c r="IR1602" s="2">
        <v>-1.2</v>
      </c>
      <c r="IS1602" s="2">
        <v>1.3</v>
      </c>
      <c r="IT1602" s="2">
        <v>-2</v>
      </c>
      <c r="IU1602" s="2">
        <v>1.3</v>
      </c>
      <c r="IV1602" s="2">
        <v>-1.5</v>
      </c>
      <c r="IW1602" s="2">
        <v>0.7</v>
      </c>
      <c r="IX1602" s="2">
        <v>-2.1</v>
      </c>
      <c r="IY1602" s="2">
        <v>0.5</v>
      </c>
      <c r="IZ1602" s="2">
        <v>0.8</v>
      </c>
      <c r="JA1602" s="2">
        <v>0.4</v>
      </c>
      <c r="JB1602" s="2">
        <v>-1</v>
      </c>
      <c r="JC1602" s="2">
        <v>0</v>
      </c>
      <c r="JD1602" s="2">
        <v>0.7</v>
      </c>
      <c r="JE1602" s="2">
        <v>-0.6</v>
      </c>
      <c r="JF1602" s="2">
        <v>1.2</v>
      </c>
      <c r="JG1602" s="2">
        <v>0.3</v>
      </c>
      <c r="JH1602" s="2">
        <v>0.1</v>
      </c>
      <c r="JI1602" s="2">
        <v>0.8</v>
      </c>
      <c r="JJ1602" s="2">
        <v>-0.6</v>
      </c>
      <c r="JK1602" s="2">
        <v>-1.6</v>
      </c>
      <c r="JL1602" s="2">
        <v>-1.3</v>
      </c>
      <c r="JM1602" s="2">
        <v>0.9</v>
      </c>
      <c r="JN1602" s="2">
        <v>0.8</v>
      </c>
      <c r="JO1602" s="2">
        <v>-0.7</v>
      </c>
      <c r="JP1602" s="2">
        <v>-2.6</v>
      </c>
      <c r="JQ1602" s="2">
        <v>0.8</v>
      </c>
      <c r="JR1602" s="2">
        <v>0.3</v>
      </c>
      <c r="JS1602" s="2">
        <v>-1.5</v>
      </c>
      <c r="JT1602" s="2">
        <v>-3.3</v>
      </c>
      <c r="JU1602" s="2">
        <v>-0.1</v>
      </c>
      <c r="JV1602" s="2">
        <v>-0.1</v>
      </c>
      <c r="KA1602" s="2">
        <v>-0.9</v>
      </c>
      <c r="KB1602" s="2">
        <v>-1.6</v>
      </c>
      <c r="KC1602" s="2">
        <v>-0.1</v>
      </c>
      <c r="KD1602" s="2">
        <v>1.8</v>
      </c>
      <c r="KQ1602" s="2">
        <v>-1.6</v>
      </c>
      <c r="KR1602" s="2">
        <v>0.8</v>
      </c>
      <c r="KS1602" s="2">
        <v>-1.5</v>
      </c>
      <c r="KT1602" s="2">
        <v>0.5</v>
      </c>
      <c r="LG1602" s="2">
        <v>1.1</v>
      </c>
      <c r="LH1602" s="2">
        <v>1.1</v>
      </c>
      <c r="LI1602" s="2">
        <v>-0.9</v>
      </c>
      <c r="LJ1602" s="2">
        <v>1.5</v>
      </c>
      <c r="LW1602" s="2">
        <v>4.4</v>
      </c>
      <c r="LX1602" s="2">
        <v>6</v>
      </c>
      <c r="LY1602" s="2">
        <v>-4.3</v>
      </c>
      <c r="LZ1602" s="2">
        <v>-0.3</v>
      </c>
      <c r="MM1602" s="2">
        <v>-2.8</v>
      </c>
      <c r="MN1602" s="2">
        <v>0.9</v>
      </c>
      <c r="MO1602" s="2">
        <v>0.9</v>
      </c>
      <c r="MP1602" s="2">
        <v>2.4</v>
      </c>
      <c r="NC1602" s="2">
        <v>3</v>
      </c>
      <c r="ND1602" s="2">
        <v>3.8</v>
      </c>
      <c r="NE1602" s="2">
        <v>3.5</v>
      </c>
      <c r="NF1602" s="2">
        <v>2.2</v>
      </c>
      <c r="NS1602" s="2">
        <v>1.9</v>
      </c>
      <c r="NT1602" s="2">
        <v>1</v>
      </c>
      <c r="NU1602" s="2">
        <v>0.4</v>
      </c>
      <c r="NV1602" s="2">
        <v>1.2</v>
      </c>
      <c r="OI1602" s="2">
        <v>0.5</v>
      </c>
      <c r="OJ1602" s="2">
        <v>-0.5</v>
      </c>
      <c r="OK1602" s="2">
        <v>0.4</v>
      </c>
      <c r="OL1602" s="2">
        <v>0.4</v>
      </c>
      <c r="OY1602" s="2">
        <v>0.1</v>
      </c>
      <c r="OZ1602" s="2">
        <v>-1.4</v>
      </c>
      <c r="PA1602" s="2">
        <v>0.2</v>
      </c>
      <c r="PB1602" s="2">
        <v>0.3</v>
      </c>
      <c r="PJ1602" s="2">
        <v>-0.7</v>
      </c>
      <c r="PK1602" s="2">
        <v>0.5</v>
      </c>
    </row>
    <row r="1603">
      <c r="A1603" t="inlineStr">
        <is>
          <t>A2326255V</t>
        </is>
      </c>
      <c r="B1603" t="inlineStr">
        <is>
          <t>Percentage Change from Previous Period ;  Meat and seafoods ;  Australia ;</t>
        </is>
      </c>
      <c r="C1603" t="inlineStr">
        <is>
          <t>Quarter</t>
        </is>
      </c>
      <c r="D1603" t="inlineStr">
        <is>
          <t>Percent</t>
        </is>
      </c>
      <c r="E1603" t="inlineStr">
        <is>
          <t>Original</t>
        </is>
      </c>
      <c r="F1603" t="inlineStr">
        <is>
          <t>6401018.xlsx</t>
        </is>
      </c>
      <c r="G1603" t="inlineStr">
        <is>
          <t>1972Q4</t>
        </is>
      </c>
      <c r="H1603" t="inlineStr">
        <is>
          <t>2026Q2</t>
        </is>
      </c>
      <c r="DB1603" s="2">
        <v>1.5</v>
      </c>
      <c r="DC1603" s="2">
        <v>8.1</v>
      </c>
      <c r="DD1603" s="2">
        <v>11</v>
      </c>
      <c r="DE1603" s="2">
        <v>7.1</v>
      </c>
      <c r="DF1603" s="2">
        <v>4.1</v>
      </c>
      <c r="DG1603" s="2">
        <v>7.4</v>
      </c>
      <c r="DH1603" s="2">
        <v>1.7</v>
      </c>
      <c r="DI1603" s="2">
        <v>-5.2</v>
      </c>
      <c r="DJ1603" s="2">
        <v>-6.6</v>
      </c>
      <c r="DK1603" s="2">
        <v>-0.7</v>
      </c>
      <c r="DL1603" s="2">
        <v>4.1</v>
      </c>
      <c r="DM1603" s="2">
        <v>0.7</v>
      </c>
      <c r="DN1603" s="2">
        <v>2.8</v>
      </c>
      <c r="DO1603" s="2">
        <v>3.1</v>
      </c>
      <c r="DP1603" s="2">
        <v>0.6</v>
      </c>
      <c r="DQ1603" s="2">
        <v>4</v>
      </c>
      <c r="DR1603" s="2">
        <v>3.5</v>
      </c>
      <c r="DS1603" s="2">
        <v>2.5</v>
      </c>
      <c r="DT1603" s="2">
        <v>5.1</v>
      </c>
      <c r="DU1603" s="2">
        <v>0.6</v>
      </c>
      <c r="DV1603" s="2">
        <v>0.6</v>
      </c>
      <c r="DW1603" s="2">
        <v>3.4</v>
      </c>
      <c r="DX1603" s="2">
        <v>3.9</v>
      </c>
      <c r="DY1603" s="2">
        <v>5.1</v>
      </c>
      <c r="DZ1603" s="2">
        <v>2.7</v>
      </c>
      <c r="EA1603" s="2">
        <v>11.3</v>
      </c>
      <c r="EB1603" s="2">
        <v>19.1</v>
      </c>
      <c r="EC1603" s="2">
        <v>3.7</v>
      </c>
      <c r="ED1603" s="2">
        <v>-0.2</v>
      </c>
      <c r="EE1603" s="2">
        <v>6.1</v>
      </c>
      <c r="EF1603" s="2">
        <v>2</v>
      </c>
      <c r="EG1603" s="2">
        <v>-0.5</v>
      </c>
      <c r="EH1603" s="2">
        <v>-0.3</v>
      </c>
      <c r="EI1603" s="2">
        <v>1.5</v>
      </c>
      <c r="EJ1603" s="2">
        <v>0</v>
      </c>
      <c r="EK1603" s="2">
        <v>1.6</v>
      </c>
      <c r="EL1603" s="2">
        <v>0</v>
      </c>
      <c r="EM1603" s="2">
        <v>-0.5</v>
      </c>
      <c r="EN1603" s="2">
        <v>1.9</v>
      </c>
      <c r="EO1603" s="2">
        <v>0.8</v>
      </c>
      <c r="EP1603" s="2">
        <v>1.9</v>
      </c>
      <c r="EQ1603" s="2">
        <v>1.7</v>
      </c>
      <c r="ER1603" s="2">
        <v>8.4</v>
      </c>
      <c r="ES1603" s="2">
        <v>-2.1</v>
      </c>
      <c r="ET1603" s="2">
        <v>-2</v>
      </c>
      <c r="EU1603" s="2">
        <v>2.2</v>
      </c>
      <c r="EV1603" s="2">
        <v>0.3</v>
      </c>
      <c r="EW1603" s="2">
        <v>1.9</v>
      </c>
      <c r="EX1603" s="2">
        <v>1</v>
      </c>
      <c r="EY1603" s="2">
        <v>0.4</v>
      </c>
      <c r="EZ1603" s="2">
        <v>3</v>
      </c>
      <c r="FA1603" s="2">
        <v>0.8</v>
      </c>
      <c r="FB1603" s="2">
        <v>-0.7</v>
      </c>
      <c r="FC1603" s="2">
        <v>1.3</v>
      </c>
      <c r="FD1603" s="2">
        <v>1.6</v>
      </c>
      <c r="FE1603" s="2">
        <v>2.6</v>
      </c>
      <c r="FF1603" s="2">
        <v>2.2</v>
      </c>
      <c r="FG1603" s="2">
        <v>1.5</v>
      </c>
      <c r="FH1603" s="2">
        <v>1.3</v>
      </c>
      <c r="FI1603" s="2">
        <v>1.3</v>
      </c>
      <c r="FJ1603" s="2">
        <v>0.6</v>
      </c>
      <c r="FK1603" s="2">
        <v>1.5</v>
      </c>
      <c r="FL1603" s="2">
        <v>3.5</v>
      </c>
      <c r="FM1603" s="2">
        <v>2.1</v>
      </c>
      <c r="FN1603" s="2">
        <v>1.9</v>
      </c>
      <c r="FO1603" s="2">
        <v>2.8</v>
      </c>
      <c r="FP1603" s="2">
        <v>2.8</v>
      </c>
      <c r="FQ1603" s="2">
        <v>1.3</v>
      </c>
      <c r="FR1603" s="2">
        <v>0.1</v>
      </c>
      <c r="FS1603" s="2">
        <v>1.3</v>
      </c>
      <c r="FT1603" s="2">
        <v>1.2</v>
      </c>
      <c r="FU1603" s="2">
        <v>-0.6</v>
      </c>
      <c r="FV1603" s="2">
        <v>0</v>
      </c>
      <c r="FW1603" s="2">
        <v>1.5</v>
      </c>
      <c r="FX1603" s="2">
        <v>-0.5</v>
      </c>
      <c r="FY1603" s="2">
        <v>-0.8</v>
      </c>
      <c r="FZ1603" s="2">
        <v>-1.3</v>
      </c>
      <c r="GA1603" s="2">
        <v>0.5</v>
      </c>
      <c r="GB1603" s="2">
        <v>-0.1</v>
      </c>
      <c r="GC1603" s="2">
        <v>-1.2</v>
      </c>
      <c r="GD1603" s="2">
        <v>0</v>
      </c>
      <c r="GE1603" s="2">
        <v>1.8</v>
      </c>
      <c r="GF1603" s="2">
        <v>0.2</v>
      </c>
      <c r="GG1603" s="2">
        <v>0.9</v>
      </c>
      <c r="GH1603" s="2">
        <v>0.6</v>
      </c>
      <c r="GI1603" s="2">
        <v>-0.2</v>
      </c>
      <c r="GJ1603" s="2">
        <v>0</v>
      </c>
      <c r="GK1603" s="2">
        <v>-1.6</v>
      </c>
      <c r="GL1603" s="2">
        <v>1</v>
      </c>
      <c r="GM1603" s="2">
        <v>2</v>
      </c>
      <c r="GN1603" s="2">
        <v>0.8</v>
      </c>
      <c r="GO1603" s="2">
        <v>1.7</v>
      </c>
      <c r="GP1603" s="2">
        <v>-0.8</v>
      </c>
      <c r="GQ1603" s="2">
        <v>1.7</v>
      </c>
      <c r="GR1603" s="2">
        <v>0.8</v>
      </c>
      <c r="GS1603" s="2">
        <v>0.2</v>
      </c>
      <c r="GT1603" s="2">
        <v>0.4</v>
      </c>
      <c r="GU1603" s="2">
        <v>0</v>
      </c>
      <c r="GV1603" s="2">
        <v>-0.2</v>
      </c>
      <c r="GW1603" s="2">
        <v>0.9</v>
      </c>
      <c r="GX1603" s="2">
        <v>-0.2</v>
      </c>
      <c r="GY1603" s="2">
        <v>0.1</v>
      </c>
      <c r="GZ1603" s="2">
        <v>-0.1</v>
      </c>
      <c r="HA1603" s="2">
        <v>-0.1</v>
      </c>
      <c r="HB1603" s="2">
        <v>0.1</v>
      </c>
      <c r="HC1603" s="2">
        <v>1</v>
      </c>
      <c r="HD1603" s="2">
        <v>1.8</v>
      </c>
      <c r="HE1603" s="2">
        <v>0.2</v>
      </c>
      <c r="HF1603" s="2">
        <v>1.3</v>
      </c>
      <c r="HG1603" s="2">
        <v>0.9</v>
      </c>
      <c r="HH1603" s="2">
        <v>0.4</v>
      </c>
      <c r="HI1603" s="2">
        <v>-1.3</v>
      </c>
      <c r="HJ1603" s="2">
        <v>1.5</v>
      </c>
      <c r="HK1603" s="2">
        <v>4</v>
      </c>
      <c r="HL1603" s="2">
        <v>4.4</v>
      </c>
      <c r="HM1603" s="2">
        <v>3</v>
      </c>
      <c r="HN1603" s="2">
        <v>2.6</v>
      </c>
      <c r="HO1603" s="2">
        <v>1.8</v>
      </c>
      <c r="HP1603" s="2">
        <v>0.2</v>
      </c>
      <c r="HQ1603" s="2">
        <v>-1.4</v>
      </c>
      <c r="HR1603" s="2">
        <v>0.5</v>
      </c>
      <c r="HS1603" s="2">
        <v>1</v>
      </c>
      <c r="HT1603" s="2">
        <v>1.3</v>
      </c>
      <c r="HU1603" s="2">
        <v>1.1</v>
      </c>
      <c r="HV1603" s="2">
        <v>1.6</v>
      </c>
      <c r="HW1603" s="2">
        <v>0.5</v>
      </c>
      <c r="HX1603" s="2">
        <v>-0.6</v>
      </c>
      <c r="HY1603" s="2">
        <v>-0.5</v>
      </c>
      <c r="HZ1603" s="2">
        <v>1.7</v>
      </c>
      <c r="IA1603" s="2">
        <v>1</v>
      </c>
      <c r="IB1603" s="2">
        <v>0.6</v>
      </c>
      <c r="IC1603" s="2">
        <v>0</v>
      </c>
      <c r="ID1603" s="2">
        <v>0.4</v>
      </c>
      <c r="IE1603" s="2">
        <v>0.9</v>
      </c>
      <c r="IF1603" s="2">
        <v>0.9</v>
      </c>
      <c r="IG1603" s="2">
        <v>-0.3</v>
      </c>
      <c r="IH1603" s="2">
        <v>0.3</v>
      </c>
      <c r="II1603" s="2">
        <v>0.9</v>
      </c>
      <c r="IJ1603" s="2">
        <v>0.4</v>
      </c>
      <c r="IK1603" s="2">
        <v>0.4</v>
      </c>
      <c r="IL1603" s="2">
        <v>1.4</v>
      </c>
      <c r="IM1603" s="2">
        <v>2.5</v>
      </c>
      <c r="IN1603" s="2">
        <v>-0.2</v>
      </c>
      <c r="IO1603" s="2">
        <v>0.7</v>
      </c>
      <c r="IP1603" s="2">
        <v>2.2</v>
      </c>
      <c r="IQ1603" s="2">
        <v>3.1</v>
      </c>
      <c r="IR1603" s="2">
        <v>-0.3</v>
      </c>
      <c r="IS1603" s="2">
        <v>-0.2</v>
      </c>
      <c r="IT1603" s="2">
        <v>-0.7</v>
      </c>
      <c r="IU1603" s="2">
        <v>1.2</v>
      </c>
      <c r="IV1603" s="2">
        <v>0.1</v>
      </c>
      <c r="IW1603" s="2">
        <v>0.6</v>
      </c>
      <c r="IX1603" s="2">
        <v>0.2</v>
      </c>
      <c r="IY1603" s="2">
        <v>1</v>
      </c>
      <c r="IZ1603" s="2">
        <v>0.7</v>
      </c>
      <c r="JA1603" s="2">
        <v>-0.9</v>
      </c>
      <c r="JB1603" s="2">
        <v>-0.9</v>
      </c>
      <c r="JC1603" s="2">
        <v>-0.3</v>
      </c>
      <c r="JD1603" s="2">
        <v>0</v>
      </c>
      <c r="JE1603" s="2">
        <v>0</v>
      </c>
      <c r="JF1603" s="2">
        <v>0.4</v>
      </c>
      <c r="JG1603" s="2">
        <v>-0.3</v>
      </c>
      <c r="JH1603" s="2">
        <v>0.3</v>
      </c>
      <c r="JI1603" s="2">
        <v>-0.9</v>
      </c>
      <c r="JJ1603" s="2">
        <v>0.2</v>
      </c>
      <c r="JK1603" s="2">
        <v>1.2</v>
      </c>
      <c r="JL1603" s="2">
        <v>2.3</v>
      </c>
      <c r="JM1603" s="2">
        <v>0.4</v>
      </c>
      <c r="JN1603" s="2">
        <v>1</v>
      </c>
      <c r="JO1603" s="2">
        <v>1.5</v>
      </c>
      <c r="JP1603" s="2">
        <v>1</v>
      </c>
      <c r="JQ1603" s="2">
        <v>0</v>
      </c>
      <c r="JR1603" s="2">
        <v>1.5</v>
      </c>
      <c r="JS1603" s="2">
        <v>1.2</v>
      </c>
      <c r="JT1603" s="2">
        <v>-0.3</v>
      </c>
      <c r="JU1603" s="2">
        <v>0</v>
      </c>
      <c r="JV1603" s="2">
        <v>0.4</v>
      </c>
      <c r="KA1603" s="2">
        <v>-0.1</v>
      </c>
      <c r="KB1603" s="2">
        <v>-0.2</v>
      </c>
      <c r="KC1603" s="2">
        <v>0.2</v>
      </c>
      <c r="KD1603" s="2">
        <v>0.5</v>
      </c>
      <c r="KQ1603" s="2">
        <v>0.2</v>
      </c>
      <c r="KR1603" s="2">
        <v>0.1</v>
      </c>
      <c r="KS1603" s="2">
        <v>0.4</v>
      </c>
      <c r="KT1603" s="2">
        <v>1.6</v>
      </c>
      <c r="LG1603" s="2">
        <v>1.9</v>
      </c>
      <c r="LH1603" s="2">
        <v>0.3</v>
      </c>
      <c r="LI1603" s="2">
        <v>1.7</v>
      </c>
      <c r="LJ1603" s="2">
        <v>1.6</v>
      </c>
      <c r="LW1603" s="2">
        <v>2</v>
      </c>
      <c r="LX1603" s="2">
        <v>0.7</v>
      </c>
      <c r="LY1603" s="2">
        <v>1</v>
      </c>
      <c r="LZ1603" s="2">
        <v>0.1</v>
      </c>
      <c r="MM1603" s="2">
        <v>1.1</v>
      </c>
      <c r="MN1603" s="2">
        <v>0.7</v>
      </c>
      <c r="MO1603" s="2">
        <v>0.6</v>
      </c>
      <c r="MP1603" s="2">
        <v>0.1</v>
      </c>
      <c r="NC1603" s="2">
        <v>4.8</v>
      </c>
      <c r="ND1603" s="2">
        <v>0.8</v>
      </c>
      <c r="NE1603" s="2">
        <v>1.5</v>
      </c>
      <c r="NF1603" s="2">
        <v>1</v>
      </c>
      <c r="NS1603" s="2">
        <v>0.9</v>
      </c>
      <c r="NT1603" s="2">
        <v>0.1</v>
      </c>
      <c r="NU1603" s="2">
        <v>0.3</v>
      </c>
      <c r="NV1603" s="2">
        <v>-1.2</v>
      </c>
      <c r="OI1603" s="2">
        <v>-0.8</v>
      </c>
      <c r="OJ1603" s="2">
        <v>1.3</v>
      </c>
      <c r="OK1603" s="2">
        <v>1.1</v>
      </c>
      <c r="OL1603" s="2">
        <v>0.9</v>
      </c>
      <c r="OY1603" s="2">
        <v>1</v>
      </c>
      <c r="OZ1603" s="2">
        <v>0</v>
      </c>
      <c r="PA1603" s="2">
        <v>1</v>
      </c>
      <c r="PB1603" s="2">
        <v>2</v>
      </c>
      <c r="PJ1603" s="2">
        <v>1.3</v>
      </c>
      <c r="PK1603" s="2">
        <v>0.8</v>
      </c>
    </row>
    <row r="1604">
      <c r="A1604" t="inlineStr">
        <is>
          <t>A2327245J</t>
        </is>
      </c>
      <c r="B1604" t="inlineStr">
        <is>
          <t>Percentage Change from Previous Period ;  Beef and veal ;  Australia ;</t>
        </is>
      </c>
      <c r="C1604" t="inlineStr">
        <is>
          <t>Quarter</t>
        </is>
      </c>
      <c r="D1604" t="inlineStr">
        <is>
          <t>Percent</t>
        </is>
      </c>
      <c r="E1604" t="inlineStr">
        <is>
          <t>Original</t>
        </is>
      </c>
      <c r="F1604" t="inlineStr">
        <is>
          <t>6401018.xlsx</t>
        </is>
      </c>
      <c r="G1604" t="inlineStr">
        <is>
          <t>1972Q4</t>
        </is>
      </c>
      <c r="H1604" t="inlineStr">
        <is>
          <t>2026Q2</t>
        </is>
      </c>
      <c r="DB1604" s="2">
        <v>1.5</v>
      </c>
      <c r="DC1604" s="2">
        <v>6</v>
      </c>
      <c r="DD1604" s="2">
        <v>9.6</v>
      </c>
      <c r="DE1604" s="2">
        <v>5.7</v>
      </c>
      <c r="DF1604" s="2">
        <v>3.8</v>
      </c>
      <c r="DG1604" s="2">
        <v>4</v>
      </c>
      <c r="DH1604" s="2">
        <v>-1.3</v>
      </c>
      <c r="DI1604" s="2">
        <v>-8.199999999999999</v>
      </c>
      <c r="DJ1604" s="2">
        <v>-8.9</v>
      </c>
      <c r="DK1604" s="2">
        <v>-4.8</v>
      </c>
      <c r="DL1604" s="2">
        <v>0</v>
      </c>
      <c r="DM1604" s="2">
        <v>-1.3</v>
      </c>
      <c r="DN1604" s="2">
        <v>5.9</v>
      </c>
      <c r="DO1604" s="2">
        <v>2.5</v>
      </c>
      <c r="DP1604" s="2">
        <v>0.9</v>
      </c>
      <c r="DQ1604" s="2">
        <v>4.6</v>
      </c>
      <c r="DR1604" s="2">
        <v>3.1</v>
      </c>
      <c r="DS1604" s="2">
        <v>0.3</v>
      </c>
      <c r="DT1604" s="2">
        <v>5.4</v>
      </c>
      <c r="DU1604" s="2">
        <v>0.3</v>
      </c>
      <c r="DV1604" s="2">
        <v>0</v>
      </c>
      <c r="DW1604" s="2">
        <v>2.6</v>
      </c>
      <c r="DX1604" s="2">
        <v>5.6</v>
      </c>
      <c r="DY1604" s="2">
        <v>9.699999999999999</v>
      </c>
      <c r="DZ1604" s="2">
        <v>3.3</v>
      </c>
      <c r="EA1604" s="2">
        <v>17.3</v>
      </c>
      <c r="EB1604" s="2">
        <v>30.1</v>
      </c>
      <c r="EC1604" s="2">
        <v>5.8</v>
      </c>
      <c r="ED1604" s="2">
        <v>-0.7</v>
      </c>
      <c r="EE1604" s="2">
        <v>5.7</v>
      </c>
      <c r="EF1604" s="2">
        <v>0.7</v>
      </c>
      <c r="EG1604" s="2">
        <v>0.2</v>
      </c>
      <c r="EH1604" s="2">
        <v>-0.7</v>
      </c>
      <c r="EI1604" s="2">
        <v>-0.2</v>
      </c>
      <c r="EJ1604" s="2">
        <v>-0.5</v>
      </c>
      <c r="EK1604" s="2">
        <v>0.3</v>
      </c>
      <c r="EL1604" s="2">
        <v>0</v>
      </c>
      <c r="EM1604" s="2">
        <v>-1.7</v>
      </c>
      <c r="EN1604" s="2">
        <v>2</v>
      </c>
      <c r="EO1604" s="2">
        <v>0.7</v>
      </c>
      <c r="EP1604" s="2">
        <v>2.2</v>
      </c>
      <c r="EQ1604" s="2">
        <v>1.2</v>
      </c>
      <c r="ER1604" s="2">
        <v>13.5</v>
      </c>
      <c r="ES1604" s="2">
        <v>-0.4</v>
      </c>
      <c r="ET1604" s="2">
        <v>-1.5</v>
      </c>
      <c r="EU1604" s="2">
        <v>1.6</v>
      </c>
      <c r="EV1604" s="2">
        <v>0.9</v>
      </c>
      <c r="EW1604" s="2">
        <v>2.2</v>
      </c>
      <c r="EX1604" s="2">
        <v>1.3</v>
      </c>
      <c r="EY1604" s="2">
        <v>-0.5</v>
      </c>
      <c r="EZ1604" s="2">
        <v>3.3</v>
      </c>
      <c r="FA1604" s="2">
        <v>0.2</v>
      </c>
      <c r="FB1604" s="2">
        <v>0.2</v>
      </c>
      <c r="FC1604" s="2">
        <v>0.5</v>
      </c>
      <c r="FD1604" s="2">
        <v>1.2</v>
      </c>
      <c r="FE1604" s="2">
        <v>1.5</v>
      </c>
      <c r="FF1604" s="2">
        <v>2</v>
      </c>
      <c r="FG1604" s="2">
        <v>1</v>
      </c>
      <c r="FH1604" s="2">
        <v>1</v>
      </c>
      <c r="FI1604" s="2">
        <v>2.2</v>
      </c>
      <c r="FJ1604" s="2">
        <v>-0.1</v>
      </c>
      <c r="FK1604" s="2">
        <v>1.7</v>
      </c>
      <c r="FL1604" s="2">
        <v>4.9</v>
      </c>
      <c r="FM1604" s="2">
        <v>4</v>
      </c>
      <c r="FN1604" s="2">
        <v>0.4</v>
      </c>
      <c r="FO1604" s="2">
        <v>2.4</v>
      </c>
      <c r="FP1604" s="2">
        <v>5.8</v>
      </c>
      <c r="FQ1604" s="2">
        <v>2.3</v>
      </c>
      <c r="FR1604" s="2">
        <v>-0.7</v>
      </c>
      <c r="FS1604" s="2">
        <v>1.8</v>
      </c>
      <c r="FT1604" s="2">
        <v>2.4</v>
      </c>
      <c r="FU1604" s="2">
        <v>0.2</v>
      </c>
      <c r="FV1604" s="2">
        <v>-0.1</v>
      </c>
      <c r="FW1604" s="2">
        <v>0.5</v>
      </c>
      <c r="FX1604" s="2">
        <v>0.5</v>
      </c>
      <c r="FY1604" s="2">
        <v>0.2</v>
      </c>
      <c r="FZ1604" s="2">
        <v>-1</v>
      </c>
      <c r="GA1604" s="2">
        <v>0.3</v>
      </c>
      <c r="GB1604" s="2">
        <v>0.3</v>
      </c>
      <c r="GC1604" s="2">
        <v>-1.3</v>
      </c>
      <c r="GD1604" s="2">
        <v>-1.8</v>
      </c>
      <c r="GE1604" s="2">
        <v>0.4</v>
      </c>
      <c r="GF1604" s="2">
        <v>0.3</v>
      </c>
      <c r="GG1604" s="2">
        <v>2.2</v>
      </c>
      <c r="GH1604" s="2">
        <v>0.8</v>
      </c>
      <c r="GI1604" s="2">
        <v>1.1</v>
      </c>
      <c r="GJ1604" s="2">
        <v>1.1</v>
      </c>
      <c r="GK1604" s="2">
        <v>0.1</v>
      </c>
      <c r="GL1604" s="2">
        <v>-0.9</v>
      </c>
      <c r="GM1604" s="2">
        <v>-0.2</v>
      </c>
      <c r="GN1604" s="2">
        <v>1</v>
      </c>
      <c r="GO1604" s="2">
        <v>2.3</v>
      </c>
      <c r="GP1604" s="2">
        <v>-1.1</v>
      </c>
      <c r="GQ1604" s="2">
        <v>-0.4</v>
      </c>
      <c r="GR1604" s="2">
        <v>-1.2</v>
      </c>
      <c r="GS1604" s="2">
        <v>-1.9</v>
      </c>
      <c r="GT1604" s="2">
        <v>0</v>
      </c>
      <c r="GU1604" s="2">
        <v>-0.6</v>
      </c>
      <c r="GV1604" s="2">
        <v>0.5</v>
      </c>
      <c r="GW1604" s="2">
        <v>0.1</v>
      </c>
      <c r="GX1604" s="2">
        <v>0.5</v>
      </c>
      <c r="GY1604" s="2">
        <v>0.3</v>
      </c>
      <c r="GZ1604" s="2">
        <v>-0.2</v>
      </c>
      <c r="HA1604" s="2">
        <v>-0.1</v>
      </c>
      <c r="HB1604" s="2">
        <v>-0.8</v>
      </c>
      <c r="HC1604" s="2">
        <v>0.9</v>
      </c>
      <c r="HD1604" s="2">
        <v>3.2</v>
      </c>
      <c r="HE1604" s="2">
        <v>0.2</v>
      </c>
      <c r="HF1604" s="2">
        <v>0.6</v>
      </c>
      <c r="HG1604" s="2">
        <v>2.3</v>
      </c>
      <c r="HH1604" s="2">
        <v>2.5</v>
      </c>
      <c r="HI1604" s="2">
        <v>-1.6</v>
      </c>
      <c r="HJ1604" s="2">
        <v>0.8</v>
      </c>
      <c r="HK1604" s="2">
        <v>4.6</v>
      </c>
      <c r="HL1604" s="2">
        <v>9</v>
      </c>
      <c r="HM1604" s="2">
        <v>3.2</v>
      </c>
      <c r="HN1604" s="2">
        <v>5.5</v>
      </c>
      <c r="HO1604" s="2">
        <v>0.4</v>
      </c>
      <c r="HP1604" s="2">
        <v>0.8</v>
      </c>
      <c r="HQ1604" s="2">
        <v>-3.1</v>
      </c>
      <c r="HR1604" s="2">
        <v>1.5</v>
      </c>
      <c r="HS1604" s="2">
        <v>0.7</v>
      </c>
      <c r="HT1604" s="2">
        <v>2.7</v>
      </c>
      <c r="HU1604" s="2">
        <v>2.2</v>
      </c>
      <c r="HV1604" s="2">
        <v>0.2</v>
      </c>
      <c r="HW1604" s="2">
        <v>0.2</v>
      </c>
      <c r="HX1604" s="2">
        <v>-0.2</v>
      </c>
      <c r="HY1604" s="2">
        <v>-0.9</v>
      </c>
      <c r="HZ1604" s="2">
        <v>3.6</v>
      </c>
      <c r="IA1604" s="2">
        <v>3.1</v>
      </c>
      <c r="IB1604" s="2">
        <v>2.3</v>
      </c>
      <c r="IC1604" s="2">
        <v>-0.2</v>
      </c>
      <c r="ID1604" s="2">
        <v>2</v>
      </c>
      <c r="IE1604" s="2">
        <v>1</v>
      </c>
      <c r="IF1604" s="2">
        <v>0.9</v>
      </c>
      <c r="IG1604" s="2">
        <v>-0.3</v>
      </c>
      <c r="IH1604" s="2">
        <v>-1.9</v>
      </c>
      <c r="II1604" s="2">
        <v>-1</v>
      </c>
      <c r="IJ1604" s="2">
        <v>1.9</v>
      </c>
      <c r="IK1604" s="2">
        <v>-0.4</v>
      </c>
      <c r="IL1604" s="2">
        <v>-0.5</v>
      </c>
      <c r="IM1604" s="2">
        <v>3.1</v>
      </c>
      <c r="IN1604" s="2">
        <v>-0.5</v>
      </c>
      <c r="IO1604" s="2">
        <v>0.1</v>
      </c>
      <c r="IP1604" s="2">
        <v>1.4</v>
      </c>
      <c r="IQ1604" s="2">
        <v>2</v>
      </c>
      <c r="IR1604" s="2">
        <v>-0.4</v>
      </c>
      <c r="IS1604" s="2">
        <v>-0.9</v>
      </c>
      <c r="IT1604" s="2">
        <v>-0.1</v>
      </c>
      <c r="IU1604" s="2">
        <v>0.6</v>
      </c>
      <c r="IV1604" s="2">
        <v>-0.3</v>
      </c>
      <c r="IW1604" s="2">
        <v>0.9</v>
      </c>
      <c r="IX1604" s="2">
        <v>-3.6</v>
      </c>
      <c r="IY1604" s="2">
        <v>-0.6</v>
      </c>
      <c r="IZ1604" s="2">
        <v>0.2</v>
      </c>
      <c r="JA1604" s="2">
        <v>-1.2</v>
      </c>
      <c r="JB1604" s="2">
        <v>-0.3</v>
      </c>
      <c r="JC1604" s="2">
        <v>1.2</v>
      </c>
      <c r="JD1604" s="2">
        <v>0.4</v>
      </c>
      <c r="JE1604" s="2">
        <v>0.4</v>
      </c>
      <c r="JF1604" s="2">
        <v>-0.4</v>
      </c>
      <c r="JG1604" s="2">
        <v>-0.1</v>
      </c>
      <c r="JH1604" s="2">
        <v>-0.5</v>
      </c>
      <c r="JI1604" s="2">
        <v>-2.6</v>
      </c>
      <c r="JJ1604" s="2">
        <v>0.3</v>
      </c>
      <c r="JK1604" s="2">
        <v>2.4</v>
      </c>
      <c r="JL1604" s="2">
        <v>3.2</v>
      </c>
      <c r="JM1604" s="2">
        <v>2.1</v>
      </c>
      <c r="JN1604" s="2">
        <v>1.6</v>
      </c>
      <c r="JO1604" s="2">
        <v>2.1</v>
      </c>
      <c r="JP1604" s="2">
        <v>2</v>
      </c>
      <c r="JQ1604" s="2">
        <v>2.9</v>
      </c>
      <c r="JR1604" s="2">
        <v>4.2</v>
      </c>
      <c r="JS1604" s="2">
        <v>3.5</v>
      </c>
      <c r="JT1604" s="2">
        <v>0</v>
      </c>
      <c r="JU1604" s="2">
        <v>1</v>
      </c>
      <c r="JV1604" s="2">
        <v>0.2</v>
      </c>
      <c r="KA1604" s="2">
        <v>-1</v>
      </c>
      <c r="KB1604" s="2">
        <v>0.3</v>
      </c>
      <c r="KC1604" s="2">
        <v>0.1</v>
      </c>
      <c r="KD1604" s="2">
        <v>0.3</v>
      </c>
      <c r="KQ1604" s="2">
        <v>1</v>
      </c>
      <c r="KR1604" s="2">
        <v>-1.8</v>
      </c>
      <c r="KS1604" s="2">
        <v>0.8</v>
      </c>
      <c r="KT1604" s="2">
        <v>1.9</v>
      </c>
      <c r="LG1604" s="2">
        <v>2.9</v>
      </c>
      <c r="LH1604" s="2">
        <v>0.4</v>
      </c>
      <c r="LI1604" s="2">
        <v>1.8</v>
      </c>
      <c r="LJ1604" s="2">
        <v>2.9</v>
      </c>
      <c r="LW1604" s="2">
        <v>3.5</v>
      </c>
      <c r="LX1604" s="2">
        <v>-1.2</v>
      </c>
      <c r="LY1604" s="2">
        <v>2.6</v>
      </c>
      <c r="LZ1604" s="2">
        <v>3</v>
      </c>
      <c r="MM1604" s="2">
        <v>3.7</v>
      </c>
      <c r="MN1604" s="2">
        <v>3.6</v>
      </c>
      <c r="MO1604" s="2">
        <v>0.3</v>
      </c>
      <c r="MP1604" s="2">
        <v>0.4</v>
      </c>
      <c r="NC1604" s="2">
        <v>7.5</v>
      </c>
      <c r="ND1604" s="2">
        <v>1.1</v>
      </c>
      <c r="NE1604" s="2">
        <v>0.2</v>
      </c>
      <c r="NF1604" s="2">
        <v>-0.3</v>
      </c>
      <c r="NS1604" s="2">
        <v>-0.2</v>
      </c>
      <c r="NT1604" s="2">
        <v>-1.6</v>
      </c>
      <c r="NU1604" s="2">
        <v>-1.3</v>
      </c>
      <c r="NV1604" s="2">
        <v>-1.5</v>
      </c>
      <c r="OI1604" s="2">
        <v>-1.6</v>
      </c>
      <c r="OJ1604" s="2">
        <v>0.6</v>
      </c>
      <c r="OK1604" s="2">
        <v>0.8</v>
      </c>
      <c r="OL1604" s="2">
        <v>0.8</v>
      </c>
      <c r="OY1604" s="2">
        <v>1.5</v>
      </c>
      <c r="OZ1604" s="2">
        <v>1.5</v>
      </c>
      <c r="PA1604" s="2">
        <v>2.3</v>
      </c>
      <c r="PB1604" s="2">
        <v>5.3</v>
      </c>
      <c r="PJ1604" s="2">
        <v>2.7</v>
      </c>
      <c r="PK1604" s="2">
        <v>1.6</v>
      </c>
    </row>
    <row r="1605">
      <c r="A1605" t="inlineStr">
        <is>
          <t>A3604362F</t>
        </is>
      </c>
      <c r="B1605" t="inlineStr">
        <is>
          <t>Percentage Change from Previous Period ;  Pork ;  Australia ;</t>
        </is>
      </c>
      <c r="C1605" t="inlineStr">
        <is>
          <t>Quarter</t>
        </is>
      </c>
      <c r="D1605" t="inlineStr">
        <is>
          <t>Percent</t>
        </is>
      </c>
      <c r="E1605" t="inlineStr">
        <is>
          <t>Original</t>
        </is>
      </c>
      <c r="F1605" t="inlineStr">
        <is>
          <t>6401018.xlsx</t>
        </is>
      </c>
      <c r="G1605" t="inlineStr">
        <is>
          <t>1980Q4</t>
        </is>
      </c>
      <c r="H1605" t="inlineStr">
        <is>
          <t>2026Q2</t>
        </is>
      </c>
      <c r="EH1605" s="2">
        <v>5.1</v>
      </c>
      <c r="EI1605" s="2">
        <v>3.2</v>
      </c>
      <c r="EJ1605" s="2">
        <v>0.6</v>
      </c>
      <c r="EK1605" s="2">
        <v>3.7</v>
      </c>
      <c r="EL1605" s="2">
        <v>4.1</v>
      </c>
      <c r="EM1605" s="2">
        <v>1.9</v>
      </c>
      <c r="EN1605" s="2">
        <v>2.8</v>
      </c>
      <c r="EO1605" s="2">
        <v>4.3</v>
      </c>
      <c r="EP1605" s="2">
        <v>1.4</v>
      </c>
      <c r="EQ1605" s="2">
        <v>1.9</v>
      </c>
      <c r="ER1605" s="2">
        <v>0.3</v>
      </c>
      <c r="ES1605" s="2">
        <v>-2.8</v>
      </c>
      <c r="ET1605" s="2">
        <v>-0.2</v>
      </c>
      <c r="EU1605" s="2">
        <v>-1.1</v>
      </c>
      <c r="EV1605" s="2">
        <v>0.9</v>
      </c>
      <c r="EW1605" s="2">
        <v>0.8</v>
      </c>
      <c r="EX1605" s="2">
        <v>1.5</v>
      </c>
      <c r="EY1605" s="2">
        <v>2.3</v>
      </c>
      <c r="EZ1605" s="2">
        <v>0.1</v>
      </c>
      <c r="FA1605" s="2">
        <v>1</v>
      </c>
      <c r="FB1605" s="2">
        <v>-0.1</v>
      </c>
      <c r="FC1605" s="2">
        <v>1.2</v>
      </c>
      <c r="FD1605" s="2">
        <v>0.1</v>
      </c>
      <c r="FE1605" s="2">
        <v>-1.5</v>
      </c>
      <c r="FF1605" s="2">
        <v>4.6</v>
      </c>
      <c r="FG1605" s="2">
        <v>-1.5</v>
      </c>
      <c r="FH1605" s="2">
        <v>-0.5</v>
      </c>
      <c r="FI1605" s="2">
        <v>0.6</v>
      </c>
      <c r="FJ1605" s="2">
        <v>1.7</v>
      </c>
      <c r="FK1605" s="2">
        <v>0.3</v>
      </c>
      <c r="FL1605" s="2">
        <v>0.3</v>
      </c>
      <c r="FM1605" s="2">
        <v>-0.1</v>
      </c>
      <c r="FN1605" s="2">
        <v>4</v>
      </c>
      <c r="FO1605" s="2">
        <v>3</v>
      </c>
      <c r="FP1605" s="2">
        <v>0.5</v>
      </c>
      <c r="FQ1605" s="2">
        <v>1.2</v>
      </c>
      <c r="FR1605" s="2">
        <v>3.2</v>
      </c>
      <c r="FS1605" s="2">
        <v>-0.1</v>
      </c>
      <c r="FT1605" s="2">
        <v>0.4</v>
      </c>
      <c r="FU1605" s="2">
        <v>-1.3</v>
      </c>
      <c r="FV1605" s="2">
        <v>1.9</v>
      </c>
      <c r="FW1605" s="2">
        <v>1.1</v>
      </c>
      <c r="FX1605" s="2">
        <v>0</v>
      </c>
      <c r="FY1605" s="2">
        <v>-2</v>
      </c>
      <c r="FZ1605" s="2">
        <v>1.4</v>
      </c>
      <c r="GA1605" s="2">
        <v>0.5</v>
      </c>
      <c r="GB1605" s="2">
        <v>-0.9</v>
      </c>
      <c r="GC1605" s="2">
        <v>0.4</v>
      </c>
      <c r="GD1605" s="2">
        <v>-0.4</v>
      </c>
      <c r="GE1605" s="2">
        <v>1.3</v>
      </c>
      <c r="GF1605" s="2">
        <v>0.5</v>
      </c>
      <c r="GG1605" s="2">
        <v>0.5</v>
      </c>
      <c r="GH1605" s="2">
        <v>2.3</v>
      </c>
      <c r="GI1605" s="2">
        <v>-0.3</v>
      </c>
      <c r="GJ1605" s="2">
        <v>-1.2</v>
      </c>
      <c r="GK1605" s="2">
        <v>-1.5</v>
      </c>
      <c r="GL1605" s="2">
        <v>1.3</v>
      </c>
      <c r="GM1605" s="2">
        <v>1</v>
      </c>
      <c r="GN1605" s="2">
        <v>-0.6</v>
      </c>
      <c r="GO1605" s="2">
        <v>1.3</v>
      </c>
      <c r="GP1605" s="2">
        <v>0.5</v>
      </c>
      <c r="GQ1605" s="2">
        <v>1</v>
      </c>
      <c r="GR1605" s="2">
        <v>2.3</v>
      </c>
      <c r="GS1605" s="2">
        <v>1.3</v>
      </c>
      <c r="GT1605" s="2">
        <v>2.1</v>
      </c>
      <c r="GU1605" s="2">
        <v>0.8</v>
      </c>
      <c r="GV1605" s="2">
        <v>-0.5</v>
      </c>
      <c r="GW1605" s="2">
        <v>-1.5</v>
      </c>
      <c r="GX1605" s="2">
        <v>0.8</v>
      </c>
      <c r="GY1605" s="2">
        <v>0.2</v>
      </c>
      <c r="GZ1605" s="2">
        <v>-1.3</v>
      </c>
      <c r="HA1605" s="2">
        <v>-0.9</v>
      </c>
      <c r="HB1605" s="2">
        <v>-0.4</v>
      </c>
      <c r="HC1605" s="2">
        <v>1</v>
      </c>
      <c r="HD1605" s="2">
        <v>-0.7</v>
      </c>
      <c r="HE1605" s="2">
        <v>1.6</v>
      </c>
      <c r="HF1605" s="2">
        <v>4.7</v>
      </c>
      <c r="HG1605" s="2">
        <v>0.9</v>
      </c>
      <c r="HH1605" s="2">
        <v>-2.2</v>
      </c>
      <c r="HI1605" s="2">
        <v>0.2</v>
      </c>
      <c r="HJ1605" s="2">
        <v>1.5</v>
      </c>
      <c r="HK1605" s="2">
        <v>3.6</v>
      </c>
      <c r="HL1605" s="2">
        <v>3.9</v>
      </c>
      <c r="HM1605" s="2">
        <v>4.8</v>
      </c>
      <c r="HN1605" s="2">
        <v>1.9</v>
      </c>
      <c r="HO1605" s="2">
        <v>3.9</v>
      </c>
      <c r="HP1605" s="2">
        <v>-1.7</v>
      </c>
      <c r="HQ1605" s="2">
        <v>-0.4</v>
      </c>
      <c r="HR1605" s="2">
        <v>-1.5</v>
      </c>
      <c r="HS1605" s="2">
        <v>0.8</v>
      </c>
      <c r="HT1605" s="2">
        <v>1.1</v>
      </c>
      <c r="HU1605" s="2">
        <v>-1.3</v>
      </c>
      <c r="HV1605" s="2">
        <v>3</v>
      </c>
      <c r="HW1605" s="2">
        <v>-0.2</v>
      </c>
      <c r="HX1605" s="2">
        <v>-1.7</v>
      </c>
      <c r="HY1605" s="2">
        <v>-4.7</v>
      </c>
      <c r="HZ1605" s="2">
        <v>7.8</v>
      </c>
      <c r="IA1605" s="2">
        <v>0.5</v>
      </c>
      <c r="IB1605" s="2">
        <v>3.3</v>
      </c>
      <c r="IC1605" s="2">
        <v>-0.3</v>
      </c>
      <c r="ID1605" s="2">
        <v>-1.4</v>
      </c>
      <c r="IE1605" s="2">
        <v>2.5</v>
      </c>
      <c r="IF1605" s="2">
        <v>-0.3</v>
      </c>
      <c r="IG1605" s="2">
        <v>0.7</v>
      </c>
      <c r="IH1605" s="2">
        <v>2.7</v>
      </c>
      <c r="II1605" s="2">
        <v>2.1</v>
      </c>
      <c r="IJ1605" s="2">
        <v>-2.6</v>
      </c>
      <c r="IK1605" s="2">
        <v>-0.9</v>
      </c>
      <c r="IL1605" s="2">
        <v>1</v>
      </c>
      <c r="IM1605" s="2">
        <v>2.9</v>
      </c>
      <c r="IN1605" s="2">
        <v>-0.4</v>
      </c>
      <c r="IO1605" s="2">
        <v>-1.8</v>
      </c>
      <c r="IP1605" s="2">
        <v>5.1</v>
      </c>
      <c r="IQ1605" s="2">
        <v>5.2</v>
      </c>
      <c r="IR1605" s="2">
        <v>-0.7</v>
      </c>
      <c r="IS1605" s="2">
        <v>-1.3</v>
      </c>
      <c r="IT1605" s="2">
        <v>-3.4</v>
      </c>
      <c r="IU1605" s="2">
        <v>4.6</v>
      </c>
      <c r="IV1605" s="2">
        <v>-1.4</v>
      </c>
      <c r="IW1605" s="2">
        <v>0.1</v>
      </c>
      <c r="IX1605" s="2">
        <v>2.8</v>
      </c>
      <c r="IY1605" s="2">
        <v>0.8</v>
      </c>
      <c r="IZ1605" s="2">
        <v>-0.5</v>
      </c>
      <c r="JA1605" s="2">
        <v>-0.5</v>
      </c>
      <c r="JB1605" s="2">
        <v>-2.3</v>
      </c>
      <c r="JC1605" s="2">
        <v>1.4</v>
      </c>
      <c r="JD1605" s="2">
        <v>-1.6</v>
      </c>
      <c r="JE1605" s="2">
        <v>0.3</v>
      </c>
      <c r="JF1605" s="2">
        <v>0.7</v>
      </c>
      <c r="JG1605" s="2">
        <v>0.8</v>
      </c>
      <c r="JH1605" s="2">
        <v>0</v>
      </c>
      <c r="JI1605" s="2">
        <v>0.1</v>
      </c>
      <c r="JJ1605" s="2">
        <v>-0.7</v>
      </c>
      <c r="JK1605" s="2">
        <v>3.2</v>
      </c>
      <c r="JL1605" s="2">
        <v>0.8</v>
      </c>
      <c r="JM1605" s="2">
        <v>-0.1</v>
      </c>
      <c r="JN1605" s="2">
        <v>1.7</v>
      </c>
      <c r="JO1605" s="2">
        <v>2.8</v>
      </c>
      <c r="JP1605" s="2">
        <v>0.1</v>
      </c>
      <c r="JQ1605" s="2">
        <v>0.4</v>
      </c>
      <c r="JR1605" s="2">
        <v>1.4</v>
      </c>
      <c r="JS1605" s="2">
        <v>1.3</v>
      </c>
      <c r="JT1605" s="2">
        <v>-0.8</v>
      </c>
      <c r="JU1605" s="2">
        <v>-1.1</v>
      </c>
      <c r="JV1605" s="2">
        <v>1.6</v>
      </c>
      <c r="KA1605" s="2">
        <v>-0.2</v>
      </c>
      <c r="KB1605" s="2">
        <v>-3</v>
      </c>
      <c r="KC1605" s="2">
        <v>0.5</v>
      </c>
      <c r="KD1605" s="2">
        <v>0.5</v>
      </c>
      <c r="KQ1605" s="2">
        <v>0.4</v>
      </c>
      <c r="KR1605" s="2">
        <v>-1</v>
      </c>
      <c r="KS1605" s="2">
        <v>-0.9</v>
      </c>
      <c r="KT1605" s="2">
        <v>0.9</v>
      </c>
      <c r="LG1605" s="2">
        <v>0.8</v>
      </c>
      <c r="LH1605" s="2">
        <v>0.4</v>
      </c>
      <c r="LI1605" s="2">
        <v>1.8</v>
      </c>
      <c r="LJ1605" s="2">
        <v>4.8</v>
      </c>
      <c r="LW1605" s="2">
        <v>1.4</v>
      </c>
      <c r="LX1605" s="2">
        <v>1.2</v>
      </c>
      <c r="LY1605" s="2">
        <v>0.2</v>
      </c>
      <c r="LZ1605" s="2">
        <v>0.4</v>
      </c>
      <c r="MM1605" s="2">
        <v>0.1</v>
      </c>
      <c r="MN1605" s="2">
        <v>-1.2</v>
      </c>
      <c r="MO1605" s="2">
        <v>0.3</v>
      </c>
      <c r="MP1605" s="2">
        <v>1.4</v>
      </c>
      <c r="NC1605" s="2">
        <v>2.7</v>
      </c>
      <c r="ND1605" s="2">
        <v>-0.5</v>
      </c>
      <c r="NE1605" s="2">
        <v>0.2</v>
      </c>
      <c r="NF1605" s="2">
        <v>2.3</v>
      </c>
      <c r="NS1605" s="2">
        <v>1.9</v>
      </c>
      <c r="NT1605" s="2">
        <v>-0.7</v>
      </c>
      <c r="NU1605" s="2">
        <v>0.9</v>
      </c>
      <c r="NV1605" s="2">
        <v>3.2</v>
      </c>
      <c r="OI1605" s="2">
        <v>0.6</v>
      </c>
      <c r="OJ1605" s="2">
        <v>-0.1</v>
      </c>
      <c r="OK1605" s="2">
        <v>-0.2</v>
      </c>
      <c r="OL1605" s="2">
        <v>2.2</v>
      </c>
      <c r="OY1605" s="2">
        <v>1.8</v>
      </c>
      <c r="OZ1605" s="2">
        <v>-0.7</v>
      </c>
      <c r="PA1605" s="2">
        <v>0.2</v>
      </c>
      <c r="PB1605" s="2">
        <v>-0.1</v>
      </c>
      <c r="PJ1605" s="2">
        <v>1</v>
      </c>
      <c r="PK1605" s="2">
        <v>0.8</v>
      </c>
    </row>
    <row r="1606">
      <c r="A1606" t="inlineStr">
        <is>
          <t>A2327290V</t>
        </is>
      </c>
      <c r="B1606" t="inlineStr">
        <is>
          <t>Percentage Change from Previous Period ;  Lamb and goat ;  Australia ;</t>
        </is>
      </c>
      <c r="C1606" t="inlineStr">
        <is>
          <t>Quarter</t>
        </is>
      </c>
      <c r="D1606" t="inlineStr">
        <is>
          <t>Percent</t>
        </is>
      </c>
      <c r="E1606" t="inlineStr">
        <is>
          <t>Original</t>
        </is>
      </c>
      <c r="F1606" t="inlineStr">
        <is>
          <t>6401018.xlsx</t>
        </is>
      </c>
      <c r="G1606" t="inlineStr">
        <is>
          <t>1972Q4</t>
        </is>
      </c>
      <c r="H1606" t="inlineStr">
        <is>
          <t>2026Q2</t>
        </is>
      </c>
      <c r="DB1606" s="2">
        <v>2.1</v>
      </c>
      <c r="DC1606" s="2">
        <v>18.6</v>
      </c>
      <c r="DD1606" s="2">
        <v>15.9</v>
      </c>
      <c r="DE1606" s="2">
        <v>11.5</v>
      </c>
      <c r="DF1606" s="2">
        <v>1.9</v>
      </c>
      <c r="DG1606" s="2">
        <v>14</v>
      </c>
      <c r="DH1606" s="2">
        <v>0.8</v>
      </c>
      <c r="DI1606" s="2">
        <v>-9.199999999999999</v>
      </c>
      <c r="DJ1606" s="2">
        <v>-14.7</v>
      </c>
      <c r="DK1606" s="2">
        <v>3.4</v>
      </c>
      <c r="DL1606" s="2">
        <v>9.4</v>
      </c>
      <c r="DM1606" s="2">
        <v>1.7</v>
      </c>
      <c r="DN1606" s="2">
        <v>-0.4</v>
      </c>
      <c r="DO1606" s="2">
        <v>2.6</v>
      </c>
      <c r="DP1606" s="2">
        <v>-0.3</v>
      </c>
      <c r="DQ1606" s="2">
        <v>9.6</v>
      </c>
      <c r="DR1606" s="2">
        <v>7.1</v>
      </c>
      <c r="DS1606" s="2">
        <v>-0.2</v>
      </c>
      <c r="DT1606" s="2">
        <v>9</v>
      </c>
      <c r="DU1606" s="2">
        <v>-0.3</v>
      </c>
      <c r="DV1606" s="2">
        <v>-3.4</v>
      </c>
      <c r="DW1606" s="2">
        <v>9.6</v>
      </c>
      <c r="DX1606" s="2">
        <v>6.4</v>
      </c>
      <c r="DY1606" s="2">
        <v>2.8</v>
      </c>
      <c r="DZ1606" s="2">
        <v>-1.9</v>
      </c>
      <c r="EA1606" s="2">
        <v>13.6</v>
      </c>
      <c r="EB1606" s="2">
        <v>16.8</v>
      </c>
      <c r="EC1606" s="2">
        <v>-6.3</v>
      </c>
      <c r="ED1606" s="2">
        <v>-3.3</v>
      </c>
      <c r="EE1606" s="2">
        <v>14.1</v>
      </c>
      <c r="EF1606" s="2">
        <v>6</v>
      </c>
      <c r="EG1606" s="2">
        <v>-1.7</v>
      </c>
      <c r="EH1606" s="2">
        <v>-7.8</v>
      </c>
      <c r="EI1606" s="2">
        <v>2.9</v>
      </c>
      <c r="EJ1606" s="2">
        <v>1.5</v>
      </c>
      <c r="EK1606" s="2">
        <v>4.9</v>
      </c>
      <c r="EL1606" s="2">
        <v>-5.8</v>
      </c>
      <c r="EM1606" s="2">
        <v>-0.4</v>
      </c>
      <c r="EN1606" s="2">
        <v>5.5</v>
      </c>
      <c r="EO1606" s="2">
        <v>-4.8</v>
      </c>
      <c r="EP1606" s="2">
        <v>1.1</v>
      </c>
      <c r="EQ1606" s="2">
        <v>2.2</v>
      </c>
      <c r="ER1606" s="2">
        <v>18.5</v>
      </c>
      <c r="ES1606" s="2">
        <v>-15.8</v>
      </c>
      <c r="ET1606" s="2">
        <v>-6.3</v>
      </c>
      <c r="EU1606" s="2">
        <v>11.8</v>
      </c>
      <c r="EV1606" s="2">
        <v>0.6</v>
      </c>
      <c r="EW1606" s="2">
        <v>5.1</v>
      </c>
      <c r="EX1606" s="2">
        <v>-3.9</v>
      </c>
      <c r="EY1606" s="2">
        <v>-1.3</v>
      </c>
      <c r="EZ1606" s="2">
        <v>4.5</v>
      </c>
      <c r="FA1606" s="2">
        <v>-0.7</v>
      </c>
      <c r="FB1606" s="2">
        <v>-7.3</v>
      </c>
      <c r="FC1606" s="2">
        <v>3.3</v>
      </c>
      <c r="FD1606" s="2">
        <v>8.699999999999999</v>
      </c>
      <c r="FE1606" s="2">
        <v>11.8</v>
      </c>
      <c r="FF1606" s="2">
        <v>-5.6</v>
      </c>
      <c r="FG1606" s="2">
        <v>6.3</v>
      </c>
      <c r="FH1606" s="2">
        <v>2.3</v>
      </c>
      <c r="FI1606" s="2">
        <v>2</v>
      </c>
      <c r="FJ1606" s="2">
        <v>-5.1</v>
      </c>
      <c r="FK1606" s="2">
        <v>3.8</v>
      </c>
      <c r="FL1606" s="2">
        <v>8.199999999999999</v>
      </c>
      <c r="FM1606" s="2">
        <v>3.9</v>
      </c>
      <c r="FN1606" s="2">
        <v>-6.5</v>
      </c>
      <c r="FO1606" s="2">
        <v>4.2</v>
      </c>
      <c r="FP1606" s="2">
        <v>5.7</v>
      </c>
      <c r="FQ1606" s="2">
        <v>0.1</v>
      </c>
      <c r="FR1606" s="2">
        <v>-2.7</v>
      </c>
      <c r="FS1606" s="2">
        <v>4.3</v>
      </c>
      <c r="FT1606" s="2">
        <v>4.4</v>
      </c>
      <c r="FU1606" s="2">
        <v>-1</v>
      </c>
      <c r="FV1606" s="2">
        <v>-5.4</v>
      </c>
      <c r="FW1606" s="2">
        <v>3.8</v>
      </c>
      <c r="FX1606" s="2">
        <v>-1.4</v>
      </c>
      <c r="FY1606" s="2">
        <v>0.6</v>
      </c>
      <c r="FZ1606" s="2">
        <v>-5.5</v>
      </c>
      <c r="GA1606" s="2">
        <v>0.6</v>
      </c>
      <c r="GB1606" s="2">
        <v>1.3</v>
      </c>
      <c r="GC1606" s="2">
        <v>-0.1</v>
      </c>
      <c r="GD1606" s="2">
        <v>-2.1</v>
      </c>
      <c r="GE1606" s="2">
        <v>11</v>
      </c>
      <c r="GF1606" s="2">
        <v>-0.8</v>
      </c>
      <c r="GG1606" s="2">
        <v>8.6</v>
      </c>
      <c r="GH1606" s="2">
        <v>-3.9</v>
      </c>
      <c r="GI1606" s="2">
        <v>0.4</v>
      </c>
      <c r="GJ1606" s="2">
        <v>-1.2</v>
      </c>
      <c r="GK1606" s="2">
        <v>-3.9</v>
      </c>
      <c r="GL1606" s="2">
        <v>-0.3</v>
      </c>
      <c r="GM1606" s="2">
        <v>4</v>
      </c>
      <c r="GN1606" s="2">
        <v>5.2</v>
      </c>
      <c r="GO1606" s="2">
        <v>6.8</v>
      </c>
      <c r="GP1606" s="2">
        <v>-6.2</v>
      </c>
      <c r="GQ1606" s="2">
        <v>8.9</v>
      </c>
      <c r="GR1606" s="2">
        <v>0.1</v>
      </c>
      <c r="GS1606" s="2">
        <v>0.6</v>
      </c>
      <c r="GT1606" s="2">
        <v>-2.7</v>
      </c>
      <c r="GU1606" s="2">
        <v>0.5</v>
      </c>
      <c r="GV1606" s="2">
        <v>0.3</v>
      </c>
      <c r="GW1606" s="2">
        <v>2.5</v>
      </c>
      <c r="GX1606" s="2">
        <v>-3.2</v>
      </c>
      <c r="GY1606" s="2">
        <v>-0.8</v>
      </c>
      <c r="GZ1606" s="2">
        <v>1.6</v>
      </c>
      <c r="HA1606" s="2">
        <v>-0.6</v>
      </c>
      <c r="HB1606" s="2">
        <v>-1</v>
      </c>
      <c r="HC1606" s="2">
        <v>2.6</v>
      </c>
      <c r="HD1606" s="2">
        <v>4.7</v>
      </c>
      <c r="HE1606" s="2">
        <v>-2.3</v>
      </c>
      <c r="HF1606" s="2">
        <v>-1.2</v>
      </c>
      <c r="HG1606" s="2">
        <v>0.6</v>
      </c>
      <c r="HH1606" s="2">
        <v>2.2</v>
      </c>
      <c r="HI1606" s="2">
        <v>-1.8</v>
      </c>
      <c r="HJ1606" s="2">
        <v>-1.2</v>
      </c>
      <c r="HK1606" s="2">
        <v>7</v>
      </c>
      <c r="HL1606" s="2">
        <v>10.9</v>
      </c>
      <c r="HM1606" s="2">
        <v>5.8</v>
      </c>
      <c r="HN1606" s="2">
        <v>2.7</v>
      </c>
      <c r="HO1606" s="2">
        <v>4.4</v>
      </c>
      <c r="HP1606" s="2">
        <v>4.7</v>
      </c>
      <c r="HQ1606" s="2">
        <v>-2.8</v>
      </c>
      <c r="HR1606" s="2">
        <v>0.2</v>
      </c>
      <c r="HS1606" s="2">
        <v>4.5</v>
      </c>
      <c r="HT1606" s="2">
        <v>4.8</v>
      </c>
      <c r="HU1606" s="2">
        <v>7.2</v>
      </c>
      <c r="HV1606" s="2">
        <v>-1.6</v>
      </c>
      <c r="HW1606" s="2">
        <v>0.9</v>
      </c>
      <c r="HX1606" s="2">
        <v>-0.6</v>
      </c>
      <c r="HY1606" s="2">
        <v>4.8</v>
      </c>
      <c r="HZ1606" s="2">
        <v>-3</v>
      </c>
      <c r="IA1606" s="2">
        <v>1.4</v>
      </c>
      <c r="IB1606" s="2">
        <v>-1.2</v>
      </c>
      <c r="IC1606" s="2">
        <v>6.2</v>
      </c>
      <c r="ID1606" s="2">
        <v>-2.6</v>
      </c>
      <c r="IE1606" s="2">
        <v>0.6</v>
      </c>
      <c r="IF1606" s="2">
        <v>2.3</v>
      </c>
      <c r="IG1606" s="2">
        <v>0.5</v>
      </c>
      <c r="IH1606" s="2">
        <v>-0.7</v>
      </c>
      <c r="II1606" s="2">
        <v>-3.1</v>
      </c>
      <c r="IJ1606" s="2">
        <v>2.5</v>
      </c>
      <c r="IK1606" s="2">
        <v>0.1</v>
      </c>
      <c r="IL1606" s="2">
        <v>0</v>
      </c>
      <c r="IM1606" s="2">
        <v>2.2</v>
      </c>
      <c r="IN1606" s="2">
        <v>1.9</v>
      </c>
      <c r="IO1606" s="2">
        <v>0.3</v>
      </c>
      <c r="IP1606" s="2">
        <v>2.5</v>
      </c>
      <c r="IQ1606" s="2">
        <v>6.2</v>
      </c>
      <c r="IR1606" s="2">
        <v>0.8</v>
      </c>
      <c r="IS1606" s="2">
        <v>-0.3</v>
      </c>
      <c r="IT1606" s="2">
        <v>-1.9</v>
      </c>
      <c r="IU1606" s="2">
        <v>3.3</v>
      </c>
      <c r="IV1606" s="2">
        <v>2.5</v>
      </c>
      <c r="IW1606" s="2">
        <v>1.3</v>
      </c>
      <c r="IX1606" s="2">
        <v>0.9</v>
      </c>
      <c r="IY1606" s="2">
        <v>6.7</v>
      </c>
      <c r="IZ1606" s="2">
        <v>2.4</v>
      </c>
      <c r="JA1606" s="2">
        <v>-2.8</v>
      </c>
      <c r="JB1606" s="2">
        <v>-1.9</v>
      </c>
      <c r="JC1606" s="2">
        <v>0.7</v>
      </c>
      <c r="JD1606" s="2">
        <v>-0.8</v>
      </c>
      <c r="JE1606" s="2">
        <v>-2.3</v>
      </c>
      <c r="JF1606" s="2">
        <v>-10.1</v>
      </c>
      <c r="JG1606" s="2">
        <v>1.1</v>
      </c>
      <c r="JH1606" s="2">
        <v>-1.3</v>
      </c>
      <c r="JI1606" s="2">
        <v>-0.3</v>
      </c>
      <c r="JJ1606" s="2">
        <v>-0.9</v>
      </c>
      <c r="JK1606" s="2">
        <v>1.1</v>
      </c>
      <c r="JL1606" s="2">
        <v>8.300000000000001</v>
      </c>
      <c r="JM1606" s="2">
        <v>-2.2</v>
      </c>
      <c r="JN1606" s="2">
        <v>-3.7</v>
      </c>
      <c r="JO1606" s="2">
        <v>4.5</v>
      </c>
      <c r="JP1606" s="2">
        <v>2.4</v>
      </c>
      <c r="JQ1606" s="2">
        <v>0.9</v>
      </c>
      <c r="JR1606" s="2">
        <v>3.8</v>
      </c>
      <c r="JS1606" s="2">
        <v>0.4</v>
      </c>
      <c r="JT1606" s="2">
        <v>0.9</v>
      </c>
      <c r="JU1606" s="2">
        <v>2.9</v>
      </c>
      <c r="JV1606" s="2">
        <v>-1.6</v>
      </c>
      <c r="KA1606" s="2">
        <v>-0.6</v>
      </c>
      <c r="KB1606" s="2">
        <v>3.6</v>
      </c>
      <c r="KC1606" s="2">
        <v>-0.4</v>
      </c>
      <c r="KD1606" s="2">
        <v>0.3</v>
      </c>
      <c r="KQ1606" s="2">
        <v>0</v>
      </c>
      <c r="KR1606" s="2">
        <v>2.2</v>
      </c>
      <c r="KS1606" s="2">
        <v>1.9</v>
      </c>
      <c r="KT1606" s="2">
        <v>6.9</v>
      </c>
      <c r="LG1606" s="2">
        <v>3.6</v>
      </c>
      <c r="LH1606" s="2">
        <v>0.5</v>
      </c>
      <c r="LI1606" s="2">
        <v>2.6</v>
      </c>
      <c r="LJ1606" s="2">
        <v>-0.9</v>
      </c>
      <c r="LW1606" s="2">
        <v>2.8</v>
      </c>
      <c r="LX1606" s="2">
        <v>0.2</v>
      </c>
      <c r="LY1606" s="2">
        <v>1.1</v>
      </c>
      <c r="LZ1606" s="2">
        <v>-2.6</v>
      </c>
      <c r="MM1606" s="2">
        <v>3</v>
      </c>
      <c r="MN1606" s="2">
        <v>0.4</v>
      </c>
      <c r="MO1606" s="2">
        <v>0.1</v>
      </c>
      <c r="MP1606" s="2">
        <v>-0.3</v>
      </c>
      <c r="NC1606" s="2">
        <v>7</v>
      </c>
      <c r="ND1606" s="2">
        <v>0.2</v>
      </c>
      <c r="NE1606" s="2">
        <v>-1.3</v>
      </c>
      <c r="NF1606" s="2">
        <v>-2.5</v>
      </c>
      <c r="NS1606" s="2">
        <v>1.2</v>
      </c>
      <c r="NT1606" s="2">
        <v>0.2</v>
      </c>
      <c r="NU1606" s="2">
        <v>-4.6</v>
      </c>
      <c r="NV1606" s="2">
        <v>-12.2</v>
      </c>
      <c r="OI1606" s="2">
        <v>-0.8</v>
      </c>
      <c r="OJ1606" s="2">
        <v>7.2</v>
      </c>
      <c r="OK1606" s="2">
        <v>7.8</v>
      </c>
      <c r="OL1606" s="2">
        <v>2.4</v>
      </c>
      <c r="OY1606" s="2">
        <v>1.1</v>
      </c>
      <c r="OZ1606" s="2">
        <v>0.4</v>
      </c>
      <c r="PA1606" s="2">
        <v>5.8</v>
      </c>
      <c r="PB1606" s="2">
        <v>5.5</v>
      </c>
      <c r="PJ1606" s="2">
        <v>0.7</v>
      </c>
      <c r="PK1606" s="2">
        <v>2</v>
      </c>
    </row>
    <row r="1607">
      <c r="A1607" t="inlineStr">
        <is>
          <t>A2327380X</t>
        </is>
      </c>
      <c r="B1607" t="inlineStr">
        <is>
          <t>Percentage Change from Previous Period ;  Poultry ;  Australia ;</t>
        </is>
      </c>
      <c r="C1607" t="inlineStr">
        <is>
          <t>Quarter</t>
        </is>
      </c>
      <c r="D1607" t="inlineStr">
        <is>
          <t>Percent</t>
        </is>
      </c>
      <c r="E1607" t="inlineStr">
        <is>
          <t>Original</t>
        </is>
      </c>
      <c r="F1607" t="inlineStr">
        <is>
          <t>6401018.xlsx</t>
        </is>
      </c>
      <c r="G1607" t="inlineStr">
        <is>
          <t>1972Q4</t>
        </is>
      </c>
      <c r="H1607" t="inlineStr">
        <is>
          <t>2026Q2</t>
        </is>
      </c>
      <c r="DB1607" s="2">
        <v>0.9</v>
      </c>
      <c r="DC1607" s="2">
        <v>-0.6</v>
      </c>
      <c r="DD1607" s="2">
        <v>7.8</v>
      </c>
      <c r="DE1607" s="2">
        <v>6.5</v>
      </c>
      <c r="DF1607" s="2">
        <v>0.5</v>
      </c>
      <c r="DG1607" s="2">
        <v>6.3</v>
      </c>
      <c r="DH1607" s="2">
        <v>2.7</v>
      </c>
      <c r="DI1607" s="2">
        <v>1.4</v>
      </c>
      <c r="DJ1607" s="2">
        <v>-1.4</v>
      </c>
      <c r="DK1607" s="2">
        <v>-1.2</v>
      </c>
      <c r="DL1607" s="2">
        <v>7.3</v>
      </c>
      <c r="DM1607" s="2">
        <v>3</v>
      </c>
      <c r="DN1607" s="2">
        <v>0</v>
      </c>
      <c r="DO1607" s="2">
        <v>4.6</v>
      </c>
      <c r="DP1607" s="2">
        <v>0.2</v>
      </c>
      <c r="DQ1607" s="2">
        <v>-1.5</v>
      </c>
      <c r="DR1607" s="2">
        <v>1.3</v>
      </c>
      <c r="DS1607" s="2">
        <v>8.4</v>
      </c>
      <c r="DT1607" s="2">
        <v>1.2</v>
      </c>
      <c r="DU1607" s="2">
        <v>2.3</v>
      </c>
      <c r="DV1607" s="2">
        <v>1.7</v>
      </c>
      <c r="DW1607" s="2">
        <v>-0.5</v>
      </c>
      <c r="DX1607" s="2">
        <v>0.5</v>
      </c>
      <c r="DY1607" s="2">
        <v>-1.5</v>
      </c>
      <c r="DZ1607" s="2">
        <v>3.2</v>
      </c>
      <c r="EA1607" s="2">
        <v>1.5</v>
      </c>
      <c r="EB1607" s="2">
        <v>1.6</v>
      </c>
      <c r="EC1607" s="2">
        <v>4.2</v>
      </c>
      <c r="ED1607" s="2">
        <v>-1</v>
      </c>
      <c r="EE1607" s="2">
        <v>1</v>
      </c>
      <c r="EF1607" s="2">
        <v>5.2</v>
      </c>
      <c r="EG1607" s="2">
        <v>-2.6</v>
      </c>
      <c r="EH1607" s="2">
        <v>7.6</v>
      </c>
      <c r="EI1607" s="2">
        <v>5.7</v>
      </c>
      <c r="EJ1607" s="2">
        <v>1.2</v>
      </c>
      <c r="EK1607" s="2">
        <v>2.3</v>
      </c>
      <c r="EL1607" s="2">
        <v>2.8</v>
      </c>
      <c r="EM1607" s="2">
        <v>1.8</v>
      </c>
      <c r="EN1607" s="2">
        <v>-0.3</v>
      </c>
      <c r="EO1607" s="2">
        <v>2.4</v>
      </c>
      <c r="EP1607" s="2">
        <v>-0.5</v>
      </c>
      <c r="EQ1607" s="2">
        <v>2.8</v>
      </c>
      <c r="ER1607" s="2">
        <v>-0.5</v>
      </c>
      <c r="ES1607" s="2">
        <v>6.6</v>
      </c>
      <c r="ET1607" s="2">
        <v>-5</v>
      </c>
      <c r="EU1607" s="2">
        <v>0.6</v>
      </c>
      <c r="EV1607" s="2">
        <v>-3.4</v>
      </c>
      <c r="EW1607" s="2">
        <v>1.3</v>
      </c>
      <c r="EX1607" s="2">
        <v>2.8</v>
      </c>
      <c r="EY1607" s="2">
        <v>3.4</v>
      </c>
      <c r="EZ1607" s="2">
        <v>-0.1</v>
      </c>
      <c r="FA1607" s="2">
        <v>-1.3</v>
      </c>
      <c r="FB1607" s="2">
        <v>0.7</v>
      </c>
      <c r="FC1607" s="2">
        <v>3.3</v>
      </c>
      <c r="FD1607" s="2">
        <v>-0.8</v>
      </c>
      <c r="FE1607" s="2">
        <v>-1</v>
      </c>
      <c r="FF1607" s="2">
        <v>1.2</v>
      </c>
      <c r="FG1607" s="2">
        <v>3.5</v>
      </c>
      <c r="FH1607" s="2">
        <v>3.8</v>
      </c>
      <c r="FI1607" s="2">
        <v>-3</v>
      </c>
      <c r="FJ1607" s="2">
        <v>0.5</v>
      </c>
      <c r="FK1607" s="2">
        <v>-0.6</v>
      </c>
      <c r="FL1607" s="2">
        <v>5.1</v>
      </c>
      <c r="FM1607" s="2">
        <v>-1.6</v>
      </c>
      <c r="FN1607" s="2">
        <v>4.3</v>
      </c>
      <c r="FO1607" s="2">
        <v>2.2</v>
      </c>
      <c r="FP1607" s="2">
        <v>3.9</v>
      </c>
      <c r="FQ1607" s="2">
        <v>-1.6</v>
      </c>
      <c r="FR1607" s="2">
        <v>2.9</v>
      </c>
      <c r="FS1607" s="2">
        <v>-0.9</v>
      </c>
      <c r="FT1607" s="2">
        <v>-0.1</v>
      </c>
      <c r="FU1607" s="2">
        <v>-3.4</v>
      </c>
      <c r="FV1607" s="2">
        <v>-0.2</v>
      </c>
      <c r="FW1607" s="2">
        <v>1.1</v>
      </c>
      <c r="FX1607" s="2">
        <v>-3</v>
      </c>
      <c r="FY1607" s="2">
        <v>-2.5</v>
      </c>
      <c r="FZ1607" s="2">
        <v>-1.7</v>
      </c>
      <c r="GA1607" s="2">
        <v>0.6</v>
      </c>
      <c r="GB1607" s="2">
        <v>-2</v>
      </c>
      <c r="GC1607" s="2">
        <v>-1.6</v>
      </c>
      <c r="GD1607" s="2">
        <v>0.2</v>
      </c>
      <c r="GE1607" s="2">
        <v>-0.5</v>
      </c>
      <c r="GF1607" s="2">
        <v>1.3</v>
      </c>
      <c r="GG1607" s="2">
        <v>-1.1</v>
      </c>
      <c r="GH1607" s="2">
        <v>-2</v>
      </c>
      <c r="GI1607" s="2">
        <v>-3.7</v>
      </c>
      <c r="GJ1607" s="2">
        <v>0.7</v>
      </c>
      <c r="GK1607" s="2">
        <v>-2.3</v>
      </c>
      <c r="GL1607" s="2">
        <v>1.2</v>
      </c>
      <c r="GM1607" s="2">
        <v>7.6</v>
      </c>
      <c r="GN1607" s="2">
        <v>-0.4</v>
      </c>
      <c r="GO1607" s="2">
        <v>-1.8</v>
      </c>
      <c r="GP1607" s="2">
        <v>4.1</v>
      </c>
      <c r="GQ1607" s="2">
        <v>1.2</v>
      </c>
      <c r="GR1607" s="2">
        <v>1.8</v>
      </c>
      <c r="GS1607" s="2">
        <v>1.8</v>
      </c>
      <c r="GT1607" s="2">
        <v>1.8</v>
      </c>
      <c r="GU1607" s="2">
        <v>1</v>
      </c>
      <c r="GV1607" s="2">
        <v>-2.5</v>
      </c>
      <c r="GW1607" s="2">
        <v>2.4</v>
      </c>
      <c r="GX1607" s="2">
        <v>-1.5</v>
      </c>
      <c r="GY1607" s="2">
        <v>0.1</v>
      </c>
      <c r="GZ1607" s="2">
        <v>-1.5</v>
      </c>
      <c r="HA1607" s="2">
        <v>-1</v>
      </c>
      <c r="HB1607" s="2">
        <v>0.6</v>
      </c>
      <c r="HC1607" s="2">
        <v>1.2</v>
      </c>
      <c r="HD1607" s="2">
        <v>1.1</v>
      </c>
      <c r="HE1607" s="2">
        <v>-0.8</v>
      </c>
      <c r="HF1607" s="2">
        <v>-0.4</v>
      </c>
      <c r="HG1607" s="2">
        <v>-0.4</v>
      </c>
      <c r="HH1607" s="2">
        <v>0.2</v>
      </c>
      <c r="HI1607" s="2">
        <v>-4.3</v>
      </c>
      <c r="HJ1607" s="2">
        <v>1.1</v>
      </c>
      <c r="HK1607" s="2">
        <v>4.4</v>
      </c>
      <c r="HL1607" s="2">
        <v>0.8</v>
      </c>
      <c r="HM1607" s="2">
        <v>0.6</v>
      </c>
      <c r="HN1607" s="2">
        <v>0.3</v>
      </c>
      <c r="HO1607" s="2">
        <v>3.6</v>
      </c>
      <c r="HP1607" s="2">
        <v>-2.7</v>
      </c>
      <c r="HQ1607" s="2">
        <v>-1.3</v>
      </c>
      <c r="HR1607" s="2">
        <v>-1</v>
      </c>
      <c r="HS1607" s="2">
        <v>1.9</v>
      </c>
      <c r="HT1607" s="2">
        <v>-0.2</v>
      </c>
      <c r="HU1607" s="2">
        <v>0.6</v>
      </c>
      <c r="HV1607" s="2">
        <v>5</v>
      </c>
      <c r="HW1607" s="2">
        <v>2.2</v>
      </c>
      <c r="HX1607" s="2">
        <v>-1.5</v>
      </c>
      <c r="HY1607" s="2">
        <v>-0.1</v>
      </c>
      <c r="HZ1607" s="2">
        <v>-0.4</v>
      </c>
      <c r="IA1607" s="2">
        <v>-0.4</v>
      </c>
      <c r="IB1607" s="2">
        <v>-3.1</v>
      </c>
      <c r="IC1607" s="2">
        <v>-1.9</v>
      </c>
      <c r="ID1607" s="2">
        <v>-0.6</v>
      </c>
      <c r="IE1607" s="2">
        <v>-1.1</v>
      </c>
      <c r="IF1607" s="2">
        <v>0.7</v>
      </c>
      <c r="IG1607" s="2">
        <v>-2.2</v>
      </c>
      <c r="IH1607" s="2">
        <v>-0.3</v>
      </c>
      <c r="II1607" s="2">
        <v>2.1</v>
      </c>
      <c r="IJ1607" s="2">
        <v>0.6</v>
      </c>
      <c r="IK1607" s="2">
        <v>1.5</v>
      </c>
      <c r="IL1607" s="2">
        <v>4.2</v>
      </c>
      <c r="IM1607" s="2">
        <v>4.9</v>
      </c>
      <c r="IN1607" s="2">
        <v>0</v>
      </c>
      <c r="IO1607" s="2">
        <v>-0.6</v>
      </c>
      <c r="IP1607" s="2">
        <v>0.5</v>
      </c>
      <c r="IQ1607" s="2">
        <v>0.5</v>
      </c>
      <c r="IR1607" s="2">
        <v>-2.1</v>
      </c>
      <c r="IS1607" s="2">
        <v>1.5</v>
      </c>
      <c r="IT1607" s="2">
        <v>0</v>
      </c>
      <c r="IU1607" s="2">
        <v>-1.7</v>
      </c>
      <c r="IV1607" s="2">
        <v>0.9</v>
      </c>
      <c r="IW1607" s="2">
        <v>-0.2</v>
      </c>
      <c r="IX1607" s="2">
        <v>1.6</v>
      </c>
      <c r="IY1607" s="2">
        <v>0.3</v>
      </c>
      <c r="IZ1607" s="2">
        <v>0.7</v>
      </c>
      <c r="JA1607" s="2">
        <v>-1.5</v>
      </c>
      <c r="JB1607" s="2">
        <v>-3</v>
      </c>
      <c r="JC1607" s="2">
        <v>-3.1</v>
      </c>
      <c r="JD1607" s="2">
        <v>0.4</v>
      </c>
      <c r="JE1607" s="2">
        <v>1.7</v>
      </c>
      <c r="JF1607" s="2">
        <v>6</v>
      </c>
      <c r="JG1607" s="2">
        <v>0.1</v>
      </c>
      <c r="JH1607" s="2">
        <v>-0.3</v>
      </c>
      <c r="JI1607" s="2">
        <v>-1.3</v>
      </c>
      <c r="JJ1607" s="2">
        <v>1.2</v>
      </c>
      <c r="JK1607" s="2">
        <v>0.3</v>
      </c>
      <c r="JL1607" s="2">
        <v>-0.6</v>
      </c>
      <c r="JM1607" s="2">
        <v>0.2</v>
      </c>
      <c r="JN1607" s="2">
        <v>0.4</v>
      </c>
      <c r="JO1607" s="2">
        <v>0.2</v>
      </c>
      <c r="JP1607" s="2">
        <v>-0.2</v>
      </c>
      <c r="JQ1607" s="2">
        <v>-1.9</v>
      </c>
      <c r="JR1607" s="2">
        <v>-1.8</v>
      </c>
      <c r="JS1607" s="2">
        <v>1</v>
      </c>
      <c r="JT1607" s="2">
        <v>-2.3</v>
      </c>
      <c r="JU1607" s="2">
        <v>-0.3</v>
      </c>
      <c r="JV1607" s="2">
        <v>0.5</v>
      </c>
      <c r="KA1607" s="2">
        <v>1</v>
      </c>
      <c r="KB1607" s="2">
        <v>-1</v>
      </c>
      <c r="KC1607" s="2">
        <v>-0.2</v>
      </c>
      <c r="KD1607" s="2">
        <v>1.3</v>
      </c>
      <c r="KQ1607" s="2">
        <v>0.5</v>
      </c>
      <c r="KR1607" s="2">
        <v>-0.2</v>
      </c>
      <c r="KS1607" s="2">
        <v>0.4</v>
      </c>
      <c r="KT1607" s="2">
        <v>1</v>
      </c>
      <c r="LG1607" s="2">
        <v>2.9</v>
      </c>
      <c r="LH1607" s="2">
        <v>-0.2</v>
      </c>
      <c r="LI1607" s="2">
        <v>1.4</v>
      </c>
      <c r="LJ1607" s="2">
        <v>-0.9</v>
      </c>
      <c r="LW1607" s="2">
        <v>0.9</v>
      </c>
      <c r="LX1607" s="2">
        <v>-1.2</v>
      </c>
      <c r="LY1607" s="2">
        <v>1.6</v>
      </c>
      <c r="LZ1607" s="2">
        <v>-1.2</v>
      </c>
      <c r="MM1607" s="2">
        <v>0.7</v>
      </c>
      <c r="MN1607" s="2">
        <v>-0.5</v>
      </c>
      <c r="MO1607" s="2">
        <v>0.7</v>
      </c>
      <c r="MP1607" s="2">
        <v>-1.7</v>
      </c>
      <c r="NC1607" s="2">
        <v>5.3</v>
      </c>
      <c r="ND1607" s="2">
        <v>1.6</v>
      </c>
      <c r="NE1607" s="2">
        <v>3.2</v>
      </c>
      <c r="NF1607" s="2">
        <v>1.2</v>
      </c>
      <c r="NS1607" s="2">
        <v>1.2</v>
      </c>
      <c r="NT1607" s="2">
        <v>2.2</v>
      </c>
      <c r="NU1607" s="2">
        <v>1.1</v>
      </c>
      <c r="NV1607" s="2">
        <v>-1.4</v>
      </c>
      <c r="OI1607" s="2">
        <v>0.2</v>
      </c>
      <c r="OJ1607" s="2">
        <v>0.7</v>
      </c>
      <c r="OK1607" s="2">
        <v>1.6</v>
      </c>
      <c r="OL1607" s="2">
        <v>0.1</v>
      </c>
      <c r="OY1607" s="2">
        <v>0.8</v>
      </c>
      <c r="OZ1607" s="2">
        <v>-1.4</v>
      </c>
      <c r="PA1607" s="2">
        <v>0.1</v>
      </c>
      <c r="PB1607" s="2">
        <v>-0.1</v>
      </c>
      <c r="PJ1607" s="2">
        <v>0.8</v>
      </c>
      <c r="PK1607" s="2">
        <v>0.5</v>
      </c>
    </row>
    <row r="1608">
      <c r="A1608" t="inlineStr">
        <is>
          <t>A2327470C</t>
        </is>
      </c>
      <c r="B1608" t="inlineStr">
        <is>
          <t>Percentage Change from Previous Period ;  Other meats ;  Australia ;</t>
        </is>
      </c>
      <c r="C1608" t="inlineStr">
        <is>
          <t>Quarter</t>
        </is>
      </c>
      <c r="D1608" t="inlineStr">
        <is>
          <t>Percent</t>
        </is>
      </c>
      <c r="E1608" t="inlineStr">
        <is>
          <t>Original</t>
        </is>
      </c>
      <c r="F1608" t="inlineStr">
        <is>
          <t>6401018.xlsx</t>
        </is>
      </c>
      <c r="G1608" t="inlineStr">
        <is>
          <t>1980Q4</t>
        </is>
      </c>
      <c r="H1608" t="inlineStr">
        <is>
          <t>2026Q2</t>
        </is>
      </c>
      <c r="EH1608" s="2">
        <v>2.1</v>
      </c>
      <c r="EI1608" s="2">
        <v>2.6</v>
      </c>
      <c r="EJ1608" s="2">
        <v>0.3</v>
      </c>
      <c r="EK1608" s="2">
        <v>0.5</v>
      </c>
      <c r="EL1608" s="2">
        <v>1.3</v>
      </c>
      <c r="EM1608" s="2">
        <v>1.8</v>
      </c>
      <c r="EN1608" s="2">
        <v>1.5</v>
      </c>
      <c r="EO1608" s="2">
        <v>0.5</v>
      </c>
      <c r="EP1608" s="2">
        <v>1.6</v>
      </c>
      <c r="EQ1608" s="2">
        <v>3.2</v>
      </c>
      <c r="ER1608" s="2">
        <v>-0.3</v>
      </c>
      <c r="ES1608" s="2">
        <v>1.8</v>
      </c>
      <c r="ET1608" s="2">
        <v>0.3</v>
      </c>
      <c r="EU1608" s="2">
        <v>0.3</v>
      </c>
      <c r="EV1608" s="2">
        <v>-0.8</v>
      </c>
      <c r="EW1608" s="2">
        <v>0.8</v>
      </c>
      <c r="EX1608" s="2">
        <v>0.3</v>
      </c>
      <c r="EY1608" s="2">
        <v>1.9</v>
      </c>
      <c r="EZ1608" s="2">
        <v>2.9</v>
      </c>
      <c r="FA1608" s="2">
        <v>1.4</v>
      </c>
      <c r="FB1608" s="2">
        <v>0.9</v>
      </c>
      <c r="FC1608" s="2">
        <v>1</v>
      </c>
      <c r="FD1608" s="2">
        <v>0.4</v>
      </c>
      <c r="FE1608" s="2">
        <v>1</v>
      </c>
      <c r="FF1608" s="2">
        <v>2.4</v>
      </c>
      <c r="FG1608" s="2">
        <v>0.1</v>
      </c>
      <c r="FH1608" s="2">
        <v>1.8</v>
      </c>
      <c r="FI1608" s="2">
        <v>2.4</v>
      </c>
      <c r="FJ1608" s="2">
        <v>1.1</v>
      </c>
      <c r="FK1608" s="2">
        <v>0.6</v>
      </c>
      <c r="FL1608" s="2">
        <v>1.7</v>
      </c>
      <c r="FM1608" s="2">
        <v>2.9</v>
      </c>
      <c r="FN1608" s="2">
        <v>1.5</v>
      </c>
      <c r="FO1608" s="2">
        <v>1.2</v>
      </c>
      <c r="FP1608" s="2">
        <v>1.6</v>
      </c>
      <c r="FQ1608" s="2">
        <v>2.5</v>
      </c>
      <c r="FR1608" s="2">
        <v>2.7</v>
      </c>
      <c r="FS1608" s="2">
        <v>1.6</v>
      </c>
      <c r="FT1608" s="2">
        <v>0.6</v>
      </c>
      <c r="FU1608" s="2">
        <v>-0.3</v>
      </c>
      <c r="FV1608" s="2">
        <v>1.5</v>
      </c>
      <c r="FW1608" s="2">
        <v>1.8</v>
      </c>
      <c r="FX1608" s="2">
        <v>0.3</v>
      </c>
      <c r="FY1608" s="2">
        <v>1.1</v>
      </c>
      <c r="FZ1608" s="2">
        <v>-0.5</v>
      </c>
      <c r="GA1608" s="2">
        <v>0.4</v>
      </c>
      <c r="GB1608" s="2">
        <v>0.1</v>
      </c>
      <c r="GC1608" s="2">
        <v>-2.3</v>
      </c>
      <c r="GD1608" s="2">
        <v>0.8</v>
      </c>
      <c r="GE1608" s="2">
        <v>1.1</v>
      </c>
      <c r="GF1608" s="2">
        <v>0</v>
      </c>
      <c r="GG1608" s="2">
        <v>-2.5</v>
      </c>
      <c r="GH1608" s="2">
        <v>2.1</v>
      </c>
      <c r="GI1608" s="2">
        <v>0</v>
      </c>
      <c r="GJ1608" s="2">
        <v>0.9</v>
      </c>
      <c r="GK1608" s="2">
        <v>-2.6</v>
      </c>
      <c r="GL1608" s="2">
        <v>2</v>
      </c>
      <c r="GM1608" s="2">
        <v>1.9</v>
      </c>
      <c r="GN1608" s="2">
        <v>0.9</v>
      </c>
      <c r="GO1608" s="2">
        <v>0.6</v>
      </c>
      <c r="GP1608" s="2">
        <v>-1.5</v>
      </c>
      <c r="GQ1608" s="2">
        <v>1.2</v>
      </c>
      <c r="GR1608" s="2">
        <v>2.8</v>
      </c>
      <c r="GS1608" s="2">
        <v>0.8</v>
      </c>
      <c r="GT1608" s="2">
        <v>0.1</v>
      </c>
      <c r="GU1608" s="2">
        <v>-1</v>
      </c>
      <c r="GV1608" s="2">
        <v>1.2</v>
      </c>
      <c r="GW1608" s="2">
        <v>0.9</v>
      </c>
      <c r="GX1608" s="2">
        <v>0.4</v>
      </c>
      <c r="GY1608" s="2">
        <v>-0.1</v>
      </c>
      <c r="GZ1608" s="2">
        <v>0.4</v>
      </c>
      <c r="HA1608" s="2">
        <v>0.7</v>
      </c>
      <c r="HB1608" s="2">
        <v>-0.5</v>
      </c>
      <c r="HC1608" s="2">
        <v>0.3</v>
      </c>
      <c r="HD1608" s="2">
        <v>1.8</v>
      </c>
      <c r="HE1608" s="2">
        <v>1.5</v>
      </c>
      <c r="HF1608" s="2">
        <v>0.4</v>
      </c>
      <c r="HG1608" s="2">
        <v>1.5</v>
      </c>
      <c r="HH1608" s="2">
        <v>0.9</v>
      </c>
      <c r="HI1608" s="2">
        <v>-0.8</v>
      </c>
      <c r="HJ1608" s="2">
        <v>2.5</v>
      </c>
      <c r="HK1608" s="2">
        <v>3.4</v>
      </c>
      <c r="HL1608" s="2">
        <v>5.1</v>
      </c>
      <c r="HM1608" s="2">
        <v>2.9</v>
      </c>
      <c r="HN1608" s="2">
        <v>2.6</v>
      </c>
      <c r="HO1608" s="2">
        <v>1.3</v>
      </c>
      <c r="HP1608" s="2">
        <v>1.7</v>
      </c>
      <c r="HQ1608" s="2">
        <v>-1.1</v>
      </c>
      <c r="HR1608" s="2">
        <v>1</v>
      </c>
      <c r="HS1608" s="2">
        <v>-0.6</v>
      </c>
      <c r="HT1608" s="2">
        <v>0.1</v>
      </c>
      <c r="HU1608" s="2">
        <v>1.1</v>
      </c>
      <c r="HV1608" s="2">
        <v>1</v>
      </c>
      <c r="HW1608" s="2">
        <v>0.7</v>
      </c>
      <c r="HX1608" s="2">
        <v>0.7</v>
      </c>
      <c r="HY1608" s="2">
        <v>-0.2</v>
      </c>
      <c r="HZ1608" s="2">
        <v>-0.2</v>
      </c>
      <c r="IA1608" s="2">
        <v>0.2</v>
      </c>
      <c r="IB1608" s="2">
        <v>0.6</v>
      </c>
      <c r="IC1608" s="2">
        <v>-0.3</v>
      </c>
      <c r="ID1608" s="2">
        <v>0.2</v>
      </c>
      <c r="IE1608" s="2">
        <v>0.8</v>
      </c>
      <c r="IF1608" s="2">
        <v>3</v>
      </c>
      <c r="IG1608" s="2">
        <v>-0.1</v>
      </c>
      <c r="IH1608" s="2">
        <v>0.8</v>
      </c>
      <c r="II1608" s="2">
        <v>0.8</v>
      </c>
      <c r="IJ1608" s="2">
        <v>0.2</v>
      </c>
      <c r="IK1608" s="2">
        <v>0.1</v>
      </c>
      <c r="IL1608" s="2">
        <v>2.4</v>
      </c>
      <c r="IM1608" s="2">
        <v>0.6</v>
      </c>
      <c r="IN1608" s="2">
        <v>-0.2</v>
      </c>
      <c r="IO1608" s="2">
        <v>2.7</v>
      </c>
      <c r="IP1608" s="2">
        <v>3.9</v>
      </c>
      <c r="IQ1608" s="2">
        <v>2.8</v>
      </c>
      <c r="IR1608" s="2">
        <v>0.4</v>
      </c>
      <c r="IS1608" s="2">
        <v>-1</v>
      </c>
      <c r="IT1608" s="2">
        <v>-0.1</v>
      </c>
      <c r="IU1608" s="2">
        <v>1.7</v>
      </c>
      <c r="IV1608" s="2">
        <v>0.7</v>
      </c>
      <c r="IW1608" s="2">
        <v>1.3</v>
      </c>
      <c r="IX1608" s="2">
        <v>0.1</v>
      </c>
      <c r="IY1608" s="2">
        <v>1.2</v>
      </c>
      <c r="IZ1608" s="2">
        <v>2.2</v>
      </c>
      <c r="JA1608" s="2">
        <v>0.3</v>
      </c>
      <c r="JB1608" s="2">
        <v>1.9</v>
      </c>
      <c r="JC1608" s="2">
        <v>-0.4</v>
      </c>
      <c r="JD1608" s="2">
        <v>1.6</v>
      </c>
      <c r="JE1608" s="2">
        <v>-1.2</v>
      </c>
      <c r="JF1608" s="2">
        <v>-0.4</v>
      </c>
      <c r="JG1608" s="2">
        <v>-1.5</v>
      </c>
      <c r="JH1608" s="2">
        <v>1.3</v>
      </c>
      <c r="JI1608" s="2">
        <v>-2.2</v>
      </c>
      <c r="JJ1608" s="2">
        <v>-1.2</v>
      </c>
      <c r="JK1608" s="2">
        <v>2.6</v>
      </c>
      <c r="JL1608" s="2">
        <v>4.7</v>
      </c>
      <c r="JM1608" s="2">
        <v>1.5</v>
      </c>
      <c r="JN1608" s="2">
        <v>2.2</v>
      </c>
      <c r="JO1608" s="2">
        <v>3.1</v>
      </c>
      <c r="JP1608" s="2">
        <v>-0.2</v>
      </c>
      <c r="JQ1608" s="2">
        <v>0.7</v>
      </c>
      <c r="JR1608" s="2">
        <v>0.5</v>
      </c>
      <c r="JS1608" s="2">
        <v>1.2</v>
      </c>
      <c r="JT1608" s="2">
        <v>-0.3</v>
      </c>
      <c r="JU1608" s="2">
        <v>-1.3</v>
      </c>
      <c r="JV1608" s="2">
        <v>0.5</v>
      </c>
      <c r="KA1608" s="2">
        <v>0</v>
      </c>
      <c r="KB1608" s="2">
        <v>0.6</v>
      </c>
      <c r="KC1608" s="2">
        <v>0.7</v>
      </c>
      <c r="KD1608" s="2">
        <v>0.4</v>
      </c>
      <c r="KQ1608" s="2">
        <v>-0.6</v>
      </c>
      <c r="KR1608" s="2">
        <v>0.5</v>
      </c>
      <c r="KS1608" s="2">
        <v>0.1</v>
      </c>
      <c r="KT1608" s="2">
        <v>0.6</v>
      </c>
      <c r="LG1608" s="2">
        <v>0.7</v>
      </c>
      <c r="LH1608" s="2">
        <v>0.9</v>
      </c>
      <c r="LI1608" s="2">
        <v>2.4</v>
      </c>
      <c r="LJ1608" s="2">
        <v>3.2</v>
      </c>
      <c r="LW1608" s="2">
        <v>2.4</v>
      </c>
      <c r="LX1608" s="2">
        <v>1.8</v>
      </c>
      <c r="LY1608" s="2">
        <v>1.3</v>
      </c>
      <c r="LZ1608" s="2">
        <v>-0.6</v>
      </c>
      <c r="MM1608" s="2">
        <v>0</v>
      </c>
      <c r="MN1608" s="2">
        <v>1.4</v>
      </c>
      <c r="MO1608" s="2">
        <v>0.6</v>
      </c>
      <c r="MP1608" s="2">
        <v>0.5</v>
      </c>
      <c r="NC1608" s="2">
        <v>4.6</v>
      </c>
      <c r="ND1608" s="2">
        <v>1.5</v>
      </c>
      <c r="NE1608" s="2">
        <v>2</v>
      </c>
      <c r="NF1608" s="2">
        <v>1.5</v>
      </c>
      <c r="NS1608" s="2">
        <v>1.5</v>
      </c>
      <c r="NT1608" s="2">
        <v>-0.2</v>
      </c>
      <c r="NU1608" s="2">
        <v>1</v>
      </c>
      <c r="NV1608" s="2">
        <v>-0.3</v>
      </c>
      <c r="OI1608" s="2">
        <v>-1.3</v>
      </c>
      <c r="OJ1608" s="2">
        <v>0.7</v>
      </c>
      <c r="OK1608" s="2">
        <v>-1</v>
      </c>
      <c r="OL1608" s="2">
        <v>1.3</v>
      </c>
      <c r="OY1608" s="2">
        <v>1.1</v>
      </c>
      <c r="OZ1608" s="2">
        <v>-0.2</v>
      </c>
      <c r="PA1608" s="2">
        <v>-0.8</v>
      </c>
      <c r="PB1608" s="2">
        <v>1.4</v>
      </c>
      <c r="PJ1608" s="2">
        <v>1.1</v>
      </c>
      <c r="PK1608" s="2">
        <v>0.6</v>
      </c>
    </row>
    <row r="1609">
      <c r="A1609" t="inlineStr">
        <is>
          <t>A2327515W</t>
        </is>
      </c>
      <c r="B1609" t="inlineStr">
        <is>
          <t>Percentage Change from Previous Period ;  Fish and other seafood ;  Australia ;</t>
        </is>
      </c>
      <c r="C1609" t="inlineStr">
        <is>
          <t>Quarter</t>
        </is>
      </c>
      <c r="D1609" t="inlineStr">
        <is>
          <t>Percent</t>
        </is>
      </c>
      <c r="E1609" t="inlineStr">
        <is>
          <t>Original</t>
        </is>
      </c>
      <c r="F1609" t="inlineStr">
        <is>
          <t>6401018.xlsx</t>
        </is>
      </c>
      <c r="G1609" t="inlineStr">
        <is>
          <t>1976Q4</t>
        </is>
      </c>
      <c r="H1609" t="inlineStr">
        <is>
          <t>2026Q2</t>
        </is>
      </c>
      <c r="DR1609" s="2">
        <v>5.4</v>
      </c>
      <c r="DS1609" s="2">
        <v>10.1</v>
      </c>
      <c r="DT1609" s="2">
        <v>5.9</v>
      </c>
      <c r="DU1609" s="2">
        <v>2.5</v>
      </c>
      <c r="DV1609" s="2">
        <v>4.5</v>
      </c>
      <c r="DW1609" s="2">
        <v>2</v>
      </c>
      <c r="DX1609" s="2">
        <v>0.3</v>
      </c>
      <c r="DY1609" s="2">
        <v>1.7</v>
      </c>
      <c r="DZ1609" s="2">
        <v>4.4</v>
      </c>
      <c r="EA1609" s="2">
        <v>-0.3</v>
      </c>
      <c r="EB1609" s="2">
        <v>4.3</v>
      </c>
      <c r="EC1609" s="2">
        <v>3.1</v>
      </c>
      <c r="ED1609" s="2">
        <v>6.7</v>
      </c>
      <c r="EE1609" s="2">
        <v>3.8</v>
      </c>
      <c r="EF1609" s="2">
        <v>0.2</v>
      </c>
      <c r="EG1609" s="2">
        <v>2</v>
      </c>
      <c r="EH1609" s="2">
        <v>2.4</v>
      </c>
      <c r="EI1609" s="2">
        <v>0.9</v>
      </c>
      <c r="EJ1609" s="2">
        <v>-3.2</v>
      </c>
      <c r="EK1609" s="2">
        <v>0.2</v>
      </c>
      <c r="EL1609" s="2">
        <v>2.4</v>
      </c>
      <c r="EM1609" s="2">
        <v>-0.4</v>
      </c>
      <c r="EN1609" s="2">
        <v>-1.7</v>
      </c>
      <c r="EO1609" s="2">
        <v>3.9</v>
      </c>
      <c r="EP1609" s="2">
        <v>6.1</v>
      </c>
      <c r="EQ1609" s="2">
        <v>0.6</v>
      </c>
      <c r="ER1609" s="2">
        <v>2.6</v>
      </c>
      <c r="ES1609" s="2">
        <v>0.2</v>
      </c>
      <c r="ET1609" s="2">
        <v>1.3</v>
      </c>
      <c r="EU1609" s="2">
        <v>1.2</v>
      </c>
      <c r="EV1609" s="2">
        <v>0.2</v>
      </c>
      <c r="EW1609" s="2">
        <v>-0.4</v>
      </c>
      <c r="EX1609" s="2">
        <v>5.4</v>
      </c>
      <c r="EY1609" s="2">
        <v>-0.5</v>
      </c>
      <c r="EZ1609" s="2">
        <v>7</v>
      </c>
      <c r="FA1609" s="2">
        <v>7.7</v>
      </c>
      <c r="FB1609" s="2">
        <v>2.2</v>
      </c>
      <c r="FC1609" s="2">
        <v>0.9</v>
      </c>
      <c r="FD1609" s="2">
        <v>-0.6</v>
      </c>
      <c r="FE1609" s="2">
        <v>3.3</v>
      </c>
      <c r="FF1609" s="2">
        <v>14.1</v>
      </c>
      <c r="FG1609" s="2">
        <v>1.5</v>
      </c>
      <c r="FH1609" s="2">
        <v>0.4</v>
      </c>
      <c r="FI1609" s="2">
        <v>2.4</v>
      </c>
      <c r="FJ1609" s="2">
        <v>6.2</v>
      </c>
      <c r="FK1609" s="2">
        <v>3.4</v>
      </c>
      <c r="FL1609" s="2">
        <v>0.6</v>
      </c>
      <c r="FM1609" s="2">
        <v>0.7</v>
      </c>
      <c r="FN1609" s="2">
        <v>10.4</v>
      </c>
      <c r="FO1609" s="2">
        <v>4.3</v>
      </c>
      <c r="FP1609" s="2">
        <v>-1.6</v>
      </c>
      <c r="FQ1609" s="2">
        <v>1.5</v>
      </c>
      <c r="FR1609" s="2">
        <v>-3.8</v>
      </c>
      <c r="FS1609" s="2">
        <v>-0.7</v>
      </c>
      <c r="FT1609" s="2">
        <v>-1.8</v>
      </c>
      <c r="FU1609" s="2">
        <v>0.8</v>
      </c>
      <c r="FV1609" s="2">
        <v>1.8</v>
      </c>
      <c r="FW1609" s="2">
        <v>1.8</v>
      </c>
      <c r="FX1609" s="2">
        <v>-1.5</v>
      </c>
      <c r="FY1609" s="2">
        <v>-4.6</v>
      </c>
      <c r="FZ1609" s="2">
        <v>-1.5</v>
      </c>
      <c r="GA1609" s="2">
        <v>0.8</v>
      </c>
      <c r="GB1609" s="2">
        <v>-0.2</v>
      </c>
      <c r="GC1609" s="2">
        <v>-1.5</v>
      </c>
      <c r="GD1609" s="2">
        <v>4.4</v>
      </c>
      <c r="GE1609" s="2">
        <v>0.4</v>
      </c>
      <c r="GF1609" s="2">
        <v>-0.3</v>
      </c>
      <c r="GG1609" s="2">
        <v>-0.8</v>
      </c>
      <c r="GH1609" s="2">
        <v>3.4</v>
      </c>
      <c r="GI1609" s="2">
        <v>-0.3</v>
      </c>
      <c r="GJ1609" s="2">
        <v>-1.5</v>
      </c>
      <c r="GK1609" s="2">
        <v>-0.3</v>
      </c>
      <c r="GL1609" s="2">
        <v>4.6</v>
      </c>
      <c r="GM1609" s="2">
        <v>-0.3</v>
      </c>
      <c r="GN1609" s="2">
        <v>-1.2</v>
      </c>
      <c r="GO1609" s="2">
        <v>0.1</v>
      </c>
      <c r="GP1609" s="2">
        <v>2.3</v>
      </c>
      <c r="GQ1609" s="2">
        <v>-0.4</v>
      </c>
      <c r="GR1609" s="2">
        <v>-0.8</v>
      </c>
      <c r="GS1609" s="2">
        <v>-1.3</v>
      </c>
      <c r="GT1609" s="2">
        <v>1.7</v>
      </c>
      <c r="GU1609" s="2">
        <v>0.2</v>
      </c>
      <c r="GV1609" s="2">
        <v>-1.3</v>
      </c>
      <c r="GW1609" s="2">
        <v>1.7</v>
      </c>
      <c r="GX1609" s="2">
        <v>2.2</v>
      </c>
      <c r="GY1609" s="2">
        <v>0.7</v>
      </c>
      <c r="GZ1609" s="2">
        <v>0.2</v>
      </c>
      <c r="HA1609" s="2">
        <v>1.5</v>
      </c>
      <c r="HB1609" s="2">
        <v>2.8</v>
      </c>
      <c r="HC1609" s="2">
        <v>0.7</v>
      </c>
      <c r="HD1609" s="2">
        <v>0.8</v>
      </c>
      <c r="HE1609" s="2">
        <v>0.1</v>
      </c>
      <c r="HF1609" s="2">
        <v>3.2</v>
      </c>
      <c r="HG1609" s="2">
        <v>-0.2</v>
      </c>
      <c r="HH1609" s="2">
        <v>-1.9</v>
      </c>
      <c r="HI1609" s="2">
        <v>0.5</v>
      </c>
      <c r="HJ1609" s="2">
        <v>3.1</v>
      </c>
      <c r="HK1609" s="2">
        <v>2.4</v>
      </c>
      <c r="HL1609" s="2">
        <v>-1.3</v>
      </c>
      <c r="HM1609" s="2">
        <v>1.7</v>
      </c>
      <c r="HN1609" s="2">
        <v>1.8</v>
      </c>
      <c r="HO1609" s="2">
        <v>-1.8</v>
      </c>
      <c r="HP1609" s="2">
        <v>0</v>
      </c>
      <c r="HQ1609" s="2">
        <v>0.7</v>
      </c>
      <c r="HR1609" s="2">
        <v>2.9</v>
      </c>
      <c r="HS1609" s="2">
        <v>-0.2</v>
      </c>
      <c r="HT1609" s="2">
        <v>-0.4</v>
      </c>
      <c r="HU1609" s="2">
        <v>-1.7</v>
      </c>
      <c r="HV1609" s="2">
        <v>1.9</v>
      </c>
      <c r="HW1609" s="2">
        <v>-0.6</v>
      </c>
      <c r="HX1609" s="2">
        <v>-0.4</v>
      </c>
      <c r="HY1609" s="2">
        <v>-0.7</v>
      </c>
      <c r="HZ1609" s="2">
        <v>1.1</v>
      </c>
      <c r="IA1609" s="2">
        <v>0.2</v>
      </c>
      <c r="IB1609" s="2">
        <v>0.7</v>
      </c>
      <c r="IC1609" s="2">
        <v>-0.9</v>
      </c>
      <c r="ID1609" s="2">
        <v>3.3</v>
      </c>
      <c r="IE1609" s="2">
        <v>2.1</v>
      </c>
      <c r="IF1609" s="2">
        <v>-0.5</v>
      </c>
      <c r="IG1609" s="2">
        <v>0</v>
      </c>
      <c r="IH1609" s="2">
        <v>1.6</v>
      </c>
      <c r="II1609" s="2">
        <v>3.3</v>
      </c>
      <c r="IJ1609" s="2">
        <v>0.4</v>
      </c>
      <c r="IK1609" s="2">
        <v>1.8</v>
      </c>
      <c r="IL1609" s="2">
        <v>1.2</v>
      </c>
      <c r="IM1609" s="2">
        <v>0.6</v>
      </c>
      <c r="IN1609" s="2">
        <v>-1.1</v>
      </c>
      <c r="IO1609" s="2">
        <v>3.3</v>
      </c>
      <c r="IP1609" s="2">
        <v>0.8</v>
      </c>
      <c r="IQ1609" s="2">
        <v>3.7</v>
      </c>
      <c r="IR1609" s="2">
        <v>0.8</v>
      </c>
      <c r="IS1609" s="2">
        <v>0.7</v>
      </c>
      <c r="IT1609" s="2">
        <v>0.7</v>
      </c>
      <c r="IU1609" s="2">
        <v>0.1</v>
      </c>
      <c r="IV1609" s="2">
        <v>-0.8</v>
      </c>
      <c r="IW1609" s="2">
        <v>0.5</v>
      </c>
      <c r="IX1609" s="2">
        <v>0.1</v>
      </c>
      <c r="IY1609" s="2">
        <v>-0.4</v>
      </c>
      <c r="IZ1609" s="2">
        <v>-0.3</v>
      </c>
      <c r="JA1609" s="2">
        <v>-0.2</v>
      </c>
      <c r="JB1609" s="2">
        <v>0.5</v>
      </c>
      <c r="JC1609" s="2">
        <v>-0.4</v>
      </c>
      <c r="JD1609" s="2">
        <v>-0.2</v>
      </c>
      <c r="JE1609" s="2">
        <v>0.1</v>
      </c>
      <c r="JF1609" s="2">
        <v>1.4</v>
      </c>
      <c r="JG1609" s="2">
        <v>-1.3</v>
      </c>
      <c r="JH1609" s="2">
        <v>2.1</v>
      </c>
      <c r="JI1609" s="2">
        <v>0.9</v>
      </c>
      <c r="JJ1609" s="2">
        <v>1.6</v>
      </c>
      <c r="JK1609" s="2">
        <v>-1.9</v>
      </c>
      <c r="JL1609" s="2">
        <v>1.2</v>
      </c>
      <c r="JM1609" s="2">
        <v>-0.4</v>
      </c>
      <c r="JN1609" s="2">
        <v>1.8</v>
      </c>
      <c r="JO1609" s="2">
        <v>-1.5</v>
      </c>
      <c r="JP1609" s="2">
        <v>2.8</v>
      </c>
      <c r="JQ1609" s="2">
        <v>-2</v>
      </c>
      <c r="JR1609" s="2">
        <v>2.1</v>
      </c>
      <c r="JS1609" s="2">
        <v>-0.7</v>
      </c>
      <c r="JT1609" s="2">
        <v>1.6</v>
      </c>
      <c r="JU1609" s="2">
        <v>-0.1</v>
      </c>
      <c r="JV1609" s="2">
        <v>0.5</v>
      </c>
      <c r="KA1609" s="2">
        <v>0.2</v>
      </c>
      <c r="KB1609" s="2">
        <v>-0.3</v>
      </c>
      <c r="KC1609" s="2">
        <v>0.3</v>
      </c>
      <c r="KD1609" s="2">
        <v>0.2</v>
      </c>
      <c r="KQ1609" s="2">
        <v>-0.2</v>
      </c>
      <c r="KR1609" s="2">
        <v>2.2</v>
      </c>
      <c r="KS1609" s="2">
        <v>0.6</v>
      </c>
      <c r="KT1609" s="2">
        <v>0.6</v>
      </c>
      <c r="LG1609" s="2">
        <v>0.3</v>
      </c>
      <c r="LH1609" s="2">
        <v>-0.3</v>
      </c>
      <c r="LI1609" s="2">
        <v>0.8</v>
      </c>
      <c r="LJ1609" s="2">
        <v>0.3</v>
      </c>
      <c r="LW1609" s="2">
        <v>1.1</v>
      </c>
      <c r="LX1609" s="2">
        <v>3.7</v>
      </c>
      <c r="LY1609" s="2">
        <v>-1.4</v>
      </c>
      <c r="LZ1609" s="2">
        <v>0.4</v>
      </c>
      <c r="MM1609" s="2">
        <v>-1.1</v>
      </c>
      <c r="MN1609" s="2">
        <v>-0.8</v>
      </c>
      <c r="MO1609" s="2">
        <v>1.3</v>
      </c>
      <c r="MP1609" s="2">
        <v>0.6</v>
      </c>
      <c r="NC1609" s="2">
        <v>1.1</v>
      </c>
      <c r="ND1609" s="2">
        <v>0.1</v>
      </c>
      <c r="NE1609" s="2">
        <v>3.9</v>
      </c>
      <c r="NF1609" s="2">
        <v>3.5</v>
      </c>
      <c r="NS1609" s="2">
        <v>0.6</v>
      </c>
      <c r="NT1609" s="2">
        <v>1</v>
      </c>
      <c r="NU1609" s="2">
        <v>3.4</v>
      </c>
      <c r="NV1609" s="2">
        <v>2.4</v>
      </c>
      <c r="OI1609" s="2">
        <v>-1.5</v>
      </c>
      <c r="OJ1609" s="2">
        <v>1.2</v>
      </c>
      <c r="OK1609" s="2">
        <v>-0.1</v>
      </c>
      <c r="OL1609" s="2">
        <v>-0.5</v>
      </c>
      <c r="OY1609" s="2">
        <v>-0.4</v>
      </c>
      <c r="OZ1609" s="2">
        <v>0.6</v>
      </c>
      <c r="PA1609" s="2">
        <v>0</v>
      </c>
      <c r="PB1609" s="2">
        <v>0.3</v>
      </c>
      <c r="PJ1609" s="2">
        <v>0.8</v>
      </c>
      <c r="PK1609" s="2">
        <v>-0.2</v>
      </c>
    </row>
    <row r="1610">
      <c r="A1610" t="inlineStr">
        <is>
          <t>A2326165R</t>
        </is>
      </c>
      <c r="B1610" t="inlineStr">
        <is>
          <t>Percentage Change from Previous Period ;  Dairy and related products ;  Australia ;</t>
        </is>
      </c>
      <c r="C1610" t="inlineStr">
        <is>
          <t>Quarter</t>
        </is>
      </c>
      <c r="D1610" t="inlineStr">
        <is>
          <t>Percent</t>
        </is>
      </c>
      <c r="E1610" t="inlineStr">
        <is>
          <t>Original</t>
        </is>
      </c>
      <c r="F1610" t="inlineStr">
        <is>
          <t>6401018.xlsx</t>
        </is>
      </c>
      <c r="G1610" t="inlineStr">
        <is>
          <t>1972Q4</t>
        </is>
      </c>
      <c r="H1610" t="inlineStr">
        <is>
          <t>2026Q2</t>
        </is>
      </c>
      <c r="DB1610" s="2">
        <v>0.4</v>
      </c>
      <c r="DC1610" s="2">
        <v>2.1</v>
      </c>
      <c r="DD1610" s="2">
        <v>2.5</v>
      </c>
      <c r="DE1610" s="2">
        <v>1.6</v>
      </c>
      <c r="DF1610" s="2">
        <v>3.2</v>
      </c>
      <c r="DG1610" s="2">
        <v>2.3</v>
      </c>
      <c r="DH1610" s="2">
        <v>2.9</v>
      </c>
      <c r="DI1610" s="2">
        <v>5.8</v>
      </c>
      <c r="DJ1610" s="2">
        <v>6.2</v>
      </c>
      <c r="DK1610" s="2">
        <v>4.5</v>
      </c>
      <c r="DL1610" s="2">
        <v>2.2</v>
      </c>
      <c r="DM1610" s="2">
        <v>2.7</v>
      </c>
      <c r="DN1610" s="2">
        <v>1.5</v>
      </c>
      <c r="DO1610" s="2">
        <v>3.8</v>
      </c>
      <c r="DP1610" s="2">
        <v>0.8</v>
      </c>
      <c r="DQ1610" s="2">
        <v>1.2</v>
      </c>
      <c r="DR1610" s="2">
        <v>0.8</v>
      </c>
      <c r="DS1610" s="2">
        <v>3.5</v>
      </c>
      <c r="DT1610" s="2">
        <v>2.9</v>
      </c>
      <c r="DU1610" s="2">
        <v>2</v>
      </c>
      <c r="DV1610" s="2">
        <v>5</v>
      </c>
      <c r="DW1610" s="2">
        <v>1.2</v>
      </c>
      <c r="DX1610" s="2">
        <v>0.7</v>
      </c>
      <c r="DY1610" s="2">
        <v>1.2</v>
      </c>
      <c r="DZ1610" s="2">
        <v>3.7</v>
      </c>
      <c r="EA1610" s="2">
        <v>0.9</v>
      </c>
      <c r="EB1610" s="2">
        <v>1.8</v>
      </c>
      <c r="EC1610" s="2">
        <v>1.1</v>
      </c>
      <c r="ED1610" s="2">
        <v>2.1</v>
      </c>
      <c r="EE1610" s="2">
        <v>1.9</v>
      </c>
      <c r="EF1610" s="2">
        <v>4.1</v>
      </c>
      <c r="EG1610" s="2">
        <v>2.3</v>
      </c>
      <c r="EH1610" s="2">
        <v>4.9</v>
      </c>
      <c r="EI1610" s="2">
        <v>2.7</v>
      </c>
      <c r="EJ1610" s="2">
        <v>2.9</v>
      </c>
      <c r="EK1610" s="2">
        <v>2.8</v>
      </c>
      <c r="EL1610" s="2">
        <v>3.5</v>
      </c>
      <c r="EM1610" s="2">
        <v>4.6</v>
      </c>
      <c r="EN1610" s="2">
        <v>2.8</v>
      </c>
      <c r="EO1610" s="2">
        <v>3.2</v>
      </c>
      <c r="EP1610" s="2">
        <v>2.5</v>
      </c>
      <c r="EQ1610" s="2">
        <v>1.3</v>
      </c>
      <c r="ER1610" s="2">
        <v>1.6</v>
      </c>
      <c r="ES1610" s="2">
        <v>0.5</v>
      </c>
      <c r="ET1610" s="2">
        <v>2.1</v>
      </c>
      <c r="EU1610" s="2">
        <v>0.5</v>
      </c>
      <c r="EV1610" s="2">
        <v>-0.1</v>
      </c>
      <c r="EW1610" s="2">
        <v>-0.1</v>
      </c>
      <c r="EX1610" s="2">
        <v>-0.4</v>
      </c>
      <c r="EY1610" s="2">
        <v>1.9</v>
      </c>
      <c r="EZ1610" s="2">
        <v>2.1</v>
      </c>
      <c r="FA1610" s="2">
        <v>0.7</v>
      </c>
      <c r="FB1610" s="2">
        <v>1.4</v>
      </c>
      <c r="FC1610" s="2">
        <v>1.5</v>
      </c>
      <c r="FD1610" s="2">
        <v>1.9</v>
      </c>
      <c r="FE1610" s="2">
        <v>2.2</v>
      </c>
      <c r="FF1610" s="2">
        <v>-0.5</v>
      </c>
      <c r="FG1610" s="2">
        <v>1.8</v>
      </c>
      <c r="FH1610" s="2">
        <v>0.7</v>
      </c>
      <c r="FI1610" s="2">
        <v>2</v>
      </c>
      <c r="FJ1610" s="2">
        <v>1.9</v>
      </c>
      <c r="FK1610" s="2">
        <v>1.4</v>
      </c>
      <c r="FL1610" s="2">
        <v>1.4</v>
      </c>
      <c r="FM1610" s="2">
        <v>1</v>
      </c>
      <c r="FN1610" s="2">
        <v>2.7</v>
      </c>
      <c r="FO1610" s="2">
        <v>1.7</v>
      </c>
      <c r="FP1610" s="2">
        <v>1.1</v>
      </c>
      <c r="FQ1610" s="2">
        <v>0.5</v>
      </c>
      <c r="FR1610" s="2">
        <v>2.8</v>
      </c>
      <c r="FS1610" s="2">
        <v>2.2</v>
      </c>
      <c r="FT1610" s="2">
        <v>1.8</v>
      </c>
      <c r="FU1610" s="2">
        <v>0</v>
      </c>
      <c r="FV1610" s="2">
        <v>1.7</v>
      </c>
      <c r="FW1610" s="2">
        <v>1</v>
      </c>
      <c r="FX1610" s="2">
        <v>0.5</v>
      </c>
      <c r="FY1610" s="2">
        <v>2.2</v>
      </c>
      <c r="FZ1610" s="2">
        <v>-0.1</v>
      </c>
      <c r="GA1610" s="2">
        <v>1.1</v>
      </c>
      <c r="GB1610" s="2">
        <v>0.5</v>
      </c>
      <c r="GC1610" s="2">
        <v>1.3</v>
      </c>
      <c r="GD1610" s="2">
        <v>-0.2</v>
      </c>
      <c r="GE1610" s="2">
        <v>0.4</v>
      </c>
      <c r="GF1610" s="2">
        <v>1.6</v>
      </c>
      <c r="GG1610" s="2">
        <v>0.4</v>
      </c>
      <c r="GH1610" s="2">
        <v>1.1</v>
      </c>
      <c r="GI1610" s="2">
        <v>0.7</v>
      </c>
      <c r="GJ1610" s="2">
        <v>0.2</v>
      </c>
      <c r="GK1610" s="2">
        <v>1.1</v>
      </c>
      <c r="GL1610" s="2">
        <v>0.5</v>
      </c>
      <c r="GM1610" s="2">
        <v>0.4</v>
      </c>
      <c r="GN1610" s="2">
        <v>1.3</v>
      </c>
      <c r="GO1610" s="2">
        <v>1.5</v>
      </c>
      <c r="GP1610" s="2">
        <v>1.1</v>
      </c>
      <c r="GQ1610" s="2">
        <v>1.2</v>
      </c>
      <c r="GR1610" s="2">
        <v>1.4</v>
      </c>
      <c r="GS1610" s="2">
        <v>1</v>
      </c>
      <c r="GT1610" s="2">
        <v>0.8</v>
      </c>
      <c r="GU1610" s="2">
        <v>1.6</v>
      </c>
      <c r="GV1610" s="2">
        <v>0.5</v>
      </c>
      <c r="GW1610" s="2">
        <v>0.1</v>
      </c>
      <c r="GX1610" s="2">
        <v>0.3</v>
      </c>
      <c r="GY1610" s="2">
        <v>1.3</v>
      </c>
      <c r="GZ1610" s="2">
        <v>0.1</v>
      </c>
      <c r="HA1610" s="2">
        <v>0.3</v>
      </c>
      <c r="HB1610" s="2">
        <v>0.2</v>
      </c>
      <c r="HC1610" s="2">
        <v>1.9</v>
      </c>
      <c r="HD1610" s="2">
        <v>0.8</v>
      </c>
      <c r="HE1610" s="2">
        <v>0.5</v>
      </c>
      <c r="HF1610" s="2">
        <v>1.6</v>
      </c>
      <c r="HG1610" s="2">
        <v>0.9</v>
      </c>
      <c r="HH1610" s="2">
        <v>1.5</v>
      </c>
      <c r="HI1610" s="2">
        <v>-1.6</v>
      </c>
      <c r="HJ1610" s="2">
        <v>-0.8</v>
      </c>
      <c r="HK1610" s="2">
        <v>0.9</v>
      </c>
      <c r="HL1610" s="2">
        <v>0.7</v>
      </c>
      <c r="HM1610" s="2">
        <v>2.2</v>
      </c>
      <c r="HN1610" s="2">
        <v>3.9</v>
      </c>
      <c r="HO1610" s="2">
        <v>0.1</v>
      </c>
      <c r="HP1610" s="2">
        <v>0.3</v>
      </c>
      <c r="HQ1610" s="2">
        <v>1</v>
      </c>
      <c r="HR1610" s="2">
        <v>2.1</v>
      </c>
      <c r="HS1610" s="2">
        <v>0.3</v>
      </c>
      <c r="HT1610" s="2">
        <v>0.4</v>
      </c>
      <c r="HU1610" s="2">
        <v>-0.3</v>
      </c>
      <c r="HV1610" s="2">
        <v>0.2</v>
      </c>
      <c r="HW1610" s="2">
        <v>0.7</v>
      </c>
      <c r="HX1610" s="2">
        <v>1</v>
      </c>
      <c r="HY1610" s="2">
        <v>0.4</v>
      </c>
      <c r="HZ1610" s="2">
        <v>0.7</v>
      </c>
      <c r="IA1610" s="2">
        <v>1.6</v>
      </c>
      <c r="IB1610" s="2">
        <v>1.7</v>
      </c>
      <c r="IC1610" s="2">
        <v>0.2</v>
      </c>
      <c r="ID1610" s="2">
        <v>1.9</v>
      </c>
      <c r="IE1610" s="2">
        <v>0.9</v>
      </c>
      <c r="IF1610" s="2">
        <v>1</v>
      </c>
      <c r="IG1610" s="2">
        <v>0.9</v>
      </c>
      <c r="IH1610" s="2">
        <v>1.1</v>
      </c>
      <c r="II1610" s="2">
        <v>1.1</v>
      </c>
      <c r="IJ1610" s="2">
        <v>1.1</v>
      </c>
      <c r="IK1610" s="2">
        <v>2.1</v>
      </c>
      <c r="IL1610" s="2">
        <v>4.5</v>
      </c>
      <c r="IM1610" s="2">
        <v>2.2</v>
      </c>
      <c r="IN1610" s="2">
        <v>2.8</v>
      </c>
      <c r="IO1610" s="2">
        <v>1.4</v>
      </c>
      <c r="IP1610" s="2">
        <v>1.3</v>
      </c>
      <c r="IQ1610" s="2">
        <v>0.4</v>
      </c>
      <c r="IR1610" s="2">
        <v>-1.3</v>
      </c>
      <c r="IS1610" s="2">
        <v>-0.9</v>
      </c>
      <c r="IT1610" s="2">
        <v>0.8</v>
      </c>
      <c r="IU1610" s="2">
        <v>-0.9</v>
      </c>
      <c r="IV1610" s="2">
        <v>1</v>
      </c>
      <c r="IW1610" s="2">
        <v>-0.8</v>
      </c>
      <c r="IX1610" s="2">
        <v>0.7</v>
      </c>
      <c r="IY1610" s="2">
        <v>-2.7</v>
      </c>
      <c r="IZ1610" s="2">
        <v>-1.9</v>
      </c>
      <c r="JA1610" s="2">
        <v>0</v>
      </c>
      <c r="JB1610" s="2">
        <v>-0.2</v>
      </c>
      <c r="JC1610" s="2">
        <v>-0.2</v>
      </c>
      <c r="JD1610" s="2">
        <v>-0.4</v>
      </c>
      <c r="JE1610" s="2">
        <v>1</v>
      </c>
      <c r="JF1610" s="2">
        <v>-1.5</v>
      </c>
      <c r="JG1610" s="2">
        <v>-1.1</v>
      </c>
      <c r="JH1610" s="2">
        <v>-1</v>
      </c>
      <c r="JI1610" s="2">
        <v>1.3</v>
      </c>
      <c r="JJ1610" s="2">
        <v>0.5</v>
      </c>
      <c r="JK1610" s="2">
        <v>-0.1</v>
      </c>
      <c r="JL1610" s="2">
        <v>1.4</v>
      </c>
      <c r="JM1610" s="2">
        <v>0.9</v>
      </c>
      <c r="JN1610" s="2">
        <v>-0.7</v>
      </c>
      <c r="JO1610" s="2">
        <v>1</v>
      </c>
      <c r="JP1610" s="2">
        <v>-0.9</v>
      </c>
      <c r="JQ1610" s="2">
        <v>-0.4</v>
      </c>
      <c r="JR1610" s="2">
        <v>-1.2</v>
      </c>
      <c r="JS1610" s="2">
        <v>-0.3</v>
      </c>
      <c r="JT1610" s="2">
        <v>0.5</v>
      </c>
      <c r="JU1610" s="2">
        <v>-0.8</v>
      </c>
      <c r="JV1610" s="2">
        <v>-0.7</v>
      </c>
      <c r="KA1610" s="2">
        <v>-0.3</v>
      </c>
      <c r="KB1610" s="2">
        <v>-0.2</v>
      </c>
      <c r="KC1610" s="2">
        <v>-0.2</v>
      </c>
      <c r="KD1610" s="2">
        <v>0.5</v>
      </c>
      <c r="KQ1610" s="2">
        <v>0.1</v>
      </c>
      <c r="KR1610" s="2">
        <v>0.6</v>
      </c>
      <c r="KS1610" s="2">
        <v>-0.4</v>
      </c>
      <c r="KT1610" s="2">
        <v>0.9</v>
      </c>
      <c r="LG1610" s="2">
        <v>0.2</v>
      </c>
      <c r="LH1610" s="2">
        <v>1.1</v>
      </c>
      <c r="LI1610" s="2">
        <v>2.2</v>
      </c>
      <c r="LJ1610" s="2">
        <v>1.3</v>
      </c>
      <c r="LW1610" s="2">
        <v>1.1</v>
      </c>
      <c r="LX1610" s="2">
        <v>1</v>
      </c>
      <c r="LY1610" s="2">
        <v>-0.2</v>
      </c>
      <c r="LZ1610" s="2">
        <v>-0.1</v>
      </c>
      <c r="MM1610" s="2">
        <v>-0.4</v>
      </c>
      <c r="MN1610" s="2">
        <v>0.1</v>
      </c>
      <c r="MO1610" s="2">
        <v>0.4</v>
      </c>
      <c r="MP1610" s="2">
        <v>1.7</v>
      </c>
      <c r="NC1610" s="2">
        <v>1.9</v>
      </c>
      <c r="ND1610" s="2">
        <v>1.3</v>
      </c>
      <c r="NE1610" s="2">
        <v>6.8</v>
      </c>
      <c r="NF1610" s="2">
        <v>4.3</v>
      </c>
      <c r="NS1610" s="2">
        <v>1.9</v>
      </c>
      <c r="NT1610" s="2">
        <v>1.6</v>
      </c>
      <c r="NU1610" s="2">
        <v>2.2</v>
      </c>
      <c r="NV1610" s="2">
        <v>0.6</v>
      </c>
      <c r="OI1610" s="2">
        <v>-0.3</v>
      </c>
      <c r="OJ1610" s="2">
        <v>-0.2</v>
      </c>
      <c r="OK1610" s="2">
        <v>-0.3</v>
      </c>
      <c r="OL1610" s="2">
        <v>-0.4</v>
      </c>
      <c r="OY1610" s="2">
        <v>0.7</v>
      </c>
      <c r="OZ1610" s="2">
        <v>0.2</v>
      </c>
      <c r="PA1610" s="2">
        <v>0.9</v>
      </c>
      <c r="PB1610" s="2">
        <v>1.2</v>
      </c>
      <c r="PJ1610" s="2">
        <v>0.3</v>
      </c>
      <c r="PK1610" s="2">
        <v>2.1</v>
      </c>
    </row>
    <row r="1611">
      <c r="A1611" t="inlineStr">
        <is>
          <t>A2326930L</t>
        </is>
      </c>
      <c r="B1611" t="inlineStr">
        <is>
          <t>Percentage Change from Previous Period ;  Milk ;  Australia ;</t>
        </is>
      </c>
      <c r="C1611" t="inlineStr">
        <is>
          <t>Quarter</t>
        </is>
      </c>
      <c r="D1611" t="inlineStr">
        <is>
          <t>Percent</t>
        </is>
      </c>
      <c r="E1611" t="inlineStr">
        <is>
          <t>Original</t>
        </is>
      </c>
      <c r="F1611" t="inlineStr">
        <is>
          <t>6401018.xlsx</t>
        </is>
      </c>
      <c r="G1611" t="inlineStr">
        <is>
          <t>1980Q4</t>
        </is>
      </c>
      <c r="H1611" t="inlineStr">
        <is>
          <t>2026Q2</t>
        </is>
      </c>
      <c r="EH1611" s="2">
        <v>5.5</v>
      </c>
      <c r="EI1611" s="2">
        <v>2.8</v>
      </c>
      <c r="EJ1611" s="2">
        <v>2.4</v>
      </c>
      <c r="EK1611" s="2">
        <v>2.3</v>
      </c>
      <c r="EL1611" s="2">
        <v>3.3</v>
      </c>
      <c r="EM1611" s="2">
        <v>-3</v>
      </c>
      <c r="EN1611" s="2">
        <v>1.9</v>
      </c>
      <c r="EO1611" s="2">
        <v>1.6</v>
      </c>
      <c r="EP1611" s="2">
        <v>2</v>
      </c>
      <c r="EQ1611" s="2">
        <v>0.1</v>
      </c>
      <c r="ER1611" s="2">
        <v>1.1</v>
      </c>
      <c r="ES1611" s="2">
        <v>0.4</v>
      </c>
      <c r="ET1611" s="2">
        <v>3.2</v>
      </c>
      <c r="EU1611" s="2">
        <v>1.2</v>
      </c>
      <c r="EV1611" s="2">
        <v>0.2</v>
      </c>
      <c r="EW1611" s="2">
        <v>0</v>
      </c>
      <c r="EX1611" s="2">
        <v>-0.1</v>
      </c>
      <c r="EY1611" s="2">
        <v>2.9</v>
      </c>
      <c r="EZ1611" s="2">
        <v>1.1</v>
      </c>
      <c r="FA1611" s="2">
        <v>1.4</v>
      </c>
      <c r="FB1611" s="2">
        <v>1.9</v>
      </c>
      <c r="FC1611" s="2">
        <v>1.6</v>
      </c>
      <c r="FD1611" s="2">
        <v>2</v>
      </c>
      <c r="FE1611" s="2">
        <v>1.4</v>
      </c>
      <c r="FF1611" s="2">
        <v>0.5</v>
      </c>
      <c r="FG1611" s="2">
        <v>0.7</v>
      </c>
      <c r="FH1611" s="2">
        <v>1.3</v>
      </c>
      <c r="FI1611" s="2">
        <v>1.7</v>
      </c>
      <c r="FJ1611" s="2">
        <v>1</v>
      </c>
      <c r="FK1611" s="2">
        <v>1.1</v>
      </c>
      <c r="FL1611" s="2">
        <v>1.2</v>
      </c>
      <c r="FM1611" s="2">
        <v>1</v>
      </c>
      <c r="FN1611" s="2">
        <v>1.4</v>
      </c>
      <c r="FO1611" s="2">
        <v>2.8</v>
      </c>
      <c r="FP1611" s="2">
        <v>-0.4</v>
      </c>
      <c r="FQ1611" s="2">
        <v>0</v>
      </c>
      <c r="FR1611" s="2">
        <v>1.7</v>
      </c>
      <c r="FS1611" s="2">
        <v>1.7</v>
      </c>
      <c r="FT1611" s="2">
        <v>1.1</v>
      </c>
      <c r="FU1611" s="2">
        <v>0.9</v>
      </c>
      <c r="FV1611" s="2">
        <v>2.1</v>
      </c>
      <c r="FW1611" s="2">
        <v>2.1</v>
      </c>
      <c r="FX1611" s="2">
        <v>1.5</v>
      </c>
      <c r="FY1611" s="2">
        <v>2.3</v>
      </c>
      <c r="FZ1611" s="2">
        <v>1.4</v>
      </c>
      <c r="GA1611" s="2">
        <v>0.3</v>
      </c>
      <c r="GB1611" s="2">
        <v>1.2</v>
      </c>
      <c r="GC1611" s="2">
        <v>0.1</v>
      </c>
      <c r="GD1611" s="2">
        <v>0.5</v>
      </c>
      <c r="GE1611" s="2">
        <v>1.4</v>
      </c>
      <c r="GF1611" s="2">
        <v>2.1</v>
      </c>
      <c r="GG1611" s="2">
        <v>0.9</v>
      </c>
      <c r="GH1611" s="2">
        <v>0.7</v>
      </c>
      <c r="GI1611" s="2">
        <v>1.1</v>
      </c>
      <c r="GJ1611" s="2">
        <v>0.5</v>
      </c>
      <c r="GK1611" s="2">
        <v>1.1</v>
      </c>
      <c r="GL1611" s="2">
        <v>1.4</v>
      </c>
      <c r="GM1611" s="2">
        <v>1.6</v>
      </c>
      <c r="GN1611" s="2">
        <v>1.6</v>
      </c>
      <c r="GO1611" s="2">
        <v>1.8</v>
      </c>
      <c r="GP1611" s="2">
        <v>0.8</v>
      </c>
      <c r="GQ1611" s="2">
        <v>1.7</v>
      </c>
      <c r="GR1611" s="2">
        <v>0.8</v>
      </c>
      <c r="GS1611" s="2">
        <v>1.6</v>
      </c>
      <c r="GT1611" s="2">
        <v>0.7</v>
      </c>
      <c r="GU1611" s="2">
        <v>2</v>
      </c>
      <c r="GV1611" s="2">
        <v>0.6</v>
      </c>
      <c r="GW1611" s="2">
        <v>0.7</v>
      </c>
      <c r="GX1611" s="2">
        <v>1.2</v>
      </c>
      <c r="GY1611" s="2">
        <v>1.1</v>
      </c>
      <c r="GZ1611" s="2">
        <v>0.2</v>
      </c>
      <c r="HA1611" s="2">
        <v>0.1</v>
      </c>
      <c r="HB1611" s="2">
        <v>0.7</v>
      </c>
      <c r="HC1611" s="2">
        <v>1.3</v>
      </c>
      <c r="HD1611" s="2">
        <v>0.3</v>
      </c>
      <c r="HE1611" s="2">
        <v>0.9</v>
      </c>
      <c r="HF1611" s="2">
        <v>2.4</v>
      </c>
      <c r="HG1611" s="2">
        <v>1.3</v>
      </c>
      <c r="HH1611" s="2">
        <v>1.9</v>
      </c>
      <c r="HI1611" s="2">
        <v>-2.5</v>
      </c>
      <c r="HJ1611" s="2">
        <v>-3.3</v>
      </c>
      <c r="HK1611" s="2">
        <v>0.2</v>
      </c>
      <c r="HL1611" s="2">
        <v>0.4</v>
      </c>
      <c r="HM1611" s="2">
        <v>1.2</v>
      </c>
      <c r="HN1611" s="2">
        <v>4</v>
      </c>
      <c r="HO1611" s="2">
        <v>0.4</v>
      </c>
      <c r="HP1611" s="2">
        <v>0.8</v>
      </c>
      <c r="HQ1611" s="2">
        <v>0.4</v>
      </c>
      <c r="HR1611" s="2">
        <v>2.5</v>
      </c>
      <c r="HS1611" s="2">
        <v>1.2</v>
      </c>
      <c r="HT1611" s="2">
        <v>0.8</v>
      </c>
      <c r="HU1611" s="2">
        <v>-0.3</v>
      </c>
      <c r="HV1611" s="2">
        <v>0.7</v>
      </c>
      <c r="HW1611" s="2">
        <v>0.4</v>
      </c>
      <c r="HX1611" s="2">
        <v>1.2</v>
      </c>
      <c r="HY1611" s="2">
        <v>0.6</v>
      </c>
      <c r="HZ1611" s="2">
        <v>0.3</v>
      </c>
      <c r="IA1611" s="2">
        <v>1.8</v>
      </c>
      <c r="IB1611" s="2">
        <v>1.9</v>
      </c>
      <c r="IC1611" s="2">
        <v>-0.3</v>
      </c>
      <c r="ID1611" s="2">
        <v>2.3</v>
      </c>
      <c r="IE1611" s="2">
        <v>0.3</v>
      </c>
      <c r="IF1611" s="2">
        <v>1</v>
      </c>
      <c r="IG1611" s="2">
        <v>0.8</v>
      </c>
      <c r="IH1611" s="2">
        <v>1.1</v>
      </c>
      <c r="II1611" s="2">
        <v>1</v>
      </c>
      <c r="IJ1611" s="2">
        <v>0.8</v>
      </c>
      <c r="IK1611" s="2">
        <v>2.5</v>
      </c>
      <c r="IL1611" s="2">
        <v>5.6</v>
      </c>
      <c r="IM1611" s="2">
        <v>2.4</v>
      </c>
      <c r="IN1611" s="2">
        <v>1.2</v>
      </c>
      <c r="IO1611" s="2">
        <v>1.4</v>
      </c>
      <c r="IP1611" s="2">
        <v>1.2</v>
      </c>
      <c r="IQ1611" s="2">
        <v>-1.5</v>
      </c>
      <c r="IR1611" s="2">
        <v>-3</v>
      </c>
      <c r="IS1611" s="2">
        <v>-0.5</v>
      </c>
      <c r="IT1611" s="2">
        <v>0.2</v>
      </c>
      <c r="IU1611" s="2">
        <v>0.1</v>
      </c>
      <c r="IV1611" s="2">
        <v>0.3</v>
      </c>
      <c r="IW1611" s="2">
        <v>0</v>
      </c>
      <c r="IX1611" s="2">
        <v>-0.4</v>
      </c>
      <c r="IY1611" s="2">
        <v>-6.2</v>
      </c>
      <c r="IZ1611" s="2">
        <v>-4.6</v>
      </c>
      <c r="JA1611" s="2">
        <v>0.3</v>
      </c>
      <c r="JB1611" s="2">
        <v>0.1</v>
      </c>
      <c r="JC1611" s="2">
        <v>0.3</v>
      </c>
      <c r="JD1611" s="2">
        <v>-0.2</v>
      </c>
      <c r="JE1611" s="2">
        <v>-0.5</v>
      </c>
      <c r="JF1611" s="2">
        <v>-0.4</v>
      </c>
      <c r="JG1611" s="2">
        <v>-1.5</v>
      </c>
      <c r="JH1611" s="2">
        <v>-0.9</v>
      </c>
      <c r="JI1611" s="2">
        <v>0.4</v>
      </c>
      <c r="JJ1611" s="2">
        <v>0.4</v>
      </c>
      <c r="JK1611" s="2">
        <v>0.1</v>
      </c>
      <c r="JL1611" s="2">
        <v>0</v>
      </c>
      <c r="JM1611" s="2">
        <v>-0.2</v>
      </c>
      <c r="JN1611" s="2">
        <v>0.1</v>
      </c>
      <c r="JO1611" s="2">
        <v>-0.1</v>
      </c>
      <c r="JP1611" s="2">
        <v>-0.5</v>
      </c>
      <c r="JQ1611" s="2">
        <v>-0.3</v>
      </c>
      <c r="JR1611" s="2">
        <v>-0.5</v>
      </c>
      <c r="JS1611" s="2">
        <v>0.2</v>
      </c>
      <c r="JT1611" s="2">
        <v>0</v>
      </c>
      <c r="JU1611" s="2">
        <v>0</v>
      </c>
      <c r="JV1611" s="2">
        <v>-0.2</v>
      </c>
      <c r="KA1611" s="2">
        <v>0.4</v>
      </c>
      <c r="KB1611" s="2">
        <v>-0.2</v>
      </c>
      <c r="KC1611" s="2">
        <v>-0.2</v>
      </c>
      <c r="KD1611" s="2">
        <v>0.6</v>
      </c>
      <c r="KQ1611" s="2">
        <v>-0.1</v>
      </c>
      <c r="KR1611" s="2">
        <v>0.6</v>
      </c>
      <c r="KS1611" s="2">
        <v>-0.6</v>
      </c>
      <c r="KT1611" s="2">
        <v>2</v>
      </c>
      <c r="LG1611" s="2">
        <v>-0.4</v>
      </c>
      <c r="LH1611" s="2">
        <v>1.9</v>
      </c>
      <c r="LI1611" s="2">
        <v>3.1</v>
      </c>
      <c r="LJ1611" s="2">
        <v>1.7</v>
      </c>
      <c r="LW1611" s="2">
        <v>0.8</v>
      </c>
      <c r="LX1611" s="2">
        <v>0.7</v>
      </c>
      <c r="LY1611" s="2">
        <v>-0.3</v>
      </c>
      <c r="LZ1611" s="2">
        <v>0.7</v>
      </c>
      <c r="MM1611" s="2">
        <v>-0.3</v>
      </c>
      <c r="MN1611" s="2">
        <v>-0.1</v>
      </c>
      <c r="MO1611" s="2">
        <v>0.3</v>
      </c>
      <c r="MP1611" s="2">
        <v>1.4</v>
      </c>
      <c r="NC1611" s="2">
        <v>2.7</v>
      </c>
      <c r="ND1611" s="2">
        <v>0.8</v>
      </c>
      <c r="NE1611" s="2">
        <v>10.7</v>
      </c>
      <c r="NF1611" s="2">
        <v>2.9</v>
      </c>
      <c r="NS1611" s="2">
        <v>1.2</v>
      </c>
      <c r="NT1611" s="2">
        <v>0.1</v>
      </c>
      <c r="NU1611" s="2">
        <v>1.3</v>
      </c>
      <c r="NV1611" s="2">
        <v>1.3</v>
      </c>
      <c r="OI1611" s="2">
        <v>-0.2</v>
      </c>
      <c r="OJ1611" s="2">
        <v>-0.2</v>
      </c>
      <c r="OK1611" s="2">
        <v>0.2</v>
      </c>
      <c r="OL1611" s="2">
        <v>-0.6</v>
      </c>
      <c r="OY1611" s="2">
        <v>0</v>
      </c>
      <c r="OZ1611" s="2">
        <v>0.3</v>
      </c>
      <c r="PA1611" s="2">
        <v>1.5</v>
      </c>
      <c r="PB1611" s="2">
        <v>1.9</v>
      </c>
      <c r="PJ1611" s="2">
        <v>0.1</v>
      </c>
      <c r="PK1611" s="2">
        <v>3.7</v>
      </c>
    </row>
    <row r="1612">
      <c r="A1612" t="inlineStr">
        <is>
          <t>A2326975T</t>
        </is>
      </c>
      <c r="B1612" t="inlineStr">
        <is>
          <t>Percentage Change from Previous Period ;  Cheese ;  Australia ;</t>
        </is>
      </c>
      <c r="C1612" t="inlineStr">
        <is>
          <t>Quarter</t>
        </is>
      </c>
      <c r="D1612" t="inlineStr">
        <is>
          <t>Percent</t>
        </is>
      </c>
      <c r="E1612" t="inlineStr">
        <is>
          <t>Original</t>
        </is>
      </c>
      <c r="F1612" t="inlineStr">
        <is>
          <t>6401018.xlsx</t>
        </is>
      </c>
      <c r="G1612" t="inlineStr">
        <is>
          <t>1980Q4</t>
        </is>
      </c>
      <c r="H1612" t="inlineStr">
        <is>
          <t>2026Q2</t>
        </is>
      </c>
      <c r="EH1612" s="2">
        <v>4.6</v>
      </c>
      <c r="EI1612" s="2">
        <v>2.6</v>
      </c>
      <c r="EJ1612" s="2">
        <v>3.6</v>
      </c>
      <c r="EK1612" s="2">
        <v>2.4</v>
      </c>
      <c r="EL1612" s="2">
        <v>5</v>
      </c>
      <c r="EM1612" s="2">
        <v>3.6</v>
      </c>
      <c r="EN1612" s="2">
        <v>5.9</v>
      </c>
      <c r="EO1612" s="2">
        <v>6</v>
      </c>
      <c r="EP1612" s="2">
        <v>3.9</v>
      </c>
      <c r="EQ1612" s="2">
        <v>3.3</v>
      </c>
      <c r="ER1612" s="2">
        <v>4.1</v>
      </c>
      <c r="ES1612" s="2">
        <v>0.9</v>
      </c>
      <c r="ET1612" s="2">
        <v>-0.6</v>
      </c>
      <c r="EU1612" s="2">
        <v>-0.7</v>
      </c>
      <c r="EV1612" s="2">
        <v>-0.7</v>
      </c>
      <c r="EW1612" s="2">
        <v>0.3</v>
      </c>
      <c r="EX1612" s="2">
        <v>-1.8</v>
      </c>
      <c r="EY1612" s="2">
        <v>1.2</v>
      </c>
      <c r="EZ1612" s="2">
        <v>4.4</v>
      </c>
      <c r="FA1612" s="2">
        <v>-1.7</v>
      </c>
      <c r="FB1612" s="2">
        <v>-0.3</v>
      </c>
      <c r="FC1612" s="2">
        <v>2.3</v>
      </c>
      <c r="FD1612" s="2">
        <v>2.5</v>
      </c>
      <c r="FE1612" s="2">
        <v>5.2</v>
      </c>
      <c r="FF1612" s="2">
        <v>-4.1</v>
      </c>
      <c r="FG1612" s="2">
        <v>5.2</v>
      </c>
      <c r="FH1612" s="2">
        <v>-1</v>
      </c>
      <c r="FI1612" s="2">
        <v>2.5</v>
      </c>
      <c r="FJ1612" s="2">
        <v>3.7</v>
      </c>
      <c r="FK1612" s="2">
        <v>2.1</v>
      </c>
      <c r="FL1612" s="2">
        <v>1.8</v>
      </c>
      <c r="FM1612" s="2">
        <v>0.7</v>
      </c>
      <c r="FN1612" s="2">
        <v>6.5</v>
      </c>
      <c r="FO1612" s="2">
        <v>-0.1</v>
      </c>
      <c r="FP1612" s="2">
        <v>2.4</v>
      </c>
      <c r="FQ1612" s="2">
        <v>1.7</v>
      </c>
      <c r="FR1612" s="2">
        <v>4.8</v>
      </c>
      <c r="FS1612" s="2">
        <v>3.7</v>
      </c>
      <c r="FT1612" s="2">
        <v>3.2</v>
      </c>
      <c r="FU1612" s="2">
        <v>-1.1</v>
      </c>
      <c r="FV1612" s="2">
        <v>1.2</v>
      </c>
      <c r="FW1612" s="2">
        <v>-0.5</v>
      </c>
      <c r="FX1612" s="2">
        <v>-1.7</v>
      </c>
      <c r="FY1612" s="2">
        <v>3.5</v>
      </c>
      <c r="FZ1612" s="2">
        <v>-1.8</v>
      </c>
      <c r="GA1612" s="2">
        <v>3.3</v>
      </c>
      <c r="GB1612" s="2">
        <v>0</v>
      </c>
      <c r="GC1612" s="2">
        <v>4.4</v>
      </c>
      <c r="GD1612" s="2">
        <v>-3.2</v>
      </c>
      <c r="GE1612" s="2">
        <v>-0.9</v>
      </c>
      <c r="GF1612" s="2">
        <v>0.1</v>
      </c>
      <c r="GG1612" s="2">
        <v>-0.2</v>
      </c>
      <c r="GH1612" s="2">
        <v>1.2</v>
      </c>
      <c r="GI1612" s="2">
        <v>0.5</v>
      </c>
      <c r="GJ1612" s="2">
        <v>-1.3</v>
      </c>
      <c r="GK1612" s="2">
        <v>1.5</v>
      </c>
      <c r="GL1612" s="2">
        <v>-1.1</v>
      </c>
      <c r="GM1612" s="2">
        <v>-0.9</v>
      </c>
      <c r="GN1612" s="2">
        <v>0.1</v>
      </c>
      <c r="GO1612" s="2">
        <v>0.3</v>
      </c>
      <c r="GP1612" s="2">
        <v>2.3</v>
      </c>
      <c r="GQ1612" s="2">
        <v>0.5</v>
      </c>
      <c r="GR1612" s="2">
        <v>1.7</v>
      </c>
      <c r="GS1612" s="2">
        <v>-1.4</v>
      </c>
      <c r="GT1612" s="2">
        <v>0.6</v>
      </c>
      <c r="GU1612" s="2">
        <v>1.6</v>
      </c>
      <c r="GV1612" s="2">
        <v>-1.1</v>
      </c>
      <c r="GW1612" s="2">
        <v>-0.3</v>
      </c>
      <c r="GX1612" s="2">
        <v>-2.4</v>
      </c>
      <c r="GY1612" s="2">
        <v>1.4</v>
      </c>
      <c r="GZ1612" s="2">
        <v>-0.8</v>
      </c>
      <c r="HA1612" s="2">
        <v>1.5</v>
      </c>
      <c r="HB1612" s="2">
        <v>0.4</v>
      </c>
      <c r="HC1612" s="2">
        <v>2.3</v>
      </c>
      <c r="HD1612" s="2">
        <v>0.5</v>
      </c>
      <c r="HE1612" s="2">
        <v>0.3</v>
      </c>
      <c r="HF1612" s="2">
        <v>-0.4</v>
      </c>
      <c r="HG1612" s="2">
        <v>0.3</v>
      </c>
      <c r="HH1612" s="2">
        <v>-0.8</v>
      </c>
      <c r="HI1612" s="2">
        <v>-0.6</v>
      </c>
      <c r="HJ1612" s="2">
        <v>1</v>
      </c>
      <c r="HK1612" s="2">
        <v>1</v>
      </c>
      <c r="HL1612" s="2">
        <v>0.8</v>
      </c>
      <c r="HM1612" s="2">
        <v>3.5</v>
      </c>
      <c r="HN1612" s="2">
        <v>7.2</v>
      </c>
      <c r="HO1612" s="2">
        <v>-1.1</v>
      </c>
      <c r="HP1612" s="2">
        <v>0.2</v>
      </c>
      <c r="HQ1612" s="2">
        <v>0.5</v>
      </c>
      <c r="HR1612" s="2">
        <v>1.5</v>
      </c>
      <c r="HS1612" s="2">
        <v>-1.2</v>
      </c>
      <c r="HT1612" s="2">
        <v>1.2</v>
      </c>
      <c r="HU1612" s="2">
        <v>-0.5</v>
      </c>
      <c r="HV1612" s="2">
        <v>0.4</v>
      </c>
      <c r="HW1612" s="2">
        <v>1.9</v>
      </c>
      <c r="HX1612" s="2">
        <v>0.6</v>
      </c>
      <c r="HY1612" s="2">
        <v>1.7</v>
      </c>
      <c r="HZ1612" s="2">
        <v>2.5</v>
      </c>
      <c r="IA1612" s="2">
        <v>1</v>
      </c>
      <c r="IB1612" s="2">
        <v>1.7</v>
      </c>
      <c r="IC1612" s="2">
        <v>1.2</v>
      </c>
      <c r="ID1612" s="2">
        <v>2.1</v>
      </c>
      <c r="IE1612" s="2">
        <v>1.7</v>
      </c>
      <c r="IF1612" s="2">
        <v>0.9</v>
      </c>
      <c r="IG1612" s="2">
        <v>1.2</v>
      </c>
      <c r="IH1612" s="2">
        <v>0.3</v>
      </c>
      <c r="II1612" s="2">
        <v>2.1</v>
      </c>
      <c r="IJ1612" s="2">
        <v>3.1</v>
      </c>
      <c r="IK1612" s="2">
        <v>2.8</v>
      </c>
      <c r="IL1612" s="2">
        <v>4.9</v>
      </c>
      <c r="IM1612" s="2">
        <v>3.4</v>
      </c>
      <c r="IN1612" s="2">
        <v>2.4</v>
      </c>
      <c r="IO1612" s="2">
        <v>2.5</v>
      </c>
      <c r="IP1612" s="2">
        <v>2.3</v>
      </c>
      <c r="IQ1612" s="2">
        <v>0</v>
      </c>
      <c r="IR1612" s="2">
        <v>-0.2</v>
      </c>
      <c r="IS1612" s="2">
        <v>-1.4</v>
      </c>
      <c r="IT1612" s="2">
        <v>0.7</v>
      </c>
      <c r="IU1612" s="2">
        <v>-0.6</v>
      </c>
      <c r="IV1612" s="2">
        <v>0.3</v>
      </c>
      <c r="IW1612" s="2">
        <v>-1.4</v>
      </c>
      <c r="IX1612" s="2">
        <v>2.8</v>
      </c>
      <c r="IY1612" s="2">
        <v>-0.5</v>
      </c>
      <c r="IZ1612" s="2">
        <v>1.4</v>
      </c>
      <c r="JA1612" s="2">
        <v>0.8</v>
      </c>
      <c r="JB1612" s="2">
        <v>-2</v>
      </c>
      <c r="JC1612" s="2">
        <v>-0.4</v>
      </c>
      <c r="JD1612" s="2">
        <v>-0.4</v>
      </c>
      <c r="JE1612" s="2">
        <v>2.6</v>
      </c>
      <c r="JF1612" s="2">
        <v>-2.4</v>
      </c>
      <c r="JG1612" s="2">
        <v>-0.8</v>
      </c>
      <c r="JH1612" s="2">
        <v>-2.2</v>
      </c>
      <c r="JI1612" s="2">
        <v>2.6</v>
      </c>
      <c r="JJ1612" s="2">
        <v>1.2</v>
      </c>
      <c r="JK1612" s="2">
        <v>1.6</v>
      </c>
      <c r="JL1612" s="2">
        <v>2.6</v>
      </c>
      <c r="JM1612" s="2">
        <v>3.1</v>
      </c>
      <c r="JN1612" s="2">
        <v>-0.5</v>
      </c>
      <c r="JO1612" s="2">
        <v>0.4</v>
      </c>
      <c r="JP1612" s="2">
        <v>-1.6</v>
      </c>
      <c r="JQ1612" s="2">
        <v>-0.6</v>
      </c>
      <c r="JR1612" s="2">
        <v>0.1</v>
      </c>
      <c r="JS1612" s="2">
        <v>-2</v>
      </c>
      <c r="JT1612" s="2">
        <v>-0.1</v>
      </c>
      <c r="JU1612" s="2">
        <v>-0.8</v>
      </c>
      <c r="JV1612" s="2">
        <v>-1.3</v>
      </c>
      <c r="KA1612" s="2">
        <v>-0.9</v>
      </c>
      <c r="KB1612" s="2">
        <v>-1.4</v>
      </c>
      <c r="KC1612" s="2">
        <v>0.8</v>
      </c>
      <c r="KD1612" s="2">
        <v>0.9</v>
      </c>
      <c r="KQ1612" s="2">
        <v>0.2</v>
      </c>
      <c r="KR1612" s="2">
        <v>0.7</v>
      </c>
      <c r="KS1612" s="2">
        <v>-0.2</v>
      </c>
      <c r="KT1612" s="2">
        <v>0.2</v>
      </c>
      <c r="LG1612" s="2">
        <v>0.6</v>
      </c>
      <c r="LH1612" s="2">
        <v>0.2</v>
      </c>
      <c r="LI1612" s="2">
        <v>2.4</v>
      </c>
      <c r="LJ1612" s="2">
        <v>2.4</v>
      </c>
      <c r="LW1612" s="2">
        <v>1.7</v>
      </c>
      <c r="LX1612" s="2">
        <v>1.2</v>
      </c>
      <c r="LY1612" s="2">
        <v>-0.2</v>
      </c>
      <c r="LZ1612" s="2">
        <v>-0.6</v>
      </c>
      <c r="MM1612" s="2">
        <v>-0.2</v>
      </c>
      <c r="MN1612" s="2">
        <v>0.1</v>
      </c>
      <c r="MO1612" s="2">
        <v>0.3</v>
      </c>
      <c r="MP1612" s="2">
        <v>1.9</v>
      </c>
      <c r="NC1612" s="2">
        <v>1.1</v>
      </c>
      <c r="ND1612" s="2">
        <v>1.6</v>
      </c>
      <c r="NE1612" s="2">
        <v>4.6</v>
      </c>
      <c r="NF1612" s="2">
        <v>6.3</v>
      </c>
      <c r="NS1612" s="2">
        <v>3.4</v>
      </c>
      <c r="NT1612" s="2">
        <v>1.2</v>
      </c>
      <c r="NU1612" s="2">
        <v>4.3</v>
      </c>
      <c r="NV1612" s="2">
        <v>-0.5</v>
      </c>
      <c r="OI1612" s="2">
        <v>-0.1</v>
      </c>
      <c r="OJ1612" s="2">
        <v>-0.8</v>
      </c>
      <c r="OK1612" s="2">
        <v>-0.9</v>
      </c>
      <c r="OL1612" s="2">
        <v>-0.1</v>
      </c>
      <c r="OY1612" s="2">
        <v>1.5</v>
      </c>
      <c r="OZ1612" s="2">
        <v>0</v>
      </c>
      <c r="PA1612" s="2">
        <v>-0.7</v>
      </c>
      <c r="PB1612" s="2">
        <v>0</v>
      </c>
      <c r="PJ1612" s="2">
        <v>0.3</v>
      </c>
      <c r="PK1612" s="2">
        <v>0.6</v>
      </c>
    </row>
    <row r="1613">
      <c r="A1613" t="inlineStr">
        <is>
          <t>A2327020V</t>
        </is>
      </c>
      <c r="B1613" t="inlineStr">
        <is>
          <t>Percentage Change from Previous Period ;  Ice cream and other dairy products ;  Australia ;</t>
        </is>
      </c>
      <c r="C1613" t="inlineStr">
        <is>
          <t>Quarter</t>
        </is>
      </c>
      <c r="D1613" t="inlineStr">
        <is>
          <t>Percent</t>
        </is>
      </c>
      <c r="E1613" t="inlineStr">
        <is>
          <t>Original</t>
        </is>
      </c>
      <c r="F1613" t="inlineStr">
        <is>
          <t>6401018.xlsx</t>
        </is>
      </c>
      <c r="G1613" t="inlineStr">
        <is>
          <t>1980Q4</t>
        </is>
      </c>
      <c r="H1613" t="inlineStr">
        <is>
          <t>2026Q2</t>
        </is>
      </c>
      <c r="EH1613" s="2">
        <v>3</v>
      </c>
      <c r="EI1613" s="2">
        <v>1.8</v>
      </c>
      <c r="EJ1613" s="2">
        <v>2.8</v>
      </c>
      <c r="EK1613" s="2">
        <v>2.8</v>
      </c>
      <c r="EL1613" s="2">
        <v>0.7</v>
      </c>
      <c r="EM1613" s="2">
        <v>2.3</v>
      </c>
      <c r="EN1613" s="2">
        <v>4.7</v>
      </c>
      <c r="EO1613" s="2">
        <v>3.7</v>
      </c>
      <c r="EP1613" s="2">
        <v>3</v>
      </c>
      <c r="EQ1613" s="2">
        <v>3.3</v>
      </c>
      <c r="ER1613" s="2">
        <v>1.4</v>
      </c>
      <c r="ES1613" s="2">
        <v>-1</v>
      </c>
      <c r="ET1613" s="2">
        <v>1.5</v>
      </c>
      <c r="EU1613" s="2">
        <v>1</v>
      </c>
      <c r="EV1613" s="2">
        <v>-1</v>
      </c>
      <c r="EW1613" s="2">
        <v>0.7</v>
      </c>
      <c r="EX1613" s="2">
        <v>-1.5</v>
      </c>
      <c r="EY1613" s="2">
        <v>0.4</v>
      </c>
      <c r="EZ1613" s="2">
        <v>1.5</v>
      </c>
      <c r="FA1613" s="2">
        <v>1.2</v>
      </c>
      <c r="FB1613" s="2">
        <v>0.3</v>
      </c>
      <c r="FC1613" s="2">
        <v>1.1</v>
      </c>
      <c r="FD1613" s="2">
        <v>-0.5</v>
      </c>
      <c r="FE1613" s="2">
        <v>0.9</v>
      </c>
      <c r="FF1613" s="2">
        <v>0.6</v>
      </c>
      <c r="FG1613" s="2">
        <v>1.2</v>
      </c>
      <c r="FH1613" s="2">
        <v>1.7</v>
      </c>
      <c r="FI1613" s="2">
        <v>3.6</v>
      </c>
      <c r="FJ1613" s="2">
        <v>2.3</v>
      </c>
      <c r="FK1613" s="2">
        <v>1.1</v>
      </c>
      <c r="FL1613" s="2">
        <v>3.4</v>
      </c>
      <c r="FM1613" s="2">
        <v>0.4</v>
      </c>
      <c r="FN1613" s="2">
        <v>2.9</v>
      </c>
      <c r="FO1613" s="2">
        <v>0.4</v>
      </c>
      <c r="FP1613" s="2">
        <v>4.9</v>
      </c>
      <c r="FQ1613" s="2">
        <v>0.8</v>
      </c>
      <c r="FR1613" s="2">
        <v>5.5</v>
      </c>
      <c r="FS1613" s="2">
        <v>0.1</v>
      </c>
      <c r="FT1613" s="2">
        <v>3.8</v>
      </c>
      <c r="FU1613" s="2">
        <v>-1.2</v>
      </c>
      <c r="FV1613" s="2">
        <v>2.3</v>
      </c>
      <c r="FW1613" s="2">
        <v>0.4</v>
      </c>
      <c r="FX1613" s="2">
        <v>1.5</v>
      </c>
      <c r="FY1613" s="2">
        <v>-0.3</v>
      </c>
      <c r="FZ1613" s="2">
        <v>-2</v>
      </c>
      <c r="GA1613" s="2">
        <v>0.3</v>
      </c>
      <c r="GB1613" s="2">
        <v>-0.8</v>
      </c>
      <c r="GC1613" s="2">
        <v>-0.4</v>
      </c>
      <c r="GD1613" s="2">
        <v>4.6</v>
      </c>
      <c r="GE1613" s="2">
        <v>-3.5</v>
      </c>
      <c r="GF1613" s="2">
        <v>6.2</v>
      </c>
      <c r="GG1613" s="2">
        <v>-0.5</v>
      </c>
      <c r="GH1613" s="2">
        <v>2.5</v>
      </c>
      <c r="GI1613" s="2">
        <v>-0.8</v>
      </c>
      <c r="GJ1613" s="2">
        <v>2.7</v>
      </c>
      <c r="GK1613" s="2">
        <v>-0.6</v>
      </c>
      <c r="GL1613" s="2">
        <v>-0.8</v>
      </c>
      <c r="GM1613" s="2">
        <v>-1.1</v>
      </c>
      <c r="GN1613" s="2">
        <v>2.3</v>
      </c>
      <c r="GO1613" s="2">
        <v>0.6</v>
      </c>
      <c r="GP1613" s="2">
        <v>-1.7</v>
      </c>
      <c r="GQ1613" s="2">
        <v>1</v>
      </c>
      <c r="GR1613" s="2">
        <v>2.9</v>
      </c>
      <c r="GS1613" s="2">
        <v>1.4</v>
      </c>
      <c r="GT1613" s="2">
        <v>2.3</v>
      </c>
      <c r="GU1613" s="2">
        <v>-0.2</v>
      </c>
      <c r="GV1613" s="2">
        <v>2.8</v>
      </c>
      <c r="GW1613" s="2">
        <v>-2.1</v>
      </c>
      <c r="GX1613" s="2">
        <v>0.6</v>
      </c>
      <c r="GY1613" s="2">
        <v>2.7</v>
      </c>
      <c r="GZ1613" s="2">
        <v>1.3</v>
      </c>
      <c r="HA1613" s="2">
        <v>-0.7</v>
      </c>
      <c r="HB1613" s="2">
        <v>-2.1</v>
      </c>
      <c r="HC1613" s="2">
        <v>3.6</v>
      </c>
      <c r="HD1613" s="2">
        <v>3.3</v>
      </c>
      <c r="HE1613" s="2">
        <v>-0.7</v>
      </c>
      <c r="HF1613" s="2">
        <v>1.7</v>
      </c>
      <c r="HG1613" s="2">
        <v>0</v>
      </c>
      <c r="HH1613" s="2">
        <v>3</v>
      </c>
      <c r="HI1613" s="2">
        <v>-0.5</v>
      </c>
      <c r="HJ1613" s="2">
        <v>3.1</v>
      </c>
      <c r="HK1613" s="2">
        <v>2.3</v>
      </c>
      <c r="HL1613" s="2">
        <v>1.1</v>
      </c>
      <c r="HM1613" s="2">
        <v>3.1</v>
      </c>
      <c r="HN1613" s="2">
        <v>0.3</v>
      </c>
      <c r="HO1613" s="2">
        <v>0.8</v>
      </c>
      <c r="HP1613" s="2">
        <v>-0.5</v>
      </c>
      <c r="HQ1613" s="2">
        <v>2.7</v>
      </c>
      <c r="HR1613" s="2">
        <v>1.8</v>
      </c>
      <c r="HS1613" s="2">
        <v>0.1</v>
      </c>
      <c r="HT1613" s="2">
        <v>-1.3</v>
      </c>
      <c r="HU1613" s="2">
        <v>0</v>
      </c>
      <c r="HV1613" s="2">
        <v>-1.2</v>
      </c>
      <c r="HW1613" s="2">
        <v>0.2</v>
      </c>
      <c r="HX1613" s="2">
        <v>0.7</v>
      </c>
      <c r="HY1613" s="2">
        <v>-1.5</v>
      </c>
      <c r="HZ1613" s="2">
        <v>-0.3</v>
      </c>
      <c r="IA1613" s="2">
        <v>1.7</v>
      </c>
      <c r="IB1613" s="2">
        <v>1.4</v>
      </c>
      <c r="IC1613" s="2">
        <v>-0.2</v>
      </c>
      <c r="ID1613" s="2">
        <v>0.9</v>
      </c>
      <c r="IE1613" s="2">
        <v>1.1</v>
      </c>
      <c r="IF1613" s="2">
        <v>1.2</v>
      </c>
      <c r="IG1613" s="2">
        <v>0.5</v>
      </c>
      <c r="IH1613" s="2">
        <v>2</v>
      </c>
      <c r="II1613" s="2">
        <v>0.2</v>
      </c>
      <c r="IJ1613" s="2">
        <v>-0.3</v>
      </c>
      <c r="IK1613" s="2">
        <v>0.7</v>
      </c>
      <c r="IL1613" s="2">
        <v>2</v>
      </c>
      <c r="IM1613" s="2">
        <v>0.5</v>
      </c>
      <c r="IN1613" s="2">
        <v>6.4</v>
      </c>
      <c r="IO1613" s="2">
        <v>0.2</v>
      </c>
      <c r="IP1613" s="2">
        <v>0.2</v>
      </c>
      <c r="IQ1613" s="2">
        <v>4.5</v>
      </c>
      <c r="IR1613" s="2">
        <v>0.4</v>
      </c>
      <c r="IS1613" s="2">
        <v>-0.8</v>
      </c>
      <c r="IT1613" s="2">
        <v>2</v>
      </c>
      <c r="IU1613" s="2">
        <v>-3</v>
      </c>
      <c r="IV1613" s="2">
        <v>3.1</v>
      </c>
      <c r="IW1613" s="2">
        <v>-1.5</v>
      </c>
      <c r="IX1613" s="2">
        <v>0.3</v>
      </c>
      <c r="IY1613" s="2">
        <v>0.7</v>
      </c>
      <c r="IZ1613" s="2">
        <v>-1.2</v>
      </c>
      <c r="JA1613" s="2">
        <v>-1</v>
      </c>
      <c r="JB1613" s="2">
        <v>1.1</v>
      </c>
      <c r="JC1613" s="2">
        <v>-0.6</v>
      </c>
      <c r="JD1613" s="2">
        <v>-0.6</v>
      </c>
      <c r="JE1613" s="2">
        <v>1.4</v>
      </c>
      <c r="JF1613" s="2">
        <v>-2</v>
      </c>
      <c r="JG1613" s="2">
        <v>-0.9</v>
      </c>
      <c r="JH1613" s="2">
        <v>-0.2</v>
      </c>
      <c r="JI1613" s="2">
        <v>1.1</v>
      </c>
      <c r="JJ1613" s="2">
        <v>0</v>
      </c>
      <c r="JK1613" s="2">
        <v>-1.8</v>
      </c>
      <c r="JL1613" s="2">
        <v>2</v>
      </c>
      <c r="JM1613" s="2">
        <v>0.2</v>
      </c>
      <c r="JN1613" s="2">
        <v>-1.8</v>
      </c>
      <c r="JO1613" s="2">
        <v>2.7</v>
      </c>
      <c r="JP1613" s="2">
        <v>-0.8</v>
      </c>
      <c r="JQ1613" s="2">
        <v>-0.4</v>
      </c>
      <c r="JR1613" s="2">
        <v>-3</v>
      </c>
      <c r="JS1613" s="2">
        <v>0.9</v>
      </c>
      <c r="JT1613" s="2">
        <v>1.6</v>
      </c>
      <c r="JU1613" s="2">
        <v>-1.6</v>
      </c>
      <c r="JV1613" s="2">
        <v>-0.8</v>
      </c>
      <c r="KA1613" s="2">
        <v>-0.7</v>
      </c>
      <c r="KB1613" s="2">
        <v>0.8</v>
      </c>
      <c r="KC1613" s="2">
        <v>-1.3</v>
      </c>
      <c r="KD1613" s="2">
        <v>0.1</v>
      </c>
      <c r="KQ1613" s="2">
        <v>0.2</v>
      </c>
      <c r="KR1613" s="2">
        <v>0.6</v>
      </c>
      <c r="KS1613" s="2">
        <v>-0.4</v>
      </c>
      <c r="KT1613" s="2">
        <v>0.2</v>
      </c>
      <c r="LG1613" s="2">
        <v>0.6</v>
      </c>
      <c r="LH1613" s="2">
        <v>1</v>
      </c>
      <c r="LI1613" s="2">
        <v>1.2</v>
      </c>
      <c r="LJ1613" s="2">
        <v>-0.2</v>
      </c>
      <c r="LW1613" s="2">
        <v>0.8</v>
      </c>
      <c r="LX1613" s="2">
        <v>1.2</v>
      </c>
      <c r="LY1613" s="2">
        <v>-0.1</v>
      </c>
      <c r="LZ1613" s="2">
        <v>-0.3</v>
      </c>
      <c r="MM1613" s="2">
        <v>-0.6</v>
      </c>
      <c r="MN1613" s="2">
        <v>0.5</v>
      </c>
      <c r="MO1613" s="2">
        <v>0.4</v>
      </c>
      <c r="MP1613" s="2">
        <v>1.9</v>
      </c>
      <c r="NC1613" s="2">
        <v>1.6</v>
      </c>
      <c r="ND1613" s="2">
        <v>1.6</v>
      </c>
      <c r="NE1613" s="2">
        <v>3.8</v>
      </c>
      <c r="NF1613" s="2">
        <v>4.2</v>
      </c>
      <c r="NS1613" s="2">
        <v>1.2</v>
      </c>
      <c r="NT1613" s="2">
        <v>4.1</v>
      </c>
      <c r="NU1613" s="2">
        <v>1.2</v>
      </c>
      <c r="NV1613" s="2">
        <v>0.8</v>
      </c>
      <c r="OI1613" s="2">
        <v>-0.9</v>
      </c>
      <c r="OJ1613" s="2">
        <v>0.5</v>
      </c>
      <c r="OK1613" s="2">
        <v>-0.5</v>
      </c>
      <c r="OL1613" s="2">
        <v>-0.5</v>
      </c>
      <c r="OY1613" s="2">
        <v>0.7</v>
      </c>
      <c r="OZ1613" s="2">
        <v>0.3</v>
      </c>
      <c r="PA1613" s="2">
        <v>1.7</v>
      </c>
      <c r="PB1613" s="2">
        <v>1.7</v>
      </c>
      <c r="PJ1613" s="2">
        <v>0.5</v>
      </c>
      <c r="PK1613" s="2">
        <v>1.6</v>
      </c>
    </row>
    <row r="1614">
      <c r="A1614" t="inlineStr">
        <is>
          <t>A2330890J</t>
        </is>
      </c>
      <c r="B1614" t="inlineStr">
        <is>
          <t>Percentage Change from Previous Period ;  Fruit and vegetables ;  Australia ;</t>
        </is>
      </c>
      <c r="C1614" t="inlineStr">
        <is>
          <t>Quarter</t>
        </is>
      </c>
      <c r="D1614" t="inlineStr">
        <is>
          <t>Percent</t>
        </is>
      </c>
      <c r="E1614" t="inlineStr">
        <is>
          <t>Original</t>
        </is>
      </c>
      <c r="F1614" t="inlineStr">
        <is>
          <t>6401018.xlsx</t>
        </is>
      </c>
      <c r="G1614" t="inlineStr">
        <is>
          <t>1989Q4</t>
        </is>
      </c>
      <c r="H1614" t="inlineStr">
        <is>
          <t>2026Q2</t>
        </is>
      </c>
      <c r="FR1614" s="2">
        <v>-7.5</v>
      </c>
      <c r="FS1614" s="2">
        <v>-10.9</v>
      </c>
      <c r="FT1614" s="2">
        <v>9.6</v>
      </c>
      <c r="FU1614" s="2">
        <v>-9.5</v>
      </c>
      <c r="FV1614" s="2">
        <v>-6.7</v>
      </c>
      <c r="FW1614" s="2">
        <v>16.1</v>
      </c>
      <c r="FX1614" s="2">
        <v>-10.1</v>
      </c>
      <c r="FY1614" s="2">
        <v>2.8</v>
      </c>
      <c r="FZ1614" s="2">
        <v>2.2</v>
      </c>
      <c r="GA1614" s="2">
        <v>-0.5</v>
      </c>
      <c r="GB1614" s="2">
        <v>-4.5</v>
      </c>
      <c r="GC1614" s="2">
        <v>-7.5</v>
      </c>
      <c r="GD1614" s="2">
        <v>5.1</v>
      </c>
      <c r="GE1614" s="2">
        <v>14.4</v>
      </c>
      <c r="GF1614" s="2">
        <v>-11.7</v>
      </c>
      <c r="GG1614" s="2">
        <v>1</v>
      </c>
      <c r="GH1614" s="2">
        <v>2.4</v>
      </c>
      <c r="GI1614" s="2">
        <v>2</v>
      </c>
      <c r="GJ1614" s="2">
        <v>0.4</v>
      </c>
      <c r="GK1614" s="2">
        <v>6.8</v>
      </c>
      <c r="GL1614" s="2">
        <v>1.5</v>
      </c>
      <c r="GM1614" s="2">
        <v>8.699999999999999</v>
      </c>
      <c r="GN1614" s="2">
        <v>-5.8</v>
      </c>
      <c r="GO1614" s="2">
        <v>2.3</v>
      </c>
      <c r="GP1614" s="2">
        <v>-0.6</v>
      </c>
      <c r="GQ1614" s="2">
        <v>-3.2</v>
      </c>
      <c r="GR1614" s="2">
        <v>-0.2</v>
      </c>
      <c r="GS1614" s="2">
        <v>3.3</v>
      </c>
      <c r="GT1614" s="2">
        <v>4.4</v>
      </c>
      <c r="GU1614" s="2">
        <v>0.9</v>
      </c>
      <c r="GV1614" s="2">
        <v>-0.7</v>
      </c>
      <c r="GW1614" s="2">
        <v>-5.3</v>
      </c>
      <c r="GX1614" s="2">
        <v>-0.1</v>
      </c>
      <c r="GY1614" s="2">
        <v>1.6</v>
      </c>
      <c r="GZ1614" s="2">
        <v>4.5</v>
      </c>
      <c r="HA1614" s="2">
        <v>4.6</v>
      </c>
      <c r="HB1614" s="2">
        <v>7.4</v>
      </c>
      <c r="HC1614" s="2">
        <v>1.1</v>
      </c>
      <c r="HD1614" s="2">
        <v>-2.5</v>
      </c>
      <c r="HE1614" s="2">
        <v>-0.7</v>
      </c>
      <c r="HF1614" s="2">
        <v>-2.3</v>
      </c>
      <c r="HG1614" s="2">
        <v>-2.1</v>
      </c>
      <c r="HH1614" s="2">
        <v>3</v>
      </c>
      <c r="HI1614" s="2">
        <v>-1.2</v>
      </c>
      <c r="HJ1614" s="2">
        <v>0.9</v>
      </c>
      <c r="HK1614" s="2">
        <v>13.6</v>
      </c>
      <c r="HL1614" s="2">
        <v>-5.6</v>
      </c>
      <c r="HM1614" s="2">
        <v>-2</v>
      </c>
      <c r="HN1614" s="2">
        <v>10.2</v>
      </c>
      <c r="HO1614" s="2">
        <v>-1.5</v>
      </c>
      <c r="HP1614" s="2">
        <v>-5.8</v>
      </c>
      <c r="HQ1614" s="2">
        <v>4.1</v>
      </c>
      <c r="HR1614" s="2">
        <v>4.2</v>
      </c>
      <c r="HS1614" s="2">
        <v>6.1</v>
      </c>
      <c r="HT1614" s="2">
        <v>-5.2</v>
      </c>
      <c r="HU1614" s="2">
        <v>-4.7</v>
      </c>
      <c r="HV1614" s="2">
        <v>10.5</v>
      </c>
      <c r="HW1614" s="2">
        <v>9.4</v>
      </c>
      <c r="HX1614" s="2">
        <v>-7.8</v>
      </c>
      <c r="HY1614" s="2">
        <v>-5.2</v>
      </c>
      <c r="HZ1614" s="2">
        <v>5.3</v>
      </c>
      <c r="IA1614" s="2">
        <v>0.5</v>
      </c>
      <c r="IB1614" s="2">
        <v>-4.9</v>
      </c>
      <c r="IC1614" s="2">
        <v>1.4</v>
      </c>
      <c r="ID1614" s="2">
        <v>6.3</v>
      </c>
      <c r="IE1614" s="2">
        <v>3.9</v>
      </c>
      <c r="IF1614" s="2">
        <v>22.8</v>
      </c>
      <c r="IG1614" s="2">
        <v>8.6</v>
      </c>
      <c r="IH1614" s="2">
        <v>-1.5</v>
      </c>
      <c r="II1614" s="2">
        <v>-18.7</v>
      </c>
      <c r="IJ1614" s="2">
        <v>7.2</v>
      </c>
      <c r="IK1614" s="2">
        <v>8.699999999999999</v>
      </c>
      <c r="IL1614" s="2">
        <v>-10.1</v>
      </c>
      <c r="IM1614" s="2">
        <v>1.3</v>
      </c>
      <c r="IN1614" s="2">
        <v>-6.9</v>
      </c>
      <c r="IO1614" s="2">
        <v>2.8</v>
      </c>
      <c r="IP1614" s="2">
        <v>5.4</v>
      </c>
      <c r="IQ1614" s="2">
        <v>4.8</v>
      </c>
      <c r="IR1614" s="2">
        <v>-7.2</v>
      </c>
      <c r="IS1614" s="2">
        <v>-5.5</v>
      </c>
      <c r="IT1614" s="2">
        <v>8.4</v>
      </c>
      <c r="IU1614" s="2">
        <v>2.4</v>
      </c>
      <c r="IV1614" s="2">
        <v>-3.8</v>
      </c>
      <c r="IW1614" s="2">
        <v>-3.3</v>
      </c>
      <c r="IX1614" s="2">
        <v>13.3</v>
      </c>
      <c r="IY1614" s="2">
        <v>15.3</v>
      </c>
      <c r="IZ1614" s="2">
        <v>7</v>
      </c>
      <c r="JA1614" s="2">
        <v>-1.8</v>
      </c>
      <c r="JB1614" s="2">
        <v>-9.6</v>
      </c>
      <c r="JC1614" s="2">
        <v>-15.9</v>
      </c>
      <c r="JD1614" s="2">
        <v>4.6</v>
      </c>
      <c r="JE1614" s="2">
        <v>10.2</v>
      </c>
      <c r="JF1614" s="2">
        <v>-2.5</v>
      </c>
      <c r="JG1614" s="2">
        <v>-5.4</v>
      </c>
      <c r="JH1614" s="2">
        <v>0.4</v>
      </c>
      <c r="JI1614" s="2">
        <v>-1.2</v>
      </c>
      <c r="JJ1614" s="2">
        <v>7.6</v>
      </c>
      <c r="JK1614" s="2">
        <v>0.7</v>
      </c>
      <c r="JL1614" s="2">
        <v>-1.4</v>
      </c>
      <c r="JM1614" s="2">
        <v>6.8</v>
      </c>
      <c r="JN1614" s="2">
        <v>-2.2</v>
      </c>
      <c r="JO1614" s="2">
        <v>-2</v>
      </c>
      <c r="JP1614" s="2">
        <v>-1.2</v>
      </c>
      <c r="JQ1614" s="2">
        <v>0.3</v>
      </c>
      <c r="JR1614" s="2">
        <v>-0.2</v>
      </c>
      <c r="JS1614" s="2">
        <v>-4.3</v>
      </c>
      <c r="JT1614" s="2">
        <v>1.7</v>
      </c>
      <c r="JU1614" s="2">
        <v>11.7</v>
      </c>
      <c r="JV1614" s="2">
        <v>1.3</v>
      </c>
      <c r="KA1614" s="2">
        <v>-1.9</v>
      </c>
      <c r="KB1614" s="2">
        <v>-1.7</v>
      </c>
      <c r="KC1614" s="2">
        <v>-6.1</v>
      </c>
      <c r="KD1614" s="2">
        <v>5.2</v>
      </c>
      <c r="KQ1614" s="2">
        <v>0.7</v>
      </c>
      <c r="KR1614" s="2">
        <v>-2.7</v>
      </c>
      <c r="KS1614" s="2">
        <v>2</v>
      </c>
      <c r="KT1614" s="2">
        <v>1.7</v>
      </c>
      <c r="LG1614" s="2">
        <v>4.8</v>
      </c>
      <c r="LH1614" s="2">
        <v>-2.8</v>
      </c>
      <c r="LI1614" s="2">
        <v>-2.8</v>
      </c>
      <c r="LJ1614" s="2">
        <v>3.5</v>
      </c>
      <c r="LW1614" s="2">
        <v>5.9</v>
      </c>
      <c r="LX1614" s="2">
        <v>-0.7</v>
      </c>
      <c r="LY1614" s="2">
        <v>0</v>
      </c>
      <c r="LZ1614" s="2">
        <v>-1.8</v>
      </c>
      <c r="MM1614" s="2">
        <v>-0.6</v>
      </c>
      <c r="MN1614" s="2">
        <v>5.2</v>
      </c>
      <c r="MO1614" s="2">
        <v>-3.5</v>
      </c>
      <c r="MP1614" s="2">
        <v>-0.7</v>
      </c>
      <c r="NC1614" s="2">
        <v>5.9</v>
      </c>
      <c r="ND1614" s="2">
        <v>5.7</v>
      </c>
      <c r="NE1614" s="2">
        <v>4.5</v>
      </c>
      <c r="NF1614" s="2">
        <v>-7.2</v>
      </c>
      <c r="NS1614" s="2">
        <v>2.4</v>
      </c>
      <c r="NT1614" s="2">
        <v>2.4</v>
      </c>
      <c r="NU1614" s="2">
        <v>-3.6</v>
      </c>
      <c r="NV1614" s="2">
        <v>-1.2</v>
      </c>
      <c r="OI1614" s="2">
        <v>2.5</v>
      </c>
      <c r="OJ1614" s="2">
        <v>6.3</v>
      </c>
      <c r="OK1614" s="2">
        <v>0.9</v>
      </c>
      <c r="OL1614" s="2">
        <v>-3.3</v>
      </c>
      <c r="OY1614" s="2">
        <v>2.8</v>
      </c>
      <c r="OZ1614" s="2">
        <v>4.3</v>
      </c>
      <c r="PA1614" s="2">
        <v>-1.3</v>
      </c>
      <c r="PB1614" s="2">
        <v>-2.8</v>
      </c>
      <c r="PJ1614" s="2">
        <v>1.7</v>
      </c>
      <c r="PK1614" s="2">
        <v>3.4</v>
      </c>
    </row>
    <row r="1615">
      <c r="A1615" t="inlineStr">
        <is>
          <t>A2330935A</t>
        </is>
      </c>
      <c r="B1615" t="inlineStr">
        <is>
          <t>Percentage Change from Previous Period ;  Fruit ;  Australia ;</t>
        </is>
      </c>
      <c r="C1615" t="inlineStr">
        <is>
          <t>Quarter</t>
        </is>
      </c>
      <c r="D1615" t="inlineStr">
        <is>
          <t>Percent</t>
        </is>
      </c>
      <c r="E1615" t="inlineStr">
        <is>
          <t>Original</t>
        </is>
      </c>
      <c r="F1615" t="inlineStr">
        <is>
          <t>6401018.xlsx</t>
        </is>
      </c>
      <c r="G1615" t="inlineStr">
        <is>
          <t>1989Q4</t>
        </is>
      </c>
      <c r="H1615" t="inlineStr">
        <is>
          <t>2026Q2</t>
        </is>
      </c>
      <c r="FR1615" s="2">
        <v>-3.5</v>
      </c>
      <c r="FS1615" s="2">
        <v>3.9</v>
      </c>
      <c r="FT1615" s="2">
        <v>2.5</v>
      </c>
      <c r="FU1615" s="2">
        <v>-1.2</v>
      </c>
      <c r="FV1615" s="2">
        <v>-0.5</v>
      </c>
      <c r="FW1615" s="2">
        <v>9.5</v>
      </c>
      <c r="FX1615" s="2">
        <v>1.8</v>
      </c>
      <c r="FY1615" s="2">
        <v>0.7</v>
      </c>
      <c r="FZ1615" s="2">
        <v>-8</v>
      </c>
      <c r="GA1615" s="2">
        <v>3.3</v>
      </c>
      <c r="GB1615" s="2">
        <v>-9.1</v>
      </c>
      <c r="GC1615" s="2">
        <v>-1.3</v>
      </c>
      <c r="GD1615" s="2">
        <v>-1.7</v>
      </c>
      <c r="GE1615" s="2">
        <v>12.3</v>
      </c>
      <c r="GF1615" s="2">
        <v>-6</v>
      </c>
      <c r="GG1615" s="2">
        <v>-1.9</v>
      </c>
      <c r="GH1615" s="2">
        <v>0.2</v>
      </c>
      <c r="GI1615" s="2">
        <v>-1.9</v>
      </c>
      <c r="GJ1615" s="2">
        <v>6.4</v>
      </c>
      <c r="GK1615" s="2">
        <v>12.4</v>
      </c>
      <c r="GL1615" s="2">
        <v>-1.2</v>
      </c>
      <c r="GM1615" s="2">
        <v>3.5</v>
      </c>
      <c r="GN1615" s="2">
        <v>-9.699999999999999</v>
      </c>
      <c r="GO1615" s="2">
        <v>5.2</v>
      </c>
      <c r="GP1615" s="2">
        <v>-1.3</v>
      </c>
      <c r="GQ1615" s="2">
        <v>3.2</v>
      </c>
      <c r="GR1615" s="2">
        <v>-1.2</v>
      </c>
      <c r="GS1615" s="2">
        <v>8.6</v>
      </c>
      <c r="GT1615" s="2">
        <v>3.3</v>
      </c>
      <c r="GU1615" s="2">
        <v>-2.4</v>
      </c>
      <c r="GV1615" s="2">
        <v>-1.9</v>
      </c>
      <c r="GW1615" s="2">
        <v>-3</v>
      </c>
      <c r="GX1615" s="2">
        <v>-2.6</v>
      </c>
      <c r="GY1615" s="2">
        <v>-5.5</v>
      </c>
      <c r="GZ1615" s="2">
        <v>5</v>
      </c>
      <c r="HA1615" s="2">
        <v>3.5</v>
      </c>
      <c r="HB1615" s="2">
        <v>11.1</v>
      </c>
      <c r="HC1615" s="2">
        <v>6.8</v>
      </c>
      <c r="HD1615" s="2">
        <v>-0.4</v>
      </c>
      <c r="HE1615" s="2">
        <v>3.9</v>
      </c>
      <c r="HF1615" s="2">
        <v>-5.8</v>
      </c>
      <c r="HG1615" s="2">
        <v>-10.3</v>
      </c>
      <c r="HH1615" s="2">
        <v>-3.4</v>
      </c>
      <c r="HI1615" s="2">
        <v>5.9</v>
      </c>
      <c r="HJ1615" s="2">
        <v>5.5</v>
      </c>
      <c r="HK1615" s="2">
        <v>6.1</v>
      </c>
      <c r="HL1615" s="2">
        <v>-6.6</v>
      </c>
      <c r="HM1615" s="2">
        <v>6.3</v>
      </c>
      <c r="HN1615" s="2">
        <v>15.4</v>
      </c>
      <c r="HO1615" s="2">
        <v>-0.2</v>
      </c>
      <c r="HP1615" s="2">
        <v>-6.2</v>
      </c>
      <c r="HQ1615" s="2">
        <v>-4.1</v>
      </c>
      <c r="HR1615" s="2">
        <v>2.5</v>
      </c>
      <c r="HS1615" s="2">
        <v>-0.8</v>
      </c>
      <c r="HT1615" s="2">
        <v>-3.7</v>
      </c>
      <c r="HU1615" s="2">
        <v>-0.4</v>
      </c>
      <c r="HV1615" s="2">
        <v>12.4</v>
      </c>
      <c r="HW1615" s="2">
        <v>4.9</v>
      </c>
      <c r="HX1615" s="2">
        <v>-3.2</v>
      </c>
      <c r="HY1615" s="2">
        <v>-2.3</v>
      </c>
      <c r="HZ1615" s="2">
        <v>9.300000000000001</v>
      </c>
      <c r="IA1615" s="2">
        <v>-3.5</v>
      </c>
      <c r="IB1615" s="2">
        <v>-10.5</v>
      </c>
      <c r="IC1615" s="2">
        <v>3</v>
      </c>
      <c r="ID1615" s="2">
        <v>5.7</v>
      </c>
      <c r="IE1615" s="2">
        <v>-0.8</v>
      </c>
      <c r="IF1615" s="2">
        <v>52</v>
      </c>
      <c r="IG1615" s="2">
        <v>20.5</v>
      </c>
      <c r="IH1615" s="2">
        <v>-5.2</v>
      </c>
      <c r="II1615" s="2">
        <v>-33.8</v>
      </c>
      <c r="IJ1615" s="2">
        <v>8.300000000000001</v>
      </c>
      <c r="IK1615" s="2">
        <v>9.699999999999999</v>
      </c>
      <c r="IL1615" s="2">
        <v>-13.5</v>
      </c>
      <c r="IM1615" s="2">
        <v>-0.6</v>
      </c>
      <c r="IN1615" s="2">
        <v>-7.4</v>
      </c>
      <c r="IO1615" s="2">
        <v>4.5</v>
      </c>
      <c r="IP1615" s="2">
        <v>8</v>
      </c>
      <c r="IQ1615" s="2">
        <v>3.3</v>
      </c>
      <c r="IR1615" s="2">
        <v>-7.6</v>
      </c>
      <c r="IS1615" s="2">
        <v>-5.4</v>
      </c>
      <c r="IT1615" s="2">
        <v>15.9</v>
      </c>
      <c r="IU1615" s="2">
        <v>-5.7</v>
      </c>
      <c r="IV1615" s="2">
        <v>-4.8</v>
      </c>
      <c r="IW1615" s="2">
        <v>-0.7</v>
      </c>
      <c r="IX1615" s="2">
        <v>15.5</v>
      </c>
      <c r="IY1615" s="2">
        <v>14.4</v>
      </c>
      <c r="IZ1615" s="2">
        <v>27</v>
      </c>
      <c r="JA1615" s="2">
        <v>-1.2</v>
      </c>
      <c r="JB1615" s="2">
        <v>-13.4</v>
      </c>
      <c r="JC1615" s="2">
        <v>-30</v>
      </c>
      <c r="JD1615" s="2">
        <v>3.8</v>
      </c>
      <c r="JE1615" s="2">
        <v>9.699999999999999</v>
      </c>
      <c r="JF1615" s="2">
        <v>1.6</v>
      </c>
      <c r="JG1615" s="2">
        <v>-7</v>
      </c>
      <c r="JH1615" s="2">
        <v>-3.4</v>
      </c>
      <c r="JI1615" s="2">
        <v>3.1</v>
      </c>
      <c r="JJ1615" s="2">
        <v>8.199999999999999</v>
      </c>
      <c r="JK1615" s="2">
        <v>-2.6</v>
      </c>
      <c r="JL1615" s="2">
        <v>-1.3</v>
      </c>
      <c r="JM1615" s="2">
        <v>14.6</v>
      </c>
      <c r="JN1615" s="2">
        <v>-2.7</v>
      </c>
      <c r="JO1615" s="2">
        <v>-8</v>
      </c>
      <c r="JP1615" s="2">
        <v>-0.7</v>
      </c>
      <c r="JQ1615" s="2">
        <v>8.300000000000001</v>
      </c>
      <c r="JR1615" s="2">
        <v>-2.6</v>
      </c>
      <c r="JS1615" s="2">
        <v>-11.2</v>
      </c>
      <c r="JT1615" s="2">
        <v>0.9</v>
      </c>
      <c r="JU1615" s="2">
        <v>19.5</v>
      </c>
      <c r="JV1615" s="2">
        <v>-0.2</v>
      </c>
      <c r="KA1615" s="2">
        <v>-6.7</v>
      </c>
      <c r="KB1615" s="2">
        <v>-4.4</v>
      </c>
      <c r="KC1615" s="2">
        <v>0.8</v>
      </c>
      <c r="KD1615" s="2">
        <v>9.300000000000001</v>
      </c>
      <c r="KQ1615" s="2">
        <v>-2.7</v>
      </c>
      <c r="KR1615" s="2">
        <v>-2.5</v>
      </c>
      <c r="KS1615" s="2">
        <v>2.4</v>
      </c>
      <c r="KT1615" s="2">
        <v>5</v>
      </c>
      <c r="LG1615" s="2">
        <v>1.8</v>
      </c>
      <c r="LH1615" s="2">
        <v>-4.1</v>
      </c>
      <c r="LI1615" s="2">
        <v>-3.1</v>
      </c>
      <c r="LJ1615" s="2">
        <v>6.9</v>
      </c>
      <c r="LW1615" s="2">
        <v>2.4</v>
      </c>
      <c r="LX1615" s="2">
        <v>0.2</v>
      </c>
      <c r="LY1615" s="2">
        <v>-0.5</v>
      </c>
      <c r="LZ1615" s="2">
        <v>3.4</v>
      </c>
      <c r="MM1615" s="2">
        <v>-1.6</v>
      </c>
      <c r="MN1615" s="2">
        <v>4.8</v>
      </c>
      <c r="MO1615" s="2">
        <v>-8.300000000000001</v>
      </c>
      <c r="MP1615" s="2">
        <v>-1.2</v>
      </c>
      <c r="NC1615" s="2">
        <v>4.9</v>
      </c>
      <c r="ND1615" s="2">
        <v>3.7</v>
      </c>
      <c r="NE1615" s="2">
        <v>6.7</v>
      </c>
      <c r="NF1615" s="2">
        <v>-2.9</v>
      </c>
      <c r="NS1615" s="2">
        <v>3</v>
      </c>
      <c r="NT1615" s="2">
        <v>0.4</v>
      </c>
      <c r="NU1615" s="2">
        <v>-1</v>
      </c>
      <c r="NV1615" s="2">
        <v>-1.1</v>
      </c>
      <c r="OI1615" s="2">
        <v>-3.3</v>
      </c>
      <c r="OJ1615" s="2">
        <v>10.6</v>
      </c>
      <c r="OK1615" s="2">
        <v>3.6</v>
      </c>
      <c r="OL1615" s="2">
        <v>-3.4</v>
      </c>
      <c r="OY1615" s="2">
        <v>1.5</v>
      </c>
      <c r="OZ1615" s="2">
        <v>4</v>
      </c>
      <c r="PA1615" s="2">
        <v>-0.8</v>
      </c>
      <c r="PB1615" s="2">
        <v>-1.4</v>
      </c>
      <c r="PJ1615" s="2">
        <v>1.2</v>
      </c>
      <c r="PK1615" s="2">
        <v>4.1</v>
      </c>
    </row>
    <row r="1616">
      <c r="A1616" t="inlineStr">
        <is>
          <t>A2330980L</t>
        </is>
      </c>
      <c r="B1616" t="inlineStr">
        <is>
          <t>Percentage Change from Previous Period ;  Vegetables ;  Australia ;</t>
        </is>
      </c>
      <c r="C1616" t="inlineStr">
        <is>
          <t>Quarter</t>
        </is>
      </c>
      <c r="D1616" t="inlineStr">
        <is>
          <t>Percent</t>
        </is>
      </c>
      <c r="E1616" t="inlineStr">
        <is>
          <t>Original</t>
        </is>
      </c>
      <c r="F1616" t="inlineStr">
        <is>
          <t>6401018.xlsx</t>
        </is>
      </c>
      <c r="G1616" t="inlineStr">
        <is>
          <t>1989Q4</t>
        </is>
      </c>
      <c r="H1616" t="inlineStr">
        <is>
          <t>2026Q2</t>
        </is>
      </c>
      <c r="FR1616" s="2">
        <v>-9.699999999999999</v>
      </c>
      <c r="FS1616" s="2">
        <v>-19.4</v>
      </c>
      <c r="FT1616" s="2">
        <v>14.9</v>
      </c>
      <c r="FU1616" s="2">
        <v>-14.9</v>
      </c>
      <c r="FV1616" s="2">
        <v>-11.5</v>
      </c>
      <c r="FW1616" s="2">
        <v>21.9</v>
      </c>
      <c r="FX1616" s="2">
        <v>-19.4</v>
      </c>
      <c r="FY1616" s="2">
        <v>5.1</v>
      </c>
      <c r="FZ1616" s="2">
        <v>11.9</v>
      </c>
      <c r="GA1616" s="2">
        <v>-3.6</v>
      </c>
      <c r="GB1616" s="2">
        <v>-0.5</v>
      </c>
      <c r="GC1616" s="2">
        <v>-12.4</v>
      </c>
      <c r="GD1616" s="2">
        <v>11.2</v>
      </c>
      <c r="GE1616" s="2">
        <v>16.3</v>
      </c>
      <c r="GF1616" s="2">
        <v>-16.2</v>
      </c>
      <c r="GG1616" s="2">
        <v>3.7</v>
      </c>
      <c r="GH1616" s="2">
        <v>4.2</v>
      </c>
      <c r="GI1616" s="2">
        <v>5.5</v>
      </c>
      <c r="GJ1616" s="2">
        <v>-4.1</v>
      </c>
      <c r="GK1616" s="2">
        <v>2.1</v>
      </c>
      <c r="GL1616" s="2">
        <v>4</v>
      </c>
      <c r="GM1616" s="2">
        <v>13.4</v>
      </c>
      <c r="GN1616" s="2">
        <v>-2.6</v>
      </c>
      <c r="GO1616" s="2">
        <v>0</v>
      </c>
      <c r="GP1616" s="2">
        <v>0.1</v>
      </c>
      <c r="GQ1616" s="2">
        <v>-8.4</v>
      </c>
      <c r="GR1616" s="2">
        <v>0.7</v>
      </c>
      <c r="GS1616" s="2">
        <v>-1.2</v>
      </c>
      <c r="GT1616" s="2">
        <v>5.4</v>
      </c>
      <c r="GU1616" s="2">
        <v>4</v>
      </c>
      <c r="GV1616" s="2">
        <v>0.3</v>
      </c>
      <c r="GW1616" s="2">
        <v>-7.2</v>
      </c>
      <c r="GX1616" s="2">
        <v>2.1</v>
      </c>
      <c r="GY1616" s="2">
        <v>7.6</v>
      </c>
      <c r="GZ1616" s="2">
        <v>4</v>
      </c>
      <c r="HA1616" s="2">
        <v>5.3</v>
      </c>
      <c r="HB1616" s="2">
        <v>4.8</v>
      </c>
      <c r="HC1616" s="2">
        <v>-3.7</v>
      </c>
      <c r="HD1616" s="2">
        <v>-4.5</v>
      </c>
      <c r="HE1616" s="2">
        <v>-4.9</v>
      </c>
      <c r="HF1616" s="2">
        <v>1.3</v>
      </c>
      <c r="HG1616" s="2">
        <v>5.8</v>
      </c>
      <c r="HH1616" s="2">
        <v>8.300000000000001</v>
      </c>
      <c r="HI1616" s="2">
        <v>-6.3</v>
      </c>
      <c r="HJ1616" s="2">
        <v>-2.7</v>
      </c>
      <c r="HK1616" s="2">
        <v>20</v>
      </c>
      <c r="HL1616" s="2">
        <v>-4.9</v>
      </c>
      <c r="HM1616" s="2">
        <v>-8.4</v>
      </c>
      <c r="HN1616" s="2">
        <v>5.6</v>
      </c>
      <c r="HO1616" s="2">
        <v>-2.8</v>
      </c>
      <c r="HP1616" s="2">
        <v>-5.3</v>
      </c>
      <c r="HQ1616" s="2">
        <v>12.1</v>
      </c>
      <c r="HR1616" s="2">
        <v>5.6</v>
      </c>
      <c r="HS1616" s="2">
        <v>11.7</v>
      </c>
      <c r="HT1616" s="2">
        <v>-6.2</v>
      </c>
      <c r="HU1616" s="2">
        <v>-7.9</v>
      </c>
      <c r="HV1616" s="2">
        <v>9.1</v>
      </c>
      <c r="HW1616" s="2">
        <v>13</v>
      </c>
      <c r="HX1616" s="2">
        <v>-11.4</v>
      </c>
      <c r="HY1616" s="2">
        <v>-7.7</v>
      </c>
      <c r="HZ1616" s="2">
        <v>1.8</v>
      </c>
      <c r="IA1616" s="2">
        <v>4.3</v>
      </c>
      <c r="IB1616" s="2">
        <v>0</v>
      </c>
      <c r="IC1616" s="2">
        <v>0.1</v>
      </c>
      <c r="ID1616" s="2">
        <v>6.8</v>
      </c>
      <c r="IE1616" s="2">
        <v>7.8</v>
      </c>
      <c r="IF1616" s="2">
        <v>0.2</v>
      </c>
      <c r="IG1616" s="2">
        <v>-5.3</v>
      </c>
      <c r="IH1616" s="2">
        <v>4.1</v>
      </c>
      <c r="II1616" s="2">
        <v>1.9</v>
      </c>
      <c r="IJ1616" s="2">
        <v>6.1</v>
      </c>
      <c r="IK1616" s="2">
        <v>7.9</v>
      </c>
      <c r="IL1616" s="2">
        <v>-6.9</v>
      </c>
      <c r="IM1616" s="2">
        <v>3</v>
      </c>
      <c r="IN1616" s="2">
        <v>-6.5</v>
      </c>
      <c r="IO1616" s="2">
        <v>1.3</v>
      </c>
      <c r="IP1616" s="2">
        <v>3.2</v>
      </c>
      <c r="IQ1616" s="2">
        <v>6</v>
      </c>
      <c r="IR1616" s="2">
        <v>-6.9</v>
      </c>
      <c r="IS1616" s="2">
        <v>-5.6</v>
      </c>
      <c r="IT1616" s="2">
        <v>2</v>
      </c>
      <c r="IU1616" s="2">
        <v>10.3</v>
      </c>
      <c r="IV1616" s="2">
        <v>-3</v>
      </c>
      <c r="IW1616" s="2">
        <v>-5.4</v>
      </c>
      <c r="IX1616" s="2">
        <v>11.4</v>
      </c>
      <c r="IY1616" s="2">
        <v>16</v>
      </c>
      <c r="IZ1616" s="2">
        <v>-10.3</v>
      </c>
      <c r="JA1616" s="2">
        <v>-2.5</v>
      </c>
      <c r="JB1616" s="2">
        <v>-4.9</v>
      </c>
      <c r="JC1616" s="2">
        <v>-0.3</v>
      </c>
      <c r="JD1616" s="2">
        <v>5.2</v>
      </c>
      <c r="JE1616" s="2">
        <v>10.6</v>
      </c>
      <c r="JF1616" s="2">
        <v>-5.7</v>
      </c>
      <c r="JG1616" s="2">
        <v>-4</v>
      </c>
      <c r="JH1616" s="2">
        <v>3.3</v>
      </c>
      <c r="JI1616" s="2">
        <v>-4.5</v>
      </c>
      <c r="JJ1616" s="2">
        <v>7.1</v>
      </c>
      <c r="JK1616" s="2">
        <v>3.4</v>
      </c>
      <c r="JL1616" s="2">
        <v>-1.5</v>
      </c>
      <c r="JM1616" s="2">
        <v>0.9</v>
      </c>
      <c r="JN1616" s="2">
        <v>-1.8</v>
      </c>
      <c r="JO1616" s="2">
        <v>3.1</v>
      </c>
      <c r="JP1616" s="2">
        <v>-1.6</v>
      </c>
      <c r="JQ1616" s="2">
        <v>-5.9</v>
      </c>
      <c r="JR1616" s="2">
        <v>1.9</v>
      </c>
      <c r="JS1616" s="2">
        <v>1.5</v>
      </c>
      <c r="JT1616" s="2">
        <v>2.2</v>
      </c>
      <c r="JU1616" s="2">
        <v>5.9</v>
      </c>
      <c r="JV1616" s="2">
        <v>2.5</v>
      </c>
      <c r="KA1616" s="2">
        <v>2</v>
      </c>
      <c r="KB1616" s="2">
        <v>0.3</v>
      </c>
      <c r="KC1616" s="2">
        <v>-10.9</v>
      </c>
      <c r="KD1616" s="2">
        <v>1.8</v>
      </c>
      <c r="KQ1616" s="2">
        <v>3.7</v>
      </c>
      <c r="KR1616" s="2">
        <v>-2.9</v>
      </c>
      <c r="KS1616" s="2">
        <v>1.6</v>
      </c>
      <c r="KT1616" s="2">
        <v>-1.2</v>
      </c>
      <c r="LG1616" s="2">
        <v>7.7</v>
      </c>
      <c r="LH1616" s="2">
        <v>-1.7</v>
      </c>
      <c r="LI1616" s="2">
        <v>-2.6</v>
      </c>
      <c r="LJ1616" s="2">
        <v>0.6</v>
      </c>
      <c r="LW1616" s="2">
        <v>9.1</v>
      </c>
      <c r="LX1616" s="2">
        <v>-1.4</v>
      </c>
      <c r="LY1616" s="2">
        <v>0.4</v>
      </c>
      <c r="LZ1616" s="2">
        <v>-6</v>
      </c>
      <c r="MM1616" s="2">
        <v>0.3</v>
      </c>
      <c r="MN1616" s="2">
        <v>5.5</v>
      </c>
      <c r="MO1616" s="2">
        <v>0.6</v>
      </c>
      <c r="MP1616" s="2">
        <v>-0.4</v>
      </c>
      <c r="NC1616" s="2">
        <v>6.6</v>
      </c>
      <c r="ND1616" s="2">
        <v>7.2</v>
      </c>
      <c r="NE1616" s="2">
        <v>3</v>
      </c>
      <c r="NF1616" s="2">
        <v>-10.2</v>
      </c>
      <c r="NS1616" s="2">
        <v>1.9</v>
      </c>
      <c r="NT1616" s="2">
        <v>3.8</v>
      </c>
      <c r="NU1616" s="2">
        <v>-5.5</v>
      </c>
      <c r="NV1616" s="2">
        <v>-1.2</v>
      </c>
      <c r="OI1616" s="2">
        <v>6.9</v>
      </c>
      <c r="OJ1616" s="2">
        <v>3.3</v>
      </c>
      <c r="OK1616" s="2">
        <v>-1.1</v>
      </c>
      <c r="OL1616" s="2">
        <v>-3.2</v>
      </c>
      <c r="OY1616" s="2">
        <v>3.9</v>
      </c>
      <c r="OZ1616" s="2">
        <v>4.5</v>
      </c>
      <c r="PA1616" s="2">
        <v>-1.8</v>
      </c>
      <c r="PB1616" s="2">
        <v>-3.9</v>
      </c>
      <c r="PJ1616" s="2">
        <v>2.2</v>
      </c>
      <c r="PK1616" s="2">
        <v>2.9</v>
      </c>
    </row>
    <row r="1617">
      <c r="A1617" t="inlineStr">
        <is>
          <t>A3604367T</t>
        </is>
      </c>
      <c r="B1617" t="inlineStr">
        <is>
          <t>Percentage Change from Previous Period ;  Food products n.e.c. ;  Australia ;</t>
        </is>
      </c>
      <c r="C1617" t="inlineStr">
        <is>
          <t>Quarter</t>
        </is>
      </c>
      <c r="D1617" t="inlineStr">
        <is>
          <t>Percent</t>
        </is>
      </c>
      <c r="E1617" t="inlineStr">
        <is>
          <t>Original</t>
        </is>
      </c>
      <c r="F1617" t="inlineStr">
        <is>
          <t>6401018.xlsx</t>
        </is>
      </c>
      <c r="G1617" t="inlineStr">
        <is>
          <t>1989Q4</t>
        </is>
      </c>
      <c r="H1617" t="inlineStr">
        <is>
          <t>2026Q2</t>
        </is>
      </c>
      <c r="FR1617" s="2">
        <v>2.3</v>
      </c>
      <c r="FS1617" s="2">
        <v>2.8</v>
      </c>
      <c r="FT1617" s="2">
        <v>1</v>
      </c>
      <c r="FU1617" s="2">
        <v>1.7</v>
      </c>
      <c r="FV1617" s="2">
        <v>1.1</v>
      </c>
      <c r="FW1617" s="2">
        <v>0.7</v>
      </c>
      <c r="FX1617" s="2">
        <v>1.7</v>
      </c>
      <c r="FY1617" s="2">
        <v>0.6</v>
      </c>
      <c r="FZ1617" s="2">
        <v>1.5</v>
      </c>
      <c r="GA1617" s="2">
        <v>0.4</v>
      </c>
      <c r="GB1617" s="2">
        <v>1.8</v>
      </c>
      <c r="GC1617" s="2">
        <v>0.8</v>
      </c>
      <c r="GD1617" s="2">
        <v>1</v>
      </c>
      <c r="GE1617" s="2">
        <v>0.5</v>
      </c>
      <c r="GF1617" s="2">
        <v>1.4</v>
      </c>
      <c r="GG1617" s="2">
        <v>0.8</v>
      </c>
      <c r="GH1617" s="2">
        <v>1.6</v>
      </c>
      <c r="GI1617" s="2">
        <v>1.1</v>
      </c>
      <c r="GJ1617" s="2">
        <v>0.3</v>
      </c>
      <c r="GK1617" s="2">
        <v>0.7</v>
      </c>
      <c r="GL1617" s="2">
        <v>0.5</v>
      </c>
      <c r="GM1617" s="2">
        <v>1.5</v>
      </c>
      <c r="GN1617" s="2">
        <v>0.2</v>
      </c>
      <c r="GO1617" s="2">
        <v>1.7</v>
      </c>
      <c r="GP1617" s="2">
        <v>1.3</v>
      </c>
      <c r="GQ1617" s="2">
        <v>0.5</v>
      </c>
      <c r="GR1617" s="2">
        <v>0.8</v>
      </c>
      <c r="GS1617" s="2">
        <v>1</v>
      </c>
      <c r="GT1617" s="2">
        <v>0.1</v>
      </c>
      <c r="GU1617" s="2">
        <v>1.6</v>
      </c>
      <c r="GV1617" s="2">
        <v>1</v>
      </c>
      <c r="GW1617" s="2">
        <v>1.6</v>
      </c>
      <c r="GX1617" s="2">
        <v>1.7</v>
      </c>
      <c r="GY1617" s="2">
        <v>0.3</v>
      </c>
      <c r="GZ1617" s="2">
        <v>0.4</v>
      </c>
      <c r="HA1617" s="2">
        <v>1.3</v>
      </c>
      <c r="HB1617" s="2">
        <v>0.2</v>
      </c>
      <c r="HC1617" s="2">
        <v>0.6</v>
      </c>
      <c r="HD1617" s="2">
        <v>2</v>
      </c>
      <c r="HE1617" s="2">
        <v>0.3</v>
      </c>
      <c r="HF1617" s="2">
        <v>0.9</v>
      </c>
      <c r="HG1617" s="2">
        <v>0.7</v>
      </c>
      <c r="HH1617" s="2">
        <v>0.5</v>
      </c>
      <c r="HI1617" s="2">
        <v>0.1</v>
      </c>
      <c r="HJ1617" s="2">
        <v>1.2</v>
      </c>
      <c r="HK1617" s="2">
        <v>0.7</v>
      </c>
      <c r="HL1617" s="2">
        <v>1.6</v>
      </c>
      <c r="HM1617" s="2">
        <v>0.7</v>
      </c>
      <c r="HN1617" s="2">
        <v>1.6</v>
      </c>
      <c r="HO1617" s="2">
        <v>0.6</v>
      </c>
      <c r="HP1617" s="2">
        <v>1.2</v>
      </c>
      <c r="HQ1617" s="2">
        <v>0.9</v>
      </c>
      <c r="HR1617" s="2">
        <v>0.8</v>
      </c>
      <c r="HS1617" s="2">
        <v>3.1</v>
      </c>
      <c r="HT1617" s="2">
        <v>-0.2</v>
      </c>
      <c r="HU1617" s="2">
        <v>0.6</v>
      </c>
      <c r="HV1617" s="2">
        <v>-0.5</v>
      </c>
      <c r="HW1617" s="2">
        <v>1.3</v>
      </c>
      <c r="HX1617" s="2">
        <v>-0.1</v>
      </c>
      <c r="HY1617" s="2">
        <v>-0.1</v>
      </c>
      <c r="HZ1617" s="2">
        <v>0.6</v>
      </c>
      <c r="IA1617" s="2">
        <v>1.8</v>
      </c>
      <c r="IB1617" s="2">
        <v>0.3</v>
      </c>
      <c r="IC1617" s="2">
        <v>1</v>
      </c>
      <c r="ID1617" s="2">
        <v>1</v>
      </c>
      <c r="IE1617" s="2">
        <v>1.4</v>
      </c>
      <c r="IF1617" s="2">
        <v>0.8</v>
      </c>
      <c r="IG1617" s="2">
        <v>1.7</v>
      </c>
      <c r="IH1617" s="2">
        <v>1</v>
      </c>
      <c r="II1617" s="2">
        <v>1.8</v>
      </c>
      <c r="IJ1617" s="2">
        <v>0.2</v>
      </c>
      <c r="IK1617" s="2">
        <v>0</v>
      </c>
      <c r="IL1617" s="2">
        <v>1.8</v>
      </c>
      <c r="IM1617" s="2">
        <v>1.8</v>
      </c>
      <c r="IN1617" s="2">
        <v>1.4</v>
      </c>
      <c r="IO1617" s="2">
        <v>0.6</v>
      </c>
      <c r="IP1617" s="2">
        <v>1.8</v>
      </c>
      <c r="IQ1617" s="2">
        <v>2.2</v>
      </c>
      <c r="IR1617" s="2">
        <v>0.2</v>
      </c>
      <c r="IS1617" s="2">
        <v>-0.3</v>
      </c>
      <c r="IT1617" s="2">
        <v>1</v>
      </c>
      <c r="IU1617" s="2">
        <v>0.4</v>
      </c>
      <c r="IV1617" s="2">
        <v>0.1</v>
      </c>
      <c r="IW1617" s="2">
        <v>-0.3</v>
      </c>
      <c r="IX1617" s="2">
        <v>0.1</v>
      </c>
      <c r="IY1617" s="2">
        <v>1.1</v>
      </c>
      <c r="IZ1617" s="2">
        <v>0</v>
      </c>
      <c r="JA1617" s="2">
        <v>0.1</v>
      </c>
      <c r="JB1617" s="2">
        <v>-0.2</v>
      </c>
      <c r="JC1617" s="2">
        <v>0.4</v>
      </c>
      <c r="JD1617" s="2">
        <v>0.5</v>
      </c>
      <c r="JE1617" s="2">
        <v>0.4</v>
      </c>
      <c r="JF1617" s="2">
        <v>0</v>
      </c>
      <c r="JG1617" s="2">
        <v>-0.2</v>
      </c>
      <c r="JH1617" s="2">
        <v>-0.3</v>
      </c>
      <c r="JI1617" s="2">
        <v>0.5</v>
      </c>
      <c r="JJ1617" s="2">
        <v>1.3</v>
      </c>
      <c r="JK1617" s="2">
        <v>-0.5</v>
      </c>
      <c r="JL1617" s="2">
        <v>-0.1</v>
      </c>
      <c r="JM1617" s="2">
        <v>0.1</v>
      </c>
      <c r="JN1617" s="2">
        <v>0.6</v>
      </c>
      <c r="JO1617" s="2">
        <v>0.7</v>
      </c>
      <c r="JP1617" s="2">
        <v>-1.3</v>
      </c>
      <c r="JQ1617" s="2">
        <v>-0.4</v>
      </c>
      <c r="JR1617" s="2">
        <v>0.6</v>
      </c>
      <c r="JS1617" s="2">
        <v>1.2</v>
      </c>
      <c r="JT1617" s="2">
        <v>-3</v>
      </c>
      <c r="JU1617" s="2">
        <v>0.4</v>
      </c>
      <c r="JV1617" s="2">
        <v>1.4</v>
      </c>
      <c r="KA1617" s="2">
        <v>-0.2</v>
      </c>
      <c r="KB1617" s="2">
        <v>-0.8</v>
      </c>
      <c r="KC1617" s="2">
        <v>-0.2</v>
      </c>
      <c r="KD1617" s="2">
        <v>0.3</v>
      </c>
      <c r="KQ1617" s="2">
        <v>0.1</v>
      </c>
      <c r="KR1617" s="2">
        <v>-1.3</v>
      </c>
      <c r="KS1617" s="2">
        <v>0.1</v>
      </c>
      <c r="KT1617" s="2">
        <v>0.6</v>
      </c>
      <c r="LG1617" s="2">
        <v>0.3</v>
      </c>
      <c r="LH1617" s="2">
        <v>-0.9</v>
      </c>
      <c r="LI1617" s="2">
        <v>0.3</v>
      </c>
      <c r="LJ1617" s="2">
        <v>1.2</v>
      </c>
      <c r="LW1617" s="2">
        <v>2.3</v>
      </c>
      <c r="LX1617" s="2">
        <v>1.1</v>
      </c>
      <c r="LY1617" s="2">
        <v>-1.6</v>
      </c>
      <c r="LZ1617" s="2">
        <v>0.4</v>
      </c>
      <c r="MM1617" s="2">
        <v>0.3</v>
      </c>
      <c r="MN1617" s="2">
        <v>-0.7</v>
      </c>
      <c r="MO1617" s="2">
        <v>0.8</v>
      </c>
      <c r="MP1617" s="2">
        <v>1.2</v>
      </c>
      <c r="NC1617" s="2">
        <v>2.8</v>
      </c>
      <c r="ND1617" s="2">
        <v>1.1</v>
      </c>
      <c r="NE1617" s="2">
        <v>3.9</v>
      </c>
      <c r="NF1617" s="2">
        <v>2.6</v>
      </c>
      <c r="NS1617" s="2">
        <v>3.2</v>
      </c>
      <c r="NT1617" s="2">
        <v>1.1</v>
      </c>
      <c r="NU1617" s="2">
        <v>0.3</v>
      </c>
      <c r="NV1617" s="2">
        <v>1.9</v>
      </c>
      <c r="OI1617" s="2">
        <v>1.9</v>
      </c>
      <c r="OJ1617" s="2">
        <v>-0.1</v>
      </c>
      <c r="OK1617" s="2">
        <v>0.5</v>
      </c>
      <c r="OL1617" s="2">
        <v>1</v>
      </c>
      <c r="OY1617" s="2">
        <v>1.6</v>
      </c>
      <c r="OZ1617" s="2">
        <v>0.6</v>
      </c>
      <c r="PA1617" s="2">
        <v>0.8</v>
      </c>
      <c r="PB1617" s="2">
        <v>0.5</v>
      </c>
      <c r="PJ1617" s="2">
        <v>1.1</v>
      </c>
      <c r="PK1617" s="2">
        <v>-0.7</v>
      </c>
    </row>
    <row r="1618">
      <c r="A1618" t="inlineStr">
        <is>
          <t>A2327650L</t>
        </is>
      </c>
      <c r="B1618" t="inlineStr">
        <is>
          <t>Percentage Change from Previous Period ;  Eggs ;  Australia ;</t>
        </is>
      </c>
      <c r="C1618" t="inlineStr">
        <is>
          <t>Quarter</t>
        </is>
      </c>
      <c r="D1618" t="inlineStr">
        <is>
          <t>Percent</t>
        </is>
      </c>
      <c r="E1618" t="inlineStr">
        <is>
          <t>Original</t>
        </is>
      </c>
      <c r="F1618" t="inlineStr">
        <is>
          <t>6401018.xlsx</t>
        </is>
      </c>
      <c r="G1618" t="inlineStr">
        <is>
          <t>1980Q4</t>
        </is>
      </c>
      <c r="H1618" t="inlineStr">
        <is>
          <t>2026Q2</t>
        </is>
      </c>
      <c r="EH1618" s="2">
        <v>2.5</v>
      </c>
      <c r="EI1618" s="2">
        <v>4.2</v>
      </c>
      <c r="EJ1618" s="2">
        <v>5</v>
      </c>
      <c r="EK1618" s="2">
        <v>0</v>
      </c>
      <c r="EL1618" s="2">
        <v>0.1</v>
      </c>
      <c r="EM1618" s="2">
        <v>1.2</v>
      </c>
      <c r="EN1618" s="2">
        <v>1.8</v>
      </c>
      <c r="EO1618" s="2">
        <v>1.6</v>
      </c>
      <c r="EP1618" s="2">
        <v>3.2</v>
      </c>
      <c r="EQ1618" s="2">
        <v>2.1</v>
      </c>
      <c r="ER1618" s="2">
        <v>2</v>
      </c>
      <c r="ES1618" s="2">
        <v>1.5</v>
      </c>
      <c r="ET1618" s="2">
        <v>-2.9</v>
      </c>
      <c r="EU1618" s="2">
        <v>-0.5</v>
      </c>
      <c r="EV1618" s="2">
        <v>0</v>
      </c>
      <c r="EW1618" s="2">
        <v>-0.7</v>
      </c>
      <c r="EX1618" s="2">
        <v>0.2</v>
      </c>
      <c r="EY1618" s="2">
        <v>1.8</v>
      </c>
      <c r="EZ1618" s="2">
        <v>0.3</v>
      </c>
      <c r="FA1618" s="2">
        <v>3.7</v>
      </c>
      <c r="FB1618" s="2">
        <v>0.4</v>
      </c>
      <c r="FC1618" s="2">
        <v>0.6</v>
      </c>
      <c r="FD1618" s="2">
        <v>-1.1</v>
      </c>
      <c r="FE1618" s="2">
        <v>-0.8</v>
      </c>
      <c r="FF1618" s="2">
        <v>-0.5</v>
      </c>
      <c r="FG1618" s="2">
        <v>1.4</v>
      </c>
      <c r="FH1618" s="2">
        <v>0.3</v>
      </c>
      <c r="FI1618" s="2">
        <v>0.3</v>
      </c>
      <c r="FJ1618" s="2">
        <v>0</v>
      </c>
      <c r="FK1618" s="2">
        <v>2</v>
      </c>
      <c r="FL1618" s="2">
        <v>3.9</v>
      </c>
      <c r="FM1618" s="2">
        <v>6.1</v>
      </c>
      <c r="FN1618" s="2">
        <v>0.9</v>
      </c>
      <c r="FO1618" s="2">
        <v>1</v>
      </c>
      <c r="FP1618" s="2">
        <v>1.7</v>
      </c>
      <c r="FQ1618" s="2">
        <v>-4.2</v>
      </c>
      <c r="FR1618" s="2">
        <v>-0.7</v>
      </c>
      <c r="FS1618" s="2">
        <v>-1.9</v>
      </c>
      <c r="FT1618" s="2">
        <v>0.4</v>
      </c>
      <c r="FU1618" s="2">
        <v>1.4</v>
      </c>
      <c r="FV1618" s="2">
        <v>-0.4</v>
      </c>
      <c r="FW1618" s="2">
        <v>-1</v>
      </c>
      <c r="FX1618" s="2">
        <v>1</v>
      </c>
      <c r="FY1618" s="2">
        <v>-2.2</v>
      </c>
      <c r="FZ1618" s="2">
        <v>-1.4</v>
      </c>
      <c r="GA1618" s="2">
        <v>-0.3</v>
      </c>
      <c r="GB1618" s="2">
        <v>2.6</v>
      </c>
      <c r="GC1618" s="2">
        <v>2.6</v>
      </c>
      <c r="GD1618" s="2">
        <v>3.4</v>
      </c>
      <c r="GE1618" s="2">
        <v>-1.2</v>
      </c>
      <c r="GF1618" s="2">
        <v>-0.7</v>
      </c>
      <c r="GG1618" s="2">
        <v>2.2</v>
      </c>
      <c r="GH1618" s="2">
        <v>-0.8</v>
      </c>
      <c r="GI1618" s="2">
        <v>0.4</v>
      </c>
      <c r="GJ1618" s="2">
        <v>-0.5</v>
      </c>
      <c r="GK1618" s="2">
        <v>0</v>
      </c>
      <c r="GL1618" s="2">
        <v>-0.6</v>
      </c>
      <c r="GM1618" s="2">
        <v>3.4</v>
      </c>
      <c r="GN1618" s="2">
        <v>4.7</v>
      </c>
      <c r="GO1618" s="2">
        <v>12.2</v>
      </c>
      <c r="GP1618" s="2">
        <v>2.5</v>
      </c>
      <c r="GQ1618" s="2">
        <v>1.1</v>
      </c>
      <c r="GR1618" s="2">
        <v>3.8</v>
      </c>
      <c r="GS1618" s="2">
        <v>3.5</v>
      </c>
      <c r="GT1618" s="2">
        <v>0.3</v>
      </c>
      <c r="GU1618" s="2">
        <v>-0.1</v>
      </c>
      <c r="GV1618" s="2">
        <v>2.6</v>
      </c>
      <c r="GW1618" s="2">
        <v>-0.1</v>
      </c>
      <c r="GX1618" s="2">
        <v>1.4</v>
      </c>
      <c r="GY1618" s="2">
        <v>-2</v>
      </c>
      <c r="GZ1618" s="2">
        <v>0.4</v>
      </c>
      <c r="HA1618" s="2">
        <v>1.4</v>
      </c>
      <c r="HB1618" s="2">
        <v>-1.9</v>
      </c>
      <c r="HC1618" s="2">
        <v>1.8</v>
      </c>
      <c r="HD1618" s="2">
        <v>3.1</v>
      </c>
      <c r="HE1618" s="2">
        <v>2.8</v>
      </c>
      <c r="HF1618" s="2">
        <v>-1.1</v>
      </c>
      <c r="HG1618" s="2">
        <v>-0.2</v>
      </c>
      <c r="HH1618" s="2">
        <v>0.5</v>
      </c>
      <c r="HI1618" s="2">
        <v>-1.5</v>
      </c>
      <c r="HJ1618" s="2">
        <v>-1.7</v>
      </c>
      <c r="HK1618" s="2">
        <v>1</v>
      </c>
      <c r="HL1618" s="2">
        <v>5.8</v>
      </c>
      <c r="HM1618" s="2">
        <v>2.9</v>
      </c>
      <c r="HN1618" s="2">
        <v>1.5</v>
      </c>
      <c r="HO1618" s="2">
        <v>-0.1</v>
      </c>
      <c r="HP1618" s="2">
        <v>0.4</v>
      </c>
      <c r="HQ1618" s="2">
        <v>0.1</v>
      </c>
      <c r="HR1618" s="2">
        <v>-4.6</v>
      </c>
      <c r="HS1618" s="2">
        <v>13.9</v>
      </c>
      <c r="HT1618" s="2">
        <v>2.7</v>
      </c>
      <c r="HU1618" s="2">
        <v>-0.7</v>
      </c>
      <c r="HV1618" s="2">
        <v>-2.8</v>
      </c>
      <c r="HW1618" s="2">
        <v>0.9</v>
      </c>
      <c r="HX1618" s="2">
        <v>-1</v>
      </c>
      <c r="HY1618" s="2">
        <v>-0.8</v>
      </c>
      <c r="HZ1618" s="2">
        <v>1</v>
      </c>
      <c r="IA1618" s="2">
        <v>-2.4</v>
      </c>
      <c r="IB1618" s="2">
        <v>-2.1</v>
      </c>
      <c r="IC1618" s="2">
        <v>1.5</v>
      </c>
      <c r="ID1618" s="2">
        <v>2.4</v>
      </c>
      <c r="IE1618" s="2">
        <v>-1.3</v>
      </c>
      <c r="IF1618" s="2">
        <v>4.1</v>
      </c>
      <c r="IG1618" s="2">
        <v>1.3</v>
      </c>
      <c r="IH1618" s="2">
        <v>4.8</v>
      </c>
      <c r="II1618" s="2">
        <v>3.7</v>
      </c>
      <c r="IJ1618" s="2">
        <v>1.2</v>
      </c>
      <c r="IK1618" s="2">
        <v>0</v>
      </c>
      <c r="IL1618" s="2">
        <v>-0.5</v>
      </c>
      <c r="IM1618" s="2">
        <v>5.2</v>
      </c>
      <c r="IN1618" s="2">
        <v>-3</v>
      </c>
      <c r="IO1618" s="2">
        <v>0.9</v>
      </c>
      <c r="IP1618" s="2">
        <v>-0.5</v>
      </c>
      <c r="IQ1618" s="2">
        <v>0.8</v>
      </c>
      <c r="IR1618" s="2">
        <v>0</v>
      </c>
      <c r="IS1618" s="2">
        <v>-1.3</v>
      </c>
      <c r="IT1618" s="2">
        <v>-0.7</v>
      </c>
      <c r="IU1618" s="2">
        <v>-2.6</v>
      </c>
      <c r="IV1618" s="2">
        <v>0.3</v>
      </c>
      <c r="IW1618" s="2">
        <v>0.3</v>
      </c>
      <c r="IX1618" s="2">
        <v>-0.4</v>
      </c>
      <c r="IY1618" s="2">
        <v>0.1</v>
      </c>
      <c r="IZ1618" s="2">
        <v>-0.2</v>
      </c>
      <c r="JA1618" s="2">
        <v>-0.5</v>
      </c>
      <c r="JB1618" s="2">
        <v>-0.2</v>
      </c>
      <c r="JC1618" s="2">
        <v>1.5</v>
      </c>
      <c r="JD1618" s="2">
        <v>0.2</v>
      </c>
      <c r="JE1618" s="2">
        <v>0.5</v>
      </c>
      <c r="JF1618" s="2">
        <v>2.1</v>
      </c>
      <c r="JG1618" s="2">
        <v>-0.2</v>
      </c>
      <c r="JH1618" s="2">
        <v>0.8</v>
      </c>
      <c r="JI1618" s="2">
        <v>0.3</v>
      </c>
      <c r="JJ1618" s="2">
        <v>2.9</v>
      </c>
      <c r="JK1618" s="2">
        <v>1.2</v>
      </c>
      <c r="JL1618" s="2">
        <v>2.8</v>
      </c>
      <c r="JM1618" s="2">
        <v>0.4</v>
      </c>
      <c r="JN1618" s="2">
        <v>-2.6</v>
      </c>
      <c r="JO1618" s="2">
        <v>-0.7</v>
      </c>
      <c r="JP1618" s="2">
        <v>0.5</v>
      </c>
      <c r="JQ1618" s="2">
        <v>-0.1</v>
      </c>
      <c r="JR1618" s="2">
        <v>-1.7</v>
      </c>
      <c r="JS1618" s="2">
        <v>0.3</v>
      </c>
      <c r="JT1618" s="2">
        <v>1</v>
      </c>
      <c r="JU1618" s="2">
        <v>0.3</v>
      </c>
      <c r="JV1618" s="2">
        <v>-0.6</v>
      </c>
      <c r="KA1618" s="2">
        <v>0.2</v>
      </c>
      <c r="KB1618" s="2">
        <v>-0.8</v>
      </c>
      <c r="KC1618" s="2">
        <v>-3.4</v>
      </c>
      <c r="KD1618" s="2">
        <v>-0.9</v>
      </c>
      <c r="KQ1618" s="2">
        <v>0.1</v>
      </c>
      <c r="KR1618" s="2">
        <v>0.7</v>
      </c>
      <c r="KS1618" s="2">
        <v>-0.9</v>
      </c>
      <c r="KT1618" s="2">
        <v>0.5</v>
      </c>
      <c r="LG1618" s="2">
        <v>0.2</v>
      </c>
      <c r="LH1618" s="2">
        <v>1</v>
      </c>
      <c r="LI1618" s="2">
        <v>2.7</v>
      </c>
      <c r="LJ1618" s="2">
        <v>1.2</v>
      </c>
      <c r="LW1618" s="2">
        <v>1</v>
      </c>
      <c r="LX1618" s="2">
        <v>2</v>
      </c>
      <c r="LY1618" s="2">
        <v>-0.3</v>
      </c>
      <c r="LZ1618" s="2">
        <v>-0.8</v>
      </c>
      <c r="MM1618" s="2">
        <v>0</v>
      </c>
      <c r="MN1618" s="2">
        <v>-0.4</v>
      </c>
      <c r="MO1618" s="2">
        <v>0.9</v>
      </c>
      <c r="MP1618" s="2">
        <v>-0.4</v>
      </c>
      <c r="NC1618" s="2">
        <v>1.5</v>
      </c>
      <c r="ND1618" s="2">
        <v>3.7</v>
      </c>
      <c r="NE1618" s="2">
        <v>5.3</v>
      </c>
      <c r="NF1618" s="2">
        <v>0.8</v>
      </c>
      <c r="NS1618" s="2">
        <v>2.6</v>
      </c>
      <c r="NT1618" s="2">
        <v>2.1</v>
      </c>
      <c r="NU1618" s="2">
        <v>2.1</v>
      </c>
      <c r="NV1618" s="2">
        <v>3.4</v>
      </c>
      <c r="OI1618" s="2">
        <v>0.2</v>
      </c>
      <c r="OJ1618" s="2">
        <v>0.6</v>
      </c>
      <c r="OK1618" s="2">
        <v>4.7</v>
      </c>
      <c r="OL1618" s="2">
        <v>5.4</v>
      </c>
      <c r="OY1618" s="2">
        <v>1.3</v>
      </c>
      <c r="OZ1618" s="2">
        <v>6.5</v>
      </c>
      <c r="PA1618" s="2">
        <v>0</v>
      </c>
      <c r="PB1618" s="2">
        <v>-3.1</v>
      </c>
      <c r="PJ1618" s="2">
        <v>-0.6</v>
      </c>
      <c r="PK1618" s="2">
        <v>-0.7</v>
      </c>
    </row>
    <row r="1619">
      <c r="A1619" t="inlineStr">
        <is>
          <t>A2327695T</t>
        </is>
      </c>
      <c r="B1619" t="inlineStr">
        <is>
          <t>Percentage Change from Previous Period ;  Jams, honey and spreads ;  Australia ;</t>
        </is>
      </c>
      <c r="C1619" t="inlineStr">
        <is>
          <t>Quarter</t>
        </is>
      </c>
      <c r="D1619" t="inlineStr">
        <is>
          <t>Percent</t>
        </is>
      </c>
      <c r="E1619" t="inlineStr">
        <is>
          <t>Original</t>
        </is>
      </c>
      <c r="F1619" t="inlineStr">
        <is>
          <t>6401018.xlsx</t>
        </is>
      </c>
      <c r="G1619" t="inlineStr">
        <is>
          <t>1980Q4</t>
        </is>
      </c>
      <c r="H1619" t="inlineStr">
        <is>
          <t>2026Q2</t>
        </is>
      </c>
      <c r="EH1619" s="2">
        <v>4.3</v>
      </c>
      <c r="EI1619" s="2">
        <v>1.4</v>
      </c>
      <c r="EJ1619" s="2">
        <v>0.7</v>
      </c>
      <c r="EK1619" s="2">
        <v>-2.4</v>
      </c>
      <c r="EL1619" s="2">
        <v>1.7</v>
      </c>
      <c r="EM1619" s="2">
        <v>2.6</v>
      </c>
      <c r="EN1619" s="2">
        <v>0.4</v>
      </c>
      <c r="EO1619" s="2">
        <v>5.3</v>
      </c>
      <c r="EP1619" s="2">
        <v>2.9</v>
      </c>
      <c r="EQ1619" s="2">
        <v>3</v>
      </c>
      <c r="ER1619" s="2">
        <v>-0.8</v>
      </c>
      <c r="ES1619" s="2">
        <v>2.9</v>
      </c>
      <c r="ET1619" s="2">
        <v>2.9</v>
      </c>
      <c r="EU1619" s="2">
        <v>-0.3</v>
      </c>
      <c r="EV1619" s="2">
        <v>2.4</v>
      </c>
      <c r="EW1619" s="2">
        <v>0.6</v>
      </c>
      <c r="EX1619" s="2">
        <v>1.2</v>
      </c>
      <c r="EY1619" s="2">
        <v>2.5</v>
      </c>
      <c r="EZ1619" s="2">
        <v>-1.2</v>
      </c>
      <c r="FA1619" s="2">
        <v>5.1</v>
      </c>
      <c r="FB1619" s="2">
        <v>5.1</v>
      </c>
      <c r="FC1619" s="2">
        <v>-0.1</v>
      </c>
      <c r="FD1619" s="2">
        <v>3.3</v>
      </c>
      <c r="FE1619" s="2">
        <v>0.1</v>
      </c>
      <c r="FF1619" s="2">
        <v>5.3</v>
      </c>
      <c r="FG1619" s="2">
        <v>2.4</v>
      </c>
      <c r="FH1619" s="2">
        <v>2.1</v>
      </c>
      <c r="FI1619" s="2">
        <v>1.9</v>
      </c>
      <c r="FJ1619" s="2">
        <v>1.9</v>
      </c>
      <c r="FK1619" s="2">
        <v>0.9</v>
      </c>
      <c r="FL1619" s="2">
        <v>2.4</v>
      </c>
      <c r="FM1619" s="2">
        <v>1.2</v>
      </c>
      <c r="FN1619" s="2">
        <v>1.4</v>
      </c>
      <c r="FO1619" s="2">
        <v>0.5</v>
      </c>
      <c r="FP1619" s="2">
        <v>1.7</v>
      </c>
      <c r="FQ1619" s="2">
        <v>0.5</v>
      </c>
      <c r="FR1619" s="2">
        <v>2.9</v>
      </c>
      <c r="FS1619" s="2">
        <v>2</v>
      </c>
      <c r="FT1619" s="2">
        <v>1.2</v>
      </c>
      <c r="FU1619" s="2">
        <v>3.5</v>
      </c>
      <c r="FV1619" s="2">
        <v>2.8</v>
      </c>
      <c r="FW1619" s="2">
        <v>1.4</v>
      </c>
      <c r="FX1619" s="2">
        <v>1.1</v>
      </c>
      <c r="FY1619" s="2">
        <v>2.1</v>
      </c>
      <c r="FZ1619" s="2">
        <v>1</v>
      </c>
      <c r="GA1619" s="2">
        <v>1.4</v>
      </c>
      <c r="GB1619" s="2">
        <v>1.5</v>
      </c>
      <c r="GC1619" s="2">
        <v>0.6</v>
      </c>
      <c r="GD1619" s="2">
        <v>1.7</v>
      </c>
      <c r="GE1619" s="2">
        <v>0.7</v>
      </c>
      <c r="GF1619" s="2">
        <v>-0.7</v>
      </c>
      <c r="GG1619" s="2">
        <v>2.7</v>
      </c>
      <c r="GH1619" s="2">
        <v>-0.5</v>
      </c>
      <c r="GI1619" s="2">
        <v>1</v>
      </c>
      <c r="GJ1619" s="2">
        <v>0</v>
      </c>
      <c r="GK1619" s="2">
        <v>1.2</v>
      </c>
      <c r="GL1619" s="2">
        <v>0.4</v>
      </c>
      <c r="GM1619" s="2">
        <v>1.7</v>
      </c>
      <c r="GN1619" s="2">
        <v>0.6</v>
      </c>
      <c r="GO1619" s="2">
        <v>-0.2</v>
      </c>
      <c r="GP1619" s="2">
        <v>0.7</v>
      </c>
      <c r="GQ1619" s="2">
        <v>1.1</v>
      </c>
      <c r="GR1619" s="2">
        <v>1.6</v>
      </c>
      <c r="GS1619" s="2">
        <v>-0.3</v>
      </c>
      <c r="GT1619" s="2">
        <v>1.3</v>
      </c>
      <c r="GU1619" s="2">
        <v>-1.8</v>
      </c>
      <c r="GV1619" s="2">
        <v>2.3</v>
      </c>
      <c r="GW1619" s="2">
        <v>1.1</v>
      </c>
      <c r="GX1619" s="2">
        <v>2</v>
      </c>
      <c r="GY1619" s="2">
        <v>1</v>
      </c>
      <c r="GZ1619" s="2">
        <v>-1.9</v>
      </c>
      <c r="HA1619" s="2">
        <v>0.5</v>
      </c>
      <c r="HB1619" s="2">
        <v>-0.3</v>
      </c>
      <c r="HC1619" s="2">
        <v>0</v>
      </c>
      <c r="HD1619" s="2">
        <v>1.2</v>
      </c>
      <c r="HE1619" s="2">
        <v>1.7</v>
      </c>
      <c r="HF1619" s="2">
        <v>0.2</v>
      </c>
      <c r="HG1619" s="2">
        <v>0.4</v>
      </c>
      <c r="HH1619" s="2">
        <v>-1.9</v>
      </c>
      <c r="HI1619" s="2">
        <v>2.2</v>
      </c>
      <c r="HJ1619" s="2">
        <v>-3.1</v>
      </c>
      <c r="HK1619" s="2">
        <v>3.9</v>
      </c>
      <c r="HL1619" s="2">
        <v>2</v>
      </c>
      <c r="HM1619" s="2">
        <v>-0.4</v>
      </c>
      <c r="HN1619" s="2">
        <v>1.1</v>
      </c>
      <c r="HO1619" s="2">
        <v>-1.9</v>
      </c>
      <c r="HP1619" s="2">
        <v>3.7</v>
      </c>
      <c r="HQ1619" s="2">
        <v>6.2</v>
      </c>
      <c r="HR1619" s="2">
        <v>6.5</v>
      </c>
      <c r="HS1619" s="2">
        <v>1.1</v>
      </c>
      <c r="HT1619" s="2">
        <v>1.4</v>
      </c>
      <c r="HU1619" s="2">
        <v>-0.3</v>
      </c>
      <c r="HV1619" s="2">
        <v>-0.3</v>
      </c>
      <c r="HW1619" s="2">
        <v>0.8</v>
      </c>
      <c r="HX1619" s="2">
        <v>0.5</v>
      </c>
      <c r="HY1619" s="2">
        <v>-0.4</v>
      </c>
      <c r="HZ1619" s="2">
        <v>0.1</v>
      </c>
      <c r="IA1619" s="2">
        <v>1.6</v>
      </c>
      <c r="IB1619" s="2">
        <v>-2.6</v>
      </c>
      <c r="IC1619" s="2">
        <v>4.8</v>
      </c>
      <c r="ID1619" s="2">
        <v>-0.6</v>
      </c>
      <c r="IE1619" s="2">
        <v>1.8</v>
      </c>
      <c r="IF1619" s="2">
        <v>-1.9</v>
      </c>
      <c r="IG1619" s="2">
        <v>4.1</v>
      </c>
      <c r="IH1619" s="2">
        <v>0.3</v>
      </c>
      <c r="II1619" s="2">
        <v>1.1</v>
      </c>
      <c r="IJ1619" s="2">
        <v>0.6</v>
      </c>
      <c r="IK1619" s="2">
        <v>0</v>
      </c>
      <c r="IL1619" s="2">
        <v>1.4</v>
      </c>
      <c r="IM1619" s="2">
        <v>1.2</v>
      </c>
      <c r="IN1619" s="2">
        <v>2.4</v>
      </c>
      <c r="IO1619" s="2">
        <v>0.8</v>
      </c>
      <c r="IP1619" s="2">
        <v>2.5</v>
      </c>
      <c r="IQ1619" s="2">
        <v>2.7</v>
      </c>
      <c r="IR1619" s="2">
        <v>0.8</v>
      </c>
      <c r="IS1619" s="2">
        <v>-0.7</v>
      </c>
      <c r="IT1619" s="2">
        <v>0.8</v>
      </c>
      <c r="IU1619" s="2">
        <v>-0.8</v>
      </c>
      <c r="IV1619" s="2">
        <v>-1.9</v>
      </c>
      <c r="IW1619" s="2">
        <v>-1.7</v>
      </c>
      <c r="IX1619" s="2">
        <v>0.6</v>
      </c>
      <c r="IY1619" s="2">
        <v>0</v>
      </c>
      <c r="IZ1619" s="2">
        <v>1.8</v>
      </c>
      <c r="JA1619" s="2">
        <v>-0.1</v>
      </c>
      <c r="JB1619" s="2">
        <v>0.3</v>
      </c>
      <c r="JC1619" s="2">
        <v>0.5</v>
      </c>
      <c r="JD1619" s="2">
        <v>-1.1</v>
      </c>
      <c r="JE1619" s="2">
        <v>-0.4</v>
      </c>
      <c r="JF1619" s="2">
        <v>2.5</v>
      </c>
      <c r="JG1619" s="2">
        <v>-1.1</v>
      </c>
      <c r="JH1619" s="2">
        <v>-0.4</v>
      </c>
      <c r="JI1619" s="2">
        <v>0.1</v>
      </c>
      <c r="JJ1619" s="2">
        <v>-2.1</v>
      </c>
      <c r="JK1619" s="2">
        <v>0.9</v>
      </c>
      <c r="JL1619" s="2">
        <v>3.8</v>
      </c>
      <c r="JM1619" s="2">
        <v>3.9</v>
      </c>
      <c r="JN1619" s="2">
        <v>1.8</v>
      </c>
      <c r="JO1619" s="2">
        <v>-0.8</v>
      </c>
      <c r="JP1619" s="2">
        <v>-1.1</v>
      </c>
      <c r="JQ1619" s="2">
        <v>-1.1</v>
      </c>
      <c r="JR1619" s="2">
        <v>1.5</v>
      </c>
      <c r="JS1619" s="2">
        <v>-0.5</v>
      </c>
      <c r="JT1619" s="2">
        <v>-2.7</v>
      </c>
      <c r="JU1619" s="2">
        <v>1.5</v>
      </c>
      <c r="JV1619" s="2">
        <v>0.5</v>
      </c>
      <c r="KA1619" s="2">
        <v>-1.3</v>
      </c>
      <c r="KB1619" s="2">
        <v>1.5</v>
      </c>
      <c r="KC1619" s="2">
        <v>-4.1</v>
      </c>
      <c r="KD1619" s="2">
        <v>0.8</v>
      </c>
      <c r="KQ1619" s="2">
        <v>-1</v>
      </c>
      <c r="KR1619" s="2">
        <v>-1.3</v>
      </c>
      <c r="KS1619" s="2">
        <v>1.1</v>
      </c>
      <c r="KT1619" s="2">
        <v>0.4</v>
      </c>
      <c r="LG1619" s="2">
        <v>-0.2</v>
      </c>
      <c r="LH1619" s="2">
        <v>0.6</v>
      </c>
      <c r="LI1619" s="2">
        <v>-0.3</v>
      </c>
      <c r="LJ1619" s="2">
        <v>0.5</v>
      </c>
      <c r="LW1619" s="2">
        <v>2</v>
      </c>
      <c r="LX1619" s="2">
        <v>2.7</v>
      </c>
      <c r="LY1619" s="2">
        <v>-0.2</v>
      </c>
      <c r="LZ1619" s="2">
        <v>0</v>
      </c>
      <c r="MM1619" s="2">
        <v>-1</v>
      </c>
      <c r="MN1619" s="2">
        <v>0.8</v>
      </c>
      <c r="MO1619" s="2">
        <v>-0.2</v>
      </c>
      <c r="MP1619" s="2">
        <v>0.7</v>
      </c>
      <c r="NC1619" s="2">
        <v>0.8</v>
      </c>
      <c r="ND1619" s="2">
        <v>0.9</v>
      </c>
      <c r="NE1619" s="2">
        <v>4.3</v>
      </c>
      <c r="NF1619" s="2">
        <v>1</v>
      </c>
      <c r="NS1619" s="2">
        <v>0.7</v>
      </c>
      <c r="NT1619" s="2">
        <v>0</v>
      </c>
      <c r="NU1619" s="2">
        <v>2.3</v>
      </c>
      <c r="NV1619" s="2">
        <v>1.7</v>
      </c>
      <c r="OI1619" s="2">
        <v>0.1</v>
      </c>
      <c r="OJ1619" s="2">
        <v>-0.7</v>
      </c>
      <c r="OK1619" s="2">
        <v>0.6</v>
      </c>
      <c r="OL1619" s="2">
        <v>1.1</v>
      </c>
      <c r="OY1619" s="2">
        <v>-0.2</v>
      </c>
      <c r="OZ1619" s="2">
        <v>0</v>
      </c>
      <c r="PA1619" s="2">
        <v>1.4</v>
      </c>
      <c r="PB1619" s="2">
        <v>1.1</v>
      </c>
      <c r="PJ1619" s="2">
        <v>0.9</v>
      </c>
      <c r="PK1619" s="2">
        <v>-0.3</v>
      </c>
    </row>
    <row r="1620">
      <c r="A1620" t="inlineStr">
        <is>
          <t>A2329495K</t>
        </is>
      </c>
      <c r="B1620" t="inlineStr">
        <is>
          <t>Percentage Change from Previous Period ;  Food additives and condiments ;  Australia ;</t>
        </is>
      </c>
      <c r="C1620" t="inlineStr">
        <is>
          <t>Quarter</t>
        </is>
      </c>
      <c r="D1620" t="inlineStr">
        <is>
          <t>Percent</t>
        </is>
      </c>
      <c r="E1620" t="inlineStr">
        <is>
          <t>Original</t>
        </is>
      </c>
      <c r="F1620" t="inlineStr">
        <is>
          <t>6401018.xlsx</t>
        </is>
      </c>
      <c r="G1620" t="inlineStr">
        <is>
          <t>1989Q4</t>
        </is>
      </c>
      <c r="H1620" t="inlineStr">
        <is>
          <t>2026Q2</t>
        </is>
      </c>
      <c r="FR1620" s="2">
        <v>3.3</v>
      </c>
      <c r="FS1620" s="2">
        <v>0.7</v>
      </c>
      <c r="FT1620" s="2">
        <v>4.1</v>
      </c>
      <c r="FU1620" s="2">
        <v>1.8</v>
      </c>
      <c r="FV1620" s="2">
        <v>-0.3</v>
      </c>
      <c r="FW1620" s="2">
        <v>0.4</v>
      </c>
      <c r="FX1620" s="2">
        <v>0.4</v>
      </c>
      <c r="FY1620" s="2">
        <v>0.5</v>
      </c>
      <c r="FZ1620" s="2">
        <v>-1</v>
      </c>
      <c r="GA1620" s="2">
        <v>-0.4</v>
      </c>
      <c r="GB1620" s="2">
        <v>1.6</v>
      </c>
      <c r="GC1620" s="2">
        <v>-0.1</v>
      </c>
      <c r="GD1620" s="2">
        <v>-0.4</v>
      </c>
      <c r="GE1620" s="2">
        <v>0.3</v>
      </c>
      <c r="GF1620" s="2">
        <v>0.3</v>
      </c>
      <c r="GG1620" s="2">
        <v>4.7</v>
      </c>
      <c r="GH1620" s="2">
        <v>0.1</v>
      </c>
      <c r="GI1620" s="2">
        <v>0.5</v>
      </c>
      <c r="GJ1620" s="2">
        <v>-1.4</v>
      </c>
      <c r="GK1620" s="2">
        <v>0.6</v>
      </c>
      <c r="GL1620" s="2">
        <v>0.3</v>
      </c>
      <c r="GM1620" s="2">
        <v>0.1</v>
      </c>
      <c r="GN1620" s="2">
        <v>0.7</v>
      </c>
      <c r="GO1620" s="2">
        <v>-0.1</v>
      </c>
      <c r="GP1620" s="2">
        <v>-0.3</v>
      </c>
      <c r="GQ1620" s="2">
        <v>-0.4</v>
      </c>
      <c r="GR1620" s="2">
        <v>-0.9</v>
      </c>
      <c r="GS1620" s="2">
        <v>1.3</v>
      </c>
      <c r="GT1620" s="2">
        <v>-0.1</v>
      </c>
      <c r="GU1620" s="2">
        <v>0.1</v>
      </c>
      <c r="GV1620" s="2">
        <v>1.5</v>
      </c>
      <c r="GW1620" s="2">
        <v>0.5</v>
      </c>
      <c r="GX1620" s="2">
        <v>-1.1</v>
      </c>
      <c r="GY1620" s="2">
        <v>3.8</v>
      </c>
      <c r="GZ1620" s="2">
        <v>1.1</v>
      </c>
      <c r="HA1620" s="2">
        <v>2.5</v>
      </c>
      <c r="HB1620" s="2">
        <v>-0.5</v>
      </c>
      <c r="HC1620" s="2">
        <v>1.5</v>
      </c>
      <c r="HD1620" s="2">
        <v>0.6</v>
      </c>
      <c r="HE1620" s="2">
        <v>0.8</v>
      </c>
      <c r="HF1620" s="2">
        <v>-2.1</v>
      </c>
      <c r="HG1620" s="2">
        <v>1.3</v>
      </c>
      <c r="HH1620" s="2">
        <v>0.8</v>
      </c>
      <c r="HI1620" s="2">
        <v>-1.3</v>
      </c>
      <c r="HJ1620" s="2">
        <v>0.8</v>
      </c>
      <c r="HK1620" s="2">
        <v>0.9</v>
      </c>
      <c r="HL1620" s="2">
        <v>0.6</v>
      </c>
      <c r="HM1620" s="2">
        <v>3.9</v>
      </c>
      <c r="HN1620" s="2">
        <v>-2</v>
      </c>
      <c r="HO1620" s="2">
        <v>1.2</v>
      </c>
      <c r="HP1620" s="2">
        <v>0.2</v>
      </c>
      <c r="HQ1620" s="2">
        <v>-0.1</v>
      </c>
      <c r="HR1620" s="2">
        <v>-1.7</v>
      </c>
      <c r="HS1620" s="2">
        <v>2.6</v>
      </c>
      <c r="HT1620" s="2">
        <v>0.3</v>
      </c>
      <c r="HU1620" s="2">
        <v>-0.4</v>
      </c>
      <c r="HV1620" s="2">
        <v>-2.1</v>
      </c>
      <c r="HW1620" s="2">
        <v>0.4</v>
      </c>
      <c r="HX1620" s="2">
        <v>-0.6</v>
      </c>
      <c r="HY1620" s="2">
        <v>-0.3</v>
      </c>
      <c r="HZ1620" s="2">
        <v>0.5</v>
      </c>
      <c r="IA1620" s="2">
        <v>0.1</v>
      </c>
      <c r="IB1620" s="2">
        <v>-0.4</v>
      </c>
      <c r="IC1620" s="2">
        <v>2.5</v>
      </c>
      <c r="ID1620" s="2">
        <v>-1.6</v>
      </c>
      <c r="IE1620" s="2">
        <v>1.1</v>
      </c>
      <c r="IF1620" s="2">
        <v>0.5</v>
      </c>
      <c r="IG1620" s="2">
        <v>1.9</v>
      </c>
      <c r="IH1620" s="2">
        <v>2.6</v>
      </c>
      <c r="II1620" s="2">
        <v>1.4</v>
      </c>
      <c r="IJ1620" s="2">
        <v>0.9</v>
      </c>
      <c r="IK1620" s="2">
        <v>0.8</v>
      </c>
      <c r="IL1620" s="2">
        <v>-1.2</v>
      </c>
      <c r="IM1620" s="2">
        <v>0.6</v>
      </c>
      <c r="IN1620" s="2">
        <v>2.8</v>
      </c>
      <c r="IO1620" s="2">
        <v>1.5</v>
      </c>
      <c r="IP1620" s="2">
        <v>0.2</v>
      </c>
      <c r="IQ1620" s="2">
        <v>0.3</v>
      </c>
      <c r="IR1620" s="2">
        <v>2.8</v>
      </c>
      <c r="IS1620" s="2">
        <v>1.4</v>
      </c>
      <c r="IT1620" s="2">
        <v>-1.1</v>
      </c>
      <c r="IU1620" s="2">
        <v>1.9</v>
      </c>
      <c r="IV1620" s="2">
        <v>0</v>
      </c>
      <c r="IW1620" s="2">
        <v>0.4</v>
      </c>
      <c r="IX1620" s="2">
        <v>-1</v>
      </c>
      <c r="IY1620" s="2">
        <v>1.7</v>
      </c>
      <c r="IZ1620" s="2">
        <v>1</v>
      </c>
      <c r="JA1620" s="2">
        <v>0.8</v>
      </c>
      <c r="JB1620" s="2">
        <v>-0.5</v>
      </c>
      <c r="JC1620" s="2">
        <v>2.8</v>
      </c>
      <c r="JD1620" s="2">
        <v>-0.6</v>
      </c>
      <c r="JE1620" s="2">
        <v>0.3</v>
      </c>
      <c r="JF1620" s="2">
        <v>-2.8</v>
      </c>
      <c r="JG1620" s="2">
        <v>0.2</v>
      </c>
      <c r="JH1620" s="2">
        <v>2</v>
      </c>
      <c r="JI1620" s="2">
        <v>0.8</v>
      </c>
      <c r="JJ1620" s="2">
        <v>-0.1</v>
      </c>
      <c r="JK1620" s="2">
        <v>0.8</v>
      </c>
      <c r="JL1620" s="2">
        <v>-2.3</v>
      </c>
      <c r="JM1620" s="2">
        <v>0.3</v>
      </c>
      <c r="JN1620" s="2">
        <v>-1.8</v>
      </c>
      <c r="JO1620" s="2">
        <v>0.9</v>
      </c>
      <c r="JP1620" s="2">
        <v>-1.2</v>
      </c>
      <c r="JQ1620" s="2">
        <v>0.8</v>
      </c>
      <c r="JR1620" s="2">
        <v>-1.9</v>
      </c>
      <c r="JS1620" s="2">
        <v>1.7</v>
      </c>
      <c r="JT1620" s="2">
        <v>-1.5</v>
      </c>
      <c r="JU1620" s="2">
        <v>1.1</v>
      </c>
      <c r="JV1620" s="2">
        <v>-1.6</v>
      </c>
      <c r="KA1620" s="2">
        <v>1.5</v>
      </c>
      <c r="KB1620" s="2">
        <v>-2.4</v>
      </c>
      <c r="KC1620" s="2">
        <v>1.7</v>
      </c>
      <c r="KD1620" s="2">
        <v>0.2</v>
      </c>
      <c r="KQ1620" s="2">
        <v>1.3</v>
      </c>
      <c r="KR1620" s="2">
        <v>-1.8</v>
      </c>
      <c r="KS1620" s="2">
        <v>-0.4</v>
      </c>
      <c r="KT1620" s="2">
        <v>0.1</v>
      </c>
      <c r="LG1620" s="2">
        <v>1.5</v>
      </c>
      <c r="LH1620" s="2">
        <v>-1.7</v>
      </c>
      <c r="LI1620" s="2">
        <v>0.4</v>
      </c>
      <c r="LJ1620" s="2">
        <v>0.3</v>
      </c>
      <c r="LW1620" s="2">
        <v>2.6</v>
      </c>
      <c r="LX1620" s="2">
        <v>0.4</v>
      </c>
      <c r="LY1620" s="2">
        <v>-1.1</v>
      </c>
      <c r="LZ1620" s="2">
        <v>-0.3</v>
      </c>
      <c r="MM1620" s="2">
        <v>1.3</v>
      </c>
      <c r="MN1620" s="2">
        <v>-1.1</v>
      </c>
      <c r="MO1620" s="2">
        <v>1.3</v>
      </c>
      <c r="MP1620" s="2">
        <v>0.9</v>
      </c>
      <c r="NC1620" s="2">
        <v>4</v>
      </c>
      <c r="ND1620" s="2">
        <v>1.6</v>
      </c>
      <c r="NE1620" s="2">
        <v>2.7</v>
      </c>
      <c r="NF1620" s="2">
        <v>1.1</v>
      </c>
      <c r="NS1620" s="2">
        <v>3</v>
      </c>
      <c r="NT1620" s="2">
        <v>1</v>
      </c>
      <c r="NU1620" s="2">
        <v>0.7</v>
      </c>
      <c r="NV1620" s="2">
        <v>0.3</v>
      </c>
      <c r="OI1620" s="2">
        <v>1.5</v>
      </c>
      <c r="OJ1620" s="2">
        <v>-0.3</v>
      </c>
      <c r="OK1620" s="2">
        <v>-0.3</v>
      </c>
      <c r="OL1620" s="2">
        <v>0.5</v>
      </c>
      <c r="OY1620" s="2">
        <v>1.2</v>
      </c>
      <c r="OZ1620" s="2">
        <v>-0.8</v>
      </c>
      <c r="PA1620" s="2">
        <v>0.7</v>
      </c>
      <c r="PB1620" s="2">
        <v>0.6</v>
      </c>
      <c r="PJ1620" s="2">
        <v>0.5</v>
      </c>
      <c r="PK1620" s="2">
        <v>-0.4</v>
      </c>
    </row>
    <row r="1621">
      <c r="A1621" t="inlineStr">
        <is>
          <t>A2329540K</t>
        </is>
      </c>
      <c r="B1621" t="inlineStr">
        <is>
          <t>Percentage Change from Previous Period ;  Oils and fats ;  Australia ;</t>
        </is>
      </c>
      <c r="C1621" t="inlineStr">
        <is>
          <t>Quarter</t>
        </is>
      </c>
      <c r="D1621" t="inlineStr">
        <is>
          <t>Percent</t>
        </is>
      </c>
      <c r="E1621" t="inlineStr">
        <is>
          <t>Original</t>
        </is>
      </c>
      <c r="F1621" t="inlineStr">
        <is>
          <t>6401018.xlsx</t>
        </is>
      </c>
      <c r="G1621" t="inlineStr">
        <is>
          <t>1989Q4</t>
        </is>
      </c>
      <c r="H1621" t="inlineStr">
        <is>
          <t>2026Q2</t>
        </is>
      </c>
      <c r="FR1621" s="2">
        <v>3.6</v>
      </c>
      <c r="FS1621" s="2">
        <v>-0.4</v>
      </c>
      <c r="FT1621" s="2">
        <v>1.9</v>
      </c>
      <c r="FU1621" s="2">
        <v>0.8</v>
      </c>
      <c r="FV1621" s="2">
        <v>-0.1</v>
      </c>
      <c r="FW1621" s="2">
        <v>-0.3</v>
      </c>
      <c r="FX1621" s="2">
        <v>-0.2</v>
      </c>
      <c r="FY1621" s="2">
        <v>1.1</v>
      </c>
      <c r="FZ1621" s="2">
        <v>-2.9</v>
      </c>
      <c r="GA1621" s="2">
        <v>1.7</v>
      </c>
      <c r="GB1621" s="2">
        <v>-0.1</v>
      </c>
      <c r="GC1621" s="2">
        <v>0.9</v>
      </c>
      <c r="GD1621" s="2">
        <v>-0.3</v>
      </c>
      <c r="GE1621" s="2">
        <v>1.3</v>
      </c>
      <c r="GF1621" s="2">
        <v>-1.8</v>
      </c>
      <c r="GG1621" s="2">
        <v>2.2</v>
      </c>
      <c r="GH1621" s="2">
        <v>-1.1</v>
      </c>
      <c r="GI1621" s="2">
        <v>1.4</v>
      </c>
      <c r="GJ1621" s="2">
        <v>-0.2</v>
      </c>
      <c r="GK1621" s="2">
        <v>1.1</v>
      </c>
      <c r="GL1621" s="2">
        <v>1.3</v>
      </c>
      <c r="GM1621" s="2">
        <v>-0.3</v>
      </c>
      <c r="GN1621" s="2">
        <v>3.9</v>
      </c>
      <c r="GO1621" s="2">
        <v>2.9</v>
      </c>
      <c r="GP1621" s="2">
        <v>-1.4</v>
      </c>
      <c r="GQ1621" s="2">
        <v>1.7</v>
      </c>
      <c r="GR1621" s="2">
        <v>-1.5</v>
      </c>
      <c r="GS1621" s="2">
        <v>1.3</v>
      </c>
      <c r="GT1621" s="2">
        <v>-0.2</v>
      </c>
      <c r="GU1621" s="2">
        <v>0.2</v>
      </c>
      <c r="GV1621" s="2">
        <v>0.7</v>
      </c>
      <c r="GW1621" s="2">
        <v>-2.5</v>
      </c>
      <c r="GX1621" s="2">
        <v>-0.7</v>
      </c>
      <c r="GY1621" s="2">
        <v>2.1</v>
      </c>
      <c r="GZ1621" s="2">
        <v>0.6</v>
      </c>
      <c r="HA1621" s="2">
        <v>4.2</v>
      </c>
      <c r="HB1621" s="2">
        <v>-1.2</v>
      </c>
      <c r="HC1621" s="2">
        <v>0.3</v>
      </c>
      <c r="HD1621" s="2">
        <v>-1.1</v>
      </c>
      <c r="HE1621" s="2">
        <v>2.3</v>
      </c>
      <c r="HF1621" s="2">
        <v>-0.5</v>
      </c>
      <c r="HG1621" s="2">
        <v>0.8</v>
      </c>
      <c r="HH1621" s="2">
        <v>-0.6</v>
      </c>
      <c r="HI1621" s="2">
        <v>-1.7</v>
      </c>
      <c r="HJ1621" s="2">
        <v>1.2</v>
      </c>
      <c r="HK1621" s="2">
        <v>-0.5</v>
      </c>
      <c r="HL1621" s="2">
        <v>2.3</v>
      </c>
      <c r="HM1621" s="2">
        <v>0.8</v>
      </c>
      <c r="HN1621" s="2">
        <v>2.2</v>
      </c>
      <c r="HO1621" s="2">
        <v>3.7</v>
      </c>
      <c r="HP1621" s="2">
        <v>4.3</v>
      </c>
      <c r="HQ1621" s="2">
        <v>1.7</v>
      </c>
      <c r="HR1621" s="2">
        <v>-1.7</v>
      </c>
      <c r="HS1621" s="2">
        <v>1.4</v>
      </c>
      <c r="HT1621" s="2">
        <v>0.3</v>
      </c>
      <c r="HU1621" s="2">
        <v>0.7</v>
      </c>
      <c r="HV1621" s="2">
        <v>-0.5</v>
      </c>
      <c r="HW1621" s="2">
        <v>1.2</v>
      </c>
      <c r="HX1621" s="2">
        <v>-0.3</v>
      </c>
      <c r="HY1621" s="2">
        <v>1.7</v>
      </c>
      <c r="HZ1621" s="2">
        <v>0.8</v>
      </c>
      <c r="IA1621" s="2">
        <v>2.7</v>
      </c>
      <c r="IB1621" s="2">
        <v>1.8</v>
      </c>
      <c r="IC1621" s="2">
        <v>-0.4</v>
      </c>
      <c r="ID1621" s="2">
        <v>2.8</v>
      </c>
      <c r="IE1621" s="2">
        <v>1.8</v>
      </c>
      <c r="IF1621" s="2">
        <v>1.1</v>
      </c>
      <c r="IG1621" s="2">
        <v>4.1</v>
      </c>
      <c r="IH1621" s="2">
        <v>3.6</v>
      </c>
      <c r="II1621" s="2">
        <v>1.6</v>
      </c>
      <c r="IJ1621" s="2">
        <v>1</v>
      </c>
      <c r="IK1621" s="2">
        <v>-0.3</v>
      </c>
      <c r="IL1621" s="2">
        <v>0.8</v>
      </c>
      <c r="IM1621" s="2">
        <v>2.3</v>
      </c>
      <c r="IN1621" s="2">
        <v>5.2</v>
      </c>
      <c r="IO1621" s="2">
        <v>3</v>
      </c>
      <c r="IP1621" s="2">
        <v>-0.1</v>
      </c>
      <c r="IQ1621" s="2">
        <v>2.2</v>
      </c>
      <c r="IR1621" s="2">
        <v>0.8</v>
      </c>
      <c r="IS1621" s="2">
        <v>-1</v>
      </c>
      <c r="IT1621" s="2">
        <v>0.1</v>
      </c>
      <c r="IU1621" s="2">
        <v>0.1</v>
      </c>
      <c r="IV1621" s="2">
        <v>-0.7</v>
      </c>
      <c r="IW1621" s="2">
        <v>0</v>
      </c>
      <c r="IX1621" s="2">
        <v>0.4</v>
      </c>
      <c r="IY1621" s="2">
        <v>0.3</v>
      </c>
      <c r="IZ1621" s="2">
        <v>-3</v>
      </c>
      <c r="JA1621" s="2">
        <v>0.3</v>
      </c>
      <c r="JB1621" s="2">
        <v>1.4</v>
      </c>
      <c r="JC1621" s="2">
        <v>0.6</v>
      </c>
      <c r="JD1621" s="2">
        <v>-2</v>
      </c>
      <c r="JE1621" s="2">
        <v>-0.5</v>
      </c>
      <c r="JF1621" s="2">
        <v>0.5</v>
      </c>
      <c r="JG1621" s="2">
        <v>-0.7</v>
      </c>
      <c r="JH1621" s="2">
        <v>1.6</v>
      </c>
      <c r="JI1621" s="2">
        <v>0</v>
      </c>
      <c r="JJ1621" s="2">
        <v>-0.7</v>
      </c>
      <c r="JK1621" s="2">
        <v>0.9</v>
      </c>
      <c r="JL1621" s="2">
        <v>0.3</v>
      </c>
      <c r="JM1621" s="2">
        <v>-0.8</v>
      </c>
      <c r="JN1621" s="2">
        <v>-1</v>
      </c>
      <c r="JO1621" s="2">
        <v>2.3</v>
      </c>
      <c r="JP1621" s="2">
        <v>-0.1</v>
      </c>
      <c r="JQ1621" s="2">
        <v>-1.2</v>
      </c>
      <c r="JR1621" s="2">
        <v>-0.8</v>
      </c>
      <c r="JS1621" s="2">
        <v>1.7</v>
      </c>
      <c r="JT1621" s="2">
        <v>1.3</v>
      </c>
      <c r="JU1621" s="2">
        <v>0.1</v>
      </c>
      <c r="JV1621" s="2">
        <v>-0.3</v>
      </c>
      <c r="KA1621" s="2">
        <v>1.9</v>
      </c>
      <c r="KB1621" s="2">
        <v>2.5</v>
      </c>
      <c r="KC1621" s="2">
        <v>2.3</v>
      </c>
      <c r="KD1621" s="2">
        <v>4.4</v>
      </c>
      <c r="KQ1621" s="2">
        <v>0.3</v>
      </c>
      <c r="KR1621" s="2">
        <v>-0.2</v>
      </c>
      <c r="KS1621" s="2">
        <v>0.9</v>
      </c>
      <c r="KT1621" s="2">
        <v>1.7</v>
      </c>
      <c r="LG1621" s="2">
        <v>-0.6</v>
      </c>
      <c r="LH1621" s="2">
        <v>-0.6</v>
      </c>
      <c r="LI1621" s="2">
        <v>0.3</v>
      </c>
      <c r="LJ1621" s="2">
        <v>0.3</v>
      </c>
      <c r="LW1621" s="2">
        <v>1.4</v>
      </c>
      <c r="LX1621" s="2">
        <v>1.5</v>
      </c>
      <c r="LY1621" s="2">
        <v>-2.1</v>
      </c>
      <c r="LZ1621" s="2">
        <v>-0.3</v>
      </c>
      <c r="MM1621" s="2">
        <v>1.7</v>
      </c>
      <c r="MN1621" s="2">
        <v>0</v>
      </c>
      <c r="MO1621" s="2">
        <v>2.8</v>
      </c>
      <c r="MP1621" s="2">
        <v>0.8</v>
      </c>
      <c r="NC1621" s="2">
        <v>4.7</v>
      </c>
      <c r="ND1621" s="2">
        <v>5.1</v>
      </c>
      <c r="NE1621" s="2">
        <v>7.5</v>
      </c>
      <c r="NF1621" s="2">
        <v>2.2</v>
      </c>
      <c r="NS1621" s="2">
        <v>3.2</v>
      </c>
      <c r="NT1621" s="2">
        <v>1</v>
      </c>
      <c r="NU1621" s="2">
        <v>2.7</v>
      </c>
      <c r="NV1621" s="2">
        <v>1.3</v>
      </c>
      <c r="OI1621" s="2">
        <v>2.4</v>
      </c>
      <c r="OJ1621" s="2">
        <v>4.8</v>
      </c>
      <c r="OK1621" s="2">
        <v>0.7</v>
      </c>
      <c r="OL1621" s="2">
        <v>-0.4</v>
      </c>
      <c r="OY1621" s="2">
        <v>0.3</v>
      </c>
      <c r="OZ1621" s="2">
        <v>-0.7</v>
      </c>
      <c r="PA1621" s="2">
        <v>0</v>
      </c>
      <c r="PB1621" s="2">
        <v>-1.5</v>
      </c>
      <c r="PJ1621" s="2">
        <v>1.1</v>
      </c>
      <c r="PK1621" s="2">
        <v>1</v>
      </c>
    </row>
    <row r="1622">
      <c r="A1622" t="inlineStr">
        <is>
          <t>A2331745F</t>
        </is>
      </c>
      <c r="B1622" t="inlineStr">
        <is>
          <t>Percentage Change from Previous Period ;  Snacks and confectionery ;  Australia ;</t>
        </is>
      </c>
      <c r="C1622" t="inlineStr">
        <is>
          <t>Quarter</t>
        </is>
      </c>
      <c r="D1622" t="inlineStr">
        <is>
          <t>Percent</t>
        </is>
      </c>
      <c r="E1622" t="inlineStr">
        <is>
          <t>Original</t>
        </is>
      </c>
      <c r="F1622" t="inlineStr">
        <is>
          <t>6401018.xlsx</t>
        </is>
      </c>
      <c r="G1622" t="inlineStr">
        <is>
          <t>1989Q4</t>
        </is>
      </c>
      <c r="H1622" t="inlineStr">
        <is>
          <t>2026Q2</t>
        </is>
      </c>
      <c r="FR1622" s="2">
        <v>2.4</v>
      </c>
      <c r="FS1622" s="2">
        <v>2.9</v>
      </c>
      <c r="FT1622" s="2">
        <v>1</v>
      </c>
      <c r="FU1622" s="2">
        <v>1.8</v>
      </c>
      <c r="FV1622" s="2">
        <v>1.1</v>
      </c>
      <c r="FW1622" s="2">
        <v>0.7</v>
      </c>
      <c r="FX1622" s="2">
        <v>1.8</v>
      </c>
      <c r="FY1622" s="2">
        <v>0.5</v>
      </c>
      <c r="FZ1622" s="2">
        <v>1.5</v>
      </c>
      <c r="GA1622" s="2">
        <v>0.4</v>
      </c>
      <c r="GB1622" s="2">
        <v>1.9</v>
      </c>
      <c r="GC1622" s="2">
        <v>0.8</v>
      </c>
      <c r="GD1622" s="2">
        <v>1</v>
      </c>
      <c r="GE1622" s="2">
        <v>0.5</v>
      </c>
      <c r="GF1622" s="2">
        <v>1.4</v>
      </c>
      <c r="GG1622" s="2">
        <v>0.8</v>
      </c>
      <c r="GH1622" s="2">
        <v>1.6</v>
      </c>
      <c r="GI1622" s="2">
        <v>1.1</v>
      </c>
      <c r="GJ1622" s="2">
        <v>0.3</v>
      </c>
      <c r="GK1622" s="2">
        <v>0.8</v>
      </c>
      <c r="GL1622" s="2">
        <v>0.5</v>
      </c>
      <c r="GM1622" s="2">
        <v>1.5</v>
      </c>
      <c r="GN1622" s="2">
        <v>0.1</v>
      </c>
      <c r="GO1622" s="2">
        <v>1.8</v>
      </c>
      <c r="GP1622" s="2">
        <v>1.3</v>
      </c>
      <c r="GQ1622" s="2">
        <v>0.5</v>
      </c>
      <c r="GR1622" s="2">
        <v>0.8</v>
      </c>
      <c r="GS1622" s="2">
        <v>1.1</v>
      </c>
      <c r="GT1622" s="2">
        <v>0.2</v>
      </c>
      <c r="GU1622" s="2">
        <v>1.6</v>
      </c>
      <c r="GV1622" s="2">
        <v>1</v>
      </c>
      <c r="GW1622" s="2">
        <v>1.6</v>
      </c>
      <c r="GX1622" s="2">
        <v>1.7</v>
      </c>
      <c r="GY1622" s="2">
        <v>0.3</v>
      </c>
      <c r="GZ1622" s="2">
        <v>0.4</v>
      </c>
      <c r="HA1622" s="2">
        <v>1.3</v>
      </c>
      <c r="HB1622" s="2">
        <v>0.2</v>
      </c>
      <c r="HC1622" s="2">
        <v>0.6</v>
      </c>
      <c r="HD1622" s="2">
        <v>1.9</v>
      </c>
      <c r="HE1622" s="2">
        <v>0.4</v>
      </c>
      <c r="HF1622" s="2">
        <v>0.9</v>
      </c>
      <c r="HG1622" s="2">
        <v>0.7</v>
      </c>
      <c r="HH1622" s="2">
        <v>0.5</v>
      </c>
      <c r="HI1622" s="2">
        <v>0.1</v>
      </c>
      <c r="HJ1622" s="2">
        <v>1.4</v>
      </c>
      <c r="HK1622" s="2">
        <v>0.8</v>
      </c>
      <c r="HL1622" s="2">
        <v>0.9</v>
      </c>
      <c r="HM1622" s="2">
        <v>0.2</v>
      </c>
      <c r="HN1622" s="2">
        <v>1.7</v>
      </c>
      <c r="HO1622" s="2">
        <v>0.3</v>
      </c>
      <c r="HP1622" s="2">
        <v>1.2</v>
      </c>
      <c r="HQ1622" s="2">
        <v>0.7</v>
      </c>
      <c r="HR1622" s="2">
        <v>1.6</v>
      </c>
      <c r="HS1622" s="2">
        <v>4.1</v>
      </c>
      <c r="HT1622" s="2">
        <v>-0.6</v>
      </c>
      <c r="HU1622" s="2">
        <v>1.4</v>
      </c>
      <c r="HV1622" s="2">
        <v>-0.3</v>
      </c>
      <c r="HW1622" s="2">
        <v>0.9</v>
      </c>
      <c r="HX1622" s="2">
        <v>0.3</v>
      </c>
      <c r="HY1622" s="2">
        <v>0.5</v>
      </c>
      <c r="HZ1622" s="2">
        <v>0</v>
      </c>
      <c r="IA1622" s="2">
        <v>2.8</v>
      </c>
      <c r="IB1622" s="2">
        <v>1.2</v>
      </c>
      <c r="IC1622" s="2">
        <v>0.8</v>
      </c>
      <c r="ID1622" s="2">
        <v>0.9</v>
      </c>
      <c r="IE1622" s="2">
        <v>1</v>
      </c>
      <c r="IF1622" s="2">
        <v>2.1</v>
      </c>
      <c r="IG1622" s="2">
        <v>0.8</v>
      </c>
      <c r="IH1622" s="2">
        <v>0</v>
      </c>
      <c r="II1622" s="2">
        <v>1.9</v>
      </c>
      <c r="IJ1622" s="2">
        <v>0.1</v>
      </c>
      <c r="IK1622" s="2">
        <v>0.5</v>
      </c>
      <c r="IL1622" s="2">
        <v>2</v>
      </c>
      <c r="IM1622" s="2">
        <v>1.7</v>
      </c>
      <c r="IN1622" s="2">
        <v>1.1</v>
      </c>
      <c r="IO1622" s="2">
        <v>0.1</v>
      </c>
      <c r="IP1622" s="2">
        <v>2.2</v>
      </c>
      <c r="IQ1622" s="2">
        <v>2.4</v>
      </c>
      <c r="IR1622" s="2">
        <v>0.4</v>
      </c>
      <c r="IS1622" s="2">
        <v>-0.8</v>
      </c>
      <c r="IT1622" s="2">
        <v>1.1</v>
      </c>
      <c r="IU1622" s="2">
        <v>1</v>
      </c>
      <c r="IV1622" s="2">
        <v>0.9</v>
      </c>
      <c r="IW1622" s="2">
        <v>0</v>
      </c>
      <c r="IX1622" s="2">
        <v>0.3</v>
      </c>
      <c r="IY1622" s="2">
        <v>1.1</v>
      </c>
      <c r="IZ1622" s="2">
        <v>1.4</v>
      </c>
      <c r="JA1622" s="2">
        <v>-0.3</v>
      </c>
      <c r="JB1622" s="2">
        <v>-1.8</v>
      </c>
      <c r="JC1622" s="2">
        <v>-0.6</v>
      </c>
      <c r="JD1622" s="2">
        <v>3.2</v>
      </c>
      <c r="JE1622" s="2">
        <v>0.1</v>
      </c>
      <c r="JF1622" s="2">
        <v>0.2</v>
      </c>
      <c r="JG1622" s="2">
        <v>-0.2</v>
      </c>
      <c r="JH1622" s="2">
        <v>-0.2</v>
      </c>
      <c r="JI1622" s="2">
        <v>0.2</v>
      </c>
      <c r="JJ1622" s="2">
        <v>2.1</v>
      </c>
      <c r="JK1622" s="2">
        <v>-1.9</v>
      </c>
      <c r="JL1622" s="2">
        <v>1.4</v>
      </c>
      <c r="JM1622" s="2">
        <v>-0.6</v>
      </c>
      <c r="JN1622" s="2">
        <v>0.3</v>
      </c>
      <c r="JO1622" s="2">
        <v>1.4</v>
      </c>
      <c r="JP1622" s="2">
        <v>-0.5</v>
      </c>
      <c r="JQ1622" s="2">
        <v>-0.7</v>
      </c>
      <c r="JR1622" s="2">
        <v>0.5</v>
      </c>
      <c r="JS1622" s="2">
        <v>1.7</v>
      </c>
      <c r="JT1622" s="2">
        <v>-3</v>
      </c>
      <c r="JU1622" s="2">
        <v>-0.3</v>
      </c>
      <c r="JV1622" s="2">
        <v>1.2</v>
      </c>
      <c r="KA1622" s="2">
        <v>1</v>
      </c>
      <c r="KB1622" s="2">
        <v>-1.3</v>
      </c>
      <c r="KC1622" s="2">
        <v>-0.7</v>
      </c>
      <c r="KD1622" s="2">
        <v>-0.9</v>
      </c>
      <c r="KQ1622" s="2">
        <v>0.5</v>
      </c>
      <c r="KR1622" s="2">
        <v>-1.1</v>
      </c>
      <c r="KS1622" s="2">
        <v>0.1</v>
      </c>
      <c r="KT1622" s="2">
        <v>-0.2</v>
      </c>
      <c r="LG1622" s="2">
        <v>0.9</v>
      </c>
      <c r="LH1622" s="2">
        <v>-0.5</v>
      </c>
      <c r="LI1622" s="2">
        <v>-0.2</v>
      </c>
      <c r="LJ1622" s="2">
        <v>1</v>
      </c>
      <c r="LW1622" s="2">
        <v>2.5</v>
      </c>
      <c r="LX1622" s="2">
        <v>0</v>
      </c>
      <c r="LY1622" s="2">
        <v>-0.8</v>
      </c>
      <c r="LZ1622" s="2">
        <v>0.1</v>
      </c>
      <c r="MM1622" s="2">
        <v>0.6</v>
      </c>
      <c r="MN1622" s="2">
        <v>-1</v>
      </c>
      <c r="MO1622" s="2">
        <v>0.1</v>
      </c>
      <c r="MP1622" s="2">
        <v>1.1</v>
      </c>
      <c r="NC1622" s="2">
        <v>2.9</v>
      </c>
      <c r="ND1622" s="2">
        <v>0.2</v>
      </c>
      <c r="NE1622" s="2">
        <v>3.4</v>
      </c>
      <c r="NF1622" s="2">
        <v>2.6</v>
      </c>
      <c r="NS1622" s="2">
        <v>4.1</v>
      </c>
      <c r="NT1622" s="2">
        <v>1</v>
      </c>
      <c r="NU1622" s="2">
        <v>-0.6</v>
      </c>
      <c r="NV1622" s="2">
        <v>2.2</v>
      </c>
      <c r="OI1622" s="2">
        <v>3.2</v>
      </c>
      <c r="OJ1622" s="2">
        <v>-0.3</v>
      </c>
      <c r="OK1622" s="2">
        <v>0</v>
      </c>
      <c r="OL1622" s="2">
        <v>0.6</v>
      </c>
      <c r="OY1622" s="2">
        <v>3</v>
      </c>
      <c r="OZ1622" s="2">
        <v>1.7</v>
      </c>
      <c r="PA1622" s="2">
        <v>1.3</v>
      </c>
      <c r="PB1622" s="2">
        <v>0.8</v>
      </c>
      <c r="PJ1622" s="2">
        <v>2</v>
      </c>
      <c r="PK1622" s="2">
        <v>-1</v>
      </c>
    </row>
    <row r="1623">
      <c r="A1623" t="inlineStr">
        <is>
          <t>A2327785W</t>
        </is>
      </c>
      <c r="B1623" t="inlineStr">
        <is>
          <t>Percentage Change from Previous Period ;  Other food products n.e.c. ;  Australia ;</t>
        </is>
      </c>
      <c r="C1623" t="inlineStr">
        <is>
          <t>Quarter</t>
        </is>
      </c>
      <c r="D1623" t="inlineStr">
        <is>
          <t>Percent</t>
        </is>
      </c>
      <c r="E1623" t="inlineStr">
        <is>
          <t>Original</t>
        </is>
      </c>
      <c r="F1623" t="inlineStr">
        <is>
          <t>6401018.xlsx</t>
        </is>
      </c>
      <c r="G1623" t="inlineStr">
        <is>
          <t>1980Q4</t>
        </is>
      </c>
      <c r="H1623" t="inlineStr">
        <is>
          <t>2026Q2</t>
        </is>
      </c>
      <c r="EH1623" s="2">
        <v>4.6</v>
      </c>
      <c r="EI1623" s="2">
        <v>1.6</v>
      </c>
      <c r="EJ1623" s="2">
        <v>0.8</v>
      </c>
      <c r="EK1623" s="2">
        <v>4.3</v>
      </c>
      <c r="EL1623" s="2">
        <v>6</v>
      </c>
      <c r="EM1623" s="2">
        <v>4.1</v>
      </c>
      <c r="EN1623" s="2">
        <v>-0.2</v>
      </c>
      <c r="EO1623" s="2">
        <v>4.4</v>
      </c>
      <c r="EP1623" s="2">
        <v>4.1</v>
      </c>
      <c r="EQ1623" s="2">
        <v>2.5</v>
      </c>
      <c r="ER1623" s="2">
        <v>0.2</v>
      </c>
      <c r="ES1623" s="2">
        <v>-0.4</v>
      </c>
      <c r="ET1623" s="2">
        <v>2.6</v>
      </c>
      <c r="EU1623" s="2">
        <v>-0.3</v>
      </c>
      <c r="EV1623" s="2">
        <v>0.8</v>
      </c>
      <c r="EW1623" s="2">
        <v>0</v>
      </c>
      <c r="EX1623" s="2">
        <v>3</v>
      </c>
      <c r="EY1623" s="2">
        <v>1.3</v>
      </c>
      <c r="EZ1623" s="2">
        <v>0.9</v>
      </c>
      <c r="FA1623" s="2">
        <v>2.8</v>
      </c>
      <c r="FB1623" s="2">
        <v>3.3</v>
      </c>
      <c r="FC1623" s="2">
        <v>3.1</v>
      </c>
      <c r="FD1623" s="2">
        <v>1.3</v>
      </c>
      <c r="FE1623" s="2">
        <v>1.2</v>
      </c>
      <c r="FF1623" s="2">
        <v>3.1</v>
      </c>
      <c r="FG1623" s="2">
        <v>2.3</v>
      </c>
      <c r="FH1623" s="2">
        <v>-0.2</v>
      </c>
      <c r="FI1623" s="2">
        <v>3.1</v>
      </c>
      <c r="FJ1623" s="2">
        <v>0.5</v>
      </c>
      <c r="FK1623" s="2">
        <v>-0.9</v>
      </c>
      <c r="FL1623" s="2">
        <v>1.1</v>
      </c>
      <c r="FM1623" s="2">
        <v>3.2</v>
      </c>
      <c r="FN1623" s="2">
        <v>3</v>
      </c>
      <c r="FO1623" s="2">
        <v>2.7</v>
      </c>
      <c r="FP1623" s="2">
        <v>-0.7</v>
      </c>
      <c r="FQ1623" s="2">
        <v>2.7</v>
      </c>
      <c r="FR1623" s="2">
        <v>4.4</v>
      </c>
      <c r="FS1623" s="2">
        <v>0.1</v>
      </c>
      <c r="FT1623" s="2">
        <v>0.5</v>
      </c>
      <c r="FU1623" s="2">
        <v>1.5</v>
      </c>
      <c r="FV1623" s="2">
        <v>3.5</v>
      </c>
      <c r="FW1623" s="2">
        <v>1.6</v>
      </c>
      <c r="FX1623" s="2">
        <v>1.1</v>
      </c>
      <c r="FY1623" s="2">
        <v>-0.5</v>
      </c>
      <c r="FZ1623" s="2">
        <v>0.3</v>
      </c>
      <c r="GA1623" s="2">
        <v>1.2</v>
      </c>
      <c r="GB1623" s="2">
        <v>0.2</v>
      </c>
      <c r="GC1623" s="2">
        <v>1</v>
      </c>
      <c r="GD1623" s="2">
        <v>2</v>
      </c>
      <c r="GE1623" s="2">
        <v>-0.7</v>
      </c>
      <c r="GF1623" s="2">
        <v>-1.1</v>
      </c>
      <c r="GG1623" s="2">
        <v>-0.8</v>
      </c>
      <c r="GH1623" s="2">
        <v>2.2</v>
      </c>
      <c r="GI1623" s="2">
        <v>0.4</v>
      </c>
      <c r="GJ1623" s="2">
        <v>-1.4</v>
      </c>
      <c r="GK1623" s="2">
        <v>-0.4</v>
      </c>
      <c r="GL1623" s="2">
        <v>1.1</v>
      </c>
      <c r="GM1623" s="2">
        <v>1.4</v>
      </c>
      <c r="GN1623" s="2">
        <v>-2.4</v>
      </c>
      <c r="GO1623" s="2">
        <v>2.2</v>
      </c>
      <c r="GP1623" s="2">
        <v>1.2</v>
      </c>
      <c r="GQ1623" s="2">
        <v>0.4</v>
      </c>
      <c r="GR1623" s="2">
        <v>2.5</v>
      </c>
      <c r="GS1623" s="2">
        <v>-0.6</v>
      </c>
      <c r="GT1623" s="2">
        <v>0.5</v>
      </c>
      <c r="GU1623" s="2">
        <v>0.5</v>
      </c>
      <c r="GV1623" s="2">
        <v>0.4</v>
      </c>
      <c r="GW1623" s="2">
        <v>0.4</v>
      </c>
      <c r="GX1623" s="2">
        <v>0.8</v>
      </c>
      <c r="GY1623" s="2">
        <v>0.1</v>
      </c>
      <c r="GZ1623" s="2">
        <v>0</v>
      </c>
      <c r="HA1623" s="2">
        <v>-1.5</v>
      </c>
      <c r="HB1623" s="2">
        <v>2.8</v>
      </c>
      <c r="HC1623" s="2">
        <v>0.3</v>
      </c>
      <c r="HD1623" s="2">
        <v>0.4</v>
      </c>
      <c r="HE1623" s="2">
        <v>2.4</v>
      </c>
      <c r="HF1623" s="2">
        <v>1.8</v>
      </c>
      <c r="HG1623" s="2">
        <v>-2.7</v>
      </c>
      <c r="HH1623" s="2">
        <v>-0.1</v>
      </c>
      <c r="HI1623" s="2">
        <v>1.4</v>
      </c>
      <c r="HJ1623" s="2">
        <v>2.9</v>
      </c>
      <c r="HK1623" s="2">
        <v>-0.1</v>
      </c>
      <c r="HL1623" s="2">
        <v>2</v>
      </c>
      <c r="HM1623" s="2">
        <v>-0.1</v>
      </c>
      <c r="HN1623" s="2">
        <v>3.6</v>
      </c>
      <c r="HO1623" s="2">
        <v>0.8</v>
      </c>
      <c r="HP1623" s="2">
        <v>0.4</v>
      </c>
      <c r="HQ1623" s="2">
        <v>-0.4</v>
      </c>
      <c r="HR1623" s="2">
        <v>0.8</v>
      </c>
      <c r="HS1623" s="2">
        <v>0.4</v>
      </c>
      <c r="HT1623" s="2">
        <v>-1</v>
      </c>
      <c r="HU1623" s="2">
        <v>-0.1</v>
      </c>
      <c r="HV1623" s="2">
        <v>0.4</v>
      </c>
      <c r="HW1623" s="2">
        <v>3.2</v>
      </c>
      <c r="HX1623" s="2">
        <v>-0.6</v>
      </c>
      <c r="HY1623" s="2">
        <v>-1.7</v>
      </c>
      <c r="HZ1623" s="2">
        <v>2.1</v>
      </c>
      <c r="IA1623" s="2">
        <v>1.1</v>
      </c>
      <c r="IB1623" s="2">
        <v>-0.5</v>
      </c>
      <c r="IC1623" s="2">
        <v>0</v>
      </c>
      <c r="ID1623" s="2">
        <v>1.9</v>
      </c>
      <c r="IE1623" s="2">
        <v>2.5</v>
      </c>
      <c r="IF1623" s="2">
        <v>-1.7</v>
      </c>
      <c r="IG1623" s="2">
        <v>2</v>
      </c>
      <c r="IH1623" s="2">
        <v>0.6</v>
      </c>
      <c r="II1623" s="2">
        <v>1.8</v>
      </c>
      <c r="IJ1623" s="2">
        <v>-0.5</v>
      </c>
      <c r="IK1623" s="2">
        <v>-1.2</v>
      </c>
      <c r="IL1623" s="2">
        <v>3.9</v>
      </c>
      <c r="IM1623" s="2">
        <v>1.9</v>
      </c>
      <c r="IN1623" s="2">
        <v>0.6</v>
      </c>
      <c r="IO1623" s="2">
        <v>0.1</v>
      </c>
      <c r="IP1623" s="2">
        <v>3</v>
      </c>
      <c r="IQ1623" s="2">
        <v>2.8</v>
      </c>
      <c r="IR1623" s="2">
        <v>-1.9</v>
      </c>
      <c r="IS1623" s="2">
        <v>0.2</v>
      </c>
      <c r="IT1623" s="2">
        <v>2.6</v>
      </c>
      <c r="IU1623" s="2">
        <v>-0.6</v>
      </c>
      <c r="IV1623" s="2">
        <v>-0.9</v>
      </c>
      <c r="IW1623" s="2">
        <v>-1.2</v>
      </c>
      <c r="IX1623" s="2">
        <v>-0.1</v>
      </c>
      <c r="IY1623" s="2">
        <v>1.6</v>
      </c>
      <c r="IZ1623" s="2">
        <v>-2.3</v>
      </c>
      <c r="JA1623" s="2">
        <v>0.4</v>
      </c>
      <c r="JB1623" s="2">
        <v>2.3</v>
      </c>
      <c r="JC1623" s="2">
        <v>0.4</v>
      </c>
      <c r="JD1623" s="2">
        <v>-2.6</v>
      </c>
      <c r="JE1623" s="2">
        <v>1.6</v>
      </c>
      <c r="JF1623" s="2">
        <v>0.1</v>
      </c>
      <c r="JG1623" s="2">
        <v>0.2</v>
      </c>
      <c r="JH1623" s="2">
        <v>-2.7</v>
      </c>
      <c r="JI1623" s="2">
        <v>1.3</v>
      </c>
      <c r="JJ1623" s="2">
        <v>1.8</v>
      </c>
      <c r="JK1623" s="2">
        <v>0.4</v>
      </c>
      <c r="JL1623" s="2">
        <v>-3.8</v>
      </c>
      <c r="JM1623" s="2">
        <v>0.5</v>
      </c>
      <c r="JN1623" s="2">
        <v>4</v>
      </c>
      <c r="JO1623" s="2">
        <v>-0.7</v>
      </c>
      <c r="JP1623" s="2">
        <v>-3.9</v>
      </c>
      <c r="JQ1623" s="2">
        <v>0.1</v>
      </c>
      <c r="JR1623" s="2">
        <v>3.4</v>
      </c>
      <c r="JS1623" s="2">
        <v>0.4</v>
      </c>
      <c r="JT1623" s="2">
        <v>-6.6</v>
      </c>
      <c r="JU1623" s="2">
        <v>1.4</v>
      </c>
      <c r="JV1623" s="2">
        <v>5.4</v>
      </c>
      <c r="KA1623" s="2">
        <v>-4.2</v>
      </c>
      <c r="KB1623" s="2">
        <v>-0.9</v>
      </c>
      <c r="KC1623" s="2">
        <v>0.5</v>
      </c>
      <c r="KD1623" s="2">
        <v>1.1</v>
      </c>
      <c r="KQ1623" s="2">
        <v>-0.7</v>
      </c>
      <c r="KR1623" s="2">
        <v>-2.2</v>
      </c>
      <c r="KS1623" s="2">
        <v>0.2</v>
      </c>
      <c r="KT1623" s="2">
        <v>1.8</v>
      </c>
      <c r="LG1623" s="2">
        <v>-0.7</v>
      </c>
      <c r="LH1623" s="2">
        <v>-2</v>
      </c>
      <c r="LI1623" s="2">
        <v>0.8</v>
      </c>
      <c r="LJ1623" s="2">
        <v>2.7</v>
      </c>
      <c r="LW1623" s="2">
        <v>2.5</v>
      </c>
      <c r="LX1623" s="2">
        <v>2.7</v>
      </c>
      <c r="LY1623" s="2">
        <v>-3.5</v>
      </c>
      <c r="LZ1623" s="2">
        <v>2</v>
      </c>
      <c r="MM1623" s="2">
        <v>-0.7</v>
      </c>
      <c r="MN1623" s="2">
        <v>-1</v>
      </c>
      <c r="MO1623" s="2">
        <v>1.2</v>
      </c>
      <c r="MP1623" s="2">
        <v>2.4</v>
      </c>
      <c r="NC1623" s="2">
        <v>2.1</v>
      </c>
      <c r="ND1623" s="2">
        <v>0.3</v>
      </c>
      <c r="NE1623" s="2">
        <v>3.5</v>
      </c>
      <c r="NF1623" s="2">
        <v>4.8</v>
      </c>
      <c r="NS1623" s="2">
        <v>2.4</v>
      </c>
      <c r="NT1623" s="2">
        <v>1.3</v>
      </c>
      <c r="NU1623" s="2">
        <v>-0.5</v>
      </c>
      <c r="NV1623" s="2">
        <v>2.2</v>
      </c>
      <c r="OI1623" s="2">
        <v>0.4</v>
      </c>
      <c r="OJ1623" s="2">
        <v>-2</v>
      </c>
      <c r="OK1623" s="2">
        <v>0.7</v>
      </c>
      <c r="OL1623" s="2">
        <v>1.7</v>
      </c>
      <c r="OY1623" s="2">
        <v>0.3</v>
      </c>
      <c r="OZ1623" s="2">
        <v>-1.6</v>
      </c>
      <c r="PA1623" s="2">
        <v>0.5</v>
      </c>
      <c r="PB1623" s="2">
        <v>1.8</v>
      </c>
      <c r="PJ1623" s="2">
        <v>0.1</v>
      </c>
      <c r="PK1623" s="2">
        <v>-1.2</v>
      </c>
    </row>
    <row r="1624">
      <c r="A1624" t="inlineStr">
        <is>
          <t>A3604422W</t>
        </is>
      </c>
      <c r="B1624" t="inlineStr">
        <is>
          <t>Percentage Change from Previous Period ;  Non-alcoholic beverages ;  Australia ;</t>
        </is>
      </c>
      <c r="C1624" t="inlineStr">
        <is>
          <t>Quarter</t>
        </is>
      </c>
      <c r="D1624" t="inlineStr">
        <is>
          <t>Percent</t>
        </is>
      </c>
      <c r="E1624" t="inlineStr">
        <is>
          <t>Original</t>
        </is>
      </c>
      <c r="F1624" t="inlineStr">
        <is>
          <t>6401018.xlsx</t>
        </is>
      </c>
      <c r="G1624" t="inlineStr">
        <is>
          <t>1989Q4</t>
        </is>
      </c>
      <c r="H1624" t="inlineStr">
        <is>
          <t>2026Q2</t>
        </is>
      </c>
      <c r="FR1624" s="2">
        <v>2.4</v>
      </c>
      <c r="FS1624" s="2">
        <v>1.3</v>
      </c>
      <c r="FT1624" s="2">
        <v>3.2</v>
      </c>
      <c r="FU1624" s="2">
        <v>-0.3</v>
      </c>
      <c r="FV1624" s="2">
        <v>1.4</v>
      </c>
      <c r="FW1624" s="2">
        <v>1.8</v>
      </c>
      <c r="FX1624" s="2">
        <v>2.7</v>
      </c>
      <c r="FY1624" s="2">
        <v>0.1</v>
      </c>
      <c r="FZ1624" s="2">
        <v>0.8</v>
      </c>
      <c r="GA1624" s="2">
        <v>2.8</v>
      </c>
      <c r="GB1624" s="2">
        <v>1.1</v>
      </c>
      <c r="GC1624" s="2">
        <v>0.3</v>
      </c>
      <c r="GD1624" s="2">
        <v>-0.3</v>
      </c>
      <c r="GE1624" s="2">
        <v>0.3</v>
      </c>
      <c r="GF1624" s="2">
        <v>0</v>
      </c>
      <c r="GG1624" s="2">
        <v>0.3</v>
      </c>
      <c r="GH1624" s="2">
        <v>0.3</v>
      </c>
      <c r="GI1624" s="2">
        <v>0.5</v>
      </c>
      <c r="GJ1624" s="2">
        <v>0.3</v>
      </c>
      <c r="GK1624" s="2">
        <v>0.4</v>
      </c>
      <c r="GL1624" s="2">
        <v>-1.2</v>
      </c>
      <c r="GM1624" s="2">
        <v>0.1</v>
      </c>
      <c r="GN1624" s="2">
        <v>2</v>
      </c>
      <c r="GO1624" s="2">
        <v>2.4</v>
      </c>
      <c r="GP1624" s="2">
        <v>-0.1</v>
      </c>
      <c r="GQ1624" s="2">
        <v>0.7</v>
      </c>
      <c r="GR1624" s="2">
        <v>0.5</v>
      </c>
      <c r="GS1624" s="2">
        <v>1</v>
      </c>
      <c r="GT1624" s="2">
        <v>0.1</v>
      </c>
      <c r="GU1624" s="2">
        <v>0.6</v>
      </c>
      <c r="GV1624" s="2">
        <v>1.1</v>
      </c>
      <c r="GW1624" s="2">
        <v>0.3</v>
      </c>
      <c r="GX1624" s="2">
        <v>1.5</v>
      </c>
      <c r="GY1624" s="2">
        <v>0.9</v>
      </c>
      <c r="GZ1624" s="2">
        <v>0.3</v>
      </c>
      <c r="HA1624" s="2">
        <v>1.9</v>
      </c>
      <c r="HB1624" s="2">
        <v>-0.8</v>
      </c>
      <c r="HC1624" s="2">
        <v>0.6</v>
      </c>
      <c r="HD1624" s="2">
        <v>-0.5</v>
      </c>
      <c r="HE1624" s="2">
        <v>0</v>
      </c>
      <c r="HF1624" s="2">
        <v>0</v>
      </c>
      <c r="HG1624" s="2">
        <v>-0.5</v>
      </c>
      <c r="HH1624" s="2">
        <v>1.1</v>
      </c>
      <c r="HI1624" s="2">
        <v>-3</v>
      </c>
      <c r="HJ1624" s="2">
        <v>-1.7</v>
      </c>
      <c r="HK1624" s="2">
        <v>3.1</v>
      </c>
      <c r="HL1624" s="2">
        <v>2.6</v>
      </c>
      <c r="HM1624" s="2">
        <v>-1.9</v>
      </c>
      <c r="HN1624" s="2">
        <v>1.5</v>
      </c>
      <c r="HO1624" s="2">
        <v>-1.2</v>
      </c>
      <c r="HP1624" s="2">
        <v>0.3</v>
      </c>
      <c r="HQ1624" s="2">
        <v>2.3</v>
      </c>
      <c r="HR1624" s="2">
        <v>0.4</v>
      </c>
      <c r="HS1624" s="2">
        <v>-0.2</v>
      </c>
      <c r="HT1624" s="2">
        <v>1.3</v>
      </c>
      <c r="HU1624" s="2">
        <v>-1.5</v>
      </c>
      <c r="HV1624" s="2">
        <v>0.4</v>
      </c>
      <c r="HW1624" s="2">
        <v>0.5</v>
      </c>
      <c r="HX1624" s="2">
        <v>0.8</v>
      </c>
      <c r="HY1624" s="2">
        <v>0.7</v>
      </c>
      <c r="HZ1624" s="2">
        <v>0.8</v>
      </c>
      <c r="IA1624" s="2">
        <v>-0.1</v>
      </c>
      <c r="IB1624" s="2">
        <v>1.7</v>
      </c>
      <c r="IC1624" s="2">
        <v>0.4</v>
      </c>
      <c r="ID1624" s="2">
        <v>0.7</v>
      </c>
      <c r="IE1624" s="2">
        <v>2.2</v>
      </c>
      <c r="IF1624" s="2">
        <v>0.7</v>
      </c>
      <c r="IG1624" s="2">
        <v>2.9</v>
      </c>
      <c r="IH1624" s="2">
        <v>1.1</v>
      </c>
      <c r="II1624" s="2">
        <v>0.9</v>
      </c>
      <c r="IJ1624" s="2">
        <v>2.5</v>
      </c>
      <c r="IK1624" s="2">
        <v>-1.3</v>
      </c>
      <c r="IL1624" s="2">
        <v>2.2</v>
      </c>
      <c r="IM1624" s="2">
        <v>2.4</v>
      </c>
      <c r="IN1624" s="2">
        <v>1.4</v>
      </c>
      <c r="IO1624" s="2">
        <v>0.1</v>
      </c>
      <c r="IP1624" s="2">
        <v>1.3</v>
      </c>
      <c r="IQ1624" s="2">
        <v>2.1</v>
      </c>
      <c r="IR1624" s="2">
        <v>0.9</v>
      </c>
      <c r="IS1624" s="2">
        <v>-0.4</v>
      </c>
      <c r="IT1624" s="2">
        <v>-0.6</v>
      </c>
      <c r="IU1624" s="2">
        <v>2.8</v>
      </c>
      <c r="IV1624" s="2">
        <v>1.3</v>
      </c>
      <c r="IW1624" s="2">
        <v>-1.6</v>
      </c>
      <c r="IX1624" s="2">
        <v>0.5</v>
      </c>
      <c r="IY1624" s="2">
        <v>3.2</v>
      </c>
      <c r="IZ1624" s="2">
        <v>-0.9</v>
      </c>
      <c r="JA1624" s="2">
        <v>-0.1</v>
      </c>
      <c r="JB1624" s="2">
        <v>0.7</v>
      </c>
      <c r="JC1624" s="2">
        <v>2.3</v>
      </c>
      <c r="JD1624" s="2">
        <v>0.1</v>
      </c>
      <c r="JE1624" s="2">
        <v>0.2</v>
      </c>
      <c r="JF1624" s="2">
        <v>0.3</v>
      </c>
      <c r="JG1624" s="2">
        <v>0.2</v>
      </c>
      <c r="JH1624" s="2">
        <v>0.3</v>
      </c>
      <c r="JI1624" s="2">
        <v>0.5</v>
      </c>
      <c r="JJ1624" s="2">
        <v>0.4</v>
      </c>
      <c r="JK1624" s="2">
        <v>0.3</v>
      </c>
      <c r="JL1624" s="2">
        <v>-0.3</v>
      </c>
      <c r="JM1624" s="2">
        <v>1</v>
      </c>
      <c r="JN1624" s="2">
        <v>-0.7</v>
      </c>
      <c r="JO1624" s="2">
        <v>0.3</v>
      </c>
      <c r="JP1624" s="2">
        <v>0.5</v>
      </c>
      <c r="JQ1624" s="2">
        <v>-0.6</v>
      </c>
      <c r="JR1624" s="2">
        <v>-2.1</v>
      </c>
      <c r="JS1624" s="2">
        <v>1.5</v>
      </c>
      <c r="JT1624" s="2">
        <v>-0.7</v>
      </c>
      <c r="JU1624" s="2">
        <v>-1.1</v>
      </c>
      <c r="JV1624" s="2">
        <v>-1.9</v>
      </c>
      <c r="KA1624" s="2">
        <v>0.9</v>
      </c>
      <c r="KB1624" s="2">
        <v>1</v>
      </c>
      <c r="KC1624" s="2">
        <v>-0.2</v>
      </c>
      <c r="KD1624" s="2">
        <v>0</v>
      </c>
      <c r="KQ1624" s="2">
        <v>2.3</v>
      </c>
      <c r="KR1624" s="2">
        <v>-0.7</v>
      </c>
      <c r="KS1624" s="2">
        <v>-0.2</v>
      </c>
      <c r="KT1624" s="2">
        <v>-0.1</v>
      </c>
      <c r="LG1624" s="2">
        <v>1.5</v>
      </c>
      <c r="LH1624" s="2">
        <v>-0.2</v>
      </c>
      <c r="LI1624" s="2">
        <v>0.2</v>
      </c>
      <c r="LJ1624" s="2">
        <v>-1.7</v>
      </c>
      <c r="LW1624" s="2">
        <v>1.9</v>
      </c>
      <c r="LX1624" s="2">
        <v>2</v>
      </c>
      <c r="LY1624" s="2">
        <v>-0.1</v>
      </c>
      <c r="LZ1624" s="2">
        <v>-0.7</v>
      </c>
      <c r="MM1624" s="2">
        <v>1.1</v>
      </c>
      <c r="MN1624" s="2">
        <v>0.4</v>
      </c>
      <c r="MO1624" s="2">
        <v>0.9</v>
      </c>
      <c r="MP1624" s="2">
        <v>-0.4</v>
      </c>
      <c r="NC1624" s="2">
        <v>5.9</v>
      </c>
      <c r="ND1624" s="2">
        <v>1.5</v>
      </c>
      <c r="NE1624" s="2">
        <v>2.1</v>
      </c>
      <c r="NF1624" s="2">
        <v>0.7</v>
      </c>
      <c r="NS1624" s="2">
        <v>3.3</v>
      </c>
      <c r="NT1624" s="2">
        <v>2.2</v>
      </c>
      <c r="NU1624" s="2">
        <v>-0.7</v>
      </c>
      <c r="NV1624" s="2">
        <v>0.4</v>
      </c>
      <c r="OI1624" s="2">
        <v>3.4</v>
      </c>
      <c r="OJ1624" s="2">
        <v>1.1</v>
      </c>
      <c r="OK1624" s="2">
        <v>-0.3</v>
      </c>
      <c r="OL1624" s="2">
        <v>-0.4</v>
      </c>
      <c r="OY1624" s="2">
        <v>3.2</v>
      </c>
      <c r="OZ1624" s="2">
        <v>2.2</v>
      </c>
      <c r="PA1624" s="2">
        <v>0.2</v>
      </c>
      <c r="PB1624" s="2">
        <v>-1.2</v>
      </c>
      <c r="PJ1624" s="2">
        <v>1.3</v>
      </c>
      <c r="PK1624" s="2">
        <v>1.6</v>
      </c>
    </row>
    <row r="1625">
      <c r="A1625" t="inlineStr">
        <is>
          <t>A2327740T</t>
        </is>
      </c>
      <c r="B1625" t="inlineStr">
        <is>
          <t>Percentage Change from Previous Period ;  Coffee, tea and cocoa ;  Australia ;</t>
        </is>
      </c>
      <c r="C1625" t="inlineStr">
        <is>
          <t>Quarter</t>
        </is>
      </c>
      <c r="D1625" t="inlineStr">
        <is>
          <t>Percent</t>
        </is>
      </c>
      <c r="E1625" t="inlineStr">
        <is>
          <t>Original</t>
        </is>
      </c>
      <c r="F1625" t="inlineStr">
        <is>
          <t>6401018.xlsx</t>
        </is>
      </c>
      <c r="G1625" t="inlineStr">
        <is>
          <t>1980Q4</t>
        </is>
      </c>
      <c r="H1625" t="inlineStr">
        <is>
          <t>2026Q2</t>
        </is>
      </c>
      <c r="EH1625" s="2">
        <v>1.7</v>
      </c>
      <c r="EI1625" s="2">
        <v>-2</v>
      </c>
      <c r="EJ1625" s="2">
        <v>-1.9</v>
      </c>
      <c r="EK1625" s="2">
        <v>-1.7</v>
      </c>
      <c r="EL1625" s="2">
        <v>1.6</v>
      </c>
      <c r="EM1625" s="2">
        <v>0.7</v>
      </c>
      <c r="EN1625" s="2">
        <v>1.9</v>
      </c>
      <c r="EO1625" s="2">
        <v>3.2</v>
      </c>
      <c r="EP1625" s="2">
        <v>0.8</v>
      </c>
      <c r="EQ1625" s="2">
        <v>5.2</v>
      </c>
      <c r="ER1625" s="2">
        <v>3.1</v>
      </c>
      <c r="ES1625" s="2">
        <v>2.5</v>
      </c>
      <c r="ET1625" s="2">
        <v>4</v>
      </c>
      <c r="EU1625" s="2">
        <v>2.8</v>
      </c>
      <c r="EV1625" s="2">
        <v>3.4</v>
      </c>
      <c r="EW1625" s="2">
        <v>5.2</v>
      </c>
      <c r="EX1625" s="2">
        <v>2.2</v>
      </c>
      <c r="EY1625" s="2">
        <v>4.4</v>
      </c>
      <c r="EZ1625" s="2">
        <v>1.2</v>
      </c>
      <c r="FA1625" s="2">
        <v>3.8</v>
      </c>
      <c r="FB1625" s="2">
        <v>1.1</v>
      </c>
      <c r="FC1625" s="2">
        <v>1.1</v>
      </c>
      <c r="FD1625" s="2">
        <v>20.2</v>
      </c>
      <c r="FE1625" s="2">
        <v>-5</v>
      </c>
      <c r="FF1625" s="2">
        <v>-2</v>
      </c>
      <c r="FG1625" s="2">
        <v>0.8</v>
      </c>
      <c r="FH1625" s="2">
        <v>-3.9</v>
      </c>
      <c r="FI1625" s="2">
        <v>-1.6</v>
      </c>
      <c r="FJ1625" s="2">
        <v>0.4</v>
      </c>
      <c r="FK1625" s="2">
        <v>1.4</v>
      </c>
      <c r="FL1625" s="2">
        <v>0.1</v>
      </c>
      <c r="FM1625" s="2">
        <v>0.3</v>
      </c>
      <c r="FN1625" s="2">
        <v>0.1</v>
      </c>
      <c r="FO1625" s="2">
        <v>1.6</v>
      </c>
      <c r="FP1625" s="2">
        <v>-1.8</v>
      </c>
      <c r="FQ1625" s="2">
        <v>0.5</v>
      </c>
      <c r="FR1625" s="2">
        <v>-1.3</v>
      </c>
      <c r="FS1625" s="2">
        <v>2.6</v>
      </c>
      <c r="FT1625" s="2">
        <v>0.8</v>
      </c>
      <c r="FU1625" s="2">
        <v>0</v>
      </c>
      <c r="FV1625" s="2">
        <v>1.3</v>
      </c>
      <c r="FW1625" s="2">
        <v>-0.3</v>
      </c>
      <c r="FX1625" s="2">
        <v>-0.8</v>
      </c>
      <c r="FY1625" s="2">
        <v>-0.7</v>
      </c>
      <c r="FZ1625" s="2">
        <v>-1.1</v>
      </c>
      <c r="GA1625" s="2">
        <v>0.5</v>
      </c>
      <c r="GB1625" s="2">
        <v>0.1</v>
      </c>
      <c r="GC1625" s="2">
        <v>-0.9</v>
      </c>
      <c r="GD1625" s="2">
        <v>-1</v>
      </c>
      <c r="GE1625" s="2">
        <v>-0.4</v>
      </c>
      <c r="GF1625" s="2">
        <v>0.7</v>
      </c>
      <c r="GG1625" s="2">
        <v>0.9</v>
      </c>
      <c r="GH1625" s="2">
        <v>0.6</v>
      </c>
      <c r="GI1625" s="2">
        <v>0.3</v>
      </c>
      <c r="GJ1625" s="2">
        <v>0.8</v>
      </c>
      <c r="GK1625" s="2">
        <v>2.8</v>
      </c>
      <c r="GL1625" s="2">
        <v>7.4</v>
      </c>
      <c r="GM1625" s="2">
        <v>6</v>
      </c>
      <c r="GN1625" s="2">
        <v>0.4</v>
      </c>
      <c r="GO1625" s="2">
        <v>0.5</v>
      </c>
      <c r="GP1625" s="2">
        <v>2.7</v>
      </c>
      <c r="GQ1625" s="2">
        <v>-2.8</v>
      </c>
      <c r="GR1625" s="2">
        <v>0.2</v>
      </c>
      <c r="GS1625" s="2">
        <v>1.3</v>
      </c>
      <c r="GT1625" s="2">
        <v>-0.2</v>
      </c>
      <c r="GU1625" s="2">
        <v>-1.4</v>
      </c>
      <c r="GV1625" s="2">
        <v>5.5</v>
      </c>
      <c r="GW1625" s="2">
        <v>5.8</v>
      </c>
      <c r="GX1625" s="2">
        <v>1.9</v>
      </c>
      <c r="GY1625" s="2">
        <v>3.2</v>
      </c>
      <c r="GZ1625" s="2">
        <v>-1.6</v>
      </c>
      <c r="HA1625" s="2">
        <v>0.7</v>
      </c>
      <c r="HB1625" s="2">
        <v>-1.2</v>
      </c>
      <c r="HC1625" s="2">
        <v>1.3</v>
      </c>
      <c r="HD1625" s="2">
        <v>-0.3</v>
      </c>
      <c r="HE1625" s="2">
        <v>0.3</v>
      </c>
      <c r="HF1625" s="2">
        <v>-2.7</v>
      </c>
      <c r="HG1625" s="2">
        <v>2</v>
      </c>
      <c r="HH1625" s="2">
        <v>-3.5</v>
      </c>
      <c r="HI1625" s="2">
        <v>1.6</v>
      </c>
      <c r="HJ1625" s="2">
        <v>0.6</v>
      </c>
      <c r="HK1625" s="2">
        <v>0.5</v>
      </c>
      <c r="HL1625" s="2">
        <v>3.7</v>
      </c>
      <c r="HM1625" s="2">
        <v>-2.7</v>
      </c>
      <c r="HN1625" s="2">
        <v>4.1</v>
      </c>
      <c r="HO1625" s="2">
        <v>0.8</v>
      </c>
      <c r="HP1625" s="2">
        <v>-2.3</v>
      </c>
      <c r="HQ1625" s="2">
        <v>1.6</v>
      </c>
      <c r="HR1625" s="2">
        <v>-1.2</v>
      </c>
      <c r="HS1625" s="2">
        <v>-3.2</v>
      </c>
      <c r="HT1625" s="2">
        <v>2.6</v>
      </c>
      <c r="HU1625" s="2">
        <v>-2.9</v>
      </c>
      <c r="HV1625" s="2">
        <v>1.1</v>
      </c>
      <c r="HW1625" s="2">
        <v>-2.6</v>
      </c>
      <c r="HX1625" s="2">
        <v>-1.4</v>
      </c>
      <c r="HY1625" s="2">
        <v>0.3</v>
      </c>
      <c r="HZ1625" s="2">
        <v>0.1</v>
      </c>
      <c r="IA1625" s="2">
        <v>-2.3</v>
      </c>
      <c r="IB1625" s="2">
        <v>3</v>
      </c>
      <c r="IC1625" s="2">
        <v>0.9</v>
      </c>
      <c r="ID1625" s="2">
        <v>1.4</v>
      </c>
      <c r="IE1625" s="2">
        <v>2</v>
      </c>
      <c r="IF1625" s="2">
        <v>0.8</v>
      </c>
      <c r="IG1625" s="2">
        <v>1.9</v>
      </c>
      <c r="IH1625" s="2">
        <v>1.7</v>
      </c>
      <c r="II1625" s="2">
        <v>0.1</v>
      </c>
      <c r="IJ1625" s="2">
        <v>2.1</v>
      </c>
      <c r="IK1625" s="2">
        <v>-3.7</v>
      </c>
      <c r="IL1625" s="2">
        <v>4.5</v>
      </c>
      <c r="IM1625" s="2">
        <v>2.5</v>
      </c>
      <c r="IN1625" s="2">
        <v>1.1</v>
      </c>
      <c r="IO1625" s="2">
        <v>-0.5</v>
      </c>
      <c r="IP1625" s="2">
        <v>1.5</v>
      </c>
      <c r="IQ1625" s="2">
        <v>2.4</v>
      </c>
      <c r="IR1625" s="2">
        <v>2.5</v>
      </c>
      <c r="IS1625" s="2">
        <v>-2.1</v>
      </c>
      <c r="IT1625" s="2">
        <v>0.8</v>
      </c>
      <c r="IU1625" s="2">
        <v>-0.1</v>
      </c>
      <c r="IV1625" s="2">
        <v>0.3</v>
      </c>
      <c r="IW1625" s="2">
        <v>-1.2</v>
      </c>
      <c r="IX1625" s="2">
        <v>0</v>
      </c>
      <c r="IY1625" s="2">
        <v>1.1</v>
      </c>
      <c r="IZ1625" s="2">
        <v>-4.9</v>
      </c>
      <c r="JA1625" s="2">
        <v>0.1</v>
      </c>
      <c r="JB1625" s="2">
        <v>5.7</v>
      </c>
      <c r="JC1625" s="2">
        <v>1.8</v>
      </c>
      <c r="JD1625" s="2">
        <v>0.9</v>
      </c>
      <c r="JE1625" s="2">
        <v>0.6</v>
      </c>
      <c r="JF1625" s="2">
        <v>0.7</v>
      </c>
      <c r="JG1625" s="2">
        <v>0</v>
      </c>
      <c r="JH1625" s="2">
        <v>-1.6</v>
      </c>
      <c r="JI1625" s="2">
        <v>0.4</v>
      </c>
      <c r="JJ1625" s="2">
        <v>0.7</v>
      </c>
      <c r="JK1625" s="2">
        <v>-2.8</v>
      </c>
      <c r="JL1625" s="2">
        <v>-0.7</v>
      </c>
      <c r="JM1625" s="2">
        <v>5.3</v>
      </c>
      <c r="JN1625" s="2">
        <v>-0.4</v>
      </c>
      <c r="JO1625" s="2">
        <v>2</v>
      </c>
      <c r="JP1625" s="2">
        <v>-0.7</v>
      </c>
      <c r="JQ1625" s="2">
        <v>-1.4</v>
      </c>
      <c r="JR1625" s="2">
        <v>-1.8</v>
      </c>
      <c r="JS1625" s="2">
        <v>4</v>
      </c>
      <c r="JT1625" s="2">
        <v>-5.2</v>
      </c>
      <c r="JU1625" s="2">
        <v>-1.8</v>
      </c>
      <c r="JV1625" s="2">
        <v>2.5</v>
      </c>
      <c r="KA1625" s="2">
        <v>2</v>
      </c>
      <c r="KB1625" s="2">
        <v>-3.4</v>
      </c>
      <c r="KC1625" s="2">
        <v>-1.7</v>
      </c>
      <c r="KD1625" s="2">
        <v>0.7</v>
      </c>
      <c r="KQ1625" s="2">
        <v>0.6</v>
      </c>
      <c r="KR1625" s="2">
        <v>-3.5</v>
      </c>
      <c r="KS1625" s="2">
        <v>0.8</v>
      </c>
      <c r="KT1625" s="2">
        <v>1.3</v>
      </c>
      <c r="LG1625" s="2">
        <v>0</v>
      </c>
      <c r="LH1625" s="2">
        <v>-1.9</v>
      </c>
      <c r="LI1625" s="2">
        <v>0.4</v>
      </c>
      <c r="LJ1625" s="2">
        <v>-0.1</v>
      </c>
      <c r="LW1625" s="2">
        <v>2.6</v>
      </c>
      <c r="LX1625" s="2">
        <v>1.8</v>
      </c>
      <c r="LY1625" s="2">
        <v>-1.8</v>
      </c>
      <c r="LZ1625" s="2">
        <v>-0.7</v>
      </c>
      <c r="MM1625" s="2">
        <v>-0.2</v>
      </c>
      <c r="MN1625" s="2">
        <v>-0.9</v>
      </c>
      <c r="MO1625" s="2">
        <v>0.6</v>
      </c>
      <c r="MP1625" s="2">
        <v>1.6</v>
      </c>
      <c r="NC1625" s="2">
        <v>6.8</v>
      </c>
      <c r="ND1625" s="2">
        <v>0.2</v>
      </c>
      <c r="NE1625" s="2">
        <v>1.8</v>
      </c>
      <c r="NF1625" s="2">
        <v>2.6</v>
      </c>
      <c r="NS1625" s="2">
        <v>2.4</v>
      </c>
      <c r="NT1625" s="2">
        <v>-0.6</v>
      </c>
      <c r="NU1625" s="2">
        <v>0.5</v>
      </c>
      <c r="NV1625" s="2">
        <v>1.1</v>
      </c>
      <c r="OI1625" s="2">
        <v>0.5</v>
      </c>
      <c r="OJ1625" s="2">
        <v>-1.1</v>
      </c>
      <c r="OK1625" s="2">
        <v>0.5</v>
      </c>
      <c r="OL1625" s="2">
        <v>1.7</v>
      </c>
      <c r="OY1625" s="2">
        <v>2.7</v>
      </c>
      <c r="OZ1625" s="2">
        <v>4.3</v>
      </c>
      <c r="PA1625" s="2">
        <v>5.3</v>
      </c>
      <c r="PB1625" s="2">
        <v>2.5</v>
      </c>
      <c r="PJ1625" s="2">
        <v>-0.7</v>
      </c>
      <c r="PK1625" s="2">
        <v>-0.1</v>
      </c>
    </row>
    <row r="1626">
      <c r="A1626" t="inlineStr">
        <is>
          <t>A2331790T</t>
        </is>
      </c>
      <c r="B1626" t="inlineStr">
        <is>
          <t>Percentage Change from Previous Period ;  Waters, soft drinks and juices ;  Australia ;</t>
        </is>
      </c>
      <c r="C1626" t="inlineStr">
        <is>
          <t>Quarter</t>
        </is>
      </c>
      <c r="D1626" t="inlineStr">
        <is>
          <t>Percent</t>
        </is>
      </c>
      <c r="E1626" t="inlineStr">
        <is>
          <t>Original</t>
        </is>
      </c>
      <c r="F1626" t="inlineStr">
        <is>
          <t>6401018.xlsx</t>
        </is>
      </c>
      <c r="G1626" t="inlineStr">
        <is>
          <t>1989Q4</t>
        </is>
      </c>
      <c r="H1626" t="inlineStr">
        <is>
          <t>2026Q2</t>
        </is>
      </c>
      <c r="FR1626" s="2">
        <v>2.4</v>
      </c>
      <c r="FS1626" s="2">
        <v>1.3</v>
      </c>
      <c r="FT1626" s="2">
        <v>3.2</v>
      </c>
      <c r="FU1626" s="2">
        <v>-0.3</v>
      </c>
      <c r="FV1626" s="2">
        <v>1.3</v>
      </c>
      <c r="FW1626" s="2">
        <v>1.8</v>
      </c>
      <c r="FX1626" s="2">
        <v>2.7</v>
      </c>
      <c r="FY1626" s="2">
        <v>0.1</v>
      </c>
      <c r="FZ1626" s="2">
        <v>0.8</v>
      </c>
      <c r="GA1626" s="2">
        <v>2.8</v>
      </c>
      <c r="GB1626" s="2">
        <v>1.1</v>
      </c>
      <c r="GC1626" s="2">
        <v>0.4</v>
      </c>
      <c r="GD1626" s="2">
        <v>-0.4</v>
      </c>
      <c r="GE1626" s="2">
        <v>0.3</v>
      </c>
      <c r="GF1626" s="2">
        <v>0</v>
      </c>
      <c r="GG1626" s="2">
        <v>0.3</v>
      </c>
      <c r="GH1626" s="2">
        <v>0.4</v>
      </c>
      <c r="GI1626" s="2">
        <v>0.5</v>
      </c>
      <c r="GJ1626" s="2">
        <v>0.3</v>
      </c>
      <c r="GK1626" s="2">
        <v>0.3</v>
      </c>
      <c r="GL1626" s="2">
        <v>-1.2</v>
      </c>
      <c r="GM1626" s="2">
        <v>0.1</v>
      </c>
      <c r="GN1626" s="2">
        <v>2</v>
      </c>
      <c r="GO1626" s="2">
        <v>2.4</v>
      </c>
      <c r="GP1626" s="2">
        <v>-0.1</v>
      </c>
      <c r="GQ1626" s="2">
        <v>0.7</v>
      </c>
      <c r="GR1626" s="2">
        <v>0.5</v>
      </c>
      <c r="GS1626" s="2">
        <v>1</v>
      </c>
      <c r="GT1626" s="2">
        <v>0.1</v>
      </c>
      <c r="GU1626" s="2">
        <v>0.6</v>
      </c>
      <c r="GV1626" s="2">
        <v>1.1</v>
      </c>
      <c r="GW1626" s="2">
        <v>0.3</v>
      </c>
      <c r="GX1626" s="2">
        <v>1.5</v>
      </c>
      <c r="GY1626" s="2">
        <v>0.9</v>
      </c>
      <c r="GZ1626" s="2">
        <v>0.3</v>
      </c>
      <c r="HA1626" s="2">
        <v>1.9</v>
      </c>
      <c r="HB1626" s="2">
        <v>-0.8</v>
      </c>
      <c r="HC1626" s="2">
        <v>0.6</v>
      </c>
      <c r="HD1626" s="2">
        <v>-0.5</v>
      </c>
      <c r="HE1626" s="2">
        <v>0</v>
      </c>
      <c r="HF1626" s="2">
        <v>0</v>
      </c>
      <c r="HG1626" s="2">
        <v>-0.5</v>
      </c>
      <c r="HH1626" s="2">
        <v>1.1</v>
      </c>
      <c r="HI1626" s="2">
        <v>-4.2</v>
      </c>
      <c r="HJ1626" s="2">
        <v>-2.3</v>
      </c>
      <c r="HK1626" s="2">
        <v>3.8</v>
      </c>
      <c r="HL1626" s="2">
        <v>2.3</v>
      </c>
      <c r="HM1626" s="2">
        <v>-1.7</v>
      </c>
      <c r="HN1626" s="2">
        <v>0.8</v>
      </c>
      <c r="HO1626" s="2">
        <v>-1.8</v>
      </c>
      <c r="HP1626" s="2">
        <v>1</v>
      </c>
      <c r="HQ1626" s="2">
        <v>2.5</v>
      </c>
      <c r="HR1626" s="2">
        <v>0.9</v>
      </c>
      <c r="HS1626" s="2">
        <v>0.6</v>
      </c>
      <c r="HT1626" s="2">
        <v>1</v>
      </c>
      <c r="HU1626" s="2">
        <v>-1.1</v>
      </c>
      <c r="HV1626" s="2">
        <v>0.2</v>
      </c>
      <c r="HW1626" s="2">
        <v>1.3</v>
      </c>
      <c r="HX1626" s="2">
        <v>1.3</v>
      </c>
      <c r="HY1626" s="2">
        <v>0.9</v>
      </c>
      <c r="HZ1626" s="2">
        <v>0.9</v>
      </c>
      <c r="IA1626" s="2">
        <v>0.5</v>
      </c>
      <c r="IB1626" s="2">
        <v>1.3</v>
      </c>
      <c r="IC1626" s="2">
        <v>0.2</v>
      </c>
      <c r="ID1626" s="2">
        <v>0.5</v>
      </c>
      <c r="IE1626" s="2">
        <v>2.3</v>
      </c>
      <c r="IF1626" s="2">
        <v>0.7</v>
      </c>
      <c r="IG1626" s="2">
        <v>3.2</v>
      </c>
      <c r="IH1626" s="2">
        <v>0.9</v>
      </c>
      <c r="II1626" s="2">
        <v>1.2</v>
      </c>
      <c r="IJ1626" s="2">
        <v>2.6</v>
      </c>
      <c r="IK1626" s="2">
        <v>-0.7</v>
      </c>
      <c r="IL1626" s="2">
        <v>1.7</v>
      </c>
      <c r="IM1626" s="2">
        <v>2.4</v>
      </c>
      <c r="IN1626" s="2">
        <v>1.5</v>
      </c>
      <c r="IO1626" s="2">
        <v>0.2</v>
      </c>
      <c r="IP1626" s="2">
        <v>1.2</v>
      </c>
      <c r="IQ1626" s="2">
        <v>2</v>
      </c>
      <c r="IR1626" s="2">
        <v>0.5</v>
      </c>
      <c r="IS1626" s="2">
        <v>0.1</v>
      </c>
      <c r="IT1626" s="2">
        <v>-0.9</v>
      </c>
      <c r="IU1626" s="2">
        <v>3.5</v>
      </c>
      <c r="IV1626" s="2">
        <v>1.6</v>
      </c>
      <c r="IW1626" s="2">
        <v>-1.7</v>
      </c>
      <c r="IX1626" s="2">
        <v>0.5</v>
      </c>
      <c r="IY1626" s="2">
        <v>3.7</v>
      </c>
      <c r="IZ1626" s="2">
        <v>0.1</v>
      </c>
      <c r="JA1626" s="2">
        <v>-0.1</v>
      </c>
      <c r="JB1626" s="2">
        <v>-0.9</v>
      </c>
      <c r="JC1626" s="2">
        <v>2.5</v>
      </c>
      <c r="JD1626" s="2">
        <v>-0.1</v>
      </c>
      <c r="JE1626" s="2">
        <v>0</v>
      </c>
      <c r="JF1626" s="2">
        <v>0.2</v>
      </c>
      <c r="JG1626" s="2">
        <v>0.3</v>
      </c>
      <c r="JH1626" s="2">
        <v>1</v>
      </c>
      <c r="JI1626" s="2">
        <v>0.5</v>
      </c>
      <c r="JJ1626" s="2">
        <v>0.3</v>
      </c>
      <c r="JK1626" s="2">
        <v>1.3</v>
      </c>
      <c r="JL1626" s="2">
        <v>-0.2</v>
      </c>
      <c r="JM1626" s="2">
        <v>-0.4</v>
      </c>
      <c r="JN1626" s="2">
        <v>-0.8</v>
      </c>
      <c r="JO1626" s="2">
        <v>-0.2</v>
      </c>
      <c r="JP1626" s="2">
        <v>1</v>
      </c>
      <c r="JQ1626" s="2">
        <v>-0.4</v>
      </c>
      <c r="JR1626" s="2">
        <v>-2.2</v>
      </c>
      <c r="JS1626" s="2">
        <v>0.7</v>
      </c>
      <c r="JT1626" s="2">
        <v>0.9</v>
      </c>
      <c r="JU1626" s="2">
        <v>-0.8</v>
      </c>
      <c r="JV1626" s="2">
        <v>-3.3</v>
      </c>
      <c r="KA1626" s="2">
        <v>0.6</v>
      </c>
      <c r="KB1626" s="2">
        <v>2.6</v>
      </c>
      <c r="KC1626" s="2">
        <v>0.3</v>
      </c>
      <c r="KD1626" s="2">
        <v>-0.2</v>
      </c>
      <c r="KQ1626" s="2">
        <v>2.8</v>
      </c>
      <c r="KR1626" s="2">
        <v>0.2</v>
      </c>
      <c r="KS1626" s="2">
        <v>-0.5</v>
      </c>
      <c r="KT1626" s="2">
        <v>-0.5</v>
      </c>
      <c r="LG1626" s="2">
        <v>2</v>
      </c>
      <c r="LH1626" s="2">
        <v>0.3</v>
      </c>
      <c r="LI1626" s="2">
        <v>0.1</v>
      </c>
      <c r="LJ1626" s="2">
        <v>-2.2</v>
      </c>
      <c r="LW1626" s="2">
        <v>1.8</v>
      </c>
      <c r="LX1626" s="2">
        <v>2</v>
      </c>
      <c r="LY1626" s="2">
        <v>0.4</v>
      </c>
      <c r="LZ1626" s="2">
        <v>-0.6</v>
      </c>
      <c r="MM1626" s="2">
        <v>1.5</v>
      </c>
      <c r="MN1626" s="2">
        <v>0.7</v>
      </c>
      <c r="MO1626" s="2">
        <v>0.9</v>
      </c>
      <c r="MP1626" s="2">
        <v>-0.9</v>
      </c>
      <c r="NC1626" s="2">
        <v>5.5</v>
      </c>
      <c r="ND1626" s="2">
        <v>1.9</v>
      </c>
      <c r="NE1626" s="2">
        <v>2.2</v>
      </c>
      <c r="NF1626" s="2">
        <v>0.1</v>
      </c>
      <c r="NS1626" s="2">
        <v>3.5</v>
      </c>
      <c r="NT1626" s="2">
        <v>3</v>
      </c>
      <c r="NU1626" s="2">
        <v>-1</v>
      </c>
      <c r="NV1626" s="2">
        <v>0.2</v>
      </c>
      <c r="OI1626" s="2">
        <v>4.2</v>
      </c>
      <c r="OJ1626" s="2">
        <v>1.6</v>
      </c>
      <c r="OK1626" s="2">
        <v>-0.5</v>
      </c>
      <c r="OL1626" s="2">
        <v>-1</v>
      </c>
      <c r="OY1626" s="2">
        <v>3.4</v>
      </c>
      <c r="OZ1626" s="2">
        <v>1.7</v>
      </c>
      <c r="PA1626" s="2">
        <v>-1.2</v>
      </c>
      <c r="PB1626" s="2">
        <v>-2.3</v>
      </c>
      <c r="PJ1626" s="2">
        <v>1.9</v>
      </c>
      <c r="PK1626" s="2">
        <v>2.1</v>
      </c>
    </row>
    <row r="1627">
      <c r="A1627" t="inlineStr">
        <is>
          <t>A2326300V</t>
        </is>
      </c>
      <c r="B1627" t="inlineStr">
        <is>
          <t>Percentage Change from Previous Period ;  Meals out and take away foods ;  Australia ;</t>
        </is>
      </c>
      <c r="C1627" t="inlineStr">
        <is>
          <t>Quarter</t>
        </is>
      </c>
      <c r="D1627" t="inlineStr">
        <is>
          <t>Percent</t>
        </is>
      </c>
      <c r="E1627" t="inlineStr">
        <is>
          <t>Original</t>
        </is>
      </c>
      <c r="F1627" t="inlineStr">
        <is>
          <t>6401018.xlsx</t>
        </is>
      </c>
      <c r="G1627" t="inlineStr">
        <is>
          <t>1976Q4</t>
        </is>
      </c>
      <c r="H1627" t="inlineStr">
        <is>
          <t>2026Q2</t>
        </is>
      </c>
      <c r="DR1627" s="2">
        <v>2</v>
      </c>
      <c r="DS1627" s="2">
        <v>3.5</v>
      </c>
      <c r="DT1627" s="2">
        <v>3.6</v>
      </c>
      <c r="DU1627" s="2">
        <v>3</v>
      </c>
      <c r="DV1627" s="2">
        <v>1.7</v>
      </c>
      <c r="DW1627" s="2">
        <v>1.7</v>
      </c>
      <c r="DX1627" s="2">
        <v>1.1</v>
      </c>
      <c r="DY1627" s="2">
        <v>2.2</v>
      </c>
      <c r="DZ1627" s="2">
        <v>2.7</v>
      </c>
      <c r="EA1627" s="2">
        <v>2.5</v>
      </c>
      <c r="EB1627" s="2">
        <v>3.1</v>
      </c>
      <c r="EC1627" s="2">
        <v>3.6</v>
      </c>
      <c r="ED1627" s="2">
        <v>2.6</v>
      </c>
      <c r="EE1627" s="2">
        <v>3.3</v>
      </c>
      <c r="EF1627" s="2">
        <v>2.3</v>
      </c>
      <c r="EG1627" s="2">
        <v>2.4</v>
      </c>
      <c r="EH1627" s="2">
        <v>2.4</v>
      </c>
      <c r="EI1627" s="2">
        <v>2.5</v>
      </c>
      <c r="EJ1627" s="2">
        <v>1.8</v>
      </c>
      <c r="EK1627" s="2">
        <v>2.4</v>
      </c>
      <c r="EL1627" s="2">
        <v>2.8</v>
      </c>
      <c r="EM1627" s="2">
        <v>2.9</v>
      </c>
      <c r="EN1627" s="2">
        <v>2.6</v>
      </c>
      <c r="EO1627" s="2">
        <v>2.5</v>
      </c>
      <c r="EP1627" s="2">
        <v>2.3</v>
      </c>
      <c r="EQ1627" s="2">
        <v>2.4</v>
      </c>
      <c r="ER1627" s="2">
        <v>1.5</v>
      </c>
      <c r="ES1627" s="2">
        <v>2.5</v>
      </c>
      <c r="ET1627" s="2">
        <v>1.8</v>
      </c>
      <c r="EU1627" s="2">
        <v>2</v>
      </c>
      <c r="EV1627" s="2">
        <v>2.2</v>
      </c>
      <c r="EW1627" s="2">
        <v>0.9</v>
      </c>
      <c r="EX1627" s="2">
        <v>1.8</v>
      </c>
      <c r="EY1627" s="2">
        <v>2</v>
      </c>
      <c r="EZ1627" s="2">
        <v>2.4</v>
      </c>
      <c r="FA1627" s="2">
        <v>2.3</v>
      </c>
      <c r="FB1627" s="2">
        <v>2.3</v>
      </c>
      <c r="FC1627" s="2">
        <v>2.6</v>
      </c>
      <c r="FD1627" s="2">
        <v>1.9</v>
      </c>
      <c r="FE1627" s="2">
        <v>1.8</v>
      </c>
      <c r="FF1627" s="2">
        <v>2.3</v>
      </c>
      <c r="FG1627" s="2">
        <v>1.9</v>
      </c>
      <c r="FH1627" s="2">
        <v>1.6</v>
      </c>
      <c r="FI1627" s="2">
        <v>1.4</v>
      </c>
      <c r="FJ1627" s="2">
        <v>1.7</v>
      </c>
      <c r="FK1627" s="2">
        <v>1.7</v>
      </c>
      <c r="FL1627" s="2">
        <v>1.6</v>
      </c>
      <c r="FM1627" s="2">
        <v>1.7</v>
      </c>
      <c r="FN1627" s="2">
        <v>2</v>
      </c>
      <c r="FO1627" s="2">
        <v>1.9</v>
      </c>
      <c r="FP1627" s="2">
        <v>2.3</v>
      </c>
      <c r="FQ1627" s="2">
        <v>1.5</v>
      </c>
      <c r="FR1627" s="2">
        <v>1.4</v>
      </c>
      <c r="FS1627" s="2">
        <v>2.2</v>
      </c>
      <c r="FT1627" s="2">
        <v>2.3</v>
      </c>
      <c r="FU1627" s="2">
        <v>0.9</v>
      </c>
      <c r="FV1627" s="2">
        <v>1.9</v>
      </c>
      <c r="FW1627" s="2">
        <v>1</v>
      </c>
      <c r="FX1627" s="2">
        <v>1.2</v>
      </c>
      <c r="FY1627" s="2">
        <v>1</v>
      </c>
      <c r="FZ1627" s="2">
        <v>1.1</v>
      </c>
      <c r="GA1627" s="2">
        <v>0.3</v>
      </c>
      <c r="GB1627" s="2">
        <v>1.1</v>
      </c>
      <c r="GC1627" s="2">
        <v>0.8</v>
      </c>
      <c r="GD1627" s="2">
        <v>0</v>
      </c>
      <c r="GE1627" s="2">
        <v>1</v>
      </c>
      <c r="GF1627" s="2">
        <v>0.7</v>
      </c>
      <c r="GG1627" s="2">
        <v>0.2</v>
      </c>
      <c r="GH1627" s="2">
        <v>-0.3</v>
      </c>
      <c r="GI1627" s="2">
        <v>-0.6</v>
      </c>
      <c r="GJ1627" s="2">
        <v>-1.3</v>
      </c>
      <c r="GK1627" s="2">
        <v>0.5</v>
      </c>
      <c r="GL1627" s="2">
        <v>-0.5</v>
      </c>
      <c r="GM1627" s="2">
        <v>0.6</v>
      </c>
      <c r="GN1627" s="2">
        <v>1.6</v>
      </c>
      <c r="GO1627" s="2">
        <v>0.1</v>
      </c>
      <c r="GP1627" s="2">
        <v>0.3</v>
      </c>
      <c r="GQ1627" s="2">
        <v>0.3</v>
      </c>
      <c r="GR1627" s="2">
        <v>1.5</v>
      </c>
      <c r="GS1627" s="2">
        <v>0.3</v>
      </c>
      <c r="GT1627" s="2">
        <v>0.6</v>
      </c>
      <c r="GU1627" s="2">
        <v>0.7</v>
      </c>
      <c r="GV1627" s="2">
        <v>0.5</v>
      </c>
      <c r="GW1627" s="2">
        <v>0.3</v>
      </c>
      <c r="GX1627" s="2">
        <v>-0.4</v>
      </c>
      <c r="GY1627" s="2">
        <v>1.1</v>
      </c>
      <c r="GZ1627" s="2">
        <v>0.8</v>
      </c>
      <c r="HA1627" s="2">
        <v>0.1</v>
      </c>
      <c r="HB1627" s="2">
        <v>0.2</v>
      </c>
      <c r="HC1627" s="2">
        <v>1.3</v>
      </c>
      <c r="HD1627" s="2">
        <v>0.6</v>
      </c>
      <c r="HE1627" s="2">
        <v>0.9</v>
      </c>
      <c r="HF1627" s="2">
        <v>1.3</v>
      </c>
      <c r="HG1627" s="2">
        <v>0.6</v>
      </c>
      <c r="HH1627" s="2">
        <v>0.9</v>
      </c>
      <c r="HI1627" s="2">
        <v>8.199999999999999</v>
      </c>
      <c r="HJ1627" s="2">
        <v>1.4</v>
      </c>
      <c r="HK1627" s="2">
        <v>0.6</v>
      </c>
      <c r="HL1627" s="2">
        <v>1.2</v>
      </c>
      <c r="HM1627" s="2">
        <v>0.7</v>
      </c>
      <c r="HN1627" s="2">
        <v>0.8</v>
      </c>
      <c r="HO1627" s="2">
        <v>0.9</v>
      </c>
      <c r="HP1627" s="2">
        <v>0.6</v>
      </c>
      <c r="HQ1627" s="2">
        <v>0.9</v>
      </c>
      <c r="HR1627" s="2">
        <v>0.7</v>
      </c>
      <c r="HS1627" s="2">
        <v>0.9</v>
      </c>
      <c r="HT1627" s="2">
        <v>1</v>
      </c>
      <c r="HU1627" s="2">
        <v>0.9</v>
      </c>
      <c r="HV1627" s="2">
        <v>1.1</v>
      </c>
      <c r="HW1627" s="2">
        <v>0.8</v>
      </c>
      <c r="HX1627" s="2">
        <v>0.6</v>
      </c>
      <c r="HY1627" s="2">
        <v>0.6</v>
      </c>
      <c r="HZ1627" s="2">
        <v>0.8</v>
      </c>
      <c r="IA1627" s="2">
        <v>1</v>
      </c>
      <c r="IB1627" s="2">
        <v>0.8</v>
      </c>
      <c r="IC1627" s="2">
        <v>1</v>
      </c>
      <c r="ID1627" s="2">
        <v>0.9</v>
      </c>
      <c r="IE1627" s="2">
        <v>0.8</v>
      </c>
      <c r="IF1627" s="2">
        <v>0.7</v>
      </c>
      <c r="IG1627" s="2">
        <v>0.9</v>
      </c>
      <c r="IH1627" s="2">
        <v>0.7</v>
      </c>
      <c r="II1627" s="2">
        <v>1.3</v>
      </c>
      <c r="IJ1627" s="2">
        <v>0.7</v>
      </c>
      <c r="IK1627" s="2">
        <v>1.1</v>
      </c>
      <c r="IL1627" s="2">
        <v>1.2</v>
      </c>
      <c r="IM1627" s="2">
        <v>1.7</v>
      </c>
      <c r="IN1627" s="2">
        <v>1.5</v>
      </c>
      <c r="IO1627" s="2">
        <v>1.3</v>
      </c>
      <c r="IP1627" s="2">
        <v>1.2</v>
      </c>
      <c r="IQ1627" s="2">
        <v>1.5</v>
      </c>
      <c r="IR1627" s="2">
        <v>0.9</v>
      </c>
      <c r="IS1627" s="2">
        <v>0.6</v>
      </c>
      <c r="IT1627" s="2">
        <v>0.5</v>
      </c>
      <c r="IU1627" s="2">
        <v>0.8</v>
      </c>
      <c r="IV1627" s="2">
        <v>0.4</v>
      </c>
      <c r="IW1627" s="2">
        <v>0.4</v>
      </c>
      <c r="IX1627" s="2">
        <v>0.8</v>
      </c>
      <c r="IY1627" s="2">
        <v>0.7</v>
      </c>
      <c r="IZ1627" s="2">
        <v>1</v>
      </c>
      <c r="JA1627" s="2">
        <v>0.7</v>
      </c>
      <c r="JB1627" s="2">
        <v>0.6</v>
      </c>
      <c r="JC1627" s="2">
        <v>0.5</v>
      </c>
      <c r="JD1627" s="2">
        <v>0.7</v>
      </c>
      <c r="JE1627" s="2">
        <v>0.6</v>
      </c>
      <c r="JF1627" s="2">
        <v>0.4</v>
      </c>
      <c r="JG1627" s="2">
        <v>0.5</v>
      </c>
      <c r="JH1627" s="2">
        <v>0.2</v>
      </c>
      <c r="JI1627" s="2">
        <v>0.6</v>
      </c>
      <c r="JJ1627" s="2">
        <v>0.6</v>
      </c>
      <c r="JK1627" s="2">
        <v>0.4</v>
      </c>
      <c r="JL1627" s="2">
        <v>0.6</v>
      </c>
      <c r="JM1627" s="2">
        <v>0.4</v>
      </c>
      <c r="JN1627" s="2">
        <v>0.7</v>
      </c>
      <c r="JO1627" s="2">
        <v>0.5</v>
      </c>
      <c r="JP1627" s="2">
        <v>0.3</v>
      </c>
      <c r="JQ1627" s="2">
        <v>0.6</v>
      </c>
      <c r="JR1627" s="2">
        <v>0.7</v>
      </c>
      <c r="JS1627" s="2">
        <v>0.4</v>
      </c>
      <c r="JT1627" s="2">
        <v>0.1</v>
      </c>
      <c r="JU1627" s="2">
        <v>0.4</v>
      </c>
      <c r="JV1627" s="2">
        <v>0.8</v>
      </c>
      <c r="KA1627" s="2">
        <v>0.4</v>
      </c>
      <c r="KB1627" s="2">
        <v>0.7</v>
      </c>
      <c r="KC1627" s="2">
        <v>0.4</v>
      </c>
      <c r="KD1627" s="2">
        <v>0.4</v>
      </c>
      <c r="KQ1627" s="2">
        <v>0.5</v>
      </c>
      <c r="KR1627" s="2">
        <v>0.6</v>
      </c>
      <c r="KS1627" s="2">
        <v>0.4</v>
      </c>
      <c r="KT1627" s="2">
        <v>0.6</v>
      </c>
      <c r="LG1627" s="2">
        <v>0.5</v>
      </c>
      <c r="LH1627" s="2">
        <v>0</v>
      </c>
      <c r="LI1627" s="2">
        <v>0.6</v>
      </c>
      <c r="LJ1627" s="2">
        <v>1</v>
      </c>
      <c r="LW1627" s="2">
        <v>0.7</v>
      </c>
      <c r="LX1627" s="2">
        <v>0.3</v>
      </c>
      <c r="LY1627" s="2">
        <v>-0.5</v>
      </c>
      <c r="LZ1627" s="2">
        <v>1.1</v>
      </c>
      <c r="MM1627" s="2">
        <v>0.5</v>
      </c>
      <c r="MN1627" s="2">
        <v>-0.6</v>
      </c>
      <c r="MO1627" s="2">
        <v>1.5</v>
      </c>
      <c r="MP1627" s="2">
        <v>1</v>
      </c>
      <c r="NC1627" s="2">
        <v>0.7</v>
      </c>
      <c r="ND1627" s="2">
        <v>1.5</v>
      </c>
      <c r="NE1627" s="2">
        <v>2.9</v>
      </c>
      <c r="NF1627" s="2">
        <v>2.1</v>
      </c>
      <c r="NS1627" s="2">
        <v>0.8</v>
      </c>
      <c r="NT1627" s="2">
        <v>1.8</v>
      </c>
      <c r="NU1627" s="2">
        <v>2.1</v>
      </c>
      <c r="NV1627" s="2">
        <v>0.9</v>
      </c>
      <c r="OI1627" s="2">
        <v>0.5</v>
      </c>
      <c r="OJ1627" s="2">
        <v>0.6</v>
      </c>
      <c r="OK1627" s="2">
        <v>0.8</v>
      </c>
      <c r="OL1627" s="2">
        <v>0.6</v>
      </c>
      <c r="OY1627" s="2">
        <v>0.6</v>
      </c>
      <c r="OZ1627" s="2">
        <v>0.7</v>
      </c>
      <c r="PA1627" s="2">
        <v>1.4</v>
      </c>
      <c r="PB1627" s="2">
        <v>0.9</v>
      </c>
      <c r="PJ1627" s="2">
        <v>0.9</v>
      </c>
      <c r="PK1627" s="2">
        <v>0.9</v>
      </c>
    </row>
    <row r="1628">
      <c r="A1628" t="inlineStr">
        <is>
          <t>A2327560J</t>
        </is>
      </c>
      <c r="B1628" t="inlineStr">
        <is>
          <t>Percentage Change from Previous Period ;  Restaurant meals ;  Australia ;</t>
        </is>
      </c>
      <c r="C1628" t="inlineStr">
        <is>
          <t>Quarter</t>
        </is>
      </c>
      <c r="D1628" t="inlineStr">
        <is>
          <t>Percent</t>
        </is>
      </c>
      <c r="E1628" t="inlineStr">
        <is>
          <t>Original</t>
        </is>
      </c>
      <c r="F1628" t="inlineStr">
        <is>
          <t>6401018.xlsx</t>
        </is>
      </c>
      <c r="G1628" t="inlineStr">
        <is>
          <t>1980Q4</t>
        </is>
      </c>
      <c r="H1628" t="inlineStr">
        <is>
          <t>2026Q2</t>
        </is>
      </c>
      <c r="EH1628" s="2">
        <v>2.5</v>
      </c>
      <c r="EI1628" s="2">
        <v>1.8</v>
      </c>
      <c r="EJ1628" s="2">
        <v>1.6</v>
      </c>
      <c r="EK1628" s="2">
        <v>2.4</v>
      </c>
      <c r="EL1628" s="2">
        <v>3</v>
      </c>
      <c r="EM1628" s="2">
        <v>2.6</v>
      </c>
      <c r="EN1628" s="2">
        <v>2.2</v>
      </c>
      <c r="EO1628" s="2">
        <v>2.3</v>
      </c>
      <c r="EP1628" s="2">
        <v>2.3</v>
      </c>
      <c r="EQ1628" s="2">
        <v>2.5</v>
      </c>
      <c r="ER1628" s="2">
        <v>1.5</v>
      </c>
      <c r="ES1628" s="2">
        <v>1.6</v>
      </c>
      <c r="ET1628" s="2">
        <v>1.9</v>
      </c>
      <c r="EU1628" s="2">
        <v>2.4</v>
      </c>
      <c r="EV1628" s="2">
        <v>2.3</v>
      </c>
      <c r="EW1628" s="2">
        <v>0.9</v>
      </c>
      <c r="EX1628" s="2">
        <v>1.6</v>
      </c>
      <c r="EY1628" s="2">
        <v>1.9</v>
      </c>
      <c r="EZ1628" s="2">
        <v>3</v>
      </c>
      <c r="FA1628" s="2">
        <v>2.6</v>
      </c>
      <c r="FB1628" s="2">
        <v>1.4</v>
      </c>
      <c r="FC1628" s="2">
        <v>3.3</v>
      </c>
      <c r="FD1628" s="2">
        <v>1.3</v>
      </c>
      <c r="FE1628" s="2">
        <v>2</v>
      </c>
      <c r="FF1628" s="2">
        <v>3</v>
      </c>
      <c r="FG1628" s="2">
        <v>1.6</v>
      </c>
      <c r="FH1628" s="2">
        <v>1.3</v>
      </c>
      <c r="FI1628" s="2">
        <v>1.8</v>
      </c>
      <c r="FJ1628" s="2">
        <v>1.4</v>
      </c>
      <c r="FK1628" s="2">
        <v>0.9</v>
      </c>
      <c r="FL1628" s="2">
        <v>1.9</v>
      </c>
      <c r="FM1628" s="2">
        <v>1.4</v>
      </c>
      <c r="FN1628" s="2">
        <v>1.8</v>
      </c>
      <c r="FO1628" s="2">
        <v>0.6</v>
      </c>
      <c r="FP1628" s="2">
        <v>1.8</v>
      </c>
      <c r="FQ1628" s="2">
        <v>2.6</v>
      </c>
      <c r="FR1628" s="2">
        <v>0.5</v>
      </c>
      <c r="FS1628" s="2">
        <v>2.2</v>
      </c>
      <c r="FT1628" s="2">
        <v>2.5</v>
      </c>
      <c r="FU1628" s="2">
        <v>0.6</v>
      </c>
      <c r="FV1628" s="2">
        <v>1.6</v>
      </c>
      <c r="FW1628" s="2">
        <v>0.7</v>
      </c>
      <c r="FX1628" s="2">
        <v>0.5</v>
      </c>
      <c r="FY1628" s="2">
        <v>1</v>
      </c>
      <c r="FZ1628" s="2">
        <v>0.1</v>
      </c>
      <c r="GA1628" s="2">
        <v>0.4</v>
      </c>
      <c r="GB1628" s="2">
        <v>0.7</v>
      </c>
      <c r="GC1628" s="2">
        <v>1</v>
      </c>
      <c r="GD1628" s="2">
        <v>-0.5</v>
      </c>
      <c r="GE1628" s="2">
        <v>0.4</v>
      </c>
      <c r="GF1628" s="2">
        <v>0.8</v>
      </c>
      <c r="GG1628" s="2">
        <v>0</v>
      </c>
      <c r="GH1628" s="2">
        <v>0.1</v>
      </c>
      <c r="GI1628" s="2">
        <v>0.4</v>
      </c>
      <c r="GJ1628" s="2">
        <v>0.2</v>
      </c>
      <c r="GK1628" s="2">
        <v>1.3</v>
      </c>
      <c r="GL1628" s="2">
        <v>-0.4</v>
      </c>
      <c r="GM1628" s="2">
        <v>0.6</v>
      </c>
      <c r="GN1628" s="2">
        <v>2</v>
      </c>
      <c r="GO1628" s="2">
        <v>0.8</v>
      </c>
      <c r="GP1628" s="2">
        <v>0.5</v>
      </c>
      <c r="GQ1628" s="2">
        <v>0.6</v>
      </c>
      <c r="GR1628" s="2">
        <v>0.7</v>
      </c>
      <c r="GS1628" s="2">
        <v>0.5</v>
      </c>
      <c r="GT1628" s="2">
        <v>1.4</v>
      </c>
      <c r="GU1628" s="2">
        <v>-0.2</v>
      </c>
      <c r="GV1628" s="2">
        <v>0.3</v>
      </c>
      <c r="GW1628" s="2">
        <v>0.7</v>
      </c>
      <c r="GX1628" s="2">
        <v>0.7</v>
      </c>
      <c r="GY1628" s="2">
        <v>0.5</v>
      </c>
      <c r="GZ1628" s="2">
        <v>1.2</v>
      </c>
      <c r="HA1628" s="2">
        <v>0</v>
      </c>
      <c r="HB1628" s="2">
        <v>0.2</v>
      </c>
      <c r="HC1628" s="2">
        <v>1</v>
      </c>
      <c r="HD1628" s="2">
        <v>0.5</v>
      </c>
      <c r="HE1628" s="2">
        <v>0.8</v>
      </c>
      <c r="HF1628" s="2">
        <v>1.3</v>
      </c>
      <c r="HG1628" s="2">
        <v>1</v>
      </c>
      <c r="HH1628" s="2">
        <v>1.2</v>
      </c>
      <c r="HI1628" s="2">
        <v>9</v>
      </c>
      <c r="HJ1628" s="2">
        <v>0.7</v>
      </c>
      <c r="HK1628" s="2">
        <v>0.6</v>
      </c>
      <c r="HL1628" s="2">
        <v>1.2</v>
      </c>
      <c r="HM1628" s="2">
        <v>0.7</v>
      </c>
      <c r="HN1628" s="2">
        <v>0.1</v>
      </c>
      <c r="HO1628" s="2">
        <v>1.2</v>
      </c>
      <c r="HP1628" s="2">
        <v>0.9</v>
      </c>
      <c r="HQ1628" s="2">
        <v>1</v>
      </c>
      <c r="HR1628" s="2">
        <v>1</v>
      </c>
      <c r="HS1628" s="2">
        <v>0.3</v>
      </c>
      <c r="HT1628" s="2">
        <v>1.1</v>
      </c>
      <c r="HU1628" s="2">
        <v>0.4</v>
      </c>
      <c r="HV1628" s="2">
        <v>1.2</v>
      </c>
      <c r="HW1628" s="2">
        <v>1.3</v>
      </c>
      <c r="HX1628" s="2">
        <v>0.7</v>
      </c>
      <c r="HY1628" s="2">
        <v>0.6</v>
      </c>
      <c r="HZ1628" s="2">
        <v>1.1</v>
      </c>
      <c r="IA1628" s="2">
        <v>0.8</v>
      </c>
      <c r="IB1628" s="2">
        <v>1.2</v>
      </c>
      <c r="IC1628" s="2">
        <v>1.4</v>
      </c>
      <c r="ID1628" s="2">
        <v>0.5</v>
      </c>
      <c r="IE1628" s="2">
        <v>1</v>
      </c>
      <c r="IF1628" s="2">
        <v>0.6</v>
      </c>
      <c r="IG1628" s="2">
        <v>0.9</v>
      </c>
      <c r="IH1628" s="2">
        <v>0.8</v>
      </c>
      <c r="II1628" s="2">
        <v>0.9</v>
      </c>
      <c r="IJ1628" s="2">
        <v>0.6</v>
      </c>
      <c r="IK1628" s="2">
        <v>1.3</v>
      </c>
      <c r="IL1628" s="2">
        <v>1</v>
      </c>
      <c r="IM1628" s="2">
        <v>1</v>
      </c>
      <c r="IN1628" s="2">
        <v>1.2</v>
      </c>
      <c r="IO1628" s="2">
        <v>1.2</v>
      </c>
      <c r="IP1628" s="2">
        <v>0.9</v>
      </c>
      <c r="IQ1628" s="2">
        <v>1.2</v>
      </c>
      <c r="IR1628" s="2">
        <v>0.8</v>
      </c>
      <c r="IS1628" s="2">
        <v>0.3</v>
      </c>
      <c r="IT1628" s="2">
        <v>0.9</v>
      </c>
      <c r="IU1628" s="2">
        <v>0.9</v>
      </c>
      <c r="IV1628" s="2">
        <v>0.3</v>
      </c>
      <c r="IW1628" s="2">
        <v>0.3</v>
      </c>
      <c r="IX1628" s="2">
        <v>0.5</v>
      </c>
      <c r="IY1628" s="2">
        <v>0.4</v>
      </c>
      <c r="IZ1628" s="2">
        <v>1.3</v>
      </c>
      <c r="JA1628" s="2">
        <v>0.4</v>
      </c>
      <c r="JB1628" s="2">
        <v>0.8</v>
      </c>
      <c r="JC1628" s="2">
        <v>0.5</v>
      </c>
      <c r="JD1628" s="2">
        <v>0.4</v>
      </c>
      <c r="JE1628" s="2">
        <v>0.3</v>
      </c>
      <c r="JF1628" s="2">
        <v>0.4</v>
      </c>
      <c r="JG1628" s="2">
        <v>0.3</v>
      </c>
      <c r="JH1628" s="2">
        <v>0.2</v>
      </c>
      <c r="JI1628" s="2">
        <v>0.5</v>
      </c>
      <c r="JJ1628" s="2">
        <v>0.7</v>
      </c>
      <c r="JK1628" s="2">
        <v>0.3</v>
      </c>
      <c r="JL1628" s="2">
        <v>0.5</v>
      </c>
      <c r="JM1628" s="2">
        <v>0.7</v>
      </c>
      <c r="JN1628" s="2">
        <v>0.7</v>
      </c>
      <c r="JO1628" s="2">
        <v>0.5</v>
      </c>
      <c r="JP1628" s="2">
        <v>0.4</v>
      </c>
      <c r="JQ1628" s="2">
        <v>0.5</v>
      </c>
      <c r="JR1628" s="2">
        <v>0.1</v>
      </c>
      <c r="JS1628" s="2">
        <v>0.6</v>
      </c>
      <c r="JT1628" s="2">
        <v>0.2</v>
      </c>
      <c r="JU1628" s="2">
        <v>0.6</v>
      </c>
      <c r="JV1628" s="2">
        <v>1.1</v>
      </c>
      <c r="KA1628" s="2">
        <v>0.4</v>
      </c>
      <c r="KB1628" s="2">
        <v>0.7</v>
      </c>
      <c r="KC1628" s="2">
        <v>0.4</v>
      </c>
      <c r="KD1628" s="2">
        <v>0.3</v>
      </c>
      <c r="KQ1628" s="2">
        <v>0.4</v>
      </c>
      <c r="KR1628" s="2">
        <v>0.5</v>
      </c>
      <c r="KS1628" s="2">
        <v>0.1</v>
      </c>
      <c r="KT1628" s="2">
        <v>0.6</v>
      </c>
      <c r="LG1628" s="2">
        <v>0.2</v>
      </c>
      <c r="LH1628" s="2">
        <v>0.2</v>
      </c>
      <c r="LI1628" s="2">
        <v>0.6</v>
      </c>
      <c r="LJ1628" s="2">
        <v>0.8</v>
      </c>
      <c r="LW1628" s="2">
        <v>0.8</v>
      </c>
      <c r="LX1628" s="2">
        <v>0</v>
      </c>
      <c r="LY1628" s="2">
        <v>-0.3</v>
      </c>
      <c r="LZ1628" s="2">
        <v>1.3</v>
      </c>
      <c r="MM1628" s="2">
        <v>0.5</v>
      </c>
      <c r="MN1628" s="2">
        <v>-0.6</v>
      </c>
      <c r="MO1628" s="2">
        <v>1.6</v>
      </c>
      <c r="MP1628" s="2">
        <v>1.2</v>
      </c>
      <c r="NC1628" s="2">
        <v>0.6</v>
      </c>
      <c r="ND1628" s="2">
        <v>1.5</v>
      </c>
      <c r="NE1628" s="2">
        <v>2.5</v>
      </c>
      <c r="NF1628" s="2">
        <v>2.2</v>
      </c>
      <c r="NS1628" s="2">
        <v>0.7</v>
      </c>
      <c r="NT1628" s="2">
        <v>1</v>
      </c>
      <c r="NU1628" s="2">
        <v>2</v>
      </c>
      <c r="NV1628" s="2">
        <v>0.7</v>
      </c>
      <c r="OI1628" s="2">
        <v>0.5</v>
      </c>
      <c r="OJ1628" s="2">
        <v>0.8</v>
      </c>
      <c r="OK1628" s="2">
        <v>0.7</v>
      </c>
      <c r="OL1628" s="2">
        <v>0.7</v>
      </c>
      <c r="OY1628" s="2">
        <v>0.5</v>
      </c>
      <c r="OZ1628" s="2">
        <v>0.4</v>
      </c>
      <c r="PA1628" s="2">
        <v>1.2</v>
      </c>
      <c r="PB1628" s="2">
        <v>1.1</v>
      </c>
      <c r="PJ1628" s="2">
        <v>0.9</v>
      </c>
      <c r="PK1628" s="2">
        <v>0.6</v>
      </c>
    </row>
    <row r="1629">
      <c r="A1629" t="inlineStr">
        <is>
          <t>A2327605A</t>
        </is>
      </c>
      <c r="B1629" t="inlineStr">
        <is>
          <t>Percentage Change from Previous Period ;  Take away and fast foods ;  Australia ;</t>
        </is>
      </c>
      <c r="C1629" t="inlineStr">
        <is>
          <t>Quarter</t>
        </is>
      </c>
      <c r="D1629" t="inlineStr">
        <is>
          <t>Percent</t>
        </is>
      </c>
      <c r="E1629" t="inlineStr">
        <is>
          <t>Original</t>
        </is>
      </c>
      <c r="F1629" t="inlineStr">
        <is>
          <t>6401018.xlsx</t>
        </is>
      </c>
      <c r="G1629" t="inlineStr">
        <is>
          <t>1980Q4</t>
        </is>
      </c>
      <c r="H1629" t="inlineStr">
        <is>
          <t>2026Q2</t>
        </is>
      </c>
      <c r="EH1629" s="2">
        <v>2.6</v>
      </c>
      <c r="EI1629" s="2">
        <v>3</v>
      </c>
      <c r="EJ1629" s="2">
        <v>2.1</v>
      </c>
      <c r="EK1629" s="2">
        <v>2</v>
      </c>
      <c r="EL1629" s="2">
        <v>2.5</v>
      </c>
      <c r="EM1629" s="2">
        <v>3.5</v>
      </c>
      <c r="EN1629" s="2">
        <v>2.8</v>
      </c>
      <c r="EO1629" s="2">
        <v>2.8</v>
      </c>
      <c r="EP1629" s="2">
        <v>2.5</v>
      </c>
      <c r="EQ1629" s="2">
        <v>2.1</v>
      </c>
      <c r="ER1629" s="2">
        <v>1.5</v>
      </c>
      <c r="ES1629" s="2">
        <v>3</v>
      </c>
      <c r="ET1629" s="2">
        <v>2</v>
      </c>
      <c r="EU1629" s="2">
        <v>1.6</v>
      </c>
      <c r="EV1629" s="2">
        <v>2.4</v>
      </c>
      <c r="EW1629" s="2">
        <v>0.9</v>
      </c>
      <c r="EX1629" s="2">
        <v>1.9</v>
      </c>
      <c r="EY1629" s="2">
        <v>2.3</v>
      </c>
      <c r="EZ1629" s="2">
        <v>1.9</v>
      </c>
      <c r="FA1629" s="2">
        <v>1.9</v>
      </c>
      <c r="FB1629" s="2">
        <v>3.1</v>
      </c>
      <c r="FC1629" s="2">
        <v>1.9</v>
      </c>
      <c r="FD1629" s="2">
        <v>2.3</v>
      </c>
      <c r="FE1629" s="2">
        <v>1.6</v>
      </c>
      <c r="FF1629" s="2">
        <v>1.7</v>
      </c>
      <c r="FG1629" s="2">
        <v>2.2</v>
      </c>
      <c r="FH1629" s="2">
        <v>1.8</v>
      </c>
      <c r="FI1629" s="2">
        <v>1.3</v>
      </c>
      <c r="FJ1629" s="2">
        <v>1.7</v>
      </c>
      <c r="FK1629" s="2">
        <v>2.6</v>
      </c>
      <c r="FL1629" s="2">
        <v>1.3</v>
      </c>
      <c r="FM1629" s="2">
        <v>1.9</v>
      </c>
      <c r="FN1629" s="2">
        <v>2.2</v>
      </c>
      <c r="FO1629" s="2">
        <v>3</v>
      </c>
      <c r="FP1629" s="2">
        <v>2.9</v>
      </c>
      <c r="FQ1629" s="2">
        <v>0.3</v>
      </c>
      <c r="FR1629" s="2">
        <v>2.3</v>
      </c>
      <c r="FS1629" s="2">
        <v>2.3</v>
      </c>
      <c r="FT1629" s="2">
        <v>2</v>
      </c>
      <c r="FU1629" s="2">
        <v>1.2</v>
      </c>
      <c r="FV1629" s="2">
        <v>2.3</v>
      </c>
      <c r="FW1629" s="2">
        <v>1.3</v>
      </c>
      <c r="FX1629" s="2">
        <v>1.9</v>
      </c>
      <c r="FY1629" s="2">
        <v>1.1</v>
      </c>
      <c r="FZ1629" s="2">
        <v>1.9</v>
      </c>
      <c r="GA1629" s="2">
        <v>0.2</v>
      </c>
      <c r="GB1629" s="2">
        <v>1.3</v>
      </c>
      <c r="GC1629" s="2">
        <v>0.7</v>
      </c>
      <c r="GD1629" s="2">
        <v>0.2</v>
      </c>
      <c r="GE1629" s="2">
        <v>1.5</v>
      </c>
      <c r="GF1629" s="2">
        <v>0.5</v>
      </c>
      <c r="GG1629" s="2">
        <v>0.3</v>
      </c>
      <c r="GH1629" s="2">
        <v>-0.4</v>
      </c>
      <c r="GI1629" s="2">
        <v>-1.3</v>
      </c>
      <c r="GJ1629" s="2">
        <v>-2.1</v>
      </c>
      <c r="GK1629" s="2">
        <v>0.1</v>
      </c>
      <c r="GL1629" s="2">
        <v>-0.5</v>
      </c>
      <c r="GM1629" s="2">
        <v>0.5</v>
      </c>
      <c r="GN1629" s="2">
        <v>1.4</v>
      </c>
      <c r="GO1629" s="2">
        <v>-0.3</v>
      </c>
      <c r="GP1629" s="2">
        <v>0.1</v>
      </c>
      <c r="GQ1629" s="2">
        <v>0.2</v>
      </c>
      <c r="GR1629" s="2">
        <v>1.9</v>
      </c>
      <c r="GS1629" s="2">
        <v>0.2</v>
      </c>
      <c r="GT1629" s="2">
        <v>0.1</v>
      </c>
      <c r="GU1629" s="2">
        <v>1.4</v>
      </c>
      <c r="GV1629" s="2">
        <v>0.7</v>
      </c>
      <c r="GW1629" s="2">
        <v>0</v>
      </c>
      <c r="GX1629" s="2">
        <v>-1.1</v>
      </c>
      <c r="GY1629" s="2">
        <v>1.6</v>
      </c>
      <c r="GZ1629" s="2">
        <v>0.4</v>
      </c>
      <c r="HA1629" s="2">
        <v>0.2</v>
      </c>
      <c r="HB1629" s="2">
        <v>0.3</v>
      </c>
      <c r="HC1629" s="2">
        <v>1.5</v>
      </c>
      <c r="HD1629" s="2">
        <v>0.6</v>
      </c>
      <c r="HE1629" s="2">
        <v>1</v>
      </c>
      <c r="HF1629" s="2">
        <v>1.3</v>
      </c>
      <c r="HG1629" s="2">
        <v>0.3</v>
      </c>
      <c r="HH1629" s="2">
        <v>0.5</v>
      </c>
      <c r="HI1629" s="2">
        <v>7.6</v>
      </c>
      <c r="HJ1629" s="2">
        <v>1.9</v>
      </c>
      <c r="HK1629" s="2">
        <v>0.7</v>
      </c>
      <c r="HL1629" s="2">
        <v>1.3</v>
      </c>
      <c r="HM1629" s="2">
        <v>0.6</v>
      </c>
      <c r="HN1629" s="2">
        <v>1.3</v>
      </c>
      <c r="HO1629" s="2">
        <v>0.7</v>
      </c>
      <c r="HP1629" s="2">
        <v>0.4</v>
      </c>
      <c r="HQ1629" s="2">
        <v>0.8</v>
      </c>
      <c r="HR1629" s="2">
        <v>0.4</v>
      </c>
      <c r="HS1629" s="2">
        <v>1.3</v>
      </c>
      <c r="HT1629" s="2">
        <v>0.9</v>
      </c>
      <c r="HU1629" s="2">
        <v>1.2</v>
      </c>
      <c r="HV1629" s="2">
        <v>1.1</v>
      </c>
      <c r="HW1629" s="2">
        <v>0.3</v>
      </c>
      <c r="HX1629" s="2">
        <v>0.6</v>
      </c>
      <c r="HY1629" s="2">
        <v>0.5</v>
      </c>
      <c r="HZ1629" s="2">
        <v>0.6</v>
      </c>
      <c r="IA1629" s="2">
        <v>1.2</v>
      </c>
      <c r="IB1629" s="2">
        <v>0.5</v>
      </c>
      <c r="IC1629" s="2">
        <v>0.7</v>
      </c>
      <c r="ID1629" s="2">
        <v>1.2</v>
      </c>
      <c r="IE1629" s="2">
        <v>0.6</v>
      </c>
      <c r="IF1629" s="2">
        <v>0.8</v>
      </c>
      <c r="IG1629" s="2">
        <v>0.9</v>
      </c>
      <c r="IH1629" s="2">
        <v>0.6</v>
      </c>
      <c r="II1629" s="2">
        <v>1.6</v>
      </c>
      <c r="IJ1629" s="2">
        <v>0.8</v>
      </c>
      <c r="IK1629" s="2">
        <v>1</v>
      </c>
      <c r="IL1629" s="2">
        <v>1.4</v>
      </c>
      <c r="IM1629" s="2">
        <v>2.3</v>
      </c>
      <c r="IN1629" s="2">
        <v>1.8</v>
      </c>
      <c r="IO1629" s="2">
        <v>1.3</v>
      </c>
      <c r="IP1629" s="2">
        <v>1.5</v>
      </c>
      <c r="IQ1629" s="2">
        <v>1.7</v>
      </c>
      <c r="IR1629" s="2">
        <v>1</v>
      </c>
      <c r="IS1629" s="2">
        <v>0.8</v>
      </c>
      <c r="IT1629" s="2">
        <v>0.2</v>
      </c>
      <c r="IU1629" s="2">
        <v>0.8</v>
      </c>
      <c r="IV1629" s="2">
        <v>0.5</v>
      </c>
      <c r="IW1629" s="2">
        <v>0.5</v>
      </c>
      <c r="IX1629" s="2">
        <v>1.1</v>
      </c>
      <c r="IY1629" s="2">
        <v>0.8</v>
      </c>
      <c r="IZ1629" s="2">
        <v>0.8</v>
      </c>
      <c r="JA1629" s="2">
        <v>1</v>
      </c>
      <c r="JB1629" s="2">
        <v>0.5</v>
      </c>
      <c r="JC1629" s="2">
        <v>0.6</v>
      </c>
      <c r="JD1629" s="2">
        <v>1</v>
      </c>
      <c r="JE1629" s="2">
        <v>1</v>
      </c>
      <c r="JF1629" s="2">
        <v>0.5</v>
      </c>
      <c r="JG1629" s="2">
        <v>0.6</v>
      </c>
      <c r="JH1629" s="2">
        <v>0.2</v>
      </c>
      <c r="JI1629" s="2">
        <v>0.6</v>
      </c>
      <c r="JJ1629" s="2">
        <v>0.6</v>
      </c>
      <c r="JK1629" s="2">
        <v>0.6</v>
      </c>
      <c r="JL1629" s="2">
        <v>0.7</v>
      </c>
      <c r="JM1629" s="2">
        <v>0.2</v>
      </c>
      <c r="JN1629" s="2">
        <v>0.7</v>
      </c>
      <c r="JO1629" s="2">
        <v>0.6</v>
      </c>
      <c r="JP1629" s="2">
        <v>0.2</v>
      </c>
      <c r="JQ1629" s="2">
        <v>0.6</v>
      </c>
      <c r="JR1629" s="2">
        <v>1.3</v>
      </c>
      <c r="JS1629" s="2">
        <v>0.1</v>
      </c>
      <c r="JT1629" s="2">
        <v>0</v>
      </c>
      <c r="JU1629" s="2">
        <v>0.3</v>
      </c>
      <c r="JV1629" s="2">
        <v>0.5</v>
      </c>
      <c r="KA1629" s="2">
        <v>0.3</v>
      </c>
      <c r="KB1629" s="2">
        <v>0.7</v>
      </c>
      <c r="KC1629" s="2">
        <v>0.3</v>
      </c>
      <c r="KD1629" s="2">
        <v>0.5</v>
      </c>
      <c r="KQ1629" s="2">
        <v>0.5</v>
      </c>
      <c r="KR1629" s="2">
        <v>0.8</v>
      </c>
      <c r="KS1629" s="2">
        <v>0.8</v>
      </c>
      <c r="KT1629" s="2">
        <v>0.6</v>
      </c>
      <c r="LG1629" s="2">
        <v>0.9</v>
      </c>
      <c r="LH1629" s="2">
        <v>-0.3</v>
      </c>
      <c r="LI1629" s="2">
        <v>0.6</v>
      </c>
      <c r="LJ1629" s="2">
        <v>1.2</v>
      </c>
      <c r="LW1629" s="2">
        <v>0.6</v>
      </c>
      <c r="LX1629" s="2">
        <v>0.7</v>
      </c>
      <c r="LY1629" s="2">
        <v>-0.7</v>
      </c>
      <c r="LZ1629" s="2">
        <v>0.9</v>
      </c>
      <c r="MM1629" s="2">
        <v>0.6</v>
      </c>
      <c r="MN1629" s="2">
        <v>-0.7</v>
      </c>
      <c r="MO1629" s="2">
        <v>1.4</v>
      </c>
      <c r="MP1629" s="2">
        <v>0.8</v>
      </c>
      <c r="NC1629" s="2">
        <v>0.8</v>
      </c>
      <c r="ND1629" s="2">
        <v>1.5</v>
      </c>
      <c r="NE1629" s="2">
        <v>3.3</v>
      </c>
      <c r="NF1629" s="2">
        <v>2</v>
      </c>
      <c r="NS1629" s="2">
        <v>0.9</v>
      </c>
      <c r="NT1629" s="2">
        <v>2.7</v>
      </c>
      <c r="NU1629" s="2">
        <v>2.1</v>
      </c>
      <c r="NV1629" s="2">
        <v>1.1</v>
      </c>
      <c r="OI1629" s="2">
        <v>0.5</v>
      </c>
      <c r="OJ1629" s="2">
        <v>0.5</v>
      </c>
      <c r="OK1629" s="2">
        <v>0.9</v>
      </c>
      <c r="OL1629" s="2">
        <v>0.5</v>
      </c>
      <c r="OY1629" s="2">
        <v>0.7</v>
      </c>
      <c r="OZ1629" s="2">
        <v>1.1</v>
      </c>
      <c r="PA1629" s="2">
        <v>1.5</v>
      </c>
      <c r="PB1629" s="2">
        <v>0.5</v>
      </c>
      <c r="PJ1629" s="2">
        <v>0.9</v>
      </c>
      <c r="PK1629" s="2">
        <v>1.2</v>
      </c>
    </row>
    <row r="1630">
      <c r="A1630" t="inlineStr">
        <is>
          <t>A2326120K</t>
        </is>
      </c>
      <c r="B1630" t="inlineStr">
        <is>
          <t>Percentage Change from Previous Period ;  Alcohol and tobacco ;  Australia ;</t>
        </is>
      </c>
      <c r="C1630" t="inlineStr">
        <is>
          <t>Quarter</t>
        </is>
      </c>
      <c r="D1630" t="inlineStr">
        <is>
          <t>Percent</t>
        </is>
      </c>
      <c r="E1630" t="inlineStr">
        <is>
          <t>Original</t>
        </is>
      </c>
      <c r="F1630" t="inlineStr">
        <is>
          <t>6401018.xlsx</t>
        </is>
      </c>
      <c r="G1630" t="inlineStr">
        <is>
          <t>1972Q4</t>
        </is>
      </c>
      <c r="H1630" t="inlineStr">
        <is>
          <t>2026Q2</t>
        </is>
      </c>
      <c r="DB1630" s="2">
        <v>0.8</v>
      </c>
      <c r="DC1630" s="2">
        <v>1.9</v>
      </c>
      <c r="DD1630" s="2">
        <v>3.4</v>
      </c>
      <c r="DE1630" s="2">
        <v>0</v>
      </c>
      <c r="DF1630" s="2">
        <v>5.8</v>
      </c>
      <c r="DG1630" s="2">
        <v>0</v>
      </c>
      <c r="DH1630" s="2">
        <v>5.1</v>
      </c>
      <c r="DI1630" s="2">
        <v>6.8</v>
      </c>
      <c r="DJ1630" s="2">
        <v>1.5</v>
      </c>
      <c r="DK1630" s="2">
        <v>5.4</v>
      </c>
      <c r="DL1630" s="2">
        <v>2</v>
      </c>
      <c r="DM1630" s="2">
        <v>2.2</v>
      </c>
      <c r="DN1630" s="2">
        <v>18.8</v>
      </c>
      <c r="DO1630" s="2">
        <v>2.1</v>
      </c>
      <c r="DP1630" s="2">
        <v>2.5</v>
      </c>
      <c r="DQ1630" s="2">
        <v>0</v>
      </c>
      <c r="DR1630" s="2">
        <v>1.3</v>
      </c>
      <c r="DS1630" s="2">
        <v>0.6</v>
      </c>
      <c r="DT1630" s="2">
        <v>1.3</v>
      </c>
      <c r="DU1630" s="2">
        <v>1.3</v>
      </c>
      <c r="DV1630" s="2">
        <v>1.3</v>
      </c>
      <c r="DW1630" s="2">
        <v>1.2</v>
      </c>
      <c r="DX1630" s="2">
        <v>0.2</v>
      </c>
      <c r="DY1630" s="2">
        <v>0.8</v>
      </c>
      <c r="DZ1630" s="2">
        <v>17.2</v>
      </c>
      <c r="EA1630" s="2">
        <v>-0.2</v>
      </c>
      <c r="EB1630" s="2">
        <v>1.2</v>
      </c>
      <c r="EC1630" s="2">
        <v>1.4</v>
      </c>
      <c r="ED1630" s="2">
        <v>1.2</v>
      </c>
      <c r="EE1630" s="2">
        <v>2</v>
      </c>
      <c r="EF1630" s="2">
        <v>1.6</v>
      </c>
      <c r="EG1630" s="2">
        <v>1.9</v>
      </c>
      <c r="EH1630" s="2">
        <v>0.9</v>
      </c>
      <c r="EI1630" s="2">
        <v>2.2</v>
      </c>
      <c r="EJ1630" s="2">
        <v>1.7</v>
      </c>
      <c r="EK1630" s="2">
        <v>3</v>
      </c>
      <c r="EL1630" s="2">
        <v>1.8</v>
      </c>
      <c r="EM1630" s="2">
        <v>2.7</v>
      </c>
      <c r="EN1630" s="2">
        <v>2.2</v>
      </c>
      <c r="EO1630" s="2">
        <v>4.4</v>
      </c>
      <c r="EP1630" s="2">
        <v>5.2</v>
      </c>
      <c r="EQ1630" s="2">
        <v>1.5</v>
      </c>
      <c r="ER1630" s="2">
        <v>2.1</v>
      </c>
      <c r="ES1630" s="2">
        <v>2.2</v>
      </c>
      <c r="ET1630" s="2">
        <v>6.2</v>
      </c>
      <c r="EU1630" s="2">
        <v>1.8</v>
      </c>
      <c r="EV1630" s="2">
        <v>2.5</v>
      </c>
      <c r="EW1630" s="2">
        <v>1.5</v>
      </c>
      <c r="EX1630" s="2">
        <v>2</v>
      </c>
      <c r="EY1630" s="2">
        <v>1.1</v>
      </c>
      <c r="EZ1630" s="2">
        <v>1.5</v>
      </c>
      <c r="FA1630" s="2">
        <v>2.8</v>
      </c>
      <c r="FB1630" s="2">
        <v>2.4</v>
      </c>
      <c r="FC1630" s="2">
        <v>2.9</v>
      </c>
      <c r="FD1630" s="2">
        <v>2</v>
      </c>
      <c r="FE1630" s="2">
        <v>2.3</v>
      </c>
      <c r="FF1630" s="2">
        <v>3</v>
      </c>
      <c r="FG1630" s="2">
        <v>2.7</v>
      </c>
      <c r="FH1630" s="2">
        <v>2.4</v>
      </c>
      <c r="FI1630" s="2">
        <v>1.5</v>
      </c>
      <c r="FJ1630" s="2">
        <v>1.7</v>
      </c>
      <c r="FK1630" s="2">
        <v>2</v>
      </c>
      <c r="FL1630" s="2">
        <v>1.6</v>
      </c>
      <c r="FM1630" s="2">
        <v>1.2</v>
      </c>
      <c r="FN1630" s="2">
        <v>0.2</v>
      </c>
      <c r="FO1630" s="2">
        <v>1.9</v>
      </c>
      <c r="FP1630" s="2">
        <v>2.2</v>
      </c>
      <c r="FQ1630" s="2">
        <v>2.3</v>
      </c>
      <c r="FR1630" s="2">
        <v>2</v>
      </c>
      <c r="FS1630" s="2">
        <v>2.2</v>
      </c>
      <c r="FT1630" s="2">
        <v>1.8</v>
      </c>
      <c r="FU1630" s="2">
        <v>1.9</v>
      </c>
      <c r="FV1630" s="2">
        <v>3.3</v>
      </c>
      <c r="FW1630" s="2">
        <v>1.4</v>
      </c>
      <c r="FX1630" s="2">
        <v>2</v>
      </c>
      <c r="FY1630" s="2">
        <v>1.3</v>
      </c>
      <c r="FZ1630" s="2">
        <v>1</v>
      </c>
      <c r="GA1630" s="2">
        <v>0.4</v>
      </c>
      <c r="GB1630" s="2">
        <v>1.1</v>
      </c>
      <c r="GC1630" s="2">
        <v>3.2</v>
      </c>
      <c r="GD1630" s="2">
        <v>2.7</v>
      </c>
      <c r="GE1630" s="2">
        <v>2.2</v>
      </c>
      <c r="GF1630" s="2">
        <v>1.5</v>
      </c>
      <c r="GG1630" s="2">
        <v>2.2</v>
      </c>
      <c r="GH1630" s="2">
        <v>1.8</v>
      </c>
      <c r="GI1630" s="2">
        <v>1</v>
      </c>
      <c r="GJ1630" s="2">
        <v>1.3</v>
      </c>
      <c r="GK1630" s="2">
        <v>0.9</v>
      </c>
      <c r="GL1630" s="2">
        <v>1.2</v>
      </c>
      <c r="GM1630" s="2">
        <v>1.4</v>
      </c>
      <c r="GN1630" s="2">
        <v>3.8</v>
      </c>
      <c r="GO1630" s="2">
        <v>3.4</v>
      </c>
      <c r="GP1630" s="2">
        <v>2.6</v>
      </c>
      <c r="GQ1630" s="2">
        <v>1.6</v>
      </c>
      <c r="GR1630" s="2">
        <v>1.3</v>
      </c>
      <c r="GS1630" s="2">
        <v>0.4</v>
      </c>
      <c r="GT1630" s="2">
        <v>0.5</v>
      </c>
      <c r="GU1630" s="2">
        <v>0.3</v>
      </c>
      <c r="GV1630" s="2">
        <v>0.3</v>
      </c>
      <c r="GW1630" s="2">
        <v>-0.1</v>
      </c>
      <c r="GX1630" s="2">
        <v>1.5</v>
      </c>
      <c r="GY1630" s="2">
        <v>0.7</v>
      </c>
      <c r="GZ1630" s="2">
        <v>0.8</v>
      </c>
      <c r="HA1630" s="2">
        <v>0.4</v>
      </c>
      <c r="HB1630" s="2">
        <v>0.2</v>
      </c>
      <c r="HC1630" s="2">
        <v>0.8</v>
      </c>
      <c r="HD1630" s="2">
        <v>0.7</v>
      </c>
      <c r="HE1630" s="2">
        <v>0.2</v>
      </c>
      <c r="HF1630" s="2">
        <v>2</v>
      </c>
      <c r="HG1630" s="2">
        <v>1.7</v>
      </c>
      <c r="HH1630" s="2">
        <v>0.8</v>
      </c>
      <c r="HI1630" s="2">
        <v>6.5</v>
      </c>
      <c r="HJ1630" s="2">
        <v>1</v>
      </c>
      <c r="HK1630" s="2">
        <v>2.6</v>
      </c>
      <c r="HL1630" s="2">
        <v>1.2</v>
      </c>
      <c r="HM1630" s="2">
        <v>1.1</v>
      </c>
      <c r="HN1630" s="2">
        <v>0.2</v>
      </c>
      <c r="HO1630" s="2">
        <v>1</v>
      </c>
      <c r="HP1630" s="2">
        <v>0.5</v>
      </c>
      <c r="HQ1630" s="2">
        <v>1.1</v>
      </c>
      <c r="HR1630" s="2">
        <v>0</v>
      </c>
      <c r="HS1630" s="2">
        <v>1.2</v>
      </c>
      <c r="HT1630" s="2">
        <v>0.6</v>
      </c>
      <c r="HU1630" s="2">
        <v>1.9</v>
      </c>
      <c r="HV1630" s="2">
        <v>0.6</v>
      </c>
      <c r="HW1630" s="2">
        <v>1.1</v>
      </c>
      <c r="HX1630" s="2">
        <v>0.7</v>
      </c>
      <c r="HY1630" s="2">
        <v>0.9</v>
      </c>
      <c r="HZ1630" s="2">
        <v>0.7</v>
      </c>
      <c r="IA1630" s="2">
        <v>1.3</v>
      </c>
      <c r="IB1630" s="2">
        <v>0.5</v>
      </c>
      <c r="IC1630" s="2">
        <v>1</v>
      </c>
      <c r="ID1630" s="2">
        <v>0.5</v>
      </c>
      <c r="IE1630" s="2">
        <v>1.3</v>
      </c>
      <c r="IF1630" s="2">
        <v>0.9</v>
      </c>
      <c r="IG1630" s="2">
        <v>0.6</v>
      </c>
      <c r="IH1630" s="2">
        <v>0.7</v>
      </c>
      <c r="II1630" s="2">
        <v>0.9</v>
      </c>
      <c r="IJ1630" s="2">
        <v>0.8</v>
      </c>
      <c r="IK1630" s="2">
        <v>0.6</v>
      </c>
      <c r="IL1630" s="2">
        <v>1.3</v>
      </c>
      <c r="IM1630" s="2">
        <v>1</v>
      </c>
      <c r="IN1630" s="2">
        <v>1.8</v>
      </c>
      <c r="IO1630" s="2">
        <v>1.4</v>
      </c>
      <c r="IP1630" s="2">
        <v>1.4</v>
      </c>
      <c r="IQ1630" s="2">
        <v>0.9</v>
      </c>
      <c r="IR1630" s="2">
        <v>0.8</v>
      </c>
      <c r="IS1630" s="2">
        <v>0.8</v>
      </c>
      <c r="IT1630" s="2">
        <v>0.5</v>
      </c>
      <c r="IU1630" s="2">
        <v>1.3</v>
      </c>
      <c r="IV1630" s="2">
        <v>5.9</v>
      </c>
      <c r="IW1630" s="2">
        <v>3.1</v>
      </c>
      <c r="IX1630" s="2">
        <v>0.8</v>
      </c>
      <c r="IY1630" s="2">
        <v>1.1</v>
      </c>
      <c r="IZ1630" s="2">
        <v>0.6</v>
      </c>
      <c r="JA1630" s="2">
        <v>0.6</v>
      </c>
      <c r="JB1630" s="2">
        <v>0.8</v>
      </c>
      <c r="JC1630" s="2">
        <v>1.4</v>
      </c>
      <c r="JD1630" s="2">
        <v>1</v>
      </c>
      <c r="JE1630" s="2">
        <v>0.9</v>
      </c>
      <c r="JF1630" s="2">
        <v>0.2</v>
      </c>
      <c r="JG1630" s="2">
        <v>1.6</v>
      </c>
      <c r="JH1630" s="2">
        <v>1.4</v>
      </c>
      <c r="JI1630" s="2">
        <v>0.8</v>
      </c>
      <c r="JJ1630" s="2">
        <v>1.6</v>
      </c>
      <c r="JK1630" s="2">
        <v>2.9</v>
      </c>
      <c r="JL1630" s="2">
        <v>1.6</v>
      </c>
      <c r="JM1630" s="2">
        <v>1.1</v>
      </c>
      <c r="JN1630" s="2">
        <v>1.7</v>
      </c>
      <c r="JO1630" s="2">
        <v>0.8</v>
      </c>
      <c r="JP1630" s="2">
        <v>1.2</v>
      </c>
      <c r="JQ1630" s="2">
        <v>1.2</v>
      </c>
      <c r="JR1630" s="2">
        <v>2.7</v>
      </c>
      <c r="JS1630" s="2">
        <v>0.8</v>
      </c>
      <c r="JT1630" s="2">
        <v>1</v>
      </c>
      <c r="JU1630" s="2">
        <v>1.2</v>
      </c>
      <c r="JV1630" s="2">
        <v>2.8</v>
      </c>
      <c r="KA1630" s="2">
        <v>1.1</v>
      </c>
      <c r="KB1630" s="2">
        <v>0.7</v>
      </c>
      <c r="KC1630" s="2">
        <v>2.2</v>
      </c>
      <c r="KD1630" s="2">
        <v>3.2</v>
      </c>
      <c r="KQ1630" s="2">
        <v>0.7</v>
      </c>
      <c r="KR1630" s="2">
        <v>1.5</v>
      </c>
      <c r="KS1630" s="2">
        <v>1.3</v>
      </c>
      <c r="KT1630" s="2">
        <v>3.1</v>
      </c>
      <c r="LG1630" s="2">
        <v>0.3</v>
      </c>
      <c r="LH1630" s="2">
        <v>1</v>
      </c>
      <c r="LI1630" s="2">
        <v>2</v>
      </c>
      <c r="LJ1630" s="2">
        <v>3</v>
      </c>
      <c r="LW1630" s="2">
        <v>1.6</v>
      </c>
      <c r="LX1630" s="2">
        <v>1.5</v>
      </c>
      <c r="LY1630" s="2">
        <v>1.6</v>
      </c>
      <c r="LZ1630" s="2">
        <v>4.2</v>
      </c>
      <c r="MM1630" s="2">
        <v>0.3</v>
      </c>
      <c r="MN1630" s="2">
        <v>0.4</v>
      </c>
      <c r="MO1630" s="2">
        <v>-0.5</v>
      </c>
      <c r="MP1630" s="2">
        <v>0.9</v>
      </c>
      <c r="NC1630" s="2">
        <v>1.1</v>
      </c>
      <c r="ND1630" s="2">
        <v>0.8</v>
      </c>
      <c r="NE1630" s="2">
        <v>1.2</v>
      </c>
      <c r="NF1630" s="2">
        <v>1.2</v>
      </c>
      <c r="NS1630" s="2">
        <v>1.2</v>
      </c>
      <c r="NT1630" s="2">
        <v>1</v>
      </c>
      <c r="NU1630" s="2">
        <v>1.4</v>
      </c>
      <c r="NV1630" s="2">
        <v>2.8</v>
      </c>
      <c r="OI1630" s="2">
        <v>0.9</v>
      </c>
      <c r="OJ1630" s="2">
        <v>1.5</v>
      </c>
      <c r="OK1630" s="2">
        <v>1.4</v>
      </c>
      <c r="OL1630" s="2">
        <v>2.3</v>
      </c>
      <c r="OY1630" s="2">
        <v>1.2</v>
      </c>
      <c r="OZ1630" s="2">
        <v>0.6</v>
      </c>
      <c r="PA1630" s="2">
        <v>1.6</v>
      </c>
      <c r="PB1630" s="2">
        <v>0.9</v>
      </c>
      <c r="PJ1630" s="2">
        <v>1.3</v>
      </c>
      <c r="PK1630" s="2">
        <v>0.5</v>
      </c>
    </row>
    <row r="1631">
      <c r="A1631" t="inlineStr">
        <is>
          <t>A2326750C</t>
        </is>
      </c>
      <c r="B1631" t="inlineStr">
        <is>
          <t>Percentage Change from Previous Period ;  Alcoholic beverages ;  Australia ;</t>
        </is>
      </c>
      <c r="C1631" t="inlineStr">
        <is>
          <t>Quarter</t>
        </is>
      </c>
      <c r="D1631" t="inlineStr">
        <is>
          <t>Percent</t>
        </is>
      </c>
      <c r="E1631" t="inlineStr">
        <is>
          <t>Original</t>
        </is>
      </c>
      <c r="F1631" t="inlineStr">
        <is>
          <t>6401018.xlsx</t>
        </is>
      </c>
      <c r="G1631" t="inlineStr">
        <is>
          <t>1972Q4</t>
        </is>
      </c>
      <c r="H1631" t="inlineStr">
        <is>
          <t>2026Q2</t>
        </is>
      </c>
      <c r="DB1631" s="2">
        <v>1</v>
      </c>
      <c r="DC1631" s="2">
        <v>0.4</v>
      </c>
      <c r="DD1631" s="2">
        <v>6.6</v>
      </c>
      <c r="DE1631" s="2">
        <v>0.4</v>
      </c>
      <c r="DF1631" s="2">
        <v>0</v>
      </c>
      <c r="DG1631" s="2">
        <v>0.5</v>
      </c>
      <c r="DH1631" s="2">
        <v>7.3</v>
      </c>
      <c r="DI1631" s="2">
        <v>4.9</v>
      </c>
      <c r="DJ1631" s="2">
        <v>3.2</v>
      </c>
      <c r="DK1631" s="2">
        <v>3.1</v>
      </c>
      <c r="DL1631" s="2">
        <v>1.6</v>
      </c>
      <c r="DM1631" s="2">
        <v>2.7</v>
      </c>
      <c r="DN1631" s="2">
        <v>19.2</v>
      </c>
      <c r="DO1631" s="2">
        <v>1.3</v>
      </c>
      <c r="DP1631" s="2">
        <v>3</v>
      </c>
      <c r="DQ1631" s="2">
        <v>-0.3</v>
      </c>
      <c r="DR1631" s="2">
        <v>1.4</v>
      </c>
      <c r="DS1631" s="2">
        <v>0.6</v>
      </c>
      <c r="DT1631" s="2">
        <v>1.2</v>
      </c>
      <c r="DU1631" s="2">
        <v>1.1</v>
      </c>
      <c r="DV1631" s="2">
        <v>2</v>
      </c>
      <c r="DW1631" s="2">
        <v>0.8</v>
      </c>
      <c r="DX1631" s="2">
        <v>0.9</v>
      </c>
      <c r="DY1631" s="2">
        <v>1.1</v>
      </c>
      <c r="DZ1631" s="2">
        <v>18</v>
      </c>
      <c r="EA1631" s="2">
        <v>-0.5</v>
      </c>
      <c r="EB1631" s="2">
        <v>1.4</v>
      </c>
      <c r="EC1631" s="2">
        <v>0.9</v>
      </c>
      <c r="ED1631" s="2">
        <v>1.1</v>
      </c>
      <c r="EE1631" s="2">
        <v>2</v>
      </c>
      <c r="EF1631" s="2">
        <v>1.7</v>
      </c>
      <c r="EG1631" s="2">
        <v>1.9</v>
      </c>
      <c r="EH1631" s="2">
        <v>1.5</v>
      </c>
      <c r="EI1631" s="2">
        <v>2.5</v>
      </c>
      <c r="EJ1631" s="2">
        <v>1.6</v>
      </c>
      <c r="EK1631" s="2">
        <v>3</v>
      </c>
      <c r="EL1631" s="2">
        <v>1.5</v>
      </c>
      <c r="EM1631" s="2">
        <v>3.3</v>
      </c>
      <c r="EN1631" s="2">
        <v>2.2</v>
      </c>
      <c r="EO1631" s="2">
        <v>3.8</v>
      </c>
      <c r="EP1631" s="2">
        <v>4.4</v>
      </c>
      <c r="EQ1631" s="2">
        <v>1.3</v>
      </c>
      <c r="ER1631" s="2">
        <v>1.5</v>
      </c>
      <c r="ES1631" s="2">
        <v>0.8</v>
      </c>
      <c r="ET1631" s="2">
        <v>4.2</v>
      </c>
      <c r="EU1631" s="2">
        <v>2.2</v>
      </c>
      <c r="EV1631" s="2">
        <v>2.7</v>
      </c>
      <c r="EW1631" s="2">
        <v>1</v>
      </c>
      <c r="EX1631" s="2">
        <v>2.1</v>
      </c>
      <c r="EY1631" s="2">
        <v>1.1</v>
      </c>
      <c r="EZ1631" s="2">
        <v>1.3</v>
      </c>
      <c r="FA1631" s="2">
        <v>2.5</v>
      </c>
      <c r="FB1631" s="2">
        <v>2</v>
      </c>
      <c r="FC1631" s="2">
        <v>2.3</v>
      </c>
      <c r="FD1631" s="2">
        <v>1.8</v>
      </c>
      <c r="FE1631" s="2">
        <v>2.3</v>
      </c>
      <c r="FF1631" s="2">
        <v>3</v>
      </c>
      <c r="FG1631" s="2">
        <v>2.7</v>
      </c>
      <c r="FH1631" s="2">
        <v>2.4</v>
      </c>
      <c r="FI1631" s="2">
        <v>1.7</v>
      </c>
      <c r="FJ1631" s="2">
        <v>1.5</v>
      </c>
      <c r="FK1631" s="2">
        <v>2</v>
      </c>
      <c r="FL1631" s="2">
        <v>1.9</v>
      </c>
      <c r="FM1631" s="2">
        <v>0.9</v>
      </c>
      <c r="FN1631" s="2">
        <v>-0.8</v>
      </c>
      <c r="FO1631" s="2">
        <v>1.3</v>
      </c>
      <c r="FP1631" s="2">
        <v>2.2</v>
      </c>
      <c r="FQ1631" s="2">
        <v>1.9</v>
      </c>
      <c r="FR1631" s="2">
        <v>1.4</v>
      </c>
      <c r="FS1631" s="2">
        <v>1.7</v>
      </c>
      <c r="FT1631" s="2">
        <v>1.6</v>
      </c>
      <c r="FU1631" s="2">
        <v>2</v>
      </c>
      <c r="FV1631" s="2">
        <v>2</v>
      </c>
      <c r="FW1631" s="2">
        <v>1.4</v>
      </c>
      <c r="FX1631" s="2">
        <v>1.8</v>
      </c>
      <c r="FY1631" s="2">
        <v>0.4</v>
      </c>
      <c r="FZ1631" s="2">
        <v>0.8</v>
      </c>
      <c r="GA1631" s="2">
        <v>0.3</v>
      </c>
      <c r="GB1631" s="2">
        <v>1.1</v>
      </c>
      <c r="GC1631" s="2">
        <v>0.3</v>
      </c>
      <c r="GD1631" s="2">
        <v>0.4</v>
      </c>
      <c r="GE1631" s="2">
        <v>0.8</v>
      </c>
      <c r="GF1631" s="2">
        <v>0.8</v>
      </c>
      <c r="GG1631" s="2">
        <v>1.1</v>
      </c>
      <c r="GH1631" s="2">
        <v>0.9</v>
      </c>
      <c r="GI1631" s="2">
        <v>0.3</v>
      </c>
      <c r="GJ1631" s="2">
        <v>1.1</v>
      </c>
      <c r="GK1631" s="2">
        <v>1.2</v>
      </c>
      <c r="GL1631" s="2">
        <v>0.5</v>
      </c>
      <c r="GM1631" s="2">
        <v>0.8</v>
      </c>
      <c r="GN1631" s="2">
        <v>1.3</v>
      </c>
      <c r="GO1631" s="2">
        <v>1.4</v>
      </c>
      <c r="GP1631" s="2">
        <v>0.9</v>
      </c>
      <c r="GQ1631" s="2">
        <v>1.5</v>
      </c>
      <c r="GR1631" s="2">
        <v>1.7</v>
      </c>
      <c r="GS1631" s="2">
        <v>0.2</v>
      </c>
      <c r="GT1631" s="2">
        <v>-0.1</v>
      </c>
      <c r="GU1631" s="2">
        <v>0.7</v>
      </c>
      <c r="GV1631" s="2">
        <v>0.4</v>
      </c>
      <c r="GW1631" s="2">
        <v>-0.1</v>
      </c>
      <c r="GX1631" s="2">
        <v>0.4</v>
      </c>
      <c r="GY1631" s="2">
        <v>0.3</v>
      </c>
      <c r="GZ1631" s="2">
        <v>0.5</v>
      </c>
      <c r="HA1631" s="2">
        <v>0.3</v>
      </c>
      <c r="HB1631" s="2">
        <v>0.3</v>
      </c>
      <c r="HC1631" s="2">
        <v>0.5</v>
      </c>
      <c r="HD1631" s="2">
        <v>0.5</v>
      </c>
      <c r="HE1631" s="2">
        <v>-0.2</v>
      </c>
      <c r="HF1631" s="2">
        <v>0.7</v>
      </c>
      <c r="HG1631" s="2">
        <v>0.4</v>
      </c>
      <c r="HH1631" s="2">
        <v>1.2</v>
      </c>
      <c r="HI1631" s="2">
        <v>4.4</v>
      </c>
      <c r="HJ1631" s="2">
        <v>0.5</v>
      </c>
      <c r="HK1631" s="2">
        <v>1.9</v>
      </c>
      <c r="HL1631" s="2">
        <v>0.8</v>
      </c>
      <c r="HM1631" s="2">
        <v>0.8</v>
      </c>
      <c r="HN1631" s="2">
        <v>0.1</v>
      </c>
      <c r="HO1631" s="2">
        <v>0.5</v>
      </c>
      <c r="HP1631" s="2">
        <v>0.2</v>
      </c>
      <c r="HQ1631" s="2">
        <v>1.1</v>
      </c>
      <c r="HR1631" s="2">
        <v>-0.1</v>
      </c>
      <c r="HS1631" s="2">
        <v>1.1</v>
      </c>
      <c r="HT1631" s="2">
        <v>0.3</v>
      </c>
      <c r="HU1631" s="2">
        <v>2.1</v>
      </c>
      <c r="HV1631" s="2">
        <v>0.7</v>
      </c>
      <c r="HW1631" s="2">
        <v>0.9</v>
      </c>
      <c r="HX1631" s="2">
        <v>0.9</v>
      </c>
      <c r="HY1631" s="2">
        <v>0.8</v>
      </c>
      <c r="HZ1631" s="2">
        <v>1</v>
      </c>
      <c r="IA1631" s="2">
        <v>0.8</v>
      </c>
      <c r="IB1631" s="2">
        <v>0.3</v>
      </c>
      <c r="IC1631" s="2">
        <v>1</v>
      </c>
      <c r="ID1631" s="2">
        <v>0.4</v>
      </c>
      <c r="IE1631" s="2">
        <v>1.2</v>
      </c>
      <c r="IF1631" s="2">
        <v>0.7</v>
      </c>
      <c r="IG1631" s="2">
        <v>0.1</v>
      </c>
      <c r="IH1631" s="2">
        <v>0.8</v>
      </c>
      <c r="II1631" s="2">
        <v>0.6</v>
      </c>
      <c r="IJ1631" s="2">
        <v>1.1</v>
      </c>
      <c r="IK1631" s="2">
        <v>0.4</v>
      </c>
      <c r="IL1631" s="2">
        <v>1.4</v>
      </c>
      <c r="IM1631" s="2">
        <v>1.3</v>
      </c>
      <c r="IN1631" s="2">
        <v>2</v>
      </c>
      <c r="IO1631" s="2">
        <v>1.4</v>
      </c>
      <c r="IP1631" s="2">
        <v>1.2</v>
      </c>
      <c r="IQ1631" s="2">
        <v>0.4</v>
      </c>
      <c r="IR1631" s="2">
        <v>0.7</v>
      </c>
      <c r="IS1631" s="2">
        <v>1.3</v>
      </c>
      <c r="IT1631" s="2">
        <v>1.1</v>
      </c>
      <c r="IU1631" s="2">
        <v>0.8</v>
      </c>
      <c r="IV1631" s="2">
        <v>0.6</v>
      </c>
      <c r="IW1631" s="2">
        <v>0.6</v>
      </c>
      <c r="IX1631" s="2">
        <v>0.5</v>
      </c>
      <c r="IY1631" s="2">
        <v>0.4</v>
      </c>
      <c r="IZ1631" s="2">
        <v>0.1</v>
      </c>
      <c r="JA1631" s="2">
        <v>-0.1</v>
      </c>
      <c r="JB1631" s="2">
        <v>0.8</v>
      </c>
      <c r="JC1631" s="2">
        <v>1.1</v>
      </c>
      <c r="JD1631" s="2">
        <v>0.7</v>
      </c>
      <c r="JE1631" s="2">
        <v>0.8</v>
      </c>
      <c r="JF1631" s="2">
        <v>-0.2</v>
      </c>
      <c r="JG1631" s="2">
        <v>0.5</v>
      </c>
      <c r="JH1631" s="2">
        <v>0.5</v>
      </c>
      <c r="JI1631" s="2">
        <v>0.6</v>
      </c>
      <c r="JJ1631" s="2">
        <v>1.3</v>
      </c>
      <c r="JK1631" s="2">
        <v>0.8</v>
      </c>
      <c r="JL1631" s="2">
        <v>0.7</v>
      </c>
      <c r="JM1631" s="2">
        <v>0.3</v>
      </c>
      <c r="JN1631" s="2">
        <v>-0.2</v>
      </c>
      <c r="JO1631" s="2">
        <v>0.7</v>
      </c>
      <c r="JP1631" s="2">
        <v>0.4</v>
      </c>
      <c r="JQ1631" s="2">
        <v>0.6</v>
      </c>
      <c r="JR1631" s="2">
        <v>-0.4</v>
      </c>
      <c r="JS1631" s="2">
        <v>0.9</v>
      </c>
      <c r="JT1631" s="2">
        <v>0.1</v>
      </c>
      <c r="JU1631" s="2">
        <v>0.3</v>
      </c>
      <c r="JV1631" s="2">
        <v>-0.6</v>
      </c>
      <c r="KA1631" s="2">
        <v>1.2</v>
      </c>
      <c r="KB1631" s="2">
        <v>0.5</v>
      </c>
      <c r="KC1631" s="2">
        <v>0.6</v>
      </c>
      <c r="KD1631" s="2">
        <v>0.1</v>
      </c>
      <c r="KQ1631" s="2">
        <v>1</v>
      </c>
      <c r="KR1631" s="2">
        <v>0.7</v>
      </c>
      <c r="KS1631" s="2">
        <v>1</v>
      </c>
      <c r="KT1631" s="2">
        <v>-0.8</v>
      </c>
      <c r="LG1631" s="2">
        <v>1</v>
      </c>
      <c r="LH1631" s="2">
        <v>0.1</v>
      </c>
      <c r="LI1631" s="2">
        <v>1.1</v>
      </c>
      <c r="LJ1631" s="2">
        <v>-0.7</v>
      </c>
      <c r="LW1631" s="2">
        <v>1.3</v>
      </c>
      <c r="LX1631" s="2">
        <v>0.7</v>
      </c>
      <c r="LY1631" s="2">
        <v>0.4</v>
      </c>
      <c r="LZ1631" s="2">
        <v>-0.3</v>
      </c>
      <c r="MM1631" s="2">
        <v>1.1</v>
      </c>
      <c r="MN1631" s="2">
        <v>0.3</v>
      </c>
      <c r="MO1631" s="2">
        <v>-0.3</v>
      </c>
      <c r="MP1631" s="2">
        <v>0.1</v>
      </c>
      <c r="NC1631" s="2">
        <v>1</v>
      </c>
      <c r="ND1631" s="2">
        <v>0.6</v>
      </c>
      <c r="NE1631" s="2">
        <v>1.4</v>
      </c>
      <c r="NF1631" s="2">
        <v>1</v>
      </c>
      <c r="NS1631" s="2">
        <v>1.6</v>
      </c>
      <c r="NT1631" s="2">
        <v>1</v>
      </c>
      <c r="NU1631" s="2">
        <v>1.3</v>
      </c>
      <c r="NV1631" s="2">
        <v>0.6</v>
      </c>
      <c r="OI1631" s="2">
        <v>0.7</v>
      </c>
      <c r="OJ1631" s="2">
        <v>0.7</v>
      </c>
      <c r="OK1631" s="2">
        <v>1.2</v>
      </c>
      <c r="OL1631" s="2">
        <v>0.7</v>
      </c>
      <c r="OY1631" s="2">
        <v>1.1</v>
      </c>
      <c r="OZ1631" s="2">
        <v>0.1</v>
      </c>
      <c r="PA1631" s="2">
        <v>1.1</v>
      </c>
      <c r="PB1631" s="2">
        <v>-0.8</v>
      </c>
      <c r="PJ1631" s="2">
        <v>1.4</v>
      </c>
      <c r="PK1631" s="2">
        <v>0.1</v>
      </c>
    </row>
    <row r="1632">
      <c r="A1632" t="inlineStr">
        <is>
          <t>A2328955V</t>
        </is>
      </c>
      <c r="B1632" t="inlineStr">
        <is>
          <t>Percentage Change from Previous Period ;  Spirits ;  Australia ;</t>
        </is>
      </c>
      <c r="C1632" t="inlineStr">
        <is>
          <t>Quarter</t>
        </is>
      </c>
      <c r="D1632" t="inlineStr">
        <is>
          <t>Percent</t>
        </is>
      </c>
      <c r="E1632" t="inlineStr">
        <is>
          <t>Original</t>
        </is>
      </c>
      <c r="F1632" t="inlineStr">
        <is>
          <t>6401018.xlsx</t>
        </is>
      </c>
      <c r="G1632" t="inlineStr">
        <is>
          <t>1980Q4</t>
        </is>
      </c>
      <c r="H1632" t="inlineStr">
        <is>
          <t>2026Q2</t>
        </is>
      </c>
      <c r="EH1632" s="2">
        <v>0.9</v>
      </c>
      <c r="EI1632" s="2">
        <v>0.9</v>
      </c>
      <c r="EJ1632" s="2">
        <v>0.6</v>
      </c>
      <c r="EK1632" s="2">
        <v>2.7</v>
      </c>
      <c r="EL1632" s="2">
        <v>2.2</v>
      </c>
      <c r="EM1632" s="2">
        <v>3.8</v>
      </c>
      <c r="EN1632" s="2">
        <v>1.2</v>
      </c>
      <c r="EO1632" s="2">
        <v>2</v>
      </c>
      <c r="EP1632" s="2">
        <v>2.6</v>
      </c>
      <c r="EQ1632" s="2">
        <v>1.5</v>
      </c>
      <c r="ER1632" s="2">
        <v>0.9</v>
      </c>
      <c r="ES1632" s="2">
        <v>1.1</v>
      </c>
      <c r="ET1632" s="2">
        <v>3.6</v>
      </c>
      <c r="EU1632" s="2">
        <v>1.7</v>
      </c>
      <c r="EV1632" s="2">
        <v>2.3</v>
      </c>
      <c r="EW1632" s="2">
        <v>1.6</v>
      </c>
      <c r="EX1632" s="2">
        <v>0.3</v>
      </c>
      <c r="EY1632" s="2">
        <v>1.2</v>
      </c>
      <c r="EZ1632" s="2">
        <v>2.5</v>
      </c>
      <c r="FA1632" s="2">
        <v>2.3</v>
      </c>
      <c r="FB1632" s="2">
        <v>3.3</v>
      </c>
      <c r="FC1632" s="2">
        <v>2.5</v>
      </c>
      <c r="FD1632" s="2">
        <v>2.4</v>
      </c>
      <c r="FE1632" s="2">
        <v>2.2</v>
      </c>
      <c r="FF1632" s="2">
        <v>2.9</v>
      </c>
      <c r="FG1632" s="2">
        <v>2.2</v>
      </c>
      <c r="FH1632" s="2">
        <v>3.1</v>
      </c>
      <c r="FI1632" s="2">
        <v>1.5</v>
      </c>
      <c r="FJ1632" s="2">
        <v>2</v>
      </c>
      <c r="FK1632" s="2">
        <v>2</v>
      </c>
      <c r="FL1632" s="2">
        <v>2.5</v>
      </c>
      <c r="FM1632" s="2">
        <v>1.7</v>
      </c>
      <c r="FN1632" s="2">
        <v>2.1</v>
      </c>
      <c r="FO1632" s="2">
        <v>1.9</v>
      </c>
      <c r="FP1632" s="2">
        <v>3.5</v>
      </c>
      <c r="FQ1632" s="2">
        <v>1.9</v>
      </c>
      <c r="FR1632" s="2">
        <v>1.8</v>
      </c>
      <c r="FS1632" s="2">
        <v>1.9</v>
      </c>
      <c r="FT1632" s="2">
        <v>3.1</v>
      </c>
      <c r="FU1632" s="2">
        <v>2.4</v>
      </c>
      <c r="FV1632" s="2">
        <v>3.4</v>
      </c>
      <c r="FW1632" s="2">
        <v>1.5</v>
      </c>
      <c r="FX1632" s="2">
        <v>3.1</v>
      </c>
      <c r="FY1632" s="2">
        <v>1.1</v>
      </c>
      <c r="FZ1632" s="2">
        <v>1.3</v>
      </c>
      <c r="GA1632" s="2">
        <v>-0.3</v>
      </c>
      <c r="GB1632" s="2">
        <v>0.7</v>
      </c>
      <c r="GC1632" s="2">
        <v>-0.7</v>
      </c>
      <c r="GD1632" s="2">
        <v>1.8</v>
      </c>
      <c r="GE1632" s="2">
        <v>0.3</v>
      </c>
      <c r="GF1632" s="2">
        <v>0.8</v>
      </c>
      <c r="GG1632" s="2">
        <v>0.8</v>
      </c>
      <c r="GH1632" s="2">
        <v>0.7</v>
      </c>
      <c r="GI1632" s="2">
        <v>-0.2</v>
      </c>
      <c r="GJ1632" s="2">
        <v>0.9</v>
      </c>
      <c r="GK1632" s="2">
        <v>1.5</v>
      </c>
      <c r="GL1632" s="2">
        <v>1</v>
      </c>
      <c r="GM1632" s="2">
        <v>0.6</v>
      </c>
      <c r="GN1632" s="2">
        <v>0.1</v>
      </c>
      <c r="GO1632" s="2">
        <v>0.9</v>
      </c>
      <c r="GP1632" s="2">
        <v>0.4</v>
      </c>
      <c r="GQ1632" s="2">
        <v>1</v>
      </c>
      <c r="GR1632" s="2">
        <v>1.7</v>
      </c>
      <c r="GS1632" s="2">
        <v>1</v>
      </c>
      <c r="GT1632" s="2">
        <v>0</v>
      </c>
      <c r="GU1632" s="2">
        <v>1</v>
      </c>
      <c r="GV1632" s="2">
        <v>0.7</v>
      </c>
      <c r="GW1632" s="2">
        <v>-1.8</v>
      </c>
      <c r="GX1632" s="2">
        <v>0.3</v>
      </c>
      <c r="GY1632" s="2">
        <v>0.4</v>
      </c>
      <c r="GZ1632" s="2">
        <v>0.1</v>
      </c>
      <c r="HA1632" s="2">
        <v>0.7</v>
      </c>
      <c r="HB1632" s="2">
        <v>0.4</v>
      </c>
      <c r="HC1632" s="2">
        <v>0.6</v>
      </c>
      <c r="HD1632" s="2">
        <v>0.3</v>
      </c>
      <c r="HE1632" s="2">
        <v>0.1</v>
      </c>
      <c r="HF1632" s="2">
        <v>0.3</v>
      </c>
      <c r="HG1632" s="2">
        <v>0.6</v>
      </c>
      <c r="HH1632" s="2">
        <v>0.6</v>
      </c>
      <c r="HI1632" s="2">
        <v>4.1</v>
      </c>
      <c r="HJ1632" s="2">
        <v>0.1</v>
      </c>
      <c r="HK1632" s="2">
        <v>2</v>
      </c>
      <c r="HL1632" s="2">
        <v>0.8</v>
      </c>
      <c r="HM1632" s="2">
        <v>0.8</v>
      </c>
      <c r="HN1632" s="2">
        <v>0</v>
      </c>
      <c r="HO1632" s="2">
        <v>1</v>
      </c>
      <c r="HP1632" s="2">
        <v>0.3</v>
      </c>
      <c r="HQ1632" s="2">
        <v>0.5</v>
      </c>
      <c r="HR1632" s="2">
        <v>0.1</v>
      </c>
      <c r="HS1632" s="2">
        <v>1.1</v>
      </c>
      <c r="HT1632" s="2">
        <v>1.1</v>
      </c>
      <c r="HU1632" s="2">
        <v>1</v>
      </c>
      <c r="HV1632" s="2">
        <v>-0.2</v>
      </c>
      <c r="HW1632" s="2">
        <v>1.2</v>
      </c>
      <c r="HX1632" s="2">
        <v>0.7</v>
      </c>
      <c r="HY1632" s="2">
        <v>0.9</v>
      </c>
      <c r="HZ1632" s="2">
        <v>0.8</v>
      </c>
      <c r="IA1632" s="2">
        <v>0</v>
      </c>
      <c r="IB1632" s="2">
        <v>0.5</v>
      </c>
      <c r="IC1632" s="2">
        <v>0.4</v>
      </c>
      <c r="ID1632" s="2">
        <v>1</v>
      </c>
      <c r="IE1632" s="2">
        <v>1.5</v>
      </c>
      <c r="IF1632" s="2">
        <v>0.8</v>
      </c>
      <c r="IG1632" s="2">
        <v>0.9</v>
      </c>
      <c r="IH1632" s="2">
        <v>1.5</v>
      </c>
      <c r="II1632" s="2">
        <v>1.1</v>
      </c>
      <c r="IJ1632" s="2">
        <v>1</v>
      </c>
      <c r="IK1632" s="2">
        <v>1.1</v>
      </c>
      <c r="IL1632" s="2">
        <v>0.7</v>
      </c>
      <c r="IM1632" s="2">
        <v>1.1</v>
      </c>
      <c r="IN1632" s="2">
        <v>6.1</v>
      </c>
      <c r="IO1632" s="2">
        <v>4.7</v>
      </c>
      <c r="IP1632" s="2">
        <v>1.4</v>
      </c>
      <c r="IQ1632" s="2">
        <v>1.9</v>
      </c>
      <c r="IR1632" s="2">
        <v>0.7</v>
      </c>
      <c r="IS1632" s="2">
        <v>1.3</v>
      </c>
      <c r="IT1632" s="2">
        <v>0.8</v>
      </c>
      <c r="IU1632" s="2">
        <v>0.7</v>
      </c>
      <c r="IV1632" s="2">
        <v>-0.2</v>
      </c>
      <c r="IW1632" s="2">
        <v>0.7</v>
      </c>
      <c r="IX1632" s="2">
        <v>1</v>
      </c>
      <c r="IY1632" s="2">
        <v>1.1</v>
      </c>
      <c r="IZ1632" s="2">
        <v>0.3</v>
      </c>
      <c r="JA1632" s="2">
        <v>-0.3</v>
      </c>
      <c r="JB1632" s="2">
        <v>1.2</v>
      </c>
      <c r="JC1632" s="2">
        <v>1</v>
      </c>
      <c r="JD1632" s="2">
        <v>0.6</v>
      </c>
      <c r="JE1632" s="2">
        <v>1.2</v>
      </c>
      <c r="JF1632" s="2">
        <v>-0.1</v>
      </c>
      <c r="JG1632" s="2">
        <v>0.8</v>
      </c>
      <c r="JH1632" s="2">
        <v>0.6</v>
      </c>
      <c r="JI1632" s="2">
        <v>1.3</v>
      </c>
      <c r="JJ1632" s="2">
        <v>1.4</v>
      </c>
      <c r="JK1632" s="2">
        <v>0.9</v>
      </c>
      <c r="JL1632" s="2">
        <v>-0.2</v>
      </c>
      <c r="JM1632" s="2">
        <v>0.5</v>
      </c>
      <c r="JN1632" s="2">
        <v>-0.8</v>
      </c>
      <c r="JO1632" s="2">
        <v>1.1</v>
      </c>
      <c r="JP1632" s="2">
        <v>0.2</v>
      </c>
      <c r="JQ1632" s="2">
        <v>0.3</v>
      </c>
      <c r="JR1632" s="2">
        <v>0.3</v>
      </c>
      <c r="JS1632" s="2">
        <v>0.9</v>
      </c>
      <c r="JT1632" s="2">
        <v>0.6</v>
      </c>
      <c r="JU1632" s="2">
        <v>0</v>
      </c>
      <c r="JV1632" s="2">
        <v>-1.2</v>
      </c>
      <c r="KA1632" s="2">
        <v>1.2</v>
      </c>
      <c r="KB1632" s="2">
        <v>0.8</v>
      </c>
      <c r="KC1632" s="2">
        <v>0.2</v>
      </c>
      <c r="KD1632" s="2">
        <v>-0.1</v>
      </c>
      <c r="KQ1632" s="2">
        <v>1.5</v>
      </c>
      <c r="KR1632" s="2">
        <v>0.9</v>
      </c>
      <c r="KS1632" s="2">
        <v>0.3</v>
      </c>
      <c r="KT1632" s="2">
        <v>-0.1</v>
      </c>
      <c r="LG1632" s="2">
        <v>1.2</v>
      </c>
      <c r="LH1632" s="2">
        <v>0.2</v>
      </c>
      <c r="LI1632" s="2">
        <v>0.7</v>
      </c>
      <c r="LJ1632" s="2">
        <v>-0.4</v>
      </c>
      <c r="LW1632" s="2">
        <v>2.2</v>
      </c>
      <c r="LX1632" s="2">
        <v>0</v>
      </c>
      <c r="LY1632" s="2">
        <v>0.4</v>
      </c>
      <c r="LZ1632" s="2">
        <v>-0.4</v>
      </c>
      <c r="MM1632" s="2">
        <v>1.4</v>
      </c>
      <c r="MN1632" s="2">
        <v>0.4</v>
      </c>
      <c r="MO1632" s="2">
        <v>-0.1</v>
      </c>
      <c r="MP1632" s="2">
        <v>0.7</v>
      </c>
      <c r="NC1632" s="2">
        <v>1</v>
      </c>
      <c r="ND1632" s="2">
        <v>0.8</v>
      </c>
      <c r="NE1632" s="2">
        <v>3.4</v>
      </c>
      <c r="NF1632" s="2">
        <v>2.1</v>
      </c>
      <c r="NS1632" s="2">
        <v>3.2</v>
      </c>
      <c r="NT1632" s="2">
        <v>1.5</v>
      </c>
      <c r="NU1632" s="2">
        <v>1.4</v>
      </c>
      <c r="NV1632" s="2">
        <v>-0.4</v>
      </c>
      <c r="OI1632" s="2">
        <v>1</v>
      </c>
      <c r="OJ1632" s="2">
        <v>0.6</v>
      </c>
      <c r="OK1632" s="2">
        <v>0.7</v>
      </c>
      <c r="OL1632" s="2">
        <v>1</v>
      </c>
      <c r="OY1632" s="2">
        <v>1.7</v>
      </c>
      <c r="OZ1632" s="2">
        <v>0.1</v>
      </c>
      <c r="PA1632" s="2">
        <v>0.8</v>
      </c>
      <c r="PB1632" s="2">
        <v>-0.5</v>
      </c>
      <c r="PJ1632" s="2">
        <v>1.8</v>
      </c>
      <c r="PK1632" s="2">
        <v>0.3</v>
      </c>
    </row>
    <row r="1633">
      <c r="A1633" t="inlineStr">
        <is>
          <t>A2328910R</t>
        </is>
      </c>
      <c r="B1633" t="inlineStr">
        <is>
          <t>Percentage Change from Previous Period ;  Wine ;  Australia ;</t>
        </is>
      </c>
      <c r="C1633" t="inlineStr">
        <is>
          <t>Quarter</t>
        </is>
      </c>
      <c r="D1633" t="inlineStr">
        <is>
          <t>Percent</t>
        </is>
      </c>
      <c r="E1633" t="inlineStr">
        <is>
          <t>Original</t>
        </is>
      </c>
      <c r="F1633" t="inlineStr">
        <is>
          <t>6401018.xlsx</t>
        </is>
      </c>
      <c r="G1633" t="inlineStr">
        <is>
          <t>1980Q4</t>
        </is>
      </c>
      <c r="H1633" t="inlineStr">
        <is>
          <t>2026Q2</t>
        </is>
      </c>
      <c r="EH1633" s="2">
        <v>2.5</v>
      </c>
      <c r="EI1633" s="2">
        <v>0.5</v>
      </c>
      <c r="EJ1633" s="2">
        <v>2.1</v>
      </c>
      <c r="EK1633" s="2">
        <v>0.9</v>
      </c>
      <c r="EL1633" s="2">
        <v>0.4</v>
      </c>
      <c r="EM1633" s="2">
        <v>3.7</v>
      </c>
      <c r="EN1633" s="2">
        <v>3.3</v>
      </c>
      <c r="EO1633" s="2">
        <v>2.2</v>
      </c>
      <c r="EP1633" s="2">
        <v>1.4</v>
      </c>
      <c r="EQ1633" s="2">
        <v>0.8</v>
      </c>
      <c r="ER1633" s="2">
        <v>1.8</v>
      </c>
      <c r="ES1633" s="2">
        <v>0.7</v>
      </c>
      <c r="ET1633" s="2">
        <v>5</v>
      </c>
      <c r="EU1633" s="2">
        <v>0.8</v>
      </c>
      <c r="EV1633" s="2">
        <v>1.3</v>
      </c>
      <c r="EW1633" s="2">
        <v>1.1</v>
      </c>
      <c r="EX1633" s="2">
        <v>4.1</v>
      </c>
      <c r="EY1633" s="2">
        <v>0.1</v>
      </c>
      <c r="EZ1633" s="2">
        <v>-0.1</v>
      </c>
      <c r="FA1633" s="2">
        <v>1.3</v>
      </c>
      <c r="FB1633" s="2">
        <v>-0.3</v>
      </c>
      <c r="FC1633" s="2">
        <v>1.1</v>
      </c>
      <c r="FD1633" s="2">
        <v>0.2</v>
      </c>
      <c r="FE1633" s="2">
        <v>1.9</v>
      </c>
      <c r="FF1633" s="2">
        <v>5.5</v>
      </c>
      <c r="FG1633" s="2">
        <v>1.7</v>
      </c>
      <c r="FH1633" s="2">
        <v>1.2</v>
      </c>
      <c r="FI1633" s="2">
        <v>1.4</v>
      </c>
      <c r="FJ1633" s="2">
        <v>-0.1</v>
      </c>
      <c r="FK1633" s="2">
        <v>1.7</v>
      </c>
      <c r="FL1633" s="2">
        <v>3</v>
      </c>
      <c r="FM1633" s="2">
        <v>2.7</v>
      </c>
      <c r="FN1633" s="2">
        <v>1.1</v>
      </c>
      <c r="FO1633" s="2">
        <v>0.6</v>
      </c>
      <c r="FP1633" s="2">
        <v>3</v>
      </c>
      <c r="FQ1633" s="2">
        <v>1.9</v>
      </c>
      <c r="FR1633" s="2">
        <v>-0.4</v>
      </c>
      <c r="FS1633" s="2">
        <v>-0.3</v>
      </c>
      <c r="FT1633" s="2">
        <v>-0.7</v>
      </c>
      <c r="FU1633" s="2">
        <v>0.4</v>
      </c>
      <c r="FV1633" s="2">
        <v>-0.1</v>
      </c>
      <c r="FW1633" s="2">
        <v>1.9</v>
      </c>
      <c r="FX1633" s="2">
        <v>1.6</v>
      </c>
      <c r="FY1633" s="2">
        <v>0.2</v>
      </c>
      <c r="FZ1633" s="2">
        <v>0.4</v>
      </c>
      <c r="GA1633" s="2">
        <v>-0.2</v>
      </c>
      <c r="GB1633" s="2">
        <v>1.2</v>
      </c>
      <c r="GC1633" s="2">
        <v>0.6</v>
      </c>
      <c r="GD1633" s="2">
        <v>-0.5</v>
      </c>
      <c r="GE1633" s="2">
        <v>1.1</v>
      </c>
      <c r="GF1633" s="2">
        <v>0.3</v>
      </c>
      <c r="GG1633" s="2">
        <v>2.3</v>
      </c>
      <c r="GH1633" s="2">
        <v>1.2</v>
      </c>
      <c r="GI1633" s="2">
        <v>0.3</v>
      </c>
      <c r="GJ1633" s="2">
        <v>2.3</v>
      </c>
      <c r="GK1633" s="2">
        <v>2</v>
      </c>
      <c r="GL1633" s="2">
        <v>0.5</v>
      </c>
      <c r="GM1633" s="2">
        <v>0.3</v>
      </c>
      <c r="GN1633" s="2">
        <v>1.6</v>
      </c>
      <c r="GO1633" s="2">
        <v>0.8</v>
      </c>
      <c r="GP1633" s="2">
        <v>1.8</v>
      </c>
      <c r="GQ1633" s="2">
        <v>1.9</v>
      </c>
      <c r="GR1633" s="2">
        <v>1.9</v>
      </c>
      <c r="GS1633" s="2">
        <v>-0.7</v>
      </c>
      <c r="GT1633" s="2">
        <v>-1.4</v>
      </c>
      <c r="GU1633" s="2">
        <v>0.9</v>
      </c>
      <c r="GV1633" s="2">
        <v>1.4</v>
      </c>
      <c r="GW1633" s="2">
        <v>1.3</v>
      </c>
      <c r="GX1633" s="2">
        <v>0.8</v>
      </c>
      <c r="GY1633" s="2">
        <v>0.4</v>
      </c>
      <c r="GZ1633" s="2">
        <v>0.9</v>
      </c>
      <c r="HA1633" s="2">
        <v>0.4</v>
      </c>
      <c r="HB1633" s="2">
        <v>-0.5</v>
      </c>
      <c r="HC1633" s="2">
        <v>0.1</v>
      </c>
      <c r="HD1633" s="2">
        <v>0.7</v>
      </c>
      <c r="HE1633" s="2">
        <v>-0.3</v>
      </c>
      <c r="HF1633" s="2">
        <v>0.2</v>
      </c>
      <c r="HG1633" s="2">
        <v>-0.1</v>
      </c>
      <c r="HH1633" s="2">
        <v>0.4</v>
      </c>
      <c r="HI1633" s="2">
        <v>4</v>
      </c>
      <c r="HJ1633" s="2">
        <v>-0.2</v>
      </c>
      <c r="HK1633" s="2">
        <v>1.6</v>
      </c>
      <c r="HL1633" s="2">
        <v>1.7</v>
      </c>
      <c r="HM1633" s="2">
        <v>0.8</v>
      </c>
      <c r="HN1633" s="2">
        <v>-0.3</v>
      </c>
      <c r="HO1633" s="2">
        <v>0.3</v>
      </c>
      <c r="HP1633" s="2">
        <v>0.2</v>
      </c>
      <c r="HQ1633" s="2">
        <v>0.4</v>
      </c>
      <c r="HR1633" s="2">
        <v>-0.4</v>
      </c>
      <c r="HS1633" s="2">
        <v>0.9</v>
      </c>
      <c r="HT1633" s="2">
        <v>-0.2</v>
      </c>
      <c r="HU1633" s="2">
        <v>0.4</v>
      </c>
      <c r="HV1633" s="2">
        <v>0.2</v>
      </c>
      <c r="HW1633" s="2">
        <v>1</v>
      </c>
      <c r="HX1633" s="2">
        <v>0.7</v>
      </c>
      <c r="HY1633" s="2">
        <v>0.5</v>
      </c>
      <c r="HZ1633" s="2">
        <v>0.3</v>
      </c>
      <c r="IA1633" s="2">
        <v>0.5</v>
      </c>
      <c r="IB1633" s="2">
        <v>-0.2</v>
      </c>
      <c r="IC1633" s="2">
        <v>0.3</v>
      </c>
      <c r="ID1633" s="2">
        <v>0</v>
      </c>
      <c r="IE1633" s="2">
        <v>0.4</v>
      </c>
      <c r="IF1633" s="2">
        <v>0.7</v>
      </c>
      <c r="IG1633" s="2">
        <v>-1.3</v>
      </c>
      <c r="IH1633" s="2">
        <v>-0.1</v>
      </c>
      <c r="II1633" s="2">
        <v>0.1</v>
      </c>
      <c r="IJ1633" s="2">
        <v>0.4</v>
      </c>
      <c r="IK1633" s="2">
        <v>-0.4</v>
      </c>
      <c r="IL1633" s="2">
        <v>0.8</v>
      </c>
      <c r="IM1633" s="2">
        <v>0.9</v>
      </c>
      <c r="IN1633" s="2">
        <v>1.7</v>
      </c>
      <c r="IO1633" s="2">
        <v>0</v>
      </c>
      <c r="IP1633" s="2">
        <v>0.2</v>
      </c>
      <c r="IQ1633" s="2">
        <v>-0.7</v>
      </c>
      <c r="IR1633" s="2">
        <v>-0.1</v>
      </c>
      <c r="IS1633" s="2">
        <v>0.9</v>
      </c>
      <c r="IT1633" s="2">
        <v>-0.1</v>
      </c>
      <c r="IU1633" s="2">
        <v>0.3</v>
      </c>
      <c r="IV1633" s="2">
        <v>0.3</v>
      </c>
      <c r="IW1633" s="2">
        <v>0.7</v>
      </c>
      <c r="IX1633" s="2">
        <v>0</v>
      </c>
      <c r="IY1633" s="2">
        <v>0.7</v>
      </c>
      <c r="IZ1633" s="2">
        <v>-0.5</v>
      </c>
      <c r="JA1633" s="2">
        <v>-0.1</v>
      </c>
      <c r="JB1633" s="2">
        <v>0.1</v>
      </c>
      <c r="JC1633" s="2">
        <v>0.5</v>
      </c>
      <c r="JD1633" s="2">
        <v>0.6</v>
      </c>
      <c r="JE1633" s="2">
        <v>0.4</v>
      </c>
      <c r="JF1633" s="2">
        <v>0.3</v>
      </c>
      <c r="JG1633" s="2">
        <v>1.1</v>
      </c>
      <c r="JH1633" s="2">
        <v>0.1</v>
      </c>
      <c r="JI1633" s="2">
        <v>1</v>
      </c>
      <c r="JJ1633" s="2">
        <v>0.7</v>
      </c>
      <c r="JK1633" s="2">
        <v>1</v>
      </c>
      <c r="JL1633" s="2">
        <v>0.5</v>
      </c>
      <c r="JM1633" s="2">
        <v>-0.4</v>
      </c>
      <c r="JN1633" s="2">
        <v>-0.9</v>
      </c>
      <c r="JO1633" s="2">
        <v>-0.2</v>
      </c>
      <c r="JP1633" s="2">
        <v>0.6</v>
      </c>
      <c r="JQ1633" s="2">
        <v>-0.4</v>
      </c>
      <c r="JR1633" s="2">
        <v>-2.2</v>
      </c>
      <c r="JS1633" s="2">
        <v>0.3</v>
      </c>
      <c r="JT1633" s="2">
        <v>-0.3</v>
      </c>
      <c r="JU1633" s="2">
        <v>-0.1</v>
      </c>
      <c r="JV1633" s="2">
        <v>-1.9</v>
      </c>
      <c r="KA1633" s="2">
        <v>1.6</v>
      </c>
      <c r="KB1633" s="2">
        <v>-0.4</v>
      </c>
      <c r="KC1633" s="2">
        <v>0.3</v>
      </c>
      <c r="KD1633" s="2">
        <v>-0.6</v>
      </c>
      <c r="KQ1633" s="2">
        <v>-0.4</v>
      </c>
      <c r="KR1633" s="2">
        <v>0.7</v>
      </c>
      <c r="KS1633" s="2">
        <v>1.3</v>
      </c>
      <c r="KT1633" s="2">
        <v>-1.9</v>
      </c>
      <c r="LG1633" s="2">
        <v>0.7</v>
      </c>
      <c r="LH1633" s="2">
        <v>-0.4</v>
      </c>
      <c r="LI1633" s="2">
        <v>1.8</v>
      </c>
      <c r="LJ1633" s="2">
        <v>-1.6</v>
      </c>
      <c r="LW1633" s="2">
        <v>1</v>
      </c>
      <c r="LX1633" s="2">
        <v>0.9</v>
      </c>
      <c r="LY1633" s="2">
        <v>1.3</v>
      </c>
      <c r="LZ1633" s="2">
        <v>-0.9</v>
      </c>
      <c r="MM1633" s="2">
        <v>1.1</v>
      </c>
      <c r="MN1633" s="2">
        <v>-0.4</v>
      </c>
      <c r="MO1633" s="2">
        <v>-0.1</v>
      </c>
      <c r="MP1633" s="2">
        <v>-0.7</v>
      </c>
      <c r="NC1633" s="2">
        <v>1.2</v>
      </c>
      <c r="ND1633" s="2">
        <v>0.7</v>
      </c>
      <c r="NE1633" s="2">
        <v>0.4</v>
      </c>
      <c r="NF1633" s="2">
        <v>-0.1</v>
      </c>
      <c r="NS1633" s="2">
        <v>0.4</v>
      </c>
      <c r="NT1633" s="2">
        <v>0.1</v>
      </c>
      <c r="NU1633" s="2">
        <v>0.6</v>
      </c>
      <c r="NV1633" s="2">
        <v>-0.2</v>
      </c>
      <c r="OI1633" s="2">
        <v>0</v>
      </c>
      <c r="OJ1633" s="2">
        <v>1.1</v>
      </c>
      <c r="OK1633" s="2">
        <v>1.4</v>
      </c>
      <c r="OL1633" s="2">
        <v>-0.2</v>
      </c>
      <c r="OY1633" s="2">
        <v>0.4</v>
      </c>
      <c r="OZ1633" s="2">
        <v>0</v>
      </c>
      <c r="PA1633" s="2">
        <v>1.5</v>
      </c>
      <c r="PB1633" s="2">
        <v>-2.5</v>
      </c>
      <c r="PJ1633" s="2">
        <v>2.1</v>
      </c>
      <c r="PK1633" s="2">
        <v>-0.5</v>
      </c>
    </row>
    <row r="1634">
      <c r="A1634" t="inlineStr">
        <is>
          <t>A2328865R</t>
        </is>
      </c>
      <c r="B1634" t="inlineStr">
        <is>
          <t>Percentage Change from Previous Period ;  Beer ;  Australia ;</t>
        </is>
      </c>
      <c r="C1634" t="inlineStr">
        <is>
          <t>Quarter</t>
        </is>
      </c>
      <c r="D1634" t="inlineStr">
        <is>
          <t>Percent</t>
        </is>
      </c>
      <c r="E1634" t="inlineStr">
        <is>
          <t>Original</t>
        </is>
      </c>
      <c r="F1634" t="inlineStr">
        <is>
          <t>6401018.xlsx</t>
        </is>
      </c>
      <c r="G1634" t="inlineStr">
        <is>
          <t>1972Q4</t>
        </is>
      </c>
      <c r="H1634" t="inlineStr">
        <is>
          <t>2026Q2</t>
        </is>
      </c>
      <c r="DB1634" s="2">
        <v>1.6</v>
      </c>
      <c r="DC1634" s="2">
        <v>0.4</v>
      </c>
      <c r="DD1634" s="2">
        <v>6.3</v>
      </c>
      <c r="DE1634" s="2">
        <v>0</v>
      </c>
      <c r="DF1634" s="2">
        <v>0</v>
      </c>
      <c r="DG1634" s="2">
        <v>0.5</v>
      </c>
      <c r="DH1634" s="2">
        <v>8.199999999999999</v>
      </c>
      <c r="DI1634" s="2">
        <v>3.1</v>
      </c>
      <c r="DJ1634" s="2">
        <v>3</v>
      </c>
      <c r="DK1634" s="2">
        <v>2.9</v>
      </c>
      <c r="DL1634" s="2">
        <v>1.7</v>
      </c>
      <c r="DM1634" s="2">
        <v>2.1</v>
      </c>
      <c r="DN1634" s="2">
        <v>23.2</v>
      </c>
      <c r="DO1634" s="2">
        <v>0.7</v>
      </c>
      <c r="DP1634" s="2">
        <v>3.5</v>
      </c>
      <c r="DQ1634" s="2">
        <v>-0.7</v>
      </c>
      <c r="DR1634" s="2">
        <v>1.6</v>
      </c>
      <c r="DS1634" s="2">
        <v>0.9</v>
      </c>
      <c r="DT1634" s="2">
        <v>1.2</v>
      </c>
      <c r="DU1634" s="2">
        <v>1.5</v>
      </c>
      <c r="DV1634" s="2">
        <v>1.7</v>
      </c>
      <c r="DW1634" s="2">
        <v>0.5</v>
      </c>
      <c r="DX1634" s="2">
        <v>1</v>
      </c>
      <c r="DY1634" s="2">
        <v>1</v>
      </c>
      <c r="DZ1634" s="2">
        <v>17.8</v>
      </c>
      <c r="EA1634" s="2">
        <v>-1.4</v>
      </c>
      <c r="EB1634" s="2">
        <v>1.7</v>
      </c>
      <c r="EC1634" s="2">
        <v>1.1</v>
      </c>
      <c r="ED1634" s="2">
        <v>1</v>
      </c>
      <c r="EE1634" s="2">
        <v>2.8</v>
      </c>
      <c r="EF1634" s="2">
        <v>2</v>
      </c>
      <c r="EG1634" s="2">
        <v>2.3</v>
      </c>
      <c r="EH1634" s="2">
        <v>1.3</v>
      </c>
      <c r="EI1634" s="2">
        <v>3.4</v>
      </c>
      <c r="EJ1634" s="2">
        <v>1.9</v>
      </c>
      <c r="EK1634" s="2">
        <v>3.3</v>
      </c>
      <c r="EL1634" s="2">
        <v>1.5</v>
      </c>
      <c r="EM1634" s="2">
        <v>3.1</v>
      </c>
      <c r="EN1634" s="2">
        <v>2.3</v>
      </c>
      <c r="EO1634" s="2">
        <v>4.4</v>
      </c>
      <c r="EP1634" s="2">
        <v>5.5</v>
      </c>
      <c r="EQ1634" s="2">
        <v>1.5</v>
      </c>
      <c r="ER1634" s="2">
        <v>1.5</v>
      </c>
      <c r="ES1634" s="2">
        <v>0.8</v>
      </c>
      <c r="ET1634" s="2">
        <v>4.2</v>
      </c>
      <c r="EU1634" s="2">
        <v>2.6</v>
      </c>
      <c r="EV1634" s="2">
        <v>2.9</v>
      </c>
      <c r="EW1634" s="2">
        <v>1.1</v>
      </c>
      <c r="EX1634" s="2">
        <v>1.8</v>
      </c>
      <c r="EY1634" s="2">
        <v>1.4</v>
      </c>
      <c r="EZ1634" s="2">
        <v>1.4</v>
      </c>
      <c r="FA1634" s="2">
        <v>2.7</v>
      </c>
      <c r="FB1634" s="2">
        <v>2.3</v>
      </c>
      <c r="FC1634" s="2">
        <v>2.5</v>
      </c>
      <c r="FD1634" s="2">
        <v>2.2</v>
      </c>
      <c r="FE1634" s="2">
        <v>2.4</v>
      </c>
      <c r="FF1634" s="2">
        <v>2.6</v>
      </c>
      <c r="FG1634" s="2">
        <v>3</v>
      </c>
      <c r="FH1634" s="2">
        <v>2.7</v>
      </c>
      <c r="FI1634" s="2">
        <v>1.8</v>
      </c>
      <c r="FJ1634" s="2">
        <v>2.1</v>
      </c>
      <c r="FK1634" s="2">
        <v>1.8</v>
      </c>
      <c r="FL1634" s="2">
        <v>1.5</v>
      </c>
      <c r="FM1634" s="2">
        <v>0</v>
      </c>
      <c r="FN1634" s="2">
        <v>-2.6</v>
      </c>
      <c r="FO1634" s="2">
        <v>1.3</v>
      </c>
      <c r="FP1634" s="2">
        <v>1.6</v>
      </c>
      <c r="FQ1634" s="2">
        <v>1.9</v>
      </c>
      <c r="FR1634" s="2">
        <v>1.9</v>
      </c>
      <c r="FS1634" s="2">
        <v>2.3</v>
      </c>
      <c r="FT1634" s="2">
        <v>1.8</v>
      </c>
      <c r="FU1634" s="2">
        <v>2.2</v>
      </c>
      <c r="FV1634" s="2">
        <v>2.4</v>
      </c>
      <c r="FW1634" s="2">
        <v>1.1</v>
      </c>
      <c r="FX1634" s="2">
        <v>1.5</v>
      </c>
      <c r="FY1634" s="2">
        <v>0.2</v>
      </c>
      <c r="FZ1634" s="2">
        <v>0.7</v>
      </c>
      <c r="GA1634" s="2">
        <v>0.6</v>
      </c>
      <c r="GB1634" s="2">
        <v>1</v>
      </c>
      <c r="GC1634" s="2">
        <v>0.7</v>
      </c>
      <c r="GD1634" s="2">
        <v>0.3</v>
      </c>
      <c r="GE1634" s="2">
        <v>0.9</v>
      </c>
      <c r="GF1634" s="2">
        <v>1</v>
      </c>
      <c r="GG1634" s="2">
        <v>0.9</v>
      </c>
      <c r="GH1634" s="2">
        <v>0.8</v>
      </c>
      <c r="GI1634" s="2">
        <v>0.5</v>
      </c>
      <c r="GJ1634" s="2">
        <v>0.7</v>
      </c>
      <c r="GK1634" s="2">
        <v>0.8</v>
      </c>
      <c r="GL1634" s="2">
        <v>0.3</v>
      </c>
      <c r="GM1634" s="2">
        <v>1</v>
      </c>
      <c r="GN1634" s="2">
        <v>1.8</v>
      </c>
      <c r="GO1634" s="2">
        <v>1.8</v>
      </c>
      <c r="GP1634" s="2">
        <v>0.7</v>
      </c>
      <c r="GQ1634" s="2">
        <v>1.5</v>
      </c>
      <c r="GR1634" s="2">
        <v>1.6</v>
      </c>
      <c r="GS1634" s="2">
        <v>0.2</v>
      </c>
      <c r="GT1634" s="2">
        <v>0.4</v>
      </c>
      <c r="GU1634" s="2">
        <v>0.5</v>
      </c>
      <c r="GV1634" s="2">
        <v>-0.1</v>
      </c>
      <c r="GW1634" s="2">
        <v>0</v>
      </c>
      <c r="GX1634" s="2">
        <v>0.3</v>
      </c>
      <c r="GY1634" s="2">
        <v>0.1</v>
      </c>
      <c r="GZ1634" s="2">
        <v>0.5</v>
      </c>
      <c r="HA1634" s="2">
        <v>0.1</v>
      </c>
      <c r="HB1634" s="2">
        <v>0.6</v>
      </c>
      <c r="HC1634" s="2">
        <v>0.7</v>
      </c>
      <c r="HD1634" s="2">
        <v>0.4</v>
      </c>
      <c r="HE1634" s="2">
        <v>-0.3</v>
      </c>
      <c r="HF1634" s="2">
        <v>1.1</v>
      </c>
      <c r="HG1634" s="2">
        <v>0.6</v>
      </c>
      <c r="HH1634" s="2">
        <v>1.8</v>
      </c>
      <c r="HI1634" s="2">
        <v>4.8</v>
      </c>
      <c r="HJ1634" s="2">
        <v>1.3</v>
      </c>
      <c r="HK1634" s="2">
        <v>2.1</v>
      </c>
      <c r="HL1634" s="2">
        <v>0</v>
      </c>
      <c r="HM1634" s="2">
        <v>0.7</v>
      </c>
      <c r="HN1634" s="2">
        <v>0.5</v>
      </c>
      <c r="HO1634" s="2">
        <v>0.5</v>
      </c>
      <c r="HP1634" s="2">
        <v>0.3</v>
      </c>
      <c r="HQ1634" s="2">
        <v>1.8</v>
      </c>
      <c r="HR1634" s="2">
        <v>-0.1</v>
      </c>
      <c r="HS1634" s="2">
        <v>1.3</v>
      </c>
      <c r="HT1634" s="2">
        <v>0.4</v>
      </c>
      <c r="HU1634" s="2">
        <v>3.8</v>
      </c>
      <c r="HV1634" s="2">
        <v>1.3</v>
      </c>
      <c r="HW1634" s="2">
        <v>0.7</v>
      </c>
      <c r="HX1634" s="2">
        <v>1</v>
      </c>
      <c r="HY1634" s="2">
        <v>1</v>
      </c>
      <c r="HZ1634" s="2">
        <v>1.6</v>
      </c>
      <c r="IA1634" s="2">
        <v>1.2</v>
      </c>
      <c r="IB1634" s="2">
        <v>0.5</v>
      </c>
      <c r="IC1634" s="2">
        <v>1.9</v>
      </c>
      <c r="ID1634" s="2">
        <v>0.5</v>
      </c>
      <c r="IE1634" s="2">
        <v>1.6</v>
      </c>
      <c r="IF1634" s="2">
        <v>0.7</v>
      </c>
      <c r="IG1634" s="2">
        <v>0.9</v>
      </c>
      <c r="IH1634" s="2">
        <v>1.2</v>
      </c>
      <c r="II1634" s="2">
        <v>0.7</v>
      </c>
      <c r="IJ1634" s="2">
        <v>1.8</v>
      </c>
      <c r="IK1634" s="2">
        <v>0.7</v>
      </c>
      <c r="IL1634" s="2">
        <v>2.1</v>
      </c>
      <c r="IM1634" s="2">
        <v>1.6</v>
      </c>
      <c r="IN1634" s="2">
        <v>0.5</v>
      </c>
      <c r="IO1634" s="2">
        <v>0.8</v>
      </c>
      <c r="IP1634" s="2">
        <v>1.8</v>
      </c>
      <c r="IQ1634" s="2">
        <v>0.5</v>
      </c>
      <c r="IR1634" s="2">
        <v>1.1</v>
      </c>
      <c r="IS1634" s="2">
        <v>1.5</v>
      </c>
      <c r="IT1634" s="2">
        <v>2.1</v>
      </c>
      <c r="IU1634" s="2">
        <v>1.1</v>
      </c>
      <c r="IV1634" s="2">
        <v>1.3</v>
      </c>
      <c r="IW1634" s="2">
        <v>0.5</v>
      </c>
      <c r="IX1634" s="2">
        <v>0.6</v>
      </c>
      <c r="IY1634" s="2">
        <v>-0.2</v>
      </c>
      <c r="IZ1634" s="2">
        <v>0.4</v>
      </c>
      <c r="JA1634" s="2">
        <v>0.1</v>
      </c>
      <c r="JB1634" s="2">
        <v>1.3</v>
      </c>
      <c r="JC1634" s="2">
        <v>1.6</v>
      </c>
      <c r="JD1634" s="2">
        <v>0.8</v>
      </c>
      <c r="JE1634" s="2">
        <v>0.9</v>
      </c>
      <c r="JF1634" s="2">
        <v>-0.5</v>
      </c>
      <c r="JG1634" s="2">
        <v>-0.1</v>
      </c>
      <c r="JH1634" s="2">
        <v>0.7</v>
      </c>
      <c r="JI1634" s="2">
        <v>0</v>
      </c>
      <c r="JJ1634" s="2">
        <v>1.6</v>
      </c>
      <c r="JK1634" s="2">
        <v>0.6</v>
      </c>
      <c r="JL1634" s="2">
        <v>1.1</v>
      </c>
      <c r="JM1634" s="2">
        <v>0.8</v>
      </c>
      <c r="JN1634" s="2">
        <v>0.4</v>
      </c>
      <c r="JO1634" s="2">
        <v>1.1</v>
      </c>
      <c r="JP1634" s="2">
        <v>0.3</v>
      </c>
      <c r="JQ1634" s="2">
        <v>1.5</v>
      </c>
      <c r="JR1634" s="2">
        <v>0.6</v>
      </c>
      <c r="JS1634" s="2">
        <v>1.2</v>
      </c>
      <c r="JT1634" s="2">
        <v>0.2</v>
      </c>
      <c r="JU1634" s="2">
        <v>0.7</v>
      </c>
      <c r="JV1634" s="2">
        <v>0.4</v>
      </c>
      <c r="KA1634" s="2">
        <v>0.9</v>
      </c>
      <c r="KB1634" s="2">
        <v>0.9</v>
      </c>
      <c r="KC1634" s="2">
        <v>0.9</v>
      </c>
      <c r="KD1634" s="2">
        <v>0.9</v>
      </c>
      <c r="KQ1634" s="2">
        <v>2</v>
      </c>
      <c r="KR1634" s="2">
        <v>0.5</v>
      </c>
      <c r="KS1634" s="2">
        <v>0.9</v>
      </c>
      <c r="KT1634" s="2">
        <v>0</v>
      </c>
      <c r="LG1634" s="2">
        <v>1.1</v>
      </c>
      <c r="LH1634" s="2">
        <v>0.5</v>
      </c>
      <c r="LI1634" s="2">
        <v>0.6</v>
      </c>
      <c r="LJ1634" s="2">
        <v>-0.1</v>
      </c>
      <c r="LW1634" s="2">
        <v>1.2</v>
      </c>
      <c r="LX1634" s="2">
        <v>0.8</v>
      </c>
      <c r="LY1634" s="2">
        <v>-0.3</v>
      </c>
      <c r="LZ1634" s="2">
        <v>0.1</v>
      </c>
      <c r="MM1634" s="2">
        <v>0.9</v>
      </c>
      <c r="MN1634" s="2">
        <v>0.9</v>
      </c>
      <c r="MO1634" s="2">
        <v>-0.6</v>
      </c>
      <c r="MP1634" s="2">
        <v>0.5</v>
      </c>
      <c r="NC1634" s="2">
        <v>0.8</v>
      </c>
      <c r="ND1634" s="2">
        <v>0.5</v>
      </c>
      <c r="NE1634" s="2">
        <v>1.4</v>
      </c>
      <c r="NF1634" s="2">
        <v>1.5</v>
      </c>
      <c r="NS1634" s="2">
        <v>1.8</v>
      </c>
      <c r="NT1634" s="2">
        <v>1.4</v>
      </c>
      <c r="NU1634" s="2">
        <v>1.8</v>
      </c>
      <c r="NV1634" s="2">
        <v>1.7</v>
      </c>
      <c r="OI1634" s="2">
        <v>1.2</v>
      </c>
      <c r="OJ1634" s="2">
        <v>0.5</v>
      </c>
      <c r="OK1634" s="2">
        <v>1.4</v>
      </c>
      <c r="OL1634" s="2">
        <v>1.2</v>
      </c>
      <c r="OY1634" s="2">
        <v>1.4</v>
      </c>
      <c r="OZ1634" s="2">
        <v>0.2</v>
      </c>
      <c r="PA1634" s="2">
        <v>1</v>
      </c>
      <c r="PB1634" s="2">
        <v>0.3</v>
      </c>
      <c r="PJ1634" s="2">
        <v>0.7</v>
      </c>
      <c r="PK1634" s="2">
        <v>0.5</v>
      </c>
    </row>
    <row r="1635">
      <c r="A1635" t="inlineStr">
        <is>
          <t>A2326795J</t>
        </is>
      </c>
      <c r="B1635" t="inlineStr">
        <is>
          <t>Percentage Change from Previous Period ;  Tobacco ;  Australia ;</t>
        </is>
      </c>
      <c r="C1635" t="inlineStr">
        <is>
          <t>Quarter</t>
        </is>
      </c>
      <c r="D1635" t="inlineStr">
        <is>
          <t>Percent</t>
        </is>
      </c>
      <c r="E1635" t="inlineStr">
        <is>
          <t>Original</t>
        </is>
      </c>
      <c r="F1635" t="inlineStr">
        <is>
          <t>6401018.xlsx</t>
        </is>
      </c>
      <c r="G1635" t="inlineStr">
        <is>
          <t>1972Q4</t>
        </is>
      </c>
      <c r="H1635" t="inlineStr">
        <is>
          <t>2026Q2</t>
        </is>
      </c>
      <c r="DB1635" s="2">
        <v>0</v>
      </c>
      <c r="DC1635" s="2">
        <v>2</v>
      </c>
      <c r="DD1635" s="2">
        <v>0</v>
      </c>
      <c r="DE1635" s="2">
        <v>0</v>
      </c>
      <c r="DF1635" s="2">
        <v>12</v>
      </c>
      <c r="DG1635" s="2">
        <v>0</v>
      </c>
      <c r="DH1635" s="2">
        <v>1.8</v>
      </c>
      <c r="DI1635" s="2">
        <v>8.800000000000001</v>
      </c>
      <c r="DJ1635" s="2">
        <v>0</v>
      </c>
      <c r="DK1635" s="2">
        <v>9.699999999999999</v>
      </c>
      <c r="DL1635" s="2">
        <v>1.5</v>
      </c>
      <c r="DM1635" s="2">
        <v>1.4</v>
      </c>
      <c r="DN1635" s="2">
        <v>18.6</v>
      </c>
      <c r="DO1635" s="2">
        <v>3.6</v>
      </c>
      <c r="DP1635" s="2">
        <v>1.2</v>
      </c>
      <c r="DQ1635" s="2">
        <v>0</v>
      </c>
      <c r="DR1635" s="2">
        <v>2.3</v>
      </c>
      <c r="DS1635" s="2">
        <v>0</v>
      </c>
      <c r="DT1635" s="2">
        <v>1.1</v>
      </c>
      <c r="DU1635" s="2">
        <v>1.1</v>
      </c>
      <c r="DV1635" s="2">
        <v>0</v>
      </c>
      <c r="DW1635" s="2">
        <v>2.2</v>
      </c>
      <c r="DX1635" s="2">
        <v>-1.1</v>
      </c>
      <c r="DY1635" s="2">
        <v>1.1</v>
      </c>
      <c r="DZ1635" s="2">
        <v>15.1</v>
      </c>
      <c r="EA1635" s="2">
        <v>0</v>
      </c>
      <c r="EB1635" s="2">
        <v>0.9</v>
      </c>
      <c r="EC1635" s="2">
        <v>2.8</v>
      </c>
      <c r="ED1635" s="2">
        <v>1.8</v>
      </c>
      <c r="EE1635" s="2">
        <v>0.9</v>
      </c>
      <c r="EF1635" s="2">
        <v>1.8</v>
      </c>
      <c r="EG1635" s="2">
        <v>1.7</v>
      </c>
      <c r="EH1635" s="2">
        <v>0</v>
      </c>
      <c r="EI1635" s="2">
        <v>0.8</v>
      </c>
      <c r="EJ1635" s="2">
        <v>1.7</v>
      </c>
      <c r="EK1635" s="2">
        <v>4.1</v>
      </c>
      <c r="EL1635" s="2">
        <v>1.6</v>
      </c>
      <c r="EM1635" s="2">
        <v>1.6</v>
      </c>
      <c r="EN1635" s="2">
        <v>2.3</v>
      </c>
      <c r="EO1635" s="2">
        <v>6</v>
      </c>
      <c r="EP1635" s="2">
        <v>7.1</v>
      </c>
      <c r="EQ1635" s="2">
        <v>2</v>
      </c>
      <c r="ER1635" s="2">
        <v>3.2</v>
      </c>
      <c r="ES1635" s="2">
        <v>5</v>
      </c>
      <c r="ET1635" s="2">
        <v>11.4</v>
      </c>
      <c r="EU1635" s="2">
        <v>0.5</v>
      </c>
      <c r="EV1635" s="2">
        <v>2.1</v>
      </c>
      <c r="EW1635" s="2">
        <v>2.1</v>
      </c>
      <c r="EX1635" s="2">
        <v>2.6</v>
      </c>
      <c r="EY1635" s="2">
        <v>1</v>
      </c>
      <c r="EZ1635" s="2">
        <v>2</v>
      </c>
      <c r="FA1635" s="2">
        <v>3.4</v>
      </c>
      <c r="FB1635" s="2">
        <v>3.3</v>
      </c>
      <c r="FC1635" s="2">
        <v>4.1</v>
      </c>
      <c r="FD1635" s="2">
        <v>2.2</v>
      </c>
      <c r="FE1635" s="2">
        <v>2.6</v>
      </c>
      <c r="FF1635" s="2">
        <v>2.9</v>
      </c>
      <c r="FG1635" s="2">
        <v>3.2</v>
      </c>
      <c r="FH1635" s="2">
        <v>2.7</v>
      </c>
      <c r="FI1635" s="2">
        <v>0.8</v>
      </c>
      <c r="FJ1635" s="2">
        <v>2.3</v>
      </c>
      <c r="FK1635" s="2">
        <v>2.2</v>
      </c>
      <c r="FL1635" s="2">
        <v>0.4</v>
      </c>
      <c r="FM1635" s="2">
        <v>2.5</v>
      </c>
      <c r="FN1635" s="2">
        <v>3.2</v>
      </c>
      <c r="FO1635" s="2">
        <v>3.8</v>
      </c>
      <c r="FP1635" s="2">
        <v>2</v>
      </c>
      <c r="FQ1635" s="2">
        <v>3.2</v>
      </c>
      <c r="FR1635" s="2">
        <v>3.4</v>
      </c>
      <c r="FS1635" s="2">
        <v>3.3</v>
      </c>
      <c r="FT1635" s="2">
        <v>2.3</v>
      </c>
      <c r="FU1635" s="2">
        <v>2</v>
      </c>
      <c r="FV1635" s="2">
        <v>6.4</v>
      </c>
      <c r="FW1635" s="2">
        <v>1.3</v>
      </c>
      <c r="FX1635" s="2">
        <v>2.6</v>
      </c>
      <c r="FY1635" s="2">
        <v>3.5</v>
      </c>
      <c r="FZ1635" s="2">
        <v>1.5</v>
      </c>
      <c r="GA1635" s="2">
        <v>1</v>
      </c>
      <c r="GB1635" s="2">
        <v>1.2</v>
      </c>
      <c r="GC1635" s="2">
        <v>9</v>
      </c>
      <c r="GD1635" s="2">
        <v>7.1</v>
      </c>
      <c r="GE1635" s="2">
        <v>4.6</v>
      </c>
      <c r="GF1635" s="2">
        <v>2.7</v>
      </c>
      <c r="GG1635" s="2">
        <v>3.9</v>
      </c>
      <c r="GH1635" s="2">
        <v>3.1</v>
      </c>
      <c r="GI1635" s="2">
        <v>2.3</v>
      </c>
      <c r="GJ1635" s="2">
        <v>1.5</v>
      </c>
      <c r="GK1635" s="2">
        <v>0.5</v>
      </c>
      <c r="GL1635" s="2">
        <v>2.5</v>
      </c>
      <c r="GM1635" s="2">
        <v>2.5</v>
      </c>
      <c r="GN1635" s="2">
        <v>7.4</v>
      </c>
      <c r="GO1635" s="2">
        <v>6.3</v>
      </c>
      <c r="GP1635" s="2">
        <v>5</v>
      </c>
      <c r="GQ1635" s="2">
        <v>1.9</v>
      </c>
      <c r="GR1635" s="2">
        <v>0.7</v>
      </c>
      <c r="GS1635" s="2">
        <v>0.7</v>
      </c>
      <c r="GT1635" s="2">
        <v>1.2</v>
      </c>
      <c r="GU1635" s="2">
        <v>-0.1</v>
      </c>
      <c r="GV1635" s="2">
        <v>0.1</v>
      </c>
      <c r="GW1635" s="2">
        <v>-0.1</v>
      </c>
      <c r="GX1635" s="2">
        <v>2.9</v>
      </c>
      <c r="GY1635" s="2">
        <v>1.2</v>
      </c>
      <c r="GZ1635" s="2">
        <v>1.1</v>
      </c>
      <c r="HA1635" s="2">
        <v>0.7</v>
      </c>
      <c r="HB1635" s="2">
        <v>0.1</v>
      </c>
      <c r="HC1635" s="2">
        <v>1.3</v>
      </c>
      <c r="HD1635" s="2">
        <v>1</v>
      </c>
      <c r="HE1635" s="2">
        <v>0.9</v>
      </c>
      <c r="HF1635" s="2">
        <v>4.1</v>
      </c>
      <c r="HG1635" s="2">
        <v>3.8</v>
      </c>
      <c r="HH1635" s="2">
        <v>0.3</v>
      </c>
      <c r="HI1635" s="2">
        <v>11.1</v>
      </c>
      <c r="HJ1635" s="2">
        <v>2.1</v>
      </c>
      <c r="HK1635" s="2">
        <v>4</v>
      </c>
      <c r="HL1635" s="2">
        <v>2</v>
      </c>
      <c r="HM1635" s="2">
        <v>1.6</v>
      </c>
      <c r="HN1635" s="2">
        <v>0.4</v>
      </c>
      <c r="HO1635" s="2">
        <v>2</v>
      </c>
      <c r="HP1635" s="2">
        <v>1.1</v>
      </c>
      <c r="HQ1635" s="2">
        <v>1.1</v>
      </c>
      <c r="HR1635" s="2">
        <v>0.3</v>
      </c>
      <c r="HS1635" s="2">
        <v>1.4</v>
      </c>
      <c r="HT1635" s="2">
        <v>1.1</v>
      </c>
      <c r="HU1635" s="2">
        <v>1.5</v>
      </c>
      <c r="HV1635" s="2">
        <v>0.6</v>
      </c>
      <c r="HW1635" s="2">
        <v>1.4</v>
      </c>
      <c r="HX1635" s="2">
        <v>0.6</v>
      </c>
      <c r="HY1635" s="2">
        <v>1.1</v>
      </c>
      <c r="HZ1635" s="2">
        <v>0.1</v>
      </c>
      <c r="IA1635" s="2">
        <v>2.2</v>
      </c>
      <c r="IB1635" s="2">
        <v>1.1</v>
      </c>
      <c r="IC1635" s="2">
        <v>0.9</v>
      </c>
      <c r="ID1635" s="2">
        <v>0.6</v>
      </c>
      <c r="IE1635" s="2">
        <v>1.4</v>
      </c>
      <c r="IF1635" s="2">
        <v>1.2</v>
      </c>
      <c r="IG1635" s="2">
        <v>1.4</v>
      </c>
      <c r="IH1635" s="2">
        <v>0.6</v>
      </c>
      <c r="II1635" s="2">
        <v>1.4</v>
      </c>
      <c r="IJ1635" s="2">
        <v>0.3</v>
      </c>
      <c r="IK1635" s="2">
        <v>0.8</v>
      </c>
      <c r="IL1635" s="2">
        <v>1.1</v>
      </c>
      <c r="IM1635" s="2">
        <v>0.7</v>
      </c>
      <c r="IN1635" s="2">
        <v>1.5</v>
      </c>
      <c r="IO1635" s="2">
        <v>1.5</v>
      </c>
      <c r="IP1635" s="2">
        <v>1.7</v>
      </c>
      <c r="IQ1635" s="2">
        <v>1.9</v>
      </c>
      <c r="IR1635" s="2">
        <v>1.2</v>
      </c>
      <c r="IS1635" s="2">
        <v>-0.1</v>
      </c>
      <c r="IT1635" s="2">
        <v>-0.5</v>
      </c>
      <c r="IU1635" s="2">
        <v>2.1</v>
      </c>
      <c r="IV1635" s="2">
        <v>15.4</v>
      </c>
      <c r="IW1635" s="2">
        <v>7</v>
      </c>
      <c r="IX1635" s="2">
        <v>1.2</v>
      </c>
      <c r="IY1635" s="2">
        <v>2.1</v>
      </c>
      <c r="IZ1635" s="2">
        <v>1.4</v>
      </c>
      <c r="JA1635" s="2">
        <v>1.8</v>
      </c>
      <c r="JB1635" s="2">
        <v>0.9</v>
      </c>
      <c r="JC1635" s="2">
        <v>2.1</v>
      </c>
      <c r="JD1635" s="2">
        <v>1.6</v>
      </c>
      <c r="JE1635" s="2">
        <v>1.1</v>
      </c>
      <c r="JF1635" s="2">
        <v>0.9</v>
      </c>
      <c r="JG1635" s="2">
        <v>3.7</v>
      </c>
      <c r="JH1635" s="2">
        <v>3.1</v>
      </c>
      <c r="JI1635" s="2">
        <v>1.2</v>
      </c>
      <c r="JJ1635" s="2">
        <v>2.3</v>
      </c>
      <c r="JK1635" s="2">
        <v>6.7</v>
      </c>
      <c r="JL1635" s="2">
        <v>3.1</v>
      </c>
      <c r="JM1635" s="2">
        <v>2.3</v>
      </c>
      <c r="JN1635" s="2">
        <v>4.8</v>
      </c>
      <c r="JO1635" s="2">
        <v>0.9</v>
      </c>
      <c r="JP1635" s="2">
        <v>2.4</v>
      </c>
      <c r="JQ1635" s="2">
        <v>2.2</v>
      </c>
      <c r="JR1635" s="2">
        <v>7.3</v>
      </c>
      <c r="JS1635" s="2">
        <v>0.8</v>
      </c>
      <c r="JT1635" s="2">
        <v>2.1</v>
      </c>
      <c r="JU1635" s="2">
        <v>2.3</v>
      </c>
      <c r="JV1635" s="2">
        <v>7.5</v>
      </c>
      <c r="KA1635" s="2">
        <v>1</v>
      </c>
      <c r="KB1635" s="2">
        <v>1</v>
      </c>
      <c r="KC1635" s="2">
        <v>4.1</v>
      </c>
      <c r="KD1635" s="2">
        <v>8.5</v>
      </c>
      <c r="KQ1635" s="2">
        <v>0.4</v>
      </c>
      <c r="KR1635" s="2">
        <v>2.8</v>
      </c>
      <c r="KS1635" s="2">
        <v>1.8</v>
      </c>
      <c r="KT1635" s="2">
        <v>9.4</v>
      </c>
      <c r="LG1635" s="2">
        <v>-0.7</v>
      </c>
      <c r="LH1635" s="2">
        <v>2.4</v>
      </c>
      <c r="LI1635" s="2">
        <v>3.4</v>
      </c>
      <c r="LJ1635" s="2">
        <v>8.4</v>
      </c>
      <c r="LW1635" s="2">
        <v>2</v>
      </c>
      <c r="LX1635" s="2">
        <v>2.7</v>
      </c>
      <c r="LY1635" s="2">
        <v>3.2</v>
      </c>
      <c r="LZ1635" s="2">
        <v>10.9</v>
      </c>
      <c r="MM1635" s="2">
        <v>-0.6</v>
      </c>
      <c r="MN1635" s="2">
        <v>0.5</v>
      </c>
      <c r="MO1635" s="2">
        <v>-0.9</v>
      </c>
      <c r="MP1635" s="2">
        <v>2.2</v>
      </c>
      <c r="NC1635" s="2">
        <v>1.2</v>
      </c>
      <c r="ND1635" s="2">
        <v>1</v>
      </c>
      <c r="NE1635" s="2">
        <v>1</v>
      </c>
      <c r="NF1635" s="2">
        <v>1.5</v>
      </c>
      <c r="NS1635" s="2">
        <v>0.5</v>
      </c>
      <c r="NT1635" s="2">
        <v>1.1</v>
      </c>
      <c r="NU1635" s="2">
        <v>1.7</v>
      </c>
      <c r="NV1635" s="2">
        <v>7</v>
      </c>
      <c r="OI1635" s="2">
        <v>1.2</v>
      </c>
      <c r="OJ1635" s="2">
        <v>3</v>
      </c>
      <c r="OK1635" s="2">
        <v>1.7</v>
      </c>
      <c r="OL1635" s="2">
        <v>5.8</v>
      </c>
      <c r="OY1635" s="2">
        <v>1.6</v>
      </c>
      <c r="OZ1635" s="2">
        <v>2</v>
      </c>
      <c r="PA1635" s="2">
        <v>2.9</v>
      </c>
      <c r="PB1635" s="2">
        <v>5.1</v>
      </c>
      <c r="PJ1635" s="2">
        <v>1.1</v>
      </c>
      <c r="PK1635" s="2">
        <v>1.5</v>
      </c>
    </row>
    <row r="1636">
      <c r="A1636" t="inlineStr">
        <is>
          <t>A2329000W</t>
        </is>
      </c>
      <c r="B1636" t="inlineStr">
        <is>
          <t>Percentage Change from Previous Period ;  Tobacco ;  Australia ;</t>
        </is>
      </c>
      <c r="C1636" t="inlineStr">
        <is>
          <t>Quarter</t>
        </is>
      </c>
      <c r="D1636" t="inlineStr">
        <is>
          <t>Percent</t>
        </is>
      </c>
      <c r="E1636" t="inlineStr">
        <is>
          <t>Original</t>
        </is>
      </c>
      <c r="F1636" t="inlineStr">
        <is>
          <t>6401018.xlsx</t>
        </is>
      </c>
      <c r="G1636" t="inlineStr">
        <is>
          <t>1972Q4</t>
        </is>
      </c>
      <c r="H1636" t="inlineStr">
        <is>
          <t>2026Q2</t>
        </is>
      </c>
      <c r="DB1636" s="2">
        <v>0</v>
      </c>
      <c r="DC1636" s="2">
        <v>2</v>
      </c>
      <c r="DD1636" s="2">
        <v>0</v>
      </c>
      <c r="DE1636" s="2">
        <v>0</v>
      </c>
      <c r="DF1636" s="2">
        <v>12</v>
      </c>
      <c r="DG1636" s="2">
        <v>0</v>
      </c>
      <c r="DH1636" s="2">
        <v>1.8</v>
      </c>
      <c r="DI1636" s="2">
        <v>8.800000000000001</v>
      </c>
      <c r="DJ1636" s="2">
        <v>0</v>
      </c>
      <c r="DK1636" s="2">
        <v>9.699999999999999</v>
      </c>
      <c r="DL1636" s="2">
        <v>1.5</v>
      </c>
      <c r="DM1636" s="2">
        <v>1.4</v>
      </c>
      <c r="DN1636" s="2">
        <v>18.6</v>
      </c>
      <c r="DO1636" s="2">
        <v>3.6</v>
      </c>
      <c r="DP1636" s="2">
        <v>1.2</v>
      </c>
      <c r="DQ1636" s="2">
        <v>0</v>
      </c>
      <c r="DR1636" s="2">
        <v>2.3</v>
      </c>
      <c r="DS1636" s="2">
        <v>0</v>
      </c>
      <c r="DT1636" s="2">
        <v>1.1</v>
      </c>
      <c r="DU1636" s="2">
        <v>1.1</v>
      </c>
      <c r="DV1636" s="2">
        <v>0</v>
      </c>
      <c r="DW1636" s="2">
        <v>2.2</v>
      </c>
      <c r="DX1636" s="2">
        <v>-1.1</v>
      </c>
      <c r="DY1636" s="2">
        <v>1.1</v>
      </c>
      <c r="DZ1636" s="2">
        <v>15.1</v>
      </c>
      <c r="EA1636" s="2">
        <v>0</v>
      </c>
      <c r="EB1636" s="2">
        <v>0.9</v>
      </c>
      <c r="EC1636" s="2">
        <v>2.8</v>
      </c>
      <c r="ED1636" s="2">
        <v>1.8</v>
      </c>
      <c r="EE1636" s="2">
        <v>0.9</v>
      </c>
      <c r="EF1636" s="2">
        <v>1.8</v>
      </c>
      <c r="EG1636" s="2">
        <v>1.7</v>
      </c>
      <c r="EH1636" s="2">
        <v>0</v>
      </c>
      <c r="EI1636" s="2">
        <v>0.8</v>
      </c>
      <c r="EJ1636" s="2">
        <v>1.7</v>
      </c>
      <c r="EK1636" s="2">
        <v>4.1</v>
      </c>
      <c r="EL1636" s="2">
        <v>1.6</v>
      </c>
      <c r="EM1636" s="2">
        <v>1.6</v>
      </c>
      <c r="EN1636" s="2">
        <v>2.3</v>
      </c>
      <c r="EO1636" s="2">
        <v>6</v>
      </c>
      <c r="EP1636" s="2">
        <v>7.1</v>
      </c>
      <c r="EQ1636" s="2">
        <v>2</v>
      </c>
      <c r="ER1636" s="2">
        <v>3.2</v>
      </c>
      <c r="ES1636" s="2">
        <v>5</v>
      </c>
      <c r="ET1636" s="2">
        <v>11.4</v>
      </c>
      <c r="EU1636" s="2">
        <v>0.5</v>
      </c>
      <c r="EV1636" s="2">
        <v>2.1</v>
      </c>
      <c r="EW1636" s="2">
        <v>2.1</v>
      </c>
      <c r="EX1636" s="2">
        <v>2.6</v>
      </c>
      <c r="EY1636" s="2">
        <v>1</v>
      </c>
      <c r="EZ1636" s="2">
        <v>2</v>
      </c>
      <c r="FA1636" s="2">
        <v>3.4</v>
      </c>
      <c r="FB1636" s="2">
        <v>3.3</v>
      </c>
      <c r="FC1636" s="2">
        <v>4.1</v>
      </c>
      <c r="FD1636" s="2">
        <v>2.2</v>
      </c>
      <c r="FE1636" s="2">
        <v>2.6</v>
      </c>
      <c r="FF1636" s="2">
        <v>2.9</v>
      </c>
      <c r="FG1636" s="2">
        <v>3.2</v>
      </c>
      <c r="FH1636" s="2">
        <v>2.7</v>
      </c>
      <c r="FI1636" s="2">
        <v>0.8</v>
      </c>
      <c r="FJ1636" s="2">
        <v>2.3</v>
      </c>
      <c r="FK1636" s="2">
        <v>2.2</v>
      </c>
      <c r="FL1636" s="2">
        <v>0.4</v>
      </c>
      <c r="FM1636" s="2">
        <v>2.5</v>
      </c>
      <c r="FN1636" s="2">
        <v>3.2</v>
      </c>
      <c r="FO1636" s="2">
        <v>3.8</v>
      </c>
      <c r="FP1636" s="2">
        <v>2</v>
      </c>
      <c r="FQ1636" s="2">
        <v>3.2</v>
      </c>
      <c r="FR1636" s="2">
        <v>3.4</v>
      </c>
      <c r="FS1636" s="2">
        <v>3.3</v>
      </c>
      <c r="FT1636" s="2">
        <v>2.3</v>
      </c>
      <c r="FU1636" s="2">
        <v>2</v>
      </c>
      <c r="FV1636" s="2">
        <v>6.4</v>
      </c>
      <c r="FW1636" s="2">
        <v>1.3</v>
      </c>
      <c r="FX1636" s="2">
        <v>2.6</v>
      </c>
      <c r="FY1636" s="2">
        <v>3.5</v>
      </c>
      <c r="FZ1636" s="2">
        <v>1.5</v>
      </c>
      <c r="GA1636" s="2">
        <v>1</v>
      </c>
      <c r="GB1636" s="2">
        <v>1.2</v>
      </c>
      <c r="GC1636" s="2">
        <v>9</v>
      </c>
      <c r="GD1636" s="2">
        <v>7.1</v>
      </c>
      <c r="GE1636" s="2">
        <v>4.6</v>
      </c>
      <c r="GF1636" s="2">
        <v>2.7</v>
      </c>
      <c r="GG1636" s="2">
        <v>3.9</v>
      </c>
      <c r="GH1636" s="2">
        <v>3.1</v>
      </c>
      <c r="GI1636" s="2">
        <v>2.3</v>
      </c>
      <c r="GJ1636" s="2">
        <v>1.5</v>
      </c>
      <c r="GK1636" s="2">
        <v>0.5</v>
      </c>
      <c r="GL1636" s="2">
        <v>2.5</v>
      </c>
      <c r="GM1636" s="2">
        <v>2.5</v>
      </c>
      <c r="GN1636" s="2">
        <v>7.4</v>
      </c>
      <c r="GO1636" s="2">
        <v>6.3</v>
      </c>
      <c r="GP1636" s="2">
        <v>5</v>
      </c>
      <c r="GQ1636" s="2">
        <v>1.9</v>
      </c>
      <c r="GR1636" s="2">
        <v>0.7</v>
      </c>
      <c r="GS1636" s="2">
        <v>0.7</v>
      </c>
      <c r="GT1636" s="2">
        <v>1.2</v>
      </c>
      <c r="GU1636" s="2">
        <v>-0.1</v>
      </c>
      <c r="GV1636" s="2">
        <v>0.1</v>
      </c>
      <c r="GW1636" s="2">
        <v>-0.1</v>
      </c>
      <c r="GX1636" s="2">
        <v>2.9</v>
      </c>
      <c r="GY1636" s="2">
        <v>1.2</v>
      </c>
      <c r="GZ1636" s="2">
        <v>1.1</v>
      </c>
      <c r="HA1636" s="2">
        <v>0.7</v>
      </c>
      <c r="HB1636" s="2">
        <v>0.1</v>
      </c>
      <c r="HC1636" s="2">
        <v>1.3</v>
      </c>
      <c r="HD1636" s="2">
        <v>1</v>
      </c>
      <c r="HE1636" s="2">
        <v>0.9</v>
      </c>
      <c r="HF1636" s="2">
        <v>4.1</v>
      </c>
      <c r="HG1636" s="2">
        <v>3.8</v>
      </c>
      <c r="HH1636" s="2">
        <v>0.3</v>
      </c>
      <c r="HI1636" s="2">
        <v>11.1</v>
      </c>
      <c r="HJ1636" s="2">
        <v>2.1</v>
      </c>
      <c r="HK1636" s="2">
        <v>4</v>
      </c>
      <c r="HL1636" s="2">
        <v>2</v>
      </c>
      <c r="HM1636" s="2">
        <v>1.6</v>
      </c>
      <c r="HN1636" s="2">
        <v>0.4</v>
      </c>
      <c r="HO1636" s="2">
        <v>2</v>
      </c>
      <c r="HP1636" s="2">
        <v>1.1</v>
      </c>
      <c r="HQ1636" s="2">
        <v>1.1</v>
      </c>
      <c r="HR1636" s="2">
        <v>0.3</v>
      </c>
      <c r="HS1636" s="2">
        <v>1.4</v>
      </c>
      <c r="HT1636" s="2">
        <v>1.1</v>
      </c>
      <c r="HU1636" s="2">
        <v>1.5</v>
      </c>
      <c r="HV1636" s="2">
        <v>0.6</v>
      </c>
      <c r="HW1636" s="2">
        <v>1.4</v>
      </c>
      <c r="HX1636" s="2">
        <v>0.6</v>
      </c>
      <c r="HY1636" s="2">
        <v>1.1</v>
      </c>
      <c r="HZ1636" s="2">
        <v>0.1</v>
      </c>
      <c r="IA1636" s="2">
        <v>2.2</v>
      </c>
      <c r="IB1636" s="2">
        <v>1.1</v>
      </c>
      <c r="IC1636" s="2">
        <v>0.9</v>
      </c>
      <c r="ID1636" s="2">
        <v>0.6</v>
      </c>
      <c r="IE1636" s="2">
        <v>1.4</v>
      </c>
      <c r="IF1636" s="2">
        <v>1.2</v>
      </c>
      <c r="IG1636" s="2">
        <v>1.4</v>
      </c>
      <c r="IH1636" s="2">
        <v>0.6</v>
      </c>
      <c r="II1636" s="2">
        <v>1.4</v>
      </c>
      <c r="IJ1636" s="2">
        <v>0.3</v>
      </c>
      <c r="IK1636" s="2">
        <v>0.8</v>
      </c>
      <c r="IL1636" s="2">
        <v>1.1</v>
      </c>
      <c r="IM1636" s="2">
        <v>0.7</v>
      </c>
      <c r="IN1636" s="2">
        <v>1.5</v>
      </c>
      <c r="IO1636" s="2">
        <v>1.5</v>
      </c>
      <c r="IP1636" s="2">
        <v>1.7</v>
      </c>
      <c r="IQ1636" s="2">
        <v>1.9</v>
      </c>
      <c r="IR1636" s="2">
        <v>1.2</v>
      </c>
      <c r="IS1636" s="2">
        <v>-0.1</v>
      </c>
      <c r="IT1636" s="2">
        <v>-0.5</v>
      </c>
      <c r="IU1636" s="2">
        <v>2.1</v>
      </c>
      <c r="IV1636" s="2">
        <v>15.4</v>
      </c>
      <c r="IW1636" s="2">
        <v>7</v>
      </c>
      <c r="IX1636" s="2">
        <v>1.2</v>
      </c>
      <c r="IY1636" s="2">
        <v>2.1</v>
      </c>
      <c r="IZ1636" s="2">
        <v>1.4</v>
      </c>
      <c r="JA1636" s="2">
        <v>1.8</v>
      </c>
      <c r="JB1636" s="2">
        <v>0.9</v>
      </c>
      <c r="JC1636" s="2">
        <v>2.1</v>
      </c>
      <c r="JD1636" s="2">
        <v>1.6</v>
      </c>
      <c r="JE1636" s="2">
        <v>1.1</v>
      </c>
      <c r="JF1636" s="2">
        <v>0.9</v>
      </c>
      <c r="JG1636" s="2">
        <v>3.7</v>
      </c>
      <c r="JH1636" s="2">
        <v>3.1</v>
      </c>
      <c r="JI1636" s="2">
        <v>1.2</v>
      </c>
      <c r="JJ1636" s="2">
        <v>2.3</v>
      </c>
      <c r="JK1636" s="2">
        <v>6.7</v>
      </c>
      <c r="JL1636" s="2">
        <v>3.1</v>
      </c>
      <c r="JM1636" s="2">
        <v>2.3</v>
      </c>
      <c r="JN1636" s="2">
        <v>4.8</v>
      </c>
      <c r="JO1636" s="2">
        <v>0.9</v>
      </c>
      <c r="JP1636" s="2">
        <v>2.4</v>
      </c>
      <c r="JQ1636" s="2">
        <v>2.2</v>
      </c>
      <c r="JR1636" s="2">
        <v>7.3</v>
      </c>
      <c r="JS1636" s="2">
        <v>0.8</v>
      </c>
      <c r="JT1636" s="2">
        <v>2.1</v>
      </c>
      <c r="JU1636" s="2">
        <v>2.3</v>
      </c>
      <c r="JV1636" s="2">
        <v>7.5</v>
      </c>
      <c r="KA1636" s="2">
        <v>1</v>
      </c>
      <c r="KB1636" s="2">
        <v>1</v>
      </c>
      <c r="KC1636" s="2">
        <v>4.1</v>
      </c>
      <c r="KD1636" s="2">
        <v>8.5</v>
      </c>
      <c r="KQ1636" s="2">
        <v>0.4</v>
      </c>
      <c r="KR1636" s="2">
        <v>2.8</v>
      </c>
      <c r="KS1636" s="2">
        <v>1.8</v>
      </c>
      <c r="KT1636" s="2">
        <v>9.4</v>
      </c>
      <c r="LG1636" s="2">
        <v>-0.7</v>
      </c>
      <c r="LH1636" s="2">
        <v>2.4</v>
      </c>
      <c r="LI1636" s="2">
        <v>3.4</v>
      </c>
      <c r="LJ1636" s="2">
        <v>8.4</v>
      </c>
      <c r="LW1636" s="2">
        <v>2</v>
      </c>
      <c r="LX1636" s="2">
        <v>2.7</v>
      </c>
      <c r="LY1636" s="2">
        <v>3.2</v>
      </c>
      <c r="LZ1636" s="2">
        <v>10.9</v>
      </c>
      <c r="MM1636" s="2">
        <v>-0.6</v>
      </c>
      <c r="MN1636" s="2">
        <v>0.5</v>
      </c>
      <c r="MO1636" s="2">
        <v>-0.9</v>
      </c>
      <c r="MP1636" s="2">
        <v>2.2</v>
      </c>
      <c r="NC1636" s="2">
        <v>1.2</v>
      </c>
      <c r="ND1636" s="2">
        <v>1</v>
      </c>
      <c r="NE1636" s="2">
        <v>1</v>
      </c>
      <c r="NF1636" s="2">
        <v>1.5</v>
      </c>
      <c r="NS1636" s="2">
        <v>0.5</v>
      </c>
      <c r="NT1636" s="2">
        <v>1.1</v>
      </c>
      <c r="NU1636" s="2">
        <v>1.7</v>
      </c>
      <c r="NV1636" s="2">
        <v>7</v>
      </c>
      <c r="OI1636" s="2">
        <v>1.2</v>
      </c>
      <c r="OJ1636" s="2">
        <v>3</v>
      </c>
      <c r="OK1636" s="2">
        <v>1.7</v>
      </c>
      <c r="OL1636" s="2">
        <v>5.8</v>
      </c>
      <c r="OY1636" s="2">
        <v>1.6</v>
      </c>
      <c r="OZ1636" s="2">
        <v>2</v>
      </c>
      <c r="PA1636" s="2">
        <v>2.9</v>
      </c>
      <c r="PB1636" s="2">
        <v>5.1</v>
      </c>
      <c r="PJ1636" s="2">
        <v>1.1</v>
      </c>
      <c r="PK1636" s="2">
        <v>1.5</v>
      </c>
    </row>
    <row r="1637">
      <c r="A1637" t="inlineStr">
        <is>
          <t>A2325940X</t>
        </is>
      </c>
      <c r="B1637" t="inlineStr">
        <is>
          <t>Percentage Change from Previous Period ;  Clothing and footwear ;  Australia ;</t>
        </is>
      </c>
      <c r="C1637" t="inlineStr">
        <is>
          <t>Quarter</t>
        </is>
      </c>
      <c r="D1637" t="inlineStr">
        <is>
          <t>Percent</t>
        </is>
      </c>
      <c r="E1637" t="inlineStr">
        <is>
          <t>Original</t>
        </is>
      </c>
      <c r="F1637" t="inlineStr">
        <is>
          <t>6401018.xlsx</t>
        </is>
      </c>
      <c r="G1637" t="inlineStr">
        <is>
          <t>1972Q4</t>
        </is>
      </c>
      <c r="H1637" t="inlineStr">
        <is>
          <t>2026Q2</t>
        </is>
      </c>
      <c r="DB1637" s="2">
        <v>1.4</v>
      </c>
      <c r="DC1637" s="2">
        <v>1.4</v>
      </c>
      <c r="DD1637" s="2">
        <v>4.2</v>
      </c>
      <c r="DE1637" s="2">
        <v>2.7</v>
      </c>
      <c r="DF1637" s="2">
        <v>4.3</v>
      </c>
      <c r="DG1637" s="2">
        <v>2.1</v>
      </c>
      <c r="DH1637" s="2">
        <v>7.3</v>
      </c>
      <c r="DI1637" s="2">
        <v>4.6</v>
      </c>
      <c r="DJ1637" s="2">
        <v>7.3</v>
      </c>
      <c r="DK1637" s="2">
        <v>1.4</v>
      </c>
      <c r="DL1637" s="2">
        <v>4.3</v>
      </c>
      <c r="DM1637" s="2">
        <v>2.2</v>
      </c>
      <c r="DN1637" s="2">
        <v>7.2</v>
      </c>
      <c r="DO1637" s="2">
        <v>1.2</v>
      </c>
      <c r="DP1637" s="2">
        <v>5.8</v>
      </c>
      <c r="DQ1637" s="2">
        <v>1.6</v>
      </c>
      <c r="DR1637" s="2">
        <v>6.7</v>
      </c>
      <c r="DS1637" s="2">
        <v>1.5</v>
      </c>
      <c r="DT1637" s="2">
        <v>3.5</v>
      </c>
      <c r="DU1637" s="2">
        <v>1.7</v>
      </c>
      <c r="DV1637" s="2">
        <v>3.3</v>
      </c>
      <c r="DW1637" s="2">
        <v>1.1</v>
      </c>
      <c r="DX1637" s="2">
        <v>2.5</v>
      </c>
      <c r="DY1637" s="2">
        <v>1.1</v>
      </c>
      <c r="DZ1637" s="2">
        <v>2.4</v>
      </c>
      <c r="EA1637" s="2">
        <v>0.4</v>
      </c>
      <c r="EB1637" s="2">
        <v>3</v>
      </c>
      <c r="EC1637" s="2">
        <v>1.4</v>
      </c>
      <c r="ED1637" s="2">
        <v>1.6</v>
      </c>
      <c r="EE1637" s="2">
        <v>0.6</v>
      </c>
      <c r="EF1637" s="2">
        <v>3</v>
      </c>
      <c r="EG1637" s="2">
        <v>1.2</v>
      </c>
      <c r="EH1637" s="2">
        <v>2.3</v>
      </c>
      <c r="EI1637" s="2">
        <v>0.9</v>
      </c>
      <c r="EJ1637" s="2">
        <v>2.9</v>
      </c>
      <c r="EK1637" s="2">
        <v>0.9</v>
      </c>
      <c r="EL1637" s="2">
        <v>2.7</v>
      </c>
      <c r="EM1637" s="2">
        <v>0.4</v>
      </c>
      <c r="EN1637" s="2">
        <v>2.6</v>
      </c>
      <c r="EO1637" s="2">
        <v>1</v>
      </c>
      <c r="EP1637" s="2">
        <v>2.3</v>
      </c>
      <c r="EQ1637" s="2">
        <v>0.2</v>
      </c>
      <c r="ER1637" s="2">
        <v>3.4</v>
      </c>
      <c r="ES1637" s="2">
        <v>0</v>
      </c>
      <c r="ET1637" s="2">
        <v>2.2</v>
      </c>
      <c r="EU1637" s="2">
        <v>0.3</v>
      </c>
      <c r="EV1637" s="2">
        <v>2.9</v>
      </c>
      <c r="EW1637" s="2">
        <v>0.4</v>
      </c>
      <c r="EX1637" s="2">
        <v>2.5</v>
      </c>
      <c r="EY1637" s="2">
        <v>0.3</v>
      </c>
      <c r="EZ1637" s="2">
        <v>2.7</v>
      </c>
      <c r="FA1637" s="2">
        <v>1.3</v>
      </c>
      <c r="FB1637" s="2">
        <v>3.3</v>
      </c>
      <c r="FC1637" s="2">
        <v>0.7</v>
      </c>
      <c r="FD1637" s="2">
        <v>4.7</v>
      </c>
      <c r="FE1637" s="2">
        <v>0.5</v>
      </c>
      <c r="FF1637" s="2">
        <v>4.2</v>
      </c>
      <c r="FG1637" s="2">
        <v>0.6</v>
      </c>
      <c r="FH1637" s="2">
        <v>3</v>
      </c>
      <c r="FI1637" s="2">
        <v>0.8</v>
      </c>
      <c r="FJ1637" s="2">
        <v>2.9</v>
      </c>
      <c r="FK1637" s="2">
        <v>0.1</v>
      </c>
      <c r="FL1637" s="2">
        <v>3.7</v>
      </c>
      <c r="FM1637" s="2">
        <v>0.4</v>
      </c>
      <c r="FN1637" s="2">
        <v>3</v>
      </c>
      <c r="FO1637" s="2">
        <v>0</v>
      </c>
      <c r="FP1637" s="2">
        <v>2.7</v>
      </c>
      <c r="FQ1637" s="2">
        <v>0.2</v>
      </c>
      <c r="FR1637" s="2">
        <v>2</v>
      </c>
      <c r="FS1637" s="2">
        <v>0.1</v>
      </c>
      <c r="FT1637" s="2">
        <v>2</v>
      </c>
      <c r="FU1637" s="2">
        <v>0.7</v>
      </c>
      <c r="FV1637" s="2">
        <v>1.7</v>
      </c>
      <c r="FW1637" s="2">
        <v>0.5</v>
      </c>
      <c r="FX1637" s="2">
        <v>1.4</v>
      </c>
      <c r="FY1637" s="2">
        <v>-0.4</v>
      </c>
      <c r="FZ1637" s="2">
        <v>0.5</v>
      </c>
      <c r="GA1637" s="2">
        <v>-0.2</v>
      </c>
      <c r="GB1637" s="2">
        <v>0.5</v>
      </c>
      <c r="GC1637" s="2">
        <v>-0.2</v>
      </c>
      <c r="GD1637" s="2">
        <v>1.1</v>
      </c>
      <c r="GE1637" s="2">
        <v>-0.3</v>
      </c>
      <c r="GF1637" s="2">
        <v>0.6</v>
      </c>
      <c r="GG1637" s="2">
        <v>-0.9</v>
      </c>
      <c r="GH1637" s="2">
        <v>-0.3</v>
      </c>
      <c r="GI1637" s="2">
        <v>-0.5</v>
      </c>
      <c r="GJ1637" s="2">
        <v>0.1</v>
      </c>
      <c r="GK1637" s="2">
        <v>0.2</v>
      </c>
      <c r="GL1637" s="2">
        <v>0.2</v>
      </c>
      <c r="GM1637" s="2">
        <v>-0.6</v>
      </c>
      <c r="GN1637" s="2">
        <v>0.9</v>
      </c>
      <c r="GO1637" s="2">
        <v>-0.5</v>
      </c>
      <c r="GP1637" s="2">
        <v>0.4</v>
      </c>
      <c r="GQ1637" s="2">
        <v>-0.3</v>
      </c>
      <c r="GR1637" s="2">
        <v>0.6</v>
      </c>
      <c r="GS1637" s="2">
        <v>-0.2</v>
      </c>
      <c r="GT1637" s="2">
        <v>0.3</v>
      </c>
      <c r="GU1637" s="2">
        <v>-0.5</v>
      </c>
      <c r="GV1637" s="2">
        <v>0.3</v>
      </c>
      <c r="GW1637" s="2">
        <v>-0.2</v>
      </c>
      <c r="GX1637" s="2">
        <v>0.7</v>
      </c>
      <c r="GY1637" s="2">
        <v>-0.4</v>
      </c>
      <c r="GZ1637" s="2">
        <v>-0.1</v>
      </c>
      <c r="HA1637" s="2">
        <v>-0.3</v>
      </c>
      <c r="HB1637" s="2">
        <v>-0.1</v>
      </c>
      <c r="HC1637" s="2">
        <v>-0.6</v>
      </c>
      <c r="HD1637" s="2">
        <v>0.3</v>
      </c>
      <c r="HE1637" s="2">
        <v>-0.4</v>
      </c>
      <c r="HF1637" s="2">
        <v>-1</v>
      </c>
      <c r="HG1637" s="2">
        <v>-0.4</v>
      </c>
      <c r="HH1637" s="2">
        <v>0.9</v>
      </c>
      <c r="HI1637" s="2">
        <v>7.4</v>
      </c>
      <c r="HJ1637" s="2">
        <v>-0.4</v>
      </c>
      <c r="HK1637" s="2">
        <v>-2.1</v>
      </c>
      <c r="HL1637" s="2">
        <v>1.6</v>
      </c>
      <c r="HM1637" s="2">
        <v>-1.3</v>
      </c>
      <c r="HN1637" s="2">
        <v>1.4</v>
      </c>
      <c r="HO1637" s="2">
        <v>-0.4</v>
      </c>
      <c r="HP1637" s="2">
        <v>1.3</v>
      </c>
      <c r="HQ1637" s="2">
        <v>-0.7</v>
      </c>
      <c r="HR1637" s="2">
        <v>0.9</v>
      </c>
      <c r="HS1637" s="2">
        <v>-1.4</v>
      </c>
      <c r="HT1637" s="2">
        <v>1.2</v>
      </c>
      <c r="HU1637" s="2">
        <v>-0.3</v>
      </c>
      <c r="HV1637" s="2">
        <v>-0.2</v>
      </c>
      <c r="HW1637" s="2">
        <v>-1.4</v>
      </c>
      <c r="HX1637" s="2">
        <v>1.1</v>
      </c>
      <c r="HY1637" s="2">
        <v>-0.2</v>
      </c>
      <c r="HZ1637" s="2">
        <v>-1.4</v>
      </c>
      <c r="IA1637" s="2">
        <v>-1.4</v>
      </c>
      <c r="IB1637" s="2">
        <v>0.8</v>
      </c>
      <c r="IC1637" s="2">
        <v>0.1</v>
      </c>
      <c r="ID1637" s="2">
        <v>-0.2</v>
      </c>
      <c r="IE1637" s="2">
        <v>-2.5</v>
      </c>
      <c r="IF1637" s="2">
        <v>0.9</v>
      </c>
      <c r="IG1637" s="2">
        <v>0.1</v>
      </c>
      <c r="IH1637" s="2">
        <v>-0.4</v>
      </c>
      <c r="II1637" s="2">
        <v>-0.3</v>
      </c>
      <c r="IJ1637" s="2">
        <v>1.4</v>
      </c>
      <c r="IK1637" s="2">
        <v>0.3</v>
      </c>
      <c r="IL1637" s="2">
        <v>0.2</v>
      </c>
      <c r="IM1637" s="2">
        <v>-2.4</v>
      </c>
      <c r="IN1637" s="2">
        <v>3</v>
      </c>
      <c r="IO1637" s="2">
        <v>-0.7</v>
      </c>
      <c r="IP1637" s="2">
        <v>0.4</v>
      </c>
      <c r="IQ1637" s="2">
        <v>-0.5</v>
      </c>
      <c r="IR1637" s="2">
        <v>2.1</v>
      </c>
      <c r="IS1637" s="2">
        <v>0.3</v>
      </c>
      <c r="IT1637" s="2">
        <v>0.2</v>
      </c>
      <c r="IU1637" s="2">
        <v>-4.3</v>
      </c>
      <c r="IV1637" s="2">
        <v>0</v>
      </c>
      <c r="IW1637" s="2">
        <v>1.3</v>
      </c>
      <c r="IX1637" s="2">
        <v>-1.9</v>
      </c>
      <c r="IY1637" s="2">
        <v>-0.7</v>
      </c>
      <c r="IZ1637" s="2">
        <v>2.4</v>
      </c>
      <c r="JA1637" s="2">
        <v>1.5</v>
      </c>
      <c r="JB1637" s="2">
        <v>-0.6</v>
      </c>
      <c r="JC1637" s="2">
        <v>-1.8</v>
      </c>
      <c r="JD1637" s="2">
        <v>1.5</v>
      </c>
      <c r="JE1637" s="2">
        <v>0.1</v>
      </c>
      <c r="JF1637" s="2">
        <v>0.9</v>
      </c>
      <c r="JG1637" s="2">
        <v>-3.9</v>
      </c>
      <c r="JH1637" s="2">
        <v>2.6</v>
      </c>
      <c r="JI1637" s="2">
        <v>1.1</v>
      </c>
      <c r="JJ1637" s="2">
        <v>-1.1</v>
      </c>
      <c r="JK1637" s="2">
        <v>-2.1</v>
      </c>
      <c r="JL1637" s="2">
        <v>1.6</v>
      </c>
      <c r="JM1637" s="2">
        <v>-1</v>
      </c>
      <c r="JN1637" s="2">
        <v>0.1</v>
      </c>
      <c r="JO1637" s="2">
        <v>-1.4</v>
      </c>
      <c r="JP1637" s="2">
        <v>1.4</v>
      </c>
      <c r="JQ1637" s="2">
        <v>-1.2</v>
      </c>
      <c r="JR1637" s="2">
        <v>1.6</v>
      </c>
      <c r="JS1637" s="2">
        <v>-2.6</v>
      </c>
      <c r="JT1637" s="2">
        <v>2</v>
      </c>
      <c r="JU1637" s="2">
        <v>0.3</v>
      </c>
      <c r="JV1637" s="2">
        <v>-0.5</v>
      </c>
      <c r="KA1637" s="2">
        <v>-1.5</v>
      </c>
      <c r="KB1637" s="2">
        <v>-0.3</v>
      </c>
      <c r="KC1637" s="2">
        <v>-1</v>
      </c>
      <c r="KD1637" s="2">
        <v>-0.3</v>
      </c>
      <c r="KQ1637" s="2">
        <v>-2</v>
      </c>
      <c r="KR1637" s="2">
        <v>1.3</v>
      </c>
      <c r="KS1637" s="2">
        <v>0.2</v>
      </c>
      <c r="KT1637" s="2">
        <v>-0.2</v>
      </c>
      <c r="LG1637" s="2">
        <v>-1.3</v>
      </c>
      <c r="LH1637" s="2">
        <v>1.6</v>
      </c>
      <c r="LI1637" s="2">
        <v>1.4</v>
      </c>
      <c r="LJ1637" s="2">
        <v>-0.3</v>
      </c>
      <c r="LW1637" s="2">
        <v>-0.8</v>
      </c>
      <c r="LX1637" s="2">
        <v>0.1</v>
      </c>
      <c r="LY1637" s="2">
        <v>0.5</v>
      </c>
      <c r="LZ1637" s="2">
        <v>-1</v>
      </c>
      <c r="MM1637" s="2">
        <v>0.5</v>
      </c>
      <c r="MN1637" s="2">
        <v>0.5</v>
      </c>
      <c r="MO1637" s="2">
        <v>-3.8</v>
      </c>
      <c r="MP1637" s="2">
        <v>2.5</v>
      </c>
      <c r="NC1637" s="2">
        <v>-0.7</v>
      </c>
      <c r="ND1637" s="2">
        <v>3.6</v>
      </c>
      <c r="NE1637" s="2">
        <v>-0.2</v>
      </c>
      <c r="NF1637" s="2">
        <v>2.5</v>
      </c>
      <c r="NS1637" s="2">
        <v>-2.6</v>
      </c>
      <c r="NT1637" s="2">
        <v>0.6</v>
      </c>
      <c r="NU1637" s="2">
        <v>0.4</v>
      </c>
      <c r="NV1637" s="2">
        <v>0.6</v>
      </c>
      <c r="OI1637" s="2">
        <v>-1.2</v>
      </c>
      <c r="OJ1637" s="2">
        <v>3.1</v>
      </c>
      <c r="OK1637" s="2">
        <v>-0.7</v>
      </c>
      <c r="OL1637" s="2">
        <v>0.2</v>
      </c>
      <c r="OY1637" s="2">
        <v>-0.8</v>
      </c>
      <c r="OZ1637" s="2">
        <v>2.7</v>
      </c>
      <c r="PA1637" s="2">
        <v>0.5</v>
      </c>
      <c r="PB1637" s="2">
        <v>-0.1</v>
      </c>
      <c r="PJ1637" s="2">
        <v>2.3</v>
      </c>
      <c r="PK1637" s="2">
        <v>1.1</v>
      </c>
    </row>
    <row r="1638">
      <c r="A1638" t="inlineStr">
        <is>
          <t>A3604372K</t>
        </is>
      </c>
      <c r="B1638" t="inlineStr">
        <is>
          <t>Percentage Change from Previous Period ;  Garments ;  Australia ;</t>
        </is>
      </c>
      <c r="C1638" t="inlineStr">
        <is>
          <t>Quarter</t>
        </is>
      </c>
      <c r="D1638" t="inlineStr">
        <is>
          <t>Percent</t>
        </is>
      </c>
      <c r="E1638" t="inlineStr">
        <is>
          <t>Original</t>
        </is>
      </c>
      <c r="F1638" t="inlineStr">
        <is>
          <t>6401018.xlsx</t>
        </is>
      </c>
      <c r="G1638" t="inlineStr">
        <is>
          <t>1989Q4</t>
        </is>
      </c>
      <c r="H1638" t="inlineStr">
        <is>
          <t>2026Q2</t>
        </is>
      </c>
      <c r="FR1638" s="2">
        <v>2.2</v>
      </c>
      <c r="FS1638" s="2">
        <v>-0.1</v>
      </c>
      <c r="FT1638" s="2">
        <v>2.3</v>
      </c>
      <c r="FU1638" s="2">
        <v>0.5</v>
      </c>
      <c r="FV1638" s="2">
        <v>1.8</v>
      </c>
      <c r="FW1638" s="2">
        <v>0.4</v>
      </c>
      <c r="FX1638" s="2">
        <v>1.3</v>
      </c>
      <c r="FY1638" s="2">
        <v>-0.5</v>
      </c>
      <c r="FZ1638" s="2">
        <v>0.5</v>
      </c>
      <c r="GA1638" s="2">
        <v>-0.3</v>
      </c>
      <c r="GB1638" s="2">
        <v>0.8</v>
      </c>
      <c r="GC1638" s="2">
        <v>-0.1</v>
      </c>
      <c r="GD1638" s="2">
        <v>1.1</v>
      </c>
      <c r="GE1638" s="2">
        <v>-0.2</v>
      </c>
      <c r="GF1638" s="2">
        <v>0.7</v>
      </c>
      <c r="GG1638" s="2">
        <v>-0.8</v>
      </c>
      <c r="GH1638" s="2">
        <v>-0.4</v>
      </c>
      <c r="GI1638" s="2">
        <v>-0.1</v>
      </c>
      <c r="GJ1638" s="2">
        <v>0.1</v>
      </c>
      <c r="GK1638" s="2">
        <v>0.3</v>
      </c>
      <c r="GL1638" s="2">
        <v>0</v>
      </c>
      <c r="GM1638" s="2">
        <v>-0.2</v>
      </c>
      <c r="GN1638" s="2">
        <v>0.8</v>
      </c>
      <c r="GO1638" s="2">
        <v>0</v>
      </c>
      <c r="GP1638" s="2">
        <v>-0.2</v>
      </c>
      <c r="GQ1638" s="2">
        <v>-0.1</v>
      </c>
      <c r="GR1638" s="2">
        <v>0.4</v>
      </c>
      <c r="GS1638" s="2">
        <v>0</v>
      </c>
      <c r="GT1638" s="2">
        <v>0.1</v>
      </c>
      <c r="GU1638" s="2">
        <v>-0.2</v>
      </c>
      <c r="GV1638" s="2">
        <v>0.8</v>
      </c>
      <c r="GW1638" s="2">
        <v>-0.2</v>
      </c>
      <c r="GX1638" s="2">
        <v>0.7</v>
      </c>
      <c r="GY1638" s="2">
        <v>-0.3</v>
      </c>
      <c r="GZ1638" s="2">
        <v>0</v>
      </c>
      <c r="HA1638" s="2">
        <v>-0.1</v>
      </c>
      <c r="HB1638" s="2">
        <v>-0.4</v>
      </c>
      <c r="HC1638" s="2">
        <v>-0.4</v>
      </c>
      <c r="HD1638" s="2">
        <v>0</v>
      </c>
      <c r="HE1638" s="2">
        <v>-0.3</v>
      </c>
      <c r="HF1638" s="2">
        <v>-1.1</v>
      </c>
      <c r="HG1638" s="2">
        <v>-0.5</v>
      </c>
      <c r="HH1638" s="2">
        <v>1.5</v>
      </c>
      <c r="HI1638" s="2">
        <v>8.6</v>
      </c>
      <c r="HJ1638" s="2">
        <v>-0.9</v>
      </c>
      <c r="HK1638" s="2">
        <v>-3</v>
      </c>
      <c r="HL1638" s="2">
        <v>2.1</v>
      </c>
      <c r="HM1638" s="2">
        <v>-2.3</v>
      </c>
      <c r="HN1638" s="2">
        <v>2.4</v>
      </c>
      <c r="HO1638" s="2">
        <v>-0.8</v>
      </c>
      <c r="HP1638" s="2">
        <v>1.7</v>
      </c>
      <c r="HQ1638" s="2">
        <v>-1.6</v>
      </c>
      <c r="HR1638" s="2">
        <v>1.9</v>
      </c>
      <c r="HS1638" s="2">
        <v>-1.9</v>
      </c>
      <c r="HT1638" s="2">
        <v>1.3</v>
      </c>
      <c r="HU1638" s="2">
        <v>-0.2</v>
      </c>
      <c r="HV1638" s="2">
        <v>-0.2</v>
      </c>
      <c r="HW1638" s="2">
        <v>-1.2</v>
      </c>
      <c r="HX1638" s="2">
        <v>1.2</v>
      </c>
      <c r="HY1638" s="2">
        <v>-0.6</v>
      </c>
      <c r="HZ1638" s="2">
        <v>-1.8</v>
      </c>
      <c r="IA1638" s="2">
        <v>-1.9</v>
      </c>
      <c r="IB1638" s="2">
        <v>1.2</v>
      </c>
      <c r="IC1638" s="2">
        <v>0</v>
      </c>
      <c r="ID1638" s="2">
        <v>-0.5</v>
      </c>
      <c r="IE1638" s="2">
        <v>-2.4</v>
      </c>
      <c r="IF1638" s="2">
        <v>0.3</v>
      </c>
      <c r="IG1638" s="2">
        <v>-0.1</v>
      </c>
      <c r="IH1638" s="2">
        <v>-0.2</v>
      </c>
      <c r="II1638" s="2">
        <v>-0.3</v>
      </c>
      <c r="IJ1638" s="2">
        <v>1.4</v>
      </c>
      <c r="IK1638" s="2">
        <v>-0.2</v>
      </c>
      <c r="IL1638" s="2">
        <v>-0.2</v>
      </c>
      <c r="IM1638" s="2">
        <v>-1.9</v>
      </c>
      <c r="IN1638" s="2">
        <v>2.7</v>
      </c>
      <c r="IO1638" s="2">
        <v>-1.3</v>
      </c>
      <c r="IP1638" s="2">
        <v>-0.1</v>
      </c>
      <c r="IQ1638" s="2">
        <v>0</v>
      </c>
      <c r="IR1638" s="2">
        <v>2</v>
      </c>
      <c r="IS1638" s="2">
        <v>0.1</v>
      </c>
      <c r="IT1638" s="2">
        <v>0.3</v>
      </c>
      <c r="IU1638" s="2">
        <v>-5.4</v>
      </c>
      <c r="IV1638" s="2">
        <v>0.2</v>
      </c>
      <c r="IW1638" s="2">
        <v>0.9</v>
      </c>
      <c r="IX1638" s="2">
        <v>-2.1</v>
      </c>
      <c r="IY1638" s="2">
        <v>-0.9</v>
      </c>
      <c r="IZ1638" s="2">
        <v>1.2</v>
      </c>
      <c r="JA1638" s="2">
        <v>0.6</v>
      </c>
      <c r="JB1638" s="2">
        <v>0.2</v>
      </c>
      <c r="JC1638" s="2">
        <v>-3.4</v>
      </c>
      <c r="JD1638" s="2">
        <v>2</v>
      </c>
      <c r="JE1638" s="2">
        <v>1</v>
      </c>
      <c r="JF1638" s="2">
        <v>-0.8</v>
      </c>
      <c r="JG1638" s="2">
        <v>-3.3</v>
      </c>
      <c r="JH1638" s="2">
        <v>3</v>
      </c>
      <c r="JI1638" s="2">
        <v>0.5</v>
      </c>
      <c r="JJ1638" s="2">
        <v>-0.8</v>
      </c>
      <c r="JK1638" s="2">
        <v>-2.1</v>
      </c>
      <c r="JL1638" s="2">
        <v>1.9</v>
      </c>
      <c r="JM1638" s="2">
        <v>-1.6</v>
      </c>
      <c r="JN1638" s="2">
        <v>-0.3</v>
      </c>
      <c r="JO1638" s="2">
        <v>-2.1</v>
      </c>
      <c r="JP1638" s="2">
        <v>2.1</v>
      </c>
      <c r="JQ1638" s="2">
        <v>-0.8</v>
      </c>
      <c r="JR1638" s="2">
        <v>0.7</v>
      </c>
      <c r="JS1638" s="2">
        <v>-2</v>
      </c>
      <c r="JT1638" s="2">
        <v>1.9</v>
      </c>
      <c r="JU1638" s="2">
        <v>-1.2</v>
      </c>
      <c r="JV1638" s="2">
        <v>0.8</v>
      </c>
      <c r="KA1638" s="2">
        <v>-2.7</v>
      </c>
      <c r="KB1638" s="2">
        <v>-1</v>
      </c>
      <c r="KC1638" s="2">
        <v>-1.4</v>
      </c>
      <c r="KD1638" s="2">
        <v>-0.4</v>
      </c>
      <c r="KQ1638" s="2">
        <v>-2.8</v>
      </c>
      <c r="KR1638" s="2">
        <v>1.5</v>
      </c>
      <c r="KS1638" s="2">
        <v>0.3</v>
      </c>
      <c r="KT1638" s="2">
        <v>0.4</v>
      </c>
      <c r="LG1638" s="2">
        <v>-1.8</v>
      </c>
      <c r="LH1638" s="2">
        <v>2.4</v>
      </c>
      <c r="LI1638" s="2">
        <v>1.1</v>
      </c>
      <c r="LJ1638" s="2">
        <v>-1.4</v>
      </c>
      <c r="LW1638" s="2">
        <v>-1.1</v>
      </c>
      <c r="LX1638" s="2">
        <v>0.9</v>
      </c>
      <c r="LY1638" s="2">
        <v>0.9</v>
      </c>
      <c r="LZ1638" s="2">
        <v>-2.3</v>
      </c>
      <c r="MM1638" s="2">
        <v>-1.3</v>
      </c>
      <c r="MN1638" s="2">
        <v>1</v>
      </c>
      <c r="MO1638" s="2">
        <v>-5.4</v>
      </c>
      <c r="MP1638" s="2">
        <v>2.7</v>
      </c>
      <c r="NC1638" s="2">
        <v>-1.1</v>
      </c>
      <c r="ND1638" s="2">
        <v>4.4</v>
      </c>
      <c r="NE1638" s="2">
        <v>0.2</v>
      </c>
      <c r="NF1638" s="2">
        <v>2.1</v>
      </c>
      <c r="NS1638" s="2">
        <v>-3.2</v>
      </c>
      <c r="NT1638" s="2">
        <v>1.5</v>
      </c>
      <c r="NU1638" s="2">
        <v>-0.9</v>
      </c>
      <c r="NV1638" s="2">
        <v>1.8</v>
      </c>
      <c r="OI1638" s="2">
        <v>-0.5</v>
      </c>
      <c r="OJ1638" s="2">
        <v>2.7</v>
      </c>
      <c r="OK1638" s="2">
        <v>-1.2</v>
      </c>
      <c r="OL1638" s="2">
        <v>-0.3</v>
      </c>
      <c r="OY1638" s="2">
        <v>-1.1</v>
      </c>
      <c r="OZ1638" s="2">
        <v>3.5</v>
      </c>
      <c r="PA1638" s="2">
        <v>-0.7</v>
      </c>
      <c r="PB1638" s="2">
        <v>-0.7</v>
      </c>
      <c r="PJ1638" s="2">
        <v>1.6</v>
      </c>
      <c r="PK1638" s="2">
        <v>0.7</v>
      </c>
    </row>
    <row r="1639">
      <c r="A1639" t="inlineStr">
        <is>
          <t>A2329585R</t>
        </is>
      </c>
      <c r="B1639" t="inlineStr">
        <is>
          <t>Percentage Change from Previous Period ;  Garments for men ;  Australia ;</t>
        </is>
      </c>
      <c r="C1639" t="inlineStr">
        <is>
          <t>Quarter</t>
        </is>
      </c>
      <c r="D1639" t="inlineStr">
        <is>
          <t>Percent</t>
        </is>
      </c>
      <c r="E1639" t="inlineStr">
        <is>
          <t>Original</t>
        </is>
      </c>
      <c r="F1639" t="inlineStr">
        <is>
          <t>6401018.xlsx</t>
        </is>
      </c>
      <c r="G1639" t="inlineStr">
        <is>
          <t>1989Q4</t>
        </is>
      </c>
      <c r="H1639" t="inlineStr">
        <is>
          <t>2026Q2</t>
        </is>
      </c>
      <c r="FR1639" s="2">
        <v>1.5</v>
      </c>
      <c r="FS1639" s="2">
        <v>-0.2</v>
      </c>
      <c r="FT1639" s="2">
        <v>3.1</v>
      </c>
      <c r="FU1639" s="2">
        <v>1</v>
      </c>
      <c r="FV1639" s="2">
        <v>0.5</v>
      </c>
      <c r="FW1639" s="2">
        <v>1</v>
      </c>
      <c r="FX1639" s="2">
        <v>2.6</v>
      </c>
      <c r="FY1639" s="2">
        <v>-1.7</v>
      </c>
      <c r="FZ1639" s="2">
        <v>2.2</v>
      </c>
      <c r="GA1639" s="2">
        <v>-0.9</v>
      </c>
      <c r="GB1639" s="2">
        <v>0.4</v>
      </c>
      <c r="GC1639" s="2">
        <v>0.2</v>
      </c>
      <c r="GD1639" s="2">
        <v>1</v>
      </c>
      <c r="GE1639" s="2">
        <v>0.1</v>
      </c>
      <c r="GF1639" s="2">
        <v>0.7</v>
      </c>
      <c r="GG1639" s="2">
        <v>-2.4</v>
      </c>
      <c r="GH1639" s="2">
        <v>0.6</v>
      </c>
      <c r="GI1639" s="2">
        <v>0.3</v>
      </c>
      <c r="GJ1639" s="2">
        <v>0.5</v>
      </c>
      <c r="GK1639" s="2">
        <v>0.5</v>
      </c>
      <c r="GL1639" s="2">
        <v>0</v>
      </c>
      <c r="GM1639" s="2">
        <v>-0.4</v>
      </c>
      <c r="GN1639" s="2">
        <v>1.1</v>
      </c>
      <c r="GO1639" s="2">
        <v>0</v>
      </c>
      <c r="GP1639" s="2">
        <v>0.3</v>
      </c>
      <c r="GQ1639" s="2">
        <v>-0.2</v>
      </c>
      <c r="GR1639" s="2">
        <v>0.8</v>
      </c>
      <c r="GS1639" s="2">
        <v>-0.7</v>
      </c>
      <c r="GT1639" s="2">
        <v>0.2</v>
      </c>
      <c r="GU1639" s="2">
        <v>-0.3</v>
      </c>
      <c r="GV1639" s="2">
        <v>0.4</v>
      </c>
      <c r="GW1639" s="2">
        <v>-0.4</v>
      </c>
      <c r="GX1639" s="2">
        <v>0.4</v>
      </c>
      <c r="GY1639" s="2">
        <v>-0.7</v>
      </c>
      <c r="GZ1639" s="2">
        <v>0.9</v>
      </c>
      <c r="HA1639" s="2">
        <v>0</v>
      </c>
      <c r="HB1639" s="2">
        <v>-1.9</v>
      </c>
      <c r="HC1639" s="2">
        <v>0.1</v>
      </c>
      <c r="HD1639" s="2">
        <v>0</v>
      </c>
      <c r="HE1639" s="2">
        <v>-0.6</v>
      </c>
      <c r="HF1639" s="2">
        <v>-0.3</v>
      </c>
      <c r="HG1639" s="2">
        <v>-1.3</v>
      </c>
      <c r="HH1639" s="2">
        <v>0.6</v>
      </c>
      <c r="HI1639" s="2">
        <v>8.699999999999999</v>
      </c>
      <c r="HJ1639" s="2">
        <v>-2.6</v>
      </c>
      <c r="HK1639" s="2">
        <v>-2</v>
      </c>
      <c r="HL1639" s="2">
        <v>1.2</v>
      </c>
      <c r="HM1639" s="2">
        <v>-1.6</v>
      </c>
      <c r="HN1639" s="2">
        <v>1.1</v>
      </c>
      <c r="HO1639" s="2">
        <v>0.2</v>
      </c>
      <c r="HP1639" s="2">
        <v>0.5</v>
      </c>
      <c r="HQ1639" s="2">
        <v>-1.8</v>
      </c>
      <c r="HR1639" s="2">
        <v>1.9</v>
      </c>
      <c r="HS1639" s="2">
        <v>-2</v>
      </c>
      <c r="HT1639" s="2">
        <v>0.7</v>
      </c>
      <c r="HU1639" s="2">
        <v>0.2</v>
      </c>
      <c r="HV1639" s="2">
        <v>-0.7</v>
      </c>
      <c r="HW1639" s="2">
        <v>-2.2</v>
      </c>
      <c r="HX1639" s="2">
        <v>1</v>
      </c>
      <c r="HY1639" s="2">
        <v>0.2</v>
      </c>
      <c r="HZ1639" s="2">
        <v>-0.5</v>
      </c>
      <c r="IA1639" s="2">
        <v>-2.3</v>
      </c>
      <c r="IB1639" s="2">
        <v>1.9</v>
      </c>
      <c r="IC1639" s="2">
        <v>-0.9</v>
      </c>
      <c r="ID1639" s="2">
        <v>-0.3</v>
      </c>
      <c r="IE1639" s="2">
        <v>-2.7</v>
      </c>
      <c r="IF1639" s="2">
        <v>2.2</v>
      </c>
      <c r="IG1639" s="2">
        <v>-0.4</v>
      </c>
      <c r="IH1639" s="2">
        <v>0.5</v>
      </c>
      <c r="II1639" s="2">
        <v>-2</v>
      </c>
      <c r="IJ1639" s="2">
        <v>1.2</v>
      </c>
      <c r="IK1639" s="2">
        <v>0.8</v>
      </c>
      <c r="IL1639" s="2">
        <v>-0.2</v>
      </c>
      <c r="IM1639" s="2">
        <v>-3.6</v>
      </c>
      <c r="IN1639" s="2">
        <v>5.3</v>
      </c>
      <c r="IO1639" s="2">
        <v>-1.9</v>
      </c>
      <c r="IP1639" s="2">
        <v>1.5</v>
      </c>
      <c r="IQ1639" s="2">
        <v>-1.3</v>
      </c>
      <c r="IR1639" s="2">
        <v>2</v>
      </c>
      <c r="IS1639" s="2">
        <v>-0.2</v>
      </c>
      <c r="IT1639" s="2">
        <v>1.1</v>
      </c>
      <c r="IU1639" s="2">
        <v>-6.1</v>
      </c>
      <c r="IV1639" s="2">
        <v>-0.2</v>
      </c>
      <c r="IW1639" s="2">
        <v>3</v>
      </c>
      <c r="IX1639" s="2">
        <v>-2</v>
      </c>
      <c r="IY1639" s="2">
        <v>-1.5</v>
      </c>
      <c r="IZ1639" s="2">
        <v>1.3</v>
      </c>
      <c r="JA1639" s="2">
        <v>1.4</v>
      </c>
      <c r="JB1639" s="2">
        <v>-0.3</v>
      </c>
      <c r="JC1639" s="2">
        <v>-5.2</v>
      </c>
      <c r="JD1639" s="2">
        <v>2.4</v>
      </c>
      <c r="JE1639" s="2">
        <v>2.9</v>
      </c>
      <c r="JF1639" s="2">
        <v>1.1</v>
      </c>
      <c r="JG1639" s="2">
        <v>-5.5</v>
      </c>
      <c r="JH1639" s="2">
        <v>7.1</v>
      </c>
      <c r="JI1639" s="2">
        <v>0.6</v>
      </c>
      <c r="JJ1639" s="2">
        <v>-0.2</v>
      </c>
      <c r="JK1639" s="2">
        <v>-2.9</v>
      </c>
      <c r="JL1639" s="2">
        <v>3.2</v>
      </c>
      <c r="JM1639" s="2">
        <v>-3.6</v>
      </c>
      <c r="JN1639" s="2">
        <v>1.1</v>
      </c>
      <c r="JO1639" s="2">
        <v>-2.4</v>
      </c>
      <c r="JP1639" s="2">
        <v>3.5</v>
      </c>
      <c r="JQ1639" s="2">
        <v>-0.1</v>
      </c>
      <c r="JR1639" s="2">
        <v>0.3</v>
      </c>
      <c r="JS1639" s="2">
        <v>-2.8</v>
      </c>
      <c r="JT1639" s="2">
        <v>1.5</v>
      </c>
      <c r="JU1639" s="2">
        <v>-0.6</v>
      </c>
      <c r="JV1639" s="2">
        <v>2.5</v>
      </c>
      <c r="KA1639" s="2">
        <v>-3.9</v>
      </c>
      <c r="KB1639" s="2">
        <v>-1.9</v>
      </c>
      <c r="KC1639" s="2">
        <v>-2.1</v>
      </c>
      <c r="KD1639" s="2">
        <v>1.4</v>
      </c>
      <c r="KQ1639" s="2">
        <v>-2</v>
      </c>
      <c r="KR1639" s="2">
        <v>-1.5</v>
      </c>
      <c r="KS1639" s="2">
        <v>1.5</v>
      </c>
      <c r="KT1639" s="2">
        <v>2.6</v>
      </c>
      <c r="LG1639" s="2">
        <v>1</v>
      </c>
      <c r="LH1639" s="2">
        <v>-0.3</v>
      </c>
      <c r="LI1639" s="2">
        <v>0.9</v>
      </c>
      <c r="LJ1639" s="2">
        <v>-0.3</v>
      </c>
      <c r="LW1639" s="2">
        <v>0.9</v>
      </c>
      <c r="LX1639" s="2">
        <v>-2.1</v>
      </c>
      <c r="LY1639" s="2">
        <v>0.1</v>
      </c>
      <c r="LZ1639" s="2">
        <v>1.9</v>
      </c>
      <c r="MM1639" s="2">
        <v>-1.1</v>
      </c>
      <c r="MN1639" s="2">
        <v>0.4</v>
      </c>
      <c r="MO1639" s="2">
        <v>-5.6</v>
      </c>
      <c r="MP1639" s="2">
        <v>0.2</v>
      </c>
      <c r="NC1639" s="2">
        <v>-0.1</v>
      </c>
      <c r="ND1639" s="2">
        <v>1.7</v>
      </c>
      <c r="NE1639" s="2">
        <v>0.1</v>
      </c>
      <c r="NF1639" s="2">
        <v>4.5</v>
      </c>
      <c r="NS1639" s="2">
        <v>-1.7</v>
      </c>
      <c r="NT1639" s="2">
        <v>0.9</v>
      </c>
      <c r="NU1639" s="2">
        <v>-1</v>
      </c>
      <c r="NV1639" s="2">
        <v>1.6</v>
      </c>
      <c r="OI1639" s="2">
        <v>0.9</v>
      </c>
      <c r="OJ1639" s="2">
        <v>0.2</v>
      </c>
      <c r="OK1639" s="2">
        <v>-0.2</v>
      </c>
      <c r="OL1639" s="2">
        <v>-2.1</v>
      </c>
      <c r="OY1639" s="2">
        <v>-1.2</v>
      </c>
      <c r="OZ1639" s="2">
        <v>2.4</v>
      </c>
      <c r="PA1639" s="2">
        <v>-2</v>
      </c>
      <c r="PB1639" s="2">
        <v>-0.2</v>
      </c>
      <c r="PJ1639" s="2">
        <v>0.5</v>
      </c>
      <c r="PK1639" s="2">
        <v>0.2</v>
      </c>
    </row>
    <row r="1640">
      <c r="A1640" t="inlineStr">
        <is>
          <t>A2329720V</t>
        </is>
      </c>
      <c r="B1640" t="inlineStr">
        <is>
          <t>Percentage Change from Previous Period ;  Garments for women ;  Australia ;</t>
        </is>
      </c>
      <c r="C1640" t="inlineStr">
        <is>
          <t>Quarter</t>
        </is>
      </c>
      <c r="D1640" t="inlineStr">
        <is>
          <t>Percent</t>
        </is>
      </c>
      <c r="E1640" t="inlineStr">
        <is>
          <t>Original</t>
        </is>
      </c>
      <c r="F1640" t="inlineStr">
        <is>
          <t>6401018.xlsx</t>
        </is>
      </c>
      <c r="G1640" t="inlineStr">
        <is>
          <t>1989Q4</t>
        </is>
      </c>
      <c r="H1640" t="inlineStr">
        <is>
          <t>2026Q2</t>
        </is>
      </c>
      <c r="FR1640" s="2">
        <v>2.6</v>
      </c>
      <c r="FS1640" s="2">
        <v>0.3</v>
      </c>
      <c r="FT1640" s="2">
        <v>1.5</v>
      </c>
      <c r="FU1640" s="2">
        <v>0.1</v>
      </c>
      <c r="FV1640" s="2">
        <v>2.6</v>
      </c>
      <c r="FW1640" s="2">
        <v>0.3</v>
      </c>
      <c r="FX1640" s="2">
        <v>0.7</v>
      </c>
      <c r="FY1640" s="2">
        <v>0.1</v>
      </c>
      <c r="FZ1640" s="2">
        <v>0</v>
      </c>
      <c r="GA1640" s="2">
        <v>0.1</v>
      </c>
      <c r="GB1640" s="2">
        <v>0.8</v>
      </c>
      <c r="GC1640" s="2">
        <v>-0.2</v>
      </c>
      <c r="GD1640" s="2">
        <v>0.8</v>
      </c>
      <c r="GE1640" s="2">
        <v>-0.1</v>
      </c>
      <c r="GF1640" s="2">
        <v>0.7</v>
      </c>
      <c r="GG1640" s="2">
        <v>-0.2</v>
      </c>
      <c r="GH1640" s="2">
        <v>-0.7</v>
      </c>
      <c r="GI1640" s="2">
        <v>0.1</v>
      </c>
      <c r="GJ1640" s="2">
        <v>-0.4</v>
      </c>
      <c r="GK1640" s="2">
        <v>0.1</v>
      </c>
      <c r="GL1640" s="2">
        <v>0</v>
      </c>
      <c r="GM1640" s="2">
        <v>-0.2</v>
      </c>
      <c r="GN1640" s="2">
        <v>0.8</v>
      </c>
      <c r="GO1640" s="2">
        <v>0</v>
      </c>
      <c r="GP1640" s="2">
        <v>-0.6</v>
      </c>
      <c r="GQ1640" s="2">
        <v>-0.1</v>
      </c>
      <c r="GR1640" s="2">
        <v>0</v>
      </c>
      <c r="GS1640" s="2">
        <v>0.2</v>
      </c>
      <c r="GT1640" s="2">
        <v>-0.1</v>
      </c>
      <c r="GU1640" s="2">
        <v>0</v>
      </c>
      <c r="GV1640" s="2">
        <v>0.9</v>
      </c>
      <c r="GW1640" s="2">
        <v>0.1</v>
      </c>
      <c r="GX1640" s="2">
        <v>0.9</v>
      </c>
      <c r="GY1640" s="2">
        <v>0</v>
      </c>
      <c r="GZ1640" s="2">
        <v>-0.4</v>
      </c>
      <c r="HA1640" s="2">
        <v>-0.1</v>
      </c>
      <c r="HB1640" s="2">
        <v>0.4</v>
      </c>
      <c r="HC1640" s="2">
        <v>-0.3</v>
      </c>
      <c r="HD1640" s="2">
        <v>-0.3</v>
      </c>
      <c r="HE1640" s="2">
        <v>-0.3</v>
      </c>
      <c r="HF1640" s="2">
        <v>-1.5</v>
      </c>
      <c r="HG1640" s="2">
        <v>0.3</v>
      </c>
      <c r="HH1640" s="2">
        <v>2.2</v>
      </c>
      <c r="HI1640" s="2">
        <v>8.300000000000001</v>
      </c>
      <c r="HJ1640" s="2">
        <v>0.1</v>
      </c>
      <c r="HK1640" s="2">
        <v>-3.7</v>
      </c>
      <c r="HL1640" s="2">
        <v>2.8</v>
      </c>
      <c r="HM1640" s="2">
        <v>-2.7</v>
      </c>
      <c r="HN1640" s="2">
        <v>3.2</v>
      </c>
      <c r="HO1640" s="2">
        <v>-1.2</v>
      </c>
      <c r="HP1640" s="2">
        <v>2</v>
      </c>
      <c r="HQ1640" s="2">
        <v>-1.8</v>
      </c>
      <c r="HR1640" s="2">
        <v>1.7</v>
      </c>
      <c r="HS1640" s="2">
        <v>-1.5</v>
      </c>
      <c r="HT1640" s="2">
        <v>1.6</v>
      </c>
      <c r="HU1640" s="2">
        <v>-0.8</v>
      </c>
      <c r="HV1640" s="2">
        <v>0.1</v>
      </c>
      <c r="HW1640" s="2">
        <v>0</v>
      </c>
      <c r="HX1640" s="2">
        <v>1.4</v>
      </c>
      <c r="HY1640" s="2">
        <v>-1.6</v>
      </c>
      <c r="HZ1640" s="2">
        <v>-2.7</v>
      </c>
      <c r="IA1640" s="2">
        <v>-1.2</v>
      </c>
      <c r="IB1640" s="2">
        <v>0.5</v>
      </c>
      <c r="IC1640" s="2">
        <v>0.2</v>
      </c>
      <c r="ID1640" s="2">
        <v>-0.8</v>
      </c>
      <c r="IE1640" s="2">
        <v>-1.7</v>
      </c>
      <c r="IF1640" s="2">
        <v>-1.3</v>
      </c>
      <c r="IG1640" s="2">
        <v>-0.2</v>
      </c>
      <c r="IH1640" s="2">
        <v>-0.6</v>
      </c>
      <c r="II1640" s="2">
        <v>0.5</v>
      </c>
      <c r="IJ1640" s="2">
        <v>1.7</v>
      </c>
      <c r="IK1640" s="2">
        <v>-0.7</v>
      </c>
      <c r="IL1640" s="2">
        <v>-0.4</v>
      </c>
      <c r="IM1640" s="2">
        <v>-0.4</v>
      </c>
      <c r="IN1640" s="2">
        <v>1</v>
      </c>
      <c r="IO1640" s="2">
        <v>-0.6</v>
      </c>
      <c r="IP1640" s="2">
        <v>-1.2</v>
      </c>
      <c r="IQ1640" s="2">
        <v>1.4</v>
      </c>
      <c r="IR1640" s="2">
        <v>1.8</v>
      </c>
      <c r="IS1640" s="2">
        <v>-0.2</v>
      </c>
      <c r="IT1640" s="2">
        <v>-0.4</v>
      </c>
      <c r="IU1640" s="2">
        <v>-3.5</v>
      </c>
      <c r="IV1640" s="2">
        <v>0</v>
      </c>
      <c r="IW1640" s="2">
        <v>-0.6</v>
      </c>
      <c r="IX1640" s="2">
        <v>-2.3</v>
      </c>
      <c r="IY1640" s="2">
        <v>0.4</v>
      </c>
      <c r="IZ1640" s="2">
        <v>0.8</v>
      </c>
      <c r="JA1640" s="2">
        <v>0.3</v>
      </c>
      <c r="JB1640" s="2">
        <v>0.6</v>
      </c>
      <c r="JC1640" s="2">
        <v>-2.5</v>
      </c>
      <c r="JD1640" s="2">
        <v>1.9</v>
      </c>
      <c r="JE1640" s="2">
        <v>-0.2</v>
      </c>
      <c r="JF1640" s="2">
        <v>-1.8</v>
      </c>
      <c r="JG1640" s="2">
        <v>-1.4</v>
      </c>
      <c r="JH1640" s="2">
        <v>0.3</v>
      </c>
      <c r="JI1640" s="2">
        <v>0.7</v>
      </c>
      <c r="JJ1640" s="2">
        <v>-1.4</v>
      </c>
      <c r="JK1640" s="2">
        <v>-1.3</v>
      </c>
      <c r="JL1640" s="2">
        <v>0.8</v>
      </c>
      <c r="JM1640" s="2">
        <v>-0.4</v>
      </c>
      <c r="JN1640" s="2">
        <v>-1.5</v>
      </c>
      <c r="JO1640" s="2">
        <v>-1.5</v>
      </c>
      <c r="JP1640" s="2">
        <v>1.2</v>
      </c>
      <c r="JQ1640" s="2">
        <v>-0.7</v>
      </c>
      <c r="JR1640" s="2">
        <v>0.3</v>
      </c>
      <c r="JS1640" s="2">
        <v>-1.3</v>
      </c>
      <c r="JT1640" s="2">
        <v>1.7</v>
      </c>
      <c r="JU1640" s="2">
        <v>-1.6</v>
      </c>
      <c r="JV1640" s="2">
        <v>-0.6</v>
      </c>
      <c r="KA1640" s="2">
        <v>-1.8</v>
      </c>
      <c r="KB1640" s="2">
        <v>-1</v>
      </c>
      <c r="KC1640" s="2">
        <v>-1.1</v>
      </c>
      <c r="KD1640" s="2">
        <v>-1.6</v>
      </c>
      <c r="KQ1640" s="2">
        <v>-2.5</v>
      </c>
      <c r="KR1640" s="2">
        <v>2.3</v>
      </c>
      <c r="KS1640" s="2">
        <v>-0.3</v>
      </c>
      <c r="KT1640" s="2">
        <v>-1</v>
      </c>
      <c r="LG1640" s="2">
        <v>-2.9</v>
      </c>
      <c r="LH1640" s="2">
        <v>4.1</v>
      </c>
      <c r="LI1640" s="2">
        <v>1.3</v>
      </c>
      <c r="LJ1640" s="2">
        <v>-2.4</v>
      </c>
      <c r="LW1640" s="2">
        <v>-2.1</v>
      </c>
      <c r="LX1640" s="2">
        <v>2.9</v>
      </c>
      <c r="LY1640" s="2">
        <v>1.5</v>
      </c>
      <c r="LZ1640" s="2">
        <v>-5.4</v>
      </c>
      <c r="MM1640" s="2">
        <v>-1.1</v>
      </c>
      <c r="MN1640" s="2">
        <v>0.8</v>
      </c>
      <c r="MO1640" s="2">
        <v>-5.1</v>
      </c>
      <c r="MP1640" s="2">
        <v>3.8</v>
      </c>
      <c r="NC1640" s="2">
        <v>-1.8</v>
      </c>
      <c r="ND1640" s="2">
        <v>6</v>
      </c>
      <c r="NE1640" s="2">
        <v>-0.1</v>
      </c>
      <c r="NF1640" s="2">
        <v>1.5</v>
      </c>
      <c r="NS1640" s="2">
        <v>-4.2</v>
      </c>
      <c r="NT1640" s="2">
        <v>0</v>
      </c>
      <c r="NU1640" s="2">
        <v>-0.6</v>
      </c>
      <c r="NV1640" s="2">
        <v>2.2</v>
      </c>
      <c r="OI1640" s="2">
        <v>-0.2</v>
      </c>
      <c r="OJ1640" s="2">
        <v>2.8</v>
      </c>
      <c r="OK1640" s="2">
        <v>-1.4</v>
      </c>
      <c r="OL1640" s="2">
        <v>0.7</v>
      </c>
      <c r="OY1640" s="2">
        <v>-0.3</v>
      </c>
      <c r="OZ1640" s="2">
        <v>3.6</v>
      </c>
      <c r="PA1640" s="2">
        <v>-0.1</v>
      </c>
      <c r="PB1640" s="2">
        <v>-1.3</v>
      </c>
      <c r="PJ1640" s="2">
        <v>2.6</v>
      </c>
      <c r="PK1640" s="2">
        <v>1.9</v>
      </c>
    </row>
    <row r="1641">
      <c r="A1641" t="inlineStr">
        <is>
          <t>A2329765X</t>
        </is>
      </c>
      <c r="B1641" t="inlineStr">
        <is>
          <t>Percentage Change from Previous Period ;  Garments for infants and children ;  Australia ;</t>
        </is>
      </c>
      <c r="C1641" t="inlineStr">
        <is>
          <t>Quarter</t>
        </is>
      </c>
      <c r="D1641" t="inlineStr">
        <is>
          <t>Percent</t>
        </is>
      </c>
      <c r="E1641" t="inlineStr">
        <is>
          <t>Original</t>
        </is>
      </c>
      <c r="F1641" t="inlineStr">
        <is>
          <t>6401018.xlsx</t>
        </is>
      </c>
      <c r="G1641" t="inlineStr">
        <is>
          <t>1989Q4</t>
        </is>
      </c>
      <c r="H1641" t="inlineStr">
        <is>
          <t>2026Q2</t>
        </is>
      </c>
      <c r="FR1641" s="2">
        <v>2.3</v>
      </c>
      <c r="FS1641" s="2">
        <v>-1.6</v>
      </c>
      <c r="FT1641" s="2">
        <v>4.3</v>
      </c>
      <c r="FU1641" s="2">
        <v>0.8</v>
      </c>
      <c r="FV1641" s="2">
        <v>2.2</v>
      </c>
      <c r="FW1641" s="2">
        <v>-1</v>
      </c>
      <c r="FX1641" s="2">
        <v>1.7</v>
      </c>
      <c r="FY1641" s="2">
        <v>-0.5</v>
      </c>
      <c r="FZ1641" s="2">
        <v>-0.6</v>
      </c>
      <c r="GA1641" s="2">
        <v>-0.7</v>
      </c>
      <c r="GB1641" s="2">
        <v>1.3</v>
      </c>
      <c r="GC1641" s="2">
        <v>-0.1</v>
      </c>
      <c r="GD1641" s="2">
        <v>2.5</v>
      </c>
      <c r="GE1641" s="2">
        <v>-1.1</v>
      </c>
      <c r="GF1641" s="2">
        <v>0.9</v>
      </c>
      <c r="GG1641" s="2">
        <v>-0.6</v>
      </c>
      <c r="GH1641" s="2">
        <v>-0.7</v>
      </c>
      <c r="GI1641" s="2">
        <v>-1.7</v>
      </c>
      <c r="GJ1641" s="2">
        <v>0.9</v>
      </c>
      <c r="GK1641" s="2">
        <v>0.8</v>
      </c>
      <c r="GL1641" s="2">
        <v>0.3</v>
      </c>
      <c r="GM1641" s="2">
        <v>0</v>
      </c>
      <c r="GN1641" s="2">
        <v>0.9</v>
      </c>
      <c r="GO1641" s="2">
        <v>0.1</v>
      </c>
      <c r="GP1641" s="2">
        <v>0.3</v>
      </c>
      <c r="GQ1641" s="2">
        <v>0.2</v>
      </c>
      <c r="GR1641" s="2">
        <v>1</v>
      </c>
      <c r="GS1641" s="2">
        <v>0.4</v>
      </c>
      <c r="GT1641" s="2">
        <v>0.8</v>
      </c>
      <c r="GU1641" s="2">
        <v>-0.5</v>
      </c>
      <c r="GV1641" s="2">
        <v>0.7</v>
      </c>
      <c r="GW1641" s="2">
        <v>-0.8</v>
      </c>
      <c r="GX1641" s="2">
        <v>0.7</v>
      </c>
      <c r="GY1641" s="2">
        <v>-0.4</v>
      </c>
      <c r="GZ1641" s="2">
        <v>-0.5</v>
      </c>
      <c r="HA1641" s="2">
        <v>0</v>
      </c>
      <c r="HB1641" s="2">
        <v>0.1</v>
      </c>
      <c r="HC1641" s="2">
        <v>-1.7</v>
      </c>
      <c r="HD1641" s="2">
        <v>0.8</v>
      </c>
      <c r="HE1641" s="2">
        <v>0.6</v>
      </c>
      <c r="HF1641" s="2">
        <v>-0.9</v>
      </c>
      <c r="HG1641" s="2">
        <v>-1.9</v>
      </c>
      <c r="HH1641" s="2">
        <v>0.2</v>
      </c>
      <c r="HI1641" s="2">
        <v>10</v>
      </c>
      <c r="HJ1641" s="2">
        <v>-1</v>
      </c>
      <c r="HK1641" s="2">
        <v>-2.7</v>
      </c>
      <c r="HL1641" s="2">
        <v>2</v>
      </c>
      <c r="HM1641" s="2">
        <v>-2.6</v>
      </c>
      <c r="HN1641" s="2">
        <v>2.2</v>
      </c>
      <c r="HO1641" s="2">
        <v>-1.3</v>
      </c>
      <c r="HP1641" s="2">
        <v>3.4</v>
      </c>
      <c r="HQ1641" s="2">
        <v>-0.8</v>
      </c>
      <c r="HR1641" s="2">
        <v>2.8</v>
      </c>
      <c r="HS1641" s="2">
        <v>-3.2</v>
      </c>
      <c r="HT1641" s="2">
        <v>1.6</v>
      </c>
      <c r="HU1641" s="2">
        <v>1</v>
      </c>
      <c r="HV1641" s="2">
        <v>0.3</v>
      </c>
      <c r="HW1641" s="2">
        <v>-4.2</v>
      </c>
      <c r="HX1641" s="2">
        <v>1.2</v>
      </c>
      <c r="HY1641" s="2">
        <v>1.5</v>
      </c>
      <c r="HZ1641" s="2">
        <v>-1</v>
      </c>
      <c r="IA1641" s="2">
        <v>-3.2</v>
      </c>
      <c r="IB1641" s="2">
        <v>2.3</v>
      </c>
      <c r="IC1641" s="2">
        <v>1.3</v>
      </c>
      <c r="ID1641" s="2">
        <v>-0.5</v>
      </c>
      <c r="IE1641" s="2">
        <v>-4</v>
      </c>
      <c r="IF1641" s="2">
        <v>2.3</v>
      </c>
      <c r="IG1641" s="2">
        <v>0.9</v>
      </c>
      <c r="IH1641" s="2">
        <v>-0.2</v>
      </c>
      <c r="II1641" s="2">
        <v>0.4</v>
      </c>
      <c r="IJ1641" s="2">
        <v>0.4</v>
      </c>
      <c r="IK1641" s="2">
        <v>-0.4</v>
      </c>
      <c r="IL1641" s="2">
        <v>0.6</v>
      </c>
      <c r="IM1641" s="2">
        <v>-4</v>
      </c>
      <c r="IN1641" s="2">
        <v>3.8</v>
      </c>
      <c r="IO1641" s="2">
        <v>-2</v>
      </c>
      <c r="IP1641" s="2">
        <v>0.9</v>
      </c>
      <c r="IQ1641" s="2">
        <v>-2.6</v>
      </c>
      <c r="IR1641" s="2">
        <v>3.1</v>
      </c>
      <c r="IS1641" s="2">
        <v>1.7</v>
      </c>
      <c r="IT1641" s="2">
        <v>0.6</v>
      </c>
      <c r="IU1641" s="2">
        <v>-9.9</v>
      </c>
      <c r="IV1641" s="2">
        <v>1.4</v>
      </c>
      <c r="IW1641" s="2">
        <v>1.6</v>
      </c>
      <c r="IX1641" s="2">
        <v>-1</v>
      </c>
      <c r="IY1641" s="2">
        <v>-3.9</v>
      </c>
      <c r="IZ1641" s="2">
        <v>1.9</v>
      </c>
      <c r="JA1641" s="2">
        <v>0.7</v>
      </c>
      <c r="JB1641" s="2">
        <v>-0.4</v>
      </c>
      <c r="JC1641" s="2">
        <v>-3.5</v>
      </c>
      <c r="JD1641" s="2">
        <v>1.5</v>
      </c>
      <c r="JE1641" s="2">
        <v>2.1</v>
      </c>
      <c r="JF1641" s="2">
        <v>-0.5</v>
      </c>
      <c r="JG1641" s="2">
        <v>-6.7</v>
      </c>
      <c r="JH1641" s="2">
        <v>6</v>
      </c>
      <c r="JI1641" s="2">
        <v>-0.7</v>
      </c>
      <c r="JJ1641" s="2">
        <v>1</v>
      </c>
      <c r="JK1641" s="2">
        <v>-3.6</v>
      </c>
      <c r="JL1641" s="2">
        <v>3.6</v>
      </c>
      <c r="JM1641" s="2">
        <v>-1.5</v>
      </c>
      <c r="JN1641" s="2">
        <v>1.7</v>
      </c>
      <c r="JO1641" s="2">
        <v>-4.2</v>
      </c>
      <c r="JP1641" s="2">
        <v>2.8</v>
      </c>
      <c r="JQ1641" s="2">
        <v>-3.4</v>
      </c>
      <c r="JR1641" s="2">
        <v>3.7</v>
      </c>
      <c r="JS1641" s="2">
        <v>-3.4</v>
      </c>
      <c r="JT1641" s="2">
        <v>3.8</v>
      </c>
      <c r="JU1641" s="2">
        <v>-0.4</v>
      </c>
      <c r="JV1641" s="2">
        <v>2.8</v>
      </c>
      <c r="KA1641" s="2">
        <v>-3.8</v>
      </c>
      <c r="KB1641" s="2">
        <v>1.5</v>
      </c>
      <c r="KC1641" s="2">
        <v>-0.5</v>
      </c>
      <c r="KD1641" s="2">
        <v>0.5</v>
      </c>
      <c r="KQ1641" s="2">
        <v>-4.9</v>
      </c>
      <c r="KR1641" s="2">
        <v>4.4</v>
      </c>
      <c r="KS1641" s="2">
        <v>0.2</v>
      </c>
      <c r="KT1641" s="2">
        <v>1.7</v>
      </c>
      <c r="LG1641" s="2">
        <v>-2.6</v>
      </c>
      <c r="LH1641" s="2">
        <v>1.1</v>
      </c>
      <c r="LI1641" s="2">
        <v>1</v>
      </c>
      <c r="LJ1641" s="2">
        <v>0.3</v>
      </c>
      <c r="LW1641" s="2">
        <v>-1.2</v>
      </c>
      <c r="LX1641" s="2">
        <v>-0.8</v>
      </c>
      <c r="LY1641" s="2">
        <v>0.4</v>
      </c>
      <c r="LZ1641" s="2">
        <v>1.7</v>
      </c>
      <c r="MM1641" s="2">
        <v>-2.7</v>
      </c>
      <c r="MN1641" s="2">
        <v>2.7</v>
      </c>
      <c r="MO1641" s="2">
        <v>-6.2</v>
      </c>
      <c r="MP1641" s="2">
        <v>3.4</v>
      </c>
      <c r="NC1641" s="2">
        <v>-0.2</v>
      </c>
      <c r="ND1641" s="2">
        <v>3.3</v>
      </c>
      <c r="NE1641" s="2">
        <v>1.1</v>
      </c>
      <c r="NF1641" s="2">
        <v>0.1</v>
      </c>
      <c r="NS1641" s="2">
        <v>-2</v>
      </c>
      <c r="NT1641" s="2">
        <v>7.9</v>
      </c>
      <c r="NU1641" s="2">
        <v>-2.1</v>
      </c>
      <c r="NV1641" s="2">
        <v>0.9</v>
      </c>
      <c r="OI1641" s="2">
        <v>-3.9</v>
      </c>
      <c r="OJ1641" s="2">
        <v>6.8</v>
      </c>
      <c r="OK1641" s="2">
        <v>-1.8</v>
      </c>
      <c r="OL1641" s="2">
        <v>-0.8</v>
      </c>
      <c r="OY1641" s="2">
        <v>-3.1</v>
      </c>
      <c r="OZ1641" s="2">
        <v>5.1</v>
      </c>
      <c r="PA1641" s="2">
        <v>-0.5</v>
      </c>
      <c r="PB1641" s="2">
        <v>0.5</v>
      </c>
      <c r="PJ1641" s="2">
        <v>0.1</v>
      </c>
      <c r="PK1641" s="2">
        <v>-2.3</v>
      </c>
    </row>
    <row r="1642">
      <c r="A1642" t="inlineStr">
        <is>
          <t>A2326390K</t>
        </is>
      </c>
      <c r="B1642" t="inlineStr">
        <is>
          <t>Percentage Change from Previous Period ;  Footwear ;  Australia ;</t>
        </is>
      </c>
      <c r="C1642" t="inlineStr">
        <is>
          <t>Quarter</t>
        </is>
      </c>
      <c r="D1642" t="inlineStr">
        <is>
          <t>Percent</t>
        </is>
      </c>
      <c r="E1642" t="inlineStr">
        <is>
          <t>Original</t>
        </is>
      </c>
      <c r="F1642" t="inlineStr">
        <is>
          <t>6401018.xlsx</t>
        </is>
      </c>
      <c r="G1642" t="inlineStr">
        <is>
          <t>1972Q4</t>
        </is>
      </c>
      <c r="H1642" t="inlineStr">
        <is>
          <t>2026Q2</t>
        </is>
      </c>
      <c r="DB1642" s="2">
        <v>1</v>
      </c>
      <c r="DC1642" s="2">
        <v>2.9</v>
      </c>
      <c r="DD1642" s="2">
        <v>3.8</v>
      </c>
      <c r="DE1642" s="2">
        <v>6</v>
      </c>
      <c r="DF1642" s="2">
        <v>2.6</v>
      </c>
      <c r="DG1642" s="2">
        <v>3.4</v>
      </c>
      <c r="DH1642" s="2">
        <v>3.3</v>
      </c>
      <c r="DI1642" s="2">
        <v>11.8</v>
      </c>
      <c r="DJ1642" s="2">
        <v>5</v>
      </c>
      <c r="DK1642" s="2">
        <v>2.7</v>
      </c>
      <c r="DL1642" s="2">
        <v>3.6</v>
      </c>
      <c r="DM1642" s="2">
        <v>5</v>
      </c>
      <c r="DN1642" s="2">
        <v>3</v>
      </c>
      <c r="DO1642" s="2">
        <v>2.6</v>
      </c>
      <c r="DP1642" s="2">
        <v>4</v>
      </c>
      <c r="DQ1642" s="2">
        <v>3.6</v>
      </c>
      <c r="DR1642" s="2">
        <v>1.3</v>
      </c>
      <c r="DS1642" s="2">
        <v>3.9</v>
      </c>
      <c r="DT1642" s="2">
        <v>3</v>
      </c>
      <c r="DU1642" s="2">
        <v>2.7</v>
      </c>
      <c r="DV1642" s="2">
        <v>1.7</v>
      </c>
      <c r="DW1642" s="2">
        <v>1.9</v>
      </c>
      <c r="DX1642" s="2">
        <v>1.4</v>
      </c>
      <c r="DY1642" s="2">
        <v>1.8</v>
      </c>
      <c r="DZ1642" s="2">
        <v>1.6</v>
      </c>
      <c r="EA1642" s="2">
        <v>0.4</v>
      </c>
      <c r="EB1642" s="2">
        <v>3.3</v>
      </c>
      <c r="EC1642" s="2">
        <v>3.2</v>
      </c>
      <c r="ED1642" s="2">
        <v>1.9</v>
      </c>
      <c r="EE1642" s="2">
        <v>1.8</v>
      </c>
      <c r="EF1642" s="2">
        <v>3</v>
      </c>
      <c r="EG1642" s="2">
        <v>1.7</v>
      </c>
      <c r="EH1642" s="2">
        <v>2.8</v>
      </c>
      <c r="EI1642" s="2">
        <v>1.3</v>
      </c>
      <c r="EJ1642" s="2">
        <v>3.3</v>
      </c>
      <c r="EK1642" s="2">
        <v>0.2</v>
      </c>
      <c r="EL1642" s="2">
        <v>2.1</v>
      </c>
      <c r="EM1642" s="2">
        <v>0.7</v>
      </c>
      <c r="EN1642" s="2">
        <v>3</v>
      </c>
      <c r="EO1642" s="2">
        <v>2</v>
      </c>
      <c r="EP1642" s="2">
        <v>2.1</v>
      </c>
      <c r="EQ1642" s="2">
        <v>-1.1</v>
      </c>
      <c r="ER1642" s="2">
        <v>6.7</v>
      </c>
      <c r="ES1642" s="2">
        <v>0.1</v>
      </c>
      <c r="ET1642" s="2">
        <v>-0.3</v>
      </c>
      <c r="EU1642" s="2">
        <v>1.1</v>
      </c>
      <c r="EV1642" s="2">
        <v>3.1</v>
      </c>
      <c r="EW1642" s="2">
        <v>0.9</v>
      </c>
      <c r="EX1642" s="2">
        <v>3.1</v>
      </c>
      <c r="EY1642" s="2">
        <v>0.4</v>
      </c>
      <c r="EZ1642" s="2">
        <v>1.9</v>
      </c>
      <c r="FA1642" s="2">
        <v>1.5</v>
      </c>
      <c r="FB1642" s="2">
        <v>1.7</v>
      </c>
      <c r="FC1642" s="2">
        <v>0.7</v>
      </c>
      <c r="FD1642" s="2">
        <v>8</v>
      </c>
      <c r="FE1642" s="2">
        <v>1</v>
      </c>
      <c r="FF1642" s="2">
        <v>2.2</v>
      </c>
      <c r="FG1642" s="2">
        <v>0.2</v>
      </c>
      <c r="FH1642" s="2">
        <v>1.7</v>
      </c>
      <c r="FI1642" s="2">
        <v>0.7</v>
      </c>
      <c r="FJ1642" s="2">
        <v>1.7</v>
      </c>
      <c r="FK1642" s="2">
        <v>0.3</v>
      </c>
      <c r="FL1642" s="2">
        <v>3.6</v>
      </c>
      <c r="FM1642" s="2">
        <v>1</v>
      </c>
      <c r="FN1642" s="2">
        <v>3.2</v>
      </c>
      <c r="FO1642" s="2">
        <v>-0.7</v>
      </c>
      <c r="FP1642" s="2">
        <v>3.9</v>
      </c>
      <c r="FQ1642" s="2">
        <v>-0.7</v>
      </c>
      <c r="FR1642" s="2">
        <v>1.1</v>
      </c>
      <c r="FS1642" s="2">
        <v>0.1</v>
      </c>
      <c r="FT1642" s="2">
        <v>1</v>
      </c>
      <c r="FU1642" s="2">
        <v>0.4</v>
      </c>
      <c r="FV1642" s="2">
        <v>1.7</v>
      </c>
      <c r="FW1642" s="2">
        <v>0.8</v>
      </c>
      <c r="FX1642" s="2">
        <v>1</v>
      </c>
      <c r="FY1642" s="2">
        <v>0.7</v>
      </c>
      <c r="FZ1642" s="2">
        <v>0.3</v>
      </c>
      <c r="GA1642" s="2">
        <v>0.2</v>
      </c>
      <c r="GB1642" s="2">
        <v>0</v>
      </c>
      <c r="GC1642" s="2">
        <v>-2.4</v>
      </c>
      <c r="GD1642" s="2">
        <v>1.6</v>
      </c>
      <c r="GE1642" s="2">
        <v>-1.2</v>
      </c>
      <c r="GF1642" s="2">
        <v>0.5</v>
      </c>
      <c r="GG1642" s="2">
        <v>-1.1</v>
      </c>
      <c r="GH1642" s="2">
        <v>0.2</v>
      </c>
      <c r="GI1642" s="2">
        <v>-1</v>
      </c>
      <c r="GJ1642" s="2">
        <v>-0.4</v>
      </c>
      <c r="GK1642" s="2">
        <v>-1.6</v>
      </c>
      <c r="GL1642" s="2">
        <v>0.6</v>
      </c>
      <c r="GM1642" s="2">
        <v>-2.3</v>
      </c>
      <c r="GN1642" s="2">
        <v>0.4</v>
      </c>
      <c r="GO1642" s="2">
        <v>-1.5</v>
      </c>
      <c r="GP1642" s="2">
        <v>1.7</v>
      </c>
      <c r="GQ1642" s="2">
        <v>-1.4</v>
      </c>
      <c r="GR1642" s="2">
        <v>1.9</v>
      </c>
      <c r="GS1642" s="2">
        <v>-1.7</v>
      </c>
      <c r="GT1642" s="2">
        <v>1.7</v>
      </c>
      <c r="GU1642" s="2">
        <v>-0.1</v>
      </c>
      <c r="GV1642" s="2">
        <v>-1.1</v>
      </c>
      <c r="GW1642" s="2">
        <v>-0.3</v>
      </c>
      <c r="GX1642" s="2">
        <v>0.9</v>
      </c>
      <c r="GY1642" s="2">
        <v>-1.6</v>
      </c>
      <c r="GZ1642" s="2">
        <v>-0.6</v>
      </c>
      <c r="HA1642" s="2">
        <v>-1.5</v>
      </c>
      <c r="HB1642" s="2">
        <v>1.3</v>
      </c>
      <c r="HC1642" s="2">
        <v>-1.3</v>
      </c>
      <c r="HD1642" s="2">
        <v>0.6</v>
      </c>
      <c r="HE1642" s="2">
        <v>-1</v>
      </c>
      <c r="HF1642" s="2">
        <v>-0.1</v>
      </c>
      <c r="HG1642" s="2">
        <v>-0.9</v>
      </c>
      <c r="HH1642" s="2">
        <v>0</v>
      </c>
      <c r="HI1642" s="2">
        <v>7.6</v>
      </c>
      <c r="HJ1642" s="2">
        <v>-0.8</v>
      </c>
      <c r="HK1642" s="2">
        <v>-0.3</v>
      </c>
      <c r="HL1642" s="2">
        <v>0.8</v>
      </c>
      <c r="HM1642" s="2">
        <v>0.1</v>
      </c>
      <c r="HN1642" s="2">
        <v>1.2</v>
      </c>
      <c r="HO1642" s="2">
        <v>0.1</v>
      </c>
      <c r="HP1642" s="2">
        <v>-0.4</v>
      </c>
      <c r="HQ1642" s="2">
        <v>1.2</v>
      </c>
      <c r="HR1642" s="2">
        <v>-1.2</v>
      </c>
      <c r="HS1642" s="2">
        <v>-2</v>
      </c>
      <c r="HT1642" s="2">
        <v>0.7</v>
      </c>
      <c r="HU1642" s="2">
        <v>-1.9</v>
      </c>
      <c r="HV1642" s="2">
        <v>0</v>
      </c>
      <c r="HW1642" s="2">
        <v>-2.2</v>
      </c>
      <c r="HX1642" s="2">
        <v>0.5</v>
      </c>
      <c r="HY1642" s="2">
        <v>1.5</v>
      </c>
      <c r="HZ1642" s="2">
        <v>-0.2</v>
      </c>
      <c r="IA1642" s="2">
        <v>-1.5</v>
      </c>
      <c r="IB1642" s="2">
        <v>-0.2</v>
      </c>
      <c r="IC1642" s="2">
        <v>0</v>
      </c>
      <c r="ID1642" s="2">
        <v>1</v>
      </c>
      <c r="IE1642" s="2">
        <v>-3.2</v>
      </c>
      <c r="IF1642" s="2">
        <v>2.5</v>
      </c>
      <c r="IG1642" s="2">
        <v>0.9</v>
      </c>
      <c r="IH1642" s="2">
        <v>-1.4</v>
      </c>
      <c r="II1642" s="2">
        <v>1.5</v>
      </c>
      <c r="IJ1642" s="2">
        <v>-2.6</v>
      </c>
      <c r="IK1642" s="2">
        <v>2.2</v>
      </c>
      <c r="IL1642" s="2">
        <v>0.6</v>
      </c>
      <c r="IM1642" s="2">
        <v>-2.7</v>
      </c>
      <c r="IN1642" s="2">
        <v>1.3</v>
      </c>
      <c r="IO1642" s="2">
        <v>-0.3</v>
      </c>
      <c r="IP1642" s="2">
        <v>0.8</v>
      </c>
      <c r="IQ1642" s="2">
        <v>-1.8</v>
      </c>
      <c r="IR1642" s="2">
        <v>-1</v>
      </c>
      <c r="IS1642" s="2">
        <v>1.1</v>
      </c>
      <c r="IT1642" s="2">
        <v>-0.2</v>
      </c>
      <c r="IU1642" s="2">
        <v>-1.9</v>
      </c>
      <c r="IV1642" s="2">
        <v>-2.4</v>
      </c>
      <c r="IW1642" s="2">
        <v>2.5</v>
      </c>
      <c r="IX1642" s="2">
        <v>-0.3</v>
      </c>
      <c r="IY1642" s="2">
        <v>-4</v>
      </c>
      <c r="IZ1642" s="2">
        <v>1.3</v>
      </c>
      <c r="JA1642" s="2">
        <v>2.9</v>
      </c>
      <c r="JB1642" s="2">
        <v>-0.4</v>
      </c>
      <c r="JC1642" s="2">
        <v>0.6</v>
      </c>
      <c r="JD1642" s="2">
        <v>0</v>
      </c>
      <c r="JE1642" s="2">
        <v>0.3</v>
      </c>
      <c r="JF1642" s="2">
        <v>0.8</v>
      </c>
      <c r="JG1642" s="2">
        <v>-6.3</v>
      </c>
      <c r="JH1642" s="2">
        <v>3.4</v>
      </c>
      <c r="JI1642" s="2">
        <v>2.7</v>
      </c>
      <c r="JJ1642" s="2">
        <v>-1.9</v>
      </c>
      <c r="JK1642" s="2">
        <v>-2.7</v>
      </c>
      <c r="JL1642" s="2">
        <v>1</v>
      </c>
      <c r="JM1642" s="2">
        <v>-1.1</v>
      </c>
      <c r="JN1642" s="2">
        <v>4.1</v>
      </c>
      <c r="JO1642" s="2">
        <v>-3.7</v>
      </c>
      <c r="JP1642" s="2">
        <v>-1.3</v>
      </c>
      <c r="JQ1642" s="2">
        <v>-0.8</v>
      </c>
      <c r="JR1642" s="2">
        <v>1.8</v>
      </c>
      <c r="JS1642" s="2">
        <v>-3.6</v>
      </c>
      <c r="JT1642" s="2">
        <v>4.3</v>
      </c>
      <c r="JU1642" s="2">
        <v>-0.9</v>
      </c>
      <c r="JV1642" s="2">
        <v>0.4</v>
      </c>
      <c r="KA1642" s="2">
        <v>-3</v>
      </c>
      <c r="KB1642" s="2">
        <v>1.5</v>
      </c>
      <c r="KC1642" s="2">
        <v>-0.2</v>
      </c>
      <c r="KD1642" s="2">
        <v>-0.6</v>
      </c>
      <c r="KQ1642" s="2">
        <v>-3.8</v>
      </c>
      <c r="KR1642" s="2">
        <v>1.6</v>
      </c>
      <c r="KS1642" s="2">
        <v>-1.1</v>
      </c>
      <c r="KT1642" s="2">
        <v>-2.3</v>
      </c>
      <c r="LG1642" s="2">
        <v>-0.6</v>
      </c>
      <c r="LH1642" s="2">
        <v>1.6</v>
      </c>
      <c r="LI1642" s="2">
        <v>2.5</v>
      </c>
      <c r="LJ1642" s="2">
        <v>-0.1</v>
      </c>
      <c r="LW1642" s="2">
        <v>-0.4</v>
      </c>
      <c r="LX1642" s="2">
        <v>-1.5</v>
      </c>
      <c r="LY1642" s="2">
        <v>0.2</v>
      </c>
      <c r="LZ1642" s="2">
        <v>3.3</v>
      </c>
      <c r="MM1642" s="2">
        <v>-1.4</v>
      </c>
      <c r="MN1642" s="2">
        <v>2.8</v>
      </c>
      <c r="MO1642" s="2">
        <v>-5</v>
      </c>
      <c r="MP1642" s="2">
        <v>4.2</v>
      </c>
      <c r="NC1642" s="2">
        <v>-2.4</v>
      </c>
      <c r="ND1642" s="2">
        <v>4.5</v>
      </c>
      <c r="NE1642" s="2">
        <v>-2.6</v>
      </c>
      <c r="NF1642" s="2">
        <v>5.5</v>
      </c>
      <c r="NS1642" s="2">
        <v>-5</v>
      </c>
      <c r="NT1642" s="2">
        <v>1.4</v>
      </c>
      <c r="NU1642" s="2">
        <v>0.5</v>
      </c>
      <c r="NV1642" s="2">
        <v>-0.6</v>
      </c>
      <c r="OI1642" s="2">
        <v>-2.6</v>
      </c>
      <c r="OJ1642" s="2">
        <v>4.2</v>
      </c>
      <c r="OK1642" s="2">
        <v>-2</v>
      </c>
      <c r="OL1642" s="2">
        <v>1.1</v>
      </c>
      <c r="OY1642" s="2">
        <v>-3.6</v>
      </c>
      <c r="OZ1642" s="2">
        <v>5.7</v>
      </c>
      <c r="PA1642" s="2">
        <v>-2.7</v>
      </c>
      <c r="PB1642" s="2">
        <v>0.2</v>
      </c>
      <c r="PJ1642" s="2">
        <v>1.8</v>
      </c>
      <c r="PK1642" s="2">
        <v>0.8</v>
      </c>
    </row>
    <row r="1643">
      <c r="A1643" t="inlineStr">
        <is>
          <t>A2327920A</t>
        </is>
      </c>
      <c r="B1643" t="inlineStr">
        <is>
          <t>Percentage Change from Previous Period ;  Footwear for men ;  Australia ;</t>
        </is>
      </c>
      <c r="C1643" t="inlineStr">
        <is>
          <t>Quarter</t>
        </is>
      </c>
      <c r="D1643" t="inlineStr">
        <is>
          <t>Percent</t>
        </is>
      </c>
      <c r="E1643" t="inlineStr">
        <is>
          <t>Original</t>
        </is>
      </c>
      <c r="F1643" t="inlineStr">
        <is>
          <t>6401018.xlsx</t>
        </is>
      </c>
      <c r="G1643" t="inlineStr">
        <is>
          <t>1980Q4</t>
        </is>
      </c>
      <c r="H1643" t="inlineStr">
        <is>
          <t>2026Q2</t>
        </is>
      </c>
      <c r="EH1643" s="2">
        <v>1.7</v>
      </c>
      <c r="EI1643" s="2">
        <v>2.8</v>
      </c>
      <c r="EJ1643" s="2">
        <v>1.3</v>
      </c>
      <c r="EK1643" s="2">
        <v>0.5</v>
      </c>
      <c r="EL1643" s="2">
        <v>0.9</v>
      </c>
      <c r="EM1643" s="2">
        <v>0.8</v>
      </c>
      <c r="EN1643" s="2">
        <v>2.6</v>
      </c>
      <c r="EO1643" s="2">
        <v>0.3</v>
      </c>
      <c r="EP1643" s="2">
        <v>1.8</v>
      </c>
      <c r="EQ1643" s="2">
        <v>0.9</v>
      </c>
      <c r="ER1643" s="2">
        <v>2.3</v>
      </c>
      <c r="ES1643" s="2">
        <v>-0.3</v>
      </c>
      <c r="ET1643" s="2">
        <v>0.7</v>
      </c>
      <c r="EU1643" s="2">
        <v>-0.4</v>
      </c>
      <c r="EV1643" s="2">
        <v>3</v>
      </c>
      <c r="EW1643" s="2">
        <v>2.3</v>
      </c>
      <c r="EX1643" s="2">
        <v>3.1</v>
      </c>
      <c r="EY1643" s="2">
        <v>0</v>
      </c>
      <c r="EZ1643" s="2">
        <v>1.7</v>
      </c>
      <c r="FA1643" s="2">
        <v>1.6</v>
      </c>
      <c r="FB1643" s="2">
        <v>2.5</v>
      </c>
      <c r="FC1643" s="2">
        <v>0</v>
      </c>
      <c r="FD1643" s="2">
        <v>3.1</v>
      </c>
      <c r="FE1643" s="2">
        <v>1.6</v>
      </c>
      <c r="FF1643" s="2">
        <v>2.4</v>
      </c>
      <c r="FG1643" s="2">
        <v>0.6</v>
      </c>
      <c r="FH1643" s="2">
        <v>2.3</v>
      </c>
      <c r="FI1643" s="2">
        <v>-0.5</v>
      </c>
      <c r="FJ1643" s="2">
        <v>1.4</v>
      </c>
      <c r="FK1643" s="2">
        <v>0.7</v>
      </c>
      <c r="FL1643" s="2">
        <v>5.2</v>
      </c>
      <c r="FM1643" s="2">
        <v>0.2</v>
      </c>
      <c r="FN1643" s="2">
        <v>2.8</v>
      </c>
      <c r="FO1643" s="2">
        <v>-1.3</v>
      </c>
      <c r="FP1643" s="2">
        <v>2.4</v>
      </c>
      <c r="FQ1643" s="2">
        <v>-2</v>
      </c>
      <c r="FR1643" s="2">
        <v>3.3</v>
      </c>
      <c r="FS1643" s="2">
        <v>-0.2</v>
      </c>
      <c r="FT1643" s="2">
        <v>2.7</v>
      </c>
      <c r="FU1643" s="2">
        <v>1.4</v>
      </c>
      <c r="FV1643" s="2">
        <v>0.9</v>
      </c>
      <c r="FW1643" s="2">
        <v>0.9</v>
      </c>
      <c r="FX1643" s="2">
        <v>1</v>
      </c>
      <c r="FY1643" s="2">
        <v>0.6</v>
      </c>
      <c r="FZ1643" s="2">
        <v>0.7</v>
      </c>
      <c r="GA1643" s="2">
        <v>-0.3</v>
      </c>
      <c r="GB1643" s="2">
        <v>0.6</v>
      </c>
      <c r="GC1643" s="2">
        <v>-0.5</v>
      </c>
      <c r="GD1643" s="2">
        <v>-0.7</v>
      </c>
      <c r="GE1643" s="2">
        <v>-1.1</v>
      </c>
      <c r="GF1643" s="2">
        <v>-0.2</v>
      </c>
      <c r="GG1643" s="2">
        <v>-2.5</v>
      </c>
      <c r="GH1643" s="2">
        <v>1.7</v>
      </c>
      <c r="GI1643" s="2">
        <v>-1.2</v>
      </c>
      <c r="GJ1643" s="2">
        <v>-1.8</v>
      </c>
      <c r="GK1643" s="2">
        <v>-3.2</v>
      </c>
      <c r="GL1643" s="2">
        <v>0.4</v>
      </c>
      <c r="GM1643" s="2">
        <v>-0.7</v>
      </c>
      <c r="GN1643" s="2">
        <v>0.1</v>
      </c>
      <c r="GO1643" s="2">
        <v>-0.5</v>
      </c>
      <c r="GP1643" s="2">
        <v>0.3</v>
      </c>
      <c r="GQ1643" s="2">
        <v>-2.5</v>
      </c>
      <c r="GR1643" s="2">
        <v>1.6</v>
      </c>
      <c r="GS1643" s="2">
        <v>-0.9</v>
      </c>
      <c r="GT1643" s="2">
        <v>2.2</v>
      </c>
      <c r="GU1643" s="2">
        <v>0.3</v>
      </c>
      <c r="GV1643" s="2">
        <v>-1.8</v>
      </c>
      <c r="GW1643" s="2">
        <v>0.3</v>
      </c>
      <c r="GX1643" s="2">
        <v>-2.4</v>
      </c>
      <c r="GY1643" s="2">
        <v>-0.4</v>
      </c>
      <c r="GZ1643" s="2">
        <v>-2.4</v>
      </c>
      <c r="HA1643" s="2">
        <v>0.9</v>
      </c>
      <c r="HB1643" s="2">
        <v>-0.2</v>
      </c>
      <c r="HC1643" s="2">
        <v>-0.8</v>
      </c>
      <c r="HD1643" s="2">
        <v>0.7</v>
      </c>
      <c r="HE1643" s="2">
        <v>-0.9</v>
      </c>
      <c r="HF1643" s="2">
        <v>-0.2</v>
      </c>
      <c r="HG1643" s="2">
        <v>-1.5</v>
      </c>
      <c r="HH1643" s="2">
        <v>-0.8</v>
      </c>
      <c r="HI1643" s="2">
        <v>7.3</v>
      </c>
      <c r="HJ1643" s="2">
        <v>0.8</v>
      </c>
      <c r="HK1643" s="2">
        <v>-1.6</v>
      </c>
      <c r="HL1643" s="2">
        <v>2.1</v>
      </c>
      <c r="HM1643" s="2">
        <v>0</v>
      </c>
      <c r="HN1643" s="2">
        <v>1.1</v>
      </c>
      <c r="HO1643" s="2">
        <v>-0.3</v>
      </c>
      <c r="HP1643" s="2">
        <v>0.4</v>
      </c>
      <c r="HQ1643" s="2">
        <v>1.7</v>
      </c>
      <c r="HR1643" s="2">
        <v>-2.1</v>
      </c>
      <c r="HS1643" s="2">
        <v>0</v>
      </c>
      <c r="HT1643" s="2">
        <v>0.3</v>
      </c>
      <c r="HU1643" s="2">
        <v>-2</v>
      </c>
      <c r="HV1643" s="2">
        <v>-2.7</v>
      </c>
      <c r="HW1643" s="2">
        <v>-2</v>
      </c>
      <c r="HX1643" s="2">
        <v>0.1</v>
      </c>
      <c r="HY1643" s="2">
        <v>2.5</v>
      </c>
      <c r="HZ1643" s="2">
        <v>-1.2</v>
      </c>
      <c r="IA1643" s="2">
        <v>-1.6</v>
      </c>
      <c r="IB1643" s="2">
        <v>-0.6</v>
      </c>
      <c r="IC1643" s="2">
        <v>0.3</v>
      </c>
      <c r="ID1643" s="2">
        <v>1.4</v>
      </c>
      <c r="IE1643" s="2">
        <v>-2.9</v>
      </c>
      <c r="IF1643" s="2">
        <v>0.8</v>
      </c>
      <c r="IG1643" s="2">
        <v>0.8</v>
      </c>
      <c r="IH1643" s="2">
        <v>-2.1</v>
      </c>
      <c r="II1643" s="2">
        <v>3.8</v>
      </c>
      <c r="IJ1643" s="2">
        <v>-1.3</v>
      </c>
      <c r="IK1643" s="2">
        <v>2.4</v>
      </c>
      <c r="IL1643" s="2">
        <v>-2.5</v>
      </c>
      <c r="IM1643" s="2">
        <v>-2.7</v>
      </c>
      <c r="IN1643" s="2">
        <v>0.6</v>
      </c>
      <c r="IO1643" s="2">
        <v>-1</v>
      </c>
      <c r="IP1643" s="2">
        <v>0.4</v>
      </c>
      <c r="IQ1643" s="2">
        <v>2</v>
      </c>
      <c r="IR1643" s="2">
        <v>-1.8</v>
      </c>
      <c r="IS1643" s="2">
        <v>-2.8</v>
      </c>
      <c r="IT1643" s="2">
        <v>1.5</v>
      </c>
      <c r="IU1643" s="2">
        <v>0.2</v>
      </c>
      <c r="IV1643" s="2">
        <v>-0.7</v>
      </c>
      <c r="IW1643" s="2">
        <v>0.8</v>
      </c>
      <c r="IX1643" s="2">
        <v>-1.5</v>
      </c>
      <c r="IY1643" s="2">
        <v>-3.4</v>
      </c>
      <c r="IZ1643" s="2">
        <v>3.3</v>
      </c>
      <c r="JA1643" s="2">
        <v>-1.2</v>
      </c>
      <c r="JB1643" s="2">
        <v>1.6</v>
      </c>
      <c r="JC1643" s="2">
        <v>-1.9</v>
      </c>
      <c r="JD1643" s="2">
        <v>-0.1</v>
      </c>
      <c r="JE1643" s="2">
        <v>1.3</v>
      </c>
      <c r="JF1643" s="2">
        <v>-0.7</v>
      </c>
      <c r="JG1643" s="2">
        <v>-6.9</v>
      </c>
      <c r="JH1643" s="2">
        <v>5</v>
      </c>
      <c r="JI1643" s="2">
        <v>3.7</v>
      </c>
      <c r="JJ1643" s="2">
        <v>-3.3</v>
      </c>
      <c r="JK1643" s="2">
        <v>-0.7</v>
      </c>
      <c r="JL1643" s="2">
        <v>3.8</v>
      </c>
      <c r="JM1643" s="2">
        <v>-2.9</v>
      </c>
      <c r="JN1643" s="2">
        <v>3.7</v>
      </c>
      <c r="JO1643" s="2">
        <v>-1.6</v>
      </c>
      <c r="JP1643" s="2">
        <v>0.7</v>
      </c>
      <c r="JQ1643" s="2">
        <v>-1.7</v>
      </c>
      <c r="JR1643" s="2">
        <v>-0.5</v>
      </c>
      <c r="JS1643" s="2">
        <v>-2.3</v>
      </c>
      <c r="JT1643" s="2">
        <v>2</v>
      </c>
      <c r="JU1643" s="2">
        <v>0.5</v>
      </c>
      <c r="JV1643" s="2">
        <v>1.1</v>
      </c>
      <c r="KA1643" s="2">
        <v>-3.6</v>
      </c>
      <c r="KB1643" s="2">
        <v>1.3</v>
      </c>
      <c r="KC1643" s="2">
        <v>-1.8</v>
      </c>
      <c r="KD1643" s="2">
        <v>2.6</v>
      </c>
      <c r="KQ1643" s="2">
        <v>-3.3</v>
      </c>
      <c r="KR1643" s="2">
        <v>-2.3</v>
      </c>
      <c r="KS1643" s="2">
        <v>-2.6</v>
      </c>
      <c r="KT1643" s="2">
        <v>0.7</v>
      </c>
      <c r="LG1643" s="2">
        <v>-0.6</v>
      </c>
      <c r="LH1643" s="2">
        <v>1.5</v>
      </c>
      <c r="LI1643" s="2">
        <v>0.8</v>
      </c>
      <c r="LJ1643" s="2">
        <v>1.9</v>
      </c>
      <c r="LW1643" s="2">
        <v>-1.2</v>
      </c>
      <c r="LX1643" s="2">
        <v>-3.5</v>
      </c>
      <c r="LY1643" s="2">
        <v>0.4</v>
      </c>
      <c r="LZ1643" s="2">
        <v>5.4</v>
      </c>
      <c r="MM1643" s="2">
        <v>-3.1</v>
      </c>
      <c r="MN1643" s="2">
        <v>0.5</v>
      </c>
      <c r="MO1643" s="2">
        <v>-4.2</v>
      </c>
      <c r="MP1643" s="2">
        <v>4.5</v>
      </c>
      <c r="NC1643" s="2">
        <v>-0.3</v>
      </c>
      <c r="ND1643" s="2">
        <v>3.4</v>
      </c>
      <c r="NE1643" s="2">
        <v>-2.7</v>
      </c>
      <c r="NF1643" s="2">
        <v>6.2</v>
      </c>
      <c r="NS1643" s="2">
        <v>-2</v>
      </c>
      <c r="NT1643" s="2">
        <v>-1.5</v>
      </c>
      <c r="NU1643" s="2">
        <v>2.9</v>
      </c>
      <c r="NV1643" s="2">
        <v>-1.2</v>
      </c>
      <c r="OI1643" s="2">
        <v>-0.4</v>
      </c>
      <c r="OJ1643" s="2">
        <v>2.5</v>
      </c>
      <c r="OK1643" s="2">
        <v>-0.6</v>
      </c>
      <c r="OL1643" s="2">
        <v>2.3</v>
      </c>
      <c r="OY1643" s="2">
        <v>-4.4</v>
      </c>
      <c r="OZ1643" s="2">
        <v>5.5</v>
      </c>
      <c r="PA1643" s="2">
        <v>-2.9</v>
      </c>
      <c r="PB1643" s="2">
        <v>-0.6</v>
      </c>
      <c r="PJ1643" s="2">
        <v>3.5</v>
      </c>
      <c r="PK1643" s="2">
        <v>1.3</v>
      </c>
    </row>
    <row r="1644">
      <c r="A1644" t="inlineStr">
        <is>
          <t>A2327965F</t>
        </is>
      </c>
      <c r="B1644" t="inlineStr">
        <is>
          <t>Percentage Change from Previous Period ;  Footwear for women ;  Australia ;</t>
        </is>
      </c>
      <c r="C1644" t="inlineStr">
        <is>
          <t>Quarter</t>
        </is>
      </c>
      <c r="D1644" t="inlineStr">
        <is>
          <t>Percent</t>
        </is>
      </c>
      <c r="E1644" t="inlineStr">
        <is>
          <t>Original</t>
        </is>
      </c>
      <c r="F1644" t="inlineStr">
        <is>
          <t>6401018.xlsx</t>
        </is>
      </c>
      <c r="G1644" t="inlineStr">
        <is>
          <t>1980Q4</t>
        </is>
      </c>
      <c r="H1644" t="inlineStr">
        <is>
          <t>2026Q2</t>
        </is>
      </c>
      <c r="EH1644" s="2">
        <v>4.4</v>
      </c>
      <c r="EI1644" s="2">
        <v>0.4</v>
      </c>
      <c r="EJ1644" s="2">
        <v>5</v>
      </c>
      <c r="EK1644" s="2">
        <v>0.6</v>
      </c>
      <c r="EL1644" s="2">
        <v>1.7</v>
      </c>
      <c r="EM1644" s="2">
        <v>0.4</v>
      </c>
      <c r="EN1644" s="2">
        <v>6.1</v>
      </c>
      <c r="EO1644" s="2">
        <v>1.4</v>
      </c>
      <c r="EP1644" s="2">
        <v>2.8</v>
      </c>
      <c r="EQ1644" s="2">
        <v>0</v>
      </c>
      <c r="ER1644" s="2">
        <v>6.2</v>
      </c>
      <c r="ES1644" s="2">
        <v>0.3</v>
      </c>
      <c r="ET1644" s="2">
        <v>-1.6</v>
      </c>
      <c r="EU1644" s="2">
        <v>0.2</v>
      </c>
      <c r="EV1644" s="2">
        <v>3.5</v>
      </c>
      <c r="EW1644" s="2">
        <v>0.3</v>
      </c>
      <c r="EX1644" s="2">
        <v>3.8</v>
      </c>
      <c r="EY1644" s="2">
        <v>0.4</v>
      </c>
      <c r="EZ1644" s="2">
        <v>2.5</v>
      </c>
      <c r="FA1644" s="2">
        <v>0.9</v>
      </c>
      <c r="FB1644" s="2">
        <v>1</v>
      </c>
      <c r="FC1644" s="2">
        <v>0.1</v>
      </c>
      <c r="FD1644" s="2">
        <v>14.1</v>
      </c>
      <c r="FE1644" s="2">
        <v>0.7</v>
      </c>
      <c r="FF1644" s="2">
        <v>2.2</v>
      </c>
      <c r="FG1644" s="2">
        <v>0.1</v>
      </c>
      <c r="FH1644" s="2">
        <v>1.7</v>
      </c>
      <c r="FI1644" s="2">
        <v>0.4</v>
      </c>
      <c r="FJ1644" s="2">
        <v>2.3</v>
      </c>
      <c r="FK1644" s="2">
        <v>0.3</v>
      </c>
      <c r="FL1644" s="2">
        <v>3.1</v>
      </c>
      <c r="FM1644" s="2">
        <v>1.4</v>
      </c>
      <c r="FN1644" s="2">
        <v>4.2</v>
      </c>
      <c r="FO1644" s="2">
        <v>0.1</v>
      </c>
      <c r="FP1644" s="2">
        <v>4.9</v>
      </c>
      <c r="FQ1644" s="2">
        <v>-0.1</v>
      </c>
      <c r="FR1644" s="2">
        <v>-0.4</v>
      </c>
      <c r="FS1644" s="2">
        <v>0.2</v>
      </c>
      <c r="FT1644" s="2">
        <v>0.8</v>
      </c>
      <c r="FU1644" s="2">
        <v>-0.1</v>
      </c>
      <c r="FV1644" s="2">
        <v>2.7</v>
      </c>
      <c r="FW1644" s="2">
        <v>0.4</v>
      </c>
      <c r="FX1644" s="2">
        <v>1.3</v>
      </c>
      <c r="FY1644" s="2">
        <v>0.3</v>
      </c>
      <c r="FZ1644" s="2">
        <v>-0.4</v>
      </c>
      <c r="GA1644" s="2">
        <v>0.6</v>
      </c>
      <c r="GB1644" s="2">
        <v>-1.2</v>
      </c>
      <c r="GC1644" s="2">
        <v>-0.1</v>
      </c>
      <c r="GD1644" s="2">
        <v>-0.2</v>
      </c>
      <c r="GE1644" s="2">
        <v>-0.7</v>
      </c>
      <c r="GF1644" s="2">
        <v>1.2</v>
      </c>
      <c r="GG1644" s="2">
        <v>-0.6</v>
      </c>
      <c r="GH1644" s="2">
        <v>-1.1</v>
      </c>
      <c r="GI1644" s="2">
        <v>0</v>
      </c>
      <c r="GJ1644" s="2">
        <v>0.9</v>
      </c>
      <c r="GK1644" s="2">
        <v>-0.3</v>
      </c>
      <c r="GL1644" s="2">
        <v>0.8</v>
      </c>
      <c r="GM1644" s="2">
        <v>-2.8</v>
      </c>
      <c r="GN1644" s="2">
        <v>0.2</v>
      </c>
      <c r="GO1644" s="2">
        <v>-1.7</v>
      </c>
      <c r="GP1644" s="2">
        <v>2.1</v>
      </c>
      <c r="GQ1644" s="2">
        <v>-1.1</v>
      </c>
      <c r="GR1644" s="2">
        <v>2.9</v>
      </c>
      <c r="GS1644" s="2">
        <v>-1.3</v>
      </c>
      <c r="GT1644" s="2">
        <v>1.2</v>
      </c>
      <c r="GU1644" s="2">
        <v>-0.4</v>
      </c>
      <c r="GV1644" s="2">
        <v>-1</v>
      </c>
      <c r="GW1644" s="2">
        <v>-1.6</v>
      </c>
      <c r="GX1644" s="2">
        <v>3.2</v>
      </c>
      <c r="GY1644" s="2">
        <v>-2.2</v>
      </c>
      <c r="GZ1644" s="2">
        <v>0.8</v>
      </c>
      <c r="HA1644" s="2">
        <v>-3</v>
      </c>
      <c r="HB1644" s="2">
        <v>2.1</v>
      </c>
      <c r="HC1644" s="2">
        <v>-1.6</v>
      </c>
      <c r="HD1644" s="2">
        <v>0.4</v>
      </c>
      <c r="HE1644" s="2">
        <v>-1.2</v>
      </c>
      <c r="HF1644" s="2">
        <v>0</v>
      </c>
      <c r="HG1644" s="2">
        <v>-0.2</v>
      </c>
      <c r="HH1644" s="2">
        <v>0.3</v>
      </c>
      <c r="HI1644" s="2">
        <v>8.4</v>
      </c>
      <c r="HJ1644" s="2">
        <v>-1.3</v>
      </c>
      <c r="HK1644" s="2">
        <v>0.3</v>
      </c>
      <c r="HL1644" s="2">
        <v>-0.1</v>
      </c>
      <c r="HM1644" s="2">
        <v>-0.4</v>
      </c>
      <c r="HN1644" s="2">
        <v>2</v>
      </c>
      <c r="HO1644" s="2">
        <v>0.6</v>
      </c>
      <c r="HP1644" s="2">
        <v>-1.4</v>
      </c>
      <c r="HQ1644" s="2">
        <v>1.1</v>
      </c>
      <c r="HR1644" s="2">
        <v>-1.4</v>
      </c>
      <c r="HS1644" s="2">
        <v>-3.9</v>
      </c>
      <c r="HT1644" s="2">
        <v>1.5</v>
      </c>
      <c r="HU1644" s="2">
        <v>-1.5</v>
      </c>
      <c r="HV1644" s="2">
        <v>1</v>
      </c>
      <c r="HW1644" s="2">
        <v>-1.9</v>
      </c>
      <c r="HX1644" s="2">
        <v>0.6</v>
      </c>
      <c r="HY1644" s="2">
        <v>1.4</v>
      </c>
      <c r="HZ1644" s="2">
        <v>-0.2</v>
      </c>
      <c r="IA1644" s="2">
        <v>-1.6</v>
      </c>
      <c r="IB1644" s="2">
        <v>-0.2</v>
      </c>
      <c r="IC1644" s="2">
        <v>-0.3</v>
      </c>
      <c r="ID1644" s="2">
        <v>1.1</v>
      </c>
      <c r="IE1644" s="2">
        <v>-2.6</v>
      </c>
      <c r="IF1644" s="2">
        <v>2.8</v>
      </c>
      <c r="IG1644" s="2">
        <v>1.6</v>
      </c>
      <c r="IH1644" s="2">
        <v>-1.3</v>
      </c>
      <c r="II1644" s="2">
        <v>1</v>
      </c>
      <c r="IJ1644" s="2">
        <v>-3.7</v>
      </c>
      <c r="IK1644" s="2">
        <v>1.8</v>
      </c>
      <c r="IL1644" s="2">
        <v>2.3</v>
      </c>
      <c r="IM1644" s="2">
        <v>-3.5</v>
      </c>
      <c r="IN1644" s="2">
        <v>2.1</v>
      </c>
      <c r="IO1644" s="2">
        <v>-0.5</v>
      </c>
      <c r="IP1644" s="2">
        <v>1.4</v>
      </c>
      <c r="IQ1644" s="2">
        <v>-3.7</v>
      </c>
      <c r="IR1644" s="2">
        <v>-2</v>
      </c>
      <c r="IS1644" s="2">
        <v>3.3</v>
      </c>
      <c r="IT1644" s="2">
        <v>0.2</v>
      </c>
      <c r="IU1644" s="2">
        <v>-3.6</v>
      </c>
      <c r="IV1644" s="2">
        <v>-3.8</v>
      </c>
      <c r="IW1644" s="2">
        <v>3.6</v>
      </c>
      <c r="IX1644" s="2">
        <v>0.6</v>
      </c>
      <c r="IY1644" s="2">
        <v>-3</v>
      </c>
      <c r="IZ1644" s="2">
        <v>-2.3</v>
      </c>
      <c r="JA1644" s="2">
        <v>5.2</v>
      </c>
      <c r="JB1644" s="2">
        <v>-1.1</v>
      </c>
      <c r="JC1644" s="2">
        <v>2.8</v>
      </c>
      <c r="JD1644" s="2">
        <v>-0.4</v>
      </c>
      <c r="JE1644" s="2">
        <v>-0.6</v>
      </c>
      <c r="JF1644" s="2">
        <v>2.1</v>
      </c>
      <c r="JG1644" s="2">
        <v>-6.8</v>
      </c>
      <c r="JH1644" s="2">
        <v>3.2</v>
      </c>
      <c r="JI1644" s="2">
        <v>2.1</v>
      </c>
      <c r="JJ1644" s="2">
        <v>-1.3</v>
      </c>
      <c r="JK1644" s="2">
        <v>-3.3</v>
      </c>
      <c r="JL1644" s="2">
        <v>-1.2</v>
      </c>
      <c r="JM1644" s="2">
        <v>0.5</v>
      </c>
      <c r="JN1644" s="2">
        <v>5.2</v>
      </c>
      <c r="JO1644" s="2">
        <v>-5.1</v>
      </c>
      <c r="JP1644" s="2">
        <v>-3</v>
      </c>
      <c r="JQ1644" s="2">
        <v>0.3</v>
      </c>
      <c r="JR1644" s="2">
        <v>2.2</v>
      </c>
      <c r="JS1644" s="2">
        <v>-4.5</v>
      </c>
      <c r="JT1644" s="2">
        <v>4.5</v>
      </c>
      <c r="JU1644" s="2">
        <v>-0.8</v>
      </c>
      <c r="JV1644" s="2">
        <v>0.9</v>
      </c>
      <c r="KA1644" s="2">
        <v>-2.9</v>
      </c>
      <c r="KB1644" s="2">
        <v>0.8</v>
      </c>
      <c r="KC1644" s="2">
        <v>1.1</v>
      </c>
      <c r="KD1644" s="2">
        <v>-1.8</v>
      </c>
      <c r="KQ1644" s="2">
        <v>-4.4</v>
      </c>
      <c r="KR1644" s="2">
        <v>2.6</v>
      </c>
      <c r="KS1644" s="2">
        <v>-0.6</v>
      </c>
      <c r="KT1644" s="2">
        <v>-3.5</v>
      </c>
      <c r="LG1644" s="2">
        <v>-0.1</v>
      </c>
      <c r="LH1644" s="2">
        <v>2</v>
      </c>
      <c r="LI1644" s="2">
        <v>2.7</v>
      </c>
      <c r="LJ1644" s="2">
        <v>-0.8</v>
      </c>
      <c r="LW1644" s="2">
        <v>-0.1</v>
      </c>
      <c r="LX1644" s="2">
        <v>-0.9</v>
      </c>
      <c r="LY1644" s="2">
        <v>0.4</v>
      </c>
      <c r="LZ1644" s="2">
        <v>2.2</v>
      </c>
      <c r="MM1644" s="2">
        <v>-0.5</v>
      </c>
      <c r="MN1644" s="2">
        <v>4.4</v>
      </c>
      <c r="MO1644" s="2">
        <v>-6.9</v>
      </c>
      <c r="MP1644" s="2">
        <v>4.6</v>
      </c>
      <c r="NC1644" s="2">
        <v>-3.8</v>
      </c>
      <c r="ND1644" s="2">
        <v>6.8</v>
      </c>
      <c r="NE1644" s="2">
        <v>-3.1</v>
      </c>
      <c r="NF1644" s="2">
        <v>5.9</v>
      </c>
      <c r="NS1644" s="2">
        <v>-6.3</v>
      </c>
      <c r="NT1644" s="2">
        <v>2.6</v>
      </c>
      <c r="NU1644" s="2">
        <v>-0.9</v>
      </c>
      <c r="NV1644" s="2">
        <v>-0.6</v>
      </c>
      <c r="OI1644" s="2">
        <v>-3</v>
      </c>
      <c r="OJ1644" s="2">
        <v>4.3</v>
      </c>
      <c r="OK1644" s="2">
        <v>-3.1</v>
      </c>
      <c r="OL1644" s="2">
        <v>0.7</v>
      </c>
      <c r="OY1644" s="2">
        <v>-4.1</v>
      </c>
      <c r="OZ1644" s="2">
        <v>7.4</v>
      </c>
      <c r="PA1644" s="2">
        <v>-2.9</v>
      </c>
      <c r="PB1644" s="2">
        <v>-0.1</v>
      </c>
      <c r="PJ1644" s="2">
        <v>0.9</v>
      </c>
      <c r="PK1644" s="2">
        <v>0.9</v>
      </c>
    </row>
    <row r="1645">
      <c r="A1645" t="inlineStr">
        <is>
          <t>A2328010J</t>
        </is>
      </c>
      <c r="B1645" t="inlineStr">
        <is>
          <t>Percentage Change from Previous Period ;  Footwear for infants and children ;  Australia ;</t>
        </is>
      </c>
      <c r="C1645" t="inlineStr">
        <is>
          <t>Quarter</t>
        </is>
      </c>
      <c r="D1645" t="inlineStr">
        <is>
          <t>Percent</t>
        </is>
      </c>
      <c r="E1645" t="inlineStr">
        <is>
          <t>Original</t>
        </is>
      </c>
      <c r="F1645" t="inlineStr">
        <is>
          <t>6401018.xlsx</t>
        </is>
      </c>
      <c r="G1645" t="inlineStr">
        <is>
          <t>1980Q4</t>
        </is>
      </c>
      <c r="H1645" t="inlineStr">
        <is>
          <t>2026Q2</t>
        </is>
      </c>
      <c r="EH1645" s="2">
        <v>1.2</v>
      </c>
      <c r="EI1645" s="2">
        <v>1.1</v>
      </c>
      <c r="EJ1645" s="2">
        <v>2.6</v>
      </c>
      <c r="EK1645" s="2">
        <v>-1</v>
      </c>
      <c r="EL1645" s="2">
        <v>3.6</v>
      </c>
      <c r="EM1645" s="2">
        <v>1.3</v>
      </c>
      <c r="EN1645" s="2">
        <v>-2.4</v>
      </c>
      <c r="EO1645" s="2">
        <v>6</v>
      </c>
      <c r="EP1645" s="2">
        <v>1.4</v>
      </c>
      <c r="EQ1645" s="2">
        <v>-6.4</v>
      </c>
      <c r="ER1645" s="2">
        <v>15</v>
      </c>
      <c r="ES1645" s="2">
        <v>0.4</v>
      </c>
      <c r="ET1645" s="2">
        <v>0.4</v>
      </c>
      <c r="EU1645" s="2">
        <v>5.3</v>
      </c>
      <c r="EV1645" s="2">
        <v>2.6</v>
      </c>
      <c r="EW1645" s="2">
        <v>0.3</v>
      </c>
      <c r="EX1645" s="2">
        <v>1.7</v>
      </c>
      <c r="EY1645" s="2">
        <v>0.5</v>
      </c>
      <c r="EZ1645" s="2">
        <v>1.3</v>
      </c>
      <c r="FA1645" s="2">
        <v>2.7</v>
      </c>
      <c r="FB1645" s="2">
        <v>2.4</v>
      </c>
      <c r="FC1645" s="2">
        <v>2.4</v>
      </c>
      <c r="FD1645" s="2">
        <v>2.4</v>
      </c>
      <c r="FE1645" s="2">
        <v>0.8</v>
      </c>
      <c r="FF1645" s="2">
        <v>1.2</v>
      </c>
      <c r="FG1645" s="2">
        <v>0.3</v>
      </c>
      <c r="FH1645" s="2">
        <v>1.1</v>
      </c>
      <c r="FI1645" s="2">
        <v>2.7</v>
      </c>
      <c r="FJ1645" s="2">
        <v>1.2</v>
      </c>
      <c r="FK1645" s="2">
        <v>0.1</v>
      </c>
      <c r="FL1645" s="2">
        <v>1.9</v>
      </c>
      <c r="FM1645" s="2">
        <v>1.5</v>
      </c>
      <c r="FN1645" s="2">
        <v>1.7</v>
      </c>
      <c r="FO1645" s="2">
        <v>-2</v>
      </c>
      <c r="FP1645" s="2">
        <v>2.9</v>
      </c>
      <c r="FQ1645" s="2">
        <v>0.1</v>
      </c>
      <c r="FR1645" s="2">
        <v>1.4</v>
      </c>
      <c r="FS1645" s="2">
        <v>0.3</v>
      </c>
      <c r="FT1645" s="2">
        <v>-0.9</v>
      </c>
      <c r="FU1645" s="2">
        <v>0.4</v>
      </c>
      <c r="FV1645" s="2">
        <v>0.3</v>
      </c>
      <c r="FW1645" s="2">
        <v>1.6</v>
      </c>
      <c r="FX1645" s="2">
        <v>0.1</v>
      </c>
      <c r="FY1645" s="2">
        <v>2.1</v>
      </c>
      <c r="FZ1645" s="2">
        <v>1</v>
      </c>
      <c r="GA1645" s="2">
        <v>0.1</v>
      </c>
      <c r="GB1645" s="2">
        <v>1.9</v>
      </c>
      <c r="GC1645" s="2">
        <v>-8.800000000000001</v>
      </c>
      <c r="GD1645" s="2">
        <v>8.800000000000001</v>
      </c>
      <c r="GE1645" s="2">
        <v>-2.6</v>
      </c>
      <c r="GF1645" s="2">
        <v>0.3</v>
      </c>
      <c r="GG1645" s="2">
        <v>0</v>
      </c>
      <c r="GH1645" s="2">
        <v>0.5</v>
      </c>
      <c r="GI1645" s="2">
        <v>-2.4</v>
      </c>
      <c r="GJ1645" s="2">
        <v>-1.1</v>
      </c>
      <c r="GK1645" s="2">
        <v>-1.2</v>
      </c>
      <c r="GL1645" s="2">
        <v>0.2</v>
      </c>
      <c r="GM1645" s="2">
        <v>-3.4</v>
      </c>
      <c r="GN1645" s="2">
        <v>1.3</v>
      </c>
      <c r="GO1645" s="2">
        <v>-2.6</v>
      </c>
      <c r="GP1645" s="2">
        <v>2.8</v>
      </c>
      <c r="GQ1645" s="2">
        <v>-0.4</v>
      </c>
      <c r="GR1645" s="2">
        <v>0.8</v>
      </c>
      <c r="GS1645" s="2">
        <v>-3.6</v>
      </c>
      <c r="GT1645" s="2">
        <v>2.1</v>
      </c>
      <c r="GU1645" s="2">
        <v>0</v>
      </c>
      <c r="GV1645" s="2">
        <v>-0.3</v>
      </c>
      <c r="GW1645" s="2">
        <v>1.2</v>
      </c>
      <c r="GX1645" s="2">
        <v>1.1</v>
      </c>
      <c r="GY1645" s="2">
        <v>-1.8</v>
      </c>
      <c r="GZ1645" s="2">
        <v>-1</v>
      </c>
      <c r="HA1645" s="2">
        <v>0</v>
      </c>
      <c r="HB1645" s="2">
        <v>0.6</v>
      </c>
      <c r="HC1645" s="2">
        <v>-1</v>
      </c>
      <c r="HD1645" s="2">
        <v>1.3</v>
      </c>
      <c r="HE1645" s="2">
        <v>-0.5</v>
      </c>
      <c r="HF1645" s="2">
        <v>-0.4</v>
      </c>
      <c r="HG1645" s="2">
        <v>-2.2</v>
      </c>
      <c r="HH1645" s="2">
        <v>0.1</v>
      </c>
      <c r="HI1645" s="2">
        <v>6.3</v>
      </c>
      <c r="HJ1645" s="2">
        <v>-1.7</v>
      </c>
      <c r="HK1645" s="2">
        <v>0.3</v>
      </c>
      <c r="HL1645" s="2">
        <v>1.1</v>
      </c>
      <c r="HM1645" s="2">
        <v>1.2</v>
      </c>
      <c r="HN1645" s="2">
        <v>-0.3</v>
      </c>
      <c r="HO1645" s="2">
        <v>-0.3</v>
      </c>
      <c r="HP1645" s="2">
        <v>0.4</v>
      </c>
      <c r="HQ1645" s="2">
        <v>0.8</v>
      </c>
      <c r="HR1645" s="2">
        <v>0.5</v>
      </c>
      <c r="HS1645" s="2">
        <v>-0.7</v>
      </c>
      <c r="HT1645" s="2">
        <v>-0.4</v>
      </c>
      <c r="HU1645" s="2">
        <v>-2.4</v>
      </c>
      <c r="HV1645" s="2">
        <v>1.4</v>
      </c>
      <c r="HW1645" s="2">
        <v>-3.1</v>
      </c>
      <c r="HX1645" s="2">
        <v>0.9</v>
      </c>
      <c r="HY1645" s="2">
        <v>0.1</v>
      </c>
      <c r="HZ1645" s="2">
        <v>1.3</v>
      </c>
      <c r="IA1645" s="2">
        <v>-1</v>
      </c>
      <c r="IB1645" s="2">
        <v>0.4</v>
      </c>
      <c r="IC1645" s="2">
        <v>0.7</v>
      </c>
      <c r="ID1645" s="2">
        <v>0.3</v>
      </c>
      <c r="IE1645" s="2">
        <v>-5.2</v>
      </c>
      <c r="IF1645" s="2">
        <v>4.2</v>
      </c>
      <c r="IG1645" s="2">
        <v>-0.7</v>
      </c>
      <c r="IH1645" s="2">
        <v>-0.4</v>
      </c>
      <c r="II1645" s="2">
        <v>-0.2</v>
      </c>
      <c r="IJ1645" s="2">
        <v>-1.6</v>
      </c>
      <c r="IK1645" s="2">
        <v>3.2</v>
      </c>
      <c r="IL1645" s="2">
        <v>0.7</v>
      </c>
      <c r="IM1645" s="2">
        <v>-0.6</v>
      </c>
      <c r="IN1645" s="2">
        <v>0.3</v>
      </c>
      <c r="IO1645" s="2">
        <v>1.3</v>
      </c>
      <c r="IP1645" s="2">
        <v>-0.3</v>
      </c>
      <c r="IQ1645" s="2">
        <v>-1.7</v>
      </c>
      <c r="IR1645" s="2">
        <v>2.8</v>
      </c>
      <c r="IS1645" s="2">
        <v>1</v>
      </c>
      <c r="IT1645" s="2">
        <v>-3.4</v>
      </c>
      <c r="IU1645" s="2">
        <v>-0.3</v>
      </c>
      <c r="IV1645" s="2">
        <v>-0.9</v>
      </c>
      <c r="IW1645" s="2">
        <v>1.9</v>
      </c>
      <c r="IX1645" s="2">
        <v>-1</v>
      </c>
      <c r="IY1645" s="2">
        <v>-7.3</v>
      </c>
      <c r="IZ1645" s="2">
        <v>8.6</v>
      </c>
      <c r="JA1645" s="2">
        <v>1.1</v>
      </c>
      <c r="JB1645" s="2">
        <v>-0.7</v>
      </c>
      <c r="JC1645" s="2">
        <v>-2.6</v>
      </c>
      <c r="JD1645" s="2">
        <v>1.6</v>
      </c>
      <c r="JE1645" s="2">
        <v>1.5</v>
      </c>
      <c r="JF1645" s="2">
        <v>-1.3</v>
      </c>
      <c r="JG1645" s="2">
        <v>-4.4</v>
      </c>
      <c r="JH1645" s="2">
        <v>2.5</v>
      </c>
      <c r="JI1645" s="2">
        <v>3.3</v>
      </c>
      <c r="JJ1645" s="2">
        <v>-2.1</v>
      </c>
      <c r="JK1645" s="2">
        <v>-3.2</v>
      </c>
      <c r="JL1645" s="2">
        <v>4.4</v>
      </c>
      <c r="JM1645" s="2">
        <v>-3.3</v>
      </c>
      <c r="JN1645" s="2">
        <v>1.5</v>
      </c>
      <c r="JO1645" s="2">
        <v>-2.1</v>
      </c>
      <c r="JP1645" s="2">
        <v>1.4</v>
      </c>
      <c r="JQ1645" s="2">
        <v>-2.7</v>
      </c>
      <c r="JR1645" s="2">
        <v>3.4</v>
      </c>
      <c r="JS1645" s="2">
        <v>-2.3</v>
      </c>
      <c r="JT1645" s="2">
        <v>6.1</v>
      </c>
      <c r="JU1645" s="2">
        <v>-2.5</v>
      </c>
      <c r="JV1645" s="2">
        <v>-1.6</v>
      </c>
      <c r="KA1645" s="2">
        <v>-2.8</v>
      </c>
      <c r="KB1645" s="2">
        <v>3.8</v>
      </c>
      <c r="KC1645" s="2">
        <v>-1.9</v>
      </c>
      <c r="KD1645" s="2">
        <v>-1.3</v>
      </c>
      <c r="KQ1645" s="2">
        <v>-2.1</v>
      </c>
      <c r="KR1645" s="2">
        <v>5.2</v>
      </c>
      <c r="KS1645" s="2">
        <v>-0.8</v>
      </c>
      <c r="KT1645" s="2">
        <v>-2.4</v>
      </c>
      <c r="LG1645" s="2">
        <v>-2.4</v>
      </c>
      <c r="LH1645" s="2">
        <v>0.4</v>
      </c>
      <c r="LI1645" s="2">
        <v>5</v>
      </c>
      <c r="LJ1645" s="2">
        <v>-1.1</v>
      </c>
      <c r="LW1645" s="2">
        <v>-0.2</v>
      </c>
      <c r="LX1645" s="2">
        <v>-0.5</v>
      </c>
      <c r="LY1645" s="2">
        <v>-1.1</v>
      </c>
      <c r="LZ1645" s="2">
        <v>4.5</v>
      </c>
      <c r="MM1645" s="2">
        <v>-2</v>
      </c>
      <c r="MN1645" s="2">
        <v>0.1</v>
      </c>
      <c r="MO1645" s="2">
        <v>1.2</v>
      </c>
      <c r="MP1645" s="2">
        <v>2.2</v>
      </c>
      <c r="NC1645" s="2">
        <v>-0.2</v>
      </c>
      <c r="ND1645" s="2">
        <v>-2.4</v>
      </c>
      <c r="NE1645" s="2">
        <v>-0.3</v>
      </c>
      <c r="NF1645" s="2">
        <v>2.6</v>
      </c>
      <c r="NS1645" s="2">
        <v>-4.5</v>
      </c>
      <c r="NT1645" s="2">
        <v>1.6</v>
      </c>
      <c r="NU1645" s="2">
        <v>2.3</v>
      </c>
      <c r="NV1645" s="2">
        <v>-0.1</v>
      </c>
      <c r="OI1645" s="2">
        <v>-4.5</v>
      </c>
      <c r="OJ1645" s="2">
        <v>6.8</v>
      </c>
      <c r="OK1645" s="2">
        <v>-0.2</v>
      </c>
      <c r="OL1645" s="2">
        <v>0.8</v>
      </c>
      <c r="OY1645" s="2">
        <v>-0.4</v>
      </c>
      <c r="OZ1645" s="2">
        <v>-0.3</v>
      </c>
      <c r="PA1645" s="2">
        <v>-1.7</v>
      </c>
      <c r="PB1645" s="2">
        <v>2.7</v>
      </c>
      <c r="PJ1645" s="2">
        <v>2.9</v>
      </c>
      <c r="PK1645" s="2">
        <v>-0.2</v>
      </c>
    </row>
    <row r="1646">
      <c r="A1646" t="inlineStr">
        <is>
          <t>A2329810X</t>
        </is>
      </c>
      <c r="B1646" t="inlineStr">
        <is>
          <t>Percentage Change from Previous Period ;  Accessories and clothing services ;  Australia ;</t>
        </is>
      </c>
      <c r="C1646" t="inlineStr">
        <is>
          <t>Quarter</t>
        </is>
      </c>
      <c r="D1646" t="inlineStr">
        <is>
          <t>Percent</t>
        </is>
      </c>
      <c r="E1646" t="inlineStr">
        <is>
          <t>Original</t>
        </is>
      </c>
      <c r="F1646" t="inlineStr">
        <is>
          <t>6401018.xlsx</t>
        </is>
      </c>
      <c r="G1646" t="inlineStr">
        <is>
          <t>1998Q3</t>
        </is>
      </c>
      <c r="H1646" t="inlineStr">
        <is>
          <t>2026Q2</t>
        </is>
      </c>
      <c r="HA1646" s="2">
        <v>0.3</v>
      </c>
      <c r="HB1646" s="2">
        <v>-0.2</v>
      </c>
      <c r="HC1646" s="2">
        <v>-0.9</v>
      </c>
      <c r="HD1646" s="2">
        <v>2</v>
      </c>
      <c r="HE1646" s="2">
        <v>-0.5</v>
      </c>
      <c r="HF1646" s="2">
        <v>-1.3</v>
      </c>
      <c r="HG1646" s="2">
        <v>0.7</v>
      </c>
      <c r="HH1646" s="2">
        <v>-0.9</v>
      </c>
      <c r="HI1646" s="2">
        <v>3.4</v>
      </c>
      <c r="HJ1646" s="2">
        <v>1.5</v>
      </c>
      <c r="HK1646" s="2">
        <v>-0.8</v>
      </c>
      <c r="HL1646" s="2">
        <v>0.6</v>
      </c>
      <c r="HM1646" s="2">
        <v>1.1</v>
      </c>
      <c r="HN1646" s="2">
        <v>-1.5</v>
      </c>
      <c r="HO1646" s="2">
        <v>0.6</v>
      </c>
      <c r="HP1646" s="2">
        <v>1.3</v>
      </c>
      <c r="HQ1646" s="2">
        <v>0.8</v>
      </c>
      <c r="HR1646" s="2">
        <v>-0.4</v>
      </c>
      <c r="HS1646" s="2">
        <v>0.5</v>
      </c>
      <c r="HT1646" s="2">
        <v>1</v>
      </c>
      <c r="HU1646" s="2">
        <v>0.5</v>
      </c>
      <c r="HV1646" s="2">
        <v>-0.8</v>
      </c>
      <c r="HW1646" s="2">
        <v>-1.1</v>
      </c>
      <c r="HX1646" s="2">
        <v>0.9</v>
      </c>
      <c r="HY1646" s="2">
        <v>-0.2</v>
      </c>
      <c r="HZ1646" s="2">
        <v>-1</v>
      </c>
      <c r="IA1646" s="2">
        <v>0.2</v>
      </c>
      <c r="IB1646" s="2">
        <v>0.6</v>
      </c>
      <c r="IC1646" s="2">
        <v>0.6</v>
      </c>
      <c r="ID1646" s="2">
        <v>0.4</v>
      </c>
      <c r="IE1646" s="2">
        <v>-2.5</v>
      </c>
      <c r="IF1646" s="2">
        <v>1.6</v>
      </c>
      <c r="IG1646" s="2">
        <v>0.1</v>
      </c>
      <c r="IH1646" s="2">
        <v>-0.3</v>
      </c>
      <c r="II1646" s="2">
        <v>-2.4</v>
      </c>
      <c r="IJ1646" s="2">
        <v>5.2</v>
      </c>
      <c r="IK1646" s="2">
        <v>0.5</v>
      </c>
      <c r="IL1646" s="2">
        <v>1.4</v>
      </c>
      <c r="IM1646" s="2">
        <v>-3.9</v>
      </c>
      <c r="IN1646" s="2">
        <v>5.4</v>
      </c>
      <c r="IO1646" s="2">
        <v>0.7</v>
      </c>
      <c r="IP1646" s="2">
        <v>1.4</v>
      </c>
      <c r="IQ1646" s="2">
        <v>-0.7</v>
      </c>
      <c r="IR1646" s="2">
        <v>4.9</v>
      </c>
      <c r="IS1646" s="2">
        <v>0.3</v>
      </c>
      <c r="IT1646" s="2">
        <v>0.4</v>
      </c>
      <c r="IU1646" s="2">
        <v>-2.9</v>
      </c>
      <c r="IV1646" s="2">
        <v>1.5</v>
      </c>
      <c r="IW1646" s="2">
        <v>2</v>
      </c>
      <c r="IX1646" s="2">
        <v>-2.5</v>
      </c>
      <c r="IY1646" s="2">
        <v>2</v>
      </c>
      <c r="IZ1646" s="2">
        <v>7</v>
      </c>
      <c r="JA1646" s="2">
        <v>3</v>
      </c>
      <c r="JB1646" s="2">
        <v>-3.1</v>
      </c>
      <c r="JC1646" s="2">
        <v>1.3</v>
      </c>
      <c r="JD1646" s="2">
        <v>1.1</v>
      </c>
      <c r="JE1646" s="2">
        <v>-2.4</v>
      </c>
      <c r="JF1646" s="2">
        <v>5.8</v>
      </c>
      <c r="JG1646" s="2">
        <v>-3.8</v>
      </c>
      <c r="JH1646" s="2">
        <v>1.2</v>
      </c>
      <c r="JI1646" s="2">
        <v>1.8</v>
      </c>
      <c r="JJ1646" s="2">
        <v>-1.6</v>
      </c>
      <c r="JK1646" s="2">
        <v>-1.9</v>
      </c>
      <c r="JL1646" s="2">
        <v>1.3</v>
      </c>
      <c r="JM1646" s="2">
        <v>0.6</v>
      </c>
      <c r="JN1646" s="2">
        <v>-1.5</v>
      </c>
      <c r="JO1646" s="2">
        <v>2.5</v>
      </c>
      <c r="JP1646" s="2">
        <v>1.3</v>
      </c>
      <c r="JQ1646" s="2">
        <v>-2.3</v>
      </c>
      <c r="JR1646" s="2">
        <v>4</v>
      </c>
      <c r="JS1646" s="2">
        <v>-3.5</v>
      </c>
      <c r="JT1646" s="2">
        <v>0.7</v>
      </c>
      <c r="JU1646" s="2">
        <v>4.9</v>
      </c>
      <c r="JV1646" s="2">
        <v>-4.2</v>
      </c>
      <c r="KA1646" s="2">
        <v>2.9</v>
      </c>
      <c r="KB1646" s="2">
        <v>0.4</v>
      </c>
      <c r="KC1646" s="2">
        <v>-0.5</v>
      </c>
      <c r="KD1646" s="2">
        <v>0.3</v>
      </c>
      <c r="KQ1646" s="2">
        <v>1.4</v>
      </c>
      <c r="KR1646" s="2">
        <v>0.4</v>
      </c>
      <c r="KS1646" s="2">
        <v>0.9</v>
      </c>
      <c r="KT1646" s="2">
        <v>-0.4</v>
      </c>
      <c r="LG1646" s="2">
        <v>-0.7</v>
      </c>
      <c r="LH1646" s="2">
        <v>-0.5</v>
      </c>
      <c r="LI1646" s="2">
        <v>1.5</v>
      </c>
      <c r="LJ1646" s="2">
        <v>2.5</v>
      </c>
      <c r="LW1646" s="2">
        <v>-0.1</v>
      </c>
      <c r="LX1646" s="2">
        <v>-0.8</v>
      </c>
      <c r="LY1646" s="2">
        <v>-0.4</v>
      </c>
      <c r="LZ1646" s="2">
        <v>-0.5</v>
      </c>
      <c r="MM1646" s="2">
        <v>6.4</v>
      </c>
      <c r="MN1646" s="2">
        <v>-2.2</v>
      </c>
      <c r="MO1646" s="2">
        <v>1</v>
      </c>
      <c r="MP1646" s="2">
        <v>1.2</v>
      </c>
      <c r="NC1646" s="2">
        <v>1.4</v>
      </c>
      <c r="ND1646" s="2">
        <v>1.3</v>
      </c>
      <c r="NE1646" s="2">
        <v>0.4</v>
      </c>
      <c r="NF1646" s="2">
        <v>2</v>
      </c>
      <c r="NS1646" s="2">
        <v>0</v>
      </c>
      <c r="NT1646" s="2">
        <v>-1.9</v>
      </c>
      <c r="NU1646" s="2">
        <v>3.4</v>
      </c>
      <c r="NV1646" s="2">
        <v>-1.4</v>
      </c>
      <c r="OI1646" s="2">
        <v>-1.9</v>
      </c>
      <c r="OJ1646" s="2">
        <v>3.3</v>
      </c>
      <c r="OK1646" s="2">
        <v>1.3</v>
      </c>
      <c r="OL1646" s="2">
        <v>0.9</v>
      </c>
      <c r="OY1646" s="2">
        <v>1.3</v>
      </c>
      <c r="OZ1646" s="2">
        <v>-1.1</v>
      </c>
      <c r="PA1646" s="2">
        <v>5.6</v>
      </c>
      <c r="PB1646" s="2">
        <v>1.1</v>
      </c>
      <c r="PJ1646" s="2">
        <v>4.1</v>
      </c>
      <c r="PK1646" s="2">
        <v>2.1</v>
      </c>
    </row>
    <row r="1647">
      <c r="A1647" t="inlineStr">
        <is>
          <t>A2329855C</t>
        </is>
      </c>
      <c r="B1647" t="inlineStr">
        <is>
          <t>Percentage Change from Previous Period ;  Accessories ;  Australia ;</t>
        </is>
      </c>
      <c r="C1647" t="inlineStr">
        <is>
          <t>Quarter</t>
        </is>
      </c>
      <c r="D1647" t="inlineStr">
        <is>
          <t>Percent</t>
        </is>
      </c>
      <c r="E1647" t="inlineStr">
        <is>
          <t>Original</t>
        </is>
      </c>
      <c r="F1647" t="inlineStr">
        <is>
          <t>6401018.xlsx</t>
        </is>
      </c>
      <c r="G1647" t="inlineStr">
        <is>
          <t>1998Q3</t>
        </is>
      </c>
      <c r="H1647" t="inlineStr">
        <is>
          <t>2026Q2</t>
        </is>
      </c>
      <c r="HA1647" s="2">
        <v>0.1</v>
      </c>
      <c r="HB1647" s="2">
        <v>-0.8</v>
      </c>
      <c r="HC1647" s="2">
        <v>-1</v>
      </c>
      <c r="HD1647" s="2">
        <v>3</v>
      </c>
      <c r="HE1647" s="2">
        <v>-0.8</v>
      </c>
      <c r="HF1647" s="2">
        <v>-3.1</v>
      </c>
      <c r="HG1647" s="2">
        <v>-0.3</v>
      </c>
      <c r="HH1647" s="2">
        <v>-2.3</v>
      </c>
      <c r="HI1647" s="2">
        <v>-0.1</v>
      </c>
      <c r="HJ1647" s="2">
        <v>2.1</v>
      </c>
      <c r="HK1647" s="2">
        <v>-1.4</v>
      </c>
      <c r="HL1647" s="2">
        <v>0.8</v>
      </c>
      <c r="HM1647" s="2">
        <v>-0.1</v>
      </c>
      <c r="HN1647" s="2">
        <v>-3.1</v>
      </c>
      <c r="HO1647" s="2">
        <v>0.9</v>
      </c>
      <c r="HP1647" s="2">
        <v>1.6</v>
      </c>
      <c r="HQ1647" s="2">
        <v>0.4</v>
      </c>
      <c r="HR1647" s="2">
        <v>-1.3</v>
      </c>
      <c r="HS1647" s="2">
        <v>1.3</v>
      </c>
      <c r="HT1647" s="2">
        <v>1</v>
      </c>
      <c r="HU1647" s="2">
        <v>0.8</v>
      </c>
      <c r="HV1647" s="2">
        <v>-2.1</v>
      </c>
      <c r="HW1647" s="2">
        <v>-1.8</v>
      </c>
      <c r="HX1647" s="2">
        <v>1.4</v>
      </c>
      <c r="HY1647" s="2">
        <v>-1</v>
      </c>
      <c r="HZ1647" s="2">
        <v>-2.4</v>
      </c>
      <c r="IA1647" s="2">
        <v>0.2</v>
      </c>
      <c r="IB1647" s="2">
        <v>-0.4</v>
      </c>
      <c r="IC1647" s="2">
        <v>0.6</v>
      </c>
      <c r="ID1647" s="2">
        <v>0.1</v>
      </c>
      <c r="IE1647" s="2">
        <v>-3.5</v>
      </c>
      <c r="IF1647" s="2">
        <v>1.9</v>
      </c>
      <c r="IG1647" s="2">
        <v>-0.4</v>
      </c>
      <c r="IH1647" s="2">
        <v>-0.4</v>
      </c>
      <c r="II1647" s="2">
        <v>-3.3</v>
      </c>
      <c r="IJ1647" s="2">
        <v>6.5</v>
      </c>
      <c r="IK1647" s="2">
        <v>0.6</v>
      </c>
      <c r="IL1647" s="2">
        <v>1.7</v>
      </c>
      <c r="IM1647" s="2">
        <v>-5.3</v>
      </c>
      <c r="IN1647" s="2">
        <v>6.8</v>
      </c>
      <c r="IO1647" s="2">
        <v>0.6</v>
      </c>
      <c r="IP1647" s="2">
        <v>1.4</v>
      </c>
      <c r="IQ1647" s="2">
        <v>-1.2</v>
      </c>
      <c r="IR1647" s="2">
        <v>6.3</v>
      </c>
      <c r="IS1647" s="2">
        <v>0.2</v>
      </c>
      <c r="IT1647" s="2">
        <v>0.2</v>
      </c>
      <c r="IU1647" s="2">
        <v>-4.1</v>
      </c>
      <c r="IV1647" s="2">
        <v>1.8</v>
      </c>
      <c r="IW1647" s="2">
        <v>2.4</v>
      </c>
      <c r="IX1647" s="2">
        <v>-3.5</v>
      </c>
      <c r="IY1647" s="2">
        <v>2.5</v>
      </c>
      <c r="IZ1647" s="2">
        <v>8.9</v>
      </c>
      <c r="JA1647" s="2">
        <v>3.4</v>
      </c>
      <c r="JB1647" s="2">
        <v>-3.7</v>
      </c>
      <c r="JC1647" s="2">
        <v>1.5</v>
      </c>
      <c r="JD1647" s="2">
        <v>1.2</v>
      </c>
      <c r="JE1647" s="2">
        <v>-3</v>
      </c>
      <c r="JF1647" s="2">
        <v>6.7</v>
      </c>
      <c r="JG1647" s="2">
        <v>-4.5</v>
      </c>
      <c r="JH1647" s="2">
        <v>1.2</v>
      </c>
      <c r="JI1647" s="2">
        <v>1.9</v>
      </c>
      <c r="JJ1647" s="2">
        <v>-1.8</v>
      </c>
      <c r="JK1647" s="2">
        <v>-2.2</v>
      </c>
      <c r="JL1647" s="2">
        <v>1.4</v>
      </c>
      <c r="JM1647" s="2">
        <v>0.5</v>
      </c>
      <c r="JN1647" s="2">
        <v>-1.8</v>
      </c>
      <c r="JO1647" s="2">
        <v>2.7</v>
      </c>
      <c r="JP1647" s="2">
        <v>1.3</v>
      </c>
      <c r="JQ1647" s="2">
        <v>-2.8</v>
      </c>
      <c r="JR1647" s="2">
        <v>4.5</v>
      </c>
      <c r="JS1647" s="2">
        <v>-4.3</v>
      </c>
      <c r="JT1647" s="2">
        <v>0.8</v>
      </c>
      <c r="JU1647" s="2">
        <v>5.6</v>
      </c>
      <c r="JV1647" s="2">
        <v>-5</v>
      </c>
      <c r="KA1647" s="2">
        <v>3.3</v>
      </c>
      <c r="KB1647" s="2">
        <v>0.4</v>
      </c>
      <c r="KC1647" s="2">
        <v>-0.7</v>
      </c>
      <c r="KD1647" s="2">
        <v>0.2</v>
      </c>
      <c r="KQ1647" s="2">
        <v>1.5</v>
      </c>
      <c r="KR1647" s="2">
        <v>0.2</v>
      </c>
      <c r="KS1647" s="2">
        <v>1</v>
      </c>
      <c r="KT1647" s="2">
        <v>-0.4</v>
      </c>
      <c r="LG1647" s="2">
        <v>-1</v>
      </c>
      <c r="LH1647" s="2">
        <v>-0.6</v>
      </c>
      <c r="LI1647" s="2">
        <v>1.7</v>
      </c>
      <c r="LJ1647" s="2">
        <v>2.8</v>
      </c>
      <c r="LW1647" s="2">
        <v>-0.2</v>
      </c>
      <c r="LX1647" s="2">
        <v>-1</v>
      </c>
      <c r="LY1647" s="2">
        <v>-0.6</v>
      </c>
      <c r="LZ1647" s="2">
        <v>-0.7</v>
      </c>
      <c r="MM1647" s="2">
        <v>7.3</v>
      </c>
      <c r="MN1647" s="2">
        <v>-2.6</v>
      </c>
      <c r="MO1647" s="2">
        <v>1</v>
      </c>
      <c r="MP1647" s="2">
        <v>1.3</v>
      </c>
      <c r="NC1647" s="2">
        <v>1.3</v>
      </c>
      <c r="ND1647" s="2">
        <v>1.1</v>
      </c>
      <c r="NE1647" s="2">
        <v>0.2</v>
      </c>
      <c r="NF1647" s="2">
        <v>2.1</v>
      </c>
      <c r="NS1647" s="2">
        <v>-0.1</v>
      </c>
      <c r="NT1647" s="2">
        <v>-2.2</v>
      </c>
      <c r="NU1647" s="2">
        <v>3.6</v>
      </c>
      <c r="NV1647" s="2">
        <v>-1.7</v>
      </c>
      <c r="OI1647" s="2">
        <v>-2.2</v>
      </c>
      <c r="OJ1647" s="2">
        <v>3.6</v>
      </c>
      <c r="OK1647" s="2">
        <v>1.4</v>
      </c>
      <c r="OL1647" s="2">
        <v>0.9</v>
      </c>
      <c r="OY1647" s="2">
        <v>1.4</v>
      </c>
      <c r="OZ1647" s="2">
        <v>-1.4</v>
      </c>
      <c r="PA1647" s="2">
        <v>6</v>
      </c>
      <c r="PB1647" s="2">
        <v>1.1</v>
      </c>
      <c r="PJ1647" s="2">
        <v>4.4</v>
      </c>
      <c r="PK1647" s="2">
        <v>2.2</v>
      </c>
    </row>
    <row r="1648">
      <c r="A1648" t="inlineStr">
        <is>
          <t>A2328055L</t>
        </is>
      </c>
      <c r="B1648" t="inlineStr">
        <is>
          <t>Percentage Change from Previous Period ;  Cleaning, repair and hire of clothing and footwear ;  Australia ;</t>
        </is>
      </c>
      <c r="C1648" t="inlineStr">
        <is>
          <t>Quarter</t>
        </is>
      </c>
      <c r="D1648" t="inlineStr">
        <is>
          <t>Percent</t>
        </is>
      </c>
      <c r="E1648" t="inlineStr">
        <is>
          <t>Original</t>
        </is>
      </c>
      <c r="F1648" t="inlineStr">
        <is>
          <t>6401018.xlsx</t>
        </is>
      </c>
      <c r="G1648" t="inlineStr">
        <is>
          <t>1972Q4</t>
        </is>
      </c>
      <c r="H1648" t="inlineStr">
        <is>
          <t>2026Q2</t>
        </is>
      </c>
      <c r="DB1648" s="2">
        <v>2.1</v>
      </c>
      <c r="DC1648" s="2">
        <v>1.4</v>
      </c>
      <c r="DD1648" s="2">
        <v>4</v>
      </c>
      <c r="DE1648" s="2">
        <v>7.7</v>
      </c>
      <c r="DF1648" s="2">
        <v>1.8</v>
      </c>
      <c r="DG1648" s="2">
        <v>4.5</v>
      </c>
      <c r="DH1648" s="2">
        <v>9.6</v>
      </c>
      <c r="DI1648" s="2">
        <v>8</v>
      </c>
      <c r="DJ1648" s="2">
        <v>7.9</v>
      </c>
      <c r="DK1648" s="2">
        <v>3.1</v>
      </c>
      <c r="DL1648" s="2">
        <v>8.4</v>
      </c>
      <c r="DM1648" s="2">
        <v>8.9</v>
      </c>
      <c r="DN1648" s="2">
        <v>6.2</v>
      </c>
      <c r="DO1648" s="2">
        <v>0</v>
      </c>
      <c r="DP1648" s="2">
        <v>3</v>
      </c>
      <c r="DQ1648" s="2">
        <v>2</v>
      </c>
      <c r="DR1648" s="2">
        <v>2.9</v>
      </c>
      <c r="DS1648" s="2">
        <v>1.6</v>
      </c>
      <c r="DT1648" s="2">
        <v>3.6</v>
      </c>
      <c r="DU1648" s="2">
        <v>2.1</v>
      </c>
      <c r="DV1648" s="2">
        <v>3.7</v>
      </c>
      <c r="DW1648" s="2">
        <v>0.8</v>
      </c>
      <c r="DX1648" s="2">
        <v>1.7</v>
      </c>
      <c r="DY1648" s="2">
        <v>2.2</v>
      </c>
      <c r="DZ1648" s="2">
        <v>1.9</v>
      </c>
      <c r="EA1648" s="2">
        <v>2.3</v>
      </c>
      <c r="EB1648" s="2">
        <v>2.3</v>
      </c>
      <c r="EC1648" s="2">
        <v>3.7</v>
      </c>
      <c r="ED1648" s="2">
        <v>2</v>
      </c>
      <c r="EE1648" s="2">
        <v>1.4</v>
      </c>
      <c r="EF1648" s="2">
        <v>4.6</v>
      </c>
      <c r="EG1648" s="2">
        <v>1.1</v>
      </c>
      <c r="EH1648" s="2">
        <v>2</v>
      </c>
      <c r="EI1648" s="2">
        <v>4.1</v>
      </c>
      <c r="EJ1648" s="2">
        <v>3.5</v>
      </c>
      <c r="EK1648" s="2">
        <v>4</v>
      </c>
      <c r="EL1648" s="2">
        <v>1</v>
      </c>
      <c r="EM1648" s="2">
        <v>3.3</v>
      </c>
      <c r="EN1648" s="2">
        <v>4.6</v>
      </c>
      <c r="EO1648" s="2">
        <v>3.3</v>
      </c>
      <c r="EP1648" s="2">
        <v>2</v>
      </c>
      <c r="EQ1648" s="2">
        <v>0.8</v>
      </c>
      <c r="ER1648" s="2">
        <v>2.2</v>
      </c>
      <c r="ES1648" s="2">
        <v>0.8</v>
      </c>
      <c r="ET1648" s="2">
        <v>1.9</v>
      </c>
      <c r="EU1648" s="2">
        <v>0.8</v>
      </c>
      <c r="EV1648" s="2">
        <v>2.2</v>
      </c>
      <c r="EW1648" s="2">
        <v>4</v>
      </c>
      <c r="EX1648" s="2">
        <v>0.4</v>
      </c>
      <c r="EY1648" s="2">
        <v>-2.5</v>
      </c>
      <c r="EZ1648" s="2">
        <v>1.1</v>
      </c>
      <c r="FA1648" s="2">
        <v>2.7</v>
      </c>
      <c r="FB1648" s="2">
        <v>0</v>
      </c>
      <c r="FC1648" s="2">
        <v>2.7</v>
      </c>
      <c r="FD1648" s="2">
        <v>3.4</v>
      </c>
      <c r="FE1648" s="2">
        <v>1</v>
      </c>
      <c r="FF1648" s="2">
        <v>0.8</v>
      </c>
      <c r="FG1648" s="2">
        <v>1.9</v>
      </c>
      <c r="FH1648" s="2">
        <v>2.7</v>
      </c>
      <c r="FI1648" s="2">
        <v>1.6</v>
      </c>
      <c r="FJ1648" s="2">
        <v>1.8</v>
      </c>
      <c r="FK1648" s="2">
        <v>2.2</v>
      </c>
      <c r="FL1648" s="2">
        <v>2.7</v>
      </c>
      <c r="FM1648" s="2">
        <v>3</v>
      </c>
      <c r="FN1648" s="2">
        <v>3.1</v>
      </c>
      <c r="FO1648" s="2">
        <v>2.7</v>
      </c>
      <c r="FP1648" s="2">
        <v>2.5</v>
      </c>
      <c r="FQ1648" s="2">
        <v>1.5</v>
      </c>
      <c r="FR1648" s="2">
        <v>2.9</v>
      </c>
      <c r="FS1648" s="2">
        <v>2.4</v>
      </c>
      <c r="FT1648" s="2">
        <v>3.6</v>
      </c>
      <c r="FU1648" s="2">
        <v>1.5</v>
      </c>
      <c r="FV1648" s="2">
        <v>1.8</v>
      </c>
      <c r="FW1648" s="2">
        <v>0.5</v>
      </c>
      <c r="FX1648" s="2">
        <v>3.3</v>
      </c>
      <c r="FY1648" s="2">
        <v>0.1</v>
      </c>
      <c r="FZ1648" s="2">
        <v>0.1</v>
      </c>
      <c r="GA1648" s="2">
        <v>1.3</v>
      </c>
      <c r="GB1648" s="2">
        <v>-1.1</v>
      </c>
      <c r="GC1648" s="2">
        <v>1.4</v>
      </c>
      <c r="GD1648" s="2">
        <v>1.7</v>
      </c>
      <c r="GE1648" s="2">
        <v>0.6</v>
      </c>
      <c r="GF1648" s="2">
        <v>0.6</v>
      </c>
      <c r="GG1648" s="2">
        <v>0.7</v>
      </c>
      <c r="GH1648" s="2">
        <v>0.3</v>
      </c>
      <c r="GI1648" s="2">
        <v>0.3</v>
      </c>
      <c r="GJ1648" s="2">
        <v>0.3</v>
      </c>
      <c r="GK1648" s="2">
        <v>0.8</v>
      </c>
      <c r="GL1648" s="2">
        <v>0</v>
      </c>
      <c r="GM1648" s="2">
        <v>0.1</v>
      </c>
      <c r="GN1648" s="2">
        <v>1.5</v>
      </c>
      <c r="GO1648" s="2">
        <v>1</v>
      </c>
      <c r="GP1648" s="2">
        <v>2.3</v>
      </c>
      <c r="GQ1648" s="2">
        <v>0.3</v>
      </c>
      <c r="GR1648" s="2">
        <v>1</v>
      </c>
      <c r="GS1648" s="2">
        <v>0.6</v>
      </c>
      <c r="GT1648" s="2">
        <v>0.5</v>
      </c>
      <c r="GU1648" s="2">
        <v>0.5</v>
      </c>
      <c r="GV1648" s="2">
        <v>0.7</v>
      </c>
      <c r="GW1648" s="2">
        <v>1.1</v>
      </c>
      <c r="GX1648" s="2">
        <v>0</v>
      </c>
      <c r="GY1648" s="2">
        <v>0.8</v>
      </c>
      <c r="GZ1648" s="2">
        <v>0.2</v>
      </c>
      <c r="HA1648" s="2">
        <v>0.8</v>
      </c>
      <c r="HB1648" s="2">
        <v>0.7</v>
      </c>
      <c r="HC1648" s="2">
        <v>0.1</v>
      </c>
      <c r="HD1648" s="2">
        <v>0.1</v>
      </c>
      <c r="HE1648" s="2">
        <v>0.1</v>
      </c>
      <c r="HF1648" s="2">
        <v>1.2</v>
      </c>
      <c r="HG1648" s="2">
        <v>1.7</v>
      </c>
      <c r="HH1648" s="2">
        <v>0.6</v>
      </c>
      <c r="HI1648" s="2">
        <v>8</v>
      </c>
      <c r="HJ1648" s="2">
        <v>2</v>
      </c>
      <c r="HK1648" s="2">
        <v>0</v>
      </c>
      <c r="HL1648" s="2">
        <v>-0.4</v>
      </c>
      <c r="HM1648" s="2">
        <v>1.9</v>
      </c>
      <c r="HN1648" s="2">
        <v>0</v>
      </c>
      <c r="HO1648" s="2">
        <v>0.5</v>
      </c>
      <c r="HP1648" s="2">
        <v>1.1</v>
      </c>
      <c r="HQ1648" s="2">
        <v>1.8</v>
      </c>
      <c r="HR1648" s="2">
        <v>0.5</v>
      </c>
      <c r="HS1648" s="2">
        <v>0.6</v>
      </c>
      <c r="HT1648" s="2">
        <v>1.1</v>
      </c>
      <c r="HU1648" s="2">
        <v>0.4</v>
      </c>
      <c r="HV1648" s="2">
        <v>0.6</v>
      </c>
      <c r="HW1648" s="2">
        <v>0.3</v>
      </c>
      <c r="HX1648" s="2">
        <v>0.2</v>
      </c>
      <c r="HY1648" s="2">
        <v>0.6</v>
      </c>
      <c r="HZ1648" s="2">
        <v>0.7</v>
      </c>
      <c r="IA1648" s="2">
        <v>0.6</v>
      </c>
      <c r="IB1648" s="2">
        <v>1.2</v>
      </c>
      <c r="IC1648" s="2">
        <v>0.7</v>
      </c>
      <c r="ID1648" s="2">
        <v>1.6</v>
      </c>
      <c r="IE1648" s="2">
        <v>0.8</v>
      </c>
      <c r="IF1648" s="2">
        <v>0.4</v>
      </c>
      <c r="IG1648" s="2">
        <v>1.6</v>
      </c>
      <c r="IH1648" s="2">
        <v>0.1</v>
      </c>
      <c r="II1648" s="2">
        <v>0.9</v>
      </c>
      <c r="IJ1648" s="2">
        <v>1.1</v>
      </c>
      <c r="IK1648" s="2">
        <v>0.4</v>
      </c>
      <c r="IL1648" s="2">
        <v>0.2</v>
      </c>
      <c r="IM1648" s="2">
        <v>0.8</v>
      </c>
      <c r="IN1648" s="2">
        <v>1.2</v>
      </c>
      <c r="IO1648" s="2">
        <v>1</v>
      </c>
      <c r="IP1648" s="2">
        <v>1.4</v>
      </c>
      <c r="IQ1648" s="2">
        <v>1</v>
      </c>
      <c r="IR1648" s="2">
        <v>0.4</v>
      </c>
      <c r="IS1648" s="2">
        <v>0.4</v>
      </c>
      <c r="IT1648" s="2">
        <v>1</v>
      </c>
      <c r="IU1648" s="2">
        <v>1.1</v>
      </c>
      <c r="IV1648" s="2">
        <v>0.6</v>
      </c>
      <c r="IW1648" s="2">
        <v>0.6</v>
      </c>
      <c r="IX1648" s="2">
        <v>0.9</v>
      </c>
      <c r="IY1648" s="2">
        <v>0.4</v>
      </c>
      <c r="IZ1648" s="2">
        <v>0.8</v>
      </c>
      <c r="JA1648" s="2">
        <v>0.6</v>
      </c>
      <c r="JB1648" s="2">
        <v>0.5</v>
      </c>
      <c r="JC1648" s="2">
        <v>0.2</v>
      </c>
      <c r="JD1648" s="2">
        <v>0.6</v>
      </c>
      <c r="JE1648" s="2">
        <v>1.2</v>
      </c>
      <c r="JF1648" s="2">
        <v>0.9</v>
      </c>
      <c r="JG1648" s="2">
        <v>0.3</v>
      </c>
      <c r="JH1648" s="2">
        <v>0.6</v>
      </c>
      <c r="JI1648" s="2">
        <v>0.8</v>
      </c>
      <c r="JJ1648" s="2">
        <v>0.3</v>
      </c>
      <c r="JK1648" s="2">
        <v>0.2</v>
      </c>
      <c r="JL1648" s="2">
        <v>0.2</v>
      </c>
      <c r="JM1648" s="2">
        <v>1.5</v>
      </c>
      <c r="JN1648" s="2">
        <v>0.6</v>
      </c>
      <c r="JO1648" s="2">
        <v>0.9</v>
      </c>
      <c r="JP1648" s="2">
        <v>0.8</v>
      </c>
      <c r="JQ1648" s="2">
        <v>0.4</v>
      </c>
      <c r="JR1648" s="2">
        <v>0.9</v>
      </c>
      <c r="JS1648" s="2">
        <v>1.1</v>
      </c>
      <c r="JT1648" s="2">
        <v>0.2</v>
      </c>
      <c r="JU1648" s="2">
        <v>0.6</v>
      </c>
      <c r="JV1648" s="2">
        <v>0.6</v>
      </c>
      <c r="KA1648" s="2">
        <v>1.1</v>
      </c>
      <c r="KB1648" s="2">
        <v>0.7</v>
      </c>
      <c r="KC1648" s="2">
        <v>0.3</v>
      </c>
      <c r="KD1648" s="2">
        <v>0.6</v>
      </c>
      <c r="KQ1648" s="2">
        <v>0.7</v>
      </c>
      <c r="KR1648" s="2">
        <v>1.4</v>
      </c>
      <c r="KS1648" s="2">
        <v>0.2</v>
      </c>
      <c r="KT1648" s="2">
        <v>0.1</v>
      </c>
      <c r="LG1648" s="2">
        <v>0.7</v>
      </c>
      <c r="LH1648" s="2">
        <v>0.3</v>
      </c>
      <c r="LI1648" s="2">
        <v>0.4</v>
      </c>
      <c r="LJ1648" s="2">
        <v>0.4</v>
      </c>
      <c r="LW1648" s="2">
        <v>0.3</v>
      </c>
      <c r="LX1648" s="2">
        <v>0.2</v>
      </c>
      <c r="LY1648" s="2">
        <v>0.6</v>
      </c>
      <c r="LZ1648" s="2">
        <v>0.9</v>
      </c>
      <c r="MM1648" s="2">
        <v>1.3</v>
      </c>
      <c r="MN1648" s="2">
        <v>0.4</v>
      </c>
      <c r="MO1648" s="2">
        <v>1.1</v>
      </c>
      <c r="MP1648" s="2">
        <v>0.4</v>
      </c>
      <c r="NC1648" s="2">
        <v>1.8</v>
      </c>
      <c r="ND1648" s="2">
        <v>2.8</v>
      </c>
      <c r="NE1648" s="2">
        <v>1.7</v>
      </c>
      <c r="NF1648" s="2">
        <v>1.4</v>
      </c>
      <c r="NS1648" s="2">
        <v>1.3</v>
      </c>
      <c r="NT1648" s="2">
        <v>1.5</v>
      </c>
      <c r="NU1648" s="2">
        <v>1.8</v>
      </c>
      <c r="NV1648" s="2">
        <v>2.2</v>
      </c>
      <c r="OI1648" s="2">
        <v>0.9</v>
      </c>
      <c r="OJ1648" s="2">
        <v>0.6</v>
      </c>
      <c r="OK1648" s="2">
        <v>0.6</v>
      </c>
      <c r="OL1648" s="2">
        <v>0.6</v>
      </c>
      <c r="OY1648" s="2">
        <v>0.5</v>
      </c>
      <c r="OZ1648" s="2">
        <v>1.3</v>
      </c>
      <c r="PA1648" s="2">
        <v>1.8</v>
      </c>
      <c r="PB1648" s="2">
        <v>0.8</v>
      </c>
      <c r="PJ1648" s="2">
        <v>0.4</v>
      </c>
      <c r="PK1648" s="2">
        <v>1.1</v>
      </c>
    </row>
    <row r="1649">
      <c r="A1649" t="inlineStr">
        <is>
          <t>A2325985C</t>
        </is>
      </c>
      <c r="B1649" t="inlineStr">
        <is>
          <t>Percentage Change from Previous Period ;  Housing ;  Australia ;</t>
        </is>
      </c>
      <c r="C1649" t="inlineStr">
        <is>
          <t>Quarter</t>
        </is>
      </c>
      <c r="D1649" t="inlineStr">
        <is>
          <t>Percent</t>
        </is>
      </c>
      <c r="E1649" t="inlineStr">
        <is>
          <t>Original</t>
        </is>
      </c>
      <c r="F1649" t="inlineStr">
        <is>
          <t>6401018.xlsx</t>
        </is>
      </c>
      <c r="G1649" t="inlineStr">
        <is>
          <t>1972Q4</t>
        </is>
      </c>
      <c r="H1649" t="inlineStr">
        <is>
          <t>2026Q2</t>
        </is>
      </c>
      <c r="DB1649" s="2">
        <v>1.7</v>
      </c>
      <c r="DC1649" s="2">
        <v>1.1</v>
      </c>
      <c r="DD1649" s="2">
        <v>2.8</v>
      </c>
      <c r="DE1649" s="2">
        <v>2</v>
      </c>
      <c r="DF1649" s="2">
        <v>3.7</v>
      </c>
      <c r="DG1649" s="2">
        <v>2.6</v>
      </c>
      <c r="DH1649" s="2">
        <v>5</v>
      </c>
      <c r="DI1649" s="2">
        <v>4.7</v>
      </c>
      <c r="DJ1649" s="2">
        <v>5.4</v>
      </c>
      <c r="DK1649" s="2">
        <v>3</v>
      </c>
      <c r="DL1649" s="2">
        <v>5.4</v>
      </c>
      <c r="DM1649" s="2">
        <v>3.5</v>
      </c>
      <c r="DN1649" s="2">
        <v>5.3</v>
      </c>
      <c r="DO1649" s="2">
        <v>2.9</v>
      </c>
      <c r="DP1649" s="2">
        <v>4.2</v>
      </c>
      <c r="DQ1649" s="2">
        <v>3</v>
      </c>
      <c r="DR1649" s="2">
        <v>3.3</v>
      </c>
      <c r="DS1649" s="2">
        <v>2.2</v>
      </c>
      <c r="DT1649" s="2">
        <v>2.8</v>
      </c>
      <c r="DU1649" s="2">
        <v>1.9</v>
      </c>
      <c r="DV1649" s="2">
        <v>2.6</v>
      </c>
      <c r="DW1649" s="2">
        <v>1.2</v>
      </c>
      <c r="DX1649" s="2">
        <v>1.7</v>
      </c>
      <c r="DY1649" s="2">
        <v>1.4</v>
      </c>
      <c r="DZ1649" s="2">
        <v>1.9</v>
      </c>
      <c r="EA1649" s="2">
        <v>1.1</v>
      </c>
      <c r="EB1649" s="2">
        <v>1.9</v>
      </c>
      <c r="EC1649" s="2">
        <v>1.6</v>
      </c>
      <c r="ED1649" s="2">
        <v>2.3</v>
      </c>
      <c r="EE1649" s="2">
        <v>1.8</v>
      </c>
      <c r="EF1649" s="2">
        <v>2.2</v>
      </c>
      <c r="EG1649" s="2">
        <v>2.7</v>
      </c>
      <c r="EH1649" s="2">
        <v>2.6</v>
      </c>
      <c r="EI1649" s="2">
        <v>2.3</v>
      </c>
      <c r="EJ1649" s="2">
        <v>2.7</v>
      </c>
      <c r="EK1649" s="2">
        <v>2.4</v>
      </c>
      <c r="EL1649" s="2">
        <v>3.2</v>
      </c>
      <c r="EM1649" s="2">
        <v>2.3</v>
      </c>
      <c r="EN1649" s="2">
        <v>3.2</v>
      </c>
      <c r="EO1649" s="2">
        <v>2.6</v>
      </c>
      <c r="EP1649" s="2">
        <v>2.9</v>
      </c>
      <c r="EQ1649" s="2">
        <v>1.5</v>
      </c>
      <c r="ER1649" s="2">
        <v>1.5</v>
      </c>
      <c r="ES1649" s="2">
        <v>1.1</v>
      </c>
      <c r="ET1649" s="2">
        <v>2.5</v>
      </c>
      <c r="EU1649" s="2">
        <v>1.6</v>
      </c>
      <c r="EV1649" s="2">
        <v>2.2</v>
      </c>
      <c r="EW1649" s="2">
        <v>1.7</v>
      </c>
      <c r="EX1649" s="2">
        <v>1.7</v>
      </c>
      <c r="EY1649" s="2">
        <v>1.5</v>
      </c>
      <c r="EZ1649" s="2">
        <v>2.3</v>
      </c>
      <c r="FA1649" s="2">
        <v>2.3</v>
      </c>
      <c r="FB1649" s="2">
        <v>2.3</v>
      </c>
      <c r="FC1649" s="2">
        <v>1.8</v>
      </c>
      <c r="FD1649" s="2">
        <v>1.8</v>
      </c>
      <c r="FE1649" s="2">
        <v>1.8</v>
      </c>
      <c r="FF1649" s="2">
        <v>1.7</v>
      </c>
      <c r="FG1649" s="2">
        <v>1.8</v>
      </c>
      <c r="FH1649" s="2">
        <v>1.9</v>
      </c>
      <c r="FI1649" s="2">
        <v>1.7</v>
      </c>
      <c r="FJ1649" s="2">
        <v>1.2</v>
      </c>
      <c r="FK1649" s="2">
        <v>1.6</v>
      </c>
      <c r="FL1649" s="2">
        <v>2.1</v>
      </c>
      <c r="FM1649" s="2">
        <v>4</v>
      </c>
      <c r="FN1649" s="2">
        <v>6.2</v>
      </c>
      <c r="FO1649" s="2">
        <v>-1.1</v>
      </c>
      <c r="FP1649" s="2">
        <v>5.3</v>
      </c>
      <c r="FQ1649" s="2">
        <v>5.4</v>
      </c>
      <c r="FR1649" s="2">
        <v>3.4</v>
      </c>
      <c r="FS1649" s="2">
        <v>2</v>
      </c>
      <c r="FT1649" s="2">
        <v>1.6</v>
      </c>
      <c r="FU1649" s="2">
        <v>0.6</v>
      </c>
      <c r="FV1649" s="2">
        <v>0.9</v>
      </c>
      <c r="FW1649" s="2">
        <v>-1.4</v>
      </c>
      <c r="FX1649" s="2">
        <v>0</v>
      </c>
      <c r="FY1649" s="2">
        <v>-2</v>
      </c>
      <c r="FZ1649" s="2">
        <v>-0.5</v>
      </c>
      <c r="GA1649" s="2">
        <v>-2.3</v>
      </c>
      <c r="GB1649" s="2">
        <v>-2</v>
      </c>
      <c r="GC1649" s="2">
        <v>-1.7</v>
      </c>
      <c r="GD1649" s="2">
        <v>-0.6</v>
      </c>
      <c r="GE1649" s="2">
        <v>0.4</v>
      </c>
      <c r="GF1649" s="2">
        <v>0.8</v>
      </c>
      <c r="GG1649" s="2">
        <v>-0.3</v>
      </c>
      <c r="GH1649" s="2">
        <v>-1.4</v>
      </c>
      <c r="GI1649" s="2">
        <v>0.1</v>
      </c>
      <c r="GJ1649" s="2">
        <v>0.8</v>
      </c>
      <c r="GK1649" s="2">
        <v>0.5</v>
      </c>
      <c r="GL1649" s="2">
        <v>2.7</v>
      </c>
      <c r="GM1649" s="2">
        <v>5.4</v>
      </c>
      <c r="GN1649" s="2">
        <v>1.9</v>
      </c>
      <c r="GO1649" s="2">
        <v>0.6</v>
      </c>
      <c r="GP1649" s="2">
        <v>0.7</v>
      </c>
      <c r="GQ1649" s="2">
        <v>-0.4</v>
      </c>
      <c r="GR1649" s="2">
        <v>0.6</v>
      </c>
      <c r="GS1649" s="2">
        <v>-0.2</v>
      </c>
      <c r="GT1649" s="2">
        <v>-2.7</v>
      </c>
      <c r="GU1649" s="2">
        <v>-2.9</v>
      </c>
      <c r="GV1649" s="2">
        <v>-3.3</v>
      </c>
      <c r="GW1649" s="2">
        <v>-1</v>
      </c>
      <c r="GX1649" s="2">
        <v>-1.8</v>
      </c>
      <c r="GY1649" s="2">
        <v>-0.8</v>
      </c>
      <c r="GZ1649" s="2">
        <v>1.2</v>
      </c>
      <c r="HA1649" s="2">
        <v>0.4</v>
      </c>
      <c r="HB1649" s="2">
        <v>0.7</v>
      </c>
      <c r="HC1649" s="2">
        <v>0.7</v>
      </c>
      <c r="HD1649" s="2">
        <v>0.4</v>
      </c>
      <c r="HE1649" s="2">
        <v>1.5</v>
      </c>
      <c r="HF1649" s="2">
        <v>1.6</v>
      </c>
      <c r="HG1649" s="2">
        <v>1.1</v>
      </c>
      <c r="HH1649" s="2">
        <v>0.5</v>
      </c>
      <c r="HI1649" s="2">
        <v>6.1</v>
      </c>
      <c r="HJ1649" s="2">
        <v>0.3</v>
      </c>
      <c r="HK1649" s="2">
        <v>0.4</v>
      </c>
      <c r="HL1649" s="2">
        <v>0.2</v>
      </c>
      <c r="HM1649" s="2">
        <v>1.5</v>
      </c>
      <c r="HN1649" s="2">
        <v>0.6</v>
      </c>
      <c r="HO1649" s="2">
        <v>0.7</v>
      </c>
      <c r="HP1649" s="2">
        <v>0.6</v>
      </c>
      <c r="HQ1649" s="2">
        <v>1.4</v>
      </c>
      <c r="HR1649" s="2">
        <v>0.4</v>
      </c>
      <c r="HS1649" s="2">
        <v>1.4</v>
      </c>
      <c r="HT1649" s="2">
        <v>1</v>
      </c>
      <c r="HU1649" s="2">
        <v>1.7</v>
      </c>
      <c r="HV1649" s="2">
        <v>0.6</v>
      </c>
      <c r="HW1649" s="2">
        <v>0.9</v>
      </c>
      <c r="HX1649" s="2">
        <v>0.7</v>
      </c>
      <c r="HY1649" s="2">
        <v>1.4</v>
      </c>
      <c r="HZ1649" s="2">
        <v>0.9</v>
      </c>
      <c r="IA1649" s="2">
        <v>1</v>
      </c>
      <c r="IB1649" s="2">
        <v>0.6</v>
      </c>
      <c r="IC1649" s="2">
        <v>1.4</v>
      </c>
      <c r="ID1649" s="2">
        <v>0.7</v>
      </c>
      <c r="IE1649" s="2">
        <v>0.6</v>
      </c>
      <c r="IF1649" s="2">
        <v>0.7</v>
      </c>
      <c r="IG1649" s="2">
        <v>1.2</v>
      </c>
      <c r="IH1649" s="2">
        <v>0.5</v>
      </c>
      <c r="II1649" s="2">
        <v>1</v>
      </c>
      <c r="IJ1649" s="2">
        <v>0.8</v>
      </c>
      <c r="IK1649" s="2">
        <v>1.8</v>
      </c>
      <c r="IL1649" s="2">
        <v>1.1</v>
      </c>
      <c r="IM1649" s="2">
        <v>1.9</v>
      </c>
      <c r="IN1649" s="2">
        <v>1</v>
      </c>
      <c r="IO1649" s="2">
        <v>2.6</v>
      </c>
      <c r="IP1649" s="2">
        <v>0.8</v>
      </c>
      <c r="IQ1649" s="2">
        <v>0.9</v>
      </c>
      <c r="IR1649" s="2">
        <v>0.8</v>
      </c>
      <c r="IS1649" s="2">
        <v>2.9</v>
      </c>
      <c r="IT1649" s="2">
        <v>0.8</v>
      </c>
      <c r="IU1649" s="2">
        <v>1.5</v>
      </c>
      <c r="IV1649" s="2">
        <v>0.6</v>
      </c>
      <c r="IW1649" s="2">
        <v>2.2</v>
      </c>
      <c r="IX1649" s="2">
        <v>0.6</v>
      </c>
      <c r="IY1649" s="2">
        <v>1.3</v>
      </c>
      <c r="IZ1649" s="2">
        <v>0.4</v>
      </c>
      <c r="JA1649" s="2">
        <v>1.8</v>
      </c>
      <c r="JB1649" s="2">
        <v>0.5</v>
      </c>
      <c r="JC1649" s="2">
        <v>0.6</v>
      </c>
      <c r="JD1649" s="2">
        <v>0.4</v>
      </c>
      <c r="JE1649" s="2">
        <v>3.1</v>
      </c>
      <c r="JF1649" s="2">
        <v>0.3</v>
      </c>
      <c r="JG1649" s="2">
        <v>1.2</v>
      </c>
      <c r="JH1649" s="2">
        <v>0.6</v>
      </c>
      <c r="JI1649" s="2">
        <v>2</v>
      </c>
      <c r="JJ1649" s="2">
        <v>0.5</v>
      </c>
      <c r="JK1649" s="2">
        <v>0.6</v>
      </c>
      <c r="JL1649" s="2">
        <v>0.7</v>
      </c>
      <c r="JM1649" s="2">
        <v>0.5</v>
      </c>
      <c r="JN1649" s="2">
        <v>0.5</v>
      </c>
      <c r="JO1649" s="2">
        <v>0.8</v>
      </c>
      <c r="JP1649" s="2">
        <v>0.7</v>
      </c>
      <c r="JQ1649" s="2">
        <v>0.7</v>
      </c>
      <c r="JR1649" s="2">
        <v>0.1</v>
      </c>
      <c r="JS1649" s="2">
        <v>0.2</v>
      </c>
      <c r="JT1649" s="2">
        <v>0.4</v>
      </c>
      <c r="JU1649" s="2">
        <v>1</v>
      </c>
      <c r="JV1649" s="2">
        <v>0.3</v>
      </c>
      <c r="KA1649" s="2">
        <v>0.8</v>
      </c>
      <c r="KB1649" s="2">
        <v>0.4</v>
      </c>
      <c r="KC1649" s="2">
        <v>1.8</v>
      </c>
      <c r="KD1649" s="2">
        <v>0.4</v>
      </c>
      <c r="KQ1649" s="2">
        <v>0.7</v>
      </c>
      <c r="KR1649" s="2">
        <v>0.1</v>
      </c>
      <c r="KS1649" s="2">
        <v>0.4</v>
      </c>
      <c r="KT1649" s="2">
        <v>0.3</v>
      </c>
      <c r="LG1649" s="2">
        <v>0</v>
      </c>
      <c r="LH1649" s="2">
        <v>-0.2</v>
      </c>
      <c r="LI1649" s="2">
        <v>0.3</v>
      </c>
      <c r="LJ1649" s="2">
        <v>0.1</v>
      </c>
      <c r="LW1649" s="2">
        <v>0.4</v>
      </c>
      <c r="LX1649" s="2">
        <v>-0.7</v>
      </c>
      <c r="LY1649" s="2">
        <v>0</v>
      </c>
      <c r="LZ1649" s="2">
        <v>-0.6</v>
      </c>
      <c r="MM1649" s="2">
        <v>0.1</v>
      </c>
      <c r="MN1649" s="2">
        <v>0.4</v>
      </c>
      <c r="MO1649" s="2">
        <v>1.7</v>
      </c>
      <c r="MP1649" s="2">
        <v>1.9</v>
      </c>
      <c r="NC1649" s="2">
        <v>2.6</v>
      </c>
      <c r="ND1649" s="2">
        <v>2.5</v>
      </c>
      <c r="NE1649" s="2">
        <v>3.2</v>
      </c>
      <c r="NF1649" s="2">
        <v>1.9</v>
      </c>
      <c r="NS1649" s="2">
        <v>1.9</v>
      </c>
      <c r="NT1649" s="2">
        <v>0.9</v>
      </c>
      <c r="NU1649" s="2">
        <v>2.1</v>
      </c>
      <c r="NV1649" s="2">
        <v>1</v>
      </c>
      <c r="OI1649" s="2">
        <v>0.8</v>
      </c>
      <c r="OJ1649" s="2">
        <v>1.2</v>
      </c>
      <c r="OK1649" s="2">
        <v>-0.2</v>
      </c>
      <c r="OL1649" s="2">
        <v>-0.7</v>
      </c>
      <c r="OY1649" s="2">
        <v>1.7</v>
      </c>
      <c r="OZ1649" s="2">
        <v>1.2</v>
      </c>
      <c r="PA1649" s="2">
        <v>2.5</v>
      </c>
      <c r="PB1649" s="2">
        <v>0.3</v>
      </c>
      <c r="PJ1649" s="2">
        <v>2.9</v>
      </c>
      <c r="PK1649" s="2">
        <v>0.9</v>
      </c>
    </row>
    <row r="1650">
      <c r="A1650" t="inlineStr">
        <is>
          <t>A2331880W</t>
        </is>
      </c>
      <c r="B1650" t="inlineStr">
        <is>
          <t>Percentage Change from Previous Period ;  Rents ;  Australia ;</t>
        </is>
      </c>
      <c r="C1650" t="inlineStr">
        <is>
          <t>Quarter</t>
        </is>
      </c>
      <c r="D1650" t="inlineStr">
        <is>
          <t>Percent</t>
        </is>
      </c>
      <c r="E1650" t="inlineStr">
        <is>
          <t>Original</t>
        </is>
      </c>
      <c r="F1650" t="inlineStr">
        <is>
          <t>6401018.xlsx</t>
        </is>
      </c>
      <c r="G1650" t="inlineStr">
        <is>
          <t>1972Q4</t>
        </is>
      </c>
      <c r="H1650" t="inlineStr">
        <is>
          <t>2026Q2</t>
        </is>
      </c>
      <c r="DB1650" s="2">
        <v>1.6</v>
      </c>
      <c r="DC1650" s="2">
        <v>1.5</v>
      </c>
      <c r="DD1650" s="2">
        <v>1.5</v>
      </c>
      <c r="DE1650" s="2">
        <v>2</v>
      </c>
      <c r="DF1650" s="2">
        <v>3.3</v>
      </c>
      <c r="DG1650" s="2">
        <v>1.4</v>
      </c>
      <c r="DH1650" s="2">
        <v>3.3</v>
      </c>
      <c r="DI1650" s="2">
        <v>4</v>
      </c>
      <c r="DJ1650" s="2">
        <v>3.9</v>
      </c>
      <c r="DK1650" s="2">
        <v>3.3</v>
      </c>
      <c r="DL1650" s="2">
        <v>3.9</v>
      </c>
      <c r="DM1650" s="2">
        <v>4.6</v>
      </c>
      <c r="DN1650" s="2">
        <v>3.6</v>
      </c>
      <c r="DO1650" s="2">
        <v>3.2</v>
      </c>
      <c r="DP1650" s="2">
        <v>2.7</v>
      </c>
      <c r="DQ1650" s="2">
        <v>4.4</v>
      </c>
      <c r="DR1650" s="2">
        <v>2.9</v>
      </c>
      <c r="DS1650" s="2">
        <v>2.5</v>
      </c>
      <c r="DT1650" s="2">
        <v>2.1</v>
      </c>
      <c r="DU1650" s="2">
        <v>2.1</v>
      </c>
      <c r="DV1650" s="2">
        <v>2.6</v>
      </c>
      <c r="DW1650" s="2">
        <v>1.7</v>
      </c>
      <c r="DX1650" s="2">
        <v>1.6</v>
      </c>
      <c r="DY1650" s="2">
        <v>2.3</v>
      </c>
      <c r="DZ1650" s="2">
        <v>2.1</v>
      </c>
      <c r="EA1650" s="2">
        <v>2.1</v>
      </c>
      <c r="EB1650" s="2">
        <v>1.8</v>
      </c>
      <c r="EC1650" s="2">
        <v>2.1</v>
      </c>
      <c r="ED1650" s="2">
        <v>1.5</v>
      </c>
      <c r="EE1650" s="2">
        <v>1.2</v>
      </c>
      <c r="EF1650" s="2">
        <v>1.7</v>
      </c>
      <c r="EG1650" s="2">
        <v>2.4</v>
      </c>
      <c r="EH1650" s="2">
        <v>1.4</v>
      </c>
      <c r="EI1650" s="2">
        <v>1.8</v>
      </c>
      <c r="EJ1650" s="2">
        <v>2</v>
      </c>
      <c r="EK1650" s="2">
        <v>2.6</v>
      </c>
      <c r="EL1650" s="2">
        <v>2.6</v>
      </c>
      <c r="EM1650" s="2">
        <v>2.3</v>
      </c>
      <c r="EN1650" s="2">
        <v>3.5</v>
      </c>
      <c r="EO1650" s="2">
        <v>4</v>
      </c>
      <c r="EP1650" s="2">
        <v>2.1</v>
      </c>
      <c r="EQ1650" s="2">
        <v>1.7</v>
      </c>
      <c r="ER1650" s="2">
        <v>1.9</v>
      </c>
      <c r="ES1650" s="2">
        <v>1.6</v>
      </c>
      <c r="ET1650" s="2">
        <v>1.6</v>
      </c>
      <c r="EU1650" s="2">
        <v>1.6</v>
      </c>
      <c r="EV1650" s="2">
        <v>2.3</v>
      </c>
      <c r="EW1650" s="2">
        <v>1.8</v>
      </c>
      <c r="EX1650" s="2">
        <v>1.8</v>
      </c>
      <c r="EY1650" s="2">
        <v>1.8</v>
      </c>
      <c r="EZ1650" s="2">
        <v>2</v>
      </c>
      <c r="FA1650" s="2">
        <v>3.3</v>
      </c>
      <c r="FB1650" s="2">
        <v>2.1</v>
      </c>
      <c r="FC1650" s="2">
        <v>2.2</v>
      </c>
      <c r="FD1650" s="2">
        <v>2.7</v>
      </c>
      <c r="FE1650" s="2">
        <v>2.7</v>
      </c>
      <c r="FF1650" s="2">
        <v>2.2</v>
      </c>
      <c r="FG1650" s="2">
        <v>2.3</v>
      </c>
      <c r="FH1650" s="2">
        <v>2.3</v>
      </c>
      <c r="FI1650" s="2">
        <v>3.3</v>
      </c>
      <c r="FJ1650" s="2">
        <v>2.3</v>
      </c>
      <c r="FK1650" s="2">
        <v>2.9</v>
      </c>
      <c r="FL1650" s="2">
        <v>2.5</v>
      </c>
      <c r="FM1650" s="2">
        <v>3.1</v>
      </c>
      <c r="FN1650" s="2">
        <v>2.3</v>
      </c>
      <c r="FO1650" s="2">
        <v>2.4</v>
      </c>
      <c r="FP1650" s="2">
        <v>1.9</v>
      </c>
      <c r="FQ1650" s="2">
        <v>2.1</v>
      </c>
      <c r="FR1650" s="2">
        <v>1.7</v>
      </c>
      <c r="FS1650" s="2">
        <v>1.1</v>
      </c>
      <c r="FT1650" s="2">
        <v>1.2</v>
      </c>
      <c r="FU1650" s="2">
        <v>1.4</v>
      </c>
      <c r="FV1650" s="2">
        <v>1.3</v>
      </c>
      <c r="FW1650" s="2">
        <v>0.6</v>
      </c>
      <c r="FX1650" s="2">
        <v>0.8</v>
      </c>
      <c r="FY1650" s="2">
        <v>0.4</v>
      </c>
      <c r="FZ1650" s="2">
        <v>0.2</v>
      </c>
      <c r="GA1650" s="2">
        <v>0.2</v>
      </c>
      <c r="GB1650" s="2">
        <v>0.1</v>
      </c>
      <c r="GC1650" s="2">
        <v>0.2</v>
      </c>
      <c r="GD1650" s="2">
        <v>0.1</v>
      </c>
      <c r="GE1650" s="2">
        <v>0</v>
      </c>
      <c r="GF1650" s="2">
        <v>0.2</v>
      </c>
      <c r="GG1650" s="2">
        <v>0.1</v>
      </c>
      <c r="GH1650" s="2">
        <v>0.4</v>
      </c>
      <c r="GI1650" s="2">
        <v>0.1</v>
      </c>
      <c r="GJ1650" s="2">
        <v>0.2</v>
      </c>
      <c r="GK1650" s="2">
        <v>0.2</v>
      </c>
      <c r="GL1650" s="2">
        <v>0.2</v>
      </c>
      <c r="GM1650" s="2">
        <v>0.3</v>
      </c>
      <c r="GN1650" s="2">
        <v>0.8</v>
      </c>
      <c r="GO1650" s="2">
        <v>0.6</v>
      </c>
      <c r="GP1650" s="2">
        <v>0.6</v>
      </c>
      <c r="GQ1650" s="2">
        <v>0.8</v>
      </c>
      <c r="GR1650" s="2">
        <v>0.8</v>
      </c>
      <c r="GS1650" s="2">
        <v>0.8</v>
      </c>
      <c r="GT1650" s="2">
        <v>0.7</v>
      </c>
      <c r="GU1650" s="2">
        <v>0.5</v>
      </c>
      <c r="GV1650" s="2">
        <v>1</v>
      </c>
      <c r="GW1650" s="2">
        <v>0.7</v>
      </c>
      <c r="GX1650" s="2">
        <v>0.8</v>
      </c>
      <c r="GY1650" s="2">
        <v>0.6</v>
      </c>
      <c r="GZ1650" s="2">
        <v>1</v>
      </c>
      <c r="HA1650" s="2">
        <v>0.8</v>
      </c>
      <c r="HB1650" s="2">
        <v>0.4</v>
      </c>
      <c r="HC1650" s="2">
        <v>0.7</v>
      </c>
      <c r="HD1650" s="2">
        <v>0.7</v>
      </c>
      <c r="HE1650" s="2">
        <v>0.6</v>
      </c>
      <c r="HF1650" s="2">
        <v>0.7</v>
      </c>
      <c r="HG1650" s="2">
        <v>0.9</v>
      </c>
      <c r="HH1650" s="2">
        <v>1</v>
      </c>
      <c r="HI1650" s="2">
        <v>0.7</v>
      </c>
      <c r="HJ1650" s="2">
        <v>0.6</v>
      </c>
      <c r="HK1650" s="2">
        <v>0.9</v>
      </c>
      <c r="HL1650" s="2">
        <v>1</v>
      </c>
      <c r="HM1650" s="2">
        <v>0.6</v>
      </c>
      <c r="HN1650" s="2">
        <v>0.6</v>
      </c>
      <c r="HO1650" s="2">
        <v>0.5</v>
      </c>
      <c r="HP1650" s="2">
        <v>0.8</v>
      </c>
      <c r="HQ1650" s="2">
        <v>0.4</v>
      </c>
      <c r="HR1650" s="2">
        <v>0.4</v>
      </c>
      <c r="HS1650" s="2">
        <v>0.3</v>
      </c>
      <c r="HT1650" s="2">
        <v>0.5</v>
      </c>
      <c r="HU1650" s="2">
        <v>0.6</v>
      </c>
      <c r="HV1650" s="2">
        <v>0.8</v>
      </c>
      <c r="HW1650" s="2">
        <v>0.6</v>
      </c>
      <c r="HX1650" s="2">
        <v>0.7</v>
      </c>
      <c r="HY1650" s="2">
        <v>0.5</v>
      </c>
      <c r="HZ1650" s="2">
        <v>0.4</v>
      </c>
      <c r="IA1650" s="2">
        <v>0.5</v>
      </c>
      <c r="IB1650" s="2">
        <v>0.7</v>
      </c>
      <c r="IC1650" s="2">
        <v>0.6</v>
      </c>
      <c r="ID1650" s="2">
        <v>0.7</v>
      </c>
      <c r="IE1650" s="2">
        <v>0.8</v>
      </c>
      <c r="IF1650" s="2">
        <v>0.9</v>
      </c>
      <c r="IG1650" s="2">
        <v>1</v>
      </c>
      <c r="IH1650" s="2">
        <v>1</v>
      </c>
      <c r="II1650" s="2">
        <v>1.4</v>
      </c>
      <c r="IJ1650" s="2">
        <v>1.7</v>
      </c>
      <c r="IK1650" s="2">
        <v>1.6</v>
      </c>
      <c r="IL1650" s="2">
        <v>1.7</v>
      </c>
      <c r="IM1650" s="2">
        <v>2</v>
      </c>
      <c r="IN1650" s="2">
        <v>2.2</v>
      </c>
      <c r="IO1650" s="2">
        <v>2.1</v>
      </c>
      <c r="IP1650" s="2">
        <v>1.9</v>
      </c>
      <c r="IQ1650" s="2">
        <v>1.7</v>
      </c>
      <c r="IR1650" s="2">
        <v>1.4</v>
      </c>
      <c r="IS1650" s="2">
        <v>1.1</v>
      </c>
      <c r="IT1650" s="2">
        <v>1</v>
      </c>
      <c r="IU1650" s="2">
        <v>1</v>
      </c>
      <c r="IV1650" s="2">
        <v>1.2</v>
      </c>
      <c r="IW1650" s="2">
        <v>1.1</v>
      </c>
      <c r="IX1650" s="2">
        <v>0.9</v>
      </c>
      <c r="IY1650" s="2">
        <v>1.3</v>
      </c>
      <c r="IZ1650" s="2">
        <v>1.1</v>
      </c>
      <c r="JA1650" s="2">
        <v>1.2</v>
      </c>
      <c r="JB1650" s="2">
        <v>1</v>
      </c>
      <c r="JC1650" s="2">
        <v>1</v>
      </c>
      <c r="JD1650" s="2">
        <v>1.1</v>
      </c>
      <c r="JE1650" s="2">
        <v>0.8</v>
      </c>
      <c r="JF1650" s="2">
        <v>0.8</v>
      </c>
      <c r="JG1650" s="2">
        <v>0.8</v>
      </c>
      <c r="JH1650" s="2">
        <v>1</v>
      </c>
      <c r="JI1650" s="2">
        <v>0.6</v>
      </c>
      <c r="JJ1650" s="2">
        <v>0.6</v>
      </c>
      <c r="JK1650" s="2">
        <v>0.6</v>
      </c>
      <c r="JL1650" s="2">
        <v>0.6</v>
      </c>
      <c r="JM1650" s="2">
        <v>0.6</v>
      </c>
      <c r="JN1650" s="2">
        <v>0.5</v>
      </c>
      <c r="JO1650" s="2">
        <v>0.3</v>
      </c>
      <c r="JP1650" s="2">
        <v>0.4</v>
      </c>
      <c r="JQ1650" s="2">
        <v>0.3</v>
      </c>
      <c r="JR1650" s="2">
        <v>0.2</v>
      </c>
      <c r="JS1650" s="2">
        <v>0</v>
      </c>
      <c r="JT1650" s="2">
        <v>0.2</v>
      </c>
      <c r="JU1650" s="2">
        <v>0.3</v>
      </c>
      <c r="JV1650" s="2">
        <v>0.1</v>
      </c>
      <c r="KA1650" s="2">
        <v>0.1</v>
      </c>
      <c r="KB1650" s="2">
        <v>0.2</v>
      </c>
      <c r="KC1650" s="2">
        <v>0.2</v>
      </c>
      <c r="KD1650" s="2">
        <v>0.2</v>
      </c>
      <c r="KQ1650" s="2">
        <v>0.3</v>
      </c>
      <c r="KR1650" s="2">
        <v>0</v>
      </c>
      <c r="KS1650" s="2">
        <v>0.2</v>
      </c>
      <c r="KT1650" s="2">
        <v>0.2</v>
      </c>
      <c r="LG1650" s="2">
        <v>0.1</v>
      </c>
      <c r="LH1650" s="2">
        <v>0</v>
      </c>
      <c r="LI1650" s="2">
        <v>0</v>
      </c>
      <c r="LJ1650" s="2">
        <v>0</v>
      </c>
      <c r="LW1650" s="2">
        <v>0.1</v>
      </c>
      <c r="LX1650" s="2">
        <v>-1.3</v>
      </c>
      <c r="LY1650" s="2">
        <v>-0.2</v>
      </c>
      <c r="LZ1650" s="2">
        <v>0.1</v>
      </c>
      <c r="MM1650" s="2">
        <v>0</v>
      </c>
      <c r="MN1650" s="2">
        <v>0.1</v>
      </c>
      <c r="MO1650" s="2">
        <v>0.2</v>
      </c>
      <c r="MP1650" s="2">
        <v>0.1</v>
      </c>
      <c r="NC1650" s="2">
        <v>0.7</v>
      </c>
      <c r="ND1650" s="2">
        <v>0.7</v>
      </c>
      <c r="NE1650" s="2">
        <v>1.4</v>
      </c>
      <c r="NF1650" s="2">
        <v>1.2</v>
      </c>
      <c r="NS1650" s="2">
        <v>1.6</v>
      </c>
      <c r="NT1650" s="2">
        <v>2.5</v>
      </c>
      <c r="NU1650" s="2">
        <v>2.2</v>
      </c>
      <c r="NV1650" s="2">
        <v>0.9</v>
      </c>
      <c r="OI1650" s="2">
        <v>2.1</v>
      </c>
      <c r="OJ1650" s="2">
        <v>1.9</v>
      </c>
      <c r="OK1650" s="2">
        <v>1.7</v>
      </c>
      <c r="OL1650" s="2">
        <v>0.6</v>
      </c>
      <c r="OY1650" s="2">
        <v>1.2</v>
      </c>
      <c r="OZ1650" s="2">
        <v>1</v>
      </c>
      <c r="PA1650" s="2">
        <v>1</v>
      </c>
      <c r="PB1650" s="2">
        <v>0.8</v>
      </c>
      <c r="PJ1650" s="2">
        <v>0.9</v>
      </c>
      <c r="PK1650" s="2">
        <v>0.8</v>
      </c>
    </row>
    <row r="1651">
      <c r="A1651" t="inlineStr">
        <is>
          <t>A2326435C</t>
        </is>
      </c>
      <c r="B1651" t="inlineStr">
        <is>
          <t>Percentage Change from Previous Period ;  Rents ;  Australia ;</t>
        </is>
      </c>
      <c r="C1651" t="inlineStr">
        <is>
          <t>Quarter</t>
        </is>
      </c>
      <c r="D1651" t="inlineStr">
        <is>
          <t>Percent</t>
        </is>
      </c>
      <c r="E1651" t="inlineStr">
        <is>
          <t>Original</t>
        </is>
      </c>
      <c r="F1651" t="inlineStr">
        <is>
          <t>6401018.xlsx</t>
        </is>
      </c>
      <c r="G1651" t="inlineStr">
        <is>
          <t>1972Q4</t>
        </is>
      </c>
      <c r="H1651" t="inlineStr">
        <is>
          <t>2026Q2</t>
        </is>
      </c>
      <c r="DB1651" s="2">
        <v>1.6</v>
      </c>
      <c r="DC1651" s="2">
        <v>1.5</v>
      </c>
      <c r="DD1651" s="2">
        <v>1.5</v>
      </c>
      <c r="DE1651" s="2">
        <v>2</v>
      </c>
      <c r="DF1651" s="2">
        <v>3.3</v>
      </c>
      <c r="DG1651" s="2">
        <v>1.4</v>
      </c>
      <c r="DH1651" s="2">
        <v>3.3</v>
      </c>
      <c r="DI1651" s="2">
        <v>4</v>
      </c>
      <c r="DJ1651" s="2">
        <v>3.9</v>
      </c>
      <c r="DK1651" s="2">
        <v>3.3</v>
      </c>
      <c r="DL1651" s="2">
        <v>3.9</v>
      </c>
      <c r="DM1651" s="2">
        <v>4.6</v>
      </c>
      <c r="DN1651" s="2">
        <v>3.6</v>
      </c>
      <c r="DO1651" s="2">
        <v>3.2</v>
      </c>
      <c r="DP1651" s="2">
        <v>2.7</v>
      </c>
      <c r="DQ1651" s="2">
        <v>4.4</v>
      </c>
      <c r="DR1651" s="2">
        <v>2.9</v>
      </c>
      <c r="DS1651" s="2">
        <v>2.5</v>
      </c>
      <c r="DT1651" s="2">
        <v>2.1</v>
      </c>
      <c r="DU1651" s="2">
        <v>2.1</v>
      </c>
      <c r="DV1651" s="2">
        <v>2.6</v>
      </c>
      <c r="DW1651" s="2">
        <v>1.7</v>
      </c>
      <c r="DX1651" s="2">
        <v>1.6</v>
      </c>
      <c r="DY1651" s="2">
        <v>2.3</v>
      </c>
      <c r="DZ1651" s="2">
        <v>2.1</v>
      </c>
      <c r="EA1651" s="2">
        <v>2.1</v>
      </c>
      <c r="EB1651" s="2">
        <v>1.8</v>
      </c>
      <c r="EC1651" s="2">
        <v>2.1</v>
      </c>
      <c r="ED1651" s="2">
        <v>1.5</v>
      </c>
      <c r="EE1651" s="2">
        <v>1.2</v>
      </c>
      <c r="EF1651" s="2">
        <v>1.7</v>
      </c>
      <c r="EG1651" s="2">
        <v>2.4</v>
      </c>
      <c r="EH1651" s="2">
        <v>1.4</v>
      </c>
      <c r="EI1651" s="2">
        <v>1.8</v>
      </c>
      <c r="EJ1651" s="2">
        <v>2</v>
      </c>
      <c r="EK1651" s="2">
        <v>2.6</v>
      </c>
      <c r="EL1651" s="2">
        <v>2.6</v>
      </c>
      <c r="EM1651" s="2">
        <v>2.3</v>
      </c>
      <c r="EN1651" s="2">
        <v>3.5</v>
      </c>
      <c r="EO1651" s="2">
        <v>4</v>
      </c>
      <c r="EP1651" s="2">
        <v>2.1</v>
      </c>
      <c r="EQ1651" s="2">
        <v>1.7</v>
      </c>
      <c r="ER1651" s="2">
        <v>1.9</v>
      </c>
      <c r="ES1651" s="2">
        <v>1.6</v>
      </c>
      <c r="ET1651" s="2">
        <v>1.6</v>
      </c>
      <c r="EU1651" s="2">
        <v>1.6</v>
      </c>
      <c r="EV1651" s="2">
        <v>2.3</v>
      </c>
      <c r="EW1651" s="2">
        <v>1.8</v>
      </c>
      <c r="EX1651" s="2">
        <v>1.8</v>
      </c>
      <c r="EY1651" s="2">
        <v>1.8</v>
      </c>
      <c r="EZ1651" s="2">
        <v>2</v>
      </c>
      <c r="FA1651" s="2">
        <v>3.3</v>
      </c>
      <c r="FB1651" s="2">
        <v>2.1</v>
      </c>
      <c r="FC1651" s="2">
        <v>2.2</v>
      </c>
      <c r="FD1651" s="2">
        <v>2.7</v>
      </c>
      <c r="FE1651" s="2">
        <v>2.7</v>
      </c>
      <c r="FF1651" s="2">
        <v>2.2</v>
      </c>
      <c r="FG1651" s="2">
        <v>2.3</v>
      </c>
      <c r="FH1651" s="2">
        <v>2.3</v>
      </c>
      <c r="FI1651" s="2">
        <v>3.3</v>
      </c>
      <c r="FJ1651" s="2">
        <v>2.3</v>
      </c>
      <c r="FK1651" s="2">
        <v>2.9</v>
      </c>
      <c r="FL1651" s="2">
        <v>2.5</v>
      </c>
      <c r="FM1651" s="2">
        <v>3.1</v>
      </c>
      <c r="FN1651" s="2">
        <v>2.3</v>
      </c>
      <c r="FO1651" s="2">
        <v>2.4</v>
      </c>
      <c r="FP1651" s="2">
        <v>1.9</v>
      </c>
      <c r="FQ1651" s="2">
        <v>2.1</v>
      </c>
      <c r="FR1651" s="2">
        <v>1.7</v>
      </c>
      <c r="FS1651" s="2">
        <v>1.1</v>
      </c>
      <c r="FT1651" s="2">
        <v>1.2</v>
      </c>
      <c r="FU1651" s="2">
        <v>1.4</v>
      </c>
      <c r="FV1651" s="2">
        <v>1.3</v>
      </c>
      <c r="FW1651" s="2">
        <v>0.6</v>
      </c>
      <c r="FX1651" s="2">
        <v>0.8</v>
      </c>
      <c r="FY1651" s="2">
        <v>0.4</v>
      </c>
      <c r="FZ1651" s="2">
        <v>0.2</v>
      </c>
      <c r="GA1651" s="2">
        <v>0.2</v>
      </c>
      <c r="GB1651" s="2">
        <v>0.1</v>
      </c>
      <c r="GC1651" s="2">
        <v>0.2</v>
      </c>
      <c r="GD1651" s="2">
        <v>0.1</v>
      </c>
      <c r="GE1651" s="2">
        <v>0</v>
      </c>
      <c r="GF1651" s="2">
        <v>0.2</v>
      </c>
      <c r="GG1651" s="2">
        <v>0.1</v>
      </c>
      <c r="GH1651" s="2">
        <v>0.4</v>
      </c>
      <c r="GI1651" s="2">
        <v>0.1</v>
      </c>
      <c r="GJ1651" s="2">
        <v>0.2</v>
      </c>
      <c r="GK1651" s="2">
        <v>0.2</v>
      </c>
      <c r="GL1651" s="2">
        <v>0.2</v>
      </c>
      <c r="GM1651" s="2">
        <v>0.3</v>
      </c>
      <c r="GN1651" s="2">
        <v>0.8</v>
      </c>
      <c r="GO1651" s="2">
        <v>0.6</v>
      </c>
      <c r="GP1651" s="2">
        <v>0.6</v>
      </c>
      <c r="GQ1651" s="2">
        <v>0.8</v>
      </c>
      <c r="GR1651" s="2">
        <v>0.8</v>
      </c>
      <c r="GS1651" s="2">
        <v>0.8</v>
      </c>
      <c r="GT1651" s="2">
        <v>0.7</v>
      </c>
      <c r="GU1651" s="2">
        <v>0.5</v>
      </c>
      <c r="GV1651" s="2">
        <v>1</v>
      </c>
      <c r="GW1651" s="2">
        <v>0.7</v>
      </c>
      <c r="GX1651" s="2">
        <v>0.8</v>
      </c>
      <c r="GY1651" s="2">
        <v>0.6</v>
      </c>
      <c r="GZ1651" s="2">
        <v>1</v>
      </c>
      <c r="HA1651" s="2">
        <v>0.8</v>
      </c>
      <c r="HB1651" s="2">
        <v>0.4</v>
      </c>
      <c r="HC1651" s="2">
        <v>0.6</v>
      </c>
      <c r="HD1651" s="2">
        <v>0.7</v>
      </c>
      <c r="HE1651" s="2">
        <v>0.6</v>
      </c>
      <c r="HF1651" s="2">
        <v>0.7</v>
      </c>
      <c r="HG1651" s="2">
        <v>0.9</v>
      </c>
      <c r="HH1651" s="2">
        <v>1</v>
      </c>
      <c r="HI1651" s="2">
        <v>0.7</v>
      </c>
      <c r="HJ1651" s="2">
        <v>0.6</v>
      </c>
      <c r="HK1651" s="2">
        <v>0.9</v>
      </c>
      <c r="HL1651" s="2">
        <v>1</v>
      </c>
      <c r="HM1651" s="2">
        <v>0.6</v>
      </c>
      <c r="HN1651" s="2">
        <v>0.6</v>
      </c>
      <c r="HO1651" s="2">
        <v>0.5</v>
      </c>
      <c r="HP1651" s="2">
        <v>0.8</v>
      </c>
      <c r="HQ1651" s="2">
        <v>0.4</v>
      </c>
      <c r="HR1651" s="2">
        <v>0.4</v>
      </c>
      <c r="HS1651" s="2">
        <v>0.3</v>
      </c>
      <c r="HT1651" s="2">
        <v>0.5</v>
      </c>
      <c r="HU1651" s="2">
        <v>0.6</v>
      </c>
      <c r="HV1651" s="2">
        <v>0.8</v>
      </c>
      <c r="HW1651" s="2">
        <v>0.6</v>
      </c>
      <c r="HX1651" s="2">
        <v>0.7</v>
      </c>
      <c r="HY1651" s="2">
        <v>0.5</v>
      </c>
      <c r="HZ1651" s="2">
        <v>0.4</v>
      </c>
      <c r="IA1651" s="2">
        <v>0.5</v>
      </c>
      <c r="IB1651" s="2">
        <v>0.7</v>
      </c>
      <c r="IC1651" s="2">
        <v>0.6</v>
      </c>
      <c r="ID1651" s="2">
        <v>0.7</v>
      </c>
      <c r="IE1651" s="2">
        <v>0.8</v>
      </c>
      <c r="IF1651" s="2">
        <v>0.9</v>
      </c>
      <c r="IG1651" s="2">
        <v>1</v>
      </c>
      <c r="IH1651" s="2">
        <v>1</v>
      </c>
      <c r="II1651" s="2">
        <v>1.4</v>
      </c>
      <c r="IJ1651" s="2">
        <v>1.7</v>
      </c>
      <c r="IK1651" s="2">
        <v>1.6</v>
      </c>
      <c r="IL1651" s="2">
        <v>1.7</v>
      </c>
      <c r="IM1651" s="2">
        <v>2</v>
      </c>
      <c r="IN1651" s="2">
        <v>2.2</v>
      </c>
      <c r="IO1651" s="2">
        <v>2.1</v>
      </c>
      <c r="IP1651" s="2">
        <v>1.9</v>
      </c>
      <c r="IQ1651" s="2">
        <v>1.7</v>
      </c>
      <c r="IR1651" s="2">
        <v>1.4</v>
      </c>
      <c r="IS1651" s="2">
        <v>1.1</v>
      </c>
      <c r="IT1651" s="2">
        <v>1</v>
      </c>
      <c r="IU1651" s="2">
        <v>1</v>
      </c>
      <c r="IV1651" s="2">
        <v>1.2</v>
      </c>
      <c r="IW1651" s="2">
        <v>1.1</v>
      </c>
      <c r="IX1651" s="2">
        <v>0.9</v>
      </c>
      <c r="IY1651" s="2">
        <v>1.3</v>
      </c>
      <c r="IZ1651" s="2">
        <v>1.1</v>
      </c>
      <c r="JA1651" s="2">
        <v>1.2</v>
      </c>
      <c r="JB1651" s="2">
        <v>1</v>
      </c>
      <c r="JC1651" s="2">
        <v>1</v>
      </c>
      <c r="JD1651" s="2">
        <v>1.1</v>
      </c>
      <c r="JE1651" s="2">
        <v>0.8</v>
      </c>
      <c r="JF1651" s="2">
        <v>0.8</v>
      </c>
      <c r="JG1651" s="2">
        <v>0.8</v>
      </c>
      <c r="JH1651" s="2">
        <v>1</v>
      </c>
      <c r="JI1651" s="2">
        <v>0.6</v>
      </c>
      <c r="JJ1651" s="2">
        <v>0.6</v>
      </c>
      <c r="JK1651" s="2">
        <v>0.6</v>
      </c>
      <c r="JL1651" s="2">
        <v>0.6</v>
      </c>
      <c r="JM1651" s="2">
        <v>0.6</v>
      </c>
      <c r="JN1651" s="2">
        <v>0.5</v>
      </c>
      <c r="JO1651" s="2">
        <v>0.3</v>
      </c>
      <c r="JP1651" s="2">
        <v>0.4</v>
      </c>
      <c r="JQ1651" s="2">
        <v>0.3</v>
      </c>
      <c r="JR1651" s="2">
        <v>0.2</v>
      </c>
      <c r="JS1651" s="2">
        <v>0</v>
      </c>
      <c r="JT1651" s="2">
        <v>0.2</v>
      </c>
      <c r="JU1651" s="2">
        <v>0.3</v>
      </c>
      <c r="JV1651" s="2">
        <v>0.1</v>
      </c>
      <c r="KA1651" s="2">
        <v>0.1</v>
      </c>
      <c r="KB1651" s="2">
        <v>0.2</v>
      </c>
      <c r="KC1651" s="2">
        <v>0.2</v>
      </c>
      <c r="KD1651" s="2">
        <v>0.2</v>
      </c>
      <c r="KQ1651" s="2">
        <v>0.3</v>
      </c>
      <c r="KR1651" s="2">
        <v>0</v>
      </c>
      <c r="KS1651" s="2">
        <v>0.2</v>
      </c>
      <c r="KT1651" s="2">
        <v>0.2</v>
      </c>
      <c r="LG1651" s="2">
        <v>0.1</v>
      </c>
      <c r="LH1651" s="2">
        <v>0</v>
      </c>
      <c r="LI1651" s="2">
        <v>0</v>
      </c>
      <c r="LJ1651" s="2">
        <v>0</v>
      </c>
      <c r="LW1651" s="2">
        <v>0.1</v>
      </c>
      <c r="LX1651" s="2">
        <v>-1.3</v>
      </c>
      <c r="LY1651" s="2">
        <v>-0.2</v>
      </c>
      <c r="LZ1651" s="2">
        <v>0.1</v>
      </c>
      <c r="MM1651" s="2">
        <v>0</v>
      </c>
      <c r="MN1651" s="2">
        <v>0.1</v>
      </c>
      <c r="MO1651" s="2">
        <v>0.2</v>
      </c>
      <c r="MP1651" s="2">
        <v>0.1</v>
      </c>
      <c r="NC1651" s="2">
        <v>0.7</v>
      </c>
      <c r="ND1651" s="2">
        <v>0.7</v>
      </c>
      <c r="NE1651" s="2">
        <v>1.4</v>
      </c>
      <c r="NF1651" s="2">
        <v>1.2</v>
      </c>
      <c r="NS1651" s="2">
        <v>1.6</v>
      </c>
      <c r="NT1651" s="2">
        <v>2.5</v>
      </c>
      <c r="NU1651" s="2">
        <v>2.2</v>
      </c>
      <c r="NV1651" s="2">
        <v>0.9</v>
      </c>
      <c r="OI1651" s="2">
        <v>2.1</v>
      </c>
      <c r="OJ1651" s="2">
        <v>1.9</v>
      </c>
      <c r="OK1651" s="2">
        <v>1.7</v>
      </c>
      <c r="OL1651" s="2">
        <v>0.6</v>
      </c>
      <c r="OY1651" s="2">
        <v>1.2</v>
      </c>
      <c r="OZ1651" s="2">
        <v>1</v>
      </c>
      <c r="PA1651" s="2">
        <v>1</v>
      </c>
      <c r="PB1651" s="2">
        <v>0.8</v>
      </c>
      <c r="PJ1651" s="2">
        <v>0.9</v>
      </c>
      <c r="PK1651" s="2">
        <v>0.8</v>
      </c>
    </row>
    <row r="1652">
      <c r="A1652" t="inlineStr">
        <is>
          <t>A3604377W</t>
        </is>
      </c>
      <c r="B1652" t="inlineStr">
        <is>
          <t>Percentage Change from Previous Period ;  New dwelling purchase by owner-occupiers ;  Australia ;</t>
        </is>
      </c>
      <c r="C1652" t="inlineStr">
        <is>
          <t>Quarter</t>
        </is>
      </c>
      <c r="D1652" t="inlineStr">
        <is>
          <t>Percent</t>
        </is>
      </c>
      <c r="E1652" t="inlineStr">
        <is>
          <t>Original</t>
        </is>
      </c>
      <c r="F1652" t="inlineStr">
        <is>
          <t>6401018.xlsx</t>
        </is>
      </c>
      <c r="G1652" t="inlineStr">
        <is>
          <t>1998Q3</t>
        </is>
      </c>
      <c r="H1652" t="inlineStr">
        <is>
          <t>2026Q2</t>
        </is>
      </c>
      <c r="HA1652" s="2">
        <v>0.6</v>
      </c>
      <c r="HB1652" s="2">
        <v>0.9</v>
      </c>
      <c r="HC1652" s="2">
        <v>1.5</v>
      </c>
      <c r="HD1652" s="2">
        <v>0.9</v>
      </c>
      <c r="HE1652" s="2">
        <v>2</v>
      </c>
      <c r="HF1652" s="2">
        <v>3.2</v>
      </c>
      <c r="HG1652" s="2">
        <v>1.6</v>
      </c>
      <c r="HH1652" s="2">
        <v>0.4</v>
      </c>
      <c r="HI1652" s="2">
        <v>8</v>
      </c>
      <c r="HJ1652" s="2">
        <v>0.3</v>
      </c>
      <c r="HK1652" s="2">
        <v>0.2</v>
      </c>
      <c r="HL1652" s="2">
        <v>-0.3</v>
      </c>
      <c r="HM1652" s="2">
        <v>0.9</v>
      </c>
      <c r="HN1652" s="2">
        <v>1.1</v>
      </c>
      <c r="HO1652" s="2">
        <v>0.7</v>
      </c>
      <c r="HP1652" s="2">
        <v>1</v>
      </c>
      <c r="HQ1652" s="2">
        <v>1</v>
      </c>
      <c r="HR1652" s="2">
        <v>0.7</v>
      </c>
      <c r="HS1652" s="2">
        <v>1.6</v>
      </c>
      <c r="HT1652" s="2">
        <v>2</v>
      </c>
      <c r="HU1652" s="2">
        <v>1.7</v>
      </c>
      <c r="HV1652" s="2">
        <v>1</v>
      </c>
      <c r="HW1652" s="2">
        <v>1.1</v>
      </c>
      <c r="HX1652" s="2">
        <v>1.4</v>
      </c>
      <c r="HY1652" s="2">
        <v>1.1</v>
      </c>
      <c r="HZ1652" s="2">
        <v>1.5</v>
      </c>
      <c r="IA1652" s="2">
        <v>1.4</v>
      </c>
      <c r="IB1652" s="2">
        <v>0.9</v>
      </c>
      <c r="IC1652" s="2">
        <v>1.2</v>
      </c>
      <c r="ID1652" s="2">
        <v>0.8</v>
      </c>
      <c r="IE1652" s="2">
        <v>0.3</v>
      </c>
      <c r="IF1652" s="2">
        <v>1.1</v>
      </c>
      <c r="IG1652" s="2">
        <v>0.2</v>
      </c>
      <c r="IH1652" s="2">
        <v>0.5</v>
      </c>
      <c r="II1652" s="2">
        <v>1.1</v>
      </c>
      <c r="IJ1652" s="2">
        <v>0.9</v>
      </c>
      <c r="IK1652" s="2">
        <v>1</v>
      </c>
      <c r="IL1652" s="2">
        <v>1.3</v>
      </c>
      <c r="IM1652" s="2">
        <v>1.7</v>
      </c>
      <c r="IN1652" s="2">
        <v>1</v>
      </c>
      <c r="IO1652" s="2">
        <v>1.3</v>
      </c>
      <c r="IP1652" s="2">
        <v>0.2</v>
      </c>
      <c r="IQ1652" s="2">
        <v>-0.5</v>
      </c>
      <c r="IR1652" s="2">
        <v>0.8</v>
      </c>
      <c r="IS1652" s="2">
        <v>1.2</v>
      </c>
      <c r="IT1652" s="2">
        <v>1</v>
      </c>
      <c r="IU1652" s="2">
        <v>1.2</v>
      </c>
      <c r="IV1652" s="2">
        <v>0.6</v>
      </c>
      <c r="IW1652" s="2">
        <v>0.5</v>
      </c>
      <c r="IX1652" s="2">
        <v>0.7</v>
      </c>
      <c r="IY1652" s="2">
        <v>0.8</v>
      </c>
      <c r="IZ1652" s="2">
        <v>0.4</v>
      </c>
      <c r="JA1652" s="2">
        <v>-0.1</v>
      </c>
      <c r="JB1652" s="2">
        <v>0.3</v>
      </c>
      <c r="JC1652" s="2">
        <v>-0.1</v>
      </c>
      <c r="JD1652" s="2">
        <v>0.1</v>
      </c>
      <c r="JE1652" s="2">
        <v>0.9</v>
      </c>
      <c r="JF1652" s="2">
        <v>0.1</v>
      </c>
      <c r="JG1652" s="2">
        <v>1.7</v>
      </c>
      <c r="JH1652" s="2">
        <v>0.8</v>
      </c>
      <c r="JI1652" s="2">
        <v>0.5</v>
      </c>
      <c r="JJ1652" s="2">
        <v>0.9</v>
      </c>
      <c r="JK1652" s="2">
        <v>0.1</v>
      </c>
      <c r="JL1652" s="2">
        <v>1.6</v>
      </c>
      <c r="JM1652" s="2">
        <v>1.2</v>
      </c>
      <c r="JN1652" s="2">
        <v>1.1</v>
      </c>
      <c r="JO1652" s="2">
        <v>0.9</v>
      </c>
      <c r="JP1652" s="2">
        <v>1.6</v>
      </c>
      <c r="JQ1652" s="2">
        <v>0.7</v>
      </c>
      <c r="JR1652" s="2">
        <v>0.1</v>
      </c>
      <c r="JS1652" s="2">
        <v>0.1</v>
      </c>
      <c r="JT1652" s="2">
        <v>0.9</v>
      </c>
      <c r="JU1652" s="2">
        <v>0.4</v>
      </c>
      <c r="JV1652" s="2">
        <v>0.6</v>
      </c>
      <c r="KA1652" s="2">
        <v>0.9</v>
      </c>
      <c r="KB1652" s="2">
        <v>0.9</v>
      </c>
      <c r="KC1652" s="2">
        <v>0.8</v>
      </c>
      <c r="KD1652" s="2">
        <v>0.6</v>
      </c>
      <c r="KQ1652" s="2">
        <v>0.5</v>
      </c>
      <c r="KR1652" s="2">
        <v>0.8</v>
      </c>
      <c r="KS1652" s="2">
        <v>0.1</v>
      </c>
      <c r="KT1652" s="2">
        <v>0.4</v>
      </c>
      <c r="LG1652" s="2">
        <v>-0.1</v>
      </c>
      <c r="LH1652" s="2">
        <v>-0.2</v>
      </c>
      <c r="LI1652" s="2">
        <v>-0.2</v>
      </c>
      <c r="LJ1652" s="2">
        <v>0.4</v>
      </c>
      <c r="LW1652" s="2">
        <v>0.4</v>
      </c>
      <c r="LX1652" s="2">
        <v>0.1</v>
      </c>
      <c r="LY1652" s="2">
        <v>0.5</v>
      </c>
      <c r="LZ1652" s="2">
        <v>0.6</v>
      </c>
      <c r="MM1652" s="2">
        <v>0</v>
      </c>
      <c r="MN1652" s="2">
        <v>-0.1</v>
      </c>
      <c r="MO1652" s="2">
        <v>3.3</v>
      </c>
      <c r="MP1652" s="2">
        <v>4.1</v>
      </c>
      <c r="NC1652" s="2">
        <v>5.7</v>
      </c>
      <c r="ND1652" s="2">
        <v>5.7</v>
      </c>
      <c r="NE1652" s="2">
        <v>3.7</v>
      </c>
      <c r="NF1652" s="2">
        <v>1.6</v>
      </c>
      <c r="NS1652" s="2">
        <v>1.2</v>
      </c>
      <c r="NT1652" s="2">
        <v>1</v>
      </c>
      <c r="NU1652" s="2">
        <v>1.3</v>
      </c>
      <c r="NV1652" s="2">
        <v>1.5</v>
      </c>
      <c r="OI1652" s="2">
        <v>1.1</v>
      </c>
      <c r="OJ1652" s="2">
        <v>1.1</v>
      </c>
      <c r="OK1652" s="2">
        <v>1</v>
      </c>
      <c r="OL1652" s="2">
        <v>-0.2</v>
      </c>
      <c r="OY1652" s="2">
        <v>-0.4</v>
      </c>
      <c r="OZ1652" s="2">
        <v>0.4</v>
      </c>
      <c r="PA1652" s="2">
        <v>1.1</v>
      </c>
      <c r="PB1652" s="2">
        <v>1.4</v>
      </c>
      <c r="PJ1652" s="2">
        <v>0.9</v>
      </c>
      <c r="PK1652" s="2">
        <v>1.8</v>
      </c>
    </row>
    <row r="1653">
      <c r="A1653" t="inlineStr">
        <is>
          <t>A2329945J</t>
        </is>
      </c>
      <c r="B1653" t="inlineStr">
        <is>
          <t>Percentage Change from Previous Period ;  New dwelling purchase by owner-occupiers ;  Australia ;</t>
        </is>
      </c>
      <c r="C1653" t="inlineStr">
        <is>
          <t>Quarter</t>
        </is>
      </c>
      <c r="D1653" t="inlineStr">
        <is>
          <t>Percent</t>
        </is>
      </c>
      <c r="E1653" t="inlineStr">
        <is>
          <t>Original</t>
        </is>
      </c>
      <c r="F1653" t="inlineStr">
        <is>
          <t>6401018.xlsx</t>
        </is>
      </c>
      <c r="G1653" t="inlineStr">
        <is>
          <t>1998Q3</t>
        </is>
      </c>
      <c r="H1653" t="inlineStr">
        <is>
          <t>2026Q2</t>
        </is>
      </c>
      <c r="HA1653" s="2">
        <v>0.6</v>
      </c>
      <c r="HB1653" s="2">
        <v>1</v>
      </c>
      <c r="HC1653" s="2">
        <v>1.5</v>
      </c>
      <c r="HD1653" s="2">
        <v>0.9</v>
      </c>
      <c r="HE1653" s="2">
        <v>2</v>
      </c>
      <c r="HF1653" s="2">
        <v>3.1</v>
      </c>
      <c r="HG1653" s="2">
        <v>1.7</v>
      </c>
      <c r="HH1653" s="2">
        <v>0.4</v>
      </c>
      <c r="HI1653" s="2">
        <v>8.1</v>
      </c>
      <c r="HJ1653" s="2">
        <v>0.3</v>
      </c>
      <c r="HK1653" s="2">
        <v>0.2</v>
      </c>
      <c r="HL1653" s="2">
        <v>-0.3</v>
      </c>
      <c r="HM1653" s="2">
        <v>0.9</v>
      </c>
      <c r="HN1653" s="2">
        <v>1</v>
      </c>
      <c r="HO1653" s="2">
        <v>0.8</v>
      </c>
      <c r="HP1653" s="2">
        <v>1</v>
      </c>
      <c r="HQ1653" s="2">
        <v>1</v>
      </c>
      <c r="HR1653" s="2">
        <v>0.7</v>
      </c>
      <c r="HS1653" s="2">
        <v>1.6</v>
      </c>
      <c r="HT1653" s="2">
        <v>2</v>
      </c>
      <c r="HU1653" s="2">
        <v>1.7</v>
      </c>
      <c r="HV1653" s="2">
        <v>1.1</v>
      </c>
      <c r="HW1653" s="2">
        <v>1.1</v>
      </c>
      <c r="HX1653" s="2">
        <v>1.4</v>
      </c>
      <c r="HY1653" s="2">
        <v>1.1</v>
      </c>
      <c r="HZ1653" s="2">
        <v>1.5</v>
      </c>
      <c r="IA1653" s="2">
        <v>1.4</v>
      </c>
      <c r="IB1653" s="2">
        <v>0.9</v>
      </c>
      <c r="IC1653" s="2">
        <v>1.2</v>
      </c>
      <c r="ID1653" s="2">
        <v>0.8</v>
      </c>
      <c r="IE1653" s="2">
        <v>0.3</v>
      </c>
      <c r="IF1653" s="2">
        <v>1.1</v>
      </c>
      <c r="IG1653" s="2">
        <v>0.2</v>
      </c>
      <c r="IH1653" s="2">
        <v>0.5</v>
      </c>
      <c r="II1653" s="2">
        <v>1</v>
      </c>
      <c r="IJ1653" s="2">
        <v>1</v>
      </c>
      <c r="IK1653" s="2">
        <v>1</v>
      </c>
      <c r="IL1653" s="2">
        <v>1.3</v>
      </c>
      <c r="IM1653" s="2">
        <v>1.7</v>
      </c>
      <c r="IN1653" s="2">
        <v>1</v>
      </c>
      <c r="IO1653" s="2">
        <v>1.3</v>
      </c>
      <c r="IP1653" s="2">
        <v>0.2</v>
      </c>
      <c r="IQ1653" s="2">
        <v>-0.4</v>
      </c>
      <c r="IR1653" s="2">
        <v>0.8</v>
      </c>
      <c r="IS1653" s="2">
        <v>1.1</v>
      </c>
      <c r="IT1653" s="2">
        <v>1</v>
      </c>
      <c r="IU1653" s="2">
        <v>1.2</v>
      </c>
      <c r="IV1653" s="2">
        <v>0.6</v>
      </c>
      <c r="IW1653" s="2">
        <v>0.4</v>
      </c>
      <c r="IX1653" s="2">
        <v>0.7</v>
      </c>
      <c r="IY1653" s="2">
        <v>0.8</v>
      </c>
      <c r="IZ1653" s="2">
        <v>0.4</v>
      </c>
      <c r="JA1653" s="2">
        <v>-0.1</v>
      </c>
      <c r="JB1653" s="2">
        <v>0.3</v>
      </c>
      <c r="JC1653" s="2">
        <v>-0.1</v>
      </c>
      <c r="JD1653" s="2">
        <v>0.1</v>
      </c>
      <c r="JE1653" s="2">
        <v>0.9</v>
      </c>
      <c r="JF1653" s="2">
        <v>0.1</v>
      </c>
      <c r="JG1653" s="2">
        <v>1.7</v>
      </c>
      <c r="JH1653" s="2">
        <v>0.8</v>
      </c>
      <c r="JI1653" s="2">
        <v>0.5</v>
      </c>
      <c r="JJ1653" s="2">
        <v>0.9</v>
      </c>
      <c r="JK1653" s="2">
        <v>0.1</v>
      </c>
      <c r="JL1653" s="2">
        <v>1.6</v>
      </c>
      <c r="JM1653" s="2">
        <v>1.2</v>
      </c>
      <c r="JN1653" s="2">
        <v>1.1</v>
      </c>
      <c r="JO1653" s="2">
        <v>0.9</v>
      </c>
      <c r="JP1653" s="2">
        <v>1.6</v>
      </c>
      <c r="JQ1653" s="2">
        <v>0.7</v>
      </c>
      <c r="JR1653" s="2">
        <v>0.1</v>
      </c>
      <c r="JS1653" s="2">
        <v>0.1</v>
      </c>
      <c r="JT1653" s="2">
        <v>0.9</v>
      </c>
      <c r="JU1653" s="2">
        <v>0.4</v>
      </c>
      <c r="JV1653" s="2">
        <v>0.6</v>
      </c>
      <c r="KA1653" s="2">
        <v>0.9</v>
      </c>
      <c r="KB1653" s="2">
        <v>0.9</v>
      </c>
      <c r="KC1653" s="2">
        <v>0.8</v>
      </c>
      <c r="KD1653" s="2">
        <v>0.6</v>
      </c>
      <c r="KQ1653" s="2">
        <v>0.5</v>
      </c>
      <c r="KR1653" s="2">
        <v>0.8</v>
      </c>
      <c r="KS1653" s="2">
        <v>0.1</v>
      </c>
      <c r="KT1653" s="2">
        <v>0.4</v>
      </c>
      <c r="LG1653" s="2">
        <v>-0.1</v>
      </c>
      <c r="LH1653" s="2">
        <v>-0.2</v>
      </c>
      <c r="LI1653" s="2">
        <v>-0.2</v>
      </c>
      <c r="LJ1653" s="2">
        <v>0.4</v>
      </c>
      <c r="LW1653" s="2">
        <v>0.4</v>
      </c>
      <c r="LX1653" s="2">
        <v>0.1</v>
      </c>
      <c r="LY1653" s="2">
        <v>0.5</v>
      </c>
      <c r="LZ1653" s="2">
        <v>0.6</v>
      </c>
      <c r="MM1653" s="2">
        <v>0</v>
      </c>
      <c r="MN1653" s="2">
        <v>-0.1</v>
      </c>
      <c r="MO1653" s="2">
        <v>3.3</v>
      </c>
      <c r="MP1653" s="2">
        <v>4.1</v>
      </c>
      <c r="NC1653" s="2">
        <v>5.7</v>
      </c>
      <c r="ND1653" s="2">
        <v>5.7</v>
      </c>
      <c r="NE1653" s="2">
        <v>3.7</v>
      </c>
      <c r="NF1653" s="2">
        <v>1.6</v>
      </c>
      <c r="NS1653" s="2">
        <v>1.2</v>
      </c>
      <c r="NT1653" s="2">
        <v>1</v>
      </c>
      <c r="NU1653" s="2">
        <v>1.3</v>
      </c>
      <c r="NV1653" s="2">
        <v>1.5</v>
      </c>
      <c r="OI1653" s="2">
        <v>1.1</v>
      </c>
      <c r="OJ1653" s="2">
        <v>1.1</v>
      </c>
      <c r="OK1653" s="2">
        <v>1</v>
      </c>
      <c r="OL1653" s="2">
        <v>-0.2</v>
      </c>
      <c r="OY1653" s="2">
        <v>-0.4</v>
      </c>
      <c r="OZ1653" s="2">
        <v>0.4</v>
      </c>
      <c r="PA1653" s="2">
        <v>1.1</v>
      </c>
      <c r="PB1653" s="2">
        <v>1.4</v>
      </c>
      <c r="PJ1653" s="2">
        <v>0.9</v>
      </c>
      <c r="PK1653" s="2">
        <v>1.8</v>
      </c>
    </row>
    <row r="1654">
      <c r="A1654" t="inlineStr">
        <is>
          <t>A3604417C</t>
        </is>
      </c>
      <c r="B1654" t="inlineStr">
        <is>
          <t>Percentage Change from Previous Period ;  Other housing ;  Australia ;</t>
        </is>
      </c>
      <c r="C1654" t="inlineStr">
        <is>
          <t>Quarter</t>
        </is>
      </c>
      <c r="D1654" t="inlineStr">
        <is>
          <t>Percent</t>
        </is>
      </c>
      <c r="E1654" t="inlineStr">
        <is>
          <t>Original</t>
        </is>
      </c>
      <c r="F1654" t="inlineStr">
        <is>
          <t>6401018.xlsx</t>
        </is>
      </c>
      <c r="G1654" t="inlineStr">
        <is>
          <t>1998Q3</t>
        </is>
      </c>
      <c r="H1654" t="inlineStr">
        <is>
          <t>2026Q2</t>
        </is>
      </c>
      <c r="HA1654" s="2">
        <v>1.6</v>
      </c>
      <c r="HB1654" s="2">
        <v>0.4</v>
      </c>
      <c r="HC1654" s="2">
        <v>0</v>
      </c>
      <c r="HD1654" s="2">
        <v>0</v>
      </c>
      <c r="HE1654" s="2">
        <v>2.6</v>
      </c>
      <c r="HF1654" s="2">
        <v>0.9</v>
      </c>
      <c r="HG1654" s="2">
        <v>1.3</v>
      </c>
      <c r="HH1654" s="2">
        <v>0.8</v>
      </c>
      <c r="HI1654" s="2">
        <v>8.1</v>
      </c>
      <c r="HJ1654" s="2">
        <v>0.3</v>
      </c>
      <c r="HK1654" s="2">
        <v>0.4</v>
      </c>
      <c r="HL1654" s="2">
        <v>0.3</v>
      </c>
      <c r="HM1654" s="2">
        <v>2.7</v>
      </c>
      <c r="HN1654" s="2">
        <v>0.6</v>
      </c>
      <c r="HO1654" s="2">
        <v>-0.2</v>
      </c>
      <c r="HP1654" s="2">
        <v>0.4</v>
      </c>
      <c r="HQ1654" s="2">
        <v>2.7</v>
      </c>
      <c r="HR1654" s="2">
        <v>0.5</v>
      </c>
      <c r="HS1654" s="2">
        <v>0.3</v>
      </c>
      <c r="HT1654" s="2">
        <v>0.8</v>
      </c>
      <c r="HU1654" s="2">
        <v>2.9</v>
      </c>
      <c r="HV1654" s="2">
        <v>0.2</v>
      </c>
      <c r="HW1654" s="2">
        <v>0.2</v>
      </c>
      <c r="HX1654" s="2">
        <v>0.5</v>
      </c>
      <c r="HY1654" s="2">
        <v>2.7</v>
      </c>
      <c r="HZ1654" s="2">
        <v>0.4</v>
      </c>
      <c r="IA1654" s="2">
        <v>0.2</v>
      </c>
      <c r="IB1654" s="2">
        <v>0.6</v>
      </c>
      <c r="IC1654" s="2">
        <v>2.3</v>
      </c>
      <c r="ID1654" s="2">
        <v>0.3</v>
      </c>
      <c r="IE1654" s="2">
        <v>0.3</v>
      </c>
      <c r="IF1654" s="2">
        <v>0.7</v>
      </c>
      <c r="IG1654" s="2">
        <v>2.3</v>
      </c>
      <c r="IH1654" s="2">
        <v>0.2</v>
      </c>
      <c r="II1654" s="2">
        <v>-0.1</v>
      </c>
      <c r="IJ1654" s="2">
        <v>0.3</v>
      </c>
      <c r="IK1654" s="2">
        <v>2.1</v>
      </c>
      <c r="IL1654" s="2">
        <v>0.5</v>
      </c>
      <c r="IM1654" s="2">
        <v>0.5</v>
      </c>
      <c r="IN1654" s="2">
        <v>0.4</v>
      </c>
      <c r="IO1654" s="2">
        <v>2.8</v>
      </c>
      <c r="IP1654" s="2">
        <v>0.7</v>
      </c>
      <c r="IQ1654" s="2">
        <v>1.1</v>
      </c>
      <c r="IR1654" s="2">
        <v>0.8</v>
      </c>
      <c r="IS1654" s="2">
        <v>2.6</v>
      </c>
      <c r="IT1654" s="2">
        <v>0.2</v>
      </c>
      <c r="IU1654" s="2">
        <v>0.2</v>
      </c>
      <c r="IV1654" s="2">
        <v>0.2</v>
      </c>
      <c r="IW1654" s="2">
        <v>2.7</v>
      </c>
      <c r="IX1654" s="2">
        <v>0.5</v>
      </c>
      <c r="IY1654" s="2">
        <v>0.2</v>
      </c>
      <c r="IZ1654" s="2">
        <v>0.4</v>
      </c>
      <c r="JA1654" s="2">
        <v>2.2</v>
      </c>
      <c r="JB1654" s="2">
        <v>0</v>
      </c>
      <c r="JC1654" s="2">
        <v>-0.2</v>
      </c>
      <c r="JD1654" s="2">
        <v>0.5</v>
      </c>
      <c r="JE1654" s="2">
        <v>2.8</v>
      </c>
      <c r="JF1654" s="2">
        <v>0.3</v>
      </c>
      <c r="JG1654" s="2">
        <v>0.4</v>
      </c>
      <c r="JH1654" s="2">
        <v>0.2</v>
      </c>
      <c r="JI1654" s="2">
        <v>3.7</v>
      </c>
      <c r="JJ1654" s="2">
        <v>0.3</v>
      </c>
      <c r="JK1654" s="2">
        <v>0.3</v>
      </c>
      <c r="JL1654" s="2">
        <v>0.3</v>
      </c>
      <c r="JM1654" s="2">
        <v>3.1</v>
      </c>
      <c r="JN1654" s="2">
        <v>0.3</v>
      </c>
      <c r="JO1654" s="2">
        <v>0.2</v>
      </c>
      <c r="JP1654" s="2">
        <v>0.3</v>
      </c>
      <c r="JQ1654" s="2">
        <v>2.6</v>
      </c>
      <c r="JR1654" s="2">
        <v>0.2</v>
      </c>
      <c r="JS1654" s="2">
        <v>0.4</v>
      </c>
      <c r="JT1654" s="2">
        <v>0.2</v>
      </c>
      <c r="JU1654" s="2">
        <v>2</v>
      </c>
      <c r="JV1654" s="2">
        <v>0.5</v>
      </c>
      <c r="KA1654" s="2">
        <v>0.1</v>
      </c>
      <c r="KB1654" s="2">
        <v>0.1</v>
      </c>
      <c r="KC1654" s="2">
        <v>1.5</v>
      </c>
      <c r="KD1654" s="2">
        <v>0.4</v>
      </c>
      <c r="KQ1654" s="2">
        <v>0.2</v>
      </c>
      <c r="KR1654" s="2">
        <v>0.3</v>
      </c>
      <c r="KS1654" s="2">
        <v>1.5</v>
      </c>
      <c r="KT1654" s="2">
        <v>0.4</v>
      </c>
      <c r="LG1654" s="2">
        <v>0.4</v>
      </c>
      <c r="LH1654" s="2">
        <v>0.5</v>
      </c>
      <c r="LI1654" s="2">
        <v>1.4</v>
      </c>
      <c r="LJ1654" s="2">
        <v>0.3</v>
      </c>
      <c r="LW1654" s="2">
        <v>0.2</v>
      </c>
      <c r="LX1654" s="2">
        <v>0.2</v>
      </c>
      <c r="LY1654" s="2">
        <v>0.7</v>
      </c>
      <c r="LZ1654" s="2">
        <v>0.4</v>
      </c>
      <c r="MM1654" s="2">
        <v>0.6</v>
      </c>
      <c r="MN1654" s="2">
        <v>0.5</v>
      </c>
      <c r="MO1654" s="2">
        <v>2.2</v>
      </c>
      <c r="MP1654" s="2">
        <v>1.4</v>
      </c>
      <c r="NC1654" s="2">
        <v>0.5</v>
      </c>
      <c r="ND1654" s="2">
        <v>0.8</v>
      </c>
      <c r="NE1654" s="2">
        <v>2.7</v>
      </c>
      <c r="NF1654" s="2">
        <v>0.9</v>
      </c>
      <c r="NS1654" s="2">
        <v>0.6</v>
      </c>
      <c r="NT1654" s="2">
        <v>0.5</v>
      </c>
      <c r="NU1654" s="2">
        <v>2.3</v>
      </c>
      <c r="NV1654" s="2">
        <v>0.7</v>
      </c>
      <c r="OI1654" s="2">
        <v>0.2</v>
      </c>
      <c r="OJ1654" s="2">
        <v>0.3</v>
      </c>
      <c r="OK1654" s="2">
        <v>2.7</v>
      </c>
      <c r="OL1654" s="2">
        <v>0.3</v>
      </c>
      <c r="OY1654" s="2">
        <v>0.3</v>
      </c>
      <c r="OZ1654" s="2">
        <v>0.3</v>
      </c>
      <c r="PA1654" s="2">
        <v>3.2</v>
      </c>
      <c r="PB1654" s="2">
        <v>2.3</v>
      </c>
      <c r="PJ1654" s="2">
        <v>0.2</v>
      </c>
      <c r="PK1654" s="2">
        <v>0.6</v>
      </c>
    </row>
    <row r="1655">
      <c r="A1655" t="inlineStr">
        <is>
          <t>A2328100L</t>
        </is>
      </c>
      <c r="B1655" t="inlineStr">
        <is>
          <t>Percentage Change from Previous Period ;  Maintenance and repair of the dwelling ;  Australia ;</t>
        </is>
      </c>
      <c r="C1655" t="inlineStr">
        <is>
          <t>Quarter</t>
        </is>
      </c>
      <c r="D1655" t="inlineStr">
        <is>
          <t>Percent</t>
        </is>
      </c>
      <c r="E1655" t="inlineStr">
        <is>
          <t>Original</t>
        </is>
      </c>
      <c r="F1655" t="inlineStr">
        <is>
          <t>6401018.xlsx</t>
        </is>
      </c>
      <c r="G1655" t="inlineStr">
        <is>
          <t>1980Q4</t>
        </is>
      </c>
      <c r="H1655" t="inlineStr">
        <is>
          <t>2026Q2</t>
        </is>
      </c>
      <c r="EH1655" s="2">
        <v>1.1</v>
      </c>
      <c r="EI1655" s="2">
        <v>2.7</v>
      </c>
      <c r="EJ1655" s="2">
        <v>1.4</v>
      </c>
      <c r="EK1655" s="2">
        <v>2.5</v>
      </c>
      <c r="EL1655" s="2">
        <v>1.4</v>
      </c>
      <c r="EM1655" s="2">
        <v>3.5</v>
      </c>
      <c r="EN1655" s="2">
        <v>4.2</v>
      </c>
      <c r="EO1655" s="2">
        <v>4.2</v>
      </c>
      <c r="EP1655" s="2">
        <v>1.4</v>
      </c>
      <c r="EQ1655" s="2">
        <v>2.6</v>
      </c>
      <c r="ER1655" s="2">
        <v>1.6</v>
      </c>
      <c r="ES1655" s="2">
        <v>0.9</v>
      </c>
      <c r="ET1655" s="2">
        <v>1.9</v>
      </c>
      <c r="EU1655" s="2">
        <v>2.7</v>
      </c>
      <c r="EV1655" s="2">
        <v>2</v>
      </c>
      <c r="EW1655" s="2">
        <v>1.1</v>
      </c>
      <c r="EX1655" s="2">
        <v>-0.3</v>
      </c>
      <c r="EY1655" s="2">
        <v>0.5</v>
      </c>
      <c r="EZ1655" s="2">
        <v>1.8</v>
      </c>
      <c r="FA1655" s="2">
        <v>1.8</v>
      </c>
      <c r="FB1655" s="2">
        <v>3.3</v>
      </c>
      <c r="FC1655" s="2">
        <v>2.8</v>
      </c>
      <c r="FD1655" s="2">
        <v>-0.2</v>
      </c>
      <c r="FE1655" s="2">
        <v>0.3</v>
      </c>
      <c r="FF1655" s="2">
        <v>1.2</v>
      </c>
      <c r="FG1655" s="2">
        <v>1.2</v>
      </c>
      <c r="FH1655" s="2">
        <v>1.3</v>
      </c>
      <c r="FI1655" s="2">
        <v>1.5</v>
      </c>
      <c r="FJ1655" s="2">
        <v>0.7</v>
      </c>
      <c r="FK1655" s="2">
        <v>1.5</v>
      </c>
      <c r="FL1655" s="2">
        <v>1.7</v>
      </c>
      <c r="FM1655" s="2">
        <v>2.5</v>
      </c>
      <c r="FN1655" s="2">
        <v>2.4</v>
      </c>
      <c r="FO1655" s="2">
        <v>-0.3</v>
      </c>
      <c r="FP1655" s="2">
        <v>3</v>
      </c>
      <c r="FQ1655" s="2">
        <v>0.8</v>
      </c>
      <c r="FR1655" s="2">
        <v>1.7</v>
      </c>
      <c r="FS1655" s="2">
        <v>1.1</v>
      </c>
      <c r="FT1655" s="2">
        <v>2.3</v>
      </c>
      <c r="FU1655" s="2">
        <v>1.6</v>
      </c>
      <c r="FV1655" s="2">
        <v>0.4</v>
      </c>
      <c r="FW1655" s="2">
        <v>1.3</v>
      </c>
      <c r="FX1655" s="2">
        <v>1.1</v>
      </c>
      <c r="FY1655" s="2">
        <v>2.1</v>
      </c>
      <c r="FZ1655" s="2">
        <v>0.5</v>
      </c>
      <c r="GA1655" s="2">
        <v>-0.4</v>
      </c>
      <c r="GB1655" s="2">
        <v>0.9</v>
      </c>
      <c r="GC1655" s="2">
        <v>0.6</v>
      </c>
      <c r="GD1655" s="2">
        <v>0.2</v>
      </c>
      <c r="GE1655" s="2">
        <v>-0.5</v>
      </c>
      <c r="GF1655" s="2">
        <v>1.1</v>
      </c>
      <c r="GG1655" s="2">
        <v>1.1</v>
      </c>
      <c r="GH1655" s="2">
        <v>0.4</v>
      </c>
      <c r="GI1655" s="2">
        <v>-0.4</v>
      </c>
      <c r="GJ1655" s="2">
        <v>1.4</v>
      </c>
      <c r="GK1655" s="2">
        <v>0.2</v>
      </c>
      <c r="GL1655" s="2">
        <v>-0.1</v>
      </c>
      <c r="GM1655" s="2">
        <v>-0.3</v>
      </c>
      <c r="GN1655" s="2">
        <v>0.2</v>
      </c>
      <c r="GO1655" s="2">
        <v>0.2</v>
      </c>
      <c r="GP1655" s="2">
        <v>1.4</v>
      </c>
      <c r="GQ1655" s="2">
        <v>-0.5</v>
      </c>
      <c r="GR1655" s="2">
        <v>0.6</v>
      </c>
      <c r="GS1655" s="2">
        <v>1.3</v>
      </c>
      <c r="GT1655" s="2">
        <v>-0.2</v>
      </c>
      <c r="GU1655" s="2">
        <v>0.2</v>
      </c>
      <c r="GV1655" s="2">
        <v>0.6</v>
      </c>
      <c r="GW1655" s="2">
        <v>0.7</v>
      </c>
      <c r="GX1655" s="2">
        <v>0.6</v>
      </c>
      <c r="GY1655" s="2">
        <v>-0.2</v>
      </c>
      <c r="GZ1655" s="2">
        <v>0.9</v>
      </c>
      <c r="HA1655" s="2">
        <v>0.6</v>
      </c>
      <c r="HB1655" s="2">
        <v>0.3</v>
      </c>
      <c r="HC1655" s="2">
        <v>0.2</v>
      </c>
      <c r="HD1655" s="2">
        <v>-0.2</v>
      </c>
      <c r="HE1655" s="2">
        <v>0.7</v>
      </c>
      <c r="HF1655" s="2">
        <v>0.3</v>
      </c>
      <c r="HG1655" s="2">
        <v>1.2</v>
      </c>
      <c r="HH1655" s="2">
        <v>0.2</v>
      </c>
      <c r="HI1655" s="2">
        <v>10.2</v>
      </c>
      <c r="HJ1655" s="2">
        <v>0.5</v>
      </c>
      <c r="HK1655" s="2">
        <v>1.1</v>
      </c>
      <c r="HL1655" s="2">
        <v>0.5</v>
      </c>
      <c r="HM1655" s="2">
        <v>1.3</v>
      </c>
      <c r="HN1655" s="2">
        <v>1.1</v>
      </c>
      <c r="HO1655" s="2">
        <v>-0.3</v>
      </c>
      <c r="HP1655" s="2">
        <v>0.6</v>
      </c>
      <c r="HQ1655" s="2">
        <v>0.7</v>
      </c>
      <c r="HR1655" s="2">
        <v>0.8</v>
      </c>
      <c r="HS1655" s="2">
        <v>0.3</v>
      </c>
      <c r="HT1655" s="2">
        <v>1.2</v>
      </c>
      <c r="HU1655" s="2">
        <v>1</v>
      </c>
      <c r="HV1655" s="2">
        <v>0.4</v>
      </c>
      <c r="HW1655" s="2">
        <v>0.1</v>
      </c>
      <c r="HX1655" s="2">
        <v>0.8</v>
      </c>
      <c r="HY1655" s="2">
        <v>1</v>
      </c>
      <c r="HZ1655" s="2">
        <v>0.7</v>
      </c>
      <c r="IA1655" s="2">
        <v>0.3</v>
      </c>
      <c r="IB1655" s="2">
        <v>1.1</v>
      </c>
      <c r="IC1655" s="2">
        <v>0.8</v>
      </c>
      <c r="ID1655" s="2">
        <v>0.6</v>
      </c>
      <c r="IE1655" s="2">
        <v>0.4</v>
      </c>
      <c r="IF1655" s="2">
        <v>1.1</v>
      </c>
      <c r="IG1655" s="2">
        <v>0.5</v>
      </c>
      <c r="IH1655" s="2">
        <v>0.4</v>
      </c>
      <c r="II1655" s="2">
        <v>-0.1</v>
      </c>
      <c r="IJ1655" s="2">
        <v>0.6</v>
      </c>
      <c r="IK1655" s="2">
        <v>0.7</v>
      </c>
      <c r="IL1655" s="2">
        <v>0.9</v>
      </c>
      <c r="IM1655" s="2">
        <v>0.8</v>
      </c>
      <c r="IN1655" s="2">
        <v>0.7</v>
      </c>
      <c r="IO1655" s="2">
        <v>1</v>
      </c>
      <c r="IP1655" s="2">
        <v>1.2</v>
      </c>
      <c r="IQ1655" s="2">
        <v>1.7</v>
      </c>
      <c r="IR1655" s="2">
        <v>1.2</v>
      </c>
      <c r="IS1655" s="2">
        <v>0.8</v>
      </c>
      <c r="IT1655" s="2">
        <v>0.3</v>
      </c>
      <c r="IU1655" s="2">
        <v>0.3</v>
      </c>
      <c r="IV1655" s="2">
        <v>0.4</v>
      </c>
      <c r="IW1655" s="2">
        <v>0.6</v>
      </c>
      <c r="IX1655" s="2">
        <v>0.8</v>
      </c>
      <c r="IY1655" s="2">
        <v>0.4</v>
      </c>
      <c r="IZ1655" s="2">
        <v>0.7</v>
      </c>
      <c r="JA1655" s="2">
        <v>0.4</v>
      </c>
      <c r="JB1655" s="2">
        <v>0.1</v>
      </c>
      <c r="JC1655" s="2">
        <v>-0.4</v>
      </c>
      <c r="JD1655" s="2">
        <v>0.8</v>
      </c>
      <c r="JE1655" s="2">
        <v>0.8</v>
      </c>
      <c r="JF1655" s="2">
        <v>0.5</v>
      </c>
      <c r="JG1655" s="2">
        <v>0.7</v>
      </c>
      <c r="JH1655" s="2">
        <v>0.3</v>
      </c>
      <c r="JI1655" s="2">
        <v>0.9</v>
      </c>
      <c r="JJ1655" s="2">
        <v>0.6</v>
      </c>
      <c r="JK1655" s="2">
        <v>0.6</v>
      </c>
      <c r="JL1655" s="2">
        <v>0.5</v>
      </c>
      <c r="JM1655" s="2">
        <v>0.8</v>
      </c>
      <c r="JN1655" s="2">
        <v>0.6</v>
      </c>
      <c r="JO1655" s="2">
        <v>0.3</v>
      </c>
      <c r="JP1655" s="2">
        <v>0.6</v>
      </c>
      <c r="JQ1655" s="2">
        <v>1.2</v>
      </c>
      <c r="JR1655" s="2">
        <v>0.4</v>
      </c>
      <c r="JS1655" s="2">
        <v>0.6</v>
      </c>
      <c r="JT1655" s="2">
        <v>0.4</v>
      </c>
      <c r="JU1655" s="2">
        <v>0.4</v>
      </c>
      <c r="JV1655" s="2">
        <v>1</v>
      </c>
      <c r="KA1655" s="2">
        <v>0.2</v>
      </c>
      <c r="KB1655" s="2">
        <v>0.1</v>
      </c>
      <c r="KC1655" s="2">
        <v>0.6</v>
      </c>
      <c r="KD1655" s="2">
        <v>0.7</v>
      </c>
      <c r="KQ1655" s="2">
        <v>0.3</v>
      </c>
      <c r="KR1655" s="2">
        <v>0.5</v>
      </c>
      <c r="KS1655" s="2">
        <v>0.9</v>
      </c>
      <c r="KT1655" s="2">
        <v>0.6</v>
      </c>
      <c r="LG1655" s="2">
        <v>0.7</v>
      </c>
      <c r="LH1655" s="2">
        <v>0.9</v>
      </c>
      <c r="LI1655" s="2">
        <v>0.7</v>
      </c>
      <c r="LJ1655" s="2">
        <v>0.5</v>
      </c>
      <c r="LW1655" s="2">
        <v>0.4</v>
      </c>
      <c r="LX1655" s="2">
        <v>0.3</v>
      </c>
      <c r="LY1655" s="2">
        <v>0.3</v>
      </c>
      <c r="LZ1655" s="2">
        <v>0.7</v>
      </c>
      <c r="MM1655" s="2">
        <v>1.1</v>
      </c>
      <c r="MN1655" s="2">
        <v>0.8</v>
      </c>
      <c r="MO1655" s="2">
        <v>1.4</v>
      </c>
      <c r="MP1655" s="2">
        <v>2.4</v>
      </c>
      <c r="NC1655" s="2">
        <v>0.8</v>
      </c>
      <c r="ND1655" s="2">
        <v>1.3</v>
      </c>
      <c r="NE1655" s="2">
        <v>2.1</v>
      </c>
      <c r="NF1655" s="2">
        <v>1.6</v>
      </c>
      <c r="NS1655" s="2">
        <v>1</v>
      </c>
      <c r="NT1655" s="2">
        <v>0.8</v>
      </c>
      <c r="NU1655" s="2">
        <v>1</v>
      </c>
      <c r="NV1655" s="2">
        <v>1.1</v>
      </c>
      <c r="OI1655" s="2">
        <v>0.3</v>
      </c>
      <c r="OJ1655" s="2">
        <v>0.5</v>
      </c>
      <c r="OK1655" s="2">
        <v>1.1</v>
      </c>
      <c r="OL1655" s="2">
        <v>0.6</v>
      </c>
      <c r="OY1655" s="2">
        <v>0.5</v>
      </c>
      <c r="OZ1655" s="2">
        <v>0.6</v>
      </c>
      <c r="PA1655" s="2">
        <v>1</v>
      </c>
      <c r="PB1655" s="2">
        <v>1</v>
      </c>
      <c r="PJ1655" s="2">
        <v>0.4</v>
      </c>
      <c r="PK1655" s="2">
        <v>1.1</v>
      </c>
    </row>
    <row r="1656">
      <c r="A1656" t="inlineStr">
        <is>
          <t>A2329990V</t>
        </is>
      </c>
      <c r="B1656" t="inlineStr">
        <is>
          <t>Percentage Change from Previous Period ;  Property rates and charges ;  Australia ;</t>
        </is>
      </c>
      <c r="C1656" t="inlineStr">
        <is>
          <t>Quarter</t>
        </is>
      </c>
      <c r="D1656" t="inlineStr">
        <is>
          <t>Percent</t>
        </is>
      </c>
      <c r="E1656" t="inlineStr">
        <is>
          <t>Original</t>
        </is>
      </c>
      <c r="F1656" t="inlineStr">
        <is>
          <t>6401018.xlsx</t>
        </is>
      </c>
      <c r="G1656" t="inlineStr">
        <is>
          <t>1998Q3</t>
        </is>
      </c>
      <c r="H1656" t="inlineStr">
        <is>
          <t>2026Q2</t>
        </is>
      </c>
      <c r="HA1656" s="2">
        <v>3.1</v>
      </c>
      <c r="HB1656" s="2">
        <v>0.3</v>
      </c>
      <c r="HC1656" s="2">
        <v>0</v>
      </c>
      <c r="HD1656" s="2">
        <v>0</v>
      </c>
      <c r="HE1656" s="2">
        <v>5.2</v>
      </c>
      <c r="HF1656" s="2">
        <v>0</v>
      </c>
      <c r="HG1656" s="2">
        <v>0</v>
      </c>
      <c r="HH1656" s="2">
        <v>0</v>
      </c>
      <c r="HI1656" s="2">
        <v>4.9</v>
      </c>
      <c r="HJ1656" s="2">
        <v>0</v>
      </c>
      <c r="HK1656" s="2">
        <v>-0.6</v>
      </c>
      <c r="HL1656" s="2">
        <v>0</v>
      </c>
      <c r="HM1656" s="2">
        <v>4.9</v>
      </c>
      <c r="HN1656" s="2">
        <v>0</v>
      </c>
      <c r="HO1656" s="2">
        <v>0</v>
      </c>
      <c r="HP1656" s="2">
        <v>0</v>
      </c>
      <c r="HQ1656" s="2">
        <v>6.1</v>
      </c>
      <c r="HR1656" s="2">
        <v>0</v>
      </c>
      <c r="HS1656" s="2">
        <v>0</v>
      </c>
      <c r="HT1656" s="2">
        <v>0</v>
      </c>
      <c r="HU1656" s="2">
        <v>6.1</v>
      </c>
      <c r="HV1656" s="2">
        <v>0</v>
      </c>
      <c r="HW1656" s="2">
        <v>0.1</v>
      </c>
      <c r="HX1656" s="2">
        <v>0</v>
      </c>
      <c r="HY1656" s="2">
        <v>5.1</v>
      </c>
      <c r="HZ1656" s="2">
        <v>0</v>
      </c>
      <c r="IA1656" s="2">
        <v>0</v>
      </c>
      <c r="IB1656" s="2">
        <v>0</v>
      </c>
      <c r="IC1656" s="2">
        <v>4.9</v>
      </c>
      <c r="ID1656" s="2">
        <v>0</v>
      </c>
      <c r="IE1656" s="2">
        <v>0</v>
      </c>
      <c r="IF1656" s="2">
        <v>0</v>
      </c>
      <c r="IG1656" s="2">
        <v>5.6</v>
      </c>
      <c r="IH1656" s="2">
        <v>0</v>
      </c>
      <c r="II1656" s="2">
        <v>0</v>
      </c>
      <c r="IJ1656" s="2">
        <v>0</v>
      </c>
      <c r="IK1656" s="2">
        <v>4.5</v>
      </c>
      <c r="IL1656" s="2">
        <v>0</v>
      </c>
      <c r="IM1656" s="2">
        <v>0</v>
      </c>
      <c r="IN1656" s="2">
        <v>0</v>
      </c>
      <c r="IO1656" s="2">
        <v>6.1</v>
      </c>
      <c r="IP1656" s="2">
        <v>0</v>
      </c>
      <c r="IQ1656" s="2">
        <v>0</v>
      </c>
      <c r="IR1656" s="2">
        <v>0</v>
      </c>
      <c r="IS1656" s="2">
        <v>5.7</v>
      </c>
      <c r="IT1656" s="2">
        <v>0</v>
      </c>
      <c r="IU1656" s="2">
        <v>0</v>
      </c>
      <c r="IV1656" s="2">
        <v>0</v>
      </c>
      <c r="IW1656" s="2">
        <v>6.1</v>
      </c>
      <c r="IX1656" s="2">
        <v>0</v>
      </c>
      <c r="IY1656" s="2">
        <v>0</v>
      </c>
      <c r="IZ1656" s="2">
        <v>0</v>
      </c>
      <c r="JA1656" s="2">
        <v>5.3</v>
      </c>
      <c r="JB1656" s="2">
        <v>0</v>
      </c>
      <c r="JC1656" s="2">
        <v>0</v>
      </c>
      <c r="JD1656" s="2">
        <v>0</v>
      </c>
      <c r="JE1656" s="2">
        <v>5.8</v>
      </c>
      <c r="JF1656" s="2">
        <v>0</v>
      </c>
      <c r="JG1656" s="2">
        <v>0</v>
      </c>
      <c r="JH1656" s="2">
        <v>0</v>
      </c>
      <c r="JI1656" s="2">
        <v>7.9</v>
      </c>
      <c r="JJ1656" s="2">
        <v>0</v>
      </c>
      <c r="JK1656" s="2">
        <v>0</v>
      </c>
      <c r="JL1656" s="2">
        <v>0</v>
      </c>
      <c r="JM1656" s="2">
        <v>6.3</v>
      </c>
      <c r="JN1656" s="2">
        <v>0</v>
      </c>
      <c r="JO1656" s="2">
        <v>0</v>
      </c>
      <c r="JP1656" s="2">
        <v>0</v>
      </c>
      <c r="JQ1656" s="2">
        <v>4.6</v>
      </c>
      <c r="JR1656" s="2">
        <v>0</v>
      </c>
      <c r="JS1656" s="2">
        <v>0</v>
      </c>
      <c r="JT1656" s="2">
        <v>0</v>
      </c>
      <c r="JU1656" s="2">
        <v>4</v>
      </c>
      <c r="JV1656" s="2">
        <v>0</v>
      </c>
      <c r="KA1656" s="2">
        <v>0</v>
      </c>
      <c r="KB1656" s="2">
        <v>0</v>
      </c>
      <c r="KC1656" s="2">
        <v>2.6</v>
      </c>
      <c r="KD1656" s="2">
        <v>0</v>
      </c>
      <c r="KQ1656" s="2">
        <v>0</v>
      </c>
      <c r="KR1656" s="2">
        <v>0</v>
      </c>
      <c r="KS1656" s="2">
        <v>2.3</v>
      </c>
      <c r="KT1656" s="2">
        <v>0</v>
      </c>
      <c r="LG1656" s="2">
        <v>0</v>
      </c>
      <c r="LH1656" s="2">
        <v>0</v>
      </c>
      <c r="LI1656" s="2">
        <v>2.5</v>
      </c>
      <c r="LJ1656" s="2">
        <v>0</v>
      </c>
      <c r="LW1656" s="2">
        <v>0</v>
      </c>
      <c r="LX1656" s="2">
        <v>0</v>
      </c>
      <c r="LY1656" s="2">
        <v>1.3</v>
      </c>
      <c r="LZ1656" s="2">
        <v>0</v>
      </c>
      <c r="MM1656" s="2">
        <v>0</v>
      </c>
      <c r="MN1656" s="2">
        <v>0</v>
      </c>
      <c r="MO1656" s="2">
        <v>3.3</v>
      </c>
      <c r="MP1656" s="2">
        <v>0</v>
      </c>
      <c r="NC1656" s="2">
        <v>0</v>
      </c>
      <c r="ND1656" s="2">
        <v>0</v>
      </c>
      <c r="NE1656" s="2">
        <v>3.7</v>
      </c>
      <c r="NF1656" s="2">
        <v>0</v>
      </c>
      <c r="NS1656" s="2">
        <v>0</v>
      </c>
      <c r="NT1656" s="2">
        <v>0</v>
      </c>
      <c r="NU1656" s="2">
        <v>4.3</v>
      </c>
      <c r="NV1656" s="2">
        <v>0</v>
      </c>
      <c r="OI1656" s="2">
        <v>0</v>
      </c>
      <c r="OJ1656" s="2">
        <v>0</v>
      </c>
      <c r="OK1656" s="2">
        <v>5</v>
      </c>
      <c r="OL1656" s="2">
        <v>0</v>
      </c>
      <c r="OY1656" s="2">
        <v>0</v>
      </c>
      <c r="OZ1656" s="2">
        <v>0</v>
      </c>
      <c r="PA1656" s="2">
        <v>6.2</v>
      </c>
      <c r="PB1656" s="2">
        <v>4.1</v>
      </c>
      <c r="PJ1656" s="2">
        <v>0</v>
      </c>
      <c r="PK1656" s="2">
        <v>0</v>
      </c>
    </row>
    <row r="1657">
      <c r="A1657" t="inlineStr">
        <is>
          <t>A2326525J</t>
        </is>
      </c>
      <c r="B1657" t="inlineStr">
        <is>
          <t>Percentage Change from Previous Period ;  Utilities ;  Australia ;</t>
        </is>
      </c>
      <c r="C1657" t="inlineStr">
        <is>
          <t>Quarter</t>
        </is>
      </c>
      <c r="D1657" t="inlineStr">
        <is>
          <t>Percent</t>
        </is>
      </c>
      <c r="E1657" t="inlineStr">
        <is>
          <t>Original</t>
        </is>
      </c>
      <c r="F1657" t="inlineStr">
        <is>
          <t>6401018.xlsx</t>
        </is>
      </c>
      <c r="G1657" t="inlineStr">
        <is>
          <t>1972Q4</t>
        </is>
      </c>
      <c r="H1657" t="inlineStr">
        <is>
          <t>2026Q2</t>
        </is>
      </c>
      <c r="DB1657" s="2">
        <v>0</v>
      </c>
      <c r="DC1657" s="2">
        <v>0.5</v>
      </c>
      <c r="DD1657" s="2">
        <v>0</v>
      </c>
      <c r="DE1657" s="2">
        <v>4.8</v>
      </c>
      <c r="DF1657" s="2">
        <v>0</v>
      </c>
      <c r="DG1657" s="2">
        <v>3.5</v>
      </c>
      <c r="DH1657" s="2">
        <v>3.8</v>
      </c>
      <c r="DI1657" s="2">
        <v>3.7</v>
      </c>
      <c r="DJ1657" s="2">
        <v>2.2</v>
      </c>
      <c r="DK1657" s="2">
        <v>9.1</v>
      </c>
      <c r="DL1657" s="2">
        <v>5.7</v>
      </c>
      <c r="DM1657" s="2">
        <v>2.2</v>
      </c>
      <c r="DN1657" s="2">
        <v>2.6</v>
      </c>
      <c r="DO1657" s="2">
        <v>2.6</v>
      </c>
      <c r="DP1657" s="2">
        <v>2.2</v>
      </c>
      <c r="DQ1657" s="2">
        <v>0.3</v>
      </c>
      <c r="DR1657" s="2">
        <v>1.1</v>
      </c>
      <c r="DS1657" s="2">
        <v>5.7</v>
      </c>
      <c r="DT1657" s="2">
        <v>0.3</v>
      </c>
      <c r="DU1657" s="2">
        <v>1</v>
      </c>
      <c r="DV1657" s="2">
        <v>4.5</v>
      </c>
      <c r="DW1657" s="2">
        <v>0.5</v>
      </c>
      <c r="DX1657" s="2">
        <v>4.3</v>
      </c>
      <c r="DY1657" s="2">
        <v>0.5</v>
      </c>
      <c r="DZ1657" s="2">
        <v>2.9</v>
      </c>
      <c r="EA1657" s="2">
        <v>4.7</v>
      </c>
      <c r="EB1657" s="2">
        <v>1.9</v>
      </c>
      <c r="EC1657" s="2">
        <v>3.6</v>
      </c>
      <c r="ED1657" s="2">
        <v>3.4</v>
      </c>
      <c r="EE1657" s="2">
        <v>5.6</v>
      </c>
      <c r="EF1657" s="2">
        <v>2.1</v>
      </c>
      <c r="EG1657" s="2">
        <v>3.8</v>
      </c>
      <c r="EH1657" s="2">
        <v>0.9</v>
      </c>
      <c r="EI1657" s="2">
        <v>6.9</v>
      </c>
      <c r="EJ1657" s="2">
        <v>0.9</v>
      </c>
      <c r="EK1657" s="2">
        <v>4</v>
      </c>
      <c r="EL1657" s="2">
        <v>3.1</v>
      </c>
      <c r="EM1657" s="2">
        <v>6.7</v>
      </c>
      <c r="EN1657" s="2">
        <v>3.9</v>
      </c>
      <c r="EO1657" s="2">
        <v>7.9</v>
      </c>
      <c r="EP1657" s="2">
        <v>7</v>
      </c>
      <c r="EQ1657" s="2">
        <v>0.9</v>
      </c>
      <c r="ER1657" s="2">
        <v>0</v>
      </c>
      <c r="ES1657" s="2">
        <v>2.9</v>
      </c>
      <c r="ET1657" s="2">
        <v>4.5</v>
      </c>
      <c r="EU1657" s="2">
        <v>-0.4</v>
      </c>
      <c r="EV1657" s="2">
        <v>-1.3</v>
      </c>
      <c r="EW1657" s="2">
        <v>2.7</v>
      </c>
      <c r="EX1657" s="2">
        <v>2.5</v>
      </c>
      <c r="EY1657" s="2">
        <v>2.5</v>
      </c>
      <c r="EZ1657" s="2">
        <v>1</v>
      </c>
      <c r="FA1657" s="2">
        <v>1.5</v>
      </c>
      <c r="FB1657" s="2">
        <v>1.2</v>
      </c>
      <c r="FC1657" s="2">
        <v>2</v>
      </c>
      <c r="FD1657" s="2">
        <v>-0.2</v>
      </c>
      <c r="FE1657" s="2">
        <v>2</v>
      </c>
      <c r="FF1657" s="2">
        <v>1.9</v>
      </c>
      <c r="FG1657" s="2">
        <v>0.7</v>
      </c>
      <c r="FH1657" s="2">
        <v>0.2</v>
      </c>
      <c r="FI1657" s="2">
        <v>4.2</v>
      </c>
      <c r="FJ1657" s="2">
        <v>1.1</v>
      </c>
      <c r="FK1657" s="2">
        <v>0.3</v>
      </c>
      <c r="FL1657" s="2">
        <v>0.1</v>
      </c>
      <c r="FM1657" s="2">
        <v>3.8</v>
      </c>
      <c r="FN1657" s="2">
        <v>0.4</v>
      </c>
      <c r="FO1657" s="2">
        <v>0.1</v>
      </c>
      <c r="FP1657" s="2">
        <v>0.1</v>
      </c>
      <c r="FQ1657" s="2">
        <v>2.9</v>
      </c>
      <c r="FR1657" s="2">
        <v>1</v>
      </c>
      <c r="FS1657" s="2">
        <v>0.3</v>
      </c>
      <c r="FT1657" s="2">
        <v>0.1</v>
      </c>
      <c r="FU1657" s="2">
        <v>-1.7</v>
      </c>
      <c r="FV1657" s="2">
        <v>6.8</v>
      </c>
      <c r="FW1657" s="2">
        <v>0.5</v>
      </c>
      <c r="FX1657" s="2">
        <v>-0.1</v>
      </c>
      <c r="FY1657" s="2">
        <v>3.9</v>
      </c>
      <c r="FZ1657" s="2">
        <v>0.4</v>
      </c>
      <c r="GA1657" s="2">
        <v>0.2</v>
      </c>
      <c r="GB1657" s="2">
        <v>0</v>
      </c>
      <c r="GC1657" s="2">
        <v>1.6</v>
      </c>
      <c r="GD1657" s="2">
        <v>2.1</v>
      </c>
      <c r="GE1657" s="2">
        <v>1.6</v>
      </c>
      <c r="GF1657" s="2">
        <v>0.1</v>
      </c>
      <c r="GG1657" s="2">
        <v>0.8</v>
      </c>
      <c r="GH1657" s="2">
        <v>0.1</v>
      </c>
      <c r="GI1657" s="2">
        <v>0.1</v>
      </c>
      <c r="GJ1657" s="2">
        <v>0</v>
      </c>
      <c r="GK1657" s="2">
        <v>0.5</v>
      </c>
      <c r="GL1657" s="2">
        <v>0.1</v>
      </c>
      <c r="GM1657" s="2">
        <v>0.1</v>
      </c>
      <c r="GN1657" s="2">
        <v>0.1</v>
      </c>
      <c r="GO1657" s="2">
        <v>0.4</v>
      </c>
      <c r="GP1657" s="2">
        <v>0</v>
      </c>
      <c r="GQ1657" s="2">
        <v>0.1</v>
      </c>
      <c r="GR1657" s="2">
        <v>0</v>
      </c>
      <c r="GS1657" s="2">
        <v>1.3</v>
      </c>
      <c r="GT1657" s="2">
        <v>0.1</v>
      </c>
      <c r="GU1657" s="2">
        <v>0.3</v>
      </c>
      <c r="GV1657" s="2">
        <v>-0.1</v>
      </c>
      <c r="GW1657" s="2">
        <v>1</v>
      </c>
      <c r="GX1657" s="2">
        <v>0</v>
      </c>
      <c r="GY1657" s="2">
        <v>-0.1</v>
      </c>
      <c r="GZ1657" s="2">
        <v>0.1</v>
      </c>
      <c r="HA1657" s="2">
        <v>-1.9</v>
      </c>
      <c r="HB1657" s="2">
        <v>0.8</v>
      </c>
      <c r="HC1657" s="2">
        <v>0.2</v>
      </c>
      <c r="HD1657" s="2">
        <v>-0.6</v>
      </c>
      <c r="HE1657" s="2">
        <v>0.8</v>
      </c>
      <c r="HF1657" s="2">
        <v>0.7</v>
      </c>
      <c r="HG1657" s="2">
        <v>0.2</v>
      </c>
      <c r="HH1657" s="2">
        <v>-0.4</v>
      </c>
      <c r="HI1657" s="2">
        <v>8.800000000000001</v>
      </c>
      <c r="HJ1657" s="2">
        <v>-0.1</v>
      </c>
      <c r="HK1657" s="2">
        <v>0.2</v>
      </c>
      <c r="HL1657" s="2">
        <v>-0.2</v>
      </c>
      <c r="HM1657" s="2">
        <v>3.2</v>
      </c>
      <c r="HN1657" s="2">
        <v>-0.3</v>
      </c>
      <c r="HO1657" s="2">
        <v>1.8</v>
      </c>
      <c r="HP1657" s="2">
        <v>-0.3</v>
      </c>
      <c r="HQ1657" s="2">
        <v>2.4</v>
      </c>
      <c r="HR1657" s="2">
        <v>-0.3</v>
      </c>
      <c r="HS1657" s="2">
        <v>3.8</v>
      </c>
      <c r="HT1657" s="2">
        <v>-0.6</v>
      </c>
      <c r="HU1657" s="2">
        <v>2.4</v>
      </c>
      <c r="HV1657" s="2">
        <v>-0.3</v>
      </c>
      <c r="HW1657" s="2">
        <v>1.8</v>
      </c>
      <c r="HX1657" s="2">
        <v>-0.9</v>
      </c>
      <c r="HY1657" s="2">
        <v>2.2</v>
      </c>
      <c r="HZ1657" s="2">
        <v>0.5</v>
      </c>
      <c r="IA1657" s="2">
        <v>1.6</v>
      </c>
      <c r="IB1657" s="2">
        <v>-0.6</v>
      </c>
      <c r="IC1657" s="2">
        <v>2.1</v>
      </c>
      <c r="ID1657" s="2">
        <v>0.8</v>
      </c>
      <c r="IE1657" s="2">
        <v>1.6</v>
      </c>
      <c r="IF1657" s="2">
        <v>-0.5</v>
      </c>
      <c r="IG1657" s="2">
        <v>2.9</v>
      </c>
      <c r="IH1657" s="2">
        <v>0.2</v>
      </c>
      <c r="II1657" s="2">
        <v>1.3</v>
      </c>
      <c r="IJ1657" s="2">
        <v>-0.5</v>
      </c>
      <c r="IK1657" s="2">
        <v>4.2</v>
      </c>
      <c r="IL1657" s="2">
        <v>0.4</v>
      </c>
      <c r="IM1657" s="2">
        <v>3.7</v>
      </c>
      <c r="IN1657" s="2">
        <v>-0.2</v>
      </c>
      <c r="IO1657" s="2">
        <v>6.5</v>
      </c>
      <c r="IP1657" s="2">
        <v>0.4</v>
      </c>
      <c r="IQ1657" s="2">
        <v>2.7</v>
      </c>
      <c r="IR1657" s="2">
        <v>-0.3</v>
      </c>
      <c r="IS1657" s="2">
        <v>10.2</v>
      </c>
      <c r="IT1657" s="2">
        <v>0.8</v>
      </c>
      <c r="IU1657" s="2">
        <v>3.8</v>
      </c>
      <c r="IV1657" s="2">
        <v>0</v>
      </c>
      <c r="IW1657" s="2">
        <v>7</v>
      </c>
      <c r="IX1657" s="2">
        <v>0.4</v>
      </c>
      <c r="IY1657" s="2">
        <v>3</v>
      </c>
      <c r="IZ1657" s="2">
        <v>-0.6</v>
      </c>
      <c r="JA1657" s="2">
        <v>7.2</v>
      </c>
      <c r="JB1657" s="2">
        <v>0.4</v>
      </c>
      <c r="JC1657" s="2">
        <v>2.1</v>
      </c>
      <c r="JD1657" s="2">
        <v>0</v>
      </c>
      <c r="JE1657" s="2">
        <v>12.2</v>
      </c>
      <c r="JF1657" s="2">
        <v>-0.3</v>
      </c>
      <c r="JG1657" s="2">
        <v>1.4</v>
      </c>
      <c r="JH1657" s="2">
        <v>-0.2</v>
      </c>
      <c r="JI1657" s="2">
        <v>5.7</v>
      </c>
      <c r="JJ1657" s="2">
        <v>-0.2</v>
      </c>
      <c r="JK1657" s="2">
        <v>1.4</v>
      </c>
      <c r="JL1657" s="2">
        <v>-0.3</v>
      </c>
      <c r="JM1657" s="2">
        <v>-2.8</v>
      </c>
      <c r="JN1657" s="2">
        <v>-0.3</v>
      </c>
      <c r="JO1657" s="2">
        <v>1.6</v>
      </c>
      <c r="JP1657" s="2">
        <v>-0.1</v>
      </c>
      <c r="JQ1657" s="2">
        <v>-0.5</v>
      </c>
      <c r="JR1657" s="2">
        <v>-0.3</v>
      </c>
      <c r="JS1657" s="2">
        <v>0.5</v>
      </c>
      <c r="JT1657" s="2">
        <v>-0.2</v>
      </c>
      <c r="JU1657" s="2">
        <v>2.5</v>
      </c>
      <c r="JV1657" s="2">
        <v>-0.3</v>
      </c>
      <c r="KA1657" s="2">
        <v>2.2</v>
      </c>
      <c r="KB1657" s="2">
        <v>0</v>
      </c>
      <c r="KC1657" s="2">
        <v>6.8</v>
      </c>
      <c r="KD1657" s="2">
        <v>0.1</v>
      </c>
      <c r="KQ1657" s="2">
        <v>2.2</v>
      </c>
      <c r="KR1657" s="2">
        <v>-1.2</v>
      </c>
      <c r="KS1657" s="2">
        <v>0.8</v>
      </c>
      <c r="KT1657" s="2">
        <v>0.1</v>
      </c>
      <c r="LG1657" s="2">
        <v>-0.1</v>
      </c>
      <c r="LH1657" s="2">
        <v>-1.1</v>
      </c>
      <c r="LI1657" s="2">
        <v>0.7</v>
      </c>
      <c r="LJ1657" s="2">
        <v>-0.6</v>
      </c>
      <c r="LW1657" s="2">
        <v>0.8</v>
      </c>
      <c r="LX1657" s="2">
        <v>-1.7</v>
      </c>
      <c r="LY1657" s="2">
        <v>-1.1</v>
      </c>
      <c r="LZ1657" s="2">
        <v>-4.7</v>
      </c>
      <c r="MM1657" s="2">
        <v>-0.1</v>
      </c>
      <c r="MN1657" s="2">
        <v>1.8</v>
      </c>
      <c r="MO1657" s="2">
        <v>0.4</v>
      </c>
      <c r="MP1657" s="2">
        <v>0.3</v>
      </c>
      <c r="NC1657" s="2">
        <v>1.2</v>
      </c>
      <c r="ND1657" s="2">
        <v>-0.3</v>
      </c>
      <c r="NE1657" s="2">
        <v>4.8</v>
      </c>
      <c r="NF1657" s="2">
        <v>4.5</v>
      </c>
      <c r="NS1657" s="2">
        <v>5.2</v>
      </c>
      <c r="NT1657" s="2">
        <v>-1.1</v>
      </c>
      <c r="NU1657" s="2">
        <v>3.6</v>
      </c>
      <c r="NV1657" s="2">
        <v>0.6</v>
      </c>
      <c r="OI1657" s="2">
        <v>-1.3</v>
      </c>
      <c r="OJ1657" s="2">
        <v>0.8</v>
      </c>
      <c r="OK1657" s="2">
        <v>-7.7</v>
      </c>
      <c r="OL1657" s="2">
        <v>-4.9</v>
      </c>
      <c r="OY1657" s="2">
        <v>8.199999999999999</v>
      </c>
      <c r="OZ1657" s="2">
        <v>3.9</v>
      </c>
      <c r="PA1657" s="2">
        <v>7.1</v>
      </c>
      <c r="PB1657" s="2">
        <v>-3.9</v>
      </c>
      <c r="PJ1657" s="2">
        <v>12.1</v>
      </c>
      <c r="PK1657" s="2">
        <v>-0.3</v>
      </c>
    </row>
    <row r="1658">
      <c r="A1658" t="inlineStr">
        <is>
          <t>A2329900C</t>
        </is>
      </c>
      <c r="B1658" t="inlineStr">
        <is>
          <t>Percentage Change from Previous Period ;  Water and sewerage ;  Australia ;</t>
        </is>
      </c>
      <c r="C1658" t="inlineStr">
        <is>
          <t>Quarter</t>
        </is>
      </c>
      <c r="D1658" t="inlineStr">
        <is>
          <t>Percent</t>
        </is>
      </c>
      <c r="E1658" t="inlineStr">
        <is>
          <t>Original</t>
        </is>
      </c>
      <c r="F1658" t="inlineStr">
        <is>
          <t>6401018.xlsx</t>
        </is>
      </c>
      <c r="G1658" t="inlineStr">
        <is>
          <t>1998Q3</t>
        </is>
      </c>
      <c r="H1658" t="inlineStr">
        <is>
          <t>2026Q2</t>
        </is>
      </c>
      <c r="HA1658" s="2">
        <v>1.9</v>
      </c>
      <c r="HB1658" s="2">
        <v>0.7</v>
      </c>
      <c r="HC1658" s="2">
        <v>0</v>
      </c>
      <c r="HD1658" s="2">
        <v>0</v>
      </c>
      <c r="HE1658" s="2">
        <v>3.1</v>
      </c>
      <c r="HF1658" s="2">
        <v>0.4</v>
      </c>
      <c r="HG1658" s="2">
        <v>0.1</v>
      </c>
      <c r="HH1658" s="2">
        <v>0</v>
      </c>
      <c r="HI1658" s="2">
        <v>1.5</v>
      </c>
      <c r="HJ1658" s="2">
        <v>0.2</v>
      </c>
      <c r="HK1658" s="2">
        <v>-0.4</v>
      </c>
      <c r="HL1658" s="2">
        <v>0</v>
      </c>
      <c r="HM1658" s="2">
        <v>2.9</v>
      </c>
      <c r="HN1658" s="2">
        <v>0.9</v>
      </c>
      <c r="HO1658" s="2">
        <v>0.1</v>
      </c>
      <c r="HP1658" s="2">
        <v>0</v>
      </c>
      <c r="HQ1658" s="2">
        <v>3</v>
      </c>
      <c r="HR1658" s="2">
        <v>0.5</v>
      </c>
      <c r="HS1658" s="2">
        <v>0.1</v>
      </c>
      <c r="HT1658" s="2">
        <v>0</v>
      </c>
      <c r="HU1658" s="2">
        <v>4</v>
      </c>
      <c r="HV1658" s="2">
        <v>0.4</v>
      </c>
      <c r="HW1658" s="2">
        <v>0.2</v>
      </c>
      <c r="HX1658" s="2">
        <v>0</v>
      </c>
      <c r="HY1658" s="2">
        <v>2.3</v>
      </c>
      <c r="HZ1658" s="2">
        <v>0.6</v>
      </c>
      <c r="IA1658" s="2">
        <v>0.6</v>
      </c>
      <c r="IB1658" s="2">
        <v>0</v>
      </c>
      <c r="IC1658" s="2">
        <v>3</v>
      </c>
      <c r="ID1658" s="2">
        <v>2</v>
      </c>
      <c r="IE1658" s="2">
        <v>1</v>
      </c>
      <c r="IF1658" s="2">
        <v>0</v>
      </c>
      <c r="IG1658" s="2">
        <v>4.7</v>
      </c>
      <c r="IH1658" s="2">
        <v>0.4</v>
      </c>
      <c r="II1658" s="2">
        <v>0</v>
      </c>
      <c r="IJ1658" s="2">
        <v>0</v>
      </c>
      <c r="IK1658" s="2">
        <v>5.5</v>
      </c>
      <c r="IL1658" s="2">
        <v>0.4</v>
      </c>
      <c r="IM1658" s="2">
        <v>0</v>
      </c>
      <c r="IN1658" s="2">
        <v>0</v>
      </c>
      <c r="IO1658" s="2">
        <v>12.3</v>
      </c>
      <c r="IP1658" s="2">
        <v>0.7</v>
      </c>
      <c r="IQ1658" s="2">
        <v>0</v>
      </c>
      <c r="IR1658" s="2">
        <v>0</v>
      </c>
      <c r="IS1658" s="2">
        <v>14.1</v>
      </c>
      <c r="IT1658" s="2">
        <v>0</v>
      </c>
      <c r="IU1658" s="2">
        <v>0</v>
      </c>
      <c r="IV1658" s="2">
        <v>0</v>
      </c>
      <c r="IW1658" s="2">
        <v>12.8</v>
      </c>
      <c r="IX1658" s="2">
        <v>0</v>
      </c>
      <c r="IY1658" s="2">
        <v>0</v>
      </c>
      <c r="IZ1658" s="2">
        <v>0</v>
      </c>
      <c r="JA1658" s="2">
        <v>8.6</v>
      </c>
      <c r="JB1658" s="2">
        <v>0</v>
      </c>
      <c r="JC1658" s="2">
        <v>0.7</v>
      </c>
      <c r="JD1658" s="2">
        <v>0</v>
      </c>
      <c r="JE1658" s="2">
        <v>3.2</v>
      </c>
      <c r="JF1658" s="2">
        <v>0</v>
      </c>
      <c r="JG1658" s="2">
        <v>-0.7</v>
      </c>
      <c r="JH1658" s="2">
        <v>0</v>
      </c>
      <c r="JI1658" s="2">
        <v>9.9</v>
      </c>
      <c r="JJ1658" s="2">
        <v>0</v>
      </c>
      <c r="JK1658" s="2">
        <v>0.8</v>
      </c>
      <c r="JL1658" s="2">
        <v>0.2</v>
      </c>
      <c r="JM1658" s="2">
        <v>-0.6</v>
      </c>
      <c r="JN1658" s="2">
        <v>-0.1</v>
      </c>
      <c r="JO1658" s="2">
        <v>-0.3</v>
      </c>
      <c r="JP1658" s="2">
        <v>0</v>
      </c>
      <c r="JQ1658" s="2">
        <v>2.6</v>
      </c>
      <c r="JR1658" s="2">
        <v>0</v>
      </c>
      <c r="JS1658" s="2">
        <v>0</v>
      </c>
      <c r="JT1658" s="2">
        <v>0</v>
      </c>
      <c r="JU1658" s="2">
        <v>-1.8</v>
      </c>
      <c r="JV1658" s="2">
        <v>0</v>
      </c>
      <c r="KA1658" s="2">
        <v>0</v>
      </c>
      <c r="KB1658" s="2">
        <v>0</v>
      </c>
      <c r="KC1658" s="2">
        <v>3.2</v>
      </c>
      <c r="KD1658" s="2">
        <v>0</v>
      </c>
      <c r="KQ1658" s="2">
        <v>0</v>
      </c>
      <c r="KR1658" s="2">
        <v>0</v>
      </c>
      <c r="KS1658" s="2">
        <v>1.3</v>
      </c>
      <c r="KT1658" s="2">
        <v>0</v>
      </c>
      <c r="LG1658" s="2">
        <v>0</v>
      </c>
      <c r="LH1658" s="2">
        <v>0</v>
      </c>
      <c r="LI1658" s="2">
        <v>2.2</v>
      </c>
      <c r="LJ1658" s="2">
        <v>0.6</v>
      </c>
      <c r="LW1658" s="2">
        <v>0</v>
      </c>
      <c r="LX1658" s="2">
        <v>-0.6</v>
      </c>
      <c r="LY1658" s="2">
        <v>-2.7</v>
      </c>
      <c r="LZ1658" s="2">
        <v>0</v>
      </c>
      <c r="MM1658" s="2">
        <v>0.2</v>
      </c>
      <c r="MN1658" s="2">
        <v>0</v>
      </c>
      <c r="MO1658" s="2">
        <v>0.1</v>
      </c>
      <c r="MP1658" s="2">
        <v>0</v>
      </c>
      <c r="NC1658" s="2">
        <v>0</v>
      </c>
      <c r="ND1658" s="2">
        <v>0</v>
      </c>
      <c r="NE1658" s="2">
        <v>2.6</v>
      </c>
      <c r="NF1658" s="2">
        <v>-2.1</v>
      </c>
      <c r="NS1658" s="2">
        <v>1</v>
      </c>
      <c r="NT1658" s="2">
        <v>0.9</v>
      </c>
      <c r="NU1658" s="2">
        <v>4.8</v>
      </c>
      <c r="NV1658" s="2">
        <v>0</v>
      </c>
      <c r="OI1658" s="2">
        <v>0</v>
      </c>
      <c r="OJ1658" s="2">
        <v>0</v>
      </c>
      <c r="OK1658" s="2">
        <v>2.7</v>
      </c>
      <c r="OL1658" s="2">
        <v>0</v>
      </c>
      <c r="OY1658" s="2">
        <v>0</v>
      </c>
      <c r="OZ1658" s="2">
        <v>0</v>
      </c>
      <c r="PA1658" s="2">
        <v>2.7</v>
      </c>
      <c r="PB1658" s="2">
        <v>4.2</v>
      </c>
      <c r="PJ1658" s="2">
        <v>0</v>
      </c>
      <c r="PK1658" s="2">
        <v>0</v>
      </c>
    </row>
    <row r="1659">
      <c r="A1659" t="inlineStr">
        <is>
          <t>A2328145T</t>
        </is>
      </c>
      <c r="B1659" t="inlineStr">
        <is>
          <t>Percentage Change from Previous Period ;  Electricity ;  Australia ;</t>
        </is>
      </c>
      <c r="C1659" t="inlineStr">
        <is>
          <t>Quarter</t>
        </is>
      </c>
      <c r="D1659" t="inlineStr">
        <is>
          <t>Percent</t>
        </is>
      </c>
      <c r="E1659" t="inlineStr">
        <is>
          <t>Original</t>
        </is>
      </c>
      <c r="F1659" t="inlineStr">
        <is>
          <t>6401018.xlsx</t>
        </is>
      </c>
      <c r="G1659" t="inlineStr">
        <is>
          <t>1980Q4</t>
        </is>
      </c>
      <c r="H1659" t="inlineStr">
        <is>
          <t>2026Q2</t>
        </is>
      </c>
      <c r="EH1659" s="2">
        <v>0.7</v>
      </c>
      <c r="EI1659" s="2">
        <v>8.9</v>
      </c>
      <c r="EJ1659" s="2">
        <v>0.9</v>
      </c>
      <c r="EK1659" s="2">
        <v>4.1</v>
      </c>
      <c r="EL1659" s="2">
        <v>2.2</v>
      </c>
      <c r="EM1659" s="2">
        <v>9</v>
      </c>
      <c r="EN1659" s="2">
        <v>4.8</v>
      </c>
      <c r="EO1659" s="2">
        <v>9.800000000000001</v>
      </c>
      <c r="EP1659" s="2">
        <v>7</v>
      </c>
      <c r="EQ1659" s="2">
        <v>0.6</v>
      </c>
      <c r="ER1659" s="2">
        <v>-0.2</v>
      </c>
      <c r="ES1659" s="2">
        <v>3.1</v>
      </c>
      <c r="ET1659" s="2">
        <v>4.5</v>
      </c>
      <c r="EU1659" s="2">
        <v>-1.2</v>
      </c>
      <c r="EV1659" s="2">
        <v>-1.9</v>
      </c>
      <c r="EW1659" s="2">
        <v>3.3</v>
      </c>
      <c r="EX1659" s="2">
        <v>2.7</v>
      </c>
      <c r="EY1659" s="2">
        <v>3.1</v>
      </c>
      <c r="EZ1659" s="2">
        <v>0.4</v>
      </c>
      <c r="FA1659" s="2">
        <v>1.7</v>
      </c>
      <c r="FB1659" s="2">
        <v>0.9</v>
      </c>
      <c r="FC1659" s="2">
        <v>2.4</v>
      </c>
      <c r="FD1659" s="2">
        <v>0.6</v>
      </c>
      <c r="FE1659" s="2">
        <v>1.7</v>
      </c>
      <c r="FF1659" s="2">
        <v>1.4</v>
      </c>
      <c r="FG1659" s="2">
        <v>0.6</v>
      </c>
      <c r="FH1659" s="2">
        <v>0.2</v>
      </c>
      <c r="FI1659" s="2">
        <v>4.7</v>
      </c>
      <c r="FJ1659" s="2">
        <v>0.8</v>
      </c>
      <c r="FK1659" s="2">
        <v>0.3</v>
      </c>
      <c r="FL1659" s="2">
        <v>0.1</v>
      </c>
      <c r="FM1659" s="2">
        <v>4.5</v>
      </c>
      <c r="FN1659" s="2">
        <v>0.3</v>
      </c>
      <c r="FO1659" s="2">
        <v>0.2</v>
      </c>
      <c r="FP1659" s="2">
        <v>0</v>
      </c>
      <c r="FQ1659" s="2">
        <v>3</v>
      </c>
      <c r="FR1659" s="2">
        <v>0.6</v>
      </c>
      <c r="FS1659" s="2">
        <v>0.1</v>
      </c>
      <c r="FT1659" s="2">
        <v>0</v>
      </c>
      <c r="FU1659" s="2">
        <v>-3.6</v>
      </c>
      <c r="FV1659" s="2">
        <v>8.699999999999999</v>
      </c>
      <c r="FW1659" s="2">
        <v>0.3</v>
      </c>
      <c r="FX1659" s="2">
        <v>0.1</v>
      </c>
      <c r="FY1659" s="2">
        <v>4</v>
      </c>
      <c r="FZ1659" s="2">
        <v>0.5</v>
      </c>
      <c r="GA1659" s="2">
        <v>0.1</v>
      </c>
      <c r="GB1659" s="2">
        <v>0.1</v>
      </c>
      <c r="GC1659" s="2">
        <v>2.1</v>
      </c>
      <c r="GD1659" s="2">
        <v>1.9</v>
      </c>
      <c r="GE1659" s="2">
        <v>0.9</v>
      </c>
      <c r="GF1659" s="2">
        <v>0.1</v>
      </c>
      <c r="GG1659" s="2">
        <v>1.1</v>
      </c>
      <c r="GH1659" s="2">
        <v>0.1</v>
      </c>
      <c r="GI1659" s="2">
        <v>0.1</v>
      </c>
      <c r="GJ1659" s="2">
        <v>0.1</v>
      </c>
      <c r="GK1659" s="2">
        <v>-0.1</v>
      </c>
      <c r="GL1659" s="2">
        <v>0</v>
      </c>
      <c r="GM1659" s="2">
        <v>0</v>
      </c>
      <c r="GN1659" s="2">
        <v>0</v>
      </c>
      <c r="GO1659" s="2">
        <v>0.3</v>
      </c>
      <c r="GP1659" s="2">
        <v>0</v>
      </c>
      <c r="GQ1659" s="2">
        <v>0</v>
      </c>
      <c r="GR1659" s="2">
        <v>0</v>
      </c>
      <c r="GS1659" s="2">
        <v>1.3</v>
      </c>
      <c r="GT1659" s="2">
        <v>0</v>
      </c>
      <c r="GU1659" s="2">
        <v>0.2</v>
      </c>
      <c r="GV1659" s="2">
        <v>0</v>
      </c>
      <c r="GW1659" s="2">
        <v>0.7</v>
      </c>
      <c r="GX1659" s="2">
        <v>0</v>
      </c>
      <c r="GY1659" s="2">
        <v>0</v>
      </c>
      <c r="GZ1659" s="2">
        <v>0</v>
      </c>
      <c r="HA1659" s="2">
        <v>-3.9</v>
      </c>
      <c r="HB1659" s="2">
        <v>0.5</v>
      </c>
      <c r="HC1659" s="2">
        <v>1.2</v>
      </c>
      <c r="HD1659" s="2">
        <v>-1</v>
      </c>
      <c r="HE1659" s="2">
        <v>-0.2</v>
      </c>
      <c r="HF1659" s="2">
        <v>1.2</v>
      </c>
      <c r="HG1659" s="2">
        <v>0.8</v>
      </c>
      <c r="HH1659" s="2">
        <v>-1.1</v>
      </c>
      <c r="HI1659" s="2">
        <v>10.9</v>
      </c>
      <c r="HJ1659" s="2">
        <v>0.5</v>
      </c>
      <c r="HK1659" s="2">
        <v>0.6</v>
      </c>
      <c r="HL1659" s="2">
        <v>-0.9</v>
      </c>
      <c r="HM1659" s="2">
        <v>3</v>
      </c>
      <c r="HN1659" s="2">
        <v>0.8</v>
      </c>
      <c r="HO1659" s="2">
        <v>1.5</v>
      </c>
      <c r="HP1659" s="2">
        <v>-0.9</v>
      </c>
      <c r="HQ1659" s="2">
        <v>1.2</v>
      </c>
      <c r="HR1659" s="2">
        <v>0.8</v>
      </c>
      <c r="HS1659" s="2">
        <v>5.2</v>
      </c>
      <c r="HT1659" s="2">
        <v>-1.5</v>
      </c>
      <c r="HU1659" s="2">
        <v>1.4</v>
      </c>
      <c r="HV1659" s="2">
        <v>0</v>
      </c>
      <c r="HW1659" s="2">
        <v>1.3</v>
      </c>
      <c r="HX1659" s="2">
        <v>-1.4</v>
      </c>
      <c r="HY1659" s="2">
        <v>2.3</v>
      </c>
      <c r="HZ1659" s="2">
        <v>0.6</v>
      </c>
      <c r="IA1659" s="2">
        <v>1.6</v>
      </c>
      <c r="IB1659" s="2">
        <v>-1.3</v>
      </c>
      <c r="IC1659" s="2">
        <v>1.7</v>
      </c>
      <c r="ID1659" s="2">
        <v>0.7</v>
      </c>
      <c r="IE1659" s="2">
        <v>1.5</v>
      </c>
      <c r="IF1659" s="2">
        <v>-1.2</v>
      </c>
      <c r="IG1659" s="2">
        <v>2.2</v>
      </c>
      <c r="IH1659" s="2">
        <v>0.5</v>
      </c>
      <c r="II1659" s="2">
        <v>1.9</v>
      </c>
      <c r="IJ1659" s="2">
        <v>-1.1</v>
      </c>
      <c r="IK1659" s="2">
        <v>4.2</v>
      </c>
      <c r="IL1659" s="2">
        <v>0.7</v>
      </c>
      <c r="IM1659" s="2">
        <v>6</v>
      </c>
      <c r="IN1659" s="2">
        <v>-1.3</v>
      </c>
      <c r="IO1659" s="2">
        <v>4.6</v>
      </c>
      <c r="IP1659" s="2">
        <v>0.7</v>
      </c>
      <c r="IQ1659" s="2">
        <v>3.6</v>
      </c>
      <c r="IR1659" s="2">
        <v>-0.5</v>
      </c>
      <c r="IS1659" s="2">
        <v>11.4</v>
      </c>
      <c r="IT1659" s="2">
        <v>0.8</v>
      </c>
      <c r="IU1659" s="2">
        <v>5.9</v>
      </c>
      <c r="IV1659" s="2">
        <v>-0.6</v>
      </c>
      <c r="IW1659" s="2">
        <v>6</v>
      </c>
      <c r="IX1659" s="2">
        <v>0.9</v>
      </c>
      <c r="IY1659" s="2">
        <v>5.1</v>
      </c>
      <c r="IZ1659" s="2">
        <v>-1.5</v>
      </c>
      <c r="JA1659" s="2">
        <v>7.8</v>
      </c>
      <c r="JB1659" s="2">
        <v>0.6</v>
      </c>
      <c r="JC1659" s="2">
        <v>3</v>
      </c>
      <c r="JD1659" s="2">
        <v>-0.8</v>
      </c>
      <c r="JE1659" s="2">
        <v>15.4</v>
      </c>
      <c r="JF1659" s="2">
        <v>-0.1</v>
      </c>
      <c r="JG1659" s="2">
        <v>2.4</v>
      </c>
      <c r="JH1659" s="2">
        <v>-0.7</v>
      </c>
      <c r="JI1659" s="2">
        <v>4.4</v>
      </c>
      <c r="JJ1659" s="2">
        <v>0.1</v>
      </c>
      <c r="JK1659" s="2">
        <v>1.4</v>
      </c>
      <c r="JL1659" s="2">
        <v>-0.8</v>
      </c>
      <c r="JM1659" s="2">
        <v>-5.1</v>
      </c>
      <c r="JN1659" s="2">
        <v>0</v>
      </c>
      <c r="JO1659" s="2">
        <v>2</v>
      </c>
      <c r="JP1659" s="2">
        <v>-0.6</v>
      </c>
      <c r="JQ1659" s="2">
        <v>-1.4</v>
      </c>
      <c r="JR1659" s="2">
        <v>0</v>
      </c>
      <c r="JS1659" s="2">
        <v>-0.2</v>
      </c>
      <c r="JT1659" s="2">
        <v>-0.4</v>
      </c>
      <c r="JU1659" s="2">
        <v>5.4</v>
      </c>
      <c r="JV1659" s="2">
        <v>0</v>
      </c>
      <c r="KA1659" s="2">
        <v>2.5</v>
      </c>
      <c r="KB1659" s="2">
        <v>-0.2</v>
      </c>
      <c r="KC1659" s="2">
        <v>8.9</v>
      </c>
      <c r="KD1659" s="2">
        <v>0.9</v>
      </c>
      <c r="KQ1659" s="2">
        <v>1.8</v>
      </c>
      <c r="KR1659" s="2">
        <v>-1.3</v>
      </c>
      <c r="KS1659" s="2">
        <v>0.5</v>
      </c>
      <c r="KT1659" s="2">
        <v>0.8</v>
      </c>
      <c r="LG1659" s="2">
        <v>-0.5</v>
      </c>
      <c r="LH1659" s="2">
        <v>-1.7</v>
      </c>
      <c r="LI1659" s="2">
        <v>-0.7</v>
      </c>
      <c r="LJ1659" s="2">
        <v>-0.6</v>
      </c>
      <c r="LW1659" s="2">
        <v>1.3</v>
      </c>
      <c r="LX1659" s="2">
        <v>-2.5</v>
      </c>
      <c r="LY1659" s="2">
        <v>-0.7</v>
      </c>
      <c r="LZ1659" s="2">
        <v>-7.5</v>
      </c>
      <c r="MM1659" s="2">
        <v>-0.9</v>
      </c>
      <c r="MN1659" s="2">
        <v>3.3</v>
      </c>
      <c r="MO1659" s="2">
        <v>0.2</v>
      </c>
      <c r="MP1659" s="2">
        <v>0.4</v>
      </c>
      <c r="NC1659" s="2">
        <v>-0.4</v>
      </c>
      <c r="ND1659" s="2">
        <v>0</v>
      </c>
      <c r="NE1659" s="2">
        <v>3.2</v>
      </c>
      <c r="NF1659" s="2">
        <v>8.699999999999999</v>
      </c>
      <c r="NS1659" s="2">
        <v>3</v>
      </c>
      <c r="NT1659" s="2">
        <v>-1.8</v>
      </c>
      <c r="NU1659" s="2">
        <v>4.2</v>
      </c>
      <c r="NV1659" s="2">
        <v>1.4</v>
      </c>
      <c r="OI1659" s="2">
        <v>-1.7</v>
      </c>
      <c r="OJ1659" s="2">
        <v>2.1</v>
      </c>
      <c r="OK1659" s="2">
        <v>-17.3</v>
      </c>
      <c r="OL1659" s="2">
        <v>-9.9</v>
      </c>
      <c r="OY1659" s="2">
        <v>16.4</v>
      </c>
      <c r="OZ1659" s="2">
        <v>8.1</v>
      </c>
      <c r="PA1659" s="2">
        <v>9</v>
      </c>
      <c r="PB1659" s="2">
        <v>-8.4</v>
      </c>
      <c r="PJ1659" s="2">
        <v>21.9</v>
      </c>
      <c r="PK1659" s="2">
        <v>0.3</v>
      </c>
    </row>
    <row r="1660">
      <c r="A1660" t="inlineStr">
        <is>
          <t>A2331925R</t>
        </is>
      </c>
      <c r="B1660" t="inlineStr">
        <is>
          <t>Percentage Change from Previous Period ;  Gas and other household fuels ;  Australia ;</t>
        </is>
      </c>
      <c r="C1660" t="inlineStr">
        <is>
          <t>Quarter</t>
        </is>
      </c>
      <c r="D1660" t="inlineStr">
        <is>
          <t>Percent</t>
        </is>
      </c>
      <c r="E1660" t="inlineStr">
        <is>
          <t>Original</t>
        </is>
      </c>
      <c r="F1660" t="inlineStr">
        <is>
          <t>6401018.xlsx</t>
        </is>
      </c>
      <c r="G1660" t="inlineStr">
        <is>
          <t>1989Q4</t>
        </is>
      </c>
      <c r="H1660" t="inlineStr">
        <is>
          <t>2026Q2</t>
        </is>
      </c>
      <c r="FR1660" s="2">
        <v>2.1</v>
      </c>
      <c r="FS1660" s="2">
        <v>1</v>
      </c>
      <c r="FT1660" s="2">
        <v>0.4</v>
      </c>
      <c r="FU1660" s="2">
        <v>3.7</v>
      </c>
      <c r="FV1660" s="2">
        <v>1.9</v>
      </c>
      <c r="FW1660" s="2">
        <v>1</v>
      </c>
      <c r="FX1660" s="2">
        <v>-0.6</v>
      </c>
      <c r="FY1660" s="2">
        <v>3.3</v>
      </c>
      <c r="FZ1660" s="2">
        <v>0</v>
      </c>
      <c r="GA1660" s="2">
        <v>0.5</v>
      </c>
      <c r="GB1660" s="2">
        <v>-0.3</v>
      </c>
      <c r="GC1660" s="2">
        <v>0.4</v>
      </c>
      <c r="GD1660" s="2">
        <v>2.9</v>
      </c>
      <c r="GE1660" s="2">
        <v>3.7</v>
      </c>
      <c r="GF1660" s="2">
        <v>-0.1</v>
      </c>
      <c r="GG1660" s="2">
        <v>0.1</v>
      </c>
      <c r="GH1660" s="2">
        <v>0.2</v>
      </c>
      <c r="GI1660" s="2">
        <v>0</v>
      </c>
      <c r="GJ1660" s="2">
        <v>-0.3</v>
      </c>
      <c r="GK1660" s="2">
        <v>2.3</v>
      </c>
      <c r="GL1660" s="2">
        <v>0.4</v>
      </c>
      <c r="GM1660" s="2">
        <v>0.7</v>
      </c>
      <c r="GN1660" s="2">
        <v>0.2</v>
      </c>
      <c r="GO1660" s="2">
        <v>0.9</v>
      </c>
      <c r="GP1660" s="2">
        <v>0</v>
      </c>
      <c r="GQ1660" s="2">
        <v>0.3</v>
      </c>
      <c r="GR1660" s="2">
        <v>0</v>
      </c>
      <c r="GS1660" s="2">
        <v>1.4</v>
      </c>
      <c r="GT1660" s="2">
        <v>0.5</v>
      </c>
      <c r="GU1660" s="2">
        <v>0.4</v>
      </c>
      <c r="GV1660" s="2">
        <v>-0.2</v>
      </c>
      <c r="GW1660" s="2">
        <v>1.7</v>
      </c>
      <c r="GX1660" s="2">
        <v>-0.1</v>
      </c>
      <c r="GY1660" s="2">
        <v>0</v>
      </c>
      <c r="GZ1660" s="2">
        <v>0.1</v>
      </c>
      <c r="HA1660" s="2">
        <v>-1.8</v>
      </c>
      <c r="HB1660" s="2">
        <v>1.7</v>
      </c>
      <c r="HC1660" s="2">
        <v>-1.6</v>
      </c>
      <c r="HD1660" s="2">
        <v>-0.4</v>
      </c>
      <c r="HE1660" s="2">
        <v>0.1</v>
      </c>
      <c r="HF1660" s="2">
        <v>-0.1</v>
      </c>
      <c r="HG1660" s="2">
        <v>-0.9</v>
      </c>
      <c r="HH1660" s="2">
        <v>0.7</v>
      </c>
      <c r="HI1660" s="2">
        <v>12.5</v>
      </c>
      <c r="HJ1660" s="2">
        <v>-2</v>
      </c>
      <c r="HK1660" s="2">
        <v>0</v>
      </c>
      <c r="HL1660" s="2">
        <v>1.3</v>
      </c>
      <c r="HM1660" s="2">
        <v>4.3</v>
      </c>
      <c r="HN1660" s="2">
        <v>-4.2</v>
      </c>
      <c r="HO1660" s="2">
        <v>4.5</v>
      </c>
      <c r="HP1660" s="2">
        <v>0.8</v>
      </c>
      <c r="HQ1660" s="2">
        <v>4.5</v>
      </c>
      <c r="HR1660" s="2">
        <v>-3.9</v>
      </c>
      <c r="HS1660" s="2">
        <v>5</v>
      </c>
      <c r="HT1660" s="2">
        <v>0.9</v>
      </c>
      <c r="HU1660" s="2">
        <v>3.1</v>
      </c>
      <c r="HV1660" s="2">
        <v>-1.8</v>
      </c>
      <c r="HW1660" s="2">
        <v>4.8</v>
      </c>
      <c r="HX1660" s="2">
        <v>-0.7</v>
      </c>
      <c r="HY1660" s="2">
        <v>1.8</v>
      </c>
      <c r="HZ1660" s="2">
        <v>0.4</v>
      </c>
      <c r="IA1660" s="2">
        <v>2.8</v>
      </c>
      <c r="IB1660" s="2">
        <v>0.5</v>
      </c>
      <c r="IC1660" s="2">
        <v>2</v>
      </c>
      <c r="ID1660" s="2">
        <v>-0.4</v>
      </c>
      <c r="IE1660" s="2">
        <v>2.4</v>
      </c>
      <c r="IF1660" s="2">
        <v>0.3</v>
      </c>
      <c r="IG1660" s="2">
        <v>2.6</v>
      </c>
      <c r="IH1660" s="2">
        <v>-0.6</v>
      </c>
      <c r="II1660" s="2">
        <v>1.6</v>
      </c>
      <c r="IJ1660" s="2">
        <v>0.3</v>
      </c>
      <c r="IK1660" s="2">
        <v>2.5</v>
      </c>
      <c r="IL1660" s="2">
        <v>-0.3</v>
      </c>
      <c r="IM1660" s="2">
        <v>2.8</v>
      </c>
      <c r="IN1660" s="2">
        <v>2.4</v>
      </c>
      <c r="IO1660" s="2">
        <v>4.7</v>
      </c>
      <c r="IP1660" s="2">
        <v>-0.5</v>
      </c>
      <c r="IQ1660" s="2">
        <v>4</v>
      </c>
      <c r="IR1660" s="2">
        <v>0</v>
      </c>
      <c r="IS1660" s="2">
        <v>2.7</v>
      </c>
      <c r="IT1660" s="2">
        <v>2</v>
      </c>
      <c r="IU1660" s="2">
        <v>3.6</v>
      </c>
      <c r="IV1660" s="2">
        <v>1.7</v>
      </c>
      <c r="IW1660" s="2">
        <v>2.2</v>
      </c>
      <c r="IX1660" s="2">
        <v>-0.5</v>
      </c>
      <c r="IY1660" s="2">
        <v>1.6</v>
      </c>
      <c r="IZ1660" s="2">
        <v>1</v>
      </c>
      <c r="JA1660" s="2">
        <v>3.9</v>
      </c>
      <c r="JB1660" s="2">
        <v>0.2</v>
      </c>
      <c r="JC1660" s="2">
        <v>1.5</v>
      </c>
      <c r="JD1660" s="2">
        <v>2.3</v>
      </c>
      <c r="JE1660" s="2">
        <v>14.2</v>
      </c>
      <c r="JF1660" s="2">
        <v>-1.1</v>
      </c>
      <c r="JG1660" s="2">
        <v>1</v>
      </c>
      <c r="JH1660" s="2">
        <v>1.1</v>
      </c>
      <c r="JI1660" s="2">
        <v>4.8</v>
      </c>
      <c r="JJ1660" s="2">
        <v>-1.3</v>
      </c>
      <c r="JK1660" s="2">
        <v>2.3</v>
      </c>
      <c r="JL1660" s="2">
        <v>0.3</v>
      </c>
      <c r="JM1660" s="2">
        <v>1.2</v>
      </c>
      <c r="JN1660" s="2">
        <v>-1.3</v>
      </c>
      <c r="JO1660" s="2">
        <v>2.7</v>
      </c>
      <c r="JP1660" s="2">
        <v>0.8</v>
      </c>
      <c r="JQ1660" s="2">
        <v>-1.3</v>
      </c>
      <c r="JR1660" s="2">
        <v>-1.2</v>
      </c>
      <c r="JS1660" s="2">
        <v>3</v>
      </c>
      <c r="JT1660" s="2">
        <v>0.3</v>
      </c>
      <c r="JU1660" s="2">
        <v>0</v>
      </c>
      <c r="JV1660" s="2">
        <v>-1.3</v>
      </c>
      <c r="KA1660" s="2">
        <v>3.8</v>
      </c>
      <c r="KB1660" s="2">
        <v>0.4</v>
      </c>
      <c r="KC1660" s="2">
        <v>5.2</v>
      </c>
      <c r="KD1660" s="2">
        <v>-1.7</v>
      </c>
      <c r="KQ1660" s="2">
        <v>6</v>
      </c>
      <c r="KR1660" s="2">
        <v>-2.2</v>
      </c>
      <c r="KS1660" s="2">
        <v>1.1</v>
      </c>
      <c r="KT1660" s="2">
        <v>-1.5</v>
      </c>
      <c r="LG1660" s="2">
        <v>0.9</v>
      </c>
      <c r="LH1660" s="2">
        <v>-0.5</v>
      </c>
      <c r="LI1660" s="2">
        <v>3</v>
      </c>
      <c r="LJ1660" s="2">
        <v>-1.9</v>
      </c>
      <c r="LW1660" s="2">
        <v>0.3</v>
      </c>
      <c r="LX1660" s="2">
        <v>-0.9</v>
      </c>
      <c r="LY1660" s="2">
        <v>-0.7</v>
      </c>
      <c r="LZ1660" s="2">
        <v>-1.4</v>
      </c>
      <c r="MM1660" s="2">
        <v>1.6</v>
      </c>
      <c r="MN1660" s="2">
        <v>-0.3</v>
      </c>
      <c r="MO1660" s="2">
        <v>1.2</v>
      </c>
      <c r="MP1660" s="2">
        <v>0.2</v>
      </c>
      <c r="NC1660" s="2">
        <v>6.3</v>
      </c>
      <c r="ND1660" s="2">
        <v>-1.2</v>
      </c>
      <c r="NE1660" s="2">
        <v>10.8</v>
      </c>
      <c r="NF1660" s="2">
        <v>0.8</v>
      </c>
      <c r="NS1660" s="2">
        <v>14.3</v>
      </c>
      <c r="NT1660" s="2">
        <v>-1.2</v>
      </c>
      <c r="NU1660" s="2">
        <v>1.4</v>
      </c>
      <c r="NV1660" s="2">
        <v>-1</v>
      </c>
      <c r="OI1660" s="2">
        <v>-1.5</v>
      </c>
      <c r="OJ1660" s="2">
        <v>-1.6</v>
      </c>
      <c r="OK1660" s="2">
        <v>7.3</v>
      </c>
      <c r="OL1660" s="2">
        <v>0.6</v>
      </c>
      <c r="OY1660" s="2">
        <v>0</v>
      </c>
      <c r="OZ1660" s="2">
        <v>-2.1</v>
      </c>
      <c r="PA1660" s="2">
        <v>6.7</v>
      </c>
      <c r="PB1660" s="2">
        <v>0.1</v>
      </c>
      <c r="PJ1660" s="2">
        <v>1</v>
      </c>
      <c r="PK1660" s="2">
        <v>-1.9</v>
      </c>
    </row>
    <row r="1661">
      <c r="A1661" t="inlineStr">
        <is>
          <t>A2326030F</t>
        </is>
      </c>
      <c r="B1661" t="inlineStr">
        <is>
          <t>Percentage Change from Previous Period ;  Furnishings, household equipment and services ;  Australia ;</t>
        </is>
      </c>
      <c r="C1661" t="inlineStr">
        <is>
          <t>Quarter</t>
        </is>
      </c>
      <c r="D1661" t="inlineStr">
        <is>
          <t>Percent</t>
        </is>
      </c>
      <c r="E1661" t="inlineStr">
        <is>
          <t>Original</t>
        </is>
      </c>
      <c r="F1661" t="inlineStr">
        <is>
          <t>6401018.xlsx</t>
        </is>
      </c>
      <c r="G1661" t="inlineStr">
        <is>
          <t>1972Q4</t>
        </is>
      </c>
      <c r="H1661" t="inlineStr">
        <is>
          <t>2026Q2</t>
        </is>
      </c>
      <c r="DB1661" s="2">
        <v>0.9</v>
      </c>
      <c r="DC1661" s="2">
        <v>0.9</v>
      </c>
      <c r="DD1661" s="2">
        <v>2.2</v>
      </c>
      <c r="DE1661" s="2">
        <v>3</v>
      </c>
      <c r="DF1661" s="2">
        <v>1.7</v>
      </c>
      <c r="DG1661" s="2">
        <v>2.8</v>
      </c>
      <c r="DH1661" s="2">
        <v>3.6</v>
      </c>
      <c r="DI1661" s="2">
        <v>5.8</v>
      </c>
      <c r="DJ1661" s="2">
        <v>5.8</v>
      </c>
      <c r="DK1661" s="2">
        <v>3.7</v>
      </c>
      <c r="DL1661" s="2">
        <v>3.3</v>
      </c>
      <c r="DM1661" s="2">
        <v>2.3</v>
      </c>
      <c r="DN1661" s="2">
        <v>7.2</v>
      </c>
      <c r="DO1661" s="2">
        <v>2.1</v>
      </c>
      <c r="DP1661" s="2">
        <v>2.6</v>
      </c>
      <c r="DQ1661" s="2">
        <v>1.7</v>
      </c>
      <c r="DR1661" s="2">
        <v>1.7</v>
      </c>
      <c r="DS1661" s="2">
        <v>2.9</v>
      </c>
      <c r="DT1661" s="2">
        <v>2.4</v>
      </c>
      <c r="DU1661" s="2">
        <v>1.5</v>
      </c>
      <c r="DV1661" s="2">
        <v>2.5</v>
      </c>
      <c r="DW1661" s="2">
        <v>1</v>
      </c>
      <c r="DX1661" s="2">
        <v>2.2</v>
      </c>
      <c r="DY1661" s="2">
        <v>1.2</v>
      </c>
      <c r="DZ1661" s="2">
        <v>1.4</v>
      </c>
      <c r="EA1661" s="2">
        <v>1.6</v>
      </c>
      <c r="EB1661" s="2">
        <v>1.1</v>
      </c>
      <c r="EC1661" s="2">
        <v>2.2</v>
      </c>
      <c r="ED1661" s="2">
        <v>2.2</v>
      </c>
      <c r="EE1661" s="2">
        <v>2.6</v>
      </c>
      <c r="EF1661" s="2">
        <v>2.5</v>
      </c>
      <c r="EG1661" s="2">
        <v>3.5</v>
      </c>
      <c r="EH1661" s="2">
        <v>2.2</v>
      </c>
      <c r="EI1661" s="2">
        <v>2.7</v>
      </c>
      <c r="EJ1661" s="2">
        <v>1.5</v>
      </c>
      <c r="EK1661" s="2">
        <v>2.4</v>
      </c>
      <c r="EL1661" s="2">
        <v>3.5</v>
      </c>
      <c r="EM1661" s="2">
        <v>2.6</v>
      </c>
      <c r="EN1661" s="2">
        <v>3.1</v>
      </c>
      <c r="EO1661" s="2">
        <v>3.2</v>
      </c>
      <c r="EP1661" s="2">
        <v>3.7</v>
      </c>
      <c r="EQ1661" s="2">
        <v>1.5</v>
      </c>
      <c r="ER1661" s="2">
        <v>1.2</v>
      </c>
      <c r="ES1661" s="2">
        <v>1.7</v>
      </c>
      <c r="ET1661" s="2">
        <v>2.8</v>
      </c>
      <c r="EU1661" s="2">
        <v>0.7</v>
      </c>
      <c r="EV1661" s="2">
        <v>0.7</v>
      </c>
      <c r="EW1661" s="2">
        <v>1.1</v>
      </c>
      <c r="EX1661" s="2">
        <v>1</v>
      </c>
      <c r="EY1661" s="2">
        <v>1.5</v>
      </c>
      <c r="EZ1661" s="2">
        <v>1.6</v>
      </c>
      <c r="FA1661" s="2">
        <v>2</v>
      </c>
      <c r="FB1661" s="2">
        <v>3.1</v>
      </c>
      <c r="FC1661" s="2">
        <v>1.8</v>
      </c>
      <c r="FD1661" s="2">
        <v>1.5</v>
      </c>
      <c r="FE1661" s="2">
        <v>1.6</v>
      </c>
      <c r="FF1661" s="2">
        <v>2.2</v>
      </c>
      <c r="FG1661" s="2">
        <v>1.1</v>
      </c>
      <c r="FH1661" s="2">
        <v>2.3</v>
      </c>
      <c r="FI1661" s="2">
        <v>1.9</v>
      </c>
      <c r="FJ1661" s="2">
        <v>1.6</v>
      </c>
      <c r="FK1661" s="2">
        <v>1.1</v>
      </c>
      <c r="FL1661" s="2">
        <v>1.6</v>
      </c>
      <c r="FM1661" s="2">
        <v>1.6</v>
      </c>
      <c r="FN1661" s="2">
        <v>1.6</v>
      </c>
      <c r="FO1661" s="2">
        <v>0.7</v>
      </c>
      <c r="FP1661" s="2">
        <v>1.1</v>
      </c>
      <c r="FQ1661" s="2">
        <v>1.4</v>
      </c>
      <c r="FR1661" s="2">
        <v>1.5</v>
      </c>
      <c r="FS1661" s="2">
        <v>1.5</v>
      </c>
      <c r="FT1661" s="2">
        <v>1.7</v>
      </c>
      <c r="FU1661" s="2">
        <v>0.9</v>
      </c>
      <c r="FV1661" s="2">
        <v>1.8</v>
      </c>
      <c r="FW1661" s="2">
        <v>0.5</v>
      </c>
      <c r="FX1661" s="2">
        <v>0.3</v>
      </c>
      <c r="FY1661" s="2">
        <v>1</v>
      </c>
      <c r="FZ1661" s="2">
        <v>0.6</v>
      </c>
      <c r="GA1661" s="2">
        <v>-0.3</v>
      </c>
      <c r="GB1661" s="2">
        <v>0.6</v>
      </c>
      <c r="GC1661" s="2">
        <v>-0.5</v>
      </c>
      <c r="GD1661" s="2">
        <v>0.1</v>
      </c>
      <c r="GE1661" s="2">
        <v>-0.6</v>
      </c>
      <c r="GF1661" s="2">
        <v>0.5</v>
      </c>
      <c r="GG1661" s="2">
        <v>0.1</v>
      </c>
      <c r="GH1661" s="2">
        <v>-0.1</v>
      </c>
      <c r="GI1661" s="2">
        <v>0.5</v>
      </c>
      <c r="GJ1661" s="2">
        <v>0.3</v>
      </c>
      <c r="GK1661" s="2">
        <v>0</v>
      </c>
      <c r="GL1661" s="2">
        <v>0.6</v>
      </c>
      <c r="GM1661" s="2">
        <v>0.4</v>
      </c>
      <c r="GN1661" s="2">
        <v>0.8</v>
      </c>
      <c r="GO1661" s="2">
        <v>0.7</v>
      </c>
      <c r="GP1661" s="2">
        <v>0.5</v>
      </c>
      <c r="GQ1661" s="2">
        <v>0</v>
      </c>
      <c r="GR1661" s="2">
        <v>0.8</v>
      </c>
      <c r="GS1661" s="2">
        <v>0.5</v>
      </c>
      <c r="GT1661" s="2">
        <v>0.4</v>
      </c>
      <c r="GU1661" s="2">
        <v>-0.1</v>
      </c>
      <c r="GV1661" s="2">
        <v>0.4</v>
      </c>
      <c r="GW1661" s="2">
        <v>-0.4</v>
      </c>
      <c r="GX1661" s="2">
        <v>0.4</v>
      </c>
      <c r="GY1661" s="2">
        <v>0</v>
      </c>
      <c r="GZ1661" s="2">
        <v>0.2</v>
      </c>
      <c r="HA1661" s="2">
        <v>-0.1</v>
      </c>
      <c r="HB1661" s="2">
        <v>0.2</v>
      </c>
      <c r="HC1661" s="2">
        <v>-0.9</v>
      </c>
      <c r="HD1661" s="2">
        <v>0.5</v>
      </c>
      <c r="HE1661" s="2">
        <v>-0.5</v>
      </c>
      <c r="HF1661" s="2">
        <v>0.3</v>
      </c>
      <c r="HG1661" s="2">
        <v>-0.4</v>
      </c>
      <c r="HH1661" s="2">
        <v>1.1</v>
      </c>
      <c r="HI1661" s="2">
        <v>2</v>
      </c>
      <c r="HJ1661" s="2">
        <v>0</v>
      </c>
      <c r="HK1661" s="2">
        <v>0.8</v>
      </c>
      <c r="HL1661" s="2">
        <v>1.7</v>
      </c>
      <c r="HM1661" s="2">
        <v>-0.3</v>
      </c>
      <c r="HN1661" s="2">
        <v>1.1</v>
      </c>
      <c r="HO1661" s="2">
        <v>-0.7</v>
      </c>
      <c r="HP1661" s="2">
        <v>0.7</v>
      </c>
      <c r="HQ1661" s="2">
        <v>0.2</v>
      </c>
      <c r="HR1661" s="2">
        <v>1</v>
      </c>
      <c r="HS1661" s="2">
        <v>-1</v>
      </c>
      <c r="HT1661" s="2">
        <v>0.9</v>
      </c>
      <c r="HU1661" s="2">
        <v>0</v>
      </c>
      <c r="HV1661" s="2">
        <v>-0.1</v>
      </c>
      <c r="HW1661" s="2">
        <v>-0.6</v>
      </c>
      <c r="HX1661" s="2">
        <v>0</v>
      </c>
      <c r="HY1661" s="2">
        <v>0</v>
      </c>
      <c r="HZ1661" s="2">
        <v>0.6</v>
      </c>
      <c r="IA1661" s="2">
        <v>-1.3</v>
      </c>
      <c r="IB1661" s="2">
        <v>1.2</v>
      </c>
      <c r="IC1661" s="2">
        <v>0.4</v>
      </c>
      <c r="ID1661" s="2">
        <v>0.6</v>
      </c>
      <c r="IE1661" s="2">
        <v>-0.4</v>
      </c>
      <c r="IF1661" s="2">
        <v>0.8</v>
      </c>
      <c r="IG1661" s="2">
        <v>1.3</v>
      </c>
      <c r="IH1661" s="2">
        <v>0.2</v>
      </c>
      <c r="II1661" s="2">
        <v>-0.8</v>
      </c>
      <c r="IJ1661" s="2">
        <v>1.5</v>
      </c>
      <c r="IK1661" s="2">
        <v>-2.4</v>
      </c>
      <c r="IL1661" s="2">
        <v>0.8</v>
      </c>
      <c r="IM1661" s="2">
        <v>-0.7</v>
      </c>
      <c r="IN1661" s="2">
        <v>1.7</v>
      </c>
      <c r="IO1661" s="2">
        <v>-0.9</v>
      </c>
      <c r="IP1661" s="2">
        <v>0.4</v>
      </c>
      <c r="IQ1661" s="2">
        <v>0.8</v>
      </c>
      <c r="IR1661" s="2">
        <v>2.2</v>
      </c>
      <c r="IS1661" s="2">
        <v>0.6</v>
      </c>
      <c r="IT1661" s="2">
        <v>0</v>
      </c>
      <c r="IU1661" s="2">
        <v>-1.3</v>
      </c>
      <c r="IV1661" s="2">
        <v>0.9</v>
      </c>
      <c r="IW1661" s="2">
        <v>0.8</v>
      </c>
      <c r="IX1661" s="2">
        <v>-0.6</v>
      </c>
      <c r="IY1661" s="2">
        <v>-1.5</v>
      </c>
      <c r="IZ1661" s="2">
        <v>1.4</v>
      </c>
      <c r="JA1661" s="2">
        <v>0.3</v>
      </c>
      <c r="JB1661" s="2">
        <v>0</v>
      </c>
      <c r="JC1661" s="2">
        <v>-1.1</v>
      </c>
      <c r="JD1661" s="2">
        <v>1.5</v>
      </c>
      <c r="JE1661" s="2">
        <v>1</v>
      </c>
      <c r="JF1661" s="2">
        <v>-0.6</v>
      </c>
      <c r="JG1661" s="2">
        <v>-1.3</v>
      </c>
      <c r="JH1661" s="2">
        <v>1</v>
      </c>
      <c r="JI1661" s="2">
        <v>1</v>
      </c>
      <c r="JJ1661" s="2">
        <v>0.4</v>
      </c>
      <c r="JK1661" s="2">
        <v>-1.4</v>
      </c>
      <c r="JL1661" s="2">
        <v>1.1</v>
      </c>
      <c r="JM1661" s="2">
        <v>0.3</v>
      </c>
      <c r="JN1661" s="2">
        <v>0.5</v>
      </c>
      <c r="JO1661" s="2">
        <v>-0.5</v>
      </c>
      <c r="JP1661" s="2">
        <v>1</v>
      </c>
      <c r="JQ1661" s="2">
        <v>0.7</v>
      </c>
      <c r="JR1661" s="2">
        <v>0.6</v>
      </c>
      <c r="JS1661" s="2">
        <v>-0.4</v>
      </c>
      <c r="JT1661" s="2">
        <v>0.6</v>
      </c>
      <c r="JU1661" s="2">
        <v>1.1</v>
      </c>
      <c r="JV1661" s="2">
        <v>-0.8</v>
      </c>
      <c r="KA1661" s="2">
        <v>-1</v>
      </c>
      <c r="KB1661" s="2">
        <v>0.7</v>
      </c>
      <c r="KC1661" s="2">
        <v>0.4</v>
      </c>
      <c r="KD1661" s="2">
        <v>-0.8</v>
      </c>
      <c r="KQ1661" s="2">
        <v>-0.4</v>
      </c>
      <c r="KR1661" s="2">
        <v>0.3</v>
      </c>
      <c r="KS1661" s="2">
        <v>-1.2</v>
      </c>
      <c r="KT1661" s="2">
        <v>0.5</v>
      </c>
      <c r="LG1661" s="2">
        <v>-0.4</v>
      </c>
      <c r="LH1661" s="2">
        <v>0.7</v>
      </c>
      <c r="LI1661" s="2">
        <v>1</v>
      </c>
      <c r="LJ1661" s="2">
        <v>-0.2</v>
      </c>
      <c r="LW1661" s="2">
        <v>0.8</v>
      </c>
      <c r="LX1661" s="2">
        <v>-11.3</v>
      </c>
      <c r="LY1661" s="2">
        <v>12.1</v>
      </c>
      <c r="LZ1661" s="2">
        <v>3.4</v>
      </c>
      <c r="MM1661" s="2">
        <v>-0.2</v>
      </c>
      <c r="MN1661" s="2">
        <v>1.1</v>
      </c>
      <c r="MO1661" s="2">
        <v>1.6</v>
      </c>
      <c r="MP1661" s="2">
        <v>1</v>
      </c>
      <c r="NC1661" s="2">
        <v>1.1</v>
      </c>
      <c r="ND1661" s="2">
        <v>2.4</v>
      </c>
      <c r="NE1661" s="2">
        <v>2.9</v>
      </c>
      <c r="NF1661" s="2">
        <v>1.7</v>
      </c>
      <c r="NS1661" s="2">
        <v>-0.5</v>
      </c>
      <c r="NT1661" s="2">
        <v>2.1</v>
      </c>
      <c r="NU1661" s="2">
        <v>-0.8</v>
      </c>
      <c r="NV1661" s="2">
        <v>-1</v>
      </c>
      <c r="OI1661" s="2">
        <v>-0.1</v>
      </c>
      <c r="OJ1661" s="2">
        <v>0.9</v>
      </c>
      <c r="OK1661" s="2">
        <v>0.9</v>
      </c>
      <c r="OL1661" s="2">
        <v>-0.2</v>
      </c>
      <c r="OY1661" s="2">
        <v>-0.9</v>
      </c>
      <c r="OZ1661" s="2">
        <v>1.1</v>
      </c>
      <c r="PA1661" s="2">
        <v>1</v>
      </c>
      <c r="PB1661" s="2">
        <v>0.1</v>
      </c>
      <c r="PJ1661" s="2">
        <v>-0.3</v>
      </c>
      <c r="PK1661" s="2">
        <v>0.1</v>
      </c>
    </row>
    <row r="1662">
      <c r="A1662" t="inlineStr">
        <is>
          <t>A3604407X</t>
        </is>
      </c>
      <c r="B1662" t="inlineStr">
        <is>
          <t>Percentage Change from Previous Period ;  Furniture and furnishings ;  Australia ;</t>
        </is>
      </c>
      <c r="C1662" t="inlineStr">
        <is>
          <t>Quarter</t>
        </is>
      </c>
      <c r="D1662" t="inlineStr">
        <is>
          <t>Percent</t>
        </is>
      </c>
      <c r="E1662" t="inlineStr">
        <is>
          <t>Original</t>
        </is>
      </c>
      <c r="F1662" t="inlineStr">
        <is>
          <t>6401018.xlsx</t>
        </is>
      </c>
      <c r="G1662" t="inlineStr">
        <is>
          <t>1972Q4</t>
        </is>
      </c>
      <c r="H1662" t="inlineStr">
        <is>
          <t>2026Q2</t>
        </is>
      </c>
      <c r="DB1662" s="2">
        <v>1.5</v>
      </c>
      <c r="DC1662" s="2">
        <v>2.9</v>
      </c>
      <c r="DD1662" s="2">
        <v>3.8</v>
      </c>
      <c r="DE1662" s="2">
        <v>2.2</v>
      </c>
      <c r="DF1662" s="2">
        <v>4</v>
      </c>
      <c r="DG1662" s="2">
        <v>4.2</v>
      </c>
      <c r="DH1662" s="2">
        <v>5.4</v>
      </c>
      <c r="DI1662" s="2">
        <v>7.8</v>
      </c>
      <c r="DJ1662" s="2">
        <v>5.1</v>
      </c>
      <c r="DK1662" s="2">
        <v>2.1</v>
      </c>
      <c r="DL1662" s="2">
        <v>2</v>
      </c>
      <c r="DM1662" s="2">
        <v>3.7</v>
      </c>
      <c r="DN1662" s="2">
        <v>4.5</v>
      </c>
      <c r="DO1662" s="2">
        <v>2.7</v>
      </c>
      <c r="DP1662" s="2">
        <v>5.7</v>
      </c>
      <c r="DQ1662" s="2">
        <v>2.8</v>
      </c>
      <c r="DR1662" s="2">
        <v>3.5</v>
      </c>
      <c r="DS1662" s="2">
        <v>2.4</v>
      </c>
      <c r="DT1662" s="2">
        <v>4.1</v>
      </c>
      <c r="DU1662" s="2">
        <v>0.7</v>
      </c>
      <c r="DV1662" s="2">
        <v>2</v>
      </c>
      <c r="DW1662" s="2">
        <v>1.4</v>
      </c>
      <c r="DX1662" s="2">
        <v>1.2</v>
      </c>
      <c r="DY1662" s="2">
        <v>1.2</v>
      </c>
      <c r="DZ1662" s="2">
        <v>0.7</v>
      </c>
      <c r="EA1662" s="2">
        <v>0.7</v>
      </c>
      <c r="EB1662" s="2">
        <v>0</v>
      </c>
      <c r="EC1662" s="2">
        <v>2.5</v>
      </c>
      <c r="ED1662" s="2">
        <v>1.8</v>
      </c>
      <c r="EE1662" s="2">
        <v>2</v>
      </c>
      <c r="EF1662" s="2">
        <v>2.4</v>
      </c>
      <c r="EG1662" s="2">
        <v>3.2</v>
      </c>
      <c r="EH1662" s="2">
        <v>3.4</v>
      </c>
      <c r="EI1662" s="2">
        <v>1</v>
      </c>
      <c r="EJ1662" s="2">
        <v>1.8</v>
      </c>
      <c r="EK1662" s="2">
        <v>0.8</v>
      </c>
      <c r="EL1662" s="2">
        <v>3.6</v>
      </c>
      <c r="EM1662" s="2">
        <v>1.1</v>
      </c>
      <c r="EN1662" s="2">
        <v>4.6</v>
      </c>
      <c r="EO1662" s="2">
        <v>3.1</v>
      </c>
      <c r="EP1662" s="2">
        <v>3</v>
      </c>
      <c r="EQ1662" s="2">
        <v>1.5</v>
      </c>
      <c r="ER1662" s="2">
        <v>1.8</v>
      </c>
      <c r="ES1662" s="2">
        <v>1.9</v>
      </c>
      <c r="ET1662" s="2">
        <v>1.7</v>
      </c>
      <c r="EU1662" s="2">
        <v>1.2</v>
      </c>
      <c r="EV1662" s="2">
        <v>0.8</v>
      </c>
      <c r="EW1662" s="2">
        <v>1.3</v>
      </c>
      <c r="EX1662" s="2">
        <v>2.1</v>
      </c>
      <c r="EY1662" s="2">
        <v>1.2</v>
      </c>
      <c r="EZ1662" s="2">
        <v>0.7</v>
      </c>
      <c r="FA1662" s="2">
        <v>3.9</v>
      </c>
      <c r="FB1662" s="2">
        <v>3.7</v>
      </c>
      <c r="FC1662" s="2">
        <v>2.1</v>
      </c>
      <c r="FD1662" s="2">
        <v>1.5</v>
      </c>
      <c r="FE1662" s="2">
        <v>1.8</v>
      </c>
      <c r="FF1662" s="2">
        <v>2.1</v>
      </c>
      <c r="FG1662" s="2">
        <v>-0.9</v>
      </c>
      <c r="FH1662" s="2">
        <v>4.2</v>
      </c>
      <c r="FI1662" s="2">
        <v>0.7</v>
      </c>
      <c r="FJ1662" s="2">
        <v>1.8</v>
      </c>
      <c r="FK1662" s="2">
        <v>1.8</v>
      </c>
      <c r="FL1662" s="2">
        <v>2.8</v>
      </c>
      <c r="FM1662" s="2">
        <v>0.2</v>
      </c>
      <c r="FN1662" s="2">
        <v>1.5</v>
      </c>
      <c r="FO1662" s="2">
        <v>1.4</v>
      </c>
      <c r="FP1662" s="2">
        <v>2.1</v>
      </c>
      <c r="FQ1662" s="2">
        <v>1</v>
      </c>
      <c r="FR1662" s="2">
        <v>2.4</v>
      </c>
      <c r="FS1662" s="2">
        <v>2.1</v>
      </c>
      <c r="FT1662" s="2">
        <v>2.9</v>
      </c>
      <c r="FU1662" s="2">
        <v>0.5</v>
      </c>
      <c r="FV1662" s="2">
        <v>2.4</v>
      </c>
      <c r="FW1662" s="2">
        <v>-0.7</v>
      </c>
      <c r="FX1662" s="2">
        <v>0.9</v>
      </c>
      <c r="FY1662" s="2">
        <v>-1</v>
      </c>
      <c r="FZ1662" s="2">
        <v>2.5</v>
      </c>
      <c r="GA1662" s="2">
        <v>-1.5</v>
      </c>
      <c r="GB1662" s="2">
        <v>2.7</v>
      </c>
      <c r="GC1662" s="2">
        <v>-1.7</v>
      </c>
      <c r="GD1662" s="2">
        <v>1.8</v>
      </c>
      <c r="GE1662" s="2">
        <v>-2.2</v>
      </c>
      <c r="GF1662" s="2">
        <v>0.8</v>
      </c>
      <c r="GG1662" s="2">
        <v>0.6</v>
      </c>
      <c r="GH1662" s="2">
        <v>1.2</v>
      </c>
      <c r="GI1662" s="2">
        <v>1.4</v>
      </c>
      <c r="GJ1662" s="2">
        <v>1.2</v>
      </c>
      <c r="GK1662" s="2">
        <v>-0.2</v>
      </c>
      <c r="GL1662" s="2">
        <v>1.4</v>
      </c>
      <c r="GM1662" s="2">
        <v>-0.9</v>
      </c>
      <c r="GN1662" s="2">
        <v>0.7</v>
      </c>
      <c r="GO1662" s="2">
        <v>-0.1</v>
      </c>
      <c r="GP1662" s="2">
        <v>1.1</v>
      </c>
      <c r="GQ1662" s="2">
        <v>-0.8</v>
      </c>
      <c r="GR1662" s="2">
        <v>1.8</v>
      </c>
      <c r="GS1662" s="2">
        <v>-0.6</v>
      </c>
      <c r="GT1662" s="2">
        <v>1.1</v>
      </c>
      <c r="GU1662" s="2">
        <v>-0.5</v>
      </c>
      <c r="GV1662" s="2">
        <v>0.9</v>
      </c>
      <c r="GW1662" s="2">
        <v>-1.1</v>
      </c>
      <c r="GX1662" s="2">
        <v>2</v>
      </c>
      <c r="GY1662" s="2">
        <v>0.1</v>
      </c>
      <c r="GZ1662" s="2">
        <v>0.3</v>
      </c>
      <c r="HA1662" s="2">
        <v>-0.4</v>
      </c>
      <c r="HB1662" s="2">
        <v>1.2</v>
      </c>
      <c r="HC1662" s="2">
        <v>-1.6</v>
      </c>
      <c r="HD1662" s="2">
        <v>1.5</v>
      </c>
      <c r="HE1662" s="2">
        <v>-0.4</v>
      </c>
      <c r="HF1662" s="2">
        <v>0.6</v>
      </c>
      <c r="HG1662" s="2">
        <v>-1</v>
      </c>
      <c r="HH1662" s="2">
        <v>1.6</v>
      </c>
      <c r="HI1662" s="2">
        <v>4</v>
      </c>
      <c r="HJ1662" s="2">
        <v>-0.3</v>
      </c>
      <c r="HK1662" s="2">
        <v>-0.2</v>
      </c>
      <c r="HL1662" s="2">
        <v>2.3</v>
      </c>
      <c r="HM1662" s="2">
        <v>-0.4</v>
      </c>
      <c r="HN1662" s="2">
        <v>1.5</v>
      </c>
      <c r="HO1662" s="2">
        <v>-1</v>
      </c>
      <c r="HP1662" s="2">
        <v>2.2</v>
      </c>
      <c r="HQ1662" s="2">
        <v>-0.6</v>
      </c>
      <c r="HR1662" s="2">
        <v>2.2</v>
      </c>
      <c r="HS1662" s="2">
        <v>-1.8</v>
      </c>
      <c r="HT1662" s="2">
        <v>2.2</v>
      </c>
      <c r="HU1662" s="2">
        <v>-0.2</v>
      </c>
      <c r="HV1662" s="2">
        <v>0.2</v>
      </c>
      <c r="HW1662" s="2">
        <v>-1.4</v>
      </c>
      <c r="HX1662" s="2">
        <v>0.8</v>
      </c>
      <c r="HY1662" s="2">
        <v>-0.4</v>
      </c>
      <c r="HZ1662" s="2">
        <v>0.7</v>
      </c>
      <c r="IA1662" s="2">
        <v>-1.8</v>
      </c>
      <c r="IB1662" s="2">
        <v>0.7</v>
      </c>
      <c r="IC1662" s="2">
        <v>0.9</v>
      </c>
      <c r="ID1662" s="2">
        <v>0.5</v>
      </c>
      <c r="IE1662" s="2">
        <v>-2.5</v>
      </c>
      <c r="IF1662" s="2">
        <v>1.2</v>
      </c>
      <c r="IG1662" s="2">
        <v>1.1</v>
      </c>
      <c r="IH1662" s="2">
        <v>0.8</v>
      </c>
      <c r="II1662" s="2">
        <v>-2.4</v>
      </c>
      <c r="IJ1662" s="2">
        <v>2.9</v>
      </c>
      <c r="IK1662" s="2">
        <v>-1</v>
      </c>
      <c r="IL1662" s="2">
        <v>1.6</v>
      </c>
      <c r="IM1662" s="2">
        <v>-2.7</v>
      </c>
      <c r="IN1662" s="2">
        <v>2.7</v>
      </c>
      <c r="IO1662" s="2">
        <v>-0.9</v>
      </c>
      <c r="IP1662" s="2">
        <v>0.6</v>
      </c>
      <c r="IQ1662" s="2">
        <v>0.6</v>
      </c>
      <c r="IR1662" s="2">
        <v>3.5</v>
      </c>
      <c r="IS1662" s="2">
        <v>0.6</v>
      </c>
      <c r="IT1662" s="2">
        <v>0.8</v>
      </c>
      <c r="IU1662" s="2">
        <v>-3.5</v>
      </c>
      <c r="IV1662" s="2">
        <v>1.4</v>
      </c>
      <c r="IW1662" s="2">
        <v>1.2</v>
      </c>
      <c r="IX1662" s="2">
        <v>0</v>
      </c>
      <c r="IY1662" s="2">
        <v>-4.9</v>
      </c>
      <c r="IZ1662" s="2">
        <v>4.6</v>
      </c>
      <c r="JA1662" s="2">
        <v>-0.6</v>
      </c>
      <c r="JB1662" s="2">
        <v>1</v>
      </c>
      <c r="JC1662" s="2">
        <v>-5.1</v>
      </c>
      <c r="JD1662" s="2">
        <v>3.7</v>
      </c>
      <c r="JE1662" s="2">
        <v>1.5</v>
      </c>
      <c r="JF1662" s="2">
        <v>-1.3</v>
      </c>
      <c r="JG1662" s="2">
        <v>-5.9</v>
      </c>
      <c r="JH1662" s="2">
        <v>4.1</v>
      </c>
      <c r="JI1662" s="2">
        <v>0</v>
      </c>
      <c r="JJ1662" s="2">
        <v>1.2</v>
      </c>
      <c r="JK1662" s="2">
        <v>-3.5</v>
      </c>
      <c r="JL1662" s="2">
        <v>4</v>
      </c>
      <c r="JM1662" s="2">
        <v>0.3</v>
      </c>
      <c r="JN1662" s="2">
        <v>-0.1</v>
      </c>
      <c r="JO1662" s="2">
        <v>-2.9</v>
      </c>
      <c r="JP1662" s="2">
        <v>3.4</v>
      </c>
      <c r="JQ1662" s="2">
        <v>0.6</v>
      </c>
      <c r="JR1662" s="2">
        <v>1</v>
      </c>
      <c r="JS1662" s="2">
        <v>-1.2</v>
      </c>
      <c r="JT1662" s="2">
        <v>2.1</v>
      </c>
      <c r="JU1662" s="2">
        <v>1</v>
      </c>
      <c r="JV1662" s="2">
        <v>-1.4</v>
      </c>
      <c r="KA1662" s="2">
        <v>-3</v>
      </c>
      <c r="KB1662" s="2">
        <v>1</v>
      </c>
      <c r="KC1662" s="2">
        <v>0.3</v>
      </c>
      <c r="KD1662" s="2">
        <v>-0.8</v>
      </c>
      <c r="KQ1662" s="2">
        <v>-2.4</v>
      </c>
      <c r="KR1662" s="2">
        <v>0.8</v>
      </c>
      <c r="KS1662" s="2">
        <v>1.5</v>
      </c>
      <c r="KT1662" s="2">
        <v>1.5</v>
      </c>
      <c r="LG1662" s="2">
        <v>-2</v>
      </c>
      <c r="LH1662" s="2">
        <v>1.5</v>
      </c>
      <c r="LI1662" s="2">
        <v>2</v>
      </c>
      <c r="LJ1662" s="2">
        <v>-0.9</v>
      </c>
      <c r="LW1662" s="2">
        <v>-3</v>
      </c>
      <c r="LX1662" s="2">
        <v>3.3</v>
      </c>
      <c r="LY1662" s="2">
        <v>5.5</v>
      </c>
      <c r="LZ1662" s="2">
        <v>-0.9</v>
      </c>
      <c r="MM1662" s="2">
        <v>-2.8</v>
      </c>
      <c r="MN1662" s="2">
        <v>3.3</v>
      </c>
      <c r="MO1662" s="2">
        <v>3.4</v>
      </c>
      <c r="MP1662" s="2">
        <v>1</v>
      </c>
      <c r="NC1662" s="2">
        <v>-2.4</v>
      </c>
      <c r="ND1662" s="2">
        <v>6.2</v>
      </c>
      <c r="NE1662" s="2">
        <v>6.2</v>
      </c>
      <c r="NF1662" s="2">
        <v>0.7</v>
      </c>
      <c r="NS1662" s="2">
        <v>-3.5</v>
      </c>
      <c r="NT1662" s="2">
        <v>4.2</v>
      </c>
      <c r="NU1662" s="2">
        <v>1.8</v>
      </c>
      <c r="NV1662" s="2">
        <v>-3.5</v>
      </c>
      <c r="OI1662" s="2">
        <v>-4.5</v>
      </c>
      <c r="OJ1662" s="2">
        <v>2.8</v>
      </c>
      <c r="OK1662" s="2">
        <v>1.1</v>
      </c>
      <c r="OL1662" s="2">
        <v>1.9</v>
      </c>
      <c r="OY1662" s="2">
        <v>-4.6</v>
      </c>
      <c r="OZ1662" s="2">
        <v>2.4</v>
      </c>
      <c r="PA1662" s="2">
        <v>0.3</v>
      </c>
      <c r="PB1662" s="2">
        <v>0.6</v>
      </c>
      <c r="PJ1662" s="2">
        <v>-1.6</v>
      </c>
      <c r="PK1662" s="2">
        <v>-0.1</v>
      </c>
    </row>
    <row r="1663">
      <c r="A1663" t="inlineStr">
        <is>
          <t>A2328190C</t>
        </is>
      </c>
      <c r="B1663" t="inlineStr">
        <is>
          <t>Percentage Change from Previous Period ;  Furniture ;  Australia ;</t>
        </is>
      </c>
      <c r="C1663" t="inlineStr">
        <is>
          <t>Quarter</t>
        </is>
      </c>
      <c r="D1663" t="inlineStr">
        <is>
          <t>Percent</t>
        </is>
      </c>
      <c r="E1663" t="inlineStr">
        <is>
          <t>Original</t>
        </is>
      </c>
      <c r="F1663" t="inlineStr">
        <is>
          <t>6401018.xlsx</t>
        </is>
      </c>
      <c r="G1663" t="inlineStr">
        <is>
          <t>1980Q4</t>
        </is>
      </c>
      <c r="H1663" t="inlineStr">
        <is>
          <t>2026Q2</t>
        </is>
      </c>
      <c r="EH1663" s="2">
        <v>3.7</v>
      </c>
      <c r="EI1663" s="2">
        <v>1</v>
      </c>
      <c r="EJ1663" s="2">
        <v>1.4</v>
      </c>
      <c r="EK1663" s="2">
        <v>0.8</v>
      </c>
      <c r="EL1663" s="2">
        <v>4</v>
      </c>
      <c r="EM1663" s="2">
        <v>0.9</v>
      </c>
      <c r="EN1663" s="2">
        <v>5.8</v>
      </c>
      <c r="EO1663" s="2">
        <v>3.1</v>
      </c>
      <c r="EP1663" s="2">
        <v>3.5</v>
      </c>
      <c r="EQ1663" s="2">
        <v>1.6</v>
      </c>
      <c r="ER1663" s="2">
        <v>1.6</v>
      </c>
      <c r="ES1663" s="2">
        <v>2.2</v>
      </c>
      <c r="ET1663" s="2">
        <v>1.7</v>
      </c>
      <c r="EU1663" s="2">
        <v>1.2</v>
      </c>
      <c r="EV1663" s="2">
        <v>0.6</v>
      </c>
      <c r="EW1663" s="2">
        <v>1.5</v>
      </c>
      <c r="EX1663" s="2">
        <v>2.5</v>
      </c>
      <c r="EY1663" s="2">
        <v>1.1</v>
      </c>
      <c r="EZ1663" s="2">
        <v>0.1</v>
      </c>
      <c r="FA1663" s="2">
        <v>3.5</v>
      </c>
      <c r="FB1663" s="2">
        <v>3.2</v>
      </c>
      <c r="FC1663" s="2">
        <v>2.1</v>
      </c>
      <c r="FD1663" s="2">
        <v>1.8</v>
      </c>
      <c r="FE1663" s="2">
        <v>2.3</v>
      </c>
      <c r="FF1663" s="2">
        <v>2.2</v>
      </c>
      <c r="FG1663" s="2">
        <v>-1.6</v>
      </c>
      <c r="FH1663" s="2">
        <v>4.5</v>
      </c>
      <c r="FI1663" s="2">
        <v>0.2</v>
      </c>
      <c r="FJ1663" s="2">
        <v>1.4</v>
      </c>
      <c r="FK1663" s="2">
        <v>1.7</v>
      </c>
      <c r="FL1663" s="2">
        <v>2.6</v>
      </c>
      <c r="FM1663" s="2">
        <v>0</v>
      </c>
      <c r="FN1663" s="2">
        <v>1.2</v>
      </c>
      <c r="FO1663" s="2">
        <v>1.4</v>
      </c>
      <c r="FP1663" s="2">
        <v>2.5</v>
      </c>
      <c r="FQ1663" s="2">
        <v>1.3</v>
      </c>
      <c r="FR1663" s="2">
        <v>2.4</v>
      </c>
      <c r="FS1663" s="2">
        <v>2.1</v>
      </c>
      <c r="FT1663" s="2">
        <v>3.7</v>
      </c>
      <c r="FU1663" s="2">
        <v>0.1</v>
      </c>
      <c r="FV1663" s="2">
        <v>3.1</v>
      </c>
      <c r="FW1663" s="2">
        <v>-0.8</v>
      </c>
      <c r="FX1663" s="2">
        <v>1.5</v>
      </c>
      <c r="FY1663" s="2">
        <v>-1.4</v>
      </c>
      <c r="FZ1663" s="2">
        <v>3.6</v>
      </c>
      <c r="GA1663" s="2">
        <v>-2.3</v>
      </c>
      <c r="GB1663" s="2">
        <v>4.1</v>
      </c>
      <c r="GC1663" s="2">
        <v>-2</v>
      </c>
      <c r="GD1663" s="2">
        <v>2.3</v>
      </c>
      <c r="GE1663" s="2">
        <v>-2.7</v>
      </c>
      <c r="GF1663" s="2">
        <v>0.6</v>
      </c>
      <c r="GG1663" s="2">
        <v>0.9</v>
      </c>
      <c r="GH1663" s="2">
        <v>1.3</v>
      </c>
      <c r="GI1663" s="2">
        <v>1.7</v>
      </c>
      <c r="GJ1663" s="2">
        <v>1.4</v>
      </c>
      <c r="GK1663" s="2">
        <v>-0.6</v>
      </c>
      <c r="GL1663" s="2">
        <v>1.9</v>
      </c>
      <c r="GM1663" s="2">
        <v>-1.2</v>
      </c>
      <c r="GN1663" s="2">
        <v>0.8</v>
      </c>
      <c r="GO1663" s="2">
        <v>-0.4</v>
      </c>
      <c r="GP1663" s="2">
        <v>1.4</v>
      </c>
      <c r="GQ1663" s="2">
        <v>-1</v>
      </c>
      <c r="GR1663" s="2">
        <v>2.1</v>
      </c>
      <c r="GS1663" s="2">
        <v>-0.8</v>
      </c>
      <c r="GT1663" s="2">
        <v>1.3</v>
      </c>
      <c r="GU1663" s="2">
        <v>-0.7</v>
      </c>
      <c r="GV1663" s="2">
        <v>1.2</v>
      </c>
      <c r="GW1663" s="2">
        <v>-1.4</v>
      </c>
      <c r="GX1663" s="2">
        <v>2.3</v>
      </c>
      <c r="GY1663" s="2">
        <v>0</v>
      </c>
      <c r="GZ1663" s="2">
        <v>0.1</v>
      </c>
      <c r="HA1663" s="2">
        <v>-0.5</v>
      </c>
      <c r="HB1663" s="2">
        <v>1.3</v>
      </c>
      <c r="HC1663" s="2">
        <v>-1.9</v>
      </c>
      <c r="HD1663" s="2">
        <v>2.1</v>
      </c>
      <c r="HE1663" s="2">
        <v>-0.6</v>
      </c>
      <c r="HF1663" s="2">
        <v>0.5</v>
      </c>
      <c r="HG1663" s="2">
        <v>-1.1</v>
      </c>
      <c r="HH1663" s="2">
        <v>1.7</v>
      </c>
      <c r="HI1663" s="2">
        <v>3.5</v>
      </c>
      <c r="HJ1663" s="2">
        <v>-0.5</v>
      </c>
      <c r="HK1663" s="2">
        <v>-0.3</v>
      </c>
      <c r="HL1663" s="2">
        <v>2.2</v>
      </c>
      <c r="HM1663" s="2">
        <v>-0.7</v>
      </c>
      <c r="HN1663" s="2">
        <v>1.8</v>
      </c>
      <c r="HO1663" s="2">
        <v>-1.4</v>
      </c>
      <c r="HP1663" s="2">
        <v>2.1</v>
      </c>
      <c r="HQ1663" s="2">
        <v>-1.2</v>
      </c>
      <c r="HR1663" s="2">
        <v>2.4</v>
      </c>
      <c r="HS1663" s="2">
        <v>-2.4</v>
      </c>
      <c r="HT1663" s="2">
        <v>2.1</v>
      </c>
      <c r="HU1663" s="2">
        <v>-0.6</v>
      </c>
      <c r="HV1663" s="2">
        <v>0.2</v>
      </c>
      <c r="HW1663" s="2">
        <v>-1.8</v>
      </c>
      <c r="HX1663" s="2">
        <v>0.7</v>
      </c>
      <c r="HY1663" s="2">
        <v>-0.8</v>
      </c>
      <c r="HZ1663" s="2">
        <v>0.8</v>
      </c>
      <c r="IA1663" s="2">
        <v>-2.5</v>
      </c>
      <c r="IB1663" s="2">
        <v>0.6</v>
      </c>
      <c r="IC1663" s="2">
        <v>0.8</v>
      </c>
      <c r="ID1663" s="2">
        <v>0.5</v>
      </c>
      <c r="IE1663" s="2">
        <v>-3.2</v>
      </c>
      <c r="IF1663" s="2">
        <v>1.3</v>
      </c>
      <c r="IG1663" s="2">
        <v>1.4</v>
      </c>
      <c r="IH1663" s="2">
        <v>0.9</v>
      </c>
      <c r="II1663" s="2">
        <v>-3.3</v>
      </c>
      <c r="IJ1663" s="2">
        <v>3.9</v>
      </c>
      <c r="IK1663" s="2">
        <v>-1.5</v>
      </c>
      <c r="IL1663" s="2">
        <v>2</v>
      </c>
      <c r="IM1663" s="2">
        <v>-3.6</v>
      </c>
      <c r="IN1663" s="2">
        <v>3.2</v>
      </c>
      <c r="IO1663" s="2">
        <v>-1.3</v>
      </c>
      <c r="IP1663" s="2">
        <v>0.5</v>
      </c>
      <c r="IQ1663" s="2">
        <v>0</v>
      </c>
      <c r="IR1663" s="2">
        <v>3.7</v>
      </c>
      <c r="IS1663" s="2">
        <v>0.5</v>
      </c>
      <c r="IT1663" s="2">
        <v>1.4</v>
      </c>
      <c r="IU1663" s="2">
        <v>-4.6</v>
      </c>
      <c r="IV1663" s="2">
        <v>2</v>
      </c>
      <c r="IW1663" s="2">
        <v>1.4</v>
      </c>
      <c r="IX1663" s="2">
        <v>0.2</v>
      </c>
      <c r="IY1663" s="2">
        <v>-6.1</v>
      </c>
      <c r="IZ1663" s="2">
        <v>6</v>
      </c>
      <c r="JA1663" s="2">
        <v>-0.8</v>
      </c>
      <c r="JB1663" s="2">
        <v>1.1</v>
      </c>
      <c r="JC1663" s="2">
        <v>-6</v>
      </c>
      <c r="JD1663" s="2">
        <v>4.5</v>
      </c>
      <c r="JE1663" s="2">
        <v>1.8</v>
      </c>
      <c r="JF1663" s="2">
        <v>-1.6</v>
      </c>
      <c r="JG1663" s="2">
        <v>-6.8</v>
      </c>
      <c r="JH1663" s="2">
        <v>4.8</v>
      </c>
      <c r="JI1663" s="2">
        <v>-0.1</v>
      </c>
      <c r="JJ1663" s="2">
        <v>1.3</v>
      </c>
      <c r="JK1663" s="2">
        <v>-4.4</v>
      </c>
      <c r="JL1663" s="2">
        <v>4.8</v>
      </c>
      <c r="JM1663" s="2">
        <v>0.3</v>
      </c>
      <c r="JN1663" s="2">
        <v>-0.2</v>
      </c>
      <c r="JO1663" s="2">
        <v>-3.3</v>
      </c>
      <c r="JP1663" s="2">
        <v>3.5</v>
      </c>
      <c r="JQ1663" s="2">
        <v>0.6</v>
      </c>
      <c r="JR1663" s="2">
        <v>1</v>
      </c>
      <c r="JS1663" s="2">
        <v>-1.6</v>
      </c>
      <c r="JT1663" s="2">
        <v>2.4</v>
      </c>
      <c r="JU1663" s="2">
        <v>1.2</v>
      </c>
      <c r="JV1663" s="2">
        <v>-1.6</v>
      </c>
      <c r="KA1663" s="2">
        <v>-3.5</v>
      </c>
      <c r="KB1663" s="2">
        <v>0.8</v>
      </c>
      <c r="KC1663" s="2">
        <v>0.5</v>
      </c>
      <c r="KD1663" s="2">
        <v>-1</v>
      </c>
      <c r="KQ1663" s="2">
        <v>-2.9</v>
      </c>
      <c r="KR1663" s="2">
        <v>0.7</v>
      </c>
      <c r="KS1663" s="2">
        <v>1.8</v>
      </c>
      <c r="KT1663" s="2">
        <v>1.8</v>
      </c>
      <c r="LG1663" s="2">
        <v>-2.4</v>
      </c>
      <c r="LH1663" s="2">
        <v>1.5</v>
      </c>
      <c r="LI1663" s="2">
        <v>2.4</v>
      </c>
      <c r="LJ1663" s="2">
        <v>-1.3</v>
      </c>
      <c r="LW1663" s="2">
        <v>-3.8</v>
      </c>
      <c r="LX1663" s="2">
        <v>3.9</v>
      </c>
      <c r="LY1663" s="2">
        <v>6.4</v>
      </c>
      <c r="LZ1663" s="2">
        <v>-1.1</v>
      </c>
      <c r="MM1663" s="2">
        <v>-3</v>
      </c>
      <c r="MN1663" s="2">
        <v>3.8</v>
      </c>
      <c r="MO1663" s="2">
        <v>3.9</v>
      </c>
      <c r="MP1663" s="2">
        <v>1.2</v>
      </c>
      <c r="NC1663" s="2">
        <v>-3.5</v>
      </c>
      <c r="ND1663" s="2">
        <v>6.9</v>
      </c>
      <c r="NE1663" s="2">
        <v>6.6</v>
      </c>
      <c r="NF1663" s="2">
        <v>0.3</v>
      </c>
      <c r="NS1663" s="2">
        <v>-4.7</v>
      </c>
      <c r="NT1663" s="2">
        <v>5</v>
      </c>
      <c r="NU1663" s="2">
        <v>1.9</v>
      </c>
      <c r="NV1663" s="2">
        <v>-4.2</v>
      </c>
      <c r="OI1663" s="2">
        <v>-5.6</v>
      </c>
      <c r="OJ1663" s="2">
        <v>3.3</v>
      </c>
      <c r="OK1663" s="2">
        <v>1.4</v>
      </c>
      <c r="OL1663" s="2">
        <v>2.5</v>
      </c>
      <c r="OY1663" s="2">
        <v>-5.5</v>
      </c>
      <c r="OZ1663" s="2">
        <v>2.9</v>
      </c>
      <c r="PA1663" s="2">
        <v>0.2</v>
      </c>
      <c r="PB1663" s="2">
        <v>0.7</v>
      </c>
      <c r="PJ1663" s="2">
        <v>-2.2</v>
      </c>
      <c r="PK1663" s="2">
        <v>-0.1</v>
      </c>
    </row>
    <row r="1664">
      <c r="A1664" t="inlineStr">
        <is>
          <t>A3604437L</t>
        </is>
      </c>
      <c r="B1664" t="inlineStr">
        <is>
          <t>Percentage Change from Previous Period ;  Carpets and other floor coverings ;  Australia ;</t>
        </is>
      </c>
      <c r="C1664" t="inlineStr">
        <is>
          <t>Quarter</t>
        </is>
      </c>
      <c r="D1664" t="inlineStr">
        <is>
          <t>Percent</t>
        </is>
      </c>
      <c r="E1664" t="inlineStr">
        <is>
          <t>Original</t>
        </is>
      </c>
      <c r="F1664" t="inlineStr">
        <is>
          <t>6401018.xlsx</t>
        </is>
      </c>
      <c r="G1664" t="inlineStr">
        <is>
          <t>1980Q4</t>
        </is>
      </c>
      <c r="H1664" t="inlineStr">
        <is>
          <t>2026Q2</t>
        </is>
      </c>
      <c r="EH1664" s="2">
        <v>2.4</v>
      </c>
      <c r="EI1664" s="2">
        <v>0.8</v>
      </c>
      <c r="EJ1664" s="2">
        <v>2.9</v>
      </c>
      <c r="EK1664" s="2">
        <v>0.9</v>
      </c>
      <c r="EL1664" s="2">
        <v>2.5</v>
      </c>
      <c r="EM1664" s="2">
        <v>1.6</v>
      </c>
      <c r="EN1664" s="2">
        <v>0.7</v>
      </c>
      <c r="EO1664" s="2">
        <v>3.2</v>
      </c>
      <c r="EP1664" s="2">
        <v>1.7</v>
      </c>
      <c r="EQ1664" s="2">
        <v>0.8</v>
      </c>
      <c r="ER1664" s="2">
        <v>2.5</v>
      </c>
      <c r="ES1664" s="2">
        <v>1.1</v>
      </c>
      <c r="ET1664" s="2">
        <v>1.9</v>
      </c>
      <c r="EU1664" s="2">
        <v>0.8</v>
      </c>
      <c r="EV1664" s="2">
        <v>1.4</v>
      </c>
      <c r="EW1664" s="2">
        <v>0.9</v>
      </c>
      <c r="EX1664" s="2">
        <v>1.1</v>
      </c>
      <c r="EY1664" s="2">
        <v>1.4</v>
      </c>
      <c r="EZ1664" s="2">
        <v>2.3</v>
      </c>
      <c r="FA1664" s="2">
        <v>4.6</v>
      </c>
      <c r="FB1664" s="2">
        <v>5</v>
      </c>
      <c r="FC1664" s="2">
        <v>1.9</v>
      </c>
      <c r="FD1664" s="2">
        <v>1.2</v>
      </c>
      <c r="FE1664" s="2">
        <v>0.7</v>
      </c>
      <c r="FF1664" s="2">
        <v>1.8</v>
      </c>
      <c r="FG1664" s="2">
        <v>1.3</v>
      </c>
      <c r="FH1664" s="2">
        <v>2.9</v>
      </c>
      <c r="FI1664" s="2">
        <v>2.3</v>
      </c>
      <c r="FJ1664" s="2">
        <v>3</v>
      </c>
      <c r="FK1664" s="2">
        <v>2.3</v>
      </c>
      <c r="FL1664" s="2">
        <v>3.4</v>
      </c>
      <c r="FM1664" s="2">
        <v>0.8</v>
      </c>
      <c r="FN1664" s="2">
        <v>2.3</v>
      </c>
      <c r="FO1664" s="2">
        <v>1.2</v>
      </c>
      <c r="FP1664" s="2">
        <v>1.1</v>
      </c>
      <c r="FQ1664" s="2">
        <v>0.8</v>
      </c>
      <c r="FR1664" s="2">
        <v>2.2</v>
      </c>
      <c r="FS1664" s="2">
        <v>2.2</v>
      </c>
      <c r="FT1664" s="2">
        <v>0.9</v>
      </c>
      <c r="FU1664" s="2">
        <v>1.3</v>
      </c>
      <c r="FV1664" s="2">
        <v>0.4</v>
      </c>
      <c r="FW1664" s="2">
        <v>0.1</v>
      </c>
      <c r="FX1664" s="2">
        <v>-0.7</v>
      </c>
      <c r="FY1664" s="2">
        <v>0</v>
      </c>
      <c r="FZ1664" s="2">
        <v>-0.9</v>
      </c>
      <c r="GA1664" s="2">
        <v>0.9</v>
      </c>
      <c r="GB1664" s="2">
        <v>-1.2</v>
      </c>
      <c r="GC1664" s="2">
        <v>-0.9</v>
      </c>
      <c r="GD1664" s="2">
        <v>-0.3</v>
      </c>
      <c r="GE1664" s="2">
        <v>0.3</v>
      </c>
      <c r="GF1664" s="2">
        <v>1.2</v>
      </c>
      <c r="GG1664" s="2">
        <v>-0.3</v>
      </c>
      <c r="GH1664" s="2">
        <v>0.8</v>
      </c>
      <c r="GI1664" s="2">
        <v>0.3</v>
      </c>
      <c r="GJ1664" s="2">
        <v>0.2</v>
      </c>
      <c r="GK1664" s="2">
        <v>1.8</v>
      </c>
      <c r="GL1664" s="2">
        <v>-0.8</v>
      </c>
      <c r="GM1664" s="2">
        <v>0.8</v>
      </c>
      <c r="GN1664" s="2">
        <v>0.2</v>
      </c>
      <c r="GO1664" s="2">
        <v>1.4</v>
      </c>
      <c r="GP1664" s="2">
        <v>-0.1</v>
      </c>
      <c r="GQ1664" s="2">
        <v>0.3</v>
      </c>
      <c r="GR1664" s="2">
        <v>0.8</v>
      </c>
      <c r="GS1664" s="2">
        <v>0.5</v>
      </c>
      <c r="GT1664" s="2">
        <v>0.5</v>
      </c>
      <c r="GU1664" s="2">
        <v>0.5</v>
      </c>
      <c r="GV1664" s="2">
        <v>0.1</v>
      </c>
      <c r="GW1664" s="2">
        <v>-0.2</v>
      </c>
      <c r="GX1664" s="2">
        <v>0.5</v>
      </c>
      <c r="GY1664" s="2">
        <v>0.7</v>
      </c>
      <c r="GZ1664" s="2">
        <v>1.3</v>
      </c>
      <c r="HA1664" s="2">
        <v>0.1</v>
      </c>
      <c r="HB1664" s="2">
        <v>0.8</v>
      </c>
      <c r="HC1664" s="2">
        <v>-0.5</v>
      </c>
      <c r="HD1664" s="2">
        <v>-0.8</v>
      </c>
      <c r="HE1664" s="2">
        <v>0.3</v>
      </c>
      <c r="HF1664" s="2">
        <v>1</v>
      </c>
      <c r="HG1664" s="2">
        <v>-0.8</v>
      </c>
      <c r="HH1664" s="2">
        <v>1.1</v>
      </c>
      <c r="HI1664" s="2">
        <v>5.6</v>
      </c>
      <c r="HJ1664" s="2">
        <v>0.3</v>
      </c>
      <c r="HK1664" s="2">
        <v>0.3</v>
      </c>
      <c r="HL1664" s="2">
        <v>2.9</v>
      </c>
      <c r="HM1664" s="2">
        <v>1</v>
      </c>
      <c r="HN1664" s="2">
        <v>0.2</v>
      </c>
      <c r="HO1664" s="2">
        <v>0.4</v>
      </c>
      <c r="HP1664" s="2">
        <v>2.4</v>
      </c>
      <c r="HQ1664" s="2">
        <v>1.7</v>
      </c>
      <c r="HR1664" s="2">
        <v>1.5</v>
      </c>
      <c r="HS1664" s="2">
        <v>0.5</v>
      </c>
      <c r="HT1664" s="2">
        <v>2.6</v>
      </c>
      <c r="HU1664" s="2">
        <v>1</v>
      </c>
      <c r="HV1664" s="2">
        <v>0.1</v>
      </c>
      <c r="HW1664" s="2">
        <v>0.1</v>
      </c>
      <c r="HX1664" s="2">
        <v>1.1</v>
      </c>
      <c r="HY1664" s="2">
        <v>0.7</v>
      </c>
      <c r="HZ1664" s="2">
        <v>0.3</v>
      </c>
      <c r="IA1664" s="2">
        <v>0.5</v>
      </c>
      <c r="IB1664" s="2">
        <v>1</v>
      </c>
      <c r="IC1664" s="2">
        <v>1.1</v>
      </c>
      <c r="ID1664" s="2">
        <v>0.5</v>
      </c>
      <c r="IE1664" s="2">
        <v>-0.2</v>
      </c>
      <c r="IF1664" s="2">
        <v>0.7</v>
      </c>
      <c r="IG1664" s="2">
        <v>0.5</v>
      </c>
      <c r="IH1664" s="2">
        <v>0.5</v>
      </c>
      <c r="II1664" s="2">
        <v>0.6</v>
      </c>
      <c r="IJ1664" s="2">
        <v>-0.2</v>
      </c>
      <c r="IK1664" s="2">
        <v>0.3</v>
      </c>
      <c r="IL1664" s="2">
        <v>0</v>
      </c>
      <c r="IM1664" s="2">
        <v>0.5</v>
      </c>
      <c r="IN1664" s="2">
        <v>1.3</v>
      </c>
      <c r="IO1664" s="2">
        <v>0.5</v>
      </c>
      <c r="IP1664" s="2">
        <v>0.7</v>
      </c>
      <c r="IQ1664" s="2">
        <v>2.5</v>
      </c>
      <c r="IR1664" s="2">
        <v>2.3</v>
      </c>
      <c r="IS1664" s="2">
        <v>0.9</v>
      </c>
      <c r="IT1664" s="2">
        <v>-1</v>
      </c>
      <c r="IU1664" s="2">
        <v>-0.1</v>
      </c>
      <c r="IV1664" s="2">
        <v>0.2</v>
      </c>
      <c r="IW1664" s="2">
        <v>0.6</v>
      </c>
      <c r="IX1664" s="2">
        <v>-0.7</v>
      </c>
      <c r="IY1664" s="2">
        <v>-0.9</v>
      </c>
      <c r="IZ1664" s="2">
        <v>0.6</v>
      </c>
      <c r="JA1664" s="2">
        <v>0.5</v>
      </c>
      <c r="JB1664" s="2">
        <v>0.4</v>
      </c>
      <c r="JC1664" s="2">
        <v>0.1</v>
      </c>
      <c r="JD1664" s="2">
        <v>-0.5</v>
      </c>
      <c r="JE1664" s="2">
        <v>-0.4</v>
      </c>
      <c r="JF1664" s="2">
        <v>0.3</v>
      </c>
      <c r="JG1664" s="2">
        <v>-0.7</v>
      </c>
      <c r="JH1664" s="2">
        <v>0.3</v>
      </c>
      <c r="JI1664" s="2">
        <v>0.5</v>
      </c>
      <c r="JJ1664" s="2">
        <v>0.2</v>
      </c>
      <c r="JK1664" s="2">
        <v>1.5</v>
      </c>
      <c r="JL1664" s="2">
        <v>-0.6</v>
      </c>
      <c r="JM1664" s="2">
        <v>0.5</v>
      </c>
      <c r="JN1664" s="2">
        <v>0.3</v>
      </c>
      <c r="JO1664" s="2">
        <v>-1.2</v>
      </c>
      <c r="JP1664" s="2">
        <v>3</v>
      </c>
      <c r="JQ1664" s="2">
        <v>0.9</v>
      </c>
      <c r="JR1664" s="2">
        <v>1.1</v>
      </c>
      <c r="JS1664" s="2">
        <v>0.9</v>
      </c>
      <c r="JT1664" s="2">
        <v>0.6</v>
      </c>
      <c r="JU1664" s="2">
        <v>-0.1</v>
      </c>
      <c r="JV1664" s="2">
        <v>-0.2</v>
      </c>
      <c r="KA1664" s="2">
        <v>-0.7</v>
      </c>
      <c r="KB1664" s="2">
        <v>1.7</v>
      </c>
      <c r="KC1664" s="2">
        <v>-0.2</v>
      </c>
      <c r="KD1664" s="2">
        <v>0.1</v>
      </c>
      <c r="KQ1664" s="2">
        <v>-0.4</v>
      </c>
      <c r="KR1664" s="2">
        <v>1.2</v>
      </c>
      <c r="KS1664" s="2">
        <v>0.3</v>
      </c>
      <c r="KT1664" s="2">
        <v>0</v>
      </c>
      <c r="LG1664" s="2">
        <v>0.1</v>
      </c>
      <c r="LH1664" s="2">
        <v>1.3</v>
      </c>
      <c r="LI1664" s="2">
        <v>0.4</v>
      </c>
      <c r="LJ1664" s="2">
        <v>0.7</v>
      </c>
      <c r="LW1664" s="2">
        <v>0.2</v>
      </c>
      <c r="LX1664" s="2">
        <v>1</v>
      </c>
      <c r="LY1664" s="2">
        <v>1.8</v>
      </c>
      <c r="LZ1664" s="2">
        <v>0.3</v>
      </c>
      <c r="MM1664" s="2">
        <v>-1.7</v>
      </c>
      <c r="MN1664" s="2">
        <v>1.2</v>
      </c>
      <c r="MO1664" s="2">
        <v>1.1</v>
      </c>
      <c r="MP1664" s="2">
        <v>0.3</v>
      </c>
      <c r="NC1664" s="2">
        <v>2.3</v>
      </c>
      <c r="ND1664" s="2">
        <v>3</v>
      </c>
      <c r="NE1664" s="2">
        <v>4.4</v>
      </c>
      <c r="NF1664" s="2">
        <v>2.9</v>
      </c>
      <c r="NS1664" s="2">
        <v>2</v>
      </c>
      <c r="NT1664" s="2">
        <v>0.7</v>
      </c>
      <c r="NU1664" s="2">
        <v>1.3</v>
      </c>
      <c r="NV1664" s="2">
        <v>0</v>
      </c>
      <c r="OI1664" s="2">
        <v>0.4</v>
      </c>
      <c r="OJ1664" s="2">
        <v>0.5</v>
      </c>
      <c r="OK1664" s="2">
        <v>-0.1</v>
      </c>
      <c r="OL1664" s="2">
        <v>-0.8</v>
      </c>
      <c r="OY1664" s="2">
        <v>-0.3</v>
      </c>
      <c r="OZ1664" s="2">
        <v>0.4</v>
      </c>
      <c r="PA1664" s="2">
        <v>0.8</v>
      </c>
      <c r="PB1664" s="2">
        <v>0</v>
      </c>
      <c r="PJ1664" s="2">
        <v>1.2</v>
      </c>
      <c r="PK1664" s="2">
        <v>0.1</v>
      </c>
    </row>
    <row r="1665">
      <c r="A1665" t="inlineStr">
        <is>
          <t>A3604432A</t>
        </is>
      </c>
      <c r="B1665" t="inlineStr">
        <is>
          <t>Percentage Change from Previous Period ;  Household textiles ;  Australia ;</t>
        </is>
      </c>
      <c r="C1665" t="inlineStr">
        <is>
          <t>Quarter</t>
        </is>
      </c>
      <c r="D1665" t="inlineStr">
        <is>
          <t>Percent</t>
        </is>
      </c>
      <c r="E1665" t="inlineStr">
        <is>
          <t>Original</t>
        </is>
      </c>
      <c r="F1665" t="inlineStr">
        <is>
          <t>6401018.xlsx</t>
        </is>
      </c>
      <c r="G1665" t="inlineStr">
        <is>
          <t>1972Q4</t>
        </is>
      </c>
      <c r="H1665" t="inlineStr">
        <is>
          <t>2026Q2</t>
        </is>
      </c>
      <c r="DB1665" s="2">
        <v>0.5</v>
      </c>
      <c r="DC1665" s="2">
        <v>1.7</v>
      </c>
      <c r="DD1665" s="2">
        <v>12.3</v>
      </c>
      <c r="DE1665" s="2">
        <v>5</v>
      </c>
      <c r="DF1665" s="2">
        <v>3.8</v>
      </c>
      <c r="DG1665" s="2">
        <v>5.9</v>
      </c>
      <c r="DH1665" s="2">
        <v>9</v>
      </c>
      <c r="DI1665" s="2">
        <v>3.2</v>
      </c>
      <c r="DJ1665" s="2">
        <v>4.2</v>
      </c>
      <c r="DK1665" s="2">
        <v>2.2</v>
      </c>
      <c r="DL1665" s="2">
        <v>4.7</v>
      </c>
      <c r="DM1665" s="2">
        <v>3.8</v>
      </c>
      <c r="DN1665" s="2">
        <v>2.7</v>
      </c>
      <c r="DO1665" s="2">
        <v>1.9</v>
      </c>
      <c r="DP1665" s="2">
        <v>5.1</v>
      </c>
      <c r="DQ1665" s="2">
        <v>3</v>
      </c>
      <c r="DR1665" s="2">
        <v>0.3</v>
      </c>
      <c r="DS1665" s="2">
        <v>5.8</v>
      </c>
      <c r="DT1665" s="2">
        <v>7.4</v>
      </c>
      <c r="DU1665" s="2">
        <v>3.1</v>
      </c>
      <c r="DV1665" s="2">
        <v>3.2</v>
      </c>
      <c r="DW1665" s="2">
        <v>1.5</v>
      </c>
      <c r="DX1665" s="2">
        <v>2.8</v>
      </c>
      <c r="DY1665" s="2">
        <v>1.4</v>
      </c>
      <c r="DZ1665" s="2">
        <v>1.8</v>
      </c>
      <c r="EA1665" s="2">
        <v>1.6</v>
      </c>
      <c r="EB1665" s="2">
        <v>0</v>
      </c>
      <c r="EC1665" s="2">
        <v>2.9</v>
      </c>
      <c r="ED1665" s="2">
        <v>2.1</v>
      </c>
      <c r="EE1665" s="2">
        <v>1.7</v>
      </c>
      <c r="EF1665" s="2">
        <v>2</v>
      </c>
      <c r="EG1665" s="2">
        <v>2.8</v>
      </c>
      <c r="EH1665" s="2">
        <v>4.1</v>
      </c>
      <c r="EI1665" s="2">
        <v>0.9</v>
      </c>
      <c r="EJ1665" s="2">
        <v>2.1</v>
      </c>
      <c r="EK1665" s="2">
        <v>2.2</v>
      </c>
      <c r="EL1665" s="2">
        <v>1.8</v>
      </c>
      <c r="EM1665" s="2">
        <v>0.9</v>
      </c>
      <c r="EN1665" s="2">
        <v>1.9</v>
      </c>
      <c r="EO1665" s="2">
        <v>0.5</v>
      </c>
      <c r="EP1665" s="2">
        <v>1.9</v>
      </c>
      <c r="EQ1665" s="2">
        <v>2.4</v>
      </c>
      <c r="ER1665" s="2">
        <v>6.5</v>
      </c>
      <c r="ES1665" s="2">
        <v>1.5</v>
      </c>
      <c r="ET1665" s="2">
        <v>1.7</v>
      </c>
      <c r="EU1665" s="2">
        <v>1</v>
      </c>
      <c r="EV1665" s="2">
        <v>2.4</v>
      </c>
      <c r="EW1665" s="2">
        <v>-0.6</v>
      </c>
      <c r="EX1665" s="2">
        <v>0.3</v>
      </c>
      <c r="EY1665" s="2">
        <v>-0.1</v>
      </c>
      <c r="EZ1665" s="2">
        <v>2.7</v>
      </c>
      <c r="FA1665" s="2">
        <v>1.7</v>
      </c>
      <c r="FB1665" s="2">
        <v>3.6</v>
      </c>
      <c r="FC1665" s="2">
        <v>2</v>
      </c>
      <c r="FD1665" s="2">
        <v>5</v>
      </c>
      <c r="FE1665" s="2">
        <v>1.7</v>
      </c>
      <c r="FF1665" s="2">
        <v>1.4</v>
      </c>
      <c r="FG1665" s="2">
        <v>0.2</v>
      </c>
      <c r="FH1665" s="2">
        <v>3.4</v>
      </c>
      <c r="FI1665" s="2">
        <v>1.6</v>
      </c>
      <c r="FJ1665" s="2">
        <v>1</v>
      </c>
      <c r="FK1665" s="2">
        <v>1.1</v>
      </c>
      <c r="FL1665" s="2">
        <v>-0.1</v>
      </c>
      <c r="FM1665" s="2">
        <v>2.6</v>
      </c>
      <c r="FN1665" s="2">
        <v>0.8</v>
      </c>
      <c r="FO1665" s="2">
        <v>2</v>
      </c>
      <c r="FP1665" s="2">
        <v>2.3</v>
      </c>
      <c r="FQ1665" s="2">
        <v>2.1</v>
      </c>
      <c r="FR1665" s="2">
        <v>1.4</v>
      </c>
      <c r="FS1665" s="2">
        <v>0.9</v>
      </c>
      <c r="FT1665" s="2">
        <v>2</v>
      </c>
      <c r="FU1665" s="2">
        <v>0.8</v>
      </c>
      <c r="FV1665" s="2">
        <v>-0.5</v>
      </c>
      <c r="FW1665" s="2">
        <v>1.8</v>
      </c>
      <c r="FX1665" s="2">
        <v>2.3</v>
      </c>
      <c r="FY1665" s="2">
        <v>0.1</v>
      </c>
      <c r="FZ1665" s="2">
        <v>-0.4</v>
      </c>
      <c r="GA1665" s="2">
        <v>0.1</v>
      </c>
      <c r="GB1665" s="2">
        <v>-0.8</v>
      </c>
      <c r="GC1665" s="2">
        <v>0.1</v>
      </c>
      <c r="GD1665" s="2">
        <v>0.8</v>
      </c>
      <c r="GE1665" s="2">
        <v>0</v>
      </c>
      <c r="GF1665" s="2">
        <v>0.5</v>
      </c>
      <c r="GG1665" s="2">
        <v>-0.1</v>
      </c>
      <c r="GH1665" s="2">
        <v>0.2</v>
      </c>
      <c r="GI1665" s="2">
        <v>-0.7</v>
      </c>
      <c r="GJ1665" s="2">
        <v>0.8</v>
      </c>
      <c r="GK1665" s="2">
        <v>0.3</v>
      </c>
      <c r="GL1665" s="2">
        <v>1</v>
      </c>
      <c r="GM1665" s="2">
        <v>0.1</v>
      </c>
      <c r="GN1665" s="2">
        <v>2.2</v>
      </c>
      <c r="GO1665" s="2">
        <v>0.7</v>
      </c>
      <c r="GP1665" s="2">
        <v>2</v>
      </c>
      <c r="GQ1665" s="2">
        <v>0.9</v>
      </c>
      <c r="GR1665" s="2">
        <v>-0.4</v>
      </c>
      <c r="GS1665" s="2">
        <v>0.7</v>
      </c>
      <c r="GT1665" s="2">
        <v>1.8</v>
      </c>
      <c r="GU1665" s="2">
        <v>-0.2</v>
      </c>
      <c r="GV1665" s="2">
        <v>0.3</v>
      </c>
      <c r="GW1665" s="2">
        <v>0.7</v>
      </c>
      <c r="GX1665" s="2">
        <v>0.9</v>
      </c>
      <c r="GY1665" s="2">
        <v>0.4</v>
      </c>
      <c r="GZ1665" s="2">
        <v>-0.2</v>
      </c>
      <c r="HA1665" s="2">
        <v>0.4</v>
      </c>
      <c r="HB1665" s="2">
        <v>0.6</v>
      </c>
      <c r="HC1665" s="2">
        <v>0.2</v>
      </c>
      <c r="HD1665" s="2">
        <v>-0.4</v>
      </c>
      <c r="HE1665" s="2">
        <v>-0.3</v>
      </c>
      <c r="HF1665" s="2">
        <v>0</v>
      </c>
      <c r="HG1665" s="2">
        <v>-0.6</v>
      </c>
      <c r="HH1665" s="2">
        <v>-0.9</v>
      </c>
      <c r="HI1665" s="2">
        <v>4.1</v>
      </c>
      <c r="HJ1665" s="2">
        <v>-3.2</v>
      </c>
      <c r="HK1665" s="2">
        <v>0.7</v>
      </c>
      <c r="HL1665" s="2">
        <v>1.8</v>
      </c>
      <c r="HM1665" s="2">
        <v>-2.7</v>
      </c>
      <c r="HN1665" s="2">
        <v>1.7</v>
      </c>
      <c r="HO1665" s="2">
        <v>-1.2</v>
      </c>
      <c r="HP1665" s="2">
        <v>-2.1</v>
      </c>
      <c r="HQ1665" s="2">
        <v>-1.4</v>
      </c>
      <c r="HR1665" s="2">
        <v>1.8</v>
      </c>
      <c r="HS1665" s="2">
        <v>-1.3</v>
      </c>
      <c r="HT1665" s="2">
        <v>0.3</v>
      </c>
      <c r="HU1665" s="2">
        <v>0.9</v>
      </c>
      <c r="HV1665" s="2">
        <v>-2.5</v>
      </c>
      <c r="HW1665" s="2">
        <v>-0.1</v>
      </c>
      <c r="HX1665" s="2">
        <v>-3.1</v>
      </c>
      <c r="HY1665" s="2">
        <v>0.8</v>
      </c>
      <c r="HZ1665" s="2">
        <v>0.2</v>
      </c>
      <c r="IA1665" s="2">
        <v>-3.3</v>
      </c>
      <c r="IB1665" s="2">
        <v>3.1</v>
      </c>
      <c r="IC1665" s="2">
        <v>-1.2</v>
      </c>
      <c r="ID1665" s="2">
        <v>0.3</v>
      </c>
      <c r="IE1665" s="2">
        <v>-1.6</v>
      </c>
      <c r="IF1665" s="2">
        <v>0.1</v>
      </c>
      <c r="IG1665" s="2">
        <v>2.1</v>
      </c>
      <c r="IH1665" s="2">
        <v>-0.6</v>
      </c>
      <c r="II1665" s="2">
        <v>-4.3</v>
      </c>
      <c r="IJ1665" s="2">
        <v>4.1</v>
      </c>
      <c r="IK1665" s="2">
        <v>-2.6</v>
      </c>
      <c r="IL1665" s="2">
        <v>-0.2</v>
      </c>
      <c r="IM1665" s="2">
        <v>-4.4</v>
      </c>
      <c r="IN1665" s="2">
        <v>3.2</v>
      </c>
      <c r="IO1665" s="2">
        <v>0.7</v>
      </c>
      <c r="IP1665" s="2">
        <v>0</v>
      </c>
      <c r="IQ1665" s="2">
        <v>-1.9</v>
      </c>
      <c r="IR1665" s="2">
        <v>3.5</v>
      </c>
      <c r="IS1665" s="2">
        <v>-0.5</v>
      </c>
      <c r="IT1665" s="2">
        <v>0.6</v>
      </c>
      <c r="IU1665" s="2">
        <v>-5.3</v>
      </c>
      <c r="IV1665" s="2">
        <v>0.7</v>
      </c>
      <c r="IW1665" s="2">
        <v>1.7</v>
      </c>
      <c r="IX1665" s="2">
        <v>-0.9</v>
      </c>
      <c r="IY1665" s="2">
        <v>-3.8</v>
      </c>
      <c r="IZ1665" s="2">
        <v>4.9</v>
      </c>
      <c r="JA1665" s="2">
        <v>0.5</v>
      </c>
      <c r="JB1665" s="2">
        <v>1</v>
      </c>
      <c r="JC1665" s="2">
        <v>-5.6</v>
      </c>
      <c r="JD1665" s="2">
        <v>2.9</v>
      </c>
      <c r="JE1665" s="2">
        <v>0.8</v>
      </c>
      <c r="JF1665" s="2">
        <v>-1.2</v>
      </c>
      <c r="JG1665" s="2">
        <v>-6.7</v>
      </c>
      <c r="JH1665" s="2">
        <v>2.2</v>
      </c>
      <c r="JI1665" s="2">
        <v>3.8</v>
      </c>
      <c r="JJ1665" s="2">
        <v>0.1</v>
      </c>
      <c r="JK1665" s="2">
        <v>-2.9</v>
      </c>
      <c r="JL1665" s="2">
        <v>-2.1</v>
      </c>
      <c r="JM1665" s="2">
        <v>-3.4</v>
      </c>
      <c r="JN1665" s="2">
        <v>3.1</v>
      </c>
      <c r="JO1665" s="2">
        <v>-5.3</v>
      </c>
      <c r="JP1665" s="2">
        <v>-0.1</v>
      </c>
      <c r="JQ1665" s="2">
        <v>5.4</v>
      </c>
      <c r="JR1665" s="2">
        <v>2.1</v>
      </c>
      <c r="JS1665" s="2">
        <v>-4.1</v>
      </c>
      <c r="JT1665" s="2">
        <v>-1.3</v>
      </c>
      <c r="JU1665" s="2">
        <v>5.9</v>
      </c>
      <c r="JV1665" s="2">
        <v>-4.3</v>
      </c>
      <c r="KA1665" s="2">
        <v>-5.6</v>
      </c>
      <c r="KB1665" s="2">
        <v>3.9</v>
      </c>
      <c r="KC1665" s="2">
        <v>2.5</v>
      </c>
      <c r="KD1665" s="2">
        <v>-5.7</v>
      </c>
      <c r="KQ1665" s="2">
        <v>-3.5</v>
      </c>
      <c r="KR1665" s="2">
        <v>1.1</v>
      </c>
      <c r="KS1665" s="2">
        <v>0.3</v>
      </c>
      <c r="KT1665" s="2">
        <v>-1.7</v>
      </c>
      <c r="LG1665" s="2">
        <v>-2</v>
      </c>
      <c r="LH1665" s="2">
        <v>3</v>
      </c>
      <c r="LI1665" s="2">
        <v>1.1</v>
      </c>
      <c r="LJ1665" s="2">
        <v>-3.6</v>
      </c>
      <c r="LW1665" s="2">
        <v>3.8</v>
      </c>
      <c r="LX1665" s="2">
        <v>-0.2</v>
      </c>
      <c r="LY1665" s="2">
        <v>5.4</v>
      </c>
      <c r="LZ1665" s="2">
        <v>-2</v>
      </c>
      <c r="MM1665" s="2">
        <v>-1.6</v>
      </c>
      <c r="MN1665" s="2">
        <v>2</v>
      </c>
      <c r="MO1665" s="2">
        <v>3.1</v>
      </c>
      <c r="MP1665" s="2">
        <v>-2.9</v>
      </c>
      <c r="NC1665" s="2">
        <v>0.6</v>
      </c>
      <c r="ND1665" s="2">
        <v>4</v>
      </c>
      <c r="NE1665" s="2">
        <v>1.5</v>
      </c>
      <c r="NF1665" s="2">
        <v>-2.1</v>
      </c>
      <c r="NS1665" s="2">
        <v>-4.2</v>
      </c>
      <c r="NT1665" s="2">
        <v>9.6</v>
      </c>
      <c r="NU1665" s="2">
        <v>-3.3</v>
      </c>
      <c r="NV1665" s="2">
        <v>-5.3</v>
      </c>
      <c r="OI1665" s="2">
        <v>-0.2</v>
      </c>
      <c r="OJ1665" s="2">
        <v>1.1</v>
      </c>
      <c r="OK1665" s="2">
        <v>1.1</v>
      </c>
      <c r="OL1665" s="2">
        <v>-2.1</v>
      </c>
      <c r="OY1665" s="2">
        <v>-3.4</v>
      </c>
      <c r="OZ1665" s="2">
        <v>3.5</v>
      </c>
      <c r="PA1665" s="2">
        <v>4.7</v>
      </c>
      <c r="PB1665" s="2">
        <v>-1.5</v>
      </c>
      <c r="PJ1665" s="2">
        <v>-1.9</v>
      </c>
      <c r="PK1665" s="2">
        <v>-3.2</v>
      </c>
    </row>
    <row r="1666">
      <c r="A1666" t="inlineStr">
        <is>
          <t>A3604387A</t>
        </is>
      </c>
      <c r="B1666" t="inlineStr">
        <is>
          <t>Percentage Change from Previous Period ;  Household textiles ;  Australia ;</t>
        </is>
      </c>
      <c r="C1666" t="inlineStr">
        <is>
          <t>Quarter</t>
        </is>
      </c>
      <c r="D1666" t="inlineStr">
        <is>
          <t>Percent</t>
        </is>
      </c>
      <c r="E1666" t="inlineStr">
        <is>
          <t>Original</t>
        </is>
      </c>
      <c r="F1666" t="inlineStr">
        <is>
          <t>6401018.xlsx</t>
        </is>
      </c>
      <c r="G1666" t="inlineStr">
        <is>
          <t>1972Q4</t>
        </is>
      </c>
      <c r="H1666" t="inlineStr">
        <is>
          <t>2026Q2</t>
        </is>
      </c>
      <c r="DB1666" s="2">
        <v>0.5</v>
      </c>
      <c r="DC1666" s="2">
        <v>1.7</v>
      </c>
      <c r="DD1666" s="2">
        <v>12.3</v>
      </c>
      <c r="DE1666" s="2">
        <v>5</v>
      </c>
      <c r="DF1666" s="2">
        <v>3.8</v>
      </c>
      <c r="DG1666" s="2">
        <v>5.9</v>
      </c>
      <c r="DH1666" s="2">
        <v>9</v>
      </c>
      <c r="DI1666" s="2">
        <v>3.2</v>
      </c>
      <c r="DJ1666" s="2">
        <v>4.2</v>
      </c>
      <c r="DK1666" s="2">
        <v>2.2</v>
      </c>
      <c r="DL1666" s="2">
        <v>4.7</v>
      </c>
      <c r="DM1666" s="2">
        <v>3.8</v>
      </c>
      <c r="DN1666" s="2">
        <v>2.7</v>
      </c>
      <c r="DO1666" s="2">
        <v>1.9</v>
      </c>
      <c r="DP1666" s="2">
        <v>5.1</v>
      </c>
      <c r="DQ1666" s="2">
        <v>3</v>
      </c>
      <c r="DR1666" s="2">
        <v>0.3</v>
      </c>
      <c r="DS1666" s="2">
        <v>5.8</v>
      </c>
      <c r="DT1666" s="2">
        <v>7.4</v>
      </c>
      <c r="DU1666" s="2">
        <v>3.1</v>
      </c>
      <c r="DV1666" s="2">
        <v>3.2</v>
      </c>
      <c r="DW1666" s="2">
        <v>1.5</v>
      </c>
      <c r="DX1666" s="2">
        <v>2.8</v>
      </c>
      <c r="DY1666" s="2">
        <v>1.4</v>
      </c>
      <c r="DZ1666" s="2">
        <v>1.8</v>
      </c>
      <c r="EA1666" s="2">
        <v>1.6</v>
      </c>
      <c r="EB1666" s="2">
        <v>0</v>
      </c>
      <c r="EC1666" s="2">
        <v>2.9</v>
      </c>
      <c r="ED1666" s="2">
        <v>2.1</v>
      </c>
      <c r="EE1666" s="2">
        <v>1.7</v>
      </c>
      <c r="EF1666" s="2">
        <v>2</v>
      </c>
      <c r="EG1666" s="2">
        <v>2.8</v>
      </c>
      <c r="EH1666" s="2">
        <v>4.1</v>
      </c>
      <c r="EI1666" s="2">
        <v>0.9</v>
      </c>
      <c r="EJ1666" s="2">
        <v>2.1</v>
      </c>
      <c r="EK1666" s="2">
        <v>2.2</v>
      </c>
      <c r="EL1666" s="2">
        <v>1.8</v>
      </c>
      <c r="EM1666" s="2">
        <v>0.9</v>
      </c>
      <c r="EN1666" s="2">
        <v>1.9</v>
      </c>
      <c r="EO1666" s="2">
        <v>0.5</v>
      </c>
      <c r="EP1666" s="2">
        <v>1.9</v>
      </c>
      <c r="EQ1666" s="2">
        <v>2.4</v>
      </c>
      <c r="ER1666" s="2">
        <v>6.5</v>
      </c>
      <c r="ES1666" s="2">
        <v>1.5</v>
      </c>
      <c r="ET1666" s="2">
        <v>1.7</v>
      </c>
      <c r="EU1666" s="2">
        <v>1</v>
      </c>
      <c r="EV1666" s="2">
        <v>2.4</v>
      </c>
      <c r="EW1666" s="2">
        <v>-0.6</v>
      </c>
      <c r="EX1666" s="2">
        <v>0.3</v>
      </c>
      <c r="EY1666" s="2">
        <v>-0.1</v>
      </c>
      <c r="EZ1666" s="2">
        <v>2.7</v>
      </c>
      <c r="FA1666" s="2">
        <v>1.7</v>
      </c>
      <c r="FB1666" s="2">
        <v>3.6</v>
      </c>
      <c r="FC1666" s="2">
        <v>2</v>
      </c>
      <c r="FD1666" s="2">
        <v>5</v>
      </c>
      <c r="FE1666" s="2">
        <v>1.7</v>
      </c>
      <c r="FF1666" s="2">
        <v>1.4</v>
      </c>
      <c r="FG1666" s="2">
        <v>0.2</v>
      </c>
      <c r="FH1666" s="2">
        <v>3.4</v>
      </c>
      <c r="FI1666" s="2">
        <v>1.6</v>
      </c>
      <c r="FJ1666" s="2">
        <v>1</v>
      </c>
      <c r="FK1666" s="2">
        <v>1.1</v>
      </c>
      <c r="FL1666" s="2">
        <v>-0.1</v>
      </c>
      <c r="FM1666" s="2">
        <v>2.6</v>
      </c>
      <c r="FN1666" s="2">
        <v>0.8</v>
      </c>
      <c r="FO1666" s="2">
        <v>2</v>
      </c>
      <c r="FP1666" s="2">
        <v>2.3</v>
      </c>
      <c r="FQ1666" s="2">
        <v>2.1</v>
      </c>
      <c r="FR1666" s="2">
        <v>1.4</v>
      </c>
      <c r="FS1666" s="2">
        <v>0.9</v>
      </c>
      <c r="FT1666" s="2">
        <v>2</v>
      </c>
      <c r="FU1666" s="2">
        <v>0.8</v>
      </c>
      <c r="FV1666" s="2">
        <v>-0.5</v>
      </c>
      <c r="FW1666" s="2">
        <v>1.8</v>
      </c>
      <c r="FX1666" s="2">
        <v>2.3</v>
      </c>
      <c r="FY1666" s="2">
        <v>0.1</v>
      </c>
      <c r="FZ1666" s="2">
        <v>-0.4</v>
      </c>
      <c r="GA1666" s="2">
        <v>0.1</v>
      </c>
      <c r="GB1666" s="2">
        <v>-0.8</v>
      </c>
      <c r="GC1666" s="2">
        <v>0.1</v>
      </c>
      <c r="GD1666" s="2">
        <v>0.8</v>
      </c>
      <c r="GE1666" s="2">
        <v>0</v>
      </c>
      <c r="GF1666" s="2">
        <v>0.5</v>
      </c>
      <c r="GG1666" s="2">
        <v>-0.1</v>
      </c>
      <c r="GH1666" s="2">
        <v>0.2</v>
      </c>
      <c r="GI1666" s="2">
        <v>-0.7</v>
      </c>
      <c r="GJ1666" s="2">
        <v>0.8</v>
      </c>
      <c r="GK1666" s="2">
        <v>0.3</v>
      </c>
      <c r="GL1666" s="2">
        <v>1</v>
      </c>
      <c r="GM1666" s="2">
        <v>0.1</v>
      </c>
      <c r="GN1666" s="2">
        <v>2.2</v>
      </c>
      <c r="GO1666" s="2">
        <v>0.7</v>
      </c>
      <c r="GP1666" s="2">
        <v>2</v>
      </c>
      <c r="GQ1666" s="2">
        <v>0.9</v>
      </c>
      <c r="GR1666" s="2">
        <v>-0.4</v>
      </c>
      <c r="GS1666" s="2">
        <v>0.7</v>
      </c>
      <c r="GT1666" s="2">
        <v>1.8</v>
      </c>
      <c r="GU1666" s="2">
        <v>-0.2</v>
      </c>
      <c r="GV1666" s="2">
        <v>0.3</v>
      </c>
      <c r="GW1666" s="2">
        <v>0.7</v>
      </c>
      <c r="GX1666" s="2">
        <v>0.9</v>
      </c>
      <c r="GY1666" s="2">
        <v>0.4</v>
      </c>
      <c r="GZ1666" s="2">
        <v>-0.2</v>
      </c>
      <c r="HA1666" s="2">
        <v>0.4</v>
      </c>
      <c r="HB1666" s="2">
        <v>0.6</v>
      </c>
      <c r="HC1666" s="2">
        <v>0.2</v>
      </c>
      <c r="HD1666" s="2">
        <v>-0.4</v>
      </c>
      <c r="HE1666" s="2">
        <v>-0.3</v>
      </c>
      <c r="HF1666" s="2">
        <v>0</v>
      </c>
      <c r="HG1666" s="2">
        <v>-0.6</v>
      </c>
      <c r="HH1666" s="2">
        <v>-0.9</v>
      </c>
      <c r="HI1666" s="2">
        <v>4.1</v>
      </c>
      <c r="HJ1666" s="2">
        <v>-3.2</v>
      </c>
      <c r="HK1666" s="2">
        <v>0.7</v>
      </c>
      <c r="HL1666" s="2">
        <v>1.8</v>
      </c>
      <c r="HM1666" s="2">
        <v>-2.7</v>
      </c>
      <c r="HN1666" s="2">
        <v>1.7</v>
      </c>
      <c r="HO1666" s="2">
        <v>-1.2</v>
      </c>
      <c r="HP1666" s="2">
        <v>-2.1</v>
      </c>
      <c r="HQ1666" s="2">
        <v>-1.4</v>
      </c>
      <c r="HR1666" s="2">
        <v>1.8</v>
      </c>
      <c r="HS1666" s="2">
        <v>-1.3</v>
      </c>
      <c r="HT1666" s="2">
        <v>0.3</v>
      </c>
      <c r="HU1666" s="2">
        <v>0.9</v>
      </c>
      <c r="HV1666" s="2">
        <v>-2.5</v>
      </c>
      <c r="HW1666" s="2">
        <v>-0.1</v>
      </c>
      <c r="HX1666" s="2">
        <v>-3.1</v>
      </c>
      <c r="HY1666" s="2">
        <v>0.8</v>
      </c>
      <c r="HZ1666" s="2">
        <v>0.2</v>
      </c>
      <c r="IA1666" s="2">
        <v>-3.3</v>
      </c>
      <c r="IB1666" s="2">
        <v>3.1</v>
      </c>
      <c r="IC1666" s="2">
        <v>-1.2</v>
      </c>
      <c r="ID1666" s="2">
        <v>0.3</v>
      </c>
      <c r="IE1666" s="2">
        <v>-1.6</v>
      </c>
      <c r="IF1666" s="2">
        <v>0.1</v>
      </c>
      <c r="IG1666" s="2">
        <v>2.1</v>
      </c>
      <c r="IH1666" s="2">
        <v>-0.6</v>
      </c>
      <c r="II1666" s="2">
        <v>-4.3</v>
      </c>
      <c r="IJ1666" s="2">
        <v>4.1</v>
      </c>
      <c r="IK1666" s="2">
        <v>-2.6</v>
      </c>
      <c r="IL1666" s="2">
        <v>-0.2</v>
      </c>
      <c r="IM1666" s="2">
        <v>-4.4</v>
      </c>
      <c r="IN1666" s="2">
        <v>3.2</v>
      </c>
      <c r="IO1666" s="2">
        <v>0.7</v>
      </c>
      <c r="IP1666" s="2">
        <v>0</v>
      </c>
      <c r="IQ1666" s="2">
        <v>-1.9</v>
      </c>
      <c r="IR1666" s="2">
        <v>3.5</v>
      </c>
      <c r="IS1666" s="2">
        <v>-0.5</v>
      </c>
      <c r="IT1666" s="2">
        <v>0.6</v>
      </c>
      <c r="IU1666" s="2">
        <v>-5.3</v>
      </c>
      <c r="IV1666" s="2">
        <v>0.7</v>
      </c>
      <c r="IW1666" s="2">
        <v>1.7</v>
      </c>
      <c r="IX1666" s="2">
        <v>-0.9</v>
      </c>
      <c r="IY1666" s="2">
        <v>-3.8</v>
      </c>
      <c r="IZ1666" s="2">
        <v>4.9</v>
      </c>
      <c r="JA1666" s="2">
        <v>0.5</v>
      </c>
      <c r="JB1666" s="2">
        <v>1</v>
      </c>
      <c r="JC1666" s="2">
        <v>-5.6</v>
      </c>
      <c r="JD1666" s="2">
        <v>2.9</v>
      </c>
      <c r="JE1666" s="2">
        <v>0.8</v>
      </c>
      <c r="JF1666" s="2">
        <v>-1.2</v>
      </c>
      <c r="JG1666" s="2">
        <v>-6.7</v>
      </c>
      <c r="JH1666" s="2">
        <v>2.2</v>
      </c>
      <c r="JI1666" s="2">
        <v>3.8</v>
      </c>
      <c r="JJ1666" s="2">
        <v>0.1</v>
      </c>
      <c r="JK1666" s="2">
        <v>-2.9</v>
      </c>
      <c r="JL1666" s="2">
        <v>-2.1</v>
      </c>
      <c r="JM1666" s="2">
        <v>-3.4</v>
      </c>
      <c r="JN1666" s="2">
        <v>3.1</v>
      </c>
      <c r="JO1666" s="2">
        <v>-5.3</v>
      </c>
      <c r="JP1666" s="2">
        <v>-0.1</v>
      </c>
      <c r="JQ1666" s="2">
        <v>5.4</v>
      </c>
      <c r="JR1666" s="2">
        <v>2.1</v>
      </c>
      <c r="JS1666" s="2">
        <v>-4.1</v>
      </c>
      <c r="JT1666" s="2">
        <v>-1.3</v>
      </c>
      <c r="JU1666" s="2">
        <v>5.9</v>
      </c>
      <c r="JV1666" s="2">
        <v>-4.3</v>
      </c>
      <c r="KA1666" s="2">
        <v>-5.6</v>
      </c>
      <c r="KB1666" s="2">
        <v>3.9</v>
      </c>
      <c r="KC1666" s="2">
        <v>2.5</v>
      </c>
      <c r="KD1666" s="2">
        <v>-5.7</v>
      </c>
      <c r="KQ1666" s="2">
        <v>-3.5</v>
      </c>
      <c r="KR1666" s="2">
        <v>1.1</v>
      </c>
      <c r="KS1666" s="2">
        <v>0.3</v>
      </c>
      <c r="KT1666" s="2">
        <v>-1.7</v>
      </c>
      <c r="LG1666" s="2">
        <v>-2</v>
      </c>
      <c r="LH1666" s="2">
        <v>3</v>
      </c>
      <c r="LI1666" s="2">
        <v>1.1</v>
      </c>
      <c r="LJ1666" s="2">
        <v>-3.6</v>
      </c>
      <c r="LW1666" s="2">
        <v>3.8</v>
      </c>
      <c r="LX1666" s="2">
        <v>-0.2</v>
      </c>
      <c r="LY1666" s="2">
        <v>5.4</v>
      </c>
      <c r="LZ1666" s="2">
        <v>-2</v>
      </c>
      <c r="MM1666" s="2">
        <v>-1.6</v>
      </c>
      <c r="MN1666" s="2">
        <v>2</v>
      </c>
      <c r="MO1666" s="2">
        <v>3.1</v>
      </c>
      <c r="MP1666" s="2">
        <v>-2.9</v>
      </c>
      <c r="NC1666" s="2">
        <v>0.6</v>
      </c>
      <c r="ND1666" s="2">
        <v>4</v>
      </c>
      <c r="NE1666" s="2">
        <v>1.5</v>
      </c>
      <c r="NF1666" s="2">
        <v>-2.1</v>
      </c>
      <c r="NS1666" s="2">
        <v>-4.2</v>
      </c>
      <c r="NT1666" s="2">
        <v>9.6</v>
      </c>
      <c r="NU1666" s="2">
        <v>-3.3</v>
      </c>
      <c r="NV1666" s="2">
        <v>-5.3</v>
      </c>
      <c r="OI1666" s="2">
        <v>-0.2</v>
      </c>
      <c r="OJ1666" s="2">
        <v>1.1</v>
      </c>
      <c r="OK1666" s="2">
        <v>1.1</v>
      </c>
      <c r="OL1666" s="2">
        <v>-2.1</v>
      </c>
      <c r="OY1666" s="2">
        <v>-3.4</v>
      </c>
      <c r="OZ1666" s="2">
        <v>3.5</v>
      </c>
      <c r="PA1666" s="2">
        <v>4.7</v>
      </c>
      <c r="PB1666" s="2">
        <v>-1.5</v>
      </c>
      <c r="PJ1666" s="2">
        <v>-1.9</v>
      </c>
      <c r="PK1666" s="2">
        <v>-3.2</v>
      </c>
    </row>
    <row r="1667">
      <c r="A1667" t="inlineStr">
        <is>
          <t>A2330035V</t>
        </is>
      </c>
      <c r="B1667" t="inlineStr">
        <is>
          <t>Percentage Change from Previous Period ;  Household appliances, utensils and tools ;  Australia ;</t>
        </is>
      </c>
      <c r="C1667" t="inlineStr">
        <is>
          <t>Quarter</t>
        </is>
      </c>
      <c r="D1667" t="inlineStr">
        <is>
          <t>Percent</t>
        </is>
      </c>
      <c r="E1667" t="inlineStr">
        <is>
          <t>Original</t>
        </is>
      </c>
      <c r="F1667" t="inlineStr">
        <is>
          <t>6401018.xlsx</t>
        </is>
      </c>
      <c r="G1667" t="inlineStr">
        <is>
          <t>1989Q4</t>
        </is>
      </c>
      <c r="H1667" t="inlineStr">
        <is>
          <t>2026Q2</t>
        </is>
      </c>
      <c r="FR1667" s="2">
        <v>1.1</v>
      </c>
      <c r="FS1667" s="2">
        <v>0.7</v>
      </c>
      <c r="FT1667" s="2">
        <v>0.9</v>
      </c>
      <c r="FU1667" s="2">
        <v>1.3</v>
      </c>
      <c r="FV1667" s="2">
        <v>0.1</v>
      </c>
      <c r="FW1667" s="2">
        <v>1.2</v>
      </c>
      <c r="FX1667" s="2">
        <v>0</v>
      </c>
      <c r="FY1667" s="2">
        <v>0.4</v>
      </c>
      <c r="FZ1667" s="2">
        <v>0.1</v>
      </c>
      <c r="GA1667" s="2">
        <v>0.5</v>
      </c>
      <c r="GB1667" s="2">
        <v>0.2</v>
      </c>
      <c r="GC1667" s="2">
        <v>-0.9</v>
      </c>
      <c r="GD1667" s="2">
        <v>-0.1</v>
      </c>
      <c r="GE1667" s="2">
        <v>0.2</v>
      </c>
      <c r="GF1667" s="2">
        <v>1.3</v>
      </c>
      <c r="GG1667" s="2">
        <v>0.1</v>
      </c>
      <c r="GH1667" s="2">
        <v>0.1</v>
      </c>
      <c r="GI1667" s="2">
        <v>0.4</v>
      </c>
      <c r="GJ1667" s="2">
        <v>0.3</v>
      </c>
      <c r="GK1667" s="2">
        <v>0.4</v>
      </c>
      <c r="GL1667" s="2">
        <v>0.4</v>
      </c>
      <c r="GM1667" s="2">
        <v>-0.3</v>
      </c>
      <c r="GN1667" s="2">
        <v>-0.2</v>
      </c>
      <c r="GO1667" s="2">
        <v>0.7</v>
      </c>
      <c r="GP1667" s="2">
        <v>-0.3</v>
      </c>
      <c r="GQ1667" s="2">
        <v>0.2</v>
      </c>
      <c r="GR1667" s="2">
        <v>0.6</v>
      </c>
      <c r="GS1667" s="2">
        <v>0.2</v>
      </c>
      <c r="GT1667" s="2">
        <v>-0.5</v>
      </c>
      <c r="GU1667" s="2">
        <v>-0.4</v>
      </c>
      <c r="GV1667" s="2">
        <v>0.4</v>
      </c>
      <c r="GW1667" s="2">
        <v>-0.7</v>
      </c>
      <c r="GX1667" s="2">
        <v>0.2</v>
      </c>
      <c r="GY1667" s="2">
        <v>0</v>
      </c>
      <c r="GZ1667" s="2">
        <v>0.2</v>
      </c>
      <c r="HA1667" s="2">
        <v>-0.1</v>
      </c>
      <c r="HB1667" s="2">
        <v>-0.5</v>
      </c>
      <c r="HC1667" s="2">
        <v>-0.3</v>
      </c>
      <c r="HD1667" s="2">
        <v>1.1</v>
      </c>
      <c r="HE1667" s="2">
        <v>0</v>
      </c>
      <c r="HF1667" s="2">
        <v>-0.6</v>
      </c>
      <c r="HG1667" s="2">
        <v>-0.2</v>
      </c>
      <c r="HH1667" s="2">
        <v>0</v>
      </c>
      <c r="HI1667" s="2">
        <v>1.6</v>
      </c>
      <c r="HJ1667" s="2">
        <v>-0.8</v>
      </c>
      <c r="HK1667" s="2">
        <v>1.4</v>
      </c>
      <c r="HL1667" s="2">
        <v>1</v>
      </c>
      <c r="HM1667" s="2">
        <v>-0.7</v>
      </c>
      <c r="HN1667" s="2">
        <v>0.9</v>
      </c>
      <c r="HO1667" s="2">
        <v>-1.8</v>
      </c>
      <c r="HP1667" s="2">
        <v>0.1</v>
      </c>
      <c r="HQ1667" s="2">
        <v>-0.4</v>
      </c>
      <c r="HR1667" s="2">
        <v>0.1</v>
      </c>
      <c r="HS1667" s="2">
        <v>-1.6</v>
      </c>
      <c r="HT1667" s="2">
        <v>0.7</v>
      </c>
      <c r="HU1667" s="2">
        <v>-0.2</v>
      </c>
      <c r="HV1667" s="2">
        <v>-0.5</v>
      </c>
      <c r="HW1667" s="2">
        <v>-1.1</v>
      </c>
      <c r="HX1667" s="2">
        <v>-0.8</v>
      </c>
      <c r="HY1667" s="2">
        <v>-0.2</v>
      </c>
      <c r="HZ1667" s="2">
        <v>0</v>
      </c>
      <c r="IA1667" s="2">
        <v>-1.3</v>
      </c>
      <c r="IB1667" s="2">
        <v>1.8</v>
      </c>
      <c r="IC1667" s="2">
        <v>0.6</v>
      </c>
      <c r="ID1667" s="2">
        <v>-1.2</v>
      </c>
      <c r="IE1667" s="2">
        <v>-1.1</v>
      </c>
      <c r="IF1667" s="2">
        <v>1</v>
      </c>
      <c r="IG1667" s="2">
        <v>-0.3</v>
      </c>
      <c r="IH1667" s="2">
        <v>-0.9</v>
      </c>
      <c r="II1667" s="2">
        <v>-0.8</v>
      </c>
      <c r="IJ1667" s="2">
        <v>1.1</v>
      </c>
      <c r="IK1667" s="2">
        <v>0.2</v>
      </c>
      <c r="IL1667" s="2">
        <v>0</v>
      </c>
      <c r="IM1667" s="2">
        <v>-1.3</v>
      </c>
      <c r="IN1667" s="2">
        <v>1.6</v>
      </c>
      <c r="IO1667" s="2">
        <v>-0.7</v>
      </c>
      <c r="IP1667" s="2">
        <v>-0.6</v>
      </c>
      <c r="IQ1667" s="2">
        <v>0.1</v>
      </c>
      <c r="IR1667" s="2">
        <v>2.5</v>
      </c>
      <c r="IS1667" s="2">
        <v>1.5</v>
      </c>
      <c r="IT1667" s="2">
        <v>-1.4</v>
      </c>
      <c r="IU1667" s="2">
        <v>-2.1</v>
      </c>
      <c r="IV1667" s="2">
        <v>1.7</v>
      </c>
      <c r="IW1667" s="2">
        <v>-0.5</v>
      </c>
      <c r="IX1667" s="2">
        <v>-1.8</v>
      </c>
      <c r="IY1667" s="2">
        <v>-1.7</v>
      </c>
      <c r="IZ1667" s="2">
        <v>1.7</v>
      </c>
      <c r="JA1667" s="2">
        <v>0.6</v>
      </c>
      <c r="JB1667" s="2">
        <v>-2.5</v>
      </c>
      <c r="JC1667" s="2">
        <v>-0.2</v>
      </c>
      <c r="JD1667" s="2">
        <v>-0.6</v>
      </c>
      <c r="JE1667" s="2">
        <v>0.8</v>
      </c>
      <c r="JF1667" s="2">
        <v>-2.2</v>
      </c>
      <c r="JG1667" s="2">
        <v>-2.4</v>
      </c>
      <c r="JH1667" s="2">
        <v>0.6</v>
      </c>
      <c r="JI1667" s="2">
        <v>0.9</v>
      </c>
      <c r="JJ1667" s="2">
        <v>0.8</v>
      </c>
      <c r="JK1667" s="2">
        <v>-1</v>
      </c>
      <c r="JL1667" s="2">
        <v>-0.1</v>
      </c>
      <c r="JM1667" s="2">
        <v>1.3</v>
      </c>
      <c r="JN1667" s="2">
        <v>-2.4</v>
      </c>
      <c r="JO1667" s="2">
        <v>-0.7</v>
      </c>
      <c r="JP1667" s="2">
        <v>1.7</v>
      </c>
      <c r="JQ1667" s="2">
        <v>1.8</v>
      </c>
      <c r="JR1667" s="2">
        <v>0.1</v>
      </c>
      <c r="JS1667" s="2">
        <v>-0.4</v>
      </c>
      <c r="JT1667" s="2">
        <v>1</v>
      </c>
      <c r="JU1667" s="2">
        <v>0.6</v>
      </c>
      <c r="JV1667" s="2">
        <v>-2.1</v>
      </c>
      <c r="KA1667" s="2">
        <v>-1.7</v>
      </c>
      <c r="KB1667" s="2">
        <v>0.4</v>
      </c>
      <c r="KC1667" s="2">
        <v>0.8</v>
      </c>
      <c r="KD1667" s="2">
        <v>-2.2</v>
      </c>
      <c r="KQ1667" s="2">
        <v>-1.4</v>
      </c>
      <c r="KR1667" s="2">
        <v>1.2</v>
      </c>
      <c r="KS1667" s="2">
        <v>1</v>
      </c>
      <c r="KT1667" s="2">
        <v>0.6</v>
      </c>
      <c r="LG1667" s="2">
        <v>-1.7</v>
      </c>
      <c r="LH1667" s="2">
        <v>0.7</v>
      </c>
      <c r="LI1667" s="2">
        <v>0.5</v>
      </c>
      <c r="LJ1667" s="2">
        <v>-1.3</v>
      </c>
      <c r="LW1667" s="2">
        <v>0.5</v>
      </c>
      <c r="LX1667" s="2">
        <v>2.1</v>
      </c>
      <c r="LY1667" s="2">
        <v>4.5</v>
      </c>
      <c r="LZ1667" s="2">
        <v>-0.2</v>
      </c>
      <c r="MM1667" s="2">
        <v>-1.4</v>
      </c>
      <c r="MN1667" s="2">
        <v>0.9</v>
      </c>
      <c r="MO1667" s="2">
        <v>0.1</v>
      </c>
      <c r="MP1667" s="2">
        <v>0</v>
      </c>
      <c r="NC1667" s="2">
        <v>0.5</v>
      </c>
      <c r="ND1667" s="2">
        <v>3.9</v>
      </c>
      <c r="NE1667" s="2">
        <v>2</v>
      </c>
      <c r="NF1667" s="2">
        <v>1.5</v>
      </c>
      <c r="NS1667" s="2">
        <v>-2.8</v>
      </c>
      <c r="NT1667" s="2">
        <v>0.9</v>
      </c>
      <c r="NU1667" s="2">
        <v>-0.1</v>
      </c>
      <c r="NV1667" s="2">
        <v>-1.1</v>
      </c>
      <c r="OI1667" s="2">
        <v>-0.4</v>
      </c>
      <c r="OJ1667" s="2">
        <v>-0.1</v>
      </c>
      <c r="OK1667" s="2">
        <v>1</v>
      </c>
      <c r="OL1667" s="2">
        <v>-0.2</v>
      </c>
      <c r="OY1667" s="2">
        <v>-2.1</v>
      </c>
      <c r="OZ1667" s="2">
        <v>0.8</v>
      </c>
      <c r="PA1667" s="2">
        <v>-0.5</v>
      </c>
      <c r="PB1667" s="2">
        <v>-2</v>
      </c>
      <c r="PJ1667" s="2">
        <v>-0.1</v>
      </c>
      <c r="PK1667" s="2">
        <v>0</v>
      </c>
    </row>
    <row r="1668">
      <c r="A1668" t="inlineStr">
        <is>
          <t>A2328280J</t>
        </is>
      </c>
      <c r="B1668" t="inlineStr">
        <is>
          <t>Percentage Change from Previous Period ;  Major household appliances ;  Australia ;</t>
        </is>
      </c>
      <c r="C1668" t="inlineStr">
        <is>
          <t>Quarter</t>
        </is>
      </c>
      <c r="D1668" t="inlineStr">
        <is>
          <t>Percent</t>
        </is>
      </c>
      <c r="E1668" t="inlineStr">
        <is>
          <t>Original</t>
        </is>
      </c>
      <c r="F1668" t="inlineStr">
        <is>
          <t>6401018.xlsx</t>
        </is>
      </c>
      <c r="G1668" t="inlineStr">
        <is>
          <t>1972Q4</t>
        </is>
      </c>
      <c r="H1668" t="inlineStr">
        <is>
          <t>2026Q2</t>
        </is>
      </c>
      <c r="DB1668" s="2">
        <v>0.5</v>
      </c>
      <c r="DC1668" s="2">
        <v>0</v>
      </c>
      <c r="DD1668" s="2">
        <v>0.4</v>
      </c>
      <c r="DE1668" s="2">
        <v>1.5</v>
      </c>
      <c r="DF1668" s="2">
        <v>1.1</v>
      </c>
      <c r="DG1668" s="2">
        <v>1.1</v>
      </c>
      <c r="DH1668" s="2">
        <v>1</v>
      </c>
      <c r="DI1668" s="2">
        <v>5.7</v>
      </c>
      <c r="DJ1668" s="2">
        <v>2.6</v>
      </c>
      <c r="DK1668" s="2">
        <v>1.5</v>
      </c>
      <c r="DL1668" s="2">
        <v>1.5</v>
      </c>
      <c r="DM1668" s="2">
        <v>0</v>
      </c>
      <c r="DN1668" s="2">
        <v>2.4</v>
      </c>
      <c r="DO1668" s="2">
        <v>0.5</v>
      </c>
      <c r="DP1668" s="2">
        <v>0.7</v>
      </c>
      <c r="DQ1668" s="2">
        <v>0.6</v>
      </c>
      <c r="DR1668" s="2">
        <v>0.7</v>
      </c>
      <c r="DS1668" s="2">
        <v>1.2</v>
      </c>
      <c r="DT1668" s="2">
        <v>2.3</v>
      </c>
      <c r="DU1668" s="2">
        <v>-0.2</v>
      </c>
      <c r="DV1668" s="2">
        <v>1.9</v>
      </c>
      <c r="DW1668" s="2">
        <v>1</v>
      </c>
      <c r="DX1668" s="2">
        <v>0.8</v>
      </c>
      <c r="DY1668" s="2">
        <v>1.2</v>
      </c>
      <c r="DZ1668" s="2">
        <v>0.3</v>
      </c>
      <c r="EA1668" s="2">
        <v>1</v>
      </c>
      <c r="EB1668" s="2">
        <v>0.6</v>
      </c>
      <c r="EC1668" s="2">
        <v>0.6</v>
      </c>
      <c r="ED1668" s="2">
        <v>1.1</v>
      </c>
      <c r="EE1668" s="2">
        <v>2.5</v>
      </c>
      <c r="EF1668" s="2">
        <v>1.5</v>
      </c>
      <c r="EG1668" s="2">
        <v>3.6</v>
      </c>
      <c r="EH1668" s="2">
        <v>0</v>
      </c>
      <c r="EI1668" s="2">
        <v>1</v>
      </c>
      <c r="EJ1668" s="2">
        <v>1.7</v>
      </c>
      <c r="EK1668" s="2">
        <v>1.7</v>
      </c>
      <c r="EL1668" s="2">
        <v>2.1</v>
      </c>
      <c r="EM1668" s="2">
        <v>1.4</v>
      </c>
      <c r="EN1668" s="2">
        <v>0.9</v>
      </c>
      <c r="EO1668" s="2">
        <v>1.6</v>
      </c>
      <c r="EP1668" s="2">
        <v>0.3</v>
      </c>
      <c r="EQ1668" s="2">
        <v>0.1</v>
      </c>
      <c r="ER1668" s="2">
        <v>1.2</v>
      </c>
      <c r="ES1668" s="2">
        <v>0.7</v>
      </c>
      <c r="ET1668" s="2">
        <v>0.8</v>
      </c>
      <c r="EU1668" s="2">
        <v>0.6</v>
      </c>
      <c r="EV1668" s="2">
        <v>0.6</v>
      </c>
      <c r="EW1668" s="2">
        <v>-0.5</v>
      </c>
      <c r="EX1668" s="2">
        <v>-0.4</v>
      </c>
      <c r="EY1668" s="2">
        <v>-0.5</v>
      </c>
      <c r="EZ1668" s="2">
        <v>1.3</v>
      </c>
      <c r="FA1668" s="2">
        <v>0.1</v>
      </c>
      <c r="FB1668" s="2">
        <v>3.2</v>
      </c>
      <c r="FC1668" s="2">
        <v>3.3</v>
      </c>
      <c r="FD1668" s="2">
        <v>1</v>
      </c>
      <c r="FE1668" s="2">
        <v>2</v>
      </c>
      <c r="FF1668" s="2">
        <v>1.5</v>
      </c>
      <c r="FG1668" s="2">
        <v>1.1</v>
      </c>
      <c r="FH1668" s="2">
        <v>1.9</v>
      </c>
      <c r="FI1668" s="2">
        <v>0.4</v>
      </c>
      <c r="FJ1668" s="2">
        <v>1</v>
      </c>
      <c r="FK1668" s="2">
        <v>1.2</v>
      </c>
      <c r="FL1668" s="2">
        <v>1.4</v>
      </c>
      <c r="FM1668" s="2">
        <v>1.3</v>
      </c>
      <c r="FN1668" s="2">
        <v>1.8</v>
      </c>
      <c r="FO1668" s="2">
        <v>0.5</v>
      </c>
      <c r="FP1668" s="2">
        <v>-0.4</v>
      </c>
      <c r="FQ1668" s="2">
        <v>1.8</v>
      </c>
      <c r="FR1668" s="2">
        <v>1.3</v>
      </c>
      <c r="FS1668" s="2">
        <v>-0.5</v>
      </c>
      <c r="FT1668" s="2">
        <v>0.2</v>
      </c>
      <c r="FU1668" s="2">
        <v>1</v>
      </c>
      <c r="FV1668" s="2">
        <v>0.3</v>
      </c>
      <c r="FW1668" s="2">
        <v>0</v>
      </c>
      <c r="FX1668" s="2">
        <v>1.9</v>
      </c>
      <c r="FY1668" s="2">
        <v>0.7</v>
      </c>
      <c r="FZ1668" s="2">
        <v>0.1</v>
      </c>
      <c r="GA1668" s="2">
        <v>0.5</v>
      </c>
      <c r="GB1668" s="2">
        <v>-0.4</v>
      </c>
      <c r="GC1668" s="2">
        <v>-0.6</v>
      </c>
      <c r="GD1668" s="2">
        <v>-0.3</v>
      </c>
      <c r="GE1668" s="2">
        <v>0.7</v>
      </c>
      <c r="GF1668" s="2">
        <v>1.1</v>
      </c>
      <c r="GG1668" s="2">
        <v>0.1</v>
      </c>
      <c r="GH1668" s="2">
        <v>0.3</v>
      </c>
      <c r="GI1668" s="2">
        <v>0.4</v>
      </c>
      <c r="GJ1668" s="2">
        <v>0</v>
      </c>
      <c r="GK1668" s="2">
        <v>1.2</v>
      </c>
      <c r="GL1668" s="2">
        <v>0.8</v>
      </c>
      <c r="GM1668" s="2">
        <v>0</v>
      </c>
      <c r="GN1668" s="2">
        <v>-0.7</v>
      </c>
      <c r="GO1668" s="2">
        <v>0.9</v>
      </c>
      <c r="GP1668" s="2">
        <v>-0.3</v>
      </c>
      <c r="GQ1668" s="2">
        <v>0.3</v>
      </c>
      <c r="GR1668" s="2">
        <v>1</v>
      </c>
      <c r="GS1668" s="2">
        <v>0.5</v>
      </c>
      <c r="GT1668" s="2">
        <v>-0.4</v>
      </c>
      <c r="GU1668" s="2">
        <v>-0.3</v>
      </c>
      <c r="GV1668" s="2">
        <v>0.4</v>
      </c>
      <c r="GW1668" s="2">
        <v>-0.4</v>
      </c>
      <c r="GX1668" s="2">
        <v>-0.4</v>
      </c>
      <c r="GY1668" s="2">
        <v>-0.5</v>
      </c>
      <c r="GZ1668" s="2">
        <v>0</v>
      </c>
      <c r="HA1668" s="2">
        <v>-0.4</v>
      </c>
      <c r="HB1668" s="2">
        <v>-1.4</v>
      </c>
      <c r="HC1668" s="2">
        <v>-0.3</v>
      </c>
      <c r="HD1668" s="2">
        <v>0.5</v>
      </c>
      <c r="HE1668" s="2">
        <v>0</v>
      </c>
      <c r="HF1668" s="2">
        <v>-0.8</v>
      </c>
      <c r="HG1668" s="2">
        <v>-0.5</v>
      </c>
      <c r="HH1668" s="2">
        <v>-0.2</v>
      </c>
      <c r="HI1668" s="2">
        <v>2.9</v>
      </c>
      <c r="HJ1668" s="2">
        <v>0.5</v>
      </c>
      <c r="HK1668" s="2">
        <v>2.2</v>
      </c>
      <c r="HL1668" s="2">
        <v>0.2</v>
      </c>
      <c r="HM1668" s="2">
        <v>-0.8</v>
      </c>
      <c r="HN1668" s="2">
        <v>0</v>
      </c>
      <c r="HO1668" s="2">
        <v>-1.7</v>
      </c>
      <c r="HP1668" s="2">
        <v>-0.4</v>
      </c>
      <c r="HQ1668" s="2">
        <v>0</v>
      </c>
      <c r="HR1668" s="2">
        <v>0.1</v>
      </c>
      <c r="HS1668" s="2">
        <v>-1.5</v>
      </c>
      <c r="HT1668" s="2">
        <v>0</v>
      </c>
      <c r="HU1668" s="2">
        <v>0.3</v>
      </c>
      <c r="HV1668" s="2">
        <v>0.7</v>
      </c>
      <c r="HW1668" s="2">
        <v>-0.8</v>
      </c>
      <c r="HX1668" s="2">
        <v>-0.5</v>
      </c>
      <c r="HY1668" s="2">
        <v>0</v>
      </c>
      <c r="HZ1668" s="2">
        <v>0.5</v>
      </c>
      <c r="IA1668" s="2">
        <v>0.3</v>
      </c>
      <c r="IB1668" s="2">
        <v>1.8</v>
      </c>
      <c r="IC1668" s="2">
        <v>1.7</v>
      </c>
      <c r="ID1668" s="2">
        <v>-1</v>
      </c>
      <c r="IE1668" s="2">
        <v>-0.8</v>
      </c>
      <c r="IF1668" s="2">
        <v>-0.1</v>
      </c>
      <c r="IG1668" s="2">
        <v>-1.9</v>
      </c>
      <c r="IH1668" s="2">
        <v>-0.2</v>
      </c>
      <c r="II1668" s="2">
        <v>-0.5</v>
      </c>
      <c r="IJ1668" s="2">
        <v>0.3</v>
      </c>
      <c r="IK1668" s="2">
        <v>0.1</v>
      </c>
      <c r="IL1668" s="2">
        <v>-0.6</v>
      </c>
      <c r="IM1668" s="2">
        <v>-0.6</v>
      </c>
      <c r="IN1668" s="2">
        <v>1.8</v>
      </c>
      <c r="IO1668" s="2">
        <v>-1.2</v>
      </c>
      <c r="IP1668" s="2">
        <v>-0.3</v>
      </c>
      <c r="IQ1668" s="2">
        <v>1.8</v>
      </c>
      <c r="IR1668" s="2">
        <v>-0.8</v>
      </c>
      <c r="IS1668" s="2">
        <v>1.7</v>
      </c>
      <c r="IT1668" s="2">
        <v>-2.8</v>
      </c>
      <c r="IU1668" s="2">
        <v>-0.5</v>
      </c>
      <c r="IV1668" s="2">
        <v>-0.6</v>
      </c>
      <c r="IW1668" s="2">
        <v>-0.6</v>
      </c>
      <c r="IX1668" s="2">
        <v>-2.2</v>
      </c>
      <c r="IY1668" s="2">
        <v>-1.7</v>
      </c>
      <c r="IZ1668" s="2">
        <v>1</v>
      </c>
      <c r="JA1668" s="2">
        <v>-0.7</v>
      </c>
      <c r="JB1668" s="2">
        <v>-3.3</v>
      </c>
      <c r="JC1668" s="2">
        <v>0.3</v>
      </c>
      <c r="JD1668" s="2">
        <v>-1.1</v>
      </c>
      <c r="JE1668" s="2">
        <v>0.7</v>
      </c>
      <c r="JF1668" s="2">
        <v>-2.9</v>
      </c>
      <c r="JG1668" s="2">
        <v>-1.8</v>
      </c>
      <c r="JH1668" s="2">
        <v>0</v>
      </c>
      <c r="JI1668" s="2">
        <v>-0.8</v>
      </c>
      <c r="JJ1668" s="2">
        <v>3.6</v>
      </c>
      <c r="JK1668" s="2">
        <v>-0.6</v>
      </c>
      <c r="JL1668" s="2">
        <v>0.6</v>
      </c>
      <c r="JM1668" s="2">
        <v>0.5</v>
      </c>
      <c r="JN1668" s="2">
        <v>-2.4</v>
      </c>
      <c r="JO1668" s="2">
        <v>-1.5</v>
      </c>
      <c r="JP1668" s="2">
        <v>4.1</v>
      </c>
      <c r="JQ1668" s="2">
        <v>1.1</v>
      </c>
      <c r="JR1668" s="2">
        <v>-0.8</v>
      </c>
      <c r="JS1668" s="2">
        <v>0.7</v>
      </c>
      <c r="JT1668" s="2">
        <v>1.4</v>
      </c>
      <c r="JU1668" s="2">
        <v>-1</v>
      </c>
      <c r="JV1668" s="2">
        <v>-2.8</v>
      </c>
      <c r="KA1668" s="2">
        <v>-1.2</v>
      </c>
      <c r="KB1668" s="2">
        <v>0.2</v>
      </c>
      <c r="KC1668" s="2">
        <v>-0.5</v>
      </c>
      <c r="KD1668" s="2">
        <v>-3</v>
      </c>
      <c r="KQ1668" s="2">
        <v>-0.7</v>
      </c>
      <c r="KR1668" s="2">
        <v>1</v>
      </c>
      <c r="KS1668" s="2">
        <v>2</v>
      </c>
      <c r="KT1668" s="2">
        <v>1.9</v>
      </c>
      <c r="LG1668" s="2">
        <v>-1.4</v>
      </c>
      <c r="LH1668" s="2">
        <v>2.5</v>
      </c>
      <c r="LI1668" s="2">
        <v>-1</v>
      </c>
      <c r="LJ1668" s="2">
        <v>-1.2</v>
      </c>
      <c r="LW1668" s="2">
        <v>1.6</v>
      </c>
      <c r="LX1668" s="2">
        <v>3</v>
      </c>
      <c r="LY1668" s="2">
        <v>5.4</v>
      </c>
      <c r="LZ1668" s="2">
        <v>-0.3</v>
      </c>
      <c r="MM1668" s="2">
        <v>-0.8</v>
      </c>
      <c r="MN1668" s="2">
        <v>-0.5</v>
      </c>
      <c r="MO1668" s="2">
        <v>-1.7</v>
      </c>
      <c r="MP1668" s="2">
        <v>0.5</v>
      </c>
      <c r="NC1668" s="2">
        <v>3.6</v>
      </c>
      <c r="ND1668" s="2">
        <v>3.3</v>
      </c>
      <c r="NE1668" s="2">
        <v>1.6</v>
      </c>
      <c r="NF1668" s="2">
        <v>1.3</v>
      </c>
      <c r="NS1668" s="2">
        <v>-3.8</v>
      </c>
      <c r="NT1668" s="2">
        <v>-0.4</v>
      </c>
      <c r="NU1668" s="2">
        <v>0</v>
      </c>
      <c r="NV1668" s="2">
        <v>-3.1</v>
      </c>
      <c r="OI1668" s="2">
        <v>1.1</v>
      </c>
      <c r="OJ1668" s="2">
        <v>0.8</v>
      </c>
      <c r="OK1668" s="2">
        <v>-0.4</v>
      </c>
      <c r="OL1668" s="2">
        <v>-0.1</v>
      </c>
      <c r="OY1668" s="2">
        <v>-2.2</v>
      </c>
      <c r="OZ1668" s="2">
        <v>1.7</v>
      </c>
      <c r="PA1668" s="2">
        <v>0.2</v>
      </c>
      <c r="PB1668" s="2">
        <v>-1.9</v>
      </c>
      <c r="PJ1668" s="2">
        <v>0.1</v>
      </c>
      <c r="PK1668" s="2">
        <v>-0.2</v>
      </c>
    </row>
    <row r="1669">
      <c r="A1669" t="inlineStr">
        <is>
          <t>A2331025J</t>
        </is>
      </c>
      <c r="B1669" t="inlineStr">
        <is>
          <t>Percentage Change from Previous Period ;  Small electric household appliances ;  Australia ;</t>
        </is>
      </c>
      <c r="C1669" t="inlineStr">
        <is>
          <t>Quarter</t>
        </is>
      </c>
      <c r="D1669" t="inlineStr">
        <is>
          <t>Percent</t>
        </is>
      </c>
      <c r="E1669" t="inlineStr">
        <is>
          <t>Original</t>
        </is>
      </c>
      <c r="F1669" t="inlineStr">
        <is>
          <t>6401018.xlsx</t>
        </is>
      </c>
      <c r="G1669" t="inlineStr">
        <is>
          <t>1972Q4</t>
        </is>
      </c>
      <c r="H1669" t="inlineStr">
        <is>
          <t>2026Q2</t>
        </is>
      </c>
      <c r="DB1669" s="2">
        <v>0.4</v>
      </c>
      <c r="DC1669" s="2">
        <v>0</v>
      </c>
      <c r="DD1669" s="2">
        <v>0.4</v>
      </c>
      <c r="DE1669" s="2">
        <v>1.5</v>
      </c>
      <c r="DF1669" s="2">
        <v>1.1</v>
      </c>
      <c r="DG1669" s="2">
        <v>1.1</v>
      </c>
      <c r="DH1669" s="2">
        <v>1.1</v>
      </c>
      <c r="DI1669" s="2">
        <v>5.6</v>
      </c>
      <c r="DJ1669" s="2">
        <v>2.6</v>
      </c>
      <c r="DK1669" s="2">
        <v>1.6</v>
      </c>
      <c r="DL1669" s="2">
        <v>1.5</v>
      </c>
      <c r="DM1669" s="2">
        <v>0</v>
      </c>
      <c r="DN1669" s="2">
        <v>2.4</v>
      </c>
      <c r="DO1669" s="2">
        <v>0.6</v>
      </c>
      <c r="DP1669" s="2">
        <v>0.7</v>
      </c>
      <c r="DQ1669" s="2">
        <v>0.5</v>
      </c>
      <c r="DR1669" s="2">
        <v>0.7</v>
      </c>
      <c r="DS1669" s="2">
        <v>1.2</v>
      </c>
      <c r="DT1669" s="2">
        <v>2.3</v>
      </c>
      <c r="DU1669" s="2">
        <v>-0.2</v>
      </c>
      <c r="DV1669" s="2">
        <v>1.9</v>
      </c>
      <c r="DW1669" s="2">
        <v>1</v>
      </c>
      <c r="DX1669" s="2">
        <v>0.8</v>
      </c>
      <c r="DY1669" s="2">
        <v>1.2</v>
      </c>
      <c r="DZ1669" s="2">
        <v>0.3</v>
      </c>
      <c r="EA1669" s="2">
        <v>1</v>
      </c>
      <c r="EB1669" s="2">
        <v>0.7</v>
      </c>
      <c r="EC1669" s="2">
        <v>0.6</v>
      </c>
      <c r="ED1669" s="2">
        <v>1.1</v>
      </c>
      <c r="EE1669" s="2">
        <v>2.5</v>
      </c>
      <c r="EF1669" s="2">
        <v>1.5</v>
      </c>
      <c r="EG1669" s="2">
        <v>3.6</v>
      </c>
      <c r="EH1669" s="2">
        <v>0</v>
      </c>
      <c r="EI1669" s="2">
        <v>1</v>
      </c>
      <c r="EJ1669" s="2">
        <v>1.7</v>
      </c>
      <c r="EK1669" s="2">
        <v>1.7</v>
      </c>
      <c r="EL1669" s="2">
        <v>2.1</v>
      </c>
      <c r="EM1669" s="2">
        <v>1.4</v>
      </c>
      <c r="EN1669" s="2">
        <v>0.9</v>
      </c>
      <c r="EO1669" s="2">
        <v>1.6</v>
      </c>
      <c r="EP1669" s="2">
        <v>0.3</v>
      </c>
      <c r="EQ1669" s="2">
        <v>0.1</v>
      </c>
      <c r="ER1669" s="2">
        <v>1.2</v>
      </c>
      <c r="ES1669" s="2">
        <v>0.7</v>
      </c>
      <c r="ET1669" s="2">
        <v>0.8</v>
      </c>
      <c r="EU1669" s="2">
        <v>0.6</v>
      </c>
      <c r="EV1669" s="2">
        <v>0.6</v>
      </c>
      <c r="EW1669" s="2">
        <v>-0.5</v>
      </c>
      <c r="EX1669" s="2">
        <v>-0.4</v>
      </c>
      <c r="EY1669" s="2">
        <v>-0.5</v>
      </c>
      <c r="EZ1669" s="2">
        <v>1.3</v>
      </c>
      <c r="FA1669" s="2">
        <v>0.1</v>
      </c>
      <c r="FB1669" s="2">
        <v>3.2</v>
      </c>
      <c r="FC1669" s="2">
        <v>3.3</v>
      </c>
      <c r="FD1669" s="2">
        <v>0.9</v>
      </c>
      <c r="FE1669" s="2">
        <v>2</v>
      </c>
      <c r="FF1669" s="2">
        <v>1.5</v>
      </c>
      <c r="FG1669" s="2">
        <v>1.1</v>
      </c>
      <c r="FH1669" s="2">
        <v>1.9</v>
      </c>
      <c r="FI1669" s="2">
        <v>0.4</v>
      </c>
      <c r="FJ1669" s="2">
        <v>1</v>
      </c>
      <c r="FK1669" s="2">
        <v>1.2</v>
      </c>
      <c r="FL1669" s="2">
        <v>1.4</v>
      </c>
      <c r="FM1669" s="2">
        <v>1.3</v>
      </c>
      <c r="FN1669" s="2">
        <v>1.8</v>
      </c>
      <c r="FO1669" s="2">
        <v>0.5</v>
      </c>
      <c r="FP1669" s="2">
        <v>-0.4</v>
      </c>
      <c r="FQ1669" s="2">
        <v>1.7</v>
      </c>
      <c r="FR1669" s="2">
        <v>1.3</v>
      </c>
      <c r="FS1669" s="2">
        <v>-0.5</v>
      </c>
      <c r="FT1669" s="2">
        <v>0.2</v>
      </c>
      <c r="FU1669" s="2">
        <v>1</v>
      </c>
      <c r="FV1669" s="2">
        <v>0.3</v>
      </c>
      <c r="FW1669" s="2">
        <v>0</v>
      </c>
      <c r="FX1669" s="2">
        <v>1.9</v>
      </c>
      <c r="FY1669" s="2">
        <v>0.7</v>
      </c>
      <c r="FZ1669" s="2">
        <v>0.1</v>
      </c>
      <c r="GA1669" s="2">
        <v>0.5</v>
      </c>
      <c r="GB1669" s="2">
        <v>-0.4</v>
      </c>
      <c r="GC1669" s="2">
        <v>-0.6</v>
      </c>
      <c r="GD1669" s="2">
        <v>-0.3</v>
      </c>
      <c r="GE1669" s="2">
        <v>0.7</v>
      </c>
      <c r="GF1669" s="2">
        <v>1.1</v>
      </c>
      <c r="GG1669" s="2">
        <v>0.1</v>
      </c>
      <c r="GH1669" s="2">
        <v>0.3</v>
      </c>
      <c r="GI1669" s="2">
        <v>0.4</v>
      </c>
      <c r="GJ1669" s="2">
        <v>0</v>
      </c>
      <c r="GK1669" s="2">
        <v>1.2</v>
      </c>
      <c r="GL1669" s="2">
        <v>0.8</v>
      </c>
      <c r="GM1669" s="2">
        <v>0</v>
      </c>
      <c r="GN1669" s="2">
        <v>-0.7</v>
      </c>
      <c r="GO1669" s="2">
        <v>0.9</v>
      </c>
      <c r="GP1669" s="2">
        <v>-0.3</v>
      </c>
      <c r="GQ1669" s="2">
        <v>0.3</v>
      </c>
      <c r="GR1669" s="2">
        <v>1</v>
      </c>
      <c r="GS1669" s="2">
        <v>0.5</v>
      </c>
      <c r="GT1669" s="2">
        <v>-0.4</v>
      </c>
      <c r="GU1669" s="2">
        <v>-0.3</v>
      </c>
      <c r="GV1669" s="2">
        <v>0.4</v>
      </c>
      <c r="GW1669" s="2">
        <v>-0.4</v>
      </c>
      <c r="GX1669" s="2">
        <v>-0.4</v>
      </c>
      <c r="GY1669" s="2">
        <v>-0.5</v>
      </c>
      <c r="GZ1669" s="2">
        <v>0</v>
      </c>
      <c r="HA1669" s="2">
        <v>-0.4</v>
      </c>
      <c r="HB1669" s="2">
        <v>-1.5</v>
      </c>
      <c r="HC1669" s="2">
        <v>-0.3</v>
      </c>
      <c r="HD1669" s="2">
        <v>0.5</v>
      </c>
      <c r="HE1669" s="2">
        <v>0</v>
      </c>
      <c r="HF1669" s="2">
        <v>-0.7</v>
      </c>
      <c r="HG1669" s="2">
        <v>-0.6</v>
      </c>
      <c r="HH1669" s="2">
        <v>-0.2</v>
      </c>
      <c r="HI1669" s="2">
        <v>1.2</v>
      </c>
      <c r="HJ1669" s="2">
        <v>-0.3</v>
      </c>
      <c r="HK1669" s="2">
        <v>1.3</v>
      </c>
      <c r="HL1669" s="2">
        <v>-0.7</v>
      </c>
      <c r="HM1669" s="2">
        <v>0.9</v>
      </c>
      <c r="HN1669" s="2">
        <v>0.8</v>
      </c>
      <c r="HO1669" s="2">
        <v>-1.6</v>
      </c>
      <c r="HP1669" s="2">
        <v>0.5</v>
      </c>
      <c r="HQ1669" s="2">
        <v>-0.3</v>
      </c>
      <c r="HR1669" s="2">
        <v>0.3</v>
      </c>
      <c r="HS1669" s="2">
        <v>-0.9</v>
      </c>
      <c r="HT1669" s="2">
        <v>-0.7</v>
      </c>
      <c r="HU1669" s="2">
        <v>0.2</v>
      </c>
      <c r="HV1669" s="2">
        <v>-3.2</v>
      </c>
      <c r="HW1669" s="2">
        <v>0.3</v>
      </c>
      <c r="HX1669" s="2">
        <v>-1</v>
      </c>
      <c r="HY1669" s="2">
        <v>-0.7</v>
      </c>
      <c r="HZ1669" s="2">
        <v>-2.5</v>
      </c>
      <c r="IA1669" s="2">
        <v>-3</v>
      </c>
      <c r="IB1669" s="2">
        <v>0.4</v>
      </c>
      <c r="IC1669" s="2">
        <v>-0.3</v>
      </c>
      <c r="ID1669" s="2">
        <v>-1.6</v>
      </c>
      <c r="IE1669" s="2">
        <v>-0.9</v>
      </c>
      <c r="IF1669" s="2">
        <v>0.2</v>
      </c>
      <c r="IG1669" s="2">
        <v>0.2</v>
      </c>
      <c r="IH1669" s="2">
        <v>-0.6</v>
      </c>
      <c r="II1669" s="2">
        <v>-0.3</v>
      </c>
      <c r="IJ1669" s="2">
        <v>1</v>
      </c>
      <c r="IK1669" s="2">
        <v>0.3</v>
      </c>
      <c r="IL1669" s="2">
        <v>0.9</v>
      </c>
      <c r="IM1669" s="2">
        <v>-1.4</v>
      </c>
      <c r="IN1669" s="2">
        <v>0.1</v>
      </c>
      <c r="IO1669" s="2">
        <v>-0.2</v>
      </c>
      <c r="IP1669" s="2">
        <v>-0.4</v>
      </c>
      <c r="IQ1669" s="2">
        <v>1</v>
      </c>
      <c r="IR1669" s="2">
        <v>2.5</v>
      </c>
      <c r="IS1669" s="2">
        <v>1.8</v>
      </c>
      <c r="IT1669" s="2">
        <v>-2</v>
      </c>
      <c r="IU1669" s="2">
        <v>-1.5</v>
      </c>
      <c r="IV1669" s="2">
        <v>1.8</v>
      </c>
      <c r="IW1669" s="2">
        <v>0</v>
      </c>
      <c r="IX1669" s="2">
        <v>-0.7</v>
      </c>
      <c r="IY1669" s="2">
        <v>-0.6</v>
      </c>
      <c r="IZ1669" s="2">
        <v>-0.2</v>
      </c>
      <c r="JA1669" s="2">
        <v>1</v>
      </c>
      <c r="JB1669" s="2">
        <v>-3.4</v>
      </c>
      <c r="JC1669" s="2">
        <v>0.7</v>
      </c>
      <c r="JD1669" s="2">
        <v>-0.7</v>
      </c>
      <c r="JE1669" s="2">
        <v>0.1</v>
      </c>
      <c r="JF1669" s="2">
        <v>-1.8</v>
      </c>
      <c r="JG1669" s="2">
        <v>-2.3</v>
      </c>
      <c r="JH1669" s="2">
        <v>-1.5</v>
      </c>
      <c r="JI1669" s="2">
        <v>1.2</v>
      </c>
      <c r="JJ1669" s="2">
        <v>-0.1</v>
      </c>
      <c r="JK1669" s="2">
        <v>-0.5</v>
      </c>
      <c r="JL1669" s="2">
        <v>0</v>
      </c>
      <c r="JM1669" s="2">
        <v>0.2</v>
      </c>
      <c r="JN1669" s="2">
        <v>-1.2</v>
      </c>
      <c r="JO1669" s="2">
        <v>-2</v>
      </c>
      <c r="JP1669" s="2">
        <v>1.5</v>
      </c>
      <c r="JQ1669" s="2">
        <v>3.9</v>
      </c>
      <c r="JR1669" s="2">
        <v>0.4</v>
      </c>
      <c r="JS1669" s="2">
        <v>-0.6</v>
      </c>
      <c r="JT1669" s="2">
        <v>-1.3</v>
      </c>
      <c r="JU1669" s="2">
        <v>0</v>
      </c>
      <c r="JV1669" s="2">
        <v>-0.9</v>
      </c>
      <c r="KA1669" s="2">
        <v>-2.8</v>
      </c>
      <c r="KB1669" s="2">
        <v>-0.4</v>
      </c>
      <c r="KC1669" s="2">
        <v>0.4</v>
      </c>
      <c r="KD1669" s="2">
        <v>-3.1</v>
      </c>
      <c r="KQ1669" s="2">
        <v>-1.2</v>
      </c>
      <c r="KR1669" s="2">
        <v>1.2</v>
      </c>
      <c r="KS1669" s="2">
        <v>0.7</v>
      </c>
      <c r="KT1669" s="2">
        <v>2</v>
      </c>
      <c r="LG1669" s="2">
        <v>-0.9</v>
      </c>
      <c r="LH1669" s="2">
        <v>-1.5</v>
      </c>
      <c r="LI1669" s="2">
        <v>2.5</v>
      </c>
      <c r="LJ1669" s="2">
        <v>-1.6</v>
      </c>
      <c r="LW1669" s="2">
        <v>-0.9</v>
      </c>
      <c r="LX1669" s="2">
        <v>1.3</v>
      </c>
      <c r="LY1669" s="2">
        <v>5.8</v>
      </c>
      <c r="LZ1669" s="2">
        <v>2.2</v>
      </c>
      <c r="MM1669" s="2">
        <v>-2.2</v>
      </c>
      <c r="MN1669" s="2">
        <v>0.5</v>
      </c>
      <c r="MO1669" s="2">
        <v>-1.8</v>
      </c>
      <c r="MP1669" s="2">
        <v>1.6</v>
      </c>
      <c r="NC1669" s="2">
        <v>2.3</v>
      </c>
      <c r="ND1669" s="2">
        <v>4.9</v>
      </c>
      <c r="NE1669" s="2">
        <v>0.9</v>
      </c>
      <c r="NF1669" s="2">
        <v>0.7</v>
      </c>
      <c r="NS1669" s="2">
        <v>-3.6</v>
      </c>
      <c r="NT1669" s="2">
        <v>1</v>
      </c>
      <c r="NU1669" s="2">
        <v>0</v>
      </c>
      <c r="NV1669" s="2">
        <v>1.3</v>
      </c>
      <c r="OI1669" s="2">
        <v>-4.5</v>
      </c>
      <c r="OJ1669" s="2">
        <v>1.1</v>
      </c>
      <c r="OK1669" s="2">
        <v>2.6</v>
      </c>
      <c r="OL1669" s="2">
        <v>-2.2</v>
      </c>
      <c r="OY1669" s="2">
        <v>-2.2</v>
      </c>
      <c r="OZ1669" s="2">
        <v>1.3</v>
      </c>
      <c r="PA1669" s="2">
        <v>-1.5</v>
      </c>
      <c r="PB1669" s="2">
        <v>-1.1</v>
      </c>
      <c r="PJ1669" s="2">
        <v>-0.8</v>
      </c>
      <c r="PK1669" s="2">
        <v>-0.4</v>
      </c>
    </row>
    <row r="1670">
      <c r="A1670" t="inlineStr">
        <is>
          <t>A2331070V</t>
        </is>
      </c>
      <c r="B1670" t="inlineStr">
        <is>
          <t>Percentage Change from Previous Period ;  Glassware, tableware and household utensils ;  Australia ;</t>
        </is>
      </c>
      <c r="C1670" t="inlineStr">
        <is>
          <t>Quarter</t>
        </is>
      </c>
      <c r="D1670" t="inlineStr">
        <is>
          <t>Percent</t>
        </is>
      </c>
      <c r="E1670" t="inlineStr">
        <is>
          <t>Original</t>
        </is>
      </c>
      <c r="F1670" t="inlineStr">
        <is>
          <t>6401018.xlsx</t>
        </is>
      </c>
      <c r="G1670" t="inlineStr">
        <is>
          <t>1989Q4</t>
        </is>
      </c>
      <c r="H1670" t="inlineStr">
        <is>
          <t>2026Q2</t>
        </is>
      </c>
      <c r="FR1670" s="2">
        <v>-0.3</v>
      </c>
      <c r="FS1670" s="2">
        <v>3.4</v>
      </c>
      <c r="FT1670" s="2">
        <v>1.9</v>
      </c>
      <c r="FU1670" s="2">
        <v>0.4</v>
      </c>
      <c r="FV1670" s="2">
        <v>2</v>
      </c>
      <c r="FW1670" s="2">
        <v>1.1</v>
      </c>
      <c r="FX1670" s="2">
        <v>-1.4</v>
      </c>
      <c r="FY1670" s="2">
        <v>-2.9</v>
      </c>
      <c r="FZ1670" s="2">
        <v>1.3</v>
      </c>
      <c r="GA1670" s="2">
        <v>0.2</v>
      </c>
      <c r="GB1670" s="2">
        <v>1.2</v>
      </c>
      <c r="GC1670" s="2">
        <v>-2.3</v>
      </c>
      <c r="GD1670" s="2">
        <v>1.6</v>
      </c>
      <c r="GE1670" s="2">
        <v>-0.6</v>
      </c>
      <c r="GF1670" s="2">
        <v>1.8</v>
      </c>
      <c r="GG1670" s="2">
        <v>-0.2</v>
      </c>
      <c r="GH1670" s="2">
        <v>0.2</v>
      </c>
      <c r="GI1670" s="2">
        <v>0.6</v>
      </c>
      <c r="GJ1670" s="2">
        <v>0.5</v>
      </c>
      <c r="GK1670" s="2">
        <v>-1.3</v>
      </c>
      <c r="GL1670" s="2">
        <v>0.1</v>
      </c>
      <c r="GM1670" s="2">
        <v>-1.1</v>
      </c>
      <c r="GN1670" s="2">
        <v>0.5</v>
      </c>
      <c r="GO1670" s="2">
        <v>0.2</v>
      </c>
      <c r="GP1670" s="2">
        <v>-1</v>
      </c>
      <c r="GQ1670" s="2">
        <v>0.3</v>
      </c>
      <c r="GR1670" s="2">
        <v>-0.4</v>
      </c>
      <c r="GS1670" s="2">
        <v>-0.2</v>
      </c>
      <c r="GT1670" s="2">
        <v>-0.2</v>
      </c>
      <c r="GU1670" s="2">
        <v>-0.8</v>
      </c>
      <c r="GV1670" s="2">
        <v>0.3</v>
      </c>
      <c r="GW1670" s="2">
        <v>-2.5</v>
      </c>
      <c r="GX1670" s="2">
        <v>2</v>
      </c>
      <c r="GY1670" s="2">
        <v>0.8</v>
      </c>
      <c r="GZ1670" s="2">
        <v>0.3</v>
      </c>
      <c r="HA1670" s="2">
        <v>-0.6</v>
      </c>
      <c r="HB1670" s="2">
        <v>1.6</v>
      </c>
      <c r="HC1670" s="2">
        <v>-1.4</v>
      </c>
      <c r="HD1670" s="2">
        <v>3.2</v>
      </c>
      <c r="HE1670" s="2">
        <v>-0.8</v>
      </c>
      <c r="HF1670" s="2">
        <v>-0.7</v>
      </c>
      <c r="HG1670" s="2">
        <v>0</v>
      </c>
      <c r="HH1670" s="2">
        <v>0.4</v>
      </c>
      <c r="HI1670" s="2">
        <v>3.3</v>
      </c>
      <c r="HJ1670" s="2">
        <v>-3.7</v>
      </c>
      <c r="HK1670" s="2">
        <v>0</v>
      </c>
      <c r="HL1670" s="2">
        <v>2.9</v>
      </c>
      <c r="HM1670" s="2">
        <v>-2.7</v>
      </c>
      <c r="HN1670" s="2">
        <v>3.4</v>
      </c>
      <c r="HO1670" s="2">
        <v>-3</v>
      </c>
      <c r="HP1670" s="2">
        <v>1.1</v>
      </c>
      <c r="HQ1670" s="2">
        <v>-2</v>
      </c>
      <c r="HR1670" s="2">
        <v>0.1</v>
      </c>
      <c r="HS1670" s="2">
        <v>-2.3</v>
      </c>
      <c r="HT1670" s="2">
        <v>3.4</v>
      </c>
      <c r="HU1670" s="2">
        <v>-1.1</v>
      </c>
      <c r="HV1670" s="2">
        <v>-2.1</v>
      </c>
      <c r="HW1670" s="2">
        <v>-2.7</v>
      </c>
      <c r="HX1670" s="2">
        <v>-1.8</v>
      </c>
      <c r="HY1670" s="2">
        <v>-0.7</v>
      </c>
      <c r="HZ1670" s="2">
        <v>1.4</v>
      </c>
      <c r="IA1670" s="2">
        <v>-4.2</v>
      </c>
      <c r="IB1670" s="2">
        <v>3.7</v>
      </c>
      <c r="IC1670" s="2">
        <v>0.6</v>
      </c>
      <c r="ID1670" s="2">
        <v>-2.1</v>
      </c>
      <c r="IE1670" s="2">
        <v>-2</v>
      </c>
      <c r="IF1670" s="2">
        <v>3.4</v>
      </c>
      <c r="IG1670" s="2">
        <v>1.3</v>
      </c>
      <c r="IH1670" s="2">
        <v>-3</v>
      </c>
      <c r="II1670" s="2">
        <v>-2.3</v>
      </c>
      <c r="IJ1670" s="2">
        <v>3.6</v>
      </c>
      <c r="IK1670" s="2">
        <v>0.7</v>
      </c>
      <c r="IL1670" s="2">
        <v>0.1</v>
      </c>
      <c r="IM1670" s="2">
        <v>-3.4</v>
      </c>
      <c r="IN1670" s="2">
        <v>2.6</v>
      </c>
      <c r="IO1670" s="2">
        <v>-0.4</v>
      </c>
      <c r="IP1670" s="2">
        <v>-2</v>
      </c>
      <c r="IQ1670" s="2">
        <v>-3</v>
      </c>
      <c r="IR1670" s="2">
        <v>5.5</v>
      </c>
      <c r="IS1670" s="2">
        <v>1.9</v>
      </c>
      <c r="IT1670" s="2">
        <v>-1.3</v>
      </c>
      <c r="IU1670" s="2">
        <v>-6.8</v>
      </c>
      <c r="IV1670" s="2">
        <v>6.3</v>
      </c>
      <c r="IW1670" s="2">
        <v>0</v>
      </c>
      <c r="IX1670" s="2">
        <v>-3</v>
      </c>
      <c r="IY1670" s="2">
        <v>-3</v>
      </c>
      <c r="IZ1670" s="2">
        <v>4.9</v>
      </c>
      <c r="JA1670" s="2">
        <v>3.3</v>
      </c>
      <c r="JB1670" s="2">
        <v>-2.8</v>
      </c>
      <c r="JC1670" s="2">
        <v>-1.7</v>
      </c>
      <c r="JD1670" s="2">
        <v>-0.3</v>
      </c>
      <c r="JE1670" s="2">
        <v>1.7</v>
      </c>
      <c r="JF1670" s="2">
        <v>-2.8</v>
      </c>
      <c r="JG1670" s="2">
        <v>-4.7</v>
      </c>
      <c r="JH1670" s="2">
        <v>2.8</v>
      </c>
      <c r="JI1670" s="2">
        <v>3.3</v>
      </c>
      <c r="JJ1670" s="2">
        <v>-1.3</v>
      </c>
      <c r="JK1670" s="2">
        <v>-2.6</v>
      </c>
      <c r="JL1670" s="2">
        <v>-1</v>
      </c>
      <c r="JM1670" s="2">
        <v>3.9</v>
      </c>
      <c r="JN1670" s="2">
        <v>-4.5</v>
      </c>
      <c r="JO1670" s="2">
        <v>0.4</v>
      </c>
      <c r="JP1670" s="2">
        <v>-0.4</v>
      </c>
      <c r="JQ1670" s="2">
        <v>1.6</v>
      </c>
      <c r="JR1670" s="2">
        <v>0.6</v>
      </c>
      <c r="JS1670" s="2">
        <v>-2.5</v>
      </c>
      <c r="JT1670" s="2">
        <v>1.7</v>
      </c>
      <c r="JU1670" s="2">
        <v>2.3</v>
      </c>
      <c r="JV1670" s="2">
        <v>-2.8</v>
      </c>
      <c r="KA1670" s="2">
        <v>-3.5</v>
      </c>
      <c r="KB1670" s="2">
        <v>1</v>
      </c>
      <c r="KC1670" s="2">
        <v>2.8</v>
      </c>
      <c r="KD1670" s="2">
        <v>-2.2</v>
      </c>
      <c r="KQ1670" s="2">
        <v>-3.2</v>
      </c>
      <c r="KR1670" s="2">
        <v>3.4</v>
      </c>
      <c r="KS1670" s="2">
        <v>0.9</v>
      </c>
      <c r="KT1670" s="2">
        <v>-1</v>
      </c>
      <c r="LG1670" s="2">
        <v>-4.3</v>
      </c>
      <c r="LH1670" s="2">
        <v>0.3</v>
      </c>
      <c r="LI1670" s="2">
        <v>0.5</v>
      </c>
      <c r="LJ1670" s="2">
        <v>-2.5</v>
      </c>
      <c r="LW1670" s="2">
        <v>0.9</v>
      </c>
      <c r="LX1670" s="2">
        <v>2.1</v>
      </c>
      <c r="LY1670" s="2">
        <v>5.4</v>
      </c>
      <c r="LZ1670" s="2">
        <v>-2.6</v>
      </c>
      <c r="MM1670" s="2">
        <v>-2.9</v>
      </c>
      <c r="MN1670" s="2">
        <v>3.1</v>
      </c>
      <c r="MO1670" s="2">
        <v>2.1</v>
      </c>
      <c r="MP1670" s="2">
        <v>-2.8</v>
      </c>
      <c r="NC1670" s="2">
        <v>-4.8</v>
      </c>
      <c r="ND1670" s="2">
        <v>6.1</v>
      </c>
      <c r="NE1670" s="2">
        <v>3.8</v>
      </c>
      <c r="NF1670" s="2">
        <v>2.4</v>
      </c>
      <c r="NS1670" s="2">
        <v>-3.6</v>
      </c>
      <c r="NT1670" s="2">
        <v>1.6</v>
      </c>
      <c r="NU1670" s="2">
        <v>-0.4</v>
      </c>
      <c r="NV1670" s="2">
        <v>-2.7</v>
      </c>
      <c r="OI1670" s="2">
        <v>0.6</v>
      </c>
      <c r="OJ1670" s="2">
        <v>-1.8</v>
      </c>
      <c r="OK1670" s="2">
        <v>1.5</v>
      </c>
      <c r="OL1670" s="2">
        <v>2.4</v>
      </c>
      <c r="OY1670" s="2">
        <v>-3.9</v>
      </c>
      <c r="OZ1670" s="2">
        <v>0.5</v>
      </c>
      <c r="PA1670" s="2">
        <v>-0.4</v>
      </c>
      <c r="PB1670" s="2">
        <v>-4.2</v>
      </c>
      <c r="PJ1670" s="2">
        <v>0.4</v>
      </c>
      <c r="PK1670" s="2">
        <v>-1.3</v>
      </c>
    </row>
    <row r="1671">
      <c r="A1671" t="inlineStr">
        <is>
          <t>A2328325A</t>
        </is>
      </c>
      <c r="B1671" t="inlineStr">
        <is>
          <t>Percentage Change from Previous Period ;  Tools and equipment for house and garden ;  Australia ;</t>
        </is>
      </c>
      <c r="C1671" t="inlineStr">
        <is>
          <t>Quarter</t>
        </is>
      </c>
      <c r="D1671" t="inlineStr">
        <is>
          <t>Percent</t>
        </is>
      </c>
      <c r="E1671" t="inlineStr">
        <is>
          <t>Original</t>
        </is>
      </c>
      <c r="F1671" t="inlineStr">
        <is>
          <t>6401018.xlsx</t>
        </is>
      </c>
      <c r="G1671" t="inlineStr">
        <is>
          <t>1980Q4</t>
        </is>
      </c>
      <c r="H1671" t="inlineStr">
        <is>
          <t>2026Q2</t>
        </is>
      </c>
      <c r="EH1671" s="2">
        <v>4.5</v>
      </c>
      <c r="EI1671" s="2">
        <v>3.6</v>
      </c>
      <c r="EJ1671" s="2">
        <v>1.8</v>
      </c>
      <c r="EK1671" s="2">
        <v>1.9</v>
      </c>
      <c r="EL1671" s="2">
        <v>1.7</v>
      </c>
      <c r="EM1671" s="2">
        <v>2.3</v>
      </c>
      <c r="EN1671" s="2">
        <v>1.4</v>
      </c>
      <c r="EO1671" s="2">
        <v>2.2</v>
      </c>
      <c r="EP1671" s="2">
        <v>4.9</v>
      </c>
      <c r="EQ1671" s="2">
        <v>2.6</v>
      </c>
      <c r="ER1671" s="2">
        <v>2.5</v>
      </c>
      <c r="ES1671" s="2">
        <v>3.6</v>
      </c>
      <c r="ET1671" s="2">
        <v>4</v>
      </c>
      <c r="EU1671" s="2">
        <v>0.3</v>
      </c>
      <c r="EV1671" s="2">
        <v>1.3</v>
      </c>
      <c r="EW1671" s="2">
        <v>0.3</v>
      </c>
      <c r="EX1671" s="2">
        <v>1</v>
      </c>
      <c r="EY1671" s="2">
        <v>0.8</v>
      </c>
      <c r="EZ1671" s="2">
        <v>3.7</v>
      </c>
      <c r="FA1671" s="2">
        <v>4.3</v>
      </c>
      <c r="FB1671" s="2">
        <v>3.5</v>
      </c>
      <c r="FC1671" s="2">
        <v>2.6</v>
      </c>
      <c r="FD1671" s="2">
        <v>2.2</v>
      </c>
      <c r="FE1671" s="2">
        <v>3</v>
      </c>
      <c r="FF1671" s="2">
        <v>8.800000000000001</v>
      </c>
      <c r="FG1671" s="2">
        <v>2.9</v>
      </c>
      <c r="FH1671" s="2">
        <v>4.6</v>
      </c>
      <c r="FI1671" s="2">
        <v>-0.2</v>
      </c>
      <c r="FJ1671" s="2">
        <v>3.5</v>
      </c>
      <c r="FK1671" s="2">
        <v>0.2</v>
      </c>
      <c r="FL1671" s="2">
        <v>1.5</v>
      </c>
      <c r="FM1671" s="2">
        <v>1.7</v>
      </c>
      <c r="FN1671" s="2">
        <v>2.7</v>
      </c>
      <c r="FO1671" s="2">
        <v>-0.9</v>
      </c>
      <c r="FP1671" s="2">
        <v>2</v>
      </c>
      <c r="FQ1671" s="2">
        <v>-0.4</v>
      </c>
      <c r="FR1671" s="2">
        <v>2.1</v>
      </c>
      <c r="FS1671" s="2">
        <v>0.2</v>
      </c>
      <c r="FT1671" s="2">
        <v>1</v>
      </c>
      <c r="FU1671" s="2">
        <v>2.7</v>
      </c>
      <c r="FV1671" s="2">
        <v>-2.2</v>
      </c>
      <c r="FW1671" s="2">
        <v>3.1</v>
      </c>
      <c r="FX1671" s="2">
        <v>-1.5</v>
      </c>
      <c r="FY1671" s="2">
        <v>3.2</v>
      </c>
      <c r="FZ1671" s="2">
        <v>-0.8</v>
      </c>
      <c r="GA1671" s="2">
        <v>0.5</v>
      </c>
      <c r="GB1671" s="2">
        <v>0.3</v>
      </c>
      <c r="GC1671" s="2">
        <v>-0.1</v>
      </c>
      <c r="GD1671" s="2">
        <v>-1.8</v>
      </c>
      <c r="GE1671" s="2">
        <v>0.1</v>
      </c>
      <c r="GF1671" s="2">
        <v>1.2</v>
      </c>
      <c r="GG1671" s="2">
        <v>0.8</v>
      </c>
      <c r="GH1671" s="2">
        <v>-0.6</v>
      </c>
      <c r="GI1671" s="2">
        <v>0.1</v>
      </c>
      <c r="GJ1671" s="2">
        <v>0.8</v>
      </c>
      <c r="GK1671" s="2">
        <v>0.1</v>
      </c>
      <c r="GL1671" s="2">
        <v>-0.5</v>
      </c>
      <c r="GM1671" s="2">
        <v>-0.2</v>
      </c>
      <c r="GN1671" s="2">
        <v>0.5</v>
      </c>
      <c r="GO1671" s="2">
        <v>0.7</v>
      </c>
      <c r="GP1671" s="2">
        <v>0.9</v>
      </c>
      <c r="GQ1671" s="2">
        <v>-0.5</v>
      </c>
      <c r="GR1671" s="2">
        <v>1</v>
      </c>
      <c r="GS1671" s="2">
        <v>-0.1</v>
      </c>
      <c r="GT1671" s="2">
        <v>-1.4</v>
      </c>
      <c r="GU1671" s="2">
        <v>-0.1</v>
      </c>
      <c r="GV1671" s="2">
        <v>0.4</v>
      </c>
      <c r="GW1671" s="2">
        <v>0.5</v>
      </c>
      <c r="GX1671" s="2">
        <v>-0.3</v>
      </c>
      <c r="GY1671" s="2">
        <v>0.3</v>
      </c>
      <c r="GZ1671" s="2">
        <v>0.8</v>
      </c>
      <c r="HA1671" s="2">
        <v>1.4</v>
      </c>
      <c r="HB1671" s="2">
        <v>0</v>
      </c>
      <c r="HC1671" s="2">
        <v>1</v>
      </c>
      <c r="HD1671" s="2">
        <v>0.4</v>
      </c>
      <c r="HE1671" s="2">
        <v>0.5</v>
      </c>
      <c r="HF1671" s="2">
        <v>-0.2</v>
      </c>
      <c r="HG1671" s="2">
        <v>0.3</v>
      </c>
      <c r="HH1671" s="2">
        <v>0.3</v>
      </c>
      <c r="HI1671" s="2">
        <v>-3.7</v>
      </c>
      <c r="HJ1671" s="2">
        <v>-0.4</v>
      </c>
      <c r="HK1671" s="2">
        <v>1.1</v>
      </c>
      <c r="HL1671" s="2">
        <v>2.2</v>
      </c>
      <c r="HM1671" s="2">
        <v>0.8</v>
      </c>
      <c r="HN1671" s="2">
        <v>0</v>
      </c>
      <c r="HO1671" s="2">
        <v>-0.3</v>
      </c>
      <c r="HP1671" s="2">
        <v>-0.1</v>
      </c>
      <c r="HQ1671" s="2">
        <v>0.5</v>
      </c>
      <c r="HR1671" s="2">
        <v>-0.2</v>
      </c>
      <c r="HS1671" s="2">
        <v>-1.3</v>
      </c>
      <c r="HT1671" s="2">
        <v>0</v>
      </c>
      <c r="HU1671" s="2">
        <v>-0.2</v>
      </c>
      <c r="HV1671" s="2">
        <v>0.9</v>
      </c>
      <c r="HW1671" s="2">
        <v>-0.8</v>
      </c>
      <c r="HX1671" s="2">
        <v>0.1</v>
      </c>
      <c r="HY1671" s="2">
        <v>-0.1</v>
      </c>
      <c r="HZ1671" s="2">
        <v>-0.9</v>
      </c>
      <c r="IA1671" s="2">
        <v>-0.3</v>
      </c>
      <c r="IB1671" s="2">
        <v>0.5</v>
      </c>
      <c r="IC1671" s="2">
        <v>-1</v>
      </c>
      <c r="ID1671" s="2">
        <v>-0.1</v>
      </c>
      <c r="IE1671" s="2">
        <v>-0.4</v>
      </c>
      <c r="IF1671" s="2">
        <v>0.4</v>
      </c>
      <c r="IG1671" s="2">
        <v>0.3</v>
      </c>
      <c r="IH1671" s="2">
        <v>0.3</v>
      </c>
      <c r="II1671" s="2">
        <v>0.3</v>
      </c>
      <c r="IJ1671" s="2">
        <v>-0.5</v>
      </c>
      <c r="IK1671" s="2">
        <v>-0.4</v>
      </c>
      <c r="IL1671" s="2">
        <v>0.2</v>
      </c>
      <c r="IM1671" s="2">
        <v>0.3</v>
      </c>
      <c r="IN1671" s="2">
        <v>1</v>
      </c>
      <c r="IO1671" s="2">
        <v>-0.6</v>
      </c>
      <c r="IP1671" s="2">
        <v>0.6</v>
      </c>
      <c r="IQ1671" s="2">
        <v>0.2</v>
      </c>
      <c r="IR1671" s="2">
        <v>4.6</v>
      </c>
      <c r="IS1671" s="2">
        <v>0.6</v>
      </c>
      <c r="IT1671" s="2">
        <v>1.3</v>
      </c>
      <c r="IU1671" s="2">
        <v>0.6</v>
      </c>
      <c r="IV1671" s="2">
        <v>0.4</v>
      </c>
      <c r="IW1671" s="2">
        <v>-1</v>
      </c>
      <c r="IX1671" s="2">
        <v>-0.4</v>
      </c>
      <c r="IY1671" s="2">
        <v>-1</v>
      </c>
      <c r="IZ1671" s="2">
        <v>0.5</v>
      </c>
      <c r="JA1671" s="2">
        <v>-1.8</v>
      </c>
      <c r="JB1671" s="2">
        <v>0.5</v>
      </c>
      <c r="JC1671" s="2">
        <v>0.3</v>
      </c>
      <c r="JD1671" s="2">
        <v>-0.3</v>
      </c>
      <c r="JE1671" s="2">
        <v>0.1</v>
      </c>
      <c r="JF1671" s="2">
        <v>-0.2</v>
      </c>
      <c r="JG1671" s="2">
        <v>-0.1</v>
      </c>
      <c r="JH1671" s="2">
        <v>0</v>
      </c>
      <c r="JI1671" s="2">
        <v>-0.1</v>
      </c>
      <c r="JJ1671" s="2">
        <v>0.2</v>
      </c>
      <c r="JK1671" s="2">
        <v>0.6</v>
      </c>
      <c r="JL1671" s="2">
        <v>0.2</v>
      </c>
      <c r="JM1671" s="2">
        <v>-0.2</v>
      </c>
      <c r="JN1671" s="2">
        <v>-0.2</v>
      </c>
      <c r="JO1671" s="2">
        <v>0.3</v>
      </c>
      <c r="JP1671" s="2">
        <v>0.8</v>
      </c>
      <c r="JQ1671" s="2">
        <v>1.7</v>
      </c>
      <c r="JR1671" s="2">
        <v>0.5</v>
      </c>
      <c r="JS1671" s="2">
        <v>1.2</v>
      </c>
      <c r="JT1671" s="2">
        <v>1.1</v>
      </c>
      <c r="JU1671" s="2">
        <v>1.1</v>
      </c>
      <c r="JV1671" s="2">
        <v>-0.7</v>
      </c>
      <c r="KA1671" s="2">
        <v>0.7</v>
      </c>
      <c r="KB1671" s="2">
        <v>0.5</v>
      </c>
      <c r="KC1671" s="2">
        <v>0.2</v>
      </c>
      <c r="KD1671" s="2">
        <v>-0.5</v>
      </c>
      <c r="KQ1671" s="2">
        <v>-0.4</v>
      </c>
      <c r="KR1671" s="2">
        <v>-0.9</v>
      </c>
      <c r="KS1671" s="2">
        <v>0.1</v>
      </c>
      <c r="KT1671" s="2">
        <v>-0.3</v>
      </c>
      <c r="LG1671" s="2">
        <v>0.1</v>
      </c>
      <c r="LH1671" s="2">
        <v>1.3</v>
      </c>
      <c r="LI1671" s="2">
        <v>0.6</v>
      </c>
      <c r="LJ1671" s="2">
        <v>0.3</v>
      </c>
      <c r="LW1671" s="2">
        <v>0.3</v>
      </c>
      <c r="LX1671" s="2">
        <v>1.8</v>
      </c>
      <c r="LY1671" s="2">
        <v>1.4</v>
      </c>
      <c r="LZ1671" s="2">
        <v>0.4</v>
      </c>
      <c r="MM1671" s="2">
        <v>0.1</v>
      </c>
      <c r="MN1671" s="2">
        <v>0.5</v>
      </c>
      <c r="MO1671" s="2">
        <v>1.6</v>
      </c>
      <c r="MP1671" s="2">
        <v>1.2</v>
      </c>
      <c r="NC1671" s="2">
        <v>0.9</v>
      </c>
      <c r="ND1671" s="2">
        <v>1.6</v>
      </c>
      <c r="NE1671" s="2">
        <v>1.7</v>
      </c>
      <c r="NF1671" s="2">
        <v>1.4</v>
      </c>
      <c r="NS1671" s="2">
        <v>-0.3</v>
      </c>
      <c r="NT1671" s="2">
        <v>1.3</v>
      </c>
      <c r="NU1671" s="2">
        <v>0.1</v>
      </c>
      <c r="NV1671" s="2">
        <v>0.6</v>
      </c>
      <c r="OI1671" s="2">
        <v>0.2</v>
      </c>
      <c r="OJ1671" s="2">
        <v>-0.2</v>
      </c>
      <c r="OK1671" s="2">
        <v>0.7</v>
      </c>
      <c r="OL1671" s="2">
        <v>-1.3</v>
      </c>
      <c r="OY1671" s="2">
        <v>0.1</v>
      </c>
      <c r="OZ1671" s="2">
        <v>0</v>
      </c>
      <c r="PA1671" s="2">
        <v>-0.4</v>
      </c>
      <c r="PB1671" s="2">
        <v>-0.4</v>
      </c>
      <c r="PJ1671" s="2">
        <v>-0.6</v>
      </c>
      <c r="PK1671" s="2">
        <v>1.7</v>
      </c>
    </row>
    <row r="1672">
      <c r="A1672" t="inlineStr">
        <is>
          <t>A2330080F</t>
        </is>
      </c>
      <c r="B1672" t="inlineStr">
        <is>
          <t>Percentage Change from Previous Period ;  Non-durable household products ;  Australia ;</t>
        </is>
      </c>
      <c r="C1672" t="inlineStr">
        <is>
          <t>Quarter</t>
        </is>
      </c>
      <c r="D1672" t="inlineStr">
        <is>
          <t>Percent</t>
        </is>
      </c>
      <c r="E1672" t="inlineStr">
        <is>
          <t>Original</t>
        </is>
      </c>
      <c r="F1672" t="inlineStr">
        <is>
          <t>6401018.xlsx</t>
        </is>
      </c>
      <c r="G1672" t="inlineStr">
        <is>
          <t>1989Q4</t>
        </is>
      </c>
      <c r="H1672" t="inlineStr">
        <is>
          <t>2026Q2</t>
        </is>
      </c>
      <c r="FR1672" s="2">
        <v>0.9</v>
      </c>
      <c r="FS1672" s="2">
        <v>1.8</v>
      </c>
      <c r="FT1672" s="2">
        <v>2.1</v>
      </c>
      <c r="FU1672" s="2">
        <v>1.8</v>
      </c>
      <c r="FV1672" s="2">
        <v>1.8</v>
      </c>
      <c r="FW1672" s="2">
        <v>-0.4</v>
      </c>
      <c r="FX1672" s="2">
        <v>0.5</v>
      </c>
      <c r="FY1672" s="2">
        <v>1.1</v>
      </c>
      <c r="FZ1672" s="2">
        <v>-0.1</v>
      </c>
      <c r="GA1672" s="2">
        <v>-0.5</v>
      </c>
      <c r="GB1672" s="2">
        <v>1.9</v>
      </c>
      <c r="GC1672" s="2">
        <v>1.2</v>
      </c>
      <c r="GD1672" s="2">
        <v>-0.5</v>
      </c>
      <c r="GE1672" s="2">
        <v>-0.7</v>
      </c>
      <c r="GF1672" s="2">
        <v>0.6</v>
      </c>
      <c r="GG1672" s="2">
        <v>0.8</v>
      </c>
      <c r="GH1672" s="2">
        <v>-0.1</v>
      </c>
      <c r="GI1672" s="2">
        <v>2.5</v>
      </c>
      <c r="GJ1672" s="2">
        <v>-1.1</v>
      </c>
      <c r="GK1672" s="2">
        <v>-0.1</v>
      </c>
      <c r="GL1672" s="2">
        <v>0.3</v>
      </c>
      <c r="GM1672" s="2">
        <v>0.5</v>
      </c>
      <c r="GN1672" s="2">
        <v>1.9</v>
      </c>
      <c r="GO1672" s="2">
        <v>2.6</v>
      </c>
      <c r="GP1672" s="2">
        <v>-0.2</v>
      </c>
      <c r="GQ1672" s="2">
        <v>0.9</v>
      </c>
      <c r="GR1672" s="2">
        <v>0.1</v>
      </c>
      <c r="GS1672" s="2">
        <v>2.2</v>
      </c>
      <c r="GT1672" s="2">
        <v>-0.2</v>
      </c>
      <c r="GU1672" s="2">
        <v>0.9</v>
      </c>
      <c r="GV1672" s="2">
        <v>0.3</v>
      </c>
      <c r="GW1672" s="2">
        <v>-1.4</v>
      </c>
      <c r="GX1672" s="2">
        <v>1</v>
      </c>
      <c r="GY1672" s="2">
        <v>-0.4</v>
      </c>
      <c r="GZ1672" s="2">
        <v>0.8</v>
      </c>
      <c r="HA1672" s="2">
        <v>0.9</v>
      </c>
      <c r="HB1672" s="2">
        <v>0</v>
      </c>
      <c r="HC1672" s="2">
        <v>0</v>
      </c>
      <c r="HD1672" s="2">
        <v>-0.9</v>
      </c>
      <c r="HE1672" s="2">
        <v>0.1</v>
      </c>
      <c r="HF1672" s="2">
        <v>0.6</v>
      </c>
      <c r="HG1672" s="2">
        <v>-1.3</v>
      </c>
      <c r="HH1672" s="2">
        <v>1.7</v>
      </c>
      <c r="HI1672" s="2">
        <v>-3.5</v>
      </c>
      <c r="HJ1672" s="2">
        <v>2.2</v>
      </c>
      <c r="HK1672" s="2">
        <v>1.5</v>
      </c>
      <c r="HL1672" s="2">
        <v>1.9</v>
      </c>
      <c r="HM1672" s="2">
        <v>0.9</v>
      </c>
      <c r="HN1672" s="2">
        <v>0.7</v>
      </c>
      <c r="HO1672" s="2">
        <v>0.2</v>
      </c>
      <c r="HP1672" s="2">
        <v>0.3</v>
      </c>
      <c r="HQ1672" s="2">
        <v>2.2</v>
      </c>
      <c r="HR1672" s="2">
        <v>-0.5</v>
      </c>
      <c r="HS1672" s="2">
        <v>-0.1</v>
      </c>
      <c r="HT1672" s="2">
        <v>-0.8</v>
      </c>
      <c r="HU1672" s="2">
        <v>0.2</v>
      </c>
      <c r="HV1672" s="2">
        <v>0.2</v>
      </c>
      <c r="HW1672" s="2">
        <v>0.4</v>
      </c>
      <c r="HX1672" s="2">
        <v>0.2</v>
      </c>
      <c r="HY1672" s="2">
        <v>0.3</v>
      </c>
      <c r="HZ1672" s="2">
        <v>0.9</v>
      </c>
      <c r="IA1672" s="2">
        <v>-0.8</v>
      </c>
      <c r="IB1672" s="2">
        <v>1</v>
      </c>
      <c r="IC1672" s="2">
        <v>-0.3</v>
      </c>
      <c r="ID1672" s="2">
        <v>1.3</v>
      </c>
      <c r="IE1672" s="2">
        <v>0.7</v>
      </c>
      <c r="IF1672" s="2">
        <v>0.1</v>
      </c>
      <c r="IG1672" s="2">
        <v>1.7</v>
      </c>
      <c r="IH1672" s="2">
        <v>-0.2</v>
      </c>
      <c r="II1672" s="2">
        <v>-0.7</v>
      </c>
      <c r="IJ1672" s="2">
        <v>0.4</v>
      </c>
      <c r="IK1672" s="2">
        <v>-0.4</v>
      </c>
      <c r="IL1672" s="2">
        <v>0.3</v>
      </c>
      <c r="IM1672" s="2">
        <v>0.5</v>
      </c>
      <c r="IN1672" s="2">
        <v>0.9</v>
      </c>
      <c r="IO1672" s="2">
        <v>0.4</v>
      </c>
      <c r="IP1672" s="2">
        <v>0.3</v>
      </c>
      <c r="IQ1672" s="2">
        <v>1.5</v>
      </c>
      <c r="IR1672" s="2">
        <v>1.6</v>
      </c>
      <c r="IS1672" s="2">
        <v>0.1</v>
      </c>
      <c r="IT1672" s="2">
        <v>-0.5</v>
      </c>
      <c r="IU1672" s="2">
        <v>0.2</v>
      </c>
      <c r="IV1672" s="2">
        <v>0.1</v>
      </c>
      <c r="IW1672" s="2">
        <v>0.7</v>
      </c>
      <c r="IX1672" s="2">
        <v>-1.3</v>
      </c>
      <c r="IY1672" s="2">
        <v>0.1</v>
      </c>
      <c r="IZ1672" s="2">
        <v>-1.7</v>
      </c>
      <c r="JA1672" s="2">
        <v>0.2</v>
      </c>
      <c r="JB1672" s="2">
        <v>-0.8</v>
      </c>
      <c r="JC1672" s="2">
        <v>-0.1</v>
      </c>
      <c r="JD1672" s="2">
        <v>1.1</v>
      </c>
      <c r="JE1672" s="2">
        <v>0.4</v>
      </c>
      <c r="JF1672" s="2">
        <v>-0.5</v>
      </c>
      <c r="JG1672" s="2">
        <v>0.8</v>
      </c>
      <c r="JH1672" s="2">
        <v>-0.7</v>
      </c>
      <c r="JI1672" s="2">
        <v>0.7</v>
      </c>
      <c r="JJ1672" s="2">
        <v>-0.4</v>
      </c>
      <c r="JK1672" s="2">
        <v>-1.6</v>
      </c>
      <c r="JL1672" s="2">
        <v>0.6</v>
      </c>
      <c r="JM1672" s="2">
        <v>-0.5</v>
      </c>
      <c r="JN1672" s="2">
        <v>1.6</v>
      </c>
      <c r="JO1672" s="2">
        <v>0.1</v>
      </c>
      <c r="JP1672" s="2">
        <v>-0.2</v>
      </c>
      <c r="JQ1672" s="2">
        <v>-1.3</v>
      </c>
      <c r="JR1672" s="2">
        <v>0.3</v>
      </c>
      <c r="JS1672" s="2">
        <v>-0.9</v>
      </c>
      <c r="JT1672" s="2">
        <v>-0.1</v>
      </c>
      <c r="JU1672" s="2">
        <v>0.1</v>
      </c>
      <c r="JV1672" s="2">
        <v>-0.8</v>
      </c>
      <c r="KA1672" s="2">
        <v>0</v>
      </c>
      <c r="KB1672" s="2">
        <v>0.3</v>
      </c>
      <c r="KC1672" s="2">
        <v>-1</v>
      </c>
      <c r="KD1672" s="2">
        <v>-0.9</v>
      </c>
      <c r="KQ1672" s="2">
        <v>0.2</v>
      </c>
      <c r="KR1672" s="2">
        <v>-1</v>
      </c>
      <c r="KS1672" s="2">
        <v>-0.4</v>
      </c>
      <c r="KT1672" s="2">
        <v>-0.2</v>
      </c>
      <c r="LG1672" s="2">
        <v>-0.3</v>
      </c>
      <c r="LH1672" s="2">
        <v>0.4</v>
      </c>
      <c r="LI1672" s="2">
        <v>0</v>
      </c>
      <c r="LJ1672" s="2">
        <v>-0.2</v>
      </c>
      <c r="LW1672" s="2">
        <v>2.8</v>
      </c>
      <c r="LX1672" s="2">
        <v>3.8</v>
      </c>
      <c r="LY1672" s="2">
        <v>-3.7</v>
      </c>
      <c r="LZ1672" s="2">
        <v>-1.6</v>
      </c>
      <c r="MM1672" s="2">
        <v>0.4</v>
      </c>
      <c r="MN1672" s="2">
        <v>-0.2</v>
      </c>
      <c r="MO1672" s="2">
        <v>1.1</v>
      </c>
      <c r="MP1672" s="2">
        <v>2.2</v>
      </c>
      <c r="NC1672" s="2">
        <v>4.6</v>
      </c>
      <c r="ND1672" s="2">
        <v>2.3</v>
      </c>
      <c r="NE1672" s="2">
        <v>2.3</v>
      </c>
      <c r="NF1672" s="2">
        <v>2.3</v>
      </c>
      <c r="NS1672" s="2">
        <v>1.8</v>
      </c>
      <c r="NT1672" s="2">
        <v>0.8</v>
      </c>
      <c r="NU1672" s="2">
        <v>0.1</v>
      </c>
      <c r="NV1672" s="2">
        <v>-1.1</v>
      </c>
      <c r="OI1672" s="2">
        <v>0.7</v>
      </c>
      <c r="OJ1672" s="2">
        <v>0.2</v>
      </c>
      <c r="OK1672" s="2">
        <v>-0.6</v>
      </c>
      <c r="OL1672" s="2">
        <v>-0.8</v>
      </c>
      <c r="OY1672" s="2">
        <v>0.8</v>
      </c>
      <c r="OZ1672" s="2">
        <v>0.4</v>
      </c>
      <c r="PA1672" s="2">
        <v>0.2</v>
      </c>
      <c r="PB1672" s="2">
        <v>-0.7</v>
      </c>
      <c r="PJ1672" s="2">
        <v>-0.1</v>
      </c>
      <c r="PK1672" s="2">
        <v>0.5</v>
      </c>
    </row>
    <row r="1673">
      <c r="A1673" t="inlineStr">
        <is>
          <t>A2328370L</t>
        </is>
      </c>
      <c r="B1673" t="inlineStr">
        <is>
          <t>Percentage Change from Previous Period ;  Cleaning and maintenance products ;  Australia ;</t>
        </is>
      </c>
      <c r="C1673" t="inlineStr">
        <is>
          <t>Quarter</t>
        </is>
      </c>
      <c r="D1673" t="inlineStr">
        <is>
          <t>Percent</t>
        </is>
      </c>
      <c r="E1673" t="inlineStr">
        <is>
          <t>Original</t>
        </is>
      </c>
      <c r="F1673" t="inlineStr">
        <is>
          <t>6401018.xlsx</t>
        </is>
      </c>
      <c r="G1673" t="inlineStr">
        <is>
          <t>1980Q4</t>
        </is>
      </c>
      <c r="H1673" t="inlineStr">
        <is>
          <t>2026Q2</t>
        </is>
      </c>
      <c r="EH1673" s="2">
        <v>6.6</v>
      </c>
      <c r="EI1673" s="2">
        <v>3</v>
      </c>
      <c r="EJ1673" s="2">
        <v>0</v>
      </c>
      <c r="EK1673" s="2">
        <v>3.9</v>
      </c>
      <c r="EL1673" s="2">
        <v>4.3</v>
      </c>
      <c r="EM1673" s="2">
        <v>1.8</v>
      </c>
      <c r="EN1673" s="2">
        <v>4.2</v>
      </c>
      <c r="EO1673" s="2">
        <v>3.2</v>
      </c>
      <c r="EP1673" s="2">
        <v>2.9</v>
      </c>
      <c r="EQ1673" s="2">
        <v>3.8</v>
      </c>
      <c r="ER1673" s="2">
        <v>0.9</v>
      </c>
      <c r="ES1673" s="2">
        <v>3.1</v>
      </c>
      <c r="ET1673" s="2">
        <v>0.6</v>
      </c>
      <c r="EU1673" s="2">
        <v>1.5</v>
      </c>
      <c r="EV1673" s="2">
        <v>3.3</v>
      </c>
      <c r="EW1673" s="2">
        <v>-0.3</v>
      </c>
      <c r="EX1673" s="2">
        <v>1.1</v>
      </c>
      <c r="EY1673" s="2">
        <v>3.2</v>
      </c>
      <c r="EZ1673" s="2">
        <v>5.1</v>
      </c>
      <c r="FA1673" s="2">
        <v>2</v>
      </c>
      <c r="FB1673" s="2">
        <v>2.4</v>
      </c>
      <c r="FC1673" s="2">
        <v>2.1</v>
      </c>
      <c r="FD1673" s="2">
        <v>1.2</v>
      </c>
      <c r="FE1673" s="2">
        <v>-0.2</v>
      </c>
      <c r="FF1673" s="2">
        <v>-0.2</v>
      </c>
      <c r="FG1673" s="2">
        <v>3.2</v>
      </c>
      <c r="FH1673" s="2">
        <v>0.7</v>
      </c>
      <c r="FI1673" s="2">
        <v>0.2</v>
      </c>
      <c r="FJ1673" s="2">
        <v>3.7</v>
      </c>
      <c r="FK1673" s="2">
        <v>0.2</v>
      </c>
      <c r="FL1673" s="2">
        <v>0.9</v>
      </c>
      <c r="FM1673" s="2">
        <v>0.9</v>
      </c>
      <c r="FN1673" s="2">
        <v>0.5</v>
      </c>
      <c r="FO1673" s="2">
        <v>1.6</v>
      </c>
      <c r="FP1673" s="2">
        <v>1.5</v>
      </c>
      <c r="FQ1673" s="2">
        <v>0.5</v>
      </c>
      <c r="FR1673" s="2">
        <v>3.6</v>
      </c>
      <c r="FS1673" s="2">
        <v>1</v>
      </c>
      <c r="FT1673" s="2">
        <v>2.3</v>
      </c>
      <c r="FU1673" s="2">
        <v>1.4</v>
      </c>
      <c r="FV1673" s="2">
        <v>4.4</v>
      </c>
      <c r="FW1673" s="2">
        <v>0.1</v>
      </c>
      <c r="FX1673" s="2">
        <v>-2.5</v>
      </c>
      <c r="FY1673" s="2">
        <v>1.9</v>
      </c>
      <c r="FZ1673" s="2">
        <v>0</v>
      </c>
      <c r="GA1673" s="2">
        <v>-0.5</v>
      </c>
      <c r="GB1673" s="2">
        <v>2.5</v>
      </c>
      <c r="GC1673" s="2">
        <v>1.3</v>
      </c>
      <c r="GD1673" s="2">
        <v>-0.3</v>
      </c>
      <c r="GE1673" s="2">
        <v>-1.6</v>
      </c>
      <c r="GF1673" s="2">
        <v>0.2</v>
      </c>
      <c r="GG1673" s="2">
        <v>3.8</v>
      </c>
      <c r="GH1673" s="2">
        <v>-1.1</v>
      </c>
      <c r="GI1673" s="2">
        <v>0.4</v>
      </c>
      <c r="GJ1673" s="2">
        <v>-1.3</v>
      </c>
      <c r="GK1673" s="2">
        <v>0.8</v>
      </c>
      <c r="GL1673" s="2">
        <v>-0.4</v>
      </c>
      <c r="GM1673" s="2">
        <v>0.7</v>
      </c>
      <c r="GN1673" s="2">
        <v>1.8</v>
      </c>
      <c r="GO1673" s="2">
        <v>1.8</v>
      </c>
      <c r="GP1673" s="2">
        <v>1.4</v>
      </c>
      <c r="GQ1673" s="2">
        <v>1.6</v>
      </c>
      <c r="GR1673" s="2">
        <v>1.2</v>
      </c>
      <c r="GS1673" s="2">
        <v>1.6</v>
      </c>
      <c r="GT1673" s="2">
        <v>0.5</v>
      </c>
      <c r="GU1673" s="2">
        <v>0.4</v>
      </c>
      <c r="GV1673" s="2">
        <v>-0.2</v>
      </c>
      <c r="GW1673" s="2">
        <v>-3.8</v>
      </c>
      <c r="GX1673" s="2">
        <v>-0.5</v>
      </c>
      <c r="GY1673" s="2">
        <v>0.2</v>
      </c>
      <c r="GZ1673" s="2">
        <v>0.2</v>
      </c>
      <c r="HA1673" s="2">
        <v>0.9</v>
      </c>
      <c r="HB1673" s="2">
        <v>-1.1</v>
      </c>
      <c r="HC1673" s="2">
        <v>-0.1</v>
      </c>
      <c r="HD1673" s="2">
        <v>1.3</v>
      </c>
      <c r="HE1673" s="2">
        <v>0.5</v>
      </c>
      <c r="HF1673" s="2">
        <v>-0.6</v>
      </c>
      <c r="HG1673" s="2">
        <v>1.1</v>
      </c>
      <c r="HH1673" s="2">
        <v>-0.2</v>
      </c>
      <c r="HI1673" s="2">
        <v>-8.6</v>
      </c>
      <c r="HJ1673" s="2">
        <v>1.2</v>
      </c>
      <c r="HK1673" s="2">
        <v>1.9</v>
      </c>
      <c r="HL1673" s="2">
        <v>1.7</v>
      </c>
      <c r="HM1673" s="2">
        <v>0.7</v>
      </c>
      <c r="HN1673" s="2">
        <v>-0.4</v>
      </c>
      <c r="HO1673" s="2">
        <v>2</v>
      </c>
      <c r="HP1673" s="2">
        <v>0.3</v>
      </c>
      <c r="HQ1673" s="2">
        <v>1.1</v>
      </c>
      <c r="HR1673" s="2">
        <v>-0.6</v>
      </c>
      <c r="HS1673" s="2">
        <v>0.8</v>
      </c>
      <c r="HT1673" s="2">
        <v>0.5</v>
      </c>
      <c r="HU1673" s="2">
        <v>0.7</v>
      </c>
      <c r="HV1673" s="2">
        <v>-0.9</v>
      </c>
      <c r="HW1673" s="2">
        <v>0</v>
      </c>
      <c r="HX1673" s="2">
        <v>2.4</v>
      </c>
      <c r="HY1673" s="2">
        <v>-2.6</v>
      </c>
      <c r="HZ1673" s="2">
        <v>2.3</v>
      </c>
      <c r="IA1673" s="2">
        <v>-1.8</v>
      </c>
      <c r="IB1673" s="2">
        <v>2.3</v>
      </c>
      <c r="IC1673" s="2">
        <v>0.7</v>
      </c>
      <c r="ID1673" s="2">
        <v>1.4</v>
      </c>
      <c r="IE1673" s="2">
        <v>-0.7</v>
      </c>
      <c r="IF1673" s="2">
        <v>1.5</v>
      </c>
      <c r="IG1673" s="2">
        <v>0.7</v>
      </c>
      <c r="IH1673" s="2">
        <v>0.9</v>
      </c>
      <c r="II1673" s="2">
        <v>-0.7</v>
      </c>
      <c r="IJ1673" s="2">
        <v>1.5</v>
      </c>
      <c r="IK1673" s="2">
        <v>-0.1</v>
      </c>
      <c r="IL1673" s="2">
        <v>-1.2</v>
      </c>
      <c r="IM1673" s="2">
        <v>0.8</v>
      </c>
      <c r="IN1673" s="2">
        <v>-2.1</v>
      </c>
      <c r="IO1673" s="2">
        <v>3.1</v>
      </c>
      <c r="IP1673" s="2">
        <v>0.4</v>
      </c>
      <c r="IQ1673" s="2">
        <v>0.3</v>
      </c>
      <c r="IR1673" s="2">
        <v>-0.6</v>
      </c>
      <c r="IS1673" s="2">
        <v>-0.2</v>
      </c>
      <c r="IT1673" s="2">
        <v>0.4</v>
      </c>
      <c r="IU1673" s="2">
        <v>3.3</v>
      </c>
      <c r="IV1673" s="2">
        <v>0.4</v>
      </c>
      <c r="IW1673" s="2">
        <v>-0.9</v>
      </c>
      <c r="IX1673" s="2">
        <v>-2.5</v>
      </c>
      <c r="IY1673" s="2">
        <v>0</v>
      </c>
      <c r="IZ1673" s="2">
        <v>0.8</v>
      </c>
      <c r="JA1673" s="2">
        <v>1.4</v>
      </c>
      <c r="JB1673" s="2">
        <v>0.3</v>
      </c>
      <c r="JC1673" s="2">
        <v>-3.4</v>
      </c>
      <c r="JD1673" s="2">
        <v>4.7</v>
      </c>
      <c r="JE1673" s="2">
        <v>-0.1</v>
      </c>
      <c r="JF1673" s="2">
        <v>0.1</v>
      </c>
      <c r="JG1673" s="2">
        <v>0.2</v>
      </c>
      <c r="JH1673" s="2">
        <v>-1</v>
      </c>
      <c r="JI1673" s="2">
        <v>-0.5</v>
      </c>
      <c r="JJ1673" s="2">
        <v>-0.6</v>
      </c>
      <c r="JK1673" s="2">
        <v>-2.4</v>
      </c>
      <c r="JL1673" s="2">
        <v>0.8</v>
      </c>
      <c r="JM1673" s="2">
        <v>1.5</v>
      </c>
      <c r="JN1673" s="2">
        <v>-1.5</v>
      </c>
      <c r="JO1673" s="2">
        <v>2</v>
      </c>
      <c r="JP1673" s="2">
        <v>-2</v>
      </c>
      <c r="JQ1673" s="2">
        <v>-1.3</v>
      </c>
      <c r="JR1673" s="2">
        <v>1.4</v>
      </c>
      <c r="JS1673" s="2">
        <v>-1.4</v>
      </c>
      <c r="JT1673" s="2">
        <v>0.5</v>
      </c>
      <c r="JU1673" s="2">
        <v>-1.1</v>
      </c>
      <c r="JV1673" s="2">
        <v>-0.5</v>
      </c>
      <c r="KA1673" s="2">
        <v>-0.9</v>
      </c>
      <c r="KB1673" s="2">
        <v>1</v>
      </c>
      <c r="KC1673" s="2">
        <v>-0.9</v>
      </c>
      <c r="KD1673" s="2">
        <v>-0.5</v>
      </c>
      <c r="KQ1673" s="2">
        <v>-1.3</v>
      </c>
      <c r="KR1673" s="2">
        <v>-2</v>
      </c>
      <c r="KS1673" s="2">
        <v>-0.2</v>
      </c>
      <c r="KT1673" s="2">
        <v>2</v>
      </c>
      <c r="LG1673" s="2">
        <v>-1</v>
      </c>
      <c r="LH1673" s="2">
        <v>0.2</v>
      </c>
      <c r="LI1673" s="2">
        <v>0.3</v>
      </c>
      <c r="LJ1673" s="2">
        <v>1.1</v>
      </c>
      <c r="LW1673" s="2">
        <v>1.8</v>
      </c>
      <c r="LX1673" s="2">
        <v>6.2</v>
      </c>
      <c r="LY1673" s="2">
        <v>-4.4</v>
      </c>
      <c r="LZ1673" s="2">
        <v>0.6</v>
      </c>
      <c r="MM1673" s="2">
        <v>-1.3</v>
      </c>
      <c r="MN1673" s="2">
        <v>0.4</v>
      </c>
      <c r="MO1673" s="2">
        <v>0.8</v>
      </c>
      <c r="MP1673" s="2">
        <v>1.5</v>
      </c>
      <c r="NC1673" s="2">
        <v>2.7</v>
      </c>
      <c r="ND1673" s="2">
        <v>2.7</v>
      </c>
      <c r="NE1673" s="2">
        <v>1.7</v>
      </c>
      <c r="NF1673" s="2">
        <v>5.4</v>
      </c>
      <c r="NS1673" s="2">
        <v>1.3</v>
      </c>
      <c r="NT1673" s="2">
        <v>0.7</v>
      </c>
      <c r="NU1673" s="2">
        <v>0.9</v>
      </c>
      <c r="NV1673" s="2">
        <v>1.1</v>
      </c>
      <c r="OI1673" s="2">
        <v>-0.9</v>
      </c>
      <c r="OJ1673" s="2">
        <v>-1.1</v>
      </c>
      <c r="OK1673" s="2">
        <v>-0.1</v>
      </c>
      <c r="OL1673" s="2">
        <v>-0.1</v>
      </c>
      <c r="OY1673" s="2">
        <v>0</v>
      </c>
      <c r="OZ1673" s="2">
        <v>-0.2</v>
      </c>
      <c r="PA1673" s="2">
        <v>1.4</v>
      </c>
      <c r="PB1673" s="2">
        <v>0.3</v>
      </c>
      <c r="PJ1673" s="2">
        <v>-1</v>
      </c>
      <c r="PK1673" s="2">
        <v>0</v>
      </c>
    </row>
    <row r="1674">
      <c r="A1674" t="inlineStr">
        <is>
          <t>A2329225K</t>
        </is>
      </c>
      <c r="B1674" t="inlineStr">
        <is>
          <t>Percentage Change from Previous Period ;  Personal care products ;  Australia ;</t>
        </is>
      </c>
      <c r="C1674" t="inlineStr">
        <is>
          <t>Quarter</t>
        </is>
      </c>
      <c r="D1674" t="inlineStr">
        <is>
          <t>Percent</t>
        </is>
      </c>
      <c r="E1674" t="inlineStr">
        <is>
          <t>Original</t>
        </is>
      </c>
      <c r="F1674" t="inlineStr">
        <is>
          <t>6401018.xlsx</t>
        </is>
      </c>
      <c r="G1674" t="inlineStr">
        <is>
          <t>1980Q4</t>
        </is>
      </c>
      <c r="H1674" t="inlineStr">
        <is>
          <t>2026Q2</t>
        </is>
      </c>
      <c r="EH1674" s="2">
        <v>3.3</v>
      </c>
      <c r="EI1674" s="2">
        <v>2.7</v>
      </c>
      <c r="EJ1674" s="2">
        <v>1.3</v>
      </c>
      <c r="EK1674" s="2">
        <v>1.5</v>
      </c>
      <c r="EL1674" s="2">
        <v>2</v>
      </c>
      <c r="EM1674" s="2">
        <v>3.4</v>
      </c>
      <c r="EN1674" s="2">
        <v>1</v>
      </c>
      <c r="EO1674" s="2">
        <v>2.7</v>
      </c>
      <c r="EP1674" s="2">
        <v>5.4</v>
      </c>
      <c r="EQ1674" s="2">
        <v>4.7</v>
      </c>
      <c r="ER1674" s="2">
        <v>2.2</v>
      </c>
      <c r="ES1674" s="2">
        <v>1.9</v>
      </c>
      <c r="ET1674" s="2">
        <v>-0.1</v>
      </c>
      <c r="EU1674" s="2">
        <v>1.6</v>
      </c>
      <c r="EV1674" s="2">
        <v>0.4</v>
      </c>
      <c r="EW1674" s="2">
        <v>2</v>
      </c>
      <c r="EX1674" s="2">
        <v>4.6</v>
      </c>
      <c r="EY1674" s="2">
        <v>1.6</v>
      </c>
      <c r="EZ1674" s="2">
        <v>2.2</v>
      </c>
      <c r="FA1674" s="2">
        <v>2.7</v>
      </c>
      <c r="FB1674" s="2">
        <v>0.2</v>
      </c>
      <c r="FC1674" s="2">
        <v>2.1</v>
      </c>
      <c r="FD1674" s="2">
        <v>2.1</v>
      </c>
      <c r="FE1674" s="2">
        <v>1.5</v>
      </c>
      <c r="FF1674" s="2">
        <v>0.8</v>
      </c>
      <c r="FG1674" s="2">
        <v>2.8</v>
      </c>
      <c r="FH1674" s="2">
        <v>1.9</v>
      </c>
      <c r="FI1674" s="2">
        <v>1.2</v>
      </c>
      <c r="FJ1674" s="2">
        <v>0.4</v>
      </c>
      <c r="FK1674" s="2">
        <v>2.1</v>
      </c>
      <c r="FL1674" s="2">
        <v>2.5</v>
      </c>
      <c r="FM1674" s="2">
        <v>1.7</v>
      </c>
      <c r="FN1674" s="2">
        <v>-3</v>
      </c>
      <c r="FO1674" s="2">
        <v>0.7</v>
      </c>
      <c r="FP1674" s="2">
        <v>0.1</v>
      </c>
      <c r="FQ1674" s="2">
        <v>2.4</v>
      </c>
      <c r="FR1674" s="2">
        <v>0.4</v>
      </c>
      <c r="FS1674" s="2">
        <v>2.5</v>
      </c>
      <c r="FT1674" s="2">
        <v>2.6</v>
      </c>
      <c r="FU1674" s="2">
        <v>1.6</v>
      </c>
      <c r="FV1674" s="2">
        <v>1.2</v>
      </c>
      <c r="FW1674" s="2">
        <v>1.7</v>
      </c>
      <c r="FX1674" s="2">
        <v>0.8</v>
      </c>
      <c r="FY1674" s="2">
        <v>-0.2</v>
      </c>
      <c r="FZ1674" s="2">
        <v>2.2</v>
      </c>
      <c r="GA1674" s="2">
        <v>0.5</v>
      </c>
      <c r="GB1674" s="2">
        <v>1.3</v>
      </c>
      <c r="GC1674" s="2">
        <v>0.4</v>
      </c>
      <c r="GD1674" s="2">
        <v>0.4</v>
      </c>
      <c r="GE1674" s="2">
        <v>-0.3</v>
      </c>
      <c r="GF1674" s="2">
        <v>2</v>
      </c>
      <c r="GG1674" s="2">
        <v>-0.4</v>
      </c>
      <c r="GH1674" s="2">
        <v>1.2</v>
      </c>
      <c r="GI1674" s="2">
        <v>1.5</v>
      </c>
      <c r="GJ1674" s="2">
        <v>0.9</v>
      </c>
      <c r="GK1674" s="2">
        <v>-0.1</v>
      </c>
      <c r="GL1674" s="2">
        <v>-0.2</v>
      </c>
      <c r="GM1674" s="2">
        <v>1</v>
      </c>
      <c r="GN1674" s="2">
        <v>0.8</v>
      </c>
      <c r="GO1674" s="2">
        <v>0.8</v>
      </c>
      <c r="GP1674" s="2">
        <v>0.9</v>
      </c>
      <c r="GQ1674" s="2">
        <v>0.5</v>
      </c>
      <c r="GR1674" s="2">
        <v>0.7</v>
      </c>
      <c r="GS1674" s="2">
        <v>0.5</v>
      </c>
      <c r="GT1674" s="2">
        <v>0.2</v>
      </c>
      <c r="GU1674" s="2">
        <v>0.4</v>
      </c>
      <c r="GV1674" s="2">
        <v>-0.2</v>
      </c>
      <c r="GW1674" s="2">
        <v>-0.2</v>
      </c>
      <c r="GX1674" s="2">
        <v>0.3</v>
      </c>
      <c r="GY1674" s="2">
        <v>-0.2</v>
      </c>
      <c r="GZ1674" s="2">
        <v>0.9</v>
      </c>
      <c r="HA1674" s="2">
        <v>0.9</v>
      </c>
      <c r="HB1674" s="2">
        <v>-0.1</v>
      </c>
      <c r="HC1674" s="2">
        <v>1.4</v>
      </c>
      <c r="HD1674" s="2">
        <v>0.8</v>
      </c>
      <c r="HE1674" s="2">
        <v>-0.2</v>
      </c>
      <c r="HF1674" s="2">
        <v>0.4</v>
      </c>
      <c r="HG1674" s="2">
        <v>1.1</v>
      </c>
      <c r="HH1674" s="2">
        <v>0.1</v>
      </c>
      <c r="HI1674" s="2">
        <v>-0.2</v>
      </c>
      <c r="HJ1674" s="2">
        <v>0.8</v>
      </c>
      <c r="HK1674" s="2">
        <v>-0.5</v>
      </c>
      <c r="HL1674" s="2">
        <v>1.6</v>
      </c>
      <c r="HM1674" s="2">
        <v>1.6</v>
      </c>
      <c r="HN1674" s="2">
        <v>-0.3</v>
      </c>
      <c r="HO1674" s="2">
        <v>-0.5</v>
      </c>
      <c r="HP1674" s="2">
        <v>0.4</v>
      </c>
      <c r="HQ1674" s="2">
        <v>1.8</v>
      </c>
      <c r="HR1674" s="2">
        <v>-0.2</v>
      </c>
      <c r="HS1674" s="2">
        <v>0.9</v>
      </c>
      <c r="HT1674" s="2">
        <v>0.4</v>
      </c>
      <c r="HU1674" s="2">
        <v>-0.4</v>
      </c>
      <c r="HV1674" s="2">
        <v>-1.1</v>
      </c>
      <c r="HW1674" s="2">
        <v>1.1</v>
      </c>
      <c r="HX1674" s="2">
        <v>-0.2</v>
      </c>
      <c r="HY1674" s="2">
        <v>0.6</v>
      </c>
      <c r="HZ1674" s="2">
        <v>-0.3</v>
      </c>
      <c r="IA1674" s="2">
        <v>0.4</v>
      </c>
      <c r="IB1674" s="2">
        <v>1</v>
      </c>
      <c r="IC1674" s="2">
        <v>-0.5</v>
      </c>
      <c r="ID1674" s="2">
        <v>1.2</v>
      </c>
      <c r="IE1674" s="2">
        <v>1.1</v>
      </c>
      <c r="IF1674" s="2">
        <v>0</v>
      </c>
      <c r="IG1674" s="2">
        <v>0.6</v>
      </c>
      <c r="IH1674" s="2">
        <v>-0.9</v>
      </c>
      <c r="II1674" s="2">
        <v>-0.2</v>
      </c>
      <c r="IJ1674" s="2">
        <v>0.3</v>
      </c>
      <c r="IK1674" s="2">
        <v>-0.8</v>
      </c>
      <c r="IL1674" s="2">
        <v>0.3</v>
      </c>
      <c r="IM1674" s="2">
        <v>0</v>
      </c>
      <c r="IN1674" s="2">
        <v>0.3</v>
      </c>
      <c r="IO1674" s="2">
        <v>-0.3</v>
      </c>
      <c r="IP1674" s="2">
        <v>-0.6</v>
      </c>
      <c r="IQ1674" s="2">
        <v>1.6</v>
      </c>
      <c r="IR1674" s="2">
        <v>1.7</v>
      </c>
      <c r="IS1674" s="2">
        <v>-0.5</v>
      </c>
      <c r="IT1674" s="2">
        <v>-0.6</v>
      </c>
      <c r="IU1674" s="2">
        <v>-0.5</v>
      </c>
      <c r="IV1674" s="2">
        <v>-0.4</v>
      </c>
      <c r="IW1674" s="2">
        <v>0.6</v>
      </c>
      <c r="IX1674" s="2">
        <v>-1</v>
      </c>
      <c r="IY1674" s="2">
        <v>0.4</v>
      </c>
      <c r="IZ1674" s="2">
        <v>-2.4</v>
      </c>
      <c r="JA1674" s="2">
        <v>0</v>
      </c>
      <c r="JB1674" s="2">
        <v>-0.8</v>
      </c>
      <c r="JC1674" s="2">
        <v>0</v>
      </c>
      <c r="JD1674" s="2">
        <v>2.2</v>
      </c>
      <c r="JE1674" s="2">
        <v>0.3</v>
      </c>
      <c r="JF1674" s="2">
        <v>-1.2</v>
      </c>
      <c r="JG1674" s="2">
        <v>-0.5</v>
      </c>
      <c r="JH1674" s="2">
        <v>-0.2</v>
      </c>
      <c r="JI1674" s="2">
        <v>0.3</v>
      </c>
      <c r="JJ1674" s="2">
        <v>-0.7</v>
      </c>
      <c r="JK1674" s="2">
        <v>-1.9</v>
      </c>
      <c r="JL1674" s="2">
        <v>-0.2</v>
      </c>
      <c r="JM1674" s="2">
        <v>-1.1</v>
      </c>
      <c r="JN1674" s="2">
        <v>1.2</v>
      </c>
      <c r="JO1674" s="2">
        <v>-0.2</v>
      </c>
      <c r="JP1674" s="2">
        <v>-0.9</v>
      </c>
      <c r="JQ1674" s="2">
        <v>-1.6</v>
      </c>
      <c r="JR1674" s="2">
        <v>1</v>
      </c>
      <c r="JS1674" s="2">
        <v>-1.6</v>
      </c>
      <c r="JT1674" s="2">
        <v>-0.9</v>
      </c>
      <c r="JU1674" s="2">
        <v>0.5</v>
      </c>
      <c r="JV1674" s="2">
        <v>-2.1</v>
      </c>
      <c r="KA1674" s="2">
        <v>0.6</v>
      </c>
      <c r="KB1674" s="2">
        <v>-0.2</v>
      </c>
      <c r="KC1674" s="2">
        <v>-1</v>
      </c>
      <c r="KD1674" s="2">
        <v>-1.5</v>
      </c>
      <c r="KQ1674" s="2">
        <v>0.2</v>
      </c>
      <c r="KR1674" s="2">
        <v>-2</v>
      </c>
      <c r="KS1674" s="2">
        <v>-0.1</v>
      </c>
      <c r="KT1674" s="2">
        <v>-0.9</v>
      </c>
      <c r="LG1674" s="2">
        <v>-0.3</v>
      </c>
      <c r="LH1674" s="2">
        <v>0.4</v>
      </c>
      <c r="LI1674" s="2">
        <v>-0.3</v>
      </c>
      <c r="LJ1674" s="2">
        <v>-1</v>
      </c>
      <c r="LW1674" s="2">
        <v>2.2</v>
      </c>
      <c r="LX1674" s="2">
        <v>2.2</v>
      </c>
      <c r="LY1674" s="2">
        <v>-3</v>
      </c>
      <c r="LZ1674" s="2">
        <v>-1.9</v>
      </c>
      <c r="MM1674" s="2">
        <v>0.7</v>
      </c>
      <c r="MN1674" s="2">
        <v>-0.3</v>
      </c>
      <c r="MO1674" s="2">
        <v>0.9</v>
      </c>
      <c r="MP1674" s="2">
        <v>0.3</v>
      </c>
      <c r="NC1674" s="2">
        <v>2</v>
      </c>
      <c r="ND1674" s="2">
        <v>2.1</v>
      </c>
      <c r="NE1674" s="2">
        <v>1.9</v>
      </c>
      <c r="NF1674" s="2">
        <v>1.5</v>
      </c>
      <c r="NS1674" s="2">
        <v>2.1</v>
      </c>
      <c r="NT1674" s="2">
        <v>1</v>
      </c>
      <c r="NU1674" s="2">
        <v>0.5</v>
      </c>
      <c r="NV1674" s="2">
        <v>-0.9</v>
      </c>
      <c r="OI1674" s="2">
        <v>1.4</v>
      </c>
      <c r="OJ1674" s="2">
        <v>-0.3</v>
      </c>
      <c r="OK1674" s="2">
        <v>-0.5</v>
      </c>
      <c r="OL1674" s="2">
        <v>-1.3</v>
      </c>
      <c r="OY1674" s="2">
        <v>2.2</v>
      </c>
      <c r="OZ1674" s="2">
        <v>0.2</v>
      </c>
      <c r="PA1674" s="2">
        <v>0.6</v>
      </c>
      <c r="PB1674" s="2">
        <v>-0.4</v>
      </c>
      <c r="PJ1674" s="2">
        <v>0.9</v>
      </c>
      <c r="PK1674" s="2">
        <v>0.2</v>
      </c>
    </row>
    <row r="1675">
      <c r="A1675" t="inlineStr">
        <is>
          <t>A2330125X</t>
        </is>
      </c>
      <c r="B1675" t="inlineStr">
        <is>
          <t>Percentage Change from Previous Period ;  Other non-durable household products ;  Australia ;</t>
        </is>
      </c>
      <c r="C1675" t="inlineStr">
        <is>
          <t>Quarter</t>
        </is>
      </c>
      <c r="D1675" t="inlineStr">
        <is>
          <t>Percent</t>
        </is>
      </c>
      <c r="E1675" t="inlineStr">
        <is>
          <t>Original</t>
        </is>
      </c>
      <c r="F1675" t="inlineStr">
        <is>
          <t>6401018.xlsx</t>
        </is>
      </c>
      <c r="G1675" t="inlineStr">
        <is>
          <t>1989Q4</t>
        </is>
      </c>
      <c r="H1675" t="inlineStr">
        <is>
          <t>2026Q2</t>
        </is>
      </c>
      <c r="FR1675" s="2">
        <v>0.1</v>
      </c>
      <c r="FS1675" s="2">
        <v>0.6</v>
      </c>
      <c r="FT1675" s="2">
        <v>1.7</v>
      </c>
      <c r="FU1675" s="2">
        <v>2.1</v>
      </c>
      <c r="FV1675" s="2">
        <v>1.2</v>
      </c>
      <c r="FW1675" s="2">
        <v>-0.5</v>
      </c>
      <c r="FX1675" s="2">
        <v>2.2</v>
      </c>
      <c r="FY1675" s="2">
        <v>1</v>
      </c>
      <c r="FZ1675" s="2">
        <v>-0.4</v>
      </c>
      <c r="GA1675" s="2">
        <v>-0.4</v>
      </c>
      <c r="GB1675" s="2">
        <v>1.1</v>
      </c>
      <c r="GC1675" s="2">
        <v>1.1</v>
      </c>
      <c r="GD1675" s="2">
        <v>-0.7</v>
      </c>
      <c r="GE1675" s="2">
        <v>-0.3</v>
      </c>
      <c r="GF1675" s="2">
        <v>0.2</v>
      </c>
      <c r="GG1675" s="2">
        <v>-1.2</v>
      </c>
      <c r="GH1675" s="2">
        <v>0.6</v>
      </c>
      <c r="GI1675" s="2">
        <v>2.8</v>
      </c>
      <c r="GJ1675" s="2">
        <v>-0.8</v>
      </c>
      <c r="GK1675" s="2">
        <v>0.5</v>
      </c>
      <c r="GL1675" s="2">
        <v>-0.5</v>
      </c>
      <c r="GM1675" s="2">
        <v>0.6</v>
      </c>
      <c r="GN1675" s="2">
        <v>2.3</v>
      </c>
      <c r="GO1675" s="2">
        <v>3.2</v>
      </c>
      <c r="GP1675" s="2">
        <v>-0.9</v>
      </c>
      <c r="GQ1675" s="2">
        <v>-0.1</v>
      </c>
      <c r="GR1675" s="2">
        <v>0.1</v>
      </c>
      <c r="GS1675" s="2">
        <v>1.8</v>
      </c>
      <c r="GT1675" s="2">
        <v>-0.2</v>
      </c>
      <c r="GU1675" s="2">
        <v>0.9</v>
      </c>
      <c r="GV1675" s="2">
        <v>0.4</v>
      </c>
      <c r="GW1675" s="2">
        <v>-0.1</v>
      </c>
      <c r="GX1675" s="2">
        <v>1</v>
      </c>
      <c r="GY1675" s="2">
        <v>-0.3</v>
      </c>
      <c r="GZ1675" s="2">
        <v>1.3</v>
      </c>
      <c r="HA1675" s="2">
        <v>1.2</v>
      </c>
      <c r="HB1675" s="2">
        <v>-0.4</v>
      </c>
      <c r="HC1675" s="2">
        <v>0.8</v>
      </c>
      <c r="HD1675" s="2">
        <v>-1</v>
      </c>
      <c r="HE1675" s="2">
        <v>1</v>
      </c>
      <c r="HF1675" s="2">
        <v>0.7</v>
      </c>
      <c r="HG1675" s="2">
        <v>-0.6</v>
      </c>
      <c r="HH1675" s="2">
        <v>1.9</v>
      </c>
      <c r="HI1675" s="2">
        <v>-2</v>
      </c>
      <c r="HJ1675" s="2">
        <v>2.4</v>
      </c>
      <c r="HK1675" s="2">
        <v>1.4</v>
      </c>
      <c r="HL1675" s="2">
        <v>2</v>
      </c>
      <c r="HM1675" s="2">
        <v>1</v>
      </c>
      <c r="HN1675" s="2">
        <v>1.1</v>
      </c>
      <c r="HO1675" s="2">
        <v>-0.2</v>
      </c>
      <c r="HP1675" s="2">
        <v>0.3</v>
      </c>
      <c r="HQ1675" s="2">
        <v>2.5</v>
      </c>
      <c r="HR1675" s="2">
        <v>-0.4</v>
      </c>
      <c r="HS1675" s="2">
        <v>-0.3</v>
      </c>
      <c r="HT1675" s="2">
        <v>-1.1</v>
      </c>
      <c r="HU1675" s="2">
        <v>0</v>
      </c>
      <c r="HV1675" s="2">
        <v>0.6</v>
      </c>
      <c r="HW1675" s="2">
        <v>0.5</v>
      </c>
      <c r="HX1675" s="2">
        <v>-0.3</v>
      </c>
      <c r="HY1675" s="2">
        <v>1.1</v>
      </c>
      <c r="HZ1675" s="2">
        <v>0.6</v>
      </c>
      <c r="IA1675" s="2">
        <v>-0.6</v>
      </c>
      <c r="IB1675" s="2">
        <v>0.6</v>
      </c>
      <c r="IC1675" s="2">
        <v>-0.4</v>
      </c>
      <c r="ID1675" s="2">
        <v>1.3</v>
      </c>
      <c r="IE1675" s="2">
        <v>0.7</v>
      </c>
      <c r="IF1675" s="2">
        <v>-0.2</v>
      </c>
      <c r="IG1675" s="2">
        <v>2.9</v>
      </c>
      <c r="IH1675" s="2">
        <v>0.2</v>
      </c>
      <c r="II1675" s="2">
        <v>-1.1</v>
      </c>
      <c r="IJ1675" s="2">
        <v>0.1</v>
      </c>
      <c r="IK1675" s="2">
        <v>0</v>
      </c>
      <c r="IL1675" s="2">
        <v>0.8</v>
      </c>
      <c r="IM1675" s="2">
        <v>0.9</v>
      </c>
      <c r="IN1675" s="2">
        <v>2.1</v>
      </c>
      <c r="IO1675" s="2">
        <v>0.4</v>
      </c>
      <c r="IP1675" s="2">
        <v>1.1</v>
      </c>
      <c r="IQ1675" s="2">
        <v>1.6</v>
      </c>
      <c r="IR1675" s="2">
        <v>2</v>
      </c>
      <c r="IS1675" s="2">
        <v>0.7</v>
      </c>
      <c r="IT1675" s="2">
        <v>-0.6</v>
      </c>
      <c r="IU1675" s="2">
        <v>0</v>
      </c>
      <c r="IV1675" s="2">
        <v>0.4</v>
      </c>
      <c r="IW1675" s="2">
        <v>1.2</v>
      </c>
      <c r="IX1675" s="2">
        <v>-1.2</v>
      </c>
      <c r="IY1675" s="2">
        <v>-0.1</v>
      </c>
      <c r="IZ1675" s="2">
        <v>-1.6</v>
      </c>
      <c r="JA1675" s="2">
        <v>0.1</v>
      </c>
      <c r="JB1675" s="2">
        <v>-1</v>
      </c>
      <c r="JC1675" s="2">
        <v>0.6</v>
      </c>
      <c r="JD1675" s="2">
        <v>-0.4</v>
      </c>
      <c r="JE1675" s="2">
        <v>0.5</v>
      </c>
      <c r="JF1675" s="2">
        <v>-0.2</v>
      </c>
      <c r="JG1675" s="2">
        <v>1.9</v>
      </c>
      <c r="JH1675" s="2">
        <v>-0.9</v>
      </c>
      <c r="JI1675" s="2">
        <v>1.2</v>
      </c>
      <c r="JJ1675" s="2">
        <v>-0.2</v>
      </c>
      <c r="JK1675" s="2">
        <v>-1.3</v>
      </c>
      <c r="JL1675" s="2">
        <v>1.2</v>
      </c>
      <c r="JM1675" s="2">
        <v>-0.5</v>
      </c>
      <c r="JN1675" s="2">
        <v>2.4</v>
      </c>
      <c r="JO1675" s="2">
        <v>-0.1</v>
      </c>
      <c r="JP1675" s="2">
        <v>0.7</v>
      </c>
      <c r="JQ1675" s="2">
        <v>-1.1</v>
      </c>
      <c r="JR1675" s="2">
        <v>-0.3</v>
      </c>
      <c r="JS1675" s="2">
        <v>-0.4</v>
      </c>
      <c r="JT1675" s="2">
        <v>0.5</v>
      </c>
      <c r="JU1675" s="2">
        <v>0</v>
      </c>
      <c r="JV1675" s="2">
        <v>0</v>
      </c>
      <c r="KA1675" s="2">
        <v>-0.2</v>
      </c>
      <c r="KB1675" s="2">
        <v>0.5</v>
      </c>
      <c r="KC1675" s="2">
        <v>-1</v>
      </c>
      <c r="KD1675" s="2">
        <v>-0.5</v>
      </c>
      <c r="KQ1675" s="2">
        <v>0.4</v>
      </c>
      <c r="KR1675" s="2">
        <v>0</v>
      </c>
      <c r="KS1675" s="2">
        <v>-0.6</v>
      </c>
      <c r="KT1675" s="2">
        <v>-0.1</v>
      </c>
      <c r="LG1675" s="2">
        <v>-0.3</v>
      </c>
      <c r="LH1675" s="2">
        <v>0.5</v>
      </c>
      <c r="LI1675" s="2">
        <v>0.2</v>
      </c>
      <c r="LJ1675" s="2">
        <v>0.2</v>
      </c>
      <c r="LW1675" s="2">
        <v>3.4</v>
      </c>
      <c r="LX1675" s="2">
        <v>4.6</v>
      </c>
      <c r="LY1675" s="2">
        <v>-4.1</v>
      </c>
      <c r="LZ1675" s="2">
        <v>-1.9</v>
      </c>
      <c r="MM1675" s="2">
        <v>0.5</v>
      </c>
      <c r="MN1675" s="2">
        <v>-0.2</v>
      </c>
      <c r="MO1675" s="2">
        <v>1.3</v>
      </c>
      <c r="MP1675" s="2">
        <v>3.6</v>
      </c>
      <c r="NC1675" s="2">
        <v>6.8</v>
      </c>
      <c r="ND1675" s="2">
        <v>2.4</v>
      </c>
      <c r="NE1675" s="2">
        <v>2.6</v>
      </c>
      <c r="NF1675" s="2">
        <v>2.2</v>
      </c>
      <c r="NS1675" s="2">
        <v>1.6</v>
      </c>
      <c r="NT1675" s="2">
        <v>0.7</v>
      </c>
      <c r="NU1675" s="2">
        <v>-0.3</v>
      </c>
      <c r="NV1675" s="2">
        <v>-1.7</v>
      </c>
      <c r="OI1675" s="2">
        <v>0.5</v>
      </c>
      <c r="OJ1675" s="2">
        <v>0.9</v>
      </c>
      <c r="OK1675" s="2">
        <v>-0.8</v>
      </c>
      <c r="OL1675" s="2">
        <v>-0.6</v>
      </c>
      <c r="OY1675" s="2">
        <v>0.1</v>
      </c>
      <c r="OZ1675" s="2">
        <v>0.7</v>
      </c>
      <c r="PA1675" s="2">
        <v>-0.4</v>
      </c>
      <c r="PB1675" s="2">
        <v>-1</v>
      </c>
      <c r="PJ1675" s="2">
        <v>-0.6</v>
      </c>
      <c r="PK1675" s="2">
        <v>0.8</v>
      </c>
    </row>
    <row r="1676">
      <c r="A1676" t="inlineStr">
        <is>
          <t>A2330170K</t>
        </is>
      </c>
      <c r="B1676" t="inlineStr">
        <is>
          <t>Percentage Change from Previous Period ;  Domestic and household services ;  Australia ;</t>
        </is>
      </c>
      <c r="C1676" t="inlineStr">
        <is>
          <t>Quarter</t>
        </is>
      </c>
      <c r="D1676" t="inlineStr">
        <is>
          <t>Percent</t>
        </is>
      </c>
      <c r="E1676" t="inlineStr">
        <is>
          <t>Original</t>
        </is>
      </c>
      <c r="F1676" t="inlineStr">
        <is>
          <t>6401018.xlsx</t>
        </is>
      </c>
      <c r="G1676" t="inlineStr">
        <is>
          <t>1989Q4</t>
        </is>
      </c>
      <c r="H1676" t="inlineStr">
        <is>
          <t>2026Q2</t>
        </is>
      </c>
      <c r="FR1676" s="2">
        <v>1.2</v>
      </c>
      <c r="FS1676" s="2">
        <v>1.6</v>
      </c>
      <c r="FT1676" s="2">
        <v>4.3</v>
      </c>
      <c r="FU1676" s="2">
        <v>2.2</v>
      </c>
      <c r="FV1676" s="2">
        <v>1.8</v>
      </c>
      <c r="FW1676" s="2">
        <v>3</v>
      </c>
      <c r="FX1676" s="2">
        <v>1.3</v>
      </c>
      <c r="FY1676" s="2">
        <v>2.3</v>
      </c>
      <c r="FZ1676" s="2">
        <v>1.5</v>
      </c>
      <c r="GA1676" s="2">
        <v>1.5</v>
      </c>
      <c r="GB1676" s="2">
        <v>2.1</v>
      </c>
      <c r="GC1676" s="2">
        <v>0.2</v>
      </c>
      <c r="GD1676" s="2">
        <v>0</v>
      </c>
      <c r="GE1676" s="2">
        <v>0.7</v>
      </c>
      <c r="GF1676" s="2">
        <v>2</v>
      </c>
      <c r="GG1676" s="2">
        <v>1.9</v>
      </c>
      <c r="GH1676" s="2">
        <v>0.6</v>
      </c>
      <c r="GI1676" s="2">
        <v>-0.3</v>
      </c>
      <c r="GJ1676" s="2">
        <v>-0.7</v>
      </c>
      <c r="GK1676" s="2">
        <v>1.2</v>
      </c>
      <c r="GL1676" s="2">
        <v>0.7</v>
      </c>
      <c r="GM1676" s="2">
        <v>2.5</v>
      </c>
      <c r="GN1676" s="2">
        <v>1.2</v>
      </c>
      <c r="GO1676" s="2">
        <v>0.4</v>
      </c>
      <c r="GP1676" s="2">
        <v>1.3</v>
      </c>
      <c r="GQ1676" s="2">
        <v>0.7</v>
      </c>
      <c r="GR1676" s="2">
        <v>1.3</v>
      </c>
      <c r="GS1676" s="2">
        <v>0.5</v>
      </c>
      <c r="GT1676" s="2">
        <v>0.9</v>
      </c>
      <c r="GU1676" s="2">
        <v>1.5</v>
      </c>
      <c r="GV1676" s="2">
        <v>1.7</v>
      </c>
      <c r="GW1676" s="2">
        <v>1</v>
      </c>
      <c r="GX1676" s="2">
        <v>0.4</v>
      </c>
      <c r="GY1676" s="2">
        <v>0.8</v>
      </c>
      <c r="GZ1676" s="2">
        <v>0.6</v>
      </c>
      <c r="HA1676" s="2">
        <v>0.4</v>
      </c>
      <c r="HB1676" s="2">
        <v>0.6</v>
      </c>
      <c r="HC1676" s="2">
        <v>0.5</v>
      </c>
      <c r="HD1676" s="2">
        <v>0.5</v>
      </c>
      <c r="HE1676" s="2">
        <v>1.2</v>
      </c>
      <c r="HF1676" s="2">
        <v>1.7</v>
      </c>
      <c r="HG1676" s="2">
        <v>1.6</v>
      </c>
      <c r="HH1676" s="2">
        <v>1.9</v>
      </c>
      <c r="HI1676" s="2">
        <v>8.199999999999999</v>
      </c>
      <c r="HJ1676" s="2">
        <v>1.1</v>
      </c>
      <c r="HK1676" s="2">
        <v>1.1</v>
      </c>
      <c r="HL1676" s="2">
        <v>0.6</v>
      </c>
      <c r="HM1676" s="2">
        <v>0.7</v>
      </c>
      <c r="HN1676" s="2">
        <v>0.5</v>
      </c>
      <c r="HO1676" s="2">
        <v>1.2</v>
      </c>
      <c r="HP1676" s="2">
        <v>0.2</v>
      </c>
      <c r="HQ1676" s="2">
        <v>1</v>
      </c>
      <c r="HR1676" s="2">
        <v>1.4</v>
      </c>
      <c r="HS1676" s="2">
        <v>1.3</v>
      </c>
      <c r="HT1676" s="2">
        <v>0.7</v>
      </c>
      <c r="HU1676" s="2">
        <v>0.7</v>
      </c>
      <c r="HV1676" s="2">
        <v>1.1</v>
      </c>
      <c r="HW1676" s="2">
        <v>1</v>
      </c>
      <c r="HX1676" s="2">
        <v>0.6</v>
      </c>
      <c r="HY1676" s="2">
        <v>0.7</v>
      </c>
      <c r="HZ1676" s="2">
        <v>0.9</v>
      </c>
      <c r="IA1676" s="2">
        <v>1.1</v>
      </c>
      <c r="IB1676" s="2">
        <v>0.8</v>
      </c>
      <c r="IC1676" s="2">
        <v>0.8</v>
      </c>
      <c r="ID1676" s="2">
        <v>1.7</v>
      </c>
      <c r="IE1676" s="2">
        <v>2</v>
      </c>
      <c r="IF1676" s="2">
        <v>1.3</v>
      </c>
      <c r="IG1676" s="2">
        <v>2</v>
      </c>
      <c r="IH1676" s="2">
        <v>1.1</v>
      </c>
      <c r="II1676" s="2">
        <v>1.9</v>
      </c>
      <c r="IJ1676" s="2">
        <v>0.8</v>
      </c>
      <c r="IK1676" s="2">
        <v>-9</v>
      </c>
      <c r="IL1676" s="2">
        <v>1.5</v>
      </c>
      <c r="IM1676" s="2">
        <v>1.9</v>
      </c>
      <c r="IN1676" s="2">
        <v>1.1</v>
      </c>
      <c r="IO1676" s="2">
        <v>-3.6</v>
      </c>
      <c r="IP1676" s="2">
        <v>1.2</v>
      </c>
      <c r="IQ1676" s="2">
        <v>1.3</v>
      </c>
      <c r="IR1676" s="2">
        <v>0.8</v>
      </c>
      <c r="IS1676" s="2">
        <v>1</v>
      </c>
      <c r="IT1676" s="2">
        <v>0.7</v>
      </c>
      <c r="IU1676" s="2">
        <v>1.3</v>
      </c>
      <c r="IV1676" s="2">
        <v>0.7</v>
      </c>
      <c r="IW1676" s="2">
        <v>1.3</v>
      </c>
      <c r="IX1676" s="2">
        <v>0.7</v>
      </c>
      <c r="IY1676" s="2">
        <v>1.2</v>
      </c>
      <c r="IZ1676" s="2">
        <v>1.1</v>
      </c>
      <c r="JA1676" s="2">
        <v>0.9</v>
      </c>
      <c r="JB1676" s="2">
        <v>1.6</v>
      </c>
      <c r="JC1676" s="2">
        <v>1.8</v>
      </c>
      <c r="JD1676" s="2">
        <v>1.1</v>
      </c>
      <c r="JE1676" s="2">
        <v>1.7</v>
      </c>
      <c r="JF1676" s="2">
        <v>1</v>
      </c>
      <c r="JG1676" s="2">
        <v>1.6</v>
      </c>
      <c r="JH1676" s="2">
        <v>0.6</v>
      </c>
      <c r="JI1676" s="2">
        <v>1.5</v>
      </c>
      <c r="JJ1676" s="2">
        <v>0.5</v>
      </c>
      <c r="JK1676" s="2">
        <v>0.5</v>
      </c>
      <c r="JL1676" s="2">
        <v>0.9</v>
      </c>
      <c r="JM1676" s="2">
        <v>1.6</v>
      </c>
      <c r="JN1676" s="2">
        <v>0.8</v>
      </c>
      <c r="JO1676" s="2">
        <v>1.7</v>
      </c>
      <c r="JP1676" s="2">
        <v>0.7</v>
      </c>
      <c r="JQ1676" s="2">
        <v>1.5</v>
      </c>
      <c r="JR1676" s="2">
        <v>0.4</v>
      </c>
      <c r="JS1676" s="2">
        <v>1.4</v>
      </c>
      <c r="JT1676" s="2">
        <v>0.5</v>
      </c>
      <c r="JU1676" s="2">
        <v>1.6</v>
      </c>
      <c r="JV1676" s="2">
        <v>0.8</v>
      </c>
      <c r="KA1676" s="2">
        <v>0.6</v>
      </c>
      <c r="KB1676" s="2">
        <v>0.5</v>
      </c>
      <c r="KC1676" s="2">
        <v>1.1</v>
      </c>
      <c r="KD1676" s="2">
        <v>0.7</v>
      </c>
      <c r="KQ1676" s="2">
        <v>1.3</v>
      </c>
      <c r="KR1676" s="2">
        <v>0.6</v>
      </c>
      <c r="KS1676" s="2">
        <v>-4.6</v>
      </c>
      <c r="KT1676" s="2">
        <v>0.9</v>
      </c>
      <c r="LG1676" s="2">
        <v>1.3</v>
      </c>
      <c r="LH1676" s="2">
        <v>0.2</v>
      </c>
      <c r="LI1676" s="2">
        <v>1.5</v>
      </c>
      <c r="LJ1676" s="2">
        <v>1.1</v>
      </c>
      <c r="LW1676" s="2">
        <v>0.9</v>
      </c>
      <c r="LX1676" s="2">
        <v>-40.1</v>
      </c>
      <c r="LY1676" s="2">
        <v>49.2</v>
      </c>
      <c r="LZ1676" s="2">
        <v>13.8</v>
      </c>
      <c r="MM1676" s="2">
        <v>1.6</v>
      </c>
      <c r="MN1676" s="2">
        <v>0.8</v>
      </c>
      <c r="MO1676" s="2">
        <v>1.5</v>
      </c>
      <c r="MP1676" s="2">
        <v>1.3</v>
      </c>
      <c r="NC1676" s="2">
        <v>0.9</v>
      </c>
      <c r="ND1676" s="2">
        <v>-1.3</v>
      </c>
      <c r="NE1676" s="2">
        <v>1.9</v>
      </c>
      <c r="NF1676" s="2">
        <v>2.9</v>
      </c>
      <c r="NS1676" s="2">
        <v>1.6</v>
      </c>
      <c r="NT1676" s="2">
        <v>1.3</v>
      </c>
      <c r="NU1676" s="2">
        <v>-3.4</v>
      </c>
      <c r="NV1676" s="2">
        <v>1.8</v>
      </c>
      <c r="OI1676" s="2">
        <v>2.1</v>
      </c>
      <c r="OJ1676" s="2">
        <v>0.8</v>
      </c>
      <c r="OK1676" s="2">
        <v>1.9</v>
      </c>
      <c r="OL1676" s="2">
        <v>-0.4</v>
      </c>
      <c r="OY1676" s="2">
        <v>0.9</v>
      </c>
      <c r="OZ1676" s="2">
        <v>0.6</v>
      </c>
      <c r="PA1676" s="2">
        <v>2.1</v>
      </c>
      <c r="PB1676" s="2">
        <v>1.8</v>
      </c>
      <c r="PJ1676" s="2">
        <v>0.5</v>
      </c>
      <c r="PK1676" s="2">
        <v>0.6</v>
      </c>
    </row>
    <row r="1677">
      <c r="A1677" t="inlineStr">
        <is>
          <t>A2331610W</t>
        </is>
      </c>
      <c r="B1677" t="inlineStr">
        <is>
          <t>Percentage Change from Previous Period ;  Child care ;  Australia ;</t>
        </is>
      </c>
      <c r="C1677" t="inlineStr">
        <is>
          <t>Quarter</t>
        </is>
      </c>
      <c r="D1677" t="inlineStr">
        <is>
          <t>Percent</t>
        </is>
      </c>
      <c r="E1677" t="inlineStr">
        <is>
          <t>Original</t>
        </is>
      </c>
      <c r="F1677" t="inlineStr">
        <is>
          <t>6401018.xlsx</t>
        </is>
      </c>
      <c r="G1677" t="inlineStr">
        <is>
          <t>1982Q2</t>
        </is>
      </c>
      <c r="H1677" t="inlineStr">
        <is>
          <t>2026Q2</t>
        </is>
      </c>
      <c r="EN1677" s="2">
        <v>2.9</v>
      </c>
      <c r="EO1677" s="2">
        <v>2.7</v>
      </c>
      <c r="EP1677" s="2">
        <v>2.4</v>
      </c>
      <c r="EQ1677" s="2">
        <v>6.1</v>
      </c>
      <c r="ER1677" s="2">
        <v>2</v>
      </c>
      <c r="ES1677" s="2">
        <v>3.8</v>
      </c>
      <c r="ET1677" s="2">
        <v>1.9</v>
      </c>
      <c r="EU1677" s="2">
        <v>4.4</v>
      </c>
      <c r="EV1677" s="2">
        <v>1.8</v>
      </c>
      <c r="EW1677" s="2">
        <v>0.3</v>
      </c>
      <c r="EX1677" s="2">
        <v>-2.9</v>
      </c>
      <c r="EY1677" s="2">
        <v>2.5</v>
      </c>
      <c r="EZ1677" s="2">
        <v>0.8</v>
      </c>
      <c r="FA1677" s="2">
        <v>1.3</v>
      </c>
      <c r="FB1677" s="2">
        <v>2.7</v>
      </c>
      <c r="FC1677" s="2">
        <v>4.6</v>
      </c>
      <c r="FD1677" s="2">
        <v>4.6</v>
      </c>
      <c r="FE1677" s="2">
        <v>1.9</v>
      </c>
      <c r="FF1677" s="2">
        <v>0.5</v>
      </c>
      <c r="FG1677" s="2">
        <v>4.7</v>
      </c>
      <c r="FH1677" s="2">
        <v>1.3</v>
      </c>
      <c r="FI1677" s="2">
        <v>2.9</v>
      </c>
      <c r="FJ1677" s="2">
        <v>0.6</v>
      </c>
      <c r="FK1677" s="2">
        <v>5.5</v>
      </c>
      <c r="FL1677" s="2">
        <v>2</v>
      </c>
      <c r="FM1677" s="2">
        <v>1.3</v>
      </c>
      <c r="FN1677" s="2">
        <v>1.4</v>
      </c>
      <c r="FO1677" s="2">
        <v>3.9</v>
      </c>
      <c r="FP1677" s="2">
        <v>1.1</v>
      </c>
      <c r="FQ1677" s="2">
        <v>3.7</v>
      </c>
      <c r="FR1677" s="2">
        <v>0.5</v>
      </c>
      <c r="FS1677" s="2">
        <v>5.7</v>
      </c>
      <c r="FT1677" s="2">
        <v>1.5</v>
      </c>
      <c r="FU1677" s="2">
        <v>3.3</v>
      </c>
      <c r="FV1677" s="2">
        <v>-1.8</v>
      </c>
      <c r="FW1677" s="2">
        <v>-14.7</v>
      </c>
      <c r="FX1677" s="2">
        <v>0.3</v>
      </c>
      <c r="FY1677" s="2">
        <v>0.8</v>
      </c>
      <c r="FZ1677" s="2">
        <v>0.2</v>
      </c>
      <c r="GA1677" s="2">
        <v>6.3</v>
      </c>
      <c r="GB1677" s="2">
        <v>0</v>
      </c>
      <c r="GC1677" s="2">
        <v>0.6</v>
      </c>
      <c r="GD1677" s="2">
        <v>0</v>
      </c>
      <c r="GE1677" s="2">
        <v>7.8</v>
      </c>
      <c r="GF1677" s="2">
        <v>1.1</v>
      </c>
      <c r="GG1677" s="2">
        <v>-0.3</v>
      </c>
      <c r="GH1677" s="2">
        <v>0.3</v>
      </c>
      <c r="GI1677" s="2">
        <v>5.6</v>
      </c>
      <c r="GJ1677" s="2">
        <v>1.7</v>
      </c>
      <c r="GK1677" s="2">
        <v>-5.1</v>
      </c>
      <c r="GL1677" s="2">
        <v>-0.7</v>
      </c>
      <c r="GM1677" s="2">
        <v>3</v>
      </c>
      <c r="GN1677" s="2">
        <v>1.1</v>
      </c>
      <c r="GO1677" s="2">
        <v>1</v>
      </c>
      <c r="GP1677" s="2">
        <v>0.4</v>
      </c>
      <c r="GQ1677" s="2">
        <v>4.3</v>
      </c>
      <c r="GR1677" s="2">
        <v>0.8</v>
      </c>
      <c r="GS1677" s="2">
        <v>0.3</v>
      </c>
      <c r="GT1677" s="2">
        <v>0.2</v>
      </c>
      <c r="GU1677" s="2">
        <v>1.7</v>
      </c>
      <c r="GV1677" s="2">
        <v>3.5</v>
      </c>
      <c r="GW1677" s="2">
        <v>2.1</v>
      </c>
      <c r="GX1677" s="2">
        <v>1.1</v>
      </c>
      <c r="GY1677" s="2">
        <v>2.3</v>
      </c>
      <c r="GZ1677" s="2">
        <v>1.7</v>
      </c>
      <c r="HA1677" s="2">
        <v>2.6</v>
      </c>
      <c r="HB1677" s="2">
        <v>0.1</v>
      </c>
      <c r="HC1677" s="2">
        <v>1.4</v>
      </c>
      <c r="HD1677" s="2">
        <v>1.1</v>
      </c>
      <c r="HE1677" s="2">
        <v>1.1</v>
      </c>
      <c r="HF1677" s="2">
        <v>0.8</v>
      </c>
      <c r="HG1677" s="2">
        <v>3.4</v>
      </c>
      <c r="HH1677" s="2">
        <v>0.3</v>
      </c>
      <c r="HI1677" s="2">
        <v>-15.1</v>
      </c>
      <c r="HJ1677" s="2">
        <v>2.4</v>
      </c>
      <c r="HK1677" s="2">
        <v>4.6</v>
      </c>
      <c r="HL1677" s="2">
        <v>0.4</v>
      </c>
      <c r="HM1677" s="2">
        <v>-6.4</v>
      </c>
      <c r="HN1677" s="2">
        <v>1.7</v>
      </c>
      <c r="HO1677" s="2">
        <v>3.3</v>
      </c>
      <c r="HP1677" s="2">
        <v>0.7</v>
      </c>
      <c r="HQ1677" s="2">
        <v>11.1</v>
      </c>
      <c r="HR1677" s="2">
        <v>1.8</v>
      </c>
      <c r="HS1677" s="2">
        <v>2.4</v>
      </c>
      <c r="HT1677" s="2">
        <v>0.7</v>
      </c>
      <c r="HU1677" s="2">
        <v>7.3</v>
      </c>
      <c r="HV1677" s="2">
        <v>0</v>
      </c>
      <c r="HW1677" s="2">
        <v>4.4</v>
      </c>
      <c r="HX1677" s="2">
        <v>1</v>
      </c>
      <c r="HY1677" s="2">
        <v>4.6</v>
      </c>
      <c r="HZ1677" s="2">
        <v>2.6</v>
      </c>
      <c r="IA1677" s="2">
        <v>3.4</v>
      </c>
      <c r="IB1677" s="2">
        <v>1.4</v>
      </c>
      <c r="IC1677" s="2">
        <v>1.4</v>
      </c>
      <c r="ID1677" s="2">
        <v>3.6</v>
      </c>
      <c r="IE1677" s="2">
        <v>5</v>
      </c>
      <c r="IF1677" s="2">
        <v>1.8</v>
      </c>
      <c r="IG1677" s="2">
        <v>3.2</v>
      </c>
      <c r="IH1677" s="2">
        <v>2</v>
      </c>
      <c r="II1677" s="2">
        <v>5.4</v>
      </c>
      <c r="IJ1677" s="2">
        <v>1.7</v>
      </c>
      <c r="IK1677" s="2">
        <v>-33.4</v>
      </c>
      <c r="IL1677" s="2">
        <v>1.2</v>
      </c>
      <c r="IM1677" s="2">
        <v>4.5</v>
      </c>
      <c r="IN1677" s="2">
        <v>1.2</v>
      </c>
      <c r="IO1677" s="2">
        <v>-22.9</v>
      </c>
      <c r="IP1677" s="2">
        <v>1.4</v>
      </c>
      <c r="IQ1677" s="2">
        <v>3</v>
      </c>
      <c r="IR1677" s="2">
        <v>1</v>
      </c>
      <c r="IS1677" s="2">
        <v>0.9</v>
      </c>
      <c r="IT1677" s="2">
        <v>1.2</v>
      </c>
      <c r="IU1677" s="2">
        <v>3.1</v>
      </c>
      <c r="IV1677" s="2">
        <v>0.3</v>
      </c>
      <c r="IW1677" s="2">
        <v>2.4</v>
      </c>
      <c r="IX1677" s="2">
        <v>1.2</v>
      </c>
      <c r="IY1677" s="2">
        <v>2.9</v>
      </c>
      <c r="IZ1677" s="2">
        <v>0.9</v>
      </c>
      <c r="JA1677" s="2">
        <v>1.9</v>
      </c>
      <c r="JB1677" s="2">
        <v>2.6</v>
      </c>
      <c r="JC1677" s="2">
        <v>4</v>
      </c>
      <c r="JD1677" s="2">
        <v>1</v>
      </c>
      <c r="JE1677" s="2">
        <v>2</v>
      </c>
      <c r="JF1677" s="2">
        <v>1.3</v>
      </c>
      <c r="JG1677" s="2">
        <v>3.3</v>
      </c>
      <c r="JH1677" s="2">
        <v>0.5</v>
      </c>
      <c r="JI1677" s="2">
        <v>3.4</v>
      </c>
      <c r="JJ1677" s="2">
        <v>0.6</v>
      </c>
      <c r="JK1677" s="2">
        <v>2.7</v>
      </c>
      <c r="JL1677" s="2">
        <v>0.8</v>
      </c>
      <c r="JM1677" s="2">
        <v>3.1</v>
      </c>
      <c r="JN1677" s="2">
        <v>1.3</v>
      </c>
      <c r="JO1677" s="2">
        <v>3.1</v>
      </c>
      <c r="JP1677" s="2">
        <v>0.7</v>
      </c>
      <c r="JQ1677" s="2">
        <v>4</v>
      </c>
      <c r="JR1677" s="2">
        <v>0.2</v>
      </c>
      <c r="JS1677" s="2">
        <v>3.2</v>
      </c>
      <c r="JT1677" s="2">
        <v>0.8</v>
      </c>
      <c r="JU1677" s="2">
        <v>3.5</v>
      </c>
      <c r="JV1677" s="2">
        <v>0.4</v>
      </c>
      <c r="KA1677" s="2">
        <v>1.2</v>
      </c>
      <c r="KB1677" s="2">
        <v>0.9</v>
      </c>
      <c r="KC1677" s="2">
        <v>2.2</v>
      </c>
      <c r="KD1677" s="2">
        <v>1.1</v>
      </c>
      <c r="KQ1677" s="2">
        <v>1.6</v>
      </c>
      <c r="KR1677" s="2">
        <v>1</v>
      </c>
      <c r="KS1677" s="2">
        <v>-11.7</v>
      </c>
      <c r="KT1677" s="2">
        <v>1.4</v>
      </c>
      <c r="LG1677" s="2">
        <v>1.9</v>
      </c>
      <c r="LH1677" s="2">
        <v>1.1</v>
      </c>
      <c r="LI1677" s="2">
        <v>2.4</v>
      </c>
      <c r="LJ1677" s="2">
        <v>1.6</v>
      </c>
      <c r="LW1677" s="2">
        <v>1</v>
      </c>
      <c r="LX1677" s="2">
        <v>-95</v>
      </c>
      <c r="LY1677" s="2">
        <v>1374.3</v>
      </c>
      <c r="LZ1677" s="2">
        <v>37.6</v>
      </c>
      <c r="MM1677" s="2">
        <v>2.2</v>
      </c>
      <c r="MN1677" s="2">
        <v>1.2</v>
      </c>
      <c r="MO1677" s="2">
        <v>2.1</v>
      </c>
      <c r="MP1677" s="2">
        <v>0.8</v>
      </c>
      <c r="NC1677" s="2">
        <v>0</v>
      </c>
      <c r="ND1677" s="2">
        <v>-7.3</v>
      </c>
      <c r="NE1677" s="2">
        <v>1.1</v>
      </c>
      <c r="NF1677" s="2">
        <v>4.6</v>
      </c>
      <c r="NS1677" s="2">
        <v>2</v>
      </c>
      <c r="NT1677" s="2">
        <v>1.5</v>
      </c>
      <c r="NU1677" s="2">
        <v>-13.2</v>
      </c>
      <c r="NV1677" s="2">
        <v>3.2</v>
      </c>
      <c r="OI1677" s="2">
        <v>3.8</v>
      </c>
      <c r="OJ1677" s="2">
        <v>1.4</v>
      </c>
      <c r="OK1677" s="2">
        <v>3.1</v>
      </c>
      <c r="OL1677" s="2">
        <v>-4.1</v>
      </c>
      <c r="OY1677" s="2">
        <v>2.5</v>
      </c>
      <c r="OZ1677" s="2">
        <v>1.2</v>
      </c>
      <c r="PA1677" s="2">
        <v>4</v>
      </c>
      <c r="PB1677" s="2">
        <v>3.8</v>
      </c>
      <c r="PJ1677" s="2">
        <v>-0.2</v>
      </c>
      <c r="PK1677" s="2">
        <v>0</v>
      </c>
    </row>
    <row r="1678">
      <c r="A1678" t="inlineStr">
        <is>
          <t>A2329270W</t>
        </is>
      </c>
      <c r="B1678" t="inlineStr">
        <is>
          <t>Percentage Change from Previous Period ;  Hairdressing and personal grooming services ;  Australia ;</t>
        </is>
      </c>
      <c r="C1678" t="inlineStr">
        <is>
          <t>Quarter</t>
        </is>
      </c>
      <c r="D1678" t="inlineStr">
        <is>
          <t>Percent</t>
        </is>
      </c>
      <c r="E1678" t="inlineStr">
        <is>
          <t>Original</t>
        </is>
      </c>
      <c r="F1678" t="inlineStr">
        <is>
          <t>6401018.xlsx</t>
        </is>
      </c>
      <c r="G1678" t="inlineStr">
        <is>
          <t>1972Q4</t>
        </is>
      </c>
      <c r="H1678" t="inlineStr">
        <is>
          <t>2026Q2</t>
        </is>
      </c>
      <c r="DB1678" s="2">
        <v>3.8</v>
      </c>
      <c r="DC1678" s="2">
        <v>2.9</v>
      </c>
      <c r="DD1678" s="2">
        <v>0.7</v>
      </c>
      <c r="DE1678" s="2">
        <v>10</v>
      </c>
      <c r="DF1678" s="2">
        <v>3.9</v>
      </c>
      <c r="DG1678" s="2">
        <v>6.2</v>
      </c>
      <c r="DH1678" s="2">
        <v>1.8</v>
      </c>
      <c r="DI1678" s="2">
        <v>18.6</v>
      </c>
      <c r="DJ1678" s="2">
        <v>5.8</v>
      </c>
      <c r="DK1678" s="2">
        <v>7.3</v>
      </c>
      <c r="DL1678" s="2">
        <v>1.7</v>
      </c>
      <c r="DM1678" s="2">
        <v>8.800000000000001</v>
      </c>
      <c r="DN1678" s="2">
        <v>4.2</v>
      </c>
      <c r="DO1678" s="2">
        <v>1.5</v>
      </c>
      <c r="DP1678" s="2">
        <v>8.9</v>
      </c>
      <c r="DQ1678" s="2">
        <v>4</v>
      </c>
      <c r="DR1678" s="2">
        <v>3.2</v>
      </c>
      <c r="DS1678" s="2">
        <v>4.7</v>
      </c>
      <c r="DT1678" s="2">
        <v>3.9</v>
      </c>
      <c r="DU1678" s="2">
        <v>3.7</v>
      </c>
      <c r="DV1678" s="2">
        <v>2.9</v>
      </c>
      <c r="DW1678" s="2">
        <v>3.5</v>
      </c>
      <c r="DX1678" s="2">
        <v>2.1</v>
      </c>
      <c r="DY1678" s="2">
        <v>3.1</v>
      </c>
      <c r="DZ1678" s="2">
        <v>3</v>
      </c>
      <c r="EA1678" s="2">
        <v>3.1</v>
      </c>
      <c r="EB1678" s="2">
        <v>2.6</v>
      </c>
      <c r="EC1678" s="2">
        <v>1.9</v>
      </c>
      <c r="ED1678" s="2">
        <v>1.8</v>
      </c>
      <c r="EE1678" s="2">
        <v>1.3</v>
      </c>
      <c r="EF1678" s="2">
        <v>3</v>
      </c>
      <c r="EG1678" s="2">
        <v>1.3</v>
      </c>
      <c r="EH1678" s="2">
        <v>3.1</v>
      </c>
      <c r="EI1678" s="2">
        <v>2.6</v>
      </c>
      <c r="EJ1678" s="2">
        <v>2.2</v>
      </c>
      <c r="EK1678" s="2">
        <v>2</v>
      </c>
      <c r="EL1678" s="2">
        <v>3.2</v>
      </c>
      <c r="EM1678" s="2">
        <v>1.6</v>
      </c>
      <c r="EN1678" s="2">
        <v>3.2</v>
      </c>
      <c r="EO1678" s="2">
        <v>5.9</v>
      </c>
      <c r="EP1678" s="2">
        <v>1.2</v>
      </c>
      <c r="EQ1678" s="2">
        <v>1.9</v>
      </c>
      <c r="ER1678" s="2">
        <v>1</v>
      </c>
      <c r="ES1678" s="2">
        <v>3</v>
      </c>
      <c r="ET1678" s="2">
        <v>4</v>
      </c>
      <c r="EU1678" s="2">
        <v>1</v>
      </c>
      <c r="EV1678" s="2">
        <v>-0.1</v>
      </c>
      <c r="EW1678" s="2">
        <v>1.9</v>
      </c>
      <c r="EX1678" s="2">
        <v>2.3</v>
      </c>
      <c r="EY1678" s="2">
        <v>1.4</v>
      </c>
      <c r="EZ1678" s="2">
        <v>1.8</v>
      </c>
      <c r="FA1678" s="2">
        <v>1.6</v>
      </c>
      <c r="FB1678" s="2">
        <v>1.6</v>
      </c>
      <c r="FC1678" s="2">
        <v>1.6</v>
      </c>
      <c r="FD1678" s="2">
        <v>1.2</v>
      </c>
      <c r="FE1678" s="2">
        <v>2.2</v>
      </c>
      <c r="FF1678" s="2">
        <v>1.7</v>
      </c>
      <c r="FG1678" s="2">
        <v>0.9</v>
      </c>
      <c r="FH1678" s="2">
        <v>2.6</v>
      </c>
      <c r="FI1678" s="2">
        <v>2.1</v>
      </c>
      <c r="FJ1678" s="2">
        <v>1</v>
      </c>
      <c r="FK1678" s="2">
        <v>1.7</v>
      </c>
      <c r="FL1678" s="2">
        <v>1.6</v>
      </c>
      <c r="FM1678" s="2">
        <v>1.2</v>
      </c>
      <c r="FN1678" s="2">
        <v>1.9</v>
      </c>
      <c r="FO1678" s="2">
        <v>1.5</v>
      </c>
      <c r="FP1678" s="2">
        <v>1.1</v>
      </c>
      <c r="FQ1678" s="2">
        <v>2.2</v>
      </c>
      <c r="FR1678" s="2">
        <v>1.9</v>
      </c>
      <c r="FS1678" s="2">
        <v>2.4</v>
      </c>
      <c r="FT1678" s="2">
        <v>2.5</v>
      </c>
      <c r="FU1678" s="2">
        <v>1</v>
      </c>
      <c r="FV1678" s="2">
        <v>1.2</v>
      </c>
      <c r="FW1678" s="2">
        <v>1.3</v>
      </c>
      <c r="FX1678" s="2">
        <v>1.5</v>
      </c>
      <c r="FY1678" s="2">
        <v>0</v>
      </c>
      <c r="FZ1678" s="2">
        <v>1</v>
      </c>
      <c r="GA1678" s="2">
        <v>0.8</v>
      </c>
      <c r="GB1678" s="2">
        <v>0.7</v>
      </c>
      <c r="GC1678" s="2">
        <v>-1.2</v>
      </c>
      <c r="GD1678" s="2">
        <v>1.4</v>
      </c>
      <c r="GE1678" s="2">
        <v>-0.2</v>
      </c>
      <c r="GF1678" s="2">
        <v>0.4</v>
      </c>
      <c r="GG1678" s="2">
        <v>0.9</v>
      </c>
      <c r="GH1678" s="2">
        <v>0.1</v>
      </c>
      <c r="GI1678" s="2">
        <v>0.4</v>
      </c>
      <c r="GJ1678" s="2">
        <v>1.1</v>
      </c>
      <c r="GK1678" s="2">
        <v>0.5</v>
      </c>
      <c r="GL1678" s="2">
        <v>1.6</v>
      </c>
      <c r="GM1678" s="2">
        <v>1</v>
      </c>
      <c r="GN1678" s="2">
        <v>0.9</v>
      </c>
      <c r="GO1678" s="2">
        <v>0.3</v>
      </c>
      <c r="GP1678" s="2">
        <v>0.4</v>
      </c>
      <c r="GQ1678" s="2">
        <v>1.7</v>
      </c>
      <c r="GR1678" s="2">
        <v>0.1</v>
      </c>
      <c r="GS1678" s="2">
        <v>0.4</v>
      </c>
      <c r="GT1678" s="2">
        <v>0.9</v>
      </c>
      <c r="GU1678" s="2">
        <v>0.8</v>
      </c>
      <c r="GV1678" s="2">
        <v>2.2</v>
      </c>
      <c r="GW1678" s="2">
        <v>0.1</v>
      </c>
      <c r="GX1678" s="2">
        <v>1.3</v>
      </c>
      <c r="GY1678" s="2">
        <v>0.7</v>
      </c>
      <c r="GZ1678" s="2">
        <v>0.4</v>
      </c>
      <c r="HA1678" s="2">
        <v>0.8</v>
      </c>
      <c r="HB1678" s="2">
        <v>0.7</v>
      </c>
      <c r="HC1678" s="2">
        <v>0.9</v>
      </c>
      <c r="HD1678" s="2">
        <v>0.6</v>
      </c>
      <c r="HE1678" s="2">
        <v>1.4</v>
      </c>
      <c r="HF1678" s="2">
        <v>0.4</v>
      </c>
      <c r="HG1678" s="2">
        <v>0.7</v>
      </c>
      <c r="HH1678" s="2">
        <v>1</v>
      </c>
      <c r="HI1678" s="2">
        <v>10.3</v>
      </c>
      <c r="HJ1678" s="2">
        <v>0.5</v>
      </c>
      <c r="HK1678" s="2">
        <v>0.7</v>
      </c>
      <c r="HL1678" s="2">
        <v>0.4</v>
      </c>
      <c r="HM1678" s="2">
        <v>0.3</v>
      </c>
      <c r="HN1678" s="2">
        <v>0.7</v>
      </c>
      <c r="HO1678" s="2">
        <v>0.5</v>
      </c>
      <c r="HP1678" s="2">
        <v>0.2</v>
      </c>
      <c r="HQ1678" s="2">
        <v>0.7</v>
      </c>
      <c r="HR1678" s="2">
        <v>0.6</v>
      </c>
      <c r="HS1678" s="2">
        <v>0.9</v>
      </c>
      <c r="HT1678" s="2">
        <v>0.4</v>
      </c>
      <c r="HU1678" s="2">
        <v>1.1</v>
      </c>
      <c r="HV1678" s="2">
        <v>2</v>
      </c>
      <c r="HW1678" s="2">
        <v>0.6</v>
      </c>
      <c r="HX1678" s="2">
        <v>0.6</v>
      </c>
      <c r="HY1678" s="2">
        <v>0.7</v>
      </c>
      <c r="HZ1678" s="2">
        <v>1.2</v>
      </c>
      <c r="IA1678" s="2">
        <v>0.7</v>
      </c>
      <c r="IB1678" s="2">
        <v>0.7</v>
      </c>
      <c r="IC1678" s="2">
        <v>0.9</v>
      </c>
      <c r="ID1678" s="2">
        <v>1</v>
      </c>
      <c r="IE1678" s="2">
        <v>1</v>
      </c>
      <c r="IF1678" s="2">
        <v>0.9</v>
      </c>
      <c r="IG1678" s="2">
        <v>1</v>
      </c>
      <c r="IH1678" s="2">
        <v>0.6</v>
      </c>
      <c r="II1678" s="2">
        <v>0.4</v>
      </c>
      <c r="IJ1678" s="2">
        <v>0.5</v>
      </c>
      <c r="IK1678" s="2">
        <v>0.7</v>
      </c>
      <c r="IL1678" s="2">
        <v>1.2</v>
      </c>
      <c r="IM1678" s="2">
        <v>0.8</v>
      </c>
      <c r="IN1678" s="2">
        <v>1</v>
      </c>
      <c r="IO1678" s="2">
        <v>1</v>
      </c>
      <c r="IP1678" s="2">
        <v>1.3</v>
      </c>
      <c r="IQ1678" s="2">
        <v>0.6</v>
      </c>
      <c r="IR1678" s="2">
        <v>0.7</v>
      </c>
      <c r="IS1678" s="2">
        <v>0.6</v>
      </c>
      <c r="IT1678" s="2">
        <v>0.9</v>
      </c>
      <c r="IU1678" s="2">
        <v>0.8</v>
      </c>
      <c r="IV1678" s="2">
        <v>0.7</v>
      </c>
      <c r="IW1678" s="2">
        <v>0.7</v>
      </c>
      <c r="IX1678" s="2">
        <v>0.5</v>
      </c>
      <c r="IY1678" s="2">
        <v>0.8</v>
      </c>
      <c r="IZ1678" s="2">
        <v>1</v>
      </c>
      <c r="JA1678" s="2">
        <v>0.1</v>
      </c>
      <c r="JB1678" s="2">
        <v>0.9</v>
      </c>
      <c r="JC1678" s="2">
        <v>0.4</v>
      </c>
      <c r="JD1678" s="2">
        <v>0.7</v>
      </c>
      <c r="JE1678" s="2">
        <v>1.2</v>
      </c>
      <c r="JF1678" s="2">
        <v>0.5</v>
      </c>
      <c r="JG1678" s="2">
        <v>0.3</v>
      </c>
      <c r="JH1678" s="2">
        <v>0.4</v>
      </c>
      <c r="JI1678" s="2">
        <v>0.4</v>
      </c>
      <c r="JJ1678" s="2">
        <v>0.4</v>
      </c>
      <c r="JK1678" s="2">
        <v>0.1</v>
      </c>
      <c r="JL1678" s="2">
        <v>0.8</v>
      </c>
      <c r="JM1678" s="2">
        <v>0.7</v>
      </c>
      <c r="JN1678" s="2">
        <v>0.7</v>
      </c>
      <c r="JO1678" s="2">
        <v>0.8</v>
      </c>
      <c r="JP1678" s="2">
        <v>0.5</v>
      </c>
      <c r="JQ1678" s="2">
        <v>0.3</v>
      </c>
      <c r="JR1678" s="2">
        <v>0.4</v>
      </c>
      <c r="JS1678" s="2">
        <v>0.7</v>
      </c>
      <c r="JT1678" s="2">
        <v>0.3</v>
      </c>
      <c r="JU1678" s="2">
        <v>0.5</v>
      </c>
      <c r="JV1678" s="2">
        <v>1</v>
      </c>
      <c r="KA1678" s="2">
        <v>0.3</v>
      </c>
      <c r="KB1678" s="2">
        <v>0.2</v>
      </c>
      <c r="KC1678" s="2">
        <v>0.3</v>
      </c>
      <c r="KD1678" s="2">
        <v>0.6</v>
      </c>
      <c r="KQ1678" s="2">
        <v>0.5</v>
      </c>
      <c r="KR1678" s="2">
        <v>0.7</v>
      </c>
      <c r="KS1678" s="2">
        <v>1.2</v>
      </c>
      <c r="KT1678" s="2">
        <v>0.7</v>
      </c>
      <c r="LG1678" s="2">
        <v>1</v>
      </c>
      <c r="LH1678" s="2">
        <v>0</v>
      </c>
      <c r="LI1678" s="2">
        <v>0.8</v>
      </c>
      <c r="LJ1678" s="2">
        <v>0.5</v>
      </c>
      <c r="LW1678" s="2">
        <v>0.7</v>
      </c>
      <c r="LX1678" s="2">
        <v>0.1</v>
      </c>
      <c r="LY1678" s="2">
        <v>0.5</v>
      </c>
      <c r="LZ1678" s="2">
        <v>0.2</v>
      </c>
      <c r="MM1678" s="2">
        <v>1.1</v>
      </c>
      <c r="MN1678" s="2">
        <v>0.5</v>
      </c>
      <c r="MO1678" s="2">
        <v>0.7</v>
      </c>
      <c r="MP1678" s="2">
        <v>1.3</v>
      </c>
      <c r="NC1678" s="2">
        <v>1.2</v>
      </c>
      <c r="ND1678" s="2">
        <v>1.4</v>
      </c>
      <c r="NE1678" s="2">
        <v>1.3</v>
      </c>
      <c r="NF1678" s="2">
        <v>2</v>
      </c>
      <c r="NS1678" s="2">
        <v>1.4</v>
      </c>
      <c r="NT1678" s="2">
        <v>2.2</v>
      </c>
      <c r="NU1678" s="2">
        <v>0.9</v>
      </c>
      <c r="NV1678" s="2">
        <v>1.7</v>
      </c>
      <c r="OI1678" s="2">
        <v>2.1</v>
      </c>
      <c r="OJ1678" s="2">
        <v>0.8</v>
      </c>
      <c r="OK1678" s="2">
        <v>1.6</v>
      </c>
      <c r="OL1678" s="2">
        <v>1</v>
      </c>
      <c r="OY1678" s="2">
        <v>0.5</v>
      </c>
      <c r="OZ1678" s="2">
        <v>0.5</v>
      </c>
      <c r="PA1678" s="2">
        <v>0.8</v>
      </c>
      <c r="PB1678" s="2">
        <v>1.3</v>
      </c>
      <c r="PJ1678" s="2">
        <v>1</v>
      </c>
      <c r="PK1678" s="2">
        <v>0.7</v>
      </c>
    </row>
    <row r="1679">
      <c r="A1679" t="inlineStr">
        <is>
          <t>A2331700A</t>
        </is>
      </c>
      <c r="B1679" t="inlineStr">
        <is>
          <t>Percentage Change from Previous Period ;  Other household services ;  Australia ;</t>
        </is>
      </c>
      <c r="C1679" t="inlineStr">
        <is>
          <t>Quarter</t>
        </is>
      </c>
      <c r="D1679" t="inlineStr">
        <is>
          <t>Percent</t>
        </is>
      </c>
      <c r="E1679" t="inlineStr">
        <is>
          <t>Original</t>
        </is>
      </c>
      <c r="F1679" t="inlineStr">
        <is>
          <t>6401018.xlsx</t>
        </is>
      </c>
      <c r="G1679" t="inlineStr">
        <is>
          <t>1989Q4</t>
        </is>
      </c>
      <c r="H1679" t="inlineStr">
        <is>
          <t>2026Q2</t>
        </is>
      </c>
      <c r="FR1679" s="2">
        <v>1.2</v>
      </c>
      <c r="FS1679" s="2">
        <v>1.6</v>
      </c>
      <c r="FT1679" s="2">
        <v>4.3</v>
      </c>
      <c r="FU1679" s="2">
        <v>2.2</v>
      </c>
      <c r="FV1679" s="2">
        <v>1.9</v>
      </c>
      <c r="FW1679" s="2">
        <v>2.9</v>
      </c>
      <c r="FX1679" s="2">
        <v>1.4</v>
      </c>
      <c r="FY1679" s="2">
        <v>2.3</v>
      </c>
      <c r="FZ1679" s="2">
        <v>1.6</v>
      </c>
      <c r="GA1679" s="2">
        <v>1.4</v>
      </c>
      <c r="GB1679" s="2">
        <v>2.1</v>
      </c>
      <c r="GC1679" s="2">
        <v>0.1</v>
      </c>
      <c r="GD1679" s="2">
        <v>0</v>
      </c>
      <c r="GE1679" s="2">
        <v>0.7</v>
      </c>
      <c r="GF1679" s="2">
        <v>2</v>
      </c>
      <c r="GG1679" s="2">
        <v>1.8</v>
      </c>
      <c r="GH1679" s="2">
        <v>0.6</v>
      </c>
      <c r="GI1679" s="2">
        <v>-0.3</v>
      </c>
      <c r="GJ1679" s="2">
        <v>-0.7</v>
      </c>
      <c r="GK1679" s="2">
        <v>1.2</v>
      </c>
      <c r="GL1679" s="2">
        <v>0.7</v>
      </c>
      <c r="GM1679" s="2">
        <v>2.5</v>
      </c>
      <c r="GN1679" s="2">
        <v>1.2</v>
      </c>
      <c r="GO1679" s="2">
        <v>0.4</v>
      </c>
      <c r="GP1679" s="2">
        <v>1.3</v>
      </c>
      <c r="GQ1679" s="2">
        <v>0.7</v>
      </c>
      <c r="GR1679" s="2">
        <v>1.3</v>
      </c>
      <c r="GS1679" s="2">
        <v>0.5</v>
      </c>
      <c r="GT1679" s="2">
        <v>0.9</v>
      </c>
      <c r="GU1679" s="2">
        <v>1.6</v>
      </c>
      <c r="GV1679" s="2">
        <v>1.7</v>
      </c>
      <c r="GW1679" s="2">
        <v>1</v>
      </c>
      <c r="GX1679" s="2">
        <v>0.4</v>
      </c>
      <c r="GY1679" s="2">
        <v>0.7</v>
      </c>
      <c r="GZ1679" s="2">
        <v>0.6</v>
      </c>
      <c r="HA1679" s="2">
        <v>0.4</v>
      </c>
      <c r="HB1679" s="2">
        <v>0.6</v>
      </c>
      <c r="HC1679" s="2">
        <v>0.5</v>
      </c>
      <c r="HD1679" s="2">
        <v>0.5</v>
      </c>
      <c r="HE1679" s="2">
        <v>1.2</v>
      </c>
      <c r="HF1679" s="2">
        <v>1.7</v>
      </c>
      <c r="HG1679" s="2">
        <v>1.6</v>
      </c>
      <c r="HH1679" s="2">
        <v>1.9</v>
      </c>
      <c r="HI1679" s="2">
        <v>8.199999999999999</v>
      </c>
      <c r="HJ1679" s="2">
        <v>1</v>
      </c>
      <c r="HK1679" s="2">
        <v>1.1</v>
      </c>
      <c r="HL1679" s="2">
        <v>0.6</v>
      </c>
      <c r="HM1679" s="2">
        <v>0.7</v>
      </c>
      <c r="HN1679" s="2">
        <v>0.5</v>
      </c>
      <c r="HO1679" s="2">
        <v>1.2</v>
      </c>
      <c r="HP1679" s="2">
        <v>0.2</v>
      </c>
      <c r="HQ1679" s="2">
        <v>1</v>
      </c>
      <c r="HR1679" s="2">
        <v>1.4</v>
      </c>
      <c r="HS1679" s="2">
        <v>1.3</v>
      </c>
      <c r="HT1679" s="2">
        <v>0.7</v>
      </c>
      <c r="HU1679" s="2">
        <v>0.7</v>
      </c>
      <c r="HV1679" s="2">
        <v>1.1</v>
      </c>
      <c r="HW1679" s="2">
        <v>1</v>
      </c>
      <c r="HX1679" s="2">
        <v>0.6</v>
      </c>
      <c r="HY1679" s="2">
        <v>0.7</v>
      </c>
      <c r="HZ1679" s="2">
        <v>0.9</v>
      </c>
      <c r="IA1679" s="2">
        <v>1.1</v>
      </c>
      <c r="IB1679" s="2">
        <v>0.8</v>
      </c>
      <c r="IC1679" s="2">
        <v>0.4</v>
      </c>
      <c r="ID1679" s="2">
        <v>1.1</v>
      </c>
      <c r="IE1679" s="2">
        <v>1</v>
      </c>
      <c r="IF1679" s="2">
        <v>1.4</v>
      </c>
      <c r="IG1679" s="2">
        <v>2.2</v>
      </c>
      <c r="IH1679" s="2">
        <v>0.8</v>
      </c>
      <c r="II1679" s="2">
        <v>0.9</v>
      </c>
      <c r="IJ1679" s="2">
        <v>0.4</v>
      </c>
      <c r="IK1679" s="2">
        <v>0.3</v>
      </c>
      <c r="IL1679" s="2">
        <v>2</v>
      </c>
      <c r="IM1679" s="2">
        <v>1.8</v>
      </c>
      <c r="IN1679" s="2">
        <v>1</v>
      </c>
      <c r="IO1679" s="2">
        <v>2.2</v>
      </c>
      <c r="IP1679" s="2">
        <v>1.1</v>
      </c>
      <c r="IQ1679" s="2">
        <v>1.3</v>
      </c>
      <c r="IR1679" s="2">
        <v>0.9</v>
      </c>
      <c r="IS1679" s="2">
        <v>1.5</v>
      </c>
      <c r="IT1679" s="2">
        <v>0.2</v>
      </c>
      <c r="IU1679" s="2">
        <v>1.2</v>
      </c>
      <c r="IV1679" s="2">
        <v>0.9</v>
      </c>
      <c r="IW1679" s="2">
        <v>1.4</v>
      </c>
      <c r="IX1679" s="2">
        <v>0.8</v>
      </c>
      <c r="IY1679" s="2">
        <v>0.9</v>
      </c>
      <c r="IZ1679" s="2">
        <v>1.2</v>
      </c>
      <c r="JA1679" s="2">
        <v>1.1</v>
      </c>
      <c r="JB1679" s="2">
        <v>1.5</v>
      </c>
      <c r="JC1679" s="2">
        <v>1.3</v>
      </c>
      <c r="JD1679" s="2">
        <v>1.6</v>
      </c>
      <c r="JE1679" s="2">
        <v>1.8</v>
      </c>
      <c r="JF1679" s="2">
        <v>1.3</v>
      </c>
      <c r="JG1679" s="2">
        <v>1.5</v>
      </c>
      <c r="JH1679" s="2">
        <v>0.9</v>
      </c>
      <c r="JI1679" s="2">
        <v>0.9</v>
      </c>
      <c r="JJ1679" s="2">
        <v>0.6</v>
      </c>
      <c r="JK1679" s="2">
        <v>-1.5</v>
      </c>
      <c r="JL1679" s="2">
        <v>1.1</v>
      </c>
      <c r="JM1679" s="2">
        <v>0.8</v>
      </c>
      <c r="JN1679" s="2">
        <v>0.4</v>
      </c>
      <c r="JO1679" s="2">
        <v>1.3</v>
      </c>
      <c r="JP1679" s="2">
        <v>0.9</v>
      </c>
      <c r="JQ1679" s="2">
        <v>0.1</v>
      </c>
      <c r="JR1679" s="2">
        <v>0.7</v>
      </c>
      <c r="JS1679" s="2">
        <v>0.2</v>
      </c>
      <c r="JT1679" s="2">
        <v>0.4</v>
      </c>
      <c r="JU1679" s="2">
        <v>0.6</v>
      </c>
      <c r="JV1679" s="2">
        <v>0.9</v>
      </c>
      <c r="KA1679" s="2">
        <v>0.4</v>
      </c>
      <c r="KB1679" s="2">
        <v>0.3</v>
      </c>
      <c r="KC1679" s="2">
        <v>0.6</v>
      </c>
      <c r="KD1679" s="2">
        <v>0.3</v>
      </c>
      <c r="KQ1679" s="2">
        <v>1.8</v>
      </c>
      <c r="KR1679" s="2">
        <v>-0.1</v>
      </c>
      <c r="KS1679" s="2">
        <v>1.6</v>
      </c>
      <c r="KT1679" s="2">
        <v>0.3</v>
      </c>
      <c r="LG1679" s="2">
        <v>0.8</v>
      </c>
      <c r="LH1679" s="2">
        <v>-1.2</v>
      </c>
      <c r="LI1679" s="2">
        <v>0.7</v>
      </c>
      <c r="LJ1679" s="2">
        <v>1</v>
      </c>
      <c r="LW1679" s="2">
        <v>0.9</v>
      </c>
      <c r="LX1679" s="2">
        <v>0.2</v>
      </c>
      <c r="LY1679" s="2">
        <v>1.1</v>
      </c>
      <c r="LZ1679" s="2">
        <v>1.5</v>
      </c>
      <c r="MM1679" s="2">
        <v>1.2</v>
      </c>
      <c r="MN1679" s="2">
        <v>0.6</v>
      </c>
      <c r="MO1679" s="2">
        <v>1.5</v>
      </c>
      <c r="MP1679" s="2">
        <v>2</v>
      </c>
      <c r="NC1679" s="2">
        <v>1.8</v>
      </c>
      <c r="ND1679" s="2">
        <v>2.2</v>
      </c>
      <c r="NE1679" s="2">
        <v>3.4</v>
      </c>
      <c r="NF1679" s="2">
        <v>2.3</v>
      </c>
      <c r="NS1679" s="2">
        <v>1.3</v>
      </c>
      <c r="NT1679" s="2">
        <v>-0.4</v>
      </c>
      <c r="NU1679" s="2">
        <v>2</v>
      </c>
      <c r="NV1679" s="2">
        <v>0.5</v>
      </c>
      <c r="OI1679" s="2">
        <v>0.1</v>
      </c>
      <c r="OJ1679" s="2">
        <v>0</v>
      </c>
      <c r="OK1679" s="2">
        <v>0.9</v>
      </c>
      <c r="OL1679" s="2">
        <v>1.4</v>
      </c>
      <c r="OY1679" s="2">
        <v>0</v>
      </c>
      <c r="OZ1679" s="2">
        <v>0.1</v>
      </c>
      <c r="PA1679" s="2">
        <v>2</v>
      </c>
      <c r="PB1679" s="2">
        <v>0.3</v>
      </c>
      <c r="PJ1679" s="2">
        <v>0.6</v>
      </c>
      <c r="PK1679" s="2">
        <v>0.9</v>
      </c>
    </row>
    <row r="1680">
      <c r="A1680" t="inlineStr">
        <is>
          <t>A2331115L</t>
        </is>
      </c>
      <c r="B1680" t="inlineStr">
        <is>
          <t>Percentage Change from Previous Period ;  Health ;  Australia ;</t>
        </is>
      </c>
      <c r="C1680" t="inlineStr">
        <is>
          <t>Quarter</t>
        </is>
      </c>
      <c r="D1680" t="inlineStr">
        <is>
          <t>Percent</t>
        </is>
      </c>
      <c r="E1680" t="inlineStr">
        <is>
          <t>Original</t>
        </is>
      </c>
      <c r="F1680" t="inlineStr">
        <is>
          <t>6401018.xlsx</t>
        </is>
      </c>
      <c r="G1680" t="inlineStr">
        <is>
          <t>1989Q4</t>
        </is>
      </c>
      <c r="H1680" t="inlineStr">
        <is>
          <t>2026Q2</t>
        </is>
      </c>
      <c r="FR1680" s="2">
        <v>0.6</v>
      </c>
      <c r="FS1680" s="2">
        <v>4.4</v>
      </c>
      <c r="FT1680" s="2">
        <v>1.1</v>
      </c>
      <c r="FU1680" s="2">
        <v>1.2</v>
      </c>
      <c r="FV1680" s="2">
        <v>4.7</v>
      </c>
      <c r="FW1680" s="2">
        <v>4.3</v>
      </c>
      <c r="FX1680" s="2">
        <v>1.8</v>
      </c>
      <c r="FY1680" s="2">
        <v>2.8</v>
      </c>
      <c r="FZ1680" s="2">
        <v>5.2</v>
      </c>
      <c r="GA1680" s="2">
        <v>6.3</v>
      </c>
      <c r="GB1680" s="2">
        <v>-5.8</v>
      </c>
      <c r="GC1680" s="2">
        <v>-0.3</v>
      </c>
      <c r="GD1680" s="2">
        <v>1.2</v>
      </c>
      <c r="GE1680" s="2">
        <v>3.6</v>
      </c>
      <c r="GF1680" s="2">
        <v>0.3</v>
      </c>
      <c r="GG1680" s="2">
        <v>0</v>
      </c>
      <c r="GH1680" s="2">
        <v>0.3</v>
      </c>
      <c r="GI1680" s="2">
        <v>3.6</v>
      </c>
      <c r="GJ1680" s="2">
        <v>0.9</v>
      </c>
      <c r="GK1680" s="2">
        <v>1.5</v>
      </c>
      <c r="GL1680" s="2">
        <v>0.2</v>
      </c>
      <c r="GM1680" s="2">
        <v>2.5</v>
      </c>
      <c r="GN1680" s="2">
        <v>1.7</v>
      </c>
      <c r="GO1680" s="2">
        <v>0.3</v>
      </c>
      <c r="GP1680" s="2">
        <v>1.5</v>
      </c>
      <c r="GQ1680" s="2">
        <v>2.4</v>
      </c>
      <c r="GR1680" s="2">
        <v>0.1</v>
      </c>
      <c r="GS1680" s="2">
        <v>1</v>
      </c>
      <c r="GT1680" s="2">
        <v>1.5</v>
      </c>
      <c r="GU1680" s="2">
        <v>3.5</v>
      </c>
      <c r="GV1680" s="2">
        <v>2.8</v>
      </c>
      <c r="GW1680" s="2">
        <v>-4.7</v>
      </c>
      <c r="GX1680" s="2">
        <v>3.8</v>
      </c>
      <c r="GY1680" s="2">
        <v>1.5</v>
      </c>
      <c r="GZ1680" s="2">
        <v>2.6</v>
      </c>
      <c r="HA1680" s="2">
        <v>0.6</v>
      </c>
      <c r="HB1680" s="2">
        <v>-0.6</v>
      </c>
      <c r="HC1680" s="2">
        <v>-9.800000000000001</v>
      </c>
      <c r="HD1680" s="2">
        <v>0.4</v>
      </c>
      <c r="HE1680" s="2">
        <v>1</v>
      </c>
      <c r="HF1680" s="2">
        <v>-0.2</v>
      </c>
      <c r="HG1680" s="2">
        <v>2.3</v>
      </c>
      <c r="HH1680" s="2">
        <v>0.7</v>
      </c>
      <c r="HI1680" s="2">
        <v>0.5</v>
      </c>
      <c r="HJ1680" s="2">
        <v>-0.1</v>
      </c>
      <c r="HK1680" s="2">
        <v>2.7</v>
      </c>
      <c r="HL1680" s="2">
        <v>0.2</v>
      </c>
      <c r="HM1680" s="2">
        <v>-0.1</v>
      </c>
      <c r="HN1680" s="2">
        <v>-0.2</v>
      </c>
      <c r="HO1680" s="2">
        <v>3</v>
      </c>
      <c r="HP1680" s="2">
        <v>2.8</v>
      </c>
      <c r="HQ1680" s="2">
        <v>0.3</v>
      </c>
      <c r="HR1680" s="2">
        <v>0.4</v>
      </c>
      <c r="HS1680" s="2">
        <v>3.6</v>
      </c>
      <c r="HT1680" s="2">
        <v>3.1</v>
      </c>
      <c r="HU1680" s="2">
        <v>0</v>
      </c>
      <c r="HV1680" s="2">
        <v>0.1</v>
      </c>
      <c r="HW1680" s="2">
        <v>3.2</v>
      </c>
      <c r="HX1680" s="2">
        <v>3.1</v>
      </c>
      <c r="HY1680" s="2">
        <v>-0.7</v>
      </c>
      <c r="HZ1680" s="2">
        <v>-0.7</v>
      </c>
      <c r="IA1680" s="2">
        <v>4</v>
      </c>
      <c r="IB1680" s="2">
        <v>2.4</v>
      </c>
      <c r="IC1680" s="2">
        <v>-1.1</v>
      </c>
      <c r="ID1680" s="2">
        <v>-1</v>
      </c>
      <c r="IE1680" s="2">
        <v>4.4</v>
      </c>
      <c r="IF1680" s="2">
        <v>2.4</v>
      </c>
      <c r="IG1680" s="2">
        <v>-0.7</v>
      </c>
      <c r="IH1680" s="2">
        <v>-0.8</v>
      </c>
      <c r="II1680" s="2">
        <v>3.5</v>
      </c>
      <c r="IJ1680" s="2">
        <v>2.1</v>
      </c>
      <c r="IK1680" s="2">
        <v>-0.5</v>
      </c>
      <c r="IL1680" s="2">
        <v>-1</v>
      </c>
      <c r="IM1680" s="2">
        <v>4</v>
      </c>
      <c r="IN1680" s="2">
        <v>2.4</v>
      </c>
      <c r="IO1680" s="2">
        <v>-0.2</v>
      </c>
      <c r="IP1680" s="2">
        <v>-1.2</v>
      </c>
      <c r="IQ1680" s="2">
        <v>4.4</v>
      </c>
      <c r="IR1680" s="2">
        <v>2.2</v>
      </c>
      <c r="IS1680" s="2">
        <v>-1</v>
      </c>
      <c r="IT1680" s="2">
        <v>-0.9</v>
      </c>
      <c r="IU1680" s="2">
        <v>4.8</v>
      </c>
      <c r="IV1680" s="2">
        <v>2.2</v>
      </c>
      <c r="IW1680" s="2">
        <v>-0.7</v>
      </c>
      <c r="IX1680" s="2">
        <v>-1.2</v>
      </c>
      <c r="IY1680" s="2">
        <v>3.9</v>
      </c>
      <c r="IZ1680" s="2">
        <v>2.1</v>
      </c>
      <c r="JA1680" s="2">
        <v>-1</v>
      </c>
      <c r="JB1680" s="2">
        <v>-1.3</v>
      </c>
      <c r="JC1680" s="2">
        <v>4.4</v>
      </c>
      <c r="JD1680" s="2">
        <v>1.5</v>
      </c>
      <c r="JE1680" s="2">
        <v>2.4</v>
      </c>
      <c r="JF1680" s="2">
        <v>-0.9</v>
      </c>
      <c r="JG1680" s="2">
        <v>3</v>
      </c>
      <c r="JH1680" s="2">
        <v>1.9</v>
      </c>
      <c r="JI1680" s="2">
        <v>0</v>
      </c>
      <c r="JJ1680" s="2">
        <v>-0.5</v>
      </c>
      <c r="JK1680" s="2">
        <v>2.6</v>
      </c>
      <c r="JL1680" s="2">
        <v>2.8</v>
      </c>
      <c r="JM1680" s="2">
        <v>-0.2</v>
      </c>
      <c r="JN1680" s="2">
        <v>-0.9</v>
      </c>
      <c r="JO1680" s="2">
        <v>2.6</v>
      </c>
      <c r="JP1680" s="2">
        <v>2.7</v>
      </c>
      <c r="JQ1680" s="2">
        <v>0.3</v>
      </c>
      <c r="JR1680" s="2">
        <v>-0.4</v>
      </c>
      <c r="JS1680" s="2">
        <v>2</v>
      </c>
      <c r="JT1680" s="2">
        <v>2.6</v>
      </c>
      <c r="JU1680" s="2">
        <v>-0.3</v>
      </c>
      <c r="JV1680" s="2">
        <v>-0.6</v>
      </c>
      <c r="KA1680" s="2">
        <v>2</v>
      </c>
      <c r="KB1680" s="2">
        <v>2.7</v>
      </c>
      <c r="KC1680" s="2">
        <v>-0.2</v>
      </c>
      <c r="KD1680" s="2">
        <v>-0.5</v>
      </c>
      <c r="KQ1680" s="2">
        <v>2.1</v>
      </c>
      <c r="KR1680" s="2">
        <v>1.9</v>
      </c>
      <c r="KS1680" s="2">
        <v>-0.4</v>
      </c>
      <c r="KT1680" s="2">
        <v>-0.3</v>
      </c>
      <c r="LG1680" s="2">
        <v>1.9</v>
      </c>
      <c r="LH1680" s="2">
        <v>1.8</v>
      </c>
      <c r="LI1680" s="2">
        <v>-0.2</v>
      </c>
      <c r="LJ1680" s="2">
        <v>-0.3</v>
      </c>
      <c r="LW1680" s="2">
        <v>1.7</v>
      </c>
      <c r="LX1680" s="2">
        <v>-0.2</v>
      </c>
      <c r="LY1680" s="2">
        <v>-0.2</v>
      </c>
      <c r="LZ1680" s="2">
        <v>1.3</v>
      </c>
      <c r="MM1680" s="2">
        <v>2</v>
      </c>
      <c r="MN1680" s="2">
        <v>1.5</v>
      </c>
      <c r="MO1680" s="2">
        <v>0.1</v>
      </c>
      <c r="MP1680" s="2">
        <v>-0.3</v>
      </c>
      <c r="NC1680" s="2">
        <v>2.3</v>
      </c>
      <c r="ND1680" s="2">
        <v>0.4</v>
      </c>
      <c r="NE1680" s="2">
        <v>0.2</v>
      </c>
      <c r="NF1680" s="2">
        <v>0.8</v>
      </c>
      <c r="NS1680" s="2">
        <v>3.8</v>
      </c>
      <c r="NT1680" s="2">
        <v>-0.1</v>
      </c>
      <c r="NU1680" s="2">
        <v>0.8</v>
      </c>
      <c r="NV1680" s="2">
        <v>0.6</v>
      </c>
      <c r="OI1680" s="2">
        <v>2.8</v>
      </c>
      <c r="OJ1680" s="2">
        <v>1.5</v>
      </c>
      <c r="OK1680" s="2">
        <v>-0.1</v>
      </c>
      <c r="OL1680" s="2">
        <v>-0.2</v>
      </c>
      <c r="OY1680" s="2">
        <v>2.9</v>
      </c>
      <c r="OZ1680" s="2">
        <v>1.5</v>
      </c>
      <c r="PA1680" s="2">
        <v>0</v>
      </c>
      <c r="PB1680" s="2">
        <v>-0.5</v>
      </c>
      <c r="PJ1680" s="2">
        <v>2.2</v>
      </c>
      <c r="PK1680" s="2">
        <v>2.2</v>
      </c>
    </row>
    <row r="1681">
      <c r="A1681" t="inlineStr">
        <is>
          <t>A3604442F</t>
        </is>
      </c>
      <c r="B1681" t="inlineStr">
        <is>
          <t>Percentage Change from Previous Period ;  Medical products, appliances and equipment ;  Australia ;</t>
        </is>
      </c>
      <c r="C1681" t="inlineStr">
        <is>
          <t>Quarter</t>
        </is>
      </c>
      <c r="D1681" t="inlineStr">
        <is>
          <t>Percent</t>
        </is>
      </c>
      <c r="E1681" t="inlineStr">
        <is>
          <t>Original</t>
        </is>
      </c>
      <c r="F1681" t="inlineStr">
        <is>
          <t>6401018.xlsx</t>
        </is>
      </c>
      <c r="G1681" t="inlineStr">
        <is>
          <t>1987Q1</t>
        </is>
      </c>
      <c r="H1681" t="inlineStr">
        <is>
          <t>2026Q2</t>
        </is>
      </c>
      <c r="FG1681" s="2">
        <v>4.4</v>
      </c>
      <c r="FH1681" s="2">
        <v>-2.2</v>
      </c>
      <c r="FI1681" s="2">
        <v>-4.1</v>
      </c>
      <c r="FJ1681" s="2">
        <v>-4.9</v>
      </c>
      <c r="FK1681" s="2">
        <v>19.2</v>
      </c>
      <c r="FL1681" s="2">
        <v>0</v>
      </c>
      <c r="FM1681" s="2">
        <v>-3.6</v>
      </c>
      <c r="FN1681" s="2">
        <v>-7.2</v>
      </c>
      <c r="FO1681" s="2">
        <v>18.5</v>
      </c>
      <c r="FP1681" s="2">
        <v>-1.1</v>
      </c>
      <c r="FQ1681" s="2">
        <v>-3.4</v>
      </c>
      <c r="FR1681" s="2">
        <v>-4.9</v>
      </c>
      <c r="FS1681" s="2">
        <v>15</v>
      </c>
      <c r="FT1681" s="2">
        <v>-0.3</v>
      </c>
      <c r="FU1681" s="2">
        <v>-2.6</v>
      </c>
      <c r="FV1681" s="2">
        <v>-3.3</v>
      </c>
      <c r="FW1681" s="2">
        <v>11.6</v>
      </c>
      <c r="FX1681" s="2">
        <v>0.4</v>
      </c>
      <c r="FY1681" s="2">
        <v>-1.3</v>
      </c>
      <c r="FZ1681" s="2">
        <v>-3.2</v>
      </c>
      <c r="GA1681" s="2">
        <v>6.5</v>
      </c>
      <c r="GB1681" s="2">
        <v>0.4</v>
      </c>
      <c r="GC1681" s="2">
        <v>-3.3</v>
      </c>
      <c r="GD1681" s="2">
        <v>-4.5</v>
      </c>
      <c r="GE1681" s="2">
        <v>12.1</v>
      </c>
      <c r="GF1681" s="2">
        <v>-0.9</v>
      </c>
      <c r="GG1681" s="2">
        <v>-3.6</v>
      </c>
      <c r="GH1681" s="2">
        <v>-4.5</v>
      </c>
      <c r="GI1681" s="2">
        <v>11.5</v>
      </c>
      <c r="GJ1681" s="2">
        <v>-0.3</v>
      </c>
      <c r="GK1681" s="2">
        <v>-1.1</v>
      </c>
      <c r="GL1681" s="2">
        <v>-3.7</v>
      </c>
      <c r="GM1681" s="2">
        <v>7.6</v>
      </c>
      <c r="GN1681" s="2">
        <v>0.2</v>
      </c>
      <c r="GO1681" s="2">
        <v>-2</v>
      </c>
      <c r="GP1681" s="2">
        <v>-2.8</v>
      </c>
      <c r="GQ1681" s="2">
        <v>8</v>
      </c>
      <c r="GR1681" s="2">
        <v>-0.2</v>
      </c>
      <c r="GS1681" s="2">
        <v>0</v>
      </c>
      <c r="GT1681" s="2">
        <v>-2.3</v>
      </c>
      <c r="GU1681" s="2">
        <v>3.1</v>
      </c>
      <c r="GV1681" s="2">
        <v>3.9</v>
      </c>
      <c r="GW1681" s="2">
        <v>-1.8</v>
      </c>
      <c r="GX1681" s="2">
        <v>-4.2</v>
      </c>
      <c r="GY1681" s="2">
        <v>5.1</v>
      </c>
      <c r="GZ1681" s="2">
        <v>2</v>
      </c>
      <c r="HA1681" s="2">
        <v>-3.3</v>
      </c>
      <c r="HB1681" s="2">
        <v>-3.6</v>
      </c>
      <c r="HC1681" s="2">
        <v>6.6</v>
      </c>
      <c r="HD1681" s="2">
        <v>0.1</v>
      </c>
      <c r="HE1681" s="2">
        <v>-1.6</v>
      </c>
      <c r="HF1681" s="2">
        <v>-3.4</v>
      </c>
      <c r="HG1681" s="2">
        <v>6.6</v>
      </c>
      <c r="HH1681" s="2">
        <v>-0.4</v>
      </c>
      <c r="HI1681" s="2">
        <v>0.4</v>
      </c>
      <c r="HJ1681" s="2">
        <v>-3.2</v>
      </c>
      <c r="HK1681" s="2">
        <v>8.1</v>
      </c>
      <c r="HL1681" s="2">
        <v>-0.6</v>
      </c>
      <c r="HM1681" s="2">
        <v>-3.1</v>
      </c>
      <c r="HN1681" s="2">
        <v>-4</v>
      </c>
      <c r="HO1681" s="2">
        <v>9.9</v>
      </c>
      <c r="HP1681" s="2">
        <v>-1</v>
      </c>
      <c r="HQ1681" s="2">
        <v>-3.8</v>
      </c>
      <c r="HR1681" s="2">
        <v>-2.5</v>
      </c>
      <c r="HS1681" s="2">
        <v>10.2</v>
      </c>
      <c r="HT1681" s="2">
        <v>-0.7</v>
      </c>
      <c r="HU1681" s="2">
        <v>-3</v>
      </c>
      <c r="HV1681" s="2">
        <v>-3.4</v>
      </c>
      <c r="HW1681" s="2">
        <v>9.9</v>
      </c>
      <c r="HX1681" s="2">
        <v>-0.6</v>
      </c>
      <c r="HY1681" s="2">
        <v>-3.8</v>
      </c>
      <c r="HZ1681" s="2">
        <v>-3.5</v>
      </c>
      <c r="IA1681" s="2">
        <v>14.5</v>
      </c>
      <c r="IB1681" s="2">
        <v>-1.5</v>
      </c>
      <c r="IC1681" s="2">
        <v>-4.4</v>
      </c>
      <c r="ID1681" s="2">
        <v>-4</v>
      </c>
      <c r="IE1681" s="2">
        <v>12.9</v>
      </c>
      <c r="IF1681" s="2">
        <v>-0.4</v>
      </c>
      <c r="IG1681" s="2">
        <v>-4.5</v>
      </c>
      <c r="IH1681" s="2">
        <v>-4.5</v>
      </c>
      <c r="II1681" s="2">
        <v>11.5</v>
      </c>
      <c r="IJ1681" s="2">
        <v>-0.4</v>
      </c>
      <c r="IK1681" s="2">
        <v>-4</v>
      </c>
      <c r="IL1681" s="2">
        <v>-4.7</v>
      </c>
      <c r="IM1681" s="2">
        <v>11.8</v>
      </c>
      <c r="IN1681" s="2">
        <v>-0.8</v>
      </c>
      <c r="IO1681" s="2">
        <v>-3.5</v>
      </c>
      <c r="IP1681" s="2">
        <v>-4.4</v>
      </c>
      <c r="IQ1681" s="2">
        <v>11.6</v>
      </c>
      <c r="IR1681" s="2">
        <v>-0.3</v>
      </c>
      <c r="IS1681" s="2">
        <v>-4.2</v>
      </c>
      <c r="IT1681" s="2">
        <v>-4.5</v>
      </c>
      <c r="IU1681" s="2">
        <v>12</v>
      </c>
      <c r="IV1681" s="2">
        <v>-1.2</v>
      </c>
      <c r="IW1681" s="2">
        <v>-3.6</v>
      </c>
      <c r="IX1681" s="2">
        <v>-5.7</v>
      </c>
      <c r="IY1681" s="2">
        <v>11.3</v>
      </c>
      <c r="IZ1681" s="2">
        <v>-0.6</v>
      </c>
      <c r="JA1681" s="2">
        <v>-4</v>
      </c>
      <c r="JB1681" s="2">
        <v>-4.9</v>
      </c>
      <c r="JC1681" s="2">
        <v>12.3</v>
      </c>
      <c r="JD1681" s="2">
        <v>-1.6</v>
      </c>
      <c r="JE1681" s="2">
        <v>-2.3</v>
      </c>
      <c r="JF1681" s="2">
        <v>-3</v>
      </c>
      <c r="JG1681" s="2">
        <v>6.6</v>
      </c>
      <c r="JH1681" s="2">
        <v>-1.5</v>
      </c>
      <c r="JI1681" s="2">
        <v>-1.1</v>
      </c>
      <c r="JJ1681" s="2">
        <v>-1.5</v>
      </c>
      <c r="JK1681" s="2">
        <v>5.4</v>
      </c>
      <c r="JL1681" s="2">
        <v>-1.7</v>
      </c>
      <c r="JM1681" s="2">
        <v>-1.2</v>
      </c>
      <c r="JN1681" s="2">
        <v>-3.3</v>
      </c>
      <c r="JO1681" s="2">
        <v>5.2</v>
      </c>
      <c r="JP1681" s="2">
        <v>-1.7</v>
      </c>
      <c r="JQ1681" s="2">
        <v>0.4</v>
      </c>
      <c r="JR1681" s="2">
        <v>-1.8</v>
      </c>
      <c r="JS1681" s="2">
        <v>4.2</v>
      </c>
      <c r="JT1681" s="2">
        <v>-1.7</v>
      </c>
      <c r="JU1681" s="2">
        <v>-0.8</v>
      </c>
      <c r="JV1681" s="2">
        <v>-2.3</v>
      </c>
      <c r="KA1681" s="2">
        <v>4.3</v>
      </c>
      <c r="KB1681" s="2">
        <v>-1.1</v>
      </c>
      <c r="KC1681" s="2">
        <v>-0.6</v>
      </c>
      <c r="KD1681" s="2">
        <v>-1.9</v>
      </c>
      <c r="KQ1681" s="2">
        <v>5</v>
      </c>
      <c r="KR1681" s="2">
        <v>-0.9</v>
      </c>
      <c r="KS1681" s="2">
        <v>-1</v>
      </c>
      <c r="KT1681" s="2">
        <v>-1.7</v>
      </c>
      <c r="LG1681" s="2">
        <v>4.3</v>
      </c>
      <c r="LH1681" s="2">
        <v>-0.1</v>
      </c>
      <c r="LI1681" s="2">
        <v>-0.9</v>
      </c>
      <c r="LJ1681" s="2">
        <v>-1.2</v>
      </c>
      <c r="LW1681" s="2">
        <v>4.4</v>
      </c>
      <c r="LX1681" s="2">
        <v>-0.4</v>
      </c>
      <c r="LY1681" s="2">
        <v>-1.8</v>
      </c>
      <c r="LZ1681" s="2">
        <v>-2.4</v>
      </c>
      <c r="MM1681" s="2">
        <v>4.7</v>
      </c>
      <c r="MN1681" s="2">
        <v>-1</v>
      </c>
      <c r="MO1681" s="2">
        <v>-1.6</v>
      </c>
      <c r="MP1681" s="2">
        <v>-1.1</v>
      </c>
      <c r="NC1681" s="2">
        <v>4.8</v>
      </c>
      <c r="ND1681" s="2">
        <v>-0.9</v>
      </c>
      <c r="NE1681" s="2">
        <v>-1.5</v>
      </c>
      <c r="NF1681" s="2">
        <v>0</v>
      </c>
      <c r="NS1681" s="2">
        <v>4</v>
      </c>
      <c r="NT1681" s="2">
        <v>-0.8</v>
      </c>
      <c r="NU1681" s="2">
        <v>-1</v>
      </c>
      <c r="NV1681" s="2">
        <v>-1.6</v>
      </c>
      <c r="OI1681" s="2">
        <v>6.2</v>
      </c>
      <c r="OJ1681" s="2">
        <v>-0.5</v>
      </c>
      <c r="OK1681" s="2">
        <v>-1.3</v>
      </c>
      <c r="OL1681" s="2">
        <v>-1.5</v>
      </c>
      <c r="OY1681" s="2">
        <v>4.8</v>
      </c>
      <c r="OZ1681" s="2">
        <v>-1.6</v>
      </c>
      <c r="PA1681" s="2">
        <v>-1</v>
      </c>
      <c r="PB1681" s="2">
        <v>-1.2</v>
      </c>
      <c r="PJ1681" s="2">
        <v>3</v>
      </c>
      <c r="PK1681" s="2">
        <v>-1.7</v>
      </c>
    </row>
    <row r="1682">
      <c r="A1682" t="inlineStr">
        <is>
          <t>A2329180T</t>
        </is>
      </c>
      <c r="B1682" t="inlineStr">
        <is>
          <t>Percentage Change from Previous Period ;  Pharmaceutical products ;  Australia ;</t>
        </is>
      </c>
      <c r="C1682" t="inlineStr">
        <is>
          <t>Quarter</t>
        </is>
      </c>
      <c r="D1682" t="inlineStr">
        <is>
          <t>Percent</t>
        </is>
      </c>
      <c r="E1682" t="inlineStr">
        <is>
          <t>Original</t>
        </is>
      </c>
      <c r="F1682" t="inlineStr">
        <is>
          <t>6401018.xlsx</t>
        </is>
      </c>
      <c r="G1682" t="inlineStr">
        <is>
          <t>1980Q4</t>
        </is>
      </c>
      <c r="H1682" t="inlineStr">
        <is>
          <t>2026Q2</t>
        </is>
      </c>
      <c r="EH1682" s="2">
        <v>1.7</v>
      </c>
      <c r="EI1682" s="2">
        <v>3.1</v>
      </c>
      <c r="EJ1682" s="2">
        <v>1.9</v>
      </c>
      <c r="EK1682" s="2">
        <v>1.8</v>
      </c>
      <c r="EL1682" s="2">
        <v>3.3</v>
      </c>
      <c r="EM1682" s="2">
        <v>4.3</v>
      </c>
      <c r="EN1682" s="2">
        <v>3.1</v>
      </c>
      <c r="EO1682" s="2">
        <v>3.2</v>
      </c>
      <c r="EP1682" s="2">
        <v>2.1</v>
      </c>
      <c r="EQ1682" s="2">
        <v>9.6</v>
      </c>
      <c r="ER1682" s="2">
        <v>1.9</v>
      </c>
      <c r="ES1682" s="2">
        <v>1.9</v>
      </c>
      <c r="ET1682" s="2">
        <v>0.6</v>
      </c>
      <c r="EU1682" s="2">
        <v>2.3</v>
      </c>
      <c r="EV1682" s="2">
        <v>1.8</v>
      </c>
      <c r="EW1682" s="2">
        <v>0.6</v>
      </c>
      <c r="EX1682" s="2">
        <v>1.7</v>
      </c>
      <c r="EY1682" s="2">
        <v>1.6</v>
      </c>
      <c r="EZ1682" s="2">
        <v>1.1</v>
      </c>
      <c r="FA1682" s="2">
        <v>7.1</v>
      </c>
      <c r="FB1682" s="2">
        <v>1.8</v>
      </c>
      <c r="FC1682" s="2">
        <v>2.3</v>
      </c>
      <c r="FD1682" s="2">
        <v>3</v>
      </c>
      <c r="FE1682" s="2">
        <v>1.6</v>
      </c>
      <c r="FF1682" s="2">
        <v>10.6</v>
      </c>
      <c r="FG1682" s="2">
        <v>5</v>
      </c>
      <c r="FH1682" s="2">
        <v>-3</v>
      </c>
      <c r="FI1682" s="2">
        <v>-5.1</v>
      </c>
      <c r="FJ1682" s="2">
        <v>-6.3</v>
      </c>
      <c r="FK1682" s="2">
        <v>24.1</v>
      </c>
      <c r="FL1682" s="2">
        <v>-0.8</v>
      </c>
      <c r="FM1682" s="2">
        <v>-4.5</v>
      </c>
      <c r="FN1682" s="2">
        <v>-9</v>
      </c>
      <c r="FO1682" s="2">
        <v>23</v>
      </c>
      <c r="FP1682" s="2">
        <v>-1.4</v>
      </c>
      <c r="FQ1682" s="2">
        <v>-4.5</v>
      </c>
      <c r="FR1682" s="2">
        <v>-6.2</v>
      </c>
      <c r="FS1682" s="2">
        <v>18.6</v>
      </c>
      <c r="FT1682" s="2">
        <v>-0.7</v>
      </c>
      <c r="FU1682" s="2">
        <v>-3.3</v>
      </c>
      <c r="FV1682" s="2">
        <v>-4.3</v>
      </c>
      <c r="FW1682" s="2">
        <v>14.2</v>
      </c>
      <c r="FX1682" s="2">
        <v>0.2</v>
      </c>
      <c r="FY1682" s="2">
        <v>-1.6</v>
      </c>
      <c r="FZ1682" s="2">
        <v>-4.1</v>
      </c>
      <c r="GA1682" s="2">
        <v>8</v>
      </c>
      <c r="GB1682" s="2">
        <v>0.6</v>
      </c>
      <c r="GC1682" s="2">
        <v>-4.8</v>
      </c>
      <c r="GD1682" s="2">
        <v>-6</v>
      </c>
      <c r="GE1682" s="2">
        <v>15</v>
      </c>
      <c r="GF1682" s="2">
        <v>-0.4</v>
      </c>
      <c r="GG1682" s="2">
        <v>-5.1</v>
      </c>
      <c r="GH1682" s="2">
        <v>-5.7</v>
      </c>
      <c r="GI1682" s="2">
        <v>14.3</v>
      </c>
      <c r="GJ1682" s="2">
        <v>-0.3</v>
      </c>
      <c r="GK1682" s="2">
        <v>-1.7</v>
      </c>
      <c r="GL1682" s="2">
        <v>-4.5</v>
      </c>
      <c r="GM1682" s="2">
        <v>9.4</v>
      </c>
      <c r="GN1682" s="2">
        <v>0.2</v>
      </c>
      <c r="GO1682" s="2">
        <v>-2.7</v>
      </c>
      <c r="GP1682" s="2">
        <v>-3.6</v>
      </c>
      <c r="GQ1682" s="2">
        <v>9.800000000000001</v>
      </c>
      <c r="GR1682" s="2">
        <v>0.2</v>
      </c>
      <c r="GS1682" s="2">
        <v>-0.5</v>
      </c>
      <c r="GT1682" s="2">
        <v>-3</v>
      </c>
      <c r="GU1682" s="2">
        <v>3.7</v>
      </c>
      <c r="GV1682" s="2">
        <v>4.7</v>
      </c>
      <c r="GW1682" s="2">
        <v>-2.2</v>
      </c>
      <c r="GX1682" s="2">
        <v>-5.2</v>
      </c>
      <c r="GY1682" s="2">
        <v>6.3</v>
      </c>
      <c r="GZ1682" s="2">
        <v>2.3</v>
      </c>
      <c r="HA1682" s="2">
        <v>-3.8</v>
      </c>
      <c r="HB1682" s="2">
        <v>-4.2</v>
      </c>
      <c r="HC1682" s="2">
        <v>7.8</v>
      </c>
      <c r="HD1682" s="2">
        <v>0.1</v>
      </c>
      <c r="HE1682" s="2">
        <v>-2</v>
      </c>
      <c r="HF1682" s="2">
        <v>-4</v>
      </c>
      <c r="HG1682" s="2">
        <v>7.7</v>
      </c>
      <c r="HH1682" s="2">
        <v>-0.4</v>
      </c>
      <c r="HI1682" s="2">
        <v>-0.3</v>
      </c>
      <c r="HJ1682" s="2">
        <v>-3.7</v>
      </c>
      <c r="HK1682" s="2">
        <v>9.300000000000001</v>
      </c>
      <c r="HL1682" s="2">
        <v>-0.8</v>
      </c>
      <c r="HM1682" s="2">
        <v>-3.6</v>
      </c>
      <c r="HN1682" s="2">
        <v>-4.8</v>
      </c>
      <c r="HO1682" s="2">
        <v>11.4</v>
      </c>
      <c r="HP1682" s="2">
        <v>-1.2</v>
      </c>
      <c r="HQ1682" s="2">
        <v>-4.5</v>
      </c>
      <c r="HR1682" s="2">
        <v>-2.9</v>
      </c>
      <c r="HS1682" s="2">
        <v>11.8</v>
      </c>
      <c r="HT1682" s="2">
        <v>-0.7</v>
      </c>
      <c r="HU1682" s="2">
        <v>-3.6</v>
      </c>
      <c r="HV1682" s="2">
        <v>-3.9</v>
      </c>
      <c r="HW1682" s="2">
        <v>11.3</v>
      </c>
      <c r="HX1682" s="2">
        <v>-0.7</v>
      </c>
      <c r="HY1682" s="2">
        <v>-4.5</v>
      </c>
      <c r="HZ1682" s="2">
        <v>-4.1</v>
      </c>
      <c r="IA1682" s="2">
        <v>16.8</v>
      </c>
      <c r="IB1682" s="2">
        <v>-1.8</v>
      </c>
      <c r="IC1682" s="2">
        <v>-4.9</v>
      </c>
      <c r="ID1682" s="2">
        <v>-4.6</v>
      </c>
      <c r="IE1682" s="2">
        <v>14.3</v>
      </c>
      <c r="IF1682" s="2">
        <v>-0.5</v>
      </c>
      <c r="IG1682" s="2">
        <v>-5</v>
      </c>
      <c r="IH1682" s="2">
        <v>-5</v>
      </c>
      <c r="II1682" s="2">
        <v>12.8</v>
      </c>
      <c r="IJ1682" s="2">
        <v>-0.4</v>
      </c>
      <c r="IK1682" s="2">
        <v>-4.5</v>
      </c>
      <c r="IL1682" s="2">
        <v>-5.4</v>
      </c>
      <c r="IM1682" s="2">
        <v>13.2</v>
      </c>
      <c r="IN1682" s="2">
        <v>-0.9</v>
      </c>
      <c r="IO1682" s="2">
        <v>-3.9</v>
      </c>
      <c r="IP1682" s="2">
        <v>-4.7</v>
      </c>
      <c r="IQ1682" s="2">
        <v>13</v>
      </c>
      <c r="IR1682" s="2">
        <v>-0.6</v>
      </c>
      <c r="IS1682" s="2">
        <v>-4.5</v>
      </c>
      <c r="IT1682" s="2">
        <v>-5.3</v>
      </c>
      <c r="IU1682" s="2">
        <v>13.3</v>
      </c>
      <c r="IV1682" s="2">
        <v>-1.3</v>
      </c>
      <c r="IW1682" s="2">
        <v>-3.9</v>
      </c>
      <c r="IX1682" s="2">
        <v>-6.2</v>
      </c>
      <c r="IY1682" s="2">
        <v>12.5</v>
      </c>
      <c r="IZ1682" s="2">
        <v>-0.8</v>
      </c>
      <c r="JA1682" s="2">
        <v>-5</v>
      </c>
      <c r="JB1682" s="2">
        <v>-5.5</v>
      </c>
      <c r="JC1682" s="2">
        <v>14.1</v>
      </c>
      <c r="JD1682" s="2">
        <v>-1.7</v>
      </c>
      <c r="JE1682" s="2">
        <v>-2.6</v>
      </c>
      <c r="JF1682" s="2">
        <v>-3.4</v>
      </c>
      <c r="JG1682" s="2">
        <v>7.5</v>
      </c>
      <c r="JH1682" s="2">
        <v>-1.7</v>
      </c>
      <c r="JI1682" s="2">
        <v>-1.1</v>
      </c>
      <c r="JJ1682" s="2">
        <v>-1.5</v>
      </c>
      <c r="JK1682" s="2">
        <v>6.1</v>
      </c>
      <c r="JL1682" s="2">
        <v>-1.9</v>
      </c>
      <c r="JM1682" s="2">
        <v>-1.4</v>
      </c>
      <c r="JN1682" s="2">
        <v>-3.7</v>
      </c>
      <c r="JO1682" s="2">
        <v>5.8</v>
      </c>
      <c r="JP1682" s="2">
        <v>-1.8</v>
      </c>
      <c r="JQ1682" s="2">
        <v>0.7</v>
      </c>
      <c r="JR1682" s="2">
        <v>-2.2</v>
      </c>
      <c r="JS1682" s="2">
        <v>4.9</v>
      </c>
      <c r="JT1682" s="2">
        <v>-1.9</v>
      </c>
      <c r="JU1682" s="2">
        <v>-0.9</v>
      </c>
      <c r="JV1682" s="2">
        <v>-2.6</v>
      </c>
      <c r="KA1682" s="2">
        <v>4.8</v>
      </c>
      <c r="KB1682" s="2">
        <v>-1.2</v>
      </c>
      <c r="KC1682" s="2">
        <v>-0.7</v>
      </c>
      <c r="KD1682" s="2">
        <v>-2.1</v>
      </c>
      <c r="KQ1682" s="2">
        <v>5.7</v>
      </c>
      <c r="KR1682" s="2">
        <v>-1.1</v>
      </c>
      <c r="KS1682" s="2">
        <v>-1.1</v>
      </c>
      <c r="KT1682" s="2">
        <v>-1.9</v>
      </c>
      <c r="LG1682" s="2">
        <v>4.9</v>
      </c>
      <c r="LH1682" s="2">
        <v>-0.2</v>
      </c>
      <c r="LI1682" s="2">
        <v>-1</v>
      </c>
      <c r="LJ1682" s="2">
        <v>-1.3</v>
      </c>
      <c r="LW1682" s="2">
        <v>5.1</v>
      </c>
      <c r="LX1682" s="2">
        <v>-0.5</v>
      </c>
      <c r="LY1682" s="2">
        <v>-2.1</v>
      </c>
      <c r="LZ1682" s="2">
        <v>-2.8</v>
      </c>
      <c r="MM1682" s="2">
        <v>5.3</v>
      </c>
      <c r="MN1682" s="2">
        <v>-1.1</v>
      </c>
      <c r="MO1682" s="2">
        <v>-1.8</v>
      </c>
      <c r="MP1682" s="2">
        <v>-1.3</v>
      </c>
      <c r="NC1682" s="2">
        <v>5.7</v>
      </c>
      <c r="ND1682" s="2">
        <v>-1.1</v>
      </c>
      <c r="NE1682" s="2">
        <v>-1.8</v>
      </c>
      <c r="NF1682" s="2">
        <v>-0.1</v>
      </c>
      <c r="NS1682" s="2">
        <v>4.6</v>
      </c>
      <c r="NT1682" s="2">
        <v>-1</v>
      </c>
      <c r="NU1682" s="2">
        <v>-1.3</v>
      </c>
      <c r="NV1682" s="2">
        <v>-1.7</v>
      </c>
      <c r="OI1682" s="2">
        <v>7.1</v>
      </c>
      <c r="OJ1682" s="2">
        <v>-0.6</v>
      </c>
      <c r="OK1682" s="2">
        <v>-1.5</v>
      </c>
      <c r="OL1682" s="2">
        <v>-1.6</v>
      </c>
      <c r="OY1682" s="2">
        <v>5.3</v>
      </c>
      <c r="OZ1682" s="2">
        <v>-2</v>
      </c>
      <c r="PA1682" s="2">
        <v>-1.3</v>
      </c>
      <c r="PB1682" s="2">
        <v>-1.3</v>
      </c>
      <c r="PJ1682" s="2">
        <v>3.6</v>
      </c>
      <c r="PK1682" s="2">
        <v>-2</v>
      </c>
    </row>
    <row r="1683">
      <c r="A1683" t="inlineStr">
        <is>
          <t>A2329090L</t>
        </is>
      </c>
      <c r="B1683" t="inlineStr">
        <is>
          <t>Percentage Change from Previous Period ;  Therapeutic appliances and equipment ;  Australia ;</t>
        </is>
      </c>
      <c r="C1683" t="inlineStr">
        <is>
          <t>Quarter</t>
        </is>
      </c>
      <c r="D1683" t="inlineStr">
        <is>
          <t>Percent</t>
        </is>
      </c>
      <c r="E1683" t="inlineStr">
        <is>
          <t>Original</t>
        </is>
      </c>
      <c r="F1683" t="inlineStr">
        <is>
          <t>6401018.xlsx</t>
        </is>
      </c>
      <c r="G1683" t="inlineStr">
        <is>
          <t>1987Q1</t>
        </is>
      </c>
      <c r="H1683" t="inlineStr">
        <is>
          <t>2026Q2</t>
        </is>
      </c>
      <c r="FG1683" s="2">
        <v>2.2</v>
      </c>
      <c r="FH1683" s="2">
        <v>1.2</v>
      </c>
      <c r="FI1683" s="2">
        <v>0.2</v>
      </c>
      <c r="FJ1683" s="2">
        <v>0.4</v>
      </c>
      <c r="FK1683" s="2">
        <v>1.8</v>
      </c>
      <c r="FL1683" s="2">
        <v>3.5</v>
      </c>
      <c r="FM1683" s="2">
        <v>0.6</v>
      </c>
      <c r="FN1683" s="2">
        <v>0.1</v>
      </c>
      <c r="FO1683" s="2">
        <v>1.8</v>
      </c>
      <c r="FP1683" s="2">
        <v>0.4</v>
      </c>
      <c r="FQ1683" s="2">
        <v>0.9</v>
      </c>
      <c r="FR1683" s="2">
        <v>0.5</v>
      </c>
      <c r="FS1683" s="2">
        <v>1.2</v>
      </c>
      <c r="FT1683" s="2">
        <v>1.2</v>
      </c>
      <c r="FU1683" s="2">
        <v>1</v>
      </c>
      <c r="FV1683" s="2">
        <v>0.7</v>
      </c>
      <c r="FW1683" s="2">
        <v>0.8</v>
      </c>
      <c r="FX1683" s="2">
        <v>1.1</v>
      </c>
      <c r="FY1683" s="2">
        <v>0.4</v>
      </c>
      <c r="FZ1683" s="2">
        <v>0.6</v>
      </c>
      <c r="GA1683" s="2">
        <v>0.4</v>
      </c>
      <c r="GB1683" s="2">
        <v>-0.4</v>
      </c>
      <c r="GC1683" s="2">
        <v>3.7</v>
      </c>
      <c r="GD1683" s="2">
        <v>1.4</v>
      </c>
      <c r="GE1683" s="2">
        <v>0.9</v>
      </c>
      <c r="GF1683" s="2">
        <v>-2.7</v>
      </c>
      <c r="GG1683" s="2">
        <v>3.2</v>
      </c>
      <c r="GH1683" s="2">
        <v>0.3</v>
      </c>
      <c r="GI1683" s="2">
        <v>0.4</v>
      </c>
      <c r="GJ1683" s="2">
        <v>-0.1</v>
      </c>
      <c r="GK1683" s="2">
        <v>1.4</v>
      </c>
      <c r="GL1683" s="2">
        <v>0.3</v>
      </c>
      <c r="GM1683" s="2">
        <v>-0.3</v>
      </c>
      <c r="GN1683" s="2">
        <v>0.6</v>
      </c>
      <c r="GO1683" s="2">
        <v>1.2</v>
      </c>
      <c r="GP1683" s="2">
        <v>0.8</v>
      </c>
      <c r="GQ1683" s="2">
        <v>0.6</v>
      </c>
      <c r="GR1683" s="2">
        <v>-2.2</v>
      </c>
      <c r="GS1683" s="2">
        <v>2.2</v>
      </c>
      <c r="GT1683" s="2">
        <v>0.9</v>
      </c>
      <c r="GU1683" s="2">
        <v>0.4</v>
      </c>
      <c r="GV1683" s="2">
        <v>0.5</v>
      </c>
      <c r="GW1683" s="2">
        <v>0.6</v>
      </c>
      <c r="GX1683" s="2">
        <v>0.5</v>
      </c>
      <c r="GY1683" s="2">
        <v>0.4</v>
      </c>
      <c r="GZ1683" s="2">
        <v>0.7</v>
      </c>
      <c r="HA1683" s="2">
        <v>-0.1</v>
      </c>
      <c r="HB1683" s="2">
        <v>0.3</v>
      </c>
      <c r="HC1683" s="2">
        <v>0.2</v>
      </c>
      <c r="HD1683" s="2">
        <v>0.1</v>
      </c>
      <c r="HE1683" s="2">
        <v>0.5</v>
      </c>
      <c r="HF1683" s="2">
        <v>0.4</v>
      </c>
      <c r="HG1683" s="2">
        <v>0.4</v>
      </c>
      <c r="HH1683" s="2">
        <v>0</v>
      </c>
      <c r="HI1683" s="2">
        <v>5.7</v>
      </c>
      <c r="HJ1683" s="2">
        <v>0.2</v>
      </c>
      <c r="HK1683" s="2">
        <v>0.4</v>
      </c>
      <c r="HL1683" s="2">
        <v>0.4</v>
      </c>
      <c r="HM1683" s="2">
        <v>0.6</v>
      </c>
      <c r="HN1683" s="2">
        <v>0.5</v>
      </c>
      <c r="HO1683" s="2">
        <v>0.3</v>
      </c>
      <c r="HP1683" s="2">
        <v>0.3</v>
      </c>
      <c r="HQ1683" s="2">
        <v>0.3</v>
      </c>
      <c r="HR1683" s="2">
        <v>0</v>
      </c>
      <c r="HS1683" s="2">
        <v>0.2</v>
      </c>
      <c r="HT1683" s="2">
        <v>-0.3</v>
      </c>
      <c r="HU1683" s="2">
        <v>0.8</v>
      </c>
      <c r="HV1683" s="2">
        <v>0.1</v>
      </c>
      <c r="HW1683" s="2">
        <v>0.6</v>
      </c>
      <c r="HX1683" s="2">
        <v>0.7</v>
      </c>
      <c r="HY1683" s="2">
        <v>0.8</v>
      </c>
      <c r="HZ1683" s="2">
        <v>0.4</v>
      </c>
      <c r="IA1683" s="2">
        <v>-0.1</v>
      </c>
      <c r="IB1683" s="2">
        <v>0.9</v>
      </c>
      <c r="IC1683" s="2">
        <v>-0.3</v>
      </c>
      <c r="ID1683" s="2">
        <v>1.3</v>
      </c>
      <c r="IE1683" s="2">
        <v>0.7</v>
      </c>
      <c r="IF1683" s="2">
        <v>0</v>
      </c>
      <c r="IG1683" s="2">
        <v>0.3</v>
      </c>
      <c r="IH1683" s="2">
        <v>0.1</v>
      </c>
      <c r="II1683" s="2">
        <v>0.4</v>
      </c>
      <c r="IJ1683" s="2">
        <v>0.3</v>
      </c>
      <c r="IK1683" s="2">
        <v>0.4</v>
      </c>
      <c r="IL1683" s="2">
        <v>0.9</v>
      </c>
      <c r="IM1683" s="2">
        <v>0.3</v>
      </c>
      <c r="IN1683" s="2">
        <v>-0.1</v>
      </c>
      <c r="IO1683" s="2">
        <v>0.1</v>
      </c>
      <c r="IP1683" s="2">
        <v>-1.6</v>
      </c>
      <c r="IQ1683" s="2">
        <v>-0.4</v>
      </c>
      <c r="IR1683" s="2">
        <v>1.8</v>
      </c>
      <c r="IS1683" s="2">
        <v>-2</v>
      </c>
      <c r="IT1683" s="2">
        <v>3.5</v>
      </c>
      <c r="IU1683" s="2">
        <v>0.6</v>
      </c>
      <c r="IV1683" s="2">
        <v>0</v>
      </c>
      <c r="IW1683" s="2">
        <v>-0.3</v>
      </c>
      <c r="IX1683" s="2">
        <v>-0.3</v>
      </c>
      <c r="IY1683" s="2">
        <v>0.6</v>
      </c>
      <c r="IZ1683" s="2">
        <v>0.4</v>
      </c>
      <c r="JA1683" s="2">
        <v>4</v>
      </c>
      <c r="JB1683" s="2">
        <v>-0.1</v>
      </c>
      <c r="JC1683" s="2">
        <v>0.1</v>
      </c>
      <c r="JD1683" s="2">
        <v>-0.5</v>
      </c>
      <c r="JE1683" s="2">
        <v>0.1</v>
      </c>
      <c r="JF1683" s="2">
        <v>0.1</v>
      </c>
      <c r="JG1683" s="2">
        <v>0.1</v>
      </c>
      <c r="JH1683" s="2">
        <v>0.1</v>
      </c>
      <c r="JI1683" s="2">
        <v>-1.1</v>
      </c>
      <c r="JJ1683" s="2">
        <v>-0.9</v>
      </c>
      <c r="JK1683" s="2">
        <v>-0.2</v>
      </c>
      <c r="JL1683" s="2">
        <v>0.5</v>
      </c>
      <c r="JM1683" s="2">
        <v>0.3</v>
      </c>
      <c r="JN1683" s="2">
        <v>0.2</v>
      </c>
      <c r="JO1683" s="2">
        <v>0.8</v>
      </c>
      <c r="JP1683" s="2">
        <v>-1.1</v>
      </c>
      <c r="JQ1683" s="2">
        <v>-1.8</v>
      </c>
      <c r="JR1683" s="2">
        <v>1.6</v>
      </c>
      <c r="JS1683" s="2">
        <v>-1.1</v>
      </c>
      <c r="JT1683" s="2">
        <v>0</v>
      </c>
      <c r="JU1683" s="2">
        <v>0.1</v>
      </c>
      <c r="JV1683" s="2">
        <v>0.1</v>
      </c>
      <c r="KA1683" s="2">
        <v>-0.2</v>
      </c>
      <c r="KB1683" s="2">
        <v>0</v>
      </c>
      <c r="KC1683" s="2">
        <v>0.4</v>
      </c>
      <c r="KD1683" s="2">
        <v>-0.2</v>
      </c>
      <c r="KQ1683" s="2">
        <v>0.2</v>
      </c>
      <c r="KR1683" s="2">
        <v>0</v>
      </c>
      <c r="KS1683" s="2">
        <v>-0.1</v>
      </c>
      <c r="KT1683" s="2">
        <v>0.1</v>
      </c>
      <c r="LG1683" s="2">
        <v>-0.1</v>
      </c>
      <c r="LH1683" s="2">
        <v>-0.1</v>
      </c>
      <c r="LI1683" s="2">
        <v>0</v>
      </c>
      <c r="LJ1683" s="2">
        <v>0.1</v>
      </c>
      <c r="LW1683" s="2">
        <v>-0.2</v>
      </c>
      <c r="LX1683" s="2">
        <v>0.3</v>
      </c>
      <c r="LY1683" s="2">
        <v>0.2</v>
      </c>
      <c r="LZ1683" s="2">
        <v>0.2</v>
      </c>
      <c r="MM1683" s="2">
        <v>0.5</v>
      </c>
      <c r="MN1683" s="2">
        <v>-0.2</v>
      </c>
      <c r="MO1683" s="2">
        <v>0.1</v>
      </c>
      <c r="MP1683" s="2">
        <v>0.1</v>
      </c>
      <c r="NC1683" s="2">
        <v>-0.6</v>
      </c>
      <c r="ND1683" s="2">
        <v>0.7</v>
      </c>
      <c r="NE1683" s="2">
        <v>0.7</v>
      </c>
      <c r="NF1683" s="2">
        <v>0</v>
      </c>
      <c r="NS1683" s="2">
        <v>0.5</v>
      </c>
      <c r="NT1683" s="2">
        <v>0.2</v>
      </c>
      <c r="NU1683" s="2">
        <v>1</v>
      </c>
      <c r="NV1683" s="2">
        <v>-1</v>
      </c>
      <c r="OI1683" s="2">
        <v>0.6</v>
      </c>
      <c r="OJ1683" s="2">
        <v>0.8</v>
      </c>
      <c r="OK1683" s="2">
        <v>0.1</v>
      </c>
      <c r="OL1683" s="2">
        <v>-0.8</v>
      </c>
      <c r="OY1683" s="2">
        <v>1.6</v>
      </c>
      <c r="OZ1683" s="2">
        <v>1.3</v>
      </c>
      <c r="PA1683" s="2">
        <v>1</v>
      </c>
      <c r="PB1683" s="2">
        <v>-0.2</v>
      </c>
      <c r="PJ1683" s="2">
        <v>-0.4</v>
      </c>
      <c r="PK1683" s="2">
        <v>0.1</v>
      </c>
    </row>
    <row r="1684">
      <c r="A1684" t="inlineStr">
        <is>
          <t>A3604392V</t>
        </is>
      </c>
      <c r="B1684" t="inlineStr">
        <is>
          <t>Percentage Change from Previous Period ;  Medical, dental and hospital services ;  Australia ;</t>
        </is>
      </c>
      <c r="C1684" t="inlineStr">
        <is>
          <t>Quarter</t>
        </is>
      </c>
      <c r="D1684" t="inlineStr">
        <is>
          <t>Percent</t>
        </is>
      </c>
      <c r="E1684" t="inlineStr">
        <is>
          <t>Original</t>
        </is>
      </c>
      <c r="F1684" t="inlineStr">
        <is>
          <t>6401018.xlsx</t>
        </is>
      </c>
      <c r="G1684" t="inlineStr">
        <is>
          <t>1980Q4</t>
        </is>
      </c>
      <c r="H1684" t="inlineStr">
        <is>
          <t>2026Q2</t>
        </is>
      </c>
      <c r="EH1684" s="2">
        <v>0</v>
      </c>
      <c r="EI1684" s="2">
        <v>0.4</v>
      </c>
      <c r="EJ1684" s="2">
        <v>0.6</v>
      </c>
      <c r="EK1684" s="2">
        <v>0.5</v>
      </c>
      <c r="EL1684" s="2">
        <v>43.2</v>
      </c>
      <c r="EM1684" s="2">
        <v>1.8</v>
      </c>
      <c r="EN1684" s="2">
        <v>2.8</v>
      </c>
      <c r="EO1684" s="2">
        <v>7.8</v>
      </c>
      <c r="EP1684" s="2">
        <v>6.8</v>
      </c>
      <c r="EQ1684" s="2">
        <v>3.4</v>
      </c>
      <c r="ER1684" s="2">
        <v>2.4</v>
      </c>
      <c r="ES1684" s="2">
        <v>2.1</v>
      </c>
      <c r="ET1684" s="2">
        <v>2.6</v>
      </c>
      <c r="EU1684" s="2">
        <v>-29.5</v>
      </c>
      <c r="EV1684" s="2">
        <v>-22.3</v>
      </c>
      <c r="EW1684" s="2">
        <v>-1.4</v>
      </c>
      <c r="EX1684" s="2">
        <v>1.3</v>
      </c>
      <c r="EY1684" s="2">
        <v>2.3</v>
      </c>
      <c r="EZ1684" s="2">
        <v>1.4</v>
      </c>
      <c r="FA1684" s="2">
        <v>1.7</v>
      </c>
      <c r="FB1684" s="2">
        <v>1.6</v>
      </c>
      <c r="FC1684" s="2">
        <v>3</v>
      </c>
      <c r="FD1684" s="2">
        <v>7.1</v>
      </c>
      <c r="FE1684" s="2">
        <v>3.4</v>
      </c>
      <c r="FF1684" s="2">
        <v>9.800000000000001</v>
      </c>
      <c r="FG1684" s="2">
        <v>3.7</v>
      </c>
      <c r="FH1684" s="2">
        <v>3.7</v>
      </c>
      <c r="FI1684" s="2">
        <v>2.4</v>
      </c>
      <c r="FJ1684" s="2">
        <v>7.2</v>
      </c>
      <c r="FK1684" s="2">
        <v>2.2</v>
      </c>
      <c r="FL1684" s="2">
        <v>1.9</v>
      </c>
      <c r="FM1684" s="2">
        <v>1.6</v>
      </c>
      <c r="FN1684" s="2">
        <v>4</v>
      </c>
      <c r="FO1684" s="2">
        <v>4.3</v>
      </c>
      <c r="FP1684" s="2">
        <v>0.9</v>
      </c>
      <c r="FQ1684" s="2">
        <v>1.7</v>
      </c>
      <c r="FR1684" s="2">
        <v>2.1</v>
      </c>
      <c r="FS1684" s="2">
        <v>1.6</v>
      </c>
      <c r="FT1684" s="2">
        <v>1.4</v>
      </c>
      <c r="FU1684" s="2">
        <v>2.3</v>
      </c>
      <c r="FV1684" s="2">
        <v>7.3</v>
      </c>
      <c r="FW1684" s="2">
        <v>2.5</v>
      </c>
      <c r="FX1684" s="2">
        <v>2.3</v>
      </c>
      <c r="FY1684" s="2">
        <v>4</v>
      </c>
      <c r="FZ1684" s="2">
        <v>7.7</v>
      </c>
      <c r="GA1684" s="2">
        <v>6.6</v>
      </c>
      <c r="GB1684" s="2">
        <v>-7.7</v>
      </c>
      <c r="GC1684" s="2">
        <v>0.6</v>
      </c>
      <c r="GD1684" s="2">
        <v>2.7</v>
      </c>
      <c r="GE1684" s="2">
        <v>1.5</v>
      </c>
      <c r="GF1684" s="2">
        <v>0.7</v>
      </c>
      <c r="GG1684" s="2">
        <v>0.9</v>
      </c>
      <c r="GH1684" s="2">
        <v>1.5</v>
      </c>
      <c r="GI1684" s="2">
        <v>1.7</v>
      </c>
      <c r="GJ1684" s="2">
        <v>1.2</v>
      </c>
      <c r="GK1684" s="2">
        <v>2.2</v>
      </c>
      <c r="GL1684" s="2">
        <v>1</v>
      </c>
      <c r="GM1684" s="2">
        <v>1.4</v>
      </c>
      <c r="GN1684" s="2">
        <v>2.1</v>
      </c>
      <c r="GO1684" s="2">
        <v>0.9</v>
      </c>
      <c r="GP1684" s="2">
        <v>2.5</v>
      </c>
      <c r="GQ1684" s="2">
        <v>1.1</v>
      </c>
      <c r="GR1684" s="2">
        <v>0.1</v>
      </c>
      <c r="GS1684" s="2">
        <v>1.2</v>
      </c>
      <c r="GT1684" s="2">
        <v>2.4</v>
      </c>
      <c r="GU1684" s="2">
        <v>3.5</v>
      </c>
      <c r="GV1684" s="2">
        <v>2.7</v>
      </c>
      <c r="GW1684" s="2">
        <v>-5.4</v>
      </c>
      <c r="GX1684" s="2">
        <v>5.7</v>
      </c>
      <c r="GY1684" s="2">
        <v>0.8</v>
      </c>
      <c r="GZ1684" s="2">
        <v>2.7</v>
      </c>
      <c r="HA1684" s="2">
        <v>2</v>
      </c>
      <c r="HB1684" s="2">
        <v>0.3</v>
      </c>
      <c r="HC1684" s="2">
        <v>-15</v>
      </c>
      <c r="HD1684" s="2">
        <v>0.5</v>
      </c>
      <c r="HE1684" s="2">
        <v>2</v>
      </c>
      <c r="HF1684" s="2">
        <v>1</v>
      </c>
      <c r="HG1684" s="2">
        <v>0.9</v>
      </c>
      <c r="HH1684" s="2">
        <v>1</v>
      </c>
      <c r="HI1684" s="2">
        <v>0.6</v>
      </c>
      <c r="HJ1684" s="2">
        <v>1</v>
      </c>
      <c r="HK1684" s="2">
        <v>0.8</v>
      </c>
      <c r="HL1684" s="2">
        <v>0.5</v>
      </c>
      <c r="HM1684" s="2">
        <v>1</v>
      </c>
      <c r="HN1684" s="2">
        <v>1.3</v>
      </c>
      <c r="HO1684" s="2">
        <v>0.6</v>
      </c>
      <c r="HP1684" s="2">
        <v>4.2</v>
      </c>
      <c r="HQ1684" s="2">
        <v>1.8</v>
      </c>
      <c r="HR1684" s="2">
        <v>1.4</v>
      </c>
      <c r="HS1684" s="2">
        <v>1.4</v>
      </c>
      <c r="HT1684" s="2">
        <v>4.4</v>
      </c>
      <c r="HU1684" s="2">
        <v>1.1</v>
      </c>
      <c r="HV1684" s="2">
        <v>1.3</v>
      </c>
      <c r="HW1684" s="2">
        <v>1.1</v>
      </c>
      <c r="HX1684" s="2">
        <v>4.3</v>
      </c>
      <c r="HY1684" s="2">
        <v>0.3</v>
      </c>
      <c r="HZ1684" s="2">
        <v>0.2</v>
      </c>
      <c r="IA1684" s="2">
        <v>0.8</v>
      </c>
      <c r="IB1684" s="2">
        <v>3.7</v>
      </c>
      <c r="IC1684" s="2">
        <v>0.1</v>
      </c>
      <c r="ID1684" s="2">
        <v>0</v>
      </c>
      <c r="IE1684" s="2">
        <v>1.5</v>
      </c>
      <c r="IF1684" s="2">
        <v>3.5</v>
      </c>
      <c r="IG1684" s="2">
        <v>0.6</v>
      </c>
      <c r="IH1684" s="2">
        <v>0.4</v>
      </c>
      <c r="II1684" s="2">
        <v>1</v>
      </c>
      <c r="IJ1684" s="2">
        <v>3</v>
      </c>
      <c r="IK1684" s="2">
        <v>0.7</v>
      </c>
      <c r="IL1684" s="2">
        <v>0.1</v>
      </c>
      <c r="IM1684" s="2">
        <v>1.6</v>
      </c>
      <c r="IN1684" s="2">
        <v>3.5</v>
      </c>
      <c r="IO1684" s="2">
        <v>0.8</v>
      </c>
      <c r="IP1684" s="2">
        <v>-0.2</v>
      </c>
      <c r="IQ1684" s="2">
        <v>2.2</v>
      </c>
      <c r="IR1684" s="2">
        <v>3.1</v>
      </c>
      <c r="IS1684" s="2">
        <v>0.1</v>
      </c>
      <c r="IT1684" s="2">
        <v>0.2</v>
      </c>
      <c r="IU1684" s="2">
        <v>2.6</v>
      </c>
      <c r="IV1684" s="2">
        <v>3.2</v>
      </c>
      <c r="IW1684" s="2">
        <v>0.1</v>
      </c>
      <c r="IX1684" s="2">
        <v>0.1</v>
      </c>
      <c r="IY1684" s="2">
        <v>1.9</v>
      </c>
      <c r="IZ1684" s="2">
        <v>2.9</v>
      </c>
      <c r="JA1684" s="2">
        <v>0</v>
      </c>
      <c r="JB1684" s="2">
        <v>-0.1</v>
      </c>
      <c r="JC1684" s="2">
        <v>2.1</v>
      </c>
      <c r="JD1684" s="2">
        <v>2.5</v>
      </c>
      <c r="JE1684" s="2">
        <v>3.9</v>
      </c>
      <c r="JF1684" s="2">
        <v>-0.2</v>
      </c>
      <c r="JG1684" s="2">
        <v>1.9</v>
      </c>
      <c r="JH1684" s="2">
        <v>3</v>
      </c>
      <c r="JI1684" s="2">
        <v>0.3</v>
      </c>
      <c r="JJ1684" s="2">
        <v>-0.2</v>
      </c>
      <c r="JK1684" s="2">
        <v>1.8</v>
      </c>
      <c r="JL1684" s="2">
        <v>4.1</v>
      </c>
      <c r="JM1684" s="2">
        <v>0.1</v>
      </c>
      <c r="JN1684" s="2">
        <v>-0.2</v>
      </c>
      <c r="JO1684" s="2">
        <v>1.9</v>
      </c>
      <c r="JP1684" s="2">
        <v>3.9</v>
      </c>
      <c r="JQ1684" s="2">
        <v>0.2</v>
      </c>
      <c r="JR1684" s="2">
        <v>0</v>
      </c>
      <c r="JS1684" s="2">
        <v>1.4</v>
      </c>
      <c r="JT1684" s="2">
        <v>3.7</v>
      </c>
      <c r="JU1684" s="2">
        <v>-0.2</v>
      </c>
      <c r="JV1684" s="2">
        <v>-0.2</v>
      </c>
      <c r="KA1684" s="2">
        <v>1.5</v>
      </c>
      <c r="KB1684" s="2">
        <v>3.6</v>
      </c>
      <c r="KC1684" s="2">
        <v>-0.1</v>
      </c>
      <c r="KD1684" s="2">
        <v>-0.1</v>
      </c>
      <c r="KQ1684" s="2">
        <v>1.4</v>
      </c>
      <c r="KR1684" s="2">
        <v>2.7</v>
      </c>
      <c r="KS1684" s="2">
        <v>-0.3</v>
      </c>
      <c r="KT1684" s="2">
        <v>0</v>
      </c>
      <c r="LG1684" s="2">
        <v>1.3</v>
      </c>
      <c r="LH1684" s="2">
        <v>2.3</v>
      </c>
      <c r="LI1684" s="2">
        <v>0</v>
      </c>
      <c r="LJ1684" s="2">
        <v>-0.1</v>
      </c>
      <c r="LW1684" s="2">
        <v>1</v>
      </c>
      <c r="LX1684" s="2">
        <v>-0.1</v>
      </c>
      <c r="LY1684" s="2">
        <v>0.2</v>
      </c>
      <c r="LZ1684" s="2">
        <v>2.2</v>
      </c>
      <c r="MM1684" s="2">
        <v>1.4</v>
      </c>
      <c r="MN1684" s="2">
        <v>2.2</v>
      </c>
      <c r="MO1684" s="2">
        <v>0.4</v>
      </c>
      <c r="MP1684" s="2">
        <v>-0.1</v>
      </c>
      <c r="NC1684" s="2">
        <v>1.7</v>
      </c>
      <c r="ND1684" s="2">
        <v>0.7</v>
      </c>
      <c r="NE1684" s="2">
        <v>0.6</v>
      </c>
      <c r="NF1684" s="2">
        <v>1.1</v>
      </c>
      <c r="NS1684" s="2">
        <v>3.8</v>
      </c>
      <c r="NT1684" s="2">
        <v>0.1</v>
      </c>
      <c r="NU1684" s="2">
        <v>1.2</v>
      </c>
      <c r="NV1684" s="2">
        <v>1.1</v>
      </c>
      <c r="OI1684" s="2">
        <v>2.1</v>
      </c>
      <c r="OJ1684" s="2">
        <v>1.9</v>
      </c>
      <c r="OK1684" s="2">
        <v>0.1</v>
      </c>
      <c r="OL1684" s="2">
        <v>0.1</v>
      </c>
      <c r="OY1684" s="2">
        <v>2.5</v>
      </c>
      <c r="OZ1684" s="2">
        <v>2.1</v>
      </c>
      <c r="PA1684" s="2">
        <v>0.2</v>
      </c>
      <c r="PB1684" s="2">
        <v>-0.4</v>
      </c>
      <c r="PJ1684" s="2">
        <v>2.1</v>
      </c>
      <c r="PK1684" s="2">
        <v>2.9</v>
      </c>
    </row>
    <row r="1685">
      <c r="A1685" t="inlineStr">
        <is>
          <t>A2329045A</t>
        </is>
      </c>
      <c r="B1685" t="inlineStr">
        <is>
          <t>Percentage Change from Previous Period ;  Medical and hospital services ;  Australia ;</t>
        </is>
      </c>
      <c r="C1685" t="inlineStr">
        <is>
          <t>Quarter</t>
        </is>
      </c>
      <c r="D1685" t="inlineStr">
        <is>
          <t>Percent</t>
        </is>
      </c>
      <c r="E1685" t="inlineStr">
        <is>
          <t>Original</t>
        </is>
      </c>
      <c r="F1685" t="inlineStr">
        <is>
          <t>6401018.xlsx</t>
        </is>
      </c>
      <c r="G1685" t="inlineStr">
        <is>
          <t>1980Q4</t>
        </is>
      </c>
      <c r="H1685" t="inlineStr">
        <is>
          <t>2026Q2</t>
        </is>
      </c>
      <c r="EH1685" s="2">
        <v>-0.4</v>
      </c>
      <c r="EI1685" s="2">
        <v>0</v>
      </c>
      <c r="EJ1685" s="2">
        <v>0.3</v>
      </c>
      <c r="EK1685" s="2">
        <v>0.1</v>
      </c>
      <c r="EL1685" s="2">
        <v>51.9</v>
      </c>
      <c r="EM1685" s="2">
        <v>1.6</v>
      </c>
      <c r="EN1685" s="2">
        <v>2.6</v>
      </c>
      <c r="EO1685" s="2">
        <v>8.6</v>
      </c>
      <c r="EP1685" s="2">
        <v>7.4</v>
      </c>
      <c r="EQ1685" s="2">
        <v>3.5</v>
      </c>
      <c r="ER1685" s="2">
        <v>2.7</v>
      </c>
      <c r="ES1685" s="2">
        <v>2.1</v>
      </c>
      <c r="ET1685" s="2">
        <v>2.7</v>
      </c>
      <c r="EU1685" s="2">
        <v>-33.6</v>
      </c>
      <c r="EV1685" s="2">
        <v>-26.9</v>
      </c>
      <c r="EW1685" s="2">
        <v>-2.2</v>
      </c>
      <c r="EX1685" s="2">
        <v>1</v>
      </c>
      <c r="EY1685" s="2">
        <v>2.2</v>
      </c>
      <c r="EZ1685" s="2">
        <v>1.2</v>
      </c>
      <c r="FA1685" s="2">
        <v>1.3</v>
      </c>
      <c r="FB1685" s="2">
        <v>1.6</v>
      </c>
      <c r="FC1685" s="2">
        <v>3.2</v>
      </c>
      <c r="FD1685" s="2">
        <v>8.300000000000001</v>
      </c>
      <c r="FE1685" s="2">
        <v>3.4</v>
      </c>
      <c r="FF1685" s="2">
        <v>11.9</v>
      </c>
      <c r="FG1685" s="2">
        <v>4</v>
      </c>
      <c r="FH1685" s="2">
        <v>3.9</v>
      </c>
      <c r="FI1685" s="2">
        <v>2.2</v>
      </c>
      <c r="FJ1685" s="2">
        <v>8.5</v>
      </c>
      <c r="FK1685" s="2">
        <v>2.5</v>
      </c>
      <c r="FL1685" s="2">
        <v>1.5</v>
      </c>
      <c r="FM1685" s="2">
        <v>1.5</v>
      </c>
      <c r="FN1685" s="2">
        <v>4.2</v>
      </c>
      <c r="FO1685" s="2">
        <v>4.6</v>
      </c>
      <c r="FP1685" s="2">
        <v>0.9</v>
      </c>
      <c r="FQ1685" s="2">
        <v>1.4</v>
      </c>
      <c r="FR1685" s="2">
        <v>2.3</v>
      </c>
      <c r="FS1685" s="2">
        <v>1.5</v>
      </c>
      <c r="FT1685" s="2">
        <v>1.2</v>
      </c>
      <c r="FU1685" s="2">
        <v>2.1</v>
      </c>
      <c r="FV1685" s="2">
        <v>8.9</v>
      </c>
      <c r="FW1685" s="2">
        <v>2.5</v>
      </c>
      <c r="FX1685" s="2">
        <v>2.5</v>
      </c>
      <c r="FY1685" s="2">
        <v>4.5</v>
      </c>
      <c r="FZ1685" s="2">
        <v>9.1</v>
      </c>
      <c r="GA1685" s="2">
        <v>7.6</v>
      </c>
      <c r="GB1685" s="2">
        <v>-9.1</v>
      </c>
      <c r="GC1685" s="2">
        <v>0.5</v>
      </c>
      <c r="GD1685" s="2">
        <v>3.1</v>
      </c>
      <c r="GE1685" s="2">
        <v>1.5</v>
      </c>
      <c r="GF1685" s="2">
        <v>0.6</v>
      </c>
      <c r="GG1685" s="2">
        <v>0.9</v>
      </c>
      <c r="GH1685" s="2">
        <v>1.6</v>
      </c>
      <c r="GI1685" s="2">
        <v>1.8</v>
      </c>
      <c r="GJ1685" s="2">
        <v>1.2</v>
      </c>
      <c r="GK1685" s="2">
        <v>2.4</v>
      </c>
      <c r="GL1685" s="2">
        <v>1.1</v>
      </c>
      <c r="GM1685" s="2">
        <v>1.3</v>
      </c>
      <c r="GN1685" s="2">
        <v>2.2</v>
      </c>
      <c r="GO1685" s="2">
        <v>0.9</v>
      </c>
      <c r="GP1685" s="2">
        <v>2.7</v>
      </c>
      <c r="GQ1685" s="2">
        <v>1</v>
      </c>
      <c r="GR1685" s="2">
        <v>-0.1</v>
      </c>
      <c r="GS1685" s="2">
        <v>1.3</v>
      </c>
      <c r="GT1685" s="2">
        <v>2.7</v>
      </c>
      <c r="GU1685" s="2">
        <v>4</v>
      </c>
      <c r="GV1685" s="2">
        <v>2.8</v>
      </c>
      <c r="GW1685" s="2">
        <v>-6.5</v>
      </c>
      <c r="GX1685" s="2">
        <v>6.6</v>
      </c>
      <c r="GY1685" s="2">
        <v>0.6</v>
      </c>
      <c r="GZ1685" s="2">
        <v>3</v>
      </c>
      <c r="HA1685" s="2">
        <v>2.3</v>
      </c>
      <c r="HB1685" s="2">
        <v>0.3</v>
      </c>
      <c r="HC1685" s="2">
        <v>-17.9</v>
      </c>
      <c r="HD1685" s="2">
        <v>0.3</v>
      </c>
      <c r="HE1685" s="2">
        <v>2.3</v>
      </c>
      <c r="HF1685" s="2">
        <v>0.8</v>
      </c>
      <c r="HG1685" s="2">
        <v>0.6</v>
      </c>
      <c r="HH1685" s="2">
        <v>0.9</v>
      </c>
      <c r="HI1685" s="2">
        <v>0.3</v>
      </c>
      <c r="HJ1685" s="2">
        <v>1.2</v>
      </c>
      <c r="HK1685" s="2">
        <v>0.6</v>
      </c>
      <c r="HL1685" s="2">
        <v>0.4</v>
      </c>
      <c r="HM1685" s="2">
        <v>0.9</v>
      </c>
      <c r="HN1685" s="2">
        <v>1.2</v>
      </c>
      <c r="HO1685" s="2">
        <v>0.5</v>
      </c>
      <c r="HP1685" s="2">
        <v>4.9</v>
      </c>
      <c r="HQ1685" s="2">
        <v>1.9</v>
      </c>
      <c r="HR1685" s="2">
        <v>1.5</v>
      </c>
      <c r="HS1685" s="2">
        <v>1.4</v>
      </c>
      <c r="HT1685" s="2">
        <v>5.2</v>
      </c>
      <c r="HU1685" s="2">
        <v>1</v>
      </c>
      <c r="HV1685" s="2">
        <v>1.3</v>
      </c>
      <c r="HW1685" s="2">
        <v>1</v>
      </c>
      <c r="HX1685" s="2">
        <v>5.1</v>
      </c>
      <c r="HY1685" s="2">
        <v>0.1</v>
      </c>
      <c r="HZ1685" s="2">
        <v>0</v>
      </c>
      <c r="IA1685" s="2">
        <v>0.5</v>
      </c>
      <c r="IB1685" s="2">
        <v>4.2</v>
      </c>
      <c r="IC1685" s="2">
        <v>-0.1</v>
      </c>
      <c r="ID1685" s="2">
        <v>-0.2</v>
      </c>
      <c r="IE1685" s="2">
        <v>1.4</v>
      </c>
      <c r="IF1685" s="2">
        <v>4</v>
      </c>
      <c r="IG1685" s="2">
        <v>0.4</v>
      </c>
      <c r="IH1685" s="2">
        <v>0.5</v>
      </c>
      <c r="II1685" s="2">
        <v>0.9</v>
      </c>
      <c r="IJ1685" s="2">
        <v>3.4</v>
      </c>
      <c r="IK1685" s="2">
        <v>0.5</v>
      </c>
      <c r="IL1685" s="2">
        <v>0</v>
      </c>
      <c r="IM1685" s="2">
        <v>1.5</v>
      </c>
      <c r="IN1685" s="2">
        <v>4</v>
      </c>
      <c r="IO1685" s="2">
        <v>0.9</v>
      </c>
      <c r="IP1685" s="2">
        <v>-0.4</v>
      </c>
      <c r="IQ1685" s="2">
        <v>2.2</v>
      </c>
      <c r="IR1685" s="2">
        <v>3.6</v>
      </c>
      <c r="IS1685" s="2">
        <v>-0.1</v>
      </c>
      <c r="IT1685" s="2">
        <v>0</v>
      </c>
      <c r="IU1685" s="2">
        <v>2.9</v>
      </c>
      <c r="IV1685" s="2">
        <v>3.8</v>
      </c>
      <c r="IW1685" s="2">
        <v>0</v>
      </c>
      <c r="IX1685" s="2">
        <v>0</v>
      </c>
      <c r="IY1685" s="2">
        <v>2.1</v>
      </c>
      <c r="IZ1685" s="2">
        <v>3.4</v>
      </c>
      <c r="JA1685" s="2">
        <v>-0.2</v>
      </c>
      <c r="JB1685" s="2">
        <v>-0.2</v>
      </c>
      <c r="JC1685" s="2">
        <v>2.1</v>
      </c>
      <c r="JD1685" s="2">
        <v>2.9</v>
      </c>
      <c r="JE1685" s="2">
        <v>4.4</v>
      </c>
      <c r="JF1685" s="2">
        <v>-0.3</v>
      </c>
      <c r="JG1685" s="2">
        <v>2.1</v>
      </c>
      <c r="JH1685" s="2">
        <v>3.4</v>
      </c>
      <c r="JI1685" s="2">
        <v>0.3</v>
      </c>
      <c r="JJ1685" s="2">
        <v>-0.3</v>
      </c>
      <c r="JK1685" s="2">
        <v>1.8</v>
      </c>
      <c r="JL1685" s="2">
        <v>4.6</v>
      </c>
      <c r="JM1685" s="2">
        <v>0</v>
      </c>
      <c r="JN1685" s="2">
        <v>-0.3</v>
      </c>
      <c r="JO1685" s="2">
        <v>2.1</v>
      </c>
      <c r="JP1685" s="2">
        <v>4.5</v>
      </c>
      <c r="JQ1685" s="2">
        <v>0.2</v>
      </c>
      <c r="JR1685" s="2">
        <v>-0.1</v>
      </c>
      <c r="JS1685" s="2">
        <v>1.5</v>
      </c>
      <c r="JT1685" s="2">
        <v>4.2</v>
      </c>
      <c r="JU1685" s="2">
        <v>-0.2</v>
      </c>
      <c r="JV1685" s="2">
        <v>-0.2</v>
      </c>
      <c r="KA1685" s="2">
        <v>1.6</v>
      </c>
      <c r="KB1685" s="2">
        <v>4</v>
      </c>
      <c r="KC1685" s="2">
        <v>-0.1</v>
      </c>
      <c r="KD1685" s="2">
        <v>-0.2</v>
      </c>
      <c r="KQ1685" s="2">
        <v>1.5</v>
      </c>
      <c r="KR1685" s="2">
        <v>3.1</v>
      </c>
      <c r="KS1685" s="2">
        <v>-0.3</v>
      </c>
      <c r="KT1685" s="2">
        <v>-0.1</v>
      </c>
      <c r="LG1685" s="2">
        <v>1.3</v>
      </c>
      <c r="LH1685" s="2">
        <v>2.6</v>
      </c>
      <c r="LI1685" s="2">
        <v>-0.1</v>
      </c>
      <c r="LJ1685" s="2">
        <v>-0.2</v>
      </c>
      <c r="LW1685" s="2">
        <v>1.1</v>
      </c>
      <c r="LX1685" s="2">
        <v>-0.2</v>
      </c>
      <c r="LY1685" s="2">
        <v>0.2</v>
      </c>
      <c r="LZ1685" s="2">
        <v>2.5</v>
      </c>
      <c r="MM1685" s="2">
        <v>1.5</v>
      </c>
      <c r="MN1685" s="2">
        <v>2.4</v>
      </c>
      <c r="MO1685" s="2">
        <v>0.5</v>
      </c>
      <c r="MP1685" s="2">
        <v>-0.2</v>
      </c>
      <c r="NC1685" s="2">
        <v>1.8</v>
      </c>
      <c r="ND1685" s="2">
        <v>0.7</v>
      </c>
      <c r="NE1685" s="2">
        <v>0.6</v>
      </c>
      <c r="NF1685" s="2">
        <v>1.1</v>
      </c>
      <c r="NS1685" s="2">
        <v>4.2</v>
      </c>
      <c r="NT1685" s="2">
        <v>0</v>
      </c>
      <c r="NU1685" s="2">
        <v>1</v>
      </c>
      <c r="NV1685" s="2">
        <v>1.2</v>
      </c>
      <c r="OI1685" s="2">
        <v>2.3</v>
      </c>
      <c r="OJ1685" s="2">
        <v>2.1</v>
      </c>
      <c r="OK1685" s="2">
        <v>0</v>
      </c>
      <c r="OL1685" s="2">
        <v>0</v>
      </c>
      <c r="OY1685" s="2">
        <v>2.7</v>
      </c>
      <c r="OZ1685" s="2">
        <v>2.3</v>
      </c>
      <c r="PA1685" s="2">
        <v>0</v>
      </c>
      <c r="PB1685" s="2">
        <v>-0.5</v>
      </c>
      <c r="PJ1685" s="2">
        <v>2.3</v>
      </c>
      <c r="PK1685" s="2">
        <v>3.1</v>
      </c>
    </row>
    <row r="1686">
      <c r="A1686" t="inlineStr">
        <is>
          <t>A2329135F</t>
        </is>
      </c>
      <c r="B1686" t="inlineStr">
        <is>
          <t>Percentage Change from Previous Period ;  Dental services ;  Australia ;</t>
        </is>
      </c>
      <c r="C1686" t="inlineStr">
        <is>
          <t>Quarter</t>
        </is>
      </c>
      <c r="D1686" t="inlineStr">
        <is>
          <t>Percent</t>
        </is>
      </c>
      <c r="E1686" t="inlineStr">
        <is>
          <t>Original</t>
        </is>
      </c>
      <c r="F1686" t="inlineStr">
        <is>
          <t>6401018.xlsx</t>
        </is>
      </c>
      <c r="G1686" t="inlineStr">
        <is>
          <t>1980Q4</t>
        </is>
      </c>
      <c r="H1686" t="inlineStr">
        <is>
          <t>2026Q2</t>
        </is>
      </c>
      <c r="EH1686" s="2">
        <v>1.5</v>
      </c>
      <c r="EI1686" s="2">
        <v>3.1</v>
      </c>
      <c r="EJ1686" s="2">
        <v>2.3</v>
      </c>
      <c r="EK1686" s="2">
        <v>2.2</v>
      </c>
      <c r="EL1686" s="2">
        <v>1.5</v>
      </c>
      <c r="EM1686" s="2">
        <v>2.8</v>
      </c>
      <c r="EN1686" s="2">
        <v>4</v>
      </c>
      <c r="EO1686" s="2">
        <v>2.6</v>
      </c>
      <c r="EP1686" s="2">
        <v>1.2</v>
      </c>
      <c r="EQ1686" s="2">
        <v>2.9</v>
      </c>
      <c r="ER1686" s="2">
        <v>0.7</v>
      </c>
      <c r="ES1686" s="2">
        <v>1.9</v>
      </c>
      <c r="ET1686" s="2">
        <v>2.7</v>
      </c>
      <c r="EU1686" s="2">
        <v>3.4</v>
      </c>
      <c r="EV1686" s="2">
        <v>1.7</v>
      </c>
      <c r="EW1686" s="2">
        <v>1</v>
      </c>
      <c r="EX1686" s="2">
        <v>2.9</v>
      </c>
      <c r="EY1686" s="2">
        <v>2.6</v>
      </c>
      <c r="EZ1686" s="2">
        <v>2.2</v>
      </c>
      <c r="FA1686" s="2">
        <v>2.7</v>
      </c>
      <c r="FB1686" s="2">
        <v>2.4</v>
      </c>
      <c r="FC1686" s="2">
        <v>2.5</v>
      </c>
      <c r="FD1686" s="2">
        <v>2</v>
      </c>
      <c r="FE1686" s="2">
        <v>3.4</v>
      </c>
      <c r="FF1686" s="2">
        <v>2.2</v>
      </c>
      <c r="FG1686" s="2">
        <v>3.1</v>
      </c>
      <c r="FH1686" s="2">
        <v>2.7</v>
      </c>
      <c r="FI1686" s="2">
        <v>3</v>
      </c>
      <c r="FJ1686" s="2">
        <v>1.4</v>
      </c>
      <c r="FK1686" s="2">
        <v>1.6</v>
      </c>
      <c r="FL1686" s="2">
        <v>3.3</v>
      </c>
      <c r="FM1686" s="2">
        <v>2.1</v>
      </c>
      <c r="FN1686" s="2">
        <v>2.5</v>
      </c>
      <c r="FO1686" s="2">
        <v>2.7</v>
      </c>
      <c r="FP1686" s="2">
        <v>1.9</v>
      </c>
      <c r="FQ1686" s="2">
        <v>2.5</v>
      </c>
      <c r="FR1686" s="2">
        <v>1.9</v>
      </c>
      <c r="FS1686" s="2">
        <v>1.9</v>
      </c>
      <c r="FT1686" s="2">
        <v>2.5</v>
      </c>
      <c r="FU1686" s="2">
        <v>2.2</v>
      </c>
      <c r="FV1686" s="2">
        <v>1.1</v>
      </c>
      <c r="FW1686" s="2">
        <v>2.4</v>
      </c>
      <c r="FX1686" s="2">
        <v>1.7</v>
      </c>
      <c r="FY1686" s="2">
        <v>1.8</v>
      </c>
      <c r="FZ1686" s="2">
        <v>0.8</v>
      </c>
      <c r="GA1686" s="2">
        <v>1.3</v>
      </c>
      <c r="GB1686" s="2">
        <v>0.5</v>
      </c>
      <c r="GC1686" s="2">
        <v>0.7</v>
      </c>
      <c r="GD1686" s="2">
        <v>0.7</v>
      </c>
      <c r="GE1686" s="2">
        <v>1.6</v>
      </c>
      <c r="GF1686" s="2">
        <v>0.7</v>
      </c>
      <c r="GG1686" s="2">
        <v>1.1</v>
      </c>
      <c r="GH1686" s="2">
        <v>0.7</v>
      </c>
      <c r="GI1686" s="2">
        <v>1.1</v>
      </c>
      <c r="GJ1686" s="2">
        <v>1.3</v>
      </c>
      <c r="GK1686" s="2">
        <v>1</v>
      </c>
      <c r="GL1686" s="2">
        <v>0.6</v>
      </c>
      <c r="GM1686" s="2">
        <v>1.4</v>
      </c>
      <c r="GN1686" s="2">
        <v>1.5</v>
      </c>
      <c r="GO1686" s="2">
        <v>0.6</v>
      </c>
      <c r="GP1686" s="2">
        <v>1.2</v>
      </c>
      <c r="GQ1686" s="2">
        <v>1.2</v>
      </c>
      <c r="GR1686" s="2">
        <v>1.4</v>
      </c>
      <c r="GS1686" s="2">
        <v>0.9</v>
      </c>
      <c r="GT1686" s="2">
        <v>0.4</v>
      </c>
      <c r="GU1686" s="2">
        <v>1.1</v>
      </c>
      <c r="GV1686" s="2">
        <v>1.9</v>
      </c>
      <c r="GW1686" s="2">
        <v>0.4</v>
      </c>
      <c r="GX1686" s="2">
        <v>0.8</v>
      </c>
      <c r="GY1686" s="2">
        <v>1.4</v>
      </c>
      <c r="GZ1686" s="2">
        <v>0.9</v>
      </c>
      <c r="HA1686" s="2">
        <v>0.6</v>
      </c>
      <c r="HB1686" s="2">
        <v>0.3</v>
      </c>
      <c r="HC1686" s="2">
        <v>0.9</v>
      </c>
      <c r="HD1686" s="2">
        <v>1.4</v>
      </c>
      <c r="HE1686" s="2">
        <v>0.6</v>
      </c>
      <c r="HF1686" s="2">
        <v>2</v>
      </c>
      <c r="HG1686" s="2">
        <v>2.3</v>
      </c>
      <c r="HH1686" s="2">
        <v>1.6</v>
      </c>
      <c r="HI1686" s="2">
        <v>1.3</v>
      </c>
      <c r="HJ1686" s="2">
        <v>0.6</v>
      </c>
      <c r="HK1686" s="2">
        <v>1.2</v>
      </c>
      <c r="HL1686" s="2">
        <v>1.1</v>
      </c>
      <c r="HM1686" s="2">
        <v>1.3</v>
      </c>
      <c r="HN1686" s="2">
        <v>1.1</v>
      </c>
      <c r="HO1686" s="2">
        <v>1</v>
      </c>
      <c r="HP1686" s="2">
        <v>1.4</v>
      </c>
      <c r="HQ1686" s="2">
        <v>1.6</v>
      </c>
      <c r="HR1686" s="2">
        <v>0.9</v>
      </c>
      <c r="HS1686" s="2">
        <v>1.6</v>
      </c>
      <c r="HT1686" s="2">
        <v>1.4</v>
      </c>
      <c r="HU1686" s="2">
        <v>1.4</v>
      </c>
      <c r="HV1686" s="2">
        <v>1.3</v>
      </c>
      <c r="HW1686" s="2">
        <v>1.8</v>
      </c>
      <c r="HX1686" s="2">
        <v>1</v>
      </c>
      <c r="HY1686" s="2">
        <v>1</v>
      </c>
      <c r="HZ1686" s="2">
        <v>1.2</v>
      </c>
      <c r="IA1686" s="2">
        <v>1.9</v>
      </c>
      <c r="IB1686" s="2">
        <v>1.7</v>
      </c>
      <c r="IC1686" s="2">
        <v>1</v>
      </c>
      <c r="ID1686" s="2">
        <v>0.8</v>
      </c>
      <c r="IE1686" s="2">
        <v>2.1</v>
      </c>
      <c r="IF1686" s="2">
        <v>1.4</v>
      </c>
      <c r="IG1686" s="2">
        <v>1.5</v>
      </c>
      <c r="IH1686" s="2">
        <v>0.5</v>
      </c>
      <c r="II1686" s="2">
        <v>1</v>
      </c>
      <c r="IJ1686" s="2">
        <v>1.4</v>
      </c>
      <c r="IK1686" s="2">
        <v>1.5</v>
      </c>
      <c r="IL1686" s="2">
        <v>0.9</v>
      </c>
      <c r="IM1686" s="2">
        <v>1.6</v>
      </c>
      <c r="IN1686" s="2">
        <v>1.3</v>
      </c>
      <c r="IO1686" s="2">
        <v>0.7</v>
      </c>
      <c r="IP1686" s="2">
        <v>0.8</v>
      </c>
      <c r="IQ1686" s="2">
        <v>1.9</v>
      </c>
      <c r="IR1686" s="2">
        <v>0.8</v>
      </c>
      <c r="IS1686" s="2">
        <v>0.7</v>
      </c>
      <c r="IT1686" s="2">
        <v>0.8</v>
      </c>
      <c r="IU1686" s="2">
        <v>1.6</v>
      </c>
      <c r="IV1686" s="2">
        <v>0.8</v>
      </c>
      <c r="IW1686" s="2">
        <v>0.5</v>
      </c>
      <c r="IX1686" s="2">
        <v>0.6</v>
      </c>
      <c r="IY1686" s="2">
        <v>0.9</v>
      </c>
      <c r="IZ1686" s="2">
        <v>0.6</v>
      </c>
      <c r="JA1686" s="2">
        <v>1.1</v>
      </c>
      <c r="JB1686" s="2">
        <v>0.7</v>
      </c>
      <c r="JC1686" s="2">
        <v>1.6</v>
      </c>
      <c r="JD1686" s="2">
        <v>0.6</v>
      </c>
      <c r="JE1686" s="2">
        <v>0.9</v>
      </c>
      <c r="JF1686" s="2">
        <v>0.2</v>
      </c>
      <c r="JG1686" s="2">
        <v>0.9</v>
      </c>
      <c r="JH1686" s="2">
        <v>0.4</v>
      </c>
      <c r="JI1686" s="2">
        <v>0.2</v>
      </c>
      <c r="JJ1686" s="2">
        <v>0.3</v>
      </c>
      <c r="JK1686" s="2">
        <v>1.3</v>
      </c>
      <c r="JL1686" s="2">
        <v>0.8</v>
      </c>
      <c r="JM1686" s="2">
        <v>1</v>
      </c>
      <c r="JN1686" s="2">
        <v>0.3</v>
      </c>
      <c r="JO1686" s="2">
        <v>0.6</v>
      </c>
      <c r="JP1686" s="2">
        <v>0.3</v>
      </c>
      <c r="JQ1686" s="2">
        <v>0.5</v>
      </c>
      <c r="JR1686" s="2">
        <v>0.3</v>
      </c>
      <c r="JS1686" s="2">
        <v>0.7</v>
      </c>
      <c r="JT1686" s="2">
        <v>0.2</v>
      </c>
      <c r="JU1686" s="2">
        <v>0</v>
      </c>
      <c r="JV1686" s="2">
        <v>0</v>
      </c>
      <c r="KA1686" s="2">
        <v>0.3</v>
      </c>
      <c r="KB1686" s="2">
        <v>0.5</v>
      </c>
      <c r="KC1686" s="2">
        <v>0.2</v>
      </c>
      <c r="KD1686" s="2">
        <v>0.3</v>
      </c>
      <c r="KQ1686" s="2">
        <v>0.2</v>
      </c>
      <c r="KR1686" s="2">
        <v>0.1</v>
      </c>
      <c r="KS1686" s="2">
        <v>0.2</v>
      </c>
      <c r="KT1686" s="2">
        <v>0.7</v>
      </c>
      <c r="LG1686" s="2">
        <v>1.1</v>
      </c>
      <c r="LH1686" s="2">
        <v>0.2</v>
      </c>
      <c r="LI1686" s="2">
        <v>0.6</v>
      </c>
      <c r="LJ1686" s="2">
        <v>0.5</v>
      </c>
      <c r="LW1686" s="2">
        <v>0.4</v>
      </c>
      <c r="LX1686" s="2">
        <v>0.2</v>
      </c>
      <c r="LY1686" s="2">
        <v>0.2</v>
      </c>
      <c r="LZ1686" s="2">
        <v>0.3</v>
      </c>
      <c r="MM1686" s="2">
        <v>0.6</v>
      </c>
      <c r="MN1686" s="2">
        <v>0.1</v>
      </c>
      <c r="MO1686" s="2">
        <v>0.2</v>
      </c>
      <c r="MP1686" s="2">
        <v>0.1</v>
      </c>
      <c r="NC1686" s="2">
        <v>1</v>
      </c>
      <c r="ND1686" s="2">
        <v>0.8</v>
      </c>
      <c r="NE1686" s="2">
        <v>1.1</v>
      </c>
      <c r="NF1686" s="2">
        <v>1</v>
      </c>
      <c r="NS1686" s="2">
        <v>0.9</v>
      </c>
      <c r="NT1686" s="2">
        <v>0.5</v>
      </c>
      <c r="NU1686" s="2">
        <v>2.5</v>
      </c>
      <c r="NV1686" s="2">
        <v>0.1</v>
      </c>
      <c r="OI1686" s="2">
        <v>1.1</v>
      </c>
      <c r="OJ1686" s="2">
        <v>0.5</v>
      </c>
      <c r="OK1686" s="2">
        <v>0.9</v>
      </c>
      <c r="OL1686" s="2">
        <v>0.3</v>
      </c>
      <c r="OY1686" s="2">
        <v>0.4</v>
      </c>
      <c r="OZ1686" s="2">
        <v>0.5</v>
      </c>
      <c r="PA1686" s="2">
        <v>1.9</v>
      </c>
      <c r="PB1686" s="2">
        <v>0.7</v>
      </c>
      <c r="PJ1686" s="2">
        <v>0.6</v>
      </c>
      <c r="PK1686" s="2">
        <v>0.7</v>
      </c>
    </row>
    <row r="1687">
      <c r="A1687" t="inlineStr">
        <is>
          <t>A2326075K</t>
        </is>
      </c>
      <c r="B1687" t="inlineStr">
        <is>
          <t>Percentage Change from Previous Period ;  Transport ;  Australia ;</t>
        </is>
      </c>
      <c r="C1687" t="inlineStr">
        <is>
          <t>Quarter</t>
        </is>
      </c>
      <c r="D1687" t="inlineStr">
        <is>
          <t>Percent</t>
        </is>
      </c>
      <c r="E1687" t="inlineStr">
        <is>
          <t>Original</t>
        </is>
      </c>
      <c r="F1687" t="inlineStr">
        <is>
          <t>6401018.xlsx</t>
        </is>
      </c>
      <c r="G1687" t="inlineStr">
        <is>
          <t>1972Q4</t>
        </is>
      </c>
      <c r="H1687" t="inlineStr">
        <is>
          <t>2026Q2</t>
        </is>
      </c>
      <c r="DB1687" s="2">
        <v>0.6</v>
      </c>
      <c r="DC1687" s="2">
        <v>0.5</v>
      </c>
      <c r="DD1687" s="2">
        <v>0.6</v>
      </c>
      <c r="DE1687" s="2">
        <v>2.5</v>
      </c>
      <c r="DF1687" s="2">
        <v>2.9</v>
      </c>
      <c r="DG1687" s="2">
        <v>2.4</v>
      </c>
      <c r="DH1687" s="2">
        <v>2.3</v>
      </c>
      <c r="DI1687" s="2">
        <v>8.1</v>
      </c>
      <c r="DJ1687" s="2">
        <v>4.7</v>
      </c>
      <c r="DK1687" s="2">
        <v>4.4</v>
      </c>
      <c r="DL1687" s="2">
        <v>3</v>
      </c>
      <c r="DM1687" s="2">
        <v>5.2</v>
      </c>
      <c r="DN1687" s="2">
        <v>5.6</v>
      </c>
      <c r="DO1687" s="2">
        <v>2.7</v>
      </c>
      <c r="DP1687" s="2">
        <v>1.3</v>
      </c>
      <c r="DQ1687" s="2">
        <v>1.9</v>
      </c>
      <c r="DR1687" s="2">
        <v>1.6</v>
      </c>
      <c r="DS1687" s="2">
        <v>2.8</v>
      </c>
      <c r="DT1687" s="2">
        <v>1.8</v>
      </c>
      <c r="DU1687" s="2">
        <v>1.5</v>
      </c>
      <c r="DV1687" s="2">
        <v>2.9</v>
      </c>
      <c r="DW1687" s="2">
        <v>1.7</v>
      </c>
      <c r="DX1687" s="2">
        <v>1.1</v>
      </c>
      <c r="DY1687" s="2">
        <v>2.2</v>
      </c>
      <c r="DZ1687" s="2">
        <v>3.3</v>
      </c>
      <c r="EA1687" s="2">
        <v>2.4</v>
      </c>
      <c r="EB1687" s="2">
        <v>3</v>
      </c>
      <c r="EC1687" s="2">
        <v>4</v>
      </c>
      <c r="ED1687" s="2">
        <v>3.6</v>
      </c>
      <c r="EE1687" s="2">
        <v>0.5</v>
      </c>
      <c r="EF1687" s="2">
        <v>4.8</v>
      </c>
      <c r="EG1687" s="2">
        <v>0.2</v>
      </c>
      <c r="EH1687" s="2">
        <v>2</v>
      </c>
      <c r="EI1687" s="2">
        <v>3.7</v>
      </c>
      <c r="EJ1687" s="2">
        <v>3.9</v>
      </c>
      <c r="EK1687" s="2">
        <v>0</v>
      </c>
      <c r="EL1687" s="2">
        <v>4.6</v>
      </c>
      <c r="EM1687" s="2">
        <v>1.2</v>
      </c>
      <c r="EN1687" s="2">
        <v>3</v>
      </c>
      <c r="EO1687" s="2">
        <v>5.6</v>
      </c>
      <c r="EP1687" s="2">
        <v>1.4</v>
      </c>
      <c r="EQ1687" s="2">
        <v>2.9</v>
      </c>
      <c r="ER1687" s="2">
        <v>0</v>
      </c>
      <c r="ES1687" s="2">
        <v>3.7</v>
      </c>
      <c r="ET1687" s="2">
        <v>2.7</v>
      </c>
      <c r="EU1687" s="2">
        <v>0.8</v>
      </c>
      <c r="EV1687" s="2">
        <v>1.9</v>
      </c>
      <c r="EW1687" s="2">
        <v>1.2</v>
      </c>
      <c r="EX1687" s="2">
        <v>0.9</v>
      </c>
      <c r="EY1687" s="2">
        <v>1.7</v>
      </c>
      <c r="EZ1687" s="2">
        <v>4.5</v>
      </c>
      <c r="FA1687" s="2">
        <v>2.1</v>
      </c>
      <c r="FB1687" s="2">
        <v>0.6</v>
      </c>
      <c r="FC1687" s="2">
        <v>3.4</v>
      </c>
      <c r="FD1687" s="2">
        <v>-1.6</v>
      </c>
      <c r="FE1687" s="2">
        <v>5.1</v>
      </c>
      <c r="FF1687" s="2">
        <v>4.6</v>
      </c>
      <c r="FG1687" s="2">
        <v>2.8</v>
      </c>
      <c r="FH1687" s="2">
        <v>1</v>
      </c>
      <c r="FI1687" s="2">
        <v>1.9</v>
      </c>
      <c r="FJ1687" s="2">
        <v>2.6</v>
      </c>
      <c r="FK1687" s="2">
        <v>1.1</v>
      </c>
      <c r="FL1687" s="2">
        <v>-0.2</v>
      </c>
      <c r="FM1687" s="2">
        <v>1.4</v>
      </c>
      <c r="FN1687" s="2">
        <v>0.3</v>
      </c>
      <c r="FO1687" s="2">
        <v>1</v>
      </c>
      <c r="FP1687" s="2">
        <v>2.4</v>
      </c>
      <c r="FQ1687" s="2">
        <v>2.2</v>
      </c>
      <c r="FR1687" s="2">
        <v>2.4</v>
      </c>
      <c r="FS1687" s="2">
        <v>2.6</v>
      </c>
      <c r="FT1687" s="2">
        <v>0.6</v>
      </c>
      <c r="FU1687" s="2">
        <v>2</v>
      </c>
      <c r="FV1687" s="2">
        <v>6.7</v>
      </c>
      <c r="FW1687" s="2">
        <v>-4.6</v>
      </c>
      <c r="FX1687" s="2">
        <v>-0.6</v>
      </c>
      <c r="FY1687" s="2">
        <v>1.9</v>
      </c>
      <c r="FZ1687" s="2">
        <v>1.6</v>
      </c>
      <c r="GA1687" s="2">
        <v>0</v>
      </c>
      <c r="GB1687" s="2">
        <v>-0.4</v>
      </c>
      <c r="GC1687" s="2">
        <v>1.8</v>
      </c>
      <c r="GD1687" s="2">
        <v>0</v>
      </c>
      <c r="GE1687" s="2">
        <v>0.4</v>
      </c>
      <c r="GF1687" s="2">
        <v>0.7</v>
      </c>
      <c r="GG1687" s="2">
        <v>1</v>
      </c>
      <c r="GH1687" s="2">
        <v>0.3</v>
      </c>
      <c r="GI1687" s="2">
        <v>-0.3</v>
      </c>
      <c r="GJ1687" s="2">
        <v>1.8</v>
      </c>
      <c r="GK1687" s="2">
        <v>1.6</v>
      </c>
      <c r="GL1687" s="2">
        <v>-0.2</v>
      </c>
      <c r="GM1687" s="2">
        <v>0.4</v>
      </c>
      <c r="GN1687" s="2">
        <v>1.3</v>
      </c>
      <c r="GO1687" s="2">
        <v>2.7</v>
      </c>
      <c r="GP1687" s="2">
        <v>0.2</v>
      </c>
      <c r="GQ1687" s="2">
        <v>0.1</v>
      </c>
      <c r="GR1687" s="2">
        <v>1.2</v>
      </c>
      <c r="GS1687" s="2">
        <v>-0.3</v>
      </c>
      <c r="GT1687" s="2">
        <v>0.9</v>
      </c>
      <c r="GU1687" s="2">
        <v>0.5</v>
      </c>
      <c r="GV1687" s="2">
        <v>-1</v>
      </c>
      <c r="GW1687" s="2">
        <v>0.4</v>
      </c>
      <c r="GX1687" s="2">
        <v>-0.3</v>
      </c>
      <c r="GY1687" s="2">
        <v>-0.9</v>
      </c>
      <c r="GZ1687" s="2">
        <v>-0.1</v>
      </c>
      <c r="HA1687" s="2">
        <v>-0.4</v>
      </c>
      <c r="HB1687" s="2">
        <v>-0.3</v>
      </c>
      <c r="HC1687" s="2">
        <v>-0.6</v>
      </c>
      <c r="HD1687" s="2">
        <v>1.4</v>
      </c>
      <c r="HE1687" s="2">
        <v>3.3</v>
      </c>
      <c r="HF1687" s="2">
        <v>-0.4</v>
      </c>
      <c r="HG1687" s="2">
        <v>2.9</v>
      </c>
      <c r="HH1687" s="2">
        <v>1.6</v>
      </c>
      <c r="HI1687" s="2">
        <v>2.7</v>
      </c>
      <c r="HJ1687" s="2">
        <v>0.6</v>
      </c>
      <c r="HK1687" s="2">
        <v>0.2</v>
      </c>
      <c r="HL1687" s="2">
        <v>2</v>
      </c>
      <c r="HM1687" s="2">
        <v>-1.7</v>
      </c>
      <c r="HN1687" s="2">
        <v>-0.6</v>
      </c>
      <c r="HO1687" s="2">
        <v>0.5</v>
      </c>
      <c r="HP1687" s="2">
        <v>1.8</v>
      </c>
      <c r="HQ1687" s="2">
        <v>-0.3</v>
      </c>
      <c r="HR1687" s="2">
        <v>1.1</v>
      </c>
      <c r="HS1687" s="2">
        <v>2.4</v>
      </c>
      <c r="HT1687" s="2">
        <v>-3</v>
      </c>
      <c r="HU1687" s="2">
        <v>1.3</v>
      </c>
      <c r="HV1687" s="2">
        <v>-0.4</v>
      </c>
      <c r="HW1687" s="2">
        <v>0.7</v>
      </c>
      <c r="HX1687" s="2">
        <v>1.7</v>
      </c>
      <c r="HY1687" s="2">
        <v>0.8</v>
      </c>
      <c r="HZ1687" s="2">
        <v>1.4</v>
      </c>
      <c r="IA1687" s="2">
        <v>-0.9</v>
      </c>
      <c r="IB1687" s="2">
        <v>2.1</v>
      </c>
      <c r="IC1687" s="2">
        <v>3.3</v>
      </c>
      <c r="ID1687" s="2">
        <v>-0.5</v>
      </c>
      <c r="IE1687" s="2">
        <v>1.3</v>
      </c>
      <c r="IF1687" s="2">
        <v>3.4</v>
      </c>
      <c r="IG1687" s="2">
        <v>0.4</v>
      </c>
      <c r="IH1687" s="2">
        <v>-3.8</v>
      </c>
      <c r="II1687" s="2">
        <v>0.6</v>
      </c>
      <c r="IJ1687" s="2">
        <v>3.1</v>
      </c>
      <c r="IK1687" s="2">
        <v>-0.7</v>
      </c>
      <c r="IL1687" s="2">
        <v>2.4</v>
      </c>
      <c r="IM1687" s="2">
        <v>1.9</v>
      </c>
      <c r="IN1687" s="2">
        <v>3.1</v>
      </c>
      <c r="IO1687" s="2">
        <v>1</v>
      </c>
      <c r="IP1687" s="2">
        <v>-6.9</v>
      </c>
      <c r="IQ1687" s="2">
        <v>-1.6</v>
      </c>
      <c r="IR1687" s="2">
        <v>1.6</v>
      </c>
      <c r="IS1687" s="2">
        <v>2</v>
      </c>
      <c r="IT1687" s="2">
        <v>-0.8</v>
      </c>
      <c r="IU1687" s="2">
        <v>1.3</v>
      </c>
      <c r="IV1687" s="2">
        <v>0.7</v>
      </c>
      <c r="IW1687" s="2">
        <v>-0.6</v>
      </c>
      <c r="IX1687" s="2">
        <v>0.3</v>
      </c>
      <c r="IY1687" s="2">
        <v>2.6</v>
      </c>
      <c r="IZ1687" s="2">
        <v>1.2</v>
      </c>
      <c r="JA1687" s="2">
        <v>0.1</v>
      </c>
      <c r="JB1687" s="2">
        <v>0</v>
      </c>
      <c r="JC1687" s="2">
        <v>1.1</v>
      </c>
      <c r="JD1687" s="2">
        <v>1</v>
      </c>
      <c r="JE1687" s="2">
        <v>-0.8</v>
      </c>
      <c r="JF1687" s="2">
        <v>0.7</v>
      </c>
      <c r="JG1687" s="2">
        <v>0.5</v>
      </c>
      <c r="JH1687" s="2">
        <v>-0.8</v>
      </c>
      <c r="JI1687" s="2">
        <v>2.4</v>
      </c>
      <c r="JJ1687" s="2">
        <v>-0.1</v>
      </c>
      <c r="JK1687" s="2">
        <v>1.1</v>
      </c>
      <c r="JL1687" s="2">
        <v>-0.7</v>
      </c>
      <c r="JM1687" s="2">
        <v>-0.1</v>
      </c>
      <c r="JN1687" s="2">
        <v>-2.2</v>
      </c>
      <c r="JO1687" s="2">
        <v>-3.3</v>
      </c>
      <c r="JP1687" s="2">
        <v>3.3</v>
      </c>
      <c r="JQ1687" s="2">
        <v>0.1</v>
      </c>
      <c r="JR1687" s="2">
        <v>-1.3</v>
      </c>
      <c r="JS1687" s="2">
        <v>-2.6</v>
      </c>
      <c r="JT1687" s="2">
        <v>1.1</v>
      </c>
      <c r="JU1687" s="2">
        <v>-0.6</v>
      </c>
      <c r="JV1687" s="2">
        <v>1.7</v>
      </c>
      <c r="KA1687" s="2">
        <v>1.5</v>
      </c>
      <c r="KB1687" s="2">
        <v>-0.6</v>
      </c>
      <c r="KC1687" s="2">
        <v>-0.1</v>
      </c>
      <c r="KD1687" s="2">
        <v>2.4</v>
      </c>
      <c r="KQ1687" s="2">
        <v>1.1</v>
      </c>
      <c r="KR1687" s="2">
        <v>1.6</v>
      </c>
      <c r="KS1687" s="2">
        <v>0.8</v>
      </c>
      <c r="KT1687" s="2">
        <v>-0.6</v>
      </c>
      <c r="LG1687" s="2">
        <v>-1.8</v>
      </c>
      <c r="LH1687" s="2">
        <v>3.4</v>
      </c>
      <c r="LI1687" s="2">
        <v>-0.2</v>
      </c>
      <c r="LJ1687" s="2">
        <v>1.5</v>
      </c>
      <c r="LW1687" s="2">
        <v>-1.9</v>
      </c>
      <c r="LX1687" s="2">
        <v>-6.7</v>
      </c>
      <c r="LY1687" s="2">
        <v>3.3</v>
      </c>
      <c r="LZ1687" s="2">
        <v>0.9</v>
      </c>
      <c r="MM1687" s="2">
        <v>3.2</v>
      </c>
      <c r="MN1687" s="2">
        <v>2.9</v>
      </c>
      <c r="MO1687" s="2">
        <v>3.1</v>
      </c>
      <c r="MP1687" s="2">
        <v>2.9</v>
      </c>
      <c r="NC1687" s="2">
        <v>4.2</v>
      </c>
      <c r="ND1687" s="2">
        <v>2.3</v>
      </c>
      <c r="NE1687" s="2">
        <v>-0.4</v>
      </c>
      <c r="NF1687" s="2">
        <v>1.7</v>
      </c>
      <c r="NS1687" s="2">
        <v>0.7</v>
      </c>
      <c r="NT1687" s="2">
        <v>-0.1</v>
      </c>
      <c r="NU1687" s="2">
        <v>3.2</v>
      </c>
      <c r="NV1687" s="2">
        <v>-0.1</v>
      </c>
      <c r="OI1687" s="2">
        <v>0.5</v>
      </c>
      <c r="OJ1687" s="2">
        <v>0.9</v>
      </c>
      <c r="OK1687" s="2">
        <v>-2.2</v>
      </c>
      <c r="OL1687" s="2">
        <v>-0.7</v>
      </c>
      <c r="OY1687" s="2">
        <v>1</v>
      </c>
      <c r="OZ1687" s="2">
        <v>-0.7</v>
      </c>
      <c r="PA1687" s="2">
        <v>1.2</v>
      </c>
      <c r="PB1687" s="2">
        <v>0.7</v>
      </c>
      <c r="PJ1687" s="2">
        <v>2</v>
      </c>
      <c r="PK1687" s="2">
        <v>-0.7</v>
      </c>
    </row>
    <row r="1688">
      <c r="A1688" t="inlineStr">
        <is>
          <t>A2326660X</t>
        </is>
      </c>
      <c r="B1688" t="inlineStr">
        <is>
          <t>Percentage Change from Previous Period ;  Private motoring ;  Australia ;</t>
        </is>
      </c>
      <c r="C1688" t="inlineStr">
        <is>
          <t>Quarter</t>
        </is>
      </c>
      <c r="D1688" t="inlineStr">
        <is>
          <t>Percent</t>
        </is>
      </c>
      <c r="E1688" t="inlineStr">
        <is>
          <t>Original</t>
        </is>
      </c>
      <c r="F1688" t="inlineStr">
        <is>
          <t>6401018.xlsx</t>
        </is>
      </c>
      <c r="G1688" t="inlineStr">
        <is>
          <t>1972Q4</t>
        </is>
      </c>
      <c r="H1688" t="inlineStr">
        <is>
          <t>2026Q2</t>
        </is>
      </c>
      <c r="DB1688" s="2">
        <v>0</v>
      </c>
      <c r="DC1688" s="2">
        <v>0.5</v>
      </c>
      <c r="DD1688" s="2">
        <v>0.6</v>
      </c>
      <c r="DE1688" s="2">
        <v>2.6</v>
      </c>
      <c r="DF1688" s="2">
        <v>3.9</v>
      </c>
      <c r="DG1688" s="2">
        <v>2.3</v>
      </c>
      <c r="DH1688" s="2">
        <v>2.8</v>
      </c>
      <c r="DI1688" s="2">
        <v>8.199999999999999</v>
      </c>
      <c r="DJ1688" s="2">
        <v>4.5</v>
      </c>
      <c r="DK1688" s="2">
        <v>4.9</v>
      </c>
      <c r="DL1688" s="2">
        <v>3.4</v>
      </c>
      <c r="DM1688" s="2">
        <v>4.8</v>
      </c>
      <c r="DN1688" s="2">
        <v>6</v>
      </c>
      <c r="DO1688" s="2">
        <v>2.6</v>
      </c>
      <c r="DP1688" s="2">
        <v>1.3</v>
      </c>
      <c r="DQ1688" s="2">
        <v>2.5</v>
      </c>
      <c r="DR1688" s="2">
        <v>1.6</v>
      </c>
      <c r="DS1688" s="2">
        <v>3.3</v>
      </c>
      <c r="DT1688" s="2">
        <v>1.8</v>
      </c>
      <c r="DU1688" s="2">
        <v>1.8</v>
      </c>
      <c r="DV1688" s="2">
        <v>3.1</v>
      </c>
      <c r="DW1688" s="2">
        <v>1.1</v>
      </c>
      <c r="DX1688" s="2">
        <v>1.4</v>
      </c>
      <c r="DY1688" s="2">
        <v>2.2</v>
      </c>
      <c r="DZ1688" s="2">
        <v>3.7</v>
      </c>
      <c r="EA1688" s="2">
        <v>2</v>
      </c>
      <c r="EB1688" s="2">
        <v>3.6</v>
      </c>
      <c r="EC1688" s="2">
        <v>3.6</v>
      </c>
      <c r="ED1688" s="2">
        <v>3.5</v>
      </c>
      <c r="EE1688" s="2">
        <v>0</v>
      </c>
      <c r="EF1688" s="2">
        <v>5.4</v>
      </c>
      <c r="EG1688" s="2">
        <v>-0.4</v>
      </c>
      <c r="EH1688" s="2">
        <v>1.3</v>
      </c>
      <c r="EI1688" s="2">
        <v>3.8</v>
      </c>
      <c r="EJ1688" s="2">
        <v>4.3</v>
      </c>
      <c r="EK1688" s="2">
        <v>-0.6</v>
      </c>
      <c r="EL1688" s="2">
        <v>4.1</v>
      </c>
      <c r="EM1688" s="2">
        <v>1.1</v>
      </c>
      <c r="EN1688" s="2">
        <v>3.4</v>
      </c>
      <c r="EO1688" s="2">
        <v>5.6</v>
      </c>
      <c r="EP1688" s="2">
        <v>1</v>
      </c>
      <c r="EQ1688" s="2">
        <v>3.2</v>
      </c>
      <c r="ER1688" s="2">
        <v>0</v>
      </c>
      <c r="ES1688" s="2">
        <v>3.6</v>
      </c>
      <c r="ET1688" s="2">
        <v>2.2</v>
      </c>
      <c r="EU1688" s="2">
        <v>0.6</v>
      </c>
      <c r="EV1688" s="2">
        <v>2.2</v>
      </c>
      <c r="EW1688" s="2">
        <v>1</v>
      </c>
      <c r="EX1688" s="2">
        <v>0.8</v>
      </c>
      <c r="EY1688" s="2">
        <v>1.9</v>
      </c>
      <c r="EZ1688" s="2">
        <v>4.7</v>
      </c>
      <c r="FA1688" s="2">
        <v>2.1</v>
      </c>
      <c r="FB1688" s="2">
        <v>0.4</v>
      </c>
      <c r="FC1688" s="2">
        <v>3.7</v>
      </c>
      <c r="FD1688" s="2">
        <v>-1.8</v>
      </c>
      <c r="FE1688" s="2">
        <v>4.9</v>
      </c>
      <c r="FF1688" s="2">
        <v>4.8</v>
      </c>
      <c r="FG1688" s="2">
        <v>3</v>
      </c>
      <c r="FH1688" s="2">
        <v>0.8</v>
      </c>
      <c r="FI1688" s="2">
        <v>1.9</v>
      </c>
      <c r="FJ1688" s="2">
        <v>2.7</v>
      </c>
      <c r="FK1688" s="2">
        <v>1</v>
      </c>
      <c r="FL1688" s="2">
        <v>-0.3</v>
      </c>
      <c r="FM1688" s="2">
        <v>1.2</v>
      </c>
      <c r="FN1688" s="2">
        <v>0.2</v>
      </c>
      <c r="FO1688" s="2">
        <v>1.1</v>
      </c>
      <c r="FP1688" s="2">
        <v>2.5</v>
      </c>
      <c r="FQ1688" s="2">
        <v>2</v>
      </c>
      <c r="FR1688" s="2">
        <v>2.4</v>
      </c>
      <c r="FS1688" s="2">
        <v>2.7</v>
      </c>
      <c r="FT1688" s="2">
        <v>0.6</v>
      </c>
      <c r="FU1688" s="2">
        <v>1.7</v>
      </c>
      <c r="FV1688" s="2">
        <v>6.9</v>
      </c>
      <c r="FW1688" s="2">
        <v>-5</v>
      </c>
      <c r="FX1688" s="2">
        <v>-0.8</v>
      </c>
      <c r="FY1688" s="2">
        <v>1.8</v>
      </c>
      <c r="FZ1688" s="2">
        <v>1.7</v>
      </c>
      <c r="GA1688" s="2">
        <v>-0.1</v>
      </c>
      <c r="GB1688" s="2">
        <v>-0.5</v>
      </c>
      <c r="GC1688" s="2">
        <v>1.9</v>
      </c>
      <c r="GD1688" s="2">
        <v>0</v>
      </c>
      <c r="GE1688" s="2">
        <v>0.2</v>
      </c>
      <c r="GF1688" s="2">
        <v>0.7</v>
      </c>
      <c r="GG1688" s="2">
        <v>0.9</v>
      </c>
      <c r="GH1688" s="2">
        <v>0.4</v>
      </c>
      <c r="GI1688" s="2">
        <v>-0.4</v>
      </c>
      <c r="GJ1688" s="2">
        <v>2</v>
      </c>
      <c r="GK1688" s="2">
        <v>1.5</v>
      </c>
      <c r="GL1688" s="2">
        <v>-0.3</v>
      </c>
      <c r="GM1688" s="2">
        <v>0.4</v>
      </c>
      <c r="GN1688" s="2">
        <v>1.4</v>
      </c>
      <c r="GO1688" s="2">
        <v>2.7</v>
      </c>
      <c r="GP1688" s="2">
        <v>0.2</v>
      </c>
      <c r="GQ1688" s="2">
        <v>0.2</v>
      </c>
      <c r="GR1688" s="2">
        <v>1.2</v>
      </c>
      <c r="GS1688" s="2">
        <v>-0.7</v>
      </c>
      <c r="GT1688" s="2">
        <v>1</v>
      </c>
      <c r="GU1688" s="2">
        <v>0.5</v>
      </c>
      <c r="GV1688" s="2">
        <v>-1.2</v>
      </c>
      <c r="GW1688" s="2">
        <v>0.3</v>
      </c>
      <c r="GX1688" s="2">
        <v>-0.3</v>
      </c>
      <c r="GY1688" s="2">
        <v>-1.1</v>
      </c>
      <c r="GZ1688" s="2">
        <v>0</v>
      </c>
      <c r="HA1688" s="2">
        <v>-0.6</v>
      </c>
      <c r="HB1688" s="2">
        <v>-0.3</v>
      </c>
      <c r="HC1688" s="2">
        <v>-0.7</v>
      </c>
      <c r="HD1688" s="2">
        <v>1.5</v>
      </c>
      <c r="HE1688" s="2">
        <v>3.4</v>
      </c>
      <c r="HF1688" s="2">
        <v>-0.6</v>
      </c>
      <c r="HG1688" s="2">
        <v>3.1</v>
      </c>
      <c r="HH1688" s="2">
        <v>1.7</v>
      </c>
      <c r="HI1688" s="2">
        <v>2.3</v>
      </c>
      <c r="HJ1688" s="2">
        <v>0.5</v>
      </c>
      <c r="HK1688" s="2">
        <v>0.1</v>
      </c>
      <c r="HL1688" s="2">
        <v>2.1</v>
      </c>
      <c r="HM1688" s="2">
        <v>-2</v>
      </c>
      <c r="HN1688" s="2">
        <v>-0.7</v>
      </c>
      <c r="HO1688" s="2">
        <v>0.5</v>
      </c>
      <c r="HP1688" s="2">
        <v>2</v>
      </c>
      <c r="HQ1688" s="2">
        <v>-0.4</v>
      </c>
      <c r="HR1688" s="2">
        <v>1.1</v>
      </c>
      <c r="HS1688" s="2">
        <v>2.5</v>
      </c>
      <c r="HT1688" s="2">
        <v>-3.2</v>
      </c>
      <c r="HU1688" s="2">
        <v>1.2</v>
      </c>
      <c r="HV1688" s="2">
        <v>-0.4</v>
      </c>
      <c r="HW1688" s="2">
        <v>0.6</v>
      </c>
      <c r="HX1688" s="2">
        <v>1.8</v>
      </c>
      <c r="HY1688" s="2">
        <v>0.8</v>
      </c>
      <c r="HZ1688" s="2">
        <v>1.4</v>
      </c>
      <c r="IA1688" s="2">
        <v>-1.1</v>
      </c>
      <c r="IB1688" s="2">
        <v>2.2</v>
      </c>
      <c r="IC1688" s="2">
        <v>3.4</v>
      </c>
      <c r="ID1688" s="2">
        <v>-0.6</v>
      </c>
      <c r="IE1688" s="2">
        <v>1.3</v>
      </c>
      <c r="IF1688" s="2">
        <v>3.6</v>
      </c>
      <c r="IG1688" s="2">
        <v>0.2</v>
      </c>
      <c r="IH1688" s="2">
        <v>-4</v>
      </c>
      <c r="II1688" s="2">
        <v>0.7</v>
      </c>
      <c r="IJ1688" s="2">
        <v>3.2</v>
      </c>
      <c r="IK1688" s="2">
        <v>-0.8</v>
      </c>
      <c r="IL1688" s="2">
        <v>2.5</v>
      </c>
      <c r="IM1688" s="2">
        <v>2</v>
      </c>
      <c r="IN1688" s="2">
        <v>3.3</v>
      </c>
      <c r="IO1688" s="2">
        <v>1</v>
      </c>
      <c r="IP1688" s="2">
        <v>-7.4</v>
      </c>
      <c r="IQ1688" s="2">
        <v>-1.9</v>
      </c>
      <c r="IR1688" s="2">
        <v>1.7</v>
      </c>
      <c r="IS1688" s="2">
        <v>2</v>
      </c>
      <c r="IT1688" s="2">
        <v>-0.9</v>
      </c>
      <c r="IU1688" s="2">
        <v>1.2</v>
      </c>
      <c r="IV1688" s="2">
        <v>0.9</v>
      </c>
      <c r="IW1688" s="2">
        <v>-0.7</v>
      </c>
      <c r="IX1688" s="2">
        <v>0.3</v>
      </c>
      <c r="IY1688" s="2">
        <v>2.7</v>
      </c>
      <c r="IZ1688" s="2">
        <v>1.2</v>
      </c>
      <c r="JA1688" s="2">
        <v>0.1</v>
      </c>
      <c r="JB1688" s="2">
        <v>0</v>
      </c>
      <c r="JC1688" s="2">
        <v>0.8</v>
      </c>
      <c r="JD1688" s="2">
        <v>1</v>
      </c>
      <c r="JE1688" s="2">
        <v>-0.9</v>
      </c>
      <c r="JF1688" s="2">
        <v>0.8</v>
      </c>
      <c r="JG1688" s="2">
        <v>0.3</v>
      </c>
      <c r="JH1688" s="2">
        <v>-0.9</v>
      </c>
      <c r="JI1688" s="2">
        <v>2.5</v>
      </c>
      <c r="JJ1688" s="2">
        <v>-0.2</v>
      </c>
      <c r="JK1688" s="2">
        <v>1</v>
      </c>
      <c r="JL1688" s="2">
        <v>-0.8</v>
      </c>
      <c r="JM1688" s="2">
        <v>-0.1</v>
      </c>
      <c r="JN1688" s="2">
        <v>-2.3</v>
      </c>
      <c r="JO1688" s="2">
        <v>-3.3</v>
      </c>
      <c r="JP1688" s="2">
        <v>3.5</v>
      </c>
      <c r="JQ1688" s="2">
        <v>0.1</v>
      </c>
      <c r="JR1688" s="2">
        <v>-1.4</v>
      </c>
      <c r="JS1688" s="2">
        <v>-2.8</v>
      </c>
      <c r="JT1688" s="2">
        <v>1.2</v>
      </c>
      <c r="JU1688" s="2">
        <v>-0.6</v>
      </c>
      <c r="JV1688" s="2">
        <v>1.7</v>
      </c>
      <c r="KA1688" s="2">
        <v>1.7</v>
      </c>
      <c r="KB1688" s="2">
        <v>-0.6</v>
      </c>
      <c r="KC1688" s="2">
        <v>-0.2</v>
      </c>
      <c r="KD1688" s="2">
        <v>2.6</v>
      </c>
      <c r="KQ1688" s="2">
        <v>1.1</v>
      </c>
      <c r="KR1688" s="2">
        <v>1.7</v>
      </c>
      <c r="KS1688" s="2">
        <v>0.7</v>
      </c>
      <c r="KT1688" s="2">
        <v>-0.6</v>
      </c>
      <c r="LG1688" s="2">
        <v>-2</v>
      </c>
      <c r="LH1688" s="2">
        <v>3.7</v>
      </c>
      <c r="LI1688" s="2">
        <v>-0.3</v>
      </c>
      <c r="LJ1688" s="2">
        <v>1.6</v>
      </c>
      <c r="LW1688" s="2">
        <v>-2.1</v>
      </c>
      <c r="LX1688" s="2">
        <v>-7.1</v>
      </c>
      <c r="LY1688" s="2">
        <v>3.8</v>
      </c>
      <c r="LZ1688" s="2">
        <v>0.7</v>
      </c>
      <c r="MM1688" s="2">
        <v>3.3</v>
      </c>
      <c r="MN1688" s="2">
        <v>3</v>
      </c>
      <c r="MO1688" s="2">
        <v>3.2</v>
      </c>
      <c r="MP1688" s="2">
        <v>3</v>
      </c>
      <c r="NC1688" s="2">
        <v>4.3</v>
      </c>
      <c r="ND1688" s="2">
        <v>2.5</v>
      </c>
      <c r="NE1688" s="2">
        <v>-0.7</v>
      </c>
      <c r="NF1688" s="2">
        <v>1.8</v>
      </c>
      <c r="NS1688" s="2">
        <v>0.6</v>
      </c>
      <c r="NT1688" s="2">
        <v>-0.1</v>
      </c>
      <c r="NU1688" s="2">
        <v>3.2</v>
      </c>
      <c r="NV1688" s="2">
        <v>-0.2</v>
      </c>
      <c r="OI1688" s="2">
        <v>0.6</v>
      </c>
      <c r="OJ1688" s="2">
        <v>0.9</v>
      </c>
      <c r="OK1688" s="2">
        <v>-2.2</v>
      </c>
      <c r="OL1688" s="2">
        <v>-0.6</v>
      </c>
      <c r="OY1688" s="2">
        <v>1</v>
      </c>
      <c r="OZ1688" s="2">
        <v>-0.8</v>
      </c>
      <c r="PA1688" s="2">
        <v>1.2</v>
      </c>
      <c r="PB1688" s="2">
        <v>0.7</v>
      </c>
      <c r="PJ1688" s="2">
        <v>2.2</v>
      </c>
      <c r="PK1688" s="2">
        <v>-0.3</v>
      </c>
    </row>
    <row r="1689">
      <c r="A1689" t="inlineStr">
        <is>
          <t>A2328595A</t>
        </is>
      </c>
      <c r="B1689" t="inlineStr">
        <is>
          <t>Percentage Change from Previous Period ;  Motor vehicles ;  Australia ;</t>
        </is>
      </c>
      <c r="C1689" t="inlineStr">
        <is>
          <t>Quarter</t>
        </is>
      </c>
      <c r="D1689" t="inlineStr">
        <is>
          <t>Percent</t>
        </is>
      </c>
      <c r="E1689" t="inlineStr">
        <is>
          <t>Original</t>
        </is>
      </c>
      <c r="F1689" t="inlineStr">
        <is>
          <t>6401018.xlsx</t>
        </is>
      </c>
      <c r="G1689" t="inlineStr">
        <is>
          <t>1972Q4</t>
        </is>
      </c>
      <c r="H1689" t="inlineStr">
        <is>
          <t>2026Q2</t>
        </is>
      </c>
      <c r="DB1689" s="2">
        <v>0</v>
      </c>
      <c r="DC1689" s="2">
        <v>0</v>
      </c>
      <c r="DD1689" s="2">
        <v>0.5</v>
      </c>
      <c r="DE1689" s="2">
        <v>2</v>
      </c>
      <c r="DF1689" s="2">
        <v>2.4</v>
      </c>
      <c r="DG1689" s="2">
        <v>3.3</v>
      </c>
      <c r="DH1689" s="2">
        <v>0.9</v>
      </c>
      <c r="DI1689" s="2">
        <v>7.6</v>
      </c>
      <c r="DJ1689" s="2">
        <v>7.8</v>
      </c>
      <c r="DK1689" s="2">
        <v>-3.8</v>
      </c>
      <c r="DL1689" s="2">
        <v>5.2</v>
      </c>
      <c r="DM1689" s="2">
        <v>7.9</v>
      </c>
      <c r="DN1689" s="2">
        <v>7.7</v>
      </c>
      <c r="DO1689" s="2">
        <v>2.3</v>
      </c>
      <c r="DP1689" s="2">
        <v>2.9</v>
      </c>
      <c r="DQ1689" s="2">
        <v>2.8</v>
      </c>
      <c r="DR1689" s="2">
        <v>2.1</v>
      </c>
      <c r="DS1689" s="2">
        <v>2.7</v>
      </c>
      <c r="DT1689" s="2">
        <v>2.9</v>
      </c>
      <c r="DU1689" s="2">
        <v>2.2</v>
      </c>
      <c r="DV1689" s="2">
        <v>1.4</v>
      </c>
      <c r="DW1689" s="2">
        <v>2.7</v>
      </c>
      <c r="DX1689" s="2">
        <v>2.4</v>
      </c>
      <c r="DY1689" s="2">
        <v>3.3</v>
      </c>
      <c r="DZ1689" s="2">
        <v>-3.2</v>
      </c>
      <c r="EA1689" s="2">
        <v>2.3</v>
      </c>
      <c r="EB1689" s="2">
        <v>1</v>
      </c>
      <c r="EC1689" s="2">
        <v>2</v>
      </c>
      <c r="ED1689" s="2">
        <v>1.2</v>
      </c>
      <c r="EE1689" s="2">
        <v>1.9</v>
      </c>
      <c r="EF1689" s="2">
        <v>0.7</v>
      </c>
      <c r="EG1689" s="2">
        <v>0</v>
      </c>
      <c r="EH1689" s="2">
        <v>1.9</v>
      </c>
      <c r="EI1689" s="2">
        <v>2.3</v>
      </c>
      <c r="EJ1689" s="2">
        <v>1.8</v>
      </c>
      <c r="EK1689" s="2">
        <v>2.4</v>
      </c>
      <c r="EL1689" s="2">
        <v>4.1</v>
      </c>
      <c r="EM1689" s="2">
        <v>2.1</v>
      </c>
      <c r="EN1689" s="2">
        <v>1</v>
      </c>
      <c r="EO1689" s="2">
        <v>2.6</v>
      </c>
      <c r="EP1689" s="2">
        <v>0.6</v>
      </c>
      <c r="EQ1689" s="2">
        <v>3.1</v>
      </c>
      <c r="ER1689" s="2">
        <v>3.4</v>
      </c>
      <c r="ES1689" s="2">
        <v>1.3</v>
      </c>
      <c r="ET1689" s="2">
        <v>0.9</v>
      </c>
      <c r="EU1689" s="2">
        <v>0.9</v>
      </c>
      <c r="EV1689" s="2">
        <v>1.4</v>
      </c>
      <c r="EW1689" s="2">
        <v>1</v>
      </c>
      <c r="EX1689" s="2">
        <v>1.6</v>
      </c>
      <c r="EY1689" s="2">
        <v>2.9</v>
      </c>
      <c r="EZ1689" s="2">
        <v>3.1</v>
      </c>
      <c r="FA1689" s="2">
        <v>2.2</v>
      </c>
      <c r="FB1689" s="2">
        <v>3</v>
      </c>
      <c r="FC1689" s="2">
        <v>4.9</v>
      </c>
      <c r="FD1689" s="2">
        <v>2.6</v>
      </c>
      <c r="FE1689" s="2">
        <v>5.1</v>
      </c>
      <c r="FF1689" s="2">
        <v>6.7</v>
      </c>
      <c r="FG1689" s="2">
        <v>3.2</v>
      </c>
      <c r="FH1689" s="2">
        <v>2</v>
      </c>
      <c r="FI1689" s="2">
        <v>2.4</v>
      </c>
      <c r="FJ1689" s="2">
        <v>2.7</v>
      </c>
      <c r="FK1689" s="2">
        <v>2.1</v>
      </c>
      <c r="FL1689" s="2">
        <v>2.5</v>
      </c>
      <c r="FM1689" s="2">
        <v>2.5</v>
      </c>
      <c r="FN1689" s="2">
        <v>1.3</v>
      </c>
      <c r="FO1689" s="2">
        <v>1.5</v>
      </c>
      <c r="FP1689" s="2">
        <v>0.6</v>
      </c>
      <c r="FQ1689" s="2">
        <v>1.1</v>
      </c>
      <c r="FR1689" s="2">
        <v>1.7</v>
      </c>
      <c r="FS1689" s="2">
        <v>1</v>
      </c>
      <c r="FT1689" s="2">
        <v>-0.2</v>
      </c>
      <c r="FU1689" s="2">
        <v>-1.8</v>
      </c>
      <c r="FV1689" s="2">
        <v>1.5</v>
      </c>
      <c r="FW1689" s="2">
        <v>-0.7</v>
      </c>
      <c r="FX1689" s="2">
        <v>2</v>
      </c>
      <c r="FY1689" s="2">
        <v>1.5</v>
      </c>
      <c r="FZ1689" s="2">
        <v>1.9</v>
      </c>
      <c r="GA1689" s="2">
        <v>0.5</v>
      </c>
      <c r="GB1689" s="2">
        <v>-1.1</v>
      </c>
      <c r="GC1689" s="2">
        <v>1.2</v>
      </c>
      <c r="GD1689" s="2">
        <v>0.7</v>
      </c>
      <c r="GE1689" s="2">
        <v>2.6</v>
      </c>
      <c r="GF1689" s="2">
        <v>1.7</v>
      </c>
      <c r="GG1689" s="2">
        <v>2.1</v>
      </c>
      <c r="GH1689" s="2">
        <v>-0.9</v>
      </c>
      <c r="GI1689" s="2">
        <v>1.4</v>
      </c>
      <c r="GJ1689" s="2">
        <v>0.2</v>
      </c>
      <c r="GK1689" s="2">
        <v>1.8</v>
      </c>
      <c r="GL1689" s="2">
        <v>1.1</v>
      </c>
      <c r="GM1689" s="2">
        <v>-0.3</v>
      </c>
      <c r="GN1689" s="2">
        <v>2.2</v>
      </c>
      <c r="GO1689" s="2">
        <v>1.6</v>
      </c>
      <c r="GP1689" s="2">
        <v>0.1</v>
      </c>
      <c r="GQ1689" s="2">
        <v>-0.2</v>
      </c>
      <c r="GR1689" s="2">
        <v>0</v>
      </c>
      <c r="GS1689" s="2">
        <v>-1.9</v>
      </c>
      <c r="GT1689" s="2">
        <v>-0.7</v>
      </c>
      <c r="GU1689" s="2">
        <v>-1.9</v>
      </c>
      <c r="GV1689" s="2">
        <v>-2.9</v>
      </c>
      <c r="GW1689" s="2">
        <v>1.1</v>
      </c>
      <c r="GX1689" s="2">
        <v>-3.2</v>
      </c>
      <c r="GY1689" s="2">
        <v>0.8</v>
      </c>
      <c r="GZ1689" s="2">
        <v>-2.1</v>
      </c>
      <c r="HA1689" s="2">
        <v>-2</v>
      </c>
      <c r="HB1689" s="2">
        <v>-0.8</v>
      </c>
      <c r="HC1689" s="2">
        <v>-0.5</v>
      </c>
      <c r="HD1689" s="2">
        <v>-0.4</v>
      </c>
      <c r="HE1689" s="2">
        <v>0.7</v>
      </c>
      <c r="HF1689" s="2">
        <v>-1.6</v>
      </c>
      <c r="HG1689" s="2">
        <v>0.5</v>
      </c>
      <c r="HH1689" s="2">
        <v>0</v>
      </c>
      <c r="HI1689" s="2">
        <v>-2.5</v>
      </c>
      <c r="HJ1689" s="2">
        <v>-0.4</v>
      </c>
      <c r="HK1689" s="2">
        <v>1.9</v>
      </c>
      <c r="HL1689" s="2">
        <v>2</v>
      </c>
      <c r="HM1689" s="2">
        <v>0.3</v>
      </c>
      <c r="HN1689" s="2">
        <v>0.6</v>
      </c>
      <c r="HO1689" s="2">
        <v>0.9</v>
      </c>
      <c r="HP1689" s="2">
        <v>-0.9</v>
      </c>
      <c r="HQ1689" s="2">
        <v>-1</v>
      </c>
      <c r="HR1689" s="2">
        <v>1</v>
      </c>
      <c r="HS1689" s="2">
        <v>-0.5</v>
      </c>
      <c r="HT1689" s="2">
        <v>-0.9</v>
      </c>
      <c r="HU1689" s="2">
        <v>-0.5</v>
      </c>
      <c r="HV1689" s="2">
        <v>-0.7</v>
      </c>
      <c r="HW1689" s="2">
        <v>-1.8</v>
      </c>
      <c r="HX1689" s="2">
        <v>0</v>
      </c>
      <c r="HY1689" s="2">
        <v>-1.8</v>
      </c>
      <c r="HZ1689" s="2">
        <v>1.5</v>
      </c>
      <c r="IA1689" s="2">
        <v>-1.4</v>
      </c>
      <c r="IB1689" s="2">
        <v>-1.1</v>
      </c>
      <c r="IC1689" s="2">
        <v>-0.3</v>
      </c>
      <c r="ID1689" s="2">
        <v>-1.1</v>
      </c>
      <c r="IE1689" s="2">
        <v>1.4</v>
      </c>
      <c r="IF1689" s="2">
        <v>-1</v>
      </c>
      <c r="IG1689" s="2">
        <v>0.8</v>
      </c>
      <c r="IH1689" s="2">
        <v>0.3</v>
      </c>
      <c r="II1689" s="2">
        <v>0.1</v>
      </c>
      <c r="IJ1689" s="2">
        <v>0.2</v>
      </c>
      <c r="IK1689" s="2">
        <v>-0.1</v>
      </c>
      <c r="IL1689" s="2">
        <v>-0.7</v>
      </c>
      <c r="IM1689" s="2">
        <v>-0.4</v>
      </c>
      <c r="IN1689" s="2">
        <v>0</v>
      </c>
      <c r="IO1689" s="2">
        <v>-0.8</v>
      </c>
      <c r="IP1689" s="2">
        <v>-2.3</v>
      </c>
      <c r="IQ1689" s="2">
        <v>1.3</v>
      </c>
      <c r="IR1689" s="2">
        <v>1</v>
      </c>
      <c r="IS1689" s="2">
        <v>0.4</v>
      </c>
      <c r="IT1689" s="2">
        <v>-0.3</v>
      </c>
      <c r="IU1689" s="2">
        <v>-0.6</v>
      </c>
      <c r="IV1689" s="2">
        <v>-0.2</v>
      </c>
      <c r="IW1689" s="2">
        <v>0.3</v>
      </c>
      <c r="IX1689" s="2">
        <v>-1</v>
      </c>
      <c r="IY1689" s="2">
        <v>-0.6</v>
      </c>
      <c r="IZ1689" s="2">
        <v>-0.2</v>
      </c>
      <c r="JA1689" s="2">
        <v>-1.1</v>
      </c>
      <c r="JB1689" s="2">
        <v>-1.2</v>
      </c>
      <c r="JC1689" s="2">
        <v>-0.5</v>
      </c>
      <c r="JD1689" s="2">
        <v>1.2</v>
      </c>
      <c r="JE1689" s="2">
        <v>-1.1</v>
      </c>
      <c r="JF1689" s="2">
        <v>-0.8</v>
      </c>
      <c r="JG1689" s="2">
        <v>-1.4</v>
      </c>
      <c r="JH1689" s="2">
        <v>-0.2</v>
      </c>
      <c r="JI1689" s="2">
        <v>-0.8</v>
      </c>
      <c r="JJ1689" s="2">
        <v>-0.6</v>
      </c>
      <c r="JK1689" s="2">
        <v>0.4</v>
      </c>
      <c r="JL1689" s="2">
        <v>0.3</v>
      </c>
      <c r="JM1689" s="2">
        <v>-0.4</v>
      </c>
      <c r="JN1689" s="2">
        <v>-1.2</v>
      </c>
      <c r="JO1689" s="2">
        <v>0.5</v>
      </c>
      <c r="JP1689" s="2">
        <v>-0.3</v>
      </c>
      <c r="JQ1689" s="2">
        <v>1</v>
      </c>
      <c r="JR1689" s="2">
        <v>-0.3</v>
      </c>
      <c r="JS1689" s="2">
        <v>0.8</v>
      </c>
      <c r="JT1689" s="2">
        <v>-1.4</v>
      </c>
      <c r="JU1689" s="2">
        <v>-0.6</v>
      </c>
      <c r="JV1689" s="2">
        <v>-0.6</v>
      </c>
      <c r="KA1689" s="2">
        <v>-0.4</v>
      </c>
      <c r="KB1689" s="2">
        <v>0.4</v>
      </c>
      <c r="KC1689" s="2">
        <v>-0.5</v>
      </c>
      <c r="KD1689" s="2">
        <v>-1</v>
      </c>
      <c r="KQ1689" s="2">
        <v>1.4</v>
      </c>
      <c r="KR1689" s="2">
        <v>-2</v>
      </c>
      <c r="KS1689" s="2">
        <v>-0.2</v>
      </c>
      <c r="KT1689" s="2">
        <v>-0.3</v>
      </c>
      <c r="LG1689" s="2">
        <v>2.4</v>
      </c>
      <c r="LH1689" s="2">
        <v>1.4</v>
      </c>
      <c r="LI1689" s="2">
        <v>0.2</v>
      </c>
      <c r="LJ1689" s="2">
        <v>-0.6</v>
      </c>
      <c r="LW1689" s="2">
        <v>-0.7</v>
      </c>
      <c r="LX1689" s="2">
        <v>0.5</v>
      </c>
      <c r="LY1689" s="2">
        <v>2.5</v>
      </c>
      <c r="LZ1689" s="2">
        <v>1.8</v>
      </c>
      <c r="MM1689" s="2">
        <v>0.7</v>
      </c>
      <c r="MN1689" s="2">
        <v>2.2</v>
      </c>
      <c r="MO1689" s="2">
        <v>1.4</v>
      </c>
      <c r="MP1689" s="2">
        <v>1.9</v>
      </c>
      <c r="NC1689" s="2">
        <v>1</v>
      </c>
      <c r="ND1689" s="2">
        <v>1.2</v>
      </c>
      <c r="NE1689" s="2">
        <v>0.5</v>
      </c>
      <c r="NF1689" s="2">
        <v>2.3</v>
      </c>
      <c r="NS1689" s="2">
        <v>1.8</v>
      </c>
      <c r="NT1689" s="2">
        <v>-0.6</v>
      </c>
      <c r="NU1689" s="2">
        <v>0.5</v>
      </c>
      <c r="NV1689" s="2">
        <v>-0.5</v>
      </c>
      <c r="OI1689" s="2">
        <v>1</v>
      </c>
      <c r="OJ1689" s="2">
        <v>-0.3</v>
      </c>
      <c r="OK1689" s="2">
        <v>-0.8</v>
      </c>
      <c r="OL1689" s="2">
        <v>-0.1</v>
      </c>
      <c r="OY1689" s="2">
        <v>0.2</v>
      </c>
      <c r="OZ1689" s="2">
        <v>-0.2</v>
      </c>
      <c r="PA1689" s="2">
        <v>0.7</v>
      </c>
      <c r="PB1689" s="2">
        <v>-0.1</v>
      </c>
      <c r="PJ1689" s="2">
        <v>1</v>
      </c>
      <c r="PK1689" s="2">
        <v>-0.3</v>
      </c>
    </row>
    <row r="1690">
      <c r="A1690" t="inlineStr">
        <is>
          <t>A2328730F</t>
        </is>
      </c>
      <c r="B1690" t="inlineStr">
        <is>
          <t>Percentage Change from Previous Period ;  Spare parts and accessories for motor vehicles ;  Australia ;</t>
        </is>
      </c>
      <c r="C1690" t="inlineStr">
        <is>
          <t>Quarter</t>
        </is>
      </c>
      <c r="D1690" t="inlineStr">
        <is>
          <t>Percent</t>
        </is>
      </c>
      <c r="E1690" t="inlineStr">
        <is>
          <t>Original</t>
        </is>
      </c>
      <c r="F1690" t="inlineStr">
        <is>
          <t>6401018.xlsx</t>
        </is>
      </c>
      <c r="G1690" t="inlineStr">
        <is>
          <t>1980Q4</t>
        </is>
      </c>
      <c r="H1690" t="inlineStr">
        <is>
          <t>2026Q2</t>
        </is>
      </c>
      <c r="EH1690" s="2">
        <v>2</v>
      </c>
      <c r="EI1690" s="2">
        <v>0.3</v>
      </c>
      <c r="EJ1690" s="2">
        <v>2.1</v>
      </c>
      <c r="EK1690" s="2">
        <v>-0.2</v>
      </c>
      <c r="EL1690" s="2">
        <v>2.1</v>
      </c>
      <c r="EM1690" s="2">
        <v>-1.6</v>
      </c>
      <c r="EN1690" s="2">
        <v>1.8</v>
      </c>
      <c r="EO1690" s="2">
        <v>1.9</v>
      </c>
      <c r="EP1690" s="2">
        <v>-0.3</v>
      </c>
      <c r="EQ1690" s="2">
        <v>0.2</v>
      </c>
      <c r="ER1690" s="2">
        <v>5.1</v>
      </c>
      <c r="ES1690" s="2">
        <v>3.5</v>
      </c>
      <c r="ET1690" s="2">
        <v>0.8</v>
      </c>
      <c r="EU1690" s="2">
        <v>1.6</v>
      </c>
      <c r="EV1690" s="2">
        <v>2.9</v>
      </c>
      <c r="EW1690" s="2">
        <v>1.8</v>
      </c>
      <c r="EX1690" s="2">
        <v>0.3</v>
      </c>
      <c r="EY1690" s="2">
        <v>0.8</v>
      </c>
      <c r="EZ1690" s="2">
        <v>2.4</v>
      </c>
      <c r="FA1690" s="2">
        <v>1.5</v>
      </c>
      <c r="FB1690" s="2">
        <v>0.3</v>
      </c>
      <c r="FC1690" s="2">
        <v>1.4</v>
      </c>
      <c r="FD1690" s="2">
        <v>0.9</v>
      </c>
      <c r="FE1690" s="2">
        <v>1.9</v>
      </c>
      <c r="FF1690" s="2">
        <v>2.1</v>
      </c>
      <c r="FG1690" s="2">
        <v>0.7</v>
      </c>
      <c r="FH1690" s="2">
        <v>1.8</v>
      </c>
      <c r="FI1690" s="2">
        <v>1.8</v>
      </c>
      <c r="FJ1690" s="2">
        <v>1.5</v>
      </c>
      <c r="FK1690" s="2">
        <v>2.3</v>
      </c>
      <c r="FL1690" s="2">
        <v>3.2</v>
      </c>
      <c r="FM1690" s="2">
        <v>0.2</v>
      </c>
      <c r="FN1690" s="2">
        <v>2.1</v>
      </c>
      <c r="FO1690" s="2">
        <v>0.3</v>
      </c>
      <c r="FP1690" s="2">
        <v>1.6</v>
      </c>
      <c r="FQ1690" s="2">
        <v>0.3</v>
      </c>
      <c r="FR1690" s="2">
        <v>0.2</v>
      </c>
      <c r="FS1690" s="2">
        <v>1.8</v>
      </c>
      <c r="FT1690" s="2">
        <v>1.4</v>
      </c>
      <c r="FU1690" s="2">
        <v>0</v>
      </c>
      <c r="FV1690" s="2">
        <v>1.6</v>
      </c>
      <c r="FW1690" s="2">
        <v>1.1</v>
      </c>
      <c r="FX1690" s="2">
        <v>-2.4</v>
      </c>
      <c r="FY1690" s="2">
        <v>0.3</v>
      </c>
      <c r="FZ1690" s="2">
        <v>0.2</v>
      </c>
      <c r="GA1690" s="2">
        <v>-0.6</v>
      </c>
      <c r="GB1690" s="2">
        <v>-0.3</v>
      </c>
      <c r="GC1690" s="2">
        <v>-0.8</v>
      </c>
      <c r="GD1690" s="2">
        <v>1.5</v>
      </c>
      <c r="GE1690" s="2">
        <v>0.3</v>
      </c>
      <c r="GF1690" s="2">
        <v>-1.2</v>
      </c>
      <c r="GG1690" s="2">
        <v>1.8</v>
      </c>
      <c r="GH1690" s="2">
        <v>-0.3</v>
      </c>
      <c r="GI1690" s="2">
        <v>0.5</v>
      </c>
      <c r="GJ1690" s="2">
        <v>0.3</v>
      </c>
      <c r="GK1690" s="2">
        <v>-0.1</v>
      </c>
      <c r="GL1690" s="2">
        <v>0.9</v>
      </c>
      <c r="GM1690" s="2">
        <v>0.6</v>
      </c>
      <c r="GN1690" s="2">
        <v>0.9</v>
      </c>
      <c r="GO1690" s="2">
        <v>0.7</v>
      </c>
      <c r="GP1690" s="2">
        <v>-0.6</v>
      </c>
      <c r="GQ1690" s="2">
        <v>-0.7</v>
      </c>
      <c r="GR1690" s="2">
        <v>-0.6</v>
      </c>
      <c r="GS1690" s="2">
        <v>0.7</v>
      </c>
      <c r="GT1690" s="2">
        <v>1</v>
      </c>
      <c r="GU1690" s="2">
        <v>-0.8</v>
      </c>
      <c r="GV1690" s="2">
        <v>0.5</v>
      </c>
      <c r="GW1690" s="2">
        <v>-0.2</v>
      </c>
      <c r="GX1690" s="2">
        <v>-0.5</v>
      </c>
      <c r="GY1690" s="2">
        <v>0</v>
      </c>
      <c r="GZ1690" s="2">
        <v>0.1</v>
      </c>
      <c r="HA1690" s="2">
        <v>-0.2</v>
      </c>
      <c r="HB1690" s="2">
        <v>1.1</v>
      </c>
      <c r="HC1690" s="2">
        <v>0.5</v>
      </c>
      <c r="HD1690" s="2">
        <v>-0.3</v>
      </c>
      <c r="HE1690" s="2">
        <v>0.6</v>
      </c>
      <c r="HF1690" s="2">
        <v>0</v>
      </c>
      <c r="HG1690" s="2">
        <v>-1.1</v>
      </c>
      <c r="HH1690" s="2">
        <v>-0.6</v>
      </c>
      <c r="HI1690" s="2">
        <v>-3.7</v>
      </c>
      <c r="HJ1690" s="2">
        <v>1</v>
      </c>
      <c r="HK1690" s="2">
        <v>1.7</v>
      </c>
      <c r="HL1690" s="2">
        <v>2.8</v>
      </c>
      <c r="HM1690" s="2">
        <v>1.6</v>
      </c>
      <c r="HN1690" s="2">
        <v>0.9</v>
      </c>
      <c r="HO1690" s="2">
        <v>-0.1</v>
      </c>
      <c r="HP1690" s="2">
        <v>0.6</v>
      </c>
      <c r="HQ1690" s="2">
        <v>-1.8</v>
      </c>
      <c r="HR1690" s="2">
        <v>2.9</v>
      </c>
      <c r="HS1690" s="2">
        <v>-0.5</v>
      </c>
      <c r="HT1690" s="2">
        <v>1.2</v>
      </c>
      <c r="HU1690" s="2">
        <v>-0.3</v>
      </c>
      <c r="HV1690" s="2">
        <v>0.8</v>
      </c>
      <c r="HW1690" s="2">
        <v>0.4</v>
      </c>
      <c r="HX1690" s="2">
        <v>-0.6</v>
      </c>
      <c r="HY1690" s="2">
        <v>0.5</v>
      </c>
      <c r="HZ1690" s="2">
        <v>0.5</v>
      </c>
      <c r="IA1690" s="2">
        <v>1</v>
      </c>
      <c r="IB1690" s="2">
        <v>0.2</v>
      </c>
      <c r="IC1690" s="2">
        <v>0.9</v>
      </c>
      <c r="ID1690" s="2">
        <v>1.4</v>
      </c>
      <c r="IE1690" s="2">
        <v>0</v>
      </c>
      <c r="IF1690" s="2">
        <v>1.3</v>
      </c>
      <c r="IG1690" s="2">
        <v>0.7</v>
      </c>
      <c r="IH1690" s="2">
        <v>0.6</v>
      </c>
      <c r="II1690" s="2">
        <v>1.2</v>
      </c>
      <c r="IJ1690" s="2">
        <v>1</v>
      </c>
      <c r="IK1690" s="2">
        <v>1.8</v>
      </c>
      <c r="IL1690" s="2">
        <v>1.4</v>
      </c>
      <c r="IM1690" s="2">
        <v>1.7</v>
      </c>
      <c r="IN1690" s="2">
        <v>0</v>
      </c>
      <c r="IO1690" s="2">
        <v>2.3</v>
      </c>
      <c r="IP1690" s="2">
        <v>1.9</v>
      </c>
      <c r="IQ1690" s="2">
        <v>2.7</v>
      </c>
      <c r="IR1690" s="2">
        <v>1.6</v>
      </c>
      <c r="IS1690" s="2">
        <v>0.9</v>
      </c>
      <c r="IT1690" s="2">
        <v>0</v>
      </c>
      <c r="IU1690" s="2">
        <v>-0.4</v>
      </c>
      <c r="IV1690" s="2">
        <v>-0.1</v>
      </c>
      <c r="IW1690" s="2">
        <v>0</v>
      </c>
      <c r="IX1690" s="2">
        <v>0.5</v>
      </c>
      <c r="IY1690" s="2">
        <v>-0.3</v>
      </c>
      <c r="IZ1690" s="2">
        <v>-0.2</v>
      </c>
      <c r="JA1690" s="2">
        <v>0.5</v>
      </c>
      <c r="JB1690" s="2">
        <v>0.2</v>
      </c>
      <c r="JC1690" s="2">
        <v>-0.5</v>
      </c>
      <c r="JD1690" s="2">
        <v>0.3</v>
      </c>
      <c r="JE1690" s="2">
        <v>0.5</v>
      </c>
      <c r="JF1690" s="2">
        <v>0.4</v>
      </c>
      <c r="JG1690" s="2">
        <v>-0.4</v>
      </c>
      <c r="JH1690" s="2">
        <v>-0.2</v>
      </c>
      <c r="JI1690" s="2">
        <v>-0.1</v>
      </c>
      <c r="JJ1690" s="2">
        <v>1.1</v>
      </c>
      <c r="JK1690" s="2">
        <v>0.1</v>
      </c>
      <c r="JL1690" s="2">
        <v>0.8</v>
      </c>
      <c r="JM1690" s="2">
        <v>0.1</v>
      </c>
      <c r="JN1690" s="2">
        <v>0.3</v>
      </c>
      <c r="JO1690" s="2">
        <v>2.5</v>
      </c>
      <c r="JP1690" s="2">
        <v>0.8</v>
      </c>
      <c r="JQ1690" s="2">
        <v>-0.2</v>
      </c>
      <c r="JR1690" s="2">
        <v>0.1</v>
      </c>
      <c r="JS1690" s="2">
        <v>0.3</v>
      </c>
      <c r="JT1690" s="2">
        <v>-0.1</v>
      </c>
      <c r="JU1690" s="2">
        <v>0.7</v>
      </c>
      <c r="JV1690" s="2">
        <v>-0.2</v>
      </c>
      <c r="KA1690" s="2">
        <v>0.9</v>
      </c>
      <c r="KB1690" s="2">
        <v>0</v>
      </c>
      <c r="KC1690" s="2">
        <v>1.6</v>
      </c>
      <c r="KD1690" s="2">
        <v>-0.6</v>
      </c>
      <c r="KQ1690" s="2">
        <v>0.6</v>
      </c>
      <c r="KR1690" s="2">
        <v>0.5</v>
      </c>
      <c r="KS1690" s="2">
        <v>-0.8</v>
      </c>
      <c r="KT1690" s="2">
        <v>2</v>
      </c>
      <c r="LG1690" s="2">
        <v>0.5</v>
      </c>
      <c r="LH1690" s="2">
        <v>-0.2</v>
      </c>
      <c r="LI1690" s="2">
        <v>0.3</v>
      </c>
      <c r="LJ1690" s="2">
        <v>-1.1</v>
      </c>
      <c r="LW1690" s="2">
        <v>2.2</v>
      </c>
      <c r="LX1690" s="2">
        <v>-0.5</v>
      </c>
      <c r="LY1690" s="2">
        <v>0.8</v>
      </c>
      <c r="LZ1690" s="2">
        <v>-2.2</v>
      </c>
      <c r="MM1690" s="2">
        <v>1.8</v>
      </c>
      <c r="MN1690" s="2">
        <v>0.3</v>
      </c>
      <c r="MO1690" s="2">
        <v>1.1</v>
      </c>
      <c r="MP1690" s="2">
        <v>1.2</v>
      </c>
      <c r="NC1690" s="2">
        <v>1.7</v>
      </c>
      <c r="ND1690" s="2">
        <v>5.1</v>
      </c>
      <c r="NE1690" s="2">
        <v>3</v>
      </c>
      <c r="NF1690" s="2">
        <v>2.3</v>
      </c>
      <c r="NS1690" s="2">
        <v>3.3</v>
      </c>
      <c r="NT1690" s="2">
        <v>2.6</v>
      </c>
      <c r="NU1690" s="2">
        <v>0.6</v>
      </c>
      <c r="NV1690" s="2">
        <v>-3.4</v>
      </c>
      <c r="OI1690" s="2">
        <v>3.1</v>
      </c>
      <c r="OJ1690" s="2">
        <v>1.1</v>
      </c>
      <c r="OK1690" s="2">
        <v>1</v>
      </c>
      <c r="OL1690" s="2">
        <v>0</v>
      </c>
      <c r="OY1690" s="2">
        <v>1.3</v>
      </c>
      <c r="OZ1690" s="2">
        <v>0.7</v>
      </c>
      <c r="PA1690" s="2">
        <v>-1.3</v>
      </c>
      <c r="PB1690" s="2">
        <v>0.3</v>
      </c>
      <c r="PJ1690" s="2">
        <v>-0.5</v>
      </c>
      <c r="PK1690" s="2">
        <v>1.1</v>
      </c>
    </row>
    <row r="1691">
      <c r="A1691" t="inlineStr">
        <is>
          <t>A2328640A</t>
        </is>
      </c>
      <c r="B1691" t="inlineStr">
        <is>
          <t>Percentage Change from Previous Period ;  Automotive fuel ;  Australia ;</t>
        </is>
      </c>
      <c r="C1691" t="inlineStr">
        <is>
          <t>Quarter</t>
        </is>
      </c>
      <c r="D1691" t="inlineStr">
        <is>
          <t>Percent</t>
        </is>
      </c>
      <c r="E1691" t="inlineStr">
        <is>
          <t>Original</t>
        </is>
      </c>
      <c r="F1691" t="inlineStr">
        <is>
          <t>6401018.xlsx</t>
        </is>
      </c>
      <c r="G1691" t="inlineStr">
        <is>
          <t>1972Q4</t>
        </is>
      </c>
      <c r="H1691" t="inlineStr">
        <is>
          <t>2026Q2</t>
        </is>
      </c>
      <c r="DB1691" s="2">
        <v>0</v>
      </c>
      <c r="DC1691" s="2">
        <v>-0.6</v>
      </c>
      <c r="DD1691" s="2">
        <v>-0.6</v>
      </c>
      <c r="DE1691" s="2">
        <v>3.4</v>
      </c>
      <c r="DF1691" s="2">
        <v>11.1</v>
      </c>
      <c r="DG1691" s="2">
        <v>1</v>
      </c>
      <c r="DH1691" s="2">
        <v>1</v>
      </c>
      <c r="DI1691" s="2">
        <v>4.6</v>
      </c>
      <c r="DJ1691" s="2">
        <v>0</v>
      </c>
      <c r="DK1691" s="2">
        <v>11.2</v>
      </c>
      <c r="DL1691" s="2">
        <v>2.7</v>
      </c>
      <c r="DM1691" s="2">
        <v>-1</v>
      </c>
      <c r="DN1691" s="2">
        <v>9.9</v>
      </c>
      <c r="DO1691" s="2">
        <v>2.8</v>
      </c>
      <c r="DP1691" s="2">
        <v>-3.4</v>
      </c>
      <c r="DQ1691" s="2">
        <v>1.9</v>
      </c>
      <c r="DR1691" s="2">
        <v>0</v>
      </c>
      <c r="DS1691" s="2">
        <v>4</v>
      </c>
      <c r="DT1691" s="2">
        <v>-1.5</v>
      </c>
      <c r="DU1691" s="2">
        <v>1.6</v>
      </c>
      <c r="DV1691" s="2">
        <v>9.300000000000001</v>
      </c>
      <c r="DW1691" s="2">
        <v>-1.1</v>
      </c>
      <c r="DX1691" s="2">
        <v>0.3</v>
      </c>
      <c r="DY1691" s="2">
        <v>0</v>
      </c>
      <c r="DZ1691" s="2">
        <v>20.9</v>
      </c>
      <c r="EA1691" s="2">
        <v>2.9</v>
      </c>
      <c r="EB1691" s="2">
        <v>9.9</v>
      </c>
      <c r="EC1691" s="2">
        <v>8.5</v>
      </c>
      <c r="ED1691" s="2">
        <v>10.4</v>
      </c>
      <c r="EE1691" s="2">
        <v>-2.3</v>
      </c>
      <c r="EF1691" s="2">
        <v>14.4</v>
      </c>
      <c r="EG1691" s="2">
        <v>-4</v>
      </c>
      <c r="EH1691" s="2">
        <v>2.6</v>
      </c>
      <c r="EI1691" s="2">
        <v>7.4</v>
      </c>
      <c r="EJ1691" s="2">
        <v>9.6</v>
      </c>
      <c r="EK1691" s="2">
        <v>-6</v>
      </c>
      <c r="EL1691" s="2">
        <v>4.5</v>
      </c>
      <c r="EM1691" s="2">
        <v>-2</v>
      </c>
      <c r="EN1691" s="2">
        <v>2.9</v>
      </c>
      <c r="EO1691" s="2">
        <v>12.2</v>
      </c>
      <c r="EP1691" s="2">
        <v>0.1</v>
      </c>
      <c r="EQ1691" s="2">
        <v>4.1</v>
      </c>
      <c r="ER1691" s="2">
        <v>-4.7</v>
      </c>
      <c r="ES1691" s="2">
        <v>7.5</v>
      </c>
      <c r="ET1691" s="2">
        <v>4.8</v>
      </c>
      <c r="EU1691" s="2">
        <v>-0.5</v>
      </c>
      <c r="EV1691" s="2">
        <v>3.6</v>
      </c>
      <c r="EW1691" s="2">
        <v>0.9</v>
      </c>
      <c r="EX1691" s="2">
        <v>-0.9</v>
      </c>
      <c r="EY1691" s="2">
        <v>2</v>
      </c>
      <c r="EZ1691" s="2">
        <v>9.6</v>
      </c>
      <c r="FA1691" s="2">
        <v>2.5</v>
      </c>
      <c r="FB1691" s="2">
        <v>-3.5</v>
      </c>
      <c r="FC1691" s="2">
        <v>2.4</v>
      </c>
      <c r="FD1691" s="2">
        <v>-11.2</v>
      </c>
      <c r="FE1691" s="2">
        <v>6.3</v>
      </c>
      <c r="FF1691" s="2">
        <v>6.7</v>
      </c>
      <c r="FG1691" s="2">
        <v>2.1</v>
      </c>
      <c r="FH1691" s="2">
        <v>-2.9</v>
      </c>
      <c r="FI1691" s="2">
        <v>-0.5</v>
      </c>
      <c r="FJ1691" s="2">
        <v>4.1</v>
      </c>
      <c r="FK1691" s="2">
        <v>0.6</v>
      </c>
      <c r="FL1691" s="2">
        <v>-6.1</v>
      </c>
      <c r="FM1691" s="2">
        <v>-0.6</v>
      </c>
      <c r="FN1691" s="2">
        <v>-2.4</v>
      </c>
      <c r="FO1691" s="2">
        <v>0</v>
      </c>
      <c r="FP1691" s="2">
        <v>8.300000000000001</v>
      </c>
      <c r="FQ1691" s="2">
        <v>1.5</v>
      </c>
      <c r="FR1691" s="2">
        <v>4.7</v>
      </c>
      <c r="FS1691" s="2">
        <v>6.4</v>
      </c>
      <c r="FT1691" s="2">
        <v>0.1</v>
      </c>
      <c r="FU1691" s="2">
        <v>5.3</v>
      </c>
      <c r="FV1691" s="2">
        <v>20.9</v>
      </c>
      <c r="FW1691" s="2">
        <v>-15.4</v>
      </c>
      <c r="FX1691" s="2">
        <v>-5.5</v>
      </c>
      <c r="FY1691" s="2">
        <v>5.5</v>
      </c>
      <c r="FZ1691" s="2">
        <v>-0.3</v>
      </c>
      <c r="GA1691" s="2">
        <v>-1.3</v>
      </c>
      <c r="GB1691" s="2">
        <v>0.5</v>
      </c>
      <c r="GC1691" s="2">
        <v>4.2</v>
      </c>
      <c r="GD1691" s="2">
        <v>-0.5</v>
      </c>
      <c r="GE1691" s="2">
        <v>-3.3</v>
      </c>
      <c r="GF1691" s="2">
        <v>1</v>
      </c>
      <c r="GG1691" s="2">
        <v>0.2</v>
      </c>
      <c r="GH1691" s="2">
        <v>0.8</v>
      </c>
      <c r="GI1691" s="2">
        <v>-4.3</v>
      </c>
      <c r="GJ1691" s="2">
        <v>4.8</v>
      </c>
      <c r="GK1691" s="2">
        <v>0.6</v>
      </c>
      <c r="GL1691" s="2">
        <v>-2.4</v>
      </c>
      <c r="GM1691" s="2">
        <v>2</v>
      </c>
      <c r="GN1691" s="2">
        <v>1.7</v>
      </c>
      <c r="GO1691" s="2">
        <v>3.7</v>
      </c>
      <c r="GP1691" s="2">
        <v>-1.4</v>
      </c>
      <c r="GQ1691" s="2">
        <v>-0.5</v>
      </c>
      <c r="GR1691" s="2">
        <v>3.1</v>
      </c>
      <c r="GS1691" s="2">
        <v>-2.1</v>
      </c>
      <c r="GT1691" s="2">
        <v>2.7</v>
      </c>
      <c r="GU1691" s="2">
        <v>1.6</v>
      </c>
      <c r="GV1691" s="2">
        <v>-1.6</v>
      </c>
      <c r="GW1691" s="2">
        <v>-0.8</v>
      </c>
      <c r="GX1691" s="2">
        <v>1.2</v>
      </c>
      <c r="GY1691" s="2">
        <v>-4.4</v>
      </c>
      <c r="GZ1691" s="2">
        <v>0.9</v>
      </c>
      <c r="HA1691" s="2">
        <v>-2.2</v>
      </c>
      <c r="HB1691" s="2">
        <v>-1.5</v>
      </c>
      <c r="HC1691" s="2">
        <v>-2.7</v>
      </c>
      <c r="HD1691" s="2">
        <v>5.3</v>
      </c>
      <c r="HE1691" s="2">
        <v>8.800000000000001</v>
      </c>
      <c r="HF1691" s="2">
        <v>0.7</v>
      </c>
      <c r="HG1691" s="2">
        <v>7.8</v>
      </c>
      <c r="HH1691" s="2">
        <v>3.2</v>
      </c>
      <c r="HI1691" s="2">
        <v>10.4</v>
      </c>
      <c r="HJ1691" s="2">
        <v>1.3</v>
      </c>
      <c r="HK1691" s="2">
        <v>-3.6</v>
      </c>
      <c r="HL1691" s="2">
        <v>3.2</v>
      </c>
      <c r="HM1691" s="2">
        <v>-8.300000000000001</v>
      </c>
      <c r="HN1691" s="2">
        <v>-3.6</v>
      </c>
      <c r="HO1691" s="2">
        <v>-0.1</v>
      </c>
      <c r="HP1691" s="2">
        <v>7.5</v>
      </c>
      <c r="HQ1691" s="2">
        <v>-1.2</v>
      </c>
      <c r="HR1691" s="2">
        <v>1.8</v>
      </c>
      <c r="HS1691" s="2">
        <v>8.6</v>
      </c>
      <c r="HT1691" s="2">
        <v>-9.6</v>
      </c>
      <c r="HU1691" s="2">
        <v>3</v>
      </c>
      <c r="HV1691" s="2">
        <v>-0.9</v>
      </c>
      <c r="HW1691" s="2">
        <v>3.4</v>
      </c>
      <c r="HX1691" s="2">
        <v>5.8</v>
      </c>
      <c r="HY1691" s="2">
        <v>3.3</v>
      </c>
      <c r="HZ1691" s="2">
        <v>2.5</v>
      </c>
      <c r="IA1691" s="2">
        <v>-2.7</v>
      </c>
      <c r="IB1691" s="2">
        <v>7.2</v>
      </c>
      <c r="IC1691" s="2">
        <v>11.6</v>
      </c>
      <c r="ID1691" s="2">
        <v>-0.9</v>
      </c>
      <c r="IE1691" s="2">
        <v>1.4</v>
      </c>
      <c r="IF1691" s="2">
        <v>11.2</v>
      </c>
      <c r="IG1691" s="2">
        <v>-1.2</v>
      </c>
      <c r="IH1691" s="2">
        <v>-12.4</v>
      </c>
      <c r="II1691" s="2">
        <v>1.4</v>
      </c>
      <c r="IJ1691" s="2">
        <v>9.1</v>
      </c>
      <c r="IK1691" s="2">
        <v>-3.7</v>
      </c>
      <c r="IL1691" s="2">
        <v>7.3</v>
      </c>
      <c r="IM1691" s="2">
        <v>5.5</v>
      </c>
      <c r="IN1691" s="2">
        <v>8.6</v>
      </c>
      <c r="IO1691" s="2">
        <v>2</v>
      </c>
      <c r="IP1691" s="2">
        <v>-18.2</v>
      </c>
      <c r="IQ1691" s="2">
        <v>-8.1</v>
      </c>
      <c r="IR1691" s="2">
        <v>3.6</v>
      </c>
      <c r="IS1691" s="2">
        <v>4</v>
      </c>
      <c r="IT1691" s="2">
        <v>-2.8</v>
      </c>
      <c r="IU1691" s="2">
        <v>4.2</v>
      </c>
      <c r="IV1691" s="2">
        <v>2.1</v>
      </c>
      <c r="IW1691" s="2">
        <v>-3.7</v>
      </c>
      <c r="IX1691" s="2">
        <v>2.1</v>
      </c>
      <c r="IY1691" s="2">
        <v>8.699999999999999</v>
      </c>
      <c r="IZ1691" s="2">
        <v>4</v>
      </c>
      <c r="JA1691" s="2">
        <v>-1.4</v>
      </c>
      <c r="JB1691" s="2">
        <v>0.7</v>
      </c>
      <c r="JC1691" s="2">
        <v>2.5</v>
      </c>
      <c r="JD1691" s="2">
        <v>0.7</v>
      </c>
      <c r="JE1691" s="2">
        <v>-3.9</v>
      </c>
      <c r="JF1691" s="2">
        <v>2.6</v>
      </c>
      <c r="JG1691" s="2">
        <v>1.2</v>
      </c>
      <c r="JH1691" s="2">
        <v>-3.1</v>
      </c>
      <c r="JI1691" s="2">
        <v>7.6</v>
      </c>
      <c r="JJ1691" s="2">
        <v>-1.1</v>
      </c>
      <c r="JK1691" s="2">
        <v>4.1</v>
      </c>
      <c r="JL1691" s="2">
        <v>-2.7</v>
      </c>
      <c r="JM1691" s="2">
        <v>-2.6</v>
      </c>
      <c r="JN1691" s="2">
        <v>-6.7</v>
      </c>
      <c r="JO1691" s="2">
        <v>-12.2</v>
      </c>
      <c r="JP1691" s="2">
        <v>12.2</v>
      </c>
      <c r="JQ1691" s="2">
        <v>-1.8</v>
      </c>
      <c r="JR1691" s="2">
        <v>-5.7</v>
      </c>
      <c r="JS1691" s="2">
        <v>-10</v>
      </c>
      <c r="JT1691" s="2">
        <v>6</v>
      </c>
      <c r="JU1691" s="2">
        <v>-2.9</v>
      </c>
      <c r="JV1691" s="2">
        <v>6.8</v>
      </c>
      <c r="KA1691" s="2">
        <v>5.7</v>
      </c>
      <c r="KB1691" s="2">
        <v>-2.6</v>
      </c>
      <c r="KC1691" s="2">
        <v>-2.3</v>
      </c>
      <c r="KD1691" s="2">
        <v>10.4</v>
      </c>
      <c r="KQ1691" s="2">
        <v>0.9</v>
      </c>
      <c r="KR1691" s="2">
        <v>6.9</v>
      </c>
      <c r="KS1691" s="2">
        <v>1.5</v>
      </c>
      <c r="KT1691" s="2">
        <v>-2.5</v>
      </c>
      <c r="LG1691" s="2">
        <v>-8.699999999999999</v>
      </c>
      <c r="LH1691" s="2">
        <v>10.2</v>
      </c>
      <c r="LI1691" s="2">
        <v>-2</v>
      </c>
      <c r="LJ1691" s="2">
        <v>4.4</v>
      </c>
      <c r="LW1691" s="2">
        <v>-6</v>
      </c>
      <c r="LX1691" s="2">
        <v>-19.4</v>
      </c>
      <c r="LY1691" s="2">
        <v>9.4</v>
      </c>
      <c r="LZ1691" s="2">
        <v>0.5</v>
      </c>
      <c r="MM1691" s="2">
        <v>8.699999999999999</v>
      </c>
      <c r="MN1691" s="2">
        <v>6.5</v>
      </c>
      <c r="MO1691" s="2">
        <v>7.1</v>
      </c>
      <c r="MP1691" s="2">
        <v>6.7</v>
      </c>
      <c r="NC1691" s="2">
        <v>10.9</v>
      </c>
      <c r="ND1691" s="2">
        <v>4.2</v>
      </c>
      <c r="NE1691" s="2">
        <v>-4.3</v>
      </c>
      <c r="NF1691" s="2">
        <v>2.3</v>
      </c>
      <c r="NS1691" s="2">
        <v>-0.9</v>
      </c>
      <c r="NT1691" s="2">
        <v>-0.7</v>
      </c>
      <c r="NU1691" s="2">
        <v>7.2</v>
      </c>
      <c r="NV1691" s="2">
        <v>-0.2</v>
      </c>
      <c r="OI1691" s="2">
        <v>-1</v>
      </c>
      <c r="OJ1691" s="2">
        <v>1.8</v>
      </c>
      <c r="OK1691" s="2">
        <v>-6.7</v>
      </c>
      <c r="OL1691" s="2">
        <v>-1.9</v>
      </c>
      <c r="OY1691" s="2">
        <v>1.9</v>
      </c>
      <c r="OZ1691" s="2">
        <v>-3.5</v>
      </c>
      <c r="PA1691" s="2">
        <v>2</v>
      </c>
      <c r="PB1691" s="2">
        <v>1.1</v>
      </c>
      <c r="PJ1691" s="2">
        <v>5.2</v>
      </c>
      <c r="PK1691" s="2">
        <v>-2.1</v>
      </c>
    </row>
    <row r="1692">
      <c r="A1692" t="inlineStr">
        <is>
          <t>A2328775K</t>
        </is>
      </c>
      <c r="B1692" t="inlineStr">
        <is>
          <t>Percentage Change from Previous Period ;  Maintenance and repair of motor vehicles ;  Australia ;</t>
        </is>
      </c>
      <c r="C1692" t="inlineStr">
        <is>
          <t>Quarter</t>
        </is>
      </c>
      <c r="D1692" t="inlineStr">
        <is>
          <t>Percent</t>
        </is>
      </c>
      <c r="E1692" t="inlineStr">
        <is>
          <t>Original</t>
        </is>
      </c>
      <c r="F1692" t="inlineStr">
        <is>
          <t>6401018.xlsx</t>
        </is>
      </c>
      <c r="G1692" t="inlineStr">
        <is>
          <t>1980Q4</t>
        </is>
      </c>
      <c r="H1692" t="inlineStr">
        <is>
          <t>2026Q2</t>
        </is>
      </c>
      <c r="EH1692" s="2">
        <v>1.5</v>
      </c>
      <c r="EI1692" s="2">
        <v>1.6</v>
      </c>
      <c r="EJ1692" s="2">
        <v>1.8</v>
      </c>
      <c r="EK1692" s="2">
        <v>2.2</v>
      </c>
      <c r="EL1692" s="2">
        <v>3.7</v>
      </c>
      <c r="EM1692" s="2">
        <v>1.5</v>
      </c>
      <c r="EN1692" s="2">
        <v>6.4</v>
      </c>
      <c r="EO1692" s="2">
        <v>2.4</v>
      </c>
      <c r="EP1692" s="2">
        <v>2</v>
      </c>
      <c r="EQ1692" s="2">
        <v>3</v>
      </c>
      <c r="ER1692" s="2">
        <v>1.1</v>
      </c>
      <c r="ES1692" s="2">
        <v>1.6</v>
      </c>
      <c r="ET1692" s="2">
        <v>1.1</v>
      </c>
      <c r="EU1692" s="2">
        <v>2</v>
      </c>
      <c r="EV1692" s="2">
        <v>1.4</v>
      </c>
      <c r="EW1692" s="2">
        <v>0.9</v>
      </c>
      <c r="EX1692" s="2">
        <v>1.3</v>
      </c>
      <c r="EY1692" s="2">
        <v>1</v>
      </c>
      <c r="EZ1692" s="2">
        <v>2.3</v>
      </c>
      <c r="FA1692" s="2">
        <v>1.8</v>
      </c>
      <c r="FB1692" s="2">
        <v>2.4</v>
      </c>
      <c r="FC1692" s="2">
        <v>3.1</v>
      </c>
      <c r="FD1692" s="2">
        <v>2.8</v>
      </c>
      <c r="FE1692" s="2">
        <v>2.8</v>
      </c>
      <c r="FF1692" s="2">
        <v>2.1</v>
      </c>
      <c r="FG1692" s="2">
        <v>2.9</v>
      </c>
      <c r="FH1692" s="2">
        <v>2.5</v>
      </c>
      <c r="FI1692" s="2">
        <v>1.4</v>
      </c>
      <c r="FJ1692" s="2">
        <v>1.3</v>
      </c>
      <c r="FK1692" s="2">
        <v>0.8</v>
      </c>
      <c r="FL1692" s="2">
        <v>2.5</v>
      </c>
      <c r="FM1692" s="2">
        <v>1.9</v>
      </c>
      <c r="FN1692" s="2">
        <v>1.5</v>
      </c>
      <c r="FO1692" s="2">
        <v>1.6</v>
      </c>
      <c r="FP1692" s="2">
        <v>-0.3</v>
      </c>
      <c r="FQ1692" s="2">
        <v>1</v>
      </c>
      <c r="FR1692" s="2">
        <v>2</v>
      </c>
      <c r="FS1692" s="2">
        <v>1.7</v>
      </c>
      <c r="FT1692" s="2">
        <v>2.9</v>
      </c>
      <c r="FU1692" s="2">
        <v>1.5</v>
      </c>
      <c r="FV1692" s="2">
        <v>1.4</v>
      </c>
      <c r="FW1692" s="2">
        <v>1.2</v>
      </c>
      <c r="FX1692" s="2">
        <v>0.6</v>
      </c>
      <c r="FY1692" s="2">
        <v>1.1</v>
      </c>
      <c r="FZ1692" s="2">
        <v>0.1</v>
      </c>
      <c r="GA1692" s="2">
        <v>0.5</v>
      </c>
      <c r="GB1692" s="2">
        <v>-0.5</v>
      </c>
      <c r="GC1692" s="2">
        <v>0.1</v>
      </c>
      <c r="GD1692" s="2">
        <v>-0.1</v>
      </c>
      <c r="GE1692" s="2">
        <v>0.9</v>
      </c>
      <c r="GF1692" s="2">
        <v>0.2</v>
      </c>
      <c r="GG1692" s="2">
        <v>0.5</v>
      </c>
      <c r="GH1692" s="2">
        <v>0.7</v>
      </c>
      <c r="GI1692" s="2">
        <v>0.4</v>
      </c>
      <c r="GJ1692" s="2">
        <v>0</v>
      </c>
      <c r="GK1692" s="2">
        <v>1.1</v>
      </c>
      <c r="GL1692" s="2">
        <v>0.3</v>
      </c>
      <c r="GM1692" s="2">
        <v>-0.3</v>
      </c>
      <c r="GN1692" s="2">
        <v>0.1</v>
      </c>
      <c r="GO1692" s="2">
        <v>1.3</v>
      </c>
      <c r="GP1692" s="2">
        <v>1</v>
      </c>
      <c r="GQ1692" s="2">
        <v>0.4</v>
      </c>
      <c r="GR1692" s="2">
        <v>1.1</v>
      </c>
      <c r="GS1692" s="2">
        <v>0.5</v>
      </c>
      <c r="GT1692" s="2">
        <v>0.3</v>
      </c>
      <c r="GU1692" s="2">
        <v>0.8</v>
      </c>
      <c r="GV1692" s="2">
        <v>-0.8</v>
      </c>
      <c r="GW1692" s="2">
        <v>-0.3</v>
      </c>
      <c r="GX1692" s="2">
        <v>-0.3</v>
      </c>
      <c r="GY1692" s="2">
        <v>0.1</v>
      </c>
      <c r="GZ1692" s="2">
        <v>0.5</v>
      </c>
      <c r="HA1692" s="2">
        <v>1.1</v>
      </c>
      <c r="HB1692" s="2">
        <v>0.9</v>
      </c>
      <c r="HC1692" s="2">
        <v>0.8</v>
      </c>
      <c r="HD1692" s="2">
        <v>0.2</v>
      </c>
      <c r="HE1692" s="2">
        <v>0.5</v>
      </c>
      <c r="HF1692" s="2">
        <v>-3.5</v>
      </c>
      <c r="HG1692" s="2">
        <v>0.2</v>
      </c>
      <c r="HH1692" s="2">
        <v>0</v>
      </c>
      <c r="HI1692" s="2">
        <v>1.9</v>
      </c>
      <c r="HJ1692" s="2">
        <v>1.2</v>
      </c>
      <c r="HK1692" s="2">
        <v>2.8</v>
      </c>
      <c r="HL1692" s="2">
        <v>1</v>
      </c>
      <c r="HM1692" s="2">
        <v>1.4</v>
      </c>
      <c r="HN1692" s="2">
        <v>0.7</v>
      </c>
      <c r="HO1692" s="2">
        <v>0.2</v>
      </c>
      <c r="HP1692" s="2">
        <v>0.5</v>
      </c>
      <c r="HQ1692" s="2">
        <v>1.9</v>
      </c>
      <c r="HR1692" s="2">
        <v>-0.2</v>
      </c>
      <c r="HS1692" s="2">
        <v>1</v>
      </c>
      <c r="HT1692" s="2">
        <v>0.5</v>
      </c>
      <c r="HU1692" s="2">
        <v>1.2</v>
      </c>
      <c r="HV1692" s="2">
        <v>-0.1</v>
      </c>
      <c r="HW1692" s="2">
        <v>1.3</v>
      </c>
      <c r="HX1692" s="2">
        <v>0.3</v>
      </c>
      <c r="HY1692" s="2">
        <v>1.6</v>
      </c>
      <c r="HZ1692" s="2">
        <v>0</v>
      </c>
      <c r="IA1692" s="2">
        <v>1.3</v>
      </c>
      <c r="IB1692" s="2">
        <v>1.2</v>
      </c>
      <c r="IC1692" s="2">
        <v>-0.8</v>
      </c>
      <c r="ID1692" s="2">
        <v>0.6</v>
      </c>
      <c r="IE1692" s="2">
        <v>1.4</v>
      </c>
      <c r="IF1692" s="2">
        <v>0.9</v>
      </c>
      <c r="IG1692" s="2">
        <v>0.7</v>
      </c>
      <c r="IH1692" s="2">
        <v>1</v>
      </c>
      <c r="II1692" s="2">
        <v>0.1</v>
      </c>
      <c r="IJ1692" s="2">
        <v>0.9</v>
      </c>
      <c r="IK1692" s="2">
        <v>1</v>
      </c>
      <c r="IL1692" s="2">
        <v>0.9</v>
      </c>
      <c r="IM1692" s="2">
        <v>0.6</v>
      </c>
      <c r="IN1692" s="2">
        <v>0.9</v>
      </c>
      <c r="IO1692" s="2">
        <v>1.2</v>
      </c>
      <c r="IP1692" s="2">
        <v>0.9</v>
      </c>
      <c r="IQ1692" s="2">
        <v>1.2</v>
      </c>
      <c r="IR1692" s="2">
        <v>0.8</v>
      </c>
      <c r="IS1692" s="2">
        <v>0.8</v>
      </c>
      <c r="IT1692" s="2">
        <v>0.4</v>
      </c>
      <c r="IU1692" s="2">
        <v>0.1</v>
      </c>
      <c r="IV1692" s="2">
        <v>0.9</v>
      </c>
      <c r="IW1692" s="2">
        <v>0.8</v>
      </c>
      <c r="IX1692" s="2">
        <v>-2</v>
      </c>
      <c r="IY1692" s="2">
        <v>0.4</v>
      </c>
      <c r="IZ1692" s="2">
        <v>-0.9</v>
      </c>
      <c r="JA1692" s="2">
        <v>3.7</v>
      </c>
      <c r="JB1692" s="2">
        <v>0.3</v>
      </c>
      <c r="JC1692" s="2">
        <v>0.7</v>
      </c>
      <c r="JD1692" s="2">
        <v>0.3</v>
      </c>
      <c r="JE1692" s="2">
        <v>2.4</v>
      </c>
      <c r="JF1692" s="2">
        <v>0.3</v>
      </c>
      <c r="JG1692" s="2">
        <v>1.1</v>
      </c>
      <c r="JH1692" s="2">
        <v>0.7</v>
      </c>
      <c r="JI1692" s="2">
        <v>0.4</v>
      </c>
      <c r="JJ1692" s="2">
        <v>0.9</v>
      </c>
      <c r="JK1692" s="2">
        <v>-3.4</v>
      </c>
      <c r="JL1692" s="2">
        <v>0.1</v>
      </c>
      <c r="JM1692" s="2">
        <v>0.1</v>
      </c>
      <c r="JN1692" s="2">
        <v>1.3</v>
      </c>
      <c r="JO1692" s="2">
        <v>0.1</v>
      </c>
      <c r="JP1692" s="2">
        <v>0.4</v>
      </c>
      <c r="JQ1692" s="2">
        <v>1</v>
      </c>
      <c r="JR1692" s="2">
        <v>1.7</v>
      </c>
      <c r="JS1692" s="2">
        <v>-0.5</v>
      </c>
      <c r="JT1692" s="2">
        <v>-0.1</v>
      </c>
      <c r="JU1692" s="2">
        <v>0.3</v>
      </c>
      <c r="JV1692" s="2">
        <v>0.2</v>
      </c>
      <c r="KA1692" s="2">
        <v>0.2</v>
      </c>
      <c r="KB1692" s="2">
        <v>0.3</v>
      </c>
      <c r="KC1692" s="2">
        <v>0.5</v>
      </c>
      <c r="KD1692" s="2">
        <v>-0.4</v>
      </c>
      <c r="KQ1692" s="2">
        <v>1.2</v>
      </c>
      <c r="KR1692" s="2">
        <v>0.4</v>
      </c>
      <c r="KS1692" s="2">
        <v>0.6</v>
      </c>
      <c r="KT1692" s="2">
        <v>0.6</v>
      </c>
      <c r="LG1692" s="2">
        <v>0.5</v>
      </c>
      <c r="LH1692" s="2">
        <v>1</v>
      </c>
      <c r="LI1692" s="2">
        <v>0.3</v>
      </c>
      <c r="LJ1692" s="2">
        <v>1.4</v>
      </c>
      <c r="LW1692" s="2">
        <v>0.6</v>
      </c>
      <c r="LX1692" s="2">
        <v>0.8</v>
      </c>
      <c r="LY1692" s="2">
        <v>-0.1</v>
      </c>
      <c r="LZ1692" s="2">
        <v>0.1</v>
      </c>
      <c r="MM1692" s="2">
        <v>1</v>
      </c>
      <c r="MN1692" s="2">
        <v>1.2</v>
      </c>
      <c r="MO1692" s="2">
        <v>1</v>
      </c>
      <c r="MP1692" s="2">
        <v>0.9</v>
      </c>
      <c r="NC1692" s="2">
        <v>1.4</v>
      </c>
      <c r="ND1692" s="2">
        <v>1.7</v>
      </c>
      <c r="NE1692" s="2">
        <v>2</v>
      </c>
      <c r="NF1692" s="2">
        <v>0.9</v>
      </c>
      <c r="NS1692" s="2">
        <v>0.7</v>
      </c>
      <c r="NT1692" s="2">
        <v>0.5</v>
      </c>
      <c r="NU1692" s="2">
        <v>1.3</v>
      </c>
      <c r="NV1692" s="2">
        <v>1.4</v>
      </c>
      <c r="OI1692" s="2">
        <v>1.1</v>
      </c>
      <c r="OJ1692" s="2">
        <v>1.4</v>
      </c>
      <c r="OK1692" s="2">
        <v>0.3</v>
      </c>
      <c r="OL1692" s="2">
        <v>1.2</v>
      </c>
      <c r="OY1692" s="2">
        <v>0.7</v>
      </c>
      <c r="OZ1692" s="2">
        <v>1.5</v>
      </c>
      <c r="PA1692" s="2">
        <v>1.2</v>
      </c>
      <c r="PB1692" s="2">
        <v>1.2</v>
      </c>
      <c r="PJ1692" s="2">
        <v>1.5</v>
      </c>
      <c r="PK1692" s="2">
        <v>1.8</v>
      </c>
    </row>
    <row r="1693">
      <c r="A1693" t="inlineStr">
        <is>
          <t>A2328685F</t>
        </is>
      </c>
      <c r="B1693" t="inlineStr">
        <is>
          <t>Percentage Change from Previous Period ;  Other services in respect of motor vehicles ;  Australia ;</t>
        </is>
      </c>
      <c r="C1693" t="inlineStr">
        <is>
          <t>Quarter</t>
        </is>
      </c>
      <c r="D1693" t="inlineStr">
        <is>
          <t>Percent</t>
        </is>
      </c>
      <c r="E1693" t="inlineStr">
        <is>
          <t>Original</t>
        </is>
      </c>
      <c r="F1693" t="inlineStr">
        <is>
          <t>6401018.xlsx</t>
        </is>
      </c>
      <c r="G1693" t="inlineStr">
        <is>
          <t>1980Q4</t>
        </is>
      </c>
      <c r="H1693" t="inlineStr">
        <is>
          <t>2026Q2</t>
        </is>
      </c>
      <c r="EH1693" s="2">
        <v>0</v>
      </c>
      <c r="EI1693" s="2">
        <v>5.8</v>
      </c>
      <c r="EJ1693" s="2">
        <v>0.7</v>
      </c>
      <c r="EK1693" s="2">
        <v>0.8</v>
      </c>
      <c r="EL1693" s="2">
        <v>6.2</v>
      </c>
      <c r="EM1693" s="2">
        <v>6.8</v>
      </c>
      <c r="EN1693" s="2">
        <v>5.5</v>
      </c>
      <c r="EO1693" s="2">
        <v>4.6</v>
      </c>
      <c r="EP1693" s="2">
        <v>0.9</v>
      </c>
      <c r="EQ1693" s="2">
        <v>0.4</v>
      </c>
      <c r="ER1693" s="2">
        <v>-0.1</v>
      </c>
      <c r="ES1693" s="2">
        <v>3.2</v>
      </c>
      <c r="ET1693" s="2">
        <v>1.1</v>
      </c>
      <c r="EU1693" s="2">
        <v>0.8</v>
      </c>
      <c r="EV1693" s="2">
        <v>2.5</v>
      </c>
      <c r="EW1693" s="2">
        <v>2.8</v>
      </c>
      <c r="EX1693" s="2">
        <v>3.8</v>
      </c>
      <c r="EY1693" s="2">
        <v>0.4</v>
      </c>
      <c r="EZ1693" s="2">
        <v>0.4</v>
      </c>
      <c r="FA1693" s="2">
        <v>2.3</v>
      </c>
      <c r="FB1693" s="2">
        <v>1</v>
      </c>
      <c r="FC1693" s="2">
        <v>1.4</v>
      </c>
      <c r="FD1693" s="2">
        <v>0.2</v>
      </c>
      <c r="FE1693" s="2">
        <v>4.4</v>
      </c>
      <c r="FF1693" s="2">
        <v>1</v>
      </c>
      <c r="FG1693" s="2">
        <v>0.5</v>
      </c>
      <c r="FH1693" s="2">
        <v>4.1</v>
      </c>
      <c r="FI1693" s="2">
        <v>5.5</v>
      </c>
      <c r="FJ1693" s="2">
        <v>1.5</v>
      </c>
      <c r="FK1693" s="2">
        <v>-4.2</v>
      </c>
      <c r="FL1693" s="2">
        <v>0.5</v>
      </c>
      <c r="FM1693" s="2">
        <v>-0.4</v>
      </c>
      <c r="FN1693" s="2">
        <v>1.8</v>
      </c>
      <c r="FO1693" s="2">
        <v>1</v>
      </c>
      <c r="FP1693" s="2">
        <v>1</v>
      </c>
      <c r="FQ1693" s="2">
        <v>-0.7</v>
      </c>
      <c r="FR1693" s="2">
        <v>2.2</v>
      </c>
      <c r="FS1693" s="2">
        <v>0.8</v>
      </c>
      <c r="FT1693" s="2">
        <v>0.3</v>
      </c>
      <c r="FU1693" s="2">
        <v>3</v>
      </c>
      <c r="FV1693" s="2">
        <v>1.1</v>
      </c>
      <c r="FW1693" s="2">
        <v>2.1</v>
      </c>
      <c r="FX1693" s="2">
        <v>0.6</v>
      </c>
      <c r="FY1693" s="2">
        <v>3.6</v>
      </c>
      <c r="FZ1693" s="2">
        <v>3.6</v>
      </c>
      <c r="GA1693" s="2">
        <v>0</v>
      </c>
      <c r="GB1693" s="2">
        <v>0.6</v>
      </c>
      <c r="GC1693" s="2">
        <v>1.3</v>
      </c>
      <c r="GD1693" s="2">
        <v>0.1</v>
      </c>
      <c r="GE1693" s="2">
        <v>7.5</v>
      </c>
      <c r="GF1693" s="2">
        <v>0.1</v>
      </c>
      <c r="GG1693" s="2">
        <v>1</v>
      </c>
      <c r="GH1693" s="2">
        <v>0.5</v>
      </c>
      <c r="GI1693" s="2">
        <v>0.8</v>
      </c>
      <c r="GJ1693" s="2">
        <v>0.2</v>
      </c>
      <c r="GK1693" s="2">
        <v>1.6</v>
      </c>
      <c r="GL1693" s="2">
        <v>0.4</v>
      </c>
      <c r="GM1693" s="2">
        <v>0.3</v>
      </c>
      <c r="GN1693" s="2">
        <v>0.3</v>
      </c>
      <c r="GO1693" s="2">
        <v>1.7</v>
      </c>
      <c r="GP1693" s="2">
        <v>0.9</v>
      </c>
      <c r="GQ1693" s="2">
        <v>0.7</v>
      </c>
      <c r="GR1693" s="2">
        <v>0.6</v>
      </c>
      <c r="GS1693" s="2">
        <v>2.3</v>
      </c>
      <c r="GT1693" s="2">
        <v>0.2</v>
      </c>
      <c r="GU1693" s="2">
        <v>1.2</v>
      </c>
      <c r="GV1693" s="2">
        <v>0.5</v>
      </c>
      <c r="GW1693" s="2">
        <v>2.3</v>
      </c>
      <c r="GX1693" s="2">
        <v>0.1</v>
      </c>
      <c r="GY1693" s="2">
        <v>0.6</v>
      </c>
      <c r="GZ1693" s="2">
        <v>0.3</v>
      </c>
      <c r="HA1693" s="2">
        <v>4.8</v>
      </c>
      <c r="HB1693" s="2">
        <v>0.2</v>
      </c>
      <c r="HC1693" s="2">
        <v>0.2</v>
      </c>
      <c r="HD1693" s="2">
        <v>0</v>
      </c>
      <c r="HE1693" s="2">
        <v>2</v>
      </c>
      <c r="HF1693" s="2">
        <v>1.1</v>
      </c>
      <c r="HG1693" s="2">
        <v>0.8</v>
      </c>
      <c r="HH1693" s="2">
        <v>0.3</v>
      </c>
      <c r="HI1693" s="2">
        <v>3</v>
      </c>
      <c r="HJ1693" s="2">
        <v>0.2</v>
      </c>
      <c r="HK1693" s="2">
        <v>0.6</v>
      </c>
      <c r="HL1693" s="2">
        <v>0</v>
      </c>
      <c r="HM1693" s="2">
        <v>1.7</v>
      </c>
      <c r="HN1693" s="2">
        <v>0</v>
      </c>
      <c r="HO1693" s="2">
        <v>1</v>
      </c>
      <c r="HP1693" s="2">
        <v>0.9</v>
      </c>
      <c r="HQ1693" s="2">
        <v>2.2</v>
      </c>
      <c r="HR1693" s="2">
        <v>0.6</v>
      </c>
      <c r="HS1693" s="2">
        <v>0.6</v>
      </c>
      <c r="HT1693" s="2">
        <v>0.2</v>
      </c>
      <c r="HU1693" s="2">
        <v>4.5</v>
      </c>
      <c r="HV1693" s="2">
        <v>0.7</v>
      </c>
      <c r="HW1693" s="2">
        <v>0.6</v>
      </c>
      <c r="HX1693" s="2">
        <v>0.3</v>
      </c>
      <c r="HY1693" s="2">
        <v>1.6</v>
      </c>
      <c r="HZ1693" s="2">
        <v>0.3</v>
      </c>
      <c r="IA1693" s="2">
        <v>0.5</v>
      </c>
      <c r="IB1693" s="2">
        <v>0.7</v>
      </c>
      <c r="IC1693" s="2">
        <v>0.6</v>
      </c>
      <c r="ID1693" s="2">
        <v>0.2</v>
      </c>
      <c r="IE1693" s="2">
        <v>0.9</v>
      </c>
      <c r="IF1693" s="2">
        <v>0.5</v>
      </c>
      <c r="IG1693" s="2">
        <v>2.7</v>
      </c>
      <c r="IH1693" s="2">
        <v>0.5</v>
      </c>
      <c r="II1693" s="2">
        <v>1.2</v>
      </c>
      <c r="IJ1693" s="2">
        <v>0.3</v>
      </c>
      <c r="IK1693" s="2">
        <v>2.5</v>
      </c>
      <c r="IL1693" s="2">
        <v>1.1</v>
      </c>
      <c r="IM1693" s="2">
        <v>0.8</v>
      </c>
      <c r="IN1693" s="2">
        <v>0.8</v>
      </c>
      <c r="IO1693" s="2">
        <v>2.7</v>
      </c>
      <c r="IP1693" s="2">
        <v>0.7</v>
      </c>
      <c r="IQ1693" s="2">
        <v>0.5</v>
      </c>
      <c r="IR1693" s="2">
        <v>0</v>
      </c>
      <c r="IS1693" s="2">
        <v>4.9</v>
      </c>
      <c r="IT1693" s="2">
        <v>0.6</v>
      </c>
      <c r="IU1693" s="2">
        <v>0.8</v>
      </c>
      <c r="IV1693" s="2">
        <v>1.4</v>
      </c>
      <c r="IW1693" s="2">
        <v>3</v>
      </c>
      <c r="IX1693" s="2">
        <v>2.8</v>
      </c>
      <c r="IY1693" s="2">
        <v>0.3</v>
      </c>
      <c r="IZ1693" s="2">
        <v>0.2</v>
      </c>
      <c r="JA1693" s="2">
        <v>2.1</v>
      </c>
      <c r="JB1693" s="2">
        <v>0.4</v>
      </c>
      <c r="JC1693" s="2">
        <v>0.8</v>
      </c>
      <c r="JD1693" s="2">
        <v>3</v>
      </c>
      <c r="JE1693" s="2">
        <v>2.1</v>
      </c>
      <c r="JF1693" s="2">
        <v>0.8</v>
      </c>
      <c r="JG1693" s="2">
        <v>1.2</v>
      </c>
      <c r="JH1693" s="2">
        <v>0.4</v>
      </c>
      <c r="JI1693" s="2">
        <v>1.8</v>
      </c>
      <c r="JJ1693" s="2">
        <v>0.9</v>
      </c>
      <c r="JK1693" s="2">
        <v>0.7</v>
      </c>
      <c r="JL1693" s="2">
        <v>0.1</v>
      </c>
      <c r="JM1693" s="2">
        <v>5.8</v>
      </c>
      <c r="JN1693" s="2">
        <v>0.2</v>
      </c>
      <c r="JO1693" s="2">
        <v>0.7</v>
      </c>
      <c r="JP1693" s="2">
        <v>0.1</v>
      </c>
      <c r="JQ1693" s="2">
        <v>1.6</v>
      </c>
      <c r="JR1693" s="2">
        <v>0.5</v>
      </c>
      <c r="JS1693" s="2">
        <v>-0.2</v>
      </c>
      <c r="JT1693" s="2">
        <v>0</v>
      </c>
      <c r="JU1693" s="2">
        <v>1.4</v>
      </c>
      <c r="JV1693" s="2">
        <v>0.1</v>
      </c>
      <c r="KA1693" s="2">
        <v>0.3</v>
      </c>
      <c r="KB1693" s="2">
        <v>0</v>
      </c>
      <c r="KC1693" s="2">
        <v>2.7</v>
      </c>
      <c r="KD1693" s="2">
        <v>0.2</v>
      </c>
      <c r="KQ1693" s="2">
        <v>0.7</v>
      </c>
      <c r="KR1693" s="2">
        <v>0</v>
      </c>
      <c r="KS1693" s="2">
        <v>1.9</v>
      </c>
      <c r="KT1693" s="2">
        <v>0.1</v>
      </c>
      <c r="LG1693" s="2">
        <v>0.6</v>
      </c>
      <c r="LH1693" s="2">
        <v>0.2</v>
      </c>
      <c r="LI1693" s="2">
        <v>1.3</v>
      </c>
      <c r="LJ1693" s="2">
        <v>-0.2</v>
      </c>
      <c r="LW1693" s="2">
        <v>0.2</v>
      </c>
      <c r="LX1693" s="2">
        <v>-3.3</v>
      </c>
      <c r="LY1693" s="2">
        <v>1.7</v>
      </c>
      <c r="LZ1693" s="2">
        <v>1.7</v>
      </c>
      <c r="MM1693" s="2">
        <v>-0.1</v>
      </c>
      <c r="MN1693" s="2">
        <v>-0.1</v>
      </c>
      <c r="MO1693" s="2">
        <v>0.7</v>
      </c>
      <c r="MP1693" s="2">
        <v>0.1</v>
      </c>
      <c r="NC1693" s="2">
        <v>0.3</v>
      </c>
      <c r="ND1693" s="2">
        <v>0.5</v>
      </c>
      <c r="NE1693" s="2">
        <v>1.8</v>
      </c>
      <c r="NF1693" s="2">
        <v>0.3</v>
      </c>
      <c r="NS1693" s="2">
        <v>0.5</v>
      </c>
      <c r="NT1693" s="2">
        <v>0.1</v>
      </c>
      <c r="NU1693" s="2">
        <v>3.2</v>
      </c>
      <c r="NV1693" s="2">
        <v>0.6</v>
      </c>
      <c r="OI1693" s="2">
        <v>1.3</v>
      </c>
      <c r="OJ1693" s="2">
        <v>0.3</v>
      </c>
      <c r="OK1693" s="2">
        <v>1.4</v>
      </c>
      <c r="OL1693" s="2">
        <v>-1.1</v>
      </c>
      <c r="OY1693" s="2">
        <v>0.7</v>
      </c>
      <c r="OZ1693" s="2">
        <v>0.3</v>
      </c>
      <c r="PA1693" s="2">
        <v>2.1</v>
      </c>
      <c r="PB1693" s="2">
        <v>1.6</v>
      </c>
      <c r="PJ1693" s="2">
        <v>0.4</v>
      </c>
      <c r="PK1693" s="2">
        <v>0.3</v>
      </c>
    </row>
    <row r="1694">
      <c r="A1694" t="inlineStr">
        <is>
          <t>A2326705T</t>
        </is>
      </c>
      <c r="B1694" t="inlineStr">
        <is>
          <t>Percentage Change from Previous Period ;  Urban transport fares ;  Australia ;</t>
        </is>
      </c>
      <c r="C1694" t="inlineStr">
        <is>
          <t>Quarter</t>
        </is>
      </c>
      <c r="D1694" t="inlineStr">
        <is>
          <t>Percent</t>
        </is>
      </c>
      <c r="E1694" t="inlineStr">
        <is>
          <t>Original</t>
        </is>
      </c>
      <c r="F1694" t="inlineStr">
        <is>
          <t>6401018.xlsx</t>
        </is>
      </c>
      <c r="G1694" t="inlineStr">
        <is>
          <t>1972Q4</t>
        </is>
      </c>
      <c r="H1694" t="inlineStr">
        <is>
          <t>2026Q2</t>
        </is>
      </c>
      <c r="DB1694" s="2">
        <v>0</v>
      </c>
      <c r="DC1694" s="2">
        <v>0.9</v>
      </c>
      <c r="DD1694" s="2">
        <v>1.1</v>
      </c>
      <c r="DE1694" s="2">
        <v>1.4</v>
      </c>
      <c r="DF1694" s="2">
        <v>0.9</v>
      </c>
      <c r="DG1694" s="2">
        <v>0.4</v>
      </c>
      <c r="DH1694" s="2">
        <v>0.9</v>
      </c>
      <c r="DI1694" s="2">
        <v>4.1</v>
      </c>
      <c r="DJ1694" s="2">
        <v>7</v>
      </c>
      <c r="DK1694" s="2">
        <v>2</v>
      </c>
      <c r="DL1694" s="2">
        <v>0</v>
      </c>
      <c r="DM1694" s="2">
        <v>8</v>
      </c>
      <c r="DN1694" s="2">
        <v>1.1</v>
      </c>
      <c r="DO1694" s="2">
        <v>6.3</v>
      </c>
      <c r="DP1694" s="2">
        <v>0</v>
      </c>
      <c r="DQ1694" s="2">
        <v>-3.4</v>
      </c>
      <c r="DR1694" s="2">
        <v>0.7</v>
      </c>
      <c r="DS1694" s="2">
        <v>0</v>
      </c>
      <c r="DT1694" s="2">
        <v>0.3</v>
      </c>
      <c r="DU1694" s="2">
        <v>1</v>
      </c>
      <c r="DV1694" s="2">
        <v>1.1</v>
      </c>
      <c r="DW1694" s="2">
        <v>6.1</v>
      </c>
      <c r="DX1694" s="2">
        <v>0</v>
      </c>
      <c r="DY1694" s="2">
        <v>1.1</v>
      </c>
      <c r="DZ1694" s="2">
        <v>0</v>
      </c>
      <c r="EA1694" s="2">
        <v>4.2</v>
      </c>
      <c r="EB1694" s="2">
        <v>0</v>
      </c>
      <c r="EC1694" s="2">
        <v>4.6</v>
      </c>
      <c r="ED1694" s="2">
        <v>6.5</v>
      </c>
      <c r="EE1694" s="2">
        <v>3.9</v>
      </c>
      <c r="EF1694" s="2">
        <v>0.5</v>
      </c>
      <c r="EG1694" s="2">
        <v>8</v>
      </c>
      <c r="EH1694" s="2">
        <v>6.4</v>
      </c>
      <c r="EI1694" s="2">
        <v>1.1</v>
      </c>
      <c r="EJ1694" s="2">
        <v>0</v>
      </c>
      <c r="EK1694" s="2">
        <v>3.5</v>
      </c>
      <c r="EL1694" s="2">
        <v>9.300000000000001</v>
      </c>
      <c r="EM1694" s="2">
        <v>1.6</v>
      </c>
      <c r="EN1694" s="2">
        <v>0</v>
      </c>
      <c r="EO1694" s="2">
        <v>5.4</v>
      </c>
      <c r="EP1694" s="2">
        <v>4.7</v>
      </c>
      <c r="EQ1694" s="2">
        <v>0.8</v>
      </c>
      <c r="ER1694" s="2">
        <v>0</v>
      </c>
      <c r="ES1694" s="2">
        <v>2.8</v>
      </c>
      <c r="ET1694" s="2">
        <v>8.9</v>
      </c>
      <c r="EU1694" s="2">
        <v>1.1</v>
      </c>
      <c r="EV1694" s="2">
        <v>0</v>
      </c>
      <c r="EW1694" s="2">
        <v>2.4</v>
      </c>
      <c r="EX1694" s="2">
        <v>2.3</v>
      </c>
      <c r="EY1694" s="2">
        <v>0.4</v>
      </c>
      <c r="EZ1694" s="2">
        <v>0.3</v>
      </c>
      <c r="FA1694" s="2">
        <v>2.7</v>
      </c>
      <c r="FB1694" s="2">
        <v>2.2</v>
      </c>
      <c r="FC1694" s="2">
        <v>1.7</v>
      </c>
      <c r="FD1694" s="2">
        <v>0.4</v>
      </c>
      <c r="FE1694" s="2">
        <v>6.3</v>
      </c>
      <c r="FF1694" s="2">
        <v>2</v>
      </c>
      <c r="FG1694" s="2">
        <v>1</v>
      </c>
      <c r="FH1694" s="2">
        <v>0.2</v>
      </c>
      <c r="FI1694" s="2">
        <v>4.4</v>
      </c>
      <c r="FJ1694" s="2">
        <v>1.3</v>
      </c>
      <c r="FK1694" s="2">
        <v>1.7</v>
      </c>
      <c r="FL1694" s="2">
        <v>0.6</v>
      </c>
      <c r="FM1694" s="2">
        <v>7.2</v>
      </c>
      <c r="FN1694" s="2">
        <v>1.4</v>
      </c>
      <c r="FO1694" s="2">
        <v>0.2</v>
      </c>
      <c r="FP1694" s="2">
        <v>0.3</v>
      </c>
      <c r="FQ1694" s="2">
        <v>5.6</v>
      </c>
      <c r="FR1694" s="2">
        <v>1.7</v>
      </c>
      <c r="FS1694" s="2">
        <v>1</v>
      </c>
      <c r="FT1694" s="2">
        <v>0.5</v>
      </c>
      <c r="FU1694" s="2">
        <v>5.8</v>
      </c>
      <c r="FV1694" s="2">
        <v>4.6</v>
      </c>
      <c r="FW1694" s="2">
        <v>1.3</v>
      </c>
      <c r="FX1694" s="2">
        <v>2.2</v>
      </c>
      <c r="FY1694" s="2">
        <v>3</v>
      </c>
      <c r="FZ1694" s="2">
        <v>1.3</v>
      </c>
      <c r="GA1694" s="2">
        <v>1.2</v>
      </c>
      <c r="GB1694" s="2">
        <v>0.1</v>
      </c>
      <c r="GC1694" s="2">
        <v>2.2</v>
      </c>
      <c r="GD1694" s="2">
        <v>0.2</v>
      </c>
      <c r="GE1694" s="2">
        <v>3</v>
      </c>
      <c r="GF1694" s="2">
        <v>0.3</v>
      </c>
      <c r="GG1694" s="2">
        <v>1.8</v>
      </c>
      <c r="GH1694" s="2">
        <v>0.1</v>
      </c>
      <c r="GI1694" s="2">
        <v>0.9</v>
      </c>
      <c r="GJ1694" s="2">
        <v>0.2</v>
      </c>
      <c r="GK1694" s="2">
        <v>1.6</v>
      </c>
      <c r="GL1694" s="2">
        <v>0.5</v>
      </c>
      <c r="GM1694" s="2">
        <v>0.7</v>
      </c>
      <c r="GN1694" s="2">
        <v>0.2</v>
      </c>
      <c r="GO1694" s="2">
        <v>2.7</v>
      </c>
      <c r="GP1694" s="2">
        <v>0.2</v>
      </c>
      <c r="GQ1694" s="2">
        <v>0.3</v>
      </c>
      <c r="GR1694" s="2">
        <v>0.6</v>
      </c>
      <c r="GS1694" s="2">
        <v>3.3</v>
      </c>
      <c r="GT1694" s="2">
        <v>0.8</v>
      </c>
      <c r="GU1694" s="2">
        <v>1.5</v>
      </c>
      <c r="GV1694" s="2">
        <v>0.5</v>
      </c>
      <c r="GW1694" s="2">
        <v>1</v>
      </c>
      <c r="GX1694" s="2">
        <v>0.1</v>
      </c>
      <c r="GY1694" s="2">
        <v>0.2</v>
      </c>
      <c r="GZ1694" s="2">
        <v>0.2</v>
      </c>
      <c r="HA1694" s="2">
        <v>1.1</v>
      </c>
      <c r="HB1694" s="2">
        <v>-0.2</v>
      </c>
      <c r="HC1694" s="2">
        <v>0.9</v>
      </c>
      <c r="HD1694" s="2">
        <v>0.2</v>
      </c>
      <c r="HE1694" s="2">
        <v>2.3</v>
      </c>
      <c r="HF1694" s="2">
        <v>1.8</v>
      </c>
      <c r="HG1694" s="2">
        <v>0.6</v>
      </c>
      <c r="HH1694" s="2">
        <v>0</v>
      </c>
      <c r="HI1694" s="2">
        <v>8.1</v>
      </c>
      <c r="HJ1694" s="2">
        <v>0.9</v>
      </c>
      <c r="HK1694" s="2">
        <v>1.7</v>
      </c>
      <c r="HL1694" s="2">
        <v>0</v>
      </c>
      <c r="HM1694" s="2">
        <v>2.4</v>
      </c>
      <c r="HN1694" s="2">
        <v>0</v>
      </c>
      <c r="HO1694" s="2">
        <v>0.7</v>
      </c>
      <c r="HP1694" s="2">
        <v>0</v>
      </c>
      <c r="HQ1694" s="2">
        <v>0.8</v>
      </c>
      <c r="HR1694" s="2">
        <v>0</v>
      </c>
      <c r="HS1694" s="2">
        <v>0.6</v>
      </c>
      <c r="HT1694" s="2">
        <v>0.5</v>
      </c>
      <c r="HU1694" s="2">
        <v>2.8</v>
      </c>
      <c r="HV1694" s="2">
        <v>0.3</v>
      </c>
      <c r="HW1694" s="2">
        <v>1.9</v>
      </c>
      <c r="HX1694" s="2">
        <v>0</v>
      </c>
      <c r="HY1694" s="2">
        <v>-0.2</v>
      </c>
      <c r="HZ1694" s="2">
        <v>0.6</v>
      </c>
      <c r="IA1694" s="2">
        <v>1.2</v>
      </c>
      <c r="IB1694" s="2">
        <v>0</v>
      </c>
      <c r="IC1694" s="2">
        <v>0.9</v>
      </c>
      <c r="ID1694" s="2">
        <v>1.1</v>
      </c>
      <c r="IE1694" s="2">
        <v>1.1</v>
      </c>
      <c r="IF1694" s="2">
        <v>0</v>
      </c>
      <c r="IG1694" s="2">
        <v>2.4</v>
      </c>
      <c r="IH1694" s="2">
        <v>0.1</v>
      </c>
      <c r="II1694" s="2">
        <v>0.4</v>
      </c>
      <c r="IJ1694" s="2">
        <v>0.7</v>
      </c>
      <c r="IK1694" s="2">
        <v>1.7</v>
      </c>
      <c r="IL1694" s="2">
        <v>1.5</v>
      </c>
      <c r="IM1694" s="2">
        <v>1.4</v>
      </c>
      <c r="IN1694" s="2">
        <v>0.3</v>
      </c>
      <c r="IO1694" s="2">
        <v>1.2</v>
      </c>
      <c r="IP1694" s="2">
        <v>0.5</v>
      </c>
      <c r="IQ1694" s="2">
        <v>3.3</v>
      </c>
      <c r="IR1694" s="2">
        <v>0</v>
      </c>
      <c r="IS1694" s="2">
        <v>0.8</v>
      </c>
      <c r="IT1694" s="2">
        <v>0.2</v>
      </c>
      <c r="IU1694" s="2">
        <v>3.2</v>
      </c>
      <c r="IV1694" s="2">
        <v>-1.6</v>
      </c>
      <c r="IW1694" s="2">
        <v>0.8</v>
      </c>
      <c r="IX1694" s="2">
        <v>0</v>
      </c>
      <c r="IY1694" s="2">
        <v>1</v>
      </c>
      <c r="IZ1694" s="2">
        <v>1</v>
      </c>
      <c r="JA1694" s="2">
        <v>0.5</v>
      </c>
      <c r="JB1694" s="2">
        <v>0</v>
      </c>
      <c r="JC1694" s="2">
        <v>4.6</v>
      </c>
      <c r="JD1694" s="2">
        <v>0</v>
      </c>
      <c r="JE1694" s="2">
        <v>1.1</v>
      </c>
      <c r="JF1694" s="2">
        <v>0.1</v>
      </c>
      <c r="JG1694" s="2">
        <v>3.2</v>
      </c>
      <c r="JH1694" s="2">
        <v>0</v>
      </c>
      <c r="JI1694" s="2">
        <v>0.3</v>
      </c>
      <c r="JJ1694" s="2">
        <v>0</v>
      </c>
      <c r="JK1694" s="2">
        <v>2.2</v>
      </c>
      <c r="JL1694" s="2">
        <v>0</v>
      </c>
      <c r="JM1694" s="2">
        <v>1.1</v>
      </c>
      <c r="JN1694" s="2">
        <v>-1.8</v>
      </c>
      <c r="JO1694" s="2">
        <v>-3.3</v>
      </c>
      <c r="JP1694" s="2">
        <v>0</v>
      </c>
      <c r="JQ1694" s="2">
        <v>0.2</v>
      </c>
      <c r="JR1694" s="2">
        <v>-0.4</v>
      </c>
      <c r="JS1694" s="2">
        <v>0.3</v>
      </c>
      <c r="JT1694" s="2">
        <v>0</v>
      </c>
      <c r="JU1694" s="2">
        <v>0.2</v>
      </c>
      <c r="JV1694" s="2">
        <v>1.9</v>
      </c>
      <c r="KA1694" s="2">
        <v>-0.9</v>
      </c>
      <c r="KB1694" s="2">
        <v>0.2</v>
      </c>
      <c r="KC1694" s="2">
        <v>1.2</v>
      </c>
      <c r="KD1694" s="2">
        <v>0</v>
      </c>
      <c r="KQ1694" s="2">
        <v>1.8</v>
      </c>
      <c r="KR1694" s="2">
        <v>-0.2</v>
      </c>
      <c r="KS1694" s="2">
        <v>0.9</v>
      </c>
      <c r="KT1694" s="2">
        <v>0</v>
      </c>
      <c r="LG1694" s="2">
        <v>1.1</v>
      </c>
      <c r="LH1694" s="2">
        <v>-0.2</v>
      </c>
      <c r="LI1694" s="2">
        <v>1.1</v>
      </c>
      <c r="LJ1694" s="2">
        <v>0</v>
      </c>
      <c r="LW1694" s="2">
        <v>0.6</v>
      </c>
      <c r="LX1694" s="2">
        <v>-2</v>
      </c>
      <c r="LY1694" s="2">
        <v>-3.6</v>
      </c>
      <c r="LZ1694" s="2">
        <v>4.5</v>
      </c>
      <c r="MM1694" s="2">
        <v>0.2</v>
      </c>
      <c r="MN1694" s="2">
        <v>0.1</v>
      </c>
      <c r="MO1694" s="2">
        <v>0.6</v>
      </c>
      <c r="MP1694" s="2">
        <v>0</v>
      </c>
      <c r="NC1694" s="2">
        <v>0.4</v>
      </c>
      <c r="ND1694" s="2">
        <v>-4.4</v>
      </c>
      <c r="NE1694" s="2">
        <v>6.6</v>
      </c>
      <c r="NF1694" s="2">
        <v>-0.6</v>
      </c>
      <c r="NS1694" s="2">
        <v>1.9</v>
      </c>
      <c r="NT1694" s="2">
        <v>0</v>
      </c>
      <c r="NU1694" s="2">
        <v>2.9</v>
      </c>
      <c r="NV1694" s="2">
        <v>1.6</v>
      </c>
      <c r="OI1694" s="2">
        <v>0.3</v>
      </c>
      <c r="OJ1694" s="2">
        <v>0.8</v>
      </c>
      <c r="OK1694" s="2">
        <v>-2.1</v>
      </c>
      <c r="OL1694" s="2">
        <v>-3.2</v>
      </c>
      <c r="OY1694" s="2">
        <v>0.7</v>
      </c>
      <c r="OZ1694" s="2">
        <v>1.7</v>
      </c>
      <c r="PA1694" s="2">
        <v>1.9</v>
      </c>
      <c r="PB1694" s="2">
        <v>-2.1</v>
      </c>
      <c r="PJ1694" s="2">
        <v>-2.6</v>
      </c>
      <c r="PK1694" s="2">
        <v>-15.2</v>
      </c>
    </row>
    <row r="1695">
      <c r="A1695" t="inlineStr">
        <is>
          <t>A2328820K</t>
        </is>
      </c>
      <c r="B1695" t="inlineStr">
        <is>
          <t>Percentage Change from Previous Period ;  Urban transport fares ;  Australia ;</t>
        </is>
      </c>
      <c r="C1695" t="inlineStr">
        <is>
          <t>Quarter</t>
        </is>
      </c>
      <c r="D1695" t="inlineStr">
        <is>
          <t>Percent</t>
        </is>
      </c>
      <c r="E1695" t="inlineStr">
        <is>
          <t>Original</t>
        </is>
      </c>
      <c r="F1695" t="inlineStr">
        <is>
          <t>6401018.xlsx</t>
        </is>
      </c>
      <c r="G1695" t="inlineStr">
        <is>
          <t>1972Q4</t>
        </is>
      </c>
      <c r="H1695" t="inlineStr">
        <is>
          <t>2026Q2</t>
        </is>
      </c>
      <c r="DB1695" s="2">
        <v>0</v>
      </c>
      <c r="DC1695" s="2">
        <v>1.1</v>
      </c>
      <c r="DD1695" s="2">
        <v>0.9</v>
      </c>
      <c r="DE1695" s="2">
        <v>1.4</v>
      </c>
      <c r="DF1695" s="2">
        <v>0.9</v>
      </c>
      <c r="DG1695" s="2">
        <v>0.4</v>
      </c>
      <c r="DH1695" s="2">
        <v>0.9</v>
      </c>
      <c r="DI1695" s="2">
        <v>4.1</v>
      </c>
      <c r="DJ1695" s="2">
        <v>7</v>
      </c>
      <c r="DK1695" s="2">
        <v>2</v>
      </c>
      <c r="DL1695" s="2">
        <v>0</v>
      </c>
      <c r="DM1695" s="2">
        <v>8</v>
      </c>
      <c r="DN1695" s="2">
        <v>1.1</v>
      </c>
      <c r="DO1695" s="2">
        <v>6.3</v>
      </c>
      <c r="DP1695" s="2">
        <v>0</v>
      </c>
      <c r="DQ1695" s="2">
        <v>-3.4</v>
      </c>
      <c r="DR1695" s="2">
        <v>0.7</v>
      </c>
      <c r="DS1695" s="2">
        <v>0</v>
      </c>
      <c r="DT1695" s="2">
        <v>0.3</v>
      </c>
      <c r="DU1695" s="2">
        <v>1.1</v>
      </c>
      <c r="DV1695" s="2">
        <v>1</v>
      </c>
      <c r="DW1695" s="2">
        <v>6.1</v>
      </c>
      <c r="DX1695" s="2">
        <v>0</v>
      </c>
      <c r="DY1695" s="2">
        <v>1.1</v>
      </c>
      <c r="DZ1695" s="2">
        <v>0</v>
      </c>
      <c r="EA1695" s="2">
        <v>4.2</v>
      </c>
      <c r="EB1695" s="2">
        <v>0</v>
      </c>
      <c r="EC1695" s="2">
        <v>4.6</v>
      </c>
      <c r="ED1695" s="2">
        <v>6.5</v>
      </c>
      <c r="EE1695" s="2">
        <v>3.9</v>
      </c>
      <c r="EF1695" s="2">
        <v>0.5</v>
      </c>
      <c r="EG1695" s="2">
        <v>8</v>
      </c>
      <c r="EH1695" s="2">
        <v>6.4</v>
      </c>
      <c r="EI1695" s="2">
        <v>1.1</v>
      </c>
      <c r="EJ1695" s="2">
        <v>0</v>
      </c>
      <c r="EK1695" s="2">
        <v>3.5</v>
      </c>
      <c r="EL1695" s="2">
        <v>9.300000000000001</v>
      </c>
      <c r="EM1695" s="2">
        <v>1.6</v>
      </c>
      <c r="EN1695" s="2">
        <v>0</v>
      </c>
      <c r="EO1695" s="2">
        <v>5.4</v>
      </c>
      <c r="EP1695" s="2">
        <v>4.7</v>
      </c>
      <c r="EQ1695" s="2">
        <v>0.8</v>
      </c>
      <c r="ER1695" s="2">
        <v>0</v>
      </c>
      <c r="ES1695" s="2">
        <v>2.8</v>
      </c>
      <c r="ET1695" s="2">
        <v>8.9</v>
      </c>
      <c r="EU1695" s="2">
        <v>1.1</v>
      </c>
      <c r="EV1695" s="2">
        <v>0</v>
      </c>
      <c r="EW1695" s="2">
        <v>2.3</v>
      </c>
      <c r="EX1695" s="2">
        <v>2.3</v>
      </c>
      <c r="EY1695" s="2">
        <v>0.5</v>
      </c>
      <c r="EZ1695" s="2">
        <v>0.3</v>
      </c>
      <c r="FA1695" s="2">
        <v>2.7</v>
      </c>
      <c r="FB1695" s="2">
        <v>2.2</v>
      </c>
      <c r="FC1695" s="2">
        <v>1.7</v>
      </c>
      <c r="FD1695" s="2">
        <v>0.4</v>
      </c>
      <c r="FE1695" s="2">
        <v>6.3</v>
      </c>
      <c r="FF1695" s="2">
        <v>2</v>
      </c>
      <c r="FG1695" s="2">
        <v>1</v>
      </c>
      <c r="FH1695" s="2">
        <v>0.3</v>
      </c>
      <c r="FI1695" s="2">
        <v>4.3</v>
      </c>
      <c r="FJ1695" s="2">
        <v>1.3</v>
      </c>
      <c r="FK1695" s="2">
        <v>1.7</v>
      </c>
      <c r="FL1695" s="2">
        <v>0.6</v>
      </c>
      <c r="FM1695" s="2">
        <v>7.2</v>
      </c>
      <c r="FN1695" s="2">
        <v>1.4</v>
      </c>
      <c r="FO1695" s="2">
        <v>0.2</v>
      </c>
      <c r="FP1695" s="2">
        <v>0.3</v>
      </c>
      <c r="FQ1695" s="2">
        <v>5.6</v>
      </c>
      <c r="FR1695" s="2">
        <v>1.7</v>
      </c>
      <c r="FS1695" s="2">
        <v>1</v>
      </c>
      <c r="FT1695" s="2">
        <v>0.5</v>
      </c>
      <c r="FU1695" s="2">
        <v>5.8</v>
      </c>
      <c r="FV1695" s="2">
        <v>4.6</v>
      </c>
      <c r="FW1695" s="2">
        <v>1.2</v>
      </c>
      <c r="FX1695" s="2">
        <v>2.2</v>
      </c>
      <c r="FY1695" s="2">
        <v>3</v>
      </c>
      <c r="FZ1695" s="2">
        <v>1.3</v>
      </c>
      <c r="GA1695" s="2">
        <v>1.2</v>
      </c>
      <c r="GB1695" s="2">
        <v>0.1</v>
      </c>
      <c r="GC1695" s="2">
        <v>2.2</v>
      </c>
      <c r="GD1695" s="2">
        <v>0.2</v>
      </c>
      <c r="GE1695" s="2">
        <v>3</v>
      </c>
      <c r="GF1695" s="2">
        <v>0.3</v>
      </c>
      <c r="GG1695" s="2">
        <v>1.8</v>
      </c>
      <c r="GH1695" s="2">
        <v>0.1</v>
      </c>
      <c r="GI1695" s="2">
        <v>0.9</v>
      </c>
      <c r="GJ1695" s="2">
        <v>0.2</v>
      </c>
      <c r="GK1695" s="2">
        <v>1.6</v>
      </c>
      <c r="GL1695" s="2">
        <v>0.4</v>
      </c>
      <c r="GM1695" s="2">
        <v>0.7</v>
      </c>
      <c r="GN1695" s="2">
        <v>0.2</v>
      </c>
      <c r="GO1695" s="2">
        <v>2.7</v>
      </c>
      <c r="GP1695" s="2">
        <v>0.1</v>
      </c>
      <c r="GQ1695" s="2">
        <v>0.3</v>
      </c>
      <c r="GR1695" s="2">
        <v>0.6</v>
      </c>
      <c r="GS1695" s="2">
        <v>3.3</v>
      </c>
      <c r="GT1695" s="2">
        <v>0.8</v>
      </c>
      <c r="GU1695" s="2">
        <v>1.5</v>
      </c>
      <c r="GV1695" s="2">
        <v>0.5</v>
      </c>
      <c r="GW1695" s="2">
        <v>1</v>
      </c>
      <c r="GX1695" s="2">
        <v>0.1</v>
      </c>
      <c r="GY1695" s="2">
        <v>0.2</v>
      </c>
      <c r="GZ1695" s="2">
        <v>0.2</v>
      </c>
      <c r="HA1695" s="2">
        <v>1.1</v>
      </c>
      <c r="HB1695" s="2">
        <v>-0.2</v>
      </c>
      <c r="HC1695" s="2">
        <v>0.9</v>
      </c>
      <c r="HD1695" s="2">
        <v>0.2</v>
      </c>
      <c r="HE1695" s="2">
        <v>2.3</v>
      </c>
      <c r="HF1695" s="2">
        <v>1.8</v>
      </c>
      <c r="HG1695" s="2">
        <v>0.6</v>
      </c>
      <c r="HH1695" s="2">
        <v>0</v>
      </c>
      <c r="HI1695" s="2">
        <v>8.1</v>
      </c>
      <c r="HJ1695" s="2">
        <v>0.9</v>
      </c>
      <c r="HK1695" s="2">
        <v>1.7</v>
      </c>
      <c r="HL1695" s="2">
        <v>0</v>
      </c>
      <c r="HM1695" s="2">
        <v>2.4</v>
      </c>
      <c r="HN1695" s="2">
        <v>0</v>
      </c>
      <c r="HO1695" s="2">
        <v>0.7</v>
      </c>
      <c r="HP1695" s="2">
        <v>0</v>
      </c>
      <c r="HQ1695" s="2">
        <v>0.8</v>
      </c>
      <c r="HR1695" s="2">
        <v>0</v>
      </c>
      <c r="HS1695" s="2">
        <v>0.6</v>
      </c>
      <c r="HT1695" s="2">
        <v>0.5</v>
      </c>
      <c r="HU1695" s="2">
        <v>2.8</v>
      </c>
      <c r="HV1695" s="2">
        <v>0.3</v>
      </c>
      <c r="HW1695" s="2">
        <v>1.9</v>
      </c>
      <c r="HX1695" s="2">
        <v>0</v>
      </c>
      <c r="HY1695" s="2">
        <v>-0.2</v>
      </c>
      <c r="HZ1695" s="2">
        <v>0.6</v>
      </c>
      <c r="IA1695" s="2">
        <v>1.2</v>
      </c>
      <c r="IB1695" s="2">
        <v>0</v>
      </c>
      <c r="IC1695" s="2">
        <v>1</v>
      </c>
      <c r="ID1695" s="2">
        <v>1.1</v>
      </c>
      <c r="IE1695" s="2">
        <v>1.1</v>
      </c>
      <c r="IF1695" s="2">
        <v>0</v>
      </c>
      <c r="IG1695" s="2">
        <v>2.4</v>
      </c>
      <c r="IH1695" s="2">
        <v>0.1</v>
      </c>
      <c r="II1695" s="2">
        <v>0.4</v>
      </c>
      <c r="IJ1695" s="2">
        <v>0.7</v>
      </c>
      <c r="IK1695" s="2">
        <v>1.7</v>
      </c>
      <c r="IL1695" s="2">
        <v>1.5</v>
      </c>
      <c r="IM1695" s="2">
        <v>1.4</v>
      </c>
      <c r="IN1695" s="2">
        <v>0.3</v>
      </c>
      <c r="IO1695" s="2">
        <v>1.2</v>
      </c>
      <c r="IP1695" s="2">
        <v>0.5</v>
      </c>
      <c r="IQ1695" s="2">
        <v>3.3</v>
      </c>
      <c r="IR1695" s="2">
        <v>0</v>
      </c>
      <c r="IS1695" s="2">
        <v>0.8</v>
      </c>
      <c r="IT1695" s="2">
        <v>0.2</v>
      </c>
      <c r="IU1695" s="2">
        <v>3.2</v>
      </c>
      <c r="IV1695" s="2">
        <v>-1.6</v>
      </c>
      <c r="IW1695" s="2">
        <v>0.8</v>
      </c>
      <c r="IX1695" s="2">
        <v>0</v>
      </c>
      <c r="IY1695" s="2">
        <v>1</v>
      </c>
      <c r="IZ1695" s="2">
        <v>1</v>
      </c>
      <c r="JA1695" s="2">
        <v>0.5</v>
      </c>
      <c r="JB1695" s="2">
        <v>0</v>
      </c>
      <c r="JC1695" s="2">
        <v>4.6</v>
      </c>
      <c r="JD1695" s="2">
        <v>0</v>
      </c>
      <c r="JE1695" s="2">
        <v>1.1</v>
      </c>
      <c r="JF1695" s="2">
        <v>0.1</v>
      </c>
      <c r="JG1695" s="2">
        <v>3.2</v>
      </c>
      <c r="JH1695" s="2">
        <v>0</v>
      </c>
      <c r="JI1695" s="2">
        <v>0.3</v>
      </c>
      <c r="JJ1695" s="2">
        <v>0</v>
      </c>
      <c r="JK1695" s="2">
        <v>2.2</v>
      </c>
      <c r="JL1695" s="2">
        <v>0</v>
      </c>
      <c r="JM1695" s="2">
        <v>1.1</v>
      </c>
      <c r="JN1695" s="2">
        <v>-1.8</v>
      </c>
      <c r="JO1695" s="2">
        <v>-3.3</v>
      </c>
      <c r="JP1695" s="2">
        <v>0</v>
      </c>
      <c r="JQ1695" s="2">
        <v>0.2</v>
      </c>
      <c r="JR1695" s="2">
        <v>-0.4</v>
      </c>
      <c r="JS1695" s="2">
        <v>0.3</v>
      </c>
      <c r="JT1695" s="2">
        <v>0</v>
      </c>
      <c r="JU1695" s="2">
        <v>0.2</v>
      </c>
      <c r="JV1695" s="2">
        <v>1.9</v>
      </c>
      <c r="KA1695" s="2">
        <v>-0.9</v>
      </c>
      <c r="KB1695" s="2">
        <v>0.2</v>
      </c>
      <c r="KC1695" s="2">
        <v>1.2</v>
      </c>
      <c r="KD1695" s="2">
        <v>0</v>
      </c>
      <c r="KQ1695" s="2">
        <v>1.8</v>
      </c>
      <c r="KR1695" s="2">
        <v>-0.2</v>
      </c>
      <c r="KS1695" s="2">
        <v>0.9</v>
      </c>
      <c r="KT1695" s="2">
        <v>0</v>
      </c>
      <c r="LG1695" s="2">
        <v>1.1</v>
      </c>
      <c r="LH1695" s="2">
        <v>-0.2</v>
      </c>
      <c r="LI1695" s="2">
        <v>1.1</v>
      </c>
      <c r="LJ1695" s="2">
        <v>0</v>
      </c>
      <c r="LW1695" s="2">
        <v>0.6</v>
      </c>
      <c r="LX1695" s="2">
        <v>-2</v>
      </c>
      <c r="LY1695" s="2">
        <v>-3.6</v>
      </c>
      <c r="LZ1695" s="2">
        <v>4.5</v>
      </c>
      <c r="MM1695" s="2">
        <v>0.2</v>
      </c>
      <c r="MN1695" s="2">
        <v>0.1</v>
      </c>
      <c r="MO1695" s="2">
        <v>0.6</v>
      </c>
      <c r="MP1695" s="2">
        <v>0</v>
      </c>
      <c r="NC1695" s="2">
        <v>0.4</v>
      </c>
      <c r="ND1695" s="2">
        <v>-4.4</v>
      </c>
      <c r="NE1695" s="2">
        <v>6.6</v>
      </c>
      <c r="NF1695" s="2">
        <v>-0.6</v>
      </c>
      <c r="NS1695" s="2">
        <v>1.9</v>
      </c>
      <c r="NT1695" s="2">
        <v>0</v>
      </c>
      <c r="NU1695" s="2">
        <v>2.9</v>
      </c>
      <c r="NV1695" s="2">
        <v>1.6</v>
      </c>
      <c r="OI1695" s="2">
        <v>0.3</v>
      </c>
      <c r="OJ1695" s="2">
        <v>0.8</v>
      </c>
      <c r="OK1695" s="2">
        <v>-2.1</v>
      </c>
      <c r="OL1695" s="2">
        <v>-3.2</v>
      </c>
      <c r="OY1695" s="2">
        <v>0.7</v>
      </c>
      <c r="OZ1695" s="2">
        <v>1.7</v>
      </c>
      <c r="PA1695" s="2">
        <v>1.9</v>
      </c>
      <c r="PB1695" s="2">
        <v>-2.1</v>
      </c>
      <c r="PJ1695" s="2">
        <v>-2.6</v>
      </c>
      <c r="PK1695" s="2">
        <v>-15.2</v>
      </c>
    </row>
    <row r="1696">
      <c r="A1696" t="inlineStr">
        <is>
          <t>A2331205T</t>
        </is>
      </c>
      <c r="B1696" t="inlineStr">
        <is>
          <t>Percentage Change from Previous Period ;  Communication ;  Australia ;</t>
        </is>
      </c>
      <c r="C1696" t="inlineStr">
        <is>
          <t>Quarter</t>
        </is>
      </c>
      <c r="D1696" t="inlineStr">
        <is>
          <t>Percent</t>
        </is>
      </c>
      <c r="E1696" t="inlineStr">
        <is>
          <t>Original</t>
        </is>
      </c>
      <c r="F1696" t="inlineStr">
        <is>
          <t>6401018.xlsx</t>
        </is>
      </c>
      <c r="G1696" t="inlineStr">
        <is>
          <t>1972Q4</t>
        </is>
      </c>
      <c r="H1696" t="inlineStr">
        <is>
          <t>2026Q2</t>
        </is>
      </c>
      <c r="DB1696" s="2">
        <v>0</v>
      </c>
      <c r="DC1696" s="2">
        <v>0</v>
      </c>
      <c r="DD1696" s="2">
        <v>0</v>
      </c>
      <c r="DE1696" s="2">
        <v>0</v>
      </c>
      <c r="DF1696" s="2">
        <v>0</v>
      </c>
      <c r="DG1696" s="2">
        <v>0</v>
      </c>
      <c r="DH1696" s="2">
        <v>0</v>
      </c>
      <c r="DI1696" s="2">
        <v>0</v>
      </c>
      <c r="DJ1696" s="2">
        <v>21.8</v>
      </c>
      <c r="DK1696" s="2">
        <v>0</v>
      </c>
      <c r="DL1696" s="2">
        <v>0</v>
      </c>
      <c r="DM1696" s="2">
        <v>0</v>
      </c>
      <c r="DN1696" s="2">
        <v>40.9</v>
      </c>
      <c r="DO1696" s="2">
        <v>0</v>
      </c>
      <c r="DP1696" s="2">
        <v>0.3</v>
      </c>
      <c r="DQ1696" s="2">
        <v>0</v>
      </c>
      <c r="DR1696" s="2">
        <v>0.9</v>
      </c>
      <c r="DS1696" s="2">
        <v>0</v>
      </c>
      <c r="DT1696" s="2">
        <v>0</v>
      </c>
      <c r="DU1696" s="2">
        <v>0</v>
      </c>
      <c r="DV1696" s="2">
        <v>1.4</v>
      </c>
      <c r="DW1696" s="2">
        <v>-0.2</v>
      </c>
      <c r="DX1696" s="2">
        <v>0</v>
      </c>
      <c r="DY1696" s="2">
        <v>2.2</v>
      </c>
      <c r="DZ1696" s="2">
        <v>1.2</v>
      </c>
      <c r="EA1696" s="2">
        <v>-0.8</v>
      </c>
      <c r="EB1696" s="2">
        <v>0</v>
      </c>
      <c r="EC1696" s="2">
        <v>0</v>
      </c>
      <c r="ED1696" s="2">
        <v>1.6</v>
      </c>
      <c r="EE1696" s="2">
        <v>0.3</v>
      </c>
      <c r="EF1696" s="2">
        <v>1.6</v>
      </c>
      <c r="EG1696" s="2">
        <v>0</v>
      </c>
      <c r="EH1696" s="2">
        <v>-0.2</v>
      </c>
      <c r="EI1696" s="2">
        <v>0</v>
      </c>
      <c r="EJ1696" s="2">
        <v>-1</v>
      </c>
      <c r="EK1696" s="2">
        <v>2.2</v>
      </c>
      <c r="EL1696" s="2">
        <v>4.8</v>
      </c>
      <c r="EM1696" s="2">
        <v>3</v>
      </c>
      <c r="EN1696" s="2">
        <v>1.6</v>
      </c>
      <c r="EO1696" s="2">
        <v>2.8</v>
      </c>
      <c r="EP1696" s="2">
        <v>3.9</v>
      </c>
      <c r="EQ1696" s="2">
        <v>0.1</v>
      </c>
      <c r="ER1696" s="2">
        <v>-0.1</v>
      </c>
      <c r="ES1696" s="2">
        <v>0</v>
      </c>
      <c r="ET1696" s="2">
        <v>9.699999999999999</v>
      </c>
      <c r="EU1696" s="2">
        <v>0.1</v>
      </c>
      <c r="EV1696" s="2">
        <v>0</v>
      </c>
      <c r="EW1696" s="2">
        <v>0</v>
      </c>
      <c r="EX1696" s="2">
        <v>0</v>
      </c>
      <c r="EY1696" s="2">
        <v>3</v>
      </c>
      <c r="EZ1696" s="2">
        <v>2.2</v>
      </c>
      <c r="FA1696" s="2">
        <v>0</v>
      </c>
      <c r="FB1696" s="2">
        <v>1.8</v>
      </c>
      <c r="FC1696" s="2">
        <v>0.8</v>
      </c>
      <c r="FD1696" s="2">
        <v>0</v>
      </c>
      <c r="FE1696" s="2">
        <v>0.8</v>
      </c>
      <c r="FF1696" s="2">
        <v>2.2</v>
      </c>
      <c r="FG1696" s="2">
        <v>0.7</v>
      </c>
      <c r="FH1696" s="2">
        <v>0.3</v>
      </c>
      <c r="FI1696" s="2">
        <v>5.6</v>
      </c>
      <c r="FJ1696" s="2">
        <v>1.8</v>
      </c>
      <c r="FK1696" s="2">
        <v>-0.6</v>
      </c>
      <c r="FL1696" s="2">
        <v>0</v>
      </c>
      <c r="FM1696" s="2">
        <v>1</v>
      </c>
      <c r="FN1696" s="2">
        <v>2.5</v>
      </c>
      <c r="FO1696" s="2">
        <v>-1.2</v>
      </c>
      <c r="FP1696" s="2">
        <v>-2.2</v>
      </c>
      <c r="FQ1696" s="2">
        <v>0</v>
      </c>
      <c r="FR1696" s="2">
        <v>0.9</v>
      </c>
      <c r="FS1696" s="2">
        <v>0.2</v>
      </c>
      <c r="FT1696" s="2">
        <v>0.1</v>
      </c>
      <c r="FU1696" s="2">
        <v>2.2</v>
      </c>
      <c r="FV1696" s="2">
        <v>0.1</v>
      </c>
      <c r="FW1696" s="2">
        <v>0</v>
      </c>
      <c r="FX1696" s="2">
        <v>0.1</v>
      </c>
      <c r="FY1696" s="2">
        <v>4</v>
      </c>
      <c r="FZ1696" s="2">
        <v>0</v>
      </c>
      <c r="GA1696" s="2">
        <v>0.7</v>
      </c>
      <c r="GB1696" s="2">
        <v>-0.7</v>
      </c>
      <c r="GC1696" s="2">
        <v>-0.2</v>
      </c>
      <c r="GD1696" s="2">
        <v>0.4</v>
      </c>
      <c r="GE1696" s="2">
        <v>0</v>
      </c>
      <c r="GF1696" s="2">
        <v>-0.7</v>
      </c>
      <c r="GG1696" s="2">
        <v>-0.6</v>
      </c>
      <c r="GH1696" s="2">
        <v>-0.2</v>
      </c>
      <c r="GI1696" s="2">
        <v>1</v>
      </c>
      <c r="GJ1696" s="2">
        <v>0</v>
      </c>
      <c r="GK1696" s="2">
        <v>0</v>
      </c>
      <c r="GL1696" s="2">
        <v>1.1</v>
      </c>
      <c r="GM1696" s="2">
        <v>0</v>
      </c>
      <c r="GN1696" s="2">
        <v>-0.2</v>
      </c>
      <c r="GO1696" s="2">
        <v>0.1</v>
      </c>
      <c r="GP1696" s="2">
        <v>0</v>
      </c>
      <c r="GQ1696" s="2">
        <v>-0.9</v>
      </c>
      <c r="GR1696" s="2">
        <v>-0.1</v>
      </c>
      <c r="GS1696" s="2">
        <v>0</v>
      </c>
      <c r="GT1696" s="2">
        <v>-0.4</v>
      </c>
      <c r="GU1696" s="2">
        <v>0.1</v>
      </c>
      <c r="GV1696" s="2">
        <v>0</v>
      </c>
      <c r="GW1696" s="2">
        <v>0.1</v>
      </c>
      <c r="GX1696" s="2">
        <v>0.3</v>
      </c>
      <c r="GY1696" s="2">
        <v>0</v>
      </c>
      <c r="GZ1696" s="2">
        <v>-0.7</v>
      </c>
      <c r="HA1696" s="2">
        <v>-0.8</v>
      </c>
      <c r="HB1696" s="2">
        <v>-1</v>
      </c>
      <c r="HC1696" s="2">
        <v>-2.8</v>
      </c>
      <c r="HD1696" s="2">
        <v>-0.3</v>
      </c>
      <c r="HE1696" s="2">
        <v>-3.2</v>
      </c>
      <c r="HF1696" s="2">
        <v>-0.4</v>
      </c>
      <c r="HG1696" s="2">
        <v>0.2</v>
      </c>
      <c r="HH1696" s="2">
        <v>1.3</v>
      </c>
      <c r="HI1696" s="2">
        <v>6.9</v>
      </c>
      <c r="HJ1696" s="2">
        <v>-0.7</v>
      </c>
      <c r="HK1696" s="2">
        <v>-0.5</v>
      </c>
      <c r="HL1696" s="2">
        <v>-0.6</v>
      </c>
      <c r="HM1696" s="2">
        <v>-0.2</v>
      </c>
      <c r="HN1696" s="2">
        <v>1.8</v>
      </c>
      <c r="HO1696" s="2">
        <v>0</v>
      </c>
      <c r="HP1696" s="2">
        <v>0.8</v>
      </c>
      <c r="HQ1696" s="2">
        <v>1.5</v>
      </c>
      <c r="HR1696" s="2">
        <v>0.5</v>
      </c>
      <c r="HS1696" s="2">
        <v>0.3</v>
      </c>
      <c r="HT1696" s="2">
        <v>0.2</v>
      </c>
      <c r="HU1696" s="2">
        <v>0.7</v>
      </c>
      <c r="HV1696" s="2">
        <v>0.2</v>
      </c>
      <c r="HW1696" s="2">
        <v>0</v>
      </c>
      <c r="HX1696" s="2">
        <v>0.4</v>
      </c>
      <c r="HY1696" s="2">
        <v>0.4</v>
      </c>
      <c r="HZ1696" s="2">
        <v>0.2</v>
      </c>
      <c r="IA1696" s="2">
        <v>0.4</v>
      </c>
      <c r="IB1696" s="2">
        <v>-0.9</v>
      </c>
      <c r="IC1696" s="2">
        <v>-0.7</v>
      </c>
      <c r="ID1696" s="2">
        <v>-0.7</v>
      </c>
      <c r="IE1696" s="2">
        <v>0.4</v>
      </c>
      <c r="IF1696" s="2">
        <v>0.1</v>
      </c>
      <c r="IG1696" s="2">
        <v>0.6</v>
      </c>
      <c r="IH1696" s="2">
        <v>0.5</v>
      </c>
      <c r="II1696" s="2">
        <v>0.2</v>
      </c>
      <c r="IJ1696" s="2">
        <v>0.2</v>
      </c>
      <c r="IK1696" s="2">
        <v>0</v>
      </c>
      <c r="IL1696" s="2">
        <v>0</v>
      </c>
      <c r="IM1696" s="2">
        <v>-0.1</v>
      </c>
      <c r="IN1696" s="2">
        <v>0.1</v>
      </c>
      <c r="IO1696" s="2">
        <v>0.2</v>
      </c>
      <c r="IP1696" s="2">
        <v>0.4</v>
      </c>
      <c r="IQ1696" s="2">
        <v>0.4</v>
      </c>
      <c r="IR1696" s="2">
        <v>0.2</v>
      </c>
      <c r="IS1696" s="2">
        <v>0</v>
      </c>
      <c r="IT1696" s="2">
        <v>-0.1</v>
      </c>
      <c r="IU1696" s="2">
        <v>-0.1</v>
      </c>
      <c r="IV1696" s="2">
        <v>0</v>
      </c>
      <c r="IW1696" s="2">
        <v>-0.3</v>
      </c>
      <c r="IX1696" s="2">
        <v>0</v>
      </c>
      <c r="IY1696" s="2">
        <v>0.2</v>
      </c>
      <c r="IZ1696" s="2">
        <v>0.4</v>
      </c>
      <c r="JA1696" s="2">
        <v>0</v>
      </c>
      <c r="JB1696" s="2">
        <v>1</v>
      </c>
      <c r="JC1696" s="2">
        <v>0.1</v>
      </c>
      <c r="JD1696" s="2">
        <v>-0.3</v>
      </c>
      <c r="JE1696" s="2">
        <v>0.5</v>
      </c>
      <c r="JF1696" s="2">
        <v>1.3</v>
      </c>
      <c r="JG1696" s="2">
        <v>0</v>
      </c>
      <c r="JH1696" s="2">
        <v>0.4</v>
      </c>
      <c r="JI1696" s="2">
        <v>0.1</v>
      </c>
      <c r="JJ1696" s="2">
        <v>1.2</v>
      </c>
      <c r="JK1696" s="2">
        <v>0.2</v>
      </c>
      <c r="JL1696" s="2">
        <v>-1.7</v>
      </c>
      <c r="JM1696" s="2">
        <v>-1.4</v>
      </c>
      <c r="JN1696" s="2">
        <v>-0.1</v>
      </c>
      <c r="JO1696" s="2">
        <v>-1.3</v>
      </c>
      <c r="JP1696" s="2">
        <v>-0.6</v>
      </c>
      <c r="JQ1696" s="2">
        <v>-2</v>
      </c>
      <c r="JR1696" s="2">
        <v>-2.4</v>
      </c>
      <c r="JS1696" s="2">
        <v>-1.5</v>
      </c>
      <c r="JT1696" s="2">
        <v>-1.5</v>
      </c>
      <c r="JU1696" s="2">
        <v>-2.3</v>
      </c>
      <c r="JV1696" s="2">
        <v>-0.7</v>
      </c>
      <c r="KA1696" s="2">
        <v>-0.4</v>
      </c>
      <c r="KB1696" s="2">
        <v>-0.5</v>
      </c>
      <c r="KC1696" s="2">
        <v>-1.4</v>
      </c>
      <c r="KD1696" s="2">
        <v>-1.3</v>
      </c>
      <c r="KQ1696" s="2">
        <v>-0.3</v>
      </c>
      <c r="KR1696" s="2">
        <v>-1.3</v>
      </c>
      <c r="KS1696" s="2">
        <v>-1.4</v>
      </c>
      <c r="KT1696" s="2">
        <v>-1.4</v>
      </c>
      <c r="LG1696" s="2">
        <v>-0.5</v>
      </c>
      <c r="LH1696" s="2">
        <v>-1.2</v>
      </c>
      <c r="LI1696" s="2">
        <v>-1.1</v>
      </c>
      <c r="LJ1696" s="2">
        <v>-1</v>
      </c>
      <c r="LW1696" s="2">
        <v>-0.2</v>
      </c>
      <c r="LX1696" s="2">
        <v>-1.3</v>
      </c>
      <c r="LY1696" s="2">
        <v>-0.8</v>
      </c>
      <c r="LZ1696" s="2">
        <v>-0.3</v>
      </c>
      <c r="MM1696" s="2">
        <v>0.4</v>
      </c>
      <c r="MN1696" s="2">
        <v>-0.6</v>
      </c>
      <c r="MO1696" s="2">
        <v>-0.6</v>
      </c>
      <c r="MP1696" s="2">
        <v>0.2</v>
      </c>
      <c r="NC1696" s="2">
        <v>0.3</v>
      </c>
      <c r="ND1696" s="2">
        <v>0.1</v>
      </c>
      <c r="NE1696" s="2">
        <v>1.4</v>
      </c>
      <c r="NF1696" s="2">
        <v>-0.4</v>
      </c>
      <c r="NS1696" s="2">
        <v>0.2</v>
      </c>
      <c r="NT1696" s="2">
        <v>-0.5</v>
      </c>
      <c r="NU1696" s="2">
        <v>2.1</v>
      </c>
      <c r="NV1696" s="2">
        <v>0.3</v>
      </c>
      <c r="OI1696" s="2">
        <v>-0.3</v>
      </c>
      <c r="OJ1696" s="2">
        <v>-0.7</v>
      </c>
      <c r="OK1696" s="2">
        <v>0.5</v>
      </c>
      <c r="OL1696" s="2">
        <v>0.5</v>
      </c>
      <c r="OY1696" s="2">
        <v>-0.3</v>
      </c>
      <c r="OZ1696" s="2">
        <v>0.2</v>
      </c>
      <c r="PA1696" s="2">
        <v>1.4</v>
      </c>
      <c r="PB1696" s="2">
        <v>0.1</v>
      </c>
      <c r="PJ1696" s="2">
        <v>0</v>
      </c>
      <c r="PK1696" s="2">
        <v>0.6</v>
      </c>
    </row>
    <row r="1697">
      <c r="A1697" t="inlineStr">
        <is>
          <t>A2326615L</t>
        </is>
      </c>
      <c r="B1697" t="inlineStr">
        <is>
          <t>Percentage Change from Previous Period ;  Communication ;  Australia ;</t>
        </is>
      </c>
      <c r="C1697" t="inlineStr">
        <is>
          <t>Quarter</t>
        </is>
      </c>
      <c r="D1697" t="inlineStr">
        <is>
          <t>Percent</t>
        </is>
      </c>
      <c r="E1697" t="inlineStr">
        <is>
          <t>Original</t>
        </is>
      </c>
      <c r="F1697" t="inlineStr">
        <is>
          <t>6401018.xlsx</t>
        </is>
      </c>
      <c r="G1697" t="inlineStr">
        <is>
          <t>1972Q4</t>
        </is>
      </c>
      <c r="H1697" t="inlineStr">
        <is>
          <t>2026Q2</t>
        </is>
      </c>
      <c r="DB1697" s="2">
        <v>0</v>
      </c>
      <c r="DC1697" s="2">
        <v>0</v>
      </c>
      <c r="DD1697" s="2">
        <v>0</v>
      </c>
      <c r="DE1697" s="2">
        <v>0</v>
      </c>
      <c r="DF1697" s="2">
        <v>0</v>
      </c>
      <c r="DG1697" s="2">
        <v>0</v>
      </c>
      <c r="DH1697" s="2">
        <v>0</v>
      </c>
      <c r="DI1697" s="2">
        <v>0</v>
      </c>
      <c r="DJ1697" s="2">
        <v>21.8</v>
      </c>
      <c r="DK1697" s="2">
        <v>0</v>
      </c>
      <c r="DL1697" s="2">
        <v>0</v>
      </c>
      <c r="DM1697" s="2">
        <v>0</v>
      </c>
      <c r="DN1697" s="2">
        <v>40.9</v>
      </c>
      <c r="DO1697" s="2">
        <v>0</v>
      </c>
      <c r="DP1697" s="2">
        <v>0.3</v>
      </c>
      <c r="DQ1697" s="2">
        <v>0</v>
      </c>
      <c r="DR1697" s="2">
        <v>0.9</v>
      </c>
      <c r="DS1697" s="2">
        <v>0</v>
      </c>
      <c r="DT1697" s="2">
        <v>0</v>
      </c>
      <c r="DU1697" s="2">
        <v>0</v>
      </c>
      <c r="DV1697" s="2">
        <v>1.4</v>
      </c>
      <c r="DW1697" s="2">
        <v>-0.2</v>
      </c>
      <c r="DX1697" s="2">
        <v>0</v>
      </c>
      <c r="DY1697" s="2">
        <v>2.2</v>
      </c>
      <c r="DZ1697" s="2">
        <v>1.2</v>
      </c>
      <c r="EA1697" s="2">
        <v>-0.8</v>
      </c>
      <c r="EB1697" s="2">
        <v>0</v>
      </c>
      <c r="EC1697" s="2">
        <v>0</v>
      </c>
      <c r="ED1697" s="2">
        <v>1.6</v>
      </c>
      <c r="EE1697" s="2">
        <v>0.3</v>
      </c>
      <c r="EF1697" s="2">
        <v>1.6</v>
      </c>
      <c r="EG1697" s="2">
        <v>0</v>
      </c>
      <c r="EH1697" s="2">
        <v>-0.2</v>
      </c>
      <c r="EI1697" s="2">
        <v>0</v>
      </c>
      <c r="EJ1697" s="2">
        <v>-1</v>
      </c>
      <c r="EK1697" s="2">
        <v>2.2</v>
      </c>
      <c r="EL1697" s="2">
        <v>4.8</v>
      </c>
      <c r="EM1697" s="2">
        <v>3</v>
      </c>
      <c r="EN1697" s="2">
        <v>1.6</v>
      </c>
      <c r="EO1697" s="2">
        <v>2.8</v>
      </c>
      <c r="EP1697" s="2">
        <v>3.9</v>
      </c>
      <c r="EQ1697" s="2">
        <v>0.1</v>
      </c>
      <c r="ER1697" s="2">
        <v>-0.1</v>
      </c>
      <c r="ES1697" s="2">
        <v>0</v>
      </c>
      <c r="ET1697" s="2">
        <v>9.699999999999999</v>
      </c>
      <c r="EU1697" s="2">
        <v>0.1</v>
      </c>
      <c r="EV1697" s="2">
        <v>0</v>
      </c>
      <c r="EW1697" s="2">
        <v>0</v>
      </c>
      <c r="EX1697" s="2">
        <v>0</v>
      </c>
      <c r="EY1697" s="2">
        <v>3</v>
      </c>
      <c r="EZ1697" s="2">
        <v>2.2</v>
      </c>
      <c r="FA1697" s="2">
        <v>0</v>
      </c>
      <c r="FB1697" s="2">
        <v>1.8</v>
      </c>
      <c r="FC1697" s="2">
        <v>0.8</v>
      </c>
      <c r="FD1697" s="2">
        <v>0</v>
      </c>
      <c r="FE1697" s="2">
        <v>0.8</v>
      </c>
      <c r="FF1697" s="2">
        <v>2.2</v>
      </c>
      <c r="FG1697" s="2">
        <v>0.7</v>
      </c>
      <c r="FH1697" s="2">
        <v>0.3</v>
      </c>
      <c r="FI1697" s="2">
        <v>5.6</v>
      </c>
      <c r="FJ1697" s="2">
        <v>1.8</v>
      </c>
      <c r="FK1697" s="2">
        <v>-0.6</v>
      </c>
      <c r="FL1697" s="2">
        <v>0</v>
      </c>
      <c r="FM1697" s="2">
        <v>1</v>
      </c>
      <c r="FN1697" s="2">
        <v>2.5</v>
      </c>
      <c r="FO1697" s="2">
        <v>-1.2</v>
      </c>
      <c r="FP1697" s="2">
        <v>-2.2</v>
      </c>
      <c r="FQ1697" s="2">
        <v>0</v>
      </c>
      <c r="FR1697" s="2">
        <v>0.9</v>
      </c>
      <c r="FS1697" s="2">
        <v>0.2</v>
      </c>
      <c r="FT1697" s="2">
        <v>0.1</v>
      </c>
      <c r="FU1697" s="2">
        <v>2.2</v>
      </c>
      <c r="FV1697" s="2">
        <v>0.1</v>
      </c>
      <c r="FW1697" s="2">
        <v>0</v>
      </c>
      <c r="FX1697" s="2">
        <v>0.1</v>
      </c>
      <c r="FY1697" s="2">
        <v>4</v>
      </c>
      <c r="FZ1697" s="2">
        <v>0</v>
      </c>
      <c r="GA1697" s="2">
        <v>0.7</v>
      </c>
      <c r="GB1697" s="2">
        <v>-0.7</v>
      </c>
      <c r="GC1697" s="2">
        <v>-0.2</v>
      </c>
      <c r="GD1697" s="2">
        <v>0.4</v>
      </c>
      <c r="GE1697" s="2">
        <v>0</v>
      </c>
      <c r="GF1697" s="2">
        <v>-0.7</v>
      </c>
      <c r="GG1697" s="2">
        <v>-0.6</v>
      </c>
      <c r="GH1697" s="2">
        <v>-0.2</v>
      </c>
      <c r="GI1697" s="2">
        <v>1</v>
      </c>
      <c r="GJ1697" s="2">
        <v>0</v>
      </c>
      <c r="GK1697" s="2">
        <v>0</v>
      </c>
      <c r="GL1697" s="2">
        <v>1.1</v>
      </c>
      <c r="GM1697" s="2">
        <v>0</v>
      </c>
      <c r="GN1697" s="2">
        <v>-0.2</v>
      </c>
      <c r="GO1697" s="2">
        <v>0.1</v>
      </c>
      <c r="GP1697" s="2">
        <v>0</v>
      </c>
      <c r="GQ1697" s="2">
        <v>-0.9</v>
      </c>
      <c r="GR1697" s="2">
        <v>-0.1</v>
      </c>
      <c r="GS1697" s="2">
        <v>0</v>
      </c>
      <c r="GT1697" s="2">
        <v>-0.4</v>
      </c>
      <c r="GU1697" s="2">
        <v>0.1</v>
      </c>
      <c r="GV1697" s="2">
        <v>0</v>
      </c>
      <c r="GW1697" s="2">
        <v>0.1</v>
      </c>
      <c r="GX1697" s="2">
        <v>0.3</v>
      </c>
      <c r="GY1697" s="2">
        <v>0</v>
      </c>
      <c r="GZ1697" s="2">
        <v>-0.7</v>
      </c>
      <c r="HA1697" s="2">
        <v>-0.9</v>
      </c>
      <c r="HB1697" s="2">
        <v>-1</v>
      </c>
      <c r="HC1697" s="2">
        <v>-2.8</v>
      </c>
      <c r="HD1697" s="2">
        <v>-0.3</v>
      </c>
      <c r="HE1697" s="2">
        <v>-3.2</v>
      </c>
      <c r="HF1697" s="2">
        <v>-0.3</v>
      </c>
      <c r="HG1697" s="2">
        <v>0.2</v>
      </c>
      <c r="HH1697" s="2">
        <v>1.3</v>
      </c>
      <c r="HI1697" s="2">
        <v>6.9</v>
      </c>
      <c r="HJ1697" s="2">
        <v>-0.7</v>
      </c>
      <c r="HK1697" s="2">
        <v>-0.5</v>
      </c>
      <c r="HL1697" s="2">
        <v>-0.6</v>
      </c>
      <c r="HM1697" s="2">
        <v>-0.2</v>
      </c>
      <c r="HN1697" s="2">
        <v>1.8</v>
      </c>
      <c r="HO1697" s="2">
        <v>0</v>
      </c>
      <c r="HP1697" s="2">
        <v>0.8</v>
      </c>
      <c r="HQ1697" s="2">
        <v>1.5</v>
      </c>
      <c r="HR1697" s="2">
        <v>0.5</v>
      </c>
      <c r="HS1697" s="2">
        <v>0.3</v>
      </c>
      <c r="HT1697" s="2">
        <v>0.2</v>
      </c>
      <c r="HU1697" s="2">
        <v>0.7</v>
      </c>
      <c r="HV1697" s="2">
        <v>0.2</v>
      </c>
      <c r="HW1697" s="2">
        <v>0</v>
      </c>
      <c r="HX1697" s="2">
        <v>0.4</v>
      </c>
      <c r="HY1697" s="2">
        <v>0.4</v>
      </c>
      <c r="HZ1697" s="2">
        <v>0.2</v>
      </c>
      <c r="IA1697" s="2">
        <v>0.4</v>
      </c>
      <c r="IB1697" s="2">
        <v>-0.9</v>
      </c>
      <c r="IC1697" s="2">
        <v>-0.7</v>
      </c>
      <c r="ID1697" s="2">
        <v>-0.7</v>
      </c>
      <c r="IE1697" s="2">
        <v>0.4</v>
      </c>
      <c r="IF1697" s="2">
        <v>0.1</v>
      </c>
      <c r="IG1697" s="2">
        <v>0.6</v>
      </c>
      <c r="IH1697" s="2">
        <v>0.5</v>
      </c>
      <c r="II1697" s="2">
        <v>0.2</v>
      </c>
      <c r="IJ1697" s="2">
        <v>0.2</v>
      </c>
      <c r="IK1697" s="2">
        <v>0</v>
      </c>
      <c r="IL1697" s="2">
        <v>0</v>
      </c>
      <c r="IM1697" s="2">
        <v>-0.1</v>
      </c>
      <c r="IN1697" s="2">
        <v>0.1</v>
      </c>
      <c r="IO1697" s="2">
        <v>0.2</v>
      </c>
      <c r="IP1697" s="2">
        <v>0.4</v>
      </c>
      <c r="IQ1697" s="2">
        <v>0.4</v>
      </c>
      <c r="IR1697" s="2">
        <v>0.2</v>
      </c>
      <c r="IS1697" s="2">
        <v>0</v>
      </c>
      <c r="IT1697" s="2">
        <v>-0.1</v>
      </c>
      <c r="IU1697" s="2">
        <v>-0.1</v>
      </c>
      <c r="IV1697" s="2">
        <v>0</v>
      </c>
      <c r="IW1697" s="2">
        <v>-0.3</v>
      </c>
      <c r="IX1697" s="2">
        <v>0</v>
      </c>
      <c r="IY1697" s="2">
        <v>0.2</v>
      </c>
      <c r="IZ1697" s="2">
        <v>0.4</v>
      </c>
      <c r="JA1697" s="2">
        <v>0</v>
      </c>
      <c r="JB1697" s="2">
        <v>1</v>
      </c>
      <c r="JC1697" s="2">
        <v>0.1</v>
      </c>
      <c r="JD1697" s="2">
        <v>-0.3</v>
      </c>
      <c r="JE1697" s="2">
        <v>0.5</v>
      </c>
      <c r="JF1697" s="2">
        <v>1.3</v>
      </c>
      <c r="JG1697" s="2">
        <v>0</v>
      </c>
      <c r="JH1697" s="2">
        <v>0.4</v>
      </c>
      <c r="JI1697" s="2">
        <v>0.1</v>
      </c>
      <c r="JJ1697" s="2">
        <v>1.2</v>
      </c>
      <c r="JK1697" s="2">
        <v>0.2</v>
      </c>
      <c r="JL1697" s="2">
        <v>-1.7</v>
      </c>
      <c r="JM1697" s="2">
        <v>-1.4</v>
      </c>
      <c r="JN1697" s="2">
        <v>-0.1</v>
      </c>
      <c r="JO1697" s="2">
        <v>-1.3</v>
      </c>
      <c r="JP1697" s="2">
        <v>-0.6</v>
      </c>
      <c r="JQ1697" s="2">
        <v>-2</v>
      </c>
      <c r="JR1697" s="2">
        <v>-2.4</v>
      </c>
      <c r="JS1697" s="2">
        <v>-1.5</v>
      </c>
      <c r="JT1697" s="2">
        <v>-1.5</v>
      </c>
      <c r="JU1697" s="2">
        <v>-2.3</v>
      </c>
      <c r="JV1697" s="2">
        <v>-0.7</v>
      </c>
      <c r="KA1697" s="2">
        <v>-0.4</v>
      </c>
      <c r="KB1697" s="2">
        <v>-0.5</v>
      </c>
      <c r="KC1697" s="2">
        <v>-1.4</v>
      </c>
      <c r="KD1697" s="2">
        <v>-1.3</v>
      </c>
      <c r="KQ1697" s="2">
        <v>-0.3</v>
      </c>
      <c r="KR1697" s="2">
        <v>-1.3</v>
      </c>
      <c r="KS1697" s="2">
        <v>-1.4</v>
      </c>
      <c r="KT1697" s="2">
        <v>-1.4</v>
      </c>
      <c r="LG1697" s="2">
        <v>-0.5</v>
      </c>
      <c r="LH1697" s="2">
        <v>-1.2</v>
      </c>
      <c r="LI1697" s="2">
        <v>-1.1</v>
      </c>
      <c r="LJ1697" s="2">
        <v>-1</v>
      </c>
      <c r="LW1697" s="2">
        <v>-0.2</v>
      </c>
      <c r="LX1697" s="2">
        <v>-1.3</v>
      </c>
      <c r="LY1697" s="2">
        <v>-0.8</v>
      </c>
      <c r="LZ1697" s="2">
        <v>-0.3</v>
      </c>
      <c r="MM1697" s="2">
        <v>0.4</v>
      </c>
      <c r="MN1697" s="2">
        <v>-0.6</v>
      </c>
      <c r="MO1697" s="2">
        <v>-0.6</v>
      </c>
      <c r="MP1697" s="2">
        <v>0.2</v>
      </c>
      <c r="NC1697" s="2">
        <v>0.3</v>
      </c>
      <c r="ND1697" s="2">
        <v>0.1</v>
      </c>
      <c r="NE1697" s="2">
        <v>1.4</v>
      </c>
      <c r="NF1697" s="2">
        <v>-0.4</v>
      </c>
      <c r="NS1697" s="2">
        <v>0.2</v>
      </c>
      <c r="NT1697" s="2">
        <v>-0.5</v>
      </c>
      <c r="NU1697" s="2">
        <v>2.1</v>
      </c>
      <c r="NV1697" s="2">
        <v>0.3</v>
      </c>
      <c r="OI1697" s="2">
        <v>-0.3</v>
      </c>
      <c r="OJ1697" s="2">
        <v>-0.7</v>
      </c>
      <c r="OK1697" s="2">
        <v>0.5</v>
      </c>
      <c r="OL1697" s="2">
        <v>0.5</v>
      </c>
      <c r="OY1697" s="2">
        <v>-0.3</v>
      </c>
      <c r="OZ1697" s="2">
        <v>0.2</v>
      </c>
      <c r="PA1697" s="2">
        <v>1.4</v>
      </c>
      <c r="PB1697" s="2">
        <v>0.1</v>
      </c>
      <c r="PJ1697" s="2">
        <v>0</v>
      </c>
      <c r="PK1697" s="2">
        <v>0.6</v>
      </c>
    </row>
    <row r="1698">
      <c r="A1698" t="inlineStr">
        <is>
          <t>A2328505K</t>
        </is>
      </c>
      <c r="B1698" t="inlineStr">
        <is>
          <t>Percentage Change from Previous Period ;  Postal services ;  Australia ;</t>
        </is>
      </c>
      <c r="C1698" t="inlineStr">
        <is>
          <t>Quarter</t>
        </is>
      </c>
      <c r="D1698" t="inlineStr">
        <is>
          <t>Percent</t>
        </is>
      </c>
      <c r="E1698" t="inlineStr">
        <is>
          <t>Original</t>
        </is>
      </c>
      <c r="F1698" t="inlineStr">
        <is>
          <t>6401018.xlsx</t>
        </is>
      </c>
      <c r="G1698" t="inlineStr">
        <is>
          <t>1980Q4</t>
        </is>
      </c>
      <c r="H1698" t="inlineStr">
        <is>
          <t>2026Q2</t>
        </is>
      </c>
      <c r="EH1698" s="2">
        <v>0</v>
      </c>
      <c r="EI1698" s="2">
        <v>0</v>
      </c>
      <c r="EJ1698" s="2">
        <v>-0.2</v>
      </c>
      <c r="EK1698" s="2">
        <v>8.699999999999999</v>
      </c>
      <c r="EL1698" s="2">
        <v>0.3</v>
      </c>
      <c r="EM1698" s="2">
        <v>0</v>
      </c>
      <c r="EN1698" s="2">
        <v>8.6</v>
      </c>
      <c r="EO1698" s="2">
        <v>1.9</v>
      </c>
      <c r="EP1698" s="2">
        <v>1.6</v>
      </c>
      <c r="EQ1698" s="2">
        <v>0</v>
      </c>
      <c r="ER1698" s="2">
        <v>0</v>
      </c>
      <c r="ES1698" s="2">
        <v>0</v>
      </c>
      <c r="ET1698" s="2">
        <v>10.9</v>
      </c>
      <c r="EU1698" s="2">
        <v>0.1</v>
      </c>
      <c r="EV1698" s="2">
        <v>0</v>
      </c>
      <c r="EW1698" s="2">
        <v>0</v>
      </c>
      <c r="EX1698" s="2">
        <v>0</v>
      </c>
      <c r="EY1698" s="2">
        <v>3.3</v>
      </c>
      <c r="EZ1698" s="2">
        <v>6.1</v>
      </c>
      <c r="FA1698" s="2">
        <v>0</v>
      </c>
      <c r="FB1698" s="2">
        <v>0.6</v>
      </c>
      <c r="FC1698" s="2">
        <v>0</v>
      </c>
      <c r="FD1698" s="2">
        <v>0</v>
      </c>
      <c r="FE1698" s="2">
        <v>3.9</v>
      </c>
      <c r="FF1698" s="2">
        <v>5.6</v>
      </c>
      <c r="FG1698" s="2">
        <v>0</v>
      </c>
      <c r="FH1698" s="2">
        <v>0</v>
      </c>
      <c r="FI1698" s="2">
        <v>2.7</v>
      </c>
      <c r="FJ1698" s="2">
        <v>0</v>
      </c>
      <c r="FK1698" s="2">
        <v>0</v>
      </c>
      <c r="FL1698" s="2">
        <v>0</v>
      </c>
      <c r="FM1698" s="2">
        <v>0</v>
      </c>
      <c r="FN1698" s="2">
        <v>4.4</v>
      </c>
      <c r="FO1698" s="2">
        <v>1.9</v>
      </c>
      <c r="FP1698" s="2">
        <v>1.5</v>
      </c>
      <c r="FQ1698" s="2">
        <v>1.5</v>
      </c>
      <c r="FR1698" s="2">
        <v>3.5</v>
      </c>
      <c r="FS1698" s="2">
        <v>0.7</v>
      </c>
      <c r="FT1698" s="2">
        <v>0.3</v>
      </c>
      <c r="FU1698" s="2">
        <v>1.6</v>
      </c>
      <c r="FV1698" s="2">
        <v>0.7</v>
      </c>
      <c r="FW1698" s="2">
        <v>0</v>
      </c>
      <c r="FX1698" s="2">
        <v>0.7</v>
      </c>
      <c r="FY1698" s="2">
        <v>0</v>
      </c>
      <c r="FZ1698" s="2">
        <v>0</v>
      </c>
      <c r="GA1698" s="2">
        <v>5.3</v>
      </c>
      <c r="GB1698" s="2">
        <v>0.2</v>
      </c>
      <c r="GC1698" s="2">
        <v>0</v>
      </c>
      <c r="GD1698" s="2">
        <v>0</v>
      </c>
      <c r="GE1698" s="2">
        <v>0</v>
      </c>
      <c r="GF1698" s="2">
        <v>0</v>
      </c>
      <c r="GG1698" s="2">
        <v>0</v>
      </c>
      <c r="GH1698" s="2">
        <v>0</v>
      </c>
      <c r="GI1698" s="2">
        <v>0</v>
      </c>
      <c r="GJ1698" s="2">
        <v>0</v>
      </c>
      <c r="GK1698" s="2">
        <v>0</v>
      </c>
      <c r="GL1698" s="2">
        <v>0</v>
      </c>
      <c r="GM1698" s="2">
        <v>0</v>
      </c>
      <c r="GN1698" s="2">
        <v>0</v>
      </c>
      <c r="GO1698" s="2">
        <v>0.4</v>
      </c>
      <c r="GP1698" s="2">
        <v>0</v>
      </c>
      <c r="GQ1698" s="2">
        <v>0</v>
      </c>
      <c r="GR1698" s="2">
        <v>0</v>
      </c>
      <c r="GS1698" s="2">
        <v>0</v>
      </c>
      <c r="GT1698" s="2">
        <v>0</v>
      </c>
      <c r="GU1698" s="2">
        <v>0.7</v>
      </c>
      <c r="GV1698" s="2">
        <v>0</v>
      </c>
      <c r="GW1698" s="2">
        <v>0</v>
      </c>
      <c r="GX1698" s="2">
        <v>0</v>
      </c>
      <c r="GY1698" s="2">
        <v>0.1</v>
      </c>
      <c r="GZ1698" s="2">
        <v>0</v>
      </c>
      <c r="HA1698" s="2">
        <v>0</v>
      </c>
      <c r="HB1698" s="2">
        <v>0.1</v>
      </c>
      <c r="HC1698" s="2">
        <v>0</v>
      </c>
      <c r="HD1698" s="2">
        <v>0</v>
      </c>
      <c r="HE1698" s="2">
        <v>0</v>
      </c>
      <c r="HF1698" s="2">
        <v>3.9</v>
      </c>
      <c r="HG1698" s="2">
        <v>0.1</v>
      </c>
      <c r="HH1698" s="2">
        <v>0</v>
      </c>
      <c r="HI1698" s="2">
        <v>2.8</v>
      </c>
      <c r="HJ1698" s="2">
        <v>0</v>
      </c>
      <c r="HK1698" s="2">
        <v>0</v>
      </c>
      <c r="HL1698" s="2">
        <v>0</v>
      </c>
      <c r="HM1698" s="2">
        <v>0</v>
      </c>
      <c r="HN1698" s="2">
        <v>1.5</v>
      </c>
      <c r="HO1698" s="2">
        <v>0</v>
      </c>
      <c r="HP1698" s="2">
        <v>0</v>
      </c>
      <c r="HQ1698" s="2">
        <v>2.5</v>
      </c>
      <c r="HR1698" s="2">
        <v>0</v>
      </c>
      <c r="HS1698" s="2">
        <v>4.4</v>
      </c>
      <c r="HT1698" s="2">
        <v>0.6</v>
      </c>
      <c r="HU1698" s="2">
        <v>0.6</v>
      </c>
      <c r="HV1698" s="2">
        <v>1.3</v>
      </c>
      <c r="HW1698" s="2">
        <v>0</v>
      </c>
      <c r="HX1698" s="2">
        <v>0</v>
      </c>
      <c r="HY1698" s="2">
        <v>0.3</v>
      </c>
      <c r="HZ1698" s="2">
        <v>0.7</v>
      </c>
      <c r="IA1698" s="2">
        <v>0</v>
      </c>
      <c r="IB1698" s="2">
        <v>0</v>
      </c>
      <c r="IC1698" s="2">
        <v>0.5</v>
      </c>
      <c r="ID1698" s="2">
        <v>1</v>
      </c>
      <c r="IE1698" s="2">
        <v>0.2</v>
      </c>
      <c r="IF1698" s="2">
        <v>0.5</v>
      </c>
      <c r="IG1698" s="2">
        <v>0.3</v>
      </c>
      <c r="IH1698" s="2">
        <v>0.6</v>
      </c>
      <c r="II1698" s="2">
        <v>0.9</v>
      </c>
      <c r="IJ1698" s="2">
        <v>1.7</v>
      </c>
      <c r="IK1698" s="2">
        <v>0.3</v>
      </c>
      <c r="IL1698" s="2">
        <v>0.6</v>
      </c>
      <c r="IM1698" s="2">
        <v>0</v>
      </c>
      <c r="IN1698" s="2">
        <v>0</v>
      </c>
      <c r="IO1698" s="2">
        <v>2.8</v>
      </c>
      <c r="IP1698" s="2">
        <v>3.6</v>
      </c>
      <c r="IQ1698" s="2">
        <v>0</v>
      </c>
      <c r="IR1698" s="2">
        <v>0</v>
      </c>
      <c r="IS1698" s="2">
        <v>1.9</v>
      </c>
      <c r="IT1698" s="2">
        <v>0</v>
      </c>
      <c r="IU1698" s="2">
        <v>0</v>
      </c>
      <c r="IV1698" s="2">
        <v>0</v>
      </c>
      <c r="IW1698" s="2">
        <v>6.4</v>
      </c>
      <c r="IX1698" s="2">
        <v>0</v>
      </c>
      <c r="IY1698" s="2">
        <v>0</v>
      </c>
      <c r="IZ1698" s="2">
        <v>2.1</v>
      </c>
      <c r="JA1698" s="2">
        <v>2.4</v>
      </c>
      <c r="JB1698" s="2">
        <v>0</v>
      </c>
      <c r="JC1698" s="2">
        <v>0</v>
      </c>
      <c r="JD1698" s="2">
        <v>1.8</v>
      </c>
      <c r="JE1698" s="2">
        <v>0</v>
      </c>
      <c r="JF1698" s="2">
        <v>0.6</v>
      </c>
      <c r="JG1698" s="2">
        <v>0.3</v>
      </c>
      <c r="JH1698" s="2">
        <v>2.1</v>
      </c>
      <c r="JI1698" s="2">
        <v>0</v>
      </c>
      <c r="JJ1698" s="2">
        <v>0.3</v>
      </c>
      <c r="JK1698" s="2">
        <v>6.9</v>
      </c>
      <c r="JL1698" s="2">
        <v>-1.9</v>
      </c>
      <c r="JM1698" s="2">
        <v>0</v>
      </c>
      <c r="JN1698" s="2">
        <v>1.1</v>
      </c>
      <c r="JO1698" s="2">
        <v>-0.9</v>
      </c>
      <c r="JP1698" s="2">
        <v>0.9</v>
      </c>
      <c r="JQ1698" s="2">
        <v>0.2</v>
      </c>
      <c r="JR1698" s="2">
        <v>-2.1</v>
      </c>
      <c r="JS1698" s="2">
        <v>0.6</v>
      </c>
      <c r="JT1698" s="2">
        <v>0.5</v>
      </c>
      <c r="JU1698" s="2">
        <v>0.9</v>
      </c>
      <c r="JV1698" s="2">
        <v>1.3</v>
      </c>
      <c r="KA1698" s="2">
        <v>1.3</v>
      </c>
      <c r="KB1698" s="2">
        <v>-0.1</v>
      </c>
      <c r="KC1698" s="2">
        <v>0.5</v>
      </c>
      <c r="KD1698" s="2">
        <v>1.7</v>
      </c>
      <c r="KQ1698" s="2">
        <v>0.2</v>
      </c>
      <c r="KR1698" s="2">
        <v>5.2</v>
      </c>
      <c r="KS1698" s="2">
        <v>3.2</v>
      </c>
      <c r="KT1698" s="2">
        <v>1.2</v>
      </c>
      <c r="LG1698" s="2">
        <v>0.2</v>
      </c>
      <c r="LH1698" s="2">
        <v>-0.1</v>
      </c>
      <c r="LI1698" s="2">
        <v>-0.3</v>
      </c>
      <c r="LJ1698" s="2">
        <v>-1.6</v>
      </c>
      <c r="LW1698" s="2">
        <v>1.5</v>
      </c>
      <c r="LX1698" s="2">
        <v>-1.4</v>
      </c>
      <c r="LY1698" s="2">
        <v>-1.1</v>
      </c>
      <c r="LZ1698" s="2">
        <v>0</v>
      </c>
      <c r="MM1698" s="2">
        <v>1.2</v>
      </c>
      <c r="MN1698" s="2">
        <v>2.3</v>
      </c>
      <c r="MO1698" s="2">
        <v>0.5</v>
      </c>
      <c r="MP1698" s="2">
        <v>0.6</v>
      </c>
      <c r="NC1698" s="2">
        <v>3.8</v>
      </c>
      <c r="ND1698" s="2">
        <v>0.1</v>
      </c>
      <c r="NE1698" s="2">
        <v>2.8</v>
      </c>
      <c r="NF1698" s="2">
        <v>0.4</v>
      </c>
      <c r="NS1698" s="2">
        <v>1.7</v>
      </c>
      <c r="NT1698" s="2">
        <v>3.4</v>
      </c>
      <c r="NU1698" s="2">
        <v>8.199999999999999</v>
      </c>
      <c r="NV1698" s="2">
        <v>2.2</v>
      </c>
      <c r="OI1698" s="2">
        <v>0.9</v>
      </c>
      <c r="OJ1698" s="2">
        <v>-1.3</v>
      </c>
      <c r="OK1698" s="2">
        <v>1.6</v>
      </c>
      <c r="OL1698" s="2">
        <v>-1</v>
      </c>
      <c r="OY1698" s="2">
        <v>0.9</v>
      </c>
      <c r="OZ1698" s="2">
        <v>2.2</v>
      </c>
      <c r="PA1698" s="2">
        <v>1.6</v>
      </c>
      <c r="PB1698" s="2">
        <v>1</v>
      </c>
      <c r="PJ1698" s="2">
        <v>1.1</v>
      </c>
      <c r="PK1698" s="2">
        <v>7</v>
      </c>
    </row>
    <row r="1699">
      <c r="A1699" t="inlineStr">
        <is>
          <t>A2328550W</t>
        </is>
      </c>
      <c r="B1699" t="inlineStr">
        <is>
          <t>Percentage Change from Previous Period ;  Telecommunication equipment and services ;  Australia ;</t>
        </is>
      </c>
      <c r="C1699" t="inlineStr">
        <is>
          <t>Quarter</t>
        </is>
      </c>
      <c r="D1699" t="inlineStr">
        <is>
          <t>Percent</t>
        </is>
      </c>
      <c r="E1699" t="inlineStr">
        <is>
          <t>Original</t>
        </is>
      </c>
      <c r="F1699" t="inlineStr">
        <is>
          <t>6401018.xlsx</t>
        </is>
      </c>
      <c r="G1699" t="inlineStr">
        <is>
          <t>1980Q4</t>
        </is>
      </c>
      <c r="H1699" t="inlineStr">
        <is>
          <t>2026Q2</t>
        </is>
      </c>
      <c r="EH1699" s="2">
        <v>-0.3</v>
      </c>
      <c r="EI1699" s="2">
        <v>0</v>
      </c>
      <c r="EJ1699" s="2">
        <v>-1.2</v>
      </c>
      <c r="EK1699" s="2">
        <v>0</v>
      </c>
      <c r="EL1699" s="2">
        <v>6.8</v>
      </c>
      <c r="EM1699" s="2">
        <v>3.9</v>
      </c>
      <c r="EN1699" s="2">
        <v>0</v>
      </c>
      <c r="EO1699" s="2">
        <v>2.9</v>
      </c>
      <c r="EP1699" s="2">
        <v>4.6</v>
      </c>
      <c r="EQ1699" s="2">
        <v>0</v>
      </c>
      <c r="ER1699" s="2">
        <v>0</v>
      </c>
      <c r="ES1699" s="2">
        <v>0</v>
      </c>
      <c r="ET1699" s="2">
        <v>9.300000000000001</v>
      </c>
      <c r="EU1699" s="2">
        <v>0.2</v>
      </c>
      <c r="EV1699" s="2">
        <v>0</v>
      </c>
      <c r="EW1699" s="2">
        <v>0</v>
      </c>
      <c r="EX1699" s="2">
        <v>0</v>
      </c>
      <c r="EY1699" s="2">
        <v>2.9</v>
      </c>
      <c r="EZ1699" s="2">
        <v>1.4</v>
      </c>
      <c r="FA1699" s="2">
        <v>0</v>
      </c>
      <c r="FB1699" s="2">
        <v>2</v>
      </c>
      <c r="FC1699" s="2">
        <v>1.1</v>
      </c>
      <c r="FD1699" s="2">
        <v>0</v>
      </c>
      <c r="FE1699" s="2">
        <v>0</v>
      </c>
      <c r="FF1699" s="2">
        <v>1.3</v>
      </c>
      <c r="FG1699" s="2">
        <v>0.8</v>
      </c>
      <c r="FH1699" s="2">
        <v>0.3</v>
      </c>
      <c r="FI1699" s="2">
        <v>5.9</v>
      </c>
      <c r="FJ1699" s="2">
        <v>2.2</v>
      </c>
      <c r="FK1699" s="2">
        <v>-0.8</v>
      </c>
      <c r="FL1699" s="2">
        <v>0</v>
      </c>
      <c r="FM1699" s="2">
        <v>1.2</v>
      </c>
      <c r="FN1699" s="2">
        <v>2.3</v>
      </c>
      <c r="FO1699" s="2">
        <v>-1.5</v>
      </c>
      <c r="FP1699" s="2">
        <v>-2.6</v>
      </c>
      <c r="FQ1699" s="2">
        <v>-0.2</v>
      </c>
      <c r="FR1699" s="2">
        <v>0.5</v>
      </c>
      <c r="FS1699" s="2">
        <v>0.2</v>
      </c>
      <c r="FT1699" s="2">
        <v>0</v>
      </c>
      <c r="FU1699" s="2">
        <v>2.3</v>
      </c>
      <c r="FV1699" s="2">
        <v>0.1</v>
      </c>
      <c r="FW1699" s="2">
        <v>0</v>
      </c>
      <c r="FX1699" s="2">
        <v>0</v>
      </c>
      <c r="FY1699" s="2">
        <v>4.6</v>
      </c>
      <c r="FZ1699" s="2">
        <v>-0.1</v>
      </c>
      <c r="GA1699" s="2">
        <v>0.1</v>
      </c>
      <c r="GB1699" s="2">
        <v>-0.7</v>
      </c>
      <c r="GC1699" s="2">
        <v>-0.2</v>
      </c>
      <c r="GD1699" s="2">
        <v>0.4</v>
      </c>
      <c r="GE1699" s="2">
        <v>0.1</v>
      </c>
      <c r="GF1699" s="2">
        <v>-0.8</v>
      </c>
      <c r="GG1699" s="2">
        <v>-0.7</v>
      </c>
      <c r="GH1699" s="2">
        <v>-0.2</v>
      </c>
      <c r="GI1699" s="2">
        <v>1</v>
      </c>
      <c r="GJ1699" s="2">
        <v>0</v>
      </c>
      <c r="GK1699" s="2">
        <v>0</v>
      </c>
      <c r="GL1699" s="2">
        <v>1.3</v>
      </c>
      <c r="GM1699" s="2">
        <v>0</v>
      </c>
      <c r="GN1699" s="2">
        <v>-0.2</v>
      </c>
      <c r="GO1699" s="2">
        <v>0</v>
      </c>
      <c r="GP1699" s="2">
        <v>0</v>
      </c>
      <c r="GQ1699" s="2">
        <v>-1</v>
      </c>
      <c r="GR1699" s="2">
        <v>0</v>
      </c>
      <c r="GS1699" s="2">
        <v>0</v>
      </c>
      <c r="GT1699" s="2">
        <v>-0.5</v>
      </c>
      <c r="GU1699" s="2">
        <v>0.1</v>
      </c>
      <c r="GV1699" s="2">
        <v>0</v>
      </c>
      <c r="GW1699" s="2">
        <v>0.1</v>
      </c>
      <c r="GX1699" s="2">
        <v>0.2</v>
      </c>
      <c r="GY1699" s="2">
        <v>0.1</v>
      </c>
      <c r="GZ1699" s="2">
        <v>-0.8</v>
      </c>
      <c r="HA1699" s="2">
        <v>-1</v>
      </c>
      <c r="HB1699" s="2">
        <v>-1.1</v>
      </c>
      <c r="HC1699" s="2">
        <v>-3.1</v>
      </c>
      <c r="HD1699" s="2">
        <v>-0.3</v>
      </c>
      <c r="HE1699" s="2">
        <v>-3.6</v>
      </c>
      <c r="HF1699" s="2">
        <v>-0.8</v>
      </c>
      <c r="HG1699" s="2">
        <v>0.2</v>
      </c>
      <c r="HH1699" s="2">
        <v>1.5</v>
      </c>
      <c r="HI1699" s="2">
        <v>7.2</v>
      </c>
      <c r="HJ1699" s="2">
        <v>-0.7</v>
      </c>
      <c r="HK1699" s="2">
        <v>-0.5</v>
      </c>
      <c r="HL1699" s="2">
        <v>-0.6</v>
      </c>
      <c r="HM1699" s="2">
        <v>-0.2</v>
      </c>
      <c r="HN1699" s="2">
        <v>1.8</v>
      </c>
      <c r="HO1699" s="2">
        <v>0</v>
      </c>
      <c r="HP1699" s="2">
        <v>0.8</v>
      </c>
      <c r="HQ1699" s="2">
        <v>1.5</v>
      </c>
      <c r="HR1699" s="2">
        <v>0.5</v>
      </c>
      <c r="HS1699" s="2">
        <v>0.1</v>
      </c>
      <c r="HT1699" s="2">
        <v>0.1</v>
      </c>
      <c r="HU1699" s="2">
        <v>0.8</v>
      </c>
      <c r="HV1699" s="2">
        <v>0.1</v>
      </c>
      <c r="HW1699" s="2">
        <v>0</v>
      </c>
      <c r="HX1699" s="2">
        <v>0.5</v>
      </c>
      <c r="HY1699" s="2">
        <v>0.4</v>
      </c>
      <c r="HZ1699" s="2">
        <v>0.2</v>
      </c>
      <c r="IA1699" s="2">
        <v>0.4</v>
      </c>
      <c r="IB1699" s="2">
        <v>-1</v>
      </c>
      <c r="IC1699" s="2">
        <v>-0.7</v>
      </c>
      <c r="ID1699" s="2">
        <v>-0.8</v>
      </c>
      <c r="IE1699" s="2">
        <v>0.4</v>
      </c>
      <c r="IF1699" s="2">
        <v>0.1</v>
      </c>
      <c r="IG1699" s="2">
        <v>0.6</v>
      </c>
      <c r="IH1699" s="2">
        <v>0.5</v>
      </c>
      <c r="II1699" s="2">
        <v>0.2</v>
      </c>
      <c r="IJ1699" s="2">
        <v>0.1</v>
      </c>
      <c r="IK1699" s="2">
        <v>0</v>
      </c>
      <c r="IL1699" s="2">
        <v>0</v>
      </c>
      <c r="IM1699" s="2">
        <v>-0.1</v>
      </c>
      <c r="IN1699" s="2">
        <v>0.1</v>
      </c>
      <c r="IO1699" s="2">
        <v>0.1</v>
      </c>
      <c r="IP1699" s="2">
        <v>0.2</v>
      </c>
      <c r="IQ1699" s="2">
        <v>0.4</v>
      </c>
      <c r="IR1699" s="2">
        <v>0.2</v>
      </c>
      <c r="IS1699" s="2">
        <v>0</v>
      </c>
      <c r="IT1699" s="2">
        <v>-0.1</v>
      </c>
      <c r="IU1699" s="2">
        <v>-0.1</v>
      </c>
      <c r="IV1699" s="2">
        <v>0</v>
      </c>
      <c r="IW1699" s="2">
        <v>-0.5</v>
      </c>
      <c r="IX1699" s="2">
        <v>0</v>
      </c>
      <c r="IY1699" s="2">
        <v>0.2</v>
      </c>
      <c r="IZ1699" s="2">
        <v>0.4</v>
      </c>
      <c r="JA1699" s="2">
        <v>-0.1</v>
      </c>
      <c r="JB1699" s="2">
        <v>1.1</v>
      </c>
      <c r="JC1699" s="2">
        <v>0.1</v>
      </c>
      <c r="JD1699" s="2">
        <v>-0.4</v>
      </c>
      <c r="JE1699" s="2">
        <v>0.5</v>
      </c>
      <c r="JF1699" s="2">
        <v>1.3</v>
      </c>
      <c r="JG1699" s="2">
        <v>0</v>
      </c>
      <c r="JH1699" s="2">
        <v>0.4</v>
      </c>
      <c r="JI1699" s="2">
        <v>0.1</v>
      </c>
      <c r="JJ1699" s="2">
        <v>1.2</v>
      </c>
      <c r="JK1699" s="2">
        <v>-0.1</v>
      </c>
      <c r="JL1699" s="2">
        <v>-1.7</v>
      </c>
      <c r="JM1699" s="2">
        <v>-1.5</v>
      </c>
      <c r="JN1699" s="2">
        <v>-0.2</v>
      </c>
      <c r="JO1699" s="2">
        <v>-1.4</v>
      </c>
      <c r="JP1699" s="2">
        <v>-0.7</v>
      </c>
      <c r="JQ1699" s="2">
        <v>-2.1</v>
      </c>
      <c r="JR1699" s="2">
        <v>-2.4</v>
      </c>
      <c r="JS1699" s="2">
        <v>-1.7</v>
      </c>
      <c r="JT1699" s="2">
        <v>-1.5</v>
      </c>
      <c r="JU1699" s="2">
        <v>-2.5</v>
      </c>
      <c r="JV1699" s="2">
        <v>-0.8</v>
      </c>
      <c r="KA1699" s="2">
        <v>-0.5</v>
      </c>
      <c r="KB1699" s="2">
        <v>-0.5</v>
      </c>
      <c r="KC1699" s="2">
        <v>-1.5</v>
      </c>
      <c r="KD1699" s="2">
        <v>-1.4</v>
      </c>
      <c r="KQ1699" s="2">
        <v>-0.3</v>
      </c>
      <c r="KR1699" s="2">
        <v>-1.5</v>
      </c>
      <c r="KS1699" s="2">
        <v>-1.5</v>
      </c>
      <c r="KT1699" s="2">
        <v>-1.5</v>
      </c>
      <c r="LG1699" s="2">
        <v>-0.6</v>
      </c>
      <c r="LH1699" s="2">
        <v>-1.2</v>
      </c>
      <c r="LI1699" s="2">
        <v>-1.1</v>
      </c>
      <c r="LJ1699" s="2">
        <v>-1</v>
      </c>
      <c r="LW1699" s="2">
        <v>-0.3</v>
      </c>
      <c r="LX1699" s="2">
        <v>-1.3</v>
      </c>
      <c r="LY1699" s="2">
        <v>-0.8</v>
      </c>
      <c r="LZ1699" s="2">
        <v>-0.4</v>
      </c>
      <c r="MM1699" s="2">
        <v>0.4</v>
      </c>
      <c r="MN1699" s="2">
        <v>-0.7</v>
      </c>
      <c r="MO1699" s="2">
        <v>-0.6</v>
      </c>
      <c r="MP1699" s="2">
        <v>0.1</v>
      </c>
      <c r="NC1699" s="2">
        <v>0.1</v>
      </c>
      <c r="ND1699" s="2">
        <v>0.1</v>
      </c>
      <c r="NE1699" s="2">
        <v>1.3</v>
      </c>
      <c r="NF1699" s="2">
        <v>-0.5</v>
      </c>
      <c r="NS1699" s="2">
        <v>0.1</v>
      </c>
      <c r="NT1699" s="2">
        <v>-0.6</v>
      </c>
      <c r="NU1699" s="2">
        <v>1.8</v>
      </c>
      <c r="NV1699" s="2">
        <v>0.2</v>
      </c>
      <c r="OI1699" s="2">
        <v>-0.4</v>
      </c>
      <c r="OJ1699" s="2">
        <v>-0.7</v>
      </c>
      <c r="OK1699" s="2">
        <v>0.5</v>
      </c>
      <c r="OL1699" s="2">
        <v>0.6</v>
      </c>
      <c r="OY1699" s="2">
        <v>-0.4</v>
      </c>
      <c r="OZ1699" s="2">
        <v>0.1</v>
      </c>
      <c r="PA1699" s="2">
        <v>1.4</v>
      </c>
      <c r="PB1699" s="2">
        <v>0</v>
      </c>
      <c r="PJ1699" s="2">
        <v>0</v>
      </c>
      <c r="PK1699" s="2">
        <v>0.3</v>
      </c>
    </row>
    <row r="1700">
      <c r="A1700" t="inlineStr">
        <is>
          <t>A2331250C</t>
        </is>
      </c>
      <c r="B1700" t="inlineStr">
        <is>
          <t>Percentage Change from Previous Period ;  Recreation and culture ;  Australia ;</t>
        </is>
      </c>
      <c r="C1700" t="inlineStr">
        <is>
          <t>Quarter</t>
        </is>
      </c>
      <c r="D1700" t="inlineStr">
        <is>
          <t>Percent</t>
        </is>
      </c>
      <c r="E1700" t="inlineStr">
        <is>
          <t>Original</t>
        </is>
      </c>
      <c r="F1700" t="inlineStr">
        <is>
          <t>6401018.xlsx</t>
        </is>
      </c>
      <c r="G1700" t="inlineStr">
        <is>
          <t>1989Q4</t>
        </is>
      </c>
      <c r="H1700" t="inlineStr">
        <is>
          <t>2026Q2</t>
        </is>
      </c>
      <c r="FR1700" s="2">
        <v>3</v>
      </c>
      <c r="FS1700" s="2">
        <v>0.8</v>
      </c>
      <c r="FT1700" s="2">
        <v>1.1</v>
      </c>
      <c r="FU1700" s="2">
        <v>0.4</v>
      </c>
      <c r="FV1700" s="2">
        <v>3.7</v>
      </c>
      <c r="FW1700" s="2">
        <v>-0.9</v>
      </c>
      <c r="FX1700" s="2">
        <v>-0.9</v>
      </c>
      <c r="FY1700" s="2">
        <v>1.2</v>
      </c>
      <c r="FZ1700" s="2">
        <v>1.1</v>
      </c>
      <c r="GA1700" s="2">
        <v>-1.3</v>
      </c>
      <c r="GB1700" s="2">
        <v>-0.1</v>
      </c>
      <c r="GC1700" s="2">
        <v>0.5</v>
      </c>
      <c r="GD1700" s="2">
        <v>1.3</v>
      </c>
      <c r="GE1700" s="2">
        <v>0.3</v>
      </c>
      <c r="GF1700" s="2">
        <v>0.6</v>
      </c>
      <c r="GG1700" s="2">
        <v>0.4</v>
      </c>
      <c r="GH1700" s="2">
        <v>1.3</v>
      </c>
      <c r="GI1700" s="2">
        <v>-0.6</v>
      </c>
      <c r="GJ1700" s="2">
        <v>0.9</v>
      </c>
      <c r="GK1700" s="2">
        <v>0.1</v>
      </c>
      <c r="GL1700" s="2">
        <v>1.4</v>
      </c>
      <c r="GM1700" s="2">
        <v>0.4</v>
      </c>
      <c r="GN1700" s="2">
        <v>0.6</v>
      </c>
      <c r="GO1700" s="2">
        <v>0.2</v>
      </c>
      <c r="GP1700" s="2">
        <v>1.2</v>
      </c>
      <c r="GQ1700" s="2">
        <v>0.7</v>
      </c>
      <c r="GR1700" s="2">
        <v>-1</v>
      </c>
      <c r="GS1700" s="2">
        <v>0</v>
      </c>
      <c r="GT1700" s="2">
        <v>0.6</v>
      </c>
      <c r="GU1700" s="2">
        <v>1</v>
      </c>
      <c r="GV1700" s="2">
        <v>-0.3</v>
      </c>
      <c r="GW1700" s="2">
        <v>1</v>
      </c>
      <c r="GX1700" s="2">
        <v>0.3</v>
      </c>
      <c r="GY1700" s="2">
        <v>1.3</v>
      </c>
      <c r="GZ1700" s="2">
        <v>0.1</v>
      </c>
      <c r="HA1700" s="2">
        <v>-0.5</v>
      </c>
      <c r="HB1700" s="2">
        <v>1</v>
      </c>
      <c r="HC1700" s="2">
        <v>0.8</v>
      </c>
      <c r="HD1700" s="2">
        <v>-0.3</v>
      </c>
      <c r="HE1700" s="2">
        <v>0.5</v>
      </c>
      <c r="HF1700" s="2">
        <v>0.5</v>
      </c>
      <c r="HG1700" s="2">
        <v>-0.7</v>
      </c>
      <c r="HH1700" s="2">
        <v>-0.2</v>
      </c>
      <c r="HI1700" s="2">
        <v>4</v>
      </c>
      <c r="HJ1700" s="2">
        <v>-0.1</v>
      </c>
      <c r="HK1700" s="2">
        <v>-0.1</v>
      </c>
      <c r="HL1700" s="2">
        <v>-0.1</v>
      </c>
      <c r="HM1700" s="2">
        <v>0.8</v>
      </c>
      <c r="HN1700" s="2">
        <v>1.7</v>
      </c>
      <c r="HO1700" s="2">
        <v>2.3</v>
      </c>
      <c r="HP1700" s="2">
        <v>0.5</v>
      </c>
      <c r="HQ1700" s="2">
        <v>0.5</v>
      </c>
      <c r="HR1700" s="2">
        <v>0.1</v>
      </c>
      <c r="HS1700" s="2">
        <v>0.4</v>
      </c>
      <c r="HT1700" s="2">
        <v>-0.7</v>
      </c>
      <c r="HU1700" s="2">
        <v>-1.1</v>
      </c>
      <c r="HV1700" s="2">
        <v>0.8</v>
      </c>
      <c r="HW1700" s="2">
        <v>-1.1</v>
      </c>
      <c r="HX1700" s="2">
        <v>-0.3</v>
      </c>
      <c r="HY1700" s="2">
        <v>0.5</v>
      </c>
      <c r="HZ1700" s="2">
        <v>0.8</v>
      </c>
      <c r="IA1700" s="2">
        <v>0.6</v>
      </c>
      <c r="IB1700" s="2">
        <v>-1.3</v>
      </c>
      <c r="IC1700" s="2">
        <v>1.2</v>
      </c>
      <c r="ID1700" s="2">
        <v>0</v>
      </c>
      <c r="IE1700" s="2">
        <v>0.6</v>
      </c>
      <c r="IF1700" s="2">
        <v>-0.4</v>
      </c>
      <c r="IG1700" s="2">
        <v>0.8</v>
      </c>
      <c r="IH1700" s="2">
        <v>1.3</v>
      </c>
      <c r="II1700" s="2">
        <v>-0.7</v>
      </c>
      <c r="IJ1700" s="2">
        <v>-0.5</v>
      </c>
      <c r="IK1700" s="2">
        <v>1.4</v>
      </c>
      <c r="IL1700" s="2">
        <v>0.8</v>
      </c>
      <c r="IM1700" s="2">
        <v>-0.3</v>
      </c>
      <c r="IN1700" s="2">
        <v>-0.3</v>
      </c>
      <c r="IO1700" s="2">
        <v>1.3</v>
      </c>
      <c r="IP1700" s="2">
        <v>0.5</v>
      </c>
      <c r="IQ1700" s="2">
        <v>-1.1</v>
      </c>
      <c r="IR1700" s="2">
        <v>-0.1</v>
      </c>
      <c r="IS1700" s="2">
        <v>0.7</v>
      </c>
      <c r="IT1700" s="2">
        <v>1.5</v>
      </c>
      <c r="IU1700" s="2">
        <v>-1</v>
      </c>
      <c r="IV1700" s="2">
        <v>-1.8</v>
      </c>
      <c r="IW1700" s="2">
        <v>0.7</v>
      </c>
      <c r="IX1700" s="2">
        <v>0.2</v>
      </c>
      <c r="IY1700" s="2">
        <v>-0.6</v>
      </c>
      <c r="IZ1700" s="2">
        <v>-0.6</v>
      </c>
      <c r="JA1700" s="2">
        <v>0.9</v>
      </c>
      <c r="JB1700" s="2">
        <v>0.8</v>
      </c>
      <c r="JC1700" s="2">
        <v>-1.9</v>
      </c>
      <c r="JD1700" s="2">
        <v>-1.3</v>
      </c>
      <c r="JE1700" s="2">
        <v>0.9</v>
      </c>
      <c r="JF1700" s="2">
        <v>0.7</v>
      </c>
      <c r="JG1700" s="2">
        <v>-0.8</v>
      </c>
      <c r="JH1700" s="2">
        <v>-0.8</v>
      </c>
      <c r="JI1700" s="2">
        <v>1.9</v>
      </c>
      <c r="JJ1700" s="2">
        <v>2</v>
      </c>
      <c r="JK1700" s="2">
        <v>-0.5</v>
      </c>
      <c r="JL1700" s="2">
        <v>-0.3</v>
      </c>
      <c r="JM1700" s="2">
        <v>0.5</v>
      </c>
      <c r="JN1700" s="2">
        <v>1</v>
      </c>
      <c r="JO1700" s="2">
        <v>0.6</v>
      </c>
      <c r="JP1700" s="2">
        <v>-1.4</v>
      </c>
      <c r="JQ1700" s="2">
        <v>0.8</v>
      </c>
      <c r="JR1700" s="2">
        <v>1.7</v>
      </c>
      <c r="JS1700" s="2">
        <v>-1</v>
      </c>
      <c r="JT1700" s="2">
        <v>-0.6</v>
      </c>
      <c r="JU1700" s="2">
        <v>0.5</v>
      </c>
      <c r="JV1700" s="2">
        <v>0.6</v>
      </c>
      <c r="KA1700" s="2">
        <v>-0.7</v>
      </c>
      <c r="KB1700" s="2">
        <v>-0.5</v>
      </c>
      <c r="KC1700" s="2">
        <v>1.2</v>
      </c>
      <c r="KD1700" s="2">
        <v>0.6</v>
      </c>
      <c r="KQ1700" s="2">
        <v>-0.7</v>
      </c>
      <c r="KR1700" s="2">
        <v>-0.4</v>
      </c>
      <c r="KS1700" s="2">
        <v>1.6</v>
      </c>
      <c r="KT1700" s="2">
        <v>1.2</v>
      </c>
      <c r="LG1700" s="2">
        <v>-1.5</v>
      </c>
      <c r="LH1700" s="2">
        <v>0.5</v>
      </c>
      <c r="LI1700" s="2">
        <v>1.6</v>
      </c>
      <c r="LJ1700" s="2">
        <v>0.9</v>
      </c>
      <c r="LW1700" s="2">
        <v>-1.7</v>
      </c>
      <c r="LX1700" s="2">
        <v>-1</v>
      </c>
      <c r="LY1700" s="2">
        <v>1.1</v>
      </c>
      <c r="LZ1700" s="2">
        <v>1.7</v>
      </c>
      <c r="MM1700" s="2">
        <v>-0.2</v>
      </c>
      <c r="MN1700" s="2">
        <v>0</v>
      </c>
      <c r="MO1700" s="2">
        <v>0.9</v>
      </c>
      <c r="MP1700" s="2">
        <v>1.4</v>
      </c>
      <c r="NC1700" s="2">
        <v>0.7</v>
      </c>
      <c r="ND1700" s="2">
        <v>1.4</v>
      </c>
      <c r="NE1700" s="2">
        <v>1.3</v>
      </c>
      <c r="NF1700" s="2">
        <v>5.4</v>
      </c>
      <c r="NS1700" s="2">
        <v>0.3</v>
      </c>
      <c r="NT1700" s="2">
        <v>-0.3</v>
      </c>
      <c r="NU1700" s="2">
        <v>0.1</v>
      </c>
      <c r="NV1700" s="2">
        <v>0.4</v>
      </c>
      <c r="OI1700" s="2">
        <v>-0.1</v>
      </c>
      <c r="OJ1700" s="2">
        <v>0.5</v>
      </c>
      <c r="OK1700" s="2">
        <v>1.3</v>
      </c>
      <c r="OL1700" s="2">
        <v>1.6</v>
      </c>
      <c r="OY1700" s="2">
        <v>-1.6</v>
      </c>
      <c r="OZ1700" s="2">
        <v>0.4</v>
      </c>
      <c r="PA1700" s="2">
        <v>1.9</v>
      </c>
      <c r="PB1700" s="2">
        <v>2.6</v>
      </c>
      <c r="PJ1700" s="2">
        <v>-1.3</v>
      </c>
      <c r="PK1700" s="2">
        <v>-0.4</v>
      </c>
    </row>
    <row r="1701">
      <c r="A1701" t="inlineStr">
        <is>
          <t>A3604427J</t>
        </is>
      </c>
      <c r="B1701" t="inlineStr">
        <is>
          <t>Percentage Change from Previous Period ;  Audio, visual and computing equipment and services ;  Australia ;</t>
        </is>
      </c>
      <c r="C1701" t="inlineStr">
        <is>
          <t>Quarter</t>
        </is>
      </c>
      <c r="D1701" t="inlineStr">
        <is>
          <t>Percent</t>
        </is>
      </c>
      <c r="E1701" t="inlineStr">
        <is>
          <t>Original</t>
        </is>
      </c>
      <c r="F1701" t="inlineStr">
        <is>
          <t>6401018.xlsx</t>
        </is>
      </c>
      <c r="G1701" t="inlineStr">
        <is>
          <t>1989Q4</t>
        </is>
      </c>
      <c r="H1701" t="inlineStr">
        <is>
          <t>2026Q2</t>
        </is>
      </c>
      <c r="FR1701" s="2">
        <v>0.9</v>
      </c>
      <c r="FS1701" s="2">
        <v>0.6</v>
      </c>
      <c r="FT1701" s="2">
        <v>1.2</v>
      </c>
      <c r="FU1701" s="2">
        <v>1.6</v>
      </c>
      <c r="FV1701" s="2">
        <v>1.3</v>
      </c>
      <c r="FW1701" s="2">
        <v>-0.6</v>
      </c>
      <c r="FX1701" s="2">
        <v>1.4</v>
      </c>
      <c r="FY1701" s="2">
        <v>-0.4</v>
      </c>
      <c r="FZ1701" s="2">
        <v>-1.1</v>
      </c>
      <c r="GA1701" s="2">
        <v>-3.6</v>
      </c>
      <c r="GB1701" s="2">
        <v>2.6</v>
      </c>
      <c r="GC1701" s="2">
        <v>-0.9</v>
      </c>
      <c r="GD1701" s="2">
        <v>0.2</v>
      </c>
      <c r="GE1701" s="2">
        <v>0.9</v>
      </c>
      <c r="GF1701" s="2">
        <v>1.2</v>
      </c>
      <c r="GG1701" s="2">
        <v>0.2</v>
      </c>
      <c r="GH1701" s="2">
        <v>1.2</v>
      </c>
      <c r="GI1701" s="2">
        <v>0.3</v>
      </c>
      <c r="GJ1701" s="2">
        <v>0.7</v>
      </c>
      <c r="GK1701" s="2">
        <v>1</v>
      </c>
      <c r="GL1701" s="2">
        <v>0.4</v>
      </c>
      <c r="GM1701" s="2">
        <v>-0.1</v>
      </c>
      <c r="GN1701" s="2">
        <v>-0.1</v>
      </c>
      <c r="GO1701" s="2">
        <v>0</v>
      </c>
      <c r="GP1701" s="2">
        <v>0.2</v>
      </c>
      <c r="GQ1701" s="2">
        <v>0.8</v>
      </c>
      <c r="GR1701" s="2">
        <v>-0.2</v>
      </c>
      <c r="GS1701" s="2">
        <v>-0.7</v>
      </c>
      <c r="GT1701" s="2">
        <v>-1.3</v>
      </c>
      <c r="GU1701" s="2">
        <v>-0.2</v>
      </c>
      <c r="GV1701" s="2">
        <v>-0.1</v>
      </c>
      <c r="GW1701" s="2">
        <v>-0.8</v>
      </c>
      <c r="GX1701" s="2">
        <v>0</v>
      </c>
      <c r="GY1701" s="2">
        <v>1.6</v>
      </c>
      <c r="GZ1701" s="2">
        <v>0.3</v>
      </c>
      <c r="HA1701" s="2">
        <v>-0.1</v>
      </c>
      <c r="HB1701" s="2">
        <v>1.8</v>
      </c>
      <c r="HC1701" s="2">
        <v>-1.3</v>
      </c>
      <c r="HD1701" s="2">
        <v>-1.3</v>
      </c>
      <c r="HE1701" s="2">
        <v>-0.8</v>
      </c>
      <c r="HF1701" s="2">
        <v>-0.3</v>
      </c>
      <c r="HG1701" s="2">
        <v>-1</v>
      </c>
      <c r="HH1701" s="2">
        <v>-0.9</v>
      </c>
      <c r="HI1701" s="2">
        <v>-3.9</v>
      </c>
      <c r="HJ1701" s="2">
        <v>0.5</v>
      </c>
      <c r="HK1701" s="2">
        <v>0.6</v>
      </c>
      <c r="HL1701" s="2">
        <v>-1.9</v>
      </c>
      <c r="HM1701" s="2">
        <v>-0.5</v>
      </c>
      <c r="HN1701" s="2">
        <v>-1.9</v>
      </c>
      <c r="HO1701" s="2">
        <v>-0.7</v>
      </c>
      <c r="HP1701" s="2">
        <v>-1.5</v>
      </c>
      <c r="HQ1701" s="2">
        <v>-1.9</v>
      </c>
      <c r="HR1701" s="2">
        <v>-3.2</v>
      </c>
      <c r="HS1701" s="2">
        <v>-2</v>
      </c>
      <c r="HT1701" s="2">
        <v>-2.8</v>
      </c>
      <c r="HU1701" s="2">
        <v>-4</v>
      </c>
      <c r="HV1701" s="2">
        <v>-2.9</v>
      </c>
      <c r="HW1701" s="2">
        <v>-3</v>
      </c>
      <c r="HX1701" s="2">
        <v>-2.1</v>
      </c>
      <c r="HY1701" s="2">
        <v>-2.1</v>
      </c>
      <c r="HZ1701" s="2">
        <v>0</v>
      </c>
      <c r="IA1701" s="2">
        <v>-3.4</v>
      </c>
      <c r="IB1701" s="2">
        <v>-1.3</v>
      </c>
      <c r="IC1701" s="2">
        <v>-0.9</v>
      </c>
      <c r="ID1701" s="2">
        <v>-2.5</v>
      </c>
      <c r="IE1701" s="2">
        <v>-0.7</v>
      </c>
      <c r="IF1701" s="2">
        <v>-1.3</v>
      </c>
      <c r="IG1701" s="2">
        <v>-1.4</v>
      </c>
      <c r="IH1701" s="2">
        <v>-2.1</v>
      </c>
      <c r="II1701" s="2">
        <v>-1.1</v>
      </c>
      <c r="IJ1701" s="2">
        <v>-2.1</v>
      </c>
      <c r="IK1701" s="2">
        <v>-1.6</v>
      </c>
      <c r="IL1701" s="2">
        <v>-1</v>
      </c>
      <c r="IM1701" s="2">
        <v>-3.1</v>
      </c>
      <c r="IN1701" s="2">
        <v>-1.4</v>
      </c>
      <c r="IO1701" s="2">
        <v>-2.4</v>
      </c>
      <c r="IP1701" s="2">
        <v>-3.4</v>
      </c>
      <c r="IQ1701" s="2">
        <v>1.7</v>
      </c>
      <c r="IR1701" s="2">
        <v>-1.3</v>
      </c>
      <c r="IS1701" s="2">
        <v>-0.7</v>
      </c>
      <c r="IT1701" s="2">
        <v>-3</v>
      </c>
      <c r="IU1701" s="2">
        <v>-3.2</v>
      </c>
      <c r="IV1701" s="2">
        <v>-2.9</v>
      </c>
      <c r="IW1701" s="2">
        <v>-0.8</v>
      </c>
      <c r="IX1701" s="2">
        <v>-2.2</v>
      </c>
      <c r="IY1701" s="2">
        <v>-3.6</v>
      </c>
      <c r="IZ1701" s="2">
        <v>-2.4</v>
      </c>
      <c r="JA1701" s="2">
        <v>-2.8</v>
      </c>
      <c r="JB1701" s="2">
        <v>-1.4</v>
      </c>
      <c r="JC1701" s="2">
        <v>-3.6</v>
      </c>
      <c r="JD1701" s="2">
        <v>-2.4</v>
      </c>
      <c r="JE1701" s="2">
        <v>-1.5</v>
      </c>
      <c r="JF1701" s="2">
        <v>-2.3</v>
      </c>
      <c r="JG1701" s="2">
        <v>-2.6</v>
      </c>
      <c r="JH1701" s="2">
        <v>-1.1</v>
      </c>
      <c r="JI1701" s="2">
        <v>-0.5</v>
      </c>
      <c r="JJ1701" s="2">
        <v>-0.7</v>
      </c>
      <c r="JK1701" s="2">
        <v>-0.8</v>
      </c>
      <c r="JL1701" s="2">
        <v>-1.7</v>
      </c>
      <c r="JM1701" s="2">
        <v>0.5</v>
      </c>
      <c r="JN1701" s="2">
        <v>-4.6</v>
      </c>
      <c r="JO1701" s="2">
        <v>-1</v>
      </c>
      <c r="JP1701" s="2">
        <v>-0.1</v>
      </c>
      <c r="JQ1701" s="2">
        <v>0</v>
      </c>
      <c r="JR1701" s="2">
        <v>-0.8</v>
      </c>
      <c r="JS1701" s="2">
        <v>-3.4</v>
      </c>
      <c r="JT1701" s="2">
        <v>0.1</v>
      </c>
      <c r="JU1701" s="2">
        <v>-1</v>
      </c>
      <c r="JV1701" s="2">
        <v>-0.8</v>
      </c>
      <c r="KA1701" s="2">
        <v>-1.7</v>
      </c>
      <c r="KB1701" s="2">
        <v>-0.5</v>
      </c>
      <c r="KC1701" s="2">
        <v>1.2</v>
      </c>
      <c r="KD1701" s="2">
        <v>-1.5</v>
      </c>
      <c r="KQ1701" s="2">
        <v>-4.1</v>
      </c>
      <c r="KR1701" s="2">
        <v>0.4</v>
      </c>
      <c r="KS1701" s="2">
        <v>0.2</v>
      </c>
      <c r="KT1701" s="2">
        <v>-2.1</v>
      </c>
      <c r="LG1701" s="2">
        <v>-2</v>
      </c>
      <c r="LH1701" s="2">
        <v>-0.2</v>
      </c>
      <c r="LI1701" s="2">
        <v>-0.1</v>
      </c>
      <c r="LJ1701" s="2">
        <v>-0.1</v>
      </c>
      <c r="LW1701" s="2">
        <v>-2.1</v>
      </c>
      <c r="LX1701" s="2">
        <v>0.9</v>
      </c>
      <c r="LY1701" s="2">
        <v>1</v>
      </c>
      <c r="LZ1701" s="2">
        <v>-0.5</v>
      </c>
      <c r="MM1701" s="2">
        <v>-1.1</v>
      </c>
      <c r="MN1701" s="2">
        <v>0.2</v>
      </c>
      <c r="MO1701" s="2">
        <v>1.2</v>
      </c>
      <c r="MP1701" s="2">
        <v>1</v>
      </c>
      <c r="NC1701" s="2">
        <v>-0.4</v>
      </c>
      <c r="ND1701" s="2">
        <v>1.2</v>
      </c>
      <c r="NE1701" s="2">
        <v>0.6</v>
      </c>
      <c r="NF1701" s="2">
        <v>0.1</v>
      </c>
      <c r="NS1701" s="2">
        <v>1.1</v>
      </c>
      <c r="NT1701" s="2">
        <v>0.2</v>
      </c>
      <c r="NU1701" s="2">
        <v>-0.1</v>
      </c>
      <c r="NV1701" s="2">
        <v>-0.4</v>
      </c>
      <c r="OI1701" s="2">
        <v>1.6</v>
      </c>
      <c r="OJ1701" s="2">
        <v>1</v>
      </c>
      <c r="OK1701" s="2">
        <v>0.9</v>
      </c>
      <c r="OL1701" s="2">
        <v>-0.1</v>
      </c>
      <c r="OY1701" s="2">
        <v>-1</v>
      </c>
      <c r="OZ1701" s="2">
        <v>1.8</v>
      </c>
      <c r="PA1701" s="2">
        <v>2.9</v>
      </c>
      <c r="PB1701" s="2">
        <v>0.2</v>
      </c>
      <c r="PJ1701" s="2">
        <v>1.1</v>
      </c>
      <c r="PK1701" s="2">
        <v>0.2</v>
      </c>
    </row>
    <row r="1702">
      <c r="A1702" t="inlineStr">
        <is>
          <t>A2329315R</t>
        </is>
      </c>
      <c r="B1702" t="inlineStr">
        <is>
          <t>Percentage Change from Previous Period ;  Audio, visual and computing equipment ;  Australia ;</t>
        </is>
      </c>
      <c r="C1702" t="inlineStr">
        <is>
          <t>Quarter</t>
        </is>
      </c>
      <c r="D1702" t="inlineStr">
        <is>
          <t>Percent</t>
        </is>
      </c>
      <c r="E1702" t="inlineStr">
        <is>
          <t>Original</t>
        </is>
      </c>
      <c r="F1702" t="inlineStr">
        <is>
          <t>6401018.xlsx</t>
        </is>
      </c>
      <c r="G1702" t="inlineStr">
        <is>
          <t>1980Q4</t>
        </is>
      </c>
      <c r="H1702" t="inlineStr">
        <is>
          <t>2026Q2</t>
        </is>
      </c>
      <c r="EH1702" s="2">
        <v>-1.9</v>
      </c>
      <c r="EI1702" s="2">
        <v>0.3</v>
      </c>
      <c r="EJ1702" s="2">
        <v>0.2</v>
      </c>
      <c r="EK1702" s="2">
        <v>-0.4</v>
      </c>
      <c r="EL1702" s="2">
        <v>3.5</v>
      </c>
      <c r="EM1702" s="2">
        <v>-1.4</v>
      </c>
      <c r="EN1702" s="2">
        <v>-2.9</v>
      </c>
      <c r="EO1702" s="2">
        <v>-0.8</v>
      </c>
      <c r="EP1702" s="2">
        <v>-2.5</v>
      </c>
      <c r="EQ1702" s="2">
        <v>-1.6</v>
      </c>
      <c r="ER1702" s="2">
        <v>2.7</v>
      </c>
      <c r="ES1702" s="2">
        <v>0.4</v>
      </c>
      <c r="ET1702" s="2">
        <v>-2.1</v>
      </c>
      <c r="EU1702" s="2">
        <v>-1.8</v>
      </c>
      <c r="EV1702" s="2">
        <v>-2.6</v>
      </c>
      <c r="EW1702" s="2">
        <v>-1.9</v>
      </c>
      <c r="EX1702" s="2">
        <v>-3.7</v>
      </c>
      <c r="EY1702" s="2">
        <v>-2.4</v>
      </c>
      <c r="EZ1702" s="2">
        <v>2.5</v>
      </c>
      <c r="FA1702" s="2">
        <v>1.3</v>
      </c>
      <c r="FB1702" s="2">
        <v>-1.2</v>
      </c>
      <c r="FC1702" s="2">
        <v>1</v>
      </c>
      <c r="FD1702" s="2">
        <v>1.2</v>
      </c>
      <c r="FE1702" s="2">
        <v>1.8</v>
      </c>
      <c r="FF1702" s="2">
        <v>2.6</v>
      </c>
      <c r="FG1702" s="2">
        <v>3.1</v>
      </c>
      <c r="FH1702" s="2">
        <v>1.8</v>
      </c>
      <c r="FI1702" s="2">
        <v>-0.9</v>
      </c>
      <c r="FJ1702" s="2">
        <v>-0.7</v>
      </c>
      <c r="FK1702" s="2">
        <v>-2</v>
      </c>
      <c r="FL1702" s="2">
        <v>-0.6</v>
      </c>
      <c r="FM1702" s="2">
        <v>-0.2</v>
      </c>
      <c r="FN1702" s="2">
        <v>-0.8</v>
      </c>
      <c r="FO1702" s="2">
        <v>-1.4</v>
      </c>
      <c r="FP1702" s="2">
        <v>-1.9</v>
      </c>
      <c r="FQ1702" s="2">
        <v>-2.6</v>
      </c>
      <c r="FR1702" s="2">
        <v>-1.5</v>
      </c>
      <c r="FS1702" s="2">
        <v>-2.4</v>
      </c>
      <c r="FT1702" s="2">
        <v>-2.4</v>
      </c>
      <c r="FU1702" s="2">
        <v>-0.7</v>
      </c>
      <c r="FV1702" s="2">
        <v>-0.7</v>
      </c>
      <c r="FW1702" s="2">
        <v>-0.9</v>
      </c>
      <c r="FX1702" s="2">
        <v>-1.6</v>
      </c>
      <c r="FY1702" s="2">
        <v>-1.3</v>
      </c>
      <c r="FZ1702" s="2">
        <v>0.9</v>
      </c>
      <c r="GA1702" s="2">
        <v>-0.8</v>
      </c>
      <c r="GB1702" s="2">
        <v>-1.3</v>
      </c>
      <c r="GC1702" s="2">
        <v>-0.3</v>
      </c>
      <c r="GD1702" s="2">
        <v>-0.1</v>
      </c>
      <c r="GE1702" s="2">
        <v>0.3</v>
      </c>
      <c r="GF1702" s="2">
        <v>0.7</v>
      </c>
      <c r="GG1702" s="2">
        <v>-0.5</v>
      </c>
      <c r="GH1702" s="2">
        <v>0.6</v>
      </c>
      <c r="GI1702" s="2">
        <v>-1.4</v>
      </c>
      <c r="GJ1702" s="2">
        <v>1.4</v>
      </c>
      <c r="GK1702" s="2">
        <v>-0.4</v>
      </c>
      <c r="GL1702" s="2">
        <v>0.7</v>
      </c>
      <c r="GM1702" s="2">
        <v>-1</v>
      </c>
      <c r="GN1702" s="2">
        <v>-2.3</v>
      </c>
      <c r="GO1702" s="2">
        <v>-2.8</v>
      </c>
      <c r="GP1702" s="2">
        <v>-1.9</v>
      </c>
      <c r="GQ1702" s="2">
        <v>-1.2</v>
      </c>
      <c r="GR1702" s="2">
        <v>-2.2</v>
      </c>
      <c r="GS1702" s="2">
        <v>-1</v>
      </c>
      <c r="GT1702" s="2">
        <v>-1</v>
      </c>
      <c r="GU1702" s="2">
        <v>-2.5</v>
      </c>
      <c r="GV1702" s="2">
        <v>-1.3</v>
      </c>
      <c r="GW1702" s="2">
        <v>-1.7</v>
      </c>
      <c r="GX1702" s="2">
        <v>-1.3</v>
      </c>
      <c r="GY1702" s="2">
        <v>-0.8</v>
      </c>
      <c r="GZ1702" s="2">
        <v>0.3</v>
      </c>
      <c r="HA1702" s="2">
        <v>-3.1</v>
      </c>
      <c r="HB1702" s="2">
        <v>-1.6</v>
      </c>
      <c r="HC1702" s="2">
        <v>-2.9</v>
      </c>
      <c r="HD1702" s="2">
        <v>-3.2</v>
      </c>
      <c r="HE1702" s="2">
        <v>-5.9</v>
      </c>
      <c r="HF1702" s="2">
        <v>-7.7</v>
      </c>
      <c r="HG1702" s="2">
        <v>-1</v>
      </c>
      <c r="HH1702" s="2">
        <v>-1.3</v>
      </c>
      <c r="HI1702" s="2">
        <v>-4.8</v>
      </c>
      <c r="HJ1702" s="2">
        <v>0.2</v>
      </c>
      <c r="HK1702" s="2">
        <v>0.2</v>
      </c>
      <c r="HL1702" s="2">
        <v>-3.4</v>
      </c>
      <c r="HM1702" s="2">
        <v>-0.6</v>
      </c>
      <c r="HN1702" s="2">
        <v>-1.7</v>
      </c>
      <c r="HO1702" s="2">
        <v>-1</v>
      </c>
      <c r="HP1702" s="2">
        <v>-1.1</v>
      </c>
      <c r="HQ1702" s="2">
        <v>-3.3</v>
      </c>
      <c r="HR1702" s="2">
        <v>-5.2</v>
      </c>
      <c r="HS1702" s="2">
        <v>-4.3</v>
      </c>
      <c r="HT1702" s="2">
        <v>-6</v>
      </c>
      <c r="HU1702" s="2">
        <v>-7.2</v>
      </c>
      <c r="HV1702" s="2">
        <v>-5.7</v>
      </c>
      <c r="HW1702" s="2">
        <v>-4.5</v>
      </c>
      <c r="HX1702" s="2">
        <v>-5</v>
      </c>
      <c r="HY1702" s="2">
        <v>-2.7</v>
      </c>
      <c r="HZ1702" s="2">
        <v>-1.5</v>
      </c>
      <c r="IA1702" s="2">
        <v>-6.4</v>
      </c>
      <c r="IB1702" s="2">
        <v>-1.4</v>
      </c>
      <c r="IC1702" s="2">
        <v>-1.7</v>
      </c>
      <c r="ID1702" s="2">
        <v>-3.4</v>
      </c>
      <c r="IE1702" s="2">
        <v>-1.5</v>
      </c>
      <c r="IF1702" s="2">
        <v>-2.3</v>
      </c>
      <c r="IG1702" s="2">
        <v>-1.6</v>
      </c>
      <c r="IH1702" s="2">
        <v>-2.8</v>
      </c>
      <c r="II1702" s="2">
        <v>-2.6</v>
      </c>
      <c r="IJ1702" s="2">
        <v>-2.2</v>
      </c>
      <c r="IK1702" s="2">
        <v>-2.6</v>
      </c>
      <c r="IL1702" s="2">
        <v>-4.1</v>
      </c>
      <c r="IM1702" s="2">
        <v>-6</v>
      </c>
      <c r="IN1702" s="2">
        <v>-1.8</v>
      </c>
      <c r="IO1702" s="2">
        <v>-4.1</v>
      </c>
      <c r="IP1702" s="2">
        <v>-3</v>
      </c>
      <c r="IQ1702" s="2">
        <v>-2</v>
      </c>
      <c r="IR1702" s="2">
        <v>-1.5</v>
      </c>
      <c r="IS1702" s="2">
        <v>-1.9</v>
      </c>
      <c r="IT1702" s="2">
        <v>-7.5</v>
      </c>
      <c r="IU1702" s="2">
        <v>-5.9</v>
      </c>
      <c r="IV1702" s="2">
        <v>-6</v>
      </c>
      <c r="IW1702" s="2">
        <v>-2.6</v>
      </c>
      <c r="IX1702" s="2">
        <v>-5.2</v>
      </c>
      <c r="IY1702" s="2">
        <v>-7</v>
      </c>
      <c r="IZ1702" s="2">
        <v>-6.5</v>
      </c>
      <c r="JA1702" s="2">
        <v>-3.4</v>
      </c>
      <c r="JB1702" s="2">
        <v>-3.8</v>
      </c>
      <c r="JC1702" s="2">
        <v>-5.5</v>
      </c>
      <c r="JD1702" s="2">
        <v>-3.7</v>
      </c>
      <c r="JE1702" s="2">
        <v>-1.5</v>
      </c>
      <c r="JF1702" s="2">
        <v>-4.3</v>
      </c>
      <c r="JG1702" s="2">
        <v>-4.7</v>
      </c>
      <c r="JH1702" s="2">
        <v>-2</v>
      </c>
      <c r="JI1702" s="2">
        <v>-0.8</v>
      </c>
      <c r="JJ1702" s="2">
        <v>-2</v>
      </c>
      <c r="JK1702" s="2">
        <v>-2.7</v>
      </c>
      <c r="JL1702" s="2">
        <v>-1.6</v>
      </c>
      <c r="JM1702" s="2">
        <v>0.3</v>
      </c>
      <c r="JN1702" s="2">
        <v>-5.2</v>
      </c>
      <c r="JO1702" s="2">
        <v>-2.7</v>
      </c>
      <c r="JP1702" s="2">
        <v>1.4</v>
      </c>
      <c r="JQ1702" s="2">
        <v>-1.4</v>
      </c>
      <c r="JR1702" s="2">
        <v>-1.8</v>
      </c>
      <c r="JS1702" s="2">
        <v>-4.5</v>
      </c>
      <c r="JT1702" s="2">
        <v>-1.1</v>
      </c>
      <c r="JU1702" s="2">
        <v>-1.7</v>
      </c>
      <c r="JV1702" s="2">
        <v>-2.9</v>
      </c>
      <c r="KA1702" s="2">
        <v>-1.7</v>
      </c>
      <c r="KB1702" s="2">
        <v>-0.8</v>
      </c>
      <c r="KC1702" s="2">
        <v>-1.7</v>
      </c>
      <c r="KD1702" s="2">
        <v>-3.5</v>
      </c>
      <c r="KQ1702" s="2">
        <v>-3</v>
      </c>
      <c r="KR1702" s="2">
        <v>-1.1</v>
      </c>
      <c r="KS1702" s="2">
        <v>-1.8</v>
      </c>
      <c r="KT1702" s="2">
        <v>-3.2</v>
      </c>
      <c r="LG1702" s="2">
        <v>-1.7</v>
      </c>
      <c r="LH1702" s="2">
        <v>-0.8</v>
      </c>
      <c r="LI1702" s="2">
        <v>-1</v>
      </c>
      <c r="LJ1702" s="2">
        <v>-1.7</v>
      </c>
      <c r="LW1702" s="2">
        <v>-2.2</v>
      </c>
      <c r="LX1702" s="2">
        <v>1.8</v>
      </c>
      <c r="LY1702" s="2">
        <v>1.6</v>
      </c>
      <c r="LZ1702" s="2">
        <v>-1.5</v>
      </c>
      <c r="MM1702" s="2">
        <v>-1.6</v>
      </c>
      <c r="MN1702" s="2">
        <v>-0.4</v>
      </c>
      <c r="MO1702" s="2">
        <v>1.9</v>
      </c>
      <c r="MP1702" s="2">
        <v>0.5</v>
      </c>
      <c r="NC1702" s="2">
        <v>-0.1</v>
      </c>
      <c r="ND1702" s="2">
        <v>0.6</v>
      </c>
      <c r="NE1702" s="2">
        <v>0.2</v>
      </c>
      <c r="NF1702" s="2">
        <v>-0.2</v>
      </c>
      <c r="NS1702" s="2">
        <v>0.9</v>
      </c>
      <c r="NT1702" s="2">
        <v>-0.1</v>
      </c>
      <c r="NU1702" s="2">
        <v>-0.4</v>
      </c>
      <c r="NV1702" s="2">
        <v>-0.8</v>
      </c>
      <c r="OI1702" s="2">
        <v>1.3</v>
      </c>
      <c r="OJ1702" s="2">
        <v>-1.1</v>
      </c>
      <c r="OK1702" s="2">
        <v>0</v>
      </c>
      <c r="OL1702" s="2">
        <v>-1.1</v>
      </c>
      <c r="OY1702" s="2">
        <v>-2.3</v>
      </c>
      <c r="OZ1702" s="2">
        <v>2.3</v>
      </c>
      <c r="PA1702" s="2">
        <v>0</v>
      </c>
      <c r="PB1702" s="2">
        <v>-2.1</v>
      </c>
      <c r="PJ1702" s="2">
        <v>1.3</v>
      </c>
      <c r="PK1702" s="2">
        <v>-1.1</v>
      </c>
    </row>
    <row r="1703">
      <c r="A1703" t="inlineStr">
        <is>
          <t>A3604447T</t>
        </is>
      </c>
      <c r="B1703" t="inlineStr">
        <is>
          <t>Percentage Change from Previous Period ;  Audio, visual and computing media and services ;  Australia ;</t>
        </is>
      </c>
      <c r="C1703" t="inlineStr">
        <is>
          <t>Quarter</t>
        </is>
      </c>
      <c r="D1703" t="inlineStr">
        <is>
          <t>Percent</t>
        </is>
      </c>
      <c r="E1703" t="inlineStr">
        <is>
          <t>Original</t>
        </is>
      </c>
      <c r="F1703" t="inlineStr">
        <is>
          <t>6401018.xlsx</t>
        </is>
      </c>
      <c r="G1703" t="inlineStr">
        <is>
          <t>1989Q4</t>
        </is>
      </c>
      <c r="H1703" t="inlineStr">
        <is>
          <t>2026Q2</t>
        </is>
      </c>
      <c r="FR1703" s="2">
        <v>0.9</v>
      </c>
      <c r="FS1703" s="2">
        <v>0.6</v>
      </c>
      <c r="FT1703" s="2">
        <v>1.2</v>
      </c>
      <c r="FU1703" s="2">
        <v>1.7</v>
      </c>
      <c r="FV1703" s="2">
        <v>1.3</v>
      </c>
      <c r="FW1703" s="2">
        <v>-0.6</v>
      </c>
      <c r="FX1703" s="2">
        <v>1.3</v>
      </c>
      <c r="FY1703" s="2">
        <v>-0.4</v>
      </c>
      <c r="FZ1703" s="2">
        <v>-1.1</v>
      </c>
      <c r="GA1703" s="2">
        <v>-3.6</v>
      </c>
      <c r="GB1703" s="2">
        <v>2.6</v>
      </c>
      <c r="GC1703" s="2">
        <v>-0.9</v>
      </c>
      <c r="GD1703" s="2">
        <v>0.2</v>
      </c>
      <c r="GE1703" s="2">
        <v>0.9</v>
      </c>
      <c r="GF1703" s="2">
        <v>1.2</v>
      </c>
      <c r="GG1703" s="2">
        <v>0.2</v>
      </c>
      <c r="GH1703" s="2">
        <v>1.2</v>
      </c>
      <c r="GI1703" s="2">
        <v>0.3</v>
      </c>
      <c r="GJ1703" s="2">
        <v>0.7</v>
      </c>
      <c r="GK1703" s="2">
        <v>1</v>
      </c>
      <c r="GL1703" s="2">
        <v>0.4</v>
      </c>
      <c r="GM1703" s="2">
        <v>-0.1</v>
      </c>
      <c r="GN1703" s="2">
        <v>-0.1</v>
      </c>
      <c r="GO1703" s="2">
        <v>0.1</v>
      </c>
      <c r="GP1703" s="2">
        <v>0.2</v>
      </c>
      <c r="GQ1703" s="2">
        <v>0.8</v>
      </c>
      <c r="GR1703" s="2">
        <v>-0.2</v>
      </c>
      <c r="GS1703" s="2">
        <v>-0.7</v>
      </c>
      <c r="GT1703" s="2">
        <v>-1.3</v>
      </c>
      <c r="GU1703" s="2">
        <v>-0.2</v>
      </c>
      <c r="GV1703" s="2">
        <v>-0.1</v>
      </c>
      <c r="GW1703" s="2">
        <v>-0.9</v>
      </c>
      <c r="GX1703" s="2">
        <v>0</v>
      </c>
      <c r="GY1703" s="2">
        <v>1.6</v>
      </c>
      <c r="GZ1703" s="2">
        <v>0.3</v>
      </c>
      <c r="HA1703" s="2">
        <v>0</v>
      </c>
      <c r="HB1703" s="2">
        <v>1.9</v>
      </c>
      <c r="HC1703" s="2">
        <v>-1.2</v>
      </c>
      <c r="HD1703" s="2">
        <v>-1.3</v>
      </c>
      <c r="HE1703" s="2">
        <v>-0.7</v>
      </c>
      <c r="HF1703" s="2">
        <v>-0.1</v>
      </c>
      <c r="HG1703" s="2">
        <v>-1</v>
      </c>
      <c r="HH1703" s="2">
        <v>-0.9</v>
      </c>
      <c r="HI1703" s="2">
        <v>-2.3</v>
      </c>
      <c r="HJ1703" s="2">
        <v>1.2</v>
      </c>
      <c r="HK1703" s="2">
        <v>1.2</v>
      </c>
      <c r="HL1703" s="2">
        <v>0.5</v>
      </c>
      <c r="HM1703" s="2">
        <v>-0.4</v>
      </c>
      <c r="HN1703" s="2">
        <v>-2.4</v>
      </c>
      <c r="HO1703" s="2">
        <v>-0.3</v>
      </c>
      <c r="HP1703" s="2">
        <v>-1.9</v>
      </c>
      <c r="HQ1703" s="2">
        <v>-0.3</v>
      </c>
      <c r="HR1703" s="2">
        <v>-0.9</v>
      </c>
      <c r="HS1703" s="2">
        <v>0.3</v>
      </c>
      <c r="HT1703" s="2">
        <v>0.6</v>
      </c>
      <c r="HU1703" s="2">
        <v>-0.9</v>
      </c>
      <c r="HV1703" s="2">
        <v>-0.3</v>
      </c>
      <c r="HW1703" s="2">
        <v>-1.8</v>
      </c>
      <c r="HX1703" s="2">
        <v>0.2</v>
      </c>
      <c r="HY1703" s="2">
        <v>-1.6</v>
      </c>
      <c r="HZ1703" s="2">
        <v>1.2</v>
      </c>
      <c r="IA1703" s="2">
        <v>-1.3</v>
      </c>
      <c r="IB1703" s="2">
        <v>-1.2</v>
      </c>
      <c r="IC1703" s="2">
        <v>0.4</v>
      </c>
      <c r="ID1703" s="2">
        <v>-1.1</v>
      </c>
      <c r="IE1703" s="2">
        <v>0.4</v>
      </c>
      <c r="IF1703" s="2">
        <v>-0.2</v>
      </c>
      <c r="IG1703" s="2">
        <v>-1</v>
      </c>
      <c r="IH1703" s="2">
        <v>-1.2</v>
      </c>
      <c r="II1703" s="2">
        <v>0.9</v>
      </c>
      <c r="IJ1703" s="2">
        <v>-1.9</v>
      </c>
      <c r="IK1703" s="2">
        <v>-0.5</v>
      </c>
      <c r="IL1703" s="2">
        <v>3</v>
      </c>
      <c r="IM1703" s="2">
        <v>0.2</v>
      </c>
      <c r="IN1703" s="2">
        <v>-0.9</v>
      </c>
      <c r="IO1703" s="2">
        <v>-0.4</v>
      </c>
      <c r="IP1703" s="2">
        <v>-3.7</v>
      </c>
      <c r="IQ1703" s="2">
        <v>5.6</v>
      </c>
      <c r="IR1703" s="2">
        <v>-1.1</v>
      </c>
      <c r="IS1703" s="2">
        <v>0.3</v>
      </c>
      <c r="IT1703" s="2">
        <v>1.5</v>
      </c>
      <c r="IU1703" s="2">
        <v>-1</v>
      </c>
      <c r="IV1703" s="2">
        <v>-0.6</v>
      </c>
      <c r="IW1703" s="2">
        <v>0.9</v>
      </c>
      <c r="IX1703" s="2">
        <v>-0.1</v>
      </c>
      <c r="IY1703" s="2">
        <v>-1.2</v>
      </c>
      <c r="IZ1703" s="2">
        <v>0.4</v>
      </c>
      <c r="JA1703" s="2">
        <v>-1.7</v>
      </c>
      <c r="JB1703" s="2">
        <v>2.3</v>
      </c>
      <c r="JC1703" s="2">
        <v>-0.8</v>
      </c>
      <c r="JD1703" s="2">
        <v>-0.5</v>
      </c>
      <c r="JE1703" s="2">
        <v>-1.5</v>
      </c>
      <c r="JF1703" s="2">
        <v>0.4</v>
      </c>
      <c r="JG1703" s="2">
        <v>0.1</v>
      </c>
      <c r="JH1703" s="2">
        <v>-0.1</v>
      </c>
      <c r="JI1703" s="2">
        <v>0</v>
      </c>
      <c r="JJ1703" s="2">
        <v>0.9</v>
      </c>
      <c r="JK1703" s="2">
        <v>1.3</v>
      </c>
      <c r="JL1703" s="2">
        <v>-1.8</v>
      </c>
      <c r="JM1703" s="2">
        <v>0.7</v>
      </c>
      <c r="JN1703" s="2">
        <v>-3.8</v>
      </c>
      <c r="JO1703" s="2">
        <v>0.9</v>
      </c>
      <c r="JP1703" s="2">
        <v>-1.6</v>
      </c>
      <c r="JQ1703" s="2">
        <v>1.6</v>
      </c>
      <c r="JR1703" s="2">
        <v>0.2</v>
      </c>
      <c r="JS1703" s="2">
        <v>-2.2</v>
      </c>
      <c r="JT1703" s="2">
        <v>1.2</v>
      </c>
      <c r="JU1703" s="2">
        <v>-0.3</v>
      </c>
      <c r="JV1703" s="2">
        <v>1.3</v>
      </c>
      <c r="KA1703" s="2">
        <v>-1.8</v>
      </c>
      <c r="KB1703" s="2">
        <v>-0.2</v>
      </c>
      <c r="KC1703" s="2">
        <v>3.9</v>
      </c>
      <c r="KD1703" s="2">
        <v>1.9</v>
      </c>
      <c r="KQ1703" s="2">
        <v>-6</v>
      </c>
      <c r="KR1703" s="2">
        <v>3</v>
      </c>
      <c r="KS1703" s="2">
        <v>3.5</v>
      </c>
      <c r="KT1703" s="2">
        <v>-0.4</v>
      </c>
      <c r="LG1703" s="2">
        <v>-2.4</v>
      </c>
      <c r="LH1703" s="2">
        <v>0.6</v>
      </c>
      <c r="LI1703" s="2">
        <v>1.3</v>
      </c>
      <c r="LJ1703" s="2">
        <v>2.4</v>
      </c>
      <c r="LW1703" s="2">
        <v>-1.9</v>
      </c>
      <c r="LX1703" s="2">
        <v>-0.4</v>
      </c>
      <c r="LY1703" s="2">
        <v>0.1</v>
      </c>
      <c r="LZ1703" s="2">
        <v>1.4</v>
      </c>
      <c r="MM1703" s="2">
        <v>0</v>
      </c>
      <c r="MN1703" s="2">
        <v>1.2</v>
      </c>
      <c r="MO1703" s="2">
        <v>0.1</v>
      </c>
      <c r="MP1703" s="2">
        <v>1.8</v>
      </c>
      <c r="NC1703" s="2">
        <v>-1</v>
      </c>
      <c r="ND1703" s="2">
        <v>2.2</v>
      </c>
      <c r="NE1703" s="2">
        <v>1.2</v>
      </c>
      <c r="NF1703" s="2">
        <v>0.7</v>
      </c>
      <c r="NS1703" s="2">
        <v>1.5</v>
      </c>
      <c r="NT1703" s="2">
        <v>0.6</v>
      </c>
      <c r="NU1703" s="2">
        <v>0.4</v>
      </c>
      <c r="NV1703" s="2">
        <v>0.3</v>
      </c>
      <c r="OI1703" s="2">
        <v>2</v>
      </c>
      <c r="OJ1703" s="2">
        <v>3.7</v>
      </c>
      <c r="OK1703" s="2">
        <v>2.1</v>
      </c>
      <c r="OL1703" s="2">
        <v>1.1</v>
      </c>
      <c r="OY1703" s="2">
        <v>0.4</v>
      </c>
      <c r="OZ1703" s="2">
        <v>1.3</v>
      </c>
      <c r="PA1703" s="2">
        <v>6.3</v>
      </c>
      <c r="PB1703" s="2">
        <v>2.7</v>
      </c>
      <c r="PJ1703" s="2">
        <v>1</v>
      </c>
      <c r="PK1703" s="2">
        <v>1.6</v>
      </c>
    </row>
    <row r="1704">
      <c r="A1704" t="inlineStr">
        <is>
          <t>A3604412T</t>
        </is>
      </c>
      <c r="B1704" t="inlineStr">
        <is>
          <t>Percentage Change from Previous Period ;  Newspapers, books and stationery ;  Australia ;</t>
        </is>
      </c>
      <c r="C1704" t="inlineStr">
        <is>
          <t>Quarter</t>
        </is>
      </c>
      <c r="D1704" t="inlineStr">
        <is>
          <t>Percent</t>
        </is>
      </c>
      <c r="E1704" t="inlineStr">
        <is>
          <t>Original</t>
        </is>
      </c>
      <c r="F1704" t="inlineStr">
        <is>
          <t>6401018.xlsx</t>
        </is>
      </c>
      <c r="G1704" t="inlineStr">
        <is>
          <t>1989Q4</t>
        </is>
      </c>
      <c r="H1704" t="inlineStr">
        <is>
          <t>2026Q2</t>
        </is>
      </c>
      <c r="FR1704" s="2">
        <v>0.4</v>
      </c>
      <c r="FS1704" s="2">
        <v>2.4</v>
      </c>
      <c r="FT1704" s="2">
        <v>1.9</v>
      </c>
      <c r="FU1704" s="2">
        <v>1.1</v>
      </c>
      <c r="FV1704" s="2">
        <v>0.9</v>
      </c>
      <c r="FW1704" s="2">
        <v>-0.1</v>
      </c>
      <c r="FX1704" s="2">
        <v>3.1</v>
      </c>
      <c r="FY1704" s="2">
        <v>1.8</v>
      </c>
      <c r="FZ1704" s="2">
        <v>0.4</v>
      </c>
      <c r="GA1704" s="2">
        <v>1.3</v>
      </c>
      <c r="GB1704" s="2">
        <v>0.5</v>
      </c>
      <c r="GC1704" s="2">
        <v>2.4</v>
      </c>
      <c r="GD1704" s="2">
        <v>1.1</v>
      </c>
      <c r="GE1704" s="2">
        <v>4</v>
      </c>
      <c r="GF1704" s="2">
        <v>0.8</v>
      </c>
      <c r="GG1704" s="2">
        <v>0.9</v>
      </c>
      <c r="GH1704" s="2">
        <v>0.4</v>
      </c>
      <c r="GI1704" s="2">
        <v>1.1</v>
      </c>
      <c r="GJ1704" s="2">
        <v>1.8</v>
      </c>
      <c r="GK1704" s="2">
        <v>0.6</v>
      </c>
      <c r="GL1704" s="2">
        <v>0.2</v>
      </c>
      <c r="GM1704" s="2">
        <v>0.7</v>
      </c>
      <c r="GN1704" s="2">
        <v>0.3</v>
      </c>
      <c r="GO1704" s="2">
        <v>0.5</v>
      </c>
      <c r="GP1704" s="2">
        <v>1.4</v>
      </c>
      <c r="GQ1704" s="2">
        <v>1.1</v>
      </c>
      <c r="GR1704" s="2">
        <v>1.7</v>
      </c>
      <c r="GS1704" s="2">
        <v>0.1</v>
      </c>
      <c r="GT1704" s="2">
        <v>1</v>
      </c>
      <c r="GU1704" s="2">
        <v>1.6</v>
      </c>
      <c r="GV1704" s="2">
        <v>1.8</v>
      </c>
      <c r="GW1704" s="2">
        <v>1</v>
      </c>
      <c r="GX1704" s="2">
        <v>1.5</v>
      </c>
      <c r="GY1704" s="2">
        <v>0.5</v>
      </c>
      <c r="GZ1704" s="2">
        <v>1</v>
      </c>
      <c r="HA1704" s="2">
        <v>2</v>
      </c>
      <c r="HB1704" s="2">
        <v>0.7</v>
      </c>
      <c r="HC1704" s="2">
        <v>1.1</v>
      </c>
      <c r="HD1704" s="2">
        <v>0.5</v>
      </c>
      <c r="HE1704" s="2">
        <v>1</v>
      </c>
      <c r="HF1704" s="2">
        <v>0.5</v>
      </c>
      <c r="HG1704" s="2">
        <v>1</v>
      </c>
      <c r="HH1704" s="2">
        <v>0.3</v>
      </c>
      <c r="HI1704" s="2">
        <v>5.1</v>
      </c>
      <c r="HJ1704" s="2">
        <v>-0.4</v>
      </c>
      <c r="HK1704" s="2">
        <v>1.6</v>
      </c>
      <c r="HL1704" s="2">
        <v>0.4</v>
      </c>
      <c r="HM1704" s="2">
        <v>0.5</v>
      </c>
      <c r="HN1704" s="2">
        <v>1.2</v>
      </c>
      <c r="HO1704" s="2">
        <v>0.9</v>
      </c>
      <c r="HP1704" s="2">
        <v>0.7</v>
      </c>
      <c r="HQ1704" s="2">
        <v>-0.1</v>
      </c>
      <c r="HR1704" s="2">
        <v>0.9</v>
      </c>
      <c r="HS1704" s="2">
        <v>1.1</v>
      </c>
      <c r="HT1704" s="2">
        <v>0.4</v>
      </c>
      <c r="HU1704" s="2">
        <v>0.5</v>
      </c>
      <c r="HV1704" s="2">
        <v>0</v>
      </c>
      <c r="HW1704" s="2">
        <v>0.4</v>
      </c>
      <c r="HX1704" s="2">
        <v>-0.1</v>
      </c>
      <c r="HY1704" s="2">
        <v>-0.5</v>
      </c>
      <c r="HZ1704" s="2">
        <v>1.1</v>
      </c>
      <c r="IA1704" s="2">
        <v>0.6</v>
      </c>
      <c r="IB1704" s="2">
        <v>0.1</v>
      </c>
      <c r="IC1704" s="2">
        <v>0.6</v>
      </c>
      <c r="ID1704" s="2">
        <v>0.2</v>
      </c>
      <c r="IE1704" s="2">
        <v>0.1</v>
      </c>
      <c r="IF1704" s="2">
        <v>0.3</v>
      </c>
      <c r="IG1704" s="2">
        <v>0.4</v>
      </c>
      <c r="IH1704" s="2">
        <v>0.8</v>
      </c>
      <c r="II1704" s="2">
        <v>0.2</v>
      </c>
      <c r="IJ1704" s="2">
        <v>0.5</v>
      </c>
      <c r="IK1704" s="2">
        <v>0.6</v>
      </c>
      <c r="IL1704" s="2">
        <v>0.2</v>
      </c>
      <c r="IM1704" s="2">
        <v>0.4</v>
      </c>
      <c r="IN1704" s="2">
        <v>0.4</v>
      </c>
      <c r="IO1704" s="2">
        <v>0.3</v>
      </c>
      <c r="IP1704" s="2">
        <v>0.9</v>
      </c>
      <c r="IQ1704" s="2">
        <v>0.7</v>
      </c>
      <c r="IR1704" s="2">
        <v>0.9</v>
      </c>
      <c r="IS1704" s="2">
        <v>0.9</v>
      </c>
      <c r="IT1704" s="2">
        <v>0.3</v>
      </c>
      <c r="IU1704" s="2">
        <v>-0.6</v>
      </c>
      <c r="IV1704" s="2">
        <v>-0.3</v>
      </c>
      <c r="IW1704" s="2">
        <v>0.9</v>
      </c>
      <c r="IX1704" s="2">
        <v>0</v>
      </c>
      <c r="IY1704" s="2">
        <v>0.3</v>
      </c>
      <c r="IZ1704" s="2">
        <v>-0.3</v>
      </c>
      <c r="JA1704" s="2">
        <v>-0.1</v>
      </c>
      <c r="JB1704" s="2">
        <v>0.2</v>
      </c>
      <c r="JC1704" s="2">
        <v>-0.3</v>
      </c>
      <c r="JD1704" s="2">
        <v>0.7</v>
      </c>
      <c r="JE1704" s="2">
        <v>0.5</v>
      </c>
      <c r="JF1704" s="2">
        <v>0.5</v>
      </c>
      <c r="JG1704" s="2">
        <v>0.7</v>
      </c>
      <c r="JH1704" s="2">
        <v>0.6</v>
      </c>
      <c r="JI1704" s="2">
        <v>0.2</v>
      </c>
      <c r="JJ1704" s="2">
        <v>1.1</v>
      </c>
      <c r="JK1704" s="2">
        <v>0.3</v>
      </c>
      <c r="JL1704" s="2">
        <v>0.4</v>
      </c>
      <c r="JM1704" s="2">
        <v>1.5</v>
      </c>
      <c r="JN1704" s="2">
        <v>1</v>
      </c>
      <c r="JO1704" s="2">
        <v>0.8</v>
      </c>
      <c r="JP1704" s="2">
        <v>0</v>
      </c>
      <c r="JQ1704" s="2">
        <v>0.4</v>
      </c>
      <c r="JR1704" s="2">
        <v>-0.6</v>
      </c>
      <c r="JS1704" s="2">
        <v>1.3</v>
      </c>
      <c r="JT1704" s="2">
        <v>0.1</v>
      </c>
      <c r="JU1704" s="2">
        <v>0.7</v>
      </c>
      <c r="JV1704" s="2">
        <v>-0.1</v>
      </c>
      <c r="KA1704" s="2">
        <v>1.2</v>
      </c>
      <c r="KB1704" s="2">
        <v>-0.2</v>
      </c>
      <c r="KC1704" s="2">
        <v>0.9</v>
      </c>
      <c r="KD1704" s="2">
        <v>-0.4</v>
      </c>
      <c r="KQ1704" s="2">
        <v>0.9</v>
      </c>
      <c r="KR1704" s="2">
        <v>-0.2</v>
      </c>
      <c r="KS1704" s="2">
        <v>-0.9</v>
      </c>
      <c r="KT1704" s="2">
        <v>-0.1</v>
      </c>
      <c r="LG1704" s="2">
        <v>0.4</v>
      </c>
      <c r="LH1704" s="2">
        <v>0.3</v>
      </c>
      <c r="LI1704" s="2">
        <v>1.3</v>
      </c>
      <c r="LJ1704" s="2">
        <v>-0.6</v>
      </c>
      <c r="LW1704" s="2">
        <v>0.5</v>
      </c>
      <c r="LX1704" s="2">
        <v>1.3</v>
      </c>
      <c r="LY1704" s="2">
        <v>-0.1</v>
      </c>
      <c r="LZ1704" s="2">
        <v>-0.7</v>
      </c>
      <c r="MM1704" s="2">
        <v>1.2</v>
      </c>
      <c r="MN1704" s="2">
        <v>0.5</v>
      </c>
      <c r="MO1704" s="2">
        <v>0.8</v>
      </c>
      <c r="MP1704" s="2">
        <v>-1.1</v>
      </c>
      <c r="NC1704" s="2">
        <v>1.9</v>
      </c>
      <c r="ND1704" s="2">
        <v>0.4</v>
      </c>
      <c r="NE1704" s="2">
        <v>2.5</v>
      </c>
      <c r="NF1704" s="2">
        <v>1.4</v>
      </c>
      <c r="NS1704" s="2">
        <v>1.1</v>
      </c>
      <c r="NT1704" s="2">
        <v>1.5</v>
      </c>
      <c r="NU1704" s="2">
        <v>0.6</v>
      </c>
      <c r="NV1704" s="2">
        <v>-0.3</v>
      </c>
      <c r="OI1704" s="2">
        <v>2.2</v>
      </c>
      <c r="OJ1704" s="2">
        <v>0.4</v>
      </c>
      <c r="OK1704" s="2">
        <v>0.1</v>
      </c>
      <c r="OL1704" s="2">
        <v>0.1</v>
      </c>
      <c r="OY1704" s="2">
        <v>0.6</v>
      </c>
      <c r="OZ1704" s="2">
        <v>1.5</v>
      </c>
      <c r="PA1704" s="2">
        <v>1.6</v>
      </c>
      <c r="PB1704" s="2">
        <v>0.1</v>
      </c>
      <c r="PJ1704" s="2">
        <v>0.6</v>
      </c>
      <c r="PK1704" s="2">
        <v>0.3</v>
      </c>
    </row>
    <row r="1705">
      <c r="A1705" t="inlineStr">
        <is>
          <t>A2330215C</t>
        </is>
      </c>
      <c r="B1705" t="inlineStr">
        <is>
          <t>Percentage Change from Previous Period ;  Books ;  Australia ;</t>
        </is>
      </c>
      <c r="C1705" t="inlineStr">
        <is>
          <t>Quarter</t>
        </is>
      </c>
      <c r="D1705" t="inlineStr">
        <is>
          <t>Percent</t>
        </is>
      </c>
      <c r="E1705" t="inlineStr">
        <is>
          <t>Original</t>
        </is>
      </c>
      <c r="F1705" t="inlineStr">
        <is>
          <t>6401018.xlsx</t>
        </is>
      </c>
      <c r="G1705" t="inlineStr">
        <is>
          <t>1998Q3</t>
        </is>
      </c>
      <c r="H1705" t="inlineStr">
        <is>
          <t>2026Q2</t>
        </is>
      </c>
      <c r="HA1705" s="2">
        <v>1.9</v>
      </c>
      <c r="HB1705" s="2">
        <v>0.4</v>
      </c>
      <c r="HC1705" s="2">
        <v>2.5</v>
      </c>
      <c r="HD1705" s="2">
        <v>-1.2</v>
      </c>
      <c r="HE1705" s="2">
        <v>-0.2</v>
      </c>
      <c r="HF1705" s="2">
        <v>0.4</v>
      </c>
      <c r="HG1705" s="2">
        <v>1.9</v>
      </c>
      <c r="HH1705" s="2">
        <v>0.5</v>
      </c>
      <c r="HI1705" s="2">
        <v>6.8</v>
      </c>
      <c r="HJ1705" s="2">
        <v>-1.4</v>
      </c>
      <c r="HK1705" s="2">
        <v>1.7</v>
      </c>
      <c r="HL1705" s="2">
        <v>2</v>
      </c>
      <c r="HM1705" s="2">
        <v>1</v>
      </c>
      <c r="HN1705" s="2">
        <v>0.1</v>
      </c>
      <c r="HO1705" s="2">
        <v>0.8</v>
      </c>
      <c r="HP1705" s="2">
        <v>0.4</v>
      </c>
      <c r="HQ1705" s="2">
        <v>0</v>
      </c>
      <c r="HR1705" s="2">
        <v>0.5</v>
      </c>
      <c r="HS1705" s="2">
        <v>1</v>
      </c>
      <c r="HT1705" s="2">
        <v>0.1</v>
      </c>
      <c r="HU1705" s="2">
        <v>0.5</v>
      </c>
      <c r="HV1705" s="2">
        <v>-0.1</v>
      </c>
      <c r="HW1705" s="2">
        <v>0.7</v>
      </c>
      <c r="HX1705" s="2">
        <v>0.1</v>
      </c>
      <c r="HY1705" s="2">
        <v>0.5</v>
      </c>
      <c r="HZ1705" s="2">
        <v>0.1</v>
      </c>
      <c r="IA1705" s="2">
        <v>0.7</v>
      </c>
      <c r="IB1705" s="2">
        <v>0.2</v>
      </c>
      <c r="IC1705" s="2">
        <v>0.3</v>
      </c>
      <c r="ID1705" s="2">
        <v>0.3</v>
      </c>
      <c r="IE1705" s="2">
        <v>0.2</v>
      </c>
      <c r="IF1705" s="2">
        <v>-0.6</v>
      </c>
      <c r="IG1705" s="2">
        <v>0.9</v>
      </c>
      <c r="IH1705" s="2">
        <v>0.5</v>
      </c>
      <c r="II1705" s="2">
        <v>0.4</v>
      </c>
      <c r="IJ1705" s="2">
        <v>-0.1</v>
      </c>
      <c r="IK1705" s="2">
        <v>0.4</v>
      </c>
      <c r="IL1705" s="2">
        <v>0</v>
      </c>
      <c r="IM1705" s="2">
        <v>1.6</v>
      </c>
      <c r="IN1705" s="2">
        <v>-0.4</v>
      </c>
      <c r="IO1705" s="2">
        <v>0.1</v>
      </c>
      <c r="IP1705" s="2">
        <v>1.2</v>
      </c>
      <c r="IQ1705" s="2">
        <v>0.2</v>
      </c>
      <c r="IR1705" s="2">
        <v>-0.3</v>
      </c>
      <c r="IS1705" s="2">
        <v>0.6</v>
      </c>
      <c r="IT1705" s="2">
        <v>1.2</v>
      </c>
      <c r="IU1705" s="2">
        <v>0</v>
      </c>
      <c r="IV1705" s="2">
        <v>-0.5</v>
      </c>
      <c r="IW1705" s="2">
        <v>0.6</v>
      </c>
      <c r="IX1705" s="2">
        <v>0</v>
      </c>
      <c r="IY1705" s="2">
        <v>0.4</v>
      </c>
      <c r="IZ1705" s="2">
        <v>-0.3</v>
      </c>
      <c r="JA1705" s="2">
        <v>-0.5</v>
      </c>
      <c r="JB1705" s="2">
        <v>-0.1</v>
      </c>
      <c r="JC1705" s="2">
        <v>0</v>
      </c>
      <c r="JD1705" s="2">
        <v>0.4</v>
      </c>
      <c r="JE1705" s="2">
        <v>-2.1</v>
      </c>
      <c r="JF1705" s="2">
        <v>0.3</v>
      </c>
      <c r="JG1705" s="2">
        <v>0</v>
      </c>
      <c r="JH1705" s="2">
        <v>-0.5</v>
      </c>
      <c r="JI1705" s="2">
        <v>-1.6</v>
      </c>
      <c r="JJ1705" s="2">
        <v>1</v>
      </c>
      <c r="JK1705" s="2">
        <v>0.9</v>
      </c>
      <c r="JL1705" s="2">
        <v>-1.6</v>
      </c>
      <c r="JM1705" s="2">
        <v>1.8</v>
      </c>
      <c r="JN1705" s="2">
        <v>1</v>
      </c>
      <c r="JO1705" s="2">
        <v>0.5</v>
      </c>
      <c r="JP1705" s="2">
        <v>-0.5</v>
      </c>
      <c r="JQ1705" s="2">
        <v>-0.8</v>
      </c>
      <c r="JR1705" s="2">
        <v>-2.6</v>
      </c>
      <c r="JS1705" s="2">
        <v>2.4</v>
      </c>
      <c r="JT1705" s="2">
        <v>-0.3</v>
      </c>
      <c r="JU1705" s="2">
        <v>2.4</v>
      </c>
      <c r="JV1705" s="2">
        <v>-2.3</v>
      </c>
      <c r="KA1705" s="2">
        <v>2.5</v>
      </c>
      <c r="KB1705" s="2">
        <v>0.6</v>
      </c>
      <c r="KC1705" s="2">
        <v>1.7</v>
      </c>
      <c r="KD1705" s="2">
        <v>-3.4</v>
      </c>
      <c r="KQ1705" s="2">
        <v>3.7</v>
      </c>
      <c r="KR1705" s="2">
        <v>-1.1</v>
      </c>
      <c r="KS1705" s="2">
        <v>-1.3</v>
      </c>
      <c r="KT1705" s="2">
        <v>-2</v>
      </c>
      <c r="LG1705" s="2">
        <v>3.8</v>
      </c>
      <c r="LH1705" s="2">
        <v>-2.4</v>
      </c>
      <c r="LI1705" s="2">
        <v>1.5</v>
      </c>
      <c r="LJ1705" s="2">
        <v>-1</v>
      </c>
      <c r="LW1705" s="2">
        <v>0</v>
      </c>
      <c r="LX1705" s="2">
        <v>2.5</v>
      </c>
      <c r="LY1705" s="2">
        <v>-0.9</v>
      </c>
      <c r="LZ1705" s="2">
        <v>-3.1</v>
      </c>
      <c r="MM1705" s="2">
        <v>3.1</v>
      </c>
      <c r="MN1705" s="2">
        <v>-0.8</v>
      </c>
      <c r="MO1705" s="2">
        <v>0</v>
      </c>
      <c r="MP1705" s="2">
        <v>-2.8</v>
      </c>
      <c r="NC1705" s="2">
        <v>3.9</v>
      </c>
      <c r="ND1705" s="2">
        <v>-1.4</v>
      </c>
      <c r="NE1705" s="2">
        <v>0.7</v>
      </c>
      <c r="NF1705" s="2">
        <v>-3.8</v>
      </c>
      <c r="NS1705" s="2">
        <v>3.8</v>
      </c>
      <c r="NT1705" s="2">
        <v>0.1</v>
      </c>
      <c r="NU1705" s="2">
        <v>-0.6</v>
      </c>
      <c r="NV1705" s="2">
        <v>-1.8</v>
      </c>
      <c r="OI1705" s="2">
        <v>2.1</v>
      </c>
      <c r="OJ1705" s="2">
        <v>0.9</v>
      </c>
      <c r="OK1705" s="2">
        <v>-2.3</v>
      </c>
      <c r="OL1705" s="2">
        <v>0.5</v>
      </c>
      <c r="OY1705" s="2">
        <v>0.1</v>
      </c>
      <c r="OZ1705" s="2">
        <v>0</v>
      </c>
      <c r="PA1705" s="2">
        <v>-0.3</v>
      </c>
      <c r="PB1705" s="2">
        <v>0</v>
      </c>
      <c r="PJ1705" s="2">
        <v>1.6</v>
      </c>
      <c r="PK1705" s="2">
        <v>-2.4</v>
      </c>
    </row>
    <row r="1706">
      <c r="A1706" t="inlineStr">
        <is>
          <t>A3604397F</t>
        </is>
      </c>
      <c r="B1706" t="inlineStr">
        <is>
          <t>Percentage Change from Previous Period ;  Newspapers, magazines and stationery ;  Australia ;</t>
        </is>
      </c>
      <c r="C1706" t="inlineStr">
        <is>
          <t>Quarter</t>
        </is>
      </c>
      <c r="D1706" t="inlineStr">
        <is>
          <t>Percent</t>
        </is>
      </c>
      <c r="E1706" t="inlineStr">
        <is>
          <t>Original</t>
        </is>
      </c>
      <c r="F1706" t="inlineStr">
        <is>
          <t>6401018.xlsx</t>
        </is>
      </c>
      <c r="G1706" t="inlineStr">
        <is>
          <t>1998Q3</t>
        </is>
      </c>
      <c r="H1706" t="inlineStr">
        <is>
          <t>2026Q2</t>
        </is>
      </c>
      <c r="HA1706" s="2">
        <v>2</v>
      </c>
      <c r="HB1706" s="2">
        <v>0.7</v>
      </c>
      <c r="HC1706" s="2">
        <v>0.5</v>
      </c>
      <c r="HD1706" s="2">
        <v>1.3</v>
      </c>
      <c r="HE1706" s="2">
        <v>1.5</v>
      </c>
      <c r="HF1706" s="2">
        <v>0.5</v>
      </c>
      <c r="HG1706" s="2">
        <v>0.6</v>
      </c>
      <c r="HH1706" s="2">
        <v>0.2</v>
      </c>
      <c r="HI1706" s="2">
        <v>4.4</v>
      </c>
      <c r="HJ1706" s="2">
        <v>0</v>
      </c>
      <c r="HK1706" s="2">
        <v>1.7</v>
      </c>
      <c r="HL1706" s="2">
        <v>-0.3</v>
      </c>
      <c r="HM1706" s="2">
        <v>0.3</v>
      </c>
      <c r="HN1706" s="2">
        <v>1.7</v>
      </c>
      <c r="HO1706" s="2">
        <v>0.8</v>
      </c>
      <c r="HP1706" s="2">
        <v>0.9</v>
      </c>
      <c r="HQ1706" s="2">
        <v>0</v>
      </c>
      <c r="HR1706" s="2">
        <v>1.1</v>
      </c>
      <c r="HS1706" s="2">
        <v>1.2</v>
      </c>
      <c r="HT1706" s="2">
        <v>0.5</v>
      </c>
      <c r="HU1706" s="2">
        <v>0.5</v>
      </c>
      <c r="HV1706" s="2">
        <v>0.2</v>
      </c>
      <c r="HW1706" s="2">
        <v>0.2</v>
      </c>
      <c r="HX1706" s="2">
        <v>-0.2</v>
      </c>
      <c r="HY1706" s="2">
        <v>-1</v>
      </c>
      <c r="HZ1706" s="2">
        <v>1.7</v>
      </c>
      <c r="IA1706" s="2">
        <v>0.3</v>
      </c>
      <c r="IB1706" s="2">
        <v>0.2</v>
      </c>
      <c r="IC1706" s="2">
        <v>0.8</v>
      </c>
      <c r="ID1706" s="2">
        <v>0.1</v>
      </c>
      <c r="IE1706" s="2">
        <v>0.2</v>
      </c>
      <c r="IF1706" s="2">
        <v>0.8</v>
      </c>
      <c r="IG1706" s="2">
        <v>0.2</v>
      </c>
      <c r="IH1706" s="2">
        <v>1</v>
      </c>
      <c r="II1706" s="2">
        <v>0.2</v>
      </c>
      <c r="IJ1706" s="2">
        <v>0.9</v>
      </c>
      <c r="IK1706" s="2">
        <v>0.7</v>
      </c>
      <c r="IL1706" s="2">
        <v>0.2</v>
      </c>
      <c r="IM1706" s="2">
        <v>-0.2</v>
      </c>
      <c r="IN1706" s="2">
        <v>0.8</v>
      </c>
      <c r="IO1706" s="2">
        <v>0.5</v>
      </c>
      <c r="IP1706" s="2">
        <v>0.7</v>
      </c>
      <c r="IQ1706" s="2">
        <v>1</v>
      </c>
      <c r="IR1706" s="2">
        <v>1.6</v>
      </c>
      <c r="IS1706" s="2">
        <v>1.1</v>
      </c>
      <c r="IT1706" s="2">
        <v>-0.2</v>
      </c>
      <c r="IU1706" s="2">
        <v>-0.9</v>
      </c>
      <c r="IV1706" s="2">
        <v>-0.2</v>
      </c>
      <c r="IW1706" s="2">
        <v>1.1</v>
      </c>
      <c r="IX1706" s="2">
        <v>0.1</v>
      </c>
      <c r="IY1706" s="2">
        <v>0.1</v>
      </c>
      <c r="IZ1706" s="2">
        <v>-0.2</v>
      </c>
      <c r="JA1706" s="2">
        <v>0.2</v>
      </c>
      <c r="JB1706" s="2">
        <v>0.3</v>
      </c>
      <c r="JC1706" s="2">
        <v>-0.5</v>
      </c>
      <c r="JD1706" s="2">
        <v>0.8</v>
      </c>
      <c r="JE1706" s="2">
        <v>1.9</v>
      </c>
      <c r="JF1706" s="2">
        <v>0.7</v>
      </c>
      <c r="JG1706" s="2">
        <v>1.1</v>
      </c>
      <c r="JH1706" s="2">
        <v>1.1</v>
      </c>
      <c r="JI1706" s="2">
        <v>1.2</v>
      </c>
      <c r="JJ1706" s="2">
        <v>1.2</v>
      </c>
      <c r="JK1706" s="2">
        <v>0</v>
      </c>
      <c r="JL1706" s="2">
        <v>1.4</v>
      </c>
      <c r="JM1706" s="2">
        <v>1.3</v>
      </c>
      <c r="JN1706" s="2">
        <v>1</v>
      </c>
      <c r="JO1706" s="2">
        <v>1</v>
      </c>
      <c r="JP1706" s="2">
        <v>0.3</v>
      </c>
      <c r="JQ1706" s="2">
        <v>1</v>
      </c>
      <c r="JR1706" s="2">
        <v>0.4</v>
      </c>
      <c r="JS1706" s="2">
        <v>0.8</v>
      </c>
      <c r="JT1706" s="2">
        <v>0.2</v>
      </c>
      <c r="JU1706" s="2">
        <v>-0.1</v>
      </c>
      <c r="JV1706" s="2">
        <v>1</v>
      </c>
      <c r="KA1706" s="2">
        <v>0.6</v>
      </c>
      <c r="KB1706" s="2">
        <v>-0.7</v>
      </c>
      <c r="KC1706" s="2">
        <v>0.5</v>
      </c>
      <c r="KD1706" s="2">
        <v>1.1</v>
      </c>
      <c r="KQ1706" s="2">
        <v>-0.4</v>
      </c>
      <c r="KR1706" s="2">
        <v>0.3</v>
      </c>
      <c r="KS1706" s="2">
        <v>-0.7</v>
      </c>
      <c r="KT1706" s="2">
        <v>0.9</v>
      </c>
      <c r="LG1706" s="2">
        <v>-1.3</v>
      </c>
      <c r="LH1706" s="2">
        <v>1.8</v>
      </c>
      <c r="LI1706" s="2">
        <v>1.2</v>
      </c>
      <c r="LJ1706" s="2">
        <v>-0.4</v>
      </c>
      <c r="LW1706" s="2">
        <v>0.8</v>
      </c>
      <c r="LX1706" s="2">
        <v>0.7</v>
      </c>
      <c r="LY1706" s="2">
        <v>0.3</v>
      </c>
      <c r="LZ1706" s="2">
        <v>0.5</v>
      </c>
      <c r="MM1706" s="2">
        <v>0.3</v>
      </c>
      <c r="MN1706" s="2">
        <v>1.2</v>
      </c>
      <c r="MO1706" s="2">
        <v>1.2</v>
      </c>
      <c r="MP1706" s="2">
        <v>-0.3</v>
      </c>
      <c r="NC1706" s="2">
        <v>1.1</v>
      </c>
      <c r="ND1706" s="2">
        <v>1.3</v>
      </c>
      <c r="NE1706" s="2">
        <v>3.3</v>
      </c>
      <c r="NF1706" s="2">
        <v>3.7</v>
      </c>
      <c r="NS1706" s="2">
        <v>0</v>
      </c>
      <c r="NT1706" s="2">
        <v>2.1</v>
      </c>
      <c r="NU1706" s="2">
        <v>1.2</v>
      </c>
      <c r="NV1706" s="2">
        <v>0.2</v>
      </c>
      <c r="OI1706" s="2">
        <v>2.2</v>
      </c>
      <c r="OJ1706" s="2">
        <v>0.2</v>
      </c>
      <c r="OK1706" s="2">
        <v>1.1</v>
      </c>
      <c r="OL1706" s="2">
        <v>0</v>
      </c>
      <c r="OY1706" s="2">
        <v>0.7</v>
      </c>
      <c r="OZ1706" s="2">
        <v>2.2</v>
      </c>
      <c r="PA1706" s="2">
        <v>2.3</v>
      </c>
      <c r="PB1706" s="2">
        <v>0.1</v>
      </c>
      <c r="PJ1706" s="2">
        <v>0.2</v>
      </c>
      <c r="PK1706" s="2">
        <v>1.4</v>
      </c>
    </row>
    <row r="1707">
      <c r="A1707" t="inlineStr">
        <is>
          <t>A2326885L</t>
        </is>
      </c>
      <c r="B1707" t="inlineStr">
        <is>
          <t>Percentage Change from Previous Period ;  Holiday travel and accommodation ;  Australia ;</t>
        </is>
      </c>
      <c r="C1707" t="inlineStr">
        <is>
          <t>Quarter</t>
        </is>
      </c>
      <c r="D1707" t="inlineStr">
        <is>
          <t>Percent</t>
        </is>
      </c>
      <c r="E1707" t="inlineStr">
        <is>
          <t>Original</t>
        </is>
      </c>
      <c r="F1707" t="inlineStr">
        <is>
          <t>6401018.xlsx</t>
        </is>
      </c>
      <c r="G1707" t="inlineStr">
        <is>
          <t>1982Q2</t>
        </is>
      </c>
      <c r="H1707" t="inlineStr">
        <is>
          <t>2026Q2</t>
        </is>
      </c>
      <c r="EN1707" s="2">
        <v>-1.5</v>
      </c>
      <c r="EO1707" s="2">
        <v>1.9</v>
      </c>
      <c r="EP1707" s="2">
        <v>5.1</v>
      </c>
      <c r="EQ1707" s="2">
        <v>5.2</v>
      </c>
      <c r="ER1707" s="2">
        <v>4</v>
      </c>
      <c r="ES1707" s="2">
        <v>0.3</v>
      </c>
      <c r="ET1707" s="2">
        <v>-0.7</v>
      </c>
      <c r="EU1707" s="2">
        <v>1.6</v>
      </c>
      <c r="EV1707" s="2">
        <v>-0.8</v>
      </c>
      <c r="EW1707" s="2">
        <v>1.7</v>
      </c>
      <c r="EX1707" s="2">
        <v>0.9</v>
      </c>
      <c r="EY1707" s="2">
        <v>2.5</v>
      </c>
      <c r="EZ1707" s="2">
        <v>4.6</v>
      </c>
      <c r="FA1707" s="2">
        <v>3.6</v>
      </c>
      <c r="FB1707" s="2">
        <v>1.9</v>
      </c>
      <c r="FC1707" s="2">
        <v>0.3</v>
      </c>
      <c r="FD1707" s="2">
        <v>1.6</v>
      </c>
      <c r="FE1707" s="2">
        <v>5.2</v>
      </c>
      <c r="FF1707" s="2">
        <v>-0.8</v>
      </c>
      <c r="FG1707" s="2">
        <v>2.3</v>
      </c>
      <c r="FH1707" s="2">
        <v>-0.9</v>
      </c>
      <c r="FI1707" s="2">
        <v>4.1</v>
      </c>
      <c r="FJ1707" s="2">
        <v>1</v>
      </c>
      <c r="FK1707" s="2">
        <v>5.7</v>
      </c>
      <c r="FL1707" s="2">
        <v>0.8</v>
      </c>
      <c r="FM1707" s="2">
        <v>-0.1</v>
      </c>
      <c r="FN1707" s="2">
        <v>6.5</v>
      </c>
      <c r="FO1707" s="2">
        <v>-3.5</v>
      </c>
      <c r="FP1707" s="2">
        <v>2.5</v>
      </c>
      <c r="FQ1707" s="2">
        <v>1.5</v>
      </c>
      <c r="FR1707" s="2">
        <v>6.6</v>
      </c>
      <c r="FS1707" s="2">
        <v>-0.1</v>
      </c>
      <c r="FT1707" s="2">
        <v>0.6</v>
      </c>
      <c r="FU1707" s="2">
        <v>-0.5</v>
      </c>
      <c r="FV1707" s="2">
        <v>8.5</v>
      </c>
      <c r="FW1707" s="2">
        <v>-5.2</v>
      </c>
      <c r="FX1707" s="2">
        <v>-5.6</v>
      </c>
      <c r="FY1707" s="2">
        <v>1.2</v>
      </c>
      <c r="FZ1707" s="2">
        <v>4.1</v>
      </c>
      <c r="GA1707" s="2">
        <v>-6.2</v>
      </c>
      <c r="GB1707" s="2">
        <v>-1.7</v>
      </c>
      <c r="GC1707" s="2">
        <v>0.3</v>
      </c>
      <c r="GD1707" s="2">
        <v>2.7</v>
      </c>
      <c r="GE1707" s="2">
        <v>-4.2</v>
      </c>
      <c r="GF1707" s="2">
        <v>1.5</v>
      </c>
      <c r="GG1707" s="2">
        <v>0.2</v>
      </c>
      <c r="GH1707" s="2">
        <v>6</v>
      </c>
      <c r="GI1707" s="2">
        <v>-3.5</v>
      </c>
      <c r="GJ1707" s="2">
        <v>0</v>
      </c>
      <c r="GK1707" s="2">
        <v>-0.2</v>
      </c>
      <c r="GL1707" s="2">
        <v>4.6</v>
      </c>
      <c r="GM1707" s="2">
        <v>-0.2</v>
      </c>
      <c r="GN1707" s="2">
        <v>0</v>
      </c>
      <c r="GO1707" s="2">
        <v>-0.1</v>
      </c>
      <c r="GP1707" s="2">
        <v>3.5</v>
      </c>
      <c r="GQ1707" s="2">
        <v>0.5</v>
      </c>
      <c r="GR1707" s="2">
        <v>-3.5</v>
      </c>
      <c r="GS1707" s="2">
        <v>-0.7</v>
      </c>
      <c r="GT1707" s="2">
        <v>1.8</v>
      </c>
      <c r="GU1707" s="2">
        <v>0.8</v>
      </c>
      <c r="GV1707" s="2">
        <v>-1.9</v>
      </c>
      <c r="GW1707" s="2">
        <v>1.9</v>
      </c>
      <c r="GX1707" s="2">
        <v>0.9</v>
      </c>
      <c r="GY1707" s="2">
        <v>2</v>
      </c>
      <c r="GZ1707" s="2">
        <v>-0.7</v>
      </c>
      <c r="HA1707" s="2">
        <v>-1.7</v>
      </c>
      <c r="HB1707" s="2">
        <v>2.9</v>
      </c>
      <c r="HC1707" s="2">
        <v>1.3</v>
      </c>
      <c r="HD1707" s="2">
        <v>-0.6</v>
      </c>
      <c r="HE1707" s="2">
        <v>2.2</v>
      </c>
      <c r="HF1707" s="2">
        <v>3.3</v>
      </c>
      <c r="HG1707" s="2">
        <v>-3.8</v>
      </c>
      <c r="HH1707" s="2">
        <v>-0.8</v>
      </c>
      <c r="HI1707" s="2">
        <v>7</v>
      </c>
      <c r="HJ1707" s="2">
        <v>-0.2</v>
      </c>
      <c r="HK1707" s="2">
        <v>-2.7</v>
      </c>
      <c r="HL1707" s="2">
        <v>0</v>
      </c>
      <c r="HM1707" s="2">
        <v>1.4</v>
      </c>
      <c r="HN1707" s="2">
        <v>4.8</v>
      </c>
      <c r="HO1707" s="2">
        <v>4.7</v>
      </c>
      <c r="HP1707" s="2">
        <v>1.1</v>
      </c>
      <c r="HQ1707" s="2">
        <v>1.7</v>
      </c>
      <c r="HR1707" s="2">
        <v>1.4</v>
      </c>
      <c r="HS1707" s="2">
        <v>0.2</v>
      </c>
      <c r="HT1707" s="2">
        <v>-1.3</v>
      </c>
      <c r="HU1707" s="2">
        <v>-1.8</v>
      </c>
      <c r="HV1707" s="2">
        <v>3.5</v>
      </c>
      <c r="HW1707" s="2">
        <v>-3.1</v>
      </c>
      <c r="HX1707" s="2">
        <v>-0.5</v>
      </c>
      <c r="HY1707" s="2">
        <v>1.1</v>
      </c>
      <c r="HZ1707" s="2">
        <v>2</v>
      </c>
      <c r="IA1707" s="2">
        <v>1.7</v>
      </c>
      <c r="IB1707" s="2">
        <v>-3.1</v>
      </c>
      <c r="IC1707" s="2">
        <v>2.8</v>
      </c>
      <c r="ID1707" s="2">
        <v>0.8</v>
      </c>
      <c r="IE1707" s="2">
        <v>1.7</v>
      </c>
      <c r="IF1707" s="2">
        <v>-0.3</v>
      </c>
      <c r="IG1707" s="2">
        <v>1.3</v>
      </c>
      <c r="IH1707" s="2">
        <v>4.1</v>
      </c>
      <c r="II1707" s="2">
        <v>-1.7</v>
      </c>
      <c r="IJ1707" s="2">
        <v>-1</v>
      </c>
      <c r="IK1707" s="2">
        <v>2.8</v>
      </c>
      <c r="IL1707" s="2">
        <v>2.6</v>
      </c>
      <c r="IM1707" s="2">
        <v>-0.5</v>
      </c>
      <c r="IN1707" s="2">
        <v>-0.7</v>
      </c>
      <c r="IO1707" s="2">
        <v>3.5</v>
      </c>
      <c r="IP1707" s="2">
        <v>1.6</v>
      </c>
      <c r="IQ1707" s="2">
        <v>-4.6</v>
      </c>
      <c r="IR1707" s="2">
        <v>-1</v>
      </c>
      <c r="IS1707" s="2">
        <v>0.3</v>
      </c>
      <c r="IT1707" s="2">
        <v>4.7</v>
      </c>
      <c r="IU1707" s="2">
        <v>-1.5</v>
      </c>
      <c r="IV1707" s="2">
        <v>-4.2</v>
      </c>
      <c r="IW1707" s="2">
        <v>1.8</v>
      </c>
      <c r="IX1707" s="2">
        <v>1.8</v>
      </c>
      <c r="IY1707" s="2">
        <v>-1.1</v>
      </c>
      <c r="IZ1707" s="2">
        <v>-1.4</v>
      </c>
      <c r="JA1707" s="2">
        <v>3.3</v>
      </c>
      <c r="JB1707" s="2">
        <v>2.8</v>
      </c>
      <c r="JC1707" s="2">
        <v>-3.3</v>
      </c>
      <c r="JD1707" s="2">
        <v>-2.3</v>
      </c>
      <c r="JE1707" s="2">
        <v>2.4</v>
      </c>
      <c r="JF1707" s="2">
        <v>2.6</v>
      </c>
      <c r="JG1707" s="2">
        <v>-1.8</v>
      </c>
      <c r="JH1707" s="2">
        <v>-2</v>
      </c>
      <c r="JI1707" s="2">
        <v>4.7</v>
      </c>
      <c r="JJ1707" s="2">
        <v>4.9</v>
      </c>
      <c r="JK1707" s="2">
        <v>-2.4</v>
      </c>
      <c r="JL1707" s="2">
        <v>-0.4</v>
      </c>
      <c r="JM1707" s="2">
        <v>0.6</v>
      </c>
      <c r="JN1707" s="2">
        <v>3.9</v>
      </c>
      <c r="JO1707" s="2">
        <v>0.4</v>
      </c>
      <c r="JP1707" s="2">
        <v>-3.5</v>
      </c>
      <c r="JQ1707" s="2">
        <v>1.7</v>
      </c>
      <c r="JR1707" s="2">
        <v>4.2</v>
      </c>
      <c r="JS1707" s="2">
        <v>-1.9</v>
      </c>
      <c r="JT1707" s="2">
        <v>-1.8</v>
      </c>
      <c r="JU1707" s="2">
        <v>1.1</v>
      </c>
      <c r="JV1707" s="2">
        <v>1.6</v>
      </c>
      <c r="KA1707" s="2">
        <v>-1.9</v>
      </c>
      <c r="KB1707" s="2">
        <v>-1.3</v>
      </c>
      <c r="KC1707" s="2">
        <v>2</v>
      </c>
      <c r="KD1707" s="2">
        <v>1.9</v>
      </c>
      <c r="KQ1707" s="2">
        <v>-0.5</v>
      </c>
      <c r="KR1707" s="2">
        <v>-0.6</v>
      </c>
      <c r="KS1707" s="2">
        <v>3.4</v>
      </c>
      <c r="KT1707" s="2">
        <v>2.6</v>
      </c>
      <c r="LG1707" s="2">
        <v>-3</v>
      </c>
      <c r="LH1707" s="2">
        <v>0.6</v>
      </c>
      <c r="LI1707" s="2">
        <v>3.1</v>
      </c>
      <c r="LJ1707" s="2">
        <v>1.9</v>
      </c>
      <c r="LW1707" s="2">
        <v>-3.1</v>
      </c>
      <c r="LX1707" s="2">
        <v>-1.9</v>
      </c>
      <c r="LY1707" s="2">
        <v>1.5</v>
      </c>
      <c r="LZ1707" s="2">
        <v>6.1</v>
      </c>
      <c r="MM1707" s="2">
        <v>-1.7</v>
      </c>
      <c r="MN1707" s="2">
        <v>-1</v>
      </c>
      <c r="MO1707" s="2">
        <v>0.5</v>
      </c>
      <c r="MP1707" s="2">
        <v>5.3</v>
      </c>
      <c r="NC1707" s="2">
        <v>-0.7</v>
      </c>
      <c r="ND1707" s="2">
        <v>2.3</v>
      </c>
      <c r="NE1707" s="2">
        <v>4.1</v>
      </c>
      <c r="NF1707" s="2">
        <v>10.8</v>
      </c>
      <c r="NS1707" s="2">
        <v>-0.7</v>
      </c>
      <c r="NT1707" s="2">
        <v>-2.1</v>
      </c>
      <c r="NU1707" s="2">
        <v>-0.9</v>
      </c>
      <c r="NV1707" s="2">
        <v>1</v>
      </c>
      <c r="OI1707" s="2">
        <v>-2</v>
      </c>
      <c r="OJ1707" s="2">
        <v>0.9</v>
      </c>
      <c r="OK1707" s="2">
        <v>1.4</v>
      </c>
      <c r="OL1707" s="2">
        <v>3.1</v>
      </c>
      <c r="OY1707" s="2">
        <v>-3.6</v>
      </c>
      <c r="OZ1707" s="2">
        <v>0.3</v>
      </c>
      <c r="PA1707" s="2">
        <v>2.9</v>
      </c>
      <c r="PB1707" s="2">
        <v>4.6</v>
      </c>
      <c r="PJ1707" s="2">
        <v>-3.8</v>
      </c>
      <c r="PK1707" s="2">
        <v>-1</v>
      </c>
    </row>
    <row r="1708">
      <c r="A1708" t="inlineStr">
        <is>
          <t>A2329360A</t>
        </is>
      </c>
      <c r="B1708" t="inlineStr">
        <is>
          <t>Percentage Change from Previous Period ;  Domestic holiday travel and accommodation ;  Australia ;</t>
        </is>
      </c>
      <c r="C1708" t="inlineStr">
        <is>
          <t>Quarter</t>
        </is>
      </c>
      <c r="D1708" t="inlineStr">
        <is>
          <t>Percent</t>
        </is>
      </c>
      <c r="E1708" t="inlineStr">
        <is>
          <t>Original</t>
        </is>
      </c>
      <c r="F1708" t="inlineStr">
        <is>
          <t>6401018.xlsx</t>
        </is>
      </c>
      <c r="G1708" t="inlineStr">
        <is>
          <t>1982Q2</t>
        </is>
      </c>
      <c r="H1708" t="inlineStr">
        <is>
          <t>2026Q2</t>
        </is>
      </c>
      <c r="EN1708" s="2">
        <v>1.7</v>
      </c>
      <c r="EO1708" s="2">
        <v>5.5</v>
      </c>
      <c r="EP1708" s="2">
        <v>8.4</v>
      </c>
      <c r="EQ1708" s="2">
        <v>-1.5</v>
      </c>
      <c r="ER1708" s="2">
        <v>0.1</v>
      </c>
      <c r="ES1708" s="2">
        <v>1.7</v>
      </c>
      <c r="ET1708" s="2">
        <v>5.6</v>
      </c>
      <c r="EU1708" s="2">
        <v>-1.1</v>
      </c>
      <c r="EV1708" s="2">
        <v>0</v>
      </c>
      <c r="EW1708" s="2">
        <v>1.2</v>
      </c>
      <c r="EX1708" s="2">
        <v>5.1</v>
      </c>
      <c r="EY1708" s="2">
        <v>-0.7</v>
      </c>
      <c r="EZ1708" s="2">
        <v>0</v>
      </c>
      <c r="FA1708" s="2">
        <v>3.3</v>
      </c>
      <c r="FB1708" s="2">
        <v>5.5</v>
      </c>
      <c r="FC1708" s="2">
        <v>-2.5</v>
      </c>
      <c r="FD1708" s="2">
        <v>0.7</v>
      </c>
      <c r="FE1708" s="2">
        <v>5.1</v>
      </c>
      <c r="FF1708" s="2">
        <v>4.1</v>
      </c>
      <c r="FG1708" s="2">
        <v>1.3</v>
      </c>
      <c r="FH1708" s="2">
        <v>-2.6</v>
      </c>
      <c r="FI1708" s="2">
        <v>4.4</v>
      </c>
      <c r="FJ1708" s="2">
        <v>5.1</v>
      </c>
      <c r="FK1708" s="2">
        <v>0.9</v>
      </c>
      <c r="FL1708" s="2">
        <v>0.4</v>
      </c>
      <c r="FM1708" s="2">
        <v>3.6</v>
      </c>
      <c r="FN1708" s="2">
        <v>5.8</v>
      </c>
      <c r="FO1708" s="2">
        <v>-1.8</v>
      </c>
      <c r="FP1708" s="2">
        <v>0.3</v>
      </c>
      <c r="FQ1708" s="2">
        <v>2.6</v>
      </c>
      <c r="FR1708" s="2">
        <v>6.5</v>
      </c>
      <c r="FS1708" s="2">
        <v>-0.1</v>
      </c>
      <c r="FT1708" s="2">
        <v>0</v>
      </c>
      <c r="FU1708" s="2">
        <v>-0.8</v>
      </c>
      <c r="FV1708" s="2">
        <v>7.4</v>
      </c>
      <c r="FW1708" s="2">
        <v>-5</v>
      </c>
      <c r="FX1708" s="2">
        <v>-9.300000000000001</v>
      </c>
      <c r="FY1708" s="2">
        <v>2.2</v>
      </c>
      <c r="FZ1708" s="2">
        <v>2.2</v>
      </c>
      <c r="GA1708" s="2">
        <v>-2</v>
      </c>
      <c r="GB1708" s="2">
        <v>0.2</v>
      </c>
      <c r="GC1708" s="2">
        <v>2.5</v>
      </c>
      <c r="GD1708" s="2">
        <v>-0.3</v>
      </c>
      <c r="GE1708" s="2">
        <v>-1.5</v>
      </c>
      <c r="GF1708" s="2">
        <v>0.6</v>
      </c>
      <c r="GG1708" s="2">
        <v>1.4</v>
      </c>
      <c r="GH1708" s="2">
        <v>3.7</v>
      </c>
      <c r="GI1708" s="2">
        <v>-0.6</v>
      </c>
      <c r="GJ1708" s="2">
        <v>-3.7</v>
      </c>
      <c r="GK1708" s="2">
        <v>1.1</v>
      </c>
      <c r="GL1708" s="2">
        <v>7</v>
      </c>
      <c r="GM1708" s="2">
        <v>1.8</v>
      </c>
      <c r="GN1708" s="2">
        <v>-5</v>
      </c>
      <c r="GO1708" s="2">
        <v>0.1</v>
      </c>
      <c r="GP1708" s="2">
        <v>6.2</v>
      </c>
      <c r="GQ1708" s="2">
        <v>0.7</v>
      </c>
      <c r="GR1708" s="2">
        <v>-6.4</v>
      </c>
      <c r="GS1708" s="2">
        <v>-0.6</v>
      </c>
      <c r="GT1708" s="2">
        <v>4.5</v>
      </c>
      <c r="GU1708" s="2">
        <v>5.2</v>
      </c>
      <c r="GV1708" s="2">
        <v>-6.2</v>
      </c>
      <c r="GW1708" s="2">
        <v>1.8</v>
      </c>
      <c r="GX1708" s="2">
        <v>2.3</v>
      </c>
      <c r="GY1708" s="2">
        <v>5.7</v>
      </c>
      <c r="GZ1708" s="2">
        <v>-4</v>
      </c>
      <c r="HA1708" s="2">
        <v>-2</v>
      </c>
      <c r="HB1708" s="2">
        <v>6.1</v>
      </c>
      <c r="HC1708" s="2">
        <v>2.8</v>
      </c>
      <c r="HD1708" s="2">
        <v>-6.1</v>
      </c>
      <c r="HE1708" s="2">
        <v>2.3</v>
      </c>
      <c r="HF1708" s="2">
        <v>5.7</v>
      </c>
      <c r="HG1708" s="2">
        <v>1.1</v>
      </c>
      <c r="HH1708" s="2">
        <v>-4.3</v>
      </c>
      <c r="HI1708" s="2">
        <v>10</v>
      </c>
      <c r="HJ1708" s="2">
        <v>-0.1</v>
      </c>
      <c r="HK1708" s="2">
        <v>-5.2</v>
      </c>
      <c r="HL1708" s="2">
        <v>-2.2</v>
      </c>
      <c r="HM1708" s="2">
        <v>0.1</v>
      </c>
      <c r="HN1708" s="2">
        <v>7.7</v>
      </c>
      <c r="HO1708" s="2">
        <v>2.4</v>
      </c>
      <c r="HP1708" s="2">
        <v>-1.5</v>
      </c>
      <c r="HQ1708" s="2">
        <v>0.7</v>
      </c>
      <c r="HR1708" s="2">
        <v>2.7</v>
      </c>
      <c r="HS1708" s="2">
        <v>1.6</v>
      </c>
      <c r="HT1708" s="2">
        <v>-3.8</v>
      </c>
      <c r="HU1708" s="2">
        <v>-0.9</v>
      </c>
      <c r="HV1708" s="2">
        <v>6.6</v>
      </c>
      <c r="HW1708" s="2">
        <v>-1.1</v>
      </c>
      <c r="HX1708" s="2">
        <v>-1.7</v>
      </c>
      <c r="HY1708" s="2">
        <v>0</v>
      </c>
      <c r="HZ1708" s="2">
        <v>4.2</v>
      </c>
      <c r="IA1708" s="2">
        <v>4.2</v>
      </c>
      <c r="IB1708" s="2">
        <v>-5.7</v>
      </c>
      <c r="IC1708" s="2">
        <v>3.4</v>
      </c>
      <c r="ID1708" s="2">
        <v>3.4</v>
      </c>
      <c r="IE1708" s="2">
        <v>1</v>
      </c>
      <c r="IF1708" s="2">
        <v>-0.9</v>
      </c>
      <c r="IG1708" s="2">
        <v>1.2</v>
      </c>
      <c r="IH1708" s="2">
        <v>6.2</v>
      </c>
      <c r="II1708" s="2">
        <v>-1.2</v>
      </c>
      <c r="IJ1708" s="2">
        <v>-3.5</v>
      </c>
      <c r="IK1708" s="2">
        <v>1.8</v>
      </c>
      <c r="IL1708" s="2">
        <v>3.7</v>
      </c>
      <c r="IM1708" s="2">
        <v>-1.4</v>
      </c>
      <c r="IN1708" s="2">
        <v>-2</v>
      </c>
      <c r="IO1708" s="2">
        <v>2.3</v>
      </c>
      <c r="IP1708" s="2">
        <v>1.6</v>
      </c>
      <c r="IQ1708" s="2">
        <v>-5.1</v>
      </c>
      <c r="IR1708" s="2">
        <v>1</v>
      </c>
      <c r="IS1708" s="2">
        <v>0</v>
      </c>
      <c r="IT1708" s="2">
        <v>6.7</v>
      </c>
      <c r="IU1708" s="2">
        <v>-2.4</v>
      </c>
      <c r="IV1708" s="2">
        <v>-6</v>
      </c>
      <c r="IW1708" s="2">
        <v>1.9</v>
      </c>
      <c r="IX1708" s="2">
        <v>3.8</v>
      </c>
      <c r="IY1708" s="2">
        <v>-0.7</v>
      </c>
      <c r="IZ1708" s="2">
        <v>-1.5</v>
      </c>
      <c r="JA1708" s="2">
        <v>1.7</v>
      </c>
      <c r="JB1708" s="2">
        <v>7.3</v>
      </c>
      <c r="JC1708" s="2">
        <v>-2</v>
      </c>
      <c r="JD1708" s="2">
        <v>-4</v>
      </c>
      <c r="JE1708" s="2">
        <v>-1.3</v>
      </c>
      <c r="JF1708" s="2">
        <v>6.2</v>
      </c>
      <c r="JG1708" s="2">
        <v>1.2</v>
      </c>
      <c r="JH1708" s="2">
        <v>-4</v>
      </c>
      <c r="JI1708" s="2">
        <v>3.5</v>
      </c>
      <c r="JJ1708" s="2">
        <v>6.9</v>
      </c>
      <c r="JK1708" s="2">
        <v>-2.4</v>
      </c>
      <c r="JL1708" s="2">
        <v>-3.9</v>
      </c>
      <c r="JM1708" s="2">
        <v>0</v>
      </c>
      <c r="JN1708" s="2">
        <v>5.7</v>
      </c>
      <c r="JO1708" s="2">
        <v>3.5</v>
      </c>
      <c r="JP1708" s="2">
        <v>-5.4</v>
      </c>
      <c r="JQ1708" s="2">
        <v>-0.9</v>
      </c>
      <c r="JR1708" s="2">
        <v>6</v>
      </c>
      <c r="JS1708" s="2">
        <v>-1.9</v>
      </c>
      <c r="JT1708" s="2">
        <v>-3.7</v>
      </c>
      <c r="JU1708" s="2">
        <v>0.3</v>
      </c>
      <c r="JV1708" s="2">
        <v>5.6</v>
      </c>
      <c r="KA1708" s="2">
        <v>-0.3</v>
      </c>
      <c r="KB1708" s="2">
        <v>-3.2</v>
      </c>
      <c r="KC1708" s="2">
        <v>0.1</v>
      </c>
      <c r="KD1708" s="2">
        <v>6.2</v>
      </c>
      <c r="KQ1708" s="2">
        <v>1.5</v>
      </c>
      <c r="KR1708" s="2">
        <v>-2.7</v>
      </c>
      <c r="KS1708" s="2">
        <v>2.4</v>
      </c>
      <c r="KT1708" s="2">
        <v>6.2</v>
      </c>
      <c r="LG1708" s="2">
        <v>-3.9</v>
      </c>
      <c r="LH1708" s="2">
        <v>-1.5</v>
      </c>
      <c r="LI1708" s="2">
        <v>0</v>
      </c>
      <c r="LJ1708" s="2">
        <v>7.3</v>
      </c>
      <c r="LW1708" s="2">
        <v>-3.1</v>
      </c>
      <c r="LX1708" s="2">
        <v>-1.9</v>
      </c>
      <c r="LY1708" s="2">
        <v>1.5</v>
      </c>
      <c r="LZ1708" s="2">
        <v>6.3</v>
      </c>
      <c r="MM1708" s="2">
        <v>-1.8</v>
      </c>
      <c r="MN1708" s="2">
        <v>-1.3</v>
      </c>
      <c r="MO1708" s="2">
        <v>0.8</v>
      </c>
      <c r="MP1708" s="2">
        <v>4.8</v>
      </c>
      <c r="NC1708" s="2">
        <v>0.3</v>
      </c>
      <c r="ND1708" s="2">
        <v>1.7</v>
      </c>
      <c r="NE1708" s="2">
        <v>3.6</v>
      </c>
      <c r="NF1708" s="2">
        <v>13.3</v>
      </c>
      <c r="NS1708" s="2">
        <v>4.7</v>
      </c>
      <c r="NT1708" s="2">
        <v>-7.2</v>
      </c>
      <c r="NU1708" s="2">
        <v>-2.4</v>
      </c>
      <c r="NV1708" s="2">
        <v>3.9</v>
      </c>
      <c r="OI1708" s="2">
        <v>1.3</v>
      </c>
      <c r="OJ1708" s="2">
        <v>-4.8</v>
      </c>
      <c r="OK1708" s="2">
        <v>1</v>
      </c>
      <c r="OL1708" s="2">
        <v>5.7</v>
      </c>
      <c r="OY1708" s="2">
        <v>0.3</v>
      </c>
      <c r="OZ1708" s="2">
        <v>-3.7</v>
      </c>
      <c r="PA1708" s="2">
        <v>3.2</v>
      </c>
      <c r="PB1708" s="2">
        <v>7.1</v>
      </c>
      <c r="PJ1708" s="2">
        <v>-0.6</v>
      </c>
      <c r="PK1708" s="2">
        <v>-4.9</v>
      </c>
    </row>
    <row r="1709">
      <c r="A1709" t="inlineStr">
        <is>
          <t>A2329405V</t>
        </is>
      </c>
      <c r="B1709" t="inlineStr">
        <is>
          <t>Percentage Change from Previous Period ;  International holiday travel and accommodation ;  Australia ;</t>
        </is>
      </c>
      <c r="C1709" t="inlineStr">
        <is>
          <t>Quarter</t>
        </is>
      </c>
      <c r="D1709" t="inlineStr">
        <is>
          <t>Percent</t>
        </is>
      </c>
      <c r="E1709" t="inlineStr">
        <is>
          <t>Original</t>
        </is>
      </c>
      <c r="F1709" t="inlineStr">
        <is>
          <t>6401018.xlsx</t>
        </is>
      </c>
      <c r="G1709" t="inlineStr">
        <is>
          <t>1982Q2</t>
        </is>
      </c>
      <c r="H1709" t="inlineStr">
        <is>
          <t>2026Q2</t>
        </is>
      </c>
      <c r="EN1709" s="2">
        <v>-4.1</v>
      </c>
      <c r="EO1709" s="2">
        <v>-0.7</v>
      </c>
      <c r="EP1709" s="2">
        <v>2.2</v>
      </c>
      <c r="EQ1709" s="2">
        <v>11</v>
      </c>
      <c r="ER1709" s="2">
        <v>7</v>
      </c>
      <c r="ES1709" s="2">
        <v>-0.6</v>
      </c>
      <c r="ET1709" s="2">
        <v>-5.4</v>
      </c>
      <c r="EU1709" s="2">
        <v>3.9</v>
      </c>
      <c r="EV1709" s="2">
        <v>-1.3</v>
      </c>
      <c r="EW1709" s="2">
        <v>1.9</v>
      </c>
      <c r="EX1709" s="2">
        <v>-2.5</v>
      </c>
      <c r="EY1709" s="2">
        <v>5.2</v>
      </c>
      <c r="EZ1709" s="2">
        <v>8.300000000000001</v>
      </c>
      <c r="FA1709" s="2">
        <v>3.9</v>
      </c>
      <c r="FB1709" s="2">
        <v>-0.5</v>
      </c>
      <c r="FC1709" s="2">
        <v>2.1</v>
      </c>
      <c r="FD1709" s="2">
        <v>2.7</v>
      </c>
      <c r="FE1709" s="2">
        <v>5</v>
      </c>
      <c r="FF1709" s="2">
        <v>-4.4</v>
      </c>
      <c r="FG1709" s="2">
        <v>3.3</v>
      </c>
      <c r="FH1709" s="2">
        <v>0.9</v>
      </c>
      <c r="FI1709" s="2">
        <v>3.8</v>
      </c>
      <c r="FJ1709" s="2">
        <v>-2.8</v>
      </c>
      <c r="FK1709" s="2">
        <v>10.8</v>
      </c>
      <c r="FL1709" s="2">
        <v>1</v>
      </c>
      <c r="FM1709" s="2">
        <v>-3.4</v>
      </c>
      <c r="FN1709" s="2">
        <v>7.2</v>
      </c>
      <c r="FO1709" s="2">
        <v>-5.4</v>
      </c>
      <c r="FP1709" s="2">
        <v>5</v>
      </c>
      <c r="FQ1709" s="2">
        <v>0.4</v>
      </c>
      <c r="FR1709" s="2">
        <v>6.7</v>
      </c>
      <c r="FS1709" s="2">
        <v>0</v>
      </c>
      <c r="FT1709" s="2">
        <v>0.9</v>
      </c>
      <c r="FU1709" s="2">
        <v>-0.1</v>
      </c>
      <c r="FV1709" s="2">
        <v>9.4</v>
      </c>
      <c r="FW1709" s="2">
        <v>-5.3</v>
      </c>
      <c r="FX1709" s="2">
        <v>-1.9</v>
      </c>
      <c r="FY1709" s="2">
        <v>0.4</v>
      </c>
      <c r="FZ1709" s="2">
        <v>5.7</v>
      </c>
      <c r="GA1709" s="2">
        <v>-9.800000000000001</v>
      </c>
      <c r="GB1709" s="2">
        <v>-3.5</v>
      </c>
      <c r="GC1709" s="2">
        <v>-2.3</v>
      </c>
      <c r="GD1709" s="2">
        <v>6.6</v>
      </c>
      <c r="GE1709" s="2">
        <v>-7.4</v>
      </c>
      <c r="GF1709" s="2">
        <v>2.7</v>
      </c>
      <c r="GG1709" s="2">
        <v>-1.3</v>
      </c>
      <c r="GH1709" s="2">
        <v>9</v>
      </c>
      <c r="GI1709" s="2">
        <v>-7.2</v>
      </c>
      <c r="GJ1709" s="2">
        <v>5.1</v>
      </c>
      <c r="GK1709" s="2">
        <v>-1.8</v>
      </c>
      <c r="GL1709" s="2">
        <v>1.5</v>
      </c>
      <c r="GM1709" s="2">
        <v>-2.9</v>
      </c>
      <c r="GN1709" s="2">
        <v>6.7</v>
      </c>
      <c r="GO1709" s="2">
        <v>-0.2</v>
      </c>
      <c r="GP1709" s="2">
        <v>0.2</v>
      </c>
      <c r="GQ1709" s="2">
        <v>0.1</v>
      </c>
      <c r="GR1709" s="2">
        <v>0.4</v>
      </c>
      <c r="GS1709" s="2">
        <v>-0.8</v>
      </c>
      <c r="GT1709" s="2">
        <v>-1.6</v>
      </c>
      <c r="GU1709" s="2">
        <v>-4.9</v>
      </c>
      <c r="GV1709" s="2">
        <v>4.2</v>
      </c>
      <c r="GW1709" s="2">
        <v>2.2</v>
      </c>
      <c r="GX1709" s="2">
        <v>-0.8</v>
      </c>
      <c r="GY1709" s="2">
        <v>-3</v>
      </c>
      <c r="GZ1709" s="2">
        <v>4.3</v>
      </c>
      <c r="HA1709" s="2">
        <v>-1.4</v>
      </c>
      <c r="HB1709" s="2">
        <v>-1.1</v>
      </c>
      <c r="HC1709" s="2">
        <v>-0.7</v>
      </c>
      <c r="HD1709" s="2">
        <v>7.2</v>
      </c>
      <c r="HE1709" s="2">
        <v>2.2</v>
      </c>
      <c r="HF1709" s="2">
        <v>0.4</v>
      </c>
      <c r="HG1709" s="2">
        <v>-10.2</v>
      </c>
      <c r="HH1709" s="2">
        <v>4.3</v>
      </c>
      <c r="HI1709" s="2">
        <v>3.3</v>
      </c>
      <c r="HJ1709" s="2">
        <v>-0.1</v>
      </c>
      <c r="HK1709" s="2">
        <v>0.7</v>
      </c>
      <c r="HL1709" s="2">
        <v>2.7</v>
      </c>
      <c r="HM1709" s="2">
        <v>3</v>
      </c>
      <c r="HN1709" s="2">
        <v>1.5</v>
      </c>
      <c r="HO1709" s="2">
        <v>7.4</v>
      </c>
      <c r="HP1709" s="2">
        <v>4.2</v>
      </c>
      <c r="HQ1709" s="2">
        <v>2.9</v>
      </c>
      <c r="HR1709" s="2">
        <v>0</v>
      </c>
      <c r="HS1709" s="2">
        <v>-1.2</v>
      </c>
      <c r="HT1709" s="2">
        <v>1.6</v>
      </c>
      <c r="HU1709" s="2">
        <v>-2.8</v>
      </c>
      <c r="HV1709" s="2">
        <v>0.2</v>
      </c>
      <c r="HW1709" s="2">
        <v>-5.5</v>
      </c>
      <c r="HX1709" s="2">
        <v>1</v>
      </c>
      <c r="HY1709" s="2">
        <v>2.3</v>
      </c>
      <c r="HZ1709" s="2">
        <v>-0.5</v>
      </c>
      <c r="IA1709" s="2">
        <v>-1.2</v>
      </c>
      <c r="IB1709" s="2">
        <v>0.3</v>
      </c>
      <c r="IC1709" s="2">
        <v>2</v>
      </c>
      <c r="ID1709" s="2">
        <v>-2.5</v>
      </c>
      <c r="IE1709" s="2">
        <v>2.6</v>
      </c>
      <c r="IF1709" s="2">
        <v>0.6</v>
      </c>
      <c r="IG1709" s="2">
        <v>1.4</v>
      </c>
      <c r="IH1709" s="2">
        <v>1.3</v>
      </c>
      <c r="II1709" s="2">
        <v>-2.3</v>
      </c>
      <c r="IJ1709" s="2">
        <v>2.6</v>
      </c>
      <c r="IK1709" s="2">
        <v>4.1</v>
      </c>
      <c r="IL1709" s="2">
        <v>1.1</v>
      </c>
      <c r="IM1709" s="2">
        <v>0.7</v>
      </c>
      <c r="IN1709" s="2">
        <v>1</v>
      </c>
      <c r="IO1709" s="2">
        <v>5</v>
      </c>
      <c r="IP1709" s="2">
        <v>1.5</v>
      </c>
      <c r="IQ1709" s="2">
        <v>-4</v>
      </c>
      <c r="IR1709" s="2">
        <v>-3.4</v>
      </c>
      <c r="IS1709" s="2">
        <v>0.7</v>
      </c>
      <c r="IT1709" s="2">
        <v>2.3</v>
      </c>
      <c r="IU1709" s="2">
        <v>-0.3</v>
      </c>
      <c r="IV1709" s="2">
        <v>-1.8</v>
      </c>
      <c r="IW1709" s="2">
        <v>1.6</v>
      </c>
      <c r="IX1709" s="2">
        <v>-0.6</v>
      </c>
      <c r="IY1709" s="2">
        <v>-1.6</v>
      </c>
      <c r="IZ1709" s="2">
        <v>-1.2</v>
      </c>
      <c r="JA1709" s="2">
        <v>5</v>
      </c>
      <c r="JB1709" s="2">
        <v>-1.9</v>
      </c>
      <c r="JC1709" s="2">
        <v>-4.8</v>
      </c>
      <c r="JD1709" s="2">
        <v>-0.4</v>
      </c>
      <c r="JE1709" s="2">
        <v>6.6</v>
      </c>
      <c r="JF1709" s="2">
        <v>-1.1</v>
      </c>
      <c r="JG1709" s="2">
        <v>-5.2</v>
      </c>
      <c r="JH1709" s="2">
        <v>0.5</v>
      </c>
      <c r="JI1709" s="2">
        <v>6.1</v>
      </c>
      <c r="JJ1709" s="2">
        <v>2.6</v>
      </c>
      <c r="JK1709" s="2">
        <v>-2.3</v>
      </c>
      <c r="JL1709" s="2">
        <v>3.6</v>
      </c>
      <c r="JM1709" s="2">
        <v>1.3</v>
      </c>
      <c r="JN1709" s="2">
        <v>1.9</v>
      </c>
      <c r="JO1709" s="2">
        <v>-3</v>
      </c>
      <c r="JP1709" s="2">
        <v>-1.3</v>
      </c>
      <c r="JQ1709" s="2">
        <v>4.6</v>
      </c>
      <c r="JR1709" s="2">
        <v>2.3</v>
      </c>
      <c r="JS1709" s="2">
        <v>-2</v>
      </c>
      <c r="JT1709" s="2">
        <v>0.3</v>
      </c>
      <c r="JU1709" s="2">
        <v>1.9</v>
      </c>
      <c r="JV1709" s="2">
        <v>-2.6</v>
      </c>
      <c r="KA1709" s="2">
        <v>-3.8</v>
      </c>
      <c r="KB1709" s="2">
        <v>1</v>
      </c>
      <c r="KC1709" s="2">
        <v>4.1</v>
      </c>
      <c r="KD1709" s="2">
        <v>-1.8</v>
      </c>
      <c r="KQ1709" s="2">
        <v>-2.4</v>
      </c>
      <c r="KR1709" s="2">
        <v>1.4</v>
      </c>
      <c r="KS1709" s="2">
        <v>4.2</v>
      </c>
      <c r="KT1709" s="2">
        <v>-0.7</v>
      </c>
      <c r="LG1709" s="2">
        <v>-2.1</v>
      </c>
      <c r="LH1709" s="2">
        <v>2.7</v>
      </c>
      <c r="LI1709" s="2">
        <v>6.1</v>
      </c>
      <c r="LJ1709" s="2">
        <v>-2.9</v>
      </c>
      <c r="LW1709" s="2">
        <v>-3.1</v>
      </c>
      <c r="LX1709" s="2">
        <v>-2</v>
      </c>
      <c r="LY1709" s="2">
        <v>1.6</v>
      </c>
      <c r="LZ1709" s="2">
        <v>0.9</v>
      </c>
      <c r="MM1709" s="2">
        <v>0.5</v>
      </c>
      <c r="MN1709" s="2">
        <v>8.6</v>
      </c>
      <c r="MO1709" s="2">
        <v>-4.9</v>
      </c>
      <c r="MP1709" s="2">
        <v>16.3</v>
      </c>
      <c r="NC1709" s="2">
        <v>-23.1</v>
      </c>
      <c r="ND1709" s="2">
        <v>19.9</v>
      </c>
      <c r="NE1709" s="2">
        <v>16.8</v>
      </c>
      <c r="NF1709" s="2">
        <v>7.6</v>
      </c>
      <c r="NS1709" s="2">
        <v>-8.199999999999999</v>
      </c>
      <c r="NT1709" s="2">
        <v>6.1</v>
      </c>
      <c r="NU1709" s="2">
        <v>0.5</v>
      </c>
      <c r="NV1709" s="2">
        <v>-1.5</v>
      </c>
      <c r="OI1709" s="2">
        <v>-5.9</v>
      </c>
      <c r="OJ1709" s="2">
        <v>8.1</v>
      </c>
      <c r="OK1709" s="2">
        <v>1.9</v>
      </c>
      <c r="OL1709" s="2">
        <v>0.2</v>
      </c>
      <c r="OY1709" s="2">
        <v>-7.6</v>
      </c>
      <c r="OZ1709" s="2">
        <v>4.7</v>
      </c>
      <c r="PA1709" s="2">
        <v>2.7</v>
      </c>
      <c r="PB1709" s="2">
        <v>2</v>
      </c>
      <c r="PJ1709" s="2">
        <v>-7.2</v>
      </c>
      <c r="PK1709" s="2">
        <v>3.5</v>
      </c>
    </row>
    <row r="1710">
      <c r="A1710" t="inlineStr">
        <is>
          <t>A2331385L</t>
        </is>
      </c>
      <c r="B1710" t="inlineStr">
        <is>
          <t>Percentage Change from Previous Period ;  Other recreation, sport and culture ;  Australia ;</t>
        </is>
      </c>
      <c r="C1710" t="inlineStr">
        <is>
          <t>Quarter</t>
        </is>
      </c>
      <c r="D1710" t="inlineStr">
        <is>
          <t>Percent</t>
        </is>
      </c>
      <c r="E1710" t="inlineStr">
        <is>
          <t>Original</t>
        </is>
      </c>
      <c r="F1710" t="inlineStr">
        <is>
          <t>6401018.xlsx</t>
        </is>
      </c>
      <c r="G1710" t="inlineStr">
        <is>
          <t>1989Q4</t>
        </is>
      </c>
      <c r="H1710" t="inlineStr">
        <is>
          <t>2026Q2</t>
        </is>
      </c>
      <c r="FR1710" s="2">
        <v>0.1</v>
      </c>
      <c r="FS1710" s="2">
        <v>5.2</v>
      </c>
      <c r="FT1710" s="2">
        <v>2.4</v>
      </c>
      <c r="FU1710" s="2">
        <v>1.4</v>
      </c>
      <c r="FV1710" s="2">
        <v>0.2</v>
      </c>
      <c r="FW1710" s="2">
        <v>0.5</v>
      </c>
      <c r="FX1710" s="2">
        <v>0.7</v>
      </c>
      <c r="FY1710" s="2">
        <v>0.6</v>
      </c>
      <c r="FZ1710" s="2">
        <v>0.7</v>
      </c>
      <c r="GA1710" s="2">
        <v>0.3</v>
      </c>
      <c r="GB1710" s="2">
        <v>1.8</v>
      </c>
      <c r="GC1710" s="2">
        <v>1.2</v>
      </c>
      <c r="GD1710" s="2">
        <v>0.2</v>
      </c>
      <c r="GE1710" s="2">
        <v>-0.1</v>
      </c>
      <c r="GF1710" s="2">
        <v>1.5</v>
      </c>
      <c r="GG1710" s="2">
        <v>1.8</v>
      </c>
      <c r="GH1710" s="2">
        <v>0.1</v>
      </c>
      <c r="GI1710" s="2">
        <v>3.3</v>
      </c>
      <c r="GJ1710" s="2">
        <v>-1.1</v>
      </c>
      <c r="GK1710" s="2">
        <v>-1.8</v>
      </c>
      <c r="GL1710" s="2">
        <v>2.6</v>
      </c>
      <c r="GM1710" s="2">
        <v>0.5</v>
      </c>
      <c r="GN1710" s="2">
        <v>0.7</v>
      </c>
      <c r="GO1710" s="2">
        <v>1.6</v>
      </c>
      <c r="GP1710" s="2">
        <v>0.2</v>
      </c>
      <c r="GQ1710" s="2">
        <v>1.7</v>
      </c>
      <c r="GR1710" s="2">
        <v>-0.4</v>
      </c>
      <c r="GS1710" s="2">
        <v>2.9</v>
      </c>
      <c r="GT1710" s="2">
        <v>-0.2</v>
      </c>
      <c r="GU1710" s="2">
        <v>1.7</v>
      </c>
      <c r="GV1710" s="2">
        <v>1.1</v>
      </c>
      <c r="GW1710" s="2">
        <v>-1.1</v>
      </c>
      <c r="GX1710" s="2">
        <v>2</v>
      </c>
      <c r="GY1710" s="2">
        <v>-0.5</v>
      </c>
      <c r="GZ1710" s="2">
        <v>0.3</v>
      </c>
      <c r="HA1710" s="2">
        <v>0.4</v>
      </c>
      <c r="HB1710" s="2">
        <v>0.6</v>
      </c>
      <c r="HC1710" s="2">
        <v>0.9</v>
      </c>
      <c r="HD1710" s="2">
        <v>0.1</v>
      </c>
      <c r="HE1710" s="2">
        <v>0.4</v>
      </c>
      <c r="HF1710" s="2">
        <v>0.4</v>
      </c>
      <c r="HG1710" s="2">
        <v>0.9</v>
      </c>
      <c r="HH1710" s="2">
        <v>1.2</v>
      </c>
      <c r="HI1710" s="2">
        <v>4.3</v>
      </c>
      <c r="HJ1710" s="2">
        <v>-0.3</v>
      </c>
      <c r="HK1710" s="2">
        <v>1.5</v>
      </c>
      <c r="HL1710" s="2">
        <v>0.5</v>
      </c>
      <c r="HM1710" s="2">
        <v>1</v>
      </c>
      <c r="HN1710" s="2">
        <v>0.3</v>
      </c>
      <c r="HO1710" s="2">
        <v>1.7</v>
      </c>
      <c r="HP1710" s="2">
        <v>0.7</v>
      </c>
      <c r="HQ1710" s="2">
        <v>0.4</v>
      </c>
      <c r="HR1710" s="2">
        <v>-0.2</v>
      </c>
      <c r="HS1710" s="2">
        <v>1.5</v>
      </c>
      <c r="HT1710" s="2">
        <v>0.5</v>
      </c>
      <c r="HU1710" s="2">
        <v>0.3</v>
      </c>
      <c r="HV1710" s="2">
        <v>-0.4</v>
      </c>
      <c r="HW1710" s="2">
        <v>1.5</v>
      </c>
      <c r="HX1710" s="2">
        <v>0.6</v>
      </c>
      <c r="HY1710" s="2">
        <v>1</v>
      </c>
      <c r="HZ1710" s="2">
        <v>-0.3</v>
      </c>
      <c r="IA1710" s="2">
        <v>0.9</v>
      </c>
      <c r="IB1710" s="2">
        <v>0.2</v>
      </c>
      <c r="IC1710" s="2">
        <v>1.1</v>
      </c>
      <c r="ID1710" s="2">
        <v>0.8</v>
      </c>
      <c r="IE1710" s="2">
        <v>0.6</v>
      </c>
      <c r="IF1710" s="2">
        <v>-0.1</v>
      </c>
      <c r="IG1710" s="2">
        <v>1.6</v>
      </c>
      <c r="IH1710" s="2">
        <v>0.5</v>
      </c>
      <c r="II1710" s="2">
        <v>0.5</v>
      </c>
      <c r="IJ1710" s="2">
        <v>0.7</v>
      </c>
      <c r="IK1710" s="2">
        <v>1.8</v>
      </c>
      <c r="IL1710" s="2">
        <v>0.1</v>
      </c>
      <c r="IM1710" s="2">
        <v>1.2</v>
      </c>
      <c r="IN1710" s="2">
        <v>0.6</v>
      </c>
      <c r="IO1710" s="2">
        <v>1.1</v>
      </c>
      <c r="IP1710" s="2">
        <v>1.1</v>
      </c>
      <c r="IQ1710" s="2">
        <v>1</v>
      </c>
      <c r="IR1710" s="2">
        <v>1.2</v>
      </c>
      <c r="IS1710" s="2">
        <v>1.8</v>
      </c>
      <c r="IT1710" s="2">
        <v>0.6</v>
      </c>
      <c r="IU1710" s="2">
        <v>0.5</v>
      </c>
      <c r="IV1710" s="2">
        <v>0.9</v>
      </c>
      <c r="IW1710" s="2">
        <v>0</v>
      </c>
      <c r="IX1710" s="2">
        <v>-0.4</v>
      </c>
      <c r="IY1710" s="2">
        <v>0.8</v>
      </c>
      <c r="IZ1710" s="2">
        <v>0.9</v>
      </c>
      <c r="JA1710" s="2">
        <v>0.5</v>
      </c>
      <c r="JB1710" s="2">
        <v>-0.2</v>
      </c>
      <c r="JC1710" s="2">
        <v>0.3</v>
      </c>
      <c r="JD1710" s="2">
        <v>0</v>
      </c>
      <c r="JE1710" s="2">
        <v>0.6</v>
      </c>
      <c r="JF1710" s="2">
        <v>0.1</v>
      </c>
      <c r="JG1710" s="2">
        <v>0.8</v>
      </c>
      <c r="JH1710" s="2">
        <v>0.4</v>
      </c>
      <c r="JI1710" s="2">
        <v>0.5</v>
      </c>
      <c r="JJ1710" s="2">
        <v>0.3</v>
      </c>
      <c r="JK1710" s="2">
        <v>1.8</v>
      </c>
      <c r="JL1710" s="2">
        <v>0.4</v>
      </c>
      <c r="JM1710" s="2">
        <v>0.2</v>
      </c>
      <c r="JN1710" s="2">
        <v>0.3</v>
      </c>
      <c r="JO1710" s="2">
        <v>1.6</v>
      </c>
      <c r="JP1710" s="2">
        <v>0.3</v>
      </c>
      <c r="JQ1710" s="2">
        <v>0.2</v>
      </c>
      <c r="JR1710" s="2">
        <v>0.4</v>
      </c>
      <c r="JS1710" s="2">
        <v>0.6</v>
      </c>
      <c r="JT1710" s="2">
        <v>0.4</v>
      </c>
      <c r="JU1710" s="2">
        <v>0.5</v>
      </c>
      <c r="JV1710" s="2">
        <v>0.2</v>
      </c>
      <c r="KA1710" s="2">
        <v>0.7</v>
      </c>
      <c r="KB1710" s="2">
        <v>0.2</v>
      </c>
      <c r="KC1710" s="2">
        <v>0.4</v>
      </c>
      <c r="KD1710" s="2">
        <v>0</v>
      </c>
      <c r="KQ1710" s="2">
        <v>0.3</v>
      </c>
      <c r="KR1710" s="2">
        <v>-0.3</v>
      </c>
      <c r="KS1710" s="2">
        <v>0.2</v>
      </c>
      <c r="KT1710" s="2">
        <v>0.7</v>
      </c>
      <c r="LG1710" s="2">
        <v>0.6</v>
      </c>
      <c r="LH1710" s="2">
        <v>0.7</v>
      </c>
      <c r="LI1710" s="2">
        <v>0.1</v>
      </c>
      <c r="LJ1710" s="2">
        <v>0.1</v>
      </c>
      <c r="LW1710" s="2">
        <v>0.3</v>
      </c>
      <c r="LX1710" s="2">
        <v>-0.9</v>
      </c>
      <c r="LY1710" s="2">
        <v>0.8</v>
      </c>
      <c r="LZ1710" s="2">
        <v>0.7</v>
      </c>
      <c r="MM1710" s="2">
        <v>0.8</v>
      </c>
      <c r="MN1710" s="2">
        <v>0.3</v>
      </c>
      <c r="MO1710" s="2">
        <v>0.9</v>
      </c>
      <c r="MP1710" s="2">
        <v>0</v>
      </c>
      <c r="NC1710" s="2">
        <v>1.9</v>
      </c>
      <c r="ND1710" s="2">
        <v>1.3</v>
      </c>
      <c r="NE1710" s="2">
        <v>0</v>
      </c>
      <c r="NF1710" s="2">
        <v>2.8</v>
      </c>
      <c r="NS1710" s="2">
        <v>0.9</v>
      </c>
      <c r="NT1710" s="2">
        <v>1.3</v>
      </c>
      <c r="NU1710" s="2">
        <v>1.5</v>
      </c>
      <c r="NV1710" s="2">
        <v>0</v>
      </c>
      <c r="OI1710" s="2">
        <v>1.7</v>
      </c>
      <c r="OJ1710" s="2">
        <v>-0.4</v>
      </c>
      <c r="OK1710" s="2">
        <v>1.5</v>
      </c>
      <c r="OL1710" s="2">
        <v>0.3</v>
      </c>
      <c r="OY1710" s="2">
        <v>1</v>
      </c>
      <c r="OZ1710" s="2">
        <v>-0.2</v>
      </c>
      <c r="PA1710" s="2">
        <v>-0.2</v>
      </c>
      <c r="PB1710" s="2">
        <v>1.1</v>
      </c>
      <c r="PJ1710" s="2">
        <v>1.2</v>
      </c>
      <c r="PK1710" s="2">
        <v>0</v>
      </c>
    </row>
    <row r="1711">
      <c r="A1711" t="inlineStr">
        <is>
          <t>A2330350V</t>
        </is>
      </c>
      <c r="B1711" t="inlineStr">
        <is>
          <t>Percentage Change from Previous Period ;  Equipment for sports, camping and open-air recreation ;  Australia ;</t>
        </is>
      </c>
      <c r="C1711" t="inlineStr">
        <is>
          <t>Quarter</t>
        </is>
      </c>
      <c r="D1711" t="inlineStr">
        <is>
          <t>Percent</t>
        </is>
      </c>
      <c r="E1711" t="inlineStr">
        <is>
          <t>Original</t>
        </is>
      </c>
      <c r="F1711" t="inlineStr">
        <is>
          <t>6401018.xlsx</t>
        </is>
      </c>
      <c r="G1711" t="inlineStr">
        <is>
          <t>1998Q3</t>
        </is>
      </c>
      <c r="H1711" t="inlineStr">
        <is>
          <t>2026Q2</t>
        </is>
      </c>
      <c r="HA1711" s="2">
        <v>1</v>
      </c>
      <c r="HB1711" s="2">
        <v>0.7</v>
      </c>
      <c r="HC1711" s="2">
        <v>0</v>
      </c>
      <c r="HD1711" s="2">
        <v>-0.6</v>
      </c>
      <c r="HE1711" s="2">
        <v>-0.5</v>
      </c>
      <c r="HF1711" s="2">
        <v>-1.2</v>
      </c>
      <c r="HG1711" s="2">
        <v>-0.8</v>
      </c>
      <c r="HH1711" s="2">
        <v>-0.5</v>
      </c>
      <c r="HI1711" s="2">
        <v>-1.8</v>
      </c>
      <c r="HJ1711" s="2">
        <v>-1.2</v>
      </c>
      <c r="HK1711" s="2">
        <v>0.8</v>
      </c>
      <c r="HL1711" s="2">
        <v>0.2</v>
      </c>
      <c r="HM1711" s="2">
        <v>0.9</v>
      </c>
      <c r="HN1711" s="2">
        <v>-0.1</v>
      </c>
      <c r="HO1711" s="2">
        <v>-0.5</v>
      </c>
      <c r="HP1711" s="2">
        <v>-0.6</v>
      </c>
      <c r="HQ1711" s="2">
        <v>-0.9</v>
      </c>
      <c r="HR1711" s="2">
        <v>-0.6</v>
      </c>
      <c r="HS1711" s="2">
        <v>-0.7</v>
      </c>
      <c r="HT1711" s="2">
        <v>-0.3</v>
      </c>
      <c r="HU1711" s="2">
        <v>-0.3</v>
      </c>
      <c r="HV1711" s="2">
        <v>-1.4</v>
      </c>
      <c r="HW1711" s="2">
        <v>-0.3</v>
      </c>
      <c r="HX1711" s="2">
        <v>-1</v>
      </c>
      <c r="HY1711" s="2">
        <v>0.2</v>
      </c>
      <c r="HZ1711" s="2">
        <v>-0.8</v>
      </c>
      <c r="IA1711" s="2">
        <v>-0.4</v>
      </c>
      <c r="IB1711" s="2">
        <v>-0.5</v>
      </c>
      <c r="IC1711" s="2">
        <v>0</v>
      </c>
      <c r="ID1711" s="2">
        <v>-1</v>
      </c>
      <c r="IE1711" s="2">
        <v>-1</v>
      </c>
      <c r="IF1711" s="2">
        <v>-1.5</v>
      </c>
      <c r="IG1711" s="2">
        <v>0.6</v>
      </c>
      <c r="IH1711" s="2">
        <v>-0.2</v>
      </c>
      <c r="II1711" s="2">
        <v>-0.4</v>
      </c>
      <c r="IJ1711" s="2">
        <v>-0.2</v>
      </c>
      <c r="IK1711" s="2">
        <v>0.4</v>
      </c>
      <c r="IL1711" s="2">
        <v>-0.3</v>
      </c>
      <c r="IM1711" s="2">
        <v>0.3</v>
      </c>
      <c r="IN1711" s="2">
        <v>-0.5</v>
      </c>
      <c r="IO1711" s="2">
        <v>-0.5</v>
      </c>
      <c r="IP1711" s="2">
        <v>1.3</v>
      </c>
      <c r="IQ1711" s="2">
        <v>2.5</v>
      </c>
      <c r="IR1711" s="2">
        <v>2</v>
      </c>
      <c r="IS1711" s="2">
        <v>0</v>
      </c>
      <c r="IT1711" s="2">
        <v>0</v>
      </c>
      <c r="IU1711" s="2">
        <v>-1.2</v>
      </c>
      <c r="IV1711" s="2">
        <v>-1.7</v>
      </c>
      <c r="IW1711" s="2">
        <v>-0.6</v>
      </c>
      <c r="IX1711" s="2">
        <v>-3</v>
      </c>
      <c r="IY1711" s="2">
        <v>-1.6</v>
      </c>
      <c r="IZ1711" s="2">
        <v>-1.7</v>
      </c>
      <c r="JA1711" s="2">
        <v>-1.6</v>
      </c>
      <c r="JB1711" s="2">
        <v>0.1</v>
      </c>
      <c r="JC1711" s="2">
        <v>-0.6</v>
      </c>
      <c r="JD1711" s="2">
        <v>0</v>
      </c>
      <c r="JE1711" s="2">
        <v>0.2</v>
      </c>
      <c r="JF1711" s="2">
        <v>-1.9</v>
      </c>
      <c r="JG1711" s="2">
        <v>0.4</v>
      </c>
      <c r="JH1711" s="2">
        <v>-1</v>
      </c>
      <c r="JI1711" s="2">
        <v>0.3</v>
      </c>
      <c r="JJ1711" s="2">
        <v>0.6</v>
      </c>
      <c r="JK1711" s="2">
        <v>0</v>
      </c>
      <c r="JL1711" s="2">
        <v>0.7</v>
      </c>
      <c r="JM1711" s="2">
        <v>1.3</v>
      </c>
      <c r="JN1711" s="2">
        <v>0.3</v>
      </c>
      <c r="JO1711" s="2">
        <v>1</v>
      </c>
      <c r="JP1711" s="2">
        <v>1.3</v>
      </c>
      <c r="JQ1711" s="2">
        <v>-0.2</v>
      </c>
      <c r="JR1711" s="2">
        <v>1.7</v>
      </c>
      <c r="JS1711" s="2">
        <v>0.5</v>
      </c>
      <c r="JT1711" s="2">
        <v>-0.7</v>
      </c>
      <c r="JU1711" s="2">
        <v>-0.2</v>
      </c>
      <c r="JV1711" s="2">
        <v>-0.3</v>
      </c>
      <c r="KA1711" s="2">
        <v>0.5</v>
      </c>
      <c r="KB1711" s="2">
        <v>-0.7</v>
      </c>
      <c r="KC1711" s="2">
        <v>0.5</v>
      </c>
      <c r="KD1711" s="2">
        <v>-0.8</v>
      </c>
      <c r="KQ1711" s="2">
        <v>1.6</v>
      </c>
      <c r="KR1711" s="2">
        <v>-0.6</v>
      </c>
      <c r="KS1711" s="2">
        <v>1.3</v>
      </c>
      <c r="KT1711" s="2">
        <v>-1.3</v>
      </c>
      <c r="LG1711" s="2">
        <v>1.5</v>
      </c>
      <c r="LH1711" s="2">
        <v>0.3</v>
      </c>
      <c r="LI1711" s="2">
        <v>1.2</v>
      </c>
      <c r="LJ1711" s="2">
        <v>-1.2</v>
      </c>
      <c r="LW1711" s="2">
        <v>1.5</v>
      </c>
      <c r="LX1711" s="2">
        <v>0.5</v>
      </c>
      <c r="LY1711" s="2">
        <v>0.4</v>
      </c>
      <c r="LZ1711" s="2">
        <v>-0.4</v>
      </c>
      <c r="MM1711" s="2">
        <v>1.2</v>
      </c>
      <c r="MN1711" s="2">
        <v>0.6</v>
      </c>
      <c r="MO1711" s="2">
        <v>-0.2</v>
      </c>
      <c r="MP1711" s="2">
        <v>0.9</v>
      </c>
      <c r="NC1711" s="2">
        <v>2</v>
      </c>
      <c r="ND1711" s="2">
        <v>0.9</v>
      </c>
      <c r="NE1711" s="2">
        <v>2.1</v>
      </c>
      <c r="NF1711" s="2">
        <v>1.4</v>
      </c>
      <c r="NS1711" s="2">
        <v>1.7</v>
      </c>
      <c r="NT1711" s="2">
        <v>-0.2</v>
      </c>
      <c r="NU1711" s="2">
        <v>-0.2</v>
      </c>
      <c r="NV1711" s="2">
        <v>-1</v>
      </c>
      <c r="OI1711" s="2">
        <v>1.6</v>
      </c>
      <c r="OJ1711" s="2">
        <v>-0.6</v>
      </c>
      <c r="OK1711" s="2">
        <v>-0.8</v>
      </c>
      <c r="OL1711" s="2">
        <v>1.2</v>
      </c>
      <c r="OY1711" s="2">
        <v>-0.8</v>
      </c>
      <c r="OZ1711" s="2">
        <v>-0.3</v>
      </c>
      <c r="PA1711" s="2">
        <v>-0.2</v>
      </c>
      <c r="PB1711" s="2">
        <v>-1.2</v>
      </c>
      <c r="PJ1711" s="2">
        <v>0.4</v>
      </c>
      <c r="PK1711" s="2">
        <v>1</v>
      </c>
    </row>
    <row r="1712">
      <c r="A1712" t="inlineStr">
        <is>
          <t>A2330395X</t>
        </is>
      </c>
      <c r="B1712" t="inlineStr">
        <is>
          <t>Percentage Change from Previous Period ;  Games, toys and hobbies ;  Australia ;</t>
        </is>
      </c>
      <c r="C1712" t="inlineStr">
        <is>
          <t>Quarter</t>
        </is>
      </c>
      <c r="D1712" t="inlineStr">
        <is>
          <t>Percent</t>
        </is>
      </c>
      <c r="E1712" t="inlineStr">
        <is>
          <t>Original</t>
        </is>
      </c>
      <c r="F1712" t="inlineStr">
        <is>
          <t>6401018.xlsx</t>
        </is>
      </c>
      <c r="G1712" t="inlineStr">
        <is>
          <t>1998Q3</t>
        </is>
      </c>
      <c r="H1712" t="inlineStr">
        <is>
          <t>2026Q2</t>
        </is>
      </c>
      <c r="HA1712" s="2">
        <v>-0.4</v>
      </c>
      <c r="HB1712" s="2">
        <v>-1.8</v>
      </c>
      <c r="HC1712" s="2">
        <v>2.1</v>
      </c>
      <c r="HD1712" s="2">
        <v>0.4</v>
      </c>
      <c r="HE1712" s="2">
        <v>-1.1</v>
      </c>
      <c r="HF1712" s="2">
        <v>-4.4</v>
      </c>
      <c r="HG1712" s="2">
        <v>3.2</v>
      </c>
      <c r="HH1712" s="2">
        <v>-0.5</v>
      </c>
      <c r="HI1712" s="2">
        <v>-4.6</v>
      </c>
      <c r="HJ1712" s="2">
        <v>-0.4</v>
      </c>
      <c r="HK1712" s="2">
        <v>4.9</v>
      </c>
      <c r="HL1712" s="2">
        <v>2</v>
      </c>
      <c r="HM1712" s="2">
        <v>-2</v>
      </c>
      <c r="HN1712" s="2">
        <v>-0.3</v>
      </c>
      <c r="HO1712" s="2">
        <v>4.3</v>
      </c>
      <c r="HP1712" s="2">
        <v>0.7</v>
      </c>
      <c r="HQ1712" s="2">
        <v>-1.3</v>
      </c>
      <c r="HR1712" s="2">
        <v>-3.2</v>
      </c>
      <c r="HS1712" s="2">
        <v>2.7</v>
      </c>
      <c r="HT1712" s="2">
        <v>0.2</v>
      </c>
      <c r="HU1712" s="2">
        <v>-2.2</v>
      </c>
      <c r="HV1712" s="2">
        <v>-3.4</v>
      </c>
      <c r="HW1712" s="2">
        <v>3.9</v>
      </c>
      <c r="HX1712" s="2">
        <v>0.6</v>
      </c>
      <c r="HY1712" s="2">
        <v>0.2</v>
      </c>
      <c r="HZ1712" s="2">
        <v>-3.1</v>
      </c>
      <c r="IA1712" s="2">
        <v>2.4</v>
      </c>
      <c r="IB1712" s="2">
        <v>-0.1</v>
      </c>
      <c r="IC1712" s="2">
        <v>-0.2</v>
      </c>
      <c r="ID1712" s="2">
        <v>-1.1</v>
      </c>
      <c r="IE1712" s="2">
        <v>-0.4</v>
      </c>
      <c r="IF1712" s="2">
        <v>-0.2</v>
      </c>
      <c r="IG1712" s="2">
        <v>-0.6</v>
      </c>
      <c r="IH1712" s="2">
        <v>-0.9</v>
      </c>
      <c r="II1712" s="2">
        <v>0</v>
      </c>
      <c r="IJ1712" s="2">
        <v>1</v>
      </c>
      <c r="IK1712" s="2">
        <v>-0.4</v>
      </c>
      <c r="IL1712" s="2">
        <v>-1.4</v>
      </c>
      <c r="IM1712" s="2">
        <v>1.5</v>
      </c>
      <c r="IN1712" s="2">
        <v>-1</v>
      </c>
      <c r="IO1712" s="2">
        <v>0.3</v>
      </c>
      <c r="IP1712" s="2">
        <v>-0.6</v>
      </c>
      <c r="IQ1712" s="2">
        <v>1</v>
      </c>
      <c r="IR1712" s="2">
        <v>0.3</v>
      </c>
      <c r="IS1712" s="2">
        <v>0.4</v>
      </c>
      <c r="IT1712" s="2">
        <v>-0.5</v>
      </c>
      <c r="IU1712" s="2">
        <v>-0.1</v>
      </c>
      <c r="IV1712" s="2">
        <v>-0.2</v>
      </c>
      <c r="IW1712" s="2">
        <v>-0.6</v>
      </c>
      <c r="IX1712" s="2">
        <v>-0.2</v>
      </c>
      <c r="IY1712" s="2">
        <v>-0.3</v>
      </c>
      <c r="IZ1712" s="2">
        <v>-0.6</v>
      </c>
      <c r="JA1712" s="2">
        <v>-1</v>
      </c>
      <c r="JB1712" s="2">
        <v>-2.7</v>
      </c>
      <c r="JC1712" s="2">
        <v>-1</v>
      </c>
      <c r="JD1712" s="2">
        <v>-1.4</v>
      </c>
      <c r="JE1712" s="2">
        <v>-1.5</v>
      </c>
      <c r="JF1712" s="2">
        <v>-0.7</v>
      </c>
      <c r="JG1712" s="2">
        <v>-0.6</v>
      </c>
      <c r="JH1712" s="2">
        <v>0.3</v>
      </c>
      <c r="JI1712" s="2">
        <v>-1.8</v>
      </c>
      <c r="JJ1712" s="2">
        <v>0.4</v>
      </c>
      <c r="JK1712" s="2">
        <v>2</v>
      </c>
      <c r="JL1712" s="2">
        <v>-0.1</v>
      </c>
      <c r="JM1712" s="2">
        <v>-1.2</v>
      </c>
      <c r="JN1712" s="2">
        <v>-1.4</v>
      </c>
      <c r="JO1712" s="2">
        <v>-0.4</v>
      </c>
      <c r="JP1712" s="2">
        <v>-0.4</v>
      </c>
      <c r="JQ1712" s="2">
        <v>-0.9</v>
      </c>
      <c r="JR1712" s="2">
        <v>-0.4</v>
      </c>
      <c r="JS1712" s="2">
        <v>-2.1</v>
      </c>
      <c r="JT1712" s="2">
        <v>-1.6</v>
      </c>
      <c r="JU1712" s="2">
        <v>0.8</v>
      </c>
      <c r="JV1712" s="2">
        <v>-0.2</v>
      </c>
      <c r="KA1712" s="2">
        <v>1.6</v>
      </c>
      <c r="KB1712" s="2">
        <v>-1.2</v>
      </c>
      <c r="KC1712" s="2">
        <v>-2.2</v>
      </c>
      <c r="KD1712" s="2">
        <v>0.1</v>
      </c>
      <c r="KQ1712" s="2">
        <v>-1.2</v>
      </c>
      <c r="KR1712" s="2">
        <v>0.2</v>
      </c>
      <c r="KS1712" s="2">
        <v>-2.9</v>
      </c>
      <c r="KT1712" s="2">
        <v>1.1</v>
      </c>
      <c r="LG1712" s="2">
        <v>1.8</v>
      </c>
      <c r="LH1712" s="2">
        <v>-0.6</v>
      </c>
      <c r="LI1712" s="2">
        <v>-3.2</v>
      </c>
      <c r="LJ1712" s="2">
        <v>-0.5</v>
      </c>
      <c r="LW1712" s="2">
        <v>1.1</v>
      </c>
      <c r="LX1712" s="2">
        <v>-0.7</v>
      </c>
      <c r="LY1712" s="2">
        <v>0.8</v>
      </c>
      <c r="LZ1712" s="2">
        <v>1.7</v>
      </c>
      <c r="MM1712" s="2">
        <v>-0.4</v>
      </c>
      <c r="MN1712" s="2">
        <v>-1</v>
      </c>
      <c r="MO1712" s="2">
        <v>1.4</v>
      </c>
      <c r="MP1712" s="2">
        <v>-1.1</v>
      </c>
      <c r="NC1712" s="2">
        <v>2</v>
      </c>
      <c r="ND1712" s="2">
        <v>0.4</v>
      </c>
      <c r="NE1712" s="2">
        <v>-4.5</v>
      </c>
      <c r="NF1712" s="2">
        <v>7.9</v>
      </c>
      <c r="NS1712" s="2">
        <v>0.6</v>
      </c>
      <c r="NT1712" s="2">
        <v>-0.2</v>
      </c>
      <c r="NU1712" s="2">
        <v>-0.3</v>
      </c>
      <c r="NV1712" s="2">
        <v>-2.4</v>
      </c>
      <c r="OI1712" s="2">
        <v>1.2</v>
      </c>
      <c r="OJ1712" s="2">
        <v>-4.3</v>
      </c>
      <c r="OK1712" s="2">
        <v>0.1</v>
      </c>
      <c r="OL1712" s="2">
        <v>2.8</v>
      </c>
      <c r="OY1712" s="2">
        <v>0.6</v>
      </c>
      <c r="OZ1712" s="2">
        <v>-0.3</v>
      </c>
      <c r="PA1712" s="2">
        <v>-3.4</v>
      </c>
      <c r="PB1712" s="2">
        <v>2.2</v>
      </c>
      <c r="PJ1712" s="2">
        <v>4.7</v>
      </c>
      <c r="PK1712" s="2">
        <v>-1.7</v>
      </c>
    </row>
    <row r="1713">
      <c r="A1713" t="inlineStr">
        <is>
          <t>A2328460T</t>
        </is>
      </c>
      <c r="B1713" t="inlineStr">
        <is>
          <t>Percentage Change from Previous Period ;  Pets and related products ;  Australia ;</t>
        </is>
      </c>
      <c r="C1713" t="inlineStr">
        <is>
          <t>Quarter</t>
        </is>
      </c>
      <c r="D1713" t="inlineStr">
        <is>
          <t>Percent</t>
        </is>
      </c>
      <c r="E1713" t="inlineStr">
        <is>
          <t>Original</t>
        </is>
      </c>
      <c r="F1713" t="inlineStr">
        <is>
          <t>6401018.xlsx</t>
        </is>
      </c>
      <c r="G1713" t="inlineStr">
        <is>
          <t>1980Q4</t>
        </is>
      </c>
      <c r="H1713" t="inlineStr">
        <is>
          <t>2026Q2</t>
        </is>
      </c>
      <c r="EH1713" s="2">
        <v>-0.4</v>
      </c>
      <c r="EI1713" s="2">
        <v>-1.3</v>
      </c>
      <c r="EJ1713" s="2">
        <v>0.9</v>
      </c>
      <c r="EK1713" s="2">
        <v>0.2</v>
      </c>
      <c r="EL1713" s="2">
        <v>17.2</v>
      </c>
      <c r="EM1713" s="2">
        <v>0.3</v>
      </c>
      <c r="EN1713" s="2">
        <v>3.4</v>
      </c>
      <c r="EO1713" s="2">
        <v>0.3</v>
      </c>
      <c r="EP1713" s="2">
        <v>4</v>
      </c>
      <c r="EQ1713" s="2">
        <v>3.6</v>
      </c>
      <c r="ER1713" s="2">
        <v>-1.7</v>
      </c>
      <c r="ES1713" s="2">
        <v>-0.4</v>
      </c>
      <c r="ET1713" s="2">
        <v>0</v>
      </c>
      <c r="EU1713" s="2">
        <v>-0.2</v>
      </c>
      <c r="EV1713" s="2">
        <v>3.2</v>
      </c>
      <c r="EW1713" s="2">
        <v>-0.6</v>
      </c>
      <c r="EX1713" s="2">
        <v>2.5</v>
      </c>
      <c r="EY1713" s="2">
        <v>0</v>
      </c>
      <c r="EZ1713" s="2">
        <v>2.2</v>
      </c>
      <c r="FA1713" s="2">
        <v>2.2</v>
      </c>
      <c r="FB1713" s="2">
        <v>0.1</v>
      </c>
      <c r="FC1713" s="2">
        <v>3.4</v>
      </c>
      <c r="FD1713" s="2">
        <v>1.4</v>
      </c>
      <c r="FE1713" s="2">
        <v>2.2</v>
      </c>
      <c r="FF1713" s="2">
        <v>2.4</v>
      </c>
      <c r="FG1713" s="2">
        <v>0.3</v>
      </c>
      <c r="FH1713" s="2">
        <v>1.4</v>
      </c>
      <c r="FI1713" s="2">
        <v>0.6</v>
      </c>
      <c r="FJ1713" s="2">
        <v>2.4</v>
      </c>
      <c r="FK1713" s="2">
        <v>0.8</v>
      </c>
      <c r="FL1713" s="2">
        <v>4</v>
      </c>
      <c r="FM1713" s="2">
        <v>1</v>
      </c>
      <c r="FN1713" s="2">
        <v>3.1</v>
      </c>
      <c r="FO1713" s="2">
        <v>-0.2</v>
      </c>
      <c r="FP1713" s="2">
        <v>-0.9</v>
      </c>
      <c r="FQ1713" s="2">
        <v>0.6</v>
      </c>
      <c r="FR1713" s="2">
        <v>-0.3</v>
      </c>
      <c r="FS1713" s="2">
        <v>6.2</v>
      </c>
      <c r="FT1713" s="2">
        <v>2.8</v>
      </c>
      <c r="FU1713" s="2">
        <v>1.5</v>
      </c>
      <c r="FV1713" s="2">
        <v>-0.2</v>
      </c>
      <c r="FW1713" s="2">
        <v>-0.7</v>
      </c>
      <c r="FX1713" s="2">
        <v>0.3</v>
      </c>
      <c r="FY1713" s="2">
        <v>0.2</v>
      </c>
      <c r="FZ1713" s="2">
        <v>0.7</v>
      </c>
      <c r="GA1713" s="2">
        <v>-0.6</v>
      </c>
      <c r="GB1713" s="2">
        <v>2.7</v>
      </c>
      <c r="GC1713" s="2">
        <v>1.3</v>
      </c>
      <c r="GD1713" s="2">
        <v>0.2</v>
      </c>
      <c r="GE1713" s="2">
        <v>-0.8</v>
      </c>
      <c r="GF1713" s="2">
        <v>2.3</v>
      </c>
      <c r="GG1713" s="2">
        <v>2.2</v>
      </c>
      <c r="GH1713" s="2">
        <v>-0.3</v>
      </c>
      <c r="GI1713" s="2">
        <v>4.3</v>
      </c>
      <c r="GJ1713" s="2">
        <v>-1.5</v>
      </c>
      <c r="GK1713" s="2">
        <v>-3.1</v>
      </c>
      <c r="GL1713" s="2">
        <v>3.5</v>
      </c>
      <c r="GM1713" s="2">
        <v>0.1</v>
      </c>
      <c r="GN1713" s="2">
        <v>0.7</v>
      </c>
      <c r="GO1713" s="2">
        <v>2.2</v>
      </c>
      <c r="GP1713" s="2">
        <v>-0.1</v>
      </c>
      <c r="GQ1713" s="2">
        <v>2.2</v>
      </c>
      <c r="GR1713" s="2">
        <v>-1.2</v>
      </c>
      <c r="GS1713" s="2">
        <v>4</v>
      </c>
      <c r="GT1713" s="2">
        <v>-0.5</v>
      </c>
      <c r="GU1713" s="2">
        <v>1.6</v>
      </c>
      <c r="GV1713" s="2">
        <v>0.9</v>
      </c>
      <c r="GW1713" s="2">
        <v>-1.8</v>
      </c>
      <c r="GX1713" s="2">
        <v>2.8</v>
      </c>
      <c r="GY1713" s="2">
        <v>-1.2</v>
      </c>
      <c r="GZ1713" s="2">
        <v>0.2</v>
      </c>
      <c r="HA1713" s="2">
        <v>0.1</v>
      </c>
      <c r="HB1713" s="2">
        <v>1.6</v>
      </c>
      <c r="HC1713" s="2">
        <v>-1.2</v>
      </c>
      <c r="HD1713" s="2">
        <v>-2.5</v>
      </c>
      <c r="HE1713" s="2">
        <v>-1.7</v>
      </c>
      <c r="HF1713" s="2">
        <v>1.3</v>
      </c>
      <c r="HG1713" s="2">
        <v>-4.5</v>
      </c>
      <c r="HH1713" s="2">
        <v>3</v>
      </c>
      <c r="HI1713" s="2">
        <v>-2.8</v>
      </c>
      <c r="HJ1713" s="2">
        <v>-2.8</v>
      </c>
      <c r="HK1713" s="2">
        <v>2.6</v>
      </c>
      <c r="HL1713" s="2">
        <v>-0.9</v>
      </c>
      <c r="HM1713" s="2">
        <v>5.5</v>
      </c>
      <c r="HN1713" s="2">
        <v>2.2</v>
      </c>
      <c r="HO1713" s="2">
        <v>2.8</v>
      </c>
      <c r="HP1713" s="2">
        <v>0.8</v>
      </c>
      <c r="HQ1713" s="2">
        <v>-1.5</v>
      </c>
      <c r="HR1713" s="2">
        <v>-0.4</v>
      </c>
      <c r="HS1713" s="2">
        <v>5.5</v>
      </c>
      <c r="HT1713" s="2">
        <v>-2</v>
      </c>
      <c r="HU1713" s="2">
        <v>-0.3</v>
      </c>
      <c r="HV1713" s="2">
        <v>-3.4</v>
      </c>
      <c r="HW1713" s="2">
        <v>-0.3</v>
      </c>
      <c r="HX1713" s="2">
        <v>1.1</v>
      </c>
      <c r="HY1713" s="2">
        <v>3.2</v>
      </c>
      <c r="HZ1713" s="2">
        <v>-1.7</v>
      </c>
      <c r="IA1713" s="2">
        <v>1.8</v>
      </c>
      <c r="IB1713" s="2">
        <v>0.7</v>
      </c>
      <c r="IC1713" s="2">
        <v>4</v>
      </c>
      <c r="ID1713" s="2">
        <v>3.2</v>
      </c>
      <c r="IE1713" s="2">
        <v>0.2</v>
      </c>
      <c r="IF1713" s="2">
        <v>-0.6</v>
      </c>
      <c r="IG1713" s="2">
        <v>3.6</v>
      </c>
      <c r="IH1713" s="2">
        <v>1.7</v>
      </c>
      <c r="II1713" s="2">
        <v>0.3</v>
      </c>
      <c r="IJ1713" s="2">
        <v>2</v>
      </c>
      <c r="IK1713" s="2">
        <v>2.6</v>
      </c>
      <c r="IL1713" s="2">
        <v>-0.9</v>
      </c>
      <c r="IM1713" s="2">
        <v>0.9</v>
      </c>
      <c r="IN1713" s="2">
        <v>-0.8</v>
      </c>
      <c r="IO1713" s="2">
        <v>1.4</v>
      </c>
      <c r="IP1713" s="2">
        <v>4.4</v>
      </c>
      <c r="IQ1713" s="2">
        <v>-1.1</v>
      </c>
      <c r="IR1713" s="2">
        <v>5</v>
      </c>
      <c r="IS1713" s="2">
        <v>5.4</v>
      </c>
      <c r="IT1713" s="2">
        <v>3</v>
      </c>
      <c r="IU1713" s="2">
        <v>-0.4</v>
      </c>
      <c r="IV1713" s="2">
        <v>4.5</v>
      </c>
      <c r="IW1713" s="2">
        <v>-2.4</v>
      </c>
      <c r="IX1713" s="2">
        <v>-2.6</v>
      </c>
      <c r="IY1713" s="2">
        <v>-0.1</v>
      </c>
      <c r="IZ1713" s="2">
        <v>4</v>
      </c>
      <c r="JA1713" s="2">
        <v>2.2</v>
      </c>
      <c r="JB1713" s="2">
        <v>1.4</v>
      </c>
      <c r="JC1713" s="2">
        <v>-1.5</v>
      </c>
      <c r="JD1713" s="2">
        <v>0.6</v>
      </c>
      <c r="JE1713" s="2">
        <v>0</v>
      </c>
      <c r="JF1713" s="2">
        <v>1.6</v>
      </c>
      <c r="JG1713" s="2">
        <v>-0.8</v>
      </c>
      <c r="JH1713" s="2">
        <v>0.3</v>
      </c>
      <c r="JI1713" s="2">
        <v>1.1</v>
      </c>
      <c r="JJ1713" s="2">
        <v>-0.5</v>
      </c>
      <c r="JK1713" s="2">
        <v>1</v>
      </c>
      <c r="JL1713" s="2">
        <v>-1.6</v>
      </c>
      <c r="JM1713" s="2">
        <v>-1.7</v>
      </c>
      <c r="JN1713" s="2">
        <v>-0.2</v>
      </c>
      <c r="JO1713" s="2">
        <v>2.5</v>
      </c>
      <c r="JP1713" s="2">
        <v>-0.7</v>
      </c>
      <c r="JQ1713" s="2">
        <v>-2.8</v>
      </c>
      <c r="JR1713" s="2">
        <v>-2.5</v>
      </c>
      <c r="JS1713" s="2">
        <v>0.5</v>
      </c>
      <c r="JT1713" s="2">
        <v>4.1</v>
      </c>
      <c r="JU1713" s="2">
        <v>1.4</v>
      </c>
      <c r="JV1713" s="2">
        <v>-0.6</v>
      </c>
      <c r="KA1713" s="2">
        <v>0.9</v>
      </c>
      <c r="KB1713" s="2">
        <v>1.3</v>
      </c>
      <c r="KC1713" s="2">
        <v>-0.2</v>
      </c>
      <c r="KD1713" s="2">
        <v>-0.8</v>
      </c>
      <c r="KQ1713" s="2">
        <v>-0.2</v>
      </c>
      <c r="KR1713" s="2">
        <v>-0.1</v>
      </c>
      <c r="KS1713" s="2">
        <v>-0.2</v>
      </c>
      <c r="KT1713" s="2">
        <v>1.1</v>
      </c>
      <c r="LG1713" s="2">
        <v>1.5</v>
      </c>
      <c r="LH1713" s="2">
        <v>3.3</v>
      </c>
      <c r="LI1713" s="2">
        <v>0.8</v>
      </c>
      <c r="LJ1713" s="2">
        <v>0.1</v>
      </c>
      <c r="LW1713" s="2">
        <v>1.9</v>
      </c>
      <c r="LX1713" s="2">
        <v>0.7</v>
      </c>
      <c r="LY1713" s="2">
        <v>-0.7</v>
      </c>
      <c r="LZ1713" s="2">
        <v>-0.1</v>
      </c>
      <c r="MM1713" s="2">
        <v>0.9</v>
      </c>
      <c r="MN1713" s="2">
        <v>-0.7</v>
      </c>
      <c r="MO1713" s="2">
        <v>0.3</v>
      </c>
      <c r="MP1713" s="2">
        <v>0.4</v>
      </c>
      <c r="NC1713" s="2">
        <v>6.7</v>
      </c>
      <c r="ND1713" s="2">
        <v>4</v>
      </c>
      <c r="NE1713" s="2">
        <v>2.1</v>
      </c>
      <c r="NF1713" s="2">
        <v>5</v>
      </c>
      <c r="NS1713" s="2">
        <v>2.4</v>
      </c>
      <c r="NT1713" s="2">
        <v>0.1</v>
      </c>
      <c r="NU1713" s="2">
        <v>1</v>
      </c>
      <c r="NV1713" s="2">
        <v>-0.7</v>
      </c>
      <c r="OI1713" s="2">
        <v>1.6</v>
      </c>
      <c r="OJ1713" s="2">
        <v>-0.8</v>
      </c>
      <c r="OK1713" s="2">
        <v>1.3</v>
      </c>
      <c r="OL1713" s="2">
        <v>-2.8</v>
      </c>
      <c r="OY1713" s="2">
        <v>2.1</v>
      </c>
      <c r="OZ1713" s="2">
        <v>-0.6</v>
      </c>
      <c r="PA1713" s="2">
        <v>-0.4</v>
      </c>
      <c r="PB1713" s="2">
        <v>1.1</v>
      </c>
      <c r="PJ1713" s="2">
        <v>-0.5</v>
      </c>
      <c r="PK1713" s="2">
        <v>-1.1</v>
      </c>
    </row>
    <row r="1714">
      <c r="A1714" t="inlineStr">
        <is>
          <t>A2328415F</t>
        </is>
      </c>
      <c r="B1714" t="inlineStr">
        <is>
          <t>Percentage Change from Previous Period ;  Veterinary and other services for pets ;  Australia ;</t>
        </is>
      </c>
      <c r="C1714" t="inlineStr">
        <is>
          <t>Quarter</t>
        </is>
      </c>
      <c r="D1714" t="inlineStr">
        <is>
          <t>Percent</t>
        </is>
      </c>
      <c r="E1714" t="inlineStr">
        <is>
          <t>Original</t>
        </is>
      </c>
      <c r="F1714" t="inlineStr">
        <is>
          <t>6401018.xlsx</t>
        </is>
      </c>
      <c r="G1714" t="inlineStr">
        <is>
          <t>1987Q1</t>
        </is>
      </c>
      <c r="H1714" t="inlineStr">
        <is>
          <t>2026Q2</t>
        </is>
      </c>
      <c r="FG1714" s="2">
        <v>5.7</v>
      </c>
      <c r="FH1714" s="2">
        <v>1.3</v>
      </c>
      <c r="FI1714" s="2">
        <v>2.4</v>
      </c>
      <c r="FJ1714" s="2">
        <v>0.7</v>
      </c>
      <c r="FK1714" s="2">
        <v>5.5</v>
      </c>
      <c r="FL1714" s="2">
        <v>1.4</v>
      </c>
      <c r="FM1714" s="2">
        <v>1.2</v>
      </c>
      <c r="FN1714" s="2">
        <v>2</v>
      </c>
      <c r="FO1714" s="2">
        <v>3.4</v>
      </c>
      <c r="FP1714" s="2">
        <v>2.4</v>
      </c>
      <c r="FQ1714" s="2">
        <v>1.4</v>
      </c>
      <c r="FR1714" s="2">
        <v>1.7</v>
      </c>
      <c r="FS1714" s="2">
        <v>4.8</v>
      </c>
      <c r="FT1714" s="2">
        <v>1.3</v>
      </c>
      <c r="FU1714" s="2">
        <v>1.5</v>
      </c>
      <c r="FV1714" s="2">
        <v>1</v>
      </c>
      <c r="FW1714" s="2">
        <v>4</v>
      </c>
      <c r="FX1714" s="2">
        <v>1.6</v>
      </c>
      <c r="FY1714" s="2">
        <v>1.7</v>
      </c>
      <c r="FZ1714" s="2">
        <v>0.9</v>
      </c>
      <c r="GA1714" s="2">
        <v>2.3</v>
      </c>
      <c r="GB1714" s="2">
        <v>0.7</v>
      </c>
      <c r="GC1714" s="2">
        <v>0.6</v>
      </c>
      <c r="GD1714" s="2">
        <v>1.1</v>
      </c>
      <c r="GE1714" s="2">
        <v>0.8</v>
      </c>
      <c r="GF1714" s="2">
        <v>1.7</v>
      </c>
      <c r="GG1714" s="2">
        <v>1.8</v>
      </c>
      <c r="GH1714" s="2">
        <v>0.9</v>
      </c>
      <c r="GI1714" s="2">
        <v>1.5</v>
      </c>
      <c r="GJ1714" s="2">
        <v>-0.1</v>
      </c>
      <c r="GK1714" s="2">
        <v>0.7</v>
      </c>
      <c r="GL1714" s="2">
        <v>0.7</v>
      </c>
      <c r="GM1714" s="2">
        <v>1.4</v>
      </c>
      <c r="GN1714" s="2">
        <v>0.9</v>
      </c>
      <c r="GO1714" s="2">
        <v>0.6</v>
      </c>
      <c r="GP1714" s="2">
        <v>0.5</v>
      </c>
      <c r="GQ1714" s="2">
        <v>1.4</v>
      </c>
      <c r="GR1714" s="2">
        <v>0.6</v>
      </c>
      <c r="GS1714" s="2">
        <v>1.2</v>
      </c>
      <c r="GT1714" s="2">
        <v>0.2</v>
      </c>
      <c r="GU1714" s="2">
        <v>1.7</v>
      </c>
      <c r="GV1714" s="2">
        <v>1.6</v>
      </c>
      <c r="GW1714" s="2">
        <v>0.3</v>
      </c>
      <c r="GX1714" s="2">
        <v>0.3</v>
      </c>
      <c r="GY1714" s="2">
        <v>0.8</v>
      </c>
      <c r="GZ1714" s="2">
        <v>0.8</v>
      </c>
      <c r="HA1714" s="2">
        <v>-0.3</v>
      </c>
      <c r="HB1714" s="2">
        <v>0.5</v>
      </c>
      <c r="HC1714" s="2">
        <v>0.7</v>
      </c>
      <c r="HD1714" s="2">
        <v>0.2</v>
      </c>
      <c r="HE1714" s="2">
        <v>0.6</v>
      </c>
      <c r="HF1714" s="2">
        <v>0.8</v>
      </c>
      <c r="HG1714" s="2">
        <v>1.2</v>
      </c>
      <c r="HH1714" s="2">
        <v>0.9</v>
      </c>
      <c r="HI1714" s="2">
        <v>10.4</v>
      </c>
      <c r="HJ1714" s="2">
        <v>0.2</v>
      </c>
      <c r="HK1714" s="2">
        <v>1.2</v>
      </c>
      <c r="HL1714" s="2">
        <v>0.8</v>
      </c>
      <c r="HM1714" s="2">
        <v>0.5</v>
      </c>
      <c r="HN1714" s="2">
        <v>0.8</v>
      </c>
      <c r="HO1714" s="2">
        <v>0.9</v>
      </c>
      <c r="HP1714" s="2">
        <v>1.2</v>
      </c>
      <c r="HQ1714" s="2">
        <v>1.3</v>
      </c>
      <c r="HR1714" s="2">
        <v>0.4</v>
      </c>
      <c r="HS1714" s="2">
        <v>0.8</v>
      </c>
      <c r="HT1714" s="2">
        <v>0.5</v>
      </c>
      <c r="HU1714" s="2">
        <v>0.9</v>
      </c>
      <c r="HV1714" s="2">
        <v>0.4</v>
      </c>
      <c r="HW1714" s="2">
        <v>1.2</v>
      </c>
      <c r="HX1714" s="2">
        <v>1.4</v>
      </c>
      <c r="HY1714" s="2">
        <v>0.8</v>
      </c>
      <c r="HZ1714" s="2">
        <v>0.3</v>
      </c>
      <c r="IA1714" s="2">
        <v>0.5</v>
      </c>
      <c r="IB1714" s="2">
        <v>0.5</v>
      </c>
      <c r="IC1714" s="2">
        <v>1.4</v>
      </c>
      <c r="ID1714" s="2">
        <v>0.8</v>
      </c>
      <c r="IE1714" s="2">
        <v>1.2</v>
      </c>
      <c r="IF1714" s="2">
        <v>0.4</v>
      </c>
      <c r="IG1714" s="2">
        <v>1.2</v>
      </c>
      <c r="IH1714" s="2">
        <v>0.5</v>
      </c>
      <c r="II1714" s="2">
        <v>1.3</v>
      </c>
      <c r="IJ1714" s="2">
        <v>0.6</v>
      </c>
      <c r="IK1714" s="2">
        <v>1.8</v>
      </c>
      <c r="IL1714" s="2">
        <v>0.7</v>
      </c>
      <c r="IM1714" s="2">
        <v>1</v>
      </c>
      <c r="IN1714" s="2">
        <v>0.7</v>
      </c>
      <c r="IO1714" s="2">
        <v>1.1</v>
      </c>
      <c r="IP1714" s="2">
        <v>0.9</v>
      </c>
      <c r="IQ1714" s="2">
        <v>1.5</v>
      </c>
      <c r="IR1714" s="2">
        <v>0.2</v>
      </c>
      <c r="IS1714" s="2">
        <v>1.4</v>
      </c>
      <c r="IT1714" s="2">
        <v>0.6</v>
      </c>
      <c r="IU1714" s="2">
        <v>1.1</v>
      </c>
      <c r="IV1714" s="2">
        <v>1</v>
      </c>
      <c r="IW1714" s="2">
        <v>1.1</v>
      </c>
      <c r="IX1714" s="2">
        <v>0.8</v>
      </c>
      <c r="IY1714" s="2">
        <v>0.8</v>
      </c>
      <c r="IZ1714" s="2">
        <v>1.5</v>
      </c>
      <c r="JA1714" s="2">
        <v>1.6</v>
      </c>
      <c r="JB1714" s="2">
        <v>1</v>
      </c>
      <c r="JC1714" s="2">
        <v>1.1</v>
      </c>
      <c r="JD1714" s="2">
        <v>0.2</v>
      </c>
      <c r="JE1714" s="2">
        <v>0.8</v>
      </c>
      <c r="JF1714" s="2">
        <v>0.8</v>
      </c>
      <c r="JG1714" s="2">
        <v>0.8</v>
      </c>
      <c r="JH1714" s="2">
        <v>0.4</v>
      </c>
      <c r="JI1714" s="2">
        <v>0.7</v>
      </c>
      <c r="JJ1714" s="2">
        <v>0.5</v>
      </c>
      <c r="JK1714" s="2">
        <v>1.7</v>
      </c>
      <c r="JL1714" s="2">
        <v>0.5</v>
      </c>
      <c r="JM1714" s="2">
        <v>1.2</v>
      </c>
      <c r="JN1714" s="2">
        <v>1.3</v>
      </c>
      <c r="JO1714" s="2">
        <v>1.2</v>
      </c>
      <c r="JP1714" s="2">
        <v>0.2</v>
      </c>
      <c r="JQ1714" s="2">
        <v>0.9</v>
      </c>
      <c r="JR1714" s="2">
        <v>0.8</v>
      </c>
      <c r="JS1714" s="2">
        <v>1.3</v>
      </c>
      <c r="JT1714" s="2">
        <v>1.1</v>
      </c>
      <c r="JU1714" s="2">
        <v>0.9</v>
      </c>
      <c r="JV1714" s="2">
        <v>0.7</v>
      </c>
      <c r="KA1714" s="2">
        <v>0.4</v>
      </c>
      <c r="KB1714" s="2">
        <v>0.8</v>
      </c>
      <c r="KC1714" s="2">
        <v>1.5</v>
      </c>
      <c r="KD1714" s="2">
        <v>0.4</v>
      </c>
      <c r="KQ1714" s="2">
        <v>0.9</v>
      </c>
      <c r="KR1714" s="2">
        <v>0.7</v>
      </c>
      <c r="KS1714" s="2">
        <v>0.5</v>
      </c>
      <c r="KT1714" s="2">
        <v>0</v>
      </c>
      <c r="LG1714" s="2">
        <v>0.9</v>
      </c>
      <c r="LH1714" s="2">
        <v>0.3</v>
      </c>
      <c r="LI1714" s="2">
        <v>1.6</v>
      </c>
      <c r="LJ1714" s="2">
        <v>0.2</v>
      </c>
      <c r="LW1714" s="2">
        <v>0.6</v>
      </c>
      <c r="LX1714" s="2">
        <v>0.3</v>
      </c>
      <c r="LY1714" s="2">
        <v>0.6</v>
      </c>
      <c r="LZ1714" s="2">
        <v>0.3</v>
      </c>
      <c r="MM1714" s="2">
        <v>0.9</v>
      </c>
      <c r="MN1714" s="2">
        <v>2.4</v>
      </c>
      <c r="MO1714" s="2">
        <v>1.9</v>
      </c>
      <c r="MP1714" s="2">
        <v>0.6</v>
      </c>
      <c r="NC1714" s="2">
        <v>1.9</v>
      </c>
      <c r="ND1714" s="2">
        <v>2.6</v>
      </c>
      <c r="NE1714" s="2">
        <v>2.6</v>
      </c>
      <c r="NF1714" s="2">
        <v>1.3</v>
      </c>
      <c r="NS1714" s="2">
        <v>1.4</v>
      </c>
      <c r="NT1714" s="2">
        <v>2.2</v>
      </c>
      <c r="NU1714" s="2">
        <v>2.4</v>
      </c>
      <c r="NV1714" s="2">
        <v>1.4</v>
      </c>
      <c r="OI1714" s="2">
        <v>0.9</v>
      </c>
      <c r="OJ1714" s="2">
        <v>1.8</v>
      </c>
      <c r="OK1714" s="2">
        <v>1.4</v>
      </c>
      <c r="OL1714" s="2">
        <v>1</v>
      </c>
      <c r="OY1714" s="2">
        <v>1.3</v>
      </c>
      <c r="OZ1714" s="2">
        <v>0.7</v>
      </c>
      <c r="PA1714" s="2">
        <v>1.8</v>
      </c>
      <c r="PB1714" s="2">
        <v>0.7</v>
      </c>
      <c r="PJ1714" s="2">
        <v>1.2</v>
      </c>
      <c r="PK1714" s="2">
        <v>0.2</v>
      </c>
    </row>
    <row r="1715">
      <c r="A1715" t="inlineStr">
        <is>
          <t>A2330440X</t>
        </is>
      </c>
      <c r="B1715" t="inlineStr">
        <is>
          <t>Percentage Change from Previous Period ;  Sports participation ;  Australia ;</t>
        </is>
      </c>
      <c r="C1715" t="inlineStr">
        <is>
          <t>Quarter</t>
        </is>
      </c>
      <c r="D1715" t="inlineStr">
        <is>
          <t>Percent</t>
        </is>
      </c>
      <c r="E1715" t="inlineStr">
        <is>
          <t>Original</t>
        </is>
      </c>
      <c r="F1715" t="inlineStr">
        <is>
          <t>6401018.xlsx</t>
        </is>
      </c>
      <c r="G1715" t="inlineStr">
        <is>
          <t>1998Q3</t>
        </is>
      </c>
      <c r="H1715" t="inlineStr">
        <is>
          <t>2026Q2</t>
        </is>
      </c>
      <c r="HA1715" s="2">
        <v>0.2</v>
      </c>
      <c r="HB1715" s="2">
        <v>0.3</v>
      </c>
      <c r="HC1715" s="2">
        <v>1</v>
      </c>
      <c r="HD1715" s="2">
        <v>0.7</v>
      </c>
      <c r="HE1715" s="2">
        <v>1.7</v>
      </c>
      <c r="HF1715" s="2">
        <v>1.6</v>
      </c>
      <c r="HG1715" s="2">
        <v>1.6</v>
      </c>
      <c r="HH1715" s="2">
        <v>1.9</v>
      </c>
      <c r="HI1715" s="2">
        <v>9.5</v>
      </c>
      <c r="HJ1715" s="2">
        <v>1.6</v>
      </c>
      <c r="HK1715" s="2">
        <v>0.9</v>
      </c>
      <c r="HL1715" s="2">
        <v>0.3</v>
      </c>
      <c r="HM1715" s="2">
        <v>1.3</v>
      </c>
      <c r="HN1715" s="2">
        <v>0.5</v>
      </c>
      <c r="HO1715" s="2">
        <v>1.3</v>
      </c>
      <c r="HP1715" s="2">
        <v>0.8</v>
      </c>
      <c r="HQ1715" s="2">
        <v>1.4</v>
      </c>
      <c r="HR1715" s="2">
        <v>0.7</v>
      </c>
      <c r="HS1715" s="2">
        <v>0.8</v>
      </c>
      <c r="HT1715" s="2">
        <v>1.1</v>
      </c>
      <c r="HU1715" s="2">
        <v>1.6</v>
      </c>
      <c r="HV1715" s="2">
        <v>0.6</v>
      </c>
      <c r="HW1715" s="2">
        <v>1</v>
      </c>
      <c r="HX1715" s="2">
        <v>1</v>
      </c>
      <c r="HY1715" s="2">
        <v>1.7</v>
      </c>
      <c r="HZ1715" s="2">
        <v>1</v>
      </c>
      <c r="IA1715" s="2">
        <v>0.6</v>
      </c>
      <c r="IB1715" s="2">
        <v>1.2</v>
      </c>
      <c r="IC1715" s="2">
        <v>2.1</v>
      </c>
      <c r="ID1715" s="2">
        <v>0.4</v>
      </c>
      <c r="IE1715" s="2">
        <v>0.9</v>
      </c>
      <c r="IF1715" s="2">
        <v>0.1</v>
      </c>
      <c r="IG1715" s="2">
        <v>1.8</v>
      </c>
      <c r="IH1715" s="2">
        <v>0.7</v>
      </c>
      <c r="II1715" s="2">
        <v>0.4</v>
      </c>
      <c r="IJ1715" s="2">
        <v>0.3</v>
      </c>
      <c r="IK1715" s="2">
        <v>4</v>
      </c>
      <c r="IL1715" s="2">
        <v>0.8</v>
      </c>
      <c r="IM1715" s="2">
        <v>0.7</v>
      </c>
      <c r="IN1715" s="2">
        <v>0.7</v>
      </c>
      <c r="IO1715" s="2">
        <v>2.7</v>
      </c>
      <c r="IP1715" s="2">
        <v>-0.3</v>
      </c>
      <c r="IQ1715" s="2">
        <v>0.3</v>
      </c>
      <c r="IR1715" s="2">
        <v>0.4</v>
      </c>
      <c r="IS1715" s="2">
        <v>2.1</v>
      </c>
      <c r="IT1715" s="2">
        <v>0.5</v>
      </c>
      <c r="IU1715" s="2">
        <v>0.7</v>
      </c>
      <c r="IV1715" s="2">
        <v>0.4</v>
      </c>
      <c r="IW1715" s="2">
        <v>2.1</v>
      </c>
      <c r="IX1715" s="2">
        <v>0.4</v>
      </c>
      <c r="IY1715" s="2">
        <v>1</v>
      </c>
      <c r="IZ1715" s="2">
        <v>0.2</v>
      </c>
      <c r="JA1715" s="2">
        <v>2.1</v>
      </c>
      <c r="JB1715" s="2">
        <v>0.2</v>
      </c>
      <c r="JC1715" s="2">
        <v>0.5</v>
      </c>
      <c r="JD1715" s="2">
        <v>0.4</v>
      </c>
      <c r="JE1715" s="2">
        <v>2.4</v>
      </c>
      <c r="JF1715" s="2">
        <v>0.6</v>
      </c>
      <c r="JG1715" s="2">
        <v>0.9</v>
      </c>
      <c r="JH1715" s="2">
        <v>0.7</v>
      </c>
      <c r="JI1715" s="2">
        <v>1.7</v>
      </c>
      <c r="JJ1715" s="2">
        <v>0.1</v>
      </c>
      <c r="JK1715" s="2">
        <v>1.6</v>
      </c>
      <c r="JL1715" s="2">
        <v>1.9</v>
      </c>
      <c r="JM1715" s="2">
        <v>0.2</v>
      </c>
      <c r="JN1715" s="2">
        <v>0.6</v>
      </c>
      <c r="JO1715" s="2">
        <v>0.9</v>
      </c>
      <c r="JP1715" s="2">
        <v>0.3</v>
      </c>
      <c r="JQ1715" s="2">
        <v>1.1</v>
      </c>
      <c r="JR1715" s="2">
        <v>0.7</v>
      </c>
      <c r="JS1715" s="2">
        <v>0.8</v>
      </c>
      <c r="JT1715" s="2">
        <v>0.2</v>
      </c>
      <c r="JU1715" s="2">
        <v>0.3</v>
      </c>
      <c r="JV1715" s="2">
        <v>0.7</v>
      </c>
      <c r="KA1715" s="2">
        <v>0.5</v>
      </c>
      <c r="KB1715" s="2">
        <v>0.6</v>
      </c>
      <c r="KC1715" s="2">
        <v>2</v>
      </c>
      <c r="KD1715" s="2">
        <v>0.6</v>
      </c>
      <c r="KQ1715" s="2">
        <v>-1</v>
      </c>
      <c r="KR1715" s="2">
        <v>-2.1</v>
      </c>
      <c r="KS1715" s="2">
        <v>1.9</v>
      </c>
      <c r="KT1715" s="2">
        <v>1.8</v>
      </c>
      <c r="LG1715" s="2">
        <v>-1.2</v>
      </c>
      <c r="LH1715" s="2">
        <v>1.5</v>
      </c>
      <c r="LI1715" s="2">
        <v>-0.4</v>
      </c>
      <c r="LJ1715" s="2">
        <v>1.4</v>
      </c>
      <c r="LW1715" s="2">
        <v>-1.1</v>
      </c>
      <c r="LX1715" s="2">
        <v>-1.9</v>
      </c>
      <c r="LY1715" s="2">
        <v>0.7</v>
      </c>
      <c r="LZ1715" s="2">
        <v>1.2</v>
      </c>
      <c r="MM1715" s="2">
        <v>-1.5</v>
      </c>
      <c r="MN1715" s="2">
        <v>1.2</v>
      </c>
      <c r="MO1715" s="2">
        <v>1.4</v>
      </c>
      <c r="MP1715" s="2">
        <v>-0.2</v>
      </c>
      <c r="NC1715" s="2">
        <v>-0.3</v>
      </c>
      <c r="ND1715" s="2">
        <v>1.7</v>
      </c>
      <c r="NE1715" s="2">
        <v>0.6</v>
      </c>
      <c r="NF1715" s="2">
        <v>1.4</v>
      </c>
      <c r="NS1715" s="2">
        <v>0</v>
      </c>
      <c r="NT1715" s="2">
        <v>3.3</v>
      </c>
      <c r="NU1715" s="2">
        <v>2</v>
      </c>
      <c r="NV1715" s="2">
        <v>1.1</v>
      </c>
      <c r="OI1715" s="2">
        <v>1.2</v>
      </c>
      <c r="OJ1715" s="2">
        <v>0.9</v>
      </c>
      <c r="OK1715" s="2">
        <v>3.1</v>
      </c>
      <c r="OL1715" s="2">
        <v>0.4</v>
      </c>
      <c r="OY1715" s="2">
        <v>1</v>
      </c>
      <c r="OZ1715" s="2">
        <v>0.6</v>
      </c>
      <c r="PA1715" s="2">
        <v>1.5</v>
      </c>
      <c r="PB1715" s="2">
        <v>0.8</v>
      </c>
      <c r="PJ1715" s="2">
        <v>0.7</v>
      </c>
      <c r="PK1715" s="2">
        <v>1.1</v>
      </c>
    </row>
    <row r="1716">
      <c r="A1716" t="inlineStr">
        <is>
          <t>A2330485C</t>
        </is>
      </c>
      <c r="B1716" t="inlineStr">
        <is>
          <t>Percentage Change from Previous Period ;  Other recreational, sporting and cultural services ;  Australia ;</t>
        </is>
      </c>
      <c r="C1716" t="inlineStr">
        <is>
          <t>Quarter</t>
        </is>
      </c>
      <c r="D1716" t="inlineStr">
        <is>
          <t>Percent</t>
        </is>
      </c>
      <c r="E1716" t="inlineStr">
        <is>
          <t>Original</t>
        </is>
      </c>
      <c r="F1716" t="inlineStr">
        <is>
          <t>6401018.xlsx</t>
        </is>
      </c>
      <c r="G1716" t="inlineStr">
        <is>
          <t>1998Q3</t>
        </is>
      </c>
      <c r="H1716" t="inlineStr">
        <is>
          <t>2026Q2</t>
        </is>
      </c>
      <c r="HA1716" s="2">
        <v>0.6</v>
      </c>
      <c r="HB1716" s="2">
        <v>0.6</v>
      </c>
      <c r="HC1716" s="2">
        <v>1.9</v>
      </c>
      <c r="HD1716" s="2">
        <v>1</v>
      </c>
      <c r="HE1716" s="2">
        <v>1.1</v>
      </c>
      <c r="HF1716" s="2">
        <v>0.8</v>
      </c>
      <c r="HG1716" s="2">
        <v>2.3</v>
      </c>
      <c r="HH1716" s="2">
        <v>1.1</v>
      </c>
      <c r="HI1716" s="2">
        <v>8.199999999999999</v>
      </c>
      <c r="HJ1716" s="2">
        <v>-0.6</v>
      </c>
      <c r="HK1716" s="2">
        <v>1</v>
      </c>
      <c r="HL1716" s="2">
        <v>0.5</v>
      </c>
      <c r="HM1716" s="2">
        <v>0.7</v>
      </c>
      <c r="HN1716" s="2">
        <v>-0.1</v>
      </c>
      <c r="HO1716" s="2">
        <v>1.7</v>
      </c>
      <c r="HP1716" s="2">
        <v>1</v>
      </c>
      <c r="HQ1716" s="2">
        <v>1.1</v>
      </c>
      <c r="HR1716" s="2">
        <v>0.3</v>
      </c>
      <c r="HS1716" s="2">
        <v>1.3</v>
      </c>
      <c r="HT1716" s="2">
        <v>1.2</v>
      </c>
      <c r="HU1716" s="2">
        <v>0.6</v>
      </c>
      <c r="HV1716" s="2">
        <v>0.9</v>
      </c>
      <c r="HW1716" s="2">
        <v>2.2</v>
      </c>
      <c r="HX1716" s="2">
        <v>0.6</v>
      </c>
      <c r="HY1716" s="2">
        <v>0.7</v>
      </c>
      <c r="HZ1716" s="2">
        <v>0.4</v>
      </c>
      <c r="IA1716" s="2">
        <v>0.8</v>
      </c>
      <c r="IB1716" s="2">
        <v>-0.1</v>
      </c>
      <c r="IC1716" s="2">
        <v>0.4</v>
      </c>
      <c r="ID1716" s="2">
        <v>1.8</v>
      </c>
      <c r="IE1716" s="2">
        <v>1.4</v>
      </c>
      <c r="IF1716" s="2">
        <v>0.5</v>
      </c>
      <c r="IG1716" s="2">
        <v>2.4</v>
      </c>
      <c r="IH1716" s="2">
        <v>0.9</v>
      </c>
      <c r="II1716" s="2">
        <v>1.1</v>
      </c>
      <c r="IJ1716" s="2">
        <v>0.7</v>
      </c>
      <c r="IK1716" s="2">
        <v>1.7</v>
      </c>
      <c r="IL1716" s="2">
        <v>0.5</v>
      </c>
      <c r="IM1716" s="2">
        <v>2</v>
      </c>
      <c r="IN1716" s="2">
        <v>2.3</v>
      </c>
      <c r="IO1716" s="2">
        <v>1</v>
      </c>
      <c r="IP1716" s="2">
        <v>1.6</v>
      </c>
      <c r="IQ1716" s="2">
        <v>1.3</v>
      </c>
      <c r="IR1716" s="2">
        <v>0.8</v>
      </c>
      <c r="IS1716" s="2">
        <v>1.7</v>
      </c>
      <c r="IT1716" s="2">
        <v>0.3</v>
      </c>
      <c r="IU1716" s="2">
        <v>1.3</v>
      </c>
      <c r="IV1716" s="2">
        <v>1.2</v>
      </c>
      <c r="IW1716" s="2">
        <v>-0.3</v>
      </c>
      <c r="IX1716" s="2">
        <v>0.5</v>
      </c>
      <c r="IY1716" s="2">
        <v>2.4</v>
      </c>
      <c r="IZ1716" s="2">
        <v>1.4</v>
      </c>
      <c r="JA1716" s="2">
        <v>0.6</v>
      </c>
      <c r="JB1716" s="2">
        <v>0.2</v>
      </c>
      <c r="JC1716" s="2">
        <v>2</v>
      </c>
      <c r="JD1716" s="2">
        <v>0.3</v>
      </c>
      <c r="JE1716" s="2">
        <v>1</v>
      </c>
      <c r="JF1716" s="2">
        <v>0.3</v>
      </c>
      <c r="JG1716" s="2">
        <v>2.5</v>
      </c>
      <c r="JH1716" s="2">
        <v>0.8</v>
      </c>
      <c r="JI1716" s="2">
        <v>0.5</v>
      </c>
      <c r="JJ1716" s="2">
        <v>0.4</v>
      </c>
      <c r="JK1716" s="2">
        <v>3.1</v>
      </c>
      <c r="JL1716" s="2">
        <v>0</v>
      </c>
      <c r="JM1716" s="2">
        <v>0.6</v>
      </c>
      <c r="JN1716" s="2">
        <v>0.7</v>
      </c>
      <c r="JO1716" s="2">
        <v>3.4</v>
      </c>
      <c r="JP1716" s="2">
        <v>0.6</v>
      </c>
      <c r="JQ1716" s="2">
        <v>0.8</v>
      </c>
      <c r="JR1716" s="2">
        <v>0.7</v>
      </c>
      <c r="JS1716" s="2">
        <v>1.8</v>
      </c>
      <c r="JT1716" s="2">
        <v>0.6</v>
      </c>
      <c r="JU1716" s="2">
        <v>0.4</v>
      </c>
      <c r="JV1716" s="2">
        <v>0.1</v>
      </c>
      <c r="KA1716" s="2">
        <v>0.7</v>
      </c>
      <c r="KB1716" s="2">
        <v>0.5</v>
      </c>
      <c r="KC1716" s="2">
        <v>0.2</v>
      </c>
      <c r="KD1716" s="2">
        <v>0.2</v>
      </c>
      <c r="KQ1716" s="2">
        <v>1.9</v>
      </c>
      <c r="KR1716" s="2">
        <v>0.5</v>
      </c>
      <c r="KS1716" s="2">
        <v>0.3</v>
      </c>
      <c r="KT1716" s="2">
        <v>0.7</v>
      </c>
      <c r="LG1716" s="2">
        <v>0.3</v>
      </c>
      <c r="LH1716" s="2">
        <v>0.4</v>
      </c>
      <c r="LI1716" s="2">
        <v>1.4</v>
      </c>
      <c r="LJ1716" s="2">
        <v>0</v>
      </c>
      <c r="LW1716" s="2">
        <v>-0.6</v>
      </c>
      <c r="LX1716" s="2">
        <v>-1.9</v>
      </c>
      <c r="LY1716" s="2">
        <v>1.8</v>
      </c>
      <c r="LZ1716" s="2">
        <v>0.8</v>
      </c>
      <c r="MM1716" s="2">
        <v>3.8</v>
      </c>
      <c r="MN1716" s="2">
        <v>-0.5</v>
      </c>
      <c r="MO1716" s="2">
        <v>0.6</v>
      </c>
      <c r="MP1716" s="2">
        <v>0.1</v>
      </c>
      <c r="NC1716" s="2">
        <v>0.7</v>
      </c>
      <c r="ND1716" s="2">
        <v>-0.3</v>
      </c>
      <c r="NE1716" s="2">
        <v>-1.3</v>
      </c>
      <c r="NF1716" s="2">
        <v>1.1</v>
      </c>
      <c r="NS1716" s="2">
        <v>0.4</v>
      </c>
      <c r="NT1716" s="2">
        <v>1.7</v>
      </c>
      <c r="NU1716" s="2">
        <v>3.4</v>
      </c>
      <c r="NV1716" s="2">
        <v>0.8</v>
      </c>
      <c r="OI1716" s="2">
        <v>2.9</v>
      </c>
      <c r="OJ1716" s="2">
        <v>0.2</v>
      </c>
      <c r="OK1716" s="2">
        <v>2.5</v>
      </c>
      <c r="OL1716" s="2">
        <v>-0.6</v>
      </c>
      <c r="OY1716" s="2">
        <v>1.3</v>
      </c>
      <c r="OZ1716" s="2">
        <v>-1.2</v>
      </c>
      <c r="PA1716" s="2">
        <v>-0.8</v>
      </c>
      <c r="PB1716" s="2">
        <v>2.1</v>
      </c>
      <c r="PJ1716" s="2">
        <v>0.7</v>
      </c>
      <c r="PK1716" s="2">
        <v>-0.3</v>
      </c>
    </row>
    <row r="1717">
      <c r="A1717" t="inlineStr">
        <is>
          <t>A2331430L</t>
        </is>
      </c>
      <c r="B1717" t="inlineStr">
        <is>
          <t>Percentage Change from Previous Period ;  Education ;  Australia ;</t>
        </is>
      </c>
      <c r="C1717" t="inlineStr">
        <is>
          <t>Quarter</t>
        </is>
      </c>
      <c r="D1717" t="inlineStr">
        <is>
          <t>Percent</t>
        </is>
      </c>
      <c r="E1717" t="inlineStr">
        <is>
          <t>Original</t>
        </is>
      </c>
      <c r="F1717" t="inlineStr">
        <is>
          <t>6401018.xlsx</t>
        </is>
      </c>
      <c r="G1717" t="inlineStr">
        <is>
          <t>1982Q2</t>
        </is>
      </c>
      <c r="H1717" t="inlineStr">
        <is>
          <t>2026Q2</t>
        </is>
      </c>
      <c r="EN1717" s="2">
        <v>0</v>
      </c>
      <c r="EO1717" s="2">
        <v>0</v>
      </c>
      <c r="EP1717" s="2">
        <v>0</v>
      </c>
      <c r="EQ1717" s="2">
        <v>13.4</v>
      </c>
      <c r="ER1717" s="2">
        <v>0</v>
      </c>
      <c r="ES1717" s="2">
        <v>0</v>
      </c>
      <c r="ET1717" s="2">
        <v>0</v>
      </c>
      <c r="EU1717" s="2">
        <v>10.9</v>
      </c>
      <c r="EV1717" s="2">
        <v>0</v>
      </c>
      <c r="EW1717" s="2">
        <v>0.5</v>
      </c>
      <c r="EX1717" s="2">
        <v>0</v>
      </c>
      <c r="EY1717" s="2">
        <v>8.1</v>
      </c>
      <c r="EZ1717" s="2">
        <v>0</v>
      </c>
      <c r="FA1717" s="2">
        <v>0.2</v>
      </c>
      <c r="FB1717" s="2">
        <v>0</v>
      </c>
      <c r="FC1717" s="2">
        <v>9.800000000000001</v>
      </c>
      <c r="FD1717" s="2">
        <v>0.2</v>
      </c>
      <c r="FE1717" s="2">
        <v>0</v>
      </c>
      <c r="FF1717" s="2">
        <v>0</v>
      </c>
      <c r="FG1717" s="2">
        <v>10.2</v>
      </c>
      <c r="FH1717" s="2">
        <v>0</v>
      </c>
      <c r="FI1717" s="2">
        <v>0</v>
      </c>
      <c r="FJ1717" s="2">
        <v>0</v>
      </c>
      <c r="FK1717" s="2">
        <v>11.9</v>
      </c>
      <c r="FL1717" s="2">
        <v>0</v>
      </c>
      <c r="FM1717" s="2">
        <v>0</v>
      </c>
      <c r="FN1717" s="2">
        <v>0</v>
      </c>
      <c r="FO1717" s="2">
        <v>12.4</v>
      </c>
      <c r="FP1717" s="2">
        <v>0</v>
      </c>
      <c r="FQ1717" s="2">
        <v>0</v>
      </c>
      <c r="FR1717" s="2">
        <v>0</v>
      </c>
      <c r="FS1717" s="2">
        <v>14.1</v>
      </c>
      <c r="FT1717" s="2">
        <v>0</v>
      </c>
      <c r="FU1717" s="2">
        <v>0</v>
      </c>
      <c r="FV1717" s="2">
        <v>0</v>
      </c>
      <c r="FW1717" s="2">
        <v>10.2</v>
      </c>
      <c r="FX1717" s="2">
        <v>0</v>
      </c>
      <c r="FY1717" s="2">
        <v>0</v>
      </c>
      <c r="FZ1717" s="2">
        <v>0</v>
      </c>
      <c r="GA1717" s="2">
        <v>7.8</v>
      </c>
      <c r="GB1717" s="2">
        <v>0</v>
      </c>
      <c r="GC1717" s="2">
        <v>0</v>
      </c>
      <c r="GD1717" s="2">
        <v>0</v>
      </c>
      <c r="GE1717" s="2">
        <v>4.3</v>
      </c>
      <c r="GF1717" s="2">
        <v>0</v>
      </c>
      <c r="GG1717" s="2">
        <v>0</v>
      </c>
      <c r="GH1717" s="2">
        <v>0</v>
      </c>
      <c r="GI1717" s="2">
        <v>3.6</v>
      </c>
      <c r="GJ1717" s="2">
        <v>0</v>
      </c>
      <c r="GK1717" s="2">
        <v>0</v>
      </c>
      <c r="GL1717" s="2">
        <v>0</v>
      </c>
      <c r="GM1717" s="2">
        <v>4.5</v>
      </c>
      <c r="GN1717" s="2">
        <v>0</v>
      </c>
      <c r="GO1717" s="2">
        <v>0</v>
      </c>
      <c r="GP1717" s="2">
        <v>0</v>
      </c>
      <c r="GQ1717" s="2">
        <v>5.8</v>
      </c>
      <c r="GR1717" s="2">
        <v>0</v>
      </c>
      <c r="GS1717" s="2">
        <v>0</v>
      </c>
      <c r="GT1717" s="2">
        <v>0</v>
      </c>
      <c r="GU1717" s="2">
        <v>6.4</v>
      </c>
      <c r="GV1717" s="2">
        <v>0</v>
      </c>
      <c r="GW1717" s="2">
        <v>0</v>
      </c>
      <c r="GX1717" s="2">
        <v>0</v>
      </c>
      <c r="GY1717" s="2">
        <v>5.9</v>
      </c>
      <c r="GZ1717" s="2">
        <v>0</v>
      </c>
      <c r="HA1717" s="2">
        <v>0</v>
      </c>
      <c r="HB1717" s="2">
        <v>0</v>
      </c>
      <c r="HC1717" s="2">
        <v>4.4</v>
      </c>
      <c r="HD1717" s="2">
        <v>0</v>
      </c>
      <c r="HE1717" s="2">
        <v>0</v>
      </c>
      <c r="HF1717" s="2">
        <v>0</v>
      </c>
      <c r="HG1717" s="2">
        <v>5.2</v>
      </c>
      <c r="HH1717" s="2">
        <v>0</v>
      </c>
      <c r="HI1717" s="2">
        <v>0.2</v>
      </c>
      <c r="HJ1717" s="2">
        <v>0.1</v>
      </c>
      <c r="HK1717" s="2">
        <v>4.2</v>
      </c>
      <c r="HL1717" s="2">
        <v>0</v>
      </c>
      <c r="HM1717" s="2">
        <v>0.1</v>
      </c>
      <c r="HN1717" s="2">
        <v>0</v>
      </c>
      <c r="HO1717" s="2">
        <v>4.7</v>
      </c>
      <c r="HP1717" s="2">
        <v>0</v>
      </c>
      <c r="HQ1717" s="2">
        <v>0.2</v>
      </c>
      <c r="HR1717" s="2">
        <v>0.1</v>
      </c>
      <c r="HS1717" s="2">
        <v>4.6</v>
      </c>
      <c r="HT1717" s="2">
        <v>0</v>
      </c>
      <c r="HU1717" s="2">
        <v>0.2</v>
      </c>
      <c r="HV1717" s="2">
        <v>0</v>
      </c>
      <c r="HW1717" s="2">
        <v>7.5</v>
      </c>
      <c r="HX1717" s="2">
        <v>0.1</v>
      </c>
      <c r="HY1717" s="2">
        <v>0.1</v>
      </c>
      <c r="HZ1717" s="2">
        <v>0.1</v>
      </c>
      <c r="IA1717" s="2">
        <v>6.1</v>
      </c>
      <c r="IB1717" s="2">
        <v>0.1</v>
      </c>
      <c r="IC1717" s="2">
        <v>0</v>
      </c>
      <c r="ID1717" s="2">
        <v>0.1</v>
      </c>
      <c r="IE1717" s="2">
        <v>5.6</v>
      </c>
      <c r="IF1717" s="2">
        <v>0</v>
      </c>
      <c r="IG1717" s="2">
        <v>-0.9</v>
      </c>
      <c r="IH1717" s="2">
        <v>0</v>
      </c>
      <c r="II1717" s="2">
        <v>5</v>
      </c>
      <c r="IJ1717" s="2">
        <v>0.1</v>
      </c>
      <c r="IK1717" s="2">
        <v>-1</v>
      </c>
      <c r="IL1717" s="2">
        <v>0</v>
      </c>
      <c r="IM1717" s="2">
        <v>5.2</v>
      </c>
      <c r="IN1717" s="2">
        <v>0</v>
      </c>
      <c r="IO1717" s="2">
        <v>-0.5</v>
      </c>
      <c r="IP1717" s="2">
        <v>0</v>
      </c>
      <c r="IQ1717" s="2">
        <v>5.5</v>
      </c>
      <c r="IR1717" s="2">
        <v>0.1</v>
      </c>
      <c r="IS1717" s="2">
        <v>0</v>
      </c>
      <c r="IT1717" s="2">
        <v>0.1</v>
      </c>
      <c r="IU1717" s="2">
        <v>5.6</v>
      </c>
      <c r="IV1717" s="2">
        <v>0</v>
      </c>
      <c r="IW1717" s="2">
        <v>0.1</v>
      </c>
      <c r="IX1717" s="2">
        <v>0</v>
      </c>
      <c r="IY1717" s="2">
        <v>5.7</v>
      </c>
      <c r="IZ1717" s="2">
        <v>0</v>
      </c>
      <c r="JA1717" s="2">
        <v>0</v>
      </c>
      <c r="JB1717" s="2">
        <v>0</v>
      </c>
      <c r="JC1717" s="2">
        <v>6</v>
      </c>
      <c r="JD1717" s="2">
        <v>0</v>
      </c>
      <c r="JE1717" s="2">
        <v>0.1</v>
      </c>
      <c r="JF1717" s="2">
        <v>0</v>
      </c>
      <c r="JG1717" s="2">
        <v>5.7</v>
      </c>
      <c r="JH1717" s="2">
        <v>-0.1</v>
      </c>
      <c r="JI1717" s="2">
        <v>0</v>
      </c>
      <c r="JJ1717" s="2">
        <v>0</v>
      </c>
      <c r="JK1717" s="2">
        <v>5.1</v>
      </c>
      <c r="JL1717" s="2">
        <v>0</v>
      </c>
      <c r="JM1717" s="2">
        <v>0.1</v>
      </c>
      <c r="JN1717" s="2">
        <v>0</v>
      </c>
      <c r="JO1717" s="2">
        <v>5.3</v>
      </c>
      <c r="JP1717" s="2">
        <v>0</v>
      </c>
      <c r="JQ1717" s="2">
        <v>0.1</v>
      </c>
      <c r="JR1717" s="2">
        <v>0</v>
      </c>
      <c r="JS1717" s="2">
        <v>3.2</v>
      </c>
      <c r="JT1717" s="2">
        <v>0</v>
      </c>
      <c r="JU1717" s="2">
        <v>0.2</v>
      </c>
      <c r="JV1717" s="2">
        <v>0</v>
      </c>
      <c r="KA1717" s="2">
        <v>3.1</v>
      </c>
      <c r="KB1717" s="2">
        <v>0</v>
      </c>
      <c r="KC1717" s="2">
        <v>0.1</v>
      </c>
      <c r="KD1717" s="2">
        <v>0.1</v>
      </c>
      <c r="KQ1717" s="2">
        <v>2.6</v>
      </c>
      <c r="KR1717" s="2">
        <v>0.1</v>
      </c>
      <c r="KS1717" s="2">
        <v>0</v>
      </c>
      <c r="KT1717" s="2">
        <v>0</v>
      </c>
      <c r="LG1717" s="2">
        <v>2.7</v>
      </c>
      <c r="LH1717" s="2">
        <v>0</v>
      </c>
      <c r="LI1717" s="2">
        <v>0.1</v>
      </c>
      <c r="LJ1717" s="2">
        <v>0.1</v>
      </c>
      <c r="LW1717" s="2">
        <v>2.6</v>
      </c>
      <c r="LX1717" s="2">
        <v>-3.7</v>
      </c>
      <c r="LY1717" s="2">
        <v>2.1</v>
      </c>
      <c r="LZ1717" s="2">
        <v>1.1</v>
      </c>
      <c r="MM1717" s="2">
        <v>0.4</v>
      </c>
      <c r="MN1717" s="2">
        <v>0</v>
      </c>
      <c r="MO1717" s="2">
        <v>0.1</v>
      </c>
      <c r="MP1717" s="2">
        <v>0</v>
      </c>
      <c r="NC1717" s="2">
        <v>4.5</v>
      </c>
      <c r="ND1717" s="2">
        <v>0</v>
      </c>
      <c r="NE1717" s="2">
        <v>0</v>
      </c>
      <c r="NF1717" s="2">
        <v>0.1</v>
      </c>
      <c r="NS1717" s="2">
        <v>5.4</v>
      </c>
      <c r="NT1717" s="2">
        <v>-0.2</v>
      </c>
      <c r="NU1717" s="2">
        <v>-0.3</v>
      </c>
      <c r="NV1717" s="2">
        <v>-0.1</v>
      </c>
      <c r="OI1717" s="2">
        <v>5.9</v>
      </c>
      <c r="OJ1717" s="2">
        <v>0.2</v>
      </c>
      <c r="OK1717" s="2">
        <v>0.4</v>
      </c>
      <c r="OL1717" s="2">
        <v>0</v>
      </c>
      <c r="OY1717" s="2">
        <v>5.2</v>
      </c>
      <c r="OZ1717" s="2">
        <v>0</v>
      </c>
      <c r="PA1717" s="2">
        <v>0.1</v>
      </c>
      <c r="PB1717" s="2">
        <v>0.1</v>
      </c>
      <c r="PJ1717" s="2">
        <v>3</v>
      </c>
      <c r="PK1717" s="2">
        <v>1.5</v>
      </c>
    </row>
    <row r="1718">
      <c r="A1718" t="inlineStr">
        <is>
          <t>A2329450F</t>
        </is>
      </c>
      <c r="B1718" t="inlineStr">
        <is>
          <t>Percentage Change from Previous Period ;  Education ;  Australia ;</t>
        </is>
      </c>
      <c r="C1718" t="inlineStr">
        <is>
          <t>Quarter</t>
        </is>
      </c>
      <c r="D1718" t="inlineStr">
        <is>
          <t>Percent</t>
        </is>
      </c>
      <c r="E1718" t="inlineStr">
        <is>
          <t>Original</t>
        </is>
      </c>
      <c r="F1718" t="inlineStr">
        <is>
          <t>6401018.xlsx</t>
        </is>
      </c>
      <c r="G1718" t="inlineStr">
        <is>
          <t>1982Q2</t>
        </is>
      </c>
      <c r="H1718" t="inlineStr">
        <is>
          <t>2026Q2</t>
        </is>
      </c>
      <c r="EN1718" s="2">
        <v>0</v>
      </c>
      <c r="EO1718" s="2">
        <v>0</v>
      </c>
      <c r="EP1718" s="2">
        <v>0</v>
      </c>
      <c r="EQ1718" s="2">
        <v>13.4</v>
      </c>
      <c r="ER1718" s="2">
        <v>0</v>
      </c>
      <c r="ES1718" s="2">
        <v>0</v>
      </c>
      <c r="ET1718" s="2">
        <v>0</v>
      </c>
      <c r="EU1718" s="2">
        <v>10.9</v>
      </c>
      <c r="EV1718" s="2">
        <v>0</v>
      </c>
      <c r="EW1718" s="2">
        <v>0.5</v>
      </c>
      <c r="EX1718" s="2">
        <v>0</v>
      </c>
      <c r="EY1718" s="2">
        <v>8.1</v>
      </c>
      <c r="EZ1718" s="2">
        <v>0</v>
      </c>
      <c r="FA1718" s="2">
        <v>0.2</v>
      </c>
      <c r="FB1718" s="2">
        <v>0</v>
      </c>
      <c r="FC1718" s="2">
        <v>9.800000000000001</v>
      </c>
      <c r="FD1718" s="2">
        <v>0.2</v>
      </c>
      <c r="FE1718" s="2">
        <v>0</v>
      </c>
      <c r="FF1718" s="2">
        <v>0</v>
      </c>
      <c r="FG1718" s="2">
        <v>10.2</v>
      </c>
      <c r="FH1718" s="2">
        <v>0</v>
      </c>
      <c r="FI1718" s="2">
        <v>0</v>
      </c>
      <c r="FJ1718" s="2">
        <v>0</v>
      </c>
      <c r="FK1718" s="2">
        <v>11.9</v>
      </c>
      <c r="FL1718" s="2">
        <v>0</v>
      </c>
      <c r="FM1718" s="2">
        <v>0</v>
      </c>
      <c r="FN1718" s="2">
        <v>0</v>
      </c>
      <c r="FO1718" s="2">
        <v>12.4</v>
      </c>
      <c r="FP1718" s="2">
        <v>0</v>
      </c>
      <c r="FQ1718" s="2">
        <v>0</v>
      </c>
      <c r="FR1718" s="2">
        <v>0</v>
      </c>
      <c r="FS1718" s="2">
        <v>14.1</v>
      </c>
      <c r="FT1718" s="2">
        <v>0</v>
      </c>
      <c r="FU1718" s="2">
        <v>0</v>
      </c>
      <c r="FV1718" s="2">
        <v>0</v>
      </c>
      <c r="FW1718" s="2">
        <v>10.2</v>
      </c>
      <c r="FX1718" s="2">
        <v>0</v>
      </c>
      <c r="FY1718" s="2">
        <v>0</v>
      </c>
      <c r="FZ1718" s="2">
        <v>0</v>
      </c>
      <c r="GA1718" s="2">
        <v>7.8</v>
      </c>
      <c r="GB1718" s="2">
        <v>0</v>
      </c>
      <c r="GC1718" s="2">
        <v>0</v>
      </c>
      <c r="GD1718" s="2">
        <v>0</v>
      </c>
      <c r="GE1718" s="2">
        <v>4.3</v>
      </c>
      <c r="GF1718" s="2">
        <v>0</v>
      </c>
      <c r="GG1718" s="2">
        <v>0</v>
      </c>
      <c r="GH1718" s="2">
        <v>0</v>
      </c>
      <c r="GI1718" s="2">
        <v>3.6</v>
      </c>
      <c r="GJ1718" s="2">
        <v>0</v>
      </c>
      <c r="GK1718" s="2">
        <v>0</v>
      </c>
      <c r="GL1718" s="2">
        <v>0</v>
      </c>
      <c r="GM1718" s="2">
        <v>4.5</v>
      </c>
      <c r="GN1718" s="2">
        <v>0</v>
      </c>
      <c r="GO1718" s="2">
        <v>0</v>
      </c>
      <c r="GP1718" s="2">
        <v>0</v>
      </c>
      <c r="GQ1718" s="2">
        <v>5.8</v>
      </c>
      <c r="GR1718" s="2">
        <v>0</v>
      </c>
      <c r="GS1718" s="2">
        <v>0</v>
      </c>
      <c r="GT1718" s="2">
        <v>0</v>
      </c>
      <c r="GU1718" s="2">
        <v>6.4</v>
      </c>
      <c r="GV1718" s="2">
        <v>0</v>
      </c>
      <c r="GW1718" s="2">
        <v>0</v>
      </c>
      <c r="GX1718" s="2">
        <v>0</v>
      </c>
      <c r="GY1718" s="2">
        <v>5.9</v>
      </c>
      <c r="GZ1718" s="2">
        <v>0</v>
      </c>
      <c r="HA1718" s="2">
        <v>0</v>
      </c>
      <c r="HB1718" s="2">
        <v>0</v>
      </c>
      <c r="HC1718" s="2">
        <v>4.4</v>
      </c>
      <c r="HD1718" s="2">
        <v>0</v>
      </c>
      <c r="HE1718" s="2">
        <v>0</v>
      </c>
      <c r="HF1718" s="2">
        <v>0</v>
      </c>
      <c r="HG1718" s="2">
        <v>5.2</v>
      </c>
      <c r="HH1718" s="2">
        <v>0</v>
      </c>
      <c r="HI1718" s="2">
        <v>0.2</v>
      </c>
      <c r="HJ1718" s="2">
        <v>0.1</v>
      </c>
      <c r="HK1718" s="2">
        <v>4.2</v>
      </c>
      <c r="HL1718" s="2">
        <v>0</v>
      </c>
      <c r="HM1718" s="2">
        <v>0.1</v>
      </c>
      <c r="HN1718" s="2">
        <v>0</v>
      </c>
      <c r="HO1718" s="2">
        <v>4.7</v>
      </c>
      <c r="HP1718" s="2">
        <v>0</v>
      </c>
      <c r="HQ1718" s="2">
        <v>0.2</v>
      </c>
      <c r="HR1718" s="2">
        <v>0.1</v>
      </c>
      <c r="HS1718" s="2">
        <v>4.6</v>
      </c>
      <c r="HT1718" s="2">
        <v>0</v>
      </c>
      <c r="HU1718" s="2">
        <v>0.2</v>
      </c>
      <c r="HV1718" s="2">
        <v>0</v>
      </c>
      <c r="HW1718" s="2">
        <v>7.5</v>
      </c>
      <c r="HX1718" s="2">
        <v>0.1</v>
      </c>
      <c r="HY1718" s="2">
        <v>0.1</v>
      </c>
      <c r="HZ1718" s="2">
        <v>0.1</v>
      </c>
      <c r="IA1718" s="2">
        <v>6.1</v>
      </c>
      <c r="IB1718" s="2">
        <v>0.1</v>
      </c>
      <c r="IC1718" s="2">
        <v>0</v>
      </c>
      <c r="ID1718" s="2">
        <v>0.1</v>
      </c>
      <c r="IE1718" s="2">
        <v>5.6</v>
      </c>
      <c r="IF1718" s="2">
        <v>0</v>
      </c>
      <c r="IG1718" s="2">
        <v>-0.9</v>
      </c>
      <c r="IH1718" s="2">
        <v>0</v>
      </c>
      <c r="II1718" s="2">
        <v>5</v>
      </c>
      <c r="IJ1718" s="2">
        <v>0.1</v>
      </c>
      <c r="IK1718" s="2">
        <v>-1</v>
      </c>
      <c r="IL1718" s="2">
        <v>0</v>
      </c>
      <c r="IM1718" s="2">
        <v>5.2</v>
      </c>
      <c r="IN1718" s="2">
        <v>0</v>
      </c>
      <c r="IO1718" s="2">
        <v>-0.5</v>
      </c>
      <c r="IP1718" s="2">
        <v>0</v>
      </c>
      <c r="IQ1718" s="2">
        <v>5.5</v>
      </c>
      <c r="IR1718" s="2">
        <v>0.1</v>
      </c>
      <c r="IS1718" s="2">
        <v>0</v>
      </c>
      <c r="IT1718" s="2">
        <v>0.1</v>
      </c>
      <c r="IU1718" s="2">
        <v>5.6</v>
      </c>
      <c r="IV1718" s="2">
        <v>0</v>
      </c>
      <c r="IW1718" s="2">
        <v>0.1</v>
      </c>
      <c r="IX1718" s="2">
        <v>0</v>
      </c>
      <c r="IY1718" s="2">
        <v>5.7</v>
      </c>
      <c r="IZ1718" s="2">
        <v>0</v>
      </c>
      <c r="JA1718" s="2">
        <v>0</v>
      </c>
      <c r="JB1718" s="2">
        <v>0</v>
      </c>
      <c r="JC1718" s="2">
        <v>6</v>
      </c>
      <c r="JD1718" s="2">
        <v>0</v>
      </c>
      <c r="JE1718" s="2">
        <v>0.1</v>
      </c>
      <c r="JF1718" s="2">
        <v>0</v>
      </c>
      <c r="JG1718" s="2">
        <v>5.7</v>
      </c>
      <c r="JH1718" s="2">
        <v>-0.1</v>
      </c>
      <c r="JI1718" s="2">
        <v>0</v>
      </c>
      <c r="JJ1718" s="2">
        <v>0</v>
      </c>
      <c r="JK1718" s="2">
        <v>5.1</v>
      </c>
      <c r="JL1718" s="2">
        <v>0</v>
      </c>
      <c r="JM1718" s="2">
        <v>0.1</v>
      </c>
      <c r="JN1718" s="2">
        <v>0</v>
      </c>
      <c r="JO1718" s="2">
        <v>5.3</v>
      </c>
      <c r="JP1718" s="2">
        <v>0</v>
      </c>
      <c r="JQ1718" s="2">
        <v>0.1</v>
      </c>
      <c r="JR1718" s="2">
        <v>0</v>
      </c>
      <c r="JS1718" s="2">
        <v>3.2</v>
      </c>
      <c r="JT1718" s="2">
        <v>0</v>
      </c>
      <c r="JU1718" s="2">
        <v>0.2</v>
      </c>
      <c r="JV1718" s="2">
        <v>0</v>
      </c>
      <c r="KA1718" s="2">
        <v>3.1</v>
      </c>
      <c r="KB1718" s="2">
        <v>0</v>
      </c>
      <c r="KC1718" s="2">
        <v>0.1</v>
      </c>
      <c r="KD1718" s="2">
        <v>0.1</v>
      </c>
      <c r="KQ1718" s="2">
        <v>2.6</v>
      </c>
      <c r="KR1718" s="2">
        <v>0.1</v>
      </c>
      <c r="KS1718" s="2">
        <v>0</v>
      </c>
      <c r="KT1718" s="2">
        <v>0</v>
      </c>
      <c r="LG1718" s="2">
        <v>2.7</v>
      </c>
      <c r="LH1718" s="2">
        <v>0</v>
      </c>
      <c r="LI1718" s="2">
        <v>0.1</v>
      </c>
      <c r="LJ1718" s="2">
        <v>0.1</v>
      </c>
      <c r="LW1718" s="2">
        <v>2.6</v>
      </c>
      <c r="LX1718" s="2">
        <v>-3.7</v>
      </c>
      <c r="LY1718" s="2">
        <v>2.1</v>
      </c>
      <c r="LZ1718" s="2">
        <v>1.1</v>
      </c>
      <c r="MM1718" s="2">
        <v>0.4</v>
      </c>
      <c r="MN1718" s="2">
        <v>0</v>
      </c>
      <c r="MO1718" s="2">
        <v>0.1</v>
      </c>
      <c r="MP1718" s="2">
        <v>0</v>
      </c>
      <c r="NC1718" s="2">
        <v>4.5</v>
      </c>
      <c r="ND1718" s="2">
        <v>0</v>
      </c>
      <c r="NE1718" s="2">
        <v>0</v>
      </c>
      <c r="NF1718" s="2">
        <v>0.1</v>
      </c>
      <c r="NS1718" s="2">
        <v>5.4</v>
      </c>
      <c r="NT1718" s="2">
        <v>-0.2</v>
      </c>
      <c r="NU1718" s="2">
        <v>-0.3</v>
      </c>
      <c r="NV1718" s="2">
        <v>-0.1</v>
      </c>
      <c r="OI1718" s="2">
        <v>5.9</v>
      </c>
      <c r="OJ1718" s="2">
        <v>0.2</v>
      </c>
      <c r="OK1718" s="2">
        <v>0.4</v>
      </c>
      <c r="OL1718" s="2">
        <v>0</v>
      </c>
      <c r="OY1718" s="2">
        <v>5.2</v>
      </c>
      <c r="OZ1718" s="2">
        <v>0</v>
      </c>
      <c r="PA1718" s="2">
        <v>0.1</v>
      </c>
      <c r="PB1718" s="2">
        <v>0.1</v>
      </c>
      <c r="PJ1718" s="2">
        <v>3</v>
      </c>
      <c r="PK1718" s="2">
        <v>1.5</v>
      </c>
    </row>
    <row r="1719">
      <c r="A1719" t="inlineStr">
        <is>
          <t>A2331475T</t>
        </is>
      </c>
      <c r="B1719" t="inlineStr">
        <is>
          <t>Percentage Change from Previous Period ;  Preschool and primary education ;  Australia ;</t>
        </is>
      </c>
      <c r="C1719" t="inlineStr">
        <is>
          <t>Quarter</t>
        </is>
      </c>
      <c r="D1719" t="inlineStr">
        <is>
          <t>Percent</t>
        </is>
      </c>
      <c r="E1719" t="inlineStr">
        <is>
          <t>Original</t>
        </is>
      </c>
      <c r="F1719" t="inlineStr">
        <is>
          <t>6401018.xlsx</t>
        </is>
      </c>
      <c r="G1719" t="inlineStr">
        <is>
          <t>2000Q3</t>
        </is>
      </c>
      <c r="H1719" t="inlineStr">
        <is>
          <t>2026Q2</t>
        </is>
      </c>
      <c r="HI1719" s="2">
        <v>0</v>
      </c>
      <c r="HJ1719" s="2">
        <v>0.5</v>
      </c>
      <c r="HK1719" s="2">
        <v>4.4</v>
      </c>
      <c r="HL1719" s="2">
        <v>0</v>
      </c>
      <c r="HM1719" s="2">
        <v>0.2</v>
      </c>
      <c r="HN1719" s="2">
        <v>0.2</v>
      </c>
      <c r="HO1719" s="2">
        <v>5.4</v>
      </c>
      <c r="HP1719" s="2">
        <v>0.1</v>
      </c>
      <c r="HQ1719" s="2">
        <v>1</v>
      </c>
      <c r="HR1719" s="2">
        <v>0.6</v>
      </c>
      <c r="HS1719" s="2">
        <v>5.5</v>
      </c>
      <c r="HT1719" s="2">
        <v>0</v>
      </c>
      <c r="HU1719" s="2">
        <v>0.8</v>
      </c>
      <c r="HV1719" s="2">
        <v>0.1</v>
      </c>
      <c r="HW1719" s="2">
        <v>6.6</v>
      </c>
      <c r="HX1719" s="2">
        <v>0.2</v>
      </c>
      <c r="HY1719" s="2">
        <v>0.2</v>
      </c>
      <c r="HZ1719" s="2">
        <v>0.3</v>
      </c>
      <c r="IA1719" s="2">
        <v>6.3</v>
      </c>
      <c r="IB1719" s="2">
        <v>0.4</v>
      </c>
      <c r="IC1719" s="2">
        <v>0.2</v>
      </c>
      <c r="ID1719" s="2">
        <v>0.5</v>
      </c>
      <c r="IE1719" s="2">
        <v>5.4</v>
      </c>
      <c r="IF1719" s="2">
        <v>0.3</v>
      </c>
      <c r="IG1719" s="2">
        <v>0.8</v>
      </c>
      <c r="IH1719" s="2">
        <v>0.1</v>
      </c>
      <c r="II1719" s="2">
        <v>6.6</v>
      </c>
      <c r="IJ1719" s="2">
        <v>0.7</v>
      </c>
      <c r="IK1719" s="2">
        <v>-4.9</v>
      </c>
      <c r="IL1719" s="2">
        <v>0.1</v>
      </c>
      <c r="IM1719" s="2">
        <v>5.8</v>
      </c>
      <c r="IN1719" s="2">
        <v>0.2</v>
      </c>
      <c r="IO1719" s="2">
        <v>-2.4</v>
      </c>
      <c r="IP1719" s="2">
        <v>0.2</v>
      </c>
      <c r="IQ1719" s="2">
        <v>6.5</v>
      </c>
      <c r="IR1719" s="2">
        <v>0.4</v>
      </c>
      <c r="IS1719" s="2">
        <v>0.2</v>
      </c>
      <c r="IT1719" s="2">
        <v>0.3</v>
      </c>
      <c r="IU1719" s="2">
        <v>4.4</v>
      </c>
      <c r="IV1719" s="2">
        <v>0.1</v>
      </c>
      <c r="IW1719" s="2">
        <v>0.7</v>
      </c>
      <c r="IX1719" s="2">
        <v>-0.1</v>
      </c>
      <c r="IY1719" s="2">
        <v>5.4</v>
      </c>
      <c r="IZ1719" s="2">
        <v>0.1</v>
      </c>
      <c r="JA1719" s="2">
        <v>0.2</v>
      </c>
      <c r="JB1719" s="2">
        <v>0.2</v>
      </c>
      <c r="JC1719" s="2">
        <v>5.1</v>
      </c>
      <c r="JD1719" s="2">
        <v>0.2</v>
      </c>
      <c r="JE1719" s="2">
        <v>0.4</v>
      </c>
      <c r="JF1719" s="2">
        <v>0.1</v>
      </c>
      <c r="JG1719" s="2">
        <v>4.5</v>
      </c>
      <c r="JH1719" s="2">
        <v>-0.8</v>
      </c>
      <c r="JI1719" s="2">
        <v>0.3</v>
      </c>
      <c r="JJ1719" s="2">
        <v>0.1</v>
      </c>
      <c r="JK1719" s="2">
        <v>4.9</v>
      </c>
      <c r="JL1719" s="2">
        <v>0.1</v>
      </c>
      <c r="JM1719" s="2">
        <v>0.4</v>
      </c>
      <c r="JN1719" s="2">
        <v>0.2</v>
      </c>
      <c r="JO1719" s="2">
        <v>5.7</v>
      </c>
      <c r="JP1719" s="2">
        <v>0.1</v>
      </c>
      <c r="JQ1719" s="2">
        <v>0.6</v>
      </c>
      <c r="JR1719" s="2">
        <v>0</v>
      </c>
      <c r="JS1719" s="2">
        <v>4.1</v>
      </c>
      <c r="JT1719" s="2">
        <v>0.1</v>
      </c>
      <c r="JU1719" s="2">
        <v>0.4</v>
      </c>
      <c r="JV1719" s="2">
        <v>0.1</v>
      </c>
      <c r="KA1719" s="2">
        <v>2.3</v>
      </c>
      <c r="KB1719" s="2">
        <v>0</v>
      </c>
      <c r="KC1719" s="2">
        <v>0</v>
      </c>
      <c r="KD1719" s="2">
        <v>0.2</v>
      </c>
      <c r="KQ1719" s="2">
        <v>3.3</v>
      </c>
      <c r="KR1719" s="2">
        <v>0.2</v>
      </c>
      <c r="KS1719" s="2">
        <v>-1.5</v>
      </c>
      <c r="KT1719" s="2">
        <v>0.1</v>
      </c>
      <c r="LG1719" s="2">
        <v>2.2</v>
      </c>
      <c r="LH1719" s="2">
        <v>0.1</v>
      </c>
      <c r="LI1719" s="2">
        <v>0.3</v>
      </c>
      <c r="LJ1719" s="2">
        <v>0.2</v>
      </c>
      <c r="LW1719" s="2">
        <v>2.9</v>
      </c>
      <c r="LX1719" s="2">
        <v>-16.2</v>
      </c>
      <c r="LY1719" s="2">
        <v>11</v>
      </c>
      <c r="LZ1719" s="2">
        <v>5.4</v>
      </c>
      <c r="MM1719" s="2">
        <v>1.1</v>
      </c>
      <c r="MN1719" s="2">
        <v>0.2</v>
      </c>
      <c r="MO1719" s="2">
        <v>0.3</v>
      </c>
      <c r="MP1719" s="2">
        <v>0.1</v>
      </c>
      <c r="NC1719" s="2">
        <v>4.6</v>
      </c>
      <c r="ND1719" s="2">
        <v>0</v>
      </c>
      <c r="NE1719" s="2">
        <v>0.2</v>
      </c>
      <c r="NF1719" s="2">
        <v>0.4</v>
      </c>
      <c r="NS1719" s="2">
        <v>-0.8</v>
      </c>
      <c r="NT1719" s="2">
        <v>-1.2</v>
      </c>
      <c r="NU1719" s="2">
        <v>-2.6</v>
      </c>
      <c r="NV1719" s="2">
        <v>-0.4</v>
      </c>
      <c r="OI1719" s="2">
        <v>4.3</v>
      </c>
      <c r="OJ1719" s="2">
        <v>1</v>
      </c>
      <c r="OK1719" s="2">
        <v>1.6</v>
      </c>
      <c r="OL1719" s="2">
        <v>-0.1</v>
      </c>
      <c r="OY1719" s="2">
        <v>5.6</v>
      </c>
      <c r="OZ1719" s="2">
        <v>-0.2</v>
      </c>
      <c r="PA1719" s="2">
        <v>0.5</v>
      </c>
      <c r="PB1719" s="2">
        <v>0.4</v>
      </c>
      <c r="PJ1719" s="2">
        <v>2.8</v>
      </c>
      <c r="PK1719" s="2">
        <v>1.5</v>
      </c>
    </row>
    <row r="1720">
      <c r="A1720" t="inlineStr">
        <is>
          <t>A2331520T</t>
        </is>
      </c>
      <c r="B1720" t="inlineStr">
        <is>
          <t>Percentage Change from Previous Period ;  Secondary education ;  Australia ;</t>
        </is>
      </c>
      <c r="C1720" t="inlineStr">
        <is>
          <t>Quarter</t>
        </is>
      </c>
      <c r="D1720" t="inlineStr">
        <is>
          <t>Percent</t>
        </is>
      </c>
      <c r="E1720" t="inlineStr">
        <is>
          <t>Original</t>
        </is>
      </c>
      <c r="F1720" t="inlineStr">
        <is>
          <t>6401018.xlsx</t>
        </is>
      </c>
      <c r="G1720" t="inlineStr">
        <is>
          <t>2000Q3</t>
        </is>
      </c>
      <c r="H1720" t="inlineStr">
        <is>
          <t>2026Q2</t>
        </is>
      </c>
      <c r="HI1720" s="2">
        <v>0</v>
      </c>
      <c r="HJ1720" s="2">
        <v>0</v>
      </c>
      <c r="HK1720" s="2">
        <v>6.3</v>
      </c>
      <c r="HL1720" s="2">
        <v>0</v>
      </c>
      <c r="HM1720" s="2">
        <v>0</v>
      </c>
      <c r="HN1720" s="2">
        <v>0</v>
      </c>
      <c r="HO1720" s="2">
        <v>6.4</v>
      </c>
      <c r="HP1720" s="2">
        <v>0</v>
      </c>
      <c r="HQ1720" s="2">
        <v>0</v>
      </c>
      <c r="HR1720" s="2">
        <v>0</v>
      </c>
      <c r="HS1720" s="2">
        <v>6.9</v>
      </c>
      <c r="HT1720" s="2">
        <v>0</v>
      </c>
      <c r="HU1720" s="2">
        <v>0</v>
      </c>
      <c r="HV1720" s="2">
        <v>0</v>
      </c>
      <c r="HW1720" s="2">
        <v>7</v>
      </c>
      <c r="HX1720" s="2">
        <v>0</v>
      </c>
      <c r="HY1720" s="2">
        <v>0</v>
      </c>
      <c r="HZ1720" s="2">
        <v>0</v>
      </c>
      <c r="IA1720" s="2">
        <v>6.9</v>
      </c>
      <c r="IB1720" s="2">
        <v>0</v>
      </c>
      <c r="IC1720" s="2">
        <v>0</v>
      </c>
      <c r="ID1720" s="2">
        <v>0</v>
      </c>
      <c r="IE1720" s="2">
        <v>6.9</v>
      </c>
      <c r="IF1720" s="2">
        <v>0</v>
      </c>
      <c r="IG1720" s="2">
        <v>0</v>
      </c>
      <c r="IH1720" s="2">
        <v>0</v>
      </c>
      <c r="II1720" s="2">
        <v>7.1</v>
      </c>
      <c r="IJ1720" s="2">
        <v>0</v>
      </c>
      <c r="IK1720" s="2">
        <v>0</v>
      </c>
      <c r="IL1720" s="2">
        <v>0</v>
      </c>
      <c r="IM1720" s="2">
        <v>6.5</v>
      </c>
      <c r="IN1720" s="2">
        <v>0</v>
      </c>
      <c r="IO1720" s="2">
        <v>0</v>
      </c>
      <c r="IP1720" s="2">
        <v>0</v>
      </c>
      <c r="IQ1720" s="2">
        <v>7.6</v>
      </c>
      <c r="IR1720" s="2">
        <v>0</v>
      </c>
      <c r="IS1720" s="2">
        <v>0</v>
      </c>
      <c r="IT1720" s="2">
        <v>0</v>
      </c>
      <c r="IU1720" s="2">
        <v>5.7</v>
      </c>
      <c r="IV1720" s="2">
        <v>0</v>
      </c>
      <c r="IW1720" s="2">
        <v>0</v>
      </c>
      <c r="IX1720" s="2">
        <v>0</v>
      </c>
      <c r="IY1720" s="2">
        <v>6.8</v>
      </c>
      <c r="IZ1720" s="2">
        <v>0</v>
      </c>
      <c r="JA1720" s="2">
        <v>0</v>
      </c>
      <c r="JB1720" s="2">
        <v>0</v>
      </c>
      <c r="JC1720" s="2">
        <v>7.7</v>
      </c>
      <c r="JD1720" s="2">
        <v>0</v>
      </c>
      <c r="JE1720" s="2">
        <v>0</v>
      </c>
      <c r="JF1720" s="2">
        <v>0</v>
      </c>
      <c r="JG1720" s="2">
        <v>5.4</v>
      </c>
      <c r="JH1720" s="2">
        <v>0</v>
      </c>
      <c r="JI1720" s="2">
        <v>0</v>
      </c>
      <c r="JJ1720" s="2">
        <v>0</v>
      </c>
      <c r="JK1720" s="2">
        <v>6.1</v>
      </c>
      <c r="JL1720" s="2">
        <v>0</v>
      </c>
      <c r="JM1720" s="2">
        <v>0</v>
      </c>
      <c r="JN1720" s="2">
        <v>0</v>
      </c>
      <c r="JO1720" s="2">
        <v>4.7</v>
      </c>
      <c r="JP1720" s="2">
        <v>0</v>
      </c>
      <c r="JQ1720" s="2">
        <v>0</v>
      </c>
      <c r="JR1720" s="2">
        <v>0</v>
      </c>
      <c r="JS1720" s="2">
        <v>4.6</v>
      </c>
      <c r="JT1720" s="2">
        <v>0</v>
      </c>
      <c r="JU1720" s="2">
        <v>0</v>
      </c>
      <c r="JV1720" s="2">
        <v>0</v>
      </c>
      <c r="KA1720" s="2">
        <v>4.1</v>
      </c>
      <c r="KB1720" s="2">
        <v>0</v>
      </c>
      <c r="KC1720" s="2">
        <v>0</v>
      </c>
      <c r="KD1720" s="2">
        <v>0</v>
      </c>
      <c r="KQ1720" s="2">
        <v>3.4</v>
      </c>
      <c r="KR1720" s="2">
        <v>0</v>
      </c>
      <c r="KS1720" s="2">
        <v>0</v>
      </c>
      <c r="KT1720" s="2">
        <v>0</v>
      </c>
      <c r="LG1720" s="2">
        <v>4.2</v>
      </c>
      <c r="LH1720" s="2">
        <v>0</v>
      </c>
      <c r="LI1720" s="2">
        <v>0</v>
      </c>
      <c r="LJ1720" s="2">
        <v>0</v>
      </c>
      <c r="LW1720" s="2">
        <v>3.4</v>
      </c>
      <c r="LX1720" s="2">
        <v>-0.1</v>
      </c>
      <c r="LY1720" s="2">
        <v>0</v>
      </c>
      <c r="LZ1720" s="2">
        <v>0</v>
      </c>
      <c r="MM1720" s="2">
        <v>1.8</v>
      </c>
      <c r="MN1720" s="2">
        <v>0</v>
      </c>
      <c r="MO1720" s="2">
        <v>0</v>
      </c>
      <c r="MP1720" s="2">
        <v>0</v>
      </c>
      <c r="NC1720" s="2">
        <v>3</v>
      </c>
      <c r="ND1720" s="2">
        <v>0</v>
      </c>
      <c r="NE1720" s="2">
        <v>0</v>
      </c>
      <c r="NF1720" s="2">
        <v>0</v>
      </c>
      <c r="NS1720" s="2">
        <v>4.9</v>
      </c>
      <c r="NT1720" s="2">
        <v>0</v>
      </c>
      <c r="NU1720" s="2">
        <v>0</v>
      </c>
      <c r="NV1720" s="2">
        <v>0</v>
      </c>
      <c r="OI1720" s="2">
        <v>6.1</v>
      </c>
      <c r="OJ1720" s="2">
        <v>0</v>
      </c>
      <c r="OK1720" s="2">
        <v>0</v>
      </c>
      <c r="OL1720" s="2">
        <v>0</v>
      </c>
      <c r="OY1720" s="2">
        <v>6.3</v>
      </c>
      <c r="OZ1720" s="2">
        <v>0</v>
      </c>
      <c r="PA1720" s="2">
        <v>0</v>
      </c>
      <c r="PB1720" s="2">
        <v>0</v>
      </c>
      <c r="PJ1720" s="2">
        <v>4.4</v>
      </c>
      <c r="PK1720" s="2">
        <v>2.1</v>
      </c>
    </row>
    <row r="1721">
      <c r="A1721" t="inlineStr">
        <is>
          <t>A2331565W</t>
        </is>
      </c>
      <c r="B1721" t="inlineStr">
        <is>
          <t>Percentage Change from Previous Period ;  Tertiary education ;  Australia ;</t>
        </is>
      </c>
      <c r="C1721" t="inlineStr">
        <is>
          <t>Quarter</t>
        </is>
      </c>
      <c r="D1721" t="inlineStr">
        <is>
          <t>Percent</t>
        </is>
      </c>
      <c r="E1721" t="inlineStr">
        <is>
          <t>Original</t>
        </is>
      </c>
      <c r="F1721" t="inlineStr">
        <is>
          <t>6401018.xlsx</t>
        </is>
      </c>
      <c r="G1721" t="inlineStr">
        <is>
          <t>2000Q3</t>
        </is>
      </c>
      <c r="H1721" t="inlineStr">
        <is>
          <t>2026Q2</t>
        </is>
      </c>
      <c r="HI1721" s="2">
        <v>0.3</v>
      </c>
      <c r="HJ1721" s="2">
        <v>0</v>
      </c>
      <c r="HK1721" s="2">
        <v>2.6</v>
      </c>
      <c r="HL1721" s="2">
        <v>0</v>
      </c>
      <c r="HM1721" s="2">
        <v>0</v>
      </c>
      <c r="HN1721" s="2">
        <v>0</v>
      </c>
      <c r="HO1721" s="2">
        <v>3</v>
      </c>
      <c r="HP1721" s="2">
        <v>0</v>
      </c>
      <c r="HQ1721" s="2">
        <v>0</v>
      </c>
      <c r="HR1721" s="2">
        <v>0</v>
      </c>
      <c r="HS1721" s="2">
        <v>2.4</v>
      </c>
      <c r="HT1721" s="2">
        <v>0</v>
      </c>
      <c r="HU1721" s="2">
        <v>0</v>
      </c>
      <c r="HV1721" s="2">
        <v>0</v>
      </c>
      <c r="HW1721" s="2">
        <v>8.4</v>
      </c>
      <c r="HX1721" s="2">
        <v>0</v>
      </c>
      <c r="HY1721" s="2">
        <v>0</v>
      </c>
      <c r="HZ1721" s="2">
        <v>0</v>
      </c>
      <c r="IA1721" s="2">
        <v>5.3</v>
      </c>
      <c r="IB1721" s="2">
        <v>0</v>
      </c>
      <c r="IC1721" s="2">
        <v>0</v>
      </c>
      <c r="ID1721" s="2">
        <v>0</v>
      </c>
      <c r="IE1721" s="2">
        <v>4.7</v>
      </c>
      <c r="IF1721" s="2">
        <v>0</v>
      </c>
      <c r="IG1721" s="2">
        <v>-2.2</v>
      </c>
      <c r="IH1721" s="2">
        <v>0</v>
      </c>
      <c r="II1721" s="2">
        <v>2.6</v>
      </c>
      <c r="IJ1721" s="2">
        <v>0</v>
      </c>
      <c r="IK1721" s="2">
        <v>0</v>
      </c>
      <c r="IL1721" s="2">
        <v>0</v>
      </c>
      <c r="IM1721" s="2">
        <v>3.8</v>
      </c>
      <c r="IN1721" s="2">
        <v>0</v>
      </c>
      <c r="IO1721" s="2">
        <v>0</v>
      </c>
      <c r="IP1721" s="2">
        <v>0</v>
      </c>
      <c r="IQ1721" s="2">
        <v>3.2</v>
      </c>
      <c r="IR1721" s="2">
        <v>0</v>
      </c>
      <c r="IS1721" s="2">
        <v>0</v>
      </c>
      <c r="IT1721" s="2">
        <v>0</v>
      </c>
      <c r="IU1721" s="2">
        <v>5.9</v>
      </c>
      <c r="IV1721" s="2">
        <v>0</v>
      </c>
      <c r="IW1721" s="2">
        <v>0</v>
      </c>
      <c r="IX1721" s="2">
        <v>0</v>
      </c>
      <c r="IY1721" s="2">
        <v>4.9</v>
      </c>
      <c r="IZ1721" s="2">
        <v>0</v>
      </c>
      <c r="JA1721" s="2">
        <v>0</v>
      </c>
      <c r="JB1721" s="2">
        <v>0</v>
      </c>
      <c r="JC1721" s="2">
        <v>4.7</v>
      </c>
      <c r="JD1721" s="2">
        <v>0</v>
      </c>
      <c r="JE1721" s="2">
        <v>0</v>
      </c>
      <c r="JF1721" s="2">
        <v>0</v>
      </c>
      <c r="JG1721" s="2">
        <v>6.5</v>
      </c>
      <c r="JH1721" s="2">
        <v>0</v>
      </c>
      <c r="JI1721" s="2">
        <v>0</v>
      </c>
      <c r="JJ1721" s="2">
        <v>0</v>
      </c>
      <c r="JK1721" s="2">
        <v>4.4</v>
      </c>
      <c r="JL1721" s="2">
        <v>0</v>
      </c>
      <c r="JM1721" s="2">
        <v>0</v>
      </c>
      <c r="JN1721" s="2">
        <v>0</v>
      </c>
      <c r="JO1721" s="2">
        <v>5.7</v>
      </c>
      <c r="JP1721" s="2">
        <v>0</v>
      </c>
      <c r="JQ1721" s="2">
        <v>0.1</v>
      </c>
      <c r="JR1721" s="2">
        <v>0</v>
      </c>
      <c r="JS1721" s="2">
        <v>1.5</v>
      </c>
      <c r="JT1721" s="2">
        <v>0</v>
      </c>
      <c r="JU1721" s="2">
        <v>0.3</v>
      </c>
      <c r="JV1721" s="2">
        <v>0</v>
      </c>
      <c r="KA1721" s="2">
        <v>2.4</v>
      </c>
      <c r="KB1721" s="2">
        <v>0</v>
      </c>
      <c r="KC1721" s="2">
        <v>0.1</v>
      </c>
      <c r="KD1721" s="2">
        <v>0</v>
      </c>
      <c r="KQ1721" s="2">
        <v>1.4</v>
      </c>
      <c r="KR1721" s="2">
        <v>0</v>
      </c>
      <c r="KS1721" s="2">
        <v>1</v>
      </c>
      <c r="KT1721" s="2">
        <v>0</v>
      </c>
      <c r="LG1721" s="2">
        <v>1.4</v>
      </c>
      <c r="LH1721" s="2">
        <v>0</v>
      </c>
      <c r="LI1721" s="2">
        <v>0.1</v>
      </c>
      <c r="LJ1721" s="2">
        <v>0</v>
      </c>
      <c r="LW1721" s="2">
        <v>1.3</v>
      </c>
      <c r="LX1721" s="2">
        <v>0</v>
      </c>
      <c r="LY1721" s="2">
        <v>-0.1</v>
      </c>
      <c r="LZ1721" s="2">
        <v>0</v>
      </c>
      <c r="MM1721" s="2">
        <v>-1.6</v>
      </c>
      <c r="MN1721" s="2">
        <v>0</v>
      </c>
      <c r="MO1721" s="2">
        <v>0</v>
      </c>
      <c r="MP1721" s="2">
        <v>0</v>
      </c>
      <c r="NC1721" s="2">
        <v>6.4</v>
      </c>
      <c r="ND1721" s="2">
        <v>0</v>
      </c>
      <c r="NE1721" s="2">
        <v>-0.1</v>
      </c>
      <c r="NF1721" s="2">
        <v>0</v>
      </c>
      <c r="NS1721" s="2">
        <v>9.699999999999999</v>
      </c>
      <c r="NT1721" s="2">
        <v>0</v>
      </c>
      <c r="NU1721" s="2">
        <v>0.5</v>
      </c>
      <c r="NV1721" s="2">
        <v>0</v>
      </c>
      <c r="OI1721" s="2">
        <v>6.5</v>
      </c>
      <c r="OJ1721" s="2">
        <v>0</v>
      </c>
      <c r="OK1721" s="2">
        <v>0.1</v>
      </c>
      <c r="OL1721" s="2">
        <v>0</v>
      </c>
      <c r="OY1721" s="2">
        <v>3.6</v>
      </c>
      <c r="OZ1721" s="2">
        <v>0</v>
      </c>
      <c r="PA1721" s="2">
        <v>0.1</v>
      </c>
      <c r="PB1721" s="2">
        <v>0.1</v>
      </c>
      <c r="PJ1721" s="2">
        <v>1.5</v>
      </c>
      <c r="PK1721" s="2">
        <v>0.7</v>
      </c>
    </row>
    <row r="1722">
      <c r="A1722" t="inlineStr">
        <is>
          <t>A2332600K</t>
        </is>
      </c>
      <c r="B1722" t="inlineStr">
        <is>
          <t>Percentage Change from Previous Period ;  Insurance and financial services ;  Australia ;</t>
        </is>
      </c>
      <c r="C1722" t="inlineStr">
        <is>
          <t>Quarter</t>
        </is>
      </c>
      <c r="D1722" t="inlineStr">
        <is>
          <t>Percent</t>
        </is>
      </c>
      <c r="E1722" t="inlineStr">
        <is>
          <t>Original</t>
        </is>
      </c>
      <c r="F1722" t="inlineStr">
        <is>
          <t>6401018.xlsx</t>
        </is>
      </c>
      <c r="G1722" t="inlineStr">
        <is>
          <t>2005Q3</t>
        </is>
      </c>
      <c r="H1722" t="inlineStr">
        <is>
          <t>2026Q2</t>
        </is>
      </c>
      <c r="IC1722" s="2">
        <v>0.1</v>
      </c>
      <c r="ID1722" s="2">
        <v>1.5</v>
      </c>
      <c r="IE1722" s="2">
        <v>-0.6</v>
      </c>
      <c r="IF1722" s="2">
        <v>1.2</v>
      </c>
      <c r="IG1722" s="2">
        <v>0.4</v>
      </c>
      <c r="IH1722" s="2">
        <v>0.4</v>
      </c>
      <c r="II1722" s="2">
        <v>-0.2</v>
      </c>
      <c r="IJ1722" s="2">
        <v>0.9</v>
      </c>
      <c r="IK1722" s="2">
        <v>2</v>
      </c>
      <c r="IL1722" s="2">
        <v>2.1</v>
      </c>
      <c r="IM1722" s="2">
        <v>1.7</v>
      </c>
      <c r="IN1722" s="2">
        <v>3.8</v>
      </c>
      <c r="IO1722" s="2">
        <v>1.7</v>
      </c>
      <c r="IP1722" s="2">
        <v>-0.3</v>
      </c>
      <c r="IQ1722" s="2">
        <v>-6.3</v>
      </c>
      <c r="IR1722" s="2">
        <v>-1.7</v>
      </c>
      <c r="IS1722" s="2">
        <v>1</v>
      </c>
      <c r="IT1722" s="2">
        <v>0.7</v>
      </c>
      <c r="IU1722" s="2">
        <v>2.1</v>
      </c>
      <c r="IV1722" s="2">
        <v>0.1</v>
      </c>
      <c r="IW1722" s="2">
        <v>0.5</v>
      </c>
      <c r="IX1722" s="2">
        <v>-0.4</v>
      </c>
      <c r="IY1722" s="2">
        <v>2.6</v>
      </c>
      <c r="IZ1722" s="2">
        <v>1.6</v>
      </c>
      <c r="JA1722" s="2">
        <v>0.7</v>
      </c>
      <c r="JB1722" s="2">
        <v>0.7</v>
      </c>
      <c r="JC1722" s="2">
        <v>1</v>
      </c>
      <c r="JD1722" s="2">
        <v>0.5</v>
      </c>
      <c r="JE1722" s="2">
        <v>0.2</v>
      </c>
      <c r="JF1722" s="2">
        <v>1.5</v>
      </c>
      <c r="JG1722" s="2">
        <v>0.6</v>
      </c>
      <c r="JH1722" s="2">
        <v>0.3</v>
      </c>
      <c r="JI1722" s="2">
        <v>0.4</v>
      </c>
      <c r="JJ1722" s="2">
        <v>0.2</v>
      </c>
      <c r="JK1722" s="2">
        <v>0.4</v>
      </c>
      <c r="JL1722" s="2">
        <v>0</v>
      </c>
      <c r="JM1722" s="2">
        <v>0.5</v>
      </c>
      <c r="JN1722" s="2">
        <v>1.1</v>
      </c>
      <c r="JO1722" s="2">
        <v>0.1</v>
      </c>
      <c r="JP1722" s="2">
        <v>0.3</v>
      </c>
      <c r="JQ1722" s="2">
        <v>0.5</v>
      </c>
      <c r="JR1722" s="2">
        <v>0.8</v>
      </c>
      <c r="JS1722" s="2">
        <v>0.7</v>
      </c>
      <c r="JT1722" s="2">
        <v>0.4</v>
      </c>
      <c r="JU1722" s="2">
        <v>0.9</v>
      </c>
      <c r="JV1722" s="2">
        <v>0.6</v>
      </c>
      <c r="KA1722" s="2">
        <v>0.7</v>
      </c>
      <c r="KB1722" s="2">
        <v>-0.1</v>
      </c>
      <c r="KC1722" s="2">
        <v>0.7</v>
      </c>
      <c r="KD1722" s="2">
        <v>0.1</v>
      </c>
      <c r="KQ1722" s="2">
        <v>0.3</v>
      </c>
      <c r="KR1722" s="2">
        <v>0.4</v>
      </c>
      <c r="KS1722" s="2">
        <v>0.5</v>
      </c>
      <c r="KT1722" s="2">
        <v>0.3</v>
      </c>
      <c r="LG1722" s="2">
        <v>-0.2</v>
      </c>
      <c r="LH1722" s="2">
        <v>0.2</v>
      </c>
      <c r="LI1722" s="2">
        <v>0.2</v>
      </c>
      <c r="LJ1722" s="2">
        <v>0.4</v>
      </c>
      <c r="LW1722" s="2">
        <v>0.7</v>
      </c>
      <c r="LX1722" s="2">
        <v>0.4</v>
      </c>
      <c r="LY1722" s="2">
        <v>0</v>
      </c>
      <c r="LZ1722" s="2">
        <v>0.1</v>
      </c>
      <c r="MM1722" s="2">
        <v>0</v>
      </c>
      <c r="MN1722" s="2">
        <v>0.4</v>
      </c>
      <c r="MO1722" s="2">
        <v>0.5</v>
      </c>
      <c r="MP1722" s="2">
        <v>1.2</v>
      </c>
      <c r="NC1722" s="2">
        <v>0.6</v>
      </c>
      <c r="ND1722" s="2">
        <v>1</v>
      </c>
      <c r="NE1722" s="2">
        <v>1.4</v>
      </c>
      <c r="NF1722" s="2">
        <v>2</v>
      </c>
      <c r="NS1722" s="2">
        <v>1.9</v>
      </c>
      <c r="NT1722" s="2">
        <v>3</v>
      </c>
      <c r="NU1722" s="2">
        <v>1.3</v>
      </c>
      <c r="NV1722" s="2">
        <v>1.7</v>
      </c>
      <c r="OI1722" s="2">
        <v>2</v>
      </c>
      <c r="OJ1722" s="2">
        <v>1.3</v>
      </c>
      <c r="OK1722" s="2">
        <v>1.2</v>
      </c>
      <c r="OL1722" s="2">
        <v>0.8</v>
      </c>
      <c r="OY1722" s="2">
        <v>0.6</v>
      </c>
      <c r="OZ1722" s="2">
        <v>0.5</v>
      </c>
      <c r="PA1722" s="2">
        <v>0.8</v>
      </c>
      <c r="PB1722" s="2">
        <v>0.6</v>
      </c>
      <c r="PJ1722" s="2">
        <v>1</v>
      </c>
      <c r="PK1722" s="2">
        <v>0.9</v>
      </c>
    </row>
    <row r="1723">
      <c r="A1723" t="inlineStr">
        <is>
          <t>A3602837L</t>
        </is>
      </c>
      <c r="B1723" t="inlineStr">
        <is>
          <t>Percentage Change from Previous Period ;  Insurance ;  Australia ;</t>
        </is>
      </c>
      <c r="C1723" t="inlineStr">
        <is>
          <t>Quarter</t>
        </is>
      </c>
      <c r="D1723" t="inlineStr">
        <is>
          <t>Percent</t>
        </is>
      </c>
      <c r="E1723" t="inlineStr">
        <is>
          <t>Original</t>
        </is>
      </c>
      <c r="F1723" t="inlineStr">
        <is>
          <t>6401018.xlsx</t>
        </is>
      </c>
      <c r="G1723" t="inlineStr">
        <is>
          <t>1989Q4</t>
        </is>
      </c>
      <c r="H1723" t="inlineStr">
        <is>
          <t>2026Q2</t>
        </is>
      </c>
      <c r="FR1723" s="2">
        <v>1</v>
      </c>
      <c r="FS1723" s="2">
        <v>1.1</v>
      </c>
      <c r="FT1723" s="2">
        <v>1.2</v>
      </c>
      <c r="FU1723" s="2">
        <v>3.6</v>
      </c>
      <c r="FV1723" s="2">
        <v>0.9</v>
      </c>
      <c r="FW1723" s="2">
        <v>0.7</v>
      </c>
      <c r="FX1723" s="2">
        <v>1.7</v>
      </c>
      <c r="FY1723" s="2">
        <v>-3.1</v>
      </c>
      <c r="FZ1723" s="2">
        <v>5.4</v>
      </c>
      <c r="GA1723" s="2">
        <v>0.1</v>
      </c>
      <c r="GB1723" s="2">
        <v>0</v>
      </c>
      <c r="GC1723" s="2">
        <v>0.5</v>
      </c>
      <c r="GD1723" s="2">
        <v>-0.2</v>
      </c>
      <c r="GE1723" s="2">
        <v>-0.5</v>
      </c>
      <c r="GF1723" s="2">
        <v>0.3</v>
      </c>
      <c r="GG1723" s="2">
        <v>1.4</v>
      </c>
      <c r="GH1723" s="2">
        <v>0.9</v>
      </c>
      <c r="GI1723" s="2">
        <v>2.4</v>
      </c>
      <c r="GJ1723" s="2">
        <v>1.6</v>
      </c>
      <c r="GK1723" s="2">
        <v>2.7</v>
      </c>
      <c r="GL1723" s="2">
        <v>0.7</v>
      </c>
      <c r="GM1723" s="2">
        <v>1</v>
      </c>
      <c r="GN1723" s="2">
        <v>1.1</v>
      </c>
      <c r="GO1723" s="2">
        <v>3.8</v>
      </c>
      <c r="GP1723" s="2">
        <v>2.6</v>
      </c>
      <c r="GQ1723" s="2">
        <v>1</v>
      </c>
      <c r="GR1723" s="2">
        <v>0.7</v>
      </c>
      <c r="GS1723" s="2">
        <v>1.2</v>
      </c>
      <c r="GT1723" s="2">
        <v>1.5</v>
      </c>
      <c r="GU1723" s="2">
        <v>1.8</v>
      </c>
      <c r="GV1723" s="2">
        <v>1.3</v>
      </c>
      <c r="GW1723" s="2">
        <v>1.3</v>
      </c>
      <c r="GX1723" s="2">
        <v>0.8</v>
      </c>
      <c r="GY1723" s="2">
        <v>0.5</v>
      </c>
      <c r="GZ1723" s="2">
        <v>0.7</v>
      </c>
      <c r="HA1723" s="2">
        <v>2.2</v>
      </c>
      <c r="HB1723" s="2">
        <v>1.8</v>
      </c>
      <c r="HC1723" s="2">
        <v>-0.6</v>
      </c>
      <c r="HD1723" s="2">
        <v>0.4</v>
      </c>
      <c r="HE1723" s="2">
        <v>3.7</v>
      </c>
      <c r="HF1723" s="2">
        <v>6.4</v>
      </c>
      <c r="HG1723" s="2">
        <v>8.199999999999999</v>
      </c>
      <c r="HH1723" s="2">
        <v>9.6</v>
      </c>
      <c r="HI1723" s="2">
        <v>5</v>
      </c>
      <c r="HJ1723" s="2">
        <v>0.8</v>
      </c>
      <c r="HK1723" s="2">
        <v>1.8</v>
      </c>
      <c r="HL1723" s="2">
        <v>1.6</v>
      </c>
      <c r="HM1723" s="2">
        <v>2.7</v>
      </c>
      <c r="HN1723" s="2">
        <v>-0.2</v>
      </c>
      <c r="HO1723" s="2">
        <v>2.6</v>
      </c>
      <c r="HP1723" s="2">
        <v>0.5</v>
      </c>
      <c r="HQ1723" s="2">
        <v>1.3</v>
      </c>
      <c r="HR1723" s="2">
        <v>0.3</v>
      </c>
      <c r="HS1723" s="2">
        <v>-0.1</v>
      </c>
      <c r="HT1723" s="2">
        <v>-0.1</v>
      </c>
      <c r="HU1723" s="2">
        <v>1.5</v>
      </c>
      <c r="HV1723" s="2">
        <v>-0.1</v>
      </c>
      <c r="HW1723" s="2">
        <v>0.9</v>
      </c>
      <c r="HX1723" s="2">
        <v>-0.5</v>
      </c>
      <c r="HY1723" s="2">
        <v>1.1</v>
      </c>
      <c r="HZ1723" s="2">
        <v>0.1</v>
      </c>
      <c r="IA1723" s="2">
        <v>0.6</v>
      </c>
      <c r="IB1723" s="2">
        <v>1.1</v>
      </c>
      <c r="IC1723" s="2">
        <v>1.2</v>
      </c>
      <c r="ID1723" s="2">
        <v>0.9</v>
      </c>
      <c r="IE1723" s="2">
        <v>0.7</v>
      </c>
      <c r="IF1723" s="2">
        <v>0.9</v>
      </c>
      <c r="IG1723" s="2">
        <v>2.2</v>
      </c>
      <c r="IH1723" s="2">
        <v>-0.6</v>
      </c>
      <c r="II1723" s="2">
        <v>-0.1</v>
      </c>
      <c r="IJ1723" s="2">
        <v>0.8</v>
      </c>
      <c r="IK1723" s="2">
        <v>1</v>
      </c>
      <c r="IL1723" s="2">
        <v>1.2</v>
      </c>
      <c r="IM1723" s="2">
        <v>2.1</v>
      </c>
      <c r="IN1723" s="2">
        <v>2.5</v>
      </c>
      <c r="IO1723" s="2">
        <v>2.9</v>
      </c>
      <c r="IP1723" s="2">
        <v>1.7</v>
      </c>
      <c r="IQ1723" s="2">
        <v>2.8</v>
      </c>
      <c r="IR1723" s="2">
        <v>1.3</v>
      </c>
      <c r="IS1723" s="2">
        <v>2.8</v>
      </c>
      <c r="IT1723" s="2">
        <v>1.3</v>
      </c>
      <c r="IU1723" s="2">
        <v>1.6</v>
      </c>
      <c r="IV1723" s="2">
        <v>-0.5</v>
      </c>
      <c r="IW1723" s="2">
        <v>1.9</v>
      </c>
      <c r="IX1723" s="2">
        <v>0.5</v>
      </c>
      <c r="IY1723" s="2">
        <v>1.2</v>
      </c>
      <c r="IZ1723" s="2">
        <v>1.6</v>
      </c>
      <c r="JA1723" s="2">
        <v>2.8</v>
      </c>
      <c r="JB1723" s="2">
        <v>1.3</v>
      </c>
      <c r="JC1723" s="2">
        <v>1.3</v>
      </c>
      <c r="JD1723" s="2">
        <v>1.3</v>
      </c>
      <c r="JE1723" s="2">
        <v>2.7</v>
      </c>
      <c r="JF1723" s="2">
        <v>2.9</v>
      </c>
      <c r="JG1723" s="2">
        <v>1.9</v>
      </c>
      <c r="JH1723" s="2">
        <v>-0.1</v>
      </c>
      <c r="JI1723" s="2">
        <v>-0.7</v>
      </c>
      <c r="JJ1723" s="2">
        <v>-0.1</v>
      </c>
      <c r="JK1723" s="2">
        <v>0.2</v>
      </c>
      <c r="JL1723" s="2">
        <v>-1.2</v>
      </c>
      <c r="JM1723" s="2">
        <v>0.7</v>
      </c>
      <c r="JN1723" s="2">
        <v>1.3</v>
      </c>
      <c r="JO1723" s="2">
        <v>0.4</v>
      </c>
      <c r="JP1723" s="2">
        <v>0.3</v>
      </c>
      <c r="JQ1723" s="2">
        <v>1.1</v>
      </c>
      <c r="JR1723" s="2">
        <v>2</v>
      </c>
      <c r="JS1723" s="2">
        <v>1.7</v>
      </c>
      <c r="JT1723" s="2">
        <v>1.3</v>
      </c>
      <c r="JU1723" s="2">
        <v>2.5</v>
      </c>
      <c r="JV1723" s="2">
        <v>2</v>
      </c>
      <c r="KA1723" s="2">
        <v>0.8</v>
      </c>
      <c r="KB1723" s="2">
        <v>-1</v>
      </c>
      <c r="KC1723" s="2">
        <v>1.8</v>
      </c>
      <c r="KD1723" s="2">
        <v>1.8</v>
      </c>
      <c r="KQ1723" s="2">
        <v>0.7</v>
      </c>
      <c r="KR1723" s="2">
        <v>0.9</v>
      </c>
      <c r="KS1723" s="2">
        <v>0.7</v>
      </c>
      <c r="KT1723" s="2">
        <v>0.7</v>
      </c>
      <c r="LG1723" s="2">
        <v>-0.3</v>
      </c>
      <c r="LH1723" s="2">
        <v>0.1</v>
      </c>
      <c r="LI1723" s="2">
        <v>0.6</v>
      </c>
      <c r="LJ1723" s="2">
        <v>0.4</v>
      </c>
      <c r="LW1723" s="2">
        <v>0.7</v>
      </c>
      <c r="LX1723" s="2">
        <v>0.7</v>
      </c>
      <c r="LY1723" s="2">
        <v>0.5</v>
      </c>
      <c r="LZ1723" s="2">
        <v>0.7</v>
      </c>
      <c r="MM1723" s="2">
        <v>0.4</v>
      </c>
      <c r="MN1723" s="2">
        <v>1.3</v>
      </c>
      <c r="MO1723" s="2">
        <v>1.2</v>
      </c>
      <c r="MP1723" s="2">
        <v>0.5</v>
      </c>
      <c r="NC1723" s="2">
        <v>1.1</v>
      </c>
      <c r="ND1723" s="2">
        <v>0.3</v>
      </c>
      <c r="NE1723" s="2">
        <v>2.3</v>
      </c>
      <c r="NF1723" s="2">
        <v>2.4</v>
      </c>
      <c r="NS1723" s="2">
        <v>3.5</v>
      </c>
      <c r="NT1723" s="2">
        <v>5.2</v>
      </c>
      <c r="NU1723" s="2">
        <v>2.8</v>
      </c>
      <c r="NV1723" s="2">
        <v>3.8</v>
      </c>
      <c r="OI1723" s="2">
        <v>3.7</v>
      </c>
      <c r="OJ1723" s="2">
        <v>3</v>
      </c>
      <c r="OK1723" s="2">
        <v>2.8</v>
      </c>
      <c r="OL1723" s="2">
        <v>1</v>
      </c>
      <c r="OY1723" s="2">
        <v>0.6</v>
      </c>
      <c r="OZ1723" s="2">
        <v>-0.5</v>
      </c>
      <c r="PA1723" s="2">
        <v>1.5</v>
      </c>
      <c r="PB1723" s="2">
        <v>1.1</v>
      </c>
      <c r="PJ1723" s="2">
        <v>2.2</v>
      </c>
      <c r="PK1723" s="2">
        <v>1.1</v>
      </c>
    </row>
    <row r="1724">
      <c r="A1724" t="inlineStr">
        <is>
          <t>A3602882X</t>
        </is>
      </c>
      <c r="B1724" t="inlineStr">
        <is>
          <t>Percentage Change from Previous Period ;  Insurance ;  Australia ;</t>
        </is>
      </c>
      <c r="C1724" t="inlineStr">
        <is>
          <t>Quarter</t>
        </is>
      </c>
      <c r="D1724" t="inlineStr">
        <is>
          <t>Percent</t>
        </is>
      </c>
      <c r="E1724" t="inlineStr">
        <is>
          <t>Original</t>
        </is>
      </c>
      <c r="F1724" t="inlineStr">
        <is>
          <t>6401018.xlsx</t>
        </is>
      </c>
      <c r="G1724" t="inlineStr">
        <is>
          <t>1989Q4</t>
        </is>
      </c>
      <c r="H1724" t="inlineStr">
        <is>
          <t>2026Q2</t>
        </is>
      </c>
      <c r="FR1724" s="2">
        <v>1</v>
      </c>
      <c r="FS1724" s="2">
        <v>1.1</v>
      </c>
      <c r="FT1724" s="2">
        <v>1.2</v>
      </c>
      <c r="FU1724" s="2">
        <v>3.6</v>
      </c>
      <c r="FV1724" s="2">
        <v>0.9</v>
      </c>
      <c r="FW1724" s="2">
        <v>0.7</v>
      </c>
      <c r="FX1724" s="2">
        <v>1.7</v>
      </c>
      <c r="FY1724" s="2">
        <v>-3.1</v>
      </c>
      <c r="FZ1724" s="2">
        <v>5.4</v>
      </c>
      <c r="GA1724" s="2">
        <v>0.1</v>
      </c>
      <c r="GB1724" s="2">
        <v>0</v>
      </c>
      <c r="GC1724" s="2">
        <v>0.5</v>
      </c>
      <c r="GD1724" s="2">
        <v>-0.2</v>
      </c>
      <c r="GE1724" s="2">
        <v>-0.5</v>
      </c>
      <c r="GF1724" s="2">
        <v>0.3</v>
      </c>
      <c r="GG1724" s="2">
        <v>1.4</v>
      </c>
      <c r="GH1724" s="2">
        <v>0.9</v>
      </c>
      <c r="GI1724" s="2">
        <v>2.4</v>
      </c>
      <c r="GJ1724" s="2">
        <v>1.6</v>
      </c>
      <c r="GK1724" s="2">
        <v>2.7</v>
      </c>
      <c r="GL1724" s="2">
        <v>0.7</v>
      </c>
      <c r="GM1724" s="2">
        <v>1</v>
      </c>
      <c r="GN1724" s="2">
        <v>1.1</v>
      </c>
      <c r="GO1724" s="2">
        <v>3.8</v>
      </c>
      <c r="GP1724" s="2">
        <v>2.6</v>
      </c>
      <c r="GQ1724" s="2">
        <v>1</v>
      </c>
      <c r="GR1724" s="2">
        <v>0.7</v>
      </c>
      <c r="GS1724" s="2">
        <v>1.2</v>
      </c>
      <c r="GT1724" s="2">
        <v>1.5</v>
      </c>
      <c r="GU1724" s="2">
        <v>1.8</v>
      </c>
      <c r="GV1724" s="2">
        <v>1.3</v>
      </c>
      <c r="GW1724" s="2">
        <v>1.3</v>
      </c>
      <c r="GX1724" s="2">
        <v>0.8</v>
      </c>
      <c r="GY1724" s="2">
        <v>0.5</v>
      </c>
      <c r="GZ1724" s="2">
        <v>0.7</v>
      </c>
      <c r="HA1724" s="2">
        <v>2.2</v>
      </c>
      <c r="HB1724" s="2">
        <v>1.8</v>
      </c>
      <c r="HC1724" s="2">
        <v>-0.6</v>
      </c>
      <c r="HD1724" s="2">
        <v>0.4</v>
      </c>
      <c r="HE1724" s="2">
        <v>3.7</v>
      </c>
      <c r="HF1724" s="2">
        <v>6.4</v>
      </c>
      <c r="HG1724" s="2">
        <v>8.199999999999999</v>
      </c>
      <c r="HH1724" s="2">
        <v>9.6</v>
      </c>
      <c r="HI1724" s="2">
        <v>5</v>
      </c>
      <c r="HJ1724" s="2">
        <v>0.8</v>
      </c>
      <c r="HK1724" s="2">
        <v>1.8</v>
      </c>
      <c r="HL1724" s="2">
        <v>1.6</v>
      </c>
      <c r="HM1724" s="2">
        <v>2.7</v>
      </c>
      <c r="HN1724" s="2">
        <v>-0.2</v>
      </c>
      <c r="HO1724" s="2">
        <v>2.6</v>
      </c>
      <c r="HP1724" s="2">
        <v>0.5</v>
      </c>
      <c r="HQ1724" s="2">
        <v>1.3</v>
      </c>
      <c r="HR1724" s="2">
        <v>0.3</v>
      </c>
      <c r="HS1724" s="2">
        <v>-0.1</v>
      </c>
      <c r="HT1724" s="2">
        <v>-0.1</v>
      </c>
      <c r="HU1724" s="2">
        <v>1.5</v>
      </c>
      <c r="HV1724" s="2">
        <v>-0.1</v>
      </c>
      <c r="HW1724" s="2">
        <v>0.9</v>
      </c>
      <c r="HX1724" s="2">
        <v>-0.5</v>
      </c>
      <c r="HY1724" s="2">
        <v>1.1</v>
      </c>
      <c r="HZ1724" s="2">
        <v>0.1</v>
      </c>
      <c r="IA1724" s="2">
        <v>0.6</v>
      </c>
      <c r="IB1724" s="2">
        <v>1.1</v>
      </c>
      <c r="IC1724" s="2">
        <v>1.2</v>
      </c>
      <c r="ID1724" s="2">
        <v>0.9</v>
      </c>
      <c r="IE1724" s="2">
        <v>0.7</v>
      </c>
      <c r="IF1724" s="2">
        <v>0.9</v>
      </c>
      <c r="IG1724" s="2">
        <v>2.2</v>
      </c>
      <c r="IH1724" s="2">
        <v>-0.6</v>
      </c>
      <c r="II1724" s="2">
        <v>-0.1</v>
      </c>
      <c r="IJ1724" s="2">
        <v>0.8</v>
      </c>
      <c r="IK1724" s="2">
        <v>1</v>
      </c>
      <c r="IL1724" s="2">
        <v>1.2</v>
      </c>
      <c r="IM1724" s="2">
        <v>2.1</v>
      </c>
      <c r="IN1724" s="2">
        <v>2.5</v>
      </c>
      <c r="IO1724" s="2">
        <v>2.9</v>
      </c>
      <c r="IP1724" s="2">
        <v>1.7</v>
      </c>
      <c r="IQ1724" s="2">
        <v>2.8</v>
      </c>
      <c r="IR1724" s="2">
        <v>1.3</v>
      </c>
      <c r="IS1724" s="2">
        <v>2.8</v>
      </c>
      <c r="IT1724" s="2">
        <v>1.3</v>
      </c>
      <c r="IU1724" s="2">
        <v>1.6</v>
      </c>
      <c r="IV1724" s="2">
        <v>-0.5</v>
      </c>
      <c r="IW1724" s="2">
        <v>1.9</v>
      </c>
      <c r="IX1724" s="2">
        <v>0.5</v>
      </c>
      <c r="IY1724" s="2">
        <v>1.2</v>
      </c>
      <c r="IZ1724" s="2">
        <v>1.6</v>
      </c>
      <c r="JA1724" s="2">
        <v>2.8</v>
      </c>
      <c r="JB1724" s="2">
        <v>1.3</v>
      </c>
      <c r="JC1724" s="2">
        <v>1.3</v>
      </c>
      <c r="JD1724" s="2">
        <v>1.3</v>
      </c>
      <c r="JE1724" s="2">
        <v>2.7</v>
      </c>
      <c r="JF1724" s="2">
        <v>2.9</v>
      </c>
      <c r="JG1724" s="2">
        <v>1.9</v>
      </c>
      <c r="JH1724" s="2">
        <v>-0.1</v>
      </c>
      <c r="JI1724" s="2">
        <v>-0.7</v>
      </c>
      <c r="JJ1724" s="2">
        <v>-0.1</v>
      </c>
      <c r="JK1724" s="2">
        <v>0.2</v>
      </c>
      <c r="JL1724" s="2">
        <v>-1.2</v>
      </c>
      <c r="JM1724" s="2">
        <v>0.7</v>
      </c>
      <c r="JN1724" s="2">
        <v>1.3</v>
      </c>
      <c r="JO1724" s="2">
        <v>0.4</v>
      </c>
      <c r="JP1724" s="2">
        <v>0.3</v>
      </c>
      <c r="JQ1724" s="2">
        <v>1.1</v>
      </c>
      <c r="JR1724" s="2">
        <v>2</v>
      </c>
      <c r="JS1724" s="2">
        <v>1.7</v>
      </c>
      <c r="JT1724" s="2">
        <v>1.3</v>
      </c>
      <c r="JU1724" s="2">
        <v>2.5</v>
      </c>
      <c r="JV1724" s="2">
        <v>2</v>
      </c>
      <c r="KA1724" s="2">
        <v>0.8</v>
      </c>
      <c r="KB1724" s="2">
        <v>-1</v>
      </c>
      <c r="KC1724" s="2">
        <v>1.8</v>
      </c>
      <c r="KD1724" s="2">
        <v>1.8</v>
      </c>
      <c r="KQ1724" s="2">
        <v>0.7</v>
      </c>
      <c r="KR1724" s="2">
        <v>0.9</v>
      </c>
      <c r="KS1724" s="2">
        <v>0.7</v>
      </c>
      <c r="KT1724" s="2">
        <v>0.7</v>
      </c>
      <c r="LG1724" s="2">
        <v>-0.3</v>
      </c>
      <c r="LH1724" s="2">
        <v>0.1</v>
      </c>
      <c r="LI1724" s="2">
        <v>0.6</v>
      </c>
      <c r="LJ1724" s="2">
        <v>0.4</v>
      </c>
      <c r="LW1724" s="2">
        <v>0.7</v>
      </c>
      <c r="LX1724" s="2">
        <v>0.7</v>
      </c>
      <c r="LY1724" s="2">
        <v>0.5</v>
      </c>
      <c r="LZ1724" s="2">
        <v>0.7</v>
      </c>
      <c r="MM1724" s="2">
        <v>0.4</v>
      </c>
      <c r="MN1724" s="2">
        <v>1.3</v>
      </c>
      <c r="MO1724" s="2">
        <v>1.2</v>
      </c>
      <c r="MP1724" s="2">
        <v>0.5</v>
      </c>
      <c r="NC1724" s="2">
        <v>1.1</v>
      </c>
      <c r="ND1724" s="2">
        <v>0.3</v>
      </c>
      <c r="NE1724" s="2">
        <v>2.3</v>
      </c>
      <c r="NF1724" s="2">
        <v>2.4</v>
      </c>
      <c r="NS1724" s="2">
        <v>3.5</v>
      </c>
      <c r="NT1724" s="2">
        <v>5.2</v>
      </c>
      <c r="NU1724" s="2">
        <v>2.8</v>
      </c>
      <c r="NV1724" s="2">
        <v>3.8</v>
      </c>
      <c r="OI1724" s="2">
        <v>3.7</v>
      </c>
      <c r="OJ1724" s="2">
        <v>3</v>
      </c>
      <c r="OK1724" s="2">
        <v>2.8</v>
      </c>
      <c r="OL1724" s="2">
        <v>1</v>
      </c>
      <c r="OY1724" s="2">
        <v>0.6</v>
      </c>
      <c r="OZ1724" s="2">
        <v>-0.5</v>
      </c>
      <c r="PA1724" s="2">
        <v>1.5</v>
      </c>
      <c r="PB1724" s="2">
        <v>1.1</v>
      </c>
      <c r="PJ1724" s="2">
        <v>2.2</v>
      </c>
      <c r="PK1724" s="2">
        <v>1.1</v>
      </c>
    </row>
    <row r="1725">
      <c r="A1725" t="inlineStr">
        <is>
          <t>A3604457W</t>
        </is>
      </c>
      <c r="B1725" t="inlineStr">
        <is>
          <t>Percentage Change from Previous Period ;  Financial services ;  Australia ;</t>
        </is>
      </c>
      <c r="C1725" t="inlineStr">
        <is>
          <t>Quarter</t>
        </is>
      </c>
      <c r="D1725" t="inlineStr">
        <is>
          <t>Percent</t>
        </is>
      </c>
      <c r="E1725" t="inlineStr">
        <is>
          <t>Original</t>
        </is>
      </c>
      <c r="F1725" t="inlineStr">
        <is>
          <t>6401018.xlsx</t>
        </is>
      </c>
      <c r="G1725" t="inlineStr">
        <is>
          <t>2011Q3</t>
        </is>
      </c>
      <c r="H1725" t="inlineStr">
        <is>
          <t>2026Q2</t>
        </is>
      </c>
      <c r="JA1725" s="2">
        <v>-0.2</v>
      </c>
      <c r="JB1725" s="2">
        <v>0.4</v>
      </c>
      <c r="JC1725" s="2">
        <v>0.8</v>
      </c>
      <c r="JD1725" s="2">
        <v>0.2</v>
      </c>
      <c r="JE1725" s="2">
        <v>-0.8</v>
      </c>
      <c r="JF1725" s="2">
        <v>1</v>
      </c>
      <c r="JG1725" s="2">
        <v>0</v>
      </c>
      <c r="JH1725" s="2">
        <v>0.5</v>
      </c>
      <c r="JI1725" s="2">
        <v>0.9</v>
      </c>
      <c r="JJ1725" s="2">
        <v>0.3</v>
      </c>
      <c r="JK1725" s="2">
        <v>0.5</v>
      </c>
      <c r="JL1725" s="2">
        <v>0.6</v>
      </c>
      <c r="JM1725" s="2">
        <v>0.5</v>
      </c>
      <c r="JN1725" s="2">
        <v>1</v>
      </c>
      <c r="JO1725" s="2">
        <v>0</v>
      </c>
      <c r="JP1725" s="2">
        <v>0.3</v>
      </c>
      <c r="JQ1725" s="2">
        <v>0.2</v>
      </c>
      <c r="JR1725" s="2">
        <v>0.3</v>
      </c>
      <c r="JS1725" s="2">
        <v>0.2</v>
      </c>
      <c r="JT1725" s="2">
        <v>0</v>
      </c>
      <c r="JU1725" s="2">
        <v>0.3</v>
      </c>
      <c r="JV1725" s="2">
        <v>0</v>
      </c>
      <c r="KA1725" s="2">
        <v>0.6</v>
      </c>
      <c r="KB1725" s="2">
        <v>0.3</v>
      </c>
      <c r="KC1725" s="2">
        <v>0.1</v>
      </c>
      <c r="KD1725" s="2">
        <v>-0.3</v>
      </c>
      <c r="KQ1725" s="2">
        <v>0.2</v>
      </c>
      <c r="KR1725" s="2">
        <v>0.3</v>
      </c>
      <c r="KS1725" s="2">
        <v>0.5</v>
      </c>
      <c r="KT1725" s="2">
        <v>0.2</v>
      </c>
      <c r="LG1725" s="2">
        <v>-0.1</v>
      </c>
      <c r="LH1725" s="2">
        <v>0.2</v>
      </c>
      <c r="LI1725" s="2">
        <v>0.1</v>
      </c>
      <c r="LJ1725" s="2">
        <v>0.4</v>
      </c>
      <c r="LW1725" s="2">
        <v>0.7</v>
      </c>
      <c r="LX1725" s="2">
        <v>0.3</v>
      </c>
      <c r="LY1725" s="2">
        <v>-0.1</v>
      </c>
      <c r="LZ1725" s="2">
        <v>0</v>
      </c>
      <c r="MM1725" s="2">
        <v>-0.1</v>
      </c>
      <c r="MN1725" s="2">
        <v>0.1</v>
      </c>
      <c r="MO1725" s="2">
        <v>0.3</v>
      </c>
      <c r="MP1725" s="2">
        <v>1.4</v>
      </c>
      <c r="NC1725" s="2">
        <v>0.4</v>
      </c>
      <c r="ND1725" s="2">
        <v>1.2</v>
      </c>
      <c r="NE1725" s="2">
        <v>1.1</v>
      </c>
      <c r="NF1725" s="2">
        <v>1.9</v>
      </c>
      <c r="NS1725" s="2">
        <v>1.5</v>
      </c>
      <c r="NT1725" s="2">
        <v>2.4</v>
      </c>
      <c r="NU1725" s="2">
        <v>0.9</v>
      </c>
      <c r="NV1725" s="2">
        <v>1.1</v>
      </c>
      <c r="OI1725" s="2">
        <v>1.5</v>
      </c>
      <c r="OJ1725" s="2">
        <v>0.7</v>
      </c>
      <c r="OK1725" s="2">
        <v>0.7</v>
      </c>
      <c r="OL1725" s="2">
        <v>0.7</v>
      </c>
      <c r="OY1725" s="2">
        <v>0.6</v>
      </c>
      <c r="OZ1725" s="2">
        <v>0.8</v>
      </c>
      <c r="PA1725" s="2">
        <v>0.5</v>
      </c>
      <c r="PB1725" s="2">
        <v>0.4</v>
      </c>
      <c r="PJ1725" s="2">
        <v>0.6</v>
      </c>
      <c r="PK1725" s="2">
        <v>0.9</v>
      </c>
    </row>
    <row r="1726">
      <c r="A1726" t="inlineStr">
        <is>
          <t>A3604452K</t>
        </is>
      </c>
      <c r="B1726" t="inlineStr">
        <is>
          <t>Percentage Change from Previous Period ;  Deposit and loan facilities (direct charges) ;  Australia ;</t>
        </is>
      </c>
      <c r="C1726" t="inlineStr">
        <is>
          <t>Quarter</t>
        </is>
      </c>
      <c r="D1726" t="inlineStr">
        <is>
          <t>Percent</t>
        </is>
      </c>
      <c r="E1726" t="inlineStr">
        <is>
          <t>Original</t>
        </is>
      </c>
      <c r="F1726" t="inlineStr">
        <is>
          <t>6401018.xlsx</t>
        </is>
      </c>
      <c r="G1726" t="inlineStr">
        <is>
          <t>2011Q3</t>
        </is>
      </c>
      <c r="H1726" t="inlineStr">
        <is>
          <t>2026Q2</t>
        </is>
      </c>
      <c r="JA1726" s="2">
        <v>-0.5</v>
      </c>
      <c r="JB1726" s="2">
        <v>0</v>
      </c>
      <c r="JC1726" s="2">
        <v>0.3</v>
      </c>
      <c r="JD1726" s="2">
        <v>0.2</v>
      </c>
      <c r="JE1726" s="2">
        <v>-0.4</v>
      </c>
      <c r="JF1726" s="2">
        <v>0.3</v>
      </c>
      <c r="JG1726" s="2">
        <v>-0.1</v>
      </c>
      <c r="JH1726" s="2">
        <v>0.3</v>
      </c>
      <c r="JI1726" s="2">
        <v>-0.2</v>
      </c>
      <c r="JJ1726" s="2">
        <v>-0.3</v>
      </c>
      <c r="JK1726" s="2">
        <v>0.8</v>
      </c>
      <c r="JL1726" s="2">
        <v>0.5</v>
      </c>
      <c r="JM1726" s="2">
        <v>0.3</v>
      </c>
      <c r="JN1726" s="2">
        <v>0.3</v>
      </c>
      <c r="JO1726" s="2">
        <v>-0.2</v>
      </c>
      <c r="JP1726" s="2">
        <v>-0.3</v>
      </c>
      <c r="JQ1726" s="2">
        <v>0.1</v>
      </c>
      <c r="JR1726" s="2">
        <v>0.1</v>
      </c>
      <c r="JS1726" s="2">
        <v>0.1</v>
      </c>
      <c r="JT1726" s="2">
        <v>-0.3</v>
      </c>
      <c r="JU1726" s="2">
        <v>0.6</v>
      </c>
      <c r="JV1726" s="2">
        <v>-0.5</v>
      </c>
      <c r="KA1726" s="2">
        <v>0.8</v>
      </c>
      <c r="KB1726" s="2">
        <v>0.5</v>
      </c>
      <c r="KC1726" s="2">
        <v>0.2</v>
      </c>
      <c r="KD1726" s="2">
        <v>-3</v>
      </c>
      <c r="KQ1726" s="2">
        <v>-0.5</v>
      </c>
      <c r="KR1726" s="2">
        <v>0.1</v>
      </c>
      <c r="KS1726" s="2">
        <v>0.1</v>
      </c>
      <c r="KT1726" s="2">
        <v>0.1</v>
      </c>
      <c r="LG1726" s="2">
        <v>0.2</v>
      </c>
      <c r="LH1726" s="2">
        <v>-0.6</v>
      </c>
      <c r="LI1726" s="2">
        <v>-0.7</v>
      </c>
      <c r="LJ1726" s="2">
        <v>0.8</v>
      </c>
      <c r="LW1726" s="2">
        <v>0.9</v>
      </c>
      <c r="LX1726" s="2">
        <v>-1.4</v>
      </c>
      <c r="LY1726" s="2">
        <v>0.2</v>
      </c>
      <c r="LZ1726" s="2">
        <v>0.7</v>
      </c>
      <c r="MM1726" s="2">
        <v>-0.2</v>
      </c>
      <c r="MN1726" s="2">
        <v>-1</v>
      </c>
      <c r="MO1726" s="2">
        <v>-2.4</v>
      </c>
      <c r="MP1726" s="2">
        <v>0.5</v>
      </c>
      <c r="NC1726" s="2">
        <v>0.2</v>
      </c>
      <c r="ND1726" s="2">
        <v>-1.5</v>
      </c>
      <c r="NE1726" s="2">
        <v>-0.3</v>
      </c>
      <c r="NF1726" s="2">
        <v>0.7</v>
      </c>
      <c r="NS1726" s="2">
        <v>0.3</v>
      </c>
      <c r="NT1726" s="2">
        <v>1.4</v>
      </c>
      <c r="NU1726" s="2">
        <v>1.8</v>
      </c>
      <c r="NV1726" s="2">
        <v>2.4</v>
      </c>
      <c r="OI1726" s="2">
        <v>1.1</v>
      </c>
      <c r="OJ1726" s="2">
        <v>0.7</v>
      </c>
      <c r="OK1726" s="2">
        <v>-1</v>
      </c>
      <c r="OL1726" s="2">
        <v>0.7</v>
      </c>
      <c r="OY1726" s="2">
        <v>0.6</v>
      </c>
      <c r="OZ1726" s="2">
        <v>2.6</v>
      </c>
      <c r="PA1726" s="2">
        <v>1.1</v>
      </c>
      <c r="PB1726" s="2">
        <v>-0.2</v>
      </c>
      <c r="PJ1726" s="2">
        <v>-0.1</v>
      </c>
      <c r="PK1726" s="2">
        <v>0.8</v>
      </c>
    </row>
    <row r="1727">
      <c r="A1727" t="inlineStr">
        <is>
          <t>A2332780F</t>
        </is>
      </c>
      <c r="B1727" t="inlineStr">
        <is>
          <t>Percentage Change from Previous Period ;  Other financial services ;  Australia ;</t>
        </is>
      </c>
      <c r="C1727" t="inlineStr">
        <is>
          <t>Quarter</t>
        </is>
      </c>
      <c r="D1727" t="inlineStr">
        <is>
          <t>Percent</t>
        </is>
      </c>
      <c r="E1727" t="inlineStr">
        <is>
          <t>Original</t>
        </is>
      </c>
      <c r="F1727" t="inlineStr">
        <is>
          <t>6401018.xlsx</t>
        </is>
      </c>
      <c r="G1727" t="inlineStr">
        <is>
          <t>2005Q3</t>
        </is>
      </c>
      <c r="H1727" t="inlineStr">
        <is>
          <t>2026Q2</t>
        </is>
      </c>
      <c r="IC1727" s="2">
        <v>0.6</v>
      </c>
      <c r="ID1727" s="2">
        <v>0.8</v>
      </c>
      <c r="IE1727" s="2">
        <v>0.7</v>
      </c>
      <c r="IF1727" s="2">
        <v>1</v>
      </c>
      <c r="IG1727" s="2">
        <v>0.7</v>
      </c>
      <c r="IH1727" s="2">
        <v>0.8</v>
      </c>
      <c r="II1727" s="2">
        <v>0.3</v>
      </c>
      <c r="IJ1727" s="2">
        <v>0.4</v>
      </c>
      <c r="IK1727" s="2">
        <v>2.3</v>
      </c>
      <c r="IL1727" s="2">
        <v>1.9</v>
      </c>
      <c r="IM1727" s="2">
        <v>2.1</v>
      </c>
      <c r="IN1727" s="2">
        <v>-3</v>
      </c>
      <c r="IO1727" s="2">
        <v>0.8</v>
      </c>
      <c r="IP1727" s="2">
        <v>1.1</v>
      </c>
      <c r="IQ1727" s="2">
        <v>0.6</v>
      </c>
      <c r="IR1727" s="2">
        <v>0.1</v>
      </c>
      <c r="IS1727" s="2">
        <v>-2.4</v>
      </c>
      <c r="IT1727" s="2">
        <v>1.2</v>
      </c>
      <c r="IU1727" s="2">
        <v>0.8</v>
      </c>
      <c r="IV1727" s="2">
        <v>0.8</v>
      </c>
      <c r="IW1727" s="2">
        <v>0.2</v>
      </c>
      <c r="IX1727" s="2">
        <v>0.1</v>
      </c>
      <c r="IY1727" s="2">
        <v>0.9</v>
      </c>
      <c r="IZ1727" s="2">
        <v>0.9</v>
      </c>
      <c r="JA1727" s="2">
        <v>-0.1</v>
      </c>
      <c r="JB1727" s="2">
        <v>0.5</v>
      </c>
      <c r="JC1727" s="2">
        <v>0.9</v>
      </c>
      <c r="JD1727" s="2">
        <v>0.2</v>
      </c>
      <c r="JE1727" s="2">
        <v>-0.9</v>
      </c>
      <c r="JF1727" s="2">
        <v>1.1</v>
      </c>
      <c r="JG1727" s="2">
        <v>0.1</v>
      </c>
      <c r="JH1727" s="2">
        <v>0.5</v>
      </c>
      <c r="JI1727" s="2">
        <v>1.2</v>
      </c>
      <c r="JJ1727" s="2">
        <v>0.4</v>
      </c>
      <c r="JK1727" s="2">
        <v>0.4</v>
      </c>
      <c r="JL1727" s="2">
        <v>0.6</v>
      </c>
      <c r="JM1727" s="2">
        <v>0.5</v>
      </c>
      <c r="JN1727" s="2">
        <v>1.2</v>
      </c>
      <c r="JO1727" s="2">
        <v>0.1</v>
      </c>
      <c r="JP1727" s="2">
        <v>0.5</v>
      </c>
      <c r="JQ1727" s="2">
        <v>0.3</v>
      </c>
      <c r="JR1727" s="2">
        <v>0.3</v>
      </c>
      <c r="JS1727" s="2">
        <v>0.3</v>
      </c>
      <c r="JT1727" s="2">
        <v>0.1</v>
      </c>
      <c r="JU1727" s="2">
        <v>0.2</v>
      </c>
      <c r="JV1727" s="2">
        <v>0.2</v>
      </c>
      <c r="KA1727" s="2">
        <v>0.6</v>
      </c>
      <c r="KB1727" s="2">
        <v>0.3</v>
      </c>
      <c r="KC1727" s="2">
        <v>0.1</v>
      </c>
      <c r="KD1727" s="2">
        <v>0.1</v>
      </c>
      <c r="KQ1727" s="2">
        <v>0.3</v>
      </c>
      <c r="KR1727" s="2">
        <v>0.3</v>
      </c>
      <c r="KS1727" s="2">
        <v>0.5</v>
      </c>
      <c r="KT1727" s="2">
        <v>0.2</v>
      </c>
      <c r="LG1727" s="2">
        <v>-0.2</v>
      </c>
      <c r="LH1727" s="2">
        <v>0.4</v>
      </c>
      <c r="LI1727" s="2">
        <v>0.2</v>
      </c>
      <c r="LJ1727" s="2">
        <v>0.4</v>
      </c>
      <c r="LW1727" s="2">
        <v>0.6</v>
      </c>
      <c r="LX1727" s="2">
        <v>0.5</v>
      </c>
      <c r="LY1727" s="2">
        <v>-0.1</v>
      </c>
      <c r="LZ1727" s="2">
        <v>-0.1</v>
      </c>
      <c r="MM1727" s="2">
        <v>-0.1</v>
      </c>
      <c r="MN1727" s="2">
        <v>0.3</v>
      </c>
      <c r="MO1727" s="2">
        <v>0.7</v>
      </c>
      <c r="MP1727" s="2">
        <v>1.5</v>
      </c>
      <c r="NC1727" s="2">
        <v>0.4</v>
      </c>
      <c r="ND1727" s="2">
        <v>1.5</v>
      </c>
      <c r="NE1727" s="2">
        <v>1.3</v>
      </c>
      <c r="NF1727" s="2">
        <v>2.1</v>
      </c>
      <c r="NS1727" s="2">
        <v>1.6</v>
      </c>
      <c r="NT1727" s="2">
        <v>2.5</v>
      </c>
      <c r="NU1727" s="2">
        <v>0.8</v>
      </c>
      <c r="NV1727" s="2">
        <v>1</v>
      </c>
      <c r="OI1727" s="2">
        <v>1.5</v>
      </c>
      <c r="OJ1727" s="2">
        <v>0.7</v>
      </c>
      <c r="OK1727" s="2">
        <v>0.9</v>
      </c>
      <c r="OL1727" s="2">
        <v>0.7</v>
      </c>
      <c r="OY1727" s="2">
        <v>0.6</v>
      </c>
      <c r="OZ1727" s="2">
        <v>0.6</v>
      </c>
      <c r="PA1727" s="2">
        <v>0.5</v>
      </c>
      <c r="PB1727" s="2">
        <v>0.5</v>
      </c>
      <c r="PJ1727" s="2">
        <v>0.7</v>
      </c>
      <c r="PK1727" s="2">
        <v>0.9</v>
      </c>
    </row>
    <row r="1728">
      <c r="A1728" t="inlineStr">
        <is>
          <t>A3597525W</t>
        </is>
      </c>
      <c r="B1728" t="inlineStr">
        <is>
          <t>Contribution to Total CPI ;  All groups CPI ;  Australia ;</t>
        </is>
      </c>
      <c r="C1728" t="inlineStr">
        <is>
          <t>Quarter</t>
        </is>
      </c>
      <c r="D1728" t="inlineStr">
        <is>
          <t>Index Points</t>
        </is>
      </c>
      <c r="E1728" t="inlineStr">
        <is>
          <t>Original</t>
        </is>
      </c>
      <c r="F1728" t="inlineStr">
        <is>
          <t>6401018.xlsx</t>
        </is>
      </c>
      <c r="G1728" t="inlineStr">
        <is>
          <t>2025Q4</t>
        </is>
      </c>
      <c r="H1728" t="inlineStr">
        <is>
          <t>2026Q2</t>
        </is>
      </c>
      <c r="PB1728" s="2">
        <v>100.32</v>
      </c>
      <c r="PJ1728" s="2">
        <v>101.7</v>
      </c>
      <c r="PK1728" s="2">
        <v>102.31</v>
      </c>
    </row>
    <row r="1729">
      <c r="A1729" t="inlineStr">
        <is>
          <t>A3597570J</t>
        </is>
      </c>
      <c r="B1729" t="inlineStr">
        <is>
          <t>Contribution to Total CPI ;  Food and non-alcoholic beverages ;  Australia ;</t>
        </is>
      </c>
      <c r="C1729" t="inlineStr">
        <is>
          <t>Quarter</t>
        </is>
      </c>
      <c r="D1729" t="inlineStr">
        <is>
          <t>Index Points</t>
        </is>
      </c>
      <c r="E1729" t="inlineStr">
        <is>
          <t>Original</t>
        </is>
      </c>
      <c r="F1729" t="inlineStr">
        <is>
          <t>6401018.xlsx</t>
        </is>
      </c>
      <c r="G1729" t="inlineStr">
        <is>
          <t>2025Q4</t>
        </is>
      </c>
      <c r="H1729" t="inlineStr">
        <is>
          <t>2026Q2</t>
        </is>
      </c>
      <c r="PB1729" s="2">
        <v>17.46</v>
      </c>
      <c r="PJ1729" s="2">
        <v>17.64</v>
      </c>
      <c r="PK1729" s="2">
        <v>17.81</v>
      </c>
    </row>
    <row r="1730">
      <c r="A1730" t="inlineStr">
        <is>
          <t>A3597885A</t>
        </is>
      </c>
      <c r="B1730" t="inlineStr">
        <is>
          <t>Contribution to Total CPI ;  Bread and cereal products ;  Australia ;</t>
        </is>
      </c>
      <c r="C1730" t="inlineStr">
        <is>
          <t>Quarter</t>
        </is>
      </c>
      <c r="D1730" t="inlineStr">
        <is>
          <t>Index Points</t>
        </is>
      </c>
      <c r="E1730" t="inlineStr">
        <is>
          <t>Original</t>
        </is>
      </c>
      <c r="F1730" t="inlineStr">
        <is>
          <t>6401018.xlsx</t>
        </is>
      </c>
      <c r="G1730" t="inlineStr">
        <is>
          <t>2025Q4</t>
        </is>
      </c>
      <c r="H1730" t="inlineStr">
        <is>
          <t>2026Q2</t>
        </is>
      </c>
      <c r="PB1730" s="2">
        <v>1.53</v>
      </c>
      <c r="PJ1730" s="2">
        <v>1.53</v>
      </c>
      <c r="PK1730" s="2">
        <v>1.53</v>
      </c>
    </row>
    <row r="1731">
      <c r="A1731" t="inlineStr">
        <is>
          <t>A3598560W</t>
        </is>
      </c>
      <c r="B1731" t="inlineStr">
        <is>
          <t>Contribution to Total CPI ;  Bread ;  Australia ;</t>
        </is>
      </c>
      <c r="C1731" t="inlineStr">
        <is>
          <t>Quarter</t>
        </is>
      </c>
      <c r="D1731" t="inlineStr">
        <is>
          <t>Index Points</t>
        </is>
      </c>
      <c r="E1731" t="inlineStr">
        <is>
          <t>Original</t>
        </is>
      </c>
      <c r="F1731" t="inlineStr">
        <is>
          <t>6401018.xlsx</t>
        </is>
      </c>
      <c r="G1731" t="inlineStr">
        <is>
          <t>2025Q4</t>
        </is>
      </c>
      <c r="H1731" t="inlineStr">
        <is>
          <t>2026Q2</t>
        </is>
      </c>
      <c r="PB1731" s="2">
        <v>0.6</v>
      </c>
      <c r="PJ1731" s="2">
        <v>0.61</v>
      </c>
      <c r="PK1731" s="2">
        <v>0.61</v>
      </c>
    </row>
    <row r="1732">
      <c r="A1732" t="inlineStr">
        <is>
          <t>A3598605R</t>
        </is>
      </c>
      <c r="B1732" t="inlineStr">
        <is>
          <t>Contribution to Total CPI ;  Cakes and biscuits ;  Australia ;</t>
        </is>
      </c>
      <c r="C1732" t="inlineStr">
        <is>
          <t>Quarter</t>
        </is>
      </c>
      <c r="D1732" t="inlineStr">
        <is>
          <t>Index Points</t>
        </is>
      </c>
      <c r="E1732" t="inlineStr">
        <is>
          <t>Original</t>
        </is>
      </c>
      <c r="F1732" t="inlineStr">
        <is>
          <t>6401018.xlsx</t>
        </is>
      </c>
      <c r="G1732" t="inlineStr">
        <is>
          <t>2025Q4</t>
        </is>
      </c>
      <c r="H1732" t="inlineStr">
        <is>
          <t>2026Q2</t>
        </is>
      </c>
      <c r="PB1732" s="2">
        <v>0.65</v>
      </c>
      <c r="PJ1732" s="2">
        <v>0.65</v>
      </c>
      <c r="PK1732" s="2">
        <v>0.65</v>
      </c>
    </row>
    <row r="1733">
      <c r="A1733" t="inlineStr">
        <is>
          <t>A3598650A</t>
        </is>
      </c>
      <c r="B1733" t="inlineStr">
        <is>
          <t>Contribution to Total CPI ;  Breakfast cereals ;  Australia ;</t>
        </is>
      </c>
      <c r="C1733" t="inlineStr">
        <is>
          <t>Quarter</t>
        </is>
      </c>
      <c r="D1733" t="inlineStr">
        <is>
          <t>Index Points</t>
        </is>
      </c>
      <c r="E1733" t="inlineStr">
        <is>
          <t>Original</t>
        </is>
      </c>
      <c r="F1733" t="inlineStr">
        <is>
          <t>6401018.xlsx</t>
        </is>
      </c>
      <c r="G1733" t="inlineStr">
        <is>
          <t>2025Q4</t>
        </is>
      </c>
      <c r="H1733" t="inlineStr">
        <is>
          <t>2026Q2</t>
        </is>
      </c>
      <c r="PB1733" s="2">
        <v>0.1</v>
      </c>
      <c r="PJ1733" s="2">
        <v>0.1</v>
      </c>
      <c r="PK1733" s="2">
        <v>0.1</v>
      </c>
    </row>
    <row r="1734">
      <c r="A1734" t="inlineStr">
        <is>
          <t>A3598695F</t>
        </is>
      </c>
      <c r="B1734" t="inlineStr">
        <is>
          <t>Contribution to Total CPI ;  Other cereal products ;  Australia ;</t>
        </is>
      </c>
      <c r="C1734" t="inlineStr">
        <is>
          <t>Quarter</t>
        </is>
      </c>
      <c r="D1734" t="inlineStr">
        <is>
          <t>Index Points</t>
        </is>
      </c>
      <c r="E1734" t="inlineStr">
        <is>
          <t>Original</t>
        </is>
      </c>
      <c r="F1734" t="inlineStr">
        <is>
          <t>6401018.xlsx</t>
        </is>
      </c>
      <c r="G1734" t="inlineStr">
        <is>
          <t>2025Q4</t>
        </is>
      </c>
      <c r="H1734" t="inlineStr">
        <is>
          <t>2026Q2</t>
        </is>
      </c>
      <c r="PB1734" s="2">
        <v>0.18</v>
      </c>
      <c r="PJ1734" s="2">
        <v>0.18</v>
      </c>
      <c r="PK1734" s="2">
        <v>0.18</v>
      </c>
    </row>
    <row r="1735">
      <c r="A1735" t="inlineStr">
        <is>
          <t>A3597930A</t>
        </is>
      </c>
      <c r="B1735" t="inlineStr">
        <is>
          <t>Contribution to Total CPI ;  Meat and seafoods ;  Australia ;</t>
        </is>
      </c>
      <c r="C1735" t="inlineStr">
        <is>
          <t>Quarter</t>
        </is>
      </c>
      <c r="D1735" t="inlineStr">
        <is>
          <t>Index Points</t>
        </is>
      </c>
      <c r="E1735" t="inlineStr">
        <is>
          <t>Original</t>
        </is>
      </c>
      <c r="F1735" t="inlineStr">
        <is>
          <t>6401018.xlsx</t>
        </is>
      </c>
      <c r="G1735" t="inlineStr">
        <is>
          <t>2025Q4</t>
        </is>
      </c>
      <c r="H1735" t="inlineStr">
        <is>
          <t>2026Q2</t>
        </is>
      </c>
      <c r="PB1735" s="2">
        <v>2.15</v>
      </c>
      <c r="PJ1735" s="2">
        <v>2.18</v>
      </c>
      <c r="PK1735" s="2">
        <v>2.2</v>
      </c>
    </row>
    <row r="1736">
      <c r="A1736" t="inlineStr">
        <is>
          <t>A3598740F</t>
        </is>
      </c>
      <c r="B1736" t="inlineStr">
        <is>
          <t>Contribution to Total CPI ;  Beef and veal ;  Australia ;</t>
        </is>
      </c>
      <c r="C1736" t="inlineStr">
        <is>
          <t>Quarter</t>
        </is>
      </c>
      <c r="D1736" t="inlineStr">
        <is>
          <t>Index Points</t>
        </is>
      </c>
      <c r="E1736" t="inlineStr">
        <is>
          <t>Original</t>
        </is>
      </c>
      <c r="F1736" t="inlineStr">
        <is>
          <t>6401018.xlsx</t>
        </is>
      </c>
      <c r="G1736" t="inlineStr">
        <is>
          <t>2025Q4</t>
        </is>
      </c>
      <c r="H1736" t="inlineStr">
        <is>
          <t>2026Q2</t>
        </is>
      </c>
      <c r="PB1736" s="2">
        <v>0.45</v>
      </c>
      <c r="PJ1736" s="2">
        <v>0.47</v>
      </c>
      <c r="PK1736" s="2">
        <v>0.47</v>
      </c>
    </row>
    <row r="1737">
      <c r="A1737" t="inlineStr">
        <is>
          <t>A3604360A</t>
        </is>
      </c>
      <c r="B1737" t="inlineStr">
        <is>
          <t>Contribution to Total CPI ;  Pork ;  Australia ;</t>
        </is>
      </c>
      <c r="C1737" t="inlineStr">
        <is>
          <t>Quarter</t>
        </is>
      </c>
      <c r="D1737" t="inlineStr">
        <is>
          <t>Index Points</t>
        </is>
      </c>
      <c r="E1737" t="inlineStr">
        <is>
          <t>Original</t>
        </is>
      </c>
      <c r="F1737" t="inlineStr">
        <is>
          <t>6401018.xlsx</t>
        </is>
      </c>
      <c r="G1737" t="inlineStr">
        <is>
          <t>2025Q4</t>
        </is>
      </c>
      <c r="H1737" t="inlineStr">
        <is>
          <t>2026Q2</t>
        </is>
      </c>
      <c r="PB1737" s="2">
        <v>0.26</v>
      </c>
      <c r="PJ1737" s="2">
        <v>0.27</v>
      </c>
      <c r="PK1737" s="2">
        <v>0.27</v>
      </c>
    </row>
    <row r="1738">
      <c r="A1738" t="inlineStr">
        <is>
          <t>A3598785K</t>
        </is>
      </c>
      <c r="B1738" t="inlineStr">
        <is>
          <t>Contribution to Total CPI ;  Lamb and goat ;  Australia ;</t>
        </is>
      </c>
      <c r="C1738" t="inlineStr">
        <is>
          <t>Quarter</t>
        </is>
      </c>
      <c r="D1738" t="inlineStr">
        <is>
          <t>Index Points</t>
        </is>
      </c>
      <c r="E1738" t="inlineStr">
        <is>
          <t>Original</t>
        </is>
      </c>
      <c r="F1738" t="inlineStr">
        <is>
          <t>6401018.xlsx</t>
        </is>
      </c>
      <c r="G1738" t="inlineStr">
        <is>
          <t>2025Q4</t>
        </is>
      </c>
      <c r="H1738" t="inlineStr">
        <is>
          <t>2026Q2</t>
        </is>
      </c>
      <c r="PB1738" s="2">
        <v>0.27</v>
      </c>
      <c r="PJ1738" s="2">
        <v>0.27</v>
      </c>
      <c r="PK1738" s="2">
        <v>0.27</v>
      </c>
    </row>
    <row r="1739">
      <c r="A1739" t="inlineStr">
        <is>
          <t>A3598830K</t>
        </is>
      </c>
      <c r="B1739" t="inlineStr">
        <is>
          <t>Contribution to Total CPI ;  Poultry ;  Australia ;</t>
        </is>
      </c>
      <c r="C1739" t="inlineStr">
        <is>
          <t>Quarter</t>
        </is>
      </c>
      <c r="D1739" t="inlineStr">
        <is>
          <t>Index Points</t>
        </is>
      </c>
      <c r="E1739" t="inlineStr">
        <is>
          <t>Original</t>
        </is>
      </c>
      <c r="F1739" t="inlineStr">
        <is>
          <t>6401018.xlsx</t>
        </is>
      </c>
      <c r="G1739" t="inlineStr">
        <is>
          <t>2025Q4</t>
        </is>
      </c>
      <c r="H1739" t="inlineStr">
        <is>
          <t>2026Q2</t>
        </is>
      </c>
      <c r="PB1739" s="2">
        <v>0.41</v>
      </c>
      <c r="PJ1739" s="2">
        <v>0.41</v>
      </c>
      <c r="PK1739" s="2">
        <v>0.42</v>
      </c>
    </row>
    <row r="1740">
      <c r="A1740" t="inlineStr">
        <is>
          <t>A3598875R</t>
        </is>
      </c>
      <c r="B1740" t="inlineStr">
        <is>
          <t>Contribution to Total CPI ;  Other meats ;  Australia ;</t>
        </is>
      </c>
      <c r="C1740" t="inlineStr">
        <is>
          <t>Quarter</t>
        </is>
      </c>
      <c r="D1740" t="inlineStr">
        <is>
          <t>Index Points</t>
        </is>
      </c>
      <c r="E1740" t="inlineStr">
        <is>
          <t>Original</t>
        </is>
      </c>
      <c r="F1740" t="inlineStr">
        <is>
          <t>6401018.xlsx</t>
        </is>
      </c>
      <c r="G1740" t="inlineStr">
        <is>
          <t>2025Q4</t>
        </is>
      </c>
      <c r="H1740" t="inlineStr">
        <is>
          <t>2026Q2</t>
        </is>
      </c>
      <c r="PB1740" s="2">
        <v>0.39</v>
      </c>
      <c r="PJ1740" s="2">
        <v>0.4</v>
      </c>
      <c r="PK1740" s="2">
        <v>0.4</v>
      </c>
    </row>
    <row r="1741">
      <c r="A1741" t="inlineStr">
        <is>
          <t>A3598920R</t>
        </is>
      </c>
      <c r="B1741" t="inlineStr">
        <is>
          <t>Contribution to Total CPI ;  Fish and other seafood ;  Australia ;</t>
        </is>
      </c>
      <c r="C1741" t="inlineStr">
        <is>
          <t>Quarter</t>
        </is>
      </c>
      <c r="D1741" t="inlineStr">
        <is>
          <t>Index Points</t>
        </is>
      </c>
      <c r="E1741" t="inlineStr">
        <is>
          <t>Original</t>
        </is>
      </c>
      <c r="F1741" t="inlineStr">
        <is>
          <t>6401018.xlsx</t>
        </is>
      </c>
      <c r="G1741" t="inlineStr">
        <is>
          <t>2025Q4</t>
        </is>
      </c>
      <c r="H1741" t="inlineStr">
        <is>
          <t>2026Q2</t>
        </is>
      </c>
      <c r="PB1741" s="2">
        <v>0.37</v>
      </c>
      <c r="PJ1741" s="2">
        <v>0.37</v>
      </c>
      <c r="PK1741" s="2">
        <v>0.37</v>
      </c>
    </row>
    <row r="1742">
      <c r="A1742" t="inlineStr">
        <is>
          <t>A3597840W</t>
        </is>
      </c>
      <c r="B1742" t="inlineStr">
        <is>
          <t>Contribution to Total CPI ;  Dairy and related products ;  Australia ;</t>
        </is>
      </c>
      <c r="C1742" t="inlineStr">
        <is>
          <t>Quarter</t>
        </is>
      </c>
      <c r="D1742" t="inlineStr">
        <is>
          <t>Index Points</t>
        </is>
      </c>
      <c r="E1742" t="inlineStr">
        <is>
          <t>Original</t>
        </is>
      </c>
      <c r="F1742" t="inlineStr">
        <is>
          <t>6401018.xlsx</t>
        </is>
      </c>
      <c r="G1742" t="inlineStr">
        <is>
          <t>2025Q4</t>
        </is>
      </c>
      <c r="H1742" t="inlineStr">
        <is>
          <t>2026Q2</t>
        </is>
      </c>
      <c r="PB1742" s="2">
        <v>1.07</v>
      </c>
      <c r="PJ1742" s="2">
        <v>1.07</v>
      </c>
      <c r="PK1742" s="2">
        <v>1.1</v>
      </c>
    </row>
    <row r="1743">
      <c r="A1743" t="inlineStr">
        <is>
          <t>A3598425F</t>
        </is>
      </c>
      <c r="B1743" t="inlineStr">
        <is>
          <t>Contribution to Total CPI ;  Milk ;  Australia ;</t>
        </is>
      </c>
      <c r="C1743" t="inlineStr">
        <is>
          <t>Quarter</t>
        </is>
      </c>
      <c r="D1743" t="inlineStr">
        <is>
          <t>Index Points</t>
        </is>
      </c>
      <c r="E1743" t="inlineStr">
        <is>
          <t>Original</t>
        </is>
      </c>
      <c r="F1743" t="inlineStr">
        <is>
          <t>6401018.xlsx</t>
        </is>
      </c>
      <c r="G1743" t="inlineStr">
        <is>
          <t>2025Q4</t>
        </is>
      </c>
      <c r="H1743" t="inlineStr">
        <is>
          <t>2026Q2</t>
        </is>
      </c>
      <c r="PB1743" s="2">
        <v>0.42</v>
      </c>
      <c r="PJ1743" s="2">
        <v>0.42</v>
      </c>
      <c r="PK1743" s="2">
        <v>0.44</v>
      </c>
    </row>
    <row r="1744">
      <c r="A1744" t="inlineStr">
        <is>
          <t>A3598470T</t>
        </is>
      </c>
      <c r="B1744" t="inlineStr">
        <is>
          <t>Contribution to Total CPI ;  Cheese ;  Australia ;</t>
        </is>
      </c>
      <c r="C1744" t="inlineStr">
        <is>
          <t>Quarter</t>
        </is>
      </c>
      <c r="D1744" t="inlineStr">
        <is>
          <t>Index Points</t>
        </is>
      </c>
      <c r="E1744" t="inlineStr">
        <is>
          <t>Original</t>
        </is>
      </c>
      <c r="F1744" t="inlineStr">
        <is>
          <t>6401018.xlsx</t>
        </is>
      </c>
      <c r="G1744" t="inlineStr">
        <is>
          <t>2025Q4</t>
        </is>
      </c>
      <c r="H1744" t="inlineStr">
        <is>
          <t>2026Q2</t>
        </is>
      </c>
      <c r="PB1744" s="2">
        <v>0.33</v>
      </c>
      <c r="PJ1744" s="2">
        <v>0.33</v>
      </c>
      <c r="PK1744" s="2">
        <v>0.33</v>
      </c>
    </row>
    <row r="1745">
      <c r="A1745" t="inlineStr">
        <is>
          <t>A3598515K</t>
        </is>
      </c>
      <c r="B1745" t="inlineStr">
        <is>
          <t>Contribution to Total CPI ;  Ice cream and other dairy products ;  Australia ;</t>
        </is>
      </c>
      <c r="C1745" t="inlineStr">
        <is>
          <t>Quarter</t>
        </is>
      </c>
      <c r="D1745" t="inlineStr">
        <is>
          <t>Index Points</t>
        </is>
      </c>
      <c r="E1745" t="inlineStr">
        <is>
          <t>Original</t>
        </is>
      </c>
      <c r="F1745" t="inlineStr">
        <is>
          <t>6401018.xlsx</t>
        </is>
      </c>
      <c r="G1745" t="inlineStr">
        <is>
          <t>2025Q4</t>
        </is>
      </c>
      <c r="H1745" t="inlineStr">
        <is>
          <t>2026Q2</t>
        </is>
      </c>
      <c r="PB1745" s="2">
        <v>0.32</v>
      </c>
      <c r="PJ1745" s="2">
        <v>0.32</v>
      </c>
      <c r="PK1745" s="2">
        <v>0.33</v>
      </c>
    </row>
    <row r="1746">
      <c r="A1746" t="inlineStr">
        <is>
          <t>A3601980K</t>
        </is>
      </c>
      <c r="B1746" t="inlineStr">
        <is>
          <t>Contribution to Total CPI ;  Fruit and vegetables ;  Australia ;</t>
        </is>
      </c>
      <c r="C1746" t="inlineStr">
        <is>
          <t>Quarter</t>
        </is>
      </c>
      <c r="D1746" t="inlineStr">
        <is>
          <t>Index Points</t>
        </is>
      </c>
      <c r="E1746" t="inlineStr">
        <is>
          <t>Original</t>
        </is>
      </c>
      <c r="F1746" t="inlineStr">
        <is>
          <t>6401018.xlsx</t>
        </is>
      </c>
      <c r="G1746" t="inlineStr">
        <is>
          <t>2025Q4</t>
        </is>
      </c>
      <c r="H1746" t="inlineStr">
        <is>
          <t>2026Q2</t>
        </is>
      </c>
      <c r="PB1746" s="2">
        <v>2.02</v>
      </c>
      <c r="PJ1746" s="2">
        <v>2.06</v>
      </c>
      <c r="PK1746" s="2">
        <v>2.13</v>
      </c>
    </row>
    <row r="1747">
      <c r="A1747" t="inlineStr">
        <is>
          <t>A3602025F</t>
        </is>
      </c>
      <c r="B1747" t="inlineStr">
        <is>
          <t>Contribution to Total CPI ;  Fruit ;  Australia ;</t>
        </is>
      </c>
      <c r="C1747" t="inlineStr">
        <is>
          <t>Quarter</t>
        </is>
      </c>
      <c r="D1747" t="inlineStr">
        <is>
          <t>Index Points</t>
        </is>
      </c>
      <c r="E1747" t="inlineStr">
        <is>
          <t>Original</t>
        </is>
      </c>
      <c r="F1747" t="inlineStr">
        <is>
          <t>6401018.xlsx</t>
        </is>
      </c>
      <c r="G1747" t="inlineStr">
        <is>
          <t>2025Q4</t>
        </is>
      </c>
      <c r="H1747" t="inlineStr">
        <is>
          <t>2026Q2</t>
        </is>
      </c>
      <c r="PB1747" s="2">
        <v>0.92</v>
      </c>
      <c r="PJ1747" s="2">
        <v>0.93</v>
      </c>
      <c r="PK1747" s="2">
        <v>0.97</v>
      </c>
    </row>
    <row r="1748">
      <c r="A1748" t="inlineStr">
        <is>
          <t>A3602070T</t>
        </is>
      </c>
      <c r="B1748" t="inlineStr">
        <is>
          <t>Contribution to Total CPI ;  Vegetables ;  Australia ;</t>
        </is>
      </c>
      <c r="C1748" t="inlineStr">
        <is>
          <t>Quarter</t>
        </is>
      </c>
      <c r="D1748" t="inlineStr">
        <is>
          <t>Index Points</t>
        </is>
      </c>
      <c r="E1748" t="inlineStr">
        <is>
          <t>Original</t>
        </is>
      </c>
      <c r="F1748" t="inlineStr">
        <is>
          <t>6401018.xlsx</t>
        </is>
      </c>
      <c r="G1748" t="inlineStr">
        <is>
          <t>2025Q4</t>
        </is>
      </c>
      <c r="H1748" t="inlineStr">
        <is>
          <t>2026Q2</t>
        </is>
      </c>
      <c r="PB1748" s="2">
        <v>1.1</v>
      </c>
      <c r="PJ1748" s="2">
        <v>1.12</v>
      </c>
      <c r="PK1748" s="2">
        <v>1.16</v>
      </c>
    </row>
    <row r="1749">
      <c r="A1749" t="inlineStr">
        <is>
          <t>A3604365L</t>
        </is>
      </c>
      <c r="B1749" t="inlineStr">
        <is>
          <t>Contribution to Total CPI ;  Food products n.e.c. ;  Australia ;</t>
        </is>
      </c>
      <c r="C1749" t="inlineStr">
        <is>
          <t>Quarter</t>
        </is>
      </c>
      <c r="D1749" t="inlineStr">
        <is>
          <t>Index Points</t>
        </is>
      </c>
      <c r="E1749" t="inlineStr">
        <is>
          <t>Original</t>
        </is>
      </c>
      <c r="F1749" t="inlineStr">
        <is>
          <t>6401018.xlsx</t>
        </is>
      </c>
      <c r="G1749" t="inlineStr">
        <is>
          <t>2025Q4</t>
        </is>
      </c>
      <c r="H1749" t="inlineStr">
        <is>
          <t>2026Q2</t>
        </is>
      </c>
      <c r="PB1749" s="2">
        <v>2.29</v>
      </c>
      <c r="PJ1749" s="2">
        <v>2.31</v>
      </c>
      <c r="PK1749" s="2">
        <v>2.3</v>
      </c>
    </row>
    <row r="1750">
      <c r="A1750" t="inlineStr">
        <is>
          <t>A3599055A</t>
        </is>
      </c>
      <c r="B1750" t="inlineStr">
        <is>
          <t>Contribution to Total CPI ;  Eggs ;  Australia ;</t>
        </is>
      </c>
      <c r="C1750" t="inlineStr">
        <is>
          <t>Quarter</t>
        </is>
      </c>
      <c r="D1750" t="inlineStr">
        <is>
          <t>Index Points</t>
        </is>
      </c>
      <c r="E1750" t="inlineStr">
        <is>
          <t>Original</t>
        </is>
      </c>
      <c r="F1750" t="inlineStr">
        <is>
          <t>6401018.xlsx</t>
        </is>
      </c>
      <c r="G1750" t="inlineStr">
        <is>
          <t>2025Q4</t>
        </is>
      </c>
      <c r="H1750" t="inlineStr">
        <is>
          <t>2026Q2</t>
        </is>
      </c>
      <c r="PB1750" s="2">
        <v>0.14</v>
      </c>
      <c r="PJ1750" s="2">
        <v>0.14</v>
      </c>
      <c r="PK1750" s="2">
        <v>0.14</v>
      </c>
    </row>
    <row r="1751">
      <c r="A1751" t="inlineStr">
        <is>
          <t>A3599100A</t>
        </is>
      </c>
      <c r="B1751" t="inlineStr">
        <is>
          <t>Contribution to Total CPI ;  Jams, honey and spreads ;  Australia ;</t>
        </is>
      </c>
      <c r="C1751" t="inlineStr">
        <is>
          <t>Quarter</t>
        </is>
      </c>
      <c r="D1751" t="inlineStr">
        <is>
          <t>Index Points</t>
        </is>
      </c>
      <c r="E1751" t="inlineStr">
        <is>
          <t>Original</t>
        </is>
      </c>
      <c r="F1751" t="inlineStr">
        <is>
          <t>6401018.xlsx</t>
        </is>
      </c>
      <c r="G1751" t="inlineStr">
        <is>
          <t>2025Q4</t>
        </is>
      </c>
      <c r="H1751" t="inlineStr">
        <is>
          <t>2026Q2</t>
        </is>
      </c>
      <c r="PB1751" s="2">
        <v>0.12</v>
      </c>
      <c r="PJ1751" s="2">
        <v>0.12</v>
      </c>
      <c r="PK1751" s="2">
        <v>0.12</v>
      </c>
    </row>
    <row r="1752">
      <c r="A1752" t="inlineStr">
        <is>
          <t>A3600765A</t>
        </is>
      </c>
      <c r="B1752" t="inlineStr">
        <is>
          <t>Contribution to Total CPI ;  Food additives and condiments ;  Australia ;</t>
        </is>
      </c>
      <c r="C1752" t="inlineStr">
        <is>
          <t>Quarter</t>
        </is>
      </c>
      <c r="D1752" t="inlineStr">
        <is>
          <t>Index Points</t>
        </is>
      </c>
      <c r="E1752" t="inlineStr">
        <is>
          <t>Original</t>
        </is>
      </c>
      <c r="F1752" t="inlineStr">
        <is>
          <t>6401018.xlsx</t>
        </is>
      </c>
      <c r="G1752" t="inlineStr">
        <is>
          <t>2025Q4</t>
        </is>
      </c>
      <c r="H1752" t="inlineStr">
        <is>
          <t>2026Q2</t>
        </is>
      </c>
      <c r="PB1752" s="2">
        <v>0.31</v>
      </c>
      <c r="PJ1752" s="2">
        <v>0.31</v>
      </c>
      <c r="PK1752" s="2">
        <v>0.31</v>
      </c>
    </row>
    <row r="1753">
      <c r="A1753" t="inlineStr">
        <is>
          <t>A3600810A</t>
        </is>
      </c>
      <c r="B1753" t="inlineStr">
        <is>
          <t>Contribution to Total CPI ;  Oils and fats ;  Australia ;</t>
        </is>
      </c>
      <c r="C1753" t="inlineStr">
        <is>
          <t>Quarter</t>
        </is>
      </c>
      <c r="D1753" t="inlineStr">
        <is>
          <t>Index Points</t>
        </is>
      </c>
      <c r="E1753" t="inlineStr">
        <is>
          <t>Original</t>
        </is>
      </c>
      <c r="F1753" t="inlineStr">
        <is>
          <t>6401018.xlsx</t>
        </is>
      </c>
      <c r="G1753" t="inlineStr">
        <is>
          <t>2025Q4</t>
        </is>
      </c>
      <c r="H1753" t="inlineStr">
        <is>
          <t>2026Q2</t>
        </is>
      </c>
      <c r="PB1753" s="2">
        <v>0.25</v>
      </c>
      <c r="PJ1753" s="2">
        <v>0.25</v>
      </c>
      <c r="PK1753" s="2">
        <v>0.26</v>
      </c>
    </row>
    <row r="1754">
      <c r="A1754" t="inlineStr">
        <is>
          <t>A3602655X</t>
        </is>
      </c>
      <c r="B1754" t="inlineStr">
        <is>
          <t>Contribution to Total CPI ;  Snacks and confectionery ;  Australia ;</t>
        </is>
      </c>
      <c r="C1754" t="inlineStr">
        <is>
          <t>Quarter</t>
        </is>
      </c>
      <c r="D1754" t="inlineStr">
        <is>
          <t>Index Points</t>
        </is>
      </c>
      <c r="E1754" t="inlineStr">
        <is>
          <t>Original</t>
        </is>
      </c>
      <c r="F1754" t="inlineStr">
        <is>
          <t>6401018.xlsx</t>
        </is>
      </c>
      <c r="G1754" t="inlineStr">
        <is>
          <t>2025Q4</t>
        </is>
      </c>
      <c r="H1754" t="inlineStr">
        <is>
          <t>2026Q2</t>
        </is>
      </c>
      <c r="PB1754" s="2">
        <v>0.96</v>
      </c>
      <c r="PJ1754" s="2">
        <v>0.98</v>
      </c>
      <c r="PK1754" s="2">
        <v>0.97</v>
      </c>
    </row>
    <row r="1755">
      <c r="A1755" t="inlineStr">
        <is>
          <t>A3599190T</t>
        </is>
      </c>
      <c r="B1755" t="inlineStr">
        <is>
          <t>Contribution to Total CPI ;  Other food products n.e.c. ;  Australia ;</t>
        </is>
      </c>
      <c r="C1755" t="inlineStr">
        <is>
          <t>Quarter</t>
        </is>
      </c>
      <c r="D1755" t="inlineStr">
        <is>
          <t>Index Points</t>
        </is>
      </c>
      <c r="E1755" t="inlineStr">
        <is>
          <t>Original</t>
        </is>
      </c>
      <c r="F1755" t="inlineStr">
        <is>
          <t>6401018.xlsx</t>
        </is>
      </c>
      <c r="G1755" t="inlineStr">
        <is>
          <t>2025Q4</t>
        </is>
      </c>
      <c r="H1755" t="inlineStr">
        <is>
          <t>2026Q2</t>
        </is>
      </c>
      <c r="PB1755" s="2">
        <v>0.51</v>
      </c>
      <c r="PJ1755" s="2">
        <v>0.51</v>
      </c>
      <c r="PK1755" s="2">
        <v>0.51</v>
      </c>
    </row>
    <row r="1756">
      <c r="A1756" t="inlineStr">
        <is>
          <t>A3604420T</t>
        </is>
      </c>
      <c r="B1756" t="inlineStr">
        <is>
          <t>Contribution to Total CPI ;  Non-alcoholic beverages ;  Australia ;</t>
        </is>
      </c>
      <c r="C1756" t="inlineStr">
        <is>
          <t>Quarter</t>
        </is>
      </c>
      <c r="D1756" t="inlineStr">
        <is>
          <t>Index Points</t>
        </is>
      </c>
      <c r="E1756" t="inlineStr">
        <is>
          <t>Original</t>
        </is>
      </c>
      <c r="F1756" t="inlineStr">
        <is>
          <t>6401018.xlsx</t>
        </is>
      </c>
      <c r="G1756" t="inlineStr">
        <is>
          <t>2025Q4</t>
        </is>
      </c>
      <c r="H1756" t="inlineStr">
        <is>
          <t>2026Q2</t>
        </is>
      </c>
      <c r="PB1756" s="2">
        <v>1.22</v>
      </c>
      <c r="PJ1756" s="2">
        <v>1.24</v>
      </c>
      <c r="PK1756" s="2">
        <v>1.26</v>
      </c>
    </row>
    <row r="1757">
      <c r="A1757" t="inlineStr">
        <is>
          <t>A3599145F</t>
        </is>
      </c>
      <c r="B1757" t="inlineStr">
        <is>
          <t>Contribution to Total CPI ;  Coffee, tea and cocoa ;  Australia ;</t>
        </is>
      </c>
      <c r="C1757" t="inlineStr">
        <is>
          <t>Quarter</t>
        </is>
      </c>
      <c r="D1757" t="inlineStr">
        <is>
          <t>Index Points</t>
        </is>
      </c>
      <c r="E1757" t="inlineStr">
        <is>
          <t>Original</t>
        </is>
      </c>
      <c r="F1757" t="inlineStr">
        <is>
          <t>6401018.xlsx</t>
        </is>
      </c>
      <c r="G1757" t="inlineStr">
        <is>
          <t>2025Q4</t>
        </is>
      </c>
      <c r="H1757" t="inlineStr">
        <is>
          <t>2026Q2</t>
        </is>
      </c>
      <c r="PB1757" s="2">
        <v>0.29</v>
      </c>
      <c r="PJ1757" s="2">
        <v>0.29</v>
      </c>
      <c r="PK1757" s="2">
        <v>0.29</v>
      </c>
    </row>
    <row r="1758">
      <c r="A1758" t="inlineStr">
        <is>
          <t>A3602700X</t>
        </is>
      </c>
      <c r="B1758" t="inlineStr">
        <is>
          <t>Contribution to Total CPI ;  Waters, soft drinks and juices ;  Australia ;</t>
        </is>
      </c>
      <c r="C1758" t="inlineStr">
        <is>
          <t>Quarter</t>
        </is>
      </c>
      <c r="D1758" t="inlineStr">
        <is>
          <t>Index Points</t>
        </is>
      </c>
      <c r="E1758" t="inlineStr">
        <is>
          <t>Original</t>
        </is>
      </c>
      <c r="F1758" t="inlineStr">
        <is>
          <t>6401018.xlsx</t>
        </is>
      </c>
      <c r="G1758" t="inlineStr">
        <is>
          <t>2025Q4</t>
        </is>
      </c>
      <c r="H1758" t="inlineStr">
        <is>
          <t>2026Q2</t>
        </is>
      </c>
      <c r="PB1758" s="2">
        <v>0.93</v>
      </c>
      <c r="PJ1758" s="2">
        <v>0.95</v>
      </c>
      <c r="PK1758" s="2">
        <v>0.97</v>
      </c>
    </row>
    <row r="1759">
      <c r="A1759" t="inlineStr">
        <is>
          <t>A3597975F</t>
        </is>
      </c>
      <c r="B1759" t="inlineStr">
        <is>
          <t>Contribution to Total CPI ;  Meals out and take away foods ;  Australia ;</t>
        </is>
      </c>
      <c r="C1759" t="inlineStr">
        <is>
          <t>Quarter</t>
        </is>
      </c>
      <c r="D1759" t="inlineStr">
        <is>
          <t>Index Points</t>
        </is>
      </c>
      <c r="E1759" t="inlineStr">
        <is>
          <t>Original</t>
        </is>
      </c>
      <c r="F1759" t="inlineStr">
        <is>
          <t>6401018.xlsx</t>
        </is>
      </c>
      <c r="G1759" t="inlineStr">
        <is>
          <t>2025Q4</t>
        </is>
      </c>
      <c r="H1759" t="inlineStr">
        <is>
          <t>2026Q2</t>
        </is>
      </c>
      <c r="PB1759" s="2">
        <v>7.17</v>
      </c>
      <c r="PJ1759" s="2">
        <v>7.24</v>
      </c>
      <c r="PK1759" s="2">
        <v>7.3</v>
      </c>
    </row>
    <row r="1760">
      <c r="A1760" t="inlineStr">
        <is>
          <t>A3598965V</t>
        </is>
      </c>
      <c r="B1760" t="inlineStr">
        <is>
          <t>Contribution to Total CPI ;  Restaurant meals ;  Australia ;</t>
        </is>
      </c>
      <c r="C1760" t="inlineStr">
        <is>
          <t>Quarter</t>
        </is>
      </c>
      <c r="D1760" t="inlineStr">
        <is>
          <t>Index Points</t>
        </is>
      </c>
      <c r="E1760" t="inlineStr">
        <is>
          <t>Original</t>
        </is>
      </c>
      <c r="F1760" t="inlineStr">
        <is>
          <t>6401018.xlsx</t>
        </is>
      </c>
      <c r="G1760" t="inlineStr">
        <is>
          <t>2025Q4</t>
        </is>
      </c>
      <c r="H1760" t="inlineStr">
        <is>
          <t>2026Q2</t>
        </is>
      </c>
      <c r="PB1760" s="2">
        <v>3.96</v>
      </c>
      <c r="PJ1760" s="2">
        <v>4</v>
      </c>
      <c r="PK1760" s="2">
        <v>4.02</v>
      </c>
    </row>
    <row r="1761">
      <c r="A1761" t="inlineStr">
        <is>
          <t>A3599010W</t>
        </is>
      </c>
      <c r="B1761" t="inlineStr">
        <is>
          <t>Contribution to Total CPI ;  Take away and fast foods ;  Australia ;</t>
        </is>
      </c>
      <c r="C1761" t="inlineStr">
        <is>
          <t>Quarter</t>
        </is>
      </c>
      <c r="D1761" t="inlineStr">
        <is>
          <t>Index Points</t>
        </is>
      </c>
      <c r="E1761" t="inlineStr">
        <is>
          <t>Original</t>
        </is>
      </c>
      <c r="F1761" t="inlineStr">
        <is>
          <t>6401018.xlsx</t>
        </is>
      </c>
      <c r="G1761" t="inlineStr">
        <is>
          <t>2025Q4</t>
        </is>
      </c>
      <c r="H1761" t="inlineStr">
        <is>
          <t>2026Q2</t>
        </is>
      </c>
      <c r="PB1761" s="2">
        <v>3.21</v>
      </c>
      <c r="PJ1761" s="2">
        <v>3.24</v>
      </c>
      <c r="PK1761" s="2">
        <v>3.28</v>
      </c>
    </row>
    <row r="1762">
      <c r="A1762" t="inlineStr">
        <is>
          <t>A3597795W</t>
        </is>
      </c>
      <c r="B1762" t="inlineStr">
        <is>
          <t>Contribution to Total CPI ;  Alcohol and tobacco ;  Australia ;</t>
        </is>
      </c>
      <c r="C1762" t="inlineStr">
        <is>
          <t>Quarter</t>
        </is>
      </c>
      <c r="D1762" t="inlineStr">
        <is>
          <t>Index Points</t>
        </is>
      </c>
      <c r="E1762" t="inlineStr">
        <is>
          <t>Original</t>
        </is>
      </c>
      <c r="F1762" t="inlineStr">
        <is>
          <t>6401018.xlsx</t>
        </is>
      </c>
      <c r="G1762" t="inlineStr">
        <is>
          <t>2025Q4</t>
        </is>
      </c>
      <c r="H1762" t="inlineStr">
        <is>
          <t>2026Q2</t>
        </is>
      </c>
      <c r="PB1762" s="2">
        <v>6.65</v>
      </c>
      <c r="PJ1762" s="2">
        <v>6.74</v>
      </c>
      <c r="PK1762" s="2">
        <v>6.77</v>
      </c>
    </row>
    <row r="1763">
      <c r="A1763" t="inlineStr">
        <is>
          <t>A3598290J</t>
        </is>
      </c>
      <c r="B1763" t="inlineStr">
        <is>
          <t>Contribution to Total CPI ;  Alcoholic beverages ;  Australia ;</t>
        </is>
      </c>
      <c r="C1763" t="inlineStr">
        <is>
          <t>Quarter</t>
        </is>
      </c>
      <c r="D1763" t="inlineStr">
        <is>
          <t>Index Points</t>
        </is>
      </c>
      <c r="E1763" t="inlineStr">
        <is>
          <t>Original</t>
        </is>
      </c>
      <c r="F1763" t="inlineStr">
        <is>
          <t>6401018.xlsx</t>
        </is>
      </c>
      <c r="G1763" t="inlineStr">
        <is>
          <t>2025Q4</t>
        </is>
      </c>
      <c r="H1763" t="inlineStr">
        <is>
          <t>2026Q2</t>
        </is>
      </c>
      <c r="PB1763" s="2">
        <v>4.62</v>
      </c>
      <c r="PJ1763" s="2">
        <v>4.68</v>
      </c>
      <c r="PK1763" s="2">
        <v>4.69</v>
      </c>
    </row>
    <row r="1764">
      <c r="A1764" t="inlineStr">
        <is>
          <t>A3600225L</t>
        </is>
      </c>
      <c r="B1764" t="inlineStr">
        <is>
          <t>Contribution to Total CPI ;  Spirits ;  Australia ;</t>
        </is>
      </c>
      <c r="C1764" t="inlineStr">
        <is>
          <t>Quarter</t>
        </is>
      </c>
      <c r="D1764" t="inlineStr">
        <is>
          <t>Index Points</t>
        </is>
      </c>
      <c r="E1764" t="inlineStr">
        <is>
          <t>Original</t>
        </is>
      </c>
      <c r="F1764" t="inlineStr">
        <is>
          <t>6401018.xlsx</t>
        </is>
      </c>
      <c r="G1764" t="inlineStr">
        <is>
          <t>2025Q4</t>
        </is>
      </c>
      <c r="H1764" t="inlineStr">
        <is>
          <t>2026Q2</t>
        </is>
      </c>
      <c r="PB1764" s="2">
        <v>0.92</v>
      </c>
      <c r="PJ1764" s="2">
        <v>0.9399999999999999</v>
      </c>
      <c r="PK1764" s="2">
        <v>0.9399999999999999</v>
      </c>
    </row>
    <row r="1765">
      <c r="A1765" t="inlineStr">
        <is>
          <t>A3600180V</t>
        </is>
      </c>
      <c r="B1765" t="inlineStr">
        <is>
          <t>Contribution to Total CPI ;  Wine ;  Australia ;</t>
        </is>
      </c>
      <c r="C1765" t="inlineStr">
        <is>
          <t>Quarter</t>
        </is>
      </c>
      <c r="D1765" t="inlineStr">
        <is>
          <t>Index Points</t>
        </is>
      </c>
      <c r="E1765" t="inlineStr">
        <is>
          <t>Original</t>
        </is>
      </c>
      <c r="F1765" t="inlineStr">
        <is>
          <t>6401018.xlsx</t>
        </is>
      </c>
      <c r="G1765" t="inlineStr">
        <is>
          <t>2025Q4</t>
        </is>
      </c>
      <c r="H1765" t="inlineStr">
        <is>
          <t>2026Q2</t>
        </is>
      </c>
      <c r="PB1765" s="2">
        <v>1.62</v>
      </c>
      <c r="PJ1765" s="2">
        <v>1.66</v>
      </c>
      <c r="PK1765" s="2">
        <v>1.65</v>
      </c>
    </row>
    <row r="1766">
      <c r="A1766" t="inlineStr">
        <is>
          <t>A3600135J</t>
        </is>
      </c>
      <c r="B1766" t="inlineStr">
        <is>
          <t>Contribution to Total CPI ;  Beer ;  Australia ;</t>
        </is>
      </c>
      <c r="C1766" t="inlineStr">
        <is>
          <t>Quarter</t>
        </is>
      </c>
      <c r="D1766" t="inlineStr">
        <is>
          <t>Index Points</t>
        </is>
      </c>
      <c r="E1766" t="inlineStr">
        <is>
          <t>Original</t>
        </is>
      </c>
      <c r="F1766" t="inlineStr">
        <is>
          <t>6401018.xlsx</t>
        </is>
      </c>
      <c r="G1766" t="inlineStr">
        <is>
          <t>2025Q4</t>
        </is>
      </c>
      <c r="H1766" t="inlineStr">
        <is>
          <t>2026Q2</t>
        </is>
      </c>
      <c r="PB1766" s="2">
        <v>2.07</v>
      </c>
      <c r="PJ1766" s="2">
        <v>2.09</v>
      </c>
      <c r="PK1766" s="2">
        <v>2.1</v>
      </c>
    </row>
    <row r="1767">
      <c r="A1767" t="inlineStr">
        <is>
          <t>A3598335A</t>
        </is>
      </c>
      <c r="B1767" t="inlineStr">
        <is>
          <t>Contribution to Total CPI ;  Tobacco ;  Australia ;</t>
        </is>
      </c>
      <c r="C1767" t="inlineStr">
        <is>
          <t>Quarter</t>
        </is>
      </c>
      <c r="D1767" t="inlineStr">
        <is>
          <t>Index Points</t>
        </is>
      </c>
      <c r="E1767" t="inlineStr">
        <is>
          <t>Original</t>
        </is>
      </c>
      <c r="F1767" t="inlineStr">
        <is>
          <t>6401018.xlsx</t>
        </is>
      </c>
      <c r="G1767" t="inlineStr">
        <is>
          <t>2025Q4</t>
        </is>
      </c>
      <c r="H1767" t="inlineStr">
        <is>
          <t>2026Q2</t>
        </is>
      </c>
      <c r="PB1767" s="2">
        <v>2.03</v>
      </c>
      <c r="PJ1767" s="2">
        <v>2.05</v>
      </c>
      <c r="PK1767" s="2">
        <v>2.08</v>
      </c>
    </row>
    <row r="1768">
      <c r="A1768" t="inlineStr">
        <is>
          <t>A3600270X</t>
        </is>
      </c>
      <c r="B1768" t="inlineStr">
        <is>
          <t>Contribution to Total CPI ;  Tobacco ;  Australia ;</t>
        </is>
      </c>
      <c r="C1768" t="inlineStr">
        <is>
          <t>Quarter</t>
        </is>
      </c>
      <c r="D1768" t="inlineStr">
        <is>
          <t>Index Points</t>
        </is>
      </c>
      <c r="E1768" t="inlineStr">
        <is>
          <t>Original</t>
        </is>
      </c>
      <c r="F1768" t="inlineStr">
        <is>
          <t>6401018.xlsx</t>
        </is>
      </c>
      <c r="G1768" t="inlineStr">
        <is>
          <t>2025Q4</t>
        </is>
      </c>
      <c r="H1768" t="inlineStr">
        <is>
          <t>2026Q2</t>
        </is>
      </c>
      <c r="PB1768" s="2">
        <v>2.03</v>
      </c>
      <c r="PJ1768" s="2">
        <v>2.05</v>
      </c>
      <c r="PK1768" s="2">
        <v>2.08</v>
      </c>
    </row>
    <row r="1769">
      <c r="A1769" t="inlineStr">
        <is>
          <t>A3597615A</t>
        </is>
      </c>
      <c r="B1769" t="inlineStr">
        <is>
          <t>Contribution to Total CPI ;  Clothing and footwear ;  Australia ;</t>
        </is>
      </c>
      <c r="C1769" t="inlineStr">
        <is>
          <t>Quarter</t>
        </is>
      </c>
      <c r="D1769" t="inlineStr">
        <is>
          <t>Index Points</t>
        </is>
      </c>
      <c r="E1769" t="inlineStr">
        <is>
          <t>Original</t>
        </is>
      </c>
      <c r="F1769" t="inlineStr">
        <is>
          <t>6401018.xlsx</t>
        </is>
      </c>
      <c r="G1769" t="inlineStr">
        <is>
          <t>2025Q4</t>
        </is>
      </c>
      <c r="H1769" t="inlineStr">
        <is>
          <t>2026Q2</t>
        </is>
      </c>
      <c r="PB1769" s="2">
        <v>3.24</v>
      </c>
      <c r="PJ1769" s="2">
        <v>3.32</v>
      </c>
      <c r="PK1769" s="2">
        <v>3.35</v>
      </c>
    </row>
    <row r="1770">
      <c r="A1770" t="inlineStr">
        <is>
          <t>A3604370F</t>
        </is>
      </c>
      <c r="B1770" t="inlineStr">
        <is>
          <t>Contribution to Total CPI ;  Garments ;  Australia ;</t>
        </is>
      </c>
      <c r="C1770" t="inlineStr">
        <is>
          <t>Quarter</t>
        </is>
      </c>
      <c r="D1770" t="inlineStr">
        <is>
          <t>Index Points</t>
        </is>
      </c>
      <c r="E1770" t="inlineStr">
        <is>
          <t>Original</t>
        </is>
      </c>
      <c r="F1770" t="inlineStr">
        <is>
          <t>6401018.xlsx</t>
        </is>
      </c>
      <c r="G1770" t="inlineStr">
        <is>
          <t>2025Q4</t>
        </is>
      </c>
      <c r="H1770" t="inlineStr">
        <is>
          <t>2026Q2</t>
        </is>
      </c>
      <c r="PB1770" s="2">
        <v>1.95</v>
      </c>
      <c r="PJ1770" s="2">
        <v>1.98</v>
      </c>
      <c r="PK1770" s="2">
        <v>2</v>
      </c>
    </row>
    <row r="1771">
      <c r="A1771" t="inlineStr">
        <is>
          <t>A3600855F</t>
        </is>
      </c>
      <c r="B1771" t="inlineStr">
        <is>
          <t>Contribution to Total CPI ;  Garments for men ;  Australia ;</t>
        </is>
      </c>
      <c r="C1771" t="inlineStr">
        <is>
          <t>Quarter</t>
        </is>
      </c>
      <c r="D1771" t="inlineStr">
        <is>
          <t>Index Points</t>
        </is>
      </c>
      <c r="E1771" t="inlineStr">
        <is>
          <t>Original</t>
        </is>
      </c>
      <c r="F1771" t="inlineStr">
        <is>
          <t>6401018.xlsx</t>
        </is>
      </c>
      <c r="G1771" t="inlineStr">
        <is>
          <t>2025Q4</t>
        </is>
      </c>
      <c r="H1771" t="inlineStr">
        <is>
          <t>2026Q2</t>
        </is>
      </c>
      <c r="PB1771" s="2">
        <v>0.52</v>
      </c>
      <c r="PJ1771" s="2">
        <v>0.52</v>
      </c>
      <c r="PK1771" s="2">
        <v>0.52</v>
      </c>
    </row>
    <row r="1772">
      <c r="A1772" t="inlineStr">
        <is>
          <t>A3600900F</t>
        </is>
      </c>
      <c r="B1772" t="inlineStr">
        <is>
          <t>Contribution to Total CPI ;  Garments for women ;  Australia ;</t>
        </is>
      </c>
      <c r="C1772" t="inlineStr">
        <is>
          <t>Quarter</t>
        </is>
      </c>
      <c r="D1772" t="inlineStr">
        <is>
          <t>Index Points</t>
        </is>
      </c>
      <c r="E1772" t="inlineStr">
        <is>
          <t>Original</t>
        </is>
      </c>
      <c r="F1772" t="inlineStr">
        <is>
          <t>6401018.xlsx</t>
        </is>
      </c>
      <c r="G1772" t="inlineStr">
        <is>
          <t>2025Q4</t>
        </is>
      </c>
      <c r="H1772" t="inlineStr">
        <is>
          <t>2026Q2</t>
        </is>
      </c>
      <c r="PB1772" s="2">
        <v>1.1</v>
      </c>
      <c r="PJ1772" s="2">
        <v>1.13</v>
      </c>
      <c r="PK1772" s="2">
        <v>1.15</v>
      </c>
    </row>
    <row r="1773">
      <c r="A1773" t="inlineStr">
        <is>
          <t>A3600945K</t>
        </is>
      </c>
      <c r="B1773" t="inlineStr">
        <is>
          <t>Contribution to Total CPI ;  Garments for infants and children ;  Australia ;</t>
        </is>
      </c>
      <c r="C1773" t="inlineStr">
        <is>
          <t>Quarter</t>
        </is>
      </c>
      <c r="D1773" t="inlineStr">
        <is>
          <t>Index Points</t>
        </is>
      </c>
      <c r="E1773" t="inlineStr">
        <is>
          <t>Original</t>
        </is>
      </c>
      <c r="F1773" t="inlineStr">
        <is>
          <t>6401018.xlsx</t>
        </is>
      </c>
      <c r="G1773" t="inlineStr">
        <is>
          <t>2025Q4</t>
        </is>
      </c>
      <c r="H1773" t="inlineStr">
        <is>
          <t>2026Q2</t>
        </is>
      </c>
      <c r="PB1773" s="2">
        <v>0.33</v>
      </c>
      <c r="PJ1773" s="2">
        <v>0.34</v>
      </c>
      <c r="PK1773" s="2">
        <v>0.33</v>
      </c>
    </row>
    <row r="1774">
      <c r="A1774" t="inlineStr">
        <is>
          <t>A3598020J</t>
        </is>
      </c>
      <c r="B1774" t="inlineStr">
        <is>
          <t>Contribution to Total CPI ;  Footwear ;  Australia ;</t>
        </is>
      </c>
      <c r="C1774" t="inlineStr">
        <is>
          <t>Quarter</t>
        </is>
      </c>
      <c r="D1774" t="inlineStr">
        <is>
          <t>Index Points</t>
        </is>
      </c>
      <c r="E1774" t="inlineStr">
        <is>
          <t>Original</t>
        </is>
      </c>
      <c r="F1774" t="inlineStr">
        <is>
          <t>6401018.xlsx</t>
        </is>
      </c>
      <c r="G1774" t="inlineStr">
        <is>
          <t>2025Q4</t>
        </is>
      </c>
      <c r="H1774" t="inlineStr">
        <is>
          <t>2026Q2</t>
        </is>
      </c>
      <c r="PB1774" s="2">
        <v>0.45</v>
      </c>
      <c r="PJ1774" s="2">
        <v>0.46</v>
      </c>
      <c r="PK1774" s="2">
        <v>0.47</v>
      </c>
    </row>
    <row r="1775">
      <c r="A1775" t="inlineStr">
        <is>
          <t>A3599235K</t>
        </is>
      </c>
      <c r="B1775" t="inlineStr">
        <is>
          <t>Contribution to Total CPI ;  Footwear for men ;  Australia ;</t>
        </is>
      </c>
      <c r="C1775" t="inlineStr">
        <is>
          <t>Quarter</t>
        </is>
      </c>
      <c r="D1775" t="inlineStr">
        <is>
          <t>Index Points</t>
        </is>
      </c>
      <c r="E1775" t="inlineStr">
        <is>
          <t>Original</t>
        </is>
      </c>
      <c r="F1775" t="inlineStr">
        <is>
          <t>6401018.xlsx</t>
        </is>
      </c>
      <c r="G1775" t="inlineStr">
        <is>
          <t>2025Q4</t>
        </is>
      </c>
      <c r="H1775" t="inlineStr">
        <is>
          <t>2026Q2</t>
        </is>
      </c>
      <c r="PB1775" s="2">
        <v>0.11</v>
      </c>
      <c r="PJ1775" s="2">
        <v>0.11</v>
      </c>
      <c r="PK1775" s="2">
        <v>0.11</v>
      </c>
    </row>
    <row r="1776">
      <c r="A1776" t="inlineStr">
        <is>
          <t>A3599280W</t>
        </is>
      </c>
      <c r="B1776" t="inlineStr">
        <is>
          <t>Contribution to Total CPI ;  Footwear for women ;  Australia ;</t>
        </is>
      </c>
      <c r="C1776" t="inlineStr">
        <is>
          <t>Quarter</t>
        </is>
      </c>
      <c r="D1776" t="inlineStr">
        <is>
          <t>Index Points</t>
        </is>
      </c>
      <c r="E1776" t="inlineStr">
        <is>
          <t>Original</t>
        </is>
      </c>
      <c r="F1776" t="inlineStr">
        <is>
          <t>6401018.xlsx</t>
        </is>
      </c>
      <c r="G1776" t="inlineStr">
        <is>
          <t>2025Q4</t>
        </is>
      </c>
      <c r="H1776" t="inlineStr">
        <is>
          <t>2026Q2</t>
        </is>
      </c>
      <c r="PB1776" s="2">
        <v>0.27</v>
      </c>
      <c r="PJ1776" s="2">
        <v>0.28</v>
      </c>
      <c r="PK1776" s="2">
        <v>0.28</v>
      </c>
    </row>
    <row r="1777">
      <c r="A1777" t="inlineStr">
        <is>
          <t>A3599325R</t>
        </is>
      </c>
      <c r="B1777" t="inlineStr">
        <is>
          <t>Contribution to Total CPI ;  Footwear for infants and children ;  Australia ;</t>
        </is>
      </c>
      <c r="C1777" t="inlineStr">
        <is>
          <t>Quarter</t>
        </is>
      </c>
      <c r="D1777" t="inlineStr">
        <is>
          <t>Index Points</t>
        </is>
      </c>
      <c r="E1777" t="inlineStr">
        <is>
          <t>Original</t>
        </is>
      </c>
      <c r="F1777" t="inlineStr">
        <is>
          <t>6401018.xlsx</t>
        </is>
      </c>
      <c r="G1777" t="inlineStr">
        <is>
          <t>2025Q4</t>
        </is>
      </c>
      <c r="H1777" t="inlineStr">
        <is>
          <t>2026Q2</t>
        </is>
      </c>
      <c r="PB1777" s="2">
        <v>0.07000000000000001</v>
      </c>
      <c r="PJ1777" s="2">
        <v>0.07000000000000001</v>
      </c>
      <c r="PK1777" s="2">
        <v>0.07000000000000001</v>
      </c>
    </row>
    <row r="1778">
      <c r="A1778" t="inlineStr">
        <is>
          <t>A3600990W</t>
        </is>
      </c>
      <c r="B1778" t="inlineStr">
        <is>
          <t>Contribution to Total CPI ;  Accessories and clothing services ;  Australia ;</t>
        </is>
      </c>
      <c r="C1778" t="inlineStr">
        <is>
          <t>Quarter</t>
        </is>
      </c>
      <c r="D1778" t="inlineStr">
        <is>
          <t>Index Points</t>
        </is>
      </c>
      <c r="E1778" t="inlineStr">
        <is>
          <t>Original</t>
        </is>
      </c>
      <c r="F1778" t="inlineStr">
        <is>
          <t>6401018.xlsx</t>
        </is>
      </c>
      <c r="G1778" t="inlineStr">
        <is>
          <t>2025Q4</t>
        </is>
      </c>
      <c r="H1778" t="inlineStr">
        <is>
          <t>2026Q2</t>
        </is>
      </c>
      <c r="PB1778" s="2">
        <v>0.84</v>
      </c>
      <c r="PJ1778" s="2">
        <v>0.87</v>
      </c>
      <c r="PK1778" s="2">
        <v>0.89</v>
      </c>
    </row>
    <row r="1779">
      <c r="A1779" t="inlineStr">
        <is>
          <t>A3601035T</t>
        </is>
      </c>
      <c r="B1779" t="inlineStr">
        <is>
          <t>Contribution to Total CPI ;  Accessories ;  Australia ;</t>
        </is>
      </c>
      <c r="C1779" t="inlineStr">
        <is>
          <t>Quarter</t>
        </is>
      </c>
      <c r="D1779" t="inlineStr">
        <is>
          <t>Index Points</t>
        </is>
      </c>
      <c r="E1779" t="inlineStr">
        <is>
          <t>Original</t>
        </is>
      </c>
      <c r="F1779" t="inlineStr">
        <is>
          <t>6401018.xlsx</t>
        </is>
      </c>
      <c r="G1779" t="inlineStr">
        <is>
          <t>2025Q4</t>
        </is>
      </c>
      <c r="H1779" t="inlineStr">
        <is>
          <t>2026Q2</t>
        </is>
      </c>
      <c r="PB1779" s="2">
        <v>0.77</v>
      </c>
      <c r="PJ1779" s="2">
        <v>0.8</v>
      </c>
      <c r="PK1779" s="2">
        <v>0.82</v>
      </c>
    </row>
    <row r="1780">
      <c r="A1780" t="inlineStr">
        <is>
          <t>A3599370A</t>
        </is>
      </c>
      <c r="B1780" t="inlineStr">
        <is>
          <t>Contribution to Total CPI ;  Cleaning, repair and hire of clothing and footwear ;  Australia ;</t>
        </is>
      </c>
      <c r="C1780" t="inlineStr">
        <is>
          <t>Quarter</t>
        </is>
      </c>
      <c r="D1780" t="inlineStr">
        <is>
          <t>Index Points</t>
        </is>
      </c>
      <c r="E1780" t="inlineStr">
        <is>
          <t>Original</t>
        </is>
      </c>
      <c r="F1780" t="inlineStr">
        <is>
          <t>6401018.xlsx</t>
        </is>
      </c>
      <c r="G1780" t="inlineStr">
        <is>
          <t>2025Q4</t>
        </is>
      </c>
      <c r="H1780" t="inlineStr">
        <is>
          <t>2026Q2</t>
        </is>
      </c>
      <c r="PB1780" s="2">
        <v>0.07000000000000001</v>
      </c>
      <c r="PJ1780" s="2">
        <v>0.07000000000000001</v>
      </c>
      <c r="PK1780" s="2">
        <v>0.07000000000000001</v>
      </c>
    </row>
    <row r="1781">
      <c r="A1781" t="inlineStr">
        <is>
          <t>A3597660L</t>
        </is>
      </c>
      <c r="B1781" t="inlineStr">
        <is>
          <t>Contribution to Total CPI ;  Housing ;  Australia ;</t>
        </is>
      </c>
      <c r="C1781" t="inlineStr">
        <is>
          <t>Quarter</t>
        </is>
      </c>
      <c r="D1781" t="inlineStr">
        <is>
          <t>Index Points</t>
        </is>
      </c>
      <c r="E1781" t="inlineStr">
        <is>
          <t>Original</t>
        </is>
      </c>
      <c r="F1781" t="inlineStr">
        <is>
          <t>6401018.xlsx</t>
        </is>
      </c>
      <c r="G1781" t="inlineStr">
        <is>
          <t>2025Q4</t>
        </is>
      </c>
      <c r="H1781" t="inlineStr">
        <is>
          <t>2026Q2</t>
        </is>
      </c>
      <c r="PB1781" s="2">
        <v>21.86</v>
      </c>
      <c r="PJ1781" s="2">
        <v>22.5</v>
      </c>
      <c r="PK1781" s="2">
        <v>22.7</v>
      </c>
    </row>
    <row r="1782">
      <c r="A1782" t="inlineStr">
        <is>
          <t>A3602745C</t>
        </is>
      </c>
      <c r="B1782" t="inlineStr">
        <is>
          <t>Contribution to Total CPI ;  Rents ;  Australia ;</t>
        </is>
      </c>
      <c r="C1782" t="inlineStr">
        <is>
          <t>Quarter</t>
        </is>
      </c>
      <c r="D1782" t="inlineStr">
        <is>
          <t>Index Points</t>
        </is>
      </c>
      <c r="E1782" t="inlineStr">
        <is>
          <t>Original</t>
        </is>
      </c>
      <c r="F1782" t="inlineStr">
        <is>
          <t>6401018.xlsx</t>
        </is>
      </c>
      <c r="G1782" t="inlineStr">
        <is>
          <t>2025Q4</t>
        </is>
      </c>
      <c r="H1782" t="inlineStr">
        <is>
          <t>2026Q2</t>
        </is>
      </c>
      <c r="PB1782" s="2">
        <v>6.66</v>
      </c>
      <c r="PJ1782" s="2">
        <v>6.72</v>
      </c>
      <c r="PK1782" s="2">
        <v>6.77</v>
      </c>
    </row>
    <row r="1783">
      <c r="A1783" t="inlineStr">
        <is>
          <t>A3598065L</t>
        </is>
      </c>
      <c r="B1783" t="inlineStr">
        <is>
          <t>Contribution to Total CPI ;  Rents ;  Australia ;</t>
        </is>
      </c>
      <c r="C1783" t="inlineStr">
        <is>
          <t>Quarter</t>
        </is>
      </c>
      <c r="D1783" t="inlineStr">
        <is>
          <t>Index Points</t>
        </is>
      </c>
      <c r="E1783" t="inlineStr">
        <is>
          <t>Original</t>
        </is>
      </c>
      <c r="F1783" t="inlineStr">
        <is>
          <t>6401018.xlsx</t>
        </is>
      </c>
      <c r="G1783" t="inlineStr">
        <is>
          <t>2025Q4</t>
        </is>
      </c>
      <c r="H1783" t="inlineStr">
        <is>
          <t>2026Q2</t>
        </is>
      </c>
      <c r="PB1783" s="2">
        <v>6.66</v>
      </c>
      <c r="PJ1783" s="2">
        <v>6.72</v>
      </c>
      <c r="PK1783" s="2">
        <v>6.77</v>
      </c>
    </row>
    <row r="1784">
      <c r="A1784" t="inlineStr">
        <is>
          <t>A3604375T</t>
        </is>
      </c>
      <c r="B1784" t="inlineStr">
        <is>
          <t>Contribution to Total CPI ;  New dwelling purchase by owner-occupiers ;  Australia ;</t>
        </is>
      </c>
      <c r="C1784" t="inlineStr">
        <is>
          <t>Quarter</t>
        </is>
      </c>
      <c r="D1784" t="inlineStr">
        <is>
          <t>Index Points</t>
        </is>
      </c>
      <c r="E1784" t="inlineStr">
        <is>
          <t>Original</t>
        </is>
      </c>
      <c r="F1784" t="inlineStr">
        <is>
          <t>6401018.xlsx</t>
        </is>
      </c>
      <c r="G1784" t="inlineStr">
        <is>
          <t>2025Q4</t>
        </is>
      </c>
      <c r="H1784" t="inlineStr">
        <is>
          <t>2026Q2</t>
        </is>
      </c>
      <c r="PB1784" s="2">
        <v>7.54</v>
      </c>
      <c r="PJ1784" s="2">
        <v>7.62</v>
      </c>
      <c r="PK1784" s="2">
        <v>7.75</v>
      </c>
    </row>
    <row r="1785">
      <c r="A1785" t="inlineStr">
        <is>
          <t>A3601125W</t>
        </is>
      </c>
      <c r="B1785" t="inlineStr">
        <is>
          <t>Contribution to Total CPI ;  New dwelling purchase by owner-occupiers ;  Australia ;</t>
        </is>
      </c>
      <c r="C1785" t="inlineStr">
        <is>
          <t>Quarter</t>
        </is>
      </c>
      <c r="D1785" t="inlineStr">
        <is>
          <t>Index Points</t>
        </is>
      </c>
      <c r="E1785" t="inlineStr">
        <is>
          <t>Original</t>
        </is>
      </c>
      <c r="F1785" t="inlineStr">
        <is>
          <t>6401018.xlsx</t>
        </is>
      </c>
      <c r="G1785" t="inlineStr">
        <is>
          <t>2025Q4</t>
        </is>
      </c>
      <c r="H1785" t="inlineStr">
        <is>
          <t>2026Q2</t>
        </is>
      </c>
      <c r="PB1785" s="2">
        <v>7.54</v>
      </c>
      <c r="PJ1785" s="2">
        <v>7.62</v>
      </c>
      <c r="PK1785" s="2">
        <v>7.75</v>
      </c>
    </row>
    <row r="1786">
      <c r="A1786" t="inlineStr">
        <is>
          <t>A3604415X</t>
        </is>
      </c>
      <c r="B1786" t="inlineStr">
        <is>
          <t>Contribution to Total CPI ;  Other housing ;  Australia ;</t>
        </is>
      </c>
      <c r="C1786" t="inlineStr">
        <is>
          <t>Quarter</t>
        </is>
      </c>
      <c r="D1786" t="inlineStr">
        <is>
          <t>Index Points</t>
        </is>
      </c>
      <c r="E1786" t="inlineStr">
        <is>
          <t>Original</t>
        </is>
      </c>
      <c r="F1786" t="inlineStr">
        <is>
          <t>6401018.xlsx</t>
        </is>
      </c>
      <c r="G1786" t="inlineStr">
        <is>
          <t>2025Q4</t>
        </is>
      </c>
      <c r="H1786" t="inlineStr">
        <is>
          <t>2026Q2</t>
        </is>
      </c>
      <c r="PB1786" s="2">
        <v>3.56</v>
      </c>
      <c r="PJ1786" s="2">
        <v>3.57</v>
      </c>
      <c r="PK1786" s="2">
        <v>3.59</v>
      </c>
    </row>
    <row r="1787">
      <c r="A1787" t="inlineStr">
        <is>
          <t>A3599415V</t>
        </is>
      </c>
      <c r="B1787" t="inlineStr">
        <is>
          <t>Contribution to Total CPI ;  Maintenance and repair of the dwelling ;  Australia ;</t>
        </is>
      </c>
      <c r="C1787" t="inlineStr">
        <is>
          <t>Quarter</t>
        </is>
      </c>
      <c r="D1787" t="inlineStr">
        <is>
          <t>Index Points</t>
        </is>
      </c>
      <c r="E1787" t="inlineStr">
        <is>
          <t>Original</t>
        </is>
      </c>
      <c r="F1787" t="inlineStr">
        <is>
          <t>6401018.xlsx</t>
        </is>
      </c>
      <c r="G1787" t="inlineStr">
        <is>
          <t>2025Q4</t>
        </is>
      </c>
      <c r="H1787" t="inlineStr">
        <is>
          <t>2026Q2</t>
        </is>
      </c>
      <c r="PB1787" s="2">
        <v>2.04</v>
      </c>
      <c r="PJ1787" s="2">
        <v>2.05</v>
      </c>
      <c r="PK1787" s="2">
        <v>2.07</v>
      </c>
    </row>
    <row r="1788">
      <c r="A1788" t="inlineStr">
        <is>
          <t>A3601170J</t>
        </is>
      </c>
      <c r="B1788" t="inlineStr">
        <is>
          <t>Contribution to Total CPI ;  Property rates and charges ;  Australia ;</t>
        </is>
      </c>
      <c r="C1788" t="inlineStr">
        <is>
          <t>Quarter</t>
        </is>
      </c>
      <c r="D1788" t="inlineStr">
        <is>
          <t>Index Points</t>
        </is>
      </c>
      <c r="E1788" t="inlineStr">
        <is>
          <t>Original</t>
        </is>
      </c>
      <c r="F1788" t="inlineStr">
        <is>
          <t>6401018.xlsx</t>
        </is>
      </c>
      <c r="G1788" t="inlineStr">
        <is>
          <t>2025Q4</t>
        </is>
      </c>
      <c r="H1788" t="inlineStr">
        <is>
          <t>2026Q2</t>
        </is>
      </c>
      <c r="PB1788" s="2">
        <v>1.52</v>
      </c>
      <c r="PJ1788" s="2">
        <v>1.52</v>
      </c>
      <c r="PK1788" s="2">
        <v>1.52</v>
      </c>
    </row>
    <row r="1789">
      <c r="A1789" t="inlineStr">
        <is>
          <t>A3598110L</t>
        </is>
      </c>
      <c r="B1789" t="inlineStr">
        <is>
          <t>Contribution to Total CPI ;  Utilities ;  Australia ;</t>
        </is>
      </c>
      <c r="C1789" t="inlineStr">
        <is>
          <t>Quarter</t>
        </is>
      </c>
      <c r="D1789" t="inlineStr">
        <is>
          <t>Index Points</t>
        </is>
      </c>
      <c r="E1789" t="inlineStr">
        <is>
          <t>Original</t>
        </is>
      </c>
      <c r="F1789" t="inlineStr">
        <is>
          <t>6401018.xlsx</t>
        </is>
      </c>
      <c r="G1789" t="inlineStr">
        <is>
          <t>2025Q4</t>
        </is>
      </c>
      <c r="H1789" t="inlineStr">
        <is>
          <t>2026Q2</t>
        </is>
      </c>
      <c r="PB1789" s="2">
        <v>4.11</v>
      </c>
      <c r="PJ1789" s="2">
        <v>4.6</v>
      </c>
      <c r="PK1789" s="2">
        <v>4.59</v>
      </c>
    </row>
    <row r="1790">
      <c r="A1790" t="inlineStr">
        <is>
          <t>A3601080C</t>
        </is>
      </c>
      <c r="B1790" t="inlineStr">
        <is>
          <t>Contribution to Total CPI ;  Water and sewerage ;  Australia ;</t>
        </is>
      </c>
      <c r="C1790" t="inlineStr">
        <is>
          <t>Quarter</t>
        </is>
      </c>
      <c r="D1790" t="inlineStr">
        <is>
          <t>Index Points</t>
        </is>
      </c>
      <c r="E1790" t="inlineStr">
        <is>
          <t>Original</t>
        </is>
      </c>
      <c r="F1790" t="inlineStr">
        <is>
          <t>6401018.xlsx</t>
        </is>
      </c>
      <c r="G1790" t="inlineStr">
        <is>
          <t>2025Q4</t>
        </is>
      </c>
      <c r="H1790" t="inlineStr">
        <is>
          <t>2026Q2</t>
        </is>
      </c>
      <c r="PB1790" s="2">
        <v>0.91</v>
      </c>
      <c r="PJ1790" s="2">
        <v>0.91</v>
      </c>
      <c r="PK1790" s="2">
        <v>0.91</v>
      </c>
    </row>
    <row r="1791">
      <c r="A1791" t="inlineStr">
        <is>
          <t>A3599460F</t>
        </is>
      </c>
      <c r="B1791" t="inlineStr">
        <is>
          <t>Contribution to Total CPI ;  Electricity ;  Australia ;</t>
        </is>
      </c>
      <c r="C1791" t="inlineStr">
        <is>
          <t>Quarter</t>
        </is>
      </c>
      <c r="D1791" t="inlineStr">
        <is>
          <t>Index Points</t>
        </is>
      </c>
      <c r="E1791" t="inlineStr">
        <is>
          <t>Original</t>
        </is>
      </c>
      <c r="F1791" t="inlineStr">
        <is>
          <t>6401018.xlsx</t>
        </is>
      </c>
      <c r="G1791" t="inlineStr">
        <is>
          <t>2025Q4</t>
        </is>
      </c>
      <c r="H1791" t="inlineStr">
        <is>
          <t>2026Q2</t>
        </is>
      </c>
      <c r="PB1791" s="2">
        <v>2.23</v>
      </c>
      <c r="PJ1791" s="2">
        <v>2.71</v>
      </c>
      <c r="PK1791" s="2">
        <v>2.72</v>
      </c>
    </row>
    <row r="1792">
      <c r="A1792" t="inlineStr">
        <is>
          <t>A3602790R</t>
        </is>
      </c>
      <c r="B1792" t="inlineStr">
        <is>
          <t>Contribution to Total CPI ;  Gas and other household fuels ;  Australia ;</t>
        </is>
      </c>
      <c r="C1792" t="inlineStr">
        <is>
          <t>Quarter</t>
        </is>
      </c>
      <c r="D1792" t="inlineStr">
        <is>
          <t>Index Points</t>
        </is>
      </c>
      <c r="E1792" t="inlineStr">
        <is>
          <t>Original</t>
        </is>
      </c>
      <c r="F1792" t="inlineStr">
        <is>
          <t>6401018.xlsx</t>
        </is>
      </c>
      <c r="G1792" t="inlineStr">
        <is>
          <t>2025Q4</t>
        </is>
      </c>
      <c r="H1792" t="inlineStr">
        <is>
          <t>2026Q2</t>
        </is>
      </c>
      <c r="PB1792" s="2">
        <v>0.97</v>
      </c>
      <c r="PJ1792" s="2">
        <v>0.98</v>
      </c>
      <c r="PK1792" s="2">
        <v>0.96</v>
      </c>
    </row>
    <row r="1793">
      <c r="A1793" t="inlineStr">
        <is>
          <t>A3597705F</t>
        </is>
      </c>
      <c r="B1793" t="inlineStr">
        <is>
          <t>Contribution to Total CPI ;  Furnishings, household equipment and services ;  Australia ;</t>
        </is>
      </c>
      <c r="C1793" t="inlineStr">
        <is>
          <t>Quarter</t>
        </is>
      </c>
      <c r="D1793" t="inlineStr">
        <is>
          <t>Index Points</t>
        </is>
      </c>
      <c r="E1793" t="inlineStr">
        <is>
          <t>Original</t>
        </is>
      </c>
      <c r="F1793" t="inlineStr">
        <is>
          <t>6401018.xlsx</t>
        </is>
      </c>
      <c r="G1793" t="inlineStr">
        <is>
          <t>2025Q4</t>
        </is>
      </c>
      <c r="H1793" t="inlineStr">
        <is>
          <t>2026Q2</t>
        </is>
      </c>
      <c r="PB1793" s="2">
        <v>7.88</v>
      </c>
      <c r="PJ1793" s="2">
        <v>7.86</v>
      </c>
      <c r="PK1793" s="2">
        <v>7.87</v>
      </c>
    </row>
    <row r="1794">
      <c r="A1794" t="inlineStr">
        <is>
          <t>A3604405V</t>
        </is>
      </c>
      <c r="B1794" t="inlineStr">
        <is>
          <t>Contribution to Total CPI ;  Furniture and furnishings ;  Australia ;</t>
        </is>
      </c>
      <c r="C1794" t="inlineStr">
        <is>
          <t>Quarter</t>
        </is>
      </c>
      <c r="D1794" t="inlineStr">
        <is>
          <t>Index Points</t>
        </is>
      </c>
      <c r="E1794" t="inlineStr">
        <is>
          <t>Original</t>
        </is>
      </c>
      <c r="F1794" t="inlineStr">
        <is>
          <t>6401018.xlsx</t>
        </is>
      </c>
      <c r="G1794" t="inlineStr">
        <is>
          <t>2025Q4</t>
        </is>
      </c>
      <c r="H1794" t="inlineStr">
        <is>
          <t>2026Q2</t>
        </is>
      </c>
      <c r="PB1794" s="2">
        <v>1.43</v>
      </c>
      <c r="PJ1794" s="2">
        <v>1.41</v>
      </c>
      <c r="PK1794" s="2">
        <v>1.41</v>
      </c>
    </row>
    <row r="1795">
      <c r="A1795" t="inlineStr">
        <is>
          <t>A3599505X</t>
        </is>
      </c>
      <c r="B1795" t="inlineStr">
        <is>
          <t>Contribution to Total CPI ;  Furniture ;  Australia ;</t>
        </is>
      </c>
      <c r="C1795" t="inlineStr">
        <is>
          <t>Quarter</t>
        </is>
      </c>
      <c r="D1795" t="inlineStr">
        <is>
          <t>Index Points</t>
        </is>
      </c>
      <c r="E1795" t="inlineStr">
        <is>
          <t>Original</t>
        </is>
      </c>
      <c r="F1795" t="inlineStr">
        <is>
          <t>6401018.xlsx</t>
        </is>
      </c>
      <c r="G1795" t="inlineStr">
        <is>
          <t>2025Q4</t>
        </is>
      </c>
      <c r="H1795" t="inlineStr">
        <is>
          <t>2026Q2</t>
        </is>
      </c>
      <c r="PB1795" s="2">
        <v>1.18</v>
      </c>
      <c r="PJ1795" s="2">
        <v>1.15</v>
      </c>
      <c r="PK1795" s="2">
        <v>1.15</v>
      </c>
    </row>
    <row r="1796">
      <c r="A1796" t="inlineStr">
        <is>
          <t>A3604435J</t>
        </is>
      </c>
      <c r="B1796" t="inlineStr">
        <is>
          <t>Contribution to Total CPI ;  Carpets and other floor coverings ;  Australia ;</t>
        </is>
      </c>
      <c r="C1796" t="inlineStr">
        <is>
          <t>Quarter</t>
        </is>
      </c>
      <c r="D1796" t="inlineStr">
        <is>
          <t>Index Points</t>
        </is>
      </c>
      <c r="E1796" t="inlineStr">
        <is>
          <t>Original</t>
        </is>
      </c>
      <c r="F1796" t="inlineStr">
        <is>
          <t>6401018.xlsx</t>
        </is>
      </c>
      <c r="G1796" t="inlineStr">
        <is>
          <t>2025Q4</t>
        </is>
      </c>
      <c r="H1796" t="inlineStr">
        <is>
          <t>2026Q2</t>
        </is>
      </c>
      <c r="PB1796" s="2">
        <v>0.26</v>
      </c>
      <c r="PJ1796" s="2">
        <v>0.26</v>
      </c>
      <c r="PK1796" s="2">
        <v>0.26</v>
      </c>
    </row>
    <row r="1797">
      <c r="A1797" t="inlineStr">
        <is>
          <t>A3604430W</t>
        </is>
      </c>
      <c r="B1797" t="inlineStr">
        <is>
          <t>Contribution to Total CPI ;  Household textiles ;  Australia ;</t>
        </is>
      </c>
      <c r="C1797" t="inlineStr">
        <is>
          <t>Quarter</t>
        </is>
      </c>
      <c r="D1797" t="inlineStr">
        <is>
          <t>Index Points</t>
        </is>
      </c>
      <c r="E1797" t="inlineStr">
        <is>
          <t>Original</t>
        </is>
      </c>
      <c r="F1797" t="inlineStr">
        <is>
          <t>6401018.xlsx</t>
        </is>
      </c>
      <c r="G1797" t="inlineStr">
        <is>
          <t>2025Q4</t>
        </is>
      </c>
      <c r="H1797" t="inlineStr">
        <is>
          <t>2026Q2</t>
        </is>
      </c>
      <c r="PB1797" s="2">
        <v>0.45</v>
      </c>
      <c r="PJ1797" s="2">
        <v>0.45</v>
      </c>
      <c r="PK1797" s="2">
        <v>0.43</v>
      </c>
    </row>
    <row r="1798">
      <c r="A1798" t="inlineStr">
        <is>
          <t>A3604385W</t>
        </is>
      </c>
      <c r="B1798" t="inlineStr">
        <is>
          <t>Contribution to Total CPI ;  Household textiles ;  Australia ;</t>
        </is>
      </c>
      <c r="C1798" t="inlineStr">
        <is>
          <t>Quarter</t>
        </is>
      </c>
      <c r="D1798" t="inlineStr">
        <is>
          <t>Index Points</t>
        </is>
      </c>
      <c r="E1798" t="inlineStr">
        <is>
          <t>Original</t>
        </is>
      </c>
      <c r="F1798" t="inlineStr">
        <is>
          <t>6401018.xlsx</t>
        </is>
      </c>
      <c r="G1798" t="inlineStr">
        <is>
          <t>2025Q4</t>
        </is>
      </c>
      <c r="H1798" t="inlineStr">
        <is>
          <t>2026Q2</t>
        </is>
      </c>
      <c r="PB1798" s="2">
        <v>0.45</v>
      </c>
      <c r="PJ1798" s="2">
        <v>0.45</v>
      </c>
      <c r="PK1798" s="2">
        <v>0.43</v>
      </c>
    </row>
    <row r="1799">
      <c r="A1799" t="inlineStr">
        <is>
          <t>A3601215A</t>
        </is>
      </c>
      <c r="B1799" t="inlineStr">
        <is>
          <t>Contribution to Total CPI ;  Household appliances, utensils and tools ;  Australia ;</t>
        </is>
      </c>
      <c r="C1799" t="inlineStr">
        <is>
          <t>Quarter</t>
        </is>
      </c>
      <c r="D1799" t="inlineStr">
        <is>
          <t>Index Points</t>
        </is>
      </c>
      <c r="E1799" t="inlineStr">
        <is>
          <t>Original</t>
        </is>
      </c>
      <c r="F1799" t="inlineStr">
        <is>
          <t>6401018.xlsx</t>
        </is>
      </c>
      <c r="G1799" t="inlineStr">
        <is>
          <t>2025Q4</t>
        </is>
      </c>
      <c r="H1799" t="inlineStr">
        <is>
          <t>2026Q2</t>
        </is>
      </c>
      <c r="PB1799" s="2">
        <v>1.26</v>
      </c>
      <c r="PJ1799" s="2">
        <v>1.26</v>
      </c>
      <c r="PK1799" s="2">
        <v>1.26</v>
      </c>
    </row>
    <row r="1800">
      <c r="A1800" t="inlineStr">
        <is>
          <t>A3599550K</t>
        </is>
      </c>
      <c r="B1800" t="inlineStr">
        <is>
          <t>Contribution to Total CPI ;  Major household appliances ;  Australia ;</t>
        </is>
      </c>
      <c r="C1800" t="inlineStr">
        <is>
          <t>Quarter</t>
        </is>
      </c>
      <c r="D1800" t="inlineStr">
        <is>
          <t>Index Points</t>
        </is>
      </c>
      <c r="E1800" t="inlineStr">
        <is>
          <t>Original</t>
        </is>
      </c>
      <c r="F1800" t="inlineStr">
        <is>
          <t>6401018.xlsx</t>
        </is>
      </c>
      <c r="G1800" t="inlineStr">
        <is>
          <t>2025Q4</t>
        </is>
      </c>
      <c r="H1800" t="inlineStr">
        <is>
          <t>2026Q2</t>
        </is>
      </c>
      <c r="PB1800" s="2">
        <v>0.33</v>
      </c>
      <c r="PJ1800" s="2">
        <v>0.33</v>
      </c>
      <c r="PK1800" s="2">
        <v>0.33</v>
      </c>
    </row>
    <row r="1801">
      <c r="A1801" t="inlineStr">
        <is>
          <t>A3602115K</t>
        </is>
      </c>
      <c r="B1801" t="inlineStr">
        <is>
          <t>Contribution to Total CPI ;  Small electric household appliances ;  Australia ;</t>
        </is>
      </c>
      <c r="C1801" t="inlineStr">
        <is>
          <t>Quarter</t>
        </is>
      </c>
      <c r="D1801" t="inlineStr">
        <is>
          <t>Index Points</t>
        </is>
      </c>
      <c r="E1801" t="inlineStr">
        <is>
          <t>Original</t>
        </is>
      </c>
      <c r="F1801" t="inlineStr">
        <is>
          <t>6401018.xlsx</t>
        </is>
      </c>
      <c r="G1801" t="inlineStr">
        <is>
          <t>2025Q4</t>
        </is>
      </c>
      <c r="H1801" t="inlineStr">
        <is>
          <t>2026Q2</t>
        </is>
      </c>
      <c r="PB1801" s="2">
        <v>0.25</v>
      </c>
      <c r="PJ1801" s="2">
        <v>0.25</v>
      </c>
      <c r="PK1801" s="2">
        <v>0.25</v>
      </c>
    </row>
    <row r="1802">
      <c r="A1802" t="inlineStr">
        <is>
          <t>A3602160W</t>
        </is>
      </c>
      <c r="B1802" t="inlineStr">
        <is>
          <t>Contribution to Total CPI ;  Glassware, tableware and household utensils ;  Australia ;</t>
        </is>
      </c>
      <c r="C1802" t="inlineStr">
        <is>
          <t>Quarter</t>
        </is>
      </c>
      <c r="D1802" t="inlineStr">
        <is>
          <t>Index Points</t>
        </is>
      </c>
      <c r="E1802" t="inlineStr">
        <is>
          <t>Original</t>
        </is>
      </c>
      <c r="F1802" t="inlineStr">
        <is>
          <t>6401018.xlsx</t>
        </is>
      </c>
      <c r="G1802" t="inlineStr">
        <is>
          <t>2025Q4</t>
        </is>
      </c>
      <c r="H1802" t="inlineStr">
        <is>
          <t>2026Q2</t>
        </is>
      </c>
      <c r="PB1802" s="2">
        <v>0.34</v>
      </c>
      <c r="PJ1802" s="2">
        <v>0.34</v>
      </c>
      <c r="PK1802" s="2">
        <v>0.34</v>
      </c>
    </row>
    <row r="1803">
      <c r="A1803" t="inlineStr">
        <is>
          <t>A3599595R</t>
        </is>
      </c>
      <c r="B1803" t="inlineStr">
        <is>
          <t>Contribution to Total CPI ;  Tools and equipment for house and garden ;  Australia ;</t>
        </is>
      </c>
      <c r="C1803" t="inlineStr">
        <is>
          <t>Quarter</t>
        </is>
      </c>
      <c r="D1803" t="inlineStr">
        <is>
          <t>Index Points</t>
        </is>
      </c>
      <c r="E1803" t="inlineStr">
        <is>
          <t>Original</t>
        </is>
      </c>
      <c r="F1803" t="inlineStr">
        <is>
          <t>6401018.xlsx</t>
        </is>
      </c>
      <c r="G1803" t="inlineStr">
        <is>
          <t>2025Q4</t>
        </is>
      </c>
      <c r="H1803" t="inlineStr">
        <is>
          <t>2026Q2</t>
        </is>
      </c>
      <c r="PB1803" s="2">
        <v>0.34</v>
      </c>
      <c r="PJ1803" s="2">
        <v>0.34</v>
      </c>
      <c r="PK1803" s="2">
        <v>0.34</v>
      </c>
    </row>
    <row r="1804">
      <c r="A1804" t="inlineStr">
        <is>
          <t>A3601260L</t>
        </is>
      </c>
      <c r="B1804" t="inlineStr">
        <is>
          <t>Contribution to Total CPI ;  Non-durable household products ;  Australia ;</t>
        </is>
      </c>
      <c r="C1804" t="inlineStr">
        <is>
          <t>Quarter</t>
        </is>
      </c>
      <c r="D1804" t="inlineStr">
        <is>
          <t>Index Points</t>
        </is>
      </c>
      <c r="E1804" t="inlineStr">
        <is>
          <t>Original</t>
        </is>
      </c>
      <c r="F1804" t="inlineStr">
        <is>
          <t>6401018.xlsx</t>
        </is>
      </c>
      <c r="G1804" t="inlineStr">
        <is>
          <t>2025Q4</t>
        </is>
      </c>
      <c r="H1804" t="inlineStr">
        <is>
          <t>2026Q2</t>
        </is>
      </c>
      <c r="PB1804" s="2">
        <v>2.15</v>
      </c>
      <c r="PJ1804" s="2">
        <v>2.15</v>
      </c>
      <c r="PK1804" s="2">
        <v>2.16</v>
      </c>
    </row>
    <row r="1805">
      <c r="A1805" t="inlineStr">
        <is>
          <t>A3599640R</t>
        </is>
      </c>
      <c r="B1805" t="inlineStr">
        <is>
          <t>Contribution to Total CPI ;  Cleaning and maintenance products ;  Australia ;</t>
        </is>
      </c>
      <c r="C1805" t="inlineStr">
        <is>
          <t>Quarter</t>
        </is>
      </c>
      <c r="D1805" t="inlineStr">
        <is>
          <t>Index Points</t>
        </is>
      </c>
      <c r="E1805" t="inlineStr">
        <is>
          <t>Original</t>
        </is>
      </c>
      <c r="F1805" t="inlineStr">
        <is>
          <t>6401018.xlsx</t>
        </is>
      </c>
      <c r="G1805" t="inlineStr">
        <is>
          <t>2025Q4</t>
        </is>
      </c>
      <c r="H1805" t="inlineStr">
        <is>
          <t>2026Q2</t>
        </is>
      </c>
      <c r="PB1805" s="2">
        <v>0.21</v>
      </c>
      <c r="PJ1805" s="2">
        <v>0.21</v>
      </c>
      <c r="PK1805" s="2">
        <v>0.21</v>
      </c>
    </row>
    <row r="1806">
      <c r="A1806" t="inlineStr">
        <is>
          <t>A3600495L</t>
        </is>
      </c>
      <c r="B1806" t="inlineStr">
        <is>
          <t>Contribution to Total CPI ;  Personal care products ;  Australia ;</t>
        </is>
      </c>
      <c r="C1806" t="inlineStr">
        <is>
          <t>Quarter</t>
        </is>
      </c>
      <c r="D1806" t="inlineStr">
        <is>
          <t>Index Points</t>
        </is>
      </c>
      <c r="E1806" t="inlineStr">
        <is>
          <t>Original</t>
        </is>
      </c>
      <c r="F1806" t="inlineStr">
        <is>
          <t>6401018.xlsx</t>
        </is>
      </c>
      <c r="G1806" t="inlineStr">
        <is>
          <t>2025Q4</t>
        </is>
      </c>
      <c r="H1806" t="inlineStr">
        <is>
          <t>2026Q2</t>
        </is>
      </c>
      <c r="PB1806" s="2">
        <v>0.79</v>
      </c>
      <c r="PJ1806" s="2">
        <v>0.8</v>
      </c>
      <c r="PK1806" s="2">
        <v>0.8</v>
      </c>
    </row>
    <row r="1807">
      <c r="A1807" t="inlineStr">
        <is>
          <t>A3601305F</t>
        </is>
      </c>
      <c r="B1807" t="inlineStr">
        <is>
          <t>Contribution to Total CPI ;  Other non-durable household products ;  Australia ;</t>
        </is>
      </c>
      <c r="C1807" t="inlineStr">
        <is>
          <t>Quarter</t>
        </is>
      </c>
      <c r="D1807" t="inlineStr">
        <is>
          <t>Index Points</t>
        </is>
      </c>
      <c r="E1807" t="inlineStr">
        <is>
          <t>Original</t>
        </is>
      </c>
      <c r="F1807" t="inlineStr">
        <is>
          <t>6401018.xlsx</t>
        </is>
      </c>
      <c r="G1807" t="inlineStr">
        <is>
          <t>2025Q4</t>
        </is>
      </c>
      <c r="H1807" t="inlineStr">
        <is>
          <t>2026Q2</t>
        </is>
      </c>
      <c r="PB1807" s="2">
        <v>1.14</v>
      </c>
      <c r="PJ1807" s="2">
        <v>1.13</v>
      </c>
      <c r="PK1807" s="2">
        <v>1.14</v>
      </c>
    </row>
    <row r="1808">
      <c r="A1808" t="inlineStr">
        <is>
          <t>A3601350T</t>
        </is>
      </c>
      <c r="B1808" t="inlineStr">
        <is>
          <t>Contribution to Total CPI ;  Domestic and household services ;  Australia ;</t>
        </is>
      </c>
      <c r="C1808" t="inlineStr">
        <is>
          <t>Quarter</t>
        </is>
      </c>
      <c r="D1808" t="inlineStr">
        <is>
          <t>Index Points</t>
        </is>
      </c>
      <c r="E1808" t="inlineStr">
        <is>
          <t>Original</t>
        </is>
      </c>
      <c r="F1808" t="inlineStr">
        <is>
          <t>6401018.xlsx</t>
        </is>
      </c>
      <c r="G1808" t="inlineStr">
        <is>
          <t>2025Q4</t>
        </is>
      </c>
      <c r="H1808" t="inlineStr">
        <is>
          <t>2026Q2</t>
        </is>
      </c>
      <c r="PB1808" s="2">
        <v>2.58</v>
      </c>
      <c r="PJ1808" s="2">
        <v>2.59</v>
      </c>
      <c r="PK1808" s="2">
        <v>2.6</v>
      </c>
    </row>
    <row r="1809">
      <c r="A1809" t="inlineStr">
        <is>
          <t>A3602565V</t>
        </is>
      </c>
      <c r="B1809" t="inlineStr">
        <is>
          <t>Contribution to Total CPI ;  Child care ;  Australia ;</t>
        </is>
      </c>
      <c r="C1809" t="inlineStr">
        <is>
          <t>Quarter</t>
        </is>
      </c>
      <c r="D1809" t="inlineStr">
        <is>
          <t>Index Points</t>
        </is>
      </c>
      <c r="E1809" t="inlineStr">
        <is>
          <t>Original</t>
        </is>
      </c>
      <c r="F1809" t="inlineStr">
        <is>
          <t>6401018.xlsx</t>
        </is>
      </c>
      <c r="G1809" t="inlineStr">
        <is>
          <t>2025Q4</t>
        </is>
      </c>
      <c r="H1809" t="inlineStr">
        <is>
          <t>2026Q2</t>
        </is>
      </c>
      <c r="PB1809" s="2">
        <v>0.83</v>
      </c>
      <c r="PJ1809" s="2">
        <v>0.83</v>
      </c>
      <c r="PK1809" s="2">
        <v>0.83</v>
      </c>
    </row>
    <row r="1810">
      <c r="A1810" t="inlineStr">
        <is>
          <t>A3600540L</t>
        </is>
      </c>
      <c r="B1810" t="inlineStr">
        <is>
          <t>Contribution to Total CPI ;  Hairdressing and personal grooming services ;  Australia ;</t>
        </is>
      </c>
      <c r="C1810" t="inlineStr">
        <is>
          <t>Quarter</t>
        </is>
      </c>
      <c r="D1810" t="inlineStr">
        <is>
          <t>Index Points</t>
        </is>
      </c>
      <c r="E1810" t="inlineStr">
        <is>
          <t>Original</t>
        </is>
      </c>
      <c r="F1810" t="inlineStr">
        <is>
          <t>6401018.xlsx</t>
        </is>
      </c>
      <c r="G1810" t="inlineStr">
        <is>
          <t>2025Q4</t>
        </is>
      </c>
      <c r="H1810" t="inlineStr">
        <is>
          <t>2026Q2</t>
        </is>
      </c>
      <c r="PB1810" s="2">
        <v>1.05</v>
      </c>
      <c r="PJ1810" s="2">
        <v>1.06</v>
      </c>
      <c r="PK1810" s="2">
        <v>1.07</v>
      </c>
    </row>
    <row r="1811">
      <c r="A1811" t="inlineStr">
        <is>
          <t>A3602610V</t>
        </is>
      </c>
      <c r="B1811" t="inlineStr">
        <is>
          <t>Contribution to Total CPI ;  Other household services ;  Australia ;</t>
        </is>
      </c>
      <c r="C1811" t="inlineStr">
        <is>
          <t>Quarter</t>
        </is>
      </c>
      <c r="D1811" t="inlineStr">
        <is>
          <t>Index Points</t>
        </is>
      </c>
      <c r="E1811" t="inlineStr">
        <is>
          <t>Original</t>
        </is>
      </c>
      <c r="F1811" t="inlineStr">
        <is>
          <t>6401018.xlsx</t>
        </is>
      </c>
      <c r="G1811" t="inlineStr">
        <is>
          <t>2025Q4</t>
        </is>
      </c>
      <c r="H1811" t="inlineStr">
        <is>
          <t>2026Q2</t>
        </is>
      </c>
      <c r="PB1811" s="2">
        <v>0.7</v>
      </c>
      <c r="PJ1811" s="2">
        <v>0.71</v>
      </c>
      <c r="PK1811" s="2">
        <v>0.71</v>
      </c>
    </row>
    <row r="1812">
      <c r="A1812" t="inlineStr">
        <is>
          <t>A3602205R</t>
        </is>
      </c>
      <c r="B1812" t="inlineStr">
        <is>
          <t>Contribution to Total CPI ;  Health ;  Australia ;</t>
        </is>
      </c>
      <c r="C1812" t="inlineStr">
        <is>
          <t>Quarter</t>
        </is>
      </c>
      <c r="D1812" t="inlineStr">
        <is>
          <t>Index Points</t>
        </is>
      </c>
      <c r="E1812" t="inlineStr">
        <is>
          <t>Original</t>
        </is>
      </c>
      <c r="F1812" t="inlineStr">
        <is>
          <t>6401018.xlsx</t>
        </is>
      </c>
      <c r="G1812" t="inlineStr">
        <is>
          <t>2025Q4</t>
        </is>
      </c>
      <c r="H1812" t="inlineStr">
        <is>
          <t>2026Q2</t>
        </is>
      </c>
      <c r="PB1812" s="2">
        <v>6.79</v>
      </c>
      <c r="PJ1812" s="2">
        <v>6.94</v>
      </c>
      <c r="PK1812" s="2">
        <v>7.09</v>
      </c>
    </row>
    <row r="1813">
      <c r="A1813" t="inlineStr">
        <is>
          <t>A3604440A</t>
        </is>
      </c>
      <c r="B1813" t="inlineStr">
        <is>
          <t>Contribution to Total CPI ;  Medical products, appliances and equipment ;  Australia ;</t>
        </is>
      </c>
      <c r="C1813" t="inlineStr">
        <is>
          <t>Quarter</t>
        </is>
      </c>
      <c r="D1813" t="inlineStr">
        <is>
          <t>Index Points</t>
        </is>
      </c>
      <c r="E1813" t="inlineStr">
        <is>
          <t>Original</t>
        </is>
      </c>
      <c r="F1813" t="inlineStr">
        <is>
          <t>6401018.xlsx</t>
        </is>
      </c>
      <c r="G1813" t="inlineStr">
        <is>
          <t>2025Q4</t>
        </is>
      </c>
      <c r="H1813" t="inlineStr">
        <is>
          <t>2026Q2</t>
        </is>
      </c>
      <c r="PB1813" s="2">
        <v>1.07</v>
      </c>
      <c r="PJ1813" s="2">
        <v>1.1</v>
      </c>
      <c r="PK1813" s="2">
        <v>1.08</v>
      </c>
    </row>
    <row r="1814">
      <c r="A1814" t="inlineStr">
        <is>
          <t>A3600450J</t>
        </is>
      </c>
      <c r="B1814" t="inlineStr">
        <is>
          <t>Contribution to Total CPI ;  Pharmaceutical products ;  Australia ;</t>
        </is>
      </c>
      <c r="C1814" t="inlineStr">
        <is>
          <t>Quarter</t>
        </is>
      </c>
      <c r="D1814" t="inlineStr">
        <is>
          <t>Index Points</t>
        </is>
      </c>
      <c r="E1814" t="inlineStr">
        <is>
          <t>Original</t>
        </is>
      </c>
      <c r="F1814" t="inlineStr">
        <is>
          <t>6401018.xlsx</t>
        </is>
      </c>
      <c r="G1814" t="inlineStr">
        <is>
          <t>2025Q4</t>
        </is>
      </c>
      <c r="H1814" t="inlineStr">
        <is>
          <t>2026Q2</t>
        </is>
      </c>
      <c r="PB1814" s="2">
        <v>0.93</v>
      </c>
      <c r="PJ1814" s="2">
        <v>0.96</v>
      </c>
      <c r="PK1814" s="2">
        <v>0.9399999999999999</v>
      </c>
    </row>
    <row r="1815">
      <c r="A1815" t="inlineStr">
        <is>
          <t>A3600360C</t>
        </is>
      </c>
      <c r="B1815" t="inlineStr">
        <is>
          <t>Contribution to Total CPI ;  Therapeutic appliances and equipment ;  Australia ;</t>
        </is>
      </c>
      <c r="C1815" t="inlineStr">
        <is>
          <t>Quarter</t>
        </is>
      </c>
      <c r="D1815" t="inlineStr">
        <is>
          <t>Index Points</t>
        </is>
      </c>
      <c r="E1815" t="inlineStr">
        <is>
          <t>Original</t>
        </is>
      </c>
      <c r="F1815" t="inlineStr">
        <is>
          <t>6401018.xlsx</t>
        </is>
      </c>
      <c r="G1815" t="inlineStr">
        <is>
          <t>2025Q4</t>
        </is>
      </c>
      <c r="H1815" t="inlineStr">
        <is>
          <t>2026Q2</t>
        </is>
      </c>
      <c r="PB1815" s="2">
        <v>0.14</v>
      </c>
      <c r="PJ1815" s="2">
        <v>0.14</v>
      </c>
      <c r="PK1815" s="2">
        <v>0.14</v>
      </c>
    </row>
    <row r="1816">
      <c r="A1816" t="inlineStr">
        <is>
          <t>A3604390R</t>
        </is>
      </c>
      <c r="B1816" t="inlineStr">
        <is>
          <t>Contribution to Total CPI ;  Medical, dental and hospital services ;  Australia ;</t>
        </is>
      </c>
      <c r="C1816" t="inlineStr">
        <is>
          <t>Quarter</t>
        </is>
      </c>
      <c r="D1816" t="inlineStr">
        <is>
          <t>Index Points</t>
        </is>
      </c>
      <c r="E1816" t="inlineStr">
        <is>
          <t>Original</t>
        </is>
      </c>
      <c r="F1816" t="inlineStr">
        <is>
          <t>6401018.xlsx</t>
        </is>
      </c>
      <c r="G1816" t="inlineStr">
        <is>
          <t>2025Q4</t>
        </is>
      </c>
      <c r="H1816" t="inlineStr">
        <is>
          <t>2026Q2</t>
        </is>
      </c>
      <c r="PB1816" s="2">
        <v>5.72</v>
      </c>
      <c r="PJ1816" s="2">
        <v>5.84</v>
      </c>
      <c r="PK1816" s="2">
        <v>6.01</v>
      </c>
    </row>
    <row r="1817">
      <c r="A1817" t="inlineStr">
        <is>
          <t>A3600315T</t>
        </is>
      </c>
      <c r="B1817" t="inlineStr">
        <is>
          <t>Contribution to Total CPI ;  Medical and hospital services ;  Australia ;</t>
        </is>
      </c>
      <c r="C1817" t="inlineStr">
        <is>
          <t>Quarter</t>
        </is>
      </c>
      <c r="D1817" t="inlineStr">
        <is>
          <t>Index Points</t>
        </is>
      </c>
      <c r="E1817" t="inlineStr">
        <is>
          <t>Original</t>
        </is>
      </c>
      <c r="F1817" t="inlineStr">
        <is>
          <t>6401018.xlsx</t>
        </is>
      </c>
      <c r="G1817" t="inlineStr">
        <is>
          <t>2025Q4</t>
        </is>
      </c>
      <c r="H1817" t="inlineStr">
        <is>
          <t>2026Q2</t>
        </is>
      </c>
      <c r="PB1817" s="2">
        <v>5.12</v>
      </c>
      <c r="PJ1817" s="2">
        <v>5.24</v>
      </c>
      <c r="PK1817" s="2">
        <v>5.4</v>
      </c>
    </row>
    <row r="1818">
      <c r="A1818" t="inlineStr">
        <is>
          <t>A3600405W</t>
        </is>
      </c>
      <c r="B1818" t="inlineStr">
        <is>
          <t>Contribution to Total CPI ;  Dental services ;  Australia ;</t>
        </is>
      </c>
      <c r="C1818" t="inlineStr">
        <is>
          <t>Quarter</t>
        </is>
      </c>
      <c r="D1818" t="inlineStr">
        <is>
          <t>Index Points</t>
        </is>
      </c>
      <c r="E1818" t="inlineStr">
        <is>
          <t>Original</t>
        </is>
      </c>
      <c r="F1818" t="inlineStr">
        <is>
          <t>6401018.xlsx</t>
        </is>
      </c>
      <c r="G1818" t="inlineStr">
        <is>
          <t>2025Q4</t>
        </is>
      </c>
      <c r="H1818" t="inlineStr">
        <is>
          <t>2026Q2</t>
        </is>
      </c>
      <c r="PB1818" s="2">
        <v>0.6</v>
      </c>
      <c r="PJ1818" s="2">
        <v>0.6</v>
      </c>
      <c r="PK1818" s="2">
        <v>0.61</v>
      </c>
    </row>
    <row r="1819">
      <c r="A1819" t="inlineStr">
        <is>
          <t>A3597750T</t>
        </is>
      </c>
      <c r="B1819" t="inlineStr">
        <is>
          <t>Contribution to Total CPI ;  Transport ;  Australia ;</t>
        </is>
      </c>
      <c r="C1819" t="inlineStr">
        <is>
          <t>Quarter</t>
        </is>
      </c>
      <c r="D1819" t="inlineStr">
        <is>
          <t>Index Points</t>
        </is>
      </c>
      <c r="E1819" t="inlineStr">
        <is>
          <t>Original</t>
        </is>
      </c>
      <c r="F1819" t="inlineStr">
        <is>
          <t>6401018.xlsx</t>
        </is>
      </c>
      <c r="G1819" t="inlineStr">
        <is>
          <t>2025Q4</t>
        </is>
      </c>
      <c r="H1819" t="inlineStr">
        <is>
          <t>2026Q2</t>
        </is>
      </c>
      <c r="PB1819" s="2">
        <v>11.35</v>
      </c>
      <c r="PJ1819" s="2">
        <v>11.58</v>
      </c>
      <c r="PK1819" s="2">
        <v>11.5</v>
      </c>
    </row>
    <row r="1820">
      <c r="A1820" t="inlineStr">
        <is>
          <t>A3598200T</t>
        </is>
      </c>
      <c r="B1820" t="inlineStr">
        <is>
          <t>Contribution to Total CPI ;  Private motoring ;  Australia ;</t>
        </is>
      </c>
      <c r="C1820" t="inlineStr">
        <is>
          <t>Quarter</t>
        </is>
      </c>
      <c r="D1820" t="inlineStr">
        <is>
          <t>Index Points</t>
        </is>
      </c>
      <c r="E1820" t="inlineStr">
        <is>
          <t>Original</t>
        </is>
      </c>
      <c r="F1820" t="inlineStr">
        <is>
          <t>6401018.xlsx</t>
        </is>
      </c>
      <c r="G1820" t="inlineStr">
        <is>
          <t>2025Q4</t>
        </is>
      </c>
      <c r="H1820" t="inlineStr">
        <is>
          <t>2026Q2</t>
        </is>
      </c>
      <c r="PB1820" s="2">
        <v>11.01</v>
      </c>
      <c r="PJ1820" s="2">
        <v>11.25</v>
      </c>
      <c r="PK1820" s="2">
        <v>11.22</v>
      </c>
    </row>
    <row r="1821">
      <c r="A1821" t="inlineStr">
        <is>
          <t>A3599865C</t>
        </is>
      </c>
      <c r="B1821" t="inlineStr">
        <is>
          <t>Contribution to Total CPI ;  Motor vehicles ;  Australia ;</t>
        </is>
      </c>
      <c r="C1821" t="inlineStr">
        <is>
          <t>Quarter</t>
        </is>
      </c>
      <c r="D1821" t="inlineStr">
        <is>
          <t>Index Points</t>
        </is>
      </c>
      <c r="E1821" t="inlineStr">
        <is>
          <t>Original</t>
        </is>
      </c>
      <c r="F1821" t="inlineStr">
        <is>
          <t>6401018.xlsx</t>
        </is>
      </c>
      <c r="G1821" t="inlineStr">
        <is>
          <t>2025Q4</t>
        </is>
      </c>
      <c r="H1821" t="inlineStr">
        <is>
          <t>2026Q2</t>
        </is>
      </c>
      <c r="PB1821" s="2">
        <v>3.42</v>
      </c>
      <c r="PJ1821" s="2">
        <v>3.46</v>
      </c>
      <c r="PK1821" s="2">
        <v>3.45</v>
      </c>
    </row>
    <row r="1822">
      <c r="A1822" t="inlineStr">
        <is>
          <t>A3600000X</t>
        </is>
      </c>
      <c r="B1822" t="inlineStr">
        <is>
          <t>Contribution to Total CPI ;  Spare parts and accessories for motor vehicles ;  Australia ;</t>
        </is>
      </c>
      <c r="C1822" t="inlineStr">
        <is>
          <t>Quarter</t>
        </is>
      </c>
      <c r="D1822" t="inlineStr">
        <is>
          <t>Index Points</t>
        </is>
      </c>
      <c r="E1822" t="inlineStr">
        <is>
          <t>Original</t>
        </is>
      </c>
      <c r="F1822" t="inlineStr">
        <is>
          <t>6401018.xlsx</t>
        </is>
      </c>
      <c r="G1822" t="inlineStr">
        <is>
          <t>2025Q4</t>
        </is>
      </c>
      <c r="H1822" t="inlineStr">
        <is>
          <t>2026Q2</t>
        </is>
      </c>
      <c r="PB1822" s="2">
        <v>0.87</v>
      </c>
      <c r="PJ1822" s="2">
        <v>0.86</v>
      </c>
      <c r="PK1822" s="2">
        <v>0.87</v>
      </c>
    </row>
    <row r="1823">
      <c r="A1823" t="inlineStr">
        <is>
          <t>A3599910C</t>
        </is>
      </c>
      <c r="B1823" t="inlineStr">
        <is>
          <t>Contribution to Total CPI ;  Automotive fuel ;  Australia ;</t>
        </is>
      </c>
      <c r="C1823" t="inlineStr">
        <is>
          <t>Quarter</t>
        </is>
      </c>
      <c r="D1823" t="inlineStr">
        <is>
          <t>Index Points</t>
        </is>
      </c>
      <c r="E1823" t="inlineStr">
        <is>
          <t>Original</t>
        </is>
      </c>
      <c r="F1823" t="inlineStr">
        <is>
          <t>6401018.xlsx</t>
        </is>
      </c>
      <c r="G1823" t="inlineStr">
        <is>
          <t>2025Q4</t>
        </is>
      </c>
      <c r="H1823" t="inlineStr">
        <is>
          <t>2026Q2</t>
        </is>
      </c>
      <c r="PB1823" s="2">
        <v>3.29</v>
      </c>
      <c r="PJ1823" s="2">
        <v>3.46</v>
      </c>
      <c r="PK1823" s="2">
        <v>3.39</v>
      </c>
    </row>
    <row r="1824">
      <c r="A1824" t="inlineStr">
        <is>
          <t>A3600045C</t>
        </is>
      </c>
      <c r="B1824" t="inlineStr">
        <is>
          <t>Contribution to Total CPI ;  Maintenance and repair of motor vehicles ;  Australia ;</t>
        </is>
      </c>
      <c r="C1824" t="inlineStr">
        <is>
          <t>Quarter</t>
        </is>
      </c>
      <c r="D1824" t="inlineStr">
        <is>
          <t>Index Points</t>
        </is>
      </c>
      <c r="E1824" t="inlineStr">
        <is>
          <t>Original</t>
        </is>
      </c>
      <c r="F1824" t="inlineStr">
        <is>
          <t>6401018.xlsx</t>
        </is>
      </c>
      <c r="G1824" t="inlineStr">
        <is>
          <t>2025Q4</t>
        </is>
      </c>
      <c r="H1824" t="inlineStr">
        <is>
          <t>2026Q2</t>
        </is>
      </c>
      <c r="PB1824" s="2">
        <v>2.09</v>
      </c>
      <c r="PJ1824" s="2">
        <v>2.12</v>
      </c>
      <c r="PK1824" s="2">
        <v>2.16</v>
      </c>
    </row>
    <row r="1825">
      <c r="A1825" t="inlineStr">
        <is>
          <t>A3599955J</t>
        </is>
      </c>
      <c r="B1825" t="inlineStr">
        <is>
          <t>Contribution to Total CPI ;  Other services in respect of motor vehicles ;  Australia ;</t>
        </is>
      </c>
      <c r="C1825" t="inlineStr">
        <is>
          <t>Quarter</t>
        </is>
      </c>
      <c r="D1825" t="inlineStr">
        <is>
          <t>Index Points</t>
        </is>
      </c>
      <c r="E1825" t="inlineStr">
        <is>
          <t>Original</t>
        </is>
      </c>
      <c r="F1825" t="inlineStr">
        <is>
          <t>6401018.xlsx</t>
        </is>
      </c>
      <c r="G1825" t="inlineStr">
        <is>
          <t>2025Q4</t>
        </is>
      </c>
      <c r="H1825" t="inlineStr">
        <is>
          <t>2026Q2</t>
        </is>
      </c>
      <c r="PB1825" s="2">
        <v>1.34</v>
      </c>
      <c r="PJ1825" s="2">
        <v>1.34</v>
      </c>
      <c r="PK1825" s="2">
        <v>1.35</v>
      </c>
    </row>
    <row r="1826">
      <c r="A1826" t="inlineStr">
        <is>
          <t>A3598245W</t>
        </is>
      </c>
      <c r="B1826" t="inlineStr">
        <is>
          <t>Contribution to Total CPI ;  Urban transport fares ;  Australia ;</t>
        </is>
      </c>
      <c r="C1826" t="inlineStr">
        <is>
          <t>Quarter</t>
        </is>
      </c>
      <c r="D1826" t="inlineStr">
        <is>
          <t>Index Points</t>
        </is>
      </c>
      <c r="E1826" t="inlineStr">
        <is>
          <t>Original</t>
        </is>
      </c>
      <c r="F1826" t="inlineStr">
        <is>
          <t>6401018.xlsx</t>
        </is>
      </c>
      <c r="G1826" t="inlineStr">
        <is>
          <t>2025Q4</t>
        </is>
      </c>
      <c r="H1826" t="inlineStr">
        <is>
          <t>2026Q2</t>
        </is>
      </c>
      <c r="PB1826" s="2">
        <v>0.35</v>
      </c>
      <c r="PJ1826" s="2">
        <v>0.34</v>
      </c>
      <c r="PK1826" s="2">
        <v>0.29</v>
      </c>
    </row>
    <row r="1827">
      <c r="A1827" t="inlineStr">
        <is>
          <t>A3600090R</t>
        </is>
      </c>
      <c r="B1827" t="inlineStr">
        <is>
          <t>Contribution to Total CPI ;  Urban transport fares ;  Australia ;</t>
        </is>
      </c>
      <c r="C1827" t="inlineStr">
        <is>
          <t>Quarter</t>
        </is>
      </c>
      <c r="D1827" t="inlineStr">
        <is>
          <t>Index Points</t>
        </is>
      </c>
      <c r="E1827" t="inlineStr">
        <is>
          <t>Original</t>
        </is>
      </c>
      <c r="F1827" t="inlineStr">
        <is>
          <t>6401018.xlsx</t>
        </is>
      </c>
      <c r="G1827" t="inlineStr">
        <is>
          <t>2025Q4</t>
        </is>
      </c>
      <c r="H1827" t="inlineStr">
        <is>
          <t>2026Q2</t>
        </is>
      </c>
      <c r="PB1827" s="2">
        <v>0.35</v>
      </c>
      <c r="PJ1827" s="2">
        <v>0.34</v>
      </c>
      <c r="PK1827" s="2">
        <v>0.29</v>
      </c>
    </row>
    <row r="1828">
      <c r="A1828" t="inlineStr">
        <is>
          <t>A3602250A</t>
        </is>
      </c>
      <c r="B1828" t="inlineStr">
        <is>
          <t>Contribution to Total CPI ;  Communication ;  Australia ;</t>
        </is>
      </c>
      <c r="C1828" t="inlineStr">
        <is>
          <t>Quarter</t>
        </is>
      </c>
      <c r="D1828" t="inlineStr">
        <is>
          <t>Index Points</t>
        </is>
      </c>
      <c r="E1828" t="inlineStr">
        <is>
          <t>Original</t>
        </is>
      </c>
      <c r="F1828" t="inlineStr">
        <is>
          <t>6401018.xlsx</t>
        </is>
      </c>
      <c r="G1828" t="inlineStr">
        <is>
          <t>2025Q4</t>
        </is>
      </c>
      <c r="H1828" t="inlineStr">
        <is>
          <t>2026Q2</t>
        </is>
      </c>
      <c r="PB1828" s="2">
        <v>2.09</v>
      </c>
      <c r="PJ1828" s="2">
        <v>2.09</v>
      </c>
      <c r="PK1828" s="2">
        <v>2.1</v>
      </c>
    </row>
    <row r="1829">
      <c r="A1829" t="inlineStr">
        <is>
          <t>A3598155T</t>
        </is>
      </c>
      <c r="B1829" t="inlineStr">
        <is>
          <t>Contribution to Total CPI ;  Communication ;  Australia ;</t>
        </is>
      </c>
      <c r="C1829" t="inlineStr">
        <is>
          <t>Quarter</t>
        </is>
      </c>
      <c r="D1829" t="inlineStr">
        <is>
          <t>Index Points</t>
        </is>
      </c>
      <c r="E1829" t="inlineStr">
        <is>
          <t>Original</t>
        </is>
      </c>
      <c r="F1829" t="inlineStr">
        <is>
          <t>6401018.xlsx</t>
        </is>
      </c>
      <c r="G1829" t="inlineStr">
        <is>
          <t>2025Q4</t>
        </is>
      </c>
      <c r="H1829" t="inlineStr">
        <is>
          <t>2026Q2</t>
        </is>
      </c>
      <c r="PB1829" s="2">
        <v>2.09</v>
      </c>
      <c r="PJ1829" s="2">
        <v>2.09</v>
      </c>
      <c r="PK1829" s="2">
        <v>2.1</v>
      </c>
    </row>
    <row r="1830">
      <c r="A1830" t="inlineStr">
        <is>
          <t>A3599775X</t>
        </is>
      </c>
      <c r="B1830" t="inlineStr">
        <is>
          <t>Contribution to Total CPI ;  Postal services ;  Australia ;</t>
        </is>
      </c>
      <c r="C1830" t="inlineStr">
        <is>
          <t>Quarter</t>
        </is>
      </c>
      <c r="D1830" t="inlineStr">
        <is>
          <t>Index Points</t>
        </is>
      </c>
      <c r="E1830" t="inlineStr">
        <is>
          <t>Original</t>
        </is>
      </c>
      <c r="F1830" t="inlineStr">
        <is>
          <t>6401018.xlsx</t>
        </is>
      </c>
      <c r="G1830" t="inlineStr">
        <is>
          <t>2025Q4</t>
        </is>
      </c>
      <c r="H1830" t="inlineStr">
        <is>
          <t>2026Q2</t>
        </is>
      </c>
      <c r="PB1830" s="2">
        <v>0.11</v>
      </c>
      <c r="PJ1830" s="2">
        <v>0.11</v>
      </c>
      <c r="PK1830" s="2">
        <v>0.11</v>
      </c>
    </row>
    <row r="1831">
      <c r="A1831" t="inlineStr">
        <is>
          <t>A3599820X</t>
        </is>
      </c>
      <c r="B1831" t="inlineStr">
        <is>
          <t>Contribution to Total CPI ;  Telecommunication equipment and services ;  Australia ;</t>
        </is>
      </c>
      <c r="C1831" t="inlineStr">
        <is>
          <t>Quarter</t>
        </is>
      </c>
      <c r="D1831" t="inlineStr">
        <is>
          <t>Index Points</t>
        </is>
      </c>
      <c r="E1831" t="inlineStr">
        <is>
          <t>Original</t>
        </is>
      </c>
      <c r="F1831" t="inlineStr">
        <is>
          <t>6401018.xlsx</t>
        </is>
      </c>
      <c r="G1831" t="inlineStr">
        <is>
          <t>2025Q4</t>
        </is>
      </c>
      <c r="H1831" t="inlineStr">
        <is>
          <t>2026Q2</t>
        </is>
      </c>
      <c r="PB1831" s="2">
        <v>1.98</v>
      </c>
      <c r="PJ1831" s="2">
        <v>1.98</v>
      </c>
      <c r="PK1831" s="2">
        <v>1.99</v>
      </c>
    </row>
    <row r="1832">
      <c r="A1832" t="inlineStr">
        <is>
          <t>A3602295F</t>
        </is>
      </c>
      <c r="B1832" t="inlineStr">
        <is>
          <t>Contribution to Total CPI ;  Recreation and culture ;  Australia ;</t>
        </is>
      </c>
      <c r="C1832" t="inlineStr">
        <is>
          <t>Quarter</t>
        </is>
      </c>
      <c r="D1832" t="inlineStr">
        <is>
          <t>Index Points</t>
        </is>
      </c>
      <c r="E1832" t="inlineStr">
        <is>
          <t>Original</t>
        </is>
      </c>
      <c r="F1832" t="inlineStr">
        <is>
          <t>6401018.xlsx</t>
        </is>
      </c>
      <c r="G1832" t="inlineStr">
        <is>
          <t>2025Q4</t>
        </is>
      </c>
      <c r="H1832" t="inlineStr">
        <is>
          <t>2026Q2</t>
        </is>
      </c>
      <c r="PB1832" s="2">
        <v>12.7</v>
      </c>
      <c r="PJ1832" s="2">
        <v>12.54</v>
      </c>
      <c r="PK1832" s="2">
        <v>12.48</v>
      </c>
    </row>
    <row r="1833">
      <c r="A1833" t="inlineStr">
        <is>
          <t>A3604425C</t>
        </is>
      </c>
      <c r="B1833" t="inlineStr">
        <is>
          <t>Contribution to Total CPI ;  Audio, visual and computing equipment and services ;  Australia ;</t>
        </is>
      </c>
      <c r="C1833" t="inlineStr">
        <is>
          <t>Quarter</t>
        </is>
      </c>
      <c r="D1833" t="inlineStr">
        <is>
          <t>Index Points</t>
        </is>
      </c>
      <c r="E1833" t="inlineStr">
        <is>
          <t>Original</t>
        </is>
      </c>
      <c r="F1833" t="inlineStr">
        <is>
          <t>6401018.xlsx</t>
        </is>
      </c>
      <c r="G1833" t="inlineStr">
        <is>
          <t>2025Q4</t>
        </is>
      </c>
      <c r="H1833" t="inlineStr">
        <is>
          <t>2026Q2</t>
        </is>
      </c>
      <c r="PB1833" s="2">
        <v>1.92</v>
      </c>
      <c r="PJ1833" s="2">
        <v>1.94</v>
      </c>
      <c r="PK1833" s="2">
        <v>1.94</v>
      </c>
    </row>
    <row r="1834">
      <c r="A1834" t="inlineStr">
        <is>
          <t>A3600585T</t>
        </is>
      </c>
      <c r="B1834" t="inlineStr">
        <is>
          <t>Contribution to Total CPI ;  Audio, visual and computing equipment ;  Australia ;</t>
        </is>
      </c>
      <c r="C1834" t="inlineStr">
        <is>
          <t>Quarter</t>
        </is>
      </c>
      <c r="D1834" t="inlineStr">
        <is>
          <t>Index Points</t>
        </is>
      </c>
      <c r="E1834" t="inlineStr">
        <is>
          <t>Original</t>
        </is>
      </c>
      <c r="F1834" t="inlineStr">
        <is>
          <t>6401018.xlsx</t>
        </is>
      </c>
      <c r="G1834" t="inlineStr">
        <is>
          <t>2025Q4</t>
        </is>
      </c>
      <c r="H1834" t="inlineStr">
        <is>
          <t>2026Q2</t>
        </is>
      </c>
      <c r="PB1834" s="2">
        <v>0.97</v>
      </c>
      <c r="PJ1834" s="2">
        <v>0.98</v>
      </c>
      <c r="PK1834" s="2">
        <v>0.97</v>
      </c>
    </row>
    <row r="1835">
      <c r="A1835" t="inlineStr">
        <is>
          <t>A3604445L</t>
        </is>
      </c>
      <c r="B1835" t="inlineStr">
        <is>
          <t>Contribution to Total CPI ;  Audio, visual and computing media and services ;  Australia ;</t>
        </is>
      </c>
      <c r="C1835" t="inlineStr">
        <is>
          <t>Quarter</t>
        </is>
      </c>
      <c r="D1835" t="inlineStr">
        <is>
          <t>Index Points</t>
        </is>
      </c>
      <c r="E1835" t="inlineStr">
        <is>
          <t>Original</t>
        </is>
      </c>
      <c r="F1835" t="inlineStr">
        <is>
          <t>6401018.xlsx</t>
        </is>
      </c>
      <c r="G1835" t="inlineStr">
        <is>
          <t>2025Q4</t>
        </is>
      </c>
      <c r="H1835" t="inlineStr">
        <is>
          <t>2026Q2</t>
        </is>
      </c>
      <c r="PB1835" s="2">
        <v>0.95</v>
      </c>
      <c r="PJ1835" s="2">
        <v>0.96</v>
      </c>
      <c r="PK1835" s="2">
        <v>0.97</v>
      </c>
    </row>
    <row r="1836">
      <c r="A1836" t="inlineStr">
        <is>
          <t>A3604410L</t>
        </is>
      </c>
      <c r="B1836" t="inlineStr">
        <is>
          <t>Contribution to Total CPI ;  Newspapers, books and stationery ;  Australia ;</t>
        </is>
      </c>
      <c r="C1836" t="inlineStr">
        <is>
          <t>Quarter</t>
        </is>
      </c>
      <c r="D1836" t="inlineStr">
        <is>
          <t>Index Points</t>
        </is>
      </c>
      <c r="E1836" t="inlineStr">
        <is>
          <t>Original</t>
        </is>
      </c>
      <c r="F1836" t="inlineStr">
        <is>
          <t>6401018.xlsx</t>
        </is>
      </c>
      <c r="G1836" t="inlineStr">
        <is>
          <t>2025Q4</t>
        </is>
      </c>
      <c r="H1836" t="inlineStr">
        <is>
          <t>2026Q2</t>
        </is>
      </c>
      <c r="PB1836" s="2">
        <v>0.47</v>
      </c>
      <c r="PJ1836" s="2">
        <v>0.48</v>
      </c>
      <c r="PK1836" s="2">
        <v>0.48</v>
      </c>
    </row>
    <row r="1837">
      <c r="A1837" t="inlineStr">
        <is>
          <t>A3601395W</t>
        </is>
      </c>
      <c r="B1837" t="inlineStr">
        <is>
          <t>Contribution to Total CPI ;  Books ;  Australia ;</t>
        </is>
      </c>
      <c r="C1837" t="inlineStr">
        <is>
          <t>Quarter</t>
        </is>
      </c>
      <c r="D1837" t="inlineStr">
        <is>
          <t>Index Points</t>
        </is>
      </c>
      <c r="E1837" t="inlineStr">
        <is>
          <t>Original</t>
        </is>
      </c>
      <c r="F1837" t="inlineStr">
        <is>
          <t>6401018.xlsx</t>
        </is>
      </c>
      <c r="G1837" t="inlineStr">
        <is>
          <t>2025Q4</t>
        </is>
      </c>
      <c r="H1837" t="inlineStr">
        <is>
          <t>2026Q2</t>
        </is>
      </c>
      <c r="PB1837" s="2">
        <v>0.13</v>
      </c>
      <c r="PJ1837" s="2">
        <v>0.13</v>
      </c>
      <c r="PK1837" s="2">
        <v>0.13</v>
      </c>
    </row>
    <row r="1838">
      <c r="A1838" t="inlineStr">
        <is>
          <t>A3604395A</t>
        </is>
      </c>
      <c r="B1838" t="inlineStr">
        <is>
          <t>Contribution to Total CPI ;  Newspapers, magazines and stationery ;  Australia ;</t>
        </is>
      </c>
      <c r="C1838" t="inlineStr">
        <is>
          <t>Quarter</t>
        </is>
      </c>
      <c r="D1838" t="inlineStr">
        <is>
          <t>Index Points</t>
        </is>
      </c>
      <c r="E1838" t="inlineStr">
        <is>
          <t>Original</t>
        </is>
      </c>
      <c r="F1838" t="inlineStr">
        <is>
          <t>6401018.xlsx</t>
        </is>
      </c>
      <c r="G1838" t="inlineStr">
        <is>
          <t>2025Q4</t>
        </is>
      </c>
      <c r="H1838" t="inlineStr">
        <is>
          <t>2026Q2</t>
        </is>
      </c>
      <c r="PB1838" s="2">
        <v>0.34</v>
      </c>
      <c r="PJ1838" s="2">
        <v>0.34</v>
      </c>
      <c r="PK1838" s="2">
        <v>0.35</v>
      </c>
    </row>
    <row r="1839">
      <c r="A1839" t="inlineStr">
        <is>
          <t>A3598380L</t>
        </is>
      </c>
      <c r="B1839" t="inlineStr">
        <is>
          <t>Contribution to Total CPI ;  Holiday travel and accommodation ;  Australia ;</t>
        </is>
      </c>
      <c r="C1839" t="inlineStr">
        <is>
          <t>Quarter</t>
        </is>
      </c>
      <c r="D1839" t="inlineStr">
        <is>
          <t>Index Points</t>
        </is>
      </c>
      <c r="E1839" t="inlineStr">
        <is>
          <t>Original</t>
        </is>
      </c>
      <c r="F1839" t="inlineStr">
        <is>
          <t>6401018.xlsx</t>
        </is>
      </c>
      <c r="G1839" t="inlineStr">
        <is>
          <t>2025Q4</t>
        </is>
      </c>
      <c r="H1839" t="inlineStr">
        <is>
          <t>2026Q2</t>
        </is>
      </c>
      <c r="PB1839" s="2">
        <v>6.27</v>
      </c>
      <c r="PJ1839" s="2">
        <v>6.03</v>
      </c>
      <c r="PK1839" s="2">
        <v>5.97</v>
      </c>
    </row>
    <row r="1840">
      <c r="A1840" t="inlineStr">
        <is>
          <t>A3600630T</t>
        </is>
      </c>
      <c r="B1840" t="inlineStr">
        <is>
          <t>Contribution to Total CPI ;  Domestic holiday travel and accommodation ;  Australia ;</t>
        </is>
      </c>
      <c r="C1840" t="inlineStr">
        <is>
          <t>Quarter</t>
        </is>
      </c>
      <c r="D1840" t="inlineStr">
        <is>
          <t>Index Points</t>
        </is>
      </c>
      <c r="E1840" t="inlineStr">
        <is>
          <t>Original</t>
        </is>
      </c>
      <c r="F1840" t="inlineStr">
        <is>
          <t>6401018.xlsx</t>
        </is>
      </c>
      <c r="G1840" t="inlineStr">
        <is>
          <t>2025Q4</t>
        </is>
      </c>
      <c r="H1840" t="inlineStr">
        <is>
          <t>2026Q2</t>
        </is>
      </c>
      <c r="PB1840" s="2">
        <v>3.26</v>
      </c>
      <c r="PJ1840" s="2">
        <v>3.24</v>
      </c>
      <c r="PK1840" s="2">
        <v>3.08</v>
      </c>
    </row>
    <row r="1841">
      <c r="A1841" t="inlineStr">
        <is>
          <t>A3600675W</t>
        </is>
      </c>
      <c r="B1841" t="inlineStr">
        <is>
          <t>Contribution to Total CPI ;  International holiday travel and accommodation ;  Australia ;</t>
        </is>
      </c>
      <c r="C1841" t="inlineStr">
        <is>
          <t>Quarter</t>
        </is>
      </c>
      <c r="D1841" t="inlineStr">
        <is>
          <t>Index Points</t>
        </is>
      </c>
      <c r="E1841" t="inlineStr">
        <is>
          <t>Original</t>
        </is>
      </c>
      <c r="F1841" t="inlineStr">
        <is>
          <t>6401018.xlsx</t>
        </is>
      </c>
      <c r="G1841" t="inlineStr">
        <is>
          <t>2025Q4</t>
        </is>
      </c>
      <c r="H1841" t="inlineStr">
        <is>
          <t>2026Q2</t>
        </is>
      </c>
      <c r="PB1841" s="2">
        <v>3.04</v>
      </c>
      <c r="PJ1841" s="2">
        <v>2.82</v>
      </c>
      <c r="PK1841" s="2">
        <v>2.91</v>
      </c>
    </row>
    <row r="1842">
      <c r="A1842" t="inlineStr">
        <is>
          <t>A3602340F</t>
        </is>
      </c>
      <c r="B1842" t="inlineStr">
        <is>
          <t>Contribution to Total CPI ;  Other recreation, sport and culture ;  Australia ;</t>
        </is>
      </c>
      <c r="C1842" t="inlineStr">
        <is>
          <t>Quarter</t>
        </is>
      </c>
      <c r="D1842" t="inlineStr">
        <is>
          <t>Index Points</t>
        </is>
      </c>
      <c r="E1842" t="inlineStr">
        <is>
          <t>Original</t>
        </is>
      </c>
      <c r="F1842" t="inlineStr">
        <is>
          <t>6401018.xlsx</t>
        </is>
      </c>
      <c r="G1842" t="inlineStr">
        <is>
          <t>2025Q4</t>
        </is>
      </c>
      <c r="H1842" t="inlineStr">
        <is>
          <t>2026Q2</t>
        </is>
      </c>
      <c r="PB1842" s="2">
        <v>4.06</v>
      </c>
      <c r="PJ1842" s="2">
        <v>4.1</v>
      </c>
      <c r="PK1842" s="2">
        <v>4.1</v>
      </c>
    </row>
    <row r="1843">
      <c r="A1843" t="inlineStr">
        <is>
          <t>A3601440W</t>
        </is>
      </c>
      <c r="B1843" t="inlineStr">
        <is>
          <t>Contribution to Total CPI ;  Equipment for sports, camping and open-air recreation ;  Australia ;</t>
        </is>
      </c>
      <c r="C1843" t="inlineStr">
        <is>
          <t>Quarter</t>
        </is>
      </c>
      <c r="D1843" t="inlineStr">
        <is>
          <t>Index Points</t>
        </is>
      </c>
      <c r="E1843" t="inlineStr">
        <is>
          <t>Original</t>
        </is>
      </c>
      <c r="F1843" t="inlineStr">
        <is>
          <t>6401018.xlsx</t>
        </is>
      </c>
      <c r="G1843" t="inlineStr">
        <is>
          <t>2025Q4</t>
        </is>
      </c>
      <c r="H1843" t="inlineStr">
        <is>
          <t>2026Q2</t>
        </is>
      </c>
      <c r="PB1843" s="2">
        <v>0.45</v>
      </c>
      <c r="PJ1843" s="2">
        <v>0.46</v>
      </c>
      <c r="PK1843" s="2">
        <v>0.46</v>
      </c>
    </row>
    <row r="1844">
      <c r="A1844" t="inlineStr">
        <is>
          <t>A3601485A</t>
        </is>
      </c>
      <c r="B1844" t="inlineStr">
        <is>
          <t>Contribution to Total CPI ;  Games, toys and hobbies ;  Australia ;</t>
        </is>
      </c>
      <c r="C1844" t="inlineStr">
        <is>
          <t>Quarter</t>
        </is>
      </c>
      <c r="D1844" t="inlineStr">
        <is>
          <t>Index Points</t>
        </is>
      </c>
      <c r="E1844" t="inlineStr">
        <is>
          <t>Original</t>
        </is>
      </c>
      <c r="F1844" t="inlineStr">
        <is>
          <t>6401018.xlsx</t>
        </is>
      </c>
      <c r="G1844" t="inlineStr">
        <is>
          <t>2025Q4</t>
        </is>
      </c>
      <c r="H1844" t="inlineStr">
        <is>
          <t>2026Q2</t>
        </is>
      </c>
      <c r="PB1844" s="2">
        <v>0.61</v>
      </c>
      <c r="PJ1844" s="2">
        <v>0.63</v>
      </c>
      <c r="PK1844" s="2">
        <v>0.62</v>
      </c>
    </row>
    <row r="1845">
      <c r="A1845" t="inlineStr">
        <is>
          <t>A3599730V</t>
        </is>
      </c>
      <c r="B1845" t="inlineStr">
        <is>
          <t>Contribution to Total CPI ;  Pets and related products ;  Australia ;</t>
        </is>
      </c>
      <c r="C1845" t="inlineStr">
        <is>
          <t>Quarter</t>
        </is>
      </c>
      <c r="D1845" t="inlineStr">
        <is>
          <t>Index Points</t>
        </is>
      </c>
      <c r="E1845" t="inlineStr">
        <is>
          <t>Original</t>
        </is>
      </c>
      <c r="F1845" t="inlineStr">
        <is>
          <t>6401018.xlsx</t>
        </is>
      </c>
      <c r="G1845" t="inlineStr">
        <is>
          <t>2025Q4</t>
        </is>
      </c>
      <c r="H1845" t="inlineStr">
        <is>
          <t>2026Q2</t>
        </is>
      </c>
      <c r="PB1845" s="2">
        <v>0.5</v>
      </c>
      <c r="PJ1845" s="2">
        <v>0.49</v>
      </c>
      <c r="PK1845" s="2">
        <v>0.49</v>
      </c>
    </row>
    <row r="1846">
      <c r="A1846" t="inlineStr">
        <is>
          <t>A3599685V</t>
        </is>
      </c>
      <c r="B1846" t="inlineStr">
        <is>
          <t>Contribution to Total CPI ;  Veterinary and other services for pets ;  Australia ;</t>
        </is>
      </c>
      <c r="C1846" t="inlineStr">
        <is>
          <t>Quarter</t>
        </is>
      </c>
      <c r="D1846" t="inlineStr">
        <is>
          <t>Index Points</t>
        </is>
      </c>
      <c r="E1846" t="inlineStr">
        <is>
          <t>Original</t>
        </is>
      </c>
      <c r="F1846" t="inlineStr">
        <is>
          <t>6401018.xlsx</t>
        </is>
      </c>
      <c r="G1846" t="inlineStr">
        <is>
          <t>2025Q4</t>
        </is>
      </c>
      <c r="H1846" t="inlineStr">
        <is>
          <t>2026Q2</t>
        </is>
      </c>
      <c r="PB1846" s="2">
        <v>0.52</v>
      </c>
      <c r="PJ1846" s="2">
        <v>0.52</v>
      </c>
      <c r="PK1846" s="2">
        <v>0.52</v>
      </c>
    </row>
    <row r="1847">
      <c r="A1847" t="inlineStr">
        <is>
          <t>A3601530A</t>
        </is>
      </c>
      <c r="B1847" t="inlineStr">
        <is>
          <t>Contribution to Total CPI ;  Sports participation ;  Australia ;</t>
        </is>
      </c>
      <c r="C1847" t="inlineStr">
        <is>
          <t>Quarter</t>
        </is>
      </c>
      <c r="D1847" t="inlineStr">
        <is>
          <t>Index Points</t>
        </is>
      </c>
      <c r="E1847" t="inlineStr">
        <is>
          <t>Original</t>
        </is>
      </c>
      <c r="F1847" t="inlineStr">
        <is>
          <t>6401018.xlsx</t>
        </is>
      </c>
      <c r="G1847" t="inlineStr">
        <is>
          <t>2025Q4</t>
        </is>
      </c>
      <c r="H1847" t="inlineStr">
        <is>
          <t>2026Q2</t>
        </is>
      </c>
      <c r="PB1847" s="2">
        <v>1.07</v>
      </c>
      <c r="PJ1847" s="2">
        <v>1.08</v>
      </c>
      <c r="PK1847" s="2">
        <v>1.09</v>
      </c>
    </row>
    <row r="1848">
      <c r="A1848" t="inlineStr">
        <is>
          <t>A3601575F</t>
        </is>
      </c>
      <c r="B1848" t="inlineStr">
        <is>
          <t>Contribution to Total CPI ;  Other recreational, sporting and cultural services ;  Australia ;</t>
        </is>
      </c>
      <c r="C1848" t="inlineStr">
        <is>
          <t>Quarter</t>
        </is>
      </c>
      <c r="D1848" t="inlineStr">
        <is>
          <t>Index Points</t>
        </is>
      </c>
      <c r="E1848" t="inlineStr">
        <is>
          <t>Original</t>
        </is>
      </c>
      <c r="F1848" t="inlineStr">
        <is>
          <t>6401018.xlsx</t>
        </is>
      </c>
      <c r="G1848" t="inlineStr">
        <is>
          <t>2025Q4</t>
        </is>
      </c>
      <c r="H1848" t="inlineStr">
        <is>
          <t>2026Q2</t>
        </is>
      </c>
      <c r="PB1848" s="2">
        <v>0.91</v>
      </c>
      <c r="PJ1848" s="2">
        <v>0.92</v>
      </c>
      <c r="PK1848" s="2">
        <v>0.91</v>
      </c>
    </row>
    <row r="1849">
      <c r="A1849" t="inlineStr">
        <is>
          <t>A3602385K</t>
        </is>
      </c>
      <c r="B1849" t="inlineStr">
        <is>
          <t>Contribution to Total CPI ;  Education ;  Australia ;</t>
        </is>
      </c>
      <c r="C1849" t="inlineStr">
        <is>
          <t>Quarter</t>
        </is>
      </c>
      <c r="D1849" t="inlineStr">
        <is>
          <t>Index Points</t>
        </is>
      </c>
      <c r="E1849" t="inlineStr">
        <is>
          <t>Original</t>
        </is>
      </c>
      <c r="F1849" t="inlineStr">
        <is>
          <t>6401018.xlsx</t>
        </is>
      </c>
      <c r="G1849" t="inlineStr">
        <is>
          <t>2025Q4</t>
        </is>
      </c>
      <c r="H1849" t="inlineStr">
        <is>
          <t>2026Q2</t>
        </is>
      </c>
      <c r="PB1849" s="2">
        <v>4.77</v>
      </c>
      <c r="PJ1849" s="2">
        <v>4.92</v>
      </c>
      <c r="PK1849" s="2">
        <v>4.99</v>
      </c>
    </row>
    <row r="1850">
      <c r="A1850" t="inlineStr">
        <is>
          <t>A3600720W</t>
        </is>
      </c>
      <c r="B1850" t="inlineStr">
        <is>
          <t>Contribution to Total CPI ;  Education ;  Australia ;</t>
        </is>
      </c>
      <c r="C1850" t="inlineStr">
        <is>
          <t>Quarter</t>
        </is>
      </c>
      <c r="D1850" t="inlineStr">
        <is>
          <t>Index Points</t>
        </is>
      </c>
      <c r="E1850" t="inlineStr">
        <is>
          <t>Original</t>
        </is>
      </c>
      <c r="F1850" t="inlineStr">
        <is>
          <t>6401018.xlsx</t>
        </is>
      </c>
      <c r="G1850" t="inlineStr">
        <is>
          <t>2025Q4</t>
        </is>
      </c>
      <c r="H1850" t="inlineStr">
        <is>
          <t>2026Q2</t>
        </is>
      </c>
      <c r="PB1850" s="2">
        <v>4.77</v>
      </c>
      <c r="PJ1850" s="2">
        <v>4.92</v>
      </c>
      <c r="PK1850" s="2">
        <v>4.99</v>
      </c>
    </row>
    <row r="1851">
      <c r="A1851" t="inlineStr">
        <is>
          <t>A3602430K</t>
        </is>
      </c>
      <c r="B1851" t="inlineStr">
        <is>
          <t>Contribution to Total CPI ;  Preschool and primary education ;  Australia ;</t>
        </is>
      </c>
      <c r="C1851" t="inlineStr">
        <is>
          <t>Quarter</t>
        </is>
      </c>
      <c r="D1851" t="inlineStr">
        <is>
          <t>Index Points</t>
        </is>
      </c>
      <c r="E1851" t="inlineStr">
        <is>
          <t>Original</t>
        </is>
      </c>
      <c r="F1851" t="inlineStr">
        <is>
          <t>6401018.xlsx</t>
        </is>
      </c>
      <c r="G1851" t="inlineStr">
        <is>
          <t>2025Q4</t>
        </is>
      </c>
      <c r="H1851" t="inlineStr">
        <is>
          <t>2026Q2</t>
        </is>
      </c>
      <c r="PB1851" s="2">
        <v>0.9399999999999999</v>
      </c>
      <c r="PJ1851" s="2">
        <v>0.97</v>
      </c>
      <c r="PK1851" s="2">
        <v>0.99</v>
      </c>
    </row>
    <row r="1852">
      <c r="A1852" t="inlineStr">
        <is>
          <t>A3602475R</t>
        </is>
      </c>
      <c r="B1852" t="inlineStr">
        <is>
          <t>Contribution to Total CPI ;  Secondary education ;  Australia ;</t>
        </is>
      </c>
      <c r="C1852" t="inlineStr">
        <is>
          <t>Quarter</t>
        </is>
      </c>
      <c r="D1852" t="inlineStr">
        <is>
          <t>Index Points</t>
        </is>
      </c>
      <c r="E1852" t="inlineStr">
        <is>
          <t>Original</t>
        </is>
      </c>
      <c r="F1852" t="inlineStr">
        <is>
          <t>6401018.xlsx</t>
        </is>
      </c>
      <c r="G1852" t="inlineStr">
        <is>
          <t>2025Q4</t>
        </is>
      </c>
      <c r="H1852" t="inlineStr">
        <is>
          <t>2026Q2</t>
        </is>
      </c>
      <c r="PB1852" s="2">
        <v>2.08</v>
      </c>
      <c r="PJ1852" s="2">
        <v>2.17</v>
      </c>
      <c r="PK1852" s="2">
        <v>2.21</v>
      </c>
    </row>
    <row r="1853">
      <c r="A1853" t="inlineStr">
        <is>
          <t>A3602520R</t>
        </is>
      </c>
      <c r="B1853" t="inlineStr">
        <is>
          <t>Contribution to Total CPI ;  Tertiary education ;  Australia ;</t>
        </is>
      </c>
      <c r="C1853" t="inlineStr">
        <is>
          <t>Quarter</t>
        </is>
      </c>
      <c r="D1853" t="inlineStr">
        <is>
          <t>Index Points</t>
        </is>
      </c>
      <c r="E1853" t="inlineStr">
        <is>
          <t>Original</t>
        </is>
      </c>
      <c r="F1853" t="inlineStr">
        <is>
          <t>6401018.xlsx</t>
        </is>
      </c>
      <c r="G1853" t="inlineStr">
        <is>
          <t>2025Q4</t>
        </is>
      </c>
      <c r="H1853" t="inlineStr">
        <is>
          <t>2026Q2</t>
        </is>
      </c>
      <c r="PB1853" s="2">
        <v>1.75</v>
      </c>
      <c r="PJ1853" s="2">
        <v>1.78</v>
      </c>
      <c r="PK1853" s="2">
        <v>1.79</v>
      </c>
    </row>
    <row r="1854">
      <c r="A1854" t="inlineStr">
        <is>
          <t>A3603420X</t>
        </is>
      </c>
      <c r="B1854" t="inlineStr">
        <is>
          <t>Contribution to Total CPI ;  Insurance and financial services ;  Australia ;</t>
        </is>
      </c>
      <c r="C1854" t="inlineStr">
        <is>
          <t>Quarter</t>
        </is>
      </c>
      <c r="D1854" t="inlineStr">
        <is>
          <t>Index Points</t>
        </is>
      </c>
      <c r="E1854" t="inlineStr">
        <is>
          <t>Original</t>
        </is>
      </c>
      <c r="F1854" t="inlineStr">
        <is>
          <t>6401018.xlsx</t>
        </is>
      </c>
      <c r="G1854" t="inlineStr">
        <is>
          <t>2025Q4</t>
        </is>
      </c>
      <c r="H1854" t="inlineStr">
        <is>
          <t>2026Q2</t>
        </is>
      </c>
      <c r="PB1854" s="2">
        <v>5.54</v>
      </c>
      <c r="PJ1854" s="2">
        <v>5.6</v>
      </c>
      <c r="PK1854" s="2">
        <v>5.65</v>
      </c>
    </row>
    <row r="1855">
      <c r="A1855" t="inlineStr">
        <is>
          <t>A3602835J</t>
        </is>
      </c>
      <c r="B1855" t="inlineStr">
        <is>
          <t>Contribution to Total CPI ;  Insurance ;  Australia ;</t>
        </is>
      </c>
      <c r="C1855" t="inlineStr">
        <is>
          <t>Quarter</t>
        </is>
      </c>
      <c r="D1855" t="inlineStr">
        <is>
          <t>Index Points</t>
        </is>
      </c>
      <c r="E1855" t="inlineStr">
        <is>
          <t>Original</t>
        </is>
      </c>
      <c r="F1855" t="inlineStr">
        <is>
          <t>6401018.xlsx</t>
        </is>
      </c>
      <c r="G1855" t="inlineStr">
        <is>
          <t>2025Q4</t>
        </is>
      </c>
      <c r="H1855" t="inlineStr">
        <is>
          <t>2026Q2</t>
        </is>
      </c>
      <c r="PB1855" s="2">
        <v>1.35</v>
      </c>
      <c r="PJ1855" s="2">
        <v>1.38</v>
      </c>
      <c r="PK1855" s="2">
        <v>1.4</v>
      </c>
    </row>
    <row r="1856">
      <c r="A1856" t="inlineStr">
        <is>
          <t>A3602880V</t>
        </is>
      </c>
      <c r="B1856" t="inlineStr">
        <is>
          <t>Contribution to Total CPI ;  Insurance ;  Australia ;</t>
        </is>
      </c>
      <c r="C1856" t="inlineStr">
        <is>
          <t>Quarter</t>
        </is>
      </c>
      <c r="D1856" t="inlineStr">
        <is>
          <t>Index Points</t>
        </is>
      </c>
      <c r="E1856" t="inlineStr">
        <is>
          <t>Original</t>
        </is>
      </c>
      <c r="F1856" t="inlineStr">
        <is>
          <t>6401018.xlsx</t>
        </is>
      </c>
      <c r="G1856" t="inlineStr">
        <is>
          <t>2025Q4</t>
        </is>
      </c>
      <c r="H1856" t="inlineStr">
        <is>
          <t>2026Q2</t>
        </is>
      </c>
      <c r="PB1856" s="2">
        <v>1.35</v>
      </c>
      <c r="PJ1856" s="2">
        <v>1.38</v>
      </c>
      <c r="PK1856" s="2">
        <v>1.4</v>
      </c>
    </row>
    <row r="1857">
      <c r="A1857" t="inlineStr">
        <is>
          <t>A3604455T</t>
        </is>
      </c>
      <c r="B1857" t="inlineStr">
        <is>
          <t>Contribution to Total CPI ;  Financial services ;  Australia ;</t>
        </is>
      </c>
      <c r="C1857" t="inlineStr">
        <is>
          <t>Quarter</t>
        </is>
      </c>
      <c r="D1857" t="inlineStr">
        <is>
          <t>Index Points</t>
        </is>
      </c>
      <c r="E1857" t="inlineStr">
        <is>
          <t>Original</t>
        </is>
      </c>
      <c r="F1857" t="inlineStr">
        <is>
          <t>6401018.xlsx</t>
        </is>
      </c>
      <c r="G1857" t="inlineStr">
        <is>
          <t>2025Q4</t>
        </is>
      </c>
      <c r="H1857" t="inlineStr">
        <is>
          <t>2026Q2</t>
        </is>
      </c>
      <c r="PB1857" s="2">
        <v>4.19</v>
      </c>
      <c r="PJ1857" s="2">
        <v>4.21</v>
      </c>
      <c r="PK1857" s="2">
        <v>4.25</v>
      </c>
    </row>
    <row r="1858">
      <c r="A1858" t="inlineStr">
        <is>
          <t>A3604450F</t>
        </is>
      </c>
      <c r="B1858" t="inlineStr">
        <is>
          <t>Contribution to Total CPI ;  Deposit and loan facilities (direct charges) ;  Australia ;</t>
        </is>
      </c>
      <c r="C1858" t="inlineStr">
        <is>
          <t>Quarter</t>
        </is>
      </c>
      <c r="D1858" t="inlineStr">
        <is>
          <t>Index Points</t>
        </is>
      </c>
      <c r="E1858" t="inlineStr">
        <is>
          <t>Original</t>
        </is>
      </c>
      <c r="F1858" t="inlineStr">
        <is>
          <t>6401018.xlsx</t>
        </is>
      </c>
      <c r="G1858" t="inlineStr">
        <is>
          <t>2025Q4</t>
        </is>
      </c>
      <c r="H1858" t="inlineStr">
        <is>
          <t>2026Q2</t>
        </is>
      </c>
      <c r="PB1858" s="2">
        <v>0.4</v>
      </c>
      <c r="PJ1858" s="2">
        <v>0.4</v>
      </c>
      <c r="PK1858" s="2">
        <v>0.41</v>
      </c>
    </row>
    <row r="1859">
      <c r="A1859" t="inlineStr">
        <is>
          <t>A3603555J</t>
        </is>
      </c>
      <c r="B1859" t="inlineStr">
        <is>
          <t>Contribution to Total CPI ;  Other financial services ;  Australia ;</t>
        </is>
      </c>
      <c r="C1859" t="inlineStr">
        <is>
          <t>Quarter</t>
        </is>
      </c>
      <c r="D1859" t="inlineStr">
        <is>
          <t>Index Points</t>
        </is>
      </c>
      <c r="E1859" t="inlineStr">
        <is>
          <t>Original</t>
        </is>
      </c>
      <c r="F1859" t="inlineStr">
        <is>
          <t>6401018.xlsx</t>
        </is>
      </c>
      <c r="G1859" t="inlineStr">
        <is>
          <t>2025Q4</t>
        </is>
      </c>
      <c r="H1859" t="inlineStr">
        <is>
          <t>2026Q2</t>
        </is>
      </c>
      <c r="PB1859" s="2">
        <v>3.78</v>
      </c>
      <c r="PJ1859" s="2">
        <v>3.81</v>
      </c>
      <c r="PK1859" s="2">
        <v>3.84</v>
      </c>
    </row>
  </sheetData>
  <autoFilter ref="A1:PK18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R1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42.7109375" customWidth="1"/>
    <col min="3" max="7" width="20.7109375" customWidth="1"/>
    <col min="8" max="980" width="16.7109375" style="2" customWidth="1"/>
  </cols>
  <sheetData>
    <row r="1">
      <c r="A1" t="inlineStr">
        <is>
          <t>Tier 1: 11 groups</t>
        </is>
      </c>
    </row>
    <row r="2">
      <c r="A2" t="inlineStr">
        <is>
          <t>Basket shares sum to 1</t>
        </is>
      </c>
      <c r="E2" s="3">
        <f>SUM(E4:E14)</f>
        <v>1.0</v>
      </c>
    </row>
    <row r="3" ht="50" customHeight="1">
      <c r="A3" s="1" t="inlineStr">
        <is>
          <t>Name</t>
        </is>
      </c>
      <c r="B3" s="1" t="inlineStr">
        <is>
          <t>Parent</t>
        </is>
      </c>
      <c r="C3" s="1" t="inlineStr">
        <is>
          <t>Depth</t>
        </is>
      </c>
      <c r="D3" s="1" t="inlineStr">
        <is>
          <t>Published weight (%)</t>
        </is>
      </c>
      <c r="E3" s="1" t="inlineStr">
        <is>
          <t>Reconciled basket share</t>
        </is>
      </c>
      <c r="F3" s="1" t="inlineStr">
        <is>
          <t>Adjustment from published share</t>
        </is>
      </c>
      <c r="G3" s="1" t="inlineStr">
        <is>
          <t>Within-parent share</t>
        </is>
      </c>
      <c r="H3" s="1" t="inlineStr">
        <is>
          <t>Month | Index Numbers | 2017-09</t>
        </is>
      </c>
      <c r="I3" s="1" t="inlineStr">
        <is>
          <t>Month | Index Numbers | 2017-10</t>
        </is>
      </c>
      <c r="J3" s="1" t="inlineStr">
        <is>
          <t>Month | Index Numbers | 2017-11</t>
        </is>
      </c>
      <c r="K3" s="1" t="inlineStr">
        <is>
          <t>Month | Index Numbers | 2017-12</t>
        </is>
      </c>
      <c r="L3" s="1" t="inlineStr">
        <is>
          <t>Month | Index Numbers | 2018-01</t>
        </is>
      </c>
      <c r="M3" s="1" t="inlineStr">
        <is>
          <t>Month | Index Numbers | 2018-02</t>
        </is>
      </c>
      <c r="N3" s="1" t="inlineStr">
        <is>
          <t>Month | Index Numbers | 2018-03</t>
        </is>
      </c>
      <c r="O3" s="1" t="inlineStr">
        <is>
          <t>Month | Index Numbers | 2018-04</t>
        </is>
      </c>
      <c r="P3" s="1" t="inlineStr">
        <is>
          <t>Month | Index Numbers | 2018-05</t>
        </is>
      </c>
      <c r="Q3" s="1" t="inlineStr">
        <is>
          <t>Month | Index Numbers | 2018-06</t>
        </is>
      </c>
      <c r="R3" s="1" t="inlineStr">
        <is>
          <t>Month | Index Numbers | 2018-07</t>
        </is>
      </c>
      <c r="S3" s="1" t="inlineStr">
        <is>
          <t>Month | Index Numbers | 2018-08</t>
        </is>
      </c>
      <c r="T3" s="1" t="inlineStr">
        <is>
          <t>Month | Index Numbers | 2018-09</t>
        </is>
      </c>
      <c r="U3" s="1" t="inlineStr">
        <is>
          <t>Month | Index Numbers | 2018-10</t>
        </is>
      </c>
      <c r="V3" s="1" t="inlineStr">
        <is>
          <t>Month | Index Numbers | 2018-11</t>
        </is>
      </c>
      <c r="W3" s="1" t="inlineStr">
        <is>
          <t>Month | Index Numbers | 2018-12</t>
        </is>
      </c>
      <c r="X3" s="1" t="inlineStr">
        <is>
          <t>Month | Index Numbers | 2019-01</t>
        </is>
      </c>
      <c r="Y3" s="1" t="inlineStr">
        <is>
          <t>Month | Index Numbers | 2019-02</t>
        </is>
      </c>
      <c r="Z3" s="1" t="inlineStr">
        <is>
          <t>Month | Index Numbers | 2019-03</t>
        </is>
      </c>
      <c r="AA3" s="1" t="inlineStr">
        <is>
          <t>Month | Index Numbers | 2019-04</t>
        </is>
      </c>
      <c r="AB3" s="1" t="inlineStr">
        <is>
          <t>Month | Index Numbers | 2019-05</t>
        </is>
      </c>
      <c r="AC3" s="1" t="inlineStr">
        <is>
          <t>Month | Index Numbers | 2019-06</t>
        </is>
      </c>
      <c r="AD3" s="1" t="inlineStr">
        <is>
          <t>Month | Index Numbers | 2019-07</t>
        </is>
      </c>
      <c r="AE3" s="1" t="inlineStr">
        <is>
          <t>Month | Index Numbers | 2019-08</t>
        </is>
      </c>
      <c r="AF3" s="1" t="inlineStr">
        <is>
          <t>Month | Index Numbers | 2019-09</t>
        </is>
      </c>
      <c r="AG3" s="1" t="inlineStr">
        <is>
          <t>Month | Index Numbers | 2019-10</t>
        </is>
      </c>
      <c r="AH3" s="1" t="inlineStr">
        <is>
          <t>Month | Index Numbers | 2019-11</t>
        </is>
      </c>
      <c r="AI3" s="1" t="inlineStr">
        <is>
          <t>Month | Index Numbers | 2019-12</t>
        </is>
      </c>
      <c r="AJ3" s="1" t="inlineStr">
        <is>
          <t>Month | Index Numbers | 2020-01</t>
        </is>
      </c>
      <c r="AK3" s="1" t="inlineStr">
        <is>
          <t>Month | Index Numbers | 2020-02</t>
        </is>
      </c>
      <c r="AL3" s="1" t="inlineStr">
        <is>
          <t>Month | Index Numbers | 2020-03</t>
        </is>
      </c>
      <c r="AM3" s="1" t="inlineStr">
        <is>
          <t>Month | Index Numbers | 2020-04</t>
        </is>
      </c>
      <c r="AN3" s="1" t="inlineStr">
        <is>
          <t>Month | Index Numbers | 2020-05</t>
        </is>
      </c>
      <c r="AO3" s="1" t="inlineStr">
        <is>
          <t>Month | Index Numbers | 2020-06</t>
        </is>
      </c>
      <c r="AP3" s="1" t="inlineStr">
        <is>
          <t>Month | Index Numbers | 2020-07</t>
        </is>
      </c>
      <c r="AQ3" s="1" t="inlineStr">
        <is>
          <t>Month | Index Numbers | 2020-08</t>
        </is>
      </c>
      <c r="AR3" s="1" t="inlineStr">
        <is>
          <t>Month | Index Numbers | 2020-09</t>
        </is>
      </c>
      <c r="AS3" s="1" t="inlineStr">
        <is>
          <t>Month | Index Numbers | 2020-10</t>
        </is>
      </c>
      <c r="AT3" s="1" t="inlineStr">
        <is>
          <t>Month | Index Numbers | 2020-11</t>
        </is>
      </c>
      <c r="AU3" s="1" t="inlineStr">
        <is>
          <t>Month | Index Numbers | 2020-12</t>
        </is>
      </c>
      <c r="AV3" s="1" t="inlineStr">
        <is>
          <t>Month | Index Numbers | 2021-01</t>
        </is>
      </c>
      <c r="AW3" s="1" t="inlineStr">
        <is>
          <t>Month | Index Numbers | 2021-02</t>
        </is>
      </c>
      <c r="AX3" s="1" t="inlineStr">
        <is>
          <t>Month | Index Numbers | 2021-03</t>
        </is>
      </c>
      <c r="AY3" s="1" t="inlineStr">
        <is>
          <t>Month | Index Numbers | 2021-04</t>
        </is>
      </c>
      <c r="AZ3" s="1" t="inlineStr">
        <is>
          <t>Month | Index Numbers | 2021-05</t>
        </is>
      </c>
      <c r="BA3" s="1" t="inlineStr">
        <is>
          <t>Month | Index Numbers | 2021-06</t>
        </is>
      </c>
      <c r="BB3" s="1" t="inlineStr">
        <is>
          <t>Month | Index Numbers | 2021-07</t>
        </is>
      </c>
      <c r="BC3" s="1" t="inlineStr">
        <is>
          <t>Month | Index Numbers | 2021-08</t>
        </is>
      </c>
      <c r="BD3" s="1" t="inlineStr">
        <is>
          <t>Month | Index Numbers | 2021-09</t>
        </is>
      </c>
      <c r="BE3" s="1" t="inlineStr">
        <is>
          <t>Month | Index Numbers | 2021-10</t>
        </is>
      </c>
      <c r="BF3" s="1" t="inlineStr">
        <is>
          <t>Month | Index Numbers | 2021-11</t>
        </is>
      </c>
      <c r="BG3" s="1" t="inlineStr">
        <is>
          <t>Month | Index Numbers | 2021-12</t>
        </is>
      </c>
      <c r="BH3" s="1" t="inlineStr">
        <is>
          <t>Month | Index Numbers | 2022-01</t>
        </is>
      </c>
      <c r="BI3" s="1" t="inlineStr">
        <is>
          <t>Month | Index Numbers | 2022-02</t>
        </is>
      </c>
      <c r="BJ3" s="1" t="inlineStr">
        <is>
          <t>Month | Index Numbers | 2022-03</t>
        </is>
      </c>
      <c r="BK3" s="1" t="inlineStr">
        <is>
          <t>Month | Index Numbers | 2022-04</t>
        </is>
      </c>
      <c r="BL3" s="1" t="inlineStr">
        <is>
          <t>Month | Index Numbers | 2022-05</t>
        </is>
      </c>
      <c r="BM3" s="1" t="inlineStr">
        <is>
          <t>Month | Index Numbers | 2022-06</t>
        </is>
      </c>
      <c r="BN3" s="1" t="inlineStr">
        <is>
          <t>Month | Index Numbers | 2022-07</t>
        </is>
      </c>
      <c r="BO3" s="1" t="inlineStr">
        <is>
          <t>Month | Index Numbers | 2022-08</t>
        </is>
      </c>
      <c r="BP3" s="1" t="inlineStr">
        <is>
          <t>Month | Index Numbers | 2022-09</t>
        </is>
      </c>
      <c r="BQ3" s="1" t="inlineStr">
        <is>
          <t>Month | Index Numbers | 2022-10</t>
        </is>
      </c>
      <c r="BR3" s="1" t="inlineStr">
        <is>
          <t>Month | Index Numbers | 2022-11</t>
        </is>
      </c>
      <c r="BS3" s="1" t="inlineStr">
        <is>
          <t>Month | Index Numbers | 2022-12</t>
        </is>
      </c>
      <c r="BT3" s="1" t="inlineStr">
        <is>
          <t>Month | Index Numbers | 2023-01</t>
        </is>
      </c>
      <c r="BU3" s="1" t="inlineStr">
        <is>
          <t>Month | Index Numbers | 2023-02</t>
        </is>
      </c>
      <c r="BV3" s="1" t="inlineStr">
        <is>
          <t>Month | Index Numbers | 2023-03</t>
        </is>
      </c>
      <c r="BW3" s="1" t="inlineStr">
        <is>
          <t>Month | Index Numbers | 2023-04</t>
        </is>
      </c>
      <c r="BX3" s="1" t="inlineStr">
        <is>
          <t>Month | Index Numbers | 2023-05</t>
        </is>
      </c>
      <c r="BY3" s="1" t="inlineStr">
        <is>
          <t>Month | Index Numbers | 2023-06</t>
        </is>
      </c>
      <c r="BZ3" s="1" t="inlineStr">
        <is>
          <t>Month | Index Numbers | 2023-07</t>
        </is>
      </c>
      <c r="CA3" s="1" t="inlineStr">
        <is>
          <t>Month | Index Numbers | 2023-08</t>
        </is>
      </c>
      <c r="CB3" s="1" t="inlineStr">
        <is>
          <t>Month | Index Numbers | 2023-09</t>
        </is>
      </c>
      <c r="CC3" s="1" t="inlineStr">
        <is>
          <t>Month | Index Numbers | 2023-10</t>
        </is>
      </c>
      <c r="CD3" s="1" t="inlineStr">
        <is>
          <t>Month | Index Numbers | 2023-11</t>
        </is>
      </c>
      <c r="CE3" s="1" t="inlineStr">
        <is>
          <t>Month | Index Numbers | 2023-12</t>
        </is>
      </c>
      <c r="CF3" s="1" t="inlineStr">
        <is>
          <t>Month | Index Numbers | 2024-01</t>
        </is>
      </c>
      <c r="CG3" s="1" t="inlineStr">
        <is>
          <t>Month | Index Numbers | 2024-02</t>
        </is>
      </c>
      <c r="CH3" s="1" t="inlineStr">
        <is>
          <t>Month | Index Numbers | 2024-03</t>
        </is>
      </c>
      <c r="CI3" s="1" t="inlineStr">
        <is>
          <t>Month | Index Numbers | 2024-04</t>
        </is>
      </c>
      <c r="CJ3" s="1" t="inlineStr">
        <is>
          <t>Month | Index Numbers | 2024-05</t>
        </is>
      </c>
      <c r="CK3" s="1" t="inlineStr">
        <is>
          <t>Month | Index Numbers | 2024-06</t>
        </is>
      </c>
      <c r="CL3" s="1" t="inlineStr">
        <is>
          <t>Month | Index Numbers | 2024-07</t>
        </is>
      </c>
      <c r="CM3" s="1" t="inlineStr">
        <is>
          <t>Month | Index Numbers | 2024-08</t>
        </is>
      </c>
      <c r="CN3" s="1" t="inlineStr">
        <is>
          <t>Month | Index Numbers | 2024-09</t>
        </is>
      </c>
      <c r="CO3" s="1" t="inlineStr">
        <is>
          <t>Month | Index Numbers | 2024-10</t>
        </is>
      </c>
      <c r="CP3" s="1" t="inlineStr">
        <is>
          <t>Month | Index Numbers | 2024-11</t>
        </is>
      </c>
      <c r="CQ3" s="1" t="inlineStr">
        <is>
          <t>Month | Index Numbers | 2024-12</t>
        </is>
      </c>
      <c r="CR3" s="1" t="inlineStr">
        <is>
          <t>Month | Index Numbers | 2025-01</t>
        </is>
      </c>
      <c r="CS3" s="1" t="inlineStr">
        <is>
          <t>Month | Index Numbers | 2025-02</t>
        </is>
      </c>
      <c r="CT3" s="1" t="inlineStr">
        <is>
          <t>Month | Index Numbers | 2025-03</t>
        </is>
      </c>
      <c r="CU3" s="1" t="inlineStr">
        <is>
          <t>Month | Index Numbers | 2025-04</t>
        </is>
      </c>
      <c r="CV3" s="1" t="inlineStr">
        <is>
          <t>Month | Index Numbers | 2025-05</t>
        </is>
      </c>
      <c r="CW3" s="1" t="inlineStr">
        <is>
          <t>Month | Index Numbers | 2025-06</t>
        </is>
      </c>
      <c r="CX3" s="1" t="inlineStr">
        <is>
          <t>Month | Index Numbers | 2025-07</t>
        </is>
      </c>
      <c r="CY3" s="1" t="inlineStr">
        <is>
          <t>Month | Index Numbers | 2025-08</t>
        </is>
      </c>
      <c r="CZ3" s="1" t="inlineStr">
        <is>
          <t>Month | Index Numbers | 2025-09</t>
        </is>
      </c>
      <c r="DA3" s="1" t="inlineStr">
        <is>
          <t>Month | Index Numbers | 2025-10</t>
        </is>
      </c>
      <c r="DB3" s="1" t="inlineStr">
        <is>
          <t>Month | Index Numbers | 2025-11</t>
        </is>
      </c>
      <c r="DC3" s="1" t="inlineStr">
        <is>
          <t>Month | Index Numbers | 2025-12</t>
        </is>
      </c>
      <c r="DD3" s="1" t="inlineStr">
        <is>
          <t>Month | Index Numbers | 2026-01</t>
        </is>
      </c>
      <c r="DE3" s="1" t="inlineStr">
        <is>
          <t>Month | Index Numbers | 2026-02</t>
        </is>
      </c>
      <c r="DF3" s="1" t="inlineStr">
        <is>
          <t>Month | Index Numbers | 2026-03</t>
        </is>
      </c>
      <c r="DG3" s="1" t="inlineStr">
        <is>
          <t>Month | Index Numbers | 2026-04</t>
        </is>
      </c>
      <c r="DH3" s="1" t="inlineStr">
        <is>
          <t>Month | Index Numbers | 2026-05</t>
        </is>
      </c>
      <c r="DI3" s="1" t="inlineStr">
        <is>
          <t>Month | Index Numbers | 2026-06</t>
        </is>
      </c>
      <c r="DJ3" s="1" t="inlineStr">
        <is>
          <t>Month | Index Numbers | 2026-07</t>
        </is>
      </c>
      <c r="DK3" s="1" t="inlineStr">
        <is>
          <t>Month | Percentage Change from Corresponding Month of Previous Year | 2018-09</t>
        </is>
      </c>
      <c r="DL3" s="1" t="inlineStr">
        <is>
          <t>Month | Percentage Change from Corresponding Month of Previous Year | 2018-10</t>
        </is>
      </c>
      <c r="DM3" s="1" t="inlineStr">
        <is>
          <t>Month | Percentage Change from Corresponding Month of Previous Year | 2018-11</t>
        </is>
      </c>
      <c r="DN3" s="1" t="inlineStr">
        <is>
          <t>Month | Percentage Change from Corresponding Month of Previous Year | 2018-12</t>
        </is>
      </c>
      <c r="DO3" s="1" t="inlineStr">
        <is>
          <t>Month | Percentage Change from Corresponding Month of Previous Year | 2019-01</t>
        </is>
      </c>
      <c r="DP3" s="1" t="inlineStr">
        <is>
          <t>Month | Percentage Change from Corresponding Month of Previous Year | 2019-02</t>
        </is>
      </c>
      <c r="DQ3" s="1" t="inlineStr">
        <is>
          <t>Month | Percentage Change from Corresponding Month of Previous Year | 2019-03</t>
        </is>
      </c>
      <c r="DR3" s="1" t="inlineStr">
        <is>
          <t>Month | Percentage Change from Corresponding Month of Previous Year | 2019-04</t>
        </is>
      </c>
      <c r="DS3" s="1" t="inlineStr">
        <is>
          <t>Month | Percentage Change from Corresponding Month of Previous Year | 2019-05</t>
        </is>
      </c>
      <c r="DT3" s="1" t="inlineStr">
        <is>
          <t>Month | Percentage Change from Corresponding Month of Previous Year | 2019-06</t>
        </is>
      </c>
      <c r="DU3" s="1" t="inlineStr">
        <is>
          <t>Month | Percentage Change from Corresponding Month of Previous Year | 2019-07</t>
        </is>
      </c>
      <c r="DV3" s="1" t="inlineStr">
        <is>
          <t>Month | Percentage Change from Corresponding Month of Previous Year | 2019-08</t>
        </is>
      </c>
      <c r="DW3" s="1" t="inlineStr">
        <is>
          <t>Month | Percentage Change from Corresponding Month of Previous Year | 2019-09</t>
        </is>
      </c>
      <c r="DX3" s="1" t="inlineStr">
        <is>
          <t>Month | Percentage Change from Corresponding Month of Previous Year | 2019-10</t>
        </is>
      </c>
      <c r="DY3" s="1" t="inlineStr">
        <is>
          <t>Month | Percentage Change from Corresponding Month of Previous Year | 2019-11</t>
        </is>
      </c>
      <c r="DZ3" s="1" t="inlineStr">
        <is>
          <t>Month | Percentage Change from Corresponding Month of Previous Year | 2019-12</t>
        </is>
      </c>
      <c r="EA3" s="1" t="inlineStr">
        <is>
          <t>Month | Percentage Change from Corresponding Month of Previous Year | 2020-01</t>
        </is>
      </c>
      <c r="EB3" s="1" t="inlineStr">
        <is>
          <t>Month | Percentage Change from Corresponding Month of Previous Year | 2020-02</t>
        </is>
      </c>
      <c r="EC3" s="1" t="inlineStr">
        <is>
          <t>Month | Percentage Change from Corresponding Month of Previous Year | 2020-03</t>
        </is>
      </c>
      <c r="ED3" s="1" t="inlineStr">
        <is>
          <t>Month | Percentage Change from Corresponding Month of Previous Year | 2020-04</t>
        </is>
      </c>
      <c r="EE3" s="1" t="inlineStr">
        <is>
          <t>Month | Percentage Change from Corresponding Month of Previous Year | 2020-05</t>
        </is>
      </c>
      <c r="EF3" s="1" t="inlineStr">
        <is>
          <t>Month | Percentage Change from Corresponding Month of Previous Year | 2020-06</t>
        </is>
      </c>
      <c r="EG3" s="1" t="inlineStr">
        <is>
          <t>Month | Percentage Change from Corresponding Month of Previous Year | 2020-07</t>
        </is>
      </c>
      <c r="EH3" s="1" t="inlineStr">
        <is>
          <t>Month | Percentage Change from Corresponding Month of Previous Year | 2020-08</t>
        </is>
      </c>
      <c r="EI3" s="1" t="inlineStr">
        <is>
          <t>Month | Percentage Change from Corresponding Month of Previous Year | 2020-09</t>
        </is>
      </c>
      <c r="EJ3" s="1" t="inlineStr">
        <is>
          <t>Month | Percentage Change from Corresponding Month of Previous Year | 2020-10</t>
        </is>
      </c>
      <c r="EK3" s="1" t="inlineStr">
        <is>
          <t>Month | Percentage Change from Corresponding Month of Previous Year | 2020-11</t>
        </is>
      </c>
      <c r="EL3" s="1" t="inlineStr">
        <is>
          <t>Month | Percentage Change from Corresponding Month of Previous Year | 2020-12</t>
        </is>
      </c>
      <c r="EM3" s="1" t="inlineStr">
        <is>
          <t>Month | Percentage Change from Corresponding Month of Previous Year | 2021-01</t>
        </is>
      </c>
      <c r="EN3" s="1" t="inlineStr">
        <is>
          <t>Month | Percentage Change from Corresponding Month of Previous Year | 2021-02</t>
        </is>
      </c>
      <c r="EO3" s="1" t="inlineStr">
        <is>
          <t>Month | Percentage Change from Corresponding Month of Previous Year | 2021-03</t>
        </is>
      </c>
      <c r="EP3" s="1" t="inlineStr">
        <is>
          <t>Month | Percentage Change from Corresponding Month of Previous Year | 2021-04</t>
        </is>
      </c>
      <c r="EQ3" s="1" t="inlineStr">
        <is>
          <t>Month | Percentage Change from Corresponding Month of Previous Year | 2021-05</t>
        </is>
      </c>
      <c r="ER3" s="1" t="inlineStr">
        <is>
          <t>Month | Percentage Change from Corresponding Month of Previous Year | 2021-06</t>
        </is>
      </c>
      <c r="ES3" s="1" t="inlineStr">
        <is>
          <t>Month | Percentage Change from Corresponding Month of Previous Year | 2021-07</t>
        </is>
      </c>
      <c r="ET3" s="1" t="inlineStr">
        <is>
          <t>Month | Percentage Change from Corresponding Month of Previous Year | 2021-08</t>
        </is>
      </c>
      <c r="EU3" s="1" t="inlineStr">
        <is>
          <t>Month | Percentage Change from Corresponding Month of Previous Year | 2021-09</t>
        </is>
      </c>
      <c r="EV3" s="1" t="inlineStr">
        <is>
          <t>Month | Percentage Change from Corresponding Month of Previous Year | 2021-10</t>
        </is>
      </c>
      <c r="EW3" s="1" t="inlineStr">
        <is>
          <t>Month | Percentage Change from Corresponding Month of Previous Year | 2021-11</t>
        </is>
      </c>
      <c r="EX3" s="1" t="inlineStr">
        <is>
          <t>Month | Percentage Change from Corresponding Month of Previous Year | 2021-12</t>
        </is>
      </c>
      <c r="EY3" s="1" t="inlineStr">
        <is>
          <t>Month | Percentage Change from Corresponding Month of Previous Year | 2022-01</t>
        </is>
      </c>
      <c r="EZ3" s="1" t="inlineStr">
        <is>
          <t>Month | Percentage Change from Corresponding Month of Previous Year | 2022-02</t>
        </is>
      </c>
      <c r="FA3" s="1" t="inlineStr">
        <is>
          <t>Month | Percentage Change from Corresponding Month of Previous Year | 2022-03</t>
        </is>
      </c>
      <c r="FB3" s="1" t="inlineStr">
        <is>
          <t>Month | Percentage Change from Corresponding Month of Previous Year | 2022-04</t>
        </is>
      </c>
      <c r="FC3" s="1" t="inlineStr">
        <is>
          <t>Month | Percentage Change from Corresponding Month of Previous Year | 2022-05</t>
        </is>
      </c>
      <c r="FD3" s="1" t="inlineStr">
        <is>
          <t>Month | Percentage Change from Corresponding Month of Previous Year | 2022-06</t>
        </is>
      </c>
      <c r="FE3" s="1" t="inlineStr">
        <is>
          <t>Month | Percentage Change from Corresponding Month of Previous Year | 2022-07</t>
        </is>
      </c>
      <c r="FF3" s="1" t="inlineStr">
        <is>
          <t>Month | Percentage Change from Corresponding Month of Previous Year | 2022-08</t>
        </is>
      </c>
      <c r="FG3" s="1" t="inlineStr">
        <is>
          <t>Month | Percentage Change from Corresponding Month of Previous Year | 2022-09</t>
        </is>
      </c>
      <c r="FH3" s="1" t="inlineStr">
        <is>
          <t>Month | Percentage Change from Corresponding Month of Previous Year | 2022-10</t>
        </is>
      </c>
      <c r="FI3" s="1" t="inlineStr">
        <is>
          <t>Month | Percentage Change from Corresponding Month of Previous Year | 2022-11</t>
        </is>
      </c>
      <c r="FJ3" s="1" t="inlineStr">
        <is>
          <t>Month | Percentage Change from Corresponding Month of Previous Year | 2022-12</t>
        </is>
      </c>
      <c r="FK3" s="1" t="inlineStr">
        <is>
          <t>Month | Percentage Change from Corresponding Month of Previous Year | 2023-01</t>
        </is>
      </c>
      <c r="FL3" s="1" t="inlineStr">
        <is>
          <t>Month | Percentage Change from Corresponding Month of Previous Year | 2023-02</t>
        </is>
      </c>
      <c r="FM3" s="1" t="inlineStr">
        <is>
          <t>Month | Percentage Change from Corresponding Month of Previous Year | 2023-03</t>
        </is>
      </c>
      <c r="FN3" s="1" t="inlineStr">
        <is>
          <t>Month | Percentage Change from Corresponding Month of Previous Year | 2023-04</t>
        </is>
      </c>
      <c r="FO3" s="1" t="inlineStr">
        <is>
          <t>Month | Percentage Change from Corresponding Month of Previous Year | 2023-05</t>
        </is>
      </c>
      <c r="FP3" s="1" t="inlineStr">
        <is>
          <t>Month | Percentage Change from Corresponding Month of Previous Year | 2023-06</t>
        </is>
      </c>
      <c r="FQ3" s="1" t="inlineStr">
        <is>
          <t>Month | Percentage Change from Corresponding Month of Previous Year | 2023-07</t>
        </is>
      </c>
      <c r="FR3" s="1" t="inlineStr">
        <is>
          <t>Month | Percentage Change from Corresponding Month of Previous Year | 2023-08</t>
        </is>
      </c>
      <c r="FS3" s="1" t="inlineStr">
        <is>
          <t>Month | Percentage Change from Corresponding Month of Previous Year | 2023-09</t>
        </is>
      </c>
      <c r="FT3" s="1" t="inlineStr">
        <is>
          <t>Month | Percentage Change from Corresponding Month of Previous Year | 2023-10</t>
        </is>
      </c>
      <c r="FU3" s="1" t="inlineStr">
        <is>
          <t>Month | Percentage Change from Corresponding Month of Previous Year | 2023-11</t>
        </is>
      </c>
      <c r="FV3" s="1" t="inlineStr">
        <is>
          <t>Month | Percentage Change from Corresponding Month of Previous Year | 2023-12</t>
        </is>
      </c>
      <c r="FW3" s="1" t="inlineStr">
        <is>
          <t>Month | Percentage Change from Corresponding Month of Previous Year | 2024-01</t>
        </is>
      </c>
      <c r="FX3" s="1" t="inlineStr">
        <is>
          <t>Month | Percentage Change from Corresponding Month of Previous Year | 2024-02</t>
        </is>
      </c>
      <c r="FY3" s="1" t="inlineStr">
        <is>
          <t>Month | Percentage Change from Corresponding Month of Previous Year | 2024-03</t>
        </is>
      </c>
      <c r="FZ3" s="1" t="inlineStr">
        <is>
          <t>Month | Percentage Change from Corresponding Month of Previous Year | 2024-04</t>
        </is>
      </c>
      <c r="GA3" s="1" t="inlineStr">
        <is>
          <t>Month | Percentage Change from Corresponding Month of Previous Year | 2024-05</t>
        </is>
      </c>
      <c r="GB3" s="1" t="inlineStr">
        <is>
          <t>Month | Percentage Change from Corresponding Month of Previous Year | 2024-06</t>
        </is>
      </c>
      <c r="GC3" s="1" t="inlineStr">
        <is>
          <t>Month | Percentage Change from Corresponding Month of Previous Year | 2024-07</t>
        </is>
      </c>
      <c r="GD3" s="1" t="inlineStr">
        <is>
          <t>Month | Percentage Change from Corresponding Month of Previous Year | 2024-08</t>
        </is>
      </c>
      <c r="GE3" s="1" t="inlineStr">
        <is>
          <t>Month | Percentage Change from Corresponding Month of Previous Year | 2024-09</t>
        </is>
      </c>
      <c r="GF3" s="1" t="inlineStr">
        <is>
          <t>Month | Percentage Change from Corresponding Month of Previous Year | 2024-10</t>
        </is>
      </c>
      <c r="GG3" s="1" t="inlineStr">
        <is>
          <t>Month | Percentage Change from Corresponding Month of Previous Year | 2024-11</t>
        </is>
      </c>
      <c r="GH3" s="1" t="inlineStr">
        <is>
          <t>Month | Percentage Change from Corresponding Month of Previous Year | 2024-12</t>
        </is>
      </c>
      <c r="GI3" s="1" t="inlineStr">
        <is>
          <t>Month | Percentage Change from Corresponding Month of Previous Year | 2025-01</t>
        </is>
      </c>
      <c r="GJ3" s="1" t="inlineStr">
        <is>
          <t>Month | Percentage Change from Corresponding Month of Previous Year | 2025-02</t>
        </is>
      </c>
      <c r="GK3" s="1" t="inlineStr">
        <is>
          <t>Month | Percentage Change from Corresponding Month of Previous Year | 2025-03</t>
        </is>
      </c>
      <c r="GL3" s="1" t="inlineStr">
        <is>
          <t>Month | Percentage Change from Corresponding Month of Previous Year | 2025-04</t>
        </is>
      </c>
      <c r="GM3" s="1" t="inlineStr">
        <is>
          <t>Month | Percentage Change from Corresponding Month of Previous Year | 2025-05</t>
        </is>
      </c>
      <c r="GN3" s="1" t="inlineStr">
        <is>
          <t>Month | Percentage Change from Corresponding Month of Previous Year | 2025-06</t>
        </is>
      </c>
      <c r="GO3" s="1" t="inlineStr">
        <is>
          <t>Month | Percentage Change from Corresponding Month of Previous Year | 2025-07</t>
        </is>
      </c>
      <c r="GP3" s="1" t="inlineStr">
        <is>
          <t>Month | Percentage Change from Corresponding Month of Previous Year | 2025-08</t>
        </is>
      </c>
      <c r="GQ3" s="1" t="inlineStr">
        <is>
          <t>Month | Percentage Change from Corresponding Month of Previous Year | 2025-09</t>
        </is>
      </c>
      <c r="GR3" s="1" t="inlineStr">
        <is>
          <t>Month | Percentage Change from Corresponding Month of Previous Year | 2025-10</t>
        </is>
      </c>
      <c r="GS3" s="1" t="inlineStr">
        <is>
          <t>Month | Percentage Change from Corresponding Month of Previous Year | 2025-11</t>
        </is>
      </c>
      <c r="GT3" s="1" t="inlineStr">
        <is>
          <t>Month | Percentage Change from Corresponding Month of Previous Year | 2025-12</t>
        </is>
      </c>
      <c r="GU3" s="1" t="inlineStr">
        <is>
          <t>Month | Percentage Change from Corresponding Month of Previous Year | 2026-01</t>
        </is>
      </c>
      <c r="GV3" s="1" t="inlineStr">
        <is>
          <t>Month | Percentage Change from Corresponding Month of Previous Year | 2026-02</t>
        </is>
      </c>
      <c r="GW3" s="1" t="inlineStr">
        <is>
          <t>Month | Percentage Change from Corresponding Month of Previous Year | 2026-03</t>
        </is>
      </c>
      <c r="GX3" s="1" t="inlineStr">
        <is>
          <t>Month | Percentage Change from Corresponding Month of Previous Year | 2026-04</t>
        </is>
      </c>
      <c r="GY3" s="1" t="inlineStr">
        <is>
          <t>Month | Percentage Change from Corresponding Month of Previous Year | 2026-05</t>
        </is>
      </c>
      <c r="GZ3" s="1" t="inlineStr">
        <is>
          <t>Month | Percentage Change from Corresponding Month of Previous Year | 2026-06</t>
        </is>
      </c>
      <c r="HA3" s="1" t="inlineStr">
        <is>
          <t>Month | Percentage Change from Corresponding Month of Previous Year | 2026-07</t>
        </is>
      </c>
      <c r="HB3" s="1" t="inlineStr">
        <is>
          <t>Month | Percentage Change from Previous Period | 2017-10</t>
        </is>
      </c>
      <c r="HC3" s="1" t="inlineStr">
        <is>
          <t>Month | Percentage Change from Previous Period | 2017-11</t>
        </is>
      </c>
      <c r="HD3" s="1" t="inlineStr">
        <is>
          <t>Month | Percentage Change from Previous Period | 2017-12</t>
        </is>
      </c>
      <c r="HE3" s="1" t="inlineStr">
        <is>
          <t>Month | Percentage Change from Previous Period | 2018-01</t>
        </is>
      </c>
      <c r="HF3" s="1" t="inlineStr">
        <is>
          <t>Month | Percentage Change from Previous Period | 2018-02</t>
        </is>
      </c>
      <c r="HG3" s="1" t="inlineStr">
        <is>
          <t>Month | Percentage Change from Previous Period | 2018-03</t>
        </is>
      </c>
      <c r="HH3" s="1" t="inlineStr">
        <is>
          <t>Month | Percentage Change from Previous Period | 2018-04</t>
        </is>
      </c>
      <c r="HI3" s="1" t="inlineStr">
        <is>
          <t>Month | Percentage Change from Previous Period | 2018-05</t>
        </is>
      </c>
      <c r="HJ3" s="1" t="inlineStr">
        <is>
          <t>Month | Percentage Change from Previous Period | 2018-06</t>
        </is>
      </c>
      <c r="HK3" s="1" t="inlineStr">
        <is>
          <t>Month | Percentage Change from Previous Period | 2018-07</t>
        </is>
      </c>
      <c r="HL3" s="1" t="inlineStr">
        <is>
          <t>Month | Percentage Change from Previous Period | 2018-08</t>
        </is>
      </c>
      <c r="HM3" s="1" t="inlineStr">
        <is>
          <t>Month | Percentage Change from Previous Period | 2018-09</t>
        </is>
      </c>
      <c r="HN3" s="1" t="inlineStr">
        <is>
          <t>Month | Percentage Change from Previous Period | 2018-10</t>
        </is>
      </c>
      <c r="HO3" s="1" t="inlineStr">
        <is>
          <t>Month | Percentage Change from Previous Period | 2018-11</t>
        </is>
      </c>
      <c r="HP3" s="1" t="inlineStr">
        <is>
          <t>Month | Percentage Change from Previous Period | 2018-12</t>
        </is>
      </c>
      <c r="HQ3" s="1" t="inlineStr">
        <is>
          <t>Month | Percentage Change from Previous Period | 2019-01</t>
        </is>
      </c>
      <c r="HR3" s="1" t="inlineStr">
        <is>
          <t>Month | Percentage Change from Previous Period | 2019-02</t>
        </is>
      </c>
      <c r="HS3" s="1" t="inlineStr">
        <is>
          <t>Month | Percentage Change from Previous Period | 2019-03</t>
        </is>
      </c>
      <c r="HT3" s="1" t="inlineStr">
        <is>
          <t>Month | Percentage Change from Previous Period | 2019-04</t>
        </is>
      </c>
      <c r="HU3" s="1" t="inlineStr">
        <is>
          <t>Month | Percentage Change from Previous Period | 2019-05</t>
        </is>
      </c>
      <c r="HV3" s="1" t="inlineStr">
        <is>
          <t>Month | Percentage Change from Previous Period | 2019-06</t>
        </is>
      </c>
      <c r="HW3" s="1" t="inlineStr">
        <is>
          <t>Month | Percentage Change from Previous Period | 2019-07</t>
        </is>
      </c>
      <c r="HX3" s="1" t="inlineStr">
        <is>
          <t>Month | Percentage Change from Previous Period | 2019-08</t>
        </is>
      </c>
      <c r="HY3" s="1" t="inlineStr">
        <is>
          <t>Month | Percentage Change from Previous Period | 2019-09</t>
        </is>
      </c>
      <c r="HZ3" s="1" t="inlineStr">
        <is>
          <t>Month | Percentage Change from Previous Period | 2019-10</t>
        </is>
      </c>
      <c r="IA3" s="1" t="inlineStr">
        <is>
          <t>Month | Percentage Change from Previous Period | 2019-11</t>
        </is>
      </c>
      <c r="IB3" s="1" t="inlineStr">
        <is>
          <t>Month | Percentage Change from Previous Period | 2019-12</t>
        </is>
      </c>
      <c r="IC3" s="1" t="inlineStr">
        <is>
          <t>Month | Percentage Change from Previous Period | 2020-01</t>
        </is>
      </c>
      <c r="ID3" s="1" t="inlineStr">
        <is>
          <t>Month | Percentage Change from Previous Period | 2020-02</t>
        </is>
      </c>
      <c r="IE3" s="1" t="inlineStr">
        <is>
          <t>Month | Percentage Change from Previous Period | 2020-03</t>
        </is>
      </c>
      <c r="IF3" s="1" t="inlineStr">
        <is>
          <t>Month | Percentage Change from Previous Period | 2020-04</t>
        </is>
      </c>
      <c r="IG3" s="1" t="inlineStr">
        <is>
          <t>Month | Percentage Change from Previous Period | 2020-05</t>
        </is>
      </c>
      <c r="IH3" s="1" t="inlineStr">
        <is>
          <t>Month | Percentage Change from Previous Period | 2020-06</t>
        </is>
      </c>
      <c r="II3" s="1" t="inlineStr">
        <is>
          <t>Month | Percentage Change from Previous Period | 2020-07</t>
        </is>
      </c>
      <c r="IJ3" s="1" t="inlineStr">
        <is>
          <t>Month | Percentage Change from Previous Period | 2020-08</t>
        </is>
      </c>
      <c r="IK3" s="1" t="inlineStr">
        <is>
          <t>Month | Percentage Change from Previous Period | 2020-09</t>
        </is>
      </c>
      <c r="IL3" s="1" t="inlineStr">
        <is>
          <t>Month | Percentage Change from Previous Period | 2020-10</t>
        </is>
      </c>
      <c r="IM3" s="1" t="inlineStr">
        <is>
          <t>Month | Percentage Change from Previous Period | 2020-11</t>
        </is>
      </c>
      <c r="IN3" s="1" t="inlineStr">
        <is>
          <t>Month | Percentage Change from Previous Period | 2020-12</t>
        </is>
      </c>
      <c r="IO3" s="1" t="inlineStr">
        <is>
          <t>Month | Percentage Change from Previous Period | 2021-01</t>
        </is>
      </c>
      <c r="IP3" s="1" t="inlineStr">
        <is>
          <t>Month | Percentage Change from Previous Period | 2021-02</t>
        </is>
      </c>
      <c r="IQ3" s="1" t="inlineStr">
        <is>
          <t>Month | Percentage Change from Previous Period | 2021-03</t>
        </is>
      </c>
      <c r="IR3" s="1" t="inlineStr">
        <is>
          <t>Month | Percentage Change from Previous Period | 2021-04</t>
        </is>
      </c>
      <c r="IS3" s="1" t="inlineStr">
        <is>
          <t>Month | Percentage Change from Previous Period | 2021-05</t>
        </is>
      </c>
      <c r="IT3" s="1" t="inlineStr">
        <is>
          <t>Month | Percentage Change from Previous Period | 2021-06</t>
        </is>
      </c>
      <c r="IU3" s="1" t="inlineStr">
        <is>
          <t>Month | Percentage Change from Previous Period | 2021-07</t>
        </is>
      </c>
      <c r="IV3" s="1" t="inlineStr">
        <is>
          <t>Month | Percentage Change from Previous Period | 2021-08</t>
        </is>
      </c>
      <c r="IW3" s="1" t="inlineStr">
        <is>
          <t>Month | Percentage Change from Previous Period | 2021-09</t>
        </is>
      </c>
      <c r="IX3" s="1" t="inlineStr">
        <is>
          <t>Month | Percentage Change from Previous Period | 2021-10</t>
        </is>
      </c>
      <c r="IY3" s="1" t="inlineStr">
        <is>
          <t>Month | Percentage Change from Previous Period | 2021-11</t>
        </is>
      </c>
      <c r="IZ3" s="1" t="inlineStr">
        <is>
          <t>Month | Percentage Change from Previous Period | 2021-12</t>
        </is>
      </c>
      <c r="JA3" s="1" t="inlineStr">
        <is>
          <t>Month | Percentage Change from Previous Period | 2022-01</t>
        </is>
      </c>
      <c r="JB3" s="1" t="inlineStr">
        <is>
          <t>Month | Percentage Change from Previous Period | 2022-02</t>
        </is>
      </c>
      <c r="JC3" s="1" t="inlineStr">
        <is>
          <t>Month | Percentage Change from Previous Period | 2022-03</t>
        </is>
      </c>
      <c r="JD3" s="1" t="inlineStr">
        <is>
          <t>Month | Percentage Change from Previous Period | 2022-04</t>
        </is>
      </c>
      <c r="JE3" s="1" t="inlineStr">
        <is>
          <t>Month | Percentage Change from Previous Period | 2022-05</t>
        </is>
      </c>
      <c r="JF3" s="1" t="inlineStr">
        <is>
          <t>Month | Percentage Change from Previous Period | 2022-06</t>
        </is>
      </c>
      <c r="JG3" s="1" t="inlineStr">
        <is>
          <t>Month | Percentage Change from Previous Period | 2022-07</t>
        </is>
      </c>
      <c r="JH3" s="1" t="inlineStr">
        <is>
          <t>Month | Percentage Change from Previous Period | 2022-08</t>
        </is>
      </c>
      <c r="JI3" s="1" t="inlineStr">
        <is>
          <t>Month | Percentage Change from Previous Period | 2022-09</t>
        </is>
      </c>
      <c r="JJ3" s="1" t="inlineStr">
        <is>
          <t>Month | Percentage Change from Previous Period | 2022-10</t>
        </is>
      </c>
      <c r="JK3" s="1" t="inlineStr">
        <is>
          <t>Month | Percentage Change from Previous Period | 2022-11</t>
        </is>
      </c>
      <c r="JL3" s="1" t="inlineStr">
        <is>
          <t>Month | Percentage Change from Previous Period | 2022-12</t>
        </is>
      </c>
      <c r="JM3" s="1" t="inlineStr">
        <is>
          <t>Month | Percentage Change from Previous Period | 2023-01</t>
        </is>
      </c>
      <c r="JN3" s="1" t="inlineStr">
        <is>
          <t>Month | Percentage Change from Previous Period | 2023-02</t>
        </is>
      </c>
      <c r="JO3" s="1" t="inlineStr">
        <is>
          <t>Month | Percentage Change from Previous Period | 2023-03</t>
        </is>
      </c>
      <c r="JP3" s="1" t="inlineStr">
        <is>
          <t>Month | Percentage Change from Previous Period | 2023-04</t>
        </is>
      </c>
      <c r="JQ3" s="1" t="inlineStr">
        <is>
          <t>Month | Percentage Change from Previous Period | 2023-05</t>
        </is>
      </c>
      <c r="JR3" s="1" t="inlineStr">
        <is>
          <t>Month | Percentage Change from Previous Period | 2023-06</t>
        </is>
      </c>
      <c r="JS3" s="1" t="inlineStr">
        <is>
          <t>Month | Percentage Change from Previous Period | 2023-07</t>
        </is>
      </c>
      <c r="JT3" s="1" t="inlineStr">
        <is>
          <t>Month | Percentage Change from Previous Period | 2023-08</t>
        </is>
      </c>
      <c r="JU3" s="1" t="inlineStr">
        <is>
          <t>Month | Percentage Change from Previous Period | 2023-09</t>
        </is>
      </c>
      <c r="JV3" s="1" t="inlineStr">
        <is>
          <t>Month | Percentage Change from Previous Period | 2023-10</t>
        </is>
      </c>
      <c r="JW3" s="1" t="inlineStr">
        <is>
          <t>Month | Percentage Change from Previous Period | 2023-11</t>
        </is>
      </c>
      <c r="JX3" s="1" t="inlineStr">
        <is>
          <t>Month | Percentage Change from Previous Period | 2023-12</t>
        </is>
      </c>
      <c r="JY3" s="1" t="inlineStr">
        <is>
          <t>Month | Percentage Change from Previous Period | 2024-01</t>
        </is>
      </c>
      <c r="JZ3" s="1" t="inlineStr">
        <is>
          <t>Month | Percentage Change from Previous Period | 2024-02</t>
        </is>
      </c>
      <c r="KA3" s="1" t="inlineStr">
        <is>
          <t>Month | Percentage Change from Previous Period | 2024-03</t>
        </is>
      </c>
      <c r="KB3" s="1" t="inlineStr">
        <is>
          <t>Month | Percentage Change from Previous Period | 2024-04</t>
        </is>
      </c>
      <c r="KC3" s="1" t="inlineStr">
        <is>
          <t>Month | Percentage Change from Previous Period | 2024-05</t>
        </is>
      </c>
      <c r="KD3" s="1" t="inlineStr">
        <is>
          <t>Month | Percentage Change from Previous Period | 2024-06</t>
        </is>
      </c>
      <c r="KE3" s="1" t="inlineStr">
        <is>
          <t>Month | Percentage Change from Previous Period | 2024-07</t>
        </is>
      </c>
      <c r="KF3" s="1" t="inlineStr">
        <is>
          <t>Month | Percentage Change from Previous Period | 2024-08</t>
        </is>
      </c>
      <c r="KG3" s="1" t="inlineStr">
        <is>
          <t>Month | Percentage Change from Previous Period | 2024-09</t>
        </is>
      </c>
      <c r="KH3" s="1" t="inlineStr">
        <is>
          <t>Month | Percentage Change from Previous Period | 2024-10</t>
        </is>
      </c>
      <c r="KI3" s="1" t="inlineStr">
        <is>
          <t>Month | Percentage Change from Previous Period | 2024-11</t>
        </is>
      </c>
      <c r="KJ3" s="1" t="inlineStr">
        <is>
          <t>Month | Percentage Change from Previous Period | 2024-12</t>
        </is>
      </c>
      <c r="KK3" s="1" t="inlineStr">
        <is>
          <t>Month | Percentage Change from Previous Period | 2025-01</t>
        </is>
      </c>
      <c r="KL3" s="1" t="inlineStr">
        <is>
          <t>Month | Percentage Change from Previous Period | 2025-02</t>
        </is>
      </c>
      <c r="KM3" s="1" t="inlineStr">
        <is>
          <t>Month | Percentage Change from Previous Period | 2025-03</t>
        </is>
      </c>
      <c r="KN3" s="1" t="inlineStr">
        <is>
          <t>Month | Percentage Change from Previous Period | 2025-04</t>
        </is>
      </c>
      <c r="KO3" s="1" t="inlineStr">
        <is>
          <t>Month | Percentage Change from Previous Period | 2025-05</t>
        </is>
      </c>
      <c r="KP3" s="1" t="inlineStr">
        <is>
          <t>Month | Percentage Change from Previous Period | 2025-06</t>
        </is>
      </c>
      <c r="KQ3" s="1" t="inlineStr">
        <is>
          <t>Month | Percentage Change from Previous Period | 2025-07</t>
        </is>
      </c>
      <c r="KR3" s="1" t="inlineStr">
        <is>
          <t>Month | Percentage Change from Previous Period | 2025-08</t>
        </is>
      </c>
      <c r="KS3" s="1" t="inlineStr">
        <is>
          <t>Month | Percentage Change from Previous Period | 2025-09</t>
        </is>
      </c>
      <c r="KT3" s="1" t="inlineStr">
        <is>
          <t>Month | Percentage Change from Previous Period | 2025-10</t>
        </is>
      </c>
      <c r="KU3" s="1" t="inlineStr">
        <is>
          <t>Month | Percentage Change from Previous Period | 2025-11</t>
        </is>
      </c>
      <c r="KV3" s="1" t="inlineStr">
        <is>
          <t>Month | Percentage Change from Previous Period | 2025-12</t>
        </is>
      </c>
      <c r="KW3" s="1" t="inlineStr">
        <is>
          <t>Month | Percentage Change from Previous Period | 2026-01</t>
        </is>
      </c>
      <c r="KX3" s="1" t="inlineStr">
        <is>
          <t>Month | Percentage Change from Previous Period | 2026-02</t>
        </is>
      </c>
      <c r="KY3" s="1" t="inlineStr">
        <is>
          <t>Month | Percentage Change from Previous Period | 2026-03</t>
        </is>
      </c>
      <c r="KZ3" s="1" t="inlineStr">
        <is>
          <t>Month | Percentage Change from Previous Period | 2026-04</t>
        </is>
      </c>
      <c r="LA3" s="1" t="inlineStr">
        <is>
          <t>Month | Percentage Change from Previous Period | 2026-05</t>
        </is>
      </c>
      <c r="LB3" s="1" t="inlineStr">
        <is>
          <t>Month | Percentage Change from Previous Period | 2026-06</t>
        </is>
      </c>
      <c r="LC3" s="1" t="inlineStr">
        <is>
          <t>Month | Percentage Change from Previous Period | 2026-07</t>
        </is>
      </c>
      <c r="LD3" s="1" t="inlineStr">
        <is>
          <t>Month | Contribution to All groups CPI Index Number | 2024-12</t>
        </is>
      </c>
      <c r="LE3" s="1" t="inlineStr">
        <is>
          <t>Month | Contribution to All groups CPI Index Number | 2025-01</t>
        </is>
      </c>
      <c r="LF3" s="1" t="inlineStr">
        <is>
          <t>Month | Contribution to All groups CPI Index Number | 2025-02</t>
        </is>
      </c>
      <c r="LG3" s="1" t="inlineStr">
        <is>
          <t>Month | Contribution to All groups CPI Index Number | 2025-03</t>
        </is>
      </c>
      <c r="LH3" s="1" t="inlineStr">
        <is>
          <t>Month | Contribution to All groups CPI Index Number | 2025-04</t>
        </is>
      </c>
      <c r="LI3" s="1" t="inlineStr">
        <is>
          <t>Month | Contribution to All groups CPI Index Number | 2025-05</t>
        </is>
      </c>
      <c r="LJ3" s="1" t="inlineStr">
        <is>
          <t>Month | Contribution to All groups CPI Index Number | 2025-06</t>
        </is>
      </c>
      <c r="LK3" s="1" t="inlineStr">
        <is>
          <t>Month | Contribution to All groups CPI Index Number | 2025-07</t>
        </is>
      </c>
      <c r="LL3" s="1" t="inlineStr">
        <is>
          <t>Month | Contribution to All groups CPI Index Number | 2025-08</t>
        </is>
      </c>
      <c r="LM3" s="1" t="inlineStr">
        <is>
          <t>Month | Contribution to All groups CPI Index Number | 2025-09</t>
        </is>
      </c>
      <c r="LN3" s="1" t="inlineStr">
        <is>
          <t>Month | Contribution to All groups CPI Index Number | 2025-10</t>
        </is>
      </c>
      <c r="LO3" s="1" t="inlineStr">
        <is>
          <t>Month | Contribution to All groups CPI Index Number | 2025-11</t>
        </is>
      </c>
      <c r="LP3" s="1" t="inlineStr">
        <is>
          <t>Month | Contribution to All groups CPI Index Number | 2025-12</t>
        </is>
      </c>
      <c r="LQ3" s="1" t="inlineStr">
        <is>
          <t>Month | Contribution to All groups CPI Index Number | 2026-01</t>
        </is>
      </c>
      <c r="LR3" s="1" t="inlineStr">
        <is>
          <t>Month | Contribution to All groups CPI Index Number | 2026-02</t>
        </is>
      </c>
      <c r="LS3" s="1" t="inlineStr">
        <is>
          <t>Month | Contribution to All groups CPI Index Number | 2026-03</t>
        </is>
      </c>
      <c r="LT3" s="1" t="inlineStr">
        <is>
          <t>Month | Contribution to All groups CPI Index Number | 2026-04</t>
        </is>
      </c>
      <c r="LU3" s="1" t="inlineStr">
        <is>
          <t>Month | Contribution to All groups CPI Index Number | 2026-05</t>
        </is>
      </c>
      <c r="LV3" s="1" t="inlineStr">
        <is>
          <t>Month | Contribution to All groups CPI Index Number | 2026-06</t>
        </is>
      </c>
      <c r="LW3" s="1" t="inlineStr">
        <is>
          <t>Month | Contribution to All groups CPI Index Number | 2026-07</t>
        </is>
      </c>
      <c r="LX3" s="1" t="inlineStr">
        <is>
          <t>Month | Change in Contribution to All groups CPI Index Number | 2025-01</t>
        </is>
      </c>
      <c r="LY3" s="1" t="inlineStr">
        <is>
          <t>Month | Change in Contribution to All groups CPI Index Number | 2025-02</t>
        </is>
      </c>
      <c r="LZ3" s="1" t="inlineStr">
        <is>
          <t>Month | Change in Contribution to All groups CPI Index Number | 2025-03</t>
        </is>
      </c>
      <c r="MA3" s="1" t="inlineStr">
        <is>
          <t>Month | Change in Contribution to All groups CPI Index Number | 2025-04</t>
        </is>
      </c>
      <c r="MB3" s="1" t="inlineStr">
        <is>
          <t>Month | Change in Contribution to All groups CPI Index Number | 2025-05</t>
        </is>
      </c>
      <c r="MC3" s="1" t="inlineStr">
        <is>
          <t>Month | Change in Contribution to All groups CPI Index Number | 2025-06</t>
        </is>
      </c>
      <c r="MD3" s="1" t="inlineStr">
        <is>
          <t>Month | Change in Contribution to All groups CPI Index Number | 2025-07</t>
        </is>
      </c>
      <c r="ME3" s="1" t="inlineStr">
        <is>
          <t>Month | Change in Contribution to All groups CPI Index Number | 2025-08</t>
        </is>
      </c>
      <c r="MF3" s="1" t="inlineStr">
        <is>
          <t>Month | Change in Contribution to All groups CPI Index Number | 2025-09</t>
        </is>
      </c>
      <c r="MG3" s="1" t="inlineStr">
        <is>
          <t>Month | Change in Contribution to All groups CPI Index Number | 2025-10</t>
        </is>
      </c>
      <c r="MH3" s="1" t="inlineStr">
        <is>
          <t>Month | Change in Contribution to All groups CPI Index Number | 2025-11</t>
        </is>
      </c>
      <c r="MI3" s="1" t="inlineStr">
        <is>
          <t>Month | Change in Contribution to All groups CPI Index Number | 2025-12</t>
        </is>
      </c>
      <c r="MJ3" s="1" t="inlineStr">
        <is>
          <t>Month | Change in Contribution to All groups CPI Index Number | 2026-01</t>
        </is>
      </c>
      <c r="MK3" s="1" t="inlineStr">
        <is>
          <t>Month | Change in Contribution to All groups CPI Index Number | 2026-02</t>
        </is>
      </c>
      <c r="ML3" s="1" t="inlineStr">
        <is>
          <t>Month | Change in Contribution to All groups CPI Index Number | 2026-03</t>
        </is>
      </c>
      <c r="MM3" s="1" t="inlineStr">
        <is>
          <t>Month | Change in Contribution to All groups CPI Index Number | 2026-04</t>
        </is>
      </c>
      <c r="MN3" s="1" t="inlineStr">
        <is>
          <t>Month | Change in Contribution to All groups CPI Index Number | 2026-05</t>
        </is>
      </c>
      <c r="MO3" s="1" t="inlineStr">
        <is>
          <t>Month | Change in Contribution to All groups CPI Index Number | 2026-06</t>
        </is>
      </c>
      <c r="MP3" s="1" t="inlineStr">
        <is>
          <t>Month | Change in Contribution to All groups CPI Index Number | 2026-07</t>
        </is>
      </c>
      <c r="MQ3" s="1" t="inlineStr">
        <is>
          <t>Quarter | Index Numbers | 1948Q3</t>
        </is>
      </c>
      <c r="MR3" s="1" t="inlineStr">
        <is>
          <t>Quarter | Index Numbers | 1948Q4</t>
        </is>
      </c>
      <c r="MS3" s="1" t="inlineStr">
        <is>
          <t>Quarter | Index Numbers | 1949Q1</t>
        </is>
      </c>
      <c r="MT3" s="1" t="inlineStr">
        <is>
          <t>Quarter | Index Numbers | 1949Q2</t>
        </is>
      </c>
      <c r="MU3" s="1" t="inlineStr">
        <is>
          <t>Quarter | Index Numbers | 1949Q3</t>
        </is>
      </c>
      <c r="MV3" s="1" t="inlineStr">
        <is>
          <t>Quarter | Index Numbers | 1949Q4</t>
        </is>
      </c>
      <c r="MW3" s="1" t="inlineStr">
        <is>
          <t>Quarter | Index Numbers | 1950Q1</t>
        </is>
      </c>
      <c r="MX3" s="1" t="inlineStr">
        <is>
          <t>Quarter | Index Numbers | 1950Q2</t>
        </is>
      </c>
      <c r="MY3" s="1" t="inlineStr">
        <is>
          <t>Quarter | Index Numbers | 1950Q3</t>
        </is>
      </c>
      <c r="MZ3" s="1" t="inlineStr">
        <is>
          <t>Quarter | Index Numbers | 1950Q4</t>
        </is>
      </c>
      <c r="NA3" s="1" t="inlineStr">
        <is>
          <t>Quarter | Index Numbers | 1951Q1</t>
        </is>
      </c>
      <c r="NB3" s="1" t="inlineStr">
        <is>
          <t>Quarter | Index Numbers | 1951Q2</t>
        </is>
      </c>
      <c r="NC3" s="1" t="inlineStr">
        <is>
          <t>Quarter | Index Numbers | 1951Q3</t>
        </is>
      </c>
      <c r="ND3" s="1" t="inlineStr">
        <is>
          <t>Quarter | Index Numbers | 1951Q4</t>
        </is>
      </c>
      <c r="NE3" s="1" t="inlineStr">
        <is>
          <t>Quarter | Index Numbers | 1952Q1</t>
        </is>
      </c>
      <c r="NF3" s="1" t="inlineStr">
        <is>
          <t>Quarter | Index Numbers | 1952Q2</t>
        </is>
      </c>
      <c r="NG3" s="1" t="inlineStr">
        <is>
          <t>Quarter | Index Numbers | 1952Q3</t>
        </is>
      </c>
      <c r="NH3" s="1" t="inlineStr">
        <is>
          <t>Quarter | Index Numbers | 1952Q4</t>
        </is>
      </c>
      <c r="NI3" s="1" t="inlineStr">
        <is>
          <t>Quarter | Index Numbers | 1953Q1</t>
        </is>
      </c>
      <c r="NJ3" s="1" t="inlineStr">
        <is>
          <t>Quarter | Index Numbers | 1953Q2</t>
        </is>
      </c>
      <c r="NK3" s="1" t="inlineStr">
        <is>
          <t>Quarter | Index Numbers | 1953Q3</t>
        </is>
      </c>
      <c r="NL3" s="1" t="inlineStr">
        <is>
          <t>Quarter | Index Numbers | 1953Q4</t>
        </is>
      </c>
      <c r="NM3" s="1" t="inlineStr">
        <is>
          <t>Quarter | Index Numbers | 1954Q1</t>
        </is>
      </c>
      <c r="NN3" s="1" t="inlineStr">
        <is>
          <t>Quarter | Index Numbers | 1954Q2</t>
        </is>
      </c>
      <c r="NO3" s="1" t="inlineStr">
        <is>
          <t>Quarter | Index Numbers | 1954Q3</t>
        </is>
      </c>
      <c r="NP3" s="1" t="inlineStr">
        <is>
          <t>Quarter | Index Numbers | 1954Q4</t>
        </is>
      </c>
      <c r="NQ3" s="1" t="inlineStr">
        <is>
          <t>Quarter | Index Numbers | 1955Q1</t>
        </is>
      </c>
      <c r="NR3" s="1" t="inlineStr">
        <is>
          <t>Quarter | Index Numbers | 1955Q2</t>
        </is>
      </c>
      <c r="NS3" s="1" t="inlineStr">
        <is>
          <t>Quarter | Index Numbers | 1955Q3</t>
        </is>
      </c>
      <c r="NT3" s="1" t="inlineStr">
        <is>
          <t>Quarter | Index Numbers | 1955Q4</t>
        </is>
      </c>
      <c r="NU3" s="1" t="inlineStr">
        <is>
          <t>Quarter | Index Numbers | 1956Q1</t>
        </is>
      </c>
      <c r="NV3" s="1" t="inlineStr">
        <is>
          <t>Quarter | Index Numbers | 1956Q2</t>
        </is>
      </c>
      <c r="NW3" s="1" t="inlineStr">
        <is>
          <t>Quarter | Index Numbers | 1956Q3</t>
        </is>
      </c>
      <c r="NX3" s="1" t="inlineStr">
        <is>
          <t>Quarter | Index Numbers | 1956Q4</t>
        </is>
      </c>
      <c r="NY3" s="1" t="inlineStr">
        <is>
          <t>Quarter | Index Numbers | 1957Q1</t>
        </is>
      </c>
      <c r="NZ3" s="1" t="inlineStr">
        <is>
          <t>Quarter | Index Numbers | 1957Q2</t>
        </is>
      </c>
      <c r="OA3" s="1" t="inlineStr">
        <is>
          <t>Quarter | Index Numbers | 1957Q3</t>
        </is>
      </c>
      <c r="OB3" s="1" t="inlineStr">
        <is>
          <t>Quarter | Index Numbers | 1957Q4</t>
        </is>
      </c>
      <c r="OC3" s="1" t="inlineStr">
        <is>
          <t>Quarter | Index Numbers | 1958Q1</t>
        </is>
      </c>
      <c r="OD3" s="1" t="inlineStr">
        <is>
          <t>Quarter | Index Numbers | 1958Q2</t>
        </is>
      </c>
      <c r="OE3" s="1" t="inlineStr">
        <is>
          <t>Quarter | Index Numbers | 1958Q3</t>
        </is>
      </c>
      <c r="OF3" s="1" t="inlineStr">
        <is>
          <t>Quarter | Index Numbers | 1958Q4</t>
        </is>
      </c>
      <c r="OG3" s="1" t="inlineStr">
        <is>
          <t>Quarter | Index Numbers | 1959Q1</t>
        </is>
      </c>
      <c r="OH3" s="1" t="inlineStr">
        <is>
          <t>Quarter | Index Numbers | 1959Q2</t>
        </is>
      </c>
      <c r="OI3" s="1" t="inlineStr">
        <is>
          <t>Quarter | Index Numbers | 1959Q3</t>
        </is>
      </c>
      <c r="OJ3" s="1" t="inlineStr">
        <is>
          <t>Quarter | Index Numbers | 1959Q4</t>
        </is>
      </c>
      <c r="OK3" s="1" t="inlineStr">
        <is>
          <t>Quarter | Index Numbers | 1960Q1</t>
        </is>
      </c>
      <c r="OL3" s="1" t="inlineStr">
        <is>
          <t>Quarter | Index Numbers | 1960Q2</t>
        </is>
      </c>
      <c r="OM3" s="1" t="inlineStr">
        <is>
          <t>Quarter | Index Numbers | 1960Q3</t>
        </is>
      </c>
      <c r="ON3" s="1" t="inlineStr">
        <is>
          <t>Quarter | Index Numbers | 1960Q4</t>
        </is>
      </c>
      <c r="OO3" s="1" t="inlineStr">
        <is>
          <t>Quarter | Index Numbers | 1961Q1</t>
        </is>
      </c>
      <c r="OP3" s="1" t="inlineStr">
        <is>
          <t>Quarter | Index Numbers | 1961Q2</t>
        </is>
      </c>
      <c r="OQ3" s="1" t="inlineStr">
        <is>
          <t>Quarter | Index Numbers | 1961Q3</t>
        </is>
      </c>
      <c r="OR3" s="1" t="inlineStr">
        <is>
          <t>Quarter | Index Numbers | 1961Q4</t>
        </is>
      </c>
      <c r="OS3" s="1" t="inlineStr">
        <is>
          <t>Quarter | Index Numbers | 1962Q1</t>
        </is>
      </c>
      <c r="OT3" s="1" t="inlineStr">
        <is>
          <t>Quarter | Index Numbers | 1962Q2</t>
        </is>
      </c>
      <c r="OU3" s="1" t="inlineStr">
        <is>
          <t>Quarter | Index Numbers | 1962Q3</t>
        </is>
      </c>
      <c r="OV3" s="1" t="inlineStr">
        <is>
          <t>Quarter | Index Numbers | 1962Q4</t>
        </is>
      </c>
      <c r="OW3" s="1" t="inlineStr">
        <is>
          <t>Quarter | Index Numbers | 1963Q1</t>
        </is>
      </c>
      <c r="OX3" s="1" t="inlineStr">
        <is>
          <t>Quarter | Index Numbers | 1963Q2</t>
        </is>
      </c>
      <c r="OY3" s="1" t="inlineStr">
        <is>
          <t>Quarter | Index Numbers | 1963Q3</t>
        </is>
      </c>
      <c r="OZ3" s="1" t="inlineStr">
        <is>
          <t>Quarter | Index Numbers | 1963Q4</t>
        </is>
      </c>
      <c r="PA3" s="1" t="inlineStr">
        <is>
          <t>Quarter | Index Numbers | 1964Q1</t>
        </is>
      </c>
      <c r="PB3" s="1" t="inlineStr">
        <is>
          <t>Quarter | Index Numbers | 1964Q2</t>
        </is>
      </c>
      <c r="PC3" s="1" t="inlineStr">
        <is>
          <t>Quarter | Index Numbers | 1964Q3</t>
        </is>
      </c>
      <c r="PD3" s="1" t="inlineStr">
        <is>
          <t>Quarter | Index Numbers | 1964Q4</t>
        </is>
      </c>
      <c r="PE3" s="1" t="inlineStr">
        <is>
          <t>Quarter | Index Numbers | 1965Q1</t>
        </is>
      </c>
      <c r="PF3" s="1" t="inlineStr">
        <is>
          <t>Quarter | Index Numbers | 1965Q2</t>
        </is>
      </c>
      <c r="PG3" s="1" t="inlineStr">
        <is>
          <t>Quarter | Index Numbers | 1965Q3</t>
        </is>
      </c>
      <c r="PH3" s="1" t="inlineStr">
        <is>
          <t>Quarter | Index Numbers | 1965Q4</t>
        </is>
      </c>
      <c r="PI3" s="1" t="inlineStr">
        <is>
          <t>Quarter | Index Numbers | 1966Q1</t>
        </is>
      </c>
      <c r="PJ3" s="1" t="inlineStr">
        <is>
          <t>Quarter | Index Numbers | 1966Q2</t>
        </is>
      </c>
      <c r="PK3" s="1" t="inlineStr">
        <is>
          <t>Quarter | Index Numbers | 1966Q3</t>
        </is>
      </c>
      <c r="PL3" s="1" t="inlineStr">
        <is>
          <t>Quarter | Index Numbers | 1966Q4</t>
        </is>
      </c>
      <c r="PM3" s="1" t="inlineStr">
        <is>
          <t>Quarter | Index Numbers | 1967Q1</t>
        </is>
      </c>
      <c r="PN3" s="1" t="inlineStr">
        <is>
          <t>Quarter | Index Numbers | 1967Q2</t>
        </is>
      </c>
      <c r="PO3" s="1" t="inlineStr">
        <is>
          <t>Quarter | Index Numbers | 1967Q3</t>
        </is>
      </c>
      <c r="PP3" s="1" t="inlineStr">
        <is>
          <t>Quarter | Index Numbers | 1967Q4</t>
        </is>
      </c>
      <c r="PQ3" s="1" t="inlineStr">
        <is>
          <t>Quarter | Index Numbers | 1968Q1</t>
        </is>
      </c>
      <c r="PR3" s="1" t="inlineStr">
        <is>
          <t>Quarter | Index Numbers | 1968Q2</t>
        </is>
      </c>
      <c r="PS3" s="1" t="inlineStr">
        <is>
          <t>Quarter | Index Numbers | 1968Q3</t>
        </is>
      </c>
      <c r="PT3" s="1" t="inlineStr">
        <is>
          <t>Quarter | Index Numbers | 1968Q4</t>
        </is>
      </c>
      <c r="PU3" s="1" t="inlineStr">
        <is>
          <t>Quarter | Index Numbers | 1969Q1</t>
        </is>
      </c>
      <c r="PV3" s="1" t="inlineStr">
        <is>
          <t>Quarter | Index Numbers | 1969Q2</t>
        </is>
      </c>
      <c r="PW3" s="1" t="inlineStr">
        <is>
          <t>Quarter | Index Numbers | 1969Q3</t>
        </is>
      </c>
      <c r="PX3" s="1" t="inlineStr">
        <is>
          <t>Quarter | Index Numbers | 1969Q4</t>
        </is>
      </c>
      <c r="PY3" s="1" t="inlineStr">
        <is>
          <t>Quarter | Index Numbers | 1970Q1</t>
        </is>
      </c>
      <c r="PZ3" s="1" t="inlineStr">
        <is>
          <t>Quarter | Index Numbers | 1970Q2</t>
        </is>
      </c>
      <c r="QA3" s="1" t="inlineStr">
        <is>
          <t>Quarter | Index Numbers | 1970Q3</t>
        </is>
      </c>
      <c r="QB3" s="1" t="inlineStr">
        <is>
          <t>Quarter | Index Numbers | 1970Q4</t>
        </is>
      </c>
      <c r="QC3" s="1" t="inlineStr">
        <is>
          <t>Quarter | Index Numbers | 1971Q1</t>
        </is>
      </c>
      <c r="QD3" s="1" t="inlineStr">
        <is>
          <t>Quarter | Index Numbers | 1971Q2</t>
        </is>
      </c>
      <c r="QE3" s="1" t="inlineStr">
        <is>
          <t>Quarter | Index Numbers | 1971Q3</t>
        </is>
      </c>
      <c r="QF3" s="1" t="inlineStr">
        <is>
          <t>Quarter | Index Numbers | 1971Q4</t>
        </is>
      </c>
      <c r="QG3" s="1" t="inlineStr">
        <is>
          <t>Quarter | Index Numbers | 1972Q1</t>
        </is>
      </c>
      <c r="QH3" s="1" t="inlineStr">
        <is>
          <t>Quarter | Index Numbers | 1972Q2</t>
        </is>
      </c>
      <c r="QI3" s="1" t="inlineStr">
        <is>
          <t>Quarter | Index Numbers | 1972Q3</t>
        </is>
      </c>
      <c r="QJ3" s="1" t="inlineStr">
        <is>
          <t>Quarter | Index Numbers | 1972Q4</t>
        </is>
      </c>
      <c r="QK3" s="1" t="inlineStr">
        <is>
          <t>Quarter | Index Numbers | 1973Q1</t>
        </is>
      </c>
      <c r="QL3" s="1" t="inlineStr">
        <is>
          <t>Quarter | Index Numbers | 1973Q2</t>
        </is>
      </c>
      <c r="QM3" s="1" t="inlineStr">
        <is>
          <t>Quarter | Index Numbers | 1973Q3</t>
        </is>
      </c>
      <c r="QN3" s="1" t="inlineStr">
        <is>
          <t>Quarter | Index Numbers | 1973Q4</t>
        </is>
      </c>
      <c r="QO3" s="1" t="inlineStr">
        <is>
          <t>Quarter | Index Numbers | 1974Q1</t>
        </is>
      </c>
      <c r="QP3" s="1" t="inlineStr">
        <is>
          <t>Quarter | Index Numbers | 1974Q2</t>
        </is>
      </c>
      <c r="QQ3" s="1" t="inlineStr">
        <is>
          <t>Quarter | Index Numbers | 1974Q3</t>
        </is>
      </c>
      <c r="QR3" s="1" t="inlineStr">
        <is>
          <t>Quarter | Index Numbers | 1974Q4</t>
        </is>
      </c>
      <c r="QS3" s="1" t="inlineStr">
        <is>
          <t>Quarter | Index Numbers | 1975Q1</t>
        </is>
      </c>
      <c r="QT3" s="1" t="inlineStr">
        <is>
          <t>Quarter | Index Numbers | 1975Q2</t>
        </is>
      </c>
      <c r="QU3" s="1" t="inlineStr">
        <is>
          <t>Quarter | Index Numbers | 1975Q3</t>
        </is>
      </c>
      <c r="QV3" s="1" t="inlineStr">
        <is>
          <t>Quarter | Index Numbers | 1975Q4</t>
        </is>
      </c>
      <c r="QW3" s="1" t="inlineStr">
        <is>
          <t>Quarter | Index Numbers | 1976Q1</t>
        </is>
      </c>
      <c r="QX3" s="1" t="inlineStr">
        <is>
          <t>Quarter | Index Numbers | 1976Q2</t>
        </is>
      </c>
      <c r="QY3" s="1" t="inlineStr">
        <is>
          <t>Quarter | Index Numbers | 1976Q3</t>
        </is>
      </c>
      <c r="QZ3" s="1" t="inlineStr">
        <is>
          <t>Quarter | Index Numbers | 1976Q4</t>
        </is>
      </c>
      <c r="RA3" s="1" t="inlineStr">
        <is>
          <t>Quarter | Index Numbers | 1977Q1</t>
        </is>
      </c>
      <c r="RB3" s="1" t="inlineStr">
        <is>
          <t>Quarter | Index Numbers | 1977Q2</t>
        </is>
      </c>
      <c r="RC3" s="1" t="inlineStr">
        <is>
          <t>Quarter | Index Numbers | 1977Q3</t>
        </is>
      </c>
      <c r="RD3" s="1" t="inlineStr">
        <is>
          <t>Quarter | Index Numbers | 1977Q4</t>
        </is>
      </c>
      <c r="RE3" s="1" t="inlineStr">
        <is>
          <t>Quarter | Index Numbers | 1978Q1</t>
        </is>
      </c>
      <c r="RF3" s="1" t="inlineStr">
        <is>
          <t>Quarter | Index Numbers | 1978Q2</t>
        </is>
      </c>
      <c r="RG3" s="1" t="inlineStr">
        <is>
          <t>Quarter | Index Numbers | 1978Q3</t>
        </is>
      </c>
      <c r="RH3" s="1" t="inlineStr">
        <is>
          <t>Quarter | Index Numbers | 1978Q4</t>
        </is>
      </c>
      <c r="RI3" s="1" t="inlineStr">
        <is>
          <t>Quarter | Index Numbers | 1979Q1</t>
        </is>
      </c>
      <c r="RJ3" s="1" t="inlineStr">
        <is>
          <t>Quarter | Index Numbers | 1979Q2</t>
        </is>
      </c>
      <c r="RK3" s="1" t="inlineStr">
        <is>
          <t>Quarter | Index Numbers | 1979Q3</t>
        </is>
      </c>
      <c r="RL3" s="1" t="inlineStr">
        <is>
          <t>Quarter | Index Numbers | 1979Q4</t>
        </is>
      </c>
      <c r="RM3" s="1" t="inlineStr">
        <is>
          <t>Quarter | Index Numbers | 1980Q1</t>
        </is>
      </c>
      <c r="RN3" s="1" t="inlineStr">
        <is>
          <t>Quarter | Index Numbers | 1980Q2</t>
        </is>
      </c>
      <c r="RO3" s="1" t="inlineStr">
        <is>
          <t>Quarter | Index Numbers | 1980Q3</t>
        </is>
      </c>
      <c r="RP3" s="1" t="inlineStr">
        <is>
          <t>Quarter | Index Numbers | 1980Q4</t>
        </is>
      </c>
      <c r="RQ3" s="1" t="inlineStr">
        <is>
          <t>Quarter | Index Numbers | 1981Q1</t>
        </is>
      </c>
      <c r="RR3" s="1" t="inlineStr">
        <is>
          <t>Quarter | Index Numbers | 1981Q2</t>
        </is>
      </c>
      <c r="RS3" s="1" t="inlineStr">
        <is>
          <t>Quarter | Index Numbers | 1981Q3</t>
        </is>
      </c>
      <c r="RT3" s="1" t="inlineStr">
        <is>
          <t>Quarter | Index Numbers | 1981Q4</t>
        </is>
      </c>
      <c r="RU3" s="1" t="inlineStr">
        <is>
          <t>Quarter | Index Numbers | 1982Q1</t>
        </is>
      </c>
      <c r="RV3" s="1" t="inlineStr">
        <is>
          <t>Quarter | Index Numbers | 1982Q2</t>
        </is>
      </c>
      <c r="RW3" s="1" t="inlineStr">
        <is>
          <t>Quarter | Index Numbers | 1982Q3</t>
        </is>
      </c>
      <c r="RX3" s="1" t="inlineStr">
        <is>
          <t>Quarter | Index Numbers | 1982Q4</t>
        </is>
      </c>
      <c r="RY3" s="1" t="inlineStr">
        <is>
          <t>Quarter | Index Numbers | 1983Q1</t>
        </is>
      </c>
      <c r="RZ3" s="1" t="inlineStr">
        <is>
          <t>Quarter | Index Numbers | 1983Q2</t>
        </is>
      </c>
      <c r="SA3" s="1" t="inlineStr">
        <is>
          <t>Quarter | Index Numbers | 1983Q3</t>
        </is>
      </c>
      <c r="SB3" s="1" t="inlineStr">
        <is>
          <t>Quarter | Index Numbers | 1983Q4</t>
        </is>
      </c>
      <c r="SC3" s="1" t="inlineStr">
        <is>
          <t>Quarter | Index Numbers | 1984Q1</t>
        </is>
      </c>
      <c r="SD3" s="1" t="inlineStr">
        <is>
          <t>Quarter | Index Numbers | 1984Q2</t>
        </is>
      </c>
      <c r="SE3" s="1" t="inlineStr">
        <is>
          <t>Quarter | Index Numbers | 1984Q3</t>
        </is>
      </c>
      <c r="SF3" s="1" t="inlineStr">
        <is>
          <t>Quarter | Index Numbers | 1984Q4</t>
        </is>
      </c>
      <c r="SG3" s="1" t="inlineStr">
        <is>
          <t>Quarter | Index Numbers | 1985Q1</t>
        </is>
      </c>
      <c r="SH3" s="1" t="inlineStr">
        <is>
          <t>Quarter | Index Numbers | 1985Q2</t>
        </is>
      </c>
      <c r="SI3" s="1" t="inlineStr">
        <is>
          <t>Quarter | Index Numbers | 1985Q3</t>
        </is>
      </c>
      <c r="SJ3" s="1" t="inlineStr">
        <is>
          <t>Quarter | Index Numbers | 1985Q4</t>
        </is>
      </c>
      <c r="SK3" s="1" t="inlineStr">
        <is>
          <t>Quarter | Index Numbers | 1986Q1</t>
        </is>
      </c>
      <c r="SL3" s="1" t="inlineStr">
        <is>
          <t>Quarter | Index Numbers | 1986Q2</t>
        </is>
      </c>
      <c r="SM3" s="1" t="inlineStr">
        <is>
          <t>Quarter | Index Numbers | 1986Q3</t>
        </is>
      </c>
      <c r="SN3" s="1" t="inlineStr">
        <is>
          <t>Quarter | Index Numbers | 1986Q4</t>
        </is>
      </c>
      <c r="SO3" s="1" t="inlineStr">
        <is>
          <t>Quarter | Index Numbers | 1987Q1</t>
        </is>
      </c>
      <c r="SP3" s="1" t="inlineStr">
        <is>
          <t>Quarter | Index Numbers | 1987Q2</t>
        </is>
      </c>
      <c r="SQ3" s="1" t="inlineStr">
        <is>
          <t>Quarter | Index Numbers | 1987Q3</t>
        </is>
      </c>
      <c r="SR3" s="1" t="inlineStr">
        <is>
          <t>Quarter | Index Numbers | 1987Q4</t>
        </is>
      </c>
      <c r="SS3" s="1" t="inlineStr">
        <is>
          <t>Quarter | Index Numbers | 1988Q1</t>
        </is>
      </c>
      <c r="ST3" s="1" t="inlineStr">
        <is>
          <t>Quarter | Index Numbers | 1988Q2</t>
        </is>
      </c>
      <c r="SU3" s="1" t="inlineStr">
        <is>
          <t>Quarter | Index Numbers | 1988Q3</t>
        </is>
      </c>
      <c r="SV3" s="1" t="inlineStr">
        <is>
          <t>Quarter | Index Numbers | 1988Q4</t>
        </is>
      </c>
      <c r="SW3" s="1" t="inlineStr">
        <is>
          <t>Quarter | Index Numbers | 1989Q1</t>
        </is>
      </c>
      <c r="SX3" s="1" t="inlineStr">
        <is>
          <t>Quarter | Index Numbers | 1989Q2</t>
        </is>
      </c>
      <c r="SY3" s="1" t="inlineStr">
        <is>
          <t>Quarter | Index Numbers | 1989Q3</t>
        </is>
      </c>
      <c r="SZ3" s="1" t="inlineStr">
        <is>
          <t>Quarter | Index Numbers | 1989Q4</t>
        </is>
      </c>
      <c r="TA3" s="1" t="inlineStr">
        <is>
          <t>Quarter | Index Numbers | 1990Q1</t>
        </is>
      </c>
      <c r="TB3" s="1" t="inlineStr">
        <is>
          <t>Quarter | Index Numbers | 1990Q2</t>
        </is>
      </c>
      <c r="TC3" s="1" t="inlineStr">
        <is>
          <t>Quarter | Index Numbers | 1990Q3</t>
        </is>
      </c>
      <c r="TD3" s="1" t="inlineStr">
        <is>
          <t>Quarter | Index Numbers | 1990Q4</t>
        </is>
      </c>
      <c r="TE3" s="1" t="inlineStr">
        <is>
          <t>Quarter | Index Numbers | 1991Q1</t>
        </is>
      </c>
      <c r="TF3" s="1" t="inlineStr">
        <is>
          <t>Quarter | Index Numbers | 1991Q2</t>
        </is>
      </c>
      <c r="TG3" s="1" t="inlineStr">
        <is>
          <t>Quarter | Index Numbers | 1991Q3</t>
        </is>
      </c>
      <c r="TH3" s="1" t="inlineStr">
        <is>
          <t>Quarter | Index Numbers | 1991Q4</t>
        </is>
      </c>
      <c r="TI3" s="1" t="inlineStr">
        <is>
          <t>Quarter | Index Numbers | 1992Q1</t>
        </is>
      </c>
      <c r="TJ3" s="1" t="inlineStr">
        <is>
          <t>Quarter | Index Numbers | 1992Q2</t>
        </is>
      </c>
      <c r="TK3" s="1" t="inlineStr">
        <is>
          <t>Quarter | Index Numbers | 1992Q3</t>
        </is>
      </c>
      <c r="TL3" s="1" t="inlineStr">
        <is>
          <t>Quarter | Index Numbers | 1992Q4</t>
        </is>
      </c>
      <c r="TM3" s="1" t="inlineStr">
        <is>
          <t>Quarter | Index Numbers | 1993Q1</t>
        </is>
      </c>
      <c r="TN3" s="1" t="inlineStr">
        <is>
          <t>Quarter | Index Numbers | 1993Q2</t>
        </is>
      </c>
      <c r="TO3" s="1" t="inlineStr">
        <is>
          <t>Quarter | Index Numbers | 1993Q3</t>
        </is>
      </c>
      <c r="TP3" s="1" t="inlineStr">
        <is>
          <t>Quarter | Index Numbers | 1993Q4</t>
        </is>
      </c>
      <c r="TQ3" s="1" t="inlineStr">
        <is>
          <t>Quarter | Index Numbers | 1994Q1</t>
        </is>
      </c>
      <c r="TR3" s="1" t="inlineStr">
        <is>
          <t>Quarter | Index Numbers | 1994Q2</t>
        </is>
      </c>
      <c r="TS3" s="1" t="inlineStr">
        <is>
          <t>Quarter | Index Numbers | 1994Q3</t>
        </is>
      </c>
      <c r="TT3" s="1" t="inlineStr">
        <is>
          <t>Quarter | Index Numbers | 1994Q4</t>
        </is>
      </c>
      <c r="TU3" s="1" t="inlineStr">
        <is>
          <t>Quarter | Index Numbers | 1995Q1</t>
        </is>
      </c>
      <c r="TV3" s="1" t="inlineStr">
        <is>
          <t>Quarter | Index Numbers | 1995Q2</t>
        </is>
      </c>
      <c r="TW3" s="1" t="inlineStr">
        <is>
          <t>Quarter | Index Numbers | 1995Q3</t>
        </is>
      </c>
      <c r="TX3" s="1" t="inlineStr">
        <is>
          <t>Quarter | Index Numbers | 1995Q4</t>
        </is>
      </c>
      <c r="TY3" s="1" t="inlineStr">
        <is>
          <t>Quarter | Index Numbers | 1996Q1</t>
        </is>
      </c>
      <c r="TZ3" s="1" t="inlineStr">
        <is>
          <t>Quarter | Index Numbers | 1996Q2</t>
        </is>
      </c>
      <c r="UA3" s="1" t="inlineStr">
        <is>
          <t>Quarter | Index Numbers | 1996Q3</t>
        </is>
      </c>
      <c r="UB3" s="1" t="inlineStr">
        <is>
          <t>Quarter | Index Numbers | 1996Q4</t>
        </is>
      </c>
      <c r="UC3" s="1" t="inlineStr">
        <is>
          <t>Quarter | Index Numbers | 1997Q1</t>
        </is>
      </c>
      <c r="UD3" s="1" t="inlineStr">
        <is>
          <t>Quarter | Index Numbers | 1997Q2</t>
        </is>
      </c>
      <c r="UE3" s="1" t="inlineStr">
        <is>
          <t>Quarter | Index Numbers | 1997Q3</t>
        </is>
      </c>
      <c r="UF3" s="1" t="inlineStr">
        <is>
          <t>Quarter | Index Numbers | 1997Q4</t>
        </is>
      </c>
      <c r="UG3" s="1" t="inlineStr">
        <is>
          <t>Quarter | Index Numbers | 1998Q1</t>
        </is>
      </c>
      <c r="UH3" s="1" t="inlineStr">
        <is>
          <t>Quarter | Index Numbers | 1998Q2</t>
        </is>
      </c>
      <c r="UI3" s="1" t="inlineStr">
        <is>
          <t>Quarter | Index Numbers | 1998Q3</t>
        </is>
      </c>
      <c r="UJ3" s="1" t="inlineStr">
        <is>
          <t>Quarter | Index Numbers | 1998Q4</t>
        </is>
      </c>
      <c r="UK3" s="1" t="inlineStr">
        <is>
          <t>Quarter | Index Numbers | 1999Q1</t>
        </is>
      </c>
      <c r="UL3" s="1" t="inlineStr">
        <is>
          <t>Quarter | Index Numbers | 1999Q2</t>
        </is>
      </c>
      <c r="UM3" s="1" t="inlineStr">
        <is>
          <t>Quarter | Index Numbers | 1999Q3</t>
        </is>
      </c>
      <c r="UN3" s="1" t="inlineStr">
        <is>
          <t>Quarter | Index Numbers | 1999Q4</t>
        </is>
      </c>
      <c r="UO3" s="1" t="inlineStr">
        <is>
          <t>Quarter | Index Numbers | 2000Q1</t>
        </is>
      </c>
      <c r="UP3" s="1" t="inlineStr">
        <is>
          <t>Quarter | Index Numbers | 2000Q2</t>
        </is>
      </c>
      <c r="UQ3" s="1" t="inlineStr">
        <is>
          <t>Quarter | Index Numbers | 2000Q3</t>
        </is>
      </c>
      <c r="UR3" s="1" t="inlineStr">
        <is>
          <t>Quarter | Index Numbers | 2000Q4</t>
        </is>
      </c>
      <c r="US3" s="1" t="inlineStr">
        <is>
          <t>Quarter | Index Numbers | 2001Q1</t>
        </is>
      </c>
      <c r="UT3" s="1" t="inlineStr">
        <is>
          <t>Quarter | Index Numbers | 2001Q2</t>
        </is>
      </c>
      <c r="UU3" s="1" t="inlineStr">
        <is>
          <t>Quarter | Index Numbers | 2001Q3</t>
        </is>
      </c>
      <c r="UV3" s="1" t="inlineStr">
        <is>
          <t>Quarter | Index Numbers | 2001Q4</t>
        </is>
      </c>
      <c r="UW3" s="1" t="inlineStr">
        <is>
          <t>Quarter | Index Numbers | 2002Q1</t>
        </is>
      </c>
      <c r="UX3" s="1" t="inlineStr">
        <is>
          <t>Quarter | Index Numbers | 2002Q2</t>
        </is>
      </c>
      <c r="UY3" s="1" t="inlineStr">
        <is>
          <t>Quarter | Index Numbers | 2002Q3</t>
        </is>
      </c>
      <c r="UZ3" s="1" t="inlineStr">
        <is>
          <t>Quarter | Index Numbers | 2002Q4</t>
        </is>
      </c>
      <c r="VA3" s="1" t="inlineStr">
        <is>
          <t>Quarter | Index Numbers | 2003Q1</t>
        </is>
      </c>
      <c r="VB3" s="1" t="inlineStr">
        <is>
          <t>Quarter | Index Numbers | 2003Q2</t>
        </is>
      </c>
      <c r="VC3" s="1" t="inlineStr">
        <is>
          <t>Quarter | Index Numbers | 2003Q3</t>
        </is>
      </c>
      <c r="VD3" s="1" t="inlineStr">
        <is>
          <t>Quarter | Index Numbers | 2003Q4</t>
        </is>
      </c>
      <c r="VE3" s="1" t="inlineStr">
        <is>
          <t>Quarter | Index Numbers | 2004Q1</t>
        </is>
      </c>
      <c r="VF3" s="1" t="inlineStr">
        <is>
          <t>Quarter | Index Numbers | 2004Q2</t>
        </is>
      </c>
      <c r="VG3" s="1" t="inlineStr">
        <is>
          <t>Quarter | Index Numbers | 2004Q3</t>
        </is>
      </c>
      <c r="VH3" s="1" t="inlineStr">
        <is>
          <t>Quarter | Index Numbers | 2004Q4</t>
        </is>
      </c>
      <c r="VI3" s="1" t="inlineStr">
        <is>
          <t>Quarter | Index Numbers | 2005Q1</t>
        </is>
      </c>
      <c r="VJ3" s="1" t="inlineStr">
        <is>
          <t>Quarter | Index Numbers | 2005Q2</t>
        </is>
      </c>
      <c r="VK3" s="1" t="inlineStr">
        <is>
          <t>Quarter | Index Numbers | 2005Q3</t>
        </is>
      </c>
      <c r="VL3" s="1" t="inlineStr">
        <is>
          <t>Quarter | Index Numbers | 2005Q4</t>
        </is>
      </c>
      <c r="VM3" s="1" t="inlineStr">
        <is>
          <t>Quarter | Index Numbers | 2006Q1</t>
        </is>
      </c>
      <c r="VN3" s="1" t="inlineStr">
        <is>
          <t>Quarter | Index Numbers | 2006Q2</t>
        </is>
      </c>
      <c r="VO3" s="1" t="inlineStr">
        <is>
          <t>Quarter | Index Numbers | 2006Q3</t>
        </is>
      </c>
      <c r="VP3" s="1" t="inlineStr">
        <is>
          <t>Quarter | Index Numbers | 2006Q4</t>
        </is>
      </c>
      <c r="VQ3" s="1" t="inlineStr">
        <is>
          <t>Quarter | Index Numbers | 2007Q1</t>
        </is>
      </c>
      <c r="VR3" s="1" t="inlineStr">
        <is>
          <t>Quarter | Index Numbers | 2007Q2</t>
        </is>
      </c>
      <c r="VS3" s="1" t="inlineStr">
        <is>
          <t>Quarter | Index Numbers | 2007Q3</t>
        </is>
      </c>
      <c r="VT3" s="1" t="inlineStr">
        <is>
          <t>Quarter | Index Numbers | 2007Q4</t>
        </is>
      </c>
      <c r="VU3" s="1" t="inlineStr">
        <is>
          <t>Quarter | Index Numbers | 2008Q1</t>
        </is>
      </c>
      <c r="VV3" s="1" t="inlineStr">
        <is>
          <t>Quarter | Index Numbers | 2008Q2</t>
        </is>
      </c>
      <c r="VW3" s="1" t="inlineStr">
        <is>
          <t>Quarter | Index Numbers | 2008Q3</t>
        </is>
      </c>
      <c r="VX3" s="1" t="inlineStr">
        <is>
          <t>Quarter | Index Numbers | 2008Q4</t>
        </is>
      </c>
      <c r="VY3" s="1" t="inlineStr">
        <is>
          <t>Quarter | Index Numbers | 2009Q1</t>
        </is>
      </c>
      <c r="VZ3" s="1" t="inlineStr">
        <is>
          <t>Quarter | Index Numbers | 2009Q2</t>
        </is>
      </c>
      <c r="WA3" s="1" t="inlineStr">
        <is>
          <t>Quarter | Index Numbers | 2009Q3</t>
        </is>
      </c>
      <c r="WB3" s="1" t="inlineStr">
        <is>
          <t>Quarter | Index Numbers | 2009Q4</t>
        </is>
      </c>
      <c r="WC3" s="1" t="inlineStr">
        <is>
          <t>Quarter | Index Numbers | 2010Q1</t>
        </is>
      </c>
      <c r="WD3" s="1" t="inlineStr">
        <is>
          <t>Quarter | Index Numbers | 2010Q2</t>
        </is>
      </c>
      <c r="WE3" s="1" t="inlineStr">
        <is>
          <t>Quarter | Index Numbers | 2010Q3</t>
        </is>
      </c>
      <c r="WF3" s="1" t="inlineStr">
        <is>
          <t>Quarter | Index Numbers | 2010Q4</t>
        </is>
      </c>
      <c r="WG3" s="1" t="inlineStr">
        <is>
          <t>Quarter | Index Numbers | 2011Q1</t>
        </is>
      </c>
      <c r="WH3" s="1" t="inlineStr">
        <is>
          <t>Quarter | Index Numbers | 2011Q2</t>
        </is>
      </c>
      <c r="WI3" s="1" t="inlineStr">
        <is>
          <t>Quarter | Index Numbers | 2011Q3</t>
        </is>
      </c>
      <c r="WJ3" s="1" t="inlineStr">
        <is>
          <t>Quarter | Index Numbers | 2011Q4</t>
        </is>
      </c>
      <c r="WK3" s="1" t="inlineStr">
        <is>
          <t>Quarter | Index Numbers | 2012Q1</t>
        </is>
      </c>
      <c r="WL3" s="1" t="inlineStr">
        <is>
          <t>Quarter | Index Numbers | 2012Q2</t>
        </is>
      </c>
      <c r="WM3" s="1" t="inlineStr">
        <is>
          <t>Quarter | Index Numbers | 2012Q3</t>
        </is>
      </c>
      <c r="WN3" s="1" t="inlineStr">
        <is>
          <t>Quarter | Index Numbers | 2012Q4</t>
        </is>
      </c>
      <c r="WO3" s="1" t="inlineStr">
        <is>
          <t>Quarter | Index Numbers | 2013Q1</t>
        </is>
      </c>
      <c r="WP3" s="1" t="inlineStr">
        <is>
          <t>Quarter | Index Numbers | 2013Q2</t>
        </is>
      </c>
      <c r="WQ3" s="1" t="inlineStr">
        <is>
          <t>Quarter | Index Numbers | 2013Q3</t>
        </is>
      </c>
      <c r="WR3" s="1" t="inlineStr">
        <is>
          <t>Quarter | Index Numbers | 2013Q4</t>
        </is>
      </c>
      <c r="WS3" s="1" t="inlineStr">
        <is>
          <t>Quarter | Index Numbers | 2014Q1</t>
        </is>
      </c>
      <c r="WT3" s="1" t="inlineStr">
        <is>
          <t>Quarter | Index Numbers | 2014Q2</t>
        </is>
      </c>
      <c r="WU3" s="1" t="inlineStr">
        <is>
          <t>Quarter | Index Numbers | 2014Q3</t>
        </is>
      </c>
      <c r="WV3" s="1" t="inlineStr">
        <is>
          <t>Quarter | Index Numbers | 2014Q4</t>
        </is>
      </c>
      <c r="WW3" s="1" t="inlineStr">
        <is>
          <t>Quarter | Index Numbers | 2015Q1</t>
        </is>
      </c>
      <c r="WX3" s="1" t="inlineStr">
        <is>
          <t>Quarter | Index Numbers | 2015Q2</t>
        </is>
      </c>
      <c r="WY3" s="1" t="inlineStr">
        <is>
          <t>Quarter | Index Numbers | 2015Q3</t>
        </is>
      </c>
      <c r="WZ3" s="1" t="inlineStr">
        <is>
          <t>Quarter | Index Numbers | 2015Q4</t>
        </is>
      </c>
      <c r="XA3" s="1" t="inlineStr">
        <is>
          <t>Quarter | Index Numbers | 2016Q1</t>
        </is>
      </c>
      <c r="XB3" s="1" t="inlineStr">
        <is>
          <t>Quarter | Index Numbers | 2016Q2</t>
        </is>
      </c>
      <c r="XC3" s="1" t="inlineStr">
        <is>
          <t>Quarter | Index Numbers | 2016Q3</t>
        </is>
      </c>
      <c r="XD3" s="1" t="inlineStr">
        <is>
          <t>Quarter | Index Numbers | 2016Q4</t>
        </is>
      </c>
      <c r="XE3" s="1" t="inlineStr">
        <is>
          <t>Quarter | Index Numbers | 2017Q1</t>
        </is>
      </c>
      <c r="XF3" s="1" t="inlineStr">
        <is>
          <t>Quarter | Index Numbers | 2017Q2</t>
        </is>
      </c>
      <c r="XG3" s="1" t="inlineStr">
        <is>
          <t>Quarter | Index Numbers | 2017Q3</t>
        </is>
      </c>
      <c r="XH3" s="1" t="inlineStr">
        <is>
          <t>Quarter | Index Numbers | 2017Q4</t>
        </is>
      </c>
      <c r="XI3" s="1" t="inlineStr">
        <is>
          <t>Quarter | Index Numbers | 2018Q1</t>
        </is>
      </c>
      <c r="XJ3" s="1" t="inlineStr">
        <is>
          <t>Quarter | Index Numbers | 2018Q2</t>
        </is>
      </c>
      <c r="XK3" s="1" t="inlineStr">
        <is>
          <t>Quarter | Index Numbers | 2018Q3</t>
        </is>
      </c>
      <c r="XL3" s="1" t="inlineStr">
        <is>
          <t>Quarter | Index Numbers | 2018Q4</t>
        </is>
      </c>
      <c r="XM3" s="1" t="inlineStr">
        <is>
          <t>Quarter | Index Numbers | 2019Q1</t>
        </is>
      </c>
      <c r="XN3" s="1" t="inlineStr">
        <is>
          <t>Quarter | Index Numbers | 2019Q2</t>
        </is>
      </c>
      <c r="XO3" s="1" t="inlineStr">
        <is>
          <t>Quarter | Index Numbers | 2019Q3</t>
        </is>
      </c>
      <c r="XP3" s="1" t="inlineStr">
        <is>
          <t>Quarter | Index Numbers | 2019Q4</t>
        </is>
      </c>
      <c r="XQ3" s="1" t="inlineStr">
        <is>
          <t>Quarter | Index Numbers | 2020Q1</t>
        </is>
      </c>
      <c r="XR3" s="1" t="inlineStr">
        <is>
          <t>Quarter | Index Numbers | 2020Q2</t>
        </is>
      </c>
      <c r="XS3" s="1" t="inlineStr">
        <is>
          <t>Quarter | Index Numbers | 2020Q3</t>
        </is>
      </c>
      <c r="XT3" s="1" t="inlineStr">
        <is>
          <t>Quarter | Index Numbers | 2020Q4</t>
        </is>
      </c>
      <c r="XU3" s="1" t="inlineStr">
        <is>
          <t>Quarter | Index Numbers | 2021Q1</t>
        </is>
      </c>
      <c r="XV3" s="1" t="inlineStr">
        <is>
          <t>Quarter | Index Numbers | 2021Q2</t>
        </is>
      </c>
      <c r="XW3" s="1" t="inlineStr">
        <is>
          <t>Quarter | Index Numbers | 2021Q3</t>
        </is>
      </c>
      <c r="XX3" s="1" t="inlineStr">
        <is>
          <t>Quarter | Index Numbers | 2021Q4</t>
        </is>
      </c>
      <c r="XY3" s="1" t="inlineStr">
        <is>
          <t>Quarter | Index Numbers | 2022Q1</t>
        </is>
      </c>
      <c r="XZ3" s="1" t="inlineStr">
        <is>
          <t>Quarter | Index Numbers | 2022Q2</t>
        </is>
      </c>
      <c r="YA3" s="1" t="inlineStr">
        <is>
          <t>Quarter | Index Numbers | 2022Q3</t>
        </is>
      </c>
      <c r="YB3" s="1" t="inlineStr">
        <is>
          <t>Quarter | Index Numbers | 2022Q4</t>
        </is>
      </c>
      <c r="YC3" s="1" t="inlineStr">
        <is>
          <t>Quarter | Index Numbers | 2023Q1</t>
        </is>
      </c>
      <c r="YD3" s="1" t="inlineStr">
        <is>
          <t>Quarter | Index Numbers | 2023Q2</t>
        </is>
      </c>
      <c r="YE3" s="1" t="inlineStr">
        <is>
          <t>Quarter | Index Numbers | 2023Q3</t>
        </is>
      </c>
      <c r="YF3" s="1" t="inlineStr">
        <is>
          <t>Quarter | Index Numbers | 2023Q4</t>
        </is>
      </c>
      <c r="YG3" s="1" t="inlineStr">
        <is>
          <t>Quarter | Index Numbers | 2024Q1</t>
        </is>
      </c>
      <c r="YH3" s="1" t="inlineStr">
        <is>
          <t>Quarter | Index Numbers | 2024Q2</t>
        </is>
      </c>
      <c r="YI3" s="1" t="inlineStr">
        <is>
          <t>Quarter | Index Numbers | 2024Q3</t>
        </is>
      </c>
      <c r="YJ3" s="1" t="inlineStr">
        <is>
          <t>Quarter | Index Numbers | 2024Q4</t>
        </is>
      </c>
      <c r="YK3" s="1" t="inlineStr">
        <is>
          <t>Quarter | Index Numbers | 2025Q1</t>
        </is>
      </c>
      <c r="YL3" s="1" t="inlineStr">
        <is>
          <t>Quarter | Index Numbers | 2025Q2</t>
        </is>
      </c>
      <c r="YM3" s="1" t="inlineStr">
        <is>
          <t>Quarter | Index Numbers | 2025Q3</t>
        </is>
      </c>
      <c r="YN3" s="1" t="inlineStr">
        <is>
          <t>Quarter | Index Numbers | 2025Q4</t>
        </is>
      </c>
      <c r="YO3" s="1" t="inlineStr">
        <is>
          <t>Quarter | Index Numbers | 2026Q1</t>
        </is>
      </c>
      <c r="YP3" s="1" t="inlineStr">
        <is>
          <t>Quarter | Index Numbers | 2026Q2</t>
        </is>
      </c>
      <c r="YQ3" s="1" t="inlineStr">
        <is>
          <t>Quarter | Percentage Change from Previous Period | 1948Q4</t>
        </is>
      </c>
      <c r="YR3" s="1" t="inlineStr">
        <is>
          <t>Quarter | Percentage Change from Previous Period | 1949Q1</t>
        </is>
      </c>
      <c r="YS3" s="1" t="inlineStr">
        <is>
          <t>Quarter | Percentage Change from Previous Period | 1949Q2</t>
        </is>
      </c>
      <c r="YT3" s="1" t="inlineStr">
        <is>
          <t>Quarter | Percentage Change from Previous Period | 1949Q3</t>
        </is>
      </c>
      <c r="YU3" s="1" t="inlineStr">
        <is>
          <t>Quarter | Percentage Change from Previous Period | 1949Q4</t>
        </is>
      </c>
      <c r="YV3" s="1" t="inlineStr">
        <is>
          <t>Quarter | Percentage Change from Previous Period | 1950Q1</t>
        </is>
      </c>
      <c r="YW3" s="1" t="inlineStr">
        <is>
          <t>Quarter | Percentage Change from Previous Period | 1950Q2</t>
        </is>
      </c>
      <c r="YX3" s="1" t="inlineStr">
        <is>
          <t>Quarter | Percentage Change from Previous Period | 1950Q3</t>
        </is>
      </c>
      <c r="YY3" s="1" t="inlineStr">
        <is>
          <t>Quarter | Percentage Change from Previous Period | 1950Q4</t>
        </is>
      </c>
      <c r="YZ3" s="1" t="inlineStr">
        <is>
          <t>Quarter | Percentage Change from Previous Period | 1951Q1</t>
        </is>
      </c>
      <c r="ZA3" s="1" t="inlineStr">
        <is>
          <t>Quarter | Percentage Change from Previous Period | 1951Q2</t>
        </is>
      </c>
      <c r="ZB3" s="1" t="inlineStr">
        <is>
          <t>Quarter | Percentage Change from Previous Period | 1951Q3</t>
        </is>
      </c>
      <c r="ZC3" s="1" t="inlineStr">
        <is>
          <t>Quarter | Percentage Change from Previous Period | 1951Q4</t>
        </is>
      </c>
      <c r="ZD3" s="1" t="inlineStr">
        <is>
          <t>Quarter | Percentage Change from Previous Period | 1952Q1</t>
        </is>
      </c>
      <c r="ZE3" s="1" t="inlineStr">
        <is>
          <t>Quarter | Percentage Change from Previous Period | 1952Q2</t>
        </is>
      </c>
      <c r="ZF3" s="1" t="inlineStr">
        <is>
          <t>Quarter | Percentage Change from Previous Period | 1952Q3</t>
        </is>
      </c>
      <c r="ZG3" s="1" t="inlineStr">
        <is>
          <t>Quarter | Percentage Change from Previous Period | 1952Q4</t>
        </is>
      </c>
      <c r="ZH3" s="1" t="inlineStr">
        <is>
          <t>Quarter | Percentage Change from Previous Period | 1953Q1</t>
        </is>
      </c>
      <c r="ZI3" s="1" t="inlineStr">
        <is>
          <t>Quarter | Percentage Change from Previous Period | 1953Q2</t>
        </is>
      </c>
      <c r="ZJ3" s="1" t="inlineStr">
        <is>
          <t>Quarter | Percentage Change from Previous Period | 1953Q3</t>
        </is>
      </c>
      <c r="ZK3" s="1" t="inlineStr">
        <is>
          <t>Quarter | Percentage Change from Previous Period | 1953Q4</t>
        </is>
      </c>
      <c r="ZL3" s="1" t="inlineStr">
        <is>
          <t>Quarter | Percentage Change from Previous Period | 1954Q1</t>
        </is>
      </c>
      <c r="ZM3" s="1" t="inlineStr">
        <is>
          <t>Quarter | Percentage Change from Previous Period | 1954Q2</t>
        </is>
      </c>
      <c r="ZN3" s="1" t="inlineStr">
        <is>
          <t>Quarter | Percentage Change from Previous Period | 1954Q3</t>
        </is>
      </c>
      <c r="ZO3" s="1" t="inlineStr">
        <is>
          <t>Quarter | Percentage Change from Previous Period | 1954Q4</t>
        </is>
      </c>
      <c r="ZP3" s="1" t="inlineStr">
        <is>
          <t>Quarter | Percentage Change from Previous Period | 1955Q1</t>
        </is>
      </c>
      <c r="ZQ3" s="1" t="inlineStr">
        <is>
          <t>Quarter | Percentage Change from Previous Period | 1955Q2</t>
        </is>
      </c>
      <c r="ZR3" s="1" t="inlineStr">
        <is>
          <t>Quarter | Percentage Change from Previous Period | 1955Q3</t>
        </is>
      </c>
      <c r="ZS3" s="1" t="inlineStr">
        <is>
          <t>Quarter | Percentage Change from Previous Period | 1955Q4</t>
        </is>
      </c>
      <c r="ZT3" s="1" t="inlineStr">
        <is>
          <t>Quarter | Percentage Change from Previous Period | 1956Q1</t>
        </is>
      </c>
      <c r="ZU3" s="1" t="inlineStr">
        <is>
          <t>Quarter | Percentage Change from Previous Period | 1956Q2</t>
        </is>
      </c>
      <c r="ZV3" s="1" t="inlineStr">
        <is>
          <t>Quarter | Percentage Change from Previous Period | 1956Q3</t>
        </is>
      </c>
      <c r="ZW3" s="1" t="inlineStr">
        <is>
          <t>Quarter | Percentage Change from Previous Period | 1956Q4</t>
        </is>
      </c>
      <c r="ZX3" s="1" t="inlineStr">
        <is>
          <t>Quarter | Percentage Change from Previous Period | 1957Q1</t>
        </is>
      </c>
      <c r="ZY3" s="1" t="inlineStr">
        <is>
          <t>Quarter | Percentage Change from Previous Period | 1957Q2</t>
        </is>
      </c>
      <c r="ZZ3" s="1" t="inlineStr">
        <is>
          <t>Quarter | Percentage Change from Previous Period | 1957Q3</t>
        </is>
      </c>
      <c r="AAA3" s="1" t="inlineStr">
        <is>
          <t>Quarter | Percentage Change from Previous Period | 1957Q4</t>
        </is>
      </c>
      <c r="AAB3" s="1" t="inlineStr">
        <is>
          <t>Quarter | Percentage Change from Previous Period | 1958Q1</t>
        </is>
      </c>
      <c r="AAC3" s="1" t="inlineStr">
        <is>
          <t>Quarter | Percentage Change from Previous Period | 1958Q2</t>
        </is>
      </c>
      <c r="AAD3" s="1" t="inlineStr">
        <is>
          <t>Quarter | Percentage Change from Previous Period | 1958Q3</t>
        </is>
      </c>
      <c r="AAE3" s="1" t="inlineStr">
        <is>
          <t>Quarter | Percentage Change from Previous Period | 1958Q4</t>
        </is>
      </c>
      <c r="AAF3" s="1" t="inlineStr">
        <is>
          <t>Quarter | Percentage Change from Previous Period | 1959Q1</t>
        </is>
      </c>
      <c r="AAG3" s="1" t="inlineStr">
        <is>
          <t>Quarter | Percentage Change from Previous Period | 1959Q2</t>
        </is>
      </c>
      <c r="AAH3" s="1" t="inlineStr">
        <is>
          <t>Quarter | Percentage Change from Previous Period | 1959Q3</t>
        </is>
      </c>
      <c r="AAI3" s="1" t="inlineStr">
        <is>
          <t>Quarter | Percentage Change from Previous Period | 1959Q4</t>
        </is>
      </c>
      <c r="AAJ3" s="1" t="inlineStr">
        <is>
          <t>Quarter | Percentage Change from Previous Period | 1960Q1</t>
        </is>
      </c>
      <c r="AAK3" s="1" t="inlineStr">
        <is>
          <t>Quarter | Percentage Change from Previous Period | 1960Q2</t>
        </is>
      </c>
      <c r="AAL3" s="1" t="inlineStr">
        <is>
          <t>Quarter | Percentage Change from Previous Period | 1960Q3</t>
        </is>
      </c>
      <c r="AAM3" s="1" t="inlineStr">
        <is>
          <t>Quarter | Percentage Change from Previous Period | 1960Q4</t>
        </is>
      </c>
      <c r="AAN3" s="1" t="inlineStr">
        <is>
          <t>Quarter | Percentage Change from Previous Period | 1961Q1</t>
        </is>
      </c>
      <c r="AAO3" s="1" t="inlineStr">
        <is>
          <t>Quarter | Percentage Change from Previous Period | 1961Q2</t>
        </is>
      </c>
      <c r="AAP3" s="1" t="inlineStr">
        <is>
          <t>Quarter | Percentage Change from Previous Period | 1961Q3</t>
        </is>
      </c>
      <c r="AAQ3" s="1" t="inlineStr">
        <is>
          <t>Quarter | Percentage Change from Previous Period | 1961Q4</t>
        </is>
      </c>
      <c r="AAR3" s="1" t="inlineStr">
        <is>
          <t>Quarter | Percentage Change from Previous Period | 1962Q1</t>
        </is>
      </c>
      <c r="AAS3" s="1" t="inlineStr">
        <is>
          <t>Quarter | Percentage Change from Previous Period | 1962Q2</t>
        </is>
      </c>
      <c r="AAT3" s="1" t="inlineStr">
        <is>
          <t>Quarter | Percentage Change from Previous Period | 1962Q3</t>
        </is>
      </c>
      <c r="AAU3" s="1" t="inlineStr">
        <is>
          <t>Quarter | Percentage Change from Previous Period | 1962Q4</t>
        </is>
      </c>
      <c r="AAV3" s="1" t="inlineStr">
        <is>
          <t>Quarter | Percentage Change from Previous Period | 1963Q1</t>
        </is>
      </c>
      <c r="AAW3" s="1" t="inlineStr">
        <is>
          <t>Quarter | Percentage Change from Previous Period | 1963Q2</t>
        </is>
      </c>
      <c r="AAX3" s="1" t="inlineStr">
        <is>
          <t>Quarter | Percentage Change from Previous Period | 1963Q3</t>
        </is>
      </c>
      <c r="AAY3" s="1" t="inlineStr">
        <is>
          <t>Quarter | Percentage Change from Previous Period | 1963Q4</t>
        </is>
      </c>
      <c r="AAZ3" s="1" t="inlineStr">
        <is>
          <t>Quarter | Percentage Change from Previous Period | 1964Q1</t>
        </is>
      </c>
      <c r="ABA3" s="1" t="inlineStr">
        <is>
          <t>Quarter | Percentage Change from Previous Period | 1964Q2</t>
        </is>
      </c>
      <c r="ABB3" s="1" t="inlineStr">
        <is>
          <t>Quarter | Percentage Change from Previous Period | 1964Q3</t>
        </is>
      </c>
      <c r="ABC3" s="1" t="inlineStr">
        <is>
          <t>Quarter | Percentage Change from Previous Period | 1964Q4</t>
        </is>
      </c>
      <c r="ABD3" s="1" t="inlineStr">
        <is>
          <t>Quarter | Percentage Change from Previous Period | 1965Q1</t>
        </is>
      </c>
      <c r="ABE3" s="1" t="inlineStr">
        <is>
          <t>Quarter | Percentage Change from Previous Period | 1965Q2</t>
        </is>
      </c>
      <c r="ABF3" s="1" t="inlineStr">
        <is>
          <t>Quarter | Percentage Change from Previous Period | 1965Q3</t>
        </is>
      </c>
      <c r="ABG3" s="1" t="inlineStr">
        <is>
          <t>Quarter | Percentage Change from Previous Period | 1965Q4</t>
        </is>
      </c>
      <c r="ABH3" s="1" t="inlineStr">
        <is>
          <t>Quarter | Percentage Change from Previous Period | 1966Q1</t>
        </is>
      </c>
      <c r="ABI3" s="1" t="inlineStr">
        <is>
          <t>Quarter | Percentage Change from Previous Period | 1966Q2</t>
        </is>
      </c>
      <c r="ABJ3" s="1" t="inlineStr">
        <is>
          <t>Quarter | Percentage Change from Previous Period | 1966Q3</t>
        </is>
      </c>
      <c r="ABK3" s="1" t="inlineStr">
        <is>
          <t>Quarter | Percentage Change from Previous Period | 1966Q4</t>
        </is>
      </c>
      <c r="ABL3" s="1" t="inlineStr">
        <is>
          <t>Quarter | Percentage Change from Previous Period | 1967Q1</t>
        </is>
      </c>
      <c r="ABM3" s="1" t="inlineStr">
        <is>
          <t>Quarter | Percentage Change from Previous Period | 1967Q2</t>
        </is>
      </c>
      <c r="ABN3" s="1" t="inlineStr">
        <is>
          <t>Quarter | Percentage Change from Previous Period | 1967Q3</t>
        </is>
      </c>
      <c r="ABO3" s="1" t="inlineStr">
        <is>
          <t>Quarter | Percentage Change from Previous Period | 1967Q4</t>
        </is>
      </c>
      <c r="ABP3" s="1" t="inlineStr">
        <is>
          <t>Quarter | Percentage Change from Previous Period | 1968Q1</t>
        </is>
      </c>
      <c r="ABQ3" s="1" t="inlineStr">
        <is>
          <t>Quarter | Percentage Change from Previous Period | 1968Q2</t>
        </is>
      </c>
      <c r="ABR3" s="1" t="inlineStr">
        <is>
          <t>Quarter | Percentage Change from Previous Period | 1968Q3</t>
        </is>
      </c>
      <c r="ABS3" s="1" t="inlineStr">
        <is>
          <t>Quarter | Percentage Change from Previous Period | 1968Q4</t>
        </is>
      </c>
      <c r="ABT3" s="1" t="inlineStr">
        <is>
          <t>Quarter | Percentage Change from Previous Period | 1969Q1</t>
        </is>
      </c>
      <c r="ABU3" s="1" t="inlineStr">
        <is>
          <t>Quarter | Percentage Change from Previous Period | 1969Q2</t>
        </is>
      </c>
      <c r="ABV3" s="1" t="inlineStr">
        <is>
          <t>Quarter | Percentage Change from Previous Period | 1969Q3</t>
        </is>
      </c>
      <c r="ABW3" s="1" t="inlineStr">
        <is>
          <t>Quarter | Percentage Change from Previous Period | 1969Q4</t>
        </is>
      </c>
      <c r="ABX3" s="1" t="inlineStr">
        <is>
          <t>Quarter | Percentage Change from Previous Period | 1970Q1</t>
        </is>
      </c>
      <c r="ABY3" s="1" t="inlineStr">
        <is>
          <t>Quarter | Percentage Change from Previous Period | 1970Q2</t>
        </is>
      </c>
      <c r="ABZ3" s="1" t="inlineStr">
        <is>
          <t>Quarter | Percentage Change from Previous Period | 1970Q3</t>
        </is>
      </c>
      <c r="ACA3" s="1" t="inlineStr">
        <is>
          <t>Quarter | Percentage Change from Previous Period | 1970Q4</t>
        </is>
      </c>
      <c r="ACB3" s="1" t="inlineStr">
        <is>
          <t>Quarter | Percentage Change from Previous Period | 1971Q1</t>
        </is>
      </c>
      <c r="ACC3" s="1" t="inlineStr">
        <is>
          <t>Quarter | Percentage Change from Previous Period | 1971Q2</t>
        </is>
      </c>
      <c r="ACD3" s="1" t="inlineStr">
        <is>
          <t>Quarter | Percentage Change from Previous Period | 1971Q3</t>
        </is>
      </c>
      <c r="ACE3" s="1" t="inlineStr">
        <is>
          <t>Quarter | Percentage Change from Previous Period | 1971Q4</t>
        </is>
      </c>
      <c r="ACF3" s="1" t="inlineStr">
        <is>
          <t>Quarter | Percentage Change from Previous Period | 1972Q1</t>
        </is>
      </c>
      <c r="ACG3" s="1" t="inlineStr">
        <is>
          <t>Quarter | Percentage Change from Previous Period | 1972Q2</t>
        </is>
      </c>
      <c r="ACH3" s="1" t="inlineStr">
        <is>
          <t>Quarter | Percentage Change from Previous Period | 1972Q3</t>
        </is>
      </c>
      <c r="ACI3" s="1" t="inlineStr">
        <is>
          <t>Quarter | Percentage Change from Previous Period | 1972Q4</t>
        </is>
      </c>
      <c r="ACJ3" s="1" t="inlineStr">
        <is>
          <t>Quarter | Percentage Change from Previous Period | 1973Q1</t>
        </is>
      </c>
      <c r="ACK3" s="1" t="inlineStr">
        <is>
          <t>Quarter | Percentage Change from Previous Period | 1973Q2</t>
        </is>
      </c>
      <c r="ACL3" s="1" t="inlineStr">
        <is>
          <t>Quarter | Percentage Change from Previous Period | 1973Q3</t>
        </is>
      </c>
      <c r="ACM3" s="1" t="inlineStr">
        <is>
          <t>Quarter | Percentage Change from Previous Period | 1973Q4</t>
        </is>
      </c>
      <c r="ACN3" s="1" t="inlineStr">
        <is>
          <t>Quarter | Percentage Change from Previous Period | 1974Q1</t>
        </is>
      </c>
      <c r="ACO3" s="1" t="inlineStr">
        <is>
          <t>Quarter | Percentage Change from Previous Period | 1974Q2</t>
        </is>
      </c>
      <c r="ACP3" s="1" t="inlineStr">
        <is>
          <t>Quarter | Percentage Change from Previous Period | 1974Q3</t>
        </is>
      </c>
      <c r="ACQ3" s="1" t="inlineStr">
        <is>
          <t>Quarter | Percentage Change from Previous Period | 1974Q4</t>
        </is>
      </c>
      <c r="ACR3" s="1" t="inlineStr">
        <is>
          <t>Quarter | Percentage Change from Previous Period | 1975Q1</t>
        </is>
      </c>
      <c r="ACS3" s="1" t="inlineStr">
        <is>
          <t>Quarter | Percentage Change from Previous Period | 1975Q2</t>
        </is>
      </c>
      <c r="ACT3" s="1" t="inlineStr">
        <is>
          <t>Quarter | Percentage Change from Previous Period | 1975Q3</t>
        </is>
      </c>
      <c r="ACU3" s="1" t="inlineStr">
        <is>
          <t>Quarter | Percentage Change from Previous Period | 1975Q4</t>
        </is>
      </c>
      <c r="ACV3" s="1" t="inlineStr">
        <is>
          <t>Quarter | Percentage Change from Previous Period | 1976Q1</t>
        </is>
      </c>
      <c r="ACW3" s="1" t="inlineStr">
        <is>
          <t>Quarter | Percentage Change from Previous Period | 1976Q2</t>
        </is>
      </c>
      <c r="ACX3" s="1" t="inlineStr">
        <is>
          <t>Quarter | Percentage Change from Previous Period | 1976Q3</t>
        </is>
      </c>
      <c r="ACY3" s="1" t="inlineStr">
        <is>
          <t>Quarter | Percentage Change from Previous Period | 1976Q4</t>
        </is>
      </c>
      <c r="ACZ3" s="1" t="inlineStr">
        <is>
          <t>Quarter | Percentage Change from Previous Period | 1977Q1</t>
        </is>
      </c>
      <c r="ADA3" s="1" t="inlineStr">
        <is>
          <t>Quarter | Percentage Change from Previous Period | 1977Q2</t>
        </is>
      </c>
      <c r="ADB3" s="1" t="inlineStr">
        <is>
          <t>Quarter | Percentage Change from Previous Period | 1977Q3</t>
        </is>
      </c>
      <c r="ADC3" s="1" t="inlineStr">
        <is>
          <t>Quarter | Percentage Change from Previous Period | 1977Q4</t>
        </is>
      </c>
      <c r="ADD3" s="1" t="inlineStr">
        <is>
          <t>Quarter | Percentage Change from Previous Period | 1978Q1</t>
        </is>
      </c>
      <c r="ADE3" s="1" t="inlineStr">
        <is>
          <t>Quarter | Percentage Change from Previous Period | 1978Q2</t>
        </is>
      </c>
      <c r="ADF3" s="1" t="inlineStr">
        <is>
          <t>Quarter | Percentage Change from Previous Period | 1978Q3</t>
        </is>
      </c>
      <c r="ADG3" s="1" t="inlineStr">
        <is>
          <t>Quarter | Percentage Change from Previous Period | 1978Q4</t>
        </is>
      </c>
      <c r="ADH3" s="1" t="inlineStr">
        <is>
          <t>Quarter | Percentage Change from Previous Period | 1979Q1</t>
        </is>
      </c>
      <c r="ADI3" s="1" t="inlineStr">
        <is>
          <t>Quarter | Percentage Change from Previous Period | 1979Q2</t>
        </is>
      </c>
      <c r="ADJ3" s="1" t="inlineStr">
        <is>
          <t>Quarter | Percentage Change from Previous Period | 1979Q3</t>
        </is>
      </c>
      <c r="ADK3" s="1" t="inlineStr">
        <is>
          <t>Quarter | Percentage Change from Previous Period | 1979Q4</t>
        </is>
      </c>
      <c r="ADL3" s="1" t="inlineStr">
        <is>
          <t>Quarter | Percentage Change from Previous Period | 1980Q1</t>
        </is>
      </c>
      <c r="ADM3" s="1" t="inlineStr">
        <is>
          <t>Quarter | Percentage Change from Previous Period | 1980Q2</t>
        </is>
      </c>
      <c r="ADN3" s="1" t="inlineStr">
        <is>
          <t>Quarter | Percentage Change from Previous Period | 1980Q3</t>
        </is>
      </c>
      <c r="ADO3" s="1" t="inlineStr">
        <is>
          <t>Quarter | Percentage Change from Previous Period | 1980Q4</t>
        </is>
      </c>
      <c r="ADP3" s="1" t="inlineStr">
        <is>
          <t>Quarter | Percentage Change from Previous Period | 1981Q1</t>
        </is>
      </c>
      <c r="ADQ3" s="1" t="inlineStr">
        <is>
          <t>Quarter | Percentage Change from Previous Period | 1981Q2</t>
        </is>
      </c>
      <c r="ADR3" s="1" t="inlineStr">
        <is>
          <t>Quarter | Percentage Change from Previous Period | 1981Q3</t>
        </is>
      </c>
      <c r="ADS3" s="1" t="inlineStr">
        <is>
          <t>Quarter | Percentage Change from Previous Period | 1981Q4</t>
        </is>
      </c>
      <c r="ADT3" s="1" t="inlineStr">
        <is>
          <t>Quarter | Percentage Change from Previous Period | 1982Q1</t>
        </is>
      </c>
      <c r="ADU3" s="1" t="inlineStr">
        <is>
          <t>Quarter | Percentage Change from Previous Period | 1982Q2</t>
        </is>
      </c>
      <c r="ADV3" s="1" t="inlineStr">
        <is>
          <t>Quarter | Percentage Change from Previous Period | 1982Q3</t>
        </is>
      </c>
      <c r="ADW3" s="1" t="inlineStr">
        <is>
          <t>Quarter | Percentage Change from Previous Period | 1982Q4</t>
        </is>
      </c>
      <c r="ADX3" s="1" t="inlineStr">
        <is>
          <t>Quarter | Percentage Change from Previous Period | 1983Q1</t>
        </is>
      </c>
      <c r="ADY3" s="1" t="inlineStr">
        <is>
          <t>Quarter | Percentage Change from Previous Period | 1983Q2</t>
        </is>
      </c>
      <c r="ADZ3" s="1" t="inlineStr">
        <is>
          <t>Quarter | Percentage Change from Previous Period | 1983Q3</t>
        </is>
      </c>
      <c r="AEA3" s="1" t="inlineStr">
        <is>
          <t>Quarter | Percentage Change from Previous Period | 1983Q4</t>
        </is>
      </c>
      <c r="AEB3" s="1" t="inlineStr">
        <is>
          <t>Quarter | Percentage Change from Previous Period | 1984Q1</t>
        </is>
      </c>
      <c r="AEC3" s="1" t="inlineStr">
        <is>
          <t>Quarter | Percentage Change from Previous Period | 1984Q2</t>
        </is>
      </c>
      <c r="AED3" s="1" t="inlineStr">
        <is>
          <t>Quarter | Percentage Change from Previous Period | 1984Q3</t>
        </is>
      </c>
      <c r="AEE3" s="1" t="inlineStr">
        <is>
          <t>Quarter | Percentage Change from Previous Period | 1984Q4</t>
        </is>
      </c>
      <c r="AEF3" s="1" t="inlineStr">
        <is>
          <t>Quarter | Percentage Change from Previous Period | 1985Q1</t>
        </is>
      </c>
      <c r="AEG3" s="1" t="inlineStr">
        <is>
          <t>Quarter | Percentage Change from Previous Period | 1985Q2</t>
        </is>
      </c>
      <c r="AEH3" s="1" t="inlineStr">
        <is>
          <t>Quarter | Percentage Change from Previous Period | 1985Q3</t>
        </is>
      </c>
      <c r="AEI3" s="1" t="inlineStr">
        <is>
          <t>Quarter | Percentage Change from Previous Period | 1985Q4</t>
        </is>
      </c>
      <c r="AEJ3" s="1" t="inlineStr">
        <is>
          <t>Quarter | Percentage Change from Previous Period | 1986Q1</t>
        </is>
      </c>
      <c r="AEK3" s="1" t="inlineStr">
        <is>
          <t>Quarter | Percentage Change from Previous Period | 1986Q2</t>
        </is>
      </c>
      <c r="AEL3" s="1" t="inlineStr">
        <is>
          <t>Quarter | Percentage Change from Previous Period | 1986Q3</t>
        </is>
      </c>
      <c r="AEM3" s="1" t="inlineStr">
        <is>
          <t>Quarter | Percentage Change from Previous Period | 1986Q4</t>
        </is>
      </c>
      <c r="AEN3" s="1" t="inlineStr">
        <is>
          <t>Quarter | Percentage Change from Previous Period | 1987Q1</t>
        </is>
      </c>
      <c r="AEO3" s="1" t="inlineStr">
        <is>
          <t>Quarter | Percentage Change from Previous Period | 1987Q2</t>
        </is>
      </c>
      <c r="AEP3" s="1" t="inlineStr">
        <is>
          <t>Quarter | Percentage Change from Previous Period | 1987Q3</t>
        </is>
      </c>
      <c r="AEQ3" s="1" t="inlineStr">
        <is>
          <t>Quarter | Percentage Change from Previous Period | 1987Q4</t>
        </is>
      </c>
      <c r="AER3" s="1" t="inlineStr">
        <is>
          <t>Quarter | Percentage Change from Previous Period | 1988Q1</t>
        </is>
      </c>
      <c r="AES3" s="1" t="inlineStr">
        <is>
          <t>Quarter | Percentage Change from Previous Period | 1988Q2</t>
        </is>
      </c>
      <c r="AET3" s="1" t="inlineStr">
        <is>
          <t>Quarter | Percentage Change from Previous Period | 1988Q3</t>
        </is>
      </c>
      <c r="AEU3" s="1" t="inlineStr">
        <is>
          <t>Quarter | Percentage Change from Previous Period | 1988Q4</t>
        </is>
      </c>
      <c r="AEV3" s="1" t="inlineStr">
        <is>
          <t>Quarter | Percentage Change from Previous Period | 1989Q1</t>
        </is>
      </c>
      <c r="AEW3" s="1" t="inlineStr">
        <is>
          <t>Quarter | Percentage Change from Previous Period | 1989Q2</t>
        </is>
      </c>
      <c r="AEX3" s="1" t="inlineStr">
        <is>
          <t>Quarter | Percentage Change from Previous Period | 1989Q3</t>
        </is>
      </c>
      <c r="AEY3" s="1" t="inlineStr">
        <is>
          <t>Quarter | Percentage Change from Previous Period | 1989Q4</t>
        </is>
      </c>
      <c r="AEZ3" s="1" t="inlineStr">
        <is>
          <t>Quarter | Percentage Change from Previous Period | 1990Q1</t>
        </is>
      </c>
      <c r="AFA3" s="1" t="inlineStr">
        <is>
          <t>Quarter | Percentage Change from Previous Period | 1990Q2</t>
        </is>
      </c>
      <c r="AFB3" s="1" t="inlineStr">
        <is>
          <t>Quarter | Percentage Change from Previous Period | 1990Q3</t>
        </is>
      </c>
      <c r="AFC3" s="1" t="inlineStr">
        <is>
          <t>Quarter | Percentage Change from Previous Period | 1990Q4</t>
        </is>
      </c>
      <c r="AFD3" s="1" t="inlineStr">
        <is>
          <t>Quarter | Percentage Change from Previous Period | 1991Q1</t>
        </is>
      </c>
      <c r="AFE3" s="1" t="inlineStr">
        <is>
          <t>Quarter | Percentage Change from Previous Period | 1991Q2</t>
        </is>
      </c>
      <c r="AFF3" s="1" t="inlineStr">
        <is>
          <t>Quarter | Percentage Change from Previous Period | 1991Q3</t>
        </is>
      </c>
      <c r="AFG3" s="1" t="inlineStr">
        <is>
          <t>Quarter | Percentage Change from Previous Period | 1991Q4</t>
        </is>
      </c>
      <c r="AFH3" s="1" t="inlineStr">
        <is>
          <t>Quarter | Percentage Change from Previous Period | 1992Q1</t>
        </is>
      </c>
      <c r="AFI3" s="1" t="inlineStr">
        <is>
          <t>Quarter | Percentage Change from Previous Period | 1992Q2</t>
        </is>
      </c>
      <c r="AFJ3" s="1" t="inlineStr">
        <is>
          <t>Quarter | Percentage Change from Previous Period | 1992Q3</t>
        </is>
      </c>
      <c r="AFK3" s="1" t="inlineStr">
        <is>
          <t>Quarter | Percentage Change from Previous Period | 1992Q4</t>
        </is>
      </c>
      <c r="AFL3" s="1" t="inlineStr">
        <is>
          <t>Quarter | Percentage Change from Previous Period | 1993Q1</t>
        </is>
      </c>
      <c r="AFM3" s="1" t="inlineStr">
        <is>
          <t>Quarter | Percentage Change from Previous Period | 1993Q2</t>
        </is>
      </c>
      <c r="AFN3" s="1" t="inlineStr">
        <is>
          <t>Quarter | Percentage Change from Previous Period | 1993Q3</t>
        </is>
      </c>
      <c r="AFO3" s="1" t="inlineStr">
        <is>
          <t>Quarter | Percentage Change from Previous Period | 1993Q4</t>
        </is>
      </c>
      <c r="AFP3" s="1" t="inlineStr">
        <is>
          <t>Quarter | Percentage Change from Previous Period | 1994Q1</t>
        </is>
      </c>
      <c r="AFQ3" s="1" t="inlineStr">
        <is>
          <t>Quarter | Percentage Change from Previous Period | 1994Q2</t>
        </is>
      </c>
      <c r="AFR3" s="1" t="inlineStr">
        <is>
          <t>Quarter | Percentage Change from Previous Period | 1994Q3</t>
        </is>
      </c>
      <c r="AFS3" s="1" t="inlineStr">
        <is>
          <t>Quarter | Percentage Change from Previous Period | 1994Q4</t>
        </is>
      </c>
      <c r="AFT3" s="1" t="inlineStr">
        <is>
          <t>Quarter | Percentage Change from Previous Period | 1995Q1</t>
        </is>
      </c>
      <c r="AFU3" s="1" t="inlineStr">
        <is>
          <t>Quarter | Percentage Change from Previous Period | 1995Q2</t>
        </is>
      </c>
      <c r="AFV3" s="1" t="inlineStr">
        <is>
          <t>Quarter | Percentage Change from Previous Period | 1995Q3</t>
        </is>
      </c>
      <c r="AFW3" s="1" t="inlineStr">
        <is>
          <t>Quarter | Percentage Change from Previous Period | 1995Q4</t>
        </is>
      </c>
      <c r="AFX3" s="1" t="inlineStr">
        <is>
          <t>Quarter | Percentage Change from Previous Period | 1996Q1</t>
        </is>
      </c>
      <c r="AFY3" s="1" t="inlineStr">
        <is>
          <t>Quarter | Percentage Change from Previous Period | 1996Q2</t>
        </is>
      </c>
      <c r="AFZ3" s="1" t="inlineStr">
        <is>
          <t>Quarter | Percentage Change from Previous Period | 1996Q3</t>
        </is>
      </c>
      <c r="AGA3" s="1" t="inlineStr">
        <is>
          <t>Quarter | Percentage Change from Previous Period | 1996Q4</t>
        </is>
      </c>
      <c r="AGB3" s="1" t="inlineStr">
        <is>
          <t>Quarter | Percentage Change from Previous Period | 1997Q1</t>
        </is>
      </c>
      <c r="AGC3" s="1" t="inlineStr">
        <is>
          <t>Quarter | Percentage Change from Previous Period | 1997Q2</t>
        </is>
      </c>
      <c r="AGD3" s="1" t="inlineStr">
        <is>
          <t>Quarter | Percentage Change from Previous Period | 1997Q3</t>
        </is>
      </c>
      <c r="AGE3" s="1" t="inlineStr">
        <is>
          <t>Quarter | Percentage Change from Previous Period | 1997Q4</t>
        </is>
      </c>
      <c r="AGF3" s="1" t="inlineStr">
        <is>
          <t>Quarter | Percentage Change from Previous Period | 1998Q1</t>
        </is>
      </c>
      <c r="AGG3" s="1" t="inlineStr">
        <is>
          <t>Quarter | Percentage Change from Previous Period | 1998Q2</t>
        </is>
      </c>
      <c r="AGH3" s="1" t="inlineStr">
        <is>
          <t>Quarter | Percentage Change from Previous Period | 1998Q3</t>
        </is>
      </c>
      <c r="AGI3" s="1" t="inlineStr">
        <is>
          <t>Quarter | Percentage Change from Previous Period | 1998Q4</t>
        </is>
      </c>
      <c r="AGJ3" s="1" t="inlineStr">
        <is>
          <t>Quarter | Percentage Change from Previous Period | 1999Q1</t>
        </is>
      </c>
      <c r="AGK3" s="1" t="inlineStr">
        <is>
          <t>Quarter | Percentage Change from Previous Period | 1999Q2</t>
        </is>
      </c>
      <c r="AGL3" s="1" t="inlineStr">
        <is>
          <t>Quarter | Percentage Change from Previous Period | 1999Q3</t>
        </is>
      </c>
      <c r="AGM3" s="1" t="inlineStr">
        <is>
          <t>Quarter | Percentage Change from Previous Period | 1999Q4</t>
        </is>
      </c>
      <c r="AGN3" s="1" t="inlineStr">
        <is>
          <t>Quarter | Percentage Change from Previous Period | 2000Q1</t>
        </is>
      </c>
      <c r="AGO3" s="1" t="inlineStr">
        <is>
          <t>Quarter | Percentage Change from Previous Period | 2000Q2</t>
        </is>
      </c>
      <c r="AGP3" s="1" t="inlineStr">
        <is>
          <t>Quarter | Percentage Change from Previous Period | 2000Q3</t>
        </is>
      </c>
      <c r="AGQ3" s="1" t="inlineStr">
        <is>
          <t>Quarter | Percentage Change from Previous Period | 2000Q4</t>
        </is>
      </c>
      <c r="AGR3" s="1" t="inlineStr">
        <is>
          <t>Quarter | Percentage Change from Previous Period | 2001Q1</t>
        </is>
      </c>
      <c r="AGS3" s="1" t="inlineStr">
        <is>
          <t>Quarter | Percentage Change from Previous Period | 2001Q2</t>
        </is>
      </c>
      <c r="AGT3" s="1" t="inlineStr">
        <is>
          <t>Quarter | Percentage Change from Previous Period | 2001Q3</t>
        </is>
      </c>
      <c r="AGU3" s="1" t="inlineStr">
        <is>
          <t>Quarter | Percentage Change from Previous Period | 2001Q4</t>
        </is>
      </c>
      <c r="AGV3" s="1" t="inlineStr">
        <is>
          <t>Quarter | Percentage Change from Previous Period | 2002Q1</t>
        </is>
      </c>
      <c r="AGW3" s="1" t="inlineStr">
        <is>
          <t>Quarter | Percentage Change from Previous Period | 2002Q2</t>
        </is>
      </c>
      <c r="AGX3" s="1" t="inlineStr">
        <is>
          <t>Quarter | Percentage Change from Previous Period | 2002Q3</t>
        </is>
      </c>
      <c r="AGY3" s="1" t="inlineStr">
        <is>
          <t>Quarter | Percentage Change from Previous Period | 2002Q4</t>
        </is>
      </c>
      <c r="AGZ3" s="1" t="inlineStr">
        <is>
          <t>Quarter | Percentage Change from Previous Period | 2003Q1</t>
        </is>
      </c>
      <c r="AHA3" s="1" t="inlineStr">
        <is>
          <t>Quarter | Percentage Change from Previous Period | 2003Q2</t>
        </is>
      </c>
      <c r="AHB3" s="1" t="inlineStr">
        <is>
          <t>Quarter | Percentage Change from Previous Period | 2003Q3</t>
        </is>
      </c>
      <c r="AHC3" s="1" t="inlineStr">
        <is>
          <t>Quarter | Percentage Change from Previous Period | 2003Q4</t>
        </is>
      </c>
      <c r="AHD3" s="1" t="inlineStr">
        <is>
          <t>Quarter | Percentage Change from Previous Period | 2004Q1</t>
        </is>
      </c>
      <c r="AHE3" s="1" t="inlineStr">
        <is>
          <t>Quarter | Percentage Change from Previous Period | 2004Q2</t>
        </is>
      </c>
      <c r="AHF3" s="1" t="inlineStr">
        <is>
          <t>Quarter | Percentage Change from Previous Period | 2004Q3</t>
        </is>
      </c>
      <c r="AHG3" s="1" t="inlineStr">
        <is>
          <t>Quarter | Percentage Change from Previous Period | 2004Q4</t>
        </is>
      </c>
      <c r="AHH3" s="1" t="inlineStr">
        <is>
          <t>Quarter | Percentage Change from Previous Period | 2005Q1</t>
        </is>
      </c>
      <c r="AHI3" s="1" t="inlineStr">
        <is>
          <t>Quarter | Percentage Change from Previous Period | 2005Q2</t>
        </is>
      </c>
      <c r="AHJ3" s="1" t="inlineStr">
        <is>
          <t>Quarter | Percentage Change from Previous Period | 2005Q3</t>
        </is>
      </c>
      <c r="AHK3" s="1" t="inlineStr">
        <is>
          <t>Quarter | Percentage Change from Previous Period | 2005Q4</t>
        </is>
      </c>
      <c r="AHL3" s="1" t="inlineStr">
        <is>
          <t>Quarter | Percentage Change from Previous Period | 2006Q1</t>
        </is>
      </c>
      <c r="AHM3" s="1" t="inlineStr">
        <is>
          <t>Quarter | Percentage Change from Previous Period | 2006Q2</t>
        </is>
      </c>
      <c r="AHN3" s="1" t="inlineStr">
        <is>
          <t>Quarter | Percentage Change from Previous Period | 2006Q3</t>
        </is>
      </c>
      <c r="AHO3" s="1" t="inlineStr">
        <is>
          <t>Quarter | Percentage Change from Previous Period | 2006Q4</t>
        </is>
      </c>
      <c r="AHP3" s="1" t="inlineStr">
        <is>
          <t>Quarter | Percentage Change from Previous Period | 2007Q1</t>
        </is>
      </c>
      <c r="AHQ3" s="1" t="inlineStr">
        <is>
          <t>Quarter | Percentage Change from Previous Period | 2007Q2</t>
        </is>
      </c>
      <c r="AHR3" s="1" t="inlineStr">
        <is>
          <t>Quarter | Percentage Change from Previous Period | 2007Q3</t>
        </is>
      </c>
      <c r="AHS3" s="1" t="inlineStr">
        <is>
          <t>Quarter | Percentage Change from Previous Period | 2007Q4</t>
        </is>
      </c>
      <c r="AHT3" s="1" t="inlineStr">
        <is>
          <t>Quarter | Percentage Change from Previous Period | 2008Q1</t>
        </is>
      </c>
      <c r="AHU3" s="1" t="inlineStr">
        <is>
          <t>Quarter | Percentage Change from Previous Period | 2008Q2</t>
        </is>
      </c>
      <c r="AHV3" s="1" t="inlineStr">
        <is>
          <t>Quarter | Percentage Change from Previous Period | 2008Q3</t>
        </is>
      </c>
      <c r="AHW3" s="1" t="inlineStr">
        <is>
          <t>Quarter | Percentage Change from Previous Period | 2008Q4</t>
        </is>
      </c>
      <c r="AHX3" s="1" t="inlineStr">
        <is>
          <t>Quarter | Percentage Change from Previous Period | 2009Q1</t>
        </is>
      </c>
      <c r="AHY3" s="1" t="inlineStr">
        <is>
          <t>Quarter | Percentage Change from Previous Period | 2009Q2</t>
        </is>
      </c>
      <c r="AHZ3" s="1" t="inlineStr">
        <is>
          <t>Quarter | Percentage Change from Previous Period | 2009Q3</t>
        </is>
      </c>
      <c r="AIA3" s="1" t="inlineStr">
        <is>
          <t>Quarter | Percentage Change from Previous Period | 2009Q4</t>
        </is>
      </c>
      <c r="AIB3" s="1" t="inlineStr">
        <is>
          <t>Quarter | Percentage Change from Previous Period | 2010Q1</t>
        </is>
      </c>
      <c r="AIC3" s="1" t="inlineStr">
        <is>
          <t>Quarter | Percentage Change from Previous Period | 2010Q2</t>
        </is>
      </c>
      <c r="AID3" s="1" t="inlineStr">
        <is>
          <t>Quarter | Percentage Change from Previous Period | 2010Q3</t>
        </is>
      </c>
      <c r="AIE3" s="1" t="inlineStr">
        <is>
          <t>Quarter | Percentage Change from Previous Period | 2010Q4</t>
        </is>
      </c>
      <c r="AIF3" s="1" t="inlineStr">
        <is>
          <t>Quarter | Percentage Change from Previous Period | 2011Q1</t>
        </is>
      </c>
      <c r="AIG3" s="1" t="inlineStr">
        <is>
          <t>Quarter | Percentage Change from Previous Period | 2011Q2</t>
        </is>
      </c>
      <c r="AIH3" s="1" t="inlineStr">
        <is>
          <t>Quarter | Percentage Change from Previous Period | 2011Q3</t>
        </is>
      </c>
      <c r="AII3" s="1" t="inlineStr">
        <is>
          <t>Quarter | Percentage Change from Previous Period | 2011Q4</t>
        </is>
      </c>
      <c r="AIJ3" s="1" t="inlineStr">
        <is>
          <t>Quarter | Percentage Change from Previous Period | 2012Q1</t>
        </is>
      </c>
      <c r="AIK3" s="1" t="inlineStr">
        <is>
          <t>Quarter | Percentage Change from Previous Period | 2012Q2</t>
        </is>
      </c>
      <c r="AIL3" s="1" t="inlineStr">
        <is>
          <t>Quarter | Percentage Change from Previous Period | 2012Q3</t>
        </is>
      </c>
      <c r="AIM3" s="1" t="inlineStr">
        <is>
          <t>Quarter | Percentage Change from Previous Period | 2012Q4</t>
        </is>
      </c>
      <c r="AIN3" s="1" t="inlineStr">
        <is>
          <t>Quarter | Percentage Change from Previous Period | 2013Q1</t>
        </is>
      </c>
      <c r="AIO3" s="1" t="inlineStr">
        <is>
          <t>Quarter | Percentage Change from Previous Period | 2013Q2</t>
        </is>
      </c>
      <c r="AIP3" s="1" t="inlineStr">
        <is>
          <t>Quarter | Percentage Change from Previous Period | 2013Q3</t>
        </is>
      </c>
      <c r="AIQ3" s="1" t="inlineStr">
        <is>
          <t>Quarter | Percentage Change from Previous Period | 2013Q4</t>
        </is>
      </c>
      <c r="AIR3" s="1" t="inlineStr">
        <is>
          <t>Quarter | Percentage Change from Previous Period | 2014Q1</t>
        </is>
      </c>
      <c r="AIS3" s="1" t="inlineStr">
        <is>
          <t>Quarter | Percentage Change from Previous Period | 2014Q2</t>
        </is>
      </c>
      <c r="AIT3" s="1" t="inlineStr">
        <is>
          <t>Quarter | Percentage Change from Previous Period | 2014Q3</t>
        </is>
      </c>
      <c r="AIU3" s="1" t="inlineStr">
        <is>
          <t>Quarter | Percentage Change from Previous Period | 2014Q4</t>
        </is>
      </c>
      <c r="AIV3" s="1" t="inlineStr">
        <is>
          <t>Quarter | Percentage Change from Previous Period | 2015Q1</t>
        </is>
      </c>
      <c r="AIW3" s="1" t="inlineStr">
        <is>
          <t>Quarter | Percentage Change from Previous Period | 2015Q2</t>
        </is>
      </c>
      <c r="AIX3" s="1" t="inlineStr">
        <is>
          <t>Quarter | Percentage Change from Previous Period | 2015Q3</t>
        </is>
      </c>
      <c r="AIY3" s="1" t="inlineStr">
        <is>
          <t>Quarter | Percentage Change from Previous Period | 2015Q4</t>
        </is>
      </c>
      <c r="AIZ3" s="1" t="inlineStr">
        <is>
          <t>Quarter | Percentage Change from Previous Period | 2016Q1</t>
        </is>
      </c>
      <c r="AJA3" s="1" t="inlineStr">
        <is>
          <t>Quarter | Percentage Change from Previous Period | 2016Q2</t>
        </is>
      </c>
      <c r="AJB3" s="1" t="inlineStr">
        <is>
          <t>Quarter | Percentage Change from Previous Period | 2016Q3</t>
        </is>
      </c>
      <c r="AJC3" s="1" t="inlineStr">
        <is>
          <t>Quarter | Percentage Change from Previous Period | 2016Q4</t>
        </is>
      </c>
      <c r="AJD3" s="1" t="inlineStr">
        <is>
          <t>Quarter | Percentage Change from Previous Period | 2017Q1</t>
        </is>
      </c>
      <c r="AJE3" s="1" t="inlineStr">
        <is>
          <t>Quarter | Percentage Change from Previous Period | 2017Q2</t>
        </is>
      </c>
      <c r="AJF3" s="1" t="inlineStr">
        <is>
          <t>Quarter | Percentage Change from Previous Period | 2017Q3</t>
        </is>
      </c>
      <c r="AJG3" s="1" t="inlineStr">
        <is>
          <t>Quarter | Percentage Change from Previous Period | 2017Q4</t>
        </is>
      </c>
      <c r="AJH3" s="1" t="inlineStr">
        <is>
          <t>Quarter | Percentage Change from Previous Period | 2018Q1</t>
        </is>
      </c>
      <c r="AJI3" s="1" t="inlineStr">
        <is>
          <t>Quarter | Percentage Change from Previous Period | 2018Q2</t>
        </is>
      </c>
      <c r="AJJ3" s="1" t="inlineStr">
        <is>
          <t>Quarter | Percentage Change from Previous Period | 2018Q3</t>
        </is>
      </c>
      <c r="AJK3" s="1" t="inlineStr">
        <is>
          <t>Quarter | Percentage Change from Previous Period | 2018Q4</t>
        </is>
      </c>
      <c r="AJL3" s="1" t="inlineStr">
        <is>
          <t>Quarter | Percentage Change from Previous Period | 2019Q1</t>
        </is>
      </c>
      <c r="AJM3" s="1" t="inlineStr">
        <is>
          <t>Quarter | Percentage Change from Previous Period | 2019Q2</t>
        </is>
      </c>
      <c r="AJN3" s="1" t="inlineStr">
        <is>
          <t>Quarter | Percentage Change from Previous Period | 2019Q3</t>
        </is>
      </c>
      <c r="AJO3" s="1" t="inlineStr">
        <is>
          <t>Quarter | Percentage Change from Previous Period | 2019Q4</t>
        </is>
      </c>
      <c r="AJP3" s="1" t="inlineStr">
        <is>
          <t>Quarter | Percentage Change from Previous Period | 2020Q1</t>
        </is>
      </c>
      <c r="AJQ3" s="1" t="inlineStr">
        <is>
          <t>Quarter | Percentage Change from Previous Period | 2020Q2</t>
        </is>
      </c>
      <c r="AJR3" s="1" t="inlineStr">
        <is>
          <t>Quarter | Percentage Change from Previous Period | 2020Q3</t>
        </is>
      </c>
      <c r="AJS3" s="1" t="inlineStr">
        <is>
          <t>Quarter | Percentage Change from Previous Period | 2020Q4</t>
        </is>
      </c>
      <c r="AJT3" s="1" t="inlineStr">
        <is>
          <t>Quarter | Percentage Change from Previous Period | 2021Q1</t>
        </is>
      </c>
      <c r="AJU3" s="1" t="inlineStr">
        <is>
          <t>Quarter | Percentage Change from Previous Period | 2021Q2</t>
        </is>
      </c>
      <c r="AJV3" s="1" t="inlineStr">
        <is>
          <t>Quarter | Percentage Change from Previous Period | 2021Q3</t>
        </is>
      </c>
      <c r="AJW3" s="1" t="inlineStr">
        <is>
          <t>Quarter | Percentage Change from Previous Period | 2021Q4</t>
        </is>
      </c>
      <c r="AJX3" s="1" t="inlineStr">
        <is>
          <t>Quarter | Percentage Change from Previous Period | 2022Q1</t>
        </is>
      </c>
      <c r="AJY3" s="1" t="inlineStr">
        <is>
          <t>Quarter | Percentage Change from Previous Period | 2022Q2</t>
        </is>
      </c>
      <c r="AJZ3" s="1" t="inlineStr">
        <is>
          <t>Quarter | Percentage Change from Previous Period | 2022Q3</t>
        </is>
      </c>
      <c r="AKA3" s="1" t="inlineStr">
        <is>
          <t>Quarter | Percentage Change from Previous Period | 2022Q4</t>
        </is>
      </c>
      <c r="AKB3" s="1" t="inlineStr">
        <is>
          <t>Quarter | Percentage Change from Previous Period | 2023Q1</t>
        </is>
      </c>
      <c r="AKC3" s="1" t="inlineStr">
        <is>
          <t>Quarter | Percentage Change from Previous Period | 2023Q2</t>
        </is>
      </c>
      <c r="AKD3" s="1" t="inlineStr">
        <is>
          <t>Quarter | Percentage Change from Previous Period | 2023Q3</t>
        </is>
      </c>
      <c r="AKE3" s="1" t="inlineStr">
        <is>
          <t>Quarter | Percentage Change from Previous Period | 2023Q4</t>
        </is>
      </c>
      <c r="AKF3" s="1" t="inlineStr">
        <is>
          <t>Quarter | Percentage Change from Previous Period | 2024Q1</t>
        </is>
      </c>
      <c r="AKG3" s="1" t="inlineStr">
        <is>
          <t>Quarter | Percentage Change from Previous Period | 2024Q2</t>
        </is>
      </c>
      <c r="AKH3" s="1" t="inlineStr">
        <is>
          <t>Quarter | Percentage Change from Previous Period | 2024Q3</t>
        </is>
      </c>
      <c r="AKI3" s="1" t="inlineStr">
        <is>
          <t>Quarter | Percentage Change from Previous Period | 2024Q4</t>
        </is>
      </c>
      <c r="AKJ3" s="1" t="inlineStr">
        <is>
          <t>Quarter | Percentage Change from Previous Period | 2025Q1</t>
        </is>
      </c>
      <c r="AKK3" s="1" t="inlineStr">
        <is>
          <t>Quarter | Percentage Change from Previous Period | 2025Q2</t>
        </is>
      </c>
      <c r="AKL3" s="1" t="inlineStr">
        <is>
          <t>Quarter | Percentage Change from Previous Period | 2025Q3</t>
        </is>
      </c>
      <c r="AKM3" s="1" t="inlineStr">
        <is>
          <t>Quarter | Percentage Change from Previous Period | 2025Q4</t>
        </is>
      </c>
      <c r="AKN3" s="1" t="inlineStr">
        <is>
          <t>Quarter | Percentage Change from Previous Period | 2026Q1</t>
        </is>
      </c>
      <c r="AKO3" s="1" t="inlineStr">
        <is>
          <t>Quarter | Percentage Change from Previous Period | 2026Q2</t>
        </is>
      </c>
      <c r="AKP3" s="1" t="inlineStr">
        <is>
          <t>Quarter | Contribution to Total CPI | 2025Q4</t>
        </is>
      </c>
      <c r="AKQ3" s="1" t="inlineStr">
        <is>
          <t>Quarter | Contribution to Total CPI | 2026Q1</t>
        </is>
      </c>
      <c r="AKR3" s="1" t="inlineStr">
        <is>
          <t>Quarter | Contribution to Total CPI | 2026Q2</t>
        </is>
      </c>
    </row>
    <row r="4">
      <c r="A4" t="inlineStr">
        <is>
          <t>Food and non-alcoholic beverages</t>
        </is>
      </c>
      <c r="B4" t="inlineStr">
        <is>
          <t>All groups CPI</t>
        </is>
      </c>
      <c r="C4">
        <v>1</v>
      </c>
      <c r="D4">
        <v>17.4</v>
      </c>
      <c r="E4" s="3">
        <f>D4/100.0*1.0</f>
        <v>0.174</v>
      </c>
      <c r="F4" s="3">
        <f>E4-D4/100</f>
        <v>0.0</v>
      </c>
      <c r="G4" s="3">
        <f>D4/100.0</f>
        <v>0.174</v>
      </c>
      <c r="CI4" s="2">
        <v>96.18000000000001</v>
      </c>
      <c r="CJ4" s="2">
        <v>96.61</v>
      </c>
      <c r="CK4" s="2">
        <v>96.48</v>
      </c>
      <c r="CL4" s="2">
        <v>97.16</v>
      </c>
      <c r="CM4" s="2">
        <v>97.36</v>
      </c>
      <c r="CN4" s="2">
        <v>96.89</v>
      </c>
      <c r="CO4" s="2">
        <v>97.03</v>
      </c>
      <c r="CP4" s="2">
        <v>97.31999999999999</v>
      </c>
      <c r="CQ4" s="2">
        <v>97.56</v>
      </c>
      <c r="CR4" s="2">
        <v>98.36</v>
      </c>
      <c r="CS4" s="2">
        <v>98.23</v>
      </c>
      <c r="CT4" s="2">
        <v>98.89</v>
      </c>
      <c r="CU4" s="2">
        <v>99.27</v>
      </c>
      <c r="CV4" s="2">
        <v>99.38</v>
      </c>
      <c r="CW4" s="2">
        <v>99.81</v>
      </c>
      <c r="CX4" s="2">
        <v>100.16</v>
      </c>
      <c r="CY4" s="2">
        <v>100.26</v>
      </c>
      <c r="CZ4" s="2">
        <v>100</v>
      </c>
      <c r="DA4" s="2">
        <v>100.15</v>
      </c>
      <c r="DB4" s="2">
        <v>100.53</v>
      </c>
      <c r="DC4" s="2">
        <v>100.91</v>
      </c>
      <c r="DD4" s="2">
        <v>101.42</v>
      </c>
      <c r="DE4" s="2">
        <v>101.28</v>
      </c>
      <c r="DF4" s="2">
        <v>101.96</v>
      </c>
      <c r="DG4" s="2">
        <v>102.03</v>
      </c>
      <c r="DH4" s="2">
        <v>102.63</v>
      </c>
      <c r="DI4" s="2">
        <v>103.06</v>
      </c>
      <c r="DJ4" s="2">
        <v>103.34</v>
      </c>
      <c r="GL4" s="2">
        <v>3.2</v>
      </c>
      <c r="GM4" s="2">
        <v>2.9</v>
      </c>
      <c r="GN4" s="2">
        <v>3.5</v>
      </c>
      <c r="GO4" s="2">
        <v>3.1</v>
      </c>
      <c r="GP4" s="2">
        <v>3</v>
      </c>
      <c r="GQ4" s="2">
        <v>3.2</v>
      </c>
      <c r="GR4" s="2">
        <v>3.2</v>
      </c>
      <c r="GS4" s="2">
        <v>3.3</v>
      </c>
      <c r="GT4" s="2">
        <v>3.4</v>
      </c>
      <c r="GU4" s="2">
        <v>3.1</v>
      </c>
      <c r="GV4" s="2">
        <v>3.1</v>
      </c>
      <c r="GW4" s="2">
        <v>3.1</v>
      </c>
      <c r="GX4" s="2">
        <v>2.8</v>
      </c>
      <c r="GY4" s="2">
        <v>3.3</v>
      </c>
      <c r="GZ4" s="2">
        <v>3.3</v>
      </c>
      <c r="HA4" s="2">
        <v>3.2</v>
      </c>
      <c r="KC4" s="2">
        <v>0.4</v>
      </c>
      <c r="KD4" s="2">
        <v>-0.1</v>
      </c>
      <c r="KE4" s="2">
        <v>0.7</v>
      </c>
      <c r="KF4" s="2">
        <v>0.2</v>
      </c>
      <c r="KG4" s="2">
        <v>-0.5</v>
      </c>
      <c r="KH4" s="2">
        <v>0.1</v>
      </c>
      <c r="KI4" s="2">
        <v>0.3</v>
      </c>
      <c r="KJ4" s="2">
        <v>0.2</v>
      </c>
      <c r="KK4" s="2">
        <v>0.8</v>
      </c>
      <c r="KL4" s="2">
        <v>-0.1</v>
      </c>
      <c r="KM4" s="2">
        <v>0.7</v>
      </c>
      <c r="KN4" s="2">
        <v>0.4</v>
      </c>
      <c r="KO4" s="2">
        <v>0.1</v>
      </c>
      <c r="KP4" s="2">
        <v>0.4</v>
      </c>
      <c r="KQ4" s="2">
        <v>0.4</v>
      </c>
      <c r="KR4" s="2">
        <v>0.1</v>
      </c>
      <c r="KS4" s="2">
        <v>-0.3</v>
      </c>
      <c r="KT4" s="2">
        <v>0.2</v>
      </c>
      <c r="KU4" s="2">
        <v>0.4</v>
      </c>
      <c r="KV4" s="2">
        <v>0.4</v>
      </c>
      <c r="KW4" s="2">
        <v>0.5</v>
      </c>
      <c r="KX4" s="2">
        <v>-0.1</v>
      </c>
      <c r="KY4" s="2">
        <v>0.7</v>
      </c>
      <c r="KZ4" s="2">
        <v>0.1</v>
      </c>
      <c r="LA4" s="2">
        <v>0.6</v>
      </c>
      <c r="LB4" s="2">
        <v>0.4</v>
      </c>
      <c r="LC4" s="2">
        <v>0.3</v>
      </c>
      <c r="LD4" s="2">
        <v>16.94</v>
      </c>
      <c r="LE4" s="2">
        <v>17.07</v>
      </c>
      <c r="LF4" s="2">
        <v>17.05</v>
      </c>
      <c r="LG4" s="2">
        <v>17.17</v>
      </c>
      <c r="LH4" s="2">
        <v>17.23</v>
      </c>
      <c r="LI4" s="2">
        <v>17.25</v>
      </c>
      <c r="LJ4" s="2">
        <v>17.33</v>
      </c>
      <c r="LK4" s="2">
        <v>17.39</v>
      </c>
      <c r="LL4" s="2">
        <v>17.4</v>
      </c>
      <c r="LM4" s="2">
        <v>17.36</v>
      </c>
      <c r="LN4" s="2">
        <v>17.38</v>
      </c>
      <c r="LO4" s="2">
        <v>17.45</v>
      </c>
      <c r="LP4" s="2">
        <v>17.52</v>
      </c>
      <c r="LQ4" s="2">
        <v>17.61</v>
      </c>
      <c r="LR4" s="2">
        <v>17.58</v>
      </c>
      <c r="LS4" s="2">
        <v>17.7</v>
      </c>
      <c r="LT4" s="2">
        <v>17.71</v>
      </c>
      <c r="LU4" s="2">
        <v>17.82</v>
      </c>
      <c r="LV4" s="2">
        <v>17.89</v>
      </c>
      <c r="LW4" s="2">
        <v>17.94</v>
      </c>
      <c r="LX4" s="2">
        <v>0.13</v>
      </c>
      <c r="LY4" s="2">
        <v>-0.02</v>
      </c>
      <c r="LZ4" s="2">
        <v>0.12</v>
      </c>
      <c r="MA4" s="2">
        <v>0.06</v>
      </c>
      <c r="MB4" s="2">
        <v>0.02</v>
      </c>
      <c r="MC4" s="2">
        <v>0.08</v>
      </c>
      <c r="MD4" s="2">
        <v>0.06</v>
      </c>
      <c r="ME4" s="2">
        <v>0.01</v>
      </c>
      <c r="MF4" s="2">
        <v>-0.04</v>
      </c>
      <c r="MG4" s="2">
        <v>0.02</v>
      </c>
      <c r="MH4" s="2">
        <v>0.07000000000000001</v>
      </c>
      <c r="MI4" s="2">
        <v>0.07000000000000001</v>
      </c>
      <c r="MJ4" s="2">
        <v>0.09</v>
      </c>
      <c r="MK4" s="2">
        <v>-0.03</v>
      </c>
      <c r="ML4" s="2">
        <v>0.12</v>
      </c>
      <c r="MM4" s="2">
        <v>0.01</v>
      </c>
      <c r="MN4" s="2">
        <v>0.11</v>
      </c>
      <c r="MO4" s="2">
        <v>0.07000000000000001</v>
      </c>
      <c r="MP4" s="2">
        <v>0.05</v>
      </c>
      <c r="QI4" s="2">
        <v>7.24</v>
      </c>
      <c r="QJ4" s="2">
        <v>7.35</v>
      </c>
      <c r="QK4" s="2">
        <v>7.68</v>
      </c>
      <c r="QL4" s="2">
        <v>8.08</v>
      </c>
      <c r="QM4" s="2">
        <v>8.56</v>
      </c>
      <c r="QN4" s="2">
        <v>8.880000000000001</v>
      </c>
      <c r="QO4" s="2">
        <v>9.17</v>
      </c>
      <c r="QP4" s="2">
        <v>9.539999999999999</v>
      </c>
      <c r="QQ4" s="2">
        <v>9.76</v>
      </c>
      <c r="QR4" s="2">
        <v>9.76</v>
      </c>
      <c r="QS4" s="2">
        <v>9.869999999999999</v>
      </c>
      <c r="QT4" s="2">
        <v>10.19</v>
      </c>
      <c r="QU4" s="2">
        <v>10.34</v>
      </c>
      <c r="QV4" s="2">
        <v>10.67</v>
      </c>
      <c r="QW4" s="2">
        <v>11.21</v>
      </c>
      <c r="QX4" s="2">
        <v>11.25</v>
      </c>
      <c r="QY4" s="2">
        <v>11.61</v>
      </c>
      <c r="QZ4" s="2">
        <v>12.05</v>
      </c>
      <c r="RA4" s="2">
        <v>12.27</v>
      </c>
      <c r="RB4" s="2">
        <v>12.63</v>
      </c>
      <c r="RC4" s="2">
        <v>13.14</v>
      </c>
      <c r="RD4" s="2">
        <v>13.4</v>
      </c>
      <c r="RE4" s="2">
        <v>13.47</v>
      </c>
      <c r="RF4" s="2">
        <v>13.87</v>
      </c>
      <c r="RG4" s="2">
        <v>14.27</v>
      </c>
      <c r="RH4" s="2">
        <v>14.74</v>
      </c>
      <c r="RI4" s="2">
        <v>15.18</v>
      </c>
      <c r="RJ4" s="2">
        <v>15.91</v>
      </c>
      <c r="RK4" s="2">
        <v>16.38</v>
      </c>
      <c r="RL4" s="2">
        <v>16.75</v>
      </c>
      <c r="RM4" s="2">
        <v>17.44</v>
      </c>
      <c r="RN4" s="2">
        <v>17.87</v>
      </c>
      <c r="RO4" s="2">
        <v>18.24</v>
      </c>
      <c r="RP4" s="2">
        <v>18.75</v>
      </c>
      <c r="RQ4" s="2">
        <v>19.15</v>
      </c>
      <c r="RR4" s="2">
        <v>19.4</v>
      </c>
      <c r="RS4" s="2">
        <v>20.1</v>
      </c>
      <c r="RT4" s="2">
        <v>20.42</v>
      </c>
      <c r="RU4" s="2">
        <v>20.61</v>
      </c>
      <c r="RV4" s="2">
        <v>20.9</v>
      </c>
      <c r="RW4" s="2">
        <v>21.55</v>
      </c>
      <c r="RX4" s="2">
        <v>22.06</v>
      </c>
      <c r="RY4" s="2">
        <v>22.46</v>
      </c>
      <c r="RZ4" s="2">
        <v>23.44</v>
      </c>
      <c r="SA4" s="2">
        <v>23.74</v>
      </c>
      <c r="SB4" s="2">
        <v>24.03</v>
      </c>
      <c r="SC4" s="2">
        <v>24.39</v>
      </c>
      <c r="SD4" s="2">
        <v>24.32</v>
      </c>
      <c r="SE4" s="2">
        <v>24.86</v>
      </c>
      <c r="SF4" s="2">
        <v>25.23</v>
      </c>
      <c r="SG4" s="2">
        <v>25.48</v>
      </c>
      <c r="SH4" s="2">
        <v>25.96</v>
      </c>
      <c r="SI4" s="2">
        <v>26.43</v>
      </c>
      <c r="SJ4" s="2">
        <v>27.05</v>
      </c>
      <c r="SK4" s="2">
        <v>27.59</v>
      </c>
      <c r="SL4" s="2">
        <v>28.21</v>
      </c>
      <c r="SM4" s="2">
        <v>29.01</v>
      </c>
      <c r="SN4" s="2">
        <v>29.45</v>
      </c>
      <c r="SO4" s="2">
        <v>29.78</v>
      </c>
      <c r="SP4" s="2">
        <v>29.82</v>
      </c>
      <c r="SQ4" s="2">
        <v>30.25</v>
      </c>
      <c r="SR4" s="2">
        <v>30.65</v>
      </c>
      <c r="SS4" s="2">
        <v>31.16</v>
      </c>
      <c r="ST4" s="2">
        <v>32.18</v>
      </c>
      <c r="SU4" s="2">
        <v>33.09</v>
      </c>
      <c r="SV4" s="2">
        <v>33.6</v>
      </c>
      <c r="SW4" s="2">
        <v>34.11</v>
      </c>
      <c r="SX4" s="2">
        <v>35.17</v>
      </c>
      <c r="SY4" s="2">
        <v>36.04</v>
      </c>
      <c r="SZ4" s="2">
        <v>36.15</v>
      </c>
      <c r="TA4" s="2">
        <v>36.22</v>
      </c>
      <c r="TB4" s="2">
        <v>37.21</v>
      </c>
      <c r="TC4" s="2">
        <v>36.95</v>
      </c>
      <c r="TD4" s="2">
        <v>37.32</v>
      </c>
      <c r="TE4" s="2">
        <v>38.12</v>
      </c>
      <c r="TF4" s="2">
        <v>37.97</v>
      </c>
      <c r="TG4" s="2">
        <v>38.23</v>
      </c>
      <c r="TH4" s="2">
        <v>38.41</v>
      </c>
      <c r="TI4" s="2">
        <v>38.63</v>
      </c>
      <c r="TJ4" s="2">
        <v>38.73</v>
      </c>
      <c r="TK4" s="2">
        <v>38.59</v>
      </c>
      <c r="TL4" s="2">
        <v>38.84</v>
      </c>
      <c r="TM4" s="2">
        <v>39.68</v>
      </c>
      <c r="TN4" s="2">
        <v>39.32</v>
      </c>
      <c r="TO4" s="2">
        <v>39.61</v>
      </c>
      <c r="TP4" s="2">
        <v>39.86</v>
      </c>
      <c r="TQ4" s="2">
        <v>39.97</v>
      </c>
      <c r="TR4" s="2">
        <v>39.86</v>
      </c>
      <c r="TS4" s="2">
        <v>40.19</v>
      </c>
      <c r="TT4" s="2">
        <v>40.37</v>
      </c>
      <c r="TU4" s="2">
        <v>41.21</v>
      </c>
      <c r="TV4" s="2">
        <v>41.39</v>
      </c>
      <c r="TW4" s="2">
        <v>42.01</v>
      </c>
      <c r="TX4" s="2">
        <v>42.12</v>
      </c>
      <c r="TY4" s="2">
        <v>42.19</v>
      </c>
      <c r="TZ4" s="2">
        <v>42.63</v>
      </c>
      <c r="UA4" s="2">
        <v>43.07</v>
      </c>
      <c r="UB4" s="2">
        <v>43.47</v>
      </c>
      <c r="UC4" s="2">
        <v>43.76</v>
      </c>
      <c r="UD4" s="2">
        <v>43.98</v>
      </c>
      <c r="UE4" s="2">
        <v>43.98</v>
      </c>
      <c r="UF4" s="2">
        <v>44.09</v>
      </c>
      <c r="UG4" s="2">
        <v>44.45</v>
      </c>
      <c r="UH4" s="2">
        <v>44.81</v>
      </c>
      <c r="UI4" s="2">
        <v>45.4</v>
      </c>
      <c r="UJ4" s="2">
        <v>45.87</v>
      </c>
      <c r="UK4" s="2">
        <v>46.42</v>
      </c>
      <c r="UL4" s="2">
        <v>46.52</v>
      </c>
      <c r="UM4" s="2">
        <v>46.76</v>
      </c>
      <c r="UN4" s="2">
        <v>46.91</v>
      </c>
      <c r="UO4" s="2">
        <v>47</v>
      </c>
      <c r="UP4" s="2">
        <v>47.4</v>
      </c>
      <c r="UQ4" s="2">
        <v>48.22</v>
      </c>
      <c r="UR4" s="2">
        <v>48.56</v>
      </c>
      <c r="US4" s="2">
        <v>50.1</v>
      </c>
      <c r="UT4" s="2">
        <v>50.55</v>
      </c>
      <c r="UU4" s="2">
        <v>50.88</v>
      </c>
      <c r="UV4" s="2">
        <v>52.22</v>
      </c>
      <c r="UW4" s="2">
        <v>52.48</v>
      </c>
      <c r="UX4" s="2">
        <v>52.23</v>
      </c>
      <c r="UY4" s="2">
        <v>52.78</v>
      </c>
      <c r="UZ4" s="2">
        <v>53.51</v>
      </c>
      <c r="VA4" s="2">
        <v>54.53</v>
      </c>
      <c r="VB4" s="2">
        <v>54.54</v>
      </c>
      <c r="VC4" s="2">
        <v>54.37</v>
      </c>
      <c r="VD4" s="2">
        <v>55.34</v>
      </c>
      <c r="VE4" s="2">
        <v>56.33</v>
      </c>
      <c r="VF4" s="2">
        <v>55.82</v>
      </c>
      <c r="VG4" s="2">
        <v>55.49</v>
      </c>
      <c r="VH4" s="2">
        <v>56.28</v>
      </c>
      <c r="VI4" s="2">
        <v>56.79</v>
      </c>
      <c r="VJ4" s="2">
        <v>56.85</v>
      </c>
      <c r="VK4" s="2">
        <v>57.29</v>
      </c>
      <c r="VL4" s="2">
        <v>58.31</v>
      </c>
      <c r="VM4" s="2">
        <v>59.16</v>
      </c>
      <c r="VN4" s="2">
        <v>61.58</v>
      </c>
      <c r="VO4" s="2">
        <v>62.99</v>
      </c>
      <c r="VP4" s="2">
        <v>63.3</v>
      </c>
      <c r="VQ4" s="2">
        <v>61.84</v>
      </c>
      <c r="VR4" s="2">
        <v>62.91</v>
      </c>
      <c r="VS4" s="2">
        <v>64.12</v>
      </c>
      <c r="VT4" s="2">
        <v>64.02</v>
      </c>
      <c r="VU4" s="2">
        <v>65.38</v>
      </c>
      <c r="VV4" s="2">
        <v>65.34999999999999</v>
      </c>
      <c r="VW4" s="2">
        <v>66.28</v>
      </c>
      <c r="VX4" s="2">
        <v>67.64</v>
      </c>
      <c r="VY4" s="2">
        <v>69.14</v>
      </c>
      <c r="VZ4" s="2">
        <v>68.47</v>
      </c>
      <c r="WA4" s="2">
        <v>67.93000000000001</v>
      </c>
      <c r="WB4" s="2">
        <v>68.92</v>
      </c>
      <c r="WC4" s="2">
        <v>69.66</v>
      </c>
      <c r="WD4" s="2">
        <v>69.42</v>
      </c>
      <c r="WE4" s="2">
        <v>69.09999999999999</v>
      </c>
      <c r="WF4" s="2">
        <v>70.63</v>
      </c>
      <c r="WG4" s="2">
        <v>72.67</v>
      </c>
      <c r="WH4" s="2">
        <v>73.7</v>
      </c>
      <c r="WI4" s="2">
        <v>73.51000000000001</v>
      </c>
      <c r="WJ4" s="2">
        <v>72.42</v>
      </c>
      <c r="WK4" s="2">
        <v>70.87</v>
      </c>
      <c r="WL4" s="2">
        <v>71.33</v>
      </c>
      <c r="WM4" s="2">
        <v>72.70999999999999</v>
      </c>
      <c r="WN4" s="2">
        <v>72.59999999999999</v>
      </c>
      <c r="WO4" s="2">
        <v>72.03</v>
      </c>
      <c r="WP4" s="2">
        <v>72.09999999999999</v>
      </c>
      <c r="WQ4" s="2">
        <v>72.23999999999999</v>
      </c>
      <c r="WR4" s="2">
        <v>73.37</v>
      </c>
      <c r="WS4" s="2">
        <v>73.58</v>
      </c>
      <c r="WT4" s="2">
        <v>73.91</v>
      </c>
      <c r="WU4" s="2">
        <v>74.76000000000001</v>
      </c>
      <c r="WV4" s="2">
        <v>74.81999999999999</v>
      </c>
      <c r="WW4" s="2">
        <v>74.98999999999999</v>
      </c>
      <c r="WX4" s="2">
        <v>74.84</v>
      </c>
      <c r="WY4" s="2">
        <v>74.88</v>
      </c>
      <c r="WZ4" s="2">
        <v>75.09999999999999</v>
      </c>
      <c r="XA4" s="2">
        <v>74.95</v>
      </c>
      <c r="XB4" s="2">
        <v>74.77</v>
      </c>
      <c r="XC4" s="2">
        <v>76.06999999999999</v>
      </c>
      <c r="XD4" s="2">
        <v>76.5</v>
      </c>
      <c r="XE4" s="2">
        <v>76.36</v>
      </c>
      <c r="XF4" s="2">
        <v>76.23999999999999</v>
      </c>
      <c r="XG4" s="2">
        <v>75.55</v>
      </c>
      <c r="XH4" s="2">
        <v>76.38</v>
      </c>
      <c r="XI4" s="2">
        <v>76.70999999999999</v>
      </c>
      <c r="XJ4" s="2">
        <v>76.40000000000001</v>
      </c>
      <c r="XK4" s="2">
        <v>76.79000000000001</v>
      </c>
      <c r="XL4" s="2">
        <v>77.48</v>
      </c>
      <c r="XM4" s="2">
        <v>78.54000000000001</v>
      </c>
      <c r="XN4" s="2">
        <v>78.2</v>
      </c>
      <c r="XO4" s="2">
        <v>78.48999999999999</v>
      </c>
      <c r="XP4" s="2">
        <v>79.51000000000001</v>
      </c>
      <c r="XQ4" s="2">
        <v>81.06999999999999</v>
      </c>
      <c r="XR4" s="2">
        <v>81.5</v>
      </c>
      <c r="XS4" s="2">
        <v>81.15000000000001</v>
      </c>
      <c r="XT4" s="2">
        <v>81.34</v>
      </c>
      <c r="XU4" s="2">
        <v>81.64</v>
      </c>
      <c r="XV4" s="2">
        <v>82.05</v>
      </c>
      <c r="XW4" s="2">
        <v>82.3</v>
      </c>
      <c r="XX4" s="2">
        <v>82.83</v>
      </c>
      <c r="XY4" s="2">
        <v>85.12</v>
      </c>
      <c r="XZ4" s="2">
        <v>86.87</v>
      </c>
      <c r="YA4" s="2">
        <v>89.7</v>
      </c>
      <c r="YB4" s="2">
        <v>90.47</v>
      </c>
      <c r="YC4" s="2">
        <v>91.90000000000001</v>
      </c>
      <c r="YD4" s="2">
        <v>93.40000000000001</v>
      </c>
      <c r="YE4" s="2">
        <v>94.01000000000001</v>
      </c>
      <c r="YF4" s="2">
        <v>94.51000000000001</v>
      </c>
      <c r="YG4" s="2">
        <v>95.37</v>
      </c>
      <c r="YH4" s="2">
        <v>96.48999999999999</v>
      </c>
      <c r="YI4" s="2">
        <v>97.13</v>
      </c>
      <c r="YJ4" s="2">
        <v>97.29000000000001</v>
      </c>
      <c r="YK4" s="2">
        <v>98.47</v>
      </c>
      <c r="YL4" s="2">
        <v>99.43000000000001</v>
      </c>
      <c r="YM4" s="2">
        <v>100.14</v>
      </c>
      <c r="YN4" s="2">
        <v>100.53</v>
      </c>
      <c r="YO4" s="2">
        <v>101.56</v>
      </c>
      <c r="YP4" s="2">
        <v>102.58</v>
      </c>
      <c r="ACI4" s="2">
        <v>1.5</v>
      </c>
      <c r="ACJ4" s="2">
        <v>4.5</v>
      </c>
      <c r="ACK4" s="2">
        <v>5.2</v>
      </c>
      <c r="ACL4" s="2">
        <v>5.9</v>
      </c>
      <c r="ACM4" s="2">
        <v>3.7</v>
      </c>
      <c r="ACN4" s="2">
        <v>3.3</v>
      </c>
      <c r="ACO4" s="2">
        <v>4</v>
      </c>
      <c r="ACP4" s="2">
        <v>2.3</v>
      </c>
      <c r="ACQ4" s="2">
        <v>0</v>
      </c>
      <c r="ACR4" s="2">
        <v>1.1</v>
      </c>
      <c r="ACS4" s="2">
        <v>3.2</v>
      </c>
      <c r="ACT4" s="2">
        <v>1.5</v>
      </c>
      <c r="ACU4" s="2">
        <v>3.2</v>
      </c>
      <c r="ACV4" s="2">
        <v>5.1</v>
      </c>
      <c r="ACW4" s="2">
        <v>0.4</v>
      </c>
      <c r="ACX4" s="2">
        <v>3.2</v>
      </c>
      <c r="ACY4" s="2">
        <v>3.8</v>
      </c>
      <c r="ACZ4" s="2">
        <v>1.8</v>
      </c>
      <c r="ADA4" s="2">
        <v>2.9</v>
      </c>
      <c r="ADB4" s="2">
        <v>4</v>
      </c>
      <c r="ADC4" s="2">
        <v>2</v>
      </c>
      <c r="ADD4" s="2">
        <v>0.5</v>
      </c>
      <c r="ADE4" s="2">
        <v>3</v>
      </c>
      <c r="ADF4" s="2">
        <v>2.9</v>
      </c>
      <c r="ADG4" s="2">
        <v>3.3</v>
      </c>
      <c r="ADH4" s="2">
        <v>3</v>
      </c>
      <c r="ADI4" s="2">
        <v>4.8</v>
      </c>
      <c r="ADJ4" s="2">
        <v>3</v>
      </c>
      <c r="ADK4" s="2">
        <v>2.3</v>
      </c>
      <c r="ADL4" s="2">
        <v>4.1</v>
      </c>
      <c r="ADM4" s="2">
        <v>2.5</v>
      </c>
      <c r="ADN4" s="2">
        <v>2.1</v>
      </c>
      <c r="ADO4" s="2">
        <v>2.8</v>
      </c>
      <c r="ADP4" s="2">
        <v>2.1</v>
      </c>
      <c r="ADQ4" s="2">
        <v>1.3</v>
      </c>
      <c r="ADR4" s="2">
        <v>3.6</v>
      </c>
      <c r="ADS4" s="2">
        <v>1.6</v>
      </c>
      <c r="ADT4" s="2">
        <v>0.9</v>
      </c>
      <c r="ADU4" s="2">
        <v>1.4</v>
      </c>
      <c r="ADV4" s="2">
        <v>3.1</v>
      </c>
      <c r="ADW4" s="2">
        <v>2.4</v>
      </c>
      <c r="ADX4" s="2">
        <v>1.8</v>
      </c>
      <c r="ADY4" s="2">
        <v>4.4</v>
      </c>
      <c r="ADZ4" s="2">
        <v>1.3</v>
      </c>
      <c r="AEA4" s="2">
        <v>1.2</v>
      </c>
      <c r="AEB4" s="2">
        <v>1.5</v>
      </c>
      <c r="AEC4" s="2">
        <v>-0.3</v>
      </c>
      <c r="AED4" s="2">
        <v>2.2</v>
      </c>
      <c r="AEE4" s="2">
        <v>1.5</v>
      </c>
      <c r="AEF4" s="2">
        <v>1</v>
      </c>
      <c r="AEG4" s="2">
        <v>1.9</v>
      </c>
      <c r="AEH4" s="2">
        <v>1.8</v>
      </c>
      <c r="AEI4" s="2">
        <v>2.3</v>
      </c>
      <c r="AEJ4" s="2">
        <v>2</v>
      </c>
      <c r="AEK4" s="2">
        <v>2.2</v>
      </c>
      <c r="AEL4" s="2">
        <v>2.8</v>
      </c>
      <c r="AEM4" s="2">
        <v>1.5</v>
      </c>
      <c r="AEN4" s="2">
        <v>1.1</v>
      </c>
      <c r="AEO4" s="2">
        <v>0.1</v>
      </c>
      <c r="AEP4" s="2">
        <v>1.4</v>
      </c>
      <c r="AEQ4" s="2">
        <v>1.3</v>
      </c>
      <c r="AER4" s="2">
        <v>1.7</v>
      </c>
      <c r="AES4" s="2">
        <v>3.3</v>
      </c>
      <c r="AET4" s="2">
        <v>2.8</v>
      </c>
      <c r="AEU4" s="2">
        <v>1.5</v>
      </c>
      <c r="AEV4" s="2">
        <v>1.5</v>
      </c>
      <c r="AEW4" s="2">
        <v>3.1</v>
      </c>
      <c r="AEX4" s="2">
        <v>2.5</v>
      </c>
      <c r="AEY4" s="2">
        <v>0.3</v>
      </c>
      <c r="AEZ4" s="2">
        <v>0.2</v>
      </c>
      <c r="AFA4" s="2">
        <v>2.7</v>
      </c>
      <c r="AFB4" s="2">
        <v>-0.7</v>
      </c>
      <c r="AFC4" s="2">
        <v>1</v>
      </c>
      <c r="AFD4" s="2">
        <v>2.1</v>
      </c>
      <c r="AFE4" s="2">
        <v>-0.4</v>
      </c>
      <c r="AFF4" s="2">
        <v>0.7</v>
      </c>
      <c r="AFG4" s="2">
        <v>0.5</v>
      </c>
      <c r="AFH4" s="2">
        <v>0.6</v>
      </c>
      <c r="AFI4" s="2">
        <v>0.3</v>
      </c>
      <c r="AFJ4" s="2">
        <v>-0.4</v>
      </c>
      <c r="AFK4" s="2">
        <v>0.6</v>
      </c>
      <c r="AFL4" s="2">
        <v>2.2</v>
      </c>
      <c r="AFM4" s="2">
        <v>-0.9</v>
      </c>
      <c r="AFN4" s="2">
        <v>0.7</v>
      </c>
      <c r="AFO4" s="2">
        <v>0.6</v>
      </c>
      <c r="AFP4" s="2">
        <v>0.3</v>
      </c>
      <c r="AFQ4" s="2">
        <v>-0.3</v>
      </c>
      <c r="AFR4" s="2">
        <v>0.8</v>
      </c>
      <c r="AFS4" s="2">
        <v>0.4</v>
      </c>
      <c r="AFT4" s="2">
        <v>2.1</v>
      </c>
      <c r="AFU4" s="2">
        <v>0.4</v>
      </c>
      <c r="AFV4" s="2">
        <v>1.5</v>
      </c>
      <c r="AFW4" s="2">
        <v>0.3</v>
      </c>
      <c r="AFX4" s="2">
        <v>0.2</v>
      </c>
      <c r="AFY4" s="2">
        <v>1</v>
      </c>
      <c r="AFZ4" s="2">
        <v>1</v>
      </c>
      <c r="AGA4" s="2">
        <v>0.9</v>
      </c>
      <c r="AGB4" s="2">
        <v>0.7</v>
      </c>
      <c r="AGC4" s="2">
        <v>0.5</v>
      </c>
      <c r="AGD4" s="2">
        <v>0</v>
      </c>
      <c r="AGE4" s="2">
        <v>0.3</v>
      </c>
      <c r="AGF4" s="2">
        <v>0.8</v>
      </c>
      <c r="AGG4" s="2">
        <v>0.8</v>
      </c>
      <c r="AGH4" s="2">
        <v>1.3</v>
      </c>
      <c r="AGI4" s="2">
        <v>1</v>
      </c>
      <c r="AGJ4" s="2">
        <v>1.2</v>
      </c>
      <c r="AGK4" s="2">
        <v>0.2</v>
      </c>
      <c r="AGL4" s="2">
        <v>0.5</v>
      </c>
      <c r="AGM4" s="2">
        <v>0.3</v>
      </c>
      <c r="AGN4" s="2">
        <v>0.2</v>
      </c>
      <c r="AGO4" s="2">
        <v>0.9</v>
      </c>
      <c r="AGP4" s="2">
        <v>1.7</v>
      </c>
      <c r="AGQ4" s="2">
        <v>0.7</v>
      </c>
      <c r="AGR4" s="2">
        <v>3.2</v>
      </c>
      <c r="AGS4" s="2">
        <v>0.9</v>
      </c>
      <c r="AGT4" s="2">
        <v>0.7</v>
      </c>
      <c r="AGU4" s="2">
        <v>2.6</v>
      </c>
      <c r="AGV4" s="2">
        <v>0.5</v>
      </c>
      <c r="AGW4" s="2">
        <v>-0.5</v>
      </c>
      <c r="AGX4" s="2">
        <v>1.1</v>
      </c>
      <c r="AGY4" s="2">
        <v>1.4</v>
      </c>
      <c r="AGZ4" s="2">
        <v>1.9</v>
      </c>
      <c r="AHA4" s="2">
        <v>0</v>
      </c>
      <c r="AHB4" s="2">
        <v>-0.3</v>
      </c>
      <c r="AHC4" s="2">
        <v>1.8</v>
      </c>
      <c r="AHD4" s="2">
        <v>1.8</v>
      </c>
      <c r="AHE4" s="2">
        <v>-0.9</v>
      </c>
      <c r="AHF4" s="2">
        <v>-0.6</v>
      </c>
      <c r="AHG4" s="2">
        <v>1.4</v>
      </c>
      <c r="AHH4" s="2">
        <v>0.9</v>
      </c>
      <c r="AHI4" s="2">
        <v>0.1</v>
      </c>
      <c r="AHJ4" s="2">
        <v>0.8</v>
      </c>
      <c r="AHK4" s="2">
        <v>1.8</v>
      </c>
      <c r="AHL4" s="2">
        <v>1.5</v>
      </c>
      <c r="AHM4" s="2">
        <v>4.1</v>
      </c>
      <c r="AHN4" s="2">
        <v>2.3</v>
      </c>
      <c r="AHO4" s="2">
        <v>0.5</v>
      </c>
      <c r="AHP4" s="2">
        <v>-2.3</v>
      </c>
      <c r="AHQ4" s="2">
        <v>1.7</v>
      </c>
      <c r="AHR4" s="2">
        <v>1.9</v>
      </c>
      <c r="AHS4" s="2">
        <v>-0.2</v>
      </c>
      <c r="AHT4" s="2">
        <v>2.1</v>
      </c>
      <c r="AHU4" s="2">
        <v>0</v>
      </c>
      <c r="AHV4" s="2">
        <v>1.4</v>
      </c>
      <c r="AHW4" s="2">
        <v>2.1</v>
      </c>
      <c r="AHX4" s="2">
        <v>2.2</v>
      </c>
      <c r="AHY4" s="2">
        <v>-1</v>
      </c>
      <c r="AHZ4" s="2">
        <v>-0.8</v>
      </c>
      <c r="AIA4" s="2">
        <v>1.5</v>
      </c>
      <c r="AIB4" s="2">
        <v>1.1</v>
      </c>
      <c r="AIC4" s="2">
        <v>-0.3</v>
      </c>
      <c r="AID4" s="2">
        <v>-0.5</v>
      </c>
      <c r="AIE4" s="2">
        <v>2.2</v>
      </c>
      <c r="AIF4" s="2">
        <v>2.9</v>
      </c>
      <c r="AIG4" s="2">
        <v>1.4</v>
      </c>
      <c r="AIH4" s="2">
        <v>-0.3</v>
      </c>
      <c r="AII4" s="2">
        <v>-1.5</v>
      </c>
      <c r="AIJ4" s="2">
        <v>-2.1</v>
      </c>
      <c r="AIK4" s="2">
        <v>0.6</v>
      </c>
      <c r="AIL4" s="2">
        <v>1.9</v>
      </c>
      <c r="AIM4" s="2">
        <v>-0.2</v>
      </c>
      <c r="AIN4" s="2">
        <v>-0.8</v>
      </c>
      <c r="AIO4" s="2">
        <v>0.1</v>
      </c>
      <c r="AIP4" s="2">
        <v>0.2</v>
      </c>
      <c r="AIQ4" s="2">
        <v>1.6</v>
      </c>
      <c r="AIR4" s="2">
        <v>0.3</v>
      </c>
      <c r="AIS4" s="2">
        <v>0.4</v>
      </c>
      <c r="AIT4" s="2">
        <v>1.2</v>
      </c>
      <c r="AIU4" s="2">
        <v>0.1</v>
      </c>
      <c r="AIV4" s="2">
        <v>0.2</v>
      </c>
      <c r="AIW4" s="2">
        <v>-0.2</v>
      </c>
      <c r="AIX4" s="2">
        <v>0.1</v>
      </c>
      <c r="AIY4" s="2">
        <v>0.3</v>
      </c>
      <c r="AIZ4" s="2">
        <v>-0.2</v>
      </c>
      <c r="AJA4" s="2">
        <v>-0.2</v>
      </c>
      <c r="AJB4" s="2">
        <v>1.7</v>
      </c>
      <c r="AJC4" s="2">
        <v>0.6</v>
      </c>
      <c r="AJD4" s="2">
        <v>-0.2</v>
      </c>
      <c r="AJE4" s="2">
        <v>-0.2</v>
      </c>
      <c r="AJF4" s="2">
        <v>-0.9</v>
      </c>
      <c r="AJG4" s="2">
        <v>1.1</v>
      </c>
      <c r="AJH4" s="2">
        <v>0.4</v>
      </c>
      <c r="AJI4" s="2">
        <v>-0.4</v>
      </c>
      <c r="AJJ4" s="2">
        <v>0.5</v>
      </c>
      <c r="AJK4" s="2">
        <v>0.9</v>
      </c>
      <c r="AJL4" s="2">
        <v>1.4</v>
      </c>
      <c r="AJM4" s="2">
        <v>-0.4</v>
      </c>
      <c r="AJN4" s="2">
        <v>0.4</v>
      </c>
      <c r="AJO4" s="2">
        <v>1.3</v>
      </c>
      <c r="AJP4" s="2">
        <v>2</v>
      </c>
      <c r="AJQ4" s="2">
        <v>0.5</v>
      </c>
      <c r="AJR4" s="2">
        <v>-0.4</v>
      </c>
      <c r="AJS4" s="2">
        <v>0.2</v>
      </c>
      <c r="AJT4" s="2">
        <v>0.4</v>
      </c>
      <c r="AJU4" s="2">
        <v>0.5</v>
      </c>
      <c r="AJV4" s="2">
        <v>0.3</v>
      </c>
      <c r="AJW4" s="2">
        <v>0.6</v>
      </c>
      <c r="AJX4" s="2">
        <v>2.8</v>
      </c>
      <c r="AJY4" s="2">
        <v>2.1</v>
      </c>
      <c r="AJZ4" s="2">
        <v>3.3</v>
      </c>
      <c r="AKA4" s="2">
        <v>0.9</v>
      </c>
      <c r="AKB4" s="2">
        <v>1.6</v>
      </c>
      <c r="AKC4" s="2">
        <v>1.6</v>
      </c>
      <c r="AKD4" s="2">
        <v>0.7</v>
      </c>
      <c r="AKE4" s="2">
        <v>0.5</v>
      </c>
      <c r="AKF4" s="2">
        <v>0.9</v>
      </c>
      <c r="AKG4" s="2">
        <v>1.2</v>
      </c>
      <c r="AKH4" s="2">
        <v>0.7</v>
      </c>
      <c r="AKI4" s="2">
        <v>0.2</v>
      </c>
      <c r="AKJ4" s="2">
        <v>1.2</v>
      </c>
      <c r="AKK4" s="2">
        <v>1</v>
      </c>
      <c r="AKL4" s="2">
        <v>0.7</v>
      </c>
      <c r="AKM4" s="2">
        <v>0.4</v>
      </c>
      <c r="AKN4" s="2">
        <v>1</v>
      </c>
      <c r="AKO4" s="2">
        <v>1</v>
      </c>
      <c r="AKP4" s="2">
        <v>17.46</v>
      </c>
      <c r="AKQ4" s="2">
        <v>17.64</v>
      </c>
      <c r="AKR4" s="2">
        <v>17.81</v>
      </c>
    </row>
    <row r="5">
      <c r="A5" t="inlineStr">
        <is>
          <t>Alcohol and tobacco</t>
        </is>
      </c>
      <c r="B5" t="inlineStr">
        <is>
          <t>All groups CPI</t>
        </is>
      </c>
      <c r="C5">
        <v>1</v>
      </c>
      <c r="D5">
        <v>6.51</v>
      </c>
      <c r="E5" s="3">
        <f>D5/100.0*1.0</f>
        <v>0.06509999999999999</v>
      </c>
      <c r="F5" s="3">
        <f>E5-D5/100</f>
        <v>0.0</v>
      </c>
      <c r="G5" s="3">
        <f>D5/100.0</f>
        <v>0.06509999999999999</v>
      </c>
      <c r="CI5" s="2">
        <v>92.14</v>
      </c>
      <c r="CJ5" s="2">
        <v>92.36</v>
      </c>
      <c r="CK5" s="2">
        <v>92.38</v>
      </c>
      <c r="CL5" s="2">
        <v>92.66</v>
      </c>
      <c r="CM5" s="2">
        <v>93.2</v>
      </c>
      <c r="CN5" s="2">
        <v>94.79000000000001</v>
      </c>
      <c r="CO5" s="2">
        <v>95.75</v>
      </c>
      <c r="CP5" s="2">
        <v>95.98999999999999</v>
      </c>
      <c r="CQ5" s="2">
        <v>95.42</v>
      </c>
      <c r="CR5" s="2">
        <v>96.13</v>
      </c>
      <c r="CS5" s="2">
        <v>96.98</v>
      </c>
      <c r="CT5" s="2">
        <v>97.65000000000001</v>
      </c>
      <c r="CU5" s="2">
        <v>97.31</v>
      </c>
      <c r="CV5" s="2">
        <v>97.76000000000001</v>
      </c>
      <c r="CW5" s="2">
        <v>97.56999999999999</v>
      </c>
      <c r="CX5" s="2">
        <v>98.63</v>
      </c>
      <c r="CY5" s="2">
        <v>98.81999999999999</v>
      </c>
      <c r="CZ5" s="2">
        <v>100</v>
      </c>
      <c r="DA5" s="2">
        <v>100</v>
      </c>
      <c r="DB5" s="2">
        <v>100.09</v>
      </c>
      <c r="DC5" s="2">
        <v>100.06</v>
      </c>
      <c r="DD5" s="2">
        <v>100.95</v>
      </c>
      <c r="DE5" s="2">
        <v>101.13</v>
      </c>
      <c r="DF5" s="2">
        <v>101.98</v>
      </c>
      <c r="DG5" s="2">
        <v>101.49</v>
      </c>
      <c r="DH5" s="2">
        <v>102.36</v>
      </c>
      <c r="DI5" s="2">
        <v>101.85</v>
      </c>
      <c r="DJ5" s="2">
        <v>103.05</v>
      </c>
      <c r="GL5" s="2">
        <v>5.6</v>
      </c>
      <c r="GM5" s="2">
        <v>5.8</v>
      </c>
      <c r="GN5" s="2">
        <v>5.6</v>
      </c>
      <c r="GO5" s="2">
        <v>6.4</v>
      </c>
      <c r="GP5" s="2">
        <v>6</v>
      </c>
      <c r="GQ5" s="2">
        <v>5.5</v>
      </c>
      <c r="GR5" s="2">
        <v>4.4</v>
      </c>
      <c r="GS5" s="2">
        <v>4.3</v>
      </c>
      <c r="GT5" s="2">
        <v>4.9</v>
      </c>
      <c r="GU5" s="2">
        <v>5</v>
      </c>
      <c r="GV5" s="2">
        <v>4.3</v>
      </c>
      <c r="GW5" s="2">
        <v>4.4</v>
      </c>
      <c r="GX5" s="2">
        <v>4.3</v>
      </c>
      <c r="GY5" s="2">
        <v>4.7</v>
      </c>
      <c r="GZ5" s="2">
        <v>4.4</v>
      </c>
      <c r="HA5" s="2">
        <v>4.5</v>
      </c>
      <c r="KC5" s="2">
        <v>0.2</v>
      </c>
      <c r="KD5" s="2">
        <v>0</v>
      </c>
      <c r="KE5" s="2">
        <v>0.3</v>
      </c>
      <c r="KF5" s="2">
        <v>0.6</v>
      </c>
      <c r="KG5" s="2">
        <v>1.7</v>
      </c>
      <c r="KH5" s="2">
        <v>1</v>
      </c>
      <c r="KI5" s="2">
        <v>0.3</v>
      </c>
      <c r="KJ5" s="2">
        <v>-0.6</v>
      </c>
      <c r="KK5" s="2">
        <v>0.7</v>
      </c>
      <c r="KL5" s="2">
        <v>0.9</v>
      </c>
      <c r="KM5" s="2">
        <v>0.7</v>
      </c>
      <c r="KN5" s="2">
        <v>-0.3</v>
      </c>
      <c r="KO5" s="2">
        <v>0.5</v>
      </c>
      <c r="KP5" s="2">
        <v>-0.2</v>
      </c>
      <c r="KQ5" s="2">
        <v>1.1</v>
      </c>
      <c r="KR5" s="2">
        <v>0.2</v>
      </c>
      <c r="KS5" s="2">
        <v>1.2</v>
      </c>
      <c r="KT5" s="2">
        <v>0</v>
      </c>
      <c r="KU5" s="2">
        <v>0.1</v>
      </c>
      <c r="KV5" s="2">
        <v>0</v>
      </c>
      <c r="KW5" s="2">
        <v>0.9</v>
      </c>
      <c r="KX5" s="2">
        <v>0.2</v>
      </c>
      <c r="KY5" s="2">
        <v>0.8</v>
      </c>
      <c r="KZ5" s="2">
        <v>-0.5</v>
      </c>
      <c r="LA5" s="2">
        <v>0.9</v>
      </c>
      <c r="LB5" s="2">
        <v>-0.5</v>
      </c>
      <c r="LC5" s="2">
        <v>1.2</v>
      </c>
      <c r="LD5" s="2">
        <v>6.34</v>
      </c>
      <c r="LE5" s="2">
        <v>6.38</v>
      </c>
      <c r="LF5" s="2">
        <v>6.44</v>
      </c>
      <c r="LG5" s="2">
        <v>6.49</v>
      </c>
      <c r="LH5" s="2">
        <v>6.46</v>
      </c>
      <c r="LI5" s="2">
        <v>6.49</v>
      </c>
      <c r="LJ5" s="2">
        <v>6.48</v>
      </c>
      <c r="LK5" s="2">
        <v>6.55</v>
      </c>
      <c r="LL5" s="2">
        <v>6.56</v>
      </c>
      <c r="LM5" s="2">
        <v>6.64</v>
      </c>
      <c r="LN5" s="2">
        <v>6.64</v>
      </c>
      <c r="LO5" s="2">
        <v>6.65</v>
      </c>
      <c r="LP5" s="2">
        <v>6.65</v>
      </c>
      <c r="LQ5" s="2">
        <v>6.7</v>
      </c>
      <c r="LR5" s="2">
        <v>6.72</v>
      </c>
      <c r="LS5" s="2">
        <v>6.77</v>
      </c>
      <c r="LT5" s="2">
        <v>6.74</v>
      </c>
      <c r="LU5" s="2">
        <v>6.8</v>
      </c>
      <c r="LV5" s="2">
        <v>6.76</v>
      </c>
      <c r="LW5" s="2">
        <v>6.84</v>
      </c>
      <c r="LX5" s="2">
        <v>0.04</v>
      </c>
      <c r="LY5" s="2">
        <v>0.06</v>
      </c>
      <c r="LZ5" s="2">
        <v>0.05</v>
      </c>
      <c r="MA5" s="2">
        <v>-0.03</v>
      </c>
      <c r="MB5" s="2">
        <v>0.03</v>
      </c>
      <c r="MC5" s="2">
        <v>-0.01</v>
      </c>
      <c r="MD5" s="2">
        <v>0.07000000000000001</v>
      </c>
      <c r="ME5" s="2">
        <v>0.01</v>
      </c>
      <c r="MF5" s="2">
        <v>0.08</v>
      </c>
      <c r="MG5" s="2">
        <v>0</v>
      </c>
      <c r="MH5" s="2">
        <v>0.01</v>
      </c>
      <c r="MI5" s="2">
        <v>0</v>
      </c>
      <c r="MJ5" s="2">
        <v>0.05</v>
      </c>
      <c r="MK5" s="2">
        <v>0.02</v>
      </c>
      <c r="ML5" s="2">
        <v>0.05</v>
      </c>
      <c r="MM5" s="2">
        <v>-0.03</v>
      </c>
      <c r="MN5" s="2">
        <v>0.06</v>
      </c>
      <c r="MO5" s="2">
        <v>-0.04</v>
      </c>
      <c r="MP5" s="2">
        <v>0.08</v>
      </c>
      <c r="QI5" s="2">
        <v>2.61</v>
      </c>
      <c r="QJ5" s="2">
        <v>2.63</v>
      </c>
      <c r="QK5" s="2">
        <v>2.68</v>
      </c>
      <c r="QL5" s="2">
        <v>2.77</v>
      </c>
      <c r="QM5" s="2">
        <v>2.77</v>
      </c>
      <c r="QN5" s="2">
        <v>2.93</v>
      </c>
      <c r="QO5" s="2">
        <v>2.93</v>
      </c>
      <c r="QP5" s="2">
        <v>3.08</v>
      </c>
      <c r="QQ5" s="2">
        <v>3.29</v>
      </c>
      <c r="QR5" s="2">
        <v>3.34</v>
      </c>
      <c r="QS5" s="2">
        <v>3.52</v>
      </c>
      <c r="QT5" s="2">
        <v>3.59</v>
      </c>
      <c r="QU5" s="2">
        <v>3.67</v>
      </c>
      <c r="QV5" s="2">
        <v>4.36</v>
      </c>
      <c r="QW5" s="2">
        <v>4.45</v>
      </c>
      <c r="QX5" s="2">
        <v>4.56</v>
      </c>
      <c r="QY5" s="2">
        <v>4.56</v>
      </c>
      <c r="QZ5" s="2">
        <v>4.62</v>
      </c>
      <c r="RA5" s="2">
        <v>4.65</v>
      </c>
      <c r="RB5" s="2">
        <v>4.71</v>
      </c>
      <c r="RC5" s="2">
        <v>4.77</v>
      </c>
      <c r="RD5" s="2">
        <v>4.83</v>
      </c>
      <c r="RE5" s="2">
        <v>4.89</v>
      </c>
      <c r="RF5" s="2">
        <v>4.9</v>
      </c>
      <c r="RG5" s="2">
        <v>4.94</v>
      </c>
      <c r="RH5" s="2">
        <v>5.79</v>
      </c>
      <c r="RI5" s="2">
        <v>5.78</v>
      </c>
      <c r="RJ5" s="2">
        <v>5.85</v>
      </c>
      <c r="RK5" s="2">
        <v>5.93</v>
      </c>
      <c r="RL5" s="2">
        <v>6</v>
      </c>
      <c r="RM5" s="2">
        <v>6.12</v>
      </c>
      <c r="RN5" s="2">
        <v>6.22</v>
      </c>
      <c r="RO5" s="2">
        <v>6.34</v>
      </c>
      <c r="RP5" s="2">
        <v>6.4</v>
      </c>
      <c r="RQ5" s="2">
        <v>6.54</v>
      </c>
      <c r="RR5" s="2">
        <v>6.65</v>
      </c>
      <c r="RS5" s="2">
        <v>6.85</v>
      </c>
      <c r="RT5" s="2">
        <v>6.97</v>
      </c>
      <c r="RU5" s="2">
        <v>7.16</v>
      </c>
      <c r="RV5" s="2">
        <v>7.32</v>
      </c>
      <c r="RW5" s="2">
        <v>7.64</v>
      </c>
      <c r="RX5" s="2">
        <v>8.039999999999999</v>
      </c>
      <c r="RY5" s="2">
        <v>8.16</v>
      </c>
      <c r="RZ5" s="2">
        <v>8.33</v>
      </c>
      <c r="SA5" s="2">
        <v>8.51</v>
      </c>
      <c r="SB5" s="2">
        <v>9.039999999999999</v>
      </c>
      <c r="SC5" s="2">
        <v>9.199999999999999</v>
      </c>
      <c r="SD5" s="2">
        <v>9.43</v>
      </c>
      <c r="SE5" s="2">
        <v>9.57</v>
      </c>
      <c r="SF5" s="2">
        <v>9.76</v>
      </c>
      <c r="SG5" s="2">
        <v>9.869999999999999</v>
      </c>
      <c r="SH5" s="2">
        <v>10.02</v>
      </c>
      <c r="SI5" s="2">
        <v>10.3</v>
      </c>
      <c r="SJ5" s="2">
        <v>10.55</v>
      </c>
      <c r="SK5" s="2">
        <v>10.86</v>
      </c>
      <c r="SL5" s="2">
        <v>11.08</v>
      </c>
      <c r="SM5" s="2">
        <v>11.34</v>
      </c>
      <c r="SN5" s="2">
        <v>11.68</v>
      </c>
      <c r="SO5" s="2">
        <v>12</v>
      </c>
      <c r="SP5" s="2">
        <v>12.29</v>
      </c>
      <c r="SQ5" s="2">
        <v>12.48</v>
      </c>
      <c r="SR5" s="2">
        <v>12.69</v>
      </c>
      <c r="SS5" s="2">
        <v>12.95</v>
      </c>
      <c r="ST5" s="2">
        <v>13.16</v>
      </c>
      <c r="SU5" s="2">
        <v>13.32</v>
      </c>
      <c r="SV5" s="2">
        <v>13.35</v>
      </c>
      <c r="SW5" s="2">
        <v>13.61</v>
      </c>
      <c r="SX5" s="2">
        <v>13.91</v>
      </c>
      <c r="SY5" s="2">
        <v>14.23</v>
      </c>
      <c r="SZ5" s="2">
        <v>14.51</v>
      </c>
      <c r="TA5" s="2">
        <v>14.83</v>
      </c>
      <c r="TB5" s="2">
        <v>15.1</v>
      </c>
      <c r="TC5" s="2">
        <v>15.39</v>
      </c>
      <c r="TD5" s="2">
        <v>15.9</v>
      </c>
      <c r="TE5" s="2">
        <v>16.12</v>
      </c>
      <c r="TF5" s="2">
        <v>16.45</v>
      </c>
      <c r="TG5" s="2">
        <v>16.67</v>
      </c>
      <c r="TH5" s="2">
        <v>16.83</v>
      </c>
      <c r="TI5" s="2">
        <v>16.9</v>
      </c>
      <c r="TJ5" s="2">
        <v>17.09</v>
      </c>
      <c r="TK5" s="2">
        <v>17.63</v>
      </c>
      <c r="TL5" s="2">
        <v>18.1</v>
      </c>
      <c r="TM5" s="2">
        <v>18.5</v>
      </c>
      <c r="TN5" s="2">
        <v>18.78</v>
      </c>
      <c r="TO5" s="2">
        <v>19.19</v>
      </c>
      <c r="TP5" s="2">
        <v>19.53</v>
      </c>
      <c r="TQ5" s="2">
        <v>19.73</v>
      </c>
      <c r="TR5" s="2">
        <v>19.98</v>
      </c>
      <c r="TS5" s="2">
        <v>20.16</v>
      </c>
      <c r="TT5" s="2">
        <v>20.41</v>
      </c>
      <c r="TU5" s="2">
        <v>20.7</v>
      </c>
      <c r="TV5" s="2">
        <v>21.48</v>
      </c>
      <c r="TW5" s="2">
        <v>22.21</v>
      </c>
      <c r="TX5" s="2">
        <v>22.78</v>
      </c>
      <c r="TY5" s="2">
        <v>23.15</v>
      </c>
      <c r="TZ5" s="2">
        <v>23.44</v>
      </c>
      <c r="UA5" s="2">
        <v>23.53</v>
      </c>
      <c r="UB5" s="2">
        <v>23.65</v>
      </c>
      <c r="UC5" s="2">
        <v>23.72</v>
      </c>
      <c r="UD5" s="2">
        <v>23.78</v>
      </c>
      <c r="UE5" s="2">
        <v>23.75</v>
      </c>
      <c r="UF5" s="2">
        <v>24.1</v>
      </c>
      <c r="UG5" s="2">
        <v>24.27</v>
      </c>
      <c r="UH5" s="2">
        <v>24.46</v>
      </c>
      <c r="UI5" s="2">
        <v>24.57</v>
      </c>
      <c r="UJ5" s="2">
        <v>24.63</v>
      </c>
      <c r="UK5" s="2">
        <v>24.82</v>
      </c>
      <c r="UL5" s="2">
        <v>24.99</v>
      </c>
      <c r="UM5" s="2">
        <v>25.05</v>
      </c>
      <c r="UN5" s="2">
        <v>25.55</v>
      </c>
      <c r="UO5" s="2">
        <v>25.99</v>
      </c>
      <c r="UP5" s="2">
        <v>26.2</v>
      </c>
      <c r="UQ5" s="2">
        <v>27.9</v>
      </c>
      <c r="UR5" s="2">
        <v>28.19</v>
      </c>
      <c r="US5" s="2">
        <v>28.91</v>
      </c>
      <c r="UT5" s="2">
        <v>29.25</v>
      </c>
      <c r="UU5" s="2">
        <v>29.56</v>
      </c>
      <c r="UV5" s="2">
        <v>29.61</v>
      </c>
      <c r="UW5" s="2">
        <v>29.92</v>
      </c>
      <c r="UX5" s="2">
        <v>30.08</v>
      </c>
      <c r="UY5" s="2">
        <v>30.41</v>
      </c>
      <c r="UZ5" s="2">
        <v>30.42</v>
      </c>
      <c r="VA5" s="2">
        <v>30.8</v>
      </c>
      <c r="VB5" s="2">
        <v>30.98</v>
      </c>
      <c r="VC5" s="2">
        <v>31.57</v>
      </c>
      <c r="VD5" s="2">
        <v>31.76</v>
      </c>
      <c r="VE5" s="2">
        <v>32.11</v>
      </c>
      <c r="VF5" s="2">
        <v>32.35</v>
      </c>
      <c r="VG5" s="2">
        <v>32.65</v>
      </c>
      <c r="VH5" s="2">
        <v>32.87</v>
      </c>
      <c r="VI5" s="2">
        <v>33.29</v>
      </c>
      <c r="VJ5" s="2">
        <v>33.46</v>
      </c>
      <c r="VK5" s="2">
        <v>33.79</v>
      </c>
      <c r="VL5" s="2">
        <v>33.95</v>
      </c>
      <c r="VM5" s="2">
        <v>34.38</v>
      </c>
      <c r="VN5" s="2">
        <v>34.68</v>
      </c>
      <c r="VO5" s="2">
        <v>34.88</v>
      </c>
      <c r="VP5" s="2">
        <v>35.14</v>
      </c>
      <c r="VQ5" s="2">
        <v>35.44</v>
      </c>
      <c r="VR5" s="2">
        <v>35.74</v>
      </c>
      <c r="VS5" s="2">
        <v>35.95</v>
      </c>
      <c r="VT5" s="2">
        <v>36.41</v>
      </c>
      <c r="VU5" s="2">
        <v>36.79</v>
      </c>
      <c r="VV5" s="2">
        <v>37.47</v>
      </c>
      <c r="VW5" s="2">
        <v>38.01</v>
      </c>
      <c r="VX5" s="2">
        <v>38.53</v>
      </c>
      <c r="VY5" s="2">
        <v>38.89</v>
      </c>
      <c r="VZ5" s="2">
        <v>39.22</v>
      </c>
      <c r="WA5" s="2">
        <v>39.52</v>
      </c>
      <c r="WB5" s="2">
        <v>39.73</v>
      </c>
      <c r="WC5" s="2">
        <v>40.24</v>
      </c>
      <c r="WD5" s="2">
        <v>42.63</v>
      </c>
      <c r="WE5" s="2">
        <v>43.94</v>
      </c>
      <c r="WF5" s="2">
        <v>44.28</v>
      </c>
      <c r="WG5" s="2">
        <v>44.75</v>
      </c>
      <c r="WH5" s="2">
        <v>45.03</v>
      </c>
      <c r="WI5" s="2">
        <v>45.28</v>
      </c>
      <c r="WJ5" s="2">
        <v>45.66</v>
      </c>
      <c r="WK5" s="2">
        <v>46.31</v>
      </c>
      <c r="WL5" s="2">
        <v>46.78</v>
      </c>
      <c r="WM5" s="2">
        <v>47.18</v>
      </c>
      <c r="WN5" s="2">
        <v>47.28</v>
      </c>
      <c r="WO5" s="2">
        <v>48.03</v>
      </c>
      <c r="WP5" s="2">
        <v>48.68</v>
      </c>
      <c r="WQ5" s="2">
        <v>49.08</v>
      </c>
      <c r="WR5" s="2">
        <v>49.87</v>
      </c>
      <c r="WS5" s="2">
        <v>51.31</v>
      </c>
      <c r="WT5" s="2">
        <v>52.11</v>
      </c>
      <c r="WU5" s="2">
        <v>52.66</v>
      </c>
      <c r="WV5" s="2">
        <v>53.55</v>
      </c>
      <c r="WW5" s="2">
        <v>53.96</v>
      </c>
      <c r="WX5" s="2">
        <v>54.61</v>
      </c>
      <c r="WY5" s="2">
        <v>55.29</v>
      </c>
      <c r="WZ5" s="2">
        <v>56.78</v>
      </c>
      <c r="XA5" s="2">
        <v>57.26</v>
      </c>
      <c r="XB5" s="2">
        <v>57.81</v>
      </c>
      <c r="XC5" s="2">
        <v>58.49</v>
      </c>
      <c r="XD5" s="2">
        <v>60.14</v>
      </c>
      <c r="XE5" s="2">
        <v>60.79</v>
      </c>
      <c r="XF5" s="2">
        <v>61.24</v>
      </c>
      <c r="XG5" s="2">
        <v>62.56</v>
      </c>
      <c r="XH5" s="2">
        <v>64.56</v>
      </c>
      <c r="XI5" s="2">
        <v>65.03</v>
      </c>
      <c r="XJ5" s="2">
        <v>66.01000000000001</v>
      </c>
      <c r="XK5" s="2">
        <v>66.84999999999999</v>
      </c>
      <c r="XL5" s="2">
        <v>68.95</v>
      </c>
      <c r="XM5" s="2">
        <v>69.17</v>
      </c>
      <c r="XN5" s="2">
        <v>69.88</v>
      </c>
      <c r="XO5" s="2">
        <v>71.28</v>
      </c>
      <c r="XP5" s="2">
        <v>73.43000000000001</v>
      </c>
      <c r="XQ5" s="2">
        <v>74.62</v>
      </c>
      <c r="XR5" s="2">
        <v>75.77</v>
      </c>
      <c r="XS5" s="2">
        <v>77.01000000000001</v>
      </c>
      <c r="XT5" s="2">
        <v>80.25</v>
      </c>
      <c r="XU5" s="2">
        <v>80.53</v>
      </c>
      <c r="XV5" s="2">
        <v>80.83</v>
      </c>
      <c r="XW5" s="2">
        <v>80.40000000000001</v>
      </c>
      <c r="XX5" s="2">
        <v>81.12</v>
      </c>
      <c r="XY5" s="2">
        <v>81.98999999999999</v>
      </c>
      <c r="XZ5" s="2">
        <v>82.62</v>
      </c>
      <c r="YA5" s="2">
        <v>83.63</v>
      </c>
      <c r="YB5" s="2">
        <v>84.63</v>
      </c>
      <c r="YC5" s="2">
        <v>85.64</v>
      </c>
      <c r="YD5" s="2">
        <v>86.51000000000001</v>
      </c>
      <c r="YE5" s="2">
        <v>87.75</v>
      </c>
      <c r="YF5" s="2">
        <v>90.23</v>
      </c>
      <c r="YG5" s="2">
        <v>91.01000000000001</v>
      </c>
      <c r="YH5" s="2">
        <v>92.33</v>
      </c>
      <c r="YI5" s="2">
        <v>93.59</v>
      </c>
      <c r="YJ5" s="2">
        <v>95.77</v>
      </c>
      <c r="YK5" s="2">
        <v>96.95</v>
      </c>
      <c r="YL5" s="2">
        <v>97.56</v>
      </c>
      <c r="YM5" s="2">
        <v>99.15000000000001</v>
      </c>
      <c r="YN5" s="2">
        <v>100.05</v>
      </c>
      <c r="YO5" s="2">
        <v>101.35</v>
      </c>
      <c r="YP5" s="2">
        <v>101.9</v>
      </c>
      <c r="ACI5" s="2">
        <v>0.8</v>
      </c>
      <c r="ACJ5" s="2">
        <v>1.9</v>
      </c>
      <c r="ACK5" s="2">
        <v>3.4</v>
      </c>
      <c r="ACL5" s="2">
        <v>0</v>
      </c>
      <c r="ACM5" s="2">
        <v>5.8</v>
      </c>
      <c r="ACN5" s="2">
        <v>0</v>
      </c>
      <c r="ACO5" s="2">
        <v>5.1</v>
      </c>
      <c r="ACP5" s="2">
        <v>6.8</v>
      </c>
      <c r="ACQ5" s="2">
        <v>1.5</v>
      </c>
      <c r="ACR5" s="2">
        <v>5.4</v>
      </c>
      <c r="ACS5" s="2">
        <v>2</v>
      </c>
      <c r="ACT5" s="2">
        <v>2.2</v>
      </c>
      <c r="ACU5" s="2">
        <v>18.8</v>
      </c>
      <c r="ACV5" s="2">
        <v>2.1</v>
      </c>
      <c r="ACW5" s="2">
        <v>2.5</v>
      </c>
      <c r="ACX5" s="2">
        <v>0</v>
      </c>
      <c r="ACY5" s="2">
        <v>1.3</v>
      </c>
      <c r="ACZ5" s="2">
        <v>0.6</v>
      </c>
      <c r="ADA5" s="2">
        <v>1.3</v>
      </c>
      <c r="ADB5" s="2">
        <v>1.3</v>
      </c>
      <c r="ADC5" s="2">
        <v>1.3</v>
      </c>
      <c r="ADD5" s="2">
        <v>1.2</v>
      </c>
      <c r="ADE5" s="2">
        <v>0.2</v>
      </c>
      <c r="ADF5" s="2">
        <v>0.8</v>
      </c>
      <c r="ADG5" s="2">
        <v>17.2</v>
      </c>
      <c r="ADH5" s="2">
        <v>-0.2</v>
      </c>
      <c r="ADI5" s="2">
        <v>1.2</v>
      </c>
      <c r="ADJ5" s="2">
        <v>1.4</v>
      </c>
      <c r="ADK5" s="2">
        <v>1.2</v>
      </c>
      <c r="ADL5" s="2">
        <v>2</v>
      </c>
      <c r="ADM5" s="2">
        <v>1.6</v>
      </c>
      <c r="ADN5" s="2">
        <v>1.9</v>
      </c>
      <c r="ADO5" s="2">
        <v>0.9</v>
      </c>
      <c r="ADP5" s="2">
        <v>2.2</v>
      </c>
      <c r="ADQ5" s="2">
        <v>1.7</v>
      </c>
      <c r="ADR5" s="2">
        <v>3</v>
      </c>
      <c r="ADS5" s="2">
        <v>1.8</v>
      </c>
      <c r="ADT5" s="2">
        <v>2.7</v>
      </c>
      <c r="ADU5" s="2">
        <v>2.2</v>
      </c>
      <c r="ADV5" s="2">
        <v>4.4</v>
      </c>
      <c r="ADW5" s="2">
        <v>5.2</v>
      </c>
      <c r="ADX5" s="2">
        <v>1.5</v>
      </c>
      <c r="ADY5" s="2">
        <v>2.1</v>
      </c>
      <c r="ADZ5" s="2">
        <v>2.2</v>
      </c>
      <c r="AEA5" s="2">
        <v>6.2</v>
      </c>
      <c r="AEB5" s="2">
        <v>1.8</v>
      </c>
      <c r="AEC5" s="2">
        <v>2.5</v>
      </c>
      <c r="AED5" s="2">
        <v>1.5</v>
      </c>
      <c r="AEE5" s="2">
        <v>2</v>
      </c>
      <c r="AEF5" s="2">
        <v>1.1</v>
      </c>
      <c r="AEG5" s="2">
        <v>1.5</v>
      </c>
      <c r="AEH5" s="2">
        <v>2.8</v>
      </c>
      <c r="AEI5" s="2">
        <v>2.4</v>
      </c>
      <c r="AEJ5" s="2">
        <v>2.9</v>
      </c>
      <c r="AEK5" s="2">
        <v>2</v>
      </c>
      <c r="AEL5" s="2">
        <v>2.3</v>
      </c>
      <c r="AEM5" s="2">
        <v>3</v>
      </c>
      <c r="AEN5" s="2">
        <v>2.7</v>
      </c>
      <c r="AEO5" s="2">
        <v>2.4</v>
      </c>
      <c r="AEP5" s="2">
        <v>1.5</v>
      </c>
      <c r="AEQ5" s="2">
        <v>1.7</v>
      </c>
      <c r="AER5" s="2">
        <v>2</v>
      </c>
      <c r="AES5" s="2">
        <v>1.6</v>
      </c>
      <c r="AET5" s="2">
        <v>1.2</v>
      </c>
      <c r="AEU5" s="2">
        <v>0.2</v>
      </c>
      <c r="AEV5" s="2">
        <v>1.9</v>
      </c>
      <c r="AEW5" s="2">
        <v>2.2</v>
      </c>
      <c r="AEX5" s="2">
        <v>2.3</v>
      </c>
      <c r="AEY5" s="2">
        <v>2</v>
      </c>
      <c r="AEZ5" s="2">
        <v>2.2</v>
      </c>
      <c r="AFA5" s="2">
        <v>1.8</v>
      </c>
      <c r="AFB5" s="2">
        <v>1.9</v>
      </c>
      <c r="AFC5" s="2">
        <v>3.3</v>
      </c>
      <c r="AFD5" s="2">
        <v>1.4</v>
      </c>
      <c r="AFE5" s="2">
        <v>2</v>
      </c>
      <c r="AFF5" s="2">
        <v>1.3</v>
      </c>
      <c r="AFG5" s="2">
        <v>1</v>
      </c>
      <c r="AFH5" s="2">
        <v>0.4</v>
      </c>
      <c r="AFI5" s="2">
        <v>1.1</v>
      </c>
      <c r="AFJ5" s="2">
        <v>3.2</v>
      </c>
      <c r="AFK5" s="2">
        <v>2.7</v>
      </c>
      <c r="AFL5" s="2">
        <v>2.2</v>
      </c>
      <c r="AFM5" s="2">
        <v>1.5</v>
      </c>
      <c r="AFN5" s="2">
        <v>2.2</v>
      </c>
      <c r="AFO5" s="2">
        <v>1.8</v>
      </c>
      <c r="AFP5" s="2">
        <v>1</v>
      </c>
      <c r="AFQ5" s="2">
        <v>1.3</v>
      </c>
      <c r="AFR5" s="2">
        <v>0.9</v>
      </c>
      <c r="AFS5" s="2">
        <v>1.2</v>
      </c>
      <c r="AFT5" s="2">
        <v>1.4</v>
      </c>
      <c r="AFU5" s="2">
        <v>3.8</v>
      </c>
      <c r="AFV5" s="2">
        <v>3.4</v>
      </c>
      <c r="AFW5" s="2">
        <v>2.6</v>
      </c>
      <c r="AFX5" s="2">
        <v>1.6</v>
      </c>
      <c r="AFY5" s="2">
        <v>1.3</v>
      </c>
      <c r="AFZ5" s="2">
        <v>0.4</v>
      </c>
      <c r="AGA5" s="2">
        <v>0.5</v>
      </c>
      <c r="AGB5" s="2">
        <v>0.3</v>
      </c>
      <c r="AGC5" s="2">
        <v>0.3</v>
      </c>
      <c r="AGD5" s="2">
        <v>-0.1</v>
      </c>
      <c r="AGE5" s="2">
        <v>1.5</v>
      </c>
      <c r="AGF5" s="2">
        <v>0.7</v>
      </c>
      <c r="AGG5" s="2">
        <v>0.8</v>
      </c>
      <c r="AGH5" s="2">
        <v>0.4</v>
      </c>
      <c r="AGI5" s="2">
        <v>0.2</v>
      </c>
      <c r="AGJ5" s="2">
        <v>0.8</v>
      </c>
      <c r="AGK5" s="2">
        <v>0.7</v>
      </c>
      <c r="AGL5" s="2">
        <v>0.2</v>
      </c>
      <c r="AGM5" s="2">
        <v>2</v>
      </c>
      <c r="AGN5" s="2">
        <v>1.7</v>
      </c>
      <c r="AGO5" s="2">
        <v>0.8</v>
      </c>
      <c r="AGP5" s="2">
        <v>6.5</v>
      </c>
      <c r="AGQ5" s="2">
        <v>1</v>
      </c>
      <c r="AGR5" s="2">
        <v>2.6</v>
      </c>
      <c r="AGS5" s="2">
        <v>1.2</v>
      </c>
      <c r="AGT5" s="2">
        <v>1.1</v>
      </c>
      <c r="AGU5" s="2">
        <v>0.2</v>
      </c>
      <c r="AGV5" s="2">
        <v>1</v>
      </c>
      <c r="AGW5" s="2">
        <v>0.5</v>
      </c>
      <c r="AGX5" s="2">
        <v>1.1</v>
      </c>
      <c r="AGY5" s="2">
        <v>0</v>
      </c>
      <c r="AGZ5" s="2">
        <v>1.2</v>
      </c>
      <c r="AHA5" s="2">
        <v>0.6</v>
      </c>
      <c r="AHB5" s="2">
        <v>1.9</v>
      </c>
      <c r="AHC5" s="2">
        <v>0.6</v>
      </c>
      <c r="AHD5" s="2">
        <v>1.1</v>
      </c>
      <c r="AHE5" s="2">
        <v>0.7</v>
      </c>
      <c r="AHF5" s="2">
        <v>0.9</v>
      </c>
      <c r="AHG5" s="2">
        <v>0.7</v>
      </c>
      <c r="AHH5" s="2">
        <v>1.3</v>
      </c>
      <c r="AHI5" s="2">
        <v>0.5</v>
      </c>
      <c r="AHJ5" s="2">
        <v>1</v>
      </c>
      <c r="AHK5" s="2">
        <v>0.5</v>
      </c>
      <c r="AHL5" s="2">
        <v>1.3</v>
      </c>
      <c r="AHM5" s="2">
        <v>0.9</v>
      </c>
      <c r="AHN5" s="2">
        <v>0.6</v>
      </c>
      <c r="AHO5" s="2">
        <v>0.7</v>
      </c>
      <c r="AHP5" s="2">
        <v>0.9</v>
      </c>
      <c r="AHQ5" s="2">
        <v>0.8</v>
      </c>
      <c r="AHR5" s="2">
        <v>0.6</v>
      </c>
      <c r="AHS5" s="2">
        <v>1.3</v>
      </c>
      <c r="AHT5" s="2">
        <v>1</v>
      </c>
      <c r="AHU5" s="2">
        <v>1.8</v>
      </c>
      <c r="AHV5" s="2">
        <v>1.4</v>
      </c>
      <c r="AHW5" s="2">
        <v>1.4</v>
      </c>
      <c r="AHX5" s="2">
        <v>0.9</v>
      </c>
      <c r="AHY5" s="2">
        <v>0.8</v>
      </c>
      <c r="AHZ5" s="2">
        <v>0.8</v>
      </c>
      <c r="AIA5" s="2">
        <v>0.5</v>
      </c>
      <c r="AIB5" s="2">
        <v>1.3</v>
      </c>
      <c r="AIC5" s="2">
        <v>5.9</v>
      </c>
      <c r="AID5" s="2">
        <v>3.1</v>
      </c>
      <c r="AIE5" s="2">
        <v>0.8</v>
      </c>
      <c r="AIF5" s="2">
        <v>1.1</v>
      </c>
      <c r="AIG5" s="2">
        <v>0.6</v>
      </c>
      <c r="AIH5" s="2">
        <v>0.6</v>
      </c>
      <c r="AII5" s="2">
        <v>0.8</v>
      </c>
      <c r="AIJ5" s="2">
        <v>1.4</v>
      </c>
      <c r="AIK5" s="2">
        <v>1</v>
      </c>
      <c r="AIL5" s="2">
        <v>0.9</v>
      </c>
      <c r="AIM5" s="2">
        <v>0.2</v>
      </c>
      <c r="AIN5" s="2">
        <v>1.6</v>
      </c>
      <c r="AIO5" s="2">
        <v>1.4</v>
      </c>
      <c r="AIP5" s="2">
        <v>0.8</v>
      </c>
      <c r="AIQ5" s="2">
        <v>1.6</v>
      </c>
      <c r="AIR5" s="2">
        <v>2.9</v>
      </c>
      <c r="AIS5" s="2">
        <v>1.6</v>
      </c>
      <c r="AIT5" s="2">
        <v>1.1</v>
      </c>
      <c r="AIU5" s="2">
        <v>1.7</v>
      </c>
      <c r="AIV5" s="2">
        <v>0.8</v>
      </c>
      <c r="AIW5" s="2">
        <v>1.2</v>
      </c>
      <c r="AIX5" s="2">
        <v>1.2</v>
      </c>
      <c r="AIY5" s="2">
        <v>2.7</v>
      </c>
      <c r="AIZ5" s="2">
        <v>0.8</v>
      </c>
      <c r="AJA5" s="2">
        <v>1</v>
      </c>
      <c r="AJB5" s="2">
        <v>1.2</v>
      </c>
      <c r="AJC5" s="2">
        <v>2.8</v>
      </c>
      <c r="AJD5" s="2">
        <v>1.1</v>
      </c>
      <c r="AJE5" s="2">
        <v>0.7</v>
      </c>
      <c r="AJF5" s="2">
        <v>2.2</v>
      </c>
      <c r="AJG5" s="2">
        <v>3.2</v>
      </c>
      <c r="AJH5" s="2">
        <v>0.7</v>
      </c>
      <c r="AJI5" s="2">
        <v>1.5</v>
      </c>
      <c r="AJJ5" s="2">
        <v>1.3</v>
      </c>
      <c r="AJK5" s="2">
        <v>3.1</v>
      </c>
      <c r="AJL5" s="2">
        <v>0.3</v>
      </c>
      <c r="AJM5" s="2">
        <v>1</v>
      </c>
      <c r="AJN5" s="2">
        <v>2</v>
      </c>
      <c r="AJO5" s="2">
        <v>3</v>
      </c>
      <c r="AJP5" s="2">
        <v>1.6</v>
      </c>
      <c r="AJQ5" s="2">
        <v>1.5</v>
      </c>
      <c r="AJR5" s="2">
        <v>1.6</v>
      </c>
      <c r="AJS5" s="2">
        <v>4.2</v>
      </c>
      <c r="AJT5" s="2">
        <v>0.3</v>
      </c>
      <c r="AJU5" s="2">
        <v>0.4</v>
      </c>
      <c r="AJV5" s="2">
        <v>-0.5</v>
      </c>
      <c r="AJW5" s="2">
        <v>0.9</v>
      </c>
      <c r="AJX5" s="2">
        <v>1.1</v>
      </c>
      <c r="AJY5" s="2">
        <v>0.8</v>
      </c>
      <c r="AJZ5" s="2">
        <v>1.2</v>
      </c>
      <c r="AKA5" s="2">
        <v>1.2</v>
      </c>
      <c r="AKB5" s="2">
        <v>1.2</v>
      </c>
      <c r="AKC5" s="2">
        <v>1</v>
      </c>
      <c r="AKD5" s="2">
        <v>1.4</v>
      </c>
      <c r="AKE5" s="2">
        <v>2.8</v>
      </c>
      <c r="AKF5" s="2">
        <v>0.9</v>
      </c>
      <c r="AKG5" s="2">
        <v>1.5</v>
      </c>
      <c r="AKH5" s="2">
        <v>1.4</v>
      </c>
      <c r="AKI5" s="2">
        <v>2.3</v>
      </c>
      <c r="AKJ5" s="2">
        <v>1.2</v>
      </c>
      <c r="AKK5" s="2">
        <v>0.6</v>
      </c>
      <c r="AKL5" s="2">
        <v>1.6</v>
      </c>
      <c r="AKM5" s="2">
        <v>0.9</v>
      </c>
      <c r="AKN5" s="2">
        <v>1.3</v>
      </c>
      <c r="AKO5" s="2">
        <v>0.5</v>
      </c>
      <c r="AKP5" s="2">
        <v>6.65</v>
      </c>
      <c r="AKQ5" s="2">
        <v>6.74</v>
      </c>
      <c r="AKR5" s="2">
        <v>6.77</v>
      </c>
    </row>
    <row r="6">
      <c r="A6" t="inlineStr">
        <is>
          <t>Clothing and footwear</t>
        </is>
      </c>
      <c r="B6" t="inlineStr">
        <is>
          <t>All groups CPI</t>
        </is>
      </c>
      <c r="C6">
        <v>1</v>
      </c>
      <c r="D6">
        <v>3.17</v>
      </c>
      <c r="E6" s="3">
        <f>D6/100.0*1.0</f>
        <v>0.0317</v>
      </c>
      <c r="F6" s="3">
        <f>E6-D6/100</f>
        <v>0.0</v>
      </c>
      <c r="G6" s="3">
        <f>D6/100.0</f>
        <v>0.0317</v>
      </c>
      <c r="CI6" s="2">
        <v>98.76000000000001</v>
      </c>
      <c r="CJ6" s="2">
        <v>95.67</v>
      </c>
      <c r="CK6" s="2">
        <v>94.11</v>
      </c>
      <c r="CL6" s="2">
        <v>97.01000000000001</v>
      </c>
      <c r="CM6" s="2">
        <v>96.45</v>
      </c>
      <c r="CN6" s="2">
        <v>96.31999999999999</v>
      </c>
      <c r="CO6" s="2">
        <v>96.95999999999999</v>
      </c>
      <c r="CP6" s="2">
        <v>94.20999999999999</v>
      </c>
      <c r="CQ6" s="2">
        <v>95.01000000000001</v>
      </c>
      <c r="CR6" s="2">
        <v>95.64</v>
      </c>
      <c r="CS6" s="2">
        <v>98.73</v>
      </c>
      <c r="CT6" s="2">
        <v>94.91</v>
      </c>
      <c r="CU6" s="2">
        <v>99.73</v>
      </c>
      <c r="CV6" s="2">
        <v>97.67</v>
      </c>
      <c r="CW6" s="2">
        <v>96.8</v>
      </c>
      <c r="CX6" s="2">
        <v>99.25</v>
      </c>
      <c r="CY6" s="2">
        <v>100.64</v>
      </c>
      <c r="CZ6" s="2">
        <v>100</v>
      </c>
      <c r="DA6" s="2">
        <v>102.23</v>
      </c>
      <c r="DB6" s="2">
        <v>99.04000000000001</v>
      </c>
      <c r="DC6" s="2">
        <v>98.2</v>
      </c>
      <c r="DD6" s="2">
        <v>101.04</v>
      </c>
      <c r="DE6" s="2">
        <v>103.66</v>
      </c>
      <c r="DF6" s="2">
        <v>101.67</v>
      </c>
      <c r="DG6" s="2">
        <v>105.59</v>
      </c>
      <c r="DH6" s="2">
        <v>102.57</v>
      </c>
      <c r="DI6" s="2">
        <v>101.54</v>
      </c>
      <c r="DJ6" s="2">
        <v>104.15</v>
      </c>
      <c r="GL6" s="2">
        <v>1</v>
      </c>
      <c r="GM6" s="2">
        <v>2.1</v>
      </c>
      <c r="GN6" s="2">
        <v>2.9</v>
      </c>
      <c r="GO6" s="2">
        <v>2.3</v>
      </c>
      <c r="GP6" s="2">
        <v>4.3</v>
      </c>
      <c r="GQ6" s="2">
        <v>3.8</v>
      </c>
      <c r="GR6" s="2">
        <v>5.4</v>
      </c>
      <c r="GS6" s="2">
        <v>5.1</v>
      </c>
      <c r="GT6" s="2">
        <v>3.4</v>
      </c>
      <c r="GU6" s="2">
        <v>5.6</v>
      </c>
      <c r="GV6" s="2">
        <v>5</v>
      </c>
      <c r="GW6" s="2">
        <v>7.1</v>
      </c>
      <c r="GX6" s="2">
        <v>5.9</v>
      </c>
      <c r="GY6" s="2">
        <v>5</v>
      </c>
      <c r="GZ6" s="2">
        <v>4.9</v>
      </c>
      <c r="HA6" s="2">
        <v>4.9</v>
      </c>
      <c r="KC6" s="2">
        <v>-3.1</v>
      </c>
      <c r="KD6" s="2">
        <v>-1.6</v>
      </c>
      <c r="KE6" s="2">
        <v>3.1</v>
      </c>
      <c r="KF6" s="2">
        <v>-0.6</v>
      </c>
      <c r="KG6" s="2">
        <v>-0.1</v>
      </c>
      <c r="KH6" s="2">
        <v>0.7</v>
      </c>
      <c r="KI6" s="2">
        <v>-2.8</v>
      </c>
      <c r="KJ6" s="2">
        <v>0.8</v>
      </c>
      <c r="KK6" s="2">
        <v>0.7</v>
      </c>
      <c r="KL6" s="2">
        <v>3.2</v>
      </c>
      <c r="KM6" s="2">
        <v>-3.9</v>
      </c>
      <c r="KN6" s="2">
        <v>5.1</v>
      </c>
      <c r="KO6" s="2">
        <v>-2.1</v>
      </c>
      <c r="KP6" s="2">
        <v>-0.9</v>
      </c>
      <c r="KQ6" s="2">
        <v>2.5</v>
      </c>
      <c r="KR6" s="2">
        <v>1.4</v>
      </c>
      <c r="KS6" s="2">
        <v>-0.6</v>
      </c>
      <c r="KT6" s="2">
        <v>2.2</v>
      </c>
      <c r="KU6" s="2">
        <v>-3.1</v>
      </c>
      <c r="KV6" s="2">
        <v>-0.8</v>
      </c>
      <c r="KW6" s="2">
        <v>2.9</v>
      </c>
      <c r="KX6" s="2">
        <v>2.6</v>
      </c>
      <c r="KY6" s="2">
        <v>-1.9</v>
      </c>
      <c r="KZ6" s="2">
        <v>3.9</v>
      </c>
      <c r="LA6" s="2">
        <v>-2.9</v>
      </c>
      <c r="LB6" s="2">
        <v>-1</v>
      </c>
      <c r="LC6" s="2">
        <v>2.6</v>
      </c>
      <c r="LD6" s="2">
        <v>3.09</v>
      </c>
      <c r="LE6" s="2">
        <v>3.11</v>
      </c>
      <c r="LF6" s="2">
        <v>3.21</v>
      </c>
      <c r="LG6" s="2">
        <v>3.08</v>
      </c>
      <c r="LH6" s="2">
        <v>3.24</v>
      </c>
      <c r="LI6" s="2">
        <v>3.17</v>
      </c>
      <c r="LJ6" s="2">
        <v>3.14</v>
      </c>
      <c r="LK6" s="2">
        <v>3.22</v>
      </c>
      <c r="LL6" s="2">
        <v>3.27</v>
      </c>
      <c r="LM6" s="2">
        <v>3.25</v>
      </c>
      <c r="LN6" s="2">
        <v>3.32</v>
      </c>
      <c r="LO6" s="2">
        <v>3.22</v>
      </c>
      <c r="LP6" s="2">
        <v>3.19</v>
      </c>
      <c r="LQ6" s="2">
        <v>3.28</v>
      </c>
      <c r="LR6" s="2">
        <v>3.37</v>
      </c>
      <c r="LS6" s="2">
        <v>3.3</v>
      </c>
      <c r="LT6" s="2">
        <v>3.43</v>
      </c>
      <c r="LU6" s="2">
        <v>3.33</v>
      </c>
      <c r="LV6" s="2">
        <v>3.3</v>
      </c>
      <c r="LW6" s="2">
        <v>3.38</v>
      </c>
      <c r="LX6" s="2">
        <v>0.02</v>
      </c>
      <c r="LY6" s="2">
        <v>0.1</v>
      </c>
      <c r="LZ6" s="2">
        <v>-0.13</v>
      </c>
      <c r="MA6" s="2">
        <v>0.16</v>
      </c>
      <c r="MB6" s="2">
        <v>-0.07000000000000001</v>
      </c>
      <c r="MC6" s="2">
        <v>-0.03</v>
      </c>
      <c r="MD6" s="2">
        <v>0.08</v>
      </c>
      <c r="ME6" s="2">
        <v>0.05</v>
      </c>
      <c r="MF6" s="2">
        <v>-0.02</v>
      </c>
      <c r="MG6" s="2">
        <v>0.07000000000000001</v>
      </c>
      <c r="MH6" s="2">
        <v>-0.1</v>
      </c>
      <c r="MI6" s="2">
        <v>-0.03</v>
      </c>
      <c r="MJ6" s="2">
        <v>0.09</v>
      </c>
      <c r="MK6" s="2">
        <v>0.09</v>
      </c>
      <c r="ML6" s="2">
        <v>-0.07000000000000001</v>
      </c>
      <c r="MM6" s="2">
        <v>0.13</v>
      </c>
      <c r="MN6" s="2">
        <v>-0.1</v>
      </c>
      <c r="MO6" s="2">
        <v>-0.03</v>
      </c>
      <c r="MP6" s="2">
        <v>0.08</v>
      </c>
      <c r="QI6" s="2">
        <v>18.84</v>
      </c>
      <c r="QJ6" s="2">
        <v>19.11</v>
      </c>
      <c r="QK6" s="2">
        <v>19.38</v>
      </c>
      <c r="QL6" s="2">
        <v>20.19</v>
      </c>
      <c r="QM6" s="2">
        <v>20.73</v>
      </c>
      <c r="QN6" s="2">
        <v>21.63</v>
      </c>
      <c r="QO6" s="2">
        <v>22.08</v>
      </c>
      <c r="QP6" s="2">
        <v>23.7</v>
      </c>
      <c r="QQ6" s="2">
        <v>24.79</v>
      </c>
      <c r="QR6" s="2">
        <v>26.59</v>
      </c>
      <c r="QS6" s="2">
        <v>26.95</v>
      </c>
      <c r="QT6" s="2">
        <v>28.12</v>
      </c>
      <c r="QU6" s="2">
        <v>28.75</v>
      </c>
      <c r="QV6" s="2">
        <v>30.82</v>
      </c>
      <c r="QW6" s="2">
        <v>31.18</v>
      </c>
      <c r="QX6" s="2">
        <v>32.99</v>
      </c>
      <c r="QY6" s="2">
        <v>33.53</v>
      </c>
      <c r="QZ6" s="2">
        <v>35.78</v>
      </c>
      <c r="RA6" s="2">
        <v>36.32</v>
      </c>
      <c r="RB6" s="2">
        <v>37.58</v>
      </c>
      <c r="RC6" s="2">
        <v>38.21</v>
      </c>
      <c r="RD6" s="2">
        <v>39.48</v>
      </c>
      <c r="RE6" s="2">
        <v>39.93</v>
      </c>
      <c r="RF6" s="2">
        <v>40.92</v>
      </c>
      <c r="RG6" s="2">
        <v>41.37</v>
      </c>
      <c r="RH6" s="2">
        <v>42.36</v>
      </c>
      <c r="RI6" s="2">
        <v>42.54</v>
      </c>
      <c r="RJ6" s="2">
        <v>43.8</v>
      </c>
      <c r="RK6" s="2">
        <v>44.43</v>
      </c>
      <c r="RL6" s="2">
        <v>45.15</v>
      </c>
      <c r="RM6" s="2">
        <v>45.43</v>
      </c>
      <c r="RN6" s="2">
        <v>46.78</v>
      </c>
      <c r="RO6" s="2">
        <v>47.32</v>
      </c>
      <c r="RP6" s="2">
        <v>48.4</v>
      </c>
      <c r="RQ6" s="2">
        <v>48.85</v>
      </c>
      <c r="RR6" s="2">
        <v>50.29</v>
      </c>
      <c r="RS6" s="2">
        <v>50.74</v>
      </c>
      <c r="RT6" s="2">
        <v>52.09</v>
      </c>
      <c r="RU6" s="2">
        <v>52.28</v>
      </c>
      <c r="RV6" s="2">
        <v>53.63</v>
      </c>
      <c r="RW6" s="2">
        <v>54.17</v>
      </c>
      <c r="RX6" s="2">
        <v>55.43</v>
      </c>
      <c r="RY6" s="2">
        <v>55.52</v>
      </c>
      <c r="RZ6" s="2">
        <v>57.41</v>
      </c>
      <c r="SA6" s="2">
        <v>57.41</v>
      </c>
      <c r="SB6" s="2">
        <v>58.67</v>
      </c>
      <c r="SC6" s="2">
        <v>58.85</v>
      </c>
      <c r="SD6" s="2">
        <v>60.57</v>
      </c>
      <c r="SE6" s="2">
        <v>60.84</v>
      </c>
      <c r="SF6" s="2">
        <v>62.37</v>
      </c>
      <c r="SG6" s="2">
        <v>62.55</v>
      </c>
      <c r="SH6" s="2">
        <v>64.26000000000001</v>
      </c>
      <c r="SI6" s="2">
        <v>65.06999999999999</v>
      </c>
      <c r="SJ6" s="2">
        <v>67.23999999999999</v>
      </c>
      <c r="SK6" s="2">
        <v>67.69</v>
      </c>
      <c r="SL6" s="2">
        <v>70.84</v>
      </c>
      <c r="SM6" s="2">
        <v>71.2</v>
      </c>
      <c r="SN6" s="2">
        <v>74.18000000000001</v>
      </c>
      <c r="SO6" s="2">
        <v>74.63</v>
      </c>
      <c r="SP6" s="2">
        <v>76.88</v>
      </c>
      <c r="SQ6" s="2">
        <v>77.51000000000001</v>
      </c>
      <c r="SR6" s="2">
        <v>79.76000000000001</v>
      </c>
      <c r="SS6" s="2">
        <v>79.84999999999999</v>
      </c>
      <c r="ST6" s="2">
        <v>82.83</v>
      </c>
      <c r="SU6" s="2">
        <v>83.19</v>
      </c>
      <c r="SV6" s="2">
        <v>85.70999999999999</v>
      </c>
      <c r="SW6" s="2">
        <v>85.70999999999999</v>
      </c>
      <c r="SX6" s="2">
        <v>88.06</v>
      </c>
      <c r="SY6" s="2">
        <v>88.23999999999999</v>
      </c>
      <c r="SZ6" s="2">
        <v>90.04000000000001</v>
      </c>
      <c r="TA6" s="2">
        <v>90.13</v>
      </c>
      <c r="TB6" s="2">
        <v>91.93000000000001</v>
      </c>
      <c r="TC6" s="2">
        <v>92.56</v>
      </c>
      <c r="TD6" s="2">
        <v>94.09999999999999</v>
      </c>
      <c r="TE6" s="2">
        <v>94.55</v>
      </c>
      <c r="TF6" s="2">
        <v>95.90000000000001</v>
      </c>
      <c r="TG6" s="2">
        <v>95.54000000000001</v>
      </c>
      <c r="TH6" s="2">
        <v>95.98999999999999</v>
      </c>
      <c r="TI6" s="2">
        <v>95.81</v>
      </c>
      <c r="TJ6" s="2">
        <v>96.26000000000001</v>
      </c>
      <c r="TK6" s="2">
        <v>96.08</v>
      </c>
      <c r="TL6" s="2">
        <v>97.16</v>
      </c>
      <c r="TM6" s="2">
        <v>96.89</v>
      </c>
      <c r="TN6" s="2">
        <v>97.43000000000001</v>
      </c>
      <c r="TO6" s="2">
        <v>96.53</v>
      </c>
      <c r="TP6" s="2">
        <v>96.26000000000001</v>
      </c>
      <c r="TQ6" s="2">
        <v>95.81</v>
      </c>
      <c r="TR6" s="2">
        <v>95.90000000000001</v>
      </c>
      <c r="TS6" s="2">
        <v>96.08</v>
      </c>
      <c r="TT6" s="2">
        <v>96.26000000000001</v>
      </c>
      <c r="TU6" s="2">
        <v>95.72</v>
      </c>
      <c r="TV6" s="2">
        <v>96.62</v>
      </c>
      <c r="TW6" s="2">
        <v>96.17</v>
      </c>
      <c r="TX6" s="2">
        <v>96.53</v>
      </c>
      <c r="TY6" s="2">
        <v>96.26000000000001</v>
      </c>
      <c r="TZ6" s="2">
        <v>96.8</v>
      </c>
      <c r="UA6" s="2">
        <v>96.62</v>
      </c>
      <c r="UB6" s="2">
        <v>96.89</v>
      </c>
      <c r="UC6" s="2">
        <v>96.44</v>
      </c>
      <c r="UD6" s="2">
        <v>96.70999999999999</v>
      </c>
      <c r="UE6" s="2">
        <v>96.53</v>
      </c>
      <c r="UF6" s="2">
        <v>97.16</v>
      </c>
      <c r="UG6" s="2">
        <v>96.8</v>
      </c>
      <c r="UH6" s="2">
        <v>96.70999999999999</v>
      </c>
      <c r="UI6" s="2">
        <v>96.45</v>
      </c>
      <c r="UJ6" s="2">
        <v>96.39</v>
      </c>
      <c r="UK6" s="2">
        <v>95.83</v>
      </c>
      <c r="UL6" s="2">
        <v>96.13</v>
      </c>
      <c r="UM6" s="2">
        <v>95.73</v>
      </c>
      <c r="UN6" s="2">
        <v>94.8</v>
      </c>
      <c r="UO6" s="2">
        <v>94.45999999999999</v>
      </c>
      <c r="UP6" s="2">
        <v>95.3</v>
      </c>
      <c r="UQ6" s="2">
        <v>102.33</v>
      </c>
      <c r="UR6" s="2">
        <v>101.95</v>
      </c>
      <c r="US6" s="2">
        <v>99.8</v>
      </c>
      <c r="UT6" s="2">
        <v>101.42</v>
      </c>
      <c r="UU6" s="2">
        <v>100.15</v>
      </c>
      <c r="UV6" s="2">
        <v>101.55</v>
      </c>
      <c r="UW6" s="2">
        <v>101.16</v>
      </c>
      <c r="UX6" s="2">
        <v>102.48</v>
      </c>
      <c r="UY6" s="2">
        <v>101.81</v>
      </c>
      <c r="UZ6" s="2">
        <v>102.74</v>
      </c>
      <c r="VA6" s="2">
        <v>101.3</v>
      </c>
      <c r="VB6" s="2">
        <v>102.49</v>
      </c>
      <c r="VC6" s="2">
        <v>102.15</v>
      </c>
      <c r="VD6" s="2">
        <v>101.91</v>
      </c>
      <c r="VE6" s="2">
        <v>100.5</v>
      </c>
      <c r="VF6" s="2">
        <v>101.58</v>
      </c>
      <c r="VG6" s="2">
        <v>101.36</v>
      </c>
      <c r="VH6" s="2">
        <v>99.95999999999999</v>
      </c>
      <c r="VI6" s="2">
        <v>98.59999999999999</v>
      </c>
      <c r="VJ6" s="2">
        <v>99.42</v>
      </c>
      <c r="VK6" s="2">
        <v>99.56</v>
      </c>
      <c r="VL6" s="2">
        <v>99.41</v>
      </c>
      <c r="VM6" s="2">
        <v>96.88</v>
      </c>
      <c r="VN6" s="2">
        <v>97.72</v>
      </c>
      <c r="VO6" s="2">
        <v>97.83</v>
      </c>
      <c r="VP6" s="2">
        <v>97.42</v>
      </c>
      <c r="VQ6" s="2">
        <v>97.09999999999999</v>
      </c>
      <c r="VR6" s="2">
        <v>98.45</v>
      </c>
      <c r="VS6" s="2">
        <v>98.76000000000001</v>
      </c>
      <c r="VT6" s="2">
        <v>99</v>
      </c>
      <c r="VU6" s="2">
        <v>96.58</v>
      </c>
      <c r="VV6" s="2">
        <v>99.45999999999999</v>
      </c>
      <c r="VW6" s="2">
        <v>98.77</v>
      </c>
      <c r="VX6" s="2">
        <v>99.13</v>
      </c>
      <c r="VY6" s="2">
        <v>98.67</v>
      </c>
      <c r="VZ6" s="2">
        <v>100.76</v>
      </c>
      <c r="WA6" s="2">
        <v>101.05</v>
      </c>
      <c r="WB6" s="2">
        <v>101.26</v>
      </c>
      <c r="WC6" s="2">
        <v>96.92</v>
      </c>
      <c r="WD6" s="2">
        <v>96.93000000000001</v>
      </c>
      <c r="WE6" s="2">
        <v>98.2</v>
      </c>
      <c r="WF6" s="2">
        <v>96.38</v>
      </c>
      <c r="WG6" s="2">
        <v>95.66</v>
      </c>
      <c r="WH6" s="2">
        <v>97.97</v>
      </c>
      <c r="WI6" s="2">
        <v>99.43000000000001</v>
      </c>
      <c r="WJ6" s="2">
        <v>98.83</v>
      </c>
      <c r="WK6" s="2">
        <v>97.06999999999999</v>
      </c>
      <c r="WL6" s="2">
        <v>98.51000000000001</v>
      </c>
      <c r="WM6" s="2">
        <v>98.63</v>
      </c>
      <c r="WN6" s="2">
        <v>99.48</v>
      </c>
      <c r="WO6" s="2">
        <v>95.63</v>
      </c>
      <c r="WP6" s="2">
        <v>98.16</v>
      </c>
      <c r="WQ6" s="2">
        <v>99.26000000000001</v>
      </c>
      <c r="WR6" s="2">
        <v>98.16</v>
      </c>
      <c r="WS6" s="2">
        <v>96.06</v>
      </c>
      <c r="WT6" s="2">
        <v>97.61</v>
      </c>
      <c r="WU6" s="2">
        <v>96.62</v>
      </c>
      <c r="WV6" s="2">
        <v>96.73</v>
      </c>
      <c r="WW6" s="2">
        <v>95.40000000000001</v>
      </c>
      <c r="WX6" s="2">
        <v>96.73</v>
      </c>
      <c r="WY6" s="2">
        <v>95.61</v>
      </c>
      <c r="WZ6" s="2">
        <v>97.15000000000001</v>
      </c>
      <c r="XA6" s="2">
        <v>94.63</v>
      </c>
      <c r="XB6" s="2">
        <v>96.51000000000001</v>
      </c>
      <c r="XC6" s="2">
        <v>96.76000000000001</v>
      </c>
      <c r="XD6" s="2">
        <v>96.31999999999999</v>
      </c>
      <c r="XE6" s="2">
        <v>94.89</v>
      </c>
      <c r="XF6" s="2">
        <v>94.63</v>
      </c>
      <c r="XG6" s="2">
        <v>93.70999999999999</v>
      </c>
      <c r="XH6" s="2">
        <v>93.43000000000001</v>
      </c>
      <c r="XI6" s="2">
        <v>91.58</v>
      </c>
      <c r="XJ6" s="2">
        <v>92.75</v>
      </c>
      <c r="XK6" s="2">
        <v>92.93000000000001</v>
      </c>
      <c r="XL6" s="2">
        <v>92.77</v>
      </c>
      <c r="XM6" s="2">
        <v>91.52</v>
      </c>
      <c r="XN6" s="2">
        <v>92.97</v>
      </c>
      <c r="XO6" s="2">
        <v>94.29000000000001</v>
      </c>
      <c r="XP6" s="2">
        <v>94.03</v>
      </c>
      <c r="XQ6" s="2">
        <v>93.3</v>
      </c>
      <c r="XR6" s="2">
        <v>93.39</v>
      </c>
      <c r="XS6" s="2">
        <v>93.86</v>
      </c>
      <c r="XT6" s="2">
        <v>92.88</v>
      </c>
      <c r="XU6" s="2">
        <v>93.34999999999999</v>
      </c>
      <c r="XV6" s="2">
        <v>93.78</v>
      </c>
      <c r="XW6" s="2">
        <v>90.23</v>
      </c>
      <c r="XX6" s="2">
        <v>92.53</v>
      </c>
      <c r="XY6" s="2">
        <v>91.92</v>
      </c>
      <c r="XZ6" s="2">
        <v>95.23</v>
      </c>
      <c r="YA6" s="2">
        <v>95.04000000000001</v>
      </c>
      <c r="YB6" s="2">
        <v>97.45</v>
      </c>
      <c r="YC6" s="2">
        <v>94.92</v>
      </c>
      <c r="YD6" s="2">
        <v>95.45999999999999</v>
      </c>
      <c r="YE6" s="2">
        <v>95.87</v>
      </c>
      <c r="YF6" s="2">
        <v>96.43000000000001</v>
      </c>
      <c r="YG6" s="2">
        <v>95.31</v>
      </c>
      <c r="YH6" s="2">
        <v>98.23999999999999</v>
      </c>
      <c r="YI6" s="2">
        <v>97.53</v>
      </c>
      <c r="YJ6" s="2">
        <v>97.69</v>
      </c>
      <c r="YK6" s="2">
        <v>96.86</v>
      </c>
      <c r="YL6" s="2">
        <v>99.44</v>
      </c>
      <c r="YM6" s="2">
        <v>99.95999999999999</v>
      </c>
      <c r="YN6" s="2">
        <v>99.83</v>
      </c>
      <c r="YO6" s="2">
        <v>102.12</v>
      </c>
      <c r="YP6" s="2">
        <v>103.23</v>
      </c>
      <c r="ACI6" s="2">
        <v>1.4</v>
      </c>
      <c r="ACJ6" s="2">
        <v>1.4</v>
      </c>
      <c r="ACK6" s="2">
        <v>4.2</v>
      </c>
      <c r="ACL6" s="2">
        <v>2.7</v>
      </c>
      <c r="ACM6" s="2">
        <v>4.3</v>
      </c>
      <c r="ACN6" s="2">
        <v>2.1</v>
      </c>
      <c r="ACO6" s="2">
        <v>7.3</v>
      </c>
      <c r="ACP6" s="2">
        <v>4.6</v>
      </c>
      <c r="ACQ6" s="2">
        <v>7.3</v>
      </c>
      <c r="ACR6" s="2">
        <v>1.4</v>
      </c>
      <c r="ACS6" s="2">
        <v>4.3</v>
      </c>
      <c r="ACT6" s="2">
        <v>2.2</v>
      </c>
      <c r="ACU6" s="2">
        <v>7.2</v>
      </c>
      <c r="ACV6" s="2">
        <v>1.2</v>
      </c>
      <c r="ACW6" s="2">
        <v>5.8</v>
      </c>
      <c r="ACX6" s="2">
        <v>1.6</v>
      </c>
      <c r="ACY6" s="2">
        <v>6.7</v>
      </c>
      <c r="ACZ6" s="2">
        <v>1.5</v>
      </c>
      <c r="ADA6" s="2">
        <v>3.5</v>
      </c>
      <c r="ADB6" s="2">
        <v>1.7</v>
      </c>
      <c r="ADC6" s="2">
        <v>3.3</v>
      </c>
      <c r="ADD6" s="2">
        <v>1.1</v>
      </c>
      <c r="ADE6" s="2">
        <v>2.5</v>
      </c>
      <c r="ADF6" s="2">
        <v>1.1</v>
      </c>
      <c r="ADG6" s="2">
        <v>2.4</v>
      </c>
      <c r="ADH6" s="2">
        <v>0.4</v>
      </c>
      <c r="ADI6" s="2">
        <v>3</v>
      </c>
      <c r="ADJ6" s="2">
        <v>1.4</v>
      </c>
      <c r="ADK6" s="2">
        <v>1.6</v>
      </c>
      <c r="ADL6" s="2">
        <v>0.6</v>
      </c>
      <c r="ADM6" s="2">
        <v>3</v>
      </c>
      <c r="ADN6" s="2">
        <v>1.2</v>
      </c>
      <c r="ADO6" s="2">
        <v>2.3</v>
      </c>
      <c r="ADP6" s="2">
        <v>0.9</v>
      </c>
      <c r="ADQ6" s="2">
        <v>2.9</v>
      </c>
      <c r="ADR6" s="2">
        <v>0.9</v>
      </c>
      <c r="ADS6" s="2">
        <v>2.7</v>
      </c>
      <c r="ADT6" s="2">
        <v>0.4</v>
      </c>
      <c r="ADU6" s="2">
        <v>2.6</v>
      </c>
      <c r="ADV6" s="2">
        <v>1</v>
      </c>
      <c r="ADW6" s="2">
        <v>2.3</v>
      </c>
      <c r="ADX6" s="2">
        <v>0.2</v>
      </c>
      <c r="ADY6" s="2">
        <v>3.4</v>
      </c>
      <c r="ADZ6" s="2">
        <v>0</v>
      </c>
      <c r="AEA6" s="2">
        <v>2.2</v>
      </c>
      <c r="AEB6" s="2">
        <v>0.3</v>
      </c>
      <c r="AEC6" s="2">
        <v>2.9</v>
      </c>
      <c r="AED6" s="2">
        <v>0.4</v>
      </c>
      <c r="AEE6" s="2">
        <v>2.5</v>
      </c>
      <c r="AEF6" s="2">
        <v>0.3</v>
      </c>
      <c r="AEG6" s="2">
        <v>2.7</v>
      </c>
      <c r="AEH6" s="2">
        <v>1.3</v>
      </c>
      <c r="AEI6" s="2">
        <v>3.3</v>
      </c>
      <c r="AEJ6" s="2">
        <v>0.7</v>
      </c>
      <c r="AEK6" s="2">
        <v>4.7</v>
      </c>
      <c r="AEL6" s="2">
        <v>0.5</v>
      </c>
      <c r="AEM6" s="2">
        <v>4.2</v>
      </c>
      <c r="AEN6" s="2">
        <v>0.6</v>
      </c>
      <c r="AEO6" s="2">
        <v>3</v>
      </c>
      <c r="AEP6" s="2">
        <v>0.8</v>
      </c>
      <c r="AEQ6" s="2">
        <v>2.9</v>
      </c>
      <c r="AER6" s="2">
        <v>0.1</v>
      </c>
      <c r="AES6" s="2">
        <v>3.7</v>
      </c>
      <c r="AET6" s="2">
        <v>0.4</v>
      </c>
      <c r="AEU6" s="2">
        <v>3</v>
      </c>
      <c r="AEV6" s="2">
        <v>0</v>
      </c>
      <c r="AEW6" s="2">
        <v>2.7</v>
      </c>
      <c r="AEX6" s="2">
        <v>0.2</v>
      </c>
      <c r="AEY6" s="2">
        <v>2</v>
      </c>
      <c r="AEZ6" s="2">
        <v>0.1</v>
      </c>
      <c r="AFA6" s="2">
        <v>2</v>
      </c>
      <c r="AFB6" s="2">
        <v>0.7</v>
      </c>
      <c r="AFC6" s="2">
        <v>1.7</v>
      </c>
      <c r="AFD6" s="2">
        <v>0.5</v>
      </c>
      <c r="AFE6" s="2">
        <v>1.4</v>
      </c>
      <c r="AFF6" s="2">
        <v>-0.4</v>
      </c>
      <c r="AFG6" s="2">
        <v>0.5</v>
      </c>
      <c r="AFH6" s="2">
        <v>-0.2</v>
      </c>
      <c r="AFI6" s="2">
        <v>0.5</v>
      </c>
      <c r="AFJ6" s="2">
        <v>-0.2</v>
      </c>
      <c r="AFK6" s="2">
        <v>1.1</v>
      </c>
      <c r="AFL6" s="2">
        <v>-0.3</v>
      </c>
      <c r="AFM6" s="2">
        <v>0.6</v>
      </c>
      <c r="AFN6" s="2">
        <v>-0.9</v>
      </c>
      <c r="AFO6" s="2">
        <v>-0.3</v>
      </c>
      <c r="AFP6" s="2">
        <v>-0.5</v>
      </c>
      <c r="AFQ6" s="2">
        <v>0.1</v>
      </c>
      <c r="AFR6" s="2">
        <v>0.2</v>
      </c>
      <c r="AFS6" s="2">
        <v>0.2</v>
      </c>
      <c r="AFT6" s="2">
        <v>-0.6</v>
      </c>
      <c r="AFU6" s="2">
        <v>0.9</v>
      </c>
      <c r="AFV6" s="2">
        <v>-0.5</v>
      </c>
      <c r="AFW6" s="2">
        <v>0.4</v>
      </c>
      <c r="AFX6" s="2">
        <v>-0.3</v>
      </c>
      <c r="AFY6" s="2">
        <v>0.6</v>
      </c>
      <c r="AFZ6" s="2">
        <v>-0.2</v>
      </c>
      <c r="AGA6" s="2">
        <v>0.3</v>
      </c>
      <c r="AGB6" s="2">
        <v>-0.5</v>
      </c>
      <c r="AGC6" s="2">
        <v>0.3</v>
      </c>
      <c r="AGD6" s="2">
        <v>-0.2</v>
      </c>
      <c r="AGE6" s="2">
        <v>0.7</v>
      </c>
      <c r="AGF6" s="2">
        <v>-0.4</v>
      </c>
      <c r="AGG6" s="2">
        <v>-0.1</v>
      </c>
      <c r="AGH6" s="2">
        <v>-0.3</v>
      </c>
      <c r="AGI6" s="2">
        <v>-0.1</v>
      </c>
      <c r="AGJ6" s="2">
        <v>-0.6</v>
      </c>
      <c r="AGK6" s="2">
        <v>0.3</v>
      </c>
      <c r="AGL6" s="2">
        <v>-0.4</v>
      </c>
      <c r="AGM6" s="2">
        <v>-1</v>
      </c>
      <c r="AGN6" s="2">
        <v>-0.4</v>
      </c>
      <c r="AGO6" s="2">
        <v>0.9</v>
      </c>
      <c r="AGP6" s="2">
        <v>7.4</v>
      </c>
      <c r="AGQ6" s="2">
        <v>-0.4</v>
      </c>
      <c r="AGR6" s="2">
        <v>-2.1</v>
      </c>
      <c r="AGS6" s="2">
        <v>1.6</v>
      </c>
      <c r="AGT6" s="2">
        <v>-1.3</v>
      </c>
      <c r="AGU6" s="2">
        <v>1.4</v>
      </c>
      <c r="AGV6" s="2">
        <v>-0.4</v>
      </c>
      <c r="AGW6" s="2">
        <v>1.3</v>
      </c>
      <c r="AGX6" s="2">
        <v>-0.7</v>
      </c>
      <c r="AGY6" s="2">
        <v>0.9</v>
      </c>
      <c r="AGZ6" s="2">
        <v>-1.4</v>
      </c>
      <c r="AHA6" s="2">
        <v>1.2</v>
      </c>
      <c r="AHB6" s="2">
        <v>-0.3</v>
      </c>
      <c r="AHC6" s="2">
        <v>-0.2</v>
      </c>
      <c r="AHD6" s="2">
        <v>-1.4</v>
      </c>
      <c r="AHE6" s="2">
        <v>1.1</v>
      </c>
      <c r="AHF6" s="2">
        <v>-0.2</v>
      </c>
      <c r="AHG6" s="2">
        <v>-1.4</v>
      </c>
      <c r="AHH6" s="2">
        <v>-1.4</v>
      </c>
      <c r="AHI6" s="2">
        <v>0.8</v>
      </c>
      <c r="AHJ6" s="2">
        <v>0.1</v>
      </c>
      <c r="AHK6" s="2">
        <v>-0.2</v>
      </c>
      <c r="AHL6" s="2">
        <v>-2.5</v>
      </c>
      <c r="AHM6" s="2">
        <v>0.9</v>
      </c>
      <c r="AHN6" s="2">
        <v>0.1</v>
      </c>
      <c r="AHO6" s="2">
        <v>-0.4</v>
      </c>
      <c r="AHP6" s="2">
        <v>-0.3</v>
      </c>
      <c r="AHQ6" s="2">
        <v>1.4</v>
      </c>
      <c r="AHR6" s="2">
        <v>0.3</v>
      </c>
      <c r="AHS6" s="2">
        <v>0.2</v>
      </c>
      <c r="AHT6" s="2">
        <v>-2.4</v>
      </c>
      <c r="AHU6" s="2">
        <v>3</v>
      </c>
      <c r="AHV6" s="2">
        <v>-0.7</v>
      </c>
      <c r="AHW6" s="2">
        <v>0.4</v>
      </c>
      <c r="AHX6" s="2">
        <v>-0.5</v>
      </c>
      <c r="AHY6" s="2">
        <v>2.1</v>
      </c>
      <c r="AHZ6" s="2">
        <v>0.3</v>
      </c>
      <c r="AIA6" s="2">
        <v>0.2</v>
      </c>
      <c r="AIB6" s="2">
        <v>-4.3</v>
      </c>
      <c r="AIC6" s="2">
        <v>0</v>
      </c>
      <c r="AID6" s="2">
        <v>1.3</v>
      </c>
      <c r="AIE6" s="2">
        <v>-1.9</v>
      </c>
      <c r="AIF6" s="2">
        <v>-0.7</v>
      </c>
      <c r="AIG6" s="2">
        <v>2.4</v>
      </c>
      <c r="AIH6" s="2">
        <v>1.5</v>
      </c>
      <c r="AII6" s="2">
        <v>-0.6</v>
      </c>
      <c r="AIJ6" s="2">
        <v>-1.8</v>
      </c>
      <c r="AIK6" s="2">
        <v>1.5</v>
      </c>
      <c r="AIL6" s="2">
        <v>0.1</v>
      </c>
      <c r="AIM6" s="2">
        <v>0.9</v>
      </c>
      <c r="AIN6" s="2">
        <v>-3.9</v>
      </c>
      <c r="AIO6" s="2">
        <v>2.6</v>
      </c>
      <c r="AIP6" s="2">
        <v>1.1</v>
      </c>
      <c r="AIQ6" s="2">
        <v>-1.1</v>
      </c>
      <c r="AIR6" s="2">
        <v>-2.1</v>
      </c>
      <c r="AIS6" s="2">
        <v>1.6</v>
      </c>
      <c r="AIT6" s="2">
        <v>-1</v>
      </c>
      <c r="AIU6" s="2">
        <v>0.1</v>
      </c>
      <c r="AIV6" s="2">
        <v>-1.4</v>
      </c>
      <c r="AIW6" s="2">
        <v>1.4</v>
      </c>
      <c r="AIX6" s="2">
        <v>-1.2</v>
      </c>
      <c r="AIY6" s="2">
        <v>1.6</v>
      </c>
      <c r="AIZ6" s="2">
        <v>-2.6</v>
      </c>
      <c r="AJA6" s="2">
        <v>2</v>
      </c>
      <c r="AJB6" s="2">
        <v>0.3</v>
      </c>
      <c r="AJC6" s="2">
        <v>-0.5</v>
      </c>
      <c r="AJD6" s="2">
        <v>-1.5</v>
      </c>
      <c r="AJE6" s="2">
        <v>-0.3</v>
      </c>
      <c r="AJF6" s="2">
        <v>-1</v>
      </c>
      <c r="AJG6" s="2">
        <v>-0.3</v>
      </c>
      <c r="AJH6" s="2">
        <v>-2</v>
      </c>
      <c r="AJI6" s="2">
        <v>1.3</v>
      </c>
      <c r="AJJ6" s="2">
        <v>0.2</v>
      </c>
      <c r="AJK6" s="2">
        <v>-0.2</v>
      </c>
      <c r="AJL6" s="2">
        <v>-1.3</v>
      </c>
      <c r="AJM6" s="2">
        <v>1.6</v>
      </c>
      <c r="AJN6" s="2">
        <v>1.4</v>
      </c>
      <c r="AJO6" s="2">
        <v>-0.3</v>
      </c>
      <c r="AJP6" s="2">
        <v>-0.8</v>
      </c>
      <c r="AJQ6" s="2">
        <v>0.1</v>
      </c>
      <c r="AJR6" s="2">
        <v>0.5</v>
      </c>
      <c r="AJS6" s="2">
        <v>-1</v>
      </c>
      <c r="AJT6" s="2">
        <v>0.5</v>
      </c>
      <c r="AJU6" s="2">
        <v>0.5</v>
      </c>
      <c r="AJV6" s="2">
        <v>-3.8</v>
      </c>
      <c r="AJW6" s="2">
        <v>2.5</v>
      </c>
      <c r="AJX6" s="2">
        <v>-0.7</v>
      </c>
      <c r="AJY6" s="2">
        <v>3.6</v>
      </c>
      <c r="AJZ6" s="2">
        <v>-0.2</v>
      </c>
      <c r="AKA6" s="2">
        <v>2.5</v>
      </c>
      <c r="AKB6" s="2">
        <v>-2.6</v>
      </c>
      <c r="AKC6" s="2">
        <v>0.6</v>
      </c>
      <c r="AKD6" s="2">
        <v>0.4</v>
      </c>
      <c r="AKE6" s="2">
        <v>0.6</v>
      </c>
      <c r="AKF6" s="2">
        <v>-1.2</v>
      </c>
      <c r="AKG6" s="2">
        <v>3.1</v>
      </c>
      <c r="AKH6" s="2">
        <v>-0.7</v>
      </c>
      <c r="AKI6" s="2">
        <v>0.2</v>
      </c>
      <c r="AKJ6" s="2">
        <v>-0.8</v>
      </c>
      <c r="AKK6" s="2">
        <v>2.7</v>
      </c>
      <c r="AKL6" s="2">
        <v>0.5</v>
      </c>
      <c r="AKM6" s="2">
        <v>-0.1</v>
      </c>
      <c r="AKN6" s="2">
        <v>2.3</v>
      </c>
      <c r="AKO6" s="2">
        <v>1.1</v>
      </c>
      <c r="AKP6" s="2">
        <v>3.24</v>
      </c>
      <c r="AKQ6" s="2">
        <v>3.32</v>
      </c>
      <c r="AKR6" s="2">
        <v>3.35</v>
      </c>
    </row>
    <row r="7">
      <c r="A7" t="inlineStr">
        <is>
          <t>Housing</t>
        </is>
      </c>
      <c r="B7" t="inlineStr">
        <is>
          <t>All groups CPI</t>
        </is>
      </c>
      <c r="C7">
        <v>1</v>
      </c>
      <c r="D7">
        <v>21.39</v>
      </c>
      <c r="E7" s="3">
        <f>D7/100.0*1.0</f>
        <v>0.2139</v>
      </c>
      <c r="F7" s="3">
        <f>E7-D7/100</f>
        <v>0.0</v>
      </c>
      <c r="G7" s="3">
        <f>D7/100.0</f>
        <v>0.2139</v>
      </c>
      <c r="CI7" s="2">
        <v>95.20999999999999</v>
      </c>
      <c r="CJ7" s="2">
        <v>95.68000000000001</v>
      </c>
      <c r="CK7" s="2">
        <v>96.14</v>
      </c>
      <c r="CL7" s="2">
        <v>96.16</v>
      </c>
      <c r="CM7" s="2">
        <v>94.95999999999999</v>
      </c>
      <c r="CN7" s="2">
        <v>94.63</v>
      </c>
      <c r="CO7" s="2">
        <v>93.67</v>
      </c>
      <c r="CP7" s="2">
        <v>95.31999999999999</v>
      </c>
      <c r="CQ7" s="2">
        <v>95.2</v>
      </c>
      <c r="CR7" s="2">
        <v>96.09</v>
      </c>
      <c r="CS7" s="2">
        <v>95.97</v>
      </c>
      <c r="CT7" s="2">
        <v>96.83</v>
      </c>
      <c r="CU7" s="2">
        <v>97.25</v>
      </c>
      <c r="CV7" s="2">
        <v>97.48</v>
      </c>
      <c r="CW7" s="2">
        <v>97.62</v>
      </c>
      <c r="CX7" s="2">
        <v>99.7</v>
      </c>
      <c r="CY7" s="2">
        <v>99.23999999999999</v>
      </c>
      <c r="CZ7" s="2">
        <v>100</v>
      </c>
      <c r="DA7" s="2">
        <v>99.16</v>
      </c>
      <c r="DB7" s="2">
        <v>100.28</v>
      </c>
      <c r="DC7" s="2">
        <v>100.42</v>
      </c>
      <c r="DD7" s="2">
        <v>102.6</v>
      </c>
      <c r="DE7" s="2">
        <v>102.89</v>
      </c>
      <c r="DF7" s="2">
        <v>103.13</v>
      </c>
      <c r="DG7" s="2">
        <v>103.33</v>
      </c>
      <c r="DH7" s="2">
        <v>103.8</v>
      </c>
      <c r="DI7" s="2">
        <v>104.27</v>
      </c>
      <c r="DJ7" s="2">
        <v>104.71</v>
      </c>
      <c r="GL7" s="2">
        <v>2.1</v>
      </c>
      <c r="GM7" s="2">
        <v>1.9</v>
      </c>
      <c r="GN7" s="2">
        <v>1.5</v>
      </c>
      <c r="GO7" s="2">
        <v>3.7</v>
      </c>
      <c r="GP7" s="2">
        <v>4.5</v>
      </c>
      <c r="GQ7" s="2">
        <v>5.7</v>
      </c>
      <c r="GR7" s="2">
        <v>5.9</v>
      </c>
      <c r="GS7" s="2">
        <v>5.2</v>
      </c>
      <c r="GT7" s="2">
        <v>5.5</v>
      </c>
      <c r="GU7" s="2">
        <v>6.8</v>
      </c>
      <c r="GV7" s="2">
        <v>7.2</v>
      </c>
      <c r="GW7" s="2">
        <v>6.5</v>
      </c>
      <c r="GX7" s="2">
        <v>6.3</v>
      </c>
      <c r="GY7" s="2">
        <v>6.5</v>
      </c>
      <c r="GZ7" s="2">
        <v>6.8</v>
      </c>
      <c r="HA7" s="2">
        <v>5</v>
      </c>
      <c r="KC7" s="2">
        <v>0.5</v>
      </c>
      <c r="KD7" s="2">
        <v>0.5</v>
      </c>
      <c r="KE7" s="2">
        <v>0</v>
      </c>
      <c r="KF7" s="2">
        <v>-1.2</v>
      </c>
      <c r="KG7" s="2">
        <v>-0.3</v>
      </c>
      <c r="KH7" s="2">
        <v>-1</v>
      </c>
      <c r="KI7" s="2">
        <v>1.8</v>
      </c>
      <c r="KJ7" s="2">
        <v>-0.1</v>
      </c>
      <c r="KK7" s="2">
        <v>0.9</v>
      </c>
      <c r="KL7" s="2">
        <v>-0.1</v>
      </c>
      <c r="KM7" s="2">
        <v>0.9</v>
      </c>
      <c r="KN7" s="2">
        <v>0.4</v>
      </c>
      <c r="KO7" s="2">
        <v>0.2</v>
      </c>
      <c r="KP7" s="2">
        <v>0.1</v>
      </c>
      <c r="KQ7" s="2">
        <v>2.1</v>
      </c>
      <c r="KR7" s="2">
        <v>-0.5</v>
      </c>
      <c r="KS7" s="2">
        <v>0.8</v>
      </c>
      <c r="KT7" s="2">
        <v>-0.8</v>
      </c>
      <c r="KU7" s="2">
        <v>1.1</v>
      </c>
      <c r="KV7" s="2">
        <v>0.1</v>
      </c>
      <c r="KW7" s="2">
        <v>2.2</v>
      </c>
      <c r="KX7" s="2">
        <v>0.3</v>
      </c>
      <c r="KY7" s="2">
        <v>0.2</v>
      </c>
      <c r="KZ7" s="2">
        <v>0.2</v>
      </c>
      <c r="LA7" s="2">
        <v>0.5</v>
      </c>
      <c r="LB7" s="2">
        <v>0.5</v>
      </c>
      <c r="LC7" s="2">
        <v>0.4</v>
      </c>
      <c r="LD7" s="2">
        <v>20.82</v>
      </c>
      <c r="LE7" s="2">
        <v>21.01</v>
      </c>
      <c r="LF7" s="2">
        <v>20.99</v>
      </c>
      <c r="LG7" s="2">
        <v>21.17</v>
      </c>
      <c r="LH7" s="2">
        <v>21.27</v>
      </c>
      <c r="LI7" s="2">
        <v>21.32</v>
      </c>
      <c r="LJ7" s="2">
        <v>21.35</v>
      </c>
      <c r="LK7" s="2">
        <v>21.8</v>
      </c>
      <c r="LL7" s="2">
        <v>21.7</v>
      </c>
      <c r="LM7" s="2">
        <v>21.87</v>
      </c>
      <c r="LN7" s="2">
        <v>21.68</v>
      </c>
      <c r="LO7" s="2">
        <v>21.93</v>
      </c>
      <c r="LP7" s="2">
        <v>21.96</v>
      </c>
      <c r="LQ7" s="2">
        <v>22.44</v>
      </c>
      <c r="LR7" s="2">
        <v>22.5</v>
      </c>
      <c r="LS7" s="2">
        <v>22.55</v>
      </c>
      <c r="LT7" s="2">
        <v>22.6</v>
      </c>
      <c r="LU7" s="2">
        <v>22.7</v>
      </c>
      <c r="LV7" s="2">
        <v>22.8</v>
      </c>
      <c r="LW7" s="2">
        <v>22.9</v>
      </c>
      <c r="LX7" s="2">
        <v>0.19</v>
      </c>
      <c r="LY7" s="2">
        <v>-0.02</v>
      </c>
      <c r="LZ7" s="2">
        <v>0.18</v>
      </c>
      <c r="MA7" s="2">
        <v>0.1</v>
      </c>
      <c r="MB7" s="2">
        <v>0.05</v>
      </c>
      <c r="MC7" s="2">
        <v>0.03</v>
      </c>
      <c r="MD7" s="2">
        <v>0.45</v>
      </c>
      <c r="ME7" s="2">
        <v>-0.1</v>
      </c>
      <c r="MF7" s="2">
        <v>0.17</v>
      </c>
      <c r="MG7" s="2">
        <v>-0.19</v>
      </c>
      <c r="MH7" s="2">
        <v>0.25</v>
      </c>
      <c r="MI7" s="2">
        <v>0.03</v>
      </c>
      <c r="MJ7" s="2">
        <v>0.48</v>
      </c>
      <c r="MK7" s="2">
        <v>0.06</v>
      </c>
      <c r="ML7" s="2">
        <v>0.05</v>
      </c>
      <c r="MM7" s="2">
        <v>0.05</v>
      </c>
      <c r="MN7" s="2">
        <v>0.1</v>
      </c>
      <c r="MO7" s="2">
        <v>0.1</v>
      </c>
      <c r="MP7" s="2">
        <v>0.1</v>
      </c>
      <c r="QI7" s="2">
        <v>6.51</v>
      </c>
      <c r="QJ7" s="2">
        <v>6.62</v>
      </c>
      <c r="QK7" s="2">
        <v>6.69</v>
      </c>
      <c r="QL7" s="2">
        <v>6.88</v>
      </c>
      <c r="QM7" s="2">
        <v>7.02</v>
      </c>
      <c r="QN7" s="2">
        <v>7.28</v>
      </c>
      <c r="QO7" s="2">
        <v>7.47</v>
      </c>
      <c r="QP7" s="2">
        <v>7.84</v>
      </c>
      <c r="QQ7" s="2">
        <v>8.210000000000001</v>
      </c>
      <c r="QR7" s="2">
        <v>8.65</v>
      </c>
      <c r="QS7" s="2">
        <v>8.91</v>
      </c>
      <c r="QT7" s="2">
        <v>9.390000000000001</v>
      </c>
      <c r="QU7" s="2">
        <v>9.720000000000001</v>
      </c>
      <c r="QV7" s="2">
        <v>10.24</v>
      </c>
      <c r="QW7" s="2">
        <v>10.54</v>
      </c>
      <c r="QX7" s="2">
        <v>10.98</v>
      </c>
      <c r="QY7" s="2">
        <v>11.31</v>
      </c>
      <c r="QZ7" s="2">
        <v>11.68</v>
      </c>
      <c r="RA7" s="2">
        <v>11.94</v>
      </c>
      <c r="RB7" s="2">
        <v>12.27</v>
      </c>
      <c r="RC7" s="2">
        <v>12.5</v>
      </c>
      <c r="RD7" s="2">
        <v>12.83</v>
      </c>
      <c r="RE7" s="2">
        <v>12.98</v>
      </c>
      <c r="RF7" s="2">
        <v>13.2</v>
      </c>
      <c r="RG7" s="2">
        <v>13.38</v>
      </c>
      <c r="RH7" s="2">
        <v>13.64</v>
      </c>
      <c r="RI7" s="2">
        <v>13.79</v>
      </c>
      <c r="RJ7" s="2">
        <v>14.05</v>
      </c>
      <c r="RK7" s="2">
        <v>14.27</v>
      </c>
      <c r="RL7" s="2">
        <v>14.6</v>
      </c>
      <c r="RM7" s="2">
        <v>14.86</v>
      </c>
      <c r="RN7" s="2">
        <v>15.19</v>
      </c>
      <c r="RO7" s="2">
        <v>15.6</v>
      </c>
      <c r="RP7" s="2">
        <v>16.01</v>
      </c>
      <c r="RQ7" s="2">
        <v>16.38</v>
      </c>
      <c r="RR7" s="2">
        <v>16.82</v>
      </c>
      <c r="RS7" s="2">
        <v>17.23</v>
      </c>
      <c r="RT7" s="2">
        <v>17.78</v>
      </c>
      <c r="RU7" s="2">
        <v>18.19</v>
      </c>
      <c r="RV7" s="2">
        <v>18.78</v>
      </c>
      <c r="RW7" s="2">
        <v>19.26</v>
      </c>
      <c r="RX7" s="2">
        <v>19.81</v>
      </c>
      <c r="RY7" s="2">
        <v>20.11</v>
      </c>
      <c r="RZ7" s="2">
        <v>20.41</v>
      </c>
      <c r="SA7" s="2">
        <v>20.63</v>
      </c>
      <c r="SB7" s="2">
        <v>21.15</v>
      </c>
      <c r="SC7" s="2">
        <v>21.48</v>
      </c>
      <c r="SD7" s="2">
        <v>21.96</v>
      </c>
      <c r="SE7" s="2">
        <v>22.33</v>
      </c>
      <c r="SF7" s="2">
        <v>22.7</v>
      </c>
      <c r="SG7" s="2">
        <v>23.03</v>
      </c>
      <c r="SH7" s="2">
        <v>23.55</v>
      </c>
      <c r="SI7" s="2">
        <v>24.1</v>
      </c>
      <c r="SJ7" s="2">
        <v>24.66</v>
      </c>
      <c r="SK7" s="2">
        <v>25.1</v>
      </c>
      <c r="SL7" s="2">
        <v>25.54</v>
      </c>
      <c r="SM7" s="2">
        <v>25.99</v>
      </c>
      <c r="SN7" s="2">
        <v>26.43</v>
      </c>
      <c r="SO7" s="2">
        <v>26.91</v>
      </c>
      <c r="SP7" s="2">
        <v>27.43</v>
      </c>
      <c r="SQ7" s="2">
        <v>27.91</v>
      </c>
      <c r="SR7" s="2">
        <v>28.24</v>
      </c>
      <c r="SS7" s="2">
        <v>28.69</v>
      </c>
      <c r="ST7" s="2">
        <v>29.28</v>
      </c>
      <c r="SU7" s="2">
        <v>30.46</v>
      </c>
      <c r="SV7" s="2">
        <v>32.35</v>
      </c>
      <c r="SW7" s="2">
        <v>32.01</v>
      </c>
      <c r="SX7" s="2">
        <v>33.71</v>
      </c>
      <c r="SY7" s="2">
        <v>35.53</v>
      </c>
      <c r="SZ7" s="2">
        <v>36.75</v>
      </c>
      <c r="TA7" s="2">
        <v>37.49</v>
      </c>
      <c r="TB7" s="2">
        <v>38.08</v>
      </c>
      <c r="TC7" s="2">
        <v>38.3</v>
      </c>
      <c r="TD7" s="2">
        <v>38.63</v>
      </c>
      <c r="TE7" s="2">
        <v>38.08</v>
      </c>
      <c r="TF7" s="2">
        <v>38.08</v>
      </c>
      <c r="TG7" s="2">
        <v>37.3</v>
      </c>
      <c r="TH7" s="2">
        <v>37.12</v>
      </c>
      <c r="TI7" s="2">
        <v>36.27</v>
      </c>
      <c r="TJ7" s="2">
        <v>35.56</v>
      </c>
      <c r="TK7" s="2">
        <v>34.97</v>
      </c>
      <c r="TL7" s="2">
        <v>34.75</v>
      </c>
      <c r="TM7" s="2">
        <v>34.9</v>
      </c>
      <c r="TN7" s="2">
        <v>35.19</v>
      </c>
      <c r="TO7" s="2">
        <v>35.08</v>
      </c>
      <c r="TP7" s="2">
        <v>34.6</v>
      </c>
      <c r="TQ7" s="2">
        <v>34.64</v>
      </c>
      <c r="TR7" s="2">
        <v>34.9</v>
      </c>
      <c r="TS7" s="2">
        <v>35.08</v>
      </c>
      <c r="TT7" s="2">
        <v>36.04</v>
      </c>
      <c r="TU7" s="2">
        <v>38</v>
      </c>
      <c r="TV7" s="2">
        <v>38.71</v>
      </c>
      <c r="TW7" s="2">
        <v>38.96</v>
      </c>
      <c r="TX7" s="2">
        <v>39.22</v>
      </c>
      <c r="TY7" s="2">
        <v>39.08</v>
      </c>
      <c r="TZ7" s="2">
        <v>39.3</v>
      </c>
      <c r="UA7" s="2">
        <v>39.22</v>
      </c>
      <c r="UB7" s="2">
        <v>38.15</v>
      </c>
      <c r="UC7" s="2">
        <v>37.04</v>
      </c>
      <c r="UD7" s="2">
        <v>35.82</v>
      </c>
      <c r="UE7" s="2">
        <v>35.45</v>
      </c>
      <c r="UF7" s="2">
        <v>34.82</v>
      </c>
      <c r="UG7" s="2">
        <v>34.53</v>
      </c>
      <c r="UH7" s="2">
        <v>34.93</v>
      </c>
      <c r="UI7" s="2">
        <v>35.06</v>
      </c>
      <c r="UJ7" s="2">
        <v>35.3</v>
      </c>
      <c r="UK7" s="2">
        <v>35.56</v>
      </c>
      <c r="UL7" s="2">
        <v>35.72</v>
      </c>
      <c r="UM7" s="2">
        <v>36.25</v>
      </c>
      <c r="UN7" s="2">
        <v>36.83</v>
      </c>
      <c r="UO7" s="2">
        <v>37.24</v>
      </c>
      <c r="UP7" s="2">
        <v>37.42</v>
      </c>
      <c r="UQ7" s="2">
        <v>39.7</v>
      </c>
      <c r="UR7" s="2">
        <v>39.82</v>
      </c>
      <c r="US7" s="2">
        <v>39.99</v>
      </c>
      <c r="UT7" s="2">
        <v>40.06</v>
      </c>
      <c r="UU7" s="2">
        <v>40.66</v>
      </c>
      <c r="UV7" s="2">
        <v>40.91</v>
      </c>
      <c r="UW7" s="2">
        <v>41.21</v>
      </c>
      <c r="UX7" s="2">
        <v>41.47</v>
      </c>
      <c r="UY7" s="2">
        <v>42.03</v>
      </c>
      <c r="UZ7" s="2">
        <v>42.2</v>
      </c>
      <c r="VA7" s="2">
        <v>42.78</v>
      </c>
      <c r="VB7" s="2">
        <v>43.19</v>
      </c>
      <c r="VC7" s="2">
        <v>43.94</v>
      </c>
      <c r="VD7" s="2">
        <v>44.21</v>
      </c>
      <c r="VE7" s="2">
        <v>44.62</v>
      </c>
      <c r="VF7" s="2">
        <v>44.92</v>
      </c>
      <c r="VG7" s="2">
        <v>45.54</v>
      </c>
      <c r="VH7" s="2">
        <v>45.94</v>
      </c>
      <c r="VI7" s="2">
        <v>46.4</v>
      </c>
      <c r="VJ7" s="2">
        <v>46.66</v>
      </c>
      <c r="VK7" s="2">
        <v>47.3</v>
      </c>
      <c r="VL7" s="2">
        <v>47.63</v>
      </c>
      <c r="VM7" s="2">
        <v>47.93</v>
      </c>
      <c r="VN7" s="2">
        <v>48.28</v>
      </c>
      <c r="VO7" s="2">
        <v>48.86</v>
      </c>
      <c r="VP7" s="2">
        <v>49.12</v>
      </c>
      <c r="VQ7" s="2">
        <v>49.6</v>
      </c>
      <c r="VR7" s="2">
        <v>50.01</v>
      </c>
      <c r="VS7" s="2">
        <v>50.93</v>
      </c>
      <c r="VT7" s="2">
        <v>51.5</v>
      </c>
      <c r="VU7" s="2">
        <v>52.47</v>
      </c>
      <c r="VV7" s="2">
        <v>53.02</v>
      </c>
      <c r="VW7" s="2">
        <v>54.41</v>
      </c>
      <c r="VX7" s="2">
        <v>54.84</v>
      </c>
      <c r="VY7" s="2">
        <v>55.35</v>
      </c>
      <c r="VZ7" s="2">
        <v>55.78</v>
      </c>
      <c r="WA7" s="2">
        <v>57.4</v>
      </c>
      <c r="WB7" s="2">
        <v>57.87</v>
      </c>
      <c r="WC7" s="2">
        <v>58.71</v>
      </c>
      <c r="WD7" s="2">
        <v>59.05</v>
      </c>
      <c r="WE7" s="2">
        <v>60.35</v>
      </c>
      <c r="WF7" s="2">
        <v>60.74</v>
      </c>
      <c r="WG7" s="2">
        <v>61.52</v>
      </c>
      <c r="WH7" s="2">
        <v>61.78</v>
      </c>
      <c r="WI7" s="2">
        <v>62.9</v>
      </c>
      <c r="WJ7" s="2">
        <v>63.2</v>
      </c>
      <c r="WK7" s="2">
        <v>63.58</v>
      </c>
      <c r="WL7" s="2">
        <v>63.85</v>
      </c>
      <c r="WM7" s="2">
        <v>65.81999999999999</v>
      </c>
      <c r="WN7" s="2">
        <v>65.98999999999999</v>
      </c>
      <c r="WO7" s="2">
        <v>66.77</v>
      </c>
      <c r="WP7" s="2">
        <v>67.18000000000001</v>
      </c>
      <c r="WQ7" s="2">
        <v>68.51000000000001</v>
      </c>
      <c r="WR7" s="2">
        <v>68.84999999999999</v>
      </c>
      <c r="WS7" s="2">
        <v>69.23999999999999</v>
      </c>
      <c r="WT7" s="2">
        <v>69.75</v>
      </c>
      <c r="WU7" s="2">
        <v>70.12</v>
      </c>
      <c r="WV7" s="2">
        <v>70.5</v>
      </c>
      <c r="WW7" s="2">
        <v>71.03</v>
      </c>
      <c r="WX7" s="2">
        <v>71.54000000000001</v>
      </c>
      <c r="WY7" s="2">
        <v>72.02</v>
      </c>
      <c r="WZ7" s="2">
        <v>72.08</v>
      </c>
      <c r="XA7" s="2">
        <v>72.23</v>
      </c>
      <c r="XB7" s="2">
        <v>72.53</v>
      </c>
      <c r="XC7" s="2">
        <v>73.23999999999999</v>
      </c>
      <c r="XD7" s="2">
        <v>73.44</v>
      </c>
      <c r="XE7" s="2">
        <v>74.02</v>
      </c>
      <c r="XF7" s="2">
        <v>74.3</v>
      </c>
      <c r="XG7" s="2">
        <v>75.65000000000001</v>
      </c>
      <c r="XH7" s="2">
        <v>75.92</v>
      </c>
      <c r="XI7" s="2">
        <v>76.44</v>
      </c>
      <c r="XJ7" s="2">
        <v>76.54000000000001</v>
      </c>
      <c r="XK7" s="2">
        <v>76.88</v>
      </c>
      <c r="XL7" s="2">
        <v>77.08</v>
      </c>
      <c r="XM7" s="2">
        <v>77.09</v>
      </c>
      <c r="XN7" s="2">
        <v>76.95999999999999</v>
      </c>
      <c r="XO7" s="2">
        <v>77.22</v>
      </c>
      <c r="XP7" s="2">
        <v>77.26000000000001</v>
      </c>
      <c r="XQ7" s="2">
        <v>77.54000000000001</v>
      </c>
      <c r="XR7" s="2">
        <v>77.01000000000001</v>
      </c>
      <c r="XS7" s="2">
        <v>77.01000000000001</v>
      </c>
      <c r="XT7" s="2">
        <v>76.54000000000001</v>
      </c>
      <c r="XU7" s="2">
        <v>76.59999999999999</v>
      </c>
      <c r="XV7" s="2">
        <v>76.91</v>
      </c>
      <c r="XW7" s="2">
        <v>78.19</v>
      </c>
      <c r="XX7" s="2">
        <v>79.64</v>
      </c>
      <c r="XY7" s="2">
        <v>81.75</v>
      </c>
      <c r="XZ7" s="2">
        <v>83.77</v>
      </c>
      <c r="YA7" s="2">
        <v>86.42</v>
      </c>
      <c r="YB7" s="2">
        <v>88.09</v>
      </c>
      <c r="YC7" s="2">
        <v>89.8</v>
      </c>
      <c r="YD7" s="2">
        <v>90.59999999999999</v>
      </c>
      <c r="YE7" s="2">
        <v>92.53</v>
      </c>
      <c r="YF7" s="2">
        <v>93.47</v>
      </c>
      <c r="YG7" s="2">
        <v>94.19</v>
      </c>
      <c r="YH7" s="2">
        <v>95.28</v>
      </c>
      <c r="YI7" s="2">
        <v>95.11</v>
      </c>
      <c r="YJ7" s="2">
        <v>94.43000000000001</v>
      </c>
      <c r="YK7" s="2">
        <v>96.01000000000001</v>
      </c>
      <c r="YL7" s="2">
        <v>97.19</v>
      </c>
      <c r="YM7" s="2">
        <v>99.65000000000001</v>
      </c>
      <c r="YN7" s="2">
        <v>99.95</v>
      </c>
      <c r="YO7" s="2">
        <v>102.87</v>
      </c>
      <c r="YP7" s="2">
        <v>103.8</v>
      </c>
      <c r="ACI7" s="2">
        <v>1.7</v>
      </c>
      <c r="ACJ7" s="2">
        <v>1.1</v>
      </c>
      <c r="ACK7" s="2">
        <v>2.8</v>
      </c>
      <c r="ACL7" s="2">
        <v>2</v>
      </c>
      <c r="ACM7" s="2">
        <v>3.7</v>
      </c>
      <c r="ACN7" s="2">
        <v>2.6</v>
      </c>
      <c r="ACO7" s="2">
        <v>5</v>
      </c>
      <c r="ACP7" s="2">
        <v>4.7</v>
      </c>
      <c r="ACQ7" s="2">
        <v>5.4</v>
      </c>
      <c r="ACR7" s="2">
        <v>3</v>
      </c>
      <c r="ACS7" s="2">
        <v>5.4</v>
      </c>
      <c r="ACT7" s="2">
        <v>3.5</v>
      </c>
      <c r="ACU7" s="2">
        <v>5.3</v>
      </c>
      <c r="ACV7" s="2">
        <v>2.9</v>
      </c>
      <c r="ACW7" s="2">
        <v>4.2</v>
      </c>
      <c r="ACX7" s="2">
        <v>3</v>
      </c>
      <c r="ACY7" s="2">
        <v>3.3</v>
      </c>
      <c r="ACZ7" s="2">
        <v>2.2</v>
      </c>
      <c r="ADA7" s="2">
        <v>2.8</v>
      </c>
      <c r="ADB7" s="2">
        <v>1.9</v>
      </c>
      <c r="ADC7" s="2">
        <v>2.6</v>
      </c>
      <c r="ADD7" s="2">
        <v>1.2</v>
      </c>
      <c r="ADE7" s="2">
        <v>1.7</v>
      </c>
      <c r="ADF7" s="2">
        <v>1.4</v>
      </c>
      <c r="ADG7" s="2">
        <v>1.9</v>
      </c>
      <c r="ADH7" s="2">
        <v>1.1</v>
      </c>
      <c r="ADI7" s="2">
        <v>1.9</v>
      </c>
      <c r="ADJ7" s="2">
        <v>1.6</v>
      </c>
      <c r="ADK7" s="2">
        <v>2.3</v>
      </c>
      <c r="ADL7" s="2">
        <v>1.8</v>
      </c>
      <c r="ADM7" s="2">
        <v>2.2</v>
      </c>
      <c r="ADN7" s="2">
        <v>2.7</v>
      </c>
      <c r="ADO7" s="2">
        <v>2.6</v>
      </c>
      <c r="ADP7" s="2">
        <v>2.3</v>
      </c>
      <c r="ADQ7" s="2">
        <v>2.7</v>
      </c>
      <c r="ADR7" s="2">
        <v>2.4</v>
      </c>
      <c r="ADS7" s="2">
        <v>3.2</v>
      </c>
      <c r="ADT7" s="2">
        <v>2.3</v>
      </c>
      <c r="ADU7" s="2">
        <v>3.2</v>
      </c>
      <c r="ADV7" s="2">
        <v>2.6</v>
      </c>
      <c r="ADW7" s="2">
        <v>2.9</v>
      </c>
      <c r="ADX7" s="2">
        <v>1.5</v>
      </c>
      <c r="ADY7" s="2">
        <v>1.5</v>
      </c>
      <c r="ADZ7" s="2">
        <v>1.1</v>
      </c>
      <c r="AEA7" s="2">
        <v>2.5</v>
      </c>
      <c r="AEB7" s="2">
        <v>1.6</v>
      </c>
      <c r="AEC7" s="2">
        <v>2.2</v>
      </c>
      <c r="AED7" s="2">
        <v>1.7</v>
      </c>
      <c r="AEE7" s="2">
        <v>1.7</v>
      </c>
      <c r="AEF7" s="2">
        <v>1.5</v>
      </c>
      <c r="AEG7" s="2">
        <v>2.3</v>
      </c>
      <c r="AEH7" s="2">
        <v>2.3</v>
      </c>
      <c r="AEI7" s="2">
        <v>2.3</v>
      </c>
      <c r="AEJ7" s="2">
        <v>1.8</v>
      </c>
      <c r="AEK7" s="2">
        <v>1.8</v>
      </c>
      <c r="AEL7" s="2">
        <v>1.8</v>
      </c>
      <c r="AEM7" s="2">
        <v>1.7</v>
      </c>
      <c r="AEN7" s="2">
        <v>1.8</v>
      </c>
      <c r="AEO7" s="2">
        <v>1.9</v>
      </c>
      <c r="AEP7" s="2">
        <v>1.7</v>
      </c>
      <c r="AEQ7" s="2">
        <v>1.2</v>
      </c>
      <c r="AER7" s="2">
        <v>1.6</v>
      </c>
      <c r="AES7" s="2">
        <v>2.1</v>
      </c>
      <c r="AET7" s="2">
        <v>4</v>
      </c>
      <c r="AEU7" s="2">
        <v>6.2</v>
      </c>
      <c r="AEV7" s="2">
        <v>-1.1</v>
      </c>
      <c r="AEW7" s="2">
        <v>5.3</v>
      </c>
      <c r="AEX7" s="2">
        <v>5.4</v>
      </c>
      <c r="AEY7" s="2">
        <v>3.4</v>
      </c>
      <c r="AEZ7" s="2">
        <v>2</v>
      </c>
      <c r="AFA7" s="2">
        <v>1.6</v>
      </c>
      <c r="AFB7" s="2">
        <v>0.6</v>
      </c>
      <c r="AFC7" s="2">
        <v>0.9</v>
      </c>
      <c r="AFD7" s="2">
        <v>-1.4</v>
      </c>
      <c r="AFE7" s="2">
        <v>0</v>
      </c>
      <c r="AFF7" s="2">
        <v>-2</v>
      </c>
      <c r="AFG7" s="2">
        <v>-0.5</v>
      </c>
      <c r="AFH7" s="2">
        <v>-2.3</v>
      </c>
      <c r="AFI7" s="2">
        <v>-2</v>
      </c>
      <c r="AFJ7" s="2">
        <v>-1.7</v>
      </c>
      <c r="AFK7" s="2">
        <v>-0.6</v>
      </c>
      <c r="AFL7" s="2">
        <v>0.4</v>
      </c>
      <c r="AFM7" s="2">
        <v>0.8</v>
      </c>
      <c r="AFN7" s="2">
        <v>-0.3</v>
      </c>
      <c r="AFO7" s="2">
        <v>-1.4</v>
      </c>
      <c r="AFP7" s="2">
        <v>0.1</v>
      </c>
      <c r="AFQ7" s="2">
        <v>0.8</v>
      </c>
      <c r="AFR7" s="2">
        <v>0.5</v>
      </c>
      <c r="AFS7" s="2">
        <v>2.7</v>
      </c>
      <c r="AFT7" s="2">
        <v>5.4</v>
      </c>
      <c r="AFU7" s="2">
        <v>1.9</v>
      </c>
      <c r="AFV7" s="2">
        <v>0.6</v>
      </c>
      <c r="AFW7" s="2">
        <v>0.7</v>
      </c>
      <c r="AFX7" s="2">
        <v>-0.4</v>
      </c>
      <c r="AFY7" s="2">
        <v>0.6</v>
      </c>
      <c r="AFZ7" s="2">
        <v>-0.2</v>
      </c>
      <c r="AGA7" s="2">
        <v>-2.7</v>
      </c>
      <c r="AGB7" s="2">
        <v>-2.9</v>
      </c>
      <c r="AGC7" s="2">
        <v>-3.3</v>
      </c>
      <c r="AGD7" s="2">
        <v>-1</v>
      </c>
      <c r="AGE7" s="2">
        <v>-1.8</v>
      </c>
      <c r="AGF7" s="2">
        <v>-0.8</v>
      </c>
      <c r="AGG7" s="2">
        <v>1.2</v>
      </c>
      <c r="AGH7" s="2">
        <v>0.4</v>
      </c>
      <c r="AGI7" s="2">
        <v>0.7</v>
      </c>
      <c r="AGJ7" s="2">
        <v>0.7</v>
      </c>
      <c r="AGK7" s="2">
        <v>0.4</v>
      </c>
      <c r="AGL7" s="2">
        <v>1.5</v>
      </c>
      <c r="AGM7" s="2">
        <v>1.6</v>
      </c>
      <c r="AGN7" s="2">
        <v>1.1</v>
      </c>
      <c r="AGO7" s="2">
        <v>0.5</v>
      </c>
      <c r="AGP7" s="2">
        <v>6.1</v>
      </c>
      <c r="AGQ7" s="2">
        <v>0.3</v>
      </c>
      <c r="AGR7" s="2">
        <v>0.4</v>
      </c>
      <c r="AGS7" s="2">
        <v>0.2</v>
      </c>
      <c r="AGT7" s="2">
        <v>1.5</v>
      </c>
      <c r="AGU7" s="2">
        <v>0.6</v>
      </c>
      <c r="AGV7" s="2">
        <v>0.7</v>
      </c>
      <c r="AGW7" s="2">
        <v>0.6</v>
      </c>
      <c r="AGX7" s="2">
        <v>1.4</v>
      </c>
      <c r="AGY7" s="2">
        <v>0.4</v>
      </c>
      <c r="AGZ7" s="2">
        <v>1.4</v>
      </c>
      <c r="AHA7" s="2">
        <v>1</v>
      </c>
      <c r="AHB7" s="2">
        <v>1.7</v>
      </c>
      <c r="AHC7" s="2">
        <v>0.6</v>
      </c>
      <c r="AHD7" s="2">
        <v>0.9</v>
      </c>
      <c r="AHE7" s="2">
        <v>0.7</v>
      </c>
      <c r="AHF7" s="2">
        <v>1.4</v>
      </c>
      <c r="AHG7" s="2">
        <v>0.9</v>
      </c>
      <c r="AHH7" s="2">
        <v>1</v>
      </c>
      <c r="AHI7" s="2">
        <v>0.6</v>
      </c>
      <c r="AHJ7" s="2">
        <v>1.4</v>
      </c>
      <c r="AHK7" s="2">
        <v>0.7</v>
      </c>
      <c r="AHL7" s="2">
        <v>0.6</v>
      </c>
      <c r="AHM7" s="2">
        <v>0.7</v>
      </c>
      <c r="AHN7" s="2">
        <v>1.2</v>
      </c>
      <c r="AHO7" s="2">
        <v>0.5</v>
      </c>
      <c r="AHP7" s="2">
        <v>1</v>
      </c>
      <c r="AHQ7" s="2">
        <v>0.8</v>
      </c>
      <c r="AHR7" s="2">
        <v>1.8</v>
      </c>
      <c r="AHS7" s="2">
        <v>1.1</v>
      </c>
      <c r="AHT7" s="2">
        <v>1.9</v>
      </c>
      <c r="AHU7" s="2">
        <v>1</v>
      </c>
      <c r="AHV7" s="2">
        <v>2.6</v>
      </c>
      <c r="AHW7" s="2">
        <v>0.8</v>
      </c>
      <c r="AHX7" s="2">
        <v>0.9</v>
      </c>
      <c r="AHY7" s="2">
        <v>0.8</v>
      </c>
      <c r="AHZ7" s="2">
        <v>2.9</v>
      </c>
      <c r="AIA7" s="2">
        <v>0.8</v>
      </c>
      <c r="AIB7" s="2">
        <v>1.5</v>
      </c>
      <c r="AIC7" s="2">
        <v>0.6</v>
      </c>
      <c r="AID7" s="2">
        <v>2.2</v>
      </c>
      <c r="AIE7" s="2">
        <v>0.6</v>
      </c>
      <c r="AIF7" s="2">
        <v>1.3</v>
      </c>
      <c r="AIG7" s="2">
        <v>0.4</v>
      </c>
      <c r="AIH7" s="2">
        <v>1.8</v>
      </c>
      <c r="AII7" s="2">
        <v>0.5</v>
      </c>
      <c r="AIJ7" s="2">
        <v>0.6</v>
      </c>
      <c r="AIK7" s="2">
        <v>0.4</v>
      </c>
      <c r="AIL7" s="2">
        <v>3.1</v>
      </c>
      <c r="AIM7" s="2">
        <v>0.3</v>
      </c>
      <c r="AIN7" s="2">
        <v>1.2</v>
      </c>
      <c r="AIO7" s="2">
        <v>0.6</v>
      </c>
      <c r="AIP7" s="2">
        <v>2</v>
      </c>
      <c r="AIQ7" s="2">
        <v>0.5</v>
      </c>
      <c r="AIR7" s="2">
        <v>0.6</v>
      </c>
      <c r="AIS7" s="2">
        <v>0.7</v>
      </c>
      <c r="AIT7" s="2">
        <v>0.5</v>
      </c>
      <c r="AIU7" s="2">
        <v>0.5</v>
      </c>
      <c r="AIV7" s="2">
        <v>0.8</v>
      </c>
      <c r="AIW7" s="2">
        <v>0.7</v>
      </c>
      <c r="AIX7" s="2">
        <v>0.7</v>
      </c>
      <c r="AIY7" s="2">
        <v>0.1</v>
      </c>
      <c r="AIZ7" s="2">
        <v>0.2</v>
      </c>
      <c r="AJA7" s="2">
        <v>0.4</v>
      </c>
      <c r="AJB7" s="2">
        <v>1</v>
      </c>
      <c r="AJC7" s="2">
        <v>0.3</v>
      </c>
      <c r="AJD7" s="2">
        <v>0.8</v>
      </c>
      <c r="AJE7" s="2">
        <v>0.4</v>
      </c>
      <c r="AJF7" s="2">
        <v>1.8</v>
      </c>
      <c r="AJG7" s="2">
        <v>0.4</v>
      </c>
      <c r="AJH7" s="2">
        <v>0.7</v>
      </c>
      <c r="AJI7" s="2">
        <v>0.1</v>
      </c>
      <c r="AJJ7" s="2">
        <v>0.4</v>
      </c>
      <c r="AJK7" s="2">
        <v>0.3</v>
      </c>
      <c r="AJL7" s="2">
        <v>0</v>
      </c>
      <c r="AJM7" s="2">
        <v>-0.2</v>
      </c>
      <c r="AJN7" s="2">
        <v>0.3</v>
      </c>
      <c r="AJO7" s="2">
        <v>0.1</v>
      </c>
      <c r="AJP7" s="2">
        <v>0.4</v>
      </c>
      <c r="AJQ7" s="2">
        <v>-0.7</v>
      </c>
      <c r="AJR7" s="2">
        <v>0</v>
      </c>
      <c r="AJS7" s="2">
        <v>-0.6</v>
      </c>
      <c r="AJT7" s="2">
        <v>0.1</v>
      </c>
      <c r="AJU7" s="2">
        <v>0.4</v>
      </c>
      <c r="AJV7" s="2">
        <v>1.7</v>
      </c>
      <c r="AJW7" s="2">
        <v>1.9</v>
      </c>
      <c r="AJX7" s="2">
        <v>2.6</v>
      </c>
      <c r="AJY7" s="2">
        <v>2.5</v>
      </c>
      <c r="AJZ7" s="2">
        <v>3.2</v>
      </c>
      <c r="AKA7" s="2">
        <v>1.9</v>
      </c>
      <c r="AKB7" s="2">
        <v>1.9</v>
      </c>
      <c r="AKC7" s="2">
        <v>0.9</v>
      </c>
      <c r="AKD7" s="2">
        <v>2.1</v>
      </c>
      <c r="AKE7" s="2">
        <v>1</v>
      </c>
      <c r="AKF7" s="2">
        <v>0.8</v>
      </c>
      <c r="AKG7" s="2">
        <v>1.2</v>
      </c>
      <c r="AKH7" s="2">
        <v>-0.2</v>
      </c>
      <c r="AKI7" s="2">
        <v>-0.7</v>
      </c>
      <c r="AKJ7" s="2">
        <v>1.7</v>
      </c>
      <c r="AKK7" s="2">
        <v>1.2</v>
      </c>
      <c r="AKL7" s="2">
        <v>2.5</v>
      </c>
      <c r="AKM7" s="2">
        <v>0.3</v>
      </c>
      <c r="AKN7" s="2">
        <v>2.9</v>
      </c>
      <c r="AKO7" s="2">
        <v>0.9</v>
      </c>
      <c r="AKP7" s="2">
        <v>21.86</v>
      </c>
      <c r="AKQ7" s="2">
        <v>22.5</v>
      </c>
      <c r="AKR7" s="2">
        <v>22.7</v>
      </c>
    </row>
    <row r="8">
      <c r="A8" t="inlineStr">
        <is>
          <t>Furnishings, household equipment and services</t>
        </is>
      </c>
      <c r="B8" t="inlineStr">
        <is>
          <t>All groups CPI</t>
        </is>
      </c>
      <c r="C8">
        <v>1</v>
      </c>
      <c r="D8">
        <v>7.9</v>
      </c>
      <c r="E8" s="3">
        <f>D8/100.0*1.0</f>
        <v>0.079</v>
      </c>
      <c r="F8" s="3">
        <f>E8-D8/100</f>
        <v>0.0</v>
      </c>
      <c r="G8" s="3">
        <f>D8/100.0</f>
        <v>0.079</v>
      </c>
      <c r="CI8" s="2">
        <v>97.23999999999999</v>
      </c>
      <c r="CJ8" s="2">
        <v>97.20999999999999</v>
      </c>
      <c r="CK8" s="2">
        <v>95.93000000000001</v>
      </c>
      <c r="CL8" s="2">
        <v>97.75</v>
      </c>
      <c r="CM8" s="2">
        <v>98.64</v>
      </c>
      <c r="CN8" s="2">
        <v>98.26000000000001</v>
      </c>
      <c r="CO8" s="2">
        <v>98.68000000000001</v>
      </c>
      <c r="CP8" s="2">
        <v>98.5</v>
      </c>
      <c r="CQ8" s="2">
        <v>97.65000000000001</v>
      </c>
      <c r="CR8" s="2">
        <v>97.86</v>
      </c>
      <c r="CS8" s="2">
        <v>98.83</v>
      </c>
      <c r="CT8" s="2">
        <v>98.56</v>
      </c>
      <c r="CU8" s="2">
        <v>99.03</v>
      </c>
      <c r="CV8" s="2">
        <v>98.64</v>
      </c>
      <c r="CW8" s="2">
        <v>97.56</v>
      </c>
      <c r="CX8" s="2">
        <v>99.54000000000001</v>
      </c>
      <c r="CY8" s="2">
        <v>100.33</v>
      </c>
      <c r="CZ8" s="2">
        <v>100</v>
      </c>
      <c r="DA8" s="2">
        <v>100.72</v>
      </c>
      <c r="DB8" s="2">
        <v>99.77</v>
      </c>
      <c r="DC8" s="2">
        <v>99.62</v>
      </c>
      <c r="DD8" s="2">
        <v>99.20999999999999</v>
      </c>
      <c r="DE8" s="2">
        <v>100.14</v>
      </c>
      <c r="DF8" s="2">
        <v>99.92</v>
      </c>
      <c r="DG8" s="2">
        <v>100.25</v>
      </c>
      <c r="DH8" s="2">
        <v>100.3</v>
      </c>
      <c r="DI8" s="2">
        <v>99.09</v>
      </c>
      <c r="DJ8" s="2">
        <v>101.09</v>
      </c>
      <c r="GL8" s="2">
        <v>1.8</v>
      </c>
      <c r="GM8" s="2">
        <v>1.5</v>
      </c>
      <c r="GN8" s="2">
        <v>1.7</v>
      </c>
      <c r="GO8" s="2">
        <v>1.8</v>
      </c>
      <c r="GP8" s="2">
        <v>1.7</v>
      </c>
      <c r="GQ8" s="2">
        <v>1.8</v>
      </c>
      <c r="GR8" s="2">
        <v>2.1</v>
      </c>
      <c r="GS8" s="2">
        <v>1.3</v>
      </c>
      <c r="GT8" s="2">
        <v>2</v>
      </c>
      <c r="GU8" s="2">
        <v>1.4</v>
      </c>
      <c r="GV8" s="2">
        <v>1.3</v>
      </c>
      <c r="GW8" s="2">
        <v>1.4</v>
      </c>
      <c r="GX8" s="2">
        <v>1.2</v>
      </c>
      <c r="GY8" s="2">
        <v>1.7</v>
      </c>
      <c r="GZ8" s="2">
        <v>1.6</v>
      </c>
      <c r="HA8" s="2">
        <v>1.6</v>
      </c>
      <c r="KC8" s="2">
        <v>0</v>
      </c>
      <c r="KD8" s="2">
        <v>-1.3</v>
      </c>
      <c r="KE8" s="2">
        <v>1.9</v>
      </c>
      <c r="KF8" s="2">
        <v>0.9</v>
      </c>
      <c r="KG8" s="2">
        <v>-0.4</v>
      </c>
      <c r="KH8" s="2">
        <v>0.4</v>
      </c>
      <c r="KI8" s="2">
        <v>-0.2</v>
      </c>
      <c r="KJ8" s="2">
        <v>-0.9</v>
      </c>
      <c r="KK8" s="2">
        <v>0.2</v>
      </c>
      <c r="KL8" s="2">
        <v>1</v>
      </c>
      <c r="KM8" s="2">
        <v>-0.3</v>
      </c>
      <c r="KN8" s="2">
        <v>0.5</v>
      </c>
      <c r="KO8" s="2">
        <v>-0.4</v>
      </c>
      <c r="KP8" s="2">
        <v>-1.1</v>
      </c>
      <c r="KQ8" s="2">
        <v>2</v>
      </c>
      <c r="KR8" s="2">
        <v>0.8</v>
      </c>
      <c r="KS8" s="2">
        <v>-0.3</v>
      </c>
      <c r="KT8" s="2">
        <v>0.7</v>
      </c>
      <c r="KU8" s="2">
        <v>-0.9</v>
      </c>
      <c r="KV8" s="2">
        <v>-0.2</v>
      </c>
      <c r="KW8" s="2">
        <v>-0.4</v>
      </c>
      <c r="KX8" s="2">
        <v>0.9</v>
      </c>
      <c r="KY8" s="2">
        <v>-0.2</v>
      </c>
      <c r="KZ8" s="2">
        <v>0.3</v>
      </c>
      <c r="LA8" s="2">
        <v>0</v>
      </c>
      <c r="LB8" s="2">
        <v>-1.2</v>
      </c>
      <c r="LC8" s="2">
        <v>2</v>
      </c>
      <c r="LD8" s="2">
        <v>7.68</v>
      </c>
      <c r="LE8" s="2">
        <v>7.7</v>
      </c>
      <c r="LF8" s="2">
        <v>7.78</v>
      </c>
      <c r="LG8" s="2">
        <v>7.76</v>
      </c>
      <c r="LH8" s="2">
        <v>7.79</v>
      </c>
      <c r="LI8" s="2">
        <v>7.76</v>
      </c>
      <c r="LJ8" s="2">
        <v>7.68</v>
      </c>
      <c r="LK8" s="2">
        <v>7.83</v>
      </c>
      <c r="LL8" s="2">
        <v>7.89</v>
      </c>
      <c r="LM8" s="2">
        <v>7.87</v>
      </c>
      <c r="LN8" s="2">
        <v>7.93</v>
      </c>
      <c r="LO8" s="2">
        <v>7.85</v>
      </c>
      <c r="LP8" s="2">
        <v>7.84</v>
      </c>
      <c r="LQ8" s="2">
        <v>7.81</v>
      </c>
      <c r="LR8" s="2">
        <v>7.88</v>
      </c>
      <c r="LS8" s="2">
        <v>7.86</v>
      </c>
      <c r="LT8" s="2">
        <v>7.89</v>
      </c>
      <c r="LU8" s="2">
        <v>7.89</v>
      </c>
      <c r="LV8" s="2">
        <v>7.8</v>
      </c>
      <c r="LW8" s="2">
        <v>7.95</v>
      </c>
      <c r="LX8" s="2">
        <v>0.02</v>
      </c>
      <c r="LY8" s="2">
        <v>0.08</v>
      </c>
      <c r="LZ8" s="2">
        <v>-0.02</v>
      </c>
      <c r="MA8" s="2">
        <v>0.03</v>
      </c>
      <c r="MB8" s="2">
        <v>-0.03</v>
      </c>
      <c r="MC8" s="2">
        <v>-0.08</v>
      </c>
      <c r="MD8" s="2">
        <v>0.15</v>
      </c>
      <c r="ME8" s="2">
        <v>0.06</v>
      </c>
      <c r="MF8" s="2">
        <v>-0.02</v>
      </c>
      <c r="MG8" s="2">
        <v>0.06</v>
      </c>
      <c r="MH8" s="2">
        <v>-0.08</v>
      </c>
      <c r="MI8" s="2">
        <v>-0.01</v>
      </c>
      <c r="MJ8" s="2">
        <v>-0.03</v>
      </c>
      <c r="MK8" s="2">
        <v>0.07000000000000001</v>
      </c>
      <c r="ML8" s="2">
        <v>-0.02</v>
      </c>
      <c r="MM8" s="2">
        <v>0.03</v>
      </c>
      <c r="MN8" s="2">
        <v>0</v>
      </c>
      <c r="MO8" s="2">
        <v>-0.09</v>
      </c>
      <c r="MP8" s="2">
        <v>0.15</v>
      </c>
      <c r="QI8" s="2">
        <v>14.01</v>
      </c>
      <c r="QJ8" s="2">
        <v>14.13</v>
      </c>
      <c r="QK8" s="2">
        <v>14.26</v>
      </c>
      <c r="QL8" s="2">
        <v>14.57</v>
      </c>
      <c r="QM8" s="2">
        <v>15.01</v>
      </c>
      <c r="QN8" s="2">
        <v>15.26</v>
      </c>
      <c r="QO8" s="2">
        <v>15.69</v>
      </c>
      <c r="QP8" s="2">
        <v>16.26</v>
      </c>
      <c r="QQ8" s="2">
        <v>17.2</v>
      </c>
      <c r="QR8" s="2">
        <v>18.2</v>
      </c>
      <c r="QS8" s="2">
        <v>18.88</v>
      </c>
      <c r="QT8" s="2">
        <v>19.51</v>
      </c>
      <c r="QU8" s="2">
        <v>19.95</v>
      </c>
      <c r="QV8" s="2">
        <v>21.38</v>
      </c>
      <c r="QW8" s="2">
        <v>21.82</v>
      </c>
      <c r="QX8" s="2">
        <v>22.39</v>
      </c>
      <c r="QY8" s="2">
        <v>22.76</v>
      </c>
      <c r="QZ8" s="2">
        <v>23.14</v>
      </c>
      <c r="RA8" s="2">
        <v>23.82</v>
      </c>
      <c r="RB8" s="2">
        <v>24.39</v>
      </c>
      <c r="RC8" s="2">
        <v>24.76</v>
      </c>
      <c r="RD8" s="2">
        <v>25.39</v>
      </c>
      <c r="RE8" s="2">
        <v>25.64</v>
      </c>
      <c r="RF8" s="2">
        <v>26.2</v>
      </c>
      <c r="RG8" s="2">
        <v>26.51</v>
      </c>
      <c r="RH8" s="2">
        <v>26.89</v>
      </c>
      <c r="RI8" s="2">
        <v>27.33</v>
      </c>
      <c r="RJ8" s="2">
        <v>27.64</v>
      </c>
      <c r="RK8" s="2">
        <v>28.26</v>
      </c>
      <c r="RL8" s="2">
        <v>28.89</v>
      </c>
      <c r="RM8" s="2">
        <v>29.64</v>
      </c>
      <c r="RN8" s="2">
        <v>30.39</v>
      </c>
      <c r="RO8" s="2">
        <v>31.45</v>
      </c>
      <c r="RP8" s="2">
        <v>32.14</v>
      </c>
      <c r="RQ8" s="2">
        <v>33.02</v>
      </c>
      <c r="RR8" s="2">
        <v>33.52</v>
      </c>
      <c r="RS8" s="2">
        <v>34.33</v>
      </c>
      <c r="RT8" s="2">
        <v>35.52</v>
      </c>
      <c r="RU8" s="2">
        <v>36.45</v>
      </c>
      <c r="RV8" s="2">
        <v>37.58</v>
      </c>
      <c r="RW8" s="2">
        <v>38.77</v>
      </c>
      <c r="RX8" s="2">
        <v>40.21</v>
      </c>
      <c r="RY8" s="2">
        <v>40.83</v>
      </c>
      <c r="RZ8" s="2">
        <v>41.33</v>
      </c>
      <c r="SA8" s="2">
        <v>42.02</v>
      </c>
      <c r="SB8" s="2">
        <v>43.21</v>
      </c>
      <c r="SC8" s="2">
        <v>43.52</v>
      </c>
      <c r="SD8" s="2">
        <v>43.83</v>
      </c>
      <c r="SE8" s="2">
        <v>44.33</v>
      </c>
      <c r="SF8" s="2">
        <v>44.77</v>
      </c>
      <c r="SG8" s="2">
        <v>45.46</v>
      </c>
      <c r="SH8" s="2">
        <v>46.21</v>
      </c>
      <c r="SI8" s="2">
        <v>47.15</v>
      </c>
      <c r="SJ8" s="2">
        <v>48.59</v>
      </c>
      <c r="SK8" s="2">
        <v>49.46</v>
      </c>
      <c r="SL8" s="2">
        <v>50.21</v>
      </c>
      <c r="SM8" s="2">
        <v>51.02</v>
      </c>
      <c r="SN8" s="2">
        <v>52.15</v>
      </c>
      <c r="SO8" s="2">
        <v>52.71</v>
      </c>
      <c r="SP8" s="2">
        <v>53.9</v>
      </c>
      <c r="SQ8" s="2">
        <v>54.9</v>
      </c>
      <c r="SR8" s="2">
        <v>55.78</v>
      </c>
      <c r="SS8" s="2">
        <v>56.4</v>
      </c>
      <c r="ST8" s="2">
        <v>57.28</v>
      </c>
      <c r="SU8" s="2">
        <v>58.21</v>
      </c>
      <c r="SV8" s="2">
        <v>59.15</v>
      </c>
      <c r="SW8" s="2">
        <v>59.59</v>
      </c>
      <c r="SX8" s="2">
        <v>60.22</v>
      </c>
      <c r="SY8" s="2">
        <v>61.09</v>
      </c>
      <c r="SZ8" s="2">
        <v>62.03</v>
      </c>
      <c r="TA8" s="2">
        <v>62.97</v>
      </c>
      <c r="TB8" s="2">
        <v>64.03</v>
      </c>
      <c r="TC8" s="2">
        <v>64.59</v>
      </c>
      <c r="TD8" s="2">
        <v>65.78</v>
      </c>
      <c r="TE8" s="2">
        <v>66.09</v>
      </c>
      <c r="TF8" s="2">
        <v>66.28</v>
      </c>
      <c r="TG8" s="2">
        <v>66.91</v>
      </c>
      <c r="TH8" s="2">
        <v>67.34</v>
      </c>
      <c r="TI8" s="2">
        <v>67.16</v>
      </c>
      <c r="TJ8" s="2">
        <v>67.53</v>
      </c>
      <c r="TK8" s="2">
        <v>67.16</v>
      </c>
      <c r="TL8" s="2">
        <v>67.22</v>
      </c>
      <c r="TM8" s="2">
        <v>66.84</v>
      </c>
      <c r="TN8" s="2">
        <v>67.16</v>
      </c>
      <c r="TO8" s="2">
        <v>67.22</v>
      </c>
      <c r="TP8" s="2">
        <v>67.16</v>
      </c>
      <c r="TQ8" s="2">
        <v>67.47</v>
      </c>
      <c r="TR8" s="2">
        <v>67.66</v>
      </c>
      <c r="TS8" s="2">
        <v>67.66</v>
      </c>
      <c r="TT8" s="2">
        <v>68.09</v>
      </c>
      <c r="TU8" s="2">
        <v>68.34</v>
      </c>
      <c r="TV8" s="2">
        <v>68.91</v>
      </c>
      <c r="TW8" s="2">
        <v>69.41</v>
      </c>
      <c r="TX8" s="2">
        <v>69.78</v>
      </c>
      <c r="TY8" s="2">
        <v>69.78</v>
      </c>
      <c r="TZ8" s="2">
        <v>70.34999999999999</v>
      </c>
      <c r="UA8" s="2">
        <v>70.72</v>
      </c>
      <c r="UB8" s="2">
        <v>71.03</v>
      </c>
      <c r="UC8" s="2">
        <v>70.97</v>
      </c>
      <c r="UD8" s="2">
        <v>71.22</v>
      </c>
      <c r="UE8" s="2">
        <v>70.91</v>
      </c>
      <c r="UF8" s="2">
        <v>71.16</v>
      </c>
      <c r="UG8" s="2">
        <v>71.16</v>
      </c>
      <c r="UH8" s="2">
        <v>71.28</v>
      </c>
      <c r="UI8" s="2">
        <v>71.22</v>
      </c>
      <c r="UJ8" s="2">
        <v>71.33</v>
      </c>
      <c r="UK8" s="2">
        <v>70.67</v>
      </c>
      <c r="UL8" s="2">
        <v>71.01000000000001</v>
      </c>
      <c r="UM8" s="2">
        <v>70.66</v>
      </c>
      <c r="UN8" s="2">
        <v>70.84999999999999</v>
      </c>
      <c r="UO8" s="2">
        <v>70.55</v>
      </c>
      <c r="UP8" s="2">
        <v>71.34999999999999</v>
      </c>
      <c r="UQ8" s="2">
        <v>72.76000000000001</v>
      </c>
      <c r="UR8" s="2">
        <v>72.75</v>
      </c>
      <c r="US8" s="2">
        <v>73.3</v>
      </c>
      <c r="UT8" s="2">
        <v>74.56999999999999</v>
      </c>
      <c r="UU8" s="2">
        <v>74.37</v>
      </c>
      <c r="UV8" s="2">
        <v>75.2</v>
      </c>
      <c r="UW8" s="2">
        <v>74.65000000000001</v>
      </c>
      <c r="UX8" s="2">
        <v>75.19</v>
      </c>
      <c r="UY8" s="2">
        <v>75.31999999999999</v>
      </c>
      <c r="UZ8" s="2">
        <v>76.06</v>
      </c>
      <c r="VA8" s="2">
        <v>75.28</v>
      </c>
      <c r="VB8" s="2">
        <v>75.93000000000001</v>
      </c>
      <c r="VC8" s="2">
        <v>75.95999999999999</v>
      </c>
      <c r="VD8" s="2">
        <v>75.90000000000001</v>
      </c>
      <c r="VE8" s="2">
        <v>75.45</v>
      </c>
      <c r="VF8" s="2">
        <v>75.45</v>
      </c>
      <c r="VG8" s="2">
        <v>75.43000000000001</v>
      </c>
      <c r="VH8" s="2">
        <v>75.87</v>
      </c>
      <c r="VI8" s="2">
        <v>74.88</v>
      </c>
      <c r="VJ8" s="2">
        <v>75.78</v>
      </c>
      <c r="VK8" s="2">
        <v>76.05</v>
      </c>
      <c r="VL8" s="2">
        <v>76.53</v>
      </c>
      <c r="VM8" s="2">
        <v>76.25</v>
      </c>
      <c r="VN8" s="2">
        <v>76.83</v>
      </c>
      <c r="VO8" s="2">
        <v>77.83</v>
      </c>
      <c r="VP8" s="2">
        <v>77.97</v>
      </c>
      <c r="VQ8" s="2">
        <v>77.31</v>
      </c>
      <c r="VR8" s="2">
        <v>78.45</v>
      </c>
      <c r="VS8" s="2">
        <v>76.59999999999999</v>
      </c>
      <c r="VT8" s="2">
        <v>77.2</v>
      </c>
      <c r="VU8" s="2">
        <v>76.69</v>
      </c>
      <c r="VV8" s="2">
        <v>77.97</v>
      </c>
      <c r="VW8" s="2">
        <v>77.27</v>
      </c>
      <c r="VX8" s="2">
        <v>77.56</v>
      </c>
      <c r="VY8" s="2">
        <v>78.16</v>
      </c>
      <c r="VZ8" s="2">
        <v>79.86</v>
      </c>
      <c r="WA8" s="2">
        <v>80.34999999999999</v>
      </c>
      <c r="WB8" s="2">
        <v>80.34</v>
      </c>
      <c r="WC8" s="2">
        <v>79.29000000000001</v>
      </c>
      <c r="WD8" s="2">
        <v>80.01000000000001</v>
      </c>
      <c r="WE8" s="2">
        <v>80.66</v>
      </c>
      <c r="WF8" s="2">
        <v>80.17</v>
      </c>
      <c r="WG8" s="2">
        <v>78.93000000000001</v>
      </c>
      <c r="WH8" s="2">
        <v>80.06999999999999</v>
      </c>
      <c r="WI8" s="2">
        <v>80.3</v>
      </c>
      <c r="WJ8" s="2">
        <v>80.33</v>
      </c>
      <c r="WK8" s="2">
        <v>79.48</v>
      </c>
      <c r="WL8" s="2">
        <v>80.66</v>
      </c>
      <c r="WM8" s="2">
        <v>81.48999999999999</v>
      </c>
      <c r="WN8" s="2">
        <v>81.02</v>
      </c>
      <c r="WO8" s="2">
        <v>79.95</v>
      </c>
      <c r="WP8" s="2">
        <v>80.73999999999999</v>
      </c>
      <c r="WQ8" s="2">
        <v>81.56</v>
      </c>
      <c r="WR8" s="2">
        <v>81.84999999999999</v>
      </c>
      <c r="WS8" s="2">
        <v>80.7</v>
      </c>
      <c r="WT8" s="2">
        <v>81.56999999999999</v>
      </c>
      <c r="WU8" s="2">
        <v>81.84</v>
      </c>
      <c r="WV8" s="2">
        <v>82.27</v>
      </c>
      <c r="WW8" s="2">
        <v>81.86</v>
      </c>
      <c r="WX8" s="2">
        <v>82.70999999999999</v>
      </c>
      <c r="WY8" s="2">
        <v>83.33</v>
      </c>
      <c r="WZ8" s="2">
        <v>83.79000000000001</v>
      </c>
      <c r="XA8" s="2">
        <v>83.45999999999999</v>
      </c>
      <c r="XB8" s="2">
        <v>84</v>
      </c>
      <c r="XC8" s="2">
        <v>84.95999999999999</v>
      </c>
      <c r="XD8" s="2">
        <v>84.25</v>
      </c>
      <c r="XE8" s="2">
        <v>83.41</v>
      </c>
      <c r="XF8" s="2">
        <v>84</v>
      </c>
      <c r="XG8" s="2">
        <v>84.31</v>
      </c>
      <c r="XH8" s="2">
        <v>83.62</v>
      </c>
      <c r="XI8" s="2">
        <v>83.31999999999999</v>
      </c>
      <c r="XJ8" s="2">
        <v>83.58</v>
      </c>
      <c r="XK8" s="2">
        <v>82.59999999999999</v>
      </c>
      <c r="XL8" s="2">
        <v>83.02</v>
      </c>
      <c r="XM8" s="2">
        <v>82.68000000000001</v>
      </c>
      <c r="XN8" s="2">
        <v>83.26000000000001</v>
      </c>
      <c r="XO8" s="2">
        <v>84.11</v>
      </c>
      <c r="XP8" s="2">
        <v>83.90000000000001</v>
      </c>
      <c r="XQ8" s="2">
        <v>84.54000000000001</v>
      </c>
      <c r="XR8" s="2">
        <v>75.02</v>
      </c>
      <c r="XS8" s="2">
        <v>84.06</v>
      </c>
      <c r="XT8" s="2">
        <v>86.95</v>
      </c>
      <c r="XU8" s="2">
        <v>86.79000000000001</v>
      </c>
      <c r="XV8" s="2">
        <v>87.73</v>
      </c>
      <c r="XW8" s="2">
        <v>89.13</v>
      </c>
      <c r="XX8" s="2">
        <v>90.04000000000001</v>
      </c>
      <c r="XY8" s="2">
        <v>91.02</v>
      </c>
      <c r="XZ8" s="2">
        <v>93.23</v>
      </c>
      <c r="YA8" s="2">
        <v>95.94</v>
      </c>
      <c r="YB8" s="2">
        <v>97.61</v>
      </c>
      <c r="YC8" s="2">
        <v>97.12</v>
      </c>
      <c r="YD8" s="2">
        <v>99.15000000000001</v>
      </c>
      <c r="YE8" s="2">
        <v>98.34999999999999</v>
      </c>
      <c r="YF8" s="2">
        <v>97.37</v>
      </c>
      <c r="YG8" s="2">
        <v>97.28</v>
      </c>
      <c r="YH8" s="2">
        <v>98.11</v>
      </c>
      <c r="YI8" s="2">
        <v>98.95999999999999</v>
      </c>
      <c r="YJ8" s="2">
        <v>98.81</v>
      </c>
      <c r="YK8" s="2">
        <v>97.94</v>
      </c>
      <c r="YL8" s="2">
        <v>99</v>
      </c>
      <c r="YM8" s="2">
        <v>99.95</v>
      </c>
      <c r="YN8" s="2">
        <v>100.04</v>
      </c>
      <c r="YO8" s="2">
        <v>99.75</v>
      </c>
      <c r="YP8" s="2">
        <v>99.88</v>
      </c>
      <c r="ACI8" s="2">
        <v>0.9</v>
      </c>
      <c r="ACJ8" s="2">
        <v>0.9</v>
      </c>
      <c r="ACK8" s="2">
        <v>2.2</v>
      </c>
      <c r="ACL8" s="2">
        <v>3</v>
      </c>
      <c r="ACM8" s="2">
        <v>1.7</v>
      </c>
      <c r="ACN8" s="2">
        <v>2.8</v>
      </c>
      <c r="ACO8" s="2">
        <v>3.6</v>
      </c>
      <c r="ACP8" s="2">
        <v>5.8</v>
      </c>
      <c r="ACQ8" s="2">
        <v>5.8</v>
      </c>
      <c r="ACR8" s="2">
        <v>3.7</v>
      </c>
      <c r="ACS8" s="2">
        <v>3.3</v>
      </c>
      <c r="ACT8" s="2">
        <v>2.3</v>
      </c>
      <c r="ACU8" s="2">
        <v>7.2</v>
      </c>
      <c r="ACV8" s="2">
        <v>2.1</v>
      </c>
      <c r="ACW8" s="2">
        <v>2.6</v>
      </c>
      <c r="ACX8" s="2">
        <v>1.7</v>
      </c>
      <c r="ACY8" s="2">
        <v>1.7</v>
      </c>
      <c r="ACZ8" s="2">
        <v>2.9</v>
      </c>
      <c r="ADA8" s="2">
        <v>2.4</v>
      </c>
      <c r="ADB8" s="2">
        <v>1.5</v>
      </c>
      <c r="ADC8" s="2">
        <v>2.5</v>
      </c>
      <c r="ADD8" s="2">
        <v>1</v>
      </c>
      <c r="ADE8" s="2">
        <v>2.2</v>
      </c>
      <c r="ADF8" s="2">
        <v>1.2</v>
      </c>
      <c r="ADG8" s="2">
        <v>1.4</v>
      </c>
      <c r="ADH8" s="2">
        <v>1.6</v>
      </c>
      <c r="ADI8" s="2">
        <v>1.1</v>
      </c>
      <c r="ADJ8" s="2">
        <v>2.2</v>
      </c>
      <c r="ADK8" s="2">
        <v>2.2</v>
      </c>
      <c r="ADL8" s="2">
        <v>2.6</v>
      </c>
      <c r="ADM8" s="2">
        <v>2.5</v>
      </c>
      <c r="ADN8" s="2">
        <v>3.5</v>
      </c>
      <c r="ADO8" s="2">
        <v>2.2</v>
      </c>
      <c r="ADP8" s="2">
        <v>2.7</v>
      </c>
      <c r="ADQ8" s="2">
        <v>1.5</v>
      </c>
      <c r="ADR8" s="2">
        <v>2.4</v>
      </c>
      <c r="ADS8" s="2">
        <v>3.5</v>
      </c>
      <c r="ADT8" s="2">
        <v>2.6</v>
      </c>
      <c r="ADU8" s="2">
        <v>3.1</v>
      </c>
      <c r="ADV8" s="2">
        <v>3.2</v>
      </c>
      <c r="ADW8" s="2">
        <v>3.7</v>
      </c>
      <c r="ADX8" s="2">
        <v>1.5</v>
      </c>
      <c r="ADY8" s="2">
        <v>1.2</v>
      </c>
      <c r="ADZ8" s="2">
        <v>1.7</v>
      </c>
      <c r="AEA8" s="2">
        <v>2.8</v>
      </c>
      <c r="AEB8" s="2">
        <v>0.7</v>
      </c>
      <c r="AEC8" s="2">
        <v>0.7</v>
      </c>
      <c r="AED8" s="2">
        <v>1.1</v>
      </c>
      <c r="AEE8" s="2">
        <v>1</v>
      </c>
      <c r="AEF8" s="2">
        <v>1.5</v>
      </c>
      <c r="AEG8" s="2">
        <v>1.6</v>
      </c>
      <c r="AEH8" s="2">
        <v>2</v>
      </c>
      <c r="AEI8" s="2">
        <v>3.1</v>
      </c>
      <c r="AEJ8" s="2">
        <v>1.8</v>
      </c>
      <c r="AEK8" s="2">
        <v>1.5</v>
      </c>
      <c r="AEL8" s="2">
        <v>1.6</v>
      </c>
      <c r="AEM8" s="2">
        <v>2.2</v>
      </c>
      <c r="AEN8" s="2">
        <v>1.1</v>
      </c>
      <c r="AEO8" s="2">
        <v>2.3</v>
      </c>
      <c r="AEP8" s="2">
        <v>1.9</v>
      </c>
      <c r="AEQ8" s="2">
        <v>1.6</v>
      </c>
      <c r="AER8" s="2">
        <v>1.1</v>
      </c>
      <c r="AES8" s="2">
        <v>1.6</v>
      </c>
      <c r="AET8" s="2">
        <v>1.6</v>
      </c>
      <c r="AEU8" s="2">
        <v>1.6</v>
      </c>
      <c r="AEV8" s="2">
        <v>0.7</v>
      </c>
      <c r="AEW8" s="2">
        <v>1.1</v>
      </c>
      <c r="AEX8" s="2">
        <v>1.4</v>
      </c>
      <c r="AEY8" s="2">
        <v>1.5</v>
      </c>
      <c r="AEZ8" s="2">
        <v>1.5</v>
      </c>
      <c r="AFA8" s="2">
        <v>1.7</v>
      </c>
      <c r="AFB8" s="2">
        <v>0.9</v>
      </c>
      <c r="AFC8" s="2">
        <v>1.8</v>
      </c>
      <c r="AFD8" s="2">
        <v>0.5</v>
      </c>
      <c r="AFE8" s="2">
        <v>0.3</v>
      </c>
      <c r="AFF8" s="2">
        <v>1</v>
      </c>
      <c r="AFG8" s="2">
        <v>0.6</v>
      </c>
      <c r="AFH8" s="2">
        <v>-0.3</v>
      </c>
      <c r="AFI8" s="2">
        <v>0.6</v>
      </c>
      <c r="AFJ8" s="2">
        <v>-0.5</v>
      </c>
      <c r="AFK8" s="2">
        <v>0.1</v>
      </c>
      <c r="AFL8" s="2">
        <v>-0.6</v>
      </c>
      <c r="AFM8" s="2">
        <v>0.5</v>
      </c>
      <c r="AFN8" s="2">
        <v>0.1</v>
      </c>
      <c r="AFO8" s="2">
        <v>-0.1</v>
      </c>
      <c r="AFP8" s="2">
        <v>0.5</v>
      </c>
      <c r="AFQ8" s="2">
        <v>0.3</v>
      </c>
      <c r="AFR8" s="2">
        <v>0</v>
      </c>
      <c r="AFS8" s="2">
        <v>0.6</v>
      </c>
      <c r="AFT8" s="2">
        <v>0.4</v>
      </c>
      <c r="AFU8" s="2">
        <v>0.8</v>
      </c>
      <c r="AFV8" s="2">
        <v>0.7</v>
      </c>
      <c r="AFW8" s="2">
        <v>0.5</v>
      </c>
      <c r="AFX8" s="2">
        <v>0</v>
      </c>
      <c r="AFY8" s="2">
        <v>0.8</v>
      </c>
      <c r="AFZ8" s="2">
        <v>0.5</v>
      </c>
      <c r="AGA8" s="2">
        <v>0.4</v>
      </c>
      <c r="AGB8" s="2">
        <v>-0.1</v>
      </c>
      <c r="AGC8" s="2">
        <v>0.4</v>
      </c>
      <c r="AGD8" s="2">
        <v>-0.4</v>
      </c>
      <c r="AGE8" s="2">
        <v>0.4</v>
      </c>
      <c r="AGF8" s="2">
        <v>0</v>
      </c>
      <c r="AGG8" s="2">
        <v>0.2</v>
      </c>
      <c r="AGH8" s="2">
        <v>-0.1</v>
      </c>
      <c r="AGI8" s="2">
        <v>0.2</v>
      </c>
      <c r="AGJ8" s="2">
        <v>-0.9</v>
      </c>
      <c r="AGK8" s="2">
        <v>0.5</v>
      </c>
      <c r="AGL8" s="2">
        <v>-0.5</v>
      </c>
      <c r="AGM8" s="2">
        <v>0.3</v>
      </c>
      <c r="AGN8" s="2">
        <v>-0.4</v>
      </c>
      <c r="AGO8" s="2">
        <v>1.1</v>
      </c>
      <c r="AGP8" s="2">
        <v>2</v>
      </c>
      <c r="AGQ8" s="2">
        <v>0</v>
      </c>
      <c r="AGR8" s="2">
        <v>0.8</v>
      </c>
      <c r="AGS8" s="2">
        <v>1.7</v>
      </c>
      <c r="AGT8" s="2">
        <v>-0.3</v>
      </c>
      <c r="AGU8" s="2">
        <v>1.1</v>
      </c>
      <c r="AGV8" s="2">
        <v>-0.7</v>
      </c>
      <c r="AGW8" s="2">
        <v>0.7</v>
      </c>
      <c r="AGX8" s="2">
        <v>0.2</v>
      </c>
      <c r="AGY8" s="2">
        <v>1</v>
      </c>
      <c r="AGZ8" s="2">
        <v>-1</v>
      </c>
      <c r="AHA8" s="2">
        <v>0.9</v>
      </c>
      <c r="AHB8" s="2">
        <v>0</v>
      </c>
      <c r="AHC8" s="2">
        <v>-0.1</v>
      </c>
      <c r="AHD8" s="2">
        <v>-0.6</v>
      </c>
      <c r="AHE8" s="2">
        <v>0</v>
      </c>
      <c r="AHF8" s="2">
        <v>0</v>
      </c>
      <c r="AHG8" s="2">
        <v>0.6</v>
      </c>
      <c r="AHH8" s="2">
        <v>-1.3</v>
      </c>
      <c r="AHI8" s="2">
        <v>1.2</v>
      </c>
      <c r="AHJ8" s="2">
        <v>0.4</v>
      </c>
      <c r="AHK8" s="2">
        <v>0.6</v>
      </c>
      <c r="AHL8" s="2">
        <v>-0.4</v>
      </c>
      <c r="AHM8" s="2">
        <v>0.8</v>
      </c>
      <c r="AHN8" s="2">
        <v>1.3</v>
      </c>
      <c r="AHO8" s="2">
        <v>0.2</v>
      </c>
      <c r="AHP8" s="2">
        <v>-0.8</v>
      </c>
      <c r="AHQ8" s="2">
        <v>1.5</v>
      </c>
      <c r="AHR8" s="2">
        <v>-2.4</v>
      </c>
      <c r="AHS8" s="2">
        <v>0.8</v>
      </c>
      <c r="AHT8" s="2">
        <v>-0.7</v>
      </c>
      <c r="AHU8" s="2">
        <v>1.7</v>
      </c>
      <c r="AHV8" s="2">
        <v>-0.9</v>
      </c>
      <c r="AHW8" s="2">
        <v>0.4</v>
      </c>
      <c r="AHX8" s="2">
        <v>0.8</v>
      </c>
      <c r="AHY8" s="2">
        <v>2.2</v>
      </c>
      <c r="AHZ8" s="2">
        <v>0.6</v>
      </c>
      <c r="AIA8" s="2">
        <v>0</v>
      </c>
      <c r="AIB8" s="2">
        <v>-1.3</v>
      </c>
      <c r="AIC8" s="2">
        <v>0.9</v>
      </c>
      <c r="AID8" s="2">
        <v>0.8</v>
      </c>
      <c r="AIE8" s="2">
        <v>-0.6</v>
      </c>
      <c r="AIF8" s="2">
        <v>-1.5</v>
      </c>
      <c r="AIG8" s="2">
        <v>1.4</v>
      </c>
      <c r="AIH8" s="2">
        <v>0.3</v>
      </c>
      <c r="AII8" s="2">
        <v>0</v>
      </c>
      <c r="AIJ8" s="2">
        <v>-1.1</v>
      </c>
      <c r="AIK8" s="2">
        <v>1.5</v>
      </c>
      <c r="AIL8" s="2">
        <v>1</v>
      </c>
      <c r="AIM8" s="2">
        <v>-0.6</v>
      </c>
      <c r="AIN8" s="2">
        <v>-1.3</v>
      </c>
      <c r="AIO8" s="2">
        <v>1</v>
      </c>
      <c r="AIP8" s="2">
        <v>1</v>
      </c>
      <c r="AIQ8" s="2">
        <v>0.4</v>
      </c>
      <c r="AIR8" s="2">
        <v>-1.4</v>
      </c>
      <c r="AIS8" s="2">
        <v>1.1</v>
      </c>
      <c r="AIT8" s="2">
        <v>0.3</v>
      </c>
      <c r="AIU8" s="2">
        <v>0.5</v>
      </c>
      <c r="AIV8" s="2">
        <v>-0.5</v>
      </c>
      <c r="AIW8" s="2">
        <v>1</v>
      </c>
      <c r="AIX8" s="2">
        <v>0.7</v>
      </c>
      <c r="AIY8" s="2">
        <v>0.6</v>
      </c>
      <c r="AIZ8" s="2">
        <v>-0.4</v>
      </c>
      <c r="AJA8" s="2">
        <v>0.6</v>
      </c>
      <c r="AJB8" s="2">
        <v>1.1</v>
      </c>
      <c r="AJC8" s="2">
        <v>-0.8</v>
      </c>
      <c r="AJD8" s="2">
        <v>-1</v>
      </c>
      <c r="AJE8" s="2">
        <v>0.7</v>
      </c>
      <c r="AJF8" s="2">
        <v>0.4</v>
      </c>
      <c r="AJG8" s="2">
        <v>-0.8</v>
      </c>
      <c r="AJH8" s="2">
        <v>-0.4</v>
      </c>
      <c r="AJI8" s="2">
        <v>0.3</v>
      </c>
      <c r="AJJ8" s="2">
        <v>-1.2</v>
      </c>
      <c r="AJK8" s="2">
        <v>0.5</v>
      </c>
      <c r="AJL8" s="2">
        <v>-0.4</v>
      </c>
      <c r="AJM8" s="2">
        <v>0.7</v>
      </c>
      <c r="AJN8" s="2">
        <v>1</v>
      </c>
      <c r="AJO8" s="2">
        <v>-0.2</v>
      </c>
      <c r="AJP8" s="2">
        <v>0.8</v>
      </c>
      <c r="AJQ8" s="2">
        <v>-11.3</v>
      </c>
      <c r="AJR8" s="2">
        <v>12.1</v>
      </c>
      <c r="AJS8" s="2">
        <v>3.4</v>
      </c>
      <c r="AJT8" s="2">
        <v>-0.2</v>
      </c>
      <c r="AJU8" s="2">
        <v>1.1</v>
      </c>
      <c r="AJV8" s="2">
        <v>1.6</v>
      </c>
      <c r="AJW8" s="2">
        <v>1</v>
      </c>
      <c r="AJX8" s="2">
        <v>1.1</v>
      </c>
      <c r="AJY8" s="2">
        <v>2.4</v>
      </c>
      <c r="AJZ8" s="2">
        <v>2.9</v>
      </c>
      <c r="AKA8" s="2">
        <v>1.7</v>
      </c>
      <c r="AKB8" s="2">
        <v>-0.5</v>
      </c>
      <c r="AKC8" s="2">
        <v>2.1</v>
      </c>
      <c r="AKD8" s="2">
        <v>-0.8</v>
      </c>
      <c r="AKE8" s="2">
        <v>-1</v>
      </c>
      <c r="AKF8" s="2">
        <v>-0.1</v>
      </c>
      <c r="AKG8" s="2">
        <v>0.9</v>
      </c>
      <c r="AKH8" s="2">
        <v>0.9</v>
      </c>
      <c r="AKI8" s="2">
        <v>-0.2</v>
      </c>
      <c r="AKJ8" s="2">
        <v>-0.9</v>
      </c>
      <c r="AKK8" s="2">
        <v>1.1</v>
      </c>
      <c r="AKL8" s="2">
        <v>1</v>
      </c>
      <c r="AKM8" s="2">
        <v>0.1</v>
      </c>
      <c r="AKN8" s="2">
        <v>-0.3</v>
      </c>
      <c r="AKO8" s="2">
        <v>0.1</v>
      </c>
      <c r="AKP8" s="2">
        <v>7.88</v>
      </c>
      <c r="AKQ8" s="2">
        <v>7.86</v>
      </c>
      <c r="AKR8" s="2">
        <v>7.87</v>
      </c>
    </row>
    <row r="9">
      <c r="A9" t="inlineStr">
        <is>
          <t>Health</t>
        </is>
      </c>
      <c r="B9" t="inlineStr">
        <is>
          <t>All groups CPI</t>
        </is>
      </c>
      <c r="C9">
        <v>1</v>
      </c>
      <c r="D9">
        <v>6.71</v>
      </c>
      <c r="E9" s="3">
        <f>D9/100.0*1.0</f>
        <v>0.06709999999999999</v>
      </c>
      <c r="F9" s="3">
        <f>E9-D9/100</f>
        <v>0.0</v>
      </c>
      <c r="G9" s="3">
        <f>D9/100.0</f>
        <v>0.06709999999999999</v>
      </c>
      <c r="CI9" s="2">
        <v>96.23</v>
      </c>
      <c r="CJ9" s="2">
        <v>96.23</v>
      </c>
      <c r="CK9" s="2">
        <v>96.18000000000001</v>
      </c>
      <c r="CL9" s="2">
        <v>96.18000000000001</v>
      </c>
      <c r="CM9" s="2">
        <v>96.09</v>
      </c>
      <c r="CN9" s="2">
        <v>95.98</v>
      </c>
      <c r="CO9" s="2">
        <v>96.15000000000001</v>
      </c>
      <c r="CP9" s="2">
        <v>96.02</v>
      </c>
      <c r="CQ9" s="2">
        <v>95.69</v>
      </c>
      <c r="CR9" s="2">
        <v>98.58</v>
      </c>
      <c r="CS9" s="2">
        <v>98.68000000000001</v>
      </c>
      <c r="CT9" s="2">
        <v>98.68000000000001</v>
      </c>
      <c r="CU9" s="2">
        <v>100.37</v>
      </c>
      <c r="CV9" s="2">
        <v>100.07</v>
      </c>
      <c r="CW9" s="2">
        <v>99.97</v>
      </c>
      <c r="CX9" s="2">
        <v>100.02</v>
      </c>
      <c r="CY9" s="2">
        <v>100.04</v>
      </c>
      <c r="CZ9" s="2">
        <v>100</v>
      </c>
      <c r="DA9" s="2">
        <v>100.02</v>
      </c>
      <c r="DB9" s="2">
        <v>99.5</v>
      </c>
      <c r="DC9" s="2">
        <v>99.09999999999999</v>
      </c>
      <c r="DD9" s="2">
        <v>101.78</v>
      </c>
      <c r="DE9" s="2">
        <v>101.84</v>
      </c>
      <c r="DF9" s="2">
        <v>101.68</v>
      </c>
      <c r="DG9" s="2">
        <v>104.35</v>
      </c>
      <c r="DH9" s="2">
        <v>103.83</v>
      </c>
      <c r="DI9" s="2">
        <v>103.71</v>
      </c>
      <c r="DJ9" s="2">
        <v>103.84</v>
      </c>
      <c r="GL9" s="2">
        <v>4.3</v>
      </c>
      <c r="GM9" s="2">
        <v>4</v>
      </c>
      <c r="GN9" s="2">
        <v>3.9</v>
      </c>
      <c r="GO9" s="2">
        <v>4</v>
      </c>
      <c r="GP9" s="2">
        <v>4.1</v>
      </c>
      <c r="GQ9" s="2">
        <v>4.2</v>
      </c>
      <c r="GR9" s="2">
        <v>4</v>
      </c>
      <c r="GS9" s="2">
        <v>3.6</v>
      </c>
      <c r="GT9" s="2">
        <v>3.6</v>
      </c>
      <c r="GU9" s="2">
        <v>3.2</v>
      </c>
      <c r="GV9" s="2">
        <v>3.2</v>
      </c>
      <c r="GW9" s="2">
        <v>3</v>
      </c>
      <c r="GX9" s="2">
        <v>4</v>
      </c>
      <c r="GY9" s="2">
        <v>3.8</v>
      </c>
      <c r="GZ9" s="2">
        <v>3.7</v>
      </c>
      <c r="HA9" s="2">
        <v>3.8</v>
      </c>
      <c r="KC9" s="2">
        <v>0</v>
      </c>
      <c r="KD9" s="2">
        <v>-0.1</v>
      </c>
      <c r="KE9" s="2">
        <v>0</v>
      </c>
      <c r="KF9" s="2">
        <v>-0.1</v>
      </c>
      <c r="KG9" s="2">
        <v>-0.1</v>
      </c>
      <c r="KH9" s="2">
        <v>0.2</v>
      </c>
      <c r="KI9" s="2">
        <v>-0.1</v>
      </c>
      <c r="KJ9" s="2">
        <v>-0.3</v>
      </c>
      <c r="KK9" s="2">
        <v>3</v>
      </c>
      <c r="KL9" s="2">
        <v>0.1</v>
      </c>
      <c r="KM9" s="2">
        <v>0</v>
      </c>
      <c r="KN9" s="2">
        <v>1.7</v>
      </c>
      <c r="KO9" s="2">
        <v>-0.3</v>
      </c>
      <c r="KP9" s="2">
        <v>-0.1</v>
      </c>
      <c r="KQ9" s="2">
        <v>0.1</v>
      </c>
      <c r="KR9" s="2">
        <v>0</v>
      </c>
      <c r="KS9" s="2">
        <v>0</v>
      </c>
      <c r="KT9" s="2">
        <v>0</v>
      </c>
      <c r="KU9" s="2">
        <v>-0.5</v>
      </c>
      <c r="KV9" s="2">
        <v>-0.4</v>
      </c>
      <c r="KW9" s="2">
        <v>2.7</v>
      </c>
      <c r="KX9" s="2">
        <v>0.1</v>
      </c>
      <c r="KY9" s="2">
        <v>-0.2</v>
      </c>
      <c r="KZ9" s="2">
        <v>2.6</v>
      </c>
      <c r="LA9" s="2">
        <v>-0.5</v>
      </c>
      <c r="LB9" s="2">
        <v>-0.1</v>
      </c>
      <c r="LC9" s="2">
        <v>0.1</v>
      </c>
      <c r="LD9" s="2">
        <v>6.53</v>
      </c>
      <c r="LE9" s="2">
        <v>6.72</v>
      </c>
      <c r="LF9" s="2">
        <v>6.73</v>
      </c>
      <c r="LG9" s="2">
        <v>6.73</v>
      </c>
      <c r="LH9" s="2">
        <v>6.84</v>
      </c>
      <c r="LI9" s="2">
        <v>6.82</v>
      </c>
      <c r="LJ9" s="2">
        <v>6.82</v>
      </c>
      <c r="LK9" s="2">
        <v>6.82</v>
      </c>
      <c r="LL9" s="2">
        <v>6.82</v>
      </c>
      <c r="LM9" s="2">
        <v>6.82</v>
      </c>
      <c r="LN9" s="2">
        <v>6.82</v>
      </c>
      <c r="LO9" s="2">
        <v>6.78</v>
      </c>
      <c r="LP9" s="2">
        <v>6.76</v>
      </c>
      <c r="LQ9" s="2">
        <v>6.94</v>
      </c>
      <c r="LR9" s="2">
        <v>6.94</v>
      </c>
      <c r="LS9" s="2">
        <v>6.93</v>
      </c>
      <c r="LT9" s="2">
        <v>7.12</v>
      </c>
      <c r="LU9" s="2">
        <v>7.08</v>
      </c>
      <c r="LV9" s="2">
        <v>7.07</v>
      </c>
      <c r="LW9" s="2">
        <v>7.08</v>
      </c>
      <c r="LX9" s="2">
        <v>0.19</v>
      </c>
      <c r="LY9" s="2">
        <v>0.01</v>
      </c>
      <c r="LZ9" s="2">
        <v>0</v>
      </c>
      <c r="MA9" s="2">
        <v>0.11</v>
      </c>
      <c r="MB9" s="2">
        <v>-0.02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-0.04</v>
      </c>
      <c r="MI9" s="2">
        <v>-0.02</v>
      </c>
      <c r="MJ9" s="2">
        <v>0.18</v>
      </c>
      <c r="MK9" s="2">
        <v>0</v>
      </c>
      <c r="ML9" s="2">
        <v>-0.01</v>
      </c>
      <c r="MM9" s="2">
        <v>0.19</v>
      </c>
      <c r="MN9" s="2">
        <v>-0.04</v>
      </c>
      <c r="MO9" s="2">
        <v>-0.01</v>
      </c>
      <c r="MP9" s="2">
        <v>0.01</v>
      </c>
      <c r="SY9" s="2">
        <v>20.08</v>
      </c>
      <c r="SZ9" s="2">
        <v>20.21</v>
      </c>
      <c r="TA9" s="2">
        <v>21.09</v>
      </c>
      <c r="TB9" s="2">
        <v>21.32</v>
      </c>
      <c r="TC9" s="2">
        <v>21.57</v>
      </c>
      <c r="TD9" s="2">
        <v>22.58</v>
      </c>
      <c r="TE9" s="2">
        <v>23.56</v>
      </c>
      <c r="TF9" s="2">
        <v>23.99</v>
      </c>
      <c r="TG9" s="2">
        <v>24.65</v>
      </c>
      <c r="TH9" s="2">
        <v>25.93</v>
      </c>
      <c r="TI9" s="2">
        <v>27.57</v>
      </c>
      <c r="TJ9" s="2">
        <v>25.98</v>
      </c>
      <c r="TK9" s="2">
        <v>25.89</v>
      </c>
      <c r="TL9" s="2">
        <v>26.2</v>
      </c>
      <c r="TM9" s="2">
        <v>27.15</v>
      </c>
      <c r="TN9" s="2">
        <v>27.24</v>
      </c>
      <c r="TO9" s="2">
        <v>27.24</v>
      </c>
      <c r="TP9" s="2">
        <v>27.32</v>
      </c>
      <c r="TQ9" s="2">
        <v>28.29</v>
      </c>
      <c r="TR9" s="2">
        <v>28.54</v>
      </c>
      <c r="TS9" s="2">
        <v>28.97</v>
      </c>
      <c r="TT9" s="2">
        <v>29.02</v>
      </c>
      <c r="TU9" s="2">
        <v>29.76</v>
      </c>
      <c r="TV9" s="2">
        <v>30.28</v>
      </c>
      <c r="TW9" s="2">
        <v>30.36</v>
      </c>
      <c r="TX9" s="2">
        <v>30.81</v>
      </c>
      <c r="TY9" s="2">
        <v>31.54</v>
      </c>
      <c r="TZ9" s="2">
        <v>31.56</v>
      </c>
      <c r="UA9" s="2">
        <v>31.87</v>
      </c>
      <c r="UB9" s="2">
        <v>32.34</v>
      </c>
      <c r="UC9" s="2">
        <v>33.46</v>
      </c>
      <c r="UD9" s="2">
        <v>34.41</v>
      </c>
      <c r="UE9" s="2">
        <v>32.78</v>
      </c>
      <c r="UF9" s="2">
        <v>34.04</v>
      </c>
      <c r="UG9" s="2">
        <v>34.56</v>
      </c>
      <c r="UH9" s="2">
        <v>35.45</v>
      </c>
      <c r="UI9" s="2">
        <v>35.65</v>
      </c>
      <c r="UJ9" s="2">
        <v>35.43</v>
      </c>
      <c r="UK9" s="2">
        <v>31.97</v>
      </c>
      <c r="UL9" s="2">
        <v>32.1</v>
      </c>
      <c r="UM9" s="2">
        <v>32.43</v>
      </c>
      <c r="UN9" s="2">
        <v>32.37</v>
      </c>
      <c r="UO9" s="2">
        <v>33.13</v>
      </c>
      <c r="UP9" s="2">
        <v>33.36</v>
      </c>
      <c r="UQ9" s="2">
        <v>33.53</v>
      </c>
      <c r="UR9" s="2">
        <v>33.49</v>
      </c>
      <c r="US9" s="2">
        <v>34.41</v>
      </c>
      <c r="UT9" s="2">
        <v>34.48</v>
      </c>
      <c r="UU9" s="2">
        <v>34.43</v>
      </c>
      <c r="UV9" s="2">
        <v>34.36</v>
      </c>
      <c r="UW9" s="2">
        <v>35.39</v>
      </c>
      <c r="UX9" s="2">
        <v>36.37</v>
      </c>
      <c r="UY9" s="2">
        <v>36.48</v>
      </c>
      <c r="UZ9" s="2">
        <v>36.62</v>
      </c>
      <c r="VA9" s="2">
        <v>37.95</v>
      </c>
      <c r="VB9" s="2">
        <v>39.11</v>
      </c>
      <c r="VC9" s="2">
        <v>39.12</v>
      </c>
      <c r="VD9" s="2">
        <v>39.17</v>
      </c>
      <c r="VE9" s="2">
        <v>40.44</v>
      </c>
      <c r="VF9" s="2">
        <v>41.69</v>
      </c>
      <c r="VG9" s="2">
        <v>41.39</v>
      </c>
      <c r="VH9" s="2">
        <v>41.11</v>
      </c>
      <c r="VI9" s="2">
        <v>42.75</v>
      </c>
      <c r="VJ9" s="2">
        <v>43.77</v>
      </c>
      <c r="VK9" s="2">
        <v>43.28</v>
      </c>
      <c r="VL9" s="2">
        <v>42.83</v>
      </c>
      <c r="VM9" s="2">
        <v>44.71</v>
      </c>
      <c r="VN9" s="2">
        <v>45.79</v>
      </c>
      <c r="VO9" s="2">
        <v>45.46</v>
      </c>
      <c r="VP9" s="2">
        <v>45.09</v>
      </c>
      <c r="VQ9" s="2">
        <v>46.69</v>
      </c>
      <c r="VR9" s="2">
        <v>47.68</v>
      </c>
      <c r="VS9" s="2">
        <v>47.42</v>
      </c>
      <c r="VT9" s="2">
        <v>46.93</v>
      </c>
      <c r="VU9" s="2">
        <v>48.81</v>
      </c>
      <c r="VV9" s="2">
        <v>49.96</v>
      </c>
      <c r="VW9" s="2">
        <v>49.85</v>
      </c>
      <c r="VX9" s="2">
        <v>49.25</v>
      </c>
      <c r="VY9" s="2">
        <v>51.4</v>
      </c>
      <c r="VZ9" s="2">
        <v>52.54</v>
      </c>
      <c r="WA9" s="2">
        <v>52.03</v>
      </c>
      <c r="WB9" s="2">
        <v>51.55</v>
      </c>
      <c r="WC9" s="2">
        <v>54</v>
      </c>
      <c r="WD9" s="2">
        <v>55.17</v>
      </c>
      <c r="WE9" s="2">
        <v>54.77</v>
      </c>
      <c r="WF9" s="2">
        <v>54.12</v>
      </c>
      <c r="WG9" s="2">
        <v>56.22</v>
      </c>
      <c r="WH9" s="2">
        <v>57.38</v>
      </c>
      <c r="WI9" s="2">
        <v>56.8</v>
      </c>
      <c r="WJ9" s="2">
        <v>56.08</v>
      </c>
      <c r="WK9" s="2">
        <v>58.57</v>
      </c>
      <c r="WL9" s="2">
        <v>59.45</v>
      </c>
      <c r="WM9" s="2">
        <v>60.9</v>
      </c>
      <c r="WN9" s="2">
        <v>60.37</v>
      </c>
      <c r="WO9" s="2">
        <v>62.17</v>
      </c>
      <c r="WP9" s="2">
        <v>63.37</v>
      </c>
      <c r="WQ9" s="2">
        <v>63.36</v>
      </c>
      <c r="WR9" s="2">
        <v>63.06</v>
      </c>
      <c r="WS9" s="2">
        <v>64.68000000000001</v>
      </c>
      <c r="WT9" s="2">
        <v>66.5</v>
      </c>
      <c r="WU9" s="2">
        <v>66.38</v>
      </c>
      <c r="WV9" s="2">
        <v>65.79000000000001</v>
      </c>
      <c r="WW9" s="2">
        <v>67.51000000000001</v>
      </c>
      <c r="WX9" s="2">
        <v>69.34</v>
      </c>
      <c r="WY9" s="2">
        <v>69.53</v>
      </c>
      <c r="WZ9" s="2">
        <v>69.23999999999999</v>
      </c>
      <c r="XA9" s="2">
        <v>70.62</v>
      </c>
      <c r="XB9" s="2">
        <v>72.45999999999999</v>
      </c>
      <c r="XC9" s="2">
        <v>72.25</v>
      </c>
      <c r="XD9" s="2">
        <v>71.8</v>
      </c>
      <c r="XE9" s="2">
        <v>73.25</v>
      </c>
      <c r="XF9" s="2">
        <v>75.22</v>
      </c>
      <c r="XG9" s="2">
        <v>75.09</v>
      </c>
      <c r="XH9" s="2">
        <v>74.7</v>
      </c>
      <c r="XI9" s="2">
        <v>76.3</v>
      </c>
      <c r="XJ9" s="2">
        <v>77.76000000000001</v>
      </c>
      <c r="XK9" s="2">
        <v>77.45</v>
      </c>
      <c r="XL9" s="2">
        <v>77.18000000000001</v>
      </c>
      <c r="XM9" s="2">
        <v>78.65000000000001</v>
      </c>
      <c r="XN9" s="2">
        <v>80.06999999999999</v>
      </c>
      <c r="XO9" s="2">
        <v>79.91</v>
      </c>
      <c r="XP9" s="2">
        <v>79.67</v>
      </c>
      <c r="XQ9" s="2">
        <v>81</v>
      </c>
      <c r="XR9" s="2">
        <v>80.84</v>
      </c>
      <c r="XS9" s="2">
        <v>80.68000000000001</v>
      </c>
      <c r="XT9" s="2">
        <v>81.73999999999999</v>
      </c>
      <c r="XU9" s="2">
        <v>83.39</v>
      </c>
      <c r="XV9" s="2">
        <v>84.66</v>
      </c>
      <c r="XW9" s="2">
        <v>84.70999999999999</v>
      </c>
      <c r="XX9" s="2">
        <v>84.43000000000001</v>
      </c>
      <c r="XY9" s="2">
        <v>86.34999999999999</v>
      </c>
      <c r="XZ9" s="2">
        <v>86.72</v>
      </c>
      <c r="YA9" s="2">
        <v>86.91</v>
      </c>
      <c r="YB9" s="2">
        <v>87.64</v>
      </c>
      <c r="YC9" s="2">
        <v>91</v>
      </c>
      <c r="YD9" s="2">
        <v>90.90000000000001</v>
      </c>
      <c r="YE9" s="2">
        <v>91.61</v>
      </c>
      <c r="YF9" s="2">
        <v>92.13</v>
      </c>
      <c r="YG9" s="2">
        <v>94.73</v>
      </c>
      <c r="YH9" s="2">
        <v>96.12</v>
      </c>
      <c r="YI9" s="2">
        <v>96</v>
      </c>
      <c r="YJ9" s="2">
        <v>95.81</v>
      </c>
      <c r="YK9" s="2">
        <v>98.56999999999999</v>
      </c>
      <c r="YL9" s="2">
        <v>100.02</v>
      </c>
      <c r="YM9" s="2">
        <v>100.02</v>
      </c>
      <c r="YN9" s="2">
        <v>99.54000000000001</v>
      </c>
      <c r="YO9" s="2">
        <v>101.76</v>
      </c>
      <c r="YP9" s="2">
        <v>103.96</v>
      </c>
      <c r="AEY9" s="2">
        <v>0.6</v>
      </c>
      <c r="AEZ9" s="2">
        <v>4.4</v>
      </c>
      <c r="AFA9" s="2">
        <v>1.1</v>
      </c>
      <c r="AFB9" s="2">
        <v>1.2</v>
      </c>
      <c r="AFC9" s="2">
        <v>4.7</v>
      </c>
      <c r="AFD9" s="2">
        <v>4.3</v>
      </c>
      <c r="AFE9" s="2">
        <v>1.8</v>
      </c>
      <c r="AFF9" s="2">
        <v>2.8</v>
      </c>
      <c r="AFG9" s="2">
        <v>5.2</v>
      </c>
      <c r="AFH9" s="2">
        <v>6.3</v>
      </c>
      <c r="AFI9" s="2">
        <v>-5.8</v>
      </c>
      <c r="AFJ9" s="2">
        <v>-0.3</v>
      </c>
      <c r="AFK9" s="2">
        <v>1.2</v>
      </c>
      <c r="AFL9" s="2">
        <v>3.6</v>
      </c>
      <c r="AFM9" s="2">
        <v>0.3</v>
      </c>
      <c r="AFN9" s="2">
        <v>0</v>
      </c>
      <c r="AFO9" s="2">
        <v>0.3</v>
      </c>
      <c r="AFP9" s="2">
        <v>3.6</v>
      </c>
      <c r="AFQ9" s="2">
        <v>0.9</v>
      </c>
      <c r="AFR9" s="2">
        <v>1.5</v>
      </c>
      <c r="AFS9" s="2">
        <v>0.2</v>
      </c>
      <c r="AFT9" s="2">
        <v>2.5</v>
      </c>
      <c r="AFU9" s="2">
        <v>1.7</v>
      </c>
      <c r="AFV9" s="2">
        <v>0.3</v>
      </c>
      <c r="AFW9" s="2">
        <v>1.5</v>
      </c>
      <c r="AFX9" s="2">
        <v>2.4</v>
      </c>
      <c r="AFY9" s="2">
        <v>0.1</v>
      </c>
      <c r="AFZ9" s="2">
        <v>1</v>
      </c>
      <c r="AGA9" s="2">
        <v>1.5</v>
      </c>
      <c r="AGB9" s="2">
        <v>3.5</v>
      </c>
      <c r="AGC9" s="2">
        <v>2.8</v>
      </c>
      <c r="AGD9" s="2">
        <v>-4.7</v>
      </c>
      <c r="AGE9" s="2">
        <v>3.8</v>
      </c>
      <c r="AGF9" s="2">
        <v>1.5</v>
      </c>
      <c r="AGG9" s="2">
        <v>2.6</v>
      </c>
      <c r="AGH9" s="2">
        <v>0.6</v>
      </c>
      <c r="AGI9" s="2">
        <v>-0.6</v>
      </c>
      <c r="AGJ9" s="2">
        <v>-9.800000000000001</v>
      </c>
      <c r="AGK9" s="2">
        <v>0.4</v>
      </c>
      <c r="AGL9" s="2">
        <v>1</v>
      </c>
      <c r="AGM9" s="2">
        <v>-0.2</v>
      </c>
      <c r="AGN9" s="2">
        <v>2.3</v>
      </c>
      <c r="AGO9" s="2">
        <v>0.7</v>
      </c>
      <c r="AGP9" s="2">
        <v>0.5</v>
      </c>
      <c r="AGQ9" s="2">
        <v>-0.1</v>
      </c>
      <c r="AGR9" s="2">
        <v>2.7</v>
      </c>
      <c r="AGS9" s="2">
        <v>0.2</v>
      </c>
      <c r="AGT9" s="2">
        <v>-0.1</v>
      </c>
      <c r="AGU9" s="2">
        <v>-0.2</v>
      </c>
      <c r="AGV9" s="2">
        <v>3</v>
      </c>
      <c r="AGW9" s="2">
        <v>2.8</v>
      </c>
      <c r="AGX9" s="2">
        <v>0.3</v>
      </c>
      <c r="AGY9" s="2">
        <v>0.4</v>
      </c>
      <c r="AGZ9" s="2">
        <v>3.6</v>
      </c>
      <c r="AHA9" s="2">
        <v>3.1</v>
      </c>
      <c r="AHB9" s="2">
        <v>0</v>
      </c>
      <c r="AHC9" s="2">
        <v>0.1</v>
      </c>
      <c r="AHD9" s="2">
        <v>3.2</v>
      </c>
      <c r="AHE9" s="2">
        <v>3.1</v>
      </c>
      <c r="AHF9" s="2">
        <v>-0.7</v>
      </c>
      <c r="AHG9" s="2">
        <v>-0.7</v>
      </c>
      <c r="AHH9" s="2">
        <v>4</v>
      </c>
      <c r="AHI9" s="2">
        <v>2.4</v>
      </c>
      <c r="AHJ9" s="2">
        <v>-1.1</v>
      </c>
      <c r="AHK9" s="2">
        <v>-1</v>
      </c>
      <c r="AHL9" s="2">
        <v>4.4</v>
      </c>
      <c r="AHM9" s="2">
        <v>2.4</v>
      </c>
      <c r="AHN9" s="2">
        <v>-0.7</v>
      </c>
      <c r="AHO9" s="2">
        <v>-0.8</v>
      </c>
      <c r="AHP9" s="2">
        <v>3.5</v>
      </c>
      <c r="AHQ9" s="2">
        <v>2.1</v>
      </c>
      <c r="AHR9" s="2">
        <v>-0.5</v>
      </c>
      <c r="AHS9" s="2">
        <v>-1</v>
      </c>
      <c r="AHT9" s="2">
        <v>4</v>
      </c>
      <c r="AHU9" s="2">
        <v>2.4</v>
      </c>
      <c r="AHV9" s="2">
        <v>-0.2</v>
      </c>
      <c r="AHW9" s="2">
        <v>-1.2</v>
      </c>
      <c r="AHX9" s="2">
        <v>4.4</v>
      </c>
      <c r="AHY9" s="2">
        <v>2.2</v>
      </c>
      <c r="AHZ9" s="2">
        <v>-1</v>
      </c>
      <c r="AIA9" s="2">
        <v>-0.9</v>
      </c>
      <c r="AIB9" s="2">
        <v>4.8</v>
      </c>
      <c r="AIC9" s="2">
        <v>2.2</v>
      </c>
      <c r="AID9" s="2">
        <v>-0.7</v>
      </c>
      <c r="AIE9" s="2">
        <v>-1.2</v>
      </c>
      <c r="AIF9" s="2">
        <v>3.9</v>
      </c>
      <c r="AIG9" s="2">
        <v>2.1</v>
      </c>
      <c r="AIH9" s="2">
        <v>-1</v>
      </c>
      <c r="AII9" s="2">
        <v>-1.3</v>
      </c>
      <c r="AIJ9" s="2">
        <v>4.4</v>
      </c>
      <c r="AIK9" s="2">
        <v>1.5</v>
      </c>
      <c r="AIL9" s="2">
        <v>2.4</v>
      </c>
      <c r="AIM9" s="2">
        <v>-0.9</v>
      </c>
      <c r="AIN9" s="2">
        <v>3</v>
      </c>
      <c r="AIO9" s="2">
        <v>1.9</v>
      </c>
      <c r="AIP9" s="2">
        <v>0</v>
      </c>
      <c r="AIQ9" s="2">
        <v>-0.5</v>
      </c>
      <c r="AIR9" s="2">
        <v>2.6</v>
      </c>
      <c r="AIS9" s="2">
        <v>2.8</v>
      </c>
      <c r="AIT9" s="2">
        <v>-0.2</v>
      </c>
      <c r="AIU9" s="2">
        <v>-0.9</v>
      </c>
      <c r="AIV9" s="2">
        <v>2.6</v>
      </c>
      <c r="AIW9" s="2">
        <v>2.7</v>
      </c>
      <c r="AIX9" s="2">
        <v>0.3</v>
      </c>
      <c r="AIY9" s="2">
        <v>-0.4</v>
      </c>
      <c r="AIZ9" s="2">
        <v>2</v>
      </c>
      <c r="AJA9" s="2">
        <v>2.6</v>
      </c>
      <c r="AJB9" s="2">
        <v>-0.3</v>
      </c>
      <c r="AJC9" s="2">
        <v>-0.6</v>
      </c>
      <c r="AJD9" s="2">
        <v>2</v>
      </c>
      <c r="AJE9" s="2">
        <v>2.7</v>
      </c>
      <c r="AJF9" s="2">
        <v>-0.2</v>
      </c>
      <c r="AJG9" s="2">
        <v>-0.5</v>
      </c>
      <c r="AJH9" s="2">
        <v>2.1</v>
      </c>
      <c r="AJI9" s="2">
        <v>1.9</v>
      </c>
      <c r="AJJ9" s="2">
        <v>-0.4</v>
      </c>
      <c r="AJK9" s="2">
        <v>-0.3</v>
      </c>
      <c r="AJL9" s="2">
        <v>1.9</v>
      </c>
      <c r="AJM9" s="2">
        <v>1.8</v>
      </c>
      <c r="AJN9" s="2">
        <v>-0.2</v>
      </c>
      <c r="AJO9" s="2">
        <v>-0.3</v>
      </c>
      <c r="AJP9" s="2">
        <v>1.7</v>
      </c>
      <c r="AJQ9" s="2">
        <v>-0.2</v>
      </c>
      <c r="AJR9" s="2">
        <v>-0.2</v>
      </c>
      <c r="AJS9" s="2">
        <v>1.3</v>
      </c>
      <c r="AJT9" s="2">
        <v>2</v>
      </c>
      <c r="AJU9" s="2">
        <v>1.5</v>
      </c>
      <c r="AJV9" s="2">
        <v>0.1</v>
      </c>
      <c r="AJW9" s="2">
        <v>-0.3</v>
      </c>
      <c r="AJX9" s="2">
        <v>2.3</v>
      </c>
      <c r="AJY9" s="2">
        <v>0.4</v>
      </c>
      <c r="AJZ9" s="2">
        <v>0.2</v>
      </c>
      <c r="AKA9" s="2">
        <v>0.8</v>
      </c>
      <c r="AKB9" s="2">
        <v>3.8</v>
      </c>
      <c r="AKC9" s="2">
        <v>-0.1</v>
      </c>
      <c r="AKD9" s="2">
        <v>0.8</v>
      </c>
      <c r="AKE9" s="2">
        <v>0.6</v>
      </c>
      <c r="AKF9" s="2">
        <v>2.8</v>
      </c>
      <c r="AKG9" s="2">
        <v>1.5</v>
      </c>
      <c r="AKH9" s="2">
        <v>-0.1</v>
      </c>
      <c r="AKI9" s="2">
        <v>-0.2</v>
      </c>
      <c r="AKJ9" s="2">
        <v>2.9</v>
      </c>
      <c r="AKK9" s="2">
        <v>1.5</v>
      </c>
      <c r="AKL9" s="2">
        <v>0</v>
      </c>
      <c r="AKM9" s="2">
        <v>-0.5</v>
      </c>
      <c r="AKN9" s="2">
        <v>2.2</v>
      </c>
      <c r="AKO9" s="2">
        <v>2.2</v>
      </c>
      <c r="AKP9" s="2">
        <v>6.79</v>
      </c>
      <c r="AKQ9" s="2">
        <v>6.94</v>
      </c>
      <c r="AKR9" s="2">
        <v>7.09</v>
      </c>
    </row>
    <row r="10">
      <c r="A10" t="inlineStr">
        <is>
          <t>Transport</t>
        </is>
      </c>
      <c r="B10" t="inlineStr">
        <is>
          <t>All groups CPI</t>
        </is>
      </c>
      <c r="C10">
        <v>1</v>
      </c>
      <c r="D10">
        <v>11.49</v>
      </c>
      <c r="E10" s="3">
        <f>D10/100.0*1.0</f>
        <v>0.1149</v>
      </c>
      <c r="F10" s="3">
        <f>E10-D10/100</f>
        <v>0.0</v>
      </c>
      <c r="G10" s="3">
        <f>D10/100.0</f>
        <v>0.1149</v>
      </c>
      <c r="CI10" s="2">
        <v>102.23</v>
      </c>
      <c r="CJ10" s="2">
        <v>100.48</v>
      </c>
      <c r="CK10" s="2">
        <v>100.7</v>
      </c>
      <c r="CL10" s="2">
        <v>100</v>
      </c>
      <c r="CM10" s="2">
        <v>98.98999999999999</v>
      </c>
      <c r="CN10" s="2">
        <v>97.79000000000001</v>
      </c>
      <c r="CO10" s="2">
        <v>97.61</v>
      </c>
      <c r="CP10" s="2">
        <v>97.95999999999999</v>
      </c>
      <c r="CQ10" s="2">
        <v>99.02</v>
      </c>
      <c r="CR10" s="2">
        <v>98.84</v>
      </c>
      <c r="CS10" s="2">
        <v>99.47</v>
      </c>
      <c r="CT10" s="2">
        <v>99.51000000000001</v>
      </c>
      <c r="CU10" s="2">
        <v>98.88</v>
      </c>
      <c r="CV10" s="2">
        <v>98.12</v>
      </c>
      <c r="CW10" s="2">
        <v>98.56</v>
      </c>
      <c r="CX10" s="2">
        <v>99.62</v>
      </c>
      <c r="CY10" s="2">
        <v>99.89</v>
      </c>
      <c r="CZ10" s="2">
        <v>100</v>
      </c>
      <c r="DA10" s="2">
        <v>100.26</v>
      </c>
      <c r="DB10" s="2">
        <v>100.58</v>
      </c>
      <c r="DC10" s="2">
        <v>100.62</v>
      </c>
      <c r="DD10" s="2">
        <v>99.93000000000001</v>
      </c>
      <c r="DE10" s="2">
        <v>99.28</v>
      </c>
      <c r="DF10" s="2">
        <v>108.37</v>
      </c>
      <c r="DG10" s="2">
        <v>105.42</v>
      </c>
      <c r="DH10" s="2">
        <v>101.36</v>
      </c>
      <c r="DI10" s="2">
        <v>98.64</v>
      </c>
      <c r="DJ10" s="2">
        <v>101.24</v>
      </c>
      <c r="GL10" s="2">
        <v>-3.3</v>
      </c>
      <c r="GM10" s="2">
        <v>-2.3</v>
      </c>
      <c r="GN10" s="2">
        <v>-2.1</v>
      </c>
      <c r="GO10" s="2">
        <v>-0.4</v>
      </c>
      <c r="GP10" s="2">
        <v>0.9</v>
      </c>
      <c r="GQ10" s="2">
        <v>2.3</v>
      </c>
      <c r="GR10" s="2">
        <v>2.7</v>
      </c>
      <c r="GS10" s="2">
        <v>2.7</v>
      </c>
      <c r="GT10" s="2">
        <v>1.6</v>
      </c>
      <c r="GU10" s="2">
        <v>1.1</v>
      </c>
      <c r="GV10" s="2">
        <v>-0.2</v>
      </c>
      <c r="GW10" s="2">
        <v>8.9</v>
      </c>
      <c r="GX10" s="2">
        <v>6.6</v>
      </c>
      <c r="GY10" s="2">
        <v>3.3</v>
      </c>
      <c r="GZ10" s="2">
        <v>0.1</v>
      </c>
      <c r="HA10" s="2">
        <v>1.6</v>
      </c>
      <c r="KC10" s="2">
        <v>-1.7</v>
      </c>
      <c r="KD10" s="2">
        <v>0.2</v>
      </c>
      <c r="KE10" s="2">
        <v>-0.7</v>
      </c>
      <c r="KF10" s="2">
        <v>-1</v>
      </c>
      <c r="KG10" s="2">
        <v>-1.2</v>
      </c>
      <c r="KH10" s="2">
        <v>-0.2</v>
      </c>
      <c r="KI10" s="2">
        <v>0.4</v>
      </c>
      <c r="KJ10" s="2">
        <v>1.1</v>
      </c>
      <c r="KK10" s="2">
        <v>-0.2</v>
      </c>
      <c r="KL10" s="2">
        <v>0.6</v>
      </c>
      <c r="KM10" s="2">
        <v>0</v>
      </c>
      <c r="KN10" s="2">
        <v>-0.6</v>
      </c>
      <c r="KO10" s="2">
        <v>-0.8</v>
      </c>
      <c r="KP10" s="2">
        <v>0.4</v>
      </c>
      <c r="KQ10" s="2">
        <v>1.1</v>
      </c>
      <c r="KR10" s="2">
        <v>0.3</v>
      </c>
      <c r="KS10" s="2">
        <v>0.1</v>
      </c>
      <c r="KT10" s="2">
        <v>0.3</v>
      </c>
      <c r="KU10" s="2">
        <v>0.3</v>
      </c>
      <c r="KV10" s="2">
        <v>0</v>
      </c>
      <c r="KW10" s="2">
        <v>-0.7</v>
      </c>
      <c r="KX10" s="2">
        <v>-0.7</v>
      </c>
      <c r="KY10" s="2">
        <v>9.199999999999999</v>
      </c>
      <c r="KZ10" s="2">
        <v>-2.7</v>
      </c>
      <c r="LA10" s="2">
        <v>-3.9</v>
      </c>
      <c r="LB10" s="2">
        <v>-2.7</v>
      </c>
      <c r="LC10" s="2">
        <v>2.6</v>
      </c>
      <c r="LD10" s="2">
        <v>11.18</v>
      </c>
      <c r="LE10" s="2">
        <v>11.16</v>
      </c>
      <c r="LF10" s="2">
        <v>11.23</v>
      </c>
      <c r="LG10" s="2">
        <v>11.23</v>
      </c>
      <c r="LH10" s="2">
        <v>11.16</v>
      </c>
      <c r="LI10" s="2">
        <v>11.08</v>
      </c>
      <c r="LJ10" s="2">
        <v>11.12</v>
      </c>
      <c r="LK10" s="2">
        <v>11.24</v>
      </c>
      <c r="LL10" s="2">
        <v>11.28</v>
      </c>
      <c r="LM10" s="2">
        <v>11.29</v>
      </c>
      <c r="LN10" s="2">
        <v>11.32</v>
      </c>
      <c r="LO10" s="2">
        <v>11.35</v>
      </c>
      <c r="LP10" s="2">
        <v>11.36</v>
      </c>
      <c r="LQ10" s="2">
        <v>11.28</v>
      </c>
      <c r="LR10" s="2">
        <v>11.21</v>
      </c>
      <c r="LS10" s="2">
        <v>12.23</v>
      </c>
      <c r="LT10" s="2">
        <v>11.9</v>
      </c>
      <c r="LU10" s="2">
        <v>11.44</v>
      </c>
      <c r="LV10" s="2">
        <v>11.13</v>
      </c>
      <c r="LW10" s="2">
        <v>11.43</v>
      </c>
      <c r="LX10" s="2">
        <v>-0.02</v>
      </c>
      <c r="LY10" s="2">
        <v>0.07000000000000001</v>
      </c>
      <c r="LZ10" s="2">
        <v>0</v>
      </c>
      <c r="MA10" s="2">
        <v>-0.07000000000000001</v>
      </c>
      <c r="MB10" s="2">
        <v>-0.08</v>
      </c>
      <c r="MC10" s="2">
        <v>0.04</v>
      </c>
      <c r="MD10" s="2">
        <v>0.12</v>
      </c>
      <c r="ME10" s="2">
        <v>0.04</v>
      </c>
      <c r="MF10" s="2">
        <v>0.01</v>
      </c>
      <c r="MG10" s="2">
        <v>0.03</v>
      </c>
      <c r="MH10" s="2">
        <v>0.03</v>
      </c>
      <c r="MI10" s="2">
        <v>0.01</v>
      </c>
      <c r="MJ10" s="2">
        <v>-0.08</v>
      </c>
      <c r="MK10" s="2">
        <v>-0.07000000000000001</v>
      </c>
      <c r="ML10" s="2">
        <v>1.02</v>
      </c>
      <c r="MM10" s="2">
        <v>-0.33</v>
      </c>
      <c r="MN10" s="2">
        <v>-0.46</v>
      </c>
      <c r="MO10" s="2">
        <v>-0.31</v>
      </c>
      <c r="MP10" s="2">
        <v>0.3</v>
      </c>
      <c r="QI10" s="2">
        <v>8.66</v>
      </c>
      <c r="QJ10" s="2">
        <v>8.710000000000001</v>
      </c>
      <c r="QK10" s="2">
        <v>8.75</v>
      </c>
      <c r="QL10" s="2">
        <v>8.800000000000001</v>
      </c>
      <c r="QM10" s="2">
        <v>9.02</v>
      </c>
      <c r="QN10" s="2">
        <v>9.279999999999999</v>
      </c>
      <c r="QO10" s="2">
        <v>9.5</v>
      </c>
      <c r="QP10" s="2">
        <v>9.720000000000001</v>
      </c>
      <c r="QQ10" s="2">
        <v>10.51</v>
      </c>
      <c r="QR10" s="2">
        <v>11</v>
      </c>
      <c r="QS10" s="2">
        <v>11.48</v>
      </c>
      <c r="QT10" s="2">
        <v>11.83</v>
      </c>
      <c r="QU10" s="2">
        <v>12.45</v>
      </c>
      <c r="QV10" s="2">
        <v>13.15</v>
      </c>
      <c r="QW10" s="2">
        <v>13.5</v>
      </c>
      <c r="QX10" s="2">
        <v>13.68</v>
      </c>
      <c r="QY10" s="2">
        <v>13.94</v>
      </c>
      <c r="QZ10" s="2">
        <v>14.16</v>
      </c>
      <c r="RA10" s="2">
        <v>14.56</v>
      </c>
      <c r="RB10" s="2">
        <v>14.82</v>
      </c>
      <c r="RC10" s="2">
        <v>15.04</v>
      </c>
      <c r="RD10" s="2">
        <v>15.48</v>
      </c>
      <c r="RE10" s="2">
        <v>15.74</v>
      </c>
      <c r="RF10" s="2">
        <v>15.92</v>
      </c>
      <c r="RG10" s="2">
        <v>16.27</v>
      </c>
      <c r="RH10" s="2">
        <v>16.8</v>
      </c>
      <c r="RI10" s="2">
        <v>17.2</v>
      </c>
      <c r="RJ10" s="2">
        <v>17.72</v>
      </c>
      <c r="RK10" s="2">
        <v>18.43</v>
      </c>
      <c r="RL10" s="2">
        <v>19.09</v>
      </c>
      <c r="RM10" s="2">
        <v>19.18</v>
      </c>
      <c r="RN10" s="2">
        <v>20.1</v>
      </c>
      <c r="RO10" s="2">
        <v>20.14</v>
      </c>
      <c r="RP10" s="2">
        <v>20.54</v>
      </c>
      <c r="RQ10" s="2">
        <v>21.29</v>
      </c>
      <c r="RR10" s="2">
        <v>22.12</v>
      </c>
      <c r="RS10" s="2">
        <v>22.12</v>
      </c>
      <c r="RT10" s="2">
        <v>23.13</v>
      </c>
      <c r="RU10" s="2">
        <v>23.4</v>
      </c>
      <c r="RV10" s="2">
        <v>24.1</v>
      </c>
      <c r="RW10" s="2">
        <v>25.46</v>
      </c>
      <c r="RX10" s="2">
        <v>25.82</v>
      </c>
      <c r="RY10" s="2">
        <v>26.56</v>
      </c>
      <c r="RZ10" s="2">
        <v>26.56</v>
      </c>
      <c r="SA10" s="2">
        <v>27.53</v>
      </c>
      <c r="SB10" s="2">
        <v>28.28</v>
      </c>
      <c r="SC10" s="2">
        <v>28.5</v>
      </c>
      <c r="SD10" s="2">
        <v>29.03</v>
      </c>
      <c r="SE10" s="2">
        <v>29.38</v>
      </c>
      <c r="SF10" s="2">
        <v>29.64</v>
      </c>
      <c r="SG10" s="2">
        <v>30.13</v>
      </c>
      <c r="SH10" s="2">
        <v>31.49</v>
      </c>
      <c r="SI10" s="2">
        <v>32.15</v>
      </c>
      <c r="SJ10" s="2">
        <v>32.33</v>
      </c>
      <c r="SK10" s="2">
        <v>33.42</v>
      </c>
      <c r="SL10" s="2">
        <v>32.9</v>
      </c>
      <c r="SM10" s="2">
        <v>34.57</v>
      </c>
      <c r="SN10" s="2">
        <v>36.15</v>
      </c>
      <c r="SO10" s="2">
        <v>37.16</v>
      </c>
      <c r="SP10" s="2">
        <v>37.52</v>
      </c>
      <c r="SQ10" s="2">
        <v>38.22</v>
      </c>
      <c r="SR10" s="2">
        <v>39.23</v>
      </c>
      <c r="SS10" s="2">
        <v>39.67</v>
      </c>
      <c r="ST10" s="2">
        <v>39.58</v>
      </c>
      <c r="SU10" s="2">
        <v>40.15</v>
      </c>
      <c r="SV10" s="2">
        <v>40.29</v>
      </c>
      <c r="SW10" s="2">
        <v>40.68</v>
      </c>
      <c r="SX10" s="2">
        <v>41.65</v>
      </c>
      <c r="SY10" s="2">
        <v>42.57</v>
      </c>
      <c r="SZ10" s="2">
        <v>43.58</v>
      </c>
      <c r="TA10" s="2">
        <v>44.73</v>
      </c>
      <c r="TB10" s="2">
        <v>44.99</v>
      </c>
      <c r="TC10" s="2">
        <v>45.87</v>
      </c>
      <c r="TD10" s="2">
        <v>48.95</v>
      </c>
      <c r="TE10" s="2">
        <v>46.71</v>
      </c>
      <c r="TF10" s="2">
        <v>46.44</v>
      </c>
      <c r="TG10" s="2">
        <v>47.32</v>
      </c>
      <c r="TH10" s="2">
        <v>48.07</v>
      </c>
      <c r="TI10" s="2">
        <v>48.07</v>
      </c>
      <c r="TJ10" s="2">
        <v>47.89</v>
      </c>
      <c r="TK10" s="2">
        <v>48.77</v>
      </c>
      <c r="TL10" s="2">
        <v>48.77</v>
      </c>
      <c r="TM10" s="2">
        <v>48.95</v>
      </c>
      <c r="TN10" s="2">
        <v>49.3</v>
      </c>
      <c r="TO10" s="2">
        <v>49.79</v>
      </c>
      <c r="TP10" s="2">
        <v>49.92</v>
      </c>
      <c r="TQ10" s="2">
        <v>49.79</v>
      </c>
      <c r="TR10" s="2">
        <v>50.67</v>
      </c>
      <c r="TS10" s="2">
        <v>51.46</v>
      </c>
      <c r="TT10" s="2">
        <v>51.37</v>
      </c>
      <c r="TU10" s="2">
        <v>51.59</v>
      </c>
      <c r="TV10" s="2">
        <v>52.25</v>
      </c>
      <c r="TW10" s="2">
        <v>53.66</v>
      </c>
      <c r="TX10" s="2">
        <v>53.79</v>
      </c>
      <c r="TY10" s="2">
        <v>53.83</v>
      </c>
      <c r="TZ10" s="2">
        <v>54.45</v>
      </c>
      <c r="UA10" s="2">
        <v>54.27</v>
      </c>
      <c r="UB10" s="2">
        <v>54.76</v>
      </c>
      <c r="UC10" s="2">
        <v>55.06</v>
      </c>
      <c r="UD10" s="2">
        <v>54.49</v>
      </c>
      <c r="UE10" s="2">
        <v>54.71</v>
      </c>
      <c r="UF10" s="2">
        <v>54.54</v>
      </c>
      <c r="UG10" s="2">
        <v>54.05</v>
      </c>
      <c r="UH10" s="2">
        <v>54.01</v>
      </c>
      <c r="UI10" s="2">
        <v>53.78</v>
      </c>
      <c r="UJ10" s="2">
        <v>53.63</v>
      </c>
      <c r="UK10" s="2">
        <v>53.31</v>
      </c>
      <c r="UL10" s="2">
        <v>54.04</v>
      </c>
      <c r="UM10" s="2">
        <v>55.82</v>
      </c>
      <c r="UN10" s="2">
        <v>55.58</v>
      </c>
      <c r="UO10" s="2">
        <v>57.2</v>
      </c>
      <c r="UP10" s="2">
        <v>58.09</v>
      </c>
      <c r="UQ10" s="2">
        <v>59.63</v>
      </c>
      <c r="UR10" s="2">
        <v>59.98</v>
      </c>
      <c r="US10" s="2">
        <v>60.12</v>
      </c>
      <c r="UT10" s="2">
        <v>61.31</v>
      </c>
      <c r="UU10" s="2">
        <v>60.24</v>
      </c>
      <c r="UV10" s="2">
        <v>59.87</v>
      </c>
      <c r="UW10" s="2">
        <v>60.15</v>
      </c>
      <c r="UX10" s="2">
        <v>61.26</v>
      </c>
      <c r="UY10" s="2">
        <v>61.06</v>
      </c>
      <c r="UZ10" s="2">
        <v>61.71</v>
      </c>
      <c r="VA10" s="2">
        <v>63.2</v>
      </c>
      <c r="VB10" s="2">
        <v>61.32</v>
      </c>
      <c r="VC10" s="2">
        <v>62.14</v>
      </c>
      <c r="VD10" s="2">
        <v>61.89</v>
      </c>
      <c r="VE10" s="2">
        <v>62.31</v>
      </c>
      <c r="VF10" s="2">
        <v>63.37</v>
      </c>
      <c r="VG10" s="2">
        <v>63.86</v>
      </c>
      <c r="VH10" s="2">
        <v>64.73999999999999</v>
      </c>
      <c r="VI10" s="2">
        <v>64.14</v>
      </c>
      <c r="VJ10" s="2">
        <v>65.45999999999999</v>
      </c>
      <c r="VK10" s="2">
        <v>67.59999999999999</v>
      </c>
      <c r="VL10" s="2">
        <v>67.29000000000001</v>
      </c>
      <c r="VM10" s="2">
        <v>68.17</v>
      </c>
      <c r="VN10" s="2">
        <v>70.47</v>
      </c>
      <c r="VO10" s="2">
        <v>70.72</v>
      </c>
      <c r="VP10" s="2">
        <v>68.06</v>
      </c>
      <c r="VQ10" s="2">
        <v>68.5</v>
      </c>
      <c r="VR10" s="2">
        <v>70.59999999999999</v>
      </c>
      <c r="VS10" s="2">
        <v>70.12</v>
      </c>
      <c r="VT10" s="2">
        <v>71.81</v>
      </c>
      <c r="VU10" s="2">
        <v>73.2</v>
      </c>
      <c r="VV10" s="2">
        <v>75.45999999999999</v>
      </c>
      <c r="VW10" s="2">
        <v>76.23</v>
      </c>
      <c r="VX10" s="2">
        <v>70.95</v>
      </c>
      <c r="VY10" s="2">
        <v>69.83</v>
      </c>
      <c r="VZ10" s="2">
        <v>70.95999999999999</v>
      </c>
      <c r="WA10" s="2">
        <v>72.34999999999999</v>
      </c>
      <c r="WB10" s="2">
        <v>71.77</v>
      </c>
      <c r="WC10" s="2">
        <v>72.7</v>
      </c>
      <c r="WD10" s="2">
        <v>73.23</v>
      </c>
      <c r="WE10" s="2">
        <v>72.78</v>
      </c>
      <c r="WF10" s="2">
        <v>72.98</v>
      </c>
      <c r="WG10" s="2">
        <v>74.90000000000001</v>
      </c>
      <c r="WH10" s="2">
        <v>75.8</v>
      </c>
      <c r="WI10" s="2">
        <v>75.90000000000001</v>
      </c>
      <c r="WJ10" s="2">
        <v>75.91</v>
      </c>
      <c r="WK10" s="2">
        <v>76.73</v>
      </c>
      <c r="WL10" s="2">
        <v>77.45999999999999</v>
      </c>
      <c r="WM10" s="2">
        <v>76.86</v>
      </c>
      <c r="WN10" s="2">
        <v>77.41</v>
      </c>
      <c r="WO10" s="2">
        <v>77.79000000000001</v>
      </c>
      <c r="WP10" s="2">
        <v>77.13</v>
      </c>
      <c r="WQ10" s="2">
        <v>78.97</v>
      </c>
      <c r="WR10" s="2">
        <v>78.86</v>
      </c>
      <c r="WS10" s="2">
        <v>79.73</v>
      </c>
      <c r="WT10" s="2">
        <v>79.16</v>
      </c>
      <c r="WU10" s="2">
        <v>79.11</v>
      </c>
      <c r="WV10" s="2">
        <v>77.34999999999999</v>
      </c>
      <c r="WW10" s="2">
        <v>74.76000000000001</v>
      </c>
      <c r="WX10" s="2">
        <v>77.23</v>
      </c>
      <c r="WY10" s="2">
        <v>77.33</v>
      </c>
      <c r="WZ10" s="2">
        <v>76.29000000000001</v>
      </c>
      <c r="XA10" s="2">
        <v>74.34</v>
      </c>
      <c r="XB10" s="2">
        <v>75.15000000000001</v>
      </c>
      <c r="XC10" s="2">
        <v>74.70999999999999</v>
      </c>
      <c r="XD10" s="2">
        <v>76.01000000000001</v>
      </c>
      <c r="XE10" s="2">
        <v>77.18000000000001</v>
      </c>
      <c r="XF10" s="2">
        <v>76.73999999999999</v>
      </c>
      <c r="XG10" s="2">
        <v>76.69</v>
      </c>
      <c r="XH10" s="2">
        <v>78.56</v>
      </c>
      <c r="XI10" s="2">
        <v>79.44</v>
      </c>
      <c r="XJ10" s="2">
        <v>80.68000000000001</v>
      </c>
      <c r="XK10" s="2">
        <v>81.29000000000001</v>
      </c>
      <c r="XL10" s="2">
        <v>80.81</v>
      </c>
      <c r="XM10" s="2">
        <v>79.37</v>
      </c>
      <c r="XN10" s="2">
        <v>82.08</v>
      </c>
      <c r="XO10" s="2">
        <v>81.88</v>
      </c>
      <c r="XP10" s="2">
        <v>83.08</v>
      </c>
      <c r="XQ10" s="2">
        <v>81.48999999999999</v>
      </c>
      <c r="XR10" s="2">
        <v>75.98999999999999</v>
      </c>
      <c r="XS10" s="2">
        <v>78.53</v>
      </c>
      <c r="XT10" s="2">
        <v>79.23</v>
      </c>
      <c r="XU10" s="2">
        <v>81.75</v>
      </c>
      <c r="XV10" s="2">
        <v>84.09999999999999</v>
      </c>
      <c r="XW10" s="2">
        <v>86.72</v>
      </c>
      <c r="XX10" s="2">
        <v>89.20999999999999</v>
      </c>
      <c r="XY10" s="2">
        <v>92.95</v>
      </c>
      <c r="XZ10" s="2">
        <v>95.08</v>
      </c>
      <c r="YA10" s="2">
        <v>94.67</v>
      </c>
      <c r="YB10" s="2">
        <v>96.28</v>
      </c>
      <c r="YC10" s="2">
        <v>96.94</v>
      </c>
      <c r="YD10" s="2">
        <v>96.83</v>
      </c>
      <c r="YE10" s="2">
        <v>99.95</v>
      </c>
      <c r="YF10" s="2">
        <v>99.84</v>
      </c>
      <c r="YG10" s="2">
        <v>100.38</v>
      </c>
      <c r="YH10" s="2">
        <v>101.26</v>
      </c>
      <c r="YI10" s="2">
        <v>99.05</v>
      </c>
      <c r="YJ10" s="2">
        <v>98.40000000000001</v>
      </c>
      <c r="YK10" s="2">
        <v>99.34</v>
      </c>
      <c r="YL10" s="2">
        <v>98.67</v>
      </c>
      <c r="YM10" s="2">
        <v>99.83</v>
      </c>
      <c r="YN10" s="2">
        <v>100.49</v>
      </c>
      <c r="YO10" s="2">
        <v>102.53</v>
      </c>
      <c r="YP10" s="2">
        <v>101.81</v>
      </c>
      <c r="ACI10" s="2">
        <v>0.6</v>
      </c>
      <c r="ACJ10" s="2">
        <v>0.5</v>
      </c>
      <c r="ACK10" s="2">
        <v>0.6</v>
      </c>
      <c r="ACL10" s="2">
        <v>2.5</v>
      </c>
      <c r="ACM10" s="2">
        <v>2.9</v>
      </c>
      <c r="ACN10" s="2">
        <v>2.4</v>
      </c>
      <c r="ACO10" s="2">
        <v>2.3</v>
      </c>
      <c r="ACP10" s="2">
        <v>8.1</v>
      </c>
      <c r="ACQ10" s="2">
        <v>4.7</v>
      </c>
      <c r="ACR10" s="2">
        <v>4.4</v>
      </c>
      <c r="ACS10" s="2">
        <v>3</v>
      </c>
      <c r="ACT10" s="2">
        <v>5.2</v>
      </c>
      <c r="ACU10" s="2">
        <v>5.6</v>
      </c>
      <c r="ACV10" s="2">
        <v>2.7</v>
      </c>
      <c r="ACW10" s="2">
        <v>1.3</v>
      </c>
      <c r="ACX10" s="2">
        <v>1.9</v>
      </c>
      <c r="ACY10" s="2">
        <v>1.6</v>
      </c>
      <c r="ACZ10" s="2">
        <v>2.8</v>
      </c>
      <c r="ADA10" s="2">
        <v>1.8</v>
      </c>
      <c r="ADB10" s="2">
        <v>1.5</v>
      </c>
      <c r="ADC10" s="2">
        <v>2.9</v>
      </c>
      <c r="ADD10" s="2">
        <v>1.7</v>
      </c>
      <c r="ADE10" s="2">
        <v>1.1</v>
      </c>
      <c r="ADF10" s="2">
        <v>2.2</v>
      </c>
      <c r="ADG10" s="2">
        <v>3.3</v>
      </c>
      <c r="ADH10" s="2">
        <v>2.4</v>
      </c>
      <c r="ADI10" s="2">
        <v>3</v>
      </c>
      <c r="ADJ10" s="2">
        <v>4</v>
      </c>
      <c r="ADK10" s="2">
        <v>3.6</v>
      </c>
      <c r="ADL10" s="2">
        <v>0.5</v>
      </c>
      <c r="ADM10" s="2">
        <v>4.8</v>
      </c>
      <c r="ADN10" s="2">
        <v>0.2</v>
      </c>
      <c r="ADO10" s="2">
        <v>2</v>
      </c>
      <c r="ADP10" s="2">
        <v>3.7</v>
      </c>
      <c r="ADQ10" s="2">
        <v>3.9</v>
      </c>
      <c r="ADR10" s="2">
        <v>0</v>
      </c>
      <c r="ADS10" s="2">
        <v>4.6</v>
      </c>
      <c r="ADT10" s="2">
        <v>1.2</v>
      </c>
      <c r="ADU10" s="2">
        <v>3</v>
      </c>
      <c r="ADV10" s="2">
        <v>5.6</v>
      </c>
      <c r="ADW10" s="2">
        <v>1.4</v>
      </c>
      <c r="ADX10" s="2">
        <v>2.9</v>
      </c>
      <c r="ADY10" s="2">
        <v>0</v>
      </c>
      <c r="ADZ10" s="2">
        <v>3.7</v>
      </c>
      <c r="AEA10" s="2">
        <v>2.7</v>
      </c>
      <c r="AEB10" s="2">
        <v>0.8</v>
      </c>
      <c r="AEC10" s="2">
        <v>1.9</v>
      </c>
      <c r="AED10" s="2">
        <v>1.2</v>
      </c>
      <c r="AEE10" s="2">
        <v>0.9</v>
      </c>
      <c r="AEF10" s="2">
        <v>1.7</v>
      </c>
      <c r="AEG10" s="2">
        <v>4.5</v>
      </c>
      <c r="AEH10" s="2">
        <v>2.1</v>
      </c>
      <c r="AEI10" s="2">
        <v>0.6</v>
      </c>
      <c r="AEJ10" s="2">
        <v>3.4</v>
      </c>
      <c r="AEK10" s="2">
        <v>-1.6</v>
      </c>
      <c r="AEL10" s="2">
        <v>5.1</v>
      </c>
      <c r="AEM10" s="2">
        <v>4.6</v>
      </c>
      <c r="AEN10" s="2">
        <v>2.8</v>
      </c>
      <c r="AEO10" s="2">
        <v>1</v>
      </c>
      <c r="AEP10" s="2">
        <v>1.9</v>
      </c>
      <c r="AEQ10" s="2">
        <v>2.6</v>
      </c>
      <c r="AER10" s="2">
        <v>1.1</v>
      </c>
      <c r="AES10" s="2">
        <v>-0.2</v>
      </c>
      <c r="AET10" s="2">
        <v>1.4</v>
      </c>
      <c r="AEU10" s="2">
        <v>0.3</v>
      </c>
      <c r="AEV10" s="2">
        <v>1</v>
      </c>
      <c r="AEW10" s="2">
        <v>2.4</v>
      </c>
      <c r="AEX10" s="2">
        <v>2.2</v>
      </c>
      <c r="AEY10" s="2">
        <v>2.4</v>
      </c>
      <c r="AEZ10" s="2">
        <v>2.6</v>
      </c>
      <c r="AFA10" s="2">
        <v>0.6</v>
      </c>
      <c r="AFB10" s="2">
        <v>2</v>
      </c>
      <c r="AFC10" s="2">
        <v>6.7</v>
      </c>
      <c r="AFD10" s="2">
        <v>-4.6</v>
      </c>
      <c r="AFE10" s="2">
        <v>-0.6</v>
      </c>
      <c r="AFF10" s="2">
        <v>1.9</v>
      </c>
      <c r="AFG10" s="2">
        <v>1.6</v>
      </c>
      <c r="AFH10" s="2">
        <v>0</v>
      </c>
      <c r="AFI10" s="2">
        <v>-0.4</v>
      </c>
      <c r="AFJ10" s="2">
        <v>1.8</v>
      </c>
      <c r="AFK10" s="2">
        <v>0</v>
      </c>
      <c r="AFL10" s="2">
        <v>0.4</v>
      </c>
      <c r="AFM10" s="2">
        <v>0.7</v>
      </c>
      <c r="AFN10" s="2">
        <v>1</v>
      </c>
      <c r="AFO10" s="2">
        <v>0.3</v>
      </c>
      <c r="AFP10" s="2">
        <v>-0.3</v>
      </c>
      <c r="AFQ10" s="2">
        <v>1.8</v>
      </c>
      <c r="AFR10" s="2">
        <v>1.6</v>
      </c>
      <c r="AFS10" s="2">
        <v>-0.2</v>
      </c>
      <c r="AFT10" s="2">
        <v>0.4</v>
      </c>
      <c r="AFU10" s="2">
        <v>1.3</v>
      </c>
      <c r="AFV10" s="2">
        <v>2.7</v>
      </c>
      <c r="AFW10" s="2">
        <v>0.2</v>
      </c>
      <c r="AFX10" s="2">
        <v>0.1</v>
      </c>
      <c r="AFY10" s="2">
        <v>1.2</v>
      </c>
      <c r="AFZ10" s="2">
        <v>-0.3</v>
      </c>
      <c r="AGA10" s="2">
        <v>0.9</v>
      </c>
      <c r="AGB10" s="2">
        <v>0.5</v>
      </c>
      <c r="AGC10" s="2">
        <v>-1</v>
      </c>
      <c r="AGD10" s="2">
        <v>0.4</v>
      </c>
      <c r="AGE10" s="2">
        <v>-0.3</v>
      </c>
      <c r="AGF10" s="2">
        <v>-0.9</v>
      </c>
      <c r="AGG10" s="2">
        <v>-0.1</v>
      </c>
      <c r="AGH10" s="2">
        <v>-0.4</v>
      </c>
      <c r="AGI10" s="2">
        <v>-0.3</v>
      </c>
      <c r="AGJ10" s="2">
        <v>-0.6</v>
      </c>
      <c r="AGK10" s="2">
        <v>1.4</v>
      </c>
      <c r="AGL10" s="2">
        <v>3.3</v>
      </c>
      <c r="AGM10" s="2">
        <v>-0.4</v>
      </c>
      <c r="AGN10" s="2">
        <v>2.9</v>
      </c>
      <c r="AGO10" s="2">
        <v>1.6</v>
      </c>
      <c r="AGP10" s="2">
        <v>2.7</v>
      </c>
      <c r="AGQ10" s="2">
        <v>0.6</v>
      </c>
      <c r="AGR10" s="2">
        <v>0.2</v>
      </c>
      <c r="AGS10" s="2">
        <v>2</v>
      </c>
      <c r="AGT10" s="2">
        <v>-1.7</v>
      </c>
      <c r="AGU10" s="2">
        <v>-0.6</v>
      </c>
      <c r="AGV10" s="2">
        <v>0.5</v>
      </c>
      <c r="AGW10" s="2">
        <v>1.8</v>
      </c>
      <c r="AGX10" s="2">
        <v>-0.3</v>
      </c>
      <c r="AGY10" s="2">
        <v>1.1</v>
      </c>
      <c r="AGZ10" s="2">
        <v>2.4</v>
      </c>
      <c r="AHA10" s="2">
        <v>-3</v>
      </c>
      <c r="AHB10" s="2">
        <v>1.3</v>
      </c>
      <c r="AHC10" s="2">
        <v>-0.4</v>
      </c>
      <c r="AHD10" s="2">
        <v>0.7</v>
      </c>
      <c r="AHE10" s="2">
        <v>1.7</v>
      </c>
      <c r="AHF10" s="2">
        <v>0.8</v>
      </c>
      <c r="AHG10" s="2">
        <v>1.4</v>
      </c>
      <c r="AHH10" s="2">
        <v>-0.9</v>
      </c>
      <c r="AHI10" s="2">
        <v>2.1</v>
      </c>
      <c r="AHJ10" s="2">
        <v>3.3</v>
      </c>
      <c r="AHK10" s="2">
        <v>-0.5</v>
      </c>
      <c r="AHL10" s="2">
        <v>1.3</v>
      </c>
      <c r="AHM10" s="2">
        <v>3.4</v>
      </c>
      <c r="AHN10" s="2">
        <v>0.4</v>
      </c>
      <c r="AHO10" s="2">
        <v>-3.8</v>
      </c>
      <c r="AHP10" s="2">
        <v>0.6</v>
      </c>
      <c r="AHQ10" s="2">
        <v>3.1</v>
      </c>
      <c r="AHR10" s="2">
        <v>-0.7</v>
      </c>
      <c r="AHS10" s="2">
        <v>2.4</v>
      </c>
      <c r="AHT10" s="2">
        <v>1.9</v>
      </c>
      <c r="AHU10" s="2">
        <v>3.1</v>
      </c>
      <c r="AHV10" s="2">
        <v>1</v>
      </c>
      <c r="AHW10" s="2">
        <v>-6.9</v>
      </c>
      <c r="AHX10" s="2">
        <v>-1.6</v>
      </c>
      <c r="AHY10" s="2">
        <v>1.6</v>
      </c>
      <c r="AHZ10" s="2">
        <v>2</v>
      </c>
      <c r="AIA10" s="2">
        <v>-0.8</v>
      </c>
      <c r="AIB10" s="2">
        <v>1.3</v>
      </c>
      <c r="AIC10" s="2">
        <v>0.7</v>
      </c>
      <c r="AID10" s="2">
        <v>-0.6</v>
      </c>
      <c r="AIE10" s="2">
        <v>0.3</v>
      </c>
      <c r="AIF10" s="2">
        <v>2.6</v>
      </c>
      <c r="AIG10" s="2">
        <v>1.2</v>
      </c>
      <c r="AIH10" s="2">
        <v>0.1</v>
      </c>
      <c r="AII10" s="2">
        <v>0</v>
      </c>
      <c r="AIJ10" s="2">
        <v>1.1</v>
      </c>
      <c r="AIK10" s="2">
        <v>1</v>
      </c>
      <c r="AIL10" s="2">
        <v>-0.8</v>
      </c>
      <c r="AIM10" s="2">
        <v>0.7</v>
      </c>
      <c r="AIN10" s="2">
        <v>0.5</v>
      </c>
      <c r="AIO10" s="2">
        <v>-0.8</v>
      </c>
      <c r="AIP10" s="2">
        <v>2.4</v>
      </c>
      <c r="AIQ10" s="2">
        <v>-0.1</v>
      </c>
      <c r="AIR10" s="2">
        <v>1.1</v>
      </c>
      <c r="AIS10" s="2">
        <v>-0.7</v>
      </c>
      <c r="AIT10" s="2">
        <v>-0.1</v>
      </c>
      <c r="AIU10" s="2">
        <v>-2.2</v>
      </c>
      <c r="AIV10" s="2">
        <v>-3.3</v>
      </c>
      <c r="AIW10" s="2">
        <v>3.3</v>
      </c>
      <c r="AIX10" s="2">
        <v>0.1</v>
      </c>
      <c r="AIY10" s="2">
        <v>-1.3</v>
      </c>
      <c r="AIZ10" s="2">
        <v>-2.6</v>
      </c>
      <c r="AJA10" s="2">
        <v>1.1</v>
      </c>
      <c r="AJB10" s="2">
        <v>-0.6</v>
      </c>
      <c r="AJC10" s="2">
        <v>1.7</v>
      </c>
      <c r="AJD10" s="2">
        <v>1.5</v>
      </c>
      <c r="AJE10" s="2">
        <v>-0.6</v>
      </c>
      <c r="AJF10" s="2">
        <v>-0.1</v>
      </c>
      <c r="AJG10" s="2">
        <v>2.4</v>
      </c>
      <c r="AJH10" s="2">
        <v>1.1</v>
      </c>
      <c r="AJI10" s="2">
        <v>1.6</v>
      </c>
      <c r="AJJ10" s="2">
        <v>0.8</v>
      </c>
      <c r="AJK10" s="2">
        <v>-0.6</v>
      </c>
      <c r="AJL10" s="2">
        <v>-1.8</v>
      </c>
      <c r="AJM10" s="2">
        <v>3.4</v>
      </c>
      <c r="AJN10" s="2">
        <v>-0.2</v>
      </c>
      <c r="AJO10" s="2">
        <v>1.5</v>
      </c>
      <c r="AJP10" s="2">
        <v>-1.9</v>
      </c>
      <c r="AJQ10" s="2">
        <v>-6.7</v>
      </c>
      <c r="AJR10" s="2">
        <v>3.3</v>
      </c>
      <c r="AJS10" s="2">
        <v>0.9</v>
      </c>
      <c r="AJT10" s="2">
        <v>3.2</v>
      </c>
      <c r="AJU10" s="2">
        <v>2.9</v>
      </c>
      <c r="AJV10" s="2">
        <v>3.1</v>
      </c>
      <c r="AJW10" s="2">
        <v>2.9</v>
      </c>
      <c r="AJX10" s="2">
        <v>4.2</v>
      </c>
      <c r="AJY10" s="2">
        <v>2.3</v>
      </c>
      <c r="AJZ10" s="2">
        <v>-0.4</v>
      </c>
      <c r="AKA10" s="2">
        <v>1.7</v>
      </c>
      <c r="AKB10" s="2">
        <v>0.7</v>
      </c>
      <c r="AKC10" s="2">
        <v>-0.1</v>
      </c>
      <c r="AKD10" s="2">
        <v>3.2</v>
      </c>
      <c r="AKE10" s="2">
        <v>-0.1</v>
      </c>
      <c r="AKF10" s="2">
        <v>0.5</v>
      </c>
      <c r="AKG10" s="2">
        <v>0.9</v>
      </c>
      <c r="AKH10" s="2">
        <v>-2.2</v>
      </c>
      <c r="AKI10" s="2">
        <v>-0.7</v>
      </c>
      <c r="AKJ10" s="2">
        <v>1</v>
      </c>
      <c r="AKK10" s="2">
        <v>-0.7</v>
      </c>
      <c r="AKL10" s="2">
        <v>1.2</v>
      </c>
      <c r="AKM10" s="2">
        <v>0.7</v>
      </c>
      <c r="AKN10" s="2">
        <v>2</v>
      </c>
      <c r="AKO10" s="2">
        <v>-0.7</v>
      </c>
      <c r="AKP10" s="2">
        <v>11.35</v>
      </c>
      <c r="AKQ10" s="2">
        <v>11.58</v>
      </c>
      <c r="AKR10" s="2">
        <v>11.5</v>
      </c>
    </row>
    <row r="11">
      <c r="A11" t="inlineStr">
        <is>
          <t>Communication</t>
        </is>
      </c>
      <c r="B11" t="inlineStr">
        <is>
          <t>All groups CPI</t>
        </is>
      </c>
      <c r="C11">
        <v>1</v>
      </c>
      <c r="D11">
        <v>2.12</v>
      </c>
      <c r="E11" s="3">
        <f>D11/100.0*1.0</f>
        <v>0.0212</v>
      </c>
      <c r="F11" s="3">
        <f>E11-D11/100</f>
        <v>0.0</v>
      </c>
      <c r="G11" s="3">
        <f>D11/100.0</f>
        <v>0.0212</v>
      </c>
      <c r="CI11" s="2">
        <v>98.53</v>
      </c>
      <c r="CJ11" s="2">
        <v>97.89</v>
      </c>
      <c r="CK11" s="2">
        <v>97.25</v>
      </c>
      <c r="CL11" s="2">
        <v>98.89</v>
      </c>
      <c r="CM11" s="2">
        <v>98.38</v>
      </c>
      <c r="CN11" s="2">
        <v>98.42</v>
      </c>
      <c r="CO11" s="2">
        <v>99.05</v>
      </c>
      <c r="CP11" s="2">
        <v>98.94</v>
      </c>
      <c r="CQ11" s="2">
        <v>98.72</v>
      </c>
      <c r="CR11" s="2">
        <v>98.36</v>
      </c>
      <c r="CS11" s="2">
        <v>99.09</v>
      </c>
      <c r="CT11" s="2">
        <v>98.95</v>
      </c>
      <c r="CU11" s="2">
        <v>99.20999999999999</v>
      </c>
      <c r="CV11" s="2">
        <v>98.84999999999999</v>
      </c>
      <c r="CW11" s="2">
        <v>98.01000000000001</v>
      </c>
      <c r="CX11" s="2">
        <v>99.48999999999999</v>
      </c>
      <c r="CY11" s="2">
        <v>100.2</v>
      </c>
      <c r="CZ11" s="2">
        <v>100</v>
      </c>
      <c r="DA11" s="2">
        <v>99.8</v>
      </c>
      <c r="DB11" s="2">
        <v>100.24</v>
      </c>
      <c r="DC11" s="2">
        <v>99.8</v>
      </c>
      <c r="DD11" s="2">
        <v>99.70999999999999</v>
      </c>
      <c r="DE11" s="2">
        <v>99.89</v>
      </c>
      <c r="DF11" s="2">
        <v>100.35</v>
      </c>
      <c r="DG11" s="2">
        <v>100.74</v>
      </c>
      <c r="DH11" s="2">
        <v>100.9</v>
      </c>
      <c r="DI11" s="2">
        <v>100.21</v>
      </c>
      <c r="DJ11" s="2">
        <v>101.99</v>
      </c>
      <c r="GL11" s="2">
        <v>0.7</v>
      </c>
      <c r="GM11" s="2">
        <v>1</v>
      </c>
      <c r="GN11" s="2">
        <v>0.8</v>
      </c>
      <c r="GO11" s="2">
        <v>0.6</v>
      </c>
      <c r="GP11" s="2">
        <v>1.8</v>
      </c>
      <c r="GQ11" s="2">
        <v>1.6</v>
      </c>
      <c r="GR11" s="2">
        <v>0.8</v>
      </c>
      <c r="GS11" s="2">
        <v>1.3</v>
      </c>
      <c r="GT11" s="2">
        <v>1.1</v>
      </c>
      <c r="GU11" s="2">
        <v>1.4</v>
      </c>
      <c r="GV11" s="2">
        <v>0.8</v>
      </c>
      <c r="GW11" s="2">
        <v>1.4</v>
      </c>
      <c r="GX11" s="2">
        <v>1.5</v>
      </c>
      <c r="GY11" s="2">
        <v>2.1</v>
      </c>
      <c r="GZ11" s="2">
        <v>2.2</v>
      </c>
      <c r="HA11" s="2">
        <v>2.5</v>
      </c>
      <c r="KC11" s="2">
        <v>-0.6</v>
      </c>
      <c r="KD11" s="2">
        <v>-0.7</v>
      </c>
      <c r="KE11" s="2">
        <v>1.7</v>
      </c>
      <c r="KF11" s="2">
        <v>-0.5</v>
      </c>
      <c r="KG11" s="2">
        <v>0</v>
      </c>
      <c r="KH11" s="2">
        <v>0.6</v>
      </c>
      <c r="KI11" s="2">
        <v>-0.1</v>
      </c>
      <c r="KJ11" s="2">
        <v>-0.2</v>
      </c>
      <c r="KK11" s="2">
        <v>-0.4</v>
      </c>
      <c r="KL11" s="2">
        <v>0.7</v>
      </c>
      <c r="KM11" s="2">
        <v>-0.1</v>
      </c>
      <c r="KN11" s="2">
        <v>0.3</v>
      </c>
      <c r="KO11" s="2">
        <v>-0.4</v>
      </c>
      <c r="KP11" s="2">
        <v>-0.8</v>
      </c>
      <c r="KQ11" s="2">
        <v>1.5</v>
      </c>
      <c r="KR11" s="2">
        <v>0.7</v>
      </c>
      <c r="KS11" s="2">
        <v>-0.2</v>
      </c>
      <c r="KT11" s="2">
        <v>-0.2</v>
      </c>
      <c r="KU11" s="2">
        <v>0.4</v>
      </c>
      <c r="KV11" s="2">
        <v>-0.4</v>
      </c>
      <c r="KW11" s="2">
        <v>-0.1</v>
      </c>
      <c r="KX11" s="2">
        <v>0.2</v>
      </c>
      <c r="KY11" s="2">
        <v>0.5</v>
      </c>
      <c r="KZ11" s="2">
        <v>0.4</v>
      </c>
      <c r="LA11" s="2">
        <v>0.2</v>
      </c>
      <c r="LB11" s="2">
        <v>-0.7</v>
      </c>
      <c r="LC11" s="2">
        <v>1.8</v>
      </c>
      <c r="LD11" s="2">
        <v>2.06</v>
      </c>
      <c r="LE11" s="2">
        <v>2.05</v>
      </c>
      <c r="LF11" s="2">
        <v>2.07</v>
      </c>
      <c r="LG11" s="2">
        <v>2.07</v>
      </c>
      <c r="LH11" s="2">
        <v>2.07</v>
      </c>
      <c r="LI11" s="2">
        <v>2.06</v>
      </c>
      <c r="LJ11" s="2">
        <v>2.05</v>
      </c>
      <c r="LK11" s="2">
        <v>2.08</v>
      </c>
      <c r="LL11" s="2">
        <v>2.09</v>
      </c>
      <c r="LM11" s="2">
        <v>2.09</v>
      </c>
      <c r="LN11" s="2">
        <v>2.08</v>
      </c>
      <c r="LO11" s="2">
        <v>2.09</v>
      </c>
      <c r="LP11" s="2">
        <v>2.08</v>
      </c>
      <c r="LQ11" s="2">
        <v>2.08</v>
      </c>
      <c r="LR11" s="2">
        <v>2.09</v>
      </c>
      <c r="LS11" s="2">
        <v>2.1</v>
      </c>
      <c r="LT11" s="2">
        <v>2.1</v>
      </c>
      <c r="LU11" s="2">
        <v>2.11</v>
      </c>
      <c r="LV11" s="2">
        <v>2.09</v>
      </c>
      <c r="LW11" s="2">
        <v>2.13</v>
      </c>
      <c r="LX11" s="2">
        <v>-0.01</v>
      </c>
      <c r="LY11" s="2">
        <v>0.02</v>
      </c>
      <c r="LZ11" s="2">
        <v>0</v>
      </c>
      <c r="MA11" s="2">
        <v>0</v>
      </c>
      <c r="MB11" s="2">
        <v>-0.01</v>
      </c>
      <c r="MC11" s="2">
        <v>-0.01</v>
      </c>
      <c r="MD11" s="2">
        <v>0.03</v>
      </c>
      <c r="ME11" s="2">
        <v>0.01</v>
      </c>
      <c r="MF11" s="2">
        <v>0</v>
      </c>
      <c r="MG11" s="2">
        <v>-0.01</v>
      </c>
      <c r="MH11" s="2">
        <v>0.01</v>
      </c>
      <c r="MI11" s="2">
        <v>-0.01</v>
      </c>
      <c r="MJ11" s="2">
        <v>0</v>
      </c>
      <c r="MK11" s="2">
        <v>0.01</v>
      </c>
      <c r="ML11" s="2">
        <v>0.01</v>
      </c>
      <c r="MM11" s="2">
        <v>0</v>
      </c>
      <c r="MN11" s="2">
        <v>0.01</v>
      </c>
      <c r="MO11" s="2">
        <v>-0.02</v>
      </c>
      <c r="MP11" s="2">
        <v>0.04</v>
      </c>
      <c r="QI11" s="2">
        <v>37.26</v>
      </c>
      <c r="QJ11" s="2">
        <v>37.26</v>
      </c>
      <c r="QK11" s="2">
        <v>37.26</v>
      </c>
      <c r="QL11" s="2">
        <v>37.26</v>
      </c>
      <c r="QM11" s="2">
        <v>37.26</v>
      </c>
      <c r="QN11" s="2">
        <v>37.26</v>
      </c>
      <c r="QO11" s="2">
        <v>37.26</v>
      </c>
      <c r="QP11" s="2">
        <v>37.26</v>
      </c>
      <c r="QQ11" s="2">
        <v>37.26</v>
      </c>
      <c r="QR11" s="2">
        <v>45.4</v>
      </c>
      <c r="QS11" s="2">
        <v>45.4</v>
      </c>
      <c r="QT11" s="2">
        <v>45.4</v>
      </c>
      <c r="QU11" s="2">
        <v>45.4</v>
      </c>
      <c r="QV11" s="2">
        <v>63.97</v>
      </c>
      <c r="QW11" s="2">
        <v>63.97</v>
      </c>
      <c r="QX11" s="2">
        <v>64.19</v>
      </c>
      <c r="QY11" s="2">
        <v>64.19</v>
      </c>
      <c r="QZ11" s="2">
        <v>64.73999999999999</v>
      </c>
      <c r="RA11" s="2">
        <v>64.73999999999999</v>
      </c>
      <c r="RB11" s="2">
        <v>64.73999999999999</v>
      </c>
      <c r="RC11" s="2">
        <v>64.73999999999999</v>
      </c>
      <c r="RD11" s="2">
        <v>65.62</v>
      </c>
      <c r="RE11" s="2">
        <v>65.51000000000001</v>
      </c>
      <c r="RF11" s="2">
        <v>65.51000000000001</v>
      </c>
      <c r="RG11" s="2">
        <v>66.94</v>
      </c>
      <c r="RH11" s="2">
        <v>67.70999999999999</v>
      </c>
      <c r="RI11" s="2">
        <v>67.16</v>
      </c>
      <c r="RJ11" s="2">
        <v>67.16</v>
      </c>
      <c r="RK11" s="2">
        <v>67.16</v>
      </c>
      <c r="RL11" s="2">
        <v>68.26000000000001</v>
      </c>
      <c r="RM11" s="2">
        <v>68.48</v>
      </c>
      <c r="RN11" s="2">
        <v>69.58</v>
      </c>
      <c r="RO11" s="2">
        <v>69.58</v>
      </c>
      <c r="RP11" s="2">
        <v>69.47</v>
      </c>
      <c r="RQ11" s="2">
        <v>69.47</v>
      </c>
      <c r="RR11" s="2">
        <v>68.81</v>
      </c>
      <c r="RS11" s="2">
        <v>70.34999999999999</v>
      </c>
      <c r="RT11" s="2">
        <v>73.76000000000001</v>
      </c>
      <c r="RU11" s="2">
        <v>75.95999999999999</v>
      </c>
      <c r="RV11" s="2">
        <v>77.17</v>
      </c>
      <c r="RW11" s="2">
        <v>79.36</v>
      </c>
      <c r="RX11" s="2">
        <v>82.44</v>
      </c>
      <c r="RY11" s="2">
        <v>82.55</v>
      </c>
      <c r="RZ11" s="2">
        <v>82.44</v>
      </c>
      <c r="SA11" s="2">
        <v>82.44</v>
      </c>
      <c r="SB11" s="2">
        <v>90.47</v>
      </c>
      <c r="SC11" s="2">
        <v>90.58</v>
      </c>
      <c r="SD11" s="2">
        <v>90.58</v>
      </c>
      <c r="SE11" s="2">
        <v>90.58</v>
      </c>
      <c r="SF11" s="2">
        <v>90.58</v>
      </c>
      <c r="SG11" s="2">
        <v>93.31999999999999</v>
      </c>
      <c r="SH11" s="2">
        <v>95.41</v>
      </c>
      <c r="SI11" s="2">
        <v>95.41</v>
      </c>
      <c r="SJ11" s="2">
        <v>97.17</v>
      </c>
      <c r="SK11" s="2">
        <v>97.94</v>
      </c>
      <c r="SL11" s="2">
        <v>97.94</v>
      </c>
      <c r="SM11" s="2">
        <v>98.70999999999999</v>
      </c>
      <c r="SN11" s="2">
        <v>100.91</v>
      </c>
      <c r="SO11" s="2">
        <v>101.57</v>
      </c>
      <c r="SP11" s="2">
        <v>101.9</v>
      </c>
      <c r="SQ11" s="2">
        <v>107.61</v>
      </c>
      <c r="SR11" s="2">
        <v>109.59</v>
      </c>
      <c r="SS11" s="2">
        <v>108.93</v>
      </c>
      <c r="ST11" s="2">
        <v>108.93</v>
      </c>
      <c r="SU11" s="2">
        <v>110.03</v>
      </c>
      <c r="SV11" s="2">
        <v>112.78</v>
      </c>
      <c r="SW11" s="2">
        <v>111.46</v>
      </c>
      <c r="SX11" s="2">
        <v>109.04</v>
      </c>
      <c r="SY11" s="2">
        <v>109.04</v>
      </c>
      <c r="SZ11" s="2">
        <v>110.03</v>
      </c>
      <c r="TA11" s="2">
        <v>110.25</v>
      </c>
      <c r="TB11" s="2">
        <v>110.36</v>
      </c>
      <c r="TC11" s="2">
        <v>112.78</v>
      </c>
      <c r="TD11" s="2">
        <v>112.89</v>
      </c>
      <c r="TE11" s="2">
        <v>112.89</v>
      </c>
      <c r="TF11" s="2">
        <v>113</v>
      </c>
      <c r="TG11" s="2">
        <v>117.51</v>
      </c>
      <c r="TH11" s="2">
        <v>117.51</v>
      </c>
      <c r="TI11" s="2">
        <v>118.39</v>
      </c>
      <c r="TJ11" s="2">
        <v>117.62</v>
      </c>
      <c r="TK11" s="2">
        <v>117.4</v>
      </c>
      <c r="TL11" s="2">
        <v>117.84</v>
      </c>
      <c r="TM11" s="2">
        <v>117.84</v>
      </c>
      <c r="TN11" s="2">
        <v>116.96</v>
      </c>
      <c r="TO11" s="2">
        <v>116.3</v>
      </c>
      <c r="TP11" s="2">
        <v>116.08</v>
      </c>
      <c r="TQ11" s="2">
        <v>117.29</v>
      </c>
      <c r="TR11" s="2">
        <v>117.29</v>
      </c>
      <c r="TS11" s="2">
        <v>117.29</v>
      </c>
      <c r="TT11" s="2">
        <v>118.61</v>
      </c>
      <c r="TU11" s="2">
        <v>118.61</v>
      </c>
      <c r="TV11" s="2">
        <v>118.39</v>
      </c>
      <c r="TW11" s="2">
        <v>118.5</v>
      </c>
      <c r="TX11" s="2">
        <v>118.5</v>
      </c>
      <c r="TY11" s="2">
        <v>117.4</v>
      </c>
      <c r="TZ11" s="2">
        <v>117.29</v>
      </c>
      <c r="UA11" s="2">
        <v>117.29</v>
      </c>
      <c r="UB11" s="2">
        <v>116.85</v>
      </c>
      <c r="UC11" s="2">
        <v>116.96</v>
      </c>
      <c r="UD11" s="2">
        <v>116.96</v>
      </c>
      <c r="UE11" s="2">
        <v>117.07</v>
      </c>
      <c r="UF11" s="2">
        <v>117.4</v>
      </c>
      <c r="UG11" s="2">
        <v>117.4</v>
      </c>
      <c r="UH11" s="2">
        <v>116.63</v>
      </c>
      <c r="UI11" s="2">
        <v>115.64</v>
      </c>
      <c r="UJ11" s="2">
        <v>114.43</v>
      </c>
      <c r="UK11" s="2">
        <v>111.24</v>
      </c>
      <c r="UL11" s="2">
        <v>110.91</v>
      </c>
      <c r="UM11" s="2">
        <v>107.39</v>
      </c>
      <c r="UN11" s="2">
        <v>106.95</v>
      </c>
      <c r="UO11" s="2">
        <v>107.18</v>
      </c>
      <c r="UP11" s="2">
        <v>108.59</v>
      </c>
      <c r="UQ11" s="2">
        <v>116.12</v>
      </c>
      <c r="UR11" s="2">
        <v>115.34</v>
      </c>
      <c r="US11" s="2">
        <v>114.78</v>
      </c>
      <c r="UT11" s="2">
        <v>114.11</v>
      </c>
      <c r="UU11" s="2">
        <v>113.87</v>
      </c>
      <c r="UV11" s="2">
        <v>115.88</v>
      </c>
      <c r="UW11" s="2">
        <v>115.93</v>
      </c>
      <c r="UX11" s="2">
        <v>116.83</v>
      </c>
      <c r="UY11" s="2">
        <v>118.64</v>
      </c>
      <c r="UZ11" s="2">
        <v>119.2</v>
      </c>
      <c r="VA11" s="2">
        <v>119.55</v>
      </c>
      <c r="VB11" s="2">
        <v>119.73</v>
      </c>
      <c r="VC11" s="2">
        <v>120.62</v>
      </c>
      <c r="VD11" s="2">
        <v>120.85</v>
      </c>
      <c r="VE11" s="2">
        <v>120.89</v>
      </c>
      <c r="VF11" s="2">
        <v>121.4</v>
      </c>
      <c r="VG11" s="2">
        <v>121.93</v>
      </c>
      <c r="VH11" s="2">
        <v>122.23</v>
      </c>
      <c r="VI11" s="2">
        <v>122.67</v>
      </c>
      <c r="VJ11" s="2">
        <v>121.55</v>
      </c>
      <c r="VK11" s="2">
        <v>120.7</v>
      </c>
      <c r="VL11" s="2">
        <v>119.82</v>
      </c>
      <c r="VM11" s="2">
        <v>120.34</v>
      </c>
      <c r="VN11" s="2">
        <v>120.46</v>
      </c>
      <c r="VO11" s="2">
        <v>121.19</v>
      </c>
      <c r="VP11" s="2">
        <v>121.75</v>
      </c>
      <c r="VQ11" s="2">
        <v>121.98</v>
      </c>
      <c r="VR11" s="2">
        <v>122.18</v>
      </c>
      <c r="VS11" s="2">
        <v>122.19</v>
      </c>
      <c r="VT11" s="2">
        <v>122.21</v>
      </c>
      <c r="VU11" s="2">
        <v>122.14</v>
      </c>
      <c r="VV11" s="2">
        <v>122.22</v>
      </c>
      <c r="VW11" s="2">
        <v>122.5</v>
      </c>
      <c r="VX11" s="2">
        <v>122.94</v>
      </c>
      <c r="VY11" s="2">
        <v>123.38</v>
      </c>
      <c r="VZ11" s="2">
        <v>123.65</v>
      </c>
      <c r="WA11" s="2">
        <v>123.71</v>
      </c>
      <c r="WB11" s="2">
        <v>123.63</v>
      </c>
      <c r="WC11" s="2">
        <v>123.52</v>
      </c>
      <c r="WD11" s="2">
        <v>123.47</v>
      </c>
      <c r="WE11" s="2">
        <v>123.16</v>
      </c>
      <c r="WF11" s="2">
        <v>123.17</v>
      </c>
      <c r="WG11" s="2">
        <v>123.37</v>
      </c>
      <c r="WH11" s="2">
        <v>123.9</v>
      </c>
      <c r="WI11" s="2">
        <v>123.87</v>
      </c>
      <c r="WJ11" s="2">
        <v>125.17</v>
      </c>
      <c r="WK11" s="2">
        <v>125.28</v>
      </c>
      <c r="WL11" s="2">
        <v>124.94</v>
      </c>
      <c r="WM11" s="2">
        <v>125.56</v>
      </c>
      <c r="WN11" s="2">
        <v>127.14</v>
      </c>
      <c r="WO11" s="2">
        <v>127.14</v>
      </c>
      <c r="WP11" s="2">
        <v>127.68</v>
      </c>
      <c r="WQ11" s="2">
        <v>127.81</v>
      </c>
      <c r="WR11" s="2">
        <v>129.28</v>
      </c>
      <c r="WS11" s="2">
        <v>129.56</v>
      </c>
      <c r="WT11" s="2">
        <v>127.32</v>
      </c>
      <c r="WU11" s="2">
        <v>125.51</v>
      </c>
      <c r="WV11" s="2">
        <v>125.39</v>
      </c>
      <c r="WW11" s="2">
        <v>123.71</v>
      </c>
      <c r="WX11" s="2">
        <v>122.91</v>
      </c>
      <c r="WY11" s="2">
        <v>120.49</v>
      </c>
      <c r="WZ11" s="2">
        <v>117.6</v>
      </c>
      <c r="XA11" s="2">
        <v>115.79</v>
      </c>
      <c r="XB11" s="2">
        <v>114.11</v>
      </c>
      <c r="XC11" s="2">
        <v>111.43</v>
      </c>
      <c r="XD11" s="2">
        <v>110.65</v>
      </c>
      <c r="XE11" s="2">
        <v>110.25</v>
      </c>
      <c r="XF11" s="2">
        <v>109.75</v>
      </c>
      <c r="XG11" s="2">
        <v>108.18</v>
      </c>
      <c r="XH11" s="2">
        <v>106.8</v>
      </c>
      <c r="XI11" s="2">
        <v>106.44</v>
      </c>
      <c r="XJ11" s="2">
        <v>105.07</v>
      </c>
      <c r="XK11" s="2">
        <v>103.62</v>
      </c>
      <c r="XL11" s="2">
        <v>102.2</v>
      </c>
      <c r="XM11" s="2">
        <v>101.64</v>
      </c>
      <c r="XN11" s="2">
        <v>100.45</v>
      </c>
      <c r="XO11" s="2">
        <v>99.33</v>
      </c>
      <c r="XP11" s="2">
        <v>98.36</v>
      </c>
      <c r="XQ11" s="2">
        <v>98.13</v>
      </c>
      <c r="XR11" s="2">
        <v>96.86</v>
      </c>
      <c r="XS11" s="2">
        <v>96.12</v>
      </c>
      <c r="XT11" s="2">
        <v>95.79000000000001</v>
      </c>
      <c r="XU11" s="2">
        <v>96.20999999999999</v>
      </c>
      <c r="XV11" s="2">
        <v>95.67</v>
      </c>
      <c r="XW11" s="2">
        <v>95.11</v>
      </c>
      <c r="XX11" s="2">
        <v>95.26000000000001</v>
      </c>
      <c r="XY11" s="2">
        <v>95.53</v>
      </c>
      <c r="XZ11" s="2">
        <v>95.58</v>
      </c>
      <c r="YA11" s="2">
        <v>96.93000000000001</v>
      </c>
      <c r="YB11" s="2">
        <v>96.51000000000001</v>
      </c>
      <c r="YC11" s="2">
        <v>96.66</v>
      </c>
      <c r="YD11" s="2">
        <v>96.2</v>
      </c>
      <c r="YE11" s="2">
        <v>98.25</v>
      </c>
      <c r="YF11" s="2">
        <v>98.58</v>
      </c>
      <c r="YG11" s="2">
        <v>98.3</v>
      </c>
      <c r="YH11" s="2">
        <v>97.56999999999999</v>
      </c>
      <c r="YI11" s="2">
        <v>98.09999999999999</v>
      </c>
      <c r="YJ11" s="2">
        <v>98.61</v>
      </c>
      <c r="YK11" s="2">
        <v>98.31999999999999</v>
      </c>
      <c r="YL11" s="2">
        <v>98.53</v>
      </c>
      <c r="YM11" s="2">
        <v>99.90000000000001</v>
      </c>
      <c r="YN11" s="2">
        <v>99.95</v>
      </c>
      <c r="YO11" s="2">
        <v>99.98</v>
      </c>
      <c r="YP11" s="2">
        <v>100.62</v>
      </c>
      <c r="ACI11" s="2">
        <v>0</v>
      </c>
      <c r="ACJ11" s="2">
        <v>0</v>
      </c>
      <c r="ACK11" s="2">
        <v>0</v>
      </c>
      <c r="ACL11" s="2">
        <v>0</v>
      </c>
      <c r="ACM11" s="2">
        <v>0</v>
      </c>
      <c r="ACN11" s="2">
        <v>0</v>
      </c>
      <c r="ACO11" s="2">
        <v>0</v>
      </c>
      <c r="ACP11" s="2">
        <v>0</v>
      </c>
      <c r="ACQ11" s="2">
        <v>21.8</v>
      </c>
      <c r="ACR11" s="2">
        <v>0</v>
      </c>
      <c r="ACS11" s="2">
        <v>0</v>
      </c>
      <c r="ACT11" s="2">
        <v>0</v>
      </c>
      <c r="ACU11" s="2">
        <v>40.9</v>
      </c>
      <c r="ACV11" s="2">
        <v>0</v>
      </c>
      <c r="ACW11" s="2">
        <v>0.3</v>
      </c>
      <c r="ACX11" s="2">
        <v>0</v>
      </c>
      <c r="ACY11" s="2">
        <v>0.9</v>
      </c>
      <c r="ACZ11" s="2">
        <v>0</v>
      </c>
      <c r="ADA11" s="2">
        <v>0</v>
      </c>
      <c r="ADB11" s="2">
        <v>0</v>
      </c>
      <c r="ADC11" s="2">
        <v>1.4</v>
      </c>
      <c r="ADD11" s="2">
        <v>-0.2</v>
      </c>
      <c r="ADE11" s="2">
        <v>0</v>
      </c>
      <c r="ADF11" s="2">
        <v>2.2</v>
      </c>
      <c r="ADG11" s="2">
        <v>1.2</v>
      </c>
      <c r="ADH11" s="2">
        <v>-0.8</v>
      </c>
      <c r="ADI11" s="2">
        <v>0</v>
      </c>
      <c r="ADJ11" s="2">
        <v>0</v>
      </c>
      <c r="ADK11" s="2">
        <v>1.6</v>
      </c>
      <c r="ADL11" s="2">
        <v>0.3</v>
      </c>
      <c r="ADM11" s="2">
        <v>1.6</v>
      </c>
      <c r="ADN11" s="2">
        <v>0</v>
      </c>
      <c r="ADO11" s="2">
        <v>-0.2</v>
      </c>
      <c r="ADP11" s="2">
        <v>0</v>
      </c>
      <c r="ADQ11" s="2">
        <v>-1</v>
      </c>
      <c r="ADR11" s="2">
        <v>2.2</v>
      </c>
      <c r="ADS11" s="2">
        <v>4.8</v>
      </c>
      <c r="ADT11" s="2">
        <v>3</v>
      </c>
      <c r="ADU11" s="2">
        <v>1.6</v>
      </c>
      <c r="ADV11" s="2">
        <v>2.8</v>
      </c>
      <c r="ADW11" s="2">
        <v>3.9</v>
      </c>
      <c r="ADX11" s="2">
        <v>0.1</v>
      </c>
      <c r="ADY11" s="2">
        <v>-0.1</v>
      </c>
      <c r="ADZ11" s="2">
        <v>0</v>
      </c>
      <c r="AEA11" s="2">
        <v>9.699999999999999</v>
      </c>
      <c r="AEB11" s="2">
        <v>0.1</v>
      </c>
      <c r="AEC11" s="2">
        <v>0</v>
      </c>
      <c r="AED11" s="2">
        <v>0</v>
      </c>
      <c r="AEE11" s="2">
        <v>0</v>
      </c>
      <c r="AEF11" s="2">
        <v>3</v>
      </c>
      <c r="AEG11" s="2">
        <v>2.2</v>
      </c>
      <c r="AEH11" s="2">
        <v>0</v>
      </c>
      <c r="AEI11" s="2">
        <v>1.8</v>
      </c>
      <c r="AEJ11" s="2">
        <v>0.8</v>
      </c>
      <c r="AEK11" s="2">
        <v>0</v>
      </c>
      <c r="AEL11" s="2">
        <v>0.8</v>
      </c>
      <c r="AEM11" s="2">
        <v>2.2</v>
      </c>
      <c r="AEN11" s="2">
        <v>0.7</v>
      </c>
      <c r="AEO11" s="2">
        <v>0.3</v>
      </c>
      <c r="AEP11" s="2">
        <v>5.6</v>
      </c>
      <c r="AEQ11" s="2">
        <v>1.8</v>
      </c>
      <c r="AER11" s="2">
        <v>-0.6</v>
      </c>
      <c r="AES11" s="2">
        <v>0</v>
      </c>
      <c r="AET11" s="2">
        <v>1</v>
      </c>
      <c r="AEU11" s="2">
        <v>2.5</v>
      </c>
      <c r="AEV11" s="2">
        <v>-1.2</v>
      </c>
      <c r="AEW11" s="2">
        <v>-2.2</v>
      </c>
      <c r="AEX11" s="2">
        <v>0</v>
      </c>
      <c r="AEY11" s="2">
        <v>0.9</v>
      </c>
      <c r="AEZ11" s="2">
        <v>0.2</v>
      </c>
      <c r="AFA11" s="2">
        <v>0.1</v>
      </c>
      <c r="AFB11" s="2">
        <v>2.2</v>
      </c>
      <c r="AFC11" s="2">
        <v>0.1</v>
      </c>
      <c r="AFD11" s="2">
        <v>0</v>
      </c>
      <c r="AFE11" s="2">
        <v>0.1</v>
      </c>
      <c r="AFF11" s="2">
        <v>4</v>
      </c>
      <c r="AFG11" s="2">
        <v>0</v>
      </c>
      <c r="AFH11" s="2">
        <v>0.7</v>
      </c>
      <c r="AFI11" s="2">
        <v>-0.7</v>
      </c>
      <c r="AFJ11" s="2">
        <v>-0.2</v>
      </c>
      <c r="AFK11" s="2">
        <v>0.4</v>
      </c>
      <c r="AFL11" s="2">
        <v>0</v>
      </c>
      <c r="AFM11" s="2">
        <v>-0.7</v>
      </c>
      <c r="AFN11" s="2">
        <v>-0.6</v>
      </c>
      <c r="AFO11" s="2">
        <v>-0.2</v>
      </c>
      <c r="AFP11" s="2">
        <v>1</v>
      </c>
      <c r="AFQ11" s="2">
        <v>0</v>
      </c>
      <c r="AFR11" s="2">
        <v>0</v>
      </c>
      <c r="AFS11" s="2">
        <v>1.1</v>
      </c>
      <c r="AFT11" s="2">
        <v>0</v>
      </c>
      <c r="AFU11" s="2">
        <v>-0.2</v>
      </c>
      <c r="AFV11" s="2">
        <v>0.1</v>
      </c>
      <c r="AFW11" s="2">
        <v>0</v>
      </c>
      <c r="AFX11" s="2">
        <v>-0.9</v>
      </c>
      <c r="AFY11" s="2">
        <v>-0.1</v>
      </c>
      <c r="AFZ11" s="2">
        <v>0</v>
      </c>
      <c r="AGA11" s="2">
        <v>-0.4</v>
      </c>
      <c r="AGB11" s="2">
        <v>0.1</v>
      </c>
      <c r="AGC11" s="2">
        <v>0</v>
      </c>
      <c r="AGD11" s="2">
        <v>0.1</v>
      </c>
      <c r="AGE11" s="2">
        <v>0.3</v>
      </c>
      <c r="AGF11" s="2">
        <v>0</v>
      </c>
      <c r="AGG11" s="2">
        <v>-0.7</v>
      </c>
      <c r="AGH11" s="2">
        <v>-0.8</v>
      </c>
      <c r="AGI11" s="2">
        <v>-1</v>
      </c>
      <c r="AGJ11" s="2">
        <v>-2.8</v>
      </c>
      <c r="AGK11" s="2">
        <v>-0.3</v>
      </c>
      <c r="AGL11" s="2">
        <v>-3.2</v>
      </c>
      <c r="AGM11" s="2">
        <v>-0.4</v>
      </c>
      <c r="AGN11" s="2">
        <v>0.2</v>
      </c>
      <c r="AGO11" s="2">
        <v>1.3</v>
      </c>
      <c r="AGP11" s="2">
        <v>6.9</v>
      </c>
      <c r="AGQ11" s="2">
        <v>-0.7</v>
      </c>
      <c r="AGR11" s="2">
        <v>-0.5</v>
      </c>
      <c r="AGS11" s="2">
        <v>-0.6</v>
      </c>
      <c r="AGT11" s="2">
        <v>-0.2</v>
      </c>
      <c r="AGU11" s="2">
        <v>1.8</v>
      </c>
      <c r="AGV11" s="2">
        <v>0</v>
      </c>
      <c r="AGW11" s="2">
        <v>0.8</v>
      </c>
      <c r="AGX11" s="2">
        <v>1.5</v>
      </c>
      <c r="AGY11" s="2">
        <v>0.5</v>
      </c>
      <c r="AGZ11" s="2">
        <v>0.3</v>
      </c>
      <c r="AHA11" s="2">
        <v>0.2</v>
      </c>
      <c r="AHB11" s="2">
        <v>0.7</v>
      </c>
      <c r="AHC11" s="2">
        <v>0.2</v>
      </c>
      <c r="AHD11" s="2">
        <v>0</v>
      </c>
      <c r="AHE11" s="2">
        <v>0.4</v>
      </c>
      <c r="AHF11" s="2">
        <v>0.4</v>
      </c>
      <c r="AHG11" s="2">
        <v>0.2</v>
      </c>
      <c r="AHH11" s="2">
        <v>0.4</v>
      </c>
      <c r="AHI11" s="2">
        <v>-0.9</v>
      </c>
      <c r="AHJ11" s="2">
        <v>-0.7</v>
      </c>
      <c r="AHK11" s="2">
        <v>-0.7</v>
      </c>
      <c r="AHL11" s="2">
        <v>0.4</v>
      </c>
      <c r="AHM11" s="2">
        <v>0.1</v>
      </c>
      <c r="AHN11" s="2">
        <v>0.6</v>
      </c>
      <c r="AHO11" s="2">
        <v>0.5</v>
      </c>
      <c r="AHP11" s="2">
        <v>0.2</v>
      </c>
      <c r="AHQ11" s="2">
        <v>0.2</v>
      </c>
      <c r="AHR11" s="2">
        <v>0</v>
      </c>
      <c r="AHS11" s="2">
        <v>0</v>
      </c>
      <c r="AHT11" s="2">
        <v>-0.1</v>
      </c>
      <c r="AHU11" s="2">
        <v>0.1</v>
      </c>
      <c r="AHV11" s="2">
        <v>0.2</v>
      </c>
      <c r="AHW11" s="2">
        <v>0.4</v>
      </c>
      <c r="AHX11" s="2">
        <v>0.4</v>
      </c>
      <c r="AHY11" s="2">
        <v>0.2</v>
      </c>
      <c r="AHZ11" s="2">
        <v>0</v>
      </c>
      <c r="AIA11" s="2">
        <v>-0.1</v>
      </c>
      <c r="AIB11" s="2">
        <v>-0.1</v>
      </c>
      <c r="AIC11" s="2">
        <v>0</v>
      </c>
      <c r="AID11" s="2">
        <v>-0.3</v>
      </c>
      <c r="AIE11" s="2">
        <v>0</v>
      </c>
      <c r="AIF11" s="2">
        <v>0.2</v>
      </c>
      <c r="AIG11" s="2">
        <v>0.4</v>
      </c>
      <c r="AIH11" s="2">
        <v>0</v>
      </c>
      <c r="AII11" s="2">
        <v>1</v>
      </c>
      <c r="AIJ11" s="2">
        <v>0.1</v>
      </c>
      <c r="AIK11" s="2">
        <v>-0.3</v>
      </c>
      <c r="AIL11" s="2">
        <v>0.5</v>
      </c>
      <c r="AIM11" s="2">
        <v>1.3</v>
      </c>
      <c r="AIN11" s="2">
        <v>0</v>
      </c>
      <c r="AIO11" s="2">
        <v>0.4</v>
      </c>
      <c r="AIP11" s="2">
        <v>0.1</v>
      </c>
      <c r="AIQ11" s="2">
        <v>1.2</v>
      </c>
      <c r="AIR11" s="2">
        <v>0.2</v>
      </c>
      <c r="AIS11" s="2">
        <v>-1.7</v>
      </c>
      <c r="AIT11" s="2">
        <v>-1.4</v>
      </c>
      <c r="AIU11" s="2">
        <v>-0.1</v>
      </c>
      <c r="AIV11" s="2">
        <v>-1.3</v>
      </c>
      <c r="AIW11" s="2">
        <v>-0.6</v>
      </c>
      <c r="AIX11" s="2">
        <v>-2</v>
      </c>
      <c r="AIY11" s="2">
        <v>-2.4</v>
      </c>
      <c r="AIZ11" s="2">
        <v>-1.5</v>
      </c>
      <c r="AJA11" s="2">
        <v>-1.5</v>
      </c>
      <c r="AJB11" s="2">
        <v>-2.3</v>
      </c>
      <c r="AJC11" s="2">
        <v>-0.7</v>
      </c>
      <c r="AJD11" s="2">
        <v>-0.4</v>
      </c>
      <c r="AJE11" s="2">
        <v>-0.5</v>
      </c>
      <c r="AJF11" s="2">
        <v>-1.4</v>
      </c>
      <c r="AJG11" s="2">
        <v>-1.3</v>
      </c>
      <c r="AJH11" s="2">
        <v>-0.3</v>
      </c>
      <c r="AJI11" s="2">
        <v>-1.3</v>
      </c>
      <c r="AJJ11" s="2">
        <v>-1.4</v>
      </c>
      <c r="AJK11" s="2">
        <v>-1.4</v>
      </c>
      <c r="AJL11" s="2">
        <v>-0.5</v>
      </c>
      <c r="AJM11" s="2">
        <v>-1.2</v>
      </c>
      <c r="AJN11" s="2">
        <v>-1.1</v>
      </c>
      <c r="AJO11" s="2">
        <v>-1</v>
      </c>
      <c r="AJP11" s="2">
        <v>-0.2</v>
      </c>
      <c r="AJQ11" s="2">
        <v>-1.3</v>
      </c>
      <c r="AJR11" s="2">
        <v>-0.8</v>
      </c>
      <c r="AJS11" s="2">
        <v>-0.3</v>
      </c>
      <c r="AJT11" s="2">
        <v>0.4</v>
      </c>
      <c r="AJU11" s="2">
        <v>-0.6</v>
      </c>
      <c r="AJV11" s="2">
        <v>-0.6</v>
      </c>
      <c r="AJW11" s="2">
        <v>0.2</v>
      </c>
      <c r="AJX11" s="2">
        <v>0.3</v>
      </c>
      <c r="AJY11" s="2">
        <v>0.1</v>
      </c>
      <c r="AJZ11" s="2">
        <v>1.4</v>
      </c>
      <c r="AKA11" s="2">
        <v>-0.4</v>
      </c>
      <c r="AKB11" s="2">
        <v>0.2</v>
      </c>
      <c r="AKC11" s="2">
        <v>-0.5</v>
      </c>
      <c r="AKD11" s="2">
        <v>2.1</v>
      </c>
      <c r="AKE11" s="2">
        <v>0.3</v>
      </c>
      <c r="AKF11" s="2">
        <v>-0.3</v>
      </c>
      <c r="AKG11" s="2">
        <v>-0.7</v>
      </c>
      <c r="AKH11" s="2">
        <v>0.5</v>
      </c>
      <c r="AKI11" s="2">
        <v>0.5</v>
      </c>
      <c r="AKJ11" s="2">
        <v>-0.3</v>
      </c>
      <c r="AKK11" s="2">
        <v>0.2</v>
      </c>
      <c r="AKL11" s="2">
        <v>1.4</v>
      </c>
      <c r="AKM11" s="2">
        <v>0.1</v>
      </c>
      <c r="AKN11" s="2">
        <v>0</v>
      </c>
      <c r="AKO11" s="2">
        <v>0.6</v>
      </c>
      <c r="AKP11" s="2">
        <v>2.09</v>
      </c>
      <c r="AKQ11" s="2">
        <v>2.09</v>
      </c>
      <c r="AKR11" s="2">
        <v>2.1</v>
      </c>
    </row>
    <row r="12">
      <c r="A12" t="inlineStr">
        <is>
          <t>Recreation and culture</t>
        </is>
      </c>
      <c r="B12" t="inlineStr">
        <is>
          <t>All groups CPI</t>
        </is>
      </c>
      <c r="C12">
        <v>1</v>
      </c>
      <c r="D12">
        <v>13.09</v>
      </c>
      <c r="E12" s="3">
        <f>D12/100.0*1.0</f>
        <v>0.1309</v>
      </c>
      <c r="F12" s="3">
        <f>E12-D12/100</f>
        <v>0.0</v>
      </c>
      <c r="G12" s="3">
        <f>D12/100.0</f>
        <v>0.1309</v>
      </c>
      <c r="CI12" s="2">
        <v>95.51000000000001</v>
      </c>
      <c r="CJ12" s="2">
        <v>94.56</v>
      </c>
      <c r="CK12" s="2">
        <v>97.56999999999999</v>
      </c>
      <c r="CL12" s="2">
        <v>96.73</v>
      </c>
      <c r="CM12" s="2">
        <v>96.51000000000001</v>
      </c>
      <c r="CN12" s="2">
        <v>98.25</v>
      </c>
      <c r="CO12" s="2">
        <v>96.78</v>
      </c>
      <c r="CP12" s="2">
        <v>96.87</v>
      </c>
      <c r="CQ12" s="2">
        <v>101.6</v>
      </c>
      <c r="CR12" s="2">
        <v>98.87</v>
      </c>
      <c r="CS12" s="2">
        <v>95.51000000000001</v>
      </c>
      <c r="CT12" s="2">
        <v>96.01000000000001</v>
      </c>
      <c r="CU12" s="2">
        <v>98.79000000000001</v>
      </c>
      <c r="CV12" s="2">
        <v>95.84999999999999</v>
      </c>
      <c r="CW12" s="2">
        <v>96.68000000000001</v>
      </c>
      <c r="CX12" s="2">
        <v>99.09999999999999</v>
      </c>
      <c r="CY12" s="2">
        <v>97.84</v>
      </c>
      <c r="CZ12" s="2">
        <v>100</v>
      </c>
      <c r="DA12" s="2">
        <v>99.84</v>
      </c>
      <c r="DB12" s="2">
        <v>98.77</v>
      </c>
      <c r="DC12" s="2">
        <v>106.05</v>
      </c>
      <c r="DD12" s="2">
        <v>102.48</v>
      </c>
      <c r="DE12" s="2">
        <v>99.44</v>
      </c>
      <c r="DF12" s="2">
        <v>98.73999999999999</v>
      </c>
      <c r="DG12" s="2">
        <v>101.26</v>
      </c>
      <c r="DH12" s="2">
        <v>98.14</v>
      </c>
      <c r="DI12" s="2">
        <v>99.91</v>
      </c>
      <c r="DJ12" s="2">
        <v>101.67</v>
      </c>
      <c r="GL12" s="2">
        <v>3.4</v>
      </c>
      <c r="GM12" s="2">
        <v>1.4</v>
      </c>
      <c r="GN12" s="2">
        <v>-0.9</v>
      </c>
      <c r="GO12" s="2">
        <v>2.5</v>
      </c>
      <c r="GP12" s="2">
        <v>1.4</v>
      </c>
      <c r="GQ12" s="2">
        <v>1.8</v>
      </c>
      <c r="GR12" s="2">
        <v>3.2</v>
      </c>
      <c r="GS12" s="2">
        <v>2</v>
      </c>
      <c r="GT12" s="2">
        <v>4.4</v>
      </c>
      <c r="GU12" s="2">
        <v>3.7</v>
      </c>
      <c r="GV12" s="2">
        <v>4.1</v>
      </c>
      <c r="GW12" s="2">
        <v>2.8</v>
      </c>
      <c r="GX12" s="2">
        <v>2.5</v>
      </c>
      <c r="GY12" s="2">
        <v>2.4</v>
      </c>
      <c r="GZ12" s="2">
        <v>3.3</v>
      </c>
      <c r="HA12" s="2">
        <v>2.6</v>
      </c>
      <c r="KC12" s="2">
        <v>-1</v>
      </c>
      <c r="KD12" s="2">
        <v>3.2</v>
      </c>
      <c r="KE12" s="2">
        <v>-0.9</v>
      </c>
      <c r="KF12" s="2">
        <v>-0.2</v>
      </c>
      <c r="KG12" s="2">
        <v>1.8</v>
      </c>
      <c r="KH12" s="2">
        <v>-1.5</v>
      </c>
      <c r="KI12" s="2">
        <v>0.1</v>
      </c>
      <c r="KJ12" s="2">
        <v>4.9</v>
      </c>
      <c r="KK12" s="2">
        <v>-2.7</v>
      </c>
      <c r="KL12" s="2">
        <v>-3.4</v>
      </c>
      <c r="KM12" s="2">
        <v>0.5</v>
      </c>
      <c r="KN12" s="2">
        <v>2.9</v>
      </c>
      <c r="KO12" s="2">
        <v>-3</v>
      </c>
      <c r="KP12" s="2">
        <v>0.9</v>
      </c>
      <c r="KQ12" s="2">
        <v>2.5</v>
      </c>
      <c r="KR12" s="2">
        <v>-1.3</v>
      </c>
      <c r="KS12" s="2">
        <v>2.2</v>
      </c>
      <c r="KT12" s="2">
        <v>-0.2</v>
      </c>
      <c r="KU12" s="2">
        <v>-1.1</v>
      </c>
      <c r="KV12" s="2">
        <v>7.4</v>
      </c>
      <c r="KW12" s="2">
        <v>-3.4</v>
      </c>
      <c r="KX12" s="2">
        <v>-3</v>
      </c>
      <c r="KY12" s="2">
        <v>-0.7</v>
      </c>
      <c r="KZ12" s="2">
        <v>2.6</v>
      </c>
      <c r="LA12" s="2">
        <v>-3.1</v>
      </c>
      <c r="LB12" s="2">
        <v>1.8</v>
      </c>
      <c r="LC12" s="2">
        <v>1.8</v>
      </c>
      <c r="LD12" s="2">
        <v>12.74</v>
      </c>
      <c r="LE12" s="2">
        <v>12.4</v>
      </c>
      <c r="LF12" s="2">
        <v>11.97</v>
      </c>
      <c r="LG12" s="2">
        <v>12.04</v>
      </c>
      <c r="LH12" s="2">
        <v>12.39</v>
      </c>
      <c r="LI12" s="2">
        <v>12.02</v>
      </c>
      <c r="LJ12" s="2">
        <v>12.12</v>
      </c>
      <c r="LK12" s="2">
        <v>12.42</v>
      </c>
      <c r="LL12" s="2">
        <v>12.27</v>
      </c>
      <c r="LM12" s="2">
        <v>12.54</v>
      </c>
      <c r="LN12" s="2">
        <v>12.52</v>
      </c>
      <c r="LO12" s="2">
        <v>12.38</v>
      </c>
      <c r="LP12" s="2">
        <v>13.3</v>
      </c>
      <c r="LQ12" s="2">
        <v>12.85</v>
      </c>
      <c r="LR12" s="2">
        <v>12.47</v>
      </c>
      <c r="LS12" s="2">
        <v>12.38</v>
      </c>
      <c r="LT12" s="2">
        <v>12.7</v>
      </c>
      <c r="LU12" s="2">
        <v>12.3</v>
      </c>
      <c r="LV12" s="2">
        <v>12.53</v>
      </c>
      <c r="LW12" s="2">
        <v>12.75</v>
      </c>
      <c r="LX12" s="2">
        <v>-0.34</v>
      </c>
      <c r="LY12" s="2">
        <v>-0.43</v>
      </c>
      <c r="LZ12" s="2">
        <v>0.07000000000000001</v>
      </c>
      <c r="MA12" s="2">
        <v>0.35</v>
      </c>
      <c r="MB12" s="2">
        <v>-0.37</v>
      </c>
      <c r="MC12" s="2">
        <v>0.1</v>
      </c>
      <c r="MD12" s="2">
        <v>0.3</v>
      </c>
      <c r="ME12" s="2">
        <v>-0.15</v>
      </c>
      <c r="MF12" s="2">
        <v>0.27</v>
      </c>
      <c r="MG12" s="2">
        <v>-0.02</v>
      </c>
      <c r="MH12" s="2">
        <v>-0.14</v>
      </c>
      <c r="MI12" s="2">
        <v>0.92</v>
      </c>
      <c r="MJ12" s="2">
        <v>-0.45</v>
      </c>
      <c r="MK12" s="2">
        <v>-0.38</v>
      </c>
      <c r="ML12" s="2">
        <v>-0.09</v>
      </c>
      <c r="MM12" s="2">
        <v>0.32</v>
      </c>
      <c r="MN12" s="2">
        <v>-0.4</v>
      </c>
      <c r="MO12" s="2">
        <v>0.23</v>
      </c>
      <c r="MP12" s="2">
        <v>0.22</v>
      </c>
      <c r="SY12" s="2">
        <v>56.34</v>
      </c>
      <c r="SZ12" s="2">
        <v>58.02</v>
      </c>
      <c r="TA12" s="2">
        <v>58.48</v>
      </c>
      <c r="TB12" s="2">
        <v>59.12</v>
      </c>
      <c r="TC12" s="2">
        <v>59.35</v>
      </c>
      <c r="TD12" s="2">
        <v>61.55</v>
      </c>
      <c r="TE12" s="2">
        <v>60.97</v>
      </c>
      <c r="TF12" s="2">
        <v>60.45</v>
      </c>
      <c r="TG12" s="2">
        <v>61.15</v>
      </c>
      <c r="TH12" s="2">
        <v>61.84</v>
      </c>
      <c r="TI12" s="2">
        <v>61.03</v>
      </c>
      <c r="TJ12" s="2">
        <v>60.97</v>
      </c>
      <c r="TK12" s="2">
        <v>61.26</v>
      </c>
      <c r="TL12" s="2">
        <v>62.08</v>
      </c>
      <c r="TM12" s="2">
        <v>62.25</v>
      </c>
      <c r="TN12" s="2">
        <v>62.6</v>
      </c>
      <c r="TO12" s="2">
        <v>62.83</v>
      </c>
      <c r="TP12" s="2">
        <v>63.64</v>
      </c>
      <c r="TQ12" s="2">
        <v>63.23</v>
      </c>
      <c r="TR12" s="2">
        <v>63.81</v>
      </c>
      <c r="TS12" s="2">
        <v>63.87</v>
      </c>
      <c r="TT12" s="2">
        <v>64.73999999999999</v>
      </c>
      <c r="TU12" s="2">
        <v>64.97</v>
      </c>
      <c r="TV12" s="2">
        <v>65.38</v>
      </c>
      <c r="TW12" s="2">
        <v>65.5</v>
      </c>
      <c r="TX12" s="2">
        <v>66.31</v>
      </c>
      <c r="TY12" s="2">
        <v>66.77</v>
      </c>
      <c r="TZ12" s="2">
        <v>66.06999999999999</v>
      </c>
      <c r="UA12" s="2">
        <v>66.06999999999999</v>
      </c>
      <c r="UB12" s="2">
        <v>66.48</v>
      </c>
      <c r="UC12" s="2">
        <v>67.12</v>
      </c>
      <c r="UD12" s="2">
        <v>66.94</v>
      </c>
      <c r="UE12" s="2">
        <v>67.64</v>
      </c>
      <c r="UF12" s="2">
        <v>67.87</v>
      </c>
      <c r="UG12" s="2">
        <v>68.73999999999999</v>
      </c>
      <c r="UH12" s="2">
        <v>68.8</v>
      </c>
      <c r="UI12" s="2">
        <v>68.45</v>
      </c>
      <c r="UJ12" s="2">
        <v>69.15000000000001</v>
      </c>
      <c r="UK12" s="2">
        <v>69.67</v>
      </c>
      <c r="UL12" s="2">
        <v>69.44</v>
      </c>
      <c r="UM12" s="2">
        <v>69.78</v>
      </c>
      <c r="UN12" s="2">
        <v>70.13</v>
      </c>
      <c r="UO12" s="2">
        <v>69.67</v>
      </c>
      <c r="UP12" s="2">
        <v>69.55</v>
      </c>
      <c r="UQ12" s="2">
        <v>72.31999999999999</v>
      </c>
      <c r="UR12" s="2">
        <v>72.22</v>
      </c>
      <c r="US12" s="2">
        <v>72.13</v>
      </c>
      <c r="UT12" s="2">
        <v>72.06999999999999</v>
      </c>
      <c r="UU12" s="2">
        <v>72.66</v>
      </c>
      <c r="UV12" s="2">
        <v>73.90000000000001</v>
      </c>
      <c r="UW12" s="2">
        <v>75.59999999999999</v>
      </c>
      <c r="UX12" s="2">
        <v>76.01000000000001</v>
      </c>
      <c r="UY12" s="2">
        <v>76.38</v>
      </c>
      <c r="UZ12" s="2">
        <v>76.43000000000001</v>
      </c>
      <c r="VA12" s="2">
        <v>76.73</v>
      </c>
      <c r="VB12" s="2">
        <v>76.2</v>
      </c>
      <c r="VC12" s="2">
        <v>75.36</v>
      </c>
      <c r="VD12" s="2">
        <v>75.97</v>
      </c>
      <c r="VE12" s="2">
        <v>75.15000000000001</v>
      </c>
      <c r="VF12" s="2">
        <v>74.93000000000001</v>
      </c>
      <c r="VG12" s="2">
        <v>75.27</v>
      </c>
      <c r="VH12" s="2">
        <v>75.90000000000001</v>
      </c>
      <c r="VI12" s="2">
        <v>76.37</v>
      </c>
      <c r="VJ12" s="2">
        <v>75.40000000000001</v>
      </c>
      <c r="VK12" s="2">
        <v>76.31</v>
      </c>
      <c r="VL12" s="2">
        <v>76.33</v>
      </c>
      <c r="VM12" s="2">
        <v>76.81999999999999</v>
      </c>
      <c r="VN12" s="2">
        <v>76.52</v>
      </c>
      <c r="VO12" s="2">
        <v>77.11</v>
      </c>
      <c r="VP12" s="2">
        <v>78.12</v>
      </c>
      <c r="VQ12" s="2">
        <v>77.61</v>
      </c>
      <c r="VR12" s="2">
        <v>77.23999999999999</v>
      </c>
      <c r="VS12" s="2">
        <v>78.31</v>
      </c>
      <c r="VT12" s="2">
        <v>78.97</v>
      </c>
      <c r="VU12" s="2">
        <v>78.70999999999999</v>
      </c>
      <c r="VV12" s="2">
        <v>78.51000000000001</v>
      </c>
      <c r="VW12" s="2">
        <v>79.56</v>
      </c>
      <c r="VX12" s="2">
        <v>79.98</v>
      </c>
      <c r="VY12" s="2">
        <v>79.09</v>
      </c>
      <c r="VZ12" s="2">
        <v>79.04000000000001</v>
      </c>
      <c r="WA12" s="2">
        <v>79.61</v>
      </c>
      <c r="WB12" s="2">
        <v>80.83</v>
      </c>
      <c r="WC12" s="2">
        <v>80.05</v>
      </c>
      <c r="WD12" s="2">
        <v>78.62</v>
      </c>
      <c r="WE12" s="2">
        <v>79.14</v>
      </c>
      <c r="WF12" s="2">
        <v>79.29000000000001</v>
      </c>
      <c r="WG12" s="2">
        <v>78.81999999999999</v>
      </c>
      <c r="WH12" s="2">
        <v>78.38</v>
      </c>
      <c r="WI12" s="2">
        <v>79.08</v>
      </c>
      <c r="WJ12" s="2">
        <v>79.68000000000001</v>
      </c>
      <c r="WK12" s="2">
        <v>78.16</v>
      </c>
      <c r="WL12" s="2">
        <v>77.15000000000001</v>
      </c>
      <c r="WM12" s="2">
        <v>77.84999999999999</v>
      </c>
      <c r="WN12" s="2">
        <v>78.39</v>
      </c>
      <c r="WO12" s="2">
        <v>77.73</v>
      </c>
      <c r="WP12" s="2">
        <v>77.13</v>
      </c>
      <c r="WQ12" s="2">
        <v>78.63</v>
      </c>
      <c r="WR12" s="2">
        <v>80.23</v>
      </c>
      <c r="WS12" s="2">
        <v>79.84999999999999</v>
      </c>
      <c r="WT12" s="2">
        <v>79.64</v>
      </c>
      <c r="WU12" s="2">
        <v>80.06</v>
      </c>
      <c r="WV12" s="2">
        <v>80.88</v>
      </c>
      <c r="WW12" s="2">
        <v>81.40000000000001</v>
      </c>
      <c r="WX12" s="2">
        <v>80.29000000000001</v>
      </c>
      <c r="WY12" s="2">
        <v>80.91</v>
      </c>
      <c r="WZ12" s="2">
        <v>82.28</v>
      </c>
      <c r="XA12" s="2">
        <v>81.48</v>
      </c>
      <c r="XB12" s="2">
        <v>80.98</v>
      </c>
      <c r="XC12" s="2">
        <v>81.42</v>
      </c>
      <c r="XD12" s="2">
        <v>81.90000000000001</v>
      </c>
      <c r="XE12" s="2">
        <v>81.34999999999999</v>
      </c>
      <c r="XF12" s="2">
        <v>80.91</v>
      </c>
      <c r="XG12" s="2">
        <v>81.89</v>
      </c>
      <c r="XH12" s="2">
        <v>82.40000000000001</v>
      </c>
      <c r="XI12" s="2">
        <v>81.81999999999999</v>
      </c>
      <c r="XJ12" s="2">
        <v>81.52</v>
      </c>
      <c r="XK12" s="2">
        <v>82.81999999999999</v>
      </c>
      <c r="XL12" s="2">
        <v>83.8</v>
      </c>
      <c r="XM12" s="2">
        <v>82.53</v>
      </c>
      <c r="XN12" s="2">
        <v>82.95999999999999</v>
      </c>
      <c r="XO12" s="2">
        <v>84.28</v>
      </c>
      <c r="XP12" s="2">
        <v>85.06</v>
      </c>
      <c r="XQ12" s="2">
        <v>83.59999999999999</v>
      </c>
      <c r="XR12" s="2">
        <v>82.73</v>
      </c>
      <c r="XS12" s="2">
        <v>83.67</v>
      </c>
      <c r="XT12" s="2">
        <v>85.06</v>
      </c>
      <c r="XU12" s="2">
        <v>84.87</v>
      </c>
      <c r="XV12" s="2">
        <v>84.83</v>
      </c>
      <c r="XW12" s="2">
        <v>85.58</v>
      </c>
      <c r="XX12" s="2">
        <v>86.8</v>
      </c>
      <c r="XY12" s="2">
        <v>87.42</v>
      </c>
      <c r="XZ12" s="2">
        <v>88.68000000000001</v>
      </c>
      <c r="YA12" s="2">
        <v>89.81</v>
      </c>
      <c r="YB12" s="2">
        <v>94.69</v>
      </c>
      <c r="YC12" s="2">
        <v>94.95999999999999</v>
      </c>
      <c r="YD12" s="2">
        <v>94.70999999999999</v>
      </c>
      <c r="YE12" s="2">
        <v>94.83</v>
      </c>
      <c r="YF12" s="2">
        <v>95.19</v>
      </c>
      <c r="YG12" s="2">
        <v>95.12</v>
      </c>
      <c r="YH12" s="2">
        <v>95.55</v>
      </c>
      <c r="YI12" s="2">
        <v>96.83</v>
      </c>
      <c r="YJ12" s="2">
        <v>98.34</v>
      </c>
      <c r="YK12" s="2">
        <v>96.77</v>
      </c>
      <c r="YL12" s="2">
        <v>97.16</v>
      </c>
      <c r="YM12" s="2">
        <v>98.98</v>
      </c>
      <c r="YN12" s="2">
        <v>101.55</v>
      </c>
      <c r="YO12" s="2">
        <v>100.22</v>
      </c>
      <c r="YP12" s="2">
        <v>99.77</v>
      </c>
      <c r="AEY12" s="2">
        <v>3</v>
      </c>
      <c r="AEZ12" s="2">
        <v>0.8</v>
      </c>
      <c r="AFA12" s="2">
        <v>1.1</v>
      </c>
      <c r="AFB12" s="2">
        <v>0.4</v>
      </c>
      <c r="AFC12" s="2">
        <v>3.7</v>
      </c>
      <c r="AFD12" s="2">
        <v>-0.9</v>
      </c>
      <c r="AFE12" s="2">
        <v>-0.9</v>
      </c>
      <c r="AFF12" s="2">
        <v>1.2</v>
      </c>
      <c r="AFG12" s="2">
        <v>1.1</v>
      </c>
      <c r="AFH12" s="2">
        <v>-1.3</v>
      </c>
      <c r="AFI12" s="2">
        <v>-0.1</v>
      </c>
      <c r="AFJ12" s="2">
        <v>0.5</v>
      </c>
      <c r="AFK12" s="2">
        <v>1.3</v>
      </c>
      <c r="AFL12" s="2">
        <v>0.3</v>
      </c>
      <c r="AFM12" s="2">
        <v>0.6</v>
      </c>
      <c r="AFN12" s="2">
        <v>0.4</v>
      </c>
      <c r="AFO12" s="2">
        <v>1.3</v>
      </c>
      <c r="AFP12" s="2">
        <v>-0.6</v>
      </c>
      <c r="AFQ12" s="2">
        <v>0.9</v>
      </c>
      <c r="AFR12" s="2">
        <v>0.1</v>
      </c>
      <c r="AFS12" s="2">
        <v>1.4</v>
      </c>
      <c r="AFT12" s="2">
        <v>0.4</v>
      </c>
      <c r="AFU12" s="2">
        <v>0.6</v>
      </c>
      <c r="AFV12" s="2">
        <v>0.2</v>
      </c>
      <c r="AFW12" s="2">
        <v>1.2</v>
      </c>
      <c r="AFX12" s="2">
        <v>0.7</v>
      </c>
      <c r="AFY12" s="2">
        <v>-1</v>
      </c>
      <c r="AFZ12" s="2">
        <v>0</v>
      </c>
      <c r="AGA12" s="2">
        <v>0.6</v>
      </c>
      <c r="AGB12" s="2">
        <v>1</v>
      </c>
      <c r="AGC12" s="2">
        <v>-0.3</v>
      </c>
      <c r="AGD12" s="2">
        <v>1</v>
      </c>
      <c r="AGE12" s="2">
        <v>0.3</v>
      </c>
      <c r="AGF12" s="2">
        <v>1.3</v>
      </c>
      <c r="AGG12" s="2">
        <v>0.1</v>
      </c>
      <c r="AGH12" s="2">
        <v>-0.5</v>
      </c>
      <c r="AGI12" s="2">
        <v>1</v>
      </c>
      <c r="AGJ12" s="2">
        <v>0.8</v>
      </c>
      <c r="AGK12" s="2">
        <v>-0.3</v>
      </c>
      <c r="AGL12" s="2">
        <v>0.5</v>
      </c>
      <c r="AGM12" s="2">
        <v>0.5</v>
      </c>
      <c r="AGN12" s="2">
        <v>-0.7</v>
      </c>
      <c r="AGO12" s="2">
        <v>-0.2</v>
      </c>
      <c r="AGP12" s="2">
        <v>4</v>
      </c>
      <c r="AGQ12" s="2">
        <v>-0.1</v>
      </c>
      <c r="AGR12" s="2">
        <v>-0.1</v>
      </c>
      <c r="AGS12" s="2">
        <v>-0.1</v>
      </c>
      <c r="AGT12" s="2">
        <v>0.8</v>
      </c>
      <c r="AGU12" s="2">
        <v>1.7</v>
      </c>
      <c r="AGV12" s="2">
        <v>2.3</v>
      </c>
      <c r="AGW12" s="2">
        <v>0.5</v>
      </c>
      <c r="AGX12" s="2">
        <v>0.5</v>
      </c>
      <c r="AGY12" s="2">
        <v>0.1</v>
      </c>
      <c r="AGZ12" s="2">
        <v>0.4</v>
      </c>
      <c r="AHA12" s="2">
        <v>-0.7</v>
      </c>
      <c r="AHB12" s="2">
        <v>-1.1</v>
      </c>
      <c r="AHC12" s="2">
        <v>0.8</v>
      </c>
      <c r="AHD12" s="2">
        <v>-1.1</v>
      </c>
      <c r="AHE12" s="2">
        <v>-0.3</v>
      </c>
      <c r="AHF12" s="2">
        <v>0.5</v>
      </c>
      <c r="AHG12" s="2">
        <v>0.8</v>
      </c>
      <c r="AHH12" s="2">
        <v>0.6</v>
      </c>
      <c r="AHI12" s="2">
        <v>-1.3</v>
      </c>
      <c r="AHJ12" s="2">
        <v>1.2</v>
      </c>
      <c r="AHK12" s="2">
        <v>0</v>
      </c>
      <c r="AHL12" s="2">
        <v>0.6</v>
      </c>
      <c r="AHM12" s="2">
        <v>-0.4</v>
      </c>
      <c r="AHN12" s="2">
        <v>0.8</v>
      </c>
      <c r="AHO12" s="2">
        <v>1.3</v>
      </c>
      <c r="AHP12" s="2">
        <v>-0.7</v>
      </c>
      <c r="AHQ12" s="2">
        <v>-0.5</v>
      </c>
      <c r="AHR12" s="2">
        <v>1.4</v>
      </c>
      <c r="AHS12" s="2">
        <v>0.8</v>
      </c>
      <c r="AHT12" s="2">
        <v>-0.3</v>
      </c>
      <c r="AHU12" s="2">
        <v>-0.3</v>
      </c>
      <c r="AHV12" s="2">
        <v>1.3</v>
      </c>
      <c r="AHW12" s="2">
        <v>0.5</v>
      </c>
      <c r="AHX12" s="2">
        <v>-1.1</v>
      </c>
      <c r="AHY12" s="2">
        <v>-0.1</v>
      </c>
      <c r="AHZ12" s="2">
        <v>0.7</v>
      </c>
      <c r="AIA12" s="2">
        <v>1.5</v>
      </c>
      <c r="AIB12" s="2">
        <v>-1</v>
      </c>
      <c r="AIC12" s="2">
        <v>-1.8</v>
      </c>
      <c r="AID12" s="2">
        <v>0.7</v>
      </c>
      <c r="AIE12" s="2">
        <v>0.2</v>
      </c>
      <c r="AIF12" s="2">
        <v>-0.6</v>
      </c>
      <c r="AIG12" s="2">
        <v>-0.6</v>
      </c>
      <c r="AIH12" s="2">
        <v>0.9</v>
      </c>
      <c r="AII12" s="2">
        <v>0.8</v>
      </c>
      <c r="AIJ12" s="2">
        <v>-1.9</v>
      </c>
      <c r="AIK12" s="2">
        <v>-1.3</v>
      </c>
      <c r="AIL12" s="2">
        <v>0.9</v>
      </c>
      <c r="AIM12" s="2">
        <v>0.7</v>
      </c>
      <c r="AIN12" s="2">
        <v>-0.8</v>
      </c>
      <c r="AIO12" s="2">
        <v>-0.8</v>
      </c>
      <c r="AIP12" s="2">
        <v>1.9</v>
      </c>
      <c r="AIQ12" s="2">
        <v>2</v>
      </c>
      <c r="AIR12" s="2">
        <v>-0.5</v>
      </c>
      <c r="AIS12" s="2">
        <v>-0.3</v>
      </c>
      <c r="AIT12" s="2">
        <v>0.5</v>
      </c>
      <c r="AIU12" s="2">
        <v>1</v>
      </c>
      <c r="AIV12" s="2">
        <v>0.6</v>
      </c>
      <c r="AIW12" s="2">
        <v>-1.4</v>
      </c>
      <c r="AIX12" s="2">
        <v>0.8</v>
      </c>
      <c r="AIY12" s="2">
        <v>1.7</v>
      </c>
      <c r="AIZ12" s="2">
        <v>-1</v>
      </c>
      <c r="AJA12" s="2">
        <v>-0.6</v>
      </c>
      <c r="AJB12" s="2">
        <v>0.5</v>
      </c>
      <c r="AJC12" s="2">
        <v>0.6</v>
      </c>
      <c r="AJD12" s="2">
        <v>-0.7</v>
      </c>
      <c r="AJE12" s="2">
        <v>-0.5</v>
      </c>
      <c r="AJF12" s="2">
        <v>1.2</v>
      </c>
      <c r="AJG12" s="2">
        <v>0.6</v>
      </c>
      <c r="AJH12" s="2">
        <v>-0.7</v>
      </c>
      <c r="AJI12" s="2">
        <v>-0.4</v>
      </c>
      <c r="AJJ12" s="2">
        <v>1.6</v>
      </c>
      <c r="AJK12" s="2">
        <v>1.2</v>
      </c>
      <c r="AJL12" s="2">
        <v>-1.5</v>
      </c>
      <c r="AJM12" s="2">
        <v>0.5</v>
      </c>
      <c r="AJN12" s="2">
        <v>1.6</v>
      </c>
      <c r="AJO12" s="2">
        <v>0.9</v>
      </c>
      <c r="AJP12" s="2">
        <v>-1.7</v>
      </c>
      <c r="AJQ12" s="2">
        <v>-1</v>
      </c>
      <c r="AJR12" s="2">
        <v>1.1</v>
      </c>
      <c r="AJS12" s="2">
        <v>1.7</v>
      </c>
      <c r="AJT12" s="2">
        <v>-0.2</v>
      </c>
      <c r="AJU12" s="2">
        <v>0</v>
      </c>
      <c r="AJV12" s="2">
        <v>0.9</v>
      </c>
      <c r="AJW12" s="2">
        <v>1.4</v>
      </c>
      <c r="AJX12" s="2">
        <v>0.7</v>
      </c>
      <c r="AJY12" s="2">
        <v>1.4</v>
      </c>
      <c r="AJZ12" s="2">
        <v>1.3</v>
      </c>
      <c r="AKA12" s="2">
        <v>5.4</v>
      </c>
      <c r="AKB12" s="2">
        <v>0.3</v>
      </c>
      <c r="AKC12" s="2">
        <v>-0.3</v>
      </c>
      <c r="AKD12" s="2">
        <v>0.1</v>
      </c>
      <c r="AKE12" s="2">
        <v>0.4</v>
      </c>
      <c r="AKF12" s="2">
        <v>-0.1</v>
      </c>
      <c r="AKG12" s="2">
        <v>0.5</v>
      </c>
      <c r="AKH12" s="2">
        <v>1.3</v>
      </c>
      <c r="AKI12" s="2">
        <v>1.6</v>
      </c>
      <c r="AKJ12" s="2">
        <v>-1.6</v>
      </c>
      <c r="AKK12" s="2">
        <v>0.4</v>
      </c>
      <c r="AKL12" s="2">
        <v>1.9</v>
      </c>
      <c r="AKM12" s="2">
        <v>2.6</v>
      </c>
      <c r="AKN12" s="2">
        <v>-1.3</v>
      </c>
      <c r="AKO12" s="2">
        <v>-0.4</v>
      </c>
      <c r="AKP12" s="2">
        <v>12.7</v>
      </c>
      <c r="AKQ12" s="2">
        <v>12.54</v>
      </c>
      <c r="AKR12" s="2">
        <v>12.48</v>
      </c>
    </row>
    <row r="13">
      <c r="A13" t="inlineStr">
        <is>
          <t>Education</t>
        </is>
      </c>
      <c r="B13" t="inlineStr">
        <is>
          <t>All groups CPI</t>
        </is>
      </c>
      <c r="C13">
        <v>1</v>
      </c>
      <c r="D13">
        <v>4.65</v>
      </c>
      <c r="E13" s="3">
        <f>D13/100.0*1.0</f>
        <v>0.04650000000000001</v>
      </c>
      <c r="F13" s="3">
        <f>E13-D13/100</f>
        <v>0.0</v>
      </c>
      <c r="G13" s="3">
        <f>D13/100.0</f>
        <v>0.04650000000000001</v>
      </c>
      <c r="CI13" s="2">
        <v>94.69</v>
      </c>
      <c r="CJ13" s="2">
        <v>94.7</v>
      </c>
      <c r="CK13" s="2">
        <v>94.72</v>
      </c>
      <c r="CL13" s="2">
        <v>94.73</v>
      </c>
      <c r="CM13" s="2">
        <v>94.87</v>
      </c>
      <c r="CN13" s="2">
        <v>94.90000000000001</v>
      </c>
      <c r="CO13" s="2">
        <v>94.91</v>
      </c>
      <c r="CP13" s="2">
        <v>94.92</v>
      </c>
      <c r="CQ13" s="2">
        <v>94.93000000000001</v>
      </c>
      <c r="CR13" s="2">
        <v>94.92</v>
      </c>
      <c r="CS13" s="2">
        <v>99.76000000000001</v>
      </c>
      <c r="CT13" s="2">
        <v>99.8</v>
      </c>
      <c r="CU13" s="2">
        <v>99.79000000000001</v>
      </c>
      <c r="CV13" s="2">
        <v>99.79000000000001</v>
      </c>
      <c r="CW13" s="2">
        <v>99.83</v>
      </c>
      <c r="CX13" s="2">
        <v>99.84999999999999</v>
      </c>
      <c r="CY13" s="2">
        <v>99.98</v>
      </c>
      <c r="CZ13" s="2">
        <v>100</v>
      </c>
      <c r="DA13" s="2">
        <v>100.02</v>
      </c>
      <c r="DB13" s="2">
        <v>100.04</v>
      </c>
      <c r="DC13" s="2">
        <v>100.05</v>
      </c>
      <c r="DD13" s="2">
        <v>100.01</v>
      </c>
      <c r="DE13" s="2">
        <v>104.54</v>
      </c>
      <c r="DF13" s="2">
        <v>104.58</v>
      </c>
      <c r="DG13" s="2">
        <v>104.57</v>
      </c>
      <c r="DH13" s="2">
        <v>104.57</v>
      </c>
      <c r="DI13" s="2">
        <v>104.59</v>
      </c>
      <c r="DJ13" s="2">
        <v>104.6</v>
      </c>
      <c r="GL13" s="2">
        <v>5.4</v>
      </c>
      <c r="GM13" s="2">
        <v>5.4</v>
      </c>
      <c r="GN13" s="2">
        <v>5.4</v>
      </c>
      <c r="GO13" s="2">
        <v>5.4</v>
      </c>
      <c r="GP13" s="2">
        <v>5.4</v>
      </c>
      <c r="GQ13" s="2">
        <v>5.4</v>
      </c>
      <c r="GR13" s="2">
        <v>5.4</v>
      </c>
      <c r="GS13" s="2">
        <v>5.4</v>
      </c>
      <c r="GT13" s="2">
        <v>5.4</v>
      </c>
      <c r="GU13" s="2">
        <v>5.4</v>
      </c>
      <c r="GV13" s="2">
        <v>4.8</v>
      </c>
      <c r="GW13" s="2">
        <v>4.8</v>
      </c>
      <c r="GX13" s="2">
        <v>4.8</v>
      </c>
      <c r="GY13" s="2">
        <v>4.8</v>
      </c>
      <c r="GZ13" s="2">
        <v>4.8</v>
      </c>
      <c r="HA13" s="2">
        <v>4.8</v>
      </c>
      <c r="KC13" s="2">
        <v>0</v>
      </c>
      <c r="KD13" s="2">
        <v>0</v>
      </c>
      <c r="KE13" s="2">
        <v>0</v>
      </c>
      <c r="KF13" s="2">
        <v>0.1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5.1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0.1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4.5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4.53</v>
      </c>
      <c r="LE13" s="2">
        <v>4.53</v>
      </c>
      <c r="LF13" s="2">
        <v>4.76</v>
      </c>
      <c r="LG13" s="2">
        <v>4.76</v>
      </c>
      <c r="LH13" s="2">
        <v>4.76</v>
      </c>
      <c r="LI13" s="2">
        <v>4.76</v>
      </c>
      <c r="LJ13" s="2">
        <v>4.76</v>
      </c>
      <c r="LK13" s="2">
        <v>4.76</v>
      </c>
      <c r="LL13" s="2">
        <v>4.77</v>
      </c>
      <c r="LM13" s="2">
        <v>4.77</v>
      </c>
      <c r="LN13" s="2">
        <v>4.77</v>
      </c>
      <c r="LO13" s="2">
        <v>4.77</v>
      </c>
      <c r="LP13" s="2">
        <v>4.77</v>
      </c>
      <c r="LQ13" s="2">
        <v>4.77</v>
      </c>
      <c r="LR13" s="2">
        <v>4.98</v>
      </c>
      <c r="LS13" s="2">
        <v>4.99</v>
      </c>
      <c r="LT13" s="2">
        <v>4.99</v>
      </c>
      <c r="LU13" s="2">
        <v>4.99</v>
      </c>
      <c r="LV13" s="2">
        <v>4.99</v>
      </c>
      <c r="LW13" s="2">
        <v>4.99</v>
      </c>
      <c r="LX13" s="2">
        <v>0</v>
      </c>
      <c r="LY13" s="2">
        <v>0.23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0.01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0.21</v>
      </c>
      <c r="ML13" s="2">
        <v>0.01</v>
      </c>
      <c r="MM13" s="2">
        <v>0</v>
      </c>
      <c r="MN13" s="2">
        <v>0</v>
      </c>
      <c r="MO13" s="2">
        <v>0</v>
      </c>
      <c r="MP13" s="2">
        <v>0</v>
      </c>
      <c r="RU13" s="2">
        <v>7.63</v>
      </c>
      <c r="RV13" s="2">
        <v>7.63</v>
      </c>
      <c r="RW13" s="2">
        <v>7.63</v>
      </c>
      <c r="RX13" s="2">
        <v>7.63</v>
      </c>
      <c r="RY13" s="2">
        <v>8.65</v>
      </c>
      <c r="RZ13" s="2">
        <v>8.65</v>
      </c>
      <c r="SA13" s="2">
        <v>8.65</v>
      </c>
      <c r="SB13" s="2">
        <v>8.65</v>
      </c>
      <c r="SC13" s="2">
        <v>9.59</v>
      </c>
      <c r="SD13" s="2">
        <v>9.59</v>
      </c>
      <c r="SE13" s="2">
        <v>9.640000000000001</v>
      </c>
      <c r="SF13" s="2">
        <v>9.640000000000001</v>
      </c>
      <c r="SG13" s="2">
        <v>10.42</v>
      </c>
      <c r="SH13" s="2">
        <v>10.42</v>
      </c>
      <c r="SI13" s="2">
        <v>10.44</v>
      </c>
      <c r="SJ13" s="2">
        <v>10.44</v>
      </c>
      <c r="SK13" s="2">
        <v>11.46</v>
      </c>
      <c r="SL13" s="2">
        <v>11.48</v>
      </c>
      <c r="SM13" s="2">
        <v>11.48</v>
      </c>
      <c r="SN13" s="2">
        <v>11.48</v>
      </c>
      <c r="SO13" s="2">
        <v>12.65</v>
      </c>
      <c r="SP13" s="2">
        <v>12.65</v>
      </c>
      <c r="SQ13" s="2">
        <v>12.65</v>
      </c>
      <c r="SR13" s="2">
        <v>12.65</v>
      </c>
      <c r="SS13" s="2">
        <v>14.15</v>
      </c>
      <c r="ST13" s="2">
        <v>14.15</v>
      </c>
      <c r="SU13" s="2">
        <v>14.15</v>
      </c>
      <c r="SV13" s="2">
        <v>14.15</v>
      </c>
      <c r="SW13" s="2">
        <v>15.91</v>
      </c>
      <c r="SX13" s="2">
        <v>15.91</v>
      </c>
      <c r="SY13" s="2">
        <v>15.91</v>
      </c>
      <c r="SZ13" s="2">
        <v>15.91</v>
      </c>
      <c r="TA13" s="2">
        <v>18.16</v>
      </c>
      <c r="TB13" s="2">
        <v>18.16</v>
      </c>
      <c r="TC13" s="2">
        <v>18.16</v>
      </c>
      <c r="TD13" s="2">
        <v>18.16</v>
      </c>
      <c r="TE13" s="2">
        <v>20.01</v>
      </c>
      <c r="TF13" s="2">
        <v>20.01</v>
      </c>
      <c r="TG13" s="2">
        <v>20.01</v>
      </c>
      <c r="TH13" s="2">
        <v>20.01</v>
      </c>
      <c r="TI13" s="2">
        <v>21.58</v>
      </c>
      <c r="TJ13" s="2">
        <v>21.58</v>
      </c>
      <c r="TK13" s="2">
        <v>21.58</v>
      </c>
      <c r="TL13" s="2">
        <v>21.58</v>
      </c>
      <c r="TM13" s="2">
        <v>22.5</v>
      </c>
      <c r="TN13" s="2">
        <v>22.5</v>
      </c>
      <c r="TO13" s="2">
        <v>22.5</v>
      </c>
      <c r="TP13" s="2">
        <v>22.5</v>
      </c>
      <c r="TQ13" s="2">
        <v>23.3</v>
      </c>
      <c r="TR13" s="2">
        <v>23.3</v>
      </c>
      <c r="TS13" s="2">
        <v>23.3</v>
      </c>
      <c r="TT13" s="2">
        <v>23.3</v>
      </c>
      <c r="TU13" s="2">
        <v>24.34</v>
      </c>
      <c r="TV13" s="2">
        <v>24.34</v>
      </c>
      <c r="TW13" s="2">
        <v>24.34</v>
      </c>
      <c r="TX13" s="2">
        <v>24.34</v>
      </c>
      <c r="TY13" s="2">
        <v>25.74</v>
      </c>
      <c r="TZ13" s="2">
        <v>25.74</v>
      </c>
      <c r="UA13" s="2">
        <v>25.74</v>
      </c>
      <c r="UB13" s="2">
        <v>25.74</v>
      </c>
      <c r="UC13" s="2">
        <v>27.39</v>
      </c>
      <c r="UD13" s="2">
        <v>27.39</v>
      </c>
      <c r="UE13" s="2">
        <v>27.39</v>
      </c>
      <c r="UF13" s="2">
        <v>27.39</v>
      </c>
      <c r="UG13" s="2">
        <v>29.01</v>
      </c>
      <c r="UH13" s="2">
        <v>29.01</v>
      </c>
      <c r="UI13" s="2">
        <v>29.01</v>
      </c>
      <c r="UJ13" s="2">
        <v>29.01</v>
      </c>
      <c r="UK13" s="2">
        <v>30.28</v>
      </c>
      <c r="UL13" s="2">
        <v>30.28</v>
      </c>
      <c r="UM13" s="2">
        <v>30.28</v>
      </c>
      <c r="UN13" s="2">
        <v>30.28</v>
      </c>
      <c r="UO13" s="2">
        <v>31.86</v>
      </c>
      <c r="UP13" s="2">
        <v>31.86</v>
      </c>
      <c r="UQ13" s="2">
        <v>31.91</v>
      </c>
      <c r="UR13" s="2">
        <v>31.93</v>
      </c>
      <c r="US13" s="2">
        <v>33.27</v>
      </c>
      <c r="UT13" s="2">
        <v>33.27</v>
      </c>
      <c r="UU13" s="2">
        <v>33.29</v>
      </c>
      <c r="UV13" s="2">
        <v>33.3</v>
      </c>
      <c r="UW13" s="2">
        <v>34.85</v>
      </c>
      <c r="UX13" s="2">
        <v>34.86</v>
      </c>
      <c r="UY13" s="2">
        <v>34.92</v>
      </c>
      <c r="UZ13" s="2">
        <v>34.96</v>
      </c>
      <c r="VA13" s="2">
        <v>36.58</v>
      </c>
      <c r="VB13" s="2">
        <v>36.58</v>
      </c>
      <c r="VC13" s="2">
        <v>36.64</v>
      </c>
      <c r="VD13" s="2">
        <v>36.64</v>
      </c>
      <c r="VE13" s="2">
        <v>39.4</v>
      </c>
      <c r="VF13" s="2">
        <v>39.42</v>
      </c>
      <c r="VG13" s="2">
        <v>39.44</v>
      </c>
      <c r="VH13" s="2">
        <v>39.46</v>
      </c>
      <c r="VI13" s="2">
        <v>41.85</v>
      </c>
      <c r="VJ13" s="2">
        <v>41.89</v>
      </c>
      <c r="VK13" s="2">
        <v>41.9</v>
      </c>
      <c r="VL13" s="2">
        <v>41.94</v>
      </c>
      <c r="VM13" s="2">
        <v>44.3</v>
      </c>
      <c r="VN13" s="2">
        <v>44.32</v>
      </c>
      <c r="VO13" s="2">
        <v>43.93</v>
      </c>
      <c r="VP13" s="2">
        <v>43.94</v>
      </c>
      <c r="VQ13" s="2">
        <v>46.14</v>
      </c>
      <c r="VR13" s="2">
        <v>46.2</v>
      </c>
      <c r="VS13" s="2">
        <v>45.75</v>
      </c>
      <c r="VT13" s="2">
        <v>45.76</v>
      </c>
      <c r="VU13" s="2">
        <v>48.12</v>
      </c>
      <c r="VV13" s="2">
        <v>48.14</v>
      </c>
      <c r="VW13" s="2">
        <v>47.91</v>
      </c>
      <c r="VX13" s="2">
        <v>47.92</v>
      </c>
      <c r="VY13" s="2">
        <v>50.54</v>
      </c>
      <c r="VZ13" s="2">
        <v>50.57</v>
      </c>
      <c r="WA13" s="2">
        <v>50.59</v>
      </c>
      <c r="WB13" s="2">
        <v>50.62</v>
      </c>
      <c r="WC13" s="2">
        <v>53.43</v>
      </c>
      <c r="WD13" s="2">
        <v>53.44</v>
      </c>
      <c r="WE13" s="2">
        <v>53.52</v>
      </c>
      <c r="WF13" s="2">
        <v>53.51</v>
      </c>
      <c r="WG13" s="2">
        <v>56.58</v>
      </c>
      <c r="WH13" s="2">
        <v>56.59</v>
      </c>
      <c r="WI13" s="2">
        <v>56.61</v>
      </c>
      <c r="WJ13" s="2">
        <v>56.62</v>
      </c>
      <c r="WK13" s="2">
        <v>59.99</v>
      </c>
      <c r="WL13" s="2">
        <v>60.01</v>
      </c>
      <c r="WM13" s="2">
        <v>60.05</v>
      </c>
      <c r="WN13" s="2">
        <v>60.06</v>
      </c>
      <c r="WO13" s="2">
        <v>63.5</v>
      </c>
      <c r="WP13" s="2">
        <v>63.42</v>
      </c>
      <c r="WQ13" s="2">
        <v>63.44</v>
      </c>
      <c r="WR13" s="2">
        <v>63.45</v>
      </c>
      <c r="WS13" s="2">
        <v>66.70999999999999</v>
      </c>
      <c r="WT13" s="2">
        <v>66.72</v>
      </c>
      <c r="WU13" s="2">
        <v>66.76000000000001</v>
      </c>
      <c r="WV13" s="2">
        <v>66.78</v>
      </c>
      <c r="WW13" s="2">
        <v>70.33</v>
      </c>
      <c r="WX13" s="2">
        <v>70.33</v>
      </c>
      <c r="WY13" s="2">
        <v>70.42</v>
      </c>
      <c r="WZ13" s="2">
        <v>70.42</v>
      </c>
      <c r="XA13" s="2">
        <v>72.65000000000001</v>
      </c>
      <c r="XB13" s="2">
        <v>72.66</v>
      </c>
      <c r="XC13" s="2">
        <v>72.79000000000001</v>
      </c>
      <c r="XD13" s="2">
        <v>72.79000000000001</v>
      </c>
      <c r="XE13" s="2">
        <v>75.02</v>
      </c>
      <c r="XF13" s="2">
        <v>75.02</v>
      </c>
      <c r="XG13" s="2">
        <v>75.06</v>
      </c>
      <c r="XH13" s="2">
        <v>75.09999999999999</v>
      </c>
      <c r="XI13" s="2">
        <v>77.05</v>
      </c>
      <c r="XJ13" s="2">
        <v>77.09</v>
      </c>
      <c r="XK13" s="2">
        <v>77.12</v>
      </c>
      <c r="XL13" s="2">
        <v>77.14</v>
      </c>
      <c r="XM13" s="2">
        <v>79.23999999999999</v>
      </c>
      <c r="XN13" s="2">
        <v>79.26000000000001</v>
      </c>
      <c r="XO13" s="2">
        <v>79.31999999999999</v>
      </c>
      <c r="XP13" s="2">
        <v>79.36</v>
      </c>
      <c r="XQ13" s="2">
        <v>81.39</v>
      </c>
      <c r="XR13" s="2">
        <v>78.41</v>
      </c>
      <c r="XS13" s="2">
        <v>80.06</v>
      </c>
      <c r="XT13" s="2">
        <v>80.98</v>
      </c>
      <c r="XU13" s="2">
        <v>81.34</v>
      </c>
      <c r="XV13" s="2">
        <v>81.37</v>
      </c>
      <c r="XW13" s="2">
        <v>81.42</v>
      </c>
      <c r="XX13" s="2">
        <v>81.43000000000001</v>
      </c>
      <c r="XY13" s="2">
        <v>85.11</v>
      </c>
      <c r="XZ13" s="2">
        <v>85.12</v>
      </c>
      <c r="YA13" s="2">
        <v>85.12</v>
      </c>
      <c r="YB13" s="2">
        <v>85.19</v>
      </c>
      <c r="YC13" s="2">
        <v>89.76000000000001</v>
      </c>
      <c r="YD13" s="2">
        <v>89.54000000000001</v>
      </c>
      <c r="YE13" s="2">
        <v>89.23999999999999</v>
      </c>
      <c r="YF13" s="2">
        <v>89.17</v>
      </c>
      <c r="YG13" s="2">
        <v>94.40000000000001</v>
      </c>
      <c r="YH13" s="2">
        <v>94.58</v>
      </c>
      <c r="YI13" s="2">
        <v>94.93000000000001</v>
      </c>
      <c r="YJ13" s="2">
        <v>94.91</v>
      </c>
      <c r="YK13" s="2">
        <v>99.83</v>
      </c>
      <c r="YL13" s="2">
        <v>99.8</v>
      </c>
      <c r="YM13" s="2">
        <v>99.94</v>
      </c>
      <c r="YN13" s="2">
        <v>100.04</v>
      </c>
      <c r="YO13" s="2">
        <v>103.04</v>
      </c>
      <c r="YP13" s="2">
        <v>104.58</v>
      </c>
      <c r="ADU13" s="2">
        <v>0</v>
      </c>
      <c r="ADV13" s="2">
        <v>0</v>
      </c>
      <c r="ADW13" s="2">
        <v>0</v>
      </c>
      <c r="ADX13" s="2">
        <v>13.4</v>
      </c>
      <c r="ADY13" s="2">
        <v>0</v>
      </c>
      <c r="ADZ13" s="2">
        <v>0</v>
      </c>
      <c r="AEA13" s="2">
        <v>0</v>
      </c>
      <c r="AEB13" s="2">
        <v>10.9</v>
      </c>
      <c r="AEC13" s="2">
        <v>0</v>
      </c>
      <c r="AED13" s="2">
        <v>0.5</v>
      </c>
      <c r="AEE13" s="2">
        <v>0</v>
      </c>
      <c r="AEF13" s="2">
        <v>8.1</v>
      </c>
      <c r="AEG13" s="2">
        <v>0</v>
      </c>
      <c r="AEH13" s="2">
        <v>0.2</v>
      </c>
      <c r="AEI13" s="2">
        <v>0</v>
      </c>
      <c r="AEJ13" s="2">
        <v>9.800000000000001</v>
      </c>
      <c r="AEK13" s="2">
        <v>0.2</v>
      </c>
      <c r="AEL13" s="2">
        <v>0</v>
      </c>
      <c r="AEM13" s="2">
        <v>0</v>
      </c>
      <c r="AEN13" s="2">
        <v>10.2</v>
      </c>
      <c r="AEO13" s="2">
        <v>0</v>
      </c>
      <c r="AEP13" s="2">
        <v>0</v>
      </c>
      <c r="AEQ13" s="2">
        <v>0</v>
      </c>
      <c r="AER13" s="2">
        <v>11.9</v>
      </c>
      <c r="AES13" s="2">
        <v>0</v>
      </c>
      <c r="AET13" s="2">
        <v>0</v>
      </c>
      <c r="AEU13" s="2">
        <v>0</v>
      </c>
      <c r="AEV13" s="2">
        <v>12.4</v>
      </c>
      <c r="AEW13" s="2">
        <v>0</v>
      </c>
      <c r="AEX13" s="2">
        <v>0</v>
      </c>
      <c r="AEY13" s="2">
        <v>0</v>
      </c>
      <c r="AEZ13" s="2">
        <v>14.1</v>
      </c>
      <c r="AFA13" s="2">
        <v>0</v>
      </c>
      <c r="AFB13" s="2">
        <v>0</v>
      </c>
      <c r="AFC13" s="2">
        <v>0</v>
      </c>
      <c r="AFD13" s="2">
        <v>10.2</v>
      </c>
      <c r="AFE13" s="2">
        <v>0</v>
      </c>
      <c r="AFF13" s="2">
        <v>0</v>
      </c>
      <c r="AFG13" s="2">
        <v>0</v>
      </c>
      <c r="AFH13" s="2">
        <v>7.8</v>
      </c>
      <c r="AFI13" s="2">
        <v>0</v>
      </c>
      <c r="AFJ13" s="2">
        <v>0</v>
      </c>
      <c r="AFK13" s="2">
        <v>0</v>
      </c>
      <c r="AFL13" s="2">
        <v>4.3</v>
      </c>
      <c r="AFM13" s="2">
        <v>0</v>
      </c>
      <c r="AFN13" s="2">
        <v>0</v>
      </c>
      <c r="AFO13" s="2">
        <v>0</v>
      </c>
      <c r="AFP13" s="2">
        <v>3.6</v>
      </c>
      <c r="AFQ13" s="2">
        <v>0</v>
      </c>
      <c r="AFR13" s="2">
        <v>0</v>
      </c>
      <c r="AFS13" s="2">
        <v>0</v>
      </c>
      <c r="AFT13" s="2">
        <v>4.5</v>
      </c>
      <c r="AFU13" s="2">
        <v>0</v>
      </c>
      <c r="AFV13" s="2">
        <v>0</v>
      </c>
      <c r="AFW13" s="2">
        <v>0</v>
      </c>
      <c r="AFX13" s="2">
        <v>5.8</v>
      </c>
      <c r="AFY13" s="2">
        <v>0</v>
      </c>
      <c r="AFZ13" s="2">
        <v>0</v>
      </c>
      <c r="AGA13" s="2">
        <v>0</v>
      </c>
      <c r="AGB13" s="2">
        <v>6.4</v>
      </c>
      <c r="AGC13" s="2">
        <v>0</v>
      </c>
      <c r="AGD13" s="2">
        <v>0</v>
      </c>
      <c r="AGE13" s="2">
        <v>0</v>
      </c>
      <c r="AGF13" s="2">
        <v>5.9</v>
      </c>
      <c r="AGG13" s="2">
        <v>0</v>
      </c>
      <c r="AGH13" s="2">
        <v>0</v>
      </c>
      <c r="AGI13" s="2">
        <v>0</v>
      </c>
      <c r="AGJ13" s="2">
        <v>4.4</v>
      </c>
      <c r="AGK13" s="2">
        <v>0</v>
      </c>
      <c r="AGL13" s="2">
        <v>0</v>
      </c>
      <c r="AGM13" s="2">
        <v>0</v>
      </c>
      <c r="AGN13" s="2">
        <v>5.2</v>
      </c>
      <c r="AGO13" s="2">
        <v>0</v>
      </c>
      <c r="AGP13" s="2">
        <v>0.2</v>
      </c>
      <c r="AGQ13" s="2">
        <v>0.1</v>
      </c>
      <c r="AGR13" s="2">
        <v>4.2</v>
      </c>
      <c r="AGS13" s="2">
        <v>0</v>
      </c>
      <c r="AGT13" s="2">
        <v>0.1</v>
      </c>
      <c r="AGU13" s="2">
        <v>0</v>
      </c>
      <c r="AGV13" s="2">
        <v>4.7</v>
      </c>
      <c r="AGW13" s="2">
        <v>0</v>
      </c>
      <c r="AGX13" s="2">
        <v>0.2</v>
      </c>
      <c r="AGY13" s="2">
        <v>0.1</v>
      </c>
      <c r="AGZ13" s="2">
        <v>4.6</v>
      </c>
      <c r="AHA13" s="2">
        <v>0</v>
      </c>
      <c r="AHB13" s="2">
        <v>0.2</v>
      </c>
      <c r="AHC13" s="2">
        <v>0</v>
      </c>
      <c r="AHD13" s="2">
        <v>7.5</v>
      </c>
      <c r="AHE13" s="2">
        <v>0.1</v>
      </c>
      <c r="AHF13" s="2">
        <v>0.1</v>
      </c>
      <c r="AHG13" s="2">
        <v>0.1</v>
      </c>
      <c r="AHH13" s="2">
        <v>6.1</v>
      </c>
      <c r="AHI13" s="2">
        <v>0.1</v>
      </c>
      <c r="AHJ13" s="2">
        <v>0</v>
      </c>
      <c r="AHK13" s="2">
        <v>0.1</v>
      </c>
      <c r="AHL13" s="2">
        <v>5.6</v>
      </c>
      <c r="AHM13" s="2">
        <v>0</v>
      </c>
      <c r="AHN13" s="2">
        <v>-0.9</v>
      </c>
      <c r="AHO13" s="2">
        <v>0</v>
      </c>
      <c r="AHP13" s="2">
        <v>5</v>
      </c>
      <c r="AHQ13" s="2">
        <v>0.1</v>
      </c>
      <c r="AHR13" s="2">
        <v>-1</v>
      </c>
      <c r="AHS13" s="2">
        <v>0</v>
      </c>
      <c r="AHT13" s="2">
        <v>5.2</v>
      </c>
      <c r="AHU13" s="2">
        <v>0</v>
      </c>
      <c r="AHV13" s="2">
        <v>-0.5</v>
      </c>
      <c r="AHW13" s="2">
        <v>0</v>
      </c>
      <c r="AHX13" s="2">
        <v>5.5</v>
      </c>
      <c r="AHY13" s="2">
        <v>0.1</v>
      </c>
      <c r="AHZ13" s="2">
        <v>0</v>
      </c>
      <c r="AIA13" s="2">
        <v>0.1</v>
      </c>
      <c r="AIB13" s="2">
        <v>5.6</v>
      </c>
      <c r="AIC13" s="2">
        <v>0</v>
      </c>
      <c r="AID13" s="2">
        <v>0.1</v>
      </c>
      <c r="AIE13" s="2">
        <v>0</v>
      </c>
      <c r="AIF13" s="2">
        <v>5.7</v>
      </c>
      <c r="AIG13" s="2">
        <v>0</v>
      </c>
      <c r="AIH13" s="2">
        <v>0</v>
      </c>
      <c r="AII13" s="2">
        <v>0</v>
      </c>
      <c r="AIJ13" s="2">
        <v>6</v>
      </c>
      <c r="AIK13" s="2">
        <v>0</v>
      </c>
      <c r="AIL13" s="2">
        <v>0.1</v>
      </c>
      <c r="AIM13" s="2">
        <v>0</v>
      </c>
      <c r="AIN13" s="2">
        <v>5.7</v>
      </c>
      <c r="AIO13" s="2">
        <v>-0.1</v>
      </c>
      <c r="AIP13" s="2">
        <v>0</v>
      </c>
      <c r="AIQ13" s="2">
        <v>0</v>
      </c>
      <c r="AIR13" s="2">
        <v>5.1</v>
      </c>
      <c r="AIS13" s="2">
        <v>0</v>
      </c>
      <c r="AIT13" s="2">
        <v>0.1</v>
      </c>
      <c r="AIU13" s="2">
        <v>0</v>
      </c>
      <c r="AIV13" s="2">
        <v>5.3</v>
      </c>
      <c r="AIW13" s="2">
        <v>0</v>
      </c>
      <c r="AIX13" s="2">
        <v>0.1</v>
      </c>
      <c r="AIY13" s="2">
        <v>0</v>
      </c>
      <c r="AIZ13" s="2">
        <v>3.2</v>
      </c>
      <c r="AJA13" s="2">
        <v>0</v>
      </c>
      <c r="AJB13" s="2">
        <v>0.2</v>
      </c>
      <c r="AJC13" s="2">
        <v>0</v>
      </c>
      <c r="AJD13" s="2">
        <v>3.1</v>
      </c>
      <c r="AJE13" s="2">
        <v>0</v>
      </c>
      <c r="AJF13" s="2">
        <v>0.1</v>
      </c>
      <c r="AJG13" s="2">
        <v>0.1</v>
      </c>
      <c r="AJH13" s="2">
        <v>2.6</v>
      </c>
      <c r="AJI13" s="2">
        <v>0.1</v>
      </c>
      <c r="AJJ13" s="2">
        <v>0</v>
      </c>
      <c r="AJK13" s="2">
        <v>0</v>
      </c>
      <c r="AJL13" s="2">
        <v>2.7</v>
      </c>
      <c r="AJM13" s="2">
        <v>0</v>
      </c>
      <c r="AJN13" s="2">
        <v>0.1</v>
      </c>
      <c r="AJO13" s="2">
        <v>0.1</v>
      </c>
      <c r="AJP13" s="2">
        <v>2.6</v>
      </c>
      <c r="AJQ13" s="2">
        <v>-3.7</v>
      </c>
      <c r="AJR13" s="2">
        <v>2.1</v>
      </c>
      <c r="AJS13" s="2">
        <v>1.1</v>
      </c>
      <c r="AJT13" s="2">
        <v>0.4</v>
      </c>
      <c r="AJU13" s="2">
        <v>0</v>
      </c>
      <c r="AJV13" s="2">
        <v>0.1</v>
      </c>
      <c r="AJW13" s="2">
        <v>0</v>
      </c>
      <c r="AJX13" s="2">
        <v>4.5</v>
      </c>
      <c r="AJY13" s="2">
        <v>0</v>
      </c>
      <c r="AJZ13" s="2">
        <v>0</v>
      </c>
      <c r="AKA13" s="2">
        <v>0.1</v>
      </c>
      <c r="AKB13" s="2">
        <v>5.4</v>
      </c>
      <c r="AKC13" s="2">
        <v>-0.2</v>
      </c>
      <c r="AKD13" s="2">
        <v>-0.3</v>
      </c>
      <c r="AKE13" s="2">
        <v>-0.1</v>
      </c>
      <c r="AKF13" s="2">
        <v>5.9</v>
      </c>
      <c r="AKG13" s="2">
        <v>0.2</v>
      </c>
      <c r="AKH13" s="2">
        <v>0.4</v>
      </c>
      <c r="AKI13" s="2">
        <v>0</v>
      </c>
      <c r="AKJ13" s="2">
        <v>5.2</v>
      </c>
      <c r="AKK13" s="2">
        <v>0</v>
      </c>
      <c r="AKL13" s="2">
        <v>0.1</v>
      </c>
      <c r="AKM13" s="2">
        <v>0.1</v>
      </c>
      <c r="AKN13" s="2">
        <v>3</v>
      </c>
      <c r="AKO13" s="2">
        <v>1.5</v>
      </c>
      <c r="AKP13" s="2">
        <v>4.77</v>
      </c>
      <c r="AKQ13" s="2">
        <v>4.92</v>
      </c>
      <c r="AKR13" s="2">
        <v>4.99</v>
      </c>
    </row>
    <row r="14">
      <c r="A14" t="inlineStr">
        <is>
          <t>Insurance and financial services</t>
        </is>
      </c>
      <c r="B14" t="inlineStr">
        <is>
          <t>All groups CPI</t>
        </is>
      </c>
      <c r="C14">
        <v>1</v>
      </c>
      <c r="D14">
        <v>5.57</v>
      </c>
      <c r="E14" s="3">
        <f>D14/100.0*1.0</f>
        <v>0.0557</v>
      </c>
      <c r="F14" s="3">
        <f>E14-D14/100</f>
        <v>0.0</v>
      </c>
      <c r="G14" s="3">
        <f>D14/100.0</f>
        <v>0.0557</v>
      </c>
      <c r="CI14" s="2">
        <v>95.66</v>
      </c>
      <c r="CJ14" s="2">
        <v>95.88</v>
      </c>
      <c r="CK14" s="2">
        <v>96.56999999999999</v>
      </c>
      <c r="CL14" s="2">
        <v>96.76000000000001</v>
      </c>
      <c r="CM14" s="2">
        <v>96.87</v>
      </c>
      <c r="CN14" s="2">
        <v>97.58</v>
      </c>
      <c r="CO14" s="2">
        <v>97.81999999999999</v>
      </c>
      <c r="CP14" s="2">
        <v>97.81</v>
      </c>
      <c r="CQ14" s="2">
        <v>98.34</v>
      </c>
      <c r="CR14" s="2">
        <v>98.76000000000001</v>
      </c>
      <c r="CS14" s="2">
        <v>98.8</v>
      </c>
      <c r="CT14" s="2">
        <v>99.20999999999999</v>
      </c>
      <c r="CU14" s="2">
        <v>99.14</v>
      </c>
      <c r="CV14" s="2">
        <v>99.03</v>
      </c>
      <c r="CW14" s="2">
        <v>99.61</v>
      </c>
      <c r="CX14" s="2">
        <v>99.84</v>
      </c>
      <c r="CY14" s="2">
        <v>99.7</v>
      </c>
      <c r="CZ14" s="2">
        <v>100</v>
      </c>
      <c r="DA14" s="2">
        <v>100.23</v>
      </c>
      <c r="DB14" s="2">
        <v>100.29</v>
      </c>
      <c r="DC14" s="2">
        <v>100.76</v>
      </c>
      <c r="DD14" s="2">
        <v>101.11</v>
      </c>
      <c r="DE14" s="2">
        <v>101.21</v>
      </c>
      <c r="DF14" s="2">
        <v>102.02</v>
      </c>
      <c r="DG14" s="2">
        <v>102.08</v>
      </c>
      <c r="DH14" s="2">
        <v>102.24</v>
      </c>
      <c r="DI14" s="2">
        <v>102.8</v>
      </c>
      <c r="DJ14" s="2">
        <v>102.98</v>
      </c>
      <c r="GL14" s="2">
        <v>3.6</v>
      </c>
      <c r="GM14" s="2">
        <v>3.3</v>
      </c>
      <c r="GN14" s="2">
        <v>3.1</v>
      </c>
      <c r="GO14" s="2">
        <v>3.2</v>
      </c>
      <c r="GP14" s="2">
        <v>2.9</v>
      </c>
      <c r="GQ14" s="2">
        <v>2.5</v>
      </c>
      <c r="GR14" s="2">
        <v>2.5</v>
      </c>
      <c r="GS14" s="2">
        <v>2.5</v>
      </c>
      <c r="GT14" s="2">
        <v>2.5</v>
      </c>
      <c r="GU14" s="2">
        <v>2.4</v>
      </c>
      <c r="GV14" s="2">
        <v>2.4</v>
      </c>
      <c r="GW14" s="2">
        <v>2.8</v>
      </c>
      <c r="GX14" s="2">
        <v>3</v>
      </c>
      <c r="GY14" s="2">
        <v>3.2</v>
      </c>
      <c r="GZ14" s="2">
        <v>3.2</v>
      </c>
      <c r="HA14" s="2">
        <v>3.1</v>
      </c>
      <c r="KC14" s="2">
        <v>0.2</v>
      </c>
      <c r="KD14" s="2">
        <v>0.7</v>
      </c>
      <c r="KE14" s="2">
        <v>0.2</v>
      </c>
      <c r="KF14" s="2">
        <v>0.1</v>
      </c>
      <c r="KG14" s="2">
        <v>0.7</v>
      </c>
      <c r="KH14" s="2">
        <v>0.2</v>
      </c>
      <c r="KI14" s="2">
        <v>0</v>
      </c>
      <c r="KJ14" s="2">
        <v>0.5</v>
      </c>
      <c r="KK14" s="2">
        <v>0.4</v>
      </c>
      <c r="KL14" s="2">
        <v>0</v>
      </c>
      <c r="KM14" s="2">
        <v>0.4</v>
      </c>
      <c r="KN14" s="2">
        <v>-0.1</v>
      </c>
      <c r="KO14" s="2">
        <v>-0.1</v>
      </c>
      <c r="KP14" s="2">
        <v>0.6</v>
      </c>
      <c r="KQ14" s="2">
        <v>0.2</v>
      </c>
      <c r="KR14" s="2">
        <v>-0.1</v>
      </c>
      <c r="KS14" s="2">
        <v>0.3</v>
      </c>
      <c r="KT14" s="2">
        <v>0.2</v>
      </c>
      <c r="KU14" s="2">
        <v>0.1</v>
      </c>
      <c r="KV14" s="2">
        <v>0.5</v>
      </c>
      <c r="KW14" s="2">
        <v>0.3</v>
      </c>
      <c r="KX14" s="2">
        <v>0.1</v>
      </c>
      <c r="KY14" s="2">
        <v>0.8</v>
      </c>
      <c r="KZ14" s="2">
        <v>0.1</v>
      </c>
      <c r="LA14" s="2">
        <v>0.2</v>
      </c>
      <c r="LB14" s="2">
        <v>0.5</v>
      </c>
      <c r="LC14" s="2">
        <v>0.2</v>
      </c>
      <c r="LD14" s="2">
        <v>5.42</v>
      </c>
      <c r="LE14" s="2">
        <v>5.45</v>
      </c>
      <c r="LF14" s="2">
        <v>5.45</v>
      </c>
      <c r="LG14" s="2">
        <v>5.47</v>
      </c>
      <c r="LH14" s="2">
        <v>5.47</v>
      </c>
      <c r="LI14" s="2">
        <v>5.46</v>
      </c>
      <c r="LJ14" s="2">
        <v>5.49</v>
      </c>
      <c r="LK14" s="2">
        <v>5.51</v>
      </c>
      <c r="LL14" s="2">
        <v>5.5</v>
      </c>
      <c r="LM14" s="2">
        <v>5.51</v>
      </c>
      <c r="LN14" s="2">
        <v>5.53</v>
      </c>
      <c r="LO14" s="2">
        <v>5.53</v>
      </c>
      <c r="LP14" s="2">
        <v>5.56</v>
      </c>
      <c r="LQ14" s="2">
        <v>5.58</v>
      </c>
      <c r="LR14" s="2">
        <v>5.58</v>
      </c>
      <c r="LS14" s="2">
        <v>5.63</v>
      </c>
      <c r="LT14" s="2">
        <v>5.63</v>
      </c>
      <c r="LU14" s="2">
        <v>5.64</v>
      </c>
      <c r="LV14" s="2">
        <v>5.67</v>
      </c>
      <c r="LW14" s="2">
        <v>5.68</v>
      </c>
      <c r="LX14" s="2">
        <v>0.03</v>
      </c>
      <c r="LY14" s="2">
        <v>0</v>
      </c>
      <c r="LZ14" s="2">
        <v>0.02</v>
      </c>
      <c r="MA14" s="2">
        <v>0</v>
      </c>
      <c r="MB14" s="2">
        <v>-0.01</v>
      </c>
      <c r="MC14" s="2">
        <v>0.03</v>
      </c>
      <c r="MD14" s="2">
        <v>0.02</v>
      </c>
      <c r="ME14" s="2">
        <v>-0.01</v>
      </c>
      <c r="MF14" s="2">
        <v>0.01</v>
      </c>
      <c r="MG14" s="2">
        <v>0.02</v>
      </c>
      <c r="MH14" s="2">
        <v>0</v>
      </c>
      <c r="MI14" s="2">
        <v>0.03</v>
      </c>
      <c r="MJ14" s="2">
        <v>0.02</v>
      </c>
      <c r="MK14" s="2">
        <v>0</v>
      </c>
      <c r="ML14" s="2">
        <v>0.05</v>
      </c>
      <c r="MM14" s="2">
        <v>0</v>
      </c>
      <c r="MN14" s="2">
        <v>0.01</v>
      </c>
      <c r="MO14" s="2">
        <v>0.03</v>
      </c>
      <c r="MP14" s="2">
        <v>0.01</v>
      </c>
      <c r="VJ14" s="2">
        <v>58.53</v>
      </c>
      <c r="VK14" s="2">
        <v>58.56</v>
      </c>
      <c r="VL14" s="2">
        <v>59.45</v>
      </c>
      <c r="VM14" s="2">
        <v>59.1</v>
      </c>
      <c r="VN14" s="2">
        <v>59.8</v>
      </c>
      <c r="VO14" s="2">
        <v>60.01</v>
      </c>
      <c r="VP14" s="2">
        <v>60.26</v>
      </c>
      <c r="VQ14" s="2">
        <v>60.16</v>
      </c>
      <c r="VR14" s="2">
        <v>60.68</v>
      </c>
      <c r="VS14" s="2">
        <v>61.91</v>
      </c>
      <c r="VT14" s="2">
        <v>63.22</v>
      </c>
      <c r="VU14" s="2">
        <v>64.29000000000001</v>
      </c>
      <c r="VV14" s="2">
        <v>66.72</v>
      </c>
      <c r="VW14" s="2">
        <v>67.86</v>
      </c>
      <c r="VX14" s="2">
        <v>67.64</v>
      </c>
      <c r="VY14" s="2">
        <v>63.4</v>
      </c>
      <c r="VZ14" s="2">
        <v>62.33</v>
      </c>
      <c r="WA14" s="2">
        <v>62.93</v>
      </c>
      <c r="WB14" s="2">
        <v>63.37</v>
      </c>
      <c r="WC14" s="2">
        <v>64.7</v>
      </c>
      <c r="WD14" s="2">
        <v>64.79000000000001</v>
      </c>
      <c r="WE14" s="2">
        <v>65.09</v>
      </c>
      <c r="WF14" s="2">
        <v>64.81</v>
      </c>
      <c r="WG14" s="2">
        <v>66.5</v>
      </c>
      <c r="WH14" s="2">
        <v>67.54000000000001</v>
      </c>
      <c r="WI14" s="2">
        <v>67.98999999999999</v>
      </c>
      <c r="WJ14" s="2">
        <v>68.44</v>
      </c>
      <c r="WK14" s="2">
        <v>69.09999999999999</v>
      </c>
      <c r="WL14" s="2">
        <v>69.45999999999999</v>
      </c>
      <c r="WM14" s="2">
        <v>69.58</v>
      </c>
      <c r="WN14" s="2">
        <v>70.63</v>
      </c>
      <c r="WO14" s="2">
        <v>71.05</v>
      </c>
      <c r="WP14" s="2">
        <v>71.28</v>
      </c>
      <c r="WQ14" s="2">
        <v>71.59</v>
      </c>
      <c r="WR14" s="2">
        <v>71.70999999999999</v>
      </c>
      <c r="WS14" s="2">
        <v>71.98</v>
      </c>
      <c r="WT14" s="2">
        <v>72.01000000000001</v>
      </c>
      <c r="WU14" s="2">
        <v>72.39</v>
      </c>
      <c r="WV14" s="2">
        <v>73.17</v>
      </c>
      <c r="WW14" s="2">
        <v>73.26000000000001</v>
      </c>
      <c r="WX14" s="2">
        <v>73.5</v>
      </c>
      <c r="WY14" s="2">
        <v>73.86</v>
      </c>
      <c r="WZ14" s="2">
        <v>74.44</v>
      </c>
      <c r="XA14" s="2">
        <v>74.94</v>
      </c>
      <c r="XB14" s="2">
        <v>75.25</v>
      </c>
      <c r="XC14" s="2">
        <v>75.95</v>
      </c>
      <c r="XD14" s="2">
        <v>76.44</v>
      </c>
      <c r="XE14" s="2">
        <v>76.95999999999999</v>
      </c>
      <c r="XF14" s="2">
        <v>76.87</v>
      </c>
      <c r="XG14" s="2">
        <v>77.37</v>
      </c>
      <c r="XH14" s="2">
        <v>77.48</v>
      </c>
      <c r="XI14" s="2">
        <v>77.7</v>
      </c>
      <c r="XJ14" s="2">
        <v>78.03</v>
      </c>
      <c r="XK14" s="2">
        <v>78.43000000000001</v>
      </c>
      <c r="XL14" s="2">
        <v>78.66</v>
      </c>
      <c r="XM14" s="2">
        <v>78.53</v>
      </c>
      <c r="XN14" s="2">
        <v>78.69</v>
      </c>
      <c r="XO14" s="2">
        <v>78.86</v>
      </c>
      <c r="XP14" s="2">
        <v>79.2</v>
      </c>
      <c r="XQ14" s="2">
        <v>79.73999999999999</v>
      </c>
      <c r="XR14" s="2">
        <v>80.05</v>
      </c>
      <c r="XS14" s="2">
        <v>80.06999999999999</v>
      </c>
      <c r="XT14" s="2">
        <v>80.18000000000001</v>
      </c>
      <c r="XU14" s="2">
        <v>80.2</v>
      </c>
      <c r="XV14" s="2">
        <v>80.53</v>
      </c>
      <c r="XW14" s="2">
        <v>80.95</v>
      </c>
      <c r="XX14" s="2">
        <v>81.92</v>
      </c>
      <c r="XY14" s="2">
        <v>82.39</v>
      </c>
      <c r="XZ14" s="2">
        <v>83.22</v>
      </c>
      <c r="YA14" s="2">
        <v>84.37</v>
      </c>
      <c r="YB14" s="2">
        <v>86.09</v>
      </c>
      <c r="YC14" s="2">
        <v>87.72</v>
      </c>
      <c r="YD14" s="2">
        <v>90.36</v>
      </c>
      <c r="YE14" s="2">
        <v>91.54000000000001</v>
      </c>
      <c r="YF14" s="2">
        <v>93.09999999999999</v>
      </c>
      <c r="YG14" s="2">
        <v>94.94</v>
      </c>
      <c r="YH14" s="2">
        <v>96.13</v>
      </c>
      <c r="YI14" s="2">
        <v>97.29000000000001</v>
      </c>
      <c r="YJ14" s="2">
        <v>98.06999999999999</v>
      </c>
      <c r="YK14" s="2">
        <v>98.61</v>
      </c>
      <c r="YL14" s="2">
        <v>99.09</v>
      </c>
      <c r="YM14" s="2">
        <v>99.84999999999999</v>
      </c>
      <c r="YN14" s="2">
        <v>100.43</v>
      </c>
      <c r="YO14" s="2">
        <v>101.45</v>
      </c>
      <c r="YP14" s="2">
        <v>102.38</v>
      </c>
      <c r="AHJ14" s="2">
        <v>0.1</v>
      </c>
      <c r="AHK14" s="2">
        <v>1.5</v>
      </c>
      <c r="AHL14" s="2">
        <v>-0.6</v>
      </c>
      <c r="AHM14" s="2">
        <v>1.2</v>
      </c>
      <c r="AHN14" s="2">
        <v>0.4</v>
      </c>
      <c r="AHO14" s="2">
        <v>0.4</v>
      </c>
      <c r="AHP14" s="2">
        <v>-0.2</v>
      </c>
      <c r="AHQ14" s="2">
        <v>0.9</v>
      </c>
      <c r="AHR14" s="2">
        <v>2</v>
      </c>
      <c r="AHS14" s="2">
        <v>2.1</v>
      </c>
      <c r="AHT14" s="2">
        <v>1.7</v>
      </c>
      <c r="AHU14" s="2">
        <v>3.8</v>
      </c>
      <c r="AHV14" s="2">
        <v>1.7</v>
      </c>
      <c r="AHW14" s="2">
        <v>-0.3</v>
      </c>
      <c r="AHX14" s="2">
        <v>-6.3</v>
      </c>
      <c r="AHY14" s="2">
        <v>-1.7</v>
      </c>
      <c r="AHZ14" s="2">
        <v>1</v>
      </c>
      <c r="AIA14" s="2">
        <v>0.7</v>
      </c>
      <c r="AIB14" s="2">
        <v>2.1</v>
      </c>
      <c r="AIC14" s="2">
        <v>0.1</v>
      </c>
      <c r="AID14" s="2">
        <v>0.5</v>
      </c>
      <c r="AIE14" s="2">
        <v>-0.4</v>
      </c>
      <c r="AIF14" s="2">
        <v>2.6</v>
      </c>
      <c r="AIG14" s="2">
        <v>1.6</v>
      </c>
      <c r="AIH14" s="2">
        <v>0.7</v>
      </c>
      <c r="AII14" s="2">
        <v>0.7</v>
      </c>
      <c r="AIJ14" s="2">
        <v>1</v>
      </c>
      <c r="AIK14" s="2">
        <v>0.5</v>
      </c>
      <c r="AIL14" s="2">
        <v>0.2</v>
      </c>
      <c r="AIM14" s="2">
        <v>1.5</v>
      </c>
      <c r="AIN14" s="2">
        <v>0.6</v>
      </c>
      <c r="AIO14" s="2">
        <v>0.3</v>
      </c>
      <c r="AIP14" s="2">
        <v>0.4</v>
      </c>
      <c r="AIQ14" s="2">
        <v>0.2</v>
      </c>
      <c r="AIR14" s="2">
        <v>0.4</v>
      </c>
      <c r="AIS14" s="2">
        <v>0</v>
      </c>
      <c r="AIT14" s="2">
        <v>0.5</v>
      </c>
      <c r="AIU14" s="2">
        <v>1.1</v>
      </c>
      <c r="AIV14" s="2">
        <v>0.1</v>
      </c>
      <c r="AIW14" s="2">
        <v>0.3</v>
      </c>
      <c r="AIX14" s="2">
        <v>0.5</v>
      </c>
      <c r="AIY14" s="2">
        <v>0.8</v>
      </c>
      <c r="AIZ14" s="2">
        <v>0.7</v>
      </c>
      <c r="AJA14" s="2">
        <v>0.4</v>
      </c>
      <c r="AJB14" s="2">
        <v>0.9</v>
      </c>
      <c r="AJC14" s="2">
        <v>0.6</v>
      </c>
      <c r="AJD14" s="2">
        <v>0.7</v>
      </c>
      <c r="AJE14" s="2">
        <v>-0.1</v>
      </c>
      <c r="AJF14" s="2">
        <v>0.7</v>
      </c>
      <c r="AJG14" s="2">
        <v>0.1</v>
      </c>
      <c r="AJH14" s="2">
        <v>0.3</v>
      </c>
      <c r="AJI14" s="2">
        <v>0.4</v>
      </c>
      <c r="AJJ14" s="2">
        <v>0.5</v>
      </c>
      <c r="AJK14" s="2">
        <v>0.3</v>
      </c>
      <c r="AJL14" s="2">
        <v>-0.2</v>
      </c>
      <c r="AJM14" s="2">
        <v>0.2</v>
      </c>
      <c r="AJN14" s="2">
        <v>0.2</v>
      </c>
      <c r="AJO14" s="2">
        <v>0.4</v>
      </c>
      <c r="AJP14" s="2">
        <v>0.7</v>
      </c>
      <c r="AJQ14" s="2">
        <v>0.4</v>
      </c>
      <c r="AJR14" s="2">
        <v>0</v>
      </c>
      <c r="AJS14" s="2">
        <v>0.1</v>
      </c>
      <c r="AJT14" s="2">
        <v>0</v>
      </c>
      <c r="AJU14" s="2">
        <v>0.4</v>
      </c>
      <c r="AJV14" s="2">
        <v>0.5</v>
      </c>
      <c r="AJW14" s="2">
        <v>1.2</v>
      </c>
      <c r="AJX14" s="2">
        <v>0.6</v>
      </c>
      <c r="AJY14" s="2">
        <v>1</v>
      </c>
      <c r="AJZ14" s="2">
        <v>1.4</v>
      </c>
      <c r="AKA14" s="2">
        <v>2</v>
      </c>
      <c r="AKB14" s="2">
        <v>1.9</v>
      </c>
      <c r="AKC14" s="2">
        <v>3</v>
      </c>
      <c r="AKD14" s="2">
        <v>1.3</v>
      </c>
      <c r="AKE14" s="2">
        <v>1.7</v>
      </c>
      <c r="AKF14" s="2">
        <v>2</v>
      </c>
      <c r="AKG14" s="2">
        <v>1.3</v>
      </c>
      <c r="AKH14" s="2">
        <v>1.2</v>
      </c>
      <c r="AKI14" s="2">
        <v>0.8</v>
      </c>
      <c r="AKJ14" s="2">
        <v>0.6</v>
      </c>
      <c r="AKK14" s="2">
        <v>0.5</v>
      </c>
      <c r="AKL14" s="2">
        <v>0.8</v>
      </c>
      <c r="AKM14" s="2">
        <v>0.6</v>
      </c>
      <c r="AKN14" s="2">
        <v>1</v>
      </c>
      <c r="AKO14" s="2">
        <v>0.9</v>
      </c>
      <c r="AKP14" s="2">
        <v>5.54</v>
      </c>
      <c r="AKQ14" s="2">
        <v>5.6</v>
      </c>
      <c r="AKR14" s="2">
        <v>5.65</v>
      </c>
    </row>
  </sheetData>
  <autoFilter ref="A3:AKR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R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42.7109375" customWidth="1"/>
    <col min="3" max="7" width="20.7109375" customWidth="1"/>
    <col min="8" max="980" width="16.7109375" style="2" customWidth="1"/>
  </cols>
  <sheetData>
    <row r="1">
      <c r="A1" t="inlineStr">
        <is>
          <t>Tier 2: 33 subgroups</t>
        </is>
      </c>
    </row>
    <row r="2">
      <c r="A2" t="inlineStr">
        <is>
          <t>Basket shares sum to 1</t>
        </is>
      </c>
      <c r="E2" s="3">
        <f>SUM(E4:E36)</f>
        <v>1.0</v>
      </c>
    </row>
    <row r="3" ht="50" customHeight="1">
      <c r="A3" s="1" t="inlineStr">
        <is>
          <t>Name</t>
        </is>
      </c>
      <c r="B3" s="1" t="inlineStr">
        <is>
          <t>Parent</t>
        </is>
      </c>
      <c r="C3" s="1" t="inlineStr">
        <is>
          <t>Depth</t>
        </is>
      </c>
      <c r="D3" s="1" t="inlineStr">
        <is>
          <t>Published weight (%)</t>
        </is>
      </c>
      <c r="E3" s="1" t="inlineStr">
        <is>
          <t>Reconciled basket share</t>
        </is>
      </c>
      <c r="F3" s="1" t="inlineStr">
        <is>
          <t>Adjustment from published share</t>
        </is>
      </c>
      <c r="G3" s="1" t="inlineStr">
        <is>
          <t>Within-parent share</t>
        </is>
      </c>
      <c r="H3" s="1" t="inlineStr">
        <is>
          <t>Month | Index Numbers | 2017-09</t>
        </is>
      </c>
      <c r="I3" s="1" t="inlineStr">
        <is>
          <t>Month | Index Numbers | 2017-10</t>
        </is>
      </c>
      <c r="J3" s="1" t="inlineStr">
        <is>
          <t>Month | Index Numbers | 2017-11</t>
        </is>
      </c>
      <c r="K3" s="1" t="inlineStr">
        <is>
          <t>Month | Index Numbers | 2017-12</t>
        </is>
      </c>
      <c r="L3" s="1" t="inlineStr">
        <is>
          <t>Month | Index Numbers | 2018-01</t>
        </is>
      </c>
      <c r="M3" s="1" t="inlineStr">
        <is>
          <t>Month | Index Numbers | 2018-02</t>
        </is>
      </c>
      <c r="N3" s="1" t="inlineStr">
        <is>
          <t>Month | Index Numbers | 2018-03</t>
        </is>
      </c>
      <c r="O3" s="1" t="inlineStr">
        <is>
          <t>Month | Index Numbers | 2018-04</t>
        </is>
      </c>
      <c r="P3" s="1" t="inlineStr">
        <is>
          <t>Month | Index Numbers | 2018-05</t>
        </is>
      </c>
      <c r="Q3" s="1" t="inlineStr">
        <is>
          <t>Month | Index Numbers | 2018-06</t>
        </is>
      </c>
      <c r="R3" s="1" t="inlineStr">
        <is>
          <t>Month | Index Numbers | 2018-07</t>
        </is>
      </c>
      <c r="S3" s="1" t="inlineStr">
        <is>
          <t>Month | Index Numbers | 2018-08</t>
        </is>
      </c>
      <c r="T3" s="1" t="inlineStr">
        <is>
          <t>Month | Index Numbers | 2018-09</t>
        </is>
      </c>
      <c r="U3" s="1" t="inlineStr">
        <is>
          <t>Month | Index Numbers | 2018-10</t>
        </is>
      </c>
      <c r="V3" s="1" t="inlineStr">
        <is>
          <t>Month | Index Numbers | 2018-11</t>
        </is>
      </c>
      <c r="W3" s="1" t="inlineStr">
        <is>
          <t>Month | Index Numbers | 2018-12</t>
        </is>
      </c>
      <c r="X3" s="1" t="inlineStr">
        <is>
          <t>Month | Index Numbers | 2019-01</t>
        </is>
      </c>
      <c r="Y3" s="1" t="inlineStr">
        <is>
          <t>Month | Index Numbers | 2019-02</t>
        </is>
      </c>
      <c r="Z3" s="1" t="inlineStr">
        <is>
          <t>Month | Index Numbers | 2019-03</t>
        </is>
      </c>
      <c r="AA3" s="1" t="inlineStr">
        <is>
          <t>Month | Index Numbers | 2019-04</t>
        </is>
      </c>
      <c r="AB3" s="1" t="inlineStr">
        <is>
          <t>Month | Index Numbers | 2019-05</t>
        </is>
      </c>
      <c r="AC3" s="1" t="inlineStr">
        <is>
          <t>Month | Index Numbers | 2019-06</t>
        </is>
      </c>
      <c r="AD3" s="1" t="inlineStr">
        <is>
          <t>Month | Index Numbers | 2019-07</t>
        </is>
      </c>
      <c r="AE3" s="1" t="inlineStr">
        <is>
          <t>Month | Index Numbers | 2019-08</t>
        </is>
      </c>
      <c r="AF3" s="1" t="inlineStr">
        <is>
          <t>Month | Index Numbers | 2019-09</t>
        </is>
      </c>
      <c r="AG3" s="1" t="inlineStr">
        <is>
          <t>Month | Index Numbers | 2019-10</t>
        </is>
      </c>
      <c r="AH3" s="1" t="inlineStr">
        <is>
          <t>Month | Index Numbers | 2019-11</t>
        </is>
      </c>
      <c r="AI3" s="1" t="inlineStr">
        <is>
          <t>Month | Index Numbers | 2019-12</t>
        </is>
      </c>
      <c r="AJ3" s="1" t="inlineStr">
        <is>
          <t>Month | Index Numbers | 2020-01</t>
        </is>
      </c>
      <c r="AK3" s="1" t="inlineStr">
        <is>
          <t>Month | Index Numbers | 2020-02</t>
        </is>
      </c>
      <c r="AL3" s="1" t="inlineStr">
        <is>
          <t>Month | Index Numbers | 2020-03</t>
        </is>
      </c>
      <c r="AM3" s="1" t="inlineStr">
        <is>
          <t>Month | Index Numbers | 2020-04</t>
        </is>
      </c>
      <c r="AN3" s="1" t="inlineStr">
        <is>
          <t>Month | Index Numbers | 2020-05</t>
        </is>
      </c>
      <c r="AO3" s="1" t="inlineStr">
        <is>
          <t>Month | Index Numbers | 2020-06</t>
        </is>
      </c>
      <c r="AP3" s="1" t="inlineStr">
        <is>
          <t>Month | Index Numbers | 2020-07</t>
        </is>
      </c>
      <c r="AQ3" s="1" t="inlineStr">
        <is>
          <t>Month | Index Numbers | 2020-08</t>
        </is>
      </c>
      <c r="AR3" s="1" t="inlineStr">
        <is>
          <t>Month | Index Numbers | 2020-09</t>
        </is>
      </c>
      <c r="AS3" s="1" t="inlineStr">
        <is>
          <t>Month | Index Numbers | 2020-10</t>
        </is>
      </c>
      <c r="AT3" s="1" t="inlineStr">
        <is>
          <t>Month | Index Numbers | 2020-11</t>
        </is>
      </c>
      <c r="AU3" s="1" t="inlineStr">
        <is>
          <t>Month | Index Numbers | 2020-12</t>
        </is>
      </c>
      <c r="AV3" s="1" t="inlineStr">
        <is>
          <t>Month | Index Numbers | 2021-01</t>
        </is>
      </c>
      <c r="AW3" s="1" t="inlineStr">
        <is>
          <t>Month | Index Numbers | 2021-02</t>
        </is>
      </c>
      <c r="AX3" s="1" t="inlineStr">
        <is>
          <t>Month | Index Numbers | 2021-03</t>
        </is>
      </c>
      <c r="AY3" s="1" t="inlineStr">
        <is>
          <t>Month | Index Numbers | 2021-04</t>
        </is>
      </c>
      <c r="AZ3" s="1" t="inlineStr">
        <is>
          <t>Month | Index Numbers | 2021-05</t>
        </is>
      </c>
      <c r="BA3" s="1" t="inlineStr">
        <is>
          <t>Month | Index Numbers | 2021-06</t>
        </is>
      </c>
      <c r="BB3" s="1" t="inlineStr">
        <is>
          <t>Month | Index Numbers | 2021-07</t>
        </is>
      </c>
      <c r="BC3" s="1" t="inlineStr">
        <is>
          <t>Month | Index Numbers | 2021-08</t>
        </is>
      </c>
      <c r="BD3" s="1" t="inlineStr">
        <is>
          <t>Month | Index Numbers | 2021-09</t>
        </is>
      </c>
      <c r="BE3" s="1" t="inlineStr">
        <is>
          <t>Month | Index Numbers | 2021-10</t>
        </is>
      </c>
      <c r="BF3" s="1" t="inlineStr">
        <is>
          <t>Month | Index Numbers | 2021-11</t>
        </is>
      </c>
      <c r="BG3" s="1" t="inlineStr">
        <is>
          <t>Month | Index Numbers | 2021-12</t>
        </is>
      </c>
      <c r="BH3" s="1" t="inlineStr">
        <is>
          <t>Month | Index Numbers | 2022-01</t>
        </is>
      </c>
      <c r="BI3" s="1" t="inlineStr">
        <is>
          <t>Month | Index Numbers | 2022-02</t>
        </is>
      </c>
      <c r="BJ3" s="1" t="inlineStr">
        <is>
          <t>Month | Index Numbers | 2022-03</t>
        </is>
      </c>
      <c r="BK3" s="1" t="inlineStr">
        <is>
          <t>Month | Index Numbers | 2022-04</t>
        </is>
      </c>
      <c r="BL3" s="1" t="inlineStr">
        <is>
          <t>Month | Index Numbers | 2022-05</t>
        </is>
      </c>
      <c r="BM3" s="1" t="inlineStr">
        <is>
          <t>Month | Index Numbers | 2022-06</t>
        </is>
      </c>
      <c r="BN3" s="1" t="inlineStr">
        <is>
          <t>Month | Index Numbers | 2022-07</t>
        </is>
      </c>
      <c r="BO3" s="1" t="inlineStr">
        <is>
          <t>Month | Index Numbers | 2022-08</t>
        </is>
      </c>
      <c r="BP3" s="1" t="inlineStr">
        <is>
          <t>Month | Index Numbers | 2022-09</t>
        </is>
      </c>
      <c r="BQ3" s="1" t="inlineStr">
        <is>
          <t>Month | Index Numbers | 2022-10</t>
        </is>
      </c>
      <c r="BR3" s="1" t="inlineStr">
        <is>
          <t>Month | Index Numbers | 2022-11</t>
        </is>
      </c>
      <c r="BS3" s="1" t="inlineStr">
        <is>
          <t>Month | Index Numbers | 2022-12</t>
        </is>
      </c>
      <c r="BT3" s="1" t="inlineStr">
        <is>
          <t>Month | Index Numbers | 2023-01</t>
        </is>
      </c>
      <c r="BU3" s="1" t="inlineStr">
        <is>
          <t>Month | Index Numbers | 2023-02</t>
        </is>
      </c>
      <c r="BV3" s="1" t="inlineStr">
        <is>
          <t>Month | Index Numbers | 2023-03</t>
        </is>
      </c>
      <c r="BW3" s="1" t="inlineStr">
        <is>
          <t>Month | Index Numbers | 2023-04</t>
        </is>
      </c>
      <c r="BX3" s="1" t="inlineStr">
        <is>
          <t>Month | Index Numbers | 2023-05</t>
        </is>
      </c>
      <c r="BY3" s="1" t="inlineStr">
        <is>
          <t>Month | Index Numbers | 2023-06</t>
        </is>
      </c>
      <c r="BZ3" s="1" t="inlineStr">
        <is>
          <t>Month | Index Numbers | 2023-07</t>
        </is>
      </c>
      <c r="CA3" s="1" t="inlineStr">
        <is>
          <t>Month | Index Numbers | 2023-08</t>
        </is>
      </c>
      <c r="CB3" s="1" t="inlineStr">
        <is>
          <t>Month | Index Numbers | 2023-09</t>
        </is>
      </c>
      <c r="CC3" s="1" t="inlineStr">
        <is>
          <t>Month | Index Numbers | 2023-10</t>
        </is>
      </c>
      <c r="CD3" s="1" t="inlineStr">
        <is>
          <t>Month | Index Numbers | 2023-11</t>
        </is>
      </c>
      <c r="CE3" s="1" t="inlineStr">
        <is>
          <t>Month | Index Numbers | 2023-12</t>
        </is>
      </c>
      <c r="CF3" s="1" t="inlineStr">
        <is>
          <t>Month | Index Numbers | 2024-01</t>
        </is>
      </c>
      <c r="CG3" s="1" t="inlineStr">
        <is>
          <t>Month | Index Numbers | 2024-02</t>
        </is>
      </c>
      <c r="CH3" s="1" t="inlineStr">
        <is>
          <t>Month | Index Numbers | 2024-03</t>
        </is>
      </c>
      <c r="CI3" s="1" t="inlineStr">
        <is>
          <t>Month | Index Numbers | 2024-04</t>
        </is>
      </c>
      <c r="CJ3" s="1" t="inlineStr">
        <is>
          <t>Month | Index Numbers | 2024-05</t>
        </is>
      </c>
      <c r="CK3" s="1" t="inlineStr">
        <is>
          <t>Month | Index Numbers | 2024-06</t>
        </is>
      </c>
      <c r="CL3" s="1" t="inlineStr">
        <is>
          <t>Month | Index Numbers | 2024-07</t>
        </is>
      </c>
      <c r="CM3" s="1" t="inlineStr">
        <is>
          <t>Month | Index Numbers | 2024-08</t>
        </is>
      </c>
      <c r="CN3" s="1" t="inlineStr">
        <is>
          <t>Month | Index Numbers | 2024-09</t>
        </is>
      </c>
      <c r="CO3" s="1" t="inlineStr">
        <is>
          <t>Month | Index Numbers | 2024-10</t>
        </is>
      </c>
      <c r="CP3" s="1" t="inlineStr">
        <is>
          <t>Month | Index Numbers | 2024-11</t>
        </is>
      </c>
      <c r="CQ3" s="1" t="inlineStr">
        <is>
          <t>Month | Index Numbers | 2024-12</t>
        </is>
      </c>
      <c r="CR3" s="1" t="inlineStr">
        <is>
          <t>Month | Index Numbers | 2025-01</t>
        </is>
      </c>
      <c r="CS3" s="1" t="inlineStr">
        <is>
          <t>Month | Index Numbers | 2025-02</t>
        </is>
      </c>
      <c r="CT3" s="1" t="inlineStr">
        <is>
          <t>Month | Index Numbers | 2025-03</t>
        </is>
      </c>
      <c r="CU3" s="1" t="inlineStr">
        <is>
          <t>Month | Index Numbers | 2025-04</t>
        </is>
      </c>
      <c r="CV3" s="1" t="inlineStr">
        <is>
          <t>Month | Index Numbers | 2025-05</t>
        </is>
      </c>
      <c r="CW3" s="1" t="inlineStr">
        <is>
          <t>Month | Index Numbers | 2025-06</t>
        </is>
      </c>
      <c r="CX3" s="1" t="inlineStr">
        <is>
          <t>Month | Index Numbers | 2025-07</t>
        </is>
      </c>
      <c r="CY3" s="1" t="inlineStr">
        <is>
          <t>Month | Index Numbers | 2025-08</t>
        </is>
      </c>
      <c r="CZ3" s="1" t="inlineStr">
        <is>
          <t>Month | Index Numbers | 2025-09</t>
        </is>
      </c>
      <c r="DA3" s="1" t="inlineStr">
        <is>
          <t>Month | Index Numbers | 2025-10</t>
        </is>
      </c>
      <c r="DB3" s="1" t="inlineStr">
        <is>
          <t>Month | Index Numbers | 2025-11</t>
        </is>
      </c>
      <c r="DC3" s="1" t="inlineStr">
        <is>
          <t>Month | Index Numbers | 2025-12</t>
        </is>
      </c>
      <c r="DD3" s="1" t="inlineStr">
        <is>
          <t>Month | Index Numbers | 2026-01</t>
        </is>
      </c>
      <c r="DE3" s="1" t="inlineStr">
        <is>
          <t>Month | Index Numbers | 2026-02</t>
        </is>
      </c>
      <c r="DF3" s="1" t="inlineStr">
        <is>
          <t>Month | Index Numbers | 2026-03</t>
        </is>
      </c>
      <c r="DG3" s="1" t="inlineStr">
        <is>
          <t>Month | Index Numbers | 2026-04</t>
        </is>
      </c>
      <c r="DH3" s="1" t="inlineStr">
        <is>
          <t>Month | Index Numbers | 2026-05</t>
        </is>
      </c>
      <c r="DI3" s="1" t="inlineStr">
        <is>
          <t>Month | Index Numbers | 2026-06</t>
        </is>
      </c>
      <c r="DJ3" s="1" t="inlineStr">
        <is>
          <t>Month | Index Numbers | 2026-07</t>
        </is>
      </c>
      <c r="DK3" s="1" t="inlineStr">
        <is>
          <t>Month | Percentage Change from Corresponding Month of Previous Year | 2018-09</t>
        </is>
      </c>
      <c r="DL3" s="1" t="inlineStr">
        <is>
          <t>Month | Percentage Change from Corresponding Month of Previous Year | 2018-10</t>
        </is>
      </c>
      <c r="DM3" s="1" t="inlineStr">
        <is>
          <t>Month | Percentage Change from Corresponding Month of Previous Year | 2018-11</t>
        </is>
      </c>
      <c r="DN3" s="1" t="inlineStr">
        <is>
          <t>Month | Percentage Change from Corresponding Month of Previous Year | 2018-12</t>
        </is>
      </c>
      <c r="DO3" s="1" t="inlineStr">
        <is>
          <t>Month | Percentage Change from Corresponding Month of Previous Year | 2019-01</t>
        </is>
      </c>
      <c r="DP3" s="1" t="inlineStr">
        <is>
          <t>Month | Percentage Change from Corresponding Month of Previous Year | 2019-02</t>
        </is>
      </c>
      <c r="DQ3" s="1" t="inlineStr">
        <is>
          <t>Month | Percentage Change from Corresponding Month of Previous Year | 2019-03</t>
        </is>
      </c>
      <c r="DR3" s="1" t="inlineStr">
        <is>
          <t>Month | Percentage Change from Corresponding Month of Previous Year | 2019-04</t>
        </is>
      </c>
      <c r="DS3" s="1" t="inlineStr">
        <is>
          <t>Month | Percentage Change from Corresponding Month of Previous Year | 2019-05</t>
        </is>
      </c>
      <c r="DT3" s="1" t="inlineStr">
        <is>
          <t>Month | Percentage Change from Corresponding Month of Previous Year | 2019-06</t>
        </is>
      </c>
      <c r="DU3" s="1" t="inlineStr">
        <is>
          <t>Month | Percentage Change from Corresponding Month of Previous Year | 2019-07</t>
        </is>
      </c>
      <c r="DV3" s="1" t="inlineStr">
        <is>
          <t>Month | Percentage Change from Corresponding Month of Previous Year | 2019-08</t>
        </is>
      </c>
      <c r="DW3" s="1" t="inlineStr">
        <is>
          <t>Month | Percentage Change from Corresponding Month of Previous Year | 2019-09</t>
        </is>
      </c>
      <c r="DX3" s="1" t="inlineStr">
        <is>
          <t>Month | Percentage Change from Corresponding Month of Previous Year | 2019-10</t>
        </is>
      </c>
      <c r="DY3" s="1" t="inlineStr">
        <is>
          <t>Month | Percentage Change from Corresponding Month of Previous Year | 2019-11</t>
        </is>
      </c>
      <c r="DZ3" s="1" t="inlineStr">
        <is>
          <t>Month | Percentage Change from Corresponding Month of Previous Year | 2019-12</t>
        </is>
      </c>
      <c r="EA3" s="1" t="inlineStr">
        <is>
          <t>Month | Percentage Change from Corresponding Month of Previous Year | 2020-01</t>
        </is>
      </c>
      <c r="EB3" s="1" t="inlineStr">
        <is>
          <t>Month | Percentage Change from Corresponding Month of Previous Year | 2020-02</t>
        </is>
      </c>
      <c r="EC3" s="1" t="inlineStr">
        <is>
          <t>Month | Percentage Change from Corresponding Month of Previous Year | 2020-03</t>
        </is>
      </c>
      <c r="ED3" s="1" t="inlineStr">
        <is>
          <t>Month | Percentage Change from Corresponding Month of Previous Year | 2020-04</t>
        </is>
      </c>
      <c r="EE3" s="1" t="inlineStr">
        <is>
          <t>Month | Percentage Change from Corresponding Month of Previous Year | 2020-05</t>
        </is>
      </c>
      <c r="EF3" s="1" t="inlineStr">
        <is>
          <t>Month | Percentage Change from Corresponding Month of Previous Year | 2020-06</t>
        </is>
      </c>
      <c r="EG3" s="1" t="inlineStr">
        <is>
          <t>Month | Percentage Change from Corresponding Month of Previous Year | 2020-07</t>
        </is>
      </c>
      <c r="EH3" s="1" t="inlineStr">
        <is>
          <t>Month | Percentage Change from Corresponding Month of Previous Year | 2020-08</t>
        </is>
      </c>
      <c r="EI3" s="1" t="inlineStr">
        <is>
          <t>Month | Percentage Change from Corresponding Month of Previous Year | 2020-09</t>
        </is>
      </c>
      <c r="EJ3" s="1" t="inlineStr">
        <is>
          <t>Month | Percentage Change from Corresponding Month of Previous Year | 2020-10</t>
        </is>
      </c>
      <c r="EK3" s="1" t="inlineStr">
        <is>
          <t>Month | Percentage Change from Corresponding Month of Previous Year | 2020-11</t>
        </is>
      </c>
      <c r="EL3" s="1" t="inlineStr">
        <is>
          <t>Month | Percentage Change from Corresponding Month of Previous Year | 2020-12</t>
        </is>
      </c>
      <c r="EM3" s="1" t="inlineStr">
        <is>
          <t>Month | Percentage Change from Corresponding Month of Previous Year | 2021-01</t>
        </is>
      </c>
      <c r="EN3" s="1" t="inlineStr">
        <is>
          <t>Month | Percentage Change from Corresponding Month of Previous Year | 2021-02</t>
        </is>
      </c>
      <c r="EO3" s="1" t="inlineStr">
        <is>
          <t>Month | Percentage Change from Corresponding Month of Previous Year | 2021-03</t>
        </is>
      </c>
      <c r="EP3" s="1" t="inlineStr">
        <is>
          <t>Month | Percentage Change from Corresponding Month of Previous Year | 2021-04</t>
        </is>
      </c>
      <c r="EQ3" s="1" t="inlineStr">
        <is>
          <t>Month | Percentage Change from Corresponding Month of Previous Year | 2021-05</t>
        </is>
      </c>
      <c r="ER3" s="1" t="inlineStr">
        <is>
          <t>Month | Percentage Change from Corresponding Month of Previous Year | 2021-06</t>
        </is>
      </c>
      <c r="ES3" s="1" t="inlineStr">
        <is>
          <t>Month | Percentage Change from Corresponding Month of Previous Year | 2021-07</t>
        </is>
      </c>
      <c r="ET3" s="1" t="inlineStr">
        <is>
          <t>Month | Percentage Change from Corresponding Month of Previous Year | 2021-08</t>
        </is>
      </c>
      <c r="EU3" s="1" t="inlineStr">
        <is>
          <t>Month | Percentage Change from Corresponding Month of Previous Year | 2021-09</t>
        </is>
      </c>
      <c r="EV3" s="1" t="inlineStr">
        <is>
          <t>Month | Percentage Change from Corresponding Month of Previous Year | 2021-10</t>
        </is>
      </c>
      <c r="EW3" s="1" t="inlineStr">
        <is>
          <t>Month | Percentage Change from Corresponding Month of Previous Year | 2021-11</t>
        </is>
      </c>
      <c r="EX3" s="1" t="inlineStr">
        <is>
          <t>Month | Percentage Change from Corresponding Month of Previous Year | 2021-12</t>
        </is>
      </c>
      <c r="EY3" s="1" t="inlineStr">
        <is>
          <t>Month | Percentage Change from Corresponding Month of Previous Year | 2022-01</t>
        </is>
      </c>
      <c r="EZ3" s="1" t="inlineStr">
        <is>
          <t>Month | Percentage Change from Corresponding Month of Previous Year | 2022-02</t>
        </is>
      </c>
      <c r="FA3" s="1" t="inlineStr">
        <is>
          <t>Month | Percentage Change from Corresponding Month of Previous Year | 2022-03</t>
        </is>
      </c>
      <c r="FB3" s="1" t="inlineStr">
        <is>
          <t>Month | Percentage Change from Corresponding Month of Previous Year | 2022-04</t>
        </is>
      </c>
      <c r="FC3" s="1" t="inlineStr">
        <is>
          <t>Month | Percentage Change from Corresponding Month of Previous Year | 2022-05</t>
        </is>
      </c>
      <c r="FD3" s="1" t="inlineStr">
        <is>
          <t>Month | Percentage Change from Corresponding Month of Previous Year | 2022-06</t>
        </is>
      </c>
      <c r="FE3" s="1" t="inlineStr">
        <is>
          <t>Month | Percentage Change from Corresponding Month of Previous Year | 2022-07</t>
        </is>
      </c>
      <c r="FF3" s="1" t="inlineStr">
        <is>
          <t>Month | Percentage Change from Corresponding Month of Previous Year | 2022-08</t>
        </is>
      </c>
      <c r="FG3" s="1" t="inlineStr">
        <is>
          <t>Month | Percentage Change from Corresponding Month of Previous Year | 2022-09</t>
        </is>
      </c>
      <c r="FH3" s="1" t="inlineStr">
        <is>
          <t>Month | Percentage Change from Corresponding Month of Previous Year | 2022-10</t>
        </is>
      </c>
      <c r="FI3" s="1" t="inlineStr">
        <is>
          <t>Month | Percentage Change from Corresponding Month of Previous Year | 2022-11</t>
        </is>
      </c>
      <c r="FJ3" s="1" t="inlineStr">
        <is>
          <t>Month | Percentage Change from Corresponding Month of Previous Year | 2022-12</t>
        </is>
      </c>
      <c r="FK3" s="1" t="inlineStr">
        <is>
          <t>Month | Percentage Change from Corresponding Month of Previous Year | 2023-01</t>
        </is>
      </c>
      <c r="FL3" s="1" t="inlineStr">
        <is>
          <t>Month | Percentage Change from Corresponding Month of Previous Year | 2023-02</t>
        </is>
      </c>
      <c r="FM3" s="1" t="inlineStr">
        <is>
          <t>Month | Percentage Change from Corresponding Month of Previous Year | 2023-03</t>
        </is>
      </c>
      <c r="FN3" s="1" t="inlineStr">
        <is>
          <t>Month | Percentage Change from Corresponding Month of Previous Year | 2023-04</t>
        </is>
      </c>
      <c r="FO3" s="1" t="inlineStr">
        <is>
          <t>Month | Percentage Change from Corresponding Month of Previous Year | 2023-05</t>
        </is>
      </c>
      <c r="FP3" s="1" t="inlineStr">
        <is>
          <t>Month | Percentage Change from Corresponding Month of Previous Year | 2023-06</t>
        </is>
      </c>
      <c r="FQ3" s="1" t="inlineStr">
        <is>
          <t>Month | Percentage Change from Corresponding Month of Previous Year | 2023-07</t>
        </is>
      </c>
      <c r="FR3" s="1" t="inlineStr">
        <is>
          <t>Month | Percentage Change from Corresponding Month of Previous Year | 2023-08</t>
        </is>
      </c>
      <c r="FS3" s="1" t="inlineStr">
        <is>
          <t>Month | Percentage Change from Corresponding Month of Previous Year | 2023-09</t>
        </is>
      </c>
      <c r="FT3" s="1" t="inlineStr">
        <is>
          <t>Month | Percentage Change from Corresponding Month of Previous Year | 2023-10</t>
        </is>
      </c>
      <c r="FU3" s="1" t="inlineStr">
        <is>
          <t>Month | Percentage Change from Corresponding Month of Previous Year | 2023-11</t>
        </is>
      </c>
      <c r="FV3" s="1" t="inlineStr">
        <is>
          <t>Month | Percentage Change from Corresponding Month of Previous Year | 2023-12</t>
        </is>
      </c>
      <c r="FW3" s="1" t="inlineStr">
        <is>
          <t>Month | Percentage Change from Corresponding Month of Previous Year | 2024-01</t>
        </is>
      </c>
      <c r="FX3" s="1" t="inlineStr">
        <is>
          <t>Month | Percentage Change from Corresponding Month of Previous Year | 2024-02</t>
        </is>
      </c>
      <c r="FY3" s="1" t="inlineStr">
        <is>
          <t>Month | Percentage Change from Corresponding Month of Previous Year | 2024-03</t>
        </is>
      </c>
      <c r="FZ3" s="1" t="inlineStr">
        <is>
          <t>Month | Percentage Change from Corresponding Month of Previous Year | 2024-04</t>
        </is>
      </c>
      <c r="GA3" s="1" t="inlineStr">
        <is>
          <t>Month | Percentage Change from Corresponding Month of Previous Year | 2024-05</t>
        </is>
      </c>
      <c r="GB3" s="1" t="inlineStr">
        <is>
          <t>Month | Percentage Change from Corresponding Month of Previous Year | 2024-06</t>
        </is>
      </c>
      <c r="GC3" s="1" t="inlineStr">
        <is>
          <t>Month | Percentage Change from Corresponding Month of Previous Year | 2024-07</t>
        </is>
      </c>
      <c r="GD3" s="1" t="inlineStr">
        <is>
          <t>Month | Percentage Change from Corresponding Month of Previous Year | 2024-08</t>
        </is>
      </c>
      <c r="GE3" s="1" t="inlineStr">
        <is>
          <t>Month | Percentage Change from Corresponding Month of Previous Year | 2024-09</t>
        </is>
      </c>
      <c r="GF3" s="1" t="inlineStr">
        <is>
          <t>Month | Percentage Change from Corresponding Month of Previous Year | 2024-10</t>
        </is>
      </c>
      <c r="GG3" s="1" t="inlineStr">
        <is>
          <t>Month | Percentage Change from Corresponding Month of Previous Year | 2024-11</t>
        </is>
      </c>
      <c r="GH3" s="1" t="inlineStr">
        <is>
          <t>Month | Percentage Change from Corresponding Month of Previous Year | 2024-12</t>
        </is>
      </c>
      <c r="GI3" s="1" t="inlineStr">
        <is>
          <t>Month | Percentage Change from Corresponding Month of Previous Year | 2025-01</t>
        </is>
      </c>
      <c r="GJ3" s="1" t="inlineStr">
        <is>
          <t>Month | Percentage Change from Corresponding Month of Previous Year | 2025-02</t>
        </is>
      </c>
      <c r="GK3" s="1" t="inlineStr">
        <is>
          <t>Month | Percentage Change from Corresponding Month of Previous Year | 2025-03</t>
        </is>
      </c>
      <c r="GL3" s="1" t="inlineStr">
        <is>
          <t>Month | Percentage Change from Corresponding Month of Previous Year | 2025-04</t>
        </is>
      </c>
      <c r="GM3" s="1" t="inlineStr">
        <is>
          <t>Month | Percentage Change from Corresponding Month of Previous Year | 2025-05</t>
        </is>
      </c>
      <c r="GN3" s="1" t="inlineStr">
        <is>
          <t>Month | Percentage Change from Corresponding Month of Previous Year | 2025-06</t>
        </is>
      </c>
      <c r="GO3" s="1" t="inlineStr">
        <is>
          <t>Month | Percentage Change from Corresponding Month of Previous Year | 2025-07</t>
        </is>
      </c>
      <c r="GP3" s="1" t="inlineStr">
        <is>
          <t>Month | Percentage Change from Corresponding Month of Previous Year | 2025-08</t>
        </is>
      </c>
      <c r="GQ3" s="1" t="inlineStr">
        <is>
          <t>Month | Percentage Change from Corresponding Month of Previous Year | 2025-09</t>
        </is>
      </c>
      <c r="GR3" s="1" t="inlineStr">
        <is>
          <t>Month | Percentage Change from Corresponding Month of Previous Year | 2025-10</t>
        </is>
      </c>
      <c r="GS3" s="1" t="inlineStr">
        <is>
          <t>Month | Percentage Change from Corresponding Month of Previous Year | 2025-11</t>
        </is>
      </c>
      <c r="GT3" s="1" t="inlineStr">
        <is>
          <t>Month | Percentage Change from Corresponding Month of Previous Year | 2025-12</t>
        </is>
      </c>
      <c r="GU3" s="1" t="inlineStr">
        <is>
          <t>Month | Percentage Change from Corresponding Month of Previous Year | 2026-01</t>
        </is>
      </c>
      <c r="GV3" s="1" t="inlineStr">
        <is>
          <t>Month | Percentage Change from Corresponding Month of Previous Year | 2026-02</t>
        </is>
      </c>
      <c r="GW3" s="1" t="inlineStr">
        <is>
          <t>Month | Percentage Change from Corresponding Month of Previous Year | 2026-03</t>
        </is>
      </c>
      <c r="GX3" s="1" t="inlineStr">
        <is>
          <t>Month | Percentage Change from Corresponding Month of Previous Year | 2026-04</t>
        </is>
      </c>
      <c r="GY3" s="1" t="inlineStr">
        <is>
          <t>Month | Percentage Change from Corresponding Month of Previous Year | 2026-05</t>
        </is>
      </c>
      <c r="GZ3" s="1" t="inlineStr">
        <is>
          <t>Month | Percentage Change from Corresponding Month of Previous Year | 2026-06</t>
        </is>
      </c>
      <c r="HA3" s="1" t="inlineStr">
        <is>
          <t>Month | Percentage Change from Corresponding Month of Previous Year | 2026-07</t>
        </is>
      </c>
      <c r="HB3" s="1" t="inlineStr">
        <is>
          <t>Month | Percentage Change from Previous Period | 2017-10</t>
        </is>
      </c>
      <c r="HC3" s="1" t="inlineStr">
        <is>
          <t>Month | Percentage Change from Previous Period | 2017-11</t>
        </is>
      </c>
      <c r="HD3" s="1" t="inlineStr">
        <is>
          <t>Month | Percentage Change from Previous Period | 2017-12</t>
        </is>
      </c>
      <c r="HE3" s="1" t="inlineStr">
        <is>
          <t>Month | Percentage Change from Previous Period | 2018-01</t>
        </is>
      </c>
      <c r="HF3" s="1" t="inlineStr">
        <is>
          <t>Month | Percentage Change from Previous Period | 2018-02</t>
        </is>
      </c>
      <c r="HG3" s="1" t="inlineStr">
        <is>
          <t>Month | Percentage Change from Previous Period | 2018-03</t>
        </is>
      </c>
      <c r="HH3" s="1" t="inlineStr">
        <is>
          <t>Month | Percentage Change from Previous Period | 2018-04</t>
        </is>
      </c>
      <c r="HI3" s="1" t="inlineStr">
        <is>
          <t>Month | Percentage Change from Previous Period | 2018-05</t>
        </is>
      </c>
      <c r="HJ3" s="1" t="inlineStr">
        <is>
          <t>Month | Percentage Change from Previous Period | 2018-06</t>
        </is>
      </c>
      <c r="HK3" s="1" t="inlineStr">
        <is>
          <t>Month | Percentage Change from Previous Period | 2018-07</t>
        </is>
      </c>
      <c r="HL3" s="1" t="inlineStr">
        <is>
          <t>Month | Percentage Change from Previous Period | 2018-08</t>
        </is>
      </c>
      <c r="HM3" s="1" t="inlineStr">
        <is>
          <t>Month | Percentage Change from Previous Period | 2018-09</t>
        </is>
      </c>
      <c r="HN3" s="1" t="inlineStr">
        <is>
          <t>Month | Percentage Change from Previous Period | 2018-10</t>
        </is>
      </c>
      <c r="HO3" s="1" t="inlineStr">
        <is>
          <t>Month | Percentage Change from Previous Period | 2018-11</t>
        </is>
      </c>
      <c r="HP3" s="1" t="inlineStr">
        <is>
          <t>Month | Percentage Change from Previous Period | 2018-12</t>
        </is>
      </c>
      <c r="HQ3" s="1" t="inlineStr">
        <is>
          <t>Month | Percentage Change from Previous Period | 2019-01</t>
        </is>
      </c>
      <c r="HR3" s="1" t="inlineStr">
        <is>
          <t>Month | Percentage Change from Previous Period | 2019-02</t>
        </is>
      </c>
      <c r="HS3" s="1" t="inlineStr">
        <is>
          <t>Month | Percentage Change from Previous Period | 2019-03</t>
        </is>
      </c>
      <c r="HT3" s="1" t="inlineStr">
        <is>
          <t>Month | Percentage Change from Previous Period | 2019-04</t>
        </is>
      </c>
      <c r="HU3" s="1" t="inlineStr">
        <is>
          <t>Month | Percentage Change from Previous Period | 2019-05</t>
        </is>
      </c>
      <c r="HV3" s="1" t="inlineStr">
        <is>
          <t>Month | Percentage Change from Previous Period | 2019-06</t>
        </is>
      </c>
      <c r="HW3" s="1" t="inlineStr">
        <is>
          <t>Month | Percentage Change from Previous Period | 2019-07</t>
        </is>
      </c>
      <c r="HX3" s="1" t="inlineStr">
        <is>
          <t>Month | Percentage Change from Previous Period | 2019-08</t>
        </is>
      </c>
      <c r="HY3" s="1" t="inlineStr">
        <is>
          <t>Month | Percentage Change from Previous Period | 2019-09</t>
        </is>
      </c>
      <c r="HZ3" s="1" t="inlineStr">
        <is>
          <t>Month | Percentage Change from Previous Period | 2019-10</t>
        </is>
      </c>
      <c r="IA3" s="1" t="inlineStr">
        <is>
          <t>Month | Percentage Change from Previous Period | 2019-11</t>
        </is>
      </c>
      <c r="IB3" s="1" t="inlineStr">
        <is>
          <t>Month | Percentage Change from Previous Period | 2019-12</t>
        </is>
      </c>
      <c r="IC3" s="1" t="inlineStr">
        <is>
          <t>Month | Percentage Change from Previous Period | 2020-01</t>
        </is>
      </c>
      <c r="ID3" s="1" t="inlineStr">
        <is>
          <t>Month | Percentage Change from Previous Period | 2020-02</t>
        </is>
      </c>
      <c r="IE3" s="1" t="inlineStr">
        <is>
          <t>Month | Percentage Change from Previous Period | 2020-03</t>
        </is>
      </c>
      <c r="IF3" s="1" t="inlineStr">
        <is>
          <t>Month | Percentage Change from Previous Period | 2020-04</t>
        </is>
      </c>
      <c r="IG3" s="1" t="inlineStr">
        <is>
          <t>Month | Percentage Change from Previous Period | 2020-05</t>
        </is>
      </c>
      <c r="IH3" s="1" t="inlineStr">
        <is>
          <t>Month | Percentage Change from Previous Period | 2020-06</t>
        </is>
      </c>
      <c r="II3" s="1" t="inlineStr">
        <is>
          <t>Month | Percentage Change from Previous Period | 2020-07</t>
        </is>
      </c>
      <c r="IJ3" s="1" t="inlineStr">
        <is>
          <t>Month | Percentage Change from Previous Period | 2020-08</t>
        </is>
      </c>
      <c r="IK3" s="1" t="inlineStr">
        <is>
          <t>Month | Percentage Change from Previous Period | 2020-09</t>
        </is>
      </c>
      <c r="IL3" s="1" t="inlineStr">
        <is>
          <t>Month | Percentage Change from Previous Period | 2020-10</t>
        </is>
      </c>
      <c r="IM3" s="1" t="inlineStr">
        <is>
          <t>Month | Percentage Change from Previous Period | 2020-11</t>
        </is>
      </c>
      <c r="IN3" s="1" t="inlineStr">
        <is>
          <t>Month | Percentage Change from Previous Period | 2020-12</t>
        </is>
      </c>
      <c r="IO3" s="1" t="inlineStr">
        <is>
          <t>Month | Percentage Change from Previous Period | 2021-01</t>
        </is>
      </c>
      <c r="IP3" s="1" t="inlineStr">
        <is>
          <t>Month | Percentage Change from Previous Period | 2021-02</t>
        </is>
      </c>
      <c r="IQ3" s="1" t="inlineStr">
        <is>
          <t>Month | Percentage Change from Previous Period | 2021-03</t>
        </is>
      </c>
      <c r="IR3" s="1" t="inlineStr">
        <is>
          <t>Month | Percentage Change from Previous Period | 2021-04</t>
        </is>
      </c>
      <c r="IS3" s="1" t="inlineStr">
        <is>
          <t>Month | Percentage Change from Previous Period | 2021-05</t>
        </is>
      </c>
      <c r="IT3" s="1" t="inlineStr">
        <is>
          <t>Month | Percentage Change from Previous Period | 2021-06</t>
        </is>
      </c>
      <c r="IU3" s="1" t="inlineStr">
        <is>
          <t>Month | Percentage Change from Previous Period | 2021-07</t>
        </is>
      </c>
      <c r="IV3" s="1" t="inlineStr">
        <is>
          <t>Month | Percentage Change from Previous Period | 2021-08</t>
        </is>
      </c>
      <c r="IW3" s="1" t="inlineStr">
        <is>
          <t>Month | Percentage Change from Previous Period | 2021-09</t>
        </is>
      </c>
      <c r="IX3" s="1" t="inlineStr">
        <is>
          <t>Month | Percentage Change from Previous Period | 2021-10</t>
        </is>
      </c>
      <c r="IY3" s="1" t="inlineStr">
        <is>
          <t>Month | Percentage Change from Previous Period | 2021-11</t>
        </is>
      </c>
      <c r="IZ3" s="1" t="inlineStr">
        <is>
          <t>Month | Percentage Change from Previous Period | 2021-12</t>
        </is>
      </c>
      <c r="JA3" s="1" t="inlineStr">
        <is>
          <t>Month | Percentage Change from Previous Period | 2022-01</t>
        </is>
      </c>
      <c r="JB3" s="1" t="inlineStr">
        <is>
          <t>Month | Percentage Change from Previous Period | 2022-02</t>
        </is>
      </c>
      <c r="JC3" s="1" t="inlineStr">
        <is>
          <t>Month | Percentage Change from Previous Period | 2022-03</t>
        </is>
      </c>
      <c r="JD3" s="1" t="inlineStr">
        <is>
          <t>Month | Percentage Change from Previous Period | 2022-04</t>
        </is>
      </c>
      <c r="JE3" s="1" t="inlineStr">
        <is>
          <t>Month | Percentage Change from Previous Period | 2022-05</t>
        </is>
      </c>
      <c r="JF3" s="1" t="inlineStr">
        <is>
          <t>Month | Percentage Change from Previous Period | 2022-06</t>
        </is>
      </c>
      <c r="JG3" s="1" t="inlineStr">
        <is>
          <t>Month | Percentage Change from Previous Period | 2022-07</t>
        </is>
      </c>
      <c r="JH3" s="1" t="inlineStr">
        <is>
          <t>Month | Percentage Change from Previous Period | 2022-08</t>
        </is>
      </c>
      <c r="JI3" s="1" t="inlineStr">
        <is>
          <t>Month | Percentage Change from Previous Period | 2022-09</t>
        </is>
      </c>
      <c r="JJ3" s="1" t="inlineStr">
        <is>
          <t>Month | Percentage Change from Previous Period | 2022-10</t>
        </is>
      </c>
      <c r="JK3" s="1" t="inlineStr">
        <is>
          <t>Month | Percentage Change from Previous Period | 2022-11</t>
        </is>
      </c>
      <c r="JL3" s="1" t="inlineStr">
        <is>
          <t>Month | Percentage Change from Previous Period | 2022-12</t>
        </is>
      </c>
      <c r="JM3" s="1" t="inlineStr">
        <is>
          <t>Month | Percentage Change from Previous Period | 2023-01</t>
        </is>
      </c>
      <c r="JN3" s="1" t="inlineStr">
        <is>
          <t>Month | Percentage Change from Previous Period | 2023-02</t>
        </is>
      </c>
      <c r="JO3" s="1" t="inlineStr">
        <is>
          <t>Month | Percentage Change from Previous Period | 2023-03</t>
        </is>
      </c>
      <c r="JP3" s="1" t="inlineStr">
        <is>
          <t>Month | Percentage Change from Previous Period | 2023-04</t>
        </is>
      </c>
      <c r="JQ3" s="1" t="inlineStr">
        <is>
          <t>Month | Percentage Change from Previous Period | 2023-05</t>
        </is>
      </c>
      <c r="JR3" s="1" t="inlineStr">
        <is>
          <t>Month | Percentage Change from Previous Period | 2023-06</t>
        </is>
      </c>
      <c r="JS3" s="1" t="inlineStr">
        <is>
          <t>Month | Percentage Change from Previous Period | 2023-07</t>
        </is>
      </c>
      <c r="JT3" s="1" t="inlineStr">
        <is>
          <t>Month | Percentage Change from Previous Period | 2023-08</t>
        </is>
      </c>
      <c r="JU3" s="1" t="inlineStr">
        <is>
          <t>Month | Percentage Change from Previous Period | 2023-09</t>
        </is>
      </c>
      <c r="JV3" s="1" t="inlineStr">
        <is>
          <t>Month | Percentage Change from Previous Period | 2023-10</t>
        </is>
      </c>
      <c r="JW3" s="1" t="inlineStr">
        <is>
          <t>Month | Percentage Change from Previous Period | 2023-11</t>
        </is>
      </c>
      <c r="JX3" s="1" t="inlineStr">
        <is>
          <t>Month | Percentage Change from Previous Period | 2023-12</t>
        </is>
      </c>
      <c r="JY3" s="1" t="inlineStr">
        <is>
          <t>Month | Percentage Change from Previous Period | 2024-01</t>
        </is>
      </c>
      <c r="JZ3" s="1" t="inlineStr">
        <is>
          <t>Month | Percentage Change from Previous Period | 2024-02</t>
        </is>
      </c>
      <c r="KA3" s="1" t="inlineStr">
        <is>
          <t>Month | Percentage Change from Previous Period | 2024-03</t>
        </is>
      </c>
      <c r="KB3" s="1" t="inlineStr">
        <is>
          <t>Month | Percentage Change from Previous Period | 2024-04</t>
        </is>
      </c>
      <c r="KC3" s="1" t="inlineStr">
        <is>
          <t>Month | Percentage Change from Previous Period | 2024-05</t>
        </is>
      </c>
      <c r="KD3" s="1" t="inlineStr">
        <is>
          <t>Month | Percentage Change from Previous Period | 2024-06</t>
        </is>
      </c>
      <c r="KE3" s="1" t="inlineStr">
        <is>
          <t>Month | Percentage Change from Previous Period | 2024-07</t>
        </is>
      </c>
      <c r="KF3" s="1" t="inlineStr">
        <is>
          <t>Month | Percentage Change from Previous Period | 2024-08</t>
        </is>
      </c>
      <c r="KG3" s="1" t="inlineStr">
        <is>
          <t>Month | Percentage Change from Previous Period | 2024-09</t>
        </is>
      </c>
      <c r="KH3" s="1" t="inlineStr">
        <is>
          <t>Month | Percentage Change from Previous Period | 2024-10</t>
        </is>
      </c>
      <c r="KI3" s="1" t="inlineStr">
        <is>
          <t>Month | Percentage Change from Previous Period | 2024-11</t>
        </is>
      </c>
      <c r="KJ3" s="1" t="inlineStr">
        <is>
          <t>Month | Percentage Change from Previous Period | 2024-12</t>
        </is>
      </c>
      <c r="KK3" s="1" t="inlineStr">
        <is>
          <t>Month | Percentage Change from Previous Period | 2025-01</t>
        </is>
      </c>
      <c r="KL3" s="1" t="inlineStr">
        <is>
          <t>Month | Percentage Change from Previous Period | 2025-02</t>
        </is>
      </c>
      <c r="KM3" s="1" t="inlineStr">
        <is>
          <t>Month | Percentage Change from Previous Period | 2025-03</t>
        </is>
      </c>
      <c r="KN3" s="1" t="inlineStr">
        <is>
          <t>Month | Percentage Change from Previous Period | 2025-04</t>
        </is>
      </c>
      <c r="KO3" s="1" t="inlineStr">
        <is>
          <t>Month | Percentage Change from Previous Period | 2025-05</t>
        </is>
      </c>
      <c r="KP3" s="1" t="inlineStr">
        <is>
          <t>Month | Percentage Change from Previous Period | 2025-06</t>
        </is>
      </c>
      <c r="KQ3" s="1" t="inlineStr">
        <is>
          <t>Month | Percentage Change from Previous Period | 2025-07</t>
        </is>
      </c>
      <c r="KR3" s="1" t="inlineStr">
        <is>
          <t>Month | Percentage Change from Previous Period | 2025-08</t>
        </is>
      </c>
      <c r="KS3" s="1" t="inlineStr">
        <is>
          <t>Month | Percentage Change from Previous Period | 2025-09</t>
        </is>
      </c>
      <c r="KT3" s="1" t="inlineStr">
        <is>
          <t>Month | Percentage Change from Previous Period | 2025-10</t>
        </is>
      </c>
      <c r="KU3" s="1" t="inlineStr">
        <is>
          <t>Month | Percentage Change from Previous Period | 2025-11</t>
        </is>
      </c>
      <c r="KV3" s="1" t="inlineStr">
        <is>
          <t>Month | Percentage Change from Previous Period | 2025-12</t>
        </is>
      </c>
      <c r="KW3" s="1" t="inlineStr">
        <is>
          <t>Month | Percentage Change from Previous Period | 2026-01</t>
        </is>
      </c>
      <c r="KX3" s="1" t="inlineStr">
        <is>
          <t>Month | Percentage Change from Previous Period | 2026-02</t>
        </is>
      </c>
      <c r="KY3" s="1" t="inlineStr">
        <is>
          <t>Month | Percentage Change from Previous Period | 2026-03</t>
        </is>
      </c>
      <c r="KZ3" s="1" t="inlineStr">
        <is>
          <t>Month | Percentage Change from Previous Period | 2026-04</t>
        </is>
      </c>
      <c r="LA3" s="1" t="inlineStr">
        <is>
          <t>Month | Percentage Change from Previous Period | 2026-05</t>
        </is>
      </c>
      <c r="LB3" s="1" t="inlineStr">
        <is>
          <t>Month | Percentage Change from Previous Period | 2026-06</t>
        </is>
      </c>
      <c r="LC3" s="1" t="inlineStr">
        <is>
          <t>Month | Percentage Change from Previous Period | 2026-07</t>
        </is>
      </c>
      <c r="LD3" s="1" t="inlineStr">
        <is>
          <t>Month | Contribution to All groups CPI Index Number | 2024-12</t>
        </is>
      </c>
      <c r="LE3" s="1" t="inlineStr">
        <is>
          <t>Month | Contribution to All groups CPI Index Number | 2025-01</t>
        </is>
      </c>
      <c r="LF3" s="1" t="inlineStr">
        <is>
          <t>Month | Contribution to All groups CPI Index Number | 2025-02</t>
        </is>
      </c>
      <c r="LG3" s="1" t="inlineStr">
        <is>
          <t>Month | Contribution to All groups CPI Index Number | 2025-03</t>
        </is>
      </c>
      <c r="LH3" s="1" t="inlineStr">
        <is>
          <t>Month | Contribution to All groups CPI Index Number | 2025-04</t>
        </is>
      </c>
      <c r="LI3" s="1" t="inlineStr">
        <is>
          <t>Month | Contribution to All groups CPI Index Number | 2025-05</t>
        </is>
      </c>
      <c r="LJ3" s="1" t="inlineStr">
        <is>
          <t>Month | Contribution to All groups CPI Index Number | 2025-06</t>
        </is>
      </c>
      <c r="LK3" s="1" t="inlineStr">
        <is>
          <t>Month | Contribution to All groups CPI Index Number | 2025-07</t>
        </is>
      </c>
      <c r="LL3" s="1" t="inlineStr">
        <is>
          <t>Month | Contribution to All groups CPI Index Number | 2025-08</t>
        </is>
      </c>
      <c r="LM3" s="1" t="inlineStr">
        <is>
          <t>Month | Contribution to All groups CPI Index Number | 2025-09</t>
        </is>
      </c>
      <c r="LN3" s="1" t="inlineStr">
        <is>
          <t>Month | Contribution to All groups CPI Index Number | 2025-10</t>
        </is>
      </c>
      <c r="LO3" s="1" t="inlineStr">
        <is>
          <t>Month | Contribution to All groups CPI Index Number | 2025-11</t>
        </is>
      </c>
      <c r="LP3" s="1" t="inlineStr">
        <is>
          <t>Month | Contribution to All groups CPI Index Number | 2025-12</t>
        </is>
      </c>
      <c r="LQ3" s="1" t="inlineStr">
        <is>
          <t>Month | Contribution to All groups CPI Index Number | 2026-01</t>
        </is>
      </c>
      <c r="LR3" s="1" t="inlineStr">
        <is>
          <t>Month | Contribution to All groups CPI Index Number | 2026-02</t>
        </is>
      </c>
      <c r="LS3" s="1" t="inlineStr">
        <is>
          <t>Month | Contribution to All groups CPI Index Number | 2026-03</t>
        </is>
      </c>
      <c r="LT3" s="1" t="inlineStr">
        <is>
          <t>Month | Contribution to All groups CPI Index Number | 2026-04</t>
        </is>
      </c>
      <c r="LU3" s="1" t="inlineStr">
        <is>
          <t>Month | Contribution to All groups CPI Index Number | 2026-05</t>
        </is>
      </c>
      <c r="LV3" s="1" t="inlineStr">
        <is>
          <t>Month | Contribution to All groups CPI Index Number | 2026-06</t>
        </is>
      </c>
      <c r="LW3" s="1" t="inlineStr">
        <is>
          <t>Month | Contribution to All groups CPI Index Number | 2026-07</t>
        </is>
      </c>
      <c r="LX3" s="1" t="inlineStr">
        <is>
          <t>Month | Change in Contribution to All groups CPI Index Number | 2025-01</t>
        </is>
      </c>
      <c r="LY3" s="1" t="inlineStr">
        <is>
          <t>Month | Change in Contribution to All groups CPI Index Number | 2025-02</t>
        </is>
      </c>
      <c r="LZ3" s="1" t="inlineStr">
        <is>
          <t>Month | Change in Contribution to All groups CPI Index Number | 2025-03</t>
        </is>
      </c>
      <c r="MA3" s="1" t="inlineStr">
        <is>
          <t>Month | Change in Contribution to All groups CPI Index Number | 2025-04</t>
        </is>
      </c>
      <c r="MB3" s="1" t="inlineStr">
        <is>
          <t>Month | Change in Contribution to All groups CPI Index Number | 2025-05</t>
        </is>
      </c>
      <c r="MC3" s="1" t="inlineStr">
        <is>
          <t>Month | Change in Contribution to All groups CPI Index Number | 2025-06</t>
        </is>
      </c>
      <c r="MD3" s="1" t="inlineStr">
        <is>
          <t>Month | Change in Contribution to All groups CPI Index Number | 2025-07</t>
        </is>
      </c>
      <c r="ME3" s="1" t="inlineStr">
        <is>
          <t>Month | Change in Contribution to All groups CPI Index Number | 2025-08</t>
        </is>
      </c>
      <c r="MF3" s="1" t="inlineStr">
        <is>
          <t>Month | Change in Contribution to All groups CPI Index Number | 2025-09</t>
        </is>
      </c>
      <c r="MG3" s="1" t="inlineStr">
        <is>
          <t>Month | Change in Contribution to All groups CPI Index Number | 2025-10</t>
        </is>
      </c>
      <c r="MH3" s="1" t="inlineStr">
        <is>
          <t>Month | Change in Contribution to All groups CPI Index Number | 2025-11</t>
        </is>
      </c>
      <c r="MI3" s="1" t="inlineStr">
        <is>
          <t>Month | Change in Contribution to All groups CPI Index Number | 2025-12</t>
        </is>
      </c>
      <c r="MJ3" s="1" t="inlineStr">
        <is>
          <t>Month | Change in Contribution to All groups CPI Index Number | 2026-01</t>
        </is>
      </c>
      <c r="MK3" s="1" t="inlineStr">
        <is>
          <t>Month | Change in Contribution to All groups CPI Index Number | 2026-02</t>
        </is>
      </c>
      <c r="ML3" s="1" t="inlineStr">
        <is>
          <t>Month | Change in Contribution to All groups CPI Index Number | 2026-03</t>
        </is>
      </c>
      <c r="MM3" s="1" t="inlineStr">
        <is>
          <t>Month | Change in Contribution to All groups CPI Index Number | 2026-04</t>
        </is>
      </c>
      <c r="MN3" s="1" t="inlineStr">
        <is>
          <t>Month | Change in Contribution to All groups CPI Index Number | 2026-05</t>
        </is>
      </c>
      <c r="MO3" s="1" t="inlineStr">
        <is>
          <t>Month | Change in Contribution to All groups CPI Index Number | 2026-06</t>
        </is>
      </c>
      <c r="MP3" s="1" t="inlineStr">
        <is>
          <t>Month | Change in Contribution to All groups CPI Index Number | 2026-07</t>
        </is>
      </c>
      <c r="MQ3" s="1" t="inlineStr">
        <is>
          <t>Quarter | Index Numbers | 1948Q3</t>
        </is>
      </c>
      <c r="MR3" s="1" t="inlineStr">
        <is>
          <t>Quarter | Index Numbers | 1948Q4</t>
        </is>
      </c>
      <c r="MS3" s="1" t="inlineStr">
        <is>
          <t>Quarter | Index Numbers | 1949Q1</t>
        </is>
      </c>
      <c r="MT3" s="1" t="inlineStr">
        <is>
          <t>Quarter | Index Numbers | 1949Q2</t>
        </is>
      </c>
      <c r="MU3" s="1" t="inlineStr">
        <is>
          <t>Quarter | Index Numbers | 1949Q3</t>
        </is>
      </c>
      <c r="MV3" s="1" t="inlineStr">
        <is>
          <t>Quarter | Index Numbers | 1949Q4</t>
        </is>
      </c>
      <c r="MW3" s="1" t="inlineStr">
        <is>
          <t>Quarter | Index Numbers | 1950Q1</t>
        </is>
      </c>
      <c r="MX3" s="1" t="inlineStr">
        <is>
          <t>Quarter | Index Numbers | 1950Q2</t>
        </is>
      </c>
      <c r="MY3" s="1" t="inlineStr">
        <is>
          <t>Quarter | Index Numbers | 1950Q3</t>
        </is>
      </c>
      <c r="MZ3" s="1" t="inlineStr">
        <is>
          <t>Quarter | Index Numbers | 1950Q4</t>
        </is>
      </c>
      <c r="NA3" s="1" t="inlineStr">
        <is>
          <t>Quarter | Index Numbers | 1951Q1</t>
        </is>
      </c>
      <c r="NB3" s="1" t="inlineStr">
        <is>
          <t>Quarter | Index Numbers | 1951Q2</t>
        </is>
      </c>
      <c r="NC3" s="1" t="inlineStr">
        <is>
          <t>Quarter | Index Numbers | 1951Q3</t>
        </is>
      </c>
      <c r="ND3" s="1" t="inlineStr">
        <is>
          <t>Quarter | Index Numbers | 1951Q4</t>
        </is>
      </c>
      <c r="NE3" s="1" t="inlineStr">
        <is>
          <t>Quarter | Index Numbers | 1952Q1</t>
        </is>
      </c>
      <c r="NF3" s="1" t="inlineStr">
        <is>
          <t>Quarter | Index Numbers | 1952Q2</t>
        </is>
      </c>
      <c r="NG3" s="1" t="inlineStr">
        <is>
          <t>Quarter | Index Numbers | 1952Q3</t>
        </is>
      </c>
      <c r="NH3" s="1" t="inlineStr">
        <is>
          <t>Quarter | Index Numbers | 1952Q4</t>
        </is>
      </c>
      <c r="NI3" s="1" t="inlineStr">
        <is>
          <t>Quarter | Index Numbers | 1953Q1</t>
        </is>
      </c>
      <c r="NJ3" s="1" t="inlineStr">
        <is>
          <t>Quarter | Index Numbers | 1953Q2</t>
        </is>
      </c>
      <c r="NK3" s="1" t="inlineStr">
        <is>
          <t>Quarter | Index Numbers | 1953Q3</t>
        </is>
      </c>
      <c r="NL3" s="1" t="inlineStr">
        <is>
          <t>Quarter | Index Numbers | 1953Q4</t>
        </is>
      </c>
      <c r="NM3" s="1" t="inlineStr">
        <is>
          <t>Quarter | Index Numbers | 1954Q1</t>
        </is>
      </c>
      <c r="NN3" s="1" t="inlineStr">
        <is>
          <t>Quarter | Index Numbers | 1954Q2</t>
        </is>
      </c>
      <c r="NO3" s="1" t="inlineStr">
        <is>
          <t>Quarter | Index Numbers | 1954Q3</t>
        </is>
      </c>
      <c r="NP3" s="1" t="inlineStr">
        <is>
          <t>Quarter | Index Numbers | 1954Q4</t>
        </is>
      </c>
      <c r="NQ3" s="1" t="inlineStr">
        <is>
          <t>Quarter | Index Numbers | 1955Q1</t>
        </is>
      </c>
      <c r="NR3" s="1" t="inlineStr">
        <is>
          <t>Quarter | Index Numbers | 1955Q2</t>
        </is>
      </c>
      <c r="NS3" s="1" t="inlineStr">
        <is>
          <t>Quarter | Index Numbers | 1955Q3</t>
        </is>
      </c>
      <c r="NT3" s="1" t="inlineStr">
        <is>
          <t>Quarter | Index Numbers | 1955Q4</t>
        </is>
      </c>
      <c r="NU3" s="1" t="inlineStr">
        <is>
          <t>Quarter | Index Numbers | 1956Q1</t>
        </is>
      </c>
      <c r="NV3" s="1" t="inlineStr">
        <is>
          <t>Quarter | Index Numbers | 1956Q2</t>
        </is>
      </c>
      <c r="NW3" s="1" t="inlineStr">
        <is>
          <t>Quarter | Index Numbers | 1956Q3</t>
        </is>
      </c>
      <c r="NX3" s="1" t="inlineStr">
        <is>
          <t>Quarter | Index Numbers | 1956Q4</t>
        </is>
      </c>
      <c r="NY3" s="1" t="inlineStr">
        <is>
          <t>Quarter | Index Numbers | 1957Q1</t>
        </is>
      </c>
      <c r="NZ3" s="1" t="inlineStr">
        <is>
          <t>Quarter | Index Numbers | 1957Q2</t>
        </is>
      </c>
      <c r="OA3" s="1" t="inlineStr">
        <is>
          <t>Quarter | Index Numbers | 1957Q3</t>
        </is>
      </c>
      <c r="OB3" s="1" t="inlineStr">
        <is>
          <t>Quarter | Index Numbers | 1957Q4</t>
        </is>
      </c>
      <c r="OC3" s="1" t="inlineStr">
        <is>
          <t>Quarter | Index Numbers | 1958Q1</t>
        </is>
      </c>
      <c r="OD3" s="1" t="inlineStr">
        <is>
          <t>Quarter | Index Numbers | 1958Q2</t>
        </is>
      </c>
      <c r="OE3" s="1" t="inlineStr">
        <is>
          <t>Quarter | Index Numbers | 1958Q3</t>
        </is>
      </c>
      <c r="OF3" s="1" t="inlineStr">
        <is>
          <t>Quarter | Index Numbers | 1958Q4</t>
        </is>
      </c>
      <c r="OG3" s="1" t="inlineStr">
        <is>
          <t>Quarter | Index Numbers | 1959Q1</t>
        </is>
      </c>
      <c r="OH3" s="1" t="inlineStr">
        <is>
          <t>Quarter | Index Numbers | 1959Q2</t>
        </is>
      </c>
      <c r="OI3" s="1" t="inlineStr">
        <is>
          <t>Quarter | Index Numbers | 1959Q3</t>
        </is>
      </c>
      <c r="OJ3" s="1" t="inlineStr">
        <is>
          <t>Quarter | Index Numbers | 1959Q4</t>
        </is>
      </c>
      <c r="OK3" s="1" t="inlineStr">
        <is>
          <t>Quarter | Index Numbers | 1960Q1</t>
        </is>
      </c>
      <c r="OL3" s="1" t="inlineStr">
        <is>
          <t>Quarter | Index Numbers | 1960Q2</t>
        </is>
      </c>
      <c r="OM3" s="1" t="inlineStr">
        <is>
          <t>Quarter | Index Numbers | 1960Q3</t>
        </is>
      </c>
      <c r="ON3" s="1" t="inlineStr">
        <is>
          <t>Quarter | Index Numbers | 1960Q4</t>
        </is>
      </c>
      <c r="OO3" s="1" t="inlineStr">
        <is>
          <t>Quarter | Index Numbers | 1961Q1</t>
        </is>
      </c>
      <c r="OP3" s="1" t="inlineStr">
        <is>
          <t>Quarter | Index Numbers | 1961Q2</t>
        </is>
      </c>
      <c r="OQ3" s="1" t="inlineStr">
        <is>
          <t>Quarter | Index Numbers | 1961Q3</t>
        </is>
      </c>
      <c r="OR3" s="1" t="inlineStr">
        <is>
          <t>Quarter | Index Numbers | 1961Q4</t>
        </is>
      </c>
      <c r="OS3" s="1" t="inlineStr">
        <is>
          <t>Quarter | Index Numbers | 1962Q1</t>
        </is>
      </c>
      <c r="OT3" s="1" t="inlineStr">
        <is>
          <t>Quarter | Index Numbers | 1962Q2</t>
        </is>
      </c>
      <c r="OU3" s="1" t="inlineStr">
        <is>
          <t>Quarter | Index Numbers | 1962Q3</t>
        </is>
      </c>
      <c r="OV3" s="1" t="inlineStr">
        <is>
          <t>Quarter | Index Numbers | 1962Q4</t>
        </is>
      </c>
      <c r="OW3" s="1" t="inlineStr">
        <is>
          <t>Quarter | Index Numbers | 1963Q1</t>
        </is>
      </c>
      <c r="OX3" s="1" t="inlineStr">
        <is>
          <t>Quarter | Index Numbers | 1963Q2</t>
        </is>
      </c>
      <c r="OY3" s="1" t="inlineStr">
        <is>
          <t>Quarter | Index Numbers | 1963Q3</t>
        </is>
      </c>
      <c r="OZ3" s="1" t="inlineStr">
        <is>
          <t>Quarter | Index Numbers | 1963Q4</t>
        </is>
      </c>
      <c r="PA3" s="1" t="inlineStr">
        <is>
          <t>Quarter | Index Numbers | 1964Q1</t>
        </is>
      </c>
      <c r="PB3" s="1" t="inlineStr">
        <is>
          <t>Quarter | Index Numbers | 1964Q2</t>
        </is>
      </c>
      <c r="PC3" s="1" t="inlineStr">
        <is>
          <t>Quarter | Index Numbers | 1964Q3</t>
        </is>
      </c>
      <c r="PD3" s="1" t="inlineStr">
        <is>
          <t>Quarter | Index Numbers | 1964Q4</t>
        </is>
      </c>
      <c r="PE3" s="1" t="inlineStr">
        <is>
          <t>Quarter | Index Numbers | 1965Q1</t>
        </is>
      </c>
      <c r="PF3" s="1" t="inlineStr">
        <is>
          <t>Quarter | Index Numbers | 1965Q2</t>
        </is>
      </c>
      <c r="PG3" s="1" t="inlineStr">
        <is>
          <t>Quarter | Index Numbers | 1965Q3</t>
        </is>
      </c>
      <c r="PH3" s="1" t="inlineStr">
        <is>
          <t>Quarter | Index Numbers | 1965Q4</t>
        </is>
      </c>
      <c r="PI3" s="1" t="inlineStr">
        <is>
          <t>Quarter | Index Numbers | 1966Q1</t>
        </is>
      </c>
      <c r="PJ3" s="1" t="inlineStr">
        <is>
          <t>Quarter | Index Numbers | 1966Q2</t>
        </is>
      </c>
      <c r="PK3" s="1" t="inlineStr">
        <is>
          <t>Quarter | Index Numbers | 1966Q3</t>
        </is>
      </c>
      <c r="PL3" s="1" t="inlineStr">
        <is>
          <t>Quarter | Index Numbers | 1966Q4</t>
        </is>
      </c>
      <c r="PM3" s="1" t="inlineStr">
        <is>
          <t>Quarter | Index Numbers | 1967Q1</t>
        </is>
      </c>
      <c r="PN3" s="1" t="inlineStr">
        <is>
          <t>Quarter | Index Numbers | 1967Q2</t>
        </is>
      </c>
      <c r="PO3" s="1" t="inlineStr">
        <is>
          <t>Quarter | Index Numbers | 1967Q3</t>
        </is>
      </c>
      <c r="PP3" s="1" t="inlineStr">
        <is>
          <t>Quarter | Index Numbers | 1967Q4</t>
        </is>
      </c>
      <c r="PQ3" s="1" t="inlineStr">
        <is>
          <t>Quarter | Index Numbers | 1968Q1</t>
        </is>
      </c>
      <c r="PR3" s="1" t="inlineStr">
        <is>
          <t>Quarter | Index Numbers | 1968Q2</t>
        </is>
      </c>
      <c r="PS3" s="1" t="inlineStr">
        <is>
          <t>Quarter | Index Numbers | 1968Q3</t>
        </is>
      </c>
      <c r="PT3" s="1" t="inlineStr">
        <is>
          <t>Quarter | Index Numbers | 1968Q4</t>
        </is>
      </c>
      <c r="PU3" s="1" t="inlineStr">
        <is>
          <t>Quarter | Index Numbers | 1969Q1</t>
        </is>
      </c>
      <c r="PV3" s="1" t="inlineStr">
        <is>
          <t>Quarter | Index Numbers | 1969Q2</t>
        </is>
      </c>
      <c r="PW3" s="1" t="inlineStr">
        <is>
          <t>Quarter | Index Numbers | 1969Q3</t>
        </is>
      </c>
      <c r="PX3" s="1" t="inlineStr">
        <is>
          <t>Quarter | Index Numbers | 1969Q4</t>
        </is>
      </c>
      <c r="PY3" s="1" t="inlineStr">
        <is>
          <t>Quarter | Index Numbers | 1970Q1</t>
        </is>
      </c>
      <c r="PZ3" s="1" t="inlineStr">
        <is>
          <t>Quarter | Index Numbers | 1970Q2</t>
        </is>
      </c>
      <c r="QA3" s="1" t="inlineStr">
        <is>
          <t>Quarter | Index Numbers | 1970Q3</t>
        </is>
      </c>
      <c r="QB3" s="1" t="inlineStr">
        <is>
          <t>Quarter | Index Numbers | 1970Q4</t>
        </is>
      </c>
      <c r="QC3" s="1" t="inlineStr">
        <is>
          <t>Quarter | Index Numbers | 1971Q1</t>
        </is>
      </c>
      <c r="QD3" s="1" t="inlineStr">
        <is>
          <t>Quarter | Index Numbers | 1971Q2</t>
        </is>
      </c>
      <c r="QE3" s="1" t="inlineStr">
        <is>
          <t>Quarter | Index Numbers | 1971Q3</t>
        </is>
      </c>
      <c r="QF3" s="1" t="inlineStr">
        <is>
          <t>Quarter | Index Numbers | 1971Q4</t>
        </is>
      </c>
      <c r="QG3" s="1" t="inlineStr">
        <is>
          <t>Quarter | Index Numbers | 1972Q1</t>
        </is>
      </c>
      <c r="QH3" s="1" t="inlineStr">
        <is>
          <t>Quarter | Index Numbers | 1972Q2</t>
        </is>
      </c>
      <c r="QI3" s="1" t="inlineStr">
        <is>
          <t>Quarter | Index Numbers | 1972Q3</t>
        </is>
      </c>
      <c r="QJ3" s="1" t="inlineStr">
        <is>
          <t>Quarter | Index Numbers | 1972Q4</t>
        </is>
      </c>
      <c r="QK3" s="1" t="inlineStr">
        <is>
          <t>Quarter | Index Numbers | 1973Q1</t>
        </is>
      </c>
      <c r="QL3" s="1" t="inlineStr">
        <is>
          <t>Quarter | Index Numbers | 1973Q2</t>
        </is>
      </c>
      <c r="QM3" s="1" t="inlineStr">
        <is>
          <t>Quarter | Index Numbers | 1973Q3</t>
        </is>
      </c>
      <c r="QN3" s="1" t="inlineStr">
        <is>
          <t>Quarter | Index Numbers | 1973Q4</t>
        </is>
      </c>
      <c r="QO3" s="1" t="inlineStr">
        <is>
          <t>Quarter | Index Numbers | 1974Q1</t>
        </is>
      </c>
      <c r="QP3" s="1" t="inlineStr">
        <is>
          <t>Quarter | Index Numbers | 1974Q2</t>
        </is>
      </c>
      <c r="QQ3" s="1" t="inlineStr">
        <is>
          <t>Quarter | Index Numbers | 1974Q3</t>
        </is>
      </c>
      <c r="QR3" s="1" t="inlineStr">
        <is>
          <t>Quarter | Index Numbers | 1974Q4</t>
        </is>
      </c>
      <c r="QS3" s="1" t="inlineStr">
        <is>
          <t>Quarter | Index Numbers | 1975Q1</t>
        </is>
      </c>
      <c r="QT3" s="1" t="inlineStr">
        <is>
          <t>Quarter | Index Numbers | 1975Q2</t>
        </is>
      </c>
      <c r="QU3" s="1" t="inlineStr">
        <is>
          <t>Quarter | Index Numbers | 1975Q3</t>
        </is>
      </c>
      <c r="QV3" s="1" t="inlineStr">
        <is>
          <t>Quarter | Index Numbers | 1975Q4</t>
        </is>
      </c>
      <c r="QW3" s="1" t="inlineStr">
        <is>
          <t>Quarter | Index Numbers | 1976Q1</t>
        </is>
      </c>
      <c r="QX3" s="1" t="inlineStr">
        <is>
          <t>Quarter | Index Numbers | 1976Q2</t>
        </is>
      </c>
      <c r="QY3" s="1" t="inlineStr">
        <is>
          <t>Quarter | Index Numbers | 1976Q3</t>
        </is>
      </c>
      <c r="QZ3" s="1" t="inlineStr">
        <is>
          <t>Quarter | Index Numbers | 1976Q4</t>
        </is>
      </c>
      <c r="RA3" s="1" t="inlineStr">
        <is>
          <t>Quarter | Index Numbers | 1977Q1</t>
        </is>
      </c>
      <c r="RB3" s="1" t="inlineStr">
        <is>
          <t>Quarter | Index Numbers | 1977Q2</t>
        </is>
      </c>
      <c r="RC3" s="1" t="inlineStr">
        <is>
          <t>Quarter | Index Numbers | 1977Q3</t>
        </is>
      </c>
      <c r="RD3" s="1" t="inlineStr">
        <is>
          <t>Quarter | Index Numbers | 1977Q4</t>
        </is>
      </c>
      <c r="RE3" s="1" t="inlineStr">
        <is>
          <t>Quarter | Index Numbers | 1978Q1</t>
        </is>
      </c>
      <c r="RF3" s="1" t="inlineStr">
        <is>
          <t>Quarter | Index Numbers | 1978Q2</t>
        </is>
      </c>
      <c r="RG3" s="1" t="inlineStr">
        <is>
          <t>Quarter | Index Numbers | 1978Q3</t>
        </is>
      </c>
      <c r="RH3" s="1" t="inlineStr">
        <is>
          <t>Quarter | Index Numbers | 1978Q4</t>
        </is>
      </c>
      <c r="RI3" s="1" t="inlineStr">
        <is>
          <t>Quarter | Index Numbers | 1979Q1</t>
        </is>
      </c>
      <c r="RJ3" s="1" t="inlineStr">
        <is>
          <t>Quarter | Index Numbers | 1979Q2</t>
        </is>
      </c>
      <c r="RK3" s="1" t="inlineStr">
        <is>
          <t>Quarter | Index Numbers | 1979Q3</t>
        </is>
      </c>
      <c r="RL3" s="1" t="inlineStr">
        <is>
          <t>Quarter | Index Numbers | 1979Q4</t>
        </is>
      </c>
      <c r="RM3" s="1" t="inlineStr">
        <is>
          <t>Quarter | Index Numbers | 1980Q1</t>
        </is>
      </c>
      <c r="RN3" s="1" t="inlineStr">
        <is>
          <t>Quarter | Index Numbers | 1980Q2</t>
        </is>
      </c>
      <c r="RO3" s="1" t="inlineStr">
        <is>
          <t>Quarter | Index Numbers | 1980Q3</t>
        </is>
      </c>
      <c r="RP3" s="1" t="inlineStr">
        <is>
          <t>Quarter | Index Numbers | 1980Q4</t>
        </is>
      </c>
      <c r="RQ3" s="1" t="inlineStr">
        <is>
          <t>Quarter | Index Numbers | 1981Q1</t>
        </is>
      </c>
      <c r="RR3" s="1" t="inlineStr">
        <is>
          <t>Quarter | Index Numbers | 1981Q2</t>
        </is>
      </c>
      <c r="RS3" s="1" t="inlineStr">
        <is>
          <t>Quarter | Index Numbers | 1981Q3</t>
        </is>
      </c>
      <c r="RT3" s="1" t="inlineStr">
        <is>
          <t>Quarter | Index Numbers | 1981Q4</t>
        </is>
      </c>
      <c r="RU3" s="1" t="inlineStr">
        <is>
          <t>Quarter | Index Numbers | 1982Q1</t>
        </is>
      </c>
      <c r="RV3" s="1" t="inlineStr">
        <is>
          <t>Quarter | Index Numbers | 1982Q2</t>
        </is>
      </c>
      <c r="RW3" s="1" t="inlineStr">
        <is>
          <t>Quarter | Index Numbers | 1982Q3</t>
        </is>
      </c>
      <c r="RX3" s="1" t="inlineStr">
        <is>
          <t>Quarter | Index Numbers | 1982Q4</t>
        </is>
      </c>
      <c r="RY3" s="1" t="inlineStr">
        <is>
          <t>Quarter | Index Numbers | 1983Q1</t>
        </is>
      </c>
      <c r="RZ3" s="1" t="inlineStr">
        <is>
          <t>Quarter | Index Numbers | 1983Q2</t>
        </is>
      </c>
      <c r="SA3" s="1" t="inlineStr">
        <is>
          <t>Quarter | Index Numbers | 1983Q3</t>
        </is>
      </c>
      <c r="SB3" s="1" t="inlineStr">
        <is>
          <t>Quarter | Index Numbers | 1983Q4</t>
        </is>
      </c>
      <c r="SC3" s="1" t="inlineStr">
        <is>
          <t>Quarter | Index Numbers | 1984Q1</t>
        </is>
      </c>
      <c r="SD3" s="1" t="inlineStr">
        <is>
          <t>Quarter | Index Numbers | 1984Q2</t>
        </is>
      </c>
      <c r="SE3" s="1" t="inlineStr">
        <is>
          <t>Quarter | Index Numbers | 1984Q3</t>
        </is>
      </c>
      <c r="SF3" s="1" t="inlineStr">
        <is>
          <t>Quarter | Index Numbers | 1984Q4</t>
        </is>
      </c>
      <c r="SG3" s="1" t="inlineStr">
        <is>
          <t>Quarter | Index Numbers | 1985Q1</t>
        </is>
      </c>
      <c r="SH3" s="1" t="inlineStr">
        <is>
          <t>Quarter | Index Numbers | 1985Q2</t>
        </is>
      </c>
      <c r="SI3" s="1" t="inlineStr">
        <is>
          <t>Quarter | Index Numbers | 1985Q3</t>
        </is>
      </c>
      <c r="SJ3" s="1" t="inlineStr">
        <is>
          <t>Quarter | Index Numbers | 1985Q4</t>
        </is>
      </c>
      <c r="SK3" s="1" t="inlineStr">
        <is>
          <t>Quarter | Index Numbers | 1986Q1</t>
        </is>
      </c>
      <c r="SL3" s="1" t="inlineStr">
        <is>
          <t>Quarter | Index Numbers | 1986Q2</t>
        </is>
      </c>
      <c r="SM3" s="1" t="inlineStr">
        <is>
          <t>Quarter | Index Numbers | 1986Q3</t>
        </is>
      </c>
      <c r="SN3" s="1" t="inlineStr">
        <is>
          <t>Quarter | Index Numbers | 1986Q4</t>
        </is>
      </c>
      <c r="SO3" s="1" t="inlineStr">
        <is>
          <t>Quarter | Index Numbers | 1987Q1</t>
        </is>
      </c>
      <c r="SP3" s="1" t="inlineStr">
        <is>
          <t>Quarter | Index Numbers | 1987Q2</t>
        </is>
      </c>
      <c r="SQ3" s="1" t="inlineStr">
        <is>
          <t>Quarter | Index Numbers | 1987Q3</t>
        </is>
      </c>
      <c r="SR3" s="1" t="inlineStr">
        <is>
          <t>Quarter | Index Numbers | 1987Q4</t>
        </is>
      </c>
      <c r="SS3" s="1" t="inlineStr">
        <is>
          <t>Quarter | Index Numbers | 1988Q1</t>
        </is>
      </c>
      <c r="ST3" s="1" t="inlineStr">
        <is>
          <t>Quarter | Index Numbers | 1988Q2</t>
        </is>
      </c>
      <c r="SU3" s="1" t="inlineStr">
        <is>
          <t>Quarter | Index Numbers | 1988Q3</t>
        </is>
      </c>
      <c r="SV3" s="1" t="inlineStr">
        <is>
          <t>Quarter | Index Numbers | 1988Q4</t>
        </is>
      </c>
      <c r="SW3" s="1" t="inlineStr">
        <is>
          <t>Quarter | Index Numbers | 1989Q1</t>
        </is>
      </c>
      <c r="SX3" s="1" t="inlineStr">
        <is>
          <t>Quarter | Index Numbers | 1989Q2</t>
        </is>
      </c>
      <c r="SY3" s="1" t="inlineStr">
        <is>
          <t>Quarter | Index Numbers | 1989Q3</t>
        </is>
      </c>
      <c r="SZ3" s="1" t="inlineStr">
        <is>
          <t>Quarter | Index Numbers | 1989Q4</t>
        </is>
      </c>
      <c r="TA3" s="1" t="inlineStr">
        <is>
          <t>Quarter | Index Numbers | 1990Q1</t>
        </is>
      </c>
      <c r="TB3" s="1" t="inlineStr">
        <is>
          <t>Quarter | Index Numbers | 1990Q2</t>
        </is>
      </c>
      <c r="TC3" s="1" t="inlineStr">
        <is>
          <t>Quarter | Index Numbers | 1990Q3</t>
        </is>
      </c>
      <c r="TD3" s="1" t="inlineStr">
        <is>
          <t>Quarter | Index Numbers | 1990Q4</t>
        </is>
      </c>
      <c r="TE3" s="1" t="inlineStr">
        <is>
          <t>Quarter | Index Numbers | 1991Q1</t>
        </is>
      </c>
      <c r="TF3" s="1" t="inlineStr">
        <is>
          <t>Quarter | Index Numbers | 1991Q2</t>
        </is>
      </c>
      <c r="TG3" s="1" t="inlineStr">
        <is>
          <t>Quarter | Index Numbers | 1991Q3</t>
        </is>
      </c>
      <c r="TH3" s="1" t="inlineStr">
        <is>
          <t>Quarter | Index Numbers | 1991Q4</t>
        </is>
      </c>
      <c r="TI3" s="1" t="inlineStr">
        <is>
          <t>Quarter | Index Numbers | 1992Q1</t>
        </is>
      </c>
      <c r="TJ3" s="1" t="inlineStr">
        <is>
          <t>Quarter | Index Numbers | 1992Q2</t>
        </is>
      </c>
      <c r="TK3" s="1" t="inlineStr">
        <is>
          <t>Quarter | Index Numbers | 1992Q3</t>
        </is>
      </c>
      <c r="TL3" s="1" t="inlineStr">
        <is>
          <t>Quarter | Index Numbers | 1992Q4</t>
        </is>
      </c>
      <c r="TM3" s="1" t="inlineStr">
        <is>
          <t>Quarter | Index Numbers | 1993Q1</t>
        </is>
      </c>
      <c r="TN3" s="1" t="inlineStr">
        <is>
          <t>Quarter | Index Numbers | 1993Q2</t>
        </is>
      </c>
      <c r="TO3" s="1" t="inlineStr">
        <is>
          <t>Quarter | Index Numbers | 1993Q3</t>
        </is>
      </c>
      <c r="TP3" s="1" t="inlineStr">
        <is>
          <t>Quarter | Index Numbers | 1993Q4</t>
        </is>
      </c>
      <c r="TQ3" s="1" t="inlineStr">
        <is>
          <t>Quarter | Index Numbers | 1994Q1</t>
        </is>
      </c>
      <c r="TR3" s="1" t="inlineStr">
        <is>
          <t>Quarter | Index Numbers | 1994Q2</t>
        </is>
      </c>
      <c r="TS3" s="1" t="inlineStr">
        <is>
          <t>Quarter | Index Numbers | 1994Q3</t>
        </is>
      </c>
      <c r="TT3" s="1" t="inlineStr">
        <is>
          <t>Quarter | Index Numbers | 1994Q4</t>
        </is>
      </c>
      <c r="TU3" s="1" t="inlineStr">
        <is>
          <t>Quarter | Index Numbers | 1995Q1</t>
        </is>
      </c>
      <c r="TV3" s="1" t="inlineStr">
        <is>
          <t>Quarter | Index Numbers | 1995Q2</t>
        </is>
      </c>
      <c r="TW3" s="1" t="inlineStr">
        <is>
          <t>Quarter | Index Numbers | 1995Q3</t>
        </is>
      </c>
      <c r="TX3" s="1" t="inlineStr">
        <is>
          <t>Quarter | Index Numbers | 1995Q4</t>
        </is>
      </c>
      <c r="TY3" s="1" t="inlineStr">
        <is>
          <t>Quarter | Index Numbers | 1996Q1</t>
        </is>
      </c>
      <c r="TZ3" s="1" t="inlineStr">
        <is>
          <t>Quarter | Index Numbers | 1996Q2</t>
        </is>
      </c>
      <c r="UA3" s="1" t="inlineStr">
        <is>
          <t>Quarter | Index Numbers | 1996Q3</t>
        </is>
      </c>
      <c r="UB3" s="1" t="inlineStr">
        <is>
          <t>Quarter | Index Numbers | 1996Q4</t>
        </is>
      </c>
      <c r="UC3" s="1" t="inlineStr">
        <is>
          <t>Quarter | Index Numbers | 1997Q1</t>
        </is>
      </c>
      <c r="UD3" s="1" t="inlineStr">
        <is>
          <t>Quarter | Index Numbers | 1997Q2</t>
        </is>
      </c>
      <c r="UE3" s="1" t="inlineStr">
        <is>
          <t>Quarter | Index Numbers | 1997Q3</t>
        </is>
      </c>
      <c r="UF3" s="1" t="inlineStr">
        <is>
          <t>Quarter | Index Numbers | 1997Q4</t>
        </is>
      </c>
      <c r="UG3" s="1" t="inlineStr">
        <is>
          <t>Quarter | Index Numbers | 1998Q1</t>
        </is>
      </c>
      <c r="UH3" s="1" t="inlineStr">
        <is>
          <t>Quarter | Index Numbers | 1998Q2</t>
        </is>
      </c>
      <c r="UI3" s="1" t="inlineStr">
        <is>
          <t>Quarter | Index Numbers | 1998Q3</t>
        </is>
      </c>
      <c r="UJ3" s="1" t="inlineStr">
        <is>
          <t>Quarter | Index Numbers | 1998Q4</t>
        </is>
      </c>
      <c r="UK3" s="1" t="inlineStr">
        <is>
          <t>Quarter | Index Numbers | 1999Q1</t>
        </is>
      </c>
      <c r="UL3" s="1" t="inlineStr">
        <is>
          <t>Quarter | Index Numbers | 1999Q2</t>
        </is>
      </c>
      <c r="UM3" s="1" t="inlineStr">
        <is>
          <t>Quarter | Index Numbers | 1999Q3</t>
        </is>
      </c>
      <c r="UN3" s="1" t="inlineStr">
        <is>
          <t>Quarter | Index Numbers | 1999Q4</t>
        </is>
      </c>
      <c r="UO3" s="1" t="inlineStr">
        <is>
          <t>Quarter | Index Numbers | 2000Q1</t>
        </is>
      </c>
      <c r="UP3" s="1" t="inlineStr">
        <is>
          <t>Quarter | Index Numbers | 2000Q2</t>
        </is>
      </c>
      <c r="UQ3" s="1" t="inlineStr">
        <is>
          <t>Quarter | Index Numbers | 2000Q3</t>
        </is>
      </c>
      <c r="UR3" s="1" t="inlineStr">
        <is>
          <t>Quarter | Index Numbers | 2000Q4</t>
        </is>
      </c>
      <c r="US3" s="1" t="inlineStr">
        <is>
          <t>Quarter | Index Numbers | 2001Q1</t>
        </is>
      </c>
      <c r="UT3" s="1" t="inlineStr">
        <is>
          <t>Quarter | Index Numbers | 2001Q2</t>
        </is>
      </c>
      <c r="UU3" s="1" t="inlineStr">
        <is>
          <t>Quarter | Index Numbers | 2001Q3</t>
        </is>
      </c>
      <c r="UV3" s="1" t="inlineStr">
        <is>
          <t>Quarter | Index Numbers | 2001Q4</t>
        </is>
      </c>
      <c r="UW3" s="1" t="inlineStr">
        <is>
          <t>Quarter | Index Numbers | 2002Q1</t>
        </is>
      </c>
      <c r="UX3" s="1" t="inlineStr">
        <is>
          <t>Quarter | Index Numbers | 2002Q2</t>
        </is>
      </c>
      <c r="UY3" s="1" t="inlineStr">
        <is>
          <t>Quarter | Index Numbers | 2002Q3</t>
        </is>
      </c>
      <c r="UZ3" s="1" t="inlineStr">
        <is>
          <t>Quarter | Index Numbers | 2002Q4</t>
        </is>
      </c>
      <c r="VA3" s="1" t="inlineStr">
        <is>
          <t>Quarter | Index Numbers | 2003Q1</t>
        </is>
      </c>
      <c r="VB3" s="1" t="inlineStr">
        <is>
          <t>Quarter | Index Numbers | 2003Q2</t>
        </is>
      </c>
      <c r="VC3" s="1" t="inlineStr">
        <is>
          <t>Quarter | Index Numbers | 2003Q3</t>
        </is>
      </c>
      <c r="VD3" s="1" t="inlineStr">
        <is>
          <t>Quarter | Index Numbers | 2003Q4</t>
        </is>
      </c>
      <c r="VE3" s="1" t="inlineStr">
        <is>
          <t>Quarter | Index Numbers | 2004Q1</t>
        </is>
      </c>
      <c r="VF3" s="1" t="inlineStr">
        <is>
          <t>Quarter | Index Numbers | 2004Q2</t>
        </is>
      </c>
      <c r="VG3" s="1" t="inlineStr">
        <is>
          <t>Quarter | Index Numbers | 2004Q3</t>
        </is>
      </c>
      <c r="VH3" s="1" t="inlineStr">
        <is>
          <t>Quarter | Index Numbers | 2004Q4</t>
        </is>
      </c>
      <c r="VI3" s="1" t="inlineStr">
        <is>
          <t>Quarter | Index Numbers | 2005Q1</t>
        </is>
      </c>
      <c r="VJ3" s="1" t="inlineStr">
        <is>
          <t>Quarter | Index Numbers | 2005Q2</t>
        </is>
      </c>
      <c r="VK3" s="1" t="inlineStr">
        <is>
          <t>Quarter | Index Numbers | 2005Q3</t>
        </is>
      </c>
      <c r="VL3" s="1" t="inlineStr">
        <is>
          <t>Quarter | Index Numbers | 2005Q4</t>
        </is>
      </c>
      <c r="VM3" s="1" t="inlineStr">
        <is>
          <t>Quarter | Index Numbers | 2006Q1</t>
        </is>
      </c>
      <c r="VN3" s="1" t="inlineStr">
        <is>
          <t>Quarter | Index Numbers | 2006Q2</t>
        </is>
      </c>
      <c r="VO3" s="1" t="inlineStr">
        <is>
          <t>Quarter | Index Numbers | 2006Q3</t>
        </is>
      </c>
      <c r="VP3" s="1" t="inlineStr">
        <is>
          <t>Quarter | Index Numbers | 2006Q4</t>
        </is>
      </c>
      <c r="VQ3" s="1" t="inlineStr">
        <is>
          <t>Quarter | Index Numbers | 2007Q1</t>
        </is>
      </c>
      <c r="VR3" s="1" t="inlineStr">
        <is>
          <t>Quarter | Index Numbers | 2007Q2</t>
        </is>
      </c>
      <c r="VS3" s="1" t="inlineStr">
        <is>
          <t>Quarter | Index Numbers | 2007Q3</t>
        </is>
      </c>
      <c r="VT3" s="1" t="inlineStr">
        <is>
          <t>Quarter | Index Numbers | 2007Q4</t>
        </is>
      </c>
      <c r="VU3" s="1" t="inlineStr">
        <is>
          <t>Quarter | Index Numbers | 2008Q1</t>
        </is>
      </c>
      <c r="VV3" s="1" t="inlineStr">
        <is>
          <t>Quarter | Index Numbers | 2008Q2</t>
        </is>
      </c>
      <c r="VW3" s="1" t="inlineStr">
        <is>
          <t>Quarter | Index Numbers | 2008Q3</t>
        </is>
      </c>
      <c r="VX3" s="1" t="inlineStr">
        <is>
          <t>Quarter | Index Numbers | 2008Q4</t>
        </is>
      </c>
      <c r="VY3" s="1" t="inlineStr">
        <is>
          <t>Quarter | Index Numbers | 2009Q1</t>
        </is>
      </c>
      <c r="VZ3" s="1" t="inlineStr">
        <is>
          <t>Quarter | Index Numbers | 2009Q2</t>
        </is>
      </c>
      <c r="WA3" s="1" t="inlineStr">
        <is>
          <t>Quarter | Index Numbers | 2009Q3</t>
        </is>
      </c>
      <c r="WB3" s="1" t="inlineStr">
        <is>
          <t>Quarter | Index Numbers | 2009Q4</t>
        </is>
      </c>
      <c r="WC3" s="1" t="inlineStr">
        <is>
          <t>Quarter | Index Numbers | 2010Q1</t>
        </is>
      </c>
      <c r="WD3" s="1" t="inlineStr">
        <is>
          <t>Quarter | Index Numbers | 2010Q2</t>
        </is>
      </c>
      <c r="WE3" s="1" t="inlineStr">
        <is>
          <t>Quarter | Index Numbers | 2010Q3</t>
        </is>
      </c>
      <c r="WF3" s="1" t="inlineStr">
        <is>
          <t>Quarter | Index Numbers | 2010Q4</t>
        </is>
      </c>
      <c r="WG3" s="1" t="inlineStr">
        <is>
          <t>Quarter | Index Numbers | 2011Q1</t>
        </is>
      </c>
      <c r="WH3" s="1" t="inlineStr">
        <is>
          <t>Quarter | Index Numbers | 2011Q2</t>
        </is>
      </c>
      <c r="WI3" s="1" t="inlineStr">
        <is>
          <t>Quarter | Index Numbers | 2011Q3</t>
        </is>
      </c>
      <c r="WJ3" s="1" t="inlineStr">
        <is>
          <t>Quarter | Index Numbers | 2011Q4</t>
        </is>
      </c>
      <c r="WK3" s="1" t="inlineStr">
        <is>
          <t>Quarter | Index Numbers | 2012Q1</t>
        </is>
      </c>
      <c r="WL3" s="1" t="inlineStr">
        <is>
          <t>Quarter | Index Numbers | 2012Q2</t>
        </is>
      </c>
      <c r="WM3" s="1" t="inlineStr">
        <is>
          <t>Quarter | Index Numbers | 2012Q3</t>
        </is>
      </c>
      <c r="WN3" s="1" t="inlineStr">
        <is>
          <t>Quarter | Index Numbers | 2012Q4</t>
        </is>
      </c>
      <c r="WO3" s="1" t="inlineStr">
        <is>
          <t>Quarter | Index Numbers | 2013Q1</t>
        </is>
      </c>
      <c r="WP3" s="1" t="inlineStr">
        <is>
          <t>Quarter | Index Numbers | 2013Q2</t>
        </is>
      </c>
      <c r="WQ3" s="1" t="inlineStr">
        <is>
          <t>Quarter | Index Numbers | 2013Q3</t>
        </is>
      </c>
      <c r="WR3" s="1" t="inlineStr">
        <is>
          <t>Quarter | Index Numbers | 2013Q4</t>
        </is>
      </c>
      <c r="WS3" s="1" t="inlineStr">
        <is>
          <t>Quarter | Index Numbers | 2014Q1</t>
        </is>
      </c>
      <c r="WT3" s="1" t="inlineStr">
        <is>
          <t>Quarter | Index Numbers | 2014Q2</t>
        </is>
      </c>
      <c r="WU3" s="1" t="inlineStr">
        <is>
          <t>Quarter | Index Numbers | 2014Q3</t>
        </is>
      </c>
      <c r="WV3" s="1" t="inlineStr">
        <is>
          <t>Quarter | Index Numbers | 2014Q4</t>
        </is>
      </c>
      <c r="WW3" s="1" t="inlineStr">
        <is>
          <t>Quarter | Index Numbers | 2015Q1</t>
        </is>
      </c>
      <c r="WX3" s="1" t="inlineStr">
        <is>
          <t>Quarter | Index Numbers | 2015Q2</t>
        </is>
      </c>
      <c r="WY3" s="1" t="inlineStr">
        <is>
          <t>Quarter | Index Numbers | 2015Q3</t>
        </is>
      </c>
      <c r="WZ3" s="1" t="inlineStr">
        <is>
          <t>Quarter | Index Numbers | 2015Q4</t>
        </is>
      </c>
      <c r="XA3" s="1" t="inlineStr">
        <is>
          <t>Quarter | Index Numbers | 2016Q1</t>
        </is>
      </c>
      <c r="XB3" s="1" t="inlineStr">
        <is>
          <t>Quarter | Index Numbers | 2016Q2</t>
        </is>
      </c>
      <c r="XC3" s="1" t="inlineStr">
        <is>
          <t>Quarter | Index Numbers | 2016Q3</t>
        </is>
      </c>
      <c r="XD3" s="1" t="inlineStr">
        <is>
          <t>Quarter | Index Numbers | 2016Q4</t>
        </is>
      </c>
      <c r="XE3" s="1" t="inlineStr">
        <is>
          <t>Quarter | Index Numbers | 2017Q1</t>
        </is>
      </c>
      <c r="XF3" s="1" t="inlineStr">
        <is>
          <t>Quarter | Index Numbers | 2017Q2</t>
        </is>
      </c>
      <c r="XG3" s="1" t="inlineStr">
        <is>
          <t>Quarter | Index Numbers | 2017Q3</t>
        </is>
      </c>
      <c r="XH3" s="1" t="inlineStr">
        <is>
          <t>Quarter | Index Numbers | 2017Q4</t>
        </is>
      </c>
      <c r="XI3" s="1" t="inlineStr">
        <is>
          <t>Quarter | Index Numbers | 2018Q1</t>
        </is>
      </c>
      <c r="XJ3" s="1" t="inlineStr">
        <is>
          <t>Quarter | Index Numbers | 2018Q2</t>
        </is>
      </c>
      <c r="XK3" s="1" t="inlineStr">
        <is>
          <t>Quarter | Index Numbers | 2018Q3</t>
        </is>
      </c>
      <c r="XL3" s="1" t="inlineStr">
        <is>
          <t>Quarter | Index Numbers | 2018Q4</t>
        </is>
      </c>
      <c r="XM3" s="1" t="inlineStr">
        <is>
          <t>Quarter | Index Numbers | 2019Q1</t>
        </is>
      </c>
      <c r="XN3" s="1" t="inlineStr">
        <is>
          <t>Quarter | Index Numbers | 2019Q2</t>
        </is>
      </c>
      <c r="XO3" s="1" t="inlineStr">
        <is>
          <t>Quarter | Index Numbers | 2019Q3</t>
        </is>
      </c>
      <c r="XP3" s="1" t="inlineStr">
        <is>
          <t>Quarter | Index Numbers | 2019Q4</t>
        </is>
      </c>
      <c r="XQ3" s="1" t="inlineStr">
        <is>
          <t>Quarter | Index Numbers | 2020Q1</t>
        </is>
      </c>
      <c r="XR3" s="1" t="inlineStr">
        <is>
          <t>Quarter | Index Numbers | 2020Q2</t>
        </is>
      </c>
      <c r="XS3" s="1" t="inlineStr">
        <is>
          <t>Quarter | Index Numbers | 2020Q3</t>
        </is>
      </c>
      <c r="XT3" s="1" t="inlineStr">
        <is>
          <t>Quarter | Index Numbers | 2020Q4</t>
        </is>
      </c>
      <c r="XU3" s="1" t="inlineStr">
        <is>
          <t>Quarter | Index Numbers | 2021Q1</t>
        </is>
      </c>
      <c r="XV3" s="1" t="inlineStr">
        <is>
          <t>Quarter | Index Numbers | 2021Q2</t>
        </is>
      </c>
      <c r="XW3" s="1" t="inlineStr">
        <is>
          <t>Quarter | Index Numbers | 2021Q3</t>
        </is>
      </c>
      <c r="XX3" s="1" t="inlineStr">
        <is>
          <t>Quarter | Index Numbers | 2021Q4</t>
        </is>
      </c>
      <c r="XY3" s="1" t="inlineStr">
        <is>
          <t>Quarter | Index Numbers | 2022Q1</t>
        </is>
      </c>
      <c r="XZ3" s="1" t="inlineStr">
        <is>
          <t>Quarter | Index Numbers | 2022Q2</t>
        </is>
      </c>
      <c r="YA3" s="1" t="inlineStr">
        <is>
          <t>Quarter | Index Numbers | 2022Q3</t>
        </is>
      </c>
      <c r="YB3" s="1" t="inlineStr">
        <is>
          <t>Quarter | Index Numbers | 2022Q4</t>
        </is>
      </c>
      <c r="YC3" s="1" t="inlineStr">
        <is>
          <t>Quarter | Index Numbers | 2023Q1</t>
        </is>
      </c>
      <c r="YD3" s="1" t="inlineStr">
        <is>
          <t>Quarter | Index Numbers | 2023Q2</t>
        </is>
      </c>
      <c r="YE3" s="1" t="inlineStr">
        <is>
          <t>Quarter | Index Numbers | 2023Q3</t>
        </is>
      </c>
      <c r="YF3" s="1" t="inlineStr">
        <is>
          <t>Quarter | Index Numbers | 2023Q4</t>
        </is>
      </c>
      <c r="YG3" s="1" t="inlineStr">
        <is>
          <t>Quarter | Index Numbers | 2024Q1</t>
        </is>
      </c>
      <c r="YH3" s="1" t="inlineStr">
        <is>
          <t>Quarter | Index Numbers | 2024Q2</t>
        </is>
      </c>
      <c r="YI3" s="1" t="inlineStr">
        <is>
          <t>Quarter | Index Numbers | 2024Q3</t>
        </is>
      </c>
      <c r="YJ3" s="1" t="inlineStr">
        <is>
          <t>Quarter | Index Numbers | 2024Q4</t>
        </is>
      </c>
      <c r="YK3" s="1" t="inlineStr">
        <is>
          <t>Quarter | Index Numbers | 2025Q1</t>
        </is>
      </c>
      <c r="YL3" s="1" t="inlineStr">
        <is>
          <t>Quarter | Index Numbers | 2025Q2</t>
        </is>
      </c>
      <c r="YM3" s="1" t="inlineStr">
        <is>
          <t>Quarter | Index Numbers | 2025Q3</t>
        </is>
      </c>
      <c r="YN3" s="1" t="inlineStr">
        <is>
          <t>Quarter | Index Numbers | 2025Q4</t>
        </is>
      </c>
      <c r="YO3" s="1" t="inlineStr">
        <is>
          <t>Quarter | Index Numbers | 2026Q1</t>
        </is>
      </c>
      <c r="YP3" s="1" t="inlineStr">
        <is>
          <t>Quarter | Index Numbers | 2026Q2</t>
        </is>
      </c>
      <c r="YQ3" s="1" t="inlineStr">
        <is>
          <t>Quarter | Percentage Change from Previous Period | 1948Q4</t>
        </is>
      </c>
      <c r="YR3" s="1" t="inlineStr">
        <is>
          <t>Quarter | Percentage Change from Previous Period | 1949Q1</t>
        </is>
      </c>
      <c r="YS3" s="1" t="inlineStr">
        <is>
          <t>Quarter | Percentage Change from Previous Period | 1949Q2</t>
        </is>
      </c>
      <c r="YT3" s="1" t="inlineStr">
        <is>
          <t>Quarter | Percentage Change from Previous Period | 1949Q3</t>
        </is>
      </c>
      <c r="YU3" s="1" t="inlineStr">
        <is>
          <t>Quarter | Percentage Change from Previous Period | 1949Q4</t>
        </is>
      </c>
      <c r="YV3" s="1" t="inlineStr">
        <is>
          <t>Quarter | Percentage Change from Previous Period | 1950Q1</t>
        </is>
      </c>
      <c r="YW3" s="1" t="inlineStr">
        <is>
          <t>Quarter | Percentage Change from Previous Period | 1950Q2</t>
        </is>
      </c>
      <c r="YX3" s="1" t="inlineStr">
        <is>
          <t>Quarter | Percentage Change from Previous Period | 1950Q3</t>
        </is>
      </c>
      <c r="YY3" s="1" t="inlineStr">
        <is>
          <t>Quarter | Percentage Change from Previous Period | 1950Q4</t>
        </is>
      </c>
      <c r="YZ3" s="1" t="inlineStr">
        <is>
          <t>Quarter | Percentage Change from Previous Period | 1951Q1</t>
        </is>
      </c>
      <c r="ZA3" s="1" t="inlineStr">
        <is>
          <t>Quarter | Percentage Change from Previous Period | 1951Q2</t>
        </is>
      </c>
      <c r="ZB3" s="1" t="inlineStr">
        <is>
          <t>Quarter | Percentage Change from Previous Period | 1951Q3</t>
        </is>
      </c>
      <c r="ZC3" s="1" t="inlineStr">
        <is>
          <t>Quarter | Percentage Change from Previous Period | 1951Q4</t>
        </is>
      </c>
      <c r="ZD3" s="1" t="inlineStr">
        <is>
          <t>Quarter | Percentage Change from Previous Period | 1952Q1</t>
        </is>
      </c>
      <c r="ZE3" s="1" t="inlineStr">
        <is>
          <t>Quarter | Percentage Change from Previous Period | 1952Q2</t>
        </is>
      </c>
      <c r="ZF3" s="1" t="inlineStr">
        <is>
          <t>Quarter | Percentage Change from Previous Period | 1952Q3</t>
        </is>
      </c>
      <c r="ZG3" s="1" t="inlineStr">
        <is>
          <t>Quarter | Percentage Change from Previous Period | 1952Q4</t>
        </is>
      </c>
      <c r="ZH3" s="1" t="inlineStr">
        <is>
          <t>Quarter | Percentage Change from Previous Period | 1953Q1</t>
        </is>
      </c>
      <c r="ZI3" s="1" t="inlineStr">
        <is>
          <t>Quarter | Percentage Change from Previous Period | 1953Q2</t>
        </is>
      </c>
      <c r="ZJ3" s="1" t="inlineStr">
        <is>
          <t>Quarter | Percentage Change from Previous Period | 1953Q3</t>
        </is>
      </c>
      <c r="ZK3" s="1" t="inlineStr">
        <is>
          <t>Quarter | Percentage Change from Previous Period | 1953Q4</t>
        </is>
      </c>
      <c r="ZL3" s="1" t="inlineStr">
        <is>
          <t>Quarter | Percentage Change from Previous Period | 1954Q1</t>
        </is>
      </c>
      <c r="ZM3" s="1" t="inlineStr">
        <is>
          <t>Quarter | Percentage Change from Previous Period | 1954Q2</t>
        </is>
      </c>
      <c r="ZN3" s="1" t="inlineStr">
        <is>
          <t>Quarter | Percentage Change from Previous Period | 1954Q3</t>
        </is>
      </c>
      <c r="ZO3" s="1" t="inlineStr">
        <is>
          <t>Quarter | Percentage Change from Previous Period | 1954Q4</t>
        </is>
      </c>
      <c r="ZP3" s="1" t="inlineStr">
        <is>
          <t>Quarter | Percentage Change from Previous Period | 1955Q1</t>
        </is>
      </c>
      <c r="ZQ3" s="1" t="inlineStr">
        <is>
          <t>Quarter | Percentage Change from Previous Period | 1955Q2</t>
        </is>
      </c>
      <c r="ZR3" s="1" t="inlineStr">
        <is>
          <t>Quarter | Percentage Change from Previous Period | 1955Q3</t>
        </is>
      </c>
      <c r="ZS3" s="1" t="inlineStr">
        <is>
          <t>Quarter | Percentage Change from Previous Period | 1955Q4</t>
        </is>
      </c>
      <c r="ZT3" s="1" t="inlineStr">
        <is>
          <t>Quarter | Percentage Change from Previous Period | 1956Q1</t>
        </is>
      </c>
      <c r="ZU3" s="1" t="inlineStr">
        <is>
          <t>Quarter | Percentage Change from Previous Period | 1956Q2</t>
        </is>
      </c>
      <c r="ZV3" s="1" t="inlineStr">
        <is>
          <t>Quarter | Percentage Change from Previous Period | 1956Q3</t>
        </is>
      </c>
      <c r="ZW3" s="1" t="inlineStr">
        <is>
          <t>Quarter | Percentage Change from Previous Period | 1956Q4</t>
        </is>
      </c>
      <c r="ZX3" s="1" t="inlineStr">
        <is>
          <t>Quarter | Percentage Change from Previous Period | 1957Q1</t>
        </is>
      </c>
      <c r="ZY3" s="1" t="inlineStr">
        <is>
          <t>Quarter | Percentage Change from Previous Period | 1957Q2</t>
        </is>
      </c>
      <c r="ZZ3" s="1" t="inlineStr">
        <is>
          <t>Quarter | Percentage Change from Previous Period | 1957Q3</t>
        </is>
      </c>
      <c r="AAA3" s="1" t="inlineStr">
        <is>
          <t>Quarter | Percentage Change from Previous Period | 1957Q4</t>
        </is>
      </c>
      <c r="AAB3" s="1" t="inlineStr">
        <is>
          <t>Quarter | Percentage Change from Previous Period | 1958Q1</t>
        </is>
      </c>
      <c r="AAC3" s="1" t="inlineStr">
        <is>
          <t>Quarter | Percentage Change from Previous Period | 1958Q2</t>
        </is>
      </c>
      <c r="AAD3" s="1" t="inlineStr">
        <is>
          <t>Quarter | Percentage Change from Previous Period | 1958Q3</t>
        </is>
      </c>
      <c r="AAE3" s="1" t="inlineStr">
        <is>
          <t>Quarter | Percentage Change from Previous Period | 1958Q4</t>
        </is>
      </c>
      <c r="AAF3" s="1" t="inlineStr">
        <is>
          <t>Quarter | Percentage Change from Previous Period | 1959Q1</t>
        </is>
      </c>
      <c r="AAG3" s="1" t="inlineStr">
        <is>
          <t>Quarter | Percentage Change from Previous Period | 1959Q2</t>
        </is>
      </c>
      <c r="AAH3" s="1" t="inlineStr">
        <is>
          <t>Quarter | Percentage Change from Previous Period | 1959Q3</t>
        </is>
      </c>
      <c r="AAI3" s="1" t="inlineStr">
        <is>
          <t>Quarter | Percentage Change from Previous Period | 1959Q4</t>
        </is>
      </c>
      <c r="AAJ3" s="1" t="inlineStr">
        <is>
          <t>Quarter | Percentage Change from Previous Period | 1960Q1</t>
        </is>
      </c>
      <c r="AAK3" s="1" t="inlineStr">
        <is>
          <t>Quarter | Percentage Change from Previous Period | 1960Q2</t>
        </is>
      </c>
      <c r="AAL3" s="1" t="inlineStr">
        <is>
          <t>Quarter | Percentage Change from Previous Period | 1960Q3</t>
        </is>
      </c>
      <c r="AAM3" s="1" t="inlineStr">
        <is>
          <t>Quarter | Percentage Change from Previous Period | 1960Q4</t>
        </is>
      </c>
      <c r="AAN3" s="1" t="inlineStr">
        <is>
          <t>Quarter | Percentage Change from Previous Period | 1961Q1</t>
        </is>
      </c>
      <c r="AAO3" s="1" t="inlineStr">
        <is>
          <t>Quarter | Percentage Change from Previous Period | 1961Q2</t>
        </is>
      </c>
      <c r="AAP3" s="1" t="inlineStr">
        <is>
          <t>Quarter | Percentage Change from Previous Period | 1961Q3</t>
        </is>
      </c>
      <c r="AAQ3" s="1" t="inlineStr">
        <is>
          <t>Quarter | Percentage Change from Previous Period | 1961Q4</t>
        </is>
      </c>
      <c r="AAR3" s="1" t="inlineStr">
        <is>
          <t>Quarter | Percentage Change from Previous Period | 1962Q1</t>
        </is>
      </c>
      <c r="AAS3" s="1" t="inlineStr">
        <is>
          <t>Quarter | Percentage Change from Previous Period | 1962Q2</t>
        </is>
      </c>
      <c r="AAT3" s="1" t="inlineStr">
        <is>
          <t>Quarter | Percentage Change from Previous Period | 1962Q3</t>
        </is>
      </c>
      <c r="AAU3" s="1" t="inlineStr">
        <is>
          <t>Quarter | Percentage Change from Previous Period | 1962Q4</t>
        </is>
      </c>
      <c r="AAV3" s="1" t="inlineStr">
        <is>
          <t>Quarter | Percentage Change from Previous Period | 1963Q1</t>
        </is>
      </c>
      <c r="AAW3" s="1" t="inlineStr">
        <is>
          <t>Quarter | Percentage Change from Previous Period | 1963Q2</t>
        </is>
      </c>
      <c r="AAX3" s="1" t="inlineStr">
        <is>
          <t>Quarter | Percentage Change from Previous Period | 1963Q3</t>
        </is>
      </c>
      <c r="AAY3" s="1" t="inlineStr">
        <is>
          <t>Quarter | Percentage Change from Previous Period | 1963Q4</t>
        </is>
      </c>
      <c r="AAZ3" s="1" t="inlineStr">
        <is>
          <t>Quarter | Percentage Change from Previous Period | 1964Q1</t>
        </is>
      </c>
      <c r="ABA3" s="1" t="inlineStr">
        <is>
          <t>Quarter | Percentage Change from Previous Period | 1964Q2</t>
        </is>
      </c>
      <c r="ABB3" s="1" t="inlineStr">
        <is>
          <t>Quarter | Percentage Change from Previous Period | 1964Q3</t>
        </is>
      </c>
      <c r="ABC3" s="1" t="inlineStr">
        <is>
          <t>Quarter | Percentage Change from Previous Period | 1964Q4</t>
        </is>
      </c>
      <c r="ABD3" s="1" t="inlineStr">
        <is>
          <t>Quarter | Percentage Change from Previous Period | 1965Q1</t>
        </is>
      </c>
      <c r="ABE3" s="1" t="inlineStr">
        <is>
          <t>Quarter | Percentage Change from Previous Period | 1965Q2</t>
        </is>
      </c>
      <c r="ABF3" s="1" t="inlineStr">
        <is>
          <t>Quarter | Percentage Change from Previous Period | 1965Q3</t>
        </is>
      </c>
      <c r="ABG3" s="1" t="inlineStr">
        <is>
          <t>Quarter | Percentage Change from Previous Period | 1965Q4</t>
        </is>
      </c>
      <c r="ABH3" s="1" t="inlineStr">
        <is>
          <t>Quarter | Percentage Change from Previous Period | 1966Q1</t>
        </is>
      </c>
      <c r="ABI3" s="1" t="inlineStr">
        <is>
          <t>Quarter | Percentage Change from Previous Period | 1966Q2</t>
        </is>
      </c>
      <c r="ABJ3" s="1" t="inlineStr">
        <is>
          <t>Quarter | Percentage Change from Previous Period | 1966Q3</t>
        </is>
      </c>
      <c r="ABK3" s="1" t="inlineStr">
        <is>
          <t>Quarter | Percentage Change from Previous Period | 1966Q4</t>
        </is>
      </c>
      <c r="ABL3" s="1" t="inlineStr">
        <is>
          <t>Quarter | Percentage Change from Previous Period | 1967Q1</t>
        </is>
      </c>
      <c r="ABM3" s="1" t="inlineStr">
        <is>
          <t>Quarter | Percentage Change from Previous Period | 1967Q2</t>
        </is>
      </c>
      <c r="ABN3" s="1" t="inlineStr">
        <is>
          <t>Quarter | Percentage Change from Previous Period | 1967Q3</t>
        </is>
      </c>
      <c r="ABO3" s="1" t="inlineStr">
        <is>
          <t>Quarter | Percentage Change from Previous Period | 1967Q4</t>
        </is>
      </c>
      <c r="ABP3" s="1" t="inlineStr">
        <is>
          <t>Quarter | Percentage Change from Previous Period | 1968Q1</t>
        </is>
      </c>
      <c r="ABQ3" s="1" t="inlineStr">
        <is>
          <t>Quarter | Percentage Change from Previous Period | 1968Q2</t>
        </is>
      </c>
      <c r="ABR3" s="1" t="inlineStr">
        <is>
          <t>Quarter | Percentage Change from Previous Period | 1968Q3</t>
        </is>
      </c>
      <c r="ABS3" s="1" t="inlineStr">
        <is>
          <t>Quarter | Percentage Change from Previous Period | 1968Q4</t>
        </is>
      </c>
      <c r="ABT3" s="1" t="inlineStr">
        <is>
          <t>Quarter | Percentage Change from Previous Period | 1969Q1</t>
        </is>
      </c>
      <c r="ABU3" s="1" t="inlineStr">
        <is>
          <t>Quarter | Percentage Change from Previous Period | 1969Q2</t>
        </is>
      </c>
      <c r="ABV3" s="1" t="inlineStr">
        <is>
          <t>Quarter | Percentage Change from Previous Period | 1969Q3</t>
        </is>
      </c>
      <c r="ABW3" s="1" t="inlineStr">
        <is>
          <t>Quarter | Percentage Change from Previous Period | 1969Q4</t>
        </is>
      </c>
      <c r="ABX3" s="1" t="inlineStr">
        <is>
          <t>Quarter | Percentage Change from Previous Period | 1970Q1</t>
        </is>
      </c>
      <c r="ABY3" s="1" t="inlineStr">
        <is>
          <t>Quarter | Percentage Change from Previous Period | 1970Q2</t>
        </is>
      </c>
      <c r="ABZ3" s="1" t="inlineStr">
        <is>
          <t>Quarter | Percentage Change from Previous Period | 1970Q3</t>
        </is>
      </c>
      <c r="ACA3" s="1" t="inlineStr">
        <is>
          <t>Quarter | Percentage Change from Previous Period | 1970Q4</t>
        </is>
      </c>
      <c r="ACB3" s="1" t="inlineStr">
        <is>
          <t>Quarter | Percentage Change from Previous Period | 1971Q1</t>
        </is>
      </c>
      <c r="ACC3" s="1" t="inlineStr">
        <is>
          <t>Quarter | Percentage Change from Previous Period | 1971Q2</t>
        </is>
      </c>
      <c r="ACD3" s="1" t="inlineStr">
        <is>
          <t>Quarter | Percentage Change from Previous Period | 1971Q3</t>
        </is>
      </c>
      <c r="ACE3" s="1" t="inlineStr">
        <is>
          <t>Quarter | Percentage Change from Previous Period | 1971Q4</t>
        </is>
      </c>
      <c r="ACF3" s="1" t="inlineStr">
        <is>
          <t>Quarter | Percentage Change from Previous Period | 1972Q1</t>
        </is>
      </c>
      <c r="ACG3" s="1" t="inlineStr">
        <is>
          <t>Quarter | Percentage Change from Previous Period | 1972Q2</t>
        </is>
      </c>
      <c r="ACH3" s="1" t="inlineStr">
        <is>
          <t>Quarter | Percentage Change from Previous Period | 1972Q3</t>
        </is>
      </c>
      <c r="ACI3" s="1" t="inlineStr">
        <is>
          <t>Quarter | Percentage Change from Previous Period | 1972Q4</t>
        </is>
      </c>
      <c r="ACJ3" s="1" t="inlineStr">
        <is>
          <t>Quarter | Percentage Change from Previous Period | 1973Q1</t>
        </is>
      </c>
      <c r="ACK3" s="1" t="inlineStr">
        <is>
          <t>Quarter | Percentage Change from Previous Period | 1973Q2</t>
        </is>
      </c>
      <c r="ACL3" s="1" t="inlineStr">
        <is>
          <t>Quarter | Percentage Change from Previous Period | 1973Q3</t>
        </is>
      </c>
      <c r="ACM3" s="1" t="inlineStr">
        <is>
          <t>Quarter | Percentage Change from Previous Period | 1973Q4</t>
        </is>
      </c>
      <c r="ACN3" s="1" t="inlineStr">
        <is>
          <t>Quarter | Percentage Change from Previous Period | 1974Q1</t>
        </is>
      </c>
      <c r="ACO3" s="1" t="inlineStr">
        <is>
          <t>Quarter | Percentage Change from Previous Period | 1974Q2</t>
        </is>
      </c>
      <c r="ACP3" s="1" t="inlineStr">
        <is>
          <t>Quarter | Percentage Change from Previous Period | 1974Q3</t>
        </is>
      </c>
      <c r="ACQ3" s="1" t="inlineStr">
        <is>
          <t>Quarter | Percentage Change from Previous Period | 1974Q4</t>
        </is>
      </c>
      <c r="ACR3" s="1" t="inlineStr">
        <is>
          <t>Quarter | Percentage Change from Previous Period | 1975Q1</t>
        </is>
      </c>
      <c r="ACS3" s="1" t="inlineStr">
        <is>
          <t>Quarter | Percentage Change from Previous Period | 1975Q2</t>
        </is>
      </c>
      <c r="ACT3" s="1" t="inlineStr">
        <is>
          <t>Quarter | Percentage Change from Previous Period | 1975Q3</t>
        </is>
      </c>
      <c r="ACU3" s="1" t="inlineStr">
        <is>
          <t>Quarter | Percentage Change from Previous Period | 1975Q4</t>
        </is>
      </c>
      <c r="ACV3" s="1" t="inlineStr">
        <is>
          <t>Quarter | Percentage Change from Previous Period | 1976Q1</t>
        </is>
      </c>
      <c r="ACW3" s="1" t="inlineStr">
        <is>
          <t>Quarter | Percentage Change from Previous Period | 1976Q2</t>
        </is>
      </c>
      <c r="ACX3" s="1" t="inlineStr">
        <is>
          <t>Quarter | Percentage Change from Previous Period | 1976Q3</t>
        </is>
      </c>
      <c r="ACY3" s="1" t="inlineStr">
        <is>
          <t>Quarter | Percentage Change from Previous Period | 1976Q4</t>
        </is>
      </c>
      <c r="ACZ3" s="1" t="inlineStr">
        <is>
          <t>Quarter | Percentage Change from Previous Period | 1977Q1</t>
        </is>
      </c>
      <c r="ADA3" s="1" t="inlineStr">
        <is>
          <t>Quarter | Percentage Change from Previous Period | 1977Q2</t>
        </is>
      </c>
      <c r="ADB3" s="1" t="inlineStr">
        <is>
          <t>Quarter | Percentage Change from Previous Period | 1977Q3</t>
        </is>
      </c>
      <c r="ADC3" s="1" t="inlineStr">
        <is>
          <t>Quarter | Percentage Change from Previous Period | 1977Q4</t>
        </is>
      </c>
      <c r="ADD3" s="1" t="inlineStr">
        <is>
          <t>Quarter | Percentage Change from Previous Period | 1978Q1</t>
        </is>
      </c>
      <c r="ADE3" s="1" t="inlineStr">
        <is>
          <t>Quarter | Percentage Change from Previous Period | 1978Q2</t>
        </is>
      </c>
      <c r="ADF3" s="1" t="inlineStr">
        <is>
          <t>Quarter | Percentage Change from Previous Period | 1978Q3</t>
        </is>
      </c>
      <c r="ADG3" s="1" t="inlineStr">
        <is>
          <t>Quarter | Percentage Change from Previous Period | 1978Q4</t>
        </is>
      </c>
      <c r="ADH3" s="1" t="inlineStr">
        <is>
          <t>Quarter | Percentage Change from Previous Period | 1979Q1</t>
        </is>
      </c>
      <c r="ADI3" s="1" t="inlineStr">
        <is>
          <t>Quarter | Percentage Change from Previous Period | 1979Q2</t>
        </is>
      </c>
      <c r="ADJ3" s="1" t="inlineStr">
        <is>
          <t>Quarter | Percentage Change from Previous Period | 1979Q3</t>
        </is>
      </c>
      <c r="ADK3" s="1" t="inlineStr">
        <is>
          <t>Quarter | Percentage Change from Previous Period | 1979Q4</t>
        </is>
      </c>
      <c r="ADL3" s="1" t="inlineStr">
        <is>
          <t>Quarter | Percentage Change from Previous Period | 1980Q1</t>
        </is>
      </c>
      <c r="ADM3" s="1" t="inlineStr">
        <is>
          <t>Quarter | Percentage Change from Previous Period | 1980Q2</t>
        </is>
      </c>
      <c r="ADN3" s="1" t="inlineStr">
        <is>
          <t>Quarter | Percentage Change from Previous Period | 1980Q3</t>
        </is>
      </c>
      <c r="ADO3" s="1" t="inlineStr">
        <is>
          <t>Quarter | Percentage Change from Previous Period | 1980Q4</t>
        </is>
      </c>
      <c r="ADP3" s="1" t="inlineStr">
        <is>
          <t>Quarter | Percentage Change from Previous Period | 1981Q1</t>
        </is>
      </c>
      <c r="ADQ3" s="1" t="inlineStr">
        <is>
          <t>Quarter | Percentage Change from Previous Period | 1981Q2</t>
        </is>
      </c>
      <c r="ADR3" s="1" t="inlineStr">
        <is>
          <t>Quarter | Percentage Change from Previous Period | 1981Q3</t>
        </is>
      </c>
      <c r="ADS3" s="1" t="inlineStr">
        <is>
          <t>Quarter | Percentage Change from Previous Period | 1981Q4</t>
        </is>
      </c>
      <c r="ADT3" s="1" t="inlineStr">
        <is>
          <t>Quarter | Percentage Change from Previous Period | 1982Q1</t>
        </is>
      </c>
      <c r="ADU3" s="1" t="inlineStr">
        <is>
          <t>Quarter | Percentage Change from Previous Period | 1982Q2</t>
        </is>
      </c>
      <c r="ADV3" s="1" t="inlineStr">
        <is>
          <t>Quarter | Percentage Change from Previous Period | 1982Q3</t>
        </is>
      </c>
      <c r="ADW3" s="1" t="inlineStr">
        <is>
          <t>Quarter | Percentage Change from Previous Period | 1982Q4</t>
        </is>
      </c>
      <c r="ADX3" s="1" t="inlineStr">
        <is>
          <t>Quarter | Percentage Change from Previous Period | 1983Q1</t>
        </is>
      </c>
      <c r="ADY3" s="1" t="inlineStr">
        <is>
          <t>Quarter | Percentage Change from Previous Period | 1983Q2</t>
        </is>
      </c>
      <c r="ADZ3" s="1" t="inlineStr">
        <is>
          <t>Quarter | Percentage Change from Previous Period | 1983Q3</t>
        </is>
      </c>
      <c r="AEA3" s="1" t="inlineStr">
        <is>
          <t>Quarter | Percentage Change from Previous Period | 1983Q4</t>
        </is>
      </c>
      <c r="AEB3" s="1" t="inlineStr">
        <is>
          <t>Quarter | Percentage Change from Previous Period | 1984Q1</t>
        </is>
      </c>
      <c r="AEC3" s="1" t="inlineStr">
        <is>
          <t>Quarter | Percentage Change from Previous Period | 1984Q2</t>
        </is>
      </c>
      <c r="AED3" s="1" t="inlineStr">
        <is>
          <t>Quarter | Percentage Change from Previous Period | 1984Q3</t>
        </is>
      </c>
      <c r="AEE3" s="1" t="inlineStr">
        <is>
          <t>Quarter | Percentage Change from Previous Period | 1984Q4</t>
        </is>
      </c>
      <c r="AEF3" s="1" t="inlineStr">
        <is>
          <t>Quarter | Percentage Change from Previous Period | 1985Q1</t>
        </is>
      </c>
      <c r="AEG3" s="1" t="inlineStr">
        <is>
          <t>Quarter | Percentage Change from Previous Period | 1985Q2</t>
        </is>
      </c>
      <c r="AEH3" s="1" t="inlineStr">
        <is>
          <t>Quarter | Percentage Change from Previous Period | 1985Q3</t>
        </is>
      </c>
      <c r="AEI3" s="1" t="inlineStr">
        <is>
          <t>Quarter | Percentage Change from Previous Period | 1985Q4</t>
        </is>
      </c>
      <c r="AEJ3" s="1" t="inlineStr">
        <is>
          <t>Quarter | Percentage Change from Previous Period | 1986Q1</t>
        </is>
      </c>
      <c r="AEK3" s="1" t="inlineStr">
        <is>
          <t>Quarter | Percentage Change from Previous Period | 1986Q2</t>
        </is>
      </c>
      <c r="AEL3" s="1" t="inlineStr">
        <is>
          <t>Quarter | Percentage Change from Previous Period | 1986Q3</t>
        </is>
      </c>
      <c r="AEM3" s="1" t="inlineStr">
        <is>
          <t>Quarter | Percentage Change from Previous Period | 1986Q4</t>
        </is>
      </c>
      <c r="AEN3" s="1" t="inlineStr">
        <is>
          <t>Quarter | Percentage Change from Previous Period | 1987Q1</t>
        </is>
      </c>
      <c r="AEO3" s="1" t="inlineStr">
        <is>
          <t>Quarter | Percentage Change from Previous Period | 1987Q2</t>
        </is>
      </c>
      <c r="AEP3" s="1" t="inlineStr">
        <is>
          <t>Quarter | Percentage Change from Previous Period | 1987Q3</t>
        </is>
      </c>
      <c r="AEQ3" s="1" t="inlineStr">
        <is>
          <t>Quarter | Percentage Change from Previous Period | 1987Q4</t>
        </is>
      </c>
      <c r="AER3" s="1" t="inlineStr">
        <is>
          <t>Quarter | Percentage Change from Previous Period | 1988Q1</t>
        </is>
      </c>
      <c r="AES3" s="1" t="inlineStr">
        <is>
          <t>Quarter | Percentage Change from Previous Period | 1988Q2</t>
        </is>
      </c>
      <c r="AET3" s="1" t="inlineStr">
        <is>
          <t>Quarter | Percentage Change from Previous Period | 1988Q3</t>
        </is>
      </c>
      <c r="AEU3" s="1" t="inlineStr">
        <is>
          <t>Quarter | Percentage Change from Previous Period | 1988Q4</t>
        </is>
      </c>
      <c r="AEV3" s="1" t="inlineStr">
        <is>
          <t>Quarter | Percentage Change from Previous Period | 1989Q1</t>
        </is>
      </c>
      <c r="AEW3" s="1" t="inlineStr">
        <is>
          <t>Quarter | Percentage Change from Previous Period | 1989Q2</t>
        </is>
      </c>
      <c r="AEX3" s="1" t="inlineStr">
        <is>
          <t>Quarter | Percentage Change from Previous Period | 1989Q3</t>
        </is>
      </c>
      <c r="AEY3" s="1" t="inlineStr">
        <is>
          <t>Quarter | Percentage Change from Previous Period | 1989Q4</t>
        </is>
      </c>
      <c r="AEZ3" s="1" t="inlineStr">
        <is>
          <t>Quarter | Percentage Change from Previous Period | 1990Q1</t>
        </is>
      </c>
      <c r="AFA3" s="1" t="inlineStr">
        <is>
          <t>Quarter | Percentage Change from Previous Period | 1990Q2</t>
        </is>
      </c>
      <c r="AFB3" s="1" t="inlineStr">
        <is>
          <t>Quarter | Percentage Change from Previous Period | 1990Q3</t>
        </is>
      </c>
      <c r="AFC3" s="1" t="inlineStr">
        <is>
          <t>Quarter | Percentage Change from Previous Period | 1990Q4</t>
        </is>
      </c>
      <c r="AFD3" s="1" t="inlineStr">
        <is>
          <t>Quarter | Percentage Change from Previous Period | 1991Q1</t>
        </is>
      </c>
      <c r="AFE3" s="1" t="inlineStr">
        <is>
          <t>Quarter | Percentage Change from Previous Period | 1991Q2</t>
        </is>
      </c>
      <c r="AFF3" s="1" t="inlineStr">
        <is>
          <t>Quarter | Percentage Change from Previous Period | 1991Q3</t>
        </is>
      </c>
      <c r="AFG3" s="1" t="inlineStr">
        <is>
          <t>Quarter | Percentage Change from Previous Period | 1991Q4</t>
        </is>
      </c>
      <c r="AFH3" s="1" t="inlineStr">
        <is>
          <t>Quarter | Percentage Change from Previous Period | 1992Q1</t>
        </is>
      </c>
      <c r="AFI3" s="1" t="inlineStr">
        <is>
          <t>Quarter | Percentage Change from Previous Period | 1992Q2</t>
        </is>
      </c>
      <c r="AFJ3" s="1" t="inlineStr">
        <is>
          <t>Quarter | Percentage Change from Previous Period | 1992Q3</t>
        </is>
      </c>
      <c r="AFK3" s="1" t="inlineStr">
        <is>
          <t>Quarter | Percentage Change from Previous Period | 1992Q4</t>
        </is>
      </c>
      <c r="AFL3" s="1" t="inlineStr">
        <is>
          <t>Quarter | Percentage Change from Previous Period | 1993Q1</t>
        </is>
      </c>
      <c r="AFM3" s="1" t="inlineStr">
        <is>
          <t>Quarter | Percentage Change from Previous Period | 1993Q2</t>
        </is>
      </c>
      <c r="AFN3" s="1" t="inlineStr">
        <is>
          <t>Quarter | Percentage Change from Previous Period | 1993Q3</t>
        </is>
      </c>
      <c r="AFO3" s="1" t="inlineStr">
        <is>
          <t>Quarter | Percentage Change from Previous Period | 1993Q4</t>
        </is>
      </c>
      <c r="AFP3" s="1" t="inlineStr">
        <is>
          <t>Quarter | Percentage Change from Previous Period | 1994Q1</t>
        </is>
      </c>
      <c r="AFQ3" s="1" t="inlineStr">
        <is>
          <t>Quarter | Percentage Change from Previous Period | 1994Q2</t>
        </is>
      </c>
      <c r="AFR3" s="1" t="inlineStr">
        <is>
          <t>Quarter | Percentage Change from Previous Period | 1994Q3</t>
        </is>
      </c>
      <c r="AFS3" s="1" t="inlineStr">
        <is>
          <t>Quarter | Percentage Change from Previous Period | 1994Q4</t>
        </is>
      </c>
      <c r="AFT3" s="1" t="inlineStr">
        <is>
          <t>Quarter | Percentage Change from Previous Period | 1995Q1</t>
        </is>
      </c>
      <c r="AFU3" s="1" t="inlineStr">
        <is>
          <t>Quarter | Percentage Change from Previous Period | 1995Q2</t>
        </is>
      </c>
      <c r="AFV3" s="1" t="inlineStr">
        <is>
          <t>Quarter | Percentage Change from Previous Period | 1995Q3</t>
        </is>
      </c>
      <c r="AFW3" s="1" t="inlineStr">
        <is>
          <t>Quarter | Percentage Change from Previous Period | 1995Q4</t>
        </is>
      </c>
      <c r="AFX3" s="1" t="inlineStr">
        <is>
          <t>Quarter | Percentage Change from Previous Period | 1996Q1</t>
        </is>
      </c>
      <c r="AFY3" s="1" t="inlineStr">
        <is>
          <t>Quarter | Percentage Change from Previous Period | 1996Q2</t>
        </is>
      </c>
      <c r="AFZ3" s="1" t="inlineStr">
        <is>
          <t>Quarter | Percentage Change from Previous Period | 1996Q3</t>
        </is>
      </c>
      <c r="AGA3" s="1" t="inlineStr">
        <is>
          <t>Quarter | Percentage Change from Previous Period | 1996Q4</t>
        </is>
      </c>
      <c r="AGB3" s="1" t="inlineStr">
        <is>
          <t>Quarter | Percentage Change from Previous Period | 1997Q1</t>
        </is>
      </c>
      <c r="AGC3" s="1" t="inlineStr">
        <is>
          <t>Quarter | Percentage Change from Previous Period | 1997Q2</t>
        </is>
      </c>
      <c r="AGD3" s="1" t="inlineStr">
        <is>
          <t>Quarter | Percentage Change from Previous Period | 1997Q3</t>
        </is>
      </c>
      <c r="AGE3" s="1" t="inlineStr">
        <is>
          <t>Quarter | Percentage Change from Previous Period | 1997Q4</t>
        </is>
      </c>
      <c r="AGF3" s="1" t="inlineStr">
        <is>
          <t>Quarter | Percentage Change from Previous Period | 1998Q1</t>
        </is>
      </c>
      <c r="AGG3" s="1" t="inlineStr">
        <is>
          <t>Quarter | Percentage Change from Previous Period | 1998Q2</t>
        </is>
      </c>
      <c r="AGH3" s="1" t="inlineStr">
        <is>
          <t>Quarter | Percentage Change from Previous Period | 1998Q3</t>
        </is>
      </c>
      <c r="AGI3" s="1" t="inlineStr">
        <is>
          <t>Quarter | Percentage Change from Previous Period | 1998Q4</t>
        </is>
      </c>
      <c r="AGJ3" s="1" t="inlineStr">
        <is>
          <t>Quarter | Percentage Change from Previous Period | 1999Q1</t>
        </is>
      </c>
      <c r="AGK3" s="1" t="inlineStr">
        <is>
          <t>Quarter | Percentage Change from Previous Period | 1999Q2</t>
        </is>
      </c>
      <c r="AGL3" s="1" t="inlineStr">
        <is>
          <t>Quarter | Percentage Change from Previous Period | 1999Q3</t>
        </is>
      </c>
      <c r="AGM3" s="1" t="inlineStr">
        <is>
          <t>Quarter | Percentage Change from Previous Period | 1999Q4</t>
        </is>
      </c>
      <c r="AGN3" s="1" t="inlineStr">
        <is>
          <t>Quarter | Percentage Change from Previous Period | 2000Q1</t>
        </is>
      </c>
      <c r="AGO3" s="1" t="inlineStr">
        <is>
          <t>Quarter | Percentage Change from Previous Period | 2000Q2</t>
        </is>
      </c>
      <c r="AGP3" s="1" t="inlineStr">
        <is>
          <t>Quarter | Percentage Change from Previous Period | 2000Q3</t>
        </is>
      </c>
      <c r="AGQ3" s="1" t="inlineStr">
        <is>
          <t>Quarter | Percentage Change from Previous Period | 2000Q4</t>
        </is>
      </c>
      <c r="AGR3" s="1" t="inlineStr">
        <is>
          <t>Quarter | Percentage Change from Previous Period | 2001Q1</t>
        </is>
      </c>
      <c r="AGS3" s="1" t="inlineStr">
        <is>
          <t>Quarter | Percentage Change from Previous Period | 2001Q2</t>
        </is>
      </c>
      <c r="AGT3" s="1" t="inlineStr">
        <is>
          <t>Quarter | Percentage Change from Previous Period | 2001Q3</t>
        </is>
      </c>
      <c r="AGU3" s="1" t="inlineStr">
        <is>
          <t>Quarter | Percentage Change from Previous Period | 2001Q4</t>
        </is>
      </c>
      <c r="AGV3" s="1" t="inlineStr">
        <is>
          <t>Quarter | Percentage Change from Previous Period | 2002Q1</t>
        </is>
      </c>
      <c r="AGW3" s="1" t="inlineStr">
        <is>
          <t>Quarter | Percentage Change from Previous Period | 2002Q2</t>
        </is>
      </c>
      <c r="AGX3" s="1" t="inlineStr">
        <is>
          <t>Quarter | Percentage Change from Previous Period | 2002Q3</t>
        </is>
      </c>
      <c r="AGY3" s="1" t="inlineStr">
        <is>
          <t>Quarter | Percentage Change from Previous Period | 2002Q4</t>
        </is>
      </c>
      <c r="AGZ3" s="1" t="inlineStr">
        <is>
          <t>Quarter | Percentage Change from Previous Period | 2003Q1</t>
        </is>
      </c>
      <c r="AHA3" s="1" t="inlineStr">
        <is>
          <t>Quarter | Percentage Change from Previous Period | 2003Q2</t>
        </is>
      </c>
      <c r="AHB3" s="1" t="inlineStr">
        <is>
          <t>Quarter | Percentage Change from Previous Period | 2003Q3</t>
        </is>
      </c>
      <c r="AHC3" s="1" t="inlineStr">
        <is>
          <t>Quarter | Percentage Change from Previous Period | 2003Q4</t>
        </is>
      </c>
      <c r="AHD3" s="1" t="inlineStr">
        <is>
          <t>Quarter | Percentage Change from Previous Period | 2004Q1</t>
        </is>
      </c>
      <c r="AHE3" s="1" t="inlineStr">
        <is>
          <t>Quarter | Percentage Change from Previous Period | 2004Q2</t>
        </is>
      </c>
      <c r="AHF3" s="1" t="inlineStr">
        <is>
          <t>Quarter | Percentage Change from Previous Period | 2004Q3</t>
        </is>
      </c>
      <c r="AHG3" s="1" t="inlineStr">
        <is>
          <t>Quarter | Percentage Change from Previous Period | 2004Q4</t>
        </is>
      </c>
      <c r="AHH3" s="1" t="inlineStr">
        <is>
          <t>Quarter | Percentage Change from Previous Period | 2005Q1</t>
        </is>
      </c>
      <c r="AHI3" s="1" t="inlineStr">
        <is>
          <t>Quarter | Percentage Change from Previous Period | 2005Q2</t>
        </is>
      </c>
      <c r="AHJ3" s="1" t="inlineStr">
        <is>
          <t>Quarter | Percentage Change from Previous Period | 2005Q3</t>
        </is>
      </c>
      <c r="AHK3" s="1" t="inlineStr">
        <is>
          <t>Quarter | Percentage Change from Previous Period | 2005Q4</t>
        </is>
      </c>
      <c r="AHL3" s="1" t="inlineStr">
        <is>
          <t>Quarter | Percentage Change from Previous Period | 2006Q1</t>
        </is>
      </c>
      <c r="AHM3" s="1" t="inlineStr">
        <is>
          <t>Quarter | Percentage Change from Previous Period | 2006Q2</t>
        </is>
      </c>
      <c r="AHN3" s="1" t="inlineStr">
        <is>
          <t>Quarter | Percentage Change from Previous Period | 2006Q3</t>
        </is>
      </c>
      <c r="AHO3" s="1" t="inlineStr">
        <is>
          <t>Quarter | Percentage Change from Previous Period | 2006Q4</t>
        </is>
      </c>
      <c r="AHP3" s="1" t="inlineStr">
        <is>
          <t>Quarter | Percentage Change from Previous Period | 2007Q1</t>
        </is>
      </c>
      <c r="AHQ3" s="1" t="inlineStr">
        <is>
          <t>Quarter | Percentage Change from Previous Period | 2007Q2</t>
        </is>
      </c>
      <c r="AHR3" s="1" t="inlineStr">
        <is>
          <t>Quarter | Percentage Change from Previous Period | 2007Q3</t>
        </is>
      </c>
      <c r="AHS3" s="1" t="inlineStr">
        <is>
          <t>Quarter | Percentage Change from Previous Period | 2007Q4</t>
        </is>
      </c>
      <c r="AHT3" s="1" t="inlineStr">
        <is>
          <t>Quarter | Percentage Change from Previous Period | 2008Q1</t>
        </is>
      </c>
      <c r="AHU3" s="1" t="inlineStr">
        <is>
          <t>Quarter | Percentage Change from Previous Period | 2008Q2</t>
        </is>
      </c>
      <c r="AHV3" s="1" t="inlineStr">
        <is>
          <t>Quarter | Percentage Change from Previous Period | 2008Q3</t>
        </is>
      </c>
      <c r="AHW3" s="1" t="inlineStr">
        <is>
          <t>Quarter | Percentage Change from Previous Period | 2008Q4</t>
        </is>
      </c>
      <c r="AHX3" s="1" t="inlineStr">
        <is>
          <t>Quarter | Percentage Change from Previous Period | 2009Q1</t>
        </is>
      </c>
      <c r="AHY3" s="1" t="inlineStr">
        <is>
          <t>Quarter | Percentage Change from Previous Period | 2009Q2</t>
        </is>
      </c>
      <c r="AHZ3" s="1" t="inlineStr">
        <is>
          <t>Quarter | Percentage Change from Previous Period | 2009Q3</t>
        </is>
      </c>
      <c r="AIA3" s="1" t="inlineStr">
        <is>
          <t>Quarter | Percentage Change from Previous Period | 2009Q4</t>
        </is>
      </c>
      <c r="AIB3" s="1" t="inlineStr">
        <is>
          <t>Quarter | Percentage Change from Previous Period | 2010Q1</t>
        </is>
      </c>
      <c r="AIC3" s="1" t="inlineStr">
        <is>
          <t>Quarter | Percentage Change from Previous Period | 2010Q2</t>
        </is>
      </c>
      <c r="AID3" s="1" t="inlineStr">
        <is>
          <t>Quarter | Percentage Change from Previous Period | 2010Q3</t>
        </is>
      </c>
      <c r="AIE3" s="1" t="inlineStr">
        <is>
          <t>Quarter | Percentage Change from Previous Period | 2010Q4</t>
        </is>
      </c>
      <c r="AIF3" s="1" t="inlineStr">
        <is>
          <t>Quarter | Percentage Change from Previous Period | 2011Q1</t>
        </is>
      </c>
      <c r="AIG3" s="1" t="inlineStr">
        <is>
          <t>Quarter | Percentage Change from Previous Period | 2011Q2</t>
        </is>
      </c>
      <c r="AIH3" s="1" t="inlineStr">
        <is>
          <t>Quarter | Percentage Change from Previous Period | 2011Q3</t>
        </is>
      </c>
      <c r="AII3" s="1" t="inlineStr">
        <is>
          <t>Quarter | Percentage Change from Previous Period | 2011Q4</t>
        </is>
      </c>
      <c r="AIJ3" s="1" t="inlineStr">
        <is>
          <t>Quarter | Percentage Change from Previous Period | 2012Q1</t>
        </is>
      </c>
      <c r="AIK3" s="1" t="inlineStr">
        <is>
          <t>Quarter | Percentage Change from Previous Period | 2012Q2</t>
        </is>
      </c>
      <c r="AIL3" s="1" t="inlineStr">
        <is>
          <t>Quarter | Percentage Change from Previous Period | 2012Q3</t>
        </is>
      </c>
      <c r="AIM3" s="1" t="inlineStr">
        <is>
          <t>Quarter | Percentage Change from Previous Period | 2012Q4</t>
        </is>
      </c>
      <c r="AIN3" s="1" t="inlineStr">
        <is>
          <t>Quarter | Percentage Change from Previous Period | 2013Q1</t>
        </is>
      </c>
      <c r="AIO3" s="1" t="inlineStr">
        <is>
          <t>Quarter | Percentage Change from Previous Period | 2013Q2</t>
        </is>
      </c>
      <c r="AIP3" s="1" t="inlineStr">
        <is>
          <t>Quarter | Percentage Change from Previous Period | 2013Q3</t>
        </is>
      </c>
      <c r="AIQ3" s="1" t="inlineStr">
        <is>
          <t>Quarter | Percentage Change from Previous Period | 2013Q4</t>
        </is>
      </c>
      <c r="AIR3" s="1" t="inlineStr">
        <is>
          <t>Quarter | Percentage Change from Previous Period | 2014Q1</t>
        </is>
      </c>
      <c r="AIS3" s="1" t="inlineStr">
        <is>
          <t>Quarter | Percentage Change from Previous Period | 2014Q2</t>
        </is>
      </c>
      <c r="AIT3" s="1" t="inlineStr">
        <is>
          <t>Quarter | Percentage Change from Previous Period | 2014Q3</t>
        </is>
      </c>
      <c r="AIU3" s="1" t="inlineStr">
        <is>
          <t>Quarter | Percentage Change from Previous Period | 2014Q4</t>
        </is>
      </c>
      <c r="AIV3" s="1" t="inlineStr">
        <is>
          <t>Quarter | Percentage Change from Previous Period | 2015Q1</t>
        </is>
      </c>
      <c r="AIW3" s="1" t="inlineStr">
        <is>
          <t>Quarter | Percentage Change from Previous Period | 2015Q2</t>
        </is>
      </c>
      <c r="AIX3" s="1" t="inlineStr">
        <is>
          <t>Quarter | Percentage Change from Previous Period | 2015Q3</t>
        </is>
      </c>
      <c r="AIY3" s="1" t="inlineStr">
        <is>
          <t>Quarter | Percentage Change from Previous Period | 2015Q4</t>
        </is>
      </c>
      <c r="AIZ3" s="1" t="inlineStr">
        <is>
          <t>Quarter | Percentage Change from Previous Period | 2016Q1</t>
        </is>
      </c>
      <c r="AJA3" s="1" t="inlineStr">
        <is>
          <t>Quarter | Percentage Change from Previous Period | 2016Q2</t>
        </is>
      </c>
      <c r="AJB3" s="1" t="inlineStr">
        <is>
          <t>Quarter | Percentage Change from Previous Period | 2016Q3</t>
        </is>
      </c>
      <c r="AJC3" s="1" t="inlineStr">
        <is>
          <t>Quarter | Percentage Change from Previous Period | 2016Q4</t>
        </is>
      </c>
      <c r="AJD3" s="1" t="inlineStr">
        <is>
          <t>Quarter | Percentage Change from Previous Period | 2017Q1</t>
        </is>
      </c>
      <c r="AJE3" s="1" t="inlineStr">
        <is>
          <t>Quarter | Percentage Change from Previous Period | 2017Q2</t>
        </is>
      </c>
      <c r="AJF3" s="1" t="inlineStr">
        <is>
          <t>Quarter | Percentage Change from Previous Period | 2017Q3</t>
        </is>
      </c>
      <c r="AJG3" s="1" t="inlineStr">
        <is>
          <t>Quarter | Percentage Change from Previous Period | 2017Q4</t>
        </is>
      </c>
      <c r="AJH3" s="1" t="inlineStr">
        <is>
          <t>Quarter | Percentage Change from Previous Period | 2018Q1</t>
        </is>
      </c>
      <c r="AJI3" s="1" t="inlineStr">
        <is>
          <t>Quarter | Percentage Change from Previous Period | 2018Q2</t>
        </is>
      </c>
      <c r="AJJ3" s="1" t="inlineStr">
        <is>
          <t>Quarter | Percentage Change from Previous Period | 2018Q3</t>
        </is>
      </c>
      <c r="AJK3" s="1" t="inlineStr">
        <is>
          <t>Quarter | Percentage Change from Previous Period | 2018Q4</t>
        </is>
      </c>
      <c r="AJL3" s="1" t="inlineStr">
        <is>
          <t>Quarter | Percentage Change from Previous Period | 2019Q1</t>
        </is>
      </c>
      <c r="AJM3" s="1" t="inlineStr">
        <is>
          <t>Quarter | Percentage Change from Previous Period | 2019Q2</t>
        </is>
      </c>
      <c r="AJN3" s="1" t="inlineStr">
        <is>
          <t>Quarter | Percentage Change from Previous Period | 2019Q3</t>
        </is>
      </c>
      <c r="AJO3" s="1" t="inlineStr">
        <is>
          <t>Quarter | Percentage Change from Previous Period | 2019Q4</t>
        </is>
      </c>
      <c r="AJP3" s="1" t="inlineStr">
        <is>
          <t>Quarter | Percentage Change from Previous Period | 2020Q1</t>
        </is>
      </c>
      <c r="AJQ3" s="1" t="inlineStr">
        <is>
          <t>Quarter | Percentage Change from Previous Period | 2020Q2</t>
        </is>
      </c>
      <c r="AJR3" s="1" t="inlineStr">
        <is>
          <t>Quarter | Percentage Change from Previous Period | 2020Q3</t>
        </is>
      </c>
      <c r="AJS3" s="1" t="inlineStr">
        <is>
          <t>Quarter | Percentage Change from Previous Period | 2020Q4</t>
        </is>
      </c>
      <c r="AJT3" s="1" t="inlineStr">
        <is>
          <t>Quarter | Percentage Change from Previous Period | 2021Q1</t>
        </is>
      </c>
      <c r="AJU3" s="1" t="inlineStr">
        <is>
          <t>Quarter | Percentage Change from Previous Period | 2021Q2</t>
        </is>
      </c>
      <c r="AJV3" s="1" t="inlineStr">
        <is>
          <t>Quarter | Percentage Change from Previous Period | 2021Q3</t>
        </is>
      </c>
      <c r="AJW3" s="1" t="inlineStr">
        <is>
          <t>Quarter | Percentage Change from Previous Period | 2021Q4</t>
        </is>
      </c>
      <c r="AJX3" s="1" t="inlineStr">
        <is>
          <t>Quarter | Percentage Change from Previous Period | 2022Q1</t>
        </is>
      </c>
      <c r="AJY3" s="1" t="inlineStr">
        <is>
          <t>Quarter | Percentage Change from Previous Period | 2022Q2</t>
        </is>
      </c>
      <c r="AJZ3" s="1" t="inlineStr">
        <is>
          <t>Quarter | Percentage Change from Previous Period | 2022Q3</t>
        </is>
      </c>
      <c r="AKA3" s="1" t="inlineStr">
        <is>
          <t>Quarter | Percentage Change from Previous Period | 2022Q4</t>
        </is>
      </c>
      <c r="AKB3" s="1" t="inlineStr">
        <is>
          <t>Quarter | Percentage Change from Previous Period | 2023Q1</t>
        </is>
      </c>
      <c r="AKC3" s="1" t="inlineStr">
        <is>
          <t>Quarter | Percentage Change from Previous Period | 2023Q2</t>
        </is>
      </c>
      <c r="AKD3" s="1" t="inlineStr">
        <is>
          <t>Quarter | Percentage Change from Previous Period | 2023Q3</t>
        </is>
      </c>
      <c r="AKE3" s="1" t="inlineStr">
        <is>
          <t>Quarter | Percentage Change from Previous Period | 2023Q4</t>
        </is>
      </c>
      <c r="AKF3" s="1" t="inlineStr">
        <is>
          <t>Quarter | Percentage Change from Previous Period | 2024Q1</t>
        </is>
      </c>
      <c r="AKG3" s="1" t="inlineStr">
        <is>
          <t>Quarter | Percentage Change from Previous Period | 2024Q2</t>
        </is>
      </c>
      <c r="AKH3" s="1" t="inlineStr">
        <is>
          <t>Quarter | Percentage Change from Previous Period | 2024Q3</t>
        </is>
      </c>
      <c r="AKI3" s="1" t="inlineStr">
        <is>
          <t>Quarter | Percentage Change from Previous Period | 2024Q4</t>
        </is>
      </c>
      <c r="AKJ3" s="1" t="inlineStr">
        <is>
          <t>Quarter | Percentage Change from Previous Period | 2025Q1</t>
        </is>
      </c>
      <c r="AKK3" s="1" t="inlineStr">
        <is>
          <t>Quarter | Percentage Change from Previous Period | 2025Q2</t>
        </is>
      </c>
      <c r="AKL3" s="1" t="inlineStr">
        <is>
          <t>Quarter | Percentage Change from Previous Period | 2025Q3</t>
        </is>
      </c>
      <c r="AKM3" s="1" t="inlineStr">
        <is>
          <t>Quarter | Percentage Change from Previous Period | 2025Q4</t>
        </is>
      </c>
      <c r="AKN3" s="1" t="inlineStr">
        <is>
          <t>Quarter | Percentage Change from Previous Period | 2026Q1</t>
        </is>
      </c>
      <c r="AKO3" s="1" t="inlineStr">
        <is>
          <t>Quarter | Percentage Change from Previous Period | 2026Q2</t>
        </is>
      </c>
      <c r="AKP3" s="1" t="inlineStr">
        <is>
          <t>Quarter | Contribution to Total CPI | 2025Q4</t>
        </is>
      </c>
      <c r="AKQ3" s="1" t="inlineStr">
        <is>
          <t>Quarter | Contribution to Total CPI | 2026Q1</t>
        </is>
      </c>
      <c r="AKR3" s="1" t="inlineStr">
        <is>
          <t>Quarter | Contribution to Total CPI | 2026Q2</t>
        </is>
      </c>
    </row>
    <row r="4">
      <c r="A4" t="inlineStr">
        <is>
          <t>Bread and cereal products</t>
        </is>
      </c>
      <c r="B4" t="inlineStr">
        <is>
          <t>Food and non-alcoholic beverages</t>
        </is>
      </c>
      <c r="C4">
        <v>2</v>
      </c>
      <c r="D4">
        <v>1.56</v>
      </c>
      <c r="E4" s="3">
        <f>D4/17.41*0.174</f>
        <v>0.015591039632395175</v>
      </c>
      <c r="F4" s="3">
        <f>E4-D4/100</f>
        <v>-8.960367604825617e-06</v>
      </c>
      <c r="G4" s="3">
        <f>D4/17.41</f>
        <v>0.08960367604824813</v>
      </c>
      <c r="H4" s="2">
        <v>73.41</v>
      </c>
      <c r="I4" s="2">
        <v>73.94</v>
      </c>
      <c r="J4" s="2">
        <v>74.31999999999999</v>
      </c>
      <c r="K4" s="2">
        <v>74.95999999999999</v>
      </c>
      <c r="L4" s="2">
        <v>74.81</v>
      </c>
      <c r="M4" s="2">
        <v>73.95</v>
      </c>
      <c r="N4" s="2">
        <v>74.17</v>
      </c>
      <c r="O4" s="2">
        <v>73.88</v>
      </c>
      <c r="P4" s="2">
        <v>73.81</v>
      </c>
      <c r="Q4" s="2">
        <v>73.65000000000001</v>
      </c>
      <c r="R4" s="2">
        <v>74.06999999999999</v>
      </c>
      <c r="S4" s="2">
        <v>73.98</v>
      </c>
      <c r="T4" s="2">
        <v>74.09999999999999</v>
      </c>
      <c r="U4" s="2">
        <v>74.56</v>
      </c>
      <c r="V4" s="2">
        <v>74.39</v>
      </c>
      <c r="W4" s="2">
        <v>75.31</v>
      </c>
      <c r="X4" s="2">
        <v>75.45999999999999</v>
      </c>
      <c r="Y4" s="2">
        <v>75.73</v>
      </c>
      <c r="Z4" s="2">
        <v>76.26000000000001</v>
      </c>
      <c r="AA4" s="2">
        <v>76.38</v>
      </c>
      <c r="AB4" s="2">
        <v>75.62</v>
      </c>
      <c r="AC4" s="2">
        <v>76.23</v>
      </c>
      <c r="AD4" s="2">
        <v>76.3</v>
      </c>
      <c r="AE4" s="2">
        <v>77.38</v>
      </c>
      <c r="AF4" s="2">
        <v>77.23</v>
      </c>
      <c r="AG4" s="2">
        <v>77.40000000000001</v>
      </c>
      <c r="AH4" s="2">
        <v>77.65000000000001</v>
      </c>
      <c r="AI4" s="2">
        <v>78.48</v>
      </c>
      <c r="AJ4" s="2">
        <v>78.48</v>
      </c>
      <c r="AK4" s="2">
        <v>78.31999999999999</v>
      </c>
      <c r="AL4" s="2">
        <v>80.76000000000001</v>
      </c>
      <c r="AM4" s="2">
        <v>81.58</v>
      </c>
      <c r="AN4" s="2">
        <v>80.02</v>
      </c>
      <c r="AO4" s="2">
        <v>79.13</v>
      </c>
      <c r="AP4" s="2">
        <v>78.26000000000001</v>
      </c>
      <c r="AQ4" s="2">
        <v>78.95999999999999</v>
      </c>
      <c r="AR4" s="2">
        <v>78.68000000000001</v>
      </c>
      <c r="AS4" s="2">
        <v>79.02</v>
      </c>
      <c r="AT4" s="2">
        <v>79.40000000000001</v>
      </c>
      <c r="AU4" s="2">
        <v>79.40000000000001</v>
      </c>
      <c r="AV4" s="2">
        <v>79.73999999999999</v>
      </c>
      <c r="AW4" s="2">
        <v>79.3</v>
      </c>
      <c r="AX4" s="2">
        <v>79.16</v>
      </c>
      <c r="AY4" s="2">
        <v>79.31</v>
      </c>
      <c r="AZ4" s="2">
        <v>79.45</v>
      </c>
      <c r="BA4" s="2">
        <v>79.11</v>
      </c>
      <c r="BB4" s="2">
        <v>78.98</v>
      </c>
      <c r="BC4" s="2">
        <v>79.34999999999999</v>
      </c>
      <c r="BD4" s="2">
        <v>79.22</v>
      </c>
      <c r="BE4" s="2">
        <v>79.45999999999999</v>
      </c>
      <c r="BF4" s="2">
        <v>80.09999999999999</v>
      </c>
      <c r="BG4" s="2">
        <v>80.73</v>
      </c>
      <c r="BH4" s="2">
        <v>81.15000000000001</v>
      </c>
      <c r="BI4" s="2">
        <v>81.01000000000001</v>
      </c>
      <c r="BJ4" s="2">
        <v>82.56</v>
      </c>
      <c r="BK4" s="2">
        <v>83.44</v>
      </c>
      <c r="BL4" s="2">
        <v>83.86</v>
      </c>
      <c r="BM4" s="2">
        <v>84.88</v>
      </c>
      <c r="BN4" s="2">
        <v>85.69</v>
      </c>
      <c r="BO4" s="2">
        <v>86.87</v>
      </c>
      <c r="BP4" s="2">
        <v>88.5</v>
      </c>
      <c r="BQ4" s="2">
        <v>88.97</v>
      </c>
      <c r="BR4" s="2">
        <v>89.73</v>
      </c>
      <c r="BS4" s="2">
        <v>91.2</v>
      </c>
      <c r="BT4" s="2">
        <v>91.36</v>
      </c>
      <c r="BU4" s="2">
        <v>91.16</v>
      </c>
      <c r="BV4" s="2">
        <v>91.45999999999999</v>
      </c>
      <c r="BW4" s="2">
        <v>93.01000000000001</v>
      </c>
      <c r="BX4" s="2">
        <v>94.58</v>
      </c>
      <c r="BY4" s="2">
        <v>94.13</v>
      </c>
      <c r="BZ4" s="2">
        <v>94.18000000000001</v>
      </c>
      <c r="CA4" s="2">
        <v>95.84999999999999</v>
      </c>
      <c r="CB4" s="2">
        <v>96.34999999999999</v>
      </c>
      <c r="CC4" s="2">
        <v>96.56</v>
      </c>
      <c r="CD4" s="2">
        <v>97.12</v>
      </c>
      <c r="CE4" s="2">
        <v>98.25</v>
      </c>
      <c r="CF4" s="2">
        <v>98.14</v>
      </c>
      <c r="CG4" s="2">
        <v>97.54000000000001</v>
      </c>
      <c r="CH4" s="2">
        <v>98.15000000000001</v>
      </c>
      <c r="CI4" s="2">
        <v>97.67</v>
      </c>
      <c r="CJ4" s="2">
        <v>97.77</v>
      </c>
      <c r="CK4" s="2">
        <v>97.37</v>
      </c>
      <c r="CL4" s="2">
        <v>98.26000000000001</v>
      </c>
      <c r="CM4" s="2">
        <v>98.23999999999999</v>
      </c>
      <c r="CN4" s="2">
        <v>98.13</v>
      </c>
      <c r="CO4" s="2">
        <v>99.41</v>
      </c>
      <c r="CP4" s="2">
        <v>99.75</v>
      </c>
      <c r="CQ4" s="2">
        <v>100.35</v>
      </c>
      <c r="CR4" s="2">
        <v>101.08</v>
      </c>
      <c r="CS4" s="2">
        <v>99.84</v>
      </c>
      <c r="CT4" s="2">
        <v>100.61</v>
      </c>
      <c r="CU4" s="2">
        <v>100.23</v>
      </c>
      <c r="CV4" s="2">
        <v>99.66</v>
      </c>
      <c r="CW4" s="2">
        <v>99.52</v>
      </c>
      <c r="CX4" s="2">
        <v>100.22</v>
      </c>
      <c r="CY4" s="2">
        <v>100.27</v>
      </c>
      <c r="CZ4" s="2">
        <v>100</v>
      </c>
      <c r="DA4" s="2">
        <v>100.09</v>
      </c>
      <c r="DB4" s="2">
        <v>100.91</v>
      </c>
      <c r="DC4" s="2">
        <v>101.83</v>
      </c>
      <c r="DD4" s="2">
        <v>102.03</v>
      </c>
      <c r="DE4" s="2">
        <v>100.85</v>
      </c>
      <c r="DF4" s="2">
        <v>101.19</v>
      </c>
      <c r="DG4" s="2">
        <v>100.93</v>
      </c>
      <c r="DH4" s="2">
        <v>101.18</v>
      </c>
      <c r="DI4" s="2">
        <v>101.85</v>
      </c>
      <c r="DJ4" s="2">
        <v>101.54</v>
      </c>
      <c r="DK4" s="2">
        <v>0.9</v>
      </c>
      <c r="DL4" s="2">
        <v>0.8</v>
      </c>
      <c r="DM4" s="2">
        <v>0.1</v>
      </c>
      <c r="DN4" s="2">
        <v>0.5</v>
      </c>
      <c r="DO4" s="2">
        <v>0.9</v>
      </c>
      <c r="DP4" s="2">
        <v>2.4</v>
      </c>
      <c r="DQ4" s="2">
        <v>2.8</v>
      </c>
      <c r="DR4" s="2">
        <v>3.4</v>
      </c>
      <c r="DS4" s="2">
        <v>2.5</v>
      </c>
      <c r="DT4" s="2">
        <v>3.5</v>
      </c>
      <c r="DU4" s="2">
        <v>3</v>
      </c>
      <c r="DV4" s="2">
        <v>4.6</v>
      </c>
      <c r="DW4" s="2">
        <v>4.2</v>
      </c>
      <c r="DX4" s="2">
        <v>3.8</v>
      </c>
      <c r="DY4" s="2">
        <v>4.4</v>
      </c>
      <c r="DZ4" s="2">
        <v>4.2</v>
      </c>
      <c r="EA4" s="2">
        <v>4</v>
      </c>
      <c r="EB4" s="2">
        <v>3.4</v>
      </c>
      <c r="EC4" s="2">
        <v>5.9</v>
      </c>
      <c r="ED4" s="2">
        <v>6.8</v>
      </c>
      <c r="EE4" s="2">
        <v>5.8</v>
      </c>
      <c r="EF4" s="2">
        <v>3.8</v>
      </c>
      <c r="EG4" s="2">
        <v>2.6</v>
      </c>
      <c r="EH4" s="2">
        <v>2</v>
      </c>
      <c r="EI4" s="2">
        <v>1.9</v>
      </c>
      <c r="EJ4" s="2">
        <v>2.1</v>
      </c>
      <c r="EK4" s="2">
        <v>2.3</v>
      </c>
      <c r="EL4" s="2">
        <v>1.2</v>
      </c>
      <c r="EM4" s="2">
        <v>1.6</v>
      </c>
      <c r="EN4" s="2">
        <v>1.3</v>
      </c>
      <c r="EO4" s="2">
        <v>-2</v>
      </c>
      <c r="EP4" s="2">
        <v>-2.8</v>
      </c>
      <c r="EQ4" s="2">
        <v>-0.7</v>
      </c>
      <c r="ER4" s="2">
        <v>0</v>
      </c>
      <c r="ES4" s="2">
        <v>0.9</v>
      </c>
      <c r="ET4" s="2">
        <v>0.5</v>
      </c>
      <c r="EU4" s="2">
        <v>0.7</v>
      </c>
      <c r="EV4" s="2">
        <v>0.6</v>
      </c>
      <c r="EW4" s="2">
        <v>0.9</v>
      </c>
      <c r="EX4" s="2">
        <v>1.7</v>
      </c>
      <c r="EY4" s="2">
        <v>1.8</v>
      </c>
      <c r="EZ4" s="2">
        <v>2.2</v>
      </c>
      <c r="FA4" s="2">
        <v>4.3</v>
      </c>
      <c r="FB4" s="2">
        <v>5.2</v>
      </c>
      <c r="FC4" s="2">
        <v>5.6</v>
      </c>
      <c r="FD4" s="2">
        <v>7.3</v>
      </c>
      <c r="FE4" s="2">
        <v>8.5</v>
      </c>
      <c r="FF4" s="2">
        <v>9.5</v>
      </c>
      <c r="FG4" s="2">
        <v>11.7</v>
      </c>
      <c r="FH4" s="2">
        <v>12</v>
      </c>
      <c r="FI4" s="2">
        <v>12</v>
      </c>
      <c r="FJ4" s="2">
        <v>13</v>
      </c>
      <c r="FK4" s="2">
        <v>12.6</v>
      </c>
      <c r="FL4" s="2">
        <v>12.5</v>
      </c>
      <c r="FM4" s="2">
        <v>10.8</v>
      </c>
      <c r="FN4" s="2">
        <v>11.5</v>
      </c>
      <c r="FO4" s="2">
        <v>12.8</v>
      </c>
      <c r="FP4" s="2">
        <v>10.9</v>
      </c>
      <c r="FQ4" s="2">
        <v>9.9</v>
      </c>
      <c r="FR4" s="2">
        <v>10.3</v>
      </c>
      <c r="FS4" s="2">
        <v>8.9</v>
      </c>
      <c r="FT4" s="2">
        <v>8.5</v>
      </c>
      <c r="FU4" s="2">
        <v>8.199999999999999</v>
      </c>
      <c r="FV4" s="2">
        <v>7.7</v>
      </c>
      <c r="FW4" s="2">
        <v>7.4</v>
      </c>
      <c r="FX4" s="2">
        <v>7</v>
      </c>
      <c r="FY4" s="2">
        <v>7.3</v>
      </c>
      <c r="FZ4" s="2">
        <v>5</v>
      </c>
      <c r="GA4" s="2">
        <v>3.4</v>
      </c>
      <c r="GB4" s="2">
        <v>3.4</v>
      </c>
      <c r="GC4" s="2">
        <v>4.3</v>
      </c>
      <c r="GD4" s="2">
        <v>2.5</v>
      </c>
      <c r="GE4" s="2">
        <v>1.8</v>
      </c>
      <c r="GF4" s="2">
        <v>3</v>
      </c>
      <c r="GG4" s="2">
        <v>2.7</v>
      </c>
      <c r="GH4" s="2">
        <v>2.1</v>
      </c>
      <c r="GI4" s="2">
        <v>3</v>
      </c>
      <c r="GJ4" s="2">
        <v>2.4</v>
      </c>
      <c r="GK4" s="2">
        <v>2.5</v>
      </c>
      <c r="GL4" s="2">
        <v>2.6</v>
      </c>
      <c r="GM4" s="2">
        <v>1.9</v>
      </c>
      <c r="GN4" s="2">
        <v>2.2</v>
      </c>
      <c r="GO4" s="2">
        <v>2</v>
      </c>
      <c r="GP4" s="2">
        <v>2.1</v>
      </c>
      <c r="GQ4" s="2">
        <v>1.9</v>
      </c>
      <c r="GR4" s="2">
        <v>0.7</v>
      </c>
      <c r="GS4" s="2">
        <v>1.2</v>
      </c>
      <c r="GT4" s="2">
        <v>1.5</v>
      </c>
      <c r="GU4" s="2">
        <v>0.9</v>
      </c>
      <c r="GV4" s="2">
        <v>1</v>
      </c>
      <c r="GW4" s="2">
        <v>0.6</v>
      </c>
      <c r="GX4" s="2">
        <v>0.7</v>
      </c>
      <c r="GY4" s="2">
        <v>1.5</v>
      </c>
      <c r="GZ4" s="2">
        <v>2.3</v>
      </c>
      <c r="HA4" s="2">
        <v>1.3</v>
      </c>
      <c r="HB4" s="2">
        <v>0.7</v>
      </c>
      <c r="HC4" s="2">
        <v>0.5</v>
      </c>
      <c r="HD4" s="2">
        <v>0.9</v>
      </c>
      <c r="HE4" s="2">
        <v>-0.2</v>
      </c>
      <c r="HF4" s="2">
        <v>-1.1</v>
      </c>
      <c r="HG4" s="2">
        <v>0.3</v>
      </c>
      <c r="HH4" s="2">
        <v>-0.4</v>
      </c>
      <c r="HI4" s="2">
        <v>-0.1</v>
      </c>
      <c r="HJ4" s="2">
        <v>-0.2</v>
      </c>
      <c r="HK4" s="2">
        <v>0.6</v>
      </c>
      <c r="HL4" s="2">
        <v>-0.1</v>
      </c>
      <c r="HM4" s="2">
        <v>0.2</v>
      </c>
      <c r="HN4" s="2">
        <v>0.6</v>
      </c>
      <c r="HO4" s="2">
        <v>-0.2</v>
      </c>
      <c r="HP4" s="2">
        <v>1.2</v>
      </c>
      <c r="HQ4" s="2">
        <v>0.2</v>
      </c>
      <c r="HR4" s="2">
        <v>0.4</v>
      </c>
      <c r="HS4" s="2">
        <v>0.7</v>
      </c>
      <c r="HT4" s="2">
        <v>0.2</v>
      </c>
      <c r="HU4" s="2">
        <v>-1</v>
      </c>
      <c r="HV4" s="2">
        <v>0.8</v>
      </c>
      <c r="HW4" s="2">
        <v>0.1</v>
      </c>
      <c r="HX4" s="2">
        <v>1.4</v>
      </c>
      <c r="HY4" s="2">
        <v>-0.2</v>
      </c>
      <c r="HZ4" s="2">
        <v>0.2</v>
      </c>
      <c r="IA4" s="2">
        <v>0.3</v>
      </c>
      <c r="IB4" s="2">
        <v>1.1</v>
      </c>
      <c r="IC4" s="2">
        <v>0</v>
      </c>
      <c r="ID4" s="2">
        <v>-0.2</v>
      </c>
      <c r="IE4" s="2">
        <v>3.1</v>
      </c>
      <c r="IF4" s="2">
        <v>1</v>
      </c>
      <c r="IG4" s="2">
        <v>-1.9</v>
      </c>
      <c r="IH4" s="2">
        <v>-1.1</v>
      </c>
      <c r="II4" s="2">
        <v>-1.1</v>
      </c>
      <c r="IJ4" s="2">
        <v>0.9</v>
      </c>
      <c r="IK4" s="2">
        <v>-0.4</v>
      </c>
      <c r="IL4" s="2">
        <v>0.4</v>
      </c>
      <c r="IM4" s="2">
        <v>0.5</v>
      </c>
      <c r="IN4" s="2">
        <v>0</v>
      </c>
      <c r="IO4" s="2">
        <v>0.4</v>
      </c>
      <c r="IP4" s="2">
        <v>-0.6</v>
      </c>
      <c r="IQ4" s="2">
        <v>-0.2</v>
      </c>
      <c r="IR4" s="2">
        <v>0.2</v>
      </c>
      <c r="IS4" s="2">
        <v>0.2</v>
      </c>
      <c r="IT4" s="2">
        <v>-0.4</v>
      </c>
      <c r="IU4" s="2">
        <v>-0.2</v>
      </c>
      <c r="IV4" s="2">
        <v>0.5</v>
      </c>
      <c r="IW4" s="2">
        <v>-0.2</v>
      </c>
      <c r="IX4" s="2">
        <v>0.3</v>
      </c>
      <c r="IY4" s="2">
        <v>0.8</v>
      </c>
      <c r="IZ4" s="2">
        <v>0.8</v>
      </c>
      <c r="JA4" s="2">
        <v>0.5</v>
      </c>
      <c r="JB4" s="2">
        <v>-0.2</v>
      </c>
      <c r="JC4" s="2">
        <v>1.9</v>
      </c>
      <c r="JD4" s="2">
        <v>1.1</v>
      </c>
      <c r="JE4" s="2">
        <v>0.5</v>
      </c>
      <c r="JF4" s="2">
        <v>1.2</v>
      </c>
      <c r="JG4" s="2">
        <v>1</v>
      </c>
      <c r="JH4" s="2">
        <v>1.4</v>
      </c>
      <c r="JI4" s="2">
        <v>1.9</v>
      </c>
      <c r="JJ4" s="2">
        <v>0.5</v>
      </c>
      <c r="JK4" s="2">
        <v>0.9</v>
      </c>
      <c r="JL4" s="2">
        <v>1.6</v>
      </c>
      <c r="JM4" s="2">
        <v>0.2</v>
      </c>
      <c r="JN4" s="2">
        <v>-0.2</v>
      </c>
      <c r="JO4" s="2">
        <v>0.3</v>
      </c>
      <c r="JP4" s="2">
        <v>1.7</v>
      </c>
      <c r="JQ4" s="2">
        <v>1.7</v>
      </c>
      <c r="JR4" s="2">
        <v>-0.5</v>
      </c>
      <c r="JS4" s="2">
        <v>0.1</v>
      </c>
      <c r="JT4" s="2">
        <v>1.8</v>
      </c>
      <c r="JU4" s="2">
        <v>0.5</v>
      </c>
      <c r="JV4" s="2">
        <v>0.2</v>
      </c>
      <c r="JW4" s="2">
        <v>0.6</v>
      </c>
      <c r="JX4" s="2">
        <v>1.2</v>
      </c>
      <c r="JY4" s="2">
        <v>-0.1</v>
      </c>
      <c r="JZ4" s="2">
        <v>-0.6</v>
      </c>
      <c r="KA4" s="2">
        <v>0.6</v>
      </c>
      <c r="KB4" s="2">
        <v>-0.5</v>
      </c>
      <c r="KC4" s="2">
        <v>0.1</v>
      </c>
      <c r="KD4" s="2">
        <v>-0.4</v>
      </c>
      <c r="KE4" s="2">
        <v>0.9</v>
      </c>
      <c r="KF4" s="2">
        <v>0</v>
      </c>
      <c r="KG4" s="2">
        <v>-0.1</v>
      </c>
      <c r="KH4" s="2">
        <v>1.3</v>
      </c>
      <c r="KI4" s="2">
        <v>0.3</v>
      </c>
      <c r="KJ4" s="2">
        <v>0.6</v>
      </c>
      <c r="KK4" s="2">
        <v>0.7</v>
      </c>
      <c r="KL4" s="2">
        <v>-1.2</v>
      </c>
      <c r="KM4" s="2">
        <v>0.8</v>
      </c>
      <c r="KN4" s="2">
        <v>-0.4</v>
      </c>
      <c r="KO4" s="2">
        <v>-0.6</v>
      </c>
      <c r="KP4" s="2">
        <v>-0.1</v>
      </c>
      <c r="KQ4" s="2">
        <v>0.7</v>
      </c>
      <c r="KR4" s="2">
        <v>0</v>
      </c>
      <c r="KS4" s="2">
        <v>-0.3</v>
      </c>
      <c r="KT4" s="2">
        <v>0.1</v>
      </c>
      <c r="KU4" s="2">
        <v>0.8</v>
      </c>
      <c r="KV4" s="2">
        <v>0.9</v>
      </c>
      <c r="KW4" s="2">
        <v>0.2</v>
      </c>
      <c r="KX4" s="2">
        <v>-1.2</v>
      </c>
      <c r="KY4" s="2">
        <v>0.3</v>
      </c>
      <c r="KZ4" s="2">
        <v>-0.3</v>
      </c>
      <c r="LA4" s="2">
        <v>0.2</v>
      </c>
      <c r="LB4" s="2">
        <v>0.7</v>
      </c>
      <c r="LC4" s="2">
        <v>-0.3</v>
      </c>
      <c r="LD4" s="2">
        <v>1.52</v>
      </c>
      <c r="LE4" s="2">
        <v>1.53</v>
      </c>
      <c r="LF4" s="2">
        <v>1.51</v>
      </c>
      <c r="LG4" s="2">
        <v>1.52</v>
      </c>
      <c r="LH4" s="2">
        <v>1.52</v>
      </c>
      <c r="LI4" s="2">
        <v>1.51</v>
      </c>
      <c r="LJ4" s="2">
        <v>1.51</v>
      </c>
      <c r="LK4" s="2">
        <v>1.52</v>
      </c>
      <c r="LL4" s="2">
        <v>1.52</v>
      </c>
      <c r="LM4" s="2">
        <v>1.51</v>
      </c>
      <c r="LN4" s="2">
        <v>1.51</v>
      </c>
      <c r="LO4" s="2">
        <v>1.53</v>
      </c>
      <c r="LP4" s="2">
        <v>1.54</v>
      </c>
      <c r="LQ4" s="2">
        <v>1.54</v>
      </c>
      <c r="LR4" s="2">
        <v>1.53</v>
      </c>
      <c r="LS4" s="2">
        <v>1.53</v>
      </c>
      <c r="LT4" s="2">
        <v>1.53</v>
      </c>
      <c r="LU4" s="2">
        <v>1.53</v>
      </c>
      <c r="LV4" s="2">
        <v>1.54</v>
      </c>
      <c r="LW4" s="2">
        <v>1.54</v>
      </c>
      <c r="LX4" s="2">
        <v>0.01</v>
      </c>
      <c r="LY4" s="2">
        <v>-0.02</v>
      </c>
      <c r="LZ4" s="2">
        <v>0.01</v>
      </c>
      <c r="MA4" s="2">
        <v>0</v>
      </c>
      <c r="MB4" s="2">
        <v>-0.01</v>
      </c>
      <c r="MC4" s="2">
        <v>0</v>
      </c>
      <c r="MD4" s="2">
        <v>0.01</v>
      </c>
      <c r="ME4" s="2">
        <v>0</v>
      </c>
      <c r="MF4" s="2">
        <v>-0.01</v>
      </c>
      <c r="MG4" s="2">
        <v>0</v>
      </c>
      <c r="MH4" s="2">
        <v>0.02</v>
      </c>
      <c r="MI4" s="2">
        <v>0.01</v>
      </c>
      <c r="MJ4" s="2">
        <v>0</v>
      </c>
      <c r="MK4" s="2">
        <v>-0.01</v>
      </c>
      <c r="ML4" s="2">
        <v>0</v>
      </c>
      <c r="MM4" s="2">
        <v>0</v>
      </c>
      <c r="MN4" s="2">
        <v>0</v>
      </c>
      <c r="MO4" s="2">
        <v>0.01</v>
      </c>
      <c r="MP4" s="2">
        <v>0</v>
      </c>
      <c r="QI4" s="2">
        <v>7.03</v>
      </c>
      <c r="QJ4" s="2">
        <v>7.03</v>
      </c>
      <c r="QK4" s="2">
        <v>7.14</v>
      </c>
      <c r="QL4" s="2">
        <v>7.29</v>
      </c>
      <c r="QM4" s="2">
        <v>7.51</v>
      </c>
      <c r="QN4" s="2">
        <v>7.66</v>
      </c>
      <c r="QO4" s="2">
        <v>7.92</v>
      </c>
      <c r="QP4" s="2">
        <v>8.25</v>
      </c>
      <c r="QQ4" s="2">
        <v>8.84</v>
      </c>
      <c r="QR4" s="2">
        <v>9.5</v>
      </c>
      <c r="QS4" s="2">
        <v>9.98</v>
      </c>
      <c r="QT4" s="2">
        <v>10.31</v>
      </c>
      <c r="QU4" s="2">
        <v>10.64</v>
      </c>
      <c r="QV4" s="2">
        <v>10.94</v>
      </c>
      <c r="QW4" s="2">
        <v>11.42</v>
      </c>
      <c r="QX4" s="2">
        <v>11.71</v>
      </c>
      <c r="QY4" s="2">
        <v>11.86</v>
      </c>
      <c r="QZ4" s="2">
        <v>12.08</v>
      </c>
      <c r="RA4" s="2">
        <v>12.37</v>
      </c>
      <c r="RB4" s="2">
        <v>12.56</v>
      </c>
      <c r="RC4" s="2">
        <v>12.85</v>
      </c>
      <c r="RD4" s="2">
        <v>13.15</v>
      </c>
      <c r="RE4" s="2">
        <v>13.48</v>
      </c>
      <c r="RF4" s="2">
        <v>13.66</v>
      </c>
      <c r="RG4" s="2">
        <v>13.88</v>
      </c>
      <c r="RH4" s="2">
        <v>13.99</v>
      </c>
      <c r="RI4" s="2">
        <v>14.33</v>
      </c>
      <c r="RJ4" s="2">
        <v>14.44</v>
      </c>
      <c r="RK4" s="2">
        <v>14.8</v>
      </c>
      <c r="RL4" s="2">
        <v>15.1</v>
      </c>
      <c r="RM4" s="2">
        <v>15.61</v>
      </c>
      <c r="RN4" s="2">
        <v>15.91</v>
      </c>
      <c r="RO4" s="2">
        <v>16.5</v>
      </c>
      <c r="RP4" s="2">
        <v>17.12</v>
      </c>
      <c r="RQ4" s="2">
        <v>17.6</v>
      </c>
      <c r="RR4" s="2">
        <v>18.01</v>
      </c>
      <c r="RS4" s="2">
        <v>18.45</v>
      </c>
      <c r="RT4" s="2">
        <v>19</v>
      </c>
      <c r="RU4" s="2">
        <v>19.89</v>
      </c>
      <c r="RV4" s="2">
        <v>20.51</v>
      </c>
      <c r="RW4" s="2">
        <v>20.95</v>
      </c>
      <c r="RX4" s="2">
        <v>21.4</v>
      </c>
      <c r="RY4" s="2">
        <v>22.13</v>
      </c>
      <c r="RZ4" s="2">
        <v>22.46</v>
      </c>
      <c r="SA4" s="2">
        <v>22.83</v>
      </c>
      <c r="SB4" s="2">
        <v>23.39</v>
      </c>
      <c r="SC4" s="2">
        <v>24.01</v>
      </c>
      <c r="SD4" s="2">
        <v>24.56</v>
      </c>
      <c r="SE4" s="2">
        <v>24.97</v>
      </c>
      <c r="SF4" s="2">
        <v>25.01</v>
      </c>
      <c r="SG4" s="2">
        <v>25.34</v>
      </c>
      <c r="SH4" s="2">
        <v>26.04</v>
      </c>
      <c r="SI4" s="2">
        <v>26.74</v>
      </c>
      <c r="SJ4" s="2">
        <v>28.06</v>
      </c>
      <c r="SK4" s="2">
        <v>28.58</v>
      </c>
      <c r="SL4" s="2">
        <v>29.06</v>
      </c>
      <c r="SM4" s="2">
        <v>29.54</v>
      </c>
      <c r="SN4" s="2">
        <v>29.65</v>
      </c>
      <c r="SO4" s="2">
        <v>30.05</v>
      </c>
      <c r="SP4" s="2">
        <v>30.53</v>
      </c>
      <c r="SQ4" s="2">
        <v>30.9</v>
      </c>
      <c r="SR4" s="2">
        <v>31.05</v>
      </c>
      <c r="SS4" s="2">
        <v>31.71</v>
      </c>
      <c r="ST4" s="2">
        <v>32.63</v>
      </c>
      <c r="SU4" s="2">
        <v>33.18</v>
      </c>
      <c r="SV4" s="2">
        <v>34.32</v>
      </c>
      <c r="SW4" s="2">
        <v>34.73</v>
      </c>
      <c r="SX4" s="2">
        <v>34.95</v>
      </c>
      <c r="SY4" s="2">
        <v>35.69</v>
      </c>
      <c r="SZ4" s="2">
        <v>36.35</v>
      </c>
      <c r="TA4" s="2">
        <v>37.2</v>
      </c>
      <c r="TB4" s="2">
        <v>38.04</v>
      </c>
      <c r="TC4" s="2">
        <v>38.34</v>
      </c>
      <c r="TD4" s="2">
        <v>39.26</v>
      </c>
      <c r="TE4" s="2">
        <v>39.52</v>
      </c>
      <c r="TF4" s="2">
        <v>40.07</v>
      </c>
      <c r="TG4" s="2">
        <v>39.99</v>
      </c>
      <c r="TH4" s="2">
        <v>40.58</v>
      </c>
      <c r="TI4" s="2">
        <v>40.84</v>
      </c>
      <c r="TJ4" s="2">
        <v>41.36</v>
      </c>
      <c r="TK4" s="2">
        <v>41.54</v>
      </c>
      <c r="TL4" s="2">
        <v>41.76</v>
      </c>
      <c r="TM4" s="2">
        <v>42.28</v>
      </c>
      <c r="TN4" s="2">
        <v>42.13</v>
      </c>
      <c r="TO4" s="2">
        <v>42.43</v>
      </c>
      <c r="TP4" s="2">
        <v>42.76</v>
      </c>
      <c r="TQ4" s="2">
        <v>42.79</v>
      </c>
      <c r="TR4" s="2">
        <v>42.83</v>
      </c>
      <c r="TS4" s="2">
        <v>42.76</v>
      </c>
      <c r="TT4" s="2">
        <v>43.09</v>
      </c>
      <c r="TU4" s="2">
        <v>44.38</v>
      </c>
      <c r="TV4" s="2">
        <v>45.19</v>
      </c>
      <c r="TW4" s="2">
        <v>46.07</v>
      </c>
      <c r="TX4" s="2">
        <v>46.66</v>
      </c>
      <c r="TY4" s="2">
        <v>46.62</v>
      </c>
      <c r="TZ4" s="2">
        <v>47.51</v>
      </c>
      <c r="UA4" s="2">
        <v>48.39</v>
      </c>
      <c r="UB4" s="2">
        <v>49.16</v>
      </c>
      <c r="UC4" s="2">
        <v>49.39</v>
      </c>
      <c r="UD4" s="2">
        <v>49.5</v>
      </c>
      <c r="UE4" s="2">
        <v>49.72</v>
      </c>
      <c r="UF4" s="2">
        <v>49.83</v>
      </c>
      <c r="UG4" s="2">
        <v>50.01</v>
      </c>
      <c r="UH4" s="2">
        <v>50.42</v>
      </c>
      <c r="UI4" s="2">
        <v>51.13</v>
      </c>
      <c r="UJ4" s="2">
        <v>50.82</v>
      </c>
      <c r="UK4" s="2">
        <v>51.61</v>
      </c>
      <c r="UL4" s="2">
        <v>51.98</v>
      </c>
      <c r="UM4" s="2">
        <v>52.52</v>
      </c>
      <c r="UN4" s="2">
        <v>52.66</v>
      </c>
      <c r="UO4" s="2">
        <v>53.2</v>
      </c>
      <c r="UP4" s="2">
        <v>53.15</v>
      </c>
      <c r="UQ4" s="2">
        <v>54.04</v>
      </c>
      <c r="UR4" s="2">
        <v>54.07</v>
      </c>
      <c r="US4" s="2">
        <v>55.25</v>
      </c>
      <c r="UT4" s="2">
        <v>56.07</v>
      </c>
      <c r="UU4" s="2">
        <v>56.85</v>
      </c>
      <c r="UV4" s="2">
        <v>57.06</v>
      </c>
      <c r="UW4" s="2">
        <v>57.91</v>
      </c>
      <c r="UX4" s="2">
        <v>57.26</v>
      </c>
      <c r="UY4" s="2">
        <v>57.77</v>
      </c>
      <c r="UZ4" s="2">
        <v>59.03</v>
      </c>
      <c r="VA4" s="2">
        <v>60.18</v>
      </c>
      <c r="VB4" s="2">
        <v>61.01</v>
      </c>
      <c r="VC4" s="2">
        <v>60.62</v>
      </c>
      <c r="VD4" s="2">
        <v>60.16</v>
      </c>
      <c r="VE4" s="2">
        <v>59.86</v>
      </c>
      <c r="VF4" s="2">
        <v>60.07</v>
      </c>
      <c r="VG4" s="2">
        <v>59.77</v>
      </c>
      <c r="VH4" s="2">
        <v>59.96</v>
      </c>
      <c r="VI4" s="2">
        <v>60.06</v>
      </c>
      <c r="VJ4" s="2">
        <v>60.72</v>
      </c>
      <c r="VK4" s="2">
        <v>61.28</v>
      </c>
      <c r="VL4" s="2">
        <v>62.65</v>
      </c>
      <c r="VM4" s="2">
        <v>63.14</v>
      </c>
      <c r="VN4" s="2">
        <v>63.96</v>
      </c>
      <c r="VO4" s="2">
        <v>64.47</v>
      </c>
      <c r="VP4" s="2">
        <v>65.76000000000001</v>
      </c>
      <c r="VQ4" s="2">
        <v>66.78</v>
      </c>
      <c r="VR4" s="2">
        <v>67.25</v>
      </c>
      <c r="VS4" s="2">
        <v>67.90000000000001</v>
      </c>
      <c r="VT4" s="2">
        <v>69.34999999999999</v>
      </c>
      <c r="VU4" s="2">
        <v>72.06</v>
      </c>
      <c r="VV4" s="2">
        <v>72.45</v>
      </c>
      <c r="VW4" s="2">
        <v>74.65000000000001</v>
      </c>
      <c r="VX4" s="2">
        <v>75.52</v>
      </c>
      <c r="VY4" s="2">
        <v>76.45</v>
      </c>
      <c r="VZ4" s="2">
        <v>75.87</v>
      </c>
      <c r="WA4" s="2">
        <v>75.76000000000001</v>
      </c>
      <c r="WB4" s="2">
        <v>76.58</v>
      </c>
      <c r="WC4" s="2">
        <v>77.38</v>
      </c>
      <c r="WD4" s="2">
        <v>76.73</v>
      </c>
      <c r="WE4" s="2">
        <v>76.84</v>
      </c>
      <c r="WF4" s="2">
        <v>77</v>
      </c>
      <c r="WG4" s="2">
        <v>77.33</v>
      </c>
      <c r="WH4" s="2">
        <v>77.48</v>
      </c>
      <c r="WI4" s="2">
        <v>77.17</v>
      </c>
      <c r="WJ4" s="2">
        <v>77.78</v>
      </c>
      <c r="WK4" s="2">
        <v>78.02</v>
      </c>
      <c r="WL4" s="2">
        <v>76.15000000000001</v>
      </c>
      <c r="WM4" s="2">
        <v>77.13</v>
      </c>
      <c r="WN4" s="2">
        <v>78.02</v>
      </c>
      <c r="WO4" s="2">
        <v>77.83</v>
      </c>
      <c r="WP4" s="2">
        <v>77.94</v>
      </c>
      <c r="WQ4" s="2">
        <v>78.78</v>
      </c>
      <c r="WR4" s="2">
        <v>79</v>
      </c>
      <c r="WS4" s="2">
        <v>78.56999999999999</v>
      </c>
      <c r="WT4" s="2">
        <v>79.08</v>
      </c>
      <c r="WU4" s="2">
        <v>77.53</v>
      </c>
      <c r="WV4" s="2">
        <v>78.16</v>
      </c>
      <c r="WW4" s="2">
        <v>77.8</v>
      </c>
      <c r="WX4" s="2">
        <v>77.26000000000001</v>
      </c>
      <c r="WY4" s="2">
        <v>76.68000000000001</v>
      </c>
      <c r="WZ4" s="2">
        <v>76.95999999999999</v>
      </c>
      <c r="XA4" s="2">
        <v>76.23999999999999</v>
      </c>
      <c r="XB4" s="2">
        <v>75.76000000000001</v>
      </c>
      <c r="XC4" s="2">
        <v>75.73</v>
      </c>
      <c r="XD4" s="2">
        <v>76.02</v>
      </c>
      <c r="XE4" s="2">
        <v>75.93000000000001</v>
      </c>
      <c r="XF4" s="2">
        <v>75.44</v>
      </c>
      <c r="XG4" s="2">
        <v>74.78</v>
      </c>
      <c r="XH4" s="2">
        <v>75.39</v>
      </c>
      <c r="XI4" s="2">
        <v>75.04000000000001</v>
      </c>
      <c r="XJ4" s="2">
        <v>74.79000000000001</v>
      </c>
      <c r="XK4" s="2">
        <v>74.98999999999999</v>
      </c>
      <c r="XL4" s="2">
        <v>75.79000000000001</v>
      </c>
      <c r="XM4" s="2">
        <v>76.5</v>
      </c>
      <c r="XN4" s="2">
        <v>76.66</v>
      </c>
      <c r="XO4" s="2">
        <v>77.64</v>
      </c>
      <c r="XP4" s="2">
        <v>78.5</v>
      </c>
      <c r="XQ4" s="2">
        <v>79.42</v>
      </c>
      <c r="XR4" s="2">
        <v>80.18000000000001</v>
      </c>
      <c r="XS4" s="2">
        <v>78.67</v>
      </c>
      <c r="XT4" s="2">
        <v>79.27</v>
      </c>
      <c r="XU4" s="2">
        <v>79.31999999999999</v>
      </c>
      <c r="XV4" s="2">
        <v>79.23999999999999</v>
      </c>
      <c r="XW4" s="2">
        <v>79.19</v>
      </c>
      <c r="XX4" s="2">
        <v>80.20999999999999</v>
      </c>
      <c r="XY4" s="2">
        <v>81.67</v>
      </c>
      <c r="XZ4" s="2">
        <v>84.27</v>
      </c>
      <c r="YA4" s="2">
        <v>87.06999999999999</v>
      </c>
      <c r="YB4" s="2">
        <v>90.01000000000001</v>
      </c>
      <c r="YC4" s="2">
        <v>91.37</v>
      </c>
      <c r="YD4" s="2">
        <v>93.95</v>
      </c>
      <c r="YE4" s="2">
        <v>95.5</v>
      </c>
      <c r="YF4" s="2">
        <v>97.34999999999999</v>
      </c>
      <c r="YG4" s="2">
        <v>97.95</v>
      </c>
      <c r="YH4" s="2">
        <v>97.61</v>
      </c>
      <c r="YI4" s="2">
        <v>98.22</v>
      </c>
      <c r="YJ4" s="2">
        <v>99.84999999999999</v>
      </c>
      <c r="YK4" s="2">
        <v>100.51</v>
      </c>
      <c r="YL4" s="2">
        <v>99.8</v>
      </c>
      <c r="YM4" s="2">
        <v>100.17</v>
      </c>
      <c r="YN4" s="2">
        <v>100.94</v>
      </c>
      <c r="YO4" s="2">
        <v>101.36</v>
      </c>
      <c r="YP4" s="2">
        <v>101.32</v>
      </c>
      <c r="ACI4" s="2">
        <v>0</v>
      </c>
      <c r="ACJ4" s="2">
        <v>1.6</v>
      </c>
      <c r="ACK4" s="2">
        <v>2.1</v>
      </c>
      <c r="ACL4" s="2">
        <v>3</v>
      </c>
      <c r="ACM4" s="2">
        <v>2</v>
      </c>
      <c r="ACN4" s="2">
        <v>3.4</v>
      </c>
      <c r="ACO4" s="2">
        <v>4.2</v>
      </c>
      <c r="ACP4" s="2">
        <v>7.2</v>
      </c>
      <c r="ACQ4" s="2">
        <v>7.5</v>
      </c>
      <c r="ACR4" s="2">
        <v>5.1</v>
      </c>
      <c r="ACS4" s="2">
        <v>3.3</v>
      </c>
      <c r="ACT4" s="2">
        <v>3.2</v>
      </c>
      <c r="ACU4" s="2">
        <v>2.8</v>
      </c>
      <c r="ACV4" s="2">
        <v>4.4</v>
      </c>
      <c r="ACW4" s="2">
        <v>2.5</v>
      </c>
      <c r="ACX4" s="2">
        <v>1.3</v>
      </c>
      <c r="ACY4" s="2">
        <v>1.9</v>
      </c>
      <c r="ACZ4" s="2">
        <v>2.4</v>
      </c>
      <c r="ADA4" s="2">
        <v>1.5</v>
      </c>
      <c r="ADB4" s="2">
        <v>2.3</v>
      </c>
      <c r="ADC4" s="2">
        <v>2.3</v>
      </c>
      <c r="ADD4" s="2">
        <v>2.5</v>
      </c>
      <c r="ADE4" s="2">
        <v>1.3</v>
      </c>
      <c r="ADF4" s="2">
        <v>1.6</v>
      </c>
      <c r="ADG4" s="2">
        <v>0.8</v>
      </c>
      <c r="ADH4" s="2">
        <v>2.4</v>
      </c>
      <c r="ADI4" s="2">
        <v>0.8</v>
      </c>
      <c r="ADJ4" s="2">
        <v>2.5</v>
      </c>
      <c r="ADK4" s="2">
        <v>2</v>
      </c>
      <c r="ADL4" s="2">
        <v>3.4</v>
      </c>
      <c r="ADM4" s="2">
        <v>1.9</v>
      </c>
      <c r="ADN4" s="2">
        <v>3.7</v>
      </c>
      <c r="ADO4" s="2">
        <v>3.8</v>
      </c>
      <c r="ADP4" s="2">
        <v>2.8</v>
      </c>
      <c r="ADQ4" s="2">
        <v>2.3</v>
      </c>
      <c r="ADR4" s="2">
        <v>2.4</v>
      </c>
      <c r="ADS4" s="2">
        <v>3</v>
      </c>
      <c r="ADT4" s="2">
        <v>4.7</v>
      </c>
      <c r="ADU4" s="2">
        <v>3.1</v>
      </c>
      <c r="ADV4" s="2">
        <v>2.1</v>
      </c>
      <c r="ADW4" s="2">
        <v>2.1</v>
      </c>
      <c r="ADX4" s="2">
        <v>3.4</v>
      </c>
      <c r="ADY4" s="2">
        <v>1.5</v>
      </c>
      <c r="ADZ4" s="2">
        <v>1.6</v>
      </c>
      <c r="AEA4" s="2">
        <v>2.5</v>
      </c>
      <c r="AEB4" s="2">
        <v>2.7</v>
      </c>
      <c r="AEC4" s="2">
        <v>2.3</v>
      </c>
      <c r="AED4" s="2">
        <v>1.7</v>
      </c>
      <c r="AEE4" s="2">
        <v>0.2</v>
      </c>
      <c r="AEF4" s="2">
        <v>1.3</v>
      </c>
      <c r="AEG4" s="2">
        <v>2.8</v>
      </c>
      <c r="AEH4" s="2">
        <v>2.7</v>
      </c>
      <c r="AEI4" s="2">
        <v>4.9</v>
      </c>
      <c r="AEJ4" s="2">
        <v>1.9</v>
      </c>
      <c r="AEK4" s="2">
        <v>1.7</v>
      </c>
      <c r="AEL4" s="2">
        <v>1.7</v>
      </c>
      <c r="AEM4" s="2">
        <v>0.4</v>
      </c>
      <c r="AEN4" s="2">
        <v>1.3</v>
      </c>
      <c r="AEO4" s="2">
        <v>1.6</v>
      </c>
      <c r="AEP4" s="2">
        <v>1.2</v>
      </c>
      <c r="AEQ4" s="2">
        <v>0.5</v>
      </c>
      <c r="AER4" s="2">
        <v>2.1</v>
      </c>
      <c r="AES4" s="2">
        <v>2.9</v>
      </c>
      <c r="AET4" s="2">
        <v>1.7</v>
      </c>
      <c r="AEU4" s="2">
        <v>3.4</v>
      </c>
      <c r="AEV4" s="2">
        <v>1.2</v>
      </c>
      <c r="AEW4" s="2">
        <v>0.6</v>
      </c>
      <c r="AEX4" s="2">
        <v>2.1</v>
      </c>
      <c r="AEY4" s="2">
        <v>1.8</v>
      </c>
      <c r="AEZ4" s="2">
        <v>2.3</v>
      </c>
      <c r="AFA4" s="2">
        <v>2.3</v>
      </c>
      <c r="AFB4" s="2">
        <v>0.8</v>
      </c>
      <c r="AFC4" s="2">
        <v>2.4</v>
      </c>
      <c r="AFD4" s="2">
        <v>0.7</v>
      </c>
      <c r="AFE4" s="2">
        <v>1.4</v>
      </c>
      <c r="AFF4" s="2">
        <v>-0.2</v>
      </c>
      <c r="AFG4" s="2">
        <v>1.5</v>
      </c>
      <c r="AFH4" s="2">
        <v>0.6</v>
      </c>
      <c r="AFI4" s="2">
        <v>1.3</v>
      </c>
      <c r="AFJ4" s="2">
        <v>0.4</v>
      </c>
      <c r="AFK4" s="2">
        <v>0.5</v>
      </c>
      <c r="AFL4" s="2">
        <v>1.2</v>
      </c>
      <c r="AFM4" s="2">
        <v>-0.4</v>
      </c>
      <c r="AFN4" s="2">
        <v>0.7</v>
      </c>
      <c r="AFO4" s="2">
        <v>0.8</v>
      </c>
      <c r="AFP4" s="2">
        <v>0.1</v>
      </c>
      <c r="AFQ4" s="2">
        <v>0.1</v>
      </c>
      <c r="AFR4" s="2">
        <v>-0.2</v>
      </c>
      <c r="AFS4" s="2">
        <v>0.8</v>
      </c>
      <c r="AFT4" s="2">
        <v>3</v>
      </c>
      <c r="AFU4" s="2">
        <v>1.8</v>
      </c>
      <c r="AFV4" s="2">
        <v>1.9</v>
      </c>
      <c r="AFW4" s="2">
        <v>1.3</v>
      </c>
      <c r="AFX4" s="2">
        <v>-0.1</v>
      </c>
      <c r="AFY4" s="2">
        <v>1.9</v>
      </c>
      <c r="AFZ4" s="2">
        <v>1.9</v>
      </c>
      <c r="AGA4" s="2">
        <v>1.6</v>
      </c>
      <c r="AGB4" s="2">
        <v>0.5</v>
      </c>
      <c r="AGC4" s="2">
        <v>0.2</v>
      </c>
      <c r="AGD4" s="2">
        <v>0.4</v>
      </c>
      <c r="AGE4" s="2">
        <v>0.2</v>
      </c>
      <c r="AGF4" s="2">
        <v>0.4</v>
      </c>
      <c r="AGG4" s="2">
        <v>0.8</v>
      </c>
      <c r="AGH4" s="2">
        <v>1.4</v>
      </c>
      <c r="AGI4" s="2">
        <v>-0.6</v>
      </c>
      <c r="AGJ4" s="2">
        <v>1.6</v>
      </c>
      <c r="AGK4" s="2">
        <v>0.7</v>
      </c>
      <c r="AGL4" s="2">
        <v>1</v>
      </c>
      <c r="AGM4" s="2">
        <v>0.3</v>
      </c>
      <c r="AGN4" s="2">
        <v>1</v>
      </c>
      <c r="AGO4" s="2">
        <v>-0.1</v>
      </c>
      <c r="AGP4" s="2">
        <v>1.7</v>
      </c>
      <c r="AGQ4" s="2">
        <v>0.1</v>
      </c>
      <c r="AGR4" s="2">
        <v>2.2</v>
      </c>
      <c r="AGS4" s="2">
        <v>1.5</v>
      </c>
      <c r="AGT4" s="2">
        <v>1.4</v>
      </c>
      <c r="AGU4" s="2">
        <v>0.4</v>
      </c>
      <c r="AGV4" s="2">
        <v>1.5</v>
      </c>
      <c r="AGW4" s="2">
        <v>-1.1</v>
      </c>
      <c r="AGX4" s="2">
        <v>0.9</v>
      </c>
      <c r="AGY4" s="2">
        <v>2.2</v>
      </c>
      <c r="AGZ4" s="2">
        <v>1.9</v>
      </c>
      <c r="AHA4" s="2">
        <v>1.4</v>
      </c>
      <c r="AHB4" s="2">
        <v>-0.6</v>
      </c>
      <c r="AHC4" s="2">
        <v>-0.8</v>
      </c>
      <c r="AHD4" s="2">
        <v>-0.5</v>
      </c>
      <c r="AHE4" s="2">
        <v>0.4</v>
      </c>
      <c r="AHF4" s="2">
        <v>-0.5</v>
      </c>
      <c r="AHG4" s="2">
        <v>0.3</v>
      </c>
      <c r="AHH4" s="2">
        <v>0.2</v>
      </c>
      <c r="AHI4" s="2">
        <v>1.1</v>
      </c>
      <c r="AHJ4" s="2">
        <v>0.9</v>
      </c>
      <c r="AHK4" s="2">
        <v>2.2</v>
      </c>
      <c r="AHL4" s="2">
        <v>0.8</v>
      </c>
      <c r="AHM4" s="2">
        <v>1.3</v>
      </c>
      <c r="AHN4" s="2">
        <v>0.8</v>
      </c>
      <c r="AHO4" s="2">
        <v>2</v>
      </c>
      <c r="AHP4" s="2">
        <v>1.6</v>
      </c>
      <c r="AHQ4" s="2">
        <v>0.7</v>
      </c>
      <c r="AHR4" s="2">
        <v>1</v>
      </c>
      <c r="AHS4" s="2">
        <v>2.1</v>
      </c>
      <c r="AHT4" s="2">
        <v>3.9</v>
      </c>
      <c r="AHU4" s="2">
        <v>0.5</v>
      </c>
      <c r="AHV4" s="2">
        <v>3</v>
      </c>
      <c r="AHW4" s="2">
        <v>1.2</v>
      </c>
      <c r="AHX4" s="2">
        <v>1.2</v>
      </c>
      <c r="AHY4" s="2">
        <v>-0.8</v>
      </c>
      <c r="AHZ4" s="2">
        <v>-0.1</v>
      </c>
      <c r="AIA4" s="2">
        <v>1.1</v>
      </c>
      <c r="AIB4" s="2">
        <v>1</v>
      </c>
      <c r="AIC4" s="2">
        <v>-0.8</v>
      </c>
      <c r="AID4" s="2">
        <v>0.1</v>
      </c>
      <c r="AIE4" s="2">
        <v>0.2</v>
      </c>
      <c r="AIF4" s="2">
        <v>0.4</v>
      </c>
      <c r="AIG4" s="2">
        <v>0.2</v>
      </c>
      <c r="AIH4" s="2">
        <v>-0.4</v>
      </c>
      <c r="AII4" s="2">
        <v>0.8</v>
      </c>
      <c r="AIJ4" s="2">
        <v>0.3</v>
      </c>
      <c r="AIK4" s="2">
        <v>-2.4</v>
      </c>
      <c r="AIL4" s="2">
        <v>1.3</v>
      </c>
      <c r="AIM4" s="2">
        <v>1.2</v>
      </c>
      <c r="AIN4" s="2">
        <v>-0.2</v>
      </c>
      <c r="AIO4" s="2">
        <v>0.1</v>
      </c>
      <c r="AIP4" s="2">
        <v>1.1</v>
      </c>
      <c r="AIQ4" s="2">
        <v>0.3</v>
      </c>
      <c r="AIR4" s="2">
        <v>-0.5</v>
      </c>
      <c r="AIS4" s="2">
        <v>0.6</v>
      </c>
      <c r="AIT4" s="2">
        <v>-2</v>
      </c>
      <c r="AIU4" s="2">
        <v>0.8</v>
      </c>
      <c r="AIV4" s="2">
        <v>-0.5</v>
      </c>
      <c r="AIW4" s="2">
        <v>-0.7</v>
      </c>
      <c r="AIX4" s="2">
        <v>-0.8</v>
      </c>
      <c r="AIY4" s="2">
        <v>0.4</v>
      </c>
      <c r="AIZ4" s="2">
        <v>-0.9</v>
      </c>
      <c r="AJA4" s="2">
        <v>-0.6</v>
      </c>
      <c r="AJB4" s="2">
        <v>0</v>
      </c>
      <c r="AJC4" s="2">
        <v>0.4</v>
      </c>
      <c r="AJD4" s="2">
        <v>-0.1</v>
      </c>
      <c r="AJE4" s="2">
        <v>-0.6</v>
      </c>
      <c r="AJF4" s="2">
        <v>-0.9</v>
      </c>
      <c r="AJG4" s="2">
        <v>0.8</v>
      </c>
      <c r="AJH4" s="2">
        <v>-0.5</v>
      </c>
      <c r="AJI4" s="2">
        <v>-0.3</v>
      </c>
      <c r="AJJ4" s="2">
        <v>0.3</v>
      </c>
      <c r="AJK4" s="2">
        <v>1.1</v>
      </c>
      <c r="AJL4" s="2">
        <v>0.9</v>
      </c>
      <c r="AJM4" s="2">
        <v>0.2</v>
      </c>
      <c r="AJN4" s="2">
        <v>1.3</v>
      </c>
      <c r="AJO4" s="2">
        <v>1.1</v>
      </c>
      <c r="AJP4" s="2">
        <v>1.2</v>
      </c>
      <c r="AJQ4" s="2">
        <v>1</v>
      </c>
      <c r="AJR4" s="2">
        <v>-1.9</v>
      </c>
      <c r="AJS4" s="2">
        <v>0.8</v>
      </c>
      <c r="AJT4" s="2">
        <v>0.1</v>
      </c>
      <c r="AJU4" s="2">
        <v>-0.1</v>
      </c>
      <c r="AJV4" s="2">
        <v>-0.1</v>
      </c>
      <c r="AJW4" s="2">
        <v>1.3</v>
      </c>
      <c r="AJX4" s="2">
        <v>1.8</v>
      </c>
      <c r="AJY4" s="2">
        <v>3.2</v>
      </c>
      <c r="AJZ4" s="2">
        <v>3.3</v>
      </c>
      <c r="AKA4" s="2">
        <v>3.4</v>
      </c>
      <c r="AKB4" s="2">
        <v>1.5</v>
      </c>
      <c r="AKC4" s="2">
        <v>2.8</v>
      </c>
      <c r="AKD4" s="2">
        <v>1.6</v>
      </c>
      <c r="AKE4" s="2">
        <v>1.9</v>
      </c>
      <c r="AKF4" s="2">
        <v>0.6</v>
      </c>
      <c r="AKG4" s="2">
        <v>-0.3</v>
      </c>
      <c r="AKH4" s="2">
        <v>0.6</v>
      </c>
      <c r="AKI4" s="2">
        <v>1.7</v>
      </c>
      <c r="AKJ4" s="2">
        <v>0.7</v>
      </c>
      <c r="AKK4" s="2">
        <v>-0.7</v>
      </c>
      <c r="AKL4" s="2">
        <v>0.4</v>
      </c>
      <c r="AKM4" s="2">
        <v>0.8</v>
      </c>
      <c r="AKN4" s="2">
        <v>0.4</v>
      </c>
      <c r="AKO4" s="2">
        <v>0</v>
      </c>
      <c r="AKP4" s="2">
        <v>1.53</v>
      </c>
      <c r="AKQ4" s="2">
        <v>1.53</v>
      </c>
      <c r="AKR4" s="2">
        <v>1.53</v>
      </c>
    </row>
    <row r="5">
      <c r="A5" t="inlineStr">
        <is>
          <t>Meat and seafoods</t>
        </is>
      </c>
      <c r="B5" t="inlineStr">
        <is>
          <t>Food and non-alcoholic beverages</t>
        </is>
      </c>
      <c r="C5">
        <v>2</v>
      </c>
      <c r="D5">
        <v>2.13</v>
      </c>
      <c r="E5" s="3">
        <f>D5/17.41*0.174</f>
        <v>0.021287765651924178</v>
      </c>
      <c r="F5" s="3">
        <f>E5-D5/100</f>
        <v>-1.2234348075821494e-05</v>
      </c>
      <c r="G5" s="3">
        <f>D5/17.41</f>
        <v>0.12234348075818495</v>
      </c>
      <c r="H5" s="2">
        <v>75.65000000000001</v>
      </c>
      <c r="I5" s="2">
        <v>76</v>
      </c>
      <c r="J5" s="2">
        <v>76.27</v>
      </c>
      <c r="K5" s="2">
        <v>75.81999999999999</v>
      </c>
      <c r="L5" s="2">
        <v>76.38</v>
      </c>
      <c r="M5" s="2">
        <v>76.03</v>
      </c>
      <c r="N5" s="2">
        <v>76.09</v>
      </c>
      <c r="O5" s="2">
        <v>76.34999999999999</v>
      </c>
      <c r="P5" s="2">
        <v>76.17</v>
      </c>
      <c r="Q5" s="2">
        <v>76.15000000000001</v>
      </c>
      <c r="R5" s="2">
        <v>76.11</v>
      </c>
      <c r="S5" s="2">
        <v>76.65000000000001</v>
      </c>
      <c r="T5" s="2">
        <v>76.89</v>
      </c>
      <c r="U5" s="2">
        <v>77.38</v>
      </c>
      <c r="V5" s="2">
        <v>77.78</v>
      </c>
      <c r="W5" s="2">
        <v>78.02</v>
      </c>
      <c r="X5" s="2">
        <v>78.98</v>
      </c>
      <c r="Y5" s="2">
        <v>79.45999999999999</v>
      </c>
      <c r="Z5" s="2">
        <v>79.13</v>
      </c>
      <c r="AA5" s="2">
        <v>78.72</v>
      </c>
      <c r="AB5" s="2">
        <v>79.59</v>
      </c>
      <c r="AC5" s="2">
        <v>79.76000000000001</v>
      </c>
      <c r="AD5" s="2">
        <v>79.92</v>
      </c>
      <c r="AE5" s="2">
        <v>80.75</v>
      </c>
      <c r="AF5" s="2">
        <v>81.42</v>
      </c>
      <c r="AG5" s="2">
        <v>81.98999999999999</v>
      </c>
      <c r="AH5" s="2">
        <v>81.83</v>
      </c>
      <c r="AI5" s="2">
        <v>82.53</v>
      </c>
      <c r="AJ5" s="2">
        <v>82.98</v>
      </c>
      <c r="AK5" s="2">
        <v>82.89</v>
      </c>
      <c r="AL5" s="2">
        <v>85.23</v>
      </c>
      <c r="AM5" s="2">
        <v>84.2</v>
      </c>
      <c r="AN5" s="2">
        <v>84.70999999999999</v>
      </c>
      <c r="AO5" s="2">
        <v>84.87</v>
      </c>
      <c r="AP5" s="2">
        <v>85.29000000000001</v>
      </c>
      <c r="AQ5" s="2">
        <v>85.81</v>
      </c>
      <c r="AR5" s="2">
        <v>85.37</v>
      </c>
      <c r="AS5" s="2">
        <v>85.14</v>
      </c>
      <c r="AT5" s="2">
        <v>85.59999999999999</v>
      </c>
      <c r="AU5" s="2">
        <v>86.45999999999999</v>
      </c>
      <c r="AV5" s="2">
        <v>86.63</v>
      </c>
      <c r="AW5" s="2">
        <v>86.70999999999999</v>
      </c>
      <c r="AX5" s="2">
        <v>86.79000000000001</v>
      </c>
      <c r="AY5" s="2">
        <v>87.17</v>
      </c>
      <c r="AZ5" s="2">
        <v>87.44</v>
      </c>
      <c r="BA5" s="2">
        <v>87.31999999999999</v>
      </c>
      <c r="BB5" s="2">
        <v>87.53</v>
      </c>
      <c r="BC5" s="2">
        <v>87.8</v>
      </c>
      <c r="BD5" s="2">
        <v>87.68000000000001</v>
      </c>
      <c r="BE5" s="2">
        <v>87.47</v>
      </c>
      <c r="BF5" s="2">
        <v>87.84999999999999</v>
      </c>
      <c r="BG5" s="2">
        <v>88.20999999999999</v>
      </c>
      <c r="BH5" s="2">
        <v>91.05</v>
      </c>
      <c r="BI5" s="2">
        <v>92.92</v>
      </c>
      <c r="BJ5" s="2">
        <v>91.8</v>
      </c>
      <c r="BK5" s="2">
        <v>91.90000000000001</v>
      </c>
      <c r="BL5" s="2">
        <v>92.81</v>
      </c>
      <c r="BM5" s="2">
        <v>92.88</v>
      </c>
      <c r="BN5" s="2">
        <v>93.73999999999999</v>
      </c>
      <c r="BO5" s="2">
        <v>94.11</v>
      </c>
      <c r="BP5" s="2">
        <v>94.3</v>
      </c>
      <c r="BQ5" s="2">
        <v>94.33</v>
      </c>
      <c r="BR5" s="2">
        <v>94.91</v>
      </c>
      <c r="BS5" s="2">
        <v>95.62</v>
      </c>
      <c r="BT5" s="2">
        <v>95.69</v>
      </c>
      <c r="BU5" s="2">
        <v>95.94</v>
      </c>
      <c r="BV5" s="2">
        <v>95.77</v>
      </c>
      <c r="BW5" s="2">
        <v>96.01000000000001</v>
      </c>
      <c r="BX5" s="2">
        <v>96.38</v>
      </c>
      <c r="BY5" s="2">
        <v>95.37</v>
      </c>
      <c r="BZ5" s="2">
        <v>95.98</v>
      </c>
      <c r="CA5" s="2">
        <v>96.53</v>
      </c>
      <c r="CB5" s="2">
        <v>95.95999999999999</v>
      </c>
      <c r="CC5" s="2">
        <v>96.01000000000001</v>
      </c>
      <c r="CD5" s="2">
        <v>95.16</v>
      </c>
      <c r="CE5" s="2">
        <v>93.78</v>
      </c>
      <c r="CF5" s="2">
        <v>93.77</v>
      </c>
      <c r="CG5" s="2">
        <v>94.06999999999999</v>
      </c>
      <c r="CH5" s="2">
        <v>94.92</v>
      </c>
      <c r="CI5" s="2">
        <v>95.5</v>
      </c>
      <c r="CJ5" s="2">
        <v>95.77</v>
      </c>
      <c r="CK5" s="2">
        <v>95.23</v>
      </c>
      <c r="CL5" s="2">
        <v>96.2</v>
      </c>
      <c r="CM5" s="2">
        <v>96.77</v>
      </c>
      <c r="CN5" s="2">
        <v>96.73999999999999</v>
      </c>
      <c r="CO5" s="2">
        <v>97.20999999999999</v>
      </c>
      <c r="CP5" s="2">
        <v>97.45</v>
      </c>
      <c r="CQ5" s="2">
        <v>97.56</v>
      </c>
      <c r="CR5" s="2">
        <v>98.22</v>
      </c>
      <c r="CS5" s="2">
        <v>98.23</v>
      </c>
      <c r="CT5" s="2">
        <v>98.5</v>
      </c>
      <c r="CU5" s="2">
        <v>97.91</v>
      </c>
      <c r="CV5" s="2">
        <v>98.7</v>
      </c>
      <c r="CW5" s="2">
        <v>98.42</v>
      </c>
      <c r="CX5" s="2">
        <v>98.45999999999999</v>
      </c>
      <c r="CY5" s="2">
        <v>99.56</v>
      </c>
      <c r="CZ5" s="2">
        <v>100</v>
      </c>
      <c r="DA5" s="2">
        <v>100.95</v>
      </c>
      <c r="DB5" s="2">
        <v>101.27</v>
      </c>
      <c r="DC5" s="2">
        <v>101.85</v>
      </c>
      <c r="DD5" s="2">
        <v>102.09</v>
      </c>
      <c r="DE5" s="2">
        <v>102.65</v>
      </c>
      <c r="DF5" s="2">
        <v>103.2</v>
      </c>
      <c r="DG5" s="2">
        <v>102.85</v>
      </c>
      <c r="DH5" s="2">
        <v>103.99</v>
      </c>
      <c r="DI5" s="2">
        <v>103.72</v>
      </c>
      <c r="DJ5" s="2">
        <v>103.95</v>
      </c>
      <c r="DK5" s="2">
        <v>1.6</v>
      </c>
      <c r="DL5" s="2">
        <v>1.8</v>
      </c>
      <c r="DM5" s="2">
        <v>2</v>
      </c>
      <c r="DN5" s="2">
        <v>2.9</v>
      </c>
      <c r="DO5" s="2">
        <v>3.4</v>
      </c>
      <c r="DP5" s="2">
        <v>4.5</v>
      </c>
      <c r="DQ5" s="2">
        <v>4</v>
      </c>
      <c r="DR5" s="2">
        <v>3.1</v>
      </c>
      <c r="DS5" s="2">
        <v>4.5</v>
      </c>
      <c r="DT5" s="2">
        <v>4.7</v>
      </c>
      <c r="DU5" s="2">
        <v>5</v>
      </c>
      <c r="DV5" s="2">
        <v>5.3</v>
      </c>
      <c r="DW5" s="2">
        <v>5.9</v>
      </c>
      <c r="DX5" s="2">
        <v>6</v>
      </c>
      <c r="DY5" s="2">
        <v>5.2</v>
      </c>
      <c r="DZ5" s="2">
        <v>5.8</v>
      </c>
      <c r="EA5" s="2">
        <v>5.1</v>
      </c>
      <c r="EB5" s="2">
        <v>4.3</v>
      </c>
      <c r="EC5" s="2">
        <v>7.7</v>
      </c>
      <c r="ED5" s="2">
        <v>7</v>
      </c>
      <c r="EE5" s="2">
        <v>6.4</v>
      </c>
      <c r="EF5" s="2">
        <v>6.4</v>
      </c>
      <c r="EG5" s="2">
        <v>6.7</v>
      </c>
      <c r="EH5" s="2">
        <v>6.3</v>
      </c>
      <c r="EI5" s="2">
        <v>4.9</v>
      </c>
      <c r="EJ5" s="2">
        <v>3.8</v>
      </c>
      <c r="EK5" s="2">
        <v>4.6</v>
      </c>
      <c r="EL5" s="2">
        <v>4.8</v>
      </c>
      <c r="EM5" s="2">
        <v>4.4</v>
      </c>
      <c r="EN5" s="2">
        <v>4.6</v>
      </c>
      <c r="EO5" s="2">
        <v>1.8</v>
      </c>
      <c r="EP5" s="2">
        <v>3.5</v>
      </c>
      <c r="EQ5" s="2">
        <v>3.2</v>
      </c>
      <c r="ER5" s="2">
        <v>2.9</v>
      </c>
      <c r="ES5" s="2">
        <v>2.6</v>
      </c>
      <c r="ET5" s="2">
        <v>2.3</v>
      </c>
      <c r="EU5" s="2">
        <v>2.7</v>
      </c>
      <c r="EV5" s="2">
        <v>2.7</v>
      </c>
      <c r="EW5" s="2">
        <v>2.6</v>
      </c>
      <c r="EX5" s="2">
        <v>2</v>
      </c>
      <c r="EY5" s="2">
        <v>5.1</v>
      </c>
      <c r="EZ5" s="2">
        <v>7.2</v>
      </c>
      <c r="FA5" s="2">
        <v>5.8</v>
      </c>
      <c r="FB5" s="2">
        <v>5.4</v>
      </c>
      <c r="FC5" s="2">
        <v>6.1</v>
      </c>
      <c r="FD5" s="2">
        <v>6.4</v>
      </c>
      <c r="FE5" s="2">
        <v>7.1</v>
      </c>
      <c r="FF5" s="2">
        <v>7.2</v>
      </c>
      <c r="FG5" s="2">
        <v>7.6</v>
      </c>
      <c r="FH5" s="2">
        <v>7.8</v>
      </c>
      <c r="FI5" s="2">
        <v>8</v>
      </c>
      <c r="FJ5" s="2">
        <v>8.4</v>
      </c>
      <c r="FK5" s="2">
        <v>5.1</v>
      </c>
      <c r="FL5" s="2">
        <v>3.3</v>
      </c>
      <c r="FM5" s="2">
        <v>4.3</v>
      </c>
      <c r="FN5" s="2">
        <v>4.5</v>
      </c>
      <c r="FO5" s="2">
        <v>3.8</v>
      </c>
      <c r="FP5" s="2">
        <v>2.7</v>
      </c>
      <c r="FQ5" s="2">
        <v>2.4</v>
      </c>
      <c r="FR5" s="2">
        <v>2.6</v>
      </c>
      <c r="FS5" s="2">
        <v>1.8</v>
      </c>
      <c r="FT5" s="2">
        <v>1.8</v>
      </c>
      <c r="FU5" s="2">
        <v>0.3</v>
      </c>
      <c r="FV5" s="2">
        <v>-1.9</v>
      </c>
      <c r="FW5" s="2">
        <v>-2</v>
      </c>
      <c r="FX5" s="2">
        <v>-1.9</v>
      </c>
      <c r="FY5" s="2">
        <v>-0.9</v>
      </c>
      <c r="FZ5" s="2">
        <v>-0.5</v>
      </c>
      <c r="GA5" s="2">
        <v>-0.6</v>
      </c>
      <c r="GB5" s="2">
        <v>-0.1</v>
      </c>
      <c r="GC5" s="2">
        <v>0.2</v>
      </c>
      <c r="GD5" s="2">
        <v>0.2</v>
      </c>
      <c r="GE5" s="2">
        <v>0.8</v>
      </c>
      <c r="GF5" s="2">
        <v>1.2</v>
      </c>
      <c r="GG5" s="2">
        <v>2.4</v>
      </c>
      <c r="GH5" s="2">
        <v>4</v>
      </c>
      <c r="GI5" s="2">
        <v>4.7</v>
      </c>
      <c r="GJ5" s="2">
        <v>4.4</v>
      </c>
      <c r="GK5" s="2">
        <v>3.8</v>
      </c>
      <c r="GL5" s="2">
        <v>2.5</v>
      </c>
      <c r="GM5" s="2">
        <v>3.1</v>
      </c>
      <c r="GN5" s="2">
        <v>3.3</v>
      </c>
      <c r="GO5" s="2">
        <v>2.3</v>
      </c>
      <c r="GP5" s="2">
        <v>2.9</v>
      </c>
      <c r="GQ5" s="2">
        <v>3.4</v>
      </c>
      <c r="GR5" s="2">
        <v>3.8</v>
      </c>
      <c r="GS5" s="2">
        <v>3.9</v>
      </c>
      <c r="GT5" s="2">
        <v>4.4</v>
      </c>
      <c r="GU5" s="2">
        <v>3.9</v>
      </c>
      <c r="GV5" s="2">
        <v>4.5</v>
      </c>
      <c r="GW5" s="2">
        <v>4.8</v>
      </c>
      <c r="GX5" s="2">
        <v>5</v>
      </c>
      <c r="GY5" s="2">
        <v>5.4</v>
      </c>
      <c r="GZ5" s="2">
        <v>5.4</v>
      </c>
      <c r="HA5" s="2">
        <v>5.6</v>
      </c>
      <c r="HB5" s="2">
        <v>0.5</v>
      </c>
      <c r="HC5" s="2">
        <v>0.4</v>
      </c>
      <c r="HD5" s="2">
        <v>-0.6</v>
      </c>
      <c r="HE5" s="2">
        <v>0.7</v>
      </c>
      <c r="HF5" s="2">
        <v>-0.5</v>
      </c>
      <c r="HG5" s="2">
        <v>0.1</v>
      </c>
      <c r="HH5" s="2">
        <v>0.3</v>
      </c>
      <c r="HI5" s="2">
        <v>-0.2</v>
      </c>
      <c r="HJ5" s="2">
        <v>0</v>
      </c>
      <c r="HK5" s="2">
        <v>-0.1</v>
      </c>
      <c r="HL5" s="2">
        <v>0.7</v>
      </c>
      <c r="HM5" s="2">
        <v>0.3</v>
      </c>
      <c r="HN5" s="2">
        <v>0.6</v>
      </c>
      <c r="HO5" s="2">
        <v>0.5</v>
      </c>
      <c r="HP5" s="2">
        <v>0.3</v>
      </c>
      <c r="HQ5" s="2">
        <v>1.2</v>
      </c>
      <c r="HR5" s="2">
        <v>0.6</v>
      </c>
      <c r="HS5" s="2">
        <v>-0.4</v>
      </c>
      <c r="HT5" s="2">
        <v>-0.5</v>
      </c>
      <c r="HU5" s="2">
        <v>1.1</v>
      </c>
      <c r="HV5" s="2">
        <v>0.2</v>
      </c>
      <c r="HW5" s="2">
        <v>0.2</v>
      </c>
      <c r="HX5" s="2">
        <v>1</v>
      </c>
      <c r="HY5" s="2">
        <v>0.8</v>
      </c>
      <c r="HZ5" s="2">
        <v>0.7</v>
      </c>
      <c r="IA5" s="2">
        <v>-0.2</v>
      </c>
      <c r="IB5" s="2">
        <v>0.9</v>
      </c>
      <c r="IC5" s="2">
        <v>0.5</v>
      </c>
      <c r="ID5" s="2">
        <v>-0.1</v>
      </c>
      <c r="IE5" s="2">
        <v>2.8</v>
      </c>
      <c r="IF5" s="2">
        <v>-1.2</v>
      </c>
      <c r="IG5" s="2">
        <v>0.6</v>
      </c>
      <c r="IH5" s="2">
        <v>0.2</v>
      </c>
      <c r="II5" s="2">
        <v>0.5</v>
      </c>
      <c r="IJ5" s="2">
        <v>0.6</v>
      </c>
      <c r="IK5" s="2">
        <v>-0.5</v>
      </c>
      <c r="IL5" s="2">
        <v>-0.3</v>
      </c>
      <c r="IM5" s="2">
        <v>0.5</v>
      </c>
      <c r="IN5" s="2">
        <v>1</v>
      </c>
      <c r="IO5" s="2">
        <v>0.2</v>
      </c>
      <c r="IP5" s="2">
        <v>0.1</v>
      </c>
      <c r="IQ5" s="2">
        <v>0.1</v>
      </c>
      <c r="IR5" s="2">
        <v>0.4</v>
      </c>
      <c r="IS5" s="2">
        <v>0.3</v>
      </c>
      <c r="IT5" s="2">
        <v>-0.1</v>
      </c>
      <c r="IU5" s="2">
        <v>0.2</v>
      </c>
      <c r="IV5" s="2">
        <v>0.3</v>
      </c>
      <c r="IW5" s="2">
        <v>-0.1</v>
      </c>
      <c r="IX5" s="2">
        <v>-0.2</v>
      </c>
      <c r="IY5" s="2">
        <v>0.4</v>
      </c>
      <c r="IZ5" s="2">
        <v>0.4</v>
      </c>
      <c r="JA5" s="2">
        <v>3.2</v>
      </c>
      <c r="JB5" s="2">
        <v>2.1</v>
      </c>
      <c r="JC5" s="2">
        <v>-1.2</v>
      </c>
      <c r="JD5" s="2">
        <v>0.1</v>
      </c>
      <c r="JE5" s="2">
        <v>1</v>
      </c>
      <c r="JF5" s="2">
        <v>0.1</v>
      </c>
      <c r="JG5" s="2">
        <v>0.9</v>
      </c>
      <c r="JH5" s="2">
        <v>0.4</v>
      </c>
      <c r="JI5" s="2">
        <v>0.2</v>
      </c>
      <c r="JJ5" s="2">
        <v>0</v>
      </c>
      <c r="JK5" s="2">
        <v>0.6</v>
      </c>
      <c r="JL5" s="2">
        <v>0.7</v>
      </c>
      <c r="JM5" s="2">
        <v>0.1</v>
      </c>
      <c r="JN5" s="2">
        <v>0.3</v>
      </c>
      <c r="JO5" s="2">
        <v>-0.2</v>
      </c>
      <c r="JP5" s="2">
        <v>0.3</v>
      </c>
      <c r="JQ5" s="2">
        <v>0.4</v>
      </c>
      <c r="JR5" s="2">
        <v>-1</v>
      </c>
      <c r="JS5" s="2">
        <v>0.6</v>
      </c>
      <c r="JT5" s="2">
        <v>0.6</v>
      </c>
      <c r="JU5" s="2">
        <v>-0.6</v>
      </c>
      <c r="JV5" s="2">
        <v>0.1</v>
      </c>
      <c r="JW5" s="2">
        <v>-0.9</v>
      </c>
      <c r="JX5" s="2">
        <v>-1.5</v>
      </c>
      <c r="JY5" s="2">
        <v>0</v>
      </c>
      <c r="JZ5" s="2">
        <v>0.3</v>
      </c>
      <c r="KA5" s="2">
        <v>0.9</v>
      </c>
      <c r="KB5" s="2">
        <v>0.6</v>
      </c>
      <c r="KC5" s="2">
        <v>0.3</v>
      </c>
      <c r="KD5" s="2">
        <v>-0.6</v>
      </c>
      <c r="KE5" s="2">
        <v>1</v>
      </c>
      <c r="KF5" s="2">
        <v>0.6</v>
      </c>
      <c r="KG5" s="2">
        <v>0</v>
      </c>
      <c r="KH5" s="2">
        <v>0.5</v>
      </c>
      <c r="KI5" s="2">
        <v>0.2</v>
      </c>
      <c r="KJ5" s="2">
        <v>0.1</v>
      </c>
      <c r="KK5" s="2">
        <v>0.7</v>
      </c>
      <c r="KL5" s="2">
        <v>0</v>
      </c>
      <c r="KM5" s="2">
        <v>0.3</v>
      </c>
      <c r="KN5" s="2">
        <v>-0.6</v>
      </c>
      <c r="KO5" s="2">
        <v>0.8</v>
      </c>
      <c r="KP5" s="2">
        <v>-0.3</v>
      </c>
      <c r="KQ5" s="2">
        <v>0</v>
      </c>
      <c r="KR5" s="2">
        <v>1.1</v>
      </c>
      <c r="KS5" s="2">
        <v>0.4</v>
      </c>
      <c r="KT5" s="2">
        <v>1</v>
      </c>
      <c r="KU5" s="2">
        <v>0.3</v>
      </c>
      <c r="KV5" s="2">
        <v>0.6</v>
      </c>
      <c r="KW5" s="2">
        <v>0.2</v>
      </c>
      <c r="KX5" s="2">
        <v>0.5</v>
      </c>
      <c r="KY5" s="2">
        <v>0.5</v>
      </c>
      <c r="KZ5" s="2">
        <v>-0.3</v>
      </c>
      <c r="LA5" s="2">
        <v>1.1</v>
      </c>
      <c r="LB5" s="2">
        <v>-0.3</v>
      </c>
      <c r="LC5" s="2">
        <v>0.2</v>
      </c>
      <c r="LD5" s="2">
        <v>2.07</v>
      </c>
      <c r="LE5" s="2">
        <v>2.09</v>
      </c>
      <c r="LF5" s="2">
        <v>2.09</v>
      </c>
      <c r="LG5" s="2">
        <v>2.09</v>
      </c>
      <c r="LH5" s="2">
        <v>2.08</v>
      </c>
      <c r="LI5" s="2">
        <v>2.1</v>
      </c>
      <c r="LJ5" s="2">
        <v>2.09</v>
      </c>
      <c r="LK5" s="2">
        <v>2.09</v>
      </c>
      <c r="LL5" s="2">
        <v>2.11</v>
      </c>
      <c r="LM5" s="2">
        <v>2.12</v>
      </c>
      <c r="LN5" s="2">
        <v>2.14</v>
      </c>
      <c r="LO5" s="2">
        <v>2.15</v>
      </c>
      <c r="LP5" s="2">
        <v>2.16</v>
      </c>
      <c r="LQ5" s="2">
        <v>2.17</v>
      </c>
      <c r="LR5" s="2">
        <v>2.18</v>
      </c>
      <c r="LS5" s="2">
        <v>2.19</v>
      </c>
      <c r="LT5" s="2">
        <v>2.18</v>
      </c>
      <c r="LU5" s="2">
        <v>2.21</v>
      </c>
      <c r="LV5" s="2">
        <v>2.2</v>
      </c>
      <c r="LW5" s="2">
        <v>2.21</v>
      </c>
      <c r="LX5" s="2">
        <v>0.02</v>
      </c>
      <c r="LY5" s="2">
        <v>0</v>
      </c>
      <c r="LZ5" s="2">
        <v>0</v>
      </c>
      <c r="MA5" s="2">
        <v>-0.01</v>
      </c>
      <c r="MB5" s="2">
        <v>0.02</v>
      </c>
      <c r="MC5" s="2">
        <v>-0.01</v>
      </c>
      <c r="MD5" s="2">
        <v>0</v>
      </c>
      <c r="ME5" s="2">
        <v>0.02</v>
      </c>
      <c r="MF5" s="2">
        <v>0.01</v>
      </c>
      <c r="MG5" s="2">
        <v>0.02</v>
      </c>
      <c r="MH5" s="2">
        <v>0.01</v>
      </c>
      <c r="MI5" s="2">
        <v>0.01</v>
      </c>
      <c r="MJ5" s="2">
        <v>0.01</v>
      </c>
      <c r="MK5" s="2">
        <v>0.01</v>
      </c>
      <c r="ML5" s="2">
        <v>0.01</v>
      </c>
      <c r="MM5" s="2">
        <v>-0.01</v>
      </c>
      <c r="MN5" s="2">
        <v>0.03</v>
      </c>
      <c r="MO5" s="2">
        <v>-0.01</v>
      </c>
      <c r="MP5" s="2">
        <v>0.01</v>
      </c>
      <c r="QI5" s="2">
        <v>8.5</v>
      </c>
      <c r="QJ5" s="2">
        <v>8.630000000000001</v>
      </c>
      <c r="QK5" s="2">
        <v>9.33</v>
      </c>
      <c r="QL5" s="2">
        <v>10.36</v>
      </c>
      <c r="QM5" s="2">
        <v>11.1</v>
      </c>
      <c r="QN5" s="2">
        <v>11.56</v>
      </c>
      <c r="QO5" s="2">
        <v>12.42</v>
      </c>
      <c r="QP5" s="2">
        <v>12.63</v>
      </c>
      <c r="QQ5" s="2">
        <v>11.97</v>
      </c>
      <c r="QR5" s="2">
        <v>11.18</v>
      </c>
      <c r="QS5" s="2">
        <v>11.1</v>
      </c>
      <c r="QT5" s="2">
        <v>11.56</v>
      </c>
      <c r="QU5" s="2">
        <v>11.64</v>
      </c>
      <c r="QV5" s="2">
        <v>11.97</v>
      </c>
      <c r="QW5" s="2">
        <v>12.34</v>
      </c>
      <c r="QX5" s="2">
        <v>12.42</v>
      </c>
      <c r="QY5" s="2">
        <v>12.92</v>
      </c>
      <c r="QZ5" s="2">
        <v>13.37</v>
      </c>
      <c r="RA5" s="2">
        <v>13.7</v>
      </c>
      <c r="RB5" s="2">
        <v>14.4</v>
      </c>
      <c r="RC5" s="2">
        <v>14.49</v>
      </c>
      <c r="RD5" s="2">
        <v>14.57</v>
      </c>
      <c r="RE5" s="2">
        <v>15.06</v>
      </c>
      <c r="RF5" s="2">
        <v>15.64</v>
      </c>
      <c r="RG5" s="2">
        <v>16.43</v>
      </c>
      <c r="RH5" s="2">
        <v>16.88</v>
      </c>
      <c r="RI5" s="2">
        <v>18.78</v>
      </c>
      <c r="RJ5" s="2">
        <v>22.37</v>
      </c>
      <c r="RK5" s="2">
        <v>23.19</v>
      </c>
      <c r="RL5" s="2">
        <v>23.15</v>
      </c>
      <c r="RM5" s="2">
        <v>24.56</v>
      </c>
      <c r="RN5" s="2">
        <v>25.05</v>
      </c>
      <c r="RO5" s="2">
        <v>24.93</v>
      </c>
      <c r="RP5" s="2">
        <v>24.85</v>
      </c>
      <c r="RQ5" s="2">
        <v>25.22</v>
      </c>
      <c r="RR5" s="2">
        <v>25.22</v>
      </c>
      <c r="RS5" s="2">
        <v>25.63</v>
      </c>
      <c r="RT5" s="2">
        <v>25.63</v>
      </c>
      <c r="RU5" s="2">
        <v>25.51</v>
      </c>
      <c r="RV5" s="2">
        <v>26</v>
      </c>
      <c r="RW5" s="2">
        <v>26.21</v>
      </c>
      <c r="RX5" s="2">
        <v>26.7</v>
      </c>
      <c r="RY5" s="2">
        <v>27.16</v>
      </c>
      <c r="RZ5" s="2">
        <v>29.43</v>
      </c>
      <c r="SA5" s="2">
        <v>28.81</v>
      </c>
      <c r="SB5" s="2">
        <v>28.23</v>
      </c>
      <c r="SC5" s="2">
        <v>28.85</v>
      </c>
      <c r="SD5" s="2">
        <v>28.93</v>
      </c>
      <c r="SE5" s="2">
        <v>29.47</v>
      </c>
      <c r="SF5" s="2">
        <v>29.76</v>
      </c>
      <c r="SG5" s="2">
        <v>29.88</v>
      </c>
      <c r="SH5" s="2">
        <v>30.79</v>
      </c>
      <c r="SI5" s="2">
        <v>31.04</v>
      </c>
      <c r="SJ5" s="2">
        <v>30.83</v>
      </c>
      <c r="SK5" s="2">
        <v>31.24</v>
      </c>
      <c r="SL5" s="2">
        <v>31.74</v>
      </c>
      <c r="SM5" s="2">
        <v>32.56</v>
      </c>
      <c r="SN5" s="2">
        <v>33.27</v>
      </c>
      <c r="SO5" s="2">
        <v>33.76</v>
      </c>
      <c r="SP5" s="2">
        <v>34.21</v>
      </c>
      <c r="SQ5" s="2">
        <v>34.67</v>
      </c>
      <c r="SR5" s="2">
        <v>34.87</v>
      </c>
      <c r="SS5" s="2">
        <v>35.41</v>
      </c>
      <c r="ST5" s="2">
        <v>36.65</v>
      </c>
      <c r="SU5" s="2">
        <v>37.43</v>
      </c>
      <c r="SV5" s="2">
        <v>38.14</v>
      </c>
      <c r="SW5" s="2">
        <v>39.21</v>
      </c>
      <c r="SX5" s="2">
        <v>40.32</v>
      </c>
      <c r="SY5" s="2">
        <v>40.86</v>
      </c>
      <c r="SZ5" s="2">
        <v>40.9</v>
      </c>
      <c r="TA5" s="2">
        <v>41.44</v>
      </c>
      <c r="TB5" s="2">
        <v>41.93</v>
      </c>
      <c r="TC5" s="2">
        <v>41.68</v>
      </c>
      <c r="TD5" s="2">
        <v>41.68</v>
      </c>
      <c r="TE5" s="2">
        <v>42.3</v>
      </c>
      <c r="TF5" s="2">
        <v>42.1</v>
      </c>
      <c r="TG5" s="2">
        <v>41.77</v>
      </c>
      <c r="TH5" s="2">
        <v>41.23</v>
      </c>
      <c r="TI5" s="2">
        <v>41.44</v>
      </c>
      <c r="TJ5" s="2">
        <v>41.4</v>
      </c>
      <c r="TK5" s="2">
        <v>40.9</v>
      </c>
      <c r="TL5" s="2">
        <v>40.9</v>
      </c>
      <c r="TM5" s="2">
        <v>41.64</v>
      </c>
      <c r="TN5" s="2">
        <v>41.73</v>
      </c>
      <c r="TO5" s="2">
        <v>42.1</v>
      </c>
      <c r="TP5" s="2">
        <v>42.35</v>
      </c>
      <c r="TQ5" s="2">
        <v>42.26</v>
      </c>
      <c r="TR5" s="2">
        <v>42.26</v>
      </c>
      <c r="TS5" s="2">
        <v>41.6</v>
      </c>
      <c r="TT5" s="2">
        <v>42.01</v>
      </c>
      <c r="TU5" s="2">
        <v>42.84</v>
      </c>
      <c r="TV5" s="2">
        <v>43.17</v>
      </c>
      <c r="TW5" s="2">
        <v>43.91</v>
      </c>
      <c r="TX5" s="2">
        <v>43.58</v>
      </c>
      <c r="TY5" s="2">
        <v>44.33</v>
      </c>
      <c r="TZ5" s="2">
        <v>44.7</v>
      </c>
      <c r="UA5" s="2">
        <v>44.78</v>
      </c>
      <c r="UB5" s="2">
        <v>44.95</v>
      </c>
      <c r="UC5" s="2">
        <v>44.95</v>
      </c>
      <c r="UD5" s="2">
        <v>44.86</v>
      </c>
      <c r="UE5" s="2">
        <v>45.28</v>
      </c>
      <c r="UF5" s="2">
        <v>45.19</v>
      </c>
      <c r="UG5" s="2">
        <v>45.23</v>
      </c>
      <c r="UH5" s="2">
        <v>45.19</v>
      </c>
      <c r="UI5" s="2">
        <v>45.15</v>
      </c>
      <c r="UJ5" s="2">
        <v>45.2</v>
      </c>
      <c r="UK5" s="2">
        <v>45.65</v>
      </c>
      <c r="UL5" s="2">
        <v>46.45</v>
      </c>
      <c r="UM5" s="2">
        <v>46.53</v>
      </c>
      <c r="UN5" s="2">
        <v>47.13</v>
      </c>
      <c r="UO5" s="2">
        <v>47.55</v>
      </c>
      <c r="UP5" s="2">
        <v>47.72</v>
      </c>
      <c r="UQ5" s="2">
        <v>47.08</v>
      </c>
      <c r="UR5" s="2">
        <v>47.77</v>
      </c>
      <c r="US5" s="2">
        <v>49.69</v>
      </c>
      <c r="UT5" s="2">
        <v>51.87</v>
      </c>
      <c r="UU5" s="2">
        <v>53.43</v>
      </c>
      <c r="UV5" s="2">
        <v>54.81</v>
      </c>
      <c r="UW5" s="2">
        <v>55.8</v>
      </c>
      <c r="UX5" s="2">
        <v>55.93</v>
      </c>
      <c r="UY5" s="2">
        <v>55.17</v>
      </c>
      <c r="UZ5" s="2">
        <v>55.46</v>
      </c>
      <c r="VA5" s="2">
        <v>56</v>
      </c>
      <c r="VB5" s="2">
        <v>56.7</v>
      </c>
      <c r="VC5" s="2">
        <v>57.35</v>
      </c>
      <c r="VD5" s="2">
        <v>58.27</v>
      </c>
      <c r="VE5" s="2">
        <v>58.55</v>
      </c>
      <c r="VF5" s="2">
        <v>58.18</v>
      </c>
      <c r="VG5" s="2">
        <v>57.87</v>
      </c>
      <c r="VH5" s="2">
        <v>58.86</v>
      </c>
      <c r="VI5" s="2">
        <v>59.42</v>
      </c>
      <c r="VJ5" s="2">
        <v>59.8</v>
      </c>
      <c r="VK5" s="2">
        <v>59.8</v>
      </c>
      <c r="VL5" s="2">
        <v>60.01</v>
      </c>
      <c r="VM5" s="2">
        <v>60.58</v>
      </c>
      <c r="VN5" s="2">
        <v>61.12</v>
      </c>
      <c r="VO5" s="2">
        <v>60.91</v>
      </c>
      <c r="VP5" s="2">
        <v>61.1</v>
      </c>
      <c r="VQ5" s="2">
        <v>61.65</v>
      </c>
      <c r="VR5" s="2">
        <v>61.92</v>
      </c>
      <c r="VS5" s="2">
        <v>62.16</v>
      </c>
      <c r="VT5" s="2">
        <v>63.06</v>
      </c>
      <c r="VU5" s="2">
        <v>64.61</v>
      </c>
      <c r="VV5" s="2">
        <v>64.5</v>
      </c>
      <c r="VW5" s="2">
        <v>64.92</v>
      </c>
      <c r="VX5" s="2">
        <v>66.34999999999999</v>
      </c>
      <c r="VY5" s="2">
        <v>68.41</v>
      </c>
      <c r="VZ5" s="2">
        <v>68.2</v>
      </c>
      <c r="WA5" s="2">
        <v>68.06999999999999</v>
      </c>
      <c r="WB5" s="2">
        <v>67.61</v>
      </c>
      <c r="WC5" s="2">
        <v>68.42</v>
      </c>
      <c r="WD5" s="2">
        <v>68.52</v>
      </c>
      <c r="WE5" s="2">
        <v>68.93000000000001</v>
      </c>
      <c r="WF5" s="2">
        <v>69.05</v>
      </c>
      <c r="WG5" s="2">
        <v>69.75</v>
      </c>
      <c r="WH5" s="2">
        <v>70.23</v>
      </c>
      <c r="WI5" s="2">
        <v>69.61</v>
      </c>
      <c r="WJ5" s="2">
        <v>68.98999999999999</v>
      </c>
      <c r="WK5" s="2">
        <v>68.79000000000001</v>
      </c>
      <c r="WL5" s="2">
        <v>68.81</v>
      </c>
      <c r="WM5" s="2">
        <v>68.81</v>
      </c>
      <c r="WN5" s="2">
        <v>69.06999999999999</v>
      </c>
      <c r="WO5" s="2">
        <v>68.89</v>
      </c>
      <c r="WP5" s="2">
        <v>69.11</v>
      </c>
      <c r="WQ5" s="2">
        <v>68.45999999999999</v>
      </c>
      <c r="WR5" s="2">
        <v>68.59</v>
      </c>
      <c r="WS5" s="2">
        <v>69.38</v>
      </c>
      <c r="WT5" s="2">
        <v>71.01000000000001</v>
      </c>
      <c r="WU5" s="2">
        <v>71.27</v>
      </c>
      <c r="WV5" s="2">
        <v>71.97</v>
      </c>
      <c r="WW5" s="2">
        <v>73.08</v>
      </c>
      <c r="WX5" s="2">
        <v>73.83</v>
      </c>
      <c r="WY5" s="2">
        <v>73.86</v>
      </c>
      <c r="WZ5" s="2">
        <v>74.95</v>
      </c>
      <c r="XA5" s="2">
        <v>75.84</v>
      </c>
      <c r="XB5" s="2">
        <v>75.63</v>
      </c>
      <c r="XC5" s="2">
        <v>75.62</v>
      </c>
      <c r="XD5" s="2">
        <v>75.94</v>
      </c>
      <c r="XE5" s="2">
        <v>75.89</v>
      </c>
      <c r="XF5" s="2">
        <v>75.73999999999999</v>
      </c>
      <c r="XG5" s="2">
        <v>75.90000000000001</v>
      </c>
      <c r="XH5" s="2">
        <v>76.29000000000001</v>
      </c>
      <c r="XI5" s="2">
        <v>76.45999999999999</v>
      </c>
      <c r="XJ5" s="2">
        <v>76.56</v>
      </c>
      <c r="XK5" s="2">
        <v>76.89</v>
      </c>
      <c r="XL5" s="2">
        <v>78.15000000000001</v>
      </c>
      <c r="XM5" s="2">
        <v>79.61</v>
      </c>
      <c r="XN5" s="2">
        <v>79.81999999999999</v>
      </c>
      <c r="XO5" s="2">
        <v>81.19</v>
      </c>
      <c r="XP5" s="2">
        <v>82.45999999999999</v>
      </c>
      <c r="XQ5" s="2">
        <v>84.14</v>
      </c>
      <c r="XR5" s="2">
        <v>84.69</v>
      </c>
      <c r="XS5" s="2">
        <v>85.52</v>
      </c>
      <c r="XT5" s="2">
        <v>85.61</v>
      </c>
      <c r="XU5" s="2">
        <v>86.56</v>
      </c>
      <c r="XV5" s="2">
        <v>87.16</v>
      </c>
      <c r="XW5" s="2">
        <v>87.64</v>
      </c>
      <c r="XX5" s="2">
        <v>87.73</v>
      </c>
      <c r="XY5" s="2">
        <v>91.94</v>
      </c>
      <c r="XZ5" s="2">
        <v>92.64</v>
      </c>
      <c r="YA5" s="2">
        <v>94.02</v>
      </c>
      <c r="YB5" s="2">
        <v>94.92</v>
      </c>
      <c r="YC5" s="2">
        <v>95.76000000000001</v>
      </c>
      <c r="YD5" s="2">
        <v>95.88</v>
      </c>
      <c r="YE5" s="2">
        <v>96.13</v>
      </c>
      <c r="YF5" s="2">
        <v>94.97</v>
      </c>
      <c r="YG5" s="2">
        <v>94.23999999999999</v>
      </c>
      <c r="YH5" s="2">
        <v>95.48999999999999</v>
      </c>
      <c r="YI5" s="2">
        <v>96.56</v>
      </c>
      <c r="YJ5" s="2">
        <v>97.39</v>
      </c>
      <c r="YK5" s="2">
        <v>98.31999999999999</v>
      </c>
      <c r="YL5" s="2">
        <v>98.34</v>
      </c>
      <c r="YM5" s="2">
        <v>99.34</v>
      </c>
      <c r="YN5" s="2">
        <v>101.36</v>
      </c>
      <c r="YO5" s="2">
        <v>102.65</v>
      </c>
      <c r="YP5" s="2">
        <v>103.52</v>
      </c>
      <c r="ACI5" s="2">
        <v>1.5</v>
      </c>
      <c r="ACJ5" s="2">
        <v>8.1</v>
      </c>
      <c r="ACK5" s="2">
        <v>11</v>
      </c>
      <c r="ACL5" s="2">
        <v>7.1</v>
      </c>
      <c r="ACM5" s="2">
        <v>4.1</v>
      </c>
      <c r="ACN5" s="2">
        <v>7.4</v>
      </c>
      <c r="ACO5" s="2">
        <v>1.7</v>
      </c>
      <c r="ACP5" s="2">
        <v>-5.2</v>
      </c>
      <c r="ACQ5" s="2">
        <v>-6.6</v>
      </c>
      <c r="ACR5" s="2">
        <v>-0.7</v>
      </c>
      <c r="ACS5" s="2">
        <v>4.1</v>
      </c>
      <c r="ACT5" s="2">
        <v>0.7</v>
      </c>
      <c r="ACU5" s="2">
        <v>2.8</v>
      </c>
      <c r="ACV5" s="2">
        <v>3.1</v>
      </c>
      <c r="ACW5" s="2">
        <v>0.6</v>
      </c>
      <c r="ACX5" s="2">
        <v>4</v>
      </c>
      <c r="ACY5" s="2">
        <v>3.5</v>
      </c>
      <c r="ACZ5" s="2">
        <v>2.5</v>
      </c>
      <c r="ADA5" s="2">
        <v>5.1</v>
      </c>
      <c r="ADB5" s="2">
        <v>0.6</v>
      </c>
      <c r="ADC5" s="2">
        <v>0.6</v>
      </c>
      <c r="ADD5" s="2">
        <v>3.4</v>
      </c>
      <c r="ADE5" s="2">
        <v>3.9</v>
      </c>
      <c r="ADF5" s="2">
        <v>5.1</v>
      </c>
      <c r="ADG5" s="2">
        <v>2.7</v>
      </c>
      <c r="ADH5" s="2">
        <v>11.3</v>
      </c>
      <c r="ADI5" s="2">
        <v>19.1</v>
      </c>
      <c r="ADJ5" s="2">
        <v>3.7</v>
      </c>
      <c r="ADK5" s="2">
        <v>-0.2</v>
      </c>
      <c r="ADL5" s="2">
        <v>6.1</v>
      </c>
      <c r="ADM5" s="2">
        <v>2</v>
      </c>
      <c r="ADN5" s="2">
        <v>-0.5</v>
      </c>
      <c r="ADO5" s="2">
        <v>-0.3</v>
      </c>
      <c r="ADP5" s="2">
        <v>1.5</v>
      </c>
      <c r="ADQ5" s="2">
        <v>0</v>
      </c>
      <c r="ADR5" s="2">
        <v>1.6</v>
      </c>
      <c r="ADS5" s="2">
        <v>0</v>
      </c>
      <c r="ADT5" s="2">
        <v>-0.5</v>
      </c>
      <c r="ADU5" s="2">
        <v>1.9</v>
      </c>
      <c r="ADV5" s="2">
        <v>0.8</v>
      </c>
      <c r="ADW5" s="2">
        <v>1.9</v>
      </c>
      <c r="ADX5" s="2">
        <v>1.7</v>
      </c>
      <c r="ADY5" s="2">
        <v>8.4</v>
      </c>
      <c r="ADZ5" s="2">
        <v>-2.1</v>
      </c>
      <c r="AEA5" s="2">
        <v>-2</v>
      </c>
      <c r="AEB5" s="2">
        <v>2.2</v>
      </c>
      <c r="AEC5" s="2">
        <v>0.3</v>
      </c>
      <c r="AED5" s="2">
        <v>1.9</v>
      </c>
      <c r="AEE5" s="2">
        <v>1</v>
      </c>
      <c r="AEF5" s="2">
        <v>0.4</v>
      </c>
      <c r="AEG5" s="2">
        <v>3</v>
      </c>
      <c r="AEH5" s="2">
        <v>0.8</v>
      </c>
      <c r="AEI5" s="2">
        <v>-0.7</v>
      </c>
      <c r="AEJ5" s="2">
        <v>1.3</v>
      </c>
      <c r="AEK5" s="2">
        <v>1.6</v>
      </c>
      <c r="AEL5" s="2">
        <v>2.6</v>
      </c>
      <c r="AEM5" s="2">
        <v>2.2</v>
      </c>
      <c r="AEN5" s="2">
        <v>1.5</v>
      </c>
      <c r="AEO5" s="2">
        <v>1.3</v>
      </c>
      <c r="AEP5" s="2">
        <v>1.3</v>
      </c>
      <c r="AEQ5" s="2">
        <v>0.6</v>
      </c>
      <c r="AER5" s="2">
        <v>1.5</v>
      </c>
      <c r="AES5" s="2">
        <v>3.5</v>
      </c>
      <c r="AET5" s="2">
        <v>2.1</v>
      </c>
      <c r="AEU5" s="2">
        <v>1.9</v>
      </c>
      <c r="AEV5" s="2">
        <v>2.8</v>
      </c>
      <c r="AEW5" s="2">
        <v>2.8</v>
      </c>
      <c r="AEX5" s="2">
        <v>1.3</v>
      </c>
      <c r="AEY5" s="2">
        <v>0.1</v>
      </c>
      <c r="AEZ5" s="2">
        <v>1.3</v>
      </c>
      <c r="AFA5" s="2">
        <v>1.2</v>
      </c>
      <c r="AFB5" s="2">
        <v>-0.6</v>
      </c>
      <c r="AFC5" s="2">
        <v>0</v>
      </c>
      <c r="AFD5" s="2">
        <v>1.5</v>
      </c>
      <c r="AFE5" s="2">
        <v>-0.5</v>
      </c>
      <c r="AFF5" s="2">
        <v>-0.8</v>
      </c>
      <c r="AFG5" s="2">
        <v>-1.3</v>
      </c>
      <c r="AFH5" s="2">
        <v>0.5</v>
      </c>
      <c r="AFI5" s="2">
        <v>-0.1</v>
      </c>
      <c r="AFJ5" s="2">
        <v>-1.2</v>
      </c>
      <c r="AFK5" s="2">
        <v>0</v>
      </c>
      <c r="AFL5" s="2">
        <v>1.8</v>
      </c>
      <c r="AFM5" s="2">
        <v>0.2</v>
      </c>
      <c r="AFN5" s="2">
        <v>0.9</v>
      </c>
      <c r="AFO5" s="2">
        <v>0.6</v>
      </c>
      <c r="AFP5" s="2">
        <v>-0.2</v>
      </c>
      <c r="AFQ5" s="2">
        <v>0</v>
      </c>
      <c r="AFR5" s="2">
        <v>-1.6</v>
      </c>
      <c r="AFS5" s="2">
        <v>1</v>
      </c>
      <c r="AFT5" s="2">
        <v>2</v>
      </c>
      <c r="AFU5" s="2">
        <v>0.8</v>
      </c>
      <c r="AFV5" s="2">
        <v>1.7</v>
      </c>
      <c r="AFW5" s="2">
        <v>-0.8</v>
      </c>
      <c r="AFX5" s="2">
        <v>1.7</v>
      </c>
      <c r="AFY5" s="2">
        <v>0.8</v>
      </c>
      <c r="AFZ5" s="2">
        <v>0.2</v>
      </c>
      <c r="AGA5" s="2">
        <v>0.4</v>
      </c>
      <c r="AGB5" s="2">
        <v>0</v>
      </c>
      <c r="AGC5" s="2">
        <v>-0.2</v>
      </c>
      <c r="AGD5" s="2">
        <v>0.9</v>
      </c>
      <c r="AGE5" s="2">
        <v>-0.2</v>
      </c>
      <c r="AGF5" s="2">
        <v>0.1</v>
      </c>
      <c r="AGG5" s="2">
        <v>-0.1</v>
      </c>
      <c r="AGH5" s="2">
        <v>-0.1</v>
      </c>
      <c r="AGI5" s="2">
        <v>0.1</v>
      </c>
      <c r="AGJ5" s="2">
        <v>1</v>
      </c>
      <c r="AGK5" s="2">
        <v>1.8</v>
      </c>
      <c r="AGL5" s="2">
        <v>0.2</v>
      </c>
      <c r="AGM5" s="2">
        <v>1.3</v>
      </c>
      <c r="AGN5" s="2">
        <v>0.9</v>
      </c>
      <c r="AGO5" s="2">
        <v>0.4</v>
      </c>
      <c r="AGP5" s="2">
        <v>-1.3</v>
      </c>
      <c r="AGQ5" s="2">
        <v>1.5</v>
      </c>
      <c r="AGR5" s="2">
        <v>4</v>
      </c>
      <c r="AGS5" s="2">
        <v>4.4</v>
      </c>
      <c r="AGT5" s="2">
        <v>3</v>
      </c>
      <c r="AGU5" s="2">
        <v>2.6</v>
      </c>
      <c r="AGV5" s="2">
        <v>1.8</v>
      </c>
      <c r="AGW5" s="2">
        <v>0.2</v>
      </c>
      <c r="AGX5" s="2">
        <v>-1.4</v>
      </c>
      <c r="AGY5" s="2">
        <v>0.5</v>
      </c>
      <c r="AGZ5" s="2">
        <v>1</v>
      </c>
      <c r="AHA5" s="2">
        <v>1.3</v>
      </c>
      <c r="AHB5" s="2">
        <v>1.1</v>
      </c>
      <c r="AHC5" s="2">
        <v>1.6</v>
      </c>
      <c r="AHD5" s="2">
        <v>0.5</v>
      </c>
      <c r="AHE5" s="2">
        <v>-0.6</v>
      </c>
      <c r="AHF5" s="2">
        <v>-0.5</v>
      </c>
      <c r="AHG5" s="2">
        <v>1.7</v>
      </c>
      <c r="AHH5" s="2">
        <v>1</v>
      </c>
      <c r="AHI5" s="2">
        <v>0.6</v>
      </c>
      <c r="AHJ5" s="2">
        <v>0</v>
      </c>
      <c r="AHK5" s="2">
        <v>0.4</v>
      </c>
      <c r="AHL5" s="2">
        <v>0.9</v>
      </c>
      <c r="AHM5" s="2">
        <v>0.9</v>
      </c>
      <c r="AHN5" s="2">
        <v>-0.3</v>
      </c>
      <c r="AHO5" s="2">
        <v>0.3</v>
      </c>
      <c r="AHP5" s="2">
        <v>0.9</v>
      </c>
      <c r="AHQ5" s="2">
        <v>0.4</v>
      </c>
      <c r="AHR5" s="2">
        <v>0.4</v>
      </c>
      <c r="AHS5" s="2">
        <v>1.4</v>
      </c>
      <c r="AHT5" s="2">
        <v>2.5</v>
      </c>
      <c r="AHU5" s="2">
        <v>-0.2</v>
      </c>
      <c r="AHV5" s="2">
        <v>0.7</v>
      </c>
      <c r="AHW5" s="2">
        <v>2.2</v>
      </c>
      <c r="AHX5" s="2">
        <v>3.1</v>
      </c>
      <c r="AHY5" s="2">
        <v>-0.3</v>
      </c>
      <c r="AHZ5" s="2">
        <v>-0.2</v>
      </c>
      <c r="AIA5" s="2">
        <v>-0.7</v>
      </c>
      <c r="AIB5" s="2">
        <v>1.2</v>
      </c>
      <c r="AIC5" s="2">
        <v>0.1</v>
      </c>
      <c r="AID5" s="2">
        <v>0.6</v>
      </c>
      <c r="AIE5" s="2">
        <v>0.2</v>
      </c>
      <c r="AIF5" s="2">
        <v>1</v>
      </c>
      <c r="AIG5" s="2">
        <v>0.7</v>
      </c>
      <c r="AIH5" s="2">
        <v>-0.9</v>
      </c>
      <c r="AII5" s="2">
        <v>-0.9</v>
      </c>
      <c r="AIJ5" s="2">
        <v>-0.3</v>
      </c>
      <c r="AIK5" s="2">
        <v>0</v>
      </c>
      <c r="AIL5" s="2">
        <v>0</v>
      </c>
      <c r="AIM5" s="2">
        <v>0.4</v>
      </c>
      <c r="AIN5" s="2">
        <v>-0.3</v>
      </c>
      <c r="AIO5" s="2">
        <v>0.3</v>
      </c>
      <c r="AIP5" s="2">
        <v>-0.9</v>
      </c>
      <c r="AIQ5" s="2">
        <v>0.2</v>
      </c>
      <c r="AIR5" s="2">
        <v>1.2</v>
      </c>
      <c r="AIS5" s="2">
        <v>2.3</v>
      </c>
      <c r="AIT5" s="2">
        <v>0.4</v>
      </c>
      <c r="AIU5" s="2">
        <v>1</v>
      </c>
      <c r="AIV5" s="2">
        <v>1.5</v>
      </c>
      <c r="AIW5" s="2">
        <v>1</v>
      </c>
      <c r="AIX5" s="2">
        <v>0</v>
      </c>
      <c r="AIY5" s="2">
        <v>1.5</v>
      </c>
      <c r="AIZ5" s="2">
        <v>1.2</v>
      </c>
      <c r="AJA5" s="2">
        <v>-0.3</v>
      </c>
      <c r="AJB5" s="2">
        <v>0</v>
      </c>
      <c r="AJC5" s="2">
        <v>0.4</v>
      </c>
      <c r="AJD5" s="2">
        <v>-0.1</v>
      </c>
      <c r="AJE5" s="2">
        <v>-0.2</v>
      </c>
      <c r="AJF5" s="2">
        <v>0.2</v>
      </c>
      <c r="AJG5" s="2">
        <v>0.5</v>
      </c>
      <c r="AJH5" s="2">
        <v>0.2</v>
      </c>
      <c r="AJI5" s="2">
        <v>0.1</v>
      </c>
      <c r="AJJ5" s="2">
        <v>0.4</v>
      </c>
      <c r="AJK5" s="2">
        <v>1.6</v>
      </c>
      <c r="AJL5" s="2">
        <v>1.9</v>
      </c>
      <c r="AJM5" s="2">
        <v>0.3</v>
      </c>
      <c r="AJN5" s="2">
        <v>1.7</v>
      </c>
      <c r="AJO5" s="2">
        <v>1.6</v>
      </c>
      <c r="AJP5" s="2">
        <v>2</v>
      </c>
      <c r="AJQ5" s="2">
        <v>0.7</v>
      </c>
      <c r="AJR5" s="2">
        <v>1</v>
      </c>
      <c r="AJS5" s="2">
        <v>0.1</v>
      </c>
      <c r="AJT5" s="2">
        <v>1.1</v>
      </c>
      <c r="AJU5" s="2">
        <v>0.7</v>
      </c>
      <c r="AJV5" s="2">
        <v>0.6</v>
      </c>
      <c r="AJW5" s="2">
        <v>0.1</v>
      </c>
      <c r="AJX5" s="2">
        <v>4.8</v>
      </c>
      <c r="AJY5" s="2">
        <v>0.8</v>
      </c>
      <c r="AJZ5" s="2">
        <v>1.5</v>
      </c>
      <c r="AKA5" s="2">
        <v>1</v>
      </c>
      <c r="AKB5" s="2">
        <v>0.9</v>
      </c>
      <c r="AKC5" s="2">
        <v>0.1</v>
      </c>
      <c r="AKD5" s="2">
        <v>0.3</v>
      </c>
      <c r="AKE5" s="2">
        <v>-1.2</v>
      </c>
      <c r="AKF5" s="2">
        <v>-0.8</v>
      </c>
      <c r="AKG5" s="2">
        <v>1.3</v>
      </c>
      <c r="AKH5" s="2">
        <v>1.1</v>
      </c>
      <c r="AKI5" s="2">
        <v>0.9</v>
      </c>
      <c r="AKJ5" s="2">
        <v>1</v>
      </c>
      <c r="AKK5" s="2">
        <v>0</v>
      </c>
      <c r="AKL5" s="2">
        <v>1</v>
      </c>
      <c r="AKM5" s="2">
        <v>2</v>
      </c>
      <c r="AKN5" s="2">
        <v>1.3</v>
      </c>
      <c r="AKO5" s="2">
        <v>0.8</v>
      </c>
      <c r="AKP5" s="2">
        <v>2.15</v>
      </c>
      <c r="AKQ5" s="2">
        <v>2.18</v>
      </c>
      <c r="AKR5" s="2">
        <v>2.2</v>
      </c>
    </row>
    <row r="6">
      <c r="A6" t="inlineStr">
        <is>
          <t>Dairy and related products</t>
        </is>
      </c>
      <c r="B6" t="inlineStr">
        <is>
          <t>Food and non-alcoholic beverages</t>
        </is>
      </c>
      <c r="C6">
        <v>2</v>
      </c>
      <c r="D6">
        <v>1.08</v>
      </c>
      <c r="E6" s="3">
        <f>D6/17.41*0.174</f>
        <v>0.010793796668581275</v>
      </c>
      <c r="F6" s="3">
        <f>E6-D6/100</f>
        <v>-6.203331418725561e-06</v>
      </c>
      <c r="G6" s="3">
        <f>D6/17.41</f>
        <v>0.06203331418724871</v>
      </c>
      <c r="H6" s="2">
        <v>71.97</v>
      </c>
      <c r="I6" s="2">
        <v>72.44</v>
      </c>
      <c r="J6" s="2">
        <v>72.31999999999999</v>
      </c>
      <c r="K6" s="2">
        <v>73.15000000000001</v>
      </c>
      <c r="L6" s="2">
        <v>72.93000000000001</v>
      </c>
      <c r="M6" s="2">
        <v>72.66</v>
      </c>
      <c r="N6" s="2">
        <v>72.89</v>
      </c>
      <c r="O6" s="2">
        <v>73.19</v>
      </c>
      <c r="P6" s="2">
        <v>73.06999999999999</v>
      </c>
      <c r="Q6" s="2">
        <v>73.15000000000001</v>
      </c>
      <c r="R6" s="2">
        <v>73.17</v>
      </c>
      <c r="S6" s="2">
        <v>72.77</v>
      </c>
      <c r="T6" s="2">
        <v>72.94</v>
      </c>
      <c r="U6" s="2">
        <v>73.16</v>
      </c>
      <c r="V6" s="2">
        <v>73.28</v>
      </c>
      <c r="W6" s="2">
        <v>74.15000000000001</v>
      </c>
      <c r="X6" s="2">
        <v>73.91</v>
      </c>
      <c r="Y6" s="2">
        <v>73.59999999999999</v>
      </c>
      <c r="Z6" s="2">
        <v>74.06</v>
      </c>
      <c r="AA6" s="2">
        <v>74.48999999999999</v>
      </c>
      <c r="AB6" s="2">
        <v>74.48</v>
      </c>
      <c r="AC6" s="2">
        <v>74.98</v>
      </c>
      <c r="AD6" s="2">
        <v>75.63</v>
      </c>
      <c r="AE6" s="2">
        <v>76.37</v>
      </c>
      <c r="AF6" s="2">
        <v>77.09999999999999</v>
      </c>
      <c r="AG6" s="2">
        <v>76.97</v>
      </c>
      <c r="AH6" s="2">
        <v>77.52</v>
      </c>
      <c r="AI6" s="2">
        <v>78.33</v>
      </c>
      <c r="AJ6" s="2">
        <v>78.45999999999999</v>
      </c>
      <c r="AK6" s="2">
        <v>78.09</v>
      </c>
      <c r="AL6" s="2">
        <v>79.5</v>
      </c>
      <c r="AM6" s="2">
        <v>80.03</v>
      </c>
      <c r="AN6" s="2">
        <v>79.39</v>
      </c>
      <c r="AO6" s="2">
        <v>79.16</v>
      </c>
      <c r="AP6" s="2">
        <v>79.51000000000001</v>
      </c>
      <c r="AQ6" s="2">
        <v>79.36</v>
      </c>
      <c r="AR6" s="2">
        <v>79.39</v>
      </c>
      <c r="AS6" s="2">
        <v>79.17</v>
      </c>
      <c r="AT6" s="2">
        <v>79.31</v>
      </c>
      <c r="AU6" s="2">
        <v>80.17</v>
      </c>
      <c r="AV6" s="2">
        <v>79.48999999999999</v>
      </c>
      <c r="AW6" s="2">
        <v>78.93000000000001</v>
      </c>
      <c r="AX6" s="2">
        <v>79.3</v>
      </c>
      <c r="AY6" s="2">
        <v>79.3</v>
      </c>
      <c r="AZ6" s="2">
        <v>79.17</v>
      </c>
      <c r="BA6" s="2">
        <v>79.47</v>
      </c>
      <c r="BB6" s="2">
        <v>79.62</v>
      </c>
      <c r="BC6" s="2">
        <v>79.58</v>
      </c>
      <c r="BD6" s="2">
        <v>79.69</v>
      </c>
      <c r="BE6" s="2">
        <v>79.73</v>
      </c>
      <c r="BF6" s="2">
        <v>80.40000000000001</v>
      </c>
      <c r="BG6" s="2">
        <v>82.56</v>
      </c>
      <c r="BH6" s="2">
        <v>82.12</v>
      </c>
      <c r="BI6" s="2">
        <v>82.19</v>
      </c>
      <c r="BJ6" s="2">
        <v>83.11</v>
      </c>
      <c r="BK6" s="2">
        <v>83.69</v>
      </c>
      <c r="BL6" s="2">
        <v>83.2</v>
      </c>
      <c r="BM6" s="2">
        <v>83.81999999999999</v>
      </c>
      <c r="BN6" s="2">
        <v>87.13</v>
      </c>
      <c r="BO6" s="2">
        <v>89.25</v>
      </c>
      <c r="BP6" s="2">
        <v>90.48999999999999</v>
      </c>
      <c r="BQ6" s="2">
        <v>91.23999999999999</v>
      </c>
      <c r="BR6" s="2">
        <v>92.67</v>
      </c>
      <c r="BS6" s="2">
        <v>94.44</v>
      </c>
      <c r="BT6" s="2">
        <v>93.95</v>
      </c>
      <c r="BU6" s="2">
        <v>93.90000000000001</v>
      </c>
      <c r="BV6" s="2">
        <v>95.65000000000001</v>
      </c>
      <c r="BW6" s="2">
        <v>95.83</v>
      </c>
      <c r="BX6" s="2">
        <v>95.7</v>
      </c>
      <c r="BY6" s="2">
        <v>96.41</v>
      </c>
      <c r="BZ6" s="2">
        <v>98.23</v>
      </c>
      <c r="CA6" s="2">
        <v>98.25</v>
      </c>
      <c r="CB6" s="2">
        <v>97.73999999999999</v>
      </c>
      <c r="CC6" s="2">
        <v>98.40000000000001</v>
      </c>
      <c r="CD6" s="2">
        <v>98.29000000000001</v>
      </c>
      <c r="CE6" s="2">
        <v>99.34</v>
      </c>
      <c r="CF6" s="2">
        <v>98.68000000000001</v>
      </c>
      <c r="CG6" s="2">
        <v>97.89</v>
      </c>
      <c r="CH6" s="2">
        <v>98.47</v>
      </c>
      <c r="CI6" s="2">
        <v>98.45999999999999</v>
      </c>
      <c r="CJ6" s="2">
        <v>98.05</v>
      </c>
      <c r="CK6" s="2">
        <v>98.03</v>
      </c>
      <c r="CL6" s="2">
        <v>98.03</v>
      </c>
      <c r="CM6" s="2">
        <v>98.03</v>
      </c>
      <c r="CN6" s="2">
        <v>97.48999999999999</v>
      </c>
      <c r="CO6" s="2">
        <v>96.58</v>
      </c>
      <c r="CP6" s="2">
        <v>97.45</v>
      </c>
      <c r="CQ6" s="2">
        <v>98.36</v>
      </c>
      <c r="CR6" s="2">
        <v>98.27</v>
      </c>
      <c r="CS6" s="2">
        <v>97.56</v>
      </c>
      <c r="CT6" s="2">
        <v>98.52</v>
      </c>
      <c r="CU6" s="2">
        <v>98.56</v>
      </c>
      <c r="CV6" s="2">
        <v>98.13</v>
      </c>
      <c r="CW6" s="2">
        <v>98.3</v>
      </c>
      <c r="CX6" s="2">
        <v>98.25</v>
      </c>
      <c r="CY6" s="2">
        <v>99.31</v>
      </c>
      <c r="CZ6" s="2">
        <v>100</v>
      </c>
      <c r="DA6" s="2">
        <v>99.5</v>
      </c>
      <c r="DB6" s="2">
        <v>100.53</v>
      </c>
      <c r="DC6" s="2">
        <v>101.23</v>
      </c>
      <c r="DD6" s="2">
        <v>100.84</v>
      </c>
      <c r="DE6" s="2">
        <v>100.21</v>
      </c>
      <c r="DF6" s="2">
        <v>101.02</v>
      </c>
      <c r="DG6" s="2">
        <v>100.84</v>
      </c>
      <c r="DH6" s="2">
        <v>103.19</v>
      </c>
      <c r="DI6" s="2">
        <v>104.52</v>
      </c>
      <c r="DJ6" s="2">
        <v>104.78</v>
      </c>
      <c r="DK6" s="2">
        <v>1.3</v>
      </c>
      <c r="DL6" s="2">
        <v>1</v>
      </c>
      <c r="DM6" s="2">
        <v>1.3</v>
      </c>
      <c r="DN6" s="2">
        <v>1.4</v>
      </c>
      <c r="DO6" s="2">
        <v>1.3</v>
      </c>
      <c r="DP6" s="2">
        <v>1.3</v>
      </c>
      <c r="DQ6" s="2">
        <v>1.6</v>
      </c>
      <c r="DR6" s="2">
        <v>1.8</v>
      </c>
      <c r="DS6" s="2">
        <v>1.9</v>
      </c>
      <c r="DT6" s="2">
        <v>2.5</v>
      </c>
      <c r="DU6" s="2">
        <v>3.4</v>
      </c>
      <c r="DV6" s="2">
        <v>4.9</v>
      </c>
      <c r="DW6" s="2">
        <v>5.7</v>
      </c>
      <c r="DX6" s="2">
        <v>5.2</v>
      </c>
      <c r="DY6" s="2">
        <v>5.8</v>
      </c>
      <c r="DZ6" s="2">
        <v>5.6</v>
      </c>
      <c r="EA6" s="2">
        <v>6.2</v>
      </c>
      <c r="EB6" s="2">
        <v>6.1</v>
      </c>
      <c r="EC6" s="2">
        <v>7.3</v>
      </c>
      <c r="ED6" s="2">
        <v>7.4</v>
      </c>
      <c r="EE6" s="2">
        <v>6.6</v>
      </c>
      <c r="EF6" s="2">
        <v>5.6</v>
      </c>
      <c r="EG6" s="2">
        <v>5.1</v>
      </c>
      <c r="EH6" s="2">
        <v>3.9</v>
      </c>
      <c r="EI6" s="2">
        <v>3</v>
      </c>
      <c r="EJ6" s="2">
        <v>2.9</v>
      </c>
      <c r="EK6" s="2">
        <v>2.3</v>
      </c>
      <c r="EL6" s="2">
        <v>2.3</v>
      </c>
      <c r="EM6" s="2">
        <v>1.3</v>
      </c>
      <c r="EN6" s="2">
        <v>1.1</v>
      </c>
      <c r="EO6" s="2">
        <v>-0.3</v>
      </c>
      <c r="EP6" s="2">
        <v>-0.9</v>
      </c>
      <c r="EQ6" s="2">
        <v>-0.3</v>
      </c>
      <c r="ER6" s="2">
        <v>0.4</v>
      </c>
      <c r="ES6" s="2">
        <v>0.1</v>
      </c>
      <c r="ET6" s="2">
        <v>0.3</v>
      </c>
      <c r="EU6" s="2">
        <v>0.4</v>
      </c>
      <c r="EV6" s="2">
        <v>0.7</v>
      </c>
      <c r="EW6" s="2">
        <v>1.4</v>
      </c>
      <c r="EX6" s="2">
        <v>3</v>
      </c>
      <c r="EY6" s="2">
        <v>3.3</v>
      </c>
      <c r="EZ6" s="2">
        <v>4.1</v>
      </c>
      <c r="FA6" s="2">
        <v>4.8</v>
      </c>
      <c r="FB6" s="2">
        <v>5.5</v>
      </c>
      <c r="FC6" s="2">
        <v>5.1</v>
      </c>
      <c r="FD6" s="2">
        <v>5.5</v>
      </c>
      <c r="FE6" s="2">
        <v>9.4</v>
      </c>
      <c r="FF6" s="2">
        <v>12.2</v>
      </c>
      <c r="FG6" s="2">
        <v>13.6</v>
      </c>
      <c r="FH6" s="2">
        <v>14.4</v>
      </c>
      <c r="FI6" s="2">
        <v>15.3</v>
      </c>
      <c r="FJ6" s="2">
        <v>14.4</v>
      </c>
      <c r="FK6" s="2">
        <v>14.4</v>
      </c>
      <c r="FL6" s="2">
        <v>14.2</v>
      </c>
      <c r="FM6" s="2">
        <v>15.1</v>
      </c>
      <c r="FN6" s="2">
        <v>14.5</v>
      </c>
      <c r="FO6" s="2">
        <v>15</v>
      </c>
      <c r="FP6" s="2">
        <v>15</v>
      </c>
      <c r="FQ6" s="2">
        <v>12.7</v>
      </c>
      <c r="FR6" s="2">
        <v>10.1</v>
      </c>
      <c r="FS6" s="2">
        <v>8</v>
      </c>
      <c r="FT6" s="2">
        <v>7.8</v>
      </c>
      <c r="FU6" s="2">
        <v>6.1</v>
      </c>
      <c r="FV6" s="2">
        <v>5.2</v>
      </c>
      <c r="FW6" s="2">
        <v>5</v>
      </c>
      <c r="FX6" s="2">
        <v>4.2</v>
      </c>
      <c r="FY6" s="2">
        <v>2.9</v>
      </c>
      <c r="FZ6" s="2">
        <v>2.7</v>
      </c>
      <c r="GA6" s="2">
        <v>2.5</v>
      </c>
      <c r="GB6" s="2">
        <v>1.7</v>
      </c>
      <c r="GC6" s="2">
        <v>-0.2</v>
      </c>
      <c r="GD6" s="2">
        <v>-0.2</v>
      </c>
      <c r="GE6" s="2">
        <v>-0.3</v>
      </c>
      <c r="GF6" s="2">
        <v>-1.8</v>
      </c>
      <c r="GG6" s="2">
        <v>-0.9</v>
      </c>
      <c r="GH6" s="2">
        <v>-1</v>
      </c>
      <c r="GI6" s="2">
        <v>-0.4</v>
      </c>
      <c r="GJ6" s="2">
        <v>-0.3</v>
      </c>
      <c r="GK6" s="2">
        <v>0.1</v>
      </c>
      <c r="GL6" s="2">
        <v>0.1</v>
      </c>
      <c r="GM6" s="2">
        <v>0.1</v>
      </c>
      <c r="GN6" s="2">
        <v>0.3</v>
      </c>
      <c r="GO6" s="2">
        <v>0.2</v>
      </c>
      <c r="GP6" s="2">
        <v>1.3</v>
      </c>
      <c r="GQ6" s="2">
        <v>2.6</v>
      </c>
      <c r="GR6" s="2">
        <v>3</v>
      </c>
      <c r="GS6" s="2">
        <v>3.2</v>
      </c>
      <c r="GT6" s="2">
        <v>2.9</v>
      </c>
      <c r="GU6" s="2">
        <v>2.6</v>
      </c>
      <c r="GV6" s="2">
        <v>2.7</v>
      </c>
      <c r="GW6" s="2">
        <v>2.5</v>
      </c>
      <c r="GX6" s="2">
        <v>2.3</v>
      </c>
      <c r="GY6" s="2">
        <v>5.2</v>
      </c>
      <c r="GZ6" s="2">
        <v>6.3</v>
      </c>
      <c r="HA6" s="2">
        <v>6.6</v>
      </c>
      <c r="HB6" s="2">
        <v>0.7</v>
      </c>
      <c r="HC6" s="2">
        <v>-0.2</v>
      </c>
      <c r="HD6" s="2">
        <v>1.1</v>
      </c>
      <c r="HE6" s="2">
        <v>-0.3</v>
      </c>
      <c r="HF6" s="2">
        <v>-0.4</v>
      </c>
      <c r="HG6" s="2">
        <v>0.3</v>
      </c>
      <c r="HH6" s="2">
        <v>0.4</v>
      </c>
      <c r="HI6" s="2">
        <v>-0.2</v>
      </c>
      <c r="HJ6" s="2">
        <v>0.1</v>
      </c>
      <c r="HK6" s="2">
        <v>0</v>
      </c>
      <c r="HL6" s="2">
        <v>-0.5</v>
      </c>
      <c r="HM6" s="2">
        <v>0.2</v>
      </c>
      <c r="HN6" s="2">
        <v>0.3</v>
      </c>
      <c r="HO6" s="2">
        <v>0.2</v>
      </c>
      <c r="HP6" s="2">
        <v>1.2</v>
      </c>
      <c r="HQ6" s="2">
        <v>-0.3</v>
      </c>
      <c r="HR6" s="2">
        <v>-0.4</v>
      </c>
      <c r="HS6" s="2">
        <v>0.6</v>
      </c>
      <c r="HT6" s="2">
        <v>0.6</v>
      </c>
      <c r="HU6" s="2">
        <v>0</v>
      </c>
      <c r="HV6" s="2">
        <v>0.7</v>
      </c>
      <c r="HW6" s="2">
        <v>0.9</v>
      </c>
      <c r="HX6" s="2">
        <v>1</v>
      </c>
      <c r="HY6" s="2">
        <v>1</v>
      </c>
      <c r="HZ6" s="2">
        <v>-0.2</v>
      </c>
      <c r="IA6" s="2">
        <v>0.7</v>
      </c>
      <c r="IB6" s="2">
        <v>1</v>
      </c>
      <c r="IC6" s="2">
        <v>0.2</v>
      </c>
      <c r="ID6" s="2">
        <v>-0.5</v>
      </c>
      <c r="IE6" s="2">
        <v>1.8</v>
      </c>
      <c r="IF6" s="2">
        <v>0.7</v>
      </c>
      <c r="IG6" s="2">
        <v>-0.8</v>
      </c>
      <c r="IH6" s="2">
        <v>-0.3</v>
      </c>
      <c r="II6" s="2">
        <v>0.4</v>
      </c>
      <c r="IJ6" s="2">
        <v>-0.2</v>
      </c>
      <c r="IK6" s="2">
        <v>0</v>
      </c>
      <c r="IL6" s="2">
        <v>-0.3</v>
      </c>
      <c r="IM6" s="2">
        <v>0.2</v>
      </c>
      <c r="IN6" s="2">
        <v>1.1</v>
      </c>
      <c r="IO6" s="2">
        <v>-0.8</v>
      </c>
      <c r="IP6" s="2">
        <v>-0.7</v>
      </c>
      <c r="IQ6" s="2">
        <v>0.5</v>
      </c>
      <c r="IR6" s="2">
        <v>0</v>
      </c>
      <c r="IS6" s="2">
        <v>-0.2</v>
      </c>
      <c r="IT6" s="2">
        <v>0.4</v>
      </c>
      <c r="IU6" s="2">
        <v>0.2</v>
      </c>
      <c r="IV6" s="2">
        <v>-0.1</v>
      </c>
      <c r="IW6" s="2">
        <v>0.1</v>
      </c>
      <c r="IX6" s="2">
        <v>0.1</v>
      </c>
      <c r="IY6" s="2">
        <v>0.8</v>
      </c>
      <c r="IZ6" s="2">
        <v>2.7</v>
      </c>
      <c r="JA6" s="2">
        <v>-0.5</v>
      </c>
      <c r="JB6" s="2">
        <v>0.1</v>
      </c>
      <c r="JC6" s="2">
        <v>1.1</v>
      </c>
      <c r="JD6" s="2">
        <v>0.7</v>
      </c>
      <c r="JE6" s="2">
        <v>-0.6</v>
      </c>
      <c r="JF6" s="2">
        <v>0.7</v>
      </c>
      <c r="JG6" s="2">
        <v>3.9</v>
      </c>
      <c r="JH6" s="2">
        <v>2.4</v>
      </c>
      <c r="JI6" s="2">
        <v>1.4</v>
      </c>
      <c r="JJ6" s="2">
        <v>0.8</v>
      </c>
      <c r="JK6" s="2">
        <v>1.6</v>
      </c>
      <c r="JL6" s="2">
        <v>1.9</v>
      </c>
      <c r="JM6" s="2">
        <v>-0.5</v>
      </c>
      <c r="JN6" s="2">
        <v>-0.1</v>
      </c>
      <c r="JO6" s="2">
        <v>1.9</v>
      </c>
      <c r="JP6" s="2">
        <v>0.2</v>
      </c>
      <c r="JQ6" s="2">
        <v>-0.1</v>
      </c>
      <c r="JR6" s="2">
        <v>0.7</v>
      </c>
      <c r="JS6" s="2">
        <v>1.9</v>
      </c>
      <c r="JT6" s="2">
        <v>0</v>
      </c>
      <c r="JU6" s="2">
        <v>-0.5</v>
      </c>
      <c r="JV6" s="2">
        <v>0.7</v>
      </c>
      <c r="JW6" s="2">
        <v>-0.1</v>
      </c>
      <c r="JX6" s="2">
        <v>1.1</v>
      </c>
      <c r="JY6" s="2">
        <v>-0.7</v>
      </c>
      <c r="JZ6" s="2">
        <v>-0.8</v>
      </c>
      <c r="KA6" s="2">
        <v>0.6</v>
      </c>
      <c r="KB6" s="2">
        <v>0</v>
      </c>
      <c r="KC6" s="2">
        <v>-0.4</v>
      </c>
      <c r="KD6" s="2">
        <v>0</v>
      </c>
      <c r="KE6" s="2">
        <v>0</v>
      </c>
      <c r="KF6" s="2">
        <v>0</v>
      </c>
      <c r="KG6" s="2">
        <v>-0.6</v>
      </c>
      <c r="KH6" s="2">
        <v>-0.9</v>
      </c>
      <c r="KI6" s="2">
        <v>0.9</v>
      </c>
      <c r="KJ6" s="2">
        <v>0.9</v>
      </c>
      <c r="KK6" s="2">
        <v>-0.1</v>
      </c>
      <c r="KL6" s="2">
        <v>-0.7</v>
      </c>
      <c r="KM6" s="2">
        <v>1</v>
      </c>
      <c r="KN6" s="2">
        <v>0</v>
      </c>
      <c r="KO6" s="2">
        <v>-0.4</v>
      </c>
      <c r="KP6" s="2">
        <v>0.2</v>
      </c>
      <c r="KQ6" s="2">
        <v>-0.1</v>
      </c>
      <c r="KR6" s="2">
        <v>1.1</v>
      </c>
      <c r="KS6" s="2">
        <v>0.7</v>
      </c>
      <c r="KT6" s="2">
        <v>-0.5</v>
      </c>
      <c r="KU6" s="2">
        <v>1</v>
      </c>
      <c r="KV6" s="2">
        <v>0.7</v>
      </c>
      <c r="KW6" s="2">
        <v>-0.4</v>
      </c>
      <c r="KX6" s="2">
        <v>-0.6</v>
      </c>
      <c r="KY6" s="2">
        <v>0.8</v>
      </c>
      <c r="KZ6" s="2">
        <v>-0.2</v>
      </c>
      <c r="LA6" s="2">
        <v>2.3</v>
      </c>
      <c r="LB6" s="2">
        <v>1.3</v>
      </c>
      <c r="LC6" s="2">
        <v>0.2</v>
      </c>
      <c r="LD6" s="2">
        <v>1.05</v>
      </c>
      <c r="LE6" s="2">
        <v>1.05</v>
      </c>
      <c r="LF6" s="2">
        <v>1.04</v>
      </c>
      <c r="LG6" s="2">
        <v>1.05</v>
      </c>
      <c r="LH6" s="2">
        <v>1.05</v>
      </c>
      <c r="LI6" s="2">
        <v>1.05</v>
      </c>
      <c r="LJ6" s="2">
        <v>1.05</v>
      </c>
      <c r="LK6" s="2">
        <v>1.05</v>
      </c>
      <c r="LL6" s="2">
        <v>1.06</v>
      </c>
      <c r="LM6" s="2">
        <v>1.07</v>
      </c>
      <c r="LN6" s="2">
        <v>1.06</v>
      </c>
      <c r="LO6" s="2">
        <v>1.07</v>
      </c>
      <c r="LP6" s="2">
        <v>1.08</v>
      </c>
      <c r="LQ6" s="2">
        <v>1.08</v>
      </c>
      <c r="LR6" s="2">
        <v>1.07</v>
      </c>
      <c r="LS6" s="2">
        <v>1.08</v>
      </c>
      <c r="LT6" s="2">
        <v>1.08</v>
      </c>
      <c r="LU6" s="2">
        <v>1.1</v>
      </c>
      <c r="LV6" s="2">
        <v>1.12</v>
      </c>
      <c r="LW6" s="2">
        <v>1.12</v>
      </c>
      <c r="LX6" s="2">
        <v>0</v>
      </c>
      <c r="LY6" s="2">
        <v>-0.01</v>
      </c>
      <c r="LZ6" s="2">
        <v>0.01</v>
      </c>
      <c r="MA6" s="2">
        <v>0</v>
      </c>
      <c r="MB6" s="2">
        <v>0</v>
      </c>
      <c r="MC6" s="2">
        <v>0</v>
      </c>
      <c r="MD6" s="2">
        <v>0</v>
      </c>
      <c r="ME6" s="2">
        <v>0.01</v>
      </c>
      <c r="MF6" s="2">
        <v>0.01</v>
      </c>
      <c r="MG6" s="2">
        <v>-0.01</v>
      </c>
      <c r="MH6" s="2">
        <v>0.01</v>
      </c>
      <c r="MI6" s="2">
        <v>0.01</v>
      </c>
      <c r="MJ6" s="2">
        <v>0</v>
      </c>
      <c r="MK6" s="2">
        <v>-0.01</v>
      </c>
      <c r="ML6" s="2">
        <v>0.01</v>
      </c>
      <c r="MM6" s="2">
        <v>0</v>
      </c>
      <c r="MN6" s="2">
        <v>0.02</v>
      </c>
      <c r="MO6" s="2">
        <v>0.02</v>
      </c>
      <c r="MP6" s="2">
        <v>0</v>
      </c>
      <c r="QI6" s="2">
        <v>9.15</v>
      </c>
      <c r="QJ6" s="2">
        <v>9.19</v>
      </c>
      <c r="QK6" s="2">
        <v>9.380000000000001</v>
      </c>
      <c r="QL6" s="2">
        <v>9.609999999999999</v>
      </c>
      <c r="QM6" s="2">
        <v>9.76</v>
      </c>
      <c r="QN6" s="2">
        <v>10.07</v>
      </c>
      <c r="QO6" s="2">
        <v>10.3</v>
      </c>
      <c r="QP6" s="2">
        <v>10.6</v>
      </c>
      <c r="QQ6" s="2">
        <v>11.21</v>
      </c>
      <c r="QR6" s="2">
        <v>11.9</v>
      </c>
      <c r="QS6" s="2">
        <v>12.43</v>
      </c>
      <c r="QT6" s="2">
        <v>12.7</v>
      </c>
      <c r="QU6" s="2">
        <v>13.04</v>
      </c>
      <c r="QV6" s="2">
        <v>13.23</v>
      </c>
      <c r="QW6" s="2">
        <v>13.73</v>
      </c>
      <c r="QX6" s="2">
        <v>13.84</v>
      </c>
      <c r="QY6" s="2">
        <v>14</v>
      </c>
      <c r="QZ6" s="2">
        <v>14.11</v>
      </c>
      <c r="RA6" s="2">
        <v>14.61</v>
      </c>
      <c r="RB6" s="2">
        <v>15.03</v>
      </c>
      <c r="RC6" s="2">
        <v>15.33</v>
      </c>
      <c r="RD6" s="2">
        <v>16.09</v>
      </c>
      <c r="RE6" s="2">
        <v>16.28</v>
      </c>
      <c r="RF6" s="2">
        <v>16.4</v>
      </c>
      <c r="RG6" s="2">
        <v>16.59</v>
      </c>
      <c r="RH6" s="2">
        <v>17.2</v>
      </c>
      <c r="RI6" s="2">
        <v>17.35</v>
      </c>
      <c r="RJ6" s="2">
        <v>17.66</v>
      </c>
      <c r="RK6" s="2">
        <v>17.85</v>
      </c>
      <c r="RL6" s="2">
        <v>18.23</v>
      </c>
      <c r="RM6" s="2">
        <v>18.57</v>
      </c>
      <c r="RN6" s="2">
        <v>19.34</v>
      </c>
      <c r="RO6" s="2">
        <v>19.79</v>
      </c>
      <c r="RP6" s="2">
        <v>20.75</v>
      </c>
      <c r="RQ6" s="2">
        <v>21.32</v>
      </c>
      <c r="RR6" s="2">
        <v>21.93</v>
      </c>
      <c r="RS6" s="2">
        <v>22.54</v>
      </c>
      <c r="RT6" s="2">
        <v>23.34</v>
      </c>
      <c r="RU6" s="2">
        <v>24.41</v>
      </c>
      <c r="RV6" s="2">
        <v>25.09</v>
      </c>
      <c r="RW6" s="2">
        <v>25.9</v>
      </c>
      <c r="RX6" s="2">
        <v>26.54</v>
      </c>
      <c r="RY6" s="2">
        <v>26.89</v>
      </c>
      <c r="RZ6" s="2">
        <v>27.31</v>
      </c>
      <c r="SA6" s="2">
        <v>27.46</v>
      </c>
      <c r="SB6" s="2">
        <v>28.03</v>
      </c>
      <c r="SC6" s="2">
        <v>28.18</v>
      </c>
      <c r="SD6" s="2">
        <v>28.15</v>
      </c>
      <c r="SE6" s="2">
        <v>28.11</v>
      </c>
      <c r="SF6" s="2">
        <v>27.99</v>
      </c>
      <c r="SG6" s="2">
        <v>28.53</v>
      </c>
      <c r="SH6" s="2">
        <v>29.14</v>
      </c>
      <c r="SI6" s="2">
        <v>29.33</v>
      </c>
      <c r="SJ6" s="2">
        <v>29.75</v>
      </c>
      <c r="SK6" s="2">
        <v>30.2</v>
      </c>
      <c r="SL6" s="2">
        <v>30.78</v>
      </c>
      <c r="SM6" s="2">
        <v>31.46</v>
      </c>
      <c r="SN6" s="2">
        <v>31.31</v>
      </c>
      <c r="SO6" s="2">
        <v>31.88</v>
      </c>
      <c r="SP6" s="2">
        <v>32.11</v>
      </c>
      <c r="SQ6" s="2">
        <v>32.76</v>
      </c>
      <c r="SR6" s="2">
        <v>33.37</v>
      </c>
      <c r="SS6" s="2">
        <v>33.83</v>
      </c>
      <c r="ST6" s="2">
        <v>34.29</v>
      </c>
      <c r="SU6" s="2">
        <v>34.63</v>
      </c>
      <c r="SV6" s="2">
        <v>35.58</v>
      </c>
      <c r="SW6" s="2">
        <v>36.19</v>
      </c>
      <c r="SX6" s="2">
        <v>36.57</v>
      </c>
      <c r="SY6" s="2">
        <v>36.76</v>
      </c>
      <c r="SZ6" s="2">
        <v>37.79</v>
      </c>
      <c r="TA6" s="2">
        <v>38.63</v>
      </c>
      <c r="TB6" s="2">
        <v>39.32</v>
      </c>
      <c r="TC6" s="2">
        <v>39.32</v>
      </c>
      <c r="TD6" s="2">
        <v>39.97</v>
      </c>
      <c r="TE6" s="2">
        <v>40.35</v>
      </c>
      <c r="TF6" s="2">
        <v>40.54</v>
      </c>
      <c r="TG6" s="2">
        <v>41.45</v>
      </c>
      <c r="TH6" s="2">
        <v>41.42</v>
      </c>
      <c r="TI6" s="2">
        <v>41.87</v>
      </c>
      <c r="TJ6" s="2">
        <v>42.07</v>
      </c>
      <c r="TK6" s="2">
        <v>42.6</v>
      </c>
      <c r="TL6" s="2">
        <v>42.52</v>
      </c>
      <c r="TM6" s="2">
        <v>42.71</v>
      </c>
      <c r="TN6" s="2">
        <v>43.4</v>
      </c>
      <c r="TO6" s="2">
        <v>43.59</v>
      </c>
      <c r="TP6" s="2">
        <v>44.09</v>
      </c>
      <c r="TQ6" s="2">
        <v>44.39</v>
      </c>
      <c r="TR6" s="2">
        <v>44.47</v>
      </c>
      <c r="TS6" s="2">
        <v>44.96</v>
      </c>
      <c r="TT6" s="2">
        <v>45.19</v>
      </c>
      <c r="TU6" s="2">
        <v>45.38</v>
      </c>
      <c r="TV6" s="2">
        <v>45.96</v>
      </c>
      <c r="TW6" s="2">
        <v>46.64</v>
      </c>
      <c r="TX6" s="2">
        <v>47.14</v>
      </c>
      <c r="TY6" s="2">
        <v>47.71</v>
      </c>
      <c r="TZ6" s="2">
        <v>48.36</v>
      </c>
      <c r="UA6" s="2">
        <v>48.82</v>
      </c>
      <c r="UB6" s="2">
        <v>49.23</v>
      </c>
      <c r="UC6" s="2">
        <v>50</v>
      </c>
      <c r="UD6" s="2">
        <v>50.23</v>
      </c>
      <c r="UE6" s="2">
        <v>50.3</v>
      </c>
      <c r="UF6" s="2">
        <v>50.46</v>
      </c>
      <c r="UG6" s="2">
        <v>51.1</v>
      </c>
      <c r="UH6" s="2">
        <v>51.14</v>
      </c>
      <c r="UI6" s="2">
        <v>51.31</v>
      </c>
      <c r="UJ6" s="2">
        <v>51.39</v>
      </c>
      <c r="UK6" s="2">
        <v>52.36</v>
      </c>
      <c r="UL6" s="2">
        <v>52.8</v>
      </c>
      <c r="UM6" s="2">
        <v>53.05</v>
      </c>
      <c r="UN6" s="2">
        <v>53.91</v>
      </c>
      <c r="UO6" s="2">
        <v>54.38</v>
      </c>
      <c r="UP6" s="2">
        <v>55.17</v>
      </c>
      <c r="UQ6" s="2">
        <v>54.26</v>
      </c>
      <c r="UR6" s="2">
        <v>53.83</v>
      </c>
      <c r="US6" s="2">
        <v>54.31</v>
      </c>
      <c r="UT6" s="2">
        <v>54.7</v>
      </c>
      <c r="UU6" s="2">
        <v>55.91</v>
      </c>
      <c r="UV6" s="2">
        <v>58.07</v>
      </c>
      <c r="UW6" s="2">
        <v>58.15</v>
      </c>
      <c r="UX6" s="2">
        <v>58.34</v>
      </c>
      <c r="UY6" s="2">
        <v>58.91</v>
      </c>
      <c r="UZ6" s="2">
        <v>60.13</v>
      </c>
      <c r="VA6" s="2">
        <v>60.33</v>
      </c>
      <c r="VB6" s="2">
        <v>60.56</v>
      </c>
      <c r="VC6" s="2">
        <v>60.38</v>
      </c>
      <c r="VD6" s="2">
        <v>60.49</v>
      </c>
      <c r="VE6" s="2">
        <v>60.92</v>
      </c>
      <c r="VF6" s="2">
        <v>61.51</v>
      </c>
      <c r="VG6" s="2">
        <v>61.75</v>
      </c>
      <c r="VH6" s="2">
        <v>62.17</v>
      </c>
      <c r="VI6" s="2">
        <v>63.15</v>
      </c>
      <c r="VJ6" s="2">
        <v>64.23999999999999</v>
      </c>
      <c r="VK6" s="2">
        <v>64.34</v>
      </c>
      <c r="VL6" s="2">
        <v>65.56</v>
      </c>
      <c r="VM6" s="2">
        <v>66.14</v>
      </c>
      <c r="VN6" s="2">
        <v>66.81999999999999</v>
      </c>
      <c r="VO6" s="2">
        <v>67.39</v>
      </c>
      <c r="VP6" s="2">
        <v>68.15000000000001</v>
      </c>
      <c r="VQ6" s="2">
        <v>68.89</v>
      </c>
      <c r="VR6" s="2">
        <v>69.67</v>
      </c>
      <c r="VS6" s="2">
        <v>71.12</v>
      </c>
      <c r="VT6" s="2">
        <v>74.31999999999999</v>
      </c>
      <c r="VU6" s="2">
        <v>75.97</v>
      </c>
      <c r="VV6" s="2">
        <v>78.09</v>
      </c>
      <c r="VW6" s="2">
        <v>79.19</v>
      </c>
      <c r="VX6" s="2">
        <v>80.19</v>
      </c>
      <c r="VY6" s="2">
        <v>80.48999999999999</v>
      </c>
      <c r="VZ6" s="2">
        <v>79.43000000000001</v>
      </c>
      <c r="WA6" s="2">
        <v>78.75</v>
      </c>
      <c r="WB6" s="2">
        <v>79.38</v>
      </c>
      <c r="WC6" s="2">
        <v>78.65000000000001</v>
      </c>
      <c r="WD6" s="2">
        <v>79.44</v>
      </c>
      <c r="WE6" s="2">
        <v>78.81</v>
      </c>
      <c r="WF6" s="2">
        <v>79.37</v>
      </c>
      <c r="WG6" s="2">
        <v>77.22</v>
      </c>
      <c r="WH6" s="2">
        <v>75.78</v>
      </c>
      <c r="WI6" s="2">
        <v>75.8</v>
      </c>
      <c r="WJ6" s="2">
        <v>75.66</v>
      </c>
      <c r="WK6" s="2">
        <v>75.48999999999999</v>
      </c>
      <c r="WL6" s="2">
        <v>75.22</v>
      </c>
      <c r="WM6" s="2">
        <v>76</v>
      </c>
      <c r="WN6" s="2">
        <v>74.84999999999999</v>
      </c>
      <c r="WO6" s="2">
        <v>74.04000000000001</v>
      </c>
      <c r="WP6" s="2">
        <v>73.27</v>
      </c>
      <c r="WQ6" s="2">
        <v>74.20999999999999</v>
      </c>
      <c r="WR6" s="2">
        <v>74.58</v>
      </c>
      <c r="WS6" s="2">
        <v>74.53</v>
      </c>
      <c r="WT6" s="2">
        <v>75.59</v>
      </c>
      <c r="WU6" s="2">
        <v>76.29000000000001</v>
      </c>
      <c r="WV6" s="2">
        <v>75.73</v>
      </c>
      <c r="WW6" s="2">
        <v>76.47</v>
      </c>
      <c r="WX6" s="2">
        <v>75.78</v>
      </c>
      <c r="WY6" s="2">
        <v>75.45999999999999</v>
      </c>
      <c r="WZ6" s="2">
        <v>74.58</v>
      </c>
      <c r="XA6" s="2">
        <v>74.38</v>
      </c>
      <c r="XB6" s="2">
        <v>74.77</v>
      </c>
      <c r="XC6" s="2">
        <v>74.18000000000001</v>
      </c>
      <c r="XD6" s="2">
        <v>73.63</v>
      </c>
      <c r="XE6" s="2">
        <v>73.38</v>
      </c>
      <c r="XF6" s="2">
        <v>73.2</v>
      </c>
      <c r="XG6" s="2">
        <v>73.02</v>
      </c>
      <c r="XH6" s="2">
        <v>73.40000000000001</v>
      </c>
      <c r="XI6" s="2">
        <v>73.48</v>
      </c>
      <c r="XJ6" s="2">
        <v>73.94</v>
      </c>
      <c r="XK6" s="2">
        <v>73.63</v>
      </c>
      <c r="XL6" s="2">
        <v>74.27</v>
      </c>
      <c r="XM6" s="2">
        <v>74.44</v>
      </c>
      <c r="XN6" s="2">
        <v>75.23999999999999</v>
      </c>
      <c r="XO6" s="2">
        <v>76.92</v>
      </c>
      <c r="XP6" s="2">
        <v>77.90000000000001</v>
      </c>
      <c r="XQ6" s="2">
        <v>78.73</v>
      </c>
      <c r="XR6" s="2">
        <v>79.52</v>
      </c>
      <c r="XS6" s="2">
        <v>79.34999999999999</v>
      </c>
      <c r="XT6" s="2">
        <v>79.31</v>
      </c>
      <c r="XU6" s="2">
        <v>79.02</v>
      </c>
      <c r="XV6" s="2">
        <v>79.13</v>
      </c>
      <c r="XW6" s="2">
        <v>79.41</v>
      </c>
      <c r="XX6" s="2">
        <v>80.73999999999999</v>
      </c>
      <c r="XY6" s="2">
        <v>82.26000000000001</v>
      </c>
      <c r="XZ6" s="2">
        <v>83.31999999999999</v>
      </c>
      <c r="YA6" s="2">
        <v>88.95999999999999</v>
      </c>
      <c r="YB6" s="2">
        <v>92.78</v>
      </c>
      <c r="YC6" s="2">
        <v>94.5</v>
      </c>
      <c r="YD6" s="2">
        <v>95.98</v>
      </c>
      <c r="YE6" s="2">
        <v>98.08</v>
      </c>
      <c r="YF6" s="2">
        <v>98.68000000000001</v>
      </c>
      <c r="YG6" s="2">
        <v>98.34</v>
      </c>
      <c r="YH6" s="2">
        <v>98.18000000000001</v>
      </c>
      <c r="YI6" s="2">
        <v>97.84999999999999</v>
      </c>
      <c r="YJ6" s="2">
        <v>97.45999999999999</v>
      </c>
      <c r="YK6" s="2">
        <v>98.12</v>
      </c>
      <c r="YL6" s="2">
        <v>98.33</v>
      </c>
      <c r="YM6" s="2">
        <v>99.19</v>
      </c>
      <c r="YN6" s="2">
        <v>100.42</v>
      </c>
      <c r="YO6" s="2">
        <v>100.69</v>
      </c>
      <c r="YP6" s="2">
        <v>102.85</v>
      </c>
      <c r="ACI6" s="2">
        <v>0.4</v>
      </c>
      <c r="ACJ6" s="2">
        <v>2.1</v>
      </c>
      <c r="ACK6" s="2">
        <v>2.5</v>
      </c>
      <c r="ACL6" s="2">
        <v>1.6</v>
      </c>
      <c r="ACM6" s="2">
        <v>3.2</v>
      </c>
      <c r="ACN6" s="2">
        <v>2.3</v>
      </c>
      <c r="ACO6" s="2">
        <v>2.9</v>
      </c>
      <c r="ACP6" s="2">
        <v>5.8</v>
      </c>
      <c r="ACQ6" s="2">
        <v>6.2</v>
      </c>
      <c r="ACR6" s="2">
        <v>4.5</v>
      </c>
      <c r="ACS6" s="2">
        <v>2.2</v>
      </c>
      <c r="ACT6" s="2">
        <v>2.7</v>
      </c>
      <c r="ACU6" s="2">
        <v>1.5</v>
      </c>
      <c r="ACV6" s="2">
        <v>3.8</v>
      </c>
      <c r="ACW6" s="2">
        <v>0.8</v>
      </c>
      <c r="ACX6" s="2">
        <v>1.2</v>
      </c>
      <c r="ACY6" s="2">
        <v>0.8</v>
      </c>
      <c r="ACZ6" s="2">
        <v>3.5</v>
      </c>
      <c r="ADA6" s="2">
        <v>2.9</v>
      </c>
      <c r="ADB6" s="2">
        <v>2</v>
      </c>
      <c r="ADC6" s="2">
        <v>5</v>
      </c>
      <c r="ADD6" s="2">
        <v>1.2</v>
      </c>
      <c r="ADE6" s="2">
        <v>0.7</v>
      </c>
      <c r="ADF6" s="2">
        <v>1.2</v>
      </c>
      <c r="ADG6" s="2">
        <v>3.7</v>
      </c>
      <c r="ADH6" s="2">
        <v>0.9</v>
      </c>
      <c r="ADI6" s="2">
        <v>1.8</v>
      </c>
      <c r="ADJ6" s="2">
        <v>1.1</v>
      </c>
      <c r="ADK6" s="2">
        <v>2.1</v>
      </c>
      <c r="ADL6" s="2">
        <v>1.9</v>
      </c>
      <c r="ADM6" s="2">
        <v>4.1</v>
      </c>
      <c r="ADN6" s="2">
        <v>2.3</v>
      </c>
      <c r="ADO6" s="2">
        <v>4.9</v>
      </c>
      <c r="ADP6" s="2">
        <v>2.7</v>
      </c>
      <c r="ADQ6" s="2">
        <v>2.9</v>
      </c>
      <c r="ADR6" s="2">
        <v>2.8</v>
      </c>
      <c r="ADS6" s="2">
        <v>3.5</v>
      </c>
      <c r="ADT6" s="2">
        <v>4.6</v>
      </c>
      <c r="ADU6" s="2">
        <v>2.8</v>
      </c>
      <c r="ADV6" s="2">
        <v>3.2</v>
      </c>
      <c r="ADW6" s="2">
        <v>2.5</v>
      </c>
      <c r="ADX6" s="2">
        <v>1.3</v>
      </c>
      <c r="ADY6" s="2">
        <v>1.6</v>
      </c>
      <c r="ADZ6" s="2">
        <v>0.5</v>
      </c>
      <c r="AEA6" s="2">
        <v>2.1</v>
      </c>
      <c r="AEB6" s="2">
        <v>0.5</v>
      </c>
      <c r="AEC6" s="2">
        <v>-0.1</v>
      </c>
      <c r="AED6" s="2">
        <v>-0.1</v>
      </c>
      <c r="AEE6" s="2">
        <v>-0.4</v>
      </c>
      <c r="AEF6" s="2">
        <v>1.9</v>
      </c>
      <c r="AEG6" s="2">
        <v>2.1</v>
      </c>
      <c r="AEH6" s="2">
        <v>0.7</v>
      </c>
      <c r="AEI6" s="2">
        <v>1.4</v>
      </c>
      <c r="AEJ6" s="2">
        <v>1.5</v>
      </c>
      <c r="AEK6" s="2">
        <v>1.9</v>
      </c>
      <c r="AEL6" s="2">
        <v>2.2</v>
      </c>
      <c r="AEM6" s="2">
        <v>-0.5</v>
      </c>
      <c r="AEN6" s="2">
        <v>1.8</v>
      </c>
      <c r="AEO6" s="2">
        <v>0.7</v>
      </c>
      <c r="AEP6" s="2">
        <v>2</v>
      </c>
      <c r="AEQ6" s="2">
        <v>1.9</v>
      </c>
      <c r="AER6" s="2">
        <v>1.4</v>
      </c>
      <c r="AES6" s="2">
        <v>1.4</v>
      </c>
      <c r="AET6" s="2">
        <v>1</v>
      </c>
      <c r="AEU6" s="2">
        <v>2.7</v>
      </c>
      <c r="AEV6" s="2">
        <v>1.7</v>
      </c>
      <c r="AEW6" s="2">
        <v>1.1</v>
      </c>
      <c r="AEX6" s="2">
        <v>0.5</v>
      </c>
      <c r="AEY6" s="2">
        <v>2.8</v>
      </c>
      <c r="AEZ6" s="2">
        <v>2.2</v>
      </c>
      <c r="AFA6" s="2">
        <v>1.8</v>
      </c>
      <c r="AFB6" s="2">
        <v>0</v>
      </c>
      <c r="AFC6" s="2">
        <v>1.7</v>
      </c>
      <c r="AFD6" s="2">
        <v>1</v>
      </c>
      <c r="AFE6" s="2">
        <v>0.5</v>
      </c>
      <c r="AFF6" s="2">
        <v>2.2</v>
      </c>
      <c r="AFG6" s="2">
        <v>-0.1</v>
      </c>
      <c r="AFH6" s="2">
        <v>1.1</v>
      </c>
      <c r="AFI6" s="2">
        <v>0.5</v>
      </c>
      <c r="AFJ6" s="2">
        <v>1.3</v>
      </c>
      <c r="AFK6" s="2">
        <v>-0.2</v>
      </c>
      <c r="AFL6" s="2">
        <v>0.4</v>
      </c>
      <c r="AFM6" s="2">
        <v>1.6</v>
      </c>
      <c r="AFN6" s="2">
        <v>0.4</v>
      </c>
      <c r="AFO6" s="2">
        <v>1.1</v>
      </c>
      <c r="AFP6" s="2">
        <v>0.7</v>
      </c>
      <c r="AFQ6" s="2">
        <v>0.2</v>
      </c>
      <c r="AFR6" s="2">
        <v>1.1</v>
      </c>
      <c r="AFS6" s="2">
        <v>0.5</v>
      </c>
      <c r="AFT6" s="2">
        <v>0.4</v>
      </c>
      <c r="AFU6" s="2">
        <v>1.3</v>
      </c>
      <c r="AFV6" s="2">
        <v>1.5</v>
      </c>
      <c r="AFW6" s="2">
        <v>1.1</v>
      </c>
      <c r="AFX6" s="2">
        <v>1.2</v>
      </c>
      <c r="AFY6" s="2">
        <v>1.4</v>
      </c>
      <c r="AFZ6" s="2">
        <v>1</v>
      </c>
      <c r="AGA6" s="2">
        <v>0.8</v>
      </c>
      <c r="AGB6" s="2">
        <v>1.6</v>
      </c>
      <c r="AGC6" s="2">
        <v>0.5</v>
      </c>
      <c r="AGD6" s="2">
        <v>0.1</v>
      </c>
      <c r="AGE6" s="2">
        <v>0.3</v>
      </c>
      <c r="AGF6" s="2">
        <v>1.3</v>
      </c>
      <c r="AGG6" s="2">
        <v>0.1</v>
      </c>
      <c r="AGH6" s="2">
        <v>0.3</v>
      </c>
      <c r="AGI6" s="2">
        <v>0.2</v>
      </c>
      <c r="AGJ6" s="2">
        <v>1.9</v>
      </c>
      <c r="AGK6" s="2">
        <v>0.8</v>
      </c>
      <c r="AGL6" s="2">
        <v>0.5</v>
      </c>
      <c r="AGM6" s="2">
        <v>1.6</v>
      </c>
      <c r="AGN6" s="2">
        <v>0.9</v>
      </c>
      <c r="AGO6" s="2">
        <v>1.5</v>
      </c>
      <c r="AGP6" s="2">
        <v>-1.6</v>
      </c>
      <c r="AGQ6" s="2">
        <v>-0.8</v>
      </c>
      <c r="AGR6" s="2">
        <v>0.9</v>
      </c>
      <c r="AGS6" s="2">
        <v>0.7</v>
      </c>
      <c r="AGT6" s="2">
        <v>2.2</v>
      </c>
      <c r="AGU6" s="2">
        <v>3.9</v>
      </c>
      <c r="AGV6" s="2">
        <v>0.1</v>
      </c>
      <c r="AGW6" s="2">
        <v>0.3</v>
      </c>
      <c r="AGX6" s="2">
        <v>1</v>
      </c>
      <c r="AGY6" s="2">
        <v>2.1</v>
      </c>
      <c r="AGZ6" s="2">
        <v>0.3</v>
      </c>
      <c r="AHA6" s="2">
        <v>0.4</v>
      </c>
      <c r="AHB6" s="2">
        <v>-0.3</v>
      </c>
      <c r="AHC6" s="2">
        <v>0.2</v>
      </c>
      <c r="AHD6" s="2">
        <v>0.7</v>
      </c>
      <c r="AHE6" s="2">
        <v>1</v>
      </c>
      <c r="AHF6" s="2">
        <v>0.4</v>
      </c>
      <c r="AHG6" s="2">
        <v>0.7</v>
      </c>
      <c r="AHH6" s="2">
        <v>1.6</v>
      </c>
      <c r="AHI6" s="2">
        <v>1.7</v>
      </c>
      <c r="AHJ6" s="2">
        <v>0.2</v>
      </c>
      <c r="AHK6" s="2">
        <v>1.9</v>
      </c>
      <c r="AHL6" s="2">
        <v>0.9</v>
      </c>
      <c r="AHM6" s="2">
        <v>1</v>
      </c>
      <c r="AHN6" s="2">
        <v>0.9</v>
      </c>
      <c r="AHO6" s="2">
        <v>1.1</v>
      </c>
      <c r="AHP6" s="2">
        <v>1.1</v>
      </c>
      <c r="AHQ6" s="2">
        <v>1.1</v>
      </c>
      <c r="AHR6" s="2">
        <v>2.1</v>
      </c>
      <c r="AHS6" s="2">
        <v>4.5</v>
      </c>
      <c r="AHT6" s="2">
        <v>2.2</v>
      </c>
      <c r="AHU6" s="2">
        <v>2.8</v>
      </c>
      <c r="AHV6" s="2">
        <v>1.4</v>
      </c>
      <c r="AHW6" s="2">
        <v>1.3</v>
      </c>
      <c r="AHX6" s="2">
        <v>0.4</v>
      </c>
      <c r="AHY6" s="2">
        <v>-1.3</v>
      </c>
      <c r="AHZ6" s="2">
        <v>-0.9</v>
      </c>
      <c r="AIA6" s="2">
        <v>0.8</v>
      </c>
      <c r="AIB6" s="2">
        <v>-0.9</v>
      </c>
      <c r="AIC6" s="2">
        <v>1</v>
      </c>
      <c r="AID6" s="2">
        <v>-0.8</v>
      </c>
      <c r="AIE6" s="2">
        <v>0.7</v>
      </c>
      <c r="AIF6" s="2">
        <v>-2.7</v>
      </c>
      <c r="AIG6" s="2">
        <v>-1.9</v>
      </c>
      <c r="AIH6" s="2">
        <v>0</v>
      </c>
      <c r="AII6" s="2">
        <v>-0.2</v>
      </c>
      <c r="AIJ6" s="2">
        <v>-0.2</v>
      </c>
      <c r="AIK6" s="2">
        <v>-0.4</v>
      </c>
      <c r="AIL6" s="2">
        <v>1</v>
      </c>
      <c r="AIM6" s="2">
        <v>-1.5</v>
      </c>
      <c r="AIN6" s="2">
        <v>-1.1</v>
      </c>
      <c r="AIO6" s="2">
        <v>-1</v>
      </c>
      <c r="AIP6" s="2">
        <v>1.3</v>
      </c>
      <c r="AIQ6" s="2">
        <v>0.5</v>
      </c>
      <c r="AIR6" s="2">
        <v>-0.1</v>
      </c>
      <c r="AIS6" s="2">
        <v>1.4</v>
      </c>
      <c r="AIT6" s="2">
        <v>0.9</v>
      </c>
      <c r="AIU6" s="2">
        <v>-0.7</v>
      </c>
      <c r="AIV6" s="2">
        <v>1</v>
      </c>
      <c r="AIW6" s="2">
        <v>-0.9</v>
      </c>
      <c r="AIX6" s="2">
        <v>-0.4</v>
      </c>
      <c r="AIY6" s="2">
        <v>-1.2</v>
      </c>
      <c r="AIZ6" s="2">
        <v>-0.3</v>
      </c>
      <c r="AJA6" s="2">
        <v>0.5</v>
      </c>
      <c r="AJB6" s="2">
        <v>-0.8</v>
      </c>
      <c r="AJC6" s="2">
        <v>-0.7</v>
      </c>
      <c r="AJD6" s="2">
        <v>-0.3</v>
      </c>
      <c r="AJE6" s="2">
        <v>-0.2</v>
      </c>
      <c r="AJF6" s="2">
        <v>-0.2</v>
      </c>
      <c r="AJG6" s="2">
        <v>0.5</v>
      </c>
      <c r="AJH6" s="2">
        <v>0.1</v>
      </c>
      <c r="AJI6" s="2">
        <v>0.6</v>
      </c>
      <c r="AJJ6" s="2">
        <v>-0.4</v>
      </c>
      <c r="AJK6" s="2">
        <v>0.9</v>
      </c>
      <c r="AJL6" s="2">
        <v>0.2</v>
      </c>
      <c r="AJM6" s="2">
        <v>1.1</v>
      </c>
      <c r="AJN6" s="2">
        <v>2.2</v>
      </c>
      <c r="AJO6" s="2">
        <v>1.3</v>
      </c>
      <c r="AJP6" s="2">
        <v>1.1</v>
      </c>
      <c r="AJQ6" s="2">
        <v>1</v>
      </c>
      <c r="AJR6" s="2">
        <v>-0.2</v>
      </c>
      <c r="AJS6" s="2">
        <v>-0.1</v>
      </c>
      <c r="AJT6" s="2">
        <v>-0.4</v>
      </c>
      <c r="AJU6" s="2">
        <v>0.1</v>
      </c>
      <c r="AJV6" s="2">
        <v>0.4</v>
      </c>
      <c r="AJW6" s="2">
        <v>1.7</v>
      </c>
      <c r="AJX6" s="2">
        <v>1.9</v>
      </c>
      <c r="AJY6" s="2">
        <v>1.3</v>
      </c>
      <c r="AJZ6" s="2">
        <v>6.8</v>
      </c>
      <c r="AKA6" s="2">
        <v>4.3</v>
      </c>
      <c r="AKB6" s="2">
        <v>1.9</v>
      </c>
      <c r="AKC6" s="2">
        <v>1.6</v>
      </c>
      <c r="AKD6" s="2">
        <v>2.2</v>
      </c>
      <c r="AKE6" s="2">
        <v>0.6</v>
      </c>
      <c r="AKF6" s="2">
        <v>-0.3</v>
      </c>
      <c r="AKG6" s="2">
        <v>-0.2</v>
      </c>
      <c r="AKH6" s="2">
        <v>-0.3</v>
      </c>
      <c r="AKI6" s="2">
        <v>-0.4</v>
      </c>
      <c r="AKJ6" s="2">
        <v>0.7</v>
      </c>
      <c r="AKK6" s="2">
        <v>0.2</v>
      </c>
      <c r="AKL6" s="2">
        <v>0.9</v>
      </c>
      <c r="AKM6" s="2">
        <v>1.2</v>
      </c>
      <c r="AKN6" s="2">
        <v>0.3</v>
      </c>
      <c r="AKO6" s="2">
        <v>2.1</v>
      </c>
      <c r="AKP6" s="2">
        <v>1.07</v>
      </c>
      <c r="AKQ6" s="2">
        <v>1.07</v>
      </c>
      <c r="AKR6" s="2">
        <v>1.1</v>
      </c>
    </row>
    <row r="7">
      <c r="A7" t="inlineStr">
        <is>
          <t>Fruit and vegetables</t>
        </is>
      </c>
      <c r="B7" t="inlineStr">
        <is>
          <t>Food and non-alcoholic beverages</t>
        </is>
      </c>
      <c r="C7">
        <v>2</v>
      </c>
      <c r="D7">
        <v>2</v>
      </c>
      <c r="E7" s="3">
        <f>D7/17.41*0.174</f>
        <v>0.019988512349224583</v>
      </c>
      <c r="F7" s="3">
        <f>E7-D7/100</f>
        <v>-1.148765077541719e-05</v>
      </c>
      <c r="G7" s="3">
        <f>D7/17.41</f>
        <v>0.11487650775416428</v>
      </c>
      <c r="H7" s="2">
        <v>71.88</v>
      </c>
      <c r="I7" s="2">
        <v>76.45999999999999</v>
      </c>
      <c r="J7" s="2">
        <v>80.27</v>
      </c>
      <c r="K7" s="2">
        <v>80.47</v>
      </c>
      <c r="L7" s="2">
        <v>80.06999999999999</v>
      </c>
      <c r="M7" s="2">
        <v>80.73</v>
      </c>
      <c r="N7" s="2">
        <v>79.40000000000001</v>
      </c>
      <c r="O7" s="2">
        <v>77.62</v>
      </c>
      <c r="P7" s="2">
        <v>76.58</v>
      </c>
      <c r="Q7" s="2">
        <v>78.56999999999999</v>
      </c>
      <c r="R7" s="2">
        <v>78.58</v>
      </c>
      <c r="S7" s="2">
        <v>78.84</v>
      </c>
      <c r="T7" s="2">
        <v>78.54000000000001</v>
      </c>
      <c r="U7" s="2">
        <v>80.58</v>
      </c>
      <c r="V7" s="2">
        <v>79.5</v>
      </c>
      <c r="W7" s="2">
        <v>80.43000000000001</v>
      </c>
      <c r="X7" s="2">
        <v>79.95999999999999</v>
      </c>
      <c r="Y7" s="2">
        <v>85.89</v>
      </c>
      <c r="Z7" s="2">
        <v>87.43000000000001</v>
      </c>
      <c r="AA7" s="2">
        <v>81.98999999999999</v>
      </c>
      <c r="AB7" s="2">
        <v>81.97</v>
      </c>
      <c r="AC7" s="2">
        <v>80.7</v>
      </c>
      <c r="AD7" s="2">
        <v>80.01000000000001</v>
      </c>
      <c r="AE7" s="2">
        <v>79.33</v>
      </c>
      <c r="AF7" s="2">
        <v>77.87</v>
      </c>
      <c r="AG7" s="2">
        <v>79.66</v>
      </c>
      <c r="AH7" s="2">
        <v>81.05</v>
      </c>
      <c r="AI7" s="2">
        <v>84.97</v>
      </c>
      <c r="AJ7" s="2">
        <v>83.95</v>
      </c>
      <c r="AK7" s="2">
        <v>86.55</v>
      </c>
      <c r="AL7" s="2">
        <v>90.93000000000001</v>
      </c>
      <c r="AM7" s="2">
        <v>87.51000000000001</v>
      </c>
      <c r="AN7" s="2">
        <v>84.90000000000001</v>
      </c>
      <c r="AO7" s="2">
        <v>88.42</v>
      </c>
      <c r="AP7" s="2">
        <v>86.06999999999999</v>
      </c>
      <c r="AQ7" s="2">
        <v>87.38</v>
      </c>
      <c r="AR7" s="2">
        <v>84.33</v>
      </c>
      <c r="AS7" s="2">
        <v>83.51000000000001</v>
      </c>
      <c r="AT7" s="2">
        <v>85.11</v>
      </c>
      <c r="AU7" s="2">
        <v>86.84</v>
      </c>
      <c r="AV7" s="2">
        <v>85.37</v>
      </c>
      <c r="AW7" s="2">
        <v>84.56</v>
      </c>
      <c r="AX7" s="2">
        <v>82.65000000000001</v>
      </c>
      <c r="AY7" s="2">
        <v>86.51000000000001</v>
      </c>
      <c r="AZ7" s="2">
        <v>90.37</v>
      </c>
      <c r="BA7" s="2">
        <v>89.09</v>
      </c>
      <c r="BB7" s="2">
        <v>87.55</v>
      </c>
      <c r="BC7" s="2">
        <v>86.08</v>
      </c>
      <c r="BD7" s="2">
        <v>82.01000000000001</v>
      </c>
      <c r="BE7" s="2">
        <v>82.36</v>
      </c>
      <c r="BF7" s="2">
        <v>84.34999999999999</v>
      </c>
      <c r="BG7" s="2">
        <v>86.58</v>
      </c>
      <c r="BH7" s="2">
        <v>87.89</v>
      </c>
      <c r="BI7" s="2">
        <v>90.12</v>
      </c>
      <c r="BJ7" s="2">
        <v>91.02</v>
      </c>
      <c r="BK7" s="2">
        <v>92.44</v>
      </c>
      <c r="BL7" s="2">
        <v>94.51000000000001</v>
      </c>
      <c r="BM7" s="2">
        <v>97.14</v>
      </c>
      <c r="BN7" s="2">
        <v>100.58</v>
      </c>
      <c r="BO7" s="2">
        <v>102.51</v>
      </c>
      <c r="BP7" s="2">
        <v>96.23</v>
      </c>
      <c r="BQ7" s="2">
        <v>90.16</v>
      </c>
      <c r="BR7" s="2">
        <v>92.31999999999999</v>
      </c>
      <c r="BS7" s="2">
        <v>95.09</v>
      </c>
      <c r="BT7" s="2">
        <v>92.40000000000001</v>
      </c>
      <c r="BU7" s="2">
        <v>95.37</v>
      </c>
      <c r="BV7" s="2">
        <v>96.40000000000001</v>
      </c>
      <c r="BW7" s="2">
        <v>95.7</v>
      </c>
      <c r="BX7" s="2">
        <v>97.06999999999999</v>
      </c>
      <c r="BY7" s="2">
        <v>98.08</v>
      </c>
      <c r="BZ7" s="2">
        <v>95.17</v>
      </c>
      <c r="CA7" s="2">
        <v>93.95999999999999</v>
      </c>
      <c r="CB7" s="2">
        <v>91.09999999999999</v>
      </c>
      <c r="CC7" s="2">
        <v>91.02</v>
      </c>
      <c r="CD7" s="2">
        <v>92.92</v>
      </c>
      <c r="CE7" s="2">
        <v>93</v>
      </c>
      <c r="CF7" s="2">
        <v>93.8</v>
      </c>
      <c r="CG7" s="2">
        <v>94.84999999999999</v>
      </c>
      <c r="CH7" s="2">
        <v>95.27</v>
      </c>
      <c r="CI7" s="2">
        <v>98.97</v>
      </c>
      <c r="CJ7" s="2">
        <v>101.31</v>
      </c>
      <c r="CK7" s="2">
        <v>101.54</v>
      </c>
      <c r="CL7" s="2">
        <v>102.3</v>
      </c>
      <c r="CM7" s="2">
        <v>102.99</v>
      </c>
      <c r="CN7" s="2">
        <v>99.33</v>
      </c>
      <c r="CO7" s="2">
        <v>98.79000000000001</v>
      </c>
      <c r="CP7" s="2">
        <v>98.56999999999999</v>
      </c>
      <c r="CQ7" s="2">
        <v>97.17</v>
      </c>
      <c r="CR7" s="2">
        <v>100.37</v>
      </c>
      <c r="CS7" s="2">
        <v>99.86</v>
      </c>
      <c r="CT7" s="2">
        <v>102.54</v>
      </c>
      <c r="CU7" s="2">
        <v>104.99</v>
      </c>
      <c r="CV7" s="2">
        <v>104.16</v>
      </c>
      <c r="CW7" s="2">
        <v>106.52</v>
      </c>
      <c r="CX7" s="2">
        <v>107.27</v>
      </c>
      <c r="CY7" s="2">
        <v>104.18</v>
      </c>
      <c r="CZ7" s="2">
        <v>100</v>
      </c>
      <c r="DA7" s="2">
        <v>100.54</v>
      </c>
      <c r="DB7" s="2">
        <v>101.22</v>
      </c>
      <c r="DC7" s="2">
        <v>101.04</v>
      </c>
      <c r="DD7" s="2">
        <v>101.8</v>
      </c>
      <c r="DE7" s="2">
        <v>101.8</v>
      </c>
      <c r="DF7" s="2">
        <v>104.42</v>
      </c>
      <c r="DG7" s="2">
        <v>105.13</v>
      </c>
      <c r="DH7" s="2">
        <v>106.24</v>
      </c>
      <c r="DI7" s="2">
        <v>107.25</v>
      </c>
      <c r="DJ7" s="2">
        <v>106.34</v>
      </c>
      <c r="DK7" s="2">
        <v>9.300000000000001</v>
      </c>
      <c r="DL7" s="2">
        <v>5.4</v>
      </c>
      <c r="DM7" s="2">
        <v>-1</v>
      </c>
      <c r="DN7" s="2">
        <v>0</v>
      </c>
      <c r="DO7" s="2">
        <v>-0.1</v>
      </c>
      <c r="DP7" s="2">
        <v>6.4</v>
      </c>
      <c r="DQ7" s="2">
        <v>10.1</v>
      </c>
      <c r="DR7" s="2">
        <v>5.6</v>
      </c>
      <c r="DS7" s="2">
        <v>7</v>
      </c>
      <c r="DT7" s="2">
        <v>2.7</v>
      </c>
      <c r="DU7" s="2">
        <v>1.8</v>
      </c>
      <c r="DV7" s="2">
        <v>0.6</v>
      </c>
      <c r="DW7" s="2">
        <v>-0.9</v>
      </c>
      <c r="DX7" s="2">
        <v>-1.1</v>
      </c>
      <c r="DY7" s="2">
        <v>1.9</v>
      </c>
      <c r="DZ7" s="2">
        <v>5.6</v>
      </c>
      <c r="EA7" s="2">
        <v>5</v>
      </c>
      <c r="EB7" s="2">
        <v>0.8</v>
      </c>
      <c r="EC7" s="2">
        <v>4</v>
      </c>
      <c r="ED7" s="2">
        <v>6.7</v>
      </c>
      <c r="EE7" s="2">
        <v>3.6</v>
      </c>
      <c r="EF7" s="2">
        <v>9.6</v>
      </c>
      <c r="EG7" s="2">
        <v>7.6</v>
      </c>
      <c r="EH7" s="2">
        <v>10.1</v>
      </c>
      <c r="EI7" s="2">
        <v>8.300000000000001</v>
      </c>
      <c r="EJ7" s="2">
        <v>4.8</v>
      </c>
      <c r="EK7" s="2">
        <v>5</v>
      </c>
      <c r="EL7" s="2">
        <v>2.2</v>
      </c>
      <c r="EM7" s="2">
        <v>1.7</v>
      </c>
      <c r="EN7" s="2">
        <v>-2.3</v>
      </c>
      <c r="EO7" s="2">
        <v>-9.1</v>
      </c>
      <c r="EP7" s="2">
        <v>-1.1</v>
      </c>
      <c r="EQ7" s="2">
        <v>6.4</v>
      </c>
      <c r="ER7" s="2">
        <v>0.8</v>
      </c>
      <c r="ES7" s="2">
        <v>1.7</v>
      </c>
      <c r="ET7" s="2">
        <v>-1.5</v>
      </c>
      <c r="EU7" s="2">
        <v>-2.8</v>
      </c>
      <c r="EV7" s="2">
        <v>-1.4</v>
      </c>
      <c r="EW7" s="2">
        <v>-0.9</v>
      </c>
      <c r="EX7" s="2">
        <v>-0.3</v>
      </c>
      <c r="EY7" s="2">
        <v>3</v>
      </c>
      <c r="EZ7" s="2">
        <v>6.6</v>
      </c>
      <c r="FA7" s="2">
        <v>10.1</v>
      </c>
      <c r="FB7" s="2">
        <v>6.9</v>
      </c>
      <c r="FC7" s="2">
        <v>4.6</v>
      </c>
      <c r="FD7" s="2">
        <v>9</v>
      </c>
      <c r="FE7" s="2">
        <v>14.9</v>
      </c>
      <c r="FF7" s="2">
        <v>19.1</v>
      </c>
      <c r="FG7" s="2">
        <v>17.3</v>
      </c>
      <c r="FH7" s="2">
        <v>9.5</v>
      </c>
      <c r="FI7" s="2">
        <v>9.4</v>
      </c>
      <c r="FJ7" s="2">
        <v>9.800000000000001</v>
      </c>
      <c r="FK7" s="2">
        <v>5.1</v>
      </c>
      <c r="FL7" s="2">
        <v>5.8</v>
      </c>
      <c r="FM7" s="2">
        <v>5.9</v>
      </c>
      <c r="FN7" s="2">
        <v>3.5</v>
      </c>
      <c r="FO7" s="2">
        <v>2.7</v>
      </c>
      <c r="FP7" s="2">
        <v>1</v>
      </c>
      <c r="FQ7" s="2">
        <v>-5.4</v>
      </c>
      <c r="FR7" s="2">
        <v>-8.300000000000001</v>
      </c>
      <c r="FS7" s="2">
        <v>-5.3</v>
      </c>
      <c r="FT7" s="2">
        <v>1</v>
      </c>
      <c r="FU7" s="2">
        <v>0.6</v>
      </c>
      <c r="FV7" s="2">
        <v>-2.2</v>
      </c>
      <c r="FW7" s="2">
        <v>1.5</v>
      </c>
      <c r="FX7" s="2">
        <v>-0.5</v>
      </c>
      <c r="FY7" s="2">
        <v>-1.2</v>
      </c>
      <c r="FZ7" s="2">
        <v>3.4</v>
      </c>
      <c r="GA7" s="2">
        <v>4.4</v>
      </c>
      <c r="GB7" s="2">
        <v>3.5</v>
      </c>
      <c r="GC7" s="2">
        <v>7.5</v>
      </c>
      <c r="GD7" s="2">
        <v>9.6</v>
      </c>
      <c r="GE7" s="2">
        <v>9</v>
      </c>
      <c r="GF7" s="2">
        <v>8.5</v>
      </c>
      <c r="GG7" s="2">
        <v>6.1</v>
      </c>
      <c r="GH7" s="2">
        <v>4.5</v>
      </c>
      <c r="GI7" s="2">
        <v>7</v>
      </c>
      <c r="GJ7" s="2">
        <v>5.3</v>
      </c>
      <c r="GK7" s="2">
        <v>7.6</v>
      </c>
      <c r="GL7" s="2">
        <v>6.1</v>
      </c>
      <c r="GM7" s="2">
        <v>2.8</v>
      </c>
      <c r="GN7" s="2">
        <v>4.9</v>
      </c>
      <c r="GO7" s="2">
        <v>4.9</v>
      </c>
      <c r="GP7" s="2">
        <v>1.2</v>
      </c>
      <c r="GQ7" s="2">
        <v>0.7</v>
      </c>
      <c r="GR7" s="2">
        <v>1.8</v>
      </c>
      <c r="GS7" s="2">
        <v>2.7</v>
      </c>
      <c r="GT7" s="2">
        <v>4</v>
      </c>
      <c r="GU7" s="2">
        <v>1.4</v>
      </c>
      <c r="GV7" s="2">
        <v>1.9</v>
      </c>
      <c r="GW7" s="2">
        <v>1.8</v>
      </c>
      <c r="GX7" s="2">
        <v>0.1</v>
      </c>
      <c r="GY7" s="2">
        <v>2</v>
      </c>
      <c r="GZ7" s="2">
        <v>0.7</v>
      </c>
      <c r="HA7" s="2">
        <v>-0.9</v>
      </c>
      <c r="HB7" s="2">
        <v>6.4</v>
      </c>
      <c r="HC7" s="2">
        <v>5</v>
      </c>
      <c r="HD7" s="2">
        <v>0.2</v>
      </c>
      <c r="HE7" s="2">
        <v>-0.5</v>
      </c>
      <c r="HF7" s="2">
        <v>0.8</v>
      </c>
      <c r="HG7" s="2">
        <v>-1.6</v>
      </c>
      <c r="HH7" s="2">
        <v>-2.2</v>
      </c>
      <c r="HI7" s="2">
        <v>-1.3</v>
      </c>
      <c r="HJ7" s="2">
        <v>2.6</v>
      </c>
      <c r="HK7" s="2">
        <v>0</v>
      </c>
      <c r="HL7" s="2">
        <v>0.3</v>
      </c>
      <c r="HM7" s="2">
        <v>-0.4</v>
      </c>
      <c r="HN7" s="2">
        <v>2.6</v>
      </c>
      <c r="HO7" s="2">
        <v>-1.3</v>
      </c>
      <c r="HP7" s="2">
        <v>1.2</v>
      </c>
      <c r="HQ7" s="2">
        <v>-0.6</v>
      </c>
      <c r="HR7" s="2">
        <v>7.4</v>
      </c>
      <c r="HS7" s="2">
        <v>1.8</v>
      </c>
      <c r="HT7" s="2">
        <v>-6.2</v>
      </c>
      <c r="HU7" s="2">
        <v>0</v>
      </c>
      <c r="HV7" s="2">
        <v>-1.5</v>
      </c>
      <c r="HW7" s="2">
        <v>-0.9</v>
      </c>
      <c r="HX7" s="2">
        <v>-0.8</v>
      </c>
      <c r="HY7" s="2">
        <v>-1.8</v>
      </c>
      <c r="HZ7" s="2">
        <v>2.3</v>
      </c>
      <c r="IA7" s="2">
        <v>1.7</v>
      </c>
      <c r="IB7" s="2">
        <v>4.8</v>
      </c>
      <c r="IC7" s="2">
        <v>-1.2</v>
      </c>
      <c r="ID7" s="2">
        <v>3.1</v>
      </c>
      <c r="IE7" s="2">
        <v>5.1</v>
      </c>
      <c r="IF7" s="2">
        <v>-3.8</v>
      </c>
      <c r="IG7" s="2">
        <v>-3</v>
      </c>
      <c r="IH7" s="2">
        <v>4.1</v>
      </c>
      <c r="II7" s="2">
        <v>-2.7</v>
      </c>
      <c r="IJ7" s="2">
        <v>1.5</v>
      </c>
      <c r="IK7" s="2">
        <v>-3.5</v>
      </c>
      <c r="IL7" s="2">
        <v>-1</v>
      </c>
      <c r="IM7" s="2">
        <v>1.9</v>
      </c>
      <c r="IN7" s="2">
        <v>2</v>
      </c>
      <c r="IO7" s="2">
        <v>-1.7</v>
      </c>
      <c r="IP7" s="2">
        <v>-0.9</v>
      </c>
      <c r="IQ7" s="2">
        <v>-2.3</v>
      </c>
      <c r="IR7" s="2">
        <v>4.7</v>
      </c>
      <c r="IS7" s="2">
        <v>4.5</v>
      </c>
      <c r="IT7" s="2">
        <v>-1.4</v>
      </c>
      <c r="IU7" s="2">
        <v>-1.7</v>
      </c>
      <c r="IV7" s="2">
        <v>-1.7</v>
      </c>
      <c r="IW7" s="2">
        <v>-4.7</v>
      </c>
      <c r="IX7" s="2">
        <v>0.4</v>
      </c>
      <c r="IY7" s="2">
        <v>2.4</v>
      </c>
      <c r="IZ7" s="2">
        <v>2.6</v>
      </c>
      <c r="JA7" s="2">
        <v>1.5</v>
      </c>
      <c r="JB7" s="2">
        <v>2.5</v>
      </c>
      <c r="JC7" s="2">
        <v>1</v>
      </c>
      <c r="JD7" s="2">
        <v>1.6</v>
      </c>
      <c r="JE7" s="2">
        <v>2.2</v>
      </c>
      <c r="JF7" s="2">
        <v>2.8</v>
      </c>
      <c r="JG7" s="2">
        <v>3.5</v>
      </c>
      <c r="JH7" s="2">
        <v>1.9</v>
      </c>
      <c r="JI7" s="2">
        <v>-6.1</v>
      </c>
      <c r="JJ7" s="2">
        <v>-6.3</v>
      </c>
      <c r="JK7" s="2">
        <v>2.4</v>
      </c>
      <c r="JL7" s="2">
        <v>3</v>
      </c>
      <c r="JM7" s="2">
        <v>-2.8</v>
      </c>
      <c r="JN7" s="2">
        <v>3.2</v>
      </c>
      <c r="JO7" s="2">
        <v>1.1</v>
      </c>
      <c r="JP7" s="2">
        <v>-0.7</v>
      </c>
      <c r="JQ7" s="2">
        <v>1.4</v>
      </c>
      <c r="JR7" s="2">
        <v>1</v>
      </c>
      <c r="JS7" s="2">
        <v>-3</v>
      </c>
      <c r="JT7" s="2">
        <v>-1.3</v>
      </c>
      <c r="JU7" s="2">
        <v>-3</v>
      </c>
      <c r="JV7" s="2">
        <v>-0.1</v>
      </c>
      <c r="JW7" s="2">
        <v>2.1</v>
      </c>
      <c r="JX7" s="2">
        <v>0.1</v>
      </c>
      <c r="JY7" s="2">
        <v>0.9</v>
      </c>
      <c r="JZ7" s="2">
        <v>1.1</v>
      </c>
      <c r="KA7" s="2">
        <v>0.4</v>
      </c>
      <c r="KB7" s="2">
        <v>3.9</v>
      </c>
      <c r="KC7" s="2">
        <v>2.4</v>
      </c>
      <c r="KD7" s="2">
        <v>0.2</v>
      </c>
      <c r="KE7" s="2">
        <v>0.7</v>
      </c>
      <c r="KF7" s="2">
        <v>0.7</v>
      </c>
      <c r="KG7" s="2">
        <v>-3.6</v>
      </c>
      <c r="KH7" s="2">
        <v>-0.5</v>
      </c>
      <c r="KI7" s="2">
        <v>-0.2</v>
      </c>
      <c r="KJ7" s="2">
        <v>-1.4</v>
      </c>
      <c r="KK7" s="2">
        <v>3.3</v>
      </c>
      <c r="KL7" s="2">
        <v>-0.5</v>
      </c>
      <c r="KM7" s="2">
        <v>2.7</v>
      </c>
      <c r="KN7" s="2">
        <v>2.4</v>
      </c>
      <c r="KO7" s="2">
        <v>-0.8</v>
      </c>
      <c r="KP7" s="2">
        <v>2.3</v>
      </c>
      <c r="KQ7" s="2">
        <v>0.7</v>
      </c>
      <c r="KR7" s="2">
        <v>-2.9</v>
      </c>
      <c r="KS7" s="2">
        <v>-4</v>
      </c>
      <c r="KT7" s="2">
        <v>0.5</v>
      </c>
      <c r="KU7" s="2">
        <v>0.7</v>
      </c>
      <c r="KV7" s="2">
        <v>-0.2</v>
      </c>
      <c r="KW7" s="2">
        <v>0.8</v>
      </c>
      <c r="KX7" s="2">
        <v>0</v>
      </c>
      <c r="KY7" s="2">
        <v>2.6</v>
      </c>
      <c r="KZ7" s="2">
        <v>0.7</v>
      </c>
      <c r="LA7" s="2">
        <v>1.1</v>
      </c>
      <c r="LB7" s="2">
        <v>1</v>
      </c>
      <c r="LC7" s="2">
        <v>-0.8</v>
      </c>
      <c r="LD7" s="2">
        <v>1.95</v>
      </c>
      <c r="LE7" s="2">
        <v>2.01</v>
      </c>
      <c r="LF7" s="2">
        <v>2</v>
      </c>
      <c r="LG7" s="2">
        <v>2.05</v>
      </c>
      <c r="LH7" s="2">
        <v>2.1</v>
      </c>
      <c r="LI7" s="2">
        <v>2.09</v>
      </c>
      <c r="LJ7" s="2">
        <v>2.13</v>
      </c>
      <c r="LK7" s="2">
        <v>2.15</v>
      </c>
      <c r="LL7" s="2">
        <v>2.09</v>
      </c>
      <c r="LM7" s="2">
        <v>2</v>
      </c>
      <c r="LN7" s="2">
        <v>2.01</v>
      </c>
      <c r="LO7" s="2">
        <v>2.03</v>
      </c>
      <c r="LP7" s="2">
        <v>2.02</v>
      </c>
      <c r="LQ7" s="2">
        <v>2.04</v>
      </c>
      <c r="LR7" s="2">
        <v>2.04</v>
      </c>
      <c r="LS7" s="2">
        <v>2.09</v>
      </c>
      <c r="LT7" s="2">
        <v>2.11</v>
      </c>
      <c r="LU7" s="2">
        <v>2.13</v>
      </c>
      <c r="LV7" s="2">
        <v>2.15</v>
      </c>
      <c r="LW7" s="2">
        <v>2.13</v>
      </c>
      <c r="LX7" s="2">
        <v>0.06</v>
      </c>
      <c r="LY7" s="2">
        <v>-0.01</v>
      </c>
      <c r="LZ7" s="2">
        <v>0.05</v>
      </c>
      <c r="MA7" s="2">
        <v>0.05</v>
      </c>
      <c r="MB7" s="2">
        <v>-0.01</v>
      </c>
      <c r="MC7" s="2">
        <v>0.04</v>
      </c>
      <c r="MD7" s="2">
        <v>0.02</v>
      </c>
      <c r="ME7" s="2">
        <v>-0.06</v>
      </c>
      <c r="MF7" s="2">
        <v>-0.09</v>
      </c>
      <c r="MG7" s="2">
        <v>0.01</v>
      </c>
      <c r="MH7" s="2">
        <v>0.02</v>
      </c>
      <c r="MI7" s="2">
        <v>-0.01</v>
      </c>
      <c r="MJ7" s="2">
        <v>0.02</v>
      </c>
      <c r="MK7" s="2">
        <v>0</v>
      </c>
      <c r="ML7" s="2">
        <v>0.05</v>
      </c>
      <c r="MM7" s="2">
        <v>0.02</v>
      </c>
      <c r="MN7" s="2">
        <v>0.02</v>
      </c>
      <c r="MO7" s="2">
        <v>0.02</v>
      </c>
      <c r="MP7" s="2">
        <v>-0.02</v>
      </c>
      <c r="SY7" s="2">
        <v>41.55</v>
      </c>
      <c r="SZ7" s="2">
        <v>38.44</v>
      </c>
      <c r="TA7" s="2">
        <v>34.26</v>
      </c>
      <c r="TB7" s="2">
        <v>37.56</v>
      </c>
      <c r="TC7" s="2">
        <v>34</v>
      </c>
      <c r="TD7" s="2">
        <v>31.72</v>
      </c>
      <c r="TE7" s="2">
        <v>36.84</v>
      </c>
      <c r="TF7" s="2">
        <v>33.13</v>
      </c>
      <c r="TG7" s="2">
        <v>34.07</v>
      </c>
      <c r="TH7" s="2">
        <v>34.83</v>
      </c>
      <c r="TI7" s="2">
        <v>34.64</v>
      </c>
      <c r="TJ7" s="2">
        <v>33.09</v>
      </c>
      <c r="TK7" s="2">
        <v>30.62</v>
      </c>
      <c r="TL7" s="2">
        <v>32.18</v>
      </c>
      <c r="TM7" s="2">
        <v>36.81</v>
      </c>
      <c r="TN7" s="2">
        <v>32.52</v>
      </c>
      <c r="TO7" s="2">
        <v>32.86</v>
      </c>
      <c r="TP7" s="2">
        <v>33.66</v>
      </c>
      <c r="TQ7" s="2">
        <v>34.34</v>
      </c>
      <c r="TR7" s="2">
        <v>34.49</v>
      </c>
      <c r="TS7" s="2">
        <v>36.84</v>
      </c>
      <c r="TT7" s="2">
        <v>37.41</v>
      </c>
      <c r="TU7" s="2">
        <v>40.68</v>
      </c>
      <c r="TV7" s="2">
        <v>38.32</v>
      </c>
      <c r="TW7" s="2">
        <v>39.2</v>
      </c>
      <c r="TX7" s="2">
        <v>38.97</v>
      </c>
      <c r="TY7" s="2">
        <v>37.72</v>
      </c>
      <c r="TZ7" s="2">
        <v>37.64</v>
      </c>
      <c r="UA7" s="2">
        <v>38.89</v>
      </c>
      <c r="UB7" s="2">
        <v>40.6</v>
      </c>
      <c r="UC7" s="2">
        <v>40.98</v>
      </c>
      <c r="UD7" s="2">
        <v>40.68</v>
      </c>
      <c r="UE7" s="2">
        <v>38.51</v>
      </c>
      <c r="UF7" s="2">
        <v>38.48</v>
      </c>
      <c r="UG7" s="2">
        <v>39.08</v>
      </c>
      <c r="UH7" s="2">
        <v>40.83</v>
      </c>
      <c r="UI7" s="2">
        <v>42.69</v>
      </c>
      <c r="UJ7" s="2">
        <v>45.87</v>
      </c>
      <c r="UK7" s="2">
        <v>46.37</v>
      </c>
      <c r="UL7" s="2">
        <v>45.19</v>
      </c>
      <c r="UM7" s="2">
        <v>44.89</v>
      </c>
      <c r="UN7" s="2">
        <v>43.86</v>
      </c>
      <c r="UO7" s="2">
        <v>42.95</v>
      </c>
      <c r="UP7" s="2">
        <v>44.24</v>
      </c>
      <c r="UQ7" s="2">
        <v>43.71</v>
      </c>
      <c r="UR7" s="2">
        <v>44.11</v>
      </c>
      <c r="US7" s="2">
        <v>50.09</v>
      </c>
      <c r="UT7" s="2">
        <v>47.26</v>
      </c>
      <c r="UU7" s="2">
        <v>46.3</v>
      </c>
      <c r="UV7" s="2">
        <v>51.02</v>
      </c>
      <c r="UW7" s="2">
        <v>50.24</v>
      </c>
      <c r="UX7" s="2">
        <v>47.33</v>
      </c>
      <c r="UY7" s="2">
        <v>49.27</v>
      </c>
      <c r="UZ7" s="2">
        <v>51.32</v>
      </c>
      <c r="VA7" s="2">
        <v>54.44</v>
      </c>
      <c r="VB7" s="2">
        <v>51.62</v>
      </c>
      <c r="VC7" s="2">
        <v>49.21</v>
      </c>
      <c r="VD7" s="2">
        <v>54.4</v>
      </c>
      <c r="VE7" s="2">
        <v>59.49</v>
      </c>
      <c r="VF7" s="2">
        <v>54.83</v>
      </c>
      <c r="VG7" s="2">
        <v>51.98</v>
      </c>
      <c r="VH7" s="2">
        <v>54.72</v>
      </c>
      <c r="VI7" s="2">
        <v>55.01</v>
      </c>
      <c r="VJ7" s="2">
        <v>52.31</v>
      </c>
      <c r="VK7" s="2">
        <v>53.05</v>
      </c>
      <c r="VL7" s="2">
        <v>56.4</v>
      </c>
      <c r="VM7" s="2">
        <v>58.59</v>
      </c>
      <c r="VN7" s="2">
        <v>71.97</v>
      </c>
      <c r="VO7" s="2">
        <v>78.19</v>
      </c>
      <c r="VP7" s="2">
        <v>77.03</v>
      </c>
      <c r="VQ7" s="2">
        <v>62.63</v>
      </c>
      <c r="VR7" s="2">
        <v>67.12</v>
      </c>
      <c r="VS7" s="2">
        <v>72.98999999999999</v>
      </c>
      <c r="VT7" s="2">
        <v>65.63</v>
      </c>
      <c r="VU7" s="2">
        <v>66.51000000000001</v>
      </c>
      <c r="VV7" s="2">
        <v>61.91</v>
      </c>
      <c r="VW7" s="2">
        <v>63.63</v>
      </c>
      <c r="VX7" s="2">
        <v>67.06</v>
      </c>
      <c r="VY7" s="2">
        <v>70.26000000000001</v>
      </c>
      <c r="VZ7" s="2">
        <v>65.17</v>
      </c>
      <c r="WA7" s="2">
        <v>61.59</v>
      </c>
      <c r="WB7" s="2">
        <v>66.73999999999999</v>
      </c>
      <c r="WC7" s="2">
        <v>68.36</v>
      </c>
      <c r="WD7" s="2">
        <v>65.76000000000001</v>
      </c>
      <c r="WE7" s="2">
        <v>63.59</v>
      </c>
      <c r="WF7" s="2">
        <v>72.03</v>
      </c>
      <c r="WG7" s="2">
        <v>83.05</v>
      </c>
      <c r="WH7" s="2">
        <v>88.90000000000001</v>
      </c>
      <c r="WI7" s="2">
        <v>87.3</v>
      </c>
      <c r="WJ7" s="2">
        <v>78.95</v>
      </c>
      <c r="WK7" s="2">
        <v>66.41</v>
      </c>
      <c r="WL7" s="2">
        <v>69.45999999999999</v>
      </c>
      <c r="WM7" s="2">
        <v>76.55</v>
      </c>
      <c r="WN7" s="2">
        <v>74.63</v>
      </c>
      <c r="WO7" s="2">
        <v>70.62</v>
      </c>
      <c r="WP7" s="2">
        <v>70.87</v>
      </c>
      <c r="WQ7" s="2">
        <v>69.98999999999999</v>
      </c>
      <c r="WR7" s="2">
        <v>75.28</v>
      </c>
      <c r="WS7" s="2">
        <v>75.83</v>
      </c>
      <c r="WT7" s="2">
        <v>74.76000000000001</v>
      </c>
      <c r="WU7" s="2">
        <v>79.84</v>
      </c>
      <c r="WV7" s="2">
        <v>78.09999999999999</v>
      </c>
      <c r="WW7" s="2">
        <v>76.53</v>
      </c>
      <c r="WX7" s="2">
        <v>75.58</v>
      </c>
      <c r="WY7" s="2">
        <v>75.77</v>
      </c>
      <c r="WZ7" s="2">
        <v>75.63</v>
      </c>
      <c r="XA7" s="2">
        <v>72.34999999999999</v>
      </c>
      <c r="XB7" s="2">
        <v>73.55</v>
      </c>
      <c r="XC7" s="2">
        <v>82.13</v>
      </c>
      <c r="XD7" s="2">
        <v>83.16</v>
      </c>
      <c r="XE7" s="2">
        <v>81.58</v>
      </c>
      <c r="XF7" s="2">
        <v>80.22</v>
      </c>
      <c r="XG7" s="2">
        <v>75.34999999999999</v>
      </c>
      <c r="XH7" s="2">
        <v>79.26000000000001</v>
      </c>
      <c r="XI7" s="2">
        <v>79.78</v>
      </c>
      <c r="XJ7" s="2">
        <v>77.61</v>
      </c>
      <c r="XK7" s="2">
        <v>79.14</v>
      </c>
      <c r="XL7" s="2">
        <v>80.48</v>
      </c>
      <c r="XM7" s="2">
        <v>84.38</v>
      </c>
      <c r="XN7" s="2">
        <v>82.01000000000001</v>
      </c>
      <c r="XO7" s="2">
        <v>79.68000000000001</v>
      </c>
      <c r="XP7" s="2">
        <v>82.47</v>
      </c>
      <c r="XQ7" s="2">
        <v>87.34999999999999</v>
      </c>
      <c r="XR7" s="2">
        <v>86.77</v>
      </c>
      <c r="XS7" s="2">
        <v>86.78</v>
      </c>
      <c r="XT7" s="2">
        <v>85.18000000000001</v>
      </c>
      <c r="XU7" s="2">
        <v>84.69</v>
      </c>
      <c r="XV7" s="2">
        <v>89.06999999999999</v>
      </c>
      <c r="XW7" s="2">
        <v>85.95999999999999</v>
      </c>
      <c r="XX7" s="2">
        <v>85.31999999999999</v>
      </c>
      <c r="XY7" s="2">
        <v>90.33</v>
      </c>
      <c r="XZ7" s="2">
        <v>95.51000000000001</v>
      </c>
      <c r="YA7" s="2">
        <v>99.81999999999999</v>
      </c>
      <c r="YB7" s="2">
        <v>92.59</v>
      </c>
      <c r="YC7" s="2">
        <v>94.79000000000001</v>
      </c>
      <c r="YD7" s="2">
        <v>97.02</v>
      </c>
      <c r="YE7" s="2">
        <v>93.48</v>
      </c>
      <c r="YF7" s="2">
        <v>92.38</v>
      </c>
      <c r="YG7" s="2">
        <v>94.67</v>
      </c>
      <c r="YH7" s="2">
        <v>100.63</v>
      </c>
      <c r="YI7" s="2">
        <v>101.57</v>
      </c>
      <c r="YJ7" s="2">
        <v>98.2</v>
      </c>
      <c r="YK7" s="2">
        <v>100.93</v>
      </c>
      <c r="YL7" s="2">
        <v>105.22</v>
      </c>
      <c r="YM7" s="2">
        <v>103.82</v>
      </c>
      <c r="YN7" s="2">
        <v>100.93</v>
      </c>
      <c r="YO7" s="2">
        <v>102.67</v>
      </c>
      <c r="YP7" s="2">
        <v>106.2</v>
      </c>
      <c r="AEY7" s="2">
        <v>-7.5</v>
      </c>
      <c r="AEZ7" s="2">
        <v>-10.9</v>
      </c>
      <c r="AFA7" s="2">
        <v>9.6</v>
      </c>
      <c r="AFB7" s="2">
        <v>-9.5</v>
      </c>
      <c r="AFC7" s="2">
        <v>-6.7</v>
      </c>
      <c r="AFD7" s="2">
        <v>16.1</v>
      </c>
      <c r="AFE7" s="2">
        <v>-10.1</v>
      </c>
      <c r="AFF7" s="2">
        <v>2.8</v>
      </c>
      <c r="AFG7" s="2">
        <v>2.2</v>
      </c>
      <c r="AFH7" s="2">
        <v>-0.5</v>
      </c>
      <c r="AFI7" s="2">
        <v>-4.5</v>
      </c>
      <c r="AFJ7" s="2">
        <v>-7.5</v>
      </c>
      <c r="AFK7" s="2">
        <v>5.1</v>
      </c>
      <c r="AFL7" s="2">
        <v>14.4</v>
      </c>
      <c r="AFM7" s="2">
        <v>-11.7</v>
      </c>
      <c r="AFN7" s="2">
        <v>1</v>
      </c>
      <c r="AFO7" s="2">
        <v>2.4</v>
      </c>
      <c r="AFP7" s="2">
        <v>2</v>
      </c>
      <c r="AFQ7" s="2">
        <v>0.4</v>
      </c>
      <c r="AFR7" s="2">
        <v>6.8</v>
      </c>
      <c r="AFS7" s="2">
        <v>1.5</v>
      </c>
      <c r="AFT7" s="2">
        <v>8.699999999999999</v>
      </c>
      <c r="AFU7" s="2">
        <v>-5.8</v>
      </c>
      <c r="AFV7" s="2">
        <v>2.3</v>
      </c>
      <c r="AFW7" s="2">
        <v>-0.6</v>
      </c>
      <c r="AFX7" s="2">
        <v>-3.2</v>
      </c>
      <c r="AFY7" s="2">
        <v>-0.2</v>
      </c>
      <c r="AFZ7" s="2">
        <v>3.3</v>
      </c>
      <c r="AGA7" s="2">
        <v>4.4</v>
      </c>
      <c r="AGB7" s="2">
        <v>0.9</v>
      </c>
      <c r="AGC7" s="2">
        <v>-0.7</v>
      </c>
      <c r="AGD7" s="2">
        <v>-5.3</v>
      </c>
      <c r="AGE7" s="2">
        <v>-0.1</v>
      </c>
      <c r="AGF7" s="2">
        <v>1.6</v>
      </c>
      <c r="AGG7" s="2">
        <v>4.5</v>
      </c>
      <c r="AGH7" s="2">
        <v>4.6</v>
      </c>
      <c r="AGI7" s="2">
        <v>7.4</v>
      </c>
      <c r="AGJ7" s="2">
        <v>1.1</v>
      </c>
      <c r="AGK7" s="2">
        <v>-2.5</v>
      </c>
      <c r="AGL7" s="2">
        <v>-0.7</v>
      </c>
      <c r="AGM7" s="2">
        <v>-2.3</v>
      </c>
      <c r="AGN7" s="2">
        <v>-2.1</v>
      </c>
      <c r="AGO7" s="2">
        <v>3</v>
      </c>
      <c r="AGP7" s="2">
        <v>-1.2</v>
      </c>
      <c r="AGQ7" s="2">
        <v>0.9</v>
      </c>
      <c r="AGR7" s="2">
        <v>13.6</v>
      </c>
      <c r="AGS7" s="2">
        <v>-5.6</v>
      </c>
      <c r="AGT7" s="2">
        <v>-2</v>
      </c>
      <c r="AGU7" s="2">
        <v>10.2</v>
      </c>
      <c r="AGV7" s="2">
        <v>-1.5</v>
      </c>
      <c r="AGW7" s="2">
        <v>-5.8</v>
      </c>
      <c r="AGX7" s="2">
        <v>4.1</v>
      </c>
      <c r="AGY7" s="2">
        <v>4.2</v>
      </c>
      <c r="AGZ7" s="2">
        <v>6.1</v>
      </c>
      <c r="AHA7" s="2">
        <v>-5.2</v>
      </c>
      <c r="AHB7" s="2">
        <v>-4.7</v>
      </c>
      <c r="AHC7" s="2">
        <v>10.5</v>
      </c>
      <c r="AHD7" s="2">
        <v>9.4</v>
      </c>
      <c r="AHE7" s="2">
        <v>-7.8</v>
      </c>
      <c r="AHF7" s="2">
        <v>-5.2</v>
      </c>
      <c r="AHG7" s="2">
        <v>5.3</v>
      </c>
      <c r="AHH7" s="2">
        <v>0.5</v>
      </c>
      <c r="AHI7" s="2">
        <v>-4.9</v>
      </c>
      <c r="AHJ7" s="2">
        <v>1.4</v>
      </c>
      <c r="AHK7" s="2">
        <v>6.3</v>
      </c>
      <c r="AHL7" s="2">
        <v>3.9</v>
      </c>
      <c r="AHM7" s="2">
        <v>22.8</v>
      </c>
      <c r="AHN7" s="2">
        <v>8.6</v>
      </c>
      <c r="AHO7" s="2">
        <v>-1.5</v>
      </c>
      <c r="AHP7" s="2">
        <v>-18.7</v>
      </c>
      <c r="AHQ7" s="2">
        <v>7.2</v>
      </c>
      <c r="AHR7" s="2">
        <v>8.699999999999999</v>
      </c>
      <c r="AHS7" s="2">
        <v>-10.1</v>
      </c>
      <c r="AHT7" s="2">
        <v>1.3</v>
      </c>
      <c r="AHU7" s="2">
        <v>-6.9</v>
      </c>
      <c r="AHV7" s="2">
        <v>2.8</v>
      </c>
      <c r="AHW7" s="2">
        <v>5.4</v>
      </c>
      <c r="AHX7" s="2">
        <v>4.8</v>
      </c>
      <c r="AHY7" s="2">
        <v>-7.2</v>
      </c>
      <c r="AHZ7" s="2">
        <v>-5.5</v>
      </c>
      <c r="AIA7" s="2">
        <v>8.4</v>
      </c>
      <c r="AIB7" s="2">
        <v>2.4</v>
      </c>
      <c r="AIC7" s="2">
        <v>-3.8</v>
      </c>
      <c r="AID7" s="2">
        <v>-3.3</v>
      </c>
      <c r="AIE7" s="2">
        <v>13.3</v>
      </c>
      <c r="AIF7" s="2">
        <v>15.3</v>
      </c>
      <c r="AIG7" s="2">
        <v>7</v>
      </c>
      <c r="AIH7" s="2">
        <v>-1.8</v>
      </c>
      <c r="AII7" s="2">
        <v>-9.6</v>
      </c>
      <c r="AIJ7" s="2">
        <v>-15.9</v>
      </c>
      <c r="AIK7" s="2">
        <v>4.6</v>
      </c>
      <c r="AIL7" s="2">
        <v>10.2</v>
      </c>
      <c r="AIM7" s="2">
        <v>-2.5</v>
      </c>
      <c r="AIN7" s="2">
        <v>-5.4</v>
      </c>
      <c r="AIO7" s="2">
        <v>0.4</v>
      </c>
      <c r="AIP7" s="2">
        <v>-1.2</v>
      </c>
      <c r="AIQ7" s="2">
        <v>7.6</v>
      </c>
      <c r="AIR7" s="2">
        <v>0.7</v>
      </c>
      <c r="AIS7" s="2">
        <v>-1.4</v>
      </c>
      <c r="AIT7" s="2">
        <v>6.8</v>
      </c>
      <c r="AIU7" s="2">
        <v>-2.2</v>
      </c>
      <c r="AIV7" s="2">
        <v>-2</v>
      </c>
      <c r="AIW7" s="2">
        <v>-1.2</v>
      </c>
      <c r="AIX7" s="2">
        <v>0.3</v>
      </c>
      <c r="AIY7" s="2">
        <v>-0.2</v>
      </c>
      <c r="AIZ7" s="2">
        <v>-4.3</v>
      </c>
      <c r="AJA7" s="2">
        <v>1.7</v>
      </c>
      <c r="AJB7" s="2">
        <v>11.7</v>
      </c>
      <c r="AJC7" s="2">
        <v>1.3</v>
      </c>
      <c r="AJD7" s="2">
        <v>-1.9</v>
      </c>
      <c r="AJE7" s="2">
        <v>-1.7</v>
      </c>
      <c r="AJF7" s="2">
        <v>-6.1</v>
      </c>
      <c r="AJG7" s="2">
        <v>5.2</v>
      </c>
      <c r="AJH7" s="2">
        <v>0.7</v>
      </c>
      <c r="AJI7" s="2">
        <v>-2.7</v>
      </c>
      <c r="AJJ7" s="2">
        <v>2</v>
      </c>
      <c r="AJK7" s="2">
        <v>1.7</v>
      </c>
      <c r="AJL7" s="2">
        <v>4.8</v>
      </c>
      <c r="AJM7" s="2">
        <v>-2.8</v>
      </c>
      <c r="AJN7" s="2">
        <v>-2.8</v>
      </c>
      <c r="AJO7" s="2">
        <v>3.5</v>
      </c>
      <c r="AJP7" s="2">
        <v>5.9</v>
      </c>
      <c r="AJQ7" s="2">
        <v>-0.7</v>
      </c>
      <c r="AJR7" s="2">
        <v>0</v>
      </c>
      <c r="AJS7" s="2">
        <v>-1.8</v>
      </c>
      <c r="AJT7" s="2">
        <v>-0.6</v>
      </c>
      <c r="AJU7" s="2">
        <v>5.2</v>
      </c>
      <c r="AJV7" s="2">
        <v>-3.5</v>
      </c>
      <c r="AJW7" s="2">
        <v>-0.7</v>
      </c>
      <c r="AJX7" s="2">
        <v>5.9</v>
      </c>
      <c r="AJY7" s="2">
        <v>5.7</v>
      </c>
      <c r="AJZ7" s="2">
        <v>4.5</v>
      </c>
      <c r="AKA7" s="2">
        <v>-7.2</v>
      </c>
      <c r="AKB7" s="2">
        <v>2.4</v>
      </c>
      <c r="AKC7" s="2">
        <v>2.4</v>
      </c>
      <c r="AKD7" s="2">
        <v>-3.6</v>
      </c>
      <c r="AKE7" s="2">
        <v>-1.2</v>
      </c>
      <c r="AKF7" s="2">
        <v>2.5</v>
      </c>
      <c r="AKG7" s="2">
        <v>6.3</v>
      </c>
      <c r="AKH7" s="2">
        <v>0.9</v>
      </c>
      <c r="AKI7" s="2">
        <v>-3.3</v>
      </c>
      <c r="AKJ7" s="2">
        <v>2.8</v>
      </c>
      <c r="AKK7" s="2">
        <v>4.3</v>
      </c>
      <c r="AKL7" s="2">
        <v>-1.3</v>
      </c>
      <c r="AKM7" s="2">
        <v>-2.8</v>
      </c>
      <c r="AKN7" s="2">
        <v>1.7</v>
      </c>
      <c r="AKO7" s="2">
        <v>3.4</v>
      </c>
      <c r="AKP7" s="2">
        <v>2.02</v>
      </c>
      <c r="AKQ7" s="2">
        <v>2.06</v>
      </c>
      <c r="AKR7" s="2">
        <v>2.13</v>
      </c>
    </row>
    <row r="8">
      <c r="A8" t="inlineStr">
        <is>
          <t>Food products n.e.c.</t>
        </is>
      </c>
      <c r="B8" t="inlineStr">
        <is>
          <t>Food and non-alcoholic beverages</t>
        </is>
      </c>
      <c r="C8">
        <v>2</v>
      </c>
      <c r="D8">
        <v>2.3</v>
      </c>
      <c r="E8" s="3">
        <f>D8/17.41*0.174</f>
        <v>0.02298678920160827</v>
      </c>
      <c r="F8" s="3">
        <f>E8-D8/100</f>
        <v>-1.321079839173081e-05</v>
      </c>
      <c r="G8" s="3">
        <f>D8/17.41</f>
        <v>0.1321079839172889</v>
      </c>
      <c r="H8" s="2">
        <v>73.53</v>
      </c>
      <c r="I8" s="2">
        <v>73.73999999999999</v>
      </c>
      <c r="J8" s="2">
        <v>73.90000000000001</v>
      </c>
      <c r="K8" s="2">
        <v>74.47</v>
      </c>
      <c r="L8" s="2">
        <v>74.72</v>
      </c>
      <c r="M8" s="2">
        <v>73.95999999999999</v>
      </c>
      <c r="N8" s="2">
        <v>73.91</v>
      </c>
      <c r="O8" s="2">
        <v>73.86</v>
      </c>
      <c r="P8" s="2">
        <v>73.28</v>
      </c>
      <c r="Q8" s="2">
        <v>73.28</v>
      </c>
      <c r="R8" s="2">
        <v>73.69</v>
      </c>
      <c r="S8" s="2">
        <v>73.98999999999999</v>
      </c>
      <c r="T8" s="2">
        <v>73.06999999999999</v>
      </c>
      <c r="U8" s="2">
        <v>73.79000000000001</v>
      </c>
      <c r="V8" s="2">
        <v>73.75</v>
      </c>
      <c r="W8" s="2">
        <v>74.3</v>
      </c>
      <c r="X8" s="2">
        <v>74.77</v>
      </c>
      <c r="Y8" s="2">
        <v>74.37</v>
      </c>
      <c r="Z8" s="2">
        <v>74.09999999999999</v>
      </c>
      <c r="AA8" s="2">
        <v>74.15000000000001</v>
      </c>
      <c r="AB8" s="2">
        <v>73.66</v>
      </c>
      <c r="AC8" s="2">
        <v>73.62</v>
      </c>
      <c r="AD8" s="2">
        <v>74.33</v>
      </c>
      <c r="AE8" s="2">
        <v>74.34</v>
      </c>
      <c r="AF8" s="2">
        <v>73.90000000000001</v>
      </c>
      <c r="AG8" s="2">
        <v>74.73</v>
      </c>
      <c r="AH8" s="2">
        <v>75.44</v>
      </c>
      <c r="AI8" s="2">
        <v>75.8</v>
      </c>
      <c r="AJ8" s="2">
        <v>76.69</v>
      </c>
      <c r="AK8" s="2">
        <v>75.95</v>
      </c>
      <c r="AL8" s="2">
        <v>78.34999999999999</v>
      </c>
      <c r="AM8" s="2">
        <v>80.65000000000001</v>
      </c>
      <c r="AN8" s="2">
        <v>77.65000000000001</v>
      </c>
      <c r="AO8" s="2">
        <v>76.90000000000001</v>
      </c>
      <c r="AP8" s="2">
        <v>77.31999999999999</v>
      </c>
      <c r="AQ8" s="2">
        <v>77.16</v>
      </c>
      <c r="AR8" s="2">
        <v>76.88</v>
      </c>
      <c r="AS8" s="2">
        <v>77.44</v>
      </c>
      <c r="AT8" s="2">
        <v>77.45999999999999</v>
      </c>
      <c r="AU8" s="2">
        <v>78.03</v>
      </c>
      <c r="AV8" s="2">
        <v>78.62</v>
      </c>
      <c r="AW8" s="2">
        <v>77.65000000000001</v>
      </c>
      <c r="AX8" s="2">
        <v>77.5</v>
      </c>
      <c r="AY8" s="2">
        <v>77.59</v>
      </c>
      <c r="AZ8" s="2">
        <v>76.92</v>
      </c>
      <c r="BA8" s="2">
        <v>77.28</v>
      </c>
      <c r="BB8" s="2">
        <v>77.87</v>
      </c>
      <c r="BC8" s="2">
        <v>78.05</v>
      </c>
      <c r="BD8" s="2">
        <v>78.03</v>
      </c>
      <c r="BE8" s="2">
        <v>78.43000000000001</v>
      </c>
      <c r="BF8" s="2">
        <v>78.81</v>
      </c>
      <c r="BG8" s="2">
        <v>79.3</v>
      </c>
      <c r="BH8" s="2">
        <v>80.73999999999999</v>
      </c>
      <c r="BI8" s="2">
        <v>81.09</v>
      </c>
      <c r="BJ8" s="2">
        <v>81.56999999999999</v>
      </c>
      <c r="BK8" s="2">
        <v>82.02</v>
      </c>
      <c r="BL8" s="2">
        <v>81.88</v>
      </c>
      <c r="BM8" s="2">
        <v>82.97</v>
      </c>
      <c r="BN8" s="2">
        <v>84.45999999999999</v>
      </c>
      <c r="BO8" s="2">
        <v>85.76000000000001</v>
      </c>
      <c r="BP8" s="2">
        <v>86.22</v>
      </c>
      <c r="BQ8" s="2">
        <v>87.01000000000001</v>
      </c>
      <c r="BR8" s="2">
        <v>87.43000000000001</v>
      </c>
      <c r="BS8" s="2">
        <v>88.79000000000001</v>
      </c>
      <c r="BT8" s="2">
        <v>89.69</v>
      </c>
      <c r="BU8" s="2">
        <v>90.66</v>
      </c>
      <c r="BV8" s="2">
        <v>91.2</v>
      </c>
      <c r="BW8" s="2">
        <v>91.54000000000001</v>
      </c>
      <c r="BX8" s="2">
        <v>91.3</v>
      </c>
      <c r="BY8" s="2">
        <v>91.65000000000001</v>
      </c>
      <c r="BZ8" s="2">
        <v>91.48</v>
      </c>
      <c r="CA8" s="2">
        <v>91.66</v>
      </c>
      <c r="CB8" s="2">
        <v>92.12</v>
      </c>
      <c r="CC8" s="2">
        <v>92.38</v>
      </c>
      <c r="CD8" s="2">
        <v>93.23999999999999</v>
      </c>
      <c r="CE8" s="2">
        <v>94.75</v>
      </c>
      <c r="CF8" s="2">
        <v>95.87</v>
      </c>
      <c r="CG8" s="2">
        <v>95.04000000000001</v>
      </c>
      <c r="CH8" s="2">
        <v>94.75</v>
      </c>
      <c r="CI8" s="2">
        <v>95.38</v>
      </c>
      <c r="CJ8" s="2">
        <v>95</v>
      </c>
      <c r="CK8" s="2">
        <v>95.02</v>
      </c>
      <c r="CL8" s="2">
        <v>95.48</v>
      </c>
      <c r="CM8" s="2">
        <v>95.48999999999999</v>
      </c>
      <c r="CN8" s="2">
        <v>95.87</v>
      </c>
      <c r="CO8" s="2">
        <v>95.88</v>
      </c>
      <c r="CP8" s="2">
        <v>96.34</v>
      </c>
      <c r="CQ8" s="2">
        <v>97.58</v>
      </c>
      <c r="CR8" s="2">
        <v>98.88</v>
      </c>
      <c r="CS8" s="2">
        <v>97.62</v>
      </c>
      <c r="CT8" s="2">
        <v>97.89</v>
      </c>
      <c r="CU8" s="2">
        <v>98.84999999999999</v>
      </c>
      <c r="CV8" s="2">
        <v>98.56</v>
      </c>
      <c r="CW8" s="2">
        <v>98.61</v>
      </c>
      <c r="CX8" s="2">
        <v>98.98</v>
      </c>
      <c r="CY8" s="2">
        <v>99.45</v>
      </c>
      <c r="CZ8" s="2">
        <v>100</v>
      </c>
      <c r="DA8" s="2">
        <v>99.53</v>
      </c>
      <c r="DB8" s="2">
        <v>99.77</v>
      </c>
      <c r="DC8" s="2">
        <v>100.66</v>
      </c>
      <c r="DD8" s="2">
        <v>101.76</v>
      </c>
      <c r="DE8" s="2">
        <v>100.66</v>
      </c>
      <c r="DF8" s="2">
        <v>100.76</v>
      </c>
      <c r="DG8" s="2">
        <v>101</v>
      </c>
      <c r="DH8" s="2">
        <v>100.11</v>
      </c>
      <c r="DI8" s="2">
        <v>99.89</v>
      </c>
      <c r="DJ8" s="2">
        <v>99.91</v>
      </c>
      <c r="DK8" s="2">
        <v>-0.6</v>
      </c>
      <c r="DL8" s="2">
        <v>0.1</v>
      </c>
      <c r="DM8" s="2">
        <v>-0.2</v>
      </c>
      <c r="DN8" s="2">
        <v>-0.2</v>
      </c>
      <c r="DO8" s="2">
        <v>0.1</v>
      </c>
      <c r="DP8" s="2">
        <v>0.6</v>
      </c>
      <c r="DQ8" s="2">
        <v>0.3</v>
      </c>
      <c r="DR8" s="2">
        <v>0.4</v>
      </c>
      <c r="DS8" s="2">
        <v>0.5</v>
      </c>
      <c r="DT8" s="2">
        <v>0.5</v>
      </c>
      <c r="DU8" s="2">
        <v>0.9</v>
      </c>
      <c r="DV8" s="2">
        <v>0.5</v>
      </c>
      <c r="DW8" s="2">
        <v>1.1</v>
      </c>
      <c r="DX8" s="2">
        <v>1.3</v>
      </c>
      <c r="DY8" s="2">
        <v>2.3</v>
      </c>
      <c r="DZ8" s="2">
        <v>2</v>
      </c>
      <c r="EA8" s="2">
        <v>2.6</v>
      </c>
      <c r="EB8" s="2">
        <v>2.1</v>
      </c>
      <c r="EC8" s="2">
        <v>5.7</v>
      </c>
      <c r="ED8" s="2">
        <v>8.800000000000001</v>
      </c>
      <c r="EE8" s="2">
        <v>5.4</v>
      </c>
      <c r="EF8" s="2">
        <v>4.5</v>
      </c>
      <c r="EG8" s="2">
        <v>4</v>
      </c>
      <c r="EH8" s="2">
        <v>3.8</v>
      </c>
      <c r="EI8" s="2">
        <v>4</v>
      </c>
      <c r="EJ8" s="2">
        <v>3.6</v>
      </c>
      <c r="EK8" s="2">
        <v>2.7</v>
      </c>
      <c r="EL8" s="2">
        <v>2.9</v>
      </c>
      <c r="EM8" s="2">
        <v>2.5</v>
      </c>
      <c r="EN8" s="2">
        <v>2.2</v>
      </c>
      <c r="EO8" s="2">
        <v>-1.1</v>
      </c>
      <c r="EP8" s="2">
        <v>-3.8</v>
      </c>
      <c r="EQ8" s="2">
        <v>-0.9</v>
      </c>
      <c r="ER8" s="2">
        <v>0.5</v>
      </c>
      <c r="ES8" s="2">
        <v>0.7</v>
      </c>
      <c r="ET8" s="2">
        <v>1.2</v>
      </c>
      <c r="EU8" s="2">
        <v>1.5</v>
      </c>
      <c r="EV8" s="2">
        <v>1.3</v>
      </c>
      <c r="EW8" s="2">
        <v>1.7</v>
      </c>
      <c r="EX8" s="2">
        <v>1.6</v>
      </c>
      <c r="EY8" s="2">
        <v>2.7</v>
      </c>
      <c r="EZ8" s="2">
        <v>4.4</v>
      </c>
      <c r="FA8" s="2">
        <v>5.3</v>
      </c>
      <c r="FB8" s="2">
        <v>5.7</v>
      </c>
      <c r="FC8" s="2">
        <v>6.4</v>
      </c>
      <c r="FD8" s="2">
        <v>7.4</v>
      </c>
      <c r="FE8" s="2">
        <v>8.5</v>
      </c>
      <c r="FF8" s="2">
        <v>9.9</v>
      </c>
      <c r="FG8" s="2">
        <v>10.5</v>
      </c>
      <c r="FH8" s="2">
        <v>10.9</v>
      </c>
      <c r="FI8" s="2">
        <v>10.9</v>
      </c>
      <c r="FJ8" s="2">
        <v>12</v>
      </c>
      <c r="FK8" s="2">
        <v>11.1</v>
      </c>
      <c r="FL8" s="2">
        <v>11.8</v>
      </c>
      <c r="FM8" s="2">
        <v>11.8</v>
      </c>
      <c r="FN8" s="2">
        <v>11.6</v>
      </c>
      <c r="FO8" s="2">
        <v>11.5</v>
      </c>
      <c r="FP8" s="2">
        <v>10.5</v>
      </c>
      <c r="FQ8" s="2">
        <v>8.300000000000001</v>
      </c>
      <c r="FR8" s="2">
        <v>6.9</v>
      </c>
      <c r="FS8" s="2">
        <v>6.8</v>
      </c>
      <c r="FT8" s="2">
        <v>6.2</v>
      </c>
      <c r="FU8" s="2">
        <v>6.6</v>
      </c>
      <c r="FV8" s="2">
        <v>6.7</v>
      </c>
      <c r="FW8" s="2">
        <v>6.9</v>
      </c>
      <c r="FX8" s="2">
        <v>4.8</v>
      </c>
      <c r="FY8" s="2">
        <v>3.9</v>
      </c>
      <c r="FZ8" s="2">
        <v>4.2</v>
      </c>
      <c r="GA8" s="2">
        <v>4.1</v>
      </c>
      <c r="GB8" s="2">
        <v>3.7</v>
      </c>
      <c r="GC8" s="2">
        <v>4.4</v>
      </c>
      <c r="GD8" s="2">
        <v>4.2</v>
      </c>
      <c r="GE8" s="2">
        <v>4.1</v>
      </c>
      <c r="GF8" s="2">
        <v>3.8</v>
      </c>
      <c r="GG8" s="2">
        <v>3.3</v>
      </c>
      <c r="GH8" s="2">
        <v>3</v>
      </c>
      <c r="GI8" s="2">
        <v>3.1</v>
      </c>
      <c r="GJ8" s="2">
        <v>2.7</v>
      </c>
      <c r="GK8" s="2">
        <v>3.3</v>
      </c>
      <c r="GL8" s="2">
        <v>3.6</v>
      </c>
      <c r="GM8" s="2">
        <v>3.7</v>
      </c>
      <c r="GN8" s="2">
        <v>3.8</v>
      </c>
      <c r="GO8" s="2">
        <v>3.7</v>
      </c>
      <c r="GP8" s="2">
        <v>4.1</v>
      </c>
      <c r="GQ8" s="2">
        <v>4.3</v>
      </c>
      <c r="GR8" s="2">
        <v>3.8</v>
      </c>
      <c r="GS8" s="2">
        <v>3.6</v>
      </c>
      <c r="GT8" s="2">
        <v>3.2</v>
      </c>
      <c r="GU8" s="2">
        <v>2.9</v>
      </c>
      <c r="GV8" s="2">
        <v>3.1</v>
      </c>
      <c r="GW8" s="2">
        <v>2.9</v>
      </c>
      <c r="GX8" s="2">
        <v>2.2</v>
      </c>
      <c r="GY8" s="2">
        <v>1.6</v>
      </c>
      <c r="GZ8" s="2">
        <v>1.3</v>
      </c>
      <c r="HA8" s="2">
        <v>0.9</v>
      </c>
      <c r="HB8" s="2">
        <v>0.3</v>
      </c>
      <c r="HC8" s="2">
        <v>0.2</v>
      </c>
      <c r="HD8" s="2">
        <v>0.8</v>
      </c>
      <c r="HE8" s="2">
        <v>0.3</v>
      </c>
      <c r="HF8" s="2">
        <v>-1</v>
      </c>
      <c r="HG8" s="2">
        <v>-0.1</v>
      </c>
      <c r="HH8" s="2">
        <v>-0.1</v>
      </c>
      <c r="HI8" s="2">
        <v>-0.8</v>
      </c>
      <c r="HJ8" s="2">
        <v>0</v>
      </c>
      <c r="HK8" s="2">
        <v>0.6</v>
      </c>
      <c r="HL8" s="2">
        <v>0.4</v>
      </c>
      <c r="HM8" s="2">
        <v>-1.2</v>
      </c>
      <c r="HN8" s="2">
        <v>1</v>
      </c>
      <c r="HO8" s="2">
        <v>-0.1</v>
      </c>
      <c r="HP8" s="2">
        <v>0.7</v>
      </c>
      <c r="HQ8" s="2">
        <v>0.6</v>
      </c>
      <c r="HR8" s="2">
        <v>-0.5</v>
      </c>
      <c r="HS8" s="2">
        <v>-0.4</v>
      </c>
      <c r="HT8" s="2">
        <v>0.1</v>
      </c>
      <c r="HU8" s="2">
        <v>-0.7</v>
      </c>
      <c r="HV8" s="2">
        <v>-0.1</v>
      </c>
      <c r="HW8" s="2">
        <v>1</v>
      </c>
      <c r="HX8" s="2">
        <v>0</v>
      </c>
      <c r="HY8" s="2">
        <v>-0.6</v>
      </c>
      <c r="HZ8" s="2">
        <v>1.1</v>
      </c>
      <c r="IA8" s="2">
        <v>1</v>
      </c>
      <c r="IB8" s="2">
        <v>0.5</v>
      </c>
      <c r="IC8" s="2">
        <v>1.2</v>
      </c>
      <c r="ID8" s="2">
        <v>-1</v>
      </c>
      <c r="IE8" s="2">
        <v>3.2</v>
      </c>
      <c r="IF8" s="2">
        <v>2.9</v>
      </c>
      <c r="IG8" s="2">
        <v>-3.7</v>
      </c>
      <c r="IH8" s="2">
        <v>-1</v>
      </c>
      <c r="II8" s="2">
        <v>0.5</v>
      </c>
      <c r="IJ8" s="2">
        <v>-0.2</v>
      </c>
      <c r="IK8" s="2">
        <v>-0.4</v>
      </c>
      <c r="IL8" s="2">
        <v>0.7</v>
      </c>
      <c r="IM8" s="2">
        <v>0</v>
      </c>
      <c r="IN8" s="2">
        <v>0.7</v>
      </c>
      <c r="IO8" s="2">
        <v>0.8</v>
      </c>
      <c r="IP8" s="2">
        <v>-1.2</v>
      </c>
      <c r="IQ8" s="2">
        <v>-0.2</v>
      </c>
      <c r="IR8" s="2">
        <v>0.1</v>
      </c>
      <c r="IS8" s="2">
        <v>-0.9</v>
      </c>
      <c r="IT8" s="2">
        <v>0.5</v>
      </c>
      <c r="IU8" s="2">
        <v>0.8</v>
      </c>
      <c r="IV8" s="2">
        <v>0.2</v>
      </c>
      <c r="IW8" s="2">
        <v>0</v>
      </c>
      <c r="IX8" s="2">
        <v>0.5</v>
      </c>
      <c r="IY8" s="2">
        <v>0.5</v>
      </c>
      <c r="IZ8" s="2">
        <v>0.6</v>
      </c>
      <c r="JA8" s="2">
        <v>1.8</v>
      </c>
      <c r="JB8" s="2">
        <v>0.4</v>
      </c>
      <c r="JC8" s="2">
        <v>0.6</v>
      </c>
      <c r="JD8" s="2">
        <v>0.6</v>
      </c>
      <c r="JE8" s="2">
        <v>-0.2</v>
      </c>
      <c r="JF8" s="2">
        <v>1.3</v>
      </c>
      <c r="JG8" s="2">
        <v>1.8</v>
      </c>
      <c r="JH8" s="2">
        <v>1.5</v>
      </c>
      <c r="JI8" s="2">
        <v>0.5</v>
      </c>
      <c r="JJ8" s="2">
        <v>0.9</v>
      </c>
      <c r="JK8" s="2">
        <v>0.5</v>
      </c>
      <c r="JL8" s="2">
        <v>1.6</v>
      </c>
      <c r="JM8" s="2">
        <v>1</v>
      </c>
      <c r="JN8" s="2">
        <v>1.1</v>
      </c>
      <c r="JO8" s="2">
        <v>0.6</v>
      </c>
      <c r="JP8" s="2">
        <v>0.4</v>
      </c>
      <c r="JQ8" s="2">
        <v>-0.3</v>
      </c>
      <c r="JR8" s="2">
        <v>0.4</v>
      </c>
      <c r="JS8" s="2">
        <v>-0.2</v>
      </c>
      <c r="JT8" s="2">
        <v>0.2</v>
      </c>
      <c r="JU8" s="2">
        <v>0.5</v>
      </c>
      <c r="JV8" s="2">
        <v>0.3</v>
      </c>
      <c r="JW8" s="2">
        <v>0.9</v>
      </c>
      <c r="JX8" s="2">
        <v>1.6</v>
      </c>
      <c r="JY8" s="2">
        <v>1.2</v>
      </c>
      <c r="JZ8" s="2">
        <v>-0.9</v>
      </c>
      <c r="KA8" s="2">
        <v>-0.3</v>
      </c>
      <c r="KB8" s="2">
        <v>0.7</v>
      </c>
      <c r="KC8" s="2">
        <v>-0.4</v>
      </c>
      <c r="KD8" s="2">
        <v>0</v>
      </c>
      <c r="KE8" s="2">
        <v>0.5</v>
      </c>
      <c r="KF8" s="2">
        <v>0</v>
      </c>
      <c r="KG8" s="2">
        <v>0.4</v>
      </c>
      <c r="KH8" s="2">
        <v>0</v>
      </c>
      <c r="KI8" s="2">
        <v>0.5</v>
      </c>
      <c r="KJ8" s="2">
        <v>1.3</v>
      </c>
      <c r="KK8" s="2">
        <v>1.3</v>
      </c>
      <c r="KL8" s="2">
        <v>-1.3</v>
      </c>
      <c r="KM8" s="2">
        <v>0.3</v>
      </c>
      <c r="KN8" s="2">
        <v>1</v>
      </c>
      <c r="KO8" s="2">
        <v>-0.3</v>
      </c>
      <c r="KP8" s="2">
        <v>0.1</v>
      </c>
      <c r="KQ8" s="2">
        <v>0.4</v>
      </c>
      <c r="KR8" s="2">
        <v>0.5</v>
      </c>
      <c r="KS8" s="2">
        <v>0.6</v>
      </c>
      <c r="KT8" s="2">
        <v>-0.5</v>
      </c>
      <c r="KU8" s="2">
        <v>0.2</v>
      </c>
      <c r="KV8" s="2">
        <v>0.9</v>
      </c>
      <c r="KW8" s="2">
        <v>1.1</v>
      </c>
      <c r="KX8" s="2">
        <v>-1.1</v>
      </c>
      <c r="KY8" s="2">
        <v>0.1</v>
      </c>
      <c r="KZ8" s="2">
        <v>0.2</v>
      </c>
      <c r="LA8" s="2">
        <v>-0.9</v>
      </c>
      <c r="LB8" s="2">
        <v>-0.2</v>
      </c>
      <c r="LC8" s="2">
        <v>0</v>
      </c>
      <c r="LD8" s="2">
        <v>2.23</v>
      </c>
      <c r="LE8" s="2">
        <v>2.26</v>
      </c>
      <c r="LF8" s="2">
        <v>2.23</v>
      </c>
      <c r="LG8" s="2">
        <v>2.24</v>
      </c>
      <c r="LH8" s="2">
        <v>2.26</v>
      </c>
      <c r="LI8" s="2">
        <v>2.26</v>
      </c>
      <c r="LJ8" s="2">
        <v>2.26</v>
      </c>
      <c r="LK8" s="2">
        <v>2.27</v>
      </c>
      <c r="LL8" s="2">
        <v>2.28</v>
      </c>
      <c r="LM8" s="2">
        <v>2.29</v>
      </c>
      <c r="LN8" s="2">
        <v>2.28</v>
      </c>
      <c r="LO8" s="2">
        <v>2.28</v>
      </c>
      <c r="LP8" s="2">
        <v>2.3</v>
      </c>
      <c r="LQ8" s="2">
        <v>2.33</v>
      </c>
      <c r="LR8" s="2">
        <v>2.3</v>
      </c>
      <c r="LS8" s="2">
        <v>2.31</v>
      </c>
      <c r="LT8" s="2">
        <v>2.31</v>
      </c>
      <c r="LU8" s="2">
        <v>2.29</v>
      </c>
      <c r="LV8" s="2">
        <v>2.29</v>
      </c>
      <c r="LW8" s="2">
        <v>2.29</v>
      </c>
      <c r="LX8" s="2">
        <v>0.03</v>
      </c>
      <c r="LY8" s="2">
        <v>-0.03</v>
      </c>
      <c r="LZ8" s="2">
        <v>0.01</v>
      </c>
      <c r="MA8" s="2">
        <v>0.02</v>
      </c>
      <c r="MB8" s="2">
        <v>0</v>
      </c>
      <c r="MC8" s="2">
        <v>0</v>
      </c>
      <c r="MD8" s="2">
        <v>0.01</v>
      </c>
      <c r="ME8" s="2">
        <v>0.01</v>
      </c>
      <c r="MF8" s="2">
        <v>0.01</v>
      </c>
      <c r="MG8" s="2">
        <v>-0.01</v>
      </c>
      <c r="MH8" s="2">
        <v>0</v>
      </c>
      <c r="MI8" s="2">
        <v>0.02</v>
      </c>
      <c r="MJ8" s="2">
        <v>0.03</v>
      </c>
      <c r="MK8" s="2">
        <v>-0.03</v>
      </c>
      <c r="ML8" s="2">
        <v>0.01</v>
      </c>
      <c r="MM8" s="2">
        <v>0</v>
      </c>
      <c r="MN8" s="2">
        <v>-0.02</v>
      </c>
      <c r="MO8" s="2">
        <v>0</v>
      </c>
      <c r="MP8" s="2">
        <v>0</v>
      </c>
      <c r="SY8" s="2">
        <v>33.44</v>
      </c>
      <c r="SZ8" s="2">
        <v>34.2</v>
      </c>
      <c r="TA8" s="2">
        <v>35.17</v>
      </c>
      <c r="TB8" s="2">
        <v>35.51</v>
      </c>
      <c r="TC8" s="2">
        <v>36.13</v>
      </c>
      <c r="TD8" s="2">
        <v>36.51</v>
      </c>
      <c r="TE8" s="2">
        <v>36.76</v>
      </c>
      <c r="TF8" s="2">
        <v>37.38</v>
      </c>
      <c r="TG8" s="2">
        <v>37.59</v>
      </c>
      <c r="TH8" s="2">
        <v>38.14</v>
      </c>
      <c r="TI8" s="2">
        <v>38.28</v>
      </c>
      <c r="TJ8" s="2">
        <v>38.97</v>
      </c>
      <c r="TK8" s="2">
        <v>39.28</v>
      </c>
      <c r="TL8" s="2">
        <v>39.66</v>
      </c>
      <c r="TM8" s="2">
        <v>39.87</v>
      </c>
      <c r="TN8" s="2">
        <v>40.42</v>
      </c>
      <c r="TO8" s="2">
        <v>40.73</v>
      </c>
      <c r="TP8" s="2">
        <v>41.39</v>
      </c>
      <c r="TQ8" s="2">
        <v>41.84</v>
      </c>
      <c r="TR8" s="2">
        <v>41.98</v>
      </c>
      <c r="TS8" s="2">
        <v>42.29</v>
      </c>
      <c r="TT8" s="2">
        <v>42.5</v>
      </c>
      <c r="TU8" s="2">
        <v>43.12</v>
      </c>
      <c r="TV8" s="2">
        <v>43.19</v>
      </c>
      <c r="TW8" s="2">
        <v>43.91</v>
      </c>
      <c r="TX8" s="2">
        <v>44.5</v>
      </c>
      <c r="TY8" s="2">
        <v>44.71</v>
      </c>
      <c r="TZ8" s="2">
        <v>45.06</v>
      </c>
      <c r="UA8" s="2">
        <v>45.51</v>
      </c>
      <c r="UB8" s="2">
        <v>45.57</v>
      </c>
      <c r="UC8" s="2">
        <v>46.3</v>
      </c>
      <c r="UD8" s="2">
        <v>46.75</v>
      </c>
      <c r="UE8" s="2">
        <v>47.51</v>
      </c>
      <c r="UF8" s="2">
        <v>48.31</v>
      </c>
      <c r="UG8" s="2">
        <v>48.44</v>
      </c>
      <c r="UH8" s="2">
        <v>48.65</v>
      </c>
      <c r="UI8" s="2">
        <v>49.27</v>
      </c>
      <c r="UJ8" s="2">
        <v>49.38</v>
      </c>
      <c r="UK8" s="2">
        <v>49.69</v>
      </c>
      <c r="UL8" s="2">
        <v>50.66</v>
      </c>
      <c r="UM8" s="2">
        <v>50.83</v>
      </c>
      <c r="UN8" s="2">
        <v>51.28</v>
      </c>
      <c r="UO8" s="2">
        <v>51.63</v>
      </c>
      <c r="UP8" s="2">
        <v>51.9</v>
      </c>
      <c r="UQ8" s="2">
        <v>51.97</v>
      </c>
      <c r="UR8" s="2">
        <v>52.59</v>
      </c>
      <c r="US8" s="2">
        <v>52.94</v>
      </c>
      <c r="UT8" s="2">
        <v>53.77</v>
      </c>
      <c r="UU8" s="2">
        <v>54.15</v>
      </c>
      <c r="UV8" s="2">
        <v>55.01</v>
      </c>
      <c r="UW8" s="2">
        <v>55.36</v>
      </c>
      <c r="UX8" s="2">
        <v>56.05</v>
      </c>
      <c r="UY8" s="2">
        <v>56.54</v>
      </c>
      <c r="UZ8" s="2">
        <v>56.99</v>
      </c>
      <c r="VA8" s="2">
        <v>58.75</v>
      </c>
      <c r="VB8" s="2">
        <v>58.64</v>
      </c>
      <c r="VC8" s="2">
        <v>58.99</v>
      </c>
      <c r="VD8" s="2">
        <v>58.68</v>
      </c>
      <c r="VE8" s="2">
        <v>59.44</v>
      </c>
      <c r="VF8" s="2">
        <v>59.41</v>
      </c>
      <c r="VG8" s="2">
        <v>59.37</v>
      </c>
      <c r="VH8" s="2">
        <v>59.72</v>
      </c>
      <c r="VI8" s="2">
        <v>60.79</v>
      </c>
      <c r="VJ8" s="2">
        <v>60.96</v>
      </c>
      <c r="VK8" s="2">
        <v>61.55</v>
      </c>
      <c r="VL8" s="2">
        <v>62.14</v>
      </c>
      <c r="VM8" s="2">
        <v>63</v>
      </c>
      <c r="VN8" s="2">
        <v>63.49</v>
      </c>
      <c r="VO8" s="2">
        <v>64.56</v>
      </c>
      <c r="VP8" s="2">
        <v>65.20999999999999</v>
      </c>
      <c r="VQ8" s="2">
        <v>66.39</v>
      </c>
      <c r="VR8" s="2">
        <v>66.53</v>
      </c>
      <c r="VS8" s="2">
        <v>66.53</v>
      </c>
      <c r="VT8" s="2">
        <v>67.7</v>
      </c>
      <c r="VU8" s="2">
        <v>68.91</v>
      </c>
      <c r="VV8" s="2">
        <v>69.88</v>
      </c>
      <c r="VW8" s="2">
        <v>70.3</v>
      </c>
      <c r="VX8" s="2">
        <v>71.58</v>
      </c>
      <c r="VY8" s="2">
        <v>73.17</v>
      </c>
      <c r="VZ8" s="2">
        <v>73.31</v>
      </c>
      <c r="WA8" s="2">
        <v>73.06</v>
      </c>
      <c r="WB8" s="2">
        <v>73.76000000000001</v>
      </c>
      <c r="WC8" s="2">
        <v>74.03</v>
      </c>
      <c r="WD8" s="2">
        <v>74.06999999999999</v>
      </c>
      <c r="WE8" s="2">
        <v>73.81999999999999</v>
      </c>
      <c r="WF8" s="2">
        <v>73.86</v>
      </c>
      <c r="WG8" s="2">
        <v>74.69</v>
      </c>
      <c r="WH8" s="2">
        <v>74.72</v>
      </c>
      <c r="WI8" s="2">
        <v>74.77</v>
      </c>
      <c r="WJ8" s="2">
        <v>74.59</v>
      </c>
      <c r="WK8" s="2">
        <v>74.88</v>
      </c>
      <c r="WL8" s="2">
        <v>75.26000000000001</v>
      </c>
      <c r="WM8" s="2">
        <v>75.58</v>
      </c>
      <c r="WN8" s="2">
        <v>75.59</v>
      </c>
      <c r="WO8" s="2">
        <v>75.45999999999999</v>
      </c>
      <c r="WP8" s="2">
        <v>75.27</v>
      </c>
      <c r="WQ8" s="2">
        <v>75.67</v>
      </c>
      <c r="WR8" s="2">
        <v>76.63</v>
      </c>
      <c r="WS8" s="2">
        <v>76.27</v>
      </c>
      <c r="WT8" s="2">
        <v>76.18000000000001</v>
      </c>
      <c r="WU8" s="2">
        <v>76.28</v>
      </c>
      <c r="WV8" s="2">
        <v>76.77</v>
      </c>
      <c r="WW8" s="2">
        <v>77.3</v>
      </c>
      <c r="WX8" s="2">
        <v>76.33</v>
      </c>
      <c r="WY8" s="2">
        <v>76.05</v>
      </c>
      <c r="WZ8" s="2">
        <v>76.5</v>
      </c>
      <c r="XA8" s="2">
        <v>77.41</v>
      </c>
      <c r="XB8" s="2">
        <v>75.09</v>
      </c>
      <c r="XC8" s="2">
        <v>75.40000000000001</v>
      </c>
      <c r="XD8" s="2">
        <v>76.48999999999999</v>
      </c>
      <c r="XE8" s="2">
        <v>76.31999999999999</v>
      </c>
      <c r="XF8" s="2">
        <v>75.68000000000001</v>
      </c>
      <c r="XG8" s="2">
        <v>75.5</v>
      </c>
      <c r="XH8" s="2">
        <v>75.69</v>
      </c>
      <c r="XI8" s="2">
        <v>75.8</v>
      </c>
      <c r="XJ8" s="2">
        <v>74.8</v>
      </c>
      <c r="XK8" s="2">
        <v>74.90000000000001</v>
      </c>
      <c r="XL8" s="2">
        <v>75.31999999999999</v>
      </c>
      <c r="XM8" s="2">
        <v>75.56999999999999</v>
      </c>
      <c r="XN8" s="2">
        <v>74.91</v>
      </c>
      <c r="XO8" s="2">
        <v>75.15000000000001</v>
      </c>
      <c r="XP8" s="2">
        <v>76.08</v>
      </c>
      <c r="XQ8" s="2">
        <v>77.81999999999999</v>
      </c>
      <c r="XR8" s="2">
        <v>78.70999999999999</v>
      </c>
      <c r="XS8" s="2">
        <v>77.45999999999999</v>
      </c>
      <c r="XT8" s="2">
        <v>77.78</v>
      </c>
      <c r="XU8" s="2">
        <v>78.05</v>
      </c>
      <c r="XV8" s="2">
        <v>77.47</v>
      </c>
      <c r="XW8" s="2">
        <v>78.12</v>
      </c>
      <c r="XX8" s="2">
        <v>79.09</v>
      </c>
      <c r="XY8" s="2">
        <v>81.33</v>
      </c>
      <c r="XZ8" s="2">
        <v>82.25</v>
      </c>
      <c r="YA8" s="2">
        <v>85.47</v>
      </c>
      <c r="YB8" s="2">
        <v>87.73</v>
      </c>
      <c r="YC8" s="2">
        <v>90.51000000000001</v>
      </c>
      <c r="YD8" s="2">
        <v>91.48</v>
      </c>
      <c r="YE8" s="2">
        <v>91.73999999999999</v>
      </c>
      <c r="YF8" s="2">
        <v>93.44</v>
      </c>
      <c r="YG8" s="2">
        <v>95.22</v>
      </c>
      <c r="YH8" s="2">
        <v>95.13</v>
      </c>
      <c r="YI8" s="2">
        <v>95.61</v>
      </c>
      <c r="YJ8" s="2">
        <v>96.59999999999999</v>
      </c>
      <c r="YK8" s="2">
        <v>98.13</v>
      </c>
      <c r="YL8" s="2">
        <v>98.67</v>
      </c>
      <c r="YM8" s="2">
        <v>99.47</v>
      </c>
      <c r="YN8" s="2">
        <v>99.98999999999999</v>
      </c>
      <c r="YO8" s="2">
        <v>101.06</v>
      </c>
      <c r="YP8" s="2">
        <v>100.33</v>
      </c>
      <c r="AEY8" s="2">
        <v>2.3</v>
      </c>
      <c r="AEZ8" s="2">
        <v>2.8</v>
      </c>
      <c r="AFA8" s="2">
        <v>1</v>
      </c>
      <c r="AFB8" s="2">
        <v>1.7</v>
      </c>
      <c r="AFC8" s="2">
        <v>1.1</v>
      </c>
      <c r="AFD8" s="2">
        <v>0.7</v>
      </c>
      <c r="AFE8" s="2">
        <v>1.7</v>
      </c>
      <c r="AFF8" s="2">
        <v>0.6</v>
      </c>
      <c r="AFG8" s="2">
        <v>1.5</v>
      </c>
      <c r="AFH8" s="2">
        <v>0.4</v>
      </c>
      <c r="AFI8" s="2">
        <v>1.8</v>
      </c>
      <c r="AFJ8" s="2">
        <v>0.8</v>
      </c>
      <c r="AFK8" s="2">
        <v>1</v>
      </c>
      <c r="AFL8" s="2">
        <v>0.5</v>
      </c>
      <c r="AFM8" s="2">
        <v>1.4</v>
      </c>
      <c r="AFN8" s="2">
        <v>0.8</v>
      </c>
      <c r="AFO8" s="2">
        <v>1.6</v>
      </c>
      <c r="AFP8" s="2">
        <v>1.1</v>
      </c>
      <c r="AFQ8" s="2">
        <v>0.3</v>
      </c>
      <c r="AFR8" s="2">
        <v>0.7</v>
      </c>
      <c r="AFS8" s="2">
        <v>0.5</v>
      </c>
      <c r="AFT8" s="2">
        <v>1.5</v>
      </c>
      <c r="AFU8" s="2">
        <v>0.2</v>
      </c>
      <c r="AFV8" s="2">
        <v>1.7</v>
      </c>
      <c r="AFW8" s="2">
        <v>1.3</v>
      </c>
      <c r="AFX8" s="2">
        <v>0.5</v>
      </c>
      <c r="AFY8" s="2">
        <v>0.8</v>
      </c>
      <c r="AFZ8" s="2">
        <v>1</v>
      </c>
      <c r="AGA8" s="2">
        <v>0.1</v>
      </c>
      <c r="AGB8" s="2">
        <v>1.6</v>
      </c>
      <c r="AGC8" s="2">
        <v>1</v>
      </c>
      <c r="AGD8" s="2">
        <v>1.6</v>
      </c>
      <c r="AGE8" s="2">
        <v>1.7</v>
      </c>
      <c r="AGF8" s="2">
        <v>0.3</v>
      </c>
      <c r="AGG8" s="2">
        <v>0.4</v>
      </c>
      <c r="AGH8" s="2">
        <v>1.3</v>
      </c>
      <c r="AGI8" s="2">
        <v>0.2</v>
      </c>
      <c r="AGJ8" s="2">
        <v>0.6</v>
      </c>
      <c r="AGK8" s="2">
        <v>2</v>
      </c>
      <c r="AGL8" s="2">
        <v>0.3</v>
      </c>
      <c r="AGM8" s="2">
        <v>0.9</v>
      </c>
      <c r="AGN8" s="2">
        <v>0.7</v>
      </c>
      <c r="AGO8" s="2">
        <v>0.5</v>
      </c>
      <c r="AGP8" s="2">
        <v>0.1</v>
      </c>
      <c r="AGQ8" s="2">
        <v>1.2</v>
      </c>
      <c r="AGR8" s="2">
        <v>0.7</v>
      </c>
      <c r="AGS8" s="2">
        <v>1.6</v>
      </c>
      <c r="AGT8" s="2">
        <v>0.7</v>
      </c>
      <c r="AGU8" s="2">
        <v>1.6</v>
      </c>
      <c r="AGV8" s="2">
        <v>0.6</v>
      </c>
      <c r="AGW8" s="2">
        <v>1.2</v>
      </c>
      <c r="AGX8" s="2">
        <v>0.9</v>
      </c>
      <c r="AGY8" s="2">
        <v>0.8</v>
      </c>
      <c r="AGZ8" s="2">
        <v>3.1</v>
      </c>
      <c r="AHA8" s="2">
        <v>-0.2</v>
      </c>
      <c r="AHB8" s="2">
        <v>0.6</v>
      </c>
      <c r="AHC8" s="2">
        <v>-0.5</v>
      </c>
      <c r="AHD8" s="2">
        <v>1.3</v>
      </c>
      <c r="AHE8" s="2">
        <v>-0.1</v>
      </c>
      <c r="AHF8" s="2">
        <v>-0.1</v>
      </c>
      <c r="AHG8" s="2">
        <v>0.6</v>
      </c>
      <c r="AHH8" s="2">
        <v>1.8</v>
      </c>
      <c r="AHI8" s="2">
        <v>0.3</v>
      </c>
      <c r="AHJ8" s="2">
        <v>1</v>
      </c>
      <c r="AHK8" s="2">
        <v>1</v>
      </c>
      <c r="AHL8" s="2">
        <v>1.4</v>
      </c>
      <c r="AHM8" s="2">
        <v>0.8</v>
      </c>
      <c r="AHN8" s="2">
        <v>1.7</v>
      </c>
      <c r="AHO8" s="2">
        <v>1</v>
      </c>
      <c r="AHP8" s="2">
        <v>1.8</v>
      </c>
      <c r="AHQ8" s="2">
        <v>0.2</v>
      </c>
      <c r="AHR8" s="2">
        <v>0</v>
      </c>
      <c r="AHS8" s="2">
        <v>1.8</v>
      </c>
      <c r="AHT8" s="2">
        <v>1.8</v>
      </c>
      <c r="AHU8" s="2">
        <v>1.4</v>
      </c>
      <c r="AHV8" s="2">
        <v>0.6</v>
      </c>
      <c r="AHW8" s="2">
        <v>1.8</v>
      </c>
      <c r="AHX8" s="2">
        <v>2.2</v>
      </c>
      <c r="AHY8" s="2">
        <v>0.2</v>
      </c>
      <c r="AHZ8" s="2">
        <v>-0.3</v>
      </c>
      <c r="AIA8" s="2">
        <v>1</v>
      </c>
      <c r="AIB8" s="2">
        <v>0.4</v>
      </c>
      <c r="AIC8" s="2">
        <v>0.1</v>
      </c>
      <c r="AID8" s="2">
        <v>-0.3</v>
      </c>
      <c r="AIE8" s="2">
        <v>0.1</v>
      </c>
      <c r="AIF8" s="2">
        <v>1.1</v>
      </c>
      <c r="AIG8" s="2">
        <v>0</v>
      </c>
      <c r="AIH8" s="2">
        <v>0.1</v>
      </c>
      <c r="AII8" s="2">
        <v>-0.2</v>
      </c>
      <c r="AIJ8" s="2">
        <v>0.4</v>
      </c>
      <c r="AIK8" s="2">
        <v>0.5</v>
      </c>
      <c r="AIL8" s="2">
        <v>0.4</v>
      </c>
      <c r="AIM8" s="2">
        <v>0</v>
      </c>
      <c r="AIN8" s="2">
        <v>-0.2</v>
      </c>
      <c r="AIO8" s="2">
        <v>-0.3</v>
      </c>
      <c r="AIP8" s="2">
        <v>0.5</v>
      </c>
      <c r="AIQ8" s="2">
        <v>1.3</v>
      </c>
      <c r="AIR8" s="2">
        <v>-0.5</v>
      </c>
      <c r="AIS8" s="2">
        <v>-0.1</v>
      </c>
      <c r="AIT8" s="2">
        <v>0.1</v>
      </c>
      <c r="AIU8" s="2">
        <v>0.6</v>
      </c>
      <c r="AIV8" s="2">
        <v>0.7</v>
      </c>
      <c r="AIW8" s="2">
        <v>-1.3</v>
      </c>
      <c r="AIX8" s="2">
        <v>-0.4</v>
      </c>
      <c r="AIY8" s="2">
        <v>0.6</v>
      </c>
      <c r="AIZ8" s="2">
        <v>1.2</v>
      </c>
      <c r="AJA8" s="2">
        <v>-3</v>
      </c>
      <c r="AJB8" s="2">
        <v>0.4</v>
      </c>
      <c r="AJC8" s="2">
        <v>1.4</v>
      </c>
      <c r="AJD8" s="2">
        <v>-0.2</v>
      </c>
      <c r="AJE8" s="2">
        <v>-0.8</v>
      </c>
      <c r="AJF8" s="2">
        <v>-0.2</v>
      </c>
      <c r="AJG8" s="2">
        <v>0.3</v>
      </c>
      <c r="AJH8" s="2">
        <v>0.1</v>
      </c>
      <c r="AJI8" s="2">
        <v>-1.3</v>
      </c>
      <c r="AJJ8" s="2">
        <v>0.1</v>
      </c>
      <c r="AJK8" s="2">
        <v>0.6</v>
      </c>
      <c r="AJL8" s="2">
        <v>0.3</v>
      </c>
      <c r="AJM8" s="2">
        <v>-0.9</v>
      </c>
      <c r="AJN8" s="2">
        <v>0.3</v>
      </c>
      <c r="AJO8" s="2">
        <v>1.2</v>
      </c>
      <c r="AJP8" s="2">
        <v>2.3</v>
      </c>
      <c r="AJQ8" s="2">
        <v>1.1</v>
      </c>
      <c r="AJR8" s="2">
        <v>-1.6</v>
      </c>
      <c r="AJS8" s="2">
        <v>0.4</v>
      </c>
      <c r="AJT8" s="2">
        <v>0.3</v>
      </c>
      <c r="AJU8" s="2">
        <v>-0.7</v>
      </c>
      <c r="AJV8" s="2">
        <v>0.8</v>
      </c>
      <c r="AJW8" s="2">
        <v>1.2</v>
      </c>
      <c r="AJX8" s="2">
        <v>2.8</v>
      </c>
      <c r="AJY8" s="2">
        <v>1.1</v>
      </c>
      <c r="AJZ8" s="2">
        <v>3.9</v>
      </c>
      <c r="AKA8" s="2">
        <v>2.6</v>
      </c>
      <c r="AKB8" s="2">
        <v>3.2</v>
      </c>
      <c r="AKC8" s="2">
        <v>1.1</v>
      </c>
      <c r="AKD8" s="2">
        <v>0.3</v>
      </c>
      <c r="AKE8" s="2">
        <v>1.9</v>
      </c>
      <c r="AKF8" s="2">
        <v>1.9</v>
      </c>
      <c r="AKG8" s="2">
        <v>-0.1</v>
      </c>
      <c r="AKH8" s="2">
        <v>0.5</v>
      </c>
      <c r="AKI8" s="2">
        <v>1</v>
      </c>
      <c r="AKJ8" s="2">
        <v>1.6</v>
      </c>
      <c r="AKK8" s="2">
        <v>0.6</v>
      </c>
      <c r="AKL8" s="2">
        <v>0.8</v>
      </c>
      <c r="AKM8" s="2">
        <v>0.5</v>
      </c>
      <c r="AKN8" s="2">
        <v>1.1</v>
      </c>
      <c r="AKO8" s="2">
        <v>-0.7</v>
      </c>
      <c r="AKP8" s="2">
        <v>2.29</v>
      </c>
      <c r="AKQ8" s="2">
        <v>2.31</v>
      </c>
      <c r="AKR8" s="2">
        <v>2.3</v>
      </c>
    </row>
    <row r="9">
      <c r="A9" t="inlineStr">
        <is>
          <t>Non-alcoholic beverages</t>
        </is>
      </c>
      <c r="B9" t="inlineStr">
        <is>
          <t>Food and non-alcoholic beverages</t>
        </is>
      </c>
      <c r="C9">
        <v>2</v>
      </c>
      <c r="D9">
        <v>1.21</v>
      </c>
      <c r="E9" s="3">
        <f>D9/17.41*0.174</f>
        <v>0.012093049971280872</v>
      </c>
      <c r="F9" s="3">
        <f>E9-D9/100</f>
        <v>-6.950028719128129e-06</v>
      </c>
      <c r="G9" s="3">
        <f>D9/17.41</f>
        <v>0.06950028719126938</v>
      </c>
      <c r="H9" s="2">
        <v>73.02</v>
      </c>
      <c r="I9" s="2">
        <v>73.23999999999999</v>
      </c>
      <c r="J9" s="2">
        <v>73.39</v>
      </c>
      <c r="K9" s="2">
        <v>74.34999999999999</v>
      </c>
      <c r="L9" s="2">
        <v>75.51000000000001</v>
      </c>
      <c r="M9" s="2">
        <v>75.20999999999999</v>
      </c>
      <c r="N9" s="2">
        <v>75.18000000000001</v>
      </c>
      <c r="O9" s="2">
        <v>75.31</v>
      </c>
      <c r="P9" s="2">
        <v>75.08</v>
      </c>
      <c r="Q9" s="2">
        <v>74.48</v>
      </c>
      <c r="R9" s="2">
        <v>75.42</v>
      </c>
      <c r="S9" s="2">
        <v>75.26000000000001</v>
      </c>
      <c r="T9" s="2">
        <v>74.33</v>
      </c>
      <c r="U9" s="2">
        <v>74.34</v>
      </c>
      <c r="V9" s="2">
        <v>75.59</v>
      </c>
      <c r="W9" s="2">
        <v>74.76000000000001</v>
      </c>
      <c r="X9" s="2">
        <v>75.81999999999999</v>
      </c>
      <c r="Y9" s="2">
        <v>76.48</v>
      </c>
      <c r="Z9" s="2">
        <v>76.43000000000001</v>
      </c>
      <c r="AA9" s="2">
        <v>75.83</v>
      </c>
      <c r="AB9" s="2">
        <v>76.53</v>
      </c>
      <c r="AC9" s="2">
        <v>75.76000000000001</v>
      </c>
      <c r="AD9" s="2">
        <v>76.87</v>
      </c>
      <c r="AE9" s="2">
        <v>76.53</v>
      </c>
      <c r="AF9" s="2">
        <v>75.72</v>
      </c>
      <c r="AG9" s="2">
        <v>75.59999999999999</v>
      </c>
      <c r="AH9" s="2">
        <v>75.36</v>
      </c>
      <c r="AI9" s="2">
        <v>74.64</v>
      </c>
      <c r="AJ9" s="2">
        <v>75.84999999999999</v>
      </c>
      <c r="AK9" s="2">
        <v>76</v>
      </c>
      <c r="AL9" s="2">
        <v>77.95</v>
      </c>
      <c r="AM9" s="2">
        <v>79.68000000000001</v>
      </c>
      <c r="AN9" s="2">
        <v>78.5</v>
      </c>
      <c r="AO9" s="2">
        <v>77.51000000000001</v>
      </c>
      <c r="AP9" s="2">
        <v>78.59999999999999</v>
      </c>
      <c r="AQ9" s="2">
        <v>78.23999999999999</v>
      </c>
      <c r="AR9" s="2">
        <v>77.62</v>
      </c>
      <c r="AS9" s="2">
        <v>78.14</v>
      </c>
      <c r="AT9" s="2">
        <v>78.16</v>
      </c>
      <c r="AU9" s="2">
        <v>76.86</v>
      </c>
      <c r="AV9" s="2">
        <v>78.16</v>
      </c>
      <c r="AW9" s="2">
        <v>78.66</v>
      </c>
      <c r="AX9" s="2">
        <v>78.26000000000001</v>
      </c>
      <c r="AY9" s="2">
        <v>78.22</v>
      </c>
      <c r="AZ9" s="2">
        <v>78.89</v>
      </c>
      <c r="BA9" s="2">
        <v>78.78</v>
      </c>
      <c r="BB9" s="2">
        <v>79.26000000000001</v>
      </c>
      <c r="BC9" s="2">
        <v>79.41</v>
      </c>
      <c r="BD9" s="2">
        <v>78.84</v>
      </c>
      <c r="BE9" s="2">
        <v>78.97</v>
      </c>
      <c r="BF9" s="2">
        <v>78.62</v>
      </c>
      <c r="BG9" s="2">
        <v>79.05</v>
      </c>
      <c r="BH9" s="2">
        <v>81.03</v>
      </c>
      <c r="BI9" s="2">
        <v>84.72</v>
      </c>
      <c r="BJ9" s="2">
        <v>84.76000000000001</v>
      </c>
      <c r="BK9" s="2">
        <v>84.54000000000001</v>
      </c>
      <c r="BL9" s="2">
        <v>84.83</v>
      </c>
      <c r="BM9" s="2">
        <v>85.02</v>
      </c>
      <c r="BN9" s="2">
        <v>85.81999999999999</v>
      </c>
      <c r="BO9" s="2">
        <v>87.02</v>
      </c>
      <c r="BP9" s="2">
        <v>87.05</v>
      </c>
      <c r="BQ9" s="2">
        <v>87.78</v>
      </c>
      <c r="BR9" s="2">
        <v>87.34999999999999</v>
      </c>
      <c r="BS9" s="2">
        <v>86.61</v>
      </c>
      <c r="BT9" s="2">
        <v>89.08</v>
      </c>
      <c r="BU9" s="2">
        <v>90.26000000000001</v>
      </c>
      <c r="BV9" s="2">
        <v>90.92</v>
      </c>
      <c r="BW9" s="2">
        <v>92.76000000000001</v>
      </c>
      <c r="BX9" s="2">
        <v>92.66</v>
      </c>
      <c r="BY9" s="2">
        <v>90.79000000000001</v>
      </c>
      <c r="BZ9" s="2">
        <v>91.66</v>
      </c>
      <c r="CA9" s="2">
        <v>91.42</v>
      </c>
      <c r="CB9" s="2">
        <v>91.28</v>
      </c>
      <c r="CC9" s="2">
        <v>90.77</v>
      </c>
      <c r="CD9" s="2">
        <v>92.02</v>
      </c>
      <c r="CE9" s="2">
        <v>92.7</v>
      </c>
      <c r="CF9" s="2">
        <v>94.19</v>
      </c>
      <c r="CG9" s="2">
        <v>94.73</v>
      </c>
      <c r="CH9" s="2">
        <v>95.90000000000001</v>
      </c>
      <c r="CI9" s="2">
        <v>95.38</v>
      </c>
      <c r="CJ9" s="2">
        <v>96.17</v>
      </c>
      <c r="CK9" s="2">
        <v>96.29000000000001</v>
      </c>
      <c r="CL9" s="2">
        <v>96.15000000000001</v>
      </c>
      <c r="CM9" s="2">
        <v>96.09</v>
      </c>
      <c r="CN9" s="2">
        <v>94.86</v>
      </c>
      <c r="CO9" s="2">
        <v>94.98</v>
      </c>
      <c r="CP9" s="2">
        <v>95.31</v>
      </c>
      <c r="CQ9" s="2">
        <v>95.61</v>
      </c>
      <c r="CR9" s="2">
        <v>96.75</v>
      </c>
      <c r="CS9" s="2">
        <v>98.78</v>
      </c>
      <c r="CT9" s="2">
        <v>99.68000000000001</v>
      </c>
      <c r="CU9" s="2">
        <v>99.09999999999999</v>
      </c>
      <c r="CV9" s="2">
        <v>101.13</v>
      </c>
      <c r="CW9" s="2">
        <v>101.53</v>
      </c>
      <c r="CX9" s="2">
        <v>101.61</v>
      </c>
      <c r="CY9" s="2">
        <v>100.81</v>
      </c>
      <c r="CZ9" s="2">
        <v>100</v>
      </c>
      <c r="DA9" s="2">
        <v>99.58</v>
      </c>
      <c r="DB9" s="2">
        <v>99.78</v>
      </c>
      <c r="DC9" s="2">
        <v>99.47</v>
      </c>
      <c r="DD9" s="2">
        <v>100.03</v>
      </c>
      <c r="DE9" s="2">
        <v>100.75</v>
      </c>
      <c r="DF9" s="2">
        <v>101.84</v>
      </c>
      <c r="DG9" s="2">
        <v>101.13</v>
      </c>
      <c r="DH9" s="2">
        <v>102.62</v>
      </c>
      <c r="DI9" s="2">
        <v>103.61</v>
      </c>
      <c r="DJ9" s="2">
        <v>103.61</v>
      </c>
      <c r="DK9" s="2">
        <v>1.8</v>
      </c>
      <c r="DL9" s="2">
        <v>1.5</v>
      </c>
      <c r="DM9" s="2">
        <v>3</v>
      </c>
      <c r="DN9" s="2">
        <v>0.6</v>
      </c>
      <c r="DO9" s="2">
        <v>0.4</v>
      </c>
      <c r="DP9" s="2">
        <v>1.7</v>
      </c>
      <c r="DQ9" s="2">
        <v>1.7</v>
      </c>
      <c r="DR9" s="2">
        <v>0.7</v>
      </c>
      <c r="DS9" s="2">
        <v>1.9</v>
      </c>
      <c r="DT9" s="2">
        <v>1.7</v>
      </c>
      <c r="DU9" s="2">
        <v>1.9</v>
      </c>
      <c r="DV9" s="2">
        <v>1.7</v>
      </c>
      <c r="DW9" s="2">
        <v>1.9</v>
      </c>
      <c r="DX9" s="2">
        <v>1.7</v>
      </c>
      <c r="DY9" s="2">
        <v>-0.3</v>
      </c>
      <c r="DZ9" s="2">
        <v>-0.2</v>
      </c>
      <c r="EA9" s="2">
        <v>0</v>
      </c>
      <c r="EB9" s="2">
        <v>-0.6</v>
      </c>
      <c r="EC9" s="2">
        <v>2</v>
      </c>
      <c r="ED9" s="2">
        <v>5.1</v>
      </c>
      <c r="EE9" s="2">
        <v>2.6</v>
      </c>
      <c r="EF9" s="2">
        <v>2.3</v>
      </c>
      <c r="EG9" s="2">
        <v>2.3</v>
      </c>
      <c r="EH9" s="2">
        <v>2.2</v>
      </c>
      <c r="EI9" s="2">
        <v>2.5</v>
      </c>
      <c r="EJ9" s="2">
        <v>3.4</v>
      </c>
      <c r="EK9" s="2">
        <v>3.7</v>
      </c>
      <c r="EL9" s="2">
        <v>3</v>
      </c>
      <c r="EM9" s="2">
        <v>3</v>
      </c>
      <c r="EN9" s="2">
        <v>3.5</v>
      </c>
      <c r="EO9" s="2">
        <v>0.4</v>
      </c>
      <c r="EP9" s="2">
        <v>-1.8</v>
      </c>
      <c r="EQ9" s="2">
        <v>0.5</v>
      </c>
      <c r="ER9" s="2">
        <v>1.6</v>
      </c>
      <c r="ES9" s="2">
        <v>0.8</v>
      </c>
      <c r="ET9" s="2">
        <v>1.5</v>
      </c>
      <c r="EU9" s="2">
        <v>1.6</v>
      </c>
      <c r="EV9" s="2">
        <v>1.1</v>
      </c>
      <c r="EW9" s="2">
        <v>0.6</v>
      </c>
      <c r="EX9" s="2">
        <v>2.8</v>
      </c>
      <c r="EY9" s="2">
        <v>3.7</v>
      </c>
      <c r="EZ9" s="2">
        <v>7.7</v>
      </c>
      <c r="FA9" s="2">
        <v>8.300000000000001</v>
      </c>
      <c r="FB9" s="2">
        <v>8.1</v>
      </c>
      <c r="FC9" s="2">
        <v>7.5</v>
      </c>
      <c r="FD9" s="2">
        <v>7.9</v>
      </c>
      <c r="FE9" s="2">
        <v>8.300000000000001</v>
      </c>
      <c r="FF9" s="2">
        <v>9.6</v>
      </c>
      <c r="FG9" s="2">
        <v>10.4</v>
      </c>
      <c r="FH9" s="2">
        <v>11.2</v>
      </c>
      <c r="FI9" s="2">
        <v>11.1</v>
      </c>
      <c r="FJ9" s="2">
        <v>9.6</v>
      </c>
      <c r="FK9" s="2">
        <v>9.9</v>
      </c>
      <c r="FL9" s="2">
        <v>6.5</v>
      </c>
      <c r="FM9" s="2">
        <v>7.3</v>
      </c>
      <c r="FN9" s="2">
        <v>9.699999999999999</v>
      </c>
      <c r="FO9" s="2">
        <v>9.199999999999999</v>
      </c>
      <c r="FP9" s="2">
        <v>6.8</v>
      </c>
      <c r="FQ9" s="2">
        <v>6.8</v>
      </c>
      <c r="FR9" s="2">
        <v>5.1</v>
      </c>
      <c r="FS9" s="2">
        <v>4.9</v>
      </c>
      <c r="FT9" s="2">
        <v>3.4</v>
      </c>
      <c r="FU9" s="2">
        <v>5.3</v>
      </c>
      <c r="FV9" s="2">
        <v>7</v>
      </c>
      <c r="FW9" s="2">
        <v>5.7</v>
      </c>
      <c r="FX9" s="2">
        <v>5</v>
      </c>
      <c r="FY9" s="2">
        <v>5.5</v>
      </c>
      <c r="FZ9" s="2">
        <v>2.8</v>
      </c>
      <c r="GA9" s="2">
        <v>3.8</v>
      </c>
      <c r="GB9" s="2">
        <v>6.1</v>
      </c>
      <c r="GC9" s="2">
        <v>4.9</v>
      </c>
      <c r="GD9" s="2">
        <v>5.1</v>
      </c>
      <c r="GE9" s="2">
        <v>3.9</v>
      </c>
      <c r="GF9" s="2">
        <v>4.6</v>
      </c>
      <c r="GG9" s="2">
        <v>3.6</v>
      </c>
      <c r="GH9" s="2">
        <v>3.1</v>
      </c>
      <c r="GI9" s="2">
        <v>2.7</v>
      </c>
      <c r="GJ9" s="2">
        <v>4.3</v>
      </c>
      <c r="GK9" s="2">
        <v>3.9</v>
      </c>
      <c r="GL9" s="2">
        <v>3.9</v>
      </c>
      <c r="GM9" s="2">
        <v>5.2</v>
      </c>
      <c r="GN9" s="2">
        <v>5.4</v>
      </c>
      <c r="GO9" s="2">
        <v>5.7</v>
      </c>
      <c r="GP9" s="2">
        <v>4.9</v>
      </c>
      <c r="GQ9" s="2">
        <v>5.4</v>
      </c>
      <c r="GR9" s="2">
        <v>4.8</v>
      </c>
      <c r="GS9" s="2">
        <v>4.7</v>
      </c>
      <c r="GT9" s="2">
        <v>4</v>
      </c>
      <c r="GU9" s="2">
        <v>3.4</v>
      </c>
      <c r="GV9" s="2">
        <v>2</v>
      </c>
      <c r="GW9" s="2">
        <v>2.2</v>
      </c>
      <c r="GX9" s="2">
        <v>2</v>
      </c>
      <c r="GY9" s="2">
        <v>1.5</v>
      </c>
      <c r="GZ9" s="2">
        <v>2</v>
      </c>
      <c r="HA9" s="2">
        <v>2</v>
      </c>
      <c r="HB9" s="2">
        <v>0.3</v>
      </c>
      <c r="HC9" s="2">
        <v>0.2</v>
      </c>
      <c r="HD9" s="2">
        <v>1.3</v>
      </c>
      <c r="HE9" s="2">
        <v>1.6</v>
      </c>
      <c r="HF9" s="2">
        <v>-0.4</v>
      </c>
      <c r="HG9" s="2">
        <v>0</v>
      </c>
      <c r="HH9" s="2">
        <v>0.2</v>
      </c>
      <c r="HI9" s="2">
        <v>-0.3</v>
      </c>
      <c r="HJ9" s="2">
        <v>-0.8</v>
      </c>
      <c r="HK9" s="2">
        <v>1.3</v>
      </c>
      <c r="HL9" s="2">
        <v>-0.2</v>
      </c>
      <c r="HM9" s="2">
        <v>-1.2</v>
      </c>
      <c r="HN9" s="2">
        <v>0</v>
      </c>
      <c r="HO9" s="2">
        <v>1.7</v>
      </c>
      <c r="HP9" s="2">
        <v>-1.1</v>
      </c>
      <c r="HQ9" s="2">
        <v>1.4</v>
      </c>
      <c r="HR9" s="2">
        <v>0.9</v>
      </c>
      <c r="HS9" s="2">
        <v>-0.1</v>
      </c>
      <c r="HT9" s="2">
        <v>-0.8</v>
      </c>
      <c r="HU9" s="2">
        <v>0.9</v>
      </c>
      <c r="HV9" s="2">
        <v>-1</v>
      </c>
      <c r="HW9" s="2">
        <v>1.5</v>
      </c>
      <c r="HX9" s="2">
        <v>-0.4</v>
      </c>
      <c r="HY9" s="2">
        <v>-1.1</v>
      </c>
      <c r="HZ9" s="2">
        <v>-0.2</v>
      </c>
      <c r="IA9" s="2">
        <v>-0.3</v>
      </c>
      <c r="IB9" s="2">
        <v>-1</v>
      </c>
      <c r="IC9" s="2">
        <v>1.6</v>
      </c>
      <c r="ID9" s="2">
        <v>0.2</v>
      </c>
      <c r="IE9" s="2">
        <v>2.6</v>
      </c>
      <c r="IF9" s="2">
        <v>2.2</v>
      </c>
      <c r="IG9" s="2">
        <v>-1.5</v>
      </c>
      <c r="IH9" s="2">
        <v>-1.3</v>
      </c>
      <c r="II9" s="2">
        <v>1.4</v>
      </c>
      <c r="IJ9" s="2">
        <v>-0.5</v>
      </c>
      <c r="IK9" s="2">
        <v>-0.8</v>
      </c>
      <c r="IL9" s="2">
        <v>0.7</v>
      </c>
      <c r="IM9" s="2">
        <v>0</v>
      </c>
      <c r="IN9" s="2">
        <v>-1.7</v>
      </c>
      <c r="IO9" s="2">
        <v>1.7</v>
      </c>
      <c r="IP9" s="2">
        <v>0.6</v>
      </c>
      <c r="IQ9" s="2">
        <v>-0.5</v>
      </c>
      <c r="IR9" s="2">
        <v>-0.1</v>
      </c>
      <c r="IS9" s="2">
        <v>0.9</v>
      </c>
      <c r="IT9" s="2">
        <v>-0.1</v>
      </c>
      <c r="IU9" s="2">
        <v>0.6</v>
      </c>
      <c r="IV9" s="2">
        <v>0.2</v>
      </c>
      <c r="IW9" s="2">
        <v>-0.7</v>
      </c>
      <c r="IX9" s="2">
        <v>0.2</v>
      </c>
      <c r="IY9" s="2">
        <v>-0.4</v>
      </c>
      <c r="IZ9" s="2">
        <v>0.5</v>
      </c>
      <c r="JA9" s="2">
        <v>2.5</v>
      </c>
      <c r="JB9" s="2">
        <v>4.6</v>
      </c>
      <c r="JC9" s="2">
        <v>0</v>
      </c>
      <c r="JD9" s="2">
        <v>-0.3</v>
      </c>
      <c r="JE9" s="2">
        <v>0.3</v>
      </c>
      <c r="JF9" s="2">
        <v>0.2</v>
      </c>
      <c r="JG9" s="2">
        <v>0.9</v>
      </c>
      <c r="JH9" s="2">
        <v>1.4</v>
      </c>
      <c r="JI9" s="2">
        <v>0</v>
      </c>
      <c r="JJ9" s="2">
        <v>0.8</v>
      </c>
      <c r="JK9" s="2">
        <v>-0.5</v>
      </c>
      <c r="JL9" s="2">
        <v>-0.8</v>
      </c>
      <c r="JM9" s="2">
        <v>2.9</v>
      </c>
      <c r="JN9" s="2">
        <v>1.3</v>
      </c>
      <c r="JO9" s="2">
        <v>0.7</v>
      </c>
      <c r="JP9" s="2">
        <v>2</v>
      </c>
      <c r="JQ9" s="2">
        <v>-0.1</v>
      </c>
      <c r="JR9" s="2">
        <v>-2</v>
      </c>
      <c r="JS9" s="2">
        <v>1</v>
      </c>
      <c r="JT9" s="2">
        <v>-0.3</v>
      </c>
      <c r="JU9" s="2">
        <v>-0.2</v>
      </c>
      <c r="JV9" s="2">
        <v>-0.6</v>
      </c>
      <c r="JW9" s="2">
        <v>1.4</v>
      </c>
      <c r="JX9" s="2">
        <v>0.7</v>
      </c>
      <c r="JY9" s="2">
        <v>1.6</v>
      </c>
      <c r="JZ9" s="2">
        <v>0.6</v>
      </c>
      <c r="KA9" s="2">
        <v>1.2</v>
      </c>
      <c r="KB9" s="2">
        <v>-0.5</v>
      </c>
      <c r="KC9" s="2">
        <v>0.8</v>
      </c>
      <c r="KD9" s="2">
        <v>0.1</v>
      </c>
      <c r="KE9" s="2">
        <v>-0.1</v>
      </c>
      <c r="KF9" s="2">
        <v>-0.1</v>
      </c>
      <c r="KG9" s="2">
        <v>-1.3</v>
      </c>
      <c r="KH9" s="2">
        <v>0.1</v>
      </c>
      <c r="KI9" s="2">
        <v>0.3</v>
      </c>
      <c r="KJ9" s="2">
        <v>0.3</v>
      </c>
      <c r="KK9" s="2">
        <v>1.2</v>
      </c>
      <c r="KL9" s="2">
        <v>2.1</v>
      </c>
      <c r="KM9" s="2">
        <v>0.9</v>
      </c>
      <c r="KN9" s="2">
        <v>-0.6</v>
      </c>
      <c r="KO9" s="2">
        <v>2</v>
      </c>
      <c r="KP9" s="2">
        <v>0.4</v>
      </c>
      <c r="KQ9" s="2">
        <v>0.1</v>
      </c>
      <c r="KR9" s="2">
        <v>-0.8</v>
      </c>
      <c r="KS9" s="2">
        <v>-0.8</v>
      </c>
      <c r="KT9" s="2">
        <v>-0.4</v>
      </c>
      <c r="KU9" s="2">
        <v>0.2</v>
      </c>
      <c r="KV9" s="2">
        <v>-0.3</v>
      </c>
      <c r="KW9" s="2">
        <v>0.6</v>
      </c>
      <c r="KX9" s="2">
        <v>0.7</v>
      </c>
      <c r="KY9" s="2">
        <v>1.1</v>
      </c>
      <c r="KZ9" s="2">
        <v>-0.7</v>
      </c>
      <c r="LA9" s="2">
        <v>1.5</v>
      </c>
      <c r="LB9" s="2">
        <v>1</v>
      </c>
      <c r="LC9" s="2">
        <v>0</v>
      </c>
      <c r="LD9" s="2">
        <v>1.17</v>
      </c>
      <c r="LE9" s="2">
        <v>1.19</v>
      </c>
      <c r="LF9" s="2">
        <v>1.21</v>
      </c>
      <c r="LG9" s="2">
        <v>1.22</v>
      </c>
      <c r="LH9" s="2">
        <v>1.22</v>
      </c>
      <c r="LI9" s="2">
        <v>1.24</v>
      </c>
      <c r="LJ9" s="2">
        <v>1.25</v>
      </c>
      <c r="LK9" s="2">
        <v>1.25</v>
      </c>
      <c r="LL9" s="2">
        <v>1.24</v>
      </c>
      <c r="LM9" s="2">
        <v>1.23</v>
      </c>
      <c r="LN9" s="2">
        <v>1.22</v>
      </c>
      <c r="LO9" s="2">
        <v>1.22</v>
      </c>
      <c r="LP9" s="2">
        <v>1.22</v>
      </c>
      <c r="LQ9" s="2">
        <v>1.23</v>
      </c>
      <c r="LR9" s="2">
        <v>1.24</v>
      </c>
      <c r="LS9" s="2">
        <v>1.25</v>
      </c>
      <c r="LT9" s="2">
        <v>1.24</v>
      </c>
      <c r="LU9" s="2">
        <v>1.26</v>
      </c>
      <c r="LV9" s="2">
        <v>1.27</v>
      </c>
      <c r="LW9" s="2">
        <v>1.27</v>
      </c>
      <c r="LX9" s="2">
        <v>0.02</v>
      </c>
      <c r="LY9" s="2">
        <v>0.02</v>
      </c>
      <c r="LZ9" s="2">
        <v>0.01</v>
      </c>
      <c r="MA9" s="2">
        <v>0</v>
      </c>
      <c r="MB9" s="2">
        <v>0.02</v>
      </c>
      <c r="MC9" s="2">
        <v>0.01</v>
      </c>
      <c r="MD9" s="2">
        <v>0</v>
      </c>
      <c r="ME9" s="2">
        <v>-0.01</v>
      </c>
      <c r="MF9" s="2">
        <v>-0.01</v>
      </c>
      <c r="MG9" s="2">
        <v>-0.01</v>
      </c>
      <c r="MH9" s="2">
        <v>0</v>
      </c>
      <c r="MI9" s="2">
        <v>0</v>
      </c>
      <c r="MJ9" s="2">
        <v>0.01</v>
      </c>
      <c r="MK9" s="2">
        <v>0.01</v>
      </c>
      <c r="ML9" s="2">
        <v>0.01</v>
      </c>
      <c r="MM9" s="2">
        <v>-0.01</v>
      </c>
      <c r="MN9" s="2">
        <v>0.02</v>
      </c>
      <c r="MO9" s="2">
        <v>0.01</v>
      </c>
      <c r="MP9" s="2">
        <v>0</v>
      </c>
      <c r="SY9" s="2">
        <v>38.81</v>
      </c>
      <c r="SZ9" s="2">
        <v>39.73</v>
      </c>
      <c r="TA9" s="2">
        <v>40.25</v>
      </c>
      <c r="TB9" s="2">
        <v>41.53</v>
      </c>
      <c r="TC9" s="2">
        <v>41.41</v>
      </c>
      <c r="TD9" s="2">
        <v>41.97</v>
      </c>
      <c r="TE9" s="2">
        <v>42.74</v>
      </c>
      <c r="TF9" s="2">
        <v>43.9</v>
      </c>
      <c r="TG9" s="2">
        <v>43.94</v>
      </c>
      <c r="TH9" s="2">
        <v>44.3</v>
      </c>
      <c r="TI9" s="2">
        <v>45.54</v>
      </c>
      <c r="TJ9" s="2">
        <v>46.06</v>
      </c>
      <c r="TK9" s="2">
        <v>46.22</v>
      </c>
      <c r="TL9" s="2">
        <v>46.06</v>
      </c>
      <c r="TM9" s="2">
        <v>46.18</v>
      </c>
      <c r="TN9" s="2">
        <v>46.18</v>
      </c>
      <c r="TO9" s="2">
        <v>46.34</v>
      </c>
      <c r="TP9" s="2">
        <v>46.5</v>
      </c>
      <c r="TQ9" s="2">
        <v>46.74</v>
      </c>
      <c r="TR9" s="2">
        <v>46.86</v>
      </c>
      <c r="TS9" s="2">
        <v>47.03</v>
      </c>
      <c r="TT9" s="2">
        <v>46.46</v>
      </c>
      <c r="TU9" s="2">
        <v>46.5</v>
      </c>
      <c r="TV9" s="2">
        <v>47.43</v>
      </c>
      <c r="TW9" s="2">
        <v>48.55</v>
      </c>
      <c r="TX9" s="2">
        <v>48.51</v>
      </c>
      <c r="TY9" s="2">
        <v>48.87</v>
      </c>
      <c r="TZ9" s="2">
        <v>49.11</v>
      </c>
      <c r="UA9" s="2">
        <v>49.59</v>
      </c>
      <c r="UB9" s="2">
        <v>49.63</v>
      </c>
      <c r="UC9" s="2">
        <v>49.91</v>
      </c>
      <c r="UD9" s="2">
        <v>50.47</v>
      </c>
      <c r="UE9" s="2">
        <v>50.63</v>
      </c>
      <c r="UF9" s="2">
        <v>51.4</v>
      </c>
      <c r="UG9" s="2">
        <v>51.84</v>
      </c>
      <c r="UH9" s="2">
        <v>52</v>
      </c>
      <c r="UI9" s="2">
        <v>53</v>
      </c>
      <c r="UJ9" s="2">
        <v>52.56</v>
      </c>
      <c r="UK9" s="2">
        <v>52.88</v>
      </c>
      <c r="UL9" s="2">
        <v>52.6</v>
      </c>
      <c r="UM9" s="2">
        <v>52.6</v>
      </c>
      <c r="UN9" s="2">
        <v>52.6</v>
      </c>
      <c r="UO9" s="2">
        <v>52.36</v>
      </c>
      <c r="UP9" s="2">
        <v>52.92</v>
      </c>
      <c r="UQ9" s="2">
        <v>51.31</v>
      </c>
      <c r="UR9" s="2">
        <v>50.43</v>
      </c>
      <c r="US9" s="2">
        <v>52</v>
      </c>
      <c r="UT9" s="2">
        <v>53.36</v>
      </c>
      <c r="UU9" s="2">
        <v>52.36</v>
      </c>
      <c r="UV9" s="2">
        <v>53.12</v>
      </c>
      <c r="UW9" s="2">
        <v>52.48</v>
      </c>
      <c r="UX9" s="2">
        <v>52.64</v>
      </c>
      <c r="UY9" s="2">
        <v>53.84</v>
      </c>
      <c r="UZ9" s="2">
        <v>54.08</v>
      </c>
      <c r="VA9" s="2">
        <v>53.96</v>
      </c>
      <c r="VB9" s="2">
        <v>54.68</v>
      </c>
      <c r="VC9" s="2">
        <v>53.88</v>
      </c>
      <c r="VD9" s="2">
        <v>54.08</v>
      </c>
      <c r="VE9" s="2">
        <v>54.36</v>
      </c>
      <c r="VF9" s="2">
        <v>54.8</v>
      </c>
      <c r="VG9" s="2">
        <v>55.2</v>
      </c>
      <c r="VH9" s="2">
        <v>55.64</v>
      </c>
      <c r="VI9" s="2">
        <v>55.6</v>
      </c>
      <c r="VJ9" s="2">
        <v>56.53</v>
      </c>
      <c r="VK9" s="2">
        <v>56.73</v>
      </c>
      <c r="VL9" s="2">
        <v>57.13</v>
      </c>
      <c r="VM9" s="2">
        <v>58.37</v>
      </c>
      <c r="VN9" s="2">
        <v>58.77</v>
      </c>
      <c r="VO9" s="2">
        <v>60.5</v>
      </c>
      <c r="VP9" s="2">
        <v>61.18</v>
      </c>
      <c r="VQ9" s="2">
        <v>61.74</v>
      </c>
      <c r="VR9" s="2">
        <v>63.26</v>
      </c>
      <c r="VS9" s="2">
        <v>62.46</v>
      </c>
      <c r="VT9" s="2">
        <v>63.86</v>
      </c>
      <c r="VU9" s="2">
        <v>65.39</v>
      </c>
      <c r="VV9" s="2">
        <v>66.31</v>
      </c>
      <c r="VW9" s="2">
        <v>66.39</v>
      </c>
      <c r="VX9" s="2">
        <v>67.23</v>
      </c>
      <c r="VY9" s="2">
        <v>68.63</v>
      </c>
      <c r="VZ9" s="2">
        <v>69.23999999999999</v>
      </c>
      <c r="WA9" s="2">
        <v>68.98999999999999</v>
      </c>
      <c r="WB9" s="2">
        <v>68.55</v>
      </c>
      <c r="WC9" s="2">
        <v>70.48</v>
      </c>
      <c r="WD9" s="2">
        <v>71.40000000000001</v>
      </c>
      <c r="WE9" s="2">
        <v>70.23999999999999</v>
      </c>
      <c r="WF9" s="2">
        <v>70.56</v>
      </c>
      <c r="WG9" s="2">
        <v>72.8</v>
      </c>
      <c r="WH9" s="2">
        <v>72.16</v>
      </c>
      <c r="WI9" s="2">
        <v>72.09999999999999</v>
      </c>
      <c r="WJ9" s="2">
        <v>72.59999999999999</v>
      </c>
      <c r="WK9" s="2">
        <v>74.26000000000001</v>
      </c>
      <c r="WL9" s="2">
        <v>74.37</v>
      </c>
      <c r="WM9" s="2">
        <v>74.51000000000001</v>
      </c>
      <c r="WN9" s="2">
        <v>74.77</v>
      </c>
      <c r="WO9" s="2">
        <v>74.95</v>
      </c>
      <c r="WP9" s="2">
        <v>75.20999999999999</v>
      </c>
      <c r="WQ9" s="2">
        <v>75.56</v>
      </c>
      <c r="WR9" s="2">
        <v>75.86</v>
      </c>
      <c r="WS9" s="2">
        <v>76.05</v>
      </c>
      <c r="WT9" s="2">
        <v>75.81</v>
      </c>
      <c r="WU9" s="2">
        <v>76.56</v>
      </c>
      <c r="WV9" s="2">
        <v>76.04000000000001</v>
      </c>
      <c r="WW9" s="2">
        <v>76.3</v>
      </c>
      <c r="WX9" s="2">
        <v>76.70999999999999</v>
      </c>
      <c r="WY9" s="2">
        <v>76.23999999999999</v>
      </c>
      <c r="WZ9" s="2">
        <v>74.63</v>
      </c>
      <c r="XA9" s="2">
        <v>75.78</v>
      </c>
      <c r="XB9" s="2">
        <v>75.23999999999999</v>
      </c>
      <c r="XC9" s="2">
        <v>74.44</v>
      </c>
      <c r="XD9" s="2">
        <v>73.04000000000001</v>
      </c>
      <c r="XE9" s="2">
        <v>73.73</v>
      </c>
      <c r="XF9" s="2">
        <v>74.5</v>
      </c>
      <c r="XG9" s="2">
        <v>74.31999999999999</v>
      </c>
      <c r="XH9" s="2">
        <v>74.33</v>
      </c>
      <c r="XI9" s="2">
        <v>76.03</v>
      </c>
      <c r="XJ9" s="2">
        <v>75.48999999999999</v>
      </c>
      <c r="XK9" s="2">
        <v>75.31999999999999</v>
      </c>
      <c r="XL9" s="2">
        <v>75.23</v>
      </c>
      <c r="XM9" s="2">
        <v>76.38</v>
      </c>
      <c r="XN9" s="2">
        <v>76.25</v>
      </c>
      <c r="XO9" s="2">
        <v>76.37</v>
      </c>
      <c r="XP9" s="2">
        <v>75.04000000000001</v>
      </c>
      <c r="XQ9" s="2">
        <v>76.5</v>
      </c>
      <c r="XR9" s="2">
        <v>78.01000000000001</v>
      </c>
      <c r="XS9" s="2">
        <v>77.97</v>
      </c>
      <c r="XT9" s="2">
        <v>77.45</v>
      </c>
      <c r="XU9" s="2">
        <v>78.3</v>
      </c>
      <c r="XV9" s="2">
        <v>78.58</v>
      </c>
      <c r="XW9" s="2">
        <v>79.26000000000001</v>
      </c>
      <c r="XX9" s="2">
        <v>78.97</v>
      </c>
      <c r="XY9" s="2">
        <v>83.59</v>
      </c>
      <c r="XZ9" s="2">
        <v>84.84</v>
      </c>
      <c r="YA9" s="2">
        <v>86.66</v>
      </c>
      <c r="YB9" s="2">
        <v>87.27</v>
      </c>
      <c r="YC9" s="2">
        <v>90.11</v>
      </c>
      <c r="YD9" s="2">
        <v>92.09</v>
      </c>
      <c r="YE9" s="2">
        <v>91.48</v>
      </c>
      <c r="YF9" s="2">
        <v>91.86</v>
      </c>
      <c r="YG9" s="2">
        <v>94.95</v>
      </c>
      <c r="YH9" s="2">
        <v>95.95999999999999</v>
      </c>
      <c r="YI9" s="2">
        <v>95.72</v>
      </c>
      <c r="YJ9" s="2">
        <v>95.31</v>
      </c>
      <c r="YK9" s="2">
        <v>98.40000000000001</v>
      </c>
      <c r="YL9" s="2">
        <v>100.59</v>
      </c>
      <c r="YM9" s="2">
        <v>100.8</v>
      </c>
      <c r="YN9" s="2">
        <v>99.61</v>
      </c>
      <c r="YO9" s="2">
        <v>100.88</v>
      </c>
      <c r="YP9" s="2">
        <v>102.46</v>
      </c>
      <c r="AEY9" s="2">
        <v>2.4</v>
      </c>
      <c r="AEZ9" s="2">
        <v>1.3</v>
      </c>
      <c r="AFA9" s="2">
        <v>3.2</v>
      </c>
      <c r="AFB9" s="2">
        <v>-0.3</v>
      </c>
      <c r="AFC9" s="2">
        <v>1.4</v>
      </c>
      <c r="AFD9" s="2">
        <v>1.8</v>
      </c>
      <c r="AFE9" s="2">
        <v>2.7</v>
      </c>
      <c r="AFF9" s="2">
        <v>0.1</v>
      </c>
      <c r="AFG9" s="2">
        <v>0.8</v>
      </c>
      <c r="AFH9" s="2">
        <v>2.8</v>
      </c>
      <c r="AFI9" s="2">
        <v>1.1</v>
      </c>
      <c r="AFJ9" s="2">
        <v>0.3</v>
      </c>
      <c r="AFK9" s="2">
        <v>-0.3</v>
      </c>
      <c r="AFL9" s="2">
        <v>0.3</v>
      </c>
      <c r="AFM9" s="2">
        <v>0</v>
      </c>
      <c r="AFN9" s="2">
        <v>0.3</v>
      </c>
      <c r="AFO9" s="2">
        <v>0.3</v>
      </c>
      <c r="AFP9" s="2">
        <v>0.5</v>
      </c>
      <c r="AFQ9" s="2">
        <v>0.3</v>
      </c>
      <c r="AFR9" s="2">
        <v>0.4</v>
      </c>
      <c r="AFS9" s="2">
        <v>-1.2</v>
      </c>
      <c r="AFT9" s="2">
        <v>0.1</v>
      </c>
      <c r="AFU9" s="2">
        <v>2</v>
      </c>
      <c r="AFV9" s="2">
        <v>2.4</v>
      </c>
      <c r="AFW9" s="2">
        <v>-0.1</v>
      </c>
      <c r="AFX9" s="2">
        <v>0.7</v>
      </c>
      <c r="AFY9" s="2">
        <v>0.5</v>
      </c>
      <c r="AFZ9" s="2">
        <v>1</v>
      </c>
      <c r="AGA9" s="2">
        <v>0.1</v>
      </c>
      <c r="AGB9" s="2">
        <v>0.6</v>
      </c>
      <c r="AGC9" s="2">
        <v>1.1</v>
      </c>
      <c r="AGD9" s="2">
        <v>0.3</v>
      </c>
      <c r="AGE9" s="2">
        <v>1.5</v>
      </c>
      <c r="AGF9" s="2">
        <v>0.9</v>
      </c>
      <c r="AGG9" s="2">
        <v>0.3</v>
      </c>
      <c r="AGH9" s="2">
        <v>1.9</v>
      </c>
      <c r="AGI9" s="2">
        <v>-0.8</v>
      </c>
      <c r="AGJ9" s="2">
        <v>0.6</v>
      </c>
      <c r="AGK9" s="2">
        <v>-0.5</v>
      </c>
      <c r="AGL9" s="2">
        <v>0</v>
      </c>
      <c r="AGM9" s="2">
        <v>0</v>
      </c>
      <c r="AGN9" s="2">
        <v>-0.5</v>
      </c>
      <c r="AGO9" s="2">
        <v>1.1</v>
      </c>
      <c r="AGP9" s="2">
        <v>-3</v>
      </c>
      <c r="AGQ9" s="2">
        <v>-1.7</v>
      </c>
      <c r="AGR9" s="2">
        <v>3.1</v>
      </c>
      <c r="AGS9" s="2">
        <v>2.6</v>
      </c>
      <c r="AGT9" s="2">
        <v>-1.9</v>
      </c>
      <c r="AGU9" s="2">
        <v>1.5</v>
      </c>
      <c r="AGV9" s="2">
        <v>-1.2</v>
      </c>
      <c r="AGW9" s="2">
        <v>0.3</v>
      </c>
      <c r="AGX9" s="2">
        <v>2.3</v>
      </c>
      <c r="AGY9" s="2">
        <v>0.4</v>
      </c>
      <c r="AGZ9" s="2">
        <v>-0.2</v>
      </c>
      <c r="AHA9" s="2">
        <v>1.3</v>
      </c>
      <c r="AHB9" s="2">
        <v>-1.5</v>
      </c>
      <c r="AHC9" s="2">
        <v>0.4</v>
      </c>
      <c r="AHD9" s="2">
        <v>0.5</v>
      </c>
      <c r="AHE9" s="2">
        <v>0.8</v>
      </c>
      <c r="AHF9" s="2">
        <v>0.7</v>
      </c>
      <c r="AHG9" s="2">
        <v>0.8</v>
      </c>
      <c r="AHH9" s="2">
        <v>-0.1</v>
      </c>
      <c r="AHI9" s="2">
        <v>1.7</v>
      </c>
      <c r="AHJ9" s="2">
        <v>0.4</v>
      </c>
      <c r="AHK9" s="2">
        <v>0.7</v>
      </c>
      <c r="AHL9" s="2">
        <v>2.2</v>
      </c>
      <c r="AHM9" s="2">
        <v>0.7</v>
      </c>
      <c r="AHN9" s="2">
        <v>2.9</v>
      </c>
      <c r="AHO9" s="2">
        <v>1.1</v>
      </c>
      <c r="AHP9" s="2">
        <v>0.9</v>
      </c>
      <c r="AHQ9" s="2">
        <v>2.5</v>
      </c>
      <c r="AHR9" s="2">
        <v>-1.3</v>
      </c>
      <c r="AHS9" s="2">
        <v>2.2</v>
      </c>
      <c r="AHT9" s="2">
        <v>2.4</v>
      </c>
      <c r="AHU9" s="2">
        <v>1.4</v>
      </c>
      <c r="AHV9" s="2">
        <v>0.1</v>
      </c>
      <c r="AHW9" s="2">
        <v>1.3</v>
      </c>
      <c r="AHX9" s="2">
        <v>2.1</v>
      </c>
      <c r="AHY9" s="2">
        <v>0.9</v>
      </c>
      <c r="AHZ9" s="2">
        <v>-0.4</v>
      </c>
      <c r="AIA9" s="2">
        <v>-0.6</v>
      </c>
      <c r="AIB9" s="2">
        <v>2.8</v>
      </c>
      <c r="AIC9" s="2">
        <v>1.3</v>
      </c>
      <c r="AID9" s="2">
        <v>-1.6</v>
      </c>
      <c r="AIE9" s="2">
        <v>0.5</v>
      </c>
      <c r="AIF9" s="2">
        <v>3.2</v>
      </c>
      <c r="AIG9" s="2">
        <v>-0.9</v>
      </c>
      <c r="AIH9" s="2">
        <v>-0.1</v>
      </c>
      <c r="AII9" s="2">
        <v>0.7</v>
      </c>
      <c r="AIJ9" s="2">
        <v>2.3</v>
      </c>
      <c r="AIK9" s="2">
        <v>0.1</v>
      </c>
      <c r="AIL9" s="2">
        <v>0.2</v>
      </c>
      <c r="AIM9" s="2">
        <v>0.3</v>
      </c>
      <c r="AIN9" s="2">
        <v>0.2</v>
      </c>
      <c r="AIO9" s="2">
        <v>0.3</v>
      </c>
      <c r="AIP9" s="2">
        <v>0.5</v>
      </c>
      <c r="AIQ9" s="2">
        <v>0.4</v>
      </c>
      <c r="AIR9" s="2">
        <v>0.3</v>
      </c>
      <c r="AIS9" s="2">
        <v>-0.3</v>
      </c>
      <c r="AIT9" s="2">
        <v>1</v>
      </c>
      <c r="AIU9" s="2">
        <v>-0.7</v>
      </c>
      <c r="AIV9" s="2">
        <v>0.3</v>
      </c>
      <c r="AIW9" s="2">
        <v>0.5</v>
      </c>
      <c r="AIX9" s="2">
        <v>-0.6</v>
      </c>
      <c r="AIY9" s="2">
        <v>-2.1</v>
      </c>
      <c r="AIZ9" s="2">
        <v>1.5</v>
      </c>
      <c r="AJA9" s="2">
        <v>-0.7</v>
      </c>
      <c r="AJB9" s="2">
        <v>-1.1</v>
      </c>
      <c r="AJC9" s="2">
        <v>-1.9</v>
      </c>
      <c r="AJD9" s="2">
        <v>0.9</v>
      </c>
      <c r="AJE9" s="2">
        <v>1</v>
      </c>
      <c r="AJF9" s="2">
        <v>-0.2</v>
      </c>
      <c r="AJG9" s="2">
        <v>0</v>
      </c>
      <c r="AJH9" s="2">
        <v>2.3</v>
      </c>
      <c r="AJI9" s="2">
        <v>-0.7</v>
      </c>
      <c r="AJJ9" s="2">
        <v>-0.2</v>
      </c>
      <c r="AJK9" s="2">
        <v>-0.1</v>
      </c>
      <c r="AJL9" s="2">
        <v>1.5</v>
      </c>
      <c r="AJM9" s="2">
        <v>-0.2</v>
      </c>
      <c r="AJN9" s="2">
        <v>0.2</v>
      </c>
      <c r="AJO9" s="2">
        <v>-1.7</v>
      </c>
      <c r="AJP9" s="2">
        <v>1.9</v>
      </c>
      <c r="AJQ9" s="2">
        <v>2</v>
      </c>
      <c r="AJR9" s="2">
        <v>-0.1</v>
      </c>
      <c r="AJS9" s="2">
        <v>-0.7</v>
      </c>
      <c r="AJT9" s="2">
        <v>1.1</v>
      </c>
      <c r="AJU9" s="2">
        <v>0.4</v>
      </c>
      <c r="AJV9" s="2">
        <v>0.9</v>
      </c>
      <c r="AJW9" s="2">
        <v>-0.4</v>
      </c>
      <c r="AJX9" s="2">
        <v>5.9</v>
      </c>
      <c r="AJY9" s="2">
        <v>1.5</v>
      </c>
      <c r="AJZ9" s="2">
        <v>2.1</v>
      </c>
      <c r="AKA9" s="2">
        <v>0.7</v>
      </c>
      <c r="AKB9" s="2">
        <v>3.3</v>
      </c>
      <c r="AKC9" s="2">
        <v>2.2</v>
      </c>
      <c r="AKD9" s="2">
        <v>-0.7</v>
      </c>
      <c r="AKE9" s="2">
        <v>0.4</v>
      </c>
      <c r="AKF9" s="2">
        <v>3.4</v>
      </c>
      <c r="AKG9" s="2">
        <v>1.1</v>
      </c>
      <c r="AKH9" s="2">
        <v>-0.3</v>
      </c>
      <c r="AKI9" s="2">
        <v>-0.4</v>
      </c>
      <c r="AKJ9" s="2">
        <v>3.2</v>
      </c>
      <c r="AKK9" s="2">
        <v>2.2</v>
      </c>
      <c r="AKL9" s="2">
        <v>0.2</v>
      </c>
      <c r="AKM9" s="2">
        <v>-1.2</v>
      </c>
      <c r="AKN9" s="2">
        <v>1.3</v>
      </c>
      <c r="AKO9" s="2">
        <v>1.6</v>
      </c>
      <c r="AKP9" s="2">
        <v>1.22</v>
      </c>
      <c r="AKQ9" s="2">
        <v>1.24</v>
      </c>
      <c r="AKR9" s="2">
        <v>1.26</v>
      </c>
    </row>
    <row r="10">
      <c r="A10" t="inlineStr">
        <is>
          <t>Meals out and take away foods</t>
        </is>
      </c>
      <c r="B10" t="inlineStr">
        <is>
          <t>Food and non-alcoholic beverages</t>
        </is>
      </c>
      <c r="C10">
        <v>2</v>
      </c>
      <c r="D10">
        <v>7.13</v>
      </c>
      <c r="E10" s="3">
        <f>D10/17.41*0.174</f>
        <v>0.07125904652498563</v>
      </c>
      <c r="F10" s="3">
        <f>E10-D10/100</f>
        <v>-4.095347501437141e-05</v>
      </c>
      <c r="G10" s="3">
        <f>D10/17.41</f>
        <v>0.40953475014359564</v>
      </c>
      <c r="CI10" s="2">
        <v>95.31999999999999</v>
      </c>
      <c r="CJ10" s="2">
        <v>95.65000000000001</v>
      </c>
      <c r="CK10" s="2">
        <v>95.48</v>
      </c>
      <c r="CL10" s="2">
        <v>96.31</v>
      </c>
      <c r="CM10" s="2">
        <v>96.44</v>
      </c>
      <c r="CN10" s="2">
        <v>96.54000000000001</v>
      </c>
      <c r="CO10" s="2">
        <v>96.75</v>
      </c>
      <c r="CP10" s="2">
        <v>97.05</v>
      </c>
      <c r="CQ10" s="2">
        <v>97.29000000000001</v>
      </c>
      <c r="CR10" s="2">
        <v>97.39</v>
      </c>
      <c r="CS10" s="2">
        <v>97.64</v>
      </c>
      <c r="CT10" s="2">
        <v>97.84999999999999</v>
      </c>
      <c r="CU10" s="2">
        <v>98.14</v>
      </c>
      <c r="CV10" s="2">
        <v>98.34</v>
      </c>
      <c r="CW10" s="2">
        <v>98.72</v>
      </c>
      <c r="CX10" s="2">
        <v>99.08</v>
      </c>
      <c r="CY10" s="2">
        <v>99.68000000000001</v>
      </c>
      <c r="CZ10" s="2">
        <v>100</v>
      </c>
      <c r="DA10" s="2">
        <v>100.21</v>
      </c>
      <c r="DB10" s="2">
        <v>100.41</v>
      </c>
      <c r="DC10" s="2">
        <v>100.68</v>
      </c>
      <c r="DD10" s="2">
        <v>101.2</v>
      </c>
      <c r="DE10" s="2">
        <v>101.28</v>
      </c>
      <c r="DF10" s="2">
        <v>101.62</v>
      </c>
      <c r="DG10" s="2">
        <v>101.8</v>
      </c>
      <c r="DH10" s="2">
        <v>102.26</v>
      </c>
      <c r="DI10" s="2">
        <v>102.66</v>
      </c>
      <c r="DJ10" s="2">
        <v>103.54</v>
      </c>
      <c r="GL10" s="2">
        <v>3</v>
      </c>
      <c r="GM10" s="2">
        <v>2.8</v>
      </c>
      <c r="GN10" s="2">
        <v>3.4</v>
      </c>
      <c r="GO10" s="2">
        <v>2.9</v>
      </c>
      <c r="GP10" s="2">
        <v>3.4</v>
      </c>
      <c r="GQ10" s="2">
        <v>3.6</v>
      </c>
      <c r="GR10" s="2">
        <v>3.6</v>
      </c>
      <c r="GS10" s="2">
        <v>3.5</v>
      </c>
      <c r="GT10" s="2">
        <v>3.5</v>
      </c>
      <c r="GU10" s="2">
        <v>3.9</v>
      </c>
      <c r="GV10" s="2">
        <v>3.7</v>
      </c>
      <c r="GW10" s="2">
        <v>3.9</v>
      </c>
      <c r="GX10" s="2">
        <v>3.7</v>
      </c>
      <c r="GY10" s="2">
        <v>4</v>
      </c>
      <c r="GZ10" s="2">
        <v>4</v>
      </c>
      <c r="HA10" s="2">
        <v>4.5</v>
      </c>
      <c r="KC10" s="2">
        <v>0.3</v>
      </c>
      <c r="KD10" s="2">
        <v>-0.2</v>
      </c>
      <c r="KE10" s="2">
        <v>0.9</v>
      </c>
      <c r="KF10" s="2">
        <v>0.1</v>
      </c>
      <c r="KG10" s="2">
        <v>0.1</v>
      </c>
      <c r="KH10" s="2">
        <v>0.2</v>
      </c>
      <c r="KI10" s="2">
        <v>0.3</v>
      </c>
      <c r="KJ10" s="2">
        <v>0.2</v>
      </c>
      <c r="KK10" s="2">
        <v>0.1</v>
      </c>
      <c r="KL10" s="2">
        <v>0.3</v>
      </c>
      <c r="KM10" s="2">
        <v>0.2</v>
      </c>
      <c r="KN10" s="2">
        <v>0.3</v>
      </c>
      <c r="KO10" s="2">
        <v>0.2</v>
      </c>
      <c r="KP10" s="2">
        <v>0.4</v>
      </c>
      <c r="KQ10" s="2">
        <v>0.4</v>
      </c>
      <c r="KR10" s="2">
        <v>0.6</v>
      </c>
      <c r="KS10" s="2">
        <v>0.3</v>
      </c>
      <c r="KT10" s="2">
        <v>0.2</v>
      </c>
      <c r="KU10" s="2">
        <v>0.2</v>
      </c>
      <c r="KV10" s="2">
        <v>0.3</v>
      </c>
      <c r="KW10" s="2">
        <v>0.5</v>
      </c>
      <c r="KX10" s="2">
        <v>0.1</v>
      </c>
      <c r="KY10" s="2">
        <v>0.3</v>
      </c>
      <c r="KZ10" s="2">
        <v>0.2</v>
      </c>
      <c r="LA10" s="2">
        <v>0.5</v>
      </c>
      <c r="LB10" s="2">
        <v>0.4</v>
      </c>
      <c r="LC10" s="2">
        <v>0.9</v>
      </c>
      <c r="LD10" s="2">
        <v>6.94</v>
      </c>
      <c r="LE10" s="2">
        <v>6.95</v>
      </c>
      <c r="LF10" s="2">
        <v>6.97</v>
      </c>
      <c r="LG10" s="2">
        <v>6.98</v>
      </c>
      <c r="LH10" s="2">
        <v>7</v>
      </c>
      <c r="LI10" s="2">
        <v>7.02</v>
      </c>
      <c r="LJ10" s="2">
        <v>7.04</v>
      </c>
      <c r="LK10" s="2">
        <v>7.07</v>
      </c>
      <c r="LL10" s="2">
        <v>7.11</v>
      </c>
      <c r="LM10" s="2">
        <v>7.14</v>
      </c>
      <c r="LN10" s="2">
        <v>7.15</v>
      </c>
      <c r="LO10" s="2">
        <v>7.17</v>
      </c>
      <c r="LP10" s="2">
        <v>7.18</v>
      </c>
      <c r="LQ10" s="2">
        <v>7.22</v>
      </c>
      <c r="LR10" s="2">
        <v>7.23</v>
      </c>
      <c r="LS10" s="2">
        <v>7.25</v>
      </c>
      <c r="LT10" s="2">
        <v>7.26</v>
      </c>
      <c r="LU10" s="2">
        <v>7.3</v>
      </c>
      <c r="LV10" s="2">
        <v>7.33</v>
      </c>
      <c r="LW10" s="2">
        <v>7.39</v>
      </c>
      <c r="LX10" s="2">
        <v>0.01</v>
      </c>
      <c r="LY10" s="2">
        <v>0.02</v>
      </c>
      <c r="LZ10" s="2">
        <v>0.01</v>
      </c>
      <c r="MA10" s="2">
        <v>0.02</v>
      </c>
      <c r="MB10" s="2">
        <v>0.02</v>
      </c>
      <c r="MC10" s="2">
        <v>0.02</v>
      </c>
      <c r="MD10" s="2">
        <v>0.03</v>
      </c>
      <c r="ME10" s="2">
        <v>0.04</v>
      </c>
      <c r="MF10" s="2">
        <v>0.03</v>
      </c>
      <c r="MG10" s="2">
        <v>0.01</v>
      </c>
      <c r="MH10" s="2">
        <v>0.02</v>
      </c>
      <c r="MI10" s="2">
        <v>0.01</v>
      </c>
      <c r="MJ10" s="2">
        <v>0.04</v>
      </c>
      <c r="MK10" s="2">
        <v>0.01</v>
      </c>
      <c r="ML10" s="2">
        <v>0.02</v>
      </c>
      <c r="MM10" s="2">
        <v>0.01</v>
      </c>
      <c r="MN10" s="2">
        <v>0.04</v>
      </c>
      <c r="MO10" s="2">
        <v>0.03</v>
      </c>
      <c r="MP10" s="2">
        <v>0.06</v>
      </c>
      <c r="QY10" s="2">
        <v>10.18</v>
      </c>
      <c r="QZ10" s="2">
        <v>10.38</v>
      </c>
      <c r="RA10" s="2">
        <v>10.74</v>
      </c>
      <c r="RB10" s="2">
        <v>11.13</v>
      </c>
      <c r="RC10" s="2">
        <v>11.46</v>
      </c>
      <c r="RD10" s="2">
        <v>11.65</v>
      </c>
      <c r="RE10" s="2">
        <v>11.85</v>
      </c>
      <c r="RF10" s="2">
        <v>11.98</v>
      </c>
      <c r="RG10" s="2">
        <v>12.24</v>
      </c>
      <c r="RH10" s="2">
        <v>12.57</v>
      </c>
      <c r="RI10" s="2">
        <v>12.89</v>
      </c>
      <c r="RJ10" s="2">
        <v>13.29</v>
      </c>
      <c r="RK10" s="2">
        <v>13.77</v>
      </c>
      <c r="RL10" s="2">
        <v>14.13</v>
      </c>
      <c r="RM10" s="2">
        <v>14.59</v>
      </c>
      <c r="RN10" s="2">
        <v>14.92</v>
      </c>
      <c r="RO10" s="2">
        <v>15.28</v>
      </c>
      <c r="RP10" s="2">
        <v>15.64</v>
      </c>
      <c r="RQ10" s="2">
        <v>16.03</v>
      </c>
      <c r="RR10" s="2">
        <v>16.32</v>
      </c>
      <c r="RS10" s="2">
        <v>16.71</v>
      </c>
      <c r="RT10" s="2">
        <v>17.17</v>
      </c>
      <c r="RU10" s="2">
        <v>17.66</v>
      </c>
      <c r="RV10" s="2">
        <v>18.12</v>
      </c>
      <c r="RW10" s="2">
        <v>18.57</v>
      </c>
      <c r="RX10" s="2">
        <v>19</v>
      </c>
      <c r="RY10" s="2">
        <v>19.45</v>
      </c>
      <c r="RZ10" s="2">
        <v>19.75</v>
      </c>
      <c r="SA10" s="2">
        <v>20.24</v>
      </c>
      <c r="SB10" s="2">
        <v>20.6</v>
      </c>
      <c r="SC10" s="2">
        <v>21.02</v>
      </c>
      <c r="SD10" s="2">
        <v>21.48</v>
      </c>
      <c r="SE10" s="2">
        <v>21.67</v>
      </c>
      <c r="SF10" s="2">
        <v>22.07</v>
      </c>
      <c r="SG10" s="2">
        <v>22.52</v>
      </c>
      <c r="SH10" s="2">
        <v>23.05</v>
      </c>
      <c r="SI10" s="2">
        <v>23.57</v>
      </c>
      <c r="SJ10" s="2">
        <v>24.12</v>
      </c>
      <c r="SK10" s="2">
        <v>24.74</v>
      </c>
      <c r="SL10" s="2">
        <v>25.2</v>
      </c>
      <c r="SM10" s="2">
        <v>25.66</v>
      </c>
      <c r="SN10" s="2">
        <v>26.24</v>
      </c>
      <c r="SO10" s="2">
        <v>26.73</v>
      </c>
      <c r="SP10" s="2">
        <v>27.16</v>
      </c>
      <c r="SQ10" s="2">
        <v>27.55</v>
      </c>
      <c r="SR10" s="2">
        <v>28.01</v>
      </c>
      <c r="SS10" s="2">
        <v>28.5</v>
      </c>
      <c r="ST10" s="2">
        <v>28.95</v>
      </c>
      <c r="SU10" s="2">
        <v>29.44</v>
      </c>
      <c r="SV10" s="2">
        <v>30.03</v>
      </c>
      <c r="SW10" s="2">
        <v>30.59</v>
      </c>
      <c r="SX10" s="2">
        <v>31.3</v>
      </c>
      <c r="SY10" s="2">
        <v>31.76</v>
      </c>
      <c r="SZ10" s="2">
        <v>32.22</v>
      </c>
      <c r="TA10" s="2">
        <v>32.94</v>
      </c>
      <c r="TB10" s="2">
        <v>33.69</v>
      </c>
      <c r="TC10" s="2">
        <v>33.98</v>
      </c>
      <c r="TD10" s="2">
        <v>34.63</v>
      </c>
      <c r="TE10" s="2">
        <v>34.99</v>
      </c>
      <c r="TF10" s="2">
        <v>35.42</v>
      </c>
      <c r="TG10" s="2">
        <v>35.78</v>
      </c>
      <c r="TH10" s="2">
        <v>36.17</v>
      </c>
      <c r="TI10" s="2">
        <v>36.27</v>
      </c>
      <c r="TJ10" s="2">
        <v>36.66</v>
      </c>
      <c r="TK10" s="2">
        <v>36.95</v>
      </c>
      <c r="TL10" s="2">
        <v>36.95</v>
      </c>
      <c r="TM10" s="2">
        <v>37.31</v>
      </c>
      <c r="TN10" s="2">
        <v>37.57</v>
      </c>
      <c r="TO10" s="2">
        <v>37.64</v>
      </c>
      <c r="TP10" s="2">
        <v>37.54</v>
      </c>
      <c r="TQ10" s="2">
        <v>37.31</v>
      </c>
      <c r="TR10" s="2">
        <v>36.82</v>
      </c>
      <c r="TS10" s="2">
        <v>37.02</v>
      </c>
      <c r="TT10" s="2">
        <v>36.85</v>
      </c>
      <c r="TU10" s="2">
        <v>37.08</v>
      </c>
      <c r="TV10" s="2">
        <v>37.67</v>
      </c>
      <c r="TW10" s="2">
        <v>37.7</v>
      </c>
      <c r="TX10" s="2">
        <v>37.8</v>
      </c>
      <c r="TY10" s="2">
        <v>37.93</v>
      </c>
      <c r="TZ10" s="2">
        <v>38.48</v>
      </c>
      <c r="UA10" s="2">
        <v>38.58</v>
      </c>
      <c r="UB10" s="2">
        <v>38.81</v>
      </c>
      <c r="UC10" s="2">
        <v>39.1</v>
      </c>
      <c r="UD10" s="2">
        <v>39.3</v>
      </c>
      <c r="UE10" s="2">
        <v>39.4</v>
      </c>
      <c r="UF10" s="2">
        <v>39.24</v>
      </c>
      <c r="UG10" s="2">
        <v>39.69</v>
      </c>
      <c r="UH10" s="2">
        <v>39.99</v>
      </c>
      <c r="UI10" s="2">
        <v>40.03</v>
      </c>
      <c r="UJ10" s="2">
        <v>40.13</v>
      </c>
      <c r="UK10" s="2">
        <v>40.64</v>
      </c>
      <c r="UL10" s="2">
        <v>40.87</v>
      </c>
      <c r="UM10" s="2">
        <v>41.24</v>
      </c>
      <c r="UN10" s="2">
        <v>41.78</v>
      </c>
      <c r="UO10" s="2">
        <v>42.04</v>
      </c>
      <c r="UP10" s="2">
        <v>42.4</v>
      </c>
      <c r="UQ10" s="2">
        <v>45.88</v>
      </c>
      <c r="UR10" s="2">
        <v>46.52</v>
      </c>
      <c r="US10" s="2">
        <v>46.82</v>
      </c>
      <c r="UT10" s="2">
        <v>47.4</v>
      </c>
      <c r="UU10" s="2">
        <v>47.71</v>
      </c>
      <c r="UV10" s="2">
        <v>48.1</v>
      </c>
      <c r="UW10" s="2">
        <v>48.53</v>
      </c>
      <c r="UX10" s="2">
        <v>48.81</v>
      </c>
      <c r="UY10" s="2">
        <v>49.23</v>
      </c>
      <c r="UZ10" s="2">
        <v>49.56</v>
      </c>
      <c r="VA10" s="2">
        <v>50.01</v>
      </c>
      <c r="VB10" s="2">
        <v>50.49</v>
      </c>
      <c r="VC10" s="2">
        <v>50.93</v>
      </c>
      <c r="VD10" s="2">
        <v>51.51</v>
      </c>
      <c r="VE10" s="2">
        <v>51.9</v>
      </c>
      <c r="VF10" s="2">
        <v>52.21</v>
      </c>
      <c r="VG10" s="2">
        <v>52.51</v>
      </c>
      <c r="VH10" s="2">
        <v>52.94</v>
      </c>
      <c r="VI10" s="2">
        <v>53.47</v>
      </c>
      <c r="VJ10" s="2">
        <v>53.9</v>
      </c>
      <c r="VK10" s="2">
        <v>54.45</v>
      </c>
      <c r="VL10" s="2">
        <v>54.94</v>
      </c>
      <c r="VM10" s="2">
        <v>55.37</v>
      </c>
      <c r="VN10" s="2">
        <v>55.77</v>
      </c>
      <c r="VO10" s="2">
        <v>56.26</v>
      </c>
      <c r="VP10" s="2">
        <v>56.66</v>
      </c>
      <c r="VQ10" s="2">
        <v>57.4</v>
      </c>
      <c r="VR10" s="2">
        <v>57.81</v>
      </c>
      <c r="VS10" s="2">
        <v>58.45</v>
      </c>
      <c r="VT10" s="2">
        <v>59.17</v>
      </c>
      <c r="VU10" s="2">
        <v>60.17</v>
      </c>
      <c r="VV10" s="2">
        <v>61.09</v>
      </c>
      <c r="VW10" s="2">
        <v>61.88</v>
      </c>
      <c r="VX10" s="2">
        <v>62.63</v>
      </c>
      <c r="VY10" s="2">
        <v>63.54</v>
      </c>
      <c r="VZ10" s="2">
        <v>64.12</v>
      </c>
      <c r="WA10" s="2">
        <v>64.52</v>
      </c>
      <c r="WB10" s="2">
        <v>64.83</v>
      </c>
      <c r="WC10" s="2">
        <v>65.34</v>
      </c>
      <c r="WD10" s="2">
        <v>65.61</v>
      </c>
      <c r="WE10" s="2">
        <v>65.88</v>
      </c>
      <c r="WF10" s="2">
        <v>66.43000000000001</v>
      </c>
      <c r="WG10" s="2">
        <v>66.87</v>
      </c>
      <c r="WH10" s="2">
        <v>67.54000000000001</v>
      </c>
      <c r="WI10" s="2">
        <v>68</v>
      </c>
      <c r="WJ10" s="2">
        <v>68.44</v>
      </c>
      <c r="WK10" s="2">
        <v>68.8</v>
      </c>
      <c r="WL10" s="2">
        <v>69.26000000000001</v>
      </c>
      <c r="WM10" s="2">
        <v>69.69</v>
      </c>
      <c r="WN10" s="2">
        <v>69.98</v>
      </c>
      <c r="WO10" s="2">
        <v>70.3</v>
      </c>
      <c r="WP10" s="2">
        <v>70.45</v>
      </c>
      <c r="WQ10" s="2">
        <v>70.84</v>
      </c>
      <c r="WR10" s="2">
        <v>71.28</v>
      </c>
      <c r="WS10" s="2">
        <v>71.56999999999999</v>
      </c>
      <c r="WT10" s="2">
        <v>72.01000000000001</v>
      </c>
      <c r="WU10" s="2">
        <v>72.33</v>
      </c>
      <c r="WV10" s="2">
        <v>72.81</v>
      </c>
      <c r="WW10" s="2">
        <v>73.2</v>
      </c>
      <c r="WX10" s="2">
        <v>73.41</v>
      </c>
      <c r="WY10" s="2">
        <v>73.83</v>
      </c>
      <c r="WZ10" s="2">
        <v>74.31</v>
      </c>
      <c r="XA10" s="2">
        <v>74.58</v>
      </c>
      <c r="XB10" s="2">
        <v>74.64</v>
      </c>
      <c r="XC10" s="2">
        <v>74.97</v>
      </c>
      <c r="XD10" s="2">
        <v>75.55</v>
      </c>
      <c r="XE10" s="2">
        <v>75.81999999999999</v>
      </c>
      <c r="XF10" s="2">
        <v>76.34999999999999</v>
      </c>
      <c r="XG10" s="2">
        <v>76.64</v>
      </c>
      <c r="XH10" s="2">
        <v>76.91</v>
      </c>
      <c r="XI10" s="2">
        <v>77.28</v>
      </c>
      <c r="XJ10" s="2">
        <v>77.75</v>
      </c>
      <c r="XK10" s="2">
        <v>78.05</v>
      </c>
      <c r="XL10" s="2">
        <v>78.51000000000001</v>
      </c>
      <c r="XM10" s="2">
        <v>78.91</v>
      </c>
      <c r="XN10" s="2">
        <v>78.89</v>
      </c>
      <c r="XO10" s="2">
        <v>79.37</v>
      </c>
      <c r="XP10" s="2">
        <v>80.15000000000001</v>
      </c>
      <c r="XQ10" s="2">
        <v>80.70999999999999</v>
      </c>
      <c r="XR10" s="2">
        <v>80.98</v>
      </c>
      <c r="XS10" s="2">
        <v>80.59999999999999</v>
      </c>
      <c r="XT10" s="2">
        <v>81.48999999999999</v>
      </c>
      <c r="XU10" s="2">
        <v>81.92</v>
      </c>
      <c r="XV10" s="2">
        <v>81.39</v>
      </c>
      <c r="XW10" s="2">
        <v>82.61</v>
      </c>
      <c r="XX10" s="2">
        <v>83.45999999999999</v>
      </c>
      <c r="XY10" s="2">
        <v>84.04000000000001</v>
      </c>
      <c r="XZ10" s="2">
        <v>85.26000000000001</v>
      </c>
      <c r="YA10" s="2">
        <v>87.7</v>
      </c>
      <c r="YB10" s="2">
        <v>89.54000000000001</v>
      </c>
      <c r="YC10" s="2">
        <v>90.22</v>
      </c>
      <c r="YD10" s="2">
        <v>91.8</v>
      </c>
      <c r="YE10" s="2">
        <v>93.70999999999999</v>
      </c>
      <c r="YF10" s="2">
        <v>94.56999999999999</v>
      </c>
      <c r="YG10" s="2">
        <v>95.05</v>
      </c>
      <c r="YH10" s="2">
        <v>95.65000000000001</v>
      </c>
      <c r="YI10" s="2">
        <v>96.42</v>
      </c>
      <c r="YJ10" s="2">
        <v>97</v>
      </c>
      <c r="YK10" s="2">
        <v>97.56999999999999</v>
      </c>
      <c r="YL10" s="2">
        <v>98.25</v>
      </c>
      <c r="YM10" s="2">
        <v>99.58</v>
      </c>
      <c r="YN10" s="2">
        <v>100.43</v>
      </c>
      <c r="YO10" s="2">
        <v>101.36</v>
      </c>
      <c r="YP10" s="2">
        <v>102.24</v>
      </c>
      <c r="ACY10" s="2">
        <v>2</v>
      </c>
      <c r="ACZ10" s="2">
        <v>3.5</v>
      </c>
      <c r="ADA10" s="2">
        <v>3.6</v>
      </c>
      <c r="ADB10" s="2">
        <v>3</v>
      </c>
      <c r="ADC10" s="2">
        <v>1.7</v>
      </c>
      <c r="ADD10" s="2">
        <v>1.7</v>
      </c>
      <c r="ADE10" s="2">
        <v>1.1</v>
      </c>
      <c r="ADF10" s="2">
        <v>2.2</v>
      </c>
      <c r="ADG10" s="2">
        <v>2.7</v>
      </c>
      <c r="ADH10" s="2">
        <v>2.5</v>
      </c>
      <c r="ADI10" s="2">
        <v>3.1</v>
      </c>
      <c r="ADJ10" s="2">
        <v>3.6</v>
      </c>
      <c r="ADK10" s="2">
        <v>2.6</v>
      </c>
      <c r="ADL10" s="2">
        <v>3.3</v>
      </c>
      <c r="ADM10" s="2">
        <v>2.3</v>
      </c>
      <c r="ADN10" s="2">
        <v>2.4</v>
      </c>
      <c r="ADO10" s="2">
        <v>2.4</v>
      </c>
      <c r="ADP10" s="2">
        <v>2.5</v>
      </c>
      <c r="ADQ10" s="2">
        <v>1.8</v>
      </c>
      <c r="ADR10" s="2">
        <v>2.4</v>
      </c>
      <c r="ADS10" s="2">
        <v>2.8</v>
      </c>
      <c r="ADT10" s="2">
        <v>2.9</v>
      </c>
      <c r="ADU10" s="2">
        <v>2.6</v>
      </c>
      <c r="ADV10" s="2">
        <v>2.5</v>
      </c>
      <c r="ADW10" s="2">
        <v>2.3</v>
      </c>
      <c r="ADX10" s="2">
        <v>2.4</v>
      </c>
      <c r="ADY10" s="2">
        <v>1.5</v>
      </c>
      <c r="ADZ10" s="2">
        <v>2.5</v>
      </c>
      <c r="AEA10" s="2">
        <v>1.8</v>
      </c>
      <c r="AEB10" s="2">
        <v>2</v>
      </c>
      <c r="AEC10" s="2">
        <v>2.2</v>
      </c>
      <c r="AED10" s="2">
        <v>0.9</v>
      </c>
      <c r="AEE10" s="2">
        <v>1.8</v>
      </c>
      <c r="AEF10" s="2">
        <v>2</v>
      </c>
      <c r="AEG10" s="2">
        <v>2.4</v>
      </c>
      <c r="AEH10" s="2">
        <v>2.3</v>
      </c>
      <c r="AEI10" s="2">
        <v>2.3</v>
      </c>
      <c r="AEJ10" s="2">
        <v>2.6</v>
      </c>
      <c r="AEK10" s="2">
        <v>1.9</v>
      </c>
      <c r="AEL10" s="2">
        <v>1.8</v>
      </c>
      <c r="AEM10" s="2">
        <v>2.3</v>
      </c>
      <c r="AEN10" s="2">
        <v>1.9</v>
      </c>
      <c r="AEO10" s="2">
        <v>1.6</v>
      </c>
      <c r="AEP10" s="2">
        <v>1.4</v>
      </c>
      <c r="AEQ10" s="2">
        <v>1.7</v>
      </c>
      <c r="AER10" s="2">
        <v>1.7</v>
      </c>
      <c r="AES10" s="2">
        <v>1.6</v>
      </c>
      <c r="AET10" s="2">
        <v>1.7</v>
      </c>
      <c r="AEU10" s="2">
        <v>2</v>
      </c>
      <c r="AEV10" s="2">
        <v>1.9</v>
      </c>
      <c r="AEW10" s="2">
        <v>2.3</v>
      </c>
      <c r="AEX10" s="2">
        <v>1.5</v>
      </c>
      <c r="AEY10" s="2">
        <v>1.4</v>
      </c>
      <c r="AEZ10" s="2">
        <v>2.2</v>
      </c>
      <c r="AFA10" s="2">
        <v>2.3</v>
      </c>
      <c r="AFB10" s="2">
        <v>0.9</v>
      </c>
      <c r="AFC10" s="2">
        <v>1.9</v>
      </c>
      <c r="AFD10" s="2">
        <v>1</v>
      </c>
      <c r="AFE10" s="2">
        <v>1.2</v>
      </c>
      <c r="AFF10" s="2">
        <v>1</v>
      </c>
      <c r="AFG10" s="2">
        <v>1.1</v>
      </c>
      <c r="AFH10" s="2">
        <v>0.3</v>
      </c>
      <c r="AFI10" s="2">
        <v>1.1</v>
      </c>
      <c r="AFJ10" s="2">
        <v>0.8</v>
      </c>
      <c r="AFK10" s="2">
        <v>0</v>
      </c>
      <c r="AFL10" s="2">
        <v>1</v>
      </c>
      <c r="AFM10" s="2">
        <v>0.7</v>
      </c>
      <c r="AFN10" s="2">
        <v>0.2</v>
      </c>
      <c r="AFO10" s="2">
        <v>-0.3</v>
      </c>
      <c r="AFP10" s="2">
        <v>-0.6</v>
      </c>
      <c r="AFQ10" s="2">
        <v>-1.3</v>
      </c>
      <c r="AFR10" s="2">
        <v>0.5</v>
      </c>
      <c r="AFS10" s="2">
        <v>-0.5</v>
      </c>
      <c r="AFT10" s="2">
        <v>0.6</v>
      </c>
      <c r="AFU10" s="2">
        <v>1.6</v>
      </c>
      <c r="AFV10" s="2">
        <v>0.1</v>
      </c>
      <c r="AFW10" s="2">
        <v>0.3</v>
      </c>
      <c r="AFX10" s="2">
        <v>0.3</v>
      </c>
      <c r="AFY10" s="2">
        <v>1.5</v>
      </c>
      <c r="AFZ10" s="2">
        <v>0.3</v>
      </c>
      <c r="AGA10" s="2">
        <v>0.6</v>
      </c>
      <c r="AGB10" s="2">
        <v>0.7</v>
      </c>
      <c r="AGC10" s="2">
        <v>0.5</v>
      </c>
      <c r="AGD10" s="2">
        <v>0.3</v>
      </c>
      <c r="AGE10" s="2">
        <v>-0.4</v>
      </c>
      <c r="AGF10" s="2">
        <v>1.1</v>
      </c>
      <c r="AGG10" s="2">
        <v>0.8</v>
      </c>
      <c r="AGH10" s="2">
        <v>0.1</v>
      </c>
      <c r="AGI10" s="2">
        <v>0.2</v>
      </c>
      <c r="AGJ10" s="2">
        <v>1.3</v>
      </c>
      <c r="AGK10" s="2">
        <v>0.6</v>
      </c>
      <c r="AGL10" s="2">
        <v>0.9</v>
      </c>
      <c r="AGM10" s="2">
        <v>1.3</v>
      </c>
      <c r="AGN10" s="2">
        <v>0.6</v>
      </c>
      <c r="AGO10" s="2">
        <v>0.9</v>
      </c>
      <c r="AGP10" s="2">
        <v>8.199999999999999</v>
      </c>
      <c r="AGQ10" s="2">
        <v>1.4</v>
      </c>
      <c r="AGR10" s="2">
        <v>0.6</v>
      </c>
      <c r="AGS10" s="2">
        <v>1.2</v>
      </c>
      <c r="AGT10" s="2">
        <v>0.7</v>
      </c>
      <c r="AGU10" s="2">
        <v>0.8</v>
      </c>
      <c r="AGV10" s="2">
        <v>0.9</v>
      </c>
      <c r="AGW10" s="2">
        <v>0.6</v>
      </c>
      <c r="AGX10" s="2">
        <v>0.9</v>
      </c>
      <c r="AGY10" s="2">
        <v>0.7</v>
      </c>
      <c r="AGZ10" s="2">
        <v>0.9</v>
      </c>
      <c r="AHA10" s="2">
        <v>1</v>
      </c>
      <c r="AHB10" s="2">
        <v>0.9</v>
      </c>
      <c r="AHC10" s="2">
        <v>1.1</v>
      </c>
      <c r="AHD10" s="2">
        <v>0.8</v>
      </c>
      <c r="AHE10" s="2">
        <v>0.6</v>
      </c>
      <c r="AHF10" s="2">
        <v>0.6</v>
      </c>
      <c r="AHG10" s="2">
        <v>0.8</v>
      </c>
      <c r="AHH10" s="2">
        <v>1</v>
      </c>
      <c r="AHI10" s="2">
        <v>0.8</v>
      </c>
      <c r="AHJ10" s="2">
        <v>1</v>
      </c>
      <c r="AHK10" s="2">
        <v>0.9</v>
      </c>
      <c r="AHL10" s="2">
        <v>0.8</v>
      </c>
      <c r="AHM10" s="2">
        <v>0.7</v>
      </c>
      <c r="AHN10" s="2">
        <v>0.9</v>
      </c>
      <c r="AHO10" s="2">
        <v>0.7</v>
      </c>
      <c r="AHP10" s="2">
        <v>1.3</v>
      </c>
      <c r="AHQ10" s="2">
        <v>0.7</v>
      </c>
      <c r="AHR10" s="2">
        <v>1.1</v>
      </c>
      <c r="AHS10" s="2">
        <v>1.2</v>
      </c>
      <c r="AHT10" s="2">
        <v>1.7</v>
      </c>
      <c r="AHU10" s="2">
        <v>1.5</v>
      </c>
      <c r="AHV10" s="2">
        <v>1.3</v>
      </c>
      <c r="AHW10" s="2">
        <v>1.2</v>
      </c>
      <c r="AHX10" s="2">
        <v>1.5</v>
      </c>
      <c r="AHY10" s="2">
        <v>0.9</v>
      </c>
      <c r="AHZ10" s="2">
        <v>0.6</v>
      </c>
      <c r="AIA10" s="2">
        <v>0.5</v>
      </c>
      <c r="AIB10" s="2">
        <v>0.8</v>
      </c>
      <c r="AIC10" s="2">
        <v>0.4</v>
      </c>
      <c r="AID10" s="2">
        <v>0.4</v>
      </c>
      <c r="AIE10" s="2">
        <v>0.8</v>
      </c>
      <c r="AIF10" s="2">
        <v>0.7</v>
      </c>
      <c r="AIG10" s="2">
        <v>1</v>
      </c>
      <c r="AIH10" s="2">
        <v>0.7</v>
      </c>
      <c r="AII10" s="2">
        <v>0.6</v>
      </c>
      <c r="AIJ10" s="2">
        <v>0.5</v>
      </c>
      <c r="AIK10" s="2">
        <v>0.7</v>
      </c>
      <c r="AIL10" s="2">
        <v>0.6</v>
      </c>
      <c r="AIM10" s="2">
        <v>0.4</v>
      </c>
      <c r="AIN10" s="2">
        <v>0.5</v>
      </c>
      <c r="AIO10" s="2">
        <v>0.2</v>
      </c>
      <c r="AIP10" s="2">
        <v>0.6</v>
      </c>
      <c r="AIQ10" s="2">
        <v>0.6</v>
      </c>
      <c r="AIR10" s="2">
        <v>0.4</v>
      </c>
      <c r="AIS10" s="2">
        <v>0.6</v>
      </c>
      <c r="AIT10" s="2">
        <v>0.4</v>
      </c>
      <c r="AIU10" s="2">
        <v>0.7</v>
      </c>
      <c r="AIV10" s="2">
        <v>0.5</v>
      </c>
      <c r="AIW10" s="2">
        <v>0.3</v>
      </c>
      <c r="AIX10" s="2">
        <v>0.6</v>
      </c>
      <c r="AIY10" s="2">
        <v>0.7</v>
      </c>
      <c r="AIZ10" s="2">
        <v>0.4</v>
      </c>
      <c r="AJA10" s="2">
        <v>0.1</v>
      </c>
      <c r="AJB10" s="2">
        <v>0.4</v>
      </c>
      <c r="AJC10" s="2">
        <v>0.8</v>
      </c>
      <c r="AJD10" s="2">
        <v>0.4</v>
      </c>
      <c r="AJE10" s="2">
        <v>0.7</v>
      </c>
      <c r="AJF10" s="2">
        <v>0.4</v>
      </c>
      <c r="AJG10" s="2">
        <v>0.4</v>
      </c>
      <c r="AJH10" s="2">
        <v>0.5</v>
      </c>
      <c r="AJI10" s="2">
        <v>0.6</v>
      </c>
      <c r="AJJ10" s="2">
        <v>0.4</v>
      </c>
      <c r="AJK10" s="2">
        <v>0.6</v>
      </c>
      <c r="AJL10" s="2">
        <v>0.5</v>
      </c>
      <c r="AJM10" s="2">
        <v>0</v>
      </c>
      <c r="AJN10" s="2">
        <v>0.6</v>
      </c>
      <c r="AJO10" s="2">
        <v>1</v>
      </c>
      <c r="AJP10" s="2">
        <v>0.7</v>
      </c>
      <c r="AJQ10" s="2">
        <v>0.3</v>
      </c>
      <c r="AJR10" s="2">
        <v>-0.5</v>
      </c>
      <c r="AJS10" s="2">
        <v>1.1</v>
      </c>
      <c r="AJT10" s="2">
        <v>0.5</v>
      </c>
      <c r="AJU10" s="2">
        <v>-0.6</v>
      </c>
      <c r="AJV10" s="2">
        <v>1.5</v>
      </c>
      <c r="AJW10" s="2">
        <v>1</v>
      </c>
      <c r="AJX10" s="2">
        <v>0.7</v>
      </c>
      <c r="AJY10" s="2">
        <v>1.5</v>
      </c>
      <c r="AJZ10" s="2">
        <v>2.9</v>
      </c>
      <c r="AKA10" s="2">
        <v>2.1</v>
      </c>
      <c r="AKB10" s="2">
        <v>0.8</v>
      </c>
      <c r="AKC10" s="2">
        <v>1.8</v>
      </c>
      <c r="AKD10" s="2">
        <v>2.1</v>
      </c>
      <c r="AKE10" s="2">
        <v>0.9</v>
      </c>
      <c r="AKF10" s="2">
        <v>0.5</v>
      </c>
      <c r="AKG10" s="2">
        <v>0.6</v>
      </c>
      <c r="AKH10" s="2">
        <v>0.8</v>
      </c>
      <c r="AKI10" s="2">
        <v>0.6</v>
      </c>
      <c r="AKJ10" s="2">
        <v>0.6</v>
      </c>
      <c r="AKK10" s="2">
        <v>0.7</v>
      </c>
      <c r="AKL10" s="2">
        <v>1.4</v>
      </c>
      <c r="AKM10" s="2">
        <v>0.9</v>
      </c>
      <c r="AKN10" s="2">
        <v>0.9</v>
      </c>
      <c r="AKO10" s="2">
        <v>0.9</v>
      </c>
      <c r="AKP10" s="2">
        <v>7.17</v>
      </c>
      <c r="AKQ10" s="2">
        <v>7.24</v>
      </c>
      <c r="AKR10" s="2">
        <v>7.3</v>
      </c>
    </row>
    <row r="11">
      <c r="A11" t="inlineStr">
        <is>
          <t>Alcoholic beverages</t>
        </is>
      </c>
      <c r="B11" t="inlineStr">
        <is>
          <t>Alcohol and tobacco</t>
        </is>
      </c>
      <c r="C11">
        <v>2</v>
      </c>
      <c r="D11">
        <v>4.65</v>
      </c>
      <c r="E11" s="3">
        <f>D11/6.510000000000001*0.06509999999999999</f>
        <v>0.046499999999999986</v>
      </c>
      <c r="F11" s="3">
        <f>E11-D11/100</f>
        <v>-2.0816681711721685e-17</v>
      </c>
      <c r="G11" s="3">
        <f>D11/6.510000000000001</f>
        <v>0.7142857142857143</v>
      </c>
      <c r="CI11" s="2">
        <v>95.98999999999999</v>
      </c>
      <c r="CJ11" s="2">
        <v>96.23999999999999</v>
      </c>
      <c r="CK11" s="2">
        <v>96.18000000000001</v>
      </c>
      <c r="CL11" s="2">
        <v>96.56999999999999</v>
      </c>
      <c r="CM11" s="2">
        <v>97.44</v>
      </c>
      <c r="CN11" s="2">
        <v>97.89</v>
      </c>
      <c r="CO11" s="2">
        <v>98.05</v>
      </c>
      <c r="CP11" s="2">
        <v>98.38</v>
      </c>
      <c r="CQ11" s="2">
        <v>97.41</v>
      </c>
      <c r="CR11" s="2">
        <v>98.23</v>
      </c>
      <c r="CS11" s="2">
        <v>99.18000000000001</v>
      </c>
      <c r="CT11" s="2">
        <v>99.59</v>
      </c>
      <c r="CU11" s="2">
        <v>98.67</v>
      </c>
      <c r="CV11" s="2">
        <v>99.38</v>
      </c>
      <c r="CW11" s="2">
        <v>99.22</v>
      </c>
      <c r="CX11" s="2">
        <v>100.22</v>
      </c>
      <c r="CY11" s="2">
        <v>100.44</v>
      </c>
      <c r="CZ11" s="2">
        <v>100</v>
      </c>
      <c r="DA11" s="2">
        <v>99.56999999999999</v>
      </c>
      <c r="DB11" s="2">
        <v>99.41</v>
      </c>
      <c r="DC11" s="2">
        <v>99.17</v>
      </c>
      <c r="DD11" s="2">
        <v>100.47</v>
      </c>
      <c r="DE11" s="2">
        <v>100.59</v>
      </c>
      <c r="DF11" s="2">
        <v>101.29</v>
      </c>
      <c r="DG11" s="2">
        <v>100.29</v>
      </c>
      <c r="DH11" s="2">
        <v>101.56</v>
      </c>
      <c r="DI11" s="2">
        <v>100.84</v>
      </c>
      <c r="DJ11" s="2">
        <v>102.03</v>
      </c>
      <c r="GL11" s="2">
        <v>2.8</v>
      </c>
      <c r="GM11" s="2">
        <v>3.3</v>
      </c>
      <c r="GN11" s="2">
        <v>3.2</v>
      </c>
      <c r="GO11" s="2">
        <v>3.8</v>
      </c>
      <c r="GP11" s="2">
        <v>3.1</v>
      </c>
      <c r="GQ11" s="2">
        <v>2.2</v>
      </c>
      <c r="GR11" s="2">
        <v>1.6</v>
      </c>
      <c r="GS11" s="2">
        <v>1</v>
      </c>
      <c r="GT11" s="2">
        <v>1.8</v>
      </c>
      <c r="GU11" s="2">
        <v>2.3</v>
      </c>
      <c r="GV11" s="2">
        <v>1.4</v>
      </c>
      <c r="GW11" s="2">
        <v>1.7</v>
      </c>
      <c r="GX11" s="2">
        <v>1.6</v>
      </c>
      <c r="GY11" s="2">
        <v>2.2</v>
      </c>
      <c r="GZ11" s="2">
        <v>1.6</v>
      </c>
      <c r="HA11" s="2">
        <v>1.8</v>
      </c>
      <c r="KC11" s="2">
        <v>0.3</v>
      </c>
      <c r="KD11" s="2">
        <v>-0.1</v>
      </c>
      <c r="KE11" s="2">
        <v>0.4</v>
      </c>
      <c r="KF11" s="2">
        <v>0.9</v>
      </c>
      <c r="KG11" s="2">
        <v>0.5</v>
      </c>
      <c r="KH11" s="2">
        <v>0.2</v>
      </c>
      <c r="KI11" s="2">
        <v>0.3</v>
      </c>
      <c r="KJ11" s="2">
        <v>-1</v>
      </c>
      <c r="KK11" s="2">
        <v>0.8</v>
      </c>
      <c r="KL11" s="2">
        <v>1</v>
      </c>
      <c r="KM11" s="2">
        <v>0.4</v>
      </c>
      <c r="KN11" s="2">
        <v>-0.9</v>
      </c>
      <c r="KO11" s="2">
        <v>0.7</v>
      </c>
      <c r="KP11" s="2">
        <v>-0.2</v>
      </c>
      <c r="KQ11" s="2">
        <v>1</v>
      </c>
      <c r="KR11" s="2">
        <v>0.2</v>
      </c>
      <c r="KS11" s="2">
        <v>-0.4</v>
      </c>
      <c r="KT11" s="2">
        <v>-0.4</v>
      </c>
      <c r="KU11" s="2">
        <v>-0.2</v>
      </c>
      <c r="KV11" s="2">
        <v>-0.2</v>
      </c>
      <c r="KW11" s="2">
        <v>1.3</v>
      </c>
      <c r="KX11" s="2">
        <v>0.1</v>
      </c>
      <c r="KY11" s="2">
        <v>0.7</v>
      </c>
      <c r="KZ11" s="2">
        <v>-1</v>
      </c>
      <c r="LA11" s="2">
        <v>1.3</v>
      </c>
      <c r="LB11" s="2">
        <v>-0.7</v>
      </c>
      <c r="LC11" s="2">
        <v>1.2</v>
      </c>
      <c r="LD11" s="2">
        <v>4.52</v>
      </c>
      <c r="LE11" s="2">
        <v>4.56</v>
      </c>
      <c r="LF11" s="2">
        <v>4.6</v>
      </c>
      <c r="LG11" s="2">
        <v>4.62</v>
      </c>
      <c r="LH11" s="2">
        <v>4.58</v>
      </c>
      <c r="LI11" s="2">
        <v>4.61</v>
      </c>
      <c r="LJ11" s="2">
        <v>4.61</v>
      </c>
      <c r="LK11" s="2">
        <v>4.65</v>
      </c>
      <c r="LL11" s="2">
        <v>4.66</v>
      </c>
      <c r="LM11" s="2">
        <v>4.64</v>
      </c>
      <c r="LN11" s="2">
        <v>4.62</v>
      </c>
      <c r="LO11" s="2">
        <v>4.62</v>
      </c>
      <c r="LP11" s="2">
        <v>4.6</v>
      </c>
      <c r="LQ11" s="2">
        <v>4.66</v>
      </c>
      <c r="LR11" s="2">
        <v>4.67</v>
      </c>
      <c r="LS11" s="2">
        <v>4.7</v>
      </c>
      <c r="LT11" s="2">
        <v>4.66</v>
      </c>
      <c r="LU11" s="2">
        <v>4.72</v>
      </c>
      <c r="LV11" s="2">
        <v>4.68</v>
      </c>
      <c r="LW11" s="2">
        <v>4.74</v>
      </c>
      <c r="LX11" s="2">
        <v>0.04</v>
      </c>
      <c r="LY11" s="2">
        <v>0.04</v>
      </c>
      <c r="LZ11" s="2">
        <v>0.02</v>
      </c>
      <c r="MA11" s="2">
        <v>-0.04</v>
      </c>
      <c r="MB11" s="2">
        <v>0.03</v>
      </c>
      <c r="MC11" s="2">
        <v>0</v>
      </c>
      <c r="MD11" s="2">
        <v>0.04</v>
      </c>
      <c r="ME11" s="2">
        <v>0.01</v>
      </c>
      <c r="MF11" s="2">
        <v>-0.02</v>
      </c>
      <c r="MG11" s="2">
        <v>-0.02</v>
      </c>
      <c r="MH11" s="2">
        <v>0</v>
      </c>
      <c r="MI11" s="2">
        <v>-0.02</v>
      </c>
      <c r="MJ11" s="2">
        <v>0.06</v>
      </c>
      <c r="MK11" s="2">
        <v>0.01</v>
      </c>
      <c r="ML11" s="2">
        <v>0.03</v>
      </c>
      <c r="MM11" s="2">
        <v>-0.04</v>
      </c>
      <c r="MN11" s="2">
        <v>0.06</v>
      </c>
      <c r="MO11" s="2">
        <v>-0.04</v>
      </c>
      <c r="MP11" s="2">
        <v>0.06</v>
      </c>
      <c r="QI11" s="2">
        <v>7.04</v>
      </c>
      <c r="QJ11" s="2">
        <v>7.11</v>
      </c>
      <c r="QK11" s="2">
        <v>7.14</v>
      </c>
      <c r="QL11" s="2">
        <v>7.61</v>
      </c>
      <c r="QM11" s="2">
        <v>7.64</v>
      </c>
      <c r="QN11" s="2">
        <v>7.64</v>
      </c>
      <c r="QO11" s="2">
        <v>7.68</v>
      </c>
      <c r="QP11" s="2">
        <v>8.24</v>
      </c>
      <c r="QQ11" s="2">
        <v>8.640000000000001</v>
      </c>
      <c r="QR11" s="2">
        <v>8.92</v>
      </c>
      <c r="QS11" s="2">
        <v>9.199999999999999</v>
      </c>
      <c r="QT11" s="2">
        <v>9.35</v>
      </c>
      <c r="QU11" s="2">
        <v>9.6</v>
      </c>
      <c r="QV11" s="2">
        <v>11.44</v>
      </c>
      <c r="QW11" s="2">
        <v>11.59</v>
      </c>
      <c r="QX11" s="2">
        <v>11.94</v>
      </c>
      <c r="QY11" s="2">
        <v>11.91</v>
      </c>
      <c r="QZ11" s="2">
        <v>12.08</v>
      </c>
      <c r="RA11" s="2">
        <v>12.15</v>
      </c>
      <c r="RB11" s="2">
        <v>12.3</v>
      </c>
      <c r="RC11" s="2">
        <v>12.44</v>
      </c>
      <c r="RD11" s="2">
        <v>12.69</v>
      </c>
      <c r="RE11" s="2">
        <v>12.79</v>
      </c>
      <c r="RF11" s="2">
        <v>12.9</v>
      </c>
      <c r="RG11" s="2">
        <v>13.04</v>
      </c>
      <c r="RH11" s="2">
        <v>15.39</v>
      </c>
      <c r="RI11" s="2">
        <v>15.32</v>
      </c>
      <c r="RJ11" s="2">
        <v>15.53</v>
      </c>
      <c r="RK11" s="2">
        <v>15.67</v>
      </c>
      <c r="RL11" s="2">
        <v>15.85</v>
      </c>
      <c r="RM11" s="2">
        <v>16.17</v>
      </c>
      <c r="RN11" s="2">
        <v>16.45</v>
      </c>
      <c r="RO11" s="2">
        <v>16.77</v>
      </c>
      <c r="RP11" s="2">
        <v>17.02</v>
      </c>
      <c r="RQ11" s="2">
        <v>17.45</v>
      </c>
      <c r="RR11" s="2">
        <v>17.73</v>
      </c>
      <c r="RS11" s="2">
        <v>18.27</v>
      </c>
      <c r="RT11" s="2">
        <v>18.55</v>
      </c>
      <c r="RU11" s="2">
        <v>19.16</v>
      </c>
      <c r="RV11" s="2">
        <v>19.58</v>
      </c>
      <c r="RW11" s="2">
        <v>20.33</v>
      </c>
      <c r="RX11" s="2">
        <v>21.22</v>
      </c>
      <c r="RY11" s="2">
        <v>21.5</v>
      </c>
      <c r="RZ11" s="2">
        <v>21.82</v>
      </c>
      <c r="SA11" s="2">
        <v>22</v>
      </c>
      <c r="SB11" s="2">
        <v>22.92</v>
      </c>
      <c r="SC11" s="2">
        <v>23.42</v>
      </c>
      <c r="SD11" s="2">
        <v>24.06</v>
      </c>
      <c r="SE11" s="2">
        <v>24.31</v>
      </c>
      <c r="SF11" s="2">
        <v>24.81</v>
      </c>
      <c r="SG11" s="2">
        <v>25.09</v>
      </c>
      <c r="SH11" s="2">
        <v>25.41</v>
      </c>
      <c r="SI11" s="2">
        <v>26.05</v>
      </c>
      <c r="SJ11" s="2">
        <v>26.58</v>
      </c>
      <c r="SK11" s="2">
        <v>27.19</v>
      </c>
      <c r="SL11" s="2">
        <v>27.68</v>
      </c>
      <c r="SM11" s="2">
        <v>28.32</v>
      </c>
      <c r="SN11" s="2">
        <v>29.18</v>
      </c>
      <c r="SO11" s="2">
        <v>29.96</v>
      </c>
      <c r="SP11" s="2">
        <v>30.67</v>
      </c>
      <c r="SQ11" s="2">
        <v>31.2</v>
      </c>
      <c r="SR11" s="2">
        <v>31.66</v>
      </c>
      <c r="SS11" s="2">
        <v>32.3</v>
      </c>
      <c r="ST11" s="2">
        <v>32.91</v>
      </c>
      <c r="SU11" s="2">
        <v>33.19</v>
      </c>
      <c r="SV11" s="2">
        <v>32.91</v>
      </c>
      <c r="SW11" s="2">
        <v>33.34</v>
      </c>
      <c r="SX11" s="2">
        <v>34.08</v>
      </c>
      <c r="SY11" s="2">
        <v>34.72</v>
      </c>
      <c r="SZ11" s="2">
        <v>35.22</v>
      </c>
      <c r="TA11" s="2">
        <v>35.82</v>
      </c>
      <c r="TB11" s="2">
        <v>36.39</v>
      </c>
      <c r="TC11" s="2">
        <v>37.1</v>
      </c>
      <c r="TD11" s="2">
        <v>37.85</v>
      </c>
      <c r="TE11" s="2">
        <v>38.38</v>
      </c>
      <c r="TF11" s="2">
        <v>39.06</v>
      </c>
      <c r="TG11" s="2">
        <v>39.2</v>
      </c>
      <c r="TH11" s="2">
        <v>39.52</v>
      </c>
      <c r="TI11" s="2">
        <v>39.63</v>
      </c>
      <c r="TJ11" s="2">
        <v>40.05</v>
      </c>
      <c r="TK11" s="2">
        <v>40.19</v>
      </c>
      <c r="TL11" s="2">
        <v>40.37</v>
      </c>
      <c r="TM11" s="2">
        <v>40.69</v>
      </c>
      <c r="TN11" s="2">
        <v>41.01</v>
      </c>
      <c r="TO11" s="2">
        <v>41.47</v>
      </c>
      <c r="TP11" s="2">
        <v>41.86</v>
      </c>
      <c r="TQ11" s="2">
        <v>41.97</v>
      </c>
      <c r="TR11" s="2">
        <v>42.43</v>
      </c>
      <c r="TS11" s="2">
        <v>42.93</v>
      </c>
      <c r="TT11" s="2">
        <v>43.14</v>
      </c>
      <c r="TU11" s="2">
        <v>43.5</v>
      </c>
      <c r="TV11" s="2">
        <v>44.07</v>
      </c>
      <c r="TW11" s="2">
        <v>44.67</v>
      </c>
      <c r="TX11" s="2">
        <v>45.06</v>
      </c>
      <c r="TY11" s="2">
        <v>45.74</v>
      </c>
      <c r="TZ11" s="2">
        <v>46.52</v>
      </c>
      <c r="UA11" s="2">
        <v>46.59</v>
      </c>
      <c r="UB11" s="2">
        <v>46.56</v>
      </c>
      <c r="UC11" s="2">
        <v>46.88</v>
      </c>
      <c r="UD11" s="2">
        <v>47.05</v>
      </c>
      <c r="UE11" s="2">
        <v>46.98</v>
      </c>
      <c r="UF11" s="2">
        <v>47.16</v>
      </c>
      <c r="UG11" s="2">
        <v>47.3</v>
      </c>
      <c r="UH11" s="2">
        <v>47.55</v>
      </c>
      <c r="UI11" s="2">
        <v>47.67</v>
      </c>
      <c r="UJ11" s="2">
        <v>47.8</v>
      </c>
      <c r="UK11" s="2">
        <v>48.05</v>
      </c>
      <c r="UL11" s="2">
        <v>48.29</v>
      </c>
      <c r="UM11" s="2">
        <v>48.18</v>
      </c>
      <c r="UN11" s="2">
        <v>48.51</v>
      </c>
      <c r="UO11" s="2">
        <v>48.7</v>
      </c>
      <c r="UP11" s="2">
        <v>49.27</v>
      </c>
      <c r="UQ11" s="2">
        <v>51.44</v>
      </c>
      <c r="UR11" s="2">
        <v>51.71</v>
      </c>
      <c r="US11" s="2">
        <v>52.7</v>
      </c>
      <c r="UT11" s="2">
        <v>53.1</v>
      </c>
      <c r="UU11" s="2">
        <v>53.51</v>
      </c>
      <c r="UV11" s="2">
        <v>53.57</v>
      </c>
      <c r="UW11" s="2">
        <v>53.84</v>
      </c>
      <c r="UX11" s="2">
        <v>53.97</v>
      </c>
      <c r="UY11" s="2">
        <v>54.57</v>
      </c>
      <c r="UZ11" s="2">
        <v>54.5</v>
      </c>
      <c r="VA11" s="2">
        <v>55.12</v>
      </c>
      <c r="VB11" s="2">
        <v>55.31</v>
      </c>
      <c r="VC11" s="2">
        <v>56.49</v>
      </c>
      <c r="VD11" s="2">
        <v>56.86</v>
      </c>
      <c r="VE11" s="2">
        <v>57.36</v>
      </c>
      <c r="VF11" s="2">
        <v>57.86</v>
      </c>
      <c r="VG11" s="2">
        <v>58.34</v>
      </c>
      <c r="VH11" s="2">
        <v>58.93</v>
      </c>
      <c r="VI11" s="2">
        <v>59.39</v>
      </c>
      <c r="VJ11" s="2">
        <v>59.55</v>
      </c>
      <c r="VK11" s="2">
        <v>60.15</v>
      </c>
      <c r="VL11" s="2">
        <v>60.4</v>
      </c>
      <c r="VM11" s="2">
        <v>61.1</v>
      </c>
      <c r="VN11" s="2">
        <v>61.55</v>
      </c>
      <c r="VO11" s="2">
        <v>61.62</v>
      </c>
      <c r="VP11" s="2">
        <v>62.13</v>
      </c>
      <c r="VQ11" s="2">
        <v>62.49</v>
      </c>
      <c r="VR11" s="2">
        <v>63.2</v>
      </c>
      <c r="VS11" s="2">
        <v>63.47</v>
      </c>
      <c r="VT11" s="2">
        <v>64.34</v>
      </c>
      <c r="VU11" s="2">
        <v>65.15000000000001</v>
      </c>
      <c r="VV11" s="2">
        <v>66.48</v>
      </c>
      <c r="VW11" s="2">
        <v>67.39</v>
      </c>
      <c r="VX11" s="2">
        <v>68.18000000000001</v>
      </c>
      <c r="VY11" s="2">
        <v>68.45</v>
      </c>
      <c r="VZ11" s="2">
        <v>68.90000000000001</v>
      </c>
      <c r="WA11" s="2">
        <v>69.77</v>
      </c>
      <c r="WB11" s="2">
        <v>70.55</v>
      </c>
      <c r="WC11" s="2">
        <v>71.09999999999999</v>
      </c>
      <c r="WD11" s="2">
        <v>71.56</v>
      </c>
      <c r="WE11" s="2">
        <v>71.98</v>
      </c>
      <c r="WF11" s="2">
        <v>72.31999999999999</v>
      </c>
      <c r="WG11" s="2">
        <v>72.58</v>
      </c>
      <c r="WH11" s="2">
        <v>72.64</v>
      </c>
      <c r="WI11" s="2">
        <v>72.59</v>
      </c>
      <c r="WJ11" s="2">
        <v>73.2</v>
      </c>
      <c r="WK11" s="2">
        <v>73.98999999999999</v>
      </c>
      <c r="WL11" s="2">
        <v>74.48999999999999</v>
      </c>
      <c r="WM11" s="2">
        <v>75.06999999999999</v>
      </c>
      <c r="WN11" s="2">
        <v>74.95</v>
      </c>
      <c r="WO11" s="2">
        <v>75.31999999999999</v>
      </c>
      <c r="WP11" s="2">
        <v>75.66</v>
      </c>
      <c r="WQ11" s="2">
        <v>76.12</v>
      </c>
      <c r="WR11" s="2">
        <v>77.08</v>
      </c>
      <c r="WS11" s="2">
        <v>77.67</v>
      </c>
      <c r="WT11" s="2">
        <v>78.2</v>
      </c>
      <c r="WU11" s="2">
        <v>78.45999999999999</v>
      </c>
      <c r="WV11" s="2">
        <v>78.27</v>
      </c>
      <c r="WW11" s="2">
        <v>78.8</v>
      </c>
      <c r="WX11" s="2">
        <v>79.12</v>
      </c>
      <c r="WY11" s="2">
        <v>79.61</v>
      </c>
      <c r="WZ11" s="2">
        <v>79.31</v>
      </c>
      <c r="XA11" s="2">
        <v>79.98999999999999</v>
      </c>
      <c r="XB11" s="2">
        <v>80.09</v>
      </c>
      <c r="XC11" s="2">
        <v>80.34999999999999</v>
      </c>
      <c r="XD11" s="2">
        <v>79.83</v>
      </c>
      <c r="XE11" s="2">
        <v>80.79000000000001</v>
      </c>
      <c r="XF11" s="2">
        <v>81.19</v>
      </c>
      <c r="XG11" s="2">
        <v>81.68000000000001</v>
      </c>
      <c r="XH11" s="2">
        <v>81.75</v>
      </c>
      <c r="XI11" s="2">
        <v>82.54000000000001</v>
      </c>
      <c r="XJ11" s="2">
        <v>83.09</v>
      </c>
      <c r="XK11" s="2">
        <v>83.88</v>
      </c>
      <c r="XL11" s="2">
        <v>83.23</v>
      </c>
      <c r="XM11" s="2">
        <v>84.05</v>
      </c>
      <c r="XN11" s="2">
        <v>84.12</v>
      </c>
      <c r="XO11" s="2">
        <v>85.01000000000001</v>
      </c>
      <c r="XP11" s="2">
        <v>84.38</v>
      </c>
      <c r="XQ11" s="2">
        <v>85.48</v>
      </c>
      <c r="XR11" s="2">
        <v>86.06</v>
      </c>
      <c r="XS11" s="2">
        <v>86.44</v>
      </c>
      <c r="XT11" s="2">
        <v>86.14</v>
      </c>
      <c r="XU11" s="2">
        <v>87.05</v>
      </c>
      <c r="XV11" s="2">
        <v>87.31999999999999</v>
      </c>
      <c r="XW11" s="2">
        <v>87.06</v>
      </c>
      <c r="XX11" s="2">
        <v>87.13</v>
      </c>
      <c r="XY11" s="2">
        <v>87.98</v>
      </c>
      <c r="XZ11" s="2">
        <v>88.55</v>
      </c>
      <c r="YA11" s="2">
        <v>89.79000000000001</v>
      </c>
      <c r="YB11" s="2">
        <v>90.7</v>
      </c>
      <c r="YC11" s="2">
        <v>92.11</v>
      </c>
      <c r="YD11" s="2">
        <v>93.01000000000001</v>
      </c>
      <c r="YE11" s="2">
        <v>94.2</v>
      </c>
      <c r="YF11" s="2">
        <v>94.76000000000001</v>
      </c>
      <c r="YG11" s="2">
        <v>95.45</v>
      </c>
      <c r="YH11" s="2">
        <v>96.14</v>
      </c>
      <c r="YI11" s="2">
        <v>97.31999999999999</v>
      </c>
      <c r="YJ11" s="2">
        <v>97.98</v>
      </c>
      <c r="YK11" s="2">
        <v>99.04000000000001</v>
      </c>
      <c r="YL11" s="2">
        <v>99.11</v>
      </c>
      <c r="YM11" s="2">
        <v>100.22</v>
      </c>
      <c r="YN11" s="2">
        <v>99.38</v>
      </c>
      <c r="YO11" s="2">
        <v>100.78</v>
      </c>
      <c r="YP11" s="2">
        <v>100.9</v>
      </c>
      <c r="ACI11" s="2">
        <v>1</v>
      </c>
      <c r="ACJ11" s="2">
        <v>0.4</v>
      </c>
      <c r="ACK11" s="2">
        <v>6.6</v>
      </c>
      <c r="ACL11" s="2">
        <v>0.4</v>
      </c>
      <c r="ACM11" s="2">
        <v>0</v>
      </c>
      <c r="ACN11" s="2">
        <v>0.5</v>
      </c>
      <c r="ACO11" s="2">
        <v>7.3</v>
      </c>
      <c r="ACP11" s="2">
        <v>4.9</v>
      </c>
      <c r="ACQ11" s="2">
        <v>3.2</v>
      </c>
      <c r="ACR11" s="2">
        <v>3.1</v>
      </c>
      <c r="ACS11" s="2">
        <v>1.6</v>
      </c>
      <c r="ACT11" s="2">
        <v>2.7</v>
      </c>
      <c r="ACU11" s="2">
        <v>19.2</v>
      </c>
      <c r="ACV11" s="2">
        <v>1.3</v>
      </c>
      <c r="ACW11" s="2">
        <v>3</v>
      </c>
      <c r="ACX11" s="2">
        <v>-0.3</v>
      </c>
      <c r="ACY11" s="2">
        <v>1.4</v>
      </c>
      <c r="ACZ11" s="2">
        <v>0.6</v>
      </c>
      <c r="ADA11" s="2">
        <v>1.2</v>
      </c>
      <c r="ADB11" s="2">
        <v>1.1</v>
      </c>
      <c r="ADC11" s="2">
        <v>2</v>
      </c>
      <c r="ADD11" s="2">
        <v>0.8</v>
      </c>
      <c r="ADE11" s="2">
        <v>0.9</v>
      </c>
      <c r="ADF11" s="2">
        <v>1.1</v>
      </c>
      <c r="ADG11" s="2">
        <v>18</v>
      </c>
      <c r="ADH11" s="2">
        <v>-0.5</v>
      </c>
      <c r="ADI11" s="2">
        <v>1.4</v>
      </c>
      <c r="ADJ11" s="2">
        <v>0.9</v>
      </c>
      <c r="ADK11" s="2">
        <v>1.1</v>
      </c>
      <c r="ADL11" s="2">
        <v>2</v>
      </c>
      <c r="ADM11" s="2">
        <v>1.7</v>
      </c>
      <c r="ADN11" s="2">
        <v>1.9</v>
      </c>
      <c r="ADO11" s="2">
        <v>1.5</v>
      </c>
      <c r="ADP11" s="2">
        <v>2.5</v>
      </c>
      <c r="ADQ11" s="2">
        <v>1.6</v>
      </c>
      <c r="ADR11" s="2">
        <v>3</v>
      </c>
      <c r="ADS11" s="2">
        <v>1.5</v>
      </c>
      <c r="ADT11" s="2">
        <v>3.3</v>
      </c>
      <c r="ADU11" s="2">
        <v>2.2</v>
      </c>
      <c r="ADV11" s="2">
        <v>3.8</v>
      </c>
      <c r="ADW11" s="2">
        <v>4.4</v>
      </c>
      <c r="ADX11" s="2">
        <v>1.3</v>
      </c>
      <c r="ADY11" s="2">
        <v>1.5</v>
      </c>
      <c r="ADZ11" s="2">
        <v>0.8</v>
      </c>
      <c r="AEA11" s="2">
        <v>4.2</v>
      </c>
      <c r="AEB11" s="2">
        <v>2.2</v>
      </c>
      <c r="AEC11" s="2">
        <v>2.7</v>
      </c>
      <c r="AED11" s="2">
        <v>1</v>
      </c>
      <c r="AEE11" s="2">
        <v>2.1</v>
      </c>
      <c r="AEF11" s="2">
        <v>1.1</v>
      </c>
      <c r="AEG11" s="2">
        <v>1.3</v>
      </c>
      <c r="AEH11" s="2">
        <v>2.5</v>
      </c>
      <c r="AEI11" s="2">
        <v>2</v>
      </c>
      <c r="AEJ11" s="2">
        <v>2.3</v>
      </c>
      <c r="AEK11" s="2">
        <v>1.8</v>
      </c>
      <c r="AEL11" s="2">
        <v>2.3</v>
      </c>
      <c r="AEM11" s="2">
        <v>3</v>
      </c>
      <c r="AEN11" s="2">
        <v>2.7</v>
      </c>
      <c r="AEO11" s="2">
        <v>2.4</v>
      </c>
      <c r="AEP11" s="2">
        <v>1.7</v>
      </c>
      <c r="AEQ11" s="2">
        <v>1.5</v>
      </c>
      <c r="AER11" s="2">
        <v>2</v>
      </c>
      <c r="AES11" s="2">
        <v>1.9</v>
      </c>
      <c r="AET11" s="2">
        <v>0.9</v>
      </c>
      <c r="AEU11" s="2">
        <v>-0.8</v>
      </c>
      <c r="AEV11" s="2">
        <v>1.3</v>
      </c>
      <c r="AEW11" s="2">
        <v>2.2</v>
      </c>
      <c r="AEX11" s="2">
        <v>1.9</v>
      </c>
      <c r="AEY11" s="2">
        <v>1.4</v>
      </c>
      <c r="AEZ11" s="2">
        <v>1.7</v>
      </c>
      <c r="AFA11" s="2">
        <v>1.6</v>
      </c>
      <c r="AFB11" s="2">
        <v>2</v>
      </c>
      <c r="AFC11" s="2">
        <v>2</v>
      </c>
      <c r="AFD11" s="2">
        <v>1.4</v>
      </c>
      <c r="AFE11" s="2">
        <v>1.8</v>
      </c>
      <c r="AFF11" s="2">
        <v>0.4</v>
      </c>
      <c r="AFG11" s="2">
        <v>0.8</v>
      </c>
      <c r="AFH11" s="2">
        <v>0.3</v>
      </c>
      <c r="AFI11" s="2">
        <v>1.1</v>
      </c>
      <c r="AFJ11" s="2">
        <v>0.3</v>
      </c>
      <c r="AFK11" s="2">
        <v>0.4</v>
      </c>
      <c r="AFL11" s="2">
        <v>0.8</v>
      </c>
      <c r="AFM11" s="2">
        <v>0.8</v>
      </c>
      <c r="AFN11" s="2">
        <v>1.1</v>
      </c>
      <c r="AFO11" s="2">
        <v>0.9</v>
      </c>
      <c r="AFP11" s="2">
        <v>0.3</v>
      </c>
      <c r="AFQ11" s="2">
        <v>1.1</v>
      </c>
      <c r="AFR11" s="2">
        <v>1.2</v>
      </c>
      <c r="AFS11" s="2">
        <v>0.5</v>
      </c>
      <c r="AFT11" s="2">
        <v>0.8</v>
      </c>
      <c r="AFU11" s="2">
        <v>1.3</v>
      </c>
      <c r="AFV11" s="2">
        <v>1.4</v>
      </c>
      <c r="AFW11" s="2">
        <v>0.9</v>
      </c>
      <c r="AFX11" s="2">
        <v>1.5</v>
      </c>
      <c r="AFY11" s="2">
        <v>1.7</v>
      </c>
      <c r="AFZ11" s="2">
        <v>0.2</v>
      </c>
      <c r="AGA11" s="2">
        <v>-0.1</v>
      </c>
      <c r="AGB11" s="2">
        <v>0.7</v>
      </c>
      <c r="AGC11" s="2">
        <v>0.4</v>
      </c>
      <c r="AGD11" s="2">
        <v>-0.1</v>
      </c>
      <c r="AGE11" s="2">
        <v>0.4</v>
      </c>
      <c r="AGF11" s="2">
        <v>0.3</v>
      </c>
      <c r="AGG11" s="2">
        <v>0.5</v>
      </c>
      <c r="AGH11" s="2">
        <v>0.3</v>
      </c>
      <c r="AGI11" s="2">
        <v>0.3</v>
      </c>
      <c r="AGJ11" s="2">
        <v>0.5</v>
      </c>
      <c r="AGK11" s="2">
        <v>0.5</v>
      </c>
      <c r="AGL11" s="2">
        <v>-0.2</v>
      </c>
      <c r="AGM11" s="2">
        <v>0.7</v>
      </c>
      <c r="AGN11" s="2">
        <v>0.4</v>
      </c>
      <c r="AGO11" s="2">
        <v>1.2</v>
      </c>
      <c r="AGP11" s="2">
        <v>4.4</v>
      </c>
      <c r="AGQ11" s="2">
        <v>0.5</v>
      </c>
      <c r="AGR11" s="2">
        <v>1.9</v>
      </c>
      <c r="AGS11" s="2">
        <v>0.8</v>
      </c>
      <c r="AGT11" s="2">
        <v>0.8</v>
      </c>
      <c r="AGU11" s="2">
        <v>0.1</v>
      </c>
      <c r="AGV11" s="2">
        <v>0.5</v>
      </c>
      <c r="AGW11" s="2">
        <v>0.2</v>
      </c>
      <c r="AGX11" s="2">
        <v>1.1</v>
      </c>
      <c r="AGY11" s="2">
        <v>-0.1</v>
      </c>
      <c r="AGZ11" s="2">
        <v>1.1</v>
      </c>
      <c r="AHA11" s="2">
        <v>0.3</v>
      </c>
      <c r="AHB11" s="2">
        <v>2.1</v>
      </c>
      <c r="AHC11" s="2">
        <v>0.7</v>
      </c>
      <c r="AHD11" s="2">
        <v>0.9</v>
      </c>
      <c r="AHE11" s="2">
        <v>0.9</v>
      </c>
      <c r="AHF11" s="2">
        <v>0.8</v>
      </c>
      <c r="AHG11" s="2">
        <v>1</v>
      </c>
      <c r="AHH11" s="2">
        <v>0.8</v>
      </c>
      <c r="AHI11" s="2">
        <v>0.3</v>
      </c>
      <c r="AHJ11" s="2">
        <v>1</v>
      </c>
      <c r="AHK11" s="2">
        <v>0.4</v>
      </c>
      <c r="AHL11" s="2">
        <v>1.2</v>
      </c>
      <c r="AHM11" s="2">
        <v>0.7</v>
      </c>
      <c r="AHN11" s="2">
        <v>0.1</v>
      </c>
      <c r="AHO11" s="2">
        <v>0.8</v>
      </c>
      <c r="AHP11" s="2">
        <v>0.6</v>
      </c>
      <c r="AHQ11" s="2">
        <v>1.1</v>
      </c>
      <c r="AHR11" s="2">
        <v>0.4</v>
      </c>
      <c r="AHS11" s="2">
        <v>1.4</v>
      </c>
      <c r="AHT11" s="2">
        <v>1.3</v>
      </c>
      <c r="AHU11" s="2">
        <v>2</v>
      </c>
      <c r="AHV11" s="2">
        <v>1.4</v>
      </c>
      <c r="AHW11" s="2">
        <v>1.2</v>
      </c>
      <c r="AHX11" s="2">
        <v>0.4</v>
      </c>
      <c r="AHY11" s="2">
        <v>0.7</v>
      </c>
      <c r="AHZ11" s="2">
        <v>1.3</v>
      </c>
      <c r="AIA11" s="2">
        <v>1.1</v>
      </c>
      <c r="AIB11" s="2">
        <v>0.8</v>
      </c>
      <c r="AIC11" s="2">
        <v>0.6</v>
      </c>
      <c r="AID11" s="2">
        <v>0.6</v>
      </c>
      <c r="AIE11" s="2">
        <v>0.5</v>
      </c>
      <c r="AIF11" s="2">
        <v>0.4</v>
      </c>
      <c r="AIG11" s="2">
        <v>0.1</v>
      </c>
      <c r="AIH11" s="2">
        <v>-0.1</v>
      </c>
      <c r="AII11" s="2">
        <v>0.8</v>
      </c>
      <c r="AIJ11" s="2">
        <v>1.1</v>
      </c>
      <c r="AIK11" s="2">
        <v>0.7</v>
      </c>
      <c r="AIL11" s="2">
        <v>0.8</v>
      </c>
      <c r="AIM11" s="2">
        <v>-0.2</v>
      </c>
      <c r="AIN11" s="2">
        <v>0.5</v>
      </c>
      <c r="AIO11" s="2">
        <v>0.5</v>
      </c>
      <c r="AIP11" s="2">
        <v>0.6</v>
      </c>
      <c r="AIQ11" s="2">
        <v>1.3</v>
      </c>
      <c r="AIR11" s="2">
        <v>0.8</v>
      </c>
      <c r="AIS11" s="2">
        <v>0.7</v>
      </c>
      <c r="AIT11" s="2">
        <v>0.3</v>
      </c>
      <c r="AIU11" s="2">
        <v>-0.2</v>
      </c>
      <c r="AIV11" s="2">
        <v>0.7</v>
      </c>
      <c r="AIW11" s="2">
        <v>0.4</v>
      </c>
      <c r="AIX11" s="2">
        <v>0.6</v>
      </c>
      <c r="AIY11" s="2">
        <v>-0.4</v>
      </c>
      <c r="AIZ11" s="2">
        <v>0.9</v>
      </c>
      <c r="AJA11" s="2">
        <v>0.1</v>
      </c>
      <c r="AJB11" s="2">
        <v>0.3</v>
      </c>
      <c r="AJC11" s="2">
        <v>-0.6</v>
      </c>
      <c r="AJD11" s="2">
        <v>1.2</v>
      </c>
      <c r="AJE11" s="2">
        <v>0.5</v>
      </c>
      <c r="AJF11" s="2">
        <v>0.6</v>
      </c>
      <c r="AJG11" s="2">
        <v>0.1</v>
      </c>
      <c r="AJH11" s="2">
        <v>1</v>
      </c>
      <c r="AJI11" s="2">
        <v>0.7</v>
      </c>
      <c r="AJJ11" s="2">
        <v>1</v>
      </c>
      <c r="AJK11" s="2">
        <v>-0.8</v>
      </c>
      <c r="AJL11" s="2">
        <v>1</v>
      </c>
      <c r="AJM11" s="2">
        <v>0.1</v>
      </c>
      <c r="AJN11" s="2">
        <v>1.1</v>
      </c>
      <c r="AJO11" s="2">
        <v>-0.7</v>
      </c>
      <c r="AJP11" s="2">
        <v>1.3</v>
      </c>
      <c r="AJQ11" s="2">
        <v>0.7</v>
      </c>
      <c r="AJR11" s="2">
        <v>0.4</v>
      </c>
      <c r="AJS11" s="2">
        <v>-0.3</v>
      </c>
      <c r="AJT11" s="2">
        <v>1.1</v>
      </c>
      <c r="AJU11" s="2">
        <v>0.3</v>
      </c>
      <c r="AJV11" s="2">
        <v>-0.3</v>
      </c>
      <c r="AJW11" s="2">
        <v>0.1</v>
      </c>
      <c r="AJX11" s="2">
        <v>1</v>
      </c>
      <c r="AJY11" s="2">
        <v>0.6</v>
      </c>
      <c r="AJZ11" s="2">
        <v>1.4</v>
      </c>
      <c r="AKA11" s="2">
        <v>1</v>
      </c>
      <c r="AKB11" s="2">
        <v>1.6</v>
      </c>
      <c r="AKC11" s="2">
        <v>1</v>
      </c>
      <c r="AKD11" s="2">
        <v>1.3</v>
      </c>
      <c r="AKE11" s="2">
        <v>0.6</v>
      </c>
      <c r="AKF11" s="2">
        <v>0.7</v>
      </c>
      <c r="AKG11" s="2">
        <v>0.7</v>
      </c>
      <c r="AKH11" s="2">
        <v>1.2</v>
      </c>
      <c r="AKI11" s="2">
        <v>0.7</v>
      </c>
      <c r="AKJ11" s="2">
        <v>1.1</v>
      </c>
      <c r="AKK11" s="2">
        <v>0.1</v>
      </c>
      <c r="AKL11" s="2">
        <v>1.1</v>
      </c>
      <c r="AKM11" s="2">
        <v>-0.8</v>
      </c>
      <c r="AKN11" s="2">
        <v>1.4</v>
      </c>
      <c r="AKO11" s="2">
        <v>0.1</v>
      </c>
      <c r="AKP11" s="2">
        <v>4.62</v>
      </c>
      <c r="AKQ11" s="2">
        <v>4.68</v>
      </c>
      <c r="AKR11" s="2">
        <v>4.69</v>
      </c>
    </row>
    <row r="12">
      <c r="A12" t="inlineStr">
        <is>
          <t>Tobacco</t>
        </is>
      </c>
      <c r="B12" t="inlineStr">
        <is>
          <t>Alcohol and tobacco</t>
        </is>
      </c>
      <c r="C12">
        <v>2</v>
      </c>
      <c r="D12">
        <v>1.86</v>
      </c>
      <c r="E12" s="3">
        <f>D12/6.510000000000001*0.06509999999999999</f>
        <v>0.018599999999999995</v>
      </c>
      <c r="F12" s="3">
        <f>E12-D12/100</f>
        <v>-6.938893903907228e-18</v>
      </c>
      <c r="G12" s="3">
        <f>D12/6.510000000000001</f>
        <v>0.2857142857142857</v>
      </c>
      <c r="H12" s="2">
        <v>42.27</v>
      </c>
      <c r="I12" s="2">
        <v>43.82</v>
      </c>
      <c r="J12" s="2">
        <v>44.02</v>
      </c>
      <c r="K12" s="2">
        <v>44.22</v>
      </c>
      <c r="L12" s="2">
        <v>44.35</v>
      </c>
      <c r="M12" s="2">
        <v>43.89</v>
      </c>
      <c r="N12" s="2">
        <v>44.44</v>
      </c>
      <c r="O12" s="2">
        <v>45.01</v>
      </c>
      <c r="P12" s="2">
        <v>45.47</v>
      </c>
      <c r="Q12" s="2">
        <v>45.37</v>
      </c>
      <c r="R12" s="2">
        <v>45.48</v>
      </c>
      <c r="S12" s="2">
        <v>45.59</v>
      </c>
      <c r="T12" s="2">
        <v>47.68</v>
      </c>
      <c r="U12" s="2">
        <v>50.15</v>
      </c>
      <c r="V12" s="2">
        <v>51.05</v>
      </c>
      <c r="W12" s="2">
        <v>50.82</v>
      </c>
      <c r="X12" s="2">
        <v>50.5</v>
      </c>
      <c r="Y12" s="2">
        <v>50.31</v>
      </c>
      <c r="Z12" s="2">
        <v>50.54</v>
      </c>
      <c r="AA12" s="2">
        <v>51.31</v>
      </c>
      <c r="AB12" s="2">
        <v>51.66</v>
      </c>
      <c r="AC12" s="2">
        <v>51.93</v>
      </c>
      <c r="AD12" s="2">
        <v>52.42</v>
      </c>
      <c r="AE12" s="2">
        <v>52.28</v>
      </c>
      <c r="AF12" s="2">
        <v>55.44</v>
      </c>
      <c r="AG12" s="2">
        <v>57.33</v>
      </c>
      <c r="AH12" s="2">
        <v>57.79</v>
      </c>
      <c r="AI12" s="2">
        <v>58.06</v>
      </c>
      <c r="AJ12" s="2">
        <v>58.48</v>
      </c>
      <c r="AK12" s="2">
        <v>58.66</v>
      </c>
      <c r="AL12" s="2">
        <v>59.55</v>
      </c>
      <c r="AM12" s="2">
        <v>60.15</v>
      </c>
      <c r="AN12" s="2">
        <v>60.46</v>
      </c>
      <c r="AO12" s="2">
        <v>60.67</v>
      </c>
      <c r="AP12" s="2">
        <v>60.98</v>
      </c>
      <c r="AQ12" s="2">
        <v>60.95</v>
      </c>
      <c r="AR12" s="2">
        <v>65.5</v>
      </c>
      <c r="AS12" s="2">
        <v>69.05</v>
      </c>
      <c r="AT12" s="2">
        <v>69.59</v>
      </c>
      <c r="AU12" s="2">
        <v>69.20999999999999</v>
      </c>
      <c r="AV12" s="2">
        <v>69.09</v>
      </c>
      <c r="AW12" s="2">
        <v>68.70999999999999</v>
      </c>
      <c r="AX12" s="2">
        <v>68.54000000000001</v>
      </c>
      <c r="AY12" s="2">
        <v>68.86</v>
      </c>
      <c r="AZ12" s="2">
        <v>69.33</v>
      </c>
      <c r="BA12" s="2">
        <v>69</v>
      </c>
      <c r="BB12" s="2">
        <v>68.56</v>
      </c>
      <c r="BC12" s="2">
        <v>68.29000000000001</v>
      </c>
      <c r="BD12" s="2">
        <v>68.72</v>
      </c>
      <c r="BE12" s="2">
        <v>69.37</v>
      </c>
      <c r="BF12" s="2">
        <v>69.88</v>
      </c>
      <c r="BG12" s="2">
        <v>70.25</v>
      </c>
      <c r="BH12" s="2">
        <v>70.45</v>
      </c>
      <c r="BI12" s="2">
        <v>70.41</v>
      </c>
      <c r="BJ12" s="2">
        <v>71.12</v>
      </c>
      <c r="BK12" s="2">
        <v>71.34</v>
      </c>
      <c r="BL12" s="2">
        <v>71.34</v>
      </c>
      <c r="BM12" s="2">
        <v>71.42</v>
      </c>
      <c r="BN12" s="2">
        <v>71.58</v>
      </c>
      <c r="BO12" s="2">
        <v>71.78</v>
      </c>
      <c r="BP12" s="2">
        <v>72.59</v>
      </c>
      <c r="BQ12" s="2">
        <v>73.06</v>
      </c>
      <c r="BR12" s="2">
        <v>73.09</v>
      </c>
      <c r="BS12" s="2">
        <v>73.06</v>
      </c>
      <c r="BT12" s="2">
        <v>73.18000000000001</v>
      </c>
      <c r="BU12" s="2">
        <v>73.3</v>
      </c>
      <c r="BV12" s="2">
        <v>73.89</v>
      </c>
      <c r="BW12" s="2">
        <v>74.40000000000001</v>
      </c>
      <c r="BX12" s="2">
        <v>74.26000000000001</v>
      </c>
      <c r="BY12" s="2">
        <v>74.13</v>
      </c>
      <c r="BZ12" s="2">
        <v>74.14</v>
      </c>
      <c r="CA12" s="2">
        <v>74.45</v>
      </c>
      <c r="CB12" s="2">
        <v>78.03</v>
      </c>
      <c r="CC12" s="2">
        <v>80.68000000000001</v>
      </c>
      <c r="CD12" s="2">
        <v>80.76000000000001</v>
      </c>
      <c r="CE12" s="2">
        <v>80.95</v>
      </c>
      <c r="CF12" s="2">
        <v>81.01000000000001</v>
      </c>
      <c r="CG12" s="2">
        <v>81.16</v>
      </c>
      <c r="CH12" s="2">
        <v>83.02</v>
      </c>
      <c r="CI12" s="2">
        <v>84.06</v>
      </c>
      <c r="CJ12" s="2">
        <v>84.23</v>
      </c>
      <c r="CK12" s="2">
        <v>84.39</v>
      </c>
      <c r="CL12" s="2">
        <v>84.45999999999999</v>
      </c>
      <c r="CM12" s="2">
        <v>84.39</v>
      </c>
      <c r="CN12" s="2">
        <v>88.09999999999999</v>
      </c>
      <c r="CO12" s="2">
        <v>90.54000000000001</v>
      </c>
      <c r="CP12" s="2">
        <v>90.59999999999999</v>
      </c>
      <c r="CQ12" s="2">
        <v>90.78</v>
      </c>
      <c r="CR12" s="2">
        <v>91.25</v>
      </c>
      <c r="CS12" s="2">
        <v>91.84999999999999</v>
      </c>
      <c r="CT12" s="2">
        <v>93.15000000000001</v>
      </c>
      <c r="CU12" s="2">
        <v>94.17</v>
      </c>
      <c r="CV12" s="2">
        <v>93.98</v>
      </c>
      <c r="CW12" s="2">
        <v>93.72</v>
      </c>
      <c r="CX12" s="2">
        <v>94.93000000000001</v>
      </c>
      <c r="CY12" s="2">
        <v>95.06</v>
      </c>
      <c r="CZ12" s="2">
        <v>100</v>
      </c>
      <c r="DA12" s="2">
        <v>101</v>
      </c>
      <c r="DB12" s="2">
        <v>101.66</v>
      </c>
      <c r="DC12" s="2">
        <v>102.12</v>
      </c>
      <c r="DD12" s="2">
        <v>102.04</v>
      </c>
      <c r="DE12" s="2">
        <v>102.41</v>
      </c>
      <c r="DF12" s="2">
        <v>103.58</v>
      </c>
      <c r="DG12" s="2">
        <v>104.29</v>
      </c>
      <c r="DH12" s="2">
        <v>104.2</v>
      </c>
      <c r="DI12" s="2">
        <v>104.2</v>
      </c>
      <c r="DJ12" s="2">
        <v>105.43</v>
      </c>
      <c r="DK12" s="2">
        <v>12.8</v>
      </c>
      <c r="DL12" s="2">
        <v>14.4</v>
      </c>
      <c r="DM12" s="2">
        <v>16</v>
      </c>
      <c r="DN12" s="2">
        <v>14.9</v>
      </c>
      <c r="DO12" s="2">
        <v>13.9</v>
      </c>
      <c r="DP12" s="2">
        <v>14.6</v>
      </c>
      <c r="DQ12" s="2">
        <v>13.7</v>
      </c>
      <c r="DR12" s="2">
        <v>14</v>
      </c>
      <c r="DS12" s="2">
        <v>13.6</v>
      </c>
      <c r="DT12" s="2">
        <v>14.5</v>
      </c>
      <c r="DU12" s="2">
        <v>15.3</v>
      </c>
      <c r="DV12" s="2">
        <v>14.7</v>
      </c>
      <c r="DW12" s="2">
        <v>16.3</v>
      </c>
      <c r="DX12" s="2">
        <v>14.3</v>
      </c>
      <c r="DY12" s="2">
        <v>13.2</v>
      </c>
      <c r="DZ12" s="2">
        <v>14.2</v>
      </c>
      <c r="EA12" s="2">
        <v>15.8</v>
      </c>
      <c r="EB12" s="2">
        <v>16.6</v>
      </c>
      <c r="EC12" s="2">
        <v>17.8</v>
      </c>
      <c r="ED12" s="2">
        <v>17.2</v>
      </c>
      <c r="EE12" s="2">
        <v>17</v>
      </c>
      <c r="EF12" s="2">
        <v>16.8</v>
      </c>
      <c r="EG12" s="2">
        <v>16.3</v>
      </c>
      <c r="EH12" s="2">
        <v>16.6</v>
      </c>
      <c r="EI12" s="2">
        <v>18.1</v>
      </c>
      <c r="EJ12" s="2">
        <v>20.4</v>
      </c>
      <c r="EK12" s="2">
        <v>20.4</v>
      </c>
      <c r="EL12" s="2">
        <v>19.2</v>
      </c>
      <c r="EM12" s="2">
        <v>18.1</v>
      </c>
      <c r="EN12" s="2">
        <v>17.1</v>
      </c>
      <c r="EO12" s="2">
        <v>15.1</v>
      </c>
      <c r="EP12" s="2">
        <v>14.5</v>
      </c>
      <c r="EQ12" s="2">
        <v>14.7</v>
      </c>
      <c r="ER12" s="2">
        <v>13.7</v>
      </c>
      <c r="ES12" s="2">
        <v>12.4</v>
      </c>
      <c r="ET12" s="2">
        <v>12</v>
      </c>
      <c r="EU12" s="2">
        <v>4.9</v>
      </c>
      <c r="EV12" s="2">
        <v>0.5</v>
      </c>
      <c r="EW12" s="2">
        <v>0.4</v>
      </c>
      <c r="EX12" s="2">
        <v>1.5</v>
      </c>
      <c r="EY12" s="2">
        <v>2</v>
      </c>
      <c r="EZ12" s="2">
        <v>2.5</v>
      </c>
      <c r="FA12" s="2">
        <v>3.8</v>
      </c>
      <c r="FB12" s="2">
        <v>3.6</v>
      </c>
      <c r="FC12" s="2">
        <v>2.9</v>
      </c>
      <c r="FD12" s="2">
        <v>3.5</v>
      </c>
      <c r="FE12" s="2">
        <v>4.4</v>
      </c>
      <c r="FF12" s="2">
        <v>5.1</v>
      </c>
      <c r="FG12" s="2">
        <v>5.6</v>
      </c>
      <c r="FH12" s="2">
        <v>5.3</v>
      </c>
      <c r="FI12" s="2">
        <v>4.6</v>
      </c>
      <c r="FJ12" s="2">
        <v>4</v>
      </c>
      <c r="FK12" s="2">
        <v>3.9</v>
      </c>
      <c r="FL12" s="2">
        <v>4.1</v>
      </c>
      <c r="FM12" s="2">
        <v>3.9</v>
      </c>
      <c r="FN12" s="2">
        <v>4.3</v>
      </c>
      <c r="FO12" s="2">
        <v>4.1</v>
      </c>
      <c r="FP12" s="2">
        <v>3.8</v>
      </c>
      <c r="FQ12" s="2">
        <v>3.6</v>
      </c>
      <c r="FR12" s="2">
        <v>3.7</v>
      </c>
      <c r="FS12" s="2">
        <v>7.5</v>
      </c>
      <c r="FT12" s="2">
        <v>10.4</v>
      </c>
      <c r="FU12" s="2">
        <v>10.5</v>
      </c>
      <c r="FV12" s="2">
        <v>10.8</v>
      </c>
      <c r="FW12" s="2">
        <v>10.7</v>
      </c>
      <c r="FX12" s="2">
        <v>10.7</v>
      </c>
      <c r="FY12" s="2">
        <v>12.4</v>
      </c>
      <c r="FZ12" s="2">
        <v>13</v>
      </c>
      <c r="GA12" s="2">
        <v>13.4</v>
      </c>
      <c r="GB12" s="2">
        <v>13.8</v>
      </c>
      <c r="GC12" s="2">
        <v>13.9</v>
      </c>
      <c r="GD12" s="2">
        <v>13.4</v>
      </c>
      <c r="GE12" s="2">
        <v>12.9</v>
      </c>
      <c r="GF12" s="2">
        <v>12.2</v>
      </c>
      <c r="GG12" s="2">
        <v>12.2</v>
      </c>
      <c r="GH12" s="2">
        <v>12.1</v>
      </c>
      <c r="GI12" s="2">
        <v>12.6</v>
      </c>
      <c r="GJ12" s="2">
        <v>13.2</v>
      </c>
      <c r="GK12" s="2">
        <v>12.2</v>
      </c>
      <c r="GL12" s="2">
        <v>12</v>
      </c>
      <c r="GM12" s="2">
        <v>11.6</v>
      </c>
      <c r="GN12" s="2">
        <v>11.1</v>
      </c>
      <c r="GO12" s="2">
        <v>12.4</v>
      </c>
      <c r="GP12" s="2">
        <v>12.6</v>
      </c>
      <c r="GQ12" s="2">
        <v>13.5</v>
      </c>
      <c r="GR12" s="2">
        <v>11.6</v>
      </c>
      <c r="GS12" s="2">
        <v>12.2</v>
      </c>
      <c r="GT12" s="2">
        <v>12.5</v>
      </c>
      <c r="GU12" s="2">
        <v>11.8</v>
      </c>
      <c r="GV12" s="2">
        <v>11.5</v>
      </c>
      <c r="GW12" s="2">
        <v>11.2</v>
      </c>
      <c r="GX12" s="2">
        <v>10.7</v>
      </c>
      <c r="GY12" s="2">
        <v>10.9</v>
      </c>
      <c r="GZ12" s="2">
        <v>11.2</v>
      </c>
      <c r="HA12" s="2">
        <v>11.1</v>
      </c>
      <c r="HB12" s="2">
        <v>3.7</v>
      </c>
      <c r="HC12" s="2">
        <v>0.5</v>
      </c>
      <c r="HD12" s="2">
        <v>0.5</v>
      </c>
      <c r="HE12" s="2">
        <v>0.3</v>
      </c>
      <c r="HF12" s="2">
        <v>-1</v>
      </c>
      <c r="HG12" s="2">
        <v>1.3</v>
      </c>
      <c r="HH12" s="2">
        <v>1.3</v>
      </c>
      <c r="HI12" s="2">
        <v>1</v>
      </c>
      <c r="HJ12" s="2">
        <v>-0.2</v>
      </c>
      <c r="HK12" s="2">
        <v>0.2</v>
      </c>
      <c r="HL12" s="2">
        <v>0.2</v>
      </c>
      <c r="HM12" s="2">
        <v>4.6</v>
      </c>
      <c r="HN12" s="2">
        <v>5.2</v>
      </c>
      <c r="HO12" s="2">
        <v>1.8</v>
      </c>
      <c r="HP12" s="2">
        <v>-0.5</v>
      </c>
      <c r="HQ12" s="2">
        <v>-0.6</v>
      </c>
      <c r="HR12" s="2">
        <v>-0.4</v>
      </c>
      <c r="HS12" s="2">
        <v>0.5</v>
      </c>
      <c r="HT12" s="2">
        <v>1.5</v>
      </c>
      <c r="HU12" s="2">
        <v>0.7</v>
      </c>
      <c r="HV12" s="2">
        <v>0.5</v>
      </c>
      <c r="HW12" s="2">
        <v>0.9</v>
      </c>
      <c r="HX12" s="2">
        <v>-0.3</v>
      </c>
      <c r="HY12" s="2">
        <v>6</v>
      </c>
      <c r="HZ12" s="2">
        <v>3.4</v>
      </c>
      <c r="IA12" s="2">
        <v>0.8</v>
      </c>
      <c r="IB12" s="2">
        <v>0.5</v>
      </c>
      <c r="IC12" s="2">
        <v>0.7</v>
      </c>
      <c r="ID12" s="2">
        <v>0.3</v>
      </c>
      <c r="IE12" s="2">
        <v>1.5</v>
      </c>
      <c r="IF12" s="2">
        <v>1</v>
      </c>
      <c r="IG12" s="2">
        <v>0.5</v>
      </c>
      <c r="IH12" s="2">
        <v>0.3</v>
      </c>
      <c r="II12" s="2">
        <v>0.5</v>
      </c>
      <c r="IJ12" s="2">
        <v>0</v>
      </c>
      <c r="IK12" s="2">
        <v>7.5</v>
      </c>
      <c r="IL12" s="2">
        <v>5.4</v>
      </c>
      <c r="IM12" s="2">
        <v>0.8</v>
      </c>
      <c r="IN12" s="2">
        <v>-0.5</v>
      </c>
      <c r="IO12" s="2">
        <v>-0.2</v>
      </c>
      <c r="IP12" s="2">
        <v>-0.6</v>
      </c>
      <c r="IQ12" s="2">
        <v>-0.2</v>
      </c>
      <c r="IR12" s="2">
        <v>0.5</v>
      </c>
      <c r="IS12" s="2">
        <v>0.7</v>
      </c>
      <c r="IT12" s="2">
        <v>-0.5</v>
      </c>
      <c r="IU12" s="2">
        <v>-0.6</v>
      </c>
      <c r="IV12" s="2">
        <v>-0.4</v>
      </c>
      <c r="IW12" s="2">
        <v>0.6</v>
      </c>
      <c r="IX12" s="2">
        <v>0.9</v>
      </c>
      <c r="IY12" s="2">
        <v>0.7</v>
      </c>
      <c r="IZ12" s="2">
        <v>0.5</v>
      </c>
      <c r="JA12" s="2">
        <v>0.3</v>
      </c>
      <c r="JB12" s="2">
        <v>-0.1</v>
      </c>
      <c r="JC12" s="2">
        <v>1</v>
      </c>
      <c r="JD12" s="2">
        <v>0.3</v>
      </c>
      <c r="JE12" s="2">
        <v>0</v>
      </c>
      <c r="JF12" s="2">
        <v>0.1</v>
      </c>
      <c r="JG12" s="2">
        <v>0.2</v>
      </c>
      <c r="JH12" s="2">
        <v>0.3</v>
      </c>
      <c r="JI12" s="2">
        <v>1.1</v>
      </c>
      <c r="JJ12" s="2">
        <v>0.6</v>
      </c>
      <c r="JK12" s="2">
        <v>0</v>
      </c>
      <c r="JL12" s="2">
        <v>0</v>
      </c>
      <c r="JM12" s="2">
        <v>0.2</v>
      </c>
      <c r="JN12" s="2">
        <v>0.2</v>
      </c>
      <c r="JO12" s="2">
        <v>0.8</v>
      </c>
      <c r="JP12" s="2">
        <v>0.7</v>
      </c>
      <c r="JQ12" s="2">
        <v>-0.2</v>
      </c>
      <c r="JR12" s="2">
        <v>-0.2</v>
      </c>
      <c r="JS12" s="2">
        <v>0</v>
      </c>
      <c r="JT12" s="2">
        <v>0.4</v>
      </c>
      <c r="JU12" s="2">
        <v>4.8</v>
      </c>
      <c r="JV12" s="2">
        <v>3.4</v>
      </c>
      <c r="JW12" s="2">
        <v>0.1</v>
      </c>
      <c r="JX12" s="2">
        <v>0.2</v>
      </c>
      <c r="JY12" s="2">
        <v>0.1</v>
      </c>
      <c r="JZ12" s="2">
        <v>0.2</v>
      </c>
      <c r="KA12" s="2">
        <v>2.3</v>
      </c>
      <c r="KB12" s="2">
        <v>1.3</v>
      </c>
      <c r="KC12" s="2">
        <v>0.2</v>
      </c>
      <c r="KD12" s="2">
        <v>0.2</v>
      </c>
      <c r="KE12" s="2">
        <v>0.1</v>
      </c>
      <c r="KF12" s="2">
        <v>-0.1</v>
      </c>
      <c r="KG12" s="2">
        <v>4.4</v>
      </c>
      <c r="KH12" s="2">
        <v>2.8</v>
      </c>
      <c r="KI12" s="2">
        <v>0.1</v>
      </c>
      <c r="KJ12" s="2">
        <v>0.2</v>
      </c>
      <c r="KK12" s="2">
        <v>0.5</v>
      </c>
      <c r="KL12" s="2">
        <v>0.7</v>
      </c>
      <c r="KM12" s="2">
        <v>1.4</v>
      </c>
      <c r="KN12" s="2">
        <v>1.1</v>
      </c>
      <c r="KO12" s="2">
        <v>-0.2</v>
      </c>
      <c r="KP12" s="2">
        <v>-0.3</v>
      </c>
      <c r="KQ12" s="2">
        <v>1.3</v>
      </c>
      <c r="KR12" s="2">
        <v>0.1</v>
      </c>
      <c r="KS12" s="2">
        <v>5.2</v>
      </c>
      <c r="KT12" s="2">
        <v>1</v>
      </c>
      <c r="KU12" s="2">
        <v>0.7</v>
      </c>
      <c r="KV12" s="2">
        <v>0.5</v>
      </c>
      <c r="KW12" s="2">
        <v>-0.1</v>
      </c>
      <c r="KX12" s="2">
        <v>0.4</v>
      </c>
      <c r="KY12" s="2">
        <v>1.1</v>
      </c>
      <c r="KZ12" s="2">
        <v>0.7</v>
      </c>
      <c r="LA12" s="2">
        <v>-0.1</v>
      </c>
      <c r="LB12" s="2">
        <v>0</v>
      </c>
      <c r="LC12" s="2">
        <v>1.2</v>
      </c>
      <c r="LD12" s="2">
        <v>1.81</v>
      </c>
      <c r="LE12" s="2">
        <v>1.82</v>
      </c>
      <c r="LF12" s="2">
        <v>1.84</v>
      </c>
      <c r="LG12" s="2">
        <v>1.86</v>
      </c>
      <c r="LH12" s="2">
        <v>1.88</v>
      </c>
      <c r="LI12" s="2">
        <v>1.88</v>
      </c>
      <c r="LJ12" s="2">
        <v>1.87</v>
      </c>
      <c r="LK12" s="2">
        <v>1.9</v>
      </c>
      <c r="LL12" s="2">
        <v>1.9</v>
      </c>
      <c r="LM12" s="2">
        <v>2</v>
      </c>
      <c r="LN12" s="2">
        <v>2.02</v>
      </c>
      <c r="LO12" s="2">
        <v>2.03</v>
      </c>
      <c r="LP12" s="2">
        <v>2.04</v>
      </c>
      <c r="LQ12" s="2">
        <v>2.04</v>
      </c>
      <c r="LR12" s="2">
        <v>2.05</v>
      </c>
      <c r="LS12" s="2">
        <v>2.07</v>
      </c>
      <c r="LT12" s="2">
        <v>2.08</v>
      </c>
      <c r="LU12" s="2">
        <v>2.08</v>
      </c>
      <c r="LV12" s="2">
        <v>2.08</v>
      </c>
      <c r="LW12" s="2">
        <v>2.11</v>
      </c>
      <c r="LX12" s="2">
        <v>0.01</v>
      </c>
      <c r="LY12" s="2">
        <v>0.02</v>
      </c>
      <c r="LZ12" s="2">
        <v>0.02</v>
      </c>
      <c r="MA12" s="2">
        <v>0.02</v>
      </c>
      <c r="MB12" s="2">
        <v>0</v>
      </c>
      <c r="MC12" s="2">
        <v>-0.01</v>
      </c>
      <c r="MD12" s="2">
        <v>0.03</v>
      </c>
      <c r="ME12" s="2">
        <v>0</v>
      </c>
      <c r="MF12" s="2">
        <v>0.1</v>
      </c>
      <c r="MG12" s="2">
        <v>0.02</v>
      </c>
      <c r="MH12" s="2">
        <v>0.01</v>
      </c>
      <c r="MI12" s="2">
        <v>0.01</v>
      </c>
      <c r="MJ12" s="2">
        <v>0</v>
      </c>
      <c r="MK12" s="2">
        <v>0.01</v>
      </c>
      <c r="ML12" s="2">
        <v>0.02</v>
      </c>
      <c r="MM12" s="2">
        <v>0.01</v>
      </c>
      <c r="MN12" s="2">
        <v>0</v>
      </c>
      <c r="MO12" s="2">
        <v>0</v>
      </c>
      <c r="MP12" s="2">
        <v>0.03</v>
      </c>
      <c r="QI12" s="2">
        <v>0.49</v>
      </c>
      <c r="QJ12" s="2">
        <v>0.49</v>
      </c>
      <c r="QK12" s="2">
        <v>0.5</v>
      </c>
      <c r="QL12" s="2">
        <v>0.5</v>
      </c>
      <c r="QM12" s="2">
        <v>0.5</v>
      </c>
      <c r="QN12" s="2">
        <v>0.5600000000000001</v>
      </c>
      <c r="QO12" s="2">
        <v>0.5600000000000001</v>
      </c>
      <c r="QP12" s="2">
        <v>0.57</v>
      </c>
      <c r="QQ12" s="2">
        <v>0.62</v>
      </c>
      <c r="QR12" s="2">
        <v>0.62</v>
      </c>
      <c r="QS12" s="2">
        <v>0.68</v>
      </c>
      <c r="QT12" s="2">
        <v>0.6899999999999999</v>
      </c>
      <c r="QU12" s="2">
        <v>0.7</v>
      </c>
      <c r="QV12" s="2">
        <v>0.83</v>
      </c>
      <c r="QW12" s="2">
        <v>0.86</v>
      </c>
      <c r="QX12" s="2">
        <v>0.87</v>
      </c>
      <c r="QY12" s="2">
        <v>0.87</v>
      </c>
      <c r="QZ12" s="2">
        <v>0.89</v>
      </c>
      <c r="RA12" s="2">
        <v>0.89</v>
      </c>
      <c r="RB12" s="2">
        <v>0.9</v>
      </c>
      <c r="RC12" s="2">
        <v>0.91</v>
      </c>
      <c r="RD12" s="2">
        <v>0.91</v>
      </c>
      <c r="RE12" s="2">
        <v>0.93</v>
      </c>
      <c r="RF12" s="2">
        <v>0.92</v>
      </c>
      <c r="RG12" s="2">
        <v>0.93</v>
      </c>
      <c r="RH12" s="2">
        <v>1.07</v>
      </c>
      <c r="RI12" s="2">
        <v>1.07</v>
      </c>
      <c r="RJ12" s="2">
        <v>1.08</v>
      </c>
      <c r="RK12" s="2">
        <v>1.11</v>
      </c>
      <c r="RL12" s="2">
        <v>1.13</v>
      </c>
      <c r="RM12" s="2">
        <v>1.14</v>
      </c>
      <c r="RN12" s="2">
        <v>1.16</v>
      </c>
      <c r="RO12" s="2">
        <v>1.18</v>
      </c>
      <c r="RP12" s="2">
        <v>1.18</v>
      </c>
      <c r="RQ12" s="2">
        <v>1.19</v>
      </c>
      <c r="RR12" s="2">
        <v>1.21</v>
      </c>
      <c r="RS12" s="2">
        <v>1.26</v>
      </c>
      <c r="RT12" s="2">
        <v>1.28</v>
      </c>
      <c r="RU12" s="2">
        <v>1.3</v>
      </c>
      <c r="RV12" s="2">
        <v>1.33</v>
      </c>
      <c r="RW12" s="2">
        <v>1.41</v>
      </c>
      <c r="RX12" s="2">
        <v>1.51</v>
      </c>
      <c r="RY12" s="2">
        <v>1.54</v>
      </c>
      <c r="RZ12" s="2">
        <v>1.59</v>
      </c>
      <c r="SA12" s="2">
        <v>1.67</v>
      </c>
      <c r="SB12" s="2">
        <v>1.86</v>
      </c>
      <c r="SC12" s="2">
        <v>1.87</v>
      </c>
      <c r="SD12" s="2">
        <v>1.91</v>
      </c>
      <c r="SE12" s="2">
        <v>1.95</v>
      </c>
      <c r="SF12" s="2">
        <v>2</v>
      </c>
      <c r="SG12" s="2">
        <v>2.02</v>
      </c>
      <c r="SH12" s="2">
        <v>2.06</v>
      </c>
      <c r="SI12" s="2">
        <v>2.13</v>
      </c>
      <c r="SJ12" s="2">
        <v>2.2</v>
      </c>
      <c r="SK12" s="2">
        <v>2.29</v>
      </c>
      <c r="SL12" s="2">
        <v>2.34</v>
      </c>
      <c r="SM12" s="2">
        <v>2.4</v>
      </c>
      <c r="SN12" s="2">
        <v>2.47</v>
      </c>
      <c r="SO12" s="2">
        <v>2.55</v>
      </c>
      <c r="SP12" s="2">
        <v>2.62</v>
      </c>
      <c r="SQ12" s="2">
        <v>2.64</v>
      </c>
      <c r="SR12" s="2">
        <v>2.7</v>
      </c>
      <c r="SS12" s="2">
        <v>2.76</v>
      </c>
      <c r="ST12" s="2">
        <v>2.77</v>
      </c>
      <c r="SU12" s="2">
        <v>2.84</v>
      </c>
      <c r="SV12" s="2">
        <v>2.93</v>
      </c>
      <c r="SW12" s="2">
        <v>3.04</v>
      </c>
      <c r="SX12" s="2">
        <v>3.1</v>
      </c>
      <c r="SY12" s="2">
        <v>3.2</v>
      </c>
      <c r="SZ12" s="2">
        <v>3.31</v>
      </c>
      <c r="TA12" s="2">
        <v>3.42</v>
      </c>
      <c r="TB12" s="2">
        <v>3.5</v>
      </c>
      <c r="TC12" s="2">
        <v>3.57</v>
      </c>
      <c r="TD12" s="2">
        <v>3.8</v>
      </c>
      <c r="TE12" s="2">
        <v>3.85</v>
      </c>
      <c r="TF12" s="2">
        <v>3.95</v>
      </c>
      <c r="TG12" s="2">
        <v>4.09</v>
      </c>
      <c r="TH12" s="2">
        <v>4.15</v>
      </c>
      <c r="TI12" s="2">
        <v>4.19</v>
      </c>
      <c r="TJ12" s="2">
        <v>4.24</v>
      </c>
      <c r="TK12" s="2">
        <v>4.62</v>
      </c>
      <c r="TL12" s="2">
        <v>4.95</v>
      </c>
      <c r="TM12" s="2">
        <v>5.18</v>
      </c>
      <c r="TN12" s="2">
        <v>5.32</v>
      </c>
      <c r="TO12" s="2">
        <v>5.53</v>
      </c>
      <c r="TP12" s="2">
        <v>5.7</v>
      </c>
      <c r="TQ12" s="2">
        <v>5.83</v>
      </c>
      <c r="TR12" s="2">
        <v>5.92</v>
      </c>
      <c r="TS12" s="2">
        <v>5.95</v>
      </c>
      <c r="TT12" s="2">
        <v>6.1</v>
      </c>
      <c r="TU12" s="2">
        <v>6.25</v>
      </c>
      <c r="TV12" s="2">
        <v>6.71</v>
      </c>
      <c r="TW12" s="2">
        <v>7.13</v>
      </c>
      <c r="TX12" s="2">
        <v>7.49</v>
      </c>
      <c r="TY12" s="2">
        <v>7.63</v>
      </c>
      <c r="TZ12" s="2">
        <v>7.68</v>
      </c>
      <c r="UA12" s="2">
        <v>7.73</v>
      </c>
      <c r="UB12" s="2">
        <v>7.82</v>
      </c>
      <c r="UC12" s="2">
        <v>7.81</v>
      </c>
      <c r="UD12" s="2">
        <v>7.82</v>
      </c>
      <c r="UE12" s="2">
        <v>7.81</v>
      </c>
      <c r="UF12" s="2">
        <v>8.039999999999999</v>
      </c>
      <c r="UG12" s="2">
        <v>8.140000000000001</v>
      </c>
      <c r="UH12" s="2">
        <v>8.23</v>
      </c>
      <c r="UI12" s="2">
        <v>8.289999999999999</v>
      </c>
      <c r="UJ12" s="2">
        <v>8.300000000000001</v>
      </c>
      <c r="UK12" s="2">
        <v>8.41</v>
      </c>
      <c r="UL12" s="2">
        <v>8.49</v>
      </c>
      <c r="UM12" s="2">
        <v>8.57</v>
      </c>
      <c r="UN12" s="2">
        <v>8.92</v>
      </c>
      <c r="UO12" s="2">
        <v>9.26</v>
      </c>
      <c r="UP12" s="2">
        <v>9.289999999999999</v>
      </c>
      <c r="UQ12" s="2">
        <v>10.32</v>
      </c>
      <c r="UR12" s="2">
        <v>10.54</v>
      </c>
      <c r="US12" s="2">
        <v>10.96</v>
      </c>
      <c r="UT12" s="2">
        <v>11.18</v>
      </c>
      <c r="UU12" s="2">
        <v>11.36</v>
      </c>
      <c r="UV12" s="2">
        <v>11.4</v>
      </c>
      <c r="UW12" s="2">
        <v>11.63</v>
      </c>
      <c r="UX12" s="2">
        <v>11.76</v>
      </c>
      <c r="UY12" s="2">
        <v>11.89</v>
      </c>
      <c r="UZ12" s="2">
        <v>11.93</v>
      </c>
      <c r="VA12" s="2">
        <v>12.1</v>
      </c>
      <c r="VB12" s="2">
        <v>12.23</v>
      </c>
      <c r="VC12" s="2">
        <v>12.41</v>
      </c>
      <c r="VD12" s="2">
        <v>12.48</v>
      </c>
      <c r="VE12" s="2">
        <v>12.66</v>
      </c>
      <c r="VF12" s="2">
        <v>12.73</v>
      </c>
      <c r="VG12" s="2">
        <v>12.87</v>
      </c>
      <c r="VH12" s="2">
        <v>12.88</v>
      </c>
      <c r="VI12" s="2">
        <v>13.16</v>
      </c>
      <c r="VJ12" s="2">
        <v>13.3</v>
      </c>
      <c r="VK12" s="2">
        <v>13.42</v>
      </c>
      <c r="VL12" s="2">
        <v>13.5</v>
      </c>
      <c r="VM12" s="2">
        <v>13.69</v>
      </c>
      <c r="VN12" s="2">
        <v>13.85</v>
      </c>
      <c r="VO12" s="2">
        <v>14.04</v>
      </c>
      <c r="VP12" s="2">
        <v>14.12</v>
      </c>
      <c r="VQ12" s="2">
        <v>14.32</v>
      </c>
      <c r="VR12" s="2">
        <v>14.37</v>
      </c>
      <c r="VS12" s="2">
        <v>14.49</v>
      </c>
      <c r="VT12" s="2">
        <v>14.65</v>
      </c>
      <c r="VU12" s="2">
        <v>14.75</v>
      </c>
      <c r="VV12" s="2">
        <v>14.97</v>
      </c>
      <c r="VW12" s="2">
        <v>15.2</v>
      </c>
      <c r="VX12" s="2">
        <v>15.46</v>
      </c>
      <c r="VY12" s="2">
        <v>15.76</v>
      </c>
      <c r="VZ12" s="2">
        <v>15.95</v>
      </c>
      <c r="WA12" s="2">
        <v>15.93</v>
      </c>
      <c r="WB12" s="2">
        <v>15.85</v>
      </c>
      <c r="WC12" s="2">
        <v>16.19</v>
      </c>
      <c r="WD12" s="2">
        <v>18.68</v>
      </c>
      <c r="WE12" s="2">
        <v>19.98</v>
      </c>
      <c r="WF12" s="2">
        <v>20.22</v>
      </c>
      <c r="WG12" s="2">
        <v>20.64</v>
      </c>
      <c r="WH12" s="2">
        <v>20.93</v>
      </c>
      <c r="WI12" s="2">
        <v>21.31</v>
      </c>
      <c r="WJ12" s="2">
        <v>21.5</v>
      </c>
      <c r="WK12" s="2">
        <v>21.95</v>
      </c>
      <c r="WL12" s="2">
        <v>22.31</v>
      </c>
      <c r="WM12" s="2">
        <v>22.55</v>
      </c>
      <c r="WN12" s="2">
        <v>22.75</v>
      </c>
      <c r="WO12" s="2">
        <v>23.6</v>
      </c>
      <c r="WP12" s="2">
        <v>24.32</v>
      </c>
      <c r="WQ12" s="2">
        <v>24.61</v>
      </c>
      <c r="WR12" s="2">
        <v>25.17</v>
      </c>
      <c r="WS12" s="2">
        <v>26.86</v>
      </c>
      <c r="WT12" s="2">
        <v>27.68</v>
      </c>
      <c r="WU12" s="2">
        <v>28.31</v>
      </c>
      <c r="WV12" s="2">
        <v>29.68</v>
      </c>
      <c r="WW12" s="2">
        <v>29.95</v>
      </c>
      <c r="WX12" s="2">
        <v>30.68</v>
      </c>
      <c r="WY12" s="2">
        <v>31.35</v>
      </c>
      <c r="WZ12" s="2">
        <v>33.65</v>
      </c>
      <c r="XA12" s="2">
        <v>33.93</v>
      </c>
      <c r="XB12" s="2">
        <v>34.65</v>
      </c>
      <c r="XC12" s="2">
        <v>35.45</v>
      </c>
      <c r="XD12" s="2">
        <v>38.1</v>
      </c>
      <c r="XE12" s="2">
        <v>38.47</v>
      </c>
      <c r="XF12" s="2">
        <v>38.86</v>
      </c>
      <c r="XG12" s="2">
        <v>40.44</v>
      </c>
      <c r="XH12" s="2">
        <v>43.89</v>
      </c>
      <c r="XI12" s="2">
        <v>44.05</v>
      </c>
      <c r="XJ12" s="2">
        <v>45.3</v>
      </c>
      <c r="XK12" s="2">
        <v>46.12</v>
      </c>
      <c r="XL12" s="2">
        <v>50.47</v>
      </c>
      <c r="XM12" s="2">
        <v>50.14</v>
      </c>
      <c r="XN12" s="2">
        <v>51.35</v>
      </c>
      <c r="XO12" s="2">
        <v>53.1</v>
      </c>
      <c r="XP12" s="2">
        <v>57.55</v>
      </c>
      <c r="XQ12" s="2">
        <v>58.72</v>
      </c>
      <c r="XR12" s="2">
        <v>60.28</v>
      </c>
      <c r="XS12" s="2">
        <v>62.19</v>
      </c>
      <c r="XT12" s="2">
        <v>68.98</v>
      </c>
      <c r="XU12" s="2">
        <v>68.56999999999999</v>
      </c>
      <c r="XV12" s="2">
        <v>68.90000000000001</v>
      </c>
      <c r="XW12" s="2">
        <v>68.3</v>
      </c>
      <c r="XX12" s="2">
        <v>69.77</v>
      </c>
      <c r="XY12" s="2">
        <v>70.62</v>
      </c>
      <c r="XZ12" s="2">
        <v>71.3</v>
      </c>
      <c r="YA12" s="2">
        <v>71.98</v>
      </c>
      <c r="YB12" s="2">
        <v>73.06999999999999</v>
      </c>
      <c r="YC12" s="2">
        <v>73.45999999999999</v>
      </c>
      <c r="YD12" s="2">
        <v>74.26000000000001</v>
      </c>
      <c r="YE12" s="2">
        <v>75.54000000000001</v>
      </c>
      <c r="YF12" s="2">
        <v>80.8</v>
      </c>
      <c r="YG12" s="2">
        <v>81.73</v>
      </c>
      <c r="YH12" s="2">
        <v>84.22</v>
      </c>
      <c r="YI12" s="2">
        <v>85.65000000000001</v>
      </c>
      <c r="YJ12" s="2">
        <v>90.64</v>
      </c>
      <c r="YK12" s="2">
        <v>92.08</v>
      </c>
      <c r="YL12" s="2">
        <v>93.95</v>
      </c>
      <c r="YM12" s="2">
        <v>96.66</v>
      </c>
      <c r="YN12" s="2">
        <v>101.6</v>
      </c>
      <c r="YO12" s="2">
        <v>102.68</v>
      </c>
      <c r="YP12" s="2">
        <v>104.23</v>
      </c>
      <c r="ACI12" s="2">
        <v>0</v>
      </c>
      <c r="ACJ12" s="2">
        <v>2</v>
      </c>
      <c r="ACK12" s="2">
        <v>0</v>
      </c>
      <c r="ACL12" s="2">
        <v>0</v>
      </c>
      <c r="ACM12" s="2">
        <v>12</v>
      </c>
      <c r="ACN12" s="2">
        <v>0</v>
      </c>
      <c r="ACO12" s="2">
        <v>1.8</v>
      </c>
      <c r="ACP12" s="2">
        <v>8.800000000000001</v>
      </c>
      <c r="ACQ12" s="2">
        <v>0</v>
      </c>
      <c r="ACR12" s="2">
        <v>9.699999999999999</v>
      </c>
      <c r="ACS12" s="2">
        <v>1.5</v>
      </c>
      <c r="ACT12" s="2">
        <v>1.4</v>
      </c>
      <c r="ACU12" s="2">
        <v>18.6</v>
      </c>
      <c r="ACV12" s="2">
        <v>3.6</v>
      </c>
      <c r="ACW12" s="2">
        <v>1.2</v>
      </c>
      <c r="ACX12" s="2">
        <v>0</v>
      </c>
      <c r="ACY12" s="2">
        <v>2.3</v>
      </c>
      <c r="ACZ12" s="2">
        <v>0</v>
      </c>
      <c r="ADA12" s="2">
        <v>1.1</v>
      </c>
      <c r="ADB12" s="2">
        <v>1.1</v>
      </c>
      <c r="ADC12" s="2">
        <v>0</v>
      </c>
      <c r="ADD12" s="2">
        <v>2.2</v>
      </c>
      <c r="ADE12" s="2">
        <v>-1.1</v>
      </c>
      <c r="ADF12" s="2">
        <v>1.1</v>
      </c>
      <c r="ADG12" s="2">
        <v>15.1</v>
      </c>
      <c r="ADH12" s="2">
        <v>0</v>
      </c>
      <c r="ADI12" s="2">
        <v>0.9</v>
      </c>
      <c r="ADJ12" s="2">
        <v>2.8</v>
      </c>
      <c r="ADK12" s="2">
        <v>1.8</v>
      </c>
      <c r="ADL12" s="2">
        <v>0.9</v>
      </c>
      <c r="ADM12" s="2">
        <v>1.8</v>
      </c>
      <c r="ADN12" s="2">
        <v>1.7</v>
      </c>
      <c r="ADO12" s="2">
        <v>0</v>
      </c>
      <c r="ADP12" s="2">
        <v>0.8</v>
      </c>
      <c r="ADQ12" s="2">
        <v>1.7</v>
      </c>
      <c r="ADR12" s="2">
        <v>4.1</v>
      </c>
      <c r="ADS12" s="2">
        <v>1.6</v>
      </c>
      <c r="ADT12" s="2">
        <v>1.6</v>
      </c>
      <c r="ADU12" s="2">
        <v>2.3</v>
      </c>
      <c r="ADV12" s="2">
        <v>6</v>
      </c>
      <c r="ADW12" s="2">
        <v>7.1</v>
      </c>
      <c r="ADX12" s="2">
        <v>2</v>
      </c>
      <c r="ADY12" s="2">
        <v>3.2</v>
      </c>
      <c r="ADZ12" s="2">
        <v>5</v>
      </c>
      <c r="AEA12" s="2">
        <v>11.4</v>
      </c>
      <c r="AEB12" s="2">
        <v>0.5</v>
      </c>
      <c r="AEC12" s="2">
        <v>2.1</v>
      </c>
      <c r="AED12" s="2">
        <v>2.1</v>
      </c>
      <c r="AEE12" s="2">
        <v>2.6</v>
      </c>
      <c r="AEF12" s="2">
        <v>1</v>
      </c>
      <c r="AEG12" s="2">
        <v>2</v>
      </c>
      <c r="AEH12" s="2">
        <v>3.4</v>
      </c>
      <c r="AEI12" s="2">
        <v>3.3</v>
      </c>
      <c r="AEJ12" s="2">
        <v>4.1</v>
      </c>
      <c r="AEK12" s="2">
        <v>2.2</v>
      </c>
      <c r="AEL12" s="2">
        <v>2.6</v>
      </c>
      <c r="AEM12" s="2">
        <v>2.9</v>
      </c>
      <c r="AEN12" s="2">
        <v>3.2</v>
      </c>
      <c r="AEO12" s="2">
        <v>2.7</v>
      </c>
      <c r="AEP12" s="2">
        <v>0.8</v>
      </c>
      <c r="AEQ12" s="2">
        <v>2.3</v>
      </c>
      <c r="AER12" s="2">
        <v>2.2</v>
      </c>
      <c r="AES12" s="2">
        <v>0.4</v>
      </c>
      <c r="AET12" s="2">
        <v>2.5</v>
      </c>
      <c r="AEU12" s="2">
        <v>3.2</v>
      </c>
      <c r="AEV12" s="2">
        <v>3.8</v>
      </c>
      <c r="AEW12" s="2">
        <v>2</v>
      </c>
      <c r="AEX12" s="2">
        <v>3.2</v>
      </c>
      <c r="AEY12" s="2">
        <v>3.4</v>
      </c>
      <c r="AEZ12" s="2">
        <v>3.3</v>
      </c>
      <c r="AFA12" s="2">
        <v>2.3</v>
      </c>
      <c r="AFB12" s="2">
        <v>2</v>
      </c>
      <c r="AFC12" s="2">
        <v>6.4</v>
      </c>
      <c r="AFD12" s="2">
        <v>1.3</v>
      </c>
      <c r="AFE12" s="2">
        <v>2.6</v>
      </c>
      <c r="AFF12" s="2">
        <v>3.5</v>
      </c>
      <c r="AFG12" s="2">
        <v>1.5</v>
      </c>
      <c r="AFH12" s="2">
        <v>1</v>
      </c>
      <c r="AFI12" s="2">
        <v>1.2</v>
      </c>
      <c r="AFJ12" s="2">
        <v>9</v>
      </c>
      <c r="AFK12" s="2">
        <v>7.1</v>
      </c>
      <c r="AFL12" s="2">
        <v>4.6</v>
      </c>
      <c r="AFM12" s="2">
        <v>2.7</v>
      </c>
      <c r="AFN12" s="2">
        <v>3.9</v>
      </c>
      <c r="AFO12" s="2">
        <v>3.1</v>
      </c>
      <c r="AFP12" s="2">
        <v>2.3</v>
      </c>
      <c r="AFQ12" s="2">
        <v>1.5</v>
      </c>
      <c r="AFR12" s="2">
        <v>0.5</v>
      </c>
      <c r="AFS12" s="2">
        <v>2.5</v>
      </c>
      <c r="AFT12" s="2">
        <v>2.5</v>
      </c>
      <c r="AFU12" s="2">
        <v>7.4</v>
      </c>
      <c r="AFV12" s="2">
        <v>6.3</v>
      </c>
      <c r="AFW12" s="2">
        <v>5</v>
      </c>
      <c r="AFX12" s="2">
        <v>1.9</v>
      </c>
      <c r="AFY12" s="2">
        <v>0.7</v>
      </c>
      <c r="AFZ12" s="2">
        <v>0.7</v>
      </c>
      <c r="AGA12" s="2">
        <v>1.2</v>
      </c>
      <c r="AGB12" s="2">
        <v>-0.1</v>
      </c>
      <c r="AGC12" s="2">
        <v>0.1</v>
      </c>
      <c r="AGD12" s="2">
        <v>-0.1</v>
      </c>
      <c r="AGE12" s="2">
        <v>2.9</v>
      </c>
      <c r="AGF12" s="2">
        <v>1.2</v>
      </c>
      <c r="AGG12" s="2">
        <v>1.1</v>
      </c>
      <c r="AGH12" s="2">
        <v>0.7</v>
      </c>
      <c r="AGI12" s="2">
        <v>0.1</v>
      </c>
      <c r="AGJ12" s="2">
        <v>1.3</v>
      </c>
      <c r="AGK12" s="2">
        <v>1</v>
      </c>
      <c r="AGL12" s="2">
        <v>0.9</v>
      </c>
      <c r="AGM12" s="2">
        <v>4.1</v>
      </c>
      <c r="AGN12" s="2">
        <v>3.8</v>
      </c>
      <c r="AGO12" s="2">
        <v>0.3</v>
      </c>
      <c r="AGP12" s="2">
        <v>11.1</v>
      </c>
      <c r="AGQ12" s="2">
        <v>2.1</v>
      </c>
      <c r="AGR12" s="2">
        <v>4</v>
      </c>
      <c r="AGS12" s="2">
        <v>2</v>
      </c>
      <c r="AGT12" s="2">
        <v>1.6</v>
      </c>
      <c r="AGU12" s="2">
        <v>0.4</v>
      </c>
      <c r="AGV12" s="2">
        <v>2</v>
      </c>
      <c r="AGW12" s="2">
        <v>1.1</v>
      </c>
      <c r="AGX12" s="2">
        <v>1.1</v>
      </c>
      <c r="AGY12" s="2">
        <v>0.3</v>
      </c>
      <c r="AGZ12" s="2">
        <v>1.4</v>
      </c>
      <c r="AHA12" s="2">
        <v>1.1</v>
      </c>
      <c r="AHB12" s="2">
        <v>1.5</v>
      </c>
      <c r="AHC12" s="2">
        <v>0.6</v>
      </c>
      <c r="AHD12" s="2">
        <v>1.4</v>
      </c>
      <c r="AHE12" s="2">
        <v>0.6</v>
      </c>
      <c r="AHF12" s="2">
        <v>1.1</v>
      </c>
      <c r="AHG12" s="2">
        <v>0.1</v>
      </c>
      <c r="AHH12" s="2">
        <v>2.2</v>
      </c>
      <c r="AHI12" s="2">
        <v>1.1</v>
      </c>
      <c r="AHJ12" s="2">
        <v>0.9</v>
      </c>
      <c r="AHK12" s="2">
        <v>0.6</v>
      </c>
      <c r="AHL12" s="2">
        <v>1.4</v>
      </c>
      <c r="AHM12" s="2">
        <v>1.2</v>
      </c>
      <c r="AHN12" s="2">
        <v>1.4</v>
      </c>
      <c r="AHO12" s="2">
        <v>0.6</v>
      </c>
      <c r="AHP12" s="2">
        <v>1.4</v>
      </c>
      <c r="AHQ12" s="2">
        <v>0.3</v>
      </c>
      <c r="AHR12" s="2">
        <v>0.8</v>
      </c>
      <c r="AHS12" s="2">
        <v>1.1</v>
      </c>
      <c r="AHT12" s="2">
        <v>0.7</v>
      </c>
      <c r="AHU12" s="2">
        <v>1.5</v>
      </c>
      <c r="AHV12" s="2">
        <v>1.5</v>
      </c>
      <c r="AHW12" s="2">
        <v>1.7</v>
      </c>
      <c r="AHX12" s="2">
        <v>1.9</v>
      </c>
      <c r="AHY12" s="2">
        <v>1.2</v>
      </c>
      <c r="AHZ12" s="2">
        <v>-0.1</v>
      </c>
      <c r="AIA12" s="2">
        <v>-0.5</v>
      </c>
      <c r="AIB12" s="2">
        <v>2.1</v>
      </c>
      <c r="AIC12" s="2">
        <v>15.4</v>
      </c>
      <c r="AID12" s="2">
        <v>7</v>
      </c>
      <c r="AIE12" s="2">
        <v>1.2</v>
      </c>
      <c r="AIF12" s="2">
        <v>2.1</v>
      </c>
      <c r="AIG12" s="2">
        <v>1.4</v>
      </c>
      <c r="AIH12" s="2">
        <v>1.8</v>
      </c>
      <c r="AII12" s="2">
        <v>0.9</v>
      </c>
      <c r="AIJ12" s="2">
        <v>2.1</v>
      </c>
      <c r="AIK12" s="2">
        <v>1.6</v>
      </c>
      <c r="AIL12" s="2">
        <v>1.1</v>
      </c>
      <c r="AIM12" s="2">
        <v>0.9</v>
      </c>
      <c r="AIN12" s="2">
        <v>3.7</v>
      </c>
      <c r="AIO12" s="2">
        <v>3.1</v>
      </c>
      <c r="AIP12" s="2">
        <v>1.2</v>
      </c>
      <c r="AIQ12" s="2">
        <v>2.3</v>
      </c>
      <c r="AIR12" s="2">
        <v>6.7</v>
      </c>
      <c r="AIS12" s="2">
        <v>3.1</v>
      </c>
      <c r="AIT12" s="2">
        <v>2.3</v>
      </c>
      <c r="AIU12" s="2">
        <v>4.8</v>
      </c>
      <c r="AIV12" s="2">
        <v>0.9</v>
      </c>
      <c r="AIW12" s="2">
        <v>2.4</v>
      </c>
      <c r="AIX12" s="2">
        <v>2.2</v>
      </c>
      <c r="AIY12" s="2">
        <v>7.3</v>
      </c>
      <c r="AIZ12" s="2">
        <v>0.8</v>
      </c>
      <c r="AJA12" s="2">
        <v>2.1</v>
      </c>
      <c r="AJB12" s="2">
        <v>2.3</v>
      </c>
      <c r="AJC12" s="2">
        <v>7.5</v>
      </c>
      <c r="AJD12" s="2">
        <v>1</v>
      </c>
      <c r="AJE12" s="2">
        <v>1</v>
      </c>
      <c r="AJF12" s="2">
        <v>4.1</v>
      </c>
      <c r="AJG12" s="2">
        <v>8.5</v>
      </c>
      <c r="AJH12" s="2">
        <v>0.4</v>
      </c>
      <c r="AJI12" s="2">
        <v>2.8</v>
      </c>
      <c r="AJJ12" s="2">
        <v>1.8</v>
      </c>
      <c r="AJK12" s="2">
        <v>9.4</v>
      </c>
      <c r="AJL12" s="2">
        <v>-0.7</v>
      </c>
      <c r="AJM12" s="2">
        <v>2.4</v>
      </c>
      <c r="AJN12" s="2">
        <v>3.4</v>
      </c>
      <c r="AJO12" s="2">
        <v>8.4</v>
      </c>
      <c r="AJP12" s="2">
        <v>2</v>
      </c>
      <c r="AJQ12" s="2">
        <v>2.7</v>
      </c>
      <c r="AJR12" s="2">
        <v>3.2</v>
      </c>
      <c r="AJS12" s="2">
        <v>10.9</v>
      </c>
      <c r="AJT12" s="2">
        <v>-0.6</v>
      </c>
      <c r="AJU12" s="2">
        <v>0.5</v>
      </c>
      <c r="AJV12" s="2">
        <v>-0.9</v>
      </c>
      <c r="AJW12" s="2">
        <v>2.2</v>
      </c>
      <c r="AJX12" s="2">
        <v>1.2</v>
      </c>
      <c r="AJY12" s="2">
        <v>1</v>
      </c>
      <c r="AJZ12" s="2">
        <v>1</v>
      </c>
      <c r="AKA12" s="2">
        <v>1.5</v>
      </c>
      <c r="AKB12" s="2">
        <v>0.5</v>
      </c>
      <c r="AKC12" s="2">
        <v>1.1</v>
      </c>
      <c r="AKD12" s="2">
        <v>1.7</v>
      </c>
      <c r="AKE12" s="2">
        <v>7</v>
      </c>
      <c r="AKF12" s="2">
        <v>1.2</v>
      </c>
      <c r="AKG12" s="2">
        <v>3</v>
      </c>
      <c r="AKH12" s="2">
        <v>1.7</v>
      </c>
      <c r="AKI12" s="2">
        <v>5.8</v>
      </c>
      <c r="AKJ12" s="2">
        <v>1.6</v>
      </c>
      <c r="AKK12" s="2">
        <v>2</v>
      </c>
      <c r="AKL12" s="2">
        <v>2.9</v>
      </c>
      <c r="AKM12" s="2">
        <v>5.1</v>
      </c>
      <c r="AKN12" s="2">
        <v>1.1</v>
      </c>
      <c r="AKO12" s="2">
        <v>1.5</v>
      </c>
      <c r="AKP12" s="2">
        <v>2.03</v>
      </c>
      <c r="AKQ12" s="2">
        <v>2.05</v>
      </c>
      <c r="AKR12" s="2">
        <v>2.08</v>
      </c>
    </row>
    <row r="13">
      <c r="A13" t="inlineStr">
        <is>
          <t>Garments</t>
        </is>
      </c>
      <c r="B13" t="inlineStr">
        <is>
          <t>Clothing and footwear</t>
        </is>
      </c>
      <c r="C13">
        <v>2</v>
      </c>
      <c r="D13">
        <v>1.96</v>
      </c>
      <c r="E13" s="3">
        <f>D13/3.18*0.0317</f>
        <v>0.019538364779874213</v>
      </c>
      <c r="F13" s="3">
        <f>E13-D13/100</f>
        <v>-6.163522012578651e-05</v>
      </c>
      <c r="G13" s="3">
        <f>D13/3.18</f>
        <v>0.6163522012578616</v>
      </c>
      <c r="CI13" s="2">
        <v>102.74</v>
      </c>
      <c r="CJ13" s="2">
        <v>98.41</v>
      </c>
      <c r="CK13" s="2">
        <v>96.78</v>
      </c>
      <c r="CL13" s="2">
        <v>99.73999999999999</v>
      </c>
      <c r="CM13" s="2">
        <v>99.95999999999999</v>
      </c>
      <c r="CN13" s="2">
        <v>98.66</v>
      </c>
      <c r="CO13" s="2">
        <v>99</v>
      </c>
      <c r="CP13" s="2">
        <v>98.03</v>
      </c>
      <c r="CQ13" s="2">
        <v>98.31</v>
      </c>
      <c r="CR13" s="2">
        <v>97.02</v>
      </c>
      <c r="CS13" s="2">
        <v>100.83</v>
      </c>
      <c r="CT13" s="2">
        <v>97.31999999999999</v>
      </c>
      <c r="CU13" s="2">
        <v>103.07</v>
      </c>
      <c r="CV13" s="2">
        <v>100.74</v>
      </c>
      <c r="CW13" s="2">
        <v>98.17</v>
      </c>
      <c r="CX13" s="2">
        <v>100.89</v>
      </c>
      <c r="CY13" s="2">
        <v>103.07</v>
      </c>
      <c r="CZ13" s="2">
        <v>100</v>
      </c>
      <c r="DA13" s="2">
        <v>102.58</v>
      </c>
      <c r="DB13" s="2">
        <v>100.21</v>
      </c>
      <c r="DC13" s="2">
        <v>98.95</v>
      </c>
      <c r="DD13" s="2">
        <v>101.13</v>
      </c>
      <c r="DE13" s="2">
        <v>104.08</v>
      </c>
      <c r="DF13" s="2">
        <v>101.46</v>
      </c>
      <c r="DG13" s="2">
        <v>106.31</v>
      </c>
      <c r="DH13" s="2">
        <v>102.85</v>
      </c>
      <c r="DI13" s="2">
        <v>99.69</v>
      </c>
      <c r="DJ13" s="2">
        <v>102.84</v>
      </c>
      <c r="GL13" s="2">
        <v>0.3</v>
      </c>
      <c r="GM13" s="2">
        <v>2.4</v>
      </c>
      <c r="GN13" s="2">
        <v>1.4</v>
      </c>
      <c r="GO13" s="2">
        <v>1.2</v>
      </c>
      <c r="GP13" s="2">
        <v>3.1</v>
      </c>
      <c r="GQ13" s="2">
        <v>1.4</v>
      </c>
      <c r="GR13" s="2">
        <v>3.6</v>
      </c>
      <c r="GS13" s="2">
        <v>2.2</v>
      </c>
      <c r="GT13" s="2">
        <v>0.7</v>
      </c>
      <c r="GU13" s="2">
        <v>4.2</v>
      </c>
      <c r="GV13" s="2">
        <v>3.2</v>
      </c>
      <c r="GW13" s="2">
        <v>4.3</v>
      </c>
      <c r="GX13" s="2">
        <v>3.1</v>
      </c>
      <c r="GY13" s="2">
        <v>2.1</v>
      </c>
      <c r="GZ13" s="2">
        <v>1.5</v>
      </c>
      <c r="HA13" s="2">
        <v>1.9</v>
      </c>
      <c r="KC13" s="2">
        <v>-4.2</v>
      </c>
      <c r="KD13" s="2">
        <v>-1.7</v>
      </c>
      <c r="KE13" s="2">
        <v>3.1</v>
      </c>
      <c r="KF13" s="2">
        <v>0.2</v>
      </c>
      <c r="KG13" s="2">
        <v>-1.3</v>
      </c>
      <c r="KH13" s="2">
        <v>0.3</v>
      </c>
      <c r="KI13" s="2">
        <v>-1</v>
      </c>
      <c r="KJ13" s="2">
        <v>0.3</v>
      </c>
      <c r="KK13" s="2">
        <v>-1.3</v>
      </c>
      <c r="KL13" s="2">
        <v>3.9</v>
      </c>
      <c r="KM13" s="2">
        <v>-3.5</v>
      </c>
      <c r="KN13" s="2">
        <v>5.9</v>
      </c>
      <c r="KO13" s="2">
        <v>-2.3</v>
      </c>
      <c r="KP13" s="2">
        <v>-2.6</v>
      </c>
      <c r="KQ13" s="2">
        <v>2.8</v>
      </c>
      <c r="KR13" s="2">
        <v>2.2</v>
      </c>
      <c r="KS13" s="2">
        <v>-3</v>
      </c>
      <c r="KT13" s="2">
        <v>2.6</v>
      </c>
      <c r="KU13" s="2">
        <v>-2.3</v>
      </c>
      <c r="KV13" s="2">
        <v>-1.3</v>
      </c>
      <c r="KW13" s="2">
        <v>2.2</v>
      </c>
      <c r="KX13" s="2">
        <v>2.9</v>
      </c>
      <c r="KY13" s="2">
        <v>-2.5</v>
      </c>
      <c r="KZ13" s="2">
        <v>4.8</v>
      </c>
      <c r="LA13" s="2">
        <v>-3.3</v>
      </c>
      <c r="LB13" s="2">
        <v>-3.1</v>
      </c>
      <c r="LC13" s="2">
        <v>3.2</v>
      </c>
      <c r="LD13" s="2">
        <v>1.91</v>
      </c>
      <c r="LE13" s="2">
        <v>1.88</v>
      </c>
      <c r="LF13" s="2">
        <v>1.95</v>
      </c>
      <c r="LG13" s="2">
        <v>1.89</v>
      </c>
      <c r="LH13" s="2">
        <v>2</v>
      </c>
      <c r="LI13" s="2">
        <v>1.95</v>
      </c>
      <c r="LJ13" s="2">
        <v>1.9</v>
      </c>
      <c r="LK13" s="2">
        <v>1.96</v>
      </c>
      <c r="LL13" s="2">
        <v>2</v>
      </c>
      <c r="LM13" s="2">
        <v>1.94</v>
      </c>
      <c r="LN13" s="2">
        <v>1.99</v>
      </c>
      <c r="LO13" s="2">
        <v>1.94</v>
      </c>
      <c r="LP13" s="2">
        <v>1.92</v>
      </c>
      <c r="LQ13" s="2">
        <v>1.96</v>
      </c>
      <c r="LR13" s="2">
        <v>2.02</v>
      </c>
      <c r="LS13" s="2">
        <v>1.97</v>
      </c>
      <c r="LT13" s="2">
        <v>2.06</v>
      </c>
      <c r="LU13" s="2">
        <v>1.99</v>
      </c>
      <c r="LV13" s="2">
        <v>1.93</v>
      </c>
      <c r="LW13" s="2">
        <v>1.99</v>
      </c>
      <c r="LX13" s="2">
        <v>-0.03</v>
      </c>
      <c r="LY13" s="2">
        <v>0.07000000000000001</v>
      </c>
      <c r="LZ13" s="2">
        <v>-0.06</v>
      </c>
      <c r="MA13" s="2">
        <v>0.11</v>
      </c>
      <c r="MB13" s="2">
        <v>-0.05</v>
      </c>
      <c r="MC13" s="2">
        <v>-0.05</v>
      </c>
      <c r="MD13" s="2">
        <v>0.06</v>
      </c>
      <c r="ME13" s="2">
        <v>0.04</v>
      </c>
      <c r="MF13" s="2">
        <v>-0.06</v>
      </c>
      <c r="MG13" s="2">
        <v>0.05</v>
      </c>
      <c r="MH13" s="2">
        <v>-0.05</v>
      </c>
      <c r="MI13" s="2">
        <v>-0.02</v>
      </c>
      <c r="MJ13" s="2">
        <v>0.04</v>
      </c>
      <c r="MK13" s="2">
        <v>0.06</v>
      </c>
      <c r="ML13" s="2">
        <v>-0.05</v>
      </c>
      <c r="MM13" s="2">
        <v>0.09</v>
      </c>
      <c r="MN13" s="2">
        <v>-0.07000000000000001</v>
      </c>
      <c r="MO13" s="2">
        <v>-0.06</v>
      </c>
      <c r="MP13" s="2">
        <v>0.06</v>
      </c>
      <c r="SY13" s="2">
        <v>102.29</v>
      </c>
      <c r="SZ13" s="2">
        <v>104.59</v>
      </c>
      <c r="TA13" s="2">
        <v>104.49</v>
      </c>
      <c r="TB13" s="2">
        <v>106.89</v>
      </c>
      <c r="TC13" s="2">
        <v>107.42</v>
      </c>
      <c r="TD13" s="2">
        <v>109.4</v>
      </c>
      <c r="TE13" s="2">
        <v>109.82</v>
      </c>
      <c r="TF13" s="2">
        <v>111.29</v>
      </c>
      <c r="TG13" s="2">
        <v>110.76</v>
      </c>
      <c r="TH13" s="2">
        <v>111.29</v>
      </c>
      <c r="TI13" s="2">
        <v>110.97</v>
      </c>
      <c r="TJ13" s="2">
        <v>111.81</v>
      </c>
      <c r="TK13" s="2">
        <v>111.7</v>
      </c>
      <c r="TL13" s="2">
        <v>112.96</v>
      </c>
      <c r="TM13" s="2">
        <v>112.75</v>
      </c>
      <c r="TN13" s="2">
        <v>113.59</v>
      </c>
      <c r="TO13" s="2">
        <v>112.65</v>
      </c>
      <c r="TP13" s="2">
        <v>112.23</v>
      </c>
      <c r="TQ13" s="2">
        <v>112.12</v>
      </c>
      <c r="TR13" s="2">
        <v>112.23</v>
      </c>
      <c r="TS13" s="2">
        <v>112.54</v>
      </c>
      <c r="TT13" s="2">
        <v>112.54</v>
      </c>
      <c r="TU13" s="2">
        <v>112.33</v>
      </c>
      <c r="TV13" s="2">
        <v>113.27</v>
      </c>
      <c r="TW13" s="2">
        <v>113.27</v>
      </c>
      <c r="TX13" s="2">
        <v>113.06</v>
      </c>
      <c r="TY13" s="2">
        <v>112.96</v>
      </c>
      <c r="TZ13" s="2">
        <v>113.38</v>
      </c>
      <c r="UA13" s="2">
        <v>113.38</v>
      </c>
      <c r="UB13" s="2">
        <v>113.48</v>
      </c>
      <c r="UC13" s="2">
        <v>113.27</v>
      </c>
      <c r="UD13" s="2">
        <v>114.21</v>
      </c>
      <c r="UE13" s="2">
        <v>114.01</v>
      </c>
      <c r="UF13" s="2">
        <v>114.84</v>
      </c>
      <c r="UG13" s="2">
        <v>114.53</v>
      </c>
      <c r="UH13" s="2">
        <v>114.53</v>
      </c>
      <c r="UI13" s="2">
        <v>114.42</v>
      </c>
      <c r="UJ13" s="2">
        <v>114.01</v>
      </c>
      <c r="UK13" s="2">
        <v>113.59</v>
      </c>
      <c r="UL13" s="2">
        <v>113.59</v>
      </c>
      <c r="UM13" s="2">
        <v>113.27</v>
      </c>
      <c r="UN13" s="2">
        <v>112.02</v>
      </c>
      <c r="UO13" s="2">
        <v>111.5</v>
      </c>
      <c r="UP13" s="2">
        <v>113.17</v>
      </c>
      <c r="UQ13" s="2">
        <v>122.9</v>
      </c>
      <c r="UR13" s="2">
        <v>121.85</v>
      </c>
      <c r="US13" s="2">
        <v>118.19</v>
      </c>
      <c r="UT13" s="2">
        <v>120.7</v>
      </c>
      <c r="UU13" s="2">
        <v>117.88</v>
      </c>
      <c r="UV13" s="2">
        <v>120.7</v>
      </c>
      <c r="UW13" s="2">
        <v>119.76</v>
      </c>
      <c r="UX13" s="2">
        <v>121.85</v>
      </c>
      <c r="UY13" s="2">
        <v>119.86</v>
      </c>
      <c r="UZ13" s="2">
        <v>122.16</v>
      </c>
      <c r="VA13" s="2">
        <v>119.86</v>
      </c>
      <c r="VB13" s="2">
        <v>121.43</v>
      </c>
      <c r="VC13" s="2">
        <v>121.22</v>
      </c>
      <c r="VD13" s="2">
        <v>121.01</v>
      </c>
      <c r="VE13" s="2">
        <v>119.55</v>
      </c>
      <c r="VF13" s="2">
        <v>121.01</v>
      </c>
      <c r="VG13" s="2">
        <v>120.28</v>
      </c>
      <c r="VH13" s="2">
        <v>118.08</v>
      </c>
      <c r="VI13" s="2">
        <v>115.89</v>
      </c>
      <c r="VJ13" s="2">
        <v>117.25</v>
      </c>
      <c r="VK13" s="2">
        <v>117.25</v>
      </c>
      <c r="VL13" s="2">
        <v>116.62</v>
      </c>
      <c r="VM13" s="2">
        <v>113.8</v>
      </c>
      <c r="VN13" s="2">
        <v>114.11</v>
      </c>
      <c r="VO13" s="2">
        <v>114.01</v>
      </c>
      <c r="VP13" s="2">
        <v>113.8</v>
      </c>
      <c r="VQ13" s="2">
        <v>113.48</v>
      </c>
      <c r="VR13" s="2">
        <v>115.05</v>
      </c>
      <c r="VS13" s="2">
        <v>114.84</v>
      </c>
      <c r="VT13" s="2">
        <v>114.63</v>
      </c>
      <c r="VU13" s="2">
        <v>112.44</v>
      </c>
      <c r="VV13" s="2">
        <v>115.47</v>
      </c>
      <c r="VW13" s="2">
        <v>114.01</v>
      </c>
      <c r="VX13" s="2">
        <v>113.9</v>
      </c>
      <c r="VY13" s="2">
        <v>113.9</v>
      </c>
      <c r="VZ13" s="2">
        <v>116.2</v>
      </c>
      <c r="WA13" s="2">
        <v>116.31</v>
      </c>
      <c r="WB13" s="2">
        <v>116.62</v>
      </c>
      <c r="WC13" s="2">
        <v>110.34</v>
      </c>
      <c r="WD13" s="2">
        <v>110.55</v>
      </c>
      <c r="WE13" s="2">
        <v>111.5</v>
      </c>
      <c r="WF13" s="2">
        <v>109.19</v>
      </c>
      <c r="WG13" s="2">
        <v>108.25</v>
      </c>
      <c r="WH13" s="2">
        <v>109.51</v>
      </c>
      <c r="WI13" s="2">
        <v>110.21</v>
      </c>
      <c r="WJ13" s="2">
        <v>110.45</v>
      </c>
      <c r="WK13" s="2">
        <v>106.69</v>
      </c>
      <c r="WL13" s="2">
        <v>108.8</v>
      </c>
      <c r="WM13" s="2">
        <v>109.87</v>
      </c>
      <c r="WN13" s="2">
        <v>108.98</v>
      </c>
      <c r="WO13" s="2">
        <v>105.42</v>
      </c>
      <c r="WP13" s="2">
        <v>108.59</v>
      </c>
      <c r="WQ13" s="2">
        <v>109.13</v>
      </c>
      <c r="WR13" s="2">
        <v>108.31</v>
      </c>
      <c r="WS13" s="2">
        <v>106.04</v>
      </c>
      <c r="WT13" s="2">
        <v>108.03</v>
      </c>
      <c r="WU13" s="2">
        <v>106.34</v>
      </c>
      <c r="WV13" s="2">
        <v>106.02</v>
      </c>
      <c r="WW13" s="2">
        <v>103.75</v>
      </c>
      <c r="WX13" s="2">
        <v>105.94</v>
      </c>
      <c r="WY13" s="2">
        <v>105.09</v>
      </c>
      <c r="WZ13" s="2">
        <v>105.83</v>
      </c>
      <c r="XA13" s="2">
        <v>103.7</v>
      </c>
      <c r="XB13" s="2">
        <v>105.68</v>
      </c>
      <c r="XC13" s="2">
        <v>104.46</v>
      </c>
      <c r="XD13" s="2">
        <v>105.29</v>
      </c>
      <c r="XE13" s="2">
        <v>102.42</v>
      </c>
      <c r="XF13" s="2">
        <v>101.41</v>
      </c>
      <c r="XG13" s="2">
        <v>100.03</v>
      </c>
      <c r="XH13" s="2">
        <v>99.59</v>
      </c>
      <c r="XI13" s="2">
        <v>96.84999999999999</v>
      </c>
      <c r="XJ13" s="2">
        <v>98.34999999999999</v>
      </c>
      <c r="XK13" s="2">
        <v>98.59999999999999</v>
      </c>
      <c r="XL13" s="2">
        <v>99</v>
      </c>
      <c r="XM13" s="2">
        <v>97.23999999999999</v>
      </c>
      <c r="XN13" s="2">
        <v>99.56</v>
      </c>
      <c r="XO13" s="2">
        <v>100.7</v>
      </c>
      <c r="XP13" s="2">
        <v>99.29000000000001</v>
      </c>
      <c r="XQ13" s="2">
        <v>98.18000000000001</v>
      </c>
      <c r="XR13" s="2">
        <v>99.03</v>
      </c>
      <c r="XS13" s="2">
        <v>99.95999999999999</v>
      </c>
      <c r="XT13" s="2">
        <v>97.67</v>
      </c>
      <c r="XU13" s="2">
        <v>96.37</v>
      </c>
      <c r="XV13" s="2">
        <v>97.33</v>
      </c>
      <c r="XW13" s="2">
        <v>92.06999999999999</v>
      </c>
      <c r="XX13" s="2">
        <v>94.59999999999999</v>
      </c>
      <c r="XY13" s="2">
        <v>93.56</v>
      </c>
      <c r="XZ13" s="2">
        <v>97.66</v>
      </c>
      <c r="YA13" s="2">
        <v>97.81</v>
      </c>
      <c r="YB13" s="2">
        <v>99.81999999999999</v>
      </c>
      <c r="YC13" s="2">
        <v>96.65000000000001</v>
      </c>
      <c r="YD13" s="2">
        <v>98.12</v>
      </c>
      <c r="YE13" s="2">
        <v>97.19</v>
      </c>
      <c r="YF13" s="2">
        <v>98.98</v>
      </c>
      <c r="YG13" s="2">
        <v>98.45</v>
      </c>
      <c r="YH13" s="2">
        <v>101.13</v>
      </c>
      <c r="YI13" s="2">
        <v>99.93000000000001</v>
      </c>
      <c r="YJ13" s="2">
        <v>99.61</v>
      </c>
      <c r="YK13" s="2">
        <v>98.56</v>
      </c>
      <c r="YL13" s="2">
        <v>102.03</v>
      </c>
      <c r="YM13" s="2">
        <v>101.32</v>
      </c>
      <c r="YN13" s="2">
        <v>100.58</v>
      </c>
      <c r="YO13" s="2">
        <v>102.22</v>
      </c>
      <c r="YP13" s="2">
        <v>102.95</v>
      </c>
      <c r="AEY13" s="2">
        <v>2.2</v>
      </c>
      <c r="AEZ13" s="2">
        <v>-0.1</v>
      </c>
      <c r="AFA13" s="2">
        <v>2.3</v>
      </c>
      <c r="AFB13" s="2">
        <v>0.5</v>
      </c>
      <c r="AFC13" s="2">
        <v>1.8</v>
      </c>
      <c r="AFD13" s="2">
        <v>0.4</v>
      </c>
      <c r="AFE13" s="2">
        <v>1.3</v>
      </c>
      <c r="AFF13" s="2">
        <v>-0.5</v>
      </c>
      <c r="AFG13" s="2">
        <v>0.5</v>
      </c>
      <c r="AFH13" s="2">
        <v>-0.3</v>
      </c>
      <c r="AFI13" s="2">
        <v>0.8</v>
      </c>
      <c r="AFJ13" s="2">
        <v>-0.1</v>
      </c>
      <c r="AFK13" s="2">
        <v>1.1</v>
      </c>
      <c r="AFL13" s="2">
        <v>-0.2</v>
      </c>
      <c r="AFM13" s="2">
        <v>0.7</v>
      </c>
      <c r="AFN13" s="2">
        <v>-0.8</v>
      </c>
      <c r="AFO13" s="2">
        <v>-0.4</v>
      </c>
      <c r="AFP13" s="2">
        <v>-0.1</v>
      </c>
      <c r="AFQ13" s="2">
        <v>0.1</v>
      </c>
      <c r="AFR13" s="2">
        <v>0.3</v>
      </c>
      <c r="AFS13" s="2">
        <v>0</v>
      </c>
      <c r="AFT13" s="2">
        <v>-0.2</v>
      </c>
      <c r="AFU13" s="2">
        <v>0.8</v>
      </c>
      <c r="AFV13" s="2">
        <v>0</v>
      </c>
      <c r="AFW13" s="2">
        <v>-0.2</v>
      </c>
      <c r="AFX13" s="2">
        <v>-0.1</v>
      </c>
      <c r="AFY13" s="2">
        <v>0.4</v>
      </c>
      <c r="AFZ13" s="2">
        <v>0</v>
      </c>
      <c r="AGA13" s="2">
        <v>0.1</v>
      </c>
      <c r="AGB13" s="2">
        <v>-0.2</v>
      </c>
      <c r="AGC13" s="2">
        <v>0.8</v>
      </c>
      <c r="AGD13" s="2">
        <v>-0.2</v>
      </c>
      <c r="AGE13" s="2">
        <v>0.7</v>
      </c>
      <c r="AGF13" s="2">
        <v>-0.3</v>
      </c>
      <c r="AGG13" s="2">
        <v>0</v>
      </c>
      <c r="AGH13" s="2">
        <v>-0.1</v>
      </c>
      <c r="AGI13" s="2">
        <v>-0.4</v>
      </c>
      <c r="AGJ13" s="2">
        <v>-0.4</v>
      </c>
      <c r="AGK13" s="2">
        <v>0</v>
      </c>
      <c r="AGL13" s="2">
        <v>-0.3</v>
      </c>
      <c r="AGM13" s="2">
        <v>-1.1</v>
      </c>
      <c r="AGN13" s="2">
        <v>-0.5</v>
      </c>
      <c r="AGO13" s="2">
        <v>1.5</v>
      </c>
      <c r="AGP13" s="2">
        <v>8.6</v>
      </c>
      <c r="AGQ13" s="2">
        <v>-0.9</v>
      </c>
      <c r="AGR13" s="2">
        <v>-3</v>
      </c>
      <c r="AGS13" s="2">
        <v>2.1</v>
      </c>
      <c r="AGT13" s="2">
        <v>-2.3</v>
      </c>
      <c r="AGU13" s="2">
        <v>2.4</v>
      </c>
      <c r="AGV13" s="2">
        <v>-0.8</v>
      </c>
      <c r="AGW13" s="2">
        <v>1.7</v>
      </c>
      <c r="AGX13" s="2">
        <v>-1.6</v>
      </c>
      <c r="AGY13" s="2">
        <v>1.9</v>
      </c>
      <c r="AGZ13" s="2">
        <v>-1.9</v>
      </c>
      <c r="AHA13" s="2">
        <v>1.3</v>
      </c>
      <c r="AHB13" s="2">
        <v>-0.2</v>
      </c>
      <c r="AHC13" s="2">
        <v>-0.2</v>
      </c>
      <c r="AHD13" s="2">
        <v>-1.2</v>
      </c>
      <c r="AHE13" s="2">
        <v>1.2</v>
      </c>
      <c r="AHF13" s="2">
        <v>-0.6</v>
      </c>
      <c r="AHG13" s="2">
        <v>-1.8</v>
      </c>
      <c r="AHH13" s="2">
        <v>-1.9</v>
      </c>
      <c r="AHI13" s="2">
        <v>1.2</v>
      </c>
      <c r="AHJ13" s="2">
        <v>0</v>
      </c>
      <c r="AHK13" s="2">
        <v>-0.5</v>
      </c>
      <c r="AHL13" s="2">
        <v>-2.4</v>
      </c>
      <c r="AHM13" s="2">
        <v>0.3</v>
      </c>
      <c r="AHN13" s="2">
        <v>-0.1</v>
      </c>
      <c r="AHO13" s="2">
        <v>-0.2</v>
      </c>
      <c r="AHP13" s="2">
        <v>-0.3</v>
      </c>
      <c r="AHQ13" s="2">
        <v>1.4</v>
      </c>
      <c r="AHR13" s="2">
        <v>-0.2</v>
      </c>
      <c r="AHS13" s="2">
        <v>-0.2</v>
      </c>
      <c r="AHT13" s="2">
        <v>-1.9</v>
      </c>
      <c r="AHU13" s="2">
        <v>2.7</v>
      </c>
      <c r="AHV13" s="2">
        <v>-1.3</v>
      </c>
      <c r="AHW13" s="2">
        <v>-0.1</v>
      </c>
      <c r="AHX13" s="2">
        <v>0</v>
      </c>
      <c r="AHY13" s="2">
        <v>2</v>
      </c>
      <c r="AHZ13" s="2">
        <v>0.1</v>
      </c>
      <c r="AIA13" s="2">
        <v>0.3</v>
      </c>
      <c r="AIB13" s="2">
        <v>-5.4</v>
      </c>
      <c r="AIC13" s="2">
        <v>0.2</v>
      </c>
      <c r="AID13" s="2">
        <v>0.9</v>
      </c>
      <c r="AIE13" s="2">
        <v>-2.1</v>
      </c>
      <c r="AIF13" s="2">
        <v>-0.9</v>
      </c>
      <c r="AIG13" s="2">
        <v>1.2</v>
      </c>
      <c r="AIH13" s="2">
        <v>0.6</v>
      </c>
      <c r="AII13" s="2">
        <v>0.2</v>
      </c>
      <c r="AIJ13" s="2">
        <v>-3.4</v>
      </c>
      <c r="AIK13" s="2">
        <v>2</v>
      </c>
      <c r="AIL13" s="2">
        <v>1</v>
      </c>
      <c r="AIM13" s="2">
        <v>-0.8</v>
      </c>
      <c r="AIN13" s="2">
        <v>-3.3</v>
      </c>
      <c r="AIO13" s="2">
        <v>3</v>
      </c>
      <c r="AIP13" s="2">
        <v>0.5</v>
      </c>
      <c r="AIQ13" s="2">
        <v>-0.8</v>
      </c>
      <c r="AIR13" s="2">
        <v>-2.1</v>
      </c>
      <c r="AIS13" s="2">
        <v>1.9</v>
      </c>
      <c r="AIT13" s="2">
        <v>-1.6</v>
      </c>
      <c r="AIU13" s="2">
        <v>-0.3</v>
      </c>
      <c r="AIV13" s="2">
        <v>-2.1</v>
      </c>
      <c r="AIW13" s="2">
        <v>2.1</v>
      </c>
      <c r="AIX13" s="2">
        <v>-0.8</v>
      </c>
      <c r="AIY13" s="2">
        <v>0.7</v>
      </c>
      <c r="AIZ13" s="2">
        <v>-2</v>
      </c>
      <c r="AJA13" s="2">
        <v>1.9</v>
      </c>
      <c r="AJB13" s="2">
        <v>-1.2</v>
      </c>
      <c r="AJC13" s="2">
        <v>0.8</v>
      </c>
      <c r="AJD13" s="2">
        <v>-2.7</v>
      </c>
      <c r="AJE13" s="2">
        <v>-1</v>
      </c>
      <c r="AJF13" s="2">
        <v>-1.4</v>
      </c>
      <c r="AJG13" s="2">
        <v>-0.4</v>
      </c>
      <c r="AJH13" s="2">
        <v>-2.8</v>
      </c>
      <c r="AJI13" s="2">
        <v>1.5</v>
      </c>
      <c r="AJJ13" s="2">
        <v>0.3</v>
      </c>
      <c r="AJK13" s="2">
        <v>0.4</v>
      </c>
      <c r="AJL13" s="2">
        <v>-1.8</v>
      </c>
      <c r="AJM13" s="2">
        <v>2.4</v>
      </c>
      <c r="AJN13" s="2">
        <v>1.1</v>
      </c>
      <c r="AJO13" s="2">
        <v>-1.4</v>
      </c>
      <c r="AJP13" s="2">
        <v>-1.1</v>
      </c>
      <c r="AJQ13" s="2">
        <v>0.9</v>
      </c>
      <c r="AJR13" s="2">
        <v>0.9</v>
      </c>
      <c r="AJS13" s="2">
        <v>-2.3</v>
      </c>
      <c r="AJT13" s="2">
        <v>-1.3</v>
      </c>
      <c r="AJU13" s="2">
        <v>1</v>
      </c>
      <c r="AJV13" s="2">
        <v>-5.4</v>
      </c>
      <c r="AJW13" s="2">
        <v>2.7</v>
      </c>
      <c r="AJX13" s="2">
        <v>-1.1</v>
      </c>
      <c r="AJY13" s="2">
        <v>4.4</v>
      </c>
      <c r="AJZ13" s="2">
        <v>0.2</v>
      </c>
      <c r="AKA13" s="2">
        <v>2.1</v>
      </c>
      <c r="AKB13" s="2">
        <v>-3.2</v>
      </c>
      <c r="AKC13" s="2">
        <v>1.5</v>
      </c>
      <c r="AKD13" s="2">
        <v>-0.9</v>
      </c>
      <c r="AKE13" s="2">
        <v>1.8</v>
      </c>
      <c r="AKF13" s="2">
        <v>-0.5</v>
      </c>
      <c r="AKG13" s="2">
        <v>2.7</v>
      </c>
      <c r="AKH13" s="2">
        <v>-1.2</v>
      </c>
      <c r="AKI13" s="2">
        <v>-0.3</v>
      </c>
      <c r="AKJ13" s="2">
        <v>-1.1</v>
      </c>
      <c r="AKK13" s="2">
        <v>3.5</v>
      </c>
      <c r="AKL13" s="2">
        <v>-0.7</v>
      </c>
      <c r="AKM13" s="2">
        <v>-0.7</v>
      </c>
      <c r="AKN13" s="2">
        <v>1.6</v>
      </c>
      <c r="AKO13" s="2">
        <v>0.7</v>
      </c>
      <c r="AKP13" s="2">
        <v>1.95</v>
      </c>
      <c r="AKQ13" s="2">
        <v>1.98</v>
      </c>
      <c r="AKR13" s="2">
        <v>2</v>
      </c>
    </row>
    <row r="14">
      <c r="A14" t="inlineStr">
        <is>
          <t>Footwear</t>
        </is>
      </c>
      <c r="B14" t="inlineStr">
        <is>
          <t>Clothing and footwear</t>
        </is>
      </c>
      <c r="C14">
        <v>2</v>
      </c>
      <c r="D14">
        <v>0.45</v>
      </c>
      <c r="E14" s="3">
        <f>D14/3.18*0.0317</f>
        <v>0.004485849056603773</v>
      </c>
      <c r="F14" s="3">
        <f>E14-D14/100</f>
        <v>-1.4150943396227557e-05</v>
      </c>
      <c r="G14" s="3">
        <f>D14/3.18</f>
        <v>0.14150943396226415</v>
      </c>
      <c r="CI14" s="2">
        <v>100.36</v>
      </c>
      <c r="CJ14" s="2">
        <v>94.95</v>
      </c>
      <c r="CK14" s="2">
        <v>97.38</v>
      </c>
      <c r="CL14" s="2">
        <v>98.61</v>
      </c>
      <c r="CM14" s="2">
        <v>95.47</v>
      </c>
      <c r="CN14" s="2">
        <v>95.56</v>
      </c>
      <c r="CO14" s="2">
        <v>99.59</v>
      </c>
      <c r="CP14" s="2">
        <v>94.77</v>
      </c>
      <c r="CQ14" s="2">
        <v>93.98999999999999</v>
      </c>
      <c r="CR14" s="2">
        <v>96.28</v>
      </c>
      <c r="CS14" s="2">
        <v>101.57</v>
      </c>
      <c r="CT14" s="2">
        <v>97.90000000000001</v>
      </c>
      <c r="CU14" s="2">
        <v>101.64</v>
      </c>
      <c r="CV14" s="2">
        <v>98.81999999999999</v>
      </c>
      <c r="CW14" s="2">
        <v>99.5</v>
      </c>
      <c r="CX14" s="2">
        <v>98.34999999999999</v>
      </c>
      <c r="CY14" s="2">
        <v>96.01000000000001</v>
      </c>
      <c r="CZ14" s="2">
        <v>100</v>
      </c>
      <c r="DA14" s="2">
        <v>102</v>
      </c>
      <c r="DB14" s="2">
        <v>96.44</v>
      </c>
      <c r="DC14" s="2">
        <v>96.42</v>
      </c>
      <c r="DD14" s="2">
        <v>97.8</v>
      </c>
      <c r="DE14" s="2">
        <v>102.2</v>
      </c>
      <c r="DF14" s="2">
        <v>100.27</v>
      </c>
      <c r="DG14" s="2">
        <v>102.77</v>
      </c>
      <c r="DH14" s="2">
        <v>100.42</v>
      </c>
      <c r="DI14" s="2">
        <v>99.54000000000001</v>
      </c>
      <c r="DJ14" s="2">
        <v>100.5</v>
      </c>
      <c r="GL14" s="2">
        <v>1.3</v>
      </c>
      <c r="GM14" s="2">
        <v>4.1</v>
      </c>
      <c r="GN14" s="2">
        <v>2.2</v>
      </c>
      <c r="GO14" s="2">
        <v>-0.3</v>
      </c>
      <c r="GP14" s="2">
        <v>0.6</v>
      </c>
      <c r="GQ14" s="2">
        <v>4.6</v>
      </c>
      <c r="GR14" s="2">
        <v>2.4</v>
      </c>
      <c r="GS14" s="2">
        <v>1.8</v>
      </c>
      <c r="GT14" s="2">
        <v>2.6</v>
      </c>
      <c r="GU14" s="2">
        <v>1.6</v>
      </c>
      <c r="GV14" s="2">
        <v>0.6</v>
      </c>
      <c r="GW14" s="2">
        <v>2.4</v>
      </c>
      <c r="GX14" s="2">
        <v>1.1</v>
      </c>
      <c r="GY14" s="2">
        <v>1.6</v>
      </c>
      <c r="GZ14" s="2">
        <v>0</v>
      </c>
      <c r="HA14" s="2">
        <v>2.2</v>
      </c>
      <c r="KC14" s="2">
        <v>-5.4</v>
      </c>
      <c r="KD14" s="2">
        <v>2.6</v>
      </c>
      <c r="KE14" s="2">
        <v>1.3</v>
      </c>
      <c r="KF14" s="2">
        <v>-3.2</v>
      </c>
      <c r="KG14" s="2">
        <v>0.1</v>
      </c>
      <c r="KH14" s="2">
        <v>4.2</v>
      </c>
      <c r="KI14" s="2">
        <v>-4.8</v>
      </c>
      <c r="KJ14" s="2">
        <v>-0.8</v>
      </c>
      <c r="KK14" s="2">
        <v>2.4</v>
      </c>
      <c r="KL14" s="2">
        <v>5.5</v>
      </c>
      <c r="KM14" s="2">
        <v>-3.6</v>
      </c>
      <c r="KN14" s="2">
        <v>3.8</v>
      </c>
      <c r="KO14" s="2">
        <v>-2.8</v>
      </c>
      <c r="KP14" s="2">
        <v>0.7</v>
      </c>
      <c r="KQ14" s="2">
        <v>-1.2</v>
      </c>
      <c r="KR14" s="2">
        <v>-2.4</v>
      </c>
      <c r="KS14" s="2">
        <v>4.2</v>
      </c>
      <c r="KT14" s="2">
        <v>2</v>
      </c>
      <c r="KU14" s="2">
        <v>-5.5</v>
      </c>
      <c r="KV14" s="2">
        <v>0</v>
      </c>
      <c r="KW14" s="2">
        <v>1.4</v>
      </c>
      <c r="KX14" s="2">
        <v>4.5</v>
      </c>
      <c r="KY14" s="2">
        <v>-1.9</v>
      </c>
      <c r="KZ14" s="2">
        <v>2.5</v>
      </c>
      <c r="LA14" s="2">
        <v>-2.3</v>
      </c>
      <c r="LB14" s="2">
        <v>-0.9</v>
      </c>
      <c r="LC14" s="2">
        <v>1</v>
      </c>
      <c r="LD14" s="2">
        <v>0.43</v>
      </c>
      <c r="LE14" s="2">
        <v>0.44</v>
      </c>
      <c r="LF14" s="2">
        <v>0.47</v>
      </c>
      <c r="LG14" s="2">
        <v>0.45</v>
      </c>
      <c r="LH14" s="2">
        <v>0.47</v>
      </c>
      <c r="LI14" s="2">
        <v>0.46</v>
      </c>
      <c r="LJ14" s="2">
        <v>0.46</v>
      </c>
      <c r="LK14" s="2">
        <v>0.45</v>
      </c>
      <c r="LL14" s="2">
        <v>0.44</v>
      </c>
      <c r="LM14" s="2">
        <v>0.46</v>
      </c>
      <c r="LN14" s="2">
        <v>0.47</v>
      </c>
      <c r="LO14" s="2">
        <v>0.44</v>
      </c>
      <c r="LP14" s="2">
        <v>0.44</v>
      </c>
      <c r="LQ14" s="2">
        <v>0.45</v>
      </c>
      <c r="LR14" s="2">
        <v>0.47</v>
      </c>
      <c r="LS14" s="2">
        <v>0.46</v>
      </c>
      <c r="LT14" s="2">
        <v>0.47</v>
      </c>
      <c r="LU14" s="2">
        <v>0.46</v>
      </c>
      <c r="LV14" s="2">
        <v>0.46</v>
      </c>
      <c r="LW14" s="2">
        <v>0.46</v>
      </c>
      <c r="LX14" s="2">
        <v>0.01</v>
      </c>
      <c r="LY14" s="2">
        <v>0.03</v>
      </c>
      <c r="LZ14" s="2">
        <v>-0.02</v>
      </c>
      <c r="MA14" s="2">
        <v>0.02</v>
      </c>
      <c r="MB14" s="2">
        <v>-0.01</v>
      </c>
      <c r="MC14" s="2">
        <v>0</v>
      </c>
      <c r="MD14" s="2">
        <v>-0.01</v>
      </c>
      <c r="ME14" s="2">
        <v>-0.01</v>
      </c>
      <c r="MF14" s="2">
        <v>0.02</v>
      </c>
      <c r="MG14" s="2">
        <v>0.01</v>
      </c>
      <c r="MH14" s="2">
        <v>-0.03</v>
      </c>
      <c r="MI14" s="2">
        <v>0</v>
      </c>
      <c r="MJ14" s="2">
        <v>0.01</v>
      </c>
      <c r="MK14" s="2">
        <v>0.02</v>
      </c>
      <c r="ML14" s="2">
        <v>-0.01</v>
      </c>
      <c r="MM14" s="2">
        <v>0.01</v>
      </c>
      <c r="MN14" s="2">
        <v>-0.01</v>
      </c>
      <c r="MO14" s="2">
        <v>0</v>
      </c>
      <c r="MP14" s="2">
        <v>0</v>
      </c>
      <c r="QI14" s="2">
        <v>22.55</v>
      </c>
      <c r="QJ14" s="2">
        <v>22.77</v>
      </c>
      <c r="QK14" s="2">
        <v>23.44</v>
      </c>
      <c r="QL14" s="2">
        <v>24.34</v>
      </c>
      <c r="QM14" s="2">
        <v>25.79</v>
      </c>
      <c r="QN14" s="2">
        <v>26.46</v>
      </c>
      <c r="QO14" s="2">
        <v>27.35</v>
      </c>
      <c r="QP14" s="2">
        <v>28.25</v>
      </c>
      <c r="QQ14" s="2">
        <v>31.59</v>
      </c>
      <c r="QR14" s="2">
        <v>33.16</v>
      </c>
      <c r="QS14" s="2">
        <v>34.05</v>
      </c>
      <c r="QT14" s="2">
        <v>35.28</v>
      </c>
      <c r="QU14" s="2">
        <v>37.06</v>
      </c>
      <c r="QV14" s="2">
        <v>38.18</v>
      </c>
      <c r="QW14" s="2">
        <v>39.19</v>
      </c>
      <c r="QX14" s="2">
        <v>40.75</v>
      </c>
      <c r="QY14" s="2">
        <v>42.2</v>
      </c>
      <c r="QZ14" s="2">
        <v>42.76</v>
      </c>
      <c r="RA14" s="2">
        <v>44.43</v>
      </c>
      <c r="RB14" s="2">
        <v>45.77</v>
      </c>
      <c r="RC14" s="2">
        <v>47</v>
      </c>
      <c r="RD14" s="2">
        <v>47.78</v>
      </c>
      <c r="RE14" s="2">
        <v>48.68</v>
      </c>
      <c r="RF14" s="2">
        <v>49.35</v>
      </c>
      <c r="RG14" s="2">
        <v>50.24</v>
      </c>
      <c r="RH14" s="2">
        <v>51.02</v>
      </c>
      <c r="RI14" s="2">
        <v>51.24</v>
      </c>
      <c r="RJ14" s="2">
        <v>52.92</v>
      </c>
      <c r="RK14" s="2">
        <v>54.59</v>
      </c>
      <c r="RL14" s="2">
        <v>55.6</v>
      </c>
      <c r="RM14" s="2">
        <v>56.6</v>
      </c>
      <c r="RN14" s="2">
        <v>58.28</v>
      </c>
      <c r="RO14" s="2">
        <v>59.28</v>
      </c>
      <c r="RP14" s="2">
        <v>60.96</v>
      </c>
      <c r="RQ14" s="2">
        <v>61.74</v>
      </c>
      <c r="RR14" s="2">
        <v>63.75</v>
      </c>
      <c r="RS14" s="2">
        <v>63.86</v>
      </c>
      <c r="RT14" s="2">
        <v>65.2</v>
      </c>
      <c r="RU14" s="2">
        <v>65.65000000000001</v>
      </c>
      <c r="RV14" s="2">
        <v>67.65000000000001</v>
      </c>
      <c r="RW14" s="2">
        <v>68.98999999999999</v>
      </c>
      <c r="RX14" s="2">
        <v>70.45</v>
      </c>
      <c r="RY14" s="2">
        <v>69.66</v>
      </c>
      <c r="RZ14" s="2">
        <v>74.34999999999999</v>
      </c>
      <c r="SA14" s="2">
        <v>74.45999999999999</v>
      </c>
      <c r="SB14" s="2">
        <v>74.23999999999999</v>
      </c>
      <c r="SC14" s="2">
        <v>75.02</v>
      </c>
      <c r="SD14" s="2">
        <v>77.37</v>
      </c>
      <c r="SE14" s="2">
        <v>78.04000000000001</v>
      </c>
      <c r="SF14" s="2">
        <v>80.48999999999999</v>
      </c>
      <c r="SG14" s="2">
        <v>80.83</v>
      </c>
      <c r="SH14" s="2">
        <v>82.39</v>
      </c>
      <c r="SI14" s="2">
        <v>83.62</v>
      </c>
      <c r="SJ14" s="2">
        <v>85.06999999999999</v>
      </c>
      <c r="SK14" s="2">
        <v>85.63</v>
      </c>
      <c r="SL14" s="2">
        <v>92.44</v>
      </c>
      <c r="SM14" s="2">
        <v>93.33</v>
      </c>
      <c r="SN14" s="2">
        <v>95.34</v>
      </c>
      <c r="SO14" s="2">
        <v>95.56999999999999</v>
      </c>
      <c r="SP14" s="2">
        <v>97.23999999999999</v>
      </c>
      <c r="SQ14" s="2">
        <v>97.91</v>
      </c>
      <c r="SR14" s="2">
        <v>99.58</v>
      </c>
      <c r="SS14" s="2">
        <v>99.92</v>
      </c>
      <c r="ST14" s="2">
        <v>103.49</v>
      </c>
      <c r="SU14" s="2">
        <v>104.5</v>
      </c>
      <c r="SV14" s="2">
        <v>107.85</v>
      </c>
      <c r="SW14" s="2">
        <v>107.06</v>
      </c>
      <c r="SX14" s="2">
        <v>111.19</v>
      </c>
      <c r="SY14" s="2">
        <v>110.41</v>
      </c>
      <c r="SZ14" s="2">
        <v>111.64</v>
      </c>
      <c r="TA14" s="2">
        <v>111.75</v>
      </c>
      <c r="TB14" s="2">
        <v>112.87</v>
      </c>
      <c r="TC14" s="2">
        <v>113.32</v>
      </c>
      <c r="TD14" s="2">
        <v>115.21</v>
      </c>
      <c r="TE14" s="2">
        <v>116.11</v>
      </c>
      <c r="TF14" s="2">
        <v>117.22</v>
      </c>
      <c r="TG14" s="2">
        <v>118</v>
      </c>
      <c r="TH14" s="2">
        <v>118.34</v>
      </c>
      <c r="TI14" s="2">
        <v>118.56</v>
      </c>
      <c r="TJ14" s="2">
        <v>118.56</v>
      </c>
      <c r="TK14" s="2">
        <v>115.77</v>
      </c>
      <c r="TL14" s="2">
        <v>117.67</v>
      </c>
      <c r="TM14" s="2">
        <v>116.22</v>
      </c>
      <c r="TN14" s="2">
        <v>116.78</v>
      </c>
      <c r="TO14" s="2">
        <v>115.55</v>
      </c>
      <c r="TP14" s="2">
        <v>115.77</v>
      </c>
      <c r="TQ14" s="2">
        <v>114.66</v>
      </c>
      <c r="TR14" s="2">
        <v>114.21</v>
      </c>
      <c r="TS14" s="2">
        <v>112.42</v>
      </c>
      <c r="TT14" s="2">
        <v>113.09</v>
      </c>
      <c r="TU14" s="2">
        <v>110.52</v>
      </c>
      <c r="TV14" s="2">
        <v>110.97</v>
      </c>
      <c r="TW14" s="2">
        <v>109.3</v>
      </c>
      <c r="TX14" s="2">
        <v>111.19</v>
      </c>
      <c r="TY14" s="2">
        <v>109.63</v>
      </c>
      <c r="TZ14" s="2">
        <v>111.75</v>
      </c>
      <c r="UA14" s="2">
        <v>109.86</v>
      </c>
      <c r="UB14" s="2">
        <v>111.75</v>
      </c>
      <c r="UC14" s="2">
        <v>111.64</v>
      </c>
      <c r="UD14" s="2">
        <v>110.41</v>
      </c>
      <c r="UE14" s="2">
        <v>110.08</v>
      </c>
      <c r="UF14" s="2">
        <v>111.08</v>
      </c>
      <c r="UG14" s="2">
        <v>109.3</v>
      </c>
      <c r="UH14" s="2">
        <v>108.63</v>
      </c>
      <c r="UI14" s="2">
        <v>106.97</v>
      </c>
      <c r="UJ14" s="2">
        <v>108.34</v>
      </c>
      <c r="UK14" s="2">
        <v>106.93</v>
      </c>
      <c r="UL14" s="2">
        <v>107.57</v>
      </c>
      <c r="UM14" s="2">
        <v>106.49</v>
      </c>
      <c r="UN14" s="2">
        <v>106.37</v>
      </c>
      <c r="UO14" s="2">
        <v>105.42</v>
      </c>
      <c r="UP14" s="2">
        <v>105.4</v>
      </c>
      <c r="UQ14" s="2">
        <v>113.41</v>
      </c>
      <c r="UR14" s="2">
        <v>112.54</v>
      </c>
      <c r="US14" s="2">
        <v>112.24</v>
      </c>
      <c r="UT14" s="2">
        <v>113.19</v>
      </c>
      <c r="UU14" s="2">
        <v>113.28</v>
      </c>
      <c r="UV14" s="2">
        <v>114.66</v>
      </c>
      <c r="UW14" s="2">
        <v>114.81</v>
      </c>
      <c r="UX14" s="2">
        <v>114.3</v>
      </c>
      <c r="UY14" s="2">
        <v>115.67</v>
      </c>
      <c r="UZ14" s="2">
        <v>114.27</v>
      </c>
      <c r="VA14" s="2">
        <v>111.98</v>
      </c>
      <c r="VB14" s="2">
        <v>112.78</v>
      </c>
      <c r="VC14" s="2">
        <v>110.68</v>
      </c>
      <c r="VD14" s="2">
        <v>110.64</v>
      </c>
      <c r="VE14" s="2">
        <v>108.18</v>
      </c>
      <c r="VF14" s="2">
        <v>108.75</v>
      </c>
      <c r="VG14" s="2">
        <v>110.35</v>
      </c>
      <c r="VH14" s="2">
        <v>110.14</v>
      </c>
      <c r="VI14" s="2">
        <v>108.49</v>
      </c>
      <c r="VJ14" s="2">
        <v>108.3</v>
      </c>
      <c r="VK14" s="2">
        <v>108.35</v>
      </c>
      <c r="VL14" s="2">
        <v>109.45</v>
      </c>
      <c r="VM14" s="2">
        <v>105.96</v>
      </c>
      <c r="VN14" s="2">
        <v>108.61</v>
      </c>
      <c r="VO14" s="2">
        <v>109.61</v>
      </c>
      <c r="VP14" s="2">
        <v>108.12</v>
      </c>
      <c r="VQ14" s="2">
        <v>109.78</v>
      </c>
      <c r="VR14" s="2">
        <v>106.89</v>
      </c>
      <c r="VS14" s="2">
        <v>109.23</v>
      </c>
      <c r="VT14" s="2">
        <v>109.93</v>
      </c>
      <c r="VU14" s="2">
        <v>106.91</v>
      </c>
      <c r="VV14" s="2">
        <v>108.34</v>
      </c>
      <c r="VW14" s="2">
        <v>108.05</v>
      </c>
      <c r="VX14" s="2">
        <v>108.88</v>
      </c>
      <c r="VY14" s="2">
        <v>106.93</v>
      </c>
      <c r="VZ14" s="2">
        <v>105.84</v>
      </c>
      <c r="WA14" s="2">
        <v>107.05</v>
      </c>
      <c r="WB14" s="2">
        <v>106.86</v>
      </c>
      <c r="WC14" s="2">
        <v>104.8</v>
      </c>
      <c r="WD14" s="2">
        <v>102.29</v>
      </c>
      <c r="WE14" s="2">
        <v>104.8</v>
      </c>
      <c r="WF14" s="2">
        <v>104.49</v>
      </c>
      <c r="WG14" s="2">
        <v>100.32</v>
      </c>
      <c r="WH14" s="2">
        <v>101.64</v>
      </c>
      <c r="WI14" s="2">
        <v>104.56</v>
      </c>
      <c r="WJ14" s="2">
        <v>104.14</v>
      </c>
      <c r="WK14" s="2">
        <v>104.79</v>
      </c>
      <c r="WL14" s="2">
        <v>104.82</v>
      </c>
      <c r="WM14" s="2">
        <v>105.09</v>
      </c>
      <c r="WN14" s="2">
        <v>105.91</v>
      </c>
      <c r="WO14" s="2">
        <v>99.20999999999999</v>
      </c>
      <c r="WP14" s="2">
        <v>102.6</v>
      </c>
      <c r="WQ14" s="2">
        <v>105.36</v>
      </c>
      <c r="WR14" s="2">
        <v>103.38</v>
      </c>
      <c r="WS14" s="2">
        <v>100.58</v>
      </c>
      <c r="WT14" s="2">
        <v>101.61</v>
      </c>
      <c r="WU14" s="2">
        <v>100.54</v>
      </c>
      <c r="WV14" s="2">
        <v>104.68</v>
      </c>
      <c r="WW14" s="2">
        <v>100.8</v>
      </c>
      <c r="WX14" s="2">
        <v>99.5</v>
      </c>
      <c r="WY14" s="2">
        <v>98.70999999999999</v>
      </c>
      <c r="WZ14" s="2">
        <v>100.49</v>
      </c>
      <c r="XA14" s="2">
        <v>96.92</v>
      </c>
      <c r="XB14" s="2">
        <v>101.05</v>
      </c>
      <c r="XC14" s="2">
        <v>100.18</v>
      </c>
      <c r="XD14" s="2">
        <v>100.6</v>
      </c>
      <c r="XE14" s="2">
        <v>97.54000000000001</v>
      </c>
      <c r="XF14" s="2">
        <v>98.98999999999999</v>
      </c>
      <c r="XG14" s="2">
        <v>98.83</v>
      </c>
      <c r="XH14" s="2">
        <v>98.28</v>
      </c>
      <c r="XI14" s="2">
        <v>94.56999999999999</v>
      </c>
      <c r="XJ14" s="2">
        <v>96.11</v>
      </c>
      <c r="XK14" s="2">
        <v>95.01000000000001</v>
      </c>
      <c r="XL14" s="2">
        <v>92.84</v>
      </c>
      <c r="XM14" s="2">
        <v>92.29000000000001</v>
      </c>
      <c r="XN14" s="2">
        <v>93.8</v>
      </c>
      <c r="XO14" s="2">
        <v>96.18000000000001</v>
      </c>
      <c r="XP14" s="2">
        <v>96.05</v>
      </c>
      <c r="XQ14" s="2">
        <v>95.64</v>
      </c>
      <c r="XR14" s="2">
        <v>94.2</v>
      </c>
      <c r="XS14" s="2">
        <v>94.34999999999999</v>
      </c>
      <c r="XT14" s="2">
        <v>97.48</v>
      </c>
      <c r="XU14" s="2">
        <v>96.14</v>
      </c>
      <c r="XV14" s="2">
        <v>98.81</v>
      </c>
      <c r="XW14" s="2">
        <v>93.83</v>
      </c>
      <c r="XX14" s="2">
        <v>97.76000000000001</v>
      </c>
      <c r="XY14" s="2">
        <v>95.45</v>
      </c>
      <c r="XZ14" s="2">
        <v>99.70999999999999</v>
      </c>
      <c r="YA14" s="2">
        <v>97.11</v>
      </c>
      <c r="YB14" s="2">
        <v>102.41</v>
      </c>
      <c r="YC14" s="2">
        <v>97.28</v>
      </c>
      <c r="YD14" s="2">
        <v>98.63</v>
      </c>
      <c r="YE14" s="2">
        <v>99.12</v>
      </c>
      <c r="YF14" s="2">
        <v>98.48</v>
      </c>
      <c r="YG14" s="2">
        <v>95.93000000000001</v>
      </c>
      <c r="YH14" s="2">
        <v>99.97</v>
      </c>
      <c r="YI14" s="2">
        <v>97.93000000000001</v>
      </c>
      <c r="YJ14" s="2">
        <v>99.03</v>
      </c>
      <c r="YK14" s="2">
        <v>95.42</v>
      </c>
      <c r="YL14" s="2">
        <v>100.84</v>
      </c>
      <c r="YM14" s="2">
        <v>98.12</v>
      </c>
      <c r="YN14" s="2">
        <v>98.29000000000001</v>
      </c>
      <c r="YO14" s="2">
        <v>100.09</v>
      </c>
      <c r="YP14" s="2">
        <v>100.91</v>
      </c>
      <c r="ACI14" s="2">
        <v>1</v>
      </c>
      <c r="ACJ14" s="2">
        <v>2.9</v>
      </c>
      <c r="ACK14" s="2">
        <v>3.8</v>
      </c>
      <c r="ACL14" s="2">
        <v>6</v>
      </c>
      <c r="ACM14" s="2">
        <v>2.6</v>
      </c>
      <c r="ACN14" s="2">
        <v>3.4</v>
      </c>
      <c r="ACO14" s="2">
        <v>3.3</v>
      </c>
      <c r="ACP14" s="2">
        <v>11.8</v>
      </c>
      <c r="ACQ14" s="2">
        <v>5</v>
      </c>
      <c r="ACR14" s="2">
        <v>2.7</v>
      </c>
      <c r="ACS14" s="2">
        <v>3.6</v>
      </c>
      <c r="ACT14" s="2">
        <v>5</v>
      </c>
      <c r="ACU14" s="2">
        <v>3</v>
      </c>
      <c r="ACV14" s="2">
        <v>2.6</v>
      </c>
      <c r="ACW14" s="2">
        <v>4</v>
      </c>
      <c r="ACX14" s="2">
        <v>3.6</v>
      </c>
      <c r="ACY14" s="2">
        <v>1.3</v>
      </c>
      <c r="ACZ14" s="2">
        <v>3.9</v>
      </c>
      <c r="ADA14" s="2">
        <v>3</v>
      </c>
      <c r="ADB14" s="2">
        <v>2.7</v>
      </c>
      <c r="ADC14" s="2">
        <v>1.7</v>
      </c>
      <c r="ADD14" s="2">
        <v>1.9</v>
      </c>
      <c r="ADE14" s="2">
        <v>1.4</v>
      </c>
      <c r="ADF14" s="2">
        <v>1.8</v>
      </c>
      <c r="ADG14" s="2">
        <v>1.6</v>
      </c>
      <c r="ADH14" s="2">
        <v>0.4</v>
      </c>
      <c r="ADI14" s="2">
        <v>3.3</v>
      </c>
      <c r="ADJ14" s="2">
        <v>3.2</v>
      </c>
      <c r="ADK14" s="2">
        <v>1.9</v>
      </c>
      <c r="ADL14" s="2">
        <v>1.8</v>
      </c>
      <c r="ADM14" s="2">
        <v>3</v>
      </c>
      <c r="ADN14" s="2">
        <v>1.7</v>
      </c>
      <c r="ADO14" s="2">
        <v>2.8</v>
      </c>
      <c r="ADP14" s="2">
        <v>1.3</v>
      </c>
      <c r="ADQ14" s="2">
        <v>3.3</v>
      </c>
      <c r="ADR14" s="2">
        <v>0.2</v>
      </c>
      <c r="ADS14" s="2">
        <v>2.1</v>
      </c>
      <c r="ADT14" s="2">
        <v>0.7</v>
      </c>
      <c r="ADU14" s="2">
        <v>3</v>
      </c>
      <c r="ADV14" s="2">
        <v>2</v>
      </c>
      <c r="ADW14" s="2">
        <v>2.1</v>
      </c>
      <c r="ADX14" s="2">
        <v>-1.1</v>
      </c>
      <c r="ADY14" s="2">
        <v>6.7</v>
      </c>
      <c r="ADZ14" s="2">
        <v>0.1</v>
      </c>
      <c r="AEA14" s="2">
        <v>-0.3</v>
      </c>
      <c r="AEB14" s="2">
        <v>1.1</v>
      </c>
      <c r="AEC14" s="2">
        <v>3.1</v>
      </c>
      <c r="AED14" s="2">
        <v>0.9</v>
      </c>
      <c r="AEE14" s="2">
        <v>3.1</v>
      </c>
      <c r="AEF14" s="2">
        <v>0.4</v>
      </c>
      <c r="AEG14" s="2">
        <v>1.9</v>
      </c>
      <c r="AEH14" s="2">
        <v>1.5</v>
      </c>
      <c r="AEI14" s="2">
        <v>1.7</v>
      </c>
      <c r="AEJ14" s="2">
        <v>0.7</v>
      </c>
      <c r="AEK14" s="2">
        <v>8</v>
      </c>
      <c r="AEL14" s="2">
        <v>1</v>
      </c>
      <c r="AEM14" s="2">
        <v>2.2</v>
      </c>
      <c r="AEN14" s="2">
        <v>0.2</v>
      </c>
      <c r="AEO14" s="2">
        <v>1.7</v>
      </c>
      <c r="AEP14" s="2">
        <v>0.7</v>
      </c>
      <c r="AEQ14" s="2">
        <v>1.7</v>
      </c>
      <c r="AER14" s="2">
        <v>0.3</v>
      </c>
      <c r="AES14" s="2">
        <v>3.6</v>
      </c>
      <c r="AET14" s="2">
        <v>1</v>
      </c>
      <c r="AEU14" s="2">
        <v>3.2</v>
      </c>
      <c r="AEV14" s="2">
        <v>-0.7</v>
      </c>
      <c r="AEW14" s="2">
        <v>3.9</v>
      </c>
      <c r="AEX14" s="2">
        <v>-0.7</v>
      </c>
      <c r="AEY14" s="2">
        <v>1.1</v>
      </c>
      <c r="AEZ14" s="2">
        <v>0.1</v>
      </c>
      <c r="AFA14" s="2">
        <v>1</v>
      </c>
      <c r="AFB14" s="2">
        <v>0.4</v>
      </c>
      <c r="AFC14" s="2">
        <v>1.7</v>
      </c>
      <c r="AFD14" s="2">
        <v>0.8</v>
      </c>
      <c r="AFE14" s="2">
        <v>1</v>
      </c>
      <c r="AFF14" s="2">
        <v>0.7</v>
      </c>
      <c r="AFG14" s="2">
        <v>0.3</v>
      </c>
      <c r="AFH14" s="2">
        <v>0.2</v>
      </c>
      <c r="AFI14" s="2">
        <v>0</v>
      </c>
      <c r="AFJ14" s="2">
        <v>-2.4</v>
      </c>
      <c r="AFK14" s="2">
        <v>1.6</v>
      </c>
      <c r="AFL14" s="2">
        <v>-1.2</v>
      </c>
      <c r="AFM14" s="2">
        <v>0.5</v>
      </c>
      <c r="AFN14" s="2">
        <v>-1.1</v>
      </c>
      <c r="AFO14" s="2">
        <v>0.2</v>
      </c>
      <c r="AFP14" s="2">
        <v>-1</v>
      </c>
      <c r="AFQ14" s="2">
        <v>-0.4</v>
      </c>
      <c r="AFR14" s="2">
        <v>-1.6</v>
      </c>
      <c r="AFS14" s="2">
        <v>0.6</v>
      </c>
      <c r="AFT14" s="2">
        <v>-2.3</v>
      </c>
      <c r="AFU14" s="2">
        <v>0.4</v>
      </c>
      <c r="AFV14" s="2">
        <v>-1.5</v>
      </c>
      <c r="AFW14" s="2">
        <v>1.7</v>
      </c>
      <c r="AFX14" s="2">
        <v>-1.4</v>
      </c>
      <c r="AFY14" s="2">
        <v>1.9</v>
      </c>
      <c r="AFZ14" s="2">
        <v>-1.7</v>
      </c>
      <c r="AGA14" s="2">
        <v>1.7</v>
      </c>
      <c r="AGB14" s="2">
        <v>-0.1</v>
      </c>
      <c r="AGC14" s="2">
        <v>-1.1</v>
      </c>
      <c r="AGD14" s="2">
        <v>-0.3</v>
      </c>
      <c r="AGE14" s="2">
        <v>0.9</v>
      </c>
      <c r="AGF14" s="2">
        <v>-1.6</v>
      </c>
      <c r="AGG14" s="2">
        <v>-0.6</v>
      </c>
      <c r="AGH14" s="2">
        <v>-1.5</v>
      </c>
      <c r="AGI14" s="2">
        <v>1.3</v>
      </c>
      <c r="AGJ14" s="2">
        <v>-1.3</v>
      </c>
      <c r="AGK14" s="2">
        <v>0.6</v>
      </c>
      <c r="AGL14" s="2">
        <v>-1</v>
      </c>
      <c r="AGM14" s="2">
        <v>-0.1</v>
      </c>
      <c r="AGN14" s="2">
        <v>-0.9</v>
      </c>
      <c r="AGO14" s="2">
        <v>0</v>
      </c>
      <c r="AGP14" s="2">
        <v>7.6</v>
      </c>
      <c r="AGQ14" s="2">
        <v>-0.8</v>
      </c>
      <c r="AGR14" s="2">
        <v>-0.3</v>
      </c>
      <c r="AGS14" s="2">
        <v>0.8</v>
      </c>
      <c r="AGT14" s="2">
        <v>0.1</v>
      </c>
      <c r="AGU14" s="2">
        <v>1.2</v>
      </c>
      <c r="AGV14" s="2">
        <v>0.1</v>
      </c>
      <c r="AGW14" s="2">
        <v>-0.4</v>
      </c>
      <c r="AGX14" s="2">
        <v>1.2</v>
      </c>
      <c r="AGY14" s="2">
        <v>-1.2</v>
      </c>
      <c r="AGZ14" s="2">
        <v>-2</v>
      </c>
      <c r="AHA14" s="2">
        <v>0.7</v>
      </c>
      <c r="AHB14" s="2">
        <v>-1.9</v>
      </c>
      <c r="AHC14" s="2">
        <v>0</v>
      </c>
      <c r="AHD14" s="2">
        <v>-2.2</v>
      </c>
      <c r="AHE14" s="2">
        <v>0.5</v>
      </c>
      <c r="AHF14" s="2">
        <v>1.5</v>
      </c>
      <c r="AHG14" s="2">
        <v>-0.2</v>
      </c>
      <c r="AHH14" s="2">
        <v>-1.5</v>
      </c>
      <c r="AHI14" s="2">
        <v>-0.2</v>
      </c>
      <c r="AHJ14" s="2">
        <v>0</v>
      </c>
      <c r="AHK14" s="2">
        <v>1</v>
      </c>
      <c r="AHL14" s="2">
        <v>-3.2</v>
      </c>
      <c r="AHM14" s="2">
        <v>2.5</v>
      </c>
      <c r="AHN14" s="2">
        <v>0.9</v>
      </c>
      <c r="AHO14" s="2">
        <v>-1.4</v>
      </c>
      <c r="AHP14" s="2">
        <v>1.5</v>
      </c>
      <c r="AHQ14" s="2">
        <v>-2.6</v>
      </c>
      <c r="AHR14" s="2">
        <v>2.2</v>
      </c>
      <c r="AHS14" s="2">
        <v>0.6</v>
      </c>
      <c r="AHT14" s="2">
        <v>-2.7</v>
      </c>
      <c r="AHU14" s="2">
        <v>1.3</v>
      </c>
      <c r="AHV14" s="2">
        <v>-0.3</v>
      </c>
      <c r="AHW14" s="2">
        <v>0.8</v>
      </c>
      <c r="AHX14" s="2">
        <v>-1.8</v>
      </c>
      <c r="AHY14" s="2">
        <v>-1</v>
      </c>
      <c r="AHZ14" s="2">
        <v>1.1</v>
      </c>
      <c r="AIA14" s="2">
        <v>-0.2</v>
      </c>
      <c r="AIB14" s="2">
        <v>-1.9</v>
      </c>
      <c r="AIC14" s="2">
        <v>-2.4</v>
      </c>
      <c r="AID14" s="2">
        <v>2.5</v>
      </c>
      <c r="AIE14" s="2">
        <v>-0.3</v>
      </c>
      <c r="AIF14" s="2">
        <v>-4</v>
      </c>
      <c r="AIG14" s="2">
        <v>1.3</v>
      </c>
      <c r="AIH14" s="2">
        <v>2.9</v>
      </c>
      <c r="AII14" s="2">
        <v>-0.4</v>
      </c>
      <c r="AIJ14" s="2">
        <v>0.6</v>
      </c>
      <c r="AIK14" s="2">
        <v>0</v>
      </c>
      <c r="AIL14" s="2">
        <v>0.3</v>
      </c>
      <c r="AIM14" s="2">
        <v>0.8</v>
      </c>
      <c r="AIN14" s="2">
        <v>-6.3</v>
      </c>
      <c r="AIO14" s="2">
        <v>3.4</v>
      </c>
      <c r="AIP14" s="2">
        <v>2.7</v>
      </c>
      <c r="AIQ14" s="2">
        <v>-1.9</v>
      </c>
      <c r="AIR14" s="2">
        <v>-2.7</v>
      </c>
      <c r="AIS14" s="2">
        <v>1</v>
      </c>
      <c r="AIT14" s="2">
        <v>-1.1</v>
      </c>
      <c r="AIU14" s="2">
        <v>4.1</v>
      </c>
      <c r="AIV14" s="2">
        <v>-3.7</v>
      </c>
      <c r="AIW14" s="2">
        <v>-1.3</v>
      </c>
      <c r="AIX14" s="2">
        <v>-0.8</v>
      </c>
      <c r="AIY14" s="2">
        <v>1.8</v>
      </c>
      <c r="AIZ14" s="2">
        <v>-3.6</v>
      </c>
      <c r="AJA14" s="2">
        <v>4.3</v>
      </c>
      <c r="AJB14" s="2">
        <v>-0.9</v>
      </c>
      <c r="AJC14" s="2">
        <v>0.4</v>
      </c>
      <c r="AJD14" s="2">
        <v>-3</v>
      </c>
      <c r="AJE14" s="2">
        <v>1.5</v>
      </c>
      <c r="AJF14" s="2">
        <v>-0.2</v>
      </c>
      <c r="AJG14" s="2">
        <v>-0.6</v>
      </c>
      <c r="AJH14" s="2">
        <v>-3.8</v>
      </c>
      <c r="AJI14" s="2">
        <v>1.6</v>
      </c>
      <c r="AJJ14" s="2">
        <v>-1.1</v>
      </c>
      <c r="AJK14" s="2">
        <v>-2.3</v>
      </c>
      <c r="AJL14" s="2">
        <v>-0.6</v>
      </c>
      <c r="AJM14" s="2">
        <v>1.6</v>
      </c>
      <c r="AJN14" s="2">
        <v>2.5</v>
      </c>
      <c r="AJO14" s="2">
        <v>-0.1</v>
      </c>
      <c r="AJP14" s="2">
        <v>-0.4</v>
      </c>
      <c r="AJQ14" s="2">
        <v>-1.5</v>
      </c>
      <c r="AJR14" s="2">
        <v>0.2</v>
      </c>
      <c r="AJS14" s="2">
        <v>3.3</v>
      </c>
      <c r="AJT14" s="2">
        <v>-1.4</v>
      </c>
      <c r="AJU14" s="2">
        <v>2.8</v>
      </c>
      <c r="AJV14" s="2">
        <v>-5</v>
      </c>
      <c r="AJW14" s="2">
        <v>4.2</v>
      </c>
      <c r="AJX14" s="2">
        <v>-2.4</v>
      </c>
      <c r="AJY14" s="2">
        <v>4.5</v>
      </c>
      <c r="AJZ14" s="2">
        <v>-2.6</v>
      </c>
      <c r="AKA14" s="2">
        <v>5.5</v>
      </c>
      <c r="AKB14" s="2">
        <v>-5</v>
      </c>
      <c r="AKC14" s="2">
        <v>1.4</v>
      </c>
      <c r="AKD14" s="2">
        <v>0.5</v>
      </c>
      <c r="AKE14" s="2">
        <v>-0.6</v>
      </c>
      <c r="AKF14" s="2">
        <v>-2.6</v>
      </c>
      <c r="AKG14" s="2">
        <v>4.2</v>
      </c>
      <c r="AKH14" s="2">
        <v>-2</v>
      </c>
      <c r="AKI14" s="2">
        <v>1.1</v>
      </c>
      <c r="AKJ14" s="2">
        <v>-3.6</v>
      </c>
      <c r="AKK14" s="2">
        <v>5.7</v>
      </c>
      <c r="AKL14" s="2">
        <v>-2.7</v>
      </c>
      <c r="AKM14" s="2">
        <v>0.2</v>
      </c>
      <c r="AKN14" s="2">
        <v>1.8</v>
      </c>
      <c r="AKO14" s="2">
        <v>0.8</v>
      </c>
      <c r="AKP14" s="2">
        <v>0.45</v>
      </c>
      <c r="AKQ14" s="2">
        <v>0.46</v>
      </c>
      <c r="AKR14" s="2">
        <v>0.47</v>
      </c>
    </row>
    <row r="15">
      <c r="A15" t="inlineStr">
        <is>
          <t>Accessories and clothing services</t>
        </is>
      </c>
      <c r="B15" t="inlineStr">
        <is>
          <t>Clothing and footwear</t>
        </is>
      </c>
      <c r="C15">
        <v>2</v>
      </c>
      <c r="D15">
        <v>0.77</v>
      </c>
      <c r="E15" s="3">
        <f>D15/3.18*0.0317</f>
        <v>0.007675786163522012</v>
      </c>
      <c r="F15" s="3">
        <f>E15-D15/100</f>
        <v>-2.421383647798793e-05</v>
      </c>
      <c r="G15" s="3">
        <f>D15/3.18</f>
        <v>0.24213836477987422</v>
      </c>
      <c r="CI15" s="2">
        <v>88.73999999999999</v>
      </c>
      <c r="CJ15" s="2">
        <v>89.84999999999999</v>
      </c>
      <c r="CK15" s="2">
        <v>86.22</v>
      </c>
      <c r="CL15" s="2">
        <v>89.90000000000001</v>
      </c>
      <c r="CM15" s="2">
        <v>88.97</v>
      </c>
      <c r="CN15" s="2">
        <v>91.43000000000001</v>
      </c>
      <c r="CO15" s="2">
        <v>90.90000000000001</v>
      </c>
      <c r="CP15" s="2">
        <v>85.14</v>
      </c>
      <c r="CQ15" s="2">
        <v>88</v>
      </c>
      <c r="CR15" s="2">
        <v>92.13</v>
      </c>
      <c r="CS15" s="2">
        <v>92.38</v>
      </c>
      <c r="CT15" s="2">
        <v>87.77</v>
      </c>
      <c r="CU15" s="2">
        <v>91.04000000000001</v>
      </c>
      <c r="CV15" s="2">
        <v>90.05</v>
      </c>
      <c r="CW15" s="2">
        <v>92.20999999999999</v>
      </c>
      <c r="CX15" s="2">
        <v>96.01000000000001</v>
      </c>
      <c r="CY15" s="2">
        <v>97.59</v>
      </c>
      <c r="CZ15" s="2">
        <v>100</v>
      </c>
      <c r="DA15" s="2">
        <v>101.55</v>
      </c>
      <c r="DB15" s="2">
        <v>97.79000000000001</v>
      </c>
      <c r="DC15" s="2">
        <v>97.45999999999999</v>
      </c>
      <c r="DD15" s="2">
        <v>102.6</v>
      </c>
      <c r="DE15" s="2">
        <v>103.49</v>
      </c>
      <c r="DF15" s="2">
        <v>102.91</v>
      </c>
      <c r="DG15" s="2">
        <v>105.48</v>
      </c>
      <c r="DH15" s="2">
        <v>103.09</v>
      </c>
      <c r="DI15" s="2">
        <v>106.86</v>
      </c>
      <c r="DJ15" s="2">
        <v>109.14</v>
      </c>
      <c r="GL15" s="2">
        <v>2.6</v>
      </c>
      <c r="GM15" s="2">
        <v>0.2</v>
      </c>
      <c r="GN15" s="2">
        <v>6.9</v>
      </c>
      <c r="GO15" s="2">
        <v>6.8</v>
      </c>
      <c r="GP15" s="2">
        <v>9.699999999999999</v>
      </c>
      <c r="GQ15" s="2">
        <v>9.4</v>
      </c>
      <c r="GR15" s="2">
        <v>11.7</v>
      </c>
      <c r="GS15" s="2">
        <v>14.9</v>
      </c>
      <c r="GT15" s="2">
        <v>10.8</v>
      </c>
      <c r="GU15" s="2">
        <v>11.4</v>
      </c>
      <c r="GV15" s="2">
        <v>12</v>
      </c>
      <c r="GW15" s="2">
        <v>17.2</v>
      </c>
      <c r="GX15" s="2">
        <v>15.9</v>
      </c>
      <c r="GY15" s="2">
        <v>14.5</v>
      </c>
      <c r="GZ15" s="2">
        <v>15.9</v>
      </c>
      <c r="HA15" s="2">
        <v>13.7</v>
      </c>
      <c r="KC15" s="2">
        <v>1.3</v>
      </c>
      <c r="KD15" s="2">
        <v>-4</v>
      </c>
      <c r="KE15" s="2">
        <v>4.3</v>
      </c>
      <c r="KF15" s="2">
        <v>-1</v>
      </c>
      <c r="KG15" s="2">
        <v>2.8</v>
      </c>
      <c r="KH15" s="2">
        <v>-0.6</v>
      </c>
      <c r="KI15" s="2">
        <v>-6.3</v>
      </c>
      <c r="KJ15" s="2">
        <v>3.4</v>
      </c>
      <c r="KK15" s="2">
        <v>4.7</v>
      </c>
      <c r="KL15" s="2">
        <v>0.3</v>
      </c>
      <c r="KM15" s="2">
        <v>-5</v>
      </c>
      <c r="KN15" s="2">
        <v>3.7</v>
      </c>
      <c r="KO15" s="2">
        <v>-1.1</v>
      </c>
      <c r="KP15" s="2">
        <v>2.4</v>
      </c>
      <c r="KQ15" s="2">
        <v>4.1</v>
      </c>
      <c r="KR15" s="2">
        <v>1.6</v>
      </c>
      <c r="KS15" s="2">
        <v>2.5</v>
      </c>
      <c r="KT15" s="2">
        <v>1.6</v>
      </c>
      <c r="KU15" s="2">
        <v>-3.7</v>
      </c>
      <c r="KV15" s="2">
        <v>-0.3</v>
      </c>
      <c r="KW15" s="2">
        <v>5.3</v>
      </c>
      <c r="KX15" s="2">
        <v>0.9</v>
      </c>
      <c r="KY15" s="2">
        <v>-0.6</v>
      </c>
      <c r="KZ15" s="2">
        <v>2.5</v>
      </c>
      <c r="LA15" s="2">
        <v>-2.3</v>
      </c>
      <c r="LB15" s="2">
        <v>3.7</v>
      </c>
      <c r="LC15" s="2">
        <v>2.1</v>
      </c>
      <c r="LD15" s="2">
        <v>0.75</v>
      </c>
      <c r="LE15" s="2">
        <v>0.78</v>
      </c>
      <c r="LF15" s="2">
        <v>0.78</v>
      </c>
      <c r="LG15" s="2">
        <v>0.74</v>
      </c>
      <c r="LH15" s="2">
        <v>0.77</v>
      </c>
      <c r="LI15" s="2">
        <v>0.76</v>
      </c>
      <c r="LJ15" s="2">
        <v>0.78</v>
      </c>
      <c r="LK15" s="2">
        <v>0.8100000000000001</v>
      </c>
      <c r="LL15" s="2">
        <v>0.83</v>
      </c>
      <c r="LM15" s="2">
        <v>0.85</v>
      </c>
      <c r="LN15" s="2">
        <v>0.86</v>
      </c>
      <c r="LO15" s="2">
        <v>0.83</v>
      </c>
      <c r="LP15" s="2">
        <v>0.83</v>
      </c>
      <c r="LQ15" s="2">
        <v>0.87</v>
      </c>
      <c r="LR15" s="2">
        <v>0.88</v>
      </c>
      <c r="LS15" s="2">
        <v>0.87</v>
      </c>
      <c r="LT15" s="2">
        <v>0.89</v>
      </c>
      <c r="LU15" s="2">
        <v>0.87</v>
      </c>
      <c r="LV15" s="2">
        <v>0.91</v>
      </c>
      <c r="LW15" s="2">
        <v>0.93</v>
      </c>
      <c r="LX15" s="2">
        <v>0.03</v>
      </c>
      <c r="LY15" s="2">
        <v>0</v>
      </c>
      <c r="LZ15" s="2">
        <v>-0.04</v>
      </c>
      <c r="MA15" s="2">
        <v>0.03</v>
      </c>
      <c r="MB15" s="2">
        <v>-0.01</v>
      </c>
      <c r="MC15" s="2">
        <v>0.02</v>
      </c>
      <c r="MD15" s="2">
        <v>0.03</v>
      </c>
      <c r="ME15" s="2">
        <v>0.02</v>
      </c>
      <c r="MF15" s="2">
        <v>0.02</v>
      </c>
      <c r="MG15" s="2">
        <v>0.01</v>
      </c>
      <c r="MH15" s="2">
        <v>-0.03</v>
      </c>
      <c r="MI15" s="2">
        <v>0</v>
      </c>
      <c r="MJ15" s="2">
        <v>0.04</v>
      </c>
      <c r="MK15" s="2">
        <v>0.01</v>
      </c>
      <c r="ML15" s="2">
        <v>-0.01</v>
      </c>
      <c r="MM15" s="2">
        <v>0.02</v>
      </c>
      <c r="MN15" s="2">
        <v>-0.02</v>
      </c>
      <c r="MO15" s="2">
        <v>0.04</v>
      </c>
      <c r="MP15" s="2">
        <v>0.02</v>
      </c>
      <c r="UH15" s="2">
        <v>55.92</v>
      </c>
      <c r="UI15" s="2">
        <v>56.11</v>
      </c>
      <c r="UJ15" s="2">
        <v>55.98</v>
      </c>
      <c r="UK15" s="2">
        <v>55.49</v>
      </c>
      <c r="UL15" s="2">
        <v>56.59</v>
      </c>
      <c r="UM15" s="2">
        <v>56.3</v>
      </c>
      <c r="UN15" s="2">
        <v>55.54</v>
      </c>
      <c r="UO15" s="2">
        <v>55.94</v>
      </c>
      <c r="UP15" s="2">
        <v>55.41</v>
      </c>
      <c r="UQ15" s="2">
        <v>57.31</v>
      </c>
      <c r="UR15" s="2">
        <v>58.19</v>
      </c>
      <c r="US15" s="2">
        <v>57.74</v>
      </c>
      <c r="UT15" s="2">
        <v>58.07</v>
      </c>
      <c r="UU15" s="2">
        <v>58.7</v>
      </c>
      <c r="UV15" s="2">
        <v>57.81</v>
      </c>
      <c r="UW15" s="2">
        <v>58.16</v>
      </c>
      <c r="UX15" s="2">
        <v>58.89</v>
      </c>
      <c r="UY15" s="2">
        <v>59.38</v>
      </c>
      <c r="UZ15" s="2">
        <v>59.15</v>
      </c>
      <c r="VA15" s="2">
        <v>59.47</v>
      </c>
      <c r="VB15" s="2">
        <v>60.09</v>
      </c>
      <c r="VC15" s="2">
        <v>60.42</v>
      </c>
      <c r="VD15" s="2">
        <v>59.93</v>
      </c>
      <c r="VE15" s="2">
        <v>59.27</v>
      </c>
      <c r="VF15" s="2">
        <v>59.82</v>
      </c>
      <c r="VG15" s="2">
        <v>59.68</v>
      </c>
      <c r="VH15" s="2">
        <v>59.09</v>
      </c>
      <c r="VI15" s="2">
        <v>59.18</v>
      </c>
      <c r="VJ15" s="2">
        <v>59.54</v>
      </c>
      <c r="VK15" s="2">
        <v>59.91</v>
      </c>
      <c r="VL15" s="2">
        <v>60.17</v>
      </c>
      <c r="VM15" s="2">
        <v>58.64</v>
      </c>
      <c r="VN15" s="2">
        <v>59.55</v>
      </c>
      <c r="VO15" s="2">
        <v>59.58</v>
      </c>
      <c r="VP15" s="2">
        <v>59.41</v>
      </c>
      <c r="VQ15" s="2">
        <v>58.01</v>
      </c>
      <c r="VR15" s="2">
        <v>61</v>
      </c>
      <c r="VS15" s="2">
        <v>61.32</v>
      </c>
      <c r="VT15" s="2">
        <v>62.15</v>
      </c>
      <c r="VU15" s="2">
        <v>59.73</v>
      </c>
      <c r="VV15" s="2">
        <v>62.98</v>
      </c>
      <c r="VW15" s="2">
        <v>63.41</v>
      </c>
      <c r="VX15" s="2">
        <v>64.29000000000001</v>
      </c>
      <c r="VY15" s="2">
        <v>63.85</v>
      </c>
      <c r="VZ15" s="2">
        <v>67</v>
      </c>
      <c r="WA15" s="2">
        <v>67.18000000000001</v>
      </c>
      <c r="WB15" s="2">
        <v>67.47</v>
      </c>
      <c r="WC15" s="2">
        <v>65.51000000000001</v>
      </c>
      <c r="WD15" s="2">
        <v>66.48</v>
      </c>
      <c r="WE15" s="2">
        <v>67.78</v>
      </c>
      <c r="WF15" s="2">
        <v>66.09999999999999</v>
      </c>
      <c r="WG15" s="2">
        <v>67.40000000000001</v>
      </c>
      <c r="WH15" s="2">
        <v>72.09999999999999</v>
      </c>
      <c r="WI15" s="2">
        <v>74.25</v>
      </c>
      <c r="WJ15" s="2">
        <v>71.94</v>
      </c>
      <c r="WK15" s="2">
        <v>72.87</v>
      </c>
      <c r="WL15" s="2">
        <v>73.67</v>
      </c>
      <c r="WM15" s="2">
        <v>71.92</v>
      </c>
      <c r="WN15" s="2">
        <v>76.11</v>
      </c>
      <c r="WO15" s="2">
        <v>73.19</v>
      </c>
      <c r="WP15" s="2">
        <v>74.04000000000001</v>
      </c>
      <c r="WQ15" s="2">
        <v>75.34999999999999</v>
      </c>
      <c r="WR15" s="2">
        <v>74.18000000000001</v>
      </c>
      <c r="WS15" s="2">
        <v>72.79000000000001</v>
      </c>
      <c r="WT15" s="2">
        <v>73.7</v>
      </c>
      <c r="WU15" s="2">
        <v>74.15000000000001</v>
      </c>
      <c r="WV15" s="2">
        <v>73.05</v>
      </c>
      <c r="WW15" s="2">
        <v>74.84999999999999</v>
      </c>
      <c r="WX15" s="2">
        <v>75.79000000000001</v>
      </c>
      <c r="WY15" s="2">
        <v>74.02</v>
      </c>
      <c r="WZ15" s="2">
        <v>76.95</v>
      </c>
      <c r="XA15" s="2">
        <v>74.25</v>
      </c>
      <c r="XB15" s="2">
        <v>74.78</v>
      </c>
      <c r="XC15" s="2">
        <v>78.42</v>
      </c>
      <c r="XD15" s="2">
        <v>75.13</v>
      </c>
      <c r="XE15" s="2">
        <v>77.33</v>
      </c>
      <c r="XF15" s="2">
        <v>77.66</v>
      </c>
      <c r="XG15" s="2">
        <v>77.25</v>
      </c>
      <c r="XH15" s="2">
        <v>77.45999999999999</v>
      </c>
      <c r="XI15" s="2">
        <v>78.51000000000001</v>
      </c>
      <c r="XJ15" s="2">
        <v>78.8</v>
      </c>
      <c r="XK15" s="2">
        <v>79.51000000000001</v>
      </c>
      <c r="XL15" s="2">
        <v>79.23</v>
      </c>
      <c r="XM15" s="2">
        <v>78.66</v>
      </c>
      <c r="XN15" s="2">
        <v>78.27</v>
      </c>
      <c r="XO15" s="2">
        <v>79.44</v>
      </c>
      <c r="XP15" s="2">
        <v>81.40000000000001</v>
      </c>
      <c r="XQ15" s="2">
        <v>81.3</v>
      </c>
      <c r="XR15" s="2">
        <v>80.63</v>
      </c>
      <c r="XS15" s="2">
        <v>80.31</v>
      </c>
      <c r="XT15" s="2">
        <v>79.89</v>
      </c>
      <c r="XU15" s="2">
        <v>85.03</v>
      </c>
      <c r="XV15" s="2">
        <v>83.14</v>
      </c>
      <c r="XW15" s="2">
        <v>83.94</v>
      </c>
      <c r="XX15" s="2">
        <v>84.92</v>
      </c>
      <c r="XY15" s="2">
        <v>86.08</v>
      </c>
      <c r="XZ15" s="2">
        <v>87.20999999999999</v>
      </c>
      <c r="YA15" s="2">
        <v>87.54000000000001</v>
      </c>
      <c r="YB15" s="2">
        <v>89.31999999999999</v>
      </c>
      <c r="YC15" s="2">
        <v>89.33</v>
      </c>
      <c r="YD15" s="2">
        <v>87.62</v>
      </c>
      <c r="YE15" s="2">
        <v>90.63</v>
      </c>
      <c r="YF15" s="2">
        <v>89.34</v>
      </c>
      <c r="YG15" s="2">
        <v>87.61</v>
      </c>
      <c r="YH15" s="2">
        <v>90.54000000000001</v>
      </c>
      <c r="YI15" s="2">
        <v>91.73</v>
      </c>
      <c r="YJ15" s="2">
        <v>92.52</v>
      </c>
      <c r="YK15" s="2">
        <v>93.73999999999999</v>
      </c>
      <c r="YL15" s="2">
        <v>92.67</v>
      </c>
      <c r="YM15" s="2">
        <v>97.87</v>
      </c>
      <c r="YN15" s="2">
        <v>98.93000000000001</v>
      </c>
      <c r="YO15" s="2">
        <v>103</v>
      </c>
      <c r="YP15" s="2">
        <v>105.14</v>
      </c>
      <c r="AGH15" s="2">
        <v>0.3</v>
      </c>
      <c r="AGI15" s="2">
        <v>-0.2</v>
      </c>
      <c r="AGJ15" s="2">
        <v>-0.9</v>
      </c>
      <c r="AGK15" s="2">
        <v>2</v>
      </c>
      <c r="AGL15" s="2">
        <v>-0.5</v>
      </c>
      <c r="AGM15" s="2">
        <v>-1.3</v>
      </c>
      <c r="AGN15" s="2">
        <v>0.7</v>
      </c>
      <c r="AGO15" s="2">
        <v>-0.9</v>
      </c>
      <c r="AGP15" s="2">
        <v>3.4</v>
      </c>
      <c r="AGQ15" s="2">
        <v>1.5</v>
      </c>
      <c r="AGR15" s="2">
        <v>-0.8</v>
      </c>
      <c r="AGS15" s="2">
        <v>0.6</v>
      </c>
      <c r="AGT15" s="2">
        <v>1.1</v>
      </c>
      <c r="AGU15" s="2">
        <v>-1.5</v>
      </c>
      <c r="AGV15" s="2">
        <v>0.6</v>
      </c>
      <c r="AGW15" s="2">
        <v>1.3</v>
      </c>
      <c r="AGX15" s="2">
        <v>0.8</v>
      </c>
      <c r="AGY15" s="2">
        <v>-0.4</v>
      </c>
      <c r="AGZ15" s="2">
        <v>0.5</v>
      </c>
      <c r="AHA15" s="2">
        <v>1</v>
      </c>
      <c r="AHB15" s="2">
        <v>0.5</v>
      </c>
      <c r="AHC15" s="2">
        <v>-0.8</v>
      </c>
      <c r="AHD15" s="2">
        <v>-1.1</v>
      </c>
      <c r="AHE15" s="2">
        <v>0.9</v>
      </c>
      <c r="AHF15" s="2">
        <v>-0.2</v>
      </c>
      <c r="AHG15" s="2">
        <v>-1</v>
      </c>
      <c r="AHH15" s="2">
        <v>0.2</v>
      </c>
      <c r="AHI15" s="2">
        <v>0.6</v>
      </c>
      <c r="AHJ15" s="2">
        <v>0.6</v>
      </c>
      <c r="AHK15" s="2">
        <v>0.4</v>
      </c>
      <c r="AHL15" s="2">
        <v>-2.5</v>
      </c>
      <c r="AHM15" s="2">
        <v>1.6</v>
      </c>
      <c r="AHN15" s="2">
        <v>0.1</v>
      </c>
      <c r="AHO15" s="2">
        <v>-0.3</v>
      </c>
      <c r="AHP15" s="2">
        <v>-2.4</v>
      </c>
      <c r="AHQ15" s="2">
        <v>5.2</v>
      </c>
      <c r="AHR15" s="2">
        <v>0.5</v>
      </c>
      <c r="AHS15" s="2">
        <v>1.4</v>
      </c>
      <c r="AHT15" s="2">
        <v>-3.9</v>
      </c>
      <c r="AHU15" s="2">
        <v>5.4</v>
      </c>
      <c r="AHV15" s="2">
        <v>0.7</v>
      </c>
      <c r="AHW15" s="2">
        <v>1.4</v>
      </c>
      <c r="AHX15" s="2">
        <v>-0.7</v>
      </c>
      <c r="AHY15" s="2">
        <v>4.9</v>
      </c>
      <c r="AHZ15" s="2">
        <v>0.3</v>
      </c>
      <c r="AIA15" s="2">
        <v>0.4</v>
      </c>
      <c r="AIB15" s="2">
        <v>-2.9</v>
      </c>
      <c r="AIC15" s="2">
        <v>1.5</v>
      </c>
      <c r="AID15" s="2">
        <v>2</v>
      </c>
      <c r="AIE15" s="2">
        <v>-2.5</v>
      </c>
      <c r="AIF15" s="2">
        <v>2</v>
      </c>
      <c r="AIG15" s="2">
        <v>7</v>
      </c>
      <c r="AIH15" s="2">
        <v>3</v>
      </c>
      <c r="AII15" s="2">
        <v>-3.1</v>
      </c>
      <c r="AIJ15" s="2">
        <v>1.3</v>
      </c>
      <c r="AIK15" s="2">
        <v>1.1</v>
      </c>
      <c r="AIL15" s="2">
        <v>-2.4</v>
      </c>
      <c r="AIM15" s="2">
        <v>5.8</v>
      </c>
      <c r="AIN15" s="2">
        <v>-3.8</v>
      </c>
      <c r="AIO15" s="2">
        <v>1.2</v>
      </c>
      <c r="AIP15" s="2">
        <v>1.8</v>
      </c>
      <c r="AIQ15" s="2">
        <v>-1.6</v>
      </c>
      <c r="AIR15" s="2">
        <v>-1.9</v>
      </c>
      <c r="AIS15" s="2">
        <v>1.3</v>
      </c>
      <c r="AIT15" s="2">
        <v>0.6</v>
      </c>
      <c r="AIU15" s="2">
        <v>-1.5</v>
      </c>
      <c r="AIV15" s="2">
        <v>2.5</v>
      </c>
      <c r="AIW15" s="2">
        <v>1.3</v>
      </c>
      <c r="AIX15" s="2">
        <v>-2.3</v>
      </c>
      <c r="AIY15" s="2">
        <v>4</v>
      </c>
      <c r="AIZ15" s="2">
        <v>-3.5</v>
      </c>
      <c r="AJA15" s="2">
        <v>0.7</v>
      </c>
      <c r="AJB15" s="2">
        <v>4.9</v>
      </c>
      <c r="AJC15" s="2">
        <v>-4.2</v>
      </c>
      <c r="AJD15" s="2">
        <v>2.9</v>
      </c>
      <c r="AJE15" s="2">
        <v>0.4</v>
      </c>
      <c r="AJF15" s="2">
        <v>-0.5</v>
      </c>
      <c r="AJG15" s="2">
        <v>0.3</v>
      </c>
      <c r="AJH15" s="2">
        <v>1.4</v>
      </c>
      <c r="AJI15" s="2">
        <v>0.4</v>
      </c>
      <c r="AJJ15" s="2">
        <v>0.9</v>
      </c>
      <c r="AJK15" s="2">
        <v>-0.4</v>
      </c>
      <c r="AJL15" s="2">
        <v>-0.7</v>
      </c>
      <c r="AJM15" s="2">
        <v>-0.5</v>
      </c>
      <c r="AJN15" s="2">
        <v>1.5</v>
      </c>
      <c r="AJO15" s="2">
        <v>2.5</v>
      </c>
      <c r="AJP15" s="2">
        <v>-0.1</v>
      </c>
      <c r="AJQ15" s="2">
        <v>-0.8</v>
      </c>
      <c r="AJR15" s="2">
        <v>-0.4</v>
      </c>
      <c r="AJS15" s="2">
        <v>-0.5</v>
      </c>
      <c r="AJT15" s="2">
        <v>6.4</v>
      </c>
      <c r="AJU15" s="2">
        <v>-2.2</v>
      </c>
      <c r="AJV15" s="2">
        <v>1</v>
      </c>
      <c r="AJW15" s="2">
        <v>1.2</v>
      </c>
      <c r="AJX15" s="2">
        <v>1.4</v>
      </c>
      <c r="AJY15" s="2">
        <v>1.3</v>
      </c>
      <c r="AJZ15" s="2">
        <v>0.4</v>
      </c>
      <c r="AKA15" s="2">
        <v>2</v>
      </c>
      <c r="AKB15" s="2">
        <v>0</v>
      </c>
      <c r="AKC15" s="2">
        <v>-1.9</v>
      </c>
      <c r="AKD15" s="2">
        <v>3.4</v>
      </c>
      <c r="AKE15" s="2">
        <v>-1.4</v>
      </c>
      <c r="AKF15" s="2">
        <v>-1.9</v>
      </c>
      <c r="AKG15" s="2">
        <v>3.3</v>
      </c>
      <c r="AKH15" s="2">
        <v>1.3</v>
      </c>
      <c r="AKI15" s="2">
        <v>0.9</v>
      </c>
      <c r="AKJ15" s="2">
        <v>1.3</v>
      </c>
      <c r="AKK15" s="2">
        <v>-1.1</v>
      </c>
      <c r="AKL15" s="2">
        <v>5.6</v>
      </c>
      <c r="AKM15" s="2">
        <v>1.1</v>
      </c>
      <c r="AKN15" s="2">
        <v>4.1</v>
      </c>
      <c r="AKO15" s="2">
        <v>2.1</v>
      </c>
      <c r="AKP15" s="2">
        <v>0.84</v>
      </c>
      <c r="AKQ15" s="2">
        <v>0.87</v>
      </c>
      <c r="AKR15" s="2">
        <v>0.89</v>
      </c>
    </row>
    <row r="16">
      <c r="A16" t="inlineStr">
        <is>
          <t>Rents</t>
        </is>
      </c>
      <c r="B16" t="inlineStr">
        <is>
          <t>Housing</t>
        </is>
      </c>
      <c r="C16">
        <v>2</v>
      </c>
      <c r="D16">
        <v>6.6</v>
      </c>
      <c r="E16" s="3">
        <f>D16/21.39*0.2139</f>
        <v>0.066</v>
      </c>
      <c r="F16" s="3">
        <f>E16-D16/100</f>
        <v>0.0</v>
      </c>
      <c r="G16" s="3">
        <f>D16/21.39</f>
        <v>0.3085553997194951</v>
      </c>
      <c r="BN16" s="2">
        <v>83.19</v>
      </c>
      <c r="BO16" s="2">
        <v>83.63</v>
      </c>
      <c r="BP16" s="2">
        <v>84.04000000000001</v>
      </c>
      <c r="BQ16" s="2">
        <v>84.45999999999999</v>
      </c>
      <c r="BR16" s="2">
        <v>84.65000000000001</v>
      </c>
      <c r="BS16" s="2">
        <v>85.06999999999999</v>
      </c>
      <c r="BT16" s="2">
        <v>85.61</v>
      </c>
      <c r="BU16" s="2">
        <v>86.23999999999999</v>
      </c>
      <c r="BV16" s="2">
        <v>86.61</v>
      </c>
      <c r="BW16" s="2">
        <v>87.28</v>
      </c>
      <c r="BX16" s="2">
        <v>88.03</v>
      </c>
      <c r="BY16" s="2">
        <v>88.81999999999999</v>
      </c>
      <c r="BZ16" s="2">
        <v>89.52</v>
      </c>
      <c r="CA16" s="2">
        <v>90.16</v>
      </c>
      <c r="CB16" s="2">
        <v>90.34999999999999</v>
      </c>
      <c r="CC16" s="2">
        <v>90.06</v>
      </c>
      <c r="CD16" s="2">
        <v>90.68000000000001</v>
      </c>
      <c r="CE16" s="2">
        <v>91.37</v>
      </c>
      <c r="CF16" s="2">
        <v>92.01000000000001</v>
      </c>
      <c r="CG16" s="2">
        <v>92.72</v>
      </c>
      <c r="CH16" s="2">
        <v>93.3</v>
      </c>
      <c r="CI16" s="2">
        <v>93.81</v>
      </c>
      <c r="CJ16" s="2">
        <v>94.53</v>
      </c>
      <c r="CK16" s="2">
        <v>95.11</v>
      </c>
      <c r="CL16" s="2">
        <v>95.7</v>
      </c>
      <c r="CM16" s="2">
        <v>96.23</v>
      </c>
      <c r="CN16" s="2">
        <v>96.34999999999999</v>
      </c>
      <c r="CO16" s="2">
        <v>96.14</v>
      </c>
      <c r="CP16" s="2">
        <v>96.68000000000001</v>
      </c>
      <c r="CQ16" s="2">
        <v>97.01000000000001</v>
      </c>
      <c r="CR16" s="2">
        <v>97.37</v>
      </c>
      <c r="CS16" s="2">
        <v>97.83</v>
      </c>
      <c r="CT16" s="2">
        <v>98.14</v>
      </c>
      <c r="CU16" s="2">
        <v>98.45</v>
      </c>
      <c r="CV16" s="2">
        <v>98.81999999999999</v>
      </c>
      <c r="CW16" s="2">
        <v>99.11</v>
      </c>
      <c r="CX16" s="2">
        <v>99.44</v>
      </c>
      <c r="CY16" s="2">
        <v>99.77</v>
      </c>
      <c r="CZ16" s="2">
        <v>100</v>
      </c>
      <c r="DA16" s="2">
        <v>100.18</v>
      </c>
      <c r="DB16" s="2">
        <v>100.58</v>
      </c>
      <c r="DC16" s="2">
        <v>100.83</v>
      </c>
      <c r="DD16" s="2">
        <v>101.15</v>
      </c>
      <c r="DE16" s="2">
        <v>101.52</v>
      </c>
      <c r="DF16" s="2">
        <v>101.73</v>
      </c>
      <c r="DG16" s="2">
        <v>101.9</v>
      </c>
      <c r="DH16" s="2">
        <v>102.33</v>
      </c>
      <c r="DI16" s="2">
        <v>102.64</v>
      </c>
      <c r="DJ16" s="2">
        <v>103</v>
      </c>
      <c r="FQ16" s="2">
        <v>7.6</v>
      </c>
      <c r="FR16" s="2">
        <v>7.8</v>
      </c>
      <c r="FS16" s="2">
        <v>7.5</v>
      </c>
      <c r="FT16" s="2">
        <v>6.6</v>
      </c>
      <c r="FU16" s="2">
        <v>7.1</v>
      </c>
      <c r="FV16" s="2">
        <v>7.4</v>
      </c>
      <c r="FW16" s="2">
        <v>7.5</v>
      </c>
      <c r="FX16" s="2">
        <v>7.5</v>
      </c>
      <c r="FY16" s="2">
        <v>7.7</v>
      </c>
      <c r="FZ16" s="2">
        <v>7.5</v>
      </c>
      <c r="GA16" s="2">
        <v>7.4</v>
      </c>
      <c r="GB16" s="2">
        <v>7.1</v>
      </c>
      <c r="GC16" s="2">
        <v>6.9</v>
      </c>
      <c r="GD16" s="2">
        <v>6.7</v>
      </c>
      <c r="GE16" s="2">
        <v>6.6</v>
      </c>
      <c r="GF16" s="2">
        <v>6.8</v>
      </c>
      <c r="GG16" s="2">
        <v>6.6</v>
      </c>
      <c r="GH16" s="2">
        <v>6.2</v>
      </c>
      <c r="GI16" s="2">
        <v>5.8</v>
      </c>
      <c r="GJ16" s="2">
        <v>5.5</v>
      </c>
      <c r="GK16" s="2">
        <v>5.2</v>
      </c>
      <c r="GL16" s="2">
        <v>4.9</v>
      </c>
      <c r="GM16" s="2">
        <v>4.5</v>
      </c>
      <c r="GN16" s="2">
        <v>4.2</v>
      </c>
      <c r="GO16" s="2">
        <v>3.9</v>
      </c>
      <c r="GP16" s="2">
        <v>3.7</v>
      </c>
      <c r="GQ16" s="2">
        <v>3.8</v>
      </c>
      <c r="GR16" s="2">
        <v>4.2</v>
      </c>
      <c r="GS16" s="2">
        <v>4</v>
      </c>
      <c r="GT16" s="2">
        <v>3.9</v>
      </c>
      <c r="GU16" s="2">
        <v>3.9</v>
      </c>
      <c r="GV16" s="2">
        <v>3.8</v>
      </c>
      <c r="GW16" s="2">
        <v>3.7</v>
      </c>
      <c r="GX16" s="2">
        <v>3.5</v>
      </c>
      <c r="GY16" s="2">
        <v>3.6</v>
      </c>
      <c r="GZ16" s="2">
        <v>3.6</v>
      </c>
      <c r="HA16" s="2">
        <v>3.6</v>
      </c>
      <c r="JH16" s="2">
        <v>0.5</v>
      </c>
      <c r="JI16" s="2">
        <v>0.5</v>
      </c>
      <c r="JJ16" s="2">
        <v>0.5</v>
      </c>
      <c r="JK16" s="2">
        <v>0.2</v>
      </c>
      <c r="JL16" s="2">
        <v>0.5</v>
      </c>
      <c r="JM16" s="2">
        <v>0.6</v>
      </c>
      <c r="JN16" s="2">
        <v>0.7</v>
      </c>
      <c r="JO16" s="2">
        <v>0.4</v>
      </c>
      <c r="JP16" s="2">
        <v>0.8</v>
      </c>
      <c r="JQ16" s="2">
        <v>0.9</v>
      </c>
      <c r="JR16" s="2">
        <v>0.9</v>
      </c>
      <c r="JS16" s="2">
        <v>0.8</v>
      </c>
      <c r="JT16" s="2">
        <v>0.7</v>
      </c>
      <c r="JU16" s="2">
        <v>0.2</v>
      </c>
      <c r="JV16" s="2">
        <v>-0.3</v>
      </c>
      <c r="JW16" s="2">
        <v>0.7</v>
      </c>
      <c r="JX16" s="2">
        <v>0.8</v>
      </c>
      <c r="JY16" s="2">
        <v>0.7</v>
      </c>
      <c r="JZ16" s="2">
        <v>0.8</v>
      </c>
      <c r="KA16" s="2">
        <v>0.6</v>
      </c>
      <c r="KB16" s="2">
        <v>0.5</v>
      </c>
      <c r="KC16" s="2">
        <v>0.8</v>
      </c>
      <c r="KD16" s="2">
        <v>0.6</v>
      </c>
      <c r="KE16" s="2">
        <v>0.6</v>
      </c>
      <c r="KF16" s="2">
        <v>0.6</v>
      </c>
      <c r="KG16" s="2">
        <v>0.1</v>
      </c>
      <c r="KH16" s="2">
        <v>-0.2</v>
      </c>
      <c r="KI16" s="2">
        <v>0.6</v>
      </c>
      <c r="KJ16" s="2">
        <v>0.3</v>
      </c>
      <c r="KK16" s="2">
        <v>0.4</v>
      </c>
      <c r="KL16" s="2">
        <v>0.5</v>
      </c>
      <c r="KM16" s="2">
        <v>0.3</v>
      </c>
      <c r="KN16" s="2">
        <v>0.3</v>
      </c>
      <c r="KO16" s="2">
        <v>0.4</v>
      </c>
      <c r="KP16" s="2">
        <v>0.3</v>
      </c>
      <c r="KQ16" s="2">
        <v>0.3</v>
      </c>
      <c r="KR16" s="2">
        <v>0.3</v>
      </c>
      <c r="KS16" s="2">
        <v>0.2</v>
      </c>
      <c r="KT16" s="2">
        <v>0.2</v>
      </c>
      <c r="KU16" s="2">
        <v>0.4</v>
      </c>
      <c r="KV16" s="2">
        <v>0.2</v>
      </c>
      <c r="KW16" s="2">
        <v>0.3</v>
      </c>
      <c r="KX16" s="2">
        <v>0.4</v>
      </c>
      <c r="KY16" s="2">
        <v>0.2</v>
      </c>
      <c r="KZ16" s="2">
        <v>0.2</v>
      </c>
      <c r="LA16" s="2">
        <v>0.4</v>
      </c>
      <c r="LB16" s="2">
        <v>0.3</v>
      </c>
      <c r="LC16" s="2">
        <v>0.4</v>
      </c>
      <c r="LD16" s="2">
        <v>6.42</v>
      </c>
      <c r="LE16" s="2">
        <v>6.45</v>
      </c>
      <c r="LF16" s="2">
        <v>6.48</v>
      </c>
      <c r="LG16" s="2">
        <v>6.5</v>
      </c>
      <c r="LH16" s="2">
        <v>6.52</v>
      </c>
      <c r="LI16" s="2">
        <v>6.54</v>
      </c>
      <c r="LJ16" s="2">
        <v>6.56</v>
      </c>
      <c r="LK16" s="2">
        <v>6.58</v>
      </c>
      <c r="LL16" s="2">
        <v>6.6</v>
      </c>
      <c r="LM16" s="2">
        <v>6.62</v>
      </c>
      <c r="LN16" s="2">
        <v>6.63</v>
      </c>
      <c r="LO16" s="2">
        <v>6.66</v>
      </c>
      <c r="LP16" s="2">
        <v>6.68</v>
      </c>
      <c r="LQ16" s="2">
        <v>6.7</v>
      </c>
      <c r="LR16" s="2">
        <v>6.72</v>
      </c>
      <c r="LS16" s="2">
        <v>6.73</v>
      </c>
      <c r="LT16" s="2">
        <v>6.75</v>
      </c>
      <c r="LU16" s="2">
        <v>6.77</v>
      </c>
      <c r="LV16" s="2">
        <v>6.8</v>
      </c>
      <c r="LW16" s="2">
        <v>6.82</v>
      </c>
      <c r="LX16" s="2">
        <v>0.03</v>
      </c>
      <c r="LY16" s="2">
        <v>0.03</v>
      </c>
      <c r="LZ16" s="2">
        <v>0.02</v>
      </c>
      <c r="MA16" s="2">
        <v>0.02</v>
      </c>
      <c r="MB16" s="2">
        <v>0.02</v>
      </c>
      <c r="MC16" s="2">
        <v>0.02</v>
      </c>
      <c r="MD16" s="2">
        <v>0.02</v>
      </c>
      <c r="ME16" s="2">
        <v>0.02</v>
      </c>
      <c r="MF16" s="2">
        <v>0.02</v>
      </c>
      <c r="MG16" s="2">
        <v>0.01</v>
      </c>
      <c r="MH16" s="2">
        <v>0.03</v>
      </c>
      <c r="MI16" s="2">
        <v>0.02</v>
      </c>
      <c r="MJ16" s="2">
        <v>0.02</v>
      </c>
      <c r="MK16" s="2">
        <v>0.02</v>
      </c>
      <c r="ML16" s="2">
        <v>0.01</v>
      </c>
      <c r="MM16" s="2">
        <v>0.02</v>
      </c>
      <c r="MN16" s="2">
        <v>0.02</v>
      </c>
      <c r="MO16" s="2">
        <v>0.03</v>
      </c>
      <c r="MP16" s="2">
        <v>0.02</v>
      </c>
      <c r="QI16" s="2">
        <v>7.07</v>
      </c>
      <c r="QJ16" s="2">
        <v>7.18</v>
      </c>
      <c r="QK16" s="2">
        <v>7.29</v>
      </c>
      <c r="QL16" s="2">
        <v>7.4</v>
      </c>
      <c r="QM16" s="2">
        <v>7.55</v>
      </c>
      <c r="QN16" s="2">
        <v>7.8</v>
      </c>
      <c r="QO16" s="2">
        <v>7.91</v>
      </c>
      <c r="QP16" s="2">
        <v>8.17</v>
      </c>
      <c r="QQ16" s="2">
        <v>8.5</v>
      </c>
      <c r="QR16" s="2">
        <v>8.83</v>
      </c>
      <c r="QS16" s="2">
        <v>9.119999999999999</v>
      </c>
      <c r="QT16" s="2">
        <v>9.48</v>
      </c>
      <c r="QU16" s="2">
        <v>9.92</v>
      </c>
      <c r="QV16" s="2">
        <v>10.28</v>
      </c>
      <c r="QW16" s="2">
        <v>10.61</v>
      </c>
      <c r="QX16" s="2">
        <v>10.9</v>
      </c>
      <c r="QY16" s="2">
        <v>11.38</v>
      </c>
      <c r="QZ16" s="2">
        <v>11.71</v>
      </c>
      <c r="RA16" s="2">
        <v>12</v>
      </c>
      <c r="RB16" s="2">
        <v>12.25</v>
      </c>
      <c r="RC16" s="2">
        <v>12.51</v>
      </c>
      <c r="RD16" s="2">
        <v>12.84</v>
      </c>
      <c r="RE16" s="2">
        <v>13.06</v>
      </c>
      <c r="RF16" s="2">
        <v>13.27</v>
      </c>
      <c r="RG16" s="2">
        <v>13.57</v>
      </c>
      <c r="RH16" s="2">
        <v>13.86</v>
      </c>
      <c r="RI16" s="2">
        <v>14.15</v>
      </c>
      <c r="RJ16" s="2">
        <v>14.4</v>
      </c>
      <c r="RK16" s="2">
        <v>14.7</v>
      </c>
      <c r="RL16" s="2">
        <v>14.92</v>
      </c>
      <c r="RM16" s="2">
        <v>15.1</v>
      </c>
      <c r="RN16" s="2">
        <v>15.35</v>
      </c>
      <c r="RO16" s="2">
        <v>15.72</v>
      </c>
      <c r="RP16" s="2">
        <v>15.94</v>
      </c>
      <c r="RQ16" s="2">
        <v>16.23</v>
      </c>
      <c r="RR16" s="2">
        <v>16.56</v>
      </c>
      <c r="RS16" s="2">
        <v>16.99</v>
      </c>
      <c r="RT16" s="2">
        <v>17.43</v>
      </c>
      <c r="RU16" s="2">
        <v>17.83</v>
      </c>
      <c r="RV16" s="2">
        <v>18.45</v>
      </c>
      <c r="RW16" s="2">
        <v>19.18</v>
      </c>
      <c r="RX16" s="2">
        <v>19.58</v>
      </c>
      <c r="RY16" s="2">
        <v>19.91</v>
      </c>
      <c r="RZ16" s="2">
        <v>20.28</v>
      </c>
      <c r="SA16" s="2">
        <v>20.6</v>
      </c>
      <c r="SB16" s="2">
        <v>20.93</v>
      </c>
      <c r="SC16" s="2">
        <v>21.26</v>
      </c>
      <c r="SD16" s="2">
        <v>21.74</v>
      </c>
      <c r="SE16" s="2">
        <v>22.14</v>
      </c>
      <c r="SF16" s="2">
        <v>22.54</v>
      </c>
      <c r="SG16" s="2">
        <v>22.94</v>
      </c>
      <c r="SH16" s="2">
        <v>23.41</v>
      </c>
      <c r="SI16" s="2">
        <v>24.18</v>
      </c>
      <c r="SJ16" s="2">
        <v>24.69</v>
      </c>
      <c r="SK16" s="2">
        <v>25.24</v>
      </c>
      <c r="SL16" s="2">
        <v>25.93</v>
      </c>
      <c r="SM16" s="2">
        <v>26.62</v>
      </c>
      <c r="SN16" s="2">
        <v>27.21</v>
      </c>
      <c r="SO16" s="2">
        <v>27.83</v>
      </c>
      <c r="SP16" s="2">
        <v>28.48</v>
      </c>
      <c r="SQ16" s="2">
        <v>29.43</v>
      </c>
      <c r="SR16" s="2">
        <v>30.12</v>
      </c>
      <c r="SS16" s="2">
        <v>31</v>
      </c>
      <c r="ST16" s="2">
        <v>31.76</v>
      </c>
      <c r="SU16" s="2">
        <v>32.75</v>
      </c>
      <c r="SV16" s="2">
        <v>33.51</v>
      </c>
      <c r="SW16" s="2">
        <v>34.32</v>
      </c>
      <c r="SX16" s="2">
        <v>34.97</v>
      </c>
      <c r="SY16" s="2">
        <v>35.7</v>
      </c>
      <c r="SZ16" s="2">
        <v>36.32</v>
      </c>
      <c r="TA16" s="2">
        <v>36.72</v>
      </c>
      <c r="TB16" s="2">
        <v>37.16</v>
      </c>
      <c r="TC16" s="2">
        <v>37.67</v>
      </c>
      <c r="TD16" s="2">
        <v>38.15</v>
      </c>
      <c r="TE16" s="2">
        <v>38.36</v>
      </c>
      <c r="TF16" s="2">
        <v>38.66</v>
      </c>
      <c r="TG16" s="2">
        <v>38.8</v>
      </c>
      <c r="TH16" s="2">
        <v>38.88</v>
      </c>
      <c r="TI16" s="2">
        <v>38.95</v>
      </c>
      <c r="TJ16" s="2">
        <v>38.98</v>
      </c>
      <c r="TK16" s="2">
        <v>39.06</v>
      </c>
      <c r="TL16" s="2">
        <v>39.09</v>
      </c>
      <c r="TM16" s="2">
        <v>39.09</v>
      </c>
      <c r="TN16" s="2">
        <v>39.17</v>
      </c>
      <c r="TO16" s="2">
        <v>39.2</v>
      </c>
      <c r="TP16" s="2">
        <v>39.35</v>
      </c>
      <c r="TQ16" s="2">
        <v>39.39</v>
      </c>
      <c r="TR16" s="2">
        <v>39.46</v>
      </c>
      <c r="TS16" s="2">
        <v>39.53</v>
      </c>
      <c r="TT16" s="2">
        <v>39.6</v>
      </c>
      <c r="TU16" s="2">
        <v>39.71</v>
      </c>
      <c r="TV16" s="2">
        <v>40.04</v>
      </c>
      <c r="TW16" s="2">
        <v>40.3</v>
      </c>
      <c r="TX16" s="2">
        <v>40.55</v>
      </c>
      <c r="TY16" s="2">
        <v>40.88</v>
      </c>
      <c r="TZ16" s="2">
        <v>41.21</v>
      </c>
      <c r="UA16" s="2">
        <v>41.54</v>
      </c>
      <c r="UB16" s="2">
        <v>41.83</v>
      </c>
      <c r="UC16" s="2">
        <v>42.05</v>
      </c>
      <c r="UD16" s="2">
        <v>42.45</v>
      </c>
      <c r="UE16" s="2">
        <v>42.74</v>
      </c>
      <c r="UF16" s="2">
        <v>43.07</v>
      </c>
      <c r="UG16" s="2">
        <v>43.32</v>
      </c>
      <c r="UH16" s="2">
        <v>43.76</v>
      </c>
      <c r="UI16" s="2">
        <v>44.13</v>
      </c>
      <c r="UJ16" s="2">
        <v>44.31</v>
      </c>
      <c r="UK16" s="2">
        <v>44.6</v>
      </c>
      <c r="UL16" s="2">
        <v>44.89</v>
      </c>
      <c r="UM16" s="2">
        <v>45.17</v>
      </c>
      <c r="UN16" s="2">
        <v>45.48</v>
      </c>
      <c r="UO16" s="2">
        <v>45.88</v>
      </c>
      <c r="UP16" s="2">
        <v>46.32</v>
      </c>
      <c r="UQ16" s="2">
        <v>46.64</v>
      </c>
      <c r="UR16" s="2">
        <v>46.91</v>
      </c>
      <c r="US16" s="2">
        <v>47.32</v>
      </c>
      <c r="UT16" s="2">
        <v>47.79</v>
      </c>
      <c r="UU16" s="2">
        <v>48.09</v>
      </c>
      <c r="UV16" s="2">
        <v>48.38</v>
      </c>
      <c r="UW16" s="2">
        <v>48.61</v>
      </c>
      <c r="UX16" s="2">
        <v>49.02</v>
      </c>
      <c r="UY16" s="2">
        <v>49.2</v>
      </c>
      <c r="UZ16" s="2">
        <v>49.39</v>
      </c>
      <c r="VA16" s="2">
        <v>49.54</v>
      </c>
      <c r="VB16" s="2">
        <v>49.8</v>
      </c>
      <c r="VC16" s="2">
        <v>50.11</v>
      </c>
      <c r="VD16" s="2">
        <v>50.5</v>
      </c>
      <c r="VE16" s="2">
        <v>50.8</v>
      </c>
      <c r="VF16" s="2">
        <v>51.15</v>
      </c>
      <c r="VG16" s="2">
        <v>51.4</v>
      </c>
      <c r="VH16" s="2">
        <v>51.62</v>
      </c>
      <c r="VI16" s="2">
        <v>51.87</v>
      </c>
      <c r="VJ16" s="2">
        <v>52.23</v>
      </c>
      <c r="VK16" s="2">
        <v>52.55</v>
      </c>
      <c r="VL16" s="2">
        <v>52.92</v>
      </c>
      <c r="VM16" s="2">
        <v>53.32</v>
      </c>
      <c r="VN16" s="2">
        <v>53.81</v>
      </c>
      <c r="VO16" s="2">
        <v>54.33</v>
      </c>
      <c r="VP16" s="2">
        <v>54.88</v>
      </c>
      <c r="VQ16" s="2">
        <v>55.66</v>
      </c>
      <c r="VR16" s="2">
        <v>56.58</v>
      </c>
      <c r="VS16" s="2">
        <v>57.48</v>
      </c>
      <c r="VT16" s="2">
        <v>58.44</v>
      </c>
      <c r="VU16" s="2">
        <v>59.58</v>
      </c>
      <c r="VV16" s="2">
        <v>60.91</v>
      </c>
      <c r="VW16" s="2">
        <v>62.17</v>
      </c>
      <c r="VX16" s="2">
        <v>63.33</v>
      </c>
      <c r="VY16" s="2">
        <v>64.39</v>
      </c>
      <c r="VZ16" s="2">
        <v>65.3</v>
      </c>
      <c r="WA16" s="2">
        <v>66.04000000000001</v>
      </c>
      <c r="WB16" s="2">
        <v>66.68000000000001</v>
      </c>
      <c r="WC16" s="2">
        <v>67.34</v>
      </c>
      <c r="WD16" s="2">
        <v>68.13</v>
      </c>
      <c r="WE16" s="2">
        <v>68.87</v>
      </c>
      <c r="WF16" s="2">
        <v>69.47</v>
      </c>
      <c r="WG16" s="2">
        <v>70.39</v>
      </c>
      <c r="WH16" s="2">
        <v>71.18000000000001</v>
      </c>
      <c r="WI16" s="2">
        <v>72.05</v>
      </c>
      <c r="WJ16" s="2">
        <v>72.78</v>
      </c>
      <c r="WK16" s="2">
        <v>73.48999999999999</v>
      </c>
      <c r="WL16" s="2">
        <v>74.31</v>
      </c>
      <c r="WM16" s="2">
        <v>74.93000000000001</v>
      </c>
      <c r="WN16" s="2">
        <v>75.5</v>
      </c>
      <c r="WO16" s="2">
        <v>76.09999999999999</v>
      </c>
      <c r="WP16" s="2">
        <v>76.88</v>
      </c>
      <c r="WQ16" s="2">
        <v>77.34999999999999</v>
      </c>
      <c r="WR16" s="2">
        <v>77.78</v>
      </c>
      <c r="WS16" s="2">
        <v>78.26000000000001</v>
      </c>
      <c r="WT16" s="2">
        <v>78.75</v>
      </c>
      <c r="WU16" s="2">
        <v>79.22</v>
      </c>
      <c r="WV16" s="2">
        <v>79.63</v>
      </c>
      <c r="WW16" s="2">
        <v>79.87</v>
      </c>
      <c r="WX16" s="2">
        <v>80.17</v>
      </c>
      <c r="WY16" s="2">
        <v>80.42</v>
      </c>
      <c r="WZ16" s="2">
        <v>80.58</v>
      </c>
      <c r="XA16" s="2">
        <v>80.59999999999999</v>
      </c>
      <c r="XB16" s="2">
        <v>80.76000000000001</v>
      </c>
      <c r="XC16" s="2">
        <v>81</v>
      </c>
      <c r="XD16" s="2">
        <v>81.06999999999999</v>
      </c>
      <c r="XE16" s="2">
        <v>81.13</v>
      </c>
      <c r="XF16" s="2">
        <v>81.27</v>
      </c>
      <c r="XG16" s="2">
        <v>81.43000000000001</v>
      </c>
      <c r="XH16" s="2">
        <v>81.62</v>
      </c>
      <c r="XI16" s="2">
        <v>81.83</v>
      </c>
      <c r="XJ16" s="2">
        <v>81.83</v>
      </c>
      <c r="XK16" s="2">
        <v>81.95999999999999</v>
      </c>
      <c r="XL16" s="2">
        <v>82.09</v>
      </c>
      <c r="XM16" s="2">
        <v>82.15000000000001</v>
      </c>
      <c r="XN16" s="2">
        <v>82.19</v>
      </c>
      <c r="XO16" s="2">
        <v>82.23</v>
      </c>
      <c r="XP16" s="2">
        <v>82.23999999999999</v>
      </c>
      <c r="XQ16" s="2">
        <v>82.29000000000001</v>
      </c>
      <c r="XR16" s="2">
        <v>81.22</v>
      </c>
      <c r="XS16" s="2">
        <v>81.03</v>
      </c>
      <c r="XT16" s="2">
        <v>81.14</v>
      </c>
      <c r="XU16" s="2">
        <v>81.14</v>
      </c>
      <c r="XV16" s="2">
        <v>81.19</v>
      </c>
      <c r="XW16" s="2">
        <v>81.31999999999999</v>
      </c>
      <c r="XX16" s="2">
        <v>81.40000000000001</v>
      </c>
      <c r="XY16" s="2">
        <v>81.95</v>
      </c>
      <c r="XZ16" s="2">
        <v>82.48999999999999</v>
      </c>
      <c r="YA16" s="2">
        <v>83.62</v>
      </c>
      <c r="YB16" s="2">
        <v>84.62</v>
      </c>
      <c r="YC16" s="2">
        <v>85.97</v>
      </c>
      <c r="YD16" s="2">
        <v>88.09999999999999</v>
      </c>
      <c r="YE16" s="2">
        <v>90.01000000000001</v>
      </c>
      <c r="YF16" s="2">
        <v>90.8</v>
      </c>
      <c r="YG16" s="2">
        <v>92.7</v>
      </c>
      <c r="YH16" s="2">
        <v>94.5</v>
      </c>
      <c r="YI16" s="2">
        <v>96.09</v>
      </c>
      <c r="YJ16" s="2">
        <v>96.64</v>
      </c>
      <c r="YK16" s="2">
        <v>97.79000000000001</v>
      </c>
      <c r="YL16" s="2">
        <v>98.79000000000001</v>
      </c>
      <c r="YM16" s="2">
        <v>99.73999999999999</v>
      </c>
      <c r="YN16" s="2">
        <v>100.53</v>
      </c>
      <c r="YO16" s="2">
        <v>101.46</v>
      </c>
      <c r="YP16" s="2">
        <v>102.29</v>
      </c>
      <c r="ACI16" s="2">
        <v>1.6</v>
      </c>
      <c r="ACJ16" s="2">
        <v>1.5</v>
      </c>
      <c r="ACK16" s="2">
        <v>1.5</v>
      </c>
      <c r="ACL16" s="2">
        <v>2</v>
      </c>
      <c r="ACM16" s="2">
        <v>3.3</v>
      </c>
      <c r="ACN16" s="2">
        <v>1.4</v>
      </c>
      <c r="ACO16" s="2">
        <v>3.3</v>
      </c>
      <c r="ACP16" s="2">
        <v>4</v>
      </c>
      <c r="ACQ16" s="2">
        <v>3.9</v>
      </c>
      <c r="ACR16" s="2">
        <v>3.3</v>
      </c>
      <c r="ACS16" s="2">
        <v>3.9</v>
      </c>
      <c r="ACT16" s="2">
        <v>4.6</v>
      </c>
      <c r="ACU16" s="2">
        <v>3.6</v>
      </c>
      <c r="ACV16" s="2">
        <v>3.2</v>
      </c>
      <c r="ACW16" s="2">
        <v>2.7</v>
      </c>
      <c r="ACX16" s="2">
        <v>4.4</v>
      </c>
      <c r="ACY16" s="2">
        <v>2.9</v>
      </c>
      <c r="ACZ16" s="2">
        <v>2.5</v>
      </c>
      <c r="ADA16" s="2">
        <v>2.1</v>
      </c>
      <c r="ADB16" s="2">
        <v>2.1</v>
      </c>
      <c r="ADC16" s="2">
        <v>2.6</v>
      </c>
      <c r="ADD16" s="2">
        <v>1.7</v>
      </c>
      <c r="ADE16" s="2">
        <v>1.6</v>
      </c>
      <c r="ADF16" s="2">
        <v>2.3</v>
      </c>
      <c r="ADG16" s="2">
        <v>2.1</v>
      </c>
      <c r="ADH16" s="2">
        <v>2.1</v>
      </c>
      <c r="ADI16" s="2">
        <v>1.8</v>
      </c>
      <c r="ADJ16" s="2">
        <v>2.1</v>
      </c>
      <c r="ADK16" s="2">
        <v>1.5</v>
      </c>
      <c r="ADL16" s="2">
        <v>1.2</v>
      </c>
      <c r="ADM16" s="2">
        <v>1.7</v>
      </c>
      <c r="ADN16" s="2">
        <v>2.4</v>
      </c>
      <c r="ADO16" s="2">
        <v>1.4</v>
      </c>
      <c r="ADP16" s="2">
        <v>1.8</v>
      </c>
      <c r="ADQ16" s="2">
        <v>2</v>
      </c>
      <c r="ADR16" s="2">
        <v>2.6</v>
      </c>
      <c r="ADS16" s="2">
        <v>2.6</v>
      </c>
      <c r="ADT16" s="2">
        <v>2.3</v>
      </c>
      <c r="ADU16" s="2">
        <v>3.5</v>
      </c>
      <c r="ADV16" s="2">
        <v>4</v>
      </c>
      <c r="ADW16" s="2">
        <v>2.1</v>
      </c>
      <c r="ADX16" s="2">
        <v>1.7</v>
      </c>
      <c r="ADY16" s="2">
        <v>1.9</v>
      </c>
      <c r="ADZ16" s="2">
        <v>1.6</v>
      </c>
      <c r="AEA16" s="2">
        <v>1.6</v>
      </c>
      <c r="AEB16" s="2">
        <v>1.6</v>
      </c>
      <c r="AEC16" s="2">
        <v>2.3</v>
      </c>
      <c r="AED16" s="2">
        <v>1.8</v>
      </c>
      <c r="AEE16" s="2">
        <v>1.8</v>
      </c>
      <c r="AEF16" s="2">
        <v>1.8</v>
      </c>
      <c r="AEG16" s="2">
        <v>2</v>
      </c>
      <c r="AEH16" s="2">
        <v>3.3</v>
      </c>
      <c r="AEI16" s="2">
        <v>2.1</v>
      </c>
      <c r="AEJ16" s="2">
        <v>2.2</v>
      </c>
      <c r="AEK16" s="2">
        <v>2.7</v>
      </c>
      <c r="AEL16" s="2">
        <v>2.7</v>
      </c>
      <c r="AEM16" s="2">
        <v>2.2</v>
      </c>
      <c r="AEN16" s="2">
        <v>2.3</v>
      </c>
      <c r="AEO16" s="2">
        <v>2.3</v>
      </c>
      <c r="AEP16" s="2">
        <v>3.3</v>
      </c>
      <c r="AEQ16" s="2">
        <v>2.3</v>
      </c>
      <c r="AER16" s="2">
        <v>2.9</v>
      </c>
      <c r="AES16" s="2">
        <v>2.5</v>
      </c>
      <c r="AET16" s="2">
        <v>3.1</v>
      </c>
      <c r="AEU16" s="2">
        <v>2.3</v>
      </c>
      <c r="AEV16" s="2">
        <v>2.4</v>
      </c>
      <c r="AEW16" s="2">
        <v>1.9</v>
      </c>
      <c r="AEX16" s="2">
        <v>2.1</v>
      </c>
      <c r="AEY16" s="2">
        <v>1.7</v>
      </c>
      <c r="AEZ16" s="2">
        <v>1.1</v>
      </c>
      <c r="AFA16" s="2">
        <v>1.2</v>
      </c>
      <c r="AFB16" s="2">
        <v>1.4</v>
      </c>
      <c r="AFC16" s="2">
        <v>1.3</v>
      </c>
      <c r="AFD16" s="2">
        <v>0.6</v>
      </c>
      <c r="AFE16" s="2">
        <v>0.8</v>
      </c>
      <c r="AFF16" s="2">
        <v>0.4</v>
      </c>
      <c r="AFG16" s="2">
        <v>0.2</v>
      </c>
      <c r="AFH16" s="2">
        <v>0.2</v>
      </c>
      <c r="AFI16" s="2">
        <v>0.1</v>
      </c>
      <c r="AFJ16" s="2">
        <v>0.2</v>
      </c>
      <c r="AFK16" s="2">
        <v>0.1</v>
      </c>
      <c r="AFL16" s="2">
        <v>0</v>
      </c>
      <c r="AFM16" s="2">
        <v>0.2</v>
      </c>
      <c r="AFN16" s="2">
        <v>0.1</v>
      </c>
      <c r="AFO16" s="2">
        <v>0.4</v>
      </c>
      <c r="AFP16" s="2">
        <v>0.1</v>
      </c>
      <c r="AFQ16" s="2">
        <v>0.2</v>
      </c>
      <c r="AFR16" s="2">
        <v>0.2</v>
      </c>
      <c r="AFS16" s="2">
        <v>0.2</v>
      </c>
      <c r="AFT16" s="2">
        <v>0.3</v>
      </c>
      <c r="AFU16" s="2">
        <v>0.8</v>
      </c>
      <c r="AFV16" s="2">
        <v>0.6</v>
      </c>
      <c r="AFW16" s="2">
        <v>0.6</v>
      </c>
      <c r="AFX16" s="2">
        <v>0.8</v>
      </c>
      <c r="AFY16" s="2">
        <v>0.8</v>
      </c>
      <c r="AFZ16" s="2">
        <v>0.8</v>
      </c>
      <c r="AGA16" s="2">
        <v>0.7</v>
      </c>
      <c r="AGB16" s="2">
        <v>0.5</v>
      </c>
      <c r="AGC16" s="2">
        <v>1</v>
      </c>
      <c r="AGD16" s="2">
        <v>0.7</v>
      </c>
      <c r="AGE16" s="2">
        <v>0.8</v>
      </c>
      <c r="AGF16" s="2">
        <v>0.6</v>
      </c>
      <c r="AGG16" s="2">
        <v>1</v>
      </c>
      <c r="AGH16" s="2">
        <v>0.8</v>
      </c>
      <c r="AGI16" s="2">
        <v>0.4</v>
      </c>
      <c r="AGJ16" s="2">
        <v>0.7</v>
      </c>
      <c r="AGK16" s="2">
        <v>0.7</v>
      </c>
      <c r="AGL16" s="2">
        <v>0.6</v>
      </c>
      <c r="AGM16" s="2">
        <v>0.7</v>
      </c>
      <c r="AGN16" s="2">
        <v>0.9</v>
      </c>
      <c r="AGO16" s="2">
        <v>1</v>
      </c>
      <c r="AGP16" s="2">
        <v>0.7</v>
      </c>
      <c r="AGQ16" s="2">
        <v>0.6</v>
      </c>
      <c r="AGR16" s="2">
        <v>0.9</v>
      </c>
      <c r="AGS16" s="2">
        <v>1</v>
      </c>
      <c r="AGT16" s="2">
        <v>0.6</v>
      </c>
      <c r="AGU16" s="2">
        <v>0.6</v>
      </c>
      <c r="AGV16" s="2">
        <v>0.5</v>
      </c>
      <c r="AGW16" s="2">
        <v>0.8</v>
      </c>
      <c r="AGX16" s="2">
        <v>0.4</v>
      </c>
      <c r="AGY16" s="2">
        <v>0.4</v>
      </c>
      <c r="AGZ16" s="2">
        <v>0.3</v>
      </c>
      <c r="AHA16" s="2">
        <v>0.5</v>
      </c>
      <c r="AHB16" s="2">
        <v>0.6</v>
      </c>
      <c r="AHC16" s="2">
        <v>0.8</v>
      </c>
      <c r="AHD16" s="2">
        <v>0.6</v>
      </c>
      <c r="AHE16" s="2">
        <v>0.7</v>
      </c>
      <c r="AHF16" s="2">
        <v>0.5</v>
      </c>
      <c r="AHG16" s="2">
        <v>0.4</v>
      </c>
      <c r="AHH16" s="2">
        <v>0.5</v>
      </c>
      <c r="AHI16" s="2">
        <v>0.7</v>
      </c>
      <c r="AHJ16" s="2">
        <v>0.6</v>
      </c>
      <c r="AHK16" s="2">
        <v>0.7</v>
      </c>
      <c r="AHL16" s="2">
        <v>0.8</v>
      </c>
      <c r="AHM16" s="2">
        <v>0.9</v>
      </c>
      <c r="AHN16" s="2">
        <v>1</v>
      </c>
      <c r="AHO16" s="2">
        <v>1</v>
      </c>
      <c r="AHP16" s="2">
        <v>1.4</v>
      </c>
      <c r="AHQ16" s="2">
        <v>1.7</v>
      </c>
      <c r="AHR16" s="2">
        <v>1.6</v>
      </c>
      <c r="AHS16" s="2">
        <v>1.7</v>
      </c>
      <c r="AHT16" s="2">
        <v>2</v>
      </c>
      <c r="AHU16" s="2">
        <v>2.2</v>
      </c>
      <c r="AHV16" s="2">
        <v>2.1</v>
      </c>
      <c r="AHW16" s="2">
        <v>1.9</v>
      </c>
      <c r="AHX16" s="2">
        <v>1.7</v>
      </c>
      <c r="AHY16" s="2">
        <v>1.4</v>
      </c>
      <c r="AHZ16" s="2">
        <v>1.1</v>
      </c>
      <c r="AIA16" s="2">
        <v>1</v>
      </c>
      <c r="AIB16" s="2">
        <v>1</v>
      </c>
      <c r="AIC16" s="2">
        <v>1.2</v>
      </c>
      <c r="AID16" s="2">
        <v>1.1</v>
      </c>
      <c r="AIE16" s="2">
        <v>0.9</v>
      </c>
      <c r="AIF16" s="2">
        <v>1.3</v>
      </c>
      <c r="AIG16" s="2">
        <v>1.1</v>
      </c>
      <c r="AIH16" s="2">
        <v>1.2</v>
      </c>
      <c r="AII16" s="2">
        <v>1</v>
      </c>
      <c r="AIJ16" s="2">
        <v>1</v>
      </c>
      <c r="AIK16" s="2">
        <v>1.1</v>
      </c>
      <c r="AIL16" s="2">
        <v>0.8</v>
      </c>
      <c r="AIM16" s="2">
        <v>0.8</v>
      </c>
      <c r="AIN16" s="2">
        <v>0.8</v>
      </c>
      <c r="AIO16" s="2">
        <v>1</v>
      </c>
      <c r="AIP16" s="2">
        <v>0.6</v>
      </c>
      <c r="AIQ16" s="2">
        <v>0.6</v>
      </c>
      <c r="AIR16" s="2">
        <v>0.6</v>
      </c>
      <c r="AIS16" s="2">
        <v>0.6</v>
      </c>
      <c r="AIT16" s="2">
        <v>0.6</v>
      </c>
      <c r="AIU16" s="2">
        <v>0.5</v>
      </c>
      <c r="AIV16" s="2">
        <v>0.3</v>
      </c>
      <c r="AIW16" s="2">
        <v>0.4</v>
      </c>
      <c r="AIX16" s="2">
        <v>0.3</v>
      </c>
      <c r="AIY16" s="2">
        <v>0.2</v>
      </c>
      <c r="AIZ16" s="2">
        <v>0</v>
      </c>
      <c r="AJA16" s="2">
        <v>0.2</v>
      </c>
      <c r="AJB16" s="2">
        <v>0.3</v>
      </c>
      <c r="AJC16" s="2">
        <v>0.1</v>
      </c>
      <c r="AJD16" s="2">
        <v>0.1</v>
      </c>
      <c r="AJE16" s="2">
        <v>0.2</v>
      </c>
      <c r="AJF16" s="2">
        <v>0.2</v>
      </c>
      <c r="AJG16" s="2">
        <v>0.2</v>
      </c>
      <c r="AJH16" s="2">
        <v>0.3</v>
      </c>
      <c r="AJI16" s="2">
        <v>0</v>
      </c>
      <c r="AJJ16" s="2">
        <v>0.2</v>
      </c>
      <c r="AJK16" s="2">
        <v>0.2</v>
      </c>
      <c r="AJL16" s="2">
        <v>0.1</v>
      </c>
      <c r="AJM16" s="2">
        <v>0</v>
      </c>
      <c r="AJN16" s="2">
        <v>0</v>
      </c>
      <c r="AJO16" s="2">
        <v>0</v>
      </c>
      <c r="AJP16" s="2">
        <v>0.1</v>
      </c>
      <c r="AJQ16" s="2">
        <v>-1.3</v>
      </c>
      <c r="AJR16" s="2">
        <v>-0.2</v>
      </c>
      <c r="AJS16" s="2">
        <v>0.1</v>
      </c>
      <c r="AJT16" s="2">
        <v>0</v>
      </c>
      <c r="AJU16" s="2">
        <v>0.1</v>
      </c>
      <c r="AJV16" s="2">
        <v>0.2</v>
      </c>
      <c r="AJW16" s="2">
        <v>0.1</v>
      </c>
      <c r="AJX16" s="2">
        <v>0.7</v>
      </c>
      <c r="AJY16" s="2">
        <v>0.7</v>
      </c>
      <c r="AJZ16" s="2">
        <v>1.4</v>
      </c>
      <c r="AKA16" s="2">
        <v>1.2</v>
      </c>
      <c r="AKB16" s="2">
        <v>1.6</v>
      </c>
      <c r="AKC16" s="2">
        <v>2.5</v>
      </c>
      <c r="AKD16" s="2">
        <v>2.2</v>
      </c>
      <c r="AKE16" s="2">
        <v>0.9</v>
      </c>
      <c r="AKF16" s="2">
        <v>2.1</v>
      </c>
      <c r="AKG16" s="2">
        <v>1.9</v>
      </c>
      <c r="AKH16" s="2">
        <v>1.7</v>
      </c>
      <c r="AKI16" s="2">
        <v>0.6</v>
      </c>
      <c r="AKJ16" s="2">
        <v>1.2</v>
      </c>
      <c r="AKK16" s="2">
        <v>1</v>
      </c>
      <c r="AKL16" s="2">
        <v>1</v>
      </c>
      <c r="AKM16" s="2">
        <v>0.8</v>
      </c>
      <c r="AKN16" s="2">
        <v>0.9</v>
      </c>
      <c r="AKO16" s="2">
        <v>0.8</v>
      </c>
      <c r="AKP16" s="2">
        <v>6.66</v>
      </c>
      <c r="AKQ16" s="2">
        <v>6.72</v>
      </c>
      <c r="AKR16" s="2">
        <v>6.77</v>
      </c>
    </row>
    <row r="17">
      <c r="A17" t="inlineStr">
        <is>
          <t>New dwelling purchase by owner-occupiers</t>
        </is>
      </c>
      <c r="B17" t="inlineStr">
        <is>
          <t>Housing</t>
        </is>
      </c>
      <c r="C17">
        <v>2</v>
      </c>
      <c r="D17">
        <v>7.54</v>
      </c>
      <c r="E17" s="3">
        <f>D17/21.39*0.2139</f>
        <v>0.0754</v>
      </c>
      <c r="F17" s="3">
        <f>E17-D17/100</f>
        <v>0.0</v>
      </c>
      <c r="G17" s="3">
        <f>D17/21.39</f>
        <v>0.35250116877045345</v>
      </c>
      <c r="H17" s="2">
        <v>69.2</v>
      </c>
      <c r="I17" s="2">
        <v>68.92</v>
      </c>
      <c r="J17" s="2">
        <v>69.3</v>
      </c>
      <c r="K17" s="2">
        <v>69.72</v>
      </c>
      <c r="L17" s="2">
        <v>69.63</v>
      </c>
      <c r="M17" s="2">
        <v>69.65000000000001</v>
      </c>
      <c r="N17" s="2">
        <v>69.81</v>
      </c>
      <c r="O17" s="2">
        <v>69.97</v>
      </c>
      <c r="P17" s="2">
        <v>70.15000000000001</v>
      </c>
      <c r="Q17" s="2">
        <v>70.52</v>
      </c>
      <c r="R17" s="2">
        <v>70.37</v>
      </c>
      <c r="S17" s="2">
        <v>70.13</v>
      </c>
      <c r="T17" s="2">
        <v>70.34999999999999</v>
      </c>
      <c r="U17" s="2">
        <v>70.48</v>
      </c>
      <c r="V17" s="2">
        <v>70.58</v>
      </c>
      <c r="W17" s="2">
        <v>70.70999999999999</v>
      </c>
      <c r="X17" s="2">
        <v>70.43000000000001</v>
      </c>
      <c r="Y17" s="2">
        <v>70.45999999999999</v>
      </c>
      <c r="Z17" s="2">
        <v>70.59999999999999</v>
      </c>
      <c r="AA17" s="2">
        <v>70.45999999999999</v>
      </c>
      <c r="AB17" s="2">
        <v>70.31</v>
      </c>
      <c r="AC17" s="2">
        <v>70.36</v>
      </c>
      <c r="AD17" s="2">
        <v>70.37</v>
      </c>
      <c r="AE17" s="2">
        <v>70.09</v>
      </c>
      <c r="AF17" s="2">
        <v>70.45999999999999</v>
      </c>
      <c r="AG17" s="2">
        <v>70.48999999999999</v>
      </c>
      <c r="AH17" s="2">
        <v>70.48999999999999</v>
      </c>
      <c r="AI17" s="2">
        <v>70.67</v>
      </c>
      <c r="AJ17" s="2">
        <v>70.75</v>
      </c>
      <c r="AK17" s="2">
        <v>71</v>
      </c>
      <c r="AL17" s="2">
        <v>70.95999999999999</v>
      </c>
      <c r="AM17" s="2">
        <v>70.92</v>
      </c>
      <c r="AN17" s="2">
        <v>70.75</v>
      </c>
      <c r="AO17" s="2">
        <v>71.05</v>
      </c>
      <c r="AP17" s="2">
        <v>71.18000000000001</v>
      </c>
      <c r="AQ17" s="2">
        <v>71.36</v>
      </c>
      <c r="AR17" s="2">
        <v>71.36</v>
      </c>
      <c r="AS17" s="2">
        <v>71.47</v>
      </c>
      <c r="AT17" s="2">
        <v>71.78</v>
      </c>
      <c r="AU17" s="2">
        <v>71.79000000000001</v>
      </c>
      <c r="AV17" s="2">
        <v>72.34</v>
      </c>
      <c r="AW17" s="2">
        <v>71.62</v>
      </c>
      <c r="AX17" s="2">
        <v>71.54000000000001</v>
      </c>
      <c r="AY17" s="2">
        <v>70.91</v>
      </c>
      <c r="AZ17" s="2">
        <v>71.87</v>
      </c>
      <c r="BA17" s="2">
        <v>72.38</v>
      </c>
      <c r="BB17" s="2">
        <v>72.73</v>
      </c>
      <c r="BC17" s="2">
        <v>74.27</v>
      </c>
      <c r="BD17" s="2">
        <v>74.97</v>
      </c>
      <c r="BE17" s="2">
        <v>75.11</v>
      </c>
      <c r="BF17" s="2">
        <v>76.75</v>
      </c>
      <c r="BG17" s="2">
        <v>78.69</v>
      </c>
      <c r="BH17" s="2">
        <v>79.90000000000001</v>
      </c>
      <c r="BI17" s="2">
        <v>81.27</v>
      </c>
      <c r="BJ17" s="2">
        <v>82.83</v>
      </c>
      <c r="BK17" s="2">
        <v>84.62</v>
      </c>
      <c r="BL17" s="2">
        <v>85.73999999999999</v>
      </c>
      <c r="BM17" s="2">
        <v>87.34999999999999</v>
      </c>
      <c r="BN17" s="2">
        <v>88.48999999999999</v>
      </c>
      <c r="BO17" s="2">
        <v>89.47</v>
      </c>
      <c r="BP17" s="2">
        <v>89.98</v>
      </c>
      <c r="BQ17" s="2">
        <v>90.38</v>
      </c>
      <c r="BR17" s="2">
        <v>90.45999999999999</v>
      </c>
      <c r="BS17" s="2">
        <v>91.26000000000001</v>
      </c>
      <c r="BT17" s="2">
        <v>91.70999999999999</v>
      </c>
      <c r="BU17" s="2">
        <v>91.84999999999999</v>
      </c>
      <c r="BV17" s="2">
        <v>92.01000000000001</v>
      </c>
      <c r="BW17" s="2">
        <v>92.47</v>
      </c>
      <c r="BX17" s="2">
        <v>92.89</v>
      </c>
      <c r="BY17" s="2">
        <v>93.09999999999999</v>
      </c>
      <c r="BZ17" s="2">
        <v>93.69</v>
      </c>
      <c r="CA17" s="2">
        <v>93.78</v>
      </c>
      <c r="CB17" s="2">
        <v>94.42</v>
      </c>
      <c r="CC17" s="2">
        <v>94.62</v>
      </c>
      <c r="CD17" s="2">
        <v>95.43000000000001</v>
      </c>
      <c r="CE17" s="2">
        <v>95.92</v>
      </c>
      <c r="CF17" s="2">
        <v>96.08</v>
      </c>
      <c r="CG17" s="2">
        <v>96.3</v>
      </c>
      <c r="CH17" s="2">
        <v>96.77</v>
      </c>
      <c r="CI17" s="2">
        <v>97.06999999999999</v>
      </c>
      <c r="CJ17" s="2">
        <v>97.54000000000001</v>
      </c>
      <c r="CK17" s="2">
        <v>98.06999999999999</v>
      </c>
      <c r="CL17" s="2">
        <v>98.45</v>
      </c>
      <c r="CM17" s="2">
        <v>98.69</v>
      </c>
      <c r="CN17" s="2">
        <v>98.5</v>
      </c>
      <c r="CO17" s="2">
        <v>98.68000000000001</v>
      </c>
      <c r="CP17" s="2">
        <v>98.13</v>
      </c>
      <c r="CQ17" s="2">
        <v>98.12</v>
      </c>
      <c r="CR17" s="2">
        <v>98.04000000000001</v>
      </c>
      <c r="CS17" s="2">
        <v>97.95</v>
      </c>
      <c r="CT17" s="2">
        <v>97.69</v>
      </c>
      <c r="CU17" s="2">
        <v>98.27</v>
      </c>
      <c r="CV17" s="2">
        <v>98.28</v>
      </c>
      <c r="CW17" s="2">
        <v>98.45999999999999</v>
      </c>
      <c r="CX17" s="2">
        <v>98.91</v>
      </c>
      <c r="CY17" s="2">
        <v>99.34</v>
      </c>
      <c r="CZ17" s="2">
        <v>100</v>
      </c>
      <c r="DA17" s="2">
        <v>100.4</v>
      </c>
      <c r="DB17" s="2">
        <v>100.89</v>
      </c>
      <c r="DC17" s="2">
        <v>101.07</v>
      </c>
      <c r="DD17" s="2">
        <v>101.47</v>
      </c>
      <c r="DE17" s="2">
        <v>101.62</v>
      </c>
      <c r="DF17" s="2">
        <v>102.11</v>
      </c>
      <c r="DG17" s="2">
        <v>102.84</v>
      </c>
      <c r="DH17" s="2">
        <v>103.74</v>
      </c>
      <c r="DI17" s="2">
        <v>104.13</v>
      </c>
      <c r="DJ17" s="2">
        <v>104.52</v>
      </c>
      <c r="DK17" s="2">
        <v>1.7</v>
      </c>
      <c r="DL17" s="2">
        <v>2.3</v>
      </c>
      <c r="DM17" s="2">
        <v>1.8</v>
      </c>
      <c r="DN17" s="2">
        <v>1.4</v>
      </c>
      <c r="DO17" s="2">
        <v>1.1</v>
      </c>
      <c r="DP17" s="2">
        <v>1.2</v>
      </c>
      <c r="DQ17" s="2">
        <v>1.1</v>
      </c>
      <c r="DR17" s="2">
        <v>0.7</v>
      </c>
      <c r="DS17" s="2">
        <v>0.2</v>
      </c>
      <c r="DT17" s="2">
        <v>-0.2</v>
      </c>
      <c r="DU17" s="2">
        <v>0</v>
      </c>
      <c r="DV17" s="2">
        <v>-0.1</v>
      </c>
      <c r="DW17" s="2">
        <v>0.2</v>
      </c>
      <c r="DX17" s="2">
        <v>0</v>
      </c>
      <c r="DY17" s="2">
        <v>-0.1</v>
      </c>
      <c r="DZ17" s="2">
        <v>-0.1</v>
      </c>
      <c r="EA17" s="2">
        <v>0.5</v>
      </c>
      <c r="EB17" s="2">
        <v>0.8</v>
      </c>
      <c r="EC17" s="2">
        <v>0.5</v>
      </c>
      <c r="ED17" s="2">
        <v>0.7</v>
      </c>
      <c r="EE17" s="2">
        <v>0.6</v>
      </c>
      <c r="EF17" s="2">
        <v>1</v>
      </c>
      <c r="EG17" s="2">
        <v>1.2</v>
      </c>
      <c r="EH17" s="2">
        <v>1.8</v>
      </c>
      <c r="EI17" s="2">
        <v>1.3</v>
      </c>
      <c r="EJ17" s="2">
        <v>1.4</v>
      </c>
      <c r="EK17" s="2">
        <v>1.8</v>
      </c>
      <c r="EL17" s="2">
        <v>1.6</v>
      </c>
      <c r="EM17" s="2">
        <v>2.2</v>
      </c>
      <c r="EN17" s="2">
        <v>0.9</v>
      </c>
      <c r="EO17" s="2">
        <v>0.8</v>
      </c>
      <c r="EP17" s="2">
        <v>0</v>
      </c>
      <c r="EQ17" s="2">
        <v>1.6</v>
      </c>
      <c r="ER17" s="2">
        <v>1.9</v>
      </c>
      <c r="ES17" s="2">
        <v>2.2</v>
      </c>
      <c r="ET17" s="2">
        <v>4.1</v>
      </c>
      <c r="EU17" s="2">
        <v>5.1</v>
      </c>
      <c r="EV17" s="2">
        <v>5.1</v>
      </c>
      <c r="EW17" s="2">
        <v>6.9</v>
      </c>
      <c r="EX17" s="2">
        <v>9.6</v>
      </c>
      <c r="EY17" s="2">
        <v>10.5</v>
      </c>
      <c r="EZ17" s="2">
        <v>13.5</v>
      </c>
      <c r="FA17" s="2">
        <v>15.8</v>
      </c>
      <c r="FB17" s="2">
        <v>19.3</v>
      </c>
      <c r="FC17" s="2">
        <v>19.3</v>
      </c>
      <c r="FD17" s="2">
        <v>20.7</v>
      </c>
      <c r="FE17" s="2">
        <v>21.7</v>
      </c>
      <c r="FF17" s="2">
        <v>20.5</v>
      </c>
      <c r="FG17" s="2">
        <v>20</v>
      </c>
      <c r="FH17" s="2">
        <v>20.3</v>
      </c>
      <c r="FI17" s="2">
        <v>17.9</v>
      </c>
      <c r="FJ17" s="2">
        <v>16</v>
      </c>
      <c r="FK17" s="2">
        <v>14.8</v>
      </c>
      <c r="FL17" s="2">
        <v>13</v>
      </c>
      <c r="FM17" s="2">
        <v>11.1</v>
      </c>
      <c r="FN17" s="2">
        <v>9.300000000000001</v>
      </c>
      <c r="FO17" s="2">
        <v>8.300000000000001</v>
      </c>
      <c r="FP17" s="2">
        <v>6.6</v>
      </c>
      <c r="FQ17" s="2">
        <v>5.9</v>
      </c>
      <c r="FR17" s="2">
        <v>4.8</v>
      </c>
      <c r="FS17" s="2">
        <v>4.9</v>
      </c>
      <c r="FT17" s="2">
        <v>4.7</v>
      </c>
      <c r="FU17" s="2">
        <v>5.5</v>
      </c>
      <c r="FV17" s="2">
        <v>5.1</v>
      </c>
      <c r="FW17" s="2">
        <v>4.8</v>
      </c>
      <c r="FX17" s="2">
        <v>4.8</v>
      </c>
      <c r="FY17" s="2">
        <v>5.2</v>
      </c>
      <c r="FZ17" s="2">
        <v>5</v>
      </c>
      <c r="GA17" s="2">
        <v>5</v>
      </c>
      <c r="GB17" s="2">
        <v>5.3</v>
      </c>
      <c r="GC17" s="2">
        <v>5.1</v>
      </c>
      <c r="GD17" s="2">
        <v>5.2</v>
      </c>
      <c r="GE17" s="2">
        <v>4.3</v>
      </c>
      <c r="GF17" s="2">
        <v>4.3</v>
      </c>
      <c r="GG17" s="2">
        <v>2.8</v>
      </c>
      <c r="GH17" s="2">
        <v>2.3</v>
      </c>
      <c r="GI17" s="2">
        <v>2</v>
      </c>
      <c r="GJ17" s="2">
        <v>1.7</v>
      </c>
      <c r="GK17" s="2">
        <v>1</v>
      </c>
      <c r="GL17" s="2">
        <v>1.2</v>
      </c>
      <c r="GM17" s="2">
        <v>0.8</v>
      </c>
      <c r="GN17" s="2">
        <v>0.4</v>
      </c>
      <c r="GO17" s="2">
        <v>0.5</v>
      </c>
      <c r="GP17" s="2">
        <v>0.7</v>
      </c>
      <c r="GQ17" s="2">
        <v>1.5</v>
      </c>
      <c r="GR17" s="2">
        <v>1.7</v>
      </c>
      <c r="GS17" s="2">
        <v>2.8</v>
      </c>
      <c r="GT17" s="2">
        <v>3</v>
      </c>
      <c r="GU17" s="2">
        <v>3.5</v>
      </c>
      <c r="GV17" s="2">
        <v>3.7</v>
      </c>
      <c r="GW17" s="2">
        <v>4.5</v>
      </c>
      <c r="GX17" s="2">
        <v>4.7</v>
      </c>
      <c r="GY17" s="2">
        <v>5.6</v>
      </c>
      <c r="GZ17" s="2">
        <v>5.8</v>
      </c>
      <c r="HA17" s="2">
        <v>5.7</v>
      </c>
      <c r="HB17" s="2">
        <v>-0.4</v>
      </c>
      <c r="HC17" s="2">
        <v>0.6</v>
      </c>
      <c r="HD17" s="2">
        <v>0.6</v>
      </c>
      <c r="HE17" s="2">
        <v>-0.1</v>
      </c>
      <c r="HF17" s="2">
        <v>0</v>
      </c>
      <c r="HG17" s="2">
        <v>0.2</v>
      </c>
      <c r="HH17" s="2">
        <v>0.2</v>
      </c>
      <c r="HI17" s="2">
        <v>0.3</v>
      </c>
      <c r="HJ17" s="2">
        <v>0.5</v>
      </c>
      <c r="HK17" s="2">
        <v>-0.2</v>
      </c>
      <c r="HL17" s="2">
        <v>-0.3</v>
      </c>
      <c r="HM17" s="2">
        <v>0.3</v>
      </c>
      <c r="HN17" s="2">
        <v>0.2</v>
      </c>
      <c r="HO17" s="2">
        <v>0.1</v>
      </c>
      <c r="HP17" s="2">
        <v>0.2</v>
      </c>
      <c r="HQ17" s="2">
        <v>-0.4</v>
      </c>
      <c r="HR17" s="2">
        <v>0</v>
      </c>
      <c r="HS17" s="2">
        <v>0.2</v>
      </c>
      <c r="HT17" s="2">
        <v>-0.2</v>
      </c>
      <c r="HU17" s="2">
        <v>-0.2</v>
      </c>
      <c r="HV17" s="2">
        <v>0.1</v>
      </c>
      <c r="HW17" s="2">
        <v>0</v>
      </c>
      <c r="HX17" s="2">
        <v>-0.4</v>
      </c>
      <c r="HY17" s="2">
        <v>0.5</v>
      </c>
      <c r="HZ17" s="2">
        <v>0</v>
      </c>
      <c r="IA17" s="2">
        <v>0</v>
      </c>
      <c r="IB17" s="2">
        <v>0.3</v>
      </c>
      <c r="IC17" s="2">
        <v>0.1</v>
      </c>
      <c r="ID17" s="2">
        <v>0.4</v>
      </c>
      <c r="IE17" s="2">
        <v>-0.1</v>
      </c>
      <c r="IF17" s="2">
        <v>-0.1</v>
      </c>
      <c r="IG17" s="2">
        <v>-0.2</v>
      </c>
      <c r="IH17" s="2">
        <v>0.4</v>
      </c>
      <c r="II17" s="2">
        <v>0.2</v>
      </c>
      <c r="IJ17" s="2">
        <v>0.3</v>
      </c>
      <c r="IK17" s="2">
        <v>0</v>
      </c>
      <c r="IL17" s="2">
        <v>0.2</v>
      </c>
      <c r="IM17" s="2">
        <v>0.4</v>
      </c>
      <c r="IN17" s="2">
        <v>0</v>
      </c>
      <c r="IO17" s="2">
        <v>0.8</v>
      </c>
      <c r="IP17" s="2">
        <v>-1</v>
      </c>
      <c r="IQ17" s="2">
        <v>-0.1</v>
      </c>
      <c r="IR17" s="2">
        <v>-0.9</v>
      </c>
      <c r="IS17" s="2">
        <v>1.4</v>
      </c>
      <c r="IT17" s="2">
        <v>0.7</v>
      </c>
      <c r="IU17" s="2">
        <v>0.5</v>
      </c>
      <c r="IV17" s="2">
        <v>2.1</v>
      </c>
      <c r="IW17" s="2">
        <v>0.9</v>
      </c>
      <c r="IX17" s="2">
        <v>0.2</v>
      </c>
      <c r="IY17" s="2">
        <v>2.2</v>
      </c>
      <c r="IZ17" s="2">
        <v>2.5</v>
      </c>
      <c r="JA17" s="2">
        <v>1.5</v>
      </c>
      <c r="JB17" s="2">
        <v>1.7</v>
      </c>
      <c r="JC17" s="2">
        <v>1.9</v>
      </c>
      <c r="JD17" s="2">
        <v>2.2</v>
      </c>
      <c r="JE17" s="2">
        <v>1.3</v>
      </c>
      <c r="JF17" s="2">
        <v>1.9</v>
      </c>
      <c r="JG17" s="2">
        <v>1.3</v>
      </c>
      <c r="JH17" s="2">
        <v>1.1</v>
      </c>
      <c r="JI17" s="2">
        <v>0.6</v>
      </c>
      <c r="JJ17" s="2">
        <v>0.4</v>
      </c>
      <c r="JK17" s="2">
        <v>0.1</v>
      </c>
      <c r="JL17" s="2">
        <v>0.9</v>
      </c>
      <c r="JM17" s="2">
        <v>0.5</v>
      </c>
      <c r="JN17" s="2">
        <v>0.2</v>
      </c>
      <c r="JO17" s="2">
        <v>0.2</v>
      </c>
      <c r="JP17" s="2">
        <v>0.5</v>
      </c>
      <c r="JQ17" s="2">
        <v>0.5</v>
      </c>
      <c r="JR17" s="2">
        <v>0.2</v>
      </c>
      <c r="JS17" s="2">
        <v>0.6</v>
      </c>
      <c r="JT17" s="2">
        <v>0.1</v>
      </c>
      <c r="JU17" s="2">
        <v>0.7</v>
      </c>
      <c r="JV17" s="2">
        <v>0.2</v>
      </c>
      <c r="JW17" s="2">
        <v>0.9</v>
      </c>
      <c r="JX17" s="2">
        <v>0.5</v>
      </c>
      <c r="JY17" s="2">
        <v>0.2</v>
      </c>
      <c r="JZ17" s="2">
        <v>0.2</v>
      </c>
      <c r="KA17" s="2">
        <v>0.5</v>
      </c>
      <c r="KB17" s="2">
        <v>0.3</v>
      </c>
      <c r="KC17" s="2">
        <v>0.5</v>
      </c>
      <c r="KD17" s="2">
        <v>0.5</v>
      </c>
      <c r="KE17" s="2">
        <v>0.4</v>
      </c>
      <c r="KF17" s="2">
        <v>0.2</v>
      </c>
      <c r="KG17" s="2">
        <v>-0.2</v>
      </c>
      <c r="KH17" s="2">
        <v>0.2</v>
      </c>
      <c r="KI17" s="2">
        <v>-0.6</v>
      </c>
      <c r="KJ17" s="2">
        <v>0</v>
      </c>
      <c r="KK17" s="2">
        <v>-0.1</v>
      </c>
      <c r="KL17" s="2">
        <v>-0.1</v>
      </c>
      <c r="KM17" s="2">
        <v>-0.3</v>
      </c>
      <c r="KN17" s="2">
        <v>0.6</v>
      </c>
      <c r="KO17" s="2">
        <v>0</v>
      </c>
      <c r="KP17" s="2">
        <v>0.2</v>
      </c>
      <c r="KQ17" s="2">
        <v>0.5</v>
      </c>
      <c r="KR17" s="2">
        <v>0.4</v>
      </c>
      <c r="KS17" s="2">
        <v>0.7</v>
      </c>
      <c r="KT17" s="2">
        <v>0.4</v>
      </c>
      <c r="KU17" s="2">
        <v>0.5</v>
      </c>
      <c r="KV17" s="2">
        <v>0.2</v>
      </c>
      <c r="KW17" s="2">
        <v>0.4</v>
      </c>
      <c r="KX17" s="2">
        <v>0.1</v>
      </c>
      <c r="KY17" s="2">
        <v>0.5</v>
      </c>
      <c r="KZ17" s="2">
        <v>0.7</v>
      </c>
      <c r="LA17" s="2">
        <v>0.9</v>
      </c>
      <c r="LB17" s="2">
        <v>0.4</v>
      </c>
      <c r="LC17" s="2">
        <v>0.4</v>
      </c>
      <c r="LD17" s="2">
        <v>7.34</v>
      </c>
      <c r="LE17" s="2">
        <v>7.34</v>
      </c>
      <c r="LF17" s="2">
        <v>7.33</v>
      </c>
      <c r="LG17" s="2">
        <v>7.31</v>
      </c>
      <c r="LH17" s="2">
        <v>7.35</v>
      </c>
      <c r="LI17" s="2">
        <v>7.35</v>
      </c>
      <c r="LJ17" s="2">
        <v>7.37</v>
      </c>
      <c r="LK17" s="2">
        <v>7.4</v>
      </c>
      <c r="LL17" s="2">
        <v>7.43</v>
      </c>
      <c r="LM17" s="2">
        <v>7.48</v>
      </c>
      <c r="LN17" s="2">
        <v>7.51</v>
      </c>
      <c r="LO17" s="2">
        <v>7.55</v>
      </c>
      <c r="LP17" s="2">
        <v>7.56</v>
      </c>
      <c r="LQ17" s="2">
        <v>7.59</v>
      </c>
      <c r="LR17" s="2">
        <v>7.6</v>
      </c>
      <c r="LS17" s="2">
        <v>7.64</v>
      </c>
      <c r="LT17" s="2">
        <v>7.69</v>
      </c>
      <c r="LU17" s="2">
        <v>7.76</v>
      </c>
      <c r="LV17" s="2">
        <v>7.79</v>
      </c>
      <c r="LW17" s="2">
        <v>7.82</v>
      </c>
      <c r="LX17" s="2">
        <v>0</v>
      </c>
      <c r="LY17" s="2">
        <v>-0.01</v>
      </c>
      <c r="LZ17" s="2">
        <v>-0.02</v>
      </c>
      <c r="MA17" s="2">
        <v>0.04</v>
      </c>
      <c r="MB17" s="2">
        <v>0</v>
      </c>
      <c r="MC17" s="2">
        <v>0.02</v>
      </c>
      <c r="MD17" s="2">
        <v>0.03</v>
      </c>
      <c r="ME17" s="2">
        <v>0.03</v>
      </c>
      <c r="MF17" s="2">
        <v>0.05</v>
      </c>
      <c r="MG17" s="2">
        <v>0.03</v>
      </c>
      <c r="MH17" s="2">
        <v>0.04</v>
      </c>
      <c r="MI17" s="2">
        <v>0.01</v>
      </c>
      <c r="MJ17" s="2">
        <v>0.03</v>
      </c>
      <c r="MK17" s="2">
        <v>0.01</v>
      </c>
      <c r="ML17" s="2">
        <v>0.04</v>
      </c>
      <c r="MM17" s="2">
        <v>0.05</v>
      </c>
      <c r="MN17" s="2">
        <v>0.07000000000000001</v>
      </c>
      <c r="MO17" s="2">
        <v>0.03</v>
      </c>
      <c r="MP17" s="2">
        <v>0.03</v>
      </c>
      <c r="UH17" s="2">
        <v>32.9</v>
      </c>
      <c r="UI17" s="2">
        <v>33.1</v>
      </c>
      <c r="UJ17" s="2">
        <v>33.39</v>
      </c>
      <c r="UK17" s="2">
        <v>33.9</v>
      </c>
      <c r="UL17" s="2">
        <v>34.22</v>
      </c>
      <c r="UM17" s="2">
        <v>34.91</v>
      </c>
      <c r="UN17" s="2">
        <v>36.03</v>
      </c>
      <c r="UO17" s="2">
        <v>36.62</v>
      </c>
      <c r="UP17" s="2">
        <v>36.78</v>
      </c>
      <c r="UQ17" s="2">
        <v>39.74</v>
      </c>
      <c r="UR17" s="2">
        <v>39.85</v>
      </c>
      <c r="US17" s="2">
        <v>39.94</v>
      </c>
      <c r="UT17" s="2">
        <v>39.81</v>
      </c>
      <c r="UU17" s="2">
        <v>40.17</v>
      </c>
      <c r="UV17" s="2">
        <v>40.6</v>
      </c>
      <c r="UW17" s="2">
        <v>40.9</v>
      </c>
      <c r="UX17" s="2">
        <v>41.32</v>
      </c>
      <c r="UY17" s="2">
        <v>41.72</v>
      </c>
      <c r="UZ17" s="2">
        <v>42.01</v>
      </c>
      <c r="VA17" s="2">
        <v>42.67</v>
      </c>
      <c r="VB17" s="2">
        <v>43.52</v>
      </c>
      <c r="VC17" s="2">
        <v>44.25</v>
      </c>
      <c r="VD17" s="2">
        <v>44.71</v>
      </c>
      <c r="VE17" s="2">
        <v>45.21</v>
      </c>
      <c r="VF17" s="2">
        <v>45.83</v>
      </c>
      <c r="VG17" s="2">
        <v>46.32</v>
      </c>
      <c r="VH17" s="2">
        <v>47.02</v>
      </c>
      <c r="VI17" s="2">
        <v>47.67</v>
      </c>
      <c r="VJ17" s="2">
        <v>48.1</v>
      </c>
      <c r="VK17" s="2">
        <v>48.69</v>
      </c>
      <c r="VL17" s="2">
        <v>49.09</v>
      </c>
      <c r="VM17" s="2">
        <v>49.25</v>
      </c>
      <c r="VN17" s="2">
        <v>49.81</v>
      </c>
      <c r="VO17" s="2">
        <v>49.91</v>
      </c>
      <c r="VP17" s="2">
        <v>50.14</v>
      </c>
      <c r="VQ17" s="2">
        <v>50.67</v>
      </c>
      <c r="VR17" s="2">
        <v>51.15</v>
      </c>
      <c r="VS17" s="2">
        <v>51.65</v>
      </c>
      <c r="VT17" s="2">
        <v>52.33</v>
      </c>
      <c r="VU17" s="2">
        <v>53.2</v>
      </c>
      <c r="VV17" s="2">
        <v>53.73</v>
      </c>
      <c r="VW17" s="2">
        <v>54.43</v>
      </c>
      <c r="VX17" s="2">
        <v>54.55</v>
      </c>
      <c r="VY17" s="2">
        <v>54.29</v>
      </c>
      <c r="VZ17" s="2">
        <v>54.71</v>
      </c>
      <c r="WA17" s="2">
        <v>55.34</v>
      </c>
      <c r="WB17" s="2">
        <v>55.87</v>
      </c>
      <c r="WC17" s="2">
        <v>56.52</v>
      </c>
      <c r="WD17" s="2">
        <v>56.85</v>
      </c>
      <c r="WE17" s="2">
        <v>57.12</v>
      </c>
      <c r="WF17" s="2">
        <v>57.51</v>
      </c>
      <c r="WG17" s="2">
        <v>57.97</v>
      </c>
      <c r="WH17" s="2">
        <v>58.23</v>
      </c>
      <c r="WI17" s="2">
        <v>58.18</v>
      </c>
      <c r="WJ17" s="2">
        <v>58.34</v>
      </c>
      <c r="WK17" s="2">
        <v>58.31</v>
      </c>
      <c r="WL17" s="2">
        <v>58.36</v>
      </c>
      <c r="WM17" s="2">
        <v>58.88</v>
      </c>
      <c r="WN17" s="2">
        <v>58.94</v>
      </c>
      <c r="WO17" s="2">
        <v>59.94</v>
      </c>
      <c r="WP17" s="2">
        <v>60.44</v>
      </c>
      <c r="WQ17" s="2">
        <v>60.77</v>
      </c>
      <c r="WR17" s="2">
        <v>61.3</v>
      </c>
      <c r="WS17" s="2">
        <v>61.38</v>
      </c>
      <c r="WT17" s="2">
        <v>62.36</v>
      </c>
      <c r="WU17" s="2">
        <v>63.08</v>
      </c>
      <c r="WV17" s="2">
        <v>63.75</v>
      </c>
      <c r="WW17" s="2">
        <v>64.34</v>
      </c>
      <c r="WX17" s="2">
        <v>65.34999999999999</v>
      </c>
      <c r="WY17" s="2">
        <v>65.81999999999999</v>
      </c>
      <c r="WZ17" s="2">
        <v>65.89</v>
      </c>
      <c r="XA17" s="2">
        <v>65.98</v>
      </c>
      <c r="XB17" s="2">
        <v>66.59</v>
      </c>
      <c r="XC17" s="2">
        <v>66.84999999999999</v>
      </c>
      <c r="XD17" s="2">
        <v>67.23999999999999</v>
      </c>
      <c r="XE17" s="2">
        <v>67.84999999999999</v>
      </c>
      <c r="XF17" s="2">
        <v>68.44</v>
      </c>
      <c r="XG17" s="2">
        <v>68.98</v>
      </c>
      <c r="XH17" s="2">
        <v>69.37</v>
      </c>
      <c r="XI17" s="2">
        <v>69.73</v>
      </c>
      <c r="XJ17" s="2">
        <v>70.31999999999999</v>
      </c>
      <c r="XK17" s="2">
        <v>70.38</v>
      </c>
      <c r="XL17" s="2">
        <v>70.63</v>
      </c>
      <c r="XM17" s="2">
        <v>70.54000000000001</v>
      </c>
      <c r="XN17" s="2">
        <v>70.43000000000001</v>
      </c>
      <c r="XO17" s="2">
        <v>70.31999999999999</v>
      </c>
      <c r="XP17" s="2">
        <v>70.58</v>
      </c>
      <c r="XQ17" s="2">
        <v>70.89</v>
      </c>
      <c r="XR17" s="2">
        <v>70.94</v>
      </c>
      <c r="XS17" s="2">
        <v>71.3</v>
      </c>
      <c r="XT17" s="2">
        <v>71.73999999999999</v>
      </c>
      <c r="XU17" s="2">
        <v>71.73</v>
      </c>
      <c r="XV17" s="2">
        <v>71.66</v>
      </c>
      <c r="XW17" s="2">
        <v>74.06</v>
      </c>
      <c r="XX17" s="2">
        <v>77.12</v>
      </c>
      <c r="XY17" s="2">
        <v>81.54000000000001</v>
      </c>
      <c r="XZ17" s="2">
        <v>86.17</v>
      </c>
      <c r="YA17" s="2">
        <v>89.39</v>
      </c>
      <c r="YB17" s="2">
        <v>90.86</v>
      </c>
      <c r="YC17" s="2">
        <v>91.92</v>
      </c>
      <c r="YD17" s="2">
        <v>92.87</v>
      </c>
      <c r="YE17" s="2">
        <v>94.06</v>
      </c>
      <c r="YF17" s="2">
        <v>95.45999999999999</v>
      </c>
      <c r="YG17" s="2">
        <v>96.54000000000001</v>
      </c>
      <c r="YH17" s="2">
        <v>97.59999999999999</v>
      </c>
      <c r="YI17" s="2">
        <v>98.53</v>
      </c>
      <c r="YJ17" s="2">
        <v>98.31</v>
      </c>
      <c r="YK17" s="2">
        <v>97.88</v>
      </c>
      <c r="YL17" s="2">
        <v>98.31</v>
      </c>
      <c r="YM17" s="2">
        <v>99.42</v>
      </c>
      <c r="YN17" s="2">
        <v>100.79</v>
      </c>
      <c r="YO17" s="2">
        <v>101.74</v>
      </c>
      <c r="YP17" s="2">
        <v>103.57</v>
      </c>
      <c r="AGH17" s="2">
        <v>0.6</v>
      </c>
      <c r="AGI17" s="2">
        <v>0.9</v>
      </c>
      <c r="AGJ17" s="2">
        <v>1.5</v>
      </c>
      <c r="AGK17" s="2">
        <v>0.9</v>
      </c>
      <c r="AGL17" s="2">
        <v>2</v>
      </c>
      <c r="AGM17" s="2">
        <v>3.2</v>
      </c>
      <c r="AGN17" s="2">
        <v>1.6</v>
      </c>
      <c r="AGO17" s="2">
        <v>0.4</v>
      </c>
      <c r="AGP17" s="2">
        <v>8</v>
      </c>
      <c r="AGQ17" s="2">
        <v>0.3</v>
      </c>
      <c r="AGR17" s="2">
        <v>0.2</v>
      </c>
      <c r="AGS17" s="2">
        <v>-0.3</v>
      </c>
      <c r="AGT17" s="2">
        <v>0.9</v>
      </c>
      <c r="AGU17" s="2">
        <v>1.1</v>
      </c>
      <c r="AGV17" s="2">
        <v>0.7</v>
      </c>
      <c r="AGW17" s="2">
        <v>1</v>
      </c>
      <c r="AGX17" s="2">
        <v>1</v>
      </c>
      <c r="AGY17" s="2">
        <v>0.7</v>
      </c>
      <c r="AGZ17" s="2">
        <v>1.6</v>
      </c>
      <c r="AHA17" s="2">
        <v>2</v>
      </c>
      <c r="AHB17" s="2">
        <v>1.7</v>
      </c>
      <c r="AHC17" s="2">
        <v>1</v>
      </c>
      <c r="AHD17" s="2">
        <v>1.1</v>
      </c>
      <c r="AHE17" s="2">
        <v>1.4</v>
      </c>
      <c r="AHF17" s="2">
        <v>1.1</v>
      </c>
      <c r="AHG17" s="2">
        <v>1.5</v>
      </c>
      <c r="AHH17" s="2">
        <v>1.4</v>
      </c>
      <c r="AHI17" s="2">
        <v>0.9</v>
      </c>
      <c r="AHJ17" s="2">
        <v>1.2</v>
      </c>
      <c r="AHK17" s="2">
        <v>0.8</v>
      </c>
      <c r="AHL17" s="2">
        <v>0.3</v>
      </c>
      <c r="AHM17" s="2">
        <v>1.1</v>
      </c>
      <c r="AHN17" s="2">
        <v>0.2</v>
      </c>
      <c r="AHO17" s="2">
        <v>0.5</v>
      </c>
      <c r="AHP17" s="2">
        <v>1.1</v>
      </c>
      <c r="AHQ17" s="2">
        <v>0.9</v>
      </c>
      <c r="AHR17" s="2">
        <v>1</v>
      </c>
      <c r="AHS17" s="2">
        <v>1.3</v>
      </c>
      <c r="AHT17" s="2">
        <v>1.7</v>
      </c>
      <c r="AHU17" s="2">
        <v>1</v>
      </c>
      <c r="AHV17" s="2">
        <v>1.3</v>
      </c>
      <c r="AHW17" s="2">
        <v>0.2</v>
      </c>
      <c r="AHX17" s="2">
        <v>-0.5</v>
      </c>
      <c r="AHY17" s="2">
        <v>0.8</v>
      </c>
      <c r="AHZ17" s="2">
        <v>1.2</v>
      </c>
      <c r="AIA17" s="2">
        <v>1</v>
      </c>
      <c r="AIB17" s="2">
        <v>1.2</v>
      </c>
      <c r="AIC17" s="2">
        <v>0.6</v>
      </c>
      <c r="AID17" s="2">
        <v>0.5</v>
      </c>
      <c r="AIE17" s="2">
        <v>0.7</v>
      </c>
      <c r="AIF17" s="2">
        <v>0.8</v>
      </c>
      <c r="AIG17" s="2">
        <v>0.4</v>
      </c>
      <c r="AIH17" s="2">
        <v>-0.1</v>
      </c>
      <c r="AII17" s="2">
        <v>0.3</v>
      </c>
      <c r="AIJ17" s="2">
        <v>-0.1</v>
      </c>
      <c r="AIK17" s="2">
        <v>0.1</v>
      </c>
      <c r="AIL17" s="2">
        <v>0.9</v>
      </c>
      <c r="AIM17" s="2">
        <v>0.1</v>
      </c>
      <c r="AIN17" s="2">
        <v>1.7</v>
      </c>
      <c r="AIO17" s="2">
        <v>0.8</v>
      </c>
      <c r="AIP17" s="2">
        <v>0.5</v>
      </c>
      <c r="AIQ17" s="2">
        <v>0.9</v>
      </c>
      <c r="AIR17" s="2">
        <v>0.1</v>
      </c>
      <c r="AIS17" s="2">
        <v>1.6</v>
      </c>
      <c r="AIT17" s="2">
        <v>1.2</v>
      </c>
      <c r="AIU17" s="2">
        <v>1.1</v>
      </c>
      <c r="AIV17" s="2">
        <v>0.9</v>
      </c>
      <c r="AIW17" s="2">
        <v>1.6</v>
      </c>
      <c r="AIX17" s="2">
        <v>0.7</v>
      </c>
      <c r="AIY17" s="2">
        <v>0.1</v>
      </c>
      <c r="AIZ17" s="2">
        <v>0.1</v>
      </c>
      <c r="AJA17" s="2">
        <v>0.9</v>
      </c>
      <c r="AJB17" s="2">
        <v>0.4</v>
      </c>
      <c r="AJC17" s="2">
        <v>0.6</v>
      </c>
      <c r="AJD17" s="2">
        <v>0.9</v>
      </c>
      <c r="AJE17" s="2">
        <v>0.9</v>
      </c>
      <c r="AJF17" s="2">
        <v>0.8</v>
      </c>
      <c r="AJG17" s="2">
        <v>0.6</v>
      </c>
      <c r="AJH17" s="2">
        <v>0.5</v>
      </c>
      <c r="AJI17" s="2">
        <v>0.8</v>
      </c>
      <c r="AJJ17" s="2">
        <v>0.1</v>
      </c>
      <c r="AJK17" s="2">
        <v>0.4</v>
      </c>
      <c r="AJL17" s="2">
        <v>-0.1</v>
      </c>
      <c r="AJM17" s="2">
        <v>-0.2</v>
      </c>
      <c r="AJN17" s="2">
        <v>-0.2</v>
      </c>
      <c r="AJO17" s="2">
        <v>0.4</v>
      </c>
      <c r="AJP17" s="2">
        <v>0.4</v>
      </c>
      <c r="AJQ17" s="2">
        <v>0.1</v>
      </c>
      <c r="AJR17" s="2">
        <v>0.5</v>
      </c>
      <c r="AJS17" s="2">
        <v>0.6</v>
      </c>
      <c r="AJT17" s="2">
        <v>0</v>
      </c>
      <c r="AJU17" s="2">
        <v>-0.1</v>
      </c>
      <c r="AJV17" s="2">
        <v>3.3</v>
      </c>
      <c r="AJW17" s="2">
        <v>4.1</v>
      </c>
      <c r="AJX17" s="2">
        <v>5.7</v>
      </c>
      <c r="AJY17" s="2">
        <v>5.7</v>
      </c>
      <c r="AJZ17" s="2">
        <v>3.7</v>
      </c>
      <c r="AKA17" s="2">
        <v>1.6</v>
      </c>
      <c r="AKB17" s="2">
        <v>1.2</v>
      </c>
      <c r="AKC17" s="2">
        <v>1</v>
      </c>
      <c r="AKD17" s="2">
        <v>1.3</v>
      </c>
      <c r="AKE17" s="2">
        <v>1.5</v>
      </c>
      <c r="AKF17" s="2">
        <v>1.1</v>
      </c>
      <c r="AKG17" s="2">
        <v>1.1</v>
      </c>
      <c r="AKH17" s="2">
        <v>1</v>
      </c>
      <c r="AKI17" s="2">
        <v>-0.2</v>
      </c>
      <c r="AKJ17" s="2">
        <v>-0.4</v>
      </c>
      <c r="AKK17" s="2">
        <v>0.4</v>
      </c>
      <c r="AKL17" s="2">
        <v>1.1</v>
      </c>
      <c r="AKM17" s="2">
        <v>1.4</v>
      </c>
      <c r="AKN17" s="2">
        <v>0.9</v>
      </c>
      <c r="AKO17" s="2">
        <v>1.8</v>
      </c>
      <c r="AKP17" s="2">
        <v>7.54</v>
      </c>
      <c r="AKQ17" s="2">
        <v>7.62</v>
      </c>
      <c r="AKR17" s="2">
        <v>7.75</v>
      </c>
    </row>
    <row r="18">
      <c r="A18" t="inlineStr">
        <is>
          <t>Other housing</t>
        </is>
      </c>
      <c r="B18" t="inlineStr">
        <is>
          <t>Housing</t>
        </is>
      </c>
      <c r="C18">
        <v>2</v>
      </c>
      <c r="D18">
        <v>3.5</v>
      </c>
      <c r="E18" s="3">
        <f>D18/21.39*0.2139</f>
        <v>0.035</v>
      </c>
      <c r="F18" s="3">
        <f>E18-D18/100</f>
        <v>0.0</v>
      </c>
      <c r="G18" s="3">
        <f>D18/21.39</f>
        <v>0.16362786348761102</v>
      </c>
      <c r="CI18" s="2">
        <v>93.43000000000001</v>
      </c>
      <c r="CJ18" s="2">
        <v>93.7</v>
      </c>
      <c r="CK18" s="2">
        <v>93.68000000000001</v>
      </c>
      <c r="CL18" s="2">
        <v>93.98999999999999</v>
      </c>
      <c r="CM18" s="2">
        <v>93.90000000000001</v>
      </c>
      <c r="CN18" s="2">
        <v>95.91</v>
      </c>
      <c r="CO18" s="2">
        <v>96.28</v>
      </c>
      <c r="CP18" s="2">
        <v>96.41</v>
      </c>
      <c r="CQ18" s="2">
        <v>96.28</v>
      </c>
      <c r="CR18" s="2">
        <v>96.59</v>
      </c>
      <c r="CS18" s="2">
        <v>96.54000000000001</v>
      </c>
      <c r="CT18" s="2">
        <v>96.73</v>
      </c>
      <c r="CU18" s="2">
        <v>96.81999999999999</v>
      </c>
      <c r="CV18" s="2">
        <v>96.84999999999999</v>
      </c>
      <c r="CW18" s="2">
        <v>96.91</v>
      </c>
      <c r="CX18" s="2">
        <v>97.39</v>
      </c>
      <c r="CY18" s="2">
        <v>97.47</v>
      </c>
      <c r="CZ18" s="2">
        <v>100</v>
      </c>
      <c r="DA18" s="2">
        <v>100.46</v>
      </c>
      <c r="DB18" s="2">
        <v>100.52</v>
      </c>
      <c r="DC18" s="2">
        <v>100.56</v>
      </c>
      <c r="DD18" s="2">
        <v>100.69</v>
      </c>
      <c r="DE18" s="2">
        <v>100.77</v>
      </c>
      <c r="DF18" s="2">
        <v>100.81</v>
      </c>
      <c r="DG18" s="2">
        <v>101.06</v>
      </c>
      <c r="DH18" s="2">
        <v>101.44</v>
      </c>
      <c r="DI18" s="2">
        <v>101.67</v>
      </c>
      <c r="DJ18" s="2">
        <v>101.93</v>
      </c>
      <c r="GL18" s="2">
        <v>3.6</v>
      </c>
      <c r="GM18" s="2">
        <v>3.4</v>
      </c>
      <c r="GN18" s="2">
        <v>3.4</v>
      </c>
      <c r="GO18" s="2">
        <v>3.6</v>
      </c>
      <c r="GP18" s="2">
        <v>3.8</v>
      </c>
      <c r="GQ18" s="2">
        <v>4.3</v>
      </c>
      <c r="GR18" s="2">
        <v>4.3</v>
      </c>
      <c r="GS18" s="2">
        <v>4.3</v>
      </c>
      <c r="GT18" s="2">
        <v>4.4</v>
      </c>
      <c r="GU18" s="2">
        <v>4.2</v>
      </c>
      <c r="GV18" s="2">
        <v>4.4</v>
      </c>
      <c r="GW18" s="2">
        <v>4.2</v>
      </c>
      <c r="GX18" s="2">
        <v>4.4</v>
      </c>
      <c r="GY18" s="2">
        <v>4.7</v>
      </c>
      <c r="GZ18" s="2">
        <v>4.9</v>
      </c>
      <c r="HA18" s="2">
        <v>4.7</v>
      </c>
      <c r="KC18" s="2">
        <v>0.3</v>
      </c>
      <c r="KD18" s="2">
        <v>0</v>
      </c>
      <c r="KE18" s="2">
        <v>0.3</v>
      </c>
      <c r="KF18" s="2">
        <v>-0.1</v>
      </c>
      <c r="KG18" s="2">
        <v>2.1</v>
      </c>
      <c r="KH18" s="2">
        <v>0.4</v>
      </c>
      <c r="KI18" s="2">
        <v>0.1</v>
      </c>
      <c r="KJ18" s="2">
        <v>-0.1</v>
      </c>
      <c r="KK18" s="2">
        <v>0.3</v>
      </c>
      <c r="KL18" s="2">
        <v>-0.1</v>
      </c>
      <c r="KM18" s="2">
        <v>0.2</v>
      </c>
      <c r="KN18" s="2">
        <v>0.1</v>
      </c>
      <c r="KO18" s="2">
        <v>0</v>
      </c>
      <c r="KP18" s="2">
        <v>0.1</v>
      </c>
      <c r="KQ18" s="2">
        <v>0.5</v>
      </c>
      <c r="KR18" s="2">
        <v>0.1</v>
      </c>
      <c r="KS18" s="2">
        <v>2.6</v>
      </c>
      <c r="KT18" s="2">
        <v>0.5</v>
      </c>
      <c r="KU18" s="2">
        <v>0.1</v>
      </c>
      <c r="KV18" s="2">
        <v>0</v>
      </c>
      <c r="KW18" s="2">
        <v>0.1</v>
      </c>
      <c r="KX18" s="2">
        <v>0.1</v>
      </c>
      <c r="KY18" s="2">
        <v>0</v>
      </c>
      <c r="KZ18" s="2">
        <v>0.2</v>
      </c>
      <c r="LA18" s="2">
        <v>0.4</v>
      </c>
      <c r="LB18" s="2">
        <v>0.2</v>
      </c>
      <c r="LC18" s="2">
        <v>0.3</v>
      </c>
      <c r="LD18" s="2">
        <v>3.41</v>
      </c>
      <c r="LE18" s="2">
        <v>3.42</v>
      </c>
      <c r="LF18" s="2">
        <v>3.42</v>
      </c>
      <c r="LG18" s="2">
        <v>3.42</v>
      </c>
      <c r="LH18" s="2">
        <v>3.43</v>
      </c>
      <c r="LI18" s="2">
        <v>3.43</v>
      </c>
      <c r="LJ18" s="2">
        <v>3.43</v>
      </c>
      <c r="LK18" s="2">
        <v>3.45</v>
      </c>
      <c r="LL18" s="2">
        <v>3.45</v>
      </c>
      <c r="LM18" s="2">
        <v>3.54</v>
      </c>
      <c r="LN18" s="2">
        <v>3.55</v>
      </c>
      <c r="LO18" s="2">
        <v>3.56</v>
      </c>
      <c r="LP18" s="2">
        <v>3.56</v>
      </c>
      <c r="LQ18" s="2">
        <v>3.56</v>
      </c>
      <c r="LR18" s="2">
        <v>3.57</v>
      </c>
      <c r="LS18" s="2">
        <v>3.57</v>
      </c>
      <c r="LT18" s="2">
        <v>3.58</v>
      </c>
      <c r="LU18" s="2">
        <v>3.59</v>
      </c>
      <c r="LV18" s="2">
        <v>3.6</v>
      </c>
      <c r="LW18" s="2">
        <v>3.61</v>
      </c>
      <c r="LX18" s="2">
        <v>0.01</v>
      </c>
      <c r="LY18" s="2">
        <v>0</v>
      </c>
      <c r="LZ18" s="2">
        <v>0</v>
      </c>
      <c r="MA18" s="2">
        <v>0.01</v>
      </c>
      <c r="MB18" s="2">
        <v>0</v>
      </c>
      <c r="MC18" s="2">
        <v>0</v>
      </c>
      <c r="MD18" s="2">
        <v>0.02</v>
      </c>
      <c r="ME18" s="2">
        <v>0</v>
      </c>
      <c r="MF18" s="2">
        <v>0.09</v>
      </c>
      <c r="MG18" s="2">
        <v>0.01</v>
      </c>
      <c r="MH18" s="2">
        <v>0.01</v>
      </c>
      <c r="MI18" s="2">
        <v>0</v>
      </c>
      <c r="MJ18" s="2">
        <v>0</v>
      </c>
      <c r="MK18" s="2">
        <v>0.01</v>
      </c>
      <c r="ML18" s="2">
        <v>0</v>
      </c>
      <c r="MM18" s="2">
        <v>0.01</v>
      </c>
      <c r="MN18" s="2">
        <v>0.01</v>
      </c>
      <c r="MO18" s="2">
        <v>0.01</v>
      </c>
      <c r="MP18" s="2">
        <v>0.01</v>
      </c>
      <c r="UH18" s="2">
        <v>34.83</v>
      </c>
      <c r="UI18" s="2">
        <v>35.39</v>
      </c>
      <c r="UJ18" s="2">
        <v>35.53</v>
      </c>
      <c r="UK18" s="2">
        <v>35.53</v>
      </c>
      <c r="UL18" s="2">
        <v>35.53</v>
      </c>
      <c r="UM18" s="2">
        <v>36.47</v>
      </c>
      <c r="UN18" s="2">
        <v>36.78</v>
      </c>
      <c r="UO18" s="2">
        <v>37.24</v>
      </c>
      <c r="UP18" s="2">
        <v>37.55</v>
      </c>
      <c r="UQ18" s="2">
        <v>40.58</v>
      </c>
      <c r="UR18" s="2">
        <v>40.69</v>
      </c>
      <c r="US18" s="2">
        <v>40.86</v>
      </c>
      <c r="UT18" s="2">
        <v>41</v>
      </c>
      <c r="UU18" s="2">
        <v>42.11</v>
      </c>
      <c r="UV18" s="2">
        <v>42.36</v>
      </c>
      <c r="UW18" s="2">
        <v>42.29</v>
      </c>
      <c r="UX18" s="2">
        <v>42.46</v>
      </c>
      <c r="UY18" s="2">
        <v>43.61</v>
      </c>
      <c r="UZ18" s="2">
        <v>43.82</v>
      </c>
      <c r="VA18" s="2">
        <v>43.93</v>
      </c>
      <c r="VB18" s="2">
        <v>44.27</v>
      </c>
      <c r="VC18" s="2">
        <v>45.56</v>
      </c>
      <c r="VD18" s="2">
        <v>45.67</v>
      </c>
      <c r="VE18" s="2">
        <v>45.74</v>
      </c>
      <c r="VF18" s="2">
        <v>45.95</v>
      </c>
      <c r="VG18" s="2">
        <v>47.17</v>
      </c>
      <c r="VH18" s="2">
        <v>47.37</v>
      </c>
      <c r="VI18" s="2">
        <v>47.48</v>
      </c>
      <c r="VJ18" s="2">
        <v>47.76</v>
      </c>
      <c r="VK18" s="2">
        <v>48.84</v>
      </c>
      <c r="VL18" s="2">
        <v>49.01</v>
      </c>
      <c r="VM18" s="2">
        <v>49.15</v>
      </c>
      <c r="VN18" s="2">
        <v>49.5</v>
      </c>
      <c r="VO18" s="2">
        <v>50.65</v>
      </c>
      <c r="VP18" s="2">
        <v>50.75</v>
      </c>
      <c r="VQ18" s="2">
        <v>50.72</v>
      </c>
      <c r="VR18" s="2">
        <v>50.89</v>
      </c>
      <c r="VS18" s="2">
        <v>51.97</v>
      </c>
      <c r="VT18" s="2">
        <v>52.25</v>
      </c>
      <c r="VU18" s="2">
        <v>52.53</v>
      </c>
      <c r="VV18" s="2">
        <v>52.74</v>
      </c>
      <c r="VW18" s="2">
        <v>54.24</v>
      </c>
      <c r="VX18" s="2">
        <v>54.62</v>
      </c>
      <c r="VY18" s="2">
        <v>55.21</v>
      </c>
      <c r="VZ18" s="2">
        <v>55.63</v>
      </c>
      <c r="WA18" s="2">
        <v>57.09</v>
      </c>
      <c r="WB18" s="2">
        <v>57.2</v>
      </c>
      <c r="WC18" s="2">
        <v>57.34</v>
      </c>
      <c r="WD18" s="2">
        <v>57.48</v>
      </c>
      <c r="WE18" s="2">
        <v>59.01</v>
      </c>
      <c r="WF18" s="2">
        <v>59.32</v>
      </c>
      <c r="WG18" s="2">
        <v>59.46</v>
      </c>
      <c r="WH18" s="2">
        <v>59.71</v>
      </c>
      <c r="WI18" s="2">
        <v>61.05</v>
      </c>
      <c r="WJ18" s="2">
        <v>61.06</v>
      </c>
      <c r="WK18" s="2">
        <v>60.91</v>
      </c>
      <c r="WL18" s="2">
        <v>61.2</v>
      </c>
      <c r="WM18" s="2">
        <v>62.9</v>
      </c>
      <c r="WN18" s="2">
        <v>63.09</v>
      </c>
      <c r="WO18" s="2">
        <v>63.34</v>
      </c>
      <c r="WP18" s="2">
        <v>63.48</v>
      </c>
      <c r="WQ18" s="2">
        <v>65.84</v>
      </c>
      <c r="WR18" s="2">
        <v>66.06999999999999</v>
      </c>
      <c r="WS18" s="2">
        <v>66.3</v>
      </c>
      <c r="WT18" s="2">
        <v>66.5</v>
      </c>
      <c r="WU18" s="2">
        <v>68.55</v>
      </c>
      <c r="WV18" s="2">
        <v>68.78</v>
      </c>
      <c r="WW18" s="2">
        <v>68.92</v>
      </c>
      <c r="WX18" s="2">
        <v>69.14</v>
      </c>
      <c r="WY18" s="2">
        <v>70.95</v>
      </c>
      <c r="WZ18" s="2">
        <v>71.12</v>
      </c>
      <c r="XA18" s="2">
        <v>71.37</v>
      </c>
      <c r="XB18" s="2">
        <v>71.54000000000001</v>
      </c>
      <c r="XC18" s="2">
        <v>72.94</v>
      </c>
      <c r="XD18" s="2">
        <v>73.34</v>
      </c>
      <c r="XE18" s="2">
        <v>73.42</v>
      </c>
      <c r="XF18" s="2">
        <v>73.45999999999999</v>
      </c>
      <c r="XG18" s="2">
        <v>74.54000000000001</v>
      </c>
      <c r="XH18" s="2">
        <v>74.86</v>
      </c>
      <c r="XI18" s="2">
        <v>74.98999999999999</v>
      </c>
      <c r="XJ18" s="2">
        <v>75.19</v>
      </c>
      <c r="XK18" s="2">
        <v>76.29000000000001</v>
      </c>
      <c r="XL18" s="2">
        <v>76.56</v>
      </c>
      <c r="XM18" s="2">
        <v>76.87</v>
      </c>
      <c r="XN18" s="2">
        <v>77.25</v>
      </c>
      <c r="XO18" s="2">
        <v>78.37</v>
      </c>
      <c r="XP18" s="2">
        <v>78.59999999999999</v>
      </c>
      <c r="XQ18" s="2">
        <v>78.77</v>
      </c>
      <c r="XR18" s="2">
        <v>78.91</v>
      </c>
      <c r="XS18" s="2">
        <v>79.48</v>
      </c>
      <c r="XT18" s="2">
        <v>79.81999999999999</v>
      </c>
      <c r="XU18" s="2">
        <v>80.31999999999999</v>
      </c>
      <c r="XV18" s="2">
        <v>80.69</v>
      </c>
      <c r="XW18" s="2">
        <v>82.43000000000001</v>
      </c>
      <c r="XX18" s="2">
        <v>83.58</v>
      </c>
      <c r="XY18" s="2">
        <v>83.95999999999999</v>
      </c>
      <c r="XZ18" s="2">
        <v>84.59</v>
      </c>
      <c r="YA18" s="2">
        <v>86.90000000000001</v>
      </c>
      <c r="YB18" s="2">
        <v>87.72</v>
      </c>
      <c r="YC18" s="2">
        <v>88.25</v>
      </c>
      <c r="YD18" s="2">
        <v>88.68000000000001</v>
      </c>
      <c r="YE18" s="2">
        <v>90.75</v>
      </c>
      <c r="YF18" s="2">
        <v>91.36</v>
      </c>
      <c r="YG18" s="2">
        <v>91.54000000000001</v>
      </c>
      <c r="YH18" s="2">
        <v>91.81</v>
      </c>
      <c r="YI18" s="2">
        <v>94.3</v>
      </c>
      <c r="YJ18" s="2">
        <v>94.63</v>
      </c>
      <c r="YK18" s="2">
        <v>94.92</v>
      </c>
      <c r="YL18" s="2">
        <v>95.23999999999999</v>
      </c>
      <c r="YM18" s="2">
        <v>98.29000000000001</v>
      </c>
      <c r="YN18" s="2">
        <v>100.51</v>
      </c>
      <c r="YO18" s="2">
        <v>100.76</v>
      </c>
      <c r="YP18" s="2">
        <v>101.39</v>
      </c>
      <c r="AGH18" s="2">
        <v>1.6</v>
      </c>
      <c r="AGI18" s="2">
        <v>0.4</v>
      </c>
      <c r="AGJ18" s="2">
        <v>0</v>
      </c>
      <c r="AGK18" s="2">
        <v>0</v>
      </c>
      <c r="AGL18" s="2">
        <v>2.6</v>
      </c>
      <c r="AGM18" s="2">
        <v>0.9</v>
      </c>
      <c r="AGN18" s="2">
        <v>1.3</v>
      </c>
      <c r="AGO18" s="2">
        <v>0.8</v>
      </c>
      <c r="AGP18" s="2">
        <v>8.1</v>
      </c>
      <c r="AGQ18" s="2">
        <v>0.3</v>
      </c>
      <c r="AGR18" s="2">
        <v>0.4</v>
      </c>
      <c r="AGS18" s="2">
        <v>0.3</v>
      </c>
      <c r="AGT18" s="2">
        <v>2.7</v>
      </c>
      <c r="AGU18" s="2">
        <v>0.6</v>
      </c>
      <c r="AGV18" s="2">
        <v>-0.2</v>
      </c>
      <c r="AGW18" s="2">
        <v>0.4</v>
      </c>
      <c r="AGX18" s="2">
        <v>2.7</v>
      </c>
      <c r="AGY18" s="2">
        <v>0.5</v>
      </c>
      <c r="AGZ18" s="2">
        <v>0.3</v>
      </c>
      <c r="AHA18" s="2">
        <v>0.8</v>
      </c>
      <c r="AHB18" s="2">
        <v>2.9</v>
      </c>
      <c r="AHC18" s="2">
        <v>0.2</v>
      </c>
      <c r="AHD18" s="2">
        <v>0.2</v>
      </c>
      <c r="AHE18" s="2">
        <v>0.5</v>
      </c>
      <c r="AHF18" s="2">
        <v>2.7</v>
      </c>
      <c r="AHG18" s="2">
        <v>0.4</v>
      </c>
      <c r="AHH18" s="2">
        <v>0.2</v>
      </c>
      <c r="AHI18" s="2">
        <v>0.6</v>
      </c>
      <c r="AHJ18" s="2">
        <v>2.3</v>
      </c>
      <c r="AHK18" s="2">
        <v>0.3</v>
      </c>
      <c r="AHL18" s="2">
        <v>0.3</v>
      </c>
      <c r="AHM18" s="2">
        <v>0.7</v>
      </c>
      <c r="AHN18" s="2">
        <v>2.3</v>
      </c>
      <c r="AHO18" s="2">
        <v>0.2</v>
      </c>
      <c r="AHP18" s="2">
        <v>-0.1</v>
      </c>
      <c r="AHQ18" s="2">
        <v>0.3</v>
      </c>
      <c r="AHR18" s="2">
        <v>2.1</v>
      </c>
      <c r="AHS18" s="2">
        <v>0.5</v>
      </c>
      <c r="AHT18" s="2">
        <v>0.5</v>
      </c>
      <c r="AHU18" s="2">
        <v>0.4</v>
      </c>
      <c r="AHV18" s="2">
        <v>2.8</v>
      </c>
      <c r="AHW18" s="2">
        <v>0.7</v>
      </c>
      <c r="AHX18" s="2">
        <v>1.1</v>
      </c>
      <c r="AHY18" s="2">
        <v>0.8</v>
      </c>
      <c r="AHZ18" s="2">
        <v>2.6</v>
      </c>
      <c r="AIA18" s="2">
        <v>0.2</v>
      </c>
      <c r="AIB18" s="2">
        <v>0.2</v>
      </c>
      <c r="AIC18" s="2">
        <v>0.2</v>
      </c>
      <c r="AID18" s="2">
        <v>2.7</v>
      </c>
      <c r="AIE18" s="2">
        <v>0.5</v>
      </c>
      <c r="AIF18" s="2">
        <v>0.2</v>
      </c>
      <c r="AIG18" s="2">
        <v>0.4</v>
      </c>
      <c r="AIH18" s="2">
        <v>2.2</v>
      </c>
      <c r="AII18" s="2">
        <v>0</v>
      </c>
      <c r="AIJ18" s="2">
        <v>-0.2</v>
      </c>
      <c r="AIK18" s="2">
        <v>0.5</v>
      </c>
      <c r="AIL18" s="2">
        <v>2.8</v>
      </c>
      <c r="AIM18" s="2">
        <v>0.3</v>
      </c>
      <c r="AIN18" s="2">
        <v>0.4</v>
      </c>
      <c r="AIO18" s="2">
        <v>0.2</v>
      </c>
      <c r="AIP18" s="2">
        <v>3.7</v>
      </c>
      <c r="AIQ18" s="2">
        <v>0.3</v>
      </c>
      <c r="AIR18" s="2">
        <v>0.3</v>
      </c>
      <c r="AIS18" s="2">
        <v>0.3</v>
      </c>
      <c r="AIT18" s="2">
        <v>3.1</v>
      </c>
      <c r="AIU18" s="2">
        <v>0.3</v>
      </c>
      <c r="AIV18" s="2">
        <v>0.2</v>
      </c>
      <c r="AIW18" s="2">
        <v>0.3</v>
      </c>
      <c r="AIX18" s="2">
        <v>2.6</v>
      </c>
      <c r="AIY18" s="2">
        <v>0.2</v>
      </c>
      <c r="AIZ18" s="2">
        <v>0.4</v>
      </c>
      <c r="AJA18" s="2">
        <v>0.2</v>
      </c>
      <c r="AJB18" s="2">
        <v>2</v>
      </c>
      <c r="AJC18" s="2">
        <v>0.5</v>
      </c>
      <c r="AJD18" s="2">
        <v>0.1</v>
      </c>
      <c r="AJE18" s="2">
        <v>0.1</v>
      </c>
      <c r="AJF18" s="2">
        <v>1.5</v>
      </c>
      <c r="AJG18" s="2">
        <v>0.4</v>
      </c>
      <c r="AJH18" s="2">
        <v>0.2</v>
      </c>
      <c r="AJI18" s="2">
        <v>0.3</v>
      </c>
      <c r="AJJ18" s="2">
        <v>1.5</v>
      </c>
      <c r="AJK18" s="2">
        <v>0.4</v>
      </c>
      <c r="AJL18" s="2">
        <v>0.4</v>
      </c>
      <c r="AJM18" s="2">
        <v>0.5</v>
      </c>
      <c r="AJN18" s="2">
        <v>1.4</v>
      </c>
      <c r="AJO18" s="2">
        <v>0.3</v>
      </c>
      <c r="AJP18" s="2">
        <v>0.2</v>
      </c>
      <c r="AJQ18" s="2">
        <v>0.2</v>
      </c>
      <c r="AJR18" s="2">
        <v>0.7</v>
      </c>
      <c r="AJS18" s="2">
        <v>0.4</v>
      </c>
      <c r="AJT18" s="2">
        <v>0.6</v>
      </c>
      <c r="AJU18" s="2">
        <v>0.5</v>
      </c>
      <c r="AJV18" s="2">
        <v>2.2</v>
      </c>
      <c r="AJW18" s="2">
        <v>1.4</v>
      </c>
      <c r="AJX18" s="2">
        <v>0.5</v>
      </c>
      <c r="AJY18" s="2">
        <v>0.8</v>
      </c>
      <c r="AJZ18" s="2">
        <v>2.7</v>
      </c>
      <c r="AKA18" s="2">
        <v>0.9</v>
      </c>
      <c r="AKB18" s="2">
        <v>0.6</v>
      </c>
      <c r="AKC18" s="2">
        <v>0.5</v>
      </c>
      <c r="AKD18" s="2">
        <v>2.3</v>
      </c>
      <c r="AKE18" s="2">
        <v>0.7</v>
      </c>
      <c r="AKF18" s="2">
        <v>0.2</v>
      </c>
      <c r="AKG18" s="2">
        <v>0.3</v>
      </c>
      <c r="AKH18" s="2">
        <v>2.7</v>
      </c>
      <c r="AKI18" s="2">
        <v>0.3</v>
      </c>
      <c r="AKJ18" s="2">
        <v>0.3</v>
      </c>
      <c r="AKK18" s="2">
        <v>0.3</v>
      </c>
      <c r="AKL18" s="2">
        <v>3.2</v>
      </c>
      <c r="AKM18" s="2">
        <v>2.3</v>
      </c>
      <c r="AKN18" s="2">
        <v>0.2</v>
      </c>
      <c r="AKO18" s="2">
        <v>0.6</v>
      </c>
      <c r="AKP18" s="2">
        <v>3.56</v>
      </c>
      <c r="AKQ18" s="2">
        <v>3.57</v>
      </c>
      <c r="AKR18" s="2">
        <v>3.59</v>
      </c>
    </row>
    <row r="19">
      <c r="A19" t="inlineStr">
        <is>
          <t>Utilities</t>
        </is>
      </c>
      <c r="B19" t="inlineStr">
        <is>
          <t>Housing</t>
        </is>
      </c>
      <c r="C19">
        <v>2</v>
      </c>
      <c r="D19">
        <v>3.75</v>
      </c>
      <c r="E19" s="3">
        <f>D19/21.39*0.2139</f>
        <v>0.0375</v>
      </c>
      <c r="F19" s="3">
        <f>E19-D19/100</f>
        <v>0.0</v>
      </c>
      <c r="G19" s="3">
        <f>D19/21.39</f>
        <v>0.1753155680224404</v>
      </c>
      <c r="CI19" s="2">
        <v>95.62</v>
      </c>
      <c r="CJ19" s="2">
        <v>95.86</v>
      </c>
      <c r="CK19" s="2">
        <v>96.42</v>
      </c>
      <c r="CL19" s="2">
        <v>94.61</v>
      </c>
      <c r="CM19" s="2">
        <v>87.14</v>
      </c>
      <c r="CN19" s="2">
        <v>83.86</v>
      </c>
      <c r="CO19" s="2">
        <v>78.48</v>
      </c>
      <c r="CP19" s="2">
        <v>87.31999999999999</v>
      </c>
      <c r="CQ19" s="2">
        <v>86.28</v>
      </c>
      <c r="CR19" s="2">
        <v>90.23999999999999</v>
      </c>
      <c r="CS19" s="2">
        <v>89.06999999999999</v>
      </c>
      <c r="CT19" s="2">
        <v>93.34</v>
      </c>
      <c r="CU19" s="2">
        <v>93.95999999999999</v>
      </c>
      <c r="CV19" s="2">
        <v>94.51000000000001</v>
      </c>
      <c r="CW19" s="2">
        <v>94.40000000000001</v>
      </c>
      <c r="CX19" s="2">
        <v>103.44</v>
      </c>
      <c r="CY19" s="2">
        <v>99.72</v>
      </c>
      <c r="CZ19" s="2">
        <v>100</v>
      </c>
      <c r="DA19" s="2">
        <v>94.3</v>
      </c>
      <c r="DB19" s="2">
        <v>98.48999999999999</v>
      </c>
      <c r="DC19" s="2">
        <v>98.48999999999999</v>
      </c>
      <c r="DD19" s="2">
        <v>108.45</v>
      </c>
      <c r="DE19" s="2">
        <v>109.06</v>
      </c>
      <c r="DF19" s="2">
        <v>109.06</v>
      </c>
      <c r="DG19" s="2">
        <v>108.33</v>
      </c>
      <c r="DH19" s="2">
        <v>108.19</v>
      </c>
      <c r="DI19" s="2">
        <v>109.23</v>
      </c>
      <c r="DJ19" s="2">
        <v>110.05</v>
      </c>
      <c r="GL19" s="2">
        <v>-1.7</v>
      </c>
      <c r="GM19" s="2">
        <v>-1.4</v>
      </c>
      <c r="GN19" s="2">
        <v>-2.1</v>
      </c>
      <c r="GO19" s="2">
        <v>9.300000000000001</v>
      </c>
      <c r="GP19" s="2">
        <v>14.4</v>
      </c>
      <c r="GQ19" s="2">
        <v>19.2</v>
      </c>
      <c r="GR19" s="2">
        <v>20.2</v>
      </c>
      <c r="GS19" s="2">
        <v>12.8</v>
      </c>
      <c r="GT19" s="2">
        <v>14.2</v>
      </c>
      <c r="GU19" s="2">
        <v>20.2</v>
      </c>
      <c r="GV19" s="2">
        <v>22.4</v>
      </c>
      <c r="GW19" s="2">
        <v>16.8</v>
      </c>
      <c r="GX19" s="2">
        <v>15.3</v>
      </c>
      <c r="GY19" s="2">
        <v>14.5</v>
      </c>
      <c r="GZ19" s="2">
        <v>15.7</v>
      </c>
      <c r="HA19" s="2">
        <v>6.4</v>
      </c>
      <c r="KC19" s="2">
        <v>0.3</v>
      </c>
      <c r="KD19" s="2">
        <v>0.6</v>
      </c>
      <c r="KE19" s="2">
        <v>-1.9</v>
      </c>
      <c r="KF19" s="2">
        <v>-7.9</v>
      </c>
      <c r="KG19" s="2">
        <v>-3.8</v>
      </c>
      <c r="KH19" s="2">
        <v>-6.4</v>
      </c>
      <c r="KI19" s="2">
        <v>11.3</v>
      </c>
      <c r="KJ19" s="2">
        <v>-1.2</v>
      </c>
      <c r="KK19" s="2">
        <v>4.6</v>
      </c>
      <c r="KL19" s="2">
        <v>-1.3</v>
      </c>
      <c r="KM19" s="2">
        <v>4.8</v>
      </c>
      <c r="KN19" s="2">
        <v>0.7</v>
      </c>
      <c r="KO19" s="2">
        <v>0.6</v>
      </c>
      <c r="KP19" s="2">
        <v>-0.1</v>
      </c>
      <c r="KQ19" s="2">
        <v>9.6</v>
      </c>
      <c r="KR19" s="2">
        <v>-3.6</v>
      </c>
      <c r="KS19" s="2">
        <v>0.3</v>
      </c>
      <c r="KT19" s="2">
        <v>-5.7</v>
      </c>
      <c r="KU19" s="2">
        <v>4.4</v>
      </c>
      <c r="KV19" s="2">
        <v>0</v>
      </c>
      <c r="KW19" s="2">
        <v>10.1</v>
      </c>
      <c r="KX19" s="2">
        <v>0.6</v>
      </c>
      <c r="KY19" s="2">
        <v>0</v>
      </c>
      <c r="KZ19" s="2">
        <v>-0.7</v>
      </c>
      <c r="LA19" s="2">
        <v>-0.1</v>
      </c>
      <c r="LB19" s="2">
        <v>1</v>
      </c>
      <c r="LC19" s="2">
        <v>0.8</v>
      </c>
      <c r="LD19" s="2">
        <v>3.65</v>
      </c>
      <c r="LE19" s="2">
        <v>3.82</v>
      </c>
      <c r="LF19" s="2">
        <v>3.77</v>
      </c>
      <c r="LG19" s="2">
        <v>3.95</v>
      </c>
      <c r="LH19" s="2">
        <v>3.97</v>
      </c>
      <c r="LI19" s="2">
        <v>4</v>
      </c>
      <c r="LJ19" s="2">
        <v>3.99</v>
      </c>
      <c r="LK19" s="2">
        <v>4.37</v>
      </c>
      <c r="LL19" s="2">
        <v>4.22</v>
      </c>
      <c r="LM19" s="2">
        <v>4.23</v>
      </c>
      <c r="LN19" s="2">
        <v>3.99</v>
      </c>
      <c r="LO19" s="2">
        <v>4.16</v>
      </c>
      <c r="LP19" s="2">
        <v>4.16</v>
      </c>
      <c r="LQ19" s="2">
        <v>4.59</v>
      </c>
      <c r="LR19" s="2">
        <v>4.61</v>
      </c>
      <c r="LS19" s="2">
        <v>4.61</v>
      </c>
      <c r="LT19" s="2">
        <v>4.58</v>
      </c>
      <c r="LU19" s="2">
        <v>4.57</v>
      </c>
      <c r="LV19" s="2">
        <v>4.62</v>
      </c>
      <c r="LW19" s="2">
        <v>4.65</v>
      </c>
      <c r="LX19" s="2">
        <v>0.17</v>
      </c>
      <c r="LY19" s="2">
        <v>-0.05</v>
      </c>
      <c r="LZ19" s="2">
        <v>0.18</v>
      </c>
      <c r="MA19" s="2">
        <v>0.02</v>
      </c>
      <c r="MB19" s="2">
        <v>0.03</v>
      </c>
      <c r="MC19" s="2">
        <v>-0.01</v>
      </c>
      <c r="MD19" s="2">
        <v>0.38</v>
      </c>
      <c r="ME19" s="2">
        <v>-0.15</v>
      </c>
      <c r="MF19" s="2">
        <v>0.01</v>
      </c>
      <c r="MG19" s="2">
        <v>-0.24</v>
      </c>
      <c r="MH19" s="2">
        <v>0.17</v>
      </c>
      <c r="MI19" s="2">
        <v>0</v>
      </c>
      <c r="MJ19" s="2">
        <v>0.43</v>
      </c>
      <c r="MK19" s="2">
        <v>0.02</v>
      </c>
      <c r="ML19" s="2">
        <v>0</v>
      </c>
      <c r="MM19" s="2">
        <v>-0.03</v>
      </c>
      <c r="MN19" s="2">
        <v>-0.01</v>
      </c>
      <c r="MO19" s="2">
        <v>0.05</v>
      </c>
      <c r="MP19" s="2">
        <v>0.03</v>
      </c>
      <c r="QI19" s="2">
        <v>4.33</v>
      </c>
      <c r="QJ19" s="2">
        <v>4.33</v>
      </c>
      <c r="QK19" s="2">
        <v>4.35</v>
      </c>
      <c r="QL19" s="2">
        <v>4.35</v>
      </c>
      <c r="QM19" s="2">
        <v>4.56</v>
      </c>
      <c r="QN19" s="2">
        <v>4.56</v>
      </c>
      <c r="QO19" s="2">
        <v>4.72</v>
      </c>
      <c r="QP19" s="2">
        <v>4.9</v>
      </c>
      <c r="QQ19" s="2">
        <v>5.08</v>
      </c>
      <c r="QR19" s="2">
        <v>5.19</v>
      </c>
      <c r="QS19" s="2">
        <v>5.66</v>
      </c>
      <c r="QT19" s="2">
        <v>5.98</v>
      </c>
      <c r="QU19" s="2">
        <v>6.11</v>
      </c>
      <c r="QV19" s="2">
        <v>6.27</v>
      </c>
      <c r="QW19" s="2">
        <v>6.43</v>
      </c>
      <c r="QX19" s="2">
        <v>6.57</v>
      </c>
      <c r="QY19" s="2">
        <v>6.59</v>
      </c>
      <c r="QZ19" s="2">
        <v>6.66</v>
      </c>
      <c r="RA19" s="2">
        <v>7.04</v>
      </c>
      <c r="RB19" s="2">
        <v>7.06</v>
      </c>
      <c r="RC19" s="2">
        <v>7.13</v>
      </c>
      <c r="RD19" s="2">
        <v>7.45</v>
      </c>
      <c r="RE19" s="2">
        <v>7.49</v>
      </c>
      <c r="RF19" s="2">
        <v>7.81</v>
      </c>
      <c r="RG19" s="2">
        <v>7.85</v>
      </c>
      <c r="RH19" s="2">
        <v>8.08</v>
      </c>
      <c r="RI19" s="2">
        <v>8.460000000000001</v>
      </c>
      <c r="RJ19" s="2">
        <v>8.619999999999999</v>
      </c>
      <c r="RK19" s="2">
        <v>8.93</v>
      </c>
      <c r="RL19" s="2">
        <v>9.23</v>
      </c>
      <c r="RM19" s="2">
        <v>9.75</v>
      </c>
      <c r="RN19" s="2">
        <v>9.949999999999999</v>
      </c>
      <c r="RO19" s="2">
        <v>10.33</v>
      </c>
      <c r="RP19" s="2">
        <v>10.42</v>
      </c>
      <c r="RQ19" s="2">
        <v>11.14</v>
      </c>
      <c r="RR19" s="2">
        <v>11.24</v>
      </c>
      <c r="RS19" s="2">
        <v>11.69</v>
      </c>
      <c r="RT19" s="2">
        <v>12.05</v>
      </c>
      <c r="RU19" s="2">
        <v>12.86</v>
      </c>
      <c r="RV19" s="2">
        <v>13.36</v>
      </c>
      <c r="RW19" s="2">
        <v>14.42</v>
      </c>
      <c r="RX19" s="2">
        <v>15.43</v>
      </c>
      <c r="RY19" s="2">
        <v>15.57</v>
      </c>
      <c r="RZ19" s="2">
        <v>15.57</v>
      </c>
      <c r="SA19" s="2">
        <v>16.02</v>
      </c>
      <c r="SB19" s="2">
        <v>16.74</v>
      </c>
      <c r="SC19" s="2">
        <v>16.67</v>
      </c>
      <c r="SD19" s="2">
        <v>16.45</v>
      </c>
      <c r="SE19" s="2">
        <v>16.9</v>
      </c>
      <c r="SF19" s="2">
        <v>17.33</v>
      </c>
      <c r="SG19" s="2">
        <v>17.76</v>
      </c>
      <c r="SH19" s="2">
        <v>17.94</v>
      </c>
      <c r="SI19" s="2">
        <v>18.21</v>
      </c>
      <c r="SJ19" s="2">
        <v>18.43</v>
      </c>
      <c r="SK19" s="2">
        <v>18.79</v>
      </c>
      <c r="SL19" s="2">
        <v>18.75</v>
      </c>
      <c r="SM19" s="2">
        <v>19.13</v>
      </c>
      <c r="SN19" s="2">
        <v>19.49</v>
      </c>
      <c r="SO19" s="2">
        <v>19.63</v>
      </c>
      <c r="SP19" s="2">
        <v>19.67</v>
      </c>
      <c r="SQ19" s="2">
        <v>20.49</v>
      </c>
      <c r="SR19" s="2">
        <v>20.71</v>
      </c>
      <c r="SS19" s="2">
        <v>20.78</v>
      </c>
      <c r="ST19" s="2">
        <v>20.8</v>
      </c>
      <c r="SU19" s="2">
        <v>21.59</v>
      </c>
      <c r="SV19" s="2">
        <v>21.68</v>
      </c>
      <c r="SW19" s="2">
        <v>21.7</v>
      </c>
      <c r="SX19" s="2">
        <v>21.73</v>
      </c>
      <c r="SY19" s="2">
        <v>22.36</v>
      </c>
      <c r="SZ19" s="2">
        <v>22.58</v>
      </c>
      <c r="TA19" s="2">
        <v>22.65</v>
      </c>
      <c r="TB19" s="2">
        <v>22.67</v>
      </c>
      <c r="TC19" s="2">
        <v>22.29</v>
      </c>
      <c r="TD19" s="2">
        <v>23.8</v>
      </c>
      <c r="TE19" s="2">
        <v>23.91</v>
      </c>
      <c r="TF19" s="2">
        <v>23.89</v>
      </c>
      <c r="TG19" s="2">
        <v>24.82</v>
      </c>
      <c r="TH19" s="2">
        <v>24.91</v>
      </c>
      <c r="TI19" s="2">
        <v>24.95</v>
      </c>
      <c r="TJ19" s="2">
        <v>24.95</v>
      </c>
      <c r="TK19" s="2">
        <v>25.36</v>
      </c>
      <c r="TL19" s="2">
        <v>25.9</v>
      </c>
      <c r="TM19" s="2">
        <v>26.31</v>
      </c>
      <c r="TN19" s="2">
        <v>26.33</v>
      </c>
      <c r="TO19" s="2">
        <v>26.55</v>
      </c>
      <c r="TP19" s="2">
        <v>26.58</v>
      </c>
      <c r="TQ19" s="2">
        <v>26.6</v>
      </c>
      <c r="TR19" s="2">
        <v>26.6</v>
      </c>
      <c r="TS19" s="2">
        <v>26.73</v>
      </c>
      <c r="TT19" s="2">
        <v>26.76</v>
      </c>
      <c r="TU19" s="2">
        <v>26.8</v>
      </c>
      <c r="TV19" s="2">
        <v>26.82</v>
      </c>
      <c r="TW19" s="2">
        <v>26.94</v>
      </c>
      <c r="TX19" s="2">
        <v>26.94</v>
      </c>
      <c r="TY19" s="2">
        <v>26.96</v>
      </c>
      <c r="TZ19" s="2">
        <v>26.96</v>
      </c>
      <c r="UA19" s="2">
        <v>27.3</v>
      </c>
      <c r="UB19" s="2">
        <v>27.34</v>
      </c>
      <c r="UC19" s="2">
        <v>27.41</v>
      </c>
      <c r="UD19" s="2">
        <v>27.39</v>
      </c>
      <c r="UE19" s="2">
        <v>27.66</v>
      </c>
      <c r="UF19" s="2">
        <v>27.66</v>
      </c>
      <c r="UG19" s="2">
        <v>27.64</v>
      </c>
      <c r="UH19" s="2">
        <v>27.66</v>
      </c>
      <c r="UI19" s="2">
        <v>27.13</v>
      </c>
      <c r="UJ19" s="2">
        <v>27.36</v>
      </c>
      <c r="UK19" s="2">
        <v>27.42</v>
      </c>
      <c r="UL19" s="2">
        <v>27.25</v>
      </c>
      <c r="UM19" s="2">
        <v>27.47</v>
      </c>
      <c r="UN19" s="2">
        <v>27.65</v>
      </c>
      <c r="UO19" s="2">
        <v>27.71</v>
      </c>
      <c r="UP19" s="2">
        <v>27.6</v>
      </c>
      <c r="UQ19" s="2">
        <v>30.02</v>
      </c>
      <c r="UR19" s="2">
        <v>29.98</v>
      </c>
      <c r="US19" s="2">
        <v>30.04</v>
      </c>
      <c r="UT19" s="2">
        <v>29.99</v>
      </c>
      <c r="UU19" s="2">
        <v>30.96</v>
      </c>
      <c r="UV19" s="2">
        <v>30.87</v>
      </c>
      <c r="UW19" s="2">
        <v>31.43</v>
      </c>
      <c r="UX19" s="2">
        <v>31.34</v>
      </c>
      <c r="UY19" s="2">
        <v>32.08</v>
      </c>
      <c r="UZ19" s="2">
        <v>31.98</v>
      </c>
      <c r="VA19" s="2">
        <v>33.21</v>
      </c>
      <c r="VB19" s="2">
        <v>33.01</v>
      </c>
      <c r="VC19" s="2">
        <v>33.81</v>
      </c>
      <c r="VD19" s="2">
        <v>33.71</v>
      </c>
      <c r="VE19" s="2">
        <v>34.32</v>
      </c>
      <c r="VF19" s="2">
        <v>34.02</v>
      </c>
      <c r="VG19" s="2">
        <v>34.76</v>
      </c>
      <c r="VH19" s="2">
        <v>34.94</v>
      </c>
      <c r="VI19" s="2">
        <v>35.51</v>
      </c>
      <c r="VJ19" s="2">
        <v>35.3</v>
      </c>
      <c r="VK19" s="2">
        <v>36.05</v>
      </c>
      <c r="VL19" s="2">
        <v>36.33</v>
      </c>
      <c r="VM19" s="2">
        <v>36.9</v>
      </c>
      <c r="VN19" s="2">
        <v>36.7</v>
      </c>
      <c r="VO19" s="2">
        <v>37.77</v>
      </c>
      <c r="VP19" s="2">
        <v>37.85</v>
      </c>
      <c r="VQ19" s="2">
        <v>38.35</v>
      </c>
      <c r="VR19" s="2">
        <v>38.15</v>
      </c>
      <c r="VS19" s="2">
        <v>39.74</v>
      </c>
      <c r="VT19" s="2">
        <v>39.9</v>
      </c>
      <c r="VU19" s="2">
        <v>41.39</v>
      </c>
      <c r="VV19" s="2">
        <v>41.32</v>
      </c>
      <c r="VW19" s="2">
        <v>44.02</v>
      </c>
      <c r="VX19" s="2">
        <v>44.21</v>
      </c>
      <c r="VY19" s="2">
        <v>45.42</v>
      </c>
      <c r="VZ19" s="2">
        <v>45.3</v>
      </c>
      <c r="WA19" s="2">
        <v>49.91</v>
      </c>
      <c r="WB19" s="2">
        <v>50.32</v>
      </c>
      <c r="WC19" s="2">
        <v>52.24</v>
      </c>
      <c r="WD19" s="2">
        <v>52.24</v>
      </c>
      <c r="WE19" s="2">
        <v>55.88</v>
      </c>
      <c r="WF19" s="2">
        <v>56.09</v>
      </c>
      <c r="WG19" s="2">
        <v>57.78</v>
      </c>
      <c r="WH19" s="2">
        <v>57.42</v>
      </c>
      <c r="WI19" s="2">
        <v>61.54</v>
      </c>
      <c r="WJ19" s="2">
        <v>61.76</v>
      </c>
      <c r="WK19" s="2">
        <v>63.06</v>
      </c>
      <c r="WL19" s="2">
        <v>63.03</v>
      </c>
      <c r="WM19" s="2">
        <v>70.7</v>
      </c>
      <c r="WN19" s="2">
        <v>70.5</v>
      </c>
      <c r="WO19" s="2">
        <v>71.52</v>
      </c>
      <c r="WP19" s="2">
        <v>71.38</v>
      </c>
      <c r="WQ19" s="2">
        <v>75.45999999999999</v>
      </c>
      <c r="WR19" s="2">
        <v>75.31</v>
      </c>
      <c r="WS19" s="2">
        <v>76.39</v>
      </c>
      <c r="WT19" s="2">
        <v>76.13</v>
      </c>
      <c r="WU19" s="2">
        <v>74.02</v>
      </c>
      <c r="WV19" s="2">
        <v>73.81</v>
      </c>
      <c r="WW19" s="2">
        <v>74.98</v>
      </c>
      <c r="WX19" s="2">
        <v>74.87</v>
      </c>
      <c r="WY19" s="2">
        <v>74.51000000000001</v>
      </c>
      <c r="WZ19" s="2">
        <v>74.31999999999999</v>
      </c>
      <c r="XA19" s="2">
        <v>74.70999999999999</v>
      </c>
      <c r="XB19" s="2">
        <v>74.59</v>
      </c>
      <c r="XC19" s="2">
        <v>76.45999999999999</v>
      </c>
      <c r="XD19" s="2">
        <v>76.25</v>
      </c>
      <c r="XE19" s="2">
        <v>77.92</v>
      </c>
      <c r="XF19" s="2">
        <v>77.91</v>
      </c>
      <c r="XG19" s="2">
        <v>83.22</v>
      </c>
      <c r="XH19" s="2">
        <v>83.31999999999999</v>
      </c>
      <c r="XI19" s="2">
        <v>85.17</v>
      </c>
      <c r="XJ19" s="2">
        <v>84.17</v>
      </c>
      <c r="XK19" s="2">
        <v>84.86</v>
      </c>
      <c r="XL19" s="2">
        <v>84.98</v>
      </c>
      <c r="XM19" s="2">
        <v>84.88</v>
      </c>
      <c r="XN19" s="2">
        <v>83.98</v>
      </c>
      <c r="XO19" s="2">
        <v>84.59</v>
      </c>
      <c r="XP19" s="2">
        <v>84.08</v>
      </c>
      <c r="XQ19" s="2">
        <v>84.76000000000001</v>
      </c>
      <c r="XR19" s="2">
        <v>83.31</v>
      </c>
      <c r="XS19" s="2">
        <v>82.37</v>
      </c>
      <c r="XT19" s="2">
        <v>78.53</v>
      </c>
      <c r="XU19" s="2">
        <v>78.43000000000001</v>
      </c>
      <c r="XV19" s="2">
        <v>79.83</v>
      </c>
      <c r="XW19" s="2">
        <v>80.13</v>
      </c>
      <c r="XX19" s="2">
        <v>80.34</v>
      </c>
      <c r="XY19" s="2">
        <v>81.27</v>
      </c>
      <c r="XZ19" s="2">
        <v>81.05</v>
      </c>
      <c r="YA19" s="2">
        <v>84.92</v>
      </c>
      <c r="YB19" s="2">
        <v>88.70999999999999</v>
      </c>
      <c r="YC19" s="2">
        <v>93.34999999999999</v>
      </c>
      <c r="YD19" s="2">
        <v>92.28</v>
      </c>
      <c r="YE19" s="2">
        <v>95.59</v>
      </c>
      <c r="YF19" s="2">
        <v>96.12</v>
      </c>
      <c r="YG19" s="2">
        <v>94.84999999999999</v>
      </c>
      <c r="YH19" s="2">
        <v>95.61</v>
      </c>
      <c r="YI19" s="2">
        <v>88.28</v>
      </c>
      <c r="YJ19" s="2">
        <v>83.92</v>
      </c>
      <c r="YK19" s="2">
        <v>90.81</v>
      </c>
      <c r="YL19" s="2">
        <v>94.31</v>
      </c>
      <c r="YM19" s="2">
        <v>101.05</v>
      </c>
      <c r="YN19" s="2">
        <v>97.09</v>
      </c>
      <c r="YO19" s="2">
        <v>108.86</v>
      </c>
      <c r="YP19" s="2">
        <v>108.58</v>
      </c>
      <c r="ACI19" s="2">
        <v>0</v>
      </c>
      <c r="ACJ19" s="2">
        <v>0.5</v>
      </c>
      <c r="ACK19" s="2">
        <v>0</v>
      </c>
      <c r="ACL19" s="2">
        <v>4.8</v>
      </c>
      <c r="ACM19" s="2">
        <v>0</v>
      </c>
      <c r="ACN19" s="2">
        <v>3.5</v>
      </c>
      <c r="ACO19" s="2">
        <v>3.8</v>
      </c>
      <c r="ACP19" s="2">
        <v>3.7</v>
      </c>
      <c r="ACQ19" s="2">
        <v>2.2</v>
      </c>
      <c r="ACR19" s="2">
        <v>9.1</v>
      </c>
      <c r="ACS19" s="2">
        <v>5.7</v>
      </c>
      <c r="ACT19" s="2">
        <v>2.2</v>
      </c>
      <c r="ACU19" s="2">
        <v>2.6</v>
      </c>
      <c r="ACV19" s="2">
        <v>2.6</v>
      </c>
      <c r="ACW19" s="2">
        <v>2.2</v>
      </c>
      <c r="ACX19" s="2">
        <v>0.3</v>
      </c>
      <c r="ACY19" s="2">
        <v>1.1</v>
      </c>
      <c r="ACZ19" s="2">
        <v>5.7</v>
      </c>
      <c r="ADA19" s="2">
        <v>0.3</v>
      </c>
      <c r="ADB19" s="2">
        <v>1</v>
      </c>
      <c r="ADC19" s="2">
        <v>4.5</v>
      </c>
      <c r="ADD19" s="2">
        <v>0.5</v>
      </c>
      <c r="ADE19" s="2">
        <v>4.3</v>
      </c>
      <c r="ADF19" s="2">
        <v>0.5</v>
      </c>
      <c r="ADG19" s="2">
        <v>2.9</v>
      </c>
      <c r="ADH19" s="2">
        <v>4.7</v>
      </c>
      <c r="ADI19" s="2">
        <v>1.9</v>
      </c>
      <c r="ADJ19" s="2">
        <v>3.6</v>
      </c>
      <c r="ADK19" s="2">
        <v>3.4</v>
      </c>
      <c r="ADL19" s="2">
        <v>5.6</v>
      </c>
      <c r="ADM19" s="2">
        <v>2.1</v>
      </c>
      <c r="ADN19" s="2">
        <v>3.8</v>
      </c>
      <c r="ADO19" s="2">
        <v>0.9</v>
      </c>
      <c r="ADP19" s="2">
        <v>6.9</v>
      </c>
      <c r="ADQ19" s="2">
        <v>0.9</v>
      </c>
      <c r="ADR19" s="2">
        <v>4</v>
      </c>
      <c r="ADS19" s="2">
        <v>3.1</v>
      </c>
      <c r="ADT19" s="2">
        <v>6.7</v>
      </c>
      <c r="ADU19" s="2">
        <v>3.9</v>
      </c>
      <c r="ADV19" s="2">
        <v>7.9</v>
      </c>
      <c r="ADW19" s="2">
        <v>7</v>
      </c>
      <c r="ADX19" s="2">
        <v>0.9</v>
      </c>
      <c r="ADY19" s="2">
        <v>0</v>
      </c>
      <c r="ADZ19" s="2">
        <v>2.9</v>
      </c>
      <c r="AEA19" s="2">
        <v>4.5</v>
      </c>
      <c r="AEB19" s="2">
        <v>-0.4</v>
      </c>
      <c r="AEC19" s="2">
        <v>-1.3</v>
      </c>
      <c r="AED19" s="2">
        <v>2.7</v>
      </c>
      <c r="AEE19" s="2">
        <v>2.5</v>
      </c>
      <c r="AEF19" s="2">
        <v>2.5</v>
      </c>
      <c r="AEG19" s="2">
        <v>1</v>
      </c>
      <c r="AEH19" s="2">
        <v>1.5</v>
      </c>
      <c r="AEI19" s="2">
        <v>1.2</v>
      </c>
      <c r="AEJ19" s="2">
        <v>2</v>
      </c>
      <c r="AEK19" s="2">
        <v>-0.2</v>
      </c>
      <c r="AEL19" s="2">
        <v>2</v>
      </c>
      <c r="AEM19" s="2">
        <v>1.9</v>
      </c>
      <c r="AEN19" s="2">
        <v>0.7</v>
      </c>
      <c r="AEO19" s="2">
        <v>0.2</v>
      </c>
      <c r="AEP19" s="2">
        <v>4.2</v>
      </c>
      <c r="AEQ19" s="2">
        <v>1.1</v>
      </c>
      <c r="AER19" s="2">
        <v>0.3</v>
      </c>
      <c r="AES19" s="2">
        <v>0.1</v>
      </c>
      <c r="AET19" s="2">
        <v>3.8</v>
      </c>
      <c r="AEU19" s="2">
        <v>0.4</v>
      </c>
      <c r="AEV19" s="2">
        <v>0.1</v>
      </c>
      <c r="AEW19" s="2">
        <v>0.1</v>
      </c>
      <c r="AEX19" s="2">
        <v>2.9</v>
      </c>
      <c r="AEY19" s="2">
        <v>1</v>
      </c>
      <c r="AEZ19" s="2">
        <v>0.3</v>
      </c>
      <c r="AFA19" s="2">
        <v>0.1</v>
      </c>
      <c r="AFB19" s="2">
        <v>-1.7</v>
      </c>
      <c r="AFC19" s="2">
        <v>6.8</v>
      </c>
      <c r="AFD19" s="2">
        <v>0.5</v>
      </c>
      <c r="AFE19" s="2">
        <v>-0.1</v>
      </c>
      <c r="AFF19" s="2">
        <v>3.9</v>
      </c>
      <c r="AFG19" s="2">
        <v>0.4</v>
      </c>
      <c r="AFH19" s="2">
        <v>0.2</v>
      </c>
      <c r="AFI19" s="2">
        <v>0</v>
      </c>
      <c r="AFJ19" s="2">
        <v>1.6</v>
      </c>
      <c r="AFK19" s="2">
        <v>2.1</v>
      </c>
      <c r="AFL19" s="2">
        <v>1.6</v>
      </c>
      <c r="AFM19" s="2">
        <v>0.1</v>
      </c>
      <c r="AFN19" s="2">
        <v>0.8</v>
      </c>
      <c r="AFO19" s="2">
        <v>0.1</v>
      </c>
      <c r="AFP19" s="2">
        <v>0.1</v>
      </c>
      <c r="AFQ19" s="2">
        <v>0</v>
      </c>
      <c r="AFR19" s="2">
        <v>0.5</v>
      </c>
      <c r="AFS19" s="2">
        <v>0.1</v>
      </c>
      <c r="AFT19" s="2">
        <v>0.1</v>
      </c>
      <c r="AFU19" s="2">
        <v>0.1</v>
      </c>
      <c r="AFV19" s="2">
        <v>0.4</v>
      </c>
      <c r="AFW19" s="2">
        <v>0</v>
      </c>
      <c r="AFX19" s="2">
        <v>0.1</v>
      </c>
      <c r="AFY19" s="2">
        <v>0</v>
      </c>
      <c r="AFZ19" s="2">
        <v>1.3</v>
      </c>
      <c r="AGA19" s="2">
        <v>0.1</v>
      </c>
      <c r="AGB19" s="2">
        <v>0.3</v>
      </c>
      <c r="AGC19" s="2">
        <v>-0.1</v>
      </c>
      <c r="AGD19" s="2">
        <v>1</v>
      </c>
      <c r="AGE19" s="2">
        <v>0</v>
      </c>
      <c r="AGF19" s="2">
        <v>-0.1</v>
      </c>
      <c r="AGG19" s="2">
        <v>0.1</v>
      </c>
      <c r="AGH19" s="2">
        <v>-1.9</v>
      </c>
      <c r="AGI19" s="2">
        <v>0.8</v>
      </c>
      <c r="AGJ19" s="2">
        <v>0.2</v>
      </c>
      <c r="AGK19" s="2">
        <v>-0.6</v>
      </c>
      <c r="AGL19" s="2">
        <v>0.8</v>
      </c>
      <c r="AGM19" s="2">
        <v>0.7</v>
      </c>
      <c r="AGN19" s="2">
        <v>0.2</v>
      </c>
      <c r="AGO19" s="2">
        <v>-0.4</v>
      </c>
      <c r="AGP19" s="2">
        <v>8.800000000000001</v>
      </c>
      <c r="AGQ19" s="2">
        <v>-0.1</v>
      </c>
      <c r="AGR19" s="2">
        <v>0.2</v>
      </c>
      <c r="AGS19" s="2">
        <v>-0.2</v>
      </c>
      <c r="AGT19" s="2">
        <v>3.2</v>
      </c>
      <c r="AGU19" s="2">
        <v>-0.3</v>
      </c>
      <c r="AGV19" s="2">
        <v>1.8</v>
      </c>
      <c r="AGW19" s="2">
        <v>-0.3</v>
      </c>
      <c r="AGX19" s="2">
        <v>2.4</v>
      </c>
      <c r="AGY19" s="2">
        <v>-0.3</v>
      </c>
      <c r="AGZ19" s="2">
        <v>3.8</v>
      </c>
      <c r="AHA19" s="2">
        <v>-0.6</v>
      </c>
      <c r="AHB19" s="2">
        <v>2.4</v>
      </c>
      <c r="AHC19" s="2">
        <v>-0.3</v>
      </c>
      <c r="AHD19" s="2">
        <v>1.8</v>
      </c>
      <c r="AHE19" s="2">
        <v>-0.9</v>
      </c>
      <c r="AHF19" s="2">
        <v>2.2</v>
      </c>
      <c r="AHG19" s="2">
        <v>0.5</v>
      </c>
      <c r="AHH19" s="2">
        <v>1.6</v>
      </c>
      <c r="AHI19" s="2">
        <v>-0.6</v>
      </c>
      <c r="AHJ19" s="2">
        <v>2.1</v>
      </c>
      <c r="AHK19" s="2">
        <v>0.8</v>
      </c>
      <c r="AHL19" s="2">
        <v>1.6</v>
      </c>
      <c r="AHM19" s="2">
        <v>-0.5</v>
      </c>
      <c r="AHN19" s="2">
        <v>2.9</v>
      </c>
      <c r="AHO19" s="2">
        <v>0.2</v>
      </c>
      <c r="AHP19" s="2">
        <v>1.3</v>
      </c>
      <c r="AHQ19" s="2">
        <v>-0.5</v>
      </c>
      <c r="AHR19" s="2">
        <v>4.2</v>
      </c>
      <c r="AHS19" s="2">
        <v>0.4</v>
      </c>
      <c r="AHT19" s="2">
        <v>3.7</v>
      </c>
      <c r="AHU19" s="2">
        <v>-0.2</v>
      </c>
      <c r="AHV19" s="2">
        <v>6.5</v>
      </c>
      <c r="AHW19" s="2">
        <v>0.4</v>
      </c>
      <c r="AHX19" s="2">
        <v>2.7</v>
      </c>
      <c r="AHY19" s="2">
        <v>-0.3</v>
      </c>
      <c r="AHZ19" s="2">
        <v>10.2</v>
      </c>
      <c r="AIA19" s="2">
        <v>0.8</v>
      </c>
      <c r="AIB19" s="2">
        <v>3.8</v>
      </c>
      <c r="AIC19" s="2">
        <v>0</v>
      </c>
      <c r="AID19" s="2">
        <v>7</v>
      </c>
      <c r="AIE19" s="2">
        <v>0.4</v>
      </c>
      <c r="AIF19" s="2">
        <v>3</v>
      </c>
      <c r="AIG19" s="2">
        <v>-0.6</v>
      </c>
      <c r="AIH19" s="2">
        <v>7.2</v>
      </c>
      <c r="AII19" s="2">
        <v>0.4</v>
      </c>
      <c r="AIJ19" s="2">
        <v>2.1</v>
      </c>
      <c r="AIK19" s="2">
        <v>0</v>
      </c>
      <c r="AIL19" s="2">
        <v>12.2</v>
      </c>
      <c r="AIM19" s="2">
        <v>-0.3</v>
      </c>
      <c r="AIN19" s="2">
        <v>1.4</v>
      </c>
      <c r="AIO19" s="2">
        <v>-0.2</v>
      </c>
      <c r="AIP19" s="2">
        <v>5.7</v>
      </c>
      <c r="AIQ19" s="2">
        <v>-0.2</v>
      </c>
      <c r="AIR19" s="2">
        <v>1.4</v>
      </c>
      <c r="AIS19" s="2">
        <v>-0.3</v>
      </c>
      <c r="AIT19" s="2">
        <v>-2.8</v>
      </c>
      <c r="AIU19" s="2">
        <v>-0.3</v>
      </c>
      <c r="AIV19" s="2">
        <v>1.6</v>
      </c>
      <c r="AIW19" s="2">
        <v>-0.1</v>
      </c>
      <c r="AIX19" s="2">
        <v>-0.5</v>
      </c>
      <c r="AIY19" s="2">
        <v>-0.3</v>
      </c>
      <c r="AIZ19" s="2">
        <v>0.5</v>
      </c>
      <c r="AJA19" s="2">
        <v>-0.2</v>
      </c>
      <c r="AJB19" s="2">
        <v>2.5</v>
      </c>
      <c r="AJC19" s="2">
        <v>-0.3</v>
      </c>
      <c r="AJD19" s="2">
        <v>2.2</v>
      </c>
      <c r="AJE19" s="2">
        <v>0</v>
      </c>
      <c r="AJF19" s="2">
        <v>6.8</v>
      </c>
      <c r="AJG19" s="2">
        <v>0.1</v>
      </c>
      <c r="AJH19" s="2">
        <v>2.2</v>
      </c>
      <c r="AJI19" s="2">
        <v>-1.2</v>
      </c>
      <c r="AJJ19" s="2">
        <v>0.8</v>
      </c>
      <c r="AJK19" s="2">
        <v>0.1</v>
      </c>
      <c r="AJL19" s="2">
        <v>-0.1</v>
      </c>
      <c r="AJM19" s="2">
        <v>-1.1</v>
      </c>
      <c r="AJN19" s="2">
        <v>0.7</v>
      </c>
      <c r="AJO19" s="2">
        <v>-0.6</v>
      </c>
      <c r="AJP19" s="2">
        <v>0.8</v>
      </c>
      <c r="AJQ19" s="2">
        <v>-1.7</v>
      </c>
      <c r="AJR19" s="2">
        <v>-1.1</v>
      </c>
      <c r="AJS19" s="2">
        <v>-4.7</v>
      </c>
      <c r="AJT19" s="2">
        <v>-0.1</v>
      </c>
      <c r="AJU19" s="2">
        <v>1.8</v>
      </c>
      <c r="AJV19" s="2">
        <v>0.4</v>
      </c>
      <c r="AJW19" s="2">
        <v>0.3</v>
      </c>
      <c r="AJX19" s="2">
        <v>1.2</v>
      </c>
      <c r="AJY19" s="2">
        <v>-0.3</v>
      </c>
      <c r="AJZ19" s="2">
        <v>4.8</v>
      </c>
      <c r="AKA19" s="2">
        <v>4.5</v>
      </c>
      <c r="AKB19" s="2">
        <v>5.2</v>
      </c>
      <c r="AKC19" s="2">
        <v>-1.1</v>
      </c>
      <c r="AKD19" s="2">
        <v>3.6</v>
      </c>
      <c r="AKE19" s="2">
        <v>0.6</v>
      </c>
      <c r="AKF19" s="2">
        <v>-1.3</v>
      </c>
      <c r="AKG19" s="2">
        <v>0.8</v>
      </c>
      <c r="AKH19" s="2">
        <v>-7.7</v>
      </c>
      <c r="AKI19" s="2">
        <v>-4.9</v>
      </c>
      <c r="AKJ19" s="2">
        <v>8.199999999999999</v>
      </c>
      <c r="AKK19" s="2">
        <v>3.9</v>
      </c>
      <c r="AKL19" s="2">
        <v>7.1</v>
      </c>
      <c r="AKM19" s="2">
        <v>-3.9</v>
      </c>
      <c r="AKN19" s="2">
        <v>12.1</v>
      </c>
      <c r="AKO19" s="2">
        <v>-0.3</v>
      </c>
      <c r="AKP19" s="2">
        <v>4.11</v>
      </c>
      <c r="AKQ19" s="2">
        <v>4.6</v>
      </c>
      <c r="AKR19" s="2">
        <v>4.59</v>
      </c>
    </row>
    <row r="20">
      <c r="A20" t="inlineStr">
        <is>
          <t>Furniture and furnishings</t>
        </is>
      </c>
      <c r="B20" t="inlineStr">
        <is>
          <t>Furnishings, household equipment and services</t>
        </is>
      </c>
      <c r="C20">
        <v>2</v>
      </c>
      <c r="D20">
        <v>1.45</v>
      </c>
      <c r="E20" s="3">
        <f>D20/7.89*0.079</f>
        <v>0.014518377693282637</v>
      </c>
      <c r="F20" s="3">
        <f>E20-D20/100</f>
        <v>1.8377693282637872e-05</v>
      </c>
      <c r="G20" s="3">
        <f>D20/7.89</f>
        <v>0.18377693282636248</v>
      </c>
      <c r="CI20" s="2">
        <v>97.91</v>
      </c>
      <c r="CJ20" s="2">
        <v>98.15000000000001</v>
      </c>
      <c r="CK20" s="2">
        <v>94.52</v>
      </c>
      <c r="CL20" s="2">
        <v>98.87</v>
      </c>
      <c r="CM20" s="2">
        <v>98.27</v>
      </c>
      <c r="CN20" s="2">
        <v>99.38</v>
      </c>
      <c r="CO20" s="2">
        <v>101.08</v>
      </c>
      <c r="CP20" s="2">
        <v>98.14</v>
      </c>
      <c r="CQ20" s="2">
        <v>98.17</v>
      </c>
      <c r="CR20" s="2">
        <v>96.54000000000001</v>
      </c>
      <c r="CS20" s="2">
        <v>100.52</v>
      </c>
      <c r="CT20" s="2">
        <v>99.23</v>
      </c>
      <c r="CU20" s="2">
        <v>98.98</v>
      </c>
      <c r="CV20" s="2">
        <v>97.73</v>
      </c>
      <c r="CW20" s="2">
        <v>95.06999999999999</v>
      </c>
      <c r="CX20" s="2">
        <v>99.23999999999999</v>
      </c>
      <c r="CY20" s="2">
        <v>97.98</v>
      </c>
      <c r="CZ20" s="2">
        <v>100</v>
      </c>
      <c r="DA20" s="2">
        <v>101.97</v>
      </c>
      <c r="DB20" s="2">
        <v>98.05</v>
      </c>
      <c r="DC20" s="2">
        <v>99.03</v>
      </c>
      <c r="DD20" s="2">
        <v>95.48</v>
      </c>
      <c r="DE20" s="2">
        <v>99.2</v>
      </c>
      <c r="DF20" s="2">
        <v>99.48999999999999</v>
      </c>
      <c r="DG20" s="2">
        <v>99.16</v>
      </c>
      <c r="DH20" s="2">
        <v>99.45999999999999</v>
      </c>
      <c r="DI20" s="2">
        <v>95.31</v>
      </c>
      <c r="DJ20" s="2">
        <v>99.47</v>
      </c>
      <c r="GL20" s="2">
        <v>1.1</v>
      </c>
      <c r="GM20" s="2">
        <v>-0.4</v>
      </c>
      <c r="GN20" s="2">
        <v>0.6</v>
      </c>
      <c r="GO20" s="2">
        <v>0.4</v>
      </c>
      <c r="GP20" s="2">
        <v>-0.3</v>
      </c>
      <c r="GQ20" s="2">
        <v>0.6</v>
      </c>
      <c r="GR20" s="2">
        <v>0.9</v>
      </c>
      <c r="GS20" s="2">
        <v>-0.1</v>
      </c>
      <c r="GT20" s="2">
        <v>0.9</v>
      </c>
      <c r="GU20" s="2">
        <v>-1.1</v>
      </c>
      <c r="GV20" s="2">
        <v>-1.3</v>
      </c>
      <c r="GW20" s="2">
        <v>0.3</v>
      </c>
      <c r="GX20" s="2">
        <v>0.2</v>
      </c>
      <c r="GY20" s="2">
        <v>1.8</v>
      </c>
      <c r="GZ20" s="2">
        <v>0.3</v>
      </c>
      <c r="HA20" s="2">
        <v>0.2</v>
      </c>
      <c r="KC20" s="2">
        <v>0.2</v>
      </c>
      <c r="KD20" s="2">
        <v>-3.7</v>
      </c>
      <c r="KE20" s="2">
        <v>4.6</v>
      </c>
      <c r="KF20" s="2">
        <v>-0.6</v>
      </c>
      <c r="KG20" s="2">
        <v>1.1</v>
      </c>
      <c r="KH20" s="2">
        <v>1.7</v>
      </c>
      <c r="KI20" s="2">
        <v>-2.9</v>
      </c>
      <c r="KJ20" s="2">
        <v>0</v>
      </c>
      <c r="KK20" s="2">
        <v>-1.7</v>
      </c>
      <c r="KL20" s="2">
        <v>4.1</v>
      </c>
      <c r="KM20" s="2">
        <v>-1.3</v>
      </c>
      <c r="KN20" s="2">
        <v>-0.3</v>
      </c>
      <c r="KO20" s="2">
        <v>-1.3</v>
      </c>
      <c r="KP20" s="2">
        <v>-2.7</v>
      </c>
      <c r="KQ20" s="2">
        <v>4.4</v>
      </c>
      <c r="KR20" s="2">
        <v>-1.3</v>
      </c>
      <c r="KS20" s="2">
        <v>2.1</v>
      </c>
      <c r="KT20" s="2">
        <v>2</v>
      </c>
      <c r="KU20" s="2">
        <v>-3.8</v>
      </c>
      <c r="KV20" s="2">
        <v>1</v>
      </c>
      <c r="KW20" s="2">
        <v>-3.6</v>
      </c>
      <c r="KX20" s="2">
        <v>3.9</v>
      </c>
      <c r="KY20" s="2">
        <v>0.3</v>
      </c>
      <c r="KZ20" s="2">
        <v>-0.3</v>
      </c>
      <c r="LA20" s="2">
        <v>0.3</v>
      </c>
      <c r="LB20" s="2">
        <v>-4.2</v>
      </c>
      <c r="LC20" s="2">
        <v>4.4</v>
      </c>
      <c r="LD20" s="2">
        <v>1.41</v>
      </c>
      <c r="LE20" s="2">
        <v>1.39</v>
      </c>
      <c r="LF20" s="2">
        <v>1.45</v>
      </c>
      <c r="LG20" s="2">
        <v>1.43</v>
      </c>
      <c r="LH20" s="2">
        <v>1.42</v>
      </c>
      <c r="LI20" s="2">
        <v>1.41</v>
      </c>
      <c r="LJ20" s="2">
        <v>1.37</v>
      </c>
      <c r="LK20" s="2">
        <v>1.43</v>
      </c>
      <c r="LL20" s="2">
        <v>1.41</v>
      </c>
      <c r="LM20" s="2">
        <v>1.44</v>
      </c>
      <c r="LN20" s="2">
        <v>1.47</v>
      </c>
      <c r="LO20" s="2">
        <v>1.41</v>
      </c>
      <c r="LP20" s="2">
        <v>1.42</v>
      </c>
      <c r="LQ20" s="2">
        <v>1.37</v>
      </c>
      <c r="LR20" s="2">
        <v>1.43</v>
      </c>
      <c r="LS20" s="2">
        <v>1.43</v>
      </c>
      <c r="LT20" s="2">
        <v>1.43</v>
      </c>
      <c r="LU20" s="2">
        <v>1.43</v>
      </c>
      <c r="LV20" s="2">
        <v>1.37</v>
      </c>
      <c r="LW20" s="2">
        <v>1.43</v>
      </c>
      <c r="LX20" s="2">
        <v>-0.02</v>
      </c>
      <c r="LY20" s="2">
        <v>0.06</v>
      </c>
      <c r="LZ20" s="2">
        <v>-0.02</v>
      </c>
      <c r="MA20" s="2">
        <v>-0.01</v>
      </c>
      <c r="MB20" s="2">
        <v>-0.01</v>
      </c>
      <c r="MC20" s="2">
        <v>-0.04</v>
      </c>
      <c r="MD20" s="2">
        <v>0.06</v>
      </c>
      <c r="ME20" s="2">
        <v>-0.02</v>
      </c>
      <c r="MF20" s="2">
        <v>0.03</v>
      </c>
      <c r="MG20" s="2">
        <v>0.03</v>
      </c>
      <c r="MH20" s="2">
        <v>-0.06</v>
      </c>
      <c r="MI20" s="2">
        <v>0.01</v>
      </c>
      <c r="MJ20" s="2">
        <v>-0.05</v>
      </c>
      <c r="MK20" s="2">
        <v>0.06</v>
      </c>
      <c r="ML20" s="2">
        <v>0</v>
      </c>
      <c r="MM20" s="2">
        <v>0</v>
      </c>
      <c r="MN20" s="2">
        <v>0</v>
      </c>
      <c r="MO20" s="2">
        <v>-0.06</v>
      </c>
      <c r="MP20" s="2">
        <v>0.06</v>
      </c>
      <c r="QI20" s="2">
        <v>11.89</v>
      </c>
      <c r="QJ20" s="2">
        <v>12.07</v>
      </c>
      <c r="QK20" s="2">
        <v>12.42</v>
      </c>
      <c r="QL20" s="2">
        <v>12.89</v>
      </c>
      <c r="QM20" s="2">
        <v>13.18</v>
      </c>
      <c r="QN20" s="2">
        <v>13.71</v>
      </c>
      <c r="QO20" s="2">
        <v>14.29</v>
      </c>
      <c r="QP20" s="2">
        <v>15.06</v>
      </c>
      <c r="QQ20" s="2">
        <v>16.23</v>
      </c>
      <c r="QR20" s="2">
        <v>17.05</v>
      </c>
      <c r="QS20" s="2">
        <v>17.4</v>
      </c>
      <c r="QT20" s="2">
        <v>17.75</v>
      </c>
      <c r="QU20" s="2">
        <v>18.4</v>
      </c>
      <c r="QV20" s="2">
        <v>19.22</v>
      </c>
      <c r="QW20" s="2">
        <v>19.74</v>
      </c>
      <c r="QX20" s="2">
        <v>20.86</v>
      </c>
      <c r="QY20" s="2">
        <v>21.44</v>
      </c>
      <c r="QZ20" s="2">
        <v>22.2</v>
      </c>
      <c r="RA20" s="2">
        <v>22.73</v>
      </c>
      <c r="RB20" s="2">
        <v>23.67</v>
      </c>
      <c r="RC20" s="2">
        <v>23.84</v>
      </c>
      <c r="RD20" s="2">
        <v>24.31</v>
      </c>
      <c r="RE20" s="2">
        <v>24.66</v>
      </c>
      <c r="RF20" s="2">
        <v>24.96</v>
      </c>
      <c r="RG20" s="2">
        <v>25.25</v>
      </c>
      <c r="RH20" s="2">
        <v>25.43</v>
      </c>
      <c r="RI20" s="2">
        <v>25.6</v>
      </c>
      <c r="RJ20" s="2">
        <v>25.6</v>
      </c>
      <c r="RK20" s="2">
        <v>26.25</v>
      </c>
      <c r="RL20" s="2">
        <v>26.71</v>
      </c>
      <c r="RM20" s="2">
        <v>27.24</v>
      </c>
      <c r="RN20" s="2">
        <v>27.89</v>
      </c>
      <c r="RO20" s="2">
        <v>28.77</v>
      </c>
      <c r="RP20" s="2">
        <v>29.76</v>
      </c>
      <c r="RQ20" s="2">
        <v>30.05</v>
      </c>
      <c r="RR20" s="2">
        <v>30.58</v>
      </c>
      <c r="RS20" s="2">
        <v>30.82</v>
      </c>
      <c r="RT20" s="2">
        <v>31.93</v>
      </c>
      <c r="RU20" s="2">
        <v>32.28</v>
      </c>
      <c r="RV20" s="2">
        <v>33.75</v>
      </c>
      <c r="RW20" s="2">
        <v>34.8</v>
      </c>
      <c r="RX20" s="2">
        <v>35.85</v>
      </c>
      <c r="RY20" s="2">
        <v>36.38</v>
      </c>
      <c r="RZ20" s="2">
        <v>37.03</v>
      </c>
      <c r="SA20" s="2">
        <v>37.73</v>
      </c>
      <c r="SB20" s="2">
        <v>38.37</v>
      </c>
      <c r="SC20" s="2">
        <v>38.84</v>
      </c>
      <c r="SD20" s="2">
        <v>39.14</v>
      </c>
      <c r="SE20" s="2">
        <v>39.66</v>
      </c>
      <c r="SF20" s="2">
        <v>40.48</v>
      </c>
      <c r="SG20" s="2">
        <v>40.95</v>
      </c>
      <c r="SH20" s="2">
        <v>41.24</v>
      </c>
      <c r="SI20" s="2">
        <v>42.83</v>
      </c>
      <c r="SJ20" s="2">
        <v>44.41</v>
      </c>
      <c r="SK20" s="2">
        <v>45.35</v>
      </c>
      <c r="SL20" s="2">
        <v>46.05</v>
      </c>
      <c r="SM20" s="2">
        <v>46.87</v>
      </c>
      <c r="SN20" s="2">
        <v>47.86</v>
      </c>
      <c r="SO20" s="2">
        <v>47.45</v>
      </c>
      <c r="SP20" s="2">
        <v>49.45</v>
      </c>
      <c r="SQ20" s="2">
        <v>49.8</v>
      </c>
      <c r="SR20" s="2">
        <v>50.68</v>
      </c>
      <c r="SS20" s="2">
        <v>51.61</v>
      </c>
      <c r="ST20" s="2">
        <v>53.08</v>
      </c>
      <c r="SU20" s="2">
        <v>53.2</v>
      </c>
      <c r="SV20" s="2">
        <v>54.02</v>
      </c>
      <c r="SW20" s="2">
        <v>54.78</v>
      </c>
      <c r="SX20" s="2">
        <v>55.95</v>
      </c>
      <c r="SY20" s="2">
        <v>56.53</v>
      </c>
      <c r="SZ20" s="2">
        <v>57.88</v>
      </c>
      <c r="TA20" s="2">
        <v>59.11</v>
      </c>
      <c r="TB20" s="2">
        <v>60.81</v>
      </c>
      <c r="TC20" s="2">
        <v>61.1</v>
      </c>
      <c r="TD20" s="2">
        <v>62.57</v>
      </c>
      <c r="TE20" s="2">
        <v>62.16</v>
      </c>
      <c r="TF20" s="2">
        <v>62.74</v>
      </c>
      <c r="TG20" s="2">
        <v>62.1</v>
      </c>
      <c r="TH20" s="2">
        <v>63.68</v>
      </c>
      <c r="TI20" s="2">
        <v>62.74</v>
      </c>
      <c r="TJ20" s="2">
        <v>64.44</v>
      </c>
      <c r="TK20" s="2">
        <v>63.33</v>
      </c>
      <c r="TL20" s="2">
        <v>64.44</v>
      </c>
      <c r="TM20" s="2">
        <v>63.04</v>
      </c>
      <c r="TN20" s="2">
        <v>63.57</v>
      </c>
      <c r="TO20" s="2">
        <v>63.98</v>
      </c>
      <c r="TP20" s="2">
        <v>64.73999999999999</v>
      </c>
      <c r="TQ20" s="2">
        <v>65.62</v>
      </c>
      <c r="TR20" s="2">
        <v>66.44</v>
      </c>
      <c r="TS20" s="2">
        <v>66.31999999999999</v>
      </c>
      <c r="TT20" s="2">
        <v>67.26000000000001</v>
      </c>
      <c r="TU20" s="2">
        <v>66.67</v>
      </c>
      <c r="TV20" s="2">
        <v>67.14</v>
      </c>
      <c r="TW20" s="2">
        <v>67.08</v>
      </c>
      <c r="TX20" s="2">
        <v>67.84</v>
      </c>
      <c r="TY20" s="2">
        <v>67.31</v>
      </c>
      <c r="TZ20" s="2">
        <v>68.54000000000001</v>
      </c>
      <c r="UA20" s="2">
        <v>68.13</v>
      </c>
      <c r="UB20" s="2">
        <v>68.90000000000001</v>
      </c>
      <c r="UC20" s="2">
        <v>68.54000000000001</v>
      </c>
      <c r="UD20" s="2">
        <v>69.19</v>
      </c>
      <c r="UE20" s="2">
        <v>68.43000000000001</v>
      </c>
      <c r="UF20" s="2">
        <v>69.78</v>
      </c>
      <c r="UG20" s="2">
        <v>69.83</v>
      </c>
      <c r="UH20" s="2">
        <v>70.06999999999999</v>
      </c>
      <c r="UI20" s="2">
        <v>69.78</v>
      </c>
      <c r="UJ20" s="2">
        <v>70.59999999999999</v>
      </c>
      <c r="UK20" s="2">
        <v>69.48</v>
      </c>
      <c r="UL20" s="2">
        <v>70.54000000000001</v>
      </c>
      <c r="UM20" s="2">
        <v>70.23999999999999</v>
      </c>
      <c r="UN20" s="2">
        <v>70.65000000000001</v>
      </c>
      <c r="UO20" s="2">
        <v>69.95</v>
      </c>
      <c r="UP20" s="2">
        <v>71.06</v>
      </c>
      <c r="UQ20" s="2">
        <v>73.88</v>
      </c>
      <c r="UR20" s="2">
        <v>73.64</v>
      </c>
      <c r="US20" s="2">
        <v>73.52</v>
      </c>
      <c r="UT20" s="2">
        <v>75.22</v>
      </c>
      <c r="UU20" s="2">
        <v>74.93000000000001</v>
      </c>
      <c r="UV20" s="2">
        <v>76.04000000000001</v>
      </c>
      <c r="UW20" s="2">
        <v>75.28</v>
      </c>
      <c r="UX20" s="2">
        <v>76.92</v>
      </c>
      <c r="UY20" s="2">
        <v>76.45</v>
      </c>
      <c r="UZ20" s="2">
        <v>78.15000000000001</v>
      </c>
      <c r="VA20" s="2">
        <v>76.75</v>
      </c>
      <c r="VB20" s="2">
        <v>78.45</v>
      </c>
      <c r="VC20" s="2">
        <v>78.27</v>
      </c>
      <c r="VD20" s="2">
        <v>78.45</v>
      </c>
      <c r="VE20" s="2">
        <v>77.33</v>
      </c>
      <c r="VF20" s="2">
        <v>77.98</v>
      </c>
      <c r="VG20" s="2">
        <v>77.63</v>
      </c>
      <c r="VH20" s="2">
        <v>78.15000000000001</v>
      </c>
      <c r="VI20" s="2">
        <v>76.75</v>
      </c>
      <c r="VJ20" s="2">
        <v>77.27</v>
      </c>
      <c r="VK20" s="2">
        <v>77.98</v>
      </c>
      <c r="VL20" s="2">
        <v>78.39</v>
      </c>
      <c r="VM20" s="2">
        <v>76.45</v>
      </c>
      <c r="VN20" s="2">
        <v>77.33</v>
      </c>
      <c r="VO20" s="2">
        <v>78.20999999999999</v>
      </c>
      <c r="VP20" s="2">
        <v>78.86</v>
      </c>
      <c r="VQ20" s="2">
        <v>76.98</v>
      </c>
      <c r="VR20" s="2">
        <v>79.20999999999999</v>
      </c>
      <c r="VS20" s="2">
        <v>78.39</v>
      </c>
      <c r="VT20" s="2">
        <v>79.62</v>
      </c>
      <c r="VU20" s="2">
        <v>77.51000000000001</v>
      </c>
      <c r="VV20" s="2">
        <v>79.62</v>
      </c>
      <c r="VW20" s="2">
        <v>78.91</v>
      </c>
      <c r="VX20" s="2">
        <v>79.38</v>
      </c>
      <c r="VY20" s="2">
        <v>79.84999999999999</v>
      </c>
      <c r="VZ20" s="2">
        <v>82.61</v>
      </c>
      <c r="WA20" s="2">
        <v>83.06999999999999</v>
      </c>
      <c r="WB20" s="2">
        <v>83.72</v>
      </c>
      <c r="WC20" s="2">
        <v>80.79000000000001</v>
      </c>
      <c r="WD20" s="2">
        <v>81.95999999999999</v>
      </c>
      <c r="WE20" s="2">
        <v>82.95999999999999</v>
      </c>
      <c r="WF20" s="2">
        <v>82.95999999999999</v>
      </c>
      <c r="WG20" s="2">
        <v>78.91</v>
      </c>
      <c r="WH20" s="2">
        <v>82.55</v>
      </c>
      <c r="WI20" s="2">
        <v>82.03</v>
      </c>
      <c r="WJ20" s="2">
        <v>82.84999999999999</v>
      </c>
      <c r="WK20" s="2">
        <v>78.61</v>
      </c>
      <c r="WL20" s="2">
        <v>81.55</v>
      </c>
      <c r="WM20" s="2">
        <v>82.76000000000001</v>
      </c>
      <c r="WN20" s="2">
        <v>81.69</v>
      </c>
      <c r="WO20" s="2">
        <v>76.90000000000001</v>
      </c>
      <c r="WP20" s="2">
        <v>80.06</v>
      </c>
      <c r="WQ20" s="2">
        <v>80.08</v>
      </c>
      <c r="WR20" s="2">
        <v>81.01000000000001</v>
      </c>
      <c r="WS20" s="2">
        <v>78.19</v>
      </c>
      <c r="WT20" s="2">
        <v>81.29000000000001</v>
      </c>
      <c r="WU20" s="2">
        <v>81.56</v>
      </c>
      <c r="WV20" s="2">
        <v>81.45999999999999</v>
      </c>
      <c r="WW20" s="2">
        <v>79.06</v>
      </c>
      <c r="WX20" s="2">
        <v>81.73999999999999</v>
      </c>
      <c r="WY20" s="2">
        <v>82.25</v>
      </c>
      <c r="WZ20" s="2">
        <v>83.05</v>
      </c>
      <c r="XA20" s="2">
        <v>82.06</v>
      </c>
      <c r="XB20" s="2">
        <v>83.81999999999999</v>
      </c>
      <c r="XC20" s="2">
        <v>84.68000000000001</v>
      </c>
      <c r="XD20" s="2">
        <v>83.52</v>
      </c>
      <c r="XE20" s="2">
        <v>80.98999999999999</v>
      </c>
      <c r="XF20" s="2">
        <v>81.79000000000001</v>
      </c>
      <c r="XG20" s="2">
        <v>82.06999999999999</v>
      </c>
      <c r="XH20" s="2">
        <v>81.43000000000001</v>
      </c>
      <c r="XI20" s="2">
        <v>79.47</v>
      </c>
      <c r="XJ20" s="2">
        <v>80.09</v>
      </c>
      <c r="XK20" s="2">
        <v>81.31999999999999</v>
      </c>
      <c r="XL20" s="2">
        <v>82.55</v>
      </c>
      <c r="XM20" s="2">
        <v>80.94</v>
      </c>
      <c r="XN20" s="2">
        <v>82.15000000000001</v>
      </c>
      <c r="XO20" s="2">
        <v>83.81999999999999</v>
      </c>
      <c r="XP20" s="2">
        <v>83.03</v>
      </c>
      <c r="XQ20" s="2">
        <v>80.53</v>
      </c>
      <c r="XR20" s="2">
        <v>83.19</v>
      </c>
      <c r="XS20" s="2">
        <v>87.77</v>
      </c>
      <c r="XT20" s="2">
        <v>86.98</v>
      </c>
      <c r="XU20" s="2">
        <v>84.55</v>
      </c>
      <c r="XV20" s="2">
        <v>87.36</v>
      </c>
      <c r="XW20" s="2">
        <v>90.3</v>
      </c>
      <c r="XX20" s="2">
        <v>91.22</v>
      </c>
      <c r="XY20" s="2">
        <v>88.98999999999999</v>
      </c>
      <c r="XZ20" s="2">
        <v>94.54000000000001</v>
      </c>
      <c r="YA20" s="2">
        <v>100.4</v>
      </c>
      <c r="YB20" s="2">
        <v>101.12</v>
      </c>
      <c r="YC20" s="2">
        <v>97.56999999999999</v>
      </c>
      <c r="YD20" s="2">
        <v>101.67</v>
      </c>
      <c r="YE20" s="2">
        <v>103.49</v>
      </c>
      <c r="YF20" s="2">
        <v>99.88</v>
      </c>
      <c r="YG20" s="2">
        <v>95.36</v>
      </c>
      <c r="YH20" s="2">
        <v>98.03</v>
      </c>
      <c r="YI20" s="2">
        <v>99.13</v>
      </c>
      <c r="YJ20" s="2">
        <v>101.02</v>
      </c>
      <c r="YK20" s="2">
        <v>96.38</v>
      </c>
      <c r="YL20" s="2">
        <v>98.73999999999999</v>
      </c>
      <c r="YM20" s="2">
        <v>99.06999999999999</v>
      </c>
      <c r="YN20" s="2">
        <v>99.68000000000001</v>
      </c>
      <c r="YO20" s="2">
        <v>98.06</v>
      </c>
      <c r="YP20" s="2">
        <v>97.98</v>
      </c>
      <c r="ACI20" s="2">
        <v>1.5</v>
      </c>
      <c r="ACJ20" s="2">
        <v>2.9</v>
      </c>
      <c r="ACK20" s="2">
        <v>3.8</v>
      </c>
      <c r="ACL20" s="2">
        <v>2.2</v>
      </c>
      <c r="ACM20" s="2">
        <v>4</v>
      </c>
      <c r="ACN20" s="2">
        <v>4.2</v>
      </c>
      <c r="ACO20" s="2">
        <v>5.4</v>
      </c>
      <c r="ACP20" s="2">
        <v>7.8</v>
      </c>
      <c r="ACQ20" s="2">
        <v>5.1</v>
      </c>
      <c r="ACR20" s="2">
        <v>2.1</v>
      </c>
      <c r="ACS20" s="2">
        <v>2</v>
      </c>
      <c r="ACT20" s="2">
        <v>3.7</v>
      </c>
      <c r="ACU20" s="2">
        <v>4.5</v>
      </c>
      <c r="ACV20" s="2">
        <v>2.7</v>
      </c>
      <c r="ACW20" s="2">
        <v>5.7</v>
      </c>
      <c r="ACX20" s="2">
        <v>2.8</v>
      </c>
      <c r="ACY20" s="2">
        <v>3.5</v>
      </c>
      <c r="ACZ20" s="2">
        <v>2.4</v>
      </c>
      <c r="ADA20" s="2">
        <v>4.1</v>
      </c>
      <c r="ADB20" s="2">
        <v>0.7</v>
      </c>
      <c r="ADC20" s="2">
        <v>2</v>
      </c>
      <c r="ADD20" s="2">
        <v>1.4</v>
      </c>
      <c r="ADE20" s="2">
        <v>1.2</v>
      </c>
      <c r="ADF20" s="2">
        <v>1.2</v>
      </c>
      <c r="ADG20" s="2">
        <v>0.7</v>
      </c>
      <c r="ADH20" s="2">
        <v>0.7</v>
      </c>
      <c r="ADI20" s="2">
        <v>0</v>
      </c>
      <c r="ADJ20" s="2">
        <v>2.5</v>
      </c>
      <c r="ADK20" s="2">
        <v>1.8</v>
      </c>
      <c r="ADL20" s="2">
        <v>2</v>
      </c>
      <c r="ADM20" s="2">
        <v>2.4</v>
      </c>
      <c r="ADN20" s="2">
        <v>3.2</v>
      </c>
      <c r="ADO20" s="2">
        <v>3.4</v>
      </c>
      <c r="ADP20" s="2">
        <v>1</v>
      </c>
      <c r="ADQ20" s="2">
        <v>1.8</v>
      </c>
      <c r="ADR20" s="2">
        <v>0.8</v>
      </c>
      <c r="ADS20" s="2">
        <v>3.6</v>
      </c>
      <c r="ADT20" s="2">
        <v>1.1</v>
      </c>
      <c r="ADU20" s="2">
        <v>4.6</v>
      </c>
      <c r="ADV20" s="2">
        <v>3.1</v>
      </c>
      <c r="ADW20" s="2">
        <v>3</v>
      </c>
      <c r="ADX20" s="2">
        <v>1.5</v>
      </c>
      <c r="ADY20" s="2">
        <v>1.8</v>
      </c>
      <c r="ADZ20" s="2">
        <v>1.9</v>
      </c>
      <c r="AEA20" s="2">
        <v>1.7</v>
      </c>
      <c r="AEB20" s="2">
        <v>1.2</v>
      </c>
      <c r="AEC20" s="2">
        <v>0.8</v>
      </c>
      <c r="AED20" s="2">
        <v>1.3</v>
      </c>
      <c r="AEE20" s="2">
        <v>2.1</v>
      </c>
      <c r="AEF20" s="2">
        <v>1.2</v>
      </c>
      <c r="AEG20" s="2">
        <v>0.7</v>
      </c>
      <c r="AEH20" s="2">
        <v>3.9</v>
      </c>
      <c r="AEI20" s="2">
        <v>3.7</v>
      </c>
      <c r="AEJ20" s="2">
        <v>2.1</v>
      </c>
      <c r="AEK20" s="2">
        <v>1.5</v>
      </c>
      <c r="AEL20" s="2">
        <v>1.8</v>
      </c>
      <c r="AEM20" s="2">
        <v>2.1</v>
      </c>
      <c r="AEN20" s="2">
        <v>-0.9</v>
      </c>
      <c r="AEO20" s="2">
        <v>4.2</v>
      </c>
      <c r="AEP20" s="2">
        <v>0.7</v>
      </c>
      <c r="AEQ20" s="2">
        <v>1.8</v>
      </c>
      <c r="AER20" s="2">
        <v>1.8</v>
      </c>
      <c r="AES20" s="2">
        <v>2.8</v>
      </c>
      <c r="AET20" s="2">
        <v>0.2</v>
      </c>
      <c r="AEU20" s="2">
        <v>1.5</v>
      </c>
      <c r="AEV20" s="2">
        <v>1.4</v>
      </c>
      <c r="AEW20" s="2">
        <v>2.1</v>
      </c>
      <c r="AEX20" s="2">
        <v>1</v>
      </c>
      <c r="AEY20" s="2">
        <v>2.4</v>
      </c>
      <c r="AEZ20" s="2">
        <v>2.1</v>
      </c>
      <c r="AFA20" s="2">
        <v>2.9</v>
      </c>
      <c r="AFB20" s="2">
        <v>0.5</v>
      </c>
      <c r="AFC20" s="2">
        <v>2.4</v>
      </c>
      <c r="AFD20" s="2">
        <v>-0.7</v>
      </c>
      <c r="AFE20" s="2">
        <v>0.9</v>
      </c>
      <c r="AFF20" s="2">
        <v>-1</v>
      </c>
      <c r="AFG20" s="2">
        <v>2.5</v>
      </c>
      <c r="AFH20" s="2">
        <v>-1.5</v>
      </c>
      <c r="AFI20" s="2">
        <v>2.7</v>
      </c>
      <c r="AFJ20" s="2">
        <v>-1.7</v>
      </c>
      <c r="AFK20" s="2">
        <v>1.8</v>
      </c>
      <c r="AFL20" s="2">
        <v>-2.2</v>
      </c>
      <c r="AFM20" s="2">
        <v>0.8</v>
      </c>
      <c r="AFN20" s="2">
        <v>0.6</v>
      </c>
      <c r="AFO20" s="2">
        <v>1.2</v>
      </c>
      <c r="AFP20" s="2">
        <v>1.4</v>
      </c>
      <c r="AFQ20" s="2">
        <v>1.2</v>
      </c>
      <c r="AFR20" s="2">
        <v>-0.2</v>
      </c>
      <c r="AFS20" s="2">
        <v>1.4</v>
      </c>
      <c r="AFT20" s="2">
        <v>-0.9</v>
      </c>
      <c r="AFU20" s="2">
        <v>0.7</v>
      </c>
      <c r="AFV20" s="2">
        <v>-0.1</v>
      </c>
      <c r="AFW20" s="2">
        <v>1.1</v>
      </c>
      <c r="AFX20" s="2">
        <v>-0.8</v>
      </c>
      <c r="AFY20" s="2">
        <v>1.8</v>
      </c>
      <c r="AFZ20" s="2">
        <v>-0.6</v>
      </c>
      <c r="AGA20" s="2">
        <v>1.1</v>
      </c>
      <c r="AGB20" s="2">
        <v>-0.5</v>
      </c>
      <c r="AGC20" s="2">
        <v>0.9</v>
      </c>
      <c r="AGD20" s="2">
        <v>-1.1</v>
      </c>
      <c r="AGE20" s="2">
        <v>2</v>
      </c>
      <c r="AGF20" s="2">
        <v>0.1</v>
      </c>
      <c r="AGG20" s="2">
        <v>0.3</v>
      </c>
      <c r="AGH20" s="2">
        <v>-0.4</v>
      </c>
      <c r="AGI20" s="2">
        <v>1.2</v>
      </c>
      <c r="AGJ20" s="2">
        <v>-1.6</v>
      </c>
      <c r="AGK20" s="2">
        <v>1.5</v>
      </c>
      <c r="AGL20" s="2">
        <v>-0.4</v>
      </c>
      <c r="AGM20" s="2">
        <v>0.6</v>
      </c>
      <c r="AGN20" s="2">
        <v>-1</v>
      </c>
      <c r="AGO20" s="2">
        <v>1.6</v>
      </c>
      <c r="AGP20" s="2">
        <v>4</v>
      </c>
      <c r="AGQ20" s="2">
        <v>-0.3</v>
      </c>
      <c r="AGR20" s="2">
        <v>-0.2</v>
      </c>
      <c r="AGS20" s="2">
        <v>2.3</v>
      </c>
      <c r="AGT20" s="2">
        <v>-0.4</v>
      </c>
      <c r="AGU20" s="2">
        <v>1.5</v>
      </c>
      <c r="AGV20" s="2">
        <v>-1</v>
      </c>
      <c r="AGW20" s="2">
        <v>2.2</v>
      </c>
      <c r="AGX20" s="2">
        <v>-0.6</v>
      </c>
      <c r="AGY20" s="2">
        <v>2.2</v>
      </c>
      <c r="AGZ20" s="2">
        <v>-1.8</v>
      </c>
      <c r="AHA20" s="2">
        <v>2.2</v>
      </c>
      <c r="AHB20" s="2">
        <v>-0.2</v>
      </c>
      <c r="AHC20" s="2">
        <v>0.2</v>
      </c>
      <c r="AHD20" s="2">
        <v>-1.4</v>
      </c>
      <c r="AHE20" s="2">
        <v>0.8</v>
      </c>
      <c r="AHF20" s="2">
        <v>-0.4</v>
      </c>
      <c r="AHG20" s="2">
        <v>0.7</v>
      </c>
      <c r="AHH20" s="2">
        <v>-1.8</v>
      </c>
      <c r="AHI20" s="2">
        <v>0.7</v>
      </c>
      <c r="AHJ20" s="2">
        <v>0.9</v>
      </c>
      <c r="AHK20" s="2">
        <v>0.5</v>
      </c>
      <c r="AHL20" s="2">
        <v>-2.5</v>
      </c>
      <c r="AHM20" s="2">
        <v>1.2</v>
      </c>
      <c r="AHN20" s="2">
        <v>1.1</v>
      </c>
      <c r="AHO20" s="2">
        <v>0.8</v>
      </c>
      <c r="AHP20" s="2">
        <v>-2.4</v>
      </c>
      <c r="AHQ20" s="2">
        <v>2.9</v>
      </c>
      <c r="AHR20" s="2">
        <v>-1</v>
      </c>
      <c r="AHS20" s="2">
        <v>1.6</v>
      </c>
      <c r="AHT20" s="2">
        <v>-2.7</v>
      </c>
      <c r="AHU20" s="2">
        <v>2.7</v>
      </c>
      <c r="AHV20" s="2">
        <v>-0.9</v>
      </c>
      <c r="AHW20" s="2">
        <v>0.6</v>
      </c>
      <c r="AHX20" s="2">
        <v>0.6</v>
      </c>
      <c r="AHY20" s="2">
        <v>3.5</v>
      </c>
      <c r="AHZ20" s="2">
        <v>0.6</v>
      </c>
      <c r="AIA20" s="2">
        <v>0.8</v>
      </c>
      <c r="AIB20" s="2">
        <v>-3.5</v>
      </c>
      <c r="AIC20" s="2">
        <v>1.4</v>
      </c>
      <c r="AID20" s="2">
        <v>1.2</v>
      </c>
      <c r="AIE20" s="2">
        <v>0</v>
      </c>
      <c r="AIF20" s="2">
        <v>-4.9</v>
      </c>
      <c r="AIG20" s="2">
        <v>4.6</v>
      </c>
      <c r="AIH20" s="2">
        <v>-0.6</v>
      </c>
      <c r="AII20" s="2">
        <v>1</v>
      </c>
      <c r="AIJ20" s="2">
        <v>-5.1</v>
      </c>
      <c r="AIK20" s="2">
        <v>3.7</v>
      </c>
      <c r="AIL20" s="2">
        <v>1.5</v>
      </c>
      <c r="AIM20" s="2">
        <v>-1.3</v>
      </c>
      <c r="AIN20" s="2">
        <v>-5.9</v>
      </c>
      <c r="AIO20" s="2">
        <v>4.1</v>
      </c>
      <c r="AIP20" s="2">
        <v>0</v>
      </c>
      <c r="AIQ20" s="2">
        <v>1.2</v>
      </c>
      <c r="AIR20" s="2">
        <v>-3.5</v>
      </c>
      <c r="AIS20" s="2">
        <v>4</v>
      </c>
      <c r="AIT20" s="2">
        <v>0.3</v>
      </c>
      <c r="AIU20" s="2">
        <v>-0.1</v>
      </c>
      <c r="AIV20" s="2">
        <v>-2.9</v>
      </c>
      <c r="AIW20" s="2">
        <v>3.4</v>
      </c>
      <c r="AIX20" s="2">
        <v>0.6</v>
      </c>
      <c r="AIY20" s="2">
        <v>1</v>
      </c>
      <c r="AIZ20" s="2">
        <v>-1.2</v>
      </c>
      <c r="AJA20" s="2">
        <v>2.1</v>
      </c>
      <c r="AJB20" s="2">
        <v>1</v>
      </c>
      <c r="AJC20" s="2">
        <v>-1.4</v>
      </c>
      <c r="AJD20" s="2">
        <v>-3</v>
      </c>
      <c r="AJE20" s="2">
        <v>1</v>
      </c>
      <c r="AJF20" s="2">
        <v>0.3</v>
      </c>
      <c r="AJG20" s="2">
        <v>-0.8</v>
      </c>
      <c r="AJH20" s="2">
        <v>-2.4</v>
      </c>
      <c r="AJI20" s="2">
        <v>0.8</v>
      </c>
      <c r="AJJ20" s="2">
        <v>1.5</v>
      </c>
      <c r="AJK20" s="2">
        <v>1.5</v>
      </c>
      <c r="AJL20" s="2">
        <v>-2</v>
      </c>
      <c r="AJM20" s="2">
        <v>1.5</v>
      </c>
      <c r="AJN20" s="2">
        <v>2</v>
      </c>
      <c r="AJO20" s="2">
        <v>-0.9</v>
      </c>
      <c r="AJP20" s="2">
        <v>-3</v>
      </c>
      <c r="AJQ20" s="2">
        <v>3.3</v>
      </c>
      <c r="AJR20" s="2">
        <v>5.5</v>
      </c>
      <c r="AJS20" s="2">
        <v>-0.9</v>
      </c>
      <c r="AJT20" s="2">
        <v>-2.8</v>
      </c>
      <c r="AJU20" s="2">
        <v>3.3</v>
      </c>
      <c r="AJV20" s="2">
        <v>3.4</v>
      </c>
      <c r="AJW20" s="2">
        <v>1</v>
      </c>
      <c r="AJX20" s="2">
        <v>-2.4</v>
      </c>
      <c r="AJY20" s="2">
        <v>6.2</v>
      </c>
      <c r="AJZ20" s="2">
        <v>6.2</v>
      </c>
      <c r="AKA20" s="2">
        <v>0.7</v>
      </c>
      <c r="AKB20" s="2">
        <v>-3.5</v>
      </c>
      <c r="AKC20" s="2">
        <v>4.2</v>
      </c>
      <c r="AKD20" s="2">
        <v>1.8</v>
      </c>
      <c r="AKE20" s="2">
        <v>-3.5</v>
      </c>
      <c r="AKF20" s="2">
        <v>-4.5</v>
      </c>
      <c r="AKG20" s="2">
        <v>2.8</v>
      </c>
      <c r="AKH20" s="2">
        <v>1.1</v>
      </c>
      <c r="AKI20" s="2">
        <v>1.9</v>
      </c>
      <c r="AKJ20" s="2">
        <v>-4.6</v>
      </c>
      <c r="AKK20" s="2">
        <v>2.4</v>
      </c>
      <c r="AKL20" s="2">
        <v>0.3</v>
      </c>
      <c r="AKM20" s="2">
        <v>0.6</v>
      </c>
      <c r="AKN20" s="2">
        <v>-1.6</v>
      </c>
      <c r="AKO20" s="2">
        <v>-0.1</v>
      </c>
      <c r="AKP20" s="2">
        <v>1.43</v>
      </c>
      <c r="AKQ20" s="2">
        <v>1.41</v>
      </c>
      <c r="AKR20" s="2">
        <v>1.41</v>
      </c>
    </row>
    <row r="21">
      <c r="A21" t="inlineStr">
        <is>
          <t>Household textiles</t>
        </is>
      </c>
      <c r="B21" t="inlineStr">
        <is>
          <t>Furnishings, household equipment and services</t>
        </is>
      </c>
      <c r="C21">
        <v>2</v>
      </c>
      <c r="D21">
        <v>0.43</v>
      </c>
      <c r="E21" s="3">
        <f>D21/7.89*0.079</f>
        <v>0.004305449936628644</v>
      </c>
      <c r="F21" s="3">
        <f>E21-D21/100</f>
        <v>5.44993662864382e-06</v>
      </c>
      <c r="G21" s="3">
        <f>D21/7.89</f>
        <v>0.05449936628643853</v>
      </c>
      <c r="CI21" s="2">
        <v>99.59999999999999</v>
      </c>
      <c r="CJ21" s="2">
        <v>99.7</v>
      </c>
      <c r="CK21" s="2">
        <v>93.37</v>
      </c>
      <c r="CL21" s="2">
        <v>100.57</v>
      </c>
      <c r="CM21" s="2">
        <v>105.51</v>
      </c>
      <c r="CN21" s="2">
        <v>100.02</v>
      </c>
      <c r="CO21" s="2">
        <v>98.13</v>
      </c>
      <c r="CP21" s="2">
        <v>104.45</v>
      </c>
      <c r="CQ21" s="2">
        <v>92.15000000000001</v>
      </c>
      <c r="CR21" s="2">
        <v>94.63</v>
      </c>
      <c r="CS21" s="2">
        <v>100.15</v>
      </c>
      <c r="CT21" s="2">
        <v>100.34</v>
      </c>
      <c r="CU21" s="2">
        <v>98</v>
      </c>
      <c r="CV21" s="2">
        <v>100.09</v>
      </c>
      <c r="CW21" s="2">
        <v>93.09999999999999</v>
      </c>
      <c r="CX21" s="2">
        <v>102.45</v>
      </c>
      <c r="CY21" s="2">
        <v>101.48</v>
      </c>
      <c r="CZ21" s="2">
        <v>100</v>
      </c>
      <c r="DA21" s="2">
        <v>101.69</v>
      </c>
      <c r="DB21" s="2">
        <v>100.8</v>
      </c>
      <c r="DC21" s="2">
        <v>96.88</v>
      </c>
      <c r="DD21" s="2">
        <v>95.36</v>
      </c>
      <c r="DE21" s="2">
        <v>100.32</v>
      </c>
      <c r="DF21" s="2">
        <v>98.14</v>
      </c>
      <c r="DG21" s="2">
        <v>96.52</v>
      </c>
      <c r="DH21" s="2">
        <v>95.36</v>
      </c>
      <c r="DI21" s="2">
        <v>92.56999999999999</v>
      </c>
      <c r="DJ21" s="2">
        <v>103.25</v>
      </c>
      <c r="GL21" s="2">
        <v>-1.6</v>
      </c>
      <c r="GM21" s="2">
        <v>0.4</v>
      </c>
      <c r="GN21" s="2">
        <v>-0.3</v>
      </c>
      <c r="GO21" s="2">
        <v>1.9</v>
      </c>
      <c r="GP21" s="2">
        <v>-3.8</v>
      </c>
      <c r="GQ21" s="2">
        <v>0</v>
      </c>
      <c r="GR21" s="2">
        <v>3.6</v>
      </c>
      <c r="GS21" s="2">
        <v>-3.5</v>
      </c>
      <c r="GT21" s="2">
        <v>5.1</v>
      </c>
      <c r="GU21" s="2">
        <v>0.8</v>
      </c>
      <c r="GV21" s="2">
        <v>0.2</v>
      </c>
      <c r="GW21" s="2">
        <v>-2.2</v>
      </c>
      <c r="GX21" s="2">
        <v>-1.5</v>
      </c>
      <c r="GY21" s="2">
        <v>-4.7</v>
      </c>
      <c r="GZ21" s="2">
        <v>-0.6</v>
      </c>
      <c r="HA21" s="2">
        <v>0.8</v>
      </c>
      <c r="KC21" s="2">
        <v>0.1</v>
      </c>
      <c r="KD21" s="2">
        <v>-6.3</v>
      </c>
      <c r="KE21" s="2">
        <v>7.7</v>
      </c>
      <c r="KF21" s="2">
        <v>4.9</v>
      </c>
      <c r="KG21" s="2">
        <v>-5.2</v>
      </c>
      <c r="KH21" s="2">
        <v>-1.9</v>
      </c>
      <c r="KI21" s="2">
        <v>6.4</v>
      </c>
      <c r="KJ21" s="2">
        <v>-11.8</v>
      </c>
      <c r="KK21" s="2">
        <v>2.7</v>
      </c>
      <c r="KL21" s="2">
        <v>5.8</v>
      </c>
      <c r="KM21" s="2">
        <v>0.2</v>
      </c>
      <c r="KN21" s="2">
        <v>-2.3</v>
      </c>
      <c r="KO21" s="2">
        <v>2.1</v>
      </c>
      <c r="KP21" s="2">
        <v>-7</v>
      </c>
      <c r="KQ21" s="2">
        <v>10</v>
      </c>
      <c r="KR21" s="2">
        <v>-0.9</v>
      </c>
      <c r="KS21" s="2">
        <v>-1.5</v>
      </c>
      <c r="KT21" s="2">
        <v>1.7</v>
      </c>
      <c r="KU21" s="2">
        <v>-0.9</v>
      </c>
      <c r="KV21" s="2">
        <v>-3.9</v>
      </c>
      <c r="KW21" s="2">
        <v>-1.6</v>
      </c>
      <c r="KX21" s="2">
        <v>5.2</v>
      </c>
      <c r="KY21" s="2">
        <v>-2.2</v>
      </c>
      <c r="KZ21" s="2">
        <v>-1.7</v>
      </c>
      <c r="LA21" s="2">
        <v>-1.2</v>
      </c>
      <c r="LB21" s="2">
        <v>-2.9</v>
      </c>
      <c r="LC21" s="2">
        <v>11.5</v>
      </c>
      <c r="LD21" s="2">
        <v>0.42</v>
      </c>
      <c r="LE21" s="2">
        <v>0.43</v>
      </c>
      <c r="LF21" s="2">
        <v>0.46</v>
      </c>
      <c r="LG21" s="2">
        <v>0.46</v>
      </c>
      <c r="LH21" s="2">
        <v>0.45</v>
      </c>
      <c r="LI21" s="2">
        <v>0.46</v>
      </c>
      <c r="LJ21" s="2">
        <v>0.42</v>
      </c>
      <c r="LK21" s="2">
        <v>0.47</v>
      </c>
      <c r="LL21" s="2">
        <v>0.46</v>
      </c>
      <c r="LM21" s="2">
        <v>0.46</v>
      </c>
      <c r="LN21" s="2">
        <v>0.46</v>
      </c>
      <c r="LO21" s="2">
        <v>0.46</v>
      </c>
      <c r="LP21" s="2">
        <v>0.44</v>
      </c>
      <c r="LQ21" s="2">
        <v>0.43</v>
      </c>
      <c r="LR21" s="2">
        <v>0.46</v>
      </c>
      <c r="LS21" s="2">
        <v>0.45</v>
      </c>
      <c r="LT21" s="2">
        <v>0.44</v>
      </c>
      <c r="LU21" s="2">
        <v>0.43</v>
      </c>
      <c r="LV21" s="2">
        <v>0.42</v>
      </c>
      <c r="LW21" s="2">
        <v>0.47</v>
      </c>
      <c r="LX21" s="2">
        <v>0.01</v>
      </c>
      <c r="LY21" s="2">
        <v>0.03</v>
      </c>
      <c r="LZ21" s="2">
        <v>0</v>
      </c>
      <c r="MA21" s="2">
        <v>-0.01</v>
      </c>
      <c r="MB21" s="2">
        <v>0.01</v>
      </c>
      <c r="MC21" s="2">
        <v>-0.04</v>
      </c>
      <c r="MD21" s="2">
        <v>0.05</v>
      </c>
      <c r="ME21" s="2">
        <v>-0.01</v>
      </c>
      <c r="MF21" s="2">
        <v>0</v>
      </c>
      <c r="MG21" s="2">
        <v>0</v>
      </c>
      <c r="MH21" s="2">
        <v>0</v>
      </c>
      <c r="MI21" s="2">
        <v>-0.02</v>
      </c>
      <c r="MJ21" s="2">
        <v>-0.01</v>
      </c>
      <c r="MK21" s="2">
        <v>0.03</v>
      </c>
      <c r="ML21" s="2">
        <v>-0.01</v>
      </c>
      <c r="MM21" s="2">
        <v>-0.01</v>
      </c>
      <c r="MN21" s="2">
        <v>-0.01</v>
      </c>
      <c r="MO21" s="2">
        <v>-0.01</v>
      </c>
      <c r="MP21" s="2">
        <v>0.05</v>
      </c>
      <c r="QI21" s="2">
        <v>18.54</v>
      </c>
      <c r="QJ21" s="2">
        <v>18.64</v>
      </c>
      <c r="QK21" s="2">
        <v>18.96</v>
      </c>
      <c r="QL21" s="2">
        <v>21.29</v>
      </c>
      <c r="QM21" s="2">
        <v>22.35</v>
      </c>
      <c r="QN21" s="2">
        <v>23.2</v>
      </c>
      <c r="QO21" s="2">
        <v>24.58</v>
      </c>
      <c r="QP21" s="2">
        <v>26.8</v>
      </c>
      <c r="QQ21" s="2">
        <v>27.65</v>
      </c>
      <c r="QR21" s="2">
        <v>28.81</v>
      </c>
      <c r="QS21" s="2">
        <v>29.45</v>
      </c>
      <c r="QT21" s="2">
        <v>30.83</v>
      </c>
      <c r="QU21" s="2">
        <v>31.99</v>
      </c>
      <c r="QV21" s="2">
        <v>32.84</v>
      </c>
      <c r="QW21" s="2">
        <v>33.47</v>
      </c>
      <c r="QX21" s="2">
        <v>35.17</v>
      </c>
      <c r="QY21" s="2">
        <v>36.23</v>
      </c>
      <c r="QZ21" s="2">
        <v>36.33</v>
      </c>
      <c r="RA21" s="2">
        <v>38.45</v>
      </c>
      <c r="RB21" s="2">
        <v>41.31</v>
      </c>
      <c r="RC21" s="2">
        <v>42.58</v>
      </c>
      <c r="RD21" s="2">
        <v>43.96</v>
      </c>
      <c r="RE21" s="2">
        <v>44.6</v>
      </c>
      <c r="RF21" s="2">
        <v>45.87</v>
      </c>
      <c r="RG21" s="2">
        <v>46.5</v>
      </c>
      <c r="RH21" s="2">
        <v>47.35</v>
      </c>
      <c r="RI21" s="2">
        <v>48.09</v>
      </c>
      <c r="RJ21" s="2">
        <v>48.09</v>
      </c>
      <c r="RK21" s="2">
        <v>49.47</v>
      </c>
      <c r="RL21" s="2">
        <v>50.53</v>
      </c>
      <c r="RM21" s="2">
        <v>51.38</v>
      </c>
      <c r="RN21" s="2">
        <v>52.43</v>
      </c>
      <c r="RO21" s="2">
        <v>53.92</v>
      </c>
      <c r="RP21" s="2">
        <v>56.14</v>
      </c>
      <c r="RQ21" s="2">
        <v>56.67</v>
      </c>
      <c r="RR21" s="2">
        <v>57.84</v>
      </c>
      <c r="RS21" s="2">
        <v>59.11</v>
      </c>
      <c r="RT21" s="2">
        <v>60.17</v>
      </c>
      <c r="RU21" s="2">
        <v>60.7</v>
      </c>
      <c r="RV21" s="2">
        <v>61.86</v>
      </c>
      <c r="RW21" s="2">
        <v>62.18</v>
      </c>
      <c r="RX21" s="2">
        <v>63.34</v>
      </c>
      <c r="RY21" s="2">
        <v>64.83</v>
      </c>
      <c r="RZ21" s="2">
        <v>69.06999999999999</v>
      </c>
      <c r="SA21" s="2">
        <v>70.12</v>
      </c>
      <c r="SB21" s="2">
        <v>71.29000000000001</v>
      </c>
      <c r="SC21" s="2">
        <v>72.03</v>
      </c>
      <c r="SD21" s="2">
        <v>73.73</v>
      </c>
      <c r="SE21" s="2">
        <v>73.3</v>
      </c>
      <c r="SF21" s="2">
        <v>73.51000000000001</v>
      </c>
      <c r="SG21" s="2">
        <v>73.41</v>
      </c>
      <c r="SH21" s="2">
        <v>75.42</v>
      </c>
      <c r="SI21" s="2">
        <v>76.69</v>
      </c>
      <c r="SJ21" s="2">
        <v>79.45</v>
      </c>
      <c r="SK21" s="2">
        <v>81.04000000000001</v>
      </c>
      <c r="SL21" s="2">
        <v>85.06</v>
      </c>
      <c r="SM21" s="2">
        <v>86.54000000000001</v>
      </c>
      <c r="SN21" s="2">
        <v>87.70999999999999</v>
      </c>
      <c r="SO21" s="2">
        <v>87.92</v>
      </c>
      <c r="SP21" s="2">
        <v>90.89</v>
      </c>
      <c r="SQ21" s="2">
        <v>92.37</v>
      </c>
      <c r="SR21" s="2">
        <v>93.31999999999999</v>
      </c>
      <c r="SS21" s="2">
        <v>94.38</v>
      </c>
      <c r="ST21" s="2">
        <v>94.28</v>
      </c>
      <c r="SU21" s="2">
        <v>96.70999999999999</v>
      </c>
      <c r="SV21" s="2">
        <v>97.45</v>
      </c>
      <c r="SW21" s="2">
        <v>99.36</v>
      </c>
      <c r="SX21" s="2">
        <v>101.69</v>
      </c>
      <c r="SY21" s="2">
        <v>103.81</v>
      </c>
      <c r="SZ21" s="2">
        <v>105.29</v>
      </c>
      <c r="TA21" s="2">
        <v>106.25</v>
      </c>
      <c r="TB21" s="2">
        <v>108.36</v>
      </c>
      <c r="TC21" s="2">
        <v>109.21</v>
      </c>
      <c r="TD21" s="2">
        <v>108.68</v>
      </c>
      <c r="TE21" s="2">
        <v>110.69</v>
      </c>
      <c r="TF21" s="2">
        <v>113.24</v>
      </c>
      <c r="TG21" s="2">
        <v>113.34</v>
      </c>
      <c r="TH21" s="2">
        <v>112.92</v>
      </c>
      <c r="TI21" s="2">
        <v>113.03</v>
      </c>
      <c r="TJ21" s="2">
        <v>112.18</v>
      </c>
      <c r="TK21" s="2">
        <v>112.28</v>
      </c>
      <c r="TL21" s="2">
        <v>113.13</v>
      </c>
      <c r="TM21" s="2">
        <v>113.13</v>
      </c>
      <c r="TN21" s="2">
        <v>113.66</v>
      </c>
      <c r="TO21" s="2">
        <v>113.55</v>
      </c>
      <c r="TP21" s="2">
        <v>113.77</v>
      </c>
      <c r="TQ21" s="2">
        <v>113.03</v>
      </c>
      <c r="TR21" s="2">
        <v>113.98</v>
      </c>
      <c r="TS21" s="2">
        <v>114.3</v>
      </c>
      <c r="TT21" s="2">
        <v>115.46</v>
      </c>
      <c r="TU21" s="2">
        <v>115.57</v>
      </c>
      <c r="TV21" s="2">
        <v>118.11</v>
      </c>
      <c r="TW21" s="2">
        <v>118.96</v>
      </c>
      <c r="TX21" s="2">
        <v>121.29</v>
      </c>
      <c r="TY21" s="2">
        <v>122.35</v>
      </c>
      <c r="TZ21" s="2">
        <v>121.82</v>
      </c>
      <c r="UA21" s="2">
        <v>122.66</v>
      </c>
      <c r="UB21" s="2">
        <v>124.89</v>
      </c>
      <c r="UC21" s="2">
        <v>124.68</v>
      </c>
      <c r="UD21" s="2">
        <v>125</v>
      </c>
      <c r="UE21" s="2">
        <v>125.84</v>
      </c>
      <c r="UF21" s="2">
        <v>127.01</v>
      </c>
      <c r="UG21" s="2">
        <v>127.54</v>
      </c>
      <c r="UH21" s="2">
        <v>127.33</v>
      </c>
      <c r="UI21" s="2">
        <v>127.86</v>
      </c>
      <c r="UJ21" s="2">
        <v>128.6</v>
      </c>
      <c r="UK21" s="2">
        <v>128.91</v>
      </c>
      <c r="UL21" s="2">
        <v>128.38</v>
      </c>
      <c r="UM21" s="2">
        <v>127.96</v>
      </c>
      <c r="UN21" s="2">
        <v>127.96</v>
      </c>
      <c r="UO21" s="2">
        <v>127.22</v>
      </c>
      <c r="UP21" s="2">
        <v>126.05</v>
      </c>
      <c r="UQ21" s="2">
        <v>131.24</v>
      </c>
      <c r="UR21" s="2">
        <v>127.01</v>
      </c>
      <c r="US21" s="2">
        <v>127.96</v>
      </c>
      <c r="UT21" s="2">
        <v>130.29</v>
      </c>
      <c r="UU21" s="2">
        <v>126.8</v>
      </c>
      <c r="UV21" s="2">
        <v>128.91</v>
      </c>
      <c r="UW21" s="2">
        <v>127.33</v>
      </c>
      <c r="UX21" s="2">
        <v>124.68</v>
      </c>
      <c r="UY21" s="2">
        <v>122.88</v>
      </c>
      <c r="UZ21" s="2">
        <v>125.1</v>
      </c>
      <c r="VA21" s="2">
        <v>123.51</v>
      </c>
      <c r="VB21" s="2">
        <v>123.94</v>
      </c>
      <c r="VC21" s="2">
        <v>125</v>
      </c>
      <c r="VD21" s="2">
        <v>121.92</v>
      </c>
      <c r="VE21" s="2">
        <v>121.82</v>
      </c>
      <c r="VF21" s="2">
        <v>118</v>
      </c>
      <c r="VG21" s="2">
        <v>118.96</v>
      </c>
      <c r="VH21" s="2">
        <v>119.17</v>
      </c>
      <c r="VI21" s="2">
        <v>115.25</v>
      </c>
      <c r="VJ21" s="2">
        <v>118.85</v>
      </c>
      <c r="VK21" s="2">
        <v>117.37</v>
      </c>
      <c r="VL21" s="2">
        <v>117.69</v>
      </c>
      <c r="VM21" s="2">
        <v>115.78</v>
      </c>
      <c r="VN21" s="2">
        <v>115.89</v>
      </c>
      <c r="VO21" s="2">
        <v>118.32</v>
      </c>
      <c r="VP21" s="2">
        <v>117.58</v>
      </c>
      <c r="VQ21" s="2">
        <v>112.5</v>
      </c>
      <c r="VR21" s="2">
        <v>117.16</v>
      </c>
      <c r="VS21" s="2">
        <v>114.08</v>
      </c>
      <c r="VT21" s="2">
        <v>113.87</v>
      </c>
      <c r="VU21" s="2">
        <v>108.89</v>
      </c>
      <c r="VV21" s="2">
        <v>112.39</v>
      </c>
      <c r="VW21" s="2">
        <v>113.13</v>
      </c>
      <c r="VX21" s="2">
        <v>113.13</v>
      </c>
      <c r="VY21" s="2">
        <v>111.01</v>
      </c>
      <c r="VZ21" s="2">
        <v>114.93</v>
      </c>
      <c r="WA21" s="2">
        <v>114.3</v>
      </c>
      <c r="WB21" s="2">
        <v>114.93</v>
      </c>
      <c r="WC21" s="2">
        <v>108.89</v>
      </c>
      <c r="WD21" s="2">
        <v>109.64</v>
      </c>
      <c r="WE21" s="2">
        <v>111.54</v>
      </c>
      <c r="WF21" s="2">
        <v>110.59</v>
      </c>
      <c r="WG21" s="2">
        <v>106.35</v>
      </c>
      <c r="WH21" s="2">
        <v>111.54</v>
      </c>
      <c r="WI21" s="2">
        <v>112.13</v>
      </c>
      <c r="WJ21" s="2">
        <v>113.28</v>
      </c>
      <c r="WK21" s="2">
        <v>106.95</v>
      </c>
      <c r="WL21" s="2">
        <v>110.03</v>
      </c>
      <c r="WM21" s="2">
        <v>110.91</v>
      </c>
      <c r="WN21" s="2">
        <v>109.61</v>
      </c>
      <c r="WO21" s="2">
        <v>102.3</v>
      </c>
      <c r="WP21" s="2">
        <v>104.53</v>
      </c>
      <c r="WQ21" s="2">
        <v>108.54</v>
      </c>
      <c r="WR21" s="2">
        <v>108.62</v>
      </c>
      <c r="WS21" s="2">
        <v>105.47</v>
      </c>
      <c r="WT21" s="2">
        <v>103.3</v>
      </c>
      <c r="WU21" s="2">
        <v>99.81999999999999</v>
      </c>
      <c r="WV21" s="2">
        <v>102.96</v>
      </c>
      <c r="WW21" s="2">
        <v>97.45999999999999</v>
      </c>
      <c r="WX21" s="2">
        <v>97.34</v>
      </c>
      <c r="WY21" s="2">
        <v>102.57</v>
      </c>
      <c r="WZ21" s="2">
        <v>104.74</v>
      </c>
      <c r="XA21" s="2">
        <v>100.46</v>
      </c>
      <c r="XB21" s="2">
        <v>99.15000000000001</v>
      </c>
      <c r="XC21" s="2">
        <v>105.03</v>
      </c>
      <c r="XD21" s="2">
        <v>100.56</v>
      </c>
      <c r="XE21" s="2">
        <v>94.95</v>
      </c>
      <c r="XF21" s="2">
        <v>98.68000000000001</v>
      </c>
      <c r="XG21" s="2">
        <v>101.11</v>
      </c>
      <c r="XH21" s="2">
        <v>95.38</v>
      </c>
      <c r="XI21" s="2">
        <v>92.05</v>
      </c>
      <c r="XJ21" s="2">
        <v>93.09999999999999</v>
      </c>
      <c r="XK21" s="2">
        <v>93.39</v>
      </c>
      <c r="XL21" s="2">
        <v>91.81999999999999</v>
      </c>
      <c r="XM21" s="2">
        <v>89.98</v>
      </c>
      <c r="XN21" s="2">
        <v>92.68000000000001</v>
      </c>
      <c r="XO21" s="2">
        <v>93.70999999999999</v>
      </c>
      <c r="XP21" s="2">
        <v>90.29000000000001</v>
      </c>
      <c r="XQ21" s="2">
        <v>93.7</v>
      </c>
      <c r="XR21" s="2">
        <v>93.55</v>
      </c>
      <c r="XS21" s="2">
        <v>98.56</v>
      </c>
      <c r="XT21" s="2">
        <v>96.61</v>
      </c>
      <c r="XU21" s="2">
        <v>95.06</v>
      </c>
      <c r="XV21" s="2">
        <v>96.98</v>
      </c>
      <c r="XW21" s="2">
        <v>99.94</v>
      </c>
      <c r="XX21" s="2">
        <v>97.04000000000001</v>
      </c>
      <c r="XY21" s="2">
        <v>97.61</v>
      </c>
      <c r="XZ21" s="2">
        <v>101.54</v>
      </c>
      <c r="YA21" s="2">
        <v>103.06</v>
      </c>
      <c r="YB21" s="2">
        <v>100.87</v>
      </c>
      <c r="YC21" s="2">
        <v>96.65000000000001</v>
      </c>
      <c r="YD21" s="2">
        <v>105.89</v>
      </c>
      <c r="YE21" s="2">
        <v>102.41</v>
      </c>
      <c r="YF21" s="2">
        <v>96.97</v>
      </c>
      <c r="YG21" s="2">
        <v>96.8</v>
      </c>
      <c r="YH21" s="2">
        <v>97.81999999999999</v>
      </c>
      <c r="YI21" s="2">
        <v>98.87</v>
      </c>
      <c r="YJ21" s="2">
        <v>96.78</v>
      </c>
      <c r="YK21" s="2">
        <v>93.48</v>
      </c>
      <c r="YL21" s="2">
        <v>96.75</v>
      </c>
      <c r="YM21" s="2">
        <v>101.31</v>
      </c>
      <c r="YN21" s="2">
        <v>99.79000000000001</v>
      </c>
      <c r="YO21" s="2">
        <v>97.94</v>
      </c>
      <c r="YP21" s="2">
        <v>94.81999999999999</v>
      </c>
      <c r="ACI21" s="2">
        <v>0.5</v>
      </c>
      <c r="ACJ21" s="2">
        <v>1.7</v>
      </c>
      <c r="ACK21" s="2">
        <v>12.3</v>
      </c>
      <c r="ACL21" s="2">
        <v>5</v>
      </c>
      <c r="ACM21" s="2">
        <v>3.8</v>
      </c>
      <c r="ACN21" s="2">
        <v>5.9</v>
      </c>
      <c r="ACO21" s="2">
        <v>9</v>
      </c>
      <c r="ACP21" s="2">
        <v>3.2</v>
      </c>
      <c r="ACQ21" s="2">
        <v>4.2</v>
      </c>
      <c r="ACR21" s="2">
        <v>2.2</v>
      </c>
      <c r="ACS21" s="2">
        <v>4.7</v>
      </c>
      <c r="ACT21" s="2">
        <v>3.8</v>
      </c>
      <c r="ACU21" s="2">
        <v>2.7</v>
      </c>
      <c r="ACV21" s="2">
        <v>1.9</v>
      </c>
      <c r="ACW21" s="2">
        <v>5.1</v>
      </c>
      <c r="ACX21" s="2">
        <v>3</v>
      </c>
      <c r="ACY21" s="2">
        <v>0.3</v>
      </c>
      <c r="ACZ21" s="2">
        <v>5.8</v>
      </c>
      <c r="ADA21" s="2">
        <v>7.4</v>
      </c>
      <c r="ADB21" s="2">
        <v>3.1</v>
      </c>
      <c r="ADC21" s="2">
        <v>3.2</v>
      </c>
      <c r="ADD21" s="2">
        <v>1.5</v>
      </c>
      <c r="ADE21" s="2">
        <v>2.8</v>
      </c>
      <c r="ADF21" s="2">
        <v>1.4</v>
      </c>
      <c r="ADG21" s="2">
        <v>1.8</v>
      </c>
      <c r="ADH21" s="2">
        <v>1.6</v>
      </c>
      <c r="ADI21" s="2">
        <v>0</v>
      </c>
      <c r="ADJ21" s="2">
        <v>2.9</v>
      </c>
      <c r="ADK21" s="2">
        <v>2.1</v>
      </c>
      <c r="ADL21" s="2">
        <v>1.7</v>
      </c>
      <c r="ADM21" s="2">
        <v>2</v>
      </c>
      <c r="ADN21" s="2">
        <v>2.8</v>
      </c>
      <c r="ADO21" s="2">
        <v>4.1</v>
      </c>
      <c r="ADP21" s="2">
        <v>0.9</v>
      </c>
      <c r="ADQ21" s="2">
        <v>2.1</v>
      </c>
      <c r="ADR21" s="2">
        <v>2.2</v>
      </c>
      <c r="ADS21" s="2">
        <v>1.8</v>
      </c>
      <c r="ADT21" s="2">
        <v>0.9</v>
      </c>
      <c r="ADU21" s="2">
        <v>1.9</v>
      </c>
      <c r="ADV21" s="2">
        <v>0.5</v>
      </c>
      <c r="ADW21" s="2">
        <v>1.9</v>
      </c>
      <c r="ADX21" s="2">
        <v>2.4</v>
      </c>
      <c r="ADY21" s="2">
        <v>6.5</v>
      </c>
      <c r="ADZ21" s="2">
        <v>1.5</v>
      </c>
      <c r="AEA21" s="2">
        <v>1.7</v>
      </c>
      <c r="AEB21" s="2">
        <v>1</v>
      </c>
      <c r="AEC21" s="2">
        <v>2.4</v>
      </c>
      <c r="AED21" s="2">
        <v>-0.6</v>
      </c>
      <c r="AEE21" s="2">
        <v>0.3</v>
      </c>
      <c r="AEF21" s="2">
        <v>-0.1</v>
      </c>
      <c r="AEG21" s="2">
        <v>2.7</v>
      </c>
      <c r="AEH21" s="2">
        <v>1.7</v>
      </c>
      <c r="AEI21" s="2">
        <v>3.6</v>
      </c>
      <c r="AEJ21" s="2">
        <v>2</v>
      </c>
      <c r="AEK21" s="2">
        <v>5</v>
      </c>
      <c r="AEL21" s="2">
        <v>1.7</v>
      </c>
      <c r="AEM21" s="2">
        <v>1.4</v>
      </c>
      <c r="AEN21" s="2">
        <v>0.2</v>
      </c>
      <c r="AEO21" s="2">
        <v>3.4</v>
      </c>
      <c r="AEP21" s="2">
        <v>1.6</v>
      </c>
      <c r="AEQ21" s="2">
        <v>1</v>
      </c>
      <c r="AER21" s="2">
        <v>1.1</v>
      </c>
      <c r="AES21" s="2">
        <v>-0.1</v>
      </c>
      <c r="AET21" s="2">
        <v>2.6</v>
      </c>
      <c r="AEU21" s="2">
        <v>0.8</v>
      </c>
      <c r="AEV21" s="2">
        <v>2</v>
      </c>
      <c r="AEW21" s="2">
        <v>2.3</v>
      </c>
      <c r="AEX21" s="2">
        <v>2.1</v>
      </c>
      <c r="AEY21" s="2">
        <v>1.4</v>
      </c>
      <c r="AEZ21" s="2">
        <v>0.9</v>
      </c>
      <c r="AFA21" s="2">
        <v>2</v>
      </c>
      <c r="AFB21" s="2">
        <v>0.8</v>
      </c>
      <c r="AFC21" s="2">
        <v>-0.5</v>
      </c>
      <c r="AFD21" s="2">
        <v>1.8</v>
      </c>
      <c r="AFE21" s="2">
        <v>2.3</v>
      </c>
      <c r="AFF21" s="2">
        <v>0.1</v>
      </c>
      <c r="AFG21" s="2">
        <v>-0.4</v>
      </c>
      <c r="AFH21" s="2">
        <v>0.1</v>
      </c>
      <c r="AFI21" s="2">
        <v>-0.8</v>
      </c>
      <c r="AFJ21" s="2">
        <v>0.1</v>
      </c>
      <c r="AFK21" s="2">
        <v>0.8</v>
      </c>
      <c r="AFL21" s="2">
        <v>0</v>
      </c>
      <c r="AFM21" s="2">
        <v>0.5</v>
      </c>
      <c r="AFN21" s="2">
        <v>-0.1</v>
      </c>
      <c r="AFO21" s="2">
        <v>0.2</v>
      </c>
      <c r="AFP21" s="2">
        <v>-0.7</v>
      </c>
      <c r="AFQ21" s="2">
        <v>0.8</v>
      </c>
      <c r="AFR21" s="2">
        <v>0.3</v>
      </c>
      <c r="AFS21" s="2">
        <v>1</v>
      </c>
      <c r="AFT21" s="2">
        <v>0.1</v>
      </c>
      <c r="AFU21" s="2">
        <v>2.2</v>
      </c>
      <c r="AFV21" s="2">
        <v>0.7</v>
      </c>
      <c r="AFW21" s="2">
        <v>2</v>
      </c>
      <c r="AFX21" s="2">
        <v>0.9</v>
      </c>
      <c r="AFY21" s="2">
        <v>-0.4</v>
      </c>
      <c r="AFZ21" s="2">
        <v>0.7</v>
      </c>
      <c r="AGA21" s="2">
        <v>1.8</v>
      </c>
      <c r="AGB21" s="2">
        <v>-0.2</v>
      </c>
      <c r="AGC21" s="2">
        <v>0.3</v>
      </c>
      <c r="AGD21" s="2">
        <v>0.7</v>
      </c>
      <c r="AGE21" s="2">
        <v>0.9</v>
      </c>
      <c r="AGF21" s="2">
        <v>0.4</v>
      </c>
      <c r="AGG21" s="2">
        <v>-0.2</v>
      </c>
      <c r="AGH21" s="2">
        <v>0.4</v>
      </c>
      <c r="AGI21" s="2">
        <v>0.6</v>
      </c>
      <c r="AGJ21" s="2">
        <v>0.2</v>
      </c>
      <c r="AGK21" s="2">
        <v>-0.4</v>
      </c>
      <c r="AGL21" s="2">
        <v>-0.3</v>
      </c>
      <c r="AGM21" s="2">
        <v>0</v>
      </c>
      <c r="AGN21" s="2">
        <v>-0.6</v>
      </c>
      <c r="AGO21" s="2">
        <v>-0.9</v>
      </c>
      <c r="AGP21" s="2">
        <v>4.1</v>
      </c>
      <c r="AGQ21" s="2">
        <v>-3.2</v>
      </c>
      <c r="AGR21" s="2">
        <v>0.7</v>
      </c>
      <c r="AGS21" s="2">
        <v>1.8</v>
      </c>
      <c r="AGT21" s="2">
        <v>-2.7</v>
      </c>
      <c r="AGU21" s="2">
        <v>1.7</v>
      </c>
      <c r="AGV21" s="2">
        <v>-1.2</v>
      </c>
      <c r="AGW21" s="2">
        <v>-2.1</v>
      </c>
      <c r="AGX21" s="2">
        <v>-1.4</v>
      </c>
      <c r="AGY21" s="2">
        <v>1.8</v>
      </c>
      <c r="AGZ21" s="2">
        <v>-1.3</v>
      </c>
      <c r="AHA21" s="2">
        <v>0.3</v>
      </c>
      <c r="AHB21" s="2">
        <v>0.9</v>
      </c>
      <c r="AHC21" s="2">
        <v>-2.5</v>
      </c>
      <c r="AHD21" s="2">
        <v>-0.1</v>
      </c>
      <c r="AHE21" s="2">
        <v>-3.1</v>
      </c>
      <c r="AHF21" s="2">
        <v>0.8</v>
      </c>
      <c r="AHG21" s="2">
        <v>0.2</v>
      </c>
      <c r="AHH21" s="2">
        <v>-3.3</v>
      </c>
      <c r="AHI21" s="2">
        <v>3.1</v>
      </c>
      <c r="AHJ21" s="2">
        <v>-1.2</v>
      </c>
      <c r="AHK21" s="2">
        <v>0.3</v>
      </c>
      <c r="AHL21" s="2">
        <v>-1.6</v>
      </c>
      <c r="AHM21" s="2">
        <v>0.1</v>
      </c>
      <c r="AHN21" s="2">
        <v>2.1</v>
      </c>
      <c r="AHO21" s="2">
        <v>-0.6</v>
      </c>
      <c r="AHP21" s="2">
        <v>-4.3</v>
      </c>
      <c r="AHQ21" s="2">
        <v>4.1</v>
      </c>
      <c r="AHR21" s="2">
        <v>-2.6</v>
      </c>
      <c r="AHS21" s="2">
        <v>-0.2</v>
      </c>
      <c r="AHT21" s="2">
        <v>-4.4</v>
      </c>
      <c r="AHU21" s="2">
        <v>3.2</v>
      </c>
      <c r="AHV21" s="2">
        <v>0.7</v>
      </c>
      <c r="AHW21" s="2">
        <v>0</v>
      </c>
      <c r="AHX21" s="2">
        <v>-1.9</v>
      </c>
      <c r="AHY21" s="2">
        <v>3.5</v>
      </c>
      <c r="AHZ21" s="2">
        <v>-0.5</v>
      </c>
      <c r="AIA21" s="2">
        <v>0.6</v>
      </c>
      <c r="AIB21" s="2">
        <v>-5.3</v>
      </c>
      <c r="AIC21" s="2">
        <v>0.7</v>
      </c>
      <c r="AID21" s="2">
        <v>1.7</v>
      </c>
      <c r="AIE21" s="2">
        <v>-0.9</v>
      </c>
      <c r="AIF21" s="2">
        <v>-3.8</v>
      </c>
      <c r="AIG21" s="2">
        <v>4.9</v>
      </c>
      <c r="AIH21" s="2">
        <v>0.5</v>
      </c>
      <c r="AII21" s="2">
        <v>1</v>
      </c>
      <c r="AIJ21" s="2">
        <v>-5.6</v>
      </c>
      <c r="AIK21" s="2">
        <v>2.9</v>
      </c>
      <c r="AIL21" s="2">
        <v>0.8</v>
      </c>
      <c r="AIM21" s="2">
        <v>-1.2</v>
      </c>
      <c r="AIN21" s="2">
        <v>-6.7</v>
      </c>
      <c r="AIO21" s="2">
        <v>2.2</v>
      </c>
      <c r="AIP21" s="2">
        <v>3.8</v>
      </c>
      <c r="AIQ21" s="2">
        <v>0.1</v>
      </c>
      <c r="AIR21" s="2">
        <v>-2.9</v>
      </c>
      <c r="AIS21" s="2">
        <v>-2.1</v>
      </c>
      <c r="AIT21" s="2">
        <v>-3.4</v>
      </c>
      <c r="AIU21" s="2">
        <v>3.1</v>
      </c>
      <c r="AIV21" s="2">
        <v>-5.3</v>
      </c>
      <c r="AIW21" s="2">
        <v>-0.1</v>
      </c>
      <c r="AIX21" s="2">
        <v>5.4</v>
      </c>
      <c r="AIY21" s="2">
        <v>2.1</v>
      </c>
      <c r="AIZ21" s="2">
        <v>-4.1</v>
      </c>
      <c r="AJA21" s="2">
        <v>-1.3</v>
      </c>
      <c r="AJB21" s="2">
        <v>5.9</v>
      </c>
      <c r="AJC21" s="2">
        <v>-4.3</v>
      </c>
      <c r="AJD21" s="2">
        <v>-5.6</v>
      </c>
      <c r="AJE21" s="2">
        <v>3.9</v>
      </c>
      <c r="AJF21" s="2">
        <v>2.5</v>
      </c>
      <c r="AJG21" s="2">
        <v>-5.7</v>
      </c>
      <c r="AJH21" s="2">
        <v>-3.5</v>
      </c>
      <c r="AJI21" s="2">
        <v>1.1</v>
      </c>
      <c r="AJJ21" s="2">
        <v>0.3</v>
      </c>
      <c r="AJK21" s="2">
        <v>-1.7</v>
      </c>
      <c r="AJL21" s="2">
        <v>-2</v>
      </c>
      <c r="AJM21" s="2">
        <v>3</v>
      </c>
      <c r="AJN21" s="2">
        <v>1.1</v>
      </c>
      <c r="AJO21" s="2">
        <v>-3.6</v>
      </c>
      <c r="AJP21" s="2">
        <v>3.8</v>
      </c>
      <c r="AJQ21" s="2">
        <v>-0.2</v>
      </c>
      <c r="AJR21" s="2">
        <v>5.4</v>
      </c>
      <c r="AJS21" s="2">
        <v>-2</v>
      </c>
      <c r="AJT21" s="2">
        <v>-1.6</v>
      </c>
      <c r="AJU21" s="2">
        <v>2</v>
      </c>
      <c r="AJV21" s="2">
        <v>3.1</v>
      </c>
      <c r="AJW21" s="2">
        <v>-2.9</v>
      </c>
      <c r="AJX21" s="2">
        <v>0.6</v>
      </c>
      <c r="AJY21" s="2">
        <v>4</v>
      </c>
      <c r="AJZ21" s="2">
        <v>1.5</v>
      </c>
      <c r="AKA21" s="2">
        <v>-2.1</v>
      </c>
      <c r="AKB21" s="2">
        <v>-4.2</v>
      </c>
      <c r="AKC21" s="2">
        <v>9.6</v>
      </c>
      <c r="AKD21" s="2">
        <v>-3.3</v>
      </c>
      <c r="AKE21" s="2">
        <v>-5.3</v>
      </c>
      <c r="AKF21" s="2">
        <v>-0.2</v>
      </c>
      <c r="AKG21" s="2">
        <v>1.1</v>
      </c>
      <c r="AKH21" s="2">
        <v>1.1</v>
      </c>
      <c r="AKI21" s="2">
        <v>-2.1</v>
      </c>
      <c r="AKJ21" s="2">
        <v>-3.4</v>
      </c>
      <c r="AKK21" s="2">
        <v>3.5</v>
      </c>
      <c r="AKL21" s="2">
        <v>4.7</v>
      </c>
      <c r="AKM21" s="2">
        <v>-1.5</v>
      </c>
      <c r="AKN21" s="2">
        <v>-1.9</v>
      </c>
      <c r="AKO21" s="2">
        <v>-3.2</v>
      </c>
      <c r="AKP21" s="2">
        <v>0.45</v>
      </c>
      <c r="AKQ21" s="2">
        <v>0.45</v>
      </c>
      <c r="AKR21" s="2">
        <v>0.43</v>
      </c>
    </row>
    <row r="22">
      <c r="A22" t="inlineStr">
        <is>
          <t>Household appliances, utensils and tools</t>
        </is>
      </c>
      <c r="B22" t="inlineStr">
        <is>
          <t>Furnishings, household equipment and services</t>
        </is>
      </c>
      <c r="C22">
        <v>2</v>
      </c>
      <c r="D22">
        <v>1.28</v>
      </c>
      <c r="E22" s="3">
        <f>D22/7.89*0.079</f>
        <v>0.012816223067173638</v>
      </c>
      <c r="F22" s="3">
        <f>E22-D22/100</f>
        <v>1.6223067173637418e-05</v>
      </c>
      <c r="G22" s="3">
        <f>D22/7.89</f>
        <v>0.16223067173637518</v>
      </c>
      <c r="CI22" s="2">
        <v>101.1</v>
      </c>
      <c r="CJ22" s="2">
        <v>101.08</v>
      </c>
      <c r="CK22" s="2">
        <v>98.75</v>
      </c>
      <c r="CL22" s="2">
        <v>102.09</v>
      </c>
      <c r="CM22" s="2">
        <v>102.37</v>
      </c>
      <c r="CN22" s="2">
        <v>100.34</v>
      </c>
      <c r="CO22" s="2">
        <v>101.84</v>
      </c>
      <c r="CP22" s="2">
        <v>101.21</v>
      </c>
      <c r="CQ22" s="2">
        <v>98.15000000000001</v>
      </c>
      <c r="CR22" s="2">
        <v>99.84999999999999</v>
      </c>
      <c r="CS22" s="2">
        <v>99.55</v>
      </c>
      <c r="CT22" s="2">
        <v>97.70999999999999</v>
      </c>
      <c r="CU22" s="2">
        <v>100.67</v>
      </c>
      <c r="CV22" s="2">
        <v>100.04</v>
      </c>
      <c r="CW22" s="2">
        <v>98.39</v>
      </c>
      <c r="CX22" s="2">
        <v>100.17</v>
      </c>
      <c r="CY22" s="2">
        <v>103.23</v>
      </c>
      <c r="CZ22" s="2">
        <v>100</v>
      </c>
      <c r="DA22" s="2">
        <v>101.06</v>
      </c>
      <c r="DB22" s="2">
        <v>100.18</v>
      </c>
      <c r="DC22" s="2">
        <v>96.13</v>
      </c>
      <c r="DD22" s="2">
        <v>99.44</v>
      </c>
      <c r="DE22" s="2">
        <v>99.87</v>
      </c>
      <c r="DF22" s="2">
        <v>97.63</v>
      </c>
      <c r="DG22" s="2">
        <v>99.17</v>
      </c>
      <c r="DH22" s="2">
        <v>99.83</v>
      </c>
      <c r="DI22" s="2">
        <v>97.95999999999999</v>
      </c>
      <c r="DJ22" s="2">
        <v>100.86</v>
      </c>
      <c r="GL22" s="2">
        <v>-0.4</v>
      </c>
      <c r="GM22" s="2">
        <v>-1</v>
      </c>
      <c r="GN22" s="2">
        <v>-0.4</v>
      </c>
      <c r="GO22" s="2">
        <v>-1.9</v>
      </c>
      <c r="GP22" s="2">
        <v>0.8</v>
      </c>
      <c r="GQ22" s="2">
        <v>-0.3</v>
      </c>
      <c r="GR22" s="2">
        <v>-0.8</v>
      </c>
      <c r="GS22" s="2">
        <v>-1</v>
      </c>
      <c r="GT22" s="2">
        <v>-2.1</v>
      </c>
      <c r="GU22" s="2">
        <v>-0.4</v>
      </c>
      <c r="GV22" s="2">
        <v>0.3</v>
      </c>
      <c r="GW22" s="2">
        <v>-0.1</v>
      </c>
      <c r="GX22" s="2">
        <v>-1.5</v>
      </c>
      <c r="GY22" s="2">
        <v>-0.2</v>
      </c>
      <c r="GZ22" s="2">
        <v>-0.4</v>
      </c>
      <c r="HA22" s="2">
        <v>0.7</v>
      </c>
      <c r="KC22" s="2">
        <v>0</v>
      </c>
      <c r="KD22" s="2">
        <v>-2.3</v>
      </c>
      <c r="KE22" s="2">
        <v>3.4</v>
      </c>
      <c r="KF22" s="2">
        <v>0.3</v>
      </c>
      <c r="KG22" s="2">
        <v>-2</v>
      </c>
      <c r="KH22" s="2">
        <v>1.5</v>
      </c>
      <c r="KI22" s="2">
        <v>-0.6</v>
      </c>
      <c r="KJ22" s="2">
        <v>-3</v>
      </c>
      <c r="KK22" s="2">
        <v>1.7</v>
      </c>
      <c r="KL22" s="2">
        <v>-0.3</v>
      </c>
      <c r="KM22" s="2">
        <v>-1.8</v>
      </c>
      <c r="KN22" s="2">
        <v>3</v>
      </c>
      <c r="KO22" s="2">
        <v>-0.6</v>
      </c>
      <c r="KP22" s="2">
        <v>-1.6</v>
      </c>
      <c r="KQ22" s="2">
        <v>1.8</v>
      </c>
      <c r="KR22" s="2">
        <v>3.1</v>
      </c>
      <c r="KS22" s="2">
        <v>-3.1</v>
      </c>
      <c r="KT22" s="2">
        <v>1.1</v>
      </c>
      <c r="KU22" s="2">
        <v>-0.9</v>
      </c>
      <c r="KV22" s="2">
        <v>-4</v>
      </c>
      <c r="KW22" s="2">
        <v>3.4</v>
      </c>
      <c r="KX22" s="2">
        <v>0.4</v>
      </c>
      <c r="KY22" s="2">
        <v>-2.2</v>
      </c>
      <c r="KZ22" s="2">
        <v>1.6</v>
      </c>
      <c r="LA22" s="2">
        <v>0.7</v>
      </c>
      <c r="LB22" s="2">
        <v>-1.9</v>
      </c>
      <c r="LC22" s="2">
        <v>3</v>
      </c>
      <c r="LD22" s="2">
        <v>1.25</v>
      </c>
      <c r="LE22" s="2">
        <v>1.27</v>
      </c>
      <c r="LF22" s="2">
        <v>1.27</v>
      </c>
      <c r="LG22" s="2">
        <v>1.24</v>
      </c>
      <c r="LH22" s="2">
        <v>1.28</v>
      </c>
      <c r="LI22" s="2">
        <v>1.27</v>
      </c>
      <c r="LJ22" s="2">
        <v>1.25</v>
      </c>
      <c r="LK22" s="2">
        <v>1.28</v>
      </c>
      <c r="LL22" s="2">
        <v>1.31</v>
      </c>
      <c r="LM22" s="2">
        <v>1.27</v>
      </c>
      <c r="LN22" s="2">
        <v>1.29</v>
      </c>
      <c r="LO22" s="2">
        <v>1.28</v>
      </c>
      <c r="LP22" s="2">
        <v>1.22</v>
      </c>
      <c r="LQ22" s="2">
        <v>1.27</v>
      </c>
      <c r="LR22" s="2">
        <v>1.27</v>
      </c>
      <c r="LS22" s="2">
        <v>1.24</v>
      </c>
      <c r="LT22" s="2">
        <v>1.26</v>
      </c>
      <c r="LU22" s="2">
        <v>1.27</v>
      </c>
      <c r="LV22" s="2">
        <v>1.25</v>
      </c>
      <c r="LW22" s="2">
        <v>1.28</v>
      </c>
      <c r="LX22" s="2">
        <v>0.02</v>
      </c>
      <c r="LY22" s="2">
        <v>0</v>
      </c>
      <c r="LZ22" s="2">
        <v>-0.03</v>
      </c>
      <c r="MA22" s="2">
        <v>0.04</v>
      </c>
      <c r="MB22" s="2">
        <v>-0.01</v>
      </c>
      <c r="MC22" s="2">
        <v>-0.02</v>
      </c>
      <c r="MD22" s="2">
        <v>0.03</v>
      </c>
      <c r="ME22" s="2">
        <v>0.03</v>
      </c>
      <c r="MF22" s="2">
        <v>-0.04</v>
      </c>
      <c r="MG22" s="2">
        <v>0.02</v>
      </c>
      <c r="MH22" s="2">
        <v>-0.01</v>
      </c>
      <c r="MI22" s="2">
        <v>-0.06</v>
      </c>
      <c r="MJ22" s="2">
        <v>0.05</v>
      </c>
      <c r="MK22" s="2">
        <v>0</v>
      </c>
      <c r="ML22" s="2">
        <v>-0.03</v>
      </c>
      <c r="MM22" s="2">
        <v>0.02</v>
      </c>
      <c r="MN22" s="2">
        <v>0.01</v>
      </c>
      <c r="MO22" s="2">
        <v>-0.02</v>
      </c>
      <c r="MP22" s="2">
        <v>0.03</v>
      </c>
      <c r="SY22" s="2">
        <v>96.20999999999999</v>
      </c>
      <c r="SZ22" s="2">
        <v>97.28</v>
      </c>
      <c r="TA22" s="2">
        <v>97.97</v>
      </c>
      <c r="TB22" s="2">
        <v>98.84</v>
      </c>
      <c r="TC22" s="2">
        <v>100.11</v>
      </c>
      <c r="TD22" s="2">
        <v>100.21</v>
      </c>
      <c r="TE22" s="2">
        <v>101.38</v>
      </c>
      <c r="TF22" s="2">
        <v>101.38</v>
      </c>
      <c r="TG22" s="2">
        <v>101.77</v>
      </c>
      <c r="TH22" s="2">
        <v>101.87</v>
      </c>
      <c r="TI22" s="2">
        <v>102.36</v>
      </c>
      <c r="TJ22" s="2">
        <v>102.55</v>
      </c>
      <c r="TK22" s="2">
        <v>101.58</v>
      </c>
      <c r="TL22" s="2">
        <v>101.48</v>
      </c>
      <c r="TM22" s="2">
        <v>101.67</v>
      </c>
      <c r="TN22" s="2">
        <v>103.04</v>
      </c>
      <c r="TO22" s="2">
        <v>103.14</v>
      </c>
      <c r="TP22" s="2">
        <v>103.24</v>
      </c>
      <c r="TQ22" s="2">
        <v>103.63</v>
      </c>
      <c r="TR22" s="2">
        <v>103.92</v>
      </c>
      <c r="TS22" s="2">
        <v>104.31</v>
      </c>
      <c r="TT22" s="2">
        <v>104.7</v>
      </c>
      <c r="TU22" s="2">
        <v>104.41</v>
      </c>
      <c r="TV22" s="2">
        <v>104.21</v>
      </c>
      <c r="TW22" s="2">
        <v>104.89</v>
      </c>
      <c r="TX22" s="2">
        <v>104.6</v>
      </c>
      <c r="TY22" s="2">
        <v>104.8</v>
      </c>
      <c r="TZ22" s="2">
        <v>105.48</v>
      </c>
      <c r="UA22" s="2">
        <v>105.67</v>
      </c>
      <c r="UB22" s="2">
        <v>105.19</v>
      </c>
      <c r="UC22" s="2">
        <v>104.8</v>
      </c>
      <c r="UD22" s="2">
        <v>105.19</v>
      </c>
      <c r="UE22" s="2">
        <v>104.41</v>
      </c>
      <c r="UF22" s="2">
        <v>104.6</v>
      </c>
      <c r="UG22" s="2">
        <v>104.6</v>
      </c>
      <c r="UH22" s="2">
        <v>104.8</v>
      </c>
      <c r="UI22" s="2">
        <v>104.67</v>
      </c>
      <c r="UJ22" s="2">
        <v>104.19</v>
      </c>
      <c r="UK22" s="2">
        <v>103.85</v>
      </c>
      <c r="UL22" s="2">
        <v>104.97</v>
      </c>
      <c r="UM22" s="2">
        <v>104.94</v>
      </c>
      <c r="UN22" s="2">
        <v>104.26</v>
      </c>
      <c r="UO22" s="2">
        <v>104</v>
      </c>
      <c r="UP22" s="2">
        <v>104.04</v>
      </c>
      <c r="UQ22" s="2">
        <v>105.75</v>
      </c>
      <c r="UR22" s="2">
        <v>104.88</v>
      </c>
      <c r="US22" s="2">
        <v>106.32</v>
      </c>
      <c r="UT22" s="2">
        <v>107.42</v>
      </c>
      <c r="UU22" s="2">
        <v>106.62</v>
      </c>
      <c r="UV22" s="2">
        <v>107.61</v>
      </c>
      <c r="UW22" s="2">
        <v>105.7</v>
      </c>
      <c r="UX22" s="2">
        <v>105.85</v>
      </c>
      <c r="UY22" s="2">
        <v>105.39</v>
      </c>
      <c r="UZ22" s="2">
        <v>105.47</v>
      </c>
      <c r="VA22" s="2">
        <v>103.82</v>
      </c>
      <c r="VB22" s="2">
        <v>104.54</v>
      </c>
      <c r="VC22" s="2">
        <v>104.37</v>
      </c>
      <c r="VD22" s="2">
        <v>103.82</v>
      </c>
      <c r="VE22" s="2">
        <v>102.69</v>
      </c>
      <c r="VF22" s="2">
        <v>101.9</v>
      </c>
      <c r="VG22" s="2">
        <v>101.65</v>
      </c>
      <c r="VH22" s="2">
        <v>101.7</v>
      </c>
      <c r="VI22" s="2">
        <v>100.37</v>
      </c>
      <c r="VJ22" s="2">
        <v>102.17</v>
      </c>
      <c r="VK22" s="2">
        <v>102.76</v>
      </c>
      <c r="VL22" s="2">
        <v>101.52</v>
      </c>
      <c r="VM22" s="2">
        <v>100.44</v>
      </c>
      <c r="VN22" s="2">
        <v>101.41</v>
      </c>
      <c r="VO22" s="2">
        <v>101.12</v>
      </c>
      <c r="VP22" s="2">
        <v>100.21</v>
      </c>
      <c r="VQ22" s="2">
        <v>99.44</v>
      </c>
      <c r="VR22" s="2">
        <v>100.56</v>
      </c>
      <c r="VS22" s="2">
        <v>100.75</v>
      </c>
      <c r="VT22" s="2">
        <v>100.72</v>
      </c>
      <c r="VU22" s="2">
        <v>99.41</v>
      </c>
      <c r="VV22" s="2">
        <v>100.99</v>
      </c>
      <c r="VW22" s="2">
        <v>100.28</v>
      </c>
      <c r="VX22" s="2">
        <v>99.69</v>
      </c>
      <c r="VY22" s="2">
        <v>99.75</v>
      </c>
      <c r="VZ22" s="2">
        <v>102.2</v>
      </c>
      <c r="WA22" s="2">
        <v>103.77</v>
      </c>
      <c r="WB22" s="2">
        <v>102.3</v>
      </c>
      <c r="WC22" s="2">
        <v>100.14</v>
      </c>
      <c r="WD22" s="2">
        <v>101.88</v>
      </c>
      <c r="WE22" s="2">
        <v>101.41</v>
      </c>
      <c r="WF22" s="2">
        <v>99.59999999999999</v>
      </c>
      <c r="WG22" s="2">
        <v>97.89</v>
      </c>
      <c r="WH22" s="2">
        <v>99.56999999999999</v>
      </c>
      <c r="WI22" s="2">
        <v>100.16</v>
      </c>
      <c r="WJ22" s="2">
        <v>97.68000000000001</v>
      </c>
      <c r="WK22" s="2">
        <v>97.44</v>
      </c>
      <c r="WL22" s="2">
        <v>96.83</v>
      </c>
      <c r="WM22" s="2">
        <v>97.59</v>
      </c>
      <c r="WN22" s="2">
        <v>95.45999999999999</v>
      </c>
      <c r="WO22" s="2">
        <v>93.14</v>
      </c>
      <c r="WP22" s="2">
        <v>93.67</v>
      </c>
      <c r="WQ22" s="2">
        <v>94.54000000000001</v>
      </c>
      <c r="WR22" s="2">
        <v>95.3</v>
      </c>
      <c r="WS22" s="2">
        <v>94.37</v>
      </c>
      <c r="WT22" s="2">
        <v>94.3</v>
      </c>
      <c r="WU22" s="2">
        <v>95.56</v>
      </c>
      <c r="WV22" s="2">
        <v>93.22</v>
      </c>
      <c r="WW22" s="2">
        <v>92.59999999999999</v>
      </c>
      <c r="WX22" s="2">
        <v>94.13</v>
      </c>
      <c r="WY22" s="2">
        <v>95.81999999999999</v>
      </c>
      <c r="WZ22" s="2">
        <v>95.89</v>
      </c>
      <c r="XA22" s="2">
        <v>95.54000000000001</v>
      </c>
      <c r="XB22" s="2">
        <v>96.5</v>
      </c>
      <c r="XC22" s="2">
        <v>97.05</v>
      </c>
      <c r="XD22" s="2">
        <v>95.03</v>
      </c>
      <c r="XE22" s="2">
        <v>93.38</v>
      </c>
      <c r="XF22" s="2">
        <v>93.75</v>
      </c>
      <c r="XG22" s="2">
        <v>94.48</v>
      </c>
      <c r="XH22" s="2">
        <v>92.42</v>
      </c>
      <c r="XI22" s="2">
        <v>91.12</v>
      </c>
      <c r="XJ22" s="2">
        <v>92.23</v>
      </c>
      <c r="XK22" s="2">
        <v>93.12</v>
      </c>
      <c r="XL22" s="2">
        <v>93.64</v>
      </c>
      <c r="XM22" s="2">
        <v>92.02</v>
      </c>
      <c r="XN22" s="2">
        <v>92.7</v>
      </c>
      <c r="XO22" s="2">
        <v>93.19</v>
      </c>
      <c r="XP22" s="2">
        <v>92.01000000000001</v>
      </c>
      <c r="XQ22" s="2">
        <v>92.51000000000001</v>
      </c>
      <c r="XR22" s="2">
        <v>94.47</v>
      </c>
      <c r="XS22" s="2">
        <v>98.68000000000001</v>
      </c>
      <c r="XT22" s="2">
        <v>98.48</v>
      </c>
      <c r="XU22" s="2">
        <v>97.08</v>
      </c>
      <c r="XV22" s="2">
        <v>97.94</v>
      </c>
      <c r="XW22" s="2">
        <v>98.05</v>
      </c>
      <c r="XX22" s="2">
        <v>98.08</v>
      </c>
      <c r="XY22" s="2">
        <v>98.56</v>
      </c>
      <c r="XZ22" s="2">
        <v>102.41</v>
      </c>
      <c r="YA22" s="2">
        <v>104.47</v>
      </c>
      <c r="YB22" s="2">
        <v>106.04</v>
      </c>
      <c r="YC22" s="2">
        <v>103.02</v>
      </c>
      <c r="YD22" s="2">
        <v>103.93</v>
      </c>
      <c r="YE22" s="2">
        <v>103.83</v>
      </c>
      <c r="YF22" s="2">
        <v>102.66</v>
      </c>
      <c r="YG22" s="2">
        <v>102.2</v>
      </c>
      <c r="YH22" s="2">
        <v>102.08</v>
      </c>
      <c r="YI22" s="2">
        <v>103.08</v>
      </c>
      <c r="YJ22" s="2">
        <v>102.88</v>
      </c>
      <c r="YK22" s="2">
        <v>100.76</v>
      </c>
      <c r="YL22" s="2">
        <v>101.61</v>
      </c>
      <c r="YM22" s="2">
        <v>101.13</v>
      </c>
      <c r="YN22" s="2">
        <v>99.12</v>
      </c>
      <c r="YO22" s="2">
        <v>98.98</v>
      </c>
      <c r="YP22" s="2">
        <v>98.98999999999999</v>
      </c>
      <c r="AEY22" s="2">
        <v>1.1</v>
      </c>
      <c r="AEZ22" s="2">
        <v>0.7</v>
      </c>
      <c r="AFA22" s="2">
        <v>0.9</v>
      </c>
      <c r="AFB22" s="2">
        <v>1.3</v>
      </c>
      <c r="AFC22" s="2">
        <v>0.1</v>
      </c>
      <c r="AFD22" s="2">
        <v>1.2</v>
      </c>
      <c r="AFE22" s="2">
        <v>0</v>
      </c>
      <c r="AFF22" s="2">
        <v>0.4</v>
      </c>
      <c r="AFG22" s="2">
        <v>0.1</v>
      </c>
      <c r="AFH22" s="2">
        <v>0.5</v>
      </c>
      <c r="AFI22" s="2">
        <v>0.2</v>
      </c>
      <c r="AFJ22" s="2">
        <v>-0.9</v>
      </c>
      <c r="AFK22" s="2">
        <v>-0.1</v>
      </c>
      <c r="AFL22" s="2">
        <v>0.2</v>
      </c>
      <c r="AFM22" s="2">
        <v>1.3</v>
      </c>
      <c r="AFN22" s="2">
        <v>0.1</v>
      </c>
      <c r="AFO22" s="2">
        <v>0.1</v>
      </c>
      <c r="AFP22" s="2">
        <v>0.4</v>
      </c>
      <c r="AFQ22" s="2">
        <v>0.3</v>
      </c>
      <c r="AFR22" s="2">
        <v>0.4</v>
      </c>
      <c r="AFS22" s="2">
        <v>0.4</v>
      </c>
      <c r="AFT22" s="2">
        <v>-0.3</v>
      </c>
      <c r="AFU22" s="2">
        <v>-0.2</v>
      </c>
      <c r="AFV22" s="2">
        <v>0.7</v>
      </c>
      <c r="AFW22" s="2">
        <v>-0.3</v>
      </c>
      <c r="AFX22" s="2">
        <v>0.2</v>
      </c>
      <c r="AFY22" s="2">
        <v>0.6</v>
      </c>
      <c r="AFZ22" s="2">
        <v>0.2</v>
      </c>
      <c r="AGA22" s="2">
        <v>-0.5</v>
      </c>
      <c r="AGB22" s="2">
        <v>-0.4</v>
      </c>
      <c r="AGC22" s="2">
        <v>0.4</v>
      </c>
      <c r="AGD22" s="2">
        <v>-0.7</v>
      </c>
      <c r="AGE22" s="2">
        <v>0.2</v>
      </c>
      <c r="AGF22" s="2">
        <v>0</v>
      </c>
      <c r="AGG22" s="2">
        <v>0.2</v>
      </c>
      <c r="AGH22" s="2">
        <v>-0.1</v>
      </c>
      <c r="AGI22" s="2">
        <v>-0.5</v>
      </c>
      <c r="AGJ22" s="2">
        <v>-0.3</v>
      </c>
      <c r="AGK22" s="2">
        <v>1.1</v>
      </c>
      <c r="AGL22" s="2">
        <v>0</v>
      </c>
      <c r="AGM22" s="2">
        <v>-0.6</v>
      </c>
      <c r="AGN22" s="2">
        <v>-0.2</v>
      </c>
      <c r="AGO22" s="2">
        <v>0</v>
      </c>
      <c r="AGP22" s="2">
        <v>1.6</v>
      </c>
      <c r="AGQ22" s="2">
        <v>-0.8</v>
      </c>
      <c r="AGR22" s="2">
        <v>1.4</v>
      </c>
      <c r="AGS22" s="2">
        <v>1</v>
      </c>
      <c r="AGT22" s="2">
        <v>-0.7</v>
      </c>
      <c r="AGU22" s="2">
        <v>0.9</v>
      </c>
      <c r="AGV22" s="2">
        <v>-1.8</v>
      </c>
      <c r="AGW22" s="2">
        <v>0.1</v>
      </c>
      <c r="AGX22" s="2">
        <v>-0.4</v>
      </c>
      <c r="AGY22" s="2">
        <v>0.1</v>
      </c>
      <c r="AGZ22" s="2">
        <v>-1.6</v>
      </c>
      <c r="AHA22" s="2">
        <v>0.7</v>
      </c>
      <c r="AHB22" s="2">
        <v>-0.2</v>
      </c>
      <c r="AHC22" s="2">
        <v>-0.5</v>
      </c>
      <c r="AHD22" s="2">
        <v>-1.1</v>
      </c>
      <c r="AHE22" s="2">
        <v>-0.8</v>
      </c>
      <c r="AHF22" s="2">
        <v>-0.2</v>
      </c>
      <c r="AHG22" s="2">
        <v>0</v>
      </c>
      <c r="AHH22" s="2">
        <v>-1.3</v>
      </c>
      <c r="AHI22" s="2">
        <v>1.8</v>
      </c>
      <c r="AHJ22" s="2">
        <v>0.6</v>
      </c>
      <c r="AHK22" s="2">
        <v>-1.2</v>
      </c>
      <c r="AHL22" s="2">
        <v>-1.1</v>
      </c>
      <c r="AHM22" s="2">
        <v>1</v>
      </c>
      <c r="AHN22" s="2">
        <v>-0.3</v>
      </c>
      <c r="AHO22" s="2">
        <v>-0.9</v>
      </c>
      <c r="AHP22" s="2">
        <v>-0.8</v>
      </c>
      <c r="AHQ22" s="2">
        <v>1.1</v>
      </c>
      <c r="AHR22" s="2">
        <v>0.2</v>
      </c>
      <c r="AHS22" s="2">
        <v>0</v>
      </c>
      <c r="AHT22" s="2">
        <v>-1.3</v>
      </c>
      <c r="AHU22" s="2">
        <v>1.6</v>
      </c>
      <c r="AHV22" s="2">
        <v>-0.7</v>
      </c>
      <c r="AHW22" s="2">
        <v>-0.6</v>
      </c>
      <c r="AHX22" s="2">
        <v>0.1</v>
      </c>
      <c r="AHY22" s="2">
        <v>2.5</v>
      </c>
      <c r="AHZ22" s="2">
        <v>1.5</v>
      </c>
      <c r="AIA22" s="2">
        <v>-1.4</v>
      </c>
      <c r="AIB22" s="2">
        <v>-2.1</v>
      </c>
      <c r="AIC22" s="2">
        <v>1.7</v>
      </c>
      <c r="AID22" s="2">
        <v>-0.5</v>
      </c>
      <c r="AIE22" s="2">
        <v>-1.8</v>
      </c>
      <c r="AIF22" s="2">
        <v>-1.7</v>
      </c>
      <c r="AIG22" s="2">
        <v>1.7</v>
      </c>
      <c r="AIH22" s="2">
        <v>0.6</v>
      </c>
      <c r="AII22" s="2">
        <v>-2.5</v>
      </c>
      <c r="AIJ22" s="2">
        <v>-0.2</v>
      </c>
      <c r="AIK22" s="2">
        <v>-0.6</v>
      </c>
      <c r="AIL22" s="2">
        <v>0.8</v>
      </c>
      <c r="AIM22" s="2">
        <v>-2.2</v>
      </c>
      <c r="AIN22" s="2">
        <v>-2.4</v>
      </c>
      <c r="AIO22" s="2">
        <v>0.6</v>
      </c>
      <c r="AIP22" s="2">
        <v>0.9</v>
      </c>
      <c r="AIQ22" s="2">
        <v>0.8</v>
      </c>
      <c r="AIR22" s="2">
        <v>-1</v>
      </c>
      <c r="AIS22" s="2">
        <v>-0.1</v>
      </c>
      <c r="AIT22" s="2">
        <v>1.3</v>
      </c>
      <c r="AIU22" s="2">
        <v>-2.4</v>
      </c>
      <c r="AIV22" s="2">
        <v>-0.7</v>
      </c>
      <c r="AIW22" s="2">
        <v>1.7</v>
      </c>
      <c r="AIX22" s="2">
        <v>1.8</v>
      </c>
      <c r="AIY22" s="2">
        <v>0.1</v>
      </c>
      <c r="AIZ22" s="2">
        <v>-0.4</v>
      </c>
      <c r="AJA22" s="2">
        <v>1</v>
      </c>
      <c r="AJB22" s="2">
        <v>0.6</v>
      </c>
      <c r="AJC22" s="2">
        <v>-2.1</v>
      </c>
      <c r="AJD22" s="2">
        <v>-1.7</v>
      </c>
      <c r="AJE22" s="2">
        <v>0.4</v>
      </c>
      <c r="AJF22" s="2">
        <v>0.8</v>
      </c>
      <c r="AJG22" s="2">
        <v>-2.2</v>
      </c>
      <c r="AJH22" s="2">
        <v>-1.4</v>
      </c>
      <c r="AJI22" s="2">
        <v>1.2</v>
      </c>
      <c r="AJJ22" s="2">
        <v>1</v>
      </c>
      <c r="AJK22" s="2">
        <v>0.6</v>
      </c>
      <c r="AJL22" s="2">
        <v>-1.7</v>
      </c>
      <c r="AJM22" s="2">
        <v>0.7</v>
      </c>
      <c r="AJN22" s="2">
        <v>0.5</v>
      </c>
      <c r="AJO22" s="2">
        <v>-1.3</v>
      </c>
      <c r="AJP22" s="2">
        <v>0.5</v>
      </c>
      <c r="AJQ22" s="2">
        <v>2.1</v>
      </c>
      <c r="AJR22" s="2">
        <v>4.5</v>
      </c>
      <c r="AJS22" s="2">
        <v>-0.2</v>
      </c>
      <c r="AJT22" s="2">
        <v>-1.4</v>
      </c>
      <c r="AJU22" s="2">
        <v>0.9</v>
      </c>
      <c r="AJV22" s="2">
        <v>0.1</v>
      </c>
      <c r="AJW22" s="2">
        <v>0</v>
      </c>
      <c r="AJX22" s="2">
        <v>0.5</v>
      </c>
      <c r="AJY22" s="2">
        <v>3.9</v>
      </c>
      <c r="AJZ22" s="2">
        <v>2</v>
      </c>
      <c r="AKA22" s="2">
        <v>1.5</v>
      </c>
      <c r="AKB22" s="2">
        <v>-2.8</v>
      </c>
      <c r="AKC22" s="2">
        <v>0.9</v>
      </c>
      <c r="AKD22" s="2">
        <v>-0.1</v>
      </c>
      <c r="AKE22" s="2">
        <v>-1.1</v>
      </c>
      <c r="AKF22" s="2">
        <v>-0.4</v>
      </c>
      <c r="AKG22" s="2">
        <v>-0.1</v>
      </c>
      <c r="AKH22" s="2">
        <v>1</v>
      </c>
      <c r="AKI22" s="2">
        <v>-0.2</v>
      </c>
      <c r="AKJ22" s="2">
        <v>-2.1</v>
      </c>
      <c r="AKK22" s="2">
        <v>0.8</v>
      </c>
      <c r="AKL22" s="2">
        <v>-0.5</v>
      </c>
      <c r="AKM22" s="2">
        <v>-2</v>
      </c>
      <c r="AKN22" s="2">
        <v>-0.1</v>
      </c>
      <c r="AKO22" s="2">
        <v>0</v>
      </c>
      <c r="AKP22" s="2">
        <v>1.26</v>
      </c>
      <c r="AKQ22" s="2">
        <v>1.26</v>
      </c>
      <c r="AKR22" s="2">
        <v>1.26</v>
      </c>
    </row>
    <row r="23">
      <c r="A23" t="inlineStr">
        <is>
          <t>Non-durable household products</t>
        </is>
      </c>
      <c r="B23" t="inlineStr">
        <is>
          <t>Furnishings, household equipment and services</t>
        </is>
      </c>
      <c r="C23">
        <v>2</v>
      </c>
      <c r="D23">
        <v>2.2</v>
      </c>
      <c r="E23" s="3">
        <f>D23/7.89*0.079</f>
        <v>0.02202788339670469</v>
      </c>
      <c r="F23" s="3">
        <f>E23-D23/100</f>
        <v>2.788339670468931e-05</v>
      </c>
      <c r="G23" s="3">
        <f>D23/7.89</f>
        <v>0.27883396704689484</v>
      </c>
      <c r="H23" s="2">
        <v>83.36</v>
      </c>
      <c r="I23" s="2">
        <v>82.41</v>
      </c>
      <c r="J23" s="2">
        <v>82.7</v>
      </c>
      <c r="K23" s="2">
        <v>83.2</v>
      </c>
      <c r="L23" s="2">
        <v>83.53</v>
      </c>
      <c r="M23" s="2">
        <v>82.58</v>
      </c>
      <c r="N23" s="2">
        <v>83.20999999999999</v>
      </c>
      <c r="O23" s="2">
        <v>82.65000000000001</v>
      </c>
      <c r="P23" s="2">
        <v>82.47</v>
      </c>
      <c r="Q23" s="2">
        <v>82.3</v>
      </c>
      <c r="R23" s="2">
        <v>82.52</v>
      </c>
      <c r="S23" s="2">
        <v>82.25</v>
      </c>
      <c r="T23" s="2">
        <v>82.06</v>
      </c>
      <c r="U23" s="2">
        <v>81.39</v>
      </c>
      <c r="V23" s="2">
        <v>82</v>
      </c>
      <c r="W23" s="2">
        <v>82.26000000000001</v>
      </c>
      <c r="X23" s="2">
        <v>82.09</v>
      </c>
      <c r="Y23" s="2">
        <v>82.31</v>
      </c>
      <c r="Z23" s="2">
        <v>82.34999999999999</v>
      </c>
      <c r="AA23" s="2">
        <v>83.23999999999999</v>
      </c>
      <c r="AB23" s="2">
        <v>82.8</v>
      </c>
      <c r="AC23" s="2">
        <v>82.03</v>
      </c>
      <c r="AD23" s="2">
        <v>83.18000000000001</v>
      </c>
      <c r="AE23" s="2">
        <v>82.63</v>
      </c>
      <c r="AF23" s="2">
        <v>82.2</v>
      </c>
      <c r="AG23" s="2">
        <v>82.39</v>
      </c>
      <c r="AH23" s="2">
        <v>83.3</v>
      </c>
      <c r="AI23" s="2">
        <v>82.92</v>
      </c>
      <c r="AJ23" s="2">
        <v>82.95999999999999</v>
      </c>
      <c r="AK23" s="2">
        <v>83.17</v>
      </c>
      <c r="AL23" s="2">
        <v>88.45999999999999</v>
      </c>
      <c r="AM23" s="2">
        <v>92.75</v>
      </c>
      <c r="AN23" s="2">
        <v>88.56</v>
      </c>
      <c r="AO23" s="2">
        <v>85.31999999999999</v>
      </c>
      <c r="AP23" s="2">
        <v>86.62</v>
      </c>
      <c r="AQ23" s="2">
        <v>85.27</v>
      </c>
      <c r="AR23" s="2">
        <v>84.88</v>
      </c>
      <c r="AS23" s="2">
        <v>84.56999999999999</v>
      </c>
      <c r="AT23" s="2">
        <v>84.34999999999999</v>
      </c>
      <c r="AU23" s="2">
        <v>84.73999999999999</v>
      </c>
      <c r="AV23" s="2">
        <v>84.5</v>
      </c>
      <c r="AW23" s="2">
        <v>84.93000000000001</v>
      </c>
      <c r="AX23" s="2">
        <v>85.09</v>
      </c>
      <c r="AY23" s="2">
        <v>84.93000000000001</v>
      </c>
      <c r="AZ23" s="2">
        <v>84.73</v>
      </c>
      <c r="BA23" s="2">
        <v>84.3</v>
      </c>
      <c r="BB23" s="2">
        <v>85.23</v>
      </c>
      <c r="BC23" s="2">
        <v>85.42</v>
      </c>
      <c r="BD23" s="2">
        <v>86.11</v>
      </c>
      <c r="BE23" s="2">
        <v>86.2</v>
      </c>
      <c r="BF23" s="2">
        <v>86.77</v>
      </c>
      <c r="BG23" s="2">
        <v>88.43000000000001</v>
      </c>
      <c r="BH23" s="2">
        <v>89.78</v>
      </c>
      <c r="BI23" s="2">
        <v>91.44</v>
      </c>
      <c r="BJ23" s="2">
        <v>92.45999999999999</v>
      </c>
      <c r="BK23" s="2">
        <v>93.01000000000001</v>
      </c>
      <c r="BL23" s="2">
        <v>93.88</v>
      </c>
      <c r="BM23" s="2">
        <v>93.97</v>
      </c>
      <c r="BN23" s="2">
        <v>95</v>
      </c>
      <c r="BO23" s="2">
        <v>95.73</v>
      </c>
      <c r="BP23" s="2">
        <v>96.48</v>
      </c>
      <c r="BQ23" s="2">
        <v>96.25</v>
      </c>
      <c r="BR23" s="2">
        <v>98.2</v>
      </c>
      <c r="BS23" s="2">
        <v>99.26000000000001</v>
      </c>
      <c r="BT23" s="2">
        <v>98.59</v>
      </c>
      <c r="BU23" s="2">
        <v>99.98</v>
      </c>
      <c r="BV23" s="2">
        <v>100.33</v>
      </c>
      <c r="BW23" s="2">
        <v>100.27</v>
      </c>
      <c r="BX23" s="2">
        <v>100.73</v>
      </c>
      <c r="BY23" s="2">
        <v>100.4</v>
      </c>
      <c r="BZ23" s="2">
        <v>100.57</v>
      </c>
      <c r="CA23" s="2">
        <v>100.69</v>
      </c>
      <c r="CB23" s="2">
        <v>100.36</v>
      </c>
      <c r="CC23" s="2">
        <v>98.81</v>
      </c>
      <c r="CD23" s="2">
        <v>98.87</v>
      </c>
      <c r="CE23" s="2">
        <v>100.58</v>
      </c>
      <c r="CF23" s="2">
        <v>100.17</v>
      </c>
      <c r="CG23" s="2">
        <v>99.68000000000001</v>
      </c>
      <c r="CH23" s="2">
        <v>100.48</v>
      </c>
      <c r="CI23" s="2">
        <v>100.57</v>
      </c>
      <c r="CJ23" s="2">
        <v>100.31</v>
      </c>
      <c r="CK23" s="2">
        <v>100.15</v>
      </c>
      <c r="CL23" s="2">
        <v>99.86</v>
      </c>
      <c r="CM23" s="2">
        <v>100.03</v>
      </c>
      <c r="CN23" s="2">
        <v>99.25</v>
      </c>
      <c r="CO23" s="2">
        <v>98.62</v>
      </c>
      <c r="CP23" s="2">
        <v>98.7</v>
      </c>
      <c r="CQ23" s="2">
        <v>99.41</v>
      </c>
      <c r="CR23" s="2">
        <v>99.78</v>
      </c>
      <c r="CS23" s="2">
        <v>99.64</v>
      </c>
      <c r="CT23" s="2">
        <v>99.81</v>
      </c>
      <c r="CU23" s="2">
        <v>100.61</v>
      </c>
      <c r="CV23" s="2">
        <v>100.08</v>
      </c>
      <c r="CW23" s="2">
        <v>99.78</v>
      </c>
      <c r="CX23" s="2">
        <v>100.46</v>
      </c>
      <c r="CY23" s="2">
        <v>100.49</v>
      </c>
      <c r="CZ23" s="2">
        <v>100</v>
      </c>
      <c r="DA23" s="2">
        <v>99.67</v>
      </c>
      <c r="DB23" s="2">
        <v>98.88</v>
      </c>
      <c r="DC23" s="2">
        <v>100.34</v>
      </c>
      <c r="DD23" s="2">
        <v>99.53</v>
      </c>
      <c r="DE23" s="2">
        <v>99.61</v>
      </c>
      <c r="DF23" s="2">
        <v>99.45</v>
      </c>
      <c r="DG23" s="2">
        <v>100.2</v>
      </c>
      <c r="DH23" s="2">
        <v>100.1</v>
      </c>
      <c r="DI23" s="2">
        <v>99.78</v>
      </c>
      <c r="DJ23" s="2">
        <v>99.76000000000001</v>
      </c>
      <c r="DK23" s="2">
        <v>-1.6</v>
      </c>
      <c r="DL23" s="2">
        <v>-1.2</v>
      </c>
      <c r="DM23" s="2">
        <v>-0.8</v>
      </c>
      <c r="DN23" s="2">
        <v>-1.1</v>
      </c>
      <c r="DO23" s="2">
        <v>-1.7</v>
      </c>
      <c r="DP23" s="2">
        <v>-0.3</v>
      </c>
      <c r="DQ23" s="2">
        <v>-1</v>
      </c>
      <c r="DR23" s="2">
        <v>0.7</v>
      </c>
      <c r="DS23" s="2">
        <v>0.4</v>
      </c>
      <c r="DT23" s="2">
        <v>-0.3</v>
      </c>
      <c r="DU23" s="2">
        <v>0.8</v>
      </c>
      <c r="DV23" s="2">
        <v>0.5</v>
      </c>
      <c r="DW23" s="2">
        <v>0.2</v>
      </c>
      <c r="DX23" s="2">
        <v>1.2</v>
      </c>
      <c r="DY23" s="2">
        <v>1.6</v>
      </c>
      <c r="DZ23" s="2">
        <v>0.8</v>
      </c>
      <c r="EA23" s="2">
        <v>1.1</v>
      </c>
      <c r="EB23" s="2">
        <v>1</v>
      </c>
      <c r="EC23" s="2">
        <v>7.4</v>
      </c>
      <c r="ED23" s="2">
        <v>11.4</v>
      </c>
      <c r="EE23" s="2">
        <v>7</v>
      </c>
      <c r="EF23" s="2">
        <v>4</v>
      </c>
      <c r="EG23" s="2">
        <v>4.1</v>
      </c>
      <c r="EH23" s="2">
        <v>3.2</v>
      </c>
      <c r="EI23" s="2">
        <v>3.3</v>
      </c>
      <c r="EJ23" s="2">
        <v>2.6</v>
      </c>
      <c r="EK23" s="2">
        <v>1.3</v>
      </c>
      <c r="EL23" s="2">
        <v>2.2</v>
      </c>
      <c r="EM23" s="2">
        <v>1.9</v>
      </c>
      <c r="EN23" s="2">
        <v>2.1</v>
      </c>
      <c r="EO23" s="2">
        <v>-3.8</v>
      </c>
      <c r="EP23" s="2">
        <v>-8.4</v>
      </c>
      <c r="EQ23" s="2">
        <v>-4.3</v>
      </c>
      <c r="ER23" s="2">
        <v>-1.2</v>
      </c>
      <c r="ES23" s="2">
        <v>-1.6</v>
      </c>
      <c r="ET23" s="2">
        <v>0.2</v>
      </c>
      <c r="EU23" s="2">
        <v>1.4</v>
      </c>
      <c r="EV23" s="2">
        <v>1.9</v>
      </c>
      <c r="EW23" s="2">
        <v>2.9</v>
      </c>
      <c r="EX23" s="2">
        <v>4.4</v>
      </c>
      <c r="EY23" s="2">
        <v>6.2</v>
      </c>
      <c r="EZ23" s="2">
        <v>7.7</v>
      </c>
      <c r="FA23" s="2">
        <v>8.699999999999999</v>
      </c>
      <c r="FB23" s="2">
        <v>9.5</v>
      </c>
      <c r="FC23" s="2">
        <v>10.8</v>
      </c>
      <c r="FD23" s="2">
        <v>11.5</v>
      </c>
      <c r="FE23" s="2">
        <v>11.5</v>
      </c>
      <c r="FF23" s="2">
        <v>12.1</v>
      </c>
      <c r="FG23" s="2">
        <v>12</v>
      </c>
      <c r="FH23" s="2">
        <v>11.7</v>
      </c>
      <c r="FI23" s="2">
        <v>13.2</v>
      </c>
      <c r="FJ23" s="2">
        <v>12.2</v>
      </c>
      <c r="FK23" s="2">
        <v>9.800000000000001</v>
      </c>
      <c r="FL23" s="2">
        <v>9.300000000000001</v>
      </c>
      <c r="FM23" s="2">
        <v>8.5</v>
      </c>
      <c r="FN23" s="2">
        <v>7.8</v>
      </c>
      <c r="FO23" s="2">
        <v>7.3</v>
      </c>
      <c r="FP23" s="2">
        <v>6.8</v>
      </c>
      <c r="FQ23" s="2">
        <v>5.9</v>
      </c>
      <c r="FR23" s="2">
        <v>5.2</v>
      </c>
      <c r="FS23" s="2">
        <v>4</v>
      </c>
      <c r="FT23" s="2">
        <v>2.7</v>
      </c>
      <c r="FU23" s="2">
        <v>0.7</v>
      </c>
      <c r="FV23" s="2">
        <v>1.3</v>
      </c>
      <c r="FW23" s="2">
        <v>1.6</v>
      </c>
      <c r="FX23" s="2">
        <v>-0.3</v>
      </c>
      <c r="FY23" s="2">
        <v>0.1</v>
      </c>
      <c r="FZ23" s="2">
        <v>0.3</v>
      </c>
      <c r="GA23" s="2">
        <v>-0.4</v>
      </c>
      <c r="GB23" s="2">
        <v>-0.2</v>
      </c>
      <c r="GC23" s="2">
        <v>-0.7</v>
      </c>
      <c r="GD23" s="2">
        <v>-0.7</v>
      </c>
      <c r="GE23" s="2">
        <v>-1.1</v>
      </c>
      <c r="GF23" s="2">
        <v>-0.2</v>
      </c>
      <c r="GG23" s="2">
        <v>-0.2</v>
      </c>
      <c r="GH23" s="2">
        <v>-1.2</v>
      </c>
      <c r="GI23" s="2">
        <v>-0.4</v>
      </c>
      <c r="GJ23" s="2">
        <v>0</v>
      </c>
      <c r="GK23" s="2">
        <v>-0.7</v>
      </c>
      <c r="GL23" s="2">
        <v>0</v>
      </c>
      <c r="GM23" s="2">
        <v>-0.2</v>
      </c>
      <c r="GN23" s="2">
        <v>-0.4</v>
      </c>
      <c r="GO23" s="2">
        <v>0.6</v>
      </c>
      <c r="GP23" s="2">
        <v>0.5</v>
      </c>
      <c r="GQ23" s="2">
        <v>0.8</v>
      </c>
      <c r="GR23" s="2">
        <v>1.1</v>
      </c>
      <c r="GS23" s="2">
        <v>0.2</v>
      </c>
      <c r="GT23" s="2">
        <v>0.9</v>
      </c>
      <c r="GU23" s="2">
        <v>-0.3</v>
      </c>
      <c r="GV23" s="2">
        <v>0</v>
      </c>
      <c r="GW23" s="2">
        <v>-0.4</v>
      </c>
      <c r="GX23" s="2">
        <v>-0.4</v>
      </c>
      <c r="GY23" s="2">
        <v>0</v>
      </c>
      <c r="GZ23" s="2">
        <v>0</v>
      </c>
      <c r="HA23" s="2">
        <v>-0.7</v>
      </c>
      <c r="HB23" s="2">
        <v>-1.1</v>
      </c>
      <c r="HC23" s="2">
        <v>0.4</v>
      </c>
      <c r="HD23" s="2">
        <v>0.6</v>
      </c>
      <c r="HE23" s="2">
        <v>0.4</v>
      </c>
      <c r="HF23" s="2">
        <v>-1.1</v>
      </c>
      <c r="HG23" s="2">
        <v>0.8</v>
      </c>
      <c r="HH23" s="2">
        <v>-0.7</v>
      </c>
      <c r="HI23" s="2">
        <v>-0.2</v>
      </c>
      <c r="HJ23" s="2">
        <v>-0.2</v>
      </c>
      <c r="HK23" s="2">
        <v>0.3</v>
      </c>
      <c r="HL23" s="2">
        <v>-0.3</v>
      </c>
      <c r="HM23" s="2">
        <v>-0.2</v>
      </c>
      <c r="HN23" s="2">
        <v>-0.8</v>
      </c>
      <c r="HO23" s="2">
        <v>0.7</v>
      </c>
      <c r="HP23" s="2">
        <v>0.3</v>
      </c>
      <c r="HQ23" s="2">
        <v>-0.2</v>
      </c>
      <c r="HR23" s="2">
        <v>0.3</v>
      </c>
      <c r="HS23" s="2">
        <v>0</v>
      </c>
      <c r="HT23" s="2">
        <v>1.1</v>
      </c>
      <c r="HU23" s="2">
        <v>-0.5</v>
      </c>
      <c r="HV23" s="2">
        <v>-0.9</v>
      </c>
      <c r="HW23" s="2">
        <v>1.4</v>
      </c>
      <c r="HX23" s="2">
        <v>-0.7</v>
      </c>
      <c r="HY23" s="2">
        <v>-0.5</v>
      </c>
      <c r="HZ23" s="2">
        <v>0.2</v>
      </c>
      <c r="IA23" s="2">
        <v>1.1</v>
      </c>
      <c r="IB23" s="2">
        <v>-0.5</v>
      </c>
      <c r="IC23" s="2">
        <v>0</v>
      </c>
      <c r="ID23" s="2">
        <v>0.3</v>
      </c>
      <c r="IE23" s="2">
        <v>6.4</v>
      </c>
      <c r="IF23" s="2">
        <v>4.8</v>
      </c>
      <c r="IG23" s="2">
        <v>-4.5</v>
      </c>
      <c r="IH23" s="2">
        <v>-3.7</v>
      </c>
      <c r="II23" s="2">
        <v>1.5</v>
      </c>
      <c r="IJ23" s="2">
        <v>-1.6</v>
      </c>
      <c r="IK23" s="2">
        <v>-0.5</v>
      </c>
      <c r="IL23" s="2">
        <v>-0.4</v>
      </c>
      <c r="IM23" s="2">
        <v>-0.3</v>
      </c>
      <c r="IN23" s="2">
        <v>0.5</v>
      </c>
      <c r="IO23" s="2">
        <v>-0.3</v>
      </c>
      <c r="IP23" s="2">
        <v>0.5</v>
      </c>
      <c r="IQ23" s="2">
        <v>0.2</v>
      </c>
      <c r="IR23" s="2">
        <v>-0.2</v>
      </c>
      <c r="IS23" s="2">
        <v>-0.2</v>
      </c>
      <c r="IT23" s="2">
        <v>-0.5</v>
      </c>
      <c r="IU23" s="2">
        <v>1.1</v>
      </c>
      <c r="IV23" s="2">
        <v>0.2</v>
      </c>
      <c r="IW23" s="2">
        <v>0.8</v>
      </c>
      <c r="IX23" s="2">
        <v>0.1</v>
      </c>
      <c r="IY23" s="2">
        <v>0.7</v>
      </c>
      <c r="IZ23" s="2">
        <v>1.9</v>
      </c>
      <c r="JA23" s="2">
        <v>1.5</v>
      </c>
      <c r="JB23" s="2">
        <v>1.8</v>
      </c>
      <c r="JC23" s="2">
        <v>1.1</v>
      </c>
      <c r="JD23" s="2">
        <v>0.6</v>
      </c>
      <c r="JE23" s="2">
        <v>0.9</v>
      </c>
      <c r="JF23" s="2">
        <v>0.1</v>
      </c>
      <c r="JG23" s="2">
        <v>1.1</v>
      </c>
      <c r="JH23" s="2">
        <v>0.8</v>
      </c>
      <c r="JI23" s="2">
        <v>0.8</v>
      </c>
      <c r="JJ23" s="2">
        <v>-0.2</v>
      </c>
      <c r="JK23" s="2">
        <v>2</v>
      </c>
      <c r="JL23" s="2">
        <v>1.1</v>
      </c>
      <c r="JM23" s="2">
        <v>-0.7</v>
      </c>
      <c r="JN23" s="2">
        <v>1.4</v>
      </c>
      <c r="JO23" s="2">
        <v>0.4</v>
      </c>
      <c r="JP23" s="2">
        <v>-0.1</v>
      </c>
      <c r="JQ23" s="2">
        <v>0.5</v>
      </c>
      <c r="JR23" s="2">
        <v>-0.3</v>
      </c>
      <c r="JS23" s="2">
        <v>0.2</v>
      </c>
      <c r="JT23" s="2">
        <v>0.1</v>
      </c>
      <c r="JU23" s="2">
        <v>-0.3</v>
      </c>
      <c r="JV23" s="2">
        <v>-1.5</v>
      </c>
      <c r="JW23" s="2">
        <v>0.1</v>
      </c>
      <c r="JX23" s="2">
        <v>1.7</v>
      </c>
      <c r="JY23" s="2">
        <v>-0.4</v>
      </c>
      <c r="JZ23" s="2">
        <v>-0.5</v>
      </c>
      <c r="KA23" s="2">
        <v>0.8</v>
      </c>
      <c r="KB23" s="2">
        <v>0.1</v>
      </c>
      <c r="KC23" s="2">
        <v>-0.3</v>
      </c>
      <c r="KD23" s="2">
        <v>-0.2</v>
      </c>
      <c r="KE23" s="2">
        <v>-0.3</v>
      </c>
      <c r="KF23" s="2">
        <v>0.2</v>
      </c>
      <c r="KG23" s="2">
        <v>-0.8</v>
      </c>
      <c r="KH23" s="2">
        <v>-0.6</v>
      </c>
      <c r="KI23" s="2">
        <v>0.1</v>
      </c>
      <c r="KJ23" s="2">
        <v>0.7</v>
      </c>
      <c r="KK23" s="2">
        <v>0.4</v>
      </c>
      <c r="KL23" s="2">
        <v>-0.1</v>
      </c>
      <c r="KM23" s="2">
        <v>0.2</v>
      </c>
      <c r="KN23" s="2">
        <v>0.8</v>
      </c>
      <c r="KO23" s="2">
        <v>-0.5</v>
      </c>
      <c r="KP23" s="2">
        <v>-0.3</v>
      </c>
      <c r="KQ23" s="2">
        <v>0.7</v>
      </c>
      <c r="KR23" s="2">
        <v>0</v>
      </c>
      <c r="KS23" s="2">
        <v>-0.5</v>
      </c>
      <c r="KT23" s="2">
        <v>-0.3</v>
      </c>
      <c r="KU23" s="2">
        <v>-0.8</v>
      </c>
      <c r="KV23" s="2">
        <v>1.5</v>
      </c>
      <c r="KW23" s="2">
        <v>-0.8</v>
      </c>
      <c r="KX23" s="2">
        <v>0.1</v>
      </c>
      <c r="KY23" s="2">
        <v>-0.2</v>
      </c>
      <c r="KZ23" s="2">
        <v>0.8</v>
      </c>
      <c r="LA23" s="2">
        <v>-0.1</v>
      </c>
      <c r="LB23" s="2">
        <v>-0.3</v>
      </c>
      <c r="LC23" s="2">
        <v>0</v>
      </c>
      <c r="LD23" s="2">
        <v>2.14</v>
      </c>
      <c r="LE23" s="2">
        <v>2.15</v>
      </c>
      <c r="LF23" s="2">
        <v>2.15</v>
      </c>
      <c r="LG23" s="2">
        <v>2.15</v>
      </c>
      <c r="LH23" s="2">
        <v>2.17</v>
      </c>
      <c r="LI23" s="2">
        <v>2.16</v>
      </c>
      <c r="LJ23" s="2">
        <v>2.15</v>
      </c>
      <c r="LK23" s="2">
        <v>2.16</v>
      </c>
      <c r="LL23" s="2">
        <v>2.17</v>
      </c>
      <c r="LM23" s="2">
        <v>2.15</v>
      </c>
      <c r="LN23" s="2">
        <v>2.15</v>
      </c>
      <c r="LO23" s="2">
        <v>2.13</v>
      </c>
      <c r="LP23" s="2">
        <v>2.16</v>
      </c>
      <c r="LQ23" s="2">
        <v>2.14</v>
      </c>
      <c r="LR23" s="2">
        <v>2.15</v>
      </c>
      <c r="LS23" s="2">
        <v>2.14</v>
      </c>
      <c r="LT23" s="2">
        <v>2.16</v>
      </c>
      <c r="LU23" s="2">
        <v>2.16</v>
      </c>
      <c r="LV23" s="2">
        <v>2.15</v>
      </c>
      <c r="LW23" s="2">
        <v>2.15</v>
      </c>
      <c r="LX23" s="2">
        <v>0.01</v>
      </c>
      <c r="LY23" s="2">
        <v>0</v>
      </c>
      <c r="LZ23" s="2">
        <v>0</v>
      </c>
      <c r="MA23" s="2">
        <v>0.02</v>
      </c>
      <c r="MB23" s="2">
        <v>-0.01</v>
      </c>
      <c r="MC23" s="2">
        <v>-0.01</v>
      </c>
      <c r="MD23" s="2">
        <v>0.01</v>
      </c>
      <c r="ME23" s="2">
        <v>0.01</v>
      </c>
      <c r="MF23" s="2">
        <v>-0.02</v>
      </c>
      <c r="MG23" s="2">
        <v>0</v>
      </c>
      <c r="MH23" s="2">
        <v>-0.02</v>
      </c>
      <c r="MI23" s="2">
        <v>0.03</v>
      </c>
      <c r="MJ23" s="2">
        <v>-0.02</v>
      </c>
      <c r="MK23" s="2">
        <v>0.01</v>
      </c>
      <c r="ML23" s="2">
        <v>-0.01</v>
      </c>
      <c r="MM23" s="2">
        <v>0.02</v>
      </c>
      <c r="MN23" s="2">
        <v>0</v>
      </c>
      <c r="MO23" s="2">
        <v>-0.01</v>
      </c>
      <c r="MP23" s="2">
        <v>0</v>
      </c>
      <c r="SY23" s="2">
        <v>60.68</v>
      </c>
      <c r="SZ23" s="2">
        <v>61.23</v>
      </c>
      <c r="TA23" s="2">
        <v>62.35</v>
      </c>
      <c r="TB23" s="2">
        <v>63.65</v>
      </c>
      <c r="TC23" s="2">
        <v>64.77</v>
      </c>
      <c r="TD23" s="2">
        <v>65.95</v>
      </c>
      <c r="TE23" s="2">
        <v>65.7</v>
      </c>
      <c r="TF23" s="2">
        <v>66.01000000000001</v>
      </c>
      <c r="TG23" s="2">
        <v>66.75</v>
      </c>
      <c r="TH23" s="2">
        <v>66.69</v>
      </c>
      <c r="TI23" s="2">
        <v>66.38</v>
      </c>
      <c r="TJ23" s="2">
        <v>67.62</v>
      </c>
      <c r="TK23" s="2">
        <v>68.42</v>
      </c>
      <c r="TL23" s="2">
        <v>68.11</v>
      </c>
      <c r="TM23" s="2">
        <v>67.62</v>
      </c>
      <c r="TN23" s="2">
        <v>68.05</v>
      </c>
      <c r="TO23" s="2">
        <v>68.61</v>
      </c>
      <c r="TP23" s="2">
        <v>68.55</v>
      </c>
      <c r="TQ23" s="2">
        <v>70.28</v>
      </c>
      <c r="TR23" s="2">
        <v>69.48</v>
      </c>
      <c r="TS23" s="2">
        <v>69.42</v>
      </c>
      <c r="TT23" s="2">
        <v>69.59999999999999</v>
      </c>
      <c r="TU23" s="2">
        <v>69.97</v>
      </c>
      <c r="TV23" s="2">
        <v>71.28</v>
      </c>
      <c r="TW23" s="2">
        <v>73.13</v>
      </c>
      <c r="TX23" s="2">
        <v>73.01000000000001</v>
      </c>
      <c r="TY23" s="2">
        <v>73.69</v>
      </c>
      <c r="TZ23" s="2">
        <v>73.75</v>
      </c>
      <c r="UA23" s="2">
        <v>75.37</v>
      </c>
      <c r="UB23" s="2">
        <v>75.23999999999999</v>
      </c>
      <c r="UC23" s="2">
        <v>75.92</v>
      </c>
      <c r="UD23" s="2">
        <v>76.17</v>
      </c>
      <c r="UE23" s="2">
        <v>75.12</v>
      </c>
      <c r="UF23" s="2">
        <v>75.86</v>
      </c>
      <c r="UG23" s="2">
        <v>75.55</v>
      </c>
      <c r="UH23" s="2">
        <v>76.17</v>
      </c>
      <c r="UI23" s="2">
        <v>76.81999999999999</v>
      </c>
      <c r="UJ23" s="2">
        <v>76.84</v>
      </c>
      <c r="UK23" s="2">
        <v>76.81999999999999</v>
      </c>
      <c r="UL23" s="2">
        <v>76.13</v>
      </c>
      <c r="UM23" s="2">
        <v>76.20999999999999</v>
      </c>
      <c r="UN23" s="2">
        <v>76.63</v>
      </c>
      <c r="UO23" s="2">
        <v>75.67</v>
      </c>
      <c r="UP23" s="2">
        <v>76.92</v>
      </c>
      <c r="UQ23" s="2">
        <v>74.26000000000001</v>
      </c>
      <c r="UR23" s="2">
        <v>75.87</v>
      </c>
      <c r="US23" s="2">
        <v>76.98999999999999</v>
      </c>
      <c r="UT23" s="2">
        <v>78.45999999999999</v>
      </c>
      <c r="UU23" s="2">
        <v>79.2</v>
      </c>
      <c r="UV23" s="2">
        <v>79.79000000000001</v>
      </c>
      <c r="UW23" s="2">
        <v>79.95999999999999</v>
      </c>
      <c r="UX23" s="2">
        <v>80.20999999999999</v>
      </c>
      <c r="UY23" s="2">
        <v>82</v>
      </c>
      <c r="UZ23" s="2">
        <v>81.62</v>
      </c>
      <c r="VA23" s="2">
        <v>81.56</v>
      </c>
      <c r="VB23" s="2">
        <v>80.93000000000001</v>
      </c>
      <c r="VC23" s="2">
        <v>81.06999999999999</v>
      </c>
      <c r="VD23" s="2">
        <v>81.26000000000001</v>
      </c>
      <c r="VE23" s="2">
        <v>81.58</v>
      </c>
      <c r="VF23" s="2">
        <v>81.78</v>
      </c>
      <c r="VG23" s="2">
        <v>82.04000000000001</v>
      </c>
      <c r="VH23" s="2">
        <v>82.81</v>
      </c>
      <c r="VI23" s="2">
        <v>82.11</v>
      </c>
      <c r="VJ23" s="2">
        <v>82.93000000000001</v>
      </c>
      <c r="VK23" s="2">
        <v>82.68000000000001</v>
      </c>
      <c r="VL23" s="2">
        <v>83.73</v>
      </c>
      <c r="VM23" s="2">
        <v>84.3</v>
      </c>
      <c r="VN23" s="2">
        <v>84.37</v>
      </c>
      <c r="VO23" s="2">
        <v>85.81999999999999</v>
      </c>
      <c r="VP23" s="2">
        <v>85.68000000000001</v>
      </c>
      <c r="VQ23" s="2">
        <v>85.09</v>
      </c>
      <c r="VR23" s="2">
        <v>85.40000000000001</v>
      </c>
      <c r="VS23" s="2">
        <v>85.09</v>
      </c>
      <c r="VT23" s="2">
        <v>85.37</v>
      </c>
      <c r="VU23" s="2">
        <v>85.83</v>
      </c>
      <c r="VV23" s="2">
        <v>86.59999999999999</v>
      </c>
      <c r="VW23" s="2">
        <v>86.95999999999999</v>
      </c>
      <c r="VX23" s="2">
        <v>87.23999999999999</v>
      </c>
      <c r="VY23" s="2">
        <v>88.52</v>
      </c>
      <c r="VZ23" s="2">
        <v>89.93000000000001</v>
      </c>
      <c r="WA23" s="2">
        <v>90.02</v>
      </c>
      <c r="WB23" s="2">
        <v>89.59999999999999</v>
      </c>
      <c r="WC23" s="2">
        <v>89.73999999999999</v>
      </c>
      <c r="WD23" s="2">
        <v>89.81999999999999</v>
      </c>
      <c r="WE23" s="2">
        <v>90.48999999999999</v>
      </c>
      <c r="WF23" s="2">
        <v>89.34</v>
      </c>
      <c r="WG23" s="2">
        <v>89.41</v>
      </c>
      <c r="WH23" s="2">
        <v>87.93000000000001</v>
      </c>
      <c r="WI23" s="2">
        <v>88.11</v>
      </c>
      <c r="WJ23" s="2">
        <v>87.38</v>
      </c>
      <c r="WK23" s="2">
        <v>87.31</v>
      </c>
      <c r="WL23" s="2">
        <v>88.3</v>
      </c>
      <c r="WM23" s="2">
        <v>88.62</v>
      </c>
      <c r="WN23" s="2">
        <v>88.14</v>
      </c>
      <c r="WO23" s="2">
        <v>88.84999999999999</v>
      </c>
      <c r="WP23" s="2">
        <v>88.27</v>
      </c>
      <c r="WQ23" s="2">
        <v>88.90000000000001</v>
      </c>
      <c r="WR23" s="2">
        <v>88.53</v>
      </c>
      <c r="WS23" s="2">
        <v>87.06999999999999</v>
      </c>
      <c r="WT23" s="2">
        <v>87.59999999999999</v>
      </c>
      <c r="WU23" s="2">
        <v>87.15000000000001</v>
      </c>
      <c r="WV23" s="2">
        <v>88.52</v>
      </c>
      <c r="WW23" s="2">
        <v>88.59</v>
      </c>
      <c r="WX23" s="2">
        <v>88.42</v>
      </c>
      <c r="WY23" s="2">
        <v>87.29000000000001</v>
      </c>
      <c r="WZ23" s="2">
        <v>87.58</v>
      </c>
      <c r="XA23" s="2">
        <v>86.79000000000001</v>
      </c>
      <c r="XB23" s="2">
        <v>86.73999999999999</v>
      </c>
      <c r="XC23" s="2">
        <v>86.81999999999999</v>
      </c>
      <c r="XD23" s="2">
        <v>86.12</v>
      </c>
      <c r="XE23" s="2">
        <v>86.09999999999999</v>
      </c>
      <c r="XF23" s="2">
        <v>86.36</v>
      </c>
      <c r="XG23" s="2">
        <v>85.51000000000001</v>
      </c>
      <c r="XH23" s="2">
        <v>84.77</v>
      </c>
      <c r="XI23" s="2">
        <v>84.92</v>
      </c>
      <c r="XJ23" s="2">
        <v>84.06</v>
      </c>
      <c r="XK23" s="2">
        <v>83.73999999999999</v>
      </c>
      <c r="XL23" s="2">
        <v>83.56</v>
      </c>
      <c r="XM23" s="2">
        <v>83.28</v>
      </c>
      <c r="XN23" s="2">
        <v>83.63</v>
      </c>
      <c r="XO23" s="2">
        <v>83.67</v>
      </c>
      <c r="XP23" s="2">
        <v>83.52</v>
      </c>
      <c r="XQ23" s="2">
        <v>85.83</v>
      </c>
      <c r="XR23" s="2">
        <v>89.11</v>
      </c>
      <c r="XS23" s="2">
        <v>85.83</v>
      </c>
      <c r="XT23" s="2">
        <v>84.43000000000001</v>
      </c>
      <c r="XU23" s="2">
        <v>84.79000000000001</v>
      </c>
      <c r="XV23" s="2">
        <v>84.65000000000001</v>
      </c>
      <c r="XW23" s="2">
        <v>85.58</v>
      </c>
      <c r="XX23" s="2">
        <v>87.47</v>
      </c>
      <c r="XY23" s="2">
        <v>91.52</v>
      </c>
      <c r="XZ23" s="2">
        <v>93.65000000000001</v>
      </c>
      <c r="YA23" s="2">
        <v>95.76000000000001</v>
      </c>
      <c r="YB23" s="2">
        <v>97.92</v>
      </c>
      <c r="YC23" s="2">
        <v>99.64</v>
      </c>
      <c r="YD23" s="2">
        <v>100.46</v>
      </c>
      <c r="YE23" s="2">
        <v>100.54</v>
      </c>
      <c r="YF23" s="2">
        <v>99.42</v>
      </c>
      <c r="YG23" s="2">
        <v>100.11</v>
      </c>
      <c r="YH23" s="2">
        <v>100.35</v>
      </c>
      <c r="YI23" s="2">
        <v>99.70999999999999</v>
      </c>
      <c r="YJ23" s="2">
        <v>98.91</v>
      </c>
      <c r="YK23" s="2">
        <v>99.73999999999999</v>
      </c>
      <c r="YL23" s="2">
        <v>100.16</v>
      </c>
      <c r="YM23" s="2">
        <v>100.32</v>
      </c>
      <c r="YN23" s="2">
        <v>99.63</v>
      </c>
      <c r="YO23" s="2">
        <v>99.53</v>
      </c>
      <c r="YP23" s="2">
        <v>100.03</v>
      </c>
      <c r="AEY23" s="2">
        <v>0.9</v>
      </c>
      <c r="AEZ23" s="2">
        <v>1.8</v>
      </c>
      <c r="AFA23" s="2">
        <v>2.1</v>
      </c>
      <c r="AFB23" s="2">
        <v>1.8</v>
      </c>
      <c r="AFC23" s="2">
        <v>1.8</v>
      </c>
      <c r="AFD23" s="2">
        <v>-0.4</v>
      </c>
      <c r="AFE23" s="2">
        <v>0.5</v>
      </c>
      <c r="AFF23" s="2">
        <v>1.1</v>
      </c>
      <c r="AFG23" s="2">
        <v>-0.1</v>
      </c>
      <c r="AFH23" s="2">
        <v>-0.5</v>
      </c>
      <c r="AFI23" s="2">
        <v>1.9</v>
      </c>
      <c r="AFJ23" s="2">
        <v>1.2</v>
      </c>
      <c r="AFK23" s="2">
        <v>-0.5</v>
      </c>
      <c r="AFL23" s="2">
        <v>-0.7</v>
      </c>
      <c r="AFM23" s="2">
        <v>0.6</v>
      </c>
      <c r="AFN23" s="2">
        <v>0.8</v>
      </c>
      <c r="AFO23" s="2">
        <v>-0.1</v>
      </c>
      <c r="AFP23" s="2">
        <v>2.5</v>
      </c>
      <c r="AFQ23" s="2">
        <v>-1.1</v>
      </c>
      <c r="AFR23" s="2">
        <v>-0.1</v>
      </c>
      <c r="AFS23" s="2">
        <v>0.3</v>
      </c>
      <c r="AFT23" s="2">
        <v>0.5</v>
      </c>
      <c r="AFU23" s="2">
        <v>1.9</v>
      </c>
      <c r="AFV23" s="2">
        <v>2.6</v>
      </c>
      <c r="AFW23" s="2">
        <v>-0.2</v>
      </c>
      <c r="AFX23" s="2">
        <v>0.9</v>
      </c>
      <c r="AFY23" s="2">
        <v>0.1</v>
      </c>
      <c r="AFZ23" s="2">
        <v>2.2</v>
      </c>
      <c r="AGA23" s="2">
        <v>-0.2</v>
      </c>
      <c r="AGB23" s="2">
        <v>0.9</v>
      </c>
      <c r="AGC23" s="2">
        <v>0.3</v>
      </c>
      <c r="AGD23" s="2">
        <v>-1.4</v>
      </c>
      <c r="AGE23" s="2">
        <v>1</v>
      </c>
      <c r="AGF23" s="2">
        <v>-0.4</v>
      </c>
      <c r="AGG23" s="2">
        <v>0.8</v>
      </c>
      <c r="AGH23" s="2">
        <v>0.9</v>
      </c>
      <c r="AGI23" s="2">
        <v>0</v>
      </c>
      <c r="AGJ23" s="2">
        <v>0</v>
      </c>
      <c r="AGK23" s="2">
        <v>-0.9</v>
      </c>
      <c r="AGL23" s="2">
        <v>0.1</v>
      </c>
      <c r="AGM23" s="2">
        <v>0.6</v>
      </c>
      <c r="AGN23" s="2">
        <v>-1.3</v>
      </c>
      <c r="AGO23" s="2">
        <v>1.7</v>
      </c>
      <c r="AGP23" s="2">
        <v>-3.5</v>
      </c>
      <c r="AGQ23" s="2">
        <v>2.2</v>
      </c>
      <c r="AGR23" s="2">
        <v>1.5</v>
      </c>
      <c r="AGS23" s="2">
        <v>1.9</v>
      </c>
      <c r="AGT23" s="2">
        <v>0.9</v>
      </c>
      <c r="AGU23" s="2">
        <v>0.7</v>
      </c>
      <c r="AGV23" s="2">
        <v>0.2</v>
      </c>
      <c r="AGW23" s="2">
        <v>0.3</v>
      </c>
      <c r="AGX23" s="2">
        <v>2.2</v>
      </c>
      <c r="AGY23" s="2">
        <v>-0.5</v>
      </c>
      <c r="AGZ23" s="2">
        <v>-0.1</v>
      </c>
      <c r="AHA23" s="2">
        <v>-0.8</v>
      </c>
      <c r="AHB23" s="2">
        <v>0.2</v>
      </c>
      <c r="AHC23" s="2">
        <v>0.2</v>
      </c>
      <c r="AHD23" s="2">
        <v>0.4</v>
      </c>
      <c r="AHE23" s="2">
        <v>0.2</v>
      </c>
      <c r="AHF23" s="2">
        <v>0.3</v>
      </c>
      <c r="AHG23" s="2">
        <v>0.9</v>
      </c>
      <c r="AHH23" s="2">
        <v>-0.8</v>
      </c>
      <c r="AHI23" s="2">
        <v>1</v>
      </c>
      <c r="AHJ23" s="2">
        <v>-0.3</v>
      </c>
      <c r="AHK23" s="2">
        <v>1.3</v>
      </c>
      <c r="AHL23" s="2">
        <v>0.7</v>
      </c>
      <c r="AHM23" s="2">
        <v>0.1</v>
      </c>
      <c r="AHN23" s="2">
        <v>1.7</v>
      </c>
      <c r="AHO23" s="2">
        <v>-0.2</v>
      </c>
      <c r="AHP23" s="2">
        <v>-0.7</v>
      </c>
      <c r="AHQ23" s="2">
        <v>0.4</v>
      </c>
      <c r="AHR23" s="2">
        <v>-0.4</v>
      </c>
      <c r="AHS23" s="2">
        <v>0.3</v>
      </c>
      <c r="AHT23" s="2">
        <v>0.5</v>
      </c>
      <c r="AHU23" s="2">
        <v>0.9</v>
      </c>
      <c r="AHV23" s="2">
        <v>0.4</v>
      </c>
      <c r="AHW23" s="2">
        <v>0.3</v>
      </c>
      <c r="AHX23" s="2">
        <v>1.5</v>
      </c>
      <c r="AHY23" s="2">
        <v>1.6</v>
      </c>
      <c r="AHZ23" s="2">
        <v>0.1</v>
      </c>
      <c r="AIA23" s="2">
        <v>-0.5</v>
      </c>
      <c r="AIB23" s="2">
        <v>0.2</v>
      </c>
      <c r="AIC23" s="2">
        <v>0.1</v>
      </c>
      <c r="AID23" s="2">
        <v>0.7</v>
      </c>
      <c r="AIE23" s="2">
        <v>-1.3</v>
      </c>
      <c r="AIF23" s="2">
        <v>0.1</v>
      </c>
      <c r="AIG23" s="2">
        <v>-1.7</v>
      </c>
      <c r="AIH23" s="2">
        <v>0.2</v>
      </c>
      <c r="AII23" s="2">
        <v>-0.8</v>
      </c>
      <c r="AIJ23" s="2">
        <v>-0.1</v>
      </c>
      <c r="AIK23" s="2">
        <v>1.1</v>
      </c>
      <c r="AIL23" s="2">
        <v>0.4</v>
      </c>
      <c r="AIM23" s="2">
        <v>-0.5</v>
      </c>
      <c r="AIN23" s="2">
        <v>0.8</v>
      </c>
      <c r="AIO23" s="2">
        <v>-0.7</v>
      </c>
      <c r="AIP23" s="2">
        <v>0.7</v>
      </c>
      <c r="AIQ23" s="2">
        <v>-0.4</v>
      </c>
      <c r="AIR23" s="2">
        <v>-1.6</v>
      </c>
      <c r="AIS23" s="2">
        <v>0.6</v>
      </c>
      <c r="AIT23" s="2">
        <v>-0.5</v>
      </c>
      <c r="AIU23" s="2">
        <v>1.6</v>
      </c>
      <c r="AIV23" s="2">
        <v>0.1</v>
      </c>
      <c r="AIW23" s="2">
        <v>-0.2</v>
      </c>
      <c r="AIX23" s="2">
        <v>-1.3</v>
      </c>
      <c r="AIY23" s="2">
        <v>0.3</v>
      </c>
      <c r="AIZ23" s="2">
        <v>-0.9</v>
      </c>
      <c r="AJA23" s="2">
        <v>-0.1</v>
      </c>
      <c r="AJB23" s="2">
        <v>0.1</v>
      </c>
      <c r="AJC23" s="2">
        <v>-0.8</v>
      </c>
      <c r="AJD23" s="2">
        <v>0</v>
      </c>
      <c r="AJE23" s="2">
        <v>0.3</v>
      </c>
      <c r="AJF23" s="2">
        <v>-1</v>
      </c>
      <c r="AJG23" s="2">
        <v>-0.9</v>
      </c>
      <c r="AJH23" s="2">
        <v>0.2</v>
      </c>
      <c r="AJI23" s="2">
        <v>-1</v>
      </c>
      <c r="AJJ23" s="2">
        <v>-0.4</v>
      </c>
      <c r="AJK23" s="2">
        <v>-0.2</v>
      </c>
      <c r="AJL23" s="2">
        <v>-0.3</v>
      </c>
      <c r="AJM23" s="2">
        <v>0.4</v>
      </c>
      <c r="AJN23" s="2">
        <v>0</v>
      </c>
      <c r="AJO23" s="2">
        <v>-0.2</v>
      </c>
      <c r="AJP23" s="2">
        <v>2.8</v>
      </c>
      <c r="AJQ23" s="2">
        <v>3.8</v>
      </c>
      <c r="AJR23" s="2">
        <v>-3.7</v>
      </c>
      <c r="AJS23" s="2">
        <v>-1.6</v>
      </c>
      <c r="AJT23" s="2">
        <v>0.4</v>
      </c>
      <c r="AJU23" s="2">
        <v>-0.2</v>
      </c>
      <c r="AJV23" s="2">
        <v>1.1</v>
      </c>
      <c r="AJW23" s="2">
        <v>2.2</v>
      </c>
      <c r="AJX23" s="2">
        <v>4.6</v>
      </c>
      <c r="AJY23" s="2">
        <v>2.3</v>
      </c>
      <c r="AJZ23" s="2">
        <v>2.3</v>
      </c>
      <c r="AKA23" s="2">
        <v>2.3</v>
      </c>
      <c r="AKB23" s="2">
        <v>1.8</v>
      </c>
      <c r="AKC23" s="2">
        <v>0.8</v>
      </c>
      <c r="AKD23" s="2">
        <v>0.1</v>
      </c>
      <c r="AKE23" s="2">
        <v>-1.1</v>
      </c>
      <c r="AKF23" s="2">
        <v>0.7</v>
      </c>
      <c r="AKG23" s="2">
        <v>0.2</v>
      </c>
      <c r="AKH23" s="2">
        <v>-0.6</v>
      </c>
      <c r="AKI23" s="2">
        <v>-0.8</v>
      </c>
      <c r="AKJ23" s="2">
        <v>0.8</v>
      </c>
      <c r="AKK23" s="2">
        <v>0.4</v>
      </c>
      <c r="AKL23" s="2">
        <v>0.2</v>
      </c>
      <c r="AKM23" s="2">
        <v>-0.7</v>
      </c>
      <c r="AKN23" s="2">
        <v>-0.1</v>
      </c>
      <c r="AKO23" s="2">
        <v>0.5</v>
      </c>
      <c r="AKP23" s="2">
        <v>2.15</v>
      </c>
      <c r="AKQ23" s="2">
        <v>2.15</v>
      </c>
      <c r="AKR23" s="2">
        <v>2.16</v>
      </c>
    </row>
    <row r="24">
      <c r="A24" t="inlineStr">
        <is>
          <t>Domestic and household services</t>
        </is>
      </c>
      <c r="B24" t="inlineStr">
        <is>
          <t>Furnishings, household equipment and services</t>
        </is>
      </c>
      <c r="C24">
        <v>2</v>
      </c>
      <c r="D24">
        <v>2.53</v>
      </c>
      <c r="E24" s="3">
        <f>D24/7.89*0.079</f>
        <v>0.025332065906210392</v>
      </c>
      <c r="F24" s="3">
        <f>E24-D24/100</f>
        <v>3.206590621039271e-05</v>
      </c>
      <c r="G24" s="3">
        <f>D24/7.89</f>
        <v>0.320659062103929</v>
      </c>
      <c r="CI24" s="2">
        <v>92.15000000000001</v>
      </c>
      <c r="CJ24" s="2">
        <v>92.09999999999999</v>
      </c>
      <c r="CK24" s="2">
        <v>92.51000000000001</v>
      </c>
      <c r="CL24" s="2">
        <v>93.05</v>
      </c>
      <c r="CM24" s="2">
        <v>94.92</v>
      </c>
      <c r="CN24" s="2">
        <v>95.62</v>
      </c>
      <c r="CO24" s="2">
        <v>96.02</v>
      </c>
      <c r="CP24" s="2">
        <v>96.31</v>
      </c>
      <c r="CQ24" s="2">
        <v>96.59999999999999</v>
      </c>
      <c r="CR24" s="2">
        <v>96.56</v>
      </c>
      <c r="CS24" s="2">
        <v>96.59</v>
      </c>
      <c r="CT24" s="2">
        <v>97.23999999999999</v>
      </c>
      <c r="CU24" s="2">
        <v>97.08</v>
      </c>
      <c r="CV24" s="2">
        <v>96.97</v>
      </c>
      <c r="CW24" s="2">
        <v>97.48</v>
      </c>
      <c r="CX24" s="2">
        <v>98.08</v>
      </c>
      <c r="CY24" s="2">
        <v>99.84999999999999</v>
      </c>
      <c r="CZ24" s="2">
        <v>100</v>
      </c>
      <c r="DA24" s="2">
        <v>100.55</v>
      </c>
      <c r="DB24" s="2">
        <v>101.1</v>
      </c>
      <c r="DC24" s="2">
        <v>101.59</v>
      </c>
      <c r="DD24" s="2">
        <v>101.6</v>
      </c>
      <c r="DE24" s="2">
        <v>101.21</v>
      </c>
      <c r="DF24" s="2">
        <v>102.02</v>
      </c>
      <c r="DG24" s="2">
        <v>102.11</v>
      </c>
      <c r="DH24" s="2">
        <v>102.05</v>
      </c>
      <c r="DI24" s="2">
        <v>102.37</v>
      </c>
      <c r="DJ24" s="2">
        <v>102.86</v>
      </c>
      <c r="GL24" s="2">
        <v>5.3</v>
      </c>
      <c r="GM24" s="2">
        <v>5.3</v>
      </c>
      <c r="GN24" s="2">
        <v>5.4</v>
      </c>
      <c r="GO24" s="2">
        <v>5.4</v>
      </c>
      <c r="GP24" s="2">
        <v>5.2</v>
      </c>
      <c r="GQ24" s="2">
        <v>4.6</v>
      </c>
      <c r="GR24" s="2">
        <v>4.7</v>
      </c>
      <c r="GS24" s="2">
        <v>5</v>
      </c>
      <c r="GT24" s="2">
        <v>5.2</v>
      </c>
      <c r="GU24" s="2">
        <v>5.2</v>
      </c>
      <c r="GV24" s="2">
        <v>4.8</v>
      </c>
      <c r="GW24" s="2">
        <v>4.9</v>
      </c>
      <c r="GX24" s="2">
        <v>5.2</v>
      </c>
      <c r="GY24" s="2">
        <v>5.2</v>
      </c>
      <c r="GZ24" s="2">
        <v>5</v>
      </c>
      <c r="HA24" s="2">
        <v>4.9</v>
      </c>
      <c r="KC24" s="2">
        <v>-0.1</v>
      </c>
      <c r="KD24" s="2">
        <v>0.4</v>
      </c>
      <c r="KE24" s="2">
        <v>0.6</v>
      </c>
      <c r="KF24" s="2">
        <v>2</v>
      </c>
      <c r="KG24" s="2">
        <v>0.7</v>
      </c>
      <c r="KH24" s="2">
        <v>0.4</v>
      </c>
      <c r="KI24" s="2">
        <v>0.3</v>
      </c>
      <c r="KJ24" s="2">
        <v>0.3</v>
      </c>
      <c r="KK24" s="2">
        <v>0</v>
      </c>
      <c r="KL24" s="2">
        <v>0</v>
      </c>
      <c r="KM24" s="2">
        <v>0.7</v>
      </c>
      <c r="KN24" s="2">
        <v>-0.2</v>
      </c>
      <c r="KO24" s="2">
        <v>-0.1</v>
      </c>
      <c r="KP24" s="2">
        <v>0.5</v>
      </c>
      <c r="KQ24" s="2">
        <v>0.6</v>
      </c>
      <c r="KR24" s="2">
        <v>1.8</v>
      </c>
      <c r="KS24" s="2">
        <v>0.2</v>
      </c>
      <c r="KT24" s="2">
        <v>0.6</v>
      </c>
      <c r="KU24" s="2">
        <v>0.5</v>
      </c>
      <c r="KV24" s="2">
        <v>0.5</v>
      </c>
      <c r="KW24" s="2">
        <v>0</v>
      </c>
      <c r="KX24" s="2">
        <v>-0.4</v>
      </c>
      <c r="KY24" s="2">
        <v>0.8</v>
      </c>
      <c r="KZ24" s="2">
        <v>0.1</v>
      </c>
      <c r="LA24" s="2">
        <v>-0.1</v>
      </c>
      <c r="LB24" s="2">
        <v>0.3</v>
      </c>
      <c r="LC24" s="2">
        <v>0.5</v>
      </c>
      <c r="LD24" s="2">
        <v>2.46</v>
      </c>
      <c r="LE24" s="2">
        <v>2.46</v>
      </c>
      <c r="LF24" s="2">
        <v>2.46</v>
      </c>
      <c r="LG24" s="2">
        <v>2.48</v>
      </c>
      <c r="LH24" s="2">
        <v>2.47</v>
      </c>
      <c r="LI24" s="2">
        <v>2.47</v>
      </c>
      <c r="LJ24" s="2">
        <v>2.48</v>
      </c>
      <c r="LK24" s="2">
        <v>2.5</v>
      </c>
      <c r="LL24" s="2">
        <v>2.54</v>
      </c>
      <c r="LM24" s="2">
        <v>2.55</v>
      </c>
      <c r="LN24" s="2">
        <v>2.56</v>
      </c>
      <c r="LO24" s="2">
        <v>2.58</v>
      </c>
      <c r="LP24" s="2">
        <v>2.59</v>
      </c>
      <c r="LQ24" s="2">
        <v>2.59</v>
      </c>
      <c r="LR24" s="2">
        <v>2.58</v>
      </c>
      <c r="LS24" s="2">
        <v>2.6</v>
      </c>
      <c r="LT24" s="2">
        <v>2.6</v>
      </c>
      <c r="LU24" s="2">
        <v>2.6</v>
      </c>
      <c r="LV24" s="2">
        <v>2.61</v>
      </c>
      <c r="LW24" s="2">
        <v>2.62</v>
      </c>
      <c r="LX24" s="2">
        <v>0</v>
      </c>
      <c r="LY24" s="2">
        <v>0</v>
      </c>
      <c r="LZ24" s="2">
        <v>0.02</v>
      </c>
      <c r="MA24" s="2">
        <v>-0.01</v>
      </c>
      <c r="MB24" s="2">
        <v>0</v>
      </c>
      <c r="MC24" s="2">
        <v>0.01</v>
      </c>
      <c r="MD24" s="2">
        <v>0.02</v>
      </c>
      <c r="ME24" s="2">
        <v>0.04</v>
      </c>
      <c r="MF24" s="2">
        <v>0.01</v>
      </c>
      <c r="MG24" s="2">
        <v>0.01</v>
      </c>
      <c r="MH24" s="2">
        <v>0.02</v>
      </c>
      <c r="MI24" s="2">
        <v>0.01</v>
      </c>
      <c r="MJ24" s="2">
        <v>0</v>
      </c>
      <c r="MK24" s="2">
        <v>-0.01</v>
      </c>
      <c r="ML24" s="2">
        <v>0.02</v>
      </c>
      <c r="MM24" s="2">
        <v>0</v>
      </c>
      <c r="MN24" s="2">
        <v>0</v>
      </c>
      <c r="MO24" s="2">
        <v>0.01</v>
      </c>
      <c r="MP24" s="2">
        <v>0.01</v>
      </c>
      <c r="SY24" s="2">
        <v>24.19</v>
      </c>
      <c r="SZ24" s="2">
        <v>24.47</v>
      </c>
      <c r="TA24" s="2">
        <v>24.86</v>
      </c>
      <c r="TB24" s="2">
        <v>25.93</v>
      </c>
      <c r="TC24" s="2">
        <v>26.51</v>
      </c>
      <c r="TD24" s="2">
        <v>27</v>
      </c>
      <c r="TE24" s="2">
        <v>27.8</v>
      </c>
      <c r="TF24" s="2">
        <v>28.17</v>
      </c>
      <c r="TG24" s="2">
        <v>28.82</v>
      </c>
      <c r="TH24" s="2">
        <v>29.26</v>
      </c>
      <c r="TI24" s="2">
        <v>29.69</v>
      </c>
      <c r="TJ24" s="2">
        <v>30.31</v>
      </c>
      <c r="TK24" s="2">
        <v>30.36</v>
      </c>
      <c r="TL24" s="2">
        <v>30.36</v>
      </c>
      <c r="TM24" s="2">
        <v>30.58</v>
      </c>
      <c r="TN24" s="2">
        <v>31.2</v>
      </c>
      <c r="TO24" s="2">
        <v>31.78</v>
      </c>
      <c r="TP24" s="2">
        <v>31.98</v>
      </c>
      <c r="TQ24" s="2">
        <v>31.88</v>
      </c>
      <c r="TR24" s="2">
        <v>31.65</v>
      </c>
      <c r="TS24" s="2">
        <v>32.02</v>
      </c>
      <c r="TT24" s="2">
        <v>32.25</v>
      </c>
      <c r="TU24" s="2">
        <v>33.07</v>
      </c>
      <c r="TV24" s="2">
        <v>33.47</v>
      </c>
      <c r="TW24" s="2">
        <v>33.62</v>
      </c>
      <c r="TX24" s="2">
        <v>34.06</v>
      </c>
      <c r="TY24" s="2">
        <v>34.31</v>
      </c>
      <c r="TZ24" s="2">
        <v>34.76</v>
      </c>
      <c r="UA24" s="2">
        <v>34.93</v>
      </c>
      <c r="UB24" s="2">
        <v>35.26</v>
      </c>
      <c r="UC24" s="2">
        <v>35.8</v>
      </c>
      <c r="UD24" s="2">
        <v>36.4</v>
      </c>
      <c r="UE24" s="2">
        <v>36.77</v>
      </c>
      <c r="UF24" s="2">
        <v>36.92</v>
      </c>
      <c r="UG24" s="2">
        <v>37.2</v>
      </c>
      <c r="UH24" s="2">
        <v>37.42</v>
      </c>
      <c r="UI24" s="2">
        <v>37.58</v>
      </c>
      <c r="UJ24" s="2">
        <v>37.8</v>
      </c>
      <c r="UK24" s="2">
        <v>37.98</v>
      </c>
      <c r="UL24" s="2">
        <v>38.17</v>
      </c>
      <c r="UM24" s="2">
        <v>38.64</v>
      </c>
      <c r="UN24" s="2">
        <v>39.28</v>
      </c>
      <c r="UO24" s="2">
        <v>39.92</v>
      </c>
      <c r="UP24" s="2">
        <v>40.68</v>
      </c>
      <c r="UQ24" s="2">
        <v>44.01</v>
      </c>
      <c r="UR24" s="2">
        <v>44.48</v>
      </c>
      <c r="US24" s="2">
        <v>44.99</v>
      </c>
      <c r="UT24" s="2">
        <v>45.26</v>
      </c>
      <c r="UU24" s="2">
        <v>45.56</v>
      </c>
      <c r="UV24" s="2">
        <v>45.79</v>
      </c>
      <c r="UW24" s="2">
        <v>46.32</v>
      </c>
      <c r="UX24" s="2">
        <v>46.4</v>
      </c>
      <c r="UY24" s="2">
        <v>46.86</v>
      </c>
      <c r="UZ24" s="2">
        <v>47.51</v>
      </c>
      <c r="VA24" s="2">
        <v>48.12</v>
      </c>
      <c r="VB24" s="2">
        <v>48.44</v>
      </c>
      <c r="VC24" s="2">
        <v>48.76</v>
      </c>
      <c r="VD24" s="2">
        <v>49.28</v>
      </c>
      <c r="VE24" s="2">
        <v>49.77</v>
      </c>
      <c r="VF24" s="2">
        <v>50.08</v>
      </c>
      <c r="VG24" s="2">
        <v>50.45</v>
      </c>
      <c r="VH24" s="2">
        <v>50.89</v>
      </c>
      <c r="VI24" s="2">
        <v>51.44</v>
      </c>
      <c r="VJ24" s="2">
        <v>51.86</v>
      </c>
      <c r="VK24" s="2">
        <v>52.3</v>
      </c>
      <c r="VL24" s="2">
        <v>53.17</v>
      </c>
      <c r="VM24" s="2">
        <v>54.24</v>
      </c>
      <c r="VN24" s="2">
        <v>54.94</v>
      </c>
      <c r="VO24" s="2">
        <v>56.05</v>
      </c>
      <c r="VP24" s="2">
        <v>56.65</v>
      </c>
      <c r="VQ24" s="2">
        <v>57.73</v>
      </c>
      <c r="VR24" s="2">
        <v>58.2</v>
      </c>
      <c r="VS24" s="2">
        <v>52.95</v>
      </c>
      <c r="VT24" s="2">
        <v>53.74</v>
      </c>
      <c r="VU24" s="2">
        <v>54.78</v>
      </c>
      <c r="VV24" s="2">
        <v>55.36</v>
      </c>
      <c r="VW24" s="2">
        <v>53.36</v>
      </c>
      <c r="VX24" s="2">
        <v>54.01</v>
      </c>
      <c r="VY24" s="2">
        <v>54.69</v>
      </c>
      <c r="VZ24" s="2">
        <v>55.13</v>
      </c>
      <c r="WA24" s="2">
        <v>55.68</v>
      </c>
      <c r="WB24" s="2">
        <v>56.08</v>
      </c>
      <c r="WC24" s="2">
        <v>56.83</v>
      </c>
      <c r="WD24" s="2">
        <v>57.23</v>
      </c>
      <c r="WE24" s="2">
        <v>57.97</v>
      </c>
      <c r="WF24" s="2">
        <v>58.38</v>
      </c>
      <c r="WG24" s="2">
        <v>59.07</v>
      </c>
      <c r="WH24" s="2">
        <v>59.7</v>
      </c>
      <c r="WI24" s="2">
        <v>60.26</v>
      </c>
      <c r="WJ24" s="2">
        <v>61.21</v>
      </c>
      <c r="WK24" s="2">
        <v>62.32</v>
      </c>
      <c r="WL24" s="2">
        <v>62.99</v>
      </c>
      <c r="WM24" s="2">
        <v>64.03</v>
      </c>
      <c r="WN24" s="2">
        <v>64.66</v>
      </c>
      <c r="WO24" s="2">
        <v>65.70999999999999</v>
      </c>
      <c r="WP24" s="2">
        <v>66.09999999999999</v>
      </c>
      <c r="WQ24" s="2">
        <v>67.09</v>
      </c>
      <c r="WR24" s="2">
        <v>67.43000000000001</v>
      </c>
      <c r="WS24" s="2">
        <v>67.73999999999999</v>
      </c>
      <c r="WT24" s="2">
        <v>68.34</v>
      </c>
      <c r="WU24" s="2">
        <v>69.40000000000001</v>
      </c>
      <c r="WV24" s="2">
        <v>69.98</v>
      </c>
      <c r="WW24" s="2">
        <v>71.19</v>
      </c>
      <c r="WX24" s="2">
        <v>71.68000000000001</v>
      </c>
      <c r="WY24" s="2">
        <v>72.77</v>
      </c>
      <c r="WZ24" s="2">
        <v>73.06999999999999</v>
      </c>
      <c r="XA24" s="2">
        <v>74.12</v>
      </c>
      <c r="XB24" s="2">
        <v>74.51000000000001</v>
      </c>
      <c r="XC24" s="2">
        <v>75.72</v>
      </c>
      <c r="XD24" s="2">
        <v>76.3</v>
      </c>
      <c r="XE24" s="2">
        <v>76.79000000000001</v>
      </c>
      <c r="XF24" s="2">
        <v>77.15000000000001</v>
      </c>
      <c r="XG24" s="2">
        <v>78.02</v>
      </c>
      <c r="XH24" s="2">
        <v>78.58</v>
      </c>
      <c r="XI24" s="2">
        <v>79.62</v>
      </c>
      <c r="XJ24" s="2">
        <v>80.13</v>
      </c>
      <c r="XK24" s="2">
        <v>76.43000000000001</v>
      </c>
      <c r="XL24" s="2">
        <v>77.12</v>
      </c>
      <c r="XM24" s="2">
        <v>78.13</v>
      </c>
      <c r="XN24" s="2">
        <v>78.27</v>
      </c>
      <c r="XO24" s="2">
        <v>79.44</v>
      </c>
      <c r="XP24" s="2">
        <v>80.31</v>
      </c>
      <c r="XQ24" s="2">
        <v>81.02</v>
      </c>
      <c r="XR24" s="2">
        <v>48.57</v>
      </c>
      <c r="XS24" s="2">
        <v>72.45999999999999</v>
      </c>
      <c r="XT24" s="2">
        <v>82.45</v>
      </c>
      <c r="XU24" s="2">
        <v>83.77</v>
      </c>
      <c r="XV24" s="2">
        <v>84.47</v>
      </c>
      <c r="XW24" s="2">
        <v>85.76000000000001</v>
      </c>
      <c r="XX24" s="2">
        <v>86.87</v>
      </c>
      <c r="XY24" s="2">
        <v>87.69</v>
      </c>
      <c r="XZ24" s="2">
        <v>86.56999999999999</v>
      </c>
      <c r="YA24" s="2">
        <v>88.2</v>
      </c>
      <c r="YB24" s="2">
        <v>90.73999999999999</v>
      </c>
      <c r="YC24" s="2">
        <v>92.17</v>
      </c>
      <c r="YD24" s="2">
        <v>93.33</v>
      </c>
      <c r="YE24" s="2">
        <v>90.19</v>
      </c>
      <c r="YF24" s="2">
        <v>91.84</v>
      </c>
      <c r="YG24" s="2">
        <v>93.75</v>
      </c>
      <c r="YH24" s="2">
        <v>94.45999999999999</v>
      </c>
      <c r="YI24" s="2">
        <v>96.23999999999999</v>
      </c>
      <c r="YJ24" s="2">
        <v>95.81999999999999</v>
      </c>
      <c r="YK24" s="2">
        <v>96.72</v>
      </c>
      <c r="YL24" s="2">
        <v>97.29000000000001</v>
      </c>
      <c r="YM24" s="2">
        <v>99.31</v>
      </c>
      <c r="YN24" s="2">
        <v>101.08</v>
      </c>
      <c r="YO24" s="2">
        <v>101.61</v>
      </c>
      <c r="YP24" s="2">
        <v>102.18</v>
      </c>
      <c r="AEY24" s="2">
        <v>1.2</v>
      </c>
      <c r="AEZ24" s="2">
        <v>1.6</v>
      </c>
      <c r="AFA24" s="2">
        <v>4.3</v>
      </c>
      <c r="AFB24" s="2">
        <v>2.2</v>
      </c>
      <c r="AFC24" s="2">
        <v>1.8</v>
      </c>
      <c r="AFD24" s="2">
        <v>3</v>
      </c>
      <c r="AFE24" s="2">
        <v>1.3</v>
      </c>
      <c r="AFF24" s="2">
        <v>2.3</v>
      </c>
      <c r="AFG24" s="2">
        <v>1.5</v>
      </c>
      <c r="AFH24" s="2">
        <v>1.5</v>
      </c>
      <c r="AFI24" s="2">
        <v>2.1</v>
      </c>
      <c r="AFJ24" s="2">
        <v>0.2</v>
      </c>
      <c r="AFK24" s="2">
        <v>0</v>
      </c>
      <c r="AFL24" s="2">
        <v>0.7</v>
      </c>
      <c r="AFM24" s="2">
        <v>2</v>
      </c>
      <c r="AFN24" s="2">
        <v>1.9</v>
      </c>
      <c r="AFO24" s="2">
        <v>0.6</v>
      </c>
      <c r="AFP24" s="2">
        <v>-0.3</v>
      </c>
      <c r="AFQ24" s="2">
        <v>-0.7</v>
      </c>
      <c r="AFR24" s="2">
        <v>1.2</v>
      </c>
      <c r="AFS24" s="2">
        <v>0.7</v>
      </c>
      <c r="AFT24" s="2">
        <v>2.5</v>
      </c>
      <c r="AFU24" s="2">
        <v>1.2</v>
      </c>
      <c r="AFV24" s="2">
        <v>0.4</v>
      </c>
      <c r="AFW24" s="2">
        <v>1.3</v>
      </c>
      <c r="AFX24" s="2">
        <v>0.7</v>
      </c>
      <c r="AFY24" s="2">
        <v>1.3</v>
      </c>
      <c r="AFZ24" s="2">
        <v>0.5</v>
      </c>
      <c r="AGA24" s="2">
        <v>0.9</v>
      </c>
      <c r="AGB24" s="2">
        <v>1.5</v>
      </c>
      <c r="AGC24" s="2">
        <v>1.7</v>
      </c>
      <c r="AGD24" s="2">
        <v>1</v>
      </c>
      <c r="AGE24" s="2">
        <v>0.4</v>
      </c>
      <c r="AGF24" s="2">
        <v>0.8</v>
      </c>
      <c r="AGG24" s="2">
        <v>0.6</v>
      </c>
      <c r="AGH24" s="2">
        <v>0.4</v>
      </c>
      <c r="AGI24" s="2">
        <v>0.6</v>
      </c>
      <c r="AGJ24" s="2">
        <v>0.5</v>
      </c>
      <c r="AGK24" s="2">
        <v>0.5</v>
      </c>
      <c r="AGL24" s="2">
        <v>1.2</v>
      </c>
      <c r="AGM24" s="2">
        <v>1.7</v>
      </c>
      <c r="AGN24" s="2">
        <v>1.6</v>
      </c>
      <c r="AGO24" s="2">
        <v>1.9</v>
      </c>
      <c r="AGP24" s="2">
        <v>8.199999999999999</v>
      </c>
      <c r="AGQ24" s="2">
        <v>1.1</v>
      </c>
      <c r="AGR24" s="2">
        <v>1.1</v>
      </c>
      <c r="AGS24" s="2">
        <v>0.6</v>
      </c>
      <c r="AGT24" s="2">
        <v>0.7</v>
      </c>
      <c r="AGU24" s="2">
        <v>0.5</v>
      </c>
      <c r="AGV24" s="2">
        <v>1.2</v>
      </c>
      <c r="AGW24" s="2">
        <v>0.2</v>
      </c>
      <c r="AGX24" s="2">
        <v>1</v>
      </c>
      <c r="AGY24" s="2">
        <v>1.4</v>
      </c>
      <c r="AGZ24" s="2">
        <v>1.3</v>
      </c>
      <c r="AHA24" s="2">
        <v>0.7</v>
      </c>
      <c r="AHB24" s="2">
        <v>0.7</v>
      </c>
      <c r="AHC24" s="2">
        <v>1.1</v>
      </c>
      <c r="AHD24" s="2">
        <v>1</v>
      </c>
      <c r="AHE24" s="2">
        <v>0.6</v>
      </c>
      <c r="AHF24" s="2">
        <v>0.7</v>
      </c>
      <c r="AHG24" s="2">
        <v>0.9</v>
      </c>
      <c r="AHH24" s="2">
        <v>1.1</v>
      </c>
      <c r="AHI24" s="2">
        <v>0.8</v>
      </c>
      <c r="AHJ24" s="2">
        <v>0.8</v>
      </c>
      <c r="AHK24" s="2">
        <v>1.7</v>
      </c>
      <c r="AHL24" s="2">
        <v>2</v>
      </c>
      <c r="AHM24" s="2">
        <v>1.3</v>
      </c>
      <c r="AHN24" s="2">
        <v>2</v>
      </c>
      <c r="AHO24" s="2">
        <v>1.1</v>
      </c>
      <c r="AHP24" s="2">
        <v>1.9</v>
      </c>
      <c r="AHQ24" s="2">
        <v>0.8</v>
      </c>
      <c r="AHR24" s="2">
        <v>-9</v>
      </c>
      <c r="AHS24" s="2">
        <v>1.5</v>
      </c>
      <c r="AHT24" s="2">
        <v>1.9</v>
      </c>
      <c r="AHU24" s="2">
        <v>1.1</v>
      </c>
      <c r="AHV24" s="2">
        <v>-3.6</v>
      </c>
      <c r="AHW24" s="2">
        <v>1.2</v>
      </c>
      <c r="AHX24" s="2">
        <v>1.3</v>
      </c>
      <c r="AHY24" s="2">
        <v>0.8</v>
      </c>
      <c r="AHZ24" s="2">
        <v>1</v>
      </c>
      <c r="AIA24" s="2">
        <v>0.7</v>
      </c>
      <c r="AIB24" s="2">
        <v>1.3</v>
      </c>
      <c r="AIC24" s="2">
        <v>0.7</v>
      </c>
      <c r="AID24" s="2">
        <v>1.3</v>
      </c>
      <c r="AIE24" s="2">
        <v>0.7</v>
      </c>
      <c r="AIF24" s="2">
        <v>1.2</v>
      </c>
      <c r="AIG24" s="2">
        <v>1.1</v>
      </c>
      <c r="AIH24" s="2">
        <v>0.9</v>
      </c>
      <c r="AII24" s="2">
        <v>1.6</v>
      </c>
      <c r="AIJ24" s="2">
        <v>1.8</v>
      </c>
      <c r="AIK24" s="2">
        <v>1.1</v>
      </c>
      <c r="AIL24" s="2">
        <v>1.7</v>
      </c>
      <c r="AIM24" s="2">
        <v>1</v>
      </c>
      <c r="AIN24" s="2">
        <v>1.6</v>
      </c>
      <c r="AIO24" s="2">
        <v>0.6</v>
      </c>
      <c r="AIP24" s="2">
        <v>1.5</v>
      </c>
      <c r="AIQ24" s="2">
        <v>0.5</v>
      </c>
      <c r="AIR24" s="2">
        <v>0.5</v>
      </c>
      <c r="AIS24" s="2">
        <v>0.9</v>
      </c>
      <c r="AIT24" s="2">
        <v>1.6</v>
      </c>
      <c r="AIU24" s="2">
        <v>0.8</v>
      </c>
      <c r="AIV24" s="2">
        <v>1.7</v>
      </c>
      <c r="AIW24" s="2">
        <v>0.7</v>
      </c>
      <c r="AIX24" s="2">
        <v>1.5</v>
      </c>
      <c r="AIY24" s="2">
        <v>0.4</v>
      </c>
      <c r="AIZ24" s="2">
        <v>1.4</v>
      </c>
      <c r="AJA24" s="2">
        <v>0.5</v>
      </c>
      <c r="AJB24" s="2">
        <v>1.6</v>
      </c>
      <c r="AJC24" s="2">
        <v>0.8</v>
      </c>
      <c r="AJD24" s="2">
        <v>0.6</v>
      </c>
      <c r="AJE24" s="2">
        <v>0.5</v>
      </c>
      <c r="AJF24" s="2">
        <v>1.1</v>
      </c>
      <c r="AJG24" s="2">
        <v>0.7</v>
      </c>
      <c r="AJH24" s="2">
        <v>1.3</v>
      </c>
      <c r="AJI24" s="2">
        <v>0.6</v>
      </c>
      <c r="AJJ24" s="2">
        <v>-4.6</v>
      </c>
      <c r="AJK24" s="2">
        <v>0.9</v>
      </c>
      <c r="AJL24" s="2">
        <v>1.3</v>
      </c>
      <c r="AJM24" s="2">
        <v>0.2</v>
      </c>
      <c r="AJN24" s="2">
        <v>1.5</v>
      </c>
      <c r="AJO24" s="2">
        <v>1.1</v>
      </c>
      <c r="AJP24" s="2">
        <v>0.9</v>
      </c>
      <c r="AJQ24" s="2">
        <v>-40.1</v>
      </c>
      <c r="AJR24" s="2">
        <v>49.2</v>
      </c>
      <c r="AJS24" s="2">
        <v>13.8</v>
      </c>
      <c r="AJT24" s="2">
        <v>1.6</v>
      </c>
      <c r="AJU24" s="2">
        <v>0.8</v>
      </c>
      <c r="AJV24" s="2">
        <v>1.5</v>
      </c>
      <c r="AJW24" s="2">
        <v>1.3</v>
      </c>
      <c r="AJX24" s="2">
        <v>0.9</v>
      </c>
      <c r="AJY24" s="2">
        <v>-1.3</v>
      </c>
      <c r="AJZ24" s="2">
        <v>1.9</v>
      </c>
      <c r="AKA24" s="2">
        <v>2.9</v>
      </c>
      <c r="AKB24" s="2">
        <v>1.6</v>
      </c>
      <c r="AKC24" s="2">
        <v>1.3</v>
      </c>
      <c r="AKD24" s="2">
        <v>-3.4</v>
      </c>
      <c r="AKE24" s="2">
        <v>1.8</v>
      </c>
      <c r="AKF24" s="2">
        <v>2.1</v>
      </c>
      <c r="AKG24" s="2">
        <v>0.8</v>
      </c>
      <c r="AKH24" s="2">
        <v>1.9</v>
      </c>
      <c r="AKI24" s="2">
        <v>-0.4</v>
      </c>
      <c r="AKJ24" s="2">
        <v>0.9</v>
      </c>
      <c r="AKK24" s="2">
        <v>0.6</v>
      </c>
      <c r="AKL24" s="2">
        <v>2.1</v>
      </c>
      <c r="AKM24" s="2">
        <v>1.8</v>
      </c>
      <c r="AKN24" s="2">
        <v>0.5</v>
      </c>
      <c r="AKO24" s="2">
        <v>0.6</v>
      </c>
      <c r="AKP24" s="2">
        <v>2.58</v>
      </c>
      <c r="AKQ24" s="2">
        <v>2.59</v>
      </c>
      <c r="AKR24" s="2">
        <v>2.6</v>
      </c>
    </row>
    <row r="25">
      <c r="A25" t="inlineStr">
        <is>
          <t>Medical products, appliances and equipment</t>
        </is>
      </c>
      <c r="B25" t="inlineStr">
        <is>
          <t>Health</t>
        </is>
      </c>
      <c r="C25">
        <v>2</v>
      </c>
      <c r="D25">
        <v>1.09</v>
      </c>
      <c r="E25" s="3">
        <f>D25/6.71*0.06709999999999999</f>
        <v>0.0109</v>
      </c>
      <c r="F25" s="3">
        <f>E25-D25/100</f>
        <v>0.0</v>
      </c>
      <c r="G25" s="3">
        <f>D25/6.71</f>
        <v>0.1624441132637854</v>
      </c>
      <c r="CI25" s="2">
        <v>101.79</v>
      </c>
      <c r="CJ25" s="2">
        <v>101.88</v>
      </c>
      <c r="CK25" s="2">
        <v>101.26</v>
      </c>
      <c r="CL25" s="2">
        <v>101.04</v>
      </c>
      <c r="CM25" s="2">
        <v>100.69</v>
      </c>
      <c r="CN25" s="2">
        <v>100.23</v>
      </c>
      <c r="CO25" s="2">
        <v>100.45</v>
      </c>
      <c r="CP25" s="2">
        <v>99.5</v>
      </c>
      <c r="CQ25" s="2">
        <v>98.63</v>
      </c>
      <c r="CR25" s="2">
        <v>103.46</v>
      </c>
      <c r="CS25" s="2">
        <v>104</v>
      </c>
      <c r="CT25" s="2">
        <v>103.44</v>
      </c>
      <c r="CU25" s="2">
        <v>102.73</v>
      </c>
      <c r="CV25" s="2">
        <v>101.95</v>
      </c>
      <c r="CW25" s="2">
        <v>101.15</v>
      </c>
      <c r="CX25" s="2">
        <v>101.04</v>
      </c>
      <c r="CY25" s="2">
        <v>100.62</v>
      </c>
      <c r="CZ25" s="2">
        <v>100</v>
      </c>
      <c r="DA25" s="2">
        <v>100.08</v>
      </c>
      <c r="DB25" s="2">
        <v>99.19</v>
      </c>
      <c r="DC25" s="2">
        <v>98.83</v>
      </c>
      <c r="DD25" s="2">
        <v>102.42</v>
      </c>
      <c r="DE25" s="2">
        <v>101.77</v>
      </c>
      <c r="DF25" s="2">
        <v>102.95</v>
      </c>
      <c r="DG25" s="2">
        <v>102.56</v>
      </c>
      <c r="DH25" s="2">
        <v>100.06</v>
      </c>
      <c r="DI25" s="2">
        <v>99.31</v>
      </c>
      <c r="DJ25" s="2">
        <v>99.61</v>
      </c>
      <c r="GL25" s="2">
        <v>0.9</v>
      </c>
      <c r="GM25" s="2">
        <v>0.1</v>
      </c>
      <c r="GN25" s="2">
        <v>-0.1</v>
      </c>
      <c r="GO25" s="2">
        <v>0</v>
      </c>
      <c r="GP25" s="2">
        <v>-0.1</v>
      </c>
      <c r="GQ25" s="2">
        <v>-0.2</v>
      </c>
      <c r="GR25" s="2">
        <v>-0.4</v>
      </c>
      <c r="GS25" s="2">
        <v>-0.3</v>
      </c>
      <c r="GT25" s="2">
        <v>0.2</v>
      </c>
      <c r="GU25" s="2">
        <v>-1</v>
      </c>
      <c r="GV25" s="2">
        <v>-2.1</v>
      </c>
      <c r="GW25" s="2">
        <v>-0.5</v>
      </c>
      <c r="GX25" s="2">
        <v>-0.2</v>
      </c>
      <c r="GY25" s="2">
        <v>-1.9</v>
      </c>
      <c r="GZ25" s="2">
        <v>-1.8</v>
      </c>
      <c r="HA25" s="2">
        <v>-1.4</v>
      </c>
      <c r="KC25" s="2">
        <v>0.1</v>
      </c>
      <c r="KD25" s="2">
        <v>-0.6</v>
      </c>
      <c r="KE25" s="2">
        <v>-0.2</v>
      </c>
      <c r="KF25" s="2">
        <v>-0.3</v>
      </c>
      <c r="KG25" s="2">
        <v>-0.5</v>
      </c>
      <c r="KH25" s="2">
        <v>0.2</v>
      </c>
      <c r="KI25" s="2">
        <v>-0.9</v>
      </c>
      <c r="KJ25" s="2">
        <v>-0.9</v>
      </c>
      <c r="KK25" s="2">
        <v>4.9</v>
      </c>
      <c r="KL25" s="2">
        <v>0.5</v>
      </c>
      <c r="KM25" s="2">
        <v>-0.5</v>
      </c>
      <c r="KN25" s="2">
        <v>-0.7</v>
      </c>
      <c r="KO25" s="2">
        <v>-0.8</v>
      </c>
      <c r="KP25" s="2">
        <v>-0.8</v>
      </c>
      <c r="KQ25" s="2">
        <v>-0.1</v>
      </c>
      <c r="KR25" s="2">
        <v>-0.4</v>
      </c>
      <c r="KS25" s="2">
        <v>-0.6</v>
      </c>
      <c r="KT25" s="2">
        <v>0.1</v>
      </c>
      <c r="KU25" s="2">
        <v>-0.9</v>
      </c>
      <c r="KV25" s="2">
        <v>-0.4</v>
      </c>
      <c r="KW25" s="2">
        <v>3.6</v>
      </c>
      <c r="KX25" s="2">
        <v>-0.6</v>
      </c>
      <c r="KY25" s="2">
        <v>1.2</v>
      </c>
      <c r="KZ25" s="2">
        <v>-0.4</v>
      </c>
      <c r="LA25" s="2">
        <v>-2.4</v>
      </c>
      <c r="LB25" s="2">
        <v>-0.7</v>
      </c>
      <c r="LC25" s="2">
        <v>0.3</v>
      </c>
      <c r="LD25" s="2">
        <v>1.06</v>
      </c>
      <c r="LE25" s="2">
        <v>1.11</v>
      </c>
      <c r="LF25" s="2">
        <v>1.12</v>
      </c>
      <c r="LG25" s="2">
        <v>1.11</v>
      </c>
      <c r="LH25" s="2">
        <v>1.1</v>
      </c>
      <c r="LI25" s="2">
        <v>1.1</v>
      </c>
      <c r="LJ25" s="2">
        <v>1.09</v>
      </c>
      <c r="LK25" s="2">
        <v>1.09</v>
      </c>
      <c r="LL25" s="2">
        <v>1.08</v>
      </c>
      <c r="LM25" s="2">
        <v>1.08</v>
      </c>
      <c r="LN25" s="2">
        <v>1.08</v>
      </c>
      <c r="LO25" s="2">
        <v>1.07</v>
      </c>
      <c r="LP25" s="2">
        <v>1.06</v>
      </c>
      <c r="LQ25" s="2">
        <v>1.1</v>
      </c>
      <c r="LR25" s="2">
        <v>1.09</v>
      </c>
      <c r="LS25" s="2">
        <v>1.11</v>
      </c>
      <c r="LT25" s="2">
        <v>1.1</v>
      </c>
      <c r="LU25" s="2">
        <v>1.08</v>
      </c>
      <c r="LV25" s="2">
        <v>1.07</v>
      </c>
      <c r="LW25" s="2">
        <v>1.07</v>
      </c>
      <c r="LX25" s="2">
        <v>0.05</v>
      </c>
      <c r="LY25" s="2">
        <v>0.01</v>
      </c>
      <c r="LZ25" s="2">
        <v>-0.01</v>
      </c>
      <c r="MA25" s="2">
        <v>-0.01</v>
      </c>
      <c r="MB25" s="2">
        <v>0</v>
      </c>
      <c r="MC25" s="2">
        <v>-0.01</v>
      </c>
      <c r="MD25" s="2">
        <v>0</v>
      </c>
      <c r="ME25" s="2">
        <v>-0.01</v>
      </c>
      <c r="MF25" s="2">
        <v>0</v>
      </c>
      <c r="MG25" s="2">
        <v>0</v>
      </c>
      <c r="MH25" s="2">
        <v>-0.01</v>
      </c>
      <c r="MI25" s="2">
        <v>-0.01</v>
      </c>
      <c r="MJ25" s="2">
        <v>0.04</v>
      </c>
      <c r="MK25" s="2">
        <v>-0.01</v>
      </c>
      <c r="ML25" s="2">
        <v>0.02</v>
      </c>
      <c r="MM25" s="2">
        <v>-0.01</v>
      </c>
      <c r="MN25" s="2">
        <v>-0.02</v>
      </c>
      <c r="MO25" s="2">
        <v>-0.01</v>
      </c>
      <c r="MP25" s="2">
        <v>0</v>
      </c>
      <c r="SN25" s="2">
        <v>45.28</v>
      </c>
      <c r="SO25" s="2">
        <v>47.28</v>
      </c>
      <c r="SP25" s="2">
        <v>46.23</v>
      </c>
      <c r="SQ25" s="2">
        <v>44.33</v>
      </c>
      <c r="SR25" s="2">
        <v>42.17</v>
      </c>
      <c r="SS25" s="2">
        <v>50.28</v>
      </c>
      <c r="ST25" s="2">
        <v>50.28</v>
      </c>
      <c r="SU25" s="2">
        <v>48.49</v>
      </c>
      <c r="SV25" s="2">
        <v>45.01</v>
      </c>
      <c r="SW25" s="2">
        <v>53.33</v>
      </c>
      <c r="SX25" s="2">
        <v>52.75</v>
      </c>
      <c r="SY25" s="2">
        <v>50.96</v>
      </c>
      <c r="SZ25" s="2">
        <v>48.44</v>
      </c>
      <c r="TA25" s="2">
        <v>55.7</v>
      </c>
      <c r="TB25" s="2">
        <v>55.54</v>
      </c>
      <c r="TC25" s="2">
        <v>54.12</v>
      </c>
      <c r="TD25" s="2">
        <v>52.33</v>
      </c>
      <c r="TE25" s="2">
        <v>58.39</v>
      </c>
      <c r="TF25" s="2">
        <v>58.6</v>
      </c>
      <c r="TG25" s="2">
        <v>57.86</v>
      </c>
      <c r="TH25" s="2">
        <v>56.02</v>
      </c>
      <c r="TI25" s="2">
        <v>59.65</v>
      </c>
      <c r="TJ25" s="2">
        <v>59.91</v>
      </c>
      <c r="TK25" s="2">
        <v>57.91</v>
      </c>
      <c r="TL25" s="2">
        <v>55.28</v>
      </c>
      <c r="TM25" s="2">
        <v>61.97</v>
      </c>
      <c r="TN25" s="2">
        <v>61.44</v>
      </c>
      <c r="TO25" s="2">
        <v>59.23</v>
      </c>
      <c r="TP25" s="2">
        <v>56.54</v>
      </c>
      <c r="TQ25" s="2">
        <v>63.07</v>
      </c>
      <c r="TR25" s="2">
        <v>62.91</v>
      </c>
      <c r="TS25" s="2">
        <v>62.23</v>
      </c>
      <c r="TT25" s="2">
        <v>59.91</v>
      </c>
      <c r="TU25" s="2">
        <v>64.44</v>
      </c>
      <c r="TV25" s="2">
        <v>64.59999999999999</v>
      </c>
      <c r="TW25" s="2">
        <v>63.34</v>
      </c>
      <c r="TX25" s="2">
        <v>61.55</v>
      </c>
      <c r="TY25" s="2">
        <v>66.48999999999999</v>
      </c>
      <c r="TZ25" s="2">
        <v>66.39</v>
      </c>
      <c r="UA25" s="2">
        <v>66.39</v>
      </c>
      <c r="UB25" s="2">
        <v>64.86</v>
      </c>
      <c r="UC25" s="2">
        <v>66.86</v>
      </c>
      <c r="UD25" s="2">
        <v>69.5</v>
      </c>
      <c r="UE25" s="2">
        <v>68.28</v>
      </c>
      <c r="UF25" s="2">
        <v>65.44</v>
      </c>
      <c r="UG25" s="2">
        <v>68.81</v>
      </c>
      <c r="UH25" s="2">
        <v>70.18000000000001</v>
      </c>
      <c r="UI25" s="2">
        <v>67.86</v>
      </c>
      <c r="UJ25" s="2">
        <v>65.44</v>
      </c>
      <c r="UK25" s="2">
        <v>69.76000000000001</v>
      </c>
      <c r="UL25" s="2">
        <v>69.81</v>
      </c>
      <c r="UM25" s="2">
        <v>68.70999999999999</v>
      </c>
      <c r="UN25" s="2">
        <v>66.39</v>
      </c>
      <c r="UO25" s="2">
        <v>70.76000000000001</v>
      </c>
      <c r="UP25" s="2">
        <v>70.5</v>
      </c>
      <c r="UQ25" s="2">
        <v>70.81</v>
      </c>
      <c r="UR25" s="2">
        <v>68.55</v>
      </c>
      <c r="US25" s="2">
        <v>74.13</v>
      </c>
      <c r="UT25" s="2">
        <v>73.65000000000001</v>
      </c>
      <c r="UU25" s="2">
        <v>71.39</v>
      </c>
      <c r="UV25" s="2">
        <v>68.5</v>
      </c>
      <c r="UW25" s="2">
        <v>75.29000000000001</v>
      </c>
      <c r="UX25" s="2">
        <v>74.5</v>
      </c>
      <c r="UY25" s="2">
        <v>71.65000000000001</v>
      </c>
      <c r="UZ25" s="2">
        <v>69.86</v>
      </c>
      <c r="VA25" s="2">
        <v>77.02</v>
      </c>
      <c r="VB25" s="2">
        <v>76.5</v>
      </c>
      <c r="VC25" s="2">
        <v>74.18000000000001</v>
      </c>
      <c r="VD25" s="2">
        <v>71.65000000000001</v>
      </c>
      <c r="VE25" s="2">
        <v>78.76000000000001</v>
      </c>
      <c r="VF25" s="2">
        <v>78.29000000000001</v>
      </c>
      <c r="VG25" s="2">
        <v>75.34</v>
      </c>
      <c r="VH25" s="2">
        <v>72.70999999999999</v>
      </c>
      <c r="VI25" s="2">
        <v>83.23999999999999</v>
      </c>
      <c r="VJ25" s="2">
        <v>82.03</v>
      </c>
      <c r="VK25" s="2">
        <v>78.39</v>
      </c>
      <c r="VL25" s="2">
        <v>75.23</v>
      </c>
      <c r="VM25" s="2">
        <v>84.92</v>
      </c>
      <c r="VN25" s="2">
        <v>84.55</v>
      </c>
      <c r="VO25" s="2">
        <v>80.76000000000001</v>
      </c>
      <c r="VP25" s="2">
        <v>77.13</v>
      </c>
      <c r="VQ25" s="2">
        <v>86.03</v>
      </c>
      <c r="VR25" s="2">
        <v>85.70999999999999</v>
      </c>
      <c r="VS25" s="2">
        <v>82.23999999999999</v>
      </c>
      <c r="VT25" s="2">
        <v>78.34</v>
      </c>
      <c r="VU25" s="2">
        <v>87.61</v>
      </c>
      <c r="VV25" s="2">
        <v>86.92</v>
      </c>
      <c r="VW25" s="2">
        <v>83.87</v>
      </c>
      <c r="VX25" s="2">
        <v>80.18000000000001</v>
      </c>
      <c r="VY25" s="2">
        <v>89.5</v>
      </c>
      <c r="VZ25" s="2">
        <v>89.19</v>
      </c>
      <c r="WA25" s="2">
        <v>85.45</v>
      </c>
      <c r="WB25" s="2">
        <v>81.59999999999999</v>
      </c>
      <c r="WC25" s="2">
        <v>91.40000000000001</v>
      </c>
      <c r="WD25" s="2">
        <v>90.29000000000001</v>
      </c>
      <c r="WE25" s="2">
        <v>87.08</v>
      </c>
      <c r="WF25" s="2">
        <v>82.13</v>
      </c>
      <c r="WG25" s="2">
        <v>91.40000000000001</v>
      </c>
      <c r="WH25" s="2">
        <v>90.81999999999999</v>
      </c>
      <c r="WI25" s="2">
        <v>87.15000000000001</v>
      </c>
      <c r="WJ25" s="2">
        <v>82.89</v>
      </c>
      <c r="WK25" s="2">
        <v>93.09999999999999</v>
      </c>
      <c r="WL25" s="2">
        <v>91.64</v>
      </c>
      <c r="WM25" s="2">
        <v>89.51000000000001</v>
      </c>
      <c r="WN25" s="2">
        <v>86.8</v>
      </c>
      <c r="WO25" s="2">
        <v>92.56999999999999</v>
      </c>
      <c r="WP25" s="2">
        <v>91.18000000000001</v>
      </c>
      <c r="WQ25" s="2">
        <v>90.20999999999999</v>
      </c>
      <c r="WR25" s="2">
        <v>88.90000000000001</v>
      </c>
      <c r="WS25" s="2">
        <v>93.66</v>
      </c>
      <c r="WT25" s="2">
        <v>92.09999999999999</v>
      </c>
      <c r="WU25" s="2">
        <v>90.98</v>
      </c>
      <c r="WV25" s="2">
        <v>87.98</v>
      </c>
      <c r="WW25" s="2">
        <v>92.55</v>
      </c>
      <c r="WX25" s="2">
        <v>90.95</v>
      </c>
      <c r="WY25" s="2">
        <v>91.3</v>
      </c>
      <c r="WZ25" s="2">
        <v>89.66</v>
      </c>
      <c r="XA25" s="2">
        <v>93.45</v>
      </c>
      <c r="XB25" s="2">
        <v>91.88</v>
      </c>
      <c r="XC25" s="2">
        <v>91.18000000000001</v>
      </c>
      <c r="XD25" s="2">
        <v>89.09</v>
      </c>
      <c r="XE25" s="2">
        <v>92.88</v>
      </c>
      <c r="XF25" s="2">
        <v>91.90000000000001</v>
      </c>
      <c r="XG25" s="2">
        <v>91.37</v>
      </c>
      <c r="XH25" s="2">
        <v>89.65000000000001</v>
      </c>
      <c r="XI25" s="2">
        <v>94.12</v>
      </c>
      <c r="XJ25" s="2">
        <v>93.26000000000001</v>
      </c>
      <c r="XK25" s="2">
        <v>92.34</v>
      </c>
      <c r="XL25" s="2">
        <v>90.78</v>
      </c>
      <c r="XM25" s="2">
        <v>94.69</v>
      </c>
      <c r="XN25" s="2">
        <v>94.56</v>
      </c>
      <c r="XO25" s="2">
        <v>93.72</v>
      </c>
      <c r="XP25" s="2">
        <v>92.64</v>
      </c>
      <c r="XQ25" s="2">
        <v>96.73</v>
      </c>
      <c r="XR25" s="2">
        <v>96.37</v>
      </c>
      <c r="XS25" s="2">
        <v>94.65000000000001</v>
      </c>
      <c r="XT25" s="2">
        <v>92.34999999999999</v>
      </c>
      <c r="XU25" s="2">
        <v>96.66</v>
      </c>
      <c r="XV25" s="2">
        <v>95.69</v>
      </c>
      <c r="XW25" s="2">
        <v>94.19</v>
      </c>
      <c r="XX25" s="2">
        <v>93.15000000000001</v>
      </c>
      <c r="XY25" s="2">
        <v>97.63</v>
      </c>
      <c r="XZ25" s="2">
        <v>96.79000000000001</v>
      </c>
      <c r="YA25" s="2">
        <v>95.31</v>
      </c>
      <c r="YB25" s="2">
        <v>95.27</v>
      </c>
      <c r="YC25" s="2">
        <v>99.11</v>
      </c>
      <c r="YD25" s="2">
        <v>98.27</v>
      </c>
      <c r="YE25" s="2">
        <v>97.31999999999999</v>
      </c>
      <c r="YF25" s="2">
        <v>95.79000000000001</v>
      </c>
      <c r="YG25" s="2">
        <v>101.74</v>
      </c>
      <c r="YH25" s="2">
        <v>101.26</v>
      </c>
      <c r="YI25" s="2">
        <v>99.91</v>
      </c>
      <c r="YJ25" s="2">
        <v>98.45</v>
      </c>
      <c r="YK25" s="2">
        <v>103.22</v>
      </c>
      <c r="YL25" s="2">
        <v>101.55</v>
      </c>
      <c r="YM25" s="2">
        <v>100.55</v>
      </c>
      <c r="YN25" s="2">
        <v>99.37</v>
      </c>
      <c r="YO25" s="2">
        <v>102.38</v>
      </c>
      <c r="YP25" s="2">
        <v>100.64</v>
      </c>
      <c r="AEN25" s="2">
        <v>4.4</v>
      </c>
      <c r="AEO25" s="2">
        <v>-2.2</v>
      </c>
      <c r="AEP25" s="2">
        <v>-4.1</v>
      </c>
      <c r="AEQ25" s="2">
        <v>-4.9</v>
      </c>
      <c r="AER25" s="2">
        <v>19.2</v>
      </c>
      <c r="AES25" s="2">
        <v>0</v>
      </c>
      <c r="AET25" s="2">
        <v>-3.6</v>
      </c>
      <c r="AEU25" s="2">
        <v>-7.2</v>
      </c>
      <c r="AEV25" s="2">
        <v>18.5</v>
      </c>
      <c r="AEW25" s="2">
        <v>-1.1</v>
      </c>
      <c r="AEX25" s="2">
        <v>-3.4</v>
      </c>
      <c r="AEY25" s="2">
        <v>-4.9</v>
      </c>
      <c r="AEZ25" s="2">
        <v>15</v>
      </c>
      <c r="AFA25" s="2">
        <v>-0.3</v>
      </c>
      <c r="AFB25" s="2">
        <v>-2.6</v>
      </c>
      <c r="AFC25" s="2">
        <v>-3.3</v>
      </c>
      <c r="AFD25" s="2">
        <v>11.6</v>
      </c>
      <c r="AFE25" s="2">
        <v>0.4</v>
      </c>
      <c r="AFF25" s="2">
        <v>-1.3</v>
      </c>
      <c r="AFG25" s="2">
        <v>-3.2</v>
      </c>
      <c r="AFH25" s="2">
        <v>6.5</v>
      </c>
      <c r="AFI25" s="2">
        <v>0.4</v>
      </c>
      <c r="AFJ25" s="2">
        <v>-3.3</v>
      </c>
      <c r="AFK25" s="2">
        <v>-4.5</v>
      </c>
      <c r="AFL25" s="2">
        <v>12.1</v>
      </c>
      <c r="AFM25" s="2">
        <v>-0.9</v>
      </c>
      <c r="AFN25" s="2">
        <v>-3.6</v>
      </c>
      <c r="AFO25" s="2">
        <v>-4.5</v>
      </c>
      <c r="AFP25" s="2">
        <v>11.5</v>
      </c>
      <c r="AFQ25" s="2">
        <v>-0.3</v>
      </c>
      <c r="AFR25" s="2">
        <v>-1.1</v>
      </c>
      <c r="AFS25" s="2">
        <v>-3.7</v>
      </c>
      <c r="AFT25" s="2">
        <v>7.6</v>
      </c>
      <c r="AFU25" s="2">
        <v>0.2</v>
      </c>
      <c r="AFV25" s="2">
        <v>-2</v>
      </c>
      <c r="AFW25" s="2">
        <v>-2.8</v>
      </c>
      <c r="AFX25" s="2">
        <v>8</v>
      </c>
      <c r="AFY25" s="2">
        <v>-0.2</v>
      </c>
      <c r="AFZ25" s="2">
        <v>0</v>
      </c>
      <c r="AGA25" s="2">
        <v>-2.3</v>
      </c>
      <c r="AGB25" s="2">
        <v>3.1</v>
      </c>
      <c r="AGC25" s="2">
        <v>3.9</v>
      </c>
      <c r="AGD25" s="2">
        <v>-1.8</v>
      </c>
      <c r="AGE25" s="2">
        <v>-4.2</v>
      </c>
      <c r="AGF25" s="2">
        <v>5.1</v>
      </c>
      <c r="AGG25" s="2">
        <v>2</v>
      </c>
      <c r="AGH25" s="2">
        <v>-3.3</v>
      </c>
      <c r="AGI25" s="2">
        <v>-3.6</v>
      </c>
      <c r="AGJ25" s="2">
        <v>6.6</v>
      </c>
      <c r="AGK25" s="2">
        <v>0.1</v>
      </c>
      <c r="AGL25" s="2">
        <v>-1.6</v>
      </c>
      <c r="AGM25" s="2">
        <v>-3.4</v>
      </c>
      <c r="AGN25" s="2">
        <v>6.6</v>
      </c>
      <c r="AGO25" s="2">
        <v>-0.4</v>
      </c>
      <c r="AGP25" s="2">
        <v>0.4</v>
      </c>
      <c r="AGQ25" s="2">
        <v>-3.2</v>
      </c>
      <c r="AGR25" s="2">
        <v>8.1</v>
      </c>
      <c r="AGS25" s="2">
        <v>-0.6</v>
      </c>
      <c r="AGT25" s="2">
        <v>-3.1</v>
      </c>
      <c r="AGU25" s="2">
        <v>-4</v>
      </c>
      <c r="AGV25" s="2">
        <v>9.9</v>
      </c>
      <c r="AGW25" s="2">
        <v>-1</v>
      </c>
      <c r="AGX25" s="2">
        <v>-3.8</v>
      </c>
      <c r="AGY25" s="2">
        <v>-2.5</v>
      </c>
      <c r="AGZ25" s="2">
        <v>10.2</v>
      </c>
      <c r="AHA25" s="2">
        <v>-0.7</v>
      </c>
      <c r="AHB25" s="2">
        <v>-3</v>
      </c>
      <c r="AHC25" s="2">
        <v>-3.4</v>
      </c>
      <c r="AHD25" s="2">
        <v>9.9</v>
      </c>
      <c r="AHE25" s="2">
        <v>-0.6</v>
      </c>
      <c r="AHF25" s="2">
        <v>-3.8</v>
      </c>
      <c r="AHG25" s="2">
        <v>-3.5</v>
      </c>
      <c r="AHH25" s="2">
        <v>14.5</v>
      </c>
      <c r="AHI25" s="2">
        <v>-1.5</v>
      </c>
      <c r="AHJ25" s="2">
        <v>-4.4</v>
      </c>
      <c r="AHK25" s="2">
        <v>-4</v>
      </c>
      <c r="AHL25" s="2">
        <v>12.9</v>
      </c>
      <c r="AHM25" s="2">
        <v>-0.4</v>
      </c>
      <c r="AHN25" s="2">
        <v>-4.5</v>
      </c>
      <c r="AHO25" s="2">
        <v>-4.5</v>
      </c>
      <c r="AHP25" s="2">
        <v>11.5</v>
      </c>
      <c r="AHQ25" s="2">
        <v>-0.4</v>
      </c>
      <c r="AHR25" s="2">
        <v>-4</v>
      </c>
      <c r="AHS25" s="2">
        <v>-4.7</v>
      </c>
      <c r="AHT25" s="2">
        <v>11.8</v>
      </c>
      <c r="AHU25" s="2">
        <v>-0.8</v>
      </c>
      <c r="AHV25" s="2">
        <v>-3.5</v>
      </c>
      <c r="AHW25" s="2">
        <v>-4.4</v>
      </c>
      <c r="AHX25" s="2">
        <v>11.6</v>
      </c>
      <c r="AHY25" s="2">
        <v>-0.3</v>
      </c>
      <c r="AHZ25" s="2">
        <v>-4.2</v>
      </c>
      <c r="AIA25" s="2">
        <v>-4.5</v>
      </c>
      <c r="AIB25" s="2">
        <v>12</v>
      </c>
      <c r="AIC25" s="2">
        <v>-1.2</v>
      </c>
      <c r="AID25" s="2">
        <v>-3.6</v>
      </c>
      <c r="AIE25" s="2">
        <v>-5.7</v>
      </c>
      <c r="AIF25" s="2">
        <v>11.3</v>
      </c>
      <c r="AIG25" s="2">
        <v>-0.6</v>
      </c>
      <c r="AIH25" s="2">
        <v>-4</v>
      </c>
      <c r="AII25" s="2">
        <v>-4.9</v>
      </c>
      <c r="AIJ25" s="2">
        <v>12.3</v>
      </c>
      <c r="AIK25" s="2">
        <v>-1.6</v>
      </c>
      <c r="AIL25" s="2">
        <v>-2.3</v>
      </c>
      <c r="AIM25" s="2">
        <v>-3</v>
      </c>
      <c r="AIN25" s="2">
        <v>6.6</v>
      </c>
      <c r="AIO25" s="2">
        <v>-1.5</v>
      </c>
      <c r="AIP25" s="2">
        <v>-1.1</v>
      </c>
      <c r="AIQ25" s="2">
        <v>-1.5</v>
      </c>
      <c r="AIR25" s="2">
        <v>5.4</v>
      </c>
      <c r="AIS25" s="2">
        <v>-1.7</v>
      </c>
      <c r="AIT25" s="2">
        <v>-1.2</v>
      </c>
      <c r="AIU25" s="2">
        <v>-3.3</v>
      </c>
      <c r="AIV25" s="2">
        <v>5.2</v>
      </c>
      <c r="AIW25" s="2">
        <v>-1.7</v>
      </c>
      <c r="AIX25" s="2">
        <v>0.4</v>
      </c>
      <c r="AIY25" s="2">
        <v>-1.8</v>
      </c>
      <c r="AIZ25" s="2">
        <v>4.2</v>
      </c>
      <c r="AJA25" s="2">
        <v>-1.7</v>
      </c>
      <c r="AJB25" s="2">
        <v>-0.8</v>
      </c>
      <c r="AJC25" s="2">
        <v>-2.3</v>
      </c>
      <c r="AJD25" s="2">
        <v>4.3</v>
      </c>
      <c r="AJE25" s="2">
        <v>-1.1</v>
      </c>
      <c r="AJF25" s="2">
        <v>-0.6</v>
      </c>
      <c r="AJG25" s="2">
        <v>-1.9</v>
      </c>
      <c r="AJH25" s="2">
        <v>5</v>
      </c>
      <c r="AJI25" s="2">
        <v>-0.9</v>
      </c>
      <c r="AJJ25" s="2">
        <v>-1</v>
      </c>
      <c r="AJK25" s="2">
        <v>-1.7</v>
      </c>
      <c r="AJL25" s="2">
        <v>4.3</v>
      </c>
      <c r="AJM25" s="2">
        <v>-0.1</v>
      </c>
      <c r="AJN25" s="2">
        <v>-0.9</v>
      </c>
      <c r="AJO25" s="2">
        <v>-1.2</v>
      </c>
      <c r="AJP25" s="2">
        <v>4.4</v>
      </c>
      <c r="AJQ25" s="2">
        <v>-0.4</v>
      </c>
      <c r="AJR25" s="2">
        <v>-1.8</v>
      </c>
      <c r="AJS25" s="2">
        <v>-2.4</v>
      </c>
      <c r="AJT25" s="2">
        <v>4.7</v>
      </c>
      <c r="AJU25" s="2">
        <v>-1</v>
      </c>
      <c r="AJV25" s="2">
        <v>-1.6</v>
      </c>
      <c r="AJW25" s="2">
        <v>-1.1</v>
      </c>
      <c r="AJX25" s="2">
        <v>4.8</v>
      </c>
      <c r="AJY25" s="2">
        <v>-0.9</v>
      </c>
      <c r="AJZ25" s="2">
        <v>-1.5</v>
      </c>
      <c r="AKA25" s="2">
        <v>0</v>
      </c>
      <c r="AKB25" s="2">
        <v>4</v>
      </c>
      <c r="AKC25" s="2">
        <v>-0.8</v>
      </c>
      <c r="AKD25" s="2">
        <v>-1</v>
      </c>
      <c r="AKE25" s="2">
        <v>-1.6</v>
      </c>
      <c r="AKF25" s="2">
        <v>6.2</v>
      </c>
      <c r="AKG25" s="2">
        <v>-0.5</v>
      </c>
      <c r="AKH25" s="2">
        <v>-1.3</v>
      </c>
      <c r="AKI25" s="2">
        <v>-1.5</v>
      </c>
      <c r="AKJ25" s="2">
        <v>4.8</v>
      </c>
      <c r="AKK25" s="2">
        <v>-1.6</v>
      </c>
      <c r="AKL25" s="2">
        <v>-1</v>
      </c>
      <c r="AKM25" s="2">
        <v>-1.2</v>
      </c>
      <c r="AKN25" s="2">
        <v>3</v>
      </c>
      <c r="AKO25" s="2">
        <v>-1.7</v>
      </c>
      <c r="AKP25" s="2">
        <v>1.07</v>
      </c>
      <c r="AKQ25" s="2">
        <v>1.1</v>
      </c>
      <c r="AKR25" s="2">
        <v>1.08</v>
      </c>
    </row>
    <row r="26">
      <c r="A26" t="inlineStr">
        <is>
          <t>Medical, dental and hospital services</t>
        </is>
      </c>
      <c r="B26" t="inlineStr">
        <is>
          <t>Health</t>
        </is>
      </c>
      <c r="C26">
        <v>2</v>
      </c>
      <c r="D26">
        <v>5.62</v>
      </c>
      <c r="E26" s="3">
        <f>D26/6.71*0.06709999999999999</f>
        <v>0.0562</v>
      </c>
      <c r="F26" s="3">
        <f>E26-D26/100</f>
        <v>0.0</v>
      </c>
      <c r="G26" s="3">
        <f>D26/6.71</f>
        <v>0.8375558867362146</v>
      </c>
      <c r="CI26" s="2">
        <v>95.17</v>
      </c>
      <c r="CJ26" s="2">
        <v>95.16</v>
      </c>
      <c r="CK26" s="2">
        <v>95.22</v>
      </c>
      <c r="CL26" s="2">
        <v>95.26000000000001</v>
      </c>
      <c r="CM26" s="2">
        <v>95.22</v>
      </c>
      <c r="CN26" s="2">
        <v>95.17</v>
      </c>
      <c r="CO26" s="2">
        <v>95.34</v>
      </c>
      <c r="CP26" s="2">
        <v>95.36</v>
      </c>
      <c r="CQ26" s="2">
        <v>95.14</v>
      </c>
      <c r="CR26" s="2">
        <v>97.67</v>
      </c>
      <c r="CS26" s="2">
        <v>97.69</v>
      </c>
      <c r="CT26" s="2">
        <v>97.78</v>
      </c>
      <c r="CU26" s="2">
        <v>99.93000000000001</v>
      </c>
      <c r="CV26" s="2">
        <v>99.72</v>
      </c>
      <c r="CW26" s="2">
        <v>99.75</v>
      </c>
      <c r="CX26" s="2">
        <v>99.83</v>
      </c>
      <c r="CY26" s="2">
        <v>99.93000000000001</v>
      </c>
      <c r="CZ26" s="2">
        <v>100</v>
      </c>
      <c r="DA26" s="2">
        <v>100.01</v>
      </c>
      <c r="DB26" s="2">
        <v>99.55</v>
      </c>
      <c r="DC26" s="2">
        <v>99.16</v>
      </c>
      <c r="DD26" s="2">
        <v>101.66</v>
      </c>
      <c r="DE26" s="2">
        <v>101.85</v>
      </c>
      <c r="DF26" s="2">
        <v>101.44</v>
      </c>
      <c r="DG26" s="2">
        <v>104.68</v>
      </c>
      <c r="DH26" s="2">
        <v>104.53</v>
      </c>
      <c r="DI26" s="2">
        <v>104.53</v>
      </c>
      <c r="DJ26" s="2">
        <v>104.63</v>
      </c>
      <c r="GL26" s="2">
        <v>5</v>
      </c>
      <c r="GM26" s="2">
        <v>4.8</v>
      </c>
      <c r="GN26" s="2">
        <v>4.8</v>
      </c>
      <c r="GO26" s="2">
        <v>4.8</v>
      </c>
      <c r="GP26" s="2">
        <v>4.9</v>
      </c>
      <c r="GQ26" s="2">
        <v>5.1</v>
      </c>
      <c r="GR26" s="2">
        <v>4.9</v>
      </c>
      <c r="GS26" s="2">
        <v>4.4</v>
      </c>
      <c r="GT26" s="2">
        <v>4.2</v>
      </c>
      <c r="GU26" s="2">
        <v>4.1</v>
      </c>
      <c r="GV26" s="2">
        <v>4.3</v>
      </c>
      <c r="GW26" s="2">
        <v>3.7</v>
      </c>
      <c r="GX26" s="2">
        <v>4.8</v>
      </c>
      <c r="GY26" s="2">
        <v>4.8</v>
      </c>
      <c r="GZ26" s="2">
        <v>4.8</v>
      </c>
      <c r="HA26" s="2">
        <v>4.8</v>
      </c>
      <c r="KC26" s="2">
        <v>0</v>
      </c>
      <c r="KD26" s="2">
        <v>0.1</v>
      </c>
      <c r="KE26" s="2">
        <v>0</v>
      </c>
      <c r="KF26" s="2">
        <v>0</v>
      </c>
      <c r="KG26" s="2">
        <v>-0.1</v>
      </c>
      <c r="KH26" s="2">
        <v>0.2</v>
      </c>
      <c r="KI26" s="2">
        <v>0</v>
      </c>
      <c r="KJ26" s="2">
        <v>-0.2</v>
      </c>
      <c r="KK26" s="2">
        <v>2.7</v>
      </c>
      <c r="KL26" s="2">
        <v>0</v>
      </c>
      <c r="KM26" s="2">
        <v>0.1</v>
      </c>
      <c r="KN26" s="2">
        <v>2.2</v>
      </c>
      <c r="KO26" s="2">
        <v>-0.2</v>
      </c>
      <c r="KP26" s="2">
        <v>0</v>
      </c>
      <c r="KQ26" s="2">
        <v>0.1</v>
      </c>
      <c r="KR26" s="2">
        <v>0.1</v>
      </c>
      <c r="KS26" s="2">
        <v>0.1</v>
      </c>
      <c r="KT26" s="2">
        <v>0</v>
      </c>
      <c r="KU26" s="2">
        <v>-0.5</v>
      </c>
      <c r="KV26" s="2">
        <v>-0.4</v>
      </c>
      <c r="KW26" s="2">
        <v>2.5</v>
      </c>
      <c r="KX26" s="2">
        <v>0.2</v>
      </c>
      <c r="KY26" s="2">
        <v>-0.4</v>
      </c>
      <c r="KZ26" s="2">
        <v>3.2</v>
      </c>
      <c r="LA26" s="2">
        <v>-0.1</v>
      </c>
      <c r="LB26" s="2">
        <v>0</v>
      </c>
      <c r="LC26" s="2">
        <v>0.1</v>
      </c>
      <c r="LD26" s="2">
        <v>5.46</v>
      </c>
      <c r="LE26" s="2">
        <v>5.61</v>
      </c>
      <c r="LF26" s="2">
        <v>5.61</v>
      </c>
      <c r="LG26" s="2">
        <v>5.62</v>
      </c>
      <c r="LH26" s="2">
        <v>5.74</v>
      </c>
      <c r="LI26" s="2">
        <v>5.73</v>
      </c>
      <c r="LJ26" s="2">
        <v>5.73</v>
      </c>
      <c r="LK26" s="2">
        <v>5.73</v>
      </c>
      <c r="LL26" s="2">
        <v>5.74</v>
      </c>
      <c r="LM26" s="2">
        <v>5.74</v>
      </c>
      <c r="LN26" s="2">
        <v>5.74</v>
      </c>
      <c r="LO26" s="2">
        <v>5.72</v>
      </c>
      <c r="LP26" s="2">
        <v>5.69</v>
      </c>
      <c r="LQ26" s="2">
        <v>5.84</v>
      </c>
      <c r="LR26" s="2">
        <v>5.85</v>
      </c>
      <c r="LS26" s="2">
        <v>5.83</v>
      </c>
      <c r="LT26" s="2">
        <v>6.01</v>
      </c>
      <c r="LU26" s="2">
        <v>6</v>
      </c>
      <c r="LV26" s="2">
        <v>6</v>
      </c>
      <c r="LW26" s="2">
        <v>6.01</v>
      </c>
      <c r="LX26" s="2">
        <v>0.15</v>
      </c>
      <c r="LY26" s="2">
        <v>0</v>
      </c>
      <c r="LZ26" s="2">
        <v>0.01</v>
      </c>
      <c r="MA26" s="2">
        <v>0.12</v>
      </c>
      <c r="MB26" s="2">
        <v>-0.01</v>
      </c>
      <c r="MC26" s="2">
        <v>0</v>
      </c>
      <c r="MD26" s="2">
        <v>0</v>
      </c>
      <c r="ME26" s="2">
        <v>0.01</v>
      </c>
      <c r="MF26" s="2">
        <v>0</v>
      </c>
      <c r="MG26" s="2">
        <v>0</v>
      </c>
      <c r="MH26" s="2">
        <v>-0.02</v>
      </c>
      <c r="MI26" s="2">
        <v>-0.03</v>
      </c>
      <c r="MJ26" s="2">
        <v>0.15</v>
      </c>
      <c r="MK26" s="2">
        <v>0.01</v>
      </c>
      <c r="ML26" s="2">
        <v>-0.02</v>
      </c>
      <c r="MM26" s="2">
        <v>0.18</v>
      </c>
      <c r="MN26" s="2">
        <v>-0.01</v>
      </c>
      <c r="MO26" s="2">
        <v>0</v>
      </c>
      <c r="MP26" s="2">
        <v>0.01</v>
      </c>
      <c r="RO26" s="2">
        <v>7.8</v>
      </c>
      <c r="RP26" s="2">
        <v>7.8</v>
      </c>
      <c r="RQ26" s="2">
        <v>7.83</v>
      </c>
      <c r="RR26" s="2">
        <v>7.88</v>
      </c>
      <c r="RS26" s="2">
        <v>7.92</v>
      </c>
      <c r="RT26" s="2">
        <v>11.34</v>
      </c>
      <c r="RU26" s="2">
        <v>11.54</v>
      </c>
      <c r="RV26" s="2">
        <v>11.86</v>
      </c>
      <c r="RW26" s="2">
        <v>12.78</v>
      </c>
      <c r="RX26" s="2">
        <v>13.65</v>
      </c>
      <c r="RY26" s="2">
        <v>14.11</v>
      </c>
      <c r="RZ26" s="2">
        <v>14.45</v>
      </c>
      <c r="SA26" s="2">
        <v>14.76</v>
      </c>
      <c r="SB26" s="2">
        <v>15.15</v>
      </c>
      <c r="SC26" s="2">
        <v>10.68</v>
      </c>
      <c r="SD26" s="2">
        <v>8.300000000000001</v>
      </c>
      <c r="SE26" s="2">
        <v>8.18</v>
      </c>
      <c r="SF26" s="2">
        <v>8.289999999999999</v>
      </c>
      <c r="SG26" s="2">
        <v>8.48</v>
      </c>
      <c r="SH26" s="2">
        <v>8.6</v>
      </c>
      <c r="SI26" s="2">
        <v>8.75</v>
      </c>
      <c r="SJ26" s="2">
        <v>8.890000000000001</v>
      </c>
      <c r="SK26" s="2">
        <v>9.16</v>
      </c>
      <c r="SL26" s="2">
        <v>9.81</v>
      </c>
      <c r="SM26" s="2">
        <v>10.14</v>
      </c>
      <c r="SN26" s="2">
        <v>11.13</v>
      </c>
      <c r="SO26" s="2">
        <v>11.54</v>
      </c>
      <c r="SP26" s="2">
        <v>11.97</v>
      </c>
      <c r="SQ26" s="2">
        <v>12.26</v>
      </c>
      <c r="SR26" s="2">
        <v>13.14</v>
      </c>
      <c r="SS26" s="2">
        <v>13.43</v>
      </c>
      <c r="ST26" s="2">
        <v>13.68</v>
      </c>
      <c r="SU26" s="2">
        <v>13.9</v>
      </c>
      <c r="SV26" s="2">
        <v>14.45</v>
      </c>
      <c r="SW26" s="2">
        <v>15.07</v>
      </c>
      <c r="SX26" s="2">
        <v>15.21</v>
      </c>
      <c r="SY26" s="2">
        <v>15.47</v>
      </c>
      <c r="SZ26" s="2">
        <v>15.8</v>
      </c>
      <c r="TA26" s="2">
        <v>16.05</v>
      </c>
      <c r="TB26" s="2">
        <v>16.27</v>
      </c>
      <c r="TC26" s="2">
        <v>16.64</v>
      </c>
      <c r="TD26" s="2">
        <v>17.85</v>
      </c>
      <c r="TE26" s="2">
        <v>18.3</v>
      </c>
      <c r="TF26" s="2">
        <v>18.72</v>
      </c>
      <c r="TG26" s="2">
        <v>19.47</v>
      </c>
      <c r="TH26" s="2">
        <v>20.97</v>
      </c>
      <c r="TI26" s="2">
        <v>22.35</v>
      </c>
      <c r="TJ26" s="2">
        <v>20.64</v>
      </c>
      <c r="TK26" s="2">
        <v>20.76</v>
      </c>
      <c r="TL26" s="2">
        <v>21.32</v>
      </c>
      <c r="TM26" s="2">
        <v>21.63</v>
      </c>
      <c r="TN26" s="2">
        <v>21.78</v>
      </c>
      <c r="TO26" s="2">
        <v>21.98</v>
      </c>
      <c r="TP26" s="2">
        <v>22.3</v>
      </c>
      <c r="TQ26" s="2">
        <v>22.69</v>
      </c>
      <c r="TR26" s="2">
        <v>22.96</v>
      </c>
      <c r="TS26" s="2">
        <v>23.47</v>
      </c>
      <c r="TT26" s="2">
        <v>23.71</v>
      </c>
      <c r="TU26" s="2">
        <v>24.04</v>
      </c>
      <c r="TV26" s="2">
        <v>24.54</v>
      </c>
      <c r="TW26" s="2">
        <v>24.75</v>
      </c>
      <c r="TX26" s="2">
        <v>25.37</v>
      </c>
      <c r="TY26" s="2">
        <v>25.64</v>
      </c>
      <c r="TZ26" s="2">
        <v>25.67</v>
      </c>
      <c r="UA26" s="2">
        <v>25.98</v>
      </c>
      <c r="UB26" s="2">
        <v>26.6</v>
      </c>
      <c r="UC26" s="2">
        <v>27.53</v>
      </c>
      <c r="UD26" s="2">
        <v>28.26</v>
      </c>
      <c r="UE26" s="2">
        <v>26.73</v>
      </c>
      <c r="UF26" s="2">
        <v>28.25</v>
      </c>
      <c r="UG26" s="2">
        <v>28.47</v>
      </c>
      <c r="UH26" s="2">
        <v>29.23</v>
      </c>
      <c r="UI26" s="2">
        <v>29.81</v>
      </c>
      <c r="UJ26" s="2">
        <v>29.91</v>
      </c>
      <c r="UK26" s="2">
        <v>25.43</v>
      </c>
      <c r="UL26" s="2">
        <v>25.56</v>
      </c>
      <c r="UM26" s="2">
        <v>26.08</v>
      </c>
      <c r="UN26" s="2">
        <v>26.35</v>
      </c>
      <c r="UO26" s="2">
        <v>26.58</v>
      </c>
      <c r="UP26" s="2">
        <v>26.85</v>
      </c>
      <c r="UQ26" s="2">
        <v>27</v>
      </c>
      <c r="UR26" s="2">
        <v>27.28</v>
      </c>
      <c r="US26" s="2">
        <v>27.49</v>
      </c>
      <c r="UT26" s="2">
        <v>27.64</v>
      </c>
      <c r="UU26" s="2">
        <v>27.91</v>
      </c>
      <c r="UV26" s="2">
        <v>28.26</v>
      </c>
      <c r="UW26" s="2">
        <v>28.42</v>
      </c>
      <c r="UX26" s="2">
        <v>29.62</v>
      </c>
      <c r="UY26" s="2">
        <v>30.16</v>
      </c>
      <c r="UZ26" s="2">
        <v>30.57</v>
      </c>
      <c r="VA26" s="2">
        <v>31.01</v>
      </c>
      <c r="VB26" s="2">
        <v>32.37</v>
      </c>
      <c r="VC26" s="2">
        <v>32.72</v>
      </c>
      <c r="VD26" s="2">
        <v>33.15</v>
      </c>
      <c r="VE26" s="2">
        <v>33.53</v>
      </c>
      <c r="VF26" s="2">
        <v>34.97</v>
      </c>
      <c r="VG26" s="2">
        <v>35.08</v>
      </c>
      <c r="VH26" s="2">
        <v>35.16</v>
      </c>
      <c r="VI26" s="2">
        <v>35.44</v>
      </c>
      <c r="VJ26" s="2">
        <v>36.75</v>
      </c>
      <c r="VK26" s="2">
        <v>36.79</v>
      </c>
      <c r="VL26" s="2">
        <v>36.79</v>
      </c>
      <c r="VM26" s="2">
        <v>37.35</v>
      </c>
      <c r="VN26" s="2">
        <v>38.65</v>
      </c>
      <c r="VO26" s="2">
        <v>38.89</v>
      </c>
      <c r="VP26" s="2">
        <v>39.06</v>
      </c>
      <c r="VQ26" s="2">
        <v>39.44</v>
      </c>
      <c r="VR26" s="2">
        <v>40.63</v>
      </c>
      <c r="VS26" s="2">
        <v>40.9</v>
      </c>
      <c r="VT26" s="2">
        <v>40.96</v>
      </c>
      <c r="VU26" s="2">
        <v>41.61</v>
      </c>
      <c r="VV26" s="2">
        <v>43.05</v>
      </c>
      <c r="VW26" s="2">
        <v>43.41</v>
      </c>
      <c r="VX26" s="2">
        <v>43.33</v>
      </c>
      <c r="VY26" s="2">
        <v>44.27</v>
      </c>
      <c r="VZ26" s="2">
        <v>45.63</v>
      </c>
      <c r="WA26" s="2">
        <v>45.66</v>
      </c>
      <c r="WB26" s="2">
        <v>45.74</v>
      </c>
      <c r="WC26" s="2">
        <v>46.94</v>
      </c>
      <c r="WD26" s="2">
        <v>48.46</v>
      </c>
      <c r="WE26" s="2">
        <v>48.52</v>
      </c>
      <c r="WF26" s="2">
        <v>48.58</v>
      </c>
      <c r="WG26" s="2">
        <v>49.48</v>
      </c>
      <c r="WH26" s="2">
        <v>50.91</v>
      </c>
      <c r="WI26" s="2">
        <v>50.9</v>
      </c>
      <c r="WJ26" s="2">
        <v>50.84</v>
      </c>
      <c r="WK26" s="2">
        <v>51.89</v>
      </c>
      <c r="WL26" s="2">
        <v>53.2</v>
      </c>
      <c r="WM26" s="2">
        <v>55.3</v>
      </c>
      <c r="WN26" s="2">
        <v>55.18</v>
      </c>
      <c r="WO26" s="2">
        <v>56.23</v>
      </c>
      <c r="WP26" s="2">
        <v>57.92</v>
      </c>
      <c r="WQ26" s="2">
        <v>58.09</v>
      </c>
      <c r="WR26" s="2">
        <v>57.97</v>
      </c>
      <c r="WS26" s="2">
        <v>59</v>
      </c>
      <c r="WT26" s="2">
        <v>61.44</v>
      </c>
      <c r="WU26" s="2">
        <v>61.51</v>
      </c>
      <c r="WV26" s="2">
        <v>61.37</v>
      </c>
      <c r="WW26" s="2">
        <v>62.55</v>
      </c>
      <c r="WX26" s="2">
        <v>65.01000000000001</v>
      </c>
      <c r="WY26" s="2">
        <v>65.17</v>
      </c>
      <c r="WZ26" s="2">
        <v>65.14</v>
      </c>
      <c r="XA26" s="2">
        <v>66.05</v>
      </c>
      <c r="XB26" s="2">
        <v>68.52</v>
      </c>
      <c r="XC26" s="2">
        <v>68.41</v>
      </c>
      <c r="XD26" s="2">
        <v>68.26000000000001</v>
      </c>
      <c r="XE26" s="2">
        <v>69.27</v>
      </c>
      <c r="XF26" s="2">
        <v>71.79000000000001</v>
      </c>
      <c r="XG26" s="2">
        <v>71.73</v>
      </c>
      <c r="XH26" s="2">
        <v>71.63</v>
      </c>
      <c r="XI26" s="2">
        <v>72.59999999999999</v>
      </c>
      <c r="XJ26" s="2">
        <v>74.58</v>
      </c>
      <c r="XK26" s="2">
        <v>74.39</v>
      </c>
      <c r="XL26" s="2">
        <v>74.39</v>
      </c>
      <c r="XM26" s="2">
        <v>75.37</v>
      </c>
      <c r="XN26" s="2">
        <v>77.09999999999999</v>
      </c>
      <c r="XO26" s="2">
        <v>77.06999999999999</v>
      </c>
      <c r="XP26" s="2">
        <v>77.01000000000001</v>
      </c>
      <c r="XQ26" s="2">
        <v>77.77</v>
      </c>
      <c r="XR26" s="2">
        <v>77.66</v>
      </c>
      <c r="XS26" s="2">
        <v>77.81</v>
      </c>
      <c r="XT26" s="2">
        <v>79.56</v>
      </c>
      <c r="XU26" s="2">
        <v>80.66</v>
      </c>
      <c r="XV26" s="2">
        <v>82.40000000000001</v>
      </c>
      <c r="XW26" s="2">
        <v>82.77</v>
      </c>
      <c r="XX26" s="2">
        <v>82.65000000000001</v>
      </c>
      <c r="XY26" s="2">
        <v>84.04000000000001</v>
      </c>
      <c r="XZ26" s="2">
        <v>84.66</v>
      </c>
      <c r="YA26" s="2">
        <v>85.19</v>
      </c>
      <c r="YB26" s="2">
        <v>86.09</v>
      </c>
      <c r="YC26" s="2">
        <v>89.34999999999999</v>
      </c>
      <c r="YD26" s="2">
        <v>89.41</v>
      </c>
      <c r="YE26" s="2">
        <v>90.47</v>
      </c>
      <c r="YF26" s="2">
        <v>91.43000000000001</v>
      </c>
      <c r="YG26" s="2">
        <v>93.37</v>
      </c>
      <c r="YH26" s="2">
        <v>95.14</v>
      </c>
      <c r="YI26" s="2">
        <v>95.26000000000001</v>
      </c>
      <c r="YJ26" s="2">
        <v>95.31</v>
      </c>
      <c r="YK26" s="2">
        <v>97.69</v>
      </c>
      <c r="YL26" s="2">
        <v>99.73</v>
      </c>
      <c r="YM26" s="2">
        <v>99.92</v>
      </c>
      <c r="YN26" s="2">
        <v>99.56999999999999</v>
      </c>
      <c r="YO26" s="2">
        <v>101.65</v>
      </c>
      <c r="YP26" s="2">
        <v>104.58</v>
      </c>
      <c r="ADO26" s="2">
        <v>0</v>
      </c>
      <c r="ADP26" s="2">
        <v>0.4</v>
      </c>
      <c r="ADQ26" s="2">
        <v>0.6</v>
      </c>
      <c r="ADR26" s="2">
        <v>0.5</v>
      </c>
      <c r="ADS26" s="2">
        <v>43.2</v>
      </c>
      <c r="ADT26" s="2">
        <v>1.8</v>
      </c>
      <c r="ADU26" s="2">
        <v>2.8</v>
      </c>
      <c r="ADV26" s="2">
        <v>7.8</v>
      </c>
      <c r="ADW26" s="2">
        <v>6.8</v>
      </c>
      <c r="ADX26" s="2">
        <v>3.4</v>
      </c>
      <c r="ADY26" s="2">
        <v>2.4</v>
      </c>
      <c r="ADZ26" s="2">
        <v>2.1</v>
      </c>
      <c r="AEA26" s="2">
        <v>2.6</v>
      </c>
      <c r="AEB26" s="2">
        <v>-29.5</v>
      </c>
      <c r="AEC26" s="2">
        <v>-22.3</v>
      </c>
      <c r="AED26" s="2">
        <v>-1.4</v>
      </c>
      <c r="AEE26" s="2">
        <v>1.3</v>
      </c>
      <c r="AEF26" s="2">
        <v>2.3</v>
      </c>
      <c r="AEG26" s="2">
        <v>1.4</v>
      </c>
      <c r="AEH26" s="2">
        <v>1.7</v>
      </c>
      <c r="AEI26" s="2">
        <v>1.6</v>
      </c>
      <c r="AEJ26" s="2">
        <v>3</v>
      </c>
      <c r="AEK26" s="2">
        <v>7.1</v>
      </c>
      <c r="AEL26" s="2">
        <v>3.4</v>
      </c>
      <c r="AEM26" s="2">
        <v>9.800000000000001</v>
      </c>
      <c r="AEN26" s="2">
        <v>3.7</v>
      </c>
      <c r="AEO26" s="2">
        <v>3.7</v>
      </c>
      <c r="AEP26" s="2">
        <v>2.4</v>
      </c>
      <c r="AEQ26" s="2">
        <v>7.2</v>
      </c>
      <c r="AER26" s="2">
        <v>2.2</v>
      </c>
      <c r="AES26" s="2">
        <v>1.9</v>
      </c>
      <c r="AET26" s="2">
        <v>1.6</v>
      </c>
      <c r="AEU26" s="2">
        <v>4</v>
      </c>
      <c r="AEV26" s="2">
        <v>4.3</v>
      </c>
      <c r="AEW26" s="2">
        <v>0.9</v>
      </c>
      <c r="AEX26" s="2">
        <v>1.7</v>
      </c>
      <c r="AEY26" s="2">
        <v>2.1</v>
      </c>
      <c r="AEZ26" s="2">
        <v>1.6</v>
      </c>
      <c r="AFA26" s="2">
        <v>1.4</v>
      </c>
      <c r="AFB26" s="2">
        <v>2.3</v>
      </c>
      <c r="AFC26" s="2">
        <v>7.3</v>
      </c>
      <c r="AFD26" s="2">
        <v>2.5</v>
      </c>
      <c r="AFE26" s="2">
        <v>2.3</v>
      </c>
      <c r="AFF26" s="2">
        <v>4</v>
      </c>
      <c r="AFG26" s="2">
        <v>7.7</v>
      </c>
      <c r="AFH26" s="2">
        <v>6.6</v>
      </c>
      <c r="AFI26" s="2">
        <v>-7.7</v>
      </c>
      <c r="AFJ26" s="2">
        <v>0.6</v>
      </c>
      <c r="AFK26" s="2">
        <v>2.7</v>
      </c>
      <c r="AFL26" s="2">
        <v>1.5</v>
      </c>
      <c r="AFM26" s="2">
        <v>0.7</v>
      </c>
      <c r="AFN26" s="2">
        <v>0.9</v>
      </c>
      <c r="AFO26" s="2">
        <v>1.5</v>
      </c>
      <c r="AFP26" s="2">
        <v>1.7</v>
      </c>
      <c r="AFQ26" s="2">
        <v>1.2</v>
      </c>
      <c r="AFR26" s="2">
        <v>2.2</v>
      </c>
      <c r="AFS26" s="2">
        <v>1</v>
      </c>
      <c r="AFT26" s="2">
        <v>1.4</v>
      </c>
      <c r="AFU26" s="2">
        <v>2.1</v>
      </c>
      <c r="AFV26" s="2">
        <v>0.9</v>
      </c>
      <c r="AFW26" s="2">
        <v>2.5</v>
      </c>
      <c r="AFX26" s="2">
        <v>1.1</v>
      </c>
      <c r="AFY26" s="2">
        <v>0.1</v>
      </c>
      <c r="AFZ26" s="2">
        <v>1.2</v>
      </c>
      <c r="AGA26" s="2">
        <v>2.4</v>
      </c>
      <c r="AGB26" s="2">
        <v>3.5</v>
      </c>
      <c r="AGC26" s="2">
        <v>2.7</v>
      </c>
      <c r="AGD26" s="2">
        <v>-5.4</v>
      </c>
      <c r="AGE26" s="2">
        <v>5.7</v>
      </c>
      <c r="AGF26" s="2">
        <v>0.8</v>
      </c>
      <c r="AGG26" s="2">
        <v>2.7</v>
      </c>
      <c r="AGH26" s="2">
        <v>2</v>
      </c>
      <c r="AGI26" s="2">
        <v>0.3</v>
      </c>
      <c r="AGJ26" s="2">
        <v>-15</v>
      </c>
      <c r="AGK26" s="2">
        <v>0.5</v>
      </c>
      <c r="AGL26" s="2">
        <v>2</v>
      </c>
      <c r="AGM26" s="2">
        <v>1</v>
      </c>
      <c r="AGN26" s="2">
        <v>0.9</v>
      </c>
      <c r="AGO26" s="2">
        <v>1</v>
      </c>
      <c r="AGP26" s="2">
        <v>0.6</v>
      </c>
      <c r="AGQ26" s="2">
        <v>1</v>
      </c>
      <c r="AGR26" s="2">
        <v>0.8</v>
      </c>
      <c r="AGS26" s="2">
        <v>0.5</v>
      </c>
      <c r="AGT26" s="2">
        <v>1</v>
      </c>
      <c r="AGU26" s="2">
        <v>1.3</v>
      </c>
      <c r="AGV26" s="2">
        <v>0.6</v>
      </c>
      <c r="AGW26" s="2">
        <v>4.2</v>
      </c>
      <c r="AGX26" s="2">
        <v>1.8</v>
      </c>
      <c r="AGY26" s="2">
        <v>1.4</v>
      </c>
      <c r="AGZ26" s="2">
        <v>1.4</v>
      </c>
      <c r="AHA26" s="2">
        <v>4.4</v>
      </c>
      <c r="AHB26" s="2">
        <v>1.1</v>
      </c>
      <c r="AHC26" s="2">
        <v>1.3</v>
      </c>
      <c r="AHD26" s="2">
        <v>1.1</v>
      </c>
      <c r="AHE26" s="2">
        <v>4.3</v>
      </c>
      <c r="AHF26" s="2">
        <v>0.3</v>
      </c>
      <c r="AHG26" s="2">
        <v>0.2</v>
      </c>
      <c r="AHH26" s="2">
        <v>0.8</v>
      </c>
      <c r="AHI26" s="2">
        <v>3.7</v>
      </c>
      <c r="AHJ26" s="2">
        <v>0.1</v>
      </c>
      <c r="AHK26" s="2">
        <v>0</v>
      </c>
      <c r="AHL26" s="2">
        <v>1.5</v>
      </c>
      <c r="AHM26" s="2">
        <v>3.5</v>
      </c>
      <c r="AHN26" s="2">
        <v>0.6</v>
      </c>
      <c r="AHO26" s="2">
        <v>0.4</v>
      </c>
      <c r="AHP26" s="2">
        <v>1</v>
      </c>
      <c r="AHQ26" s="2">
        <v>3</v>
      </c>
      <c r="AHR26" s="2">
        <v>0.7</v>
      </c>
      <c r="AHS26" s="2">
        <v>0.1</v>
      </c>
      <c r="AHT26" s="2">
        <v>1.6</v>
      </c>
      <c r="AHU26" s="2">
        <v>3.5</v>
      </c>
      <c r="AHV26" s="2">
        <v>0.8</v>
      </c>
      <c r="AHW26" s="2">
        <v>-0.2</v>
      </c>
      <c r="AHX26" s="2">
        <v>2.2</v>
      </c>
      <c r="AHY26" s="2">
        <v>3.1</v>
      </c>
      <c r="AHZ26" s="2">
        <v>0.1</v>
      </c>
      <c r="AIA26" s="2">
        <v>0.2</v>
      </c>
      <c r="AIB26" s="2">
        <v>2.6</v>
      </c>
      <c r="AIC26" s="2">
        <v>3.2</v>
      </c>
      <c r="AID26" s="2">
        <v>0.1</v>
      </c>
      <c r="AIE26" s="2">
        <v>0.1</v>
      </c>
      <c r="AIF26" s="2">
        <v>1.9</v>
      </c>
      <c r="AIG26" s="2">
        <v>2.9</v>
      </c>
      <c r="AIH26" s="2">
        <v>0</v>
      </c>
      <c r="AII26" s="2">
        <v>-0.1</v>
      </c>
      <c r="AIJ26" s="2">
        <v>2.1</v>
      </c>
      <c r="AIK26" s="2">
        <v>2.5</v>
      </c>
      <c r="AIL26" s="2">
        <v>3.9</v>
      </c>
      <c r="AIM26" s="2">
        <v>-0.2</v>
      </c>
      <c r="AIN26" s="2">
        <v>1.9</v>
      </c>
      <c r="AIO26" s="2">
        <v>3</v>
      </c>
      <c r="AIP26" s="2">
        <v>0.3</v>
      </c>
      <c r="AIQ26" s="2">
        <v>-0.2</v>
      </c>
      <c r="AIR26" s="2">
        <v>1.8</v>
      </c>
      <c r="AIS26" s="2">
        <v>4.1</v>
      </c>
      <c r="AIT26" s="2">
        <v>0.1</v>
      </c>
      <c r="AIU26" s="2">
        <v>-0.2</v>
      </c>
      <c r="AIV26" s="2">
        <v>1.9</v>
      </c>
      <c r="AIW26" s="2">
        <v>3.9</v>
      </c>
      <c r="AIX26" s="2">
        <v>0.2</v>
      </c>
      <c r="AIY26" s="2">
        <v>0</v>
      </c>
      <c r="AIZ26" s="2">
        <v>1.4</v>
      </c>
      <c r="AJA26" s="2">
        <v>3.7</v>
      </c>
      <c r="AJB26" s="2">
        <v>-0.2</v>
      </c>
      <c r="AJC26" s="2">
        <v>-0.2</v>
      </c>
      <c r="AJD26" s="2">
        <v>1.5</v>
      </c>
      <c r="AJE26" s="2">
        <v>3.6</v>
      </c>
      <c r="AJF26" s="2">
        <v>-0.1</v>
      </c>
      <c r="AJG26" s="2">
        <v>-0.1</v>
      </c>
      <c r="AJH26" s="2">
        <v>1.4</v>
      </c>
      <c r="AJI26" s="2">
        <v>2.7</v>
      </c>
      <c r="AJJ26" s="2">
        <v>-0.3</v>
      </c>
      <c r="AJK26" s="2">
        <v>0</v>
      </c>
      <c r="AJL26" s="2">
        <v>1.3</v>
      </c>
      <c r="AJM26" s="2">
        <v>2.3</v>
      </c>
      <c r="AJN26" s="2">
        <v>0</v>
      </c>
      <c r="AJO26" s="2">
        <v>-0.1</v>
      </c>
      <c r="AJP26" s="2">
        <v>1</v>
      </c>
      <c r="AJQ26" s="2">
        <v>-0.1</v>
      </c>
      <c r="AJR26" s="2">
        <v>0.2</v>
      </c>
      <c r="AJS26" s="2">
        <v>2.2</v>
      </c>
      <c r="AJT26" s="2">
        <v>1.4</v>
      </c>
      <c r="AJU26" s="2">
        <v>2.2</v>
      </c>
      <c r="AJV26" s="2">
        <v>0.4</v>
      </c>
      <c r="AJW26" s="2">
        <v>-0.1</v>
      </c>
      <c r="AJX26" s="2">
        <v>1.7</v>
      </c>
      <c r="AJY26" s="2">
        <v>0.7</v>
      </c>
      <c r="AJZ26" s="2">
        <v>0.6</v>
      </c>
      <c r="AKA26" s="2">
        <v>1.1</v>
      </c>
      <c r="AKB26" s="2">
        <v>3.8</v>
      </c>
      <c r="AKC26" s="2">
        <v>0.1</v>
      </c>
      <c r="AKD26" s="2">
        <v>1.2</v>
      </c>
      <c r="AKE26" s="2">
        <v>1.1</v>
      </c>
      <c r="AKF26" s="2">
        <v>2.1</v>
      </c>
      <c r="AKG26" s="2">
        <v>1.9</v>
      </c>
      <c r="AKH26" s="2">
        <v>0.1</v>
      </c>
      <c r="AKI26" s="2">
        <v>0.1</v>
      </c>
      <c r="AKJ26" s="2">
        <v>2.5</v>
      </c>
      <c r="AKK26" s="2">
        <v>2.1</v>
      </c>
      <c r="AKL26" s="2">
        <v>0.2</v>
      </c>
      <c r="AKM26" s="2">
        <v>-0.4</v>
      </c>
      <c r="AKN26" s="2">
        <v>2.1</v>
      </c>
      <c r="AKO26" s="2">
        <v>2.9</v>
      </c>
      <c r="AKP26" s="2">
        <v>5.72</v>
      </c>
      <c r="AKQ26" s="2">
        <v>5.84</v>
      </c>
      <c r="AKR26" s="2">
        <v>6.01</v>
      </c>
    </row>
    <row r="27">
      <c r="A27" t="inlineStr">
        <is>
          <t>Private motoring</t>
        </is>
      </c>
      <c r="B27" t="inlineStr">
        <is>
          <t>Transport</t>
        </is>
      </c>
      <c r="C27">
        <v>2</v>
      </c>
      <c r="D27">
        <v>11.14</v>
      </c>
      <c r="E27" s="3">
        <f>D27/11.48*0.1149</f>
        <v>0.11149703832752614</v>
      </c>
      <c r="F27" s="3">
        <f>E27-D27/100</f>
        <v>9.703832752613883e-05</v>
      </c>
      <c r="G27" s="3">
        <f>D27/11.48</f>
        <v>0.9703832752613241</v>
      </c>
      <c r="CI27" s="2">
        <v>102.25</v>
      </c>
      <c r="CJ27" s="2">
        <v>100.44</v>
      </c>
      <c r="CK27" s="2">
        <v>100.68</v>
      </c>
      <c r="CL27" s="2">
        <v>99.92</v>
      </c>
      <c r="CM27" s="2">
        <v>99.04000000000001</v>
      </c>
      <c r="CN27" s="2">
        <v>97.83</v>
      </c>
      <c r="CO27" s="2">
        <v>97.65000000000001</v>
      </c>
      <c r="CP27" s="2">
        <v>98.01000000000001</v>
      </c>
      <c r="CQ27" s="2">
        <v>99.15000000000001</v>
      </c>
      <c r="CR27" s="2">
        <v>98.98999999999999</v>
      </c>
      <c r="CS27" s="2">
        <v>99.53</v>
      </c>
      <c r="CT27" s="2">
        <v>99.56</v>
      </c>
      <c r="CU27" s="2">
        <v>98.91</v>
      </c>
      <c r="CV27" s="2">
        <v>98.12</v>
      </c>
      <c r="CW27" s="2">
        <v>98.56999999999999</v>
      </c>
      <c r="CX27" s="2">
        <v>99.59999999999999</v>
      </c>
      <c r="CY27" s="2">
        <v>99.89</v>
      </c>
      <c r="CZ27" s="2">
        <v>100</v>
      </c>
      <c r="DA27" s="2">
        <v>100.28</v>
      </c>
      <c r="DB27" s="2">
        <v>100.62</v>
      </c>
      <c r="DC27" s="2">
        <v>100.82</v>
      </c>
      <c r="DD27" s="2">
        <v>100.16</v>
      </c>
      <c r="DE27" s="2">
        <v>99.37</v>
      </c>
      <c r="DF27" s="2">
        <v>108.74</v>
      </c>
      <c r="DG27" s="2">
        <v>106.32</v>
      </c>
      <c r="DH27" s="2">
        <v>102.13</v>
      </c>
      <c r="DI27" s="2">
        <v>99.01000000000001</v>
      </c>
      <c r="DJ27" s="2">
        <v>101.68</v>
      </c>
      <c r="GL27" s="2">
        <v>-3.3</v>
      </c>
      <c r="GM27" s="2">
        <v>-2.3</v>
      </c>
      <c r="GN27" s="2">
        <v>-2.1</v>
      </c>
      <c r="GO27" s="2">
        <v>-0.3</v>
      </c>
      <c r="GP27" s="2">
        <v>0.9</v>
      </c>
      <c r="GQ27" s="2">
        <v>2.2</v>
      </c>
      <c r="GR27" s="2">
        <v>2.7</v>
      </c>
      <c r="GS27" s="2">
        <v>2.7</v>
      </c>
      <c r="GT27" s="2">
        <v>1.7</v>
      </c>
      <c r="GU27" s="2">
        <v>1.2</v>
      </c>
      <c r="GV27" s="2">
        <v>-0.2</v>
      </c>
      <c r="GW27" s="2">
        <v>9.199999999999999</v>
      </c>
      <c r="GX27" s="2">
        <v>7.5</v>
      </c>
      <c r="GY27" s="2">
        <v>4.1</v>
      </c>
      <c r="GZ27" s="2">
        <v>0.4</v>
      </c>
      <c r="HA27" s="2">
        <v>2.1</v>
      </c>
      <c r="KC27" s="2">
        <v>-1.8</v>
      </c>
      <c r="KD27" s="2">
        <v>0.2</v>
      </c>
      <c r="KE27" s="2">
        <v>-0.8</v>
      </c>
      <c r="KF27" s="2">
        <v>-0.9</v>
      </c>
      <c r="KG27" s="2">
        <v>-1.2</v>
      </c>
      <c r="KH27" s="2">
        <v>-0.2</v>
      </c>
      <c r="KI27" s="2">
        <v>0.4</v>
      </c>
      <c r="KJ27" s="2">
        <v>1.2</v>
      </c>
      <c r="KK27" s="2">
        <v>-0.2</v>
      </c>
      <c r="KL27" s="2">
        <v>0.5</v>
      </c>
      <c r="KM27" s="2">
        <v>0</v>
      </c>
      <c r="KN27" s="2">
        <v>-0.7</v>
      </c>
      <c r="KO27" s="2">
        <v>-0.8</v>
      </c>
      <c r="KP27" s="2">
        <v>0.5</v>
      </c>
      <c r="KQ27" s="2">
        <v>1</v>
      </c>
      <c r="KR27" s="2">
        <v>0.3</v>
      </c>
      <c r="KS27" s="2">
        <v>0.1</v>
      </c>
      <c r="KT27" s="2">
        <v>0.3</v>
      </c>
      <c r="KU27" s="2">
        <v>0.3</v>
      </c>
      <c r="KV27" s="2">
        <v>0.2</v>
      </c>
      <c r="KW27" s="2">
        <v>-0.7</v>
      </c>
      <c r="KX27" s="2">
        <v>-0.8</v>
      </c>
      <c r="KY27" s="2">
        <v>9.4</v>
      </c>
      <c r="KZ27" s="2">
        <v>-2.2</v>
      </c>
      <c r="LA27" s="2">
        <v>-3.9</v>
      </c>
      <c r="LB27" s="2">
        <v>-3.1</v>
      </c>
      <c r="LC27" s="2">
        <v>2.7</v>
      </c>
      <c r="LD27" s="2">
        <v>10.84</v>
      </c>
      <c r="LE27" s="2">
        <v>10.82</v>
      </c>
      <c r="LF27" s="2">
        <v>10.88</v>
      </c>
      <c r="LG27" s="2">
        <v>10.89</v>
      </c>
      <c r="LH27" s="2">
        <v>10.82</v>
      </c>
      <c r="LI27" s="2">
        <v>10.73</v>
      </c>
      <c r="LJ27" s="2">
        <v>10.78</v>
      </c>
      <c r="LK27" s="2">
        <v>10.89</v>
      </c>
      <c r="LL27" s="2">
        <v>10.92</v>
      </c>
      <c r="LM27" s="2">
        <v>10.93</v>
      </c>
      <c r="LN27" s="2">
        <v>10.97</v>
      </c>
      <c r="LO27" s="2">
        <v>11</v>
      </c>
      <c r="LP27" s="2">
        <v>11.02</v>
      </c>
      <c r="LQ27" s="2">
        <v>10.95</v>
      </c>
      <c r="LR27" s="2">
        <v>10.87</v>
      </c>
      <c r="LS27" s="2">
        <v>11.89</v>
      </c>
      <c r="LT27" s="2">
        <v>11.63</v>
      </c>
      <c r="LU27" s="2">
        <v>11.17</v>
      </c>
      <c r="LV27" s="2">
        <v>10.83</v>
      </c>
      <c r="LW27" s="2">
        <v>11.12</v>
      </c>
      <c r="LX27" s="2">
        <v>-0.02</v>
      </c>
      <c r="LY27" s="2">
        <v>0.06</v>
      </c>
      <c r="LZ27" s="2">
        <v>0.01</v>
      </c>
      <c r="MA27" s="2">
        <v>-0.07000000000000001</v>
      </c>
      <c r="MB27" s="2">
        <v>-0.09</v>
      </c>
      <c r="MC27" s="2">
        <v>0.05</v>
      </c>
      <c r="MD27" s="2">
        <v>0.11</v>
      </c>
      <c r="ME27" s="2">
        <v>0.03</v>
      </c>
      <c r="MF27" s="2">
        <v>0.01</v>
      </c>
      <c r="MG27" s="2">
        <v>0.04</v>
      </c>
      <c r="MH27" s="2">
        <v>0.03</v>
      </c>
      <c r="MI27" s="2">
        <v>0.02</v>
      </c>
      <c r="MJ27" s="2">
        <v>-0.07000000000000001</v>
      </c>
      <c r="MK27" s="2">
        <v>-0.08</v>
      </c>
      <c r="ML27" s="2">
        <v>1.02</v>
      </c>
      <c r="MM27" s="2">
        <v>-0.26</v>
      </c>
      <c r="MN27" s="2">
        <v>-0.46</v>
      </c>
      <c r="MO27" s="2">
        <v>-0.34</v>
      </c>
      <c r="MP27" s="2">
        <v>0.29</v>
      </c>
      <c r="QI27" s="2">
        <v>8.81</v>
      </c>
      <c r="QJ27" s="2">
        <v>8.81</v>
      </c>
      <c r="QK27" s="2">
        <v>8.85</v>
      </c>
      <c r="QL27" s="2">
        <v>8.9</v>
      </c>
      <c r="QM27" s="2">
        <v>9.130000000000001</v>
      </c>
      <c r="QN27" s="2">
        <v>9.49</v>
      </c>
      <c r="QO27" s="2">
        <v>9.710000000000001</v>
      </c>
      <c r="QP27" s="2">
        <v>9.98</v>
      </c>
      <c r="QQ27" s="2">
        <v>10.8</v>
      </c>
      <c r="QR27" s="2">
        <v>11.29</v>
      </c>
      <c r="QS27" s="2">
        <v>11.84</v>
      </c>
      <c r="QT27" s="2">
        <v>12.24</v>
      </c>
      <c r="QU27" s="2">
        <v>12.83</v>
      </c>
      <c r="QV27" s="2">
        <v>13.6</v>
      </c>
      <c r="QW27" s="2">
        <v>13.96</v>
      </c>
      <c r="QX27" s="2">
        <v>14.14</v>
      </c>
      <c r="QY27" s="2">
        <v>14.5</v>
      </c>
      <c r="QZ27" s="2">
        <v>14.73</v>
      </c>
      <c r="RA27" s="2">
        <v>15.22</v>
      </c>
      <c r="RB27" s="2">
        <v>15.49</v>
      </c>
      <c r="RC27" s="2">
        <v>15.77</v>
      </c>
      <c r="RD27" s="2">
        <v>16.26</v>
      </c>
      <c r="RE27" s="2">
        <v>16.44</v>
      </c>
      <c r="RF27" s="2">
        <v>16.67</v>
      </c>
      <c r="RG27" s="2">
        <v>17.03</v>
      </c>
      <c r="RH27" s="2">
        <v>17.66</v>
      </c>
      <c r="RI27" s="2">
        <v>18.02</v>
      </c>
      <c r="RJ27" s="2">
        <v>18.66</v>
      </c>
      <c r="RK27" s="2">
        <v>19.33</v>
      </c>
      <c r="RL27" s="2">
        <v>20.01</v>
      </c>
      <c r="RM27" s="2">
        <v>20.01</v>
      </c>
      <c r="RN27" s="2">
        <v>21.1</v>
      </c>
      <c r="RO27" s="2">
        <v>21.01</v>
      </c>
      <c r="RP27" s="2">
        <v>21.28</v>
      </c>
      <c r="RQ27" s="2">
        <v>22.09</v>
      </c>
      <c r="RR27" s="2">
        <v>23.04</v>
      </c>
      <c r="RS27" s="2">
        <v>22.9</v>
      </c>
      <c r="RT27" s="2">
        <v>23.85</v>
      </c>
      <c r="RU27" s="2">
        <v>24.12</v>
      </c>
      <c r="RV27" s="2">
        <v>24.94</v>
      </c>
      <c r="RW27" s="2">
        <v>26.34</v>
      </c>
      <c r="RX27" s="2">
        <v>26.61</v>
      </c>
      <c r="RY27" s="2">
        <v>27.47</v>
      </c>
      <c r="RZ27" s="2">
        <v>27.47</v>
      </c>
      <c r="SA27" s="2">
        <v>28.46</v>
      </c>
      <c r="SB27" s="2">
        <v>29.09</v>
      </c>
      <c r="SC27" s="2">
        <v>29.27</v>
      </c>
      <c r="SD27" s="2">
        <v>29.91</v>
      </c>
      <c r="SE27" s="2">
        <v>30.22</v>
      </c>
      <c r="SF27" s="2">
        <v>30.45</v>
      </c>
      <c r="SG27" s="2">
        <v>31.03</v>
      </c>
      <c r="SH27" s="2">
        <v>32.48</v>
      </c>
      <c r="SI27" s="2">
        <v>33.16</v>
      </c>
      <c r="SJ27" s="2">
        <v>33.29</v>
      </c>
      <c r="SK27" s="2">
        <v>34.51</v>
      </c>
      <c r="SL27" s="2">
        <v>33.88</v>
      </c>
      <c r="SM27" s="2">
        <v>35.55</v>
      </c>
      <c r="SN27" s="2">
        <v>37.27</v>
      </c>
      <c r="SO27" s="2">
        <v>38.4</v>
      </c>
      <c r="SP27" s="2">
        <v>38.71</v>
      </c>
      <c r="SQ27" s="2">
        <v>39.44</v>
      </c>
      <c r="SR27" s="2">
        <v>40.52</v>
      </c>
      <c r="SS27" s="2">
        <v>40.93</v>
      </c>
      <c r="ST27" s="2">
        <v>40.79</v>
      </c>
      <c r="SU27" s="2">
        <v>41.29</v>
      </c>
      <c r="SV27" s="2">
        <v>41.38</v>
      </c>
      <c r="SW27" s="2">
        <v>41.83</v>
      </c>
      <c r="SX27" s="2">
        <v>42.87</v>
      </c>
      <c r="SY27" s="2">
        <v>43.73</v>
      </c>
      <c r="SZ27" s="2">
        <v>44.77</v>
      </c>
      <c r="TA27" s="2">
        <v>45.99</v>
      </c>
      <c r="TB27" s="2">
        <v>46.26</v>
      </c>
      <c r="TC27" s="2">
        <v>47.03</v>
      </c>
      <c r="TD27" s="2">
        <v>50.28</v>
      </c>
      <c r="TE27" s="2">
        <v>47.79</v>
      </c>
      <c r="TF27" s="2">
        <v>47.43</v>
      </c>
      <c r="TG27" s="2">
        <v>48.29</v>
      </c>
      <c r="TH27" s="2">
        <v>49.1</v>
      </c>
      <c r="TI27" s="2">
        <v>49.06</v>
      </c>
      <c r="TJ27" s="2">
        <v>48.83</v>
      </c>
      <c r="TK27" s="2">
        <v>49.74</v>
      </c>
      <c r="TL27" s="2">
        <v>49.74</v>
      </c>
      <c r="TM27" s="2">
        <v>49.83</v>
      </c>
      <c r="TN27" s="2">
        <v>50.19</v>
      </c>
      <c r="TO27" s="2">
        <v>50.64</v>
      </c>
      <c r="TP27" s="2">
        <v>50.82</v>
      </c>
      <c r="TQ27" s="2">
        <v>50.6</v>
      </c>
      <c r="TR27" s="2">
        <v>51.59</v>
      </c>
      <c r="TS27" s="2">
        <v>52.36</v>
      </c>
      <c r="TT27" s="2">
        <v>52.22</v>
      </c>
      <c r="TU27" s="2">
        <v>52.45</v>
      </c>
      <c r="TV27" s="2">
        <v>53.17</v>
      </c>
      <c r="TW27" s="2">
        <v>54.62</v>
      </c>
      <c r="TX27" s="2">
        <v>54.71</v>
      </c>
      <c r="TY27" s="2">
        <v>54.8</v>
      </c>
      <c r="TZ27" s="2">
        <v>55.47</v>
      </c>
      <c r="UA27" s="2">
        <v>55.07</v>
      </c>
      <c r="UB27" s="2">
        <v>55.61</v>
      </c>
      <c r="UC27" s="2">
        <v>55.88</v>
      </c>
      <c r="UD27" s="2">
        <v>55.2</v>
      </c>
      <c r="UE27" s="2">
        <v>55.38</v>
      </c>
      <c r="UF27" s="2">
        <v>55.2</v>
      </c>
      <c r="UG27" s="2">
        <v>54.62</v>
      </c>
      <c r="UH27" s="2">
        <v>54.62</v>
      </c>
      <c r="UI27" s="2">
        <v>54.29</v>
      </c>
      <c r="UJ27" s="2">
        <v>54.13</v>
      </c>
      <c r="UK27" s="2">
        <v>53.76</v>
      </c>
      <c r="UL27" s="2">
        <v>54.54</v>
      </c>
      <c r="UM27" s="2">
        <v>56.37</v>
      </c>
      <c r="UN27" s="2">
        <v>56.04</v>
      </c>
      <c r="UO27" s="2">
        <v>57.77</v>
      </c>
      <c r="UP27" s="2">
        <v>58.73</v>
      </c>
      <c r="UQ27" s="2">
        <v>60.1</v>
      </c>
      <c r="UR27" s="2">
        <v>60.43</v>
      </c>
      <c r="US27" s="2">
        <v>60.52</v>
      </c>
      <c r="UT27" s="2">
        <v>61.8</v>
      </c>
      <c r="UU27" s="2">
        <v>60.56</v>
      </c>
      <c r="UV27" s="2">
        <v>60.16</v>
      </c>
      <c r="UW27" s="2">
        <v>60.44</v>
      </c>
      <c r="UX27" s="2">
        <v>61.63</v>
      </c>
      <c r="UY27" s="2">
        <v>61.38</v>
      </c>
      <c r="UZ27" s="2">
        <v>62.08</v>
      </c>
      <c r="VA27" s="2">
        <v>63.64</v>
      </c>
      <c r="VB27" s="2">
        <v>61.61</v>
      </c>
      <c r="VC27" s="2">
        <v>62.37</v>
      </c>
      <c r="VD27" s="2">
        <v>62.09</v>
      </c>
      <c r="VE27" s="2">
        <v>62.47</v>
      </c>
      <c r="VF27" s="2">
        <v>63.61</v>
      </c>
      <c r="VG27" s="2">
        <v>64.14</v>
      </c>
      <c r="VH27" s="2">
        <v>65.05</v>
      </c>
      <c r="VI27" s="2">
        <v>64.36</v>
      </c>
      <c r="VJ27" s="2">
        <v>65.77</v>
      </c>
      <c r="VK27" s="2">
        <v>68.02</v>
      </c>
      <c r="VL27" s="2">
        <v>67.64</v>
      </c>
      <c r="VM27" s="2">
        <v>68.53</v>
      </c>
      <c r="VN27" s="2">
        <v>70.98</v>
      </c>
      <c r="VO27" s="2">
        <v>71.15000000000001</v>
      </c>
      <c r="VP27" s="2">
        <v>68.31</v>
      </c>
      <c r="VQ27" s="2">
        <v>68.76000000000001</v>
      </c>
      <c r="VR27" s="2">
        <v>70.97</v>
      </c>
      <c r="VS27" s="2">
        <v>70.39</v>
      </c>
      <c r="VT27" s="2">
        <v>72.12</v>
      </c>
      <c r="VU27" s="2">
        <v>73.54000000000001</v>
      </c>
      <c r="VV27" s="2">
        <v>75.94</v>
      </c>
      <c r="VW27" s="2">
        <v>76.7</v>
      </c>
      <c r="VX27" s="2">
        <v>71.06</v>
      </c>
      <c r="VY27" s="2">
        <v>69.73</v>
      </c>
      <c r="VZ27" s="2">
        <v>70.93000000000001</v>
      </c>
      <c r="WA27" s="2">
        <v>72.37</v>
      </c>
      <c r="WB27" s="2">
        <v>71.73999999999999</v>
      </c>
      <c r="WC27" s="2">
        <v>72.59</v>
      </c>
      <c r="WD27" s="2">
        <v>73.22</v>
      </c>
      <c r="WE27" s="2">
        <v>72.70999999999999</v>
      </c>
      <c r="WF27" s="2">
        <v>72.92</v>
      </c>
      <c r="WG27" s="2">
        <v>74.92</v>
      </c>
      <c r="WH27" s="2">
        <v>75.83</v>
      </c>
      <c r="WI27" s="2">
        <v>75.90000000000001</v>
      </c>
      <c r="WJ27" s="2">
        <v>75.91</v>
      </c>
      <c r="WK27" s="2">
        <v>76.55</v>
      </c>
      <c r="WL27" s="2">
        <v>77.33</v>
      </c>
      <c r="WM27" s="2">
        <v>76.63</v>
      </c>
      <c r="WN27" s="2">
        <v>77.22</v>
      </c>
      <c r="WO27" s="2">
        <v>77.45</v>
      </c>
      <c r="WP27" s="2">
        <v>76.73</v>
      </c>
      <c r="WQ27" s="2">
        <v>78.68000000000001</v>
      </c>
      <c r="WR27" s="2">
        <v>78.56</v>
      </c>
      <c r="WS27" s="2">
        <v>79.37</v>
      </c>
      <c r="WT27" s="2">
        <v>78.76000000000001</v>
      </c>
      <c r="WU27" s="2">
        <v>78.65000000000001</v>
      </c>
      <c r="WV27" s="2">
        <v>76.87</v>
      </c>
      <c r="WW27" s="2">
        <v>74.3</v>
      </c>
      <c r="WX27" s="2">
        <v>76.93000000000001</v>
      </c>
      <c r="WY27" s="2">
        <v>77.02</v>
      </c>
      <c r="WZ27" s="2">
        <v>75.93000000000001</v>
      </c>
      <c r="XA27" s="2">
        <v>73.83</v>
      </c>
      <c r="XB27" s="2">
        <v>74.7</v>
      </c>
      <c r="XC27" s="2">
        <v>74.22</v>
      </c>
      <c r="XD27" s="2">
        <v>75.51000000000001</v>
      </c>
      <c r="XE27" s="2">
        <v>76.8</v>
      </c>
      <c r="XF27" s="2">
        <v>76.31999999999999</v>
      </c>
      <c r="XG27" s="2">
        <v>76.2</v>
      </c>
      <c r="XH27" s="2">
        <v>78.2</v>
      </c>
      <c r="XI27" s="2">
        <v>79.04000000000001</v>
      </c>
      <c r="XJ27" s="2">
        <v>80.38</v>
      </c>
      <c r="XK27" s="2">
        <v>80.97</v>
      </c>
      <c r="XL27" s="2">
        <v>80.45999999999999</v>
      </c>
      <c r="XM27" s="2">
        <v>78.86</v>
      </c>
      <c r="XN27" s="2">
        <v>81.76000000000001</v>
      </c>
      <c r="XO27" s="2">
        <v>81.48</v>
      </c>
      <c r="XP27" s="2">
        <v>82.75</v>
      </c>
      <c r="XQ27" s="2">
        <v>81.04000000000001</v>
      </c>
      <c r="XR27" s="2">
        <v>75.3</v>
      </c>
      <c r="XS27" s="2">
        <v>78.19</v>
      </c>
      <c r="XT27" s="2">
        <v>78.75</v>
      </c>
      <c r="XU27" s="2">
        <v>81.38</v>
      </c>
      <c r="XV27" s="2">
        <v>83.81999999999999</v>
      </c>
      <c r="XW27" s="2">
        <v>86.54000000000001</v>
      </c>
      <c r="XX27" s="2">
        <v>89.11</v>
      </c>
      <c r="XY27" s="2">
        <v>92.97</v>
      </c>
      <c r="XZ27" s="2">
        <v>95.3</v>
      </c>
      <c r="YA27" s="2">
        <v>94.68000000000001</v>
      </c>
      <c r="YB27" s="2">
        <v>96.37</v>
      </c>
      <c r="YC27" s="2">
        <v>96.98</v>
      </c>
      <c r="YD27" s="2">
        <v>96.87</v>
      </c>
      <c r="YE27" s="2">
        <v>100</v>
      </c>
      <c r="YF27" s="2">
        <v>99.84</v>
      </c>
      <c r="YG27" s="2">
        <v>100.39</v>
      </c>
      <c r="YH27" s="2">
        <v>101.27</v>
      </c>
      <c r="YI27" s="2">
        <v>99.06</v>
      </c>
      <c r="YJ27" s="2">
        <v>98.48</v>
      </c>
      <c r="YK27" s="2">
        <v>99.43000000000001</v>
      </c>
      <c r="YL27" s="2">
        <v>98.68000000000001</v>
      </c>
      <c r="YM27" s="2">
        <v>99.83</v>
      </c>
      <c r="YN27" s="2">
        <v>100.57</v>
      </c>
      <c r="YO27" s="2">
        <v>102.76</v>
      </c>
      <c r="YP27" s="2">
        <v>102.48</v>
      </c>
      <c r="ACI27" s="2">
        <v>0</v>
      </c>
      <c r="ACJ27" s="2">
        <v>0.5</v>
      </c>
      <c r="ACK27" s="2">
        <v>0.6</v>
      </c>
      <c r="ACL27" s="2">
        <v>2.6</v>
      </c>
      <c r="ACM27" s="2">
        <v>3.9</v>
      </c>
      <c r="ACN27" s="2">
        <v>2.3</v>
      </c>
      <c r="ACO27" s="2">
        <v>2.8</v>
      </c>
      <c r="ACP27" s="2">
        <v>8.199999999999999</v>
      </c>
      <c r="ACQ27" s="2">
        <v>4.5</v>
      </c>
      <c r="ACR27" s="2">
        <v>4.9</v>
      </c>
      <c r="ACS27" s="2">
        <v>3.4</v>
      </c>
      <c r="ACT27" s="2">
        <v>4.8</v>
      </c>
      <c r="ACU27" s="2">
        <v>6</v>
      </c>
      <c r="ACV27" s="2">
        <v>2.6</v>
      </c>
      <c r="ACW27" s="2">
        <v>1.3</v>
      </c>
      <c r="ACX27" s="2">
        <v>2.5</v>
      </c>
      <c r="ACY27" s="2">
        <v>1.6</v>
      </c>
      <c r="ACZ27" s="2">
        <v>3.3</v>
      </c>
      <c r="ADA27" s="2">
        <v>1.8</v>
      </c>
      <c r="ADB27" s="2">
        <v>1.8</v>
      </c>
      <c r="ADC27" s="2">
        <v>3.1</v>
      </c>
      <c r="ADD27" s="2">
        <v>1.1</v>
      </c>
      <c r="ADE27" s="2">
        <v>1.4</v>
      </c>
      <c r="ADF27" s="2">
        <v>2.2</v>
      </c>
      <c r="ADG27" s="2">
        <v>3.7</v>
      </c>
      <c r="ADH27" s="2">
        <v>2</v>
      </c>
      <c r="ADI27" s="2">
        <v>3.6</v>
      </c>
      <c r="ADJ27" s="2">
        <v>3.6</v>
      </c>
      <c r="ADK27" s="2">
        <v>3.5</v>
      </c>
      <c r="ADL27" s="2">
        <v>0</v>
      </c>
      <c r="ADM27" s="2">
        <v>5.4</v>
      </c>
      <c r="ADN27" s="2">
        <v>-0.4</v>
      </c>
      <c r="ADO27" s="2">
        <v>1.3</v>
      </c>
      <c r="ADP27" s="2">
        <v>3.8</v>
      </c>
      <c r="ADQ27" s="2">
        <v>4.3</v>
      </c>
      <c r="ADR27" s="2">
        <v>-0.6</v>
      </c>
      <c r="ADS27" s="2">
        <v>4.1</v>
      </c>
      <c r="ADT27" s="2">
        <v>1.1</v>
      </c>
      <c r="ADU27" s="2">
        <v>3.4</v>
      </c>
      <c r="ADV27" s="2">
        <v>5.6</v>
      </c>
      <c r="ADW27" s="2">
        <v>1</v>
      </c>
      <c r="ADX27" s="2">
        <v>3.2</v>
      </c>
      <c r="ADY27" s="2">
        <v>0</v>
      </c>
      <c r="ADZ27" s="2">
        <v>3.6</v>
      </c>
      <c r="AEA27" s="2">
        <v>2.2</v>
      </c>
      <c r="AEB27" s="2">
        <v>0.6</v>
      </c>
      <c r="AEC27" s="2">
        <v>2.2</v>
      </c>
      <c r="AED27" s="2">
        <v>1</v>
      </c>
      <c r="AEE27" s="2">
        <v>0.8</v>
      </c>
      <c r="AEF27" s="2">
        <v>1.9</v>
      </c>
      <c r="AEG27" s="2">
        <v>4.7</v>
      </c>
      <c r="AEH27" s="2">
        <v>2.1</v>
      </c>
      <c r="AEI27" s="2">
        <v>0.4</v>
      </c>
      <c r="AEJ27" s="2">
        <v>3.7</v>
      </c>
      <c r="AEK27" s="2">
        <v>-1.8</v>
      </c>
      <c r="AEL27" s="2">
        <v>4.9</v>
      </c>
      <c r="AEM27" s="2">
        <v>4.8</v>
      </c>
      <c r="AEN27" s="2">
        <v>3</v>
      </c>
      <c r="AEO27" s="2">
        <v>0.8</v>
      </c>
      <c r="AEP27" s="2">
        <v>1.9</v>
      </c>
      <c r="AEQ27" s="2">
        <v>2.7</v>
      </c>
      <c r="AER27" s="2">
        <v>1</v>
      </c>
      <c r="AES27" s="2">
        <v>-0.3</v>
      </c>
      <c r="AET27" s="2">
        <v>1.2</v>
      </c>
      <c r="AEU27" s="2">
        <v>0.2</v>
      </c>
      <c r="AEV27" s="2">
        <v>1.1</v>
      </c>
      <c r="AEW27" s="2">
        <v>2.5</v>
      </c>
      <c r="AEX27" s="2">
        <v>2</v>
      </c>
      <c r="AEY27" s="2">
        <v>2.4</v>
      </c>
      <c r="AEZ27" s="2">
        <v>2.7</v>
      </c>
      <c r="AFA27" s="2">
        <v>0.6</v>
      </c>
      <c r="AFB27" s="2">
        <v>1.7</v>
      </c>
      <c r="AFC27" s="2">
        <v>6.9</v>
      </c>
      <c r="AFD27" s="2">
        <v>-5</v>
      </c>
      <c r="AFE27" s="2">
        <v>-0.8</v>
      </c>
      <c r="AFF27" s="2">
        <v>1.8</v>
      </c>
      <c r="AFG27" s="2">
        <v>1.7</v>
      </c>
      <c r="AFH27" s="2">
        <v>-0.1</v>
      </c>
      <c r="AFI27" s="2">
        <v>-0.5</v>
      </c>
      <c r="AFJ27" s="2">
        <v>1.9</v>
      </c>
      <c r="AFK27" s="2">
        <v>0</v>
      </c>
      <c r="AFL27" s="2">
        <v>0.2</v>
      </c>
      <c r="AFM27" s="2">
        <v>0.7</v>
      </c>
      <c r="AFN27" s="2">
        <v>0.9</v>
      </c>
      <c r="AFO27" s="2">
        <v>0.4</v>
      </c>
      <c r="AFP27" s="2">
        <v>-0.4</v>
      </c>
      <c r="AFQ27" s="2">
        <v>2</v>
      </c>
      <c r="AFR27" s="2">
        <v>1.5</v>
      </c>
      <c r="AFS27" s="2">
        <v>-0.3</v>
      </c>
      <c r="AFT27" s="2">
        <v>0.4</v>
      </c>
      <c r="AFU27" s="2">
        <v>1.4</v>
      </c>
      <c r="AFV27" s="2">
        <v>2.7</v>
      </c>
      <c r="AFW27" s="2">
        <v>0.2</v>
      </c>
      <c r="AFX27" s="2">
        <v>0.2</v>
      </c>
      <c r="AFY27" s="2">
        <v>1.2</v>
      </c>
      <c r="AFZ27" s="2">
        <v>-0.7</v>
      </c>
      <c r="AGA27" s="2">
        <v>1</v>
      </c>
      <c r="AGB27" s="2">
        <v>0.5</v>
      </c>
      <c r="AGC27" s="2">
        <v>-1.2</v>
      </c>
      <c r="AGD27" s="2">
        <v>0.3</v>
      </c>
      <c r="AGE27" s="2">
        <v>-0.3</v>
      </c>
      <c r="AGF27" s="2">
        <v>-1.1</v>
      </c>
      <c r="AGG27" s="2">
        <v>0</v>
      </c>
      <c r="AGH27" s="2">
        <v>-0.6</v>
      </c>
      <c r="AGI27" s="2">
        <v>-0.3</v>
      </c>
      <c r="AGJ27" s="2">
        <v>-0.7</v>
      </c>
      <c r="AGK27" s="2">
        <v>1.5</v>
      </c>
      <c r="AGL27" s="2">
        <v>3.4</v>
      </c>
      <c r="AGM27" s="2">
        <v>-0.6</v>
      </c>
      <c r="AGN27" s="2">
        <v>3.1</v>
      </c>
      <c r="AGO27" s="2">
        <v>1.7</v>
      </c>
      <c r="AGP27" s="2">
        <v>2.3</v>
      </c>
      <c r="AGQ27" s="2">
        <v>0.5</v>
      </c>
      <c r="AGR27" s="2">
        <v>0.1</v>
      </c>
      <c r="AGS27" s="2">
        <v>2.1</v>
      </c>
      <c r="AGT27" s="2">
        <v>-2</v>
      </c>
      <c r="AGU27" s="2">
        <v>-0.7</v>
      </c>
      <c r="AGV27" s="2">
        <v>0.5</v>
      </c>
      <c r="AGW27" s="2">
        <v>2</v>
      </c>
      <c r="AGX27" s="2">
        <v>-0.4</v>
      </c>
      <c r="AGY27" s="2">
        <v>1.1</v>
      </c>
      <c r="AGZ27" s="2">
        <v>2.5</v>
      </c>
      <c r="AHA27" s="2">
        <v>-3.2</v>
      </c>
      <c r="AHB27" s="2">
        <v>1.2</v>
      </c>
      <c r="AHC27" s="2">
        <v>-0.4</v>
      </c>
      <c r="AHD27" s="2">
        <v>0.6</v>
      </c>
      <c r="AHE27" s="2">
        <v>1.8</v>
      </c>
      <c r="AHF27" s="2">
        <v>0.8</v>
      </c>
      <c r="AHG27" s="2">
        <v>1.4</v>
      </c>
      <c r="AHH27" s="2">
        <v>-1.1</v>
      </c>
      <c r="AHI27" s="2">
        <v>2.2</v>
      </c>
      <c r="AHJ27" s="2">
        <v>3.4</v>
      </c>
      <c r="AHK27" s="2">
        <v>-0.6</v>
      </c>
      <c r="AHL27" s="2">
        <v>1.3</v>
      </c>
      <c r="AHM27" s="2">
        <v>3.6</v>
      </c>
      <c r="AHN27" s="2">
        <v>0.2</v>
      </c>
      <c r="AHO27" s="2">
        <v>-4</v>
      </c>
      <c r="AHP27" s="2">
        <v>0.7</v>
      </c>
      <c r="AHQ27" s="2">
        <v>3.2</v>
      </c>
      <c r="AHR27" s="2">
        <v>-0.8</v>
      </c>
      <c r="AHS27" s="2">
        <v>2.5</v>
      </c>
      <c r="AHT27" s="2">
        <v>2</v>
      </c>
      <c r="AHU27" s="2">
        <v>3.3</v>
      </c>
      <c r="AHV27" s="2">
        <v>1</v>
      </c>
      <c r="AHW27" s="2">
        <v>-7.4</v>
      </c>
      <c r="AHX27" s="2">
        <v>-1.9</v>
      </c>
      <c r="AHY27" s="2">
        <v>1.7</v>
      </c>
      <c r="AHZ27" s="2">
        <v>2</v>
      </c>
      <c r="AIA27" s="2">
        <v>-0.9</v>
      </c>
      <c r="AIB27" s="2">
        <v>1.2</v>
      </c>
      <c r="AIC27" s="2">
        <v>0.9</v>
      </c>
      <c r="AID27" s="2">
        <v>-0.7</v>
      </c>
      <c r="AIE27" s="2">
        <v>0.3</v>
      </c>
      <c r="AIF27" s="2">
        <v>2.7</v>
      </c>
      <c r="AIG27" s="2">
        <v>1.2</v>
      </c>
      <c r="AIH27" s="2">
        <v>0.1</v>
      </c>
      <c r="AII27" s="2">
        <v>0</v>
      </c>
      <c r="AIJ27" s="2">
        <v>0.8</v>
      </c>
      <c r="AIK27" s="2">
        <v>1</v>
      </c>
      <c r="AIL27" s="2">
        <v>-0.9</v>
      </c>
      <c r="AIM27" s="2">
        <v>0.8</v>
      </c>
      <c r="AIN27" s="2">
        <v>0.3</v>
      </c>
      <c r="AIO27" s="2">
        <v>-0.9</v>
      </c>
      <c r="AIP27" s="2">
        <v>2.5</v>
      </c>
      <c r="AIQ27" s="2">
        <v>-0.2</v>
      </c>
      <c r="AIR27" s="2">
        <v>1</v>
      </c>
      <c r="AIS27" s="2">
        <v>-0.8</v>
      </c>
      <c r="AIT27" s="2">
        <v>-0.1</v>
      </c>
      <c r="AIU27" s="2">
        <v>-2.3</v>
      </c>
      <c r="AIV27" s="2">
        <v>-3.3</v>
      </c>
      <c r="AIW27" s="2">
        <v>3.5</v>
      </c>
      <c r="AIX27" s="2">
        <v>0.1</v>
      </c>
      <c r="AIY27" s="2">
        <v>-1.4</v>
      </c>
      <c r="AIZ27" s="2">
        <v>-2.8</v>
      </c>
      <c r="AJA27" s="2">
        <v>1.2</v>
      </c>
      <c r="AJB27" s="2">
        <v>-0.6</v>
      </c>
      <c r="AJC27" s="2">
        <v>1.7</v>
      </c>
      <c r="AJD27" s="2">
        <v>1.7</v>
      </c>
      <c r="AJE27" s="2">
        <v>-0.6</v>
      </c>
      <c r="AJF27" s="2">
        <v>-0.2</v>
      </c>
      <c r="AJG27" s="2">
        <v>2.6</v>
      </c>
      <c r="AJH27" s="2">
        <v>1.1</v>
      </c>
      <c r="AJI27" s="2">
        <v>1.7</v>
      </c>
      <c r="AJJ27" s="2">
        <v>0.7</v>
      </c>
      <c r="AJK27" s="2">
        <v>-0.6</v>
      </c>
      <c r="AJL27" s="2">
        <v>-2</v>
      </c>
      <c r="AJM27" s="2">
        <v>3.7</v>
      </c>
      <c r="AJN27" s="2">
        <v>-0.3</v>
      </c>
      <c r="AJO27" s="2">
        <v>1.6</v>
      </c>
      <c r="AJP27" s="2">
        <v>-2.1</v>
      </c>
      <c r="AJQ27" s="2">
        <v>-7.1</v>
      </c>
      <c r="AJR27" s="2">
        <v>3.8</v>
      </c>
      <c r="AJS27" s="2">
        <v>0.7</v>
      </c>
      <c r="AJT27" s="2">
        <v>3.3</v>
      </c>
      <c r="AJU27" s="2">
        <v>3</v>
      </c>
      <c r="AJV27" s="2">
        <v>3.2</v>
      </c>
      <c r="AJW27" s="2">
        <v>3</v>
      </c>
      <c r="AJX27" s="2">
        <v>4.3</v>
      </c>
      <c r="AJY27" s="2">
        <v>2.5</v>
      </c>
      <c r="AJZ27" s="2">
        <v>-0.7</v>
      </c>
      <c r="AKA27" s="2">
        <v>1.8</v>
      </c>
      <c r="AKB27" s="2">
        <v>0.6</v>
      </c>
      <c r="AKC27" s="2">
        <v>-0.1</v>
      </c>
      <c r="AKD27" s="2">
        <v>3.2</v>
      </c>
      <c r="AKE27" s="2">
        <v>-0.2</v>
      </c>
      <c r="AKF27" s="2">
        <v>0.6</v>
      </c>
      <c r="AKG27" s="2">
        <v>0.9</v>
      </c>
      <c r="AKH27" s="2">
        <v>-2.2</v>
      </c>
      <c r="AKI27" s="2">
        <v>-0.6</v>
      </c>
      <c r="AKJ27" s="2">
        <v>1</v>
      </c>
      <c r="AKK27" s="2">
        <v>-0.8</v>
      </c>
      <c r="AKL27" s="2">
        <v>1.2</v>
      </c>
      <c r="AKM27" s="2">
        <v>0.7</v>
      </c>
      <c r="AKN27" s="2">
        <v>2.2</v>
      </c>
      <c r="AKO27" s="2">
        <v>-0.3</v>
      </c>
      <c r="AKP27" s="2">
        <v>11.01</v>
      </c>
      <c r="AKQ27" s="2">
        <v>11.25</v>
      </c>
      <c r="AKR27" s="2">
        <v>11.22</v>
      </c>
    </row>
    <row r="28">
      <c r="A28" t="inlineStr">
        <is>
          <t>Urban transport fares</t>
        </is>
      </c>
      <c r="B28" t="inlineStr">
        <is>
          <t>Transport</t>
        </is>
      </c>
      <c r="C28">
        <v>2</v>
      </c>
      <c r="D28">
        <v>0.34</v>
      </c>
      <c r="E28" s="3">
        <f>D28/11.48*0.1149</f>
        <v>0.0034029616724738677</v>
      </c>
      <c r="F28" s="3">
        <f>E28-D28/100</f>
        <v>2.9616724738674993e-06</v>
      </c>
      <c r="G28" s="3">
        <f>D28/11.48</f>
        <v>0.029616724738675958</v>
      </c>
      <c r="CI28" s="2">
        <v>101.77</v>
      </c>
      <c r="CJ28" s="2">
        <v>101.8</v>
      </c>
      <c r="CK28" s="2">
        <v>101.44</v>
      </c>
      <c r="CL28" s="2">
        <v>102.91</v>
      </c>
      <c r="CM28" s="2">
        <v>97.51000000000001</v>
      </c>
      <c r="CN28" s="2">
        <v>96.58</v>
      </c>
      <c r="CO28" s="2">
        <v>96.34999999999999</v>
      </c>
      <c r="CP28" s="2">
        <v>96.27</v>
      </c>
      <c r="CQ28" s="2">
        <v>94.95999999999999</v>
      </c>
      <c r="CR28" s="2">
        <v>94.28</v>
      </c>
      <c r="CS28" s="2">
        <v>97.42</v>
      </c>
      <c r="CT28" s="2">
        <v>97.97</v>
      </c>
      <c r="CU28" s="2">
        <v>98.02</v>
      </c>
      <c r="CV28" s="2">
        <v>98.12</v>
      </c>
      <c r="CW28" s="2">
        <v>98.22</v>
      </c>
      <c r="CX28" s="2">
        <v>99.98999999999999</v>
      </c>
      <c r="CY28" s="2">
        <v>99.98999999999999</v>
      </c>
      <c r="CZ28" s="2">
        <v>100</v>
      </c>
      <c r="DA28" s="2">
        <v>99.89</v>
      </c>
      <c r="DB28" s="2">
        <v>99.39</v>
      </c>
      <c r="DC28" s="2">
        <v>94.34999999999999</v>
      </c>
      <c r="DD28" s="2">
        <v>92.54000000000001</v>
      </c>
      <c r="DE28" s="2">
        <v>96.54000000000001</v>
      </c>
      <c r="DF28" s="2">
        <v>96.87</v>
      </c>
      <c r="DG28" s="2">
        <v>77.64</v>
      </c>
      <c r="DH28" s="2">
        <v>77.56</v>
      </c>
      <c r="DI28" s="2">
        <v>87.37</v>
      </c>
      <c r="DJ28" s="2">
        <v>87.67</v>
      </c>
      <c r="GL28" s="2">
        <v>-3.7</v>
      </c>
      <c r="GM28" s="2">
        <v>-3.6</v>
      </c>
      <c r="GN28" s="2">
        <v>-3.2</v>
      </c>
      <c r="GO28" s="2">
        <v>-2.8</v>
      </c>
      <c r="GP28" s="2">
        <v>2.5</v>
      </c>
      <c r="GQ28" s="2">
        <v>3.5</v>
      </c>
      <c r="GR28" s="2">
        <v>3.7</v>
      </c>
      <c r="GS28" s="2">
        <v>3.2</v>
      </c>
      <c r="GT28" s="2">
        <v>-0.6</v>
      </c>
      <c r="GU28" s="2">
        <v>-1.8</v>
      </c>
      <c r="GV28" s="2">
        <v>-0.9</v>
      </c>
      <c r="GW28" s="2">
        <v>-1.1</v>
      </c>
      <c r="GX28" s="2">
        <v>-20.8</v>
      </c>
      <c r="GY28" s="2">
        <v>-21</v>
      </c>
      <c r="GZ28" s="2">
        <v>-11</v>
      </c>
      <c r="HA28" s="2">
        <v>-12.3</v>
      </c>
      <c r="KC28" s="2">
        <v>0</v>
      </c>
      <c r="KD28" s="2">
        <v>-0.4</v>
      </c>
      <c r="KE28" s="2">
        <v>1.4</v>
      </c>
      <c r="KF28" s="2">
        <v>-5.2</v>
      </c>
      <c r="KG28" s="2">
        <v>-1</v>
      </c>
      <c r="KH28" s="2">
        <v>-0.2</v>
      </c>
      <c r="KI28" s="2">
        <v>-0.1</v>
      </c>
      <c r="KJ28" s="2">
        <v>-1.4</v>
      </c>
      <c r="KK28" s="2">
        <v>-0.7</v>
      </c>
      <c r="KL28" s="2">
        <v>3.3</v>
      </c>
      <c r="KM28" s="2">
        <v>0.6</v>
      </c>
      <c r="KN28" s="2">
        <v>0.1</v>
      </c>
      <c r="KO28" s="2">
        <v>0.1</v>
      </c>
      <c r="KP28" s="2">
        <v>0.1</v>
      </c>
      <c r="KQ28" s="2">
        <v>1.8</v>
      </c>
      <c r="KR28" s="2">
        <v>0</v>
      </c>
      <c r="KS28" s="2">
        <v>0</v>
      </c>
      <c r="KT28" s="2">
        <v>-0.1</v>
      </c>
      <c r="KU28" s="2">
        <v>-0.5</v>
      </c>
      <c r="KV28" s="2">
        <v>-5.1</v>
      </c>
      <c r="KW28" s="2">
        <v>-1.9</v>
      </c>
      <c r="KX28" s="2">
        <v>4.3</v>
      </c>
      <c r="KY28" s="2">
        <v>0.3</v>
      </c>
      <c r="KZ28" s="2">
        <v>-19.9</v>
      </c>
      <c r="LA28" s="2">
        <v>-0.1</v>
      </c>
      <c r="LB28" s="2">
        <v>12.6</v>
      </c>
      <c r="LC28" s="2">
        <v>0.3</v>
      </c>
      <c r="LD28" s="2">
        <v>0.33</v>
      </c>
      <c r="LE28" s="2">
        <v>0.33</v>
      </c>
      <c r="LF28" s="2">
        <v>0.34</v>
      </c>
      <c r="LG28" s="2">
        <v>0.35</v>
      </c>
      <c r="LH28" s="2">
        <v>0.35</v>
      </c>
      <c r="LI28" s="2">
        <v>0.35</v>
      </c>
      <c r="LJ28" s="2">
        <v>0.35</v>
      </c>
      <c r="LK28" s="2">
        <v>0.35</v>
      </c>
      <c r="LL28" s="2">
        <v>0.35</v>
      </c>
      <c r="LM28" s="2">
        <v>0.35</v>
      </c>
      <c r="LN28" s="2">
        <v>0.35</v>
      </c>
      <c r="LO28" s="2">
        <v>0.35</v>
      </c>
      <c r="LP28" s="2">
        <v>0.33</v>
      </c>
      <c r="LQ28" s="2">
        <v>0.33</v>
      </c>
      <c r="LR28" s="2">
        <v>0.34</v>
      </c>
      <c r="LS28" s="2">
        <v>0.34</v>
      </c>
      <c r="LT28" s="2">
        <v>0.27</v>
      </c>
      <c r="LU28" s="2">
        <v>0.27</v>
      </c>
      <c r="LV28" s="2">
        <v>0.31</v>
      </c>
      <c r="LW28" s="2">
        <v>0.31</v>
      </c>
      <c r="LX28" s="2">
        <v>0</v>
      </c>
      <c r="LY28" s="2">
        <v>0.01</v>
      </c>
      <c r="LZ28" s="2">
        <v>0.01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-0.02</v>
      </c>
      <c r="MJ28" s="2">
        <v>0</v>
      </c>
      <c r="MK28" s="2">
        <v>0.01</v>
      </c>
      <c r="ML28" s="2">
        <v>0</v>
      </c>
      <c r="MM28" s="2">
        <v>-0.07000000000000001</v>
      </c>
      <c r="MN28" s="2">
        <v>0</v>
      </c>
      <c r="MO28" s="2">
        <v>0.04</v>
      </c>
      <c r="MP28" s="2">
        <v>0</v>
      </c>
      <c r="QI28" s="2">
        <v>6.46</v>
      </c>
      <c r="QJ28" s="2">
        <v>6.46</v>
      </c>
      <c r="QK28" s="2">
        <v>6.52</v>
      </c>
      <c r="QL28" s="2">
        <v>6.59</v>
      </c>
      <c r="QM28" s="2">
        <v>6.68</v>
      </c>
      <c r="QN28" s="2">
        <v>6.74</v>
      </c>
      <c r="QO28" s="2">
        <v>6.77</v>
      </c>
      <c r="QP28" s="2">
        <v>6.83</v>
      </c>
      <c r="QQ28" s="2">
        <v>7.11</v>
      </c>
      <c r="QR28" s="2">
        <v>7.61</v>
      </c>
      <c r="QS28" s="2">
        <v>7.76</v>
      </c>
      <c r="QT28" s="2">
        <v>7.76</v>
      </c>
      <c r="QU28" s="2">
        <v>8.380000000000001</v>
      </c>
      <c r="QV28" s="2">
        <v>8.470000000000001</v>
      </c>
      <c r="QW28" s="2">
        <v>9</v>
      </c>
      <c r="QX28" s="2">
        <v>9</v>
      </c>
      <c r="QY28" s="2">
        <v>8.69</v>
      </c>
      <c r="QZ28" s="2">
        <v>8.75</v>
      </c>
      <c r="RA28" s="2">
        <v>8.75</v>
      </c>
      <c r="RB28" s="2">
        <v>8.779999999999999</v>
      </c>
      <c r="RC28" s="2">
        <v>8.869999999999999</v>
      </c>
      <c r="RD28" s="2">
        <v>8.970000000000001</v>
      </c>
      <c r="RE28" s="2">
        <v>9.52</v>
      </c>
      <c r="RF28" s="2">
        <v>9.52</v>
      </c>
      <c r="RG28" s="2">
        <v>9.619999999999999</v>
      </c>
      <c r="RH28" s="2">
        <v>9.619999999999999</v>
      </c>
      <c r="RI28" s="2">
        <v>10.02</v>
      </c>
      <c r="RJ28" s="2">
        <v>10.02</v>
      </c>
      <c r="RK28" s="2">
        <v>10.48</v>
      </c>
      <c r="RL28" s="2">
        <v>11.16</v>
      </c>
      <c r="RM28" s="2">
        <v>11.6</v>
      </c>
      <c r="RN28" s="2">
        <v>11.66</v>
      </c>
      <c r="RO28" s="2">
        <v>12.59</v>
      </c>
      <c r="RP28" s="2">
        <v>13.39</v>
      </c>
      <c r="RQ28" s="2">
        <v>13.54</v>
      </c>
      <c r="RR28" s="2">
        <v>13.54</v>
      </c>
      <c r="RS28" s="2">
        <v>14.01</v>
      </c>
      <c r="RT28" s="2">
        <v>15.31</v>
      </c>
      <c r="RU28" s="2">
        <v>15.55</v>
      </c>
      <c r="RV28" s="2">
        <v>15.55</v>
      </c>
      <c r="RW28" s="2">
        <v>16.39</v>
      </c>
      <c r="RX28" s="2">
        <v>17.16</v>
      </c>
      <c r="RY28" s="2">
        <v>17.29</v>
      </c>
      <c r="RZ28" s="2">
        <v>17.29</v>
      </c>
      <c r="SA28" s="2">
        <v>17.78</v>
      </c>
      <c r="SB28" s="2">
        <v>19.36</v>
      </c>
      <c r="SC28" s="2">
        <v>19.57</v>
      </c>
      <c r="SD28" s="2">
        <v>19.57</v>
      </c>
      <c r="SE28" s="2">
        <v>20.04</v>
      </c>
      <c r="SF28" s="2">
        <v>20.5</v>
      </c>
      <c r="SG28" s="2">
        <v>20.59</v>
      </c>
      <c r="SH28" s="2">
        <v>20.66</v>
      </c>
      <c r="SI28" s="2">
        <v>21.21</v>
      </c>
      <c r="SJ28" s="2">
        <v>21.68</v>
      </c>
      <c r="SK28" s="2">
        <v>22.05</v>
      </c>
      <c r="SL28" s="2">
        <v>22.14</v>
      </c>
      <c r="SM28" s="2">
        <v>23.53</v>
      </c>
      <c r="SN28" s="2">
        <v>24</v>
      </c>
      <c r="SO28" s="2">
        <v>24.24</v>
      </c>
      <c r="SP28" s="2">
        <v>24.3</v>
      </c>
      <c r="SQ28" s="2">
        <v>25.36</v>
      </c>
      <c r="SR28" s="2">
        <v>25.7</v>
      </c>
      <c r="SS28" s="2">
        <v>26.13</v>
      </c>
      <c r="ST28" s="2">
        <v>26.28</v>
      </c>
      <c r="SU28" s="2">
        <v>28.17</v>
      </c>
      <c r="SV28" s="2">
        <v>28.57</v>
      </c>
      <c r="SW28" s="2">
        <v>28.63</v>
      </c>
      <c r="SX28" s="2">
        <v>28.73</v>
      </c>
      <c r="SY28" s="2">
        <v>30.33</v>
      </c>
      <c r="SZ28" s="2">
        <v>30.86</v>
      </c>
      <c r="TA28" s="2">
        <v>31.17</v>
      </c>
      <c r="TB28" s="2">
        <v>31.32</v>
      </c>
      <c r="TC28" s="2">
        <v>33.15</v>
      </c>
      <c r="TD28" s="2">
        <v>34.66</v>
      </c>
      <c r="TE28" s="2">
        <v>35.1</v>
      </c>
      <c r="TF28" s="2">
        <v>35.87</v>
      </c>
      <c r="TG28" s="2">
        <v>36.95</v>
      </c>
      <c r="TH28" s="2">
        <v>37.42</v>
      </c>
      <c r="TI28" s="2">
        <v>37.88</v>
      </c>
      <c r="TJ28" s="2">
        <v>37.91</v>
      </c>
      <c r="TK28" s="2">
        <v>38.75</v>
      </c>
      <c r="TL28" s="2">
        <v>38.81</v>
      </c>
      <c r="TM28" s="2">
        <v>39.98</v>
      </c>
      <c r="TN28" s="2">
        <v>40.11</v>
      </c>
      <c r="TO28" s="2">
        <v>40.85</v>
      </c>
      <c r="TP28" s="2">
        <v>40.91</v>
      </c>
      <c r="TQ28" s="2">
        <v>41.28</v>
      </c>
      <c r="TR28" s="2">
        <v>41.38</v>
      </c>
      <c r="TS28" s="2">
        <v>42.05</v>
      </c>
      <c r="TT28" s="2">
        <v>42.24</v>
      </c>
      <c r="TU28" s="2">
        <v>42.52</v>
      </c>
      <c r="TV28" s="2">
        <v>42.61</v>
      </c>
      <c r="TW28" s="2">
        <v>43.75</v>
      </c>
      <c r="TX28" s="2">
        <v>43.82</v>
      </c>
      <c r="TY28" s="2">
        <v>43.97</v>
      </c>
      <c r="TZ28" s="2">
        <v>44.25</v>
      </c>
      <c r="UA28" s="2">
        <v>45.7</v>
      </c>
      <c r="UB28" s="2">
        <v>46.07</v>
      </c>
      <c r="UC28" s="2">
        <v>46.75</v>
      </c>
      <c r="UD28" s="2">
        <v>47</v>
      </c>
      <c r="UE28" s="2">
        <v>47.47</v>
      </c>
      <c r="UF28" s="2">
        <v>47.53</v>
      </c>
      <c r="UG28" s="2">
        <v>47.62</v>
      </c>
      <c r="UH28" s="2">
        <v>47.71</v>
      </c>
      <c r="UI28" s="2">
        <v>48.23</v>
      </c>
      <c r="UJ28" s="2">
        <v>48.15</v>
      </c>
      <c r="UK28" s="2">
        <v>48.56</v>
      </c>
      <c r="UL28" s="2">
        <v>48.67</v>
      </c>
      <c r="UM28" s="2">
        <v>49.77</v>
      </c>
      <c r="UN28" s="2">
        <v>50.66</v>
      </c>
      <c r="UO28" s="2">
        <v>50.98</v>
      </c>
      <c r="UP28" s="2">
        <v>50.98</v>
      </c>
      <c r="UQ28" s="2">
        <v>55.13</v>
      </c>
      <c r="UR28" s="2">
        <v>55.64</v>
      </c>
      <c r="US28" s="2">
        <v>56.58</v>
      </c>
      <c r="UT28" s="2">
        <v>56.58</v>
      </c>
      <c r="UU28" s="2">
        <v>57.92</v>
      </c>
      <c r="UV28" s="2">
        <v>57.91</v>
      </c>
      <c r="UW28" s="2">
        <v>58.33</v>
      </c>
      <c r="UX28" s="2">
        <v>58.34</v>
      </c>
      <c r="UY28" s="2">
        <v>58.83</v>
      </c>
      <c r="UZ28" s="2">
        <v>58.84</v>
      </c>
      <c r="VA28" s="2">
        <v>59.2</v>
      </c>
      <c r="VB28" s="2">
        <v>59.5</v>
      </c>
      <c r="VC28" s="2">
        <v>61.19</v>
      </c>
      <c r="VD28" s="2">
        <v>61.35</v>
      </c>
      <c r="VE28" s="2">
        <v>62.49</v>
      </c>
      <c r="VF28" s="2">
        <v>62.5</v>
      </c>
      <c r="VG28" s="2">
        <v>62.4</v>
      </c>
      <c r="VH28" s="2">
        <v>62.78</v>
      </c>
      <c r="VI28" s="2">
        <v>63.52</v>
      </c>
      <c r="VJ28" s="2">
        <v>63.52</v>
      </c>
      <c r="VK28" s="2">
        <v>64.12</v>
      </c>
      <c r="VL28" s="2">
        <v>64.84999999999999</v>
      </c>
      <c r="VM28" s="2">
        <v>65.59</v>
      </c>
      <c r="VN28" s="2">
        <v>65.59</v>
      </c>
      <c r="VO28" s="2">
        <v>67.19</v>
      </c>
      <c r="VP28" s="2">
        <v>67.25</v>
      </c>
      <c r="VQ28" s="2">
        <v>67.54000000000001</v>
      </c>
      <c r="VR28" s="2">
        <v>68.03</v>
      </c>
      <c r="VS28" s="2">
        <v>69.16</v>
      </c>
      <c r="VT28" s="2">
        <v>70.19</v>
      </c>
      <c r="VU28" s="2">
        <v>71.15000000000001</v>
      </c>
      <c r="VV28" s="2">
        <v>71.34999999999999</v>
      </c>
      <c r="VW28" s="2">
        <v>72.20999999999999</v>
      </c>
      <c r="VX28" s="2">
        <v>72.54000000000001</v>
      </c>
      <c r="VY28" s="2">
        <v>74.95999999999999</v>
      </c>
      <c r="VZ28" s="2">
        <v>74.98</v>
      </c>
      <c r="WA28" s="2">
        <v>75.59999999999999</v>
      </c>
      <c r="WB28" s="2">
        <v>75.73999999999999</v>
      </c>
      <c r="WC28" s="2">
        <v>78.15000000000001</v>
      </c>
      <c r="WD28" s="2">
        <v>76.90000000000001</v>
      </c>
      <c r="WE28" s="2">
        <v>77.51000000000001</v>
      </c>
      <c r="WF28" s="2">
        <v>77.51000000000001</v>
      </c>
      <c r="WG28" s="2">
        <v>78.31</v>
      </c>
      <c r="WH28" s="2">
        <v>79.12</v>
      </c>
      <c r="WI28" s="2">
        <v>79.51000000000001</v>
      </c>
      <c r="WJ28" s="2">
        <v>79.54000000000001</v>
      </c>
      <c r="WK28" s="2">
        <v>83.18000000000001</v>
      </c>
      <c r="WL28" s="2">
        <v>83.22</v>
      </c>
      <c r="WM28" s="2">
        <v>84.09999999999999</v>
      </c>
      <c r="WN28" s="2">
        <v>84.16</v>
      </c>
      <c r="WO28" s="2">
        <v>86.89</v>
      </c>
      <c r="WP28" s="2">
        <v>86.90000000000001</v>
      </c>
      <c r="WQ28" s="2">
        <v>87.2</v>
      </c>
      <c r="WR28" s="2">
        <v>87.2</v>
      </c>
      <c r="WS28" s="2">
        <v>89.09</v>
      </c>
      <c r="WT28" s="2">
        <v>89.09</v>
      </c>
      <c r="WU28" s="2">
        <v>90.06</v>
      </c>
      <c r="WV28" s="2">
        <v>88.41</v>
      </c>
      <c r="WW28" s="2">
        <v>85.5</v>
      </c>
      <c r="WX28" s="2">
        <v>85.5</v>
      </c>
      <c r="WY28" s="2">
        <v>85.7</v>
      </c>
      <c r="WZ28" s="2">
        <v>85.40000000000001</v>
      </c>
      <c r="XA28" s="2">
        <v>85.63</v>
      </c>
      <c r="XB28" s="2">
        <v>85.63</v>
      </c>
      <c r="XC28" s="2">
        <v>85.81999999999999</v>
      </c>
      <c r="XD28" s="2">
        <v>87.42</v>
      </c>
      <c r="XE28" s="2">
        <v>86.63</v>
      </c>
      <c r="XF28" s="2">
        <v>86.78</v>
      </c>
      <c r="XG28" s="2">
        <v>87.86</v>
      </c>
      <c r="XH28" s="2">
        <v>87.86</v>
      </c>
      <c r="XI28" s="2">
        <v>89.41</v>
      </c>
      <c r="XJ28" s="2">
        <v>89.27</v>
      </c>
      <c r="XK28" s="2">
        <v>90.06999999999999</v>
      </c>
      <c r="XL28" s="2">
        <v>90.06999999999999</v>
      </c>
      <c r="XM28" s="2">
        <v>91.09</v>
      </c>
      <c r="XN28" s="2">
        <v>90.92</v>
      </c>
      <c r="XO28" s="2">
        <v>91.95999999999999</v>
      </c>
      <c r="XP28" s="2">
        <v>91.98999999999999</v>
      </c>
      <c r="XQ28" s="2">
        <v>92.52</v>
      </c>
      <c r="XR28" s="2">
        <v>90.66</v>
      </c>
      <c r="XS28" s="2">
        <v>87.43000000000001</v>
      </c>
      <c r="XT28" s="2">
        <v>91.37</v>
      </c>
      <c r="XU28" s="2">
        <v>91.55</v>
      </c>
      <c r="XV28" s="2">
        <v>91.67</v>
      </c>
      <c r="XW28" s="2">
        <v>92.23</v>
      </c>
      <c r="XX28" s="2">
        <v>92.27</v>
      </c>
      <c r="XY28" s="2">
        <v>92.66</v>
      </c>
      <c r="XZ28" s="2">
        <v>88.59999999999999</v>
      </c>
      <c r="YA28" s="2">
        <v>94.48999999999999</v>
      </c>
      <c r="YB28" s="2">
        <v>93.93000000000001</v>
      </c>
      <c r="YC28" s="2">
        <v>95.73</v>
      </c>
      <c r="YD28" s="2">
        <v>95.73999999999999</v>
      </c>
      <c r="YE28" s="2">
        <v>98.52</v>
      </c>
      <c r="YF28" s="2">
        <v>100.05</v>
      </c>
      <c r="YG28" s="2">
        <v>100.32</v>
      </c>
      <c r="YH28" s="2">
        <v>101.08</v>
      </c>
      <c r="YI28" s="2">
        <v>98.93000000000001</v>
      </c>
      <c r="YJ28" s="2">
        <v>95.79000000000001</v>
      </c>
      <c r="YK28" s="2">
        <v>96.48</v>
      </c>
      <c r="YL28" s="2">
        <v>98.13</v>
      </c>
      <c r="YM28" s="2">
        <v>99.98999999999999</v>
      </c>
      <c r="YN28" s="2">
        <v>97.88</v>
      </c>
      <c r="YO28" s="2">
        <v>95.31999999999999</v>
      </c>
      <c r="YP28" s="2">
        <v>80.86</v>
      </c>
      <c r="ACI28" s="2">
        <v>0</v>
      </c>
      <c r="ACJ28" s="2">
        <v>0.9</v>
      </c>
      <c r="ACK28" s="2">
        <v>1.1</v>
      </c>
      <c r="ACL28" s="2">
        <v>1.4</v>
      </c>
      <c r="ACM28" s="2">
        <v>0.9</v>
      </c>
      <c r="ACN28" s="2">
        <v>0.4</v>
      </c>
      <c r="ACO28" s="2">
        <v>0.9</v>
      </c>
      <c r="ACP28" s="2">
        <v>4.1</v>
      </c>
      <c r="ACQ28" s="2">
        <v>7</v>
      </c>
      <c r="ACR28" s="2">
        <v>2</v>
      </c>
      <c r="ACS28" s="2">
        <v>0</v>
      </c>
      <c r="ACT28" s="2">
        <v>8</v>
      </c>
      <c r="ACU28" s="2">
        <v>1.1</v>
      </c>
      <c r="ACV28" s="2">
        <v>6.3</v>
      </c>
      <c r="ACW28" s="2">
        <v>0</v>
      </c>
      <c r="ACX28" s="2">
        <v>-3.4</v>
      </c>
      <c r="ACY28" s="2">
        <v>0.7</v>
      </c>
      <c r="ACZ28" s="2">
        <v>0</v>
      </c>
      <c r="ADA28" s="2">
        <v>0.3</v>
      </c>
      <c r="ADB28" s="2">
        <v>1</v>
      </c>
      <c r="ADC28" s="2">
        <v>1.1</v>
      </c>
      <c r="ADD28" s="2">
        <v>6.1</v>
      </c>
      <c r="ADE28" s="2">
        <v>0</v>
      </c>
      <c r="ADF28" s="2">
        <v>1.1</v>
      </c>
      <c r="ADG28" s="2">
        <v>0</v>
      </c>
      <c r="ADH28" s="2">
        <v>4.2</v>
      </c>
      <c r="ADI28" s="2">
        <v>0</v>
      </c>
      <c r="ADJ28" s="2">
        <v>4.6</v>
      </c>
      <c r="ADK28" s="2">
        <v>6.5</v>
      </c>
      <c r="ADL28" s="2">
        <v>3.9</v>
      </c>
      <c r="ADM28" s="2">
        <v>0.5</v>
      </c>
      <c r="ADN28" s="2">
        <v>8</v>
      </c>
      <c r="ADO28" s="2">
        <v>6.4</v>
      </c>
      <c r="ADP28" s="2">
        <v>1.1</v>
      </c>
      <c r="ADQ28" s="2">
        <v>0</v>
      </c>
      <c r="ADR28" s="2">
        <v>3.5</v>
      </c>
      <c r="ADS28" s="2">
        <v>9.300000000000001</v>
      </c>
      <c r="ADT28" s="2">
        <v>1.6</v>
      </c>
      <c r="ADU28" s="2">
        <v>0</v>
      </c>
      <c r="ADV28" s="2">
        <v>5.4</v>
      </c>
      <c r="ADW28" s="2">
        <v>4.7</v>
      </c>
      <c r="ADX28" s="2">
        <v>0.8</v>
      </c>
      <c r="ADY28" s="2">
        <v>0</v>
      </c>
      <c r="ADZ28" s="2">
        <v>2.8</v>
      </c>
      <c r="AEA28" s="2">
        <v>8.9</v>
      </c>
      <c r="AEB28" s="2">
        <v>1.1</v>
      </c>
      <c r="AEC28" s="2">
        <v>0</v>
      </c>
      <c r="AED28" s="2">
        <v>2.4</v>
      </c>
      <c r="AEE28" s="2">
        <v>2.3</v>
      </c>
      <c r="AEF28" s="2">
        <v>0.4</v>
      </c>
      <c r="AEG28" s="2">
        <v>0.3</v>
      </c>
      <c r="AEH28" s="2">
        <v>2.7</v>
      </c>
      <c r="AEI28" s="2">
        <v>2.2</v>
      </c>
      <c r="AEJ28" s="2">
        <v>1.7</v>
      </c>
      <c r="AEK28" s="2">
        <v>0.4</v>
      </c>
      <c r="AEL28" s="2">
        <v>6.3</v>
      </c>
      <c r="AEM28" s="2">
        <v>2</v>
      </c>
      <c r="AEN28" s="2">
        <v>1</v>
      </c>
      <c r="AEO28" s="2">
        <v>0.2</v>
      </c>
      <c r="AEP28" s="2">
        <v>4.4</v>
      </c>
      <c r="AEQ28" s="2">
        <v>1.3</v>
      </c>
      <c r="AER28" s="2">
        <v>1.7</v>
      </c>
      <c r="AES28" s="2">
        <v>0.6</v>
      </c>
      <c r="AET28" s="2">
        <v>7.2</v>
      </c>
      <c r="AEU28" s="2">
        <v>1.4</v>
      </c>
      <c r="AEV28" s="2">
        <v>0.2</v>
      </c>
      <c r="AEW28" s="2">
        <v>0.3</v>
      </c>
      <c r="AEX28" s="2">
        <v>5.6</v>
      </c>
      <c r="AEY28" s="2">
        <v>1.7</v>
      </c>
      <c r="AEZ28" s="2">
        <v>1</v>
      </c>
      <c r="AFA28" s="2">
        <v>0.5</v>
      </c>
      <c r="AFB28" s="2">
        <v>5.8</v>
      </c>
      <c r="AFC28" s="2">
        <v>4.6</v>
      </c>
      <c r="AFD28" s="2">
        <v>1.3</v>
      </c>
      <c r="AFE28" s="2">
        <v>2.2</v>
      </c>
      <c r="AFF28" s="2">
        <v>3</v>
      </c>
      <c r="AFG28" s="2">
        <v>1.3</v>
      </c>
      <c r="AFH28" s="2">
        <v>1.2</v>
      </c>
      <c r="AFI28" s="2">
        <v>0.1</v>
      </c>
      <c r="AFJ28" s="2">
        <v>2.2</v>
      </c>
      <c r="AFK28" s="2">
        <v>0.2</v>
      </c>
      <c r="AFL28" s="2">
        <v>3</v>
      </c>
      <c r="AFM28" s="2">
        <v>0.3</v>
      </c>
      <c r="AFN28" s="2">
        <v>1.8</v>
      </c>
      <c r="AFO28" s="2">
        <v>0.1</v>
      </c>
      <c r="AFP28" s="2">
        <v>0.9</v>
      </c>
      <c r="AFQ28" s="2">
        <v>0.2</v>
      </c>
      <c r="AFR28" s="2">
        <v>1.6</v>
      </c>
      <c r="AFS28" s="2">
        <v>0.5</v>
      </c>
      <c r="AFT28" s="2">
        <v>0.7</v>
      </c>
      <c r="AFU28" s="2">
        <v>0.2</v>
      </c>
      <c r="AFV28" s="2">
        <v>2.7</v>
      </c>
      <c r="AFW28" s="2">
        <v>0.2</v>
      </c>
      <c r="AFX28" s="2">
        <v>0.3</v>
      </c>
      <c r="AFY28" s="2">
        <v>0.6</v>
      </c>
      <c r="AFZ28" s="2">
        <v>3.3</v>
      </c>
      <c r="AGA28" s="2">
        <v>0.8</v>
      </c>
      <c r="AGB28" s="2">
        <v>1.5</v>
      </c>
      <c r="AGC28" s="2">
        <v>0.5</v>
      </c>
      <c r="AGD28" s="2">
        <v>1</v>
      </c>
      <c r="AGE28" s="2">
        <v>0.1</v>
      </c>
      <c r="AGF28" s="2">
        <v>0.2</v>
      </c>
      <c r="AGG28" s="2">
        <v>0.2</v>
      </c>
      <c r="AGH28" s="2">
        <v>1.1</v>
      </c>
      <c r="AGI28" s="2">
        <v>-0.2</v>
      </c>
      <c r="AGJ28" s="2">
        <v>0.9</v>
      </c>
      <c r="AGK28" s="2">
        <v>0.2</v>
      </c>
      <c r="AGL28" s="2">
        <v>2.3</v>
      </c>
      <c r="AGM28" s="2">
        <v>1.8</v>
      </c>
      <c r="AGN28" s="2">
        <v>0.6</v>
      </c>
      <c r="AGO28" s="2">
        <v>0</v>
      </c>
      <c r="AGP28" s="2">
        <v>8.1</v>
      </c>
      <c r="AGQ28" s="2">
        <v>0.9</v>
      </c>
      <c r="AGR28" s="2">
        <v>1.7</v>
      </c>
      <c r="AGS28" s="2">
        <v>0</v>
      </c>
      <c r="AGT28" s="2">
        <v>2.4</v>
      </c>
      <c r="AGU28" s="2">
        <v>0</v>
      </c>
      <c r="AGV28" s="2">
        <v>0.7</v>
      </c>
      <c r="AGW28" s="2">
        <v>0</v>
      </c>
      <c r="AGX28" s="2">
        <v>0.8</v>
      </c>
      <c r="AGY28" s="2">
        <v>0</v>
      </c>
      <c r="AGZ28" s="2">
        <v>0.6</v>
      </c>
      <c r="AHA28" s="2">
        <v>0.5</v>
      </c>
      <c r="AHB28" s="2">
        <v>2.8</v>
      </c>
      <c r="AHC28" s="2">
        <v>0.3</v>
      </c>
      <c r="AHD28" s="2">
        <v>1.9</v>
      </c>
      <c r="AHE28" s="2">
        <v>0</v>
      </c>
      <c r="AHF28" s="2">
        <v>-0.2</v>
      </c>
      <c r="AHG28" s="2">
        <v>0.6</v>
      </c>
      <c r="AHH28" s="2">
        <v>1.2</v>
      </c>
      <c r="AHI28" s="2">
        <v>0</v>
      </c>
      <c r="AHJ28" s="2">
        <v>0.9</v>
      </c>
      <c r="AHK28" s="2">
        <v>1.1</v>
      </c>
      <c r="AHL28" s="2">
        <v>1.1</v>
      </c>
      <c r="AHM28" s="2">
        <v>0</v>
      </c>
      <c r="AHN28" s="2">
        <v>2.4</v>
      </c>
      <c r="AHO28" s="2">
        <v>0.1</v>
      </c>
      <c r="AHP28" s="2">
        <v>0.4</v>
      </c>
      <c r="AHQ28" s="2">
        <v>0.7</v>
      </c>
      <c r="AHR28" s="2">
        <v>1.7</v>
      </c>
      <c r="AHS28" s="2">
        <v>1.5</v>
      </c>
      <c r="AHT28" s="2">
        <v>1.4</v>
      </c>
      <c r="AHU28" s="2">
        <v>0.3</v>
      </c>
      <c r="AHV28" s="2">
        <v>1.2</v>
      </c>
      <c r="AHW28" s="2">
        <v>0.5</v>
      </c>
      <c r="AHX28" s="2">
        <v>3.3</v>
      </c>
      <c r="AHY28" s="2">
        <v>0</v>
      </c>
      <c r="AHZ28" s="2">
        <v>0.8</v>
      </c>
      <c r="AIA28" s="2">
        <v>0.2</v>
      </c>
      <c r="AIB28" s="2">
        <v>3.2</v>
      </c>
      <c r="AIC28" s="2">
        <v>-1.6</v>
      </c>
      <c r="AID28" s="2">
        <v>0.8</v>
      </c>
      <c r="AIE28" s="2">
        <v>0</v>
      </c>
      <c r="AIF28" s="2">
        <v>1</v>
      </c>
      <c r="AIG28" s="2">
        <v>1</v>
      </c>
      <c r="AIH28" s="2">
        <v>0.5</v>
      </c>
      <c r="AII28" s="2">
        <v>0</v>
      </c>
      <c r="AIJ28" s="2">
        <v>4.6</v>
      </c>
      <c r="AIK28" s="2">
        <v>0</v>
      </c>
      <c r="AIL28" s="2">
        <v>1.1</v>
      </c>
      <c r="AIM28" s="2">
        <v>0.1</v>
      </c>
      <c r="AIN28" s="2">
        <v>3.2</v>
      </c>
      <c r="AIO28" s="2">
        <v>0</v>
      </c>
      <c r="AIP28" s="2">
        <v>0.3</v>
      </c>
      <c r="AIQ28" s="2">
        <v>0</v>
      </c>
      <c r="AIR28" s="2">
        <v>2.2</v>
      </c>
      <c r="AIS28" s="2">
        <v>0</v>
      </c>
      <c r="AIT28" s="2">
        <v>1.1</v>
      </c>
      <c r="AIU28" s="2">
        <v>-1.8</v>
      </c>
      <c r="AIV28" s="2">
        <v>-3.3</v>
      </c>
      <c r="AIW28" s="2">
        <v>0</v>
      </c>
      <c r="AIX28" s="2">
        <v>0.2</v>
      </c>
      <c r="AIY28" s="2">
        <v>-0.4</v>
      </c>
      <c r="AIZ28" s="2">
        <v>0.3</v>
      </c>
      <c r="AJA28" s="2">
        <v>0</v>
      </c>
      <c r="AJB28" s="2">
        <v>0.2</v>
      </c>
      <c r="AJC28" s="2">
        <v>1.9</v>
      </c>
      <c r="AJD28" s="2">
        <v>-0.9</v>
      </c>
      <c r="AJE28" s="2">
        <v>0.2</v>
      </c>
      <c r="AJF28" s="2">
        <v>1.2</v>
      </c>
      <c r="AJG28" s="2">
        <v>0</v>
      </c>
      <c r="AJH28" s="2">
        <v>1.8</v>
      </c>
      <c r="AJI28" s="2">
        <v>-0.2</v>
      </c>
      <c r="AJJ28" s="2">
        <v>0.9</v>
      </c>
      <c r="AJK28" s="2">
        <v>0</v>
      </c>
      <c r="AJL28" s="2">
        <v>1.1</v>
      </c>
      <c r="AJM28" s="2">
        <v>-0.2</v>
      </c>
      <c r="AJN28" s="2">
        <v>1.1</v>
      </c>
      <c r="AJO28" s="2">
        <v>0</v>
      </c>
      <c r="AJP28" s="2">
        <v>0.6</v>
      </c>
      <c r="AJQ28" s="2">
        <v>-2</v>
      </c>
      <c r="AJR28" s="2">
        <v>-3.6</v>
      </c>
      <c r="AJS28" s="2">
        <v>4.5</v>
      </c>
      <c r="AJT28" s="2">
        <v>0.2</v>
      </c>
      <c r="AJU28" s="2">
        <v>0.1</v>
      </c>
      <c r="AJV28" s="2">
        <v>0.6</v>
      </c>
      <c r="AJW28" s="2">
        <v>0</v>
      </c>
      <c r="AJX28" s="2">
        <v>0.4</v>
      </c>
      <c r="AJY28" s="2">
        <v>-4.4</v>
      </c>
      <c r="AJZ28" s="2">
        <v>6.6</v>
      </c>
      <c r="AKA28" s="2">
        <v>-0.6</v>
      </c>
      <c r="AKB28" s="2">
        <v>1.9</v>
      </c>
      <c r="AKC28" s="2">
        <v>0</v>
      </c>
      <c r="AKD28" s="2">
        <v>2.9</v>
      </c>
      <c r="AKE28" s="2">
        <v>1.6</v>
      </c>
      <c r="AKF28" s="2">
        <v>0.3</v>
      </c>
      <c r="AKG28" s="2">
        <v>0.8</v>
      </c>
      <c r="AKH28" s="2">
        <v>-2.1</v>
      </c>
      <c r="AKI28" s="2">
        <v>-3.2</v>
      </c>
      <c r="AKJ28" s="2">
        <v>0.7</v>
      </c>
      <c r="AKK28" s="2">
        <v>1.7</v>
      </c>
      <c r="AKL28" s="2">
        <v>1.9</v>
      </c>
      <c r="AKM28" s="2">
        <v>-2.1</v>
      </c>
      <c r="AKN28" s="2">
        <v>-2.6</v>
      </c>
      <c r="AKO28" s="2">
        <v>-15.2</v>
      </c>
      <c r="AKP28" s="2">
        <v>0.35</v>
      </c>
      <c r="AKQ28" s="2">
        <v>0.34</v>
      </c>
      <c r="AKR28" s="2">
        <v>0.29</v>
      </c>
    </row>
    <row r="29">
      <c r="A29" t="inlineStr">
        <is>
          <t>Communication</t>
        </is>
      </c>
      <c r="B29" t="inlineStr">
        <is>
          <t>Communication</t>
        </is>
      </c>
      <c r="C29">
        <v>2</v>
      </c>
      <c r="D29">
        <v>2.12</v>
      </c>
      <c r="E29" s="3">
        <f>D29/2.12*0.0212</f>
        <v>0.0212</v>
      </c>
      <c r="F29" s="3">
        <f>E29-D29/100</f>
        <v>0.0</v>
      </c>
      <c r="G29" s="3">
        <f>D29/2.12</f>
        <v>1.0</v>
      </c>
      <c r="CI29" s="2">
        <v>98.53</v>
      </c>
      <c r="CJ29" s="2">
        <v>97.89</v>
      </c>
      <c r="CK29" s="2">
        <v>97.25</v>
      </c>
      <c r="CL29" s="2">
        <v>98.89</v>
      </c>
      <c r="CM29" s="2">
        <v>98.38</v>
      </c>
      <c r="CN29" s="2">
        <v>98.42</v>
      </c>
      <c r="CO29" s="2">
        <v>99.05</v>
      </c>
      <c r="CP29" s="2">
        <v>98.94</v>
      </c>
      <c r="CQ29" s="2">
        <v>98.72</v>
      </c>
      <c r="CR29" s="2">
        <v>98.36</v>
      </c>
      <c r="CS29" s="2">
        <v>99.09</v>
      </c>
      <c r="CT29" s="2">
        <v>98.95</v>
      </c>
      <c r="CU29" s="2">
        <v>99.20999999999999</v>
      </c>
      <c r="CV29" s="2">
        <v>98.84999999999999</v>
      </c>
      <c r="CW29" s="2">
        <v>98.01000000000001</v>
      </c>
      <c r="CX29" s="2">
        <v>99.48999999999999</v>
      </c>
      <c r="CY29" s="2">
        <v>100.2</v>
      </c>
      <c r="CZ29" s="2">
        <v>100</v>
      </c>
      <c r="DA29" s="2">
        <v>99.8</v>
      </c>
      <c r="DB29" s="2">
        <v>100.24</v>
      </c>
      <c r="DC29" s="2">
        <v>99.8</v>
      </c>
      <c r="DD29" s="2">
        <v>99.70999999999999</v>
      </c>
      <c r="DE29" s="2">
        <v>99.89</v>
      </c>
      <c r="DF29" s="2">
        <v>100.35</v>
      </c>
      <c r="DG29" s="2">
        <v>100.74</v>
      </c>
      <c r="DH29" s="2">
        <v>100.9</v>
      </c>
      <c r="DI29" s="2">
        <v>100.21</v>
      </c>
      <c r="DJ29" s="2">
        <v>101.99</v>
      </c>
      <c r="GL29" s="2">
        <v>0.7</v>
      </c>
      <c r="GM29" s="2">
        <v>1</v>
      </c>
      <c r="GN29" s="2">
        <v>0.8</v>
      </c>
      <c r="GO29" s="2">
        <v>0.6</v>
      </c>
      <c r="GP29" s="2">
        <v>1.8</v>
      </c>
      <c r="GQ29" s="2">
        <v>1.6</v>
      </c>
      <c r="GR29" s="2">
        <v>0.8</v>
      </c>
      <c r="GS29" s="2">
        <v>1.3</v>
      </c>
      <c r="GT29" s="2">
        <v>1.1</v>
      </c>
      <c r="GU29" s="2">
        <v>1.4</v>
      </c>
      <c r="GV29" s="2">
        <v>0.8</v>
      </c>
      <c r="GW29" s="2">
        <v>1.4</v>
      </c>
      <c r="GX29" s="2">
        <v>1.5</v>
      </c>
      <c r="GY29" s="2">
        <v>2.1</v>
      </c>
      <c r="GZ29" s="2">
        <v>2.2</v>
      </c>
      <c r="HA29" s="2">
        <v>2.5</v>
      </c>
      <c r="KC29" s="2">
        <v>-0.6</v>
      </c>
      <c r="KD29" s="2">
        <v>-0.7</v>
      </c>
      <c r="KE29" s="2">
        <v>1.7</v>
      </c>
      <c r="KF29" s="2">
        <v>-0.5</v>
      </c>
      <c r="KG29" s="2">
        <v>0</v>
      </c>
      <c r="KH29" s="2">
        <v>0.6</v>
      </c>
      <c r="KI29" s="2">
        <v>-0.1</v>
      </c>
      <c r="KJ29" s="2">
        <v>-0.2</v>
      </c>
      <c r="KK29" s="2">
        <v>-0.4</v>
      </c>
      <c r="KL29" s="2">
        <v>0.7</v>
      </c>
      <c r="KM29" s="2">
        <v>-0.1</v>
      </c>
      <c r="KN29" s="2">
        <v>0.3</v>
      </c>
      <c r="KO29" s="2">
        <v>-0.4</v>
      </c>
      <c r="KP29" s="2">
        <v>-0.8</v>
      </c>
      <c r="KQ29" s="2">
        <v>1.5</v>
      </c>
      <c r="KR29" s="2">
        <v>0.7</v>
      </c>
      <c r="KS29" s="2">
        <v>-0.2</v>
      </c>
      <c r="KT29" s="2">
        <v>-0.2</v>
      </c>
      <c r="KU29" s="2">
        <v>0.4</v>
      </c>
      <c r="KV29" s="2">
        <v>-0.4</v>
      </c>
      <c r="KW29" s="2">
        <v>-0.1</v>
      </c>
      <c r="KX29" s="2">
        <v>0.2</v>
      </c>
      <c r="KY29" s="2">
        <v>0.5</v>
      </c>
      <c r="KZ29" s="2">
        <v>0.4</v>
      </c>
      <c r="LA29" s="2">
        <v>0.2</v>
      </c>
      <c r="LB29" s="2">
        <v>-0.7</v>
      </c>
      <c r="LC29" s="2">
        <v>1.8</v>
      </c>
      <c r="LD29" s="2">
        <v>2.06</v>
      </c>
      <c r="LE29" s="2">
        <v>2.05</v>
      </c>
      <c r="LF29" s="2">
        <v>2.07</v>
      </c>
      <c r="LG29" s="2">
        <v>2.07</v>
      </c>
      <c r="LH29" s="2">
        <v>2.07</v>
      </c>
      <c r="LI29" s="2">
        <v>2.06</v>
      </c>
      <c r="LJ29" s="2">
        <v>2.05</v>
      </c>
      <c r="LK29" s="2">
        <v>2.08</v>
      </c>
      <c r="LL29" s="2">
        <v>2.09</v>
      </c>
      <c r="LM29" s="2">
        <v>2.09</v>
      </c>
      <c r="LN29" s="2">
        <v>2.08</v>
      </c>
      <c r="LO29" s="2">
        <v>2.09</v>
      </c>
      <c r="LP29" s="2">
        <v>2.08</v>
      </c>
      <c r="LQ29" s="2">
        <v>2.08</v>
      </c>
      <c r="LR29" s="2">
        <v>2.09</v>
      </c>
      <c r="LS29" s="2">
        <v>2.1</v>
      </c>
      <c r="LT29" s="2">
        <v>2.1</v>
      </c>
      <c r="LU29" s="2">
        <v>2.11</v>
      </c>
      <c r="LV29" s="2">
        <v>2.09</v>
      </c>
      <c r="LW29" s="2">
        <v>2.13</v>
      </c>
      <c r="LX29" s="2">
        <v>-0.01</v>
      </c>
      <c r="LY29" s="2">
        <v>0.02</v>
      </c>
      <c r="LZ29" s="2">
        <v>0</v>
      </c>
      <c r="MA29" s="2">
        <v>0</v>
      </c>
      <c r="MB29" s="2">
        <v>-0.01</v>
      </c>
      <c r="MC29" s="2">
        <v>-0.01</v>
      </c>
      <c r="MD29" s="2">
        <v>0.03</v>
      </c>
      <c r="ME29" s="2">
        <v>0.01</v>
      </c>
      <c r="MF29" s="2">
        <v>0</v>
      </c>
      <c r="MG29" s="2">
        <v>-0.01</v>
      </c>
      <c r="MH29" s="2">
        <v>0.01</v>
      </c>
      <c r="MI29" s="2">
        <v>-0.01</v>
      </c>
      <c r="MJ29" s="2">
        <v>0</v>
      </c>
      <c r="MK29" s="2">
        <v>0.01</v>
      </c>
      <c r="ML29" s="2">
        <v>0.01</v>
      </c>
      <c r="MM29" s="2">
        <v>0</v>
      </c>
      <c r="MN29" s="2">
        <v>0.01</v>
      </c>
      <c r="MO29" s="2">
        <v>-0.02</v>
      </c>
      <c r="MP29" s="2">
        <v>0.04</v>
      </c>
      <c r="QI29" s="2">
        <v>37.26</v>
      </c>
      <c r="QJ29" s="2">
        <v>37.26</v>
      </c>
      <c r="QK29" s="2">
        <v>37.26</v>
      </c>
      <c r="QL29" s="2">
        <v>37.26</v>
      </c>
      <c r="QM29" s="2">
        <v>37.26</v>
      </c>
      <c r="QN29" s="2">
        <v>37.26</v>
      </c>
      <c r="QO29" s="2">
        <v>37.26</v>
      </c>
      <c r="QP29" s="2">
        <v>37.26</v>
      </c>
      <c r="QQ29" s="2">
        <v>37.26</v>
      </c>
      <c r="QR29" s="2">
        <v>45.4</v>
      </c>
      <c r="QS29" s="2">
        <v>45.4</v>
      </c>
      <c r="QT29" s="2">
        <v>45.4</v>
      </c>
      <c r="QU29" s="2">
        <v>45.4</v>
      </c>
      <c r="QV29" s="2">
        <v>63.97</v>
      </c>
      <c r="QW29" s="2">
        <v>63.97</v>
      </c>
      <c r="QX29" s="2">
        <v>64.19</v>
      </c>
      <c r="QY29" s="2">
        <v>64.19</v>
      </c>
      <c r="QZ29" s="2">
        <v>64.73999999999999</v>
      </c>
      <c r="RA29" s="2">
        <v>64.73999999999999</v>
      </c>
      <c r="RB29" s="2">
        <v>64.73999999999999</v>
      </c>
      <c r="RC29" s="2">
        <v>64.73999999999999</v>
      </c>
      <c r="RD29" s="2">
        <v>65.62</v>
      </c>
      <c r="RE29" s="2">
        <v>65.51000000000001</v>
      </c>
      <c r="RF29" s="2">
        <v>65.51000000000001</v>
      </c>
      <c r="RG29" s="2">
        <v>66.94</v>
      </c>
      <c r="RH29" s="2">
        <v>67.70999999999999</v>
      </c>
      <c r="RI29" s="2">
        <v>67.16</v>
      </c>
      <c r="RJ29" s="2">
        <v>67.16</v>
      </c>
      <c r="RK29" s="2">
        <v>67.16</v>
      </c>
      <c r="RL29" s="2">
        <v>68.26000000000001</v>
      </c>
      <c r="RM29" s="2">
        <v>68.48</v>
      </c>
      <c r="RN29" s="2">
        <v>69.58</v>
      </c>
      <c r="RO29" s="2">
        <v>69.58</v>
      </c>
      <c r="RP29" s="2">
        <v>69.47</v>
      </c>
      <c r="RQ29" s="2">
        <v>69.47</v>
      </c>
      <c r="RR29" s="2">
        <v>68.81</v>
      </c>
      <c r="RS29" s="2">
        <v>70.34999999999999</v>
      </c>
      <c r="RT29" s="2">
        <v>73.76000000000001</v>
      </c>
      <c r="RU29" s="2">
        <v>75.95999999999999</v>
      </c>
      <c r="RV29" s="2">
        <v>77.17</v>
      </c>
      <c r="RW29" s="2">
        <v>79.36</v>
      </c>
      <c r="RX29" s="2">
        <v>82.44</v>
      </c>
      <c r="RY29" s="2">
        <v>82.55</v>
      </c>
      <c r="RZ29" s="2">
        <v>82.44</v>
      </c>
      <c r="SA29" s="2">
        <v>82.44</v>
      </c>
      <c r="SB29" s="2">
        <v>90.47</v>
      </c>
      <c r="SC29" s="2">
        <v>90.58</v>
      </c>
      <c r="SD29" s="2">
        <v>90.58</v>
      </c>
      <c r="SE29" s="2">
        <v>90.58</v>
      </c>
      <c r="SF29" s="2">
        <v>90.58</v>
      </c>
      <c r="SG29" s="2">
        <v>93.31999999999999</v>
      </c>
      <c r="SH29" s="2">
        <v>95.41</v>
      </c>
      <c r="SI29" s="2">
        <v>95.41</v>
      </c>
      <c r="SJ29" s="2">
        <v>97.17</v>
      </c>
      <c r="SK29" s="2">
        <v>97.94</v>
      </c>
      <c r="SL29" s="2">
        <v>97.94</v>
      </c>
      <c r="SM29" s="2">
        <v>98.70999999999999</v>
      </c>
      <c r="SN29" s="2">
        <v>100.91</v>
      </c>
      <c r="SO29" s="2">
        <v>101.57</v>
      </c>
      <c r="SP29" s="2">
        <v>101.9</v>
      </c>
      <c r="SQ29" s="2">
        <v>107.61</v>
      </c>
      <c r="SR29" s="2">
        <v>109.59</v>
      </c>
      <c r="SS29" s="2">
        <v>108.93</v>
      </c>
      <c r="ST29" s="2">
        <v>108.93</v>
      </c>
      <c r="SU29" s="2">
        <v>110.03</v>
      </c>
      <c r="SV29" s="2">
        <v>112.78</v>
      </c>
      <c r="SW29" s="2">
        <v>111.46</v>
      </c>
      <c r="SX29" s="2">
        <v>109.04</v>
      </c>
      <c r="SY29" s="2">
        <v>109.04</v>
      </c>
      <c r="SZ29" s="2">
        <v>110.03</v>
      </c>
      <c r="TA29" s="2">
        <v>110.25</v>
      </c>
      <c r="TB29" s="2">
        <v>110.36</v>
      </c>
      <c r="TC29" s="2">
        <v>112.78</v>
      </c>
      <c r="TD29" s="2">
        <v>112.89</v>
      </c>
      <c r="TE29" s="2">
        <v>112.89</v>
      </c>
      <c r="TF29" s="2">
        <v>113</v>
      </c>
      <c r="TG29" s="2">
        <v>117.51</v>
      </c>
      <c r="TH29" s="2">
        <v>117.51</v>
      </c>
      <c r="TI29" s="2">
        <v>118.39</v>
      </c>
      <c r="TJ29" s="2">
        <v>117.62</v>
      </c>
      <c r="TK29" s="2">
        <v>117.4</v>
      </c>
      <c r="TL29" s="2">
        <v>117.84</v>
      </c>
      <c r="TM29" s="2">
        <v>117.84</v>
      </c>
      <c r="TN29" s="2">
        <v>116.96</v>
      </c>
      <c r="TO29" s="2">
        <v>116.3</v>
      </c>
      <c r="TP29" s="2">
        <v>116.08</v>
      </c>
      <c r="TQ29" s="2">
        <v>117.29</v>
      </c>
      <c r="TR29" s="2">
        <v>117.29</v>
      </c>
      <c r="TS29" s="2">
        <v>117.29</v>
      </c>
      <c r="TT29" s="2">
        <v>118.61</v>
      </c>
      <c r="TU29" s="2">
        <v>118.61</v>
      </c>
      <c r="TV29" s="2">
        <v>118.39</v>
      </c>
      <c r="TW29" s="2">
        <v>118.5</v>
      </c>
      <c r="TX29" s="2">
        <v>118.5</v>
      </c>
      <c r="TY29" s="2">
        <v>117.4</v>
      </c>
      <c r="TZ29" s="2">
        <v>117.29</v>
      </c>
      <c r="UA29" s="2">
        <v>117.29</v>
      </c>
      <c r="UB29" s="2">
        <v>116.85</v>
      </c>
      <c r="UC29" s="2">
        <v>116.96</v>
      </c>
      <c r="UD29" s="2">
        <v>116.96</v>
      </c>
      <c r="UE29" s="2">
        <v>117.07</v>
      </c>
      <c r="UF29" s="2">
        <v>117.4</v>
      </c>
      <c r="UG29" s="2">
        <v>117.4</v>
      </c>
      <c r="UH29" s="2">
        <v>116.63</v>
      </c>
      <c r="UI29" s="2">
        <v>115.59</v>
      </c>
      <c r="UJ29" s="2">
        <v>114.42</v>
      </c>
      <c r="UK29" s="2">
        <v>111.23</v>
      </c>
      <c r="UL29" s="2">
        <v>110.93</v>
      </c>
      <c r="UM29" s="2">
        <v>107.35</v>
      </c>
      <c r="UN29" s="2">
        <v>106.98</v>
      </c>
      <c r="UO29" s="2">
        <v>107.18</v>
      </c>
      <c r="UP29" s="2">
        <v>108.59</v>
      </c>
      <c r="UQ29" s="2">
        <v>116.12</v>
      </c>
      <c r="UR29" s="2">
        <v>115.34</v>
      </c>
      <c r="US29" s="2">
        <v>114.78</v>
      </c>
      <c r="UT29" s="2">
        <v>114.11</v>
      </c>
      <c r="UU29" s="2">
        <v>113.87</v>
      </c>
      <c r="UV29" s="2">
        <v>115.88</v>
      </c>
      <c r="UW29" s="2">
        <v>115.93</v>
      </c>
      <c r="UX29" s="2">
        <v>116.83</v>
      </c>
      <c r="UY29" s="2">
        <v>118.64</v>
      </c>
      <c r="UZ29" s="2">
        <v>119.2</v>
      </c>
      <c r="VA29" s="2">
        <v>119.55</v>
      </c>
      <c r="VB29" s="2">
        <v>119.73</v>
      </c>
      <c r="VC29" s="2">
        <v>120.62</v>
      </c>
      <c r="VD29" s="2">
        <v>120.85</v>
      </c>
      <c r="VE29" s="2">
        <v>120.89</v>
      </c>
      <c r="VF29" s="2">
        <v>121.4</v>
      </c>
      <c r="VG29" s="2">
        <v>121.93</v>
      </c>
      <c r="VH29" s="2">
        <v>122.23</v>
      </c>
      <c r="VI29" s="2">
        <v>122.67</v>
      </c>
      <c r="VJ29" s="2">
        <v>121.55</v>
      </c>
      <c r="VK29" s="2">
        <v>120.7</v>
      </c>
      <c r="VL29" s="2">
        <v>119.82</v>
      </c>
      <c r="VM29" s="2">
        <v>120.34</v>
      </c>
      <c r="VN29" s="2">
        <v>120.46</v>
      </c>
      <c r="VO29" s="2">
        <v>121.19</v>
      </c>
      <c r="VP29" s="2">
        <v>121.75</v>
      </c>
      <c r="VQ29" s="2">
        <v>121.98</v>
      </c>
      <c r="VR29" s="2">
        <v>122.18</v>
      </c>
      <c r="VS29" s="2">
        <v>122.19</v>
      </c>
      <c r="VT29" s="2">
        <v>122.21</v>
      </c>
      <c r="VU29" s="2">
        <v>122.14</v>
      </c>
      <c r="VV29" s="2">
        <v>122.22</v>
      </c>
      <c r="VW29" s="2">
        <v>122.5</v>
      </c>
      <c r="VX29" s="2">
        <v>122.94</v>
      </c>
      <c r="VY29" s="2">
        <v>123.38</v>
      </c>
      <c r="VZ29" s="2">
        <v>123.65</v>
      </c>
      <c r="WA29" s="2">
        <v>123.71</v>
      </c>
      <c r="WB29" s="2">
        <v>123.63</v>
      </c>
      <c r="WC29" s="2">
        <v>123.52</v>
      </c>
      <c r="WD29" s="2">
        <v>123.47</v>
      </c>
      <c r="WE29" s="2">
        <v>123.16</v>
      </c>
      <c r="WF29" s="2">
        <v>123.17</v>
      </c>
      <c r="WG29" s="2">
        <v>123.37</v>
      </c>
      <c r="WH29" s="2">
        <v>123.9</v>
      </c>
      <c r="WI29" s="2">
        <v>123.87</v>
      </c>
      <c r="WJ29" s="2">
        <v>125.17</v>
      </c>
      <c r="WK29" s="2">
        <v>125.28</v>
      </c>
      <c r="WL29" s="2">
        <v>124.94</v>
      </c>
      <c r="WM29" s="2">
        <v>125.56</v>
      </c>
      <c r="WN29" s="2">
        <v>127.14</v>
      </c>
      <c r="WO29" s="2">
        <v>127.14</v>
      </c>
      <c r="WP29" s="2">
        <v>127.68</v>
      </c>
      <c r="WQ29" s="2">
        <v>127.81</v>
      </c>
      <c r="WR29" s="2">
        <v>129.28</v>
      </c>
      <c r="WS29" s="2">
        <v>129.56</v>
      </c>
      <c r="WT29" s="2">
        <v>127.32</v>
      </c>
      <c r="WU29" s="2">
        <v>125.51</v>
      </c>
      <c r="WV29" s="2">
        <v>125.39</v>
      </c>
      <c r="WW29" s="2">
        <v>123.71</v>
      </c>
      <c r="WX29" s="2">
        <v>122.91</v>
      </c>
      <c r="WY29" s="2">
        <v>120.49</v>
      </c>
      <c r="WZ29" s="2">
        <v>117.6</v>
      </c>
      <c r="XA29" s="2">
        <v>115.79</v>
      </c>
      <c r="XB29" s="2">
        <v>114.11</v>
      </c>
      <c r="XC29" s="2">
        <v>111.43</v>
      </c>
      <c r="XD29" s="2">
        <v>110.65</v>
      </c>
      <c r="XE29" s="2">
        <v>110.25</v>
      </c>
      <c r="XF29" s="2">
        <v>109.75</v>
      </c>
      <c r="XG29" s="2">
        <v>108.18</v>
      </c>
      <c r="XH29" s="2">
        <v>106.8</v>
      </c>
      <c r="XI29" s="2">
        <v>106.44</v>
      </c>
      <c r="XJ29" s="2">
        <v>105.07</v>
      </c>
      <c r="XK29" s="2">
        <v>103.62</v>
      </c>
      <c r="XL29" s="2">
        <v>102.2</v>
      </c>
      <c r="XM29" s="2">
        <v>101.64</v>
      </c>
      <c r="XN29" s="2">
        <v>100.45</v>
      </c>
      <c r="XO29" s="2">
        <v>99.33</v>
      </c>
      <c r="XP29" s="2">
        <v>98.36</v>
      </c>
      <c r="XQ29" s="2">
        <v>98.13</v>
      </c>
      <c r="XR29" s="2">
        <v>96.86</v>
      </c>
      <c r="XS29" s="2">
        <v>96.12</v>
      </c>
      <c r="XT29" s="2">
        <v>95.79000000000001</v>
      </c>
      <c r="XU29" s="2">
        <v>96.20999999999999</v>
      </c>
      <c r="XV29" s="2">
        <v>95.67</v>
      </c>
      <c r="XW29" s="2">
        <v>95.11</v>
      </c>
      <c r="XX29" s="2">
        <v>95.26000000000001</v>
      </c>
      <c r="XY29" s="2">
        <v>95.53</v>
      </c>
      <c r="XZ29" s="2">
        <v>95.58</v>
      </c>
      <c r="YA29" s="2">
        <v>96.93000000000001</v>
      </c>
      <c r="YB29" s="2">
        <v>96.51000000000001</v>
      </c>
      <c r="YC29" s="2">
        <v>96.66</v>
      </c>
      <c r="YD29" s="2">
        <v>96.2</v>
      </c>
      <c r="YE29" s="2">
        <v>98.25</v>
      </c>
      <c r="YF29" s="2">
        <v>98.58</v>
      </c>
      <c r="YG29" s="2">
        <v>98.3</v>
      </c>
      <c r="YH29" s="2">
        <v>97.56999999999999</v>
      </c>
      <c r="YI29" s="2">
        <v>98.09999999999999</v>
      </c>
      <c r="YJ29" s="2">
        <v>98.61</v>
      </c>
      <c r="YK29" s="2">
        <v>98.31999999999999</v>
      </c>
      <c r="YL29" s="2">
        <v>98.53</v>
      </c>
      <c r="YM29" s="2">
        <v>99.90000000000001</v>
      </c>
      <c r="YN29" s="2">
        <v>99.95</v>
      </c>
      <c r="YO29" s="2">
        <v>99.98</v>
      </c>
      <c r="YP29" s="2">
        <v>100.62</v>
      </c>
      <c r="ACI29" s="2">
        <v>0</v>
      </c>
      <c r="ACJ29" s="2">
        <v>0</v>
      </c>
      <c r="ACK29" s="2">
        <v>0</v>
      </c>
      <c r="ACL29" s="2">
        <v>0</v>
      </c>
      <c r="ACM29" s="2">
        <v>0</v>
      </c>
      <c r="ACN29" s="2">
        <v>0</v>
      </c>
      <c r="ACO29" s="2">
        <v>0</v>
      </c>
      <c r="ACP29" s="2">
        <v>0</v>
      </c>
      <c r="ACQ29" s="2">
        <v>21.8</v>
      </c>
      <c r="ACR29" s="2">
        <v>0</v>
      </c>
      <c r="ACS29" s="2">
        <v>0</v>
      </c>
      <c r="ACT29" s="2">
        <v>0</v>
      </c>
      <c r="ACU29" s="2">
        <v>40.9</v>
      </c>
      <c r="ACV29" s="2">
        <v>0</v>
      </c>
      <c r="ACW29" s="2">
        <v>0.3</v>
      </c>
      <c r="ACX29" s="2">
        <v>0</v>
      </c>
      <c r="ACY29" s="2">
        <v>0.9</v>
      </c>
      <c r="ACZ29" s="2">
        <v>0</v>
      </c>
      <c r="ADA29" s="2">
        <v>0</v>
      </c>
      <c r="ADB29" s="2">
        <v>0</v>
      </c>
      <c r="ADC29" s="2">
        <v>1.4</v>
      </c>
      <c r="ADD29" s="2">
        <v>-0.2</v>
      </c>
      <c r="ADE29" s="2">
        <v>0</v>
      </c>
      <c r="ADF29" s="2">
        <v>2.2</v>
      </c>
      <c r="ADG29" s="2">
        <v>1.2</v>
      </c>
      <c r="ADH29" s="2">
        <v>-0.8</v>
      </c>
      <c r="ADI29" s="2">
        <v>0</v>
      </c>
      <c r="ADJ29" s="2">
        <v>0</v>
      </c>
      <c r="ADK29" s="2">
        <v>1.6</v>
      </c>
      <c r="ADL29" s="2">
        <v>0.3</v>
      </c>
      <c r="ADM29" s="2">
        <v>1.6</v>
      </c>
      <c r="ADN29" s="2">
        <v>0</v>
      </c>
      <c r="ADO29" s="2">
        <v>-0.2</v>
      </c>
      <c r="ADP29" s="2">
        <v>0</v>
      </c>
      <c r="ADQ29" s="2">
        <v>-1</v>
      </c>
      <c r="ADR29" s="2">
        <v>2.2</v>
      </c>
      <c r="ADS29" s="2">
        <v>4.8</v>
      </c>
      <c r="ADT29" s="2">
        <v>3</v>
      </c>
      <c r="ADU29" s="2">
        <v>1.6</v>
      </c>
      <c r="ADV29" s="2">
        <v>2.8</v>
      </c>
      <c r="ADW29" s="2">
        <v>3.9</v>
      </c>
      <c r="ADX29" s="2">
        <v>0.1</v>
      </c>
      <c r="ADY29" s="2">
        <v>-0.1</v>
      </c>
      <c r="ADZ29" s="2">
        <v>0</v>
      </c>
      <c r="AEA29" s="2">
        <v>9.699999999999999</v>
      </c>
      <c r="AEB29" s="2">
        <v>0.1</v>
      </c>
      <c r="AEC29" s="2">
        <v>0</v>
      </c>
      <c r="AED29" s="2">
        <v>0</v>
      </c>
      <c r="AEE29" s="2">
        <v>0</v>
      </c>
      <c r="AEF29" s="2">
        <v>3</v>
      </c>
      <c r="AEG29" s="2">
        <v>2.2</v>
      </c>
      <c r="AEH29" s="2">
        <v>0</v>
      </c>
      <c r="AEI29" s="2">
        <v>1.8</v>
      </c>
      <c r="AEJ29" s="2">
        <v>0.8</v>
      </c>
      <c r="AEK29" s="2">
        <v>0</v>
      </c>
      <c r="AEL29" s="2">
        <v>0.8</v>
      </c>
      <c r="AEM29" s="2">
        <v>2.2</v>
      </c>
      <c r="AEN29" s="2">
        <v>0.7</v>
      </c>
      <c r="AEO29" s="2">
        <v>0.3</v>
      </c>
      <c r="AEP29" s="2">
        <v>5.6</v>
      </c>
      <c r="AEQ29" s="2">
        <v>1.8</v>
      </c>
      <c r="AER29" s="2">
        <v>-0.6</v>
      </c>
      <c r="AES29" s="2">
        <v>0</v>
      </c>
      <c r="AET29" s="2">
        <v>1</v>
      </c>
      <c r="AEU29" s="2">
        <v>2.5</v>
      </c>
      <c r="AEV29" s="2">
        <v>-1.2</v>
      </c>
      <c r="AEW29" s="2">
        <v>-2.2</v>
      </c>
      <c r="AEX29" s="2">
        <v>0</v>
      </c>
      <c r="AEY29" s="2">
        <v>0.9</v>
      </c>
      <c r="AEZ29" s="2">
        <v>0.2</v>
      </c>
      <c r="AFA29" s="2">
        <v>0.1</v>
      </c>
      <c r="AFB29" s="2">
        <v>2.2</v>
      </c>
      <c r="AFC29" s="2">
        <v>0.1</v>
      </c>
      <c r="AFD29" s="2">
        <v>0</v>
      </c>
      <c r="AFE29" s="2">
        <v>0.1</v>
      </c>
      <c r="AFF29" s="2">
        <v>4</v>
      </c>
      <c r="AFG29" s="2">
        <v>0</v>
      </c>
      <c r="AFH29" s="2">
        <v>0.7</v>
      </c>
      <c r="AFI29" s="2">
        <v>-0.7</v>
      </c>
      <c r="AFJ29" s="2">
        <v>-0.2</v>
      </c>
      <c r="AFK29" s="2">
        <v>0.4</v>
      </c>
      <c r="AFL29" s="2">
        <v>0</v>
      </c>
      <c r="AFM29" s="2">
        <v>-0.7</v>
      </c>
      <c r="AFN29" s="2">
        <v>-0.6</v>
      </c>
      <c r="AFO29" s="2">
        <v>-0.2</v>
      </c>
      <c r="AFP29" s="2">
        <v>1</v>
      </c>
      <c r="AFQ29" s="2">
        <v>0</v>
      </c>
      <c r="AFR29" s="2">
        <v>0</v>
      </c>
      <c r="AFS29" s="2">
        <v>1.1</v>
      </c>
      <c r="AFT29" s="2">
        <v>0</v>
      </c>
      <c r="AFU29" s="2">
        <v>-0.2</v>
      </c>
      <c r="AFV29" s="2">
        <v>0.1</v>
      </c>
      <c r="AFW29" s="2">
        <v>0</v>
      </c>
      <c r="AFX29" s="2">
        <v>-0.9</v>
      </c>
      <c r="AFY29" s="2">
        <v>-0.1</v>
      </c>
      <c r="AFZ29" s="2">
        <v>0</v>
      </c>
      <c r="AGA29" s="2">
        <v>-0.4</v>
      </c>
      <c r="AGB29" s="2">
        <v>0.1</v>
      </c>
      <c r="AGC29" s="2">
        <v>0</v>
      </c>
      <c r="AGD29" s="2">
        <v>0.1</v>
      </c>
      <c r="AGE29" s="2">
        <v>0.3</v>
      </c>
      <c r="AGF29" s="2">
        <v>0</v>
      </c>
      <c r="AGG29" s="2">
        <v>-0.7</v>
      </c>
      <c r="AGH29" s="2">
        <v>-0.9</v>
      </c>
      <c r="AGI29" s="2">
        <v>-1</v>
      </c>
      <c r="AGJ29" s="2">
        <v>-2.8</v>
      </c>
      <c r="AGK29" s="2">
        <v>-0.3</v>
      </c>
      <c r="AGL29" s="2">
        <v>-3.2</v>
      </c>
      <c r="AGM29" s="2">
        <v>-0.3</v>
      </c>
      <c r="AGN29" s="2">
        <v>0.2</v>
      </c>
      <c r="AGO29" s="2">
        <v>1.3</v>
      </c>
      <c r="AGP29" s="2">
        <v>6.9</v>
      </c>
      <c r="AGQ29" s="2">
        <v>-0.7</v>
      </c>
      <c r="AGR29" s="2">
        <v>-0.5</v>
      </c>
      <c r="AGS29" s="2">
        <v>-0.6</v>
      </c>
      <c r="AGT29" s="2">
        <v>-0.2</v>
      </c>
      <c r="AGU29" s="2">
        <v>1.8</v>
      </c>
      <c r="AGV29" s="2">
        <v>0</v>
      </c>
      <c r="AGW29" s="2">
        <v>0.8</v>
      </c>
      <c r="AGX29" s="2">
        <v>1.5</v>
      </c>
      <c r="AGY29" s="2">
        <v>0.5</v>
      </c>
      <c r="AGZ29" s="2">
        <v>0.3</v>
      </c>
      <c r="AHA29" s="2">
        <v>0.2</v>
      </c>
      <c r="AHB29" s="2">
        <v>0.7</v>
      </c>
      <c r="AHC29" s="2">
        <v>0.2</v>
      </c>
      <c r="AHD29" s="2">
        <v>0</v>
      </c>
      <c r="AHE29" s="2">
        <v>0.4</v>
      </c>
      <c r="AHF29" s="2">
        <v>0.4</v>
      </c>
      <c r="AHG29" s="2">
        <v>0.2</v>
      </c>
      <c r="AHH29" s="2">
        <v>0.4</v>
      </c>
      <c r="AHI29" s="2">
        <v>-0.9</v>
      </c>
      <c r="AHJ29" s="2">
        <v>-0.7</v>
      </c>
      <c r="AHK29" s="2">
        <v>-0.7</v>
      </c>
      <c r="AHL29" s="2">
        <v>0.4</v>
      </c>
      <c r="AHM29" s="2">
        <v>0.1</v>
      </c>
      <c r="AHN29" s="2">
        <v>0.6</v>
      </c>
      <c r="AHO29" s="2">
        <v>0.5</v>
      </c>
      <c r="AHP29" s="2">
        <v>0.2</v>
      </c>
      <c r="AHQ29" s="2">
        <v>0.2</v>
      </c>
      <c r="AHR29" s="2">
        <v>0</v>
      </c>
      <c r="AHS29" s="2">
        <v>0</v>
      </c>
      <c r="AHT29" s="2">
        <v>-0.1</v>
      </c>
      <c r="AHU29" s="2">
        <v>0.1</v>
      </c>
      <c r="AHV29" s="2">
        <v>0.2</v>
      </c>
      <c r="AHW29" s="2">
        <v>0.4</v>
      </c>
      <c r="AHX29" s="2">
        <v>0.4</v>
      </c>
      <c r="AHY29" s="2">
        <v>0.2</v>
      </c>
      <c r="AHZ29" s="2">
        <v>0</v>
      </c>
      <c r="AIA29" s="2">
        <v>-0.1</v>
      </c>
      <c r="AIB29" s="2">
        <v>-0.1</v>
      </c>
      <c r="AIC29" s="2">
        <v>0</v>
      </c>
      <c r="AID29" s="2">
        <v>-0.3</v>
      </c>
      <c r="AIE29" s="2">
        <v>0</v>
      </c>
      <c r="AIF29" s="2">
        <v>0.2</v>
      </c>
      <c r="AIG29" s="2">
        <v>0.4</v>
      </c>
      <c r="AIH29" s="2">
        <v>0</v>
      </c>
      <c r="AII29" s="2">
        <v>1</v>
      </c>
      <c r="AIJ29" s="2">
        <v>0.1</v>
      </c>
      <c r="AIK29" s="2">
        <v>-0.3</v>
      </c>
      <c r="AIL29" s="2">
        <v>0.5</v>
      </c>
      <c r="AIM29" s="2">
        <v>1.3</v>
      </c>
      <c r="AIN29" s="2">
        <v>0</v>
      </c>
      <c r="AIO29" s="2">
        <v>0.4</v>
      </c>
      <c r="AIP29" s="2">
        <v>0.1</v>
      </c>
      <c r="AIQ29" s="2">
        <v>1.2</v>
      </c>
      <c r="AIR29" s="2">
        <v>0.2</v>
      </c>
      <c r="AIS29" s="2">
        <v>-1.7</v>
      </c>
      <c r="AIT29" s="2">
        <v>-1.4</v>
      </c>
      <c r="AIU29" s="2">
        <v>-0.1</v>
      </c>
      <c r="AIV29" s="2">
        <v>-1.3</v>
      </c>
      <c r="AIW29" s="2">
        <v>-0.6</v>
      </c>
      <c r="AIX29" s="2">
        <v>-2</v>
      </c>
      <c r="AIY29" s="2">
        <v>-2.4</v>
      </c>
      <c r="AIZ29" s="2">
        <v>-1.5</v>
      </c>
      <c r="AJA29" s="2">
        <v>-1.5</v>
      </c>
      <c r="AJB29" s="2">
        <v>-2.3</v>
      </c>
      <c r="AJC29" s="2">
        <v>-0.7</v>
      </c>
      <c r="AJD29" s="2">
        <v>-0.4</v>
      </c>
      <c r="AJE29" s="2">
        <v>-0.5</v>
      </c>
      <c r="AJF29" s="2">
        <v>-1.4</v>
      </c>
      <c r="AJG29" s="2">
        <v>-1.3</v>
      </c>
      <c r="AJH29" s="2">
        <v>-0.3</v>
      </c>
      <c r="AJI29" s="2">
        <v>-1.3</v>
      </c>
      <c r="AJJ29" s="2">
        <v>-1.4</v>
      </c>
      <c r="AJK29" s="2">
        <v>-1.4</v>
      </c>
      <c r="AJL29" s="2">
        <v>-0.5</v>
      </c>
      <c r="AJM29" s="2">
        <v>-1.2</v>
      </c>
      <c r="AJN29" s="2">
        <v>-1.1</v>
      </c>
      <c r="AJO29" s="2">
        <v>-1</v>
      </c>
      <c r="AJP29" s="2">
        <v>-0.2</v>
      </c>
      <c r="AJQ29" s="2">
        <v>-1.3</v>
      </c>
      <c r="AJR29" s="2">
        <v>-0.8</v>
      </c>
      <c r="AJS29" s="2">
        <v>-0.3</v>
      </c>
      <c r="AJT29" s="2">
        <v>0.4</v>
      </c>
      <c r="AJU29" s="2">
        <v>-0.6</v>
      </c>
      <c r="AJV29" s="2">
        <v>-0.6</v>
      </c>
      <c r="AJW29" s="2">
        <v>0.2</v>
      </c>
      <c r="AJX29" s="2">
        <v>0.3</v>
      </c>
      <c r="AJY29" s="2">
        <v>0.1</v>
      </c>
      <c r="AJZ29" s="2">
        <v>1.4</v>
      </c>
      <c r="AKA29" s="2">
        <v>-0.4</v>
      </c>
      <c r="AKB29" s="2">
        <v>0.2</v>
      </c>
      <c r="AKC29" s="2">
        <v>-0.5</v>
      </c>
      <c r="AKD29" s="2">
        <v>2.1</v>
      </c>
      <c r="AKE29" s="2">
        <v>0.3</v>
      </c>
      <c r="AKF29" s="2">
        <v>-0.3</v>
      </c>
      <c r="AKG29" s="2">
        <v>-0.7</v>
      </c>
      <c r="AKH29" s="2">
        <v>0.5</v>
      </c>
      <c r="AKI29" s="2">
        <v>0.5</v>
      </c>
      <c r="AKJ29" s="2">
        <v>-0.3</v>
      </c>
      <c r="AKK29" s="2">
        <v>0.2</v>
      </c>
      <c r="AKL29" s="2">
        <v>1.4</v>
      </c>
      <c r="AKM29" s="2">
        <v>0.1</v>
      </c>
      <c r="AKN29" s="2">
        <v>0</v>
      </c>
      <c r="AKO29" s="2">
        <v>0.6</v>
      </c>
      <c r="AKP29" s="2">
        <v>2.09</v>
      </c>
      <c r="AKQ29" s="2">
        <v>2.09</v>
      </c>
      <c r="AKR29" s="2">
        <v>2.1</v>
      </c>
    </row>
    <row r="30">
      <c r="A30" t="inlineStr">
        <is>
          <t>Audio, visual and computing equipment and services</t>
        </is>
      </c>
      <c r="B30" t="inlineStr">
        <is>
          <t>Recreation and culture</t>
        </is>
      </c>
      <c r="C30">
        <v>2</v>
      </c>
      <c r="D30">
        <v>1.88</v>
      </c>
      <c r="E30" s="3">
        <f>D30/13.1*0.1309</f>
        <v>0.018785648854961833</v>
      </c>
      <c r="F30" s="3">
        <f>E30-D30/100</f>
        <v>-1.4351145038164759e-05</v>
      </c>
      <c r="G30" s="3">
        <f>D30/13.1</f>
        <v>0.1435114503816794</v>
      </c>
      <c r="CI30" s="2">
        <v>94.7</v>
      </c>
      <c r="CJ30" s="2">
        <v>96.31</v>
      </c>
      <c r="CK30" s="2">
        <v>95.33</v>
      </c>
      <c r="CL30" s="2">
        <v>96.55</v>
      </c>
      <c r="CM30" s="2">
        <v>96.62</v>
      </c>
      <c r="CN30" s="2">
        <v>96.14</v>
      </c>
      <c r="CO30" s="2">
        <v>95.84</v>
      </c>
      <c r="CP30" s="2">
        <v>96.94</v>
      </c>
      <c r="CQ30" s="2">
        <v>95</v>
      </c>
      <c r="CR30" s="2">
        <v>95.05</v>
      </c>
      <c r="CS30" s="2">
        <v>95.78</v>
      </c>
      <c r="CT30" s="2">
        <v>96.63</v>
      </c>
      <c r="CU30" s="2">
        <v>96.98999999999999</v>
      </c>
      <c r="CV30" s="2">
        <v>97.84</v>
      </c>
      <c r="CW30" s="2">
        <v>97.40000000000001</v>
      </c>
      <c r="CX30" s="2">
        <v>97.93000000000001</v>
      </c>
      <c r="CY30" s="2">
        <v>100.37</v>
      </c>
      <c r="CZ30" s="2">
        <v>100</v>
      </c>
      <c r="DA30" s="2">
        <v>99.92</v>
      </c>
      <c r="DB30" s="2">
        <v>100.31</v>
      </c>
      <c r="DC30" s="2">
        <v>98.70999999999999</v>
      </c>
      <c r="DD30" s="2">
        <v>100.5</v>
      </c>
      <c r="DE30" s="2">
        <v>101.3</v>
      </c>
      <c r="DF30" s="2">
        <v>100.5</v>
      </c>
      <c r="DG30" s="2">
        <v>100.96</v>
      </c>
      <c r="DH30" s="2">
        <v>101.7</v>
      </c>
      <c r="DI30" s="2">
        <v>100.25</v>
      </c>
      <c r="DJ30" s="2">
        <v>104.45</v>
      </c>
      <c r="GL30" s="2">
        <v>2.4</v>
      </c>
      <c r="GM30" s="2">
        <v>1.6</v>
      </c>
      <c r="GN30" s="2">
        <v>2.2</v>
      </c>
      <c r="GO30" s="2">
        <v>1.4</v>
      </c>
      <c r="GP30" s="2">
        <v>3.9</v>
      </c>
      <c r="GQ30" s="2">
        <v>4</v>
      </c>
      <c r="GR30" s="2">
        <v>4.3</v>
      </c>
      <c r="GS30" s="2">
        <v>3.5</v>
      </c>
      <c r="GT30" s="2">
        <v>3.9</v>
      </c>
      <c r="GU30" s="2">
        <v>5.7</v>
      </c>
      <c r="GV30" s="2">
        <v>5.8</v>
      </c>
      <c r="GW30" s="2">
        <v>4</v>
      </c>
      <c r="GX30" s="2">
        <v>4.1</v>
      </c>
      <c r="GY30" s="2">
        <v>3.9</v>
      </c>
      <c r="GZ30" s="2">
        <v>2.9</v>
      </c>
      <c r="HA30" s="2">
        <v>6.7</v>
      </c>
      <c r="KC30" s="2">
        <v>1.7</v>
      </c>
      <c r="KD30" s="2">
        <v>-1</v>
      </c>
      <c r="KE30" s="2">
        <v>1.3</v>
      </c>
      <c r="KF30" s="2">
        <v>0.1</v>
      </c>
      <c r="KG30" s="2">
        <v>-0.5</v>
      </c>
      <c r="KH30" s="2">
        <v>-0.3</v>
      </c>
      <c r="KI30" s="2">
        <v>1.1</v>
      </c>
      <c r="KJ30" s="2">
        <v>-2</v>
      </c>
      <c r="KK30" s="2">
        <v>0.1</v>
      </c>
      <c r="KL30" s="2">
        <v>0.8</v>
      </c>
      <c r="KM30" s="2">
        <v>0.9</v>
      </c>
      <c r="KN30" s="2">
        <v>0.4</v>
      </c>
      <c r="KO30" s="2">
        <v>0.9</v>
      </c>
      <c r="KP30" s="2">
        <v>-0.4</v>
      </c>
      <c r="KQ30" s="2">
        <v>0.5</v>
      </c>
      <c r="KR30" s="2">
        <v>2.5</v>
      </c>
      <c r="KS30" s="2">
        <v>-0.4</v>
      </c>
      <c r="KT30" s="2">
        <v>-0.1</v>
      </c>
      <c r="KU30" s="2">
        <v>0.4</v>
      </c>
      <c r="KV30" s="2">
        <v>-1.6</v>
      </c>
      <c r="KW30" s="2">
        <v>1.8</v>
      </c>
      <c r="KX30" s="2">
        <v>0.8</v>
      </c>
      <c r="KY30" s="2">
        <v>-0.8</v>
      </c>
      <c r="KZ30" s="2">
        <v>0.5</v>
      </c>
      <c r="LA30" s="2">
        <v>0.7</v>
      </c>
      <c r="LB30" s="2">
        <v>-1.4</v>
      </c>
      <c r="LC30" s="2">
        <v>4.2</v>
      </c>
      <c r="LD30" s="2">
        <v>1.83</v>
      </c>
      <c r="LE30" s="2">
        <v>1.83</v>
      </c>
      <c r="LF30" s="2">
        <v>1.84</v>
      </c>
      <c r="LG30" s="2">
        <v>1.86</v>
      </c>
      <c r="LH30" s="2">
        <v>1.86</v>
      </c>
      <c r="LI30" s="2">
        <v>1.88</v>
      </c>
      <c r="LJ30" s="2">
        <v>1.87</v>
      </c>
      <c r="LK30" s="2">
        <v>1.88</v>
      </c>
      <c r="LL30" s="2">
        <v>1.93</v>
      </c>
      <c r="LM30" s="2">
        <v>1.92</v>
      </c>
      <c r="LN30" s="2">
        <v>1.92</v>
      </c>
      <c r="LO30" s="2">
        <v>1.93</v>
      </c>
      <c r="LP30" s="2">
        <v>1.9</v>
      </c>
      <c r="LQ30" s="2">
        <v>1.93</v>
      </c>
      <c r="LR30" s="2">
        <v>1.95</v>
      </c>
      <c r="LS30" s="2">
        <v>1.93</v>
      </c>
      <c r="LT30" s="2">
        <v>1.94</v>
      </c>
      <c r="LU30" s="2">
        <v>1.95</v>
      </c>
      <c r="LV30" s="2">
        <v>1.93</v>
      </c>
      <c r="LW30" s="2">
        <v>2.01</v>
      </c>
      <c r="LX30" s="2">
        <v>0</v>
      </c>
      <c r="LY30" s="2">
        <v>0.01</v>
      </c>
      <c r="LZ30" s="2">
        <v>0.02</v>
      </c>
      <c r="MA30" s="2">
        <v>0</v>
      </c>
      <c r="MB30" s="2">
        <v>0.02</v>
      </c>
      <c r="MC30" s="2">
        <v>-0.01</v>
      </c>
      <c r="MD30" s="2">
        <v>0.01</v>
      </c>
      <c r="ME30" s="2">
        <v>0.05</v>
      </c>
      <c r="MF30" s="2">
        <v>-0.01</v>
      </c>
      <c r="MG30" s="2">
        <v>0</v>
      </c>
      <c r="MH30" s="2">
        <v>0.01</v>
      </c>
      <c r="MI30" s="2">
        <v>-0.03</v>
      </c>
      <c r="MJ30" s="2">
        <v>0.03</v>
      </c>
      <c r="MK30" s="2">
        <v>0.02</v>
      </c>
      <c r="ML30" s="2">
        <v>-0.02</v>
      </c>
      <c r="MM30" s="2">
        <v>0.01</v>
      </c>
      <c r="MN30" s="2">
        <v>0.01</v>
      </c>
      <c r="MO30" s="2">
        <v>-0.02</v>
      </c>
      <c r="MP30" s="2">
        <v>0.08</v>
      </c>
      <c r="SY30" s="2">
        <v>305.22</v>
      </c>
      <c r="SZ30" s="2">
        <v>308.01</v>
      </c>
      <c r="TA30" s="2">
        <v>309.86</v>
      </c>
      <c r="TB30" s="2">
        <v>313.57</v>
      </c>
      <c r="TC30" s="2">
        <v>318.52</v>
      </c>
      <c r="TD30" s="2">
        <v>322.54</v>
      </c>
      <c r="TE30" s="2">
        <v>320.69</v>
      </c>
      <c r="TF30" s="2">
        <v>325.02</v>
      </c>
      <c r="TG30" s="2">
        <v>323.78</v>
      </c>
      <c r="TH30" s="2">
        <v>320.07</v>
      </c>
      <c r="TI30" s="2">
        <v>308.63</v>
      </c>
      <c r="TJ30" s="2">
        <v>316.67</v>
      </c>
      <c r="TK30" s="2">
        <v>313.88</v>
      </c>
      <c r="TL30" s="2">
        <v>314.5</v>
      </c>
      <c r="TM30" s="2">
        <v>317.28</v>
      </c>
      <c r="TN30" s="2">
        <v>321</v>
      </c>
      <c r="TO30" s="2">
        <v>321.61</v>
      </c>
      <c r="TP30" s="2">
        <v>325.33</v>
      </c>
      <c r="TQ30" s="2">
        <v>326.25</v>
      </c>
      <c r="TR30" s="2">
        <v>328.42</v>
      </c>
      <c r="TS30" s="2">
        <v>331.82</v>
      </c>
      <c r="TT30" s="2">
        <v>333.06</v>
      </c>
      <c r="TU30" s="2">
        <v>332.75</v>
      </c>
      <c r="TV30" s="2">
        <v>332.44</v>
      </c>
      <c r="TW30" s="2">
        <v>332.44</v>
      </c>
      <c r="TX30" s="2">
        <v>333.06</v>
      </c>
      <c r="TY30" s="2">
        <v>335.84</v>
      </c>
      <c r="TZ30" s="2">
        <v>335.22</v>
      </c>
      <c r="UA30" s="2">
        <v>332.75</v>
      </c>
      <c r="UB30" s="2">
        <v>328.42</v>
      </c>
      <c r="UC30" s="2">
        <v>327.8</v>
      </c>
      <c r="UD30" s="2">
        <v>327.49</v>
      </c>
      <c r="UE30" s="2">
        <v>324.71</v>
      </c>
      <c r="UF30" s="2">
        <v>324.71</v>
      </c>
      <c r="UG30" s="2">
        <v>329.96</v>
      </c>
      <c r="UH30" s="2">
        <v>330.89</v>
      </c>
      <c r="UI30" s="2">
        <v>330.58</v>
      </c>
      <c r="UJ30" s="2">
        <v>336.46</v>
      </c>
      <c r="UK30" s="2">
        <v>332.13</v>
      </c>
      <c r="UL30" s="2">
        <v>327.8</v>
      </c>
      <c r="UM30" s="2">
        <v>325.33</v>
      </c>
      <c r="UN30" s="2">
        <v>324.4</v>
      </c>
      <c r="UO30" s="2">
        <v>321.3</v>
      </c>
      <c r="UP30" s="2">
        <v>318.52</v>
      </c>
      <c r="UQ30" s="2">
        <v>306.15</v>
      </c>
      <c r="UR30" s="2">
        <v>307.7</v>
      </c>
      <c r="US30" s="2">
        <v>309.55</v>
      </c>
      <c r="UT30" s="2">
        <v>303.68</v>
      </c>
      <c r="UU30" s="2">
        <v>302.13</v>
      </c>
      <c r="UV30" s="2">
        <v>296.26</v>
      </c>
      <c r="UW30" s="2">
        <v>294.09</v>
      </c>
      <c r="UX30" s="2">
        <v>289.76</v>
      </c>
      <c r="UY30" s="2">
        <v>284.2</v>
      </c>
      <c r="UZ30" s="2">
        <v>275.23</v>
      </c>
      <c r="VA30" s="2">
        <v>269.66</v>
      </c>
      <c r="VB30" s="2">
        <v>262.24</v>
      </c>
      <c r="VC30" s="2">
        <v>251.72</v>
      </c>
      <c r="VD30" s="2">
        <v>244.3</v>
      </c>
      <c r="VE30" s="2">
        <v>236.88</v>
      </c>
      <c r="VF30" s="2">
        <v>231.93</v>
      </c>
      <c r="VG30" s="2">
        <v>226.99</v>
      </c>
      <c r="VH30" s="2">
        <v>226.99</v>
      </c>
      <c r="VI30" s="2">
        <v>219.25</v>
      </c>
      <c r="VJ30" s="2">
        <v>216.47</v>
      </c>
      <c r="VK30" s="2">
        <v>214.62</v>
      </c>
      <c r="VL30" s="2">
        <v>209.36</v>
      </c>
      <c r="VM30" s="2">
        <v>207.81</v>
      </c>
      <c r="VN30" s="2">
        <v>205.03</v>
      </c>
      <c r="VO30" s="2">
        <v>202.25</v>
      </c>
      <c r="VP30" s="2">
        <v>197.92</v>
      </c>
      <c r="VQ30" s="2">
        <v>195.75</v>
      </c>
      <c r="VR30" s="2">
        <v>191.73</v>
      </c>
      <c r="VS30" s="2">
        <v>188.64</v>
      </c>
      <c r="VT30" s="2">
        <v>186.78</v>
      </c>
      <c r="VU30" s="2">
        <v>180.91</v>
      </c>
      <c r="VV30" s="2">
        <v>178.43</v>
      </c>
      <c r="VW30" s="2">
        <v>174.1</v>
      </c>
      <c r="VX30" s="2">
        <v>168.23</v>
      </c>
      <c r="VY30" s="2">
        <v>171.01</v>
      </c>
      <c r="VZ30" s="2">
        <v>168.85</v>
      </c>
      <c r="WA30" s="2">
        <v>167.61</v>
      </c>
      <c r="WB30" s="2">
        <v>162.66</v>
      </c>
      <c r="WC30" s="2">
        <v>157.41</v>
      </c>
      <c r="WD30" s="2">
        <v>152.77</v>
      </c>
      <c r="WE30" s="2">
        <v>151.53</v>
      </c>
      <c r="WF30" s="2">
        <v>148.13</v>
      </c>
      <c r="WG30" s="2">
        <v>142.87</v>
      </c>
      <c r="WH30" s="2">
        <v>139.47</v>
      </c>
      <c r="WI30" s="2">
        <v>135.58</v>
      </c>
      <c r="WJ30" s="2">
        <v>133.62</v>
      </c>
      <c r="WK30" s="2">
        <v>128.84</v>
      </c>
      <c r="WL30" s="2">
        <v>125.78</v>
      </c>
      <c r="WM30" s="2">
        <v>123.89</v>
      </c>
      <c r="WN30" s="2">
        <v>121.08</v>
      </c>
      <c r="WO30" s="2">
        <v>117.96</v>
      </c>
      <c r="WP30" s="2">
        <v>116.65</v>
      </c>
      <c r="WQ30" s="2">
        <v>116.12</v>
      </c>
      <c r="WR30" s="2">
        <v>115.29</v>
      </c>
      <c r="WS30" s="2">
        <v>114.33</v>
      </c>
      <c r="WT30" s="2">
        <v>112.42</v>
      </c>
      <c r="WU30" s="2">
        <v>112.95</v>
      </c>
      <c r="WV30" s="2">
        <v>107.79</v>
      </c>
      <c r="WW30" s="2">
        <v>106.73</v>
      </c>
      <c r="WX30" s="2">
        <v>106.65</v>
      </c>
      <c r="WY30" s="2">
        <v>106.65</v>
      </c>
      <c r="WZ30" s="2">
        <v>105.78</v>
      </c>
      <c r="XA30" s="2">
        <v>102.2</v>
      </c>
      <c r="XB30" s="2">
        <v>102.28</v>
      </c>
      <c r="XC30" s="2">
        <v>101.22</v>
      </c>
      <c r="XD30" s="2">
        <v>100.44</v>
      </c>
      <c r="XE30" s="2">
        <v>98.7</v>
      </c>
      <c r="XF30" s="2">
        <v>98.2</v>
      </c>
      <c r="XG30" s="2">
        <v>99.38</v>
      </c>
      <c r="XH30" s="2">
        <v>97.87</v>
      </c>
      <c r="XI30" s="2">
        <v>93.81999999999999</v>
      </c>
      <c r="XJ30" s="2">
        <v>94.19</v>
      </c>
      <c r="XK30" s="2">
        <v>94.39</v>
      </c>
      <c r="XL30" s="2">
        <v>92.41</v>
      </c>
      <c r="XM30" s="2">
        <v>90.56</v>
      </c>
      <c r="XN30" s="2">
        <v>90.34</v>
      </c>
      <c r="XO30" s="2">
        <v>90.27</v>
      </c>
      <c r="XP30" s="2">
        <v>90.18000000000001</v>
      </c>
      <c r="XQ30" s="2">
        <v>88.3</v>
      </c>
      <c r="XR30" s="2">
        <v>89.13</v>
      </c>
      <c r="XS30" s="2">
        <v>90.03</v>
      </c>
      <c r="XT30" s="2">
        <v>89.56999999999999</v>
      </c>
      <c r="XU30" s="2">
        <v>88.62</v>
      </c>
      <c r="XV30" s="2">
        <v>88.77</v>
      </c>
      <c r="XW30" s="2">
        <v>89.87</v>
      </c>
      <c r="XX30" s="2">
        <v>90.73999999999999</v>
      </c>
      <c r="XY30" s="2">
        <v>90.40000000000001</v>
      </c>
      <c r="XZ30" s="2">
        <v>91.44</v>
      </c>
      <c r="YA30" s="2">
        <v>91.95999999999999</v>
      </c>
      <c r="YB30" s="2">
        <v>92.03</v>
      </c>
      <c r="YC30" s="2">
        <v>93.06</v>
      </c>
      <c r="YD30" s="2">
        <v>93.2</v>
      </c>
      <c r="YE30" s="2">
        <v>93.08</v>
      </c>
      <c r="YF30" s="2">
        <v>92.72</v>
      </c>
      <c r="YG30" s="2">
        <v>94.17</v>
      </c>
      <c r="YH30" s="2">
        <v>95.08</v>
      </c>
      <c r="YI30" s="2">
        <v>95.93000000000001</v>
      </c>
      <c r="YJ30" s="2">
        <v>95.81999999999999</v>
      </c>
      <c r="YK30" s="2">
        <v>94.84999999999999</v>
      </c>
      <c r="YL30" s="2">
        <v>96.59999999999999</v>
      </c>
      <c r="YM30" s="2">
        <v>99.43000000000001</v>
      </c>
      <c r="YN30" s="2">
        <v>99.65000000000001</v>
      </c>
      <c r="YO30" s="2">
        <v>100.77</v>
      </c>
      <c r="YP30" s="2">
        <v>100.97</v>
      </c>
      <c r="AEY30" s="2">
        <v>0.9</v>
      </c>
      <c r="AEZ30" s="2">
        <v>0.6</v>
      </c>
      <c r="AFA30" s="2">
        <v>1.2</v>
      </c>
      <c r="AFB30" s="2">
        <v>1.6</v>
      </c>
      <c r="AFC30" s="2">
        <v>1.3</v>
      </c>
      <c r="AFD30" s="2">
        <v>-0.6</v>
      </c>
      <c r="AFE30" s="2">
        <v>1.4</v>
      </c>
      <c r="AFF30" s="2">
        <v>-0.4</v>
      </c>
      <c r="AFG30" s="2">
        <v>-1.1</v>
      </c>
      <c r="AFH30" s="2">
        <v>-3.6</v>
      </c>
      <c r="AFI30" s="2">
        <v>2.6</v>
      </c>
      <c r="AFJ30" s="2">
        <v>-0.9</v>
      </c>
      <c r="AFK30" s="2">
        <v>0.2</v>
      </c>
      <c r="AFL30" s="2">
        <v>0.9</v>
      </c>
      <c r="AFM30" s="2">
        <v>1.2</v>
      </c>
      <c r="AFN30" s="2">
        <v>0.2</v>
      </c>
      <c r="AFO30" s="2">
        <v>1.2</v>
      </c>
      <c r="AFP30" s="2">
        <v>0.3</v>
      </c>
      <c r="AFQ30" s="2">
        <v>0.7</v>
      </c>
      <c r="AFR30" s="2">
        <v>1</v>
      </c>
      <c r="AFS30" s="2">
        <v>0.4</v>
      </c>
      <c r="AFT30" s="2">
        <v>-0.1</v>
      </c>
      <c r="AFU30" s="2">
        <v>-0.1</v>
      </c>
      <c r="AFV30" s="2">
        <v>0</v>
      </c>
      <c r="AFW30" s="2">
        <v>0.2</v>
      </c>
      <c r="AFX30" s="2">
        <v>0.8</v>
      </c>
      <c r="AFY30" s="2">
        <v>-0.2</v>
      </c>
      <c r="AFZ30" s="2">
        <v>-0.7</v>
      </c>
      <c r="AGA30" s="2">
        <v>-1.3</v>
      </c>
      <c r="AGB30" s="2">
        <v>-0.2</v>
      </c>
      <c r="AGC30" s="2">
        <v>-0.1</v>
      </c>
      <c r="AGD30" s="2">
        <v>-0.8</v>
      </c>
      <c r="AGE30" s="2">
        <v>0</v>
      </c>
      <c r="AGF30" s="2">
        <v>1.6</v>
      </c>
      <c r="AGG30" s="2">
        <v>0.3</v>
      </c>
      <c r="AGH30" s="2">
        <v>-0.1</v>
      </c>
      <c r="AGI30" s="2">
        <v>1.8</v>
      </c>
      <c r="AGJ30" s="2">
        <v>-1.3</v>
      </c>
      <c r="AGK30" s="2">
        <v>-1.3</v>
      </c>
      <c r="AGL30" s="2">
        <v>-0.8</v>
      </c>
      <c r="AGM30" s="2">
        <v>-0.3</v>
      </c>
      <c r="AGN30" s="2">
        <v>-1</v>
      </c>
      <c r="AGO30" s="2">
        <v>-0.9</v>
      </c>
      <c r="AGP30" s="2">
        <v>-3.9</v>
      </c>
      <c r="AGQ30" s="2">
        <v>0.5</v>
      </c>
      <c r="AGR30" s="2">
        <v>0.6</v>
      </c>
      <c r="AGS30" s="2">
        <v>-1.9</v>
      </c>
      <c r="AGT30" s="2">
        <v>-0.5</v>
      </c>
      <c r="AGU30" s="2">
        <v>-1.9</v>
      </c>
      <c r="AGV30" s="2">
        <v>-0.7</v>
      </c>
      <c r="AGW30" s="2">
        <v>-1.5</v>
      </c>
      <c r="AGX30" s="2">
        <v>-1.9</v>
      </c>
      <c r="AGY30" s="2">
        <v>-3.2</v>
      </c>
      <c r="AGZ30" s="2">
        <v>-2</v>
      </c>
      <c r="AHA30" s="2">
        <v>-2.8</v>
      </c>
      <c r="AHB30" s="2">
        <v>-4</v>
      </c>
      <c r="AHC30" s="2">
        <v>-2.9</v>
      </c>
      <c r="AHD30" s="2">
        <v>-3</v>
      </c>
      <c r="AHE30" s="2">
        <v>-2.1</v>
      </c>
      <c r="AHF30" s="2">
        <v>-2.1</v>
      </c>
      <c r="AHG30" s="2">
        <v>0</v>
      </c>
      <c r="AHH30" s="2">
        <v>-3.4</v>
      </c>
      <c r="AHI30" s="2">
        <v>-1.3</v>
      </c>
      <c r="AHJ30" s="2">
        <v>-0.9</v>
      </c>
      <c r="AHK30" s="2">
        <v>-2.5</v>
      </c>
      <c r="AHL30" s="2">
        <v>-0.7</v>
      </c>
      <c r="AHM30" s="2">
        <v>-1.3</v>
      </c>
      <c r="AHN30" s="2">
        <v>-1.4</v>
      </c>
      <c r="AHO30" s="2">
        <v>-2.1</v>
      </c>
      <c r="AHP30" s="2">
        <v>-1.1</v>
      </c>
      <c r="AHQ30" s="2">
        <v>-2.1</v>
      </c>
      <c r="AHR30" s="2">
        <v>-1.6</v>
      </c>
      <c r="AHS30" s="2">
        <v>-1</v>
      </c>
      <c r="AHT30" s="2">
        <v>-3.1</v>
      </c>
      <c r="AHU30" s="2">
        <v>-1.4</v>
      </c>
      <c r="AHV30" s="2">
        <v>-2.4</v>
      </c>
      <c r="AHW30" s="2">
        <v>-3.4</v>
      </c>
      <c r="AHX30" s="2">
        <v>1.7</v>
      </c>
      <c r="AHY30" s="2">
        <v>-1.3</v>
      </c>
      <c r="AHZ30" s="2">
        <v>-0.7</v>
      </c>
      <c r="AIA30" s="2">
        <v>-3</v>
      </c>
      <c r="AIB30" s="2">
        <v>-3.2</v>
      </c>
      <c r="AIC30" s="2">
        <v>-2.9</v>
      </c>
      <c r="AID30" s="2">
        <v>-0.8</v>
      </c>
      <c r="AIE30" s="2">
        <v>-2.2</v>
      </c>
      <c r="AIF30" s="2">
        <v>-3.6</v>
      </c>
      <c r="AIG30" s="2">
        <v>-2.4</v>
      </c>
      <c r="AIH30" s="2">
        <v>-2.8</v>
      </c>
      <c r="AII30" s="2">
        <v>-1.4</v>
      </c>
      <c r="AIJ30" s="2">
        <v>-3.6</v>
      </c>
      <c r="AIK30" s="2">
        <v>-2.4</v>
      </c>
      <c r="AIL30" s="2">
        <v>-1.5</v>
      </c>
      <c r="AIM30" s="2">
        <v>-2.3</v>
      </c>
      <c r="AIN30" s="2">
        <v>-2.6</v>
      </c>
      <c r="AIO30" s="2">
        <v>-1.1</v>
      </c>
      <c r="AIP30" s="2">
        <v>-0.5</v>
      </c>
      <c r="AIQ30" s="2">
        <v>-0.7</v>
      </c>
      <c r="AIR30" s="2">
        <v>-0.8</v>
      </c>
      <c r="AIS30" s="2">
        <v>-1.7</v>
      </c>
      <c r="AIT30" s="2">
        <v>0.5</v>
      </c>
      <c r="AIU30" s="2">
        <v>-4.6</v>
      </c>
      <c r="AIV30" s="2">
        <v>-1</v>
      </c>
      <c r="AIW30" s="2">
        <v>-0.1</v>
      </c>
      <c r="AIX30" s="2">
        <v>0</v>
      </c>
      <c r="AIY30" s="2">
        <v>-0.8</v>
      </c>
      <c r="AIZ30" s="2">
        <v>-3.4</v>
      </c>
      <c r="AJA30" s="2">
        <v>0.1</v>
      </c>
      <c r="AJB30" s="2">
        <v>-1</v>
      </c>
      <c r="AJC30" s="2">
        <v>-0.8</v>
      </c>
      <c r="AJD30" s="2">
        <v>-1.7</v>
      </c>
      <c r="AJE30" s="2">
        <v>-0.5</v>
      </c>
      <c r="AJF30" s="2">
        <v>1.2</v>
      </c>
      <c r="AJG30" s="2">
        <v>-1.5</v>
      </c>
      <c r="AJH30" s="2">
        <v>-4.1</v>
      </c>
      <c r="AJI30" s="2">
        <v>0.4</v>
      </c>
      <c r="AJJ30" s="2">
        <v>0.2</v>
      </c>
      <c r="AJK30" s="2">
        <v>-2.1</v>
      </c>
      <c r="AJL30" s="2">
        <v>-2</v>
      </c>
      <c r="AJM30" s="2">
        <v>-0.2</v>
      </c>
      <c r="AJN30" s="2">
        <v>-0.1</v>
      </c>
      <c r="AJO30" s="2">
        <v>-0.1</v>
      </c>
      <c r="AJP30" s="2">
        <v>-2.1</v>
      </c>
      <c r="AJQ30" s="2">
        <v>0.9</v>
      </c>
      <c r="AJR30" s="2">
        <v>1</v>
      </c>
      <c r="AJS30" s="2">
        <v>-0.5</v>
      </c>
      <c r="AJT30" s="2">
        <v>-1.1</v>
      </c>
      <c r="AJU30" s="2">
        <v>0.2</v>
      </c>
      <c r="AJV30" s="2">
        <v>1.2</v>
      </c>
      <c r="AJW30" s="2">
        <v>1</v>
      </c>
      <c r="AJX30" s="2">
        <v>-0.4</v>
      </c>
      <c r="AJY30" s="2">
        <v>1.2</v>
      </c>
      <c r="AJZ30" s="2">
        <v>0.6</v>
      </c>
      <c r="AKA30" s="2">
        <v>0.1</v>
      </c>
      <c r="AKB30" s="2">
        <v>1.1</v>
      </c>
      <c r="AKC30" s="2">
        <v>0.2</v>
      </c>
      <c r="AKD30" s="2">
        <v>-0.1</v>
      </c>
      <c r="AKE30" s="2">
        <v>-0.4</v>
      </c>
      <c r="AKF30" s="2">
        <v>1.6</v>
      </c>
      <c r="AKG30" s="2">
        <v>1</v>
      </c>
      <c r="AKH30" s="2">
        <v>0.9</v>
      </c>
      <c r="AKI30" s="2">
        <v>-0.1</v>
      </c>
      <c r="AKJ30" s="2">
        <v>-1</v>
      </c>
      <c r="AKK30" s="2">
        <v>1.8</v>
      </c>
      <c r="AKL30" s="2">
        <v>2.9</v>
      </c>
      <c r="AKM30" s="2">
        <v>0.2</v>
      </c>
      <c r="AKN30" s="2">
        <v>1.1</v>
      </c>
      <c r="AKO30" s="2">
        <v>0.2</v>
      </c>
      <c r="AKP30" s="2">
        <v>1.92</v>
      </c>
      <c r="AKQ30" s="2">
        <v>1.94</v>
      </c>
      <c r="AKR30" s="2">
        <v>1.94</v>
      </c>
    </row>
    <row r="31">
      <c r="A31" t="inlineStr">
        <is>
          <t>Newspapers, books and stationery</t>
        </is>
      </c>
      <c r="B31" t="inlineStr">
        <is>
          <t>Recreation and culture</t>
        </is>
      </c>
      <c r="C31">
        <v>2</v>
      </c>
      <c r="D31">
        <v>0.47</v>
      </c>
      <c r="E31" s="3">
        <f>D31/13.1*0.1309</f>
        <v>0.004696412213740458</v>
      </c>
      <c r="F31" s="3">
        <f>E31-D31/100</f>
        <v>-3.5877862595411897e-06</v>
      </c>
      <c r="G31" s="3">
        <f>D31/13.1</f>
        <v>0.03587786259541985</v>
      </c>
      <c r="CI31" s="2">
        <v>96.48</v>
      </c>
      <c r="CJ31" s="2">
        <v>96.29000000000001</v>
      </c>
      <c r="CK31" s="2">
        <v>96.59</v>
      </c>
      <c r="CL31" s="2">
        <v>97.06</v>
      </c>
      <c r="CM31" s="2">
        <v>97.61</v>
      </c>
      <c r="CN31" s="2">
        <v>96.77</v>
      </c>
      <c r="CO31" s="2">
        <v>97.23999999999999</v>
      </c>
      <c r="CP31" s="2">
        <v>97.48999999999999</v>
      </c>
      <c r="CQ31" s="2">
        <v>96.68000000000001</v>
      </c>
      <c r="CR31" s="2">
        <v>96.61</v>
      </c>
      <c r="CS31" s="2">
        <v>98.27</v>
      </c>
      <c r="CT31" s="2">
        <v>96.97</v>
      </c>
      <c r="CU31" s="2">
        <v>98.16</v>
      </c>
      <c r="CV31" s="2">
        <v>98.5</v>
      </c>
      <c r="CW31" s="2">
        <v>98.59</v>
      </c>
      <c r="CX31" s="2">
        <v>100.46</v>
      </c>
      <c r="CY31" s="2">
        <v>100.47</v>
      </c>
      <c r="CZ31" s="2">
        <v>100</v>
      </c>
      <c r="DA31" s="2">
        <v>100.06</v>
      </c>
      <c r="DB31" s="2">
        <v>100.96</v>
      </c>
      <c r="DC31" s="2">
        <v>100.1</v>
      </c>
      <c r="DD31" s="2">
        <v>99.54000000000001</v>
      </c>
      <c r="DE31" s="2">
        <v>101.73</v>
      </c>
      <c r="DF31" s="2">
        <v>101.62</v>
      </c>
      <c r="DG31" s="2">
        <v>100.41</v>
      </c>
      <c r="DH31" s="2">
        <v>101.83</v>
      </c>
      <c r="DI31" s="2">
        <v>101.69</v>
      </c>
      <c r="DJ31" s="2">
        <v>102.89</v>
      </c>
      <c r="GL31" s="2">
        <v>1.7</v>
      </c>
      <c r="GM31" s="2">
        <v>2.3</v>
      </c>
      <c r="GN31" s="2">
        <v>2.1</v>
      </c>
      <c r="GO31" s="2">
        <v>3.5</v>
      </c>
      <c r="GP31" s="2">
        <v>2.9</v>
      </c>
      <c r="GQ31" s="2">
        <v>3.3</v>
      </c>
      <c r="GR31" s="2">
        <v>2.9</v>
      </c>
      <c r="GS31" s="2">
        <v>3.6</v>
      </c>
      <c r="GT31" s="2">
        <v>3.5</v>
      </c>
      <c r="GU31" s="2">
        <v>3</v>
      </c>
      <c r="GV31" s="2">
        <v>3.5</v>
      </c>
      <c r="GW31" s="2">
        <v>4.8</v>
      </c>
      <c r="GX31" s="2">
        <v>2.3</v>
      </c>
      <c r="GY31" s="2">
        <v>3.4</v>
      </c>
      <c r="GZ31" s="2">
        <v>3.1</v>
      </c>
      <c r="HA31" s="2">
        <v>2.4</v>
      </c>
      <c r="KC31" s="2">
        <v>-0.2</v>
      </c>
      <c r="KD31" s="2">
        <v>0.3</v>
      </c>
      <c r="KE31" s="2">
        <v>0.5</v>
      </c>
      <c r="KF31" s="2">
        <v>0.6</v>
      </c>
      <c r="KG31" s="2">
        <v>-0.9</v>
      </c>
      <c r="KH31" s="2">
        <v>0.5</v>
      </c>
      <c r="KI31" s="2">
        <v>0.3</v>
      </c>
      <c r="KJ31" s="2">
        <v>-0.8</v>
      </c>
      <c r="KK31" s="2">
        <v>-0.1</v>
      </c>
      <c r="KL31" s="2">
        <v>1.7</v>
      </c>
      <c r="KM31" s="2">
        <v>-1.3</v>
      </c>
      <c r="KN31" s="2">
        <v>1.2</v>
      </c>
      <c r="KO31" s="2">
        <v>0.3</v>
      </c>
      <c r="KP31" s="2">
        <v>0.1</v>
      </c>
      <c r="KQ31" s="2">
        <v>1.9</v>
      </c>
      <c r="KR31" s="2">
        <v>0</v>
      </c>
      <c r="KS31" s="2">
        <v>-0.5</v>
      </c>
      <c r="KT31" s="2">
        <v>0.1</v>
      </c>
      <c r="KU31" s="2">
        <v>0.9</v>
      </c>
      <c r="KV31" s="2">
        <v>-0.9</v>
      </c>
      <c r="KW31" s="2">
        <v>-0.6</v>
      </c>
      <c r="KX31" s="2">
        <v>2.2</v>
      </c>
      <c r="KY31" s="2">
        <v>-0.1</v>
      </c>
      <c r="KZ31" s="2">
        <v>-1.2</v>
      </c>
      <c r="LA31" s="2">
        <v>1.4</v>
      </c>
      <c r="LB31" s="2">
        <v>-0.1</v>
      </c>
      <c r="LC31" s="2">
        <v>1.2</v>
      </c>
      <c r="LD31" s="2">
        <v>0.45</v>
      </c>
      <c r="LE31" s="2">
        <v>0.45</v>
      </c>
      <c r="LF31" s="2">
        <v>0.46</v>
      </c>
      <c r="LG31" s="2">
        <v>0.46</v>
      </c>
      <c r="LH31" s="2">
        <v>0.46</v>
      </c>
      <c r="LI31" s="2">
        <v>0.46</v>
      </c>
      <c r="LJ31" s="2">
        <v>0.46</v>
      </c>
      <c r="LK31" s="2">
        <v>0.47</v>
      </c>
      <c r="LL31" s="2">
        <v>0.47</v>
      </c>
      <c r="LM31" s="2">
        <v>0.47</v>
      </c>
      <c r="LN31" s="2">
        <v>0.47</v>
      </c>
      <c r="LO31" s="2">
        <v>0.48</v>
      </c>
      <c r="LP31" s="2">
        <v>0.47</v>
      </c>
      <c r="LQ31" s="2">
        <v>0.47</v>
      </c>
      <c r="LR31" s="2">
        <v>0.48</v>
      </c>
      <c r="LS31" s="2">
        <v>0.48</v>
      </c>
      <c r="LT31" s="2">
        <v>0.47</v>
      </c>
      <c r="LU31" s="2">
        <v>0.48</v>
      </c>
      <c r="LV31" s="2">
        <v>0.48</v>
      </c>
      <c r="LW31" s="2">
        <v>0.48</v>
      </c>
      <c r="LX31" s="2">
        <v>0</v>
      </c>
      <c r="LY31" s="2">
        <v>0.01</v>
      </c>
      <c r="LZ31" s="2">
        <v>0</v>
      </c>
      <c r="MA31" s="2">
        <v>0</v>
      </c>
      <c r="MB31" s="2">
        <v>0</v>
      </c>
      <c r="MC31" s="2">
        <v>0</v>
      </c>
      <c r="MD31" s="2">
        <v>0.01</v>
      </c>
      <c r="ME31" s="2">
        <v>0</v>
      </c>
      <c r="MF31" s="2">
        <v>0</v>
      </c>
      <c r="MG31" s="2">
        <v>0</v>
      </c>
      <c r="MH31" s="2">
        <v>0.01</v>
      </c>
      <c r="MI31" s="2">
        <v>-0.01</v>
      </c>
      <c r="MJ31" s="2">
        <v>0</v>
      </c>
      <c r="MK31" s="2">
        <v>0.01</v>
      </c>
      <c r="ML31" s="2">
        <v>0</v>
      </c>
      <c r="MM31" s="2">
        <v>-0.01</v>
      </c>
      <c r="MN31" s="2">
        <v>0.01</v>
      </c>
      <c r="MO31" s="2">
        <v>0</v>
      </c>
      <c r="MP31" s="2">
        <v>0</v>
      </c>
      <c r="SY31" s="2">
        <v>36.37</v>
      </c>
      <c r="SZ31" s="2">
        <v>36.52</v>
      </c>
      <c r="TA31" s="2">
        <v>37.41</v>
      </c>
      <c r="TB31" s="2">
        <v>38.11</v>
      </c>
      <c r="TC31" s="2">
        <v>38.52</v>
      </c>
      <c r="TD31" s="2">
        <v>38.86</v>
      </c>
      <c r="TE31" s="2">
        <v>38.82</v>
      </c>
      <c r="TF31" s="2">
        <v>40.01</v>
      </c>
      <c r="TG31" s="2">
        <v>40.75</v>
      </c>
      <c r="TH31" s="2">
        <v>40.9</v>
      </c>
      <c r="TI31" s="2">
        <v>41.45</v>
      </c>
      <c r="TJ31" s="2">
        <v>41.64</v>
      </c>
      <c r="TK31" s="2">
        <v>42.64</v>
      </c>
      <c r="TL31" s="2">
        <v>43.12</v>
      </c>
      <c r="TM31" s="2">
        <v>44.83</v>
      </c>
      <c r="TN31" s="2">
        <v>45.2</v>
      </c>
      <c r="TO31" s="2">
        <v>45.61</v>
      </c>
      <c r="TP31" s="2">
        <v>45.8</v>
      </c>
      <c r="TQ31" s="2">
        <v>46.32</v>
      </c>
      <c r="TR31" s="2">
        <v>47.17</v>
      </c>
      <c r="TS31" s="2">
        <v>47.43</v>
      </c>
      <c r="TT31" s="2">
        <v>47.54</v>
      </c>
      <c r="TU31" s="2">
        <v>47.87</v>
      </c>
      <c r="TV31" s="2">
        <v>47.99</v>
      </c>
      <c r="TW31" s="2">
        <v>48.21</v>
      </c>
      <c r="TX31" s="2">
        <v>48.88</v>
      </c>
      <c r="TY31" s="2">
        <v>49.43</v>
      </c>
      <c r="TZ31" s="2">
        <v>50.25</v>
      </c>
      <c r="UA31" s="2">
        <v>50.32</v>
      </c>
      <c r="UB31" s="2">
        <v>50.84</v>
      </c>
      <c r="UC31" s="2">
        <v>51.66</v>
      </c>
      <c r="UD31" s="2">
        <v>52.59</v>
      </c>
      <c r="UE31" s="2">
        <v>53.14</v>
      </c>
      <c r="UF31" s="2">
        <v>53.92</v>
      </c>
      <c r="UG31" s="2">
        <v>54.18</v>
      </c>
      <c r="UH31" s="2">
        <v>54.74</v>
      </c>
      <c r="UI31" s="2">
        <v>55.82</v>
      </c>
      <c r="UJ31" s="2">
        <v>56.19</v>
      </c>
      <c r="UK31" s="2">
        <v>56.78</v>
      </c>
      <c r="UL31" s="2">
        <v>57.08</v>
      </c>
      <c r="UM31" s="2">
        <v>57.64</v>
      </c>
      <c r="UN31" s="2">
        <v>57.93</v>
      </c>
      <c r="UO31" s="2">
        <v>58.49</v>
      </c>
      <c r="UP31" s="2">
        <v>58.67</v>
      </c>
      <c r="UQ31" s="2">
        <v>61.68</v>
      </c>
      <c r="UR31" s="2">
        <v>61.42</v>
      </c>
      <c r="US31" s="2">
        <v>62.42</v>
      </c>
      <c r="UT31" s="2">
        <v>62.68</v>
      </c>
      <c r="UU31" s="2">
        <v>62.98</v>
      </c>
      <c r="UV31" s="2">
        <v>63.72</v>
      </c>
      <c r="UW31" s="2">
        <v>64.28</v>
      </c>
      <c r="UX31" s="2">
        <v>64.76000000000001</v>
      </c>
      <c r="UY31" s="2">
        <v>64.72</v>
      </c>
      <c r="UZ31" s="2">
        <v>65.28</v>
      </c>
      <c r="VA31" s="2">
        <v>66.02</v>
      </c>
      <c r="VB31" s="2">
        <v>66.28</v>
      </c>
      <c r="VC31" s="2">
        <v>66.62</v>
      </c>
      <c r="VD31" s="2">
        <v>66.62</v>
      </c>
      <c r="VE31" s="2">
        <v>66.88</v>
      </c>
      <c r="VF31" s="2">
        <v>66.8</v>
      </c>
      <c r="VG31" s="2">
        <v>66.47</v>
      </c>
      <c r="VH31" s="2">
        <v>67.20999999999999</v>
      </c>
      <c r="VI31" s="2">
        <v>67.58</v>
      </c>
      <c r="VJ31" s="2">
        <v>67.66</v>
      </c>
      <c r="VK31" s="2">
        <v>68.06</v>
      </c>
      <c r="VL31" s="2">
        <v>68.20999999999999</v>
      </c>
      <c r="VM31" s="2">
        <v>68.29000000000001</v>
      </c>
      <c r="VN31" s="2">
        <v>68.51000000000001</v>
      </c>
      <c r="VO31" s="2">
        <v>68.81</v>
      </c>
      <c r="VP31" s="2">
        <v>69.36</v>
      </c>
      <c r="VQ31" s="2">
        <v>69.51000000000001</v>
      </c>
      <c r="VR31" s="2">
        <v>69.88</v>
      </c>
      <c r="VS31" s="2">
        <v>70.33</v>
      </c>
      <c r="VT31" s="2">
        <v>70.44</v>
      </c>
      <c r="VU31" s="2">
        <v>70.73999999999999</v>
      </c>
      <c r="VV31" s="2">
        <v>71.03</v>
      </c>
      <c r="VW31" s="2">
        <v>71.22</v>
      </c>
      <c r="VX31" s="2">
        <v>71.89</v>
      </c>
      <c r="VY31" s="2">
        <v>72.37</v>
      </c>
      <c r="VZ31" s="2">
        <v>73.04000000000001</v>
      </c>
      <c r="WA31" s="2">
        <v>73.7</v>
      </c>
      <c r="WB31" s="2">
        <v>73.89</v>
      </c>
      <c r="WC31" s="2">
        <v>73.48</v>
      </c>
      <c r="WD31" s="2">
        <v>73.26000000000001</v>
      </c>
      <c r="WE31" s="2">
        <v>73.93000000000001</v>
      </c>
      <c r="WF31" s="2">
        <v>73.95999999999999</v>
      </c>
      <c r="WG31" s="2">
        <v>74.15000000000001</v>
      </c>
      <c r="WH31" s="2">
        <v>73.95999999999999</v>
      </c>
      <c r="WI31" s="2">
        <v>73.92</v>
      </c>
      <c r="WJ31" s="2">
        <v>74.06</v>
      </c>
      <c r="WK31" s="2">
        <v>73.83</v>
      </c>
      <c r="WL31" s="2">
        <v>74.34</v>
      </c>
      <c r="WM31" s="2">
        <v>74.69</v>
      </c>
      <c r="WN31" s="2">
        <v>75.08</v>
      </c>
      <c r="WO31" s="2">
        <v>75.59999999999999</v>
      </c>
      <c r="WP31" s="2">
        <v>76.02</v>
      </c>
      <c r="WQ31" s="2">
        <v>76.19</v>
      </c>
      <c r="WR31" s="2">
        <v>77.04000000000001</v>
      </c>
      <c r="WS31" s="2">
        <v>77.26000000000001</v>
      </c>
      <c r="WT31" s="2">
        <v>77.54000000000001</v>
      </c>
      <c r="WU31" s="2">
        <v>78.69</v>
      </c>
      <c r="WV31" s="2">
        <v>79.48999999999999</v>
      </c>
      <c r="WW31" s="2">
        <v>80.14</v>
      </c>
      <c r="WX31" s="2">
        <v>80.17</v>
      </c>
      <c r="WY31" s="2">
        <v>80.5</v>
      </c>
      <c r="WZ31" s="2">
        <v>80</v>
      </c>
      <c r="XA31" s="2">
        <v>81.06</v>
      </c>
      <c r="XB31" s="2">
        <v>81.11</v>
      </c>
      <c r="XC31" s="2">
        <v>81.7</v>
      </c>
      <c r="XD31" s="2">
        <v>81.61</v>
      </c>
      <c r="XE31" s="2">
        <v>82.62</v>
      </c>
      <c r="XF31" s="2">
        <v>82.43000000000001</v>
      </c>
      <c r="XG31" s="2">
        <v>83.14</v>
      </c>
      <c r="XH31" s="2">
        <v>82.79000000000001</v>
      </c>
      <c r="XI31" s="2">
        <v>83.54000000000001</v>
      </c>
      <c r="XJ31" s="2">
        <v>83.38</v>
      </c>
      <c r="XK31" s="2">
        <v>82.64</v>
      </c>
      <c r="XL31" s="2">
        <v>82.56999999999999</v>
      </c>
      <c r="XM31" s="2">
        <v>82.90000000000001</v>
      </c>
      <c r="XN31" s="2">
        <v>83.19</v>
      </c>
      <c r="XO31" s="2">
        <v>84.28</v>
      </c>
      <c r="XP31" s="2">
        <v>83.75</v>
      </c>
      <c r="XQ31" s="2">
        <v>84.17</v>
      </c>
      <c r="XR31" s="2">
        <v>85.27</v>
      </c>
      <c r="XS31" s="2">
        <v>85.16</v>
      </c>
      <c r="XT31" s="2">
        <v>84.59999999999999</v>
      </c>
      <c r="XU31" s="2">
        <v>85.58</v>
      </c>
      <c r="XV31" s="2">
        <v>86.05</v>
      </c>
      <c r="XW31" s="2">
        <v>86.78</v>
      </c>
      <c r="XX31" s="2">
        <v>85.81999999999999</v>
      </c>
      <c r="XY31" s="2">
        <v>87.48999999999999</v>
      </c>
      <c r="XZ31" s="2">
        <v>87.87</v>
      </c>
      <c r="YA31" s="2">
        <v>90.05</v>
      </c>
      <c r="YB31" s="2">
        <v>91.34</v>
      </c>
      <c r="YC31" s="2">
        <v>92.33</v>
      </c>
      <c r="YD31" s="2">
        <v>93.72</v>
      </c>
      <c r="YE31" s="2">
        <v>94.31999999999999</v>
      </c>
      <c r="YF31" s="2">
        <v>93.98999999999999</v>
      </c>
      <c r="YG31" s="2">
        <v>96.06</v>
      </c>
      <c r="YH31" s="2">
        <v>96.44</v>
      </c>
      <c r="YI31" s="2">
        <v>96.58</v>
      </c>
      <c r="YJ31" s="2">
        <v>96.69</v>
      </c>
      <c r="YK31" s="2">
        <v>97.23</v>
      </c>
      <c r="YL31" s="2">
        <v>98.72</v>
      </c>
      <c r="YM31" s="2">
        <v>100.31</v>
      </c>
      <c r="YN31" s="2">
        <v>100.37</v>
      </c>
      <c r="YO31" s="2">
        <v>100.96</v>
      </c>
      <c r="YP31" s="2">
        <v>101.31</v>
      </c>
      <c r="AEY31" s="2">
        <v>0.4</v>
      </c>
      <c r="AEZ31" s="2">
        <v>2.4</v>
      </c>
      <c r="AFA31" s="2">
        <v>1.9</v>
      </c>
      <c r="AFB31" s="2">
        <v>1.1</v>
      </c>
      <c r="AFC31" s="2">
        <v>0.9</v>
      </c>
      <c r="AFD31" s="2">
        <v>-0.1</v>
      </c>
      <c r="AFE31" s="2">
        <v>3.1</v>
      </c>
      <c r="AFF31" s="2">
        <v>1.8</v>
      </c>
      <c r="AFG31" s="2">
        <v>0.4</v>
      </c>
      <c r="AFH31" s="2">
        <v>1.3</v>
      </c>
      <c r="AFI31" s="2">
        <v>0.5</v>
      </c>
      <c r="AFJ31" s="2">
        <v>2.4</v>
      </c>
      <c r="AFK31" s="2">
        <v>1.1</v>
      </c>
      <c r="AFL31" s="2">
        <v>4</v>
      </c>
      <c r="AFM31" s="2">
        <v>0.8</v>
      </c>
      <c r="AFN31" s="2">
        <v>0.9</v>
      </c>
      <c r="AFO31" s="2">
        <v>0.4</v>
      </c>
      <c r="AFP31" s="2">
        <v>1.1</v>
      </c>
      <c r="AFQ31" s="2">
        <v>1.8</v>
      </c>
      <c r="AFR31" s="2">
        <v>0.6</v>
      </c>
      <c r="AFS31" s="2">
        <v>0.2</v>
      </c>
      <c r="AFT31" s="2">
        <v>0.7</v>
      </c>
      <c r="AFU31" s="2">
        <v>0.3</v>
      </c>
      <c r="AFV31" s="2">
        <v>0.5</v>
      </c>
      <c r="AFW31" s="2">
        <v>1.4</v>
      </c>
      <c r="AFX31" s="2">
        <v>1.1</v>
      </c>
      <c r="AFY31" s="2">
        <v>1.7</v>
      </c>
      <c r="AFZ31" s="2">
        <v>0.1</v>
      </c>
      <c r="AGA31" s="2">
        <v>1</v>
      </c>
      <c r="AGB31" s="2">
        <v>1.6</v>
      </c>
      <c r="AGC31" s="2">
        <v>1.8</v>
      </c>
      <c r="AGD31" s="2">
        <v>1</v>
      </c>
      <c r="AGE31" s="2">
        <v>1.5</v>
      </c>
      <c r="AGF31" s="2">
        <v>0.5</v>
      </c>
      <c r="AGG31" s="2">
        <v>1</v>
      </c>
      <c r="AGH31" s="2">
        <v>2</v>
      </c>
      <c r="AGI31" s="2">
        <v>0.7</v>
      </c>
      <c r="AGJ31" s="2">
        <v>1.1</v>
      </c>
      <c r="AGK31" s="2">
        <v>0.5</v>
      </c>
      <c r="AGL31" s="2">
        <v>1</v>
      </c>
      <c r="AGM31" s="2">
        <v>0.5</v>
      </c>
      <c r="AGN31" s="2">
        <v>1</v>
      </c>
      <c r="AGO31" s="2">
        <v>0.3</v>
      </c>
      <c r="AGP31" s="2">
        <v>5.1</v>
      </c>
      <c r="AGQ31" s="2">
        <v>-0.4</v>
      </c>
      <c r="AGR31" s="2">
        <v>1.6</v>
      </c>
      <c r="AGS31" s="2">
        <v>0.4</v>
      </c>
      <c r="AGT31" s="2">
        <v>0.5</v>
      </c>
      <c r="AGU31" s="2">
        <v>1.2</v>
      </c>
      <c r="AGV31" s="2">
        <v>0.9</v>
      </c>
      <c r="AGW31" s="2">
        <v>0.7</v>
      </c>
      <c r="AGX31" s="2">
        <v>-0.1</v>
      </c>
      <c r="AGY31" s="2">
        <v>0.9</v>
      </c>
      <c r="AGZ31" s="2">
        <v>1.1</v>
      </c>
      <c r="AHA31" s="2">
        <v>0.4</v>
      </c>
      <c r="AHB31" s="2">
        <v>0.5</v>
      </c>
      <c r="AHC31" s="2">
        <v>0</v>
      </c>
      <c r="AHD31" s="2">
        <v>0.4</v>
      </c>
      <c r="AHE31" s="2">
        <v>-0.1</v>
      </c>
      <c r="AHF31" s="2">
        <v>-0.5</v>
      </c>
      <c r="AHG31" s="2">
        <v>1.1</v>
      </c>
      <c r="AHH31" s="2">
        <v>0.6</v>
      </c>
      <c r="AHI31" s="2">
        <v>0.1</v>
      </c>
      <c r="AHJ31" s="2">
        <v>0.6</v>
      </c>
      <c r="AHK31" s="2">
        <v>0.2</v>
      </c>
      <c r="AHL31" s="2">
        <v>0.1</v>
      </c>
      <c r="AHM31" s="2">
        <v>0.3</v>
      </c>
      <c r="AHN31" s="2">
        <v>0.4</v>
      </c>
      <c r="AHO31" s="2">
        <v>0.8</v>
      </c>
      <c r="AHP31" s="2">
        <v>0.2</v>
      </c>
      <c r="AHQ31" s="2">
        <v>0.5</v>
      </c>
      <c r="AHR31" s="2">
        <v>0.6</v>
      </c>
      <c r="AHS31" s="2">
        <v>0.2</v>
      </c>
      <c r="AHT31" s="2">
        <v>0.4</v>
      </c>
      <c r="AHU31" s="2">
        <v>0.4</v>
      </c>
      <c r="AHV31" s="2">
        <v>0.3</v>
      </c>
      <c r="AHW31" s="2">
        <v>0.9</v>
      </c>
      <c r="AHX31" s="2">
        <v>0.7</v>
      </c>
      <c r="AHY31" s="2">
        <v>0.9</v>
      </c>
      <c r="AHZ31" s="2">
        <v>0.9</v>
      </c>
      <c r="AIA31" s="2">
        <v>0.3</v>
      </c>
      <c r="AIB31" s="2">
        <v>-0.6</v>
      </c>
      <c r="AIC31" s="2">
        <v>-0.3</v>
      </c>
      <c r="AID31" s="2">
        <v>0.9</v>
      </c>
      <c r="AIE31" s="2">
        <v>0</v>
      </c>
      <c r="AIF31" s="2">
        <v>0.3</v>
      </c>
      <c r="AIG31" s="2">
        <v>-0.3</v>
      </c>
      <c r="AIH31" s="2">
        <v>-0.1</v>
      </c>
      <c r="AII31" s="2">
        <v>0.2</v>
      </c>
      <c r="AIJ31" s="2">
        <v>-0.3</v>
      </c>
      <c r="AIK31" s="2">
        <v>0.7</v>
      </c>
      <c r="AIL31" s="2">
        <v>0.5</v>
      </c>
      <c r="AIM31" s="2">
        <v>0.5</v>
      </c>
      <c r="AIN31" s="2">
        <v>0.7</v>
      </c>
      <c r="AIO31" s="2">
        <v>0.6</v>
      </c>
      <c r="AIP31" s="2">
        <v>0.2</v>
      </c>
      <c r="AIQ31" s="2">
        <v>1.1</v>
      </c>
      <c r="AIR31" s="2">
        <v>0.3</v>
      </c>
      <c r="AIS31" s="2">
        <v>0.4</v>
      </c>
      <c r="AIT31" s="2">
        <v>1.5</v>
      </c>
      <c r="AIU31" s="2">
        <v>1</v>
      </c>
      <c r="AIV31" s="2">
        <v>0.8</v>
      </c>
      <c r="AIW31" s="2">
        <v>0</v>
      </c>
      <c r="AIX31" s="2">
        <v>0.4</v>
      </c>
      <c r="AIY31" s="2">
        <v>-0.6</v>
      </c>
      <c r="AIZ31" s="2">
        <v>1.3</v>
      </c>
      <c r="AJA31" s="2">
        <v>0.1</v>
      </c>
      <c r="AJB31" s="2">
        <v>0.7</v>
      </c>
      <c r="AJC31" s="2">
        <v>-0.1</v>
      </c>
      <c r="AJD31" s="2">
        <v>1.2</v>
      </c>
      <c r="AJE31" s="2">
        <v>-0.2</v>
      </c>
      <c r="AJF31" s="2">
        <v>0.9</v>
      </c>
      <c r="AJG31" s="2">
        <v>-0.4</v>
      </c>
      <c r="AJH31" s="2">
        <v>0.9</v>
      </c>
      <c r="AJI31" s="2">
        <v>-0.2</v>
      </c>
      <c r="AJJ31" s="2">
        <v>-0.9</v>
      </c>
      <c r="AJK31" s="2">
        <v>-0.1</v>
      </c>
      <c r="AJL31" s="2">
        <v>0.4</v>
      </c>
      <c r="AJM31" s="2">
        <v>0.3</v>
      </c>
      <c r="AJN31" s="2">
        <v>1.3</v>
      </c>
      <c r="AJO31" s="2">
        <v>-0.6</v>
      </c>
      <c r="AJP31" s="2">
        <v>0.5</v>
      </c>
      <c r="AJQ31" s="2">
        <v>1.3</v>
      </c>
      <c r="AJR31" s="2">
        <v>-0.1</v>
      </c>
      <c r="AJS31" s="2">
        <v>-0.7</v>
      </c>
      <c r="AJT31" s="2">
        <v>1.2</v>
      </c>
      <c r="AJU31" s="2">
        <v>0.5</v>
      </c>
      <c r="AJV31" s="2">
        <v>0.8</v>
      </c>
      <c r="AJW31" s="2">
        <v>-1.1</v>
      </c>
      <c r="AJX31" s="2">
        <v>1.9</v>
      </c>
      <c r="AJY31" s="2">
        <v>0.4</v>
      </c>
      <c r="AJZ31" s="2">
        <v>2.5</v>
      </c>
      <c r="AKA31" s="2">
        <v>1.4</v>
      </c>
      <c r="AKB31" s="2">
        <v>1.1</v>
      </c>
      <c r="AKC31" s="2">
        <v>1.5</v>
      </c>
      <c r="AKD31" s="2">
        <v>0.6</v>
      </c>
      <c r="AKE31" s="2">
        <v>-0.3</v>
      </c>
      <c r="AKF31" s="2">
        <v>2.2</v>
      </c>
      <c r="AKG31" s="2">
        <v>0.4</v>
      </c>
      <c r="AKH31" s="2">
        <v>0.1</v>
      </c>
      <c r="AKI31" s="2">
        <v>0.1</v>
      </c>
      <c r="AKJ31" s="2">
        <v>0.6</v>
      </c>
      <c r="AKK31" s="2">
        <v>1.5</v>
      </c>
      <c r="AKL31" s="2">
        <v>1.6</v>
      </c>
      <c r="AKM31" s="2">
        <v>0.1</v>
      </c>
      <c r="AKN31" s="2">
        <v>0.6</v>
      </c>
      <c r="AKO31" s="2">
        <v>0.3</v>
      </c>
      <c r="AKP31" s="2">
        <v>0.47</v>
      </c>
      <c r="AKQ31" s="2">
        <v>0.48</v>
      </c>
      <c r="AKR31" s="2">
        <v>0.48</v>
      </c>
    </row>
    <row r="32">
      <c r="A32" t="inlineStr">
        <is>
          <t>Holiday travel and accommodation</t>
        </is>
      </c>
      <c r="B32" t="inlineStr">
        <is>
          <t>Recreation and culture</t>
        </is>
      </c>
      <c r="C32">
        <v>2</v>
      </c>
      <c r="D32">
        <v>6.67</v>
      </c>
      <c r="E32" s="3">
        <f>D32/13.1*0.1309</f>
        <v>0.06664908396946564</v>
      </c>
      <c r="F32" s="3">
        <f>E32-D32/100</f>
        <v>-5.09160305343509e-05</v>
      </c>
      <c r="G32" s="3">
        <f>D32/13.1</f>
        <v>0.5091603053435114</v>
      </c>
      <c r="H32" s="2">
        <v>81.75</v>
      </c>
      <c r="I32" s="2">
        <v>81.92</v>
      </c>
      <c r="J32" s="2">
        <v>80.42</v>
      </c>
      <c r="K32" s="2">
        <v>89.95999999999999</v>
      </c>
      <c r="L32" s="2">
        <v>88.63</v>
      </c>
      <c r="M32" s="2">
        <v>81.58</v>
      </c>
      <c r="N32" s="2">
        <v>80.75</v>
      </c>
      <c r="O32" s="2">
        <v>85.09</v>
      </c>
      <c r="P32" s="2">
        <v>80.81999999999999</v>
      </c>
      <c r="Q32" s="2">
        <v>82.29000000000001</v>
      </c>
      <c r="R32" s="2">
        <v>89.43000000000001</v>
      </c>
      <c r="S32" s="2">
        <v>82.09999999999999</v>
      </c>
      <c r="T32" s="2">
        <v>85.28</v>
      </c>
      <c r="U32" s="2">
        <v>86.09</v>
      </c>
      <c r="V32" s="2">
        <v>83.27</v>
      </c>
      <c r="W32" s="2">
        <v>94.45</v>
      </c>
      <c r="X32" s="2">
        <v>92.02</v>
      </c>
      <c r="Y32" s="2">
        <v>83.13</v>
      </c>
      <c r="Z32" s="2">
        <v>80.79000000000001</v>
      </c>
      <c r="AA32" s="2">
        <v>89.27</v>
      </c>
      <c r="AB32" s="2">
        <v>82.95999999999999</v>
      </c>
      <c r="AC32" s="2">
        <v>85.28</v>
      </c>
      <c r="AD32" s="2">
        <v>92.28</v>
      </c>
      <c r="AE32" s="2">
        <v>86</v>
      </c>
      <c r="AF32" s="2">
        <v>87.31999999999999</v>
      </c>
      <c r="AG32" s="2">
        <v>89.8</v>
      </c>
      <c r="AH32" s="2">
        <v>84.28</v>
      </c>
      <c r="AI32" s="2">
        <v>96.63</v>
      </c>
      <c r="AJ32" s="2">
        <v>95.55</v>
      </c>
      <c r="AK32" s="2">
        <v>82.72</v>
      </c>
      <c r="AL32" s="2">
        <v>84.25</v>
      </c>
      <c r="AM32" s="2">
        <v>86.56</v>
      </c>
      <c r="AN32" s="2">
        <v>84.88</v>
      </c>
      <c r="AO32" s="2">
        <v>84.54000000000001</v>
      </c>
      <c r="AP32" s="2">
        <v>89.59</v>
      </c>
      <c r="AQ32" s="2">
        <v>89.17</v>
      </c>
      <c r="AR32" s="2">
        <v>81.09</v>
      </c>
      <c r="AS32" s="2">
        <v>80.17</v>
      </c>
      <c r="AT32" s="2">
        <v>79.48999999999999</v>
      </c>
      <c r="AU32" s="2">
        <v>88.7</v>
      </c>
      <c r="AV32" s="2">
        <v>86.40000000000001</v>
      </c>
      <c r="AW32" s="2">
        <v>79.55</v>
      </c>
      <c r="AX32" s="2">
        <v>78.29000000000001</v>
      </c>
      <c r="AY32" s="2">
        <v>82.91</v>
      </c>
      <c r="AZ32" s="2">
        <v>77.8</v>
      </c>
      <c r="BA32" s="2">
        <v>81.16</v>
      </c>
      <c r="BB32" s="2">
        <v>80.03</v>
      </c>
      <c r="BC32" s="2">
        <v>79.75</v>
      </c>
      <c r="BD32" s="2">
        <v>83.41</v>
      </c>
      <c r="BE32" s="2">
        <v>84.75</v>
      </c>
      <c r="BF32" s="2">
        <v>81.3</v>
      </c>
      <c r="BG32" s="2">
        <v>89.98999999999999</v>
      </c>
      <c r="BH32" s="2">
        <v>91.68000000000001</v>
      </c>
      <c r="BI32" s="2">
        <v>80.34</v>
      </c>
      <c r="BJ32" s="2">
        <v>82.27</v>
      </c>
      <c r="BK32" s="2">
        <v>89.7</v>
      </c>
      <c r="BL32" s="2">
        <v>82.98999999999999</v>
      </c>
      <c r="BM32" s="2">
        <v>87.43000000000001</v>
      </c>
      <c r="BN32" s="2">
        <v>90.66</v>
      </c>
      <c r="BO32" s="2">
        <v>86.12</v>
      </c>
      <c r="BP32" s="2">
        <v>93.92</v>
      </c>
      <c r="BQ32" s="2">
        <v>87.91</v>
      </c>
      <c r="BR32" s="2">
        <v>91.63</v>
      </c>
      <c r="BS32" s="2">
        <v>116.41</v>
      </c>
      <c r="BT32" s="2">
        <v>108.09</v>
      </c>
      <c r="BU32" s="2">
        <v>92.29000000000001</v>
      </c>
      <c r="BV32" s="2">
        <v>93.7</v>
      </c>
      <c r="BW32" s="2">
        <v>100.35</v>
      </c>
      <c r="BX32" s="2">
        <v>89.04000000000001</v>
      </c>
      <c r="BY32" s="2">
        <v>98.73999999999999</v>
      </c>
      <c r="BZ32" s="2">
        <v>95.48</v>
      </c>
      <c r="CA32" s="2">
        <v>91.78</v>
      </c>
      <c r="CB32" s="2">
        <v>95.73</v>
      </c>
      <c r="CC32" s="2">
        <v>89.04000000000001</v>
      </c>
      <c r="CD32" s="2">
        <v>91.41</v>
      </c>
      <c r="CE32" s="2">
        <v>105.85</v>
      </c>
      <c r="CF32" s="2">
        <v>100.35</v>
      </c>
      <c r="CG32" s="2">
        <v>91.09</v>
      </c>
      <c r="CH32" s="2">
        <v>89.97</v>
      </c>
      <c r="CI32" s="2">
        <v>94.17</v>
      </c>
      <c r="CJ32" s="2">
        <v>91.66</v>
      </c>
      <c r="CK32" s="2">
        <v>98.04000000000001</v>
      </c>
      <c r="CL32" s="2">
        <v>95.66</v>
      </c>
      <c r="CM32" s="2">
        <v>94.36</v>
      </c>
      <c r="CN32" s="2">
        <v>98.06999999999999</v>
      </c>
      <c r="CO32" s="2">
        <v>96.17</v>
      </c>
      <c r="CP32" s="2">
        <v>94.90000000000001</v>
      </c>
      <c r="CQ32" s="2">
        <v>105.81</v>
      </c>
      <c r="CR32" s="2">
        <v>99.56999999999999</v>
      </c>
      <c r="CS32" s="2">
        <v>91.97</v>
      </c>
      <c r="CT32" s="2">
        <v>93.54000000000001</v>
      </c>
      <c r="CU32" s="2">
        <v>99.2</v>
      </c>
      <c r="CV32" s="2">
        <v>92.18000000000001</v>
      </c>
      <c r="CW32" s="2">
        <v>94.40000000000001</v>
      </c>
      <c r="CX32" s="2">
        <v>98.81</v>
      </c>
      <c r="CY32" s="2">
        <v>95.38</v>
      </c>
      <c r="CZ32" s="2">
        <v>100</v>
      </c>
      <c r="DA32" s="2">
        <v>99.05</v>
      </c>
      <c r="DB32" s="2">
        <v>96.59999999999999</v>
      </c>
      <c r="DC32" s="2">
        <v>111.94</v>
      </c>
      <c r="DD32" s="2">
        <v>103.43</v>
      </c>
      <c r="DE32" s="2">
        <v>96.89</v>
      </c>
      <c r="DF32" s="2">
        <v>95.58</v>
      </c>
      <c r="DG32" s="2">
        <v>100.87</v>
      </c>
      <c r="DH32" s="2">
        <v>93.89</v>
      </c>
      <c r="DI32" s="2">
        <v>98.17</v>
      </c>
      <c r="DJ32" s="2">
        <v>99.95</v>
      </c>
      <c r="DK32" s="2">
        <v>4.3</v>
      </c>
      <c r="DL32" s="2">
        <v>5.1</v>
      </c>
      <c r="DM32" s="2">
        <v>3.5</v>
      </c>
      <c r="DN32" s="2">
        <v>5</v>
      </c>
      <c r="DO32" s="2">
        <v>3.8</v>
      </c>
      <c r="DP32" s="2">
        <v>1.9</v>
      </c>
      <c r="DQ32" s="2">
        <v>0</v>
      </c>
      <c r="DR32" s="2">
        <v>4.9</v>
      </c>
      <c r="DS32" s="2">
        <v>2.6</v>
      </c>
      <c r="DT32" s="2">
        <v>3.6</v>
      </c>
      <c r="DU32" s="2">
        <v>3.2</v>
      </c>
      <c r="DV32" s="2">
        <v>4.8</v>
      </c>
      <c r="DW32" s="2">
        <v>2.4</v>
      </c>
      <c r="DX32" s="2">
        <v>4.3</v>
      </c>
      <c r="DY32" s="2">
        <v>1.2</v>
      </c>
      <c r="DZ32" s="2">
        <v>2.3</v>
      </c>
      <c r="EA32" s="2">
        <v>3.8</v>
      </c>
      <c r="EB32" s="2">
        <v>-0.5</v>
      </c>
      <c r="EC32" s="2">
        <v>4.3</v>
      </c>
      <c r="ED32" s="2">
        <v>-3</v>
      </c>
      <c r="EE32" s="2">
        <v>2.3</v>
      </c>
      <c r="EF32" s="2">
        <v>-0.9</v>
      </c>
      <c r="EG32" s="2">
        <v>-2.9</v>
      </c>
      <c r="EH32" s="2">
        <v>3.7</v>
      </c>
      <c r="EI32" s="2">
        <v>-7.1</v>
      </c>
      <c r="EJ32" s="2">
        <v>-10.7</v>
      </c>
      <c r="EK32" s="2">
        <v>-5.7</v>
      </c>
      <c r="EL32" s="2">
        <v>-8.199999999999999</v>
      </c>
      <c r="EM32" s="2">
        <v>-9.6</v>
      </c>
      <c r="EN32" s="2">
        <v>-3.8</v>
      </c>
      <c r="EO32" s="2">
        <v>-7.1</v>
      </c>
      <c r="EP32" s="2">
        <v>-4.2</v>
      </c>
      <c r="EQ32" s="2">
        <v>-8.300000000000001</v>
      </c>
      <c r="ER32" s="2">
        <v>-4</v>
      </c>
      <c r="ES32" s="2">
        <v>-10.7</v>
      </c>
      <c r="ET32" s="2">
        <v>-10.6</v>
      </c>
      <c r="EU32" s="2">
        <v>2.9</v>
      </c>
      <c r="EV32" s="2">
        <v>5.7</v>
      </c>
      <c r="EW32" s="2">
        <v>2.3</v>
      </c>
      <c r="EX32" s="2">
        <v>1.5</v>
      </c>
      <c r="EY32" s="2">
        <v>6.1</v>
      </c>
      <c r="EZ32" s="2">
        <v>1</v>
      </c>
      <c r="FA32" s="2">
        <v>5.1</v>
      </c>
      <c r="FB32" s="2">
        <v>8.199999999999999</v>
      </c>
      <c r="FC32" s="2">
        <v>6.7</v>
      </c>
      <c r="FD32" s="2">
        <v>7.7</v>
      </c>
      <c r="FE32" s="2">
        <v>13.3</v>
      </c>
      <c r="FF32" s="2">
        <v>8</v>
      </c>
      <c r="FG32" s="2">
        <v>12.6</v>
      </c>
      <c r="FH32" s="2">
        <v>3.7</v>
      </c>
      <c r="FI32" s="2">
        <v>12.7</v>
      </c>
      <c r="FJ32" s="2">
        <v>29.4</v>
      </c>
      <c r="FK32" s="2">
        <v>17.9</v>
      </c>
      <c r="FL32" s="2">
        <v>14.9</v>
      </c>
      <c r="FM32" s="2">
        <v>13.9</v>
      </c>
      <c r="FN32" s="2">
        <v>11.9</v>
      </c>
      <c r="FO32" s="2">
        <v>7.3</v>
      </c>
      <c r="FP32" s="2">
        <v>12.9</v>
      </c>
      <c r="FQ32" s="2">
        <v>5.3</v>
      </c>
      <c r="FR32" s="2">
        <v>6.6</v>
      </c>
      <c r="FS32" s="2">
        <v>1.9</v>
      </c>
      <c r="FT32" s="2">
        <v>1.3</v>
      </c>
      <c r="FU32" s="2">
        <v>-0.2</v>
      </c>
      <c r="FV32" s="2">
        <v>-9.1</v>
      </c>
      <c r="FW32" s="2">
        <v>-7.2</v>
      </c>
      <c r="FX32" s="2">
        <v>-1.3</v>
      </c>
      <c r="FY32" s="2">
        <v>-4</v>
      </c>
      <c r="FZ32" s="2">
        <v>-6.2</v>
      </c>
      <c r="GA32" s="2">
        <v>2.9</v>
      </c>
      <c r="GB32" s="2">
        <v>-0.7</v>
      </c>
      <c r="GC32" s="2">
        <v>0.2</v>
      </c>
      <c r="GD32" s="2">
        <v>2.8</v>
      </c>
      <c r="GE32" s="2">
        <v>2.4</v>
      </c>
      <c r="GF32" s="2">
        <v>8</v>
      </c>
      <c r="GG32" s="2">
        <v>3.8</v>
      </c>
      <c r="GH32" s="2">
        <v>0</v>
      </c>
      <c r="GI32" s="2">
        <v>-0.8</v>
      </c>
      <c r="GJ32" s="2">
        <v>1</v>
      </c>
      <c r="GK32" s="2">
        <v>4</v>
      </c>
      <c r="GL32" s="2">
        <v>5.3</v>
      </c>
      <c r="GM32" s="2">
        <v>0.6</v>
      </c>
      <c r="GN32" s="2">
        <v>-3.7</v>
      </c>
      <c r="GO32" s="2">
        <v>3.3</v>
      </c>
      <c r="GP32" s="2">
        <v>1.1</v>
      </c>
      <c r="GQ32" s="2">
        <v>2</v>
      </c>
      <c r="GR32" s="2">
        <v>3</v>
      </c>
      <c r="GS32" s="2">
        <v>1.8</v>
      </c>
      <c r="GT32" s="2">
        <v>5.8</v>
      </c>
      <c r="GU32" s="2">
        <v>3.9</v>
      </c>
      <c r="GV32" s="2">
        <v>5.3</v>
      </c>
      <c r="GW32" s="2">
        <v>2.2</v>
      </c>
      <c r="GX32" s="2">
        <v>1.7</v>
      </c>
      <c r="GY32" s="2">
        <v>1.9</v>
      </c>
      <c r="GZ32" s="2">
        <v>4</v>
      </c>
      <c r="HA32" s="2">
        <v>1.2</v>
      </c>
      <c r="HB32" s="2">
        <v>0.2</v>
      </c>
      <c r="HC32" s="2">
        <v>-1.8</v>
      </c>
      <c r="HD32" s="2">
        <v>11.9</v>
      </c>
      <c r="HE32" s="2">
        <v>-1.5</v>
      </c>
      <c r="HF32" s="2">
        <v>-8</v>
      </c>
      <c r="HG32" s="2">
        <v>-1</v>
      </c>
      <c r="HH32" s="2">
        <v>5.4</v>
      </c>
      <c r="HI32" s="2">
        <v>-5</v>
      </c>
      <c r="HJ32" s="2">
        <v>1.8</v>
      </c>
      <c r="HK32" s="2">
        <v>8.699999999999999</v>
      </c>
      <c r="HL32" s="2">
        <v>-8.199999999999999</v>
      </c>
      <c r="HM32" s="2">
        <v>3.9</v>
      </c>
      <c r="HN32" s="2">
        <v>0.9</v>
      </c>
      <c r="HO32" s="2">
        <v>-3.3</v>
      </c>
      <c r="HP32" s="2">
        <v>13.4</v>
      </c>
      <c r="HQ32" s="2">
        <v>-2.6</v>
      </c>
      <c r="HR32" s="2">
        <v>-9.699999999999999</v>
      </c>
      <c r="HS32" s="2">
        <v>-2.8</v>
      </c>
      <c r="HT32" s="2">
        <v>10.5</v>
      </c>
      <c r="HU32" s="2">
        <v>-7.1</v>
      </c>
      <c r="HV32" s="2">
        <v>2.8</v>
      </c>
      <c r="HW32" s="2">
        <v>8.199999999999999</v>
      </c>
      <c r="HX32" s="2">
        <v>-6.8</v>
      </c>
      <c r="HY32" s="2">
        <v>1.5</v>
      </c>
      <c r="HZ32" s="2">
        <v>2.8</v>
      </c>
      <c r="IA32" s="2">
        <v>-6.1</v>
      </c>
      <c r="IB32" s="2">
        <v>14.7</v>
      </c>
      <c r="IC32" s="2">
        <v>-1.1</v>
      </c>
      <c r="ID32" s="2">
        <v>-13.4</v>
      </c>
      <c r="IE32" s="2">
        <v>1.8</v>
      </c>
      <c r="IF32" s="2">
        <v>2.7</v>
      </c>
      <c r="IG32" s="2">
        <v>-1.9</v>
      </c>
      <c r="IH32" s="2">
        <v>-0.4</v>
      </c>
      <c r="II32" s="2">
        <v>6</v>
      </c>
      <c r="IJ32" s="2">
        <v>-0.5</v>
      </c>
      <c r="IK32" s="2">
        <v>-9.1</v>
      </c>
      <c r="IL32" s="2">
        <v>-1.1</v>
      </c>
      <c r="IM32" s="2">
        <v>-0.8</v>
      </c>
      <c r="IN32" s="2">
        <v>11.6</v>
      </c>
      <c r="IO32" s="2">
        <v>-2.6</v>
      </c>
      <c r="IP32" s="2">
        <v>-7.9</v>
      </c>
      <c r="IQ32" s="2">
        <v>-1.6</v>
      </c>
      <c r="IR32" s="2">
        <v>5.9</v>
      </c>
      <c r="IS32" s="2">
        <v>-6.2</v>
      </c>
      <c r="IT32" s="2">
        <v>4.3</v>
      </c>
      <c r="IU32" s="2">
        <v>-1.4</v>
      </c>
      <c r="IV32" s="2">
        <v>-0.3</v>
      </c>
      <c r="IW32" s="2">
        <v>4.6</v>
      </c>
      <c r="IX32" s="2">
        <v>1.6</v>
      </c>
      <c r="IY32" s="2">
        <v>-4.1</v>
      </c>
      <c r="IZ32" s="2">
        <v>10.7</v>
      </c>
      <c r="JA32" s="2">
        <v>1.9</v>
      </c>
      <c r="JB32" s="2">
        <v>-12.4</v>
      </c>
      <c r="JC32" s="2">
        <v>2.4</v>
      </c>
      <c r="JD32" s="2">
        <v>9</v>
      </c>
      <c r="JE32" s="2">
        <v>-7.5</v>
      </c>
      <c r="JF32" s="2">
        <v>5.4</v>
      </c>
      <c r="JG32" s="2">
        <v>3.7</v>
      </c>
      <c r="JH32" s="2">
        <v>-5</v>
      </c>
      <c r="JI32" s="2">
        <v>9.1</v>
      </c>
      <c r="JJ32" s="2">
        <v>-6.4</v>
      </c>
      <c r="JK32" s="2">
        <v>4.2</v>
      </c>
      <c r="JL32" s="2">
        <v>27</v>
      </c>
      <c r="JM32" s="2">
        <v>-7.1</v>
      </c>
      <c r="JN32" s="2">
        <v>-14.6</v>
      </c>
      <c r="JO32" s="2">
        <v>1.5</v>
      </c>
      <c r="JP32" s="2">
        <v>7.1</v>
      </c>
      <c r="JQ32" s="2">
        <v>-11.3</v>
      </c>
      <c r="JR32" s="2">
        <v>10.9</v>
      </c>
      <c r="JS32" s="2">
        <v>-3.3</v>
      </c>
      <c r="JT32" s="2">
        <v>-3.9</v>
      </c>
      <c r="JU32" s="2">
        <v>4.3</v>
      </c>
      <c r="JV32" s="2">
        <v>-7</v>
      </c>
      <c r="JW32" s="2">
        <v>2.7</v>
      </c>
      <c r="JX32" s="2">
        <v>15.8</v>
      </c>
      <c r="JY32" s="2">
        <v>-5.2</v>
      </c>
      <c r="JZ32" s="2">
        <v>-9.199999999999999</v>
      </c>
      <c r="KA32" s="2">
        <v>-1.2</v>
      </c>
      <c r="KB32" s="2">
        <v>4.7</v>
      </c>
      <c r="KC32" s="2">
        <v>-2.7</v>
      </c>
      <c r="KD32" s="2">
        <v>7</v>
      </c>
      <c r="KE32" s="2">
        <v>-2.4</v>
      </c>
      <c r="KF32" s="2">
        <v>-1.4</v>
      </c>
      <c r="KG32" s="2">
        <v>3.9</v>
      </c>
      <c r="KH32" s="2">
        <v>-1.9</v>
      </c>
      <c r="KI32" s="2">
        <v>-1.3</v>
      </c>
      <c r="KJ32" s="2">
        <v>11.5</v>
      </c>
      <c r="KK32" s="2">
        <v>-5.9</v>
      </c>
      <c r="KL32" s="2">
        <v>-7.6</v>
      </c>
      <c r="KM32" s="2">
        <v>1.7</v>
      </c>
      <c r="KN32" s="2">
        <v>6.1</v>
      </c>
      <c r="KO32" s="2">
        <v>-7.1</v>
      </c>
      <c r="KP32" s="2">
        <v>2.4</v>
      </c>
      <c r="KQ32" s="2">
        <v>4.7</v>
      </c>
      <c r="KR32" s="2">
        <v>-3.5</v>
      </c>
      <c r="KS32" s="2">
        <v>4.8</v>
      </c>
      <c r="KT32" s="2">
        <v>-1</v>
      </c>
      <c r="KU32" s="2">
        <v>-2.5</v>
      </c>
      <c r="KV32" s="2">
        <v>15.9</v>
      </c>
      <c r="KW32" s="2">
        <v>-7.6</v>
      </c>
      <c r="KX32" s="2">
        <v>-6.3</v>
      </c>
      <c r="KY32" s="2">
        <v>-1.4</v>
      </c>
      <c r="KZ32" s="2">
        <v>5.5</v>
      </c>
      <c r="LA32" s="2">
        <v>-6.9</v>
      </c>
      <c r="LB32" s="2">
        <v>4.6</v>
      </c>
      <c r="LC32" s="2">
        <v>1.8</v>
      </c>
      <c r="LD32" s="2">
        <v>6.49</v>
      </c>
      <c r="LE32" s="2">
        <v>6.11</v>
      </c>
      <c r="LF32" s="2">
        <v>5.64</v>
      </c>
      <c r="LG32" s="2">
        <v>5.74</v>
      </c>
      <c r="LH32" s="2">
        <v>6.09</v>
      </c>
      <c r="LI32" s="2">
        <v>5.65</v>
      </c>
      <c r="LJ32" s="2">
        <v>5.79</v>
      </c>
      <c r="LK32" s="2">
        <v>6.06</v>
      </c>
      <c r="LL32" s="2">
        <v>5.85</v>
      </c>
      <c r="LM32" s="2">
        <v>6.13</v>
      </c>
      <c r="LN32" s="2">
        <v>6.08</v>
      </c>
      <c r="LO32" s="2">
        <v>5.93</v>
      </c>
      <c r="LP32" s="2">
        <v>6.87</v>
      </c>
      <c r="LQ32" s="2">
        <v>6.35</v>
      </c>
      <c r="LR32" s="2">
        <v>5.94</v>
      </c>
      <c r="LS32" s="2">
        <v>5.86</v>
      </c>
      <c r="LT32" s="2">
        <v>6.19</v>
      </c>
      <c r="LU32" s="2">
        <v>5.76</v>
      </c>
      <c r="LV32" s="2">
        <v>6.02</v>
      </c>
      <c r="LW32" s="2">
        <v>6.13</v>
      </c>
      <c r="LX32" s="2">
        <v>-0.38</v>
      </c>
      <c r="LY32" s="2">
        <v>-0.47</v>
      </c>
      <c r="LZ32" s="2">
        <v>0.1</v>
      </c>
      <c r="MA32" s="2">
        <v>0.35</v>
      </c>
      <c r="MB32" s="2">
        <v>-0.44</v>
      </c>
      <c r="MC32" s="2">
        <v>0.14</v>
      </c>
      <c r="MD32" s="2">
        <v>0.27</v>
      </c>
      <c r="ME32" s="2">
        <v>-0.21</v>
      </c>
      <c r="MF32" s="2">
        <v>0.28</v>
      </c>
      <c r="MG32" s="2">
        <v>-0.05</v>
      </c>
      <c r="MH32" s="2">
        <v>-0.15</v>
      </c>
      <c r="MI32" s="2">
        <v>0.9399999999999999</v>
      </c>
      <c r="MJ32" s="2">
        <v>-0.52</v>
      </c>
      <c r="MK32" s="2">
        <v>-0.41</v>
      </c>
      <c r="ML32" s="2">
        <v>-0.08</v>
      </c>
      <c r="MM32" s="2">
        <v>0.33</v>
      </c>
      <c r="MN32" s="2">
        <v>-0.43</v>
      </c>
      <c r="MO32" s="2">
        <v>0.26</v>
      </c>
      <c r="MP32" s="2">
        <v>0.11</v>
      </c>
      <c r="RU32" s="2">
        <v>23.81</v>
      </c>
      <c r="RV32" s="2">
        <v>23.46</v>
      </c>
      <c r="RW32" s="2">
        <v>23.9</v>
      </c>
      <c r="RX32" s="2">
        <v>25.12</v>
      </c>
      <c r="RY32" s="2">
        <v>26.42</v>
      </c>
      <c r="RZ32" s="2">
        <v>27.47</v>
      </c>
      <c r="SA32" s="2">
        <v>27.56</v>
      </c>
      <c r="SB32" s="2">
        <v>27.38</v>
      </c>
      <c r="SC32" s="2">
        <v>27.82</v>
      </c>
      <c r="SD32" s="2">
        <v>27.6</v>
      </c>
      <c r="SE32" s="2">
        <v>28.08</v>
      </c>
      <c r="SF32" s="2">
        <v>28.34</v>
      </c>
      <c r="SG32" s="2">
        <v>29.04</v>
      </c>
      <c r="SH32" s="2">
        <v>30.38</v>
      </c>
      <c r="SI32" s="2">
        <v>31.47</v>
      </c>
      <c r="SJ32" s="2">
        <v>32.08</v>
      </c>
      <c r="SK32" s="2">
        <v>32.17</v>
      </c>
      <c r="SL32" s="2">
        <v>32.69</v>
      </c>
      <c r="SM32" s="2">
        <v>34.39</v>
      </c>
      <c r="SN32" s="2">
        <v>34.13</v>
      </c>
      <c r="SO32" s="2">
        <v>34.91</v>
      </c>
      <c r="SP32" s="2">
        <v>34.61</v>
      </c>
      <c r="SQ32" s="2">
        <v>36.04</v>
      </c>
      <c r="SR32" s="2">
        <v>36.39</v>
      </c>
      <c r="SS32" s="2">
        <v>38.48</v>
      </c>
      <c r="ST32" s="2">
        <v>38.79</v>
      </c>
      <c r="SU32" s="2">
        <v>38.74</v>
      </c>
      <c r="SV32" s="2">
        <v>41.27</v>
      </c>
      <c r="SW32" s="2">
        <v>39.83</v>
      </c>
      <c r="SX32" s="2">
        <v>40.83</v>
      </c>
      <c r="SY32" s="2">
        <v>41.44</v>
      </c>
      <c r="SZ32" s="2">
        <v>44.18</v>
      </c>
      <c r="TA32" s="2">
        <v>44.14</v>
      </c>
      <c r="TB32" s="2">
        <v>44.4</v>
      </c>
      <c r="TC32" s="2">
        <v>44.18</v>
      </c>
      <c r="TD32" s="2">
        <v>47.93</v>
      </c>
      <c r="TE32" s="2">
        <v>45.45</v>
      </c>
      <c r="TF32" s="2">
        <v>42.92</v>
      </c>
      <c r="TG32" s="2">
        <v>43.44</v>
      </c>
      <c r="TH32" s="2">
        <v>45.23</v>
      </c>
      <c r="TI32" s="2">
        <v>42.44</v>
      </c>
      <c r="TJ32" s="2">
        <v>41.7</v>
      </c>
      <c r="TK32" s="2">
        <v>41.83</v>
      </c>
      <c r="TL32" s="2">
        <v>42.97</v>
      </c>
      <c r="TM32" s="2">
        <v>41.18</v>
      </c>
      <c r="TN32" s="2">
        <v>41.79</v>
      </c>
      <c r="TO32" s="2">
        <v>41.88</v>
      </c>
      <c r="TP32" s="2">
        <v>44.4</v>
      </c>
      <c r="TQ32" s="2">
        <v>42.83</v>
      </c>
      <c r="TR32" s="2">
        <v>42.83</v>
      </c>
      <c r="TS32" s="2">
        <v>42.75</v>
      </c>
      <c r="TT32" s="2">
        <v>44.71</v>
      </c>
      <c r="TU32" s="2">
        <v>44.62</v>
      </c>
      <c r="TV32" s="2">
        <v>44.62</v>
      </c>
      <c r="TW32" s="2">
        <v>44.58</v>
      </c>
      <c r="TX32" s="2">
        <v>46.14</v>
      </c>
      <c r="TY32" s="2">
        <v>46.36</v>
      </c>
      <c r="TZ32" s="2">
        <v>44.75</v>
      </c>
      <c r="UA32" s="2">
        <v>44.45</v>
      </c>
      <c r="UB32" s="2">
        <v>45.23</v>
      </c>
      <c r="UC32" s="2">
        <v>45.58</v>
      </c>
      <c r="UD32" s="2">
        <v>44.71</v>
      </c>
      <c r="UE32" s="2">
        <v>45.58</v>
      </c>
      <c r="UF32" s="2">
        <v>46.01</v>
      </c>
      <c r="UG32" s="2">
        <v>46.93</v>
      </c>
      <c r="UH32" s="2">
        <v>46.62</v>
      </c>
      <c r="UI32" s="2">
        <v>45.82</v>
      </c>
      <c r="UJ32" s="2">
        <v>47.16</v>
      </c>
      <c r="UK32" s="2">
        <v>47.78</v>
      </c>
      <c r="UL32" s="2">
        <v>47.49</v>
      </c>
      <c r="UM32" s="2">
        <v>48.55</v>
      </c>
      <c r="UN32" s="2">
        <v>50.16</v>
      </c>
      <c r="UO32" s="2">
        <v>48.27</v>
      </c>
      <c r="UP32" s="2">
        <v>47.88</v>
      </c>
      <c r="UQ32" s="2">
        <v>51.24</v>
      </c>
      <c r="UR32" s="2">
        <v>51.16</v>
      </c>
      <c r="US32" s="2">
        <v>49.8</v>
      </c>
      <c r="UT32" s="2">
        <v>49.8</v>
      </c>
      <c r="UU32" s="2">
        <v>50.51</v>
      </c>
      <c r="UV32" s="2">
        <v>52.95</v>
      </c>
      <c r="UW32" s="2">
        <v>55.42</v>
      </c>
      <c r="UX32" s="2">
        <v>56.05</v>
      </c>
      <c r="UY32" s="2">
        <v>57.03</v>
      </c>
      <c r="UZ32" s="2">
        <v>57.81</v>
      </c>
      <c r="VA32" s="2">
        <v>57.94</v>
      </c>
      <c r="VB32" s="2">
        <v>57.2</v>
      </c>
      <c r="VC32" s="2">
        <v>56.15</v>
      </c>
      <c r="VD32" s="2">
        <v>58.14</v>
      </c>
      <c r="VE32" s="2">
        <v>56.33</v>
      </c>
      <c r="VF32" s="2">
        <v>56.05</v>
      </c>
      <c r="VG32" s="2">
        <v>56.65</v>
      </c>
      <c r="VH32" s="2">
        <v>57.79</v>
      </c>
      <c r="VI32" s="2">
        <v>58.79</v>
      </c>
      <c r="VJ32" s="2">
        <v>56.98</v>
      </c>
      <c r="VK32" s="2">
        <v>58.55</v>
      </c>
      <c r="VL32" s="2">
        <v>59.01</v>
      </c>
      <c r="VM32" s="2">
        <v>60</v>
      </c>
      <c r="VN32" s="2">
        <v>59.84</v>
      </c>
      <c r="VO32" s="2">
        <v>60.61</v>
      </c>
      <c r="VP32" s="2">
        <v>63.08</v>
      </c>
      <c r="VQ32" s="2">
        <v>62.02</v>
      </c>
      <c r="VR32" s="2">
        <v>61.42</v>
      </c>
      <c r="VS32" s="2">
        <v>63.16</v>
      </c>
      <c r="VT32" s="2">
        <v>64.78</v>
      </c>
      <c r="VU32" s="2">
        <v>64.45999999999999</v>
      </c>
      <c r="VV32" s="2">
        <v>64.01000000000001</v>
      </c>
      <c r="VW32" s="2">
        <v>66.26000000000001</v>
      </c>
      <c r="VX32" s="2">
        <v>67.31999999999999</v>
      </c>
      <c r="VY32" s="2">
        <v>64.23999999999999</v>
      </c>
      <c r="VZ32" s="2">
        <v>63.61</v>
      </c>
      <c r="WA32" s="2">
        <v>63.79</v>
      </c>
      <c r="WB32" s="2">
        <v>66.8</v>
      </c>
      <c r="WC32" s="2">
        <v>65.83</v>
      </c>
      <c r="WD32" s="2">
        <v>63.06</v>
      </c>
      <c r="WE32" s="2">
        <v>64.19</v>
      </c>
      <c r="WF32" s="2">
        <v>65.33</v>
      </c>
      <c r="WG32" s="2">
        <v>64.62</v>
      </c>
      <c r="WH32" s="2">
        <v>63.73</v>
      </c>
      <c r="WI32" s="2">
        <v>65.84</v>
      </c>
      <c r="WJ32" s="2">
        <v>67.67</v>
      </c>
      <c r="WK32" s="2">
        <v>65.44</v>
      </c>
      <c r="WL32" s="2">
        <v>63.92</v>
      </c>
      <c r="WM32" s="2">
        <v>65.45</v>
      </c>
      <c r="WN32" s="2">
        <v>67.17</v>
      </c>
      <c r="WO32" s="2">
        <v>65.95999999999999</v>
      </c>
      <c r="WP32" s="2">
        <v>64.67</v>
      </c>
      <c r="WQ32" s="2">
        <v>67.72</v>
      </c>
      <c r="WR32" s="2">
        <v>71.02</v>
      </c>
      <c r="WS32" s="2">
        <v>69.34999999999999</v>
      </c>
      <c r="WT32" s="2">
        <v>69.05</v>
      </c>
      <c r="WU32" s="2">
        <v>69.47</v>
      </c>
      <c r="WV32" s="2">
        <v>72.17</v>
      </c>
      <c r="WW32" s="2">
        <v>72.48</v>
      </c>
      <c r="WX32" s="2">
        <v>69.91</v>
      </c>
      <c r="WY32" s="2">
        <v>71.08</v>
      </c>
      <c r="WZ32" s="2">
        <v>74.06999999999999</v>
      </c>
      <c r="XA32" s="2">
        <v>72.63</v>
      </c>
      <c r="XB32" s="2">
        <v>71.31</v>
      </c>
      <c r="XC32" s="2">
        <v>72.09</v>
      </c>
      <c r="XD32" s="2">
        <v>73.23</v>
      </c>
      <c r="XE32" s="2">
        <v>71.81999999999999</v>
      </c>
      <c r="XF32" s="2">
        <v>70.89</v>
      </c>
      <c r="XG32" s="2">
        <v>72.29000000000001</v>
      </c>
      <c r="XH32" s="2">
        <v>73.65000000000001</v>
      </c>
      <c r="XI32" s="2">
        <v>73.27</v>
      </c>
      <c r="XJ32" s="2">
        <v>72.8</v>
      </c>
      <c r="XK32" s="2">
        <v>75.23999999999999</v>
      </c>
      <c r="XL32" s="2">
        <v>77.23</v>
      </c>
      <c r="XM32" s="2">
        <v>74.93000000000001</v>
      </c>
      <c r="XN32" s="2">
        <v>75.38</v>
      </c>
      <c r="XO32" s="2">
        <v>77.75</v>
      </c>
      <c r="XP32" s="2">
        <v>79.23</v>
      </c>
      <c r="XQ32" s="2">
        <v>76.79000000000001</v>
      </c>
      <c r="XR32" s="2">
        <v>75.3</v>
      </c>
      <c r="XS32" s="2">
        <v>76.45</v>
      </c>
      <c r="XT32" s="2">
        <v>81.09</v>
      </c>
      <c r="XU32" s="2">
        <v>79.70999999999999</v>
      </c>
      <c r="XV32" s="2">
        <v>78.93000000000001</v>
      </c>
      <c r="XW32" s="2">
        <v>79.36</v>
      </c>
      <c r="XX32" s="2">
        <v>83.54000000000001</v>
      </c>
      <c r="XY32" s="2">
        <v>82.98</v>
      </c>
      <c r="XZ32" s="2">
        <v>84.88</v>
      </c>
      <c r="YA32" s="2">
        <v>88.33</v>
      </c>
      <c r="YB32" s="2">
        <v>97.91</v>
      </c>
      <c r="YC32" s="2">
        <v>97.22</v>
      </c>
      <c r="YD32" s="2">
        <v>95.20999999999999</v>
      </c>
      <c r="YE32" s="2">
        <v>94.37</v>
      </c>
      <c r="YF32" s="2">
        <v>95.33</v>
      </c>
      <c r="YG32" s="2">
        <v>93.45</v>
      </c>
      <c r="YH32" s="2">
        <v>94.28</v>
      </c>
      <c r="YI32" s="2">
        <v>95.64</v>
      </c>
      <c r="YJ32" s="2">
        <v>98.59</v>
      </c>
      <c r="YK32" s="2">
        <v>95.02</v>
      </c>
      <c r="YL32" s="2">
        <v>95.27</v>
      </c>
      <c r="YM32" s="2">
        <v>98.06</v>
      </c>
      <c r="YN32" s="2">
        <v>102.53</v>
      </c>
      <c r="YO32" s="2">
        <v>98.63</v>
      </c>
      <c r="YP32" s="2">
        <v>97.64</v>
      </c>
      <c r="ADU32" s="2">
        <v>-1.5</v>
      </c>
      <c r="ADV32" s="2">
        <v>1.9</v>
      </c>
      <c r="ADW32" s="2">
        <v>5.1</v>
      </c>
      <c r="ADX32" s="2">
        <v>5.2</v>
      </c>
      <c r="ADY32" s="2">
        <v>4</v>
      </c>
      <c r="ADZ32" s="2">
        <v>0.3</v>
      </c>
      <c r="AEA32" s="2">
        <v>-0.7</v>
      </c>
      <c r="AEB32" s="2">
        <v>1.6</v>
      </c>
      <c r="AEC32" s="2">
        <v>-0.8</v>
      </c>
      <c r="AED32" s="2">
        <v>1.7</v>
      </c>
      <c r="AEE32" s="2">
        <v>0.9</v>
      </c>
      <c r="AEF32" s="2">
        <v>2.5</v>
      </c>
      <c r="AEG32" s="2">
        <v>4.6</v>
      </c>
      <c r="AEH32" s="2">
        <v>3.6</v>
      </c>
      <c r="AEI32" s="2">
        <v>1.9</v>
      </c>
      <c r="AEJ32" s="2">
        <v>0.3</v>
      </c>
      <c r="AEK32" s="2">
        <v>1.6</v>
      </c>
      <c r="AEL32" s="2">
        <v>5.2</v>
      </c>
      <c r="AEM32" s="2">
        <v>-0.8</v>
      </c>
      <c r="AEN32" s="2">
        <v>2.3</v>
      </c>
      <c r="AEO32" s="2">
        <v>-0.9</v>
      </c>
      <c r="AEP32" s="2">
        <v>4.1</v>
      </c>
      <c r="AEQ32" s="2">
        <v>1</v>
      </c>
      <c r="AER32" s="2">
        <v>5.7</v>
      </c>
      <c r="AES32" s="2">
        <v>0.8</v>
      </c>
      <c r="AET32" s="2">
        <v>-0.1</v>
      </c>
      <c r="AEU32" s="2">
        <v>6.5</v>
      </c>
      <c r="AEV32" s="2">
        <v>-3.5</v>
      </c>
      <c r="AEW32" s="2">
        <v>2.5</v>
      </c>
      <c r="AEX32" s="2">
        <v>1.5</v>
      </c>
      <c r="AEY32" s="2">
        <v>6.6</v>
      </c>
      <c r="AEZ32" s="2">
        <v>-0.1</v>
      </c>
      <c r="AFA32" s="2">
        <v>0.6</v>
      </c>
      <c r="AFB32" s="2">
        <v>-0.5</v>
      </c>
      <c r="AFC32" s="2">
        <v>8.5</v>
      </c>
      <c r="AFD32" s="2">
        <v>-5.2</v>
      </c>
      <c r="AFE32" s="2">
        <v>-5.6</v>
      </c>
      <c r="AFF32" s="2">
        <v>1.2</v>
      </c>
      <c r="AFG32" s="2">
        <v>4.1</v>
      </c>
      <c r="AFH32" s="2">
        <v>-6.2</v>
      </c>
      <c r="AFI32" s="2">
        <v>-1.7</v>
      </c>
      <c r="AFJ32" s="2">
        <v>0.3</v>
      </c>
      <c r="AFK32" s="2">
        <v>2.7</v>
      </c>
      <c r="AFL32" s="2">
        <v>-4.2</v>
      </c>
      <c r="AFM32" s="2">
        <v>1.5</v>
      </c>
      <c r="AFN32" s="2">
        <v>0.2</v>
      </c>
      <c r="AFO32" s="2">
        <v>6</v>
      </c>
      <c r="AFP32" s="2">
        <v>-3.5</v>
      </c>
      <c r="AFQ32" s="2">
        <v>0</v>
      </c>
      <c r="AFR32" s="2">
        <v>-0.2</v>
      </c>
      <c r="AFS32" s="2">
        <v>4.6</v>
      </c>
      <c r="AFT32" s="2">
        <v>-0.2</v>
      </c>
      <c r="AFU32" s="2">
        <v>0</v>
      </c>
      <c r="AFV32" s="2">
        <v>-0.1</v>
      </c>
      <c r="AFW32" s="2">
        <v>3.5</v>
      </c>
      <c r="AFX32" s="2">
        <v>0.5</v>
      </c>
      <c r="AFY32" s="2">
        <v>-3.5</v>
      </c>
      <c r="AFZ32" s="2">
        <v>-0.7</v>
      </c>
      <c r="AGA32" s="2">
        <v>1.8</v>
      </c>
      <c r="AGB32" s="2">
        <v>0.8</v>
      </c>
      <c r="AGC32" s="2">
        <v>-1.9</v>
      </c>
      <c r="AGD32" s="2">
        <v>1.9</v>
      </c>
      <c r="AGE32" s="2">
        <v>0.9</v>
      </c>
      <c r="AGF32" s="2">
        <v>2</v>
      </c>
      <c r="AGG32" s="2">
        <v>-0.7</v>
      </c>
      <c r="AGH32" s="2">
        <v>-1.7</v>
      </c>
      <c r="AGI32" s="2">
        <v>2.9</v>
      </c>
      <c r="AGJ32" s="2">
        <v>1.3</v>
      </c>
      <c r="AGK32" s="2">
        <v>-0.6</v>
      </c>
      <c r="AGL32" s="2">
        <v>2.2</v>
      </c>
      <c r="AGM32" s="2">
        <v>3.3</v>
      </c>
      <c r="AGN32" s="2">
        <v>-3.8</v>
      </c>
      <c r="AGO32" s="2">
        <v>-0.8</v>
      </c>
      <c r="AGP32" s="2">
        <v>7</v>
      </c>
      <c r="AGQ32" s="2">
        <v>-0.2</v>
      </c>
      <c r="AGR32" s="2">
        <v>-2.7</v>
      </c>
      <c r="AGS32" s="2">
        <v>0</v>
      </c>
      <c r="AGT32" s="2">
        <v>1.4</v>
      </c>
      <c r="AGU32" s="2">
        <v>4.8</v>
      </c>
      <c r="AGV32" s="2">
        <v>4.7</v>
      </c>
      <c r="AGW32" s="2">
        <v>1.1</v>
      </c>
      <c r="AGX32" s="2">
        <v>1.7</v>
      </c>
      <c r="AGY32" s="2">
        <v>1.4</v>
      </c>
      <c r="AGZ32" s="2">
        <v>0.2</v>
      </c>
      <c r="AHA32" s="2">
        <v>-1.3</v>
      </c>
      <c r="AHB32" s="2">
        <v>-1.8</v>
      </c>
      <c r="AHC32" s="2">
        <v>3.5</v>
      </c>
      <c r="AHD32" s="2">
        <v>-3.1</v>
      </c>
      <c r="AHE32" s="2">
        <v>-0.5</v>
      </c>
      <c r="AHF32" s="2">
        <v>1.1</v>
      </c>
      <c r="AHG32" s="2">
        <v>2</v>
      </c>
      <c r="AHH32" s="2">
        <v>1.7</v>
      </c>
      <c r="AHI32" s="2">
        <v>-3.1</v>
      </c>
      <c r="AHJ32" s="2">
        <v>2.8</v>
      </c>
      <c r="AHK32" s="2">
        <v>0.8</v>
      </c>
      <c r="AHL32" s="2">
        <v>1.7</v>
      </c>
      <c r="AHM32" s="2">
        <v>-0.3</v>
      </c>
      <c r="AHN32" s="2">
        <v>1.3</v>
      </c>
      <c r="AHO32" s="2">
        <v>4.1</v>
      </c>
      <c r="AHP32" s="2">
        <v>-1.7</v>
      </c>
      <c r="AHQ32" s="2">
        <v>-1</v>
      </c>
      <c r="AHR32" s="2">
        <v>2.8</v>
      </c>
      <c r="AHS32" s="2">
        <v>2.6</v>
      </c>
      <c r="AHT32" s="2">
        <v>-0.5</v>
      </c>
      <c r="AHU32" s="2">
        <v>-0.7</v>
      </c>
      <c r="AHV32" s="2">
        <v>3.5</v>
      </c>
      <c r="AHW32" s="2">
        <v>1.6</v>
      </c>
      <c r="AHX32" s="2">
        <v>-4.6</v>
      </c>
      <c r="AHY32" s="2">
        <v>-1</v>
      </c>
      <c r="AHZ32" s="2">
        <v>0.3</v>
      </c>
      <c r="AIA32" s="2">
        <v>4.7</v>
      </c>
      <c r="AIB32" s="2">
        <v>-1.5</v>
      </c>
      <c r="AIC32" s="2">
        <v>-4.2</v>
      </c>
      <c r="AID32" s="2">
        <v>1.8</v>
      </c>
      <c r="AIE32" s="2">
        <v>1.8</v>
      </c>
      <c r="AIF32" s="2">
        <v>-1.1</v>
      </c>
      <c r="AIG32" s="2">
        <v>-1.4</v>
      </c>
      <c r="AIH32" s="2">
        <v>3.3</v>
      </c>
      <c r="AII32" s="2">
        <v>2.8</v>
      </c>
      <c r="AIJ32" s="2">
        <v>-3.3</v>
      </c>
      <c r="AIK32" s="2">
        <v>-2.3</v>
      </c>
      <c r="AIL32" s="2">
        <v>2.4</v>
      </c>
      <c r="AIM32" s="2">
        <v>2.6</v>
      </c>
      <c r="AIN32" s="2">
        <v>-1.8</v>
      </c>
      <c r="AIO32" s="2">
        <v>-2</v>
      </c>
      <c r="AIP32" s="2">
        <v>4.7</v>
      </c>
      <c r="AIQ32" s="2">
        <v>4.9</v>
      </c>
      <c r="AIR32" s="2">
        <v>-2.4</v>
      </c>
      <c r="AIS32" s="2">
        <v>-0.4</v>
      </c>
      <c r="AIT32" s="2">
        <v>0.6</v>
      </c>
      <c r="AIU32" s="2">
        <v>3.9</v>
      </c>
      <c r="AIV32" s="2">
        <v>0.4</v>
      </c>
      <c r="AIW32" s="2">
        <v>-3.5</v>
      </c>
      <c r="AIX32" s="2">
        <v>1.7</v>
      </c>
      <c r="AIY32" s="2">
        <v>4.2</v>
      </c>
      <c r="AIZ32" s="2">
        <v>-1.9</v>
      </c>
      <c r="AJA32" s="2">
        <v>-1.8</v>
      </c>
      <c r="AJB32" s="2">
        <v>1.1</v>
      </c>
      <c r="AJC32" s="2">
        <v>1.6</v>
      </c>
      <c r="AJD32" s="2">
        <v>-1.9</v>
      </c>
      <c r="AJE32" s="2">
        <v>-1.3</v>
      </c>
      <c r="AJF32" s="2">
        <v>2</v>
      </c>
      <c r="AJG32" s="2">
        <v>1.9</v>
      </c>
      <c r="AJH32" s="2">
        <v>-0.5</v>
      </c>
      <c r="AJI32" s="2">
        <v>-0.6</v>
      </c>
      <c r="AJJ32" s="2">
        <v>3.4</v>
      </c>
      <c r="AJK32" s="2">
        <v>2.6</v>
      </c>
      <c r="AJL32" s="2">
        <v>-3</v>
      </c>
      <c r="AJM32" s="2">
        <v>0.6</v>
      </c>
      <c r="AJN32" s="2">
        <v>3.1</v>
      </c>
      <c r="AJO32" s="2">
        <v>1.9</v>
      </c>
      <c r="AJP32" s="2">
        <v>-3.1</v>
      </c>
      <c r="AJQ32" s="2">
        <v>-1.9</v>
      </c>
      <c r="AJR32" s="2">
        <v>1.5</v>
      </c>
      <c r="AJS32" s="2">
        <v>6.1</v>
      </c>
      <c r="AJT32" s="2">
        <v>-1.7</v>
      </c>
      <c r="AJU32" s="2">
        <v>-1</v>
      </c>
      <c r="AJV32" s="2">
        <v>0.5</v>
      </c>
      <c r="AJW32" s="2">
        <v>5.3</v>
      </c>
      <c r="AJX32" s="2">
        <v>-0.7</v>
      </c>
      <c r="AJY32" s="2">
        <v>2.3</v>
      </c>
      <c r="AJZ32" s="2">
        <v>4.1</v>
      </c>
      <c r="AKA32" s="2">
        <v>10.8</v>
      </c>
      <c r="AKB32" s="2">
        <v>-0.7</v>
      </c>
      <c r="AKC32" s="2">
        <v>-2.1</v>
      </c>
      <c r="AKD32" s="2">
        <v>-0.9</v>
      </c>
      <c r="AKE32" s="2">
        <v>1</v>
      </c>
      <c r="AKF32" s="2">
        <v>-2</v>
      </c>
      <c r="AKG32" s="2">
        <v>0.9</v>
      </c>
      <c r="AKH32" s="2">
        <v>1.4</v>
      </c>
      <c r="AKI32" s="2">
        <v>3.1</v>
      </c>
      <c r="AKJ32" s="2">
        <v>-3.6</v>
      </c>
      <c r="AKK32" s="2">
        <v>0.3</v>
      </c>
      <c r="AKL32" s="2">
        <v>2.9</v>
      </c>
      <c r="AKM32" s="2">
        <v>4.6</v>
      </c>
      <c r="AKN32" s="2">
        <v>-3.8</v>
      </c>
      <c r="AKO32" s="2">
        <v>-1</v>
      </c>
      <c r="AKP32" s="2">
        <v>6.27</v>
      </c>
      <c r="AKQ32" s="2">
        <v>6.03</v>
      </c>
      <c r="AKR32" s="2">
        <v>5.97</v>
      </c>
    </row>
    <row r="33">
      <c r="A33" t="inlineStr">
        <is>
          <t>Other recreation, sport and culture</t>
        </is>
      </c>
      <c r="B33" t="inlineStr">
        <is>
          <t>Recreation and culture</t>
        </is>
      </c>
      <c r="C33">
        <v>2</v>
      </c>
      <c r="D33">
        <v>4.08</v>
      </c>
      <c r="E33" s="3">
        <f>D33/13.1*0.1309</f>
        <v>0.04076885496183206</v>
      </c>
      <c r="F33" s="3">
        <f>E33-D33/100</f>
        <v>-3.114503816794428e-05</v>
      </c>
      <c r="G33" s="3">
        <f>D33/13.1</f>
        <v>0.3114503816793893</v>
      </c>
      <c r="CI33" s="2">
        <v>97.5</v>
      </c>
      <c r="CJ33" s="2">
        <v>97.52</v>
      </c>
      <c r="CK33" s="2">
        <v>97.81999999999999</v>
      </c>
      <c r="CL33" s="2">
        <v>98.09999999999999</v>
      </c>
      <c r="CM33" s="2">
        <v>99.23999999999999</v>
      </c>
      <c r="CN33" s="2">
        <v>99.44</v>
      </c>
      <c r="CO33" s="2">
        <v>97.81</v>
      </c>
      <c r="CP33" s="2">
        <v>99.40000000000001</v>
      </c>
      <c r="CQ33" s="2">
        <v>98.89</v>
      </c>
      <c r="CR33" s="2">
        <v>99.89</v>
      </c>
      <c r="CS33" s="2">
        <v>100.46</v>
      </c>
      <c r="CT33" s="2">
        <v>99.37</v>
      </c>
      <c r="CU33" s="2">
        <v>99.12</v>
      </c>
      <c r="CV33" s="2">
        <v>100.22</v>
      </c>
      <c r="CW33" s="2">
        <v>99.61</v>
      </c>
      <c r="CX33" s="2">
        <v>99.94</v>
      </c>
      <c r="CY33" s="2">
        <v>100.07</v>
      </c>
      <c r="CZ33" s="2">
        <v>100</v>
      </c>
      <c r="DA33" s="2">
        <v>100.99</v>
      </c>
      <c r="DB33" s="2">
        <v>101.09</v>
      </c>
      <c r="DC33" s="2">
        <v>101.24</v>
      </c>
      <c r="DD33" s="2">
        <v>102.3</v>
      </c>
      <c r="DE33" s="2">
        <v>102.19</v>
      </c>
      <c r="DF33" s="2">
        <v>102.4</v>
      </c>
      <c r="DG33" s="2">
        <v>102.1</v>
      </c>
      <c r="DH33" s="2">
        <v>102.49</v>
      </c>
      <c r="DI33" s="2">
        <v>102.2</v>
      </c>
      <c r="DJ33" s="2">
        <v>102.82</v>
      </c>
      <c r="GL33" s="2">
        <v>1.7</v>
      </c>
      <c r="GM33" s="2">
        <v>2.8</v>
      </c>
      <c r="GN33" s="2">
        <v>1.8</v>
      </c>
      <c r="GO33" s="2">
        <v>1.9</v>
      </c>
      <c r="GP33" s="2">
        <v>0.8</v>
      </c>
      <c r="GQ33" s="2">
        <v>0.6</v>
      </c>
      <c r="GR33" s="2">
        <v>3.3</v>
      </c>
      <c r="GS33" s="2">
        <v>1.7</v>
      </c>
      <c r="GT33" s="2">
        <v>2.4</v>
      </c>
      <c r="GU33" s="2">
        <v>2.4</v>
      </c>
      <c r="GV33" s="2">
        <v>1.7</v>
      </c>
      <c r="GW33" s="2">
        <v>3</v>
      </c>
      <c r="GX33" s="2">
        <v>3</v>
      </c>
      <c r="GY33" s="2">
        <v>2.3</v>
      </c>
      <c r="GZ33" s="2">
        <v>2.6</v>
      </c>
      <c r="HA33" s="2">
        <v>2.9</v>
      </c>
      <c r="KC33" s="2">
        <v>0</v>
      </c>
      <c r="KD33" s="2">
        <v>0.3</v>
      </c>
      <c r="KE33" s="2">
        <v>0.3</v>
      </c>
      <c r="KF33" s="2">
        <v>1.2</v>
      </c>
      <c r="KG33" s="2">
        <v>0.2</v>
      </c>
      <c r="KH33" s="2">
        <v>-1.6</v>
      </c>
      <c r="KI33" s="2">
        <v>1.6</v>
      </c>
      <c r="KJ33" s="2">
        <v>-0.5</v>
      </c>
      <c r="KK33" s="2">
        <v>1</v>
      </c>
      <c r="KL33" s="2">
        <v>0.6</v>
      </c>
      <c r="KM33" s="2">
        <v>-1.1</v>
      </c>
      <c r="KN33" s="2">
        <v>-0.3</v>
      </c>
      <c r="KO33" s="2">
        <v>1.1</v>
      </c>
      <c r="KP33" s="2">
        <v>-0.6</v>
      </c>
      <c r="KQ33" s="2">
        <v>0.3</v>
      </c>
      <c r="KR33" s="2">
        <v>0.1</v>
      </c>
      <c r="KS33" s="2">
        <v>-0.1</v>
      </c>
      <c r="KT33" s="2">
        <v>1</v>
      </c>
      <c r="KU33" s="2">
        <v>0.1</v>
      </c>
      <c r="KV33" s="2">
        <v>0.1</v>
      </c>
      <c r="KW33" s="2">
        <v>1</v>
      </c>
      <c r="KX33" s="2">
        <v>-0.1</v>
      </c>
      <c r="KY33" s="2">
        <v>0.2</v>
      </c>
      <c r="KZ33" s="2">
        <v>-0.3</v>
      </c>
      <c r="LA33" s="2">
        <v>0.4</v>
      </c>
      <c r="LB33" s="2">
        <v>-0.3</v>
      </c>
      <c r="LC33" s="2">
        <v>0.6</v>
      </c>
      <c r="LD33" s="2">
        <v>3.97</v>
      </c>
      <c r="LE33" s="2">
        <v>4.01</v>
      </c>
      <c r="LF33" s="2">
        <v>4.03</v>
      </c>
      <c r="LG33" s="2">
        <v>3.99</v>
      </c>
      <c r="LH33" s="2">
        <v>3.98</v>
      </c>
      <c r="LI33" s="2">
        <v>4.02</v>
      </c>
      <c r="LJ33" s="2">
        <v>4</v>
      </c>
      <c r="LK33" s="2">
        <v>4.01</v>
      </c>
      <c r="LL33" s="2">
        <v>4.01</v>
      </c>
      <c r="LM33" s="2">
        <v>4.01</v>
      </c>
      <c r="LN33" s="2">
        <v>4.05</v>
      </c>
      <c r="LO33" s="2">
        <v>4.05</v>
      </c>
      <c r="LP33" s="2">
        <v>4.06</v>
      </c>
      <c r="LQ33" s="2">
        <v>4.1</v>
      </c>
      <c r="LR33" s="2">
        <v>4.1</v>
      </c>
      <c r="LS33" s="2">
        <v>4.11</v>
      </c>
      <c r="LT33" s="2">
        <v>4.09</v>
      </c>
      <c r="LU33" s="2">
        <v>4.11</v>
      </c>
      <c r="LV33" s="2">
        <v>4.1</v>
      </c>
      <c r="LW33" s="2">
        <v>4.12</v>
      </c>
      <c r="LX33" s="2">
        <v>0.04</v>
      </c>
      <c r="LY33" s="2">
        <v>0.02</v>
      </c>
      <c r="LZ33" s="2">
        <v>-0.04</v>
      </c>
      <c r="MA33" s="2">
        <v>-0.01</v>
      </c>
      <c r="MB33" s="2">
        <v>0.04</v>
      </c>
      <c r="MC33" s="2">
        <v>-0.02</v>
      </c>
      <c r="MD33" s="2">
        <v>0.01</v>
      </c>
      <c r="ME33" s="2">
        <v>0</v>
      </c>
      <c r="MF33" s="2">
        <v>0</v>
      </c>
      <c r="MG33" s="2">
        <v>0.04</v>
      </c>
      <c r="MH33" s="2">
        <v>0</v>
      </c>
      <c r="MI33" s="2">
        <v>0.01</v>
      </c>
      <c r="MJ33" s="2">
        <v>0.04</v>
      </c>
      <c r="MK33" s="2">
        <v>0</v>
      </c>
      <c r="ML33" s="2">
        <v>0.01</v>
      </c>
      <c r="MM33" s="2">
        <v>-0.02</v>
      </c>
      <c r="MN33" s="2">
        <v>0.02</v>
      </c>
      <c r="MO33" s="2">
        <v>-0.01</v>
      </c>
      <c r="MP33" s="2">
        <v>0.02</v>
      </c>
      <c r="SY33" s="2">
        <v>36.56</v>
      </c>
      <c r="SZ33" s="2">
        <v>36.6</v>
      </c>
      <c r="TA33" s="2">
        <v>38.52</v>
      </c>
      <c r="TB33" s="2">
        <v>39.43</v>
      </c>
      <c r="TC33" s="2">
        <v>39.99</v>
      </c>
      <c r="TD33" s="2">
        <v>40.07</v>
      </c>
      <c r="TE33" s="2">
        <v>40.26</v>
      </c>
      <c r="TF33" s="2">
        <v>40.56</v>
      </c>
      <c r="TG33" s="2">
        <v>40.82</v>
      </c>
      <c r="TH33" s="2">
        <v>41.09</v>
      </c>
      <c r="TI33" s="2">
        <v>41.2</v>
      </c>
      <c r="TJ33" s="2">
        <v>41.96</v>
      </c>
      <c r="TK33" s="2">
        <v>42.45</v>
      </c>
      <c r="TL33" s="2">
        <v>42.52</v>
      </c>
      <c r="TM33" s="2">
        <v>42.49</v>
      </c>
      <c r="TN33" s="2">
        <v>43.13</v>
      </c>
      <c r="TO33" s="2">
        <v>43.92</v>
      </c>
      <c r="TP33" s="2">
        <v>43.96</v>
      </c>
      <c r="TQ33" s="2">
        <v>45.43</v>
      </c>
      <c r="TR33" s="2">
        <v>44.94</v>
      </c>
      <c r="TS33" s="2">
        <v>44.11</v>
      </c>
      <c r="TT33" s="2">
        <v>45.24</v>
      </c>
      <c r="TU33" s="2">
        <v>45.47</v>
      </c>
      <c r="TV33" s="2">
        <v>45.77</v>
      </c>
      <c r="TW33" s="2">
        <v>46.49</v>
      </c>
      <c r="TX33" s="2">
        <v>46.6</v>
      </c>
      <c r="TY33" s="2">
        <v>47.4</v>
      </c>
      <c r="TZ33" s="2">
        <v>47.21</v>
      </c>
      <c r="UA33" s="2">
        <v>48.57</v>
      </c>
      <c r="UB33" s="2">
        <v>48.45</v>
      </c>
      <c r="UC33" s="2">
        <v>49.25</v>
      </c>
      <c r="UD33" s="2">
        <v>49.81</v>
      </c>
      <c r="UE33" s="2">
        <v>49.25</v>
      </c>
      <c r="UF33" s="2">
        <v>50.23</v>
      </c>
      <c r="UG33" s="2">
        <v>49.96</v>
      </c>
      <c r="UH33" s="2">
        <v>50.12</v>
      </c>
      <c r="UI33" s="2">
        <v>50.3</v>
      </c>
      <c r="UJ33" s="2">
        <v>50.61</v>
      </c>
      <c r="UK33" s="2">
        <v>51.06</v>
      </c>
      <c r="UL33" s="2">
        <v>51.1</v>
      </c>
      <c r="UM33" s="2">
        <v>51.29</v>
      </c>
      <c r="UN33" s="2">
        <v>51.47</v>
      </c>
      <c r="UO33" s="2">
        <v>51.93</v>
      </c>
      <c r="UP33" s="2">
        <v>52.53</v>
      </c>
      <c r="UQ33" s="2">
        <v>54.78</v>
      </c>
      <c r="UR33" s="2">
        <v>54.6</v>
      </c>
      <c r="US33" s="2">
        <v>55.44</v>
      </c>
      <c r="UT33" s="2">
        <v>55.7</v>
      </c>
      <c r="UU33" s="2">
        <v>56.23</v>
      </c>
      <c r="UV33" s="2">
        <v>56.39</v>
      </c>
      <c r="UW33" s="2">
        <v>57.33</v>
      </c>
      <c r="UX33" s="2">
        <v>57.71</v>
      </c>
      <c r="UY33" s="2">
        <v>57.92</v>
      </c>
      <c r="UZ33" s="2">
        <v>57.78</v>
      </c>
      <c r="VA33" s="2">
        <v>58.62</v>
      </c>
      <c r="VB33" s="2">
        <v>58.89</v>
      </c>
      <c r="VC33" s="2">
        <v>59.08</v>
      </c>
      <c r="VD33" s="2">
        <v>58.82</v>
      </c>
      <c r="VE33" s="2">
        <v>59.7</v>
      </c>
      <c r="VF33" s="2">
        <v>60.04</v>
      </c>
      <c r="VG33" s="2">
        <v>60.66</v>
      </c>
      <c r="VH33" s="2">
        <v>60.5</v>
      </c>
      <c r="VI33" s="2">
        <v>61.02</v>
      </c>
      <c r="VJ33" s="2">
        <v>61.17</v>
      </c>
      <c r="VK33" s="2">
        <v>61.85</v>
      </c>
      <c r="VL33" s="2">
        <v>62.32</v>
      </c>
      <c r="VM33" s="2">
        <v>62.67</v>
      </c>
      <c r="VN33" s="2">
        <v>62.62</v>
      </c>
      <c r="VO33" s="2">
        <v>63.63</v>
      </c>
      <c r="VP33" s="2">
        <v>63.95</v>
      </c>
      <c r="VQ33" s="2">
        <v>64.29000000000001</v>
      </c>
      <c r="VR33" s="2">
        <v>64.72</v>
      </c>
      <c r="VS33" s="2">
        <v>65.89</v>
      </c>
      <c r="VT33" s="2">
        <v>65.95999999999999</v>
      </c>
      <c r="VU33" s="2">
        <v>66.73999999999999</v>
      </c>
      <c r="VV33" s="2">
        <v>67.17</v>
      </c>
      <c r="VW33" s="2">
        <v>67.92</v>
      </c>
      <c r="VX33" s="2">
        <v>68.7</v>
      </c>
      <c r="VY33" s="2">
        <v>69.36</v>
      </c>
      <c r="VZ33" s="2">
        <v>70.20999999999999</v>
      </c>
      <c r="WA33" s="2">
        <v>71.48999999999999</v>
      </c>
      <c r="WB33" s="2">
        <v>71.91</v>
      </c>
      <c r="WC33" s="2">
        <v>72.23999999999999</v>
      </c>
      <c r="WD33" s="2">
        <v>72.89</v>
      </c>
      <c r="WE33" s="2">
        <v>72.89</v>
      </c>
      <c r="WF33" s="2">
        <v>72.61</v>
      </c>
      <c r="WG33" s="2">
        <v>73.22</v>
      </c>
      <c r="WH33" s="2">
        <v>73.88</v>
      </c>
      <c r="WI33" s="2">
        <v>74.28</v>
      </c>
      <c r="WJ33" s="2">
        <v>74.16</v>
      </c>
      <c r="WK33" s="2">
        <v>74.41</v>
      </c>
      <c r="WL33" s="2">
        <v>74.41</v>
      </c>
      <c r="WM33" s="2">
        <v>74.88</v>
      </c>
      <c r="WN33" s="2">
        <v>74.93000000000001</v>
      </c>
      <c r="WO33" s="2">
        <v>75.55</v>
      </c>
      <c r="WP33" s="2">
        <v>75.84999999999999</v>
      </c>
      <c r="WQ33" s="2">
        <v>76.2</v>
      </c>
      <c r="WR33" s="2">
        <v>76.43000000000001</v>
      </c>
      <c r="WS33" s="2">
        <v>77.81999999999999</v>
      </c>
      <c r="WT33" s="2">
        <v>78.16</v>
      </c>
      <c r="WU33" s="2">
        <v>78.31</v>
      </c>
      <c r="WV33" s="2">
        <v>78.54000000000001</v>
      </c>
      <c r="WW33" s="2">
        <v>79.76000000000001</v>
      </c>
      <c r="WX33" s="2">
        <v>80.01000000000001</v>
      </c>
      <c r="WY33" s="2">
        <v>80.16</v>
      </c>
      <c r="WZ33" s="2">
        <v>80.48999999999999</v>
      </c>
      <c r="XA33" s="2">
        <v>81</v>
      </c>
      <c r="XB33" s="2">
        <v>81.29000000000001</v>
      </c>
      <c r="XC33" s="2">
        <v>81.69</v>
      </c>
      <c r="XD33" s="2">
        <v>81.81999999999999</v>
      </c>
      <c r="XE33" s="2">
        <v>82.42</v>
      </c>
      <c r="XF33" s="2">
        <v>82.61</v>
      </c>
      <c r="XG33" s="2">
        <v>82.98</v>
      </c>
      <c r="XH33" s="2">
        <v>83.01000000000001</v>
      </c>
      <c r="XI33" s="2">
        <v>83.25</v>
      </c>
      <c r="XJ33" s="2">
        <v>82.97</v>
      </c>
      <c r="XK33" s="2">
        <v>83.12</v>
      </c>
      <c r="XL33" s="2">
        <v>83.72</v>
      </c>
      <c r="XM33" s="2">
        <v>84.19</v>
      </c>
      <c r="XN33" s="2">
        <v>84.81999999999999</v>
      </c>
      <c r="XO33" s="2">
        <v>84.91</v>
      </c>
      <c r="XP33" s="2">
        <v>85</v>
      </c>
      <c r="XQ33" s="2">
        <v>85.22</v>
      </c>
      <c r="XR33" s="2">
        <v>84.45999999999999</v>
      </c>
      <c r="XS33" s="2">
        <v>85.12</v>
      </c>
      <c r="XT33" s="2">
        <v>85.72</v>
      </c>
      <c r="XU33" s="2">
        <v>86.39</v>
      </c>
      <c r="XV33" s="2">
        <v>86.63</v>
      </c>
      <c r="XW33" s="2">
        <v>87.43000000000001</v>
      </c>
      <c r="XX33" s="2">
        <v>87.47</v>
      </c>
      <c r="XY33" s="2">
        <v>89.09999999999999</v>
      </c>
      <c r="XZ33" s="2">
        <v>90.23</v>
      </c>
      <c r="YA33" s="2">
        <v>90.23</v>
      </c>
      <c r="YB33" s="2">
        <v>92.77</v>
      </c>
      <c r="YC33" s="2">
        <v>93.63</v>
      </c>
      <c r="YD33" s="2">
        <v>94.86</v>
      </c>
      <c r="YE33" s="2">
        <v>96.31</v>
      </c>
      <c r="YF33" s="2">
        <v>96.31</v>
      </c>
      <c r="YG33" s="2">
        <v>97.91</v>
      </c>
      <c r="YH33" s="2">
        <v>97.53</v>
      </c>
      <c r="YI33" s="2">
        <v>99.04000000000001</v>
      </c>
      <c r="YJ33" s="2">
        <v>99.34999999999999</v>
      </c>
      <c r="YK33" s="2">
        <v>100.32</v>
      </c>
      <c r="YL33" s="2">
        <v>100.16</v>
      </c>
      <c r="YM33" s="2">
        <v>100</v>
      </c>
      <c r="YN33" s="2">
        <v>101.11</v>
      </c>
      <c r="YO33" s="2">
        <v>102.3</v>
      </c>
      <c r="YP33" s="2">
        <v>102.26</v>
      </c>
      <c r="AEY33" s="2">
        <v>0.1</v>
      </c>
      <c r="AEZ33" s="2">
        <v>5.2</v>
      </c>
      <c r="AFA33" s="2">
        <v>2.4</v>
      </c>
      <c r="AFB33" s="2">
        <v>1.4</v>
      </c>
      <c r="AFC33" s="2">
        <v>0.2</v>
      </c>
      <c r="AFD33" s="2">
        <v>0.5</v>
      </c>
      <c r="AFE33" s="2">
        <v>0.7</v>
      </c>
      <c r="AFF33" s="2">
        <v>0.6</v>
      </c>
      <c r="AFG33" s="2">
        <v>0.7</v>
      </c>
      <c r="AFH33" s="2">
        <v>0.3</v>
      </c>
      <c r="AFI33" s="2">
        <v>1.8</v>
      </c>
      <c r="AFJ33" s="2">
        <v>1.2</v>
      </c>
      <c r="AFK33" s="2">
        <v>0.2</v>
      </c>
      <c r="AFL33" s="2">
        <v>-0.1</v>
      </c>
      <c r="AFM33" s="2">
        <v>1.5</v>
      </c>
      <c r="AFN33" s="2">
        <v>1.8</v>
      </c>
      <c r="AFO33" s="2">
        <v>0.1</v>
      </c>
      <c r="AFP33" s="2">
        <v>3.3</v>
      </c>
      <c r="AFQ33" s="2">
        <v>-1.1</v>
      </c>
      <c r="AFR33" s="2">
        <v>-1.8</v>
      </c>
      <c r="AFS33" s="2">
        <v>2.6</v>
      </c>
      <c r="AFT33" s="2">
        <v>0.5</v>
      </c>
      <c r="AFU33" s="2">
        <v>0.7</v>
      </c>
      <c r="AFV33" s="2">
        <v>1.6</v>
      </c>
      <c r="AFW33" s="2">
        <v>0.2</v>
      </c>
      <c r="AFX33" s="2">
        <v>1.7</v>
      </c>
      <c r="AFY33" s="2">
        <v>-0.4</v>
      </c>
      <c r="AFZ33" s="2">
        <v>2.9</v>
      </c>
      <c r="AGA33" s="2">
        <v>-0.2</v>
      </c>
      <c r="AGB33" s="2">
        <v>1.7</v>
      </c>
      <c r="AGC33" s="2">
        <v>1.1</v>
      </c>
      <c r="AGD33" s="2">
        <v>-1.1</v>
      </c>
      <c r="AGE33" s="2">
        <v>2</v>
      </c>
      <c r="AGF33" s="2">
        <v>-0.5</v>
      </c>
      <c r="AGG33" s="2">
        <v>0.3</v>
      </c>
      <c r="AGH33" s="2">
        <v>0.4</v>
      </c>
      <c r="AGI33" s="2">
        <v>0.6</v>
      </c>
      <c r="AGJ33" s="2">
        <v>0.9</v>
      </c>
      <c r="AGK33" s="2">
        <v>0.1</v>
      </c>
      <c r="AGL33" s="2">
        <v>0.4</v>
      </c>
      <c r="AGM33" s="2">
        <v>0.4</v>
      </c>
      <c r="AGN33" s="2">
        <v>0.9</v>
      </c>
      <c r="AGO33" s="2">
        <v>1.2</v>
      </c>
      <c r="AGP33" s="2">
        <v>4.3</v>
      </c>
      <c r="AGQ33" s="2">
        <v>-0.3</v>
      </c>
      <c r="AGR33" s="2">
        <v>1.5</v>
      </c>
      <c r="AGS33" s="2">
        <v>0.5</v>
      </c>
      <c r="AGT33" s="2">
        <v>1</v>
      </c>
      <c r="AGU33" s="2">
        <v>0.3</v>
      </c>
      <c r="AGV33" s="2">
        <v>1.7</v>
      </c>
      <c r="AGW33" s="2">
        <v>0.7</v>
      </c>
      <c r="AGX33" s="2">
        <v>0.4</v>
      </c>
      <c r="AGY33" s="2">
        <v>-0.2</v>
      </c>
      <c r="AGZ33" s="2">
        <v>1.5</v>
      </c>
      <c r="AHA33" s="2">
        <v>0.5</v>
      </c>
      <c r="AHB33" s="2">
        <v>0.3</v>
      </c>
      <c r="AHC33" s="2">
        <v>-0.4</v>
      </c>
      <c r="AHD33" s="2">
        <v>1.5</v>
      </c>
      <c r="AHE33" s="2">
        <v>0.6</v>
      </c>
      <c r="AHF33" s="2">
        <v>1</v>
      </c>
      <c r="AHG33" s="2">
        <v>-0.3</v>
      </c>
      <c r="AHH33" s="2">
        <v>0.9</v>
      </c>
      <c r="AHI33" s="2">
        <v>0.2</v>
      </c>
      <c r="AHJ33" s="2">
        <v>1.1</v>
      </c>
      <c r="AHK33" s="2">
        <v>0.8</v>
      </c>
      <c r="AHL33" s="2">
        <v>0.6</v>
      </c>
      <c r="AHM33" s="2">
        <v>-0.1</v>
      </c>
      <c r="AHN33" s="2">
        <v>1.6</v>
      </c>
      <c r="AHO33" s="2">
        <v>0.5</v>
      </c>
      <c r="AHP33" s="2">
        <v>0.5</v>
      </c>
      <c r="AHQ33" s="2">
        <v>0.7</v>
      </c>
      <c r="AHR33" s="2">
        <v>1.8</v>
      </c>
      <c r="AHS33" s="2">
        <v>0.1</v>
      </c>
      <c r="AHT33" s="2">
        <v>1.2</v>
      </c>
      <c r="AHU33" s="2">
        <v>0.6</v>
      </c>
      <c r="AHV33" s="2">
        <v>1.1</v>
      </c>
      <c r="AHW33" s="2">
        <v>1.1</v>
      </c>
      <c r="AHX33" s="2">
        <v>1</v>
      </c>
      <c r="AHY33" s="2">
        <v>1.2</v>
      </c>
      <c r="AHZ33" s="2">
        <v>1.8</v>
      </c>
      <c r="AIA33" s="2">
        <v>0.6</v>
      </c>
      <c r="AIB33" s="2">
        <v>0.5</v>
      </c>
      <c r="AIC33" s="2">
        <v>0.9</v>
      </c>
      <c r="AID33" s="2">
        <v>0</v>
      </c>
      <c r="AIE33" s="2">
        <v>-0.4</v>
      </c>
      <c r="AIF33" s="2">
        <v>0.8</v>
      </c>
      <c r="AIG33" s="2">
        <v>0.9</v>
      </c>
      <c r="AIH33" s="2">
        <v>0.5</v>
      </c>
      <c r="AII33" s="2">
        <v>-0.2</v>
      </c>
      <c r="AIJ33" s="2">
        <v>0.3</v>
      </c>
      <c r="AIK33" s="2">
        <v>0</v>
      </c>
      <c r="AIL33" s="2">
        <v>0.6</v>
      </c>
      <c r="AIM33" s="2">
        <v>0.1</v>
      </c>
      <c r="AIN33" s="2">
        <v>0.8</v>
      </c>
      <c r="AIO33" s="2">
        <v>0.4</v>
      </c>
      <c r="AIP33" s="2">
        <v>0.5</v>
      </c>
      <c r="AIQ33" s="2">
        <v>0.3</v>
      </c>
      <c r="AIR33" s="2">
        <v>1.8</v>
      </c>
      <c r="AIS33" s="2">
        <v>0.4</v>
      </c>
      <c r="AIT33" s="2">
        <v>0.2</v>
      </c>
      <c r="AIU33" s="2">
        <v>0.3</v>
      </c>
      <c r="AIV33" s="2">
        <v>1.6</v>
      </c>
      <c r="AIW33" s="2">
        <v>0.3</v>
      </c>
      <c r="AIX33" s="2">
        <v>0.2</v>
      </c>
      <c r="AIY33" s="2">
        <v>0.4</v>
      </c>
      <c r="AIZ33" s="2">
        <v>0.6</v>
      </c>
      <c r="AJA33" s="2">
        <v>0.4</v>
      </c>
      <c r="AJB33" s="2">
        <v>0.5</v>
      </c>
      <c r="AJC33" s="2">
        <v>0.2</v>
      </c>
      <c r="AJD33" s="2">
        <v>0.7</v>
      </c>
      <c r="AJE33" s="2">
        <v>0.2</v>
      </c>
      <c r="AJF33" s="2">
        <v>0.4</v>
      </c>
      <c r="AJG33" s="2">
        <v>0</v>
      </c>
      <c r="AJH33" s="2">
        <v>0.3</v>
      </c>
      <c r="AJI33" s="2">
        <v>-0.3</v>
      </c>
      <c r="AJJ33" s="2">
        <v>0.2</v>
      </c>
      <c r="AJK33" s="2">
        <v>0.7</v>
      </c>
      <c r="AJL33" s="2">
        <v>0.6</v>
      </c>
      <c r="AJM33" s="2">
        <v>0.7</v>
      </c>
      <c r="AJN33" s="2">
        <v>0.1</v>
      </c>
      <c r="AJO33" s="2">
        <v>0.1</v>
      </c>
      <c r="AJP33" s="2">
        <v>0.3</v>
      </c>
      <c r="AJQ33" s="2">
        <v>-0.9</v>
      </c>
      <c r="AJR33" s="2">
        <v>0.8</v>
      </c>
      <c r="AJS33" s="2">
        <v>0.7</v>
      </c>
      <c r="AJT33" s="2">
        <v>0.8</v>
      </c>
      <c r="AJU33" s="2">
        <v>0.3</v>
      </c>
      <c r="AJV33" s="2">
        <v>0.9</v>
      </c>
      <c r="AJW33" s="2">
        <v>0</v>
      </c>
      <c r="AJX33" s="2">
        <v>1.9</v>
      </c>
      <c r="AJY33" s="2">
        <v>1.3</v>
      </c>
      <c r="AJZ33" s="2">
        <v>0</v>
      </c>
      <c r="AKA33" s="2">
        <v>2.8</v>
      </c>
      <c r="AKB33" s="2">
        <v>0.9</v>
      </c>
      <c r="AKC33" s="2">
        <v>1.3</v>
      </c>
      <c r="AKD33" s="2">
        <v>1.5</v>
      </c>
      <c r="AKE33" s="2">
        <v>0</v>
      </c>
      <c r="AKF33" s="2">
        <v>1.7</v>
      </c>
      <c r="AKG33" s="2">
        <v>-0.4</v>
      </c>
      <c r="AKH33" s="2">
        <v>1.5</v>
      </c>
      <c r="AKI33" s="2">
        <v>0.3</v>
      </c>
      <c r="AKJ33" s="2">
        <v>1</v>
      </c>
      <c r="AKK33" s="2">
        <v>-0.2</v>
      </c>
      <c r="AKL33" s="2">
        <v>-0.2</v>
      </c>
      <c r="AKM33" s="2">
        <v>1.1</v>
      </c>
      <c r="AKN33" s="2">
        <v>1.2</v>
      </c>
      <c r="AKO33" s="2">
        <v>0</v>
      </c>
      <c r="AKP33" s="2">
        <v>4.06</v>
      </c>
      <c r="AKQ33" s="2">
        <v>4.1</v>
      </c>
      <c r="AKR33" s="2">
        <v>4.1</v>
      </c>
    </row>
    <row r="34">
      <c r="A34" t="inlineStr">
        <is>
          <t>Education</t>
        </is>
      </c>
      <c r="B34" t="inlineStr">
        <is>
          <t>Education</t>
        </is>
      </c>
      <c r="C34">
        <v>2</v>
      </c>
      <c r="D34">
        <v>4.65</v>
      </c>
      <c r="E34" s="3">
        <f>D34/4.65*0.04650000000000001</f>
        <v>0.04650000000000001</v>
      </c>
      <c r="F34" s="3">
        <f>E34-D34/100</f>
        <v>0.0</v>
      </c>
      <c r="G34" s="3">
        <f>D34/4.65</f>
        <v>1.0</v>
      </c>
      <c r="CI34" s="2">
        <v>94.69</v>
      </c>
      <c r="CJ34" s="2">
        <v>94.7</v>
      </c>
      <c r="CK34" s="2">
        <v>94.72</v>
      </c>
      <c r="CL34" s="2">
        <v>94.73</v>
      </c>
      <c r="CM34" s="2">
        <v>94.87</v>
      </c>
      <c r="CN34" s="2">
        <v>94.90000000000001</v>
      </c>
      <c r="CO34" s="2">
        <v>94.91</v>
      </c>
      <c r="CP34" s="2">
        <v>94.92</v>
      </c>
      <c r="CQ34" s="2">
        <v>94.93000000000001</v>
      </c>
      <c r="CR34" s="2">
        <v>94.92</v>
      </c>
      <c r="CS34" s="2">
        <v>99.76000000000001</v>
      </c>
      <c r="CT34" s="2">
        <v>99.8</v>
      </c>
      <c r="CU34" s="2">
        <v>99.79000000000001</v>
      </c>
      <c r="CV34" s="2">
        <v>99.79000000000001</v>
      </c>
      <c r="CW34" s="2">
        <v>99.83</v>
      </c>
      <c r="CX34" s="2">
        <v>99.84999999999999</v>
      </c>
      <c r="CY34" s="2">
        <v>99.98</v>
      </c>
      <c r="CZ34" s="2">
        <v>100</v>
      </c>
      <c r="DA34" s="2">
        <v>100.02</v>
      </c>
      <c r="DB34" s="2">
        <v>100.04</v>
      </c>
      <c r="DC34" s="2">
        <v>100.05</v>
      </c>
      <c r="DD34" s="2">
        <v>100.01</v>
      </c>
      <c r="DE34" s="2">
        <v>104.54</v>
      </c>
      <c r="DF34" s="2">
        <v>104.58</v>
      </c>
      <c r="DG34" s="2">
        <v>104.57</v>
      </c>
      <c r="DH34" s="2">
        <v>104.57</v>
      </c>
      <c r="DI34" s="2">
        <v>104.59</v>
      </c>
      <c r="DJ34" s="2">
        <v>104.6</v>
      </c>
      <c r="GL34" s="2">
        <v>5.4</v>
      </c>
      <c r="GM34" s="2">
        <v>5.4</v>
      </c>
      <c r="GN34" s="2">
        <v>5.4</v>
      </c>
      <c r="GO34" s="2">
        <v>5.4</v>
      </c>
      <c r="GP34" s="2">
        <v>5.4</v>
      </c>
      <c r="GQ34" s="2">
        <v>5.4</v>
      </c>
      <c r="GR34" s="2">
        <v>5.4</v>
      </c>
      <c r="GS34" s="2">
        <v>5.4</v>
      </c>
      <c r="GT34" s="2">
        <v>5.4</v>
      </c>
      <c r="GU34" s="2">
        <v>5.4</v>
      </c>
      <c r="GV34" s="2">
        <v>4.8</v>
      </c>
      <c r="GW34" s="2">
        <v>4.8</v>
      </c>
      <c r="GX34" s="2">
        <v>4.8</v>
      </c>
      <c r="GY34" s="2">
        <v>4.8</v>
      </c>
      <c r="GZ34" s="2">
        <v>4.8</v>
      </c>
      <c r="HA34" s="2">
        <v>4.8</v>
      </c>
      <c r="KC34" s="2">
        <v>0</v>
      </c>
      <c r="KD34" s="2">
        <v>0</v>
      </c>
      <c r="KE34" s="2">
        <v>0</v>
      </c>
      <c r="KF34" s="2">
        <v>0.1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5.1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0.1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4.5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4.53</v>
      </c>
      <c r="LE34" s="2">
        <v>4.53</v>
      </c>
      <c r="LF34" s="2">
        <v>4.76</v>
      </c>
      <c r="LG34" s="2">
        <v>4.76</v>
      </c>
      <c r="LH34" s="2">
        <v>4.76</v>
      </c>
      <c r="LI34" s="2">
        <v>4.76</v>
      </c>
      <c r="LJ34" s="2">
        <v>4.76</v>
      </c>
      <c r="LK34" s="2">
        <v>4.76</v>
      </c>
      <c r="LL34" s="2">
        <v>4.77</v>
      </c>
      <c r="LM34" s="2">
        <v>4.77</v>
      </c>
      <c r="LN34" s="2">
        <v>4.77</v>
      </c>
      <c r="LO34" s="2">
        <v>4.77</v>
      </c>
      <c r="LP34" s="2">
        <v>4.77</v>
      </c>
      <c r="LQ34" s="2">
        <v>4.77</v>
      </c>
      <c r="LR34" s="2">
        <v>4.98</v>
      </c>
      <c r="LS34" s="2">
        <v>4.99</v>
      </c>
      <c r="LT34" s="2">
        <v>4.99</v>
      </c>
      <c r="LU34" s="2">
        <v>4.99</v>
      </c>
      <c r="LV34" s="2">
        <v>4.99</v>
      </c>
      <c r="LW34" s="2">
        <v>4.99</v>
      </c>
      <c r="LX34" s="2">
        <v>0</v>
      </c>
      <c r="LY34" s="2">
        <v>0.23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0.01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0.21</v>
      </c>
      <c r="ML34" s="2">
        <v>0.01</v>
      </c>
      <c r="MM34" s="2">
        <v>0</v>
      </c>
      <c r="MN34" s="2">
        <v>0</v>
      </c>
      <c r="MO34" s="2">
        <v>0</v>
      </c>
      <c r="MP34" s="2">
        <v>0</v>
      </c>
      <c r="RU34" s="2">
        <v>7.63</v>
      </c>
      <c r="RV34" s="2">
        <v>7.63</v>
      </c>
      <c r="RW34" s="2">
        <v>7.63</v>
      </c>
      <c r="RX34" s="2">
        <v>7.63</v>
      </c>
      <c r="RY34" s="2">
        <v>8.65</v>
      </c>
      <c r="RZ34" s="2">
        <v>8.65</v>
      </c>
      <c r="SA34" s="2">
        <v>8.65</v>
      </c>
      <c r="SB34" s="2">
        <v>8.65</v>
      </c>
      <c r="SC34" s="2">
        <v>9.59</v>
      </c>
      <c r="SD34" s="2">
        <v>9.59</v>
      </c>
      <c r="SE34" s="2">
        <v>9.640000000000001</v>
      </c>
      <c r="SF34" s="2">
        <v>9.640000000000001</v>
      </c>
      <c r="SG34" s="2">
        <v>10.42</v>
      </c>
      <c r="SH34" s="2">
        <v>10.42</v>
      </c>
      <c r="SI34" s="2">
        <v>10.44</v>
      </c>
      <c r="SJ34" s="2">
        <v>10.44</v>
      </c>
      <c r="SK34" s="2">
        <v>11.46</v>
      </c>
      <c r="SL34" s="2">
        <v>11.48</v>
      </c>
      <c r="SM34" s="2">
        <v>11.48</v>
      </c>
      <c r="SN34" s="2">
        <v>11.48</v>
      </c>
      <c r="SO34" s="2">
        <v>12.65</v>
      </c>
      <c r="SP34" s="2">
        <v>12.65</v>
      </c>
      <c r="SQ34" s="2">
        <v>12.65</v>
      </c>
      <c r="SR34" s="2">
        <v>12.65</v>
      </c>
      <c r="SS34" s="2">
        <v>14.15</v>
      </c>
      <c r="ST34" s="2">
        <v>14.15</v>
      </c>
      <c r="SU34" s="2">
        <v>14.15</v>
      </c>
      <c r="SV34" s="2">
        <v>14.15</v>
      </c>
      <c r="SW34" s="2">
        <v>15.91</v>
      </c>
      <c r="SX34" s="2">
        <v>15.91</v>
      </c>
      <c r="SY34" s="2">
        <v>15.91</v>
      </c>
      <c r="SZ34" s="2">
        <v>15.91</v>
      </c>
      <c r="TA34" s="2">
        <v>18.16</v>
      </c>
      <c r="TB34" s="2">
        <v>18.16</v>
      </c>
      <c r="TC34" s="2">
        <v>18.16</v>
      </c>
      <c r="TD34" s="2">
        <v>18.16</v>
      </c>
      <c r="TE34" s="2">
        <v>20.01</v>
      </c>
      <c r="TF34" s="2">
        <v>20.01</v>
      </c>
      <c r="TG34" s="2">
        <v>20.01</v>
      </c>
      <c r="TH34" s="2">
        <v>20.01</v>
      </c>
      <c r="TI34" s="2">
        <v>21.58</v>
      </c>
      <c r="TJ34" s="2">
        <v>21.58</v>
      </c>
      <c r="TK34" s="2">
        <v>21.58</v>
      </c>
      <c r="TL34" s="2">
        <v>21.58</v>
      </c>
      <c r="TM34" s="2">
        <v>22.5</v>
      </c>
      <c r="TN34" s="2">
        <v>22.5</v>
      </c>
      <c r="TO34" s="2">
        <v>22.5</v>
      </c>
      <c r="TP34" s="2">
        <v>22.5</v>
      </c>
      <c r="TQ34" s="2">
        <v>23.3</v>
      </c>
      <c r="TR34" s="2">
        <v>23.3</v>
      </c>
      <c r="TS34" s="2">
        <v>23.3</v>
      </c>
      <c r="TT34" s="2">
        <v>23.3</v>
      </c>
      <c r="TU34" s="2">
        <v>24.34</v>
      </c>
      <c r="TV34" s="2">
        <v>24.34</v>
      </c>
      <c r="TW34" s="2">
        <v>24.34</v>
      </c>
      <c r="TX34" s="2">
        <v>24.34</v>
      </c>
      <c r="TY34" s="2">
        <v>25.74</v>
      </c>
      <c r="TZ34" s="2">
        <v>25.74</v>
      </c>
      <c r="UA34" s="2">
        <v>25.74</v>
      </c>
      <c r="UB34" s="2">
        <v>25.74</v>
      </c>
      <c r="UC34" s="2">
        <v>27.39</v>
      </c>
      <c r="UD34" s="2">
        <v>27.39</v>
      </c>
      <c r="UE34" s="2">
        <v>27.39</v>
      </c>
      <c r="UF34" s="2">
        <v>27.39</v>
      </c>
      <c r="UG34" s="2">
        <v>29.01</v>
      </c>
      <c r="UH34" s="2">
        <v>29.01</v>
      </c>
      <c r="UI34" s="2">
        <v>29.01</v>
      </c>
      <c r="UJ34" s="2">
        <v>29.01</v>
      </c>
      <c r="UK34" s="2">
        <v>30.28</v>
      </c>
      <c r="UL34" s="2">
        <v>30.28</v>
      </c>
      <c r="UM34" s="2">
        <v>30.28</v>
      </c>
      <c r="UN34" s="2">
        <v>30.28</v>
      </c>
      <c r="UO34" s="2">
        <v>31.86</v>
      </c>
      <c r="UP34" s="2">
        <v>31.86</v>
      </c>
      <c r="UQ34" s="2">
        <v>31.91</v>
      </c>
      <c r="UR34" s="2">
        <v>31.93</v>
      </c>
      <c r="US34" s="2">
        <v>33.27</v>
      </c>
      <c r="UT34" s="2">
        <v>33.27</v>
      </c>
      <c r="UU34" s="2">
        <v>33.29</v>
      </c>
      <c r="UV34" s="2">
        <v>33.3</v>
      </c>
      <c r="UW34" s="2">
        <v>34.85</v>
      </c>
      <c r="UX34" s="2">
        <v>34.86</v>
      </c>
      <c r="UY34" s="2">
        <v>34.92</v>
      </c>
      <c r="UZ34" s="2">
        <v>34.96</v>
      </c>
      <c r="VA34" s="2">
        <v>36.58</v>
      </c>
      <c r="VB34" s="2">
        <v>36.58</v>
      </c>
      <c r="VC34" s="2">
        <v>36.64</v>
      </c>
      <c r="VD34" s="2">
        <v>36.64</v>
      </c>
      <c r="VE34" s="2">
        <v>39.4</v>
      </c>
      <c r="VF34" s="2">
        <v>39.42</v>
      </c>
      <c r="VG34" s="2">
        <v>39.44</v>
      </c>
      <c r="VH34" s="2">
        <v>39.46</v>
      </c>
      <c r="VI34" s="2">
        <v>41.85</v>
      </c>
      <c r="VJ34" s="2">
        <v>41.89</v>
      </c>
      <c r="VK34" s="2">
        <v>41.9</v>
      </c>
      <c r="VL34" s="2">
        <v>41.94</v>
      </c>
      <c r="VM34" s="2">
        <v>44.3</v>
      </c>
      <c r="VN34" s="2">
        <v>44.32</v>
      </c>
      <c r="VO34" s="2">
        <v>43.93</v>
      </c>
      <c r="VP34" s="2">
        <v>43.94</v>
      </c>
      <c r="VQ34" s="2">
        <v>46.14</v>
      </c>
      <c r="VR34" s="2">
        <v>46.2</v>
      </c>
      <c r="VS34" s="2">
        <v>45.75</v>
      </c>
      <c r="VT34" s="2">
        <v>45.76</v>
      </c>
      <c r="VU34" s="2">
        <v>48.12</v>
      </c>
      <c r="VV34" s="2">
        <v>48.14</v>
      </c>
      <c r="VW34" s="2">
        <v>47.91</v>
      </c>
      <c r="VX34" s="2">
        <v>47.92</v>
      </c>
      <c r="VY34" s="2">
        <v>50.54</v>
      </c>
      <c r="VZ34" s="2">
        <v>50.57</v>
      </c>
      <c r="WA34" s="2">
        <v>50.59</v>
      </c>
      <c r="WB34" s="2">
        <v>50.62</v>
      </c>
      <c r="WC34" s="2">
        <v>53.43</v>
      </c>
      <c r="WD34" s="2">
        <v>53.44</v>
      </c>
      <c r="WE34" s="2">
        <v>53.52</v>
      </c>
      <c r="WF34" s="2">
        <v>53.51</v>
      </c>
      <c r="WG34" s="2">
        <v>56.58</v>
      </c>
      <c r="WH34" s="2">
        <v>56.59</v>
      </c>
      <c r="WI34" s="2">
        <v>56.61</v>
      </c>
      <c r="WJ34" s="2">
        <v>56.62</v>
      </c>
      <c r="WK34" s="2">
        <v>59.99</v>
      </c>
      <c r="WL34" s="2">
        <v>60.01</v>
      </c>
      <c r="WM34" s="2">
        <v>60.05</v>
      </c>
      <c r="WN34" s="2">
        <v>60.06</v>
      </c>
      <c r="WO34" s="2">
        <v>63.5</v>
      </c>
      <c r="WP34" s="2">
        <v>63.42</v>
      </c>
      <c r="WQ34" s="2">
        <v>63.44</v>
      </c>
      <c r="WR34" s="2">
        <v>63.45</v>
      </c>
      <c r="WS34" s="2">
        <v>66.70999999999999</v>
      </c>
      <c r="WT34" s="2">
        <v>66.72</v>
      </c>
      <c r="WU34" s="2">
        <v>66.76000000000001</v>
      </c>
      <c r="WV34" s="2">
        <v>66.78</v>
      </c>
      <c r="WW34" s="2">
        <v>70.33</v>
      </c>
      <c r="WX34" s="2">
        <v>70.33</v>
      </c>
      <c r="WY34" s="2">
        <v>70.42</v>
      </c>
      <c r="WZ34" s="2">
        <v>70.42</v>
      </c>
      <c r="XA34" s="2">
        <v>72.65000000000001</v>
      </c>
      <c r="XB34" s="2">
        <v>72.66</v>
      </c>
      <c r="XC34" s="2">
        <v>72.79000000000001</v>
      </c>
      <c r="XD34" s="2">
        <v>72.79000000000001</v>
      </c>
      <c r="XE34" s="2">
        <v>75.02</v>
      </c>
      <c r="XF34" s="2">
        <v>75.02</v>
      </c>
      <c r="XG34" s="2">
        <v>75.06</v>
      </c>
      <c r="XH34" s="2">
        <v>75.09999999999999</v>
      </c>
      <c r="XI34" s="2">
        <v>77.05</v>
      </c>
      <c r="XJ34" s="2">
        <v>77.09</v>
      </c>
      <c r="XK34" s="2">
        <v>77.12</v>
      </c>
      <c r="XL34" s="2">
        <v>77.14</v>
      </c>
      <c r="XM34" s="2">
        <v>79.23999999999999</v>
      </c>
      <c r="XN34" s="2">
        <v>79.26000000000001</v>
      </c>
      <c r="XO34" s="2">
        <v>79.31999999999999</v>
      </c>
      <c r="XP34" s="2">
        <v>79.36</v>
      </c>
      <c r="XQ34" s="2">
        <v>81.39</v>
      </c>
      <c r="XR34" s="2">
        <v>78.41</v>
      </c>
      <c r="XS34" s="2">
        <v>80.06</v>
      </c>
      <c r="XT34" s="2">
        <v>80.98</v>
      </c>
      <c r="XU34" s="2">
        <v>81.34</v>
      </c>
      <c r="XV34" s="2">
        <v>81.37</v>
      </c>
      <c r="XW34" s="2">
        <v>81.42</v>
      </c>
      <c r="XX34" s="2">
        <v>81.43000000000001</v>
      </c>
      <c r="XY34" s="2">
        <v>85.11</v>
      </c>
      <c r="XZ34" s="2">
        <v>85.12</v>
      </c>
      <c r="YA34" s="2">
        <v>85.12</v>
      </c>
      <c r="YB34" s="2">
        <v>85.19</v>
      </c>
      <c r="YC34" s="2">
        <v>89.76000000000001</v>
      </c>
      <c r="YD34" s="2">
        <v>89.54000000000001</v>
      </c>
      <c r="YE34" s="2">
        <v>89.23999999999999</v>
      </c>
      <c r="YF34" s="2">
        <v>89.17</v>
      </c>
      <c r="YG34" s="2">
        <v>94.40000000000001</v>
      </c>
      <c r="YH34" s="2">
        <v>94.58</v>
      </c>
      <c r="YI34" s="2">
        <v>94.93000000000001</v>
      </c>
      <c r="YJ34" s="2">
        <v>94.91</v>
      </c>
      <c r="YK34" s="2">
        <v>99.83</v>
      </c>
      <c r="YL34" s="2">
        <v>99.8</v>
      </c>
      <c r="YM34" s="2">
        <v>99.94</v>
      </c>
      <c r="YN34" s="2">
        <v>100.04</v>
      </c>
      <c r="YO34" s="2">
        <v>103.04</v>
      </c>
      <c r="YP34" s="2">
        <v>104.58</v>
      </c>
      <c r="ADU34" s="2">
        <v>0</v>
      </c>
      <c r="ADV34" s="2">
        <v>0</v>
      </c>
      <c r="ADW34" s="2">
        <v>0</v>
      </c>
      <c r="ADX34" s="2">
        <v>13.4</v>
      </c>
      <c r="ADY34" s="2">
        <v>0</v>
      </c>
      <c r="ADZ34" s="2">
        <v>0</v>
      </c>
      <c r="AEA34" s="2">
        <v>0</v>
      </c>
      <c r="AEB34" s="2">
        <v>10.9</v>
      </c>
      <c r="AEC34" s="2">
        <v>0</v>
      </c>
      <c r="AED34" s="2">
        <v>0.5</v>
      </c>
      <c r="AEE34" s="2">
        <v>0</v>
      </c>
      <c r="AEF34" s="2">
        <v>8.1</v>
      </c>
      <c r="AEG34" s="2">
        <v>0</v>
      </c>
      <c r="AEH34" s="2">
        <v>0.2</v>
      </c>
      <c r="AEI34" s="2">
        <v>0</v>
      </c>
      <c r="AEJ34" s="2">
        <v>9.800000000000001</v>
      </c>
      <c r="AEK34" s="2">
        <v>0.2</v>
      </c>
      <c r="AEL34" s="2">
        <v>0</v>
      </c>
      <c r="AEM34" s="2">
        <v>0</v>
      </c>
      <c r="AEN34" s="2">
        <v>10.2</v>
      </c>
      <c r="AEO34" s="2">
        <v>0</v>
      </c>
      <c r="AEP34" s="2">
        <v>0</v>
      </c>
      <c r="AEQ34" s="2">
        <v>0</v>
      </c>
      <c r="AER34" s="2">
        <v>11.9</v>
      </c>
      <c r="AES34" s="2">
        <v>0</v>
      </c>
      <c r="AET34" s="2">
        <v>0</v>
      </c>
      <c r="AEU34" s="2">
        <v>0</v>
      </c>
      <c r="AEV34" s="2">
        <v>12.4</v>
      </c>
      <c r="AEW34" s="2">
        <v>0</v>
      </c>
      <c r="AEX34" s="2">
        <v>0</v>
      </c>
      <c r="AEY34" s="2">
        <v>0</v>
      </c>
      <c r="AEZ34" s="2">
        <v>14.1</v>
      </c>
      <c r="AFA34" s="2">
        <v>0</v>
      </c>
      <c r="AFB34" s="2">
        <v>0</v>
      </c>
      <c r="AFC34" s="2">
        <v>0</v>
      </c>
      <c r="AFD34" s="2">
        <v>10.2</v>
      </c>
      <c r="AFE34" s="2">
        <v>0</v>
      </c>
      <c r="AFF34" s="2">
        <v>0</v>
      </c>
      <c r="AFG34" s="2">
        <v>0</v>
      </c>
      <c r="AFH34" s="2">
        <v>7.8</v>
      </c>
      <c r="AFI34" s="2">
        <v>0</v>
      </c>
      <c r="AFJ34" s="2">
        <v>0</v>
      </c>
      <c r="AFK34" s="2">
        <v>0</v>
      </c>
      <c r="AFL34" s="2">
        <v>4.3</v>
      </c>
      <c r="AFM34" s="2">
        <v>0</v>
      </c>
      <c r="AFN34" s="2">
        <v>0</v>
      </c>
      <c r="AFO34" s="2">
        <v>0</v>
      </c>
      <c r="AFP34" s="2">
        <v>3.6</v>
      </c>
      <c r="AFQ34" s="2">
        <v>0</v>
      </c>
      <c r="AFR34" s="2">
        <v>0</v>
      </c>
      <c r="AFS34" s="2">
        <v>0</v>
      </c>
      <c r="AFT34" s="2">
        <v>4.5</v>
      </c>
      <c r="AFU34" s="2">
        <v>0</v>
      </c>
      <c r="AFV34" s="2">
        <v>0</v>
      </c>
      <c r="AFW34" s="2">
        <v>0</v>
      </c>
      <c r="AFX34" s="2">
        <v>5.8</v>
      </c>
      <c r="AFY34" s="2">
        <v>0</v>
      </c>
      <c r="AFZ34" s="2">
        <v>0</v>
      </c>
      <c r="AGA34" s="2">
        <v>0</v>
      </c>
      <c r="AGB34" s="2">
        <v>6.4</v>
      </c>
      <c r="AGC34" s="2">
        <v>0</v>
      </c>
      <c r="AGD34" s="2">
        <v>0</v>
      </c>
      <c r="AGE34" s="2">
        <v>0</v>
      </c>
      <c r="AGF34" s="2">
        <v>5.9</v>
      </c>
      <c r="AGG34" s="2">
        <v>0</v>
      </c>
      <c r="AGH34" s="2">
        <v>0</v>
      </c>
      <c r="AGI34" s="2">
        <v>0</v>
      </c>
      <c r="AGJ34" s="2">
        <v>4.4</v>
      </c>
      <c r="AGK34" s="2">
        <v>0</v>
      </c>
      <c r="AGL34" s="2">
        <v>0</v>
      </c>
      <c r="AGM34" s="2">
        <v>0</v>
      </c>
      <c r="AGN34" s="2">
        <v>5.2</v>
      </c>
      <c r="AGO34" s="2">
        <v>0</v>
      </c>
      <c r="AGP34" s="2">
        <v>0.2</v>
      </c>
      <c r="AGQ34" s="2">
        <v>0.1</v>
      </c>
      <c r="AGR34" s="2">
        <v>4.2</v>
      </c>
      <c r="AGS34" s="2">
        <v>0</v>
      </c>
      <c r="AGT34" s="2">
        <v>0.1</v>
      </c>
      <c r="AGU34" s="2">
        <v>0</v>
      </c>
      <c r="AGV34" s="2">
        <v>4.7</v>
      </c>
      <c r="AGW34" s="2">
        <v>0</v>
      </c>
      <c r="AGX34" s="2">
        <v>0.2</v>
      </c>
      <c r="AGY34" s="2">
        <v>0.1</v>
      </c>
      <c r="AGZ34" s="2">
        <v>4.6</v>
      </c>
      <c r="AHA34" s="2">
        <v>0</v>
      </c>
      <c r="AHB34" s="2">
        <v>0.2</v>
      </c>
      <c r="AHC34" s="2">
        <v>0</v>
      </c>
      <c r="AHD34" s="2">
        <v>7.5</v>
      </c>
      <c r="AHE34" s="2">
        <v>0.1</v>
      </c>
      <c r="AHF34" s="2">
        <v>0.1</v>
      </c>
      <c r="AHG34" s="2">
        <v>0.1</v>
      </c>
      <c r="AHH34" s="2">
        <v>6.1</v>
      </c>
      <c r="AHI34" s="2">
        <v>0.1</v>
      </c>
      <c r="AHJ34" s="2">
        <v>0</v>
      </c>
      <c r="AHK34" s="2">
        <v>0.1</v>
      </c>
      <c r="AHL34" s="2">
        <v>5.6</v>
      </c>
      <c r="AHM34" s="2">
        <v>0</v>
      </c>
      <c r="AHN34" s="2">
        <v>-0.9</v>
      </c>
      <c r="AHO34" s="2">
        <v>0</v>
      </c>
      <c r="AHP34" s="2">
        <v>5</v>
      </c>
      <c r="AHQ34" s="2">
        <v>0.1</v>
      </c>
      <c r="AHR34" s="2">
        <v>-1</v>
      </c>
      <c r="AHS34" s="2">
        <v>0</v>
      </c>
      <c r="AHT34" s="2">
        <v>5.2</v>
      </c>
      <c r="AHU34" s="2">
        <v>0</v>
      </c>
      <c r="AHV34" s="2">
        <v>-0.5</v>
      </c>
      <c r="AHW34" s="2">
        <v>0</v>
      </c>
      <c r="AHX34" s="2">
        <v>5.5</v>
      </c>
      <c r="AHY34" s="2">
        <v>0.1</v>
      </c>
      <c r="AHZ34" s="2">
        <v>0</v>
      </c>
      <c r="AIA34" s="2">
        <v>0.1</v>
      </c>
      <c r="AIB34" s="2">
        <v>5.6</v>
      </c>
      <c r="AIC34" s="2">
        <v>0</v>
      </c>
      <c r="AID34" s="2">
        <v>0.1</v>
      </c>
      <c r="AIE34" s="2">
        <v>0</v>
      </c>
      <c r="AIF34" s="2">
        <v>5.7</v>
      </c>
      <c r="AIG34" s="2">
        <v>0</v>
      </c>
      <c r="AIH34" s="2">
        <v>0</v>
      </c>
      <c r="AII34" s="2">
        <v>0</v>
      </c>
      <c r="AIJ34" s="2">
        <v>6</v>
      </c>
      <c r="AIK34" s="2">
        <v>0</v>
      </c>
      <c r="AIL34" s="2">
        <v>0.1</v>
      </c>
      <c r="AIM34" s="2">
        <v>0</v>
      </c>
      <c r="AIN34" s="2">
        <v>5.7</v>
      </c>
      <c r="AIO34" s="2">
        <v>-0.1</v>
      </c>
      <c r="AIP34" s="2">
        <v>0</v>
      </c>
      <c r="AIQ34" s="2">
        <v>0</v>
      </c>
      <c r="AIR34" s="2">
        <v>5.1</v>
      </c>
      <c r="AIS34" s="2">
        <v>0</v>
      </c>
      <c r="AIT34" s="2">
        <v>0.1</v>
      </c>
      <c r="AIU34" s="2">
        <v>0</v>
      </c>
      <c r="AIV34" s="2">
        <v>5.3</v>
      </c>
      <c r="AIW34" s="2">
        <v>0</v>
      </c>
      <c r="AIX34" s="2">
        <v>0.1</v>
      </c>
      <c r="AIY34" s="2">
        <v>0</v>
      </c>
      <c r="AIZ34" s="2">
        <v>3.2</v>
      </c>
      <c r="AJA34" s="2">
        <v>0</v>
      </c>
      <c r="AJB34" s="2">
        <v>0.2</v>
      </c>
      <c r="AJC34" s="2">
        <v>0</v>
      </c>
      <c r="AJD34" s="2">
        <v>3.1</v>
      </c>
      <c r="AJE34" s="2">
        <v>0</v>
      </c>
      <c r="AJF34" s="2">
        <v>0.1</v>
      </c>
      <c r="AJG34" s="2">
        <v>0.1</v>
      </c>
      <c r="AJH34" s="2">
        <v>2.6</v>
      </c>
      <c r="AJI34" s="2">
        <v>0.1</v>
      </c>
      <c r="AJJ34" s="2">
        <v>0</v>
      </c>
      <c r="AJK34" s="2">
        <v>0</v>
      </c>
      <c r="AJL34" s="2">
        <v>2.7</v>
      </c>
      <c r="AJM34" s="2">
        <v>0</v>
      </c>
      <c r="AJN34" s="2">
        <v>0.1</v>
      </c>
      <c r="AJO34" s="2">
        <v>0.1</v>
      </c>
      <c r="AJP34" s="2">
        <v>2.6</v>
      </c>
      <c r="AJQ34" s="2">
        <v>-3.7</v>
      </c>
      <c r="AJR34" s="2">
        <v>2.1</v>
      </c>
      <c r="AJS34" s="2">
        <v>1.1</v>
      </c>
      <c r="AJT34" s="2">
        <v>0.4</v>
      </c>
      <c r="AJU34" s="2">
        <v>0</v>
      </c>
      <c r="AJV34" s="2">
        <v>0.1</v>
      </c>
      <c r="AJW34" s="2">
        <v>0</v>
      </c>
      <c r="AJX34" s="2">
        <v>4.5</v>
      </c>
      <c r="AJY34" s="2">
        <v>0</v>
      </c>
      <c r="AJZ34" s="2">
        <v>0</v>
      </c>
      <c r="AKA34" s="2">
        <v>0.1</v>
      </c>
      <c r="AKB34" s="2">
        <v>5.4</v>
      </c>
      <c r="AKC34" s="2">
        <v>-0.2</v>
      </c>
      <c r="AKD34" s="2">
        <v>-0.3</v>
      </c>
      <c r="AKE34" s="2">
        <v>-0.1</v>
      </c>
      <c r="AKF34" s="2">
        <v>5.9</v>
      </c>
      <c r="AKG34" s="2">
        <v>0.2</v>
      </c>
      <c r="AKH34" s="2">
        <v>0.4</v>
      </c>
      <c r="AKI34" s="2">
        <v>0</v>
      </c>
      <c r="AKJ34" s="2">
        <v>5.2</v>
      </c>
      <c r="AKK34" s="2">
        <v>0</v>
      </c>
      <c r="AKL34" s="2">
        <v>0.1</v>
      </c>
      <c r="AKM34" s="2">
        <v>0.1</v>
      </c>
      <c r="AKN34" s="2">
        <v>3</v>
      </c>
      <c r="AKO34" s="2">
        <v>1.5</v>
      </c>
      <c r="AKP34" s="2">
        <v>4.77</v>
      </c>
      <c r="AKQ34" s="2">
        <v>4.92</v>
      </c>
      <c r="AKR34" s="2">
        <v>4.99</v>
      </c>
    </row>
    <row r="35">
      <c r="A35" t="inlineStr">
        <is>
          <t>Insurance</t>
        </is>
      </c>
      <c r="B35" t="inlineStr">
        <is>
          <t>Insurance and financial services</t>
        </is>
      </c>
      <c r="C35">
        <v>2</v>
      </c>
      <c r="D35">
        <v>1.36</v>
      </c>
      <c r="E35" s="3">
        <f>D35/5.57*0.0557</f>
        <v>0.0136</v>
      </c>
      <c r="F35" s="3">
        <f>E35-D35/100</f>
        <v>-1.734723475976807e-18</v>
      </c>
      <c r="G35" s="3">
        <f>D35/5.57</f>
        <v>0.24416517055655296</v>
      </c>
      <c r="CI35" s="2">
        <v>94.04000000000001</v>
      </c>
      <c r="CJ35" s="2">
        <v>94.93000000000001</v>
      </c>
      <c r="CK35" s="2">
        <v>95.72</v>
      </c>
      <c r="CL35" s="2">
        <v>96.5</v>
      </c>
      <c r="CM35" s="2">
        <v>97.59</v>
      </c>
      <c r="CN35" s="2">
        <v>97.95</v>
      </c>
      <c r="CO35" s="2">
        <v>98.31999999999999</v>
      </c>
      <c r="CP35" s="2">
        <v>98.75</v>
      </c>
      <c r="CQ35" s="2">
        <v>98.87</v>
      </c>
      <c r="CR35" s="2">
        <v>100.61</v>
      </c>
      <c r="CS35" s="2">
        <v>100.66</v>
      </c>
      <c r="CT35" s="2">
        <v>100.17</v>
      </c>
      <c r="CU35" s="2">
        <v>99.70999999999999</v>
      </c>
      <c r="CV35" s="2">
        <v>99.27</v>
      </c>
      <c r="CW35" s="2">
        <v>99.53</v>
      </c>
      <c r="CX35" s="2">
        <v>100.33</v>
      </c>
      <c r="CY35" s="2">
        <v>99.70999999999999</v>
      </c>
      <c r="CZ35" s="2">
        <v>100</v>
      </c>
      <c r="DA35" s="2">
        <v>100.61</v>
      </c>
      <c r="DB35" s="2">
        <v>101.17</v>
      </c>
      <c r="DC35" s="2">
        <v>101.41</v>
      </c>
      <c r="DD35" s="2">
        <v>102.84</v>
      </c>
      <c r="DE35" s="2">
        <v>103.21</v>
      </c>
      <c r="DF35" s="2">
        <v>103.91</v>
      </c>
      <c r="DG35" s="2">
        <v>104.19</v>
      </c>
      <c r="DH35" s="2">
        <v>104.7</v>
      </c>
      <c r="DI35" s="2">
        <v>104.37</v>
      </c>
      <c r="DJ35" s="2">
        <v>104.57</v>
      </c>
      <c r="GL35" s="2">
        <v>6</v>
      </c>
      <c r="GM35" s="2">
        <v>4.6</v>
      </c>
      <c r="GN35" s="2">
        <v>4</v>
      </c>
      <c r="GO35" s="2">
        <v>4</v>
      </c>
      <c r="GP35" s="2">
        <v>2.2</v>
      </c>
      <c r="GQ35" s="2">
        <v>2.1</v>
      </c>
      <c r="GR35" s="2">
        <v>2.3</v>
      </c>
      <c r="GS35" s="2">
        <v>2.5</v>
      </c>
      <c r="GT35" s="2">
        <v>2.6</v>
      </c>
      <c r="GU35" s="2">
        <v>2.2</v>
      </c>
      <c r="GV35" s="2">
        <v>2.5</v>
      </c>
      <c r="GW35" s="2">
        <v>3.7</v>
      </c>
      <c r="GX35" s="2">
        <v>4.5</v>
      </c>
      <c r="GY35" s="2">
        <v>5.5</v>
      </c>
      <c r="GZ35" s="2">
        <v>4.9</v>
      </c>
      <c r="HA35" s="2">
        <v>4.2</v>
      </c>
      <c r="KC35" s="2">
        <v>0.9</v>
      </c>
      <c r="KD35" s="2">
        <v>0.8</v>
      </c>
      <c r="KE35" s="2">
        <v>0.8</v>
      </c>
      <c r="KF35" s="2">
        <v>1.1</v>
      </c>
      <c r="KG35" s="2">
        <v>0.4</v>
      </c>
      <c r="KH35" s="2">
        <v>0.4</v>
      </c>
      <c r="KI35" s="2">
        <v>0.4</v>
      </c>
      <c r="KJ35" s="2">
        <v>0.1</v>
      </c>
      <c r="KK35" s="2">
        <v>1.8</v>
      </c>
      <c r="KL35" s="2">
        <v>0</v>
      </c>
      <c r="KM35" s="2">
        <v>-0.5</v>
      </c>
      <c r="KN35" s="2">
        <v>-0.5</v>
      </c>
      <c r="KO35" s="2">
        <v>-0.4</v>
      </c>
      <c r="KP35" s="2">
        <v>0.3</v>
      </c>
      <c r="KQ35" s="2">
        <v>0.8</v>
      </c>
      <c r="KR35" s="2">
        <v>-0.6</v>
      </c>
      <c r="KS35" s="2">
        <v>0.3</v>
      </c>
      <c r="KT35" s="2">
        <v>0.6</v>
      </c>
      <c r="KU35" s="2">
        <v>0.6</v>
      </c>
      <c r="KV35" s="2">
        <v>0.2</v>
      </c>
      <c r="KW35" s="2">
        <v>1.4</v>
      </c>
      <c r="KX35" s="2">
        <v>0.4</v>
      </c>
      <c r="KY35" s="2">
        <v>0.7</v>
      </c>
      <c r="KZ35" s="2">
        <v>0.3</v>
      </c>
      <c r="LA35" s="2">
        <v>0.5</v>
      </c>
      <c r="LB35" s="2">
        <v>-0.3</v>
      </c>
      <c r="LC35" s="2">
        <v>0.2</v>
      </c>
      <c r="LD35" s="2">
        <v>1.32</v>
      </c>
      <c r="LE35" s="2">
        <v>1.35</v>
      </c>
      <c r="LF35" s="2">
        <v>1.35</v>
      </c>
      <c r="LG35" s="2">
        <v>1.34</v>
      </c>
      <c r="LH35" s="2">
        <v>1.33</v>
      </c>
      <c r="LI35" s="2">
        <v>1.33</v>
      </c>
      <c r="LJ35" s="2">
        <v>1.33</v>
      </c>
      <c r="LK35" s="2">
        <v>1.34</v>
      </c>
      <c r="LL35" s="2">
        <v>1.33</v>
      </c>
      <c r="LM35" s="2">
        <v>1.34</v>
      </c>
      <c r="LN35" s="2">
        <v>1.35</v>
      </c>
      <c r="LO35" s="2">
        <v>1.35</v>
      </c>
      <c r="LP35" s="2">
        <v>1.36</v>
      </c>
      <c r="LQ35" s="2">
        <v>1.38</v>
      </c>
      <c r="LR35" s="2">
        <v>1.38</v>
      </c>
      <c r="LS35" s="2">
        <v>1.39</v>
      </c>
      <c r="LT35" s="2">
        <v>1.39</v>
      </c>
      <c r="LU35" s="2">
        <v>1.4</v>
      </c>
      <c r="LV35" s="2">
        <v>1.4</v>
      </c>
      <c r="LW35" s="2">
        <v>1.4</v>
      </c>
      <c r="LX35" s="2">
        <v>0.03</v>
      </c>
      <c r="LY35" s="2">
        <v>0</v>
      </c>
      <c r="LZ35" s="2">
        <v>-0.01</v>
      </c>
      <c r="MA35" s="2">
        <v>-0.01</v>
      </c>
      <c r="MB35" s="2">
        <v>0</v>
      </c>
      <c r="MC35" s="2">
        <v>0</v>
      </c>
      <c r="MD35" s="2">
        <v>0.01</v>
      </c>
      <c r="ME35" s="2">
        <v>-0.01</v>
      </c>
      <c r="MF35" s="2">
        <v>0.01</v>
      </c>
      <c r="MG35" s="2">
        <v>0.01</v>
      </c>
      <c r="MH35" s="2">
        <v>0</v>
      </c>
      <c r="MI35" s="2">
        <v>0.01</v>
      </c>
      <c r="MJ35" s="2">
        <v>0.02</v>
      </c>
      <c r="MK35" s="2">
        <v>0</v>
      </c>
      <c r="ML35" s="2">
        <v>0.01</v>
      </c>
      <c r="MM35" s="2">
        <v>0</v>
      </c>
      <c r="MN35" s="2">
        <v>0.01</v>
      </c>
      <c r="MO35" s="2">
        <v>0</v>
      </c>
      <c r="MP35" s="2">
        <v>0</v>
      </c>
      <c r="SY35" s="2">
        <v>14.14</v>
      </c>
      <c r="SZ35" s="2">
        <v>14.28</v>
      </c>
      <c r="TA35" s="2">
        <v>14.44</v>
      </c>
      <c r="TB35" s="2">
        <v>14.61</v>
      </c>
      <c r="TC35" s="2">
        <v>15.13</v>
      </c>
      <c r="TD35" s="2">
        <v>15.27</v>
      </c>
      <c r="TE35" s="2">
        <v>15.37</v>
      </c>
      <c r="TF35" s="2">
        <v>15.63</v>
      </c>
      <c r="TG35" s="2">
        <v>15.14</v>
      </c>
      <c r="TH35" s="2">
        <v>15.96</v>
      </c>
      <c r="TI35" s="2">
        <v>15.98</v>
      </c>
      <c r="TJ35" s="2">
        <v>15.98</v>
      </c>
      <c r="TK35" s="2">
        <v>16.06</v>
      </c>
      <c r="TL35" s="2">
        <v>16.03</v>
      </c>
      <c r="TM35" s="2">
        <v>15.95</v>
      </c>
      <c r="TN35" s="2">
        <v>16</v>
      </c>
      <c r="TO35" s="2">
        <v>16.22</v>
      </c>
      <c r="TP35" s="2">
        <v>16.36</v>
      </c>
      <c r="TQ35" s="2">
        <v>16.75</v>
      </c>
      <c r="TR35" s="2">
        <v>17.02</v>
      </c>
      <c r="TS35" s="2">
        <v>17.48</v>
      </c>
      <c r="TT35" s="2">
        <v>17.61</v>
      </c>
      <c r="TU35" s="2">
        <v>17.79</v>
      </c>
      <c r="TV35" s="2">
        <v>17.99</v>
      </c>
      <c r="TW35" s="2">
        <v>18.68</v>
      </c>
      <c r="TX35" s="2">
        <v>19.17</v>
      </c>
      <c r="TY35" s="2">
        <v>19.37</v>
      </c>
      <c r="TZ35" s="2">
        <v>19.5</v>
      </c>
      <c r="UA35" s="2">
        <v>19.74</v>
      </c>
      <c r="UB35" s="2">
        <v>20.04</v>
      </c>
      <c r="UC35" s="2">
        <v>20.4</v>
      </c>
      <c r="UD35" s="2">
        <v>20.66</v>
      </c>
      <c r="UE35" s="2">
        <v>20.93</v>
      </c>
      <c r="UF35" s="2">
        <v>21.1</v>
      </c>
      <c r="UG35" s="2">
        <v>21.21</v>
      </c>
      <c r="UH35" s="2">
        <v>21.36</v>
      </c>
      <c r="UI35" s="2">
        <v>21.84</v>
      </c>
      <c r="UJ35" s="2">
        <v>22.24</v>
      </c>
      <c r="UK35" s="2">
        <v>22.1</v>
      </c>
      <c r="UL35" s="2">
        <v>22.18</v>
      </c>
      <c r="UM35" s="2">
        <v>22.99</v>
      </c>
      <c r="UN35" s="2">
        <v>24.45</v>
      </c>
      <c r="UO35" s="2">
        <v>26.45</v>
      </c>
      <c r="UP35" s="2">
        <v>28.99</v>
      </c>
      <c r="UQ35" s="2">
        <v>30.45</v>
      </c>
      <c r="UR35" s="2">
        <v>30.7</v>
      </c>
      <c r="US35" s="2">
        <v>31.24</v>
      </c>
      <c r="UT35" s="2">
        <v>31.74</v>
      </c>
      <c r="UU35" s="2">
        <v>32.6</v>
      </c>
      <c r="UV35" s="2">
        <v>32.55</v>
      </c>
      <c r="UW35" s="2">
        <v>33.41</v>
      </c>
      <c r="UX35" s="2">
        <v>33.59</v>
      </c>
      <c r="UY35" s="2">
        <v>34.03</v>
      </c>
      <c r="UZ35" s="2">
        <v>34.12</v>
      </c>
      <c r="VA35" s="2">
        <v>34.1</v>
      </c>
      <c r="VB35" s="2">
        <v>34.07</v>
      </c>
      <c r="VC35" s="2">
        <v>34.59</v>
      </c>
      <c r="VD35" s="2">
        <v>34.56</v>
      </c>
      <c r="VE35" s="2">
        <v>34.87</v>
      </c>
      <c r="VF35" s="2">
        <v>34.7</v>
      </c>
      <c r="VG35" s="2">
        <v>35.08</v>
      </c>
      <c r="VH35" s="2">
        <v>35.11</v>
      </c>
      <c r="VI35" s="2">
        <v>35.32</v>
      </c>
      <c r="VJ35" s="2">
        <v>35.71</v>
      </c>
      <c r="VK35" s="2">
        <v>36.14</v>
      </c>
      <c r="VL35" s="2">
        <v>36.45</v>
      </c>
      <c r="VM35" s="2">
        <v>36.72</v>
      </c>
      <c r="VN35" s="2">
        <v>37.04</v>
      </c>
      <c r="VO35" s="2">
        <v>37.84</v>
      </c>
      <c r="VP35" s="2">
        <v>37.63</v>
      </c>
      <c r="VQ35" s="2">
        <v>37.6</v>
      </c>
      <c r="VR35" s="2">
        <v>37.9</v>
      </c>
      <c r="VS35" s="2">
        <v>38.27</v>
      </c>
      <c r="VT35" s="2">
        <v>38.73</v>
      </c>
      <c r="VU35" s="2">
        <v>39.55</v>
      </c>
      <c r="VV35" s="2">
        <v>40.54</v>
      </c>
      <c r="VW35" s="2">
        <v>41.73</v>
      </c>
      <c r="VX35" s="2">
        <v>42.42</v>
      </c>
      <c r="VY35" s="2">
        <v>43.61</v>
      </c>
      <c r="VZ35" s="2">
        <v>44.18</v>
      </c>
      <c r="WA35" s="2">
        <v>45.4</v>
      </c>
      <c r="WB35" s="2">
        <v>45.97</v>
      </c>
      <c r="WC35" s="2">
        <v>46.72</v>
      </c>
      <c r="WD35" s="2">
        <v>46.47</v>
      </c>
      <c r="WE35" s="2">
        <v>47.33</v>
      </c>
      <c r="WF35" s="2">
        <v>47.59</v>
      </c>
      <c r="WG35" s="2">
        <v>48.14</v>
      </c>
      <c r="WH35" s="2">
        <v>48.93</v>
      </c>
      <c r="WI35" s="2">
        <v>50.32</v>
      </c>
      <c r="WJ35" s="2">
        <v>50.99</v>
      </c>
      <c r="WK35" s="2">
        <v>51.67</v>
      </c>
      <c r="WL35" s="2">
        <v>52.34</v>
      </c>
      <c r="WM35" s="2">
        <v>53.74</v>
      </c>
      <c r="WN35" s="2">
        <v>55.28</v>
      </c>
      <c r="WO35" s="2">
        <v>56.34</v>
      </c>
      <c r="WP35" s="2">
        <v>56.31</v>
      </c>
      <c r="WQ35" s="2">
        <v>55.9</v>
      </c>
      <c r="WR35" s="2">
        <v>55.86</v>
      </c>
      <c r="WS35" s="2">
        <v>55.98</v>
      </c>
      <c r="WT35" s="2">
        <v>55.29</v>
      </c>
      <c r="WU35" s="2">
        <v>55.68</v>
      </c>
      <c r="WV35" s="2">
        <v>56.39</v>
      </c>
      <c r="WW35" s="2">
        <v>56.62</v>
      </c>
      <c r="WX35" s="2">
        <v>56.77</v>
      </c>
      <c r="WY35" s="2">
        <v>57.4</v>
      </c>
      <c r="WZ35" s="2">
        <v>58.56</v>
      </c>
      <c r="XA35" s="2">
        <v>59.56</v>
      </c>
      <c r="XB35" s="2">
        <v>60.34</v>
      </c>
      <c r="XC35" s="2">
        <v>61.83</v>
      </c>
      <c r="XD35" s="2">
        <v>63.09</v>
      </c>
      <c r="XE35" s="2">
        <v>63.6</v>
      </c>
      <c r="XF35" s="2">
        <v>62.96</v>
      </c>
      <c r="XG35" s="2">
        <v>64.09</v>
      </c>
      <c r="XH35" s="2">
        <v>65.27</v>
      </c>
      <c r="XI35" s="2">
        <v>65.70999999999999</v>
      </c>
      <c r="XJ35" s="2">
        <v>66.3</v>
      </c>
      <c r="XK35" s="2">
        <v>66.77</v>
      </c>
      <c r="XL35" s="2">
        <v>67.20999999999999</v>
      </c>
      <c r="XM35" s="2">
        <v>66.98</v>
      </c>
      <c r="XN35" s="2">
        <v>67.02</v>
      </c>
      <c r="XO35" s="2">
        <v>67.41</v>
      </c>
      <c r="XP35" s="2">
        <v>67.66</v>
      </c>
      <c r="XQ35" s="2">
        <v>68.13</v>
      </c>
      <c r="XR35" s="2">
        <v>68.64</v>
      </c>
      <c r="XS35" s="2">
        <v>68.98</v>
      </c>
      <c r="XT35" s="2">
        <v>69.45</v>
      </c>
      <c r="XU35" s="2">
        <v>69.7</v>
      </c>
      <c r="XV35" s="2">
        <v>70.61</v>
      </c>
      <c r="XW35" s="2">
        <v>71.48999999999999</v>
      </c>
      <c r="XX35" s="2">
        <v>71.84</v>
      </c>
      <c r="XY35" s="2">
        <v>72.63</v>
      </c>
      <c r="XZ35" s="2">
        <v>72.86</v>
      </c>
      <c r="YA35" s="2">
        <v>74.5</v>
      </c>
      <c r="YB35" s="2">
        <v>76.3</v>
      </c>
      <c r="YC35" s="2">
        <v>79</v>
      </c>
      <c r="YD35" s="2">
        <v>83.13</v>
      </c>
      <c r="YE35" s="2">
        <v>85.44</v>
      </c>
      <c r="YF35" s="2">
        <v>88.72</v>
      </c>
      <c r="YG35" s="2">
        <v>91.98999999999999</v>
      </c>
      <c r="YH35" s="2">
        <v>94.79000000000001</v>
      </c>
      <c r="YI35" s="2">
        <v>97.44</v>
      </c>
      <c r="YJ35" s="2">
        <v>98.45999999999999</v>
      </c>
      <c r="YK35" s="2">
        <v>99.01000000000001</v>
      </c>
      <c r="YL35" s="2">
        <v>98.48999999999999</v>
      </c>
      <c r="YM35" s="2">
        <v>100.01</v>
      </c>
      <c r="YN35" s="2">
        <v>101.07</v>
      </c>
      <c r="YO35" s="2">
        <v>103.32</v>
      </c>
      <c r="YP35" s="2">
        <v>104.42</v>
      </c>
      <c r="AEY35" s="2">
        <v>1</v>
      </c>
      <c r="AEZ35" s="2">
        <v>1.1</v>
      </c>
      <c r="AFA35" s="2">
        <v>1.2</v>
      </c>
      <c r="AFB35" s="2">
        <v>3.6</v>
      </c>
      <c r="AFC35" s="2">
        <v>0.9</v>
      </c>
      <c r="AFD35" s="2">
        <v>0.7</v>
      </c>
      <c r="AFE35" s="2">
        <v>1.7</v>
      </c>
      <c r="AFF35" s="2">
        <v>-3.1</v>
      </c>
      <c r="AFG35" s="2">
        <v>5.4</v>
      </c>
      <c r="AFH35" s="2">
        <v>0.1</v>
      </c>
      <c r="AFI35" s="2">
        <v>0</v>
      </c>
      <c r="AFJ35" s="2">
        <v>0.5</v>
      </c>
      <c r="AFK35" s="2">
        <v>-0.2</v>
      </c>
      <c r="AFL35" s="2">
        <v>-0.5</v>
      </c>
      <c r="AFM35" s="2">
        <v>0.3</v>
      </c>
      <c r="AFN35" s="2">
        <v>1.4</v>
      </c>
      <c r="AFO35" s="2">
        <v>0.9</v>
      </c>
      <c r="AFP35" s="2">
        <v>2.4</v>
      </c>
      <c r="AFQ35" s="2">
        <v>1.6</v>
      </c>
      <c r="AFR35" s="2">
        <v>2.7</v>
      </c>
      <c r="AFS35" s="2">
        <v>0.7</v>
      </c>
      <c r="AFT35" s="2">
        <v>1</v>
      </c>
      <c r="AFU35" s="2">
        <v>1.1</v>
      </c>
      <c r="AFV35" s="2">
        <v>3.8</v>
      </c>
      <c r="AFW35" s="2">
        <v>2.6</v>
      </c>
      <c r="AFX35" s="2">
        <v>1</v>
      </c>
      <c r="AFY35" s="2">
        <v>0.7</v>
      </c>
      <c r="AFZ35" s="2">
        <v>1.2</v>
      </c>
      <c r="AGA35" s="2">
        <v>1.5</v>
      </c>
      <c r="AGB35" s="2">
        <v>1.8</v>
      </c>
      <c r="AGC35" s="2">
        <v>1.3</v>
      </c>
      <c r="AGD35" s="2">
        <v>1.3</v>
      </c>
      <c r="AGE35" s="2">
        <v>0.8</v>
      </c>
      <c r="AGF35" s="2">
        <v>0.5</v>
      </c>
      <c r="AGG35" s="2">
        <v>0.7</v>
      </c>
      <c r="AGH35" s="2">
        <v>2.2</v>
      </c>
      <c r="AGI35" s="2">
        <v>1.8</v>
      </c>
      <c r="AGJ35" s="2">
        <v>-0.6</v>
      </c>
      <c r="AGK35" s="2">
        <v>0.4</v>
      </c>
      <c r="AGL35" s="2">
        <v>3.7</v>
      </c>
      <c r="AGM35" s="2">
        <v>6.4</v>
      </c>
      <c r="AGN35" s="2">
        <v>8.199999999999999</v>
      </c>
      <c r="AGO35" s="2">
        <v>9.6</v>
      </c>
      <c r="AGP35" s="2">
        <v>5</v>
      </c>
      <c r="AGQ35" s="2">
        <v>0.8</v>
      </c>
      <c r="AGR35" s="2">
        <v>1.8</v>
      </c>
      <c r="AGS35" s="2">
        <v>1.6</v>
      </c>
      <c r="AGT35" s="2">
        <v>2.7</v>
      </c>
      <c r="AGU35" s="2">
        <v>-0.2</v>
      </c>
      <c r="AGV35" s="2">
        <v>2.6</v>
      </c>
      <c r="AGW35" s="2">
        <v>0.5</v>
      </c>
      <c r="AGX35" s="2">
        <v>1.3</v>
      </c>
      <c r="AGY35" s="2">
        <v>0.3</v>
      </c>
      <c r="AGZ35" s="2">
        <v>-0.1</v>
      </c>
      <c r="AHA35" s="2">
        <v>-0.1</v>
      </c>
      <c r="AHB35" s="2">
        <v>1.5</v>
      </c>
      <c r="AHC35" s="2">
        <v>-0.1</v>
      </c>
      <c r="AHD35" s="2">
        <v>0.9</v>
      </c>
      <c r="AHE35" s="2">
        <v>-0.5</v>
      </c>
      <c r="AHF35" s="2">
        <v>1.1</v>
      </c>
      <c r="AHG35" s="2">
        <v>0.1</v>
      </c>
      <c r="AHH35" s="2">
        <v>0.6</v>
      </c>
      <c r="AHI35" s="2">
        <v>1.1</v>
      </c>
      <c r="AHJ35" s="2">
        <v>1.2</v>
      </c>
      <c r="AHK35" s="2">
        <v>0.9</v>
      </c>
      <c r="AHL35" s="2">
        <v>0.7</v>
      </c>
      <c r="AHM35" s="2">
        <v>0.9</v>
      </c>
      <c r="AHN35" s="2">
        <v>2.2</v>
      </c>
      <c r="AHO35" s="2">
        <v>-0.6</v>
      </c>
      <c r="AHP35" s="2">
        <v>-0.1</v>
      </c>
      <c r="AHQ35" s="2">
        <v>0.8</v>
      </c>
      <c r="AHR35" s="2">
        <v>1</v>
      </c>
      <c r="AHS35" s="2">
        <v>1.2</v>
      </c>
      <c r="AHT35" s="2">
        <v>2.1</v>
      </c>
      <c r="AHU35" s="2">
        <v>2.5</v>
      </c>
      <c r="AHV35" s="2">
        <v>2.9</v>
      </c>
      <c r="AHW35" s="2">
        <v>1.7</v>
      </c>
      <c r="AHX35" s="2">
        <v>2.8</v>
      </c>
      <c r="AHY35" s="2">
        <v>1.3</v>
      </c>
      <c r="AHZ35" s="2">
        <v>2.8</v>
      </c>
      <c r="AIA35" s="2">
        <v>1.3</v>
      </c>
      <c r="AIB35" s="2">
        <v>1.6</v>
      </c>
      <c r="AIC35" s="2">
        <v>-0.5</v>
      </c>
      <c r="AID35" s="2">
        <v>1.9</v>
      </c>
      <c r="AIE35" s="2">
        <v>0.5</v>
      </c>
      <c r="AIF35" s="2">
        <v>1.2</v>
      </c>
      <c r="AIG35" s="2">
        <v>1.6</v>
      </c>
      <c r="AIH35" s="2">
        <v>2.8</v>
      </c>
      <c r="AII35" s="2">
        <v>1.3</v>
      </c>
      <c r="AIJ35" s="2">
        <v>1.3</v>
      </c>
      <c r="AIK35" s="2">
        <v>1.3</v>
      </c>
      <c r="AIL35" s="2">
        <v>2.7</v>
      </c>
      <c r="AIM35" s="2">
        <v>2.9</v>
      </c>
      <c r="AIN35" s="2">
        <v>1.9</v>
      </c>
      <c r="AIO35" s="2">
        <v>-0.1</v>
      </c>
      <c r="AIP35" s="2">
        <v>-0.7</v>
      </c>
      <c r="AIQ35" s="2">
        <v>-0.1</v>
      </c>
      <c r="AIR35" s="2">
        <v>0.2</v>
      </c>
      <c r="AIS35" s="2">
        <v>-1.2</v>
      </c>
      <c r="AIT35" s="2">
        <v>0.7</v>
      </c>
      <c r="AIU35" s="2">
        <v>1.3</v>
      </c>
      <c r="AIV35" s="2">
        <v>0.4</v>
      </c>
      <c r="AIW35" s="2">
        <v>0.3</v>
      </c>
      <c r="AIX35" s="2">
        <v>1.1</v>
      </c>
      <c r="AIY35" s="2">
        <v>2</v>
      </c>
      <c r="AIZ35" s="2">
        <v>1.7</v>
      </c>
      <c r="AJA35" s="2">
        <v>1.3</v>
      </c>
      <c r="AJB35" s="2">
        <v>2.5</v>
      </c>
      <c r="AJC35" s="2">
        <v>2</v>
      </c>
      <c r="AJD35" s="2">
        <v>0.8</v>
      </c>
      <c r="AJE35" s="2">
        <v>-1</v>
      </c>
      <c r="AJF35" s="2">
        <v>1.8</v>
      </c>
      <c r="AJG35" s="2">
        <v>1.8</v>
      </c>
      <c r="AJH35" s="2">
        <v>0.7</v>
      </c>
      <c r="AJI35" s="2">
        <v>0.9</v>
      </c>
      <c r="AJJ35" s="2">
        <v>0.7</v>
      </c>
      <c r="AJK35" s="2">
        <v>0.7</v>
      </c>
      <c r="AJL35" s="2">
        <v>-0.3</v>
      </c>
      <c r="AJM35" s="2">
        <v>0.1</v>
      </c>
      <c r="AJN35" s="2">
        <v>0.6</v>
      </c>
      <c r="AJO35" s="2">
        <v>0.4</v>
      </c>
      <c r="AJP35" s="2">
        <v>0.7</v>
      </c>
      <c r="AJQ35" s="2">
        <v>0.7</v>
      </c>
      <c r="AJR35" s="2">
        <v>0.5</v>
      </c>
      <c r="AJS35" s="2">
        <v>0.7</v>
      </c>
      <c r="AJT35" s="2">
        <v>0.4</v>
      </c>
      <c r="AJU35" s="2">
        <v>1.3</v>
      </c>
      <c r="AJV35" s="2">
        <v>1.2</v>
      </c>
      <c r="AJW35" s="2">
        <v>0.5</v>
      </c>
      <c r="AJX35" s="2">
        <v>1.1</v>
      </c>
      <c r="AJY35" s="2">
        <v>0.3</v>
      </c>
      <c r="AJZ35" s="2">
        <v>2.3</v>
      </c>
      <c r="AKA35" s="2">
        <v>2.4</v>
      </c>
      <c r="AKB35" s="2">
        <v>3.5</v>
      </c>
      <c r="AKC35" s="2">
        <v>5.2</v>
      </c>
      <c r="AKD35" s="2">
        <v>2.8</v>
      </c>
      <c r="AKE35" s="2">
        <v>3.8</v>
      </c>
      <c r="AKF35" s="2">
        <v>3.7</v>
      </c>
      <c r="AKG35" s="2">
        <v>3</v>
      </c>
      <c r="AKH35" s="2">
        <v>2.8</v>
      </c>
      <c r="AKI35" s="2">
        <v>1</v>
      </c>
      <c r="AKJ35" s="2">
        <v>0.6</v>
      </c>
      <c r="AKK35" s="2">
        <v>-0.5</v>
      </c>
      <c r="AKL35" s="2">
        <v>1.5</v>
      </c>
      <c r="AKM35" s="2">
        <v>1.1</v>
      </c>
      <c r="AKN35" s="2">
        <v>2.2</v>
      </c>
      <c r="AKO35" s="2">
        <v>1.1</v>
      </c>
      <c r="AKP35" s="2">
        <v>1.35</v>
      </c>
      <c r="AKQ35" s="2">
        <v>1.38</v>
      </c>
      <c r="AKR35" s="2">
        <v>1.4</v>
      </c>
    </row>
    <row r="36">
      <c r="A36" t="inlineStr">
        <is>
          <t>Financial services</t>
        </is>
      </c>
      <c r="B36" t="inlineStr">
        <is>
          <t>Insurance and financial services</t>
        </is>
      </c>
      <c r="C36">
        <v>2</v>
      </c>
      <c r="D36">
        <v>4.21</v>
      </c>
      <c r="E36" s="3">
        <f>D36/5.57*0.0557</f>
        <v>0.04209999999999999</v>
      </c>
      <c r="F36" s="3">
        <f>E36-D36/100</f>
        <v>-6.938893903907228e-18</v>
      </c>
      <c r="G36" s="3">
        <f>D36/5.57</f>
        <v>0.755834829443447</v>
      </c>
      <c r="H36" s="2">
        <v>81.91</v>
      </c>
      <c r="I36" s="2">
        <v>81.62</v>
      </c>
      <c r="J36" s="2">
        <v>81.62</v>
      </c>
      <c r="K36" s="2">
        <v>81.61</v>
      </c>
      <c r="L36" s="2">
        <v>81.61</v>
      </c>
      <c r="M36" s="2">
        <v>81.62</v>
      </c>
      <c r="N36" s="2">
        <v>81.83</v>
      </c>
      <c r="O36" s="2">
        <v>81.83</v>
      </c>
      <c r="P36" s="2">
        <v>81.83</v>
      </c>
      <c r="Q36" s="2">
        <v>82.06999999999999</v>
      </c>
      <c r="R36" s="2">
        <v>82.06999999999999</v>
      </c>
      <c r="S36" s="2">
        <v>82.08</v>
      </c>
      <c r="T36" s="2">
        <v>82.44</v>
      </c>
      <c r="U36" s="2">
        <v>82.44</v>
      </c>
      <c r="V36" s="2">
        <v>82.44</v>
      </c>
      <c r="W36" s="2">
        <v>82.59999999999999</v>
      </c>
      <c r="X36" s="2">
        <v>82.62</v>
      </c>
      <c r="Y36" s="2">
        <v>82.62</v>
      </c>
      <c r="Z36" s="2">
        <v>82.5</v>
      </c>
      <c r="AA36" s="2">
        <v>82.51000000000001</v>
      </c>
      <c r="AB36" s="2">
        <v>82.51000000000001</v>
      </c>
      <c r="AC36" s="2">
        <v>82.56999999999999</v>
      </c>
      <c r="AD36" s="2">
        <v>82.63</v>
      </c>
      <c r="AE36" s="2">
        <v>82.63</v>
      </c>
      <c r="AF36" s="2">
        <v>82.81</v>
      </c>
      <c r="AG36" s="2">
        <v>82.81</v>
      </c>
      <c r="AH36" s="2">
        <v>82.86</v>
      </c>
      <c r="AI36" s="2">
        <v>83.27</v>
      </c>
      <c r="AJ36" s="2">
        <v>83.23999999999999</v>
      </c>
      <c r="AK36" s="2">
        <v>83.23999999999999</v>
      </c>
      <c r="AL36" s="2">
        <v>83.7</v>
      </c>
      <c r="AM36" s="2">
        <v>83.55</v>
      </c>
      <c r="AN36" s="2">
        <v>83.56</v>
      </c>
      <c r="AO36" s="2">
        <v>83.97</v>
      </c>
      <c r="AP36" s="2">
        <v>83.97</v>
      </c>
      <c r="AQ36" s="2">
        <v>83.97</v>
      </c>
      <c r="AR36" s="2">
        <v>83.86</v>
      </c>
      <c r="AS36" s="2">
        <v>83.93000000000001</v>
      </c>
      <c r="AT36" s="2">
        <v>83.93000000000001</v>
      </c>
      <c r="AU36" s="2">
        <v>83.83</v>
      </c>
      <c r="AV36" s="2">
        <v>83.83</v>
      </c>
      <c r="AW36" s="2">
        <v>83.8</v>
      </c>
      <c r="AX36" s="2">
        <v>83.75</v>
      </c>
      <c r="AY36" s="2">
        <v>83.75</v>
      </c>
      <c r="AZ36" s="2">
        <v>83.61</v>
      </c>
      <c r="BA36" s="2">
        <v>83.83</v>
      </c>
      <c r="BB36" s="2">
        <v>83.62</v>
      </c>
      <c r="BC36" s="2">
        <v>83.63</v>
      </c>
      <c r="BD36" s="2">
        <v>84.11</v>
      </c>
      <c r="BE36" s="2">
        <v>84.12</v>
      </c>
      <c r="BF36" s="2">
        <v>84.16</v>
      </c>
      <c r="BG36" s="2">
        <v>85.31</v>
      </c>
      <c r="BH36" s="2">
        <v>85.3</v>
      </c>
      <c r="BI36" s="2">
        <v>85.3</v>
      </c>
      <c r="BJ36" s="2">
        <v>85.65000000000001</v>
      </c>
      <c r="BK36" s="2">
        <v>85.5</v>
      </c>
      <c r="BL36" s="2">
        <v>85.5</v>
      </c>
      <c r="BM36" s="2">
        <v>86.70999999999999</v>
      </c>
      <c r="BN36" s="2">
        <v>86.70999999999999</v>
      </c>
      <c r="BO36" s="2">
        <v>86.61</v>
      </c>
      <c r="BP36" s="2">
        <v>87.64</v>
      </c>
      <c r="BQ36" s="2">
        <v>87.66</v>
      </c>
      <c r="BR36" s="2">
        <v>87.77</v>
      </c>
      <c r="BS36" s="2">
        <v>89.31</v>
      </c>
      <c r="BT36" s="2">
        <v>89.31999999999999</v>
      </c>
      <c r="BU36" s="2">
        <v>89.33</v>
      </c>
      <c r="BV36" s="2">
        <v>90.73999999999999</v>
      </c>
      <c r="BW36" s="2">
        <v>90.75</v>
      </c>
      <c r="BX36" s="2">
        <v>90.76000000000001</v>
      </c>
      <c r="BY36" s="2">
        <v>92.86</v>
      </c>
      <c r="BZ36" s="2">
        <v>92.86</v>
      </c>
      <c r="CA36" s="2">
        <v>92.95</v>
      </c>
      <c r="CB36" s="2">
        <v>93.81999999999999</v>
      </c>
      <c r="CC36" s="2">
        <v>93.81999999999999</v>
      </c>
      <c r="CD36" s="2">
        <v>93.86</v>
      </c>
      <c r="CE36" s="2">
        <v>94.77</v>
      </c>
      <c r="CF36" s="2">
        <v>94.79000000000001</v>
      </c>
      <c r="CG36" s="2">
        <v>94.8</v>
      </c>
      <c r="CH36" s="2">
        <v>96.12</v>
      </c>
      <c r="CI36" s="2">
        <v>96.15000000000001</v>
      </c>
      <c r="CJ36" s="2">
        <v>96.16</v>
      </c>
      <c r="CK36" s="2">
        <v>96.81999999999999</v>
      </c>
      <c r="CL36" s="2">
        <v>96.83</v>
      </c>
      <c r="CM36" s="2">
        <v>96.64</v>
      </c>
      <c r="CN36" s="2">
        <v>97.45</v>
      </c>
      <c r="CO36" s="2">
        <v>97.66</v>
      </c>
      <c r="CP36" s="2">
        <v>97.51000000000001</v>
      </c>
      <c r="CQ36" s="2">
        <v>98.17</v>
      </c>
      <c r="CR36" s="2">
        <v>98.17</v>
      </c>
      <c r="CS36" s="2">
        <v>98.2</v>
      </c>
      <c r="CT36" s="2">
        <v>98.90000000000001</v>
      </c>
      <c r="CU36" s="2">
        <v>98.95</v>
      </c>
      <c r="CV36" s="2">
        <v>98.95999999999999</v>
      </c>
      <c r="CW36" s="2">
        <v>99.63</v>
      </c>
      <c r="CX36" s="2">
        <v>99.68000000000001</v>
      </c>
      <c r="CY36" s="2">
        <v>99.7</v>
      </c>
      <c r="CZ36" s="2">
        <v>100</v>
      </c>
      <c r="DA36" s="2">
        <v>100.11</v>
      </c>
      <c r="DB36" s="2">
        <v>100.01</v>
      </c>
      <c r="DC36" s="2">
        <v>100.55</v>
      </c>
      <c r="DD36" s="2">
        <v>100.56</v>
      </c>
      <c r="DE36" s="2">
        <v>100.56</v>
      </c>
      <c r="DF36" s="2">
        <v>101.41</v>
      </c>
      <c r="DG36" s="2">
        <v>101.41</v>
      </c>
      <c r="DH36" s="2">
        <v>101.45</v>
      </c>
      <c r="DI36" s="2">
        <v>102.3</v>
      </c>
      <c r="DJ36" s="2">
        <v>102.47</v>
      </c>
      <c r="DK36" s="2">
        <v>0.6</v>
      </c>
      <c r="DL36" s="2">
        <v>1</v>
      </c>
      <c r="DM36" s="2">
        <v>1</v>
      </c>
      <c r="DN36" s="2">
        <v>1.2</v>
      </c>
      <c r="DO36" s="2">
        <v>1.2</v>
      </c>
      <c r="DP36" s="2">
        <v>1.2</v>
      </c>
      <c r="DQ36" s="2">
        <v>0.8</v>
      </c>
      <c r="DR36" s="2">
        <v>0.8</v>
      </c>
      <c r="DS36" s="2">
        <v>0.8</v>
      </c>
      <c r="DT36" s="2">
        <v>0.6</v>
      </c>
      <c r="DU36" s="2">
        <v>0.7</v>
      </c>
      <c r="DV36" s="2">
        <v>0.7</v>
      </c>
      <c r="DW36" s="2">
        <v>0.4</v>
      </c>
      <c r="DX36" s="2">
        <v>0.4</v>
      </c>
      <c r="DY36" s="2">
        <v>0.5</v>
      </c>
      <c r="DZ36" s="2">
        <v>0.8</v>
      </c>
      <c r="EA36" s="2">
        <v>0.8</v>
      </c>
      <c r="EB36" s="2">
        <v>0.8</v>
      </c>
      <c r="EC36" s="2">
        <v>1.5</v>
      </c>
      <c r="ED36" s="2">
        <v>1.3</v>
      </c>
      <c r="EE36" s="2">
        <v>1.3</v>
      </c>
      <c r="EF36" s="2">
        <v>1.7</v>
      </c>
      <c r="EG36" s="2">
        <v>1.6</v>
      </c>
      <c r="EH36" s="2">
        <v>1.6</v>
      </c>
      <c r="EI36" s="2">
        <v>1.3</v>
      </c>
      <c r="EJ36" s="2">
        <v>1.4</v>
      </c>
      <c r="EK36" s="2">
        <v>1.3</v>
      </c>
      <c r="EL36" s="2">
        <v>0.7</v>
      </c>
      <c r="EM36" s="2">
        <v>0.7</v>
      </c>
      <c r="EN36" s="2">
        <v>0.7</v>
      </c>
      <c r="EO36" s="2">
        <v>0.1</v>
      </c>
      <c r="EP36" s="2">
        <v>0.2</v>
      </c>
      <c r="EQ36" s="2">
        <v>0.1</v>
      </c>
      <c r="ER36" s="2">
        <v>-0.2</v>
      </c>
      <c r="ES36" s="2">
        <v>-0.4</v>
      </c>
      <c r="ET36" s="2">
        <v>-0.4</v>
      </c>
      <c r="EU36" s="2">
        <v>0.3</v>
      </c>
      <c r="EV36" s="2">
        <v>0.2</v>
      </c>
      <c r="EW36" s="2">
        <v>0.3</v>
      </c>
      <c r="EX36" s="2">
        <v>1.8</v>
      </c>
      <c r="EY36" s="2">
        <v>1.8</v>
      </c>
      <c r="EZ36" s="2">
        <v>1.8</v>
      </c>
      <c r="FA36" s="2">
        <v>2.3</v>
      </c>
      <c r="FB36" s="2">
        <v>2.1</v>
      </c>
      <c r="FC36" s="2">
        <v>2.3</v>
      </c>
      <c r="FD36" s="2">
        <v>3.4</v>
      </c>
      <c r="FE36" s="2">
        <v>3.7</v>
      </c>
      <c r="FF36" s="2">
        <v>3.6</v>
      </c>
      <c r="FG36" s="2">
        <v>4.2</v>
      </c>
      <c r="FH36" s="2">
        <v>4.2</v>
      </c>
      <c r="FI36" s="2">
        <v>4.3</v>
      </c>
      <c r="FJ36" s="2">
        <v>4.7</v>
      </c>
      <c r="FK36" s="2">
        <v>4.7</v>
      </c>
      <c r="FL36" s="2">
        <v>4.7</v>
      </c>
      <c r="FM36" s="2">
        <v>5.9</v>
      </c>
      <c r="FN36" s="2">
        <v>6.1</v>
      </c>
      <c r="FO36" s="2">
        <v>6.2</v>
      </c>
      <c r="FP36" s="2">
        <v>7.1</v>
      </c>
      <c r="FQ36" s="2">
        <v>7.1</v>
      </c>
      <c r="FR36" s="2">
        <v>7.3</v>
      </c>
      <c r="FS36" s="2">
        <v>7.1</v>
      </c>
      <c r="FT36" s="2">
        <v>7</v>
      </c>
      <c r="FU36" s="2">
        <v>6.9</v>
      </c>
      <c r="FV36" s="2">
        <v>6.1</v>
      </c>
      <c r="FW36" s="2">
        <v>6.1</v>
      </c>
      <c r="FX36" s="2">
        <v>6.1</v>
      </c>
      <c r="FY36" s="2">
        <v>5.9</v>
      </c>
      <c r="FZ36" s="2">
        <v>6</v>
      </c>
      <c r="GA36" s="2">
        <v>5.9</v>
      </c>
      <c r="GB36" s="2">
        <v>4.3</v>
      </c>
      <c r="GC36" s="2">
        <v>4.3</v>
      </c>
      <c r="GD36" s="2">
        <v>4</v>
      </c>
      <c r="GE36" s="2">
        <v>3.9</v>
      </c>
      <c r="GF36" s="2">
        <v>4.1</v>
      </c>
      <c r="GG36" s="2">
        <v>3.9</v>
      </c>
      <c r="GH36" s="2">
        <v>3.6</v>
      </c>
      <c r="GI36" s="2">
        <v>3.6</v>
      </c>
      <c r="GJ36" s="2">
        <v>3.6</v>
      </c>
      <c r="GK36" s="2">
        <v>2.9</v>
      </c>
      <c r="GL36" s="2">
        <v>2.9</v>
      </c>
      <c r="GM36" s="2">
        <v>2.9</v>
      </c>
      <c r="GN36" s="2">
        <v>2.9</v>
      </c>
      <c r="GO36" s="2">
        <v>2.9</v>
      </c>
      <c r="GP36" s="2">
        <v>3.2</v>
      </c>
      <c r="GQ36" s="2">
        <v>2.6</v>
      </c>
      <c r="GR36" s="2">
        <v>2.5</v>
      </c>
      <c r="GS36" s="2">
        <v>2.6</v>
      </c>
      <c r="GT36" s="2">
        <v>2.4</v>
      </c>
      <c r="GU36" s="2">
        <v>2.4</v>
      </c>
      <c r="GV36" s="2">
        <v>2.4</v>
      </c>
      <c r="GW36" s="2">
        <v>2.5</v>
      </c>
      <c r="GX36" s="2">
        <v>2.5</v>
      </c>
      <c r="GY36" s="2">
        <v>2.5</v>
      </c>
      <c r="GZ36" s="2">
        <v>2.7</v>
      </c>
      <c r="HA36" s="2">
        <v>2.8</v>
      </c>
      <c r="HB36" s="2">
        <v>-0.4</v>
      </c>
      <c r="HC36" s="2">
        <v>0</v>
      </c>
      <c r="HD36" s="2">
        <v>0</v>
      </c>
      <c r="HE36" s="2">
        <v>0</v>
      </c>
      <c r="HF36" s="2">
        <v>0</v>
      </c>
      <c r="HG36" s="2">
        <v>0.3</v>
      </c>
      <c r="HH36" s="2">
        <v>0</v>
      </c>
      <c r="HI36" s="2">
        <v>0</v>
      </c>
      <c r="HJ36" s="2">
        <v>0.3</v>
      </c>
      <c r="HK36" s="2">
        <v>0</v>
      </c>
      <c r="HL36" s="2">
        <v>0</v>
      </c>
      <c r="HM36" s="2">
        <v>0.4</v>
      </c>
      <c r="HN36" s="2">
        <v>0</v>
      </c>
      <c r="HO36" s="2">
        <v>0</v>
      </c>
      <c r="HP36" s="2">
        <v>0.2</v>
      </c>
      <c r="HQ36" s="2">
        <v>0</v>
      </c>
      <c r="HR36" s="2">
        <v>0</v>
      </c>
      <c r="HS36" s="2">
        <v>-0.1</v>
      </c>
      <c r="HT36" s="2">
        <v>0</v>
      </c>
      <c r="HU36" s="2">
        <v>0</v>
      </c>
      <c r="HV36" s="2">
        <v>0.1</v>
      </c>
      <c r="HW36" s="2">
        <v>0.1</v>
      </c>
      <c r="HX36" s="2">
        <v>0</v>
      </c>
      <c r="HY36" s="2">
        <v>0.2</v>
      </c>
      <c r="HZ36" s="2">
        <v>0</v>
      </c>
      <c r="IA36" s="2">
        <v>0.1</v>
      </c>
      <c r="IB36" s="2">
        <v>0.5</v>
      </c>
      <c r="IC36" s="2">
        <v>0</v>
      </c>
      <c r="ID36" s="2">
        <v>0</v>
      </c>
      <c r="IE36" s="2">
        <v>0.6</v>
      </c>
      <c r="IF36" s="2">
        <v>-0.2</v>
      </c>
      <c r="IG36" s="2">
        <v>0</v>
      </c>
      <c r="IH36" s="2">
        <v>0.5</v>
      </c>
      <c r="II36" s="2">
        <v>0</v>
      </c>
      <c r="IJ36" s="2">
        <v>0</v>
      </c>
      <c r="IK36" s="2">
        <v>-0.1</v>
      </c>
      <c r="IL36" s="2">
        <v>0.1</v>
      </c>
      <c r="IM36" s="2">
        <v>0</v>
      </c>
      <c r="IN36" s="2">
        <v>-0.1</v>
      </c>
      <c r="IO36" s="2">
        <v>0</v>
      </c>
      <c r="IP36" s="2">
        <v>0</v>
      </c>
      <c r="IQ36" s="2">
        <v>-0.1</v>
      </c>
      <c r="IR36" s="2">
        <v>0</v>
      </c>
      <c r="IS36" s="2">
        <v>-0.2</v>
      </c>
      <c r="IT36" s="2">
        <v>0.3</v>
      </c>
      <c r="IU36" s="2">
        <v>-0.3</v>
      </c>
      <c r="IV36" s="2">
        <v>0</v>
      </c>
      <c r="IW36" s="2">
        <v>0.6</v>
      </c>
      <c r="IX36" s="2">
        <v>0</v>
      </c>
      <c r="IY36" s="2">
        <v>0</v>
      </c>
      <c r="IZ36" s="2">
        <v>1.4</v>
      </c>
      <c r="JA36" s="2">
        <v>0</v>
      </c>
      <c r="JB36" s="2">
        <v>0</v>
      </c>
      <c r="JC36" s="2">
        <v>0.4</v>
      </c>
      <c r="JD36" s="2">
        <v>-0.2</v>
      </c>
      <c r="JE36" s="2">
        <v>0</v>
      </c>
      <c r="JF36" s="2">
        <v>1.4</v>
      </c>
      <c r="JG36" s="2">
        <v>0</v>
      </c>
      <c r="JH36" s="2">
        <v>-0.1</v>
      </c>
      <c r="JI36" s="2">
        <v>1.2</v>
      </c>
      <c r="JJ36" s="2">
        <v>0</v>
      </c>
      <c r="JK36" s="2">
        <v>0.1</v>
      </c>
      <c r="JL36" s="2">
        <v>1.8</v>
      </c>
      <c r="JM36" s="2">
        <v>0</v>
      </c>
      <c r="JN36" s="2">
        <v>0</v>
      </c>
      <c r="JO36" s="2">
        <v>1.6</v>
      </c>
      <c r="JP36" s="2">
        <v>0</v>
      </c>
      <c r="JQ36" s="2">
        <v>0</v>
      </c>
      <c r="JR36" s="2">
        <v>2.3</v>
      </c>
      <c r="JS36" s="2">
        <v>0</v>
      </c>
      <c r="JT36" s="2">
        <v>0.1</v>
      </c>
      <c r="JU36" s="2">
        <v>0.9</v>
      </c>
      <c r="JV36" s="2">
        <v>0</v>
      </c>
      <c r="JW36" s="2">
        <v>0</v>
      </c>
      <c r="JX36" s="2">
        <v>1</v>
      </c>
      <c r="JY36" s="2">
        <v>0</v>
      </c>
      <c r="JZ36" s="2">
        <v>0</v>
      </c>
      <c r="KA36" s="2">
        <v>1.4</v>
      </c>
      <c r="KB36" s="2">
        <v>0</v>
      </c>
      <c r="KC36" s="2">
        <v>0</v>
      </c>
      <c r="KD36" s="2">
        <v>0.7</v>
      </c>
      <c r="KE36" s="2">
        <v>0</v>
      </c>
      <c r="KF36" s="2">
        <v>-0.2</v>
      </c>
      <c r="KG36" s="2">
        <v>0.8</v>
      </c>
      <c r="KH36" s="2">
        <v>0.2</v>
      </c>
      <c r="KI36" s="2">
        <v>-0.2</v>
      </c>
      <c r="KJ36" s="2">
        <v>0.7</v>
      </c>
      <c r="KK36" s="2">
        <v>0</v>
      </c>
      <c r="KL36" s="2">
        <v>0</v>
      </c>
      <c r="KM36" s="2">
        <v>0.7</v>
      </c>
      <c r="KN36" s="2">
        <v>0.1</v>
      </c>
      <c r="KO36" s="2">
        <v>0</v>
      </c>
      <c r="KP36" s="2">
        <v>0.7</v>
      </c>
      <c r="KQ36" s="2">
        <v>0.1</v>
      </c>
      <c r="KR36" s="2">
        <v>0</v>
      </c>
      <c r="KS36" s="2">
        <v>0.3</v>
      </c>
      <c r="KT36" s="2">
        <v>0.1</v>
      </c>
      <c r="KU36" s="2">
        <v>-0.1</v>
      </c>
      <c r="KV36" s="2">
        <v>0.5</v>
      </c>
      <c r="KW36" s="2">
        <v>0</v>
      </c>
      <c r="KX36" s="2">
        <v>0</v>
      </c>
      <c r="KY36" s="2">
        <v>0.8</v>
      </c>
      <c r="KZ36" s="2">
        <v>0</v>
      </c>
      <c r="LA36" s="2">
        <v>0</v>
      </c>
      <c r="LB36" s="2">
        <v>0.8</v>
      </c>
      <c r="LC36" s="2">
        <v>0.2</v>
      </c>
      <c r="LD36" s="2">
        <v>4.1</v>
      </c>
      <c r="LE36" s="2">
        <v>4.1</v>
      </c>
      <c r="LF36" s="2">
        <v>4.1</v>
      </c>
      <c r="LG36" s="2">
        <v>4.13</v>
      </c>
      <c r="LH36" s="2">
        <v>4.13</v>
      </c>
      <c r="LI36" s="2">
        <v>4.13</v>
      </c>
      <c r="LJ36" s="2">
        <v>4.16</v>
      </c>
      <c r="LK36" s="2">
        <v>4.16</v>
      </c>
      <c r="LL36" s="2">
        <v>4.16</v>
      </c>
      <c r="LM36" s="2">
        <v>4.18</v>
      </c>
      <c r="LN36" s="2">
        <v>4.18</v>
      </c>
      <c r="LO36" s="2">
        <v>4.18</v>
      </c>
      <c r="LP36" s="2">
        <v>4.2</v>
      </c>
      <c r="LQ36" s="2">
        <v>4.2</v>
      </c>
      <c r="LR36" s="2">
        <v>4.2</v>
      </c>
      <c r="LS36" s="2">
        <v>4.24</v>
      </c>
      <c r="LT36" s="2">
        <v>4.24</v>
      </c>
      <c r="LU36" s="2">
        <v>4.24</v>
      </c>
      <c r="LV36" s="2">
        <v>4.27</v>
      </c>
      <c r="LW36" s="2">
        <v>4.28</v>
      </c>
      <c r="LX36" s="2">
        <v>0</v>
      </c>
      <c r="LY36" s="2">
        <v>0</v>
      </c>
      <c r="LZ36" s="2">
        <v>0.03</v>
      </c>
      <c r="MA36" s="2">
        <v>0</v>
      </c>
      <c r="MB36" s="2">
        <v>0</v>
      </c>
      <c r="MC36" s="2">
        <v>0.03</v>
      </c>
      <c r="MD36" s="2">
        <v>0</v>
      </c>
      <c r="ME36" s="2">
        <v>0</v>
      </c>
      <c r="MF36" s="2">
        <v>0.02</v>
      </c>
      <c r="MG36" s="2">
        <v>0</v>
      </c>
      <c r="MH36" s="2">
        <v>0</v>
      </c>
      <c r="MI36" s="2">
        <v>0.02</v>
      </c>
      <c r="MJ36" s="2">
        <v>0</v>
      </c>
      <c r="MK36" s="2">
        <v>0</v>
      </c>
      <c r="ML36" s="2">
        <v>0.04</v>
      </c>
      <c r="MM36" s="2">
        <v>0</v>
      </c>
      <c r="MN36" s="2">
        <v>0</v>
      </c>
      <c r="MO36" s="2">
        <v>0.03</v>
      </c>
      <c r="MP36" s="2">
        <v>0.01</v>
      </c>
      <c r="WH36" s="2">
        <v>75.42</v>
      </c>
      <c r="WI36" s="2">
        <v>75.29000000000001</v>
      </c>
      <c r="WJ36" s="2">
        <v>75.59</v>
      </c>
      <c r="WK36" s="2">
        <v>76.2</v>
      </c>
      <c r="WL36" s="2">
        <v>76.36</v>
      </c>
      <c r="WM36" s="2">
        <v>75.73</v>
      </c>
      <c r="WN36" s="2">
        <v>76.45</v>
      </c>
      <c r="WO36" s="2">
        <v>76.47</v>
      </c>
      <c r="WP36" s="2">
        <v>76.84999999999999</v>
      </c>
      <c r="WQ36" s="2">
        <v>77.56</v>
      </c>
      <c r="WR36" s="2">
        <v>77.76000000000001</v>
      </c>
      <c r="WS36" s="2">
        <v>78.11</v>
      </c>
      <c r="WT36" s="2">
        <v>78.56</v>
      </c>
      <c r="WU36" s="2">
        <v>78.92</v>
      </c>
      <c r="WV36" s="2">
        <v>79.70999999999999</v>
      </c>
      <c r="WW36" s="2">
        <v>79.72</v>
      </c>
      <c r="WX36" s="2">
        <v>79.98999999999999</v>
      </c>
      <c r="WY36" s="2">
        <v>80.18000000000001</v>
      </c>
      <c r="WZ36" s="2">
        <v>80.39</v>
      </c>
      <c r="XA36" s="2">
        <v>80.56999999999999</v>
      </c>
      <c r="XB36" s="2">
        <v>80.59</v>
      </c>
      <c r="XC36" s="2">
        <v>80.8</v>
      </c>
      <c r="XD36" s="2">
        <v>80.81999999999999</v>
      </c>
      <c r="XE36" s="2">
        <v>81.31999999999999</v>
      </c>
      <c r="XF36" s="2">
        <v>81.56</v>
      </c>
      <c r="XG36" s="2">
        <v>81.66</v>
      </c>
      <c r="XH36" s="2">
        <v>81.42</v>
      </c>
      <c r="XI36" s="2">
        <v>81.56999999999999</v>
      </c>
      <c r="XJ36" s="2">
        <v>81.81999999999999</v>
      </c>
      <c r="XK36" s="2">
        <v>82.19</v>
      </c>
      <c r="XL36" s="2">
        <v>82.34</v>
      </c>
      <c r="XM36" s="2">
        <v>82.25</v>
      </c>
      <c r="XN36" s="2">
        <v>82.45</v>
      </c>
      <c r="XO36" s="2">
        <v>82.55</v>
      </c>
      <c r="XP36" s="2">
        <v>82.92</v>
      </c>
      <c r="XQ36" s="2">
        <v>83.47</v>
      </c>
      <c r="XR36" s="2">
        <v>83.70999999999999</v>
      </c>
      <c r="XS36" s="2">
        <v>83.63</v>
      </c>
      <c r="XT36" s="2">
        <v>83.59999999999999</v>
      </c>
      <c r="XU36" s="2">
        <v>83.52</v>
      </c>
      <c r="XV36" s="2">
        <v>83.64</v>
      </c>
      <c r="XW36" s="2">
        <v>83.87</v>
      </c>
      <c r="XX36" s="2">
        <v>85.04000000000001</v>
      </c>
      <c r="XY36" s="2">
        <v>85.40000000000001</v>
      </c>
      <c r="XZ36" s="2">
        <v>86.42</v>
      </c>
      <c r="YA36" s="2">
        <v>87.41</v>
      </c>
      <c r="YB36" s="2">
        <v>89.11</v>
      </c>
      <c r="YC36" s="2">
        <v>90.42</v>
      </c>
      <c r="YD36" s="2">
        <v>92.59</v>
      </c>
      <c r="YE36" s="2">
        <v>93.42</v>
      </c>
      <c r="YF36" s="2">
        <v>94.45999999999999</v>
      </c>
      <c r="YG36" s="2">
        <v>95.84</v>
      </c>
      <c r="YH36" s="2">
        <v>96.54000000000001</v>
      </c>
      <c r="YI36" s="2">
        <v>97.23999999999999</v>
      </c>
      <c r="YJ36" s="2">
        <v>97.94</v>
      </c>
      <c r="YK36" s="2">
        <v>98.48</v>
      </c>
      <c r="YL36" s="2">
        <v>99.29000000000001</v>
      </c>
      <c r="YM36" s="2">
        <v>99.79000000000001</v>
      </c>
      <c r="YN36" s="2">
        <v>100.22</v>
      </c>
      <c r="YO36" s="2">
        <v>100.85</v>
      </c>
      <c r="YP36" s="2">
        <v>101.72</v>
      </c>
      <c r="AIH36" s="2">
        <v>-0.2</v>
      </c>
      <c r="AII36" s="2">
        <v>0.4</v>
      </c>
      <c r="AIJ36" s="2">
        <v>0.8</v>
      </c>
      <c r="AIK36" s="2">
        <v>0.2</v>
      </c>
      <c r="AIL36" s="2">
        <v>-0.8</v>
      </c>
      <c r="AIM36" s="2">
        <v>1</v>
      </c>
      <c r="AIN36" s="2">
        <v>0</v>
      </c>
      <c r="AIO36" s="2">
        <v>0.5</v>
      </c>
      <c r="AIP36" s="2">
        <v>0.9</v>
      </c>
      <c r="AIQ36" s="2">
        <v>0.3</v>
      </c>
      <c r="AIR36" s="2">
        <v>0.5</v>
      </c>
      <c r="AIS36" s="2">
        <v>0.6</v>
      </c>
      <c r="AIT36" s="2">
        <v>0.5</v>
      </c>
      <c r="AIU36" s="2">
        <v>1</v>
      </c>
      <c r="AIV36" s="2">
        <v>0</v>
      </c>
      <c r="AIW36" s="2">
        <v>0.3</v>
      </c>
      <c r="AIX36" s="2">
        <v>0.2</v>
      </c>
      <c r="AIY36" s="2">
        <v>0.3</v>
      </c>
      <c r="AIZ36" s="2">
        <v>0.2</v>
      </c>
      <c r="AJA36" s="2">
        <v>0</v>
      </c>
      <c r="AJB36" s="2">
        <v>0.3</v>
      </c>
      <c r="AJC36" s="2">
        <v>0</v>
      </c>
      <c r="AJD36" s="2">
        <v>0.6</v>
      </c>
      <c r="AJE36" s="2">
        <v>0.3</v>
      </c>
      <c r="AJF36" s="2">
        <v>0.1</v>
      </c>
      <c r="AJG36" s="2">
        <v>-0.3</v>
      </c>
      <c r="AJH36" s="2">
        <v>0.2</v>
      </c>
      <c r="AJI36" s="2">
        <v>0.3</v>
      </c>
      <c r="AJJ36" s="2">
        <v>0.5</v>
      </c>
      <c r="AJK36" s="2">
        <v>0.2</v>
      </c>
      <c r="AJL36" s="2">
        <v>-0.1</v>
      </c>
      <c r="AJM36" s="2">
        <v>0.2</v>
      </c>
      <c r="AJN36" s="2">
        <v>0.1</v>
      </c>
      <c r="AJO36" s="2">
        <v>0.4</v>
      </c>
      <c r="AJP36" s="2">
        <v>0.7</v>
      </c>
      <c r="AJQ36" s="2">
        <v>0.3</v>
      </c>
      <c r="AJR36" s="2">
        <v>-0.1</v>
      </c>
      <c r="AJS36" s="2">
        <v>0</v>
      </c>
      <c r="AJT36" s="2">
        <v>-0.1</v>
      </c>
      <c r="AJU36" s="2">
        <v>0.1</v>
      </c>
      <c r="AJV36" s="2">
        <v>0.3</v>
      </c>
      <c r="AJW36" s="2">
        <v>1.4</v>
      </c>
      <c r="AJX36" s="2">
        <v>0.4</v>
      </c>
      <c r="AJY36" s="2">
        <v>1.2</v>
      </c>
      <c r="AJZ36" s="2">
        <v>1.1</v>
      </c>
      <c r="AKA36" s="2">
        <v>1.9</v>
      </c>
      <c r="AKB36" s="2">
        <v>1.5</v>
      </c>
      <c r="AKC36" s="2">
        <v>2.4</v>
      </c>
      <c r="AKD36" s="2">
        <v>0.9</v>
      </c>
      <c r="AKE36" s="2">
        <v>1.1</v>
      </c>
      <c r="AKF36" s="2">
        <v>1.5</v>
      </c>
      <c r="AKG36" s="2">
        <v>0.7</v>
      </c>
      <c r="AKH36" s="2">
        <v>0.7</v>
      </c>
      <c r="AKI36" s="2">
        <v>0.7</v>
      </c>
      <c r="AKJ36" s="2">
        <v>0.6</v>
      </c>
      <c r="AKK36" s="2">
        <v>0.8</v>
      </c>
      <c r="AKL36" s="2">
        <v>0.5</v>
      </c>
      <c r="AKM36" s="2">
        <v>0.4</v>
      </c>
      <c r="AKN36" s="2">
        <v>0.6</v>
      </c>
      <c r="AKO36" s="2">
        <v>0.9</v>
      </c>
      <c r="AKP36" s="2">
        <v>4.19</v>
      </c>
      <c r="AKQ36" s="2">
        <v>4.21</v>
      </c>
      <c r="AKR36" s="2">
        <v>4.25</v>
      </c>
    </row>
  </sheetData>
  <autoFilter ref="A3:AKR3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R9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42.7109375" customWidth="1"/>
    <col min="3" max="7" width="20.7109375" customWidth="1"/>
    <col min="8" max="980" width="16.7109375" style="2" customWidth="1"/>
  </cols>
  <sheetData>
    <row r="1">
      <c r="A1" t="inlineStr">
        <is>
          <t>Tier 3: 87 expenditure classes</t>
        </is>
      </c>
    </row>
    <row r="2">
      <c r="A2" t="inlineStr">
        <is>
          <t>Basket shares sum to 1</t>
        </is>
      </c>
      <c r="E2" s="3">
        <f>SUM(E4:E90)</f>
        <v>1.0</v>
      </c>
    </row>
    <row r="3" ht="50" customHeight="1">
      <c r="A3" s="1" t="inlineStr">
        <is>
          <t>Name</t>
        </is>
      </c>
      <c r="B3" s="1" t="inlineStr">
        <is>
          <t>Parent</t>
        </is>
      </c>
      <c r="C3" s="1" t="inlineStr">
        <is>
          <t>Depth</t>
        </is>
      </c>
      <c r="D3" s="1" t="inlineStr">
        <is>
          <t>Published weight (%)</t>
        </is>
      </c>
      <c r="E3" s="1" t="inlineStr">
        <is>
          <t>Reconciled basket share</t>
        </is>
      </c>
      <c r="F3" s="1" t="inlineStr">
        <is>
          <t>Adjustment from published share</t>
        </is>
      </c>
      <c r="G3" s="1" t="inlineStr">
        <is>
          <t>Within-parent share</t>
        </is>
      </c>
      <c r="H3" s="1" t="inlineStr">
        <is>
          <t>Month | Index Numbers | 2017-09</t>
        </is>
      </c>
      <c r="I3" s="1" t="inlineStr">
        <is>
          <t>Month | Index Numbers | 2017-10</t>
        </is>
      </c>
      <c r="J3" s="1" t="inlineStr">
        <is>
          <t>Month | Index Numbers | 2017-11</t>
        </is>
      </c>
      <c r="K3" s="1" t="inlineStr">
        <is>
          <t>Month | Index Numbers | 2017-12</t>
        </is>
      </c>
      <c r="L3" s="1" t="inlineStr">
        <is>
          <t>Month | Index Numbers | 2018-01</t>
        </is>
      </c>
      <c r="M3" s="1" t="inlineStr">
        <is>
          <t>Month | Index Numbers | 2018-02</t>
        </is>
      </c>
      <c r="N3" s="1" t="inlineStr">
        <is>
          <t>Month | Index Numbers | 2018-03</t>
        </is>
      </c>
      <c r="O3" s="1" t="inlineStr">
        <is>
          <t>Month | Index Numbers | 2018-04</t>
        </is>
      </c>
      <c r="P3" s="1" t="inlineStr">
        <is>
          <t>Month | Index Numbers | 2018-05</t>
        </is>
      </c>
      <c r="Q3" s="1" t="inlineStr">
        <is>
          <t>Month | Index Numbers | 2018-06</t>
        </is>
      </c>
      <c r="R3" s="1" t="inlineStr">
        <is>
          <t>Month | Index Numbers | 2018-07</t>
        </is>
      </c>
      <c r="S3" s="1" t="inlineStr">
        <is>
          <t>Month | Index Numbers | 2018-08</t>
        </is>
      </c>
      <c r="T3" s="1" t="inlineStr">
        <is>
          <t>Month | Index Numbers | 2018-09</t>
        </is>
      </c>
      <c r="U3" s="1" t="inlineStr">
        <is>
          <t>Month | Index Numbers | 2018-10</t>
        </is>
      </c>
      <c r="V3" s="1" t="inlineStr">
        <is>
          <t>Month | Index Numbers | 2018-11</t>
        </is>
      </c>
      <c r="W3" s="1" t="inlineStr">
        <is>
          <t>Month | Index Numbers | 2018-12</t>
        </is>
      </c>
      <c r="X3" s="1" t="inlineStr">
        <is>
          <t>Month | Index Numbers | 2019-01</t>
        </is>
      </c>
      <c r="Y3" s="1" t="inlineStr">
        <is>
          <t>Month | Index Numbers | 2019-02</t>
        </is>
      </c>
      <c r="Z3" s="1" t="inlineStr">
        <is>
          <t>Month | Index Numbers | 2019-03</t>
        </is>
      </c>
      <c r="AA3" s="1" t="inlineStr">
        <is>
          <t>Month | Index Numbers | 2019-04</t>
        </is>
      </c>
      <c r="AB3" s="1" t="inlineStr">
        <is>
          <t>Month | Index Numbers | 2019-05</t>
        </is>
      </c>
      <c r="AC3" s="1" t="inlineStr">
        <is>
          <t>Month | Index Numbers | 2019-06</t>
        </is>
      </c>
      <c r="AD3" s="1" t="inlineStr">
        <is>
          <t>Month | Index Numbers | 2019-07</t>
        </is>
      </c>
      <c r="AE3" s="1" t="inlineStr">
        <is>
          <t>Month | Index Numbers | 2019-08</t>
        </is>
      </c>
      <c r="AF3" s="1" t="inlineStr">
        <is>
          <t>Month | Index Numbers | 2019-09</t>
        </is>
      </c>
      <c r="AG3" s="1" t="inlineStr">
        <is>
          <t>Month | Index Numbers | 2019-10</t>
        </is>
      </c>
      <c r="AH3" s="1" t="inlineStr">
        <is>
          <t>Month | Index Numbers | 2019-11</t>
        </is>
      </c>
      <c r="AI3" s="1" t="inlineStr">
        <is>
          <t>Month | Index Numbers | 2019-12</t>
        </is>
      </c>
      <c r="AJ3" s="1" t="inlineStr">
        <is>
          <t>Month | Index Numbers | 2020-01</t>
        </is>
      </c>
      <c r="AK3" s="1" t="inlineStr">
        <is>
          <t>Month | Index Numbers | 2020-02</t>
        </is>
      </c>
      <c r="AL3" s="1" t="inlineStr">
        <is>
          <t>Month | Index Numbers | 2020-03</t>
        </is>
      </c>
      <c r="AM3" s="1" t="inlineStr">
        <is>
          <t>Month | Index Numbers | 2020-04</t>
        </is>
      </c>
      <c r="AN3" s="1" t="inlineStr">
        <is>
          <t>Month | Index Numbers | 2020-05</t>
        </is>
      </c>
      <c r="AO3" s="1" t="inlineStr">
        <is>
          <t>Month | Index Numbers | 2020-06</t>
        </is>
      </c>
      <c r="AP3" s="1" t="inlineStr">
        <is>
          <t>Month | Index Numbers | 2020-07</t>
        </is>
      </c>
      <c r="AQ3" s="1" t="inlineStr">
        <is>
          <t>Month | Index Numbers | 2020-08</t>
        </is>
      </c>
      <c r="AR3" s="1" t="inlineStr">
        <is>
          <t>Month | Index Numbers | 2020-09</t>
        </is>
      </c>
      <c r="AS3" s="1" t="inlineStr">
        <is>
          <t>Month | Index Numbers | 2020-10</t>
        </is>
      </c>
      <c r="AT3" s="1" t="inlineStr">
        <is>
          <t>Month | Index Numbers | 2020-11</t>
        </is>
      </c>
      <c r="AU3" s="1" t="inlineStr">
        <is>
          <t>Month | Index Numbers | 2020-12</t>
        </is>
      </c>
      <c r="AV3" s="1" t="inlineStr">
        <is>
          <t>Month | Index Numbers | 2021-01</t>
        </is>
      </c>
      <c r="AW3" s="1" t="inlineStr">
        <is>
          <t>Month | Index Numbers | 2021-02</t>
        </is>
      </c>
      <c r="AX3" s="1" t="inlineStr">
        <is>
          <t>Month | Index Numbers | 2021-03</t>
        </is>
      </c>
      <c r="AY3" s="1" t="inlineStr">
        <is>
          <t>Month | Index Numbers | 2021-04</t>
        </is>
      </c>
      <c r="AZ3" s="1" t="inlineStr">
        <is>
          <t>Month | Index Numbers | 2021-05</t>
        </is>
      </c>
      <c r="BA3" s="1" t="inlineStr">
        <is>
          <t>Month | Index Numbers | 2021-06</t>
        </is>
      </c>
      <c r="BB3" s="1" t="inlineStr">
        <is>
          <t>Month | Index Numbers | 2021-07</t>
        </is>
      </c>
      <c r="BC3" s="1" t="inlineStr">
        <is>
          <t>Month | Index Numbers | 2021-08</t>
        </is>
      </c>
      <c r="BD3" s="1" t="inlineStr">
        <is>
          <t>Month | Index Numbers | 2021-09</t>
        </is>
      </c>
      <c r="BE3" s="1" t="inlineStr">
        <is>
          <t>Month | Index Numbers | 2021-10</t>
        </is>
      </c>
      <c r="BF3" s="1" t="inlineStr">
        <is>
          <t>Month | Index Numbers | 2021-11</t>
        </is>
      </c>
      <c r="BG3" s="1" t="inlineStr">
        <is>
          <t>Month | Index Numbers | 2021-12</t>
        </is>
      </c>
      <c r="BH3" s="1" t="inlineStr">
        <is>
          <t>Month | Index Numbers | 2022-01</t>
        </is>
      </c>
      <c r="BI3" s="1" t="inlineStr">
        <is>
          <t>Month | Index Numbers | 2022-02</t>
        </is>
      </c>
      <c r="BJ3" s="1" t="inlineStr">
        <is>
          <t>Month | Index Numbers | 2022-03</t>
        </is>
      </c>
      <c r="BK3" s="1" t="inlineStr">
        <is>
          <t>Month | Index Numbers | 2022-04</t>
        </is>
      </c>
      <c r="BL3" s="1" t="inlineStr">
        <is>
          <t>Month | Index Numbers | 2022-05</t>
        </is>
      </c>
      <c r="BM3" s="1" t="inlineStr">
        <is>
          <t>Month | Index Numbers | 2022-06</t>
        </is>
      </c>
      <c r="BN3" s="1" t="inlineStr">
        <is>
          <t>Month | Index Numbers | 2022-07</t>
        </is>
      </c>
      <c r="BO3" s="1" t="inlineStr">
        <is>
          <t>Month | Index Numbers | 2022-08</t>
        </is>
      </c>
      <c r="BP3" s="1" t="inlineStr">
        <is>
          <t>Month | Index Numbers | 2022-09</t>
        </is>
      </c>
      <c r="BQ3" s="1" t="inlineStr">
        <is>
          <t>Month | Index Numbers | 2022-10</t>
        </is>
      </c>
      <c r="BR3" s="1" t="inlineStr">
        <is>
          <t>Month | Index Numbers | 2022-11</t>
        </is>
      </c>
      <c r="BS3" s="1" t="inlineStr">
        <is>
          <t>Month | Index Numbers | 2022-12</t>
        </is>
      </c>
      <c r="BT3" s="1" t="inlineStr">
        <is>
          <t>Month | Index Numbers | 2023-01</t>
        </is>
      </c>
      <c r="BU3" s="1" t="inlineStr">
        <is>
          <t>Month | Index Numbers | 2023-02</t>
        </is>
      </c>
      <c r="BV3" s="1" t="inlineStr">
        <is>
          <t>Month | Index Numbers | 2023-03</t>
        </is>
      </c>
      <c r="BW3" s="1" t="inlineStr">
        <is>
          <t>Month | Index Numbers | 2023-04</t>
        </is>
      </c>
      <c r="BX3" s="1" t="inlineStr">
        <is>
          <t>Month | Index Numbers | 2023-05</t>
        </is>
      </c>
      <c r="BY3" s="1" t="inlineStr">
        <is>
          <t>Month | Index Numbers | 2023-06</t>
        </is>
      </c>
      <c r="BZ3" s="1" t="inlineStr">
        <is>
          <t>Month | Index Numbers | 2023-07</t>
        </is>
      </c>
      <c r="CA3" s="1" t="inlineStr">
        <is>
          <t>Month | Index Numbers | 2023-08</t>
        </is>
      </c>
      <c r="CB3" s="1" t="inlineStr">
        <is>
          <t>Month | Index Numbers | 2023-09</t>
        </is>
      </c>
      <c r="CC3" s="1" t="inlineStr">
        <is>
          <t>Month | Index Numbers | 2023-10</t>
        </is>
      </c>
      <c r="CD3" s="1" t="inlineStr">
        <is>
          <t>Month | Index Numbers | 2023-11</t>
        </is>
      </c>
      <c r="CE3" s="1" t="inlineStr">
        <is>
          <t>Month | Index Numbers | 2023-12</t>
        </is>
      </c>
      <c r="CF3" s="1" t="inlineStr">
        <is>
          <t>Month | Index Numbers | 2024-01</t>
        </is>
      </c>
      <c r="CG3" s="1" t="inlineStr">
        <is>
          <t>Month | Index Numbers | 2024-02</t>
        </is>
      </c>
      <c r="CH3" s="1" t="inlineStr">
        <is>
          <t>Month | Index Numbers | 2024-03</t>
        </is>
      </c>
      <c r="CI3" s="1" t="inlineStr">
        <is>
          <t>Month | Index Numbers | 2024-04</t>
        </is>
      </c>
      <c r="CJ3" s="1" t="inlineStr">
        <is>
          <t>Month | Index Numbers | 2024-05</t>
        </is>
      </c>
      <c r="CK3" s="1" t="inlineStr">
        <is>
          <t>Month | Index Numbers | 2024-06</t>
        </is>
      </c>
      <c r="CL3" s="1" t="inlineStr">
        <is>
          <t>Month | Index Numbers | 2024-07</t>
        </is>
      </c>
      <c r="CM3" s="1" t="inlineStr">
        <is>
          <t>Month | Index Numbers | 2024-08</t>
        </is>
      </c>
      <c r="CN3" s="1" t="inlineStr">
        <is>
          <t>Month | Index Numbers | 2024-09</t>
        </is>
      </c>
      <c r="CO3" s="1" t="inlineStr">
        <is>
          <t>Month | Index Numbers | 2024-10</t>
        </is>
      </c>
      <c r="CP3" s="1" t="inlineStr">
        <is>
          <t>Month | Index Numbers | 2024-11</t>
        </is>
      </c>
      <c r="CQ3" s="1" t="inlineStr">
        <is>
          <t>Month | Index Numbers | 2024-12</t>
        </is>
      </c>
      <c r="CR3" s="1" t="inlineStr">
        <is>
          <t>Month | Index Numbers | 2025-01</t>
        </is>
      </c>
      <c r="CS3" s="1" t="inlineStr">
        <is>
          <t>Month | Index Numbers | 2025-02</t>
        </is>
      </c>
      <c r="CT3" s="1" t="inlineStr">
        <is>
          <t>Month | Index Numbers | 2025-03</t>
        </is>
      </c>
      <c r="CU3" s="1" t="inlineStr">
        <is>
          <t>Month | Index Numbers | 2025-04</t>
        </is>
      </c>
      <c r="CV3" s="1" t="inlineStr">
        <is>
          <t>Month | Index Numbers | 2025-05</t>
        </is>
      </c>
      <c r="CW3" s="1" t="inlineStr">
        <is>
          <t>Month | Index Numbers | 2025-06</t>
        </is>
      </c>
      <c r="CX3" s="1" t="inlineStr">
        <is>
          <t>Month | Index Numbers | 2025-07</t>
        </is>
      </c>
      <c r="CY3" s="1" t="inlineStr">
        <is>
          <t>Month | Index Numbers | 2025-08</t>
        </is>
      </c>
      <c r="CZ3" s="1" t="inlineStr">
        <is>
          <t>Month | Index Numbers | 2025-09</t>
        </is>
      </c>
      <c r="DA3" s="1" t="inlineStr">
        <is>
          <t>Month | Index Numbers | 2025-10</t>
        </is>
      </c>
      <c r="DB3" s="1" t="inlineStr">
        <is>
          <t>Month | Index Numbers | 2025-11</t>
        </is>
      </c>
      <c r="DC3" s="1" t="inlineStr">
        <is>
          <t>Month | Index Numbers | 2025-12</t>
        </is>
      </c>
      <c r="DD3" s="1" t="inlineStr">
        <is>
          <t>Month | Index Numbers | 2026-01</t>
        </is>
      </c>
      <c r="DE3" s="1" t="inlineStr">
        <is>
          <t>Month | Index Numbers | 2026-02</t>
        </is>
      </c>
      <c r="DF3" s="1" t="inlineStr">
        <is>
          <t>Month | Index Numbers | 2026-03</t>
        </is>
      </c>
      <c r="DG3" s="1" t="inlineStr">
        <is>
          <t>Month | Index Numbers | 2026-04</t>
        </is>
      </c>
      <c r="DH3" s="1" t="inlineStr">
        <is>
          <t>Month | Index Numbers | 2026-05</t>
        </is>
      </c>
      <c r="DI3" s="1" t="inlineStr">
        <is>
          <t>Month | Index Numbers | 2026-06</t>
        </is>
      </c>
      <c r="DJ3" s="1" t="inlineStr">
        <is>
          <t>Month | Index Numbers | 2026-07</t>
        </is>
      </c>
      <c r="DK3" s="1" t="inlineStr">
        <is>
          <t>Month | Percentage Change from Corresponding Month of Previous Year | 2018-09</t>
        </is>
      </c>
      <c r="DL3" s="1" t="inlineStr">
        <is>
          <t>Month | Percentage Change from Corresponding Month of Previous Year | 2018-10</t>
        </is>
      </c>
      <c r="DM3" s="1" t="inlineStr">
        <is>
          <t>Month | Percentage Change from Corresponding Month of Previous Year | 2018-11</t>
        </is>
      </c>
      <c r="DN3" s="1" t="inlineStr">
        <is>
          <t>Month | Percentage Change from Corresponding Month of Previous Year | 2018-12</t>
        </is>
      </c>
      <c r="DO3" s="1" t="inlineStr">
        <is>
          <t>Month | Percentage Change from Corresponding Month of Previous Year | 2019-01</t>
        </is>
      </c>
      <c r="DP3" s="1" t="inlineStr">
        <is>
          <t>Month | Percentage Change from Corresponding Month of Previous Year | 2019-02</t>
        </is>
      </c>
      <c r="DQ3" s="1" t="inlineStr">
        <is>
          <t>Month | Percentage Change from Corresponding Month of Previous Year | 2019-03</t>
        </is>
      </c>
      <c r="DR3" s="1" t="inlineStr">
        <is>
          <t>Month | Percentage Change from Corresponding Month of Previous Year | 2019-04</t>
        </is>
      </c>
      <c r="DS3" s="1" t="inlineStr">
        <is>
          <t>Month | Percentage Change from Corresponding Month of Previous Year | 2019-05</t>
        </is>
      </c>
      <c r="DT3" s="1" t="inlineStr">
        <is>
          <t>Month | Percentage Change from Corresponding Month of Previous Year | 2019-06</t>
        </is>
      </c>
      <c r="DU3" s="1" t="inlineStr">
        <is>
          <t>Month | Percentage Change from Corresponding Month of Previous Year | 2019-07</t>
        </is>
      </c>
      <c r="DV3" s="1" t="inlineStr">
        <is>
          <t>Month | Percentage Change from Corresponding Month of Previous Year | 2019-08</t>
        </is>
      </c>
      <c r="DW3" s="1" t="inlineStr">
        <is>
          <t>Month | Percentage Change from Corresponding Month of Previous Year | 2019-09</t>
        </is>
      </c>
      <c r="DX3" s="1" t="inlineStr">
        <is>
          <t>Month | Percentage Change from Corresponding Month of Previous Year | 2019-10</t>
        </is>
      </c>
      <c r="DY3" s="1" t="inlineStr">
        <is>
          <t>Month | Percentage Change from Corresponding Month of Previous Year | 2019-11</t>
        </is>
      </c>
      <c r="DZ3" s="1" t="inlineStr">
        <is>
          <t>Month | Percentage Change from Corresponding Month of Previous Year | 2019-12</t>
        </is>
      </c>
      <c r="EA3" s="1" t="inlineStr">
        <is>
          <t>Month | Percentage Change from Corresponding Month of Previous Year | 2020-01</t>
        </is>
      </c>
      <c r="EB3" s="1" t="inlineStr">
        <is>
          <t>Month | Percentage Change from Corresponding Month of Previous Year | 2020-02</t>
        </is>
      </c>
      <c r="EC3" s="1" t="inlineStr">
        <is>
          <t>Month | Percentage Change from Corresponding Month of Previous Year | 2020-03</t>
        </is>
      </c>
      <c r="ED3" s="1" t="inlineStr">
        <is>
          <t>Month | Percentage Change from Corresponding Month of Previous Year | 2020-04</t>
        </is>
      </c>
      <c r="EE3" s="1" t="inlineStr">
        <is>
          <t>Month | Percentage Change from Corresponding Month of Previous Year | 2020-05</t>
        </is>
      </c>
      <c r="EF3" s="1" t="inlineStr">
        <is>
          <t>Month | Percentage Change from Corresponding Month of Previous Year | 2020-06</t>
        </is>
      </c>
      <c r="EG3" s="1" t="inlineStr">
        <is>
          <t>Month | Percentage Change from Corresponding Month of Previous Year | 2020-07</t>
        </is>
      </c>
      <c r="EH3" s="1" t="inlineStr">
        <is>
          <t>Month | Percentage Change from Corresponding Month of Previous Year | 2020-08</t>
        </is>
      </c>
      <c r="EI3" s="1" t="inlineStr">
        <is>
          <t>Month | Percentage Change from Corresponding Month of Previous Year | 2020-09</t>
        </is>
      </c>
      <c r="EJ3" s="1" t="inlineStr">
        <is>
          <t>Month | Percentage Change from Corresponding Month of Previous Year | 2020-10</t>
        </is>
      </c>
      <c r="EK3" s="1" t="inlineStr">
        <is>
          <t>Month | Percentage Change from Corresponding Month of Previous Year | 2020-11</t>
        </is>
      </c>
      <c r="EL3" s="1" t="inlineStr">
        <is>
          <t>Month | Percentage Change from Corresponding Month of Previous Year | 2020-12</t>
        </is>
      </c>
      <c r="EM3" s="1" t="inlineStr">
        <is>
          <t>Month | Percentage Change from Corresponding Month of Previous Year | 2021-01</t>
        </is>
      </c>
      <c r="EN3" s="1" t="inlineStr">
        <is>
          <t>Month | Percentage Change from Corresponding Month of Previous Year | 2021-02</t>
        </is>
      </c>
      <c r="EO3" s="1" t="inlineStr">
        <is>
          <t>Month | Percentage Change from Corresponding Month of Previous Year | 2021-03</t>
        </is>
      </c>
      <c r="EP3" s="1" t="inlineStr">
        <is>
          <t>Month | Percentage Change from Corresponding Month of Previous Year | 2021-04</t>
        </is>
      </c>
      <c r="EQ3" s="1" t="inlineStr">
        <is>
          <t>Month | Percentage Change from Corresponding Month of Previous Year | 2021-05</t>
        </is>
      </c>
      <c r="ER3" s="1" t="inlineStr">
        <is>
          <t>Month | Percentage Change from Corresponding Month of Previous Year | 2021-06</t>
        </is>
      </c>
      <c r="ES3" s="1" t="inlineStr">
        <is>
          <t>Month | Percentage Change from Corresponding Month of Previous Year | 2021-07</t>
        </is>
      </c>
      <c r="ET3" s="1" t="inlineStr">
        <is>
          <t>Month | Percentage Change from Corresponding Month of Previous Year | 2021-08</t>
        </is>
      </c>
      <c r="EU3" s="1" t="inlineStr">
        <is>
          <t>Month | Percentage Change from Corresponding Month of Previous Year | 2021-09</t>
        </is>
      </c>
      <c r="EV3" s="1" t="inlineStr">
        <is>
          <t>Month | Percentage Change from Corresponding Month of Previous Year | 2021-10</t>
        </is>
      </c>
      <c r="EW3" s="1" t="inlineStr">
        <is>
          <t>Month | Percentage Change from Corresponding Month of Previous Year | 2021-11</t>
        </is>
      </c>
      <c r="EX3" s="1" t="inlineStr">
        <is>
          <t>Month | Percentage Change from Corresponding Month of Previous Year | 2021-12</t>
        </is>
      </c>
      <c r="EY3" s="1" t="inlineStr">
        <is>
          <t>Month | Percentage Change from Corresponding Month of Previous Year | 2022-01</t>
        </is>
      </c>
      <c r="EZ3" s="1" t="inlineStr">
        <is>
          <t>Month | Percentage Change from Corresponding Month of Previous Year | 2022-02</t>
        </is>
      </c>
      <c r="FA3" s="1" t="inlineStr">
        <is>
          <t>Month | Percentage Change from Corresponding Month of Previous Year | 2022-03</t>
        </is>
      </c>
      <c r="FB3" s="1" t="inlineStr">
        <is>
          <t>Month | Percentage Change from Corresponding Month of Previous Year | 2022-04</t>
        </is>
      </c>
      <c r="FC3" s="1" t="inlineStr">
        <is>
          <t>Month | Percentage Change from Corresponding Month of Previous Year | 2022-05</t>
        </is>
      </c>
      <c r="FD3" s="1" t="inlineStr">
        <is>
          <t>Month | Percentage Change from Corresponding Month of Previous Year | 2022-06</t>
        </is>
      </c>
      <c r="FE3" s="1" t="inlineStr">
        <is>
          <t>Month | Percentage Change from Corresponding Month of Previous Year | 2022-07</t>
        </is>
      </c>
      <c r="FF3" s="1" t="inlineStr">
        <is>
          <t>Month | Percentage Change from Corresponding Month of Previous Year | 2022-08</t>
        </is>
      </c>
      <c r="FG3" s="1" t="inlineStr">
        <is>
          <t>Month | Percentage Change from Corresponding Month of Previous Year | 2022-09</t>
        </is>
      </c>
      <c r="FH3" s="1" t="inlineStr">
        <is>
          <t>Month | Percentage Change from Corresponding Month of Previous Year | 2022-10</t>
        </is>
      </c>
      <c r="FI3" s="1" t="inlineStr">
        <is>
          <t>Month | Percentage Change from Corresponding Month of Previous Year | 2022-11</t>
        </is>
      </c>
      <c r="FJ3" s="1" t="inlineStr">
        <is>
          <t>Month | Percentage Change from Corresponding Month of Previous Year | 2022-12</t>
        </is>
      </c>
      <c r="FK3" s="1" t="inlineStr">
        <is>
          <t>Month | Percentage Change from Corresponding Month of Previous Year | 2023-01</t>
        </is>
      </c>
      <c r="FL3" s="1" t="inlineStr">
        <is>
          <t>Month | Percentage Change from Corresponding Month of Previous Year | 2023-02</t>
        </is>
      </c>
      <c r="FM3" s="1" t="inlineStr">
        <is>
          <t>Month | Percentage Change from Corresponding Month of Previous Year | 2023-03</t>
        </is>
      </c>
      <c r="FN3" s="1" t="inlineStr">
        <is>
          <t>Month | Percentage Change from Corresponding Month of Previous Year | 2023-04</t>
        </is>
      </c>
      <c r="FO3" s="1" t="inlineStr">
        <is>
          <t>Month | Percentage Change from Corresponding Month of Previous Year | 2023-05</t>
        </is>
      </c>
      <c r="FP3" s="1" t="inlineStr">
        <is>
          <t>Month | Percentage Change from Corresponding Month of Previous Year | 2023-06</t>
        </is>
      </c>
      <c r="FQ3" s="1" t="inlineStr">
        <is>
          <t>Month | Percentage Change from Corresponding Month of Previous Year | 2023-07</t>
        </is>
      </c>
      <c r="FR3" s="1" t="inlineStr">
        <is>
          <t>Month | Percentage Change from Corresponding Month of Previous Year | 2023-08</t>
        </is>
      </c>
      <c r="FS3" s="1" t="inlineStr">
        <is>
          <t>Month | Percentage Change from Corresponding Month of Previous Year | 2023-09</t>
        </is>
      </c>
      <c r="FT3" s="1" t="inlineStr">
        <is>
          <t>Month | Percentage Change from Corresponding Month of Previous Year | 2023-10</t>
        </is>
      </c>
      <c r="FU3" s="1" t="inlineStr">
        <is>
          <t>Month | Percentage Change from Corresponding Month of Previous Year | 2023-11</t>
        </is>
      </c>
      <c r="FV3" s="1" t="inlineStr">
        <is>
          <t>Month | Percentage Change from Corresponding Month of Previous Year | 2023-12</t>
        </is>
      </c>
      <c r="FW3" s="1" t="inlineStr">
        <is>
          <t>Month | Percentage Change from Corresponding Month of Previous Year | 2024-01</t>
        </is>
      </c>
      <c r="FX3" s="1" t="inlineStr">
        <is>
          <t>Month | Percentage Change from Corresponding Month of Previous Year | 2024-02</t>
        </is>
      </c>
      <c r="FY3" s="1" t="inlineStr">
        <is>
          <t>Month | Percentage Change from Corresponding Month of Previous Year | 2024-03</t>
        </is>
      </c>
      <c r="FZ3" s="1" t="inlineStr">
        <is>
          <t>Month | Percentage Change from Corresponding Month of Previous Year | 2024-04</t>
        </is>
      </c>
      <c r="GA3" s="1" t="inlineStr">
        <is>
          <t>Month | Percentage Change from Corresponding Month of Previous Year | 2024-05</t>
        </is>
      </c>
      <c r="GB3" s="1" t="inlineStr">
        <is>
          <t>Month | Percentage Change from Corresponding Month of Previous Year | 2024-06</t>
        </is>
      </c>
      <c r="GC3" s="1" t="inlineStr">
        <is>
          <t>Month | Percentage Change from Corresponding Month of Previous Year | 2024-07</t>
        </is>
      </c>
      <c r="GD3" s="1" t="inlineStr">
        <is>
          <t>Month | Percentage Change from Corresponding Month of Previous Year | 2024-08</t>
        </is>
      </c>
      <c r="GE3" s="1" t="inlineStr">
        <is>
          <t>Month | Percentage Change from Corresponding Month of Previous Year | 2024-09</t>
        </is>
      </c>
      <c r="GF3" s="1" t="inlineStr">
        <is>
          <t>Month | Percentage Change from Corresponding Month of Previous Year | 2024-10</t>
        </is>
      </c>
      <c r="GG3" s="1" t="inlineStr">
        <is>
          <t>Month | Percentage Change from Corresponding Month of Previous Year | 2024-11</t>
        </is>
      </c>
      <c r="GH3" s="1" t="inlineStr">
        <is>
          <t>Month | Percentage Change from Corresponding Month of Previous Year | 2024-12</t>
        </is>
      </c>
      <c r="GI3" s="1" t="inlineStr">
        <is>
          <t>Month | Percentage Change from Corresponding Month of Previous Year | 2025-01</t>
        </is>
      </c>
      <c r="GJ3" s="1" t="inlineStr">
        <is>
          <t>Month | Percentage Change from Corresponding Month of Previous Year | 2025-02</t>
        </is>
      </c>
      <c r="GK3" s="1" t="inlineStr">
        <is>
          <t>Month | Percentage Change from Corresponding Month of Previous Year | 2025-03</t>
        </is>
      </c>
      <c r="GL3" s="1" t="inlineStr">
        <is>
          <t>Month | Percentage Change from Corresponding Month of Previous Year | 2025-04</t>
        </is>
      </c>
      <c r="GM3" s="1" t="inlineStr">
        <is>
          <t>Month | Percentage Change from Corresponding Month of Previous Year | 2025-05</t>
        </is>
      </c>
      <c r="GN3" s="1" t="inlineStr">
        <is>
          <t>Month | Percentage Change from Corresponding Month of Previous Year | 2025-06</t>
        </is>
      </c>
      <c r="GO3" s="1" t="inlineStr">
        <is>
          <t>Month | Percentage Change from Corresponding Month of Previous Year | 2025-07</t>
        </is>
      </c>
      <c r="GP3" s="1" t="inlineStr">
        <is>
          <t>Month | Percentage Change from Corresponding Month of Previous Year | 2025-08</t>
        </is>
      </c>
      <c r="GQ3" s="1" t="inlineStr">
        <is>
          <t>Month | Percentage Change from Corresponding Month of Previous Year | 2025-09</t>
        </is>
      </c>
      <c r="GR3" s="1" t="inlineStr">
        <is>
          <t>Month | Percentage Change from Corresponding Month of Previous Year | 2025-10</t>
        </is>
      </c>
      <c r="GS3" s="1" t="inlineStr">
        <is>
          <t>Month | Percentage Change from Corresponding Month of Previous Year | 2025-11</t>
        </is>
      </c>
      <c r="GT3" s="1" t="inlineStr">
        <is>
          <t>Month | Percentage Change from Corresponding Month of Previous Year | 2025-12</t>
        </is>
      </c>
      <c r="GU3" s="1" t="inlineStr">
        <is>
          <t>Month | Percentage Change from Corresponding Month of Previous Year | 2026-01</t>
        </is>
      </c>
      <c r="GV3" s="1" t="inlineStr">
        <is>
          <t>Month | Percentage Change from Corresponding Month of Previous Year | 2026-02</t>
        </is>
      </c>
      <c r="GW3" s="1" t="inlineStr">
        <is>
          <t>Month | Percentage Change from Corresponding Month of Previous Year | 2026-03</t>
        </is>
      </c>
      <c r="GX3" s="1" t="inlineStr">
        <is>
          <t>Month | Percentage Change from Corresponding Month of Previous Year | 2026-04</t>
        </is>
      </c>
      <c r="GY3" s="1" t="inlineStr">
        <is>
          <t>Month | Percentage Change from Corresponding Month of Previous Year | 2026-05</t>
        </is>
      </c>
      <c r="GZ3" s="1" t="inlineStr">
        <is>
          <t>Month | Percentage Change from Corresponding Month of Previous Year | 2026-06</t>
        </is>
      </c>
      <c r="HA3" s="1" t="inlineStr">
        <is>
          <t>Month | Percentage Change from Corresponding Month of Previous Year | 2026-07</t>
        </is>
      </c>
      <c r="HB3" s="1" t="inlineStr">
        <is>
          <t>Month | Percentage Change from Previous Period | 2017-10</t>
        </is>
      </c>
      <c r="HC3" s="1" t="inlineStr">
        <is>
          <t>Month | Percentage Change from Previous Period | 2017-11</t>
        </is>
      </c>
      <c r="HD3" s="1" t="inlineStr">
        <is>
          <t>Month | Percentage Change from Previous Period | 2017-12</t>
        </is>
      </c>
      <c r="HE3" s="1" t="inlineStr">
        <is>
          <t>Month | Percentage Change from Previous Period | 2018-01</t>
        </is>
      </c>
      <c r="HF3" s="1" t="inlineStr">
        <is>
          <t>Month | Percentage Change from Previous Period | 2018-02</t>
        </is>
      </c>
      <c r="HG3" s="1" t="inlineStr">
        <is>
          <t>Month | Percentage Change from Previous Period | 2018-03</t>
        </is>
      </c>
      <c r="HH3" s="1" t="inlineStr">
        <is>
          <t>Month | Percentage Change from Previous Period | 2018-04</t>
        </is>
      </c>
      <c r="HI3" s="1" t="inlineStr">
        <is>
          <t>Month | Percentage Change from Previous Period | 2018-05</t>
        </is>
      </c>
      <c r="HJ3" s="1" t="inlineStr">
        <is>
          <t>Month | Percentage Change from Previous Period | 2018-06</t>
        </is>
      </c>
      <c r="HK3" s="1" t="inlineStr">
        <is>
          <t>Month | Percentage Change from Previous Period | 2018-07</t>
        </is>
      </c>
      <c r="HL3" s="1" t="inlineStr">
        <is>
          <t>Month | Percentage Change from Previous Period | 2018-08</t>
        </is>
      </c>
      <c r="HM3" s="1" t="inlineStr">
        <is>
          <t>Month | Percentage Change from Previous Period | 2018-09</t>
        </is>
      </c>
      <c r="HN3" s="1" t="inlineStr">
        <is>
          <t>Month | Percentage Change from Previous Period | 2018-10</t>
        </is>
      </c>
      <c r="HO3" s="1" t="inlineStr">
        <is>
          <t>Month | Percentage Change from Previous Period | 2018-11</t>
        </is>
      </c>
      <c r="HP3" s="1" t="inlineStr">
        <is>
          <t>Month | Percentage Change from Previous Period | 2018-12</t>
        </is>
      </c>
      <c r="HQ3" s="1" t="inlineStr">
        <is>
          <t>Month | Percentage Change from Previous Period | 2019-01</t>
        </is>
      </c>
      <c r="HR3" s="1" t="inlineStr">
        <is>
          <t>Month | Percentage Change from Previous Period | 2019-02</t>
        </is>
      </c>
      <c r="HS3" s="1" t="inlineStr">
        <is>
          <t>Month | Percentage Change from Previous Period | 2019-03</t>
        </is>
      </c>
      <c r="HT3" s="1" t="inlineStr">
        <is>
          <t>Month | Percentage Change from Previous Period | 2019-04</t>
        </is>
      </c>
      <c r="HU3" s="1" t="inlineStr">
        <is>
          <t>Month | Percentage Change from Previous Period | 2019-05</t>
        </is>
      </c>
      <c r="HV3" s="1" t="inlineStr">
        <is>
          <t>Month | Percentage Change from Previous Period | 2019-06</t>
        </is>
      </c>
      <c r="HW3" s="1" t="inlineStr">
        <is>
          <t>Month | Percentage Change from Previous Period | 2019-07</t>
        </is>
      </c>
      <c r="HX3" s="1" t="inlineStr">
        <is>
          <t>Month | Percentage Change from Previous Period | 2019-08</t>
        </is>
      </c>
      <c r="HY3" s="1" t="inlineStr">
        <is>
          <t>Month | Percentage Change from Previous Period | 2019-09</t>
        </is>
      </c>
      <c r="HZ3" s="1" t="inlineStr">
        <is>
          <t>Month | Percentage Change from Previous Period | 2019-10</t>
        </is>
      </c>
      <c r="IA3" s="1" t="inlineStr">
        <is>
          <t>Month | Percentage Change from Previous Period | 2019-11</t>
        </is>
      </c>
      <c r="IB3" s="1" t="inlineStr">
        <is>
          <t>Month | Percentage Change from Previous Period | 2019-12</t>
        </is>
      </c>
      <c r="IC3" s="1" t="inlineStr">
        <is>
          <t>Month | Percentage Change from Previous Period | 2020-01</t>
        </is>
      </c>
      <c r="ID3" s="1" t="inlineStr">
        <is>
          <t>Month | Percentage Change from Previous Period | 2020-02</t>
        </is>
      </c>
      <c r="IE3" s="1" t="inlineStr">
        <is>
          <t>Month | Percentage Change from Previous Period | 2020-03</t>
        </is>
      </c>
      <c r="IF3" s="1" t="inlineStr">
        <is>
          <t>Month | Percentage Change from Previous Period | 2020-04</t>
        </is>
      </c>
      <c r="IG3" s="1" t="inlineStr">
        <is>
          <t>Month | Percentage Change from Previous Period | 2020-05</t>
        </is>
      </c>
      <c r="IH3" s="1" t="inlineStr">
        <is>
          <t>Month | Percentage Change from Previous Period | 2020-06</t>
        </is>
      </c>
      <c r="II3" s="1" t="inlineStr">
        <is>
          <t>Month | Percentage Change from Previous Period | 2020-07</t>
        </is>
      </c>
      <c r="IJ3" s="1" t="inlineStr">
        <is>
          <t>Month | Percentage Change from Previous Period | 2020-08</t>
        </is>
      </c>
      <c r="IK3" s="1" t="inlineStr">
        <is>
          <t>Month | Percentage Change from Previous Period | 2020-09</t>
        </is>
      </c>
      <c r="IL3" s="1" t="inlineStr">
        <is>
          <t>Month | Percentage Change from Previous Period | 2020-10</t>
        </is>
      </c>
      <c r="IM3" s="1" t="inlineStr">
        <is>
          <t>Month | Percentage Change from Previous Period | 2020-11</t>
        </is>
      </c>
      <c r="IN3" s="1" t="inlineStr">
        <is>
          <t>Month | Percentage Change from Previous Period | 2020-12</t>
        </is>
      </c>
      <c r="IO3" s="1" t="inlineStr">
        <is>
          <t>Month | Percentage Change from Previous Period | 2021-01</t>
        </is>
      </c>
      <c r="IP3" s="1" t="inlineStr">
        <is>
          <t>Month | Percentage Change from Previous Period | 2021-02</t>
        </is>
      </c>
      <c r="IQ3" s="1" t="inlineStr">
        <is>
          <t>Month | Percentage Change from Previous Period | 2021-03</t>
        </is>
      </c>
      <c r="IR3" s="1" t="inlineStr">
        <is>
          <t>Month | Percentage Change from Previous Period | 2021-04</t>
        </is>
      </c>
      <c r="IS3" s="1" t="inlineStr">
        <is>
          <t>Month | Percentage Change from Previous Period | 2021-05</t>
        </is>
      </c>
      <c r="IT3" s="1" t="inlineStr">
        <is>
          <t>Month | Percentage Change from Previous Period | 2021-06</t>
        </is>
      </c>
      <c r="IU3" s="1" t="inlineStr">
        <is>
          <t>Month | Percentage Change from Previous Period | 2021-07</t>
        </is>
      </c>
      <c r="IV3" s="1" t="inlineStr">
        <is>
          <t>Month | Percentage Change from Previous Period | 2021-08</t>
        </is>
      </c>
      <c r="IW3" s="1" t="inlineStr">
        <is>
          <t>Month | Percentage Change from Previous Period | 2021-09</t>
        </is>
      </c>
      <c r="IX3" s="1" t="inlineStr">
        <is>
          <t>Month | Percentage Change from Previous Period | 2021-10</t>
        </is>
      </c>
      <c r="IY3" s="1" t="inlineStr">
        <is>
          <t>Month | Percentage Change from Previous Period | 2021-11</t>
        </is>
      </c>
      <c r="IZ3" s="1" t="inlineStr">
        <is>
          <t>Month | Percentage Change from Previous Period | 2021-12</t>
        </is>
      </c>
      <c r="JA3" s="1" t="inlineStr">
        <is>
          <t>Month | Percentage Change from Previous Period | 2022-01</t>
        </is>
      </c>
      <c r="JB3" s="1" t="inlineStr">
        <is>
          <t>Month | Percentage Change from Previous Period | 2022-02</t>
        </is>
      </c>
      <c r="JC3" s="1" t="inlineStr">
        <is>
          <t>Month | Percentage Change from Previous Period | 2022-03</t>
        </is>
      </c>
      <c r="JD3" s="1" t="inlineStr">
        <is>
          <t>Month | Percentage Change from Previous Period | 2022-04</t>
        </is>
      </c>
      <c r="JE3" s="1" t="inlineStr">
        <is>
          <t>Month | Percentage Change from Previous Period | 2022-05</t>
        </is>
      </c>
      <c r="JF3" s="1" t="inlineStr">
        <is>
          <t>Month | Percentage Change from Previous Period | 2022-06</t>
        </is>
      </c>
      <c r="JG3" s="1" t="inlineStr">
        <is>
          <t>Month | Percentage Change from Previous Period | 2022-07</t>
        </is>
      </c>
      <c r="JH3" s="1" t="inlineStr">
        <is>
          <t>Month | Percentage Change from Previous Period | 2022-08</t>
        </is>
      </c>
      <c r="JI3" s="1" t="inlineStr">
        <is>
          <t>Month | Percentage Change from Previous Period | 2022-09</t>
        </is>
      </c>
      <c r="JJ3" s="1" t="inlineStr">
        <is>
          <t>Month | Percentage Change from Previous Period | 2022-10</t>
        </is>
      </c>
      <c r="JK3" s="1" t="inlineStr">
        <is>
          <t>Month | Percentage Change from Previous Period | 2022-11</t>
        </is>
      </c>
      <c r="JL3" s="1" t="inlineStr">
        <is>
          <t>Month | Percentage Change from Previous Period | 2022-12</t>
        </is>
      </c>
      <c r="JM3" s="1" t="inlineStr">
        <is>
          <t>Month | Percentage Change from Previous Period | 2023-01</t>
        </is>
      </c>
      <c r="JN3" s="1" t="inlineStr">
        <is>
          <t>Month | Percentage Change from Previous Period | 2023-02</t>
        </is>
      </c>
      <c r="JO3" s="1" t="inlineStr">
        <is>
          <t>Month | Percentage Change from Previous Period | 2023-03</t>
        </is>
      </c>
      <c r="JP3" s="1" t="inlineStr">
        <is>
          <t>Month | Percentage Change from Previous Period | 2023-04</t>
        </is>
      </c>
      <c r="JQ3" s="1" t="inlineStr">
        <is>
          <t>Month | Percentage Change from Previous Period | 2023-05</t>
        </is>
      </c>
      <c r="JR3" s="1" t="inlineStr">
        <is>
          <t>Month | Percentage Change from Previous Period | 2023-06</t>
        </is>
      </c>
      <c r="JS3" s="1" t="inlineStr">
        <is>
          <t>Month | Percentage Change from Previous Period | 2023-07</t>
        </is>
      </c>
      <c r="JT3" s="1" t="inlineStr">
        <is>
          <t>Month | Percentage Change from Previous Period | 2023-08</t>
        </is>
      </c>
      <c r="JU3" s="1" t="inlineStr">
        <is>
          <t>Month | Percentage Change from Previous Period | 2023-09</t>
        </is>
      </c>
      <c r="JV3" s="1" t="inlineStr">
        <is>
          <t>Month | Percentage Change from Previous Period | 2023-10</t>
        </is>
      </c>
      <c r="JW3" s="1" t="inlineStr">
        <is>
          <t>Month | Percentage Change from Previous Period | 2023-11</t>
        </is>
      </c>
      <c r="JX3" s="1" t="inlineStr">
        <is>
          <t>Month | Percentage Change from Previous Period | 2023-12</t>
        </is>
      </c>
      <c r="JY3" s="1" t="inlineStr">
        <is>
          <t>Month | Percentage Change from Previous Period | 2024-01</t>
        </is>
      </c>
      <c r="JZ3" s="1" t="inlineStr">
        <is>
          <t>Month | Percentage Change from Previous Period | 2024-02</t>
        </is>
      </c>
      <c r="KA3" s="1" t="inlineStr">
        <is>
          <t>Month | Percentage Change from Previous Period | 2024-03</t>
        </is>
      </c>
      <c r="KB3" s="1" t="inlineStr">
        <is>
          <t>Month | Percentage Change from Previous Period | 2024-04</t>
        </is>
      </c>
      <c r="KC3" s="1" t="inlineStr">
        <is>
          <t>Month | Percentage Change from Previous Period | 2024-05</t>
        </is>
      </c>
      <c r="KD3" s="1" t="inlineStr">
        <is>
          <t>Month | Percentage Change from Previous Period | 2024-06</t>
        </is>
      </c>
      <c r="KE3" s="1" t="inlineStr">
        <is>
          <t>Month | Percentage Change from Previous Period | 2024-07</t>
        </is>
      </c>
      <c r="KF3" s="1" t="inlineStr">
        <is>
          <t>Month | Percentage Change from Previous Period | 2024-08</t>
        </is>
      </c>
      <c r="KG3" s="1" t="inlineStr">
        <is>
          <t>Month | Percentage Change from Previous Period | 2024-09</t>
        </is>
      </c>
      <c r="KH3" s="1" t="inlineStr">
        <is>
          <t>Month | Percentage Change from Previous Period | 2024-10</t>
        </is>
      </c>
      <c r="KI3" s="1" t="inlineStr">
        <is>
          <t>Month | Percentage Change from Previous Period | 2024-11</t>
        </is>
      </c>
      <c r="KJ3" s="1" t="inlineStr">
        <is>
          <t>Month | Percentage Change from Previous Period | 2024-12</t>
        </is>
      </c>
      <c r="KK3" s="1" t="inlineStr">
        <is>
          <t>Month | Percentage Change from Previous Period | 2025-01</t>
        </is>
      </c>
      <c r="KL3" s="1" t="inlineStr">
        <is>
          <t>Month | Percentage Change from Previous Period | 2025-02</t>
        </is>
      </c>
      <c r="KM3" s="1" t="inlineStr">
        <is>
          <t>Month | Percentage Change from Previous Period | 2025-03</t>
        </is>
      </c>
      <c r="KN3" s="1" t="inlineStr">
        <is>
          <t>Month | Percentage Change from Previous Period | 2025-04</t>
        </is>
      </c>
      <c r="KO3" s="1" t="inlineStr">
        <is>
          <t>Month | Percentage Change from Previous Period | 2025-05</t>
        </is>
      </c>
      <c r="KP3" s="1" t="inlineStr">
        <is>
          <t>Month | Percentage Change from Previous Period | 2025-06</t>
        </is>
      </c>
      <c r="KQ3" s="1" t="inlineStr">
        <is>
          <t>Month | Percentage Change from Previous Period | 2025-07</t>
        </is>
      </c>
      <c r="KR3" s="1" t="inlineStr">
        <is>
          <t>Month | Percentage Change from Previous Period | 2025-08</t>
        </is>
      </c>
      <c r="KS3" s="1" t="inlineStr">
        <is>
          <t>Month | Percentage Change from Previous Period | 2025-09</t>
        </is>
      </c>
      <c r="KT3" s="1" t="inlineStr">
        <is>
          <t>Month | Percentage Change from Previous Period | 2025-10</t>
        </is>
      </c>
      <c r="KU3" s="1" t="inlineStr">
        <is>
          <t>Month | Percentage Change from Previous Period | 2025-11</t>
        </is>
      </c>
      <c r="KV3" s="1" t="inlineStr">
        <is>
          <t>Month | Percentage Change from Previous Period | 2025-12</t>
        </is>
      </c>
      <c r="KW3" s="1" t="inlineStr">
        <is>
          <t>Month | Percentage Change from Previous Period | 2026-01</t>
        </is>
      </c>
      <c r="KX3" s="1" t="inlineStr">
        <is>
          <t>Month | Percentage Change from Previous Period | 2026-02</t>
        </is>
      </c>
      <c r="KY3" s="1" t="inlineStr">
        <is>
          <t>Month | Percentage Change from Previous Period | 2026-03</t>
        </is>
      </c>
      <c r="KZ3" s="1" t="inlineStr">
        <is>
          <t>Month | Percentage Change from Previous Period | 2026-04</t>
        </is>
      </c>
      <c r="LA3" s="1" t="inlineStr">
        <is>
          <t>Month | Percentage Change from Previous Period | 2026-05</t>
        </is>
      </c>
      <c r="LB3" s="1" t="inlineStr">
        <is>
          <t>Month | Percentage Change from Previous Period | 2026-06</t>
        </is>
      </c>
      <c r="LC3" s="1" t="inlineStr">
        <is>
          <t>Month | Percentage Change from Previous Period | 2026-07</t>
        </is>
      </c>
      <c r="LD3" s="1" t="inlineStr">
        <is>
          <t>Month | Contribution to All groups CPI Index Number | 2024-12</t>
        </is>
      </c>
      <c r="LE3" s="1" t="inlineStr">
        <is>
          <t>Month | Contribution to All groups CPI Index Number | 2025-01</t>
        </is>
      </c>
      <c r="LF3" s="1" t="inlineStr">
        <is>
          <t>Month | Contribution to All groups CPI Index Number | 2025-02</t>
        </is>
      </c>
      <c r="LG3" s="1" t="inlineStr">
        <is>
          <t>Month | Contribution to All groups CPI Index Number | 2025-03</t>
        </is>
      </c>
      <c r="LH3" s="1" t="inlineStr">
        <is>
          <t>Month | Contribution to All groups CPI Index Number | 2025-04</t>
        </is>
      </c>
      <c r="LI3" s="1" t="inlineStr">
        <is>
          <t>Month | Contribution to All groups CPI Index Number | 2025-05</t>
        </is>
      </c>
      <c r="LJ3" s="1" t="inlineStr">
        <is>
          <t>Month | Contribution to All groups CPI Index Number | 2025-06</t>
        </is>
      </c>
      <c r="LK3" s="1" t="inlineStr">
        <is>
          <t>Month | Contribution to All groups CPI Index Number | 2025-07</t>
        </is>
      </c>
      <c r="LL3" s="1" t="inlineStr">
        <is>
          <t>Month | Contribution to All groups CPI Index Number | 2025-08</t>
        </is>
      </c>
      <c r="LM3" s="1" t="inlineStr">
        <is>
          <t>Month | Contribution to All groups CPI Index Number | 2025-09</t>
        </is>
      </c>
      <c r="LN3" s="1" t="inlineStr">
        <is>
          <t>Month | Contribution to All groups CPI Index Number | 2025-10</t>
        </is>
      </c>
      <c r="LO3" s="1" t="inlineStr">
        <is>
          <t>Month | Contribution to All groups CPI Index Number | 2025-11</t>
        </is>
      </c>
      <c r="LP3" s="1" t="inlineStr">
        <is>
          <t>Month | Contribution to All groups CPI Index Number | 2025-12</t>
        </is>
      </c>
      <c r="LQ3" s="1" t="inlineStr">
        <is>
          <t>Month | Contribution to All groups CPI Index Number | 2026-01</t>
        </is>
      </c>
      <c r="LR3" s="1" t="inlineStr">
        <is>
          <t>Month | Contribution to All groups CPI Index Number | 2026-02</t>
        </is>
      </c>
      <c r="LS3" s="1" t="inlineStr">
        <is>
          <t>Month | Contribution to All groups CPI Index Number | 2026-03</t>
        </is>
      </c>
      <c r="LT3" s="1" t="inlineStr">
        <is>
          <t>Month | Contribution to All groups CPI Index Number | 2026-04</t>
        </is>
      </c>
      <c r="LU3" s="1" t="inlineStr">
        <is>
          <t>Month | Contribution to All groups CPI Index Number | 2026-05</t>
        </is>
      </c>
      <c r="LV3" s="1" t="inlineStr">
        <is>
          <t>Month | Contribution to All groups CPI Index Number | 2026-06</t>
        </is>
      </c>
      <c r="LW3" s="1" t="inlineStr">
        <is>
          <t>Month | Contribution to All groups CPI Index Number | 2026-07</t>
        </is>
      </c>
      <c r="LX3" s="1" t="inlineStr">
        <is>
          <t>Month | Change in Contribution to All groups CPI Index Number | 2025-01</t>
        </is>
      </c>
      <c r="LY3" s="1" t="inlineStr">
        <is>
          <t>Month | Change in Contribution to All groups CPI Index Number | 2025-02</t>
        </is>
      </c>
      <c r="LZ3" s="1" t="inlineStr">
        <is>
          <t>Month | Change in Contribution to All groups CPI Index Number | 2025-03</t>
        </is>
      </c>
      <c r="MA3" s="1" t="inlineStr">
        <is>
          <t>Month | Change in Contribution to All groups CPI Index Number | 2025-04</t>
        </is>
      </c>
      <c r="MB3" s="1" t="inlineStr">
        <is>
          <t>Month | Change in Contribution to All groups CPI Index Number | 2025-05</t>
        </is>
      </c>
      <c r="MC3" s="1" t="inlineStr">
        <is>
          <t>Month | Change in Contribution to All groups CPI Index Number | 2025-06</t>
        </is>
      </c>
      <c r="MD3" s="1" t="inlineStr">
        <is>
          <t>Month | Change in Contribution to All groups CPI Index Number | 2025-07</t>
        </is>
      </c>
      <c r="ME3" s="1" t="inlineStr">
        <is>
          <t>Month | Change in Contribution to All groups CPI Index Number | 2025-08</t>
        </is>
      </c>
      <c r="MF3" s="1" t="inlineStr">
        <is>
          <t>Month | Change in Contribution to All groups CPI Index Number | 2025-09</t>
        </is>
      </c>
      <c r="MG3" s="1" t="inlineStr">
        <is>
          <t>Month | Change in Contribution to All groups CPI Index Number | 2025-10</t>
        </is>
      </c>
      <c r="MH3" s="1" t="inlineStr">
        <is>
          <t>Month | Change in Contribution to All groups CPI Index Number | 2025-11</t>
        </is>
      </c>
      <c r="MI3" s="1" t="inlineStr">
        <is>
          <t>Month | Change in Contribution to All groups CPI Index Number | 2025-12</t>
        </is>
      </c>
      <c r="MJ3" s="1" t="inlineStr">
        <is>
          <t>Month | Change in Contribution to All groups CPI Index Number | 2026-01</t>
        </is>
      </c>
      <c r="MK3" s="1" t="inlineStr">
        <is>
          <t>Month | Change in Contribution to All groups CPI Index Number | 2026-02</t>
        </is>
      </c>
      <c r="ML3" s="1" t="inlineStr">
        <is>
          <t>Month | Change in Contribution to All groups CPI Index Number | 2026-03</t>
        </is>
      </c>
      <c r="MM3" s="1" t="inlineStr">
        <is>
          <t>Month | Change in Contribution to All groups CPI Index Number | 2026-04</t>
        </is>
      </c>
      <c r="MN3" s="1" t="inlineStr">
        <is>
          <t>Month | Change in Contribution to All groups CPI Index Number | 2026-05</t>
        </is>
      </c>
      <c r="MO3" s="1" t="inlineStr">
        <is>
          <t>Month | Change in Contribution to All groups CPI Index Number | 2026-06</t>
        </is>
      </c>
      <c r="MP3" s="1" t="inlineStr">
        <is>
          <t>Month | Change in Contribution to All groups CPI Index Number | 2026-07</t>
        </is>
      </c>
      <c r="MQ3" s="1" t="inlineStr">
        <is>
          <t>Quarter | Index Numbers | 1948Q3</t>
        </is>
      </c>
      <c r="MR3" s="1" t="inlineStr">
        <is>
          <t>Quarter | Index Numbers | 1948Q4</t>
        </is>
      </c>
      <c r="MS3" s="1" t="inlineStr">
        <is>
          <t>Quarter | Index Numbers | 1949Q1</t>
        </is>
      </c>
      <c r="MT3" s="1" t="inlineStr">
        <is>
          <t>Quarter | Index Numbers | 1949Q2</t>
        </is>
      </c>
      <c r="MU3" s="1" t="inlineStr">
        <is>
          <t>Quarter | Index Numbers | 1949Q3</t>
        </is>
      </c>
      <c r="MV3" s="1" t="inlineStr">
        <is>
          <t>Quarter | Index Numbers | 1949Q4</t>
        </is>
      </c>
      <c r="MW3" s="1" t="inlineStr">
        <is>
          <t>Quarter | Index Numbers | 1950Q1</t>
        </is>
      </c>
      <c r="MX3" s="1" t="inlineStr">
        <is>
          <t>Quarter | Index Numbers | 1950Q2</t>
        </is>
      </c>
      <c r="MY3" s="1" t="inlineStr">
        <is>
          <t>Quarter | Index Numbers | 1950Q3</t>
        </is>
      </c>
      <c r="MZ3" s="1" t="inlineStr">
        <is>
          <t>Quarter | Index Numbers | 1950Q4</t>
        </is>
      </c>
      <c r="NA3" s="1" t="inlineStr">
        <is>
          <t>Quarter | Index Numbers | 1951Q1</t>
        </is>
      </c>
      <c r="NB3" s="1" t="inlineStr">
        <is>
          <t>Quarter | Index Numbers | 1951Q2</t>
        </is>
      </c>
      <c r="NC3" s="1" t="inlineStr">
        <is>
          <t>Quarter | Index Numbers | 1951Q3</t>
        </is>
      </c>
      <c r="ND3" s="1" t="inlineStr">
        <is>
          <t>Quarter | Index Numbers | 1951Q4</t>
        </is>
      </c>
      <c r="NE3" s="1" t="inlineStr">
        <is>
          <t>Quarter | Index Numbers | 1952Q1</t>
        </is>
      </c>
      <c r="NF3" s="1" t="inlineStr">
        <is>
          <t>Quarter | Index Numbers | 1952Q2</t>
        </is>
      </c>
      <c r="NG3" s="1" t="inlineStr">
        <is>
          <t>Quarter | Index Numbers | 1952Q3</t>
        </is>
      </c>
      <c r="NH3" s="1" t="inlineStr">
        <is>
          <t>Quarter | Index Numbers | 1952Q4</t>
        </is>
      </c>
      <c r="NI3" s="1" t="inlineStr">
        <is>
          <t>Quarter | Index Numbers | 1953Q1</t>
        </is>
      </c>
      <c r="NJ3" s="1" t="inlineStr">
        <is>
          <t>Quarter | Index Numbers | 1953Q2</t>
        </is>
      </c>
      <c r="NK3" s="1" t="inlineStr">
        <is>
          <t>Quarter | Index Numbers | 1953Q3</t>
        </is>
      </c>
      <c r="NL3" s="1" t="inlineStr">
        <is>
          <t>Quarter | Index Numbers | 1953Q4</t>
        </is>
      </c>
      <c r="NM3" s="1" t="inlineStr">
        <is>
          <t>Quarter | Index Numbers | 1954Q1</t>
        </is>
      </c>
      <c r="NN3" s="1" t="inlineStr">
        <is>
          <t>Quarter | Index Numbers | 1954Q2</t>
        </is>
      </c>
      <c r="NO3" s="1" t="inlineStr">
        <is>
          <t>Quarter | Index Numbers | 1954Q3</t>
        </is>
      </c>
      <c r="NP3" s="1" t="inlineStr">
        <is>
          <t>Quarter | Index Numbers | 1954Q4</t>
        </is>
      </c>
      <c r="NQ3" s="1" t="inlineStr">
        <is>
          <t>Quarter | Index Numbers | 1955Q1</t>
        </is>
      </c>
      <c r="NR3" s="1" t="inlineStr">
        <is>
          <t>Quarter | Index Numbers | 1955Q2</t>
        </is>
      </c>
      <c r="NS3" s="1" t="inlineStr">
        <is>
          <t>Quarter | Index Numbers | 1955Q3</t>
        </is>
      </c>
      <c r="NT3" s="1" t="inlineStr">
        <is>
          <t>Quarter | Index Numbers | 1955Q4</t>
        </is>
      </c>
      <c r="NU3" s="1" t="inlineStr">
        <is>
          <t>Quarter | Index Numbers | 1956Q1</t>
        </is>
      </c>
      <c r="NV3" s="1" t="inlineStr">
        <is>
          <t>Quarter | Index Numbers | 1956Q2</t>
        </is>
      </c>
      <c r="NW3" s="1" t="inlineStr">
        <is>
          <t>Quarter | Index Numbers | 1956Q3</t>
        </is>
      </c>
      <c r="NX3" s="1" t="inlineStr">
        <is>
          <t>Quarter | Index Numbers | 1956Q4</t>
        </is>
      </c>
      <c r="NY3" s="1" t="inlineStr">
        <is>
          <t>Quarter | Index Numbers | 1957Q1</t>
        </is>
      </c>
      <c r="NZ3" s="1" t="inlineStr">
        <is>
          <t>Quarter | Index Numbers | 1957Q2</t>
        </is>
      </c>
      <c r="OA3" s="1" t="inlineStr">
        <is>
          <t>Quarter | Index Numbers | 1957Q3</t>
        </is>
      </c>
      <c r="OB3" s="1" t="inlineStr">
        <is>
          <t>Quarter | Index Numbers | 1957Q4</t>
        </is>
      </c>
      <c r="OC3" s="1" t="inlineStr">
        <is>
          <t>Quarter | Index Numbers | 1958Q1</t>
        </is>
      </c>
      <c r="OD3" s="1" t="inlineStr">
        <is>
          <t>Quarter | Index Numbers | 1958Q2</t>
        </is>
      </c>
      <c r="OE3" s="1" t="inlineStr">
        <is>
          <t>Quarter | Index Numbers | 1958Q3</t>
        </is>
      </c>
      <c r="OF3" s="1" t="inlineStr">
        <is>
          <t>Quarter | Index Numbers | 1958Q4</t>
        </is>
      </c>
      <c r="OG3" s="1" t="inlineStr">
        <is>
          <t>Quarter | Index Numbers | 1959Q1</t>
        </is>
      </c>
      <c r="OH3" s="1" t="inlineStr">
        <is>
          <t>Quarter | Index Numbers | 1959Q2</t>
        </is>
      </c>
      <c r="OI3" s="1" t="inlineStr">
        <is>
          <t>Quarter | Index Numbers | 1959Q3</t>
        </is>
      </c>
      <c r="OJ3" s="1" t="inlineStr">
        <is>
          <t>Quarter | Index Numbers | 1959Q4</t>
        </is>
      </c>
      <c r="OK3" s="1" t="inlineStr">
        <is>
          <t>Quarter | Index Numbers | 1960Q1</t>
        </is>
      </c>
      <c r="OL3" s="1" t="inlineStr">
        <is>
          <t>Quarter | Index Numbers | 1960Q2</t>
        </is>
      </c>
      <c r="OM3" s="1" t="inlineStr">
        <is>
          <t>Quarter | Index Numbers | 1960Q3</t>
        </is>
      </c>
      <c r="ON3" s="1" t="inlineStr">
        <is>
          <t>Quarter | Index Numbers | 1960Q4</t>
        </is>
      </c>
      <c r="OO3" s="1" t="inlineStr">
        <is>
          <t>Quarter | Index Numbers | 1961Q1</t>
        </is>
      </c>
      <c r="OP3" s="1" t="inlineStr">
        <is>
          <t>Quarter | Index Numbers | 1961Q2</t>
        </is>
      </c>
      <c r="OQ3" s="1" t="inlineStr">
        <is>
          <t>Quarter | Index Numbers | 1961Q3</t>
        </is>
      </c>
      <c r="OR3" s="1" t="inlineStr">
        <is>
          <t>Quarter | Index Numbers | 1961Q4</t>
        </is>
      </c>
      <c r="OS3" s="1" t="inlineStr">
        <is>
          <t>Quarter | Index Numbers | 1962Q1</t>
        </is>
      </c>
      <c r="OT3" s="1" t="inlineStr">
        <is>
          <t>Quarter | Index Numbers | 1962Q2</t>
        </is>
      </c>
      <c r="OU3" s="1" t="inlineStr">
        <is>
          <t>Quarter | Index Numbers | 1962Q3</t>
        </is>
      </c>
      <c r="OV3" s="1" t="inlineStr">
        <is>
          <t>Quarter | Index Numbers | 1962Q4</t>
        </is>
      </c>
      <c r="OW3" s="1" t="inlineStr">
        <is>
          <t>Quarter | Index Numbers | 1963Q1</t>
        </is>
      </c>
      <c r="OX3" s="1" t="inlineStr">
        <is>
          <t>Quarter | Index Numbers | 1963Q2</t>
        </is>
      </c>
      <c r="OY3" s="1" t="inlineStr">
        <is>
          <t>Quarter | Index Numbers | 1963Q3</t>
        </is>
      </c>
      <c r="OZ3" s="1" t="inlineStr">
        <is>
          <t>Quarter | Index Numbers | 1963Q4</t>
        </is>
      </c>
      <c r="PA3" s="1" t="inlineStr">
        <is>
          <t>Quarter | Index Numbers | 1964Q1</t>
        </is>
      </c>
      <c r="PB3" s="1" t="inlineStr">
        <is>
          <t>Quarter | Index Numbers | 1964Q2</t>
        </is>
      </c>
      <c r="PC3" s="1" t="inlineStr">
        <is>
          <t>Quarter | Index Numbers | 1964Q3</t>
        </is>
      </c>
      <c r="PD3" s="1" t="inlineStr">
        <is>
          <t>Quarter | Index Numbers | 1964Q4</t>
        </is>
      </c>
      <c r="PE3" s="1" t="inlineStr">
        <is>
          <t>Quarter | Index Numbers | 1965Q1</t>
        </is>
      </c>
      <c r="PF3" s="1" t="inlineStr">
        <is>
          <t>Quarter | Index Numbers | 1965Q2</t>
        </is>
      </c>
      <c r="PG3" s="1" t="inlineStr">
        <is>
          <t>Quarter | Index Numbers | 1965Q3</t>
        </is>
      </c>
      <c r="PH3" s="1" t="inlineStr">
        <is>
          <t>Quarter | Index Numbers | 1965Q4</t>
        </is>
      </c>
      <c r="PI3" s="1" t="inlineStr">
        <is>
          <t>Quarter | Index Numbers | 1966Q1</t>
        </is>
      </c>
      <c r="PJ3" s="1" t="inlineStr">
        <is>
          <t>Quarter | Index Numbers | 1966Q2</t>
        </is>
      </c>
      <c r="PK3" s="1" t="inlineStr">
        <is>
          <t>Quarter | Index Numbers | 1966Q3</t>
        </is>
      </c>
      <c r="PL3" s="1" t="inlineStr">
        <is>
          <t>Quarter | Index Numbers | 1966Q4</t>
        </is>
      </c>
      <c r="PM3" s="1" t="inlineStr">
        <is>
          <t>Quarter | Index Numbers | 1967Q1</t>
        </is>
      </c>
      <c r="PN3" s="1" t="inlineStr">
        <is>
          <t>Quarter | Index Numbers | 1967Q2</t>
        </is>
      </c>
      <c r="PO3" s="1" t="inlineStr">
        <is>
          <t>Quarter | Index Numbers | 1967Q3</t>
        </is>
      </c>
      <c r="PP3" s="1" t="inlineStr">
        <is>
          <t>Quarter | Index Numbers | 1967Q4</t>
        </is>
      </c>
      <c r="PQ3" s="1" t="inlineStr">
        <is>
          <t>Quarter | Index Numbers | 1968Q1</t>
        </is>
      </c>
      <c r="PR3" s="1" t="inlineStr">
        <is>
          <t>Quarter | Index Numbers | 1968Q2</t>
        </is>
      </c>
      <c r="PS3" s="1" t="inlineStr">
        <is>
          <t>Quarter | Index Numbers | 1968Q3</t>
        </is>
      </c>
      <c r="PT3" s="1" t="inlineStr">
        <is>
          <t>Quarter | Index Numbers | 1968Q4</t>
        </is>
      </c>
      <c r="PU3" s="1" t="inlineStr">
        <is>
          <t>Quarter | Index Numbers | 1969Q1</t>
        </is>
      </c>
      <c r="PV3" s="1" t="inlineStr">
        <is>
          <t>Quarter | Index Numbers | 1969Q2</t>
        </is>
      </c>
      <c r="PW3" s="1" t="inlineStr">
        <is>
          <t>Quarter | Index Numbers | 1969Q3</t>
        </is>
      </c>
      <c r="PX3" s="1" t="inlineStr">
        <is>
          <t>Quarter | Index Numbers | 1969Q4</t>
        </is>
      </c>
      <c r="PY3" s="1" t="inlineStr">
        <is>
          <t>Quarter | Index Numbers | 1970Q1</t>
        </is>
      </c>
      <c r="PZ3" s="1" t="inlineStr">
        <is>
          <t>Quarter | Index Numbers | 1970Q2</t>
        </is>
      </c>
      <c r="QA3" s="1" t="inlineStr">
        <is>
          <t>Quarter | Index Numbers | 1970Q3</t>
        </is>
      </c>
      <c r="QB3" s="1" t="inlineStr">
        <is>
          <t>Quarter | Index Numbers | 1970Q4</t>
        </is>
      </c>
      <c r="QC3" s="1" t="inlineStr">
        <is>
          <t>Quarter | Index Numbers | 1971Q1</t>
        </is>
      </c>
      <c r="QD3" s="1" t="inlineStr">
        <is>
          <t>Quarter | Index Numbers | 1971Q2</t>
        </is>
      </c>
      <c r="QE3" s="1" t="inlineStr">
        <is>
          <t>Quarter | Index Numbers | 1971Q3</t>
        </is>
      </c>
      <c r="QF3" s="1" t="inlineStr">
        <is>
          <t>Quarter | Index Numbers | 1971Q4</t>
        </is>
      </c>
      <c r="QG3" s="1" t="inlineStr">
        <is>
          <t>Quarter | Index Numbers | 1972Q1</t>
        </is>
      </c>
      <c r="QH3" s="1" t="inlineStr">
        <is>
          <t>Quarter | Index Numbers | 1972Q2</t>
        </is>
      </c>
      <c r="QI3" s="1" t="inlineStr">
        <is>
          <t>Quarter | Index Numbers | 1972Q3</t>
        </is>
      </c>
      <c r="QJ3" s="1" t="inlineStr">
        <is>
          <t>Quarter | Index Numbers | 1972Q4</t>
        </is>
      </c>
      <c r="QK3" s="1" t="inlineStr">
        <is>
          <t>Quarter | Index Numbers | 1973Q1</t>
        </is>
      </c>
      <c r="QL3" s="1" t="inlineStr">
        <is>
          <t>Quarter | Index Numbers | 1973Q2</t>
        </is>
      </c>
      <c r="QM3" s="1" t="inlineStr">
        <is>
          <t>Quarter | Index Numbers | 1973Q3</t>
        </is>
      </c>
      <c r="QN3" s="1" t="inlineStr">
        <is>
          <t>Quarter | Index Numbers | 1973Q4</t>
        </is>
      </c>
      <c r="QO3" s="1" t="inlineStr">
        <is>
          <t>Quarter | Index Numbers | 1974Q1</t>
        </is>
      </c>
      <c r="QP3" s="1" t="inlineStr">
        <is>
          <t>Quarter | Index Numbers | 1974Q2</t>
        </is>
      </c>
      <c r="QQ3" s="1" t="inlineStr">
        <is>
          <t>Quarter | Index Numbers | 1974Q3</t>
        </is>
      </c>
      <c r="QR3" s="1" t="inlineStr">
        <is>
          <t>Quarter | Index Numbers | 1974Q4</t>
        </is>
      </c>
      <c r="QS3" s="1" t="inlineStr">
        <is>
          <t>Quarter | Index Numbers | 1975Q1</t>
        </is>
      </c>
      <c r="QT3" s="1" t="inlineStr">
        <is>
          <t>Quarter | Index Numbers | 1975Q2</t>
        </is>
      </c>
      <c r="QU3" s="1" t="inlineStr">
        <is>
          <t>Quarter | Index Numbers | 1975Q3</t>
        </is>
      </c>
      <c r="QV3" s="1" t="inlineStr">
        <is>
          <t>Quarter | Index Numbers | 1975Q4</t>
        </is>
      </c>
      <c r="QW3" s="1" t="inlineStr">
        <is>
          <t>Quarter | Index Numbers | 1976Q1</t>
        </is>
      </c>
      <c r="QX3" s="1" t="inlineStr">
        <is>
          <t>Quarter | Index Numbers | 1976Q2</t>
        </is>
      </c>
      <c r="QY3" s="1" t="inlineStr">
        <is>
          <t>Quarter | Index Numbers | 1976Q3</t>
        </is>
      </c>
      <c r="QZ3" s="1" t="inlineStr">
        <is>
          <t>Quarter | Index Numbers | 1976Q4</t>
        </is>
      </c>
      <c r="RA3" s="1" t="inlineStr">
        <is>
          <t>Quarter | Index Numbers | 1977Q1</t>
        </is>
      </c>
      <c r="RB3" s="1" t="inlineStr">
        <is>
          <t>Quarter | Index Numbers | 1977Q2</t>
        </is>
      </c>
      <c r="RC3" s="1" t="inlineStr">
        <is>
          <t>Quarter | Index Numbers | 1977Q3</t>
        </is>
      </c>
      <c r="RD3" s="1" t="inlineStr">
        <is>
          <t>Quarter | Index Numbers | 1977Q4</t>
        </is>
      </c>
      <c r="RE3" s="1" t="inlineStr">
        <is>
          <t>Quarter | Index Numbers | 1978Q1</t>
        </is>
      </c>
      <c r="RF3" s="1" t="inlineStr">
        <is>
          <t>Quarter | Index Numbers | 1978Q2</t>
        </is>
      </c>
      <c r="RG3" s="1" t="inlineStr">
        <is>
          <t>Quarter | Index Numbers | 1978Q3</t>
        </is>
      </c>
      <c r="RH3" s="1" t="inlineStr">
        <is>
          <t>Quarter | Index Numbers | 1978Q4</t>
        </is>
      </c>
      <c r="RI3" s="1" t="inlineStr">
        <is>
          <t>Quarter | Index Numbers | 1979Q1</t>
        </is>
      </c>
      <c r="RJ3" s="1" t="inlineStr">
        <is>
          <t>Quarter | Index Numbers | 1979Q2</t>
        </is>
      </c>
      <c r="RK3" s="1" t="inlineStr">
        <is>
          <t>Quarter | Index Numbers | 1979Q3</t>
        </is>
      </c>
      <c r="RL3" s="1" t="inlineStr">
        <is>
          <t>Quarter | Index Numbers | 1979Q4</t>
        </is>
      </c>
      <c r="RM3" s="1" t="inlineStr">
        <is>
          <t>Quarter | Index Numbers | 1980Q1</t>
        </is>
      </c>
      <c r="RN3" s="1" t="inlineStr">
        <is>
          <t>Quarter | Index Numbers | 1980Q2</t>
        </is>
      </c>
      <c r="RO3" s="1" t="inlineStr">
        <is>
          <t>Quarter | Index Numbers | 1980Q3</t>
        </is>
      </c>
      <c r="RP3" s="1" t="inlineStr">
        <is>
          <t>Quarter | Index Numbers | 1980Q4</t>
        </is>
      </c>
      <c r="RQ3" s="1" t="inlineStr">
        <is>
          <t>Quarter | Index Numbers | 1981Q1</t>
        </is>
      </c>
      <c r="RR3" s="1" t="inlineStr">
        <is>
          <t>Quarter | Index Numbers | 1981Q2</t>
        </is>
      </c>
      <c r="RS3" s="1" t="inlineStr">
        <is>
          <t>Quarter | Index Numbers | 1981Q3</t>
        </is>
      </c>
      <c r="RT3" s="1" t="inlineStr">
        <is>
          <t>Quarter | Index Numbers | 1981Q4</t>
        </is>
      </c>
      <c r="RU3" s="1" t="inlineStr">
        <is>
          <t>Quarter | Index Numbers | 1982Q1</t>
        </is>
      </c>
      <c r="RV3" s="1" t="inlineStr">
        <is>
          <t>Quarter | Index Numbers | 1982Q2</t>
        </is>
      </c>
      <c r="RW3" s="1" t="inlineStr">
        <is>
          <t>Quarter | Index Numbers | 1982Q3</t>
        </is>
      </c>
      <c r="RX3" s="1" t="inlineStr">
        <is>
          <t>Quarter | Index Numbers | 1982Q4</t>
        </is>
      </c>
      <c r="RY3" s="1" t="inlineStr">
        <is>
          <t>Quarter | Index Numbers | 1983Q1</t>
        </is>
      </c>
      <c r="RZ3" s="1" t="inlineStr">
        <is>
          <t>Quarter | Index Numbers | 1983Q2</t>
        </is>
      </c>
      <c r="SA3" s="1" t="inlineStr">
        <is>
          <t>Quarter | Index Numbers | 1983Q3</t>
        </is>
      </c>
      <c r="SB3" s="1" t="inlineStr">
        <is>
          <t>Quarter | Index Numbers | 1983Q4</t>
        </is>
      </c>
      <c r="SC3" s="1" t="inlineStr">
        <is>
          <t>Quarter | Index Numbers | 1984Q1</t>
        </is>
      </c>
      <c r="SD3" s="1" t="inlineStr">
        <is>
          <t>Quarter | Index Numbers | 1984Q2</t>
        </is>
      </c>
      <c r="SE3" s="1" t="inlineStr">
        <is>
          <t>Quarter | Index Numbers | 1984Q3</t>
        </is>
      </c>
      <c r="SF3" s="1" t="inlineStr">
        <is>
          <t>Quarter | Index Numbers | 1984Q4</t>
        </is>
      </c>
      <c r="SG3" s="1" t="inlineStr">
        <is>
          <t>Quarter | Index Numbers | 1985Q1</t>
        </is>
      </c>
      <c r="SH3" s="1" t="inlineStr">
        <is>
          <t>Quarter | Index Numbers | 1985Q2</t>
        </is>
      </c>
      <c r="SI3" s="1" t="inlineStr">
        <is>
          <t>Quarter | Index Numbers | 1985Q3</t>
        </is>
      </c>
      <c r="SJ3" s="1" t="inlineStr">
        <is>
          <t>Quarter | Index Numbers | 1985Q4</t>
        </is>
      </c>
      <c r="SK3" s="1" t="inlineStr">
        <is>
          <t>Quarter | Index Numbers | 1986Q1</t>
        </is>
      </c>
      <c r="SL3" s="1" t="inlineStr">
        <is>
          <t>Quarter | Index Numbers | 1986Q2</t>
        </is>
      </c>
      <c r="SM3" s="1" t="inlineStr">
        <is>
          <t>Quarter | Index Numbers | 1986Q3</t>
        </is>
      </c>
      <c r="SN3" s="1" t="inlineStr">
        <is>
          <t>Quarter | Index Numbers | 1986Q4</t>
        </is>
      </c>
      <c r="SO3" s="1" t="inlineStr">
        <is>
          <t>Quarter | Index Numbers | 1987Q1</t>
        </is>
      </c>
      <c r="SP3" s="1" t="inlineStr">
        <is>
          <t>Quarter | Index Numbers | 1987Q2</t>
        </is>
      </c>
      <c r="SQ3" s="1" t="inlineStr">
        <is>
          <t>Quarter | Index Numbers | 1987Q3</t>
        </is>
      </c>
      <c r="SR3" s="1" t="inlineStr">
        <is>
          <t>Quarter | Index Numbers | 1987Q4</t>
        </is>
      </c>
      <c r="SS3" s="1" t="inlineStr">
        <is>
          <t>Quarter | Index Numbers | 1988Q1</t>
        </is>
      </c>
      <c r="ST3" s="1" t="inlineStr">
        <is>
          <t>Quarter | Index Numbers | 1988Q2</t>
        </is>
      </c>
      <c r="SU3" s="1" t="inlineStr">
        <is>
          <t>Quarter | Index Numbers | 1988Q3</t>
        </is>
      </c>
      <c r="SV3" s="1" t="inlineStr">
        <is>
          <t>Quarter | Index Numbers | 1988Q4</t>
        </is>
      </c>
      <c r="SW3" s="1" t="inlineStr">
        <is>
          <t>Quarter | Index Numbers | 1989Q1</t>
        </is>
      </c>
      <c r="SX3" s="1" t="inlineStr">
        <is>
          <t>Quarter | Index Numbers | 1989Q2</t>
        </is>
      </c>
      <c r="SY3" s="1" t="inlineStr">
        <is>
          <t>Quarter | Index Numbers | 1989Q3</t>
        </is>
      </c>
      <c r="SZ3" s="1" t="inlineStr">
        <is>
          <t>Quarter | Index Numbers | 1989Q4</t>
        </is>
      </c>
      <c r="TA3" s="1" t="inlineStr">
        <is>
          <t>Quarter | Index Numbers | 1990Q1</t>
        </is>
      </c>
      <c r="TB3" s="1" t="inlineStr">
        <is>
          <t>Quarter | Index Numbers | 1990Q2</t>
        </is>
      </c>
      <c r="TC3" s="1" t="inlineStr">
        <is>
          <t>Quarter | Index Numbers | 1990Q3</t>
        </is>
      </c>
      <c r="TD3" s="1" t="inlineStr">
        <is>
          <t>Quarter | Index Numbers | 1990Q4</t>
        </is>
      </c>
      <c r="TE3" s="1" t="inlineStr">
        <is>
          <t>Quarter | Index Numbers | 1991Q1</t>
        </is>
      </c>
      <c r="TF3" s="1" t="inlineStr">
        <is>
          <t>Quarter | Index Numbers | 1991Q2</t>
        </is>
      </c>
      <c r="TG3" s="1" t="inlineStr">
        <is>
          <t>Quarter | Index Numbers | 1991Q3</t>
        </is>
      </c>
      <c r="TH3" s="1" t="inlineStr">
        <is>
          <t>Quarter | Index Numbers | 1991Q4</t>
        </is>
      </c>
      <c r="TI3" s="1" t="inlineStr">
        <is>
          <t>Quarter | Index Numbers | 1992Q1</t>
        </is>
      </c>
      <c r="TJ3" s="1" t="inlineStr">
        <is>
          <t>Quarter | Index Numbers | 1992Q2</t>
        </is>
      </c>
      <c r="TK3" s="1" t="inlineStr">
        <is>
          <t>Quarter | Index Numbers | 1992Q3</t>
        </is>
      </c>
      <c r="TL3" s="1" t="inlineStr">
        <is>
          <t>Quarter | Index Numbers | 1992Q4</t>
        </is>
      </c>
      <c r="TM3" s="1" t="inlineStr">
        <is>
          <t>Quarter | Index Numbers | 1993Q1</t>
        </is>
      </c>
      <c r="TN3" s="1" t="inlineStr">
        <is>
          <t>Quarter | Index Numbers | 1993Q2</t>
        </is>
      </c>
      <c r="TO3" s="1" t="inlineStr">
        <is>
          <t>Quarter | Index Numbers | 1993Q3</t>
        </is>
      </c>
      <c r="TP3" s="1" t="inlineStr">
        <is>
          <t>Quarter | Index Numbers | 1993Q4</t>
        </is>
      </c>
      <c r="TQ3" s="1" t="inlineStr">
        <is>
          <t>Quarter | Index Numbers | 1994Q1</t>
        </is>
      </c>
      <c r="TR3" s="1" t="inlineStr">
        <is>
          <t>Quarter | Index Numbers | 1994Q2</t>
        </is>
      </c>
      <c r="TS3" s="1" t="inlineStr">
        <is>
          <t>Quarter | Index Numbers | 1994Q3</t>
        </is>
      </c>
      <c r="TT3" s="1" t="inlineStr">
        <is>
          <t>Quarter | Index Numbers | 1994Q4</t>
        </is>
      </c>
      <c r="TU3" s="1" t="inlineStr">
        <is>
          <t>Quarter | Index Numbers | 1995Q1</t>
        </is>
      </c>
      <c r="TV3" s="1" t="inlineStr">
        <is>
          <t>Quarter | Index Numbers | 1995Q2</t>
        </is>
      </c>
      <c r="TW3" s="1" t="inlineStr">
        <is>
          <t>Quarter | Index Numbers | 1995Q3</t>
        </is>
      </c>
      <c r="TX3" s="1" t="inlineStr">
        <is>
          <t>Quarter | Index Numbers | 1995Q4</t>
        </is>
      </c>
      <c r="TY3" s="1" t="inlineStr">
        <is>
          <t>Quarter | Index Numbers | 1996Q1</t>
        </is>
      </c>
      <c r="TZ3" s="1" t="inlineStr">
        <is>
          <t>Quarter | Index Numbers | 1996Q2</t>
        </is>
      </c>
      <c r="UA3" s="1" t="inlineStr">
        <is>
          <t>Quarter | Index Numbers | 1996Q3</t>
        </is>
      </c>
      <c r="UB3" s="1" t="inlineStr">
        <is>
          <t>Quarter | Index Numbers | 1996Q4</t>
        </is>
      </c>
      <c r="UC3" s="1" t="inlineStr">
        <is>
          <t>Quarter | Index Numbers | 1997Q1</t>
        </is>
      </c>
      <c r="UD3" s="1" t="inlineStr">
        <is>
          <t>Quarter | Index Numbers | 1997Q2</t>
        </is>
      </c>
      <c r="UE3" s="1" t="inlineStr">
        <is>
          <t>Quarter | Index Numbers | 1997Q3</t>
        </is>
      </c>
      <c r="UF3" s="1" t="inlineStr">
        <is>
          <t>Quarter | Index Numbers | 1997Q4</t>
        </is>
      </c>
      <c r="UG3" s="1" t="inlineStr">
        <is>
          <t>Quarter | Index Numbers | 1998Q1</t>
        </is>
      </c>
      <c r="UH3" s="1" t="inlineStr">
        <is>
          <t>Quarter | Index Numbers | 1998Q2</t>
        </is>
      </c>
      <c r="UI3" s="1" t="inlineStr">
        <is>
          <t>Quarter | Index Numbers | 1998Q3</t>
        </is>
      </c>
      <c r="UJ3" s="1" t="inlineStr">
        <is>
          <t>Quarter | Index Numbers | 1998Q4</t>
        </is>
      </c>
      <c r="UK3" s="1" t="inlineStr">
        <is>
          <t>Quarter | Index Numbers | 1999Q1</t>
        </is>
      </c>
      <c r="UL3" s="1" t="inlineStr">
        <is>
          <t>Quarter | Index Numbers | 1999Q2</t>
        </is>
      </c>
      <c r="UM3" s="1" t="inlineStr">
        <is>
          <t>Quarter | Index Numbers | 1999Q3</t>
        </is>
      </c>
      <c r="UN3" s="1" t="inlineStr">
        <is>
          <t>Quarter | Index Numbers | 1999Q4</t>
        </is>
      </c>
      <c r="UO3" s="1" t="inlineStr">
        <is>
          <t>Quarter | Index Numbers | 2000Q1</t>
        </is>
      </c>
      <c r="UP3" s="1" t="inlineStr">
        <is>
          <t>Quarter | Index Numbers | 2000Q2</t>
        </is>
      </c>
      <c r="UQ3" s="1" t="inlineStr">
        <is>
          <t>Quarter | Index Numbers | 2000Q3</t>
        </is>
      </c>
      <c r="UR3" s="1" t="inlineStr">
        <is>
          <t>Quarter | Index Numbers | 2000Q4</t>
        </is>
      </c>
      <c r="US3" s="1" t="inlineStr">
        <is>
          <t>Quarter | Index Numbers | 2001Q1</t>
        </is>
      </c>
      <c r="UT3" s="1" t="inlineStr">
        <is>
          <t>Quarter | Index Numbers | 2001Q2</t>
        </is>
      </c>
      <c r="UU3" s="1" t="inlineStr">
        <is>
          <t>Quarter | Index Numbers | 2001Q3</t>
        </is>
      </c>
      <c r="UV3" s="1" t="inlineStr">
        <is>
          <t>Quarter | Index Numbers | 2001Q4</t>
        </is>
      </c>
      <c r="UW3" s="1" t="inlineStr">
        <is>
          <t>Quarter | Index Numbers | 2002Q1</t>
        </is>
      </c>
      <c r="UX3" s="1" t="inlineStr">
        <is>
          <t>Quarter | Index Numbers | 2002Q2</t>
        </is>
      </c>
      <c r="UY3" s="1" t="inlineStr">
        <is>
          <t>Quarter | Index Numbers | 2002Q3</t>
        </is>
      </c>
      <c r="UZ3" s="1" t="inlineStr">
        <is>
          <t>Quarter | Index Numbers | 2002Q4</t>
        </is>
      </c>
      <c r="VA3" s="1" t="inlineStr">
        <is>
          <t>Quarter | Index Numbers | 2003Q1</t>
        </is>
      </c>
      <c r="VB3" s="1" t="inlineStr">
        <is>
          <t>Quarter | Index Numbers | 2003Q2</t>
        </is>
      </c>
      <c r="VC3" s="1" t="inlineStr">
        <is>
          <t>Quarter | Index Numbers | 2003Q3</t>
        </is>
      </c>
      <c r="VD3" s="1" t="inlineStr">
        <is>
          <t>Quarter | Index Numbers | 2003Q4</t>
        </is>
      </c>
      <c r="VE3" s="1" t="inlineStr">
        <is>
          <t>Quarter | Index Numbers | 2004Q1</t>
        </is>
      </c>
      <c r="VF3" s="1" t="inlineStr">
        <is>
          <t>Quarter | Index Numbers | 2004Q2</t>
        </is>
      </c>
      <c r="VG3" s="1" t="inlineStr">
        <is>
          <t>Quarter | Index Numbers | 2004Q3</t>
        </is>
      </c>
      <c r="VH3" s="1" t="inlineStr">
        <is>
          <t>Quarter | Index Numbers | 2004Q4</t>
        </is>
      </c>
      <c r="VI3" s="1" t="inlineStr">
        <is>
          <t>Quarter | Index Numbers | 2005Q1</t>
        </is>
      </c>
      <c r="VJ3" s="1" t="inlineStr">
        <is>
          <t>Quarter | Index Numbers | 2005Q2</t>
        </is>
      </c>
      <c r="VK3" s="1" t="inlineStr">
        <is>
          <t>Quarter | Index Numbers | 2005Q3</t>
        </is>
      </c>
      <c r="VL3" s="1" t="inlineStr">
        <is>
          <t>Quarter | Index Numbers | 2005Q4</t>
        </is>
      </c>
      <c r="VM3" s="1" t="inlineStr">
        <is>
          <t>Quarter | Index Numbers | 2006Q1</t>
        </is>
      </c>
      <c r="VN3" s="1" t="inlineStr">
        <is>
          <t>Quarter | Index Numbers | 2006Q2</t>
        </is>
      </c>
      <c r="VO3" s="1" t="inlineStr">
        <is>
          <t>Quarter | Index Numbers | 2006Q3</t>
        </is>
      </c>
      <c r="VP3" s="1" t="inlineStr">
        <is>
          <t>Quarter | Index Numbers | 2006Q4</t>
        </is>
      </c>
      <c r="VQ3" s="1" t="inlineStr">
        <is>
          <t>Quarter | Index Numbers | 2007Q1</t>
        </is>
      </c>
      <c r="VR3" s="1" t="inlineStr">
        <is>
          <t>Quarter | Index Numbers | 2007Q2</t>
        </is>
      </c>
      <c r="VS3" s="1" t="inlineStr">
        <is>
          <t>Quarter | Index Numbers | 2007Q3</t>
        </is>
      </c>
      <c r="VT3" s="1" t="inlineStr">
        <is>
          <t>Quarter | Index Numbers | 2007Q4</t>
        </is>
      </c>
      <c r="VU3" s="1" t="inlineStr">
        <is>
          <t>Quarter | Index Numbers | 2008Q1</t>
        </is>
      </c>
      <c r="VV3" s="1" t="inlineStr">
        <is>
          <t>Quarter | Index Numbers | 2008Q2</t>
        </is>
      </c>
      <c r="VW3" s="1" t="inlineStr">
        <is>
          <t>Quarter | Index Numbers | 2008Q3</t>
        </is>
      </c>
      <c r="VX3" s="1" t="inlineStr">
        <is>
          <t>Quarter | Index Numbers | 2008Q4</t>
        </is>
      </c>
      <c r="VY3" s="1" t="inlineStr">
        <is>
          <t>Quarter | Index Numbers | 2009Q1</t>
        </is>
      </c>
      <c r="VZ3" s="1" t="inlineStr">
        <is>
          <t>Quarter | Index Numbers | 2009Q2</t>
        </is>
      </c>
      <c r="WA3" s="1" t="inlineStr">
        <is>
          <t>Quarter | Index Numbers | 2009Q3</t>
        </is>
      </c>
      <c r="WB3" s="1" t="inlineStr">
        <is>
          <t>Quarter | Index Numbers | 2009Q4</t>
        </is>
      </c>
      <c r="WC3" s="1" t="inlineStr">
        <is>
          <t>Quarter | Index Numbers | 2010Q1</t>
        </is>
      </c>
      <c r="WD3" s="1" t="inlineStr">
        <is>
          <t>Quarter | Index Numbers | 2010Q2</t>
        </is>
      </c>
      <c r="WE3" s="1" t="inlineStr">
        <is>
          <t>Quarter | Index Numbers | 2010Q3</t>
        </is>
      </c>
      <c r="WF3" s="1" t="inlineStr">
        <is>
          <t>Quarter | Index Numbers | 2010Q4</t>
        </is>
      </c>
      <c r="WG3" s="1" t="inlineStr">
        <is>
          <t>Quarter | Index Numbers | 2011Q1</t>
        </is>
      </c>
      <c r="WH3" s="1" t="inlineStr">
        <is>
          <t>Quarter | Index Numbers | 2011Q2</t>
        </is>
      </c>
      <c r="WI3" s="1" t="inlineStr">
        <is>
          <t>Quarter | Index Numbers | 2011Q3</t>
        </is>
      </c>
      <c r="WJ3" s="1" t="inlineStr">
        <is>
          <t>Quarter | Index Numbers | 2011Q4</t>
        </is>
      </c>
      <c r="WK3" s="1" t="inlineStr">
        <is>
          <t>Quarter | Index Numbers | 2012Q1</t>
        </is>
      </c>
      <c r="WL3" s="1" t="inlineStr">
        <is>
          <t>Quarter | Index Numbers | 2012Q2</t>
        </is>
      </c>
      <c r="WM3" s="1" t="inlineStr">
        <is>
          <t>Quarter | Index Numbers | 2012Q3</t>
        </is>
      </c>
      <c r="WN3" s="1" t="inlineStr">
        <is>
          <t>Quarter | Index Numbers | 2012Q4</t>
        </is>
      </c>
      <c r="WO3" s="1" t="inlineStr">
        <is>
          <t>Quarter | Index Numbers | 2013Q1</t>
        </is>
      </c>
      <c r="WP3" s="1" t="inlineStr">
        <is>
          <t>Quarter | Index Numbers | 2013Q2</t>
        </is>
      </c>
      <c r="WQ3" s="1" t="inlineStr">
        <is>
          <t>Quarter | Index Numbers | 2013Q3</t>
        </is>
      </c>
      <c r="WR3" s="1" t="inlineStr">
        <is>
          <t>Quarter | Index Numbers | 2013Q4</t>
        </is>
      </c>
      <c r="WS3" s="1" t="inlineStr">
        <is>
          <t>Quarter | Index Numbers | 2014Q1</t>
        </is>
      </c>
      <c r="WT3" s="1" t="inlineStr">
        <is>
          <t>Quarter | Index Numbers | 2014Q2</t>
        </is>
      </c>
      <c r="WU3" s="1" t="inlineStr">
        <is>
          <t>Quarter | Index Numbers | 2014Q3</t>
        </is>
      </c>
      <c r="WV3" s="1" t="inlineStr">
        <is>
          <t>Quarter | Index Numbers | 2014Q4</t>
        </is>
      </c>
      <c r="WW3" s="1" t="inlineStr">
        <is>
          <t>Quarter | Index Numbers | 2015Q1</t>
        </is>
      </c>
      <c r="WX3" s="1" t="inlineStr">
        <is>
          <t>Quarter | Index Numbers | 2015Q2</t>
        </is>
      </c>
      <c r="WY3" s="1" t="inlineStr">
        <is>
          <t>Quarter | Index Numbers | 2015Q3</t>
        </is>
      </c>
      <c r="WZ3" s="1" t="inlineStr">
        <is>
          <t>Quarter | Index Numbers | 2015Q4</t>
        </is>
      </c>
      <c r="XA3" s="1" t="inlineStr">
        <is>
          <t>Quarter | Index Numbers | 2016Q1</t>
        </is>
      </c>
      <c r="XB3" s="1" t="inlineStr">
        <is>
          <t>Quarter | Index Numbers | 2016Q2</t>
        </is>
      </c>
      <c r="XC3" s="1" t="inlineStr">
        <is>
          <t>Quarter | Index Numbers | 2016Q3</t>
        </is>
      </c>
      <c r="XD3" s="1" t="inlineStr">
        <is>
          <t>Quarter | Index Numbers | 2016Q4</t>
        </is>
      </c>
      <c r="XE3" s="1" t="inlineStr">
        <is>
          <t>Quarter | Index Numbers | 2017Q1</t>
        </is>
      </c>
      <c r="XF3" s="1" t="inlineStr">
        <is>
          <t>Quarter | Index Numbers | 2017Q2</t>
        </is>
      </c>
      <c r="XG3" s="1" t="inlineStr">
        <is>
          <t>Quarter | Index Numbers | 2017Q3</t>
        </is>
      </c>
      <c r="XH3" s="1" t="inlineStr">
        <is>
          <t>Quarter | Index Numbers | 2017Q4</t>
        </is>
      </c>
      <c r="XI3" s="1" t="inlineStr">
        <is>
          <t>Quarter | Index Numbers | 2018Q1</t>
        </is>
      </c>
      <c r="XJ3" s="1" t="inlineStr">
        <is>
          <t>Quarter | Index Numbers | 2018Q2</t>
        </is>
      </c>
      <c r="XK3" s="1" t="inlineStr">
        <is>
          <t>Quarter | Index Numbers | 2018Q3</t>
        </is>
      </c>
      <c r="XL3" s="1" t="inlineStr">
        <is>
          <t>Quarter | Index Numbers | 2018Q4</t>
        </is>
      </c>
      <c r="XM3" s="1" t="inlineStr">
        <is>
          <t>Quarter | Index Numbers | 2019Q1</t>
        </is>
      </c>
      <c r="XN3" s="1" t="inlineStr">
        <is>
          <t>Quarter | Index Numbers | 2019Q2</t>
        </is>
      </c>
      <c r="XO3" s="1" t="inlineStr">
        <is>
          <t>Quarter | Index Numbers | 2019Q3</t>
        </is>
      </c>
      <c r="XP3" s="1" t="inlineStr">
        <is>
          <t>Quarter | Index Numbers | 2019Q4</t>
        </is>
      </c>
      <c r="XQ3" s="1" t="inlineStr">
        <is>
          <t>Quarter | Index Numbers | 2020Q1</t>
        </is>
      </c>
      <c r="XR3" s="1" t="inlineStr">
        <is>
          <t>Quarter | Index Numbers | 2020Q2</t>
        </is>
      </c>
      <c r="XS3" s="1" t="inlineStr">
        <is>
          <t>Quarter | Index Numbers | 2020Q3</t>
        </is>
      </c>
      <c r="XT3" s="1" t="inlineStr">
        <is>
          <t>Quarter | Index Numbers | 2020Q4</t>
        </is>
      </c>
      <c r="XU3" s="1" t="inlineStr">
        <is>
          <t>Quarter | Index Numbers | 2021Q1</t>
        </is>
      </c>
      <c r="XV3" s="1" t="inlineStr">
        <is>
          <t>Quarter | Index Numbers | 2021Q2</t>
        </is>
      </c>
      <c r="XW3" s="1" t="inlineStr">
        <is>
          <t>Quarter | Index Numbers | 2021Q3</t>
        </is>
      </c>
      <c r="XX3" s="1" t="inlineStr">
        <is>
          <t>Quarter | Index Numbers | 2021Q4</t>
        </is>
      </c>
      <c r="XY3" s="1" t="inlineStr">
        <is>
          <t>Quarter | Index Numbers | 2022Q1</t>
        </is>
      </c>
      <c r="XZ3" s="1" t="inlineStr">
        <is>
          <t>Quarter | Index Numbers | 2022Q2</t>
        </is>
      </c>
      <c r="YA3" s="1" t="inlineStr">
        <is>
          <t>Quarter | Index Numbers | 2022Q3</t>
        </is>
      </c>
      <c r="YB3" s="1" t="inlineStr">
        <is>
          <t>Quarter | Index Numbers | 2022Q4</t>
        </is>
      </c>
      <c r="YC3" s="1" t="inlineStr">
        <is>
          <t>Quarter | Index Numbers | 2023Q1</t>
        </is>
      </c>
      <c r="YD3" s="1" t="inlineStr">
        <is>
          <t>Quarter | Index Numbers | 2023Q2</t>
        </is>
      </c>
      <c r="YE3" s="1" t="inlineStr">
        <is>
          <t>Quarter | Index Numbers | 2023Q3</t>
        </is>
      </c>
      <c r="YF3" s="1" t="inlineStr">
        <is>
          <t>Quarter | Index Numbers | 2023Q4</t>
        </is>
      </c>
      <c r="YG3" s="1" t="inlineStr">
        <is>
          <t>Quarter | Index Numbers | 2024Q1</t>
        </is>
      </c>
      <c r="YH3" s="1" t="inlineStr">
        <is>
          <t>Quarter | Index Numbers | 2024Q2</t>
        </is>
      </c>
      <c r="YI3" s="1" t="inlineStr">
        <is>
          <t>Quarter | Index Numbers | 2024Q3</t>
        </is>
      </c>
      <c r="YJ3" s="1" t="inlineStr">
        <is>
          <t>Quarter | Index Numbers | 2024Q4</t>
        </is>
      </c>
      <c r="YK3" s="1" t="inlineStr">
        <is>
          <t>Quarter | Index Numbers | 2025Q1</t>
        </is>
      </c>
      <c r="YL3" s="1" t="inlineStr">
        <is>
          <t>Quarter | Index Numbers | 2025Q2</t>
        </is>
      </c>
      <c r="YM3" s="1" t="inlineStr">
        <is>
          <t>Quarter | Index Numbers | 2025Q3</t>
        </is>
      </c>
      <c r="YN3" s="1" t="inlineStr">
        <is>
          <t>Quarter | Index Numbers | 2025Q4</t>
        </is>
      </c>
      <c r="YO3" s="1" t="inlineStr">
        <is>
          <t>Quarter | Index Numbers | 2026Q1</t>
        </is>
      </c>
      <c r="YP3" s="1" t="inlineStr">
        <is>
          <t>Quarter | Index Numbers | 2026Q2</t>
        </is>
      </c>
      <c r="YQ3" s="1" t="inlineStr">
        <is>
          <t>Quarter | Percentage Change from Previous Period | 1948Q4</t>
        </is>
      </c>
      <c r="YR3" s="1" t="inlineStr">
        <is>
          <t>Quarter | Percentage Change from Previous Period | 1949Q1</t>
        </is>
      </c>
      <c r="YS3" s="1" t="inlineStr">
        <is>
          <t>Quarter | Percentage Change from Previous Period | 1949Q2</t>
        </is>
      </c>
      <c r="YT3" s="1" t="inlineStr">
        <is>
          <t>Quarter | Percentage Change from Previous Period | 1949Q3</t>
        </is>
      </c>
      <c r="YU3" s="1" t="inlineStr">
        <is>
          <t>Quarter | Percentage Change from Previous Period | 1949Q4</t>
        </is>
      </c>
      <c r="YV3" s="1" t="inlineStr">
        <is>
          <t>Quarter | Percentage Change from Previous Period | 1950Q1</t>
        </is>
      </c>
      <c r="YW3" s="1" t="inlineStr">
        <is>
          <t>Quarter | Percentage Change from Previous Period | 1950Q2</t>
        </is>
      </c>
      <c r="YX3" s="1" t="inlineStr">
        <is>
          <t>Quarter | Percentage Change from Previous Period | 1950Q3</t>
        </is>
      </c>
      <c r="YY3" s="1" t="inlineStr">
        <is>
          <t>Quarter | Percentage Change from Previous Period | 1950Q4</t>
        </is>
      </c>
      <c r="YZ3" s="1" t="inlineStr">
        <is>
          <t>Quarter | Percentage Change from Previous Period | 1951Q1</t>
        </is>
      </c>
      <c r="ZA3" s="1" t="inlineStr">
        <is>
          <t>Quarter | Percentage Change from Previous Period | 1951Q2</t>
        </is>
      </c>
      <c r="ZB3" s="1" t="inlineStr">
        <is>
          <t>Quarter | Percentage Change from Previous Period | 1951Q3</t>
        </is>
      </c>
      <c r="ZC3" s="1" t="inlineStr">
        <is>
          <t>Quarter | Percentage Change from Previous Period | 1951Q4</t>
        </is>
      </c>
      <c r="ZD3" s="1" t="inlineStr">
        <is>
          <t>Quarter | Percentage Change from Previous Period | 1952Q1</t>
        </is>
      </c>
      <c r="ZE3" s="1" t="inlineStr">
        <is>
          <t>Quarter | Percentage Change from Previous Period | 1952Q2</t>
        </is>
      </c>
      <c r="ZF3" s="1" t="inlineStr">
        <is>
          <t>Quarter | Percentage Change from Previous Period | 1952Q3</t>
        </is>
      </c>
      <c r="ZG3" s="1" t="inlineStr">
        <is>
          <t>Quarter | Percentage Change from Previous Period | 1952Q4</t>
        </is>
      </c>
      <c r="ZH3" s="1" t="inlineStr">
        <is>
          <t>Quarter | Percentage Change from Previous Period | 1953Q1</t>
        </is>
      </c>
      <c r="ZI3" s="1" t="inlineStr">
        <is>
          <t>Quarter | Percentage Change from Previous Period | 1953Q2</t>
        </is>
      </c>
      <c r="ZJ3" s="1" t="inlineStr">
        <is>
          <t>Quarter | Percentage Change from Previous Period | 1953Q3</t>
        </is>
      </c>
      <c r="ZK3" s="1" t="inlineStr">
        <is>
          <t>Quarter | Percentage Change from Previous Period | 1953Q4</t>
        </is>
      </c>
      <c r="ZL3" s="1" t="inlineStr">
        <is>
          <t>Quarter | Percentage Change from Previous Period | 1954Q1</t>
        </is>
      </c>
      <c r="ZM3" s="1" t="inlineStr">
        <is>
          <t>Quarter | Percentage Change from Previous Period | 1954Q2</t>
        </is>
      </c>
      <c r="ZN3" s="1" t="inlineStr">
        <is>
          <t>Quarter | Percentage Change from Previous Period | 1954Q3</t>
        </is>
      </c>
      <c r="ZO3" s="1" t="inlineStr">
        <is>
          <t>Quarter | Percentage Change from Previous Period | 1954Q4</t>
        </is>
      </c>
      <c r="ZP3" s="1" t="inlineStr">
        <is>
          <t>Quarter | Percentage Change from Previous Period | 1955Q1</t>
        </is>
      </c>
      <c r="ZQ3" s="1" t="inlineStr">
        <is>
          <t>Quarter | Percentage Change from Previous Period | 1955Q2</t>
        </is>
      </c>
      <c r="ZR3" s="1" t="inlineStr">
        <is>
          <t>Quarter | Percentage Change from Previous Period | 1955Q3</t>
        </is>
      </c>
      <c r="ZS3" s="1" t="inlineStr">
        <is>
          <t>Quarter | Percentage Change from Previous Period | 1955Q4</t>
        </is>
      </c>
      <c r="ZT3" s="1" t="inlineStr">
        <is>
          <t>Quarter | Percentage Change from Previous Period | 1956Q1</t>
        </is>
      </c>
      <c r="ZU3" s="1" t="inlineStr">
        <is>
          <t>Quarter | Percentage Change from Previous Period | 1956Q2</t>
        </is>
      </c>
      <c r="ZV3" s="1" t="inlineStr">
        <is>
          <t>Quarter | Percentage Change from Previous Period | 1956Q3</t>
        </is>
      </c>
      <c r="ZW3" s="1" t="inlineStr">
        <is>
          <t>Quarter | Percentage Change from Previous Period | 1956Q4</t>
        </is>
      </c>
      <c r="ZX3" s="1" t="inlineStr">
        <is>
          <t>Quarter | Percentage Change from Previous Period | 1957Q1</t>
        </is>
      </c>
      <c r="ZY3" s="1" t="inlineStr">
        <is>
          <t>Quarter | Percentage Change from Previous Period | 1957Q2</t>
        </is>
      </c>
      <c r="ZZ3" s="1" t="inlineStr">
        <is>
          <t>Quarter | Percentage Change from Previous Period | 1957Q3</t>
        </is>
      </c>
      <c r="AAA3" s="1" t="inlineStr">
        <is>
          <t>Quarter | Percentage Change from Previous Period | 1957Q4</t>
        </is>
      </c>
      <c r="AAB3" s="1" t="inlineStr">
        <is>
          <t>Quarter | Percentage Change from Previous Period | 1958Q1</t>
        </is>
      </c>
      <c r="AAC3" s="1" t="inlineStr">
        <is>
          <t>Quarter | Percentage Change from Previous Period | 1958Q2</t>
        </is>
      </c>
      <c r="AAD3" s="1" t="inlineStr">
        <is>
          <t>Quarter | Percentage Change from Previous Period | 1958Q3</t>
        </is>
      </c>
      <c r="AAE3" s="1" t="inlineStr">
        <is>
          <t>Quarter | Percentage Change from Previous Period | 1958Q4</t>
        </is>
      </c>
      <c r="AAF3" s="1" t="inlineStr">
        <is>
          <t>Quarter | Percentage Change from Previous Period | 1959Q1</t>
        </is>
      </c>
      <c r="AAG3" s="1" t="inlineStr">
        <is>
          <t>Quarter | Percentage Change from Previous Period | 1959Q2</t>
        </is>
      </c>
      <c r="AAH3" s="1" t="inlineStr">
        <is>
          <t>Quarter | Percentage Change from Previous Period | 1959Q3</t>
        </is>
      </c>
      <c r="AAI3" s="1" t="inlineStr">
        <is>
          <t>Quarter | Percentage Change from Previous Period | 1959Q4</t>
        </is>
      </c>
      <c r="AAJ3" s="1" t="inlineStr">
        <is>
          <t>Quarter | Percentage Change from Previous Period | 1960Q1</t>
        </is>
      </c>
      <c r="AAK3" s="1" t="inlineStr">
        <is>
          <t>Quarter | Percentage Change from Previous Period | 1960Q2</t>
        </is>
      </c>
      <c r="AAL3" s="1" t="inlineStr">
        <is>
          <t>Quarter | Percentage Change from Previous Period | 1960Q3</t>
        </is>
      </c>
      <c r="AAM3" s="1" t="inlineStr">
        <is>
          <t>Quarter | Percentage Change from Previous Period | 1960Q4</t>
        </is>
      </c>
      <c r="AAN3" s="1" t="inlineStr">
        <is>
          <t>Quarter | Percentage Change from Previous Period | 1961Q1</t>
        </is>
      </c>
      <c r="AAO3" s="1" t="inlineStr">
        <is>
          <t>Quarter | Percentage Change from Previous Period | 1961Q2</t>
        </is>
      </c>
      <c r="AAP3" s="1" t="inlineStr">
        <is>
          <t>Quarter | Percentage Change from Previous Period | 1961Q3</t>
        </is>
      </c>
      <c r="AAQ3" s="1" t="inlineStr">
        <is>
          <t>Quarter | Percentage Change from Previous Period | 1961Q4</t>
        </is>
      </c>
      <c r="AAR3" s="1" t="inlineStr">
        <is>
          <t>Quarter | Percentage Change from Previous Period | 1962Q1</t>
        </is>
      </c>
      <c r="AAS3" s="1" t="inlineStr">
        <is>
          <t>Quarter | Percentage Change from Previous Period | 1962Q2</t>
        </is>
      </c>
      <c r="AAT3" s="1" t="inlineStr">
        <is>
          <t>Quarter | Percentage Change from Previous Period | 1962Q3</t>
        </is>
      </c>
      <c r="AAU3" s="1" t="inlineStr">
        <is>
          <t>Quarter | Percentage Change from Previous Period | 1962Q4</t>
        </is>
      </c>
      <c r="AAV3" s="1" t="inlineStr">
        <is>
          <t>Quarter | Percentage Change from Previous Period | 1963Q1</t>
        </is>
      </c>
      <c r="AAW3" s="1" t="inlineStr">
        <is>
          <t>Quarter | Percentage Change from Previous Period | 1963Q2</t>
        </is>
      </c>
      <c r="AAX3" s="1" t="inlineStr">
        <is>
          <t>Quarter | Percentage Change from Previous Period | 1963Q3</t>
        </is>
      </c>
      <c r="AAY3" s="1" t="inlineStr">
        <is>
          <t>Quarter | Percentage Change from Previous Period | 1963Q4</t>
        </is>
      </c>
      <c r="AAZ3" s="1" t="inlineStr">
        <is>
          <t>Quarter | Percentage Change from Previous Period | 1964Q1</t>
        </is>
      </c>
      <c r="ABA3" s="1" t="inlineStr">
        <is>
          <t>Quarter | Percentage Change from Previous Period | 1964Q2</t>
        </is>
      </c>
      <c r="ABB3" s="1" t="inlineStr">
        <is>
          <t>Quarter | Percentage Change from Previous Period | 1964Q3</t>
        </is>
      </c>
      <c r="ABC3" s="1" t="inlineStr">
        <is>
          <t>Quarter | Percentage Change from Previous Period | 1964Q4</t>
        </is>
      </c>
      <c r="ABD3" s="1" t="inlineStr">
        <is>
          <t>Quarter | Percentage Change from Previous Period | 1965Q1</t>
        </is>
      </c>
      <c r="ABE3" s="1" t="inlineStr">
        <is>
          <t>Quarter | Percentage Change from Previous Period | 1965Q2</t>
        </is>
      </c>
      <c r="ABF3" s="1" t="inlineStr">
        <is>
          <t>Quarter | Percentage Change from Previous Period | 1965Q3</t>
        </is>
      </c>
      <c r="ABG3" s="1" t="inlineStr">
        <is>
          <t>Quarter | Percentage Change from Previous Period | 1965Q4</t>
        </is>
      </c>
      <c r="ABH3" s="1" t="inlineStr">
        <is>
          <t>Quarter | Percentage Change from Previous Period | 1966Q1</t>
        </is>
      </c>
      <c r="ABI3" s="1" t="inlineStr">
        <is>
          <t>Quarter | Percentage Change from Previous Period | 1966Q2</t>
        </is>
      </c>
      <c r="ABJ3" s="1" t="inlineStr">
        <is>
          <t>Quarter | Percentage Change from Previous Period | 1966Q3</t>
        </is>
      </c>
      <c r="ABK3" s="1" t="inlineStr">
        <is>
          <t>Quarter | Percentage Change from Previous Period | 1966Q4</t>
        </is>
      </c>
      <c r="ABL3" s="1" t="inlineStr">
        <is>
          <t>Quarter | Percentage Change from Previous Period | 1967Q1</t>
        </is>
      </c>
      <c r="ABM3" s="1" t="inlineStr">
        <is>
          <t>Quarter | Percentage Change from Previous Period | 1967Q2</t>
        </is>
      </c>
      <c r="ABN3" s="1" t="inlineStr">
        <is>
          <t>Quarter | Percentage Change from Previous Period | 1967Q3</t>
        </is>
      </c>
      <c r="ABO3" s="1" t="inlineStr">
        <is>
          <t>Quarter | Percentage Change from Previous Period | 1967Q4</t>
        </is>
      </c>
      <c r="ABP3" s="1" t="inlineStr">
        <is>
          <t>Quarter | Percentage Change from Previous Period | 1968Q1</t>
        </is>
      </c>
      <c r="ABQ3" s="1" t="inlineStr">
        <is>
          <t>Quarter | Percentage Change from Previous Period | 1968Q2</t>
        </is>
      </c>
      <c r="ABR3" s="1" t="inlineStr">
        <is>
          <t>Quarter | Percentage Change from Previous Period | 1968Q3</t>
        </is>
      </c>
      <c r="ABS3" s="1" t="inlineStr">
        <is>
          <t>Quarter | Percentage Change from Previous Period | 1968Q4</t>
        </is>
      </c>
      <c r="ABT3" s="1" t="inlineStr">
        <is>
          <t>Quarter | Percentage Change from Previous Period | 1969Q1</t>
        </is>
      </c>
      <c r="ABU3" s="1" t="inlineStr">
        <is>
          <t>Quarter | Percentage Change from Previous Period | 1969Q2</t>
        </is>
      </c>
      <c r="ABV3" s="1" t="inlineStr">
        <is>
          <t>Quarter | Percentage Change from Previous Period | 1969Q3</t>
        </is>
      </c>
      <c r="ABW3" s="1" t="inlineStr">
        <is>
          <t>Quarter | Percentage Change from Previous Period | 1969Q4</t>
        </is>
      </c>
      <c r="ABX3" s="1" t="inlineStr">
        <is>
          <t>Quarter | Percentage Change from Previous Period | 1970Q1</t>
        </is>
      </c>
      <c r="ABY3" s="1" t="inlineStr">
        <is>
          <t>Quarter | Percentage Change from Previous Period | 1970Q2</t>
        </is>
      </c>
      <c r="ABZ3" s="1" t="inlineStr">
        <is>
          <t>Quarter | Percentage Change from Previous Period | 1970Q3</t>
        </is>
      </c>
      <c r="ACA3" s="1" t="inlineStr">
        <is>
          <t>Quarter | Percentage Change from Previous Period | 1970Q4</t>
        </is>
      </c>
      <c r="ACB3" s="1" t="inlineStr">
        <is>
          <t>Quarter | Percentage Change from Previous Period | 1971Q1</t>
        </is>
      </c>
      <c r="ACC3" s="1" t="inlineStr">
        <is>
          <t>Quarter | Percentage Change from Previous Period | 1971Q2</t>
        </is>
      </c>
      <c r="ACD3" s="1" t="inlineStr">
        <is>
          <t>Quarter | Percentage Change from Previous Period | 1971Q3</t>
        </is>
      </c>
      <c r="ACE3" s="1" t="inlineStr">
        <is>
          <t>Quarter | Percentage Change from Previous Period | 1971Q4</t>
        </is>
      </c>
      <c r="ACF3" s="1" t="inlineStr">
        <is>
          <t>Quarter | Percentage Change from Previous Period | 1972Q1</t>
        </is>
      </c>
      <c r="ACG3" s="1" t="inlineStr">
        <is>
          <t>Quarter | Percentage Change from Previous Period | 1972Q2</t>
        </is>
      </c>
      <c r="ACH3" s="1" t="inlineStr">
        <is>
          <t>Quarter | Percentage Change from Previous Period | 1972Q3</t>
        </is>
      </c>
      <c r="ACI3" s="1" t="inlineStr">
        <is>
          <t>Quarter | Percentage Change from Previous Period | 1972Q4</t>
        </is>
      </c>
      <c r="ACJ3" s="1" t="inlineStr">
        <is>
          <t>Quarter | Percentage Change from Previous Period | 1973Q1</t>
        </is>
      </c>
      <c r="ACK3" s="1" t="inlineStr">
        <is>
          <t>Quarter | Percentage Change from Previous Period | 1973Q2</t>
        </is>
      </c>
      <c r="ACL3" s="1" t="inlineStr">
        <is>
          <t>Quarter | Percentage Change from Previous Period | 1973Q3</t>
        </is>
      </c>
      <c r="ACM3" s="1" t="inlineStr">
        <is>
          <t>Quarter | Percentage Change from Previous Period | 1973Q4</t>
        </is>
      </c>
      <c r="ACN3" s="1" t="inlineStr">
        <is>
          <t>Quarter | Percentage Change from Previous Period | 1974Q1</t>
        </is>
      </c>
      <c r="ACO3" s="1" t="inlineStr">
        <is>
          <t>Quarter | Percentage Change from Previous Period | 1974Q2</t>
        </is>
      </c>
      <c r="ACP3" s="1" t="inlineStr">
        <is>
          <t>Quarter | Percentage Change from Previous Period | 1974Q3</t>
        </is>
      </c>
      <c r="ACQ3" s="1" t="inlineStr">
        <is>
          <t>Quarter | Percentage Change from Previous Period | 1974Q4</t>
        </is>
      </c>
      <c r="ACR3" s="1" t="inlineStr">
        <is>
          <t>Quarter | Percentage Change from Previous Period | 1975Q1</t>
        </is>
      </c>
      <c r="ACS3" s="1" t="inlineStr">
        <is>
          <t>Quarter | Percentage Change from Previous Period | 1975Q2</t>
        </is>
      </c>
      <c r="ACT3" s="1" t="inlineStr">
        <is>
          <t>Quarter | Percentage Change from Previous Period | 1975Q3</t>
        </is>
      </c>
      <c r="ACU3" s="1" t="inlineStr">
        <is>
          <t>Quarter | Percentage Change from Previous Period | 1975Q4</t>
        </is>
      </c>
      <c r="ACV3" s="1" t="inlineStr">
        <is>
          <t>Quarter | Percentage Change from Previous Period | 1976Q1</t>
        </is>
      </c>
      <c r="ACW3" s="1" t="inlineStr">
        <is>
          <t>Quarter | Percentage Change from Previous Period | 1976Q2</t>
        </is>
      </c>
      <c r="ACX3" s="1" t="inlineStr">
        <is>
          <t>Quarter | Percentage Change from Previous Period | 1976Q3</t>
        </is>
      </c>
      <c r="ACY3" s="1" t="inlineStr">
        <is>
          <t>Quarter | Percentage Change from Previous Period | 1976Q4</t>
        </is>
      </c>
      <c r="ACZ3" s="1" t="inlineStr">
        <is>
          <t>Quarter | Percentage Change from Previous Period | 1977Q1</t>
        </is>
      </c>
      <c r="ADA3" s="1" t="inlineStr">
        <is>
          <t>Quarter | Percentage Change from Previous Period | 1977Q2</t>
        </is>
      </c>
      <c r="ADB3" s="1" t="inlineStr">
        <is>
          <t>Quarter | Percentage Change from Previous Period | 1977Q3</t>
        </is>
      </c>
      <c r="ADC3" s="1" t="inlineStr">
        <is>
          <t>Quarter | Percentage Change from Previous Period | 1977Q4</t>
        </is>
      </c>
      <c r="ADD3" s="1" t="inlineStr">
        <is>
          <t>Quarter | Percentage Change from Previous Period | 1978Q1</t>
        </is>
      </c>
      <c r="ADE3" s="1" t="inlineStr">
        <is>
          <t>Quarter | Percentage Change from Previous Period | 1978Q2</t>
        </is>
      </c>
      <c r="ADF3" s="1" t="inlineStr">
        <is>
          <t>Quarter | Percentage Change from Previous Period | 1978Q3</t>
        </is>
      </c>
      <c r="ADG3" s="1" t="inlineStr">
        <is>
          <t>Quarter | Percentage Change from Previous Period | 1978Q4</t>
        </is>
      </c>
      <c r="ADH3" s="1" t="inlineStr">
        <is>
          <t>Quarter | Percentage Change from Previous Period | 1979Q1</t>
        </is>
      </c>
      <c r="ADI3" s="1" t="inlineStr">
        <is>
          <t>Quarter | Percentage Change from Previous Period | 1979Q2</t>
        </is>
      </c>
      <c r="ADJ3" s="1" t="inlineStr">
        <is>
          <t>Quarter | Percentage Change from Previous Period | 1979Q3</t>
        </is>
      </c>
      <c r="ADK3" s="1" t="inlineStr">
        <is>
          <t>Quarter | Percentage Change from Previous Period | 1979Q4</t>
        </is>
      </c>
      <c r="ADL3" s="1" t="inlineStr">
        <is>
          <t>Quarter | Percentage Change from Previous Period | 1980Q1</t>
        </is>
      </c>
      <c r="ADM3" s="1" t="inlineStr">
        <is>
          <t>Quarter | Percentage Change from Previous Period | 1980Q2</t>
        </is>
      </c>
      <c r="ADN3" s="1" t="inlineStr">
        <is>
          <t>Quarter | Percentage Change from Previous Period | 1980Q3</t>
        </is>
      </c>
      <c r="ADO3" s="1" t="inlineStr">
        <is>
          <t>Quarter | Percentage Change from Previous Period | 1980Q4</t>
        </is>
      </c>
      <c r="ADP3" s="1" t="inlineStr">
        <is>
          <t>Quarter | Percentage Change from Previous Period | 1981Q1</t>
        </is>
      </c>
      <c r="ADQ3" s="1" t="inlineStr">
        <is>
          <t>Quarter | Percentage Change from Previous Period | 1981Q2</t>
        </is>
      </c>
      <c r="ADR3" s="1" t="inlineStr">
        <is>
          <t>Quarter | Percentage Change from Previous Period | 1981Q3</t>
        </is>
      </c>
      <c r="ADS3" s="1" t="inlineStr">
        <is>
          <t>Quarter | Percentage Change from Previous Period | 1981Q4</t>
        </is>
      </c>
      <c r="ADT3" s="1" t="inlineStr">
        <is>
          <t>Quarter | Percentage Change from Previous Period | 1982Q1</t>
        </is>
      </c>
      <c r="ADU3" s="1" t="inlineStr">
        <is>
          <t>Quarter | Percentage Change from Previous Period | 1982Q2</t>
        </is>
      </c>
      <c r="ADV3" s="1" t="inlineStr">
        <is>
          <t>Quarter | Percentage Change from Previous Period | 1982Q3</t>
        </is>
      </c>
      <c r="ADW3" s="1" t="inlineStr">
        <is>
          <t>Quarter | Percentage Change from Previous Period | 1982Q4</t>
        </is>
      </c>
      <c r="ADX3" s="1" t="inlineStr">
        <is>
          <t>Quarter | Percentage Change from Previous Period | 1983Q1</t>
        </is>
      </c>
      <c r="ADY3" s="1" t="inlineStr">
        <is>
          <t>Quarter | Percentage Change from Previous Period | 1983Q2</t>
        </is>
      </c>
      <c r="ADZ3" s="1" t="inlineStr">
        <is>
          <t>Quarter | Percentage Change from Previous Period | 1983Q3</t>
        </is>
      </c>
      <c r="AEA3" s="1" t="inlineStr">
        <is>
          <t>Quarter | Percentage Change from Previous Period | 1983Q4</t>
        </is>
      </c>
      <c r="AEB3" s="1" t="inlineStr">
        <is>
          <t>Quarter | Percentage Change from Previous Period | 1984Q1</t>
        </is>
      </c>
      <c r="AEC3" s="1" t="inlineStr">
        <is>
          <t>Quarter | Percentage Change from Previous Period | 1984Q2</t>
        </is>
      </c>
      <c r="AED3" s="1" t="inlineStr">
        <is>
          <t>Quarter | Percentage Change from Previous Period | 1984Q3</t>
        </is>
      </c>
      <c r="AEE3" s="1" t="inlineStr">
        <is>
          <t>Quarter | Percentage Change from Previous Period | 1984Q4</t>
        </is>
      </c>
      <c r="AEF3" s="1" t="inlineStr">
        <is>
          <t>Quarter | Percentage Change from Previous Period | 1985Q1</t>
        </is>
      </c>
      <c r="AEG3" s="1" t="inlineStr">
        <is>
          <t>Quarter | Percentage Change from Previous Period | 1985Q2</t>
        </is>
      </c>
      <c r="AEH3" s="1" t="inlineStr">
        <is>
          <t>Quarter | Percentage Change from Previous Period | 1985Q3</t>
        </is>
      </c>
      <c r="AEI3" s="1" t="inlineStr">
        <is>
          <t>Quarter | Percentage Change from Previous Period | 1985Q4</t>
        </is>
      </c>
      <c r="AEJ3" s="1" t="inlineStr">
        <is>
          <t>Quarter | Percentage Change from Previous Period | 1986Q1</t>
        </is>
      </c>
      <c r="AEK3" s="1" t="inlineStr">
        <is>
          <t>Quarter | Percentage Change from Previous Period | 1986Q2</t>
        </is>
      </c>
      <c r="AEL3" s="1" t="inlineStr">
        <is>
          <t>Quarter | Percentage Change from Previous Period | 1986Q3</t>
        </is>
      </c>
      <c r="AEM3" s="1" t="inlineStr">
        <is>
          <t>Quarter | Percentage Change from Previous Period | 1986Q4</t>
        </is>
      </c>
      <c r="AEN3" s="1" t="inlineStr">
        <is>
          <t>Quarter | Percentage Change from Previous Period | 1987Q1</t>
        </is>
      </c>
      <c r="AEO3" s="1" t="inlineStr">
        <is>
          <t>Quarter | Percentage Change from Previous Period | 1987Q2</t>
        </is>
      </c>
      <c r="AEP3" s="1" t="inlineStr">
        <is>
          <t>Quarter | Percentage Change from Previous Period | 1987Q3</t>
        </is>
      </c>
      <c r="AEQ3" s="1" t="inlineStr">
        <is>
          <t>Quarter | Percentage Change from Previous Period | 1987Q4</t>
        </is>
      </c>
      <c r="AER3" s="1" t="inlineStr">
        <is>
          <t>Quarter | Percentage Change from Previous Period | 1988Q1</t>
        </is>
      </c>
      <c r="AES3" s="1" t="inlineStr">
        <is>
          <t>Quarter | Percentage Change from Previous Period | 1988Q2</t>
        </is>
      </c>
      <c r="AET3" s="1" t="inlineStr">
        <is>
          <t>Quarter | Percentage Change from Previous Period | 1988Q3</t>
        </is>
      </c>
      <c r="AEU3" s="1" t="inlineStr">
        <is>
          <t>Quarter | Percentage Change from Previous Period | 1988Q4</t>
        </is>
      </c>
      <c r="AEV3" s="1" t="inlineStr">
        <is>
          <t>Quarter | Percentage Change from Previous Period | 1989Q1</t>
        </is>
      </c>
      <c r="AEW3" s="1" t="inlineStr">
        <is>
          <t>Quarter | Percentage Change from Previous Period | 1989Q2</t>
        </is>
      </c>
      <c r="AEX3" s="1" t="inlineStr">
        <is>
          <t>Quarter | Percentage Change from Previous Period | 1989Q3</t>
        </is>
      </c>
      <c r="AEY3" s="1" t="inlineStr">
        <is>
          <t>Quarter | Percentage Change from Previous Period | 1989Q4</t>
        </is>
      </c>
      <c r="AEZ3" s="1" t="inlineStr">
        <is>
          <t>Quarter | Percentage Change from Previous Period | 1990Q1</t>
        </is>
      </c>
      <c r="AFA3" s="1" t="inlineStr">
        <is>
          <t>Quarter | Percentage Change from Previous Period | 1990Q2</t>
        </is>
      </c>
      <c r="AFB3" s="1" t="inlineStr">
        <is>
          <t>Quarter | Percentage Change from Previous Period | 1990Q3</t>
        </is>
      </c>
      <c r="AFC3" s="1" t="inlineStr">
        <is>
          <t>Quarter | Percentage Change from Previous Period | 1990Q4</t>
        </is>
      </c>
      <c r="AFD3" s="1" t="inlineStr">
        <is>
          <t>Quarter | Percentage Change from Previous Period | 1991Q1</t>
        </is>
      </c>
      <c r="AFE3" s="1" t="inlineStr">
        <is>
          <t>Quarter | Percentage Change from Previous Period | 1991Q2</t>
        </is>
      </c>
      <c r="AFF3" s="1" t="inlineStr">
        <is>
          <t>Quarter | Percentage Change from Previous Period | 1991Q3</t>
        </is>
      </c>
      <c r="AFG3" s="1" t="inlineStr">
        <is>
          <t>Quarter | Percentage Change from Previous Period | 1991Q4</t>
        </is>
      </c>
      <c r="AFH3" s="1" t="inlineStr">
        <is>
          <t>Quarter | Percentage Change from Previous Period | 1992Q1</t>
        </is>
      </c>
      <c r="AFI3" s="1" t="inlineStr">
        <is>
          <t>Quarter | Percentage Change from Previous Period | 1992Q2</t>
        </is>
      </c>
      <c r="AFJ3" s="1" t="inlineStr">
        <is>
          <t>Quarter | Percentage Change from Previous Period | 1992Q3</t>
        </is>
      </c>
      <c r="AFK3" s="1" t="inlineStr">
        <is>
          <t>Quarter | Percentage Change from Previous Period | 1992Q4</t>
        </is>
      </c>
      <c r="AFL3" s="1" t="inlineStr">
        <is>
          <t>Quarter | Percentage Change from Previous Period | 1993Q1</t>
        </is>
      </c>
      <c r="AFM3" s="1" t="inlineStr">
        <is>
          <t>Quarter | Percentage Change from Previous Period | 1993Q2</t>
        </is>
      </c>
      <c r="AFN3" s="1" t="inlineStr">
        <is>
          <t>Quarter | Percentage Change from Previous Period | 1993Q3</t>
        </is>
      </c>
      <c r="AFO3" s="1" t="inlineStr">
        <is>
          <t>Quarter | Percentage Change from Previous Period | 1993Q4</t>
        </is>
      </c>
      <c r="AFP3" s="1" t="inlineStr">
        <is>
          <t>Quarter | Percentage Change from Previous Period | 1994Q1</t>
        </is>
      </c>
      <c r="AFQ3" s="1" t="inlineStr">
        <is>
          <t>Quarter | Percentage Change from Previous Period | 1994Q2</t>
        </is>
      </c>
      <c r="AFR3" s="1" t="inlineStr">
        <is>
          <t>Quarter | Percentage Change from Previous Period | 1994Q3</t>
        </is>
      </c>
      <c r="AFS3" s="1" t="inlineStr">
        <is>
          <t>Quarter | Percentage Change from Previous Period | 1994Q4</t>
        </is>
      </c>
      <c r="AFT3" s="1" t="inlineStr">
        <is>
          <t>Quarter | Percentage Change from Previous Period | 1995Q1</t>
        </is>
      </c>
      <c r="AFU3" s="1" t="inlineStr">
        <is>
          <t>Quarter | Percentage Change from Previous Period | 1995Q2</t>
        </is>
      </c>
      <c r="AFV3" s="1" t="inlineStr">
        <is>
          <t>Quarter | Percentage Change from Previous Period | 1995Q3</t>
        </is>
      </c>
      <c r="AFW3" s="1" t="inlineStr">
        <is>
          <t>Quarter | Percentage Change from Previous Period | 1995Q4</t>
        </is>
      </c>
      <c r="AFX3" s="1" t="inlineStr">
        <is>
          <t>Quarter | Percentage Change from Previous Period | 1996Q1</t>
        </is>
      </c>
      <c r="AFY3" s="1" t="inlineStr">
        <is>
          <t>Quarter | Percentage Change from Previous Period | 1996Q2</t>
        </is>
      </c>
      <c r="AFZ3" s="1" t="inlineStr">
        <is>
          <t>Quarter | Percentage Change from Previous Period | 1996Q3</t>
        </is>
      </c>
      <c r="AGA3" s="1" t="inlineStr">
        <is>
          <t>Quarter | Percentage Change from Previous Period | 1996Q4</t>
        </is>
      </c>
      <c r="AGB3" s="1" t="inlineStr">
        <is>
          <t>Quarter | Percentage Change from Previous Period | 1997Q1</t>
        </is>
      </c>
      <c r="AGC3" s="1" t="inlineStr">
        <is>
          <t>Quarter | Percentage Change from Previous Period | 1997Q2</t>
        </is>
      </c>
      <c r="AGD3" s="1" t="inlineStr">
        <is>
          <t>Quarter | Percentage Change from Previous Period | 1997Q3</t>
        </is>
      </c>
      <c r="AGE3" s="1" t="inlineStr">
        <is>
          <t>Quarter | Percentage Change from Previous Period | 1997Q4</t>
        </is>
      </c>
      <c r="AGF3" s="1" t="inlineStr">
        <is>
          <t>Quarter | Percentage Change from Previous Period | 1998Q1</t>
        </is>
      </c>
      <c r="AGG3" s="1" t="inlineStr">
        <is>
          <t>Quarter | Percentage Change from Previous Period | 1998Q2</t>
        </is>
      </c>
      <c r="AGH3" s="1" t="inlineStr">
        <is>
          <t>Quarter | Percentage Change from Previous Period | 1998Q3</t>
        </is>
      </c>
      <c r="AGI3" s="1" t="inlineStr">
        <is>
          <t>Quarter | Percentage Change from Previous Period | 1998Q4</t>
        </is>
      </c>
      <c r="AGJ3" s="1" t="inlineStr">
        <is>
          <t>Quarter | Percentage Change from Previous Period | 1999Q1</t>
        </is>
      </c>
      <c r="AGK3" s="1" t="inlineStr">
        <is>
          <t>Quarter | Percentage Change from Previous Period | 1999Q2</t>
        </is>
      </c>
      <c r="AGL3" s="1" t="inlineStr">
        <is>
          <t>Quarter | Percentage Change from Previous Period | 1999Q3</t>
        </is>
      </c>
      <c r="AGM3" s="1" t="inlineStr">
        <is>
          <t>Quarter | Percentage Change from Previous Period | 1999Q4</t>
        </is>
      </c>
      <c r="AGN3" s="1" t="inlineStr">
        <is>
          <t>Quarter | Percentage Change from Previous Period | 2000Q1</t>
        </is>
      </c>
      <c r="AGO3" s="1" t="inlineStr">
        <is>
          <t>Quarter | Percentage Change from Previous Period | 2000Q2</t>
        </is>
      </c>
      <c r="AGP3" s="1" t="inlineStr">
        <is>
          <t>Quarter | Percentage Change from Previous Period | 2000Q3</t>
        </is>
      </c>
      <c r="AGQ3" s="1" t="inlineStr">
        <is>
          <t>Quarter | Percentage Change from Previous Period | 2000Q4</t>
        </is>
      </c>
      <c r="AGR3" s="1" t="inlineStr">
        <is>
          <t>Quarter | Percentage Change from Previous Period | 2001Q1</t>
        </is>
      </c>
      <c r="AGS3" s="1" t="inlineStr">
        <is>
          <t>Quarter | Percentage Change from Previous Period | 2001Q2</t>
        </is>
      </c>
      <c r="AGT3" s="1" t="inlineStr">
        <is>
          <t>Quarter | Percentage Change from Previous Period | 2001Q3</t>
        </is>
      </c>
      <c r="AGU3" s="1" t="inlineStr">
        <is>
          <t>Quarter | Percentage Change from Previous Period | 2001Q4</t>
        </is>
      </c>
      <c r="AGV3" s="1" t="inlineStr">
        <is>
          <t>Quarter | Percentage Change from Previous Period | 2002Q1</t>
        </is>
      </c>
      <c r="AGW3" s="1" t="inlineStr">
        <is>
          <t>Quarter | Percentage Change from Previous Period | 2002Q2</t>
        </is>
      </c>
      <c r="AGX3" s="1" t="inlineStr">
        <is>
          <t>Quarter | Percentage Change from Previous Period | 2002Q3</t>
        </is>
      </c>
      <c r="AGY3" s="1" t="inlineStr">
        <is>
          <t>Quarter | Percentage Change from Previous Period | 2002Q4</t>
        </is>
      </c>
      <c r="AGZ3" s="1" t="inlineStr">
        <is>
          <t>Quarter | Percentage Change from Previous Period | 2003Q1</t>
        </is>
      </c>
      <c r="AHA3" s="1" t="inlineStr">
        <is>
          <t>Quarter | Percentage Change from Previous Period | 2003Q2</t>
        </is>
      </c>
      <c r="AHB3" s="1" t="inlineStr">
        <is>
          <t>Quarter | Percentage Change from Previous Period | 2003Q3</t>
        </is>
      </c>
      <c r="AHC3" s="1" t="inlineStr">
        <is>
          <t>Quarter | Percentage Change from Previous Period | 2003Q4</t>
        </is>
      </c>
      <c r="AHD3" s="1" t="inlineStr">
        <is>
          <t>Quarter | Percentage Change from Previous Period | 2004Q1</t>
        </is>
      </c>
      <c r="AHE3" s="1" t="inlineStr">
        <is>
          <t>Quarter | Percentage Change from Previous Period | 2004Q2</t>
        </is>
      </c>
      <c r="AHF3" s="1" t="inlineStr">
        <is>
          <t>Quarter | Percentage Change from Previous Period | 2004Q3</t>
        </is>
      </c>
      <c r="AHG3" s="1" t="inlineStr">
        <is>
          <t>Quarter | Percentage Change from Previous Period | 2004Q4</t>
        </is>
      </c>
      <c r="AHH3" s="1" t="inlineStr">
        <is>
          <t>Quarter | Percentage Change from Previous Period | 2005Q1</t>
        </is>
      </c>
      <c r="AHI3" s="1" t="inlineStr">
        <is>
          <t>Quarter | Percentage Change from Previous Period | 2005Q2</t>
        </is>
      </c>
      <c r="AHJ3" s="1" t="inlineStr">
        <is>
          <t>Quarter | Percentage Change from Previous Period | 2005Q3</t>
        </is>
      </c>
      <c r="AHK3" s="1" t="inlineStr">
        <is>
          <t>Quarter | Percentage Change from Previous Period | 2005Q4</t>
        </is>
      </c>
      <c r="AHL3" s="1" t="inlineStr">
        <is>
          <t>Quarter | Percentage Change from Previous Period | 2006Q1</t>
        </is>
      </c>
      <c r="AHM3" s="1" t="inlineStr">
        <is>
          <t>Quarter | Percentage Change from Previous Period | 2006Q2</t>
        </is>
      </c>
      <c r="AHN3" s="1" t="inlineStr">
        <is>
          <t>Quarter | Percentage Change from Previous Period | 2006Q3</t>
        </is>
      </c>
      <c r="AHO3" s="1" t="inlineStr">
        <is>
          <t>Quarter | Percentage Change from Previous Period | 2006Q4</t>
        </is>
      </c>
      <c r="AHP3" s="1" t="inlineStr">
        <is>
          <t>Quarter | Percentage Change from Previous Period | 2007Q1</t>
        </is>
      </c>
      <c r="AHQ3" s="1" t="inlineStr">
        <is>
          <t>Quarter | Percentage Change from Previous Period | 2007Q2</t>
        </is>
      </c>
      <c r="AHR3" s="1" t="inlineStr">
        <is>
          <t>Quarter | Percentage Change from Previous Period | 2007Q3</t>
        </is>
      </c>
      <c r="AHS3" s="1" t="inlineStr">
        <is>
          <t>Quarter | Percentage Change from Previous Period | 2007Q4</t>
        </is>
      </c>
      <c r="AHT3" s="1" t="inlineStr">
        <is>
          <t>Quarter | Percentage Change from Previous Period | 2008Q1</t>
        </is>
      </c>
      <c r="AHU3" s="1" t="inlineStr">
        <is>
          <t>Quarter | Percentage Change from Previous Period | 2008Q2</t>
        </is>
      </c>
      <c r="AHV3" s="1" t="inlineStr">
        <is>
          <t>Quarter | Percentage Change from Previous Period | 2008Q3</t>
        </is>
      </c>
      <c r="AHW3" s="1" t="inlineStr">
        <is>
          <t>Quarter | Percentage Change from Previous Period | 2008Q4</t>
        </is>
      </c>
      <c r="AHX3" s="1" t="inlineStr">
        <is>
          <t>Quarter | Percentage Change from Previous Period | 2009Q1</t>
        </is>
      </c>
      <c r="AHY3" s="1" t="inlineStr">
        <is>
          <t>Quarter | Percentage Change from Previous Period | 2009Q2</t>
        </is>
      </c>
      <c r="AHZ3" s="1" t="inlineStr">
        <is>
          <t>Quarter | Percentage Change from Previous Period | 2009Q3</t>
        </is>
      </c>
      <c r="AIA3" s="1" t="inlineStr">
        <is>
          <t>Quarter | Percentage Change from Previous Period | 2009Q4</t>
        </is>
      </c>
      <c r="AIB3" s="1" t="inlineStr">
        <is>
          <t>Quarter | Percentage Change from Previous Period | 2010Q1</t>
        </is>
      </c>
      <c r="AIC3" s="1" t="inlineStr">
        <is>
          <t>Quarter | Percentage Change from Previous Period | 2010Q2</t>
        </is>
      </c>
      <c r="AID3" s="1" t="inlineStr">
        <is>
          <t>Quarter | Percentage Change from Previous Period | 2010Q3</t>
        </is>
      </c>
      <c r="AIE3" s="1" t="inlineStr">
        <is>
          <t>Quarter | Percentage Change from Previous Period | 2010Q4</t>
        </is>
      </c>
      <c r="AIF3" s="1" t="inlineStr">
        <is>
          <t>Quarter | Percentage Change from Previous Period | 2011Q1</t>
        </is>
      </c>
      <c r="AIG3" s="1" t="inlineStr">
        <is>
          <t>Quarter | Percentage Change from Previous Period | 2011Q2</t>
        </is>
      </c>
      <c r="AIH3" s="1" t="inlineStr">
        <is>
          <t>Quarter | Percentage Change from Previous Period | 2011Q3</t>
        </is>
      </c>
      <c r="AII3" s="1" t="inlineStr">
        <is>
          <t>Quarter | Percentage Change from Previous Period | 2011Q4</t>
        </is>
      </c>
      <c r="AIJ3" s="1" t="inlineStr">
        <is>
          <t>Quarter | Percentage Change from Previous Period | 2012Q1</t>
        </is>
      </c>
      <c r="AIK3" s="1" t="inlineStr">
        <is>
          <t>Quarter | Percentage Change from Previous Period | 2012Q2</t>
        </is>
      </c>
      <c r="AIL3" s="1" t="inlineStr">
        <is>
          <t>Quarter | Percentage Change from Previous Period | 2012Q3</t>
        </is>
      </c>
      <c r="AIM3" s="1" t="inlineStr">
        <is>
          <t>Quarter | Percentage Change from Previous Period | 2012Q4</t>
        </is>
      </c>
      <c r="AIN3" s="1" t="inlineStr">
        <is>
          <t>Quarter | Percentage Change from Previous Period | 2013Q1</t>
        </is>
      </c>
      <c r="AIO3" s="1" t="inlineStr">
        <is>
          <t>Quarter | Percentage Change from Previous Period | 2013Q2</t>
        </is>
      </c>
      <c r="AIP3" s="1" t="inlineStr">
        <is>
          <t>Quarter | Percentage Change from Previous Period | 2013Q3</t>
        </is>
      </c>
      <c r="AIQ3" s="1" t="inlineStr">
        <is>
          <t>Quarter | Percentage Change from Previous Period | 2013Q4</t>
        </is>
      </c>
      <c r="AIR3" s="1" t="inlineStr">
        <is>
          <t>Quarter | Percentage Change from Previous Period | 2014Q1</t>
        </is>
      </c>
      <c r="AIS3" s="1" t="inlineStr">
        <is>
          <t>Quarter | Percentage Change from Previous Period | 2014Q2</t>
        </is>
      </c>
      <c r="AIT3" s="1" t="inlineStr">
        <is>
          <t>Quarter | Percentage Change from Previous Period | 2014Q3</t>
        </is>
      </c>
      <c r="AIU3" s="1" t="inlineStr">
        <is>
          <t>Quarter | Percentage Change from Previous Period | 2014Q4</t>
        </is>
      </c>
      <c r="AIV3" s="1" t="inlineStr">
        <is>
          <t>Quarter | Percentage Change from Previous Period | 2015Q1</t>
        </is>
      </c>
      <c r="AIW3" s="1" t="inlineStr">
        <is>
          <t>Quarter | Percentage Change from Previous Period | 2015Q2</t>
        </is>
      </c>
      <c r="AIX3" s="1" t="inlineStr">
        <is>
          <t>Quarter | Percentage Change from Previous Period | 2015Q3</t>
        </is>
      </c>
      <c r="AIY3" s="1" t="inlineStr">
        <is>
          <t>Quarter | Percentage Change from Previous Period | 2015Q4</t>
        </is>
      </c>
      <c r="AIZ3" s="1" t="inlineStr">
        <is>
          <t>Quarter | Percentage Change from Previous Period | 2016Q1</t>
        </is>
      </c>
      <c r="AJA3" s="1" t="inlineStr">
        <is>
          <t>Quarter | Percentage Change from Previous Period | 2016Q2</t>
        </is>
      </c>
      <c r="AJB3" s="1" t="inlineStr">
        <is>
          <t>Quarter | Percentage Change from Previous Period | 2016Q3</t>
        </is>
      </c>
      <c r="AJC3" s="1" t="inlineStr">
        <is>
          <t>Quarter | Percentage Change from Previous Period | 2016Q4</t>
        </is>
      </c>
      <c r="AJD3" s="1" t="inlineStr">
        <is>
          <t>Quarter | Percentage Change from Previous Period | 2017Q1</t>
        </is>
      </c>
      <c r="AJE3" s="1" t="inlineStr">
        <is>
          <t>Quarter | Percentage Change from Previous Period | 2017Q2</t>
        </is>
      </c>
      <c r="AJF3" s="1" t="inlineStr">
        <is>
          <t>Quarter | Percentage Change from Previous Period | 2017Q3</t>
        </is>
      </c>
      <c r="AJG3" s="1" t="inlineStr">
        <is>
          <t>Quarter | Percentage Change from Previous Period | 2017Q4</t>
        </is>
      </c>
      <c r="AJH3" s="1" t="inlineStr">
        <is>
          <t>Quarter | Percentage Change from Previous Period | 2018Q1</t>
        </is>
      </c>
      <c r="AJI3" s="1" t="inlineStr">
        <is>
          <t>Quarter | Percentage Change from Previous Period | 2018Q2</t>
        </is>
      </c>
      <c r="AJJ3" s="1" t="inlineStr">
        <is>
          <t>Quarter | Percentage Change from Previous Period | 2018Q3</t>
        </is>
      </c>
      <c r="AJK3" s="1" t="inlineStr">
        <is>
          <t>Quarter | Percentage Change from Previous Period | 2018Q4</t>
        </is>
      </c>
      <c r="AJL3" s="1" t="inlineStr">
        <is>
          <t>Quarter | Percentage Change from Previous Period | 2019Q1</t>
        </is>
      </c>
      <c r="AJM3" s="1" t="inlineStr">
        <is>
          <t>Quarter | Percentage Change from Previous Period | 2019Q2</t>
        </is>
      </c>
      <c r="AJN3" s="1" t="inlineStr">
        <is>
          <t>Quarter | Percentage Change from Previous Period | 2019Q3</t>
        </is>
      </c>
      <c r="AJO3" s="1" t="inlineStr">
        <is>
          <t>Quarter | Percentage Change from Previous Period | 2019Q4</t>
        </is>
      </c>
      <c r="AJP3" s="1" t="inlineStr">
        <is>
          <t>Quarter | Percentage Change from Previous Period | 2020Q1</t>
        </is>
      </c>
      <c r="AJQ3" s="1" t="inlineStr">
        <is>
          <t>Quarter | Percentage Change from Previous Period | 2020Q2</t>
        </is>
      </c>
      <c r="AJR3" s="1" t="inlineStr">
        <is>
          <t>Quarter | Percentage Change from Previous Period | 2020Q3</t>
        </is>
      </c>
      <c r="AJS3" s="1" t="inlineStr">
        <is>
          <t>Quarter | Percentage Change from Previous Period | 2020Q4</t>
        </is>
      </c>
      <c r="AJT3" s="1" t="inlineStr">
        <is>
          <t>Quarter | Percentage Change from Previous Period | 2021Q1</t>
        </is>
      </c>
      <c r="AJU3" s="1" t="inlineStr">
        <is>
          <t>Quarter | Percentage Change from Previous Period | 2021Q2</t>
        </is>
      </c>
      <c r="AJV3" s="1" t="inlineStr">
        <is>
          <t>Quarter | Percentage Change from Previous Period | 2021Q3</t>
        </is>
      </c>
      <c r="AJW3" s="1" t="inlineStr">
        <is>
          <t>Quarter | Percentage Change from Previous Period | 2021Q4</t>
        </is>
      </c>
      <c r="AJX3" s="1" t="inlineStr">
        <is>
          <t>Quarter | Percentage Change from Previous Period | 2022Q1</t>
        </is>
      </c>
      <c r="AJY3" s="1" t="inlineStr">
        <is>
          <t>Quarter | Percentage Change from Previous Period | 2022Q2</t>
        </is>
      </c>
      <c r="AJZ3" s="1" t="inlineStr">
        <is>
          <t>Quarter | Percentage Change from Previous Period | 2022Q3</t>
        </is>
      </c>
      <c r="AKA3" s="1" t="inlineStr">
        <is>
          <t>Quarter | Percentage Change from Previous Period | 2022Q4</t>
        </is>
      </c>
      <c r="AKB3" s="1" t="inlineStr">
        <is>
          <t>Quarter | Percentage Change from Previous Period | 2023Q1</t>
        </is>
      </c>
      <c r="AKC3" s="1" t="inlineStr">
        <is>
          <t>Quarter | Percentage Change from Previous Period | 2023Q2</t>
        </is>
      </c>
      <c r="AKD3" s="1" t="inlineStr">
        <is>
          <t>Quarter | Percentage Change from Previous Period | 2023Q3</t>
        </is>
      </c>
      <c r="AKE3" s="1" t="inlineStr">
        <is>
          <t>Quarter | Percentage Change from Previous Period | 2023Q4</t>
        </is>
      </c>
      <c r="AKF3" s="1" t="inlineStr">
        <is>
          <t>Quarter | Percentage Change from Previous Period | 2024Q1</t>
        </is>
      </c>
      <c r="AKG3" s="1" t="inlineStr">
        <is>
          <t>Quarter | Percentage Change from Previous Period | 2024Q2</t>
        </is>
      </c>
      <c r="AKH3" s="1" t="inlineStr">
        <is>
          <t>Quarter | Percentage Change from Previous Period | 2024Q3</t>
        </is>
      </c>
      <c r="AKI3" s="1" t="inlineStr">
        <is>
          <t>Quarter | Percentage Change from Previous Period | 2024Q4</t>
        </is>
      </c>
      <c r="AKJ3" s="1" t="inlineStr">
        <is>
          <t>Quarter | Percentage Change from Previous Period | 2025Q1</t>
        </is>
      </c>
      <c r="AKK3" s="1" t="inlineStr">
        <is>
          <t>Quarter | Percentage Change from Previous Period | 2025Q2</t>
        </is>
      </c>
      <c r="AKL3" s="1" t="inlineStr">
        <is>
          <t>Quarter | Percentage Change from Previous Period | 2025Q3</t>
        </is>
      </c>
      <c r="AKM3" s="1" t="inlineStr">
        <is>
          <t>Quarter | Percentage Change from Previous Period | 2025Q4</t>
        </is>
      </c>
      <c r="AKN3" s="1" t="inlineStr">
        <is>
          <t>Quarter | Percentage Change from Previous Period | 2026Q1</t>
        </is>
      </c>
      <c r="AKO3" s="1" t="inlineStr">
        <is>
          <t>Quarter | Percentage Change from Previous Period | 2026Q2</t>
        </is>
      </c>
      <c r="AKP3" s="1" t="inlineStr">
        <is>
          <t>Quarter | Contribution to Total CPI | 2025Q4</t>
        </is>
      </c>
      <c r="AKQ3" s="1" t="inlineStr">
        <is>
          <t>Quarter | Contribution to Total CPI | 2026Q1</t>
        </is>
      </c>
      <c r="AKR3" s="1" t="inlineStr">
        <is>
          <t>Quarter | Contribution to Total CPI | 2026Q2</t>
        </is>
      </c>
    </row>
    <row r="4">
      <c r="A4" t="inlineStr">
        <is>
          <t>Bread</t>
        </is>
      </c>
      <c r="B4" t="inlineStr">
        <is>
          <t>Bread and cereal products</t>
        </is>
      </c>
      <c r="C4">
        <v>3</v>
      </c>
      <c r="D4">
        <v>0.62</v>
      </c>
      <c r="E4" s="3">
        <f>D4/1.56*0.015591039632395175</f>
        <v>0.006196438828259621</v>
      </c>
      <c r="F4" s="3">
        <f>E4-D4/100</f>
        <v>-3.561171740378878e-06</v>
      </c>
      <c r="G4" s="3">
        <f>D4/1.56</f>
        <v>0.3974358974358974</v>
      </c>
      <c r="H4" s="2">
        <v>72.18000000000001</v>
      </c>
      <c r="I4" s="2">
        <v>73.09</v>
      </c>
      <c r="J4" s="2">
        <v>73.36</v>
      </c>
      <c r="K4" s="2">
        <v>74.11</v>
      </c>
      <c r="L4" s="2">
        <v>73.69</v>
      </c>
      <c r="M4" s="2">
        <v>73.43000000000001</v>
      </c>
      <c r="N4" s="2">
        <v>73.45</v>
      </c>
      <c r="O4" s="2">
        <v>72.84999999999999</v>
      </c>
      <c r="P4" s="2">
        <v>73.56</v>
      </c>
      <c r="Q4" s="2">
        <v>73.5</v>
      </c>
      <c r="R4" s="2">
        <v>74.31</v>
      </c>
      <c r="S4" s="2">
        <v>74.42</v>
      </c>
      <c r="T4" s="2">
        <v>74.33</v>
      </c>
      <c r="U4" s="2">
        <v>74.48</v>
      </c>
      <c r="V4" s="2">
        <v>74.26000000000001</v>
      </c>
      <c r="W4" s="2">
        <v>75.56</v>
      </c>
      <c r="X4" s="2">
        <v>75.44</v>
      </c>
      <c r="Y4" s="2">
        <v>75.79000000000001</v>
      </c>
      <c r="Z4" s="2">
        <v>77.03</v>
      </c>
      <c r="AA4" s="2">
        <v>77.09</v>
      </c>
      <c r="AB4" s="2">
        <v>76.63</v>
      </c>
      <c r="AC4" s="2">
        <v>76.59999999999999</v>
      </c>
      <c r="AD4" s="2">
        <v>76.75</v>
      </c>
      <c r="AE4" s="2">
        <v>77</v>
      </c>
      <c r="AF4" s="2">
        <v>76.55</v>
      </c>
      <c r="AG4" s="2">
        <v>76.70999999999999</v>
      </c>
      <c r="AH4" s="2">
        <v>76.73999999999999</v>
      </c>
      <c r="AI4" s="2">
        <v>77.28</v>
      </c>
      <c r="AJ4" s="2">
        <v>77.40000000000001</v>
      </c>
      <c r="AK4" s="2">
        <v>77.45</v>
      </c>
      <c r="AL4" s="2">
        <v>78.73999999999999</v>
      </c>
      <c r="AM4" s="2">
        <v>78.54000000000001</v>
      </c>
      <c r="AN4" s="2">
        <v>77.78</v>
      </c>
      <c r="AO4" s="2">
        <v>77.54000000000001</v>
      </c>
      <c r="AP4" s="2">
        <v>77.45</v>
      </c>
      <c r="AQ4" s="2">
        <v>77.64</v>
      </c>
      <c r="AR4" s="2">
        <v>77.58</v>
      </c>
      <c r="AS4" s="2">
        <v>77.98999999999999</v>
      </c>
      <c r="AT4" s="2">
        <v>78.3</v>
      </c>
      <c r="AU4" s="2">
        <v>78.95</v>
      </c>
      <c r="AV4" s="2">
        <v>78.65000000000001</v>
      </c>
      <c r="AW4" s="2">
        <v>78.3</v>
      </c>
      <c r="AX4" s="2">
        <v>78.18000000000001</v>
      </c>
      <c r="AY4" s="2">
        <v>78.47</v>
      </c>
      <c r="AZ4" s="2">
        <v>78.33</v>
      </c>
      <c r="BA4" s="2">
        <v>78.2</v>
      </c>
      <c r="BB4" s="2">
        <v>78.27</v>
      </c>
      <c r="BC4" s="2">
        <v>78.03</v>
      </c>
      <c r="BD4" s="2">
        <v>78.38</v>
      </c>
      <c r="BE4" s="2">
        <v>78.29000000000001</v>
      </c>
      <c r="BF4" s="2">
        <v>78.73</v>
      </c>
      <c r="BG4" s="2">
        <v>79.16</v>
      </c>
      <c r="BH4" s="2">
        <v>79.16</v>
      </c>
      <c r="BI4" s="2">
        <v>79.58</v>
      </c>
      <c r="BJ4" s="2">
        <v>81.66</v>
      </c>
      <c r="BK4" s="2">
        <v>82.98</v>
      </c>
      <c r="BL4" s="2">
        <v>83.73</v>
      </c>
      <c r="BM4" s="2">
        <v>84.45</v>
      </c>
      <c r="BN4" s="2">
        <v>84.73</v>
      </c>
      <c r="BO4" s="2">
        <v>85.14</v>
      </c>
      <c r="BP4" s="2">
        <v>88.81</v>
      </c>
      <c r="BQ4" s="2">
        <v>88.54000000000001</v>
      </c>
      <c r="BR4" s="2">
        <v>88.92</v>
      </c>
      <c r="BS4" s="2">
        <v>89.92</v>
      </c>
      <c r="BT4" s="2">
        <v>90.98</v>
      </c>
      <c r="BU4" s="2">
        <v>90.84999999999999</v>
      </c>
      <c r="BV4" s="2">
        <v>90.73</v>
      </c>
      <c r="BW4" s="2">
        <v>93.34</v>
      </c>
      <c r="BX4" s="2">
        <v>96.61</v>
      </c>
      <c r="BY4" s="2">
        <v>96.73</v>
      </c>
      <c r="BZ4" s="2">
        <v>96.84999999999999</v>
      </c>
      <c r="CA4" s="2">
        <v>97.05</v>
      </c>
      <c r="CB4" s="2">
        <v>97.31</v>
      </c>
      <c r="CC4" s="2">
        <v>97.36</v>
      </c>
      <c r="CD4" s="2">
        <v>97.59</v>
      </c>
      <c r="CE4" s="2">
        <v>98.06</v>
      </c>
      <c r="CF4" s="2">
        <v>98.27</v>
      </c>
      <c r="CG4" s="2">
        <v>98.59</v>
      </c>
      <c r="CH4" s="2">
        <v>98.37</v>
      </c>
      <c r="CI4" s="2">
        <v>98.64</v>
      </c>
      <c r="CJ4" s="2">
        <v>98.43000000000001</v>
      </c>
      <c r="CK4" s="2">
        <v>98.54000000000001</v>
      </c>
      <c r="CL4" s="2">
        <v>98.81999999999999</v>
      </c>
      <c r="CM4" s="2">
        <v>98.54000000000001</v>
      </c>
      <c r="CN4" s="2">
        <v>98.25</v>
      </c>
      <c r="CO4" s="2">
        <v>99.40000000000001</v>
      </c>
      <c r="CP4" s="2">
        <v>100.21</v>
      </c>
      <c r="CQ4" s="2">
        <v>100.94</v>
      </c>
      <c r="CR4" s="2">
        <v>101.19</v>
      </c>
      <c r="CS4" s="2">
        <v>100.96</v>
      </c>
      <c r="CT4" s="2">
        <v>101.12</v>
      </c>
      <c r="CU4" s="2">
        <v>100.83</v>
      </c>
      <c r="CV4" s="2">
        <v>100.37</v>
      </c>
      <c r="CW4" s="2">
        <v>100.03</v>
      </c>
      <c r="CX4" s="2">
        <v>100.14</v>
      </c>
      <c r="CY4" s="2">
        <v>100.09</v>
      </c>
      <c r="CZ4" s="2">
        <v>100</v>
      </c>
      <c r="DA4" s="2">
        <v>100.49</v>
      </c>
      <c r="DB4" s="2">
        <v>100.84</v>
      </c>
      <c r="DC4" s="2">
        <v>101.31</v>
      </c>
      <c r="DD4" s="2">
        <v>101.65</v>
      </c>
      <c r="DE4" s="2">
        <v>101.68</v>
      </c>
      <c r="DF4" s="2">
        <v>102.05</v>
      </c>
      <c r="DG4" s="2">
        <v>101.98</v>
      </c>
      <c r="DH4" s="2">
        <v>102.47</v>
      </c>
      <c r="DI4" s="2">
        <v>102.71</v>
      </c>
      <c r="DJ4" s="2">
        <v>102.75</v>
      </c>
      <c r="DK4" s="2">
        <v>3</v>
      </c>
      <c r="DL4" s="2">
        <v>1.9</v>
      </c>
      <c r="DM4" s="2">
        <v>1.2</v>
      </c>
      <c r="DN4" s="2">
        <v>2</v>
      </c>
      <c r="DO4" s="2">
        <v>2.4</v>
      </c>
      <c r="DP4" s="2">
        <v>3.2</v>
      </c>
      <c r="DQ4" s="2">
        <v>4.9</v>
      </c>
      <c r="DR4" s="2">
        <v>5.8</v>
      </c>
      <c r="DS4" s="2">
        <v>4.2</v>
      </c>
      <c r="DT4" s="2">
        <v>4.2</v>
      </c>
      <c r="DU4" s="2">
        <v>3.3</v>
      </c>
      <c r="DV4" s="2">
        <v>3.5</v>
      </c>
      <c r="DW4" s="2">
        <v>3</v>
      </c>
      <c r="DX4" s="2">
        <v>3</v>
      </c>
      <c r="DY4" s="2">
        <v>3.3</v>
      </c>
      <c r="DZ4" s="2">
        <v>2.3</v>
      </c>
      <c r="EA4" s="2">
        <v>2.6</v>
      </c>
      <c r="EB4" s="2">
        <v>2.2</v>
      </c>
      <c r="EC4" s="2">
        <v>2.2</v>
      </c>
      <c r="ED4" s="2">
        <v>1.9</v>
      </c>
      <c r="EE4" s="2">
        <v>1.5</v>
      </c>
      <c r="EF4" s="2">
        <v>1.2</v>
      </c>
      <c r="EG4" s="2">
        <v>0.9</v>
      </c>
      <c r="EH4" s="2">
        <v>0.8</v>
      </c>
      <c r="EI4" s="2">
        <v>1.3</v>
      </c>
      <c r="EJ4" s="2">
        <v>1.7</v>
      </c>
      <c r="EK4" s="2">
        <v>2</v>
      </c>
      <c r="EL4" s="2">
        <v>2.2</v>
      </c>
      <c r="EM4" s="2">
        <v>1.6</v>
      </c>
      <c r="EN4" s="2">
        <v>1.1</v>
      </c>
      <c r="EO4" s="2">
        <v>-0.7</v>
      </c>
      <c r="EP4" s="2">
        <v>-0.1</v>
      </c>
      <c r="EQ4" s="2">
        <v>0.7</v>
      </c>
      <c r="ER4" s="2">
        <v>0.9</v>
      </c>
      <c r="ES4" s="2">
        <v>1.1</v>
      </c>
      <c r="ET4" s="2">
        <v>0.5</v>
      </c>
      <c r="EU4" s="2">
        <v>1</v>
      </c>
      <c r="EV4" s="2">
        <v>0.4</v>
      </c>
      <c r="EW4" s="2">
        <v>0.5</v>
      </c>
      <c r="EX4" s="2">
        <v>0.3</v>
      </c>
      <c r="EY4" s="2">
        <v>0.6</v>
      </c>
      <c r="EZ4" s="2">
        <v>1.6</v>
      </c>
      <c r="FA4" s="2">
        <v>4.5</v>
      </c>
      <c r="FB4" s="2">
        <v>5.7</v>
      </c>
      <c r="FC4" s="2">
        <v>6.9</v>
      </c>
      <c r="FD4" s="2">
        <v>8</v>
      </c>
      <c r="FE4" s="2">
        <v>8.300000000000001</v>
      </c>
      <c r="FF4" s="2">
        <v>9.1</v>
      </c>
      <c r="FG4" s="2">
        <v>13.3</v>
      </c>
      <c r="FH4" s="2">
        <v>13.1</v>
      </c>
      <c r="FI4" s="2">
        <v>12.9</v>
      </c>
      <c r="FJ4" s="2">
        <v>13.6</v>
      </c>
      <c r="FK4" s="2">
        <v>14.9</v>
      </c>
      <c r="FL4" s="2">
        <v>14.2</v>
      </c>
      <c r="FM4" s="2">
        <v>11.1</v>
      </c>
      <c r="FN4" s="2">
        <v>12.5</v>
      </c>
      <c r="FO4" s="2">
        <v>15.4</v>
      </c>
      <c r="FP4" s="2">
        <v>14.5</v>
      </c>
      <c r="FQ4" s="2">
        <v>14.3</v>
      </c>
      <c r="FR4" s="2">
        <v>14</v>
      </c>
      <c r="FS4" s="2">
        <v>9.6</v>
      </c>
      <c r="FT4" s="2">
        <v>10</v>
      </c>
      <c r="FU4" s="2">
        <v>9.800000000000001</v>
      </c>
      <c r="FV4" s="2">
        <v>9.1</v>
      </c>
      <c r="FW4" s="2">
        <v>8</v>
      </c>
      <c r="FX4" s="2">
        <v>8.5</v>
      </c>
      <c r="FY4" s="2">
        <v>8.4</v>
      </c>
      <c r="FZ4" s="2">
        <v>5.7</v>
      </c>
      <c r="GA4" s="2">
        <v>1.9</v>
      </c>
      <c r="GB4" s="2">
        <v>1.9</v>
      </c>
      <c r="GC4" s="2">
        <v>2</v>
      </c>
      <c r="GD4" s="2">
        <v>1.5</v>
      </c>
      <c r="GE4" s="2">
        <v>1</v>
      </c>
      <c r="GF4" s="2">
        <v>2.1</v>
      </c>
      <c r="GG4" s="2">
        <v>2.7</v>
      </c>
      <c r="GH4" s="2">
        <v>2.9</v>
      </c>
      <c r="GI4" s="2">
        <v>3</v>
      </c>
      <c r="GJ4" s="2">
        <v>2.4</v>
      </c>
      <c r="GK4" s="2">
        <v>2.8</v>
      </c>
      <c r="GL4" s="2">
        <v>2.2</v>
      </c>
      <c r="GM4" s="2">
        <v>2</v>
      </c>
      <c r="GN4" s="2">
        <v>1.5</v>
      </c>
      <c r="GO4" s="2">
        <v>1.3</v>
      </c>
      <c r="GP4" s="2">
        <v>1.6</v>
      </c>
      <c r="GQ4" s="2">
        <v>1.8</v>
      </c>
      <c r="GR4" s="2">
        <v>1.1</v>
      </c>
      <c r="GS4" s="2">
        <v>0.6</v>
      </c>
      <c r="GT4" s="2">
        <v>0.4</v>
      </c>
      <c r="GU4" s="2">
        <v>0.5</v>
      </c>
      <c r="GV4" s="2">
        <v>0.7</v>
      </c>
      <c r="GW4" s="2">
        <v>0.9</v>
      </c>
      <c r="GX4" s="2">
        <v>1.1</v>
      </c>
      <c r="GY4" s="2">
        <v>2.1</v>
      </c>
      <c r="GZ4" s="2">
        <v>2.7</v>
      </c>
      <c r="HA4" s="2">
        <v>2.6</v>
      </c>
      <c r="HB4" s="2">
        <v>1.3</v>
      </c>
      <c r="HC4" s="2">
        <v>0.4</v>
      </c>
      <c r="HD4" s="2">
        <v>1</v>
      </c>
      <c r="HE4" s="2">
        <v>-0.6</v>
      </c>
      <c r="HF4" s="2">
        <v>-0.4</v>
      </c>
      <c r="HG4" s="2">
        <v>0</v>
      </c>
      <c r="HH4" s="2">
        <v>-0.8</v>
      </c>
      <c r="HI4" s="2">
        <v>1</v>
      </c>
      <c r="HJ4" s="2">
        <v>-0.1</v>
      </c>
      <c r="HK4" s="2">
        <v>1.1</v>
      </c>
      <c r="HL4" s="2">
        <v>0.1</v>
      </c>
      <c r="HM4" s="2">
        <v>-0.1</v>
      </c>
      <c r="HN4" s="2">
        <v>0.2</v>
      </c>
      <c r="HO4" s="2">
        <v>-0.3</v>
      </c>
      <c r="HP4" s="2">
        <v>1.8</v>
      </c>
      <c r="HQ4" s="2">
        <v>-0.2</v>
      </c>
      <c r="HR4" s="2">
        <v>0.5</v>
      </c>
      <c r="HS4" s="2">
        <v>1.6</v>
      </c>
      <c r="HT4" s="2">
        <v>0.1</v>
      </c>
      <c r="HU4" s="2">
        <v>-0.6</v>
      </c>
      <c r="HV4" s="2">
        <v>0</v>
      </c>
      <c r="HW4" s="2">
        <v>0.2</v>
      </c>
      <c r="HX4" s="2">
        <v>0.3</v>
      </c>
      <c r="HY4" s="2">
        <v>-0.6</v>
      </c>
      <c r="HZ4" s="2">
        <v>0.2</v>
      </c>
      <c r="IA4" s="2">
        <v>0</v>
      </c>
      <c r="IB4" s="2">
        <v>0.7</v>
      </c>
      <c r="IC4" s="2">
        <v>0.2</v>
      </c>
      <c r="ID4" s="2">
        <v>0.1</v>
      </c>
      <c r="IE4" s="2">
        <v>1.7</v>
      </c>
      <c r="IF4" s="2">
        <v>-0.3</v>
      </c>
      <c r="IG4" s="2">
        <v>-1</v>
      </c>
      <c r="IH4" s="2">
        <v>-0.3</v>
      </c>
      <c r="II4" s="2">
        <v>-0.1</v>
      </c>
      <c r="IJ4" s="2">
        <v>0.2</v>
      </c>
      <c r="IK4" s="2">
        <v>-0.1</v>
      </c>
      <c r="IL4" s="2">
        <v>0.5</v>
      </c>
      <c r="IM4" s="2">
        <v>0.4</v>
      </c>
      <c r="IN4" s="2">
        <v>0.8</v>
      </c>
      <c r="IO4" s="2">
        <v>-0.4</v>
      </c>
      <c r="IP4" s="2">
        <v>-0.4</v>
      </c>
      <c r="IQ4" s="2">
        <v>-0.2</v>
      </c>
      <c r="IR4" s="2">
        <v>0.4</v>
      </c>
      <c r="IS4" s="2">
        <v>-0.2</v>
      </c>
      <c r="IT4" s="2">
        <v>-0.2</v>
      </c>
      <c r="IU4" s="2">
        <v>0.1</v>
      </c>
      <c r="IV4" s="2">
        <v>-0.3</v>
      </c>
      <c r="IW4" s="2">
        <v>0.4</v>
      </c>
      <c r="IX4" s="2">
        <v>-0.1</v>
      </c>
      <c r="IY4" s="2">
        <v>0.6</v>
      </c>
      <c r="IZ4" s="2">
        <v>0.5</v>
      </c>
      <c r="JA4" s="2">
        <v>0</v>
      </c>
      <c r="JB4" s="2">
        <v>0.5</v>
      </c>
      <c r="JC4" s="2">
        <v>2.6</v>
      </c>
      <c r="JD4" s="2">
        <v>1.6</v>
      </c>
      <c r="JE4" s="2">
        <v>0.9</v>
      </c>
      <c r="JF4" s="2">
        <v>0.9</v>
      </c>
      <c r="JG4" s="2">
        <v>0.3</v>
      </c>
      <c r="JH4" s="2">
        <v>0.5</v>
      </c>
      <c r="JI4" s="2">
        <v>4.3</v>
      </c>
      <c r="JJ4" s="2">
        <v>-0.3</v>
      </c>
      <c r="JK4" s="2">
        <v>0.4</v>
      </c>
      <c r="JL4" s="2">
        <v>1.1</v>
      </c>
      <c r="JM4" s="2">
        <v>1.2</v>
      </c>
      <c r="JN4" s="2">
        <v>-0.1</v>
      </c>
      <c r="JO4" s="2">
        <v>-0.1</v>
      </c>
      <c r="JP4" s="2">
        <v>2.9</v>
      </c>
      <c r="JQ4" s="2">
        <v>3.5</v>
      </c>
      <c r="JR4" s="2">
        <v>0.1</v>
      </c>
      <c r="JS4" s="2">
        <v>0.1</v>
      </c>
      <c r="JT4" s="2">
        <v>0.2</v>
      </c>
      <c r="JU4" s="2">
        <v>0.3</v>
      </c>
      <c r="JV4" s="2">
        <v>0.1</v>
      </c>
      <c r="JW4" s="2">
        <v>0.2</v>
      </c>
      <c r="JX4" s="2">
        <v>0.5</v>
      </c>
      <c r="JY4" s="2">
        <v>0.2</v>
      </c>
      <c r="JZ4" s="2">
        <v>0.3</v>
      </c>
      <c r="KA4" s="2">
        <v>-0.2</v>
      </c>
      <c r="KB4" s="2">
        <v>0.3</v>
      </c>
      <c r="KC4" s="2">
        <v>-0.2</v>
      </c>
      <c r="KD4" s="2">
        <v>0.1</v>
      </c>
      <c r="KE4" s="2">
        <v>0.3</v>
      </c>
      <c r="KF4" s="2">
        <v>-0.3</v>
      </c>
      <c r="KG4" s="2">
        <v>-0.3</v>
      </c>
      <c r="KH4" s="2">
        <v>1.2</v>
      </c>
      <c r="KI4" s="2">
        <v>0.8</v>
      </c>
      <c r="KJ4" s="2">
        <v>0.7</v>
      </c>
      <c r="KK4" s="2">
        <v>0.2</v>
      </c>
      <c r="KL4" s="2">
        <v>-0.2</v>
      </c>
      <c r="KM4" s="2">
        <v>0.2</v>
      </c>
      <c r="KN4" s="2">
        <v>-0.3</v>
      </c>
      <c r="KO4" s="2">
        <v>-0.5</v>
      </c>
      <c r="KP4" s="2">
        <v>-0.3</v>
      </c>
      <c r="KQ4" s="2">
        <v>0.1</v>
      </c>
      <c r="KR4" s="2">
        <v>0</v>
      </c>
      <c r="KS4" s="2">
        <v>-0.1</v>
      </c>
      <c r="KT4" s="2">
        <v>0.5</v>
      </c>
      <c r="KU4" s="2">
        <v>0.3</v>
      </c>
      <c r="KV4" s="2">
        <v>0.5</v>
      </c>
      <c r="KW4" s="2">
        <v>0.3</v>
      </c>
      <c r="KX4" s="2">
        <v>0</v>
      </c>
      <c r="KY4" s="2">
        <v>0.4</v>
      </c>
      <c r="KZ4" s="2">
        <v>-0.1</v>
      </c>
      <c r="LA4" s="2">
        <v>0.5</v>
      </c>
      <c r="LB4" s="2">
        <v>0.2</v>
      </c>
      <c r="LC4" s="2">
        <v>0</v>
      </c>
      <c r="LD4" s="2">
        <v>0.6</v>
      </c>
      <c r="LE4" s="2">
        <v>0.6</v>
      </c>
      <c r="LF4" s="2">
        <v>0.6</v>
      </c>
      <c r="LG4" s="2">
        <v>0.6</v>
      </c>
      <c r="LH4" s="2">
        <v>0.6</v>
      </c>
      <c r="LI4" s="2">
        <v>0.6</v>
      </c>
      <c r="LJ4" s="2">
        <v>0.59</v>
      </c>
      <c r="LK4" s="2">
        <v>0.6</v>
      </c>
      <c r="LL4" s="2">
        <v>0.59</v>
      </c>
      <c r="LM4" s="2">
        <v>0.59</v>
      </c>
      <c r="LN4" s="2">
        <v>0.6</v>
      </c>
      <c r="LO4" s="2">
        <v>0.6</v>
      </c>
      <c r="LP4" s="2">
        <v>0.6</v>
      </c>
      <c r="LQ4" s="2">
        <v>0.6</v>
      </c>
      <c r="LR4" s="2">
        <v>0.6</v>
      </c>
      <c r="LS4" s="2">
        <v>0.61</v>
      </c>
      <c r="LT4" s="2">
        <v>0.61</v>
      </c>
      <c r="LU4" s="2">
        <v>0.61</v>
      </c>
      <c r="LV4" s="2">
        <v>0.61</v>
      </c>
      <c r="LW4" s="2">
        <v>0.61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-0.01</v>
      </c>
      <c r="MD4" s="2">
        <v>0.01</v>
      </c>
      <c r="ME4" s="2">
        <v>-0.01</v>
      </c>
      <c r="MF4" s="2">
        <v>0</v>
      </c>
      <c r="MG4" s="2">
        <v>0.01</v>
      </c>
      <c r="MH4" s="2">
        <v>0</v>
      </c>
      <c r="MI4" s="2">
        <v>0</v>
      </c>
      <c r="MJ4" s="2">
        <v>0</v>
      </c>
      <c r="MK4" s="2">
        <v>0</v>
      </c>
      <c r="ML4" s="2">
        <v>0.01</v>
      </c>
      <c r="MM4" s="2">
        <v>0</v>
      </c>
      <c r="MN4" s="2">
        <v>0</v>
      </c>
      <c r="MO4" s="2">
        <v>0</v>
      </c>
      <c r="MP4" s="2">
        <v>0</v>
      </c>
      <c r="RO4" s="2">
        <v>14.52</v>
      </c>
      <c r="RP4" s="2">
        <v>15.15</v>
      </c>
      <c r="RQ4" s="2">
        <v>15.69</v>
      </c>
      <c r="RR4" s="2">
        <v>15.94</v>
      </c>
      <c r="RS4" s="2">
        <v>16.31</v>
      </c>
      <c r="RT4" s="2">
        <v>16.81</v>
      </c>
      <c r="RU4" s="2">
        <v>17.63</v>
      </c>
      <c r="RV4" s="2">
        <v>17.98</v>
      </c>
      <c r="RW4" s="2">
        <v>18.23</v>
      </c>
      <c r="RX4" s="2">
        <v>18.45</v>
      </c>
      <c r="RY4" s="2">
        <v>19.2</v>
      </c>
      <c r="RZ4" s="2">
        <v>19.32</v>
      </c>
      <c r="SA4" s="2">
        <v>19.58</v>
      </c>
      <c r="SB4" s="2">
        <v>20.14</v>
      </c>
      <c r="SC4" s="2">
        <v>20.92</v>
      </c>
      <c r="SD4" s="2">
        <v>21.39</v>
      </c>
      <c r="SE4" s="2">
        <v>21.65</v>
      </c>
      <c r="SF4" s="2">
        <v>21.46</v>
      </c>
      <c r="SG4" s="2">
        <v>21.68</v>
      </c>
      <c r="SH4" s="2">
        <v>22.65</v>
      </c>
      <c r="SI4" s="2">
        <v>23.28</v>
      </c>
      <c r="SJ4" s="2">
        <v>23.65</v>
      </c>
      <c r="SK4" s="2">
        <v>24</v>
      </c>
      <c r="SL4" s="2">
        <v>24.38</v>
      </c>
      <c r="SM4" s="2">
        <v>24.81</v>
      </c>
      <c r="SN4" s="2">
        <v>24.94</v>
      </c>
      <c r="SO4" s="2">
        <v>25.54</v>
      </c>
      <c r="SP4" s="2">
        <v>25.97</v>
      </c>
      <c r="SQ4" s="2">
        <v>25.85</v>
      </c>
      <c r="SR4" s="2">
        <v>26.04</v>
      </c>
      <c r="SS4" s="2">
        <v>26.51</v>
      </c>
      <c r="ST4" s="2">
        <v>27.2</v>
      </c>
      <c r="SU4" s="2">
        <v>27.64</v>
      </c>
      <c r="SV4" s="2">
        <v>28.67</v>
      </c>
      <c r="SW4" s="2">
        <v>29.33</v>
      </c>
      <c r="SX4" s="2">
        <v>29.58</v>
      </c>
      <c r="SY4" s="2">
        <v>30.4</v>
      </c>
      <c r="SZ4" s="2">
        <v>31.15</v>
      </c>
      <c r="TA4" s="2">
        <v>31.75</v>
      </c>
      <c r="TB4" s="2">
        <v>32.22</v>
      </c>
      <c r="TC4" s="2">
        <v>32.5</v>
      </c>
      <c r="TD4" s="2">
        <v>32.94</v>
      </c>
      <c r="TE4" s="2">
        <v>33.25</v>
      </c>
      <c r="TF4" s="2">
        <v>33.72</v>
      </c>
      <c r="TG4" s="2">
        <v>33.63</v>
      </c>
      <c r="TH4" s="2">
        <v>34.35</v>
      </c>
      <c r="TI4" s="2">
        <v>34.79</v>
      </c>
      <c r="TJ4" s="2">
        <v>35.42</v>
      </c>
      <c r="TK4" s="2">
        <v>35.73</v>
      </c>
      <c r="TL4" s="2">
        <v>36.08</v>
      </c>
      <c r="TM4" s="2">
        <v>36.74</v>
      </c>
      <c r="TN4" s="2">
        <v>36.55</v>
      </c>
      <c r="TO4" s="2">
        <v>36.64</v>
      </c>
      <c r="TP4" s="2">
        <v>36.67</v>
      </c>
      <c r="TQ4" s="2">
        <v>36.48</v>
      </c>
      <c r="TR4" s="2">
        <v>36.74</v>
      </c>
      <c r="TS4" s="2">
        <v>37.11</v>
      </c>
      <c r="TT4" s="2">
        <v>38.18</v>
      </c>
      <c r="TU4" s="2">
        <v>39.62</v>
      </c>
      <c r="TV4" s="2">
        <v>40.69</v>
      </c>
      <c r="TW4" s="2">
        <v>41.13</v>
      </c>
      <c r="TX4" s="2">
        <v>41.63</v>
      </c>
      <c r="TY4" s="2">
        <v>41.82</v>
      </c>
      <c r="TZ4" s="2">
        <v>43.2</v>
      </c>
      <c r="UA4" s="2">
        <v>44.73</v>
      </c>
      <c r="UB4" s="2">
        <v>45.8</v>
      </c>
      <c r="UC4" s="2">
        <v>45.96</v>
      </c>
      <c r="UD4" s="2">
        <v>45.93</v>
      </c>
      <c r="UE4" s="2">
        <v>46.77</v>
      </c>
      <c r="UF4" s="2">
        <v>46.55</v>
      </c>
      <c r="UG4" s="2">
        <v>47.09</v>
      </c>
      <c r="UH4" s="2">
        <v>47.37</v>
      </c>
      <c r="UI4" s="2">
        <v>48.97</v>
      </c>
      <c r="UJ4" s="2">
        <v>48.8</v>
      </c>
      <c r="UK4" s="2">
        <v>50.2</v>
      </c>
      <c r="UL4" s="2">
        <v>51.11</v>
      </c>
      <c r="UM4" s="2">
        <v>51.54</v>
      </c>
      <c r="UN4" s="2">
        <v>51.92</v>
      </c>
      <c r="UO4" s="2">
        <v>52.69</v>
      </c>
      <c r="UP4" s="2">
        <v>53.04</v>
      </c>
      <c r="UQ4" s="2">
        <v>52.87</v>
      </c>
      <c r="UR4" s="2">
        <v>53.59</v>
      </c>
      <c r="US4" s="2">
        <v>55.1</v>
      </c>
      <c r="UT4" s="2">
        <v>55.69</v>
      </c>
      <c r="UU4" s="2">
        <v>57.01</v>
      </c>
      <c r="UV4" s="2">
        <v>56.7</v>
      </c>
      <c r="UW4" s="2">
        <v>56.95</v>
      </c>
      <c r="UX4" s="2">
        <v>56.41</v>
      </c>
      <c r="UY4" s="2">
        <v>56.6</v>
      </c>
      <c r="UZ4" s="2">
        <v>57.46</v>
      </c>
      <c r="VA4" s="2">
        <v>58.6</v>
      </c>
      <c r="VB4" s="2">
        <v>59.51</v>
      </c>
      <c r="VC4" s="2">
        <v>59.44</v>
      </c>
      <c r="VD4" s="2">
        <v>57.49</v>
      </c>
      <c r="VE4" s="2">
        <v>57.12</v>
      </c>
      <c r="VF4" s="2">
        <v>56.86</v>
      </c>
      <c r="VG4" s="2">
        <v>57.14</v>
      </c>
      <c r="VH4" s="2">
        <v>57.12</v>
      </c>
      <c r="VI4" s="2">
        <v>57.03</v>
      </c>
      <c r="VJ4" s="2">
        <v>57.63</v>
      </c>
      <c r="VK4" s="2">
        <v>58.55</v>
      </c>
      <c r="VL4" s="2">
        <v>60.63</v>
      </c>
      <c r="VM4" s="2">
        <v>61.58</v>
      </c>
      <c r="VN4" s="2">
        <v>62.16</v>
      </c>
      <c r="VO4" s="2">
        <v>63.22</v>
      </c>
      <c r="VP4" s="2">
        <v>64.36</v>
      </c>
      <c r="VQ4" s="2">
        <v>66.84999999999999</v>
      </c>
      <c r="VR4" s="2">
        <v>67.65000000000001</v>
      </c>
      <c r="VS4" s="2">
        <v>68.20999999999999</v>
      </c>
      <c r="VT4" s="2">
        <v>70.06</v>
      </c>
      <c r="VU4" s="2">
        <v>72.84</v>
      </c>
      <c r="VV4" s="2">
        <v>72.23</v>
      </c>
      <c r="VW4" s="2">
        <v>75.62</v>
      </c>
      <c r="VX4" s="2">
        <v>75.8</v>
      </c>
      <c r="VY4" s="2">
        <v>76.84</v>
      </c>
      <c r="VZ4" s="2">
        <v>76.45999999999999</v>
      </c>
      <c r="WA4" s="2">
        <v>77.26000000000001</v>
      </c>
      <c r="WB4" s="2">
        <v>77.92</v>
      </c>
      <c r="WC4" s="2">
        <v>78.25</v>
      </c>
      <c r="WD4" s="2">
        <v>78.31999999999999</v>
      </c>
      <c r="WE4" s="2">
        <v>77.7</v>
      </c>
      <c r="WF4" s="2">
        <v>78.2</v>
      </c>
      <c r="WG4" s="2">
        <v>77.61</v>
      </c>
      <c r="WH4" s="2">
        <v>77.14</v>
      </c>
      <c r="WI4" s="2">
        <v>76.18000000000001</v>
      </c>
      <c r="WJ4" s="2">
        <v>76.42</v>
      </c>
      <c r="WK4" s="2">
        <v>77.65000000000001</v>
      </c>
      <c r="WL4" s="2">
        <v>75.25</v>
      </c>
      <c r="WM4" s="2">
        <v>77.42</v>
      </c>
      <c r="WN4" s="2">
        <v>77.17</v>
      </c>
      <c r="WO4" s="2">
        <v>76.93000000000001</v>
      </c>
      <c r="WP4" s="2">
        <v>78.15000000000001</v>
      </c>
      <c r="WQ4" s="2">
        <v>77.93000000000001</v>
      </c>
      <c r="WR4" s="2">
        <v>79.23999999999999</v>
      </c>
      <c r="WS4" s="2">
        <v>78.78</v>
      </c>
      <c r="WT4" s="2">
        <v>79.42</v>
      </c>
      <c r="WU4" s="2">
        <v>77.04000000000001</v>
      </c>
      <c r="WV4" s="2">
        <v>76.59999999999999</v>
      </c>
      <c r="WW4" s="2">
        <v>74.16</v>
      </c>
      <c r="WX4" s="2">
        <v>73.39</v>
      </c>
      <c r="WY4" s="2">
        <v>72.69</v>
      </c>
      <c r="WZ4" s="2">
        <v>73.33</v>
      </c>
      <c r="XA4" s="2">
        <v>73.31999999999999</v>
      </c>
      <c r="XB4" s="2">
        <v>73.7</v>
      </c>
      <c r="XC4" s="2">
        <v>73.39</v>
      </c>
      <c r="XD4" s="2">
        <v>73</v>
      </c>
      <c r="XE4" s="2">
        <v>72.84999999999999</v>
      </c>
      <c r="XF4" s="2">
        <v>72.84999999999999</v>
      </c>
      <c r="XG4" s="2">
        <v>72.55</v>
      </c>
      <c r="XH4" s="2">
        <v>73.41</v>
      </c>
      <c r="XI4" s="2">
        <v>73.33</v>
      </c>
      <c r="XJ4" s="2">
        <v>73.39</v>
      </c>
      <c r="XK4" s="2">
        <v>74.34</v>
      </c>
      <c r="XL4" s="2">
        <v>74.75</v>
      </c>
      <c r="XM4" s="2">
        <v>76.13</v>
      </c>
      <c r="XN4" s="2">
        <v>76.92</v>
      </c>
      <c r="XO4" s="2">
        <v>76.95999999999999</v>
      </c>
      <c r="XP4" s="2">
        <v>77.03</v>
      </c>
      <c r="XQ4" s="2">
        <v>77.89</v>
      </c>
      <c r="XR4" s="2">
        <v>77.76000000000001</v>
      </c>
      <c r="XS4" s="2">
        <v>77.40000000000001</v>
      </c>
      <c r="XT4" s="2">
        <v>78.20999999999999</v>
      </c>
      <c r="XU4" s="2">
        <v>78.20999999999999</v>
      </c>
      <c r="XV4" s="2">
        <v>78.12</v>
      </c>
      <c r="XW4" s="2">
        <v>78.02</v>
      </c>
      <c r="XX4" s="2">
        <v>78.61</v>
      </c>
      <c r="XY4" s="2">
        <v>80.26000000000001</v>
      </c>
      <c r="XZ4" s="2">
        <v>83.81999999999999</v>
      </c>
      <c r="YA4" s="2">
        <v>86.23</v>
      </c>
      <c r="YB4" s="2">
        <v>89.13</v>
      </c>
      <c r="YC4" s="2">
        <v>90.84999999999999</v>
      </c>
      <c r="YD4" s="2">
        <v>95.56</v>
      </c>
      <c r="YE4" s="2">
        <v>97.06999999999999</v>
      </c>
      <c r="YF4" s="2">
        <v>97.67</v>
      </c>
      <c r="YG4" s="2">
        <v>98.41</v>
      </c>
      <c r="YH4" s="2">
        <v>98.54000000000001</v>
      </c>
      <c r="YI4" s="2">
        <v>98.54000000000001</v>
      </c>
      <c r="YJ4" s="2">
        <v>100.18</v>
      </c>
      <c r="YK4" s="2">
        <v>101.09</v>
      </c>
      <c r="YL4" s="2">
        <v>100.41</v>
      </c>
      <c r="YM4" s="2">
        <v>100.08</v>
      </c>
      <c r="YN4" s="2">
        <v>100.88</v>
      </c>
      <c r="YO4" s="2">
        <v>101.79</v>
      </c>
      <c r="YP4" s="2">
        <v>102.39</v>
      </c>
      <c r="ADO4" s="2">
        <v>4.3</v>
      </c>
      <c r="ADP4" s="2">
        <v>3.6</v>
      </c>
      <c r="ADQ4" s="2">
        <v>1.6</v>
      </c>
      <c r="ADR4" s="2">
        <v>2.3</v>
      </c>
      <c r="ADS4" s="2">
        <v>3.1</v>
      </c>
      <c r="ADT4" s="2">
        <v>4.9</v>
      </c>
      <c r="ADU4" s="2">
        <v>2</v>
      </c>
      <c r="ADV4" s="2">
        <v>1.4</v>
      </c>
      <c r="ADW4" s="2">
        <v>1.2</v>
      </c>
      <c r="ADX4" s="2">
        <v>4.1</v>
      </c>
      <c r="ADY4" s="2">
        <v>0.6</v>
      </c>
      <c r="ADZ4" s="2">
        <v>1.3</v>
      </c>
      <c r="AEA4" s="2">
        <v>2.9</v>
      </c>
      <c r="AEB4" s="2">
        <v>3.9</v>
      </c>
      <c r="AEC4" s="2">
        <v>2.2</v>
      </c>
      <c r="AED4" s="2">
        <v>1.2</v>
      </c>
      <c r="AEE4" s="2">
        <v>-0.9</v>
      </c>
      <c r="AEF4" s="2">
        <v>1</v>
      </c>
      <c r="AEG4" s="2">
        <v>4.5</v>
      </c>
      <c r="AEH4" s="2">
        <v>2.8</v>
      </c>
      <c r="AEI4" s="2">
        <v>1.6</v>
      </c>
      <c r="AEJ4" s="2">
        <v>1.5</v>
      </c>
      <c r="AEK4" s="2">
        <v>1.6</v>
      </c>
      <c r="AEL4" s="2">
        <v>1.8</v>
      </c>
      <c r="AEM4" s="2">
        <v>0.5</v>
      </c>
      <c r="AEN4" s="2">
        <v>2.4</v>
      </c>
      <c r="AEO4" s="2">
        <v>1.7</v>
      </c>
      <c r="AEP4" s="2">
        <v>-0.5</v>
      </c>
      <c r="AEQ4" s="2">
        <v>0.7</v>
      </c>
      <c r="AER4" s="2">
        <v>1.8</v>
      </c>
      <c r="AES4" s="2">
        <v>2.6</v>
      </c>
      <c r="AET4" s="2">
        <v>1.6</v>
      </c>
      <c r="AEU4" s="2">
        <v>3.7</v>
      </c>
      <c r="AEV4" s="2">
        <v>2.3</v>
      </c>
      <c r="AEW4" s="2">
        <v>0.9</v>
      </c>
      <c r="AEX4" s="2">
        <v>2.8</v>
      </c>
      <c r="AEY4" s="2">
        <v>2.5</v>
      </c>
      <c r="AEZ4" s="2">
        <v>1.9</v>
      </c>
      <c r="AFA4" s="2">
        <v>1.5</v>
      </c>
      <c r="AFB4" s="2">
        <v>0.9</v>
      </c>
      <c r="AFC4" s="2">
        <v>1.4</v>
      </c>
      <c r="AFD4" s="2">
        <v>0.9</v>
      </c>
      <c r="AFE4" s="2">
        <v>1.4</v>
      </c>
      <c r="AFF4" s="2">
        <v>-0.3</v>
      </c>
      <c r="AFG4" s="2">
        <v>2.1</v>
      </c>
      <c r="AFH4" s="2">
        <v>1.3</v>
      </c>
      <c r="AFI4" s="2">
        <v>1.8</v>
      </c>
      <c r="AFJ4" s="2">
        <v>0.9</v>
      </c>
      <c r="AFK4" s="2">
        <v>1</v>
      </c>
      <c r="AFL4" s="2">
        <v>1.8</v>
      </c>
      <c r="AFM4" s="2">
        <v>-0.5</v>
      </c>
      <c r="AFN4" s="2">
        <v>0.2</v>
      </c>
      <c r="AFO4" s="2">
        <v>0.1</v>
      </c>
      <c r="AFP4" s="2">
        <v>-0.5</v>
      </c>
      <c r="AFQ4" s="2">
        <v>0.7</v>
      </c>
      <c r="AFR4" s="2">
        <v>1</v>
      </c>
      <c r="AFS4" s="2">
        <v>2.9</v>
      </c>
      <c r="AFT4" s="2">
        <v>3.8</v>
      </c>
      <c r="AFU4" s="2">
        <v>2.7</v>
      </c>
      <c r="AFV4" s="2">
        <v>1.1</v>
      </c>
      <c r="AFW4" s="2">
        <v>1.2</v>
      </c>
      <c r="AFX4" s="2">
        <v>0.5</v>
      </c>
      <c r="AFY4" s="2">
        <v>3.3</v>
      </c>
      <c r="AFZ4" s="2">
        <v>3.5</v>
      </c>
      <c r="AGA4" s="2">
        <v>2.4</v>
      </c>
      <c r="AGB4" s="2">
        <v>0.3</v>
      </c>
      <c r="AGC4" s="2">
        <v>-0.1</v>
      </c>
      <c r="AGD4" s="2">
        <v>1.8</v>
      </c>
      <c r="AGE4" s="2">
        <v>-0.5</v>
      </c>
      <c r="AGF4" s="2">
        <v>1.2</v>
      </c>
      <c r="AGG4" s="2">
        <v>0.6</v>
      </c>
      <c r="AGH4" s="2">
        <v>3.4</v>
      </c>
      <c r="AGI4" s="2">
        <v>-0.3</v>
      </c>
      <c r="AGJ4" s="2">
        <v>2.9</v>
      </c>
      <c r="AGK4" s="2">
        <v>1.8</v>
      </c>
      <c r="AGL4" s="2">
        <v>0.8</v>
      </c>
      <c r="AGM4" s="2">
        <v>0.7</v>
      </c>
      <c r="AGN4" s="2">
        <v>1.5</v>
      </c>
      <c r="AGO4" s="2">
        <v>0.7</v>
      </c>
      <c r="AGP4" s="2">
        <v>-0.3</v>
      </c>
      <c r="AGQ4" s="2">
        <v>1.4</v>
      </c>
      <c r="AGR4" s="2">
        <v>2.8</v>
      </c>
      <c r="AGS4" s="2">
        <v>1.1</v>
      </c>
      <c r="AGT4" s="2">
        <v>2.4</v>
      </c>
      <c r="AGU4" s="2">
        <v>-0.5</v>
      </c>
      <c r="AGV4" s="2">
        <v>0.4</v>
      </c>
      <c r="AGW4" s="2">
        <v>-0.9</v>
      </c>
      <c r="AGX4" s="2">
        <v>0.3</v>
      </c>
      <c r="AGY4" s="2">
        <v>1.5</v>
      </c>
      <c r="AGZ4" s="2">
        <v>2</v>
      </c>
      <c r="AHA4" s="2">
        <v>1.6</v>
      </c>
      <c r="AHB4" s="2">
        <v>-0.1</v>
      </c>
      <c r="AHC4" s="2">
        <v>-3.3</v>
      </c>
      <c r="AHD4" s="2">
        <v>-0.6</v>
      </c>
      <c r="AHE4" s="2">
        <v>-0.5</v>
      </c>
      <c r="AHF4" s="2">
        <v>0.5</v>
      </c>
      <c r="AHG4" s="2">
        <v>0</v>
      </c>
      <c r="AHH4" s="2">
        <v>-0.2</v>
      </c>
      <c r="AHI4" s="2">
        <v>1.1</v>
      </c>
      <c r="AHJ4" s="2">
        <v>1.6</v>
      </c>
      <c r="AHK4" s="2">
        <v>3.6</v>
      </c>
      <c r="AHL4" s="2">
        <v>1.6</v>
      </c>
      <c r="AHM4" s="2">
        <v>0.9</v>
      </c>
      <c r="AHN4" s="2">
        <v>1.7</v>
      </c>
      <c r="AHO4" s="2">
        <v>1.8</v>
      </c>
      <c r="AHP4" s="2">
        <v>3.9</v>
      </c>
      <c r="AHQ4" s="2">
        <v>1.2</v>
      </c>
      <c r="AHR4" s="2">
        <v>0.8</v>
      </c>
      <c r="AHS4" s="2">
        <v>2.7</v>
      </c>
      <c r="AHT4" s="2">
        <v>4</v>
      </c>
      <c r="AHU4" s="2">
        <v>-0.8</v>
      </c>
      <c r="AHV4" s="2">
        <v>4.7</v>
      </c>
      <c r="AHW4" s="2">
        <v>0.2</v>
      </c>
      <c r="AHX4" s="2">
        <v>1.4</v>
      </c>
      <c r="AHY4" s="2">
        <v>-0.5</v>
      </c>
      <c r="AHZ4" s="2">
        <v>1</v>
      </c>
      <c r="AIA4" s="2">
        <v>0.9</v>
      </c>
      <c r="AIB4" s="2">
        <v>0.4</v>
      </c>
      <c r="AIC4" s="2">
        <v>0.1</v>
      </c>
      <c r="AID4" s="2">
        <v>-0.8</v>
      </c>
      <c r="AIE4" s="2">
        <v>0.6</v>
      </c>
      <c r="AIF4" s="2">
        <v>-0.8</v>
      </c>
      <c r="AIG4" s="2">
        <v>-0.6</v>
      </c>
      <c r="AIH4" s="2">
        <v>-1.2</v>
      </c>
      <c r="AII4" s="2">
        <v>0.3</v>
      </c>
      <c r="AIJ4" s="2">
        <v>1.6</v>
      </c>
      <c r="AIK4" s="2">
        <v>-3.1</v>
      </c>
      <c r="AIL4" s="2">
        <v>2.9</v>
      </c>
      <c r="AIM4" s="2">
        <v>-0.3</v>
      </c>
      <c r="AIN4" s="2">
        <v>-0.3</v>
      </c>
      <c r="AIO4" s="2">
        <v>1.6</v>
      </c>
      <c r="AIP4" s="2">
        <v>-0.3</v>
      </c>
      <c r="AIQ4" s="2">
        <v>1.7</v>
      </c>
      <c r="AIR4" s="2">
        <v>-0.6</v>
      </c>
      <c r="AIS4" s="2">
        <v>0.8</v>
      </c>
      <c r="AIT4" s="2">
        <v>-3</v>
      </c>
      <c r="AIU4" s="2">
        <v>-0.6</v>
      </c>
      <c r="AIV4" s="2">
        <v>-3.2</v>
      </c>
      <c r="AIW4" s="2">
        <v>-1</v>
      </c>
      <c r="AIX4" s="2">
        <v>-1</v>
      </c>
      <c r="AIY4" s="2">
        <v>0.9</v>
      </c>
      <c r="AIZ4" s="2">
        <v>0</v>
      </c>
      <c r="AJA4" s="2">
        <v>0.5</v>
      </c>
      <c r="AJB4" s="2">
        <v>-0.4</v>
      </c>
      <c r="AJC4" s="2">
        <v>-0.5</v>
      </c>
      <c r="AJD4" s="2">
        <v>-0.2</v>
      </c>
      <c r="AJE4" s="2">
        <v>0</v>
      </c>
      <c r="AJF4" s="2">
        <v>-0.4</v>
      </c>
      <c r="AJG4" s="2">
        <v>1.2</v>
      </c>
      <c r="AJH4" s="2">
        <v>-0.1</v>
      </c>
      <c r="AJI4" s="2">
        <v>0.1</v>
      </c>
      <c r="AJJ4" s="2">
        <v>1.3</v>
      </c>
      <c r="AJK4" s="2">
        <v>0.6</v>
      </c>
      <c r="AJL4" s="2">
        <v>1.8</v>
      </c>
      <c r="AJM4" s="2">
        <v>1</v>
      </c>
      <c r="AJN4" s="2">
        <v>0.1</v>
      </c>
      <c r="AJO4" s="2">
        <v>0.1</v>
      </c>
      <c r="AJP4" s="2">
        <v>1.1</v>
      </c>
      <c r="AJQ4" s="2">
        <v>-0.2</v>
      </c>
      <c r="AJR4" s="2">
        <v>-0.5</v>
      </c>
      <c r="AJS4" s="2">
        <v>1</v>
      </c>
      <c r="AJT4" s="2">
        <v>0</v>
      </c>
      <c r="AJU4" s="2">
        <v>-0.1</v>
      </c>
      <c r="AJV4" s="2">
        <v>-0.1</v>
      </c>
      <c r="AJW4" s="2">
        <v>0.8</v>
      </c>
      <c r="AJX4" s="2">
        <v>2.1</v>
      </c>
      <c r="AJY4" s="2">
        <v>4.4</v>
      </c>
      <c r="AJZ4" s="2">
        <v>2.9</v>
      </c>
      <c r="AKA4" s="2">
        <v>3.4</v>
      </c>
      <c r="AKB4" s="2">
        <v>1.9</v>
      </c>
      <c r="AKC4" s="2">
        <v>5.2</v>
      </c>
      <c r="AKD4" s="2">
        <v>1.6</v>
      </c>
      <c r="AKE4" s="2">
        <v>0.6</v>
      </c>
      <c r="AKF4" s="2">
        <v>0.8</v>
      </c>
      <c r="AKG4" s="2">
        <v>0.1</v>
      </c>
      <c r="AKH4" s="2">
        <v>0</v>
      </c>
      <c r="AKI4" s="2">
        <v>1.7</v>
      </c>
      <c r="AKJ4" s="2">
        <v>0.9</v>
      </c>
      <c r="AKK4" s="2">
        <v>-0.7</v>
      </c>
      <c r="AKL4" s="2">
        <v>-0.3</v>
      </c>
      <c r="AKM4" s="2">
        <v>0.8</v>
      </c>
      <c r="AKN4" s="2">
        <v>0.9</v>
      </c>
      <c r="AKO4" s="2">
        <v>0.6</v>
      </c>
      <c r="AKP4" s="2">
        <v>0.6</v>
      </c>
      <c r="AKQ4" s="2">
        <v>0.61</v>
      </c>
      <c r="AKR4" s="2">
        <v>0.61</v>
      </c>
    </row>
    <row r="5">
      <c r="A5" t="inlineStr">
        <is>
          <t>Cakes and biscuits</t>
        </is>
      </c>
      <c r="B5" t="inlineStr">
        <is>
          <t>Bread and cereal products</t>
        </is>
      </c>
      <c r="C5">
        <v>3</v>
      </c>
      <c r="D5">
        <v>0.65</v>
      </c>
      <c r="E5" s="3">
        <f>D5/1.56*0.015591039632395175</f>
        <v>0.0064962665134979895</v>
      </c>
      <c r="F5" s="3">
        <f>E5-D5/100</f>
        <v>-3.7334865020111074e-06</v>
      </c>
      <c r="G5" s="3">
        <f>D5/1.56</f>
        <v>0.4166666666666667</v>
      </c>
      <c r="H5" s="2">
        <v>74.05</v>
      </c>
      <c r="I5" s="2">
        <v>74.52</v>
      </c>
      <c r="J5" s="2">
        <v>74.87</v>
      </c>
      <c r="K5" s="2">
        <v>74.56</v>
      </c>
      <c r="L5" s="2">
        <v>75.66</v>
      </c>
      <c r="M5" s="2">
        <v>74.41</v>
      </c>
      <c r="N5" s="2">
        <v>74.61</v>
      </c>
      <c r="O5" s="2">
        <v>74.5</v>
      </c>
      <c r="P5" s="2">
        <v>73.67</v>
      </c>
      <c r="Q5" s="2">
        <v>73.56</v>
      </c>
      <c r="R5" s="2">
        <v>74.22</v>
      </c>
      <c r="S5" s="2">
        <v>73.51000000000001</v>
      </c>
      <c r="T5" s="2">
        <v>73.75</v>
      </c>
      <c r="U5" s="2">
        <v>74.70999999999999</v>
      </c>
      <c r="V5" s="2">
        <v>74.40000000000001</v>
      </c>
      <c r="W5" s="2">
        <v>74.34</v>
      </c>
      <c r="X5" s="2">
        <v>75.28</v>
      </c>
      <c r="Y5" s="2">
        <v>75.39</v>
      </c>
      <c r="Z5" s="2">
        <v>75.19</v>
      </c>
      <c r="AA5" s="2">
        <v>75.14</v>
      </c>
      <c r="AB5" s="2">
        <v>74.5</v>
      </c>
      <c r="AC5" s="2">
        <v>76.11</v>
      </c>
      <c r="AD5" s="2">
        <v>75.55</v>
      </c>
      <c r="AE5" s="2">
        <v>77.40000000000001</v>
      </c>
      <c r="AF5" s="2">
        <v>77.7</v>
      </c>
      <c r="AG5" s="2">
        <v>77.89</v>
      </c>
      <c r="AH5" s="2">
        <v>78.34999999999999</v>
      </c>
      <c r="AI5" s="2">
        <v>78.67</v>
      </c>
      <c r="AJ5" s="2">
        <v>79.02</v>
      </c>
      <c r="AK5" s="2">
        <v>78.28</v>
      </c>
      <c r="AL5" s="2">
        <v>80.48999999999999</v>
      </c>
      <c r="AM5" s="2">
        <v>81.36</v>
      </c>
      <c r="AN5" s="2">
        <v>79.23</v>
      </c>
      <c r="AO5" s="2">
        <v>78.91</v>
      </c>
      <c r="AP5" s="2">
        <v>77.45999999999999</v>
      </c>
      <c r="AQ5" s="2">
        <v>78.61</v>
      </c>
      <c r="AR5" s="2">
        <v>78.34</v>
      </c>
      <c r="AS5" s="2">
        <v>78.8</v>
      </c>
      <c r="AT5" s="2">
        <v>78.78</v>
      </c>
      <c r="AU5" s="2">
        <v>78.03</v>
      </c>
      <c r="AV5" s="2">
        <v>79.75</v>
      </c>
      <c r="AW5" s="2">
        <v>79.91</v>
      </c>
      <c r="AX5" s="2">
        <v>79.31</v>
      </c>
      <c r="AY5" s="2">
        <v>79.25</v>
      </c>
      <c r="AZ5" s="2">
        <v>79.75</v>
      </c>
      <c r="BA5" s="2">
        <v>79.13</v>
      </c>
      <c r="BB5" s="2">
        <v>78.79000000000001</v>
      </c>
      <c r="BC5" s="2">
        <v>79.47</v>
      </c>
      <c r="BD5" s="2">
        <v>78.59</v>
      </c>
      <c r="BE5" s="2">
        <v>79.47</v>
      </c>
      <c r="BF5" s="2">
        <v>80.23</v>
      </c>
      <c r="BG5" s="2">
        <v>80.66</v>
      </c>
      <c r="BH5" s="2">
        <v>81.53</v>
      </c>
      <c r="BI5" s="2">
        <v>81.19</v>
      </c>
      <c r="BJ5" s="2">
        <v>81.20999999999999</v>
      </c>
      <c r="BK5" s="2">
        <v>81.83</v>
      </c>
      <c r="BL5" s="2">
        <v>82.15000000000001</v>
      </c>
      <c r="BM5" s="2">
        <v>83.43000000000001</v>
      </c>
      <c r="BN5" s="2">
        <v>84.18000000000001</v>
      </c>
      <c r="BO5" s="2">
        <v>85.67</v>
      </c>
      <c r="BP5" s="2">
        <v>86.45</v>
      </c>
      <c r="BQ5" s="2">
        <v>88.05</v>
      </c>
      <c r="BR5" s="2">
        <v>88.28</v>
      </c>
      <c r="BS5" s="2">
        <v>89.73</v>
      </c>
      <c r="BT5" s="2">
        <v>89.84999999999999</v>
      </c>
      <c r="BU5" s="2">
        <v>90.05</v>
      </c>
      <c r="BV5" s="2">
        <v>89.79000000000001</v>
      </c>
      <c r="BW5" s="2">
        <v>91.52</v>
      </c>
      <c r="BX5" s="2">
        <v>91.75</v>
      </c>
      <c r="BY5" s="2">
        <v>90.81</v>
      </c>
      <c r="BZ5" s="2">
        <v>90.88</v>
      </c>
      <c r="CA5" s="2">
        <v>94.16</v>
      </c>
      <c r="CB5" s="2">
        <v>94.53</v>
      </c>
      <c r="CC5" s="2">
        <v>95.17</v>
      </c>
      <c r="CD5" s="2">
        <v>95.43000000000001</v>
      </c>
      <c r="CE5" s="2">
        <v>96.42</v>
      </c>
      <c r="CF5" s="2">
        <v>96.8</v>
      </c>
      <c r="CG5" s="2">
        <v>96.03</v>
      </c>
      <c r="CH5" s="2">
        <v>97.15000000000001</v>
      </c>
      <c r="CI5" s="2">
        <v>96.06999999999999</v>
      </c>
      <c r="CJ5" s="2">
        <v>96.39</v>
      </c>
      <c r="CK5" s="2">
        <v>95.73999999999999</v>
      </c>
      <c r="CL5" s="2">
        <v>97.33</v>
      </c>
      <c r="CM5" s="2">
        <v>97.18000000000001</v>
      </c>
      <c r="CN5" s="2">
        <v>96.97</v>
      </c>
      <c r="CO5" s="2">
        <v>99.53</v>
      </c>
      <c r="CP5" s="2">
        <v>99.31</v>
      </c>
      <c r="CQ5" s="2">
        <v>98.84</v>
      </c>
      <c r="CR5" s="2">
        <v>100.8</v>
      </c>
      <c r="CS5" s="2">
        <v>98.72</v>
      </c>
      <c r="CT5" s="2">
        <v>99.94</v>
      </c>
      <c r="CU5" s="2">
        <v>99.94</v>
      </c>
      <c r="CV5" s="2">
        <v>99.08</v>
      </c>
      <c r="CW5" s="2">
        <v>99.31</v>
      </c>
      <c r="CX5" s="2">
        <v>100.81</v>
      </c>
      <c r="CY5" s="2">
        <v>100.75</v>
      </c>
      <c r="CZ5" s="2">
        <v>100</v>
      </c>
      <c r="DA5" s="2">
        <v>100.1</v>
      </c>
      <c r="DB5" s="2">
        <v>100.83</v>
      </c>
      <c r="DC5" s="2">
        <v>101.17</v>
      </c>
      <c r="DD5" s="2">
        <v>102.62</v>
      </c>
      <c r="DE5" s="2">
        <v>99.93000000000001</v>
      </c>
      <c r="DF5" s="2">
        <v>100.46</v>
      </c>
      <c r="DG5" s="2">
        <v>100.03</v>
      </c>
      <c r="DH5" s="2">
        <v>100.38</v>
      </c>
      <c r="DI5" s="2">
        <v>101.18</v>
      </c>
      <c r="DJ5" s="2">
        <v>101.13</v>
      </c>
      <c r="DK5" s="2">
        <v>-0.4</v>
      </c>
      <c r="DL5" s="2">
        <v>0.3</v>
      </c>
      <c r="DM5" s="2">
        <v>-0.6</v>
      </c>
      <c r="DN5" s="2">
        <v>-0.3</v>
      </c>
      <c r="DO5" s="2">
        <v>-0.5</v>
      </c>
      <c r="DP5" s="2">
        <v>1.3</v>
      </c>
      <c r="DQ5" s="2">
        <v>0.8</v>
      </c>
      <c r="DR5" s="2">
        <v>0.9</v>
      </c>
      <c r="DS5" s="2">
        <v>1.1</v>
      </c>
      <c r="DT5" s="2">
        <v>3.5</v>
      </c>
      <c r="DU5" s="2">
        <v>1.8</v>
      </c>
      <c r="DV5" s="2">
        <v>5.3</v>
      </c>
      <c r="DW5" s="2">
        <v>5.4</v>
      </c>
      <c r="DX5" s="2">
        <v>4.3</v>
      </c>
      <c r="DY5" s="2">
        <v>5.3</v>
      </c>
      <c r="DZ5" s="2">
        <v>5.8</v>
      </c>
      <c r="EA5" s="2">
        <v>5</v>
      </c>
      <c r="EB5" s="2">
        <v>3.8</v>
      </c>
      <c r="EC5" s="2">
        <v>7</v>
      </c>
      <c r="ED5" s="2">
        <v>8.300000000000001</v>
      </c>
      <c r="EE5" s="2">
        <v>6.3</v>
      </c>
      <c r="EF5" s="2">
        <v>3.7</v>
      </c>
      <c r="EG5" s="2">
        <v>2.5</v>
      </c>
      <c r="EH5" s="2">
        <v>1.6</v>
      </c>
      <c r="EI5" s="2">
        <v>0.8</v>
      </c>
      <c r="EJ5" s="2">
        <v>1.2</v>
      </c>
      <c r="EK5" s="2">
        <v>0.5</v>
      </c>
      <c r="EL5" s="2">
        <v>-0.8</v>
      </c>
      <c r="EM5" s="2">
        <v>0.9</v>
      </c>
      <c r="EN5" s="2">
        <v>2.1</v>
      </c>
      <c r="EO5" s="2">
        <v>-1.5</v>
      </c>
      <c r="EP5" s="2">
        <v>-2.6</v>
      </c>
      <c r="EQ5" s="2">
        <v>0.7</v>
      </c>
      <c r="ER5" s="2">
        <v>0.3</v>
      </c>
      <c r="ES5" s="2">
        <v>1.7</v>
      </c>
      <c r="ET5" s="2">
        <v>1.1</v>
      </c>
      <c r="EU5" s="2">
        <v>0.3</v>
      </c>
      <c r="EV5" s="2">
        <v>0.9</v>
      </c>
      <c r="EW5" s="2">
        <v>1.8</v>
      </c>
      <c r="EX5" s="2">
        <v>3.4</v>
      </c>
      <c r="EY5" s="2">
        <v>2.2</v>
      </c>
      <c r="EZ5" s="2">
        <v>1.6</v>
      </c>
      <c r="FA5" s="2">
        <v>2.4</v>
      </c>
      <c r="FB5" s="2">
        <v>3.3</v>
      </c>
      <c r="FC5" s="2">
        <v>3</v>
      </c>
      <c r="FD5" s="2">
        <v>5.4</v>
      </c>
      <c r="FE5" s="2">
        <v>6.8</v>
      </c>
      <c r="FF5" s="2">
        <v>7.8</v>
      </c>
      <c r="FG5" s="2">
        <v>10</v>
      </c>
      <c r="FH5" s="2">
        <v>10.8</v>
      </c>
      <c r="FI5" s="2">
        <v>10</v>
      </c>
      <c r="FJ5" s="2">
        <v>11.2</v>
      </c>
      <c r="FK5" s="2">
        <v>10.2</v>
      </c>
      <c r="FL5" s="2">
        <v>10.9</v>
      </c>
      <c r="FM5" s="2">
        <v>10.6</v>
      </c>
      <c r="FN5" s="2">
        <v>11.8</v>
      </c>
      <c r="FO5" s="2">
        <v>11.7</v>
      </c>
      <c r="FP5" s="2">
        <v>8.800000000000001</v>
      </c>
      <c r="FQ5" s="2">
        <v>8</v>
      </c>
      <c r="FR5" s="2">
        <v>9.9</v>
      </c>
      <c r="FS5" s="2">
        <v>9.300000000000001</v>
      </c>
      <c r="FT5" s="2">
        <v>8.1</v>
      </c>
      <c r="FU5" s="2">
        <v>8.1</v>
      </c>
      <c r="FV5" s="2">
        <v>7.5</v>
      </c>
      <c r="FW5" s="2">
        <v>7.7</v>
      </c>
      <c r="FX5" s="2">
        <v>6.6</v>
      </c>
      <c r="FY5" s="2">
        <v>8.199999999999999</v>
      </c>
      <c r="FZ5" s="2">
        <v>5</v>
      </c>
      <c r="GA5" s="2">
        <v>5.1</v>
      </c>
      <c r="GB5" s="2">
        <v>5.4</v>
      </c>
      <c r="GC5" s="2">
        <v>7.1</v>
      </c>
      <c r="GD5" s="2">
        <v>3.2</v>
      </c>
      <c r="GE5" s="2">
        <v>2.6</v>
      </c>
      <c r="GF5" s="2">
        <v>4.6</v>
      </c>
      <c r="GG5" s="2">
        <v>4.1</v>
      </c>
      <c r="GH5" s="2">
        <v>2.5</v>
      </c>
      <c r="GI5" s="2">
        <v>4.1</v>
      </c>
      <c r="GJ5" s="2">
        <v>2.8</v>
      </c>
      <c r="GK5" s="2">
        <v>2.9</v>
      </c>
      <c r="GL5" s="2">
        <v>4</v>
      </c>
      <c r="GM5" s="2">
        <v>2.8</v>
      </c>
      <c r="GN5" s="2">
        <v>3.7</v>
      </c>
      <c r="GO5" s="2">
        <v>3.6</v>
      </c>
      <c r="GP5" s="2">
        <v>3.7</v>
      </c>
      <c r="GQ5" s="2">
        <v>3.1</v>
      </c>
      <c r="GR5" s="2">
        <v>0.6</v>
      </c>
      <c r="GS5" s="2">
        <v>1.5</v>
      </c>
      <c r="GT5" s="2">
        <v>2.4</v>
      </c>
      <c r="GU5" s="2">
        <v>1.8</v>
      </c>
      <c r="GV5" s="2">
        <v>1.2</v>
      </c>
      <c r="GW5" s="2">
        <v>0.5</v>
      </c>
      <c r="GX5" s="2">
        <v>0.1</v>
      </c>
      <c r="GY5" s="2">
        <v>1.3</v>
      </c>
      <c r="GZ5" s="2">
        <v>1.9</v>
      </c>
      <c r="HA5" s="2">
        <v>0.3</v>
      </c>
      <c r="HB5" s="2">
        <v>0.6</v>
      </c>
      <c r="HC5" s="2">
        <v>0.5</v>
      </c>
      <c r="HD5" s="2">
        <v>-0.4</v>
      </c>
      <c r="HE5" s="2">
        <v>1.5</v>
      </c>
      <c r="HF5" s="2">
        <v>-1.7</v>
      </c>
      <c r="HG5" s="2">
        <v>0.3</v>
      </c>
      <c r="HH5" s="2">
        <v>-0.1</v>
      </c>
      <c r="HI5" s="2">
        <v>-1.1</v>
      </c>
      <c r="HJ5" s="2">
        <v>-0.1</v>
      </c>
      <c r="HK5" s="2">
        <v>0.9</v>
      </c>
      <c r="HL5" s="2">
        <v>-1</v>
      </c>
      <c r="HM5" s="2">
        <v>0.3</v>
      </c>
      <c r="HN5" s="2">
        <v>1.3</v>
      </c>
      <c r="HO5" s="2">
        <v>-0.4</v>
      </c>
      <c r="HP5" s="2">
        <v>-0.1</v>
      </c>
      <c r="HQ5" s="2">
        <v>1.3</v>
      </c>
      <c r="HR5" s="2">
        <v>0.1</v>
      </c>
      <c r="HS5" s="2">
        <v>-0.3</v>
      </c>
      <c r="HT5" s="2">
        <v>-0.1</v>
      </c>
      <c r="HU5" s="2">
        <v>-0.9</v>
      </c>
      <c r="HV5" s="2">
        <v>2.2</v>
      </c>
      <c r="HW5" s="2">
        <v>-0.7</v>
      </c>
      <c r="HX5" s="2">
        <v>2.4</v>
      </c>
      <c r="HY5" s="2">
        <v>0.4</v>
      </c>
      <c r="HZ5" s="2">
        <v>0.2</v>
      </c>
      <c r="IA5" s="2">
        <v>0.6</v>
      </c>
      <c r="IB5" s="2">
        <v>0.4</v>
      </c>
      <c r="IC5" s="2">
        <v>0.4</v>
      </c>
      <c r="ID5" s="2">
        <v>-0.9</v>
      </c>
      <c r="IE5" s="2">
        <v>2.8</v>
      </c>
      <c r="IF5" s="2">
        <v>1.1</v>
      </c>
      <c r="IG5" s="2">
        <v>-2.6</v>
      </c>
      <c r="IH5" s="2">
        <v>-0.4</v>
      </c>
      <c r="II5" s="2">
        <v>-1.8</v>
      </c>
      <c r="IJ5" s="2">
        <v>1.5</v>
      </c>
      <c r="IK5" s="2">
        <v>-0.3</v>
      </c>
      <c r="IL5" s="2">
        <v>0.6</v>
      </c>
      <c r="IM5" s="2">
        <v>0</v>
      </c>
      <c r="IN5" s="2">
        <v>-1</v>
      </c>
      <c r="IO5" s="2">
        <v>2.2</v>
      </c>
      <c r="IP5" s="2">
        <v>0.2</v>
      </c>
      <c r="IQ5" s="2">
        <v>-0.8</v>
      </c>
      <c r="IR5" s="2">
        <v>-0.1</v>
      </c>
      <c r="IS5" s="2">
        <v>0.6</v>
      </c>
      <c r="IT5" s="2">
        <v>-0.8</v>
      </c>
      <c r="IU5" s="2">
        <v>-0.4</v>
      </c>
      <c r="IV5" s="2">
        <v>0.9</v>
      </c>
      <c r="IW5" s="2">
        <v>-1.1</v>
      </c>
      <c r="IX5" s="2">
        <v>1.1</v>
      </c>
      <c r="IY5" s="2">
        <v>1</v>
      </c>
      <c r="IZ5" s="2">
        <v>0.5</v>
      </c>
      <c r="JA5" s="2">
        <v>1.1</v>
      </c>
      <c r="JB5" s="2">
        <v>-0.4</v>
      </c>
      <c r="JC5" s="2">
        <v>0</v>
      </c>
      <c r="JD5" s="2">
        <v>0.8</v>
      </c>
      <c r="JE5" s="2">
        <v>0.4</v>
      </c>
      <c r="JF5" s="2">
        <v>1.6</v>
      </c>
      <c r="JG5" s="2">
        <v>0.9</v>
      </c>
      <c r="JH5" s="2">
        <v>1.8</v>
      </c>
      <c r="JI5" s="2">
        <v>0.9</v>
      </c>
      <c r="JJ5" s="2">
        <v>1.9</v>
      </c>
      <c r="JK5" s="2">
        <v>0.3</v>
      </c>
      <c r="JL5" s="2">
        <v>1.6</v>
      </c>
      <c r="JM5" s="2">
        <v>0.1</v>
      </c>
      <c r="JN5" s="2">
        <v>0.2</v>
      </c>
      <c r="JO5" s="2">
        <v>-0.3</v>
      </c>
      <c r="JP5" s="2">
        <v>1.9</v>
      </c>
      <c r="JQ5" s="2">
        <v>0.3</v>
      </c>
      <c r="JR5" s="2">
        <v>-1</v>
      </c>
      <c r="JS5" s="2">
        <v>0.1</v>
      </c>
      <c r="JT5" s="2">
        <v>3.6</v>
      </c>
      <c r="JU5" s="2">
        <v>0.4</v>
      </c>
      <c r="JV5" s="2">
        <v>0.7</v>
      </c>
      <c r="JW5" s="2">
        <v>0.3</v>
      </c>
      <c r="JX5" s="2">
        <v>1</v>
      </c>
      <c r="JY5" s="2">
        <v>0.4</v>
      </c>
      <c r="JZ5" s="2">
        <v>-0.8</v>
      </c>
      <c r="KA5" s="2">
        <v>1.2</v>
      </c>
      <c r="KB5" s="2">
        <v>-1.1</v>
      </c>
      <c r="KC5" s="2">
        <v>0.3</v>
      </c>
      <c r="KD5" s="2">
        <v>-0.7</v>
      </c>
      <c r="KE5" s="2">
        <v>1.7</v>
      </c>
      <c r="KF5" s="2">
        <v>-0.2</v>
      </c>
      <c r="KG5" s="2">
        <v>-0.2</v>
      </c>
      <c r="KH5" s="2">
        <v>2.6</v>
      </c>
      <c r="KI5" s="2">
        <v>-0.2</v>
      </c>
      <c r="KJ5" s="2">
        <v>-0.5</v>
      </c>
      <c r="KK5" s="2">
        <v>2</v>
      </c>
      <c r="KL5" s="2">
        <v>-2.1</v>
      </c>
      <c r="KM5" s="2">
        <v>1.2</v>
      </c>
      <c r="KN5" s="2">
        <v>0</v>
      </c>
      <c r="KO5" s="2">
        <v>-0.9</v>
      </c>
      <c r="KP5" s="2">
        <v>0.2</v>
      </c>
      <c r="KQ5" s="2">
        <v>1.5</v>
      </c>
      <c r="KR5" s="2">
        <v>-0.1</v>
      </c>
      <c r="KS5" s="2">
        <v>-0.7</v>
      </c>
      <c r="KT5" s="2">
        <v>0.1</v>
      </c>
      <c r="KU5" s="2">
        <v>0.7</v>
      </c>
      <c r="KV5" s="2">
        <v>0.3</v>
      </c>
      <c r="KW5" s="2">
        <v>1.4</v>
      </c>
      <c r="KX5" s="2">
        <v>-2.6</v>
      </c>
      <c r="KY5" s="2">
        <v>0.5</v>
      </c>
      <c r="KZ5" s="2">
        <v>-0.4</v>
      </c>
      <c r="LA5" s="2">
        <v>0.3</v>
      </c>
      <c r="LB5" s="2">
        <v>0.8</v>
      </c>
      <c r="LC5" s="2">
        <v>0</v>
      </c>
      <c r="LD5" s="2">
        <v>0.64</v>
      </c>
      <c r="LE5" s="2">
        <v>0.65</v>
      </c>
      <c r="LF5" s="2">
        <v>0.63</v>
      </c>
      <c r="LG5" s="2">
        <v>0.64</v>
      </c>
      <c r="LH5" s="2">
        <v>0.64</v>
      </c>
      <c r="LI5" s="2">
        <v>0.64</v>
      </c>
      <c r="LJ5" s="2">
        <v>0.64</v>
      </c>
      <c r="LK5" s="2">
        <v>0.65</v>
      </c>
      <c r="LL5" s="2">
        <v>0.65</v>
      </c>
      <c r="LM5" s="2">
        <v>0.64</v>
      </c>
      <c r="LN5" s="2">
        <v>0.64</v>
      </c>
      <c r="LO5" s="2">
        <v>0.65</v>
      </c>
      <c r="LP5" s="2">
        <v>0.65</v>
      </c>
      <c r="LQ5" s="2">
        <v>0.66</v>
      </c>
      <c r="LR5" s="2">
        <v>0.64</v>
      </c>
      <c r="LS5" s="2">
        <v>0.65</v>
      </c>
      <c r="LT5" s="2">
        <v>0.64</v>
      </c>
      <c r="LU5" s="2">
        <v>0.65</v>
      </c>
      <c r="LV5" s="2">
        <v>0.65</v>
      </c>
      <c r="LW5" s="2">
        <v>0.65</v>
      </c>
      <c r="LX5" s="2">
        <v>0.01</v>
      </c>
      <c r="LY5" s="2">
        <v>-0.02</v>
      </c>
      <c r="LZ5" s="2">
        <v>0.01</v>
      </c>
      <c r="MA5" s="2">
        <v>0</v>
      </c>
      <c r="MB5" s="2">
        <v>0</v>
      </c>
      <c r="MC5" s="2">
        <v>0</v>
      </c>
      <c r="MD5" s="2">
        <v>0.01</v>
      </c>
      <c r="ME5" s="2">
        <v>0</v>
      </c>
      <c r="MF5" s="2">
        <v>-0.01</v>
      </c>
      <c r="MG5" s="2">
        <v>0</v>
      </c>
      <c r="MH5" s="2">
        <v>0.01</v>
      </c>
      <c r="MI5" s="2">
        <v>0</v>
      </c>
      <c r="MJ5" s="2">
        <v>0.01</v>
      </c>
      <c r="MK5" s="2">
        <v>-0.02</v>
      </c>
      <c r="ML5" s="2">
        <v>0.01</v>
      </c>
      <c r="MM5" s="2">
        <v>-0.01</v>
      </c>
      <c r="MN5" s="2">
        <v>0.01</v>
      </c>
      <c r="MO5" s="2">
        <v>0</v>
      </c>
      <c r="MP5" s="2">
        <v>0</v>
      </c>
      <c r="RO5" s="2">
        <v>16.73</v>
      </c>
      <c r="RP5" s="2">
        <v>17.34</v>
      </c>
      <c r="RQ5" s="2">
        <v>17.72</v>
      </c>
      <c r="RR5" s="2">
        <v>18.18</v>
      </c>
      <c r="RS5" s="2">
        <v>18.6</v>
      </c>
      <c r="RT5" s="2">
        <v>19.17</v>
      </c>
      <c r="RU5" s="2">
        <v>19.85</v>
      </c>
      <c r="RV5" s="2">
        <v>20.77</v>
      </c>
      <c r="RW5" s="2">
        <v>21.34</v>
      </c>
      <c r="RX5" s="2">
        <v>22.13</v>
      </c>
      <c r="RY5" s="2">
        <v>22.44</v>
      </c>
      <c r="RZ5" s="2">
        <v>23.01</v>
      </c>
      <c r="SA5" s="2">
        <v>23.5</v>
      </c>
      <c r="SB5" s="2">
        <v>23.96</v>
      </c>
      <c r="SC5" s="2">
        <v>24.19</v>
      </c>
      <c r="SD5" s="2">
        <v>24.83</v>
      </c>
      <c r="SE5" s="2">
        <v>25.29</v>
      </c>
      <c r="SF5" s="2">
        <v>25.6</v>
      </c>
      <c r="SG5" s="2">
        <v>25.94</v>
      </c>
      <c r="SH5" s="2">
        <v>26.32</v>
      </c>
      <c r="SI5" s="2">
        <v>26.96</v>
      </c>
      <c r="SJ5" s="2">
        <v>29.63</v>
      </c>
      <c r="SK5" s="2">
        <v>30.35</v>
      </c>
      <c r="SL5" s="2">
        <v>31</v>
      </c>
      <c r="SM5" s="2">
        <v>31.22</v>
      </c>
      <c r="SN5" s="2">
        <v>31.22</v>
      </c>
      <c r="SO5" s="2">
        <v>31.38</v>
      </c>
      <c r="SP5" s="2">
        <v>31.68</v>
      </c>
      <c r="SQ5" s="2">
        <v>32.44</v>
      </c>
      <c r="SR5" s="2">
        <v>32.78</v>
      </c>
      <c r="SS5" s="2">
        <v>33.58</v>
      </c>
      <c r="ST5" s="2">
        <v>34.04</v>
      </c>
      <c r="SU5" s="2">
        <v>34.53</v>
      </c>
      <c r="SV5" s="2">
        <v>35.64</v>
      </c>
      <c r="SW5" s="2">
        <v>35.98</v>
      </c>
      <c r="SX5" s="2">
        <v>36.21</v>
      </c>
      <c r="SY5" s="2">
        <v>36.85</v>
      </c>
      <c r="SZ5" s="2">
        <v>37.31</v>
      </c>
      <c r="TA5" s="2">
        <v>38.26</v>
      </c>
      <c r="TB5" s="2">
        <v>39.71</v>
      </c>
      <c r="TC5" s="2">
        <v>39.78</v>
      </c>
      <c r="TD5" s="2">
        <v>41.07</v>
      </c>
      <c r="TE5" s="2">
        <v>41.15</v>
      </c>
      <c r="TF5" s="2">
        <v>41.91</v>
      </c>
      <c r="TG5" s="2">
        <v>41.91</v>
      </c>
      <c r="TH5" s="2">
        <v>42.41</v>
      </c>
      <c r="TI5" s="2">
        <v>42.33</v>
      </c>
      <c r="TJ5" s="2">
        <v>42.6</v>
      </c>
      <c r="TK5" s="2">
        <v>42.79</v>
      </c>
      <c r="TL5" s="2">
        <v>42.86</v>
      </c>
      <c r="TM5" s="2">
        <v>42.86</v>
      </c>
      <c r="TN5" s="2">
        <v>42.9</v>
      </c>
      <c r="TO5" s="2">
        <v>43.47</v>
      </c>
      <c r="TP5" s="2">
        <v>44.23</v>
      </c>
      <c r="TQ5" s="2">
        <v>44.04</v>
      </c>
      <c r="TR5" s="2">
        <v>44.08</v>
      </c>
      <c r="TS5" s="2">
        <v>43.43</v>
      </c>
      <c r="TT5" s="2">
        <v>42.79</v>
      </c>
      <c r="TU5" s="2">
        <v>43.93</v>
      </c>
      <c r="TV5" s="2">
        <v>43.97</v>
      </c>
      <c r="TW5" s="2">
        <v>45.83</v>
      </c>
      <c r="TX5" s="2">
        <v>46.63</v>
      </c>
      <c r="TY5" s="2">
        <v>46.21</v>
      </c>
      <c r="TZ5" s="2">
        <v>46.55</v>
      </c>
      <c r="UA5" s="2">
        <v>46.89</v>
      </c>
      <c r="UB5" s="2">
        <v>47.27</v>
      </c>
      <c r="UC5" s="2">
        <v>47.62</v>
      </c>
      <c r="UD5" s="2">
        <v>47.54</v>
      </c>
      <c r="UE5" s="2">
        <v>47.54</v>
      </c>
      <c r="UF5" s="2">
        <v>47.81</v>
      </c>
      <c r="UG5" s="2">
        <v>47.73</v>
      </c>
      <c r="UH5" s="2">
        <v>48.11</v>
      </c>
      <c r="UI5" s="2">
        <v>48.03</v>
      </c>
      <c r="UJ5" s="2">
        <v>48.44</v>
      </c>
      <c r="UK5" s="2">
        <v>48.76</v>
      </c>
      <c r="UL5" s="2">
        <v>48.67</v>
      </c>
      <c r="UM5" s="2">
        <v>49.71</v>
      </c>
      <c r="UN5" s="2">
        <v>49.42</v>
      </c>
      <c r="UO5" s="2">
        <v>50.23</v>
      </c>
      <c r="UP5" s="2">
        <v>49.56</v>
      </c>
      <c r="UQ5" s="2">
        <v>51.74</v>
      </c>
      <c r="UR5" s="2">
        <v>51.93</v>
      </c>
      <c r="US5" s="2">
        <v>52.86</v>
      </c>
      <c r="UT5" s="2">
        <v>53.72</v>
      </c>
      <c r="UU5" s="2">
        <v>53.9</v>
      </c>
      <c r="UV5" s="2">
        <v>54.05</v>
      </c>
      <c r="UW5" s="2">
        <v>56.11</v>
      </c>
      <c r="UX5" s="2">
        <v>54.76</v>
      </c>
      <c r="UY5" s="2">
        <v>55.39</v>
      </c>
      <c r="UZ5" s="2">
        <v>56.93</v>
      </c>
      <c r="VA5" s="2">
        <v>58.17</v>
      </c>
      <c r="VB5" s="2">
        <v>57.83</v>
      </c>
      <c r="VC5" s="2">
        <v>57.39</v>
      </c>
      <c r="VD5" s="2">
        <v>57.94</v>
      </c>
      <c r="VE5" s="2">
        <v>58.14</v>
      </c>
      <c r="VF5" s="2">
        <v>58.39</v>
      </c>
      <c r="VG5" s="2">
        <v>58.02</v>
      </c>
      <c r="VH5" s="2">
        <v>58.07</v>
      </c>
      <c r="VI5" s="2">
        <v>58.1</v>
      </c>
      <c r="VJ5" s="2">
        <v>59.01</v>
      </c>
      <c r="VK5" s="2">
        <v>59.26</v>
      </c>
      <c r="VL5" s="2">
        <v>60.19</v>
      </c>
      <c r="VM5" s="2">
        <v>60.94</v>
      </c>
      <c r="VN5" s="2">
        <v>61.52</v>
      </c>
      <c r="VO5" s="2">
        <v>61.72</v>
      </c>
      <c r="VP5" s="2">
        <v>62.94</v>
      </c>
      <c r="VQ5" s="2">
        <v>63.84</v>
      </c>
      <c r="VR5" s="2">
        <v>64.16</v>
      </c>
      <c r="VS5" s="2">
        <v>64.58</v>
      </c>
      <c r="VT5" s="2">
        <v>65.58</v>
      </c>
      <c r="VU5" s="2">
        <v>67.87</v>
      </c>
      <c r="VV5" s="2">
        <v>69.40000000000001</v>
      </c>
      <c r="VW5" s="2">
        <v>70.47</v>
      </c>
      <c r="VX5" s="2">
        <v>71.70999999999999</v>
      </c>
      <c r="VY5" s="2">
        <v>72.26000000000001</v>
      </c>
      <c r="VZ5" s="2">
        <v>71.78</v>
      </c>
      <c r="WA5" s="2">
        <v>70.87</v>
      </c>
      <c r="WB5" s="2">
        <v>72.3</v>
      </c>
      <c r="WC5" s="2">
        <v>73.72</v>
      </c>
      <c r="WD5" s="2">
        <v>72.45999999999999</v>
      </c>
      <c r="WE5" s="2">
        <v>72.93000000000001</v>
      </c>
      <c r="WF5" s="2">
        <v>73.23</v>
      </c>
      <c r="WG5" s="2">
        <v>74.90000000000001</v>
      </c>
      <c r="WH5" s="2">
        <v>75.33</v>
      </c>
      <c r="WI5" s="2">
        <v>74.62</v>
      </c>
      <c r="WJ5" s="2">
        <v>75.61</v>
      </c>
      <c r="WK5" s="2">
        <v>75.26000000000001</v>
      </c>
      <c r="WL5" s="2">
        <v>73.17</v>
      </c>
      <c r="WM5" s="2">
        <v>73.98999999999999</v>
      </c>
      <c r="WN5" s="2">
        <v>75.26000000000001</v>
      </c>
      <c r="WO5" s="2">
        <v>75</v>
      </c>
      <c r="WP5" s="2">
        <v>74.56</v>
      </c>
      <c r="WQ5" s="2">
        <v>76.03</v>
      </c>
      <c r="WR5" s="2">
        <v>76.01000000000001</v>
      </c>
      <c r="WS5" s="2">
        <v>75.66</v>
      </c>
      <c r="WT5" s="2">
        <v>76.61</v>
      </c>
      <c r="WU5" s="2">
        <v>75.59999999999999</v>
      </c>
      <c r="WV5" s="2">
        <v>77.45999999999999</v>
      </c>
      <c r="WW5" s="2">
        <v>77.98</v>
      </c>
      <c r="WX5" s="2">
        <v>77.5</v>
      </c>
      <c r="WY5" s="2">
        <v>76.81999999999999</v>
      </c>
      <c r="WZ5" s="2">
        <v>77.63</v>
      </c>
      <c r="XA5" s="2">
        <v>76.54000000000001</v>
      </c>
      <c r="XB5" s="2">
        <v>76.18000000000001</v>
      </c>
      <c r="XC5" s="2">
        <v>76.22</v>
      </c>
      <c r="XD5" s="2">
        <v>76.88</v>
      </c>
      <c r="XE5" s="2">
        <v>77.43000000000001</v>
      </c>
      <c r="XF5" s="2">
        <v>76.54000000000001</v>
      </c>
      <c r="XG5" s="2">
        <v>75.69</v>
      </c>
      <c r="XH5" s="2">
        <v>75.76000000000001</v>
      </c>
      <c r="XI5" s="2">
        <v>75.56</v>
      </c>
      <c r="XJ5" s="2">
        <v>74.98</v>
      </c>
      <c r="XK5" s="2">
        <v>75.09</v>
      </c>
      <c r="XL5" s="2">
        <v>75.89</v>
      </c>
      <c r="XM5" s="2">
        <v>76.12</v>
      </c>
      <c r="XN5" s="2">
        <v>75.77</v>
      </c>
      <c r="XO5" s="2">
        <v>77.64</v>
      </c>
      <c r="XP5" s="2">
        <v>79.28</v>
      </c>
      <c r="XQ5" s="2">
        <v>79.36</v>
      </c>
      <c r="XR5" s="2">
        <v>79.66</v>
      </c>
      <c r="XS5" s="2">
        <v>78.26000000000001</v>
      </c>
      <c r="XT5" s="2">
        <v>78.65000000000001</v>
      </c>
      <c r="XU5" s="2">
        <v>79.62</v>
      </c>
      <c r="XV5" s="2">
        <v>79.47</v>
      </c>
      <c r="XW5" s="2">
        <v>79.15000000000001</v>
      </c>
      <c r="XX5" s="2">
        <v>80.33</v>
      </c>
      <c r="XY5" s="2">
        <v>81.33</v>
      </c>
      <c r="XZ5" s="2">
        <v>82.59</v>
      </c>
      <c r="YA5" s="2">
        <v>85.43000000000001</v>
      </c>
      <c r="YB5" s="2">
        <v>88.69</v>
      </c>
      <c r="YC5" s="2">
        <v>89.90000000000001</v>
      </c>
      <c r="YD5" s="2">
        <v>91.36</v>
      </c>
      <c r="YE5" s="2">
        <v>93.19</v>
      </c>
      <c r="YF5" s="2">
        <v>95.67</v>
      </c>
      <c r="YG5" s="2">
        <v>96.66</v>
      </c>
      <c r="YH5" s="2">
        <v>96.06999999999999</v>
      </c>
      <c r="YI5" s="2">
        <v>97.16</v>
      </c>
      <c r="YJ5" s="2">
        <v>99.23</v>
      </c>
      <c r="YK5" s="2">
        <v>99.81999999999999</v>
      </c>
      <c r="YL5" s="2">
        <v>99.44</v>
      </c>
      <c r="YM5" s="2">
        <v>100.52</v>
      </c>
      <c r="YN5" s="2">
        <v>100.7</v>
      </c>
      <c r="YO5" s="2">
        <v>101</v>
      </c>
      <c r="YP5" s="2">
        <v>100.53</v>
      </c>
      <c r="ADO5" s="2">
        <v>3.6</v>
      </c>
      <c r="ADP5" s="2">
        <v>2.2</v>
      </c>
      <c r="ADQ5" s="2">
        <v>2.6</v>
      </c>
      <c r="ADR5" s="2">
        <v>2.3</v>
      </c>
      <c r="ADS5" s="2">
        <v>3.1</v>
      </c>
      <c r="ADT5" s="2">
        <v>3.5</v>
      </c>
      <c r="ADU5" s="2">
        <v>4.6</v>
      </c>
      <c r="ADV5" s="2">
        <v>2.7</v>
      </c>
      <c r="ADW5" s="2">
        <v>3.7</v>
      </c>
      <c r="ADX5" s="2">
        <v>1.4</v>
      </c>
      <c r="ADY5" s="2">
        <v>2.5</v>
      </c>
      <c r="ADZ5" s="2">
        <v>2.1</v>
      </c>
      <c r="AEA5" s="2">
        <v>2</v>
      </c>
      <c r="AEB5" s="2">
        <v>1</v>
      </c>
      <c r="AEC5" s="2">
        <v>2.6</v>
      </c>
      <c r="AED5" s="2">
        <v>1.9</v>
      </c>
      <c r="AEE5" s="2">
        <v>1.2</v>
      </c>
      <c r="AEF5" s="2">
        <v>1.3</v>
      </c>
      <c r="AEG5" s="2">
        <v>1.5</v>
      </c>
      <c r="AEH5" s="2">
        <v>2.4</v>
      </c>
      <c r="AEI5" s="2">
        <v>9.9</v>
      </c>
      <c r="AEJ5" s="2">
        <v>2.4</v>
      </c>
      <c r="AEK5" s="2">
        <v>2.1</v>
      </c>
      <c r="AEL5" s="2">
        <v>0.7</v>
      </c>
      <c r="AEM5" s="2">
        <v>0</v>
      </c>
      <c r="AEN5" s="2">
        <v>0.5</v>
      </c>
      <c r="AEO5" s="2">
        <v>1</v>
      </c>
      <c r="AEP5" s="2">
        <v>2.4</v>
      </c>
      <c r="AEQ5" s="2">
        <v>1</v>
      </c>
      <c r="AER5" s="2">
        <v>2.4</v>
      </c>
      <c r="AES5" s="2">
        <v>1.4</v>
      </c>
      <c r="AET5" s="2">
        <v>1.4</v>
      </c>
      <c r="AEU5" s="2">
        <v>3.2</v>
      </c>
      <c r="AEV5" s="2">
        <v>1</v>
      </c>
      <c r="AEW5" s="2">
        <v>0.6</v>
      </c>
      <c r="AEX5" s="2">
        <v>1.8</v>
      </c>
      <c r="AEY5" s="2">
        <v>1.2</v>
      </c>
      <c r="AEZ5" s="2">
        <v>2.5</v>
      </c>
      <c r="AFA5" s="2">
        <v>3.8</v>
      </c>
      <c r="AFB5" s="2">
        <v>0.2</v>
      </c>
      <c r="AFC5" s="2">
        <v>3.2</v>
      </c>
      <c r="AFD5" s="2">
        <v>0.2</v>
      </c>
      <c r="AFE5" s="2">
        <v>1.8</v>
      </c>
      <c r="AFF5" s="2">
        <v>0</v>
      </c>
      <c r="AFG5" s="2">
        <v>1.2</v>
      </c>
      <c r="AFH5" s="2">
        <v>-0.2</v>
      </c>
      <c r="AFI5" s="2">
        <v>0.6</v>
      </c>
      <c r="AFJ5" s="2">
        <v>0.4</v>
      </c>
      <c r="AFK5" s="2">
        <v>0.2</v>
      </c>
      <c r="AFL5" s="2">
        <v>0</v>
      </c>
      <c r="AFM5" s="2">
        <v>0.1</v>
      </c>
      <c r="AFN5" s="2">
        <v>1.3</v>
      </c>
      <c r="AFO5" s="2">
        <v>1.7</v>
      </c>
      <c r="AFP5" s="2">
        <v>-0.4</v>
      </c>
      <c r="AFQ5" s="2">
        <v>0.1</v>
      </c>
      <c r="AFR5" s="2">
        <v>-1.5</v>
      </c>
      <c r="AFS5" s="2">
        <v>-1.5</v>
      </c>
      <c r="AFT5" s="2">
        <v>2.7</v>
      </c>
      <c r="AFU5" s="2">
        <v>0.1</v>
      </c>
      <c r="AFV5" s="2">
        <v>4.2</v>
      </c>
      <c r="AFW5" s="2">
        <v>1.7</v>
      </c>
      <c r="AFX5" s="2">
        <v>-0.9</v>
      </c>
      <c r="AFY5" s="2">
        <v>0.7</v>
      </c>
      <c r="AFZ5" s="2">
        <v>0.7</v>
      </c>
      <c r="AGA5" s="2">
        <v>0.8</v>
      </c>
      <c r="AGB5" s="2">
        <v>0.7</v>
      </c>
      <c r="AGC5" s="2">
        <v>-0.2</v>
      </c>
      <c r="AGD5" s="2">
        <v>0</v>
      </c>
      <c r="AGE5" s="2">
        <v>0.6</v>
      </c>
      <c r="AGF5" s="2">
        <v>-0.2</v>
      </c>
      <c r="AGG5" s="2">
        <v>0.8</v>
      </c>
      <c r="AGH5" s="2">
        <v>-0.2</v>
      </c>
      <c r="AGI5" s="2">
        <v>0.9</v>
      </c>
      <c r="AGJ5" s="2">
        <v>0.7</v>
      </c>
      <c r="AGK5" s="2">
        <v>-0.2</v>
      </c>
      <c r="AGL5" s="2">
        <v>2.1</v>
      </c>
      <c r="AGM5" s="2">
        <v>-0.6</v>
      </c>
      <c r="AGN5" s="2">
        <v>1.6</v>
      </c>
      <c r="AGO5" s="2">
        <v>-1.3</v>
      </c>
      <c r="AGP5" s="2">
        <v>4.4</v>
      </c>
      <c r="AGQ5" s="2">
        <v>0.4</v>
      </c>
      <c r="AGR5" s="2">
        <v>1.8</v>
      </c>
      <c r="AGS5" s="2">
        <v>1.6</v>
      </c>
      <c r="AGT5" s="2">
        <v>0.3</v>
      </c>
      <c r="AGU5" s="2">
        <v>0.3</v>
      </c>
      <c r="AGV5" s="2">
        <v>3.8</v>
      </c>
      <c r="AGW5" s="2">
        <v>-2.4</v>
      </c>
      <c r="AGX5" s="2">
        <v>1.2</v>
      </c>
      <c r="AGY5" s="2">
        <v>2.8</v>
      </c>
      <c r="AGZ5" s="2">
        <v>2.2</v>
      </c>
      <c r="AHA5" s="2">
        <v>-0.6</v>
      </c>
      <c r="AHB5" s="2">
        <v>-0.8</v>
      </c>
      <c r="AHC5" s="2">
        <v>1</v>
      </c>
      <c r="AHD5" s="2">
        <v>0.3</v>
      </c>
      <c r="AHE5" s="2">
        <v>0.4</v>
      </c>
      <c r="AHF5" s="2">
        <v>-0.6</v>
      </c>
      <c r="AHG5" s="2">
        <v>0.1</v>
      </c>
      <c r="AHH5" s="2">
        <v>0.1</v>
      </c>
      <c r="AHI5" s="2">
        <v>1.6</v>
      </c>
      <c r="AHJ5" s="2">
        <v>0.4</v>
      </c>
      <c r="AHK5" s="2">
        <v>1.6</v>
      </c>
      <c r="AHL5" s="2">
        <v>1.2</v>
      </c>
      <c r="AHM5" s="2">
        <v>1</v>
      </c>
      <c r="AHN5" s="2">
        <v>0.3</v>
      </c>
      <c r="AHO5" s="2">
        <v>2</v>
      </c>
      <c r="AHP5" s="2">
        <v>1.4</v>
      </c>
      <c r="AHQ5" s="2">
        <v>0.5</v>
      </c>
      <c r="AHR5" s="2">
        <v>0.7</v>
      </c>
      <c r="AHS5" s="2">
        <v>1.5</v>
      </c>
      <c r="AHT5" s="2">
        <v>3.5</v>
      </c>
      <c r="AHU5" s="2">
        <v>2.3</v>
      </c>
      <c r="AHV5" s="2">
        <v>1.5</v>
      </c>
      <c r="AHW5" s="2">
        <v>1.8</v>
      </c>
      <c r="AHX5" s="2">
        <v>0.8</v>
      </c>
      <c r="AHY5" s="2">
        <v>-0.7</v>
      </c>
      <c r="AHZ5" s="2">
        <v>-1.3</v>
      </c>
      <c r="AIA5" s="2">
        <v>2</v>
      </c>
      <c r="AIB5" s="2">
        <v>2</v>
      </c>
      <c r="AIC5" s="2">
        <v>-1.7</v>
      </c>
      <c r="AID5" s="2">
        <v>0.6</v>
      </c>
      <c r="AIE5" s="2">
        <v>0.4</v>
      </c>
      <c r="AIF5" s="2">
        <v>2.3</v>
      </c>
      <c r="AIG5" s="2">
        <v>0.6</v>
      </c>
      <c r="AIH5" s="2">
        <v>-0.9</v>
      </c>
      <c r="AII5" s="2">
        <v>1.3</v>
      </c>
      <c r="AIJ5" s="2">
        <v>-0.5</v>
      </c>
      <c r="AIK5" s="2">
        <v>-2.8</v>
      </c>
      <c r="AIL5" s="2">
        <v>1.1</v>
      </c>
      <c r="AIM5" s="2">
        <v>1.7</v>
      </c>
      <c r="AIN5" s="2">
        <v>-0.3</v>
      </c>
      <c r="AIO5" s="2">
        <v>-0.6</v>
      </c>
      <c r="AIP5" s="2">
        <v>2</v>
      </c>
      <c r="AIQ5" s="2">
        <v>0</v>
      </c>
      <c r="AIR5" s="2">
        <v>-0.5</v>
      </c>
      <c r="AIS5" s="2">
        <v>1.3</v>
      </c>
      <c r="AIT5" s="2">
        <v>-1.3</v>
      </c>
      <c r="AIU5" s="2">
        <v>2.5</v>
      </c>
      <c r="AIV5" s="2">
        <v>0.7</v>
      </c>
      <c r="AIW5" s="2">
        <v>-0.6</v>
      </c>
      <c r="AIX5" s="2">
        <v>-0.9</v>
      </c>
      <c r="AIY5" s="2">
        <v>1.1</v>
      </c>
      <c r="AIZ5" s="2">
        <v>-1.4</v>
      </c>
      <c r="AJA5" s="2">
        <v>-0.5</v>
      </c>
      <c r="AJB5" s="2">
        <v>0.1</v>
      </c>
      <c r="AJC5" s="2">
        <v>0.9</v>
      </c>
      <c r="AJD5" s="2">
        <v>0.7</v>
      </c>
      <c r="AJE5" s="2">
        <v>-1.1</v>
      </c>
      <c r="AJF5" s="2">
        <v>-1.1</v>
      </c>
      <c r="AJG5" s="2">
        <v>0.1</v>
      </c>
      <c r="AJH5" s="2">
        <v>-0.3</v>
      </c>
      <c r="AJI5" s="2">
        <v>-0.8</v>
      </c>
      <c r="AJJ5" s="2">
        <v>0.1</v>
      </c>
      <c r="AJK5" s="2">
        <v>1.1</v>
      </c>
      <c r="AJL5" s="2">
        <v>0.3</v>
      </c>
      <c r="AJM5" s="2">
        <v>-0.5</v>
      </c>
      <c r="AJN5" s="2">
        <v>2.5</v>
      </c>
      <c r="AJO5" s="2">
        <v>2.1</v>
      </c>
      <c r="AJP5" s="2">
        <v>0.1</v>
      </c>
      <c r="AJQ5" s="2">
        <v>0.4</v>
      </c>
      <c r="AJR5" s="2">
        <v>-1.8</v>
      </c>
      <c r="AJS5" s="2">
        <v>0.5</v>
      </c>
      <c r="AJT5" s="2">
        <v>1.2</v>
      </c>
      <c r="AJU5" s="2">
        <v>-0.2</v>
      </c>
      <c r="AJV5" s="2">
        <v>-0.4</v>
      </c>
      <c r="AJW5" s="2">
        <v>1.5</v>
      </c>
      <c r="AJX5" s="2">
        <v>1.2</v>
      </c>
      <c r="AJY5" s="2">
        <v>1.5</v>
      </c>
      <c r="AJZ5" s="2">
        <v>3.4</v>
      </c>
      <c r="AKA5" s="2">
        <v>3.8</v>
      </c>
      <c r="AKB5" s="2">
        <v>1.4</v>
      </c>
      <c r="AKC5" s="2">
        <v>1.6</v>
      </c>
      <c r="AKD5" s="2">
        <v>2</v>
      </c>
      <c r="AKE5" s="2">
        <v>2.7</v>
      </c>
      <c r="AKF5" s="2">
        <v>1</v>
      </c>
      <c r="AKG5" s="2">
        <v>-0.6</v>
      </c>
      <c r="AKH5" s="2">
        <v>1.1</v>
      </c>
      <c r="AKI5" s="2">
        <v>2.1</v>
      </c>
      <c r="AKJ5" s="2">
        <v>0.6</v>
      </c>
      <c r="AKK5" s="2">
        <v>-0.4</v>
      </c>
      <c r="AKL5" s="2">
        <v>1.1</v>
      </c>
      <c r="AKM5" s="2">
        <v>0.2</v>
      </c>
      <c r="AKN5" s="2">
        <v>0.3</v>
      </c>
      <c r="AKO5" s="2">
        <v>-0.5</v>
      </c>
      <c r="AKP5" s="2">
        <v>0.65</v>
      </c>
      <c r="AKQ5" s="2">
        <v>0.65</v>
      </c>
      <c r="AKR5" s="2">
        <v>0.65</v>
      </c>
    </row>
    <row r="6">
      <c r="A6" t="inlineStr">
        <is>
          <t>Breakfast cereals</t>
        </is>
      </c>
      <c r="B6" t="inlineStr">
        <is>
          <t>Bread and cereal products</t>
        </is>
      </c>
      <c r="C6">
        <v>3</v>
      </c>
      <c r="D6">
        <v>0.1</v>
      </c>
      <c r="E6" s="3">
        <f>D6/1.56*0.015591039632395175</f>
        <v>0.0009994256174612292</v>
      </c>
      <c r="F6" s="3">
        <f>E6-D6/100</f>
        <v>-5.743825387707728e-07</v>
      </c>
      <c r="G6" s="3">
        <f>D6/1.56</f>
        <v>0.06410256410256411</v>
      </c>
      <c r="H6" s="2">
        <v>72.89</v>
      </c>
      <c r="I6" s="2">
        <v>71.86</v>
      </c>
      <c r="J6" s="2">
        <v>73.61</v>
      </c>
      <c r="K6" s="2">
        <v>76.47</v>
      </c>
      <c r="L6" s="2">
        <v>73.45999999999999</v>
      </c>
      <c r="M6" s="2">
        <v>73.31</v>
      </c>
      <c r="N6" s="2">
        <v>71.81</v>
      </c>
      <c r="O6" s="2">
        <v>71.75</v>
      </c>
      <c r="P6" s="2">
        <v>72.59</v>
      </c>
      <c r="Q6" s="2">
        <v>72.75</v>
      </c>
      <c r="R6" s="2">
        <v>71.55</v>
      </c>
      <c r="S6" s="2">
        <v>72.81</v>
      </c>
      <c r="T6" s="2">
        <v>73.59</v>
      </c>
      <c r="U6" s="2">
        <v>74.22</v>
      </c>
      <c r="V6" s="2">
        <v>75.16</v>
      </c>
      <c r="W6" s="2">
        <v>76.87</v>
      </c>
      <c r="X6" s="2">
        <v>75.5</v>
      </c>
      <c r="Y6" s="2">
        <v>75.75</v>
      </c>
      <c r="Z6" s="2">
        <v>77.18000000000001</v>
      </c>
      <c r="AA6" s="2">
        <v>77.47</v>
      </c>
      <c r="AB6" s="2">
        <v>74.83</v>
      </c>
      <c r="AC6" s="2">
        <v>74.8</v>
      </c>
      <c r="AD6" s="2">
        <v>77.65000000000001</v>
      </c>
      <c r="AE6" s="2">
        <v>79.23999999999999</v>
      </c>
      <c r="AF6" s="2">
        <v>77.95</v>
      </c>
      <c r="AG6" s="2">
        <v>77.3</v>
      </c>
      <c r="AH6" s="2">
        <v>79.09</v>
      </c>
      <c r="AI6" s="2">
        <v>81.05</v>
      </c>
      <c r="AJ6" s="2">
        <v>80.36</v>
      </c>
      <c r="AK6" s="2">
        <v>80.65000000000001</v>
      </c>
      <c r="AL6" s="2">
        <v>85.25</v>
      </c>
      <c r="AM6" s="2">
        <v>87.73999999999999</v>
      </c>
      <c r="AN6" s="2">
        <v>84.81999999999999</v>
      </c>
      <c r="AO6" s="2">
        <v>79.70999999999999</v>
      </c>
      <c r="AP6" s="2">
        <v>78.86</v>
      </c>
      <c r="AQ6" s="2">
        <v>81.09</v>
      </c>
      <c r="AR6" s="2">
        <v>80.47</v>
      </c>
      <c r="AS6" s="2">
        <v>79.77</v>
      </c>
      <c r="AT6" s="2">
        <v>83.14</v>
      </c>
      <c r="AU6" s="2">
        <v>82.84999999999999</v>
      </c>
      <c r="AV6" s="2">
        <v>82.08</v>
      </c>
      <c r="AW6" s="2">
        <v>79.53</v>
      </c>
      <c r="AX6" s="2">
        <v>80.34999999999999</v>
      </c>
      <c r="AY6" s="2">
        <v>80.11</v>
      </c>
      <c r="AZ6" s="2">
        <v>80.66</v>
      </c>
      <c r="BA6" s="2">
        <v>80.83</v>
      </c>
      <c r="BB6" s="2">
        <v>80.36</v>
      </c>
      <c r="BC6" s="2">
        <v>80.68000000000001</v>
      </c>
      <c r="BD6" s="2">
        <v>81.95999999999999</v>
      </c>
      <c r="BE6" s="2">
        <v>79.31</v>
      </c>
      <c r="BF6" s="2">
        <v>81.16</v>
      </c>
      <c r="BG6" s="2">
        <v>82.84</v>
      </c>
      <c r="BH6" s="2">
        <v>82.90000000000001</v>
      </c>
      <c r="BI6" s="2">
        <v>78.97</v>
      </c>
      <c r="BJ6" s="2">
        <v>87.09999999999999</v>
      </c>
      <c r="BK6" s="2">
        <v>87.87</v>
      </c>
      <c r="BL6" s="2">
        <v>85.90000000000001</v>
      </c>
      <c r="BM6" s="2">
        <v>88.06</v>
      </c>
      <c r="BN6" s="2">
        <v>88.89</v>
      </c>
      <c r="BO6" s="2">
        <v>92</v>
      </c>
      <c r="BP6" s="2">
        <v>92.55</v>
      </c>
      <c r="BQ6" s="2">
        <v>89.73999999999999</v>
      </c>
      <c r="BR6" s="2">
        <v>93.98</v>
      </c>
      <c r="BS6" s="2">
        <v>97.8</v>
      </c>
      <c r="BT6" s="2">
        <v>95.31</v>
      </c>
      <c r="BU6" s="2">
        <v>90.5</v>
      </c>
      <c r="BV6" s="2">
        <v>94.69</v>
      </c>
      <c r="BW6" s="2">
        <v>92.17</v>
      </c>
      <c r="BX6" s="2">
        <v>95.7</v>
      </c>
      <c r="BY6" s="2">
        <v>95.34</v>
      </c>
      <c r="BZ6" s="2">
        <v>94.59</v>
      </c>
      <c r="CA6" s="2">
        <v>96.09999999999999</v>
      </c>
      <c r="CB6" s="2">
        <v>98.27</v>
      </c>
      <c r="CC6" s="2">
        <v>98.22</v>
      </c>
      <c r="CD6" s="2">
        <v>102.03</v>
      </c>
      <c r="CE6" s="2">
        <v>105.08</v>
      </c>
      <c r="CF6" s="2">
        <v>101.29</v>
      </c>
      <c r="CG6" s="2">
        <v>97.98</v>
      </c>
      <c r="CH6" s="2">
        <v>99.06999999999999</v>
      </c>
      <c r="CI6" s="2">
        <v>99.03</v>
      </c>
      <c r="CJ6" s="2">
        <v>98.58</v>
      </c>
      <c r="CK6" s="2">
        <v>97.22</v>
      </c>
      <c r="CL6" s="2">
        <v>97.20999999999999</v>
      </c>
      <c r="CM6" s="2">
        <v>100.84</v>
      </c>
      <c r="CN6" s="2">
        <v>101.1</v>
      </c>
      <c r="CO6" s="2">
        <v>97.7</v>
      </c>
      <c r="CP6" s="2">
        <v>99.83</v>
      </c>
      <c r="CQ6" s="2">
        <v>103.96</v>
      </c>
      <c r="CR6" s="2">
        <v>102.28</v>
      </c>
      <c r="CS6" s="2">
        <v>100.07</v>
      </c>
      <c r="CT6" s="2">
        <v>101.07</v>
      </c>
      <c r="CU6" s="2">
        <v>99.67</v>
      </c>
      <c r="CV6" s="2">
        <v>98.98</v>
      </c>
      <c r="CW6" s="2">
        <v>99.20999999999999</v>
      </c>
      <c r="CX6" s="2">
        <v>99.08</v>
      </c>
      <c r="CY6" s="2">
        <v>99.54000000000001</v>
      </c>
      <c r="CZ6" s="2">
        <v>100</v>
      </c>
      <c r="DA6" s="2">
        <v>100.45</v>
      </c>
      <c r="DB6" s="2">
        <v>103.83</v>
      </c>
      <c r="DC6" s="2">
        <v>111.04</v>
      </c>
      <c r="DD6" s="2">
        <v>104.78</v>
      </c>
      <c r="DE6" s="2">
        <v>104.44</v>
      </c>
      <c r="DF6" s="2">
        <v>106.2</v>
      </c>
      <c r="DG6" s="2">
        <v>103.35</v>
      </c>
      <c r="DH6" s="2">
        <v>102.44</v>
      </c>
      <c r="DI6" s="2">
        <v>103.86</v>
      </c>
      <c r="DJ6" s="2">
        <v>102.41</v>
      </c>
      <c r="DK6" s="2">
        <v>1</v>
      </c>
      <c r="DL6" s="2">
        <v>3.3</v>
      </c>
      <c r="DM6" s="2">
        <v>2.1</v>
      </c>
      <c r="DN6" s="2">
        <v>0.5</v>
      </c>
      <c r="DO6" s="2">
        <v>2.8</v>
      </c>
      <c r="DP6" s="2">
        <v>3.3</v>
      </c>
      <c r="DQ6" s="2">
        <v>7.5</v>
      </c>
      <c r="DR6" s="2">
        <v>8</v>
      </c>
      <c r="DS6" s="2">
        <v>3.1</v>
      </c>
      <c r="DT6" s="2">
        <v>2.8</v>
      </c>
      <c r="DU6" s="2">
        <v>8.5</v>
      </c>
      <c r="DV6" s="2">
        <v>8.800000000000001</v>
      </c>
      <c r="DW6" s="2">
        <v>5.9</v>
      </c>
      <c r="DX6" s="2">
        <v>4.1</v>
      </c>
      <c r="DY6" s="2">
        <v>5.2</v>
      </c>
      <c r="DZ6" s="2">
        <v>5.4</v>
      </c>
      <c r="EA6" s="2">
        <v>6.4</v>
      </c>
      <c r="EB6" s="2">
        <v>6.5</v>
      </c>
      <c r="EC6" s="2">
        <v>10.5</v>
      </c>
      <c r="ED6" s="2">
        <v>13.3</v>
      </c>
      <c r="EE6" s="2">
        <v>13.4</v>
      </c>
      <c r="EF6" s="2">
        <v>6.6</v>
      </c>
      <c r="EG6" s="2">
        <v>1.6</v>
      </c>
      <c r="EH6" s="2">
        <v>2.3</v>
      </c>
      <c r="EI6" s="2">
        <v>3.2</v>
      </c>
      <c r="EJ6" s="2">
        <v>3.2</v>
      </c>
      <c r="EK6" s="2">
        <v>5.1</v>
      </c>
      <c r="EL6" s="2">
        <v>2.2</v>
      </c>
      <c r="EM6" s="2">
        <v>2.1</v>
      </c>
      <c r="EN6" s="2">
        <v>-1.4</v>
      </c>
      <c r="EO6" s="2">
        <v>-5.7</v>
      </c>
      <c r="EP6" s="2">
        <v>-8.699999999999999</v>
      </c>
      <c r="EQ6" s="2">
        <v>-4.9</v>
      </c>
      <c r="ER6" s="2">
        <v>1.4</v>
      </c>
      <c r="ES6" s="2">
        <v>1.9</v>
      </c>
      <c r="ET6" s="2">
        <v>-0.5</v>
      </c>
      <c r="EU6" s="2">
        <v>1.9</v>
      </c>
      <c r="EV6" s="2">
        <v>-0.6</v>
      </c>
      <c r="EW6" s="2">
        <v>-2.4</v>
      </c>
      <c r="EX6" s="2">
        <v>0</v>
      </c>
      <c r="EY6" s="2">
        <v>1</v>
      </c>
      <c r="EZ6" s="2">
        <v>-0.7</v>
      </c>
      <c r="FA6" s="2">
        <v>8.4</v>
      </c>
      <c r="FB6" s="2">
        <v>9.699999999999999</v>
      </c>
      <c r="FC6" s="2">
        <v>6.5</v>
      </c>
      <c r="FD6" s="2">
        <v>8.9</v>
      </c>
      <c r="FE6" s="2">
        <v>10.6</v>
      </c>
      <c r="FF6" s="2">
        <v>14</v>
      </c>
      <c r="FG6" s="2">
        <v>12.9</v>
      </c>
      <c r="FH6" s="2">
        <v>13.2</v>
      </c>
      <c r="FI6" s="2">
        <v>15.8</v>
      </c>
      <c r="FJ6" s="2">
        <v>18.1</v>
      </c>
      <c r="FK6" s="2">
        <v>15</v>
      </c>
      <c r="FL6" s="2">
        <v>14.6</v>
      </c>
      <c r="FM6" s="2">
        <v>8.699999999999999</v>
      </c>
      <c r="FN6" s="2">
        <v>4.9</v>
      </c>
      <c r="FO6" s="2">
        <v>11.4</v>
      </c>
      <c r="FP6" s="2">
        <v>8.300000000000001</v>
      </c>
      <c r="FQ6" s="2">
        <v>6.4</v>
      </c>
      <c r="FR6" s="2">
        <v>4.5</v>
      </c>
      <c r="FS6" s="2">
        <v>6.2</v>
      </c>
      <c r="FT6" s="2">
        <v>9.4</v>
      </c>
      <c r="FU6" s="2">
        <v>8.6</v>
      </c>
      <c r="FV6" s="2">
        <v>7.4</v>
      </c>
      <c r="FW6" s="2">
        <v>6.3</v>
      </c>
      <c r="FX6" s="2">
        <v>8.300000000000001</v>
      </c>
      <c r="FY6" s="2">
        <v>4.6</v>
      </c>
      <c r="FZ6" s="2">
        <v>7.4</v>
      </c>
      <c r="GA6" s="2">
        <v>3</v>
      </c>
      <c r="GB6" s="2">
        <v>2</v>
      </c>
      <c r="GC6" s="2">
        <v>2.8</v>
      </c>
      <c r="GD6" s="2">
        <v>4.9</v>
      </c>
      <c r="GE6" s="2">
        <v>2.9</v>
      </c>
      <c r="GF6" s="2">
        <v>-0.5</v>
      </c>
      <c r="GG6" s="2">
        <v>-2.2</v>
      </c>
      <c r="GH6" s="2">
        <v>-1.1</v>
      </c>
      <c r="GI6" s="2">
        <v>1</v>
      </c>
      <c r="GJ6" s="2">
        <v>2.1</v>
      </c>
      <c r="GK6" s="2">
        <v>2</v>
      </c>
      <c r="GL6" s="2">
        <v>0.6</v>
      </c>
      <c r="GM6" s="2">
        <v>0.4</v>
      </c>
      <c r="GN6" s="2">
        <v>2</v>
      </c>
      <c r="GO6" s="2">
        <v>1.9</v>
      </c>
      <c r="GP6" s="2">
        <v>-1.3</v>
      </c>
      <c r="GQ6" s="2">
        <v>-1.1</v>
      </c>
      <c r="GR6" s="2">
        <v>2.8</v>
      </c>
      <c r="GS6" s="2">
        <v>4</v>
      </c>
      <c r="GT6" s="2">
        <v>6.8</v>
      </c>
      <c r="GU6" s="2">
        <v>2.4</v>
      </c>
      <c r="GV6" s="2">
        <v>4.4</v>
      </c>
      <c r="GW6" s="2">
        <v>5.1</v>
      </c>
      <c r="GX6" s="2">
        <v>3.7</v>
      </c>
      <c r="GY6" s="2">
        <v>3.5</v>
      </c>
      <c r="GZ6" s="2">
        <v>4.7</v>
      </c>
      <c r="HA6" s="2">
        <v>3.4</v>
      </c>
      <c r="HB6" s="2">
        <v>-1.4</v>
      </c>
      <c r="HC6" s="2">
        <v>2.4</v>
      </c>
      <c r="HD6" s="2">
        <v>3.9</v>
      </c>
      <c r="HE6" s="2">
        <v>-3.9</v>
      </c>
      <c r="HF6" s="2">
        <v>-0.2</v>
      </c>
      <c r="HG6" s="2">
        <v>-2</v>
      </c>
      <c r="HH6" s="2">
        <v>-0.1</v>
      </c>
      <c r="HI6" s="2">
        <v>1.2</v>
      </c>
      <c r="HJ6" s="2">
        <v>0.2</v>
      </c>
      <c r="HK6" s="2">
        <v>-1.6</v>
      </c>
      <c r="HL6" s="2">
        <v>1.8</v>
      </c>
      <c r="HM6" s="2">
        <v>1.1</v>
      </c>
      <c r="HN6" s="2">
        <v>0.9</v>
      </c>
      <c r="HO6" s="2">
        <v>1.3</v>
      </c>
      <c r="HP6" s="2">
        <v>2.3</v>
      </c>
      <c r="HQ6" s="2">
        <v>-1.8</v>
      </c>
      <c r="HR6" s="2">
        <v>0.3</v>
      </c>
      <c r="HS6" s="2">
        <v>1.9</v>
      </c>
      <c r="HT6" s="2">
        <v>0.4</v>
      </c>
      <c r="HU6" s="2">
        <v>-3.4</v>
      </c>
      <c r="HV6" s="2">
        <v>0</v>
      </c>
      <c r="HW6" s="2">
        <v>3.8</v>
      </c>
      <c r="HX6" s="2">
        <v>2</v>
      </c>
      <c r="HY6" s="2">
        <v>-1.6</v>
      </c>
      <c r="HZ6" s="2">
        <v>-0.8</v>
      </c>
      <c r="IA6" s="2">
        <v>2.3</v>
      </c>
      <c r="IB6" s="2">
        <v>2.5</v>
      </c>
      <c r="IC6" s="2">
        <v>-0.9</v>
      </c>
      <c r="ID6" s="2">
        <v>0.4</v>
      </c>
      <c r="IE6" s="2">
        <v>5.7</v>
      </c>
      <c r="IF6" s="2">
        <v>2.9</v>
      </c>
      <c r="IG6" s="2">
        <v>-3.3</v>
      </c>
      <c r="IH6" s="2">
        <v>-6</v>
      </c>
      <c r="II6" s="2">
        <v>-1.1</v>
      </c>
      <c r="IJ6" s="2">
        <v>2.8</v>
      </c>
      <c r="IK6" s="2">
        <v>-0.8</v>
      </c>
      <c r="IL6" s="2">
        <v>-0.9</v>
      </c>
      <c r="IM6" s="2">
        <v>4.2</v>
      </c>
      <c r="IN6" s="2">
        <v>-0.3</v>
      </c>
      <c r="IO6" s="2">
        <v>-0.9</v>
      </c>
      <c r="IP6" s="2">
        <v>-3.1</v>
      </c>
      <c r="IQ6" s="2">
        <v>1</v>
      </c>
      <c r="IR6" s="2">
        <v>-0.3</v>
      </c>
      <c r="IS6" s="2">
        <v>0.7</v>
      </c>
      <c r="IT6" s="2">
        <v>0.2</v>
      </c>
      <c r="IU6" s="2">
        <v>-0.6</v>
      </c>
      <c r="IV6" s="2">
        <v>0.4</v>
      </c>
      <c r="IW6" s="2">
        <v>1.6</v>
      </c>
      <c r="IX6" s="2">
        <v>-3.2</v>
      </c>
      <c r="IY6" s="2">
        <v>2.3</v>
      </c>
      <c r="IZ6" s="2">
        <v>2.1</v>
      </c>
      <c r="JA6" s="2">
        <v>0.1</v>
      </c>
      <c r="JB6" s="2">
        <v>-4.7</v>
      </c>
      <c r="JC6" s="2">
        <v>10.3</v>
      </c>
      <c r="JD6" s="2">
        <v>0.9</v>
      </c>
      <c r="JE6" s="2">
        <v>-2.2</v>
      </c>
      <c r="JF6" s="2">
        <v>2.5</v>
      </c>
      <c r="JG6" s="2">
        <v>0.9</v>
      </c>
      <c r="JH6" s="2">
        <v>3.5</v>
      </c>
      <c r="JI6" s="2">
        <v>0.6</v>
      </c>
      <c r="JJ6" s="2">
        <v>-3</v>
      </c>
      <c r="JK6" s="2">
        <v>4.7</v>
      </c>
      <c r="JL6" s="2">
        <v>4.1</v>
      </c>
      <c r="JM6" s="2">
        <v>-2.5</v>
      </c>
      <c r="JN6" s="2">
        <v>-5</v>
      </c>
      <c r="JO6" s="2">
        <v>4.6</v>
      </c>
      <c r="JP6" s="2">
        <v>-2.7</v>
      </c>
      <c r="JQ6" s="2">
        <v>3.8</v>
      </c>
      <c r="JR6" s="2">
        <v>-0.4</v>
      </c>
      <c r="JS6" s="2">
        <v>-0.8</v>
      </c>
      <c r="JT6" s="2">
        <v>1.6</v>
      </c>
      <c r="JU6" s="2">
        <v>2.3</v>
      </c>
      <c r="JV6" s="2">
        <v>-0.1</v>
      </c>
      <c r="JW6" s="2">
        <v>3.9</v>
      </c>
      <c r="JX6" s="2">
        <v>3</v>
      </c>
      <c r="JY6" s="2">
        <v>-3.6</v>
      </c>
      <c r="JZ6" s="2">
        <v>-3.3</v>
      </c>
      <c r="KA6" s="2">
        <v>1.1</v>
      </c>
      <c r="KB6" s="2">
        <v>0</v>
      </c>
      <c r="KC6" s="2">
        <v>-0.5</v>
      </c>
      <c r="KD6" s="2">
        <v>-1.4</v>
      </c>
      <c r="KE6" s="2">
        <v>0</v>
      </c>
      <c r="KF6" s="2">
        <v>3.7</v>
      </c>
      <c r="KG6" s="2">
        <v>0.3</v>
      </c>
      <c r="KH6" s="2">
        <v>-3.4</v>
      </c>
      <c r="KI6" s="2">
        <v>2.2</v>
      </c>
      <c r="KJ6" s="2">
        <v>4.1</v>
      </c>
      <c r="KK6" s="2">
        <v>-1.6</v>
      </c>
      <c r="KL6" s="2">
        <v>-2.2</v>
      </c>
      <c r="KM6" s="2">
        <v>1</v>
      </c>
      <c r="KN6" s="2">
        <v>-1.4</v>
      </c>
      <c r="KO6" s="2">
        <v>-0.7</v>
      </c>
      <c r="KP6" s="2">
        <v>0.2</v>
      </c>
      <c r="KQ6" s="2">
        <v>-0.1</v>
      </c>
      <c r="KR6" s="2">
        <v>0.5</v>
      </c>
      <c r="KS6" s="2">
        <v>0.5</v>
      </c>
      <c r="KT6" s="2">
        <v>0.5</v>
      </c>
      <c r="KU6" s="2">
        <v>3.4</v>
      </c>
      <c r="KV6" s="2">
        <v>6.9</v>
      </c>
      <c r="KW6" s="2">
        <v>-5.6</v>
      </c>
      <c r="KX6" s="2">
        <v>-0.3</v>
      </c>
      <c r="KY6" s="2">
        <v>1.7</v>
      </c>
      <c r="KZ6" s="2">
        <v>-2.7</v>
      </c>
      <c r="LA6" s="2">
        <v>-0.9</v>
      </c>
      <c r="LB6" s="2">
        <v>1.4</v>
      </c>
      <c r="LC6" s="2">
        <v>-1.4</v>
      </c>
      <c r="LD6" s="2">
        <v>0.1</v>
      </c>
      <c r="LE6" s="2">
        <v>0.1</v>
      </c>
      <c r="LF6" s="2">
        <v>0.1</v>
      </c>
      <c r="LG6" s="2">
        <v>0.1</v>
      </c>
      <c r="LH6" s="2">
        <v>0.09</v>
      </c>
      <c r="LI6" s="2">
        <v>0.09</v>
      </c>
      <c r="LJ6" s="2">
        <v>0.09</v>
      </c>
      <c r="LK6" s="2">
        <v>0.09</v>
      </c>
      <c r="LL6" s="2">
        <v>0.09</v>
      </c>
      <c r="LM6" s="2">
        <v>0.1</v>
      </c>
      <c r="LN6" s="2">
        <v>0.1</v>
      </c>
      <c r="LO6" s="2">
        <v>0.1</v>
      </c>
      <c r="LP6" s="2">
        <v>0.11</v>
      </c>
      <c r="LQ6" s="2">
        <v>0.1</v>
      </c>
      <c r="LR6" s="2">
        <v>0.1</v>
      </c>
      <c r="LS6" s="2">
        <v>0.1</v>
      </c>
      <c r="LT6" s="2">
        <v>0.1</v>
      </c>
      <c r="LU6" s="2">
        <v>0.1</v>
      </c>
      <c r="LV6" s="2">
        <v>0.1</v>
      </c>
      <c r="LW6" s="2">
        <v>0.1</v>
      </c>
      <c r="LX6" s="2">
        <v>0</v>
      </c>
      <c r="LY6" s="2">
        <v>0</v>
      </c>
      <c r="LZ6" s="2">
        <v>0</v>
      </c>
      <c r="MA6" s="2">
        <v>-0.01</v>
      </c>
      <c r="MB6" s="2">
        <v>0</v>
      </c>
      <c r="MC6" s="2">
        <v>0</v>
      </c>
      <c r="MD6" s="2">
        <v>0</v>
      </c>
      <c r="ME6" s="2">
        <v>0</v>
      </c>
      <c r="MF6" s="2">
        <v>0.01</v>
      </c>
      <c r="MG6" s="2">
        <v>0</v>
      </c>
      <c r="MH6" s="2">
        <v>0</v>
      </c>
      <c r="MI6" s="2">
        <v>0.01</v>
      </c>
      <c r="MJ6" s="2">
        <v>-0.01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RO6" s="2">
        <v>21.3</v>
      </c>
      <c r="RP6" s="2">
        <v>21.87</v>
      </c>
      <c r="RQ6" s="2">
        <v>21.98</v>
      </c>
      <c r="RR6" s="2">
        <v>22.71</v>
      </c>
      <c r="RS6" s="2">
        <v>23.75</v>
      </c>
      <c r="RT6" s="2">
        <v>24.54</v>
      </c>
      <c r="RU6" s="2">
        <v>25.69</v>
      </c>
      <c r="RV6" s="2">
        <v>26.89</v>
      </c>
      <c r="RW6" s="2">
        <v>27.73</v>
      </c>
      <c r="RX6" s="2">
        <v>27.84</v>
      </c>
      <c r="RY6" s="2">
        <v>29.88</v>
      </c>
      <c r="RZ6" s="2">
        <v>30.03</v>
      </c>
      <c r="SA6" s="2">
        <v>30.92</v>
      </c>
      <c r="SB6" s="2">
        <v>31.86</v>
      </c>
      <c r="SC6" s="2">
        <v>32.96</v>
      </c>
      <c r="SD6" s="2">
        <v>34.01</v>
      </c>
      <c r="SE6" s="2">
        <v>34.74</v>
      </c>
      <c r="SF6" s="2">
        <v>35.06</v>
      </c>
      <c r="SG6" s="2">
        <v>35.47</v>
      </c>
      <c r="SH6" s="2">
        <v>36.15</v>
      </c>
      <c r="SI6" s="2">
        <v>37.46</v>
      </c>
      <c r="SJ6" s="2">
        <v>38.3</v>
      </c>
      <c r="SK6" s="2">
        <v>38.51</v>
      </c>
      <c r="SL6" s="2">
        <v>39.24</v>
      </c>
      <c r="SM6" s="2">
        <v>40.03</v>
      </c>
      <c r="SN6" s="2">
        <v>40.86</v>
      </c>
      <c r="SO6" s="2">
        <v>41.33</v>
      </c>
      <c r="SP6" s="2">
        <v>42.54</v>
      </c>
      <c r="SQ6" s="2">
        <v>43.48</v>
      </c>
      <c r="SR6" s="2">
        <v>42.17</v>
      </c>
      <c r="SS6" s="2">
        <v>42.9</v>
      </c>
      <c r="ST6" s="2">
        <v>47.3</v>
      </c>
      <c r="SU6" s="2">
        <v>49.08</v>
      </c>
      <c r="SV6" s="2">
        <v>50.8</v>
      </c>
      <c r="SW6" s="2">
        <v>49.44</v>
      </c>
      <c r="SX6" s="2">
        <v>49.86</v>
      </c>
      <c r="SY6" s="2">
        <v>50.49</v>
      </c>
      <c r="SZ6" s="2">
        <v>51.96</v>
      </c>
      <c r="TA6" s="2">
        <v>53.37</v>
      </c>
      <c r="TB6" s="2">
        <v>53.47</v>
      </c>
      <c r="TC6" s="2">
        <v>55.25</v>
      </c>
      <c r="TD6" s="2">
        <v>57.03</v>
      </c>
      <c r="TE6" s="2">
        <v>57.82</v>
      </c>
      <c r="TF6" s="2">
        <v>57.87</v>
      </c>
      <c r="TG6" s="2">
        <v>57.34</v>
      </c>
      <c r="TH6" s="2">
        <v>57.34</v>
      </c>
      <c r="TI6" s="2">
        <v>58.29</v>
      </c>
      <c r="TJ6" s="2">
        <v>59.02</v>
      </c>
      <c r="TK6" s="2">
        <v>58.76</v>
      </c>
      <c r="TL6" s="2">
        <v>59.75</v>
      </c>
      <c r="TM6" s="2">
        <v>59.96</v>
      </c>
      <c r="TN6" s="2">
        <v>60.64</v>
      </c>
      <c r="TO6" s="2">
        <v>61.74</v>
      </c>
      <c r="TP6" s="2">
        <v>61.95</v>
      </c>
      <c r="TQ6" s="2">
        <v>62.79</v>
      </c>
      <c r="TR6" s="2">
        <v>62.05</v>
      </c>
      <c r="TS6" s="2">
        <v>62.37</v>
      </c>
      <c r="TT6" s="2">
        <v>61.64</v>
      </c>
      <c r="TU6" s="2">
        <v>62.16</v>
      </c>
      <c r="TV6" s="2">
        <v>64.56999999999999</v>
      </c>
      <c r="TW6" s="2">
        <v>65.45</v>
      </c>
      <c r="TX6" s="2">
        <v>65.34999999999999</v>
      </c>
      <c r="TY6" s="2">
        <v>65.81999999999999</v>
      </c>
      <c r="TZ6" s="2">
        <v>65.93000000000001</v>
      </c>
      <c r="UA6" s="2">
        <v>66.14</v>
      </c>
      <c r="UB6" s="2">
        <v>66.97</v>
      </c>
      <c r="UC6" s="2">
        <v>67.7</v>
      </c>
      <c r="UD6" s="2">
        <v>68.7</v>
      </c>
      <c r="UE6" s="2">
        <v>67.34</v>
      </c>
      <c r="UF6" s="2">
        <v>67.59999999999999</v>
      </c>
      <c r="UG6" s="2">
        <v>66.97</v>
      </c>
      <c r="UH6" s="2">
        <v>68.33</v>
      </c>
      <c r="UI6" s="2">
        <v>68.39</v>
      </c>
      <c r="UJ6" s="2">
        <v>65.48</v>
      </c>
      <c r="UK6" s="2">
        <v>64.48999999999999</v>
      </c>
      <c r="UL6" s="2">
        <v>64.20999999999999</v>
      </c>
      <c r="UM6" s="2">
        <v>63.32</v>
      </c>
      <c r="UN6" s="2">
        <v>64.2</v>
      </c>
      <c r="UO6" s="2">
        <v>63.29</v>
      </c>
      <c r="UP6" s="2">
        <v>62.77</v>
      </c>
      <c r="UQ6" s="2">
        <v>64.04000000000001</v>
      </c>
      <c r="UR6" s="2">
        <v>62.28</v>
      </c>
      <c r="US6" s="2">
        <v>62.97</v>
      </c>
      <c r="UT6" s="2">
        <v>63.8</v>
      </c>
      <c r="UU6" s="2">
        <v>65.62</v>
      </c>
      <c r="UV6" s="2">
        <v>67.62</v>
      </c>
      <c r="UW6" s="2">
        <v>66.54000000000001</v>
      </c>
      <c r="UX6" s="2">
        <v>68.08</v>
      </c>
      <c r="UY6" s="2">
        <v>69.59</v>
      </c>
      <c r="UZ6" s="2">
        <v>71.20999999999999</v>
      </c>
      <c r="VA6" s="2">
        <v>71.78</v>
      </c>
      <c r="VB6" s="2">
        <v>74.19</v>
      </c>
      <c r="VC6" s="2">
        <v>73.48</v>
      </c>
      <c r="VD6" s="2">
        <v>74.52</v>
      </c>
      <c r="VE6" s="2">
        <v>73.23</v>
      </c>
      <c r="VF6" s="2">
        <v>73.73</v>
      </c>
      <c r="VG6" s="2">
        <v>72.15000000000001</v>
      </c>
      <c r="VH6" s="2">
        <v>72.88</v>
      </c>
      <c r="VI6" s="2">
        <v>74.37</v>
      </c>
      <c r="VJ6" s="2">
        <v>74.09999999999999</v>
      </c>
      <c r="VK6" s="2">
        <v>75.05</v>
      </c>
      <c r="VL6" s="2">
        <v>77.26000000000001</v>
      </c>
      <c r="VM6" s="2">
        <v>76.3</v>
      </c>
      <c r="VN6" s="2">
        <v>78.66</v>
      </c>
      <c r="VO6" s="2">
        <v>78.98</v>
      </c>
      <c r="VP6" s="2">
        <v>81.03</v>
      </c>
      <c r="VQ6" s="2">
        <v>77.01000000000001</v>
      </c>
      <c r="VR6" s="2">
        <v>75.83</v>
      </c>
      <c r="VS6" s="2">
        <v>78.53</v>
      </c>
      <c r="VT6" s="2">
        <v>80.62</v>
      </c>
      <c r="VU6" s="2">
        <v>82.27</v>
      </c>
      <c r="VV6" s="2">
        <v>82.53</v>
      </c>
      <c r="VW6" s="2">
        <v>81.86</v>
      </c>
      <c r="VX6" s="2">
        <v>83.20999999999999</v>
      </c>
      <c r="VY6" s="2">
        <v>83.81</v>
      </c>
      <c r="VZ6" s="2">
        <v>82.43000000000001</v>
      </c>
      <c r="WA6" s="2">
        <v>80.93000000000001</v>
      </c>
      <c r="WB6" s="2">
        <v>82.28</v>
      </c>
      <c r="WC6" s="2">
        <v>81.95999999999999</v>
      </c>
      <c r="WD6" s="2">
        <v>81.69</v>
      </c>
      <c r="WE6" s="2">
        <v>82.73999999999999</v>
      </c>
      <c r="WF6" s="2">
        <v>82.81</v>
      </c>
      <c r="WG6" s="2">
        <v>80.75</v>
      </c>
      <c r="WH6" s="2">
        <v>81.68000000000001</v>
      </c>
      <c r="WI6" s="2">
        <v>84.59</v>
      </c>
      <c r="WJ6" s="2">
        <v>86.48999999999999</v>
      </c>
      <c r="WK6" s="2">
        <v>86.19</v>
      </c>
      <c r="WL6" s="2">
        <v>84.31</v>
      </c>
      <c r="WM6" s="2">
        <v>83.55</v>
      </c>
      <c r="WN6" s="2">
        <v>86.56</v>
      </c>
      <c r="WO6" s="2">
        <v>86.40000000000001</v>
      </c>
      <c r="WP6" s="2">
        <v>85.20999999999999</v>
      </c>
      <c r="WQ6" s="2">
        <v>87.08</v>
      </c>
      <c r="WR6" s="2">
        <v>85.48</v>
      </c>
      <c r="WS6" s="2">
        <v>85.90000000000001</v>
      </c>
      <c r="WT6" s="2">
        <v>85.77</v>
      </c>
      <c r="WU6" s="2">
        <v>81.89</v>
      </c>
      <c r="WV6" s="2">
        <v>80.68000000000001</v>
      </c>
      <c r="WW6" s="2">
        <v>83.8</v>
      </c>
      <c r="WX6" s="2">
        <v>85.65000000000001</v>
      </c>
      <c r="WY6" s="2">
        <v>84.55</v>
      </c>
      <c r="WZ6" s="2">
        <v>81.23</v>
      </c>
      <c r="XA6" s="2">
        <v>80.29000000000001</v>
      </c>
      <c r="XB6" s="2">
        <v>78.83</v>
      </c>
      <c r="XC6" s="2">
        <v>79.45</v>
      </c>
      <c r="XD6" s="2">
        <v>80.84</v>
      </c>
      <c r="XE6" s="2">
        <v>78.73</v>
      </c>
      <c r="XF6" s="2">
        <v>79.20999999999999</v>
      </c>
      <c r="XG6" s="2">
        <v>77.56</v>
      </c>
      <c r="XH6" s="2">
        <v>78.88</v>
      </c>
      <c r="XI6" s="2">
        <v>77.66</v>
      </c>
      <c r="XJ6" s="2">
        <v>76.66</v>
      </c>
      <c r="XK6" s="2">
        <v>75.81999999999999</v>
      </c>
      <c r="XL6" s="2">
        <v>78.81999999999999</v>
      </c>
      <c r="XM6" s="2">
        <v>78.84</v>
      </c>
      <c r="XN6" s="2">
        <v>77.95999999999999</v>
      </c>
      <c r="XO6" s="2">
        <v>80.66</v>
      </c>
      <c r="XP6" s="2">
        <v>80.72</v>
      </c>
      <c r="XQ6" s="2">
        <v>82.88</v>
      </c>
      <c r="XR6" s="2">
        <v>84.33</v>
      </c>
      <c r="XS6" s="2">
        <v>80.14</v>
      </c>
      <c r="XT6" s="2">
        <v>82.08</v>
      </c>
      <c r="XU6" s="2">
        <v>80.78</v>
      </c>
      <c r="XV6" s="2">
        <v>80.12</v>
      </c>
      <c r="XW6" s="2">
        <v>80.59</v>
      </c>
      <c r="XX6" s="2">
        <v>81.39</v>
      </c>
      <c r="XY6" s="2">
        <v>83</v>
      </c>
      <c r="XZ6" s="2">
        <v>87.19</v>
      </c>
      <c r="YA6" s="2">
        <v>91.15000000000001</v>
      </c>
      <c r="YB6" s="2">
        <v>93.84</v>
      </c>
      <c r="YC6" s="2">
        <v>93.5</v>
      </c>
      <c r="YD6" s="2">
        <v>94.41</v>
      </c>
      <c r="YE6" s="2">
        <v>96.31999999999999</v>
      </c>
      <c r="YF6" s="2">
        <v>101.78</v>
      </c>
      <c r="YG6" s="2">
        <v>99.45</v>
      </c>
      <c r="YH6" s="2">
        <v>98.28</v>
      </c>
      <c r="YI6" s="2">
        <v>99.72</v>
      </c>
      <c r="YJ6" s="2">
        <v>100.5</v>
      </c>
      <c r="YK6" s="2">
        <v>101.14</v>
      </c>
      <c r="YL6" s="2">
        <v>99.29000000000001</v>
      </c>
      <c r="YM6" s="2">
        <v>99.54000000000001</v>
      </c>
      <c r="YN6" s="2">
        <v>105.11</v>
      </c>
      <c r="YO6" s="2">
        <v>105.14</v>
      </c>
      <c r="YP6" s="2">
        <v>103.22</v>
      </c>
      <c r="ADO6" s="2">
        <v>2.7</v>
      </c>
      <c r="ADP6" s="2">
        <v>0.5</v>
      </c>
      <c r="ADQ6" s="2">
        <v>3.3</v>
      </c>
      <c r="ADR6" s="2">
        <v>4.6</v>
      </c>
      <c r="ADS6" s="2">
        <v>3.3</v>
      </c>
      <c r="ADT6" s="2">
        <v>4.7</v>
      </c>
      <c r="ADU6" s="2">
        <v>4.7</v>
      </c>
      <c r="ADV6" s="2">
        <v>3.1</v>
      </c>
      <c r="ADW6" s="2">
        <v>0.4</v>
      </c>
      <c r="ADX6" s="2">
        <v>7.3</v>
      </c>
      <c r="ADY6" s="2">
        <v>0.5</v>
      </c>
      <c r="ADZ6" s="2">
        <v>3</v>
      </c>
      <c r="AEA6" s="2">
        <v>3</v>
      </c>
      <c r="AEB6" s="2">
        <v>3.5</v>
      </c>
      <c r="AEC6" s="2">
        <v>3.2</v>
      </c>
      <c r="AED6" s="2">
        <v>2.1</v>
      </c>
      <c r="AEE6" s="2">
        <v>0.9</v>
      </c>
      <c r="AEF6" s="2">
        <v>1.2</v>
      </c>
      <c r="AEG6" s="2">
        <v>1.9</v>
      </c>
      <c r="AEH6" s="2">
        <v>3.6</v>
      </c>
      <c r="AEI6" s="2">
        <v>2.2</v>
      </c>
      <c r="AEJ6" s="2">
        <v>0.5</v>
      </c>
      <c r="AEK6" s="2">
        <v>1.9</v>
      </c>
      <c r="AEL6" s="2">
        <v>2</v>
      </c>
      <c r="AEM6" s="2">
        <v>2.1</v>
      </c>
      <c r="AEN6" s="2">
        <v>1.2</v>
      </c>
      <c r="AEO6" s="2">
        <v>2.9</v>
      </c>
      <c r="AEP6" s="2">
        <v>2.2</v>
      </c>
      <c r="AEQ6" s="2">
        <v>-3</v>
      </c>
      <c r="AER6" s="2">
        <v>1.7</v>
      </c>
      <c r="AES6" s="2">
        <v>10.3</v>
      </c>
      <c r="AET6" s="2">
        <v>3.8</v>
      </c>
      <c r="AEU6" s="2">
        <v>3.5</v>
      </c>
      <c r="AEV6" s="2">
        <v>-2.7</v>
      </c>
      <c r="AEW6" s="2">
        <v>0.8</v>
      </c>
      <c r="AEX6" s="2">
        <v>1.3</v>
      </c>
      <c r="AEY6" s="2">
        <v>2.9</v>
      </c>
      <c r="AEZ6" s="2">
        <v>2.7</v>
      </c>
      <c r="AFA6" s="2">
        <v>0.2</v>
      </c>
      <c r="AFB6" s="2">
        <v>3.3</v>
      </c>
      <c r="AFC6" s="2">
        <v>3.2</v>
      </c>
      <c r="AFD6" s="2">
        <v>1.4</v>
      </c>
      <c r="AFE6" s="2">
        <v>0.1</v>
      </c>
      <c r="AFF6" s="2">
        <v>-0.9</v>
      </c>
      <c r="AFG6" s="2">
        <v>0</v>
      </c>
      <c r="AFH6" s="2">
        <v>1.7</v>
      </c>
      <c r="AFI6" s="2">
        <v>1.3</v>
      </c>
      <c r="AFJ6" s="2">
        <v>-0.4</v>
      </c>
      <c r="AFK6" s="2">
        <v>1.7</v>
      </c>
      <c r="AFL6" s="2">
        <v>0.4</v>
      </c>
      <c r="AFM6" s="2">
        <v>1.1</v>
      </c>
      <c r="AFN6" s="2">
        <v>1.8</v>
      </c>
      <c r="AFO6" s="2">
        <v>0.3</v>
      </c>
      <c r="AFP6" s="2">
        <v>1.4</v>
      </c>
      <c r="AFQ6" s="2">
        <v>-1.2</v>
      </c>
      <c r="AFR6" s="2">
        <v>0.5</v>
      </c>
      <c r="AFS6" s="2">
        <v>-1.2</v>
      </c>
      <c r="AFT6" s="2">
        <v>0.8</v>
      </c>
      <c r="AFU6" s="2">
        <v>3.9</v>
      </c>
      <c r="AFV6" s="2">
        <v>1.4</v>
      </c>
      <c r="AFW6" s="2">
        <v>-0.2</v>
      </c>
      <c r="AFX6" s="2">
        <v>0.7</v>
      </c>
      <c r="AFY6" s="2">
        <v>0.2</v>
      </c>
      <c r="AFZ6" s="2">
        <v>0.3</v>
      </c>
      <c r="AGA6" s="2">
        <v>1.3</v>
      </c>
      <c r="AGB6" s="2">
        <v>1.1</v>
      </c>
      <c r="AGC6" s="2">
        <v>1.5</v>
      </c>
      <c r="AGD6" s="2">
        <v>-2</v>
      </c>
      <c r="AGE6" s="2">
        <v>0.4</v>
      </c>
      <c r="AGF6" s="2">
        <v>-0.9</v>
      </c>
      <c r="AGG6" s="2">
        <v>2</v>
      </c>
      <c r="AGH6" s="2">
        <v>0.1</v>
      </c>
      <c r="AGI6" s="2">
        <v>-4.3</v>
      </c>
      <c r="AGJ6" s="2">
        <v>-1.5</v>
      </c>
      <c r="AGK6" s="2">
        <v>-0.4</v>
      </c>
      <c r="AGL6" s="2">
        <v>-1.4</v>
      </c>
      <c r="AGM6" s="2">
        <v>1.4</v>
      </c>
      <c r="AGN6" s="2">
        <v>-1.4</v>
      </c>
      <c r="AGO6" s="2">
        <v>-0.8</v>
      </c>
      <c r="AGP6" s="2">
        <v>2</v>
      </c>
      <c r="AGQ6" s="2">
        <v>-2.7</v>
      </c>
      <c r="AGR6" s="2">
        <v>1.1</v>
      </c>
      <c r="AGS6" s="2">
        <v>1.3</v>
      </c>
      <c r="AGT6" s="2">
        <v>2.9</v>
      </c>
      <c r="AGU6" s="2">
        <v>3</v>
      </c>
      <c r="AGV6" s="2">
        <v>-1.6</v>
      </c>
      <c r="AGW6" s="2">
        <v>2.3</v>
      </c>
      <c r="AGX6" s="2">
        <v>2.2</v>
      </c>
      <c r="AGY6" s="2">
        <v>2.3</v>
      </c>
      <c r="AGZ6" s="2">
        <v>0.8</v>
      </c>
      <c r="AHA6" s="2">
        <v>3.4</v>
      </c>
      <c r="AHB6" s="2">
        <v>-1</v>
      </c>
      <c r="AHC6" s="2">
        <v>1.4</v>
      </c>
      <c r="AHD6" s="2">
        <v>-1.7</v>
      </c>
      <c r="AHE6" s="2">
        <v>0.7</v>
      </c>
      <c r="AHF6" s="2">
        <v>-2.1</v>
      </c>
      <c r="AHG6" s="2">
        <v>1</v>
      </c>
      <c r="AHH6" s="2">
        <v>2</v>
      </c>
      <c r="AHI6" s="2">
        <v>-0.4</v>
      </c>
      <c r="AHJ6" s="2">
        <v>1.3</v>
      </c>
      <c r="AHK6" s="2">
        <v>2.9</v>
      </c>
      <c r="AHL6" s="2">
        <v>-1.2</v>
      </c>
      <c r="AHM6" s="2">
        <v>3.1</v>
      </c>
      <c r="AHN6" s="2">
        <v>0.4</v>
      </c>
      <c r="AHO6" s="2">
        <v>2.6</v>
      </c>
      <c r="AHP6" s="2">
        <v>-5</v>
      </c>
      <c r="AHQ6" s="2">
        <v>-1.5</v>
      </c>
      <c r="AHR6" s="2">
        <v>3.6</v>
      </c>
      <c r="AHS6" s="2">
        <v>2.7</v>
      </c>
      <c r="AHT6" s="2">
        <v>2</v>
      </c>
      <c r="AHU6" s="2">
        <v>0.3</v>
      </c>
      <c r="AHV6" s="2">
        <v>-0.8</v>
      </c>
      <c r="AHW6" s="2">
        <v>1.6</v>
      </c>
      <c r="AHX6" s="2">
        <v>0.7</v>
      </c>
      <c r="AHY6" s="2">
        <v>-1.6</v>
      </c>
      <c r="AHZ6" s="2">
        <v>-1.8</v>
      </c>
      <c r="AIA6" s="2">
        <v>1.7</v>
      </c>
      <c r="AIB6" s="2">
        <v>-0.4</v>
      </c>
      <c r="AIC6" s="2">
        <v>-0.3</v>
      </c>
      <c r="AID6" s="2">
        <v>1.3</v>
      </c>
      <c r="AIE6" s="2">
        <v>0.1</v>
      </c>
      <c r="AIF6" s="2">
        <v>-2.5</v>
      </c>
      <c r="AIG6" s="2">
        <v>1.2</v>
      </c>
      <c r="AIH6" s="2">
        <v>3.6</v>
      </c>
      <c r="AII6" s="2">
        <v>2.2</v>
      </c>
      <c r="AIJ6" s="2">
        <v>-0.3</v>
      </c>
      <c r="AIK6" s="2">
        <v>-2.2</v>
      </c>
      <c r="AIL6" s="2">
        <v>-0.9</v>
      </c>
      <c r="AIM6" s="2">
        <v>3.6</v>
      </c>
      <c r="AIN6" s="2">
        <v>-0.2</v>
      </c>
      <c r="AIO6" s="2">
        <v>-1.4</v>
      </c>
      <c r="AIP6" s="2">
        <v>2.2</v>
      </c>
      <c r="AIQ6" s="2">
        <v>-1.8</v>
      </c>
      <c r="AIR6" s="2">
        <v>0.5</v>
      </c>
      <c r="AIS6" s="2">
        <v>-0.2</v>
      </c>
      <c r="AIT6" s="2">
        <v>-4.5</v>
      </c>
      <c r="AIU6" s="2">
        <v>-1.5</v>
      </c>
      <c r="AIV6" s="2">
        <v>3.9</v>
      </c>
      <c r="AIW6" s="2">
        <v>2.2</v>
      </c>
      <c r="AIX6" s="2">
        <v>-1.3</v>
      </c>
      <c r="AIY6" s="2">
        <v>-3.9</v>
      </c>
      <c r="AIZ6" s="2">
        <v>-1.2</v>
      </c>
      <c r="AJA6" s="2">
        <v>-1.8</v>
      </c>
      <c r="AJB6" s="2">
        <v>0.8</v>
      </c>
      <c r="AJC6" s="2">
        <v>1.7</v>
      </c>
      <c r="AJD6" s="2">
        <v>-2.6</v>
      </c>
      <c r="AJE6" s="2">
        <v>0.6</v>
      </c>
      <c r="AJF6" s="2">
        <v>-2.1</v>
      </c>
      <c r="AJG6" s="2">
        <v>1.7</v>
      </c>
      <c r="AJH6" s="2">
        <v>-1.5</v>
      </c>
      <c r="AJI6" s="2">
        <v>-1.3</v>
      </c>
      <c r="AJJ6" s="2">
        <v>-1.1</v>
      </c>
      <c r="AJK6" s="2">
        <v>4</v>
      </c>
      <c r="AJL6" s="2">
        <v>0</v>
      </c>
      <c r="AJM6" s="2">
        <v>-1.1</v>
      </c>
      <c r="AJN6" s="2">
        <v>3.5</v>
      </c>
      <c r="AJO6" s="2">
        <v>0.1</v>
      </c>
      <c r="AJP6" s="2">
        <v>2.7</v>
      </c>
      <c r="AJQ6" s="2">
        <v>1.7</v>
      </c>
      <c r="AJR6" s="2">
        <v>-5</v>
      </c>
      <c r="AJS6" s="2">
        <v>2.4</v>
      </c>
      <c r="AJT6" s="2">
        <v>-1.6</v>
      </c>
      <c r="AJU6" s="2">
        <v>-0.8</v>
      </c>
      <c r="AJV6" s="2">
        <v>0.6</v>
      </c>
      <c r="AJW6" s="2">
        <v>1</v>
      </c>
      <c r="AJX6" s="2">
        <v>2</v>
      </c>
      <c r="AJY6" s="2">
        <v>5</v>
      </c>
      <c r="AJZ6" s="2">
        <v>4.5</v>
      </c>
      <c r="AKA6" s="2">
        <v>3</v>
      </c>
      <c r="AKB6" s="2">
        <v>-0.4</v>
      </c>
      <c r="AKC6" s="2">
        <v>1</v>
      </c>
      <c r="AKD6" s="2">
        <v>2</v>
      </c>
      <c r="AKE6" s="2">
        <v>5.7</v>
      </c>
      <c r="AKF6" s="2">
        <v>-2.3</v>
      </c>
      <c r="AKG6" s="2">
        <v>-1.2</v>
      </c>
      <c r="AKH6" s="2">
        <v>1.5</v>
      </c>
      <c r="AKI6" s="2">
        <v>0.8</v>
      </c>
      <c r="AKJ6" s="2">
        <v>0.6</v>
      </c>
      <c r="AKK6" s="2">
        <v>-1.8</v>
      </c>
      <c r="AKL6" s="2">
        <v>0.3</v>
      </c>
      <c r="AKM6" s="2">
        <v>5.6</v>
      </c>
      <c r="AKN6" s="2">
        <v>0</v>
      </c>
      <c r="AKO6" s="2">
        <v>-1.8</v>
      </c>
      <c r="AKP6" s="2">
        <v>0.1</v>
      </c>
      <c r="AKQ6" s="2">
        <v>0.1</v>
      </c>
      <c r="AKR6" s="2">
        <v>0.1</v>
      </c>
    </row>
    <row r="7">
      <c r="A7" t="inlineStr">
        <is>
          <t>Other cereal products</t>
        </is>
      </c>
      <c r="B7" t="inlineStr">
        <is>
          <t>Bread and cereal products</t>
        </is>
      </c>
      <c r="C7">
        <v>3</v>
      </c>
      <c r="D7">
        <v>0.19</v>
      </c>
      <c r="E7" s="3">
        <f>D7/1.56*0.015591039632395175</f>
        <v>0.0018989086731763356</v>
      </c>
      <c r="F7" s="3">
        <f>E7-D7/100</f>
        <v>-1.091326823664425e-06</v>
      </c>
      <c r="G7" s="3">
        <f>D7/1.56</f>
        <v>0.12179487179487179</v>
      </c>
      <c r="H7" s="2">
        <v>75.98</v>
      </c>
      <c r="I7" s="2">
        <v>76.78</v>
      </c>
      <c r="J7" s="2">
        <v>76.52</v>
      </c>
      <c r="K7" s="2">
        <v>78.81</v>
      </c>
      <c r="L7" s="2">
        <v>76.83</v>
      </c>
      <c r="M7" s="2">
        <v>74.92</v>
      </c>
      <c r="N7" s="2">
        <v>77.28</v>
      </c>
      <c r="O7" s="2">
        <v>77.17</v>
      </c>
      <c r="P7" s="2">
        <v>76.81999999999999</v>
      </c>
      <c r="Q7" s="2">
        <v>75.78</v>
      </c>
      <c r="R7" s="2">
        <v>75.2</v>
      </c>
      <c r="S7" s="2">
        <v>75.86</v>
      </c>
      <c r="T7" s="2">
        <v>75.63</v>
      </c>
      <c r="U7" s="2">
        <v>75.12</v>
      </c>
      <c r="V7" s="2">
        <v>74.78</v>
      </c>
      <c r="W7" s="2">
        <v>77.77</v>
      </c>
      <c r="X7" s="2">
        <v>76.78</v>
      </c>
      <c r="Y7" s="2">
        <v>77.44</v>
      </c>
      <c r="Z7" s="2">
        <v>77.8</v>
      </c>
      <c r="AA7" s="2">
        <v>78.72</v>
      </c>
      <c r="AB7" s="2">
        <v>77.89</v>
      </c>
      <c r="AC7" s="2">
        <v>77.20999999999999</v>
      </c>
      <c r="AD7" s="2">
        <v>77.36</v>
      </c>
      <c r="AE7" s="2">
        <v>77.73</v>
      </c>
      <c r="AF7" s="2">
        <v>77.76000000000001</v>
      </c>
      <c r="AG7" s="2">
        <v>78.44</v>
      </c>
      <c r="AH7" s="2">
        <v>77.43000000000001</v>
      </c>
      <c r="AI7" s="2">
        <v>80.38</v>
      </c>
      <c r="AJ7" s="2">
        <v>79.15000000000001</v>
      </c>
      <c r="AK7" s="2">
        <v>80.17</v>
      </c>
      <c r="AL7" s="2">
        <v>85.75</v>
      </c>
      <c r="AM7" s="2">
        <v>88.59999999999999</v>
      </c>
      <c r="AN7" s="2">
        <v>87.52</v>
      </c>
      <c r="AO7" s="2">
        <v>85.53</v>
      </c>
      <c r="AP7" s="2">
        <v>84.26000000000001</v>
      </c>
      <c r="AQ7" s="2">
        <v>83.68000000000001</v>
      </c>
      <c r="AR7" s="2">
        <v>82.91</v>
      </c>
      <c r="AS7" s="2">
        <v>83.31</v>
      </c>
      <c r="AT7" s="2">
        <v>83.18000000000001</v>
      </c>
      <c r="AU7" s="2">
        <v>84.09999999999999</v>
      </c>
      <c r="AV7" s="2">
        <v>82.22</v>
      </c>
      <c r="AW7" s="2">
        <v>80.84999999999999</v>
      </c>
      <c r="AX7" s="2">
        <v>81.59999999999999</v>
      </c>
      <c r="AY7" s="2">
        <v>82.40000000000001</v>
      </c>
      <c r="AZ7" s="2">
        <v>81.75</v>
      </c>
      <c r="BA7" s="2">
        <v>81.45</v>
      </c>
      <c r="BB7" s="2">
        <v>81.73</v>
      </c>
      <c r="BC7" s="2">
        <v>82.97</v>
      </c>
      <c r="BD7" s="2">
        <v>82.97</v>
      </c>
      <c r="BE7" s="2">
        <v>83.93000000000001</v>
      </c>
      <c r="BF7" s="2">
        <v>83.97</v>
      </c>
      <c r="BG7" s="2">
        <v>85.23</v>
      </c>
      <c r="BH7" s="2">
        <v>85.68000000000001</v>
      </c>
      <c r="BI7" s="2">
        <v>87.04000000000001</v>
      </c>
      <c r="BJ7" s="2">
        <v>87.95999999999999</v>
      </c>
      <c r="BK7" s="2">
        <v>88.48</v>
      </c>
      <c r="BL7" s="2">
        <v>89.86</v>
      </c>
      <c r="BM7" s="2">
        <v>90.14</v>
      </c>
      <c r="BN7" s="2">
        <v>92.89</v>
      </c>
      <c r="BO7" s="2">
        <v>94.08</v>
      </c>
      <c r="BP7" s="2">
        <v>92.97</v>
      </c>
      <c r="BQ7" s="2">
        <v>93.76000000000001</v>
      </c>
      <c r="BR7" s="2">
        <v>95.45999999999999</v>
      </c>
      <c r="BS7" s="2">
        <v>96.95</v>
      </c>
      <c r="BT7" s="2">
        <v>96.09999999999999</v>
      </c>
      <c r="BU7" s="2">
        <v>97.2</v>
      </c>
      <c r="BV7" s="2">
        <v>98.38</v>
      </c>
      <c r="BW7" s="2">
        <v>98.62</v>
      </c>
      <c r="BX7" s="2">
        <v>98.29000000000001</v>
      </c>
      <c r="BY7" s="2">
        <v>97.77</v>
      </c>
      <c r="BZ7" s="2">
        <v>98.03</v>
      </c>
      <c r="CA7" s="2">
        <v>98.56999999999999</v>
      </c>
      <c r="CB7" s="2">
        <v>99.26000000000001</v>
      </c>
      <c r="CC7" s="2">
        <v>98.55</v>
      </c>
      <c r="CD7" s="2">
        <v>99.16</v>
      </c>
      <c r="CE7" s="2">
        <v>101.69</v>
      </c>
      <c r="CF7" s="2">
        <v>100.84</v>
      </c>
      <c r="CG7" s="2">
        <v>99.39</v>
      </c>
      <c r="CH7" s="2">
        <v>100.53</v>
      </c>
      <c r="CI7" s="2">
        <v>99.59999999999999</v>
      </c>
      <c r="CJ7" s="2">
        <v>100.17</v>
      </c>
      <c r="CK7" s="2">
        <v>99.54000000000001</v>
      </c>
      <c r="CL7" s="2">
        <v>100.45</v>
      </c>
      <c r="CM7" s="2">
        <v>99.70999999999999</v>
      </c>
      <c r="CN7" s="2">
        <v>100.24</v>
      </c>
      <c r="CO7" s="2">
        <v>100.04</v>
      </c>
      <c r="CP7" s="2">
        <v>99.84</v>
      </c>
      <c r="CQ7" s="2">
        <v>101.89</v>
      </c>
      <c r="CR7" s="2">
        <v>101.1</v>
      </c>
      <c r="CS7" s="2">
        <v>100.06</v>
      </c>
      <c r="CT7" s="2">
        <v>101.04</v>
      </c>
      <c r="CU7" s="2">
        <v>99.56</v>
      </c>
      <c r="CV7" s="2">
        <v>99.76000000000001</v>
      </c>
      <c r="CW7" s="2">
        <v>98.76000000000001</v>
      </c>
      <c r="CX7" s="2">
        <v>99.01000000000001</v>
      </c>
      <c r="CY7" s="2">
        <v>99.56</v>
      </c>
      <c r="CZ7" s="2">
        <v>100</v>
      </c>
      <c r="DA7" s="2">
        <v>98.52</v>
      </c>
      <c r="DB7" s="2">
        <v>99.87</v>
      </c>
      <c r="DC7" s="2">
        <v>101.04</v>
      </c>
      <c r="DD7" s="2">
        <v>99.72</v>
      </c>
      <c r="DE7" s="2">
        <v>99.45999999999999</v>
      </c>
      <c r="DF7" s="2">
        <v>98.31</v>
      </c>
      <c r="DG7" s="2">
        <v>99.40000000000001</v>
      </c>
      <c r="DH7" s="2">
        <v>99.09</v>
      </c>
      <c r="DI7" s="2">
        <v>100.32</v>
      </c>
      <c r="DJ7" s="2">
        <v>98.52</v>
      </c>
      <c r="DK7" s="2">
        <v>-0.5</v>
      </c>
      <c r="DL7" s="2">
        <v>-2.2</v>
      </c>
      <c r="DM7" s="2">
        <v>-2.3</v>
      </c>
      <c r="DN7" s="2">
        <v>-1.3</v>
      </c>
      <c r="DO7" s="2">
        <v>-0.1</v>
      </c>
      <c r="DP7" s="2">
        <v>3.4</v>
      </c>
      <c r="DQ7" s="2">
        <v>0.7</v>
      </c>
      <c r="DR7" s="2">
        <v>2</v>
      </c>
      <c r="DS7" s="2">
        <v>1.4</v>
      </c>
      <c r="DT7" s="2">
        <v>1.9</v>
      </c>
      <c r="DU7" s="2">
        <v>2.9</v>
      </c>
      <c r="DV7" s="2">
        <v>2.5</v>
      </c>
      <c r="DW7" s="2">
        <v>2.8</v>
      </c>
      <c r="DX7" s="2">
        <v>4.4</v>
      </c>
      <c r="DY7" s="2">
        <v>3.5</v>
      </c>
      <c r="DZ7" s="2">
        <v>3.4</v>
      </c>
      <c r="EA7" s="2">
        <v>3.1</v>
      </c>
      <c r="EB7" s="2">
        <v>3.5</v>
      </c>
      <c r="EC7" s="2">
        <v>10.2</v>
      </c>
      <c r="ED7" s="2">
        <v>12.6</v>
      </c>
      <c r="EE7" s="2">
        <v>12.4</v>
      </c>
      <c r="EF7" s="2">
        <v>10.8</v>
      </c>
      <c r="EG7" s="2">
        <v>8.9</v>
      </c>
      <c r="EH7" s="2">
        <v>7.7</v>
      </c>
      <c r="EI7" s="2">
        <v>6.6</v>
      </c>
      <c r="EJ7" s="2">
        <v>6.2</v>
      </c>
      <c r="EK7" s="2">
        <v>7.4</v>
      </c>
      <c r="EL7" s="2">
        <v>4.6</v>
      </c>
      <c r="EM7" s="2">
        <v>3.9</v>
      </c>
      <c r="EN7" s="2">
        <v>0.8</v>
      </c>
      <c r="EO7" s="2">
        <v>-4.8</v>
      </c>
      <c r="EP7" s="2">
        <v>-7</v>
      </c>
      <c r="EQ7" s="2">
        <v>-6.6</v>
      </c>
      <c r="ER7" s="2">
        <v>-4.8</v>
      </c>
      <c r="ES7" s="2">
        <v>-3</v>
      </c>
      <c r="ET7" s="2">
        <v>-0.8</v>
      </c>
      <c r="EU7" s="2">
        <v>0.1</v>
      </c>
      <c r="EV7" s="2">
        <v>0.7</v>
      </c>
      <c r="EW7" s="2">
        <v>0.9</v>
      </c>
      <c r="EX7" s="2">
        <v>1.3</v>
      </c>
      <c r="EY7" s="2">
        <v>4.2</v>
      </c>
      <c r="EZ7" s="2">
        <v>7.7</v>
      </c>
      <c r="FA7" s="2">
        <v>7.8</v>
      </c>
      <c r="FB7" s="2">
        <v>7.4</v>
      </c>
      <c r="FC7" s="2">
        <v>9.9</v>
      </c>
      <c r="FD7" s="2">
        <v>10.7</v>
      </c>
      <c r="FE7" s="2">
        <v>13.7</v>
      </c>
      <c r="FF7" s="2">
        <v>13.4</v>
      </c>
      <c r="FG7" s="2">
        <v>12.1</v>
      </c>
      <c r="FH7" s="2">
        <v>11.7</v>
      </c>
      <c r="FI7" s="2">
        <v>13.7</v>
      </c>
      <c r="FJ7" s="2">
        <v>13.8</v>
      </c>
      <c r="FK7" s="2">
        <v>12.2</v>
      </c>
      <c r="FL7" s="2">
        <v>11.7</v>
      </c>
      <c r="FM7" s="2">
        <v>11.8</v>
      </c>
      <c r="FN7" s="2">
        <v>11.5</v>
      </c>
      <c r="FO7" s="2">
        <v>9.4</v>
      </c>
      <c r="FP7" s="2">
        <v>8.5</v>
      </c>
      <c r="FQ7" s="2">
        <v>5.5</v>
      </c>
      <c r="FR7" s="2">
        <v>4.8</v>
      </c>
      <c r="FS7" s="2">
        <v>6.8</v>
      </c>
      <c r="FT7" s="2">
        <v>5.1</v>
      </c>
      <c r="FU7" s="2">
        <v>3.9</v>
      </c>
      <c r="FV7" s="2">
        <v>4.9</v>
      </c>
      <c r="FW7" s="2">
        <v>4.9</v>
      </c>
      <c r="FX7" s="2">
        <v>2.3</v>
      </c>
      <c r="FY7" s="2">
        <v>2.2</v>
      </c>
      <c r="FZ7" s="2">
        <v>1</v>
      </c>
      <c r="GA7" s="2">
        <v>1.9</v>
      </c>
      <c r="GB7" s="2">
        <v>1.8</v>
      </c>
      <c r="GC7" s="2">
        <v>2.5</v>
      </c>
      <c r="GD7" s="2">
        <v>1.2</v>
      </c>
      <c r="GE7" s="2">
        <v>1</v>
      </c>
      <c r="GF7" s="2">
        <v>1.5</v>
      </c>
      <c r="GG7" s="2">
        <v>0.7</v>
      </c>
      <c r="GH7" s="2">
        <v>0.2</v>
      </c>
      <c r="GI7" s="2">
        <v>0.3</v>
      </c>
      <c r="GJ7" s="2">
        <v>0.7</v>
      </c>
      <c r="GK7" s="2">
        <v>0.5</v>
      </c>
      <c r="GL7" s="2">
        <v>0</v>
      </c>
      <c r="GM7" s="2">
        <v>-0.4</v>
      </c>
      <c r="GN7" s="2">
        <v>-0.8</v>
      </c>
      <c r="GO7" s="2">
        <v>-1.4</v>
      </c>
      <c r="GP7" s="2">
        <v>-0.2</v>
      </c>
      <c r="GQ7" s="2">
        <v>-0.2</v>
      </c>
      <c r="GR7" s="2">
        <v>-1.5</v>
      </c>
      <c r="GS7" s="2">
        <v>0</v>
      </c>
      <c r="GT7" s="2">
        <v>-0.8</v>
      </c>
      <c r="GU7" s="2">
        <v>-1.4</v>
      </c>
      <c r="GV7" s="2">
        <v>-0.6</v>
      </c>
      <c r="GW7" s="2">
        <v>-2.7</v>
      </c>
      <c r="GX7" s="2">
        <v>-0.2</v>
      </c>
      <c r="GY7" s="2">
        <v>-0.7</v>
      </c>
      <c r="GZ7" s="2">
        <v>1.6</v>
      </c>
      <c r="HA7" s="2">
        <v>-0.5</v>
      </c>
      <c r="HB7" s="2">
        <v>1.1</v>
      </c>
      <c r="HC7" s="2">
        <v>-0.3</v>
      </c>
      <c r="HD7" s="2">
        <v>3</v>
      </c>
      <c r="HE7" s="2">
        <v>-2.5</v>
      </c>
      <c r="HF7" s="2">
        <v>-2.5</v>
      </c>
      <c r="HG7" s="2">
        <v>3.2</v>
      </c>
      <c r="HH7" s="2">
        <v>-0.1</v>
      </c>
      <c r="HI7" s="2">
        <v>-0.5</v>
      </c>
      <c r="HJ7" s="2">
        <v>-1.4</v>
      </c>
      <c r="HK7" s="2">
        <v>-0.8</v>
      </c>
      <c r="HL7" s="2">
        <v>0.9</v>
      </c>
      <c r="HM7" s="2">
        <v>-0.3</v>
      </c>
      <c r="HN7" s="2">
        <v>-0.7</v>
      </c>
      <c r="HO7" s="2">
        <v>-0.5</v>
      </c>
      <c r="HP7" s="2">
        <v>4</v>
      </c>
      <c r="HQ7" s="2">
        <v>-1.3</v>
      </c>
      <c r="HR7" s="2">
        <v>0.9</v>
      </c>
      <c r="HS7" s="2">
        <v>0.5</v>
      </c>
      <c r="HT7" s="2">
        <v>1.2</v>
      </c>
      <c r="HU7" s="2">
        <v>-1.1</v>
      </c>
      <c r="HV7" s="2">
        <v>-0.9</v>
      </c>
      <c r="HW7" s="2">
        <v>0.2</v>
      </c>
      <c r="HX7" s="2">
        <v>0.5</v>
      </c>
      <c r="HY7" s="2">
        <v>0</v>
      </c>
      <c r="HZ7" s="2">
        <v>0.9</v>
      </c>
      <c r="IA7" s="2">
        <v>-1.3</v>
      </c>
      <c r="IB7" s="2">
        <v>3.8</v>
      </c>
      <c r="IC7" s="2">
        <v>-1.5</v>
      </c>
      <c r="ID7" s="2">
        <v>1.3</v>
      </c>
      <c r="IE7" s="2">
        <v>7</v>
      </c>
      <c r="IF7" s="2">
        <v>3.3</v>
      </c>
      <c r="IG7" s="2">
        <v>-1.2</v>
      </c>
      <c r="IH7" s="2">
        <v>-2.3</v>
      </c>
      <c r="II7" s="2">
        <v>-1.5</v>
      </c>
      <c r="IJ7" s="2">
        <v>-0.7</v>
      </c>
      <c r="IK7" s="2">
        <v>-0.9</v>
      </c>
      <c r="IL7" s="2">
        <v>0.5</v>
      </c>
      <c r="IM7" s="2">
        <v>-0.2</v>
      </c>
      <c r="IN7" s="2">
        <v>1.1</v>
      </c>
      <c r="IO7" s="2">
        <v>-2.2</v>
      </c>
      <c r="IP7" s="2">
        <v>-1.7</v>
      </c>
      <c r="IQ7" s="2">
        <v>0.9</v>
      </c>
      <c r="IR7" s="2">
        <v>1</v>
      </c>
      <c r="IS7" s="2">
        <v>-0.8</v>
      </c>
      <c r="IT7" s="2">
        <v>-0.4</v>
      </c>
      <c r="IU7" s="2">
        <v>0.3</v>
      </c>
      <c r="IV7" s="2">
        <v>1.5</v>
      </c>
      <c r="IW7" s="2">
        <v>0</v>
      </c>
      <c r="IX7" s="2">
        <v>1.2</v>
      </c>
      <c r="IY7" s="2">
        <v>0</v>
      </c>
      <c r="IZ7" s="2">
        <v>1.5</v>
      </c>
      <c r="JA7" s="2">
        <v>0.5</v>
      </c>
      <c r="JB7" s="2">
        <v>1.6</v>
      </c>
      <c r="JC7" s="2">
        <v>1.1</v>
      </c>
      <c r="JD7" s="2">
        <v>0.6</v>
      </c>
      <c r="JE7" s="2">
        <v>1.6</v>
      </c>
      <c r="JF7" s="2">
        <v>0.3</v>
      </c>
      <c r="JG7" s="2">
        <v>3.1</v>
      </c>
      <c r="JH7" s="2">
        <v>1.3</v>
      </c>
      <c r="JI7" s="2">
        <v>-1.2</v>
      </c>
      <c r="JJ7" s="2">
        <v>0.8</v>
      </c>
      <c r="JK7" s="2">
        <v>1.8</v>
      </c>
      <c r="JL7" s="2">
        <v>1.6</v>
      </c>
      <c r="JM7" s="2">
        <v>-0.9</v>
      </c>
      <c r="JN7" s="2">
        <v>1.1</v>
      </c>
      <c r="JO7" s="2">
        <v>1.2</v>
      </c>
      <c r="JP7" s="2">
        <v>0.2</v>
      </c>
      <c r="JQ7" s="2">
        <v>-0.3</v>
      </c>
      <c r="JR7" s="2">
        <v>-0.5</v>
      </c>
      <c r="JS7" s="2">
        <v>0.3</v>
      </c>
      <c r="JT7" s="2">
        <v>0.6</v>
      </c>
      <c r="JU7" s="2">
        <v>0.7</v>
      </c>
      <c r="JV7" s="2">
        <v>-0.7</v>
      </c>
      <c r="JW7" s="2">
        <v>0.6</v>
      </c>
      <c r="JX7" s="2">
        <v>2.6</v>
      </c>
      <c r="JY7" s="2">
        <v>-0.8</v>
      </c>
      <c r="JZ7" s="2">
        <v>-1.4</v>
      </c>
      <c r="KA7" s="2">
        <v>1.1</v>
      </c>
      <c r="KB7" s="2">
        <v>-0.9</v>
      </c>
      <c r="KC7" s="2">
        <v>0.6</v>
      </c>
      <c r="KD7" s="2">
        <v>-0.6</v>
      </c>
      <c r="KE7" s="2">
        <v>0.9</v>
      </c>
      <c r="KF7" s="2">
        <v>-0.7</v>
      </c>
      <c r="KG7" s="2">
        <v>0.5</v>
      </c>
      <c r="KH7" s="2">
        <v>-0.2</v>
      </c>
      <c r="KI7" s="2">
        <v>-0.2</v>
      </c>
      <c r="KJ7" s="2">
        <v>2.1</v>
      </c>
      <c r="KK7" s="2">
        <v>-0.8</v>
      </c>
      <c r="KL7" s="2">
        <v>-1</v>
      </c>
      <c r="KM7" s="2">
        <v>1</v>
      </c>
      <c r="KN7" s="2">
        <v>-1.5</v>
      </c>
      <c r="KO7" s="2">
        <v>0.2</v>
      </c>
      <c r="KP7" s="2">
        <v>-1</v>
      </c>
      <c r="KQ7" s="2">
        <v>0.3</v>
      </c>
      <c r="KR7" s="2">
        <v>0.6</v>
      </c>
      <c r="KS7" s="2">
        <v>0.4</v>
      </c>
      <c r="KT7" s="2">
        <v>-1.5</v>
      </c>
      <c r="KU7" s="2">
        <v>1.4</v>
      </c>
      <c r="KV7" s="2">
        <v>1.2</v>
      </c>
      <c r="KW7" s="2">
        <v>-1.3</v>
      </c>
      <c r="KX7" s="2">
        <v>-0.3</v>
      </c>
      <c r="KY7" s="2">
        <v>-1.2</v>
      </c>
      <c r="KZ7" s="2">
        <v>1.1</v>
      </c>
      <c r="LA7" s="2">
        <v>-0.3</v>
      </c>
      <c r="LB7" s="2">
        <v>1.2</v>
      </c>
      <c r="LC7" s="2">
        <v>-1.8</v>
      </c>
      <c r="LD7" s="2">
        <v>0.18</v>
      </c>
      <c r="LE7" s="2">
        <v>0.18</v>
      </c>
      <c r="LF7" s="2">
        <v>0.18</v>
      </c>
      <c r="LG7" s="2">
        <v>0.18</v>
      </c>
      <c r="LH7" s="2">
        <v>0.18</v>
      </c>
      <c r="LI7" s="2">
        <v>0.18</v>
      </c>
      <c r="LJ7" s="2">
        <v>0.18</v>
      </c>
      <c r="LK7" s="2">
        <v>0.18</v>
      </c>
      <c r="LL7" s="2">
        <v>0.18</v>
      </c>
      <c r="LM7" s="2">
        <v>0.18</v>
      </c>
      <c r="LN7" s="2">
        <v>0.18</v>
      </c>
      <c r="LO7" s="2">
        <v>0.18</v>
      </c>
      <c r="LP7" s="2">
        <v>0.18</v>
      </c>
      <c r="LQ7" s="2">
        <v>0.18</v>
      </c>
      <c r="LR7" s="2">
        <v>0.18</v>
      </c>
      <c r="LS7" s="2">
        <v>0.18</v>
      </c>
      <c r="LT7" s="2">
        <v>0.18</v>
      </c>
      <c r="LU7" s="2">
        <v>0.18</v>
      </c>
      <c r="LV7" s="2">
        <v>0.18</v>
      </c>
      <c r="LW7" s="2">
        <v>0.18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RO7" s="2">
        <v>22.34</v>
      </c>
      <c r="RP7" s="2">
        <v>22.86</v>
      </c>
      <c r="RQ7" s="2">
        <v>24.01</v>
      </c>
      <c r="RR7" s="2">
        <v>24.82</v>
      </c>
      <c r="RS7" s="2">
        <v>24.77</v>
      </c>
      <c r="RT7" s="2">
        <v>25.82</v>
      </c>
      <c r="RU7" s="2">
        <v>27.68</v>
      </c>
      <c r="RV7" s="2">
        <v>28.21</v>
      </c>
      <c r="RW7" s="2">
        <v>28.64</v>
      </c>
      <c r="RX7" s="2">
        <v>28.73</v>
      </c>
      <c r="RY7" s="2">
        <v>30.5</v>
      </c>
      <c r="RZ7" s="2">
        <v>30.83</v>
      </c>
      <c r="SA7" s="2">
        <v>30.45</v>
      </c>
      <c r="SB7" s="2">
        <v>31.16</v>
      </c>
      <c r="SC7" s="2">
        <v>32.84</v>
      </c>
      <c r="SD7" s="2">
        <v>32.55</v>
      </c>
      <c r="SE7" s="2">
        <v>33.31</v>
      </c>
      <c r="SF7" s="2">
        <v>33.03</v>
      </c>
      <c r="SG7" s="2">
        <v>33.65</v>
      </c>
      <c r="SH7" s="2">
        <v>34.12</v>
      </c>
      <c r="SI7" s="2">
        <v>35.22</v>
      </c>
      <c r="SJ7" s="2">
        <v>36.03</v>
      </c>
      <c r="SK7" s="2">
        <v>36.8</v>
      </c>
      <c r="SL7" s="2">
        <v>36.46</v>
      </c>
      <c r="SM7" s="2">
        <v>37.99</v>
      </c>
      <c r="SN7" s="2">
        <v>38.23</v>
      </c>
      <c r="SO7" s="2">
        <v>38.66</v>
      </c>
      <c r="SP7" s="2">
        <v>39.76</v>
      </c>
      <c r="SQ7" s="2">
        <v>40.52</v>
      </c>
      <c r="SR7" s="2">
        <v>41</v>
      </c>
      <c r="SS7" s="2">
        <v>42</v>
      </c>
      <c r="ST7" s="2">
        <v>43.14</v>
      </c>
      <c r="SU7" s="2">
        <v>43.29</v>
      </c>
      <c r="SV7" s="2">
        <v>44.81</v>
      </c>
      <c r="SW7" s="2">
        <v>45.86</v>
      </c>
      <c r="SX7" s="2">
        <v>45.39</v>
      </c>
      <c r="SY7" s="2">
        <v>47.15</v>
      </c>
      <c r="SZ7" s="2">
        <v>47.3</v>
      </c>
      <c r="TA7" s="2">
        <v>48.16</v>
      </c>
      <c r="TB7" s="2">
        <v>48.3</v>
      </c>
      <c r="TC7" s="2">
        <v>48.78</v>
      </c>
      <c r="TD7" s="2">
        <v>48.97</v>
      </c>
      <c r="TE7" s="2">
        <v>50.02</v>
      </c>
      <c r="TF7" s="2">
        <v>49.73</v>
      </c>
      <c r="TG7" s="2">
        <v>49.97</v>
      </c>
      <c r="TH7" s="2">
        <v>51.07</v>
      </c>
      <c r="TI7" s="2">
        <v>51.4</v>
      </c>
      <c r="TJ7" s="2">
        <v>52.31</v>
      </c>
      <c r="TK7" s="2">
        <v>52.21</v>
      </c>
      <c r="TL7" s="2">
        <v>51.45</v>
      </c>
      <c r="TM7" s="2">
        <v>53.64</v>
      </c>
      <c r="TN7" s="2">
        <v>52.12</v>
      </c>
      <c r="TO7" s="2">
        <v>51.45</v>
      </c>
      <c r="TP7" s="2">
        <v>51.97</v>
      </c>
      <c r="TQ7" s="2">
        <v>53.69</v>
      </c>
      <c r="TR7" s="2">
        <v>53.12</v>
      </c>
      <c r="TS7" s="2">
        <v>52.69</v>
      </c>
      <c r="TT7" s="2">
        <v>54.07</v>
      </c>
      <c r="TU7" s="2">
        <v>55.65</v>
      </c>
      <c r="TV7" s="2">
        <v>56.94</v>
      </c>
      <c r="TW7" s="2">
        <v>56.22</v>
      </c>
      <c r="TX7" s="2">
        <v>56.6</v>
      </c>
      <c r="TY7" s="2">
        <v>56.84</v>
      </c>
      <c r="TZ7" s="2">
        <v>57.37</v>
      </c>
      <c r="UA7" s="2">
        <v>57.65</v>
      </c>
      <c r="UB7" s="2">
        <v>58.37</v>
      </c>
      <c r="UC7" s="2">
        <v>57.84</v>
      </c>
      <c r="UD7" s="2">
        <v>58.65</v>
      </c>
      <c r="UE7" s="2">
        <v>57.84</v>
      </c>
      <c r="UF7" s="2">
        <v>59.23</v>
      </c>
      <c r="UG7" s="2">
        <v>59.28</v>
      </c>
      <c r="UH7" s="2">
        <v>59.51</v>
      </c>
      <c r="UI7" s="2">
        <v>59.89</v>
      </c>
      <c r="UJ7" s="2">
        <v>57.68</v>
      </c>
      <c r="UK7" s="2">
        <v>59.29</v>
      </c>
      <c r="UL7" s="2">
        <v>59.73</v>
      </c>
      <c r="UM7" s="2">
        <v>59.65</v>
      </c>
      <c r="UN7" s="2">
        <v>59.92</v>
      </c>
      <c r="UO7" s="2">
        <v>59.31</v>
      </c>
      <c r="UP7" s="2">
        <v>60.72</v>
      </c>
      <c r="UQ7" s="2">
        <v>59.75</v>
      </c>
      <c r="UR7" s="2">
        <v>58.17</v>
      </c>
      <c r="US7" s="2">
        <v>59.69</v>
      </c>
      <c r="UT7" s="2">
        <v>61.16</v>
      </c>
      <c r="UU7" s="2">
        <v>61.62</v>
      </c>
      <c r="UV7" s="2">
        <v>62.31</v>
      </c>
      <c r="UW7" s="2">
        <v>62.12</v>
      </c>
      <c r="UX7" s="2">
        <v>61.99</v>
      </c>
      <c r="UY7" s="2">
        <v>62.23</v>
      </c>
      <c r="UZ7" s="2">
        <v>63.44</v>
      </c>
      <c r="VA7" s="2">
        <v>64.81999999999999</v>
      </c>
      <c r="VB7" s="2">
        <v>68.81</v>
      </c>
      <c r="VC7" s="2">
        <v>67.83</v>
      </c>
      <c r="VD7" s="2">
        <v>67.23999999999999</v>
      </c>
      <c r="VE7" s="2">
        <v>65.97</v>
      </c>
      <c r="VF7" s="2">
        <v>67.5</v>
      </c>
      <c r="VG7" s="2">
        <v>66.52</v>
      </c>
      <c r="VH7" s="2">
        <v>67.58</v>
      </c>
      <c r="VI7" s="2">
        <v>67.39</v>
      </c>
      <c r="VJ7" s="2">
        <v>68.06</v>
      </c>
      <c r="VK7" s="2">
        <v>68.19</v>
      </c>
      <c r="VL7" s="2">
        <v>67.79000000000001</v>
      </c>
      <c r="VM7" s="2">
        <v>66.59</v>
      </c>
      <c r="VN7" s="2">
        <v>67.98</v>
      </c>
      <c r="VO7" s="2">
        <v>67.78</v>
      </c>
      <c r="VP7" s="2">
        <v>69.31</v>
      </c>
      <c r="VQ7" s="2">
        <v>69.76000000000001</v>
      </c>
      <c r="VR7" s="2">
        <v>71.19</v>
      </c>
      <c r="VS7" s="2">
        <v>71.2</v>
      </c>
      <c r="VT7" s="2">
        <v>72.37</v>
      </c>
      <c r="VU7" s="2">
        <v>77.81999999999999</v>
      </c>
      <c r="VV7" s="2">
        <v>77.29000000000001</v>
      </c>
      <c r="VW7" s="2">
        <v>82.56999999999999</v>
      </c>
      <c r="VX7" s="2">
        <v>84.17</v>
      </c>
      <c r="VY7" s="2">
        <v>86.66</v>
      </c>
      <c r="VZ7" s="2">
        <v>85.64</v>
      </c>
      <c r="WA7" s="2">
        <v>86.73</v>
      </c>
      <c r="WB7" s="2">
        <v>84.95999999999999</v>
      </c>
      <c r="WC7" s="2">
        <v>86.05</v>
      </c>
      <c r="WD7" s="2">
        <v>84.73999999999999</v>
      </c>
      <c r="WE7" s="2">
        <v>85.31999999999999</v>
      </c>
      <c r="WF7" s="2">
        <v>83.56999999999999</v>
      </c>
      <c r="WG7" s="2">
        <v>84.01000000000001</v>
      </c>
      <c r="WH7" s="2">
        <v>84.65000000000001</v>
      </c>
      <c r="WI7" s="2">
        <v>85.02</v>
      </c>
      <c r="WJ7" s="2">
        <v>84.2</v>
      </c>
      <c r="WK7" s="2">
        <v>84.20999999999999</v>
      </c>
      <c r="WL7" s="2">
        <v>84.84</v>
      </c>
      <c r="WM7" s="2">
        <v>84.36</v>
      </c>
      <c r="WN7" s="2">
        <v>85.34999999999999</v>
      </c>
      <c r="WO7" s="2">
        <v>85.56999999999999</v>
      </c>
      <c r="WP7" s="2">
        <v>85.64</v>
      </c>
      <c r="WQ7" s="2">
        <v>86.3</v>
      </c>
      <c r="WR7" s="2">
        <v>85.73999999999999</v>
      </c>
      <c r="WS7" s="2">
        <v>84.41</v>
      </c>
      <c r="WT7" s="2">
        <v>83.29000000000001</v>
      </c>
      <c r="WU7" s="2">
        <v>84.08</v>
      </c>
      <c r="WV7" s="2">
        <v>84.75</v>
      </c>
      <c r="WW7" s="2">
        <v>84.17</v>
      </c>
      <c r="WX7" s="2">
        <v>81.95999999999999</v>
      </c>
      <c r="WY7" s="2">
        <v>82.64</v>
      </c>
      <c r="WZ7" s="2">
        <v>82.86</v>
      </c>
      <c r="XA7" s="2">
        <v>81.61</v>
      </c>
      <c r="XB7" s="2">
        <v>78.89</v>
      </c>
      <c r="XC7" s="2">
        <v>78.8</v>
      </c>
      <c r="XD7" s="2">
        <v>78.75</v>
      </c>
      <c r="XE7" s="2">
        <v>78.01000000000001</v>
      </c>
      <c r="XF7" s="2">
        <v>76.79000000000001</v>
      </c>
      <c r="XG7" s="2">
        <v>76.69</v>
      </c>
      <c r="XH7" s="2">
        <v>78.05</v>
      </c>
      <c r="XI7" s="2">
        <v>76.81999999999999</v>
      </c>
      <c r="XJ7" s="2">
        <v>77.42</v>
      </c>
      <c r="XK7" s="2">
        <v>76.29000000000001</v>
      </c>
      <c r="XL7" s="2">
        <v>76.7</v>
      </c>
      <c r="XM7" s="2">
        <v>77.53</v>
      </c>
      <c r="XN7" s="2">
        <v>78.37</v>
      </c>
      <c r="XO7" s="2">
        <v>77.7</v>
      </c>
      <c r="XP7" s="2">
        <v>78.83</v>
      </c>
      <c r="XQ7" s="2">
        <v>82.31999999999999</v>
      </c>
      <c r="XR7" s="2">
        <v>87.29000000000001</v>
      </c>
      <c r="XS7" s="2">
        <v>83.53</v>
      </c>
      <c r="XT7" s="2">
        <v>83.25</v>
      </c>
      <c r="XU7" s="2">
        <v>80.95999999999999</v>
      </c>
      <c r="XV7" s="2">
        <v>81.67</v>
      </c>
      <c r="XW7" s="2">
        <v>82.40000000000001</v>
      </c>
      <c r="XX7" s="2">
        <v>84.34999999999999</v>
      </c>
      <c r="XY7" s="2">
        <v>86.86</v>
      </c>
      <c r="XZ7" s="2">
        <v>90.16</v>
      </c>
      <c r="YA7" s="2">
        <v>93.31</v>
      </c>
      <c r="YB7" s="2">
        <v>95.39</v>
      </c>
      <c r="YC7" s="2">
        <v>97.23</v>
      </c>
      <c r="YD7" s="2">
        <v>98.23</v>
      </c>
      <c r="YE7" s="2">
        <v>98.62</v>
      </c>
      <c r="YF7" s="2">
        <v>99.8</v>
      </c>
      <c r="YG7" s="2">
        <v>100.25</v>
      </c>
      <c r="YH7" s="2">
        <v>99.77</v>
      </c>
      <c r="YI7" s="2">
        <v>100.14</v>
      </c>
      <c r="YJ7" s="2">
        <v>100.59</v>
      </c>
      <c r="YK7" s="2">
        <v>100.73</v>
      </c>
      <c r="YL7" s="2">
        <v>99.36</v>
      </c>
      <c r="YM7" s="2">
        <v>99.52</v>
      </c>
      <c r="YN7" s="2">
        <v>99.81</v>
      </c>
      <c r="YO7" s="2">
        <v>99.16</v>
      </c>
      <c r="YP7" s="2">
        <v>99.61</v>
      </c>
      <c r="ADO7" s="2">
        <v>2.3</v>
      </c>
      <c r="ADP7" s="2">
        <v>5</v>
      </c>
      <c r="ADQ7" s="2">
        <v>3.4</v>
      </c>
      <c r="ADR7" s="2">
        <v>-0.2</v>
      </c>
      <c r="ADS7" s="2">
        <v>4.2</v>
      </c>
      <c r="ADT7" s="2">
        <v>7.2</v>
      </c>
      <c r="ADU7" s="2">
        <v>1.9</v>
      </c>
      <c r="ADV7" s="2">
        <v>1.5</v>
      </c>
      <c r="ADW7" s="2">
        <v>0.3</v>
      </c>
      <c r="ADX7" s="2">
        <v>6.2</v>
      </c>
      <c r="ADY7" s="2">
        <v>1.1</v>
      </c>
      <c r="ADZ7" s="2">
        <v>-1.2</v>
      </c>
      <c r="AEA7" s="2">
        <v>2.3</v>
      </c>
      <c r="AEB7" s="2">
        <v>5.4</v>
      </c>
      <c r="AEC7" s="2">
        <v>-0.9</v>
      </c>
      <c r="AED7" s="2">
        <v>2.3</v>
      </c>
      <c r="AEE7" s="2">
        <v>-0.8</v>
      </c>
      <c r="AEF7" s="2">
        <v>1.9</v>
      </c>
      <c r="AEG7" s="2">
        <v>1.4</v>
      </c>
      <c r="AEH7" s="2">
        <v>3.2</v>
      </c>
      <c r="AEI7" s="2">
        <v>2.3</v>
      </c>
      <c r="AEJ7" s="2">
        <v>2.1</v>
      </c>
      <c r="AEK7" s="2">
        <v>-0.9</v>
      </c>
      <c r="AEL7" s="2">
        <v>4.2</v>
      </c>
      <c r="AEM7" s="2">
        <v>0.6</v>
      </c>
      <c r="AEN7" s="2">
        <v>1.1</v>
      </c>
      <c r="AEO7" s="2">
        <v>2.8</v>
      </c>
      <c r="AEP7" s="2">
        <v>1.9</v>
      </c>
      <c r="AEQ7" s="2">
        <v>1.2</v>
      </c>
      <c r="AER7" s="2">
        <v>2.4</v>
      </c>
      <c r="AES7" s="2">
        <v>2.7</v>
      </c>
      <c r="AET7" s="2">
        <v>0.3</v>
      </c>
      <c r="AEU7" s="2">
        <v>3.5</v>
      </c>
      <c r="AEV7" s="2">
        <v>2.3</v>
      </c>
      <c r="AEW7" s="2">
        <v>-1</v>
      </c>
      <c r="AEX7" s="2">
        <v>3.9</v>
      </c>
      <c r="AEY7" s="2">
        <v>0.3</v>
      </c>
      <c r="AEZ7" s="2">
        <v>1.8</v>
      </c>
      <c r="AFA7" s="2">
        <v>0.3</v>
      </c>
      <c r="AFB7" s="2">
        <v>1</v>
      </c>
      <c r="AFC7" s="2">
        <v>0.4</v>
      </c>
      <c r="AFD7" s="2">
        <v>2.1</v>
      </c>
      <c r="AFE7" s="2">
        <v>-0.6</v>
      </c>
      <c r="AFF7" s="2">
        <v>0.5</v>
      </c>
      <c r="AFG7" s="2">
        <v>2.2</v>
      </c>
      <c r="AFH7" s="2">
        <v>0.6</v>
      </c>
      <c r="AFI7" s="2">
        <v>1.8</v>
      </c>
      <c r="AFJ7" s="2">
        <v>-0.2</v>
      </c>
      <c r="AFK7" s="2">
        <v>-1.5</v>
      </c>
      <c r="AFL7" s="2">
        <v>4.3</v>
      </c>
      <c r="AFM7" s="2">
        <v>-2.8</v>
      </c>
      <c r="AFN7" s="2">
        <v>-1.3</v>
      </c>
      <c r="AFO7" s="2">
        <v>1</v>
      </c>
      <c r="AFP7" s="2">
        <v>3.3</v>
      </c>
      <c r="AFQ7" s="2">
        <v>-1.1</v>
      </c>
      <c r="AFR7" s="2">
        <v>-0.8</v>
      </c>
      <c r="AFS7" s="2">
        <v>2.6</v>
      </c>
      <c r="AFT7" s="2">
        <v>2.9</v>
      </c>
      <c r="AFU7" s="2">
        <v>2.3</v>
      </c>
      <c r="AFV7" s="2">
        <v>-1.3</v>
      </c>
      <c r="AFW7" s="2">
        <v>0.7</v>
      </c>
      <c r="AFX7" s="2">
        <v>0.4</v>
      </c>
      <c r="AFY7" s="2">
        <v>0.9</v>
      </c>
      <c r="AFZ7" s="2">
        <v>0.5</v>
      </c>
      <c r="AGA7" s="2">
        <v>1.2</v>
      </c>
      <c r="AGB7" s="2">
        <v>-0.9</v>
      </c>
      <c r="AGC7" s="2">
        <v>1.4</v>
      </c>
      <c r="AGD7" s="2">
        <v>-1.4</v>
      </c>
      <c r="AGE7" s="2">
        <v>2.4</v>
      </c>
      <c r="AGF7" s="2">
        <v>0.1</v>
      </c>
      <c r="AGG7" s="2">
        <v>0.4</v>
      </c>
      <c r="AGH7" s="2">
        <v>0.6</v>
      </c>
      <c r="AGI7" s="2">
        <v>-3.7</v>
      </c>
      <c r="AGJ7" s="2">
        <v>2.8</v>
      </c>
      <c r="AGK7" s="2">
        <v>0.7</v>
      </c>
      <c r="AGL7" s="2">
        <v>-0.1</v>
      </c>
      <c r="AGM7" s="2">
        <v>0.5</v>
      </c>
      <c r="AGN7" s="2">
        <v>-1</v>
      </c>
      <c r="AGO7" s="2">
        <v>2.4</v>
      </c>
      <c r="AGP7" s="2">
        <v>-1.6</v>
      </c>
      <c r="AGQ7" s="2">
        <v>-2.6</v>
      </c>
      <c r="AGR7" s="2">
        <v>2.6</v>
      </c>
      <c r="AGS7" s="2">
        <v>2.5</v>
      </c>
      <c r="AGT7" s="2">
        <v>0.8</v>
      </c>
      <c r="AGU7" s="2">
        <v>1.1</v>
      </c>
      <c r="AGV7" s="2">
        <v>-0.3</v>
      </c>
      <c r="AGW7" s="2">
        <v>-0.2</v>
      </c>
      <c r="AGX7" s="2">
        <v>0.4</v>
      </c>
      <c r="AGY7" s="2">
        <v>1.9</v>
      </c>
      <c r="AGZ7" s="2">
        <v>2.2</v>
      </c>
      <c r="AHA7" s="2">
        <v>6.2</v>
      </c>
      <c r="AHB7" s="2">
        <v>-1.4</v>
      </c>
      <c r="AHC7" s="2">
        <v>-0.9</v>
      </c>
      <c r="AHD7" s="2">
        <v>-1.9</v>
      </c>
      <c r="AHE7" s="2">
        <v>2.3</v>
      </c>
      <c r="AHF7" s="2">
        <v>-1.5</v>
      </c>
      <c r="AHG7" s="2">
        <v>1.6</v>
      </c>
      <c r="AHH7" s="2">
        <v>-0.3</v>
      </c>
      <c r="AHI7" s="2">
        <v>1</v>
      </c>
      <c r="AHJ7" s="2">
        <v>0.2</v>
      </c>
      <c r="AHK7" s="2">
        <v>-0.6</v>
      </c>
      <c r="AHL7" s="2">
        <v>-1.8</v>
      </c>
      <c r="AHM7" s="2">
        <v>2.1</v>
      </c>
      <c r="AHN7" s="2">
        <v>-0.3</v>
      </c>
      <c r="AHO7" s="2">
        <v>2.3</v>
      </c>
      <c r="AHP7" s="2">
        <v>0.6</v>
      </c>
      <c r="AHQ7" s="2">
        <v>2</v>
      </c>
      <c r="AHR7" s="2">
        <v>0</v>
      </c>
      <c r="AHS7" s="2">
        <v>1.6</v>
      </c>
      <c r="AHT7" s="2">
        <v>7.5</v>
      </c>
      <c r="AHU7" s="2">
        <v>-0.7</v>
      </c>
      <c r="AHV7" s="2">
        <v>6.8</v>
      </c>
      <c r="AHW7" s="2">
        <v>1.9</v>
      </c>
      <c r="AHX7" s="2">
        <v>3</v>
      </c>
      <c r="AHY7" s="2">
        <v>-1.2</v>
      </c>
      <c r="AHZ7" s="2">
        <v>1.3</v>
      </c>
      <c r="AIA7" s="2">
        <v>-2</v>
      </c>
      <c r="AIB7" s="2">
        <v>1.3</v>
      </c>
      <c r="AIC7" s="2">
        <v>-1.5</v>
      </c>
      <c r="AID7" s="2">
        <v>0.7</v>
      </c>
      <c r="AIE7" s="2">
        <v>-2.1</v>
      </c>
      <c r="AIF7" s="2">
        <v>0.5</v>
      </c>
      <c r="AIG7" s="2">
        <v>0.8</v>
      </c>
      <c r="AIH7" s="2">
        <v>0.4</v>
      </c>
      <c r="AII7" s="2">
        <v>-1</v>
      </c>
      <c r="AIJ7" s="2">
        <v>0</v>
      </c>
      <c r="AIK7" s="2">
        <v>0.7</v>
      </c>
      <c r="AIL7" s="2">
        <v>-0.6</v>
      </c>
      <c r="AIM7" s="2">
        <v>1.2</v>
      </c>
      <c r="AIN7" s="2">
        <v>0.3</v>
      </c>
      <c r="AIO7" s="2">
        <v>0.1</v>
      </c>
      <c r="AIP7" s="2">
        <v>0.8</v>
      </c>
      <c r="AIQ7" s="2">
        <v>-0.6</v>
      </c>
      <c r="AIR7" s="2">
        <v>-1.6</v>
      </c>
      <c r="AIS7" s="2">
        <v>-1.3</v>
      </c>
      <c r="AIT7" s="2">
        <v>0.9</v>
      </c>
      <c r="AIU7" s="2">
        <v>0.8</v>
      </c>
      <c r="AIV7" s="2">
        <v>-0.7</v>
      </c>
      <c r="AIW7" s="2">
        <v>-2.6</v>
      </c>
      <c r="AIX7" s="2">
        <v>0.8</v>
      </c>
      <c r="AIY7" s="2">
        <v>0.3</v>
      </c>
      <c r="AIZ7" s="2">
        <v>-1.5</v>
      </c>
      <c r="AJA7" s="2">
        <v>-3.3</v>
      </c>
      <c r="AJB7" s="2">
        <v>-0.1</v>
      </c>
      <c r="AJC7" s="2">
        <v>-0.1</v>
      </c>
      <c r="AJD7" s="2">
        <v>-0.9</v>
      </c>
      <c r="AJE7" s="2">
        <v>-1.6</v>
      </c>
      <c r="AJF7" s="2">
        <v>-0.1</v>
      </c>
      <c r="AJG7" s="2">
        <v>1.8</v>
      </c>
      <c r="AJH7" s="2">
        <v>-1.6</v>
      </c>
      <c r="AJI7" s="2">
        <v>0.8</v>
      </c>
      <c r="AJJ7" s="2">
        <v>-1.5</v>
      </c>
      <c r="AJK7" s="2">
        <v>0.5</v>
      </c>
      <c r="AJL7" s="2">
        <v>1.1</v>
      </c>
      <c r="AJM7" s="2">
        <v>1.1</v>
      </c>
      <c r="AJN7" s="2">
        <v>-0.9</v>
      </c>
      <c r="AJO7" s="2">
        <v>1.5</v>
      </c>
      <c r="AJP7" s="2">
        <v>4.4</v>
      </c>
      <c r="AJQ7" s="2">
        <v>6</v>
      </c>
      <c r="AJR7" s="2">
        <v>-4.3</v>
      </c>
      <c r="AJS7" s="2">
        <v>-0.3</v>
      </c>
      <c r="AJT7" s="2">
        <v>-2.8</v>
      </c>
      <c r="AJU7" s="2">
        <v>0.9</v>
      </c>
      <c r="AJV7" s="2">
        <v>0.9</v>
      </c>
      <c r="AJW7" s="2">
        <v>2.4</v>
      </c>
      <c r="AJX7" s="2">
        <v>3</v>
      </c>
      <c r="AJY7" s="2">
        <v>3.8</v>
      </c>
      <c r="AJZ7" s="2">
        <v>3.5</v>
      </c>
      <c r="AKA7" s="2">
        <v>2.2</v>
      </c>
      <c r="AKB7" s="2">
        <v>1.9</v>
      </c>
      <c r="AKC7" s="2">
        <v>1</v>
      </c>
      <c r="AKD7" s="2">
        <v>0.4</v>
      </c>
      <c r="AKE7" s="2">
        <v>1.2</v>
      </c>
      <c r="AKF7" s="2">
        <v>0.5</v>
      </c>
      <c r="AKG7" s="2">
        <v>-0.5</v>
      </c>
      <c r="AKH7" s="2">
        <v>0.4</v>
      </c>
      <c r="AKI7" s="2">
        <v>0.4</v>
      </c>
      <c r="AKJ7" s="2">
        <v>0.1</v>
      </c>
      <c r="AKK7" s="2">
        <v>-1.4</v>
      </c>
      <c r="AKL7" s="2">
        <v>0.2</v>
      </c>
      <c r="AKM7" s="2">
        <v>0.3</v>
      </c>
      <c r="AKN7" s="2">
        <v>-0.7</v>
      </c>
      <c r="AKO7" s="2">
        <v>0.5</v>
      </c>
      <c r="AKP7" s="2">
        <v>0.18</v>
      </c>
      <c r="AKQ7" s="2">
        <v>0.18</v>
      </c>
      <c r="AKR7" s="2">
        <v>0.18</v>
      </c>
    </row>
    <row r="8">
      <c r="A8" t="inlineStr">
        <is>
          <t>Beef and veal</t>
        </is>
      </c>
      <c r="B8" t="inlineStr">
        <is>
          <t>Meat and seafoods</t>
        </is>
      </c>
      <c r="C8">
        <v>3</v>
      </c>
      <c r="D8">
        <v>0.42</v>
      </c>
      <c r="E8" s="3">
        <f>D8/2.13*0.021287765651924178</f>
        <v>0.004197587593337162</v>
      </c>
      <c r="F8" s="3">
        <f>E8-D8/100</f>
        <v>-2.4124066628373325e-06</v>
      </c>
      <c r="G8" s="3">
        <f>D8/2.13</f>
        <v>0.1971830985915493</v>
      </c>
      <c r="H8" s="2">
        <v>69.06</v>
      </c>
      <c r="I8" s="2">
        <v>69.41</v>
      </c>
      <c r="J8" s="2">
        <v>69.22</v>
      </c>
      <c r="K8" s="2">
        <v>68.88</v>
      </c>
      <c r="L8" s="2">
        <v>69.73</v>
      </c>
      <c r="M8" s="2">
        <v>69.78</v>
      </c>
      <c r="N8" s="2">
        <v>69.67</v>
      </c>
      <c r="O8" s="2">
        <v>69.29000000000001</v>
      </c>
      <c r="P8" s="2">
        <v>68.40000000000001</v>
      </c>
      <c r="Q8" s="2">
        <v>68.34</v>
      </c>
      <c r="R8" s="2">
        <v>67.97</v>
      </c>
      <c r="S8" s="2">
        <v>69.51000000000001</v>
      </c>
      <c r="T8" s="2">
        <v>69.8</v>
      </c>
      <c r="U8" s="2">
        <v>69.98</v>
      </c>
      <c r="V8" s="2">
        <v>70.44</v>
      </c>
      <c r="W8" s="2">
        <v>70.73999999999999</v>
      </c>
      <c r="X8" s="2">
        <v>71.52</v>
      </c>
      <c r="Y8" s="2">
        <v>72.73</v>
      </c>
      <c r="Z8" s="2">
        <v>73.09</v>
      </c>
      <c r="AA8" s="2">
        <v>72.36</v>
      </c>
      <c r="AB8" s="2">
        <v>72.98</v>
      </c>
      <c r="AC8" s="2">
        <v>73.06999999999999</v>
      </c>
      <c r="AD8" s="2">
        <v>73.06</v>
      </c>
      <c r="AE8" s="2">
        <v>73.56</v>
      </c>
      <c r="AF8" s="2">
        <v>75.31</v>
      </c>
      <c r="AG8" s="2">
        <v>76.05</v>
      </c>
      <c r="AH8" s="2">
        <v>75.8</v>
      </c>
      <c r="AI8" s="2">
        <v>77.08</v>
      </c>
      <c r="AJ8" s="2">
        <v>77.84</v>
      </c>
      <c r="AK8" s="2">
        <v>77.91</v>
      </c>
      <c r="AL8" s="2">
        <v>79.53</v>
      </c>
      <c r="AM8" s="2">
        <v>75.88</v>
      </c>
      <c r="AN8" s="2">
        <v>78.88</v>
      </c>
      <c r="AO8" s="2">
        <v>79.63</v>
      </c>
      <c r="AP8" s="2">
        <v>79.95</v>
      </c>
      <c r="AQ8" s="2">
        <v>80.38</v>
      </c>
      <c r="AR8" s="2">
        <v>80.14</v>
      </c>
      <c r="AS8" s="2">
        <v>80.95999999999999</v>
      </c>
      <c r="AT8" s="2">
        <v>82.11</v>
      </c>
      <c r="AU8" s="2">
        <v>84.13</v>
      </c>
      <c r="AV8" s="2">
        <v>84.48</v>
      </c>
      <c r="AW8" s="2">
        <v>85.45</v>
      </c>
      <c r="AX8" s="2">
        <v>86.18000000000001</v>
      </c>
      <c r="AY8" s="2">
        <v>88.16</v>
      </c>
      <c r="AZ8" s="2">
        <v>89.29000000000001</v>
      </c>
      <c r="BA8" s="2">
        <v>89.23999999999999</v>
      </c>
      <c r="BB8" s="2">
        <v>89.56</v>
      </c>
      <c r="BC8" s="2">
        <v>89.33</v>
      </c>
      <c r="BD8" s="2">
        <v>88.70999999999999</v>
      </c>
      <c r="BE8" s="2">
        <v>88.78</v>
      </c>
      <c r="BF8" s="2">
        <v>88.95999999999999</v>
      </c>
      <c r="BG8" s="2">
        <v>90.45999999999999</v>
      </c>
      <c r="BH8" s="2">
        <v>94.98</v>
      </c>
      <c r="BI8" s="2">
        <v>96.18000000000001</v>
      </c>
      <c r="BJ8" s="2">
        <v>96.87</v>
      </c>
      <c r="BK8" s="2">
        <v>97.23999999999999</v>
      </c>
      <c r="BL8" s="2">
        <v>97.64</v>
      </c>
      <c r="BM8" s="2">
        <v>97.06</v>
      </c>
      <c r="BN8" s="2">
        <v>97.63</v>
      </c>
      <c r="BO8" s="2">
        <v>97.62</v>
      </c>
      <c r="BP8" s="2">
        <v>97.61</v>
      </c>
      <c r="BQ8" s="2">
        <v>97.38</v>
      </c>
      <c r="BR8" s="2">
        <v>97.04000000000001</v>
      </c>
      <c r="BS8" s="2">
        <v>97.62</v>
      </c>
      <c r="BT8" s="2">
        <v>97.40000000000001</v>
      </c>
      <c r="BU8" s="2">
        <v>97.17</v>
      </c>
      <c r="BV8" s="2">
        <v>96.8</v>
      </c>
      <c r="BW8" s="2">
        <v>96.47</v>
      </c>
      <c r="BX8" s="2">
        <v>95.70999999999999</v>
      </c>
      <c r="BY8" s="2">
        <v>94.44</v>
      </c>
      <c r="BZ8" s="2">
        <v>94.5</v>
      </c>
      <c r="CA8" s="2">
        <v>95</v>
      </c>
      <c r="CB8" s="2">
        <v>93.48</v>
      </c>
      <c r="CC8" s="2">
        <v>93.33</v>
      </c>
      <c r="CD8" s="2">
        <v>92.95999999999999</v>
      </c>
      <c r="CE8" s="2">
        <v>92.55</v>
      </c>
      <c r="CF8" s="2">
        <v>92.31999999999999</v>
      </c>
      <c r="CG8" s="2">
        <v>90.90000000000001</v>
      </c>
      <c r="CH8" s="2">
        <v>91.29000000000001</v>
      </c>
      <c r="CI8" s="2">
        <v>91.83</v>
      </c>
      <c r="CJ8" s="2">
        <v>92.51000000000001</v>
      </c>
      <c r="CK8" s="2">
        <v>91.84999999999999</v>
      </c>
      <c r="CL8" s="2">
        <v>92.20999999999999</v>
      </c>
      <c r="CM8" s="2">
        <v>92.95</v>
      </c>
      <c r="CN8" s="2">
        <v>93.17</v>
      </c>
      <c r="CO8" s="2">
        <v>93.09</v>
      </c>
      <c r="CP8" s="2">
        <v>93.59</v>
      </c>
      <c r="CQ8" s="2">
        <v>93.8</v>
      </c>
      <c r="CR8" s="2">
        <v>94.90000000000001</v>
      </c>
      <c r="CS8" s="2">
        <v>93.91</v>
      </c>
      <c r="CT8" s="2">
        <v>95.90000000000001</v>
      </c>
      <c r="CU8" s="2">
        <v>95.61</v>
      </c>
      <c r="CV8" s="2">
        <v>95.84999999999999</v>
      </c>
      <c r="CW8" s="2">
        <v>97.40000000000001</v>
      </c>
      <c r="CX8" s="2">
        <v>96.87</v>
      </c>
      <c r="CY8" s="2">
        <v>98.52</v>
      </c>
      <c r="CZ8" s="2">
        <v>100</v>
      </c>
      <c r="DA8" s="2">
        <v>102.86</v>
      </c>
      <c r="DB8" s="2">
        <v>104.21</v>
      </c>
      <c r="DC8" s="2">
        <v>103.95</v>
      </c>
      <c r="DD8" s="2">
        <v>105.56</v>
      </c>
      <c r="DE8" s="2">
        <v>106.6</v>
      </c>
      <c r="DF8" s="2">
        <v>107.26</v>
      </c>
      <c r="DG8" s="2">
        <v>107.02</v>
      </c>
      <c r="DH8" s="2">
        <v>108.57</v>
      </c>
      <c r="DI8" s="2">
        <v>109.03</v>
      </c>
      <c r="DJ8" s="2">
        <v>109.06</v>
      </c>
      <c r="DK8" s="2">
        <v>1.1</v>
      </c>
      <c r="DL8" s="2">
        <v>0.8</v>
      </c>
      <c r="DM8" s="2">
        <v>1.8</v>
      </c>
      <c r="DN8" s="2">
        <v>2.7</v>
      </c>
      <c r="DO8" s="2">
        <v>2.6</v>
      </c>
      <c r="DP8" s="2">
        <v>4.2</v>
      </c>
      <c r="DQ8" s="2">
        <v>4.9</v>
      </c>
      <c r="DR8" s="2">
        <v>4.4</v>
      </c>
      <c r="DS8" s="2">
        <v>6.7</v>
      </c>
      <c r="DT8" s="2">
        <v>6.9</v>
      </c>
      <c r="DU8" s="2">
        <v>7.5</v>
      </c>
      <c r="DV8" s="2">
        <v>5.8</v>
      </c>
      <c r="DW8" s="2">
        <v>7.9</v>
      </c>
      <c r="DX8" s="2">
        <v>8.699999999999999</v>
      </c>
      <c r="DY8" s="2">
        <v>7.6</v>
      </c>
      <c r="DZ8" s="2">
        <v>9</v>
      </c>
      <c r="EA8" s="2">
        <v>8.800000000000001</v>
      </c>
      <c r="EB8" s="2">
        <v>7.1</v>
      </c>
      <c r="EC8" s="2">
        <v>8.800000000000001</v>
      </c>
      <c r="ED8" s="2">
        <v>4.9</v>
      </c>
      <c r="EE8" s="2">
        <v>8.1</v>
      </c>
      <c r="EF8" s="2">
        <v>9</v>
      </c>
      <c r="EG8" s="2">
        <v>9.4</v>
      </c>
      <c r="EH8" s="2">
        <v>9.300000000000001</v>
      </c>
      <c r="EI8" s="2">
        <v>6.4</v>
      </c>
      <c r="EJ8" s="2">
        <v>6.5</v>
      </c>
      <c r="EK8" s="2">
        <v>8.300000000000001</v>
      </c>
      <c r="EL8" s="2">
        <v>9.1</v>
      </c>
      <c r="EM8" s="2">
        <v>8.5</v>
      </c>
      <c r="EN8" s="2">
        <v>9.699999999999999</v>
      </c>
      <c r="EO8" s="2">
        <v>8.4</v>
      </c>
      <c r="EP8" s="2">
        <v>16.2</v>
      </c>
      <c r="EQ8" s="2">
        <v>13.2</v>
      </c>
      <c r="ER8" s="2">
        <v>12.1</v>
      </c>
      <c r="ES8" s="2">
        <v>12</v>
      </c>
      <c r="ET8" s="2">
        <v>11.1</v>
      </c>
      <c r="EU8" s="2">
        <v>10.7</v>
      </c>
      <c r="EV8" s="2">
        <v>9.699999999999999</v>
      </c>
      <c r="EW8" s="2">
        <v>8.300000000000001</v>
      </c>
      <c r="EX8" s="2">
        <v>7.5</v>
      </c>
      <c r="EY8" s="2">
        <v>12.4</v>
      </c>
      <c r="EZ8" s="2">
        <v>12.6</v>
      </c>
      <c r="FA8" s="2">
        <v>12.4</v>
      </c>
      <c r="FB8" s="2">
        <v>10.3</v>
      </c>
      <c r="FC8" s="2">
        <v>9.4</v>
      </c>
      <c r="FD8" s="2">
        <v>8.800000000000001</v>
      </c>
      <c r="FE8" s="2">
        <v>9</v>
      </c>
      <c r="FF8" s="2">
        <v>9.300000000000001</v>
      </c>
      <c r="FG8" s="2">
        <v>10</v>
      </c>
      <c r="FH8" s="2">
        <v>9.699999999999999</v>
      </c>
      <c r="FI8" s="2">
        <v>9.1</v>
      </c>
      <c r="FJ8" s="2">
        <v>7.9</v>
      </c>
      <c r="FK8" s="2">
        <v>2.5</v>
      </c>
      <c r="FL8" s="2">
        <v>1</v>
      </c>
      <c r="FM8" s="2">
        <v>-0.1</v>
      </c>
      <c r="FN8" s="2">
        <v>-0.8</v>
      </c>
      <c r="FO8" s="2">
        <v>-2</v>
      </c>
      <c r="FP8" s="2">
        <v>-2.7</v>
      </c>
      <c r="FQ8" s="2">
        <v>-3.2</v>
      </c>
      <c r="FR8" s="2">
        <v>-2.7</v>
      </c>
      <c r="FS8" s="2">
        <v>-4.2</v>
      </c>
      <c r="FT8" s="2">
        <v>-4.2</v>
      </c>
      <c r="FU8" s="2">
        <v>-4.2</v>
      </c>
      <c r="FV8" s="2">
        <v>-5.2</v>
      </c>
      <c r="FW8" s="2">
        <v>-5.2</v>
      </c>
      <c r="FX8" s="2">
        <v>-6.5</v>
      </c>
      <c r="FY8" s="2">
        <v>-5.7</v>
      </c>
      <c r="FZ8" s="2">
        <v>-4.8</v>
      </c>
      <c r="GA8" s="2">
        <v>-3.3</v>
      </c>
      <c r="GB8" s="2">
        <v>-2.7</v>
      </c>
      <c r="GC8" s="2">
        <v>-2.4</v>
      </c>
      <c r="GD8" s="2">
        <v>-2.2</v>
      </c>
      <c r="GE8" s="2">
        <v>-0.3</v>
      </c>
      <c r="GF8" s="2">
        <v>-0.3</v>
      </c>
      <c r="GG8" s="2">
        <v>0.7</v>
      </c>
      <c r="GH8" s="2">
        <v>1.4</v>
      </c>
      <c r="GI8" s="2">
        <v>2.8</v>
      </c>
      <c r="GJ8" s="2">
        <v>3.3</v>
      </c>
      <c r="GK8" s="2">
        <v>5</v>
      </c>
      <c r="GL8" s="2">
        <v>4.1</v>
      </c>
      <c r="GM8" s="2">
        <v>3.6</v>
      </c>
      <c r="GN8" s="2">
        <v>6</v>
      </c>
      <c r="GO8" s="2">
        <v>5.1</v>
      </c>
      <c r="GP8" s="2">
        <v>6</v>
      </c>
      <c r="GQ8" s="2">
        <v>7.3</v>
      </c>
      <c r="GR8" s="2">
        <v>10.5</v>
      </c>
      <c r="GS8" s="2">
        <v>11.3</v>
      </c>
      <c r="GT8" s="2">
        <v>10.8</v>
      </c>
      <c r="GU8" s="2">
        <v>11.2</v>
      </c>
      <c r="GV8" s="2">
        <v>13.5</v>
      </c>
      <c r="GW8" s="2">
        <v>11.8</v>
      </c>
      <c r="GX8" s="2">
        <v>11.9</v>
      </c>
      <c r="GY8" s="2">
        <v>13.3</v>
      </c>
      <c r="GZ8" s="2">
        <v>11.9</v>
      </c>
      <c r="HA8" s="2">
        <v>12.6</v>
      </c>
      <c r="HB8" s="2">
        <v>0.5</v>
      </c>
      <c r="HC8" s="2">
        <v>-0.3</v>
      </c>
      <c r="HD8" s="2">
        <v>-0.5</v>
      </c>
      <c r="HE8" s="2">
        <v>1.2</v>
      </c>
      <c r="HF8" s="2">
        <v>0.1</v>
      </c>
      <c r="HG8" s="2">
        <v>-0.2</v>
      </c>
      <c r="HH8" s="2">
        <v>-0.5</v>
      </c>
      <c r="HI8" s="2">
        <v>-1.3</v>
      </c>
      <c r="HJ8" s="2">
        <v>-0.1</v>
      </c>
      <c r="HK8" s="2">
        <v>-0.5</v>
      </c>
      <c r="HL8" s="2">
        <v>2.3</v>
      </c>
      <c r="HM8" s="2">
        <v>0.4</v>
      </c>
      <c r="HN8" s="2">
        <v>0.3</v>
      </c>
      <c r="HO8" s="2">
        <v>0.7</v>
      </c>
      <c r="HP8" s="2">
        <v>0.4</v>
      </c>
      <c r="HQ8" s="2">
        <v>1.1</v>
      </c>
      <c r="HR8" s="2">
        <v>1.7</v>
      </c>
      <c r="HS8" s="2">
        <v>0.5</v>
      </c>
      <c r="HT8" s="2">
        <v>-1</v>
      </c>
      <c r="HU8" s="2">
        <v>0.9</v>
      </c>
      <c r="HV8" s="2">
        <v>0.1</v>
      </c>
      <c r="HW8" s="2">
        <v>0</v>
      </c>
      <c r="HX8" s="2">
        <v>0.7</v>
      </c>
      <c r="HY8" s="2">
        <v>2.4</v>
      </c>
      <c r="HZ8" s="2">
        <v>1</v>
      </c>
      <c r="IA8" s="2">
        <v>-0.3</v>
      </c>
      <c r="IB8" s="2">
        <v>1.7</v>
      </c>
      <c r="IC8" s="2">
        <v>1</v>
      </c>
      <c r="ID8" s="2">
        <v>0.1</v>
      </c>
      <c r="IE8" s="2">
        <v>2.1</v>
      </c>
      <c r="IF8" s="2">
        <v>-4.6</v>
      </c>
      <c r="IG8" s="2">
        <v>4</v>
      </c>
      <c r="IH8" s="2">
        <v>1</v>
      </c>
      <c r="II8" s="2">
        <v>0.4</v>
      </c>
      <c r="IJ8" s="2">
        <v>0.5</v>
      </c>
      <c r="IK8" s="2">
        <v>-0.3</v>
      </c>
      <c r="IL8" s="2">
        <v>1</v>
      </c>
      <c r="IM8" s="2">
        <v>1.4</v>
      </c>
      <c r="IN8" s="2">
        <v>2.5</v>
      </c>
      <c r="IO8" s="2">
        <v>0.4</v>
      </c>
      <c r="IP8" s="2">
        <v>1.1</v>
      </c>
      <c r="IQ8" s="2">
        <v>0.9</v>
      </c>
      <c r="IR8" s="2">
        <v>2.3</v>
      </c>
      <c r="IS8" s="2">
        <v>1.3</v>
      </c>
      <c r="IT8" s="2">
        <v>-0.1</v>
      </c>
      <c r="IU8" s="2">
        <v>0.4</v>
      </c>
      <c r="IV8" s="2">
        <v>-0.3</v>
      </c>
      <c r="IW8" s="2">
        <v>-0.7</v>
      </c>
      <c r="IX8" s="2">
        <v>0.1</v>
      </c>
      <c r="IY8" s="2">
        <v>0.2</v>
      </c>
      <c r="IZ8" s="2">
        <v>1.7</v>
      </c>
      <c r="JA8" s="2">
        <v>5</v>
      </c>
      <c r="JB8" s="2">
        <v>1.3</v>
      </c>
      <c r="JC8" s="2">
        <v>0.7</v>
      </c>
      <c r="JD8" s="2">
        <v>0.4</v>
      </c>
      <c r="JE8" s="2">
        <v>0.4</v>
      </c>
      <c r="JF8" s="2">
        <v>-0.6</v>
      </c>
      <c r="JG8" s="2">
        <v>0.6</v>
      </c>
      <c r="JH8" s="2">
        <v>0</v>
      </c>
      <c r="JI8" s="2">
        <v>0</v>
      </c>
      <c r="JJ8" s="2">
        <v>-0.2</v>
      </c>
      <c r="JK8" s="2">
        <v>-0.3</v>
      </c>
      <c r="JL8" s="2">
        <v>0.6</v>
      </c>
      <c r="JM8" s="2">
        <v>-0.2</v>
      </c>
      <c r="JN8" s="2">
        <v>-0.2</v>
      </c>
      <c r="JO8" s="2">
        <v>-0.4</v>
      </c>
      <c r="JP8" s="2">
        <v>-0.3</v>
      </c>
      <c r="JQ8" s="2">
        <v>-0.8</v>
      </c>
      <c r="JR8" s="2">
        <v>-1.3</v>
      </c>
      <c r="JS8" s="2">
        <v>0.1</v>
      </c>
      <c r="JT8" s="2">
        <v>0.5</v>
      </c>
      <c r="JU8" s="2">
        <v>-1.6</v>
      </c>
      <c r="JV8" s="2">
        <v>-0.2</v>
      </c>
      <c r="JW8" s="2">
        <v>-0.4</v>
      </c>
      <c r="JX8" s="2">
        <v>-0.4</v>
      </c>
      <c r="JY8" s="2">
        <v>-0.2</v>
      </c>
      <c r="JZ8" s="2">
        <v>-1.5</v>
      </c>
      <c r="KA8" s="2">
        <v>0.4</v>
      </c>
      <c r="KB8" s="2">
        <v>0.6</v>
      </c>
      <c r="KC8" s="2">
        <v>0.7</v>
      </c>
      <c r="KD8" s="2">
        <v>-0.7</v>
      </c>
      <c r="KE8" s="2">
        <v>0.4</v>
      </c>
      <c r="KF8" s="2">
        <v>0.8</v>
      </c>
      <c r="KG8" s="2">
        <v>0.2</v>
      </c>
      <c r="KH8" s="2">
        <v>-0.1</v>
      </c>
      <c r="KI8" s="2">
        <v>0.5</v>
      </c>
      <c r="KJ8" s="2">
        <v>0.2</v>
      </c>
      <c r="KK8" s="2">
        <v>1.2</v>
      </c>
      <c r="KL8" s="2">
        <v>-1</v>
      </c>
      <c r="KM8" s="2">
        <v>2.1</v>
      </c>
      <c r="KN8" s="2">
        <v>-0.3</v>
      </c>
      <c r="KO8" s="2">
        <v>0.3</v>
      </c>
      <c r="KP8" s="2">
        <v>1.6</v>
      </c>
      <c r="KQ8" s="2">
        <v>-0.5</v>
      </c>
      <c r="KR8" s="2">
        <v>1.7</v>
      </c>
      <c r="KS8" s="2">
        <v>1.5</v>
      </c>
      <c r="KT8" s="2">
        <v>2.9</v>
      </c>
      <c r="KU8" s="2">
        <v>1.3</v>
      </c>
      <c r="KV8" s="2">
        <v>-0.2</v>
      </c>
      <c r="KW8" s="2">
        <v>1.5</v>
      </c>
      <c r="KX8" s="2">
        <v>1</v>
      </c>
      <c r="KY8" s="2">
        <v>0.6</v>
      </c>
      <c r="KZ8" s="2">
        <v>-0.2</v>
      </c>
      <c r="LA8" s="2">
        <v>1.4</v>
      </c>
      <c r="LB8" s="2">
        <v>0.4</v>
      </c>
      <c r="LC8" s="2">
        <v>0</v>
      </c>
      <c r="LD8" s="2">
        <v>0.41</v>
      </c>
      <c r="LE8" s="2">
        <v>0.42</v>
      </c>
      <c r="LF8" s="2">
        <v>0.41</v>
      </c>
      <c r="LG8" s="2">
        <v>0.42</v>
      </c>
      <c r="LH8" s="2">
        <v>0.42</v>
      </c>
      <c r="LI8" s="2">
        <v>0.42</v>
      </c>
      <c r="LJ8" s="2">
        <v>0.43</v>
      </c>
      <c r="LK8" s="2">
        <v>0.42</v>
      </c>
      <c r="LL8" s="2">
        <v>0.43</v>
      </c>
      <c r="LM8" s="2">
        <v>0.44</v>
      </c>
      <c r="LN8" s="2">
        <v>0.45</v>
      </c>
      <c r="LO8" s="2">
        <v>0.46</v>
      </c>
      <c r="LP8" s="2">
        <v>0.45</v>
      </c>
      <c r="LQ8" s="2">
        <v>0.46</v>
      </c>
      <c r="LR8" s="2">
        <v>0.47</v>
      </c>
      <c r="LS8" s="2">
        <v>0.47</v>
      </c>
      <c r="LT8" s="2">
        <v>0.47</v>
      </c>
      <c r="LU8" s="2">
        <v>0.48</v>
      </c>
      <c r="LV8" s="2">
        <v>0.48</v>
      </c>
      <c r="LW8" s="2">
        <v>0.48</v>
      </c>
      <c r="LX8" s="2">
        <v>0.01</v>
      </c>
      <c r="LY8" s="2">
        <v>-0.01</v>
      </c>
      <c r="LZ8" s="2">
        <v>0.01</v>
      </c>
      <c r="MA8" s="2">
        <v>0</v>
      </c>
      <c r="MB8" s="2">
        <v>0</v>
      </c>
      <c r="MC8" s="2">
        <v>0.01</v>
      </c>
      <c r="MD8" s="2">
        <v>-0.01</v>
      </c>
      <c r="ME8" s="2">
        <v>0.01</v>
      </c>
      <c r="MF8" s="2">
        <v>0.01</v>
      </c>
      <c r="MG8" s="2">
        <v>0.01</v>
      </c>
      <c r="MH8" s="2">
        <v>0.01</v>
      </c>
      <c r="MI8" s="2">
        <v>-0.01</v>
      </c>
      <c r="MJ8" s="2">
        <v>0.01</v>
      </c>
      <c r="MK8" s="2">
        <v>0.01</v>
      </c>
      <c r="ML8" s="2">
        <v>0</v>
      </c>
      <c r="MM8" s="2">
        <v>0</v>
      </c>
      <c r="MN8" s="2">
        <v>0.01</v>
      </c>
      <c r="MO8" s="2">
        <v>0</v>
      </c>
      <c r="MP8" s="2">
        <v>0</v>
      </c>
      <c r="QI8" s="2">
        <v>7.19</v>
      </c>
      <c r="QJ8" s="2">
        <v>7.3</v>
      </c>
      <c r="QK8" s="2">
        <v>7.74</v>
      </c>
      <c r="QL8" s="2">
        <v>8.48</v>
      </c>
      <c r="QM8" s="2">
        <v>8.960000000000001</v>
      </c>
      <c r="QN8" s="2">
        <v>9.300000000000001</v>
      </c>
      <c r="QO8" s="2">
        <v>9.67</v>
      </c>
      <c r="QP8" s="2">
        <v>9.539999999999999</v>
      </c>
      <c r="QQ8" s="2">
        <v>8.76</v>
      </c>
      <c r="QR8" s="2">
        <v>7.98</v>
      </c>
      <c r="QS8" s="2">
        <v>7.6</v>
      </c>
      <c r="QT8" s="2">
        <v>7.6</v>
      </c>
      <c r="QU8" s="2">
        <v>7.5</v>
      </c>
      <c r="QV8" s="2">
        <v>7.94</v>
      </c>
      <c r="QW8" s="2">
        <v>8.140000000000001</v>
      </c>
      <c r="QX8" s="2">
        <v>8.210000000000001</v>
      </c>
      <c r="QY8" s="2">
        <v>8.59</v>
      </c>
      <c r="QZ8" s="2">
        <v>8.859999999999999</v>
      </c>
      <c r="RA8" s="2">
        <v>8.890000000000001</v>
      </c>
      <c r="RB8" s="2">
        <v>9.369999999999999</v>
      </c>
      <c r="RC8" s="2">
        <v>9.4</v>
      </c>
      <c r="RD8" s="2">
        <v>9.4</v>
      </c>
      <c r="RE8" s="2">
        <v>9.640000000000001</v>
      </c>
      <c r="RF8" s="2">
        <v>10.18</v>
      </c>
      <c r="RG8" s="2">
        <v>11.17</v>
      </c>
      <c r="RH8" s="2">
        <v>11.54</v>
      </c>
      <c r="RI8" s="2">
        <v>13.54</v>
      </c>
      <c r="RJ8" s="2">
        <v>17.61</v>
      </c>
      <c r="RK8" s="2">
        <v>18.63</v>
      </c>
      <c r="RL8" s="2">
        <v>18.5</v>
      </c>
      <c r="RM8" s="2">
        <v>19.55</v>
      </c>
      <c r="RN8" s="2">
        <v>19.68</v>
      </c>
      <c r="RO8" s="2">
        <v>19.72</v>
      </c>
      <c r="RP8" s="2">
        <v>19.58</v>
      </c>
      <c r="RQ8" s="2">
        <v>19.55</v>
      </c>
      <c r="RR8" s="2">
        <v>19.45</v>
      </c>
      <c r="RS8" s="2">
        <v>19.51</v>
      </c>
      <c r="RT8" s="2">
        <v>19.51</v>
      </c>
      <c r="RU8" s="2">
        <v>19.17</v>
      </c>
      <c r="RV8" s="2">
        <v>19.55</v>
      </c>
      <c r="RW8" s="2">
        <v>19.68</v>
      </c>
      <c r="RX8" s="2">
        <v>20.12</v>
      </c>
      <c r="RY8" s="2">
        <v>20.36</v>
      </c>
      <c r="RZ8" s="2">
        <v>23.11</v>
      </c>
      <c r="SA8" s="2">
        <v>23.01</v>
      </c>
      <c r="SB8" s="2">
        <v>22.67</v>
      </c>
      <c r="SC8" s="2">
        <v>23.04</v>
      </c>
      <c r="SD8" s="2">
        <v>23.25</v>
      </c>
      <c r="SE8" s="2">
        <v>23.76</v>
      </c>
      <c r="SF8" s="2">
        <v>24.06</v>
      </c>
      <c r="SG8" s="2">
        <v>23.93</v>
      </c>
      <c r="SH8" s="2">
        <v>24.71</v>
      </c>
      <c r="SI8" s="2">
        <v>24.77</v>
      </c>
      <c r="SJ8" s="2">
        <v>24.81</v>
      </c>
      <c r="SK8" s="2">
        <v>24.94</v>
      </c>
      <c r="SL8" s="2">
        <v>25.25</v>
      </c>
      <c r="SM8" s="2">
        <v>25.62</v>
      </c>
      <c r="SN8" s="2">
        <v>26.13</v>
      </c>
      <c r="SO8" s="2">
        <v>26.4</v>
      </c>
      <c r="SP8" s="2">
        <v>26.67</v>
      </c>
      <c r="SQ8" s="2">
        <v>27.25</v>
      </c>
      <c r="SR8" s="2">
        <v>27.22</v>
      </c>
      <c r="SS8" s="2">
        <v>27.69</v>
      </c>
      <c r="ST8" s="2">
        <v>29.05</v>
      </c>
      <c r="SU8" s="2">
        <v>30.2</v>
      </c>
      <c r="SV8" s="2">
        <v>30.31</v>
      </c>
      <c r="SW8" s="2">
        <v>31.05</v>
      </c>
      <c r="SX8" s="2">
        <v>32.85</v>
      </c>
      <c r="SY8" s="2">
        <v>33.6</v>
      </c>
      <c r="SZ8" s="2">
        <v>33.36</v>
      </c>
      <c r="TA8" s="2">
        <v>33.97</v>
      </c>
      <c r="TB8" s="2">
        <v>34.79</v>
      </c>
      <c r="TC8" s="2">
        <v>34.85</v>
      </c>
      <c r="TD8" s="2">
        <v>34.82</v>
      </c>
      <c r="TE8" s="2">
        <v>34.99</v>
      </c>
      <c r="TF8" s="2">
        <v>35.16</v>
      </c>
      <c r="TG8" s="2">
        <v>35.23</v>
      </c>
      <c r="TH8" s="2">
        <v>34.89</v>
      </c>
      <c r="TI8" s="2">
        <v>34.99</v>
      </c>
      <c r="TJ8" s="2">
        <v>35.09</v>
      </c>
      <c r="TK8" s="2">
        <v>34.65</v>
      </c>
      <c r="TL8" s="2">
        <v>34.04</v>
      </c>
      <c r="TM8" s="2">
        <v>34.17</v>
      </c>
      <c r="TN8" s="2">
        <v>34.28</v>
      </c>
      <c r="TO8" s="2">
        <v>35.02</v>
      </c>
      <c r="TP8" s="2">
        <v>35.29</v>
      </c>
      <c r="TQ8" s="2">
        <v>35.67</v>
      </c>
      <c r="TR8" s="2">
        <v>36.07</v>
      </c>
      <c r="TS8" s="2">
        <v>36.11</v>
      </c>
      <c r="TT8" s="2">
        <v>35.77</v>
      </c>
      <c r="TU8" s="2">
        <v>35.7</v>
      </c>
      <c r="TV8" s="2">
        <v>36.07</v>
      </c>
      <c r="TW8" s="2">
        <v>36.89</v>
      </c>
      <c r="TX8" s="2">
        <v>36.48</v>
      </c>
      <c r="TY8" s="2">
        <v>36.35</v>
      </c>
      <c r="TZ8" s="2">
        <v>35.91</v>
      </c>
      <c r="UA8" s="2">
        <v>35.23</v>
      </c>
      <c r="UB8" s="2">
        <v>35.23</v>
      </c>
      <c r="UC8" s="2">
        <v>35.02</v>
      </c>
      <c r="UD8" s="2">
        <v>35.19</v>
      </c>
      <c r="UE8" s="2">
        <v>35.23</v>
      </c>
      <c r="UF8" s="2">
        <v>35.4</v>
      </c>
      <c r="UG8" s="2">
        <v>35.5</v>
      </c>
      <c r="UH8" s="2">
        <v>35.43</v>
      </c>
      <c r="UI8" s="2">
        <v>35.4</v>
      </c>
      <c r="UJ8" s="2">
        <v>35.13</v>
      </c>
      <c r="UK8" s="2">
        <v>35.44</v>
      </c>
      <c r="UL8" s="2">
        <v>36.59</v>
      </c>
      <c r="UM8" s="2">
        <v>36.66</v>
      </c>
      <c r="UN8" s="2">
        <v>36.89</v>
      </c>
      <c r="UO8" s="2">
        <v>37.73</v>
      </c>
      <c r="UP8" s="2">
        <v>38.67</v>
      </c>
      <c r="UQ8" s="2">
        <v>38.04</v>
      </c>
      <c r="UR8" s="2">
        <v>38.33</v>
      </c>
      <c r="US8" s="2">
        <v>40.1</v>
      </c>
      <c r="UT8" s="2">
        <v>43.71</v>
      </c>
      <c r="UU8" s="2">
        <v>45.12</v>
      </c>
      <c r="UV8" s="2">
        <v>47.62</v>
      </c>
      <c r="UW8" s="2">
        <v>47.82</v>
      </c>
      <c r="UX8" s="2">
        <v>48.22</v>
      </c>
      <c r="UY8" s="2">
        <v>46.72</v>
      </c>
      <c r="UZ8" s="2">
        <v>47.41</v>
      </c>
      <c r="VA8" s="2">
        <v>47.72</v>
      </c>
      <c r="VB8" s="2">
        <v>48.99</v>
      </c>
      <c r="VC8" s="2">
        <v>50.07</v>
      </c>
      <c r="VD8" s="2">
        <v>50.16</v>
      </c>
      <c r="VE8" s="2">
        <v>50.27</v>
      </c>
      <c r="VF8" s="2">
        <v>50.15</v>
      </c>
      <c r="VG8" s="2">
        <v>49.71</v>
      </c>
      <c r="VH8" s="2">
        <v>51.5</v>
      </c>
      <c r="VI8" s="2">
        <v>53.08</v>
      </c>
      <c r="VJ8" s="2">
        <v>54.32</v>
      </c>
      <c r="VK8" s="2">
        <v>54.22</v>
      </c>
      <c r="VL8" s="2">
        <v>55.29</v>
      </c>
      <c r="VM8" s="2">
        <v>55.84</v>
      </c>
      <c r="VN8" s="2">
        <v>56.34</v>
      </c>
      <c r="VO8" s="2">
        <v>56.16</v>
      </c>
      <c r="VP8" s="2">
        <v>55.11</v>
      </c>
      <c r="VQ8" s="2">
        <v>54.58</v>
      </c>
      <c r="VR8" s="2">
        <v>55.61</v>
      </c>
      <c r="VS8" s="2">
        <v>55.39</v>
      </c>
      <c r="VT8" s="2">
        <v>55.14</v>
      </c>
      <c r="VU8" s="2">
        <v>56.84</v>
      </c>
      <c r="VV8" s="2">
        <v>56.56</v>
      </c>
      <c r="VW8" s="2">
        <v>56.61</v>
      </c>
      <c r="VX8" s="2">
        <v>57.43</v>
      </c>
      <c r="VY8" s="2">
        <v>58.57</v>
      </c>
      <c r="VZ8" s="2">
        <v>58.32</v>
      </c>
      <c r="WA8" s="2">
        <v>57.78</v>
      </c>
      <c r="WB8" s="2">
        <v>57.74</v>
      </c>
      <c r="WC8" s="2">
        <v>58.09</v>
      </c>
      <c r="WD8" s="2">
        <v>57.9</v>
      </c>
      <c r="WE8" s="2">
        <v>58.45</v>
      </c>
      <c r="WF8" s="2">
        <v>56.32</v>
      </c>
      <c r="WG8" s="2">
        <v>55.98</v>
      </c>
      <c r="WH8" s="2">
        <v>56.09</v>
      </c>
      <c r="WI8" s="2">
        <v>55.44</v>
      </c>
      <c r="WJ8" s="2">
        <v>55.26</v>
      </c>
      <c r="WK8" s="2">
        <v>55.93</v>
      </c>
      <c r="WL8" s="2">
        <v>56.16</v>
      </c>
      <c r="WM8" s="2">
        <v>56.36</v>
      </c>
      <c r="WN8" s="2">
        <v>56.16</v>
      </c>
      <c r="WO8" s="2">
        <v>56.09</v>
      </c>
      <c r="WP8" s="2">
        <v>55.8</v>
      </c>
      <c r="WQ8" s="2">
        <v>54.37</v>
      </c>
      <c r="WR8" s="2">
        <v>54.51</v>
      </c>
      <c r="WS8" s="2">
        <v>55.81</v>
      </c>
      <c r="WT8" s="2">
        <v>57.57</v>
      </c>
      <c r="WU8" s="2">
        <v>58.79</v>
      </c>
      <c r="WV8" s="2">
        <v>59.75</v>
      </c>
      <c r="WW8" s="2">
        <v>60.99</v>
      </c>
      <c r="WX8" s="2">
        <v>62.2</v>
      </c>
      <c r="WY8" s="2">
        <v>64</v>
      </c>
      <c r="WZ8" s="2">
        <v>66.66</v>
      </c>
      <c r="XA8" s="2">
        <v>68.98999999999999</v>
      </c>
      <c r="XB8" s="2">
        <v>68.98999999999999</v>
      </c>
      <c r="XC8" s="2">
        <v>69.68000000000001</v>
      </c>
      <c r="XD8" s="2">
        <v>69.84</v>
      </c>
      <c r="XE8" s="2">
        <v>69.16</v>
      </c>
      <c r="XF8" s="2">
        <v>69.39</v>
      </c>
      <c r="XG8" s="2">
        <v>69.45</v>
      </c>
      <c r="XH8" s="2">
        <v>69.64</v>
      </c>
      <c r="XI8" s="2">
        <v>70.31</v>
      </c>
      <c r="XJ8" s="2">
        <v>69.06</v>
      </c>
      <c r="XK8" s="2">
        <v>69.58</v>
      </c>
      <c r="XL8" s="2">
        <v>70.88</v>
      </c>
      <c r="XM8" s="2">
        <v>72.97</v>
      </c>
      <c r="XN8" s="2">
        <v>73.23</v>
      </c>
      <c r="XO8" s="2">
        <v>74.54000000000001</v>
      </c>
      <c r="XP8" s="2">
        <v>76.7</v>
      </c>
      <c r="XQ8" s="2">
        <v>79.39</v>
      </c>
      <c r="XR8" s="2">
        <v>78.45999999999999</v>
      </c>
      <c r="XS8" s="2">
        <v>80.53</v>
      </c>
      <c r="XT8" s="2">
        <v>82.94</v>
      </c>
      <c r="XU8" s="2">
        <v>86</v>
      </c>
      <c r="XV8" s="2">
        <v>89.08</v>
      </c>
      <c r="XW8" s="2">
        <v>89.31999999999999</v>
      </c>
      <c r="XX8" s="2">
        <v>89.64</v>
      </c>
      <c r="XY8" s="2">
        <v>96.38</v>
      </c>
      <c r="XZ8" s="2">
        <v>97.45999999999999</v>
      </c>
      <c r="YA8" s="2">
        <v>97.62</v>
      </c>
      <c r="YB8" s="2">
        <v>97.34999999999999</v>
      </c>
      <c r="YC8" s="2">
        <v>97.12</v>
      </c>
      <c r="YD8" s="2">
        <v>95.54000000000001</v>
      </c>
      <c r="YE8" s="2">
        <v>94.33</v>
      </c>
      <c r="YF8" s="2">
        <v>92.95</v>
      </c>
      <c r="YG8" s="2">
        <v>91.5</v>
      </c>
      <c r="YH8" s="2">
        <v>92.06</v>
      </c>
      <c r="YI8" s="2">
        <v>92.78</v>
      </c>
      <c r="YJ8" s="2">
        <v>93.5</v>
      </c>
      <c r="YK8" s="2">
        <v>94.90000000000001</v>
      </c>
      <c r="YL8" s="2">
        <v>96.29000000000001</v>
      </c>
      <c r="YM8" s="2">
        <v>98.45999999999999</v>
      </c>
      <c r="YN8" s="2">
        <v>103.67</v>
      </c>
      <c r="YO8" s="2">
        <v>106.47</v>
      </c>
      <c r="YP8" s="2">
        <v>108.2</v>
      </c>
      <c r="ACI8" s="2">
        <v>1.5</v>
      </c>
      <c r="ACJ8" s="2">
        <v>6</v>
      </c>
      <c r="ACK8" s="2">
        <v>9.6</v>
      </c>
      <c r="ACL8" s="2">
        <v>5.7</v>
      </c>
      <c r="ACM8" s="2">
        <v>3.8</v>
      </c>
      <c r="ACN8" s="2">
        <v>4</v>
      </c>
      <c r="ACO8" s="2">
        <v>-1.3</v>
      </c>
      <c r="ACP8" s="2">
        <v>-8.199999999999999</v>
      </c>
      <c r="ACQ8" s="2">
        <v>-8.9</v>
      </c>
      <c r="ACR8" s="2">
        <v>-4.8</v>
      </c>
      <c r="ACS8" s="2">
        <v>0</v>
      </c>
      <c r="ACT8" s="2">
        <v>-1.3</v>
      </c>
      <c r="ACU8" s="2">
        <v>5.9</v>
      </c>
      <c r="ACV8" s="2">
        <v>2.5</v>
      </c>
      <c r="ACW8" s="2">
        <v>0.9</v>
      </c>
      <c r="ACX8" s="2">
        <v>4.6</v>
      </c>
      <c r="ACY8" s="2">
        <v>3.1</v>
      </c>
      <c r="ACZ8" s="2">
        <v>0.3</v>
      </c>
      <c r="ADA8" s="2">
        <v>5.4</v>
      </c>
      <c r="ADB8" s="2">
        <v>0.3</v>
      </c>
      <c r="ADC8" s="2">
        <v>0</v>
      </c>
      <c r="ADD8" s="2">
        <v>2.6</v>
      </c>
      <c r="ADE8" s="2">
        <v>5.6</v>
      </c>
      <c r="ADF8" s="2">
        <v>9.699999999999999</v>
      </c>
      <c r="ADG8" s="2">
        <v>3.3</v>
      </c>
      <c r="ADH8" s="2">
        <v>17.3</v>
      </c>
      <c r="ADI8" s="2">
        <v>30.1</v>
      </c>
      <c r="ADJ8" s="2">
        <v>5.8</v>
      </c>
      <c r="ADK8" s="2">
        <v>-0.7</v>
      </c>
      <c r="ADL8" s="2">
        <v>5.7</v>
      </c>
      <c r="ADM8" s="2">
        <v>0.7</v>
      </c>
      <c r="ADN8" s="2">
        <v>0.2</v>
      </c>
      <c r="ADO8" s="2">
        <v>-0.7</v>
      </c>
      <c r="ADP8" s="2">
        <v>-0.2</v>
      </c>
      <c r="ADQ8" s="2">
        <v>-0.5</v>
      </c>
      <c r="ADR8" s="2">
        <v>0.3</v>
      </c>
      <c r="ADS8" s="2">
        <v>0</v>
      </c>
      <c r="ADT8" s="2">
        <v>-1.7</v>
      </c>
      <c r="ADU8" s="2">
        <v>2</v>
      </c>
      <c r="ADV8" s="2">
        <v>0.7</v>
      </c>
      <c r="ADW8" s="2">
        <v>2.2</v>
      </c>
      <c r="ADX8" s="2">
        <v>1.2</v>
      </c>
      <c r="ADY8" s="2">
        <v>13.5</v>
      </c>
      <c r="ADZ8" s="2">
        <v>-0.4</v>
      </c>
      <c r="AEA8" s="2">
        <v>-1.5</v>
      </c>
      <c r="AEB8" s="2">
        <v>1.6</v>
      </c>
      <c r="AEC8" s="2">
        <v>0.9</v>
      </c>
      <c r="AED8" s="2">
        <v>2.2</v>
      </c>
      <c r="AEE8" s="2">
        <v>1.3</v>
      </c>
      <c r="AEF8" s="2">
        <v>-0.5</v>
      </c>
      <c r="AEG8" s="2">
        <v>3.3</v>
      </c>
      <c r="AEH8" s="2">
        <v>0.2</v>
      </c>
      <c r="AEI8" s="2">
        <v>0.2</v>
      </c>
      <c r="AEJ8" s="2">
        <v>0.5</v>
      </c>
      <c r="AEK8" s="2">
        <v>1.2</v>
      </c>
      <c r="AEL8" s="2">
        <v>1.5</v>
      </c>
      <c r="AEM8" s="2">
        <v>2</v>
      </c>
      <c r="AEN8" s="2">
        <v>1</v>
      </c>
      <c r="AEO8" s="2">
        <v>1</v>
      </c>
      <c r="AEP8" s="2">
        <v>2.2</v>
      </c>
      <c r="AEQ8" s="2">
        <v>-0.1</v>
      </c>
      <c r="AER8" s="2">
        <v>1.7</v>
      </c>
      <c r="AES8" s="2">
        <v>4.9</v>
      </c>
      <c r="AET8" s="2">
        <v>4</v>
      </c>
      <c r="AEU8" s="2">
        <v>0.4</v>
      </c>
      <c r="AEV8" s="2">
        <v>2.4</v>
      </c>
      <c r="AEW8" s="2">
        <v>5.8</v>
      </c>
      <c r="AEX8" s="2">
        <v>2.3</v>
      </c>
      <c r="AEY8" s="2">
        <v>-0.7</v>
      </c>
      <c r="AEZ8" s="2">
        <v>1.8</v>
      </c>
      <c r="AFA8" s="2">
        <v>2.4</v>
      </c>
      <c r="AFB8" s="2">
        <v>0.2</v>
      </c>
      <c r="AFC8" s="2">
        <v>-0.1</v>
      </c>
      <c r="AFD8" s="2">
        <v>0.5</v>
      </c>
      <c r="AFE8" s="2">
        <v>0.5</v>
      </c>
      <c r="AFF8" s="2">
        <v>0.2</v>
      </c>
      <c r="AFG8" s="2">
        <v>-1</v>
      </c>
      <c r="AFH8" s="2">
        <v>0.3</v>
      </c>
      <c r="AFI8" s="2">
        <v>0.3</v>
      </c>
      <c r="AFJ8" s="2">
        <v>-1.3</v>
      </c>
      <c r="AFK8" s="2">
        <v>-1.8</v>
      </c>
      <c r="AFL8" s="2">
        <v>0.4</v>
      </c>
      <c r="AFM8" s="2">
        <v>0.3</v>
      </c>
      <c r="AFN8" s="2">
        <v>2.2</v>
      </c>
      <c r="AFO8" s="2">
        <v>0.8</v>
      </c>
      <c r="AFP8" s="2">
        <v>1.1</v>
      </c>
      <c r="AFQ8" s="2">
        <v>1.1</v>
      </c>
      <c r="AFR8" s="2">
        <v>0.1</v>
      </c>
      <c r="AFS8" s="2">
        <v>-0.9</v>
      </c>
      <c r="AFT8" s="2">
        <v>-0.2</v>
      </c>
      <c r="AFU8" s="2">
        <v>1</v>
      </c>
      <c r="AFV8" s="2">
        <v>2.3</v>
      </c>
      <c r="AFW8" s="2">
        <v>-1.1</v>
      </c>
      <c r="AFX8" s="2">
        <v>-0.4</v>
      </c>
      <c r="AFY8" s="2">
        <v>-1.2</v>
      </c>
      <c r="AFZ8" s="2">
        <v>-1.9</v>
      </c>
      <c r="AGA8" s="2">
        <v>0</v>
      </c>
      <c r="AGB8" s="2">
        <v>-0.6</v>
      </c>
      <c r="AGC8" s="2">
        <v>0.5</v>
      </c>
      <c r="AGD8" s="2">
        <v>0.1</v>
      </c>
      <c r="AGE8" s="2">
        <v>0.5</v>
      </c>
      <c r="AGF8" s="2">
        <v>0.3</v>
      </c>
      <c r="AGG8" s="2">
        <v>-0.2</v>
      </c>
      <c r="AGH8" s="2">
        <v>-0.1</v>
      </c>
      <c r="AGI8" s="2">
        <v>-0.8</v>
      </c>
      <c r="AGJ8" s="2">
        <v>0.9</v>
      </c>
      <c r="AGK8" s="2">
        <v>3.2</v>
      </c>
      <c r="AGL8" s="2">
        <v>0.2</v>
      </c>
      <c r="AGM8" s="2">
        <v>0.6</v>
      </c>
      <c r="AGN8" s="2">
        <v>2.3</v>
      </c>
      <c r="AGO8" s="2">
        <v>2.5</v>
      </c>
      <c r="AGP8" s="2">
        <v>-1.6</v>
      </c>
      <c r="AGQ8" s="2">
        <v>0.8</v>
      </c>
      <c r="AGR8" s="2">
        <v>4.6</v>
      </c>
      <c r="AGS8" s="2">
        <v>9</v>
      </c>
      <c r="AGT8" s="2">
        <v>3.2</v>
      </c>
      <c r="AGU8" s="2">
        <v>5.5</v>
      </c>
      <c r="AGV8" s="2">
        <v>0.4</v>
      </c>
      <c r="AGW8" s="2">
        <v>0.8</v>
      </c>
      <c r="AGX8" s="2">
        <v>-3.1</v>
      </c>
      <c r="AGY8" s="2">
        <v>1.5</v>
      </c>
      <c r="AGZ8" s="2">
        <v>0.7</v>
      </c>
      <c r="AHA8" s="2">
        <v>2.7</v>
      </c>
      <c r="AHB8" s="2">
        <v>2.2</v>
      </c>
      <c r="AHC8" s="2">
        <v>0.2</v>
      </c>
      <c r="AHD8" s="2">
        <v>0.2</v>
      </c>
      <c r="AHE8" s="2">
        <v>-0.2</v>
      </c>
      <c r="AHF8" s="2">
        <v>-0.9</v>
      </c>
      <c r="AHG8" s="2">
        <v>3.6</v>
      </c>
      <c r="AHH8" s="2">
        <v>3.1</v>
      </c>
      <c r="AHI8" s="2">
        <v>2.3</v>
      </c>
      <c r="AHJ8" s="2">
        <v>-0.2</v>
      </c>
      <c r="AHK8" s="2">
        <v>2</v>
      </c>
      <c r="AHL8" s="2">
        <v>1</v>
      </c>
      <c r="AHM8" s="2">
        <v>0.9</v>
      </c>
      <c r="AHN8" s="2">
        <v>-0.3</v>
      </c>
      <c r="AHO8" s="2">
        <v>-1.9</v>
      </c>
      <c r="AHP8" s="2">
        <v>-1</v>
      </c>
      <c r="AHQ8" s="2">
        <v>1.9</v>
      </c>
      <c r="AHR8" s="2">
        <v>-0.4</v>
      </c>
      <c r="AHS8" s="2">
        <v>-0.5</v>
      </c>
      <c r="AHT8" s="2">
        <v>3.1</v>
      </c>
      <c r="AHU8" s="2">
        <v>-0.5</v>
      </c>
      <c r="AHV8" s="2">
        <v>0.1</v>
      </c>
      <c r="AHW8" s="2">
        <v>1.4</v>
      </c>
      <c r="AHX8" s="2">
        <v>2</v>
      </c>
      <c r="AHY8" s="2">
        <v>-0.4</v>
      </c>
      <c r="AHZ8" s="2">
        <v>-0.9</v>
      </c>
      <c r="AIA8" s="2">
        <v>-0.1</v>
      </c>
      <c r="AIB8" s="2">
        <v>0.6</v>
      </c>
      <c r="AIC8" s="2">
        <v>-0.3</v>
      </c>
      <c r="AID8" s="2">
        <v>0.9</v>
      </c>
      <c r="AIE8" s="2">
        <v>-3.6</v>
      </c>
      <c r="AIF8" s="2">
        <v>-0.6</v>
      </c>
      <c r="AIG8" s="2">
        <v>0.2</v>
      </c>
      <c r="AIH8" s="2">
        <v>-1.2</v>
      </c>
      <c r="AII8" s="2">
        <v>-0.3</v>
      </c>
      <c r="AIJ8" s="2">
        <v>1.2</v>
      </c>
      <c r="AIK8" s="2">
        <v>0.4</v>
      </c>
      <c r="AIL8" s="2">
        <v>0.4</v>
      </c>
      <c r="AIM8" s="2">
        <v>-0.4</v>
      </c>
      <c r="AIN8" s="2">
        <v>-0.1</v>
      </c>
      <c r="AIO8" s="2">
        <v>-0.5</v>
      </c>
      <c r="AIP8" s="2">
        <v>-2.6</v>
      </c>
      <c r="AIQ8" s="2">
        <v>0.3</v>
      </c>
      <c r="AIR8" s="2">
        <v>2.4</v>
      </c>
      <c r="AIS8" s="2">
        <v>3.2</v>
      </c>
      <c r="AIT8" s="2">
        <v>2.1</v>
      </c>
      <c r="AIU8" s="2">
        <v>1.6</v>
      </c>
      <c r="AIV8" s="2">
        <v>2.1</v>
      </c>
      <c r="AIW8" s="2">
        <v>2</v>
      </c>
      <c r="AIX8" s="2">
        <v>2.9</v>
      </c>
      <c r="AIY8" s="2">
        <v>4.2</v>
      </c>
      <c r="AIZ8" s="2">
        <v>3.5</v>
      </c>
      <c r="AJA8" s="2">
        <v>0</v>
      </c>
      <c r="AJB8" s="2">
        <v>1</v>
      </c>
      <c r="AJC8" s="2">
        <v>0.2</v>
      </c>
      <c r="AJD8" s="2">
        <v>-1</v>
      </c>
      <c r="AJE8" s="2">
        <v>0.3</v>
      </c>
      <c r="AJF8" s="2">
        <v>0.1</v>
      </c>
      <c r="AJG8" s="2">
        <v>0.3</v>
      </c>
      <c r="AJH8" s="2">
        <v>1</v>
      </c>
      <c r="AJI8" s="2">
        <v>-1.8</v>
      </c>
      <c r="AJJ8" s="2">
        <v>0.8</v>
      </c>
      <c r="AJK8" s="2">
        <v>1.9</v>
      </c>
      <c r="AJL8" s="2">
        <v>2.9</v>
      </c>
      <c r="AJM8" s="2">
        <v>0.4</v>
      </c>
      <c r="AJN8" s="2">
        <v>1.8</v>
      </c>
      <c r="AJO8" s="2">
        <v>2.9</v>
      </c>
      <c r="AJP8" s="2">
        <v>3.5</v>
      </c>
      <c r="AJQ8" s="2">
        <v>-1.2</v>
      </c>
      <c r="AJR8" s="2">
        <v>2.6</v>
      </c>
      <c r="AJS8" s="2">
        <v>3</v>
      </c>
      <c r="AJT8" s="2">
        <v>3.7</v>
      </c>
      <c r="AJU8" s="2">
        <v>3.6</v>
      </c>
      <c r="AJV8" s="2">
        <v>0.3</v>
      </c>
      <c r="AJW8" s="2">
        <v>0.4</v>
      </c>
      <c r="AJX8" s="2">
        <v>7.5</v>
      </c>
      <c r="AJY8" s="2">
        <v>1.1</v>
      </c>
      <c r="AJZ8" s="2">
        <v>0.2</v>
      </c>
      <c r="AKA8" s="2">
        <v>-0.3</v>
      </c>
      <c r="AKB8" s="2">
        <v>-0.2</v>
      </c>
      <c r="AKC8" s="2">
        <v>-1.6</v>
      </c>
      <c r="AKD8" s="2">
        <v>-1.3</v>
      </c>
      <c r="AKE8" s="2">
        <v>-1.5</v>
      </c>
      <c r="AKF8" s="2">
        <v>-1.6</v>
      </c>
      <c r="AKG8" s="2">
        <v>0.6</v>
      </c>
      <c r="AKH8" s="2">
        <v>0.8</v>
      </c>
      <c r="AKI8" s="2">
        <v>0.8</v>
      </c>
      <c r="AKJ8" s="2">
        <v>1.5</v>
      </c>
      <c r="AKK8" s="2">
        <v>1.5</v>
      </c>
      <c r="AKL8" s="2">
        <v>2.3</v>
      </c>
      <c r="AKM8" s="2">
        <v>5.3</v>
      </c>
      <c r="AKN8" s="2">
        <v>2.7</v>
      </c>
      <c r="AKO8" s="2">
        <v>1.6</v>
      </c>
      <c r="AKP8" s="2">
        <v>0.45</v>
      </c>
      <c r="AKQ8" s="2">
        <v>0.47</v>
      </c>
      <c r="AKR8" s="2">
        <v>0.47</v>
      </c>
    </row>
    <row r="9">
      <c r="A9" t="inlineStr">
        <is>
          <t>Pork</t>
        </is>
      </c>
      <c r="B9" t="inlineStr">
        <is>
          <t>Meat and seafoods</t>
        </is>
      </c>
      <c r="C9">
        <v>3</v>
      </c>
      <c r="D9">
        <v>0.27</v>
      </c>
      <c r="E9" s="3">
        <f>D9/2.13*0.021287765651924178</f>
        <v>0.0026984491671453188</v>
      </c>
      <c r="F9" s="3">
        <f>E9-D9/100</f>
        <v>-1.5508328546813901e-06</v>
      </c>
      <c r="G9" s="3">
        <f>D9/2.13</f>
        <v>0.12676056338028172</v>
      </c>
      <c r="H9" s="2">
        <v>77.81</v>
      </c>
      <c r="I9" s="2">
        <v>77.84</v>
      </c>
      <c r="J9" s="2">
        <v>77.69</v>
      </c>
      <c r="K9" s="2">
        <v>77.92</v>
      </c>
      <c r="L9" s="2">
        <v>77.97</v>
      </c>
      <c r="M9" s="2">
        <v>78.20999999999999</v>
      </c>
      <c r="N9" s="2">
        <v>78.84999999999999</v>
      </c>
      <c r="O9" s="2">
        <v>77.84999999999999</v>
      </c>
      <c r="P9" s="2">
        <v>77.5</v>
      </c>
      <c r="Q9" s="2">
        <v>76.51000000000001</v>
      </c>
      <c r="R9" s="2">
        <v>76.75</v>
      </c>
      <c r="S9" s="2">
        <v>76.98</v>
      </c>
      <c r="T9" s="2">
        <v>77.12</v>
      </c>
      <c r="U9" s="2">
        <v>76.69</v>
      </c>
      <c r="V9" s="2">
        <v>77.44</v>
      </c>
      <c r="W9" s="2">
        <v>77.73</v>
      </c>
      <c r="X9" s="2">
        <v>77.87</v>
      </c>
      <c r="Y9" s="2">
        <v>78.34999999999999</v>
      </c>
      <c r="Z9" s="2">
        <v>78.34999999999999</v>
      </c>
      <c r="AA9" s="2">
        <v>78.01000000000001</v>
      </c>
      <c r="AB9" s="2">
        <v>78.34</v>
      </c>
      <c r="AC9" s="2">
        <v>78.43000000000001</v>
      </c>
      <c r="AD9" s="2">
        <v>78.95</v>
      </c>
      <c r="AE9" s="2">
        <v>79.81999999999999</v>
      </c>
      <c r="AF9" s="2">
        <v>80.98</v>
      </c>
      <c r="AG9" s="2">
        <v>83.23</v>
      </c>
      <c r="AH9" s="2">
        <v>83.95</v>
      </c>
      <c r="AI9" s="2">
        <v>83.70999999999999</v>
      </c>
      <c r="AJ9" s="2">
        <v>84</v>
      </c>
      <c r="AK9" s="2">
        <v>84.3</v>
      </c>
      <c r="AL9" s="2">
        <v>86.45999999999999</v>
      </c>
      <c r="AM9" s="2">
        <v>86.81999999999999</v>
      </c>
      <c r="AN9" s="2">
        <v>86.25</v>
      </c>
      <c r="AO9" s="2">
        <v>85.66</v>
      </c>
      <c r="AP9" s="2">
        <v>86.22</v>
      </c>
      <c r="AQ9" s="2">
        <v>86.81</v>
      </c>
      <c r="AR9" s="2">
        <v>87.09999999999999</v>
      </c>
      <c r="AS9" s="2">
        <v>86.65000000000001</v>
      </c>
      <c r="AT9" s="2">
        <v>87.2</v>
      </c>
      <c r="AU9" s="2">
        <v>86.90000000000001</v>
      </c>
      <c r="AV9" s="2">
        <v>87.18000000000001</v>
      </c>
      <c r="AW9" s="2">
        <v>87.34</v>
      </c>
      <c r="AX9" s="2">
        <v>86.58</v>
      </c>
      <c r="AY9" s="2">
        <v>85.59</v>
      </c>
      <c r="AZ9" s="2">
        <v>86.06999999999999</v>
      </c>
      <c r="BA9" s="2">
        <v>85.37</v>
      </c>
      <c r="BB9" s="2">
        <v>85.2</v>
      </c>
      <c r="BC9" s="2">
        <v>86.29000000000001</v>
      </c>
      <c r="BD9" s="2">
        <v>86.81999999999999</v>
      </c>
      <c r="BE9" s="2">
        <v>86.81999999999999</v>
      </c>
      <c r="BF9" s="2">
        <v>87.94</v>
      </c>
      <c r="BG9" s="2">
        <v>86.84999999999999</v>
      </c>
      <c r="BH9" s="2">
        <v>89.05</v>
      </c>
      <c r="BI9" s="2">
        <v>90.7</v>
      </c>
      <c r="BJ9" s="2">
        <v>89.33</v>
      </c>
      <c r="BK9" s="2">
        <v>88.81999999999999</v>
      </c>
      <c r="BL9" s="2">
        <v>89.84</v>
      </c>
      <c r="BM9" s="2">
        <v>88.88</v>
      </c>
      <c r="BN9" s="2">
        <v>89.13</v>
      </c>
      <c r="BO9" s="2">
        <v>89.38</v>
      </c>
      <c r="BP9" s="2">
        <v>89.47</v>
      </c>
      <c r="BQ9" s="2">
        <v>90.28</v>
      </c>
      <c r="BR9" s="2">
        <v>91.47</v>
      </c>
      <c r="BS9" s="2">
        <v>92.40000000000001</v>
      </c>
      <c r="BT9" s="2">
        <v>92.45</v>
      </c>
      <c r="BU9" s="2">
        <v>93.40000000000001</v>
      </c>
      <c r="BV9" s="2">
        <v>93.45999999999999</v>
      </c>
      <c r="BW9" s="2">
        <v>92.68000000000001</v>
      </c>
      <c r="BX9" s="2">
        <v>92.77</v>
      </c>
      <c r="BY9" s="2">
        <v>92.03</v>
      </c>
      <c r="BZ9" s="2">
        <v>92.76000000000001</v>
      </c>
      <c r="CA9" s="2">
        <v>93.33</v>
      </c>
      <c r="CB9" s="2">
        <v>93.97</v>
      </c>
      <c r="CC9" s="2">
        <v>95.98999999999999</v>
      </c>
      <c r="CD9" s="2">
        <v>96.88</v>
      </c>
      <c r="CE9" s="2">
        <v>96.29000000000001</v>
      </c>
      <c r="CF9" s="2">
        <v>97.2</v>
      </c>
      <c r="CG9" s="2">
        <v>96.66</v>
      </c>
      <c r="CH9" s="2">
        <v>96.97</v>
      </c>
      <c r="CI9" s="2">
        <v>97.17</v>
      </c>
      <c r="CJ9" s="2">
        <v>97.3</v>
      </c>
      <c r="CK9" s="2">
        <v>96.09</v>
      </c>
      <c r="CL9" s="2">
        <v>96.48999999999999</v>
      </c>
      <c r="CM9" s="2">
        <v>96.76000000000001</v>
      </c>
      <c r="CN9" s="2">
        <v>96.76000000000001</v>
      </c>
      <c r="CO9" s="2">
        <v>98.23</v>
      </c>
      <c r="CP9" s="2">
        <v>99.14</v>
      </c>
      <c r="CQ9" s="2">
        <v>99.06999999999999</v>
      </c>
      <c r="CR9" s="2">
        <v>100.28</v>
      </c>
      <c r="CS9" s="2">
        <v>100.34</v>
      </c>
      <c r="CT9" s="2">
        <v>101.16</v>
      </c>
      <c r="CU9" s="2">
        <v>99.47</v>
      </c>
      <c r="CV9" s="2">
        <v>100.64</v>
      </c>
      <c r="CW9" s="2">
        <v>99.44</v>
      </c>
      <c r="CX9" s="2">
        <v>99.86</v>
      </c>
      <c r="CY9" s="2">
        <v>100.16</v>
      </c>
      <c r="CZ9" s="2">
        <v>100</v>
      </c>
      <c r="DA9" s="2">
        <v>99.61</v>
      </c>
      <c r="DB9" s="2">
        <v>100.39</v>
      </c>
      <c r="DC9" s="2">
        <v>99.76000000000001</v>
      </c>
      <c r="DD9" s="2">
        <v>100.78</v>
      </c>
      <c r="DE9" s="2">
        <v>100.87</v>
      </c>
      <c r="DF9" s="2">
        <v>101.05</v>
      </c>
      <c r="DG9" s="2">
        <v>101.2</v>
      </c>
      <c r="DH9" s="2">
        <v>101.94</v>
      </c>
      <c r="DI9" s="2">
        <v>101.9</v>
      </c>
      <c r="DJ9" s="2">
        <v>101.19</v>
      </c>
      <c r="DK9" s="2">
        <v>-0.9</v>
      </c>
      <c r="DL9" s="2">
        <v>-1.5</v>
      </c>
      <c r="DM9" s="2">
        <v>-0.3</v>
      </c>
      <c r="DN9" s="2">
        <v>-0.2</v>
      </c>
      <c r="DO9" s="2">
        <v>-0.1</v>
      </c>
      <c r="DP9" s="2">
        <v>0.2</v>
      </c>
      <c r="DQ9" s="2">
        <v>-0.6</v>
      </c>
      <c r="DR9" s="2">
        <v>0.2</v>
      </c>
      <c r="DS9" s="2">
        <v>1.1</v>
      </c>
      <c r="DT9" s="2">
        <v>2.5</v>
      </c>
      <c r="DU9" s="2">
        <v>2.9</v>
      </c>
      <c r="DV9" s="2">
        <v>3.7</v>
      </c>
      <c r="DW9" s="2">
        <v>5</v>
      </c>
      <c r="DX9" s="2">
        <v>8.5</v>
      </c>
      <c r="DY9" s="2">
        <v>8.4</v>
      </c>
      <c r="DZ9" s="2">
        <v>7.7</v>
      </c>
      <c r="EA9" s="2">
        <v>7.9</v>
      </c>
      <c r="EB9" s="2">
        <v>7.6</v>
      </c>
      <c r="EC9" s="2">
        <v>10.4</v>
      </c>
      <c r="ED9" s="2">
        <v>11.3</v>
      </c>
      <c r="EE9" s="2">
        <v>10.1</v>
      </c>
      <c r="EF9" s="2">
        <v>9.199999999999999</v>
      </c>
      <c r="EG9" s="2">
        <v>9.199999999999999</v>
      </c>
      <c r="EH9" s="2">
        <v>8.800000000000001</v>
      </c>
      <c r="EI9" s="2">
        <v>7.6</v>
      </c>
      <c r="EJ9" s="2">
        <v>4.1</v>
      </c>
      <c r="EK9" s="2">
        <v>3.9</v>
      </c>
      <c r="EL9" s="2">
        <v>3.8</v>
      </c>
      <c r="EM9" s="2">
        <v>3.8</v>
      </c>
      <c r="EN9" s="2">
        <v>3.6</v>
      </c>
      <c r="EO9" s="2">
        <v>0.1</v>
      </c>
      <c r="EP9" s="2">
        <v>-1.4</v>
      </c>
      <c r="EQ9" s="2">
        <v>-0.2</v>
      </c>
      <c r="ER9" s="2">
        <v>-0.3</v>
      </c>
      <c r="ES9" s="2">
        <v>-1.2</v>
      </c>
      <c r="ET9" s="2">
        <v>-0.6</v>
      </c>
      <c r="EU9" s="2">
        <v>-0.3</v>
      </c>
      <c r="EV9" s="2">
        <v>0.2</v>
      </c>
      <c r="EW9" s="2">
        <v>0.8</v>
      </c>
      <c r="EX9" s="2">
        <v>-0.1</v>
      </c>
      <c r="EY9" s="2">
        <v>2.1</v>
      </c>
      <c r="EZ9" s="2">
        <v>3.8</v>
      </c>
      <c r="FA9" s="2">
        <v>3.2</v>
      </c>
      <c r="FB9" s="2">
        <v>3.8</v>
      </c>
      <c r="FC9" s="2">
        <v>4.4</v>
      </c>
      <c r="FD9" s="2">
        <v>4.1</v>
      </c>
      <c r="FE9" s="2">
        <v>4.6</v>
      </c>
      <c r="FF9" s="2">
        <v>3.6</v>
      </c>
      <c r="FG9" s="2">
        <v>3.1</v>
      </c>
      <c r="FH9" s="2">
        <v>4</v>
      </c>
      <c r="FI9" s="2">
        <v>4</v>
      </c>
      <c r="FJ9" s="2">
        <v>6.4</v>
      </c>
      <c r="FK9" s="2">
        <v>3.8</v>
      </c>
      <c r="FL9" s="2">
        <v>3</v>
      </c>
      <c r="FM9" s="2">
        <v>4.6</v>
      </c>
      <c r="FN9" s="2">
        <v>4.3</v>
      </c>
      <c r="FO9" s="2">
        <v>3.3</v>
      </c>
      <c r="FP9" s="2">
        <v>3.5</v>
      </c>
      <c r="FQ9" s="2">
        <v>4.1</v>
      </c>
      <c r="FR9" s="2">
        <v>4.4</v>
      </c>
      <c r="FS9" s="2">
        <v>5</v>
      </c>
      <c r="FT9" s="2">
        <v>6.3</v>
      </c>
      <c r="FU9" s="2">
        <v>5.9</v>
      </c>
      <c r="FV9" s="2">
        <v>4.2</v>
      </c>
      <c r="FW9" s="2">
        <v>5.1</v>
      </c>
      <c r="FX9" s="2">
        <v>3.5</v>
      </c>
      <c r="FY9" s="2">
        <v>3.8</v>
      </c>
      <c r="FZ9" s="2">
        <v>4.8</v>
      </c>
      <c r="GA9" s="2">
        <v>4.9</v>
      </c>
      <c r="GB9" s="2">
        <v>4.4</v>
      </c>
      <c r="GC9" s="2">
        <v>4</v>
      </c>
      <c r="GD9" s="2">
        <v>3.7</v>
      </c>
      <c r="GE9" s="2">
        <v>3</v>
      </c>
      <c r="GF9" s="2">
        <v>2.3</v>
      </c>
      <c r="GG9" s="2">
        <v>2.3</v>
      </c>
      <c r="GH9" s="2">
        <v>2.9</v>
      </c>
      <c r="GI9" s="2">
        <v>3.2</v>
      </c>
      <c r="GJ9" s="2">
        <v>3.8</v>
      </c>
      <c r="GK9" s="2">
        <v>4.3</v>
      </c>
      <c r="GL9" s="2">
        <v>2.4</v>
      </c>
      <c r="GM9" s="2">
        <v>3.4</v>
      </c>
      <c r="GN9" s="2">
        <v>3.5</v>
      </c>
      <c r="GO9" s="2">
        <v>3.5</v>
      </c>
      <c r="GP9" s="2">
        <v>3.5</v>
      </c>
      <c r="GQ9" s="2">
        <v>3.3</v>
      </c>
      <c r="GR9" s="2">
        <v>1.4</v>
      </c>
      <c r="GS9" s="2">
        <v>1.3</v>
      </c>
      <c r="GT9" s="2">
        <v>0.7</v>
      </c>
      <c r="GU9" s="2">
        <v>0.5</v>
      </c>
      <c r="GV9" s="2">
        <v>0.5</v>
      </c>
      <c r="GW9" s="2">
        <v>-0.1</v>
      </c>
      <c r="GX9" s="2">
        <v>1.7</v>
      </c>
      <c r="GY9" s="2">
        <v>1.3</v>
      </c>
      <c r="GZ9" s="2">
        <v>2.5</v>
      </c>
      <c r="HA9" s="2">
        <v>1.3</v>
      </c>
      <c r="HB9" s="2">
        <v>0</v>
      </c>
      <c r="HC9" s="2">
        <v>-0.2</v>
      </c>
      <c r="HD9" s="2">
        <v>0.3</v>
      </c>
      <c r="HE9" s="2">
        <v>0.1</v>
      </c>
      <c r="HF9" s="2">
        <v>0.3</v>
      </c>
      <c r="HG9" s="2">
        <v>0.8</v>
      </c>
      <c r="HH9" s="2">
        <v>-1.3</v>
      </c>
      <c r="HI9" s="2">
        <v>-0.4</v>
      </c>
      <c r="HJ9" s="2">
        <v>-1.3</v>
      </c>
      <c r="HK9" s="2">
        <v>0.3</v>
      </c>
      <c r="HL9" s="2">
        <v>0.3</v>
      </c>
      <c r="HM9" s="2">
        <v>0.2</v>
      </c>
      <c r="HN9" s="2">
        <v>-0.6</v>
      </c>
      <c r="HO9" s="2">
        <v>1</v>
      </c>
      <c r="HP9" s="2">
        <v>0.4</v>
      </c>
      <c r="HQ9" s="2">
        <v>0.2</v>
      </c>
      <c r="HR9" s="2">
        <v>0.6</v>
      </c>
      <c r="HS9" s="2">
        <v>0</v>
      </c>
      <c r="HT9" s="2">
        <v>-0.4</v>
      </c>
      <c r="HU9" s="2">
        <v>0.4</v>
      </c>
      <c r="HV9" s="2">
        <v>0.1</v>
      </c>
      <c r="HW9" s="2">
        <v>0.7</v>
      </c>
      <c r="HX9" s="2">
        <v>1.1</v>
      </c>
      <c r="HY9" s="2">
        <v>1.5</v>
      </c>
      <c r="HZ9" s="2">
        <v>2.8</v>
      </c>
      <c r="IA9" s="2">
        <v>0.9</v>
      </c>
      <c r="IB9" s="2">
        <v>-0.3</v>
      </c>
      <c r="IC9" s="2">
        <v>0.3</v>
      </c>
      <c r="ID9" s="2">
        <v>0.4</v>
      </c>
      <c r="IE9" s="2">
        <v>2.6</v>
      </c>
      <c r="IF9" s="2">
        <v>0.4</v>
      </c>
      <c r="IG9" s="2">
        <v>-0.7</v>
      </c>
      <c r="IH9" s="2">
        <v>-0.7</v>
      </c>
      <c r="II9" s="2">
        <v>0.7</v>
      </c>
      <c r="IJ9" s="2">
        <v>0.7</v>
      </c>
      <c r="IK9" s="2">
        <v>0.3</v>
      </c>
      <c r="IL9" s="2">
        <v>-0.5</v>
      </c>
      <c r="IM9" s="2">
        <v>0.6</v>
      </c>
      <c r="IN9" s="2">
        <v>-0.3</v>
      </c>
      <c r="IO9" s="2">
        <v>0.3</v>
      </c>
      <c r="IP9" s="2">
        <v>0.2</v>
      </c>
      <c r="IQ9" s="2">
        <v>-0.9</v>
      </c>
      <c r="IR9" s="2">
        <v>-1.1</v>
      </c>
      <c r="IS9" s="2">
        <v>0.6</v>
      </c>
      <c r="IT9" s="2">
        <v>-0.8</v>
      </c>
      <c r="IU9" s="2">
        <v>-0.2</v>
      </c>
      <c r="IV9" s="2">
        <v>1.3</v>
      </c>
      <c r="IW9" s="2">
        <v>0.6</v>
      </c>
      <c r="IX9" s="2">
        <v>0</v>
      </c>
      <c r="IY9" s="2">
        <v>1.3</v>
      </c>
      <c r="IZ9" s="2">
        <v>-1.2</v>
      </c>
      <c r="JA9" s="2">
        <v>2.5</v>
      </c>
      <c r="JB9" s="2">
        <v>1.9</v>
      </c>
      <c r="JC9" s="2">
        <v>-1.5</v>
      </c>
      <c r="JD9" s="2">
        <v>-0.6</v>
      </c>
      <c r="JE9" s="2">
        <v>1.1</v>
      </c>
      <c r="JF9" s="2">
        <v>-1.1</v>
      </c>
      <c r="JG9" s="2">
        <v>0.3</v>
      </c>
      <c r="JH9" s="2">
        <v>0.3</v>
      </c>
      <c r="JI9" s="2">
        <v>0.1</v>
      </c>
      <c r="JJ9" s="2">
        <v>0.9</v>
      </c>
      <c r="JK9" s="2">
        <v>1.3</v>
      </c>
      <c r="JL9" s="2">
        <v>1</v>
      </c>
      <c r="JM9" s="2">
        <v>0.1</v>
      </c>
      <c r="JN9" s="2">
        <v>1</v>
      </c>
      <c r="JO9" s="2">
        <v>0.1</v>
      </c>
      <c r="JP9" s="2">
        <v>-0.8</v>
      </c>
      <c r="JQ9" s="2">
        <v>0.1</v>
      </c>
      <c r="JR9" s="2">
        <v>-0.8</v>
      </c>
      <c r="JS9" s="2">
        <v>0.8</v>
      </c>
      <c r="JT9" s="2">
        <v>0.6</v>
      </c>
      <c r="JU9" s="2">
        <v>0.7</v>
      </c>
      <c r="JV9" s="2">
        <v>2.1</v>
      </c>
      <c r="JW9" s="2">
        <v>0.9</v>
      </c>
      <c r="JX9" s="2">
        <v>-0.6</v>
      </c>
      <c r="JY9" s="2">
        <v>0.9</v>
      </c>
      <c r="JZ9" s="2">
        <v>-0.6</v>
      </c>
      <c r="KA9" s="2">
        <v>0.3</v>
      </c>
      <c r="KB9" s="2">
        <v>0.2</v>
      </c>
      <c r="KC9" s="2">
        <v>0.1</v>
      </c>
      <c r="KD9" s="2">
        <v>-1.2</v>
      </c>
      <c r="KE9" s="2">
        <v>0.4</v>
      </c>
      <c r="KF9" s="2">
        <v>0.3</v>
      </c>
      <c r="KG9" s="2">
        <v>0</v>
      </c>
      <c r="KH9" s="2">
        <v>1.5</v>
      </c>
      <c r="KI9" s="2">
        <v>0.9</v>
      </c>
      <c r="KJ9" s="2">
        <v>-0.1</v>
      </c>
      <c r="KK9" s="2">
        <v>1.2</v>
      </c>
      <c r="KL9" s="2">
        <v>0.1</v>
      </c>
      <c r="KM9" s="2">
        <v>0.8</v>
      </c>
      <c r="KN9" s="2">
        <v>-1.7</v>
      </c>
      <c r="KO9" s="2">
        <v>1.2</v>
      </c>
      <c r="KP9" s="2">
        <v>-1.2</v>
      </c>
      <c r="KQ9" s="2">
        <v>0.4</v>
      </c>
      <c r="KR9" s="2">
        <v>0.3</v>
      </c>
      <c r="KS9" s="2">
        <v>-0.2</v>
      </c>
      <c r="KT9" s="2">
        <v>-0.4</v>
      </c>
      <c r="KU9" s="2">
        <v>0.8</v>
      </c>
      <c r="KV9" s="2">
        <v>-0.6</v>
      </c>
      <c r="KW9" s="2">
        <v>1</v>
      </c>
      <c r="KX9" s="2">
        <v>0.1</v>
      </c>
      <c r="KY9" s="2">
        <v>0.2</v>
      </c>
      <c r="KZ9" s="2">
        <v>0.1</v>
      </c>
      <c r="LA9" s="2">
        <v>0.7</v>
      </c>
      <c r="LB9" s="2">
        <v>0</v>
      </c>
      <c r="LC9" s="2">
        <v>-0.7</v>
      </c>
      <c r="LD9" s="2">
        <v>0.26</v>
      </c>
      <c r="LE9" s="2">
        <v>0.26</v>
      </c>
      <c r="LF9" s="2">
        <v>0.26</v>
      </c>
      <c r="LG9" s="2">
        <v>0.27</v>
      </c>
      <c r="LH9" s="2">
        <v>0.26</v>
      </c>
      <c r="LI9" s="2">
        <v>0.27</v>
      </c>
      <c r="LJ9" s="2">
        <v>0.26</v>
      </c>
      <c r="LK9" s="2">
        <v>0.26</v>
      </c>
      <c r="LL9" s="2">
        <v>0.26</v>
      </c>
      <c r="LM9" s="2">
        <v>0.26</v>
      </c>
      <c r="LN9" s="2">
        <v>0.26</v>
      </c>
      <c r="LO9" s="2">
        <v>0.27</v>
      </c>
      <c r="LP9" s="2">
        <v>0.26</v>
      </c>
      <c r="LQ9" s="2">
        <v>0.27</v>
      </c>
      <c r="LR9" s="2">
        <v>0.27</v>
      </c>
      <c r="LS9" s="2">
        <v>0.27</v>
      </c>
      <c r="LT9" s="2">
        <v>0.27</v>
      </c>
      <c r="LU9" s="2">
        <v>0.27</v>
      </c>
      <c r="LV9" s="2">
        <v>0.27</v>
      </c>
      <c r="LW9" s="2">
        <v>0.27</v>
      </c>
      <c r="LX9" s="2">
        <v>0</v>
      </c>
      <c r="LY9" s="2">
        <v>0</v>
      </c>
      <c r="LZ9" s="2">
        <v>0.01</v>
      </c>
      <c r="MA9" s="2">
        <v>-0.01</v>
      </c>
      <c r="MB9" s="2">
        <v>0.01</v>
      </c>
      <c r="MC9" s="2">
        <v>-0.01</v>
      </c>
      <c r="MD9" s="2">
        <v>0</v>
      </c>
      <c r="ME9" s="2">
        <v>0</v>
      </c>
      <c r="MF9" s="2">
        <v>0</v>
      </c>
      <c r="MG9" s="2">
        <v>0</v>
      </c>
      <c r="MH9" s="2">
        <v>0.01</v>
      </c>
      <c r="MI9" s="2">
        <v>-0.01</v>
      </c>
      <c r="MJ9" s="2">
        <v>0.01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RO9" s="2">
        <v>26.46</v>
      </c>
      <c r="RP9" s="2">
        <v>27.82</v>
      </c>
      <c r="RQ9" s="2">
        <v>28.71</v>
      </c>
      <c r="RR9" s="2">
        <v>28.88</v>
      </c>
      <c r="RS9" s="2">
        <v>29.94</v>
      </c>
      <c r="RT9" s="2">
        <v>31.17</v>
      </c>
      <c r="RU9" s="2">
        <v>31.76</v>
      </c>
      <c r="RV9" s="2">
        <v>32.65</v>
      </c>
      <c r="RW9" s="2">
        <v>34.05</v>
      </c>
      <c r="RX9" s="2">
        <v>34.52</v>
      </c>
      <c r="RY9" s="2">
        <v>35.19</v>
      </c>
      <c r="RZ9" s="2">
        <v>35.28</v>
      </c>
      <c r="SA9" s="2">
        <v>34.3</v>
      </c>
      <c r="SB9" s="2">
        <v>34.22</v>
      </c>
      <c r="SC9" s="2">
        <v>33.84</v>
      </c>
      <c r="SD9" s="2">
        <v>34.13</v>
      </c>
      <c r="SE9" s="2">
        <v>34.39</v>
      </c>
      <c r="SF9" s="2">
        <v>34.9</v>
      </c>
      <c r="SG9" s="2">
        <v>35.7</v>
      </c>
      <c r="SH9" s="2">
        <v>35.75</v>
      </c>
      <c r="SI9" s="2">
        <v>36.09</v>
      </c>
      <c r="SJ9" s="2">
        <v>36.04</v>
      </c>
      <c r="SK9" s="2">
        <v>36.47</v>
      </c>
      <c r="SL9" s="2">
        <v>36.51</v>
      </c>
      <c r="SM9" s="2">
        <v>35.96</v>
      </c>
      <c r="SN9" s="2">
        <v>37.61</v>
      </c>
      <c r="SO9" s="2">
        <v>37.06</v>
      </c>
      <c r="SP9" s="2">
        <v>36.89</v>
      </c>
      <c r="SQ9" s="2">
        <v>37.1</v>
      </c>
      <c r="SR9" s="2">
        <v>37.74</v>
      </c>
      <c r="SS9" s="2">
        <v>37.87</v>
      </c>
      <c r="ST9" s="2">
        <v>37.99</v>
      </c>
      <c r="SU9" s="2">
        <v>37.95</v>
      </c>
      <c r="SV9" s="2">
        <v>39.48</v>
      </c>
      <c r="SW9" s="2">
        <v>40.66</v>
      </c>
      <c r="SX9" s="2">
        <v>40.88</v>
      </c>
      <c r="SY9" s="2">
        <v>41.39</v>
      </c>
      <c r="SZ9" s="2">
        <v>42.7</v>
      </c>
      <c r="TA9" s="2">
        <v>42.66</v>
      </c>
      <c r="TB9" s="2">
        <v>42.83</v>
      </c>
      <c r="TC9" s="2">
        <v>42.28</v>
      </c>
      <c r="TD9" s="2">
        <v>43.08</v>
      </c>
      <c r="TE9" s="2">
        <v>43.55</v>
      </c>
      <c r="TF9" s="2">
        <v>43.55</v>
      </c>
      <c r="TG9" s="2">
        <v>42.7</v>
      </c>
      <c r="TH9" s="2">
        <v>43.29</v>
      </c>
      <c r="TI9" s="2">
        <v>43.51</v>
      </c>
      <c r="TJ9" s="2">
        <v>43.12</v>
      </c>
      <c r="TK9" s="2">
        <v>43.29</v>
      </c>
      <c r="TL9" s="2">
        <v>43.12</v>
      </c>
      <c r="TM9" s="2">
        <v>43.68</v>
      </c>
      <c r="TN9" s="2">
        <v>43.89</v>
      </c>
      <c r="TO9" s="2">
        <v>44.1</v>
      </c>
      <c r="TP9" s="2">
        <v>45.12</v>
      </c>
      <c r="TQ9" s="2">
        <v>44.99</v>
      </c>
      <c r="TR9" s="2">
        <v>44.44</v>
      </c>
      <c r="TS9" s="2">
        <v>43.76</v>
      </c>
      <c r="TT9" s="2">
        <v>44.35</v>
      </c>
      <c r="TU9" s="2">
        <v>44.78</v>
      </c>
      <c r="TV9" s="2">
        <v>44.52</v>
      </c>
      <c r="TW9" s="2">
        <v>45.12</v>
      </c>
      <c r="TX9" s="2">
        <v>45.33</v>
      </c>
      <c r="TY9" s="2">
        <v>45.8</v>
      </c>
      <c r="TZ9" s="2">
        <v>46.86</v>
      </c>
      <c r="UA9" s="2">
        <v>47.49</v>
      </c>
      <c r="UB9" s="2">
        <v>48.51</v>
      </c>
      <c r="UC9" s="2">
        <v>48.89</v>
      </c>
      <c r="UD9" s="2">
        <v>48.64</v>
      </c>
      <c r="UE9" s="2">
        <v>47.92</v>
      </c>
      <c r="UF9" s="2">
        <v>48.3</v>
      </c>
      <c r="UG9" s="2">
        <v>48.42</v>
      </c>
      <c r="UH9" s="2">
        <v>47.79</v>
      </c>
      <c r="UI9" s="2">
        <v>47.36</v>
      </c>
      <c r="UJ9" s="2">
        <v>47.19</v>
      </c>
      <c r="UK9" s="2">
        <v>47.66</v>
      </c>
      <c r="UL9" s="2">
        <v>47.32</v>
      </c>
      <c r="UM9" s="2">
        <v>48.09</v>
      </c>
      <c r="UN9" s="2">
        <v>50.37</v>
      </c>
      <c r="UO9" s="2">
        <v>50.8</v>
      </c>
      <c r="UP9" s="2">
        <v>49.7</v>
      </c>
      <c r="UQ9" s="2">
        <v>49.78</v>
      </c>
      <c r="UR9" s="2">
        <v>50.54</v>
      </c>
      <c r="US9" s="2">
        <v>52.37</v>
      </c>
      <c r="UT9" s="2">
        <v>54.4</v>
      </c>
      <c r="UU9" s="2">
        <v>56.99</v>
      </c>
      <c r="UV9" s="2">
        <v>58.09</v>
      </c>
      <c r="UW9" s="2">
        <v>60.38</v>
      </c>
      <c r="UX9" s="2">
        <v>59.36</v>
      </c>
      <c r="UY9" s="2">
        <v>59.15</v>
      </c>
      <c r="UZ9" s="2">
        <v>58.26</v>
      </c>
      <c r="VA9" s="2">
        <v>58.73</v>
      </c>
      <c r="VB9" s="2">
        <v>59.36</v>
      </c>
      <c r="VC9" s="2">
        <v>58.56</v>
      </c>
      <c r="VD9" s="2">
        <v>60.3</v>
      </c>
      <c r="VE9" s="2">
        <v>60.17</v>
      </c>
      <c r="VF9" s="2">
        <v>59.15</v>
      </c>
      <c r="VG9" s="2">
        <v>56.35</v>
      </c>
      <c r="VH9" s="2">
        <v>60.76</v>
      </c>
      <c r="VI9" s="2">
        <v>61.06</v>
      </c>
      <c r="VJ9" s="2">
        <v>63.1</v>
      </c>
      <c r="VK9" s="2">
        <v>62.88</v>
      </c>
      <c r="VL9" s="2">
        <v>61.99</v>
      </c>
      <c r="VM9" s="2">
        <v>63.56</v>
      </c>
      <c r="VN9" s="2">
        <v>63.35</v>
      </c>
      <c r="VO9" s="2">
        <v>63.77</v>
      </c>
      <c r="VP9" s="2">
        <v>65.47</v>
      </c>
      <c r="VQ9" s="2">
        <v>66.83</v>
      </c>
      <c r="VR9" s="2">
        <v>65.09</v>
      </c>
      <c r="VS9" s="2">
        <v>64.5</v>
      </c>
      <c r="VT9" s="2">
        <v>65.13</v>
      </c>
      <c r="VU9" s="2">
        <v>67.04000000000001</v>
      </c>
      <c r="VV9" s="2">
        <v>66.79000000000001</v>
      </c>
      <c r="VW9" s="2">
        <v>65.59999999999999</v>
      </c>
      <c r="VX9" s="2">
        <v>68.95</v>
      </c>
      <c r="VY9" s="2">
        <v>72.51000000000001</v>
      </c>
      <c r="VZ9" s="2">
        <v>72</v>
      </c>
      <c r="WA9" s="2">
        <v>71.03</v>
      </c>
      <c r="WB9" s="2">
        <v>68.65000000000001</v>
      </c>
      <c r="WC9" s="2">
        <v>71.79000000000001</v>
      </c>
      <c r="WD9" s="2">
        <v>70.77</v>
      </c>
      <c r="WE9" s="2">
        <v>70.86</v>
      </c>
      <c r="WF9" s="2">
        <v>72.81</v>
      </c>
      <c r="WG9" s="2">
        <v>73.40000000000001</v>
      </c>
      <c r="WH9" s="2">
        <v>73.02</v>
      </c>
      <c r="WI9" s="2">
        <v>72.64</v>
      </c>
      <c r="WJ9" s="2">
        <v>70.97</v>
      </c>
      <c r="WK9" s="2">
        <v>71.93000000000001</v>
      </c>
      <c r="WL9" s="2">
        <v>70.76000000000001</v>
      </c>
      <c r="WM9" s="2">
        <v>71</v>
      </c>
      <c r="WN9" s="2">
        <v>71.48999999999999</v>
      </c>
      <c r="WO9" s="2">
        <v>72.06999999999999</v>
      </c>
      <c r="WP9" s="2">
        <v>72.09</v>
      </c>
      <c r="WQ9" s="2">
        <v>72.17</v>
      </c>
      <c r="WR9" s="2">
        <v>71.63</v>
      </c>
      <c r="WS9" s="2">
        <v>73.90000000000001</v>
      </c>
      <c r="WT9" s="2">
        <v>74.52</v>
      </c>
      <c r="WU9" s="2">
        <v>74.44</v>
      </c>
      <c r="WV9" s="2">
        <v>75.70999999999999</v>
      </c>
      <c r="WW9" s="2">
        <v>77.8</v>
      </c>
      <c r="WX9" s="2">
        <v>77.91</v>
      </c>
      <c r="WY9" s="2">
        <v>78.23999999999999</v>
      </c>
      <c r="WZ9" s="2">
        <v>79.33</v>
      </c>
      <c r="XA9" s="2">
        <v>80.36</v>
      </c>
      <c r="XB9" s="2">
        <v>79.7</v>
      </c>
      <c r="XC9" s="2">
        <v>78.8</v>
      </c>
      <c r="XD9" s="2">
        <v>80.06</v>
      </c>
      <c r="XE9" s="2">
        <v>79.90000000000001</v>
      </c>
      <c r="XF9" s="2">
        <v>77.48999999999999</v>
      </c>
      <c r="XG9" s="2">
        <v>77.87</v>
      </c>
      <c r="XH9" s="2">
        <v>78.26000000000001</v>
      </c>
      <c r="XI9" s="2">
        <v>78.59999999999999</v>
      </c>
      <c r="XJ9" s="2">
        <v>77.79000000000001</v>
      </c>
      <c r="XK9" s="2">
        <v>77.11</v>
      </c>
      <c r="XL9" s="2">
        <v>77.79000000000001</v>
      </c>
      <c r="XM9" s="2">
        <v>78.42</v>
      </c>
      <c r="XN9" s="2">
        <v>78.7</v>
      </c>
      <c r="XO9" s="2">
        <v>80.14</v>
      </c>
      <c r="XP9" s="2">
        <v>83.95999999999999</v>
      </c>
      <c r="XQ9" s="2">
        <v>85.12</v>
      </c>
      <c r="XR9" s="2">
        <v>86.17</v>
      </c>
      <c r="XS9" s="2">
        <v>86.38</v>
      </c>
      <c r="XT9" s="2">
        <v>86.7</v>
      </c>
      <c r="XU9" s="2">
        <v>86.78</v>
      </c>
      <c r="XV9" s="2">
        <v>85.78</v>
      </c>
      <c r="XW9" s="2">
        <v>86.03</v>
      </c>
      <c r="XX9" s="2">
        <v>87.26000000000001</v>
      </c>
      <c r="XY9" s="2">
        <v>89.64</v>
      </c>
      <c r="XZ9" s="2">
        <v>89.18000000000001</v>
      </c>
      <c r="YA9" s="2">
        <v>89.33</v>
      </c>
      <c r="YB9" s="2">
        <v>91.38</v>
      </c>
      <c r="YC9" s="2">
        <v>93.11</v>
      </c>
      <c r="YD9" s="2">
        <v>92.48999999999999</v>
      </c>
      <c r="YE9" s="2">
        <v>93.36</v>
      </c>
      <c r="YF9" s="2">
        <v>96.39</v>
      </c>
      <c r="YG9" s="2">
        <v>96.94</v>
      </c>
      <c r="YH9" s="2">
        <v>96.86</v>
      </c>
      <c r="YI9" s="2">
        <v>96.67</v>
      </c>
      <c r="YJ9" s="2">
        <v>98.81</v>
      </c>
      <c r="YK9" s="2">
        <v>100.59</v>
      </c>
      <c r="YL9" s="2">
        <v>99.84999999999999</v>
      </c>
      <c r="YM9" s="2">
        <v>100.01</v>
      </c>
      <c r="YN9" s="2">
        <v>99.92</v>
      </c>
      <c r="YO9" s="2">
        <v>100.9</v>
      </c>
      <c r="YP9" s="2">
        <v>101.68</v>
      </c>
      <c r="ADO9" s="2">
        <v>5.1</v>
      </c>
      <c r="ADP9" s="2">
        <v>3.2</v>
      </c>
      <c r="ADQ9" s="2">
        <v>0.6</v>
      </c>
      <c r="ADR9" s="2">
        <v>3.7</v>
      </c>
      <c r="ADS9" s="2">
        <v>4.1</v>
      </c>
      <c r="ADT9" s="2">
        <v>1.9</v>
      </c>
      <c r="ADU9" s="2">
        <v>2.8</v>
      </c>
      <c r="ADV9" s="2">
        <v>4.3</v>
      </c>
      <c r="ADW9" s="2">
        <v>1.4</v>
      </c>
      <c r="ADX9" s="2">
        <v>1.9</v>
      </c>
      <c r="ADY9" s="2">
        <v>0.3</v>
      </c>
      <c r="ADZ9" s="2">
        <v>-2.8</v>
      </c>
      <c r="AEA9" s="2">
        <v>-0.2</v>
      </c>
      <c r="AEB9" s="2">
        <v>-1.1</v>
      </c>
      <c r="AEC9" s="2">
        <v>0.9</v>
      </c>
      <c r="AED9" s="2">
        <v>0.8</v>
      </c>
      <c r="AEE9" s="2">
        <v>1.5</v>
      </c>
      <c r="AEF9" s="2">
        <v>2.3</v>
      </c>
      <c r="AEG9" s="2">
        <v>0.1</v>
      </c>
      <c r="AEH9" s="2">
        <v>1</v>
      </c>
      <c r="AEI9" s="2">
        <v>-0.1</v>
      </c>
      <c r="AEJ9" s="2">
        <v>1.2</v>
      </c>
      <c r="AEK9" s="2">
        <v>0.1</v>
      </c>
      <c r="AEL9" s="2">
        <v>-1.5</v>
      </c>
      <c r="AEM9" s="2">
        <v>4.6</v>
      </c>
      <c r="AEN9" s="2">
        <v>-1.5</v>
      </c>
      <c r="AEO9" s="2">
        <v>-0.5</v>
      </c>
      <c r="AEP9" s="2">
        <v>0.6</v>
      </c>
      <c r="AEQ9" s="2">
        <v>1.7</v>
      </c>
      <c r="AER9" s="2">
        <v>0.3</v>
      </c>
      <c r="AES9" s="2">
        <v>0.3</v>
      </c>
      <c r="AET9" s="2">
        <v>-0.1</v>
      </c>
      <c r="AEU9" s="2">
        <v>4</v>
      </c>
      <c r="AEV9" s="2">
        <v>3</v>
      </c>
      <c r="AEW9" s="2">
        <v>0.5</v>
      </c>
      <c r="AEX9" s="2">
        <v>1.2</v>
      </c>
      <c r="AEY9" s="2">
        <v>3.2</v>
      </c>
      <c r="AEZ9" s="2">
        <v>-0.1</v>
      </c>
      <c r="AFA9" s="2">
        <v>0.4</v>
      </c>
      <c r="AFB9" s="2">
        <v>-1.3</v>
      </c>
      <c r="AFC9" s="2">
        <v>1.9</v>
      </c>
      <c r="AFD9" s="2">
        <v>1.1</v>
      </c>
      <c r="AFE9" s="2">
        <v>0</v>
      </c>
      <c r="AFF9" s="2">
        <v>-2</v>
      </c>
      <c r="AFG9" s="2">
        <v>1.4</v>
      </c>
      <c r="AFH9" s="2">
        <v>0.5</v>
      </c>
      <c r="AFI9" s="2">
        <v>-0.9</v>
      </c>
      <c r="AFJ9" s="2">
        <v>0.4</v>
      </c>
      <c r="AFK9" s="2">
        <v>-0.4</v>
      </c>
      <c r="AFL9" s="2">
        <v>1.3</v>
      </c>
      <c r="AFM9" s="2">
        <v>0.5</v>
      </c>
      <c r="AFN9" s="2">
        <v>0.5</v>
      </c>
      <c r="AFO9" s="2">
        <v>2.3</v>
      </c>
      <c r="AFP9" s="2">
        <v>-0.3</v>
      </c>
      <c r="AFQ9" s="2">
        <v>-1.2</v>
      </c>
      <c r="AFR9" s="2">
        <v>-1.5</v>
      </c>
      <c r="AFS9" s="2">
        <v>1.3</v>
      </c>
      <c r="AFT9" s="2">
        <v>1</v>
      </c>
      <c r="AFU9" s="2">
        <v>-0.6</v>
      </c>
      <c r="AFV9" s="2">
        <v>1.3</v>
      </c>
      <c r="AFW9" s="2">
        <v>0.5</v>
      </c>
      <c r="AFX9" s="2">
        <v>1</v>
      </c>
      <c r="AFY9" s="2">
        <v>2.3</v>
      </c>
      <c r="AFZ9" s="2">
        <v>1.3</v>
      </c>
      <c r="AGA9" s="2">
        <v>2.1</v>
      </c>
      <c r="AGB9" s="2">
        <v>0.8</v>
      </c>
      <c r="AGC9" s="2">
        <v>-0.5</v>
      </c>
      <c r="AGD9" s="2">
        <v>-1.5</v>
      </c>
      <c r="AGE9" s="2">
        <v>0.8</v>
      </c>
      <c r="AGF9" s="2">
        <v>0.2</v>
      </c>
      <c r="AGG9" s="2">
        <v>-1.3</v>
      </c>
      <c r="AGH9" s="2">
        <v>-0.9</v>
      </c>
      <c r="AGI9" s="2">
        <v>-0.4</v>
      </c>
      <c r="AGJ9" s="2">
        <v>1</v>
      </c>
      <c r="AGK9" s="2">
        <v>-0.7</v>
      </c>
      <c r="AGL9" s="2">
        <v>1.6</v>
      </c>
      <c r="AGM9" s="2">
        <v>4.7</v>
      </c>
      <c r="AGN9" s="2">
        <v>0.9</v>
      </c>
      <c r="AGO9" s="2">
        <v>-2.2</v>
      </c>
      <c r="AGP9" s="2">
        <v>0.2</v>
      </c>
      <c r="AGQ9" s="2">
        <v>1.5</v>
      </c>
      <c r="AGR9" s="2">
        <v>3.6</v>
      </c>
      <c r="AGS9" s="2">
        <v>3.9</v>
      </c>
      <c r="AGT9" s="2">
        <v>4.8</v>
      </c>
      <c r="AGU9" s="2">
        <v>1.9</v>
      </c>
      <c r="AGV9" s="2">
        <v>3.9</v>
      </c>
      <c r="AGW9" s="2">
        <v>-1.7</v>
      </c>
      <c r="AGX9" s="2">
        <v>-0.4</v>
      </c>
      <c r="AGY9" s="2">
        <v>-1.5</v>
      </c>
      <c r="AGZ9" s="2">
        <v>0.8</v>
      </c>
      <c r="AHA9" s="2">
        <v>1.1</v>
      </c>
      <c r="AHB9" s="2">
        <v>-1.3</v>
      </c>
      <c r="AHC9" s="2">
        <v>3</v>
      </c>
      <c r="AHD9" s="2">
        <v>-0.2</v>
      </c>
      <c r="AHE9" s="2">
        <v>-1.7</v>
      </c>
      <c r="AHF9" s="2">
        <v>-4.7</v>
      </c>
      <c r="AHG9" s="2">
        <v>7.8</v>
      </c>
      <c r="AHH9" s="2">
        <v>0.5</v>
      </c>
      <c r="AHI9" s="2">
        <v>3.3</v>
      </c>
      <c r="AHJ9" s="2">
        <v>-0.3</v>
      </c>
      <c r="AHK9" s="2">
        <v>-1.4</v>
      </c>
      <c r="AHL9" s="2">
        <v>2.5</v>
      </c>
      <c r="AHM9" s="2">
        <v>-0.3</v>
      </c>
      <c r="AHN9" s="2">
        <v>0.7</v>
      </c>
      <c r="AHO9" s="2">
        <v>2.7</v>
      </c>
      <c r="AHP9" s="2">
        <v>2.1</v>
      </c>
      <c r="AHQ9" s="2">
        <v>-2.6</v>
      </c>
      <c r="AHR9" s="2">
        <v>-0.9</v>
      </c>
      <c r="AHS9" s="2">
        <v>1</v>
      </c>
      <c r="AHT9" s="2">
        <v>2.9</v>
      </c>
      <c r="AHU9" s="2">
        <v>-0.4</v>
      </c>
      <c r="AHV9" s="2">
        <v>-1.8</v>
      </c>
      <c r="AHW9" s="2">
        <v>5.1</v>
      </c>
      <c r="AHX9" s="2">
        <v>5.2</v>
      </c>
      <c r="AHY9" s="2">
        <v>-0.7</v>
      </c>
      <c r="AHZ9" s="2">
        <v>-1.3</v>
      </c>
      <c r="AIA9" s="2">
        <v>-3.4</v>
      </c>
      <c r="AIB9" s="2">
        <v>4.6</v>
      </c>
      <c r="AIC9" s="2">
        <v>-1.4</v>
      </c>
      <c r="AID9" s="2">
        <v>0.1</v>
      </c>
      <c r="AIE9" s="2">
        <v>2.8</v>
      </c>
      <c r="AIF9" s="2">
        <v>0.8</v>
      </c>
      <c r="AIG9" s="2">
        <v>-0.5</v>
      </c>
      <c r="AIH9" s="2">
        <v>-0.5</v>
      </c>
      <c r="AII9" s="2">
        <v>-2.3</v>
      </c>
      <c r="AIJ9" s="2">
        <v>1.4</v>
      </c>
      <c r="AIK9" s="2">
        <v>-1.6</v>
      </c>
      <c r="AIL9" s="2">
        <v>0.3</v>
      </c>
      <c r="AIM9" s="2">
        <v>0.7</v>
      </c>
      <c r="AIN9" s="2">
        <v>0.8</v>
      </c>
      <c r="AIO9" s="2">
        <v>0</v>
      </c>
      <c r="AIP9" s="2">
        <v>0.1</v>
      </c>
      <c r="AIQ9" s="2">
        <v>-0.7</v>
      </c>
      <c r="AIR9" s="2">
        <v>3.2</v>
      </c>
      <c r="AIS9" s="2">
        <v>0.8</v>
      </c>
      <c r="AIT9" s="2">
        <v>-0.1</v>
      </c>
      <c r="AIU9" s="2">
        <v>1.7</v>
      </c>
      <c r="AIV9" s="2">
        <v>2.8</v>
      </c>
      <c r="AIW9" s="2">
        <v>0.1</v>
      </c>
      <c r="AIX9" s="2">
        <v>0.4</v>
      </c>
      <c r="AIY9" s="2">
        <v>1.4</v>
      </c>
      <c r="AIZ9" s="2">
        <v>1.3</v>
      </c>
      <c r="AJA9" s="2">
        <v>-0.8</v>
      </c>
      <c r="AJB9" s="2">
        <v>-1.1</v>
      </c>
      <c r="AJC9" s="2">
        <v>1.6</v>
      </c>
      <c r="AJD9" s="2">
        <v>-0.2</v>
      </c>
      <c r="AJE9" s="2">
        <v>-3</v>
      </c>
      <c r="AJF9" s="2">
        <v>0.5</v>
      </c>
      <c r="AJG9" s="2">
        <v>0.5</v>
      </c>
      <c r="AJH9" s="2">
        <v>0.4</v>
      </c>
      <c r="AJI9" s="2">
        <v>-1</v>
      </c>
      <c r="AJJ9" s="2">
        <v>-0.9</v>
      </c>
      <c r="AJK9" s="2">
        <v>0.9</v>
      </c>
      <c r="AJL9" s="2">
        <v>0.8</v>
      </c>
      <c r="AJM9" s="2">
        <v>0.4</v>
      </c>
      <c r="AJN9" s="2">
        <v>1.8</v>
      </c>
      <c r="AJO9" s="2">
        <v>4.8</v>
      </c>
      <c r="AJP9" s="2">
        <v>1.4</v>
      </c>
      <c r="AJQ9" s="2">
        <v>1.2</v>
      </c>
      <c r="AJR9" s="2">
        <v>0.2</v>
      </c>
      <c r="AJS9" s="2">
        <v>0.4</v>
      </c>
      <c r="AJT9" s="2">
        <v>0.1</v>
      </c>
      <c r="AJU9" s="2">
        <v>-1.2</v>
      </c>
      <c r="AJV9" s="2">
        <v>0.3</v>
      </c>
      <c r="AJW9" s="2">
        <v>1.4</v>
      </c>
      <c r="AJX9" s="2">
        <v>2.7</v>
      </c>
      <c r="AJY9" s="2">
        <v>-0.5</v>
      </c>
      <c r="AJZ9" s="2">
        <v>0.2</v>
      </c>
      <c r="AKA9" s="2">
        <v>2.3</v>
      </c>
      <c r="AKB9" s="2">
        <v>1.9</v>
      </c>
      <c r="AKC9" s="2">
        <v>-0.7</v>
      </c>
      <c r="AKD9" s="2">
        <v>0.9</v>
      </c>
      <c r="AKE9" s="2">
        <v>3.2</v>
      </c>
      <c r="AKF9" s="2">
        <v>0.6</v>
      </c>
      <c r="AKG9" s="2">
        <v>-0.1</v>
      </c>
      <c r="AKH9" s="2">
        <v>-0.2</v>
      </c>
      <c r="AKI9" s="2">
        <v>2.2</v>
      </c>
      <c r="AKJ9" s="2">
        <v>1.8</v>
      </c>
      <c r="AKK9" s="2">
        <v>-0.7</v>
      </c>
      <c r="AKL9" s="2">
        <v>0.2</v>
      </c>
      <c r="AKM9" s="2">
        <v>-0.1</v>
      </c>
      <c r="AKN9" s="2">
        <v>1</v>
      </c>
      <c r="AKO9" s="2">
        <v>0.8</v>
      </c>
      <c r="AKP9" s="2">
        <v>0.26</v>
      </c>
      <c r="AKQ9" s="2">
        <v>0.27</v>
      </c>
      <c r="AKR9" s="2">
        <v>0.27</v>
      </c>
    </row>
    <row r="10">
      <c r="A10" t="inlineStr">
        <is>
          <t>Lamb and goat</t>
        </is>
      </c>
      <c r="B10" t="inlineStr">
        <is>
          <t>Meat and seafoods</t>
        </is>
      </c>
      <c r="C10">
        <v>3</v>
      </c>
      <c r="D10">
        <v>0.24</v>
      </c>
      <c r="E10" s="3">
        <f>D10/2.13*0.021287765651924178</f>
        <v>0.0023986214819069498</v>
      </c>
      <c r="F10" s="3">
        <f>E10-D10/100</f>
        <v>-1.3785180930500282e-06</v>
      </c>
      <c r="G10" s="3">
        <f>D10/2.13</f>
        <v>0.11267605633802817</v>
      </c>
      <c r="H10" s="2">
        <v>68.53</v>
      </c>
      <c r="I10" s="2">
        <v>69.19</v>
      </c>
      <c r="J10" s="2">
        <v>69.69</v>
      </c>
      <c r="K10" s="2">
        <v>68.81</v>
      </c>
      <c r="L10" s="2">
        <v>69.05</v>
      </c>
      <c r="M10" s="2">
        <v>68.95</v>
      </c>
      <c r="N10" s="2">
        <v>69.48</v>
      </c>
      <c r="O10" s="2">
        <v>70.88</v>
      </c>
      <c r="P10" s="2">
        <v>70.34999999999999</v>
      </c>
      <c r="Q10" s="2">
        <v>70.63</v>
      </c>
      <c r="R10" s="2">
        <v>70.42</v>
      </c>
      <c r="S10" s="2">
        <v>72.09</v>
      </c>
      <c r="T10" s="2">
        <v>73.95999999999999</v>
      </c>
      <c r="U10" s="2">
        <v>76.98</v>
      </c>
      <c r="V10" s="2">
        <v>77.19</v>
      </c>
      <c r="W10" s="2">
        <v>77.36</v>
      </c>
      <c r="X10" s="2">
        <v>79.89</v>
      </c>
      <c r="Y10" s="2">
        <v>80.01000000000001</v>
      </c>
      <c r="Z10" s="2">
        <v>80.27</v>
      </c>
      <c r="AA10" s="2">
        <v>80.28</v>
      </c>
      <c r="AB10" s="2">
        <v>80.59</v>
      </c>
      <c r="AC10" s="2">
        <v>80.91</v>
      </c>
      <c r="AD10" s="2">
        <v>81.23999999999999</v>
      </c>
      <c r="AE10" s="2">
        <v>83.17</v>
      </c>
      <c r="AF10" s="2">
        <v>83.59999999999999</v>
      </c>
      <c r="AG10" s="2">
        <v>82.94</v>
      </c>
      <c r="AH10" s="2">
        <v>81.81</v>
      </c>
      <c r="AI10" s="2">
        <v>81.51000000000001</v>
      </c>
      <c r="AJ10" s="2">
        <v>82.7</v>
      </c>
      <c r="AK10" s="2">
        <v>83.73</v>
      </c>
      <c r="AL10" s="2">
        <v>87.11</v>
      </c>
      <c r="AM10" s="2">
        <v>84.54000000000001</v>
      </c>
      <c r="AN10" s="2">
        <v>84.45999999999999</v>
      </c>
      <c r="AO10" s="2">
        <v>86.02</v>
      </c>
      <c r="AP10" s="2">
        <v>86.77</v>
      </c>
      <c r="AQ10" s="2">
        <v>87.31999999999999</v>
      </c>
      <c r="AR10" s="2">
        <v>83.98999999999999</v>
      </c>
      <c r="AS10" s="2">
        <v>83.01000000000001</v>
      </c>
      <c r="AT10" s="2">
        <v>83.31999999999999</v>
      </c>
      <c r="AU10" s="2">
        <v>85.27</v>
      </c>
      <c r="AV10" s="2">
        <v>85.79000000000001</v>
      </c>
      <c r="AW10" s="2">
        <v>86.73999999999999</v>
      </c>
      <c r="AX10" s="2">
        <v>87.47</v>
      </c>
      <c r="AY10" s="2">
        <v>86.95999999999999</v>
      </c>
      <c r="AZ10" s="2">
        <v>86.23999999999999</v>
      </c>
      <c r="BA10" s="2">
        <v>86.34</v>
      </c>
      <c r="BB10" s="2">
        <v>86.77</v>
      </c>
      <c r="BC10" s="2">
        <v>86.97</v>
      </c>
      <c r="BD10" s="2">
        <v>86.03</v>
      </c>
      <c r="BE10" s="2">
        <v>86.22</v>
      </c>
      <c r="BF10" s="2">
        <v>86.13</v>
      </c>
      <c r="BG10" s="2">
        <v>86.39</v>
      </c>
      <c r="BH10" s="2">
        <v>91.31</v>
      </c>
      <c r="BI10" s="2">
        <v>93.66</v>
      </c>
      <c r="BJ10" s="2">
        <v>91.87</v>
      </c>
      <c r="BK10" s="2">
        <v>91.7</v>
      </c>
      <c r="BL10" s="2">
        <v>93</v>
      </c>
      <c r="BM10" s="2">
        <v>92.84</v>
      </c>
      <c r="BN10" s="2">
        <v>92.83</v>
      </c>
      <c r="BO10" s="2">
        <v>91.58</v>
      </c>
      <c r="BP10" s="2">
        <v>90.27</v>
      </c>
      <c r="BQ10" s="2">
        <v>89.14</v>
      </c>
      <c r="BR10" s="2">
        <v>89.56999999999999</v>
      </c>
      <c r="BS10" s="2">
        <v>89.09</v>
      </c>
      <c r="BT10" s="2">
        <v>90.51000000000001</v>
      </c>
      <c r="BU10" s="2">
        <v>90.70999999999999</v>
      </c>
      <c r="BV10" s="2">
        <v>89.83</v>
      </c>
      <c r="BW10" s="2">
        <v>90.92</v>
      </c>
      <c r="BX10" s="2">
        <v>91.16</v>
      </c>
      <c r="BY10" s="2">
        <v>89.5</v>
      </c>
      <c r="BZ10" s="2">
        <v>88.54000000000001</v>
      </c>
      <c r="CA10" s="2">
        <v>87.59</v>
      </c>
      <c r="CB10" s="2">
        <v>82.90000000000001</v>
      </c>
      <c r="CC10" s="2">
        <v>80.90000000000001</v>
      </c>
      <c r="CD10" s="2">
        <v>75.69</v>
      </c>
      <c r="CE10" s="2">
        <v>70.87</v>
      </c>
      <c r="CF10" s="2">
        <v>71.12</v>
      </c>
      <c r="CG10" s="2">
        <v>75.59</v>
      </c>
      <c r="CH10" s="2">
        <v>78.92</v>
      </c>
      <c r="CI10" s="2">
        <v>79.59999999999999</v>
      </c>
      <c r="CJ10" s="2">
        <v>80.70999999999999</v>
      </c>
      <c r="CK10" s="2">
        <v>81.66</v>
      </c>
      <c r="CL10" s="2">
        <v>84.90000000000001</v>
      </c>
      <c r="CM10" s="2">
        <v>87.31999999999999</v>
      </c>
      <c r="CN10" s="2">
        <v>88.54000000000001</v>
      </c>
      <c r="CO10" s="2">
        <v>88.63</v>
      </c>
      <c r="CP10" s="2">
        <v>89.48</v>
      </c>
      <c r="CQ10" s="2">
        <v>88.88</v>
      </c>
      <c r="CR10" s="2">
        <v>89.62</v>
      </c>
      <c r="CS10" s="2">
        <v>90.61</v>
      </c>
      <c r="CT10" s="2">
        <v>89.8</v>
      </c>
      <c r="CU10" s="2">
        <v>89.70999999999999</v>
      </c>
      <c r="CV10" s="2">
        <v>90.98999999999999</v>
      </c>
      <c r="CW10" s="2">
        <v>90.48999999999999</v>
      </c>
      <c r="CX10" s="2">
        <v>91.84999999999999</v>
      </c>
      <c r="CY10" s="2">
        <v>95.16</v>
      </c>
      <c r="CZ10" s="2">
        <v>100</v>
      </c>
      <c r="DA10" s="2">
        <v>101.59</v>
      </c>
      <c r="DB10" s="2">
        <v>100.47</v>
      </c>
      <c r="DC10" s="2">
        <v>100.76</v>
      </c>
      <c r="DD10" s="2">
        <v>99.01000000000001</v>
      </c>
      <c r="DE10" s="2">
        <v>102.27</v>
      </c>
      <c r="DF10" s="2">
        <v>103.73</v>
      </c>
      <c r="DG10" s="2">
        <v>102.77</v>
      </c>
      <c r="DH10" s="2">
        <v>104.43</v>
      </c>
      <c r="DI10" s="2">
        <v>103.93</v>
      </c>
      <c r="DJ10" s="2">
        <v>104.95</v>
      </c>
      <c r="DK10" s="2">
        <v>7.9</v>
      </c>
      <c r="DL10" s="2">
        <v>11.3</v>
      </c>
      <c r="DM10" s="2">
        <v>10.8</v>
      </c>
      <c r="DN10" s="2">
        <v>12.4</v>
      </c>
      <c r="DO10" s="2">
        <v>15.7</v>
      </c>
      <c r="DP10" s="2">
        <v>16</v>
      </c>
      <c r="DQ10" s="2">
        <v>15.5</v>
      </c>
      <c r="DR10" s="2">
        <v>13.3</v>
      </c>
      <c r="DS10" s="2">
        <v>14.6</v>
      </c>
      <c r="DT10" s="2">
        <v>14.6</v>
      </c>
      <c r="DU10" s="2">
        <v>15.4</v>
      </c>
      <c r="DV10" s="2">
        <v>15.4</v>
      </c>
      <c r="DW10" s="2">
        <v>13</v>
      </c>
      <c r="DX10" s="2">
        <v>7.7</v>
      </c>
      <c r="DY10" s="2">
        <v>6</v>
      </c>
      <c r="DZ10" s="2">
        <v>5.4</v>
      </c>
      <c r="EA10" s="2">
        <v>3.5</v>
      </c>
      <c r="EB10" s="2">
        <v>4.6</v>
      </c>
      <c r="EC10" s="2">
        <v>8.5</v>
      </c>
      <c r="ED10" s="2">
        <v>5.3</v>
      </c>
      <c r="EE10" s="2">
        <v>4.8</v>
      </c>
      <c r="EF10" s="2">
        <v>6.3</v>
      </c>
      <c r="EG10" s="2">
        <v>6.8</v>
      </c>
      <c r="EH10" s="2">
        <v>5</v>
      </c>
      <c r="EI10" s="2">
        <v>0.5</v>
      </c>
      <c r="EJ10" s="2">
        <v>0.1</v>
      </c>
      <c r="EK10" s="2">
        <v>1.8</v>
      </c>
      <c r="EL10" s="2">
        <v>4.6</v>
      </c>
      <c r="EM10" s="2">
        <v>3.7</v>
      </c>
      <c r="EN10" s="2">
        <v>3.6</v>
      </c>
      <c r="EO10" s="2">
        <v>0.4</v>
      </c>
      <c r="EP10" s="2">
        <v>2.9</v>
      </c>
      <c r="EQ10" s="2">
        <v>2.1</v>
      </c>
      <c r="ER10" s="2">
        <v>0.4</v>
      </c>
      <c r="ES10" s="2">
        <v>0</v>
      </c>
      <c r="ET10" s="2">
        <v>-0.4</v>
      </c>
      <c r="EU10" s="2">
        <v>2.4</v>
      </c>
      <c r="EV10" s="2">
        <v>3.9</v>
      </c>
      <c r="EW10" s="2">
        <v>3.4</v>
      </c>
      <c r="EX10" s="2">
        <v>1.3</v>
      </c>
      <c r="EY10" s="2">
        <v>6.4</v>
      </c>
      <c r="EZ10" s="2">
        <v>8</v>
      </c>
      <c r="FA10" s="2">
        <v>5</v>
      </c>
      <c r="FB10" s="2">
        <v>5.5</v>
      </c>
      <c r="FC10" s="2">
        <v>7.8</v>
      </c>
      <c r="FD10" s="2">
        <v>7.5</v>
      </c>
      <c r="FE10" s="2">
        <v>7</v>
      </c>
      <c r="FF10" s="2">
        <v>5.3</v>
      </c>
      <c r="FG10" s="2">
        <v>4.9</v>
      </c>
      <c r="FH10" s="2">
        <v>3.4</v>
      </c>
      <c r="FI10" s="2">
        <v>4</v>
      </c>
      <c r="FJ10" s="2">
        <v>3.1</v>
      </c>
      <c r="FK10" s="2">
        <v>-0.9</v>
      </c>
      <c r="FL10" s="2">
        <v>-3.1</v>
      </c>
      <c r="FM10" s="2">
        <v>-2.2</v>
      </c>
      <c r="FN10" s="2">
        <v>-0.9</v>
      </c>
      <c r="FO10" s="2">
        <v>-2</v>
      </c>
      <c r="FP10" s="2">
        <v>-3.6</v>
      </c>
      <c r="FQ10" s="2">
        <v>-4.6</v>
      </c>
      <c r="FR10" s="2">
        <v>-4.4</v>
      </c>
      <c r="FS10" s="2">
        <v>-8.199999999999999</v>
      </c>
      <c r="FT10" s="2">
        <v>-9.199999999999999</v>
      </c>
      <c r="FU10" s="2">
        <v>-15.5</v>
      </c>
      <c r="FV10" s="2">
        <v>-20.5</v>
      </c>
      <c r="FW10" s="2">
        <v>-21.4</v>
      </c>
      <c r="FX10" s="2">
        <v>-16.7</v>
      </c>
      <c r="FY10" s="2">
        <v>-12.1</v>
      </c>
      <c r="FZ10" s="2">
        <v>-12.5</v>
      </c>
      <c r="GA10" s="2">
        <v>-11.5</v>
      </c>
      <c r="GB10" s="2">
        <v>-8.800000000000001</v>
      </c>
      <c r="GC10" s="2">
        <v>-4.1</v>
      </c>
      <c r="GD10" s="2">
        <v>-0.3</v>
      </c>
      <c r="GE10" s="2">
        <v>6.8</v>
      </c>
      <c r="GF10" s="2">
        <v>9.6</v>
      </c>
      <c r="GG10" s="2">
        <v>18.2</v>
      </c>
      <c r="GH10" s="2">
        <v>25.4</v>
      </c>
      <c r="GI10" s="2">
        <v>26</v>
      </c>
      <c r="GJ10" s="2">
        <v>19.9</v>
      </c>
      <c r="GK10" s="2">
        <v>13.8</v>
      </c>
      <c r="GL10" s="2">
        <v>12.7</v>
      </c>
      <c r="GM10" s="2">
        <v>12.7</v>
      </c>
      <c r="GN10" s="2">
        <v>10.8</v>
      </c>
      <c r="GO10" s="2">
        <v>8.199999999999999</v>
      </c>
      <c r="GP10" s="2">
        <v>9</v>
      </c>
      <c r="GQ10" s="2">
        <v>12.9</v>
      </c>
      <c r="GR10" s="2">
        <v>14.6</v>
      </c>
      <c r="GS10" s="2">
        <v>12.3</v>
      </c>
      <c r="GT10" s="2">
        <v>13.4</v>
      </c>
      <c r="GU10" s="2">
        <v>10.5</v>
      </c>
      <c r="GV10" s="2">
        <v>12.9</v>
      </c>
      <c r="GW10" s="2">
        <v>15.5</v>
      </c>
      <c r="GX10" s="2">
        <v>14.6</v>
      </c>
      <c r="GY10" s="2">
        <v>14.8</v>
      </c>
      <c r="GZ10" s="2">
        <v>14.9</v>
      </c>
      <c r="HA10" s="2">
        <v>14.3</v>
      </c>
      <c r="HB10" s="2">
        <v>1</v>
      </c>
      <c r="HC10" s="2">
        <v>0.7</v>
      </c>
      <c r="HD10" s="2">
        <v>-1.3</v>
      </c>
      <c r="HE10" s="2">
        <v>0.3</v>
      </c>
      <c r="HF10" s="2">
        <v>-0.1</v>
      </c>
      <c r="HG10" s="2">
        <v>0.8</v>
      </c>
      <c r="HH10" s="2">
        <v>2</v>
      </c>
      <c r="HI10" s="2">
        <v>-0.7</v>
      </c>
      <c r="HJ10" s="2">
        <v>0.4</v>
      </c>
      <c r="HK10" s="2">
        <v>-0.3</v>
      </c>
      <c r="HL10" s="2">
        <v>2.4</v>
      </c>
      <c r="HM10" s="2">
        <v>2.6</v>
      </c>
      <c r="HN10" s="2">
        <v>4.1</v>
      </c>
      <c r="HO10" s="2">
        <v>0.3</v>
      </c>
      <c r="HP10" s="2">
        <v>0.2</v>
      </c>
      <c r="HQ10" s="2">
        <v>3.3</v>
      </c>
      <c r="HR10" s="2">
        <v>0.2</v>
      </c>
      <c r="HS10" s="2">
        <v>0.3</v>
      </c>
      <c r="HT10" s="2">
        <v>0</v>
      </c>
      <c r="HU10" s="2">
        <v>0.4</v>
      </c>
      <c r="HV10" s="2">
        <v>0.4</v>
      </c>
      <c r="HW10" s="2">
        <v>0.4</v>
      </c>
      <c r="HX10" s="2">
        <v>2.4</v>
      </c>
      <c r="HY10" s="2">
        <v>0.5</v>
      </c>
      <c r="HZ10" s="2">
        <v>-0.8</v>
      </c>
      <c r="IA10" s="2">
        <v>-1.4</v>
      </c>
      <c r="IB10" s="2">
        <v>-0.4</v>
      </c>
      <c r="IC10" s="2">
        <v>1.5</v>
      </c>
      <c r="ID10" s="2">
        <v>1.2</v>
      </c>
      <c r="IE10" s="2">
        <v>4</v>
      </c>
      <c r="IF10" s="2">
        <v>-3</v>
      </c>
      <c r="IG10" s="2">
        <v>-0.1</v>
      </c>
      <c r="IH10" s="2">
        <v>1.8</v>
      </c>
      <c r="II10" s="2">
        <v>0.9</v>
      </c>
      <c r="IJ10" s="2">
        <v>0.6</v>
      </c>
      <c r="IK10" s="2">
        <v>-3.8</v>
      </c>
      <c r="IL10" s="2">
        <v>-1.2</v>
      </c>
      <c r="IM10" s="2">
        <v>0.4</v>
      </c>
      <c r="IN10" s="2">
        <v>2.3</v>
      </c>
      <c r="IO10" s="2">
        <v>0.6</v>
      </c>
      <c r="IP10" s="2">
        <v>1.1</v>
      </c>
      <c r="IQ10" s="2">
        <v>0.8</v>
      </c>
      <c r="IR10" s="2">
        <v>-0.6</v>
      </c>
      <c r="IS10" s="2">
        <v>-0.8</v>
      </c>
      <c r="IT10" s="2">
        <v>0.1</v>
      </c>
      <c r="IU10" s="2">
        <v>0.5</v>
      </c>
      <c r="IV10" s="2">
        <v>0.2</v>
      </c>
      <c r="IW10" s="2">
        <v>-1.1</v>
      </c>
      <c r="IX10" s="2">
        <v>0.2</v>
      </c>
      <c r="IY10" s="2">
        <v>-0.1</v>
      </c>
      <c r="IZ10" s="2">
        <v>0.3</v>
      </c>
      <c r="JA10" s="2">
        <v>5.7</v>
      </c>
      <c r="JB10" s="2">
        <v>2.6</v>
      </c>
      <c r="JC10" s="2">
        <v>-1.9</v>
      </c>
      <c r="JD10" s="2">
        <v>-0.2</v>
      </c>
      <c r="JE10" s="2">
        <v>1.4</v>
      </c>
      <c r="JF10" s="2">
        <v>-0.2</v>
      </c>
      <c r="JG10" s="2">
        <v>0</v>
      </c>
      <c r="JH10" s="2">
        <v>-1.3</v>
      </c>
      <c r="JI10" s="2">
        <v>-1.4</v>
      </c>
      <c r="JJ10" s="2">
        <v>-1.3</v>
      </c>
      <c r="JK10" s="2">
        <v>0.5</v>
      </c>
      <c r="JL10" s="2">
        <v>-0.5</v>
      </c>
      <c r="JM10" s="2">
        <v>1.6</v>
      </c>
      <c r="JN10" s="2">
        <v>0.2</v>
      </c>
      <c r="JO10" s="2">
        <v>-1</v>
      </c>
      <c r="JP10" s="2">
        <v>1.2</v>
      </c>
      <c r="JQ10" s="2">
        <v>0.3</v>
      </c>
      <c r="JR10" s="2">
        <v>-1.8</v>
      </c>
      <c r="JS10" s="2">
        <v>-1.1</v>
      </c>
      <c r="JT10" s="2">
        <v>-1.1</v>
      </c>
      <c r="JU10" s="2">
        <v>-5.4</v>
      </c>
      <c r="JV10" s="2">
        <v>-2.4</v>
      </c>
      <c r="JW10" s="2">
        <v>-6.4</v>
      </c>
      <c r="JX10" s="2">
        <v>-6.4</v>
      </c>
      <c r="JY10" s="2">
        <v>0.4</v>
      </c>
      <c r="JZ10" s="2">
        <v>6.3</v>
      </c>
      <c r="KA10" s="2">
        <v>4.4</v>
      </c>
      <c r="KB10" s="2">
        <v>0.9</v>
      </c>
      <c r="KC10" s="2">
        <v>1.4</v>
      </c>
      <c r="KD10" s="2">
        <v>1.2</v>
      </c>
      <c r="KE10" s="2">
        <v>4</v>
      </c>
      <c r="KF10" s="2">
        <v>2.9</v>
      </c>
      <c r="KG10" s="2">
        <v>1.4</v>
      </c>
      <c r="KH10" s="2">
        <v>0.1</v>
      </c>
      <c r="KI10" s="2">
        <v>1</v>
      </c>
      <c r="KJ10" s="2">
        <v>-0.7</v>
      </c>
      <c r="KK10" s="2">
        <v>0.8</v>
      </c>
      <c r="KL10" s="2">
        <v>1.1</v>
      </c>
      <c r="KM10" s="2">
        <v>-0.9</v>
      </c>
      <c r="KN10" s="2">
        <v>-0.1</v>
      </c>
      <c r="KO10" s="2">
        <v>1.4</v>
      </c>
      <c r="KP10" s="2">
        <v>-0.5</v>
      </c>
      <c r="KQ10" s="2">
        <v>1.5</v>
      </c>
      <c r="KR10" s="2">
        <v>3.6</v>
      </c>
      <c r="KS10" s="2">
        <v>5.1</v>
      </c>
      <c r="KT10" s="2">
        <v>1.6</v>
      </c>
      <c r="KU10" s="2">
        <v>-1.1</v>
      </c>
      <c r="KV10" s="2">
        <v>0.3</v>
      </c>
      <c r="KW10" s="2">
        <v>-1.7</v>
      </c>
      <c r="KX10" s="2">
        <v>3.3</v>
      </c>
      <c r="KY10" s="2">
        <v>1.4</v>
      </c>
      <c r="KZ10" s="2">
        <v>-0.9</v>
      </c>
      <c r="LA10" s="2">
        <v>1.6</v>
      </c>
      <c r="LB10" s="2">
        <v>-0.5</v>
      </c>
      <c r="LC10" s="2">
        <v>1</v>
      </c>
      <c r="LD10" s="2">
        <v>0.23</v>
      </c>
      <c r="LE10" s="2">
        <v>0.24</v>
      </c>
      <c r="LF10" s="2">
        <v>0.24</v>
      </c>
      <c r="LG10" s="2">
        <v>0.24</v>
      </c>
      <c r="LH10" s="2">
        <v>0.24</v>
      </c>
      <c r="LI10" s="2">
        <v>0.24</v>
      </c>
      <c r="LJ10" s="2">
        <v>0.24</v>
      </c>
      <c r="LK10" s="2">
        <v>0.24</v>
      </c>
      <c r="LL10" s="2">
        <v>0.25</v>
      </c>
      <c r="LM10" s="2">
        <v>0.26</v>
      </c>
      <c r="LN10" s="2">
        <v>0.27</v>
      </c>
      <c r="LO10" s="2">
        <v>0.27</v>
      </c>
      <c r="LP10" s="2">
        <v>0.27</v>
      </c>
      <c r="LQ10" s="2">
        <v>0.26</v>
      </c>
      <c r="LR10" s="2">
        <v>0.27</v>
      </c>
      <c r="LS10" s="2">
        <v>0.27</v>
      </c>
      <c r="LT10" s="2">
        <v>0.27</v>
      </c>
      <c r="LU10" s="2">
        <v>0.28</v>
      </c>
      <c r="LV10" s="2">
        <v>0.27</v>
      </c>
      <c r="LW10" s="2">
        <v>0.28</v>
      </c>
      <c r="LX10" s="2">
        <v>0.01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0.01</v>
      </c>
      <c r="MF10" s="2">
        <v>0.01</v>
      </c>
      <c r="MG10" s="2">
        <v>0.01</v>
      </c>
      <c r="MH10" s="2">
        <v>0</v>
      </c>
      <c r="MI10" s="2">
        <v>0</v>
      </c>
      <c r="MJ10" s="2">
        <v>-0.01</v>
      </c>
      <c r="MK10" s="2">
        <v>0.01</v>
      </c>
      <c r="ML10" s="2">
        <v>0</v>
      </c>
      <c r="MM10" s="2">
        <v>0</v>
      </c>
      <c r="MN10" s="2">
        <v>0.01</v>
      </c>
      <c r="MO10" s="2">
        <v>-0.01</v>
      </c>
      <c r="MP10" s="2">
        <v>0.01</v>
      </c>
      <c r="QI10" s="2">
        <v>4.78</v>
      </c>
      <c r="QJ10" s="2">
        <v>4.88</v>
      </c>
      <c r="QK10" s="2">
        <v>5.79</v>
      </c>
      <c r="QL10" s="2">
        <v>6.71</v>
      </c>
      <c r="QM10" s="2">
        <v>7.48</v>
      </c>
      <c r="QN10" s="2">
        <v>7.62</v>
      </c>
      <c r="QO10" s="2">
        <v>8.69</v>
      </c>
      <c r="QP10" s="2">
        <v>8.76</v>
      </c>
      <c r="QQ10" s="2">
        <v>7.95</v>
      </c>
      <c r="QR10" s="2">
        <v>6.78</v>
      </c>
      <c r="QS10" s="2">
        <v>7.01</v>
      </c>
      <c r="QT10" s="2">
        <v>7.67</v>
      </c>
      <c r="QU10" s="2">
        <v>7.8</v>
      </c>
      <c r="QV10" s="2">
        <v>7.77</v>
      </c>
      <c r="QW10" s="2">
        <v>7.97</v>
      </c>
      <c r="QX10" s="2">
        <v>7.95</v>
      </c>
      <c r="QY10" s="2">
        <v>8.710000000000001</v>
      </c>
      <c r="QZ10" s="2">
        <v>9.33</v>
      </c>
      <c r="RA10" s="2">
        <v>9.31</v>
      </c>
      <c r="RB10" s="2">
        <v>10.15</v>
      </c>
      <c r="RC10" s="2">
        <v>10.12</v>
      </c>
      <c r="RD10" s="2">
        <v>9.779999999999999</v>
      </c>
      <c r="RE10" s="2">
        <v>10.72</v>
      </c>
      <c r="RF10" s="2">
        <v>11.41</v>
      </c>
      <c r="RG10" s="2">
        <v>11.73</v>
      </c>
      <c r="RH10" s="2">
        <v>11.51</v>
      </c>
      <c r="RI10" s="2">
        <v>13.07</v>
      </c>
      <c r="RJ10" s="2">
        <v>15.27</v>
      </c>
      <c r="RK10" s="2">
        <v>14.31</v>
      </c>
      <c r="RL10" s="2">
        <v>13.84</v>
      </c>
      <c r="RM10" s="2">
        <v>15.79</v>
      </c>
      <c r="RN10" s="2">
        <v>16.73</v>
      </c>
      <c r="RO10" s="2">
        <v>16.44</v>
      </c>
      <c r="RP10" s="2">
        <v>15.15</v>
      </c>
      <c r="RQ10" s="2">
        <v>15.59</v>
      </c>
      <c r="RR10" s="2">
        <v>15.82</v>
      </c>
      <c r="RS10" s="2">
        <v>16.59</v>
      </c>
      <c r="RT10" s="2">
        <v>15.62</v>
      </c>
      <c r="RU10" s="2">
        <v>15.55</v>
      </c>
      <c r="RV10" s="2">
        <v>16.41</v>
      </c>
      <c r="RW10" s="2">
        <v>15.62</v>
      </c>
      <c r="RX10" s="2">
        <v>15.79</v>
      </c>
      <c r="RY10" s="2">
        <v>16.14</v>
      </c>
      <c r="RZ10" s="2">
        <v>19.13</v>
      </c>
      <c r="SA10" s="2">
        <v>16.11</v>
      </c>
      <c r="SB10" s="2">
        <v>15.1</v>
      </c>
      <c r="SC10" s="2">
        <v>16.88</v>
      </c>
      <c r="SD10" s="2">
        <v>16.98</v>
      </c>
      <c r="SE10" s="2">
        <v>17.85</v>
      </c>
      <c r="SF10" s="2">
        <v>17.15</v>
      </c>
      <c r="SG10" s="2">
        <v>16.93</v>
      </c>
      <c r="SH10" s="2">
        <v>17.7</v>
      </c>
      <c r="SI10" s="2">
        <v>17.58</v>
      </c>
      <c r="SJ10" s="2">
        <v>16.29</v>
      </c>
      <c r="SK10" s="2">
        <v>16.83</v>
      </c>
      <c r="SL10" s="2">
        <v>18.29</v>
      </c>
      <c r="SM10" s="2">
        <v>20.45</v>
      </c>
      <c r="SN10" s="2">
        <v>19.31</v>
      </c>
      <c r="SO10" s="2">
        <v>20.52</v>
      </c>
      <c r="SP10" s="2">
        <v>20.99</v>
      </c>
      <c r="SQ10" s="2">
        <v>21.41</v>
      </c>
      <c r="SR10" s="2">
        <v>20.32</v>
      </c>
      <c r="SS10" s="2">
        <v>21.09</v>
      </c>
      <c r="ST10" s="2">
        <v>22.82</v>
      </c>
      <c r="SU10" s="2">
        <v>23.71</v>
      </c>
      <c r="SV10" s="2">
        <v>22.18</v>
      </c>
      <c r="SW10" s="2">
        <v>23.12</v>
      </c>
      <c r="SX10" s="2">
        <v>24.43</v>
      </c>
      <c r="SY10" s="2">
        <v>24.46</v>
      </c>
      <c r="SZ10" s="2">
        <v>23.81</v>
      </c>
      <c r="TA10" s="2">
        <v>24.83</v>
      </c>
      <c r="TB10" s="2">
        <v>25.92</v>
      </c>
      <c r="TC10" s="2">
        <v>25.67</v>
      </c>
      <c r="TD10" s="2">
        <v>24.28</v>
      </c>
      <c r="TE10" s="2">
        <v>25.2</v>
      </c>
      <c r="TF10" s="2">
        <v>24.85</v>
      </c>
      <c r="TG10" s="2">
        <v>25</v>
      </c>
      <c r="TH10" s="2">
        <v>23.62</v>
      </c>
      <c r="TI10" s="2">
        <v>23.76</v>
      </c>
      <c r="TJ10" s="2">
        <v>24.06</v>
      </c>
      <c r="TK10" s="2">
        <v>24.04</v>
      </c>
      <c r="TL10" s="2">
        <v>23.54</v>
      </c>
      <c r="TM10" s="2">
        <v>26.14</v>
      </c>
      <c r="TN10" s="2">
        <v>25.94</v>
      </c>
      <c r="TO10" s="2">
        <v>28.17</v>
      </c>
      <c r="TP10" s="2">
        <v>27.08</v>
      </c>
      <c r="TQ10" s="2">
        <v>27.2</v>
      </c>
      <c r="TR10" s="2">
        <v>26.88</v>
      </c>
      <c r="TS10" s="2">
        <v>25.82</v>
      </c>
      <c r="TT10" s="2">
        <v>25.74</v>
      </c>
      <c r="TU10" s="2">
        <v>26.78</v>
      </c>
      <c r="TV10" s="2">
        <v>28.17</v>
      </c>
      <c r="TW10" s="2">
        <v>30.08</v>
      </c>
      <c r="TX10" s="2">
        <v>28.22</v>
      </c>
      <c r="TY10" s="2">
        <v>30.74</v>
      </c>
      <c r="TZ10" s="2">
        <v>30.77</v>
      </c>
      <c r="UA10" s="2">
        <v>30.94</v>
      </c>
      <c r="UB10" s="2">
        <v>30.1</v>
      </c>
      <c r="UC10" s="2">
        <v>30.25</v>
      </c>
      <c r="UD10" s="2">
        <v>30.35</v>
      </c>
      <c r="UE10" s="2">
        <v>31.12</v>
      </c>
      <c r="UF10" s="2">
        <v>30.13</v>
      </c>
      <c r="UG10" s="2">
        <v>29.9</v>
      </c>
      <c r="UH10" s="2">
        <v>30.37</v>
      </c>
      <c r="UI10" s="2">
        <v>30.19</v>
      </c>
      <c r="UJ10" s="2">
        <v>29.89</v>
      </c>
      <c r="UK10" s="2">
        <v>30.66</v>
      </c>
      <c r="UL10" s="2">
        <v>32.09</v>
      </c>
      <c r="UM10" s="2">
        <v>31.34</v>
      </c>
      <c r="UN10" s="2">
        <v>30.97</v>
      </c>
      <c r="UO10" s="2">
        <v>31.17</v>
      </c>
      <c r="UP10" s="2">
        <v>31.85</v>
      </c>
      <c r="UQ10" s="2">
        <v>31.28</v>
      </c>
      <c r="UR10" s="2">
        <v>30.91</v>
      </c>
      <c r="US10" s="2">
        <v>33.06</v>
      </c>
      <c r="UT10" s="2">
        <v>36.65</v>
      </c>
      <c r="UU10" s="2">
        <v>38.79</v>
      </c>
      <c r="UV10" s="2">
        <v>39.83</v>
      </c>
      <c r="UW10" s="2">
        <v>41.59</v>
      </c>
      <c r="UX10" s="2">
        <v>43.56</v>
      </c>
      <c r="UY10" s="2">
        <v>42.36</v>
      </c>
      <c r="UZ10" s="2">
        <v>42.44</v>
      </c>
      <c r="VA10" s="2">
        <v>44.35</v>
      </c>
      <c r="VB10" s="2">
        <v>46.49</v>
      </c>
      <c r="VC10" s="2">
        <v>49.85</v>
      </c>
      <c r="VD10" s="2">
        <v>49.05</v>
      </c>
      <c r="VE10" s="2">
        <v>49.47</v>
      </c>
      <c r="VF10" s="2">
        <v>49.15</v>
      </c>
      <c r="VG10" s="2">
        <v>51.49</v>
      </c>
      <c r="VH10" s="2">
        <v>49.96</v>
      </c>
      <c r="VI10" s="2">
        <v>50.64</v>
      </c>
      <c r="VJ10" s="2">
        <v>50.02</v>
      </c>
      <c r="VK10" s="2">
        <v>53.13</v>
      </c>
      <c r="VL10" s="2">
        <v>51.77</v>
      </c>
      <c r="VM10" s="2">
        <v>52.06</v>
      </c>
      <c r="VN10" s="2">
        <v>53.24</v>
      </c>
      <c r="VO10" s="2">
        <v>53.53</v>
      </c>
      <c r="VP10" s="2">
        <v>53.14</v>
      </c>
      <c r="VQ10" s="2">
        <v>51.49</v>
      </c>
      <c r="VR10" s="2">
        <v>52.78</v>
      </c>
      <c r="VS10" s="2">
        <v>52.83</v>
      </c>
      <c r="VT10" s="2">
        <v>52.83</v>
      </c>
      <c r="VU10" s="2">
        <v>53.99</v>
      </c>
      <c r="VV10" s="2">
        <v>55.01</v>
      </c>
      <c r="VW10" s="2">
        <v>55.2</v>
      </c>
      <c r="VX10" s="2">
        <v>56.56</v>
      </c>
      <c r="VY10" s="2">
        <v>60.09</v>
      </c>
      <c r="VZ10" s="2">
        <v>60.59</v>
      </c>
      <c r="WA10" s="2">
        <v>60.39</v>
      </c>
      <c r="WB10" s="2">
        <v>59.22</v>
      </c>
      <c r="WC10" s="2">
        <v>61.2</v>
      </c>
      <c r="WD10" s="2">
        <v>62.72</v>
      </c>
      <c r="WE10" s="2">
        <v>63.51</v>
      </c>
      <c r="WF10" s="2">
        <v>64.08</v>
      </c>
      <c r="WG10" s="2">
        <v>68.36</v>
      </c>
      <c r="WH10" s="2">
        <v>69.97</v>
      </c>
      <c r="WI10" s="2">
        <v>68.01000000000001</v>
      </c>
      <c r="WJ10" s="2">
        <v>66.69</v>
      </c>
      <c r="WK10" s="2">
        <v>67.18000000000001</v>
      </c>
      <c r="WL10" s="2">
        <v>66.62</v>
      </c>
      <c r="WM10" s="2">
        <v>65.06999999999999</v>
      </c>
      <c r="WN10" s="2">
        <v>58.47</v>
      </c>
      <c r="WO10" s="2">
        <v>59.09</v>
      </c>
      <c r="WP10" s="2">
        <v>58.31</v>
      </c>
      <c r="WQ10" s="2">
        <v>58.13</v>
      </c>
      <c r="WR10" s="2">
        <v>57.59</v>
      </c>
      <c r="WS10" s="2">
        <v>58.21</v>
      </c>
      <c r="WT10" s="2">
        <v>63.02</v>
      </c>
      <c r="WU10" s="2">
        <v>61.61</v>
      </c>
      <c r="WV10" s="2">
        <v>59.35</v>
      </c>
      <c r="WW10" s="2">
        <v>62.01</v>
      </c>
      <c r="WX10" s="2">
        <v>63.47</v>
      </c>
      <c r="WY10" s="2">
        <v>64.03</v>
      </c>
      <c r="WZ10" s="2">
        <v>66.48</v>
      </c>
      <c r="XA10" s="2">
        <v>66.72</v>
      </c>
      <c r="XB10" s="2">
        <v>67.29000000000001</v>
      </c>
      <c r="XC10" s="2">
        <v>69.20999999999999</v>
      </c>
      <c r="XD10" s="2">
        <v>68.08</v>
      </c>
      <c r="XE10" s="2">
        <v>67.66</v>
      </c>
      <c r="XF10" s="2">
        <v>70.08</v>
      </c>
      <c r="XG10" s="2">
        <v>69.81</v>
      </c>
      <c r="XH10" s="2">
        <v>70.04000000000001</v>
      </c>
      <c r="XI10" s="2">
        <v>70.06999999999999</v>
      </c>
      <c r="XJ10" s="2">
        <v>71.59</v>
      </c>
      <c r="XK10" s="2">
        <v>72.94</v>
      </c>
      <c r="XL10" s="2">
        <v>77.95</v>
      </c>
      <c r="XM10" s="2">
        <v>80.79000000000001</v>
      </c>
      <c r="XN10" s="2">
        <v>81.23</v>
      </c>
      <c r="XO10" s="2">
        <v>83.34999999999999</v>
      </c>
      <c r="XP10" s="2">
        <v>82.56</v>
      </c>
      <c r="XQ10" s="2">
        <v>84.91</v>
      </c>
      <c r="XR10" s="2">
        <v>85.09</v>
      </c>
      <c r="XS10" s="2">
        <v>85.98999999999999</v>
      </c>
      <c r="XT10" s="2">
        <v>83.77</v>
      </c>
      <c r="XU10" s="2">
        <v>86.31</v>
      </c>
      <c r="XV10" s="2">
        <v>86.67</v>
      </c>
      <c r="XW10" s="2">
        <v>86.77</v>
      </c>
      <c r="XX10" s="2">
        <v>86.5</v>
      </c>
      <c r="XY10" s="2">
        <v>92.58</v>
      </c>
      <c r="XZ10" s="2">
        <v>92.81</v>
      </c>
      <c r="YA10" s="2">
        <v>91.56</v>
      </c>
      <c r="YB10" s="2">
        <v>89.27</v>
      </c>
      <c r="YC10" s="2">
        <v>90.34999999999999</v>
      </c>
      <c r="YD10" s="2">
        <v>90.53</v>
      </c>
      <c r="YE10" s="2">
        <v>86.34</v>
      </c>
      <c r="YF10" s="2">
        <v>75.81999999999999</v>
      </c>
      <c r="YG10" s="2">
        <v>75.20999999999999</v>
      </c>
      <c r="YH10" s="2">
        <v>80.66</v>
      </c>
      <c r="YI10" s="2">
        <v>86.92</v>
      </c>
      <c r="YJ10" s="2">
        <v>88.98999999999999</v>
      </c>
      <c r="YK10" s="2">
        <v>90.01000000000001</v>
      </c>
      <c r="YL10" s="2">
        <v>90.40000000000001</v>
      </c>
      <c r="YM10" s="2">
        <v>95.67</v>
      </c>
      <c r="YN10" s="2">
        <v>100.94</v>
      </c>
      <c r="YO10" s="2">
        <v>101.67</v>
      </c>
      <c r="YP10" s="2">
        <v>103.71</v>
      </c>
      <c r="ACI10" s="2">
        <v>2.1</v>
      </c>
      <c r="ACJ10" s="2">
        <v>18.6</v>
      </c>
      <c r="ACK10" s="2">
        <v>15.9</v>
      </c>
      <c r="ACL10" s="2">
        <v>11.5</v>
      </c>
      <c r="ACM10" s="2">
        <v>1.9</v>
      </c>
      <c r="ACN10" s="2">
        <v>14</v>
      </c>
      <c r="ACO10" s="2">
        <v>0.8</v>
      </c>
      <c r="ACP10" s="2">
        <v>-9.199999999999999</v>
      </c>
      <c r="ACQ10" s="2">
        <v>-14.7</v>
      </c>
      <c r="ACR10" s="2">
        <v>3.4</v>
      </c>
      <c r="ACS10" s="2">
        <v>9.4</v>
      </c>
      <c r="ACT10" s="2">
        <v>1.7</v>
      </c>
      <c r="ACU10" s="2">
        <v>-0.4</v>
      </c>
      <c r="ACV10" s="2">
        <v>2.6</v>
      </c>
      <c r="ACW10" s="2">
        <v>-0.3</v>
      </c>
      <c r="ACX10" s="2">
        <v>9.6</v>
      </c>
      <c r="ACY10" s="2">
        <v>7.1</v>
      </c>
      <c r="ACZ10" s="2">
        <v>-0.2</v>
      </c>
      <c r="ADA10" s="2">
        <v>9</v>
      </c>
      <c r="ADB10" s="2">
        <v>-0.3</v>
      </c>
      <c r="ADC10" s="2">
        <v>-3.4</v>
      </c>
      <c r="ADD10" s="2">
        <v>9.6</v>
      </c>
      <c r="ADE10" s="2">
        <v>6.4</v>
      </c>
      <c r="ADF10" s="2">
        <v>2.8</v>
      </c>
      <c r="ADG10" s="2">
        <v>-1.9</v>
      </c>
      <c r="ADH10" s="2">
        <v>13.6</v>
      </c>
      <c r="ADI10" s="2">
        <v>16.8</v>
      </c>
      <c r="ADJ10" s="2">
        <v>-6.3</v>
      </c>
      <c r="ADK10" s="2">
        <v>-3.3</v>
      </c>
      <c r="ADL10" s="2">
        <v>14.1</v>
      </c>
      <c r="ADM10" s="2">
        <v>6</v>
      </c>
      <c r="ADN10" s="2">
        <v>-1.7</v>
      </c>
      <c r="ADO10" s="2">
        <v>-7.8</v>
      </c>
      <c r="ADP10" s="2">
        <v>2.9</v>
      </c>
      <c r="ADQ10" s="2">
        <v>1.5</v>
      </c>
      <c r="ADR10" s="2">
        <v>4.9</v>
      </c>
      <c r="ADS10" s="2">
        <v>-5.8</v>
      </c>
      <c r="ADT10" s="2">
        <v>-0.4</v>
      </c>
      <c r="ADU10" s="2">
        <v>5.5</v>
      </c>
      <c r="ADV10" s="2">
        <v>-4.8</v>
      </c>
      <c r="ADW10" s="2">
        <v>1.1</v>
      </c>
      <c r="ADX10" s="2">
        <v>2.2</v>
      </c>
      <c r="ADY10" s="2">
        <v>18.5</v>
      </c>
      <c r="ADZ10" s="2">
        <v>-15.8</v>
      </c>
      <c r="AEA10" s="2">
        <v>-6.3</v>
      </c>
      <c r="AEB10" s="2">
        <v>11.8</v>
      </c>
      <c r="AEC10" s="2">
        <v>0.6</v>
      </c>
      <c r="AED10" s="2">
        <v>5.1</v>
      </c>
      <c r="AEE10" s="2">
        <v>-3.9</v>
      </c>
      <c r="AEF10" s="2">
        <v>-1.3</v>
      </c>
      <c r="AEG10" s="2">
        <v>4.5</v>
      </c>
      <c r="AEH10" s="2">
        <v>-0.7</v>
      </c>
      <c r="AEI10" s="2">
        <v>-7.3</v>
      </c>
      <c r="AEJ10" s="2">
        <v>3.3</v>
      </c>
      <c r="AEK10" s="2">
        <v>8.699999999999999</v>
      </c>
      <c r="AEL10" s="2">
        <v>11.8</v>
      </c>
      <c r="AEM10" s="2">
        <v>-5.6</v>
      </c>
      <c r="AEN10" s="2">
        <v>6.3</v>
      </c>
      <c r="AEO10" s="2">
        <v>2.3</v>
      </c>
      <c r="AEP10" s="2">
        <v>2</v>
      </c>
      <c r="AEQ10" s="2">
        <v>-5.1</v>
      </c>
      <c r="AER10" s="2">
        <v>3.8</v>
      </c>
      <c r="AES10" s="2">
        <v>8.199999999999999</v>
      </c>
      <c r="AET10" s="2">
        <v>3.9</v>
      </c>
      <c r="AEU10" s="2">
        <v>-6.5</v>
      </c>
      <c r="AEV10" s="2">
        <v>4.2</v>
      </c>
      <c r="AEW10" s="2">
        <v>5.7</v>
      </c>
      <c r="AEX10" s="2">
        <v>0.1</v>
      </c>
      <c r="AEY10" s="2">
        <v>-2.7</v>
      </c>
      <c r="AEZ10" s="2">
        <v>4.3</v>
      </c>
      <c r="AFA10" s="2">
        <v>4.4</v>
      </c>
      <c r="AFB10" s="2">
        <v>-1</v>
      </c>
      <c r="AFC10" s="2">
        <v>-5.4</v>
      </c>
      <c r="AFD10" s="2">
        <v>3.8</v>
      </c>
      <c r="AFE10" s="2">
        <v>-1.4</v>
      </c>
      <c r="AFF10" s="2">
        <v>0.6</v>
      </c>
      <c r="AFG10" s="2">
        <v>-5.5</v>
      </c>
      <c r="AFH10" s="2">
        <v>0.6</v>
      </c>
      <c r="AFI10" s="2">
        <v>1.3</v>
      </c>
      <c r="AFJ10" s="2">
        <v>-0.1</v>
      </c>
      <c r="AFK10" s="2">
        <v>-2.1</v>
      </c>
      <c r="AFL10" s="2">
        <v>11</v>
      </c>
      <c r="AFM10" s="2">
        <v>-0.8</v>
      </c>
      <c r="AFN10" s="2">
        <v>8.6</v>
      </c>
      <c r="AFO10" s="2">
        <v>-3.9</v>
      </c>
      <c r="AFP10" s="2">
        <v>0.4</v>
      </c>
      <c r="AFQ10" s="2">
        <v>-1.2</v>
      </c>
      <c r="AFR10" s="2">
        <v>-3.9</v>
      </c>
      <c r="AFS10" s="2">
        <v>-0.3</v>
      </c>
      <c r="AFT10" s="2">
        <v>4</v>
      </c>
      <c r="AFU10" s="2">
        <v>5.2</v>
      </c>
      <c r="AFV10" s="2">
        <v>6.8</v>
      </c>
      <c r="AFW10" s="2">
        <v>-6.2</v>
      </c>
      <c r="AFX10" s="2">
        <v>8.9</v>
      </c>
      <c r="AFY10" s="2">
        <v>0.1</v>
      </c>
      <c r="AFZ10" s="2">
        <v>0.6</v>
      </c>
      <c r="AGA10" s="2">
        <v>-2.7</v>
      </c>
      <c r="AGB10" s="2">
        <v>0.5</v>
      </c>
      <c r="AGC10" s="2">
        <v>0.3</v>
      </c>
      <c r="AGD10" s="2">
        <v>2.5</v>
      </c>
      <c r="AGE10" s="2">
        <v>-3.2</v>
      </c>
      <c r="AGF10" s="2">
        <v>-0.8</v>
      </c>
      <c r="AGG10" s="2">
        <v>1.6</v>
      </c>
      <c r="AGH10" s="2">
        <v>-0.6</v>
      </c>
      <c r="AGI10" s="2">
        <v>-1</v>
      </c>
      <c r="AGJ10" s="2">
        <v>2.6</v>
      </c>
      <c r="AGK10" s="2">
        <v>4.7</v>
      </c>
      <c r="AGL10" s="2">
        <v>-2.3</v>
      </c>
      <c r="AGM10" s="2">
        <v>-1.2</v>
      </c>
      <c r="AGN10" s="2">
        <v>0.6</v>
      </c>
      <c r="AGO10" s="2">
        <v>2.2</v>
      </c>
      <c r="AGP10" s="2">
        <v>-1.8</v>
      </c>
      <c r="AGQ10" s="2">
        <v>-1.2</v>
      </c>
      <c r="AGR10" s="2">
        <v>7</v>
      </c>
      <c r="AGS10" s="2">
        <v>10.9</v>
      </c>
      <c r="AGT10" s="2">
        <v>5.8</v>
      </c>
      <c r="AGU10" s="2">
        <v>2.7</v>
      </c>
      <c r="AGV10" s="2">
        <v>4.4</v>
      </c>
      <c r="AGW10" s="2">
        <v>4.7</v>
      </c>
      <c r="AGX10" s="2">
        <v>-2.8</v>
      </c>
      <c r="AGY10" s="2">
        <v>0.2</v>
      </c>
      <c r="AGZ10" s="2">
        <v>4.5</v>
      </c>
      <c r="AHA10" s="2">
        <v>4.8</v>
      </c>
      <c r="AHB10" s="2">
        <v>7.2</v>
      </c>
      <c r="AHC10" s="2">
        <v>-1.6</v>
      </c>
      <c r="AHD10" s="2">
        <v>0.9</v>
      </c>
      <c r="AHE10" s="2">
        <v>-0.6</v>
      </c>
      <c r="AHF10" s="2">
        <v>4.8</v>
      </c>
      <c r="AHG10" s="2">
        <v>-3</v>
      </c>
      <c r="AHH10" s="2">
        <v>1.4</v>
      </c>
      <c r="AHI10" s="2">
        <v>-1.2</v>
      </c>
      <c r="AHJ10" s="2">
        <v>6.2</v>
      </c>
      <c r="AHK10" s="2">
        <v>-2.6</v>
      </c>
      <c r="AHL10" s="2">
        <v>0.6</v>
      </c>
      <c r="AHM10" s="2">
        <v>2.3</v>
      </c>
      <c r="AHN10" s="2">
        <v>0.5</v>
      </c>
      <c r="AHO10" s="2">
        <v>-0.7</v>
      </c>
      <c r="AHP10" s="2">
        <v>-3.1</v>
      </c>
      <c r="AHQ10" s="2">
        <v>2.5</v>
      </c>
      <c r="AHR10" s="2">
        <v>0.1</v>
      </c>
      <c r="AHS10" s="2">
        <v>0</v>
      </c>
      <c r="AHT10" s="2">
        <v>2.2</v>
      </c>
      <c r="AHU10" s="2">
        <v>1.9</v>
      </c>
      <c r="AHV10" s="2">
        <v>0.3</v>
      </c>
      <c r="AHW10" s="2">
        <v>2.5</v>
      </c>
      <c r="AHX10" s="2">
        <v>6.2</v>
      </c>
      <c r="AHY10" s="2">
        <v>0.8</v>
      </c>
      <c r="AHZ10" s="2">
        <v>-0.3</v>
      </c>
      <c r="AIA10" s="2">
        <v>-1.9</v>
      </c>
      <c r="AIB10" s="2">
        <v>3.3</v>
      </c>
      <c r="AIC10" s="2">
        <v>2.5</v>
      </c>
      <c r="AID10" s="2">
        <v>1.3</v>
      </c>
      <c r="AIE10" s="2">
        <v>0.9</v>
      </c>
      <c r="AIF10" s="2">
        <v>6.7</v>
      </c>
      <c r="AIG10" s="2">
        <v>2.4</v>
      </c>
      <c r="AIH10" s="2">
        <v>-2.8</v>
      </c>
      <c r="AII10" s="2">
        <v>-1.9</v>
      </c>
      <c r="AIJ10" s="2">
        <v>0.7</v>
      </c>
      <c r="AIK10" s="2">
        <v>-0.8</v>
      </c>
      <c r="AIL10" s="2">
        <v>-2.3</v>
      </c>
      <c r="AIM10" s="2">
        <v>-10.1</v>
      </c>
      <c r="AIN10" s="2">
        <v>1.1</v>
      </c>
      <c r="AIO10" s="2">
        <v>-1.3</v>
      </c>
      <c r="AIP10" s="2">
        <v>-0.3</v>
      </c>
      <c r="AIQ10" s="2">
        <v>-0.9</v>
      </c>
      <c r="AIR10" s="2">
        <v>1.1</v>
      </c>
      <c r="AIS10" s="2">
        <v>8.300000000000001</v>
      </c>
      <c r="AIT10" s="2">
        <v>-2.2</v>
      </c>
      <c r="AIU10" s="2">
        <v>-3.7</v>
      </c>
      <c r="AIV10" s="2">
        <v>4.5</v>
      </c>
      <c r="AIW10" s="2">
        <v>2.4</v>
      </c>
      <c r="AIX10" s="2">
        <v>0.9</v>
      </c>
      <c r="AIY10" s="2">
        <v>3.8</v>
      </c>
      <c r="AIZ10" s="2">
        <v>0.4</v>
      </c>
      <c r="AJA10" s="2">
        <v>0.9</v>
      </c>
      <c r="AJB10" s="2">
        <v>2.9</v>
      </c>
      <c r="AJC10" s="2">
        <v>-1.6</v>
      </c>
      <c r="AJD10" s="2">
        <v>-0.6</v>
      </c>
      <c r="AJE10" s="2">
        <v>3.6</v>
      </c>
      <c r="AJF10" s="2">
        <v>-0.4</v>
      </c>
      <c r="AJG10" s="2">
        <v>0.3</v>
      </c>
      <c r="AJH10" s="2">
        <v>0</v>
      </c>
      <c r="AJI10" s="2">
        <v>2.2</v>
      </c>
      <c r="AJJ10" s="2">
        <v>1.9</v>
      </c>
      <c r="AJK10" s="2">
        <v>6.9</v>
      </c>
      <c r="AJL10" s="2">
        <v>3.6</v>
      </c>
      <c r="AJM10" s="2">
        <v>0.5</v>
      </c>
      <c r="AJN10" s="2">
        <v>2.6</v>
      </c>
      <c r="AJO10" s="2">
        <v>-0.9</v>
      </c>
      <c r="AJP10" s="2">
        <v>2.8</v>
      </c>
      <c r="AJQ10" s="2">
        <v>0.2</v>
      </c>
      <c r="AJR10" s="2">
        <v>1.1</v>
      </c>
      <c r="AJS10" s="2">
        <v>-2.6</v>
      </c>
      <c r="AJT10" s="2">
        <v>3</v>
      </c>
      <c r="AJU10" s="2">
        <v>0.4</v>
      </c>
      <c r="AJV10" s="2">
        <v>0.1</v>
      </c>
      <c r="AJW10" s="2">
        <v>-0.3</v>
      </c>
      <c r="AJX10" s="2">
        <v>7</v>
      </c>
      <c r="AJY10" s="2">
        <v>0.2</v>
      </c>
      <c r="AJZ10" s="2">
        <v>-1.3</v>
      </c>
      <c r="AKA10" s="2">
        <v>-2.5</v>
      </c>
      <c r="AKB10" s="2">
        <v>1.2</v>
      </c>
      <c r="AKC10" s="2">
        <v>0.2</v>
      </c>
      <c r="AKD10" s="2">
        <v>-4.6</v>
      </c>
      <c r="AKE10" s="2">
        <v>-12.2</v>
      </c>
      <c r="AKF10" s="2">
        <v>-0.8</v>
      </c>
      <c r="AKG10" s="2">
        <v>7.2</v>
      </c>
      <c r="AKH10" s="2">
        <v>7.8</v>
      </c>
      <c r="AKI10" s="2">
        <v>2.4</v>
      </c>
      <c r="AKJ10" s="2">
        <v>1.1</v>
      </c>
      <c r="AKK10" s="2">
        <v>0.4</v>
      </c>
      <c r="AKL10" s="2">
        <v>5.8</v>
      </c>
      <c r="AKM10" s="2">
        <v>5.5</v>
      </c>
      <c r="AKN10" s="2">
        <v>0.7</v>
      </c>
      <c r="AKO10" s="2">
        <v>2</v>
      </c>
      <c r="AKP10" s="2">
        <v>0.27</v>
      </c>
      <c r="AKQ10" s="2">
        <v>0.27</v>
      </c>
      <c r="AKR10" s="2">
        <v>0.27</v>
      </c>
    </row>
    <row r="11">
      <c r="A11" t="inlineStr">
        <is>
          <t>Poultry</t>
        </is>
      </c>
      <c r="B11" t="inlineStr">
        <is>
          <t>Meat and seafoods</t>
        </is>
      </c>
      <c r="C11">
        <v>3</v>
      </c>
      <c r="D11">
        <v>0.42</v>
      </c>
      <c r="E11" s="3">
        <f>D11/2.13*0.021287765651924178</f>
        <v>0.004197587593337162</v>
      </c>
      <c r="F11" s="3">
        <f>E11-D11/100</f>
        <v>-2.4124066628373325e-06</v>
      </c>
      <c r="G11" s="3">
        <f>D11/2.13</f>
        <v>0.1971830985915493</v>
      </c>
      <c r="H11" s="2">
        <v>81.37</v>
      </c>
      <c r="I11" s="2">
        <v>81.65000000000001</v>
      </c>
      <c r="J11" s="2">
        <v>82.25</v>
      </c>
      <c r="K11" s="2">
        <v>81.67</v>
      </c>
      <c r="L11" s="2">
        <v>82.45</v>
      </c>
      <c r="M11" s="2">
        <v>82.34</v>
      </c>
      <c r="N11" s="2">
        <v>81.95999999999999</v>
      </c>
      <c r="O11" s="2">
        <v>82.08</v>
      </c>
      <c r="P11" s="2">
        <v>81.69</v>
      </c>
      <c r="Q11" s="2">
        <v>82.23999999999999</v>
      </c>
      <c r="R11" s="2">
        <v>83.13</v>
      </c>
      <c r="S11" s="2">
        <v>82.51000000000001</v>
      </c>
      <c r="T11" s="2">
        <v>82.69</v>
      </c>
      <c r="U11" s="2">
        <v>82.65000000000001</v>
      </c>
      <c r="V11" s="2">
        <v>83.3</v>
      </c>
      <c r="W11" s="2">
        <v>83.97</v>
      </c>
      <c r="X11" s="2">
        <v>85.62</v>
      </c>
      <c r="Y11" s="2">
        <v>86.2</v>
      </c>
      <c r="Z11" s="2">
        <v>85.5</v>
      </c>
      <c r="AA11" s="2">
        <v>85.23999999999999</v>
      </c>
      <c r="AB11" s="2">
        <v>85.77</v>
      </c>
      <c r="AC11" s="2">
        <v>86.31999999999999</v>
      </c>
      <c r="AD11" s="2">
        <v>86.56</v>
      </c>
      <c r="AE11" s="2">
        <v>87.55</v>
      </c>
      <c r="AF11" s="2">
        <v>87.02</v>
      </c>
      <c r="AG11" s="2">
        <v>86.20999999999999</v>
      </c>
      <c r="AH11" s="2">
        <v>86.26000000000001</v>
      </c>
      <c r="AI11" s="2">
        <v>86.54000000000001</v>
      </c>
      <c r="AJ11" s="2">
        <v>86.59</v>
      </c>
      <c r="AK11" s="2">
        <v>86.51000000000001</v>
      </c>
      <c r="AL11" s="2">
        <v>88.06</v>
      </c>
      <c r="AM11" s="2">
        <v>85.87</v>
      </c>
      <c r="AN11" s="2">
        <v>85.81</v>
      </c>
      <c r="AO11" s="2">
        <v>85.79000000000001</v>
      </c>
      <c r="AP11" s="2">
        <v>87.05</v>
      </c>
      <c r="AQ11" s="2">
        <v>87.41</v>
      </c>
      <c r="AR11" s="2">
        <v>87.12</v>
      </c>
      <c r="AS11" s="2">
        <v>85.93000000000001</v>
      </c>
      <c r="AT11" s="2">
        <v>86.20999999999999</v>
      </c>
      <c r="AU11" s="2">
        <v>87.54000000000001</v>
      </c>
      <c r="AV11" s="2">
        <v>87.56</v>
      </c>
      <c r="AW11" s="2">
        <v>87.5</v>
      </c>
      <c r="AX11" s="2">
        <v>87.14</v>
      </c>
      <c r="AY11" s="2">
        <v>87.3</v>
      </c>
      <c r="AZ11" s="2">
        <v>86.78</v>
      </c>
      <c r="BA11" s="2">
        <v>86.81</v>
      </c>
      <c r="BB11" s="2">
        <v>86.97</v>
      </c>
      <c r="BC11" s="2">
        <v>86.67</v>
      </c>
      <c r="BD11" s="2">
        <v>87.23</v>
      </c>
      <c r="BE11" s="2">
        <v>86.40000000000001</v>
      </c>
      <c r="BF11" s="2">
        <v>86.13</v>
      </c>
      <c r="BG11" s="2">
        <v>86.40000000000001</v>
      </c>
      <c r="BH11" s="2">
        <v>88.54000000000001</v>
      </c>
      <c r="BI11" s="2">
        <v>90.38</v>
      </c>
      <c r="BJ11" s="2">
        <v>90.64</v>
      </c>
      <c r="BK11" s="2">
        <v>91.28</v>
      </c>
      <c r="BL11" s="2">
        <v>91.88</v>
      </c>
      <c r="BM11" s="2">
        <v>91.16</v>
      </c>
      <c r="BN11" s="2">
        <v>92.59999999999999</v>
      </c>
      <c r="BO11" s="2">
        <v>94.61</v>
      </c>
      <c r="BP11" s="2">
        <v>95.78</v>
      </c>
      <c r="BQ11" s="2">
        <v>94.95</v>
      </c>
      <c r="BR11" s="2">
        <v>95.3</v>
      </c>
      <c r="BS11" s="2">
        <v>95.98999999999999</v>
      </c>
      <c r="BT11" s="2">
        <v>95.95</v>
      </c>
      <c r="BU11" s="2">
        <v>96.43000000000001</v>
      </c>
      <c r="BV11" s="2">
        <v>97.16</v>
      </c>
      <c r="BW11" s="2">
        <v>98.15000000000001</v>
      </c>
      <c r="BX11" s="2">
        <v>99.20999999999999</v>
      </c>
      <c r="BY11" s="2">
        <v>98.45</v>
      </c>
      <c r="BZ11" s="2">
        <v>99.37</v>
      </c>
      <c r="CA11" s="2">
        <v>99.98999999999999</v>
      </c>
      <c r="CB11" s="2">
        <v>99.73999999999999</v>
      </c>
      <c r="CC11" s="2">
        <v>99</v>
      </c>
      <c r="CD11" s="2">
        <v>98.06</v>
      </c>
      <c r="CE11" s="2">
        <v>97.7</v>
      </c>
      <c r="CF11" s="2">
        <v>98.36</v>
      </c>
      <c r="CG11" s="2">
        <v>98.31999999999999</v>
      </c>
      <c r="CH11" s="2">
        <v>98.8</v>
      </c>
      <c r="CI11" s="2">
        <v>99.11</v>
      </c>
      <c r="CJ11" s="2">
        <v>99.56999999999999</v>
      </c>
      <c r="CK11" s="2">
        <v>98.81</v>
      </c>
      <c r="CL11" s="2">
        <v>100.77</v>
      </c>
      <c r="CM11" s="2">
        <v>101.1</v>
      </c>
      <c r="CN11" s="2">
        <v>100.4</v>
      </c>
      <c r="CO11" s="2">
        <v>101.15</v>
      </c>
      <c r="CP11" s="2">
        <v>100.85</v>
      </c>
      <c r="CQ11" s="2">
        <v>100.47</v>
      </c>
      <c r="CR11" s="2">
        <v>101.94</v>
      </c>
      <c r="CS11" s="2">
        <v>101.61</v>
      </c>
      <c r="CT11" s="2">
        <v>101.4</v>
      </c>
      <c r="CU11" s="2">
        <v>100.13</v>
      </c>
      <c r="CV11" s="2">
        <v>100.6</v>
      </c>
      <c r="CW11" s="2">
        <v>99.92</v>
      </c>
      <c r="CX11" s="2">
        <v>100.21</v>
      </c>
      <c r="CY11" s="2">
        <v>100.72</v>
      </c>
      <c r="CZ11" s="2">
        <v>100</v>
      </c>
      <c r="DA11" s="2">
        <v>100.06</v>
      </c>
      <c r="DB11" s="2">
        <v>100.06</v>
      </c>
      <c r="DC11" s="2">
        <v>100.65</v>
      </c>
      <c r="DD11" s="2">
        <v>100.77</v>
      </c>
      <c r="DE11" s="2">
        <v>100.95</v>
      </c>
      <c r="DF11" s="2">
        <v>101.56</v>
      </c>
      <c r="DG11" s="2">
        <v>101.14</v>
      </c>
      <c r="DH11" s="2">
        <v>101.62</v>
      </c>
      <c r="DI11" s="2">
        <v>101.96</v>
      </c>
      <c r="DJ11" s="2">
        <v>101.6</v>
      </c>
      <c r="DK11" s="2">
        <v>1.6</v>
      </c>
      <c r="DL11" s="2">
        <v>1.2</v>
      </c>
      <c r="DM11" s="2">
        <v>1.3</v>
      </c>
      <c r="DN11" s="2">
        <v>2.8</v>
      </c>
      <c r="DO11" s="2">
        <v>3.8</v>
      </c>
      <c r="DP11" s="2">
        <v>4.7</v>
      </c>
      <c r="DQ11" s="2">
        <v>4.3</v>
      </c>
      <c r="DR11" s="2">
        <v>3.8</v>
      </c>
      <c r="DS11" s="2">
        <v>5</v>
      </c>
      <c r="DT11" s="2">
        <v>5</v>
      </c>
      <c r="DU11" s="2">
        <v>4.1</v>
      </c>
      <c r="DV11" s="2">
        <v>6.1</v>
      </c>
      <c r="DW11" s="2">
        <v>5.2</v>
      </c>
      <c r="DX11" s="2">
        <v>4.3</v>
      </c>
      <c r="DY11" s="2">
        <v>3.6</v>
      </c>
      <c r="DZ11" s="2">
        <v>3.1</v>
      </c>
      <c r="EA11" s="2">
        <v>1.1</v>
      </c>
      <c r="EB11" s="2">
        <v>0.4</v>
      </c>
      <c r="EC11" s="2">
        <v>3</v>
      </c>
      <c r="ED11" s="2">
        <v>0.7</v>
      </c>
      <c r="EE11" s="2">
        <v>0</v>
      </c>
      <c r="EF11" s="2">
        <v>-0.6</v>
      </c>
      <c r="EG11" s="2">
        <v>0.6</v>
      </c>
      <c r="EH11" s="2">
        <v>-0.2</v>
      </c>
      <c r="EI11" s="2">
        <v>0.1</v>
      </c>
      <c r="EJ11" s="2">
        <v>-0.3</v>
      </c>
      <c r="EK11" s="2">
        <v>-0.1</v>
      </c>
      <c r="EL11" s="2">
        <v>1.2</v>
      </c>
      <c r="EM11" s="2">
        <v>1.1</v>
      </c>
      <c r="EN11" s="2">
        <v>1.1</v>
      </c>
      <c r="EO11" s="2">
        <v>-1</v>
      </c>
      <c r="EP11" s="2">
        <v>1.7</v>
      </c>
      <c r="EQ11" s="2">
        <v>1.1</v>
      </c>
      <c r="ER11" s="2">
        <v>1.2</v>
      </c>
      <c r="ES11" s="2">
        <v>-0.1</v>
      </c>
      <c r="ET11" s="2">
        <v>-0.8</v>
      </c>
      <c r="EU11" s="2">
        <v>0.1</v>
      </c>
      <c r="EV11" s="2">
        <v>0.5</v>
      </c>
      <c r="EW11" s="2">
        <v>-0.1</v>
      </c>
      <c r="EX11" s="2">
        <v>-1.3</v>
      </c>
      <c r="EY11" s="2">
        <v>1.1</v>
      </c>
      <c r="EZ11" s="2">
        <v>3.3</v>
      </c>
      <c r="FA11" s="2">
        <v>4</v>
      </c>
      <c r="FB11" s="2">
        <v>4.6</v>
      </c>
      <c r="FC11" s="2">
        <v>5.9</v>
      </c>
      <c r="FD11" s="2">
        <v>5</v>
      </c>
      <c r="FE11" s="2">
        <v>6.5</v>
      </c>
      <c r="FF11" s="2">
        <v>9.199999999999999</v>
      </c>
      <c r="FG11" s="2">
        <v>9.800000000000001</v>
      </c>
      <c r="FH11" s="2">
        <v>9.9</v>
      </c>
      <c r="FI11" s="2">
        <v>10.6</v>
      </c>
      <c r="FJ11" s="2">
        <v>11.1</v>
      </c>
      <c r="FK11" s="2">
        <v>8.4</v>
      </c>
      <c r="FL11" s="2">
        <v>6.7</v>
      </c>
      <c r="FM11" s="2">
        <v>7.2</v>
      </c>
      <c r="FN11" s="2">
        <v>7.5</v>
      </c>
      <c r="FO11" s="2">
        <v>8</v>
      </c>
      <c r="FP11" s="2">
        <v>8</v>
      </c>
      <c r="FQ11" s="2">
        <v>7.3</v>
      </c>
      <c r="FR11" s="2">
        <v>5.7</v>
      </c>
      <c r="FS11" s="2">
        <v>4.1</v>
      </c>
      <c r="FT11" s="2">
        <v>4.3</v>
      </c>
      <c r="FU11" s="2">
        <v>2.9</v>
      </c>
      <c r="FV11" s="2">
        <v>1.8</v>
      </c>
      <c r="FW11" s="2">
        <v>2.5</v>
      </c>
      <c r="FX11" s="2">
        <v>2</v>
      </c>
      <c r="FY11" s="2">
        <v>1.7</v>
      </c>
      <c r="FZ11" s="2">
        <v>1</v>
      </c>
      <c r="GA11" s="2">
        <v>0.4</v>
      </c>
      <c r="GB11" s="2">
        <v>0.4</v>
      </c>
      <c r="GC11" s="2">
        <v>1.4</v>
      </c>
      <c r="GD11" s="2">
        <v>1.1</v>
      </c>
      <c r="GE11" s="2">
        <v>0.7</v>
      </c>
      <c r="GF11" s="2">
        <v>2.2</v>
      </c>
      <c r="GG11" s="2">
        <v>2.8</v>
      </c>
      <c r="GH11" s="2">
        <v>2.8</v>
      </c>
      <c r="GI11" s="2">
        <v>3.6</v>
      </c>
      <c r="GJ11" s="2">
        <v>3.3</v>
      </c>
      <c r="GK11" s="2">
        <v>2.6</v>
      </c>
      <c r="GL11" s="2">
        <v>1</v>
      </c>
      <c r="GM11" s="2">
        <v>1</v>
      </c>
      <c r="GN11" s="2">
        <v>1.1</v>
      </c>
      <c r="GO11" s="2">
        <v>-0.6</v>
      </c>
      <c r="GP11" s="2">
        <v>-0.4</v>
      </c>
      <c r="GQ11" s="2">
        <v>-0.4</v>
      </c>
      <c r="GR11" s="2">
        <v>-1.1</v>
      </c>
      <c r="GS11" s="2">
        <v>-0.8</v>
      </c>
      <c r="GT11" s="2">
        <v>0.2</v>
      </c>
      <c r="GU11" s="2">
        <v>-1.1</v>
      </c>
      <c r="GV11" s="2">
        <v>-0.6</v>
      </c>
      <c r="GW11" s="2">
        <v>0.2</v>
      </c>
      <c r="GX11" s="2">
        <v>1</v>
      </c>
      <c r="GY11" s="2">
        <v>1</v>
      </c>
      <c r="GZ11" s="2">
        <v>2</v>
      </c>
      <c r="HA11" s="2">
        <v>1.4</v>
      </c>
      <c r="HB11" s="2">
        <v>0.3</v>
      </c>
      <c r="HC11" s="2">
        <v>0.7</v>
      </c>
      <c r="HD11" s="2">
        <v>-0.7</v>
      </c>
      <c r="HE11" s="2">
        <v>1</v>
      </c>
      <c r="HF11" s="2">
        <v>-0.1</v>
      </c>
      <c r="HG11" s="2">
        <v>-0.5</v>
      </c>
      <c r="HH11" s="2">
        <v>0.1</v>
      </c>
      <c r="HI11" s="2">
        <v>-0.5</v>
      </c>
      <c r="HJ11" s="2">
        <v>0.7</v>
      </c>
      <c r="HK11" s="2">
        <v>1.1</v>
      </c>
      <c r="HL11" s="2">
        <v>-0.7</v>
      </c>
      <c r="HM11" s="2">
        <v>0.2</v>
      </c>
      <c r="HN11" s="2">
        <v>0</v>
      </c>
      <c r="HO11" s="2">
        <v>0.8</v>
      </c>
      <c r="HP11" s="2">
        <v>0.8</v>
      </c>
      <c r="HQ11" s="2">
        <v>2</v>
      </c>
      <c r="HR11" s="2">
        <v>0.7</v>
      </c>
      <c r="HS11" s="2">
        <v>-0.8</v>
      </c>
      <c r="HT11" s="2">
        <v>-0.3</v>
      </c>
      <c r="HU11" s="2">
        <v>0.6</v>
      </c>
      <c r="HV11" s="2">
        <v>0.6</v>
      </c>
      <c r="HW11" s="2">
        <v>0.3</v>
      </c>
      <c r="HX11" s="2">
        <v>1.1</v>
      </c>
      <c r="HY11" s="2">
        <v>-0.6</v>
      </c>
      <c r="HZ11" s="2">
        <v>-0.9</v>
      </c>
      <c r="IA11" s="2">
        <v>0.1</v>
      </c>
      <c r="IB11" s="2">
        <v>0.3</v>
      </c>
      <c r="IC11" s="2">
        <v>0.1</v>
      </c>
      <c r="ID11" s="2">
        <v>-0.1</v>
      </c>
      <c r="IE11" s="2">
        <v>1.8</v>
      </c>
      <c r="IF11" s="2">
        <v>-2.5</v>
      </c>
      <c r="IG11" s="2">
        <v>-0.1</v>
      </c>
      <c r="IH11" s="2">
        <v>0</v>
      </c>
      <c r="II11" s="2">
        <v>1.5</v>
      </c>
      <c r="IJ11" s="2">
        <v>0.4</v>
      </c>
      <c r="IK11" s="2">
        <v>-0.3</v>
      </c>
      <c r="IL11" s="2">
        <v>-1.4</v>
      </c>
      <c r="IM11" s="2">
        <v>0.3</v>
      </c>
      <c r="IN11" s="2">
        <v>1.5</v>
      </c>
      <c r="IO11" s="2">
        <v>0</v>
      </c>
      <c r="IP11" s="2">
        <v>-0.1</v>
      </c>
      <c r="IQ11" s="2">
        <v>-0.4</v>
      </c>
      <c r="IR11" s="2">
        <v>0.2</v>
      </c>
      <c r="IS11" s="2">
        <v>-0.6</v>
      </c>
      <c r="IT11" s="2">
        <v>0</v>
      </c>
      <c r="IU11" s="2">
        <v>0.2</v>
      </c>
      <c r="IV11" s="2">
        <v>-0.3</v>
      </c>
      <c r="IW11" s="2">
        <v>0.6</v>
      </c>
      <c r="IX11" s="2">
        <v>-1</v>
      </c>
      <c r="IY11" s="2">
        <v>-0.3</v>
      </c>
      <c r="IZ11" s="2">
        <v>0.3</v>
      </c>
      <c r="JA11" s="2">
        <v>2.5</v>
      </c>
      <c r="JB11" s="2">
        <v>2.1</v>
      </c>
      <c r="JC11" s="2">
        <v>0.3</v>
      </c>
      <c r="JD11" s="2">
        <v>0.7</v>
      </c>
      <c r="JE11" s="2">
        <v>0.7</v>
      </c>
      <c r="JF11" s="2">
        <v>-0.8</v>
      </c>
      <c r="JG11" s="2">
        <v>1.6</v>
      </c>
      <c r="JH11" s="2">
        <v>2.2</v>
      </c>
      <c r="JI11" s="2">
        <v>1.2</v>
      </c>
      <c r="JJ11" s="2">
        <v>-0.9</v>
      </c>
      <c r="JK11" s="2">
        <v>0.4</v>
      </c>
      <c r="JL11" s="2">
        <v>0.7</v>
      </c>
      <c r="JM11" s="2">
        <v>0</v>
      </c>
      <c r="JN11" s="2">
        <v>0.5</v>
      </c>
      <c r="JO11" s="2">
        <v>0.8</v>
      </c>
      <c r="JP11" s="2">
        <v>1</v>
      </c>
      <c r="JQ11" s="2">
        <v>1.1</v>
      </c>
      <c r="JR11" s="2">
        <v>-0.8</v>
      </c>
      <c r="JS11" s="2">
        <v>0.9</v>
      </c>
      <c r="JT11" s="2">
        <v>0.6</v>
      </c>
      <c r="JU11" s="2">
        <v>-0.3</v>
      </c>
      <c r="JV11" s="2">
        <v>-0.7</v>
      </c>
      <c r="JW11" s="2">
        <v>-0.9</v>
      </c>
      <c r="JX11" s="2">
        <v>-0.4</v>
      </c>
      <c r="JY11" s="2">
        <v>0.7</v>
      </c>
      <c r="JZ11" s="2">
        <v>0</v>
      </c>
      <c r="KA11" s="2">
        <v>0.5</v>
      </c>
      <c r="KB11" s="2">
        <v>0.3</v>
      </c>
      <c r="KC11" s="2">
        <v>0.5</v>
      </c>
      <c r="KD11" s="2">
        <v>-0.8</v>
      </c>
      <c r="KE11" s="2">
        <v>2</v>
      </c>
      <c r="KF11" s="2">
        <v>0.3</v>
      </c>
      <c r="KG11" s="2">
        <v>-0.7</v>
      </c>
      <c r="KH11" s="2">
        <v>0.7</v>
      </c>
      <c r="KI11" s="2">
        <v>-0.3</v>
      </c>
      <c r="KJ11" s="2">
        <v>-0.4</v>
      </c>
      <c r="KK11" s="2">
        <v>1.5</v>
      </c>
      <c r="KL11" s="2">
        <v>-0.3</v>
      </c>
      <c r="KM11" s="2">
        <v>-0.2</v>
      </c>
      <c r="KN11" s="2">
        <v>-1.3</v>
      </c>
      <c r="KO11" s="2">
        <v>0.5</v>
      </c>
      <c r="KP11" s="2">
        <v>-0.7</v>
      </c>
      <c r="KQ11" s="2">
        <v>0.3</v>
      </c>
      <c r="KR11" s="2">
        <v>0.5</v>
      </c>
      <c r="KS11" s="2">
        <v>-0.7</v>
      </c>
      <c r="KT11" s="2">
        <v>0.1</v>
      </c>
      <c r="KU11" s="2">
        <v>0</v>
      </c>
      <c r="KV11" s="2">
        <v>0.6</v>
      </c>
      <c r="KW11" s="2">
        <v>0.1</v>
      </c>
      <c r="KX11" s="2">
        <v>0.2</v>
      </c>
      <c r="KY11" s="2">
        <v>0.6</v>
      </c>
      <c r="KZ11" s="2">
        <v>-0.4</v>
      </c>
      <c r="LA11" s="2">
        <v>0.5</v>
      </c>
      <c r="LB11" s="2">
        <v>0.3</v>
      </c>
      <c r="LC11" s="2">
        <v>-0.4</v>
      </c>
      <c r="LD11" s="2">
        <v>0.41</v>
      </c>
      <c r="LE11" s="2">
        <v>0.42</v>
      </c>
      <c r="LF11" s="2">
        <v>0.42</v>
      </c>
      <c r="LG11" s="2">
        <v>0.41</v>
      </c>
      <c r="LH11" s="2">
        <v>0.41</v>
      </c>
      <c r="LI11" s="2">
        <v>0.41</v>
      </c>
      <c r="LJ11" s="2">
        <v>0.41</v>
      </c>
      <c r="LK11" s="2">
        <v>0.41</v>
      </c>
      <c r="LL11" s="2">
        <v>0.41</v>
      </c>
      <c r="LM11" s="2">
        <v>0.41</v>
      </c>
      <c r="LN11" s="2">
        <v>0.41</v>
      </c>
      <c r="LO11" s="2">
        <v>0.41</v>
      </c>
      <c r="LP11" s="2">
        <v>0.41</v>
      </c>
      <c r="LQ11" s="2">
        <v>0.41</v>
      </c>
      <c r="LR11" s="2">
        <v>0.41</v>
      </c>
      <c r="LS11" s="2">
        <v>0.42</v>
      </c>
      <c r="LT11" s="2">
        <v>0.41</v>
      </c>
      <c r="LU11" s="2">
        <v>0.42</v>
      </c>
      <c r="LV11" s="2">
        <v>0.42</v>
      </c>
      <c r="LW11" s="2">
        <v>0.42</v>
      </c>
      <c r="LX11" s="2">
        <v>0.01</v>
      </c>
      <c r="LY11" s="2">
        <v>0</v>
      </c>
      <c r="LZ11" s="2">
        <v>-0.01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0.01</v>
      </c>
      <c r="MM11" s="2">
        <v>-0.01</v>
      </c>
      <c r="MN11" s="2">
        <v>0.01</v>
      </c>
      <c r="MO11" s="2">
        <v>0</v>
      </c>
      <c r="MP11" s="2">
        <v>0</v>
      </c>
      <c r="QI11" s="2">
        <v>25.66</v>
      </c>
      <c r="QJ11" s="2">
        <v>25.89</v>
      </c>
      <c r="QK11" s="2">
        <v>25.74</v>
      </c>
      <c r="QL11" s="2">
        <v>27.76</v>
      </c>
      <c r="QM11" s="2">
        <v>29.56</v>
      </c>
      <c r="QN11" s="2">
        <v>29.71</v>
      </c>
      <c r="QO11" s="2">
        <v>31.59</v>
      </c>
      <c r="QP11" s="2">
        <v>32.44</v>
      </c>
      <c r="QQ11" s="2">
        <v>32.91</v>
      </c>
      <c r="QR11" s="2">
        <v>32.44</v>
      </c>
      <c r="QS11" s="2">
        <v>32.05</v>
      </c>
      <c r="QT11" s="2">
        <v>34.39</v>
      </c>
      <c r="QU11" s="2">
        <v>35.41</v>
      </c>
      <c r="QV11" s="2">
        <v>35.41</v>
      </c>
      <c r="QW11" s="2">
        <v>37.04</v>
      </c>
      <c r="QX11" s="2">
        <v>37.12</v>
      </c>
      <c r="QY11" s="2">
        <v>36.58</v>
      </c>
      <c r="QZ11" s="2">
        <v>37.04</v>
      </c>
      <c r="RA11" s="2">
        <v>40.16</v>
      </c>
      <c r="RB11" s="2">
        <v>40.63</v>
      </c>
      <c r="RC11" s="2">
        <v>41.57</v>
      </c>
      <c r="RD11" s="2">
        <v>42.27</v>
      </c>
      <c r="RE11" s="2">
        <v>42.04</v>
      </c>
      <c r="RF11" s="2">
        <v>42.27</v>
      </c>
      <c r="RG11" s="2">
        <v>41.65</v>
      </c>
      <c r="RH11" s="2">
        <v>42.97</v>
      </c>
      <c r="RI11" s="2">
        <v>43.6</v>
      </c>
      <c r="RJ11" s="2">
        <v>44.3</v>
      </c>
      <c r="RK11" s="2">
        <v>46.17</v>
      </c>
      <c r="RL11" s="2">
        <v>45.7</v>
      </c>
      <c r="RM11" s="2">
        <v>46.17</v>
      </c>
      <c r="RN11" s="2">
        <v>48.59</v>
      </c>
      <c r="RO11" s="2">
        <v>47.34</v>
      </c>
      <c r="RP11" s="2">
        <v>50.93</v>
      </c>
      <c r="RQ11" s="2">
        <v>53.81</v>
      </c>
      <c r="RR11" s="2">
        <v>54.44</v>
      </c>
      <c r="RS11" s="2">
        <v>55.68</v>
      </c>
      <c r="RT11" s="2">
        <v>57.24</v>
      </c>
      <c r="RU11" s="2">
        <v>58.26</v>
      </c>
      <c r="RV11" s="2">
        <v>58.1</v>
      </c>
      <c r="RW11" s="2">
        <v>59.51</v>
      </c>
      <c r="RX11" s="2">
        <v>59.19</v>
      </c>
      <c r="RY11" s="2">
        <v>60.83</v>
      </c>
      <c r="RZ11" s="2">
        <v>60.52</v>
      </c>
      <c r="SA11" s="2">
        <v>64.5</v>
      </c>
      <c r="SB11" s="2">
        <v>61.3</v>
      </c>
      <c r="SC11" s="2">
        <v>61.69</v>
      </c>
      <c r="SD11" s="2">
        <v>59.58</v>
      </c>
      <c r="SE11" s="2">
        <v>60.36</v>
      </c>
      <c r="SF11" s="2">
        <v>62.08</v>
      </c>
      <c r="SG11" s="2">
        <v>64.18000000000001</v>
      </c>
      <c r="SH11" s="2">
        <v>64.11</v>
      </c>
      <c r="SI11" s="2">
        <v>63.25</v>
      </c>
      <c r="SJ11" s="2">
        <v>63.72</v>
      </c>
      <c r="SK11" s="2">
        <v>65.81999999999999</v>
      </c>
      <c r="SL11" s="2">
        <v>65.28</v>
      </c>
      <c r="SM11" s="2">
        <v>64.65000000000001</v>
      </c>
      <c r="SN11" s="2">
        <v>65.43000000000001</v>
      </c>
      <c r="SO11" s="2">
        <v>67.69</v>
      </c>
      <c r="SP11" s="2">
        <v>70.27</v>
      </c>
      <c r="SQ11" s="2">
        <v>68.16</v>
      </c>
      <c r="SR11" s="2">
        <v>68.47</v>
      </c>
      <c r="SS11" s="2">
        <v>68.08</v>
      </c>
      <c r="ST11" s="2">
        <v>71.52</v>
      </c>
      <c r="SU11" s="2">
        <v>70.34999999999999</v>
      </c>
      <c r="SV11" s="2">
        <v>73.39</v>
      </c>
      <c r="SW11" s="2">
        <v>75.02</v>
      </c>
      <c r="SX11" s="2">
        <v>77.91</v>
      </c>
      <c r="SY11" s="2">
        <v>76.66</v>
      </c>
      <c r="SZ11" s="2">
        <v>78.92</v>
      </c>
      <c r="TA11" s="2">
        <v>78.22</v>
      </c>
      <c r="TB11" s="2">
        <v>78.14</v>
      </c>
      <c r="TC11" s="2">
        <v>75.48999999999999</v>
      </c>
      <c r="TD11" s="2">
        <v>75.34</v>
      </c>
      <c r="TE11" s="2">
        <v>76.19</v>
      </c>
      <c r="TF11" s="2">
        <v>73.93000000000001</v>
      </c>
      <c r="TG11" s="2">
        <v>72.06</v>
      </c>
      <c r="TH11" s="2">
        <v>70.81</v>
      </c>
      <c r="TI11" s="2">
        <v>71.2</v>
      </c>
      <c r="TJ11" s="2">
        <v>69.8</v>
      </c>
      <c r="TK11" s="2">
        <v>68.70999999999999</v>
      </c>
      <c r="TL11" s="2">
        <v>68.86</v>
      </c>
      <c r="TM11" s="2">
        <v>68.55</v>
      </c>
      <c r="TN11" s="2">
        <v>69.41</v>
      </c>
      <c r="TO11" s="2">
        <v>68.63</v>
      </c>
      <c r="TP11" s="2">
        <v>67.23</v>
      </c>
      <c r="TQ11" s="2">
        <v>64.73</v>
      </c>
      <c r="TR11" s="2">
        <v>65.2</v>
      </c>
      <c r="TS11" s="2">
        <v>63.72</v>
      </c>
      <c r="TT11" s="2">
        <v>64.5</v>
      </c>
      <c r="TU11" s="2">
        <v>69.41</v>
      </c>
      <c r="TV11" s="2">
        <v>69.09999999999999</v>
      </c>
      <c r="TW11" s="2">
        <v>67.84999999999999</v>
      </c>
      <c r="TX11" s="2">
        <v>70.66</v>
      </c>
      <c r="TY11" s="2">
        <v>71.52</v>
      </c>
      <c r="TZ11" s="2">
        <v>72.84</v>
      </c>
      <c r="UA11" s="2">
        <v>74.17</v>
      </c>
      <c r="UB11" s="2">
        <v>75.48999999999999</v>
      </c>
      <c r="UC11" s="2">
        <v>76.27</v>
      </c>
      <c r="UD11" s="2">
        <v>74.40000000000001</v>
      </c>
      <c r="UE11" s="2">
        <v>76.19</v>
      </c>
      <c r="UF11" s="2">
        <v>75.02</v>
      </c>
      <c r="UG11" s="2">
        <v>75.09999999999999</v>
      </c>
      <c r="UH11" s="2">
        <v>74.01000000000001</v>
      </c>
      <c r="UI11" s="2">
        <v>73.23999999999999</v>
      </c>
      <c r="UJ11" s="2">
        <v>73.67</v>
      </c>
      <c r="UK11" s="2">
        <v>74.56999999999999</v>
      </c>
      <c r="UL11" s="2">
        <v>75.41</v>
      </c>
      <c r="UM11" s="2">
        <v>74.81999999999999</v>
      </c>
      <c r="UN11" s="2">
        <v>74.55</v>
      </c>
      <c r="UO11" s="2">
        <v>74.23999999999999</v>
      </c>
      <c r="UP11" s="2">
        <v>74.40000000000001</v>
      </c>
      <c r="UQ11" s="2">
        <v>71.19</v>
      </c>
      <c r="UR11" s="2">
        <v>71.97</v>
      </c>
      <c r="US11" s="2">
        <v>75.17</v>
      </c>
      <c r="UT11" s="2">
        <v>75.76000000000001</v>
      </c>
      <c r="UU11" s="2">
        <v>76.2</v>
      </c>
      <c r="UV11" s="2">
        <v>76.41</v>
      </c>
      <c r="UW11" s="2">
        <v>79.15000000000001</v>
      </c>
      <c r="UX11" s="2">
        <v>77.04000000000001</v>
      </c>
      <c r="UY11" s="2">
        <v>76.02</v>
      </c>
      <c r="UZ11" s="2">
        <v>75.26000000000001</v>
      </c>
      <c r="VA11" s="2">
        <v>76.69</v>
      </c>
      <c r="VB11" s="2">
        <v>76.55</v>
      </c>
      <c r="VC11" s="2">
        <v>76.98</v>
      </c>
      <c r="VD11" s="2">
        <v>80.81999999999999</v>
      </c>
      <c r="VE11" s="2">
        <v>82.56</v>
      </c>
      <c r="VF11" s="2">
        <v>81.31</v>
      </c>
      <c r="VG11" s="2">
        <v>81.20999999999999</v>
      </c>
      <c r="VH11" s="2">
        <v>80.88</v>
      </c>
      <c r="VI11" s="2">
        <v>80.59</v>
      </c>
      <c r="VJ11" s="2">
        <v>78.11</v>
      </c>
      <c r="VK11" s="2">
        <v>76.65000000000001</v>
      </c>
      <c r="VL11" s="2">
        <v>76.19</v>
      </c>
      <c r="VM11" s="2">
        <v>75.33</v>
      </c>
      <c r="VN11" s="2">
        <v>75.84999999999999</v>
      </c>
      <c r="VO11" s="2">
        <v>74.15000000000001</v>
      </c>
      <c r="VP11" s="2">
        <v>73.93000000000001</v>
      </c>
      <c r="VQ11" s="2">
        <v>75.5</v>
      </c>
      <c r="VR11" s="2">
        <v>75.98</v>
      </c>
      <c r="VS11" s="2">
        <v>77.13</v>
      </c>
      <c r="VT11" s="2">
        <v>80.34</v>
      </c>
      <c r="VU11" s="2">
        <v>84.26000000000001</v>
      </c>
      <c r="VV11" s="2">
        <v>84.29000000000001</v>
      </c>
      <c r="VW11" s="2">
        <v>83.75</v>
      </c>
      <c r="VX11" s="2">
        <v>84.14</v>
      </c>
      <c r="VY11" s="2">
        <v>84.52</v>
      </c>
      <c r="VZ11" s="2">
        <v>82.70999999999999</v>
      </c>
      <c r="WA11" s="2">
        <v>83.95</v>
      </c>
      <c r="WB11" s="2">
        <v>83.93000000000001</v>
      </c>
      <c r="WC11" s="2">
        <v>82.48</v>
      </c>
      <c r="WD11" s="2">
        <v>83.23</v>
      </c>
      <c r="WE11" s="2">
        <v>83.06</v>
      </c>
      <c r="WF11" s="2">
        <v>84.43000000000001</v>
      </c>
      <c r="WG11" s="2">
        <v>84.67</v>
      </c>
      <c r="WH11" s="2">
        <v>85.26000000000001</v>
      </c>
      <c r="WI11" s="2">
        <v>84.02</v>
      </c>
      <c r="WJ11" s="2">
        <v>81.45999999999999</v>
      </c>
      <c r="WK11" s="2">
        <v>78.91</v>
      </c>
      <c r="WL11" s="2">
        <v>79.20999999999999</v>
      </c>
      <c r="WM11" s="2">
        <v>80.52</v>
      </c>
      <c r="WN11" s="2">
        <v>85.33</v>
      </c>
      <c r="WO11" s="2">
        <v>85.45</v>
      </c>
      <c r="WP11" s="2">
        <v>85.20999999999999</v>
      </c>
      <c r="WQ11" s="2">
        <v>84.12</v>
      </c>
      <c r="WR11" s="2">
        <v>85.16</v>
      </c>
      <c r="WS11" s="2">
        <v>85.38</v>
      </c>
      <c r="WT11" s="2">
        <v>84.84999999999999</v>
      </c>
      <c r="WU11" s="2">
        <v>85.05</v>
      </c>
      <c r="WV11" s="2">
        <v>85.39</v>
      </c>
      <c r="WW11" s="2">
        <v>85.56</v>
      </c>
      <c r="WX11" s="2">
        <v>85.39</v>
      </c>
      <c r="WY11" s="2">
        <v>83.77</v>
      </c>
      <c r="WZ11" s="2">
        <v>82.26000000000001</v>
      </c>
      <c r="XA11" s="2">
        <v>83.09</v>
      </c>
      <c r="XB11" s="2">
        <v>81.17</v>
      </c>
      <c r="XC11" s="2">
        <v>80.91</v>
      </c>
      <c r="XD11" s="2">
        <v>81.31999999999999</v>
      </c>
      <c r="XE11" s="2">
        <v>82.11</v>
      </c>
      <c r="XF11" s="2">
        <v>81.26000000000001</v>
      </c>
      <c r="XG11" s="2">
        <v>81.12</v>
      </c>
      <c r="XH11" s="2">
        <v>82.17</v>
      </c>
      <c r="XI11" s="2">
        <v>82.56</v>
      </c>
      <c r="XJ11" s="2">
        <v>82.38</v>
      </c>
      <c r="XK11" s="2">
        <v>82.70999999999999</v>
      </c>
      <c r="XL11" s="2">
        <v>83.5</v>
      </c>
      <c r="XM11" s="2">
        <v>85.93000000000001</v>
      </c>
      <c r="XN11" s="2">
        <v>85.76000000000001</v>
      </c>
      <c r="XO11" s="2">
        <v>86.93000000000001</v>
      </c>
      <c r="XP11" s="2">
        <v>86.16</v>
      </c>
      <c r="XQ11" s="2">
        <v>86.93000000000001</v>
      </c>
      <c r="XR11" s="2">
        <v>85.84999999999999</v>
      </c>
      <c r="XS11" s="2">
        <v>87.22</v>
      </c>
      <c r="XT11" s="2">
        <v>86.13</v>
      </c>
      <c r="XU11" s="2">
        <v>86.76000000000001</v>
      </c>
      <c r="XV11" s="2">
        <v>86.34</v>
      </c>
      <c r="XW11" s="2">
        <v>86.92</v>
      </c>
      <c r="XX11" s="2">
        <v>85.44</v>
      </c>
      <c r="XY11" s="2">
        <v>89.98999999999999</v>
      </c>
      <c r="XZ11" s="2">
        <v>91.39</v>
      </c>
      <c r="YA11" s="2">
        <v>94.33</v>
      </c>
      <c r="YB11" s="2">
        <v>95.42</v>
      </c>
      <c r="YC11" s="2">
        <v>96.52</v>
      </c>
      <c r="YD11" s="2">
        <v>98.61</v>
      </c>
      <c r="YE11" s="2">
        <v>99.7</v>
      </c>
      <c r="YF11" s="2">
        <v>98.26000000000001</v>
      </c>
      <c r="YG11" s="2">
        <v>98.5</v>
      </c>
      <c r="YH11" s="2">
        <v>99.17</v>
      </c>
      <c r="YI11" s="2">
        <v>100.76</v>
      </c>
      <c r="YJ11" s="2">
        <v>100.82</v>
      </c>
      <c r="YK11" s="2">
        <v>101.65</v>
      </c>
      <c r="YL11" s="2">
        <v>100.22</v>
      </c>
      <c r="YM11" s="2">
        <v>100.31</v>
      </c>
      <c r="YN11" s="2">
        <v>100.25</v>
      </c>
      <c r="YO11" s="2">
        <v>101.09</v>
      </c>
      <c r="YP11" s="2">
        <v>101.57</v>
      </c>
      <c r="ACI11" s="2">
        <v>0.9</v>
      </c>
      <c r="ACJ11" s="2">
        <v>-0.6</v>
      </c>
      <c r="ACK11" s="2">
        <v>7.8</v>
      </c>
      <c r="ACL11" s="2">
        <v>6.5</v>
      </c>
      <c r="ACM11" s="2">
        <v>0.5</v>
      </c>
      <c r="ACN11" s="2">
        <v>6.3</v>
      </c>
      <c r="ACO11" s="2">
        <v>2.7</v>
      </c>
      <c r="ACP11" s="2">
        <v>1.4</v>
      </c>
      <c r="ACQ11" s="2">
        <v>-1.4</v>
      </c>
      <c r="ACR11" s="2">
        <v>-1.2</v>
      </c>
      <c r="ACS11" s="2">
        <v>7.3</v>
      </c>
      <c r="ACT11" s="2">
        <v>3</v>
      </c>
      <c r="ACU11" s="2">
        <v>0</v>
      </c>
      <c r="ACV11" s="2">
        <v>4.6</v>
      </c>
      <c r="ACW11" s="2">
        <v>0.2</v>
      </c>
      <c r="ACX11" s="2">
        <v>-1.5</v>
      </c>
      <c r="ACY11" s="2">
        <v>1.3</v>
      </c>
      <c r="ACZ11" s="2">
        <v>8.4</v>
      </c>
      <c r="ADA11" s="2">
        <v>1.2</v>
      </c>
      <c r="ADB11" s="2">
        <v>2.3</v>
      </c>
      <c r="ADC11" s="2">
        <v>1.7</v>
      </c>
      <c r="ADD11" s="2">
        <v>-0.5</v>
      </c>
      <c r="ADE11" s="2">
        <v>0.5</v>
      </c>
      <c r="ADF11" s="2">
        <v>-1.5</v>
      </c>
      <c r="ADG11" s="2">
        <v>3.2</v>
      </c>
      <c r="ADH11" s="2">
        <v>1.5</v>
      </c>
      <c r="ADI11" s="2">
        <v>1.6</v>
      </c>
      <c r="ADJ11" s="2">
        <v>4.2</v>
      </c>
      <c r="ADK11" s="2">
        <v>-1</v>
      </c>
      <c r="ADL11" s="2">
        <v>1</v>
      </c>
      <c r="ADM11" s="2">
        <v>5.2</v>
      </c>
      <c r="ADN11" s="2">
        <v>-2.6</v>
      </c>
      <c r="ADO11" s="2">
        <v>7.6</v>
      </c>
      <c r="ADP11" s="2">
        <v>5.7</v>
      </c>
      <c r="ADQ11" s="2">
        <v>1.2</v>
      </c>
      <c r="ADR11" s="2">
        <v>2.3</v>
      </c>
      <c r="ADS11" s="2">
        <v>2.8</v>
      </c>
      <c r="ADT11" s="2">
        <v>1.8</v>
      </c>
      <c r="ADU11" s="2">
        <v>-0.3</v>
      </c>
      <c r="ADV11" s="2">
        <v>2.4</v>
      </c>
      <c r="ADW11" s="2">
        <v>-0.5</v>
      </c>
      <c r="ADX11" s="2">
        <v>2.8</v>
      </c>
      <c r="ADY11" s="2">
        <v>-0.5</v>
      </c>
      <c r="ADZ11" s="2">
        <v>6.6</v>
      </c>
      <c r="AEA11" s="2">
        <v>-5</v>
      </c>
      <c r="AEB11" s="2">
        <v>0.6</v>
      </c>
      <c r="AEC11" s="2">
        <v>-3.4</v>
      </c>
      <c r="AED11" s="2">
        <v>1.3</v>
      </c>
      <c r="AEE11" s="2">
        <v>2.8</v>
      </c>
      <c r="AEF11" s="2">
        <v>3.4</v>
      </c>
      <c r="AEG11" s="2">
        <v>-0.1</v>
      </c>
      <c r="AEH11" s="2">
        <v>-1.3</v>
      </c>
      <c r="AEI11" s="2">
        <v>0.7</v>
      </c>
      <c r="AEJ11" s="2">
        <v>3.3</v>
      </c>
      <c r="AEK11" s="2">
        <v>-0.8</v>
      </c>
      <c r="AEL11" s="2">
        <v>-1</v>
      </c>
      <c r="AEM11" s="2">
        <v>1.2</v>
      </c>
      <c r="AEN11" s="2">
        <v>3.5</v>
      </c>
      <c r="AEO11" s="2">
        <v>3.8</v>
      </c>
      <c r="AEP11" s="2">
        <v>-3</v>
      </c>
      <c r="AEQ11" s="2">
        <v>0.5</v>
      </c>
      <c r="AER11" s="2">
        <v>-0.6</v>
      </c>
      <c r="AES11" s="2">
        <v>5.1</v>
      </c>
      <c r="AET11" s="2">
        <v>-1.6</v>
      </c>
      <c r="AEU11" s="2">
        <v>4.3</v>
      </c>
      <c r="AEV11" s="2">
        <v>2.2</v>
      </c>
      <c r="AEW11" s="2">
        <v>3.9</v>
      </c>
      <c r="AEX11" s="2">
        <v>-1.6</v>
      </c>
      <c r="AEY11" s="2">
        <v>2.9</v>
      </c>
      <c r="AEZ11" s="2">
        <v>-0.9</v>
      </c>
      <c r="AFA11" s="2">
        <v>-0.1</v>
      </c>
      <c r="AFB11" s="2">
        <v>-3.4</v>
      </c>
      <c r="AFC11" s="2">
        <v>-0.2</v>
      </c>
      <c r="AFD11" s="2">
        <v>1.1</v>
      </c>
      <c r="AFE11" s="2">
        <v>-3</v>
      </c>
      <c r="AFF11" s="2">
        <v>-2.5</v>
      </c>
      <c r="AFG11" s="2">
        <v>-1.7</v>
      </c>
      <c r="AFH11" s="2">
        <v>0.6</v>
      </c>
      <c r="AFI11" s="2">
        <v>-2</v>
      </c>
      <c r="AFJ11" s="2">
        <v>-1.6</v>
      </c>
      <c r="AFK11" s="2">
        <v>0.2</v>
      </c>
      <c r="AFL11" s="2">
        <v>-0.5</v>
      </c>
      <c r="AFM11" s="2">
        <v>1.3</v>
      </c>
      <c r="AFN11" s="2">
        <v>-1.1</v>
      </c>
      <c r="AFO11" s="2">
        <v>-2</v>
      </c>
      <c r="AFP11" s="2">
        <v>-3.7</v>
      </c>
      <c r="AFQ11" s="2">
        <v>0.7</v>
      </c>
      <c r="AFR11" s="2">
        <v>-2.3</v>
      </c>
      <c r="AFS11" s="2">
        <v>1.2</v>
      </c>
      <c r="AFT11" s="2">
        <v>7.6</v>
      </c>
      <c r="AFU11" s="2">
        <v>-0.4</v>
      </c>
      <c r="AFV11" s="2">
        <v>-1.8</v>
      </c>
      <c r="AFW11" s="2">
        <v>4.1</v>
      </c>
      <c r="AFX11" s="2">
        <v>1.2</v>
      </c>
      <c r="AFY11" s="2">
        <v>1.8</v>
      </c>
      <c r="AFZ11" s="2">
        <v>1.8</v>
      </c>
      <c r="AGA11" s="2">
        <v>1.8</v>
      </c>
      <c r="AGB11" s="2">
        <v>1</v>
      </c>
      <c r="AGC11" s="2">
        <v>-2.5</v>
      </c>
      <c r="AGD11" s="2">
        <v>2.4</v>
      </c>
      <c r="AGE11" s="2">
        <v>-1.5</v>
      </c>
      <c r="AGF11" s="2">
        <v>0.1</v>
      </c>
      <c r="AGG11" s="2">
        <v>-1.5</v>
      </c>
      <c r="AGH11" s="2">
        <v>-1</v>
      </c>
      <c r="AGI11" s="2">
        <v>0.6</v>
      </c>
      <c r="AGJ11" s="2">
        <v>1.2</v>
      </c>
      <c r="AGK11" s="2">
        <v>1.1</v>
      </c>
      <c r="AGL11" s="2">
        <v>-0.8</v>
      </c>
      <c r="AGM11" s="2">
        <v>-0.4</v>
      </c>
      <c r="AGN11" s="2">
        <v>-0.4</v>
      </c>
      <c r="AGO11" s="2">
        <v>0.2</v>
      </c>
      <c r="AGP11" s="2">
        <v>-4.3</v>
      </c>
      <c r="AGQ11" s="2">
        <v>1.1</v>
      </c>
      <c r="AGR11" s="2">
        <v>4.4</v>
      </c>
      <c r="AGS11" s="2">
        <v>0.8</v>
      </c>
      <c r="AGT11" s="2">
        <v>0.6</v>
      </c>
      <c r="AGU11" s="2">
        <v>0.3</v>
      </c>
      <c r="AGV11" s="2">
        <v>3.6</v>
      </c>
      <c r="AGW11" s="2">
        <v>-2.7</v>
      </c>
      <c r="AGX11" s="2">
        <v>-1.3</v>
      </c>
      <c r="AGY11" s="2">
        <v>-1</v>
      </c>
      <c r="AGZ11" s="2">
        <v>1.9</v>
      </c>
      <c r="AHA11" s="2">
        <v>-0.2</v>
      </c>
      <c r="AHB11" s="2">
        <v>0.6</v>
      </c>
      <c r="AHC11" s="2">
        <v>5</v>
      </c>
      <c r="AHD11" s="2">
        <v>2.2</v>
      </c>
      <c r="AHE11" s="2">
        <v>-1.5</v>
      </c>
      <c r="AHF11" s="2">
        <v>-0.1</v>
      </c>
      <c r="AHG11" s="2">
        <v>-0.4</v>
      </c>
      <c r="AHH11" s="2">
        <v>-0.4</v>
      </c>
      <c r="AHI11" s="2">
        <v>-3.1</v>
      </c>
      <c r="AHJ11" s="2">
        <v>-1.9</v>
      </c>
      <c r="AHK11" s="2">
        <v>-0.6</v>
      </c>
      <c r="AHL11" s="2">
        <v>-1.1</v>
      </c>
      <c r="AHM11" s="2">
        <v>0.7</v>
      </c>
      <c r="AHN11" s="2">
        <v>-2.2</v>
      </c>
      <c r="AHO11" s="2">
        <v>-0.3</v>
      </c>
      <c r="AHP11" s="2">
        <v>2.1</v>
      </c>
      <c r="AHQ11" s="2">
        <v>0.6</v>
      </c>
      <c r="AHR11" s="2">
        <v>1.5</v>
      </c>
      <c r="AHS11" s="2">
        <v>4.2</v>
      </c>
      <c r="AHT11" s="2">
        <v>4.9</v>
      </c>
      <c r="AHU11" s="2">
        <v>0</v>
      </c>
      <c r="AHV11" s="2">
        <v>-0.6</v>
      </c>
      <c r="AHW11" s="2">
        <v>0.5</v>
      </c>
      <c r="AHX11" s="2">
        <v>0.5</v>
      </c>
      <c r="AHY11" s="2">
        <v>-2.1</v>
      </c>
      <c r="AHZ11" s="2">
        <v>1.5</v>
      </c>
      <c r="AIA11" s="2">
        <v>0</v>
      </c>
      <c r="AIB11" s="2">
        <v>-1.7</v>
      </c>
      <c r="AIC11" s="2">
        <v>0.9</v>
      </c>
      <c r="AID11" s="2">
        <v>-0.2</v>
      </c>
      <c r="AIE11" s="2">
        <v>1.6</v>
      </c>
      <c r="AIF11" s="2">
        <v>0.3</v>
      </c>
      <c r="AIG11" s="2">
        <v>0.7</v>
      </c>
      <c r="AIH11" s="2">
        <v>-1.5</v>
      </c>
      <c r="AII11" s="2">
        <v>-3</v>
      </c>
      <c r="AIJ11" s="2">
        <v>-3.1</v>
      </c>
      <c r="AIK11" s="2">
        <v>0.4</v>
      </c>
      <c r="AIL11" s="2">
        <v>1.7</v>
      </c>
      <c r="AIM11" s="2">
        <v>6</v>
      </c>
      <c r="AIN11" s="2">
        <v>0.1</v>
      </c>
      <c r="AIO11" s="2">
        <v>-0.3</v>
      </c>
      <c r="AIP11" s="2">
        <v>-1.3</v>
      </c>
      <c r="AIQ11" s="2">
        <v>1.2</v>
      </c>
      <c r="AIR11" s="2">
        <v>0.3</v>
      </c>
      <c r="AIS11" s="2">
        <v>-0.6</v>
      </c>
      <c r="AIT11" s="2">
        <v>0.2</v>
      </c>
      <c r="AIU11" s="2">
        <v>0.4</v>
      </c>
      <c r="AIV11" s="2">
        <v>0.2</v>
      </c>
      <c r="AIW11" s="2">
        <v>-0.2</v>
      </c>
      <c r="AIX11" s="2">
        <v>-1.9</v>
      </c>
      <c r="AIY11" s="2">
        <v>-1.8</v>
      </c>
      <c r="AIZ11" s="2">
        <v>1</v>
      </c>
      <c r="AJA11" s="2">
        <v>-2.3</v>
      </c>
      <c r="AJB11" s="2">
        <v>-0.3</v>
      </c>
      <c r="AJC11" s="2">
        <v>0.5</v>
      </c>
      <c r="AJD11" s="2">
        <v>1</v>
      </c>
      <c r="AJE11" s="2">
        <v>-1</v>
      </c>
      <c r="AJF11" s="2">
        <v>-0.2</v>
      </c>
      <c r="AJG11" s="2">
        <v>1.3</v>
      </c>
      <c r="AJH11" s="2">
        <v>0.5</v>
      </c>
      <c r="AJI11" s="2">
        <v>-0.2</v>
      </c>
      <c r="AJJ11" s="2">
        <v>0.4</v>
      </c>
      <c r="AJK11" s="2">
        <v>1</v>
      </c>
      <c r="AJL11" s="2">
        <v>2.9</v>
      </c>
      <c r="AJM11" s="2">
        <v>-0.2</v>
      </c>
      <c r="AJN11" s="2">
        <v>1.4</v>
      </c>
      <c r="AJO11" s="2">
        <v>-0.9</v>
      </c>
      <c r="AJP11" s="2">
        <v>0.9</v>
      </c>
      <c r="AJQ11" s="2">
        <v>-1.2</v>
      </c>
      <c r="AJR11" s="2">
        <v>1.6</v>
      </c>
      <c r="AJS11" s="2">
        <v>-1.2</v>
      </c>
      <c r="AJT11" s="2">
        <v>0.7</v>
      </c>
      <c r="AJU11" s="2">
        <v>-0.5</v>
      </c>
      <c r="AJV11" s="2">
        <v>0.7</v>
      </c>
      <c r="AJW11" s="2">
        <v>-1.7</v>
      </c>
      <c r="AJX11" s="2">
        <v>5.3</v>
      </c>
      <c r="AJY11" s="2">
        <v>1.6</v>
      </c>
      <c r="AJZ11" s="2">
        <v>3.2</v>
      </c>
      <c r="AKA11" s="2">
        <v>1.2</v>
      </c>
      <c r="AKB11" s="2">
        <v>1.2</v>
      </c>
      <c r="AKC11" s="2">
        <v>2.2</v>
      </c>
      <c r="AKD11" s="2">
        <v>1.1</v>
      </c>
      <c r="AKE11" s="2">
        <v>-1.4</v>
      </c>
      <c r="AKF11" s="2">
        <v>0.2</v>
      </c>
      <c r="AKG11" s="2">
        <v>0.7</v>
      </c>
      <c r="AKH11" s="2">
        <v>1.6</v>
      </c>
      <c r="AKI11" s="2">
        <v>0.1</v>
      </c>
      <c r="AKJ11" s="2">
        <v>0.8</v>
      </c>
      <c r="AKK11" s="2">
        <v>-1.4</v>
      </c>
      <c r="AKL11" s="2">
        <v>0.1</v>
      </c>
      <c r="AKM11" s="2">
        <v>-0.1</v>
      </c>
      <c r="AKN11" s="2">
        <v>0.8</v>
      </c>
      <c r="AKO11" s="2">
        <v>0.5</v>
      </c>
      <c r="AKP11" s="2">
        <v>0.41</v>
      </c>
      <c r="AKQ11" s="2">
        <v>0.41</v>
      </c>
      <c r="AKR11" s="2">
        <v>0.42</v>
      </c>
    </row>
    <row r="12">
      <c r="A12" t="inlineStr">
        <is>
          <t>Other meats</t>
        </is>
      </c>
      <c r="B12" t="inlineStr">
        <is>
          <t>Meat and seafoods</t>
        </is>
      </c>
      <c r="C12">
        <v>3</v>
      </c>
      <c r="D12">
        <v>0.4</v>
      </c>
      <c r="E12" s="3">
        <f>D12/2.13*0.021287765651924178</f>
        <v>0.003997702469844916</v>
      </c>
      <c r="F12" s="3">
        <f>E12-D12/100</f>
        <v>-2.2975301550839586e-06</v>
      </c>
      <c r="G12" s="3">
        <f>D12/2.13</f>
        <v>0.18779342723004697</v>
      </c>
      <c r="H12" s="2">
        <v>77.63</v>
      </c>
      <c r="I12" s="2">
        <v>77.43000000000001</v>
      </c>
      <c r="J12" s="2">
        <v>78.26000000000001</v>
      </c>
      <c r="K12" s="2">
        <v>77.83</v>
      </c>
      <c r="L12" s="2">
        <v>77.42</v>
      </c>
      <c r="M12" s="2">
        <v>77.34999999999999</v>
      </c>
      <c r="N12" s="2">
        <v>77.81999999999999</v>
      </c>
      <c r="O12" s="2">
        <v>77.79000000000001</v>
      </c>
      <c r="P12" s="2">
        <v>78.44</v>
      </c>
      <c r="Q12" s="2">
        <v>77.55</v>
      </c>
      <c r="R12" s="2">
        <v>76.98</v>
      </c>
      <c r="S12" s="2">
        <v>77.59999999999999</v>
      </c>
      <c r="T12" s="2">
        <v>77.41</v>
      </c>
      <c r="U12" s="2">
        <v>77.34999999999999</v>
      </c>
      <c r="V12" s="2">
        <v>78.06</v>
      </c>
      <c r="W12" s="2">
        <v>77.75</v>
      </c>
      <c r="X12" s="2">
        <v>78.01000000000001</v>
      </c>
      <c r="Y12" s="2">
        <v>78.73</v>
      </c>
      <c r="Z12" s="2">
        <v>78.23</v>
      </c>
      <c r="AA12" s="2">
        <v>78.17</v>
      </c>
      <c r="AB12" s="2">
        <v>78.92</v>
      </c>
      <c r="AC12" s="2">
        <v>78.86</v>
      </c>
      <c r="AD12" s="2">
        <v>79.04000000000001</v>
      </c>
      <c r="AE12" s="2">
        <v>80.23</v>
      </c>
      <c r="AF12" s="2">
        <v>81.53</v>
      </c>
      <c r="AG12" s="2">
        <v>82.68000000000001</v>
      </c>
      <c r="AH12" s="2">
        <v>82.73999999999999</v>
      </c>
      <c r="AI12" s="2">
        <v>83.66</v>
      </c>
      <c r="AJ12" s="2">
        <v>83.8</v>
      </c>
      <c r="AK12" s="2">
        <v>83.73</v>
      </c>
      <c r="AL12" s="2">
        <v>86.94</v>
      </c>
      <c r="AM12" s="2">
        <v>87.08</v>
      </c>
      <c r="AN12" s="2">
        <v>86.45999999999999</v>
      </c>
      <c r="AO12" s="2">
        <v>87.02</v>
      </c>
      <c r="AP12" s="2">
        <v>87.59</v>
      </c>
      <c r="AQ12" s="2">
        <v>88.54000000000001</v>
      </c>
      <c r="AR12" s="2">
        <v>88.3</v>
      </c>
      <c r="AS12" s="2">
        <v>87.45</v>
      </c>
      <c r="AT12" s="2">
        <v>88.13</v>
      </c>
      <c r="AU12" s="2">
        <v>88.25</v>
      </c>
      <c r="AV12" s="2">
        <v>88.17</v>
      </c>
      <c r="AW12" s="2">
        <v>87.08</v>
      </c>
      <c r="AX12" s="2">
        <v>88.54000000000001</v>
      </c>
      <c r="AY12" s="2">
        <v>89.23999999999999</v>
      </c>
      <c r="AZ12" s="2">
        <v>89.68000000000001</v>
      </c>
      <c r="BA12" s="2">
        <v>89.03</v>
      </c>
      <c r="BB12" s="2">
        <v>89.14</v>
      </c>
      <c r="BC12" s="2">
        <v>90.14</v>
      </c>
      <c r="BD12" s="2">
        <v>89.58</v>
      </c>
      <c r="BE12" s="2">
        <v>89.23999999999999</v>
      </c>
      <c r="BF12" s="2">
        <v>90.36</v>
      </c>
      <c r="BG12" s="2">
        <v>90.33</v>
      </c>
      <c r="BH12" s="2">
        <v>92.93000000000001</v>
      </c>
      <c r="BI12" s="2">
        <v>95</v>
      </c>
      <c r="BJ12" s="2">
        <v>94.53</v>
      </c>
      <c r="BK12" s="2">
        <v>94.39</v>
      </c>
      <c r="BL12" s="2">
        <v>95.23</v>
      </c>
      <c r="BM12" s="2">
        <v>96.40000000000001</v>
      </c>
      <c r="BN12" s="2">
        <v>96.95</v>
      </c>
      <c r="BO12" s="2">
        <v>97.59999999999999</v>
      </c>
      <c r="BP12" s="2">
        <v>97.77</v>
      </c>
      <c r="BQ12" s="2">
        <v>97.64</v>
      </c>
      <c r="BR12" s="2">
        <v>98.76000000000001</v>
      </c>
      <c r="BS12" s="2">
        <v>100.19</v>
      </c>
      <c r="BT12" s="2">
        <v>99.94</v>
      </c>
      <c r="BU12" s="2">
        <v>100.36</v>
      </c>
      <c r="BV12" s="2">
        <v>100.67</v>
      </c>
      <c r="BW12" s="2">
        <v>100.04</v>
      </c>
      <c r="BX12" s="2">
        <v>100.52</v>
      </c>
      <c r="BY12" s="2">
        <v>99.83</v>
      </c>
      <c r="BZ12" s="2">
        <v>100.74</v>
      </c>
      <c r="CA12" s="2">
        <v>101.7</v>
      </c>
      <c r="CB12" s="2">
        <v>100.92</v>
      </c>
      <c r="CC12" s="2">
        <v>102.05</v>
      </c>
      <c r="CD12" s="2">
        <v>101.78</v>
      </c>
      <c r="CE12" s="2">
        <v>98.62</v>
      </c>
      <c r="CF12" s="2">
        <v>97.81</v>
      </c>
      <c r="CG12" s="2">
        <v>99.34</v>
      </c>
      <c r="CH12" s="2">
        <v>101.48</v>
      </c>
      <c r="CI12" s="2">
        <v>100.67</v>
      </c>
      <c r="CJ12" s="2">
        <v>100.33</v>
      </c>
      <c r="CK12" s="2">
        <v>99.8</v>
      </c>
      <c r="CL12" s="2">
        <v>99.90000000000001</v>
      </c>
      <c r="CM12" s="2">
        <v>99.23</v>
      </c>
      <c r="CN12" s="2">
        <v>98.81</v>
      </c>
      <c r="CO12" s="2">
        <v>100.18</v>
      </c>
      <c r="CP12" s="2">
        <v>100.42</v>
      </c>
      <c r="CQ12" s="2">
        <v>101.34</v>
      </c>
      <c r="CR12" s="2">
        <v>100.99</v>
      </c>
      <c r="CS12" s="2">
        <v>102.01</v>
      </c>
      <c r="CT12" s="2">
        <v>102.34</v>
      </c>
      <c r="CU12" s="2">
        <v>101.66</v>
      </c>
      <c r="CV12" s="2">
        <v>101.77</v>
      </c>
      <c r="CW12" s="2">
        <v>101.26</v>
      </c>
      <c r="CX12" s="2">
        <v>100.88</v>
      </c>
      <c r="CY12" s="2">
        <v>101.37</v>
      </c>
      <c r="CZ12" s="2">
        <v>100</v>
      </c>
      <c r="DA12" s="2">
        <v>101.1</v>
      </c>
      <c r="DB12" s="2">
        <v>101.97</v>
      </c>
      <c r="DC12" s="2">
        <v>103.5</v>
      </c>
      <c r="DD12" s="2">
        <v>102.91</v>
      </c>
      <c r="DE12" s="2">
        <v>102.89</v>
      </c>
      <c r="DF12" s="2">
        <v>104</v>
      </c>
      <c r="DG12" s="2">
        <v>103.4</v>
      </c>
      <c r="DH12" s="2">
        <v>104.17</v>
      </c>
      <c r="DI12" s="2">
        <v>104.03</v>
      </c>
      <c r="DJ12" s="2">
        <v>104.12</v>
      </c>
      <c r="DK12" s="2">
        <v>-0.3</v>
      </c>
      <c r="DL12" s="2">
        <v>-0.1</v>
      </c>
      <c r="DM12" s="2">
        <v>-0.3</v>
      </c>
      <c r="DN12" s="2">
        <v>-0.1</v>
      </c>
      <c r="DO12" s="2">
        <v>0.8</v>
      </c>
      <c r="DP12" s="2">
        <v>1.8</v>
      </c>
      <c r="DQ12" s="2">
        <v>0.5</v>
      </c>
      <c r="DR12" s="2">
        <v>0.5</v>
      </c>
      <c r="DS12" s="2">
        <v>0.6</v>
      </c>
      <c r="DT12" s="2">
        <v>1.7</v>
      </c>
      <c r="DU12" s="2">
        <v>2.7</v>
      </c>
      <c r="DV12" s="2">
        <v>3.4</v>
      </c>
      <c r="DW12" s="2">
        <v>5.3</v>
      </c>
      <c r="DX12" s="2">
        <v>6.9</v>
      </c>
      <c r="DY12" s="2">
        <v>6</v>
      </c>
      <c r="DZ12" s="2">
        <v>7.6</v>
      </c>
      <c r="EA12" s="2">
        <v>7.4</v>
      </c>
      <c r="EB12" s="2">
        <v>6.4</v>
      </c>
      <c r="EC12" s="2">
        <v>11.1</v>
      </c>
      <c r="ED12" s="2">
        <v>11.4</v>
      </c>
      <c r="EE12" s="2">
        <v>9.6</v>
      </c>
      <c r="EF12" s="2">
        <v>10.3</v>
      </c>
      <c r="EG12" s="2">
        <v>10.8</v>
      </c>
      <c r="EH12" s="2">
        <v>10.4</v>
      </c>
      <c r="EI12" s="2">
        <v>8.300000000000001</v>
      </c>
      <c r="EJ12" s="2">
        <v>5.8</v>
      </c>
      <c r="EK12" s="2">
        <v>6.5</v>
      </c>
      <c r="EL12" s="2">
        <v>5.5</v>
      </c>
      <c r="EM12" s="2">
        <v>5.2</v>
      </c>
      <c r="EN12" s="2">
        <v>4</v>
      </c>
      <c r="EO12" s="2">
        <v>1.8</v>
      </c>
      <c r="EP12" s="2">
        <v>2.5</v>
      </c>
      <c r="EQ12" s="2">
        <v>3.7</v>
      </c>
      <c r="ER12" s="2">
        <v>2.3</v>
      </c>
      <c r="ES12" s="2">
        <v>1.8</v>
      </c>
      <c r="ET12" s="2">
        <v>1.8</v>
      </c>
      <c r="EU12" s="2">
        <v>1.4</v>
      </c>
      <c r="EV12" s="2">
        <v>2</v>
      </c>
      <c r="EW12" s="2">
        <v>2.5</v>
      </c>
      <c r="EX12" s="2">
        <v>2.4</v>
      </c>
      <c r="EY12" s="2">
        <v>5.4</v>
      </c>
      <c r="EZ12" s="2">
        <v>9.1</v>
      </c>
      <c r="FA12" s="2">
        <v>6.8</v>
      </c>
      <c r="FB12" s="2">
        <v>5.8</v>
      </c>
      <c r="FC12" s="2">
        <v>6.2</v>
      </c>
      <c r="FD12" s="2">
        <v>8.300000000000001</v>
      </c>
      <c r="FE12" s="2">
        <v>8.800000000000001</v>
      </c>
      <c r="FF12" s="2">
        <v>8.300000000000001</v>
      </c>
      <c r="FG12" s="2">
        <v>9.1</v>
      </c>
      <c r="FH12" s="2">
        <v>9.4</v>
      </c>
      <c r="FI12" s="2">
        <v>9.300000000000001</v>
      </c>
      <c r="FJ12" s="2">
        <v>10.9</v>
      </c>
      <c r="FK12" s="2">
        <v>7.5</v>
      </c>
      <c r="FL12" s="2">
        <v>5.6</v>
      </c>
      <c r="FM12" s="2">
        <v>6.5</v>
      </c>
      <c r="FN12" s="2">
        <v>6</v>
      </c>
      <c r="FO12" s="2">
        <v>5.6</v>
      </c>
      <c r="FP12" s="2">
        <v>3.6</v>
      </c>
      <c r="FQ12" s="2">
        <v>3.9</v>
      </c>
      <c r="FR12" s="2">
        <v>4.2</v>
      </c>
      <c r="FS12" s="2">
        <v>3.2</v>
      </c>
      <c r="FT12" s="2">
        <v>4.5</v>
      </c>
      <c r="FU12" s="2">
        <v>3.1</v>
      </c>
      <c r="FV12" s="2">
        <v>-1.6</v>
      </c>
      <c r="FW12" s="2">
        <v>-2.1</v>
      </c>
      <c r="FX12" s="2">
        <v>-1</v>
      </c>
      <c r="FY12" s="2">
        <v>0.8</v>
      </c>
      <c r="FZ12" s="2">
        <v>0.6</v>
      </c>
      <c r="GA12" s="2">
        <v>-0.2</v>
      </c>
      <c r="GB12" s="2">
        <v>0</v>
      </c>
      <c r="GC12" s="2">
        <v>-0.8</v>
      </c>
      <c r="GD12" s="2">
        <v>-2.4</v>
      </c>
      <c r="GE12" s="2">
        <v>-2.1</v>
      </c>
      <c r="GF12" s="2">
        <v>-1.8</v>
      </c>
      <c r="GG12" s="2">
        <v>-1.3</v>
      </c>
      <c r="GH12" s="2">
        <v>2.8</v>
      </c>
      <c r="GI12" s="2">
        <v>3.3</v>
      </c>
      <c r="GJ12" s="2">
        <v>2.7</v>
      </c>
      <c r="GK12" s="2">
        <v>0.8</v>
      </c>
      <c r="GL12" s="2">
        <v>1</v>
      </c>
      <c r="GM12" s="2">
        <v>1.4</v>
      </c>
      <c r="GN12" s="2">
        <v>1.5</v>
      </c>
      <c r="GO12" s="2">
        <v>1</v>
      </c>
      <c r="GP12" s="2">
        <v>2.2</v>
      </c>
      <c r="GQ12" s="2">
        <v>1.2</v>
      </c>
      <c r="GR12" s="2">
        <v>0.9</v>
      </c>
      <c r="GS12" s="2">
        <v>1.5</v>
      </c>
      <c r="GT12" s="2">
        <v>2.1</v>
      </c>
      <c r="GU12" s="2">
        <v>1.9</v>
      </c>
      <c r="GV12" s="2">
        <v>0.9</v>
      </c>
      <c r="GW12" s="2">
        <v>1.6</v>
      </c>
      <c r="GX12" s="2">
        <v>1.7</v>
      </c>
      <c r="GY12" s="2">
        <v>2.4</v>
      </c>
      <c r="GZ12" s="2">
        <v>2.7</v>
      </c>
      <c r="HA12" s="2">
        <v>3.2</v>
      </c>
      <c r="HB12" s="2">
        <v>-0.3</v>
      </c>
      <c r="HC12" s="2">
        <v>1.1</v>
      </c>
      <c r="HD12" s="2">
        <v>-0.5</v>
      </c>
      <c r="HE12" s="2">
        <v>-0.5</v>
      </c>
      <c r="HF12" s="2">
        <v>-0.1</v>
      </c>
      <c r="HG12" s="2">
        <v>0.6</v>
      </c>
      <c r="HH12" s="2">
        <v>0</v>
      </c>
      <c r="HI12" s="2">
        <v>0.8</v>
      </c>
      <c r="HJ12" s="2">
        <v>-1.1</v>
      </c>
      <c r="HK12" s="2">
        <v>-0.7</v>
      </c>
      <c r="HL12" s="2">
        <v>0.8</v>
      </c>
      <c r="HM12" s="2">
        <v>-0.2</v>
      </c>
      <c r="HN12" s="2">
        <v>-0.1</v>
      </c>
      <c r="HO12" s="2">
        <v>0.9</v>
      </c>
      <c r="HP12" s="2">
        <v>-0.4</v>
      </c>
      <c r="HQ12" s="2">
        <v>0.3</v>
      </c>
      <c r="HR12" s="2">
        <v>0.9</v>
      </c>
      <c r="HS12" s="2">
        <v>-0.6</v>
      </c>
      <c r="HT12" s="2">
        <v>-0.1</v>
      </c>
      <c r="HU12" s="2">
        <v>1</v>
      </c>
      <c r="HV12" s="2">
        <v>-0.1</v>
      </c>
      <c r="HW12" s="2">
        <v>0.2</v>
      </c>
      <c r="HX12" s="2">
        <v>1.5</v>
      </c>
      <c r="HY12" s="2">
        <v>1.6</v>
      </c>
      <c r="HZ12" s="2">
        <v>1.4</v>
      </c>
      <c r="IA12" s="2">
        <v>0.1</v>
      </c>
      <c r="IB12" s="2">
        <v>1.1</v>
      </c>
      <c r="IC12" s="2">
        <v>0.2</v>
      </c>
      <c r="ID12" s="2">
        <v>-0.1</v>
      </c>
      <c r="IE12" s="2">
        <v>3.8</v>
      </c>
      <c r="IF12" s="2">
        <v>0.2</v>
      </c>
      <c r="IG12" s="2">
        <v>-0.7</v>
      </c>
      <c r="IH12" s="2">
        <v>0.6</v>
      </c>
      <c r="II12" s="2">
        <v>0.7</v>
      </c>
      <c r="IJ12" s="2">
        <v>1.1</v>
      </c>
      <c r="IK12" s="2">
        <v>-0.3</v>
      </c>
      <c r="IL12" s="2">
        <v>-1</v>
      </c>
      <c r="IM12" s="2">
        <v>0.8</v>
      </c>
      <c r="IN12" s="2">
        <v>0.1</v>
      </c>
      <c r="IO12" s="2">
        <v>-0.1</v>
      </c>
      <c r="IP12" s="2">
        <v>-1.2</v>
      </c>
      <c r="IQ12" s="2">
        <v>1.7</v>
      </c>
      <c r="IR12" s="2">
        <v>0.8</v>
      </c>
      <c r="IS12" s="2">
        <v>0.5</v>
      </c>
      <c r="IT12" s="2">
        <v>-0.7</v>
      </c>
      <c r="IU12" s="2">
        <v>0.1</v>
      </c>
      <c r="IV12" s="2">
        <v>1.1</v>
      </c>
      <c r="IW12" s="2">
        <v>-0.6</v>
      </c>
      <c r="IX12" s="2">
        <v>-0.4</v>
      </c>
      <c r="IY12" s="2">
        <v>1.3</v>
      </c>
      <c r="IZ12" s="2">
        <v>0</v>
      </c>
      <c r="JA12" s="2">
        <v>2.9</v>
      </c>
      <c r="JB12" s="2">
        <v>2.2</v>
      </c>
      <c r="JC12" s="2">
        <v>-0.5</v>
      </c>
      <c r="JD12" s="2">
        <v>-0.1</v>
      </c>
      <c r="JE12" s="2">
        <v>0.9</v>
      </c>
      <c r="JF12" s="2">
        <v>1.2</v>
      </c>
      <c r="JG12" s="2">
        <v>0.6</v>
      </c>
      <c r="JH12" s="2">
        <v>0.7</v>
      </c>
      <c r="JI12" s="2">
        <v>0.2</v>
      </c>
      <c r="JJ12" s="2">
        <v>-0.1</v>
      </c>
      <c r="JK12" s="2">
        <v>1.1</v>
      </c>
      <c r="JL12" s="2">
        <v>1.4</v>
      </c>
      <c r="JM12" s="2">
        <v>-0.2</v>
      </c>
      <c r="JN12" s="2">
        <v>0.4</v>
      </c>
      <c r="JO12" s="2">
        <v>0.3</v>
      </c>
      <c r="JP12" s="2">
        <v>-0.6</v>
      </c>
      <c r="JQ12" s="2">
        <v>0.5</v>
      </c>
      <c r="JR12" s="2">
        <v>-0.7</v>
      </c>
      <c r="JS12" s="2">
        <v>0.9</v>
      </c>
      <c r="JT12" s="2">
        <v>1</v>
      </c>
      <c r="JU12" s="2">
        <v>-0.8</v>
      </c>
      <c r="JV12" s="2">
        <v>1.1</v>
      </c>
      <c r="JW12" s="2">
        <v>-0.3</v>
      </c>
      <c r="JX12" s="2">
        <v>-3.1</v>
      </c>
      <c r="JY12" s="2">
        <v>-0.8</v>
      </c>
      <c r="JZ12" s="2">
        <v>1.6</v>
      </c>
      <c r="KA12" s="2">
        <v>2.2</v>
      </c>
      <c r="KB12" s="2">
        <v>-0.8</v>
      </c>
      <c r="KC12" s="2">
        <v>-0.3</v>
      </c>
      <c r="KD12" s="2">
        <v>-0.5</v>
      </c>
      <c r="KE12" s="2">
        <v>0.1</v>
      </c>
      <c r="KF12" s="2">
        <v>-0.7</v>
      </c>
      <c r="KG12" s="2">
        <v>-0.4</v>
      </c>
      <c r="KH12" s="2">
        <v>1.4</v>
      </c>
      <c r="KI12" s="2">
        <v>0.2</v>
      </c>
      <c r="KJ12" s="2">
        <v>0.9</v>
      </c>
      <c r="KK12" s="2">
        <v>-0.3</v>
      </c>
      <c r="KL12" s="2">
        <v>1</v>
      </c>
      <c r="KM12" s="2">
        <v>0.3</v>
      </c>
      <c r="KN12" s="2">
        <v>-0.7</v>
      </c>
      <c r="KO12" s="2">
        <v>0.1</v>
      </c>
      <c r="KP12" s="2">
        <v>-0.5</v>
      </c>
      <c r="KQ12" s="2">
        <v>-0.4</v>
      </c>
      <c r="KR12" s="2">
        <v>0.5</v>
      </c>
      <c r="KS12" s="2">
        <v>-1.4</v>
      </c>
      <c r="KT12" s="2">
        <v>1.1</v>
      </c>
      <c r="KU12" s="2">
        <v>0.9</v>
      </c>
      <c r="KV12" s="2">
        <v>1.5</v>
      </c>
      <c r="KW12" s="2">
        <v>-0.6</v>
      </c>
      <c r="KX12" s="2">
        <v>0</v>
      </c>
      <c r="KY12" s="2">
        <v>1.1</v>
      </c>
      <c r="KZ12" s="2">
        <v>-0.6</v>
      </c>
      <c r="LA12" s="2">
        <v>0.7</v>
      </c>
      <c r="LB12" s="2">
        <v>-0.1</v>
      </c>
      <c r="LC12" s="2">
        <v>0.1</v>
      </c>
      <c r="LD12" s="2">
        <v>0.39</v>
      </c>
      <c r="LE12" s="2">
        <v>0.39</v>
      </c>
      <c r="LF12" s="2">
        <v>0.39</v>
      </c>
      <c r="LG12" s="2">
        <v>0.39</v>
      </c>
      <c r="LH12" s="2">
        <v>0.39</v>
      </c>
      <c r="LI12" s="2">
        <v>0.39</v>
      </c>
      <c r="LJ12" s="2">
        <v>0.39</v>
      </c>
      <c r="LK12" s="2">
        <v>0.39</v>
      </c>
      <c r="LL12" s="2">
        <v>0.39</v>
      </c>
      <c r="LM12" s="2">
        <v>0.38</v>
      </c>
      <c r="LN12" s="2">
        <v>0.39</v>
      </c>
      <c r="LO12" s="2">
        <v>0.39</v>
      </c>
      <c r="LP12" s="2">
        <v>0.4</v>
      </c>
      <c r="LQ12" s="2">
        <v>0.39</v>
      </c>
      <c r="LR12" s="2">
        <v>0.39</v>
      </c>
      <c r="LS12" s="2">
        <v>0.4</v>
      </c>
      <c r="LT12" s="2">
        <v>0.4</v>
      </c>
      <c r="LU12" s="2">
        <v>0.4</v>
      </c>
      <c r="LV12" s="2">
        <v>0.4</v>
      </c>
      <c r="LW12" s="2">
        <v>0.4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-0.01</v>
      </c>
      <c r="MG12" s="2">
        <v>0.01</v>
      </c>
      <c r="MH12" s="2">
        <v>0</v>
      </c>
      <c r="MI12" s="2">
        <v>0.01</v>
      </c>
      <c r="MJ12" s="2">
        <v>-0.01</v>
      </c>
      <c r="MK12" s="2">
        <v>0</v>
      </c>
      <c r="ML12" s="2">
        <v>0.01</v>
      </c>
      <c r="MM12" s="2">
        <v>0</v>
      </c>
      <c r="MN12" s="2">
        <v>0</v>
      </c>
      <c r="MO12" s="2">
        <v>0</v>
      </c>
      <c r="MP12" s="2">
        <v>0</v>
      </c>
      <c r="RO12" s="2">
        <v>20.98</v>
      </c>
      <c r="RP12" s="2">
        <v>21.43</v>
      </c>
      <c r="RQ12" s="2">
        <v>21.98</v>
      </c>
      <c r="RR12" s="2">
        <v>22.05</v>
      </c>
      <c r="RS12" s="2">
        <v>22.15</v>
      </c>
      <c r="RT12" s="2">
        <v>22.43</v>
      </c>
      <c r="RU12" s="2">
        <v>22.84</v>
      </c>
      <c r="RV12" s="2">
        <v>23.18</v>
      </c>
      <c r="RW12" s="2">
        <v>23.29</v>
      </c>
      <c r="RX12" s="2">
        <v>23.67</v>
      </c>
      <c r="RY12" s="2">
        <v>24.43</v>
      </c>
      <c r="RZ12" s="2">
        <v>24.36</v>
      </c>
      <c r="SA12" s="2">
        <v>24.8</v>
      </c>
      <c r="SB12" s="2">
        <v>24.87</v>
      </c>
      <c r="SC12" s="2">
        <v>24.94</v>
      </c>
      <c r="SD12" s="2">
        <v>24.74</v>
      </c>
      <c r="SE12" s="2">
        <v>24.94</v>
      </c>
      <c r="SF12" s="2">
        <v>25.01</v>
      </c>
      <c r="SG12" s="2">
        <v>25.49</v>
      </c>
      <c r="SH12" s="2">
        <v>26.22</v>
      </c>
      <c r="SI12" s="2">
        <v>26.6</v>
      </c>
      <c r="SJ12" s="2">
        <v>26.84</v>
      </c>
      <c r="SK12" s="2">
        <v>27.11</v>
      </c>
      <c r="SL12" s="2">
        <v>27.22</v>
      </c>
      <c r="SM12" s="2">
        <v>27.49</v>
      </c>
      <c r="SN12" s="2">
        <v>28.15</v>
      </c>
      <c r="SO12" s="2">
        <v>28.18</v>
      </c>
      <c r="SP12" s="2">
        <v>28.7</v>
      </c>
      <c r="SQ12" s="2">
        <v>29.39</v>
      </c>
      <c r="SR12" s="2">
        <v>29.7</v>
      </c>
      <c r="SS12" s="2">
        <v>29.87</v>
      </c>
      <c r="ST12" s="2">
        <v>30.38</v>
      </c>
      <c r="SU12" s="2">
        <v>31.25</v>
      </c>
      <c r="SV12" s="2">
        <v>31.73</v>
      </c>
      <c r="SW12" s="2">
        <v>32.11</v>
      </c>
      <c r="SX12" s="2">
        <v>32.62</v>
      </c>
      <c r="SY12" s="2">
        <v>33.45</v>
      </c>
      <c r="SZ12" s="2">
        <v>34.35</v>
      </c>
      <c r="TA12" s="2">
        <v>34.9</v>
      </c>
      <c r="TB12" s="2">
        <v>35.1</v>
      </c>
      <c r="TC12" s="2">
        <v>35</v>
      </c>
      <c r="TD12" s="2">
        <v>35.52</v>
      </c>
      <c r="TE12" s="2">
        <v>36.17</v>
      </c>
      <c r="TF12" s="2">
        <v>36.28</v>
      </c>
      <c r="TG12" s="2">
        <v>36.69</v>
      </c>
      <c r="TH12" s="2">
        <v>36.52</v>
      </c>
      <c r="TI12" s="2">
        <v>36.65</v>
      </c>
      <c r="TJ12" s="2">
        <v>36.69</v>
      </c>
      <c r="TK12" s="2">
        <v>35.86</v>
      </c>
      <c r="TL12" s="2">
        <v>36.14</v>
      </c>
      <c r="TM12" s="2">
        <v>36.52</v>
      </c>
      <c r="TN12" s="2">
        <v>36.52</v>
      </c>
      <c r="TO12" s="2">
        <v>35.62</v>
      </c>
      <c r="TP12" s="2">
        <v>36.38</v>
      </c>
      <c r="TQ12" s="2">
        <v>36.38</v>
      </c>
      <c r="TR12" s="2">
        <v>36.69</v>
      </c>
      <c r="TS12" s="2">
        <v>35.72</v>
      </c>
      <c r="TT12" s="2">
        <v>36.45</v>
      </c>
      <c r="TU12" s="2">
        <v>37.14</v>
      </c>
      <c r="TV12" s="2">
        <v>37.48</v>
      </c>
      <c r="TW12" s="2">
        <v>37.72</v>
      </c>
      <c r="TX12" s="2">
        <v>37.14</v>
      </c>
      <c r="TY12" s="2">
        <v>37.58</v>
      </c>
      <c r="TZ12" s="2">
        <v>38.62</v>
      </c>
      <c r="UA12" s="2">
        <v>38.93</v>
      </c>
      <c r="UB12" s="2">
        <v>38.96</v>
      </c>
      <c r="UC12" s="2">
        <v>38.58</v>
      </c>
      <c r="UD12" s="2">
        <v>39.03</v>
      </c>
      <c r="UE12" s="2">
        <v>39.38</v>
      </c>
      <c r="UF12" s="2">
        <v>39.55</v>
      </c>
      <c r="UG12" s="2">
        <v>39.51</v>
      </c>
      <c r="UH12" s="2">
        <v>39.65</v>
      </c>
      <c r="UI12" s="2">
        <v>39.92</v>
      </c>
      <c r="UJ12" s="2">
        <v>39.74</v>
      </c>
      <c r="UK12" s="2">
        <v>39.84</v>
      </c>
      <c r="UL12" s="2">
        <v>40.57</v>
      </c>
      <c r="UM12" s="2">
        <v>41.16</v>
      </c>
      <c r="UN12" s="2">
        <v>41.32</v>
      </c>
      <c r="UO12" s="2">
        <v>41.94</v>
      </c>
      <c r="UP12" s="2">
        <v>42.32</v>
      </c>
      <c r="UQ12" s="2">
        <v>41.98</v>
      </c>
      <c r="UR12" s="2">
        <v>43.05</v>
      </c>
      <c r="US12" s="2">
        <v>44.51</v>
      </c>
      <c r="UT12" s="2">
        <v>46.8</v>
      </c>
      <c r="UU12" s="2">
        <v>48.17</v>
      </c>
      <c r="UV12" s="2">
        <v>49.41</v>
      </c>
      <c r="UW12" s="2">
        <v>50.06</v>
      </c>
      <c r="UX12" s="2">
        <v>50.9</v>
      </c>
      <c r="UY12" s="2">
        <v>50.35</v>
      </c>
      <c r="UZ12" s="2">
        <v>50.85</v>
      </c>
      <c r="VA12" s="2">
        <v>50.57</v>
      </c>
      <c r="VB12" s="2">
        <v>50.61</v>
      </c>
      <c r="VC12" s="2">
        <v>51.16</v>
      </c>
      <c r="VD12" s="2">
        <v>51.67</v>
      </c>
      <c r="VE12" s="2">
        <v>52.02</v>
      </c>
      <c r="VF12" s="2">
        <v>52.38</v>
      </c>
      <c r="VG12" s="2">
        <v>52.26</v>
      </c>
      <c r="VH12" s="2">
        <v>52.13</v>
      </c>
      <c r="VI12" s="2">
        <v>52.25</v>
      </c>
      <c r="VJ12" s="2">
        <v>52.55</v>
      </c>
      <c r="VK12" s="2">
        <v>52.37</v>
      </c>
      <c r="VL12" s="2">
        <v>52.46</v>
      </c>
      <c r="VM12" s="2">
        <v>52.89</v>
      </c>
      <c r="VN12" s="2">
        <v>54.46</v>
      </c>
      <c r="VO12" s="2">
        <v>54.39</v>
      </c>
      <c r="VP12" s="2">
        <v>54.83</v>
      </c>
      <c r="VQ12" s="2">
        <v>55.27</v>
      </c>
      <c r="VR12" s="2">
        <v>55.39</v>
      </c>
      <c r="VS12" s="2">
        <v>55.44</v>
      </c>
      <c r="VT12" s="2">
        <v>56.75</v>
      </c>
      <c r="VU12" s="2">
        <v>57.09</v>
      </c>
      <c r="VV12" s="2">
        <v>57</v>
      </c>
      <c r="VW12" s="2">
        <v>58.54</v>
      </c>
      <c r="VX12" s="2">
        <v>60.8</v>
      </c>
      <c r="VY12" s="2">
        <v>62.49</v>
      </c>
      <c r="VZ12" s="2">
        <v>62.72</v>
      </c>
      <c r="WA12" s="2">
        <v>62.07</v>
      </c>
      <c r="WB12" s="2">
        <v>62</v>
      </c>
      <c r="WC12" s="2">
        <v>63.06</v>
      </c>
      <c r="WD12" s="2">
        <v>63.52</v>
      </c>
      <c r="WE12" s="2">
        <v>64.31999999999999</v>
      </c>
      <c r="WF12" s="2">
        <v>64.36</v>
      </c>
      <c r="WG12" s="2">
        <v>65.16</v>
      </c>
      <c r="WH12" s="2">
        <v>66.59999999999999</v>
      </c>
      <c r="WI12" s="2">
        <v>66.81</v>
      </c>
      <c r="WJ12" s="2">
        <v>68.09</v>
      </c>
      <c r="WK12" s="2">
        <v>67.81</v>
      </c>
      <c r="WL12" s="2">
        <v>68.91</v>
      </c>
      <c r="WM12" s="2">
        <v>68.06999999999999</v>
      </c>
      <c r="WN12" s="2">
        <v>67.78</v>
      </c>
      <c r="WO12" s="2">
        <v>66.75</v>
      </c>
      <c r="WP12" s="2">
        <v>67.61</v>
      </c>
      <c r="WQ12" s="2">
        <v>66.11</v>
      </c>
      <c r="WR12" s="2">
        <v>65.33</v>
      </c>
      <c r="WS12" s="2">
        <v>67.05</v>
      </c>
      <c r="WT12" s="2">
        <v>70.22</v>
      </c>
      <c r="WU12" s="2">
        <v>71.28</v>
      </c>
      <c r="WV12" s="2">
        <v>72.81999999999999</v>
      </c>
      <c r="WW12" s="2">
        <v>75.11</v>
      </c>
      <c r="WX12" s="2">
        <v>74.95</v>
      </c>
      <c r="WY12" s="2">
        <v>75.47</v>
      </c>
      <c r="WZ12" s="2">
        <v>75.88</v>
      </c>
      <c r="XA12" s="2">
        <v>76.77</v>
      </c>
      <c r="XB12" s="2">
        <v>76.52</v>
      </c>
      <c r="XC12" s="2">
        <v>75.54000000000001</v>
      </c>
      <c r="XD12" s="2">
        <v>75.95</v>
      </c>
      <c r="XE12" s="2">
        <v>75.93000000000001</v>
      </c>
      <c r="XF12" s="2">
        <v>76.40000000000001</v>
      </c>
      <c r="XG12" s="2">
        <v>76.97</v>
      </c>
      <c r="XH12" s="2">
        <v>77.25</v>
      </c>
      <c r="XI12" s="2">
        <v>76.81999999999999</v>
      </c>
      <c r="XJ12" s="2">
        <v>77.23</v>
      </c>
      <c r="XK12" s="2">
        <v>77.31999999999999</v>
      </c>
      <c r="XL12" s="2">
        <v>77.79000000000001</v>
      </c>
      <c r="XM12" s="2">
        <v>78.34999999999999</v>
      </c>
      <c r="XN12" s="2">
        <v>79.08</v>
      </c>
      <c r="XO12" s="2">
        <v>80.94</v>
      </c>
      <c r="XP12" s="2">
        <v>83.55</v>
      </c>
      <c r="XQ12" s="2">
        <v>85.58</v>
      </c>
      <c r="XR12" s="2">
        <v>87.13</v>
      </c>
      <c r="XS12" s="2">
        <v>88.26000000000001</v>
      </c>
      <c r="XT12" s="2">
        <v>87.72</v>
      </c>
      <c r="XU12" s="2">
        <v>87.75</v>
      </c>
      <c r="XV12" s="2">
        <v>88.98999999999999</v>
      </c>
      <c r="XW12" s="2">
        <v>89.48999999999999</v>
      </c>
      <c r="XX12" s="2">
        <v>89.94</v>
      </c>
      <c r="XY12" s="2">
        <v>94.09</v>
      </c>
      <c r="XZ12" s="2">
        <v>95.48999999999999</v>
      </c>
      <c r="YA12" s="2">
        <v>97.44</v>
      </c>
      <c r="YB12" s="2">
        <v>98.86</v>
      </c>
      <c r="YC12" s="2">
        <v>100.32</v>
      </c>
      <c r="YD12" s="2">
        <v>100.13</v>
      </c>
      <c r="YE12" s="2">
        <v>101.12</v>
      </c>
      <c r="YF12" s="2">
        <v>100.81</v>
      </c>
      <c r="YG12" s="2">
        <v>99.54000000000001</v>
      </c>
      <c r="YH12" s="2">
        <v>100.27</v>
      </c>
      <c r="YI12" s="2">
        <v>99.31</v>
      </c>
      <c r="YJ12" s="2">
        <v>100.65</v>
      </c>
      <c r="YK12" s="2">
        <v>101.78</v>
      </c>
      <c r="YL12" s="2">
        <v>101.56</v>
      </c>
      <c r="YM12" s="2">
        <v>100.75</v>
      </c>
      <c r="YN12" s="2">
        <v>102.19</v>
      </c>
      <c r="YO12" s="2">
        <v>103.27</v>
      </c>
      <c r="YP12" s="2">
        <v>103.87</v>
      </c>
      <c r="ADO12" s="2">
        <v>2.1</v>
      </c>
      <c r="ADP12" s="2">
        <v>2.6</v>
      </c>
      <c r="ADQ12" s="2">
        <v>0.3</v>
      </c>
      <c r="ADR12" s="2">
        <v>0.5</v>
      </c>
      <c r="ADS12" s="2">
        <v>1.3</v>
      </c>
      <c r="ADT12" s="2">
        <v>1.8</v>
      </c>
      <c r="ADU12" s="2">
        <v>1.5</v>
      </c>
      <c r="ADV12" s="2">
        <v>0.5</v>
      </c>
      <c r="ADW12" s="2">
        <v>1.6</v>
      </c>
      <c r="ADX12" s="2">
        <v>3.2</v>
      </c>
      <c r="ADY12" s="2">
        <v>-0.3</v>
      </c>
      <c r="ADZ12" s="2">
        <v>1.8</v>
      </c>
      <c r="AEA12" s="2">
        <v>0.3</v>
      </c>
      <c r="AEB12" s="2">
        <v>0.3</v>
      </c>
      <c r="AEC12" s="2">
        <v>-0.8</v>
      </c>
      <c r="AED12" s="2">
        <v>0.8</v>
      </c>
      <c r="AEE12" s="2">
        <v>0.3</v>
      </c>
      <c r="AEF12" s="2">
        <v>1.9</v>
      </c>
      <c r="AEG12" s="2">
        <v>2.9</v>
      </c>
      <c r="AEH12" s="2">
        <v>1.4</v>
      </c>
      <c r="AEI12" s="2">
        <v>0.9</v>
      </c>
      <c r="AEJ12" s="2">
        <v>1</v>
      </c>
      <c r="AEK12" s="2">
        <v>0.4</v>
      </c>
      <c r="AEL12" s="2">
        <v>1</v>
      </c>
      <c r="AEM12" s="2">
        <v>2.4</v>
      </c>
      <c r="AEN12" s="2">
        <v>0.1</v>
      </c>
      <c r="AEO12" s="2">
        <v>1.8</v>
      </c>
      <c r="AEP12" s="2">
        <v>2.4</v>
      </c>
      <c r="AEQ12" s="2">
        <v>1.1</v>
      </c>
      <c r="AER12" s="2">
        <v>0.6</v>
      </c>
      <c r="AES12" s="2">
        <v>1.7</v>
      </c>
      <c r="AET12" s="2">
        <v>2.9</v>
      </c>
      <c r="AEU12" s="2">
        <v>1.5</v>
      </c>
      <c r="AEV12" s="2">
        <v>1.2</v>
      </c>
      <c r="AEW12" s="2">
        <v>1.6</v>
      </c>
      <c r="AEX12" s="2">
        <v>2.5</v>
      </c>
      <c r="AEY12" s="2">
        <v>2.7</v>
      </c>
      <c r="AEZ12" s="2">
        <v>1.6</v>
      </c>
      <c r="AFA12" s="2">
        <v>0.6</v>
      </c>
      <c r="AFB12" s="2">
        <v>-0.3</v>
      </c>
      <c r="AFC12" s="2">
        <v>1.5</v>
      </c>
      <c r="AFD12" s="2">
        <v>1.8</v>
      </c>
      <c r="AFE12" s="2">
        <v>0.3</v>
      </c>
      <c r="AFF12" s="2">
        <v>1.1</v>
      </c>
      <c r="AFG12" s="2">
        <v>-0.5</v>
      </c>
      <c r="AFH12" s="2">
        <v>0.4</v>
      </c>
      <c r="AFI12" s="2">
        <v>0.1</v>
      </c>
      <c r="AFJ12" s="2">
        <v>-2.3</v>
      </c>
      <c r="AFK12" s="2">
        <v>0.8</v>
      </c>
      <c r="AFL12" s="2">
        <v>1.1</v>
      </c>
      <c r="AFM12" s="2">
        <v>0</v>
      </c>
      <c r="AFN12" s="2">
        <v>-2.5</v>
      </c>
      <c r="AFO12" s="2">
        <v>2.1</v>
      </c>
      <c r="AFP12" s="2">
        <v>0</v>
      </c>
      <c r="AFQ12" s="2">
        <v>0.9</v>
      </c>
      <c r="AFR12" s="2">
        <v>-2.6</v>
      </c>
      <c r="AFS12" s="2">
        <v>2</v>
      </c>
      <c r="AFT12" s="2">
        <v>1.9</v>
      </c>
      <c r="AFU12" s="2">
        <v>0.9</v>
      </c>
      <c r="AFV12" s="2">
        <v>0.6</v>
      </c>
      <c r="AFW12" s="2">
        <v>-1.5</v>
      </c>
      <c r="AFX12" s="2">
        <v>1.2</v>
      </c>
      <c r="AFY12" s="2">
        <v>2.8</v>
      </c>
      <c r="AFZ12" s="2">
        <v>0.8</v>
      </c>
      <c r="AGA12" s="2">
        <v>0.1</v>
      </c>
      <c r="AGB12" s="2">
        <v>-1</v>
      </c>
      <c r="AGC12" s="2">
        <v>1.2</v>
      </c>
      <c r="AGD12" s="2">
        <v>0.9</v>
      </c>
      <c r="AGE12" s="2">
        <v>0.4</v>
      </c>
      <c r="AGF12" s="2">
        <v>-0.1</v>
      </c>
      <c r="AGG12" s="2">
        <v>0.4</v>
      </c>
      <c r="AGH12" s="2">
        <v>0.7</v>
      </c>
      <c r="AGI12" s="2">
        <v>-0.5</v>
      </c>
      <c r="AGJ12" s="2">
        <v>0.3</v>
      </c>
      <c r="AGK12" s="2">
        <v>1.8</v>
      </c>
      <c r="AGL12" s="2">
        <v>1.5</v>
      </c>
      <c r="AGM12" s="2">
        <v>0.4</v>
      </c>
      <c r="AGN12" s="2">
        <v>1.5</v>
      </c>
      <c r="AGO12" s="2">
        <v>0.9</v>
      </c>
      <c r="AGP12" s="2">
        <v>-0.8</v>
      </c>
      <c r="AGQ12" s="2">
        <v>2.5</v>
      </c>
      <c r="AGR12" s="2">
        <v>3.4</v>
      </c>
      <c r="AGS12" s="2">
        <v>5.1</v>
      </c>
      <c r="AGT12" s="2">
        <v>2.9</v>
      </c>
      <c r="AGU12" s="2">
        <v>2.6</v>
      </c>
      <c r="AGV12" s="2">
        <v>1.3</v>
      </c>
      <c r="AGW12" s="2">
        <v>1.7</v>
      </c>
      <c r="AGX12" s="2">
        <v>-1.1</v>
      </c>
      <c r="AGY12" s="2">
        <v>1</v>
      </c>
      <c r="AGZ12" s="2">
        <v>-0.6</v>
      </c>
      <c r="AHA12" s="2">
        <v>0.1</v>
      </c>
      <c r="AHB12" s="2">
        <v>1.1</v>
      </c>
      <c r="AHC12" s="2">
        <v>1</v>
      </c>
      <c r="AHD12" s="2">
        <v>0.7</v>
      </c>
      <c r="AHE12" s="2">
        <v>0.7</v>
      </c>
      <c r="AHF12" s="2">
        <v>-0.2</v>
      </c>
      <c r="AHG12" s="2">
        <v>-0.2</v>
      </c>
      <c r="AHH12" s="2">
        <v>0.2</v>
      </c>
      <c r="AHI12" s="2">
        <v>0.6</v>
      </c>
      <c r="AHJ12" s="2">
        <v>-0.3</v>
      </c>
      <c r="AHK12" s="2">
        <v>0.2</v>
      </c>
      <c r="AHL12" s="2">
        <v>0.8</v>
      </c>
      <c r="AHM12" s="2">
        <v>3</v>
      </c>
      <c r="AHN12" s="2">
        <v>-0.1</v>
      </c>
      <c r="AHO12" s="2">
        <v>0.8</v>
      </c>
      <c r="AHP12" s="2">
        <v>0.8</v>
      </c>
      <c r="AHQ12" s="2">
        <v>0.2</v>
      </c>
      <c r="AHR12" s="2">
        <v>0.1</v>
      </c>
      <c r="AHS12" s="2">
        <v>2.4</v>
      </c>
      <c r="AHT12" s="2">
        <v>0.6</v>
      </c>
      <c r="AHU12" s="2">
        <v>-0.2</v>
      </c>
      <c r="AHV12" s="2">
        <v>2.7</v>
      </c>
      <c r="AHW12" s="2">
        <v>3.9</v>
      </c>
      <c r="AHX12" s="2">
        <v>2.8</v>
      </c>
      <c r="AHY12" s="2">
        <v>0.4</v>
      </c>
      <c r="AHZ12" s="2">
        <v>-1</v>
      </c>
      <c r="AIA12" s="2">
        <v>-0.1</v>
      </c>
      <c r="AIB12" s="2">
        <v>1.7</v>
      </c>
      <c r="AIC12" s="2">
        <v>0.7</v>
      </c>
      <c r="AID12" s="2">
        <v>1.3</v>
      </c>
      <c r="AIE12" s="2">
        <v>0.1</v>
      </c>
      <c r="AIF12" s="2">
        <v>1.2</v>
      </c>
      <c r="AIG12" s="2">
        <v>2.2</v>
      </c>
      <c r="AIH12" s="2">
        <v>0.3</v>
      </c>
      <c r="AII12" s="2">
        <v>1.9</v>
      </c>
      <c r="AIJ12" s="2">
        <v>-0.4</v>
      </c>
      <c r="AIK12" s="2">
        <v>1.6</v>
      </c>
      <c r="AIL12" s="2">
        <v>-1.2</v>
      </c>
      <c r="AIM12" s="2">
        <v>-0.4</v>
      </c>
      <c r="AIN12" s="2">
        <v>-1.5</v>
      </c>
      <c r="AIO12" s="2">
        <v>1.3</v>
      </c>
      <c r="AIP12" s="2">
        <v>-2.2</v>
      </c>
      <c r="AIQ12" s="2">
        <v>-1.2</v>
      </c>
      <c r="AIR12" s="2">
        <v>2.6</v>
      </c>
      <c r="AIS12" s="2">
        <v>4.7</v>
      </c>
      <c r="AIT12" s="2">
        <v>1.5</v>
      </c>
      <c r="AIU12" s="2">
        <v>2.2</v>
      </c>
      <c r="AIV12" s="2">
        <v>3.1</v>
      </c>
      <c r="AIW12" s="2">
        <v>-0.2</v>
      </c>
      <c r="AIX12" s="2">
        <v>0.7</v>
      </c>
      <c r="AIY12" s="2">
        <v>0.5</v>
      </c>
      <c r="AIZ12" s="2">
        <v>1.2</v>
      </c>
      <c r="AJA12" s="2">
        <v>-0.3</v>
      </c>
      <c r="AJB12" s="2">
        <v>-1.3</v>
      </c>
      <c r="AJC12" s="2">
        <v>0.5</v>
      </c>
      <c r="AJD12" s="2">
        <v>0</v>
      </c>
      <c r="AJE12" s="2">
        <v>0.6</v>
      </c>
      <c r="AJF12" s="2">
        <v>0.7</v>
      </c>
      <c r="AJG12" s="2">
        <v>0.4</v>
      </c>
      <c r="AJH12" s="2">
        <v>-0.6</v>
      </c>
      <c r="AJI12" s="2">
        <v>0.5</v>
      </c>
      <c r="AJJ12" s="2">
        <v>0.1</v>
      </c>
      <c r="AJK12" s="2">
        <v>0.6</v>
      </c>
      <c r="AJL12" s="2">
        <v>0.7</v>
      </c>
      <c r="AJM12" s="2">
        <v>0.9</v>
      </c>
      <c r="AJN12" s="2">
        <v>2.4</v>
      </c>
      <c r="AJO12" s="2">
        <v>3.2</v>
      </c>
      <c r="AJP12" s="2">
        <v>2.4</v>
      </c>
      <c r="AJQ12" s="2">
        <v>1.8</v>
      </c>
      <c r="AJR12" s="2">
        <v>1.3</v>
      </c>
      <c r="AJS12" s="2">
        <v>-0.6</v>
      </c>
      <c r="AJT12" s="2">
        <v>0</v>
      </c>
      <c r="AJU12" s="2">
        <v>1.4</v>
      </c>
      <c r="AJV12" s="2">
        <v>0.6</v>
      </c>
      <c r="AJW12" s="2">
        <v>0.5</v>
      </c>
      <c r="AJX12" s="2">
        <v>4.6</v>
      </c>
      <c r="AJY12" s="2">
        <v>1.5</v>
      </c>
      <c r="AJZ12" s="2">
        <v>2</v>
      </c>
      <c r="AKA12" s="2">
        <v>1.5</v>
      </c>
      <c r="AKB12" s="2">
        <v>1.5</v>
      </c>
      <c r="AKC12" s="2">
        <v>-0.2</v>
      </c>
      <c r="AKD12" s="2">
        <v>1</v>
      </c>
      <c r="AKE12" s="2">
        <v>-0.3</v>
      </c>
      <c r="AKF12" s="2">
        <v>-1.3</v>
      </c>
      <c r="AKG12" s="2">
        <v>0.7</v>
      </c>
      <c r="AKH12" s="2">
        <v>-1</v>
      </c>
      <c r="AKI12" s="2">
        <v>1.3</v>
      </c>
      <c r="AKJ12" s="2">
        <v>1.1</v>
      </c>
      <c r="AKK12" s="2">
        <v>-0.2</v>
      </c>
      <c r="AKL12" s="2">
        <v>-0.8</v>
      </c>
      <c r="AKM12" s="2">
        <v>1.4</v>
      </c>
      <c r="AKN12" s="2">
        <v>1.1</v>
      </c>
      <c r="AKO12" s="2">
        <v>0.6</v>
      </c>
      <c r="AKP12" s="2">
        <v>0.39</v>
      </c>
      <c r="AKQ12" s="2">
        <v>0.4</v>
      </c>
      <c r="AKR12" s="2">
        <v>0.4</v>
      </c>
    </row>
    <row r="13">
      <c r="A13" t="inlineStr">
        <is>
          <t>Fish and other seafood</t>
        </is>
      </c>
      <c r="B13" t="inlineStr">
        <is>
          <t>Meat and seafoods</t>
        </is>
      </c>
      <c r="C13">
        <v>3</v>
      </c>
      <c r="D13">
        <v>0.38</v>
      </c>
      <c r="E13" s="3">
        <f>D13/2.13*0.021287765651924178</f>
        <v>0.0037978173463526703</v>
      </c>
      <c r="F13" s="3">
        <f>E13-D13/100</f>
        <v>-2.1826536473297173e-06</v>
      </c>
      <c r="G13" s="3">
        <f>D13/2.13</f>
        <v>0.17840375586854462</v>
      </c>
      <c r="H13" s="2">
        <v>78.39</v>
      </c>
      <c r="I13" s="2">
        <v>79.40000000000001</v>
      </c>
      <c r="J13" s="2">
        <v>79.56</v>
      </c>
      <c r="K13" s="2">
        <v>78.87</v>
      </c>
      <c r="L13" s="2">
        <v>80.31999999999999</v>
      </c>
      <c r="M13" s="2">
        <v>78.23999999999999</v>
      </c>
      <c r="N13" s="2">
        <v>77.86</v>
      </c>
      <c r="O13" s="2">
        <v>79.67</v>
      </c>
      <c r="P13" s="2">
        <v>80.23999999999999</v>
      </c>
      <c r="Q13" s="2">
        <v>81.11</v>
      </c>
      <c r="R13" s="2">
        <v>80.91</v>
      </c>
      <c r="S13" s="2">
        <v>80.78</v>
      </c>
      <c r="T13" s="2">
        <v>80.41</v>
      </c>
      <c r="U13" s="2">
        <v>81.52</v>
      </c>
      <c r="V13" s="2">
        <v>81.15000000000001</v>
      </c>
      <c r="W13" s="2">
        <v>81.38</v>
      </c>
      <c r="X13" s="2">
        <v>82.16</v>
      </c>
      <c r="Y13" s="2">
        <v>81.56</v>
      </c>
      <c r="Z13" s="2">
        <v>80.2</v>
      </c>
      <c r="AA13" s="2">
        <v>79.44</v>
      </c>
      <c r="AB13" s="2">
        <v>81.87</v>
      </c>
      <c r="AC13" s="2">
        <v>81.91</v>
      </c>
      <c r="AD13" s="2">
        <v>81.84</v>
      </c>
      <c r="AE13" s="2">
        <v>81.84</v>
      </c>
      <c r="AF13" s="2">
        <v>81.45999999999999</v>
      </c>
      <c r="AG13" s="2">
        <v>82.18000000000001</v>
      </c>
      <c r="AH13" s="2">
        <v>81.69</v>
      </c>
      <c r="AI13" s="2">
        <v>83.17</v>
      </c>
      <c r="AJ13" s="2">
        <v>83.56</v>
      </c>
      <c r="AK13" s="2">
        <v>82.23</v>
      </c>
      <c r="AL13" s="2">
        <v>84.91</v>
      </c>
      <c r="AM13" s="2">
        <v>87.45999999999999</v>
      </c>
      <c r="AN13" s="2">
        <v>87.47</v>
      </c>
      <c r="AO13" s="2">
        <v>86.31</v>
      </c>
      <c r="AP13" s="2">
        <v>85.51000000000001</v>
      </c>
      <c r="AQ13" s="2">
        <v>85.86</v>
      </c>
      <c r="AR13" s="2">
        <v>86.09</v>
      </c>
      <c r="AS13" s="2">
        <v>86.75</v>
      </c>
      <c r="AT13" s="2">
        <v>86.40000000000001</v>
      </c>
      <c r="AU13" s="2">
        <v>86.05</v>
      </c>
      <c r="AV13" s="2">
        <v>86.06</v>
      </c>
      <c r="AW13" s="2">
        <v>85.56999999999999</v>
      </c>
      <c r="AX13" s="2">
        <v>84.23999999999999</v>
      </c>
      <c r="AY13" s="2">
        <v>84.15000000000001</v>
      </c>
      <c r="AZ13" s="2">
        <v>84.53</v>
      </c>
      <c r="BA13" s="2">
        <v>84.93000000000001</v>
      </c>
      <c r="BB13" s="2">
        <v>85.25</v>
      </c>
      <c r="BC13" s="2">
        <v>85.51000000000001</v>
      </c>
      <c r="BD13" s="2">
        <v>85.81</v>
      </c>
      <c r="BE13" s="2">
        <v>85.55</v>
      </c>
      <c r="BF13" s="2">
        <v>86</v>
      </c>
      <c r="BG13" s="2">
        <v>86.55</v>
      </c>
      <c r="BH13" s="2">
        <v>87.26000000000001</v>
      </c>
      <c r="BI13" s="2">
        <v>89.59999999999999</v>
      </c>
      <c r="BJ13" s="2">
        <v>85.08</v>
      </c>
      <c r="BK13" s="2">
        <v>85.14</v>
      </c>
      <c r="BL13" s="2">
        <v>86.66</v>
      </c>
      <c r="BM13" s="2">
        <v>88.27</v>
      </c>
      <c r="BN13" s="2">
        <v>90.2</v>
      </c>
      <c r="BO13" s="2">
        <v>90.33</v>
      </c>
      <c r="BP13" s="2">
        <v>90.89</v>
      </c>
      <c r="BQ13" s="2">
        <v>92.52</v>
      </c>
      <c r="BR13" s="2">
        <v>93.66</v>
      </c>
      <c r="BS13" s="2">
        <v>94.62</v>
      </c>
      <c r="BT13" s="2">
        <v>94.48999999999999</v>
      </c>
      <c r="BU13" s="2">
        <v>94.43000000000001</v>
      </c>
      <c r="BV13" s="2">
        <v>93.48999999999999</v>
      </c>
      <c r="BW13" s="2">
        <v>94.54000000000001</v>
      </c>
      <c r="BX13" s="2">
        <v>95.81</v>
      </c>
      <c r="BY13" s="2">
        <v>94.81999999999999</v>
      </c>
      <c r="BZ13" s="2">
        <v>96.62</v>
      </c>
      <c r="CA13" s="2">
        <v>97.88</v>
      </c>
      <c r="CB13" s="2">
        <v>100.42</v>
      </c>
      <c r="CC13" s="2">
        <v>100.66</v>
      </c>
      <c r="CD13" s="2">
        <v>100.71</v>
      </c>
      <c r="CE13" s="2">
        <v>100.6</v>
      </c>
      <c r="CF13" s="2">
        <v>99.98</v>
      </c>
      <c r="CG13" s="2">
        <v>99.18000000000001</v>
      </c>
      <c r="CH13" s="2">
        <v>98.44</v>
      </c>
      <c r="CI13" s="2">
        <v>100.86</v>
      </c>
      <c r="CJ13" s="2">
        <v>100.48</v>
      </c>
      <c r="CK13" s="2">
        <v>99.75</v>
      </c>
      <c r="CL13" s="2">
        <v>99.92</v>
      </c>
      <c r="CM13" s="2">
        <v>100.57</v>
      </c>
      <c r="CN13" s="2">
        <v>100.43</v>
      </c>
      <c r="CO13" s="2">
        <v>99.97</v>
      </c>
      <c r="CP13" s="2">
        <v>99.56999999999999</v>
      </c>
      <c r="CQ13" s="2">
        <v>100.01</v>
      </c>
      <c r="CR13" s="2">
        <v>99.84</v>
      </c>
      <c r="CS13" s="2">
        <v>99.64</v>
      </c>
      <c r="CT13" s="2">
        <v>98.75</v>
      </c>
      <c r="CU13" s="2">
        <v>99.06999999999999</v>
      </c>
      <c r="CV13" s="2">
        <v>100.9</v>
      </c>
      <c r="CW13" s="2">
        <v>99.98999999999999</v>
      </c>
      <c r="CX13" s="2">
        <v>99.64</v>
      </c>
      <c r="CY13" s="2">
        <v>100.36</v>
      </c>
      <c r="CZ13" s="2">
        <v>100</v>
      </c>
      <c r="DA13" s="2">
        <v>100.04</v>
      </c>
      <c r="DB13" s="2">
        <v>99.58</v>
      </c>
      <c r="DC13" s="2">
        <v>101.25</v>
      </c>
      <c r="DD13" s="2">
        <v>101.75</v>
      </c>
      <c r="DE13" s="2">
        <v>101.13</v>
      </c>
      <c r="DF13" s="2">
        <v>100.52</v>
      </c>
      <c r="DG13" s="2">
        <v>100.48</v>
      </c>
      <c r="DH13" s="2">
        <v>102.14</v>
      </c>
      <c r="DI13" s="2">
        <v>100.22</v>
      </c>
      <c r="DJ13" s="2">
        <v>101.55</v>
      </c>
      <c r="DK13" s="2">
        <v>2.6</v>
      </c>
      <c r="DL13" s="2">
        <v>2.7</v>
      </c>
      <c r="DM13" s="2">
        <v>2</v>
      </c>
      <c r="DN13" s="2">
        <v>3.2</v>
      </c>
      <c r="DO13" s="2">
        <v>2.3</v>
      </c>
      <c r="DP13" s="2">
        <v>4.2</v>
      </c>
      <c r="DQ13" s="2">
        <v>3</v>
      </c>
      <c r="DR13" s="2">
        <v>-0.3</v>
      </c>
      <c r="DS13" s="2">
        <v>2</v>
      </c>
      <c r="DT13" s="2">
        <v>1</v>
      </c>
      <c r="DU13" s="2">
        <v>1.1</v>
      </c>
      <c r="DV13" s="2">
        <v>1.3</v>
      </c>
      <c r="DW13" s="2">
        <v>1.3</v>
      </c>
      <c r="DX13" s="2">
        <v>0.8</v>
      </c>
      <c r="DY13" s="2">
        <v>0.7</v>
      </c>
      <c r="DZ13" s="2">
        <v>2.2</v>
      </c>
      <c r="EA13" s="2">
        <v>1.7</v>
      </c>
      <c r="EB13" s="2">
        <v>0.8</v>
      </c>
      <c r="EC13" s="2">
        <v>5.9</v>
      </c>
      <c r="ED13" s="2">
        <v>10.1</v>
      </c>
      <c r="EE13" s="2">
        <v>6.8</v>
      </c>
      <c r="EF13" s="2">
        <v>5.4</v>
      </c>
      <c r="EG13" s="2">
        <v>4.5</v>
      </c>
      <c r="EH13" s="2">
        <v>4.9</v>
      </c>
      <c r="EI13" s="2">
        <v>5.7</v>
      </c>
      <c r="EJ13" s="2">
        <v>5.6</v>
      </c>
      <c r="EK13" s="2">
        <v>5.8</v>
      </c>
      <c r="EL13" s="2">
        <v>3.5</v>
      </c>
      <c r="EM13" s="2">
        <v>3</v>
      </c>
      <c r="EN13" s="2">
        <v>4.1</v>
      </c>
      <c r="EO13" s="2">
        <v>-0.8</v>
      </c>
      <c r="EP13" s="2">
        <v>-3.8</v>
      </c>
      <c r="EQ13" s="2">
        <v>-3.4</v>
      </c>
      <c r="ER13" s="2">
        <v>-1.6</v>
      </c>
      <c r="ES13" s="2">
        <v>-0.3</v>
      </c>
      <c r="ET13" s="2">
        <v>-0.4</v>
      </c>
      <c r="EU13" s="2">
        <v>-0.3</v>
      </c>
      <c r="EV13" s="2">
        <v>-1.4</v>
      </c>
      <c r="EW13" s="2">
        <v>-0.5</v>
      </c>
      <c r="EX13" s="2">
        <v>0.6</v>
      </c>
      <c r="EY13" s="2">
        <v>1.4</v>
      </c>
      <c r="EZ13" s="2">
        <v>4.7</v>
      </c>
      <c r="FA13" s="2">
        <v>1</v>
      </c>
      <c r="FB13" s="2">
        <v>1.2</v>
      </c>
      <c r="FC13" s="2">
        <v>2.5</v>
      </c>
      <c r="FD13" s="2">
        <v>3.9</v>
      </c>
      <c r="FE13" s="2">
        <v>5.8</v>
      </c>
      <c r="FF13" s="2">
        <v>5.6</v>
      </c>
      <c r="FG13" s="2">
        <v>5.9</v>
      </c>
      <c r="FH13" s="2">
        <v>8.1</v>
      </c>
      <c r="FI13" s="2">
        <v>8.9</v>
      </c>
      <c r="FJ13" s="2">
        <v>9.300000000000001</v>
      </c>
      <c r="FK13" s="2">
        <v>8.300000000000001</v>
      </c>
      <c r="FL13" s="2">
        <v>5.4</v>
      </c>
      <c r="FM13" s="2">
        <v>9.9</v>
      </c>
      <c r="FN13" s="2">
        <v>11</v>
      </c>
      <c r="FO13" s="2">
        <v>10.6</v>
      </c>
      <c r="FP13" s="2">
        <v>7.4</v>
      </c>
      <c r="FQ13" s="2">
        <v>7.1</v>
      </c>
      <c r="FR13" s="2">
        <v>8.4</v>
      </c>
      <c r="FS13" s="2">
        <v>10.5</v>
      </c>
      <c r="FT13" s="2">
        <v>8.800000000000001</v>
      </c>
      <c r="FU13" s="2">
        <v>7.5</v>
      </c>
      <c r="FV13" s="2">
        <v>6.3</v>
      </c>
      <c r="FW13" s="2">
        <v>5.8</v>
      </c>
      <c r="FX13" s="2">
        <v>5</v>
      </c>
      <c r="FY13" s="2">
        <v>5.3</v>
      </c>
      <c r="FZ13" s="2">
        <v>6.7</v>
      </c>
      <c r="GA13" s="2">
        <v>4.9</v>
      </c>
      <c r="GB13" s="2">
        <v>5.2</v>
      </c>
      <c r="GC13" s="2">
        <v>3.4</v>
      </c>
      <c r="GD13" s="2">
        <v>2.7</v>
      </c>
      <c r="GE13" s="2">
        <v>0</v>
      </c>
      <c r="GF13" s="2">
        <v>-0.7</v>
      </c>
      <c r="GG13" s="2">
        <v>-1.1</v>
      </c>
      <c r="GH13" s="2">
        <v>-0.6</v>
      </c>
      <c r="GI13" s="2">
        <v>-0.1</v>
      </c>
      <c r="GJ13" s="2">
        <v>0.5</v>
      </c>
      <c r="GK13" s="2">
        <v>0.3</v>
      </c>
      <c r="GL13" s="2">
        <v>-1.8</v>
      </c>
      <c r="GM13" s="2">
        <v>0.4</v>
      </c>
      <c r="GN13" s="2">
        <v>0.2</v>
      </c>
      <c r="GO13" s="2">
        <v>-0.3</v>
      </c>
      <c r="GP13" s="2">
        <v>-0.2</v>
      </c>
      <c r="GQ13" s="2">
        <v>-0.4</v>
      </c>
      <c r="GR13" s="2">
        <v>0.1</v>
      </c>
      <c r="GS13" s="2">
        <v>0</v>
      </c>
      <c r="GT13" s="2">
        <v>1.2</v>
      </c>
      <c r="GU13" s="2">
        <v>1.9</v>
      </c>
      <c r="GV13" s="2">
        <v>1.5</v>
      </c>
      <c r="GW13" s="2">
        <v>1.8</v>
      </c>
      <c r="GX13" s="2">
        <v>1.4</v>
      </c>
      <c r="GY13" s="2">
        <v>1.2</v>
      </c>
      <c r="GZ13" s="2">
        <v>0.2</v>
      </c>
      <c r="HA13" s="2">
        <v>1.9</v>
      </c>
      <c r="HB13" s="2">
        <v>1.3</v>
      </c>
      <c r="HC13" s="2">
        <v>0.2</v>
      </c>
      <c r="HD13" s="2">
        <v>-0.9</v>
      </c>
      <c r="HE13" s="2">
        <v>1.8</v>
      </c>
      <c r="HF13" s="2">
        <v>-2.6</v>
      </c>
      <c r="HG13" s="2">
        <v>-0.5</v>
      </c>
      <c r="HH13" s="2">
        <v>2.3</v>
      </c>
      <c r="HI13" s="2">
        <v>0.7</v>
      </c>
      <c r="HJ13" s="2">
        <v>1.1</v>
      </c>
      <c r="HK13" s="2">
        <v>-0.2</v>
      </c>
      <c r="HL13" s="2">
        <v>-0.2</v>
      </c>
      <c r="HM13" s="2">
        <v>-0.5</v>
      </c>
      <c r="HN13" s="2">
        <v>1.4</v>
      </c>
      <c r="HO13" s="2">
        <v>-0.5</v>
      </c>
      <c r="HP13" s="2">
        <v>0.3</v>
      </c>
      <c r="HQ13" s="2">
        <v>1</v>
      </c>
      <c r="HR13" s="2">
        <v>-0.7</v>
      </c>
      <c r="HS13" s="2">
        <v>-1.7</v>
      </c>
      <c r="HT13" s="2">
        <v>-0.9</v>
      </c>
      <c r="HU13" s="2">
        <v>3.1</v>
      </c>
      <c r="HV13" s="2">
        <v>0</v>
      </c>
      <c r="HW13" s="2">
        <v>-0.1</v>
      </c>
      <c r="HX13" s="2">
        <v>0</v>
      </c>
      <c r="HY13" s="2">
        <v>-0.5</v>
      </c>
      <c r="HZ13" s="2">
        <v>0.9</v>
      </c>
      <c r="IA13" s="2">
        <v>-0.6</v>
      </c>
      <c r="IB13" s="2">
        <v>1.8</v>
      </c>
      <c r="IC13" s="2">
        <v>0.5</v>
      </c>
      <c r="ID13" s="2">
        <v>-1.6</v>
      </c>
      <c r="IE13" s="2">
        <v>3.3</v>
      </c>
      <c r="IF13" s="2">
        <v>3</v>
      </c>
      <c r="IG13" s="2">
        <v>0</v>
      </c>
      <c r="IH13" s="2">
        <v>-1.3</v>
      </c>
      <c r="II13" s="2">
        <v>-0.9</v>
      </c>
      <c r="IJ13" s="2">
        <v>0.4</v>
      </c>
      <c r="IK13" s="2">
        <v>0.3</v>
      </c>
      <c r="IL13" s="2">
        <v>0.8</v>
      </c>
      <c r="IM13" s="2">
        <v>-0.4</v>
      </c>
      <c r="IN13" s="2">
        <v>-0.4</v>
      </c>
      <c r="IO13" s="2">
        <v>0</v>
      </c>
      <c r="IP13" s="2">
        <v>-0.6</v>
      </c>
      <c r="IQ13" s="2">
        <v>-1.6</v>
      </c>
      <c r="IR13" s="2">
        <v>-0.1</v>
      </c>
      <c r="IS13" s="2">
        <v>0.5</v>
      </c>
      <c r="IT13" s="2">
        <v>0.5</v>
      </c>
      <c r="IU13" s="2">
        <v>0.4</v>
      </c>
      <c r="IV13" s="2">
        <v>0.3</v>
      </c>
      <c r="IW13" s="2">
        <v>0.4</v>
      </c>
      <c r="IX13" s="2">
        <v>-0.3</v>
      </c>
      <c r="IY13" s="2">
        <v>0.5</v>
      </c>
      <c r="IZ13" s="2">
        <v>0.6</v>
      </c>
      <c r="JA13" s="2">
        <v>0.8</v>
      </c>
      <c r="JB13" s="2">
        <v>2.7</v>
      </c>
      <c r="JC13" s="2">
        <v>-5</v>
      </c>
      <c r="JD13" s="2">
        <v>0.1</v>
      </c>
      <c r="JE13" s="2">
        <v>1.8</v>
      </c>
      <c r="JF13" s="2">
        <v>1.9</v>
      </c>
      <c r="JG13" s="2">
        <v>2.2</v>
      </c>
      <c r="JH13" s="2">
        <v>0.1</v>
      </c>
      <c r="JI13" s="2">
        <v>0.6</v>
      </c>
      <c r="JJ13" s="2">
        <v>1.8</v>
      </c>
      <c r="JK13" s="2">
        <v>1.2</v>
      </c>
      <c r="JL13" s="2">
        <v>1</v>
      </c>
      <c r="JM13" s="2">
        <v>-0.1</v>
      </c>
      <c r="JN13" s="2">
        <v>-0.1</v>
      </c>
      <c r="JO13" s="2">
        <v>-1</v>
      </c>
      <c r="JP13" s="2">
        <v>1.1</v>
      </c>
      <c r="JQ13" s="2">
        <v>1.3</v>
      </c>
      <c r="JR13" s="2">
        <v>-1</v>
      </c>
      <c r="JS13" s="2">
        <v>1.9</v>
      </c>
      <c r="JT13" s="2">
        <v>1.3</v>
      </c>
      <c r="JU13" s="2">
        <v>2.6</v>
      </c>
      <c r="JV13" s="2">
        <v>0.2</v>
      </c>
      <c r="JW13" s="2">
        <v>0</v>
      </c>
      <c r="JX13" s="2">
        <v>-0.1</v>
      </c>
      <c r="JY13" s="2">
        <v>-0.6</v>
      </c>
      <c r="JZ13" s="2">
        <v>-0.8</v>
      </c>
      <c r="KA13" s="2">
        <v>-0.7</v>
      </c>
      <c r="KB13" s="2">
        <v>2.5</v>
      </c>
      <c r="KC13" s="2">
        <v>-0.4</v>
      </c>
      <c r="KD13" s="2">
        <v>-0.7</v>
      </c>
      <c r="KE13" s="2">
        <v>0.2</v>
      </c>
      <c r="KF13" s="2">
        <v>0.7</v>
      </c>
      <c r="KG13" s="2">
        <v>-0.1</v>
      </c>
      <c r="KH13" s="2">
        <v>-0.5</v>
      </c>
      <c r="KI13" s="2">
        <v>-0.4</v>
      </c>
      <c r="KJ13" s="2">
        <v>0.4</v>
      </c>
      <c r="KK13" s="2">
        <v>-0.2</v>
      </c>
      <c r="KL13" s="2">
        <v>-0.2</v>
      </c>
      <c r="KM13" s="2">
        <v>-0.9</v>
      </c>
      <c r="KN13" s="2">
        <v>0.3</v>
      </c>
      <c r="KO13" s="2">
        <v>1.8</v>
      </c>
      <c r="KP13" s="2">
        <v>-0.9</v>
      </c>
      <c r="KQ13" s="2">
        <v>-0.4</v>
      </c>
      <c r="KR13" s="2">
        <v>0.7</v>
      </c>
      <c r="KS13" s="2">
        <v>-0.4</v>
      </c>
      <c r="KT13" s="2">
        <v>0</v>
      </c>
      <c r="KU13" s="2">
        <v>-0.5</v>
      </c>
      <c r="KV13" s="2">
        <v>1.7</v>
      </c>
      <c r="KW13" s="2">
        <v>0.5</v>
      </c>
      <c r="KX13" s="2">
        <v>-0.6</v>
      </c>
      <c r="KY13" s="2">
        <v>-0.6</v>
      </c>
      <c r="KZ13" s="2">
        <v>0</v>
      </c>
      <c r="LA13" s="2">
        <v>1.7</v>
      </c>
      <c r="LB13" s="2">
        <v>-1.9</v>
      </c>
      <c r="LC13" s="2">
        <v>1.3</v>
      </c>
      <c r="LD13" s="2">
        <v>0.37</v>
      </c>
      <c r="LE13" s="2">
        <v>0.37</v>
      </c>
      <c r="LF13" s="2">
        <v>0.37</v>
      </c>
      <c r="LG13" s="2">
        <v>0.36</v>
      </c>
      <c r="LH13" s="2">
        <v>0.36</v>
      </c>
      <c r="LI13" s="2">
        <v>0.37</v>
      </c>
      <c r="LJ13" s="2">
        <v>0.37</v>
      </c>
      <c r="LK13" s="2">
        <v>0.37</v>
      </c>
      <c r="LL13" s="2">
        <v>0.37</v>
      </c>
      <c r="LM13" s="2">
        <v>0.37</v>
      </c>
      <c r="LN13" s="2">
        <v>0.37</v>
      </c>
      <c r="LO13" s="2">
        <v>0.37</v>
      </c>
      <c r="LP13" s="2">
        <v>0.37</v>
      </c>
      <c r="LQ13" s="2">
        <v>0.37</v>
      </c>
      <c r="LR13" s="2">
        <v>0.37</v>
      </c>
      <c r="LS13" s="2">
        <v>0.37</v>
      </c>
      <c r="LT13" s="2">
        <v>0.37</v>
      </c>
      <c r="LU13" s="2">
        <v>0.37</v>
      </c>
      <c r="LV13" s="2">
        <v>0.37</v>
      </c>
      <c r="LW13" s="2">
        <v>0.37</v>
      </c>
      <c r="LX13" s="2">
        <v>0</v>
      </c>
      <c r="LY13" s="2">
        <v>0</v>
      </c>
      <c r="LZ13" s="2">
        <v>-0.01</v>
      </c>
      <c r="MA13" s="2">
        <v>0</v>
      </c>
      <c r="MB13" s="2">
        <v>0.01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QY13" s="2">
        <v>12.46</v>
      </c>
      <c r="QZ13" s="2">
        <v>13.13</v>
      </c>
      <c r="RA13" s="2">
        <v>14.46</v>
      </c>
      <c r="RB13" s="2">
        <v>15.32</v>
      </c>
      <c r="RC13" s="2">
        <v>15.7</v>
      </c>
      <c r="RD13" s="2">
        <v>16.41</v>
      </c>
      <c r="RE13" s="2">
        <v>16.74</v>
      </c>
      <c r="RF13" s="2">
        <v>16.79</v>
      </c>
      <c r="RG13" s="2">
        <v>17.08</v>
      </c>
      <c r="RH13" s="2">
        <v>17.84</v>
      </c>
      <c r="RI13" s="2">
        <v>17.79</v>
      </c>
      <c r="RJ13" s="2">
        <v>18.55</v>
      </c>
      <c r="RK13" s="2">
        <v>19.12</v>
      </c>
      <c r="RL13" s="2">
        <v>20.4</v>
      </c>
      <c r="RM13" s="2">
        <v>21.17</v>
      </c>
      <c r="RN13" s="2">
        <v>21.21</v>
      </c>
      <c r="RO13" s="2">
        <v>21.64</v>
      </c>
      <c r="RP13" s="2">
        <v>22.16</v>
      </c>
      <c r="RQ13" s="2">
        <v>22.35</v>
      </c>
      <c r="RR13" s="2">
        <v>21.64</v>
      </c>
      <c r="RS13" s="2">
        <v>21.69</v>
      </c>
      <c r="RT13" s="2">
        <v>22.21</v>
      </c>
      <c r="RU13" s="2">
        <v>22.12</v>
      </c>
      <c r="RV13" s="2">
        <v>21.74</v>
      </c>
      <c r="RW13" s="2">
        <v>22.59</v>
      </c>
      <c r="RX13" s="2">
        <v>23.97</v>
      </c>
      <c r="RY13" s="2">
        <v>24.11</v>
      </c>
      <c r="RZ13" s="2">
        <v>24.73</v>
      </c>
      <c r="SA13" s="2">
        <v>24.78</v>
      </c>
      <c r="SB13" s="2">
        <v>25.11</v>
      </c>
      <c r="SC13" s="2">
        <v>25.4</v>
      </c>
      <c r="SD13" s="2">
        <v>25.45</v>
      </c>
      <c r="SE13" s="2">
        <v>25.35</v>
      </c>
      <c r="SF13" s="2">
        <v>26.73</v>
      </c>
      <c r="SG13" s="2">
        <v>26.59</v>
      </c>
      <c r="SH13" s="2">
        <v>28.44</v>
      </c>
      <c r="SI13" s="2">
        <v>30.63</v>
      </c>
      <c r="SJ13" s="2">
        <v>31.3</v>
      </c>
      <c r="SK13" s="2">
        <v>31.58</v>
      </c>
      <c r="SL13" s="2">
        <v>31.39</v>
      </c>
      <c r="SM13" s="2">
        <v>32.44</v>
      </c>
      <c r="SN13" s="2">
        <v>37</v>
      </c>
      <c r="SO13" s="2">
        <v>37.57</v>
      </c>
      <c r="SP13" s="2">
        <v>37.72</v>
      </c>
      <c r="SQ13" s="2">
        <v>38.62</v>
      </c>
      <c r="SR13" s="2">
        <v>41</v>
      </c>
      <c r="SS13" s="2">
        <v>42.38</v>
      </c>
      <c r="ST13" s="2">
        <v>42.62</v>
      </c>
      <c r="SU13" s="2">
        <v>42.9</v>
      </c>
      <c r="SV13" s="2">
        <v>47.37</v>
      </c>
      <c r="SW13" s="2">
        <v>49.42</v>
      </c>
      <c r="SX13" s="2">
        <v>48.61</v>
      </c>
      <c r="SY13" s="2">
        <v>49.32</v>
      </c>
      <c r="SZ13" s="2">
        <v>47.47</v>
      </c>
      <c r="TA13" s="2">
        <v>47.13</v>
      </c>
      <c r="TB13" s="2">
        <v>46.28</v>
      </c>
      <c r="TC13" s="2">
        <v>46.66</v>
      </c>
      <c r="TD13" s="2">
        <v>47.52</v>
      </c>
      <c r="TE13" s="2">
        <v>48.37</v>
      </c>
      <c r="TF13" s="2">
        <v>47.66</v>
      </c>
      <c r="TG13" s="2">
        <v>45.47</v>
      </c>
      <c r="TH13" s="2">
        <v>44.8</v>
      </c>
      <c r="TI13" s="2">
        <v>45.14</v>
      </c>
      <c r="TJ13" s="2">
        <v>45.04</v>
      </c>
      <c r="TK13" s="2">
        <v>44.38</v>
      </c>
      <c r="TL13" s="2">
        <v>46.33</v>
      </c>
      <c r="TM13" s="2">
        <v>46.52</v>
      </c>
      <c r="TN13" s="2">
        <v>46.37</v>
      </c>
      <c r="TO13" s="2">
        <v>45.99</v>
      </c>
      <c r="TP13" s="2">
        <v>47.56</v>
      </c>
      <c r="TQ13" s="2">
        <v>47.42</v>
      </c>
      <c r="TR13" s="2">
        <v>46.71</v>
      </c>
      <c r="TS13" s="2">
        <v>46.56</v>
      </c>
      <c r="TT13" s="2">
        <v>48.7</v>
      </c>
      <c r="TU13" s="2">
        <v>48.56</v>
      </c>
      <c r="TV13" s="2">
        <v>47.99</v>
      </c>
      <c r="TW13" s="2">
        <v>48.04</v>
      </c>
      <c r="TX13" s="2">
        <v>49.13</v>
      </c>
      <c r="TY13" s="2">
        <v>48.94</v>
      </c>
      <c r="TZ13" s="2">
        <v>48.56</v>
      </c>
      <c r="UA13" s="2">
        <v>47.94</v>
      </c>
      <c r="UB13" s="2">
        <v>48.75</v>
      </c>
      <c r="UC13" s="2">
        <v>48.85</v>
      </c>
      <c r="UD13" s="2">
        <v>48.23</v>
      </c>
      <c r="UE13" s="2">
        <v>49.04</v>
      </c>
      <c r="UF13" s="2">
        <v>50.13</v>
      </c>
      <c r="UG13" s="2">
        <v>50.46</v>
      </c>
      <c r="UH13" s="2">
        <v>50.56</v>
      </c>
      <c r="UI13" s="2">
        <v>51.3</v>
      </c>
      <c r="UJ13" s="2">
        <v>52.74</v>
      </c>
      <c r="UK13" s="2">
        <v>53.11</v>
      </c>
      <c r="UL13" s="2">
        <v>53.51</v>
      </c>
      <c r="UM13" s="2">
        <v>53.55</v>
      </c>
      <c r="UN13" s="2">
        <v>55.29</v>
      </c>
      <c r="UO13" s="2">
        <v>55.2</v>
      </c>
      <c r="UP13" s="2">
        <v>54.13</v>
      </c>
      <c r="UQ13" s="2">
        <v>54.39</v>
      </c>
      <c r="UR13" s="2">
        <v>56.07</v>
      </c>
      <c r="US13" s="2">
        <v>57.39</v>
      </c>
      <c r="UT13" s="2">
        <v>56.64</v>
      </c>
      <c r="UU13" s="2">
        <v>57.62</v>
      </c>
      <c r="UV13" s="2">
        <v>58.64</v>
      </c>
      <c r="UW13" s="2">
        <v>57.56</v>
      </c>
      <c r="UX13" s="2">
        <v>57.56</v>
      </c>
      <c r="UY13" s="2">
        <v>57.97</v>
      </c>
      <c r="UZ13" s="2">
        <v>59.64</v>
      </c>
      <c r="VA13" s="2">
        <v>59.52</v>
      </c>
      <c r="VB13" s="2">
        <v>59.27</v>
      </c>
      <c r="VC13" s="2">
        <v>58.25</v>
      </c>
      <c r="VD13" s="2">
        <v>59.38</v>
      </c>
      <c r="VE13" s="2">
        <v>59.01</v>
      </c>
      <c r="VF13" s="2">
        <v>58.77</v>
      </c>
      <c r="VG13" s="2">
        <v>58.37</v>
      </c>
      <c r="VH13" s="2">
        <v>59.01</v>
      </c>
      <c r="VI13" s="2">
        <v>59.13</v>
      </c>
      <c r="VJ13" s="2">
        <v>59.56</v>
      </c>
      <c r="VK13" s="2">
        <v>59.01</v>
      </c>
      <c r="VL13" s="2">
        <v>60.98</v>
      </c>
      <c r="VM13" s="2">
        <v>62.26</v>
      </c>
      <c r="VN13" s="2">
        <v>61.95</v>
      </c>
      <c r="VO13" s="2">
        <v>61.93</v>
      </c>
      <c r="VP13" s="2">
        <v>62.89</v>
      </c>
      <c r="VQ13" s="2">
        <v>64.98</v>
      </c>
      <c r="VR13" s="2">
        <v>65.23</v>
      </c>
      <c r="VS13" s="2">
        <v>66.39</v>
      </c>
      <c r="VT13" s="2">
        <v>67.19</v>
      </c>
      <c r="VU13" s="2">
        <v>67.62</v>
      </c>
      <c r="VV13" s="2">
        <v>66.89</v>
      </c>
      <c r="VW13" s="2">
        <v>69.09</v>
      </c>
      <c r="VX13" s="2">
        <v>69.61</v>
      </c>
      <c r="VY13" s="2">
        <v>72.16</v>
      </c>
      <c r="VZ13" s="2">
        <v>72.73</v>
      </c>
      <c r="WA13" s="2">
        <v>73.26000000000001</v>
      </c>
      <c r="WB13" s="2">
        <v>73.78</v>
      </c>
      <c r="WC13" s="2">
        <v>73.88</v>
      </c>
      <c r="WD13" s="2">
        <v>73.3</v>
      </c>
      <c r="WE13" s="2">
        <v>73.63</v>
      </c>
      <c r="WF13" s="2">
        <v>73.73</v>
      </c>
      <c r="WG13" s="2">
        <v>73.47</v>
      </c>
      <c r="WH13" s="2">
        <v>73.27</v>
      </c>
      <c r="WI13" s="2">
        <v>73.12</v>
      </c>
      <c r="WJ13" s="2">
        <v>73.48</v>
      </c>
      <c r="WK13" s="2">
        <v>73.2</v>
      </c>
      <c r="WL13" s="2">
        <v>73.02</v>
      </c>
      <c r="WM13" s="2">
        <v>73.09</v>
      </c>
      <c r="WN13" s="2">
        <v>74.09</v>
      </c>
      <c r="WO13" s="2">
        <v>73.13</v>
      </c>
      <c r="WP13" s="2">
        <v>74.66</v>
      </c>
      <c r="WQ13" s="2">
        <v>75.33</v>
      </c>
      <c r="WR13" s="2">
        <v>76.53</v>
      </c>
      <c r="WS13" s="2">
        <v>75.06</v>
      </c>
      <c r="WT13" s="2">
        <v>75.97</v>
      </c>
      <c r="WU13" s="2">
        <v>75.69</v>
      </c>
      <c r="WV13" s="2">
        <v>77.03</v>
      </c>
      <c r="WW13" s="2">
        <v>75.84</v>
      </c>
      <c r="WX13" s="2">
        <v>77.98999999999999</v>
      </c>
      <c r="WY13" s="2">
        <v>76.40000000000001</v>
      </c>
      <c r="WZ13" s="2">
        <v>78.03</v>
      </c>
      <c r="XA13" s="2">
        <v>77.48999999999999</v>
      </c>
      <c r="XB13" s="2">
        <v>78.73999999999999</v>
      </c>
      <c r="XC13" s="2">
        <v>78.63</v>
      </c>
      <c r="XD13" s="2">
        <v>79.06</v>
      </c>
      <c r="XE13" s="2">
        <v>79.23</v>
      </c>
      <c r="XF13" s="2">
        <v>79.03</v>
      </c>
      <c r="XG13" s="2">
        <v>79.28</v>
      </c>
      <c r="XH13" s="2">
        <v>79.41</v>
      </c>
      <c r="XI13" s="2">
        <v>79.22</v>
      </c>
      <c r="XJ13" s="2">
        <v>80.98</v>
      </c>
      <c r="XK13" s="2">
        <v>81.47</v>
      </c>
      <c r="XL13" s="2">
        <v>81.98</v>
      </c>
      <c r="XM13" s="2">
        <v>82.20999999999999</v>
      </c>
      <c r="XN13" s="2">
        <v>82</v>
      </c>
      <c r="XO13" s="2">
        <v>82.67</v>
      </c>
      <c r="XP13" s="2">
        <v>82.92</v>
      </c>
      <c r="XQ13" s="2">
        <v>83.81999999999999</v>
      </c>
      <c r="XR13" s="2">
        <v>86.94</v>
      </c>
      <c r="XS13" s="2">
        <v>85.7</v>
      </c>
      <c r="XT13" s="2">
        <v>86.06</v>
      </c>
      <c r="XU13" s="2">
        <v>85.09</v>
      </c>
      <c r="XV13" s="2">
        <v>84.38</v>
      </c>
      <c r="XW13" s="2">
        <v>85.48999999999999</v>
      </c>
      <c r="XX13" s="2">
        <v>86</v>
      </c>
      <c r="XY13" s="2">
        <v>86.92</v>
      </c>
      <c r="XZ13" s="2">
        <v>87.04000000000001</v>
      </c>
      <c r="YA13" s="2">
        <v>90.47</v>
      </c>
      <c r="YB13" s="2">
        <v>93.59999999999999</v>
      </c>
      <c r="YC13" s="2">
        <v>94.13</v>
      </c>
      <c r="YD13" s="2">
        <v>95.06</v>
      </c>
      <c r="YE13" s="2">
        <v>98.31</v>
      </c>
      <c r="YF13" s="2">
        <v>100.66</v>
      </c>
      <c r="YG13" s="2">
        <v>99.2</v>
      </c>
      <c r="YH13" s="2">
        <v>100.37</v>
      </c>
      <c r="YI13" s="2">
        <v>100.31</v>
      </c>
      <c r="YJ13" s="2">
        <v>99.84999999999999</v>
      </c>
      <c r="YK13" s="2">
        <v>99.41</v>
      </c>
      <c r="YL13" s="2">
        <v>99.98999999999999</v>
      </c>
      <c r="YM13" s="2">
        <v>100</v>
      </c>
      <c r="YN13" s="2">
        <v>100.29</v>
      </c>
      <c r="YO13" s="2">
        <v>101.14</v>
      </c>
      <c r="YP13" s="2">
        <v>100.95</v>
      </c>
      <c r="ACY13" s="2">
        <v>5.4</v>
      </c>
      <c r="ACZ13" s="2">
        <v>10.1</v>
      </c>
      <c r="ADA13" s="2">
        <v>5.9</v>
      </c>
      <c r="ADB13" s="2">
        <v>2.5</v>
      </c>
      <c r="ADC13" s="2">
        <v>4.5</v>
      </c>
      <c r="ADD13" s="2">
        <v>2</v>
      </c>
      <c r="ADE13" s="2">
        <v>0.3</v>
      </c>
      <c r="ADF13" s="2">
        <v>1.7</v>
      </c>
      <c r="ADG13" s="2">
        <v>4.4</v>
      </c>
      <c r="ADH13" s="2">
        <v>-0.3</v>
      </c>
      <c r="ADI13" s="2">
        <v>4.3</v>
      </c>
      <c r="ADJ13" s="2">
        <v>3.1</v>
      </c>
      <c r="ADK13" s="2">
        <v>6.7</v>
      </c>
      <c r="ADL13" s="2">
        <v>3.8</v>
      </c>
      <c r="ADM13" s="2">
        <v>0.2</v>
      </c>
      <c r="ADN13" s="2">
        <v>2</v>
      </c>
      <c r="ADO13" s="2">
        <v>2.4</v>
      </c>
      <c r="ADP13" s="2">
        <v>0.9</v>
      </c>
      <c r="ADQ13" s="2">
        <v>-3.2</v>
      </c>
      <c r="ADR13" s="2">
        <v>0.2</v>
      </c>
      <c r="ADS13" s="2">
        <v>2.4</v>
      </c>
      <c r="ADT13" s="2">
        <v>-0.4</v>
      </c>
      <c r="ADU13" s="2">
        <v>-1.7</v>
      </c>
      <c r="ADV13" s="2">
        <v>3.9</v>
      </c>
      <c r="ADW13" s="2">
        <v>6.1</v>
      </c>
      <c r="ADX13" s="2">
        <v>0.6</v>
      </c>
      <c r="ADY13" s="2">
        <v>2.6</v>
      </c>
      <c r="ADZ13" s="2">
        <v>0.2</v>
      </c>
      <c r="AEA13" s="2">
        <v>1.3</v>
      </c>
      <c r="AEB13" s="2">
        <v>1.2</v>
      </c>
      <c r="AEC13" s="2">
        <v>0.2</v>
      </c>
      <c r="AED13" s="2">
        <v>-0.4</v>
      </c>
      <c r="AEE13" s="2">
        <v>5.4</v>
      </c>
      <c r="AEF13" s="2">
        <v>-0.5</v>
      </c>
      <c r="AEG13" s="2">
        <v>7</v>
      </c>
      <c r="AEH13" s="2">
        <v>7.7</v>
      </c>
      <c r="AEI13" s="2">
        <v>2.2</v>
      </c>
      <c r="AEJ13" s="2">
        <v>0.9</v>
      </c>
      <c r="AEK13" s="2">
        <v>-0.6</v>
      </c>
      <c r="AEL13" s="2">
        <v>3.3</v>
      </c>
      <c r="AEM13" s="2">
        <v>14.1</v>
      </c>
      <c r="AEN13" s="2">
        <v>1.5</v>
      </c>
      <c r="AEO13" s="2">
        <v>0.4</v>
      </c>
      <c r="AEP13" s="2">
        <v>2.4</v>
      </c>
      <c r="AEQ13" s="2">
        <v>6.2</v>
      </c>
      <c r="AER13" s="2">
        <v>3.4</v>
      </c>
      <c r="AES13" s="2">
        <v>0.6</v>
      </c>
      <c r="AET13" s="2">
        <v>0.7</v>
      </c>
      <c r="AEU13" s="2">
        <v>10.4</v>
      </c>
      <c r="AEV13" s="2">
        <v>4.3</v>
      </c>
      <c r="AEW13" s="2">
        <v>-1.6</v>
      </c>
      <c r="AEX13" s="2">
        <v>1.5</v>
      </c>
      <c r="AEY13" s="2">
        <v>-3.8</v>
      </c>
      <c r="AEZ13" s="2">
        <v>-0.7</v>
      </c>
      <c r="AFA13" s="2">
        <v>-1.8</v>
      </c>
      <c r="AFB13" s="2">
        <v>0.8</v>
      </c>
      <c r="AFC13" s="2">
        <v>1.8</v>
      </c>
      <c r="AFD13" s="2">
        <v>1.8</v>
      </c>
      <c r="AFE13" s="2">
        <v>-1.5</v>
      </c>
      <c r="AFF13" s="2">
        <v>-4.6</v>
      </c>
      <c r="AFG13" s="2">
        <v>-1.5</v>
      </c>
      <c r="AFH13" s="2">
        <v>0.8</v>
      </c>
      <c r="AFI13" s="2">
        <v>-0.2</v>
      </c>
      <c r="AFJ13" s="2">
        <v>-1.5</v>
      </c>
      <c r="AFK13" s="2">
        <v>4.4</v>
      </c>
      <c r="AFL13" s="2">
        <v>0.4</v>
      </c>
      <c r="AFM13" s="2">
        <v>-0.3</v>
      </c>
      <c r="AFN13" s="2">
        <v>-0.8</v>
      </c>
      <c r="AFO13" s="2">
        <v>3.4</v>
      </c>
      <c r="AFP13" s="2">
        <v>-0.3</v>
      </c>
      <c r="AFQ13" s="2">
        <v>-1.5</v>
      </c>
      <c r="AFR13" s="2">
        <v>-0.3</v>
      </c>
      <c r="AFS13" s="2">
        <v>4.6</v>
      </c>
      <c r="AFT13" s="2">
        <v>-0.3</v>
      </c>
      <c r="AFU13" s="2">
        <v>-1.2</v>
      </c>
      <c r="AFV13" s="2">
        <v>0.1</v>
      </c>
      <c r="AFW13" s="2">
        <v>2.3</v>
      </c>
      <c r="AFX13" s="2">
        <v>-0.4</v>
      </c>
      <c r="AFY13" s="2">
        <v>-0.8</v>
      </c>
      <c r="AFZ13" s="2">
        <v>-1.3</v>
      </c>
      <c r="AGA13" s="2">
        <v>1.7</v>
      </c>
      <c r="AGB13" s="2">
        <v>0.2</v>
      </c>
      <c r="AGC13" s="2">
        <v>-1.3</v>
      </c>
      <c r="AGD13" s="2">
        <v>1.7</v>
      </c>
      <c r="AGE13" s="2">
        <v>2.2</v>
      </c>
      <c r="AGF13" s="2">
        <v>0.7</v>
      </c>
      <c r="AGG13" s="2">
        <v>0.2</v>
      </c>
      <c r="AGH13" s="2">
        <v>1.5</v>
      </c>
      <c r="AGI13" s="2">
        <v>2.8</v>
      </c>
      <c r="AGJ13" s="2">
        <v>0.7</v>
      </c>
      <c r="AGK13" s="2">
        <v>0.8</v>
      </c>
      <c r="AGL13" s="2">
        <v>0.1</v>
      </c>
      <c r="AGM13" s="2">
        <v>3.2</v>
      </c>
      <c r="AGN13" s="2">
        <v>-0.2</v>
      </c>
      <c r="AGO13" s="2">
        <v>-1.9</v>
      </c>
      <c r="AGP13" s="2">
        <v>0.5</v>
      </c>
      <c r="AGQ13" s="2">
        <v>3.1</v>
      </c>
      <c r="AGR13" s="2">
        <v>2.4</v>
      </c>
      <c r="AGS13" s="2">
        <v>-1.3</v>
      </c>
      <c r="AGT13" s="2">
        <v>1.7</v>
      </c>
      <c r="AGU13" s="2">
        <v>1.8</v>
      </c>
      <c r="AGV13" s="2">
        <v>-1.8</v>
      </c>
      <c r="AGW13" s="2">
        <v>0</v>
      </c>
      <c r="AGX13" s="2">
        <v>0.7</v>
      </c>
      <c r="AGY13" s="2">
        <v>2.9</v>
      </c>
      <c r="AGZ13" s="2">
        <v>-0.2</v>
      </c>
      <c r="AHA13" s="2">
        <v>-0.4</v>
      </c>
      <c r="AHB13" s="2">
        <v>-1.7</v>
      </c>
      <c r="AHC13" s="2">
        <v>1.9</v>
      </c>
      <c r="AHD13" s="2">
        <v>-0.6</v>
      </c>
      <c r="AHE13" s="2">
        <v>-0.4</v>
      </c>
      <c r="AHF13" s="2">
        <v>-0.7</v>
      </c>
      <c r="AHG13" s="2">
        <v>1.1</v>
      </c>
      <c r="AHH13" s="2">
        <v>0.2</v>
      </c>
      <c r="AHI13" s="2">
        <v>0.7</v>
      </c>
      <c r="AHJ13" s="2">
        <v>-0.9</v>
      </c>
      <c r="AHK13" s="2">
        <v>3.3</v>
      </c>
      <c r="AHL13" s="2">
        <v>2.1</v>
      </c>
      <c r="AHM13" s="2">
        <v>-0.5</v>
      </c>
      <c r="AHN13" s="2">
        <v>0</v>
      </c>
      <c r="AHO13" s="2">
        <v>1.6</v>
      </c>
      <c r="AHP13" s="2">
        <v>3.3</v>
      </c>
      <c r="AHQ13" s="2">
        <v>0.4</v>
      </c>
      <c r="AHR13" s="2">
        <v>1.8</v>
      </c>
      <c r="AHS13" s="2">
        <v>1.2</v>
      </c>
      <c r="AHT13" s="2">
        <v>0.6</v>
      </c>
      <c r="AHU13" s="2">
        <v>-1.1</v>
      </c>
      <c r="AHV13" s="2">
        <v>3.3</v>
      </c>
      <c r="AHW13" s="2">
        <v>0.8</v>
      </c>
      <c r="AHX13" s="2">
        <v>3.7</v>
      </c>
      <c r="AHY13" s="2">
        <v>0.8</v>
      </c>
      <c r="AHZ13" s="2">
        <v>0.7</v>
      </c>
      <c r="AIA13" s="2">
        <v>0.7</v>
      </c>
      <c r="AIB13" s="2">
        <v>0.1</v>
      </c>
      <c r="AIC13" s="2">
        <v>-0.8</v>
      </c>
      <c r="AID13" s="2">
        <v>0.5</v>
      </c>
      <c r="AIE13" s="2">
        <v>0.1</v>
      </c>
      <c r="AIF13" s="2">
        <v>-0.4</v>
      </c>
      <c r="AIG13" s="2">
        <v>-0.3</v>
      </c>
      <c r="AIH13" s="2">
        <v>-0.2</v>
      </c>
      <c r="AII13" s="2">
        <v>0.5</v>
      </c>
      <c r="AIJ13" s="2">
        <v>-0.4</v>
      </c>
      <c r="AIK13" s="2">
        <v>-0.2</v>
      </c>
      <c r="AIL13" s="2">
        <v>0.1</v>
      </c>
      <c r="AIM13" s="2">
        <v>1.4</v>
      </c>
      <c r="AIN13" s="2">
        <v>-1.3</v>
      </c>
      <c r="AIO13" s="2">
        <v>2.1</v>
      </c>
      <c r="AIP13" s="2">
        <v>0.9</v>
      </c>
      <c r="AIQ13" s="2">
        <v>1.6</v>
      </c>
      <c r="AIR13" s="2">
        <v>-1.9</v>
      </c>
      <c r="AIS13" s="2">
        <v>1.2</v>
      </c>
      <c r="AIT13" s="2">
        <v>-0.4</v>
      </c>
      <c r="AIU13" s="2">
        <v>1.8</v>
      </c>
      <c r="AIV13" s="2">
        <v>-1.5</v>
      </c>
      <c r="AIW13" s="2">
        <v>2.8</v>
      </c>
      <c r="AIX13" s="2">
        <v>-2</v>
      </c>
      <c r="AIY13" s="2">
        <v>2.1</v>
      </c>
      <c r="AIZ13" s="2">
        <v>-0.7</v>
      </c>
      <c r="AJA13" s="2">
        <v>1.6</v>
      </c>
      <c r="AJB13" s="2">
        <v>-0.1</v>
      </c>
      <c r="AJC13" s="2">
        <v>0.5</v>
      </c>
      <c r="AJD13" s="2">
        <v>0.2</v>
      </c>
      <c r="AJE13" s="2">
        <v>-0.3</v>
      </c>
      <c r="AJF13" s="2">
        <v>0.3</v>
      </c>
      <c r="AJG13" s="2">
        <v>0.2</v>
      </c>
      <c r="AJH13" s="2">
        <v>-0.2</v>
      </c>
      <c r="AJI13" s="2">
        <v>2.2</v>
      </c>
      <c r="AJJ13" s="2">
        <v>0.6</v>
      </c>
      <c r="AJK13" s="2">
        <v>0.6</v>
      </c>
      <c r="AJL13" s="2">
        <v>0.3</v>
      </c>
      <c r="AJM13" s="2">
        <v>-0.3</v>
      </c>
      <c r="AJN13" s="2">
        <v>0.8</v>
      </c>
      <c r="AJO13" s="2">
        <v>0.3</v>
      </c>
      <c r="AJP13" s="2">
        <v>1.1</v>
      </c>
      <c r="AJQ13" s="2">
        <v>3.7</v>
      </c>
      <c r="AJR13" s="2">
        <v>-1.4</v>
      </c>
      <c r="AJS13" s="2">
        <v>0.4</v>
      </c>
      <c r="AJT13" s="2">
        <v>-1.1</v>
      </c>
      <c r="AJU13" s="2">
        <v>-0.8</v>
      </c>
      <c r="AJV13" s="2">
        <v>1.3</v>
      </c>
      <c r="AJW13" s="2">
        <v>0.6</v>
      </c>
      <c r="AJX13" s="2">
        <v>1.1</v>
      </c>
      <c r="AJY13" s="2">
        <v>0.1</v>
      </c>
      <c r="AJZ13" s="2">
        <v>3.9</v>
      </c>
      <c r="AKA13" s="2">
        <v>3.5</v>
      </c>
      <c r="AKB13" s="2">
        <v>0.6</v>
      </c>
      <c r="AKC13" s="2">
        <v>1</v>
      </c>
      <c r="AKD13" s="2">
        <v>3.4</v>
      </c>
      <c r="AKE13" s="2">
        <v>2.4</v>
      </c>
      <c r="AKF13" s="2">
        <v>-1.5</v>
      </c>
      <c r="AKG13" s="2">
        <v>1.2</v>
      </c>
      <c r="AKH13" s="2">
        <v>-0.1</v>
      </c>
      <c r="AKI13" s="2">
        <v>-0.5</v>
      </c>
      <c r="AKJ13" s="2">
        <v>-0.4</v>
      </c>
      <c r="AKK13" s="2">
        <v>0.6</v>
      </c>
      <c r="AKL13" s="2">
        <v>0</v>
      </c>
      <c r="AKM13" s="2">
        <v>0.3</v>
      </c>
      <c r="AKN13" s="2">
        <v>0.8</v>
      </c>
      <c r="AKO13" s="2">
        <v>-0.2</v>
      </c>
      <c r="AKP13" s="2">
        <v>0.37</v>
      </c>
      <c r="AKQ13" s="2">
        <v>0.37</v>
      </c>
      <c r="AKR13" s="2">
        <v>0.37</v>
      </c>
    </row>
    <row r="14">
      <c r="A14" t="inlineStr">
        <is>
          <t>Milk</t>
        </is>
      </c>
      <c r="B14" t="inlineStr">
        <is>
          <t>Dairy and related products</t>
        </is>
      </c>
      <c r="C14">
        <v>3</v>
      </c>
      <c r="D14">
        <v>0.42</v>
      </c>
      <c r="E14" s="3">
        <f>D14/1.08*0.010793796668581275</f>
        <v>0.0041975875933371615</v>
      </c>
      <c r="F14" s="3">
        <f>E14-D14/100</f>
        <v>-2.4124066628382e-06</v>
      </c>
      <c r="G14" s="3">
        <f>D14/1.08</f>
        <v>0.38888888888888884</v>
      </c>
      <c r="H14" s="2">
        <v>70.8</v>
      </c>
      <c r="I14" s="2">
        <v>70.86</v>
      </c>
      <c r="J14" s="2">
        <v>71.18000000000001</v>
      </c>
      <c r="K14" s="2">
        <v>72.05</v>
      </c>
      <c r="L14" s="2">
        <v>71.29000000000001</v>
      </c>
      <c r="M14" s="2">
        <v>71.09999999999999</v>
      </c>
      <c r="N14" s="2">
        <v>71.47</v>
      </c>
      <c r="O14" s="2">
        <v>71.69</v>
      </c>
      <c r="P14" s="2">
        <v>71.33</v>
      </c>
      <c r="Q14" s="2">
        <v>71.48</v>
      </c>
      <c r="R14" s="2">
        <v>71.40000000000001</v>
      </c>
      <c r="S14" s="2">
        <v>70.98</v>
      </c>
      <c r="T14" s="2">
        <v>71.66</v>
      </c>
      <c r="U14" s="2">
        <v>72.15000000000001</v>
      </c>
      <c r="V14" s="2">
        <v>72.38</v>
      </c>
      <c r="W14" s="2">
        <v>73.34999999999999</v>
      </c>
      <c r="X14" s="2">
        <v>72.73999999999999</v>
      </c>
      <c r="Y14" s="2">
        <v>71.84</v>
      </c>
      <c r="Z14" s="2">
        <v>72.7</v>
      </c>
      <c r="AA14" s="2">
        <v>73.8</v>
      </c>
      <c r="AB14" s="2">
        <v>73.51000000000001</v>
      </c>
      <c r="AC14" s="2">
        <v>74.15000000000001</v>
      </c>
      <c r="AD14" s="2">
        <v>74.43000000000001</v>
      </c>
      <c r="AE14" s="2">
        <v>76.27</v>
      </c>
      <c r="AF14" s="2">
        <v>77.31999999999999</v>
      </c>
      <c r="AG14" s="2">
        <v>76.81</v>
      </c>
      <c r="AH14" s="2">
        <v>77.20999999999999</v>
      </c>
      <c r="AI14" s="2">
        <v>78.31</v>
      </c>
      <c r="AJ14" s="2">
        <v>78.04000000000001</v>
      </c>
      <c r="AK14" s="2">
        <v>77.40000000000001</v>
      </c>
      <c r="AL14" s="2">
        <v>79.67</v>
      </c>
      <c r="AM14" s="2">
        <v>79.54000000000001</v>
      </c>
      <c r="AN14" s="2">
        <v>78.93000000000001</v>
      </c>
      <c r="AO14" s="2">
        <v>78.41</v>
      </c>
      <c r="AP14" s="2">
        <v>78.62</v>
      </c>
      <c r="AQ14" s="2">
        <v>78.65000000000001</v>
      </c>
      <c r="AR14" s="2">
        <v>78.98999999999999</v>
      </c>
      <c r="AS14" s="2">
        <v>78.73</v>
      </c>
      <c r="AT14" s="2">
        <v>78.81999999999999</v>
      </c>
      <c r="AU14" s="2">
        <v>80.2</v>
      </c>
      <c r="AV14" s="2">
        <v>79.20999999999999</v>
      </c>
      <c r="AW14" s="2">
        <v>78.70999999999999</v>
      </c>
      <c r="AX14" s="2">
        <v>79.14</v>
      </c>
      <c r="AY14" s="2">
        <v>79.03</v>
      </c>
      <c r="AZ14" s="2">
        <v>78.53</v>
      </c>
      <c r="BA14" s="2">
        <v>79.27</v>
      </c>
      <c r="BB14" s="2">
        <v>79.31</v>
      </c>
      <c r="BC14" s="2">
        <v>79.28</v>
      </c>
      <c r="BD14" s="2">
        <v>79.37</v>
      </c>
      <c r="BE14" s="2">
        <v>78.97</v>
      </c>
      <c r="BF14" s="2">
        <v>79.12</v>
      </c>
      <c r="BG14" s="2">
        <v>82.75</v>
      </c>
      <c r="BH14" s="2">
        <v>82.45999999999999</v>
      </c>
      <c r="BI14" s="2">
        <v>82.18000000000001</v>
      </c>
      <c r="BJ14" s="2">
        <v>82.72</v>
      </c>
      <c r="BK14" s="2">
        <v>83.28</v>
      </c>
      <c r="BL14" s="2">
        <v>82.27</v>
      </c>
      <c r="BM14" s="2">
        <v>83.84999999999999</v>
      </c>
      <c r="BN14" s="2">
        <v>88.88</v>
      </c>
      <c r="BO14" s="2">
        <v>92.70999999999999</v>
      </c>
      <c r="BP14" s="2">
        <v>93.31</v>
      </c>
      <c r="BQ14" s="2">
        <v>92.92</v>
      </c>
      <c r="BR14" s="2">
        <v>94.22</v>
      </c>
      <c r="BS14" s="2">
        <v>95.64</v>
      </c>
      <c r="BT14" s="2">
        <v>94.73</v>
      </c>
      <c r="BU14" s="2">
        <v>95.11</v>
      </c>
      <c r="BV14" s="2">
        <v>96.3</v>
      </c>
      <c r="BW14" s="2">
        <v>95.41</v>
      </c>
      <c r="BX14" s="2">
        <v>95.28</v>
      </c>
      <c r="BY14" s="2">
        <v>95.64</v>
      </c>
      <c r="BZ14" s="2">
        <v>96.77</v>
      </c>
      <c r="CA14" s="2">
        <v>97.05</v>
      </c>
      <c r="CB14" s="2">
        <v>96.11</v>
      </c>
      <c r="CC14" s="2">
        <v>97.84999999999999</v>
      </c>
      <c r="CD14" s="2">
        <v>97.63</v>
      </c>
      <c r="CE14" s="2">
        <v>98.36</v>
      </c>
      <c r="CF14" s="2">
        <v>97.81999999999999</v>
      </c>
      <c r="CG14" s="2">
        <v>97.3</v>
      </c>
      <c r="CH14" s="2">
        <v>98.23</v>
      </c>
      <c r="CI14" s="2">
        <v>97.8</v>
      </c>
      <c r="CJ14" s="2">
        <v>97.36</v>
      </c>
      <c r="CK14" s="2">
        <v>97.59999999999999</v>
      </c>
      <c r="CL14" s="2">
        <v>97.28</v>
      </c>
      <c r="CM14" s="2">
        <v>98.22</v>
      </c>
      <c r="CN14" s="2">
        <v>97.81</v>
      </c>
      <c r="CO14" s="2">
        <v>96.34999999999999</v>
      </c>
      <c r="CP14" s="2">
        <v>97.40000000000001</v>
      </c>
      <c r="CQ14" s="2">
        <v>97.91</v>
      </c>
      <c r="CR14" s="2">
        <v>97.52</v>
      </c>
      <c r="CS14" s="2">
        <v>96.98999999999999</v>
      </c>
      <c r="CT14" s="2">
        <v>97.17</v>
      </c>
      <c r="CU14" s="2">
        <v>97.54000000000001</v>
      </c>
      <c r="CV14" s="2">
        <v>97.16</v>
      </c>
      <c r="CW14" s="2">
        <v>98.01000000000001</v>
      </c>
      <c r="CX14" s="2">
        <v>97.62</v>
      </c>
      <c r="CY14" s="2">
        <v>99.59999999999999</v>
      </c>
      <c r="CZ14" s="2">
        <v>100</v>
      </c>
      <c r="DA14" s="2">
        <v>99.56</v>
      </c>
      <c r="DB14" s="2">
        <v>101.45</v>
      </c>
      <c r="DC14" s="2">
        <v>101.77</v>
      </c>
      <c r="DD14" s="2">
        <v>101.37</v>
      </c>
      <c r="DE14" s="2">
        <v>100.54</v>
      </c>
      <c r="DF14" s="2">
        <v>101.08</v>
      </c>
      <c r="DG14" s="2">
        <v>101.41</v>
      </c>
      <c r="DH14" s="2">
        <v>106.13</v>
      </c>
      <c r="DI14" s="2">
        <v>106.74</v>
      </c>
      <c r="DJ14" s="2">
        <v>106.94</v>
      </c>
      <c r="DK14" s="2">
        <v>1.2</v>
      </c>
      <c r="DL14" s="2">
        <v>1.8</v>
      </c>
      <c r="DM14" s="2">
        <v>1.7</v>
      </c>
      <c r="DN14" s="2">
        <v>1.8</v>
      </c>
      <c r="DO14" s="2">
        <v>2</v>
      </c>
      <c r="DP14" s="2">
        <v>1</v>
      </c>
      <c r="DQ14" s="2">
        <v>1.7</v>
      </c>
      <c r="DR14" s="2">
        <v>2.9</v>
      </c>
      <c r="DS14" s="2">
        <v>3.1</v>
      </c>
      <c r="DT14" s="2">
        <v>3.7</v>
      </c>
      <c r="DU14" s="2">
        <v>4.2</v>
      </c>
      <c r="DV14" s="2">
        <v>7.5</v>
      </c>
      <c r="DW14" s="2">
        <v>7.9</v>
      </c>
      <c r="DX14" s="2">
        <v>6.5</v>
      </c>
      <c r="DY14" s="2">
        <v>6.7</v>
      </c>
      <c r="DZ14" s="2">
        <v>6.8</v>
      </c>
      <c r="EA14" s="2">
        <v>7.3</v>
      </c>
      <c r="EB14" s="2">
        <v>7.7</v>
      </c>
      <c r="EC14" s="2">
        <v>9.6</v>
      </c>
      <c r="ED14" s="2">
        <v>7.8</v>
      </c>
      <c r="EE14" s="2">
        <v>7.4</v>
      </c>
      <c r="EF14" s="2">
        <v>5.7</v>
      </c>
      <c r="EG14" s="2">
        <v>5.6</v>
      </c>
      <c r="EH14" s="2">
        <v>3.1</v>
      </c>
      <c r="EI14" s="2">
        <v>2.2</v>
      </c>
      <c r="EJ14" s="2">
        <v>2.5</v>
      </c>
      <c r="EK14" s="2">
        <v>2.1</v>
      </c>
      <c r="EL14" s="2">
        <v>2.4</v>
      </c>
      <c r="EM14" s="2">
        <v>1.5</v>
      </c>
      <c r="EN14" s="2">
        <v>1.7</v>
      </c>
      <c r="EO14" s="2">
        <v>-0.7</v>
      </c>
      <c r="EP14" s="2">
        <v>-0.6</v>
      </c>
      <c r="EQ14" s="2">
        <v>-0.5</v>
      </c>
      <c r="ER14" s="2">
        <v>1.1</v>
      </c>
      <c r="ES14" s="2">
        <v>0.9</v>
      </c>
      <c r="ET14" s="2">
        <v>0.8</v>
      </c>
      <c r="EU14" s="2">
        <v>0.5</v>
      </c>
      <c r="EV14" s="2">
        <v>0.3</v>
      </c>
      <c r="EW14" s="2">
        <v>0.4</v>
      </c>
      <c r="EX14" s="2">
        <v>3.2</v>
      </c>
      <c r="EY14" s="2">
        <v>4.1</v>
      </c>
      <c r="EZ14" s="2">
        <v>4.4</v>
      </c>
      <c r="FA14" s="2">
        <v>4.5</v>
      </c>
      <c r="FB14" s="2">
        <v>5.4</v>
      </c>
      <c r="FC14" s="2">
        <v>4.8</v>
      </c>
      <c r="FD14" s="2">
        <v>5.8</v>
      </c>
      <c r="FE14" s="2">
        <v>12.1</v>
      </c>
      <c r="FF14" s="2">
        <v>16.9</v>
      </c>
      <c r="FG14" s="2">
        <v>17.6</v>
      </c>
      <c r="FH14" s="2">
        <v>17.7</v>
      </c>
      <c r="FI14" s="2">
        <v>19.1</v>
      </c>
      <c r="FJ14" s="2">
        <v>15.6</v>
      </c>
      <c r="FK14" s="2">
        <v>14.9</v>
      </c>
      <c r="FL14" s="2">
        <v>15.7</v>
      </c>
      <c r="FM14" s="2">
        <v>16.4</v>
      </c>
      <c r="FN14" s="2">
        <v>14.6</v>
      </c>
      <c r="FO14" s="2">
        <v>15.8</v>
      </c>
      <c r="FP14" s="2">
        <v>14.1</v>
      </c>
      <c r="FQ14" s="2">
        <v>8.9</v>
      </c>
      <c r="FR14" s="2">
        <v>4.7</v>
      </c>
      <c r="FS14" s="2">
        <v>3</v>
      </c>
      <c r="FT14" s="2">
        <v>5.3</v>
      </c>
      <c r="FU14" s="2">
        <v>3.6</v>
      </c>
      <c r="FV14" s="2">
        <v>2.8</v>
      </c>
      <c r="FW14" s="2">
        <v>3.3</v>
      </c>
      <c r="FX14" s="2">
        <v>2.3</v>
      </c>
      <c r="FY14" s="2">
        <v>2</v>
      </c>
      <c r="FZ14" s="2">
        <v>2.5</v>
      </c>
      <c r="GA14" s="2">
        <v>2.2</v>
      </c>
      <c r="GB14" s="2">
        <v>2</v>
      </c>
      <c r="GC14" s="2">
        <v>0.5</v>
      </c>
      <c r="GD14" s="2">
        <v>1.2</v>
      </c>
      <c r="GE14" s="2">
        <v>1.8</v>
      </c>
      <c r="GF14" s="2">
        <v>-1.5</v>
      </c>
      <c r="GG14" s="2">
        <v>-0.2</v>
      </c>
      <c r="GH14" s="2">
        <v>-0.5</v>
      </c>
      <c r="GI14" s="2">
        <v>-0.3</v>
      </c>
      <c r="GJ14" s="2">
        <v>-0.3</v>
      </c>
      <c r="GK14" s="2">
        <v>-1.1</v>
      </c>
      <c r="GL14" s="2">
        <v>-0.3</v>
      </c>
      <c r="GM14" s="2">
        <v>-0.2</v>
      </c>
      <c r="GN14" s="2">
        <v>0.4</v>
      </c>
      <c r="GO14" s="2">
        <v>0.3</v>
      </c>
      <c r="GP14" s="2">
        <v>1.4</v>
      </c>
      <c r="GQ14" s="2">
        <v>2.2</v>
      </c>
      <c r="GR14" s="2">
        <v>3.3</v>
      </c>
      <c r="GS14" s="2">
        <v>4.2</v>
      </c>
      <c r="GT14" s="2">
        <v>3.9</v>
      </c>
      <c r="GU14" s="2">
        <v>3.9</v>
      </c>
      <c r="GV14" s="2">
        <v>3.7</v>
      </c>
      <c r="GW14" s="2">
        <v>4</v>
      </c>
      <c r="GX14" s="2">
        <v>4</v>
      </c>
      <c r="GY14" s="2">
        <v>9.199999999999999</v>
      </c>
      <c r="GZ14" s="2">
        <v>8.9</v>
      </c>
      <c r="HA14" s="2">
        <v>9.5</v>
      </c>
      <c r="HB14" s="2">
        <v>0.1</v>
      </c>
      <c r="HC14" s="2">
        <v>0.5</v>
      </c>
      <c r="HD14" s="2">
        <v>1.2</v>
      </c>
      <c r="HE14" s="2">
        <v>-1.1</v>
      </c>
      <c r="HF14" s="2">
        <v>-0.3</v>
      </c>
      <c r="HG14" s="2">
        <v>0.5</v>
      </c>
      <c r="HH14" s="2">
        <v>0.3</v>
      </c>
      <c r="HI14" s="2">
        <v>-0.5</v>
      </c>
      <c r="HJ14" s="2">
        <v>0.2</v>
      </c>
      <c r="HK14" s="2">
        <v>-0.1</v>
      </c>
      <c r="HL14" s="2">
        <v>-0.6</v>
      </c>
      <c r="HM14" s="2">
        <v>1</v>
      </c>
      <c r="HN14" s="2">
        <v>0.7</v>
      </c>
      <c r="HO14" s="2">
        <v>0.3</v>
      </c>
      <c r="HP14" s="2">
        <v>1.3</v>
      </c>
      <c r="HQ14" s="2">
        <v>-0.8</v>
      </c>
      <c r="HR14" s="2">
        <v>-1.2</v>
      </c>
      <c r="HS14" s="2">
        <v>1.2</v>
      </c>
      <c r="HT14" s="2">
        <v>1.5</v>
      </c>
      <c r="HU14" s="2">
        <v>-0.4</v>
      </c>
      <c r="HV14" s="2">
        <v>0.9</v>
      </c>
      <c r="HW14" s="2">
        <v>0.4</v>
      </c>
      <c r="HX14" s="2">
        <v>2.5</v>
      </c>
      <c r="HY14" s="2">
        <v>1.4</v>
      </c>
      <c r="HZ14" s="2">
        <v>-0.7</v>
      </c>
      <c r="IA14" s="2">
        <v>0.5</v>
      </c>
      <c r="IB14" s="2">
        <v>1.4</v>
      </c>
      <c r="IC14" s="2">
        <v>-0.3</v>
      </c>
      <c r="ID14" s="2">
        <v>-0.8</v>
      </c>
      <c r="IE14" s="2">
        <v>2.9</v>
      </c>
      <c r="IF14" s="2">
        <v>-0.2</v>
      </c>
      <c r="IG14" s="2">
        <v>-0.8</v>
      </c>
      <c r="IH14" s="2">
        <v>-0.7</v>
      </c>
      <c r="II14" s="2">
        <v>0.3</v>
      </c>
      <c r="IJ14" s="2">
        <v>0</v>
      </c>
      <c r="IK14" s="2">
        <v>0.4</v>
      </c>
      <c r="IL14" s="2">
        <v>-0.3</v>
      </c>
      <c r="IM14" s="2">
        <v>0.1</v>
      </c>
      <c r="IN14" s="2">
        <v>1.8</v>
      </c>
      <c r="IO14" s="2">
        <v>-1.2</v>
      </c>
      <c r="IP14" s="2">
        <v>-0.6</v>
      </c>
      <c r="IQ14" s="2">
        <v>0.5</v>
      </c>
      <c r="IR14" s="2">
        <v>-0.1</v>
      </c>
      <c r="IS14" s="2">
        <v>-0.6</v>
      </c>
      <c r="IT14" s="2">
        <v>0.9</v>
      </c>
      <c r="IU14" s="2">
        <v>0.1</v>
      </c>
      <c r="IV14" s="2">
        <v>0</v>
      </c>
      <c r="IW14" s="2">
        <v>0.1</v>
      </c>
      <c r="IX14" s="2">
        <v>-0.5</v>
      </c>
      <c r="IY14" s="2">
        <v>0.2</v>
      </c>
      <c r="IZ14" s="2">
        <v>4.6</v>
      </c>
      <c r="JA14" s="2">
        <v>-0.4</v>
      </c>
      <c r="JB14" s="2">
        <v>-0.3</v>
      </c>
      <c r="JC14" s="2">
        <v>0.7</v>
      </c>
      <c r="JD14" s="2">
        <v>0.7</v>
      </c>
      <c r="JE14" s="2">
        <v>-1.2</v>
      </c>
      <c r="JF14" s="2">
        <v>1.9</v>
      </c>
      <c r="JG14" s="2">
        <v>6</v>
      </c>
      <c r="JH14" s="2">
        <v>4.3</v>
      </c>
      <c r="JI14" s="2">
        <v>0.6</v>
      </c>
      <c r="JJ14" s="2">
        <v>-0.4</v>
      </c>
      <c r="JK14" s="2">
        <v>1.4</v>
      </c>
      <c r="JL14" s="2">
        <v>1.5</v>
      </c>
      <c r="JM14" s="2">
        <v>-1</v>
      </c>
      <c r="JN14" s="2">
        <v>0.4</v>
      </c>
      <c r="JO14" s="2">
        <v>1.3</v>
      </c>
      <c r="JP14" s="2">
        <v>-0.9</v>
      </c>
      <c r="JQ14" s="2">
        <v>-0.1</v>
      </c>
      <c r="JR14" s="2">
        <v>0.4</v>
      </c>
      <c r="JS14" s="2">
        <v>1.2</v>
      </c>
      <c r="JT14" s="2">
        <v>0.3</v>
      </c>
      <c r="JU14" s="2">
        <v>-1</v>
      </c>
      <c r="JV14" s="2">
        <v>1.8</v>
      </c>
      <c r="JW14" s="2">
        <v>-0.2</v>
      </c>
      <c r="JX14" s="2">
        <v>0.7</v>
      </c>
      <c r="JY14" s="2">
        <v>-0.5</v>
      </c>
      <c r="JZ14" s="2">
        <v>-0.5</v>
      </c>
      <c r="KA14" s="2">
        <v>1</v>
      </c>
      <c r="KB14" s="2">
        <v>-0.4</v>
      </c>
      <c r="KC14" s="2">
        <v>-0.4</v>
      </c>
      <c r="KD14" s="2">
        <v>0.2</v>
      </c>
      <c r="KE14" s="2">
        <v>-0.3</v>
      </c>
      <c r="KF14" s="2">
        <v>1</v>
      </c>
      <c r="KG14" s="2">
        <v>-0.4</v>
      </c>
      <c r="KH14" s="2">
        <v>-1.5</v>
      </c>
      <c r="KI14" s="2">
        <v>1.1</v>
      </c>
      <c r="KJ14" s="2">
        <v>0.5</v>
      </c>
      <c r="KK14" s="2">
        <v>-0.4</v>
      </c>
      <c r="KL14" s="2">
        <v>-0.5</v>
      </c>
      <c r="KM14" s="2">
        <v>0.2</v>
      </c>
      <c r="KN14" s="2">
        <v>0.4</v>
      </c>
      <c r="KO14" s="2">
        <v>-0.4</v>
      </c>
      <c r="KP14" s="2">
        <v>0.9</v>
      </c>
      <c r="KQ14" s="2">
        <v>-0.4</v>
      </c>
      <c r="KR14" s="2">
        <v>2</v>
      </c>
      <c r="KS14" s="2">
        <v>0.4</v>
      </c>
      <c r="KT14" s="2">
        <v>-0.4</v>
      </c>
      <c r="KU14" s="2">
        <v>1.9</v>
      </c>
      <c r="KV14" s="2">
        <v>0.3</v>
      </c>
      <c r="KW14" s="2">
        <v>-0.4</v>
      </c>
      <c r="KX14" s="2">
        <v>-0.8</v>
      </c>
      <c r="KY14" s="2">
        <v>0.5</v>
      </c>
      <c r="KZ14" s="2">
        <v>0.3</v>
      </c>
      <c r="LA14" s="2">
        <v>4.7</v>
      </c>
      <c r="LB14" s="2">
        <v>0.6</v>
      </c>
      <c r="LC14" s="2">
        <v>0.2</v>
      </c>
      <c r="LD14" s="2">
        <v>0.41</v>
      </c>
      <c r="LE14" s="2">
        <v>0.41</v>
      </c>
      <c r="LF14" s="2">
        <v>0.4</v>
      </c>
      <c r="LG14" s="2">
        <v>0.4</v>
      </c>
      <c r="LH14" s="2">
        <v>0.41</v>
      </c>
      <c r="LI14" s="2">
        <v>0.4</v>
      </c>
      <c r="LJ14" s="2">
        <v>0.41</v>
      </c>
      <c r="LK14" s="2">
        <v>0.41</v>
      </c>
      <c r="LL14" s="2">
        <v>0.41</v>
      </c>
      <c r="LM14" s="2">
        <v>0.42</v>
      </c>
      <c r="LN14" s="2">
        <v>0.41</v>
      </c>
      <c r="LO14" s="2">
        <v>0.42</v>
      </c>
      <c r="LP14" s="2">
        <v>0.42</v>
      </c>
      <c r="LQ14" s="2">
        <v>0.42</v>
      </c>
      <c r="LR14" s="2">
        <v>0.42</v>
      </c>
      <c r="LS14" s="2">
        <v>0.42</v>
      </c>
      <c r="LT14" s="2">
        <v>0.42</v>
      </c>
      <c r="LU14" s="2">
        <v>0.44</v>
      </c>
      <c r="LV14" s="2">
        <v>0.44</v>
      </c>
      <c r="LW14" s="2">
        <v>0.45</v>
      </c>
      <c r="LX14" s="2">
        <v>0</v>
      </c>
      <c r="LY14" s="2">
        <v>-0.01</v>
      </c>
      <c r="LZ14" s="2">
        <v>0</v>
      </c>
      <c r="MA14" s="2">
        <v>0.01</v>
      </c>
      <c r="MB14" s="2">
        <v>-0.01</v>
      </c>
      <c r="MC14" s="2">
        <v>0.01</v>
      </c>
      <c r="MD14" s="2">
        <v>0</v>
      </c>
      <c r="ME14" s="2">
        <v>0</v>
      </c>
      <c r="MF14" s="2">
        <v>0.01</v>
      </c>
      <c r="MG14" s="2">
        <v>-0.01</v>
      </c>
      <c r="MH14" s="2">
        <v>0.01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0.02</v>
      </c>
      <c r="MO14" s="2">
        <v>0</v>
      </c>
      <c r="MP14" s="2">
        <v>0.01</v>
      </c>
      <c r="RO14" s="2">
        <v>22.73</v>
      </c>
      <c r="RP14" s="2">
        <v>23.98</v>
      </c>
      <c r="RQ14" s="2">
        <v>24.66</v>
      </c>
      <c r="RR14" s="2">
        <v>25.26</v>
      </c>
      <c r="RS14" s="2">
        <v>25.83</v>
      </c>
      <c r="RT14" s="2">
        <v>26.67</v>
      </c>
      <c r="RU14" s="2">
        <v>25.87</v>
      </c>
      <c r="RV14" s="2">
        <v>26.36</v>
      </c>
      <c r="RW14" s="2">
        <v>26.78</v>
      </c>
      <c r="RX14" s="2">
        <v>27.31</v>
      </c>
      <c r="RY14" s="2">
        <v>27.35</v>
      </c>
      <c r="RZ14" s="2">
        <v>27.65</v>
      </c>
      <c r="SA14" s="2">
        <v>27.76</v>
      </c>
      <c r="SB14" s="2">
        <v>28.64</v>
      </c>
      <c r="SC14" s="2">
        <v>28.98</v>
      </c>
      <c r="SD14" s="2">
        <v>29.05</v>
      </c>
      <c r="SE14" s="2">
        <v>29.05</v>
      </c>
      <c r="SF14" s="2">
        <v>29.01</v>
      </c>
      <c r="SG14" s="2">
        <v>29.85</v>
      </c>
      <c r="SH14" s="2">
        <v>30.19</v>
      </c>
      <c r="SI14" s="2">
        <v>30.6</v>
      </c>
      <c r="SJ14" s="2">
        <v>31.17</v>
      </c>
      <c r="SK14" s="2">
        <v>31.67</v>
      </c>
      <c r="SL14" s="2">
        <v>32.31</v>
      </c>
      <c r="SM14" s="2">
        <v>32.76</v>
      </c>
      <c r="SN14" s="2">
        <v>32.92</v>
      </c>
      <c r="SO14" s="2">
        <v>33.14</v>
      </c>
      <c r="SP14" s="2">
        <v>33.56</v>
      </c>
      <c r="SQ14" s="2">
        <v>34.13</v>
      </c>
      <c r="SR14" s="2">
        <v>34.47</v>
      </c>
      <c r="SS14" s="2">
        <v>34.85</v>
      </c>
      <c r="ST14" s="2">
        <v>35.26</v>
      </c>
      <c r="SU14" s="2">
        <v>35.6</v>
      </c>
      <c r="SV14" s="2">
        <v>36.1</v>
      </c>
      <c r="SW14" s="2">
        <v>37.12</v>
      </c>
      <c r="SX14" s="2">
        <v>36.97</v>
      </c>
      <c r="SY14" s="2">
        <v>36.97</v>
      </c>
      <c r="SZ14" s="2">
        <v>37.61</v>
      </c>
      <c r="TA14" s="2">
        <v>38.26</v>
      </c>
      <c r="TB14" s="2">
        <v>38.67</v>
      </c>
      <c r="TC14" s="2">
        <v>39.01</v>
      </c>
      <c r="TD14" s="2">
        <v>39.81</v>
      </c>
      <c r="TE14" s="2">
        <v>40.64</v>
      </c>
      <c r="TF14" s="2">
        <v>41.25</v>
      </c>
      <c r="TG14" s="2">
        <v>42.2</v>
      </c>
      <c r="TH14" s="2">
        <v>42.8</v>
      </c>
      <c r="TI14" s="2">
        <v>42.92</v>
      </c>
      <c r="TJ14" s="2">
        <v>43.45</v>
      </c>
      <c r="TK14" s="2">
        <v>43.48</v>
      </c>
      <c r="TL14" s="2">
        <v>43.71</v>
      </c>
      <c r="TM14" s="2">
        <v>44.32</v>
      </c>
      <c r="TN14" s="2">
        <v>45.23</v>
      </c>
      <c r="TO14" s="2">
        <v>45.64</v>
      </c>
      <c r="TP14" s="2">
        <v>45.98</v>
      </c>
      <c r="TQ14" s="2">
        <v>46.48</v>
      </c>
      <c r="TR14" s="2">
        <v>46.7</v>
      </c>
      <c r="TS14" s="2">
        <v>47.23</v>
      </c>
      <c r="TT14" s="2">
        <v>47.91</v>
      </c>
      <c r="TU14" s="2">
        <v>48.67</v>
      </c>
      <c r="TV14" s="2">
        <v>49.43</v>
      </c>
      <c r="TW14" s="2">
        <v>50.34</v>
      </c>
      <c r="TX14" s="2">
        <v>50.76</v>
      </c>
      <c r="TY14" s="2">
        <v>51.63</v>
      </c>
      <c r="TZ14" s="2">
        <v>52.04</v>
      </c>
      <c r="UA14" s="2">
        <v>52.88</v>
      </c>
      <c r="UB14" s="2">
        <v>53.26</v>
      </c>
      <c r="UC14" s="2">
        <v>54.32</v>
      </c>
      <c r="UD14" s="2">
        <v>54.66</v>
      </c>
      <c r="UE14" s="2">
        <v>55.04</v>
      </c>
      <c r="UF14" s="2">
        <v>55.68</v>
      </c>
      <c r="UG14" s="2">
        <v>56.29</v>
      </c>
      <c r="UH14" s="2">
        <v>56.4</v>
      </c>
      <c r="UI14" s="2">
        <v>56.48</v>
      </c>
      <c r="UJ14" s="2">
        <v>56.88</v>
      </c>
      <c r="UK14" s="2">
        <v>57.61</v>
      </c>
      <c r="UL14" s="2">
        <v>57.79</v>
      </c>
      <c r="UM14" s="2">
        <v>58.31</v>
      </c>
      <c r="UN14" s="2">
        <v>59.7</v>
      </c>
      <c r="UO14" s="2">
        <v>60.49</v>
      </c>
      <c r="UP14" s="2">
        <v>61.61</v>
      </c>
      <c r="UQ14" s="2">
        <v>60.05</v>
      </c>
      <c r="UR14" s="2">
        <v>58.06</v>
      </c>
      <c r="US14" s="2">
        <v>58.18</v>
      </c>
      <c r="UT14" s="2">
        <v>58.44</v>
      </c>
      <c r="UU14" s="2">
        <v>59.15</v>
      </c>
      <c r="UV14" s="2">
        <v>61.53</v>
      </c>
      <c r="UW14" s="2">
        <v>61.76</v>
      </c>
      <c r="UX14" s="2">
        <v>62.23</v>
      </c>
      <c r="UY14" s="2">
        <v>62.51</v>
      </c>
      <c r="UZ14" s="2">
        <v>64.09</v>
      </c>
      <c r="VA14" s="2">
        <v>64.83</v>
      </c>
      <c r="VB14" s="2">
        <v>65.33</v>
      </c>
      <c r="VC14" s="2">
        <v>65.11</v>
      </c>
      <c r="VD14" s="2">
        <v>65.56999999999999</v>
      </c>
      <c r="VE14" s="2">
        <v>65.84</v>
      </c>
      <c r="VF14" s="2">
        <v>66.65000000000001</v>
      </c>
      <c r="VG14" s="2">
        <v>67.08</v>
      </c>
      <c r="VH14" s="2">
        <v>67.25</v>
      </c>
      <c r="VI14" s="2">
        <v>68.45999999999999</v>
      </c>
      <c r="VJ14" s="2">
        <v>69.73999999999999</v>
      </c>
      <c r="VK14" s="2">
        <v>69.55</v>
      </c>
      <c r="VL14" s="2">
        <v>71.16</v>
      </c>
      <c r="VM14" s="2">
        <v>71.37</v>
      </c>
      <c r="VN14" s="2">
        <v>72.06</v>
      </c>
      <c r="VO14" s="2">
        <v>72.64</v>
      </c>
      <c r="VP14" s="2">
        <v>73.45999999999999</v>
      </c>
      <c r="VQ14" s="2">
        <v>74.19</v>
      </c>
      <c r="VR14" s="2">
        <v>74.75</v>
      </c>
      <c r="VS14" s="2">
        <v>76.59</v>
      </c>
      <c r="VT14" s="2">
        <v>80.88</v>
      </c>
      <c r="VU14" s="2">
        <v>82.81999999999999</v>
      </c>
      <c r="VV14" s="2">
        <v>83.8</v>
      </c>
      <c r="VW14" s="2">
        <v>84.95</v>
      </c>
      <c r="VX14" s="2">
        <v>85.98999999999999</v>
      </c>
      <c r="VY14" s="2">
        <v>84.66</v>
      </c>
      <c r="VZ14" s="2">
        <v>82.12</v>
      </c>
      <c r="WA14" s="2">
        <v>81.72</v>
      </c>
      <c r="WB14" s="2">
        <v>81.88</v>
      </c>
      <c r="WC14" s="2">
        <v>81.97</v>
      </c>
      <c r="WD14" s="2">
        <v>82.20999999999999</v>
      </c>
      <c r="WE14" s="2">
        <v>82.20999999999999</v>
      </c>
      <c r="WF14" s="2">
        <v>81.90000000000001</v>
      </c>
      <c r="WG14" s="2">
        <v>76.84</v>
      </c>
      <c r="WH14" s="2">
        <v>73.31999999999999</v>
      </c>
      <c r="WI14" s="2">
        <v>73.54000000000001</v>
      </c>
      <c r="WJ14" s="2">
        <v>73.59</v>
      </c>
      <c r="WK14" s="2">
        <v>73.79000000000001</v>
      </c>
      <c r="WL14" s="2">
        <v>73.66</v>
      </c>
      <c r="WM14" s="2">
        <v>73.29000000000001</v>
      </c>
      <c r="WN14" s="2">
        <v>72.98999999999999</v>
      </c>
      <c r="WO14" s="2">
        <v>71.90000000000001</v>
      </c>
      <c r="WP14" s="2">
        <v>71.23</v>
      </c>
      <c r="WQ14" s="2">
        <v>71.55</v>
      </c>
      <c r="WR14" s="2">
        <v>71.84999999999999</v>
      </c>
      <c r="WS14" s="2">
        <v>71.95</v>
      </c>
      <c r="WT14" s="2">
        <v>71.95</v>
      </c>
      <c r="WU14" s="2">
        <v>71.83</v>
      </c>
      <c r="WV14" s="2">
        <v>71.92</v>
      </c>
      <c r="WW14" s="2">
        <v>71.88</v>
      </c>
      <c r="WX14" s="2">
        <v>71.55</v>
      </c>
      <c r="WY14" s="2">
        <v>71.37</v>
      </c>
      <c r="WZ14" s="2">
        <v>71.03</v>
      </c>
      <c r="XA14" s="2">
        <v>71.15000000000001</v>
      </c>
      <c r="XB14" s="2">
        <v>71.16</v>
      </c>
      <c r="XC14" s="2">
        <v>71.14</v>
      </c>
      <c r="XD14" s="2">
        <v>70.97</v>
      </c>
      <c r="XE14" s="2">
        <v>71.23999999999999</v>
      </c>
      <c r="XF14" s="2">
        <v>71.06999999999999</v>
      </c>
      <c r="XG14" s="2">
        <v>70.95999999999999</v>
      </c>
      <c r="XH14" s="2">
        <v>71.41</v>
      </c>
      <c r="XI14" s="2">
        <v>71.31999999999999</v>
      </c>
      <c r="XJ14" s="2">
        <v>71.78</v>
      </c>
      <c r="XK14" s="2">
        <v>71.34</v>
      </c>
      <c r="XL14" s="2">
        <v>72.8</v>
      </c>
      <c r="XM14" s="2">
        <v>72.5</v>
      </c>
      <c r="XN14" s="2">
        <v>73.90000000000001</v>
      </c>
      <c r="XO14" s="2">
        <v>76.16</v>
      </c>
      <c r="XP14" s="2">
        <v>77.47</v>
      </c>
      <c r="XQ14" s="2">
        <v>78.09</v>
      </c>
      <c r="XR14" s="2">
        <v>78.62</v>
      </c>
      <c r="XS14" s="2">
        <v>78.37</v>
      </c>
      <c r="XT14" s="2">
        <v>78.91</v>
      </c>
      <c r="XU14" s="2">
        <v>78.7</v>
      </c>
      <c r="XV14" s="2">
        <v>78.61</v>
      </c>
      <c r="XW14" s="2">
        <v>78.88</v>
      </c>
      <c r="XX14" s="2">
        <v>79.95999999999999</v>
      </c>
      <c r="XY14" s="2">
        <v>82.13</v>
      </c>
      <c r="XZ14" s="2">
        <v>82.8</v>
      </c>
      <c r="YA14" s="2">
        <v>91.63</v>
      </c>
      <c r="YB14" s="2">
        <v>94.26000000000001</v>
      </c>
      <c r="YC14" s="2">
        <v>95.38</v>
      </c>
      <c r="YD14" s="2">
        <v>95.44</v>
      </c>
      <c r="YE14" s="2">
        <v>96.65000000000001</v>
      </c>
      <c r="YF14" s="2">
        <v>97.95</v>
      </c>
      <c r="YG14" s="2">
        <v>97.78</v>
      </c>
      <c r="YH14" s="2">
        <v>97.59</v>
      </c>
      <c r="YI14" s="2">
        <v>97.77</v>
      </c>
      <c r="YJ14" s="2">
        <v>97.22</v>
      </c>
      <c r="YK14" s="2">
        <v>97.23</v>
      </c>
      <c r="YL14" s="2">
        <v>97.56999999999999</v>
      </c>
      <c r="YM14" s="2">
        <v>99.06999999999999</v>
      </c>
      <c r="YN14" s="2">
        <v>100.93</v>
      </c>
      <c r="YO14" s="2">
        <v>101</v>
      </c>
      <c r="YP14" s="2">
        <v>104.76</v>
      </c>
      <c r="ADO14" s="2">
        <v>5.5</v>
      </c>
      <c r="ADP14" s="2">
        <v>2.8</v>
      </c>
      <c r="ADQ14" s="2">
        <v>2.4</v>
      </c>
      <c r="ADR14" s="2">
        <v>2.3</v>
      </c>
      <c r="ADS14" s="2">
        <v>3.3</v>
      </c>
      <c r="ADT14" s="2">
        <v>-3</v>
      </c>
      <c r="ADU14" s="2">
        <v>1.9</v>
      </c>
      <c r="ADV14" s="2">
        <v>1.6</v>
      </c>
      <c r="ADW14" s="2">
        <v>2</v>
      </c>
      <c r="ADX14" s="2">
        <v>0.1</v>
      </c>
      <c r="ADY14" s="2">
        <v>1.1</v>
      </c>
      <c r="ADZ14" s="2">
        <v>0.4</v>
      </c>
      <c r="AEA14" s="2">
        <v>3.2</v>
      </c>
      <c r="AEB14" s="2">
        <v>1.2</v>
      </c>
      <c r="AEC14" s="2">
        <v>0.2</v>
      </c>
      <c r="AED14" s="2">
        <v>0</v>
      </c>
      <c r="AEE14" s="2">
        <v>-0.1</v>
      </c>
      <c r="AEF14" s="2">
        <v>2.9</v>
      </c>
      <c r="AEG14" s="2">
        <v>1.1</v>
      </c>
      <c r="AEH14" s="2">
        <v>1.4</v>
      </c>
      <c r="AEI14" s="2">
        <v>1.9</v>
      </c>
      <c r="AEJ14" s="2">
        <v>1.6</v>
      </c>
      <c r="AEK14" s="2">
        <v>2</v>
      </c>
      <c r="AEL14" s="2">
        <v>1.4</v>
      </c>
      <c r="AEM14" s="2">
        <v>0.5</v>
      </c>
      <c r="AEN14" s="2">
        <v>0.7</v>
      </c>
      <c r="AEO14" s="2">
        <v>1.3</v>
      </c>
      <c r="AEP14" s="2">
        <v>1.7</v>
      </c>
      <c r="AEQ14" s="2">
        <v>1</v>
      </c>
      <c r="AER14" s="2">
        <v>1.1</v>
      </c>
      <c r="AES14" s="2">
        <v>1.2</v>
      </c>
      <c r="AET14" s="2">
        <v>1</v>
      </c>
      <c r="AEU14" s="2">
        <v>1.4</v>
      </c>
      <c r="AEV14" s="2">
        <v>2.8</v>
      </c>
      <c r="AEW14" s="2">
        <v>-0.4</v>
      </c>
      <c r="AEX14" s="2">
        <v>0</v>
      </c>
      <c r="AEY14" s="2">
        <v>1.7</v>
      </c>
      <c r="AEZ14" s="2">
        <v>1.7</v>
      </c>
      <c r="AFA14" s="2">
        <v>1.1</v>
      </c>
      <c r="AFB14" s="2">
        <v>0.9</v>
      </c>
      <c r="AFC14" s="2">
        <v>2.1</v>
      </c>
      <c r="AFD14" s="2">
        <v>2.1</v>
      </c>
      <c r="AFE14" s="2">
        <v>1.5</v>
      </c>
      <c r="AFF14" s="2">
        <v>2.3</v>
      </c>
      <c r="AFG14" s="2">
        <v>1.4</v>
      </c>
      <c r="AFH14" s="2">
        <v>0.3</v>
      </c>
      <c r="AFI14" s="2">
        <v>1.2</v>
      </c>
      <c r="AFJ14" s="2">
        <v>0.1</v>
      </c>
      <c r="AFK14" s="2">
        <v>0.5</v>
      </c>
      <c r="AFL14" s="2">
        <v>1.4</v>
      </c>
      <c r="AFM14" s="2">
        <v>2.1</v>
      </c>
      <c r="AFN14" s="2">
        <v>0.9</v>
      </c>
      <c r="AFO14" s="2">
        <v>0.7</v>
      </c>
      <c r="AFP14" s="2">
        <v>1.1</v>
      </c>
      <c r="AFQ14" s="2">
        <v>0.5</v>
      </c>
      <c r="AFR14" s="2">
        <v>1.1</v>
      </c>
      <c r="AFS14" s="2">
        <v>1.4</v>
      </c>
      <c r="AFT14" s="2">
        <v>1.6</v>
      </c>
      <c r="AFU14" s="2">
        <v>1.6</v>
      </c>
      <c r="AFV14" s="2">
        <v>1.8</v>
      </c>
      <c r="AFW14" s="2">
        <v>0.8</v>
      </c>
      <c r="AFX14" s="2">
        <v>1.7</v>
      </c>
      <c r="AFY14" s="2">
        <v>0.8</v>
      </c>
      <c r="AFZ14" s="2">
        <v>1.6</v>
      </c>
      <c r="AGA14" s="2">
        <v>0.7</v>
      </c>
      <c r="AGB14" s="2">
        <v>2</v>
      </c>
      <c r="AGC14" s="2">
        <v>0.6</v>
      </c>
      <c r="AGD14" s="2">
        <v>0.7</v>
      </c>
      <c r="AGE14" s="2">
        <v>1.2</v>
      </c>
      <c r="AGF14" s="2">
        <v>1.1</v>
      </c>
      <c r="AGG14" s="2">
        <v>0.2</v>
      </c>
      <c r="AGH14" s="2">
        <v>0.1</v>
      </c>
      <c r="AGI14" s="2">
        <v>0.7</v>
      </c>
      <c r="AGJ14" s="2">
        <v>1.3</v>
      </c>
      <c r="AGK14" s="2">
        <v>0.3</v>
      </c>
      <c r="AGL14" s="2">
        <v>0.9</v>
      </c>
      <c r="AGM14" s="2">
        <v>2.4</v>
      </c>
      <c r="AGN14" s="2">
        <v>1.3</v>
      </c>
      <c r="AGO14" s="2">
        <v>1.9</v>
      </c>
      <c r="AGP14" s="2">
        <v>-2.5</v>
      </c>
      <c r="AGQ14" s="2">
        <v>-3.3</v>
      </c>
      <c r="AGR14" s="2">
        <v>0.2</v>
      </c>
      <c r="AGS14" s="2">
        <v>0.4</v>
      </c>
      <c r="AGT14" s="2">
        <v>1.2</v>
      </c>
      <c r="AGU14" s="2">
        <v>4</v>
      </c>
      <c r="AGV14" s="2">
        <v>0.4</v>
      </c>
      <c r="AGW14" s="2">
        <v>0.8</v>
      </c>
      <c r="AGX14" s="2">
        <v>0.4</v>
      </c>
      <c r="AGY14" s="2">
        <v>2.5</v>
      </c>
      <c r="AGZ14" s="2">
        <v>1.2</v>
      </c>
      <c r="AHA14" s="2">
        <v>0.8</v>
      </c>
      <c r="AHB14" s="2">
        <v>-0.3</v>
      </c>
      <c r="AHC14" s="2">
        <v>0.7</v>
      </c>
      <c r="AHD14" s="2">
        <v>0.4</v>
      </c>
      <c r="AHE14" s="2">
        <v>1.2</v>
      </c>
      <c r="AHF14" s="2">
        <v>0.6</v>
      </c>
      <c r="AHG14" s="2">
        <v>0.3</v>
      </c>
      <c r="AHH14" s="2">
        <v>1.8</v>
      </c>
      <c r="AHI14" s="2">
        <v>1.9</v>
      </c>
      <c r="AHJ14" s="2">
        <v>-0.3</v>
      </c>
      <c r="AHK14" s="2">
        <v>2.3</v>
      </c>
      <c r="AHL14" s="2">
        <v>0.3</v>
      </c>
      <c r="AHM14" s="2">
        <v>1</v>
      </c>
      <c r="AHN14" s="2">
        <v>0.8</v>
      </c>
      <c r="AHO14" s="2">
        <v>1.1</v>
      </c>
      <c r="AHP14" s="2">
        <v>1</v>
      </c>
      <c r="AHQ14" s="2">
        <v>0.8</v>
      </c>
      <c r="AHR14" s="2">
        <v>2.5</v>
      </c>
      <c r="AHS14" s="2">
        <v>5.6</v>
      </c>
      <c r="AHT14" s="2">
        <v>2.4</v>
      </c>
      <c r="AHU14" s="2">
        <v>1.2</v>
      </c>
      <c r="AHV14" s="2">
        <v>1.4</v>
      </c>
      <c r="AHW14" s="2">
        <v>1.2</v>
      </c>
      <c r="AHX14" s="2">
        <v>-1.5</v>
      </c>
      <c r="AHY14" s="2">
        <v>-3</v>
      </c>
      <c r="AHZ14" s="2">
        <v>-0.5</v>
      </c>
      <c r="AIA14" s="2">
        <v>0.2</v>
      </c>
      <c r="AIB14" s="2">
        <v>0.1</v>
      </c>
      <c r="AIC14" s="2">
        <v>0.3</v>
      </c>
      <c r="AID14" s="2">
        <v>0</v>
      </c>
      <c r="AIE14" s="2">
        <v>-0.4</v>
      </c>
      <c r="AIF14" s="2">
        <v>-6.2</v>
      </c>
      <c r="AIG14" s="2">
        <v>-4.6</v>
      </c>
      <c r="AIH14" s="2">
        <v>0.3</v>
      </c>
      <c r="AII14" s="2">
        <v>0.1</v>
      </c>
      <c r="AIJ14" s="2">
        <v>0.3</v>
      </c>
      <c r="AIK14" s="2">
        <v>-0.2</v>
      </c>
      <c r="AIL14" s="2">
        <v>-0.5</v>
      </c>
      <c r="AIM14" s="2">
        <v>-0.4</v>
      </c>
      <c r="AIN14" s="2">
        <v>-1.5</v>
      </c>
      <c r="AIO14" s="2">
        <v>-0.9</v>
      </c>
      <c r="AIP14" s="2">
        <v>0.4</v>
      </c>
      <c r="AIQ14" s="2">
        <v>0.4</v>
      </c>
      <c r="AIR14" s="2">
        <v>0.1</v>
      </c>
      <c r="AIS14" s="2">
        <v>0</v>
      </c>
      <c r="AIT14" s="2">
        <v>-0.2</v>
      </c>
      <c r="AIU14" s="2">
        <v>0.1</v>
      </c>
      <c r="AIV14" s="2">
        <v>-0.1</v>
      </c>
      <c r="AIW14" s="2">
        <v>-0.5</v>
      </c>
      <c r="AIX14" s="2">
        <v>-0.3</v>
      </c>
      <c r="AIY14" s="2">
        <v>-0.5</v>
      </c>
      <c r="AIZ14" s="2">
        <v>0.2</v>
      </c>
      <c r="AJA14" s="2">
        <v>0</v>
      </c>
      <c r="AJB14" s="2">
        <v>0</v>
      </c>
      <c r="AJC14" s="2">
        <v>-0.2</v>
      </c>
      <c r="AJD14" s="2">
        <v>0.4</v>
      </c>
      <c r="AJE14" s="2">
        <v>-0.2</v>
      </c>
      <c r="AJF14" s="2">
        <v>-0.2</v>
      </c>
      <c r="AJG14" s="2">
        <v>0.6</v>
      </c>
      <c r="AJH14" s="2">
        <v>-0.1</v>
      </c>
      <c r="AJI14" s="2">
        <v>0.6</v>
      </c>
      <c r="AJJ14" s="2">
        <v>-0.6</v>
      </c>
      <c r="AJK14" s="2">
        <v>2</v>
      </c>
      <c r="AJL14" s="2">
        <v>-0.4</v>
      </c>
      <c r="AJM14" s="2">
        <v>1.9</v>
      </c>
      <c r="AJN14" s="2">
        <v>3.1</v>
      </c>
      <c r="AJO14" s="2">
        <v>1.7</v>
      </c>
      <c r="AJP14" s="2">
        <v>0.8</v>
      </c>
      <c r="AJQ14" s="2">
        <v>0.7</v>
      </c>
      <c r="AJR14" s="2">
        <v>-0.3</v>
      </c>
      <c r="AJS14" s="2">
        <v>0.7</v>
      </c>
      <c r="AJT14" s="2">
        <v>-0.3</v>
      </c>
      <c r="AJU14" s="2">
        <v>-0.1</v>
      </c>
      <c r="AJV14" s="2">
        <v>0.3</v>
      </c>
      <c r="AJW14" s="2">
        <v>1.4</v>
      </c>
      <c r="AJX14" s="2">
        <v>2.7</v>
      </c>
      <c r="AJY14" s="2">
        <v>0.8</v>
      </c>
      <c r="AJZ14" s="2">
        <v>10.7</v>
      </c>
      <c r="AKA14" s="2">
        <v>2.9</v>
      </c>
      <c r="AKB14" s="2">
        <v>1.2</v>
      </c>
      <c r="AKC14" s="2">
        <v>0.1</v>
      </c>
      <c r="AKD14" s="2">
        <v>1.3</v>
      </c>
      <c r="AKE14" s="2">
        <v>1.3</v>
      </c>
      <c r="AKF14" s="2">
        <v>-0.2</v>
      </c>
      <c r="AKG14" s="2">
        <v>-0.2</v>
      </c>
      <c r="AKH14" s="2">
        <v>0.2</v>
      </c>
      <c r="AKI14" s="2">
        <v>-0.6</v>
      </c>
      <c r="AKJ14" s="2">
        <v>0</v>
      </c>
      <c r="AKK14" s="2">
        <v>0.3</v>
      </c>
      <c r="AKL14" s="2">
        <v>1.5</v>
      </c>
      <c r="AKM14" s="2">
        <v>1.9</v>
      </c>
      <c r="AKN14" s="2">
        <v>0.1</v>
      </c>
      <c r="AKO14" s="2">
        <v>3.7</v>
      </c>
      <c r="AKP14" s="2">
        <v>0.42</v>
      </c>
      <c r="AKQ14" s="2">
        <v>0.42</v>
      </c>
      <c r="AKR14" s="2">
        <v>0.44</v>
      </c>
    </row>
    <row r="15">
      <c r="A15" t="inlineStr">
        <is>
          <t>Cheese</t>
        </is>
      </c>
      <c r="B15" t="inlineStr">
        <is>
          <t>Dairy and related products</t>
        </is>
      </c>
      <c r="C15">
        <v>3</v>
      </c>
      <c r="D15">
        <v>0.34</v>
      </c>
      <c r="E15" s="3">
        <f>D15/1.08*0.010793796668581275</f>
        <v>0.0033980470993681794</v>
      </c>
      <c r="F15" s="3">
        <f>E15-D15/100</f>
        <v>-1.952900631820801e-06</v>
      </c>
      <c r="G15" s="3">
        <f>D15/1.08</f>
        <v>0.3148148148148148</v>
      </c>
      <c r="H15" s="2">
        <v>71.61</v>
      </c>
      <c r="I15" s="2">
        <v>72.47</v>
      </c>
      <c r="J15" s="2">
        <v>72.48</v>
      </c>
      <c r="K15" s="2">
        <v>72.7</v>
      </c>
      <c r="L15" s="2">
        <v>72.84999999999999</v>
      </c>
      <c r="M15" s="2">
        <v>72.91</v>
      </c>
      <c r="N15" s="2">
        <v>73</v>
      </c>
      <c r="O15" s="2">
        <v>73.34999999999999</v>
      </c>
      <c r="P15" s="2">
        <v>73.5</v>
      </c>
      <c r="Q15" s="2">
        <v>73.23</v>
      </c>
      <c r="R15" s="2">
        <v>73.38</v>
      </c>
      <c r="S15" s="2">
        <v>73.3</v>
      </c>
      <c r="T15" s="2">
        <v>73.06</v>
      </c>
      <c r="U15" s="2">
        <v>73.23</v>
      </c>
      <c r="V15" s="2">
        <v>73.61</v>
      </c>
      <c r="W15" s="2">
        <v>73.65000000000001</v>
      </c>
      <c r="X15" s="2">
        <v>73.90000000000001</v>
      </c>
      <c r="Y15" s="2">
        <v>74.56999999999999</v>
      </c>
      <c r="Z15" s="2">
        <v>74.40000000000001</v>
      </c>
      <c r="AA15" s="2">
        <v>73.94</v>
      </c>
      <c r="AB15" s="2">
        <v>74.39</v>
      </c>
      <c r="AC15" s="2">
        <v>74.58</v>
      </c>
      <c r="AD15" s="2">
        <v>75.12</v>
      </c>
      <c r="AE15" s="2">
        <v>76.12</v>
      </c>
      <c r="AF15" s="2">
        <v>77.26000000000001</v>
      </c>
      <c r="AG15" s="2">
        <v>77.87</v>
      </c>
      <c r="AH15" s="2">
        <v>78.59999999999999</v>
      </c>
      <c r="AI15" s="2">
        <v>78.64</v>
      </c>
      <c r="AJ15" s="2">
        <v>79.20999999999999</v>
      </c>
      <c r="AK15" s="2">
        <v>79.95</v>
      </c>
      <c r="AL15" s="2">
        <v>80.48999999999999</v>
      </c>
      <c r="AM15" s="2">
        <v>80.8</v>
      </c>
      <c r="AN15" s="2">
        <v>80.81999999999999</v>
      </c>
      <c r="AO15" s="2">
        <v>80.86</v>
      </c>
      <c r="AP15" s="2">
        <v>81.13</v>
      </c>
      <c r="AQ15" s="2">
        <v>80.53</v>
      </c>
      <c r="AR15" s="2">
        <v>80.26000000000001</v>
      </c>
      <c r="AS15" s="2">
        <v>80.06</v>
      </c>
      <c r="AT15" s="2">
        <v>80.5</v>
      </c>
      <c r="AU15" s="2">
        <v>79.84</v>
      </c>
      <c r="AV15" s="2">
        <v>80.04000000000001</v>
      </c>
      <c r="AW15" s="2">
        <v>79.93000000000001</v>
      </c>
      <c r="AX15" s="2">
        <v>79.81</v>
      </c>
      <c r="AY15" s="2">
        <v>79.47</v>
      </c>
      <c r="AZ15" s="2">
        <v>80.20999999999999</v>
      </c>
      <c r="BA15" s="2">
        <v>80.20999999999999</v>
      </c>
      <c r="BB15" s="2">
        <v>80.19</v>
      </c>
      <c r="BC15" s="2">
        <v>80.23999999999999</v>
      </c>
      <c r="BD15" s="2">
        <v>80.47</v>
      </c>
      <c r="BE15" s="2">
        <v>80.67</v>
      </c>
      <c r="BF15" s="2">
        <v>82.06999999999999</v>
      </c>
      <c r="BG15" s="2">
        <v>82.2</v>
      </c>
      <c r="BH15" s="2">
        <v>81.56999999999999</v>
      </c>
      <c r="BI15" s="2">
        <v>82.02</v>
      </c>
      <c r="BJ15" s="2">
        <v>83.86</v>
      </c>
      <c r="BK15" s="2">
        <v>83.79000000000001</v>
      </c>
      <c r="BL15" s="2">
        <v>84.13</v>
      </c>
      <c r="BM15" s="2">
        <v>83.84</v>
      </c>
      <c r="BN15" s="2">
        <v>85.98999999999999</v>
      </c>
      <c r="BO15" s="2">
        <v>87.42</v>
      </c>
      <c r="BP15" s="2">
        <v>89.25</v>
      </c>
      <c r="BQ15" s="2">
        <v>90.67</v>
      </c>
      <c r="BR15" s="2">
        <v>93.44</v>
      </c>
      <c r="BS15" s="2">
        <v>95.19</v>
      </c>
      <c r="BT15" s="2">
        <v>95.59999999999999</v>
      </c>
      <c r="BU15" s="2">
        <v>96.05</v>
      </c>
      <c r="BV15" s="2">
        <v>97.09</v>
      </c>
      <c r="BW15" s="2">
        <v>96.77</v>
      </c>
      <c r="BX15" s="2">
        <v>96.94</v>
      </c>
      <c r="BY15" s="2">
        <v>98.34</v>
      </c>
      <c r="BZ15" s="2">
        <v>102.1</v>
      </c>
      <c r="CA15" s="2">
        <v>101.11</v>
      </c>
      <c r="CB15" s="2">
        <v>101.35</v>
      </c>
      <c r="CC15" s="2">
        <v>100.89</v>
      </c>
      <c r="CD15" s="2">
        <v>100.96</v>
      </c>
      <c r="CE15" s="2">
        <v>101.09</v>
      </c>
      <c r="CF15" s="2">
        <v>101.51</v>
      </c>
      <c r="CG15" s="2">
        <v>100.72</v>
      </c>
      <c r="CH15" s="2">
        <v>100.46</v>
      </c>
      <c r="CI15" s="2">
        <v>100.49</v>
      </c>
      <c r="CJ15" s="2">
        <v>100.14</v>
      </c>
      <c r="CK15" s="2">
        <v>99.70999999999999</v>
      </c>
      <c r="CL15" s="2">
        <v>100.18</v>
      </c>
      <c r="CM15" s="2">
        <v>98.97</v>
      </c>
      <c r="CN15" s="2">
        <v>98.59999999999999</v>
      </c>
      <c r="CO15" s="2">
        <v>98.23</v>
      </c>
      <c r="CP15" s="2">
        <v>99.37</v>
      </c>
      <c r="CQ15" s="2">
        <v>99.90000000000001</v>
      </c>
      <c r="CR15" s="2">
        <v>100.63</v>
      </c>
      <c r="CS15" s="2">
        <v>100.28</v>
      </c>
      <c r="CT15" s="2">
        <v>101.08</v>
      </c>
      <c r="CU15" s="2">
        <v>100.75</v>
      </c>
      <c r="CV15" s="2">
        <v>100.87</v>
      </c>
      <c r="CW15" s="2">
        <v>100.25</v>
      </c>
      <c r="CX15" s="2">
        <v>99.89</v>
      </c>
      <c r="CY15" s="2">
        <v>99.97</v>
      </c>
      <c r="CZ15" s="2">
        <v>100</v>
      </c>
      <c r="DA15" s="2">
        <v>99.86</v>
      </c>
      <c r="DB15" s="2">
        <v>99.68000000000001</v>
      </c>
      <c r="DC15" s="2">
        <v>100.38</v>
      </c>
      <c r="DD15" s="2">
        <v>100.79</v>
      </c>
      <c r="DE15" s="2">
        <v>100.16</v>
      </c>
      <c r="DF15" s="2">
        <v>99.8</v>
      </c>
      <c r="DG15" s="2">
        <v>99.31999999999999</v>
      </c>
      <c r="DH15" s="2">
        <v>100.97</v>
      </c>
      <c r="DI15" s="2">
        <v>102.35</v>
      </c>
      <c r="DJ15" s="2">
        <v>102.28</v>
      </c>
      <c r="DK15" s="2">
        <v>2</v>
      </c>
      <c r="DL15" s="2">
        <v>1</v>
      </c>
      <c r="DM15" s="2">
        <v>1.6</v>
      </c>
      <c r="DN15" s="2">
        <v>1.3</v>
      </c>
      <c r="DO15" s="2">
        <v>1.4</v>
      </c>
      <c r="DP15" s="2">
        <v>2.3</v>
      </c>
      <c r="DQ15" s="2">
        <v>1.9</v>
      </c>
      <c r="DR15" s="2">
        <v>0.8</v>
      </c>
      <c r="DS15" s="2">
        <v>1.2</v>
      </c>
      <c r="DT15" s="2">
        <v>1.8</v>
      </c>
      <c r="DU15" s="2">
        <v>2.4</v>
      </c>
      <c r="DV15" s="2">
        <v>3.8</v>
      </c>
      <c r="DW15" s="2">
        <v>5.7</v>
      </c>
      <c r="DX15" s="2">
        <v>6.3</v>
      </c>
      <c r="DY15" s="2">
        <v>6.8</v>
      </c>
      <c r="DZ15" s="2">
        <v>6.8</v>
      </c>
      <c r="EA15" s="2">
        <v>7.2</v>
      </c>
      <c r="EB15" s="2">
        <v>7.2</v>
      </c>
      <c r="EC15" s="2">
        <v>8.199999999999999</v>
      </c>
      <c r="ED15" s="2">
        <v>9.300000000000001</v>
      </c>
      <c r="EE15" s="2">
        <v>8.6</v>
      </c>
      <c r="EF15" s="2">
        <v>8.4</v>
      </c>
      <c r="EG15" s="2">
        <v>8</v>
      </c>
      <c r="EH15" s="2">
        <v>5.8</v>
      </c>
      <c r="EI15" s="2">
        <v>3.9</v>
      </c>
      <c r="EJ15" s="2">
        <v>2.8</v>
      </c>
      <c r="EK15" s="2">
        <v>2.4</v>
      </c>
      <c r="EL15" s="2">
        <v>1.5</v>
      </c>
      <c r="EM15" s="2">
        <v>1</v>
      </c>
      <c r="EN15" s="2">
        <v>0</v>
      </c>
      <c r="EO15" s="2">
        <v>-0.8</v>
      </c>
      <c r="EP15" s="2">
        <v>-1.6</v>
      </c>
      <c r="EQ15" s="2">
        <v>-0.8</v>
      </c>
      <c r="ER15" s="2">
        <v>-0.8</v>
      </c>
      <c r="ES15" s="2">
        <v>-1.2</v>
      </c>
      <c r="ET15" s="2">
        <v>-0.4</v>
      </c>
      <c r="EU15" s="2">
        <v>0.3</v>
      </c>
      <c r="EV15" s="2">
        <v>0.8</v>
      </c>
      <c r="EW15" s="2">
        <v>2</v>
      </c>
      <c r="EX15" s="2">
        <v>3</v>
      </c>
      <c r="EY15" s="2">
        <v>1.9</v>
      </c>
      <c r="EZ15" s="2">
        <v>2.6</v>
      </c>
      <c r="FA15" s="2">
        <v>5.1</v>
      </c>
      <c r="FB15" s="2">
        <v>5.4</v>
      </c>
      <c r="FC15" s="2">
        <v>4.9</v>
      </c>
      <c r="FD15" s="2">
        <v>4.5</v>
      </c>
      <c r="FE15" s="2">
        <v>7.2</v>
      </c>
      <c r="FF15" s="2">
        <v>8.9</v>
      </c>
      <c r="FG15" s="2">
        <v>10.9</v>
      </c>
      <c r="FH15" s="2">
        <v>12.4</v>
      </c>
      <c r="FI15" s="2">
        <v>13.9</v>
      </c>
      <c r="FJ15" s="2">
        <v>15.8</v>
      </c>
      <c r="FK15" s="2">
        <v>17.2</v>
      </c>
      <c r="FL15" s="2">
        <v>17.1</v>
      </c>
      <c r="FM15" s="2">
        <v>15.8</v>
      </c>
      <c r="FN15" s="2">
        <v>15.5</v>
      </c>
      <c r="FO15" s="2">
        <v>15.2</v>
      </c>
      <c r="FP15" s="2">
        <v>17.3</v>
      </c>
      <c r="FQ15" s="2">
        <v>18.7</v>
      </c>
      <c r="FR15" s="2">
        <v>15.7</v>
      </c>
      <c r="FS15" s="2">
        <v>13.6</v>
      </c>
      <c r="FT15" s="2">
        <v>11.3</v>
      </c>
      <c r="FU15" s="2">
        <v>8</v>
      </c>
      <c r="FV15" s="2">
        <v>6.2</v>
      </c>
      <c r="FW15" s="2">
        <v>6.2</v>
      </c>
      <c r="FX15" s="2">
        <v>4.9</v>
      </c>
      <c r="FY15" s="2">
        <v>3.5</v>
      </c>
      <c r="FZ15" s="2">
        <v>3.8</v>
      </c>
      <c r="GA15" s="2">
        <v>3.3</v>
      </c>
      <c r="GB15" s="2">
        <v>1.4</v>
      </c>
      <c r="GC15" s="2">
        <v>-1.9</v>
      </c>
      <c r="GD15" s="2">
        <v>-2.1</v>
      </c>
      <c r="GE15" s="2">
        <v>-2.7</v>
      </c>
      <c r="GF15" s="2">
        <v>-2.6</v>
      </c>
      <c r="GG15" s="2">
        <v>-1.6</v>
      </c>
      <c r="GH15" s="2">
        <v>-1.2</v>
      </c>
      <c r="GI15" s="2">
        <v>-0.9</v>
      </c>
      <c r="GJ15" s="2">
        <v>-0.4</v>
      </c>
      <c r="GK15" s="2">
        <v>0.6</v>
      </c>
      <c r="GL15" s="2">
        <v>0.3</v>
      </c>
      <c r="GM15" s="2">
        <v>0.7</v>
      </c>
      <c r="GN15" s="2">
        <v>0.5</v>
      </c>
      <c r="GO15" s="2">
        <v>-0.3</v>
      </c>
      <c r="GP15" s="2">
        <v>1</v>
      </c>
      <c r="GQ15" s="2">
        <v>1.4</v>
      </c>
      <c r="GR15" s="2">
        <v>1.7</v>
      </c>
      <c r="GS15" s="2">
        <v>0.3</v>
      </c>
      <c r="GT15" s="2">
        <v>0.5</v>
      </c>
      <c r="GU15" s="2">
        <v>0.2</v>
      </c>
      <c r="GV15" s="2">
        <v>-0.1</v>
      </c>
      <c r="GW15" s="2">
        <v>-1.3</v>
      </c>
      <c r="GX15" s="2">
        <v>-1.4</v>
      </c>
      <c r="GY15" s="2">
        <v>0.1</v>
      </c>
      <c r="GZ15" s="2">
        <v>2.1</v>
      </c>
      <c r="HA15" s="2">
        <v>2.4</v>
      </c>
      <c r="HB15" s="2">
        <v>1.2</v>
      </c>
      <c r="HC15" s="2">
        <v>0</v>
      </c>
      <c r="HD15" s="2">
        <v>0.3</v>
      </c>
      <c r="HE15" s="2">
        <v>0.2</v>
      </c>
      <c r="HF15" s="2">
        <v>0.1</v>
      </c>
      <c r="HG15" s="2">
        <v>0.1</v>
      </c>
      <c r="HH15" s="2">
        <v>0.5</v>
      </c>
      <c r="HI15" s="2">
        <v>0.2</v>
      </c>
      <c r="HJ15" s="2">
        <v>-0.4</v>
      </c>
      <c r="HK15" s="2">
        <v>0.2</v>
      </c>
      <c r="HL15" s="2">
        <v>-0.1</v>
      </c>
      <c r="HM15" s="2">
        <v>-0.3</v>
      </c>
      <c r="HN15" s="2">
        <v>0.2</v>
      </c>
      <c r="HO15" s="2">
        <v>0.5</v>
      </c>
      <c r="HP15" s="2">
        <v>0.1</v>
      </c>
      <c r="HQ15" s="2">
        <v>0.3</v>
      </c>
      <c r="HR15" s="2">
        <v>0.9</v>
      </c>
      <c r="HS15" s="2">
        <v>-0.2</v>
      </c>
      <c r="HT15" s="2">
        <v>-0.6</v>
      </c>
      <c r="HU15" s="2">
        <v>0.6</v>
      </c>
      <c r="HV15" s="2">
        <v>0.3</v>
      </c>
      <c r="HW15" s="2">
        <v>0.7</v>
      </c>
      <c r="HX15" s="2">
        <v>1.3</v>
      </c>
      <c r="HY15" s="2">
        <v>1.5</v>
      </c>
      <c r="HZ15" s="2">
        <v>0.8</v>
      </c>
      <c r="IA15" s="2">
        <v>0.9</v>
      </c>
      <c r="IB15" s="2">
        <v>0.1</v>
      </c>
      <c r="IC15" s="2">
        <v>0.7</v>
      </c>
      <c r="ID15" s="2">
        <v>0.9</v>
      </c>
      <c r="IE15" s="2">
        <v>0.7</v>
      </c>
      <c r="IF15" s="2">
        <v>0.4</v>
      </c>
      <c r="IG15" s="2">
        <v>0</v>
      </c>
      <c r="IH15" s="2">
        <v>0</v>
      </c>
      <c r="II15" s="2">
        <v>0.3</v>
      </c>
      <c r="IJ15" s="2">
        <v>-0.7</v>
      </c>
      <c r="IK15" s="2">
        <v>-0.3</v>
      </c>
      <c r="IL15" s="2">
        <v>-0.2</v>
      </c>
      <c r="IM15" s="2">
        <v>0.5</v>
      </c>
      <c r="IN15" s="2">
        <v>-0.8</v>
      </c>
      <c r="IO15" s="2">
        <v>0.3</v>
      </c>
      <c r="IP15" s="2">
        <v>-0.1</v>
      </c>
      <c r="IQ15" s="2">
        <v>-0.2</v>
      </c>
      <c r="IR15" s="2">
        <v>-0.4</v>
      </c>
      <c r="IS15" s="2">
        <v>0.9</v>
      </c>
      <c r="IT15" s="2">
        <v>0</v>
      </c>
      <c r="IU15" s="2">
        <v>0</v>
      </c>
      <c r="IV15" s="2">
        <v>0.1</v>
      </c>
      <c r="IW15" s="2">
        <v>0.3</v>
      </c>
      <c r="IX15" s="2">
        <v>0.2</v>
      </c>
      <c r="IY15" s="2">
        <v>1.7</v>
      </c>
      <c r="IZ15" s="2">
        <v>0.2</v>
      </c>
      <c r="JA15" s="2">
        <v>-0.8</v>
      </c>
      <c r="JB15" s="2">
        <v>0.6</v>
      </c>
      <c r="JC15" s="2">
        <v>2.2</v>
      </c>
      <c r="JD15" s="2">
        <v>-0.1</v>
      </c>
      <c r="JE15" s="2">
        <v>0.4</v>
      </c>
      <c r="JF15" s="2">
        <v>-0.3</v>
      </c>
      <c r="JG15" s="2">
        <v>2.6</v>
      </c>
      <c r="JH15" s="2">
        <v>1.7</v>
      </c>
      <c r="JI15" s="2">
        <v>2.1</v>
      </c>
      <c r="JJ15" s="2">
        <v>1.6</v>
      </c>
      <c r="JK15" s="2">
        <v>3.1</v>
      </c>
      <c r="JL15" s="2">
        <v>1.9</v>
      </c>
      <c r="JM15" s="2">
        <v>0.4</v>
      </c>
      <c r="JN15" s="2">
        <v>0.5</v>
      </c>
      <c r="JO15" s="2">
        <v>1.1</v>
      </c>
      <c r="JP15" s="2">
        <v>-0.3</v>
      </c>
      <c r="JQ15" s="2">
        <v>0.2</v>
      </c>
      <c r="JR15" s="2">
        <v>1.4</v>
      </c>
      <c r="JS15" s="2">
        <v>3.8</v>
      </c>
      <c r="JT15" s="2">
        <v>-1</v>
      </c>
      <c r="JU15" s="2">
        <v>0.2</v>
      </c>
      <c r="JV15" s="2">
        <v>-0.5</v>
      </c>
      <c r="JW15" s="2">
        <v>0.1</v>
      </c>
      <c r="JX15" s="2">
        <v>0.1</v>
      </c>
      <c r="JY15" s="2">
        <v>0.4</v>
      </c>
      <c r="JZ15" s="2">
        <v>-0.8</v>
      </c>
      <c r="KA15" s="2">
        <v>-0.3</v>
      </c>
      <c r="KB15" s="2">
        <v>0</v>
      </c>
      <c r="KC15" s="2">
        <v>-0.3</v>
      </c>
      <c r="KD15" s="2">
        <v>-0.4</v>
      </c>
      <c r="KE15" s="2">
        <v>0.5</v>
      </c>
      <c r="KF15" s="2">
        <v>-1.2</v>
      </c>
      <c r="KG15" s="2">
        <v>-0.4</v>
      </c>
      <c r="KH15" s="2">
        <v>-0.4</v>
      </c>
      <c r="KI15" s="2">
        <v>1.2</v>
      </c>
      <c r="KJ15" s="2">
        <v>0.5</v>
      </c>
      <c r="KK15" s="2">
        <v>0.7</v>
      </c>
      <c r="KL15" s="2">
        <v>-0.3</v>
      </c>
      <c r="KM15" s="2">
        <v>0.8</v>
      </c>
      <c r="KN15" s="2">
        <v>-0.3</v>
      </c>
      <c r="KO15" s="2">
        <v>0.1</v>
      </c>
      <c r="KP15" s="2">
        <v>-0.6</v>
      </c>
      <c r="KQ15" s="2">
        <v>-0.4</v>
      </c>
      <c r="KR15" s="2">
        <v>0.1</v>
      </c>
      <c r="KS15" s="2">
        <v>0</v>
      </c>
      <c r="KT15" s="2">
        <v>-0.1</v>
      </c>
      <c r="KU15" s="2">
        <v>-0.2</v>
      </c>
      <c r="KV15" s="2">
        <v>0.7</v>
      </c>
      <c r="KW15" s="2">
        <v>0.4</v>
      </c>
      <c r="KX15" s="2">
        <v>-0.6</v>
      </c>
      <c r="KY15" s="2">
        <v>-0.4</v>
      </c>
      <c r="KZ15" s="2">
        <v>-0.5</v>
      </c>
      <c r="LA15" s="2">
        <v>1.7</v>
      </c>
      <c r="LB15" s="2">
        <v>1.4</v>
      </c>
      <c r="LC15" s="2">
        <v>-0.1</v>
      </c>
      <c r="LD15" s="2">
        <v>0.33</v>
      </c>
      <c r="LE15" s="2">
        <v>0.33</v>
      </c>
      <c r="LF15" s="2">
        <v>0.33</v>
      </c>
      <c r="LG15" s="2">
        <v>0.34</v>
      </c>
      <c r="LH15" s="2">
        <v>0.33</v>
      </c>
      <c r="LI15" s="2">
        <v>0.33</v>
      </c>
      <c r="LJ15" s="2">
        <v>0.33</v>
      </c>
      <c r="LK15" s="2">
        <v>0.33</v>
      </c>
      <c r="LL15" s="2">
        <v>0.33</v>
      </c>
      <c r="LM15" s="2">
        <v>0.33</v>
      </c>
      <c r="LN15" s="2">
        <v>0.33</v>
      </c>
      <c r="LO15" s="2">
        <v>0.33</v>
      </c>
      <c r="LP15" s="2">
        <v>0.33</v>
      </c>
      <c r="LQ15" s="2">
        <v>0.33</v>
      </c>
      <c r="LR15" s="2">
        <v>0.33</v>
      </c>
      <c r="LS15" s="2">
        <v>0.33</v>
      </c>
      <c r="LT15" s="2">
        <v>0.33</v>
      </c>
      <c r="LU15" s="2">
        <v>0.33</v>
      </c>
      <c r="LV15" s="2">
        <v>0.34</v>
      </c>
      <c r="LW15" s="2">
        <v>0.34</v>
      </c>
      <c r="LX15" s="2">
        <v>0</v>
      </c>
      <c r="LY15" s="2">
        <v>0</v>
      </c>
      <c r="LZ15" s="2">
        <v>0.01</v>
      </c>
      <c r="MA15" s="2">
        <v>-0.01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0.01</v>
      </c>
      <c r="MP15" s="2">
        <v>0</v>
      </c>
      <c r="RO15" s="2">
        <v>16.48</v>
      </c>
      <c r="RP15" s="2">
        <v>17.23</v>
      </c>
      <c r="RQ15" s="2">
        <v>17.68</v>
      </c>
      <c r="RR15" s="2">
        <v>18.32</v>
      </c>
      <c r="RS15" s="2">
        <v>18.76</v>
      </c>
      <c r="RT15" s="2">
        <v>19.7</v>
      </c>
      <c r="RU15" s="2">
        <v>20.41</v>
      </c>
      <c r="RV15" s="2">
        <v>21.61</v>
      </c>
      <c r="RW15" s="2">
        <v>22.91</v>
      </c>
      <c r="RX15" s="2">
        <v>23.81</v>
      </c>
      <c r="RY15" s="2">
        <v>24.6</v>
      </c>
      <c r="RZ15" s="2">
        <v>25.61</v>
      </c>
      <c r="SA15" s="2">
        <v>25.83</v>
      </c>
      <c r="SB15" s="2">
        <v>25.68</v>
      </c>
      <c r="SC15" s="2">
        <v>25.49</v>
      </c>
      <c r="SD15" s="2">
        <v>25.31</v>
      </c>
      <c r="SE15" s="2">
        <v>25.38</v>
      </c>
      <c r="SF15" s="2">
        <v>24.93</v>
      </c>
      <c r="SG15" s="2">
        <v>25.23</v>
      </c>
      <c r="SH15" s="2">
        <v>26.35</v>
      </c>
      <c r="SI15" s="2">
        <v>25.9</v>
      </c>
      <c r="SJ15" s="2">
        <v>25.83</v>
      </c>
      <c r="SK15" s="2">
        <v>26.43</v>
      </c>
      <c r="SL15" s="2">
        <v>27.1</v>
      </c>
      <c r="SM15" s="2">
        <v>28.52</v>
      </c>
      <c r="SN15" s="2">
        <v>27.36</v>
      </c>
      <c r="SO15" s="2">
        <v>28.78</v>
      </c>
      <c r="SP15" s="2">
        <v>28.48</v>
      </c>
      <c r="SQ15" s="2">
        <v>29.19</v>
      </c>
      <c r="SR15" s="2">
        <v>30.28</v>
      </c>
      <c r="SS15" s="2">
        <v>30.91</v>
      </c>
      <c r="ST15" s="2">
        <v>31.47</v>
      </c>
      <c r="SU15" s="2">
        <v>31.7</v>
      </c>
      <c r="SV15" s="2">
        <v>33.75</v>
      </c>
      <c r="SW15" s="2">
        <v>33.72</v>
      </c>
      <c r="SX15" s="2">
        <v>34.54</v>
      </c>
      <c r="SY15" s="2">
        <v>35.14</v>
      </c>
      <c r="SZ15" s="2">
        <v>36.82</v>
      </c>
      <c r="TA15" s="2">
        <v>38.17</v>
      </c>
      <c r="TB15" s="2">
        <v>39.4</v>
      </c>
      <c r="TC15" s="2">
        <v>38.95</v>
      </c>
      <c r="TD15" s="2">
        <v>39.4</v>
      </c>
      <c r="TE15" s="2">
        <v>39.21</v>
      </c>
      <c r="TF15" s="2">
        <v>38.54</v>
      </c>
      <c r="TG15" s="2">
        <v>39.88</v>
      </c>
      <c r="TH15" s="2">
        <v>39.17</v>
      </c>
      <c r="TI15" s="2">
        <v>40.45</v>
      </c>
      <c r="TJ15" s="2">
        <v>40.45</v>
      </c>
      <c r="TK15" s="2">
        <v>42.24</v>
      </c>
      <c r="TL15" s="2">
        <v>40.89</v>
      </c>
      <c r="TM15" s="2">
        <v>40.52</v>
      </c>
      <c r="TN15" s="2">
        <v>40.56</v>
      </c>
      <c r="TO15" s="2">
        <v>40.48</v>
      </c>
      <c r="TP15" s="2">
        <v>40.97</v>
      </c>
      <c r="TQ15" s="2">
        <v>41.16</v>
      </c>
      <c r="TR15" s="2">
        <v>40.63</v>
      </c>
      <c r="TS15" s="2">
        <v>41.23</v>
      </c>
      <c r="TT15" s="2">
        <v>40.78</v>
      </c>
      <c r="TU15" s="2">
        <v>40.41</v>
      </c>
      <c r="TV15" s="2">
        <v>40.45</v>
      </c>
      <c r="TW15" s="2">
        <v>40.59</v>
      </c>
      <c r="TX15" s="2">
        <v>41.53</v>
      </c>
      <c r="TY15" s="2">
        <v>41.72</v>
      </c>
      <c r="TZ15" s="2">
        <v>42.43</v>
      </c>
      <c r="UA15" s="2">
        <v>41.83</v>
      </c>
      <c r="UB15" s="2">
        <v>42.09</v>
      </c>
      <c r="UC15" s="2">
        <v>42.76</v>
      </c>
      <c r="UD15" s="2">
        <v>42.31</v>
      </c>
      <c r="UE15" s="2">
        <v>42.2</v>
      </c>
      <c r="UF15" s="2">
        <v>41.19</v>
      </c>
      <c r="UG15" s="2">
        <v>41.75</v>
      </c>
      <c r="UH15" s="2">
        <v>41.42</v>
      </c>
      <c r="UI15" s="2">
        <v>42.04</v>
      </c>
      <c r="UJ15" s="2">
        <v>42.19</v>
      </c>
      <c r="UK15" s="2">
        <v>43.15</v>
      </c>
      <c r="UL15" s="2">
        <v>43.35</v>
      </c>
      <c r="UM15" s="2">
        <v>43.46</v>
      </c>
      <c r="UN15" s="2">
        <v>43.29</v>
      </c>
      <c r="UO15" s="2">
        <v>43.42</v>
      </c>
      <c r="UP15" s="2">
        <v>43.06</v>
      </c>
      <c r="UQ15" s="2">
        <v>42.8</v>
      </c>
      <c r="UR15" s="2">
        <v>43.24</v>
      </c>
      <c r="US15" s="2">
        <v>43.67</v>
      </c>
      <c r="UT15" s="2">
        <v>44.03</v>
      </c>
      <c r="UU15" s="2">
        <v>45.57</v>
      </c>
      <c r="UV15" s="2">
        <v>48.87</v>
      </c>
      <c r="UW15" s="2">
        <v>48.35</v>
      </c>
      <c r="UX15" s="2">
        <v>48.44</v>
      </c>
      <c r="UY15" s="2">
        <v>48.66</v>
      </c>
      <c r="UZ15" s="2">
        <v>49.37</v>
      </c>
      <c r="VA15" s="2">
        <v>48.76</v>
      </c>
      <c r="VB15" s="2">
        <v>49.36</v>
      </c>
      <c r="VC15" s="2">
        <v>49.12</v>
      </c>
      <c r="VD15" s="2">
        <v>49.34</v>
      </c>
      <c r="VE15" s="2">
        <v>50.26</v>
      </c>
      <c r="VF15" s="2">
        <v>50.57</v>
      </c>
      <c r="VG15" s="2">
        <v>51.42</v>
      </c>
      <c r="VH15" s="2">
        <v>52.72</v>
      </c>
      <c r="VI15" s="2">
        <v>53.23</v>
      </c>
      <c r="VJ15" s="2">
        <v>54.15</v>
      </c>
      <c r="VK15" s="2">
        <v>54.8</v>
      </c>
      <c r="VL15" s="2">
        <v>55.95</v>
      </c>
      <c r="VM15" s="2">
        <v>56.92</v>
      </c>
      <c r="VN15" s="2">
        <v>57.45</v>
      </c>
      <c r="VO15" s="2">
        <v>58.16</v>
      </c>
      <c r="VP15" s="2">
        <v>58.33</v>
      </c>
      <c r="VQ15" s="2">
        <v>59.54</v>
      </c>
      <c r="VR15" s="2">
        <v>61.41</v>
      </c>
      <c r="VS15" s="2">
        <v>63.1</v>
      </c>
      <c r="VT15" s="2">
        <v>66.2</v>
      </c>
      <c r="VU15" s="2">
        <v>68.48</v>
      </c>
      <c r="VV15" s="2">
        <v>70.12</v>
      </c>
      <c r="VW15" s="2">
        <v>71.87</v>
      </c>
      <c r="VX15" s="2">
        <v>73.52</v>
      </c>
      <c r="VY15" s="2">
        <v>73.48999999999999</v>
      </c>
      <c r="VZ15" s="2">
        <v>73.34</v>
      </c>
      <c r="WA15" s="2">
        <v>72.29000000000001</v>
      </c>
      <c r="WB15" s="2">
        <v>72.78</v>
      </c>
      <c r="WC15" s="2">
        <v>72.37</v>
      </c>
      <c r="WD15" s="2">
        <v>72.56999999999999</v>
      </c>
      <c r="WE15" s="2">
        <v>71.58</v>
      </c>
      <c r="WF15" s="2">
        <v>73.58</v>
      </c>
      <c r="WG15" s="2">
        <v>73.20999999999999</v>
      </c>
      <c r="WH15" s="2">
        <v>74.25</v>
      </c>
      <c r="WI15" s="2">
        <v>74.87</v>
      </c>
      <c r="WJ15" s="2">
        <v>73.39</v>
      </c>
      <c r="WK15" s="2">
        <v>73.11</v>
      </c>
      <c r="WL15" s="2">
        <v>72.84</v>
      </c>
      <c r="WM15" s="2">
        <v>74.76000000000001</v>
      </c>
      <c r="WN15" s="2">
        <v>73</v>
      </c>
      <c r="WO15" s="2">
        <v>72.42</v>
      </c>
      <c r="WP15" s="2">
        <v>70.84999999999999</v>
      </c>
      <c r="WQ15" s="2">
        <v>72.66</v>
      </c>
      <c r="WR15" s="2">
        <v>73.53</v>
      </c>
      <c r="WS15" s="2">
        <v>74.7</v>
      </c>
      <c r="WT15" s="2">
        <v>76.62</v>
      </c>
      <c r="WU15" s="2">
        <v>78.95999999999999</v>
      </c>
      <c r="WV15" s="2">
        <v>78.53</v>
      </c>
      <c r="WW15" s="2">
        <v>78.84999999999999</v>
      </c>
      <c r="WX15" s="2">
        <v>77.59</v>
      </c>
      <c r="WY15" s="2">
        <v>77.09</v>
      </c>
      <c r="WZ15" s="2">
        <v>77.14</v>
      </c>
      <c r="XA15" s="2">
        <v>75.59</v>
      </c>
      <c r="XB15" s="2">
        <v>75.52</v>
      </c>
      <c r="XC15" s="2">
        <v>74.92</v>
      </c>
      <c r="XD15" s="2">
        <v>73.97</v>
      </c>
      <c r="XE15" s="2">
        <v>73.34</v>
      </c>
      <c r="XF15" s="2">
        <v>72.29000000000001</v>
      </c>
      <c r="XG15" s="2">
        <v>72.84999999999999</v>
      </c>
      <c r="XH15" s="2">
        <v>73.48999999999999</v>
      </c>
      <c r="XI15" s="2">
        <v>73.67</v>
      </c>
      <c r="XJ15" s="2">
        <v>74.15000000000001</v>
      </c>
      <c r="XK15" s="2">
        <v>73.98999999999999</v>
      </c>
      <c r="XL15" s="2">
        <v>74.12</v>
      </c>
      <c r="XM15" s="2">
        <v>74.56999999999999</v>
      </c>
      <c r="XN15" s="2">
        <v>74.69</v>
      </c>
      <c r="XO15" s="2">
        <v>76.5</v>
      </c>
      <c r="XP15" s="2">
        <v>78.34</v>
      </c>
      <c r="XQ15" s="2">
        <v>79.67</v>
      </c>
      <c r="XR15" s="2">
        <v>80.61</v>
      </c>
      <c r="XS15" s="2">
        <v>80.43000000000001</v>
      </c>
      <c r="XT15" s="2">
        <v>79.91</v>
      </c>
      <c r="XU15" s="2">
        <v>79.73</v>
      </c>
      <c r="XV15" s="2">
        <v>79.78</v>
      </c>
      <c r="XW15" s="2">
        <v>79.98</v>
      </c>
      <c r="XX15" s="2">
        <v>81.48</v>
      </c>
      <c r="XY15" s="2">
        <v>82.36</v>
      </c>
      <c r="XZ15" s="2">
        <v>83.70999999999999</v>
      </c>
      <c r="YA15" s="2">
        <v>87.55</v>
      </c>
      <c r="YB15" s="2">
        <v>93.09999999999999</v>
      </c>
      <c r="YC15" s="2">
        <v>96.23999999999999</v>
      </c>
      <c r="YD15" s="2">
        <v>97.34999999999999</v>
      </c>
      <c r="YE15" s="2">
        <v>101.52</v>
      </c>
      <c r="YF15" s="2">
        <v>100.98</v>
      </c>
      <c r="YG15" s="2">
        <v>100.9</v>
      </c>
      <c r="YH15" s="2">
        <v>100.12</v>
      </c>
      <c r="YI15" s="2">
        <v>99.25</v>
      </c>
      <c r="YJ15" s="2">
        <v>99.17</v>
      </c>
      <c r="YK15" s="2">
        <v>100.66</v>
      </c>
      <c r="YL15" s="2">
        <v>100.63</v>
      </c>
      <c r="YM15" s="2">
        <v>99.95</v>
      </c>
      <c r="YN15" s="2">
        <v>99.97</v>
      </c>
      <c r="YO15" s="2">
        <v>100.25</v>
      </c>
      <c r="YP15" s="2">
        <v>100.88</v>
      </c>
      <c r="ADO15" s="2">
        <v>4.6</v>
      </c>
      <c r="ADP15" s="2">
        <v>2.6</v>
      </c>
      <c r="ADQ15" s="2">
        <v>3.6</v>
      </c>
      <c r="ADR15" s="2">
        <v>2.4</v>
      </c>
      <c r="ADS15" s="2">
        <v>5</v>
      </c>
      <c r="ADT15" s="2">
        <v>3.6</v>
      </c>
      <c r="ADU15" s="2">
        <v>5.9</v>
      </c>
      <c r="ADV15" s="2">
        <v>6</v>
      </c>
      <c r="ADW15" s="2">
        <v>3.9</v>
      </c>
      <c r="ADX15" s="2">
        <v>3.3</v>
      </c>
      <c r="ADY15" s="2">
        <v>4.1</v>
      </c>
      <c r="ADZ15" s="2">
        <v>0.9</v>
      </c>
      <c r="AEA15" s="2">
        <v>-0.6</v>
      </c>
      <c r="AEB15" s="2">
        <v>-0.7</v>
      </c>
      <c r="AEC15" s="2">
        <v>-0.7</v>
      </c>
      <c r="AED15" s="2">
        <v>0.3</v>
      </c>
      <c r="AEE15" s="2">
        <v>-1.8</v>
      </c>
      <c r="AEF15" s="2">
        <v>1.2</v>
      </c>
      <c r="AEG15" s="2">
        <v>4.4</v>
      </c>
      <c r="AEH15" s="2">
        <v>-1.7</v>
      </c>
      <c r="AEI15" s="2">
        <v>-0.3</v>
      </c>
      <c r="AEJ15" s="2">
        <v>2.3</v>
      </c>
      <c r="AEK15" s="2">
        <v>2.5</v>
      </c>
      <c r="AEL15" s="2">
        <v>5.2</v>
      </c>
      <c r="AEM15" s="2">
        <v>-4.1</v>
      </c>
      <c r="AEN15" s="2">
        <v>5.2</v>
      </c>
      <c r="AEO15" s="2">
        <v>-1</v>
      </c>
      <c r="AEP15" s="2">
        <v>2.5</v>
      </c>
      <c r="AEQ15" s="2">
        <v>3.7</v>
      </c>
      <c r="AER15" s="2">
        <v>2.1</v>
      </c>
      <c r="AES15" s="2">
        <v>1.8</v>
      </c>
      <c r="AET15" s="2">
        <v>0.7</v>
      </c>
      <c r="AEU15" s="2">
        <v>6.5</v>
      </c>
      <c r="AEV15" s="2">
        <v>-0.1</v>
      </c>
      <c r="AEW15" s="2">
        <v>2.4</v>
      </c>
      <c r="AEX15" s="2">
        <v>1.7</v>
      </c>
      <c r="AEY15" s="2">
        <v>4.8</v>
      </c>
      <c r="AEZ15" s="2">
        <v>3.7</v>
      </c>
      <c r="AFA15" s="2">
        <v>3.2</v>
      </c>
      <c r="AFB15" s="2">
        <v>-1.1</v>
      </c>
      <c r="AFC15" s="2">
        <v>1.2</v>
      </c>
      <c r="AFD15" s="2">
        <v>-0.5</v>
      </c>
      <c r="AFE15" s="2">
        <v>-1.7</v>
      </c>
      <c r="AFF15" s="2">
        <v>3.5</v>
      </c>
      <c r="AFG15" s="2">
        <v>-1.8</v>
      </c>
      <c r="AFH15" s="2">
        <v>3.3</v>
      </c>
      <c r="AFI15" s="2">
        <v>0</v>
      </c>
      <c r="AFJ15" s="2">
        <v>4.4</v>
      </c>
      <c r="AFK15" s="2">
        <v>-3.2</v>
      </c>
      <c r="AFL15" s="2">
        <v>-0.9</v>
      </c>
      <c r="AFM15" s="2">
        <v>0.1</v>
      </c>
      <c r="AFN15" s="2">
        <v>-0.2</v>
      </c>
      <c r="AFO15" s="2">
        <v>1.2</v>
      </c>
      <c r="AFP15" s="2">
        <v>0.5</v>
      </c>
      <c r="AFQ15" s="2">
        <v>-1.3</v>
      </c>
      <c r="AFR15" s="2">
        <v>1.5</v>
      </c>
      <c r="AFS15" s="2">
        <v>-1.1</v>
      </c>
      <c r="AFT15" s="2">
        <v>-0.9</v>
      </c>
      <c r="AFU15" s="2">
        <v>0.1</v>
      </c>
      <c r="AFV15" s="2">
        <v>0.3</v>
      </c>
      <c r="AFW15" s="2">
        <v>2.3</v>
      </c>
      <c r="AFX15" s="2">
        <v>0.5</v>
      </c>
      <c r="AFY15" s="2">
        <v>1.7</v>
      </c>
      <c r="AFZ15" s="2">
        <v>-1.4</v>
      </c>
      <c r="AGA15" s="2">
        <v>0.6</v>
      </c>
      <c r="AGB15" s="2">
        <v>1.6</v>
      </c>
      <c r="AGC15" s="2">
        <v>-1.1</v>
      </c>
      <c r="AGD15" s="2">
        <v>-0.3</v>
      </c>
      <c r="AGE15" s="2">
        <v>-2.4</v>
      </c>
      <c r="AGF15" s="2">
        <v>1.4</v>
      </c>
      <c r="AGG15" s="2">
        <v>-0.8</v>
      </c>
      <c r="AGH15" s="2">
        <v>1.5</v>
      </c>
      <c r="AGI15" s="2">
        <v>0.4</v>
      </c>
      <c r="AGJ15" s="2">
        <v>2.3</v>
      </c>
      <c r="AGK15" s="2">
        <v>0.5</v>
      </c>
      <c r="AGL15" s="2">
        <v>0.3</v>
      </c>
      <c r="AGM15" s="2">
        <v>-0.4</v>
      </c>
      <c r="AGN15" s="2">
        <v>0.3</v>
      </c>
      <c r="AGO15" s="2">
        <v>-0.8</v>
      </c>
      <c r="AGP15" s="2">
        <v>-0.6</v>
      </c>
      <c r="AGQ15" s="2">
        <v>1</v>
      </c>
      <c r="AGR15" s="2">
        <v>1</v>
      </c>
      <c r="AGS15" s="2">
        <v>0.8</v>
      </c>
      <c r="AGT15" s="2">
        <v>3.5</v>
      </c>
      <c r="AGU15" s="2">
        <v>7.2</v>
      </c>
      <c r="AGV15" s="2">
        <v>-1.1</v>
      </c>
      <c r="AGW15" s="2">
        <v>0.2</v>
      </c>
      <c r="AGX15" s="2">
        <v>0.5</v>
      </c>
      <c r="AGY15" s="2">
        <v>1.5</v>
      </c>
      <c r="AGZ15" s="2">
        <v>-1.2</v>
      </c>
      <c r="AHA15" s="2">
        <v>1.2</v>
      </c>
      <c r="AHB15" s="2">
        <v>-0.5</v>
      </c>
      <c r="AHC15" s="2">
        <v>0.4</v>
      </c>
      <c r="AHD15" s="2">
        <v>1.9</v>
      </c>
      <c r="AHE15" s="2">
        <v>0.6</v>
      </c>
      <c r="AHF15" s="2">
        <v>1.7</v>
      </c>
      <c r="AHG15" s="2">
        <v>2.5</v>
      </c>
      <c r="AHH15" s="2">
        <v>1</v>
      </c>
      <c r="AHI15" s="2">
        <v>1.7</v>
      </c>
      <c r="AHJ15" s="2">
        <v>1.2</v>
      </c>
      <c r="AHK15" s="2">
        <v>2.1</v>
      </c>
      <c r="AHL15" s="2">
        <v>1.7</v>
      </c>
      <c r="AHM15" s="2">
        <v>0.9</v>
      </c>
      <c r="AHN15" s="2">
        <v>1.2</v>
      </c>
      <c r="AHO15" s="2">
        <v>0.3</v>
      </c>
      <c r="AHP15" s="2">
        <v>2.1</v>
      </c>
      <c r="AHQ15" s="2">
        <v>3.1</v>
      </c>
      <c r="AHR15" s="2">
        <v>2.8</v>
      </c>
      <c r="AHS15" s="2">
        <v>4.9</v>
      </c>
      <c r="AHT15" s="2">
        <v>3.4</v>
      </c>
      <c r="AHU15" s="2">
        <v>2.4</v>
      </c>
      <c r="AHV15" s="2">
        <v>2.5</v>
      </c>
      <c r="AHW15" s="2">
        <v>2.3</v>
      </c>
      <c r="AHX15" s="2">
        <v>0</v>
      </c>
      <c r="AHY15" s="2">
        <v>-0.2</v>
      </c>
      <c r="AHZ15" s="2">
        <v>-1.4</v>
      </c>
      <c r="AIA15" s="2">
        <v>0.7</v>
      </c>
      <c r="AIB15" s="2">
        <v>-0.6</v>
      </c>
      <c r="AIC15" s="2">
        <v>0.3</v>
      </c>
      <c r="AID15" s="2">
        <v>-1.4</v>
      </c>
      <c r="AIE15" s="2">
        <v>2.8</v>
      </c>
      <c r="AIF15" s="2">
        <v>-0.5</v>
      </c>
      <c r="AIG15" s="2">
        <v>1.4</v>
      </c>
      <c r="AIH15" s="2">
        <v>0.8</v>
      </c>
      <c r="AII15" s="2">
        <v>-2</v>
      </c>
      <c r="AIJ15" s="2">
        <v>-0.4</v>
      </c>
      <c r="AIK15" s="2">
        <v>-0.4</v>
      </c>
      <c r="AIL15" s="2">
        <v>2.6</v>
      </c>
      <c r="AIM15" s="2">
        <v>-2.4</v>
      </c>
      <c r="AIN15" s="2">
        <v>-0.8</v>
      </c>
      <c r="AIO15" s="2">
        <v>-2.2</v>
      </c>
      <c r="AIP15" s="2">
        <v>2.6</v>
      </c>
      <c r="AIQ15" s="2">
        <v>1.2</v>
      </c>
      <c r="AIR15" s="2">
        <v>1.6</v>
      </c>
      <c r="AIS15" s="2">
        <v>2.6</v>
      </c>
      <c r="AIT15" s="2">
        <v>3.1</v>
      </c>
      <c r="AIU15" s="2">
        <v>-0.5</v>
      </c>
      <c r="AIV15" s="2">
        <v>0.4</v>
      </c>
      <c r="AIW15" s="2">
        <v>-1.6</v>
      </c>
      <c r="AIX15" s="2">
        <v>-0.6</v>
      </c>
      <c r="AIY15" s="2">
        <v>0.1</v>
      </c>
      <c r="AIZ15" s="2">
        <v>-2</v>
      </c>
      <c r="AJA15" s="2">
        <v>-0.1</v>
      </c>
      <c r="AJB15" s="2">
        <v>-0.8</v>
      </c>
      <c r="AJC15" s="2">
        <v>-1.3</v>
      </c>
      <c r="AJD15" s="2">
        <v>-0.9</v>
      </c>
      <c r="AJE15" s="2">
        <v>-1.4</v>
      </c>
      <c r="AJF15" s="2">
        <v>0.8</v>
      </c>
      <c r="AJG15" s="2">
        <v>0.9</v>
      </c>
      <c r="AJH15" s="2">
        <v>0.2</v>
      </c>
      <c r="AJI15" s="2">
        <v>0.7</v>
      </c>
      <c r="AJJ15" s="2">
        <v>-0.2</v>
      </c>
      <c r="AJK15" s="2">
        <v>0.2</v>
      </c>
      <c r="AJL15" s="2">
        <v>0.6</v>
      </c>
      <c r="AJM15" s="2">
        <v>0.2</v>
      </c>
      <c r="AJN15" s="2">
        <v>2.4</v>
      </c>
      <c r="AJO15" s="2">
        <v>2.4</v>
      </c>
      <c r="AJP15" s="2">
        <v>1.7</v>
      </c>
      <c r="AJQ15" s="2">
        <v>1.2</v>
      </c>
      <c r="AJR15" s="2">
        <v>-0.2</v>
      </c>
      <c r="AJS15" s="2">
        <v>-0.6</v>
      </c>
      <c r="AJT15" s="2">
        <v>-0.2</v>
      </c>
      <c r="AJU15" s="2">
        <v>0.1</v>
      </c>
      <c r="AJV15" s="2">
        <v>0.3</v>
      </c>
      <c r="AJW15" s="2">
        <v>1.9</v>
      </c>
      <c r="AJX15" s="2">
        <v>1.1</v>
      </c>
      <c r="AJY15" s="2">
        <v>1.6</v>
      </c>
      <c r="AJZ15" s="2">
        <v>4.6</v>
      </c>
      <c r="AKA15" s="2">
        <v>6.3</v>
      </c>
      <c r="AKB15" s="2">
        <v>3.4</v>
      </c>
      <c r="AKC15" s="2">
        <v>1.2</v>
      </c>
      <c r="AKD15" s="2">
        <v>4.3</v>
      </c>
      <c r="AKE15" s="2">
        <v>-0.5</v>
      </c>
      <c r="AKF15" s="2">
        <v>-0.1</v>
      </c>
      <c r="AKG15" s="2">
        <v>-0.8</v>
      </c>
      <c r="AKH15" s="2">
        <v>-0.9</v>
      </c>
      <c r="AKI15" s="2">
        <v>-0.1</v>
      </c>
      <c r="AKJ15" s="2">
        <v>1.5</v>
      </c>
      <c r="AKK15" s="2">
        <v>0</v>
      </c>
      <c r="AKL15" s="2">
        <v>-0.7</v>
      </c>
      <c r="AKM15" s="2">
        <v>0</v>
      </c>
      <c r="AKN15" s="2">
        <v>0.3</v>
      </c>
      <c r="AKO15" s="2">
        <v>0.6</v>
      </c>
      <c r="AKP15" s="2">
        <v>0.33</v>
      </c>
      <c r="AKQ15" s="2">
        <v>0.33</v>
      </c>
      <c r="AKR15" s="2">
        <v>0.33</v>
      </c>
    </row>
    <row r="16">
      <c r="A16" t="inlineStr">
        <is>
          <t>Ice cream and other dairy products</t>
        </is>
      </c>
      <c r="B16" t="inlineStr">
        <is>
          <t>Dairy and related products</t>
        </is>
      </c>
      <c r="C16">
        <v>3</v>
      </c>
      <c r="D16">
        <v>0.32</v>
      </c>
      <c r="E16" s="3">
        <f>D16/1.08*0.010793796668581275</f>
        <v>0.003198161975875933</v>
      </c>
      <c r="F16" s="3">
        <f>E16-D16/100</f>
        <v>-1.8380241240669934e-06</v>
      </c>
      <c r="G16" s="3">
        <f>D16/1.08</f>
        <v>0.2962962962962963</v>
      </c>
      <c r="H16" s="2">
        <v>73.51000000000001</v>
      </c>
      <c r="I16" s="2">
        <v>74.09</v>
      </c>
      <c r="J16" s="2">
        <v>73.37</v>
      </c>
      <c r="K16" s="2">
        <v>74.72</v>
      </c>
      <c r="L16" s="2">
        <v>74.77</v>
      </c>
      <c r="M16" s="2">
        <v>74.11</v>
      </c>
      <c r="N16" s="2">
        <v>74.29000000000001</v>
      </c>
      <c r="O16" s="2">
        <v>74.63</v>
      </c>
      <c r="P16" s="2">
        <v>74.56</v>
      </c>
      <c r="Q16" s="2">
        <v>74.87</v>
      </c>
      <c r="R16" s="2">
        <v>74.88</v>
      </c>
      <c r="S16" s="2">
        <v>74.2</v>
      </c>
      <c r="T16" s="2">
        <v>74.18000000000001</v>
      </c>
      <c r="U16" s="2">
        <v>74.13</v>
      </c>
      <c r="V16" s="2">
        <v>73.90000000000001</v>
      </c>
      <c r="W16" s="2">
        <v>75.41</v>
      </c>
      <c r="X16" s="2">
        <v>75.14</v>
      </c>
      <c r="Y16" s="2">
        <v>74.61</v>
      </c>
      <c r="Z16" s="2">
        <v>75.18000000000001</v>
      </c>
      <c r="AA16" s="2">
        <v>75.65000000000001</v>
      </c>
      <c r="AB16" s="2">
        <v>75.56</v>
      </c>
      <c r="AC16" s="2">
        <v>76.17</v>
      </c>
      <c r="AD16" s="2">
        <v>77.34999999999999</v>
      </c>
      <c r="AE16" s="2">
        <v>76.59</v>
      </c>
      <c r="AF16" s="2">
        <v>76.58</v>
      </c>
      <c r="AG16" s="2">
        <v>76.23999999999999</v>
      </c>
      <c r="AH16" s="2">
        <v>76.77</v>
      </c>
      <c r="AI16" s="2">
        <v>77.95999999999999</v>
      </c>
      <c r="AJ16" s="2">
        <v>78.15000000000001</v>
      </c>
      <c r="AK16" s="2">
        <v>77.09999999999999</v>
      </c>
      <c r="AL16" s="2">
        <v>78.28</v>
      </c>
      <c r="AM16" s="2">
        <v>79.78</v>
      </c>
      <c r="AN16" s="2">
        <v>78.5</v>
      </c>
      <c r="AO16" s="2">
        <v>78.34999999999999</v>
      </c>
      <c r="AP16" s="2">
        <v>78.95999999999999</v>
      </c>
      <c r="AQ16" s="2">
        <v>79.01000000000001</v>
      </c>
      <c r="AR16" s="2">
        <v>78.95</v>
      </c>
      <c r="AS16" s="2">
        <v>78.75</v>
      </c>
      <c r="AT16" s="2">
        <v>78.66</v>
      </c>
      <c r="AU16" s="2">
        <v>80.34999999999999</v>
      </c>
      <c r="AV16" s="2">
        <v>79.22</v>
      </c>
      <c r="AW16" s="2">
        <v>78.15000000000001</v>
      </c>
      <c r="AX16" s="2">
        <v>78.92</v>
      </c>
      <c r="AY16" s="2">
        <v>79.39</v>
      </c>
      <c r="AZ16" s="2">
        <v>78.87</v>
      </c>
      <c r="BA16" s="2">
        <v>78.92</v>
      </c>
      <c r="BB16" s="2">
        <v>79.37</v>
      </c>
      <c r="BC16" s="2">
        <v>79.23</v>
      </c>
      <c r="BD16" s="2">
        <v>79.23</v>
      </c>
      <c r="BE16" s="2">
        <v>79.72</v>
      </c>
      <c r="BF16" s="2">
        <v>80.28</v>
      </c>
      <c r="BG16" s="2">
        <v>82.63</v>
      </c>
      <c r="BH16" s="2">
        <v>82.19</v>
      </c>
      <c r="BI16" s="2">
        <v>82.34</v>
      </c>
      <c r="BJ16" s="2">
        <v>82.76000000000001</v>
      </c>
      <c r="BK16" s="2">
        <v>84.08</v>
      </c>
      <c r="BL16" s="2">
        <v>83.40000000000001</v>
      </c>
      <c r="BM16" s="2">
        <v>83.70999999999999</v>
      </c>
      <c r="BN16" s="2">
        <v>85.93000000000001</v>
      </c>
      <c r="BO16" s="2">
        <v>86.45</v>
      </c>
      <c r="BP16" s="2">
        <v>87.92</v>
      </c>
      <c r="BQ16" s="2">
        <v>89.53</v>
      </c>
      <c r="BR16" s="2">
        <v>89.73999999999999</v>
      </c>
      <c r="BS16" s="2">
        <v>92.01000000000001</v>
      </c>
      <c r="BT16" s="2">
        <v>91.18000000000001</v>
      </c>
      <c r="BU16" s="2">
        <v>90.03</v>
      </c>
      <c r="BV16" s="2">
        <v>93.25</v>
      </c>
      <c r="BW16" s="2">
        <v>95.41</v>
      </c>
      <c r="BX16" s="2">
        <v>94.98</v>
      </c>
      <c r="BY16" s="2">
        <v>95.43000000000001</v>
      </c>
      <c r="BZ16" s="2">
        <v>96.23</v>
      </c>
      <c r="CA16" s="2">
        <v>96.92</v>
      </c>
      <c r="CB16" s="2">
        <v>96.2</v>
      </c>
      <c r="CC16" s="2">
        <v>96.55</v>
      </c>
      <c r="CD16" s="2">
        <v>96.41</v>
      </c>
      <c r="CE16" s="2">
        <v>98.81999999999999</v>
      </c>
      <c r="CF16" s="2">
        <v>96.86</v>
      </c>
      <c r="CG16" s="2">
        <v>95.7</v>
      </c>
      <c r="CH16" s="2">
        <v>96.7</v>
      </c>
      <c r="CI16" s="2">
        <v>97.22</v>
      </c>
      <c r="CJ16" s="2">
        <v>96.78</v>
      </c>
      <c r="CK16" s="2">
        <v>96.84</v>
      </c>
      <c r="CL16" s="2">
        <v>96.8</v>
      </c>
      <c r="CM16" s="2">
        <v>96.77</v>
      </c>
      <c r="CN16" s="2">
        <v>95.88</v>
      </c>
      <c r="CO16" s="2">
        <v>95.14</v>
      </c>
      <c r="CP16" s="2">
        <v>95.48999999999999</v>
      </c>
      <c r="CQ16" s="2">
        <v>97.34999999999999</v>
      </c>
      <c r="CR16" s="2">
        <v>96.79000000000001</v>
      </c>
      <c r="CS16" s="2">
        <v>95.47</v>
      </c>
      <c r="CT16" s="2">
        <v>97.62</v>
      </c>
      <c r="CU16" s="2">
        <v>97.61</v>
      </c>
      <c r="CV16" s="2">
        <v>96.54000000000001</v>
      </c>
      <c r="CW16" s="2">
        <v>96.65000000000001</v>
      </c>
      <c r="CX16" s="2">
        <v>97.37</v>
      </c>
      <c r="CY16" s="2">
        <v>98.23999999999999</v>
      </c>
      <c r="CZ16" s="2">
        <v>100</v>
      </c>
      <c r="DA16" s="2">
        <v>99.03</v>
      </c>
      <c r="DB16" s="2">
        <v>100.22</v>
      </c>
      <c r="DC16" s="2">
        <v>101.43</v>
      </c>
      <c r="DD16" s="2">
        <v>100.18</v>
      </c>
      <c r="DE16" s="2">
        <v>99.84</v>
      </c>
      <c r="DF16" s="2">
        <v>102.19</v>
      </c>
      <c r="DG16" s="2">
        <v>101.68</v>
      </c>
      <c r="DH16" s="2">
        <v>101.65</v>
      </c>
      <c r="DI16" s="2">
        <v>103.88</v>
      </c>
      <c r="DJ16" s="2">
        <v>104.57</v>
      </c>
      <c r="DK16" s="2">
        <v>0.9</v>
      </c>
      <c r="DL16" s="2">
        <v>0.1</v>
      </c>
      <c r="DM16" s="2">
        <v>0.7</v>
      </c>
      <c r="DN16" s="2">
        <v>0.9</v>
      </c>
      <c r="DO16" s="2">
        <v>0.5</v>
      </c>
      <c r="DP16" s="2">
        <v>0.7</v>
      </c>
      <c r="DQ16" s="2">
        <v>1.2</v>
      </c>
      <c r="DR16" s="2">
        <v>1.4</v>
      </c>
      <c r="DS16" s="2">
        <v>1.3</v>
      </c>
      <c r="DT16" s="2">
        <v>1.7</v>
      </c>
      <c r="DU16" s="2">
        <v>3.3</v>
      </c>
      <c r="DV16" s="2">
        <v>3.2</v>
      </c>
      <c r="DW16" s="2">
        <v>3.2</v>
      </c>
      <c r="DX16" s="2">
        <v>2.8</v>
      </c>
      <c r="DY16" s="2">
        <v>3.9</v>
      </c>
      <c r="DZ16" s="2">
        <v>3.4</v>
      </c>
      <c r="EA16" s="2">
        <v>4</v>
      </c>
      <c r="EB16" s="2">
        <v>3.3</v>
      </c>
      <c r="EC16" s="2">
        <v>4.1</v>
      </c>
      <c r="ED16" s="2">
        <v>5.5</v>
      </c>
      <c r="EE16" s="2">
        <v>3.9</v>
      </c>
      <c r="EF16" s="2">
        <v>2.9</v>
      </c>
      <c r="EG16" s="2">
        <v>2.1</v>
      </c>
      <c r="EH16" s="2">
        <v>3.2</v>
      </c>
      <c r="EI16" s="2">
        <v>3.1</v>
      </c>
      <c r="EJ16" s="2">
        <v>3.3</v>
      </c>
      <c r="EK16" s="2">
        <v>2.5</v>
      </c>
      <c r="EL16" s="2">
        <v>3.1</v>
      </c>
      <c r="EM16" s="2">
        <v>1.4</v>
      </c>
      <c r="EN16" s="2">
        <v>1.4</v>
      </c>
      <c r="EO16" s="2">
        <v>0.8</v>
      </c>
      <c r="EP16" s="2">
        <v>-0.5</v>
      </c>
      <c r="EQ16" s="2">
        <v>0.5</v>
      </c>
      <c r="ER16" s="2">
        <v>0.7</v>
      </c>
      <c r="ES16" s="2">
        <v>0.5</v>
      </c>
      <c r="ET16" s="2">
        <v>0.3</v>
      </c>
      <c r="EU16" s="2">
        <v>0.4</v>
      </c>
      <c r="EV16" s="2">
        <v>1.2</v>
      </c>
      <c r="EW16" s="2">
        <v>2.1</v>
      </c>
      <c r="EX16" s="2">
        <v>2.8</v>
      </c>
      <c r="EY16" s="2">
        <v>3.7</v>
      </c>
      <c r="EZ16" s="2">
        <v>5.4</v>
      </c>
      <c r="FA16" s="2">
        <v>4.9</v>
      </c>
      <c r="FB16" s="2">
        <v>5.9</v>
      </c>
      <c r="FC16" s="2">
        <v>5.7</v>
      </c>
      <c r="FD16" s="2">
        <v>6.1</v>
      </c>
      <c r="FE16" s="2">
        <v>8.300000000000001</v>
      </c>
      <c r="FF16" s="2">
        <v>9.1</v>
      </c>
      <c r="FG16" s="2">
        <v>11</v>
      </c>
      <c r="FH16" s="2">
        <v>12.3</v>
      </c>
      <c r="FI16" s="2">
        <v>11.8</v>
      </c>
      <c r="FJ16" s="2">
        <v>11.4</v>
      </c>
      <c r="FK16" s="2">
        <v>10.9</v>
      </c>
      <c r="FL16" s="2">
        <v>9.300000000000001</v>
      </c>
      <c r="FM16" s="2">
        <v>12.7</v>
      </c>
      <c r="FN16" s="2">
        <v>13.5</v>
      </c>
      <c r="FO16" s="2">
        <v>13.9</v>
      </c>
      <c r="FP16" s="2">
        <v>14</v>
      </c>
      <c r="FQ16" s="2">
        <v>12</v>
      </c>
      <c r="FR16" s="2">
        <v>12.1</v>
      </c>
      <c r="FS16" s="2">
        <v>9.4</v>
      </c>
      <c r="FT16" s="2">
        <v>7.8</v>
      </c>
      <c r="FU16" s="2">
        <v>7.4</v>
      </c>
      <c r="FV16" s="2">
        <v>7.4</v>
      </c>
      <c r="FW16" s="2">
        <v>6.2</v>
      </c>
      <c r="FX16" s="2">
        <v>6.3</v>
      </c>
      <c r="FY16" s="2">
        <v>3.7</v>
      </c>
      <c r="FZ16" s="2">
        <v>1.9</v>
      </c>
      <c r="GA16" s="2">
        <v>1.9</v>
      </c>
      <c r="GB16" s="2">
        <v>1.5</v>
      </c>
      <c r="GC16" s="2">
        <v>0.6</v>
      </c>
      <c r="GD16" s="2">
        <v>-0.2</v>
      </c>
      <c r="GE16" s="2">
        <v>-0.3</v>
      </c>
      <c r="GF16" s="2">
        <v>-1.5</v>
      </c>
      <c r="GG16" s="2">
        <v>-1</v>
      </c>
      <c r="GH16" s="2">
        <v>-1.5</v>
      </c>
      <c r="GI16" s="2">
        <v>-0.1</v>
      </c>
      <c r="GJ16" s="2">
        <v>-0.2</v>
      </c>
      <c r="GK16" s="2">
        <v>1</v>
      </c>
      <c r="GL16" s="2">
        <v>0.4</v>
      </c>
      <c r="GM16" s="2">
        <v>-0.2</v>
      </c>
      <c r="GN16" s="2">
        <v>-0.2</v>
      </c>
      <c r="GO16" s="2">
        <v>0.6</v>
      </c>
      <c r="GP16" s="2">
        <v>1.5</v>
      </c>
      <c r="GQ16" s="2">
        <v>4.3</v>
      </c>
      <c r="GR16" s="2">
        <v>4.1</v>
      </c>
      <c r="GS16" s="2">
        <v>5</v>
      </c>
      <c r="GT16" s="2">
        <v>4.2</v>
      </c>
      <c r="GU16" s="2">
        <v>3.5</v>
      </c>
      <c r="GV16" s="2">
        <v>4.6</v>
      </c>
      <c r="GW16" s="2">
        <v>4.7</v>
      </c>
      <c r="GX16" s="2">
        <v>4.2</v>
      </c>
      <c r="GY16" s="2">
        <v>5.3</v>
      </c>
      <c r="GZ16" s="2">
        <v>7.5</v>
      </c>
      <c r="HA16" s="2">
        <v>7.4</v>
      </c>
      <c r="HB16" s="2">
        <v>0.8</v>
      </c>
      <c r="HC16" s="2">
        <v>-1</v>
      </c>
      <c r="HD16" s="2">
        <v>1.8</v>
      </c>
      <c r="HE16" s="2">
        <v>0.1</v>
      </c>
      <c r="HF16" s="2">
        <v>-0.9</v>
      </c>
      <c r="HG16" s="2">
        <v>0.2</v>
      </c>
      <c r="HH16" s="2">
        <v>0.5</v>
      </c>
      <c r="HI16" s="2">
        <v>-0.1</v>
      </c>
      <c r="HJ16" s="2">
        <v>0.4</v>
      </c>
      <c r="HK16" s="2">
        <v>0</v>
      </c>
      <c r="HL16" s="2">
        <v>-0.9</v>
      </c>
      <c r="HM16" s="2">
        <v>0</v>
      </c>
      <c r="HN16" s="2">
        <v>-0.1</v>
      </c>
      <c r="HO16" s="2">
        <v>-0.3</v>
      </c>
      <c r="HP16" s="2">
        <v>2</v>
      </c>
      <c r="HQ16" s="2">
        <v>-0.4</v>
      </c>
      <c r="HR16" s="2">
        <v>-0.7</v>
      </c>
      <c r="HS16" s="2">
        <v>0.8</v>
      </c>
      <c r="HT16" s="2">
        <v>0.6</v>
      </c>
      <c r="HU16" s="2">
        <v>-0.1</v>
      </c>
      <c r="HV16" s="2">
        <v>0.8</v>
      </c>
      <c r="HW16" s="2">
        <v>1.5</v>
      </c>
      <c r="HX16" s="2">
        <v>-1</v>
      </c>
      <c r="HY16" s="2">
        <v>0</v>
      </c>
      <c r="HZ16" s="2">
        <v>-0.4</v>
      </c>
      <c r="IA16" s="2">
        <v>0.7</v>
      </c>
      <c r="IB16" s="2">
        <v>1.6</v>
      </c>
      <c r="IC16" s="2">
        <v>0.2</v>
      </c>
      <c r="ID16" s="2">
        <v>-1.3</v>
      </c>
      <c r="IE16" s="2">
        <v>1.5</v>
      </c>
      <c r="IF16" s="2">
        <v>1.9</v>
      </c>
      <c r="IG16" s="2">
        <v>-1.6</v>
      </c>
      <c r="IH16" s="2">
        <v>-0.2</v>
      </c>
      <c r="II16" s="2">
        <v>0.8</v>
      </c>
      <c r="IJ16" s="2">
        <v>0.1</v>
      </c>
      <c r="IK16" s="2">
        <v>-0.1</v>
      </c>
      <c r="IL16" s="2">
        <v>-0.3</v>
      </c>
      <c r="IM16" s="2">
        <v>-0.1</v>
      </c>
      <c r="IN16" s="2">
        <v>2.1</v>
      </c>
      <c r="IO16" s="2">
        <v>-1.4</v>
      </c>
      <c r="IP16" s="2">
        <v>-1.4</v>
      </c>
      <c r="IQ16" s="2">
        <v>1</v>
      </c>
      <c r="IR16" s="2">
        <v>0.6</v>
      </c>
      <c r="IS16" s="2">
        <v>-0.7</v>
      </c>
      <c r="IT16" s="2">
        <v>0.1</v>
      </c>
      <c r="IU16" s="2">
        <v>0.6</v>
      </c>
      <c r="IV16" s="2">
        <v>-0.2</v>
      </c>
      <c r="IW16" s="2">
        <v>0</v>
      </c>
      <c r="IX16" s="2">
        <v>0.6</v>
      </c>
      <c r="IY16" s="2">
        <v>0.7</v>
      </c>
      <c r="IZ16" s="2">
        <v>2.9</v>
      </c>
      <c r="JA16" s="2">
        <v>-0.5</v>
      </c>
      <c r="JB16" s="2">
        <v>0.2</v>
      </c>
      <c r="JC16" s="2">
        <v>0.5</v>
      </c>
      <c r="JD16" s="2">
        <v>1.6</v>
      </c>
      <c r="JE16" s="2">
        <v>-0.8</v>
      </c>
      <c r="JF16" s="2">
        <v>0.4</v>
      </c>
      <c r="JG16" s="2">
        <v>2.7</v>
      </c>
      <c r="JH16" s="2">
        <v>0.6</v>
      </c>
      <c r="JI16" s="2">
        <v>1.7</v>
      </c>
      <c r="JJ16" s="2">
        <v>1.8</v>
      </c>
      <c r="JK16" s="2">
        <v>0.2</v>
      </c>
      <c r="JL16" s="2">
        <v>2.5</v>
      </c>
      <c r="JM16" s="2">
        <v>-0.9</v>
      </c>
      <c r="JN16" s="2">
        <v>-1.3</v>
      </c>
      <c r="JO16" s="2">
        <v>3.6</v>
      </c>
      <c r="JP16" s="2">
        <v>2.3</v>
      </c>
      <c r="JQ16" s="2">
        <v>-0.5</v>
      </c>
      <c r="JR16" s="2">
        <v>0.5</v>
      </c>
      <c r="JS16" s="2">
        <v>0.8</v>
      </c>
      <c r="JT16" s="2">
        <v>0.7</v>
      </c>
      <c r="JU16" s="2">
        <v>-0.7</v>
      </c>
      <c r="JV16" s="2">
        <v>0.4</v>
      </c>
      <c r="JW16" s="2">
        <v>-0.1</v>
      </c>
      <c r="JX16" s="2">
        <v>2.5</v>
      </c>
      <c r="JY16" s="2">
        <v>-2</v>
      </c>
      <c r="JZ16" s="2">
        <v>-1.2</v>
      </c>
      <c r="KA16" s="2">
        <v>1</v>
      </c>
      <c r="KB16" s="2">
        <v>0.5</v>
      </c>
      <c r="KC16" s="2">
        <v>-0.5</v>
      </c>
      <c r="KD16" s="2">
        <v>0.1</v>
      </c>
      <c r="KE16" s="2">
        <v>0</v>
      </c>
      <c r="KF16" s="2">
        <v>0</v>
      </c>
      <c r="KG16" s="2">
        <v>-0.9</v>
      </c>
      <c r="KH16" s="2">
        <v>-0.8</v>
      </c>
      <c r="KI16" s="2">
        <v>0.4</v>
      </c>
      <c r="KJ16" s="2">
        <v>1.9</v>
      </c>
      <c r="KK16" s="2">
        <v>-0.6</v>
      </c>
      <c r="KL16" s="2">
        <v>-1.4</v>
      </c>
      <c r="KM16" s="2">
        <v>2.3</v>
      </c>
      <c r="KN16" s="2">
        <v>0</v>
      </c>
      <c r="KO16" s="2">
        <v>-1.1</v>
      </c>
      <c r="KP16" s="2">
        <v>0.1</v>
      </c>
      <c r="KQ16" s="2">
        <v>0.7</v>
      </c>
      <c r="KR16" s="2">
        <v>0.9</v>
      </c>
      <c r="KS16" s="2">
        <v>1.8</v>
      </c>
      <c r="KT16" s="2">
        <v>-1</v>
      </c>
      <c r="KU16" s="2">
        <v>1.2</v>
      </c>
      <c r="KV16" s="2">
        <v>1.2</v>
      </c>
      <c r="KW16" s="2">
        <v>-1.2</v>
      </c>
      <c r="KX16" s="2">
        <v>-0.3</v>
      </c>
      <c r="KY16" s="2">
        <v>2.4</v>
      </c>
      <c r="KZ16" s="2">
        <v>-0.5</v>
      </c>
      <c r="LA16" s="2">
        <v>0</v>
      </c>
      <c r="LB16" s="2">
        <v>2.2</v>
      </c>
      <c r="LC16" s="2">
        <v>0.7</v>
      </c>
      <c r="LD16" s="2">
        <v>0.31</v>
      </c>
      <c r="LE16" s="2">
        <v>0.31</v>
      </c>
      <c r="LF16" s="2">
        <v>0.3</v>
      </c>
      <c r="LG16" s="2">
        <v>0.31</v>
      </c>
      <c r="LH16" s="2">
        <v>0.31</v>
      </c>
      <c r="LI16" s="2">
        <v>0.31</v>
      </c>
      <c r="LJ16" s="2">
        <v>0.31</v>
      </c>
      <c r="LK16" s="2">
        <v>0.31</v>
      </c>
      <c r="LL16" s="2">
        <v>0.31</v>
      </c>
      <c r="LM16" s="2">
        <v>0.32</v>
      </c>
      <c r="LN16" s="2">
        <v>0.32</v>
      </c>
      <c r="LO16" s="2">
        <v>0.32</v>
      </c>
      <c r="LP16" s="2">
        <v>0.32</v>
      </c>
      <c r="LQ16" s="2">
        <v>0.32</v>
      </c>
      <c r="LR16" s="2">
        <v>0.32</v>
      </c>
      <c r="LS16" s="2">
        <v>0.33</v>
      </c>
      <c r="LT16" s="2">
        <v>0.32</v>
      </c>
      <c r="LU16" s="2">
        <v>0.32</v>
      </c>
      <c r="LV16" s="2">
        <v>0.33</v>
      </c>
      <c r="LW16" s="2">
        <v>0.33</v>
      </c>
      <c r="LX16" s="2">
        <v>0</v>
      </c>
      <c r="LY16" s="2">
        <v>-0.01</v>
      </c>
      <c r="LZ16" s="2">
        <v>0.01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0.01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0.01</v>
      </c>
      <c r="MM16" s="2">
        <v>-0.01</v>
      </c>
      <c r="MN16" s="2">
        <v>0</v>
      </c>
      <c r="MO16" s="2">
        <v>0.01</v>
      </c>
      <c r="MP16" s="2">
        <v>0</v>
      </c>
      <c r="RO16" s="2">
        <v>22.19</v>
      </c>
      <c r="RP16" s="2">
        <v>22.85</v>
      </c>
      <c r="RQ16" s="2">
        <v>23.26</v>
      </c>
      <c r="RR16" s="2">
        <v>23.92</v>
      </c>
      <c r="RS16" s="2">
        <v>24.58</v>
      </c>
      <c r="RT16" s="2">
        <v>24.74</v>
      </c>
      <c r="RU16" s="2">
        <v>25.32</v>
      </c>
      <c r="RV16" s="2">
        <v>26.52</v>
      </c>
      <c r="RW16" s="2">
        <v>27.5</v>
      </c>
      <c r="RX16" s="2">
        <v>28.33</v>
      </c>
      <c r="RY16" s="2">
        <v>29.27</v>
      </c>
      <c r="RZ16" s="2">
        <v>29.69</v>
      </c>
      <c r="SA16" s="2">
        <v>29.4</v>
      </c>
      <c r="SB16" s="2">
        <v>29.85</v>
      </c>
      <c r="SC16" s="2">
        <v>30.14</v>
      </c>
      <c r="SD16" s="2">
        <v>29.85</v>
      </c>
      <c r="SE16" s="2">
        <v>30.06</v>
      </c>
      <c r="SF16" s="2">
        <v>29.6</v>
      </c>
      <c r="SG16" s="2">
        <v>29.73</v>
      </c>
      <c r="SH16" s="2">
        <v>30.18</v>
      </c>
      <c r="SI16" s="2">
        <v>30.55</v>
      </c>
      <c r="SJ16" s="2">
        <v>30.63</v>
      </c>
      <c r="SK16" s="2">
        <v>30.96</v>
      </c>
      <c r="SL16" s="2">
        <v>30.8</v>
      </c>
      <c r="SM16" s="2">
        <v>31.09</v>
      </c>
      <c r="SN16" s="2">
        <v>31.29</v>
      </c>
      <c r="SO16" s="2">
        <v>31.66</v>
      </c>
      <c r="SP16" s="2">
        <v>32.2</v>
      </c>
      <c r="SQ16" s="2">
        <v>33.35</v>
      </c>
      <c r="SR16" s="2">
        <v>34.13</v>
      </c>
      <c r="SS16" s="2">
        <v>34.5</v>
      </c>
      <c r="ST16" s="2">
        <v>35.66</v>
      </c>
      <c r="SU16" s="2">
        <v>35.82</v>
      </c>
      <c r="SV16" s="2">
        <v>36.85</v>
      </c>
      <c r="SW16" s="2">
        <v>37.01</v>
      </c>
      <c r="SX16" s="2">
        <v>38.83</v>
      </c>
      <c r="SY16" s="2">
        <v>39.16</v>
      </c>
      <c r="SZ16" s="2">
        <v>41.3</v>
      </c>
      <c r="TA16" s="2">
        <v>41.34</v>
      </c>
      <c r="TB16" s="2">
        <v>42.9</v>
      </c>
      <c r="TC16" s="2">
        <v>42.37</v>
      </c>
      <c r="TD16" s="2">
        <v>43.36</v>
      </c>
      <c r="TE16" s="2">
        <v>43.52</v>
      </c>
      <c r="TF16" s="2">
        <v>44.18</v>
      </c>
      <c r="TG16" s="2">
        <v>44.06</v>
      </c>
      <c r="TH16" s="2">
        <v>43.19</v>
      </c>
      <c r="TI16" s="2">
        <v>43.31</v>
      </c>
      <c r="TJ16" s="2">
        <v>42.98</v>
      </c>
      <c r="TK16" s="2">
        <v>42.82</v>
      </c>
      <c r="TL16" s="2">
        <v>44.8</v>
      </c>
      <c r="TM16" s="2">
        <v>43.23</v>
      </c>
      <c r="TN16" s="2">
        <v>45.91</v>
      </c>
      <c r="TO16" s="2">
        <v>45.7</v>
      </c>
      <c r="TP16" s="2">
        <v>46.85</v>
      </c>
      <c r="TQ16" s="2">
        <v>46.48</v>
      </c>
      <c r="TR16" s="2">
        <v>47.72</v>
      </c>
      <c r="TS16" s="2">
        <v>47.43</v>
      </c>
      <c r="TT16" s="2">
        <v>47.06</v>
      </c>
      <c r="TU16" s="2">
        <v>46.53</v>
      </c>
      <c r="TV16" s="2">
        <v>47.6</v>
      </c>
      <c r="TW16" s="2">
        <v>47.88</v>
      </c>
      <c r="TX16" s="2">
        <v>47.06</v>
      </c>
      <c r="TY16" s="2">
        <v>47.51</v>
      </c>
      <c r="TZ16" s="2">
        <v>48.87</v>
      </c>
      <c r="UA16" s="2">
        <v>49.53</v>
      </c>
      <c r="UB16" s="2">
        <v>50.68</v>
      </c>
      <c r="UC16" s="2">
        <v>50.6</v>
      </c>
      <c r="UD16" s="2">
        <v>52.04</v>
      </c>
      <c r="UE16" s="2">
        <v>50.97</v>
      </c>
      <c r="UF16" s="2">
        <v>51.26</v>
      </c>
      <c r="UG16" s="2">
        <v>52.62</v>
      </c>
      <c r="UH16" s="2">
        <v>53.28</v>
      </c>
      <c r="UI16" s="2">
        <v>52.93</v>
      </c>
      <c r="UJ16" s="2">
        <v>51.8</v>
      </c>
      <c r="UK16" s="2">
        <v>53.66</v>
      </c>
      <c r="UL16" s="2">
        <v>55.41</v>
      </c>
      <c r="UM16" s="2">
        <v>55.01</v>
      </c>
      <c r="UN16" s="2">
        <v>55.94</v>
      </c>
      <c r="UO16" s="2">
        <v>55.92</v>
      </c>
      <c r="UP16" s="2">
        <v>57.59</v>
      </c>
      <c r="UQ16" s="2">
        <v>57.28</v>
      </c>
      <c r="UR16" s="2">
        <v>59.06</v>
      </c>
      <c r="US16" s="2">
        <v>60.43</v>
      </c>
      <c r="UT16" s="2">
        <v>61.12</v>
      </c>
      <c r="UU16" s="2">
        <v>63</v>
      </c>
      <c r="UV16" s="2">
        <v>63.21</v>
      </c>
      <c r="UW16" s="2">
        <v>63.71</v>
      </c>
      <c r="UX16" s="2">
        <v>63.42</v>
      </c>
      <c r="UY16" s="2">
        <v>65.12</v>
      </c>
      <c r="UZ16" s="2">
        <v>66.27</v>
      </c>
      <c r="VA16" s="2">
        <v>66.33</v>
      </c>
      <c r="VB16" s="2">
        <v>65.48999999999999</v>
      </c>
      <c r="VC16" s="2">
        <v>65.45999999999999</v>
      </c>
      <c r="VD16" s="2">
        <v>64.67</v>
      </c>
      <c r="VE16" s="2">
        <v>64.81</v>
      </c>
      <c r="VF16" s="2">
        <v>65.29000000000001</v>
      </c>
      <c r="VG16" s="2">
        <v>64.31</v>
      </c>
      <c r="VH16" s="2">
        <v>64.11</v>
      </c>
      <c r="VI16" s="2">
        <v>65.20999999999999</v>
      </c>
      <c r="VJ16" s="2">
        <v>66.09999999999999</v>
      </c>
      <c r="VK16" s="2">
        <v>66</v>
      </c>
      <c r="VL16" s="2">
        <v>66.62</v>
      </c>
      <c r="VM16" s="2">
        <v>67.34</v>
      </c>
      <c r="VN16" s="2">
        <v>68.17</v>
      </c>
      <c r="VO16" s="2">
        <v>68.52</v>
      </c>
      <c r="VP16" s="2">
        <v>69.92</v>
      </c>
      <c r="VQ16" s="2">
        <v>70.06</v>
      </c>
      <c r="VR16" s="2">
        <v>69.84</v>
      </c>
      <c r="VS16" s="2">
        <v>70.3</v>
      </c>
      <c r="VT16" s="2">
        <v>71.69</v>
      </c>
      <c r="VU16" s="2">
        <v>72.02</v>
      </c>
      <c r="VV16" s="2">
        <v>76.63</v>
      </c>
      <c r="VW16" s="2">
        <v>76.76000000000001</v>
      </c>
      <c r="VX16" s="2">
        <v>76.88</v>
      </c>
      <c r="VY16" s="2">
        <v>80.34</v>
      </c>
      <c r="VZ16" s="2">
        <v>80.66</v>
      </c>
      <c r="WA16" s="2">
        <v>79.98</v>
      </c>
      <c r="WB16" s="2">
        <v>81.56</v>
      </c>
      <c r="WC16" s="2">
        <v>79.08</v>
      </c>
      <c r="WD16" s="2">
        <v>81.5</v>
      </c>
      <c r="WE16" s="2">
        <v>80.28</v>
      </c>
      <c r="WF16" s="2">
        <v>80.5</v>
      </c>
      <c r="WG16" s="2">
        <v>81.06999999999999</v>
      </c>
      <c r="WH16" s="2">
        <v>80.06999999999999</v>
      </c>
      <c r="WI16" s="2">
        <v>79.26000000000001</v>
      </c>
      <c r="WJ16" s="2">
        <v>80.17</v>
      </c>
      <c r="WK16" s="2">
        <v>79.66</v>
      </c>
      <c r="WL16" s="2">
        <v>79.22</v>
      </c>
      <c r="WM16" s="2">
        <v>80.31</v>
      </c>
      <c r="WN16" s="2">
        <v>78.70999999999999</v>
      </c>
      <c r="WO16" s="2">
        <v>78.02</v>
      </c>
      <c r="WP16" s="2">
        <v>77.90000000000001</v>
      </c>
      <c r="WQ16" s="2">
        <v>78.76000000000001</v>
      </c>
      <c r="WR16" s="2">
        <v>78.73</v>
      </c>
      <c r="WS16" s="2">
        <v>77.34</v>
      </c>
      <c r="WT16" s="2">
        <v>78.84999999999999</v>
      </c>
      <c r="WU16" s="2">
        <v>78.98999999999999</v>
      </c>
      <c r="WV16" s="2">
        <v>77.54000000000001</v>
      </c>
      <c r="WW16" s="2">
        <v>79.62</v>
      </c>
      <c r="WX16" s="2">
        <v>79.01000000000001</v>
      </c>
      <c r="WY16" s="2">
        <v>78.7</v>
      </c>
      <c r="WZ16" s="2">
        <v>76.3</v>
      </c>
      <c r="XA16" s="2">
        <v>76.98999999999999</v>
      </c>
      <c r="XB16" s="2">
        <v>78.26000000000001</v>
      </c>
      <c r="XC16" s="2">
        <v>77.02</v>
      </c>
      <c r="XD16" s="2">
        <v>76.37</v>
      </c>
      <c r="XE16" s="2">
        <v>75.87</v>
      </c>
      <c r="XF16" s="2">
        <v>76.5</v>
      </c>
      <c r="XG16" s="2">
        <v>75.53</v>
      </c>
      <c r="XH16" s="2">
        <v>75.61</v>
      </c>
      <c r="XI16" s="2">
        <v>75.78</v>
      </c>
      <c r="XJ16" s="2">
        <v>76.23</v>
      </c>
      <c r="XK16" s="2">
        <v>75.94</v>
      </c>
      <c r="XL16" s="2">
        <v>76.09</v>
      </c>
      <c r="XM16" s="2">
        <v>76.53</v>
      </c>
      <c r="XN16" s="2">
        <v>77.26000000000001</v>
      </c>
      <c r="XO16" s="2">
        <v>78.15000000000001</v>
      </c>
      <c r="XP16" s="2">
        <v>77.95999999999999</v>
      </c>
      <c r="XQ16" s="2">
        <v>78.56999999999999</v>
      </c>
      <c r="XR16" s="2">
        <v>79.52</v>
      </c>
      <c r="XS16" s="2">
        <v>79.45</v>
      </c>
      <c r="XT16" s="2">
        <v>79.19</v>
      </c>
      <c r="XU16" s="2">
        <v>78.7</v>
      </c>
      <c r="XV16" s="2">
        <v>79.11</v>
      </c>
      <c r="XW16" s="2">
        <v>79.45999999999999</v>
      </c>
      <c r="XX16" s="2">
        <v>80.94</v>
      </c>
      <c r="XY16" s="2">
        <v>82.25</v>
      </c>
      <c r="XZ16" s="2">
        <v>83.56999999999999</v>
      </c>
      <c r="YA16" s="2">
        <v>86.77</v>
      </c>
      <c r="YB16" s="2">
        <v>90.43000000000001</v>
      </c>
      <c r="YC16" s="2">
        <v>91.48999999999999</v>
      </c>
      <c r="YD16" s="2">
        <v>95.27</v>
      </c>
      <c r="YE16" s="2">
        <v>96.45</v>
      </c>
      <c r="YF16" s="2">
        <v>97.26000000000001</v>
      </c>
      <c r="YG16" s="2">
        <v>96.42</v>
      </c>
      <c r="YH16" s="2">
        <v>96.95</v>
      </c>
      <c r="YI16" s="2">
        <v>96.48</v>
      </c>
      <c r="YJ16" s="2">
        <v>95.98999999999999</v>
      </c>
      <c r="YK16" s="2">
        <v>96.63</v>
      </c>
      <c r="YL16" s="2">
        <v>96.93000000000001</v>
      </c>
      <c r="YM16" s="2">
        <v>98.54000000000001</v>
      </c>
      <c r="YN16" s="2">
        <v>100.23</v>
      </c>
      <c r="YO16" s="2">
        <v>100.74</v>
      </c>
      <c r="YP16" s="2">
        <v>102.4</v>
      </c>
      <c r="ADO16" s="2">
        <v>3</v>
      </c>
      <c r="ADP16" s="2">
        <v>1.8</v>
      </c>
      <c r="ADQ16" s="2">
        <v>2.8</v>
      </c>
      <c r="ADR16" s="2">
        <v>2.8</v>
      </c>
      <c r="ADS16" s="2">
        <v>0.7</v>
      </c>
      <c r="ADT16" s="2">
        <v>2.3</v>
      </c>
      <c r="ADU16" s="2">
        <v>4.7</v>
      </c>
      <c r="ADV16" s="2">
        <v>3.7</v>
      </c>
      <c r="ADW16" s="2">
        <v>3</v>
      </c>
      <c r="ADX16" s="2">
        <v>3.3</v>
      </c>
      <c r="ADY16" s="2">
        <v>1.4</v>
      </c>
      <c r="ADZ16" s="2">
        <v>-1</v>
      </c>
      <c r="AEA16" s="2">
        <v>1.5</v>
      </c>
      <c r="AEB16" s="2">
        <v>1</v>
      </c>
      <c r="AEC16" s="2">
        <v>-1</v>
      </c>
      <c r="AED16" s="2">
        <v>0.7</v>
      </c>
      <c r="AEE16" s="2">
        <v>-1.5</v>
      </c>
      <c r="AEF16" s="2">
        <v>0.4</v>
      </c>
      <c r="AEG16" s="2">
        <v>1.5</v>
      </c>
      <c r="AEH16" s="2">
        <v>1.2</v>
      </c>
      <c r="AEI16" s="2">
        <v>0.3</v>
      </c>
      <c r="AEJ16" s="2">
        <v>1.1</v>
      </c>
      <c r="AEK16" s="2">
        <v>-0.5</v>
      </c>
      <c r="AEL16" s="2">
        <v>0.9</v>
      </c>
      <c r="AEM16" s="2">
        <v>0.6</v>
      </c>
      <c r="AEN16" s="2">
        <v>1.2</v>
      </c>
      <c r="AEO16" s="2">
        <v>1.7</v>
      </c>
      <c r="AEP16" s="2">
        <v>3.6</v>
      </c>
      <c r="AEQ16" s="2">
        <v>2.3</v>
      </c>
      <c r="AER16" s="2">
        <v>1.1</v>
      </c>
      <c r="AES16" s="2">
        <v>3.4</v>
      </c>
      <c r="AET16" s="2">
        <v>0.4</v>
      </c>
      <c r="AEU16" s="2">
        <v>2.9</v>
      </c>
      <c r="AEV16" s="2">
        <v>0.4</v>
      </c>
      <c r="AEW16" s="2">
        <v>4.9</v>
      </c>
      <c r="AEX16" s="2">
        <v>0.8</v>
      </c>
      <c r="AEY16" s="2">
        <v>5.5</v>
      </c>
      <c r="AEZ16" s="2">
        <v>0.1</v>
      </c>
      <c r="AFA16" s="2">
        <v>3.8</v>
      </c>
      <c r="AFB16" s="2">
        <v>-1.2</v>
      </c>
      <c r="AFC16" s="2">
        <v>2.3</v>
      </c>
      <c r="AFD16" s="2">
        <v>0.4</v>
      </c>
      <c r="AFE16" s="2">
        <v>1.5</v>
      </c>
      <c r="AFF16" s="2">
        <v>-0.3</v>
      </c>
      <c r="AFG16" s="2">
        <v>-2</v>
      </c>
      <c r="AFH16" s="2">
        <v>0.3</v>
      </c>
      <c r="AFI16" s="2">
        <v>-0.8</v>
      </c>
      <c r="AFJ16" s="2">
        <v>-0.4</v>
      </c>
      <c r="AFK16" s="2">
        <v>4.6</v>
      </c>
      <c r="AFL16" s="2">
        <v>-3.5</v>
      </c>
      <c r="AFM16" s="2">
        <v>6.2</v>
      </c>
      <c r="AFN16" s="2">
        <v>-0.5</v>
      </c>
      <c r="AFO16" s="2">
        <v>2.5</v>
      </c>
      <c r="AFP16" s="2">
        <v>-0.8</v>
      </c>
      <c r="AFQ16" s="2">
        <v>2.7</v>
      </c>
      <c r="AFR16" s="2">
        <v>-0.6</v>
      </c>
      <c r="AFS16" s="2">
        <v>-0.8</v>
      </c>
      <c r="AFT16" s="2">
        <v>-1.1</v>
      </c>
      <c r="AFU16" s="2">
        <v>2.3</v>
      </c>
      <c r="AFV16" s="2">
        <v>0.6</v>
      </c>
      <c r="AFW16" s="2">
        <v>-1.7</v>
      </c>
      <c r="AFX16" s="2">
        <v>1</v>
      </c>
      <c r="AFY16" s="2">
        <v>2.9</v>
      </c>
      <c r="AFZ16" s="2">
        <v>1.4</v>
      </c>
      <c r="AGA16" s="2">
        <v>2.3</v>
      </c>
      <c r="AGB16" s="2">
        <v>-0.2</v>
      </c>
      <c r="AGC16" s="2">
        <v>2.8</v>
      </c>
      <c r="AGD16" s="2">
        <v>-2.1</v>
      </c>
      <c r="AGE16" s="2">
        <v>0.6</v>
      </c>
      <c r="AGF16" s="2">
        <v>2.7</v>
      </c>
      <c r="AGG16" s="2">
        <v>1.3</v>
      </c>
      <c r="AGH16" s="2">
        <v>-0.7</v>
      </c>
      <c r="AGI16" s="2">
        <v>-2.1</v>
      </c>
      <c r="AGJ16" s="2">
        <v>3.6</v>
      </c>
      <c r="AGK16" s="2">
        <v>3.3</v>
      </c>
      <c r="AGL16" s="2">
        <v>-0.7</v>
      </c>
      <c r="AGM16" s="2">
        <v>1.7</v>
      </c>
      <c r="AGN16" s="2">
        <v>0</v>
      </c>
      <c r="AGO16" s="2">
        <v>3</v>
      </c>
      <c r="AGP16" s="2">
        <v>-0.5</v>
      </c>
      <c r="AGQ16" s="2">
        <v>3.1</v>
      </c>
      <c r="AGR16" s="2">
        <v>2.3</v>
      </c>
      <c r="AGS16" s="2">
        <v>1.1</v>
      </c>
      <c r="AGT16" s="2">
        <v>3.1</v>
      </c>
      <c r="AGU16" s="2">
        <v>0.3</v>
      </c>
      <c r="AGV16" s="2">
        <v>0.8</v>
      </c>
      <c r="AGW16" s="2">
        <v>-0.5</v>
      </c>
      <c r="AGX16" s="2">
        <v>2.7</v>
      </c>
      <c r="AGY16" s="2">
        <v>1.8</v>
      </c>
      <c r="AGZ16" s="2">
        <v>0.1</v>
      </c>
      <c r="AHA16" s="2">
        <v>-1.3</v>
      </c>
      <c r="AHB16" s="2">
        <v>0</v>
      </c>
      <c r="AHC16" s="2">
        <v>-1.2</v>
      </c>
      <c r="AHD16" s="2">
        <v>0.2</v>
      </c>
      <c r="AHE16" s="2">
        <v>0.7</v>
      </c>
      <c r="AHF16" s="2">
        <v>-1.5</v>
      </c>
      <c r="AHG16" s="2">
        <v>-0.3</v>
      </c>
      <c r="AHH16" s="2">
        <v>1.7</v>
      </c>
      <c r="AHI16" s="2">
        <v>1.4</v>
      </c>
      <c r="AHJ16" s="2">
        <v>-0.2</v>
      </c>
      <c r="AHK16" s="2">
        <v>0.9</v>
      </c>
      <c r="AHL16" s="2">
        <v>1.1</v>
      </c>
      <c r="AHM16" s="2">
        <v>1.2</v>
      </c>
      <c r="AHN16" s="2">
        <v>0.5</v>
      </c>
      <c r="AHO16" s="2">
        <v>2</v>
      </c>
      <c r="AHP16" s="2">
        <v>0.2</v>
      </c>
      <c r="AHQ16" s="2">
        <v>-0.3</v>
      </c>
      <c r="AHR16" s="2">
        <v>0.7</v>
      </c>
      <c r="AHS16" s="2">
        <v>2</v>
      </c>
      <c r="AHT16" s="2">
        <v>0.5</v>
      </c>
      <c r="AHU16" s="2">
        <v>6.4</v>
      </c>
      <c r="AHV16" s="2">
        <v>0.2</v>
      </c>
      <c r="AHW16" s="2">
        <v>0.2</v>
      </c>
      <c r="AHX16" s="2">
        <v>4.5</v>
      </c>
      <c r="AHY16" s="2">
        <v>0.4</v>
      </c>
      <c r="AHZ16" s="2">
        <v>-0.8</v>
      </c>
      <c r="AIA16" s="2">
        <v>2</v>
      </c>
      <c r="AIB16" s="2">
        <v>-3</v>
      </c>
      <c r="AIC16" s="2">
        <v>3.1</v>
      </c>
      <c r="AID16" s="2">
        <v>-1.5</v>
      </c>
      <c r="AIE16" s="2">
        <v>0.3</v>
      </c>
      <c r="AIF16" s="2">
        <v>0.7</v>
      </c>
      <c r="AIG16" s="2">
        <v>-1.2</v>
      </c>
      <c r="AIH16" s="2">
        <v>-1</v>
      </c>
      <c r="AII16" s="2">
        <v>1.1</v>
      </c>
      <c r="AIJ16" s="2">
        <v>-0.6</v>
      </c>
      <c r="AIK16" s="2">
        <v>-0.6</v>
      </c>
      <c r="AIL16" s="2">
        <v>1.4</v>
      </c>
      <c r="AIM16" s="2">
        <v>-2</v>
      </c>
      <c r="AIN16" s="2">
        <v>-0.9</v>
      </c>
      <c r="AIO16" s="2">
        <v>-0.2</v>
      </c>
      <c r="AIP16" s="2">
        <v>1.1</v>
      </c>
      <c r="AIQ16" s="2">
        <v>0</v>
      </c>
      <c r="AIR16" s="2">
        <v>-1.8</v>
      </c>
      <c r="AIS16" s="2">
        <v>2</v>
      </c>
      <c r="AIT16" s="2">
        <v>0.2</v>
      </c>
      <c r="AIU16" s="2">
        <v>-1.8</v>
      </c>
      <c r="AIV16" s="2">
        <v>2.7</v>
      </c>
      <c r="AIW16" s="2">
        <v>-0.8</v>
      </c>
      <c r="AIX16" s="2">
        <v>-0.4</v>
      </c>
      <c r="AIY16" s="2">
        <v>-3</v>
      </c>
      <c r="AIZ16" s="2">
        <v>0.9</v>
      </c>
      <c r="AJA16" s="2">
        <v>1.6</v>
      </c>
      <c r="AJB16" s="2">
        <v>-1.6</v>
      </c>
      <c r="AJC16" s="2">
        <v>-0.8</v>
      </c>
      <c r="AJD16" s="2">
        <v>-0.7</v>
      </c>
      <c r="AJE16" s="2">
        <v>0.8</v>
      </c>
      <c r="AJF16" s="2">
        <v>-1.3</v>
      </c>
      <c r="AJG16" s="2">
        <v>0.1</v>
      </c>
      <c r="AJH16" s="2">
        <v>0.2</v>
      </c>
      <c r="AJI16" s="2">
        <v>0.6</v>
      </c>
      <c r="AJJ16" s="2">
        <v>-0.4</v>
      </c>
      <c r="AJK16" s="2">
        <v>0.2</v>
      </c>
      <c r="AJL16" s="2">
        <v>0.6</v>
      </c>
      <c r="AJM16" s="2">
        <v>1</v>
      </c>
      <c r="AJN16" s="2">
        <v>1.2</v>
      </c>
      <c r="AJO16" s="2">
        <v>-0.2</v>
      </c>
      <c r="AJP16" s="2">
        <v>0.8</v>
      </c>
      <c r="AJQ16" s="2">
        <v>1.2</v>
      </c>
      <c r="AJR16" s="2">
        <v>-0.1</v>
      </c>
      <c r="AJS16" s="2">
        <v>-0.3</v>
      </c>
      <c r="AJT16" s="2">
        <v>-0.6</v>
      </c>
      <c r="AJU16" s="2">
        <v>0.5</v>
      </c>
      <c r="AJV16" s="2">
        <v>0.4</v>
      </c>
      <c r="AJW16" s="2">
        <v>1.9</v>
      </c>
      <c r="AJX16" s="2">
        <v>1.6</v>
      </c>
      <c r="AJY16" s="2">
        <v>1.6</v>
      </c>
      <c r="AJZ16" s="2">
        <v>3.8</v>
      </c>
      <c r="AKA16" s="2">
        <v>4.2</v>
      </c>
      <c r="AKB16" s="2">
        <v>1.2</v>
      </c>
      <c r="AKC16" s="2">
        <v>4.1</v>
      </c>
      <c r="AKD16" s="2">
        <v>1.2</v>
      </c>
      <c r="AKE16" s="2">
        <v>0.8</v>
      </c>
      <c r="AKF16" s="2">
        <v>-0.9</v>
      </c>
      <c r="AKG16" s="2">
        <v>0.5</v>
      </c>
      <c r="AKH16" s="2">
        <v>-0.5</v>
      </c>
      <c r="AKI16" s="2">
        <v>-0.5</v>
      </c>
      <c r="AKJ16" s="2">
        <v>0.7</v>
      </c>
      <c r="AKK16" s="2">
        <v>0.3</v>
      </c>
      <c r="AKL16" s="2">
        <v>1.7</v>
      </c>
      <c r="AKM16" s="2">
        <v>1.7</v>
      </c>
      <c r="AKN16" s="2">
        <v>0.5</v>
      </c>
      <c r="AKO16" s="2">
        <v>1.6</v>
      </c>
      <c r="AKP16" s="2">
        <v>0.32</v>
      </c>
      <c r="AKQ16" s="2">
        <v>0.32</v>
      </c>
      <c r="AKR16" s="2">
        <v>0.33</v>
      </c>
    </row>
    <row r="17">
      <c r="A17" t="inlineStr">
        <is>
          <t>Fruit</t>
        </is>
      </c>
      <c r="B17" t="inlineStr">
        <is>
          <t>Fruit and vegetables</t>
        </is>
      </c>
      <c r="C17">
        <v>3</v>
      </c>
      <c r="D17">
        <v>0.9</v>
      </c>
      <c r="E17" s="3">
        <f>D17/2.0*0.019988512349224583</f>
        <v>0.008994830557151062</v>
      </c>
      <c r="F17" s="3">
        <f>E17-D17/100</f>
        <v>-5.169442848939124e-06</v>
      </c>
      <c r="G17" s="3">
        <f>D17/2.0</f>
        <v>0.45</v>
      </c>
      <c r="H17" s="2">
        <v>68.33</v>
      </c>
      <c r="I17" s="2">
        <v>77.26000000000001</v>
      </c>
      <c r="J17" s="2">
        <v>81.31</v>
      </c>
      <c r="K17" s="2">
        <v>82.3</v>
      </c>
      <c r="L17" s="2">
        <v>78.84999999999999</v>
      </c>
      <c r="M17" s="2">
        <v>80.29000000000001</v>
      </c>
      <c r="N17" s="2">
        <v>78.7</v>
      </c>
      <c r="O17" s="2">
        <v>76.40000000000001</v>
      </c>
      <c r="P17" s="2">
        <v>76.22</v>
      </c>
      <c r="Q17" s="2">
        <v>77.94</v>
      </c>
      <c r="R17" s="2">
        <v>79.53</v>
      </c>
      <c r="S17" s="2">
        <v>77.47</v>
      </c>
      <c r="T17" s="2">
        <v>76.59</v>
      </c>
      <c r="U17" s="2">
        <v>82.77</v>
      </c>
      <c r="V17" s="2">
        <v>81.94</v>
      </c>
      <c r="W17" s="2">
        <v>81.34</v>
      </c>
      <c r="X17" s="2">
        <v>79.26000000000001</v>
      </c>
      <c r="Y17" s="2">
        <v>87.78</v>
      </c>
      <c r="Z17" s="2">
        <v>87.09</v>
      </c>
      <c r="AA17" s="2">
        <v>78.28</v>
      </c>
      <c r="AB17" s="2">
        <v>81.81</v>
      </c>
      <c r="AC17" s="2">
        <v>80.66</v>
      </c>
      <c r="AD17" s="2">
        <v>79.42</v>
      </c>
      <c r="AE17" s="2">
        <v>78.09999999999999</v>
      </c>
      <c r="AF17" s="2">
        <v>74.48999999999999</v>
      </c>
      <c r="AG17" s="2">
        <v>78.94</v>
      </c>
      <c r="AH17" s="2">
        <v>81.33</v>
      </c>
      <c r="AI17" s="2">
        <v>87.63</v>
      </c>
      <c r="AJ17" s="2">
        <v>82.61</v>
      </c>
      <c r="AK17" s="2">
        <v>85.59999999999999</v>
      </c>
      <c r="AL17" s="2">
        <v>89.69</v>
      </c>
      <c r="AM17" s="2">
        <v>85.72</v>
      </c>
      <c r="AN17" s="2">
        <v>83.77</v>
      </c>
      <c r="AO17" s="2">
        <v>88.90000000000001</v>
      </c>
      <c r="AP17" s="2">
        <v>84.68000000000001</v>
      </c>
      <c r="AQ17" s="2">
        <v>85.88</v>
      </c>
      <c r="AR17" s="2">
        <v>84.33</v>
      </c>
      <c r="AS17" s="2">
        <v>85.42</v>
      </c>
      <c r="AT17" s="2">
        <v>88.41</v>
      </c>
      <c r="AU17" s="2">
        <v>91.65000000000001</v>
      </c>
      <c r="AV17" s="2">
        <v>86.40000000000001</v>
      </c>
      <c r="AW17" s="2">
        <v>87.81</v>
      </c>
      <c r="AX17" s="2">
        <v>83.92</v>
      </c>
      <c r="AY17" s="2">
        <v>89.98999999999999</v>
      </c>
      <c r="AZ17" s="2">
        <v>92.33</v>
      </c>
      <c r="BA17" s="2">
        <v>88.12</v>
      </c>
      <c r="BB17" s="2">
        <v>86.47</v>
      </c>
      <c r="BC17" s="2">
        <v>82.83</v>
      </c>
      <c r="BD17" s="2">
        <v>76.29000000000001</v>
      </c>
      <c r="BE17" s="2">
        <v>77.84</v>
      </c>
      <c r="BF17" s="2">
        <v>81.03</v>
      </c>
      <c r="BG17" s="2">
        <v>82.68000000000001</v>
      </c>
      <c r="BH17" s="2">
        <v>83.22</v>
      </c>
      <c r="BI17" s="2">
        <v>86.84</v>
      </c>
      <c r="BJ17" s="2">
        <v>85.18000000000001</v>
      </c>
      <c r="BK17" s="2">
        <v>85.88</v>
      </c>
      <c r="BL17" s="2">
        <v>88.8</v>
      </c>
      <c r="BM17" s="2">
        <v>89.51000000000001</v>
      </c>
      <c r="BN17" s="2">
        <v>95.68000000000001</v>
      </c>
      <c r="BO17" s="2">
        <v>98.04000000000001</v>
      </c>
      <c r="BP17" s="2">
        <v>91.09</v>
      </c>
      <c r="BQ17" s="2">
        <v>88.11</v>
      </c>
      <c r="BR17" s="2">
        <v>92.56</v>
      </c>
      <c r="BS17" s="2">
        <v>95.73999999999999</v>
      </c>
      <c r="BT17" s="2">
        <v>91.36</v>
      </c>
      <c r="BU17" s="2">
        <v>96.34</v>
      </c>
      <c r="BV17" s="2">
        <v>96.95999999999999</v>
      </c>
      <c r="BW17" s="2">
        <v>93.20999999999999</v>
      </c>
      <c r="BX17" s="2">
        <v>93.73999999999999</v>
      </c>
      <c r="BY17" s="2">
        <v>98.90000000000001</v>
      </c>
      <c r="BZ17" s="2">
        <v>97.47</v>
      </c>
      <c r="CA17" s="2">
        <v>94.7</v>
      </c>
      <c r="CB17" s="2">
        <v>90.77</v>
      </c>
      <c r="CC17" s="2">
        <v>93.33</v>
      </c>
      <c r="CD17" s="2">
        <v>94.09999999999999</v>
      </c>
      <c r="CE17" s="2">
        <v>92.3</v>
      </c>
      <c r="CF17" s="2">
        <v>90.04000000000001</v>
      </c>
      <c r="CG17" s="2">
        <v>90.29000000000001</v>
      </c>
      <c r="CH17" s="2">
        <v>90.28</v>
      </c>
      <c r="CI17" s="2">
        <v>96.8</v>
      </c>
      <c r="CJ17" s="2">
        <v>99.47</v>
      </c>
      <c r="CK17" s="2">
        <v>103.02</v>
      </c>
      <c r="CL17" s="2">
        <v>106.66</v>
      </c>
      <c r="CM17" s="2">
        <v>104.8</v>
      </c>
      <c r="CN17" s="2">
        <v>98.59999999999999</v>
      </c>
      <c r="CO17" s="2">
        <v>100.75</v>
      </c>
      <c r="CP17" s="2">
        <v>100.83</v>
      </c>
      <c r="CQ17" s="2">
        <v>97.88</v>
      </c>
      <c r="CR17" s="2">
        <v>101.11</v>
      </c>
      <c r="CS17" s="2">
        <v>100.06</v>
      </c>
      <c r="CT17" s="2">
        <v>102.67</v>
      </c>
      <c r="CU17" s="2">
        <v>106.85</v>
      </c>
      <c r="CV17" s="2">
        <v>104.02</v>
      </c>
      <c r="CW17" s="2">
        <v>105.19</v>
      </c>
      <c r="CX17" s="2">
        <v>107.16</v>
      </c>
      <c r="CY17" s="2">
        <v>106.32</v>
      </c>
      <c r="CZ17" s="2">
        <v>100</v>
      </c>
      <c r="DA17" s="2">
        <v>103.1</v>
      </c>
      <c r="DB17" s="2">
        <v>104.03</v>
      </c>
      <c r="DC17" s="2">
        <v>102</v>
      </c>
      <c r="DD17" s="2">
        <v>101.84</v>
      </c>
      <c r="DE17" s="2">
        <v>103.79</v>
      </c>
      <c r="DF17" s="2">
        <v>107.12</v>
      </c>
      <c r="DG17" s="2">
        <v>104.74</v>
      </c>
      <c r="DH17" s="2">
        <v>108.39</v>
      </c>
      <c r="DI17" s="2">
        <v>112.41</v>
      </c>
      <c r="DJ17" s="2">
        <v>110.5</v>
      </c>
      <c r="DK17" s="2">
        <v>12.1</v>
      </c>
      <c r="DL17" s="2">
        <v>7.1</v>
      </c>
      <c r="DM17" s="2">
        <v>0.8</v>
      </c>
      <c r="DN17" s="2">
        <v>-1.2</v>
      </c>
      <c r="DO17" s="2">
        <v>0.5</v>
      </c>
      <c r="DP17" s="2">
        <v>9.300000000000001</v>
      </c>
      <c r="DQ17" s="2">
        <v>10.7</v>
      </c>
      <c r="DR17" s="2">
        <v>2.5</v>
      </c>
      <c r="DS17" s="2">
        <v>7.3</v>
      </c>
      <c r="DT17" s="2">
        <v>3.5</v>
      </c>
      <c r="DU17" s="2">
        <v>-0.1</v>
      </c>
      <c r="DV17" s="2">
        <v>0.8</v>
      </c>
      <c r="DW17" s="2">
        <v>-2.7</v>
      </c>
      <c r="DX17" s="2">
        <v>-4.6</v>
      </c>
      <c r="DY17" s="2">
        <v>-0.7</v>
      </c>
      <c r="DZ17" s="2">
        <v>7.7</v>
      </c>
      <c r="EA17" s="2">
        <v>4.2</v>
      </c>
      <c r="EB17" s="2">
        <v>-2.5</v>
      </c>
      <c r="EC17" s="2">
        <v>3</v>
      </c>
      <c r="ED17" s="2">
        <v>9.5</v>
      </c>
      <c r="EE17" s="2">
        <v>2.4</v>
      </c>
      <c r="EF17" s="2">
        <v>10.2</v>
      </c>
      <c r="EG17" s="2">
        <v>6.6</v>
      </c>
      <c r="EH17" s="2">
        <v>10</v>
      </c>
      <c r="EI17" s="2">
        <v>13.2</v>
      </c>
      <c r="EJ17" s="2">
        <v>8.199999999999999</v>
      </c>
      <c r="EK17" s="2">
        <v>8.699999999999999</v>
      </c>
      <c r="EL17" s="2">
        <v>4.6</v>
      </c>
      <c r="EM17" s="2">
        <v>4.6</v>
      </c>
      <c r="EN17" s="2">
        <v>2.6</v>
      </c>
      <c r="EO17" s="2">
        <v>-6.4</v>
      </c>
      <c r="EP17" s="2">
        <v>5</v>
      </c>
      <c r="EQ17" s="2">
        <v>10.2</v>
      </c>
      <c r="ER17" s="2">
        <v>-0.9</v>
      </c>
      <c r="ES17" s="2">
        <v>2.1</v>
      </c>
      <c r="ET17" s="2">
        <v>-3.6</v>
      </c>
      <c r="EU17" s="2">
        <v>-9.5</v>
      </c>
      <c r="EV17" s="2">
        <v>-8.9</v>
      </c>
      <c r="EW17" s="2">
        <v>-8.300000000000001</v>
      </c>
      <c r="EX17" s="2">
        <v>-9.800000000000001</v>
      </c>
      <c r="EY17" s="2">
        <v>-3.7</v>
      </c>
      <c r="EZ17" s="2">
        <v>-1.1</v>
      </c>
      <c r="FA17" s="2">
        <v>1.5</v>
      </c>
      <c r="FB17" s="2">
        <v>-4.6</v>
      </c>
      <c r="FC17" s="2">
        <v>-3.8</v>
      </c>
      <c r="FD17" s="2">
        <v>1.6</v>
      </c>
      <c r="FE17" s="2">
        <v>10.7</v>
      </c>
      <c r="FF17" s="2">
        <v>18.4</v>
      </c>
      <c r="FG17" s="2">
        <v>19.4</v>
      </c>
      <c r="FH17" s="2">
        <v>13.2</v>
      </c>
      <c r="FI17" s="2">
        <v>14.2</v>
      </c>
      <c r="FJ17" s="2">
        <v>15.8</v>
      </c>
      <c r="FK17" s="2">
        <v>9.800000000000001</v>
      </c>
      <c r="FL17" s="2">
        <v>10.9</v>
      </c>
      <c r="FM17" s="2">
        <v>13.8</v>
      </c>
      <c r="FN17" s="2">
        <v>8.5</v>
      </c>
      <c r="FO17" s="2">
        <v>5.6</v>
      </c>
      <c r="FP17" s="2">
        <v>10.5</v>
      </c>
      <c r="FQ17" s="2">
        <v>1.9</v>
      </c>
      <c r="FR17" s="2">
        <v>-3.4</v>
      </c>
      <c r="FS17" s="2">
        <v>-0.4</v>
      </c>
      <c r="FT17" s="2">
        <v>5.9</v>
      </c>
      <c r="FU17" s="2">
        <v>1.7</v>
      </c>
      <c r="FV17" s="2">
        <v>-3.6</v>
      </c>
      <c r="FW17" s="2">
        <v>-1.4</v>
      </c>
      <c r="FX17" s="2">
        <v>-6.3</v>
      </c>
      <c r="FY17" s="2">
        <v>-6.9</v>
      </c>
      <c r="FZ17" s="2">
        <v>3.9</v>
      </c>
      <c r="GA17" s="2">
        <v>6.1</v>
      </c>
      <c r="GB17" s="2">
        <v>4.2</v>
      </c>
      <c r="GC17" s="2">
        <v>9.4</v>
      </c>
      <c r="GD17" s="2">
        <v>10.7</v>
      </c>
      <c r="GE17" s="2">
        <v>8.6</v>
      </c>
      <c r="GF17" s="2">
        <v>8</v>
      </c>
      <c r="GG17" s="2">
        <v>7.2</v>
      </c>
      <c r="GH17" s="2">
        <v>6</v>
      </c>
      <c r="GI17" s="2">
        <v>12.3</v>
      </c>
      <c r="GJ17" s="2">
        <v>10.8</v>
      </c>
      <c r="GK17" s="2">
        <v>13.7</v>
      </c>
      <c r="GL17" s="2">
        <v>10.4</v>
      </c>
      <c r="GM17" s="2">
        <v>4.6</v>
      </c>
      <c r="GN17" s="2">
        <v>2.1</v>
      </c>
      <c r="GO17" s="2">
        <v>0.5</v>
      </c>
      <c r="GP17" s="2">
        <v>1.5</v>
      </c>
      <c r="GQ17" s="2">
        <v>1.4</v>
      </c>
      <c r="GR17" s="2">
        <v>2.3</v>
      </c>
      <c r="GS17" s="2">
        <v>3.2</v>
      </c>
      <c r="GT17" s="2">
        <v>4.2</v>
      </c>
      <c r="GU17" s="2">
        <v>0.7</v>
      </c>
      <c r="GV17" s="2">
        <v>3.7</v>
      </c>
      <c r="GW17" s="2">
        <v>4.3</v>
      </c>
      <c r="GX17" s="2">
        <v>-2</v>
      </c>
      <c r="GY17" s="2">
        <v>4.2</v>
      </c>
      <c r="GZ17" s="2">
        <v>6.9</v>
      </c>
      <c r="HA17" s="2">
        <v>3.1</v>
      </c>
      <c r="HB17" s="2">
        <v>13.1</v>
      </c>
      <c r="HC17" s="2">
        <v>5.2</v>
      </c>
      <c r="HD17" s="2">
        <v>1.2</v>
      </c>
      <c r="HE17" s="2">
        <v>-4.2</v>
      </c>
      <c r="HF17" s="2">
        <v>1.8</v>
      </c>
      <c r="HG17" s="2">
        <v>-2</v>
      </c>
      <c r="HH17" s="2">
        <v>-2.9</v>
      </c>
      <c r="HI17" s="2">
        <v>-0.2</v>
      </c>
      <c r="HJ17" s="2">
        <v>2.3</v>
      </c>
      <c r="HK17" s="2">
        <v>2</v>
      </c>
      <c r="HL17" s="2">
        <v>-2.6</v>
      </c>
      <c r="HM17" s="2">
        <v>-1.1</v>
      </c>
      <c r="HN17" s="2">
        <v>8.1</v>
      </c>
      <c r="HO17" s="2">
        <v>-1</v>
      </c>
      <c r="HP17" s="2">
        <v>-0.7</v>
      </c>
      <c r="HQ17" s="2">
        <v>-2.6</v>
      </c>
      <c r="HR17" s="2">
        <v>10.7</v>
      </c>
      <c r="HS17" s="2">
        <v>-0.8</v>
      </c>
      <c r="HT17" s="2">
        <v>-10.1</v>
      </c>
      <c r="HU17" s="2">
        <v>4.5</v>
      </c>
      <c r="HV17" s="2">
        <v>-1.4</v>
      </c>
      <c r="HW17" s="2">
        <v>-1.5</v>
      </c>
      <c r="HX17" s="2">
        <v>-1.7</v>
      </c>
      <c r="HY17" s="2">
        <v>-4.6</v>
      </c>
      <c r="HZ17" s="2">
        <v>6</v>
      </c>
      <c r="IA17" s="2">
        <v>3</v>
      </c>
      <c r="IB17" s="2">
        <v>7.7</v>
      </c>
      <c r="IC17" s="2">
        <v>-5.7</v>
      </c>
      <c r="ID17" s="2">
        <v>3.6</v>
      </c>
      <c r="IE17" s="2">
        <v>4.8</v>
      </c>
      <c r="IF17" s="2">
        <v>-4.4</v>
      </c>
      <c r="IG17" s="2">
        <v>-2.3</v>
      </c>
      <c r="IH17" s="2">
        <v>6.1</v>
      </c>
      <c r="II17" s="2">
        <v>-4.7</v>
      </c>
      <c r="IJ17" s="2">
        <v>1.4</v>
      </c>
      <c r="IK17" s="2">
        <v>-1.8</v>
      </c>
      <c r="IL17" s="2">
        <v>1.3</v>
      </c>
      <c r="IM17" s="2">
        <v>3.5</v>
      </c>
      <c r="IN17" s="2">
        <v>3.7</v>
      </c>
      <c r="IO17" s="2">
        <v>-5.7</v>
      </c>
      <c r="IP17" s="2">
        <v>1.6</v>
      </c>
      <c r="IQ17" s="2">
        <v>-4.4</v>
      </c>
      <c r="IR17" s="2">
        <v>7.2</v>
      </c>
      <c r="IS17" s="2">
        <v>2.6</v>
      </c>
      <c r="IT17" s="2">
        <v>-4.6</v>
      </c>
      <c r="IU17" s="2">
        <v>-1.9</v>
      </c>
      <c r="IV17" s="2">
        <v>-4.2</v>
      </c>
      <c r="IW17" s="2">
        <v>-7.9</v>
      </c>
      <c r="IX17" s="2">
        <v>2</v>
      </c>
      <c r="IY17" s="2">
        <v>4.1</v>
      </c>
      <c r="IZ17" s="2">
        <v>2</v>
      </c>
      <c r="JA17" s="2">
        <v>0.7</v>
      </c>
      <c r="JB17" s="2">
        <v>4.3</v>
      </c>
      <c r="JC17" s="2">
        <v>-1.9</v>
      </c>
      <c r="JD17" s="2">
        <v>0.8</v>
      </c>
      <c r="JE17" s="2">
        <v>3.4</v>
      </c>
      <c r="JF17" s="2">
        <v>0.8</v>
      </c>
      <c r="JG17" s="2">
        <v>6.9</v>
      </c>
      <c r="JH17" s="2">
        <v>2.5</v>
      </c>
      <c r="JI17" s="2">
        <v>-7.1</v>
      </c>
      <c r="JJ17" s="2">
        <v>-3.3</v>
      </c>
      <c r="JK17" s="2">
        <v>5.1</v>
      </c>
      <c r="JL17" s="2">
        <v>3.4</v>
      </c>
      <c r="JM17" s="2">
        <v>-4.6</v>
      </c>
      <c r="JN17" s="2">
        <v>5.5</v>
      </c>
      <c r="JO17" s="2">
        <v>0.6</v>
      </c>
      <c r="JP17" s="2">
        <v>-3.9</v>
      </c>
      <c r="JQ17" s="2">
        <v>0.6</v>
      </c>
      <c r="JR17" s="2">
        <v>5.5</v>
      </c>
      <c r="JS17" s="2">
        <v>-1.4</v>
      </c>
      <c r="JT17" s="2">
        <v>-2.8</v>
      </c>
      <c r="JU17" s="2">
        <v>-4.1</v>
      </c>
      <c r="JV17" s="2">
        <v>2.8</v>
      </c>
      <c r="JW17" s="2">
        <v>0.8</v>
      </c>
      <c r="JX17" s="2">
        <v>-1.9</v>
      </c>
      <c r="JY17" s="2">
        <v>-2.4</v>
      </c>
      <c r="JZ17" s="2">
        <v>0.3</v>
      </c>
      <c r="KA17" s="2">
        <v>0</v>
      </c>
      <c r="KB17" s="2">
        <v>7.2</v>
      </c>
      <c r="KC17" s="2">
        <v>2.8</v>
      </c>
      <c r="KD17" s="2">
        <v>3.6</v>
      </c>
      <c r="KE17" s="2">
        <v>3.5</v>
      </c>
      <c r="KF17" s="2">
        <v>-1.7</v>
      </c>
      <c r="KG17" s="2">
        <v>-5.9</v>
      </c>
      <c r="KH17" s="2">
        <v>2.2</v>
      </c>
      <c r="KI17" s="2">
        <v>0.1</v>
      </c>
      <c r="KJ17" s="2">
        <v>-2.9</v>
      </c>
      <c r="KK17" s="2">
        <v>3.3</v>
      </c>
      <c r="KL17" s="2">
        <v>-1</v>
      </c>
      <c r="KM17" s="2">
        <v>2.6</v>
      </c>
      <c r="KN17" s="2">
        <v>4.1</v>
      </c>
      <c r="KO17" s="2">
        <v>-2.6</v>
      </c>
      <c r="KP17" s="2">
        <v>1.1</v>
      </c>
      <c r="KQ17" s="2">
        <v>1.9</v>
      </c>
      <c r="KR17" s="2">
        <v>-0.8</v>
      </c>
      <c r="KS17" s="2">
        <v>-5.9</v>
      </c>
      <c r="KT17" s="2">
        <v>3.1</v>
      </c>
      <c r="KU17" s="2">
        <v>0.9</v>
      </c>
      <c r="KV17" s="2">
        <v>-2</v>
      </c>
      <c r="KW17" s="2">
        <v>-0.2</v>
      </c>
      <c r="KX17" s="2">
        <v>1.9</v>
      </c>
      <c r="KY17" s="2">
        <v>3.2</v>
      </c>
      <c r="KZ17" s="2">
        <v>-2.2</v>
      </c>
      <c r="LA17" s="2">
        <v>3.5</v>
      </c>
      <c r="LB17" s="2">
        <v>3.7</v>
      </c>
      <c r="LC17" s="2">
        <v>-1.7</v>
      </c>
      <c r="LD17" s="2">
        <v>0.88</v>
      </c>
      <c r="LE17" s="2">
        <v>0.9</v>
      </c>
      <c r="LF17" s="2">
        <v>0.9</v>
      </c>
      <c r="LG17" s="2">
        <v>0.92</v>
      </c>
      <c r="LH17" s="2">
        <v>0.96</v>
      </c>
      <c r="LI17" s="2">
        <v>0.93</v>
      </c>
      <c r="LJ17" s="2">
        <v>0.9399999999999999</v>
      </c>
      <c r="LK17" s="2">
        <v>0.96</v>
      </c>
      <c r="LL17" s="2">
        <v>0.95</v>
      </c>
      <c r="LM17" s="2">
        <v>0.89</v>
      </c>
      <c r="LN17" s="2">
        <v>0.92</v>
      </c>
      <c r="LO17" s="2">
        <v>0.93</v>
      </c>
      <c r="LP17" s="2">
        <v>0.91</v>
      </c>
      <c r="LQ17" s="2">
        <v>0.91</v>
      </c>
      <c r="LR17" s="2">
        <v>0.93</v>
      </c>
      <c r="LS17" s="2">
        <v>0.96</v>
      </c>
      <c r="LT17" s="2">
        <v>0.9399999999999999</v>
      </c>
      <c r="LU17" s="2">
        <v>0.97</v>
      </c>
      <c r="LV17" s="2">
        <v>1.01</v>
      </c>
      <c r="LW17" s="2">
        <v>0.99</v>
      </c>
      <c r="LX17" s="2">
        <v>0.02</v>
      </c>
      <c r="LY17" s="2">
        <v>0</v>
      </c>
      <c r="LZ17" s="2">
        <v>0.02</v>
      </c>
      <c r="MA17" s="2">
        <v>0.04</v>
      </c>
      <c r="MB17" s="2">
        <v>-0.03</v>
      </c>
      <c r="MC17" s="2">
        <v>0.01</v>
      </c>
      <c r="MD17" s="2">
        <v>0.02</v>
      </c>
      <c r="ME17" s="2">
        <v>-0.01</v>
      </c>
      <c r="MF17" s="2">
        <v>-0.06</v>
      </c>
      <c r="MG17" s="2">
        <v>0.03</v>
      </c>
      <c r="MH17" s="2">
        <v>0.01</v>
      </c>
      <c r="MI17" s="2">
        <v>-0.02</v>
      </c>
      <c r="MJ17" s="2">
        <v>0</v>
      </c>
      <c r="MK17" s="2">
        <v>0.02</v>
      </c>
      <c r="ML17" s="2">
        <v>0.03</v>
      </c>
      <c r="MM17" s="2">
        <v>-0.02</v>
      </c>
      <c r="MN17" s="2">
        <v>0.03</v>
      </c>
      <c r="MO17" s="2">
        <v>0.04</v>
      </c>
      <c r="MP17" s="2">
        <v>-0.02</v>
      </c>
      <c r="SY17" s="2">
        <v>34.77</v>
      </c>
      <c r="SZ17" s="2">
        <v>33.55</v>
      </c>
      <c r="TA17" s="2">
        <v>34.87</v>
      </c>
      <c r="TB17" s="2">
        <v>35.74</v>
      </c>
      <c r="TC17" s="2">
        <v>35.32</v>
      </c>
      <c r="TD17" s="2">
        <v>35.15</v>
      </c>
      <c r="TE17" s="2">
        <v>38.48</v>
      </c>
      <c r="TF17" s="2">
        <v>39.18</v>
      </c>
      <c r="TG17" s="2">
        <v>39.45</v>
      </c>
      <c r="TH17" s="2">
        <v>36.29</v>
      </c>
      <c r="TI17" s="2">
        <v>37.47</v>
      </c>
      <c r="TJ17" s="2">
        <v>34.07</v>
      </c>
      <c r="TK17" s="2">
        <v>33.62</v>
      </c>
      <c r="TL17" s="2">
        <v>33.06</v>
      </c>
      <c r="TM17" s="2">
        <v>37.13</v>
      </c>
      <c r="TN17" s="2">
        <v>34.9</v>
      </c>
      <c r="TO17" s="2">
        <v>34.24</v>
      </c>
      <c r="TP17" s="2">
        <v>34.31</v>
      </c>
      <c r="TQ17" s="2">
        <v>33.65</v>
      </c>
      <c r="TR17" s="2">
        <v>35.81</v>
      </c>
      <c r="TS17" s="2">
        <v>40.25</v>
      </c>
      <c r="TT17" s="2">
        <v>39.77</v>
      </c>
      <c r="TU17" s="2">
        <v>41.16</v>
      </c>
      <c r="TV17" s="2">
        <v>37.16</v>
      </c>
      <c r="TW17" s="2">
        <v>39.11</v>
      </c>
      <c r="TX17" s="2">
        <v>38.59</v>
      </c>
      <c r="TY17" s="2">
        <v>39.84</v>
      </c>
      <c r="TZ17" s="2">
        <v>39.38</v>
      </c>
      <c r="UA17" s="2">
        <v>42.75</v>
      </c>
      <c r="UB17" s="2">
        <v>44.18</v>
      </c>
      <c r="UC17" s="2">
        <v>43.1</v>
      </c>
      <c r="UD17" s="2">
        <v>42.27</v>
      </c>
      <c r="UE17" s="2">
        <v>41.02</v>
      </c>
      <c r="UF17" s="2">
        <v>39.94</v>
      </c>
      <c r="UG17" s="2">
        <v>37.75</v>
      </c>
      <c r="UH17" s="2">
        <v>39.63</v>
      </c>
      <c r="UI17" s="2">
        <v>41.02</v>
      </c>
      <c r="UJ17" s="2">
        <v>45.57</v>
      </c>
      <c r="UK17" s="2">
        <v>48.66</v>
      </c>
      <c r="UL17" s="2">
        <v>48.45</v>
      </c>
      <c r="UM17" s="2">
        <v>50.32</v>
      </c>
      <c r="UN17" s="2">
        <v>47.41</v>
      </c>
      <c r="UO17" s="2">
        <v>42.55</v>
      </c>
      <c r="UP17" s="2">
        <v>41.12</v>
      </c>
      <c r="UQ17" s="2">
        <v>43.56</v>
      </c>
      <c r="UR17" s="2">
        <v>45.94</v>
      </c>
      <c r="US17" s="2">
        <v>48.76</v>
      </c>
      <c r="UT17" s="2">
        <v>45.52</v>
      </c>
      <c r="UU17" s="2">
        <v>48.4</v>
      </c>
      <c r="UV17" s="2">
        <v>55.87</v>
      </c>
      <c r="UW17" s="2">
        <v>55.76</v>
      </c>
      <c r="UX17" s="2">
        <v>52.28</v>
      </c>
      <c r="UY17" s="2">
        <v>50.15</v>
      </c>
      <c r="UZ17" s="2">
        <v>51.39</v>
      </c>
      <c r="VA17" s="2">
        <v>50.99</v>
      </c>
      <c r="VB17" s="2">
        <v>49.09</v>
      </c>
      <c r="VC17" s="2">
        <v>48.91</v>
      </c>
      <c r="VD17" s="2">
        <v>54.98</v>
      </c>
      <c r="VE17" s="2">
        <v>57.68</v>
      </c>
      <c r="VF17" s="2">
        <v>55.84</v>
      </c>
      <c r="VG17" s="2">
        <v>54.58</v>
      </c>
      <c r="VH17" s="2">
        <v>59.63</v>
      </c>
      <c r="VI17" s="2">
        <v>57.56</v>
      </c>
      <c r="VJ17" s="2">
        <v>51.49</v>
      </c>
      <c r="VK17" s="2">
        <v>53.04</v>
      </c>
      <c r="VL17" s="2">
        <v>56.08</v>
      </c>
      <c r="VM17" s="2">
        <v>55.64</v>
      </c>
      <c r="VN17" s="2">
        <v>84.56999999999999</v>
      </c>
      <c r="VO17" s="2">
        <v>101.91</v>
      </c>
      <c r="VP17" s="2">
        <v>96.56999999999999</v>
      </c>
      <c r="VQ17" s="2">
        <v>63.95</v>
      </c>
      <c r="VR17" s="2">
        <v>69.28</v>
      </c>
      <c r="VS17" s="2">
        <v>75.97</v>
      </c>
      <c r="VT17" s="2">
        <v>65.7</v>
      </c>
      <c r="VU17" s="2">
        <v>65.31999999999999</v>
      </c>
      <c r="VV17" s="2">
        <v>60.47</v>
      </c>
      <c r="VW17" s="2">
        <v>63.21</v>
      </c>
      <c r="VX17" s="2">
        <v>68.23999999999999</v>
      </c>
      <c r="VY17" s="2">
        <v>70.5</v>
      </c>
      <c r="VZ17" s="2">
        <v>65.13</v>
      </c>
      <c r="WA17" s="2">
        <v>61.59</v>
      </c>
      <c r="WB17" s="2">
        <v>71.36</v>
      </c>
      <c r="WC17" s="2">
        <v>67.28</v>
      </c>
      <c r="WD17" s="2">
        <v>64.03</v>
      </c>
      <c r="WE17" s="2">
        <v>63.58</v>
      </c>
      <c r="WF17" s="2">
        <v>73.43000000000001</v>
      </c>
      <c r="WG17" s="2">
        <v>84.04000000000001</v>
      </c>
      <c r="WH17" s="2">
        <v>106.7</v>
      </c>
      <c r="WI17" s="2">
        <v>105.42</v>
      </c>
      <c r="WJ17" s="2">
        <v>91.29000000000001</v>
      </c>
      <c r="WK17" s="2">
        <v>63.92</v>
      </c>
      <c r="WL17" s="2">
        <v>66.33</v>
      </c>
      <c r="WM17" s="2">
        <v>72.78</v>
      </c>
      <c r="WN17" s="2">
        <v>73.98</v>
      </c>
      <c r="WO17" s="2">
        <v>68.78</v>
      </c>
      <c r="WP17" s="2">
        <v>66.45999999999999</v>
      </c>
      <c r="WQ17" s="2">
        <v>68.55</v>
      </c>
      <c r="WR17" s="2">
        <v>74.16</v>
      </c>
      <c r="WS17" s="2">
        <v>72.25</v>
      </c>
      <c r="WT17" s="2">
        <v>71.31</v>
      </c>
      <c r="WU17" s="2">
        <v>81.73</v>
      </c>
      <c r="WV17" s="2">
        <v>79.54000000000001</v>
      </c>
      <c r="WW17" s="2">
        <v>73.17</v>
      </c>
      <c r="WX17" s="2">
        <v>72.64</v>
      </c>
      <c r="WY17" s="2">
        <v>78.64</v>
      </c>
      <c r="WZ17" s="2">
        <v>76.61</v>
      </c>
      <c r="XA17" s="2">
        <v>68.05</v>
      </c>
      <c r="XB17" s="2">
        <v>68.69</v>
      </c>
      <c r="XC17" s="2">
        <v>82.11</v>
      </c>
      <c r="XD17" s="2">
        <v>81.91</v>
      </c>
      <c r="XE17" s="2">
        <v>76.40000000000001</v>
      </c>
      <c r="XF17" s="2">
        <v>73.05</v>
      </c>
      <c r="XG17" s="2">
        <v>73.62</v>
      </c>
      <c r="XH17" s="2">
        <v>80.48</v>
      </c>
      <c r="XI17" s="2">
        <v>78.27</v>
      </c>
      <c r="XJ17" s="2">
        <v>76.31</v>
      </c>
      <c r="XK17" s="2">
        <v>78.14</v>
      </c>
      <c r="XL17" s="2">
        <v>82.03</v>
      </c>
      <c r="XM17" s="2">
        <v>83.53</v>
      </c>
      <c r="XN17" s="2">
        <v>80.14</v>
      </c>
      <c r="XO17" s="2">
        <v>77.62</v>
      </c>
      <c r="XP17" s="2">
        <v>82.97</v>
      </c>
      <c r="XQ17" s="2">
        <v>84.97</v>
      </c>
      <c r="XR17" s="2">
        <v>85.17</v>
      </c>
      <c r="XS17" s="2">
        <v>84.77</v>
      </c>
      <c r="XT17" s="2">
        <v>87.64</v>
      </c>
      <c r="XU17" s="2">
        <v>86.22</v>
      </c>
      <c r="XV17" s="2">
        <v>90.33</v>
      </c>
      <c r="XW17" s="2">
        <v>82.8</v>
      </c>
      <c r="XX17" s="2">
        <v>81.81</v>
      </c>
      <c r="XY17" s="2">
        <v>85.81</v>
      </c>
      <c r="XZ17" s="2">
        <v>89.01000000000001</v>
      </c>
      <c r="YA17" s="2">
        <v>94.94</v>
      </c>
      <c r="YB17" s="2">
        <v>92.15000000000001</v>
      </c>
      <c r="YC17" s="2">
        <v>94.89</v>
      </c>
      <c r="YD17" s="2">
        <v>95.29000000000001</v>
      </c>
      <c r="YE17" s="2">
        <v>94.31999999999999</v>
      </c>
      <c r="YF17" s="2">
        <v>93.25</v>
      </c>
      <c r="YG17" s="2">
        <v>90.20999999999999</v>
      </c>
      <c r="YH17" s="2">
        <v>99.77</v>
      </c>
      <c r="YI17" s="2">
        <v>103.36</v>
      </c>
      <c r="YJ17" s="2">
        <v>99.81999999999999</v>
      </c>
      <c r="YK17" s="2">
        <v>101.28</v>
      </c>
      <c r="YL17" s="2">
        <v>105.36</v>
      </c>
      <c r="YM17" s="2">
        <v>104.49</v>
      </c>
      <c r="YN17" s="2">
        <v>103.04</v>
      </c>
      <c r="YO17" s="2">
        <v>104.25</v>
      </c>
      <c r="YP17" s="2">
        <v>108.51</v>
      </c>
      <c r="AEY17" s="2">
        <v>-3.5</v>
      </c>
      <c r="AEZ17" s="2">
        <v>3.9</v>
      </c>
      <c r="AFA17" s="2">
        <v>2.5</v>
      </c>
      <c r="AFB17" s="2">
        <v>-1.2</v>
      </c>
      <c r="AFC17" s="2">
        <v>-0.5</v>
      </c>
      <c r="AFD17" s="2">
        <v>9.5</v>
      </c>
      <c r="AFE17" s="2">
        <v>1.8</v>
      </c>
      <c r="AFF17" s="2">
        <v>0.7</v>
      </c>
      <c r="AFG17" s="2">
        <v>-8</v>
      </c>
      <c r="AFH17" s="2">
        <v>3.3</v>
      </c>
      <c r="AFI17" s="2">
        <v>-9.1</v>
      </c>
      <c r="AFJ17" s="2">
        <v>-1.3</v>
      </c>
      <c r="AFK17" s="2">
        <v>-1.7</v>
      </c>
      <c r="AFL17" s="2">
        <v>12.3</v>
      </c>
      <c r="AFM17" s="2">
        <v>-6</v>
      </c>
      <c r="AFN17" s="2">
        <v>-1.9</v>
      </c>
      <c r="AFO17" s="2">
        <v>0.2</v>
      </c>
      <c r="AFP17" s="2">
        <v>-1.9</v>
      </c>
      <c r="AFQ17" s="2">
        <v>6.4</v>
      </c>
      <c r="AFR17" s="2">
        <v>12.4</v>
      </c>
      <c r="AFS17" s="2">
        <v>-1.2</v>
      </c>
      <c r="AFT17" s="2">
        <v>3.5</v>
      </c>
      <c r="AFU17" s="2">
        <v>-9.699999999999999</v>
      </c>
      <c r="AFV17" s="2">
        <v>5.2</v>
      </c>
      <c r="AFW17" s="2">
        <v>-1.3</v>
      </c>
      <c r="AFX17" s="2">
        <v>3.2</v>
      </c>
      <c r="AFY17" s="2">
        <v>-1.2</v>
      </c>
      <c r="AFZ17" s="2">
        <v>8.6</v>
      </c>
      <c r="AGA17" s="2">
        <v>3.3</v>
      </c>
      <c r="AGB17" s="2">
        <v>-2.4</v>
      </c>
      <c r="AGC17" s="2">
        <v>-1.9</v>
      </c>
      <c r="AGD17" s="2">
        <v>-3</v>
      </c>
      <c r="AGE17" s="2">
        <v>-2.6</v>
      </c>
      <c r="AGF17" s="2">
        <v>-5.5</v>
      </c>
      <c r="AGG17" s="2">
        <v>5</v>
      </c>
      <c r="AGH17" s="2">
        <v>3.5</v>
      </c>
      <c r="AGI17" s="2">
        <v>11.1</v>
      </c>
      <c r="AGJ17" s="2">
        <v>6.8</v>
      </c>
      <c r="AGK17" s="2">
        <v>-0.4</v>
      </c>
      <c r="AGL17" s="2">
        <v>3.9</v>
      </c>
      <c r="AGM17" s="2">
        <v>-5.8</v>
      </c>
      <c r="AGN17" s="2">
        <v>-10.3</v>
      </c>
      <c r="AGO17" s="2">
        <v>-3.4</v>
      </c>
      <c r="AGP17" s="2">
        <v>5.9</v>
      </c>
      <c r="AGQ17" s="2">
        <v>5.5</v>
      </c>
      <c r="AGR17" s="2">
        <v>6.1</v>
      </c>
      <c r="AGS17" s="2">
        <v>-6.6</v>
      </c>
      <c r="AGT17" s="2">
        <v>6.3</v>
      </c>
      <c r="AGU17" s="2">
        <v>15.4</v>
      </c>
      <c r="AGV17" s="2">
        <v>-0.2</v>
      </c>
      <c r="AGW17" s="2">
        <v>-6.2</v>
      </c>
      <c r="AGX17" s="2">
        <v>-4.1</v>
      </c>
      <c r="AGY17" s="2">
        <v>2.5</v>
      </c>
      <c r="AGZ17" s="2">
        <v>-0.8</v>
      </c>
      <c r="AHA17" s="2">
        <v>-3.7</v>
      </c>
      <c r="AHB17" s="2">
        <v>-0.4</v>
      </c>
      <c r="AHC17" s="2">
        <v>12.4</v>
      </c>
      <c r="AHD17" s="2">
        <v>4.9</v>
      </c>
      <c r="AHE17" s="2">
        <v>-3.2</v>
      </c>
      <c r="AHF17" s="2">
        <v>-2.3</v>
      </c>
      <c r="AHG17" s="2">
        <v>9.300000000000001</v>
      </c>
      <c r="AHH17" s="2">
        <v>-3.5</v>
      </c>
      <c r="AHI17" s="2">
        <v>-10.5</v>
      </c>
      <c r="AHJ17" s="2">
        <v>3</v>
      </c>
      <c r="AHK17" s="2">
        <v>5.7</v>
      </c>
      <c r="AHL17" s="2">
        <v>-0.8</v>
      </c>
      <c r="AHM17" s="2">
        <v>52</v>
      </c>
      <c r="AHN17" s="2">
        <v>20.5</v>
      </c>
      <c r="AHO17" s="2">
        <v>-5.2</v>
      </c>
      <c r="AHP17" s="2">
        <v>-33.8</v>
      </c>
      <c r="AHQ17" s="2">
        <v>8.300000000000001</v>
      </c>
      <c r="AHR17" s="2">
        <v>9.699999999999999</v>
      </c>
      <c r="AHS17" s="2">
        <v>-13.5</v>
      </c>
      <c r="AHT17" s="2">
        <v>-0.6</v>
      </c>
      <c r="AHU17" s="2">
        <v>-7.4</v>
      </c>
      <c r="AHV17" s="2">
        <v>4.5</v>
      </c>
      <c r="AHW17" s="2">
        <v>8</v>
      </c>
      <c r="AHX17" s="2">
        <v>3.3</v>
      </c>
      <c r="AHY17" s="2">
        <v>-7.6</v>
      </c>
      <c r="AHZ17" s="2">
        <v>-5.4</v>
      </c>
      <c r="AIA17" s="2">
        <v>15.9</v>
      </c>
      <c r="AIB17" s="2">
        <v>-5.7</v>
      </c>
      <c r="AIC17" s="2">
        <v>-4.8</v>
      </c>
      <c r="AID17" s="2">
        <v>-0.7</v>
      </c>
      <c r="AIE17" s="2">
        <v>15.5</v>
      </c>
      <c r="AIF17" s="2">
        <v>14.4</v>
      </c>
      <c r="AIG17" s="2">
        <v>27</v>
      </c>
      <c r="AIH17" s="2">
        <v>-1.2</v>
      </c>
      <c r="AII17" s="2">
        <v>-13.4</v>
      </c>
      <c r="AIJ17" s="2">
        <v>-30</v>
      </c>
      <c r="AIK17" s="2">
        <v>3.8</v>
      </c>
      <c r="AIL17" s="2">
        <v>9.699999999999999</v>
      </c>
      <c r="AIM17" s="2">
        <v>1.6</v>
      </c>
      <c r="AIN17" s="2">
        <v>-7</v>
      </c>
      <c r="AIO17" s="2">
        <v>-3.4</v>
      </c>
      <c r="AIP17" s="2">
        <v>3.1</v>
      </c>
      <c r="AIQ17" s="2">
        <v>8.199999999999999</v>
      </c>
      <c r="AIR17" s="2">
        <v>-2.6</v>
      </c>
      <c r="AIS17" s="2">
        <v>-1.3</v>
      </c>
      <c r="AIT17" s="2">
        <v>14.6</v>
      </c>
      <c r="AIU17" s="2">
        <v>-2.7</v>
      </c>
      <c r="AIV17" s="2">
        <v>-8</v>
      </c>
      <c r="AIW17" s="2">
        <v>-0.7</v>
      </c>
      <c r="AIX17" s="2">
        <v>8.300000000000001</v>
      </c>
      <c r="AIY17" s="2">
        <v>-2.6</v>
      </c>
      <c r="AIZ17" s="2">
        <v>-11.2</v>
      </c>
      <c r="AJA17" s="2">
        <v>0.9</v>
      </c>
      <c r="AJB17" s="2">
        <v>19.5</v>
      </c>
      <c r="AJC17" s="2">
        <v>-0.2</v>
      </c>
      <c r="AJD17" s="2">
        <v>-6.7</v>
      </c>
      <c r="AJE17" s="2">
        <v>-4.4</v>
      </c>
      <c r="AJF17" s="2">
        <v>0.8</v>
      </c>
      <c r="AJG17" s="2">
        <v>9.300000000000001</v>
      </c>
      <c r="AJH17" s="2">
        <v>-2.7</v>
      </c>
      <c r="AJI17" s="2">
        <v>-2.5</v>
      </c>
      <c r="AJJ17" s="2">
        <v>2.4</v>
      </c>
      <c r="AJK17" s="2">
        <v>5</v>
      </c>
      <c r="AJL17" s="2">
        <v>1.8</v>
      </c>
      <c r="AJM17" s="2">
        <v>-4.1</v>
      </c>
      <c r="AJN17" s="2">
        <v>-3.1</v>
      </c>
      <c r="AJO17" s="2">
        <v>6.9</v>
      </c>
      <c r="AJP17" s="2">
        <v>2.4</v>
      </c>
      <c r="AJQ17" s="2">
        <v>0.2</v>
      </c>
      <c r="AJR17" s="2">
        <v>-0.5</v>
      </c>
      <c r="AJS17" s="2">
        <v>3.4</v>
      </c>
      <c r="AJT17" s="2">
        <v>-1.6</v>
      </c>
      <c r="AJU17" s="2">
        <v>4.8</v>
      </c>
      <c r="AJV17" s="2">
        <v>-8.300000000000001</v>
      </c>
      <c r="AJW17" s="2">
        <v>-1.2</v>
      </c>
      <c r="AJX17" s="2">
        <v>4.9</v>
      </c>
      <c r="AJY17" s="2">
        <v>3.7</v>
      </c>
      <c r="AJZ17" s="2">
        <v>6.7</v>
      </c>
      <c r="AKA17" s="2">
        <v>-2.9</v>
      </c>
      <c r="AKB17" s="2">
        <v>3</v>
      </c>
      <c r="AKC17" s="2">
        <v>0.4</v>
      </c>
      <c r="AKD17" s="2">
        <v>-1</v>
      </c>
      <c r="AKE17" s="2">
        <v>-1.1</v>
      </c>
      <c r="AKF17" s="2">
        <v>-3.3</v>
      </c>
      <c r="AKG17" s="2">
        <v>10.6</v>
      </c>
      <c r="AKH17" s="2">
        <v>3.6</v>
      </c>
      <c r="AKI17" s="2">
        <v>-3.4</v>
      </c>
      <c r="AKJ17" s="2">
        <v>1.5</v>
      </c>
      <c r="AKK17" s="2">
        <v>4</v>
      </c>
      <c r="AKL17" s="2">
        <v>-0.8</v>
      </c>
      <c r="AKM17" s="2">
        <v>-1.4</v>
      </c>
      <c r="AKN17" s="2">
        <v>1.2</v>
      </c>
      <c r="AKO17" s="2">
        <v>4.1</v>
      </c>
      <c r="AKP17" s="2">
        <v>0.92</v>
      </c>
      <c r="AKQ17" s="2">
        <v>0.93</v>
      </c>
      <c r="AKR17" s="2">
        <v>0.97</v>
      </c>
    </row>
    <row r="18">
      <c r="A18" t="inlineStr">
        <is>
          <t>Vegetables</t>
        </is>
      </c>
      <c r="B18" t="inlineStr">
        <is>
          <t>Fruit and vegetables</t>
        </is>
      </c>
      <c r="C18">
        <v>3</v>
      </c>
      <c r="D18">
        <v>1.1</v>
      </c>
      <c r="E18" s="3">
        <f>D18/2.0*0.019988512349224583</f>
        <v>0.010993681792073521</v>
      </c>
      <c r="F18" s="3">
        <f>E18-D18/100</f>
        <v>-6.318207926479802e-06</v>
      </c>
      <c r="G18" s="3">
        <f>D18/2.0</f>
        <v>0.55</v>
      </c>
      <c r="H18" s="2">
        <v>74.84</v>
      </c>
      <c r="I18" s="2">
        <v>75.39</v>
      </c>
      <c r="J18" s="2">
        <v>78.97</v>
      </c>
      <c r="K18" s="2">
        <v>78.44</v>
      </c>
      <c r="L18" s="2">
        <v>80.84</v>
      </c>
      <c r="M18" s="2">
        <v>80.78</v>
      </c>
      <c r="N18" s="2">
        <v>79.7</v>
      </c>
      <c r="O18" s="2">
        <v>78.41</v>
      </c>
      <c r="P18" s="2">
        <v>76.56999999999999</v>
      </c>
      <c r="Q18" s="2">
        <v>78.8</v>
      </c>
      <c r="R18" s="2">
        <v>77.37</v>
      </c>
      <c r="S18" s="2">
        <v>79.75</v>
      </c>
      <c r="T18" s="2">
        <v>80</v>
      </c>
      <c r="U18" s="2">
        <v>78.3</v>
      </c>
      <c r="V18" s="2">
        <v>77</v>
      </c>
      <c r="W18" s="2">
        <v>79.31</v>
      </c>
      <c r="X18" s="2">
        <v>80.29000000000001</v>
      </c>
      <c r="Y18" s="2">
        <v>83.87</v>
      </c>
      <c r="Z18" s="2">
        <v>87.40000000000001</v>
      </c>
      <c r="AA18" s="2">
        <v>85</v>
      </c>
      <c r="AB18" s="2">
        <v>81.8</v>
      </c>
      <c r="AC18" s="2">
        <v>80.42</v>
      </c>
      <c r="AD18" s="2">
        <v>80.23</v>
      </c>
      <c r="AE18" s="2">
        <v>80.13</v>
      </c>
      <c r="AF18" s="2">
        <v>80.59999999999999</v>
      </c>
      <c r="AG18" s="2">
        <v>80.05</v>
      </c>
      <c r="AH18" s="2">
        <v>80.54000000000001</v>
      </c>
      <c r="AI18" s="2">
        <v>82.36</v>
      </c>
      <c r="AJ18" s="2">
        <v>84.88</v>
      </c>
      <c r="AK18" s="2">
        <v>87.12</v>
      </c>
      <c r="AL18" s="2">
        <v>91.75</v>
      </c>
      <c r="AM18" s="2">
        <v>88.83</v>
      </c>
      <c r="AN18" s="2">
        <v>85.62</v>
      </c>
      <c r="AO18" s="2">
        <v>87.72</v>
      </c>
      <c r="AP18" s="2">
        <v>87.02</v>
      </c>
      <c r="AQ18" s="2">
        <v>88.42</v>
      </c>
      <c r="AR18" s="2">
        <v>84.06</v>
      </c>
      <c r="AS18" s="2">
        <v>81.72</v>
      </c>
      <c r="AT18" s="2">
        <v>82.16</v>
      </c>
      <c r="AU18" s="2">
        <v>82.68000000000001</v>
      </c>
      <c r="AV18" s="2">
        <v>84.26000000000001</v>
      </c>
      <c r="AW18" s="2">
        <v>81.67</v>
      </c>
      <c r="AX18" s="2">
        <v>81.36</v>
      </c>
      <c r="AY18" s="2">
        <v>83.43000000000001</v>
      </c>
      <c r="AZ18" s="2">
        <v>88.5</v>
      </c>
      <c r="BA18" s="2">
        <v>89.59999999999999</v>
      </c>
      <c r="BB18" s="2">
        <v>88.15000000000001</v>
      </c>
      <c r="BC18" s="2">
        <v>88.45</v>
      </c>
      <c r="BD18" s="2">
        <v>86.39</v>
      </c>
      <c r="BE18" s="2">
        <v>85.75</v>
      </c>
      <c r="BF18" s="2">
        <v>86.76000000000001</v>
      </c>
      <c r="BG18" s="2">
        <v>89.45999999999999</v>
      </c>
      <c r="BH18" s="2">
        <v>91.40000000000001</v>
      </c>
      <c r="BI18" s="2">
        <v>92.48</v>
      </c>
      <c r="BJ18" s="2">
        <v>95.47</v>
      </c>
      <c r="BK18" s="2">
        <v>97.45999999999999</v>
      </c>
      <c r="BL18" s="2">
        <v>98.83</v>
      </c>
      <c r="BM18" s="2">
        <v>103.01</v>
      </c>
      <c r="BN18" s="2">
        <v>104.21</v>
      </c>
      <c r="BO18" s="2">
        <v>105.79</v>
      </c>
      <c r="BP18" s="2">
        <v>100.08</v>
      </c>
      <c r="BQ18" s="2">
        <v>91.72</v>
      </c>
      <c r="BR18" s="2">
        <v>92.17</v>
      </c>
      <c r="BS18" s="2">
        <v>94.64</v>
      </c>
      <c r="BT18" s="2">
        <v>93.20999999999999</v>
      </c>
      <c r="BU18" s="2">
        <v>94.67</v>
      </c>
      <c r="BV18" s="2">
        <v>96</v>
      </c>
      <c r="BW18" s="2">
        <v>97.58</v>
      </c>
      <c r="BX18" s="2">
        <v>99.58</v>
      </c>
      <c r="BY18" s="2">
        <v>97.5</v>
      </c>
      <c r="BZ18" s="2">
        <v>93.53</v>
      </c>
      <c r="CA18" s="2">
        <v>93.44</v>
      </c>
      <c r="CB18" s="2">
        <v>91.33</v>
      </c>
      <c r="CC18" s="2">
        <v>89.38</v>
      </c>
      <c r="CD18" s="2">
        <v>92.06999999999999</v>
      </c>
      <c r="CE18" s="2">
        <v>93.51000000000001</v>
      </c>
      <c r="CF18" s="2">
        <v>96.62</v>
      </c>
      <c r="CG18" s="2">
        <v>98.28</v>
      </c>
      <c r="CH18" s="2">
        <v>99.04000000000001</v>
      </c>
      <c r="CI18" s="2">
        <v>100.58</v>
      </c>
      <c r="CJ18" s="2">
        <v>102.66</v>
      </c>
      <c r="CK18" s="2">
        <v>100.39</v>
      </c>
      <c r="CL18" s="2">
        <v>98.94</v>
      </c>
      <c r="CM18" s="2">
        <v>101.58</v>
      </c>
      <c r="CN18" s="2">
        <v>99.84999999999999</v>
      </c>
      <c r="CO18" s="2">
        <v>97.26000000000001</v>
      </c>
      <c r="CP18" s="2">
        <v>96.81999999999999</v>
      </c>
      <c r="CQ18" s="2">
        <v>96.59</v>
      </c>
      <c r="CR18" s="2">
        <v>99.78</v>
      </c>
      <c r="CS18" s="2">
        <v>99.7</v>
      </c>
      <c r="CT18" s="2">
        <v>102.43</v>
      </c>
      <c r="CU18" s="2">
        <v>103.49</v>
      </c>
      <c r="CV18" s="2">
        <v>104.27</v>
      </c>
      <c r="CW18" s="2">
        <v>107.59</v>
      </c>
      <c r="CX18" s="2">
        <v>107.36</v>
      </c>
      <c r="CY18" s="2">
        <v>102.45</v>
      </c>
      <c r="CZ18" s="2">
        <v>100</v>
      </c>
      <c r="DA18" s="2">
        <v>98.48</v>
      </c>
      <c r="DB18" s="2">
        <v>98.95999999999999</v>
      </c>
      <c r="DC18" s="2">
        <v>100.27</v>
      </c>
      <c r="DD18" s="2">
        <v>101.77</v>
      </c>
      <c r="DE18" s="2">
        <v>100.19</v>
      </c>
      <c r="DF18" s="2">
        <v>102.23</v>
      </c>
      <c r="DG18" s="2">
        <v>105.44</v>
      </c>
      <c r="DH18" s="2">
        <v>104.5</v>
      </c>
      <c r="DI18" s="2">
        <v>103.08</v>
      </c>
      <c r="DJ18" s="2">
        <v>102.98</v>
      </c>
      <c r="DK18" s="2">
        <v>6.9</v>
      </c>
      <c r="DL18" s="2">
        <v>3.9</v>
      </c>
      <c r="DM18" s="2">
        <v>-2.5</v>
      </c>
      <c r="DN18" s="2">
        <v>1.1</v>
      </c>
      <c r="DO18" s="2">
        <v>-0.7</v>
      </c>
      <c r="DP18" s="2">
        <v>3.8</v>
      </c>
      <c r="DQ18" s="2">
        <v>9.699999999999999</v>
      </c>
      <c r="DR18" s="2">
        <v>8.4</v>
      </c>
      <c r="DS18" s="2">
        <v>6.8</v>
      </c>
      <c r="DT18" s="2">
        <v>2.1</v>
      </c>
      <c r="DU18" s="2">
        <v>3.7</v>
      </c>
      <c r="DV18" s="2">
        <v>0.5</v>
      </c>
      <c r="DW18" s="2">
        <v>0.8</v>
      </c>
      <c r="DX18" s="2">
        <v>2.2</v>
      </c>
      <c r="DY18" s="2">
        <v>4.6</v>
      </c>
      <c r="DZ18" s="2">
        <v>3.8</v>
      </c>
      <c r="EA18" s="2">
        <v>5.7</v>
      </c>
      <c r="EB18" s="2">
        <v>3.9</v>
      </c>
      <c r="EC18" s="2">
        <v>5</v>
      </c>
      <c r="ED18" s="2">
        <v>4.5</v>
      </c>
      <c r="EE18" s="2">
        <v>4.7</v>
      </c>
      <c r="EF18" s="2">
        <v>9.1</v>
      </c>
      <c r="EG18" s="2">
        <v>8.5</v>
      </c>
      <c r="EH18" s="2">
        <v>10.3</v>
      </c>
      <c r="EI18" s="2">
        <v>4.3</v>
      </c>
      <c r="EJ18" s="2">
        <v>2.1</v>
      </c>
      <c r="EK18" s="2">
        <v>2</v>
      </c>
      <c r="EL18" s="2">
        <v>0.4</v>
      </c>
      <c r="EM18" s="2">
        <v>-0.7</v>
      </c>
      <c r="EN18" s="2">
        <v>-6.3</v>
      </c>
      <c r="EO18" s="2">
        <v>-11.3</v>
      </c>
      <c r="EP18" s="2">
        <v>-6.1</v>
      </c>
      <c r="EQ18" s="2">
        <v>3.4</v>
      </c>
      <c r="ER18" s="2">
        <v>2.1</v>
      </c>
      <c r="ES18" s="2">
        <v>1.3</v>
      </c>
      <c r="ET18" s="2">
        <v>0</v>
      </c>
      <c r="EU18" s="2">
        <v>2.8</v>
      </c>
      <c r="EV18" s="2">
        <v>4.9</v>
      </c>
      <c r="EW18" s="2">
        <v>5.6</v>
      </c>
      <c r="EX18" s="2">
        <v>8.199999999999999</v>
      </c>
      <c r="EY18" s="2">
        <v>8.5</v>
      </c>
      <c r="EZ18" s="2">
        <v>13.2</v>
      </c>
      <c r="FA18" s="2">
        <v>17.3</v>
      </c>
      <c r="FB18" s="2">
        <v>16.8</v>
      </c>
      <c r="FC18" s="2">
        <v>11.7</v>
      </c>
      <c r="FD18" s="2">
        <v>15</v>
      </c>
      <c r="FE18" s="2">
        <v>18.2</v>
      </c>
      <c r="FF18" s="2">
        <v>19.6</v>
      </c>
      <c r="FG18" s="2">
        <v>15.8</v>
      </c>
      <c r="FH18" s="2">
        <v>7</v>
      </c>
      <c r="FI18" s="2">
        <v>6.2</v>
      </c>
      <c r="FJ18" s="2">
        <v>5.8</v>
      </c>
      <c r="FK18" s="2">
        <v>2</v>
      </c>
      <c r="FL18" s="2">
        <v>2.4</v>
      </c>
      <c r="FM18" s="2">
        <v>0.6</v>
      </c>
      <c r="FN18" s="2">
        <v>0.1</v>
      </c>
      <c r="FO18" s="2">
        <v>0.8</v>
      </c>
      <c r="FP18" s="2">
        <v>-5.3</v>
      </c>
      <c r="FQ18" s="2">
        <v>-10.2</v>
      </c>
      <c r="FR18" s="2">
        <v>-11.7</v>
      </c>
      <c r="FS18" s="2">
        <v>-8.699999999999999</v>
      </c>
      <c r="FT18" s="2">
        <v>-2.6</v>
      </c>
      <c r="FU18" s="2">
        <v>-0.1</v>
      </c>
      <c r="FV18" s="2">
        <v>-1.2</v>
      </c>
      <c r="FW18" s="2">
        <v>3.7</v>
      </c>
      <c r="FX18" s="2">
        <v>3.8</v>
      </c>
      <c r="FY18" s="2">
        <v>3.2</v>
      </c>
      <c r="FZ18" s="2">
        <v>3.1</v>
      </c>
      <c r="GA18" s="2">
        <v>3.1</v>
      </c>
      <c r="GB18" s="2">
        <v>3</v>
      </c>
      <c r="GC18" s="2">
        <v>5.8</v>
      </c>
      <c r="GD18" s="2">
        <v>8.699999999999999</v>
      </c>
      <c r="GE18" s="2">
        <v>9.300000000000001</v>
      </c>
      <c r="GF18" s="2">
        <v>8.800000000000001</v>
      </c>
      <c r="GG18" s="2">
        <v>5.2</v>
      </c>
      <c r="GH18" s="2">
        <v>3.3</v>
      </c>
      <c r="GI18" s="2">
        <v>3.3</v>
      </c>
      <c r="GJ18" s="2">
        <v>1.4</v>
      </c>
      <c r="GK18" s="2">
        <v>3.4</v>
      </c>
      <c r="GL18" s="2">
        <v>2.9</v>
      </c>
      <c r="GM18" s="2">
        <v>1.6</v>
      </c>
      <c r="GN18" s="2">
        <v>7.2</v>
      </c>
      <c r="GO18" s="2">
        <v>8.5</v>
      </c>
      <c r="GP18" s="2">
        <v>0.9</v>
      </c>
      <c r="GQ18" s="2">
        <v>0.2</v>
      </c>
      <c r="GR18" s="2">
        <v>1.3</v>
      </c>
      <c r="GS18" s="2">
        <v>2.2</v>
      </c>
      <c r="GT18" s="2">
        <v>3.8</v>
      </c>
      <c r="GU18" s="2">
        <v>2</v>
      </c>
      <c r="GV18" s="2">
        <v>0.5</v>
      </c>
      <c r="GW18" s="2">
        <v>-0.2</v>
      </c>
      <c r="GX18" s="2">
        <v>1.9</v>
      </c>
      <c r="GY18" s="2">
        <v>0.2</v>
      </c>
      <c r="GZ18" s="2">
        <v>-4.2</v>
      </c>
      <c r="HA18" s="2">
        <v>-4.1</v>
      </c>
      <c r="HB18" s="2">
        <v>0.7</v>
      </c>
      <c r="HC18" s="2">
        <v>4.7</v>
      </c>
      <c r="HD18" s="2">
        <v>-0.7</v>
      </c>
      <c r="HE18" s="2">
        <v>3.1</v>
      </c>
      <c r="HF18" s="2">
        <v>-0.1</v>
      </c>
      <c r="HG18" s="2">
        <v>-1.3</v>
      </c>
      <c r="HH18" s="2">
        <v>-1.6</v>
      </c>
      <c r="HI18" s="2">
        <v>-2.3</v>
      </c>
      <c r="HJ18" s="2">
        <v>2.9</v>
      </c>
      <c r="HK18" s="2">
        <v>-1.8</v>
      </c>
      <c r="HL18" s="2">
        <v>3.1</v>
      </c>
      <c r="HM18" s="2">
        <v>0.3</v>
      </c>
      <c r="HN18" s="2">
        <v>-2.1</v>
      </c>
      <c r="HO18" s="2">
        <v>-1.7</v>
      </c>
      <c r="HP18" s="2">
        <v>3</v>
      </c>
      <c r="HQ18" s="2">
        <v>1.2</v>
      </c>
      <c r="HR18" s="2">
        <v>4.5</v>
      </c>
      <c r="HS18" s="2">
        <v>4.2</v>
      </c>
      <c r="HT18" s="2">
        <v>-2.7</v>
      </c>
      <c r="HU18" s="2">
        <v>-3.8</v>
      </c>
      <c r="HV18" s="2">
        <v>-1.7</v>
      </c>
      <c r="HW18" s="2">
        <v>-0.2</v>
      </c>
      <c r="HX18" s="2">
        <v>-0.1</v>
      </c>
      <c r="HY18" s="2">
        <v>0.6</v>
      </c>
      <c r="HZ18" s="2">
        <v>-0.7</v>
      </c>
      <c r="IA18" s="2">
        <v>0.6</v>
      </c>
      <c r="IB18" s="2">
        <v>2.3</v>
      </c>
      <c r="IC18" s="2">
        <v>3.1</v>
      </c>
      <c r="ID18" s="2">
        <v>2.6</v>
      </c>
      <c r="IE18" s="2">
        <v>5.3</v>
      </c>
      <c r="IF18" s="2">
        <v>-3.2</v>
      </c>
      <c r="IG18" s="2">
        <v>-3.6</v>
      </c>
      <c r="IH18" s="2">
        <v>2.5</v>
      </c>
      <c r="II18" s="2">
        <v>-0.8</v>
      </c>
      <c r="IJ18" s="2">
        <v>1.6</v>
      </c>
      <c r="IK18" s="2">
        <v>-4.9</v>
      </c>
      <c r="IL18" s="2">
        <v>-2.8</v>
      </c>
      <c r="IM18" s="2">
        <v>0.5</v>
      </c>
      <c r="IN18" s="2">
        <v>0.6</v>
      </c>
      <c r="IO18" s="2">
        <v>1.9</v>
      </c>
      <c r="IP18" s="2">
        <v>-3.1</v>
      </c>
      <c r="IQ18" s="2">
        <v>-0.4</v>
      </c>
      <c r="IR18" s="2">
        <v>2.5</v>
      </c>
      <c r="IS18" s="2">
        <v>6.1</v>
      </c>
      <c r="IT18" s="2">
        <v>1.2</v>
      </c>
      <c r="IU18" s="2">
        <v>-1.6</v>
      </c>
      <c r="IV18" s="2">
        <v>0.3</v>
      </c>
      <c r="IW18" s="2">
        <v>-2.3</v>
      </c>
      <c r="IX18" s="2">
        <v>-0.7</v>
      </c>
      <c r="IY18" s="2">
        <v>1.2</v>
      </c>
      <c r="IZ18" s="2">
        <v>3.1</v>
      </c>
      <c r="JA18" s="2">
        <v>2.2</v>
      </c>
      <c r="JB18" s="2">
        <v>1.2</v>
      </c>
      <c r="JC18" s="2">
        <v>3.2</v>
      </c>
      <c r="JD18" s="2">
        <v>2.1</v>
      </c>
      <c r="JE18" s="2">
        <v>1.4</v>
      </c>
      <c r="JF18" s="2">
        <v>4.2</v>
      </c>
      <c r="JG18" s="2">
        <v>1.2</v>
      </c>
      <c r="JH18" s="2">
        <v>1.5</v>
      </c>
      <c r="JI18" s="2">
        <v>-5.4</v>
      </c>
      <c r="JJ18" s="2">
        <v>-8.4</v>
      </c>
      <c r="JK18" s="2">
        <v>0.5</v>
      </c>
      <c r="JL18" s="2">
        <v>2.7</v>
      </c>
      <c r="JM18" s="2">
        <v>-1.5</v>
      </c>
      <c r="JN18" s="2">
        <v>1.6</v>
      </c>
      <c r="JO18" s="2">
        <v>1.4</v>
      </c>
      <c r="JP18" s="2">
        <v>1.6</v>
      </c>
      <c r="JQ18" s="2">
        <v>2</v>
      </c>
      <c r="JR18" s="2">
        <v>-2.1</v>
      </c>
      <c r="JS18" s="2">
        <v>-4.1</v>
      </c>
      <c r="JT18" s="2">
        <v>-0.1</v>
      </c>
      <c r="JU18" s="2">
        <v>-2.3</v>
      </c>
      <c r="JV18" s="2">
        <v>-2.1</v>
      </c>
      <c r="JW18" s="2">
        <v>3</v>
      </c>
      <c r="JX18" s="2">
        <v>1.6</v>
      </c>
      <c r="JY18" s="2">
        <v>3.3</v>
      </c>
      <c r="JZ18" s="2">
        <v>1.7</v>
      </c>
      <c r="KA18" s="2">
        <v>0.8</v>
      </c>
      <c r="KB18" s="2">
        <v>1.6</v>
      </c>
      <c r="KC18" s="2">
        <v>2.1</v>
      </c>
      <c r="KD18" s="2">
        <v>-2.2</v>
      </c>
      <c r="KE18" s="2">
        <v>-1.4</v>
      </c>
      <c r="KF18" s="2">
        <v>2.7</v>
      </c>
      <c r="KG18" s="2">
        <v>-1.7</v>
      </c>
      <c r="KH18" s="2">
        <v>-2.6</v>
      </c>
      <c r="KI18" s="2">
        <v>-0.5</v>
      </c>
      <c r="KJ18" s="2">
        <v>-0.2</v>
      </c>
      <c r="KK18" s="2">
        <v>3.3</v>
      </c>
      <c r="KL18" s="2">
        <v>-0.1</v>
      </c>
      <c r="KM18" s="2">
        <v>2.7</v>
      </c>
      <c r="KN18" s="2">
        <v>1</v>
      </c>
      <c r="KO18" s="2">
        <v>0.8</v>
      </c>
      <c r="KP18" s="2">
        <v>3.2</v>
      </c>
      <c r="KQ18" s="2">
        <v>-0.2</v>
      </c>
      <c r="KR18" s="2">
        <v>-4.6</v>
      </c>
      <c r="KS18" s="2">
        <v>-2.4</v>
      </c>
      <c r="KT18" s="2">
        <v>-1.5</v>
      </c>
      <c r="KU18" s="2">
        <v>0.5</v>
      </c>
      <c r="KV18" s="2">
        <v>1.3</v>
      </c>
      <c r="KW18" s="2">
        <v>1.5</v>
      </c>
      <c r="KX18" s="2">
        <v>-1.6</v>
      </c>
      <c r="KY18" s="2">
        <v>2</v>
      </c>
      <c r="KZ18" s="2">
        <v>3.1</v>
      </c>
      <c r="LA18" s="2">
        <v>-0.9</v>
      </c>
      <c r="LB18" s="2">
        <v>-1.4</v>
      </c>
      <c r="LC18" s="2">
        <v>-0.1</v>
      </c>
      <c r="LD18" s="2">
        <v>1.07</v>
      </c>
      <c r="LE18" s="2">
        <v>1.11</v>
      </c>
      <c r="LF18" s="2">
        <v>1.11</v>
      </c>
      <c r="LG18" s="2">
        <v>1.14</v>
      </c>
      <c r="LH18" s="2">
        <v>1.15</v>
      </c>
      <c r="LI18" s="2">
        <v>1.16</v>
      </c>
      <c r="LJ18" s="2">
        <v>1.19</v>
      </c>
      <c r="LK18" s="2">
        <v>1.19</v>
      </c>
      <c r="LL18" s="2">
        <v>1.14</v>
      </c>
      <c r="LM18" s="2">
        <v>1.11</v>
      </c>
      <c r="LN18" s="2">
        <v>1.09</v>
      </c>
      <c r="LO18" s="2">
        <v>1.1</v>
      </c>
      <c r="LP18" s="2">
        <v>1.11</v>
      </c>
      <c r="LQ18" s="2">
        <v>1.13</v>
      </c>
      <c r="LR18" s="2">
        <v>1.11</v>
      </c>
      <c r="LS18" s="2">
        <v>1.13</v>
      </c>
      <c r="LT18" s="2">
        <v>1.17</v>
      </c>
      <c r="LU18" s="2">
        <v>1.16</v>
      </c>
      <c r="LV18" s="2">
        <v>1.14</v>
      </c>
      <c r="LW18" s="2">
        <v>1.14</v>
      </c>
      <c r="LX18" s="2">
        <v>0.04</v>
      </c>
      <c r="LY18" s="2">
        <v>0</v>
      </c>
      <c r="LZ18" s="2">
        <v>0.03</v>
      </c>
      <c r="MA18" s="2">
        <v>0.01</v>
      </c>
      <c r="MB18" s="2">
        <v>0.01</v>
      </c>
      <c r="MC18" s="2">
        <v>0.03</v>
      </c>
      <c r="MD18" s="2">
        <v>0</v>
      </c>
      <c r="ME18" s="2">
        <v>-0.05</v>
      </c>
      <c r="MF18" s="2">
        <v>-0.03</v>
      </c>
      <c r="MG18" s="2">
        <v>-0.02</v>
      </c>
      <c r="MH18" s="2">
        <v>0.01</v>
      </c>
      <c r="MI18" s="2">
        <v>0.01</v>
      </c>
      <c r="MJ18" s="2">
        <v>0.02</v>
      </c>
      <c r="MK18" s="2">
        <v>-0.02</v>
      </c>
      <c r="ML18" s="2">
        <v>0.02</v>
      </c>
      <c r="MM18" s="2">
        <v>0.04</v>
      </c>
      <c r="MN18" s="2">
        <v>-0.01</v>
      </c>
      <c r="MO18" s="2">
        <v>-0.02</v>
      </c>
      <c r="MP18" s="2">
        <v>0</v>
      </c>
      <c r="SY18" s="2">
        <v>46.34</v>
      </c>
      <c r="SZ18" s="2">
        <v>41.84</v>
      </c>
      <c r="TA18" s="2">
        <v>33.73</v>
      </c>
      <c r="TB18" s="2">
        <v>38.75</v>
      </c>
      <c r="TC18" s="2">
        <v>32.97</v>
      </c>
      <c r="TD18" s="2">
        <v>29.19</v>
      </c>
      <c r="TE18" s="2">
        <v>35.58</v>
      </c>
      <c r="TF18" s="2">
        <v>28.67</v>
      </c>
      <c r="TG18" s="2">
        <v>30.12</v>
      </c>
      <c r="TH18" s="2">
        <v>33.69</v>
      </c>
      <c r="TI18" s="2">
        <v>32.49</v>
      </c>
      <c r="TJ18" s="2">
        <v>32.33</v>
      </c>
      <c r="TK18" s="2">
        <v>28.31</v>
      </c>
      <c r="TL18" s="2">
        <v>31.48</v>
      </c>
      <c r="TM18" s="2">
        <v>36.62</v>
      </c>
      <c r="TN18" s="2">
        <v>30.68</v>
      </c>
      <c r="TO18" s="2">
        <v>31.8</v>
      </c>
      <c r="TP18" s="2">
        <v>33.13</v>
      </c>
      <c r="TQ18" s="2">
        <v>34.94</v>
      </c>
      <c r="TR18" s="2">
        <v>33.49</v>
      </c>
      <c r="TS18" s="2">
        <v>34.21</v>
      </c>
      <c r="TT18" s="2">
        <v>35.58</v>
      </c>
      <c r="TU18" s="2">
        <v>40.36</v>
      </c>
      <c r="TV18" s="2">
        <v>39.31</v>
      </c>
      <c r="TW18" s="2">
        <v>39.31</v>
      </c>
      <c r="TX18" s="2">
        <v>39.35</v>
      </c>
      <c r="TY18" s="2">
        <v>36.06</v>
      </c>
      <c r="TZ18" s="2">
        <v>36.3</v>
      </c>
      <c r="UA18" s="2">
        <v>35.86</v>
      </c>
      <c r="UB18" s="2">
        <v>37.79</v>
      </c>
      <c r="UC18" s="2">
        <v>39.31</v>
      </c>
      <c r="UD18" s="2">
        <v>39.43</v>
      </c>
      <c r="UE18" s="2">
        <v>36.58</v>
      </c>
      <c r="UF18" s="2">
        <v>37.35</v>
      </c>
      <c r="UG18" s="2">
        <v>40.2</v>
      </c>
      <c r="UH18" s="2">
        <v>41.8</v>
      </c>
      <c r="UI18" s="2">
        <v>44.01</v>
      </c>
      <c r="UJ18" s="2">
        <v>46.14</v>
      </c>
      <c r="UK18" s="2">
        <v>44.45</v>
      </c>
      <c r="UL18" s="2">
        <v>42.45</v>
      </c>
      <c r="UM18" s="2">
        <v>40.36</v>
      </c>
      <c r="UN18" s="2">
        <v>40.88</v>
      </c>
      <c r="UO18" s="2">
        <v>43.25</v>
      </c>
      <c r="UP18" s="2">
        <v>46.82</v>
      </c>
      <c r="UQ18" s="2">
        <v>43.88</v>
      </c>
      <c r="UR18" s="2">
        <v>42.68</v>
      </c>
      <c r="US18" s="2">
        <v>51.22</v>
      </c>
      <c r="UT18" s="2">
        <v>48.73</v>
      </c>
      <c r="UU18" s="2">
        <v>44.65</v>
      </c>
      <c r="UV18" s="2">
        <v>47.16</v>
      </c>
      <c r="UW18" s="2">
        <v>45.82</v>
      </c>
      <c r="UX18" s="2">
        <v>43.37</v>
      </c>
      <c r="UY18" s="2">
        <v>48.61</v>
      </c>
      <c r="UZ18" s="2">
        <v>51.32</v>
      </c>
      <c r="VA18" s="2">
        <v>57.3</v>
      </c>
      <c r="VB18" s="2">
        <v>53.73</v>
      </c>
      <c r="VC18" s="2">
        <v>49.5</v>
      </c>
      <c r="VD18" s="2">
        <v>54</v>
      </c>
      <c r="VE18" s="2">
        <v>61.03</v>
      </c>
      <c r="VF18" s="2">
        <v>54.07</v>
      </c>
      <c r="VG18" s="2">
        <v>49.93</v>
      </c>
      <c r="VH18" s="2">
        <v>50.81</v>
      </c>
      <c r="VI18" s="2">
        <v>53.01</v>
      </c>
      <c r="VJ18" s="2">
        <v>53.03</v>
      </c>
      <c r="VK18" s="2">
        <v>53.08</v>
      </c>
      <c r="VL18" s="2">
        <v>56.71</v>
      </c>
      <c r="VM18" s="2">
        <v>61.14</v>
      </c>
      <c r="VN18" s="2">
        <v>61.26</v>
      </c>
      <c r="VO18" s="2">
        <v>58.01</v>
      </c>
      <c r="VP18" s="2">
        <v>60.41</v>
      </c>
      <c r="VQ18" s="2">
        <v>61.54</v>
      </c>
      <c r="VR18" s="2">
        <v>65.3</v>
      </c>
      <c r="VS18" s="2">
        <v>70.48</v>
      </c>
      <c r="VT18" s="2">
        <v>65.59999999999999</v>
      </c>
      <c r="VU18" s="2">
        <v>67.55</v>
      </c>
      <c r="VV18" s="2">
        <v>63.16</v>
      </c>
      <c r="VW18" s="2">
        <v>64.01000000000001</v>
      </c>
      <c r="VX18" s="2">
        <v>66.09</v>
      </c>
      <c r="VY18" s="2">
        <v>70.08</v>
      </c>
      <c r="VZ18" s="2">
        <v>65.23999999999999</v>
      </c>
      <c r="WA18" s="2">
        <v>61.61</v>
      </c>
      <c r="WB18" s="2">
        <v>62.83</v>
      </c>
      <c r="WC18" s="2">
        <v>69.31999999999999</v>
      </c>
      <c r="WD18" s="2">
        <v>67.27</v>
      </c>
      <c r="WE18" s="2">
        <v>63.62</v>
      </c>
      <c r="WF18" s="2">
        <v>70.88</v>
      </c>
      <c r="WG18" s="2">
        <v>82.23999999999999</v>
      </c>
      <c r="WH18" s="2">
        <v>73.77</v>
      </c>
      <c r="WI18" s="2">
        <v>71.91</v>
      </c>
      <c r="WJ18" s="2">
        <v>68.36</v>
      </c>
      <c r="WK18" s="2">
        <v>68.13</v>
      </c>
      <c r="WL18" s="2">
        <v>71.68000000000001</v>
      </c>
      <c r="WM18" s="2">
        <v>79.27</v>
      </c>
      <c r="WN18" s="2">
        <v>74.79000000000001</v>
      </c>
      <c r="WO18" s="2">
        <v>71.78</v>
      </c>
      <c r="WP18" s="2">
        <v>74.15000000000001</v>
      </c>
      <c r="WQ18" s="2">
        <v>70.81999999999999</v>
      </c>
      <c r="WR18" s="2">
        <v>75.83</v>
      </c>
      <c r="WS18" s="2">
        <v>78.39</v>
      </c>
      <c r="WT18" s="2">
        <v>77.23</v>
      </c>
      <c r="WU18" s="2">
        <v>77.89</v>
      </c>
      <c r="WV18" s="2">
        <v>76.52</v>
      </c>
      <c r="WW18" s="2">
        <v>78.91</v>
      </c>
      <c r="WX18" s="2">
        <v>77.61</v>
      </c>
      <c r="WY18" s="2">
        <v>73.03</v>
      </c>
      <c r="WZ18" s="2">
        <v>74.43000000000001</v>
      </c>
      <c r="XA18" s="2">
        <v>75.53</v>
      </c>
      <c r="XB18" s="2">
        <v>77.19</v>
      </c>
      <c r="XC18" s="2">
        <v>81.73999999999999</v>
      </c>
      <c r="XD18" s="2">
        <v>83.77</v>
      </c>
      <c r="XE18" s="2">
        <v>85.43000000000001</v>
      </c>
      <c r="XF18" s="2">
        <v>85.72</v>
      </c>
      <c r="XG18" s="2">
        <v>76.39</v>
      </c>
      <c r="XH18" s="2">
        <v>77.73</v>
      </c>
      <c r="XI18" s="2">
        <v>80.61</v>
      </c>
      <c r="XJ18" s="2">
        <v>78.28</v>
      </c>
      <c r="XK18" s="2">
        <v>79.53</v>
      </c>
      <c r="XL18" s="2">
        <v>78.59</v>
      </c>
      <c r="XM18" s="2">
        <v>84.61</v>
      </c>
      <c r="XN18" s="2">
        <v>83.15000000000001</v>
      </c>
      <c r="XO18" s="2">
        <v>81.01000000000001</v>
      </c>
      <c r="XP18" s="2">
        <v>81.51000000000001</v>
      </c>
      <c r="XQ18" s="2">
        <v>88.91</v>
      </c>
      <c r="XR18" s="2">
        <v>87.65000000000001</v>
      </c>
      <c r="XS18" s="2">
        <v>88.02</v>
      </c>
      <c r="XT18" s="2">
        <v>82.73999999999999</v>
      </c>
      <c r="XU18" s="2">
        <v>83.02</v>
      </c>
      <c r="XV18" s="2">
        <v>87.59</v>
      </c>
      <c r="XW18" s="2">
        <v>88.15000000000001</v>
      </c>
      <c r="XX18" s="2">
        <v>87.81</v>
      </c>
      <c r="XY18" s="2">
        <v>93.61</v>
      </c>
      <c r="XZ18" s="2">
        <v>100.39</v>
      </c>
      <c r="YA18" s="2">
        <v>103.36</v>
      </c>
      <c r="YB18" s="2">
        <v>92.84</v>
      </c>
      <c r="YC18" s="2">
        <v>94.63</v>
      </c>
      <c r="YD18" s="2">
        <v>98.22</v>
      </c>
      <c r="YE18" s="2">
        <v>92.77</v>
      </c>
      <c r="YF18" s="2">
        <v>91.65000000000001</v>
      </c>
      <c r="YG18" s="2">
        <v>97.98</v>
      </c>
      <c r="YH18" s="2">
        <v>101.21</v>
      </c>
      <c r="YI18" s="2">
        <v>100.12</v>
      </c>
      <c r="YJ18" s="2">
        <v>96.89</v>
      </c>
      <c r="YK18" s="2">
        <v>100.64</v>
      </c>
      <c r="YL18" s="2">
        <v>105.12</v>
      </c>
      <c r="YM18" s="2">
        <v>103.27</v>
      </c>
      <c r="YN18" s="2">
        <v>99.23</v>
      </c>
      <c r="YO18" s="2">
        <v>101.4</v>
      </c>
      <c r="YP18" s="2">
        <v>104.34</v>
      </c>
      <c r="AEY18" s="2">
        <v>-9.699999999999999</v>
      </c>
      <c r="AEZ18" s="2">
        <v>-19.4</v>
      </c>
      <c r="AFA18" s="2">
        <v>14.9</v>
      </c>
      <c r="AFB18" s="2">
        <v>-14.9</v>
      </c>
      <c r="AFC18" s="2">
        <v>-11.5</v>
      </c>
      <c r="AFD18" s="2">
        <v>21.9</v>
      </c>
      <c r="AFE18" s="2">
        <v>-19.4</v>
      </c>
      <c r="AFF18" s="2">
        <v>5.1</v>
      </c>
      <c r="AFG18" s="2">
        <v>11.9</v>
      </c>
      <c r="AFH18" s="2">
        <v>-3.6</v>
      </c>
      <c r="AFI18" s="2">
        <v>-0.5</v>
      </c>
      <c r="AFJ18" s="2">
        <v>-12.4</v>
      </c>
      <c r="AFK18" s="2">
        <v>11.2</v>
      </c>
      <c r="AFL18" s="2">
        <v>16.3</v>
      </c>
      <c r="AFM18" s="2">
        <v>-16.2</v>
      </c>
      <c r="AFN18" s="2">
        <v>3.7</v>
      </c>
      <c r="AFO18" s="2">
        <v>4.2</v>
      </c>
      <c r="AFP18" s="2">
        <v>5.5</v>
      </c>
      <c r="AFQ18" s="2">
        <v>-4.1</v>
      </c>
      <c r="AFR18" s="2">
        <v>2.1</v>
      </c>
      <c r="AFS18" s="2">
        <v>4</v>
      </c>
      <c r="AFT18" s="2">
        <v>13.4</v>
      </c>
      <c r="AFU18" s="2">
        <v>-2.6</v>
      </c>
      <c r="AFV18" s="2">
        <v>0</v>
      </c>
      <c r="AFW18" s="2">
        <v>0.1</v>
      </c>
      <c r="AFX18" s="2">
        <v>-8.4</v>
      </c>
      <c r="AFY18" s="2">
        <v>0.7</v>
      </c>
      <c r="AFZ18" s="2">
        <v>-1.2</v>
      </c>
      <c r="AGA18" s="2">
        <v>5.4</v>
      </c>
      <c r="AGB18" s="2">
        <v>4</v>
      </c>
      <c r="AGC18" s="2">
        <v>0.3</v>
      </c>
      <c r="AGD18" s="2">
        <v>-7.2</v>
      </c>
      <c r="AGE18" s="2">
        <v>2.1</v>
      </c>
      <c r="AGF18" s="2">
        <v>7.6</v>
      </c>
      <c r="AGG18" s="2">
        <v>4</v>
      </c>
      <c r="AGH18" s="2">
        <v>5.3</v>
      </c>
      <c r="AGI18" s="2">
        <v>4.8</v>
      </c>
      <c r="AGJ18" s="2">
        <v>-3.7</v>
      </c>
      <c r="AGK18" s="2">
        <v>-4.5</v>
      </c>
      <c r="AGL18" s="2">
        <v>-4.9</v>
      </c>
      <c r="AGM18" s="2">
        <v>1.3</v>
      </c>
      <c r="AGN18" s="2">
        <v>5.8</v>
      </c>
      <c r="AGO18" s="2">
        <v>8.300000000000001</v>
      </c>
      <c r="AGP18" s="2">
        <v>-6.3</v>
      </c>
      <c r="AGQ18" s="2">
        <v>-2.7</v>
      </c>
      <c r="AGR18" s="2">
        <v>20</v>
      </c>
      <c r="AGS18" s="2">
        <v>-4.9</v>
      </c>
      <c r="AGT18" s="2">
        <v>-8.4</v>
      </c>
      <c r="AGU18" s="2">
        <v>5.6</v>
      </c>
      <c r="AGV18" s="2">
        <v>-2.8</v>
      </c>
      <c r="AGW18" s="2">
        <v>-5.3</v>
      </c>
      <c r="AGX18" s="2">
        <v>12.1</v>
      </c>
      <c r="AGY18" s="2">
        <v>5.6</v>
      </c>
      <c r="AGZ18" s="2">
        <v>11.7</v>
      </c>
      <c r="AHA18" s="2">
        <v>-6.2</v>
      </c>
      <c r="AHB18" s="2">
        <v>-7.9</v>
      </c>
      <c r="AHC18" s="2">
        <v>9.1</v>
      </c>
      <c r="AHD18" s="2">
        <v>13</v>
      </c>
      <c r="AHE18" s="2">
        <v>-11.4</v>
      </c>
      <c r="AHF18" s="2">
        <v>-7.7</v>
      </c>
      <c r="AHG18" s="2">
        <v>1.8</v>
      </c>
      <c r="AHH18" s="2">
        <v>4.3</v>
      </c>
      <c r="AHI18" s="2">
        <v>0</v>
      </c>
      <c r="AHJ18" s="2">
        <v>0.1</v>
      </c>
      <c r="AHK18" s="2">
        <v>6.8</v>
      </c>
      <c r="AHL18" s="2">
        <v>7.8</v>
      </c>
      <c r="AHM18" s="2">
        <v>0.2</v>
      </c>
      <c r="AHN18" s="2">
        <v>-5.3</v>
      </c>
      <c r="AHO18" s="2">
        <v>4.1</v>
      </c>
      <c r="AHP18" s="2">
        <v>1.9</v>
      </c>
      <c r="AHQ18" s="2">
        <v>6.1</v>
      </c>
      <c r="AHR18" s="2">
        <v>7.9</v>
      </c>
      <c r="AHS18" s="2">
        <v>-6.9</v>
      </c>
      <c r="AHT18" s="2">
        <v>3</v>
      </c>
      <c r="AHU18" s="2">
        <v>-6.5</v>
      </c>
      <c r="AHV18" s="2">
        <v>1.3</v>
      </c>
      <c r="AHW18" s="2">
        <v>3.2</v>
      </c>
      <c r="AHX18" s="2">
        <v>6</v>
      </c>
      <c r="AHY18" s="2">
        <v>-6.9</v>
      </c>
      <c r="AHZ18" s="2">
        <v>-5.6</v>
      </c>
      <c r="AIA18" s="2">
        <v>2</v>
      </c>
      <c r="AIB18" s="2">
        <v>10.3</v>
      </c>
      <c r="AIC18" s="2">
        <v>-3</v>
      </c>
      <c r="AID18" s="2">
        <v>-5.4</v>
      </c>
      <c r="AIE18" s="2">
        <v>11.4</v>
      </c>
      <c r="AIF18" s="2">
        <v>16</v>
      </c>
      <c r="AIG18" s="2">
        <v>-10.3</v>
      </c>
      <c r="AIH18" s="2">
        <v>-2.5</v>
      </c>
      <c r="AII18" s="2">
        <v>-4.9</v>
      </c>
      <c r="AIJ18" s="2">
        <v>-0.3</v>
      </c>
      <c r="AIK18" s="2">
        <v>5.2</v>
      </c>
      <c r="AIL18" s="2">
        <v>10.6</v>
      </c>
      <c r="AIM18" s="2">
        <v>-5.7</v>
      </c>
      <c r="AIN18" s="2">
        <v>-4</v>
      </c>
      <c r="AIO18" s="2">
        <v>3.3</v>
      </c>
      <c r="AIP18" s="2">
        <v>-4.5</v>
      </c>
      <c r="AIQ18" s="2">
        <v>7.1</v>
      </c>
      <c r="AIR18" s="2">
        <v>3.4</v>
      </c>
      <c r="AIS18" s="2">
        <v>-1.5</v>
      </c>
      <c r="AIT18" s="2">
        <v>0.9</v>
      </c>
      <c r="AIU18" s="2">
        <v>-1.8</v>
      </c>
      <c r="AIV18" s="2">
        <v>3.1</v>
      </c>
      <c r="AIW18" s="2">
        <v>-1.6</v>
      </c>
      <c r="AIX18" s="2">
        <v>-5.9</v>
      </c>
      <c r="AIY18" s="2">
        <v>1.9</v>
      </c>
      <c r="AIZ18" s="2">
        <v>1.5</v>
      </c>
      <c r="AJA18" s="2">
        <v>2.2</v>
      </c>
      <c r="AJB18" s="2">
        <v>5.9</v>
      </c>
      <c r="AJC18" s="2">
        <v>2.5</v>
      </c>
      <c r="AJD18" s="2">
        <v>2</v>
      </c>
      <c r="AJE18" s="2">
        <v>0.3</v>
      </c>
      <c r="AJF18" s="2">
        <v>-10.9</v>
      </c>
      <c r="AJG18" s="2">
        <v>1.8</v>
      </c>
      <c r="AJH18" s="2">
        <v>3.7</v>
      </c>
      <c r="AJI18" s="2">
        <v>-2.9</v>
      </c>
      <c r="AJJ18" s="2">
        <v>1.6</v>
      </c>
      <c r="AJK18" s="2">
        <v>-1.2</v>
      </c>
      <c r="AJL18" s="2">
        <v>7.7</v>
      </c>
      <c r="AJM18" s="2">
        <v>-1.7</v>
      </c>
      <c r="AJN18" s="2">
        <v>-2.6</v>
      </c>
      <c r="AJO18" s="2">
        <v>0.6</v>
      </c>
      <c r="AJP18" s="2">
        <v>9.1</v>
      </c>
      <c r="AJQ18" s="2">
        <v>-1.4</v>
      </c>
      <c r="AJR18" s="2">
        <v>0.4</v>
      </c>
      <c r="AJS18" s="2">
        <v>-6</v>
      </c>
      <c r="AJT18" s="2">
        <v>0.3</v>
      </c>
      <c r="AJU18" s="2">
        <v>5.5</v>
      </c>
      <c r="AJV18" s="2">
        <v>0.6</v>
      </c>
      <c r="AJW18" s="2">
        <v>-0.4</v>
      </c>
      <c r="AJX18" s="2">
        <v>6.6</v>
      </c>
      <c r="AJY18" s="2">
        <v>7.2</v>
      </c>
      <c r="AJZ18" s="2">
        <v>3</v>
      </c>
      <c r="AKA18" s="2">
        <v>-10.2</v>
      </c>
      <c r="AKB18" s="2">
        <v>1.9</v>
      </c>
      <c r="AKC18" s="2">
        <v>3.8</v>
      </c>
      <c r="AKD18" s="2">
        <v>-5.5</v>
      </c>
      <c r="AKE18" s="2">
        <v>-1.2</v>
      </c>
      <c r="AKF18" s="2">
        <v>6.9</v>
      </c>
      <c r="AKG18" s="2">
        <v>3.3</v>
      </c>
      <c r="AKH18" s="2">
        <v>-1.1</v>
      </c>
      <c r="AKI18" s="2">
        <v>-3.2</v>
      </c>
      <c r="AKJ18" s="2">
        <v>3.9</v>
      </c>
      <c r="AKK18" s="2">
        <v>4.5</v>
      </c>
      <c r="AKL18" s="2">
        <v>-1.8</v>
      </c>
      <c r="AKM18" s="2">
        <v>-3.9</v>
      </c>
      <c r="AKN18" s="2">
        <v>2.2</v>
      </c>
      <c r="AKO18" s="2">
        <v>2.9</v>
      </c>
      <c r="AKP18" s="2">
        <v>1.1</v>
      </c>
      <c r="AKQ18" s="2">
        <v>1.12</v>
      </c>
      <c r="AKR18" s="2">
        <v>1.16</v>
      </c>
    </row>
    <row r="19">
      <c r="A19" t="inlineStr">
        <is>
          <t>Eggs</t>
        </is>
      </c>
      <c r="B19" t="inlineStr">
        <is>
          <t>Food products n.e.c.</t>
        </is>
      </c>
      <c r="C19">
        <v>3</v>
      </c>
      <c r="D19">
        <v>0.14</v>
      </c>
      <c r="E19" s="3">
        <f>D19/2.3*0.02298678920160827</f>
        <v>0.001399195864445721</v>
      </c>
      <c r="F19" s="3">
        <f>E19-D19/100</f>
        <v>-8.041355542792554e-07</v>
      </c>
      <c r="G19" s="3">
        <f>D19/2.3</f>
        <v>0.060869565217391314</v>
      </c>
      <c r="H19" s="2">
        <v>63.4</v>
      </c>
      <c r="I19" s="2">
        <v>62.94</v>
      </c>
      <c r="J19" s="2">
        <v>63.23</v>
      </c>
      <c r="K19" s="2">
        <v>63.33</v>
      </c>
      <c r="L19" s="2">
        <v>62.86</v>
      </c>
      <c r="M19" s="2">
        <v>63.14</v>
      </c>
      <c r="N19" s="2">
        <v>63.62</v>
      </c>
      <c r="O19" s="2">
        <v>63.93</v>
      </c>
      <c r="P19" s="2">
        <v>63.4</v>
      </c>
      <c r="Q19" s="2">
        <v>63.6</v>
      </c>
      <c r="R19" s="2">
        <v>63.26</v>
      </c>
      <c r="S19" s="2">
        <v>63.09</v>
      </c>
      <c r="T19" s="2">
        <v>62.97</v>
      </c>
      <c r="U19" s="2">
        <v>63.3</v>
      </c>
      <c r="V19" s="2">
        <v>63.33</v>
      </c>
      <c r="W19" s="2">
        <v>63.65</v>
      </c>
      <c r="X19" s="2">
        <v>63.65</v>
      </c>
      <c r="Y19" s="2">
        <v>63.45</v>
      </c>
      <c r="Z19" s="2">
        <v>63.67</v>
      </c>
      <c r="AA19" s="2">
        <v>64.14</v>
      </c>
      <c r="AB19" s="2">
        <v>64.20999999999999</v>
      </c>
      <c r="AC19" s="2">
        <v>64.53</v>
      </c>
      <c r="AD19" s="2">
        <v>65.45</v>
      </c>
      <c r="AE19" s="2">
        <v>66.09999999999999</v>
      </c>
      <c r="AF19" s="2">
        <v>66.29000000000001</v>
      </c>
      <c r="AG19" s="2">
        <v>66.73999999999999</v>
      </c>
      <c r="AH19" s="2">
        <v>66.73</v>
      </c>
      <c r="AI19" s="2">
        <v>66.87</v>
      </c>
      <c r="AJ19" s="2">
        <v>66.97</v>
      </c>
      <c r="AK19" s="2">
        <v>67.31</v>
      </c>
      <c r="AL19" s="2">
        <v>67.84999999999999</v>
      </c>
      <c r="AM19" s="2">
        <v>68.81</v>
      </c>
      <c r="AN19" s="2">
        <v>68.69</v>
      </c>
      <c r="AO19" s="2">
        <v>68.58</v>
      </c>
      <c r="AP19" s="2">
        <v>68.56999999999999</v>
      </c>
      <c r="AQ19" s="2">
        <v>68.54000000000001</v>
      </c>
      <c r="AR19" s="2">
        <v>68.5</v>
      </c>
      <c r="AS19" s="2">
        <v>68.12</v>
      </c>
      <c r="AT19" s="2">
        <v>67.8</v>
      </c>
      <c r="AU19" s="2">
        <v>68.17</v>
      </c>
      <c r="AV19" s="2">
        <v>68.25</v>
      </c>
      <c r="AW19" s="2">
        <v>68.26000000000001</v>
      </c>
      <c r="AX19" s="2">
        <v>67.73</v>
      </c>
      <c r="AY19" s="2">
        <v>67.72</v>
      </c>
      <c r="AZ19" s="2">
        <v>67.70999999999999</v>
      </c>
      <c r="BA19" s="2">
        <v>68.39</v>
      </c>
      <c r="BB19" s="2">
        <v>68.53</v>
      </c>
      <c r="BC19" s="2">
        <v>68.56999999999999</v>
      </c>
      <c r="BD19" s="2">
        <v>68.31999999999999</v>
      </c>
      <c r="BE19" s="2">
        <v>68.58</v>
      </c>
      <c r="BF19" s="2">
        <v>67.84999999999999</v>
      </c>
      <c r="BG19" s="2">
        <v>68.12</v>
      </c>
      <c r="BH19" s="2">
        <v>68.72</v>
      </c>
      <c r="BI19" s="2">
        <v>69.05</v>
      </c>
      <c r="BJ19" s="2">
        <v>69.53</v>
      </c>
      <c r="BK19" s="2">
        <v>70</v>
      </c>
      <c r="BL19" s="2">
        <v>70.36</v>
      </c>
      <c r="BM19" s="2">
        <v>73.91</v>
      </c>
      <c r="BN19" s="2">
        <v>74.8</v>
      </c>
      <c r="BO19" s="2">
        <v>75.5</v>
      </c>
      <c r="BP19" s="2">
        <v>75.75</v>
      </c>
      <c r="BQ19" s="2">
        <v>75.87</v>
      </c>
      <c r="BR19" s="2">
        <v>75.97</v>
      </c>
      <c r="BS19" s="2">
        <v>76.04000000000001</v>
      </c>
      <c r="BT19" s="2">
        <v>76.23999999999999</v>
      </c>
      <c r="BU19" s="2">
        <v>78.63</v>
      </c>
      <c r="BV19" s="2">
        <v>78.98999999999999</v>
      </c>
      <c r="BW19" s="2">
        <v>79.02</v>
      </c>
      <c r="BX19" s="2">
        <v>79.5</v>
      </c>
      <c r="BY19" s="2">
        <v>80.19</v>
      </c>
      <c r="BZ19" s="2">
        <v>80.59</v>
      </c>
      <c r="CA19" s="2">
        <v>80.72</v>
      </c>
      <c r="CB19" s="2">
        <v>82.54000000000001</v>
      </c>
      <c r="CC19" s="2">
        <v>84.06999999999999</v>
      </c>
      <c r="CD19" s="2">
        <v>83.88</v>
      </c>
      <c r="CE19" s="2">
        <v>84.14</v>
      </c>
      <c r="CF19" s="2">
        <v>84</v>
      </c>
      <c r="CG19" s="2">
        <v>84.2</v>
      </c>
      <c r="CH19" s="2">
        <v>84.41</v>
      </c>
      <c r="CI19" s="2">
        <v>84.40000000000001</v>
      </c>
      <c r="CJ19" s="2">
        <v>84.70999999999999</v>
      </c>
      <c r="CK19" s="2">
        <v>85.02</v>
      </c>
      <c r="CL19" s="2">
        <v>86</v>
      </c>
      <c r="CM19" s="2">
        <v>87.97</v>
      </c>
      <c r="CN19" s="2">
        <v>92.18000000000001</v>
      </c>
      <c r="CO19" s="2">
        <v>93.08</v>
      </c>
      <c r="CP19" s="2">
        <v>93.59</v>
      </c>
      <c r="CQ19" s="2">
        <v>93.78</v>
      </c>
      <c r="CR19" s="2">
        <v>94.13</v>
      </c>
      <c r="CS19" s="2">
        <v>94.23999999999999</v>
      </c>
      <c r="CT19" s="2">
        <v>95.79000000000001</v>
      </c>
      <c r="CU19" s="2">
        <v>100.1</v>
      </c>
      <c r="CV19" s="2">
        <v>101.04</v>
      </c>
      <c r="CW19" s="2">
        <v>101.55</v>
      </c>
      <c r="CX19" s="2">
        <v>101.42</v>
      </c>
      <c r="CY19" s="2">
        <v>101.15</v>
      </c>
      <c r="CZ19" s="2">
        <v>100</v>
      </c>
      <c r="DA19" s="2">
        <v>98.84999999999999</v>
      </c>
      <c r="DB19" s="2">
        <v>97.73999999999999</v>
      </c>
      <c r="DC19" s="2">
        <v>96.68000000000001</v>
      </c>
      <c r="DD19" s="2">
        <v>96.62</v>
      </c>
      <c r="DE19" s="2">
        <v>97.39</v>
      </c>
      <c r="DF19" s="2">
        <v>97.47</v>
      </c>
      <c r="DG19" s="2">
        <v>96.45999999999999</v>
      </c>
      <c r="DH19" s="2">
        <v>96.84</v>
      </c>
      <c r="DI19" s="2">
        <v>96.02</v>
      </c>
      <c r="DJ19" s="2">
        <v>96.08</v>
      </c>
      <c r="DK19" s="2">
        <v>-0.7</v>
      </c>
      <c r="DL19" s="2">
        <v>0.6</v>
      </c>
      <c r="DM19" s="2">
        <v>0.2</v>
      </c>
      <c r="DN19" s="2">
        <v>0.5</v>
      </c>
      <c r="DO19" s="2">
        <v>1.3</v>
      </c>
      <c r="DP19" s="2">
        <v>0.5</v>
      </c>
      <c r="DQ19" s="2">
        <v>0.1</v>
      </c>
      <c r="DR19" s="2">
        <v>0.3</v>
      </c>
      <c r="DS19" s="2">
        <v>1.3</v>
      </c>
      <c r="DT19" s="2">
        <v>1.5</v>
      </c>
      <c r="DU19" s="2">
        <v>3.5</v>
      </c>
      <c r="DV19" s="2">
        <v>4.8</v>
      </c>
      <c r="DW19" s="2">
        <v>5.3</v>
      </c>
      <c r="DX19" s="2">
        <v>5.4</v>
      </c>
      <c r="DY19" s="2">
        <v>5.4</v>
      </c>
      <c r="DZ19" s="2">
        <v>5.1</v>
      </c>
      <c r="EA19" s="2">
        <v>5.2</v>
      </c>
      <c r="EB19" s="2">
        <v>6.1</v>
      </c>
      <c r="EC19" s="2">
        <v>6.6</v>
      </c>
      <c r="ED19" s="2">
        <v>7.3</v>
      </c>
      <c r="EE19" s="2">
        <v>7</v>
      </c>
      <c r="EF19" s="2">
        <v>6.3</v>
      </c>
      <c r="EG19" s="2">
        <v>4.8</v>
      </c>
      <c r="EH19" s="2">
        <v>3.7</v>
      </c>
      <c r="EI19" s="2">
        <v>3.3</v>
      </c>
      <c r="EJ19" s="2">
        <v>2.1</v>
      </c>
      <c r="EK19" s="2">
        <v>1.6</v>
      </c>
      <c r="EL19" s="2">
        <v>1.9</v>
      </c>
      <c r="EM19" s="2">
        <v>1.9</v>
      </c>
      <c r="EN19" s="2">
        <v>1.4</v>
      </c>
      <c r="EO19" s="2">
        <v>-0.2</v>
      </c>
      <c r="EP19" s="2">
        <v>-1.6</v>
      </c>
      <c r="EQ19" s="2">
        <v>-1.4</v>
      </c>
      <c r="ER19" s="2">
        <v>-0.3</v>
      </c>
      <c r="ES19" s="2">
        <v>-0.1</v>
      </c>
      <c r="ET19" s="2">
        <v>0</v>
      </c>
      <c r="EU19" s="2">
        <v>-0.3</v>
      </c>
      <c r="EV19" s="2">
        <v>0.7</v>
      </c>
      <c r="EW19" s="2">
        <v>0.1</v>
      </c>
      <c r="EX19" s="2">
        <v>-0.1</v>
      </c>
      <c r="EY19" s="2">
        <v>0.7</v>
      </c>
      <c r="EZ19" s="2">
        <v>1.2</v>
      </c>
      <c r="FA19" s="2">
        <v>2.7</v>
      </c>
      <c r="FB19" s="2">
        <v>3.4</v>
      </c>
      <c r="FC19" s="2">
        <v>3.9</v>
      </c>
      <c r="FD19" s="2">
        <v>8.1</v>
      </c>
      <c r="FE19" s="2">
        <v>9.1</v>
      </c>
      <c r="FF19" s="2">
        <v>10.1</v>
      </c>
      <c r="FG19" s="2">
        <v>10.9</v>
      </c>
      <c r="FH19" s="2">
        <v>10.6</v>
      </c>
      <c r="FI19" s="2">
        <v>12</v>
      </c>
      <c r="FJ19" s="2">
        <v>11.6</v>
      </c>
      <c r="FK19" s="2">
        <v>10.9</v>
      </c>
      <c r="FL19" s="2">
        <v>13.9</v>
      </c>
      <c r="FM19" s="2">
        <v>13.6</v>
      </c>
      <c r="FN19" s="2">
        <v>12.9</v>
      </c>
      <c r="FO19" s="2">
        <v>13</v>
      </c>
      <c r="FP19" s="2">
        <v>8.5</v>
      </c>
      <c r="FQ19" s="2">
        <v>7.7</v>
      </c>
      <c r="FR19" s="2">
        <v>6.9</v>
      </c>
      <c r="FS19" s="2">
        <v>9</v>
      </c>
      <c r="FT19" s="2">
        <v>10.8</v>
      </c>
      <c r="FU19" s="2">
        <v>10.4</v>
      </c>
      <c r="FV19" s="2">
        <v>10.7</v>
      </c>
      <c r="FW19" s="2">
        <v>10.2</v>
      </c>
      <c r="FX19" s="2">
        <v>7.1</v>
      </c>
      <c r="FY19" s="2">
        <v>6.9</v>
      </c>
      <c r="FZ19" s="2">
        <v>6.8</v>
      </c>
      <c r="GA19" s="2">
        <v>6.6</v>
      </c>
      <c r="GB19" s="2">
        <v>6</v>
      </c>
      <c r="GC19" s="2">
        <v>6.7</v>
      </c>
      <c r="GD19" s="2">
        <v>9</v>
      </c>
      <c r="GE19" s="2">
        <v>11.7</v>
      </c>
      <c r="GF19" s="2">
        <v>10.7</v>
      </c>
      <c r="GG19" s="2">
        <v>11.6</v>
      </c>
      <c r="GH19" s="2">
        <v>11.5</v>
      </c>
      <c r="GI19" s="2">
        <v>12.1</v>
      </c>
      <c r="GJ19" s="2">
        <v>11.9</v>
      </c>
      <c r="GK19" s="2">
        <v>13.5</v>
      </c>
      <c r="GL19" s="2">
        <v>18.6</v>
      </c>
      <c r="GM19" s="2">
        <v>19.3</v>
      </c>
      <c r="GN19" s="2">
        <v>19.4</v>
      </c>
      <c r="GO19" s="2">
        <v>17.9</v>
      </c>
      <c r="GP19" s="2">
        <v>15</v>
      </c>
      <c r="GQ19" s="2">
        <v>8.5</v>
      </c>
      <c r="GR19" s="2">
        <v>6.2</v>
      </c>
      <c r="GS19" s="2">
        <v>4.4</v>
      </c>
      <c r="GT19" s="2">
        <v>3.1</v>
      </c>
      <c r="GU19" s="2">
        <v>2.6</v>
      </c>
      <c r="GV19" s="2">
        <v>3.3</v>
      </c>
      <c r="GW19" s="2">
        <v>1.8</v>
      </c>
      <c r="GX19" s="2">
        <v>-3.6</v>
      </c>
      <c r="GY19" s="2">
        <v>-4.2</v>
      </c>
      <c r="GZ19" s="2">
        <v>-5.4</v>
      </c>
      <c r="HA19" s="2">
        <v>-5.3</v>
      </c>
      <c r="HB19" s="2">
        <v>-0.7</v>
      </c>
      <c r="HC19" s="2">
        <v>0.5</v>
      </c>
      <c r="HD19" s="2">
        <v>0.2</v>
      </c>
      <c r="HE19" s="2">
        <v>-0.7</v>
      </c>
      <c r="HF19" s="2">
        <v>0.4</v>
      </c>
      <c r="HG19" s="2">
        <v>0.8</v>
      </c>
      <c r="HH19" s="2">
        <v>0.5</v>
      </c>
      <c r="HI19" s="2">
        <v>-0.8</v>
      </c>
      <c r="HJ19" s="2">
        <v>0.3</v>
      </c>
      <c r="HK19" s="2">
        <v>-0.5</v>
      </c>
      <c r="HL19" s="2">
        <v>-0.3</v>
      </c>
      <c r="HM19" s="2">
        <v>-0.2</v>
      </c>
      <c r="HN19" s="2">
        <v>0.5</v>
      </c>
      <c r="HO19" s="2">
        <v>0</v>
      </c>
      <c r="HP19" s="2">
        <v>0.5</v>
      </c>
      <c r="HQ19" s="2">
        <v>0</v>
      </c>
      <c r="HR19" s="2">
        <v>-0.3</v>
      </c>
      <c r="HS19" s="2">
        <v>0.3</v>
      </c>
      <c r="HT19" s="2">
        <v>0.7</v>
      </c>
      <c r="HU19" s="2">
        <v>0.1</v>
      </c>
      <c r="HV19" s="2">
        <v>0.5</v>
      </c>
      <c r="HW19" s="2">
        <v>1.4</v>
      </c>
      <c r="HX19" s="2">
        <v>1</v>
      </c>
      <c r="HY19" s="2">
        <v>0.3</v>
      </c>
      <c r="HZ19" s="2">
        <v>0.7</v>
      </c>
      <c r="IA19" s="2">
        <v>0</v>
      </c>
      <c r="IB19" s="2">
        <v>0.2</v>
      </c>
      <c r="IC19" s="2">
        <v>0.1</v>
      </c>
      <c r="ID19" s="2">
        <v>0.5</v>
      </c>
      <c r="IE19" s="2">
        <v>0.8</v>
      </c>
      <c r="IF19" s="2">
        <v>1.4</v>
      </c>
      <c r="IG19" s="2">
        <v>-0.2</v>
      </c>
      <c r="IH19" s="2">
        <v>-0.2</v>
      </c>
      <c r="II19" s="2">
        <v>0</v>
      </c>
      <c r="IJ19" s="2">
        <v>0</v>
      </c>
      <c r="IK19" s="2">
        <v>-0.1</v>
      </c>
      <c r="IL19" s="2">
        <v>-0.6</v>
      </c>
      <c r="IM19" s="2">
        <v>-0.5</v>
      </c>
      <c r="IN19" s="2">
        <v>0.5</v>
      </c>
      <c r="IO19" s="2">
        <v>0.1</v>
      </c>
      <c r="IP19" s="2">
        <v>0</v>
      </c>
      <c r="IQ19" s="2">
        <v>-0.8</v>
      </c>
      <c r="IR19" s="2">
        <v>0</v>
      </c>
      <c r="IS19" s="2">
        <v>0</v>
      </c>
      <c r="IT19" s="2">
        <v>1</v>
      </c>
      <c r="IU19" s="2">
        <v>0.2</v>
      </c>
      <c r="IV19" s="2">
        <v>0.1</v>
      </c>
      <c r="IW19" s="2">
        <v>-0.4</v>
      </c>
      <c r="IX19" s="2">
        <v>0.4</v>
      </c>
      <c r="IY19" s="2">
        <v>-1.1</v>
      </c>
      <c r="IZ19" s="2">
        <v>0.4</v>
      </c>
      <c r="JA19" s="2">
        <v>0.9</v>
      </c>
      <c r="JB19" s="2">
        <v>0.5</v>
      </c>
      <c r="JC19" s="2">
        <v>0.7</v>
      </c>
      <c r="JD19" s="2">
        <v>0.7</v>
      </c>
      <c r="JE19" s="2">
        <v>0.5</v>
      </c>
      <c r="JF19" s="2">
        <v>5</v>
      </c>
      <c r="JG19" s="2">
        <v>1.2</v>
      </c>
      <c r="JH19" s="2">
        <v>0.9</v>
      </c>
      <c r="JI19" s="2">
        <v>0.3</v>
      </c>
      <c r="JJ19" s="2">
        <v>0.2</v>
      </c>
      <c r="JK19" s="2">
        <v>0.1</v>
      </c>
      <c r="JL19" s="2">
        <v>0.1</v>
      </c>
      <c r="JM19" s="2">
        <v>0.3</v>
      </c>
      <c r="JN19" s="2">
        <v>3.1</v>
      </c>
      <c r="JO19" s="2">
        <v>0.5</v>
      </c>
      <c r="JP19" s="2">
        <v>0</v>
      </c>
      <c r="JQ19" s="2">
        <v>0.6</v>
      </c>
      <c r="JR19" s="2">
        <v>0.9</v>
      </c>
      <c r="JS19" s="2">
        <v>0.5</v>
      </c>
      <c r="JT19" s="2">
        <v>0.2</v>
      </c>
      <c r="JU19" s="2">
        <v>2.3</v>
      </c>
      <c r="JV19" s="2">
        <v>1.9</v>
      </c>
      <c r="JW19" s="2">
        <v>-0.2</v>
      </c>
      <c r="JX19" s="2">
        <v>0.3</v>
      </c>
      <c r="JY19" s="2">
        <v>-0.2</v>
      </c>
      <c r="JZ19" s="2">
        <v>0.2</v>
      </c>
      <c r="KA19" s="2">
        <v>0.2</v>
      </c>
      <c r="KB19" s="2">
        <v>0</v>
      </c>
      <c r="KC19" s="2">
        <v>0.4</v>
      </c>
      <c r="KD19" s="2">
        <v>0.4</v>
      </c>
      <c r="KE19" s="2">
        <v>1.2</v>
      </c>
      <c r="KF19" s="2">
        <v>2.3</v>
      </c>
      <c r="KG19" s="2">
        <v>4.8</v>
      </c>
      <c r="KH19" s="2">
        <v>1</v>
      </c>
      <c r="KI19" s="2">
        <v>0.5</v>
      </c>
      <c r="KJ19" s="2">
        <v>0.2</v>
      </c>
      <c r="KK19" s="2">
        <v>0.4</v>
      </c>
      <c r="KL19" s="2">
        <v>0.1</v>
      </c>
      <c r="KM19" s="2">
        <v>1.6</v>
      </c>
      <c r="KN19" s="2">
        <v>4.5</v>
      </c>
      <c r="KO19" s="2">
        <v>0.9</v>
      </c>
      <c r="KP19" s="2">
        <v>0.5</v>
      </c>
      <c r="KQ19" s="2">
        <v>-0.1</v>
      </c>
      <c r="KR19" s="2">
        <v>-0.3</v>
      </c>
      <c r="KS19" s="2">
        <v>-1.1</v>
      </c>
      <c r="KT19" s="2">
        <v>-1.2</v>
      </c>
      <c r="KU19" s="2">
        <v>-1.1</v>
      </c>
      <c r="KV19" s="2">
        <v>-1.1</v>
      </c>
      <c r="KW19" s="2">
        <v>-0.1</v>
      </c>
      <c r="KX19" s="2">
        <v>0.8</v>
      </c>
      <c r="KY19" s="2">
        <v>0.1</v>
      </c>
      <c r="KZ19" s="2">
        <v>-1</v>
      </c>
      <c r="LA19" s="2">
        <v>0.4</v>
      </c>
      <c r="LB19" s="2">
        <v>-0.8</v>
      </c>
      <c r="LC19" s="2">
        <v>0.1</v>
      </c>
      <c r="LD19" s="2">
        <v>0.13</v>
      </c>
      <c r="LE19" s="2">
        <v>0.13</v>
      </c>
      <c r="LF19" s="2">
        <v>0.13</v>
      </c>
      <c r="LG19" s="2">
        <v>0.13</v>
      </c>
      <c r="LH19" s="2">
        <v>0.14</v>
      </c>
      <c r="LI19" s="2">
        <v>0.14</v>
      </c>
      <c r="LJ19" s="2">
        <v>0.14</v>
      </c>
      <c r="LK19" s="2">
        <v>0.14</v>
      </c>
      <c r="LL19" s="2">
        <v>0.14</v>
      </c>
      <c r="LM19" s="2">
        <v>0.14</v>
      </c>
      <c r="LN19" s="2">
        <v>0.14</v>
      </c>
      <c r="LO19" s="2">
        <v>0.14</v>
      </c>
      <c r="LP19" s="2">
        <v>0.14</v>
      </c>
      <c r="LQ19" s="2">
        <v>0.14</v>
      </c>
      <c r="LR19" s="2">
        <v>0.14</v>
      </c>
      <c r="LS19" s="2">
        <v>0.14</v>
      </c>
      <c r="LT19" s="2">
        <v>0.14</v>
      </c>
      <c r="LU19" s="2">
        <v>0.14</v>
      </c>
      <c r="LV19" s="2">
        <v>0.13</v>
      </c>
      <c r="LW19" s="2">
        <v>0.14</v>
      </c>
      <c r="LX19" s="2">
        <v>0</v>
      </c>
      <c r="LY19" s="2">
        <v>0</v>
      </c>
      <c r="LZ19" s="2">
        <v>0</v>
      </c>
      <c r="MA19" s="2">
        <v>0.01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-0.01</v>
      </c>
      <c r="MP19" s="2">
        <v>0.01</v>
      </c>
      <c r="RO19" s="2">
        <v>21.28</v>
      </c>
      <c r="RP19" s="2">
        <v>21.81</v>
      </c>
      <c r="RQ19" s="2">
        <v>22.73</v>
      </c>
      <c r="RR19" s="2">
        <v>23.86</v>
      </c>
      <c r="RS19" s="2">
        <v>23.86</v>
      </c>
      <c r="RT19" s="2">
        <v>23.89</v>
      </c>
      <c r="RU19" s="2">
        <v>24.17</v>
      </c>
      <c r="RV19" s="2">
        <v>24.6</v>
      </c>
      <c r="RW19" s="2">
        <v>25</v>
      </c>
      <c r="RX19" s="2">
        <v>25.8</v>
      </c>
      <c r="RY19" s="2">
        <v>26.35</v>
      </c>
      <c r="RZ19" s="2">
        <v>26.87</v>
      </c>
      <c r="SA19" s="2">
        <v>27.27</v>
      </c>
      <c r="SB19" s="2">
        <v>26.47</v>
      </c>
      <c r="SC19" s="2">
        <v>26.35</v>
      </c>
      <c r="SD19" s="2">
        <v>26.35</v>
      </c>
      <c r="SE19" s="2">
        <v>26.17</v>
      </c>
      <c r="SF19" s="2">
        <v>26.23</v>
      </c>
      <c r="SG19" s="2">
        <v>26.69</v>
      </c>
      <c r="SH19" s="2">
        <v>26.78</v>
      </c>
      <c r="SI19" s="2">
        <v>27.76</v>
      </c>
      <c r="SJ19" s="2">
        <v>27.86</v>
      </c>
      <c r="SK19" s="2">
        <v>28.04</v>
      </c>
      <c r="SL19" s="2">
        <v>27.73</v>
      </c>
      <c r="SM19" s="2">
        <v>27.52</v>
      </c>
      <c r="SN19" s="2">
        <v>27.37</v>
      </c>
      <c r="SO19" s="2">
        <v>27.76</v>
      </c>
      <c r="SP19" s="2">
        <v>27.83</v>
      </c>
      <c r="SQ19" s="2">
        <v>27.92</v>
      </c>
      <c r="SR19" s="2">
        <v>27.92</v>
      </c>
      <c r="SS19" s="2">
        <v>28.47</v>
      </c>
      <c r="ST19" s="2">
        <v>29.58</v>
      </c>
      <c r="SU19" s="2">
        <v>31.39</v>
      </c>
      <c r="SV19" s="2">
        <v>31.66</v>
      </c>
      <c r="SW19" s="2">
        <v>31.97</v>
      </c>
      <c r="SX19" s="2">
        <v>32.52</v>
      </c>
      <c r="SY19" s="2">
        <v>31.14</v>
      </c>
      <c r="SZ19" s="2">
        <v>30.93</v>
      </c>
      <c r="TA19" s="2">
        <v>30.34</v>
      </c>
      <c r="TB19" s="2">
        <v>30.47</v>
      </c>
      <c r="TC19" s="2">
        <v>30.9</v>
      </c>
      <c r="TD19" s="2">
        <v>30.77</v>
      </c>
      <c r="TE19" s="2">
        <v>30.47</v>
      </c>
      <c r="TF19" s="2">
        <v>30.77</v>
      </c>
      <c r="TG19" s="2">
        <v>30.1</v>
      </c>
      <c r="TH19" s="2">
        <v>29.67</v>
      </c>
      <c r="TI19" s="2">
        <v>29.58</v>
      </c>
      <c r="TJ19" s="2">
        <v>30.34</v>
      </c>
      <c r="TK19" s="2">
        <v>31.14</v>
      </c>
      <c r="TL19" s="2">
        <v>32.19</v>
      </c>
      <c r="TM19" s="2">
        <v>31.79</v>
      </c>
      <c r="TN19" s="2">
        <v>31.57</v>
      </c>
      <c r="TO19" s="2">
        <v>32.28</v>
      </c>
      <c r="TP19" s="2">
        <v>32.03</v>
      </c>
      <c r="TQ19" s="2">
        <v>32.16</v>
      </c>
      <c r="TR19" s="2">
        <v>32</v>
      </c>
      <c r="TS19" s="2">
        <v>32</v>
      </c>
      <c r="TT19" s="2">
        <v>31.82</v>
      </c>
      <c r="TU19" s="2">
        <v>32.89</v>
      </c>
      <c r="TV19" s="2">
        <v>34.43</v>
      </c>
      <c r="TW19" s="2">
        <v>38.64</v>
      </c>
      <c r="TX19" s="2">
        <v>39.62</v>
      </c>
      <c r="TY19" s="2">
        <v>40.05</v>
      </c>
      <c r="TZ19" s="2">
        <v>41.59</v>
      </c>
      <c r="UA19" s="2">
        <v>43.06</v>
      </c>
      <c r="UB19" s="2">
        <v>43.18</v>
      </c>
      <c r="UC19" s="2">
        <v>43.15</v>
      </c>
      <c r="UD19" s="2">
        <v>44.26</v>
      </c>
      <c r="UE19" s="2">
        <v>44.2</v>
      </c>
      <c r="UF19" s="2">
        <v>44.81</v>
      </c>
      <c r="UG19" s="2">
        <v>43.92</v>
      </c>
      <c r="UH19" s="2">
        <v>44.1</v>
      </c>
      <c r="UI19" s="2">
        <v>44.7</v>
      </c>
      <c r="UJ19" s="2">
        <v>43.86</v>
      </c>
      <c r="UK19" s="2">
        <v>44.63</v>
      </c>
      <c r="UL19" s="2">
        <v>46.01</v>
      </c>
      <c r="UM19" s="2">
        <v>47.3</v>
      </c>
      <c r="UN19" s="2">
        <v>46.79</v>
      </c>
      <c r="UO19" s="2">
        <v>46.68</v>
      </c>
      <c r="UP19" s="2">
        <v>46.92</v>
      </c>
      <c r="UQ19" s="2">
        <v>46.2</v>
      </c>
      <c r="UR19" s="2">
        <v>45.43</v>
      </c>
      <c r="US19" s="2">
        <v>45.88</v>
      </c>
      <c r="UT19" s="2">
        <v>48.55</v>
      </c>
      <c r="UU19" s="2">
        <v>49.94</v>
      </c>
      <c r="UV19" s="2">
        <v>50.68</v>
      </c>
      <c r="UW19" s="2">
        <v>50.63</v>
      </c>
      <c r="UX19" s="2">
        <v>50.82</v>
      </c>
      <c r="UY19" s="2">
        <v>50.89</v>
      </c>
      <c r="UZ19" s="2">
        <v>48.53</v>
      </c>
      <c r="VA19" s="2">
        <v>55.28</v>
      </c>
      <c r="VB19" s="2">
        <v>56.76</v>
      </c>
      <c r="VC19" s="2">
        <v>56.39</v>
      </c>
      <c r="VD19" s="2">
        <v>54.81</v>
      </c>
      <c r="VE19" s="2">
        <v>55.33</v>
      </c>
      <c r="VF19" s="2">
        <v>54.8</v>
      </c>
      <c r="VG19" s="2">
        <v>54.34</v>
      </c>
      <c r="VH19" s="2">
        <v>54.9</v>
      </c>
      <c r="VI19" s="2">
        <v>53.56</v>
      </c>
      <c r="VJ19" s="2">
        <v>52.44</v>
      </c>
      <c r="VK19" s="2">
        <v>53.25</v>
      </c>
      <c r="VL19" s="2">
        <v>54.55</v>
      </c>
      <c r="VM19" s="2">
        <v>53.82</v>
      </c>
      <c r="VN19" s="2">
        <v>56.02</v>
      </c>
      <c r="VO19" s="2">
        <v>56.73</v>
      </c>
      <c r="VP19" s="2">
        <v>59.43</v>
      </c>
      <c r="VQ19" s="2">
        <v>61.6</v>
      </c>
      <c r="VR19" s="2">
        <v>62.32</v>
      </c>
      <c r="VS19" s="2">
        <v>62.3</v>
      </c>
      <c r="VT19" s="2">
        <v>62</v>
      </c>
      <c r="VU19" s="2">
        <v>65.22</v>
      </c>
      <c r="VV19" s="2">
        <v>63.27</v>
      </c>
      <c r="VW19" s="2">
        <v>63.84</v>
      </c>
      <c r="VX19" s="2">
        <v>63.51</v>
      </c>
      <c r="VY19" s="2">
        <v>63.99</v>
      </c>
      <c r="VZ19" s="2">
        <v>63.99</v>
      </c>
      <c r="WA19" s="2">
        <v>63.18</v>
      </c>
      <c r="WB19" s="2">
        <v>62.71</v>
      </c>
      <c r="WC19" s="2">
        <v>61.09</v>
      </c>
      <c r="WD19" s="2">
        <v>61.27</v>
      </c>
      <c r="WE19" s="2">
        <v>61.46</v>
      </c>
      <c r="WF19" s="2">
        <v>61.21</v>
      </c>
      <c r="WG19" s="2">
        <v>61.29</v>
      </c>
      <c r="WH19" s="2">
        <v>61.16</v>
      </c>
      <c r="WI19" s="2">
        <v>60.85</v>
      </c>
      <c r="WJ19" s="2">
        <v>60.71</v>
      </c>
      <c r="WK19" s="2">
        <v>61.65</v>
      </c>
      <c r="WL19" s="2">
        <v>61.79</v>
      </c>
      <c r="WM19" s="2">
        <v>62.12</v>
      </c>
      <c r="WN19" s="2">
        <v>63.41</v>
      </c>
      <c r="WO19" s="2">
        <v>63.31</v>
      </c>
      <c r="WP19" s="2">
        <v>63.83</v>
      </c>
      <c r="WQ19" s="2">
        <v>64.05</v>
      </c>
      <c r="WR19" s="2">
        <v>65.91</v>
      </c>
      <c r="WS19" s="2">
        <v>66.73</v>
      </c>
      <c r="WT19" s="2">
        <v>68.56999999999999</v>
      </c>
      <c r="WU19" s="2">
        <v>68.84999999999999</v>
      </c>
      <c r="WV19" s="2">
        <v>67.09</v>
      </c>
      <c r="WW19" s="2">
        <v>66.64</v>
      </c>
      <c r="WX19" s="2">
        <v>66.94</v>
      </c>
      <c r="WY19" s="2">
        <v>66.89</v>
      </c>
      <c r="WZ19" s="2">
        <v>65.73</v>
      </c>
      <c r="XA19" s="2">
        <v>65.95999999999999</v>
      </c>
      <c r="XB19" s="2">
        <v>66.61</v>
      </c>
      <c r="XC19" s="2">
        <v>66.81</v>
      </c>
      <c r="XD19" s="2">
        <v>66.42</v>
      </c>
      <c r="XE19" s="2">
        <v>66.55</v>
      </c>
      <c r="XF19" s="2">
        <v>66.01000000000001</v>
      </c>
      <c r="XG19" s="2">
        <v>63.74</v>
      </c>
      <c r="XH19" s="2">
        <v>63.15</v>
      </c>
      <c r="XI19" s="2">
        <v>63.2</v>
      </c>
      <c r="XJ19" s="2">
        <v>63.62</v>
      </c>
      <c r="XK19" s="2">
        <v>63.05</v>
      </c>
      <c r="XL19" s="2">
        <v>63.36</v>
      </c>
      <c r="XM19" s="2">
        <v>63.5</v>
      </c>
      <c r="XN19" s="2">
        <v>64.15000000000001</v>
      </c>
      <c r="XO19" s="2">
        <v>65.84999999999999</v>
      </c>
      <c r="XP19" s="2">
        <v>66.66</v>
      </c>
      <c r="XQ19" s="2">
        <v>67.31999999999999</v>
      </c>
      <c r="XR19" s="2">
        <v>68.65000000000001</v>
      </c>
      <c r="XS19" s="2">
        <v>68.47</v>
      </c>
      <c r="XT19" s="2">
        <v>67.92</v>
      </c>
      <c r="XU19" s="2">
        <v>67.93000000000001</v>
      </c>
      <c r="XV19" s="2">
        <v>67.64</v>
      </c>
      <c r="XW19" s="2">
        <v>68.26000000000001</v>
      </c>
      <c r="XX19" s="2">
        <v>67.98999999999999</v>
      </c>
      <c r="XY19" s="2">
        <v>69</v>
      </c>
      <c r="XZ19" s="2">
        <v>71.56</v>
      </c>
      <c r="YA19" s="2">
        <v>75.34999999999999</v>
      </c>
      <c r="YB19" s="2">
        <v>75.95999999999999</v>
      </c>
      <c r="YC19" s="2">
        <v>77.95</v>
      </c>
      <c r="YD19" s="2">
        <v>79.56999999999999</v>
      </c>
      <c r="YE19" s="2">
        <v>81.28</v>
      </c>
      <c r="YF19" s="2">
        <v>84.03</v>
      </c>
      <c r="YG19" s="2">
        <v>84.20999999999999</v>
      </c>
      <c r="YH19" s="2">
        <v>84.70999999999999</v>
      </c>
      <c r="YI19" s="2">
        <v>88.72</v>
      </c>
      <c r="YJ19" s="2">
        <v>93.48</v>
      </c>
      <c r="YK19" s="2">
        <v>94.72</v>
      </c>
      <c r="YL19" s="2">
        <v>100.9</v>
      </c>
      <c r="YM19" s="2">
        <v>100.86</v>
      </c>
      <c r="YN19" s="2">
        <v>97.76000000000001</v>
      </c>
      <c r="YO19" s="2">
        <v>97.16</v>
      </c>
      <c r="YP19" s="2">
        <v>96.44</v>
      </c>
      <c r="ADO19" s="2">
        <v>2.5</v>
      </c>
      <c r="ADP19" s="2">
        <v>4.2</v>
      </c>
      <c r="ADQ19" s="2">
        <v>5</v>
      </c>
      <c r="ADR19" s="2">
        <v>0</v>
      </c>
      <c r="ADS19" s="2">
        <v>0.1</v>
      </c>
      <c r="ADT19" s="2">
        <v>1.2</v>
      </c>
      <c r="ADU19" s="2">
        <v>1.8</v>
      </c>
      <c r="ADV19" s="2">
        <v>1.6</v>
      </c>
      <c r="ADW19" s="2">
        <v>3.2</v>
      </c>
      <c r="ADX19" s="2">
        <v>2.1</v>
      </c>
      <c r="ADY19" s="2">
        <v>2</v>
      </c>
      <c r="ADZ19" s="2">
        <v>1.5</v>
      </c>
      <c r="AEA19" s="2">
        <v>-2.9</v>
      </c>
      <c r="AEB19" s="2">
        <v>-0.5</v>
      </c>
      <c r="AEC19" s="2">
        <v>0</v>
      </c>
      <c r="AED19" s="2">
        <v>-0.7</v>
      </c>
      <c r="AEE19" s="2">
        <v>0.2</v>
      </c>
      <c r="AEF19" s="2">
        <v>1.8</v>
      </c>
      <c r="AEG19" s="2">
        <v>0.3</v>
      </c>
      <c r="AEH19" s="2">
        <v>3.7</v>
      </c>
      <c r="AEI19" s="2">
        <v>0.4</v>
      </c>
      <c r="AEJ19" s="2">
        <v>0.6</v>
      </c>
      <c r="AEK19" s="2">
        <v>-1.1</v>
      </c>
      <c r="AEL19" s="2">
        <v>-0.8</v>
      </c>
      <c r="AEM19" s="2">
        <v>-0.5</v>
      </c>
      <c r="AEN19" s="2">
        <v>1.4</v>
      </c>
      <c r="AEO19" s="2">
        <v>0.3</v>
      </c>
      <c r="AEP19" s="2">
        <v>0.3</v>
      </c>
      <c r="AEQ19" s="2">
        <v>0</v>
      </c>
      <c r="AER19" s="2">
        <v>2</v>
      </c>
      <c r="AES19" s="2">
        <v>3.9</v>
      </c>
      <c r="AET19" s="2">
        <v>6.1</v>
      </c>
      <c r="AEU19" s="2">
        <v>0.9</v>
      </c>
      <c r="AEV19" s="2">
        <v>1</v>
      </c>
      <c r="AEW19" s="2">
        <v>1.7</v>
      </c>
      <c r="AEX19" s="2">
        <v>-4.2</v>
      </c>
      <c r="AEY19" s="2">
        <v>-0.7</v>
      </c>
      <c r="AEZ19" s="2">
        <v>-1.9</v>
      </c>
      <c r="AFA19" s="2">
        <v>0.4</v>
      </c>
      <c r="AFB19" s="2">
        <v>1.4</v>
      </c>
      <c r="AFC19" s="2">
        <v>-0.4</v>
      </c>
      <c r="AFD19" s="2">
        <v>-1</v>
      </c>
      <c r="AFE19" s="2">
        <v>1</v>
      </c>
      <c r="AFF19" s="2">
        <v>-2.2</v>
      </c>
      <c r="AFG19" s="2">
        <v>-1.4</v>
      </c>
      <c r="AFH19" s="2">
        <v>-0.3</v>
      </c>
      <c r="AFI19" s="2">
        <v>2.6</v>
      </c>
      <c r="AFJ19" s="2">
        <v>2.6</v>
      </c>
      <c r="AFK19" s="2">
        <v>3.4</v>
      </c>
      <c r="AFL19" s="2">
        <v>-1.2</v>
      </c>
      <c r="AFM19" s="2">
        <v>-0.7</v>
      </c>
      <c r="AFN19" s="2">
        <v>2.2</v>
      </c>
      <c r="AFO19" s="2">
        <v>-0.8</v>
      </c>
      <c r="AFP19" s="2">
        <v>0.4</v>
      </c>
      <c r="AFQ19" s="2">
        <v>-0.5</v>
      </c>
      <c r="AFR19" s="2">
        <v>0</v>
      </c>
      <c r="AFS19" s="2">
        <v>-0.6</v>
      </c>
      <c r="AFT19" s="2">
        <v>3.4</v>
      </c>
      <c r="AFU19" s="2">
        <v>4.7</v>
      </c>
      <c r="AFV19" s="2">
        <v>12.2</v>
      </c>
      <c r="AFW19" s="2">
        <v>2.5</v>
      </c>
      <c r="AFX19" s="2">
        <v>1.1</v>
      </c>
      <c r="AFY19" s="2">
        <v>3.8</v>
      </c>
      <c r="AFZ19" s="2">
        <v>3.5</v>
      </c>
      <c r="AGA19" s="2">
        <v>0.3</v>
      </c>
      <c r="AGB19" s="2">
        <v>-0.1</v>
      </c>
      <c r="AGC19" s="2">
        <v>2.6</v>
      </c>
      <c r="AGD19" s="2">
        <v>-0.1</v>
      </c>
      <c r="AGE19" s="2">
        <v>1.4</v>
      </c>
      <c r="AGF19" s="2">
        <v>-2</v>
      </c>
      <c r="AGG19" s="2">
        <v>0.4</v>
      </c>
      <c r="AGH19" s="2">
        <v>1.4</v>
      </c>
      <c r="AGI19" s="2">
        <v>-1.9</v>
      </c>
      <c r="AGJ19" s="2">
        <v>1.8</v>
      </c>
      <c r="AGK19" s="2">
        <v>3.1</v>
      </c>
      <c r="AGL19" s="2">
        <v>2.8</v>
      </c>
      <c r="AGM19" s="2">
        <v>-1.1</v>
      </c>
      <c r="AGN19" s="2">
        <v>-0.2</v>
      </c>
      <c r="AGO19" s="2">
        <v>0.5</v>
      </c>
      <c r="AGP19" s="2">
        <v>-1.5</v>
      </c>
      <c r="AGQ19" s="2">
        <v>-1.7</v>
      </c>
      <c r="AGR19" s="2">
        <v>1</v>
      </c>
      <c r="AGS19" s="2">
        <v>5.8</v>
      </c>
      <c r="AGT19" s="2">
        <v>2.9</v>
      </c>
      <c r="AGU19" s="2">
        <v>1.5</v>
      </c>
      <c r="AGV19" s="2">
        <v>-0.1</v>
      </c>
      <c r="AGW19" s="2">
        <v>0.4</v>
      </c>
      <c r="AGX19" s="2">
        <v>0.1</v>
      </c>
      <c r="AGY19" s="2">
        <v>-4.6</v>
      </c>
      <c r="AGZ19" s="2">
        <v>13.9</v>
      </c>
      <c r="AHA19" s="2">
        <v>2.7</v>
      </c>
      <c r="AHB19" s="2">
        <v>-0.7</v>
      </c>
      <c r="AHC19" s="2">
        <v>-2.8</v>
      </c>
      <c r="AHD19" s="2">
        <v>0.9</v>
      </c>
      <c r="AHE19" s="2">
        <v>-1</v>
      </c>
      <c r="AHF19" s="2">
        <v>-0.8</v>
      </c>
      <c r="AHG19" s="2">
        <v>1</v>
      </c>
      <c r="AHH19" s="2">
        <v>-2.4</v>
      </c>
      <c r="AHI19" s="2">
        <v>-2.1</v>
      </c>
      <c r="AHJ19" s="2">
        <v>1.5</v>
      </c>
      <c r="AHK19" s="2">
        <v>2.4</v>
      </c>
      <c r="AHL19" s="2">
        <v>-1.3</v>
      </c>
      <c r="AHM19" s="2">
        <v>4.1</v>
      </c>
      <c r="AHN19" s="2">
        <v>1.3</v>
      </c>
      <c r="AHO19" s="2">
        <v>4.8</v>
      </c>
      <c r="AHP19" s="2">
        <v>3.7</v>
      </c>
      <c r="AHQ19" s="2">
        <v>1.2</v>
      </c>
      <c r="AHR19" s="2">
        <v>0</v>
      </c>
      <c r="AHS19" s="2">
        <v>-0.5</v>
      </c>
      <c r="AHT19" s="2">
        <v>5.2</v>
      </c>
      <c r="AHU19" s="2">
        <v>-3</v>
      </c>
      <c r="AHV19" s="2">
        <v>0.9</v>
      </c>
      <c r="AHW19" s="2">
        <v>-0.5</v>
      </c>
      <c r="AHX19" s="2">
        <v>0.8</v>
      </c>
      <c r="AHY19" s="2">
        <v>0</v>
      </c>
      <c r="AHZ19" s="2">
        <v>-1.3</v>
      </c>
      <c r="AIA19" s="2">
        <v>-0.7</v>
      </c>
      <c r="AIB19" s="2">
        <v>-2.6</v>
      </c>
      <c r="AIC19" s="2">
        <v>0.3</v>
      </c>
      <c r="AID19" s="2">
        <v>0.3</v>
      </c>
      <c r="AIE19" s="2">
        <v>-0.4</v>
      </c>
      <c r="AIF19" s="2">
        <v>0.1</v>
      </c>
      <c r="AIG19" s="2">
        <v>-0.2</v>
      </c>
      <c r="AIH19" s="2">
        <v>-0.5</v>
      </c>
      <c r="AII19" s="2">
        <v>-0.2</v>
      </c>
      <c r="AIJ19" s="2">
        <v>1.5</v>
      </c>
      <c r="AIK19" s="2">
        <v>0.2</v>
      </c>
      <c r="AIL19" s="2">
        <v>0.5</v>
      </c>
      <c r="AIM19" s="2">
        <v>2.1</v>
      </c>
      <c r="AIN19" s="2">
        <v>-0.2</v>
      </c>
      <c r="AIO19" s="2">
        <v>0.8</v>
      </c>
      <c r="AIP19" s="2">
        <v>0.3</v>
      </c>
      <c r="AIQ19" s="2">
        <v>2.9</v>
      </c>
      <c r="AIR19" s="2">
        <v>1.2</v>
      </c>
      <c r="AIS19" s="2">
        <v>2.8</v>
      </c>
      <c r="AIT19" s="2">
        <v>0.4</v>
      </c>
      <c r="AIU19" s="2">
        <v>-2.6</v>
      </c>
      <c r="AIV19" s="2">
        <v>-0.7</v>
      </c>
      <c r="AIW19" s="2">
        <v>0.5</v>
      </c>
      <c r="AIX19" s="2">
        <v>-0.1</v>
      </c>
      <c r="AIY19" s="2">
        <v>-1.7</v>
      </c>
      <c r="AIZ19" s="2">
        <v>0.3</v>
      </c>
      <c r="AJA19" s="2">
        <v>1</v>
      </c>
      <c r="AJB19" s="2">
        <v>0.3</v>
      </c>
      <c r="AJC19" s="2">
        <v>-0.6</v>
      </c>
      <c r="AJD19" s="2">
        <v>0.2</v>
      </c>
      <c r="AJE19" s="2">
        <v>-0.8</v>
      </c>
      <c r="AJF19" s="2">
        <v>-3.4</v>
      </c>
      <c r="AJG19" s="2">
        <v>-0.9</v>
      </c>
      <c r="AJH19" s="2">
        <v>0.1</v>
      </c>
      <c r="AJI19" s="2">
        <v>0.7</v>
      </c>
      <c r="AJJ19" s="2">
        <v>-0.9</v>
      </c>
      <c r="AJK19" s="2">
        <v>0.5</v>
      </c>
      <c r="AJL19" s="2">
        <v>0.2</v>
      </c>
      <c r="AJM19" s="2">
        <v>1</v>
      </c>
      <c r="AJN19" s="2">
        <v>2.7</v>
      </c>
      <c r="AJO19" s="2">
        <v>1.2</v>
      </c>
      <c r="AJP19" s="2">
        <v>1</v>
      </c>
      <c r="AJQ19" s="2">
        <v>2</v>
      </c>
      <c r="AJR19" s="2">
        <v>-0.3</v>
      </c>
      <c r="AJS19" s="2">
        <v>-0.8</v>
      </c>
      <c r="AJT19" s="2">
        <v>0</v>
      </c>
      <c r="AJU19" s="2">
        <v>-0.4</v>
      </c>
      <c r="AJV19" s="2">
        <v>0.9</v>
      </c>
      <c r="AJW19" s="2">
        <v>-0.4</v>
      </c>
      <c r="AJX19" s="2">
        <v>1.5</v>
      </c>
      <c r="AJY19" s="2">
        <v>3.7</v>
      </c>
      <c r="AJZ19" s="2">
        <v>5.3</v>
      </c>
      <c r="AKA19" s="2">
        <v>0.8</v>
      </c>
      <c r="AKB19" s="2">
        <v>2.6</v>
      </c>
      <c r="AKC19" s="2">
        <v>2.1</v>
      </c>
      <c r="AKD19" s="2">
        <v>2.1</v>
      </c>
      <c r="AKE19" s="2">
        <v>3.4</v>
      </c>
      <c r="AKF19" s="2">
        <v>0.2</v>
      </c>
      <c r="AKG19" s="2">
        <v>0.6</v>
      </c>
      <c r="AKH19" s="2">
        <v>4.7</v>
      </c>
      <c r="AKI19" s="2">
        <v>5.4</v>
      </c>
      <c r="AKJ19" s="2">
        <v>1.3</v>
      </c>
      <c r="AKK19" s="2">
        <v>6.5</v>
      </c>
      <c r="AKL19" s="2">
        <v>0</v>
      </c>
      <c r="AKM19" s="2">
        <v>-3.1</v>
      </c>
      <c r="AKN19" s="2">
        <v>-0.6</v>
      </c>
      <c r="AKO19" s="2">
        <v>-0.7</v>
      </c>
      <c r="AKP19" s="2">
        <v>0.14</v>
      </c>
      <c r="AKQ19" s="2">
        <v>0.14</v>
      </c>
      <c r="AKR19" s="2">
        <v>0.14</v>
      </c>
    </row>
    <row r="20">
      <c r="A20" t="inlineStr">
        <is>
          <t>Jams, honey and spreads</t>
        </is>
      </c>
      <c r="B20" t="inlineStr">
        <is>
          <t>Food products n.e.c.</t>
        </is>
      </c>
      <c r="C20">
        <v>3</v>
      </c>
      <c r="D20">
        <v>0.12</v>
      </c>
      <c r="E20" s="3">
        <f>D20/2.3*0.02298678920160827</f>
        <v>0.0011993107409534749</v>
      </c>
      <c r="F20" s="3">
        <f>E20-D20/100</f>
        <v>-6.892590465250141e-07</v>
      </c>
      <c r="G20" s="3">
        <f>D20/2.3</f>
        <v>0.052173913043478265</v>
      </c>
      <c r="H20" s="2">
        <v>80.18000000000001</v>
      </c>
      <c r="I20" s="2">
        <v>80.67</v>
      </c>
      <c r="J20" s="2">
        <v>80.34</v>
      </c>
      <c r="K20" s="2">
        <v>80.37</v>
      </c>
      <c r="L20" s="2">
        <v>80.34</v>
      </c>
      <c r="M20" s="2">
        <v>78.90000000000001</v>
      </c>
      <c r="N20" s="2">
        <v>80.44</v>
      </c>
      <c r="O20" s="2">
        <v>78.06</v>
      </c>
      <c r="P20" s="2">
        <v>80.3</v>
      </c>
      <c r="Q20" s="2">
        <v>79.29000000000001</v>
      </c>
      <c r="R20" s="2">
        <v>80.22</v>
      </c>
      <c r="S20" s="2">
        <v>79.84999999999999</v>
      </c>
      <c r="T20" s="2">
        <v>79.98999999999999</v>
      </c>
      <c r="U20" s="2">
        <v>79.89</v>
      </c>
      <c r="V20" s="2">
        <v>79.56</v>
      </c>
      <c r="W20" s="2">
        <v>80.47</v>
      </c>
      <c r="X20" s="2">
        <v>80.28</v>
      </c>
      <c r="Y20" s="2">
        <v>80.45999999999999</v>
      </c>
      <c r="Z20" s="2">
        <v>80.73999999999999</v>
      </c>
      <c r="AA20" s="2">
        <v>80.95999999999999</v>
      </c>
      <c r="AB20" s="2">
        <v>80.52</v>
      </c>
      <c r="AC20" s="2">
        <v>81.03</v>
      </c>
      <c r="AD20" s="2">
        <v>80.20999999999999</v>
      </c>
      <c r="AE20" s="2">
        <v>81.31999999999999</v>
      </c>
      <c r="AF20" s="2">
        <v>80.48999999999999</v>
      </c>
      <c r="AG20" s="2">
        <v>80.59999999999999</v>
      </c>
      <c r="AH20" s="2">
        <v>80.34999999999999</v>
      </c>
      <c r="AI20" s="2">
        <v>82.25</v>
      </c>
      <c r="AJ20" s="2">
        <v>81.92</v>
      </c>
      <c r="AK20" s="2">
        <v>81.44</v>
      </c>
      <c r="AL20" s="2">
        <v>85</v>
      </c>
      <c r="AM20" s="2">
        <v>86.18000000000001</v>
      </c>
      <c r="AN20" s="2">
        <v>85.06</v>
      </c>
      <c r="AO20" s="2">
        <v>84.64</v>
      </c>
      <c r="AP20" s="2">
        <v>84.2</v>
      </c>
      <c r="AQ20" s="2">
        <v>85.37</v>
      </c>
      <c r="AR20" s="2">
        <v>85.48999999999999</v>
      </c>
      <c r="AS20" s="2">
        <v>84.79000000000001</v>
      </c>
      <c r="AT20" s="2">
        <v>84.45999999999999</v>
      </c>
      <c r="AU20" s="2">
        <v>85.68000000000001</v>
      </c>
      <c r="AV20" s="2">
        <v>84.31999999999999</v>
      </c>
      <c r="AW20" s="2">
        <v>83.84999999999999</v>
      </c>
      <c r="AX20" s="2">
        <v>84.90000000000001</v>
      </c>
      <c r="AY20" s="2">
        <v>84.98</v>
      </c>
      <c r="AZ20" s="2">
        <v>84.81</v>
      </c>
      <c r="BA20" s="2">
        <v>85.23</v>
      </c>
      <c r="BB20" s="2">
        <v>84.53</v>
      </c>
      <c r="BC20" s="2">
        <v>84.91</v>
      </c>
      <c r="BD20" s="2">
        <v>85.5</v>
      </c>
      <c r="BE20" s="2">
        <v>85.62</v>
      </c>
      <c r="BF20" s="2">
        <v>85.34999999999999</v>
      </c>
      <c r="BG20" s="2">
        <v>86.28</v>
      </c>
      <c r="BH20" s="2">
        <v>85.95999999999999</v>
      </c>
      <c r="BI20" s="2">
        <v>86.05</v>
      </c>
      <c r="BJ20" s="2">
        <v>87.28</v>
      </c>
      <c r="BK20" s="2">
        <v>87.58</v>
      </c>
      <c r="BL20" s="2">
        <v>86.98</v>
      </c>
      <c r="BM20" s="2">
        <v>88.63</v>
      </c>
      <c r="BN20" s="2">
        <v>90.42</v>
      </c>
      <c r="BO20" s="2">
        <v>92.06999999999999</v>
      </c>
      <c r="BP20" s="2">
        <v>91.81</v>
      </c>
      <c r="BQ20" s="2">
        <v>91.86</v>
      </c>
      <c r="BR20" s="2">
        <v>92.03</v>
      </c>
      <c r="BS20" s="2">
        <v>93.11</v>
      </c>
      <c r="BT20" s="2">
        <v>92.76000000000001</v>
      </c>
      <c r="BU20" s="2">
        <v>92.31</v>
      </c>
      <c r="BV20" s="2">
        <v>93.75</v>
      </c>
      <c r="BW20" s="2">
        <v>92.55</v>
      </c>
      <c r="BX20" s="2">
        <v>92.61</v>
      </c>
      <c r="BY20" s="2">
        <v>93.70999999999999</v>
      </c>
      <c r="BZ20" s="2">
        <v>94.37</v>
      </c>
      <c r="CA20" s="2">
        <v>95.55</v>
      </c>
      <c r="CB20" s="2">
        <v>95.28</v>
      </c>
      <c r="CC20" s="2">
        <v>96.33</v>
      </c>
      <c r="CD20" s="2">
        <v>96.43000000000001</v>
      </c>
      <c r="CE20" s="2">
        <v>97.31999999999999</v>
      </c>
      <c r="CF20" s="2">
        <v>96.83</v>
      </c>
      <c r="CG20" s="2">
        <v>96.36</v>
      </c>
      <c r="CH20" s="2">
        <v>97.05</v>
      </c>
      <c r="CI20" s="2">
        <v>96.04000000000001</v>
      </c>
      <c r="CJ20" s="2">
        <v>95.81</v>
      </c>
      <c r="CK20" s="2">
        <v>96.37</v>
      </c>
      <c r="CL20" s="2">
        <v>95.86</v>
      </c>
      <c r="CM20" s="2">
        <v>97.62</v>
      </c>
      <c r="CN20" s="2">
        <v>96.59999999999999</v>
      </c>
      <c r="CO20" s="2">
        <v>97.70999999999999</v>
      </c>
      <c r="CP20" s="2">
        <v>97.81999999999999</v>
      </c>
      <c r="CQ20" s="2">
        <v>97.61</v>
      </c>
      <c r="CR20" s="2">
        <v>97.62</v>
      </c>
      <c r="CS20" s="2">
        <v>97.15000000000001</v>
      </c>
      <c r="CT20" s="2">
        <v>97.83</v>
      </c>
      <c r="CU20" s="2">
        <v>97.58</v>
      </c>
      <c r="CV20" s="2">
        <v>97.18000000000001</v>
      </c>
      <c r="CW20" s="2">
        <v>97.87</v>
      </c>
      <c r="CX20" s="2">
        <v>97.70999999999999</v>
      </c>
      <c r="CY20" s="2">
        <v>98.94</v>
      </c>
      <c r="CZ20" s="2">
        <v>100</v>
      </c>
      <c r="DA20" s="2">
        <v>99.53</v>
      </c>
      <c r="DB20" s="2">
        <v>100.17</v>
      </c>
      <c r="DC20" s="2">
        <v>100.23</v>
      </c>
      <c r="DD20" s="2">
        <v>101.03</v>
      </c>
      <c r="DE20" s="2">
        <v>100.14</v>
      </c>
      <c r="DF20" s="2">
        <v>101.33</v>
      </c>
      <c r="DG20" s="2">
        <v>100.58</v>
      </c>
      <c r="DH20" s="2">
        <v>100.56</v>
      </c>
      <c r="DI20" s="2">
        <v>100.38</v>
      </c>
      <c r="DJ20" s="2">
        <v>101.01</v>
      </c>
      <c r="DK20" s="2">
        <v>-0.2</v>
      </c>
      <c r="DL20" s="2">
        <v>-1</v>
      </c>
      <c r="DM20" s="2">
        <v>-1</v>
      </c>
      <c r="DN20" s="2">
        <v>0.1</v>
      </c>
      <c r="DO20" s="2">
        <v>-0.1</v>
      </c>
      <c r="DP20" s="2">
        <v>2</v>
      </c>
      <c r="DQ20" s="2">
        <v>0.4</v>
      </c>
      <c r="DR20" s="2">
        <v>3.7</v>
      </c>
      <c r="DS20" s="2">
        <v>0.3</v>
      </c>
      <c r="DT20" s="2">
        <v>2.2</v>
      </c>
      <c r="DU20" s="2">
        <v>0</v>
      </c>
      <c r="DV20" s="2">
        <v>1.8</v>
      </c>
      <c r="DW20" s="2">
        <v>0.6</v>
      </c>
      <c r="DX20" s="2">
        <v>0.9</v>
      </c>
      <c r="DY20" s="2">
        <v>1</v>
      </c>
      <c r="DZ20" s="2">
        <v>2.2</v>
      </c>
      <c r="EA20" s="2">
        <v>2</v>
      </c>
      <c r="EB20" s="2">
        <v>1.2</v>
      </c>
      <c r="EC20" s="2">
        <v>5.3</v>
      </c>
      <c r="ED20" s="2">
        <v>6.4</v>
      </c>
      <c r="EE20" s="2">
        <v>5.6</v>
      </c>
      <c r="EF20" s="2">
        <v>4.5</v>
      </c>
      <c r="EG20" s="2">
        <v>5</v>
      </c>
      <c r="EH20" s="2">
        <v>5</v>
      </c>
      <c r="EI20" s="2">
        <v>6.2</v>
      </c>
      <c r="EJ20" s="2">
        <v>5.2</v>
      </c>
      <c r="EK20" s="2">
        <v>5.1</v>
      </c>
      <c r="EL20" s="2">
        <v>4.2</v>
      </c>
      <c r="EM20" s="2">
        <v>2.9</v>
      </c>
      <c r="EN20" s="2">
        <v>3</v>
      </c>
      <c r="EO20" s="2">
        <v>-0.1</v>
      </c>
      <c r="EP20" s="2">
        <v>-1.4</v>
      </c>
      <c r="EQ20" s="2">
        <v>-0.3</v>
      </c>
      <c r="ER20" s="2">
        <v>0.7</v>
      </c>
      <c r="ES20" s="2">
        <v>0.4</v>
      </c>
      <c r="ET20" s="2">
        <v>-0.5</v>
      </c>
      <c r="EU20" s="2">
        <v>0</v>
      </c>
      <c r="EV20" s="2">
        <v>1</v>
      </c>
      <c r="EW20" s="2">
        <v>1.1</v>
      </c>
      <c r="EX20" s="2">
        <v>0.7</v>
      </c>
      <c r="EY20" s="2">
        <v>1.9</v>
      </c>
      <c r="EZ20" s="2">
        <v>2.6</v>
      </c>
      <c r="FA20" s="2">
        <v>2.8</v>
      </c>
      <c r="FB20" s="2">
        <v>3.1</v>
      </c>
      <c r="FC20" s="2">
        <v>2.6</v>
      </c>
      <c r="FD20" s="2">
        <v>4</v>
      </c>
      <c r="FE20" s="2">
        <v>7</v>
      </c>
      <c r="FF20" s="2">
        <v>8.4</v>
      </c>
      <c r="FG20" s="2">
        <v>7.4</v>
      </c>
      <c r="FH20" s="2">
        <v>7.3</v>
      </c>
      <c r="FI20" s="2">
        <v>7.8</v>
      </c>
      <c r="FJ20" s="2">
        <v>7.9</v>
      </c>
      <c r="FK20" s="2">
        <v>7.9</v>
      </c>
      <c r="FL20" s="2">
        <v>7.3</v>
      </c>
      <c r="FM20" s="2">
        <v>7.4</v>
      </c>
      <c r="FN20" s="2">
        <v>5.7</v>
      </c>
      <c r="FO20" s="2">
        <v>6.5</v>
      </c>
      <c r="FP20" s="2">
        <v>5.7</v>
      </c>
      <c r="FQ20" s="2">
        <v>4.4</v>
      </c>
      <c r="FR20" s="2">
        <v>3.8</v>
      </c>
      <c r="FS20" s="2">
        <v>3.8</v>
      </c>
      <c r="FT20" s="2">
        <v>4.9</v>
      </c>
      <c r="FU20" s="2">
        <v>4.8</v>
      </c>
      <c r="FV20" s="2">
        <v>4.5</v>
      </c>
      <c r="FW20" s="2">
        <v>4.4</v>
      </c>
      <c r="FX20" s="2">
        <v>4.4</v>
      </c>
      <c r="FY20" s="2">
        <v>3.5</v>
      </c>
      <c r="FZ20" s="2">
        <v>3.8</v>
      </c>
      <c r="GA20" s="2">
        <v>3.5</v>
      </c>
      <c r="GB20" s="2">
        <v>2.8</v>
      </c>
      <c r="GC20" s="2">
        <v>1.6</v>
      </c>
      <c r="GD20" s="2">
        <v>2.2</v>
      </c>
      <c r="GE20" s="2">
        <v>1.4</v>
      </c>
      <c r="GF20" s="2">
        <v>1.4</v>
      </c>
      <c r="GG20" s="2">
        <v>1.4</v>
      </c>
      <c r="GH20" s="2">
        <v>0.3</v>
      </c>
      <c r="GI20" s="2">
        <v>0.8</v>
      </c>
      <c r="GJ20" s="2">
        <v>0.8</v>
      </c>
      <c r="GK20" s="2">
        <v>0.8</v>
      </c>
      <c r="GL20" s="2">
        <v>1.6</v>
      </c>
      <c r="GM20" s="2">
        <v>1.4</v>
      </c>
      <c r="GN20" s="2">
        <v>1.6</v>
      </c>
      <c r="GO20" s="2">
        <v>1.9</v>
      </c>
      <c r="GP20" s="2">
        <v>1.4</v>
      </c>
      <c r="GQ20" s="2">
        <v>3.5</v>
      </c>
      <c r="GR20" s="2">
        <v>1.9</v>
      </c>
      <c r="GS20" s="2">
        <v>2.4</v>
      </c>
      <c r="GT20" s="2">
        <v>2.7</v>
      </c>
      <c r="GU20" s="2">
        <v>3.5</v>
      </c>
      <c r="GV20" s="2">
        <v>3.1</v>
      </c>
      <c r="GW20" s="2">
        <v>3.6</v>
      </c>
      <c r="GX20" s="2">
        <v>3.1</v>
      </c>
      <c r="GY20" s="2">
        <v>3.5</v>
      </c>
      <c r="GZ20" s="2">
        <v>2.6</v>
      </c>
      <c r="HA20" s="2">
        <v>3.4</v>
      </c>
      <c r="HB20" s="2">
        <v>0.6</v>
      </c>
      <c r="HC20" s="2">
        <v>-0.4</v>
      </c>
      <c r="HD20" s="2">
        <v>0</v>
      </c>
      <c r="HE20" s="2">
        <v>0</v>
      </c>
      <c r="HF20" s="2">
        <v>-1.8</v>
      </c>
      <c r="HG20" s="2">
        <v>2</v>
      </c>
      <c r="HH20" s="2">
        <v>-3</v>
      </c>
      <c r="HI20" s="2">
        <v>2.9</v>
      </c>
      <c r="HJ20" s="2">
        <v>-1.3</v>
      </c>
      <c r="HK20" s="2">
        <v>1.2</v>
      </c>
      <c r="HL20" s="2">
        <v>-0.5</v>
      </c>
      <c r="HM20" s="2">
        <v>0.2</v>
      </c>
      <c r="HN20" s="2">
        <v>-0.1</v>
      </c>
      <c r="HO20" s="2">
        <v>-0.4</v>
      </c>
      <c r="HP20" s="2">
        <v>1.1</v>
      </c>
      <c r="HQ20" s="2">
        <v>-0.2</v>
      </c>
      <c r="HR20" s="2">
        <v>0.2</v>
      </c>
      <c r="HS20" s="2">
        <v>0.3</v>
      </c>
      <c r="HT20" s="2">
        <v>0.3</v>
      </c>
      <c r="HU20" s="2">
        <v>-0.5</v>
      </c>
      <c r="HV20" s="2">
        <v>0.6</v>
      </c>
      <c r="HW20" s="2">
        <v>-1</v>
      </c>
      <c r="HX20" s="2">
        <v>1.4</v>
      </c>
      <c r="HY20" s="2">
        <v>-1</v>
      </c>
      <c r="HZ20" s="2">
        <v>0.1</v>
      </c>
      <c r="IA20" s="2">
        <v>-0.3</v>
      </c>
      <c r="IB20" s="2">
        <v>2.4</v>
      </c>
      <c r="IC20" s="2">
        <v>-0.4</v>
      </c>
      <c r="ID20" s="2">
        <v>-0.6</v>
      </c>
      <c r="IE20" s="2">
        <v>4.4</v>
      </c>
      <c r="IF20" s="2">
        <v>1.4</v>
      </c>
      <c r="IG20" s="2">
        <v>-1.3</v>
      </c>
      <c r="IH20" s="2">
        <v>-0.5</v>
      </c>
      <c r="II20" s="2">
        <v>-0.5</v>
      </c>
      <c r="IJ20" s="2">
        <v>1.4</v>
      </c>
      <c r="IK20" s="2">
        <v>0.1</v>
      </c>
      <c r="IL20" s="2">
        <v>-0.8</v>
      </c>
      <c r="IM20" s="2">
        <v>-0.4</v>
      </c>
      <c r="IN20" s="2">
        <v>1.4</v>
      </c>
      <c r="IO20" s="2">
        <v>-1.6</v>
      </c>
      <c r="IP20" s="2">
        <v>-0.6</v>
      </c>
      <c r="IQ20" s="2">
        <v>1.3</v>
      </c>
      <c r="IR20" s="2">
        <v>0.1</v>
      </c>
      <c r="IS20" s="2">
        <v>-0.2</v>
      </c>
      <c r="IT20" s="2">
        <v>0.5</v>
      </c>
      <c r="IU20" s="2">
        <v>-0.8</v>
      </c>
      <c r="IV20" s="2">
        <v>0.4</v>
      </c>
      <c r="IW20" s="2">
        <v>0.7</v>
      </c>
      <c r="IX20" s="2">
        <v>0.1</v>
      </c>
      <c r="IY20" s="2">
        <v>-0.3</v>
      </c>
      <c r="IZ20" s="2">
        <v>1.1</v>
      </c>
      <c r="JA20" s="2">
        <v>-0.4</v>
      </c>
      <c r="JB20" s="2">
        <v>0.1</v>
      </c>
      <c r="JC20" s="2">
        <v>1.4</v>
      </c>
      <c r="JD20" s="2">
        <v>0.3</v>
      </c>
      <c r="JE20" s="2">
        <v>-0.7</v>
      </c>
      <c r="JF20" s="2">
        <v>1.9</v>
      </c>
      <c r="JG20" s="2">
        <v>2</v>
      </c>
      <c r="JH20" s="2">
        <v>1.8</v>
      </c>
      <c r="JI20" s="2">
        <v>-0.3</v>
      </c>
      <c r="JJ20" s="2">
        <v>0.1</v>
      </c>
      <c r="JK20" s="2">
        <v>0.2</v>
      </c>
      <c r="JL20" s="2">
        <v>1.2</v>
      </c>
      <c r="JM20" s="2">
        <v>-0.4</v>
      </c>
      <c r="JN20" s="2">
        <v>-0.5</v>
      </c>
      <c r="JO20" s="2">
        <v>1.6</v>
      </c>
      <c r="JP20" s="2">
        <v>-1.3</v>
      </c>
      <c r="JQ20" s="2">
        <v>0.1</v>
      </c>
      <c r="JR20" s="2">
        <v>1.2</v>
      </c>
      <c r="JS20" s="2">
        <v>0.7</v>
      </c>
      <c r="JT20" s="2">
        <v>1.3</v>
      </c>
      <c r="JU20" s="2">
        <v>-0.3</v>
      </c>
      <c r="JV20" s="2">
        <v>1.1</v>
      </c>
      <c r="JW20" s="2">
        <v>0.1</v>
      </c>
      <c r="JX20" s="2">
        <v>0.9</v>
      </c>
      <c r="JY20" s="2">
        <v>-0.5</v>
      </c>
      <c r="JZ20" s="2">
        <v>-0.5</v>
      </c>
      <c r="KA20" s="2">
        <v>0.7</v>
      </c>
      <c r="KB20" s="2">
        <v>-1</v>
      </c>
      <c r="KC20" s="2">
        <v>-0.2</v>
      </c>
      <c r="KD20" s="2">
        <v>0.6</v>
      </c>
      <c r="KE20" s="2">
        <v>-0.5</v>
      </c>
      <c r="KF20" s="2">
        <v>1.8</v>
      </c>
      <c r="KG20" s="2">
        <v>-1</v>
      </c>
      <c r="KH20" s="2">
        <v>1.1</v>
      </c>
      <c r="KI20" s="2">
        <v>0.1</v>
      </c>
      <c r="KJ20" s="2">
        <v>-0.2</v>
      </c>
      <c r="KK20" s="2">
        <v>0</v>
      </c>
      <c r="KL20" s="2">
        <v>-0.5</v>
      </c>
      <c r="KM20" s="2">
        <v>0.7</v>
      </c>
      <c r="KN20" s="2">
        <v>-0.3</v>
      </c>
      <c r="KO20" s="2">
        <v>-0.4</v>
      </c>
      <c r="KP20" s="2">
        <v>0.7</v>
      </c>
      <c r="KQ20" s="2">
        <v>-0.2</v>
      </c>
      <c r="KR20" s="2">
        <v>1.3</v>
      </c>
      <c r="KS20" s="2">
        <v>1.1</v>
      </c>
      <c r="KT20" s="2">
        <v>-0.5</v>
      </c>
      <c r="KU20" s="2">
        <v>0.6</v>
      </c>
      <c r="KV20" s="2">
        <v>0.1</v>
      </c>
      <c r="KW20" s="2">
        <v>0.8</v>
      </c>
      <c r="KX20" s="2">
        <v>-0.9</v>
      </c>
      <c r="KY20" s="2">
        <v>1.2</v>
      </c>
      <c r="KZ20" s="2">
        <v>-0.7</v>
      </c>
      <c r="LA20" s="2">
        <v>0</v>
      </c>
      <c r="LB20" s="2">
        <v>-0.2</v>
      </c>
      <c r="LC20" s="2">
        <v>0.6</v>
      </c>
      <c r="LD20" s="2">
        <v>0.12</v>
      </c>
      <c r="LE20" s="2">
        <v>0.12</v>
      </c>
      <c r="LF20" s="2">
        <v>0.11</v>
      </c>
      <c r="LG20" s="2">
        <v>0.12</v>
      </c>
      <c r="LH20" s="2">
        <v>0.12</v>
      </c>
      <c r="LI20" s="2">
        <v>0.11</v>
      </c>
      <c r="LJ20" s="2">
        <v>0.12</v>
      </c>
      <c r="LK20" s="2">
        <v>0.12</v>
      </c>
      <c r="LL20" s="2">
        <v>0.12</v>
      </c>
      <c r="LM20" s="2">
        <v>0.12</v>
      </c>
      <c r="LN20" s="2">
        <v>0.12</v>
      </c>
      <c r="LO20" s="2">
        <v>0.12</v>
      </c>
      <c r="LP20" s="2">
        <v>0.12</v>
      </c>
      <c r="LQ20" s="2">
        <v>0.12</v>
      </c>
      <c r="LR20" s="2">
        <v>0.12</v>
      </c>
      <c r="LS20" s="2">
        <v>0.12</v>
      </c>
      <c r="LT20" s="2">
        <v>0.12</v>
      </c>
      <c r="LU20" s="2">
        <v>0.12</v>
      </c>
      <c r="LV20" s="2">
        <v>0.12</v>
      </c>
      <c r="LW20" s="2">
        <v>0.12</v>
      </c>
      <c r="LX20" s="2">
        <v>0</v>
      </c>
      <c r="LY20" s="2">
        <v>-0.01</v>
      </c>
      <c r="LZ20" s="2">
        <v>0.01</v>
      </c>
      <c r="MA20" s="2">
        <v>0</v>
      </c>
      <c r="MB20" s="2">
        <v>-0.01</v>
      </c>
      <c r="MC20" s="2">
        <v>0.01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RO20" s="2">
        <v>18.98</v>
      </c>
      <c r="RP20" s="2">
        <v>19.8</v>
      </c>
      <c r="RQ20" s="2">
        <v>20.07</v>
      </c>
      <c r="RR20" s="2">
        <v>20.22</v>
      </c>
      <c r="RS20" s="2">
        <v>19.73</v>
      </c>
      <c r="RT20" s="2">
        <v>20.07</v>
      </c>
      <c r="RU20" s="2">
        <v>20.59</v>
      </c>
      <c r="RV20" s="2">
        <v>20.67</v>
      </c>
      <c r="RW20" s="2">
        <v>21.76</v>
      </c>
      <c r="RX20" s="2">
        <v>22.4</v>
      </c>
      <c r="RY20" s="2">
        <v>23.07</v>
      </c>
      <c r="RZ20" s="2">
        <v>22.89</v>
      </c>
      <c r="SA20" s="2">
        <v>23.56</v>
      </c>
      <c r="SB20" s="2">
        <v>24.24</v>
      </c>
      <c r="SC20" s="2">
        <v>24.16</v>
      </c>
      <c r="SD20" s="2">
        <v>24.73</v>
      </c>
      <c r="SE20" s="2">
        <v>24.88</v>
      </c>
      <c r="SF20" s="2">
        <v>25.18</v>
      </c>
      <c r="SG20" s="2">
        <v>25.82</v>
      </c>
      <c r="SH20" s="2">
        <v>25.52</v>
      </c>
      <c r="SI20" s="2">
        <v>26.83</v>
      </c>
      <c r="SJ20" s="2">
        <v>28.19</v>
      </c>
      <c r="SK20" s="2">
        <v>28.15</v>
      </c>
      <c r="SL20" s="2">
        <v>29.09</v>
      </c>
      <c r="SM20" s="2">
        <v>29.12</v>
      </c>
      <c r="SN20" s="2">
        <v>30.67</v>
      </c>
      <c r="SO20" s="2">
        <v>31.42</v>
      </c>
      <c r="SP20" s="2">
        <v>32.09</v>
      </c>
      <c r="SQ20" s="2">
        <v>32.69</v>
      </c>
      <c r="SR20" s="2">
        <v>33.3</v>
      </c>
      <c r="SS20" s="2">
        <v>33.6</v>
      </c>
      <c r="ST20" s="2">
        <v>34.42</v>
      </c>
      <c r="SU20" s="2">
        <v>34.84</v>
      </c>
      <c r="SV20" s="2">
        <v>35.33</v>
      </c>
      <c r="SW20" s="2">
        <v>35.51</v>
      </c>
      <c r="SX20" s="2">
        <v>36.11</v>
      </c>
      <c r="SY20" s="2">
        <v>36.3</v>
      </c>
      <c r="SZ20" s="2">
        <v>37.35</v>
      </c>
      <c r="TA20" s="2">
        <v>38.11</v>
      </c>
      <c r="TB20" s="2">
        <v>38.56</v>
      </c>
      <c r="TC20" s="2">
        <v>39.91</v>
      </c>
      <c r="TD20" s="2">
        <v>41.04</v>
      </c>
      <c r="TE20" s="2">
        <v>41.6</v>
      </c>
      <c r="TF20" s="2">
        <v>42.05</v>
      </c>
      <c r="TG20" s="2">
        <v>42.95</v>
      </c>
      <c r="TH20" s="2">
        <v>43.37</v>
      </c>
      <c r="TI20" s="2">
        <v>43.97</v>
      </c>
      <c r="TJ20" s="2">
        <v>44.61</v>
      </c>
      <c r="TK20" s="2">
        <v>44.87</v>
      </c>
      <c r="TL20" s="2">
        <v>45.62</v>
      </c>
      <c r="TM20" s="2">
        <v>45.92</v>
      </c>
      <c r="TN20" s="2">
        <v>45.62</v>
      </c>
      <c r="TO20" s="2">
        <v>46.83</v>
      </c>
      <c r="TP20" s="2">
        <v>46.6</v>
      </c>
      <c r="TQ20" s="2">
        <v>47.05</v>
      </c>
      <c r="TR20" s="2">
        <v>47.05</v>
      </c>
      <c r="TS20" s="2">
        <v>47.61</v>
      </c>
      <c r="TT20" s="2">
        <v>47.8</v>
      </c>
      <c r="TU20" s="2">
        <v>48.63</v>
      </c>
      <c r="TV20" s="2">
        <v>48.93</v>
      </c>
      <c r="TW20" s="2">
        <v>48.82</v>
      </c>
      <c r="TX20" s="2">
        <v>49.16</v>
      </c>
      <c r="TY20" s="2">
        <v>49.72</v>
      </c>
      <c r="TZ20" s="2">
        <v>50.51</v>
      </c>
      <c r="UA20" s="2">
        <v>50.36</v>
      </c>
      <c r="UB20" s="2">
        <v>51.03</v>
      </c>
      <c r="UC20" s="2">
        <v>50.13</v>
      </c>
      <c r="UD20" s="2">
        <v>51.26</v>
      </c>
      <c r="UE20" s="2">
        <v>51.82</v>
      </c>
      <c r="UF20" s="2">
        <v>52.88</v>
      </c>
      <c r="UG20" s="2">
        <v>53.4</v>
      </c>
      <c r="UH20" s="2">
        <v>52.39</v>
      </c>
      <c r="UI20" s="2">
        <v>52.65</v>
      </c>
      <c r="UJ20" s="2">
        <v>52.48</v>
      </c>
      <c r="UK20" s="2">
        <v>52.48</v>
      </c>
      <c r="UL20" s="2">
        <v>53.12</v>
      </c>
      <c r="UM20" s="2">
        <v>54.02</v>
      </c>
      <c r="UN20" s="2">
        <v>54.12</v>
      </c>
      <c r="UO20" s="2">
        <v>54.32</v>
      </c>
      <c r="UP20" s="2">
        <v>53.31</v>
      </c>
      <c r="UQ20" s="2">
        <v>54.48</v>
      </c>
      <c r="UR20" s="2">
        <v>52.81</v>
      </c>
      <c r="US20" s="2">
        <v>54.85</v>
      </c>
      <c r="UT20" s="2">
        <v>55.97</v>
      </c>
      <c r="UU20" s="2">
        <v>55.75</v>
      </c>
      <c r="UV20" s="2">
        <v>56.34</v>
      </c>
      <c r="UW20" s="2">
        <v>55.28</v>
      </c>
      <c r="UX20" s="2">
        <v>57.31</v>
      </c>
      <c r="UY20" s="2">
        <v>60.89</v>
      </c>
      <c r="UZ20" s="2">
        <v>64.87</v>
      </c>
      <c r="VA20" s="2">
        <v>65.59999999999999</v>
      </c>
      <c r="VB20" s="2">
        <v>66.5</v>
      </c>
      <c r="VC20" s="2">
        <v>66.31999999999999</v>
      </c>
      <c r="VD20" s="2">
        <v>66.11</v>
      </c>
      <c r="VE20" s="2">
        <v>66.62</v>
      </c>
      <c r="VF20" s="2">
        <v>66.92</v>
      </c>
      <c r="VG20" s="2">
        <v>66.63</v>
      </c>
      <c r="VH20" s="2">
        <v>66.67</v>
      </c>
      <c r="VI20" s="2">
        <v>67.75</v>
      </c>
      <c r="VJ20" s="2">
        <v>65.97</v>
      </c>
      <c r="VK20" s="2">
        <v>69.11</v>
      </c>
      <c r="VL20" s="2">
        <v>68.67</v>
      </c>
      <c r="VM20" s="2">
        <v>69.94</v>
      </c>
      <c r="VN20" s="2">
        <v>68.59</v>
      </c>
      <c r="VO20" s="2">
        <v>71.38</v>
      </c>
      <c r="VP20" s="2">
        <v>71.62</v>
      </c>
      <c r="VQ20" s="2">
        <v>72.38</v>
      </c>
      <c r="VR20" s="2">
        <v>72.78</v>
      </c>
      <c r="VS20" s="2">
        <v>72.77</v>
      </c>
      <c r="VT20" s="2">
        <v>73.81</v>
      </c>
      <c r="VU20" s="2">
        <v>74.7</v>
      </c>
      <c r="VV20" s="2">
        <v>76.45999999999999</v>
      </c>
      <c r="VW20" s="2">
        <v>77.06</v>
      </c>
      <c r="VX20" s="2">
        <v>78.95</v>
      </c>
      <c r="VY20" s="2">
        <v>81.06999999999999</v>
      </c>
      <c r="VZ20" s="2">
        <v>81.68000000000001</v>
      </c>
      <c r="WA20" s="2">
        <v>81.13</v>
      </c>
      <c r="WB20" s="2">
        <v>81.79000000000001</v>
      </c>
      <c r="WC20" s="2">
        <v>81.15000000000001</v>
      </c>
      <c r="WD20" s="2">
        <v>79.64</v>
      </c>
      <c r="WE20" s="2">
        <v>78.31999999999999</v>
      </c>
      <c r="WF20" s="2">
        <v>78.81</v>
      </c>
      <c r="WG20" s="2">
        <v>78.8</v>
      </c>
      <c r="WH20" s="2">
        <v>80.23999999999999</v>
      </c>
      <c r="WI20" s="2">
        <v>80.13</v>
      </c>
      <c r="WJ20" s="2">
        <v>80.38</v>
      </c>
      <c r="WK20" s="2">
        <v>80.81</v>
      </c>
      <c r="WL20" s="2">
        <v>79.93000000000001</v>
      </c>
      <c r="WM20" s="2">
        <v>79.61</v>
      </c>
      <c r="WN20" s="2">
        <v>81.59999999999999</v>
      </c>
      <c r="WO20" s="2">
        <v>80.73999999999999</v>
      </c>
      <c r="WP20" s="2">
        <v>80.44</v>
      </c>
      <c r="WQ20" s="2">
        <v>80.48999999999999</v>
      </c>
      <c r="WR20" s="2">
        <v>78.76000000000001</v>
      </c>
      <c r="WS20" s="2">
        <v>79.47</v>
      </c>
      <c r="WT20" s="2">
        <v>82.5</v>
      </c>
      <c r="WU20" s="2">
        <v>85.69</v>
      </c>
      <c r="WV20" s="2">
        <v>87.23</v>
      </c>
      <c r="WW20" s="2">
        <v>86.56</v>
      </c>
      <c r="WX20" s="2">
        <v>85.65000000000001</v>
      </c>
      <c r="WY20" s="2">
        <v>84.7</v>
      </c>
      <c r="WZ20" s="2">
        <v>85.97</v>
      </c>
      <c r="XA20" s="2">
        <v>85.58</v>
      </c>
      <c r="XB20" s="2">
        <v>83.29000000000001</v>
      </c>
      <c r="XC20" s="2">
        <v>84.56</v>
      </c>
      <c r="XD20" s="2">
        <v>84.98999999999999</v>
      </c>
      <c r="XE20" s="2">
        <v>83.90000000000001</v>
      </c>
      <c r="XF20" s="2">
        <v>85.19</v>
      </c>
      <c r="XG20" s="2">
        <v>81.69</v>
      </c>
      <c r="XH20" s="2">
        <v>82.36</v>
      </c>
      <c r="XI20" s="2">
        <v>81.56</v>
      </c>
      <c r="XJ20" s="2">
        <v>80.51000000000001</v>
      </c>
      <c r="XK20" s="2">
        <v>81.38</v>
      </c>
      <c r="XL20" s="2">
        <v>81.67</v>
      </c>
      <c r="XM20" s="2">
        <v>81.54000000000001</v>
      </c>
      <c r="XN20" s="2">
        <v>82.01000000000001</v>
      </c>
      <c r="XO20" s="2">
        <v>81.79000000000001</v>
      </c>
      <c r="XP20" s="2">
        <v>82.16</v>
      </c>
      <c r="XQ20" s="2">
        <v>83.8</v>
      </c>
      <c r="XR20" s="2">
        <v>86.09</v>
      </c>
      <c r="XS20" s="2">
        <v>85.92</v>
      </c>
      <c r="XT20" s="2">
        <v>85.89</v>
      </c>
      <c r="XU20" s="2">
        <v>85.03</v>
      </c>
      <c r="XV20" s="2">
        <v>85.75</v>
      </c>
      <c r="XW20" s="2">
        <v>85.61</v>
      </c>
      <c r="XX20" s="2">
        <v>86.22</v>
      </c>
      <c r="XY20" s="2">
        <v>86.89</v>
      </c>
      <c r="XZ20" s="2">
        <v>87.64</v>
      </c>
      <c r="YA20" s="2">
        <v>91.44</v>
      </c>
      <c r="YB20" s="2">
        <v>92.33</v>
      </c>
      <c r="YC20" s="2">
        <v>92.94</v>
      </c>
      <c r="YD20" s="2">
        <v>92.95999999999999</v>
      </c>
      <c r="YE20" s="2">
        <v>95.06999999999999</v>
      </c>
      <c r="YF20" s="2">
        <v>96.7</v>
      </c>
      <c r="YG20" s="2">
        <v>96.75</v>
      </c>
      <c r="YH20" s="2">
        <v>96.06999999999999</v>
      </c>
      <c r="YI20" s="2">
        <v>96.69</v>
      </c>
      <c r="YJ20" s="2">
        <v>97.70999999999999</v>
      </c>
      <c r="YK20" s="2">
        <v>97.54000000000001</v>
      </c>
      <c r="YL20" s="2">
        <v>97.54000000000001</v>
      </c>
      <c r="YM20" s="2">
        <v>98.88</v>
      </c>
      <c r="YN20" s="2">
        <v>99.98</v>
      </c>
      <c r="YO20" s="2">
        <v>100.83</v>
      </c>
      <c r="YP20" s="2">
        <v>100.51</v>
      </c>
      <c r="ADO20" s="2">
        <v>4.3</v>
      </c>
      <c r="ADP20" s="2">
        <v>1.4</v>
      </c>
      <c r="ADQ20" s="2">
        <v>0.7</v>
      </c>
      <c r="ADR20" s="2">
        <v>-2.4</v>
      </c>
      <c r="ADS20" s="2">
        <v>1.7</v>
      </c>
      <c r="ADT20" s="2">
        <v>2.6</v>
      </c>
      <c r="ADU20" s="2">
        <v>0.4</v>
      </c>
      <c r="ADV20" s="2">
        <v>5.3</v>
      </c>
      <c r="ADW20" s="2">
        <v>2.9</v>
      </c>
      <c r="ADX20" s="2">
        <v>3</v>
      </c>
      <c r="ADY20" s="2">
        <v>-0.8</v>
      </c>
      <c r="ADZ20" s="2">
        <v>2.9</v>
      </c>
      <c r="AEA20" s="2">
        <v>2.9</v>
      </c>
      <c r="AEB20" s="2">
        <v>-0.3</v>
      </c>
      <c r="AEC20" s="2">
        <v>2.4</v>
      </c>
      <c r="AED20" s="2">
        <v>0.6</v>
      </c>
      <c r="AEE20" s="2">
        <v>1.2</v>
      </c>
      <c r="AEF20" s="2">
        <v>2.5</v>
      </c>
      <c r="AEG20" s="2">
        <v>-1.2</v>
      </c>
      <c r="AEH20" s="2">
        <v>5.1</v>
      </c>
      <c r="AEI20" s="2">
        <v>5.1</v>
      </c>
      <c r="AEJ20" s="2">
        <v>-0.1</v>
      </c>
      <c r="AEK20" s="2">
        <v>3.3</v>
      </c>
      <c r="AEL20" s="2">
        <v>0.1</v>
      </c>
      <c r="AEM20" s="2">
        <v>5.3</v>
      </c>
      <c r="AEN20" s="2">
        <v>2.4</v>
      </c>
      <c r="AEO20" s="2">
        <v>2.1</v>
      </c>
      <c r="AEP20" s="2">
        <v>1.9</v>
      </c>
      <c r="AEQ20" s="2">
        <v>1.9</v>
      </c>
      <c r="AER20" s="2">
        <v>0.9</v>
      </c>
      <c r="AES20" s="2">
        <v>2.4</v>
      </c>
      <c r="AET20" s="2">
        <v>1.2</v>
      </c>
      <c r="AEU20" s="2">
        <v>1.4</v>
      </c>
      <c r="AEV20" s="2">
        <v>0.5</v>
      </c>
      <c r="AEW20" s="2">
        <v>1.7</v>
      </c>
      <c r="AEX20" s="2">
        <v>0.5</v>
      </c>
      <c r="AEY20" s="2">
        <v>2.9</v>
      </c>
      <c r="AEZ20" s="2">
        <v>2</v>
      </c>
      <c r="AFA20" s="2">
        <v>1.2</v>
      </c>
      <c r="AFB20" s="2">
        <v>3.5</v>
      </c>
      <c r="AFC20" s="2">
        <v>2.8</v>
      </c>
      <c r="AFD20" s="2">
        <v>1.4</v>
      </c>
      <c r="AFE20" s="2">
        <v>1.1</v>
      </c>
      <c r="AFF20" s="2">
        <v>2.1</v>
      </c>
      <c r="AFG20" s="2">
        <v>1</v>
      </c>
      <c r="AFH20" s="2">
        <v>1.4</v>
      </c>
      <c r="AFI20" s="2">
        <v>1.5</v>
      </c>
      <c r="AFJ20" s="2">
        <v>0.6</v>
      </c>
      <c r="AFK20" s="2">
        <v>1.7</v>
      </c>
      <c r="AFL20" s="2">
        <v>0.7</v>
      </c>
      <c r="AFM20" s="2">
        <v>-0.7</v>
      </c>
      <c r="AFN20" s="2">
        <v>2.7</v>
      </c>
      <c r="AFO20" s="2">
        <v>-0.5</v>
      </c>
      <c r="AFP20" s="2">
        <v>1</v>
      </c>
      <c r="AFQ20" s="2">
        <v>0</v>
      </c>
      <c r="AFR20" s="2">
        <v>1.2</v>
      </c>
      <c r="AFS20" s="2">
        <v>0.4</v>
      </c>
      <c r="AFT20" s="2">
        <v>1.7</v>
      </c>
      <c r="AFU20" s="2">
        <v>0.6</v>
      </c>
      <c r="AFV20" s="2">
        <v>-0.2</v>
      </c>
      <c r="AFW20" s="2">
        <v>0.7</v>
      </c>
      <c r="AFX20" s="2">
        <v>1.1</v>
      </c>
      <c r="AFY20" s="2">
        <v>1.6</v>
      </c>
      <c r="AFZ20" s="2">
        <v>-0.3</v>
      </c>
      <c r="AGA20" s="2">
        <v>1.3</v>
      </c>
      <c r="AGB20" s="2">
        <v>-1.8</v>
      </c>
      <c r="AGC20" s="2">
        <v>2.3</v>
      </c>
      <c r="AGD20" s="2">
        <v>1.1</v>
      </c>
      <c r="AGE20" s="2">
        <v>2</v>
      </c>
      <c r="AGF20" s="2">
        <v>1</v>
      </c>
      <c r="AGG20" s="2">
        <v>-1.9</v>
      </c>
      <c r="AGH20" s="2">
        <v>0.5</v>
      </c>
      <c r="AGI20" s="2">
        <v>-0.3</v>
      </c>
      <c r="AGJ20" s="2">
        <v>0</v>
      </c>
      <c r="AGK20" s="2">
        <v>1.2</v>
      </c>
      <c r="AGL20" s="2">
        <v>1.7</v>
      </c>
      <c r="AGM20" s="2">
        <v>0.2</v>
      </c>
      <c r="AGN20" s="2">
        <v>0.4</v>
      </c>
      <c r="AGO20" s="2">
        <v>-1.9</v>
      </c>
      <c r="AGP20" s="2">
        <v>2.2</v>
      </c>
      <c r="AGQ20" s="2">
        <v>-3.1</v>
      </c>
      <c r="AGR20" s="2">
        <v>3.9</v>
      </c>
      <c r="AGS20" s="2">
        <v>2</v>
      </c>
      <c r="AGT20" s="2">
        <v>-0.4</v>
      </c>
      <c r="AGU20" s="2">
        <v>1.1</v>
      </c>
      <c r="AGV20" s="2">
        <v>-1.9</v>
      </c>
      <c r="AGW20" s="2">
        <v>3.7</v>
      </c>
      <c r="AGX20" s="2">
        <v>6.2</v>
      </c>
      <c r="AGY20" s="2">
        <v>6.5</v>
      </c>
      <c r="AGZ20" s="2">
        <v>1.1</v>
      </c>
      <c r="AHA20" s="2">
        <v>1.4</v>
      </c>
      <c r="AHB20" s="2">
        <v>-0.3</v>
      </c>
      <c r="AHC20" s="2">
        <v>-0.3</v>
      </c>
      <c r="AHD20" s="2">
        <v>0.8</v>
      </c>
      <c r="AHE20" s="2">
        <v>0.5</v>
      </c>
      <c r="AHF20" s="2">
        <v>-0.4</v>
      </c>
      <c r="AHG20" s="2">
        <v>0.1</v>
      </c>
      <c r="AHH20" s="2">
        <v>1.6</v>
      </c>
      <c r="AHI20" s="2">
        <v>-2.6</v>
      </c>
      <c r="AHJ20" s="2">
        <v>4.8</v>
      </c>
      <c r="AHK20" s="2">
        <v>-0.6</v>
      </c>
      <c r="AHL20" s="2">
        <v>1.8</v>
      </c>
      <c r="AHM20" s="2">
        <v>-1.9</v>
      </c>
      <c r="AHN20" s="2">
        <v>4.1</v>
      </c>
      <c r="AHO20" s="2">
        <v>0.3</v>
      </c>
      <c r="AHP20" s="2">
        <v>1.1</v>
      </c>
      <c r="AHQ20" s="2">
        <v>0.6</v>
      </c>
      <c r="AHR20" s="2">
        <v>0</v>
      </c>
      <c r="AHS20" s="2">
        <v>1.4</v>
      </c>
      <c r="AHT20" s="2">
        <v>1.2</v>
      </c>
      <c r="AHU20" s="2">
        <v>2.4</v>
      </c>
      <c r="AHV20" s="2">
        <v>0.8</v>
      </c>
      <c r="AHW20" s="2">
        <v>2.5</v>
      </c>
      <c r="AHX20" s="2">
        <v>2.7</v>
      </c>
      <c r="AHY20" s="2">
        <v>0.8</v>
      </c>
      <c r="AHZ20" s="2">
        <v>-0.7</v>
      </c>
      <c r="AIA20" s="2">
        <v>0.8</v>
      </c>
      <c r="AIB20" s="2">
        <v>-0.8</v>
      </c>
      <c r="AIC20" s="2">
        <v>-1.9</v>
      </c>
      <c r="AID20" s="2">
        <v>-1.7</v>
      </c>
      <c r="AIE20" s="2">
        <v>0.6</v>
      </c>
      <c r="AIF20" s="2">
        <v>0</v>
      </c>
      <c r="AIG20" s="2">
        <v>1.8</v>
      </c>
      <c r="AIH20" s="2">
        <v>-0.1</v>
      </c>
      <c r="AII20" s="2">
        <v>0.3</v>
      </c>
      <c r="AIJ20" s="2">
        <v>0.5</v>
      </c>
      <c r="AIK20" s="2">
        <v>-1.1</v>
      </c>
      <c r="AIL20" s="2">
        <v>-0.4</v>
      </c>
      <c r="AIM20" s="2">
        <v>2.5</v>
      </c>
      <c r="AIN20" s="2">
        <v>-1.1</v>
      </c>
      <c r="AIO20" s="2">
        <v>-0.4</v>
      </c>
      <c r="AIP20" s="2">
        <v>0.1</v>
      </c>
      <c r="AIQ20" s="2">
        <v>-2.1</v>
      </c>
      <c r="AIR20" s="2">
        <v>0.9</v>
      </c>
      <c r="AIS20" s="2">
        <v>3.8</v>
      </c>
      <c r="AIT20" s="2">
        <v>3.9</v>
      </c>
      <c r="AIU20" s="2">
        <v>1.8</v>
      </c>
      <c r="AIV20" s="2">
        <v>-0.8</v>
      </c>
      <c r="AIW20" s="2">
        <v>-1.1</v>
      </c>
      <c r="AIX20" s="2">
        <v>-1.1</v>
      </c>
      <c r="AIY20" s="2">
        <v>1.5</v>
      </c>
      <c r="AIZ20" s="2">
        <v>-0.5</v>
      </c>
      <c r="AJA20" s="2">
        <v>-2.7</v>
      </c>
      <c r="AJB20" s="2">
        <v>1.5</v>
      </c>
      <c r="AJC20" s="2">
        <v>0.5</v>
      </c>
      <c r="AJD20" s="2">
        <v>-1.3</v>
      </c>
      <c r="AJE20" s="2">
        <v>1.5</v>
      </c>
      <c r="AJF20" s="2">
        <v>-4.1</v>
      </c>
      <c r="AJG20" s="2">
        <v>0.8</v>
      </c>
      <c r="AJH20" s="2">
        <v>-1</v>
      </c>
      <c r="AJI20" s="2">
        <v>-1.3</v>
      </c>
      <c r="AJJ20" s="2">
        <v>1.1</v>
      </c>
      <c r="AJK20" s="2">
        <v>0.4</v>
      </c>
      <c r="AJL20" s="2">
        <v>-0.2</v>
      </c>
      <c r="AJM20" s="2">
        <v>0.6</v>
      </c>
      <c r="AJN20" s="2">
        <v>-0.3</v>
      </c>
      <c r="AJO20" s="2">
        <v>0.5</v>
      </c>
      <c r="AJP20" s="2">
        <v>2</v>
      </c>
      <c r="AJQ20" s="2">
        <v>2.7</v>
      </c>
      <c r="AJR20" s="2">
        <v>-0.2</v>
      </c>
      <c r="AJS20" s="2">
        <v>0</v>
      </c>
      <c r="AJT20" s="2">
        <v>-1</v>
      </c>
      <c r="AJU20" s="2">
        <v>0.8</v>
      </c>
      <c r="AJV20" s="2">
        <v>-0.2</v>
      </c>
      <c r="AJW20" s="2">
        <v>0.7</v>
      </c>
      <c r="AJX20" s="2">
        <v>0.8</v>
      </c>
      <c r="AJY20" s="2">
        <v>0.9</v>
      </c>
      <c r="AJZ20" s="2">
        <v>4.3</v>
      </c>
      <c r="AKA20" s="2">
        <v>1</v>
      </c>
      <c r="AKB20" s="2">
        <v>0.7</v>
      </c>
      <c r="AKC20" s="2">
        <v>0</v>
      </c>
      <c r="AKD20" s="2">
        <v>2.3</v>
      </c>
      <c r="AKE20" s="2">
        <v>1.7</v>
      </c>
      <c r="AKF20" s="2">
        <v>0.1</v>
      </c>
      <c r="AKG20" s="2">
        <v>-0.7</v>
      </c>
      <c r="AKH20" s="2">
        <v>0.6</v>
      </c>
      <c r="AKI20" s="2">
        <v>1.1</v>
      </c>
      <c r="AKJ20" s="2">
        <v>-0.2</v>
      </c>
      <c r="AKK20" s="2">
        <v>0</v>
      </c>
      <c r="AKL20" s="2">
        <v>1.4</v>
      </c>
      <c r="AKM20" s="2">
        <v>1.1</v>
      </c>
      <c r="AKN20" s="2">
        <v>0.9</v>
      </c>
      <c r="AKO20" s="2">
        <v>-0.3</v>
      </c>
      <c r="AKP20" s="2">
        <v>0.12</v>
      </c>
      <c r="AKQ20" s="2">
        <v>0.12</v>
      </c>
      <c r="AKR20" s="2">
        <v>0.12</v>
      </c>
    </row>
    <row r="21">
      <c r="A21" t="inlineStr">
        <is>
          <t>Food additives and condiments</t>
        </is>
      </c>
      <c r="B21" t="inlineStr">
        <is>
          <t>Food products n.e.c.</t>
        </is>
      </c>
      <c r="C21">
        <v>3</v>
      </c>
      <c r="D21">
        <v>0.31</v>
      </c>
      <c r="E21" s="3">
        <f>D21/2.3*0.02298678920160827</f>
        <v>0.0030982194141298105</v>
      </c>
      <c r="F21" s="3">
        <f>E21-D21/100</f>
        <v>-1.780585870189439e-06</v>
      </c>
      <c r="G21" s="3">
        <f>D21/2.3</f>
        <v>0.13478260869565217</v>
      </c>
      <c r="H21" s="2">
        <v>80.94</v>
      </c>
      <c r="I21" s="2">
        <v>81.45</v>
      </c>
      <c r="J21" s="2">
        <v>81.81</v>
      </c>
      <c r="K21" s="2">
        <v>80.79000000000001</v>
      </c>
      <c r="L21" s="2">
        <v>82.45999999999999</v>
      </c>
      <c r="M21" s="2">
        <v>82.06</v>
      </c>
      <c r="N21" s="2">
        <v>82</v>
      </c>
      <c r="O21" s="2">
        <v>80.91</v>
      </c>
      <c r="P21" s="2">
        <v>80.68000000000001</v>
      </c>
      <c r="Q21" s="2">
        <v>80.89</v>
      </c>
      <c r="R21" s="2">
        <v>81.05</v>
      </c>
      <c r="S21" s="2">
        <v>80.95</v>
      </c>
      <c r="T21" s="2">
        <v>79.2</v>
      </c>
      <c r="U21" s="2">
        <v>81.16</v>
      </c>
      <c r="V21" s="2">
        <v>80.98</v>
      </c>
      <c r="W21" s="2">
        <v>79.70999999999999</v>
      </c>
      <c r="X21" s="2">
        <v>81.5</v>
      </c>
      <c r="Y21" s="2">
        <v>81.76000000000001</v>
      </c>
      <c r="Z21" s="2">
        <v>81.63</v>
      </c>
      <c r="AA21" s="2">
        <v>79.8</v>
      </c>
      <c r="AB21" s="2">
        <v>80.34</v>
      </c>
      <c r="AC21" s="2">
        <v>80.68000000000001</v>
      </c>
      <c r="AD21" s="2">
        <v>80.89</v>
      </c>
      <c r="AE21" s="2">
        <v>81.34999999999999</v>
      </c>
      <c r="AF21" s="2">
        <v>80.03</v>
      </c>
      <c r="AG21" s="2">
        <v>81.34</v>
      </c>
      <c r="AH21" s="2">
        <v>81.76000000000001</v>
      </c>
      <c r="AI21" s="2">
        <v>80.61</v>
      </c>
      <c r="AJ21" s="2">
        <v>82.34</v>
      </c>
      <c r="AK21" s="2">
        <v>82.48999999999999</v>
      </c>
      <c r="AL21" s="2">
        <v>84.27</v>
      </c>
      <c r="AM21" s="2">
        <v>85.33</v>
      </c>
      <c r="AN21" s="2">
        <v>83.16</v>
      </c>
      <c r="AO21" s="2">
        <v>82.41</v>
      </c>
      <c r="AP21" s="2">
        <v>82.76000000000001</v>
      </c>
      <c r="AQ21" s="2">
        <v>82.84</v>
      </c>
      <c r="AR21" s="2">
        <v>83.01000000000001</v>
      </c>
      <c r="AS21" s="2">
        <v>82.66</v>
      </c>
      <c r="AT21" s="2">
        <v>83.11</v>
      </c>
      <c r="AU21" s="2">
        <v>82.08</v>
      </c>
      <c r="AV21" s="2">
        <v>83.84</v>
      </c>
      <c r="AW21" s="2">
        <v>83.59</v>
      </c>
      <c r="AX21" s="2">
        <v>83.36</v>
      </c>
      <c r="AY21" s="2">
        <v>82.41</v>
      </c>
      <c r="AZ21" s="2">
        <v>82.56</v>
      </c>
      <c r="BA21" s="2">
        <v>82.67</v>
      </c>
      <c r="BB21" s="2">
        <v>83.61</v>
      </c>
      <c r="BC21" s="2">
        <v>83.76000000000001</v>
      </c>
      <c r="BD21" s="2">
        <v>83.77</v>
      </c>
      <c r="BE21" s="2">
        <v>84.36</v>
      </c>
      <c r="BF21" s="2">
        <v>84.70999999999999</v>
      </c>
      <c r="BG21" s="2">
        <v>83.88</v>
      </c>
      <c r="BH21" s="2">
        <v>86.20999999999999</v>
      </c>
      <c r="BI21" s="2">
        <v>88.36</v>
      </c>
      <c r="BJ21" s="2">
        <v>88.42</v>
      </c>
      <c r="BK21" s="2">
        <v>88.20999999999999</v>
      </c>
      <c r="BL21" s="2">
        <v>89</v>
      </c>
      <c r="BM21" s="2">
        <v>89.63</v>
      </c>
      <c r="BN21" s="2">
        <v>91.11</v>
      </c>
      <c r="BO21" s="2">
        <v>91.42</v>
      </c>
      <c r="BP21" s="2">
        <v>91.83</v>
      </c>
      <c r="BQ21" s="2">
        <v>92.64</v>
      </c>
      <c r="BR21" s="2">
        <v>92.86</v>
      </c>
      <c r="BS21" s="2">
        <v>91.98</v>
      </c>
      <c r="BT21" s="2">
        <v>93.97</v>
      </c>
      <c r="BU21" s="2">
        <v>96.16</v>
      </c>
      <c r="BV21" s="2">
        <v>95.81</v>
      </c>
      <c r="BW21" s="2">
        <v>96.25</v>
      </c>
      <c r="BX21" s="2">
        <v>96.34999999999999</v>
      </c>
      <c r="BY21" s="2">
        <v>96.3</v>
      </c>
      <c r="BZ21" s="2">
        <v>96.39</v>
      </c>
      <c r="CA21" s="2">
        <v>97.20999999999999</v>
      </c>
      <c r="CB21" s="2">
        <v>97.19</v>
      </c>
      <c r="CC21" s="2">
        <v>97.56999999999999</v>
      </c>
      <c r="CD21" s="2">
        <v>96.70999999999999</v>
      </c>
      <c r="CE21" s="2">
        <v>97.36</v>
      </c>
      <c r="CF21" s="2">
        <v>98.70999999999999</v>
      </c>
      <c r="CG21" s="2">
        <v>99.13</v>
      </c>
      <c r="CH21" s="2">
        <v>98.26000000000001</v>
      </c>
      <c r="CI21" s="2">
        <v>98.79000000000001</v>
      </c>
      <c r="CJ21" s="2">
        <v>98.06999999999999</v>
      </c>
      <c r="CK21" s="2">
        <v>98.23999999999999</v>
      </c>
      <c r="CL21" s="2">
        <v>97.69</v>
      </c>
      <c r="CM21" s="2">
        <v>98.58</v>
      </c>
      <c r="CN21" s="2">
        <v>98.03</v>
      </c>
      <c r="CO21" s="2">
        <v>98.61</v>
      </c>
      <c r="CP21" s="2">
        <v>98.39</v>
      </c>
      <c r="CQ21" s="2">
        <v>98.8</v>
      </c>
      <c r="CR21" s="2">
        <v>100.19</v>
      </c>
      <c r="CS21" s="2">
        <v>99.67</v>
      </c>
      <c r="CT21" s="2">
        <v>99.63</v>
      </c>
      <c r="CU21" s="2">
        <v>98.84999999999999</v>
      </c>
      <c r="CV21" s="2">
        <v>99.19</v>
      </c>
      <c r="CW21" s="2">
        <v>99.04000000000001</v>
      </c>
      <c r="CX21" s="2">
        <v>99.28</v>
      </c>
      <c r="CY21" s="2">
        <v>100.03</v>
      </c>
      <c r="CZ21" s="2">
        <v>100</v>
      </c>
      <c r="DA21" s="2">
        <v>100.62</v>
      </c>
      <c r="DB21" s="2">
        <v>100.52</v>
      </c>
      <c r="DC21" s="2">
        <v>99.90000000000001</v>
      </c>
      <c r="DD21" s="2">
        <v>101.57</v>
      </c>
      <c r="DE21" s="2">
        <v>100.47</v>
      </c>
      <c r="DF21" s="2">
        <v>100.37</v>
      </c>
      <c r="DG21" s="2">
        <v>100.27</v>
      </c>
      <c r="DH21" s="2">
        <v>100.7</v>
      </c>
      <c r="DI21" s="2">
        <v>100.19</v>
      </c>
      <c r="DJ21" s="2">
        <v>100.01</v>
      </c>
      <c r="DK21" s="2">
        <v>-2.1</v>
      </c>
      <c r="DL21" s="2">
        <v>-0.4</v>
      </c>
      <c r="DM21" s="2">
        <v>-1</v>
      </c>
      <c r="DN21" s="2">
        <v>-1.3</v>
      </c>
      <c r="DO21" s="2">
        <v>-1.2</v>
      </c>
      <c r="DP21" s="2">
        <v>-0.4</v>
      </c>
      <c r="DQ21" s="2">
        <v>-0.5</v>
      </c>
      <c r="DR21" s="2">
        <v>-1.4</v>
      </c>
      <c r="DS21" s="2">
        <v>-0.4</v>
      </c>
      <c r="DT21" s="2">
        <v>-0.3</v>
      </c>
      <c r="DU21" s="2">
        <v>-0.2</v>
      </c>
      <c r="DV21" s="2">
        <v>0.5</v>
      </c>
      <c r="DW21" s="2">
        <v>1</v>
      </c>
      <c r="DX21" s="2">
        <v>0.2</v>
      </c>
      <c r="DY21" s="2">
        <v>1</v>
      </c>
      <c r="DZ21" s="2">
        <v>1.1</v>
      </c>
      <c r="EA21" s="2">
        <v>1</v>
      </c>
      <c r="EB21" s="2">
        <v>0.9</v>
      </c>
      <c r="EC21" s="2">
        <v>3.2</v>
      </c>
      <c r="ED21" s="2">
        <v>6.9</v>
      </c>
      <c r="EE21" s="2">
        <v>3.5</v>
      </c>
      <c r="EF21" s="2">
        <v>2.1</v>
      </c>
      <c r="EG21" s="2">
        <v>2.3</v>
      </c>
      <c r="EH21" s="2">
        <v>1.8</v>
      </c>
      <c r="EI21" s="2">
        <v>3.7</v>
      </c>
      <c r="EJ21" s="2">
        <v>1.6</v>
      </c>
      <c r="EK21" s="2">
        <v>1.7</v>
      </c>
      <c r="EL21" s="2">
        <v>1.8</v>
      </c>
      <c r="EM21" s="2">
        <v>1.8</v>
      </c>
      <c r="EN21" s="2">
        <v>1.3</v>
      </c>
      <c r="EO21" s="2">
        <v>-1.1</v>
      </c>
      <c r="EP21" s="2">
        <v>-3.4</v>
      </c>
      <c r="EQ21" s="2">
        <v>-0.7</v>
      </c>
      <c r="ER21" s="2">
        <v>0.3</v>
      </c>
      <c r="ES21" s="2">
        <v>1</v>
      </c>
      <c r="ET21" s="2">
        <v>1.1</v>
      </c>
      <c r="EU21" s="2">
        <v>0.9</v>
      </c>
      <c r="EV21" s="2">
        <v>2.1</v>
      </c>
      <c r="EW21" s="2">
        <v>1.9</v>
      </c>
      <c r="EX21" s="2">
        <v>2.2</v>
      </c>
      <c r="EY21" s="2">
        <v>2.8</v>
      </c>
      <c r="EZ21" s="2">
        <v>5.7</v>
      </c>
      <c r="FA21" s="2">
        <v>6.1</v>
      </c>
      <c r="FB21" s="2">
        <v>7</v>
      </c>
      <c r="FC21" s="2">
        <v>7.8</v>
      </c>
      <c r="FD21" s="2">
        <v>8.4</v>
      </c>
      <c r="FE21" s="2">
        <v>9</v>
      </c>
      <c r="FF21" s="2">
        <v>9.1</v>
      </c>
      <c r="FG21" s="2">
        <v>9.6</v>
      </c>
      <c r="FH21" s="2">
        <v>9.800000000000001</v>
      </c>
      <c r="FI21" s="2">
        <v>9.6</v>
      </c>
      <c r="FJ21" s="2">
        <v>9.699999999999999</v>
      </c>
      <c r="FK21" s="2">
        <v>9</v>
      </c>
      <c r="FL21" s="2">
        <v>8.800000000000001</v>
      </c>
      <c r="FM21" s="2">
        <v>8.4</v>
      </c>
      <c r="FN21" s="2">
        <v>9.1</v>
      </c>
      <c r="FO21" s="2">
        <v>8.300000000000001</v>
      </c>
      <c r="FP21" s="2">
        <v>7.4</v>
      </c>
      <c r="FQ21" s="2">
        <v>5.8</v>
      </c>
      <c r="FR21" s="2">
        <v>6.3</v>
      </c>
      <c r="FS21" s="2">
        <v>5.8</v>
      </c>
      <c r="FT21" s="2">
        <v>5.3</v>
      </c>
      <c r="FU21" s="2">
        <v>4.1</v>
      </c>
      <c r="FV21" s="2">
        <v>5.8</v>
      </c>
      <c r="FW21" s="2">
        <v>5</v>
      </c>
      <c r="FX21" s="2">
        <v>3.1</v>
      </c>
      <c r="FY21" s="2">
        <v>2.6</v>
      </c>
      <c r="FZ21" s="2">
        <v>2.6</v>
      </c>
      <c r="GA21" s="2">
        <v>1.8</v>
      </c>
      <c r="GB21" s="2">
        <v>2</v>
      </c>
      <c r="GC21" s="2">
        <v>1.3</v>
      </c>
      <c r="GD21" s="2">
        <v>1.4</v>
      </c>
      <c r="GE21" s="2">
        <v>0.9</v>
      </c>
      <c r="GF21" s="2">
        <v>1.1</v>
      </c>
      <c r="GG21" s="2">
        <v>1.7</v>
      </c>
      <c r="GH21" s="2">
        <v>1.5</v>
      </c>
      <c r="GI21" s="2">
        <v>1.5</v>
      </c>
      <c r="GJ21" s="2">
        <v>0.5</v>
      </c>
      <c r="GK21" s="2">
        <v>1.4</v>
      </c>
      <c r="GL21" s="2">
        <v>0.1</v>
      </c>
      <c r="GM21" s="2">
        <v>1.1</v>
      </c>
      <c r="GN21" s="2">
        <v>0.8</v>
      </c>
      <c r="GO21" s="2">
        <v>1.6</v>
      </c>
      <c r="GP21" s="2">
        <v>1.5</v>
      </c>
      <c r="GQ21" s="2">
        <v>2</v>
      </c>
      <c r="GR21" s="2">
        <v>2</v>
      </c>
      <c r="GS21" s="2">
        <v>2.2</v>
      </c>
      <c r="GT21" s="2">
        <v>1.1</v>
      </c>
      <c r="GU21" s="2">
        <v>1.4</v>
      </c>
      <c r="GV21" s="2">
        <v>0.8</v>
      </c>
      <c r="GW21" s="2">
        <v>0.7</v>
      </c>
      <c r="GX21" s="2">
        <v>1.4</v>
      </c>
      <c r="GY21" s="2">
        <v>1.5</v>
      </c>
      <c r="GZ21" s="2">
        <v>1.2</v>
      </c>
      <c r="HA21" s="2">
        <v>0.7</v>
      </c>
      <c r="HB21" s="2">
        <v>0.6</v>
      </c>
      <c r="HC21" s="2">
        <v>0.4</v>
      </c>
      <c r="HD21" s="2">
        <v>-1.2</v>
      </c>
      <c r="HE21" s="2">
        <v>2.1</v>
      </c>
      <c r="HF21" s="2">
        <v>-0.5</v>
      </c>
      <c r="HG21" s="2">
        <v>-0.1</v>
      </c>
      <c r="HH21" s="2">
        <v>-1.3</v>
      </c>
      <c r="HI21" s="2">
        <v>-0.3</v>
      </c>
      <c r="HJ21" s="2">
        <v>0.3</v>
      </c>
      <c r="HK21" s="2">
        <v>0.2</v>
      </c>
      <c r="HL21" s="2">
        <v>-0.1</v>
      </c>
      <c r="HM21" s="2">
        <v>-2.2</v>
      </c>
      <c r="HN21" s="2">
        <v>2.5</v>
      </c>
      <c r="HO21" s="2">
        <v>-0.2</v>
      </c>
      <c r="HP21" s="2">
        <v>-1.6</v>
      </c>
      <c r="HQ21" s="2">
        <v>2.2</v>
      </c>
      <c r="HR21" s="2">
        <v>0.3</v>
      </c>
      <c r="HS21" s="2">
        <v>-0.2</v>
      </c>
      <c r="HT21" s="2">
        <v>-2.2</v>
      </c>
      <c r="HU21" s="2">
        <v>0.7</v>
      </c>
      <c r="HV21" s="2">
        <v>0.4</v>
      </c>
      <c r="HW21" s="2">
        <v>0.3</v>
      </c>
      <c r="HX21" s="2">
        <v>0.6</v>
      </c>
      <c r="HY21" s="2">
        <v>-1.6</v>
      </c>
      <c r="HZ21" s="2">
        <v>1.6</v>
      </c>
      <c r="IA21" s="2">
        <v>0.5</v>
      </c>
      <c r="IB21" s="2">
        <v>-1.4</v>
      </c>
      <c r="IC21" s="2">
        <v>2.1</v>
      </c>
      <c r="ID21" s="2">
        <v>0.2</v>
      </c>
      <c r="IE21" s="2">
        <v>2.2</v>
      </c>
      <c r="IF21" s="2">
        <v>1.3</v>
      </c>
      <c r="IG21" s="2">
        <v>-2.5</v>
      </c>
      <c r="IH21" s="2">
        <v>-0.9</v>
      </c>
      <c r="II21" s="2">
        <v>0.4</v>
      </c>
      <c r="IJ21" s="2">
        <v>0.1</v>
      </c>
      <c r="IK21" s="2">
        <v>0.2</v>
      </c>
      <c r="IL21" s="2">
        <v>-0.4</v>
      </c>
      <c r="IM21" s="2">
        <v>0.5</v>
      </c>
      <c r="IN21" s="2">
        <v>-1.2</v>
      </c>
      <c r="IO21" s="2">
        <v>2.1</v>
      </c>
      <c r="IP21" s="2">
        <v>-0.3</v>
      </c>
      <c r="IQ21" s="2">
        <v>-0.3</v>
      </c>
      <c r="IR21" s="2">
        <v>-1.1</v>
      </c>
      <c r="IS21" s="2">
        <v>0.2</v>
      </c>
      <c r="IT21" s="2">
        <v>0.1</v>
      </c>
      <c r="IU21" s="2">
        <v>1.1</v>
      </c>
      <c r="IV21" s="2">
        <v>0.2</v>
      </c>
      <c r="IW21" s="2">
        <v>0</v>
      </c>
      <c r="IX21" s="2">
        <v>0.7</v>
      </c>
      <c r="IY21" s="2">
        <v>0.4</v>
      </c>
      <c r="IZ21" s="2">
        <v>-1</v>
      </c>
      <c r="JA21" s="2">
        <v>2.8</v>
      </c>
      <c r="JB21" s="2">
        <v>2.5</v>
      </c>
      <c r="JC21" s="2">
        <v>0.1</v>
      </c>
      <c r="JD21" s="2">
        <v>-0.2</v>
      </c>
      <c r="JE21" s="2">
        <v>0.9</v>
      </c>
      <c r="JF21" s="2">
        <v>0.7</v>
      </c>
      <c r="JG21" s="2">
        <v>1.7</v>
      </c>
      <c r="JH21" s="2">
        <v>0.3</v>
      </c>
      <c r="JI21" s="2">
        <v>0.4</v>
      </c>
      <c r="JJ21" s="2">
        <v>0.9</v>
      </c>
      <c r="JK21" s="2">
        <v>0.2</v>
      </c>
      <c r="JL21" s="2">
        <v>-0.9</v>
      </c>
      <c r="JM21" s="2">
        <v>2.2</v>
      </c>
      <c r="JN21" s="2">
        <v>2.3</v>
      </c>
      <c r="JO21" s="2">
        <v>-0.4</v>
      </c>
      <c r="JP21" s="2">
        <v>0.5</v>
      </c>
      <c r="JQ21" s="2">
        <v>0.1</v>
      </c>
      <c r="JR21" s="2">
        <v>-0.1</v>
      </c>
      <c r="JS21" s="2">
        <v>0.1</v>
      </c>
      <c r="JT21" s="2">
        <v>0.9</v>
      </c>
      <c r="JU21" s="2">
        <v>0</v>
      </c>
      <c r="JV21" s="2">
        <v>0.4</v>
      </c>
      <c r="JW21" s="2">
        <v>-0.9</v>
      </c>
      <c r="JX21" s="2">
        <v>0.7</v>
      </c>
      <c r="JY21" s="2">
        <v>1.4</v>
      </c>
      <c r="JZ21" s="2">
        <v>0.4</v>
      </c>
      <c r="KA21" s="2">
        <v>-0.9</v>
      </c>
      <c r="KB21" s="2">
        <v>0.5</v>
      </c>
      <c r="KC21" s="2">
        <v>-0.7</v>
      </c>
      <c r="KD21" s="2">
        <v>0.2</v>
      </c>
      <c r="KE21" s="2">
        <v>-0.6</v>
      </c>
      <c r="KF21" s="2">
        <v>0.9</v>
      </c>
      <c r="KG21" s="2">
        <v>-0.6</v>
      </c>
      <c r="KH21" s="2">
        <v>0.6</v>
      </c>
      <c r="KI21" s="2">
        <v>-0.2</v>
      </c>
      <c r="KJ21" s="2">
        <v>0.4</v>
      </c>
      <c r="KK21" s="2">
        <v>1.4</v>
      </c>
      <c r="KL21" s="2">
        <v>-0.5</v>
      </c>
      <c r="KM21" s="2">
        <v>0</v>
      </c>
      <c r="KN21" s="2">
        <v>-0.8</v>
      </c>
      <c r="KO21" s="2">
        <v>0.3</v>
      </c>
      <c r="KP21" s="2">
        <v>-0.2</v>
      </c>
      <c r="KQ21" s="2">
        <v>0.2</v>
      </c>
      <c r="KR21" s="2">
        <v>0.8</v>
      </c>
      <c r="KS21" s="2">
        <v>0</v>
      </c>
      <c r="KT21" s="2">
        <v>0.6</v>
      </c>
      <c r="KU21" s="2">
        <v>-0.1</v>
      </c>
      <c r="KV21" s="2">
        <v>-0.6</v>
      </c>
      <c r="KW21" s="2">
        <v>1.7</v>
      </c>
      <c r="KX21" s="2">
        <v>-1.1</v>
      </c>
      <c r="KY21" s="2">
        <v>-0.1</v>
      </c>
      <c r="KZ21" s="2">
        <v>-0.1</v>
      </c>
      <c r="LA21" s="2">
        <v>0.4</v>
      </c>
      <c r="LB21" s="2">
        <v>-0.5</v>
      </c>
      <c r="LC21" s="2">
        <v>-0.2</v>
      </c>
      <c r="LD21" s="2">
        <v>0.31</v>
      </c>
      <c r="LE21" s="2">
        <v>0.31</v>
      </c>
      <c r="LF21" s="2">
        <v>0.31</v>
      </c>
      <c r="LG21" s="2">
        <v>0.31</v>
      </c>
      <c r="LH21" s="2">
        <v>0.31</v>
      </c>
      <c r="LI21" s="2">
        <v>0.31</v>
      </c>
      <c r="LJ21" s="2">
        <v>0.31</v>
      </c>
      <c r="LK21" s="2">
        <v>0.31</v>
      </c>
      <c r="LL21" s="2">
        <v>0.31</v>
      </c>
      <c r="LM21" s="2">
        <v>0.31</v>
      </c>
      <c r="LN21" s="2">
        <v>0.31</v>
      </c>
      <c r="LO21" s="2">
        <v>0.31</v>
      </c>
      <c r="LP21" s="2">
        <v>0.31</v>
      </c>
      <c r="LQ21" s="2">
        <v>0.31</v>
      </c>
      <c r="LR21" s="2">
        <v>0.31</v>
      </c>
      <c r="LS21" s="2">
        <v>0.31</v>
      </c>
      <c r="LT21" s="2">
        <v>0.31</v>
      </c>
      <c r="LU21" s="2">
        <v>0.31</v>
      </c>
      <c r="LV21" s="2">
        <v>0.31</v>
      </c>
      <c r="LW21" s="2">
        <v>0.31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SY21" s="2">
        <v>49.83</v>
      </c>
      <c r="SZ21" s="2">
        <v>51.48</v>
      </c>
      <c r="TA21" s="2">
        <v>51.85</v>
      </c>
      <c r="TB21" s="2">
        <v>53.97</v>
      </c>
      <c r="TC21" s="2">
        <v>54.96</v>
      </c>
      <c r="TD21" s="2">
        <v>54.8</v>
      </c>
      <c r="TE21" s="2">
        <v>55.01</v>
      </c>
      <c r="TF21" s="2">
        <v>55.21</v>
      </c>
      <c r="TG21" s="2">
        <v>55.47</v>
      </c>
      <c r="TH21" s="2">
        <v>54.9</v>
      </c>
      <c r="TI21" s="2">
        <v>54.7</v>
      </c>
      <c r="TJ21" s="2">
        <v>55.58</v>
      </c>
      <c r="TK21" s="2">
        <v>55.52</v>
      </c>
      <c r="TL21" s="2">
        <v>55.32</v>
      </c>
      <c r="TM21" s="2">
        <v>55.47</v>
      </c>
      <c r="TN21" s="2">
        <v>55.63</v>
      </c>
      <c r="TO21" s="2">
        <v>58.22</v>
      </c>
      <c r="TP21" s="2">
        <v>58.27</v>
      </c>
      <c r="TQ21" s="2">
        <v>58.58</v>
      </c>
      <c r="TR21" s="2">
        <v>57.75</v>
      </c>
      <c r="TS21" s="2">
        <v>58.11</v>
      </c>
      <c r="TT21" s="2">
        <v>58.27</v>
      </c>
      <c r="TU21" s="2">
        <v>58.32</v>
      </c>
      <c r="TV21" s="2">
        <v>58.74</v>
      </c>
      <c r="TW21" s="2">
        <v>58.68</v>
      </c>
      <c r="TX21" s="2">
        <v>58.53</v>
      </c>
      <c r="TY21" s="2">
        <v>58.27</v>
      </c>
      <c r="TZ21" s="2">
        <v>57.75</v>
      </c>
      <c r="UA21" s="2">
        <v>58.48</v>
      </c>
      <c r="UB21" s="2">
        <v>58.43</v>
      </c>
      <c r="UC21" s="2">
        <v>58.48</v>
      </c>
      <c r="UD21" s="2">
        <v>59.36</v>
      </c>
      <c r="UE21" s="2">
        <v>59.67</v>
      </c>
      <c r="UF21" s="2">
        <v>59</v>
      </c>
      <c r="UG21" s="2">
        <v>61.22</v>
      </c>
      <c r="UH21" s="2">
        <v>61.9</v>
      </c>
      <c r="UI21" s="2">
        <v>63.46</v>
      </c>
      <c r="UJ21" s="2">
        <v>63.12</v>
      </c>
      <c r="UK21" s="2">
        <v>64.06</v>
      </c>
      <c r="UL21" s="2">
        <v>64.43000000000001</v>
      </c>
      <c r="UM21" s="2">
        <v>64.92</v>
      </c>
      <c r="UN21" s="2">
        <v>63.53</v>
      </c>
      <c r="UO21" s="2">
        <v>64.36</v>
      </c>
      <c r="UP21" s="2">
        <v>64.90000000000001</v>
      </c>
      <c r="UQ21" s="2">
        <v>64.05</v>
      </c>
      <c r="UR21" s="2">
        <v>64.55</v>
      </c>
      <c r="US21" s="2">
        <v>65.12</v>
      </c>
      <c r="UT21" s="2">
        <v>65.54000000000001</v>
      </c>
      <c r="UU21" s="2">
        <v>68.09999999999999</v>
      </c>
      <c r="UV21" s="2">
        <v>66.77</v>
      </c>
      <c r="UW21" s="2">
        <v>67.56</v>
      </c>
      <c r="UX21" s="2">
        <v>67.70999999999999</v>
      </c>
      <c r="UY21" s="2">
        <v>67.66</v>
      </c>
      <c r="UZ21" s="2">
        <v>66.51000000000001</v>
      </c>
      <c r="VA21" s="2">
        <v>68.27</v>
      </c>
      <c r="VB21" s="2">
        <v>68.45</v>
      </c>
      <c r="VC21" s="2">
        <v>68.19</v>
      </c>
      <c r="VD21" s="2">
        <v>66.79000000000001</v>
      </c>
      <c r="VE21" s="2">
        <v>67.09</v>
      </c>
      <c r="VF21" s="2">
        <v>66.66</v>
      </c>
      <c r="VG21" s="2">
        <v>66.47</v>
      </c>
      <c r="VH21" s="2">
        <v>66.83</v>
      </c>
      <c r="VI21" s="2">
        <v>66.92</v>
      </c>
      <c r="VJ21" s="2">
        <v>66.67</v>
      </c>
      <c r="VK21" s="2">
        <v>68.31999999999999</v>
      </c>
      <c r="VL21" s="2">
        <v>67.2</v>
      </c>
      <c r="VM21" s="2">
        <v>67.95</v>
      </c>
      <c r="VN21" s="2">
        <v>68.29000000000001</v>
      </c>
      <c r="VO21" s="2">
        <v>69.59999999999999</v>
      </c>
      <c r="VP21" s="2">
        <v>71.39</v>
      </c>
      <c r="VQ21" s="2">
        <v>72.36</v>
      </c>
      <c r="VR21" s="2">
        <v>73</v>
      </c>
      <c r="VS21" s="2">
        <v>73.59999999999999</v>
      </c>
      <c r="VT21" s="2">
        <v>72.73999999999999</v>
      </c>
      <c r="VU21" s="2">
        <v>73.17</v>
      </c>
      <c r="VV21" s="2">
        <v>75.20999999999999</v>
      </c>
      <c r="VW21" s="2">
        <v>76.31999999999999</v>
      </c>
      <c r="VX21" s="2">
        <v>76.47</v>
      </c>
      <c r="VY21" s="2">
        <v>76.70999999999999</v>
      </c>
      <c r="VZ21" s="2">
        <v>78.87</v>
      </c>
      <c r="WA21" s="2">
        <v>79.95999999999999</v>
      </c>
      <c r="WB21" s="2">
        <v>79.05</v>
      </c>
      <c r="WC21" s="2">
        <v>80.56</v>
      </c>
      <c r="WD21" s="2">
        <v>80.59999999999999</v>
      </c>
      <c r="WE21" s="2">
        <v>80.95999999999999</v>
      </c>
      <c r="WF21" s="2">
        <v>80.19</v>
      </c>
      <c r="WG21" s="2">
        <v>81.56</v>
      </c>
      <c r="WH21" s="2">
        <v>82.40000000000001</v>
      </c>
      <c r="WI21" s="2">
        <v>83.09</v>
      </c>
      <c r="WJ21" s="2">
        <v>82.69</v>
      </c>
      <c r="WK21" s="2">
        <v>84.98</v>
      </c>
      <c r="WL21" s="2">
        <v>84.48999999999999</v>
      </c>
      <c r="WM21" s="2">
        <v>84.76000000000001</v>
      </c>
      <c r="WN21" s="2">
        <v>82.37</v>
      </c>
      <c r="WO21" s="2">
        <v>82.52</v>
      </c>
      <c r="WP21" s="2">
        <v>84.20999999999999</v>
      </c>
      <c r="WQ21" s="2">
        <v>84.91</v>
      </c>
      <c r="WR21" s="2">
        <v>84.81</v>
      </c>
      <c r="WS21" s="2">
        <v>85.48</v>
      </c>
      <c r="WT21" s="2">
        <v>83.51000000000001</v>
      </c>
      <c r="WU21" s="2">
        <v>83.76000000000001</v>
      </c>
      <c r="WV21" s="2">
        <v>82.23</v>
      </c>
      <c r="WW21" s="2">
        <v>82.94</v>
      </c>
      <c r="WX21" s="2">
        <v>81.95</v>
      </c>
      <c r="WY21" s="2">
        <v>82.58</v>
      </c>
      <c r="WZ21" s="2">
        <v>80.97</v>
      </c>
      <c r="XA21" s="2">
        <v>82.31</v>
      </c>
      <c r="XB21" s="2">
        <v>81.08</v>
      </c>
      <c r="XC21" s="2">
        <v>81.94</v>
      </c>
      <c r="XD21" s="2">
        <v>80.66</v>
      </c>
      <c r="XE21" s="2">
        <v>81.83</v>
      </c>
      <c r="XF21" s="2">
        <v>79.87</v>
      </c>
      <c r="XG21" s="2">
        <v>81.23999999999999</v>
      </c>
      <c r="XH21" s="2">
        <v>81.39</v>
      </c>
      <c r="XI21" s="2">
        <v>82.42</v>
      </c>
      <c r="XJ21" s="2">
        <v>80.95999999999999</v>
      </c>
      <c r="XK21" s="2">
        <v>80.61</v>
      </c>
      <c r="XL21" s="2">
        <v>80.67</v>
      </c>
      <c r="XM21" s="2">
        <v>81.87</v>
      </c>
      <c r="XN21" s="2">
        <v>80.45999999999999</v>
      </c>
      <c r="XO21" s="2">
        <v>80.75</v>
      </c>
      <c r="XP21" s="2">
        <v>80.95999999999999</v>
      </c>
      <c r="XQ21" s="2">
        <v>83.05</v>
      </c>
      <c r="XR21" s="2">
        <v>83.36</v>
      </c>
      <c r="XS21" s="2">
        <v>82.44</v>
      </c>
      <c r="XT21" s="2">
        <v>82.20999999999999</v>
      </c>
      <c r="XU21" s="2">
        <v>83.31</v>
      </c>
      <c r="XV21" s="2">
        <v>82.41</v>
      </c>
      <c r="XW21" s="2">
        <v>83.48</v>
      </c>
      <c r="XX21" s="2">
        <v>84.23</v>
      </c>
      <c r="XY21" s="2">
        <v>87.64</v>
      </c>
      <c r="XZ21" s="2">
        <v>89.04000000000001</v>
      </c>
      <c r="YA21" s="2">
        <v>91.45</v>
      </c>
      <c r="YB21" s="2">
        <v>92.5</v>
      </c>
      <c r="YC21" s="2">
        <v>95.31</v>
      </c>
      <c r="YD21" s="2">
        <v>96.3</v>
      </c>
      <c r="YE21" s="2">
        <v>96.93000000000001</v>
      </c>
      <c r="YF21" s="2">
        <v>97.20999999999999</v>
      </c>
      <c r="YG21" s="2">
        <v>98.7</v>
      </c>
      <c r="YH21" s="2">
        <v>98.37</v>
      </c>
      <c r="YI21" s="2">
        <v>98.09999999999999</v>
      </c>
      <c r="YJ21" s="2">
        <v>98.59999999999999</v>
      </c>
      <c r="YK21" s="2">
        <v>99.83</v>
      </c>
      <c r="YL21" s="2">
        <v>99.03</v>
      </c>
      <c r="YM21" s="2">
        <v>99.77</v>
      </c>
      <c r="YN21" s="2">
        <v>100.34</v>
      </c>
      <c r="YO21" s="2">
        <v>100.8</v>
      </c>
      <c r="YP21" s="2">
        <v>100.39</v>
      </c>
      <c r="AEY21" s="2">
        <v>3.3</v>
      </c>
      <c r="AEZ21" s="2">
        <v>0.7</v>
      </c>
      <c r="AFA21" s="2">
        <v>4.1</v>
      </c>
      <c r="AFB21" s="2">
        <v>1.8</v>
      </c>
      <c r="AFC21" s="2">
        <v>-0.3</v>
      </c>
      <c r="AFD21" s="2">
        <v>0.4</v>
      </c>
      <c r="AFE21" s="2">
        <v>0.4</v>
      </c>
      <c r="AFF21" s="2">
        <v>0.5</v>
      </c>
      <c r="AFG21" s="2">
        <v>-1</v>
      </c>
      <c r="AFH21" s="2">
        <v>-0.4</v>
      </c>
      <c r="AFI21" s="2">
        <v>1.6</v>
      </c>
      <c r="AFJ21" s="2">
        <v>-0.1</v>
      </c>
      <c r="AFK21" s="2">
        <v>-0.4</v>
      </c>
      <c r="AFL21" s="2">
        <v>0.3</v>
      </c>
      <c r="AFM21" s="2">
        <v>0.3</v>
      </c>
      <c r="AFN21" s="2">
        <v>4.7</v>
      </c>
      <c r="AFO21" s="2">
        <v>0.1</v>
      </c>
      <c r="AFP21" s="2">
        <v>0.5</v>
      </c>
      <c r="AFQ21" s="2">
        <v>-1.4</v>
      </c>
      <c r="AFR21" s="2">
        <v>0.6</v>
      </c>
      <c r="AFS21" s="2">
        <v>0.3</v>
      </c>
      <c r="AFT21" s="2">
        <v>0.1</v>
      </c>
      <c r="AFU21" s="2">
        <v>0.7</v>
      </c>
      <c r="AFV21" s="2">
        <v>-0.1</v>
      </c>
      <c r="AFW21" s="2">
        <v>-0.3</v>
      </c>
      <c r="AFX21" s="2">
        <v>-0.4</v>
      </c>
      <c r="AFY21" s="2">
        <v>-0.9</v>
      </c>
      <c r="AFZ21" s="2">
        <v>1.3</v>
      </c>
      <c r="AGA21" s="2">
        <v>-0.1</v>
      </c>
      <c r="AGB21" s="2">
        <v>0.1</v>
      </c>
      <c r="AGC21" s="2">
        <v>1.5</v>
      </c>
      <c r="AGD21" s="2">
        <v>0.5</v>
      </c>
      <c r="AGE21" s="2">
        <v>-1.1</v>
      </c>
      <c r="AGF21" s="2">
        <v>3.8</v>
      </c>
      <c r="AGG21" s="2">
        <v>1.1</v>
      </c>
      <c r="AGH21" s="2">
        <v>2.5</v>
      </c>
      <c r="AGI21" s="2">
        <v>-0.5</v>
      </c>
      <c r="AGJ21" s="2">
        <v>1.5</v>
      </c>
      <c r="AGK21" s="2">
        <v>0.6</v>
      </c>
      <c r="AGL21" s="2">
        <v>0.8</v>
      </c>
      <c r="AGM21" s="2">
        <v>-2.1</v>
      </c>
      <c r="AGN21" s="2">
        <v>1.3</v>
      </c>
      <c r="AGO21" s="2">
        <v>0.8</v>
      </c>
      <c r="AGP21" s="2">
        <v>-1.3</v>
      </c>
      <c r="AGQ21" s="2">
        <v>0.8</v>
      </c>
      <c r="AGR21" s="2">
        <v>0.9</v>
      </c>
      <c r="AGS21" s="2">
        <v>0.6</v>
      </c>
      <c r="AGT21" s="2">
        <v>3.9</v>
      </c>
      <c r="AGU21" s="2">
        <v>-2</v>
      </c>
      <c r="AGV21" s="2">
        <v>1.2</v>
      </c>
      <c r="AGW21" s="2">
        <v>0.2</v>
      </c>
      <c r="AGX21" s="2">
        <v>-0.1</v>
      </c>
      <c r="AGY21" s="2">
        <v>-1.7</v>
      </c>
      <c r="AGZ21" s="2">
        <v>2.6</v>
      </c>
      <c r="AHA21" s="2">
        <v>0.3</v>
      </c>
      <c r="AHB21" s="2">
        <v>-0.4</v>
      </c>
      <c r="AHC21" s="2">
        <v>-2.1</v>
      </c>
      <c r="AHD21" s="2">
        <v>0.4</v>
      </c>
      <c r="AHE21" s="2">
        <v>-0.6</v>
      </c>
      <c r="AHF21" s="2">
        <v>-0.3</v>
      </c>
      <c r="AHG21" s="2">
        <v>0.5</v>
      </c>
      <c r="AHH21" s="2">
        <v>0.1</v>
      </c>
      <c r="AHI21" s="2">
        <v>-0.4</v>
      </c>
      <c r="AHJ21" s="2">
        <v>2.5</v>
      </c>
      <c r="AHK21" s="2">
        <v>-1.6</v>
      </c>
      <c r="AHL21" s="2">
        <v>1.1</v>
      </c>
      <c r="AHM21" s="2">
        <v>0.5</v>
      </c>
      <c r="AHN21" s="2">
        <v>1.9</v>
      </c>
      <c r="AHO21" s="2">
        <v>2.6</v>
      </c>
      <c r="AHP21" s="2">
        <v>1.4</v>
      </c>
      <c r="AHQ21" s="2">
        <v>0.9</v>
      </c>
      <c r="AHR21" s="2">
        <v>0.8</v>
      </c>
      <c r="AHS21" s="2">
        <v>-1.2</v>
      </c>
      <c r="AHT21" s="2">
        <v>0.6</v>
      </c>
      <c r="AHU21" s="2">
        <v>2.8</v>
      </c>
      <c r="AHV21" s="2">
        <v>1.5</v>
      </c>
      <c r="AHW21" s="2">
        <v>0.2</v>
      </c>
      <c r="AHX21" s="2">
        <v>0.3</v>
      </c>
      <c r="AHY21" s="2">
        <v>2.8</v>
      </c>
      <c r="AHZ21" s="2">
        <v>1.4</v>
      </c>
      <c r="AIA21" s="2">
        <v>-1.1</v>
      </c>
      <c r="AIB21" s="2">
        <v>1.9</v>
      </c>
      <c r="AIC21" s="2">
        <v>0</v>
      </c>
      <c r="AID21" s="2">
        <v>0.4</v>
      </c>
      <c r="AIE21" s="2">
        <v>-1</v>
      </c>
      <c r="AIF21" s="2">
        <v>1.7</v>
      </c>
      <c r="AIG21" s="2">
        <v>1</v>
      </c>
      <c r="AIH21" s="2">
        <v>0.8</v>
      </c>
      <c r="AII21" s="2">
        <v>-0.5</v>
      </c>
      <c r="AIJ21" s="2">
        <v>2.8</v>
      </c>
      <c r="AIK21" s="2">
        <v>-0.6</v>
      </c>
      <c r="AIL21" s="2">
        <v>0.3</v>
      </c>
      <c r="AIM21" s="2">
        <v>-2.8</v>
      </c>
      <c r="AIN21" s="2">
        <v>0.2</v>
      </c>
      <c r="AIO21" s="2">
        <v>2</v>
      </c>
      <c r="AIP21" s="2">
        <v>0.8</v>
      </c>
      <c r="AIQ21" s="2">
        <v>-0.1</v>
      </c>
      <c r="AIR21" s="2">
        <v>0.8</v>
      </c>
      <c r="AIS21" s="2">
        <v>-2.3</v>
      </c>
      <c r="AIT21" s="2">
        <v>0.3</v>
      </c>
      <c r="AIU21" s="2">
        <v>-1.8</v>
      </c>
      <c r="AIV21" s="2">
        <v>0.9</v>
      </c>
      <c r="AIW21" s="2">
        <v>-1.2</v>
      </c>
      <c r="AIX21" s="2">
        <v>0.8</v>
      </c>
      <c r="AIY21" s="2">
        <v>-1.9</v>
      </c>
      <c r="AIZ21" s="2">
        <v>1.7</v>
      </c>
      <c r="AJA21" s="2">
        <v>-1.5</v>
      </c>
      <c r="AJB21" s="2">
        <v>1.1</v>
      </c>
      <c r="AJC21" s="2">
        <v>-1.6</v>
      </c>
      <c r="AJD21" s="2">
        <v>1.5</v>
      </c>
      <c r="AJE21" s="2">
        <v>-2.4</v>
      </c>
      <c r="AJF21" s="2">
        <v>1.7</v>
      </c>
      <c r="AJG21" s="2">
        <v>0.2</v>
      </c>
      <c r="AJH21" s="2">
        <v>1.3</v>
      </c>
      <c r="AJI21" s="2">
        <v>-1.8</v>
      </c>
      <c r="AJJ21" s="2">
        <v>-0.4</v>
      </c>
      <c r="AJK21" s="2">
        <v>0.1</v>
      </c>
      <c r="AJL21" s="2">
        <v>1.5</v>
      </c>
      <c r="AJM21" s="2">
        <v>-1.7</v>
      </c>
      <c r="AJN21" s="2">
        <v>0.4</v>
      </c>
      <c r="AJO21" s="2">
        <v>0.3</v>
      </c>
      <c r="AJP21" s="2">
        <v>2.6</v>
      </c>
      <c r="AJQ21" s="2">
        <v>0.4</v>
      </c>
      <c r="AJR21" s="2">
        <v>-1.1</v>
      </c>
      <c r="AJS21" s="2">
        <v>-0.3</v>
      </c>
      <c r="AJT21" s="2">
        <v>1.3</v>
      </c>
      <c r="AJU21" s="2">
        <v>-1.1</v>
      </c>
      <c r="AJV21" s="2">
        <v>1.3</v>
      </c>
      <c r="AJW21" s="2">
        <v>0.9</v>
      </c>
      <c r="AJX21" s="2">
        <v>4</v>
      </c>
      <c r="AJY21" s="2">
        <v>1.6</v>
      </c>
      <c r="AJZ21" s="2">
        <v>2.7</v>
      </c>
      <c r="AKA21" s="2">
        <v>1.1</v>
      </c>
      <c r="AKB21" s="2">
        <v>3</v>
      </c>
      <c r="AKC21" s="2">
        <v>1</v>
      </c>
      <c r="AKD21" s="2">
        <v>0.7</v>
      </c>
      <c r="AKE21" s="2">
        <v>0.3</v>
      </c>
      <c r="AKF21" s="2">
        <v>1.5</v>
      </c>
      <c r="AKG21" s="2">
        <v>-0.3</v>
      </c>
      <c r="AKH21" s="2">
        <v>-0.3</v>
      </c>
      <c r="AKI21" s="2">
        <v>0.5</v>
      </c>
      <c r="AKJ21" s="2">
        <v>1.2</v>
      </c>
      <c r="AKK21" s="2">
        <v>-0.8</v>
      </c>
      <c r="AKL21" s="2">
        <v>0.7</v>
      </c>
      <c r="AKM21" s="2">
        <v>0.6</v>
      </c>
      <c r="AKN21" s="2">
        <v>0.5</v>
      </c>
      <c r="AKO21" s="2">
        <v>-0.4</v>
      </c>
      <c r="AKP21" s="2">
        <v>0.31</v>
      </c>
      <c r="AKQ21" s="2">
        <v>0.31</v>
      </c>
      <c r="AKR21" s="2">
        <v>0.31</v>
      </c>
    </row>
    <row r="22">
      <c r="A22" t="inlineStr">
        <is>
          <t>Oils and fats</t>
        </is>
      </c>
      <c r="B22" t="inlineStr">
        <is>
          <t>Food products n.e.c.</t>
        </is>
      </c>
      <c r="C22">
        <v>3</v>
      </c>
      <c r="D22">
        <v>0.26</v>
      </c>
      <c r="E22" s="3">
        <f>D22/2.3*0.02298678920160827</f>
        <v>0.002598506605399196</v>
      </c>
      <c r="F22" s="3">
        <f>E22-D22/100</f>
        <v>-1.4933946008038358e-06</v>
      </c>
      <c r="G22" s="3">
        <f>D22/2.3</f>
        <v>0.11304347826086958</v>
      </c>
      <c r="H22" s="2">
        <v>63.41</v>
      </c>
      <c r="I22" s="2">
        <v>64.23</v>
      </c>
      <c r="J22" s="2">
        <v>65.25</v>
      </c>
      <c r="K22" s="2">
        <v>66.36</v>
      </c>
      <c r="L22" s="2">
        <v>65.54000000000001</v>
      </c>
      <c r="M22" s="2">
        <v>65.26000000000001</v>
      </c>
      <c r="N22" s="2">
        <v>65.27</v>
      </c>
      <c r="O22" s="2">
        <v>66.02</v>
      </c>
      <c r="P22" s="2">
        <v>65.15000000000001</v>
      </c>
      <c r="Q22" s="2">
        <v>64.83</v>
      </c>
      <c r="R22" s="2">
        <v>66.26000000000001</v>
      </c>
      <c r="S22" s="2">
        <v>66.7</v>
      </c>
      <c r="T22" s="2">
        <v>66.06999999999999</v>
      </c>
      <c r="U22" s="2">
        <v>67.04000000000001</v>
      </c>
      <c r="V22" s="2">
        <v>66.8</v>
      </c>
      <c r="W22" s="2">
        <v>67.48999999999999</v>
      </c>
      <c r="X22" s="2">
        <v>67.31</v>
      </c>
      <c r="Y22" s="2">
        <v>67.06</v>
      </c>
      <c r="Z22" s="2">
        <v>65.98999999999999</v>
      </c>
      <c r="AA22" s="2">
        <v>66.8</v>
      </c>
      <c r="AB22" s="2">
        <v>66.09</v>
      </c>
      <c r="AC22" s="2">
        <v>66.37</v>
      </c>
      <c r="AD22" s="2">
        <v>66.93000000000001</v>
      </c>
      <c r="AE22" s="2">
        <v>66.65000000000001</v>
      </c>
      <c r="AF22" s="2">
        <v>66.38</v>
      </c>
      <c r="AG22" s="2">
        <v>66.84999999999999</v>
      </c>
      <c r="AH22" s="2">
        <v>67.05</v>
      </c>
      <c r="AI22" s="2">
        <v>66.8</v>
      </c>
      <c r="AJ22" s="2">
        <v>67.59999999999999</v>
      </c>
      <c r="AK22" s="2">
        <v>66.72</v>
      </c>
      <c r="AL22" s="2">
        <v>68.44</v>
      </c>
      <c r="AM22" s="2">
        <v>71.36</v>
      </c>
      <c r="AN22" s="2">
        <v>68.78</v>
      </c>
      <c r="AO22" s="2">
        <v>67.19</v>
      </c>
      <c r="AP22" s="2">
        <v>68.34999999999999</v>
      </c>
      <c r="AQ22" s="2">
        <v>67.94</v>
      </c>
      <c r="AR22" s="2">
        <v>67.02</v>
      </c>
      <c r="AS22" s="2">
        <v>67.67</v>
      </c>
      <c r="AT22" s="2">
        <v>67.95</v>
      </c>
      <c r="AU22" s="2">
        <v>67.5</v>
      </c>
      <c r="AV22" s="2">
        <v>68.72</v>
      </c>
      <c r="AW22" s="2">
        <v>68.25</v>
      </c>
      <c r="AX22" s="2">
        <v>69</v>
      </c>
      <c r="AY22" s="2">
        <v>69.09</v>
      </c>
      <c r="AZ22" s="2">
        <v>68.73999999999999</v>
      </c>
      <c r="BA22" s="2">
        <v>68.64</v>
      </c>
      <c r="BB22" s="2">
        <v>70.29000000000001</v>
      </c>
      <c r="BC22" s="2">
        <v>70.29000000000001</v>
      </c>
      <c r="BD22" s="2">
        <v>70.45999999999999</v>
      </c>
      <c r="BE22" s="2">
        <v>70.70999999999999</v>
      </c>
      <c r="BF22" s="2">
        <v>71.54000000000001</v>
      </c>
      <c r="BG22" s="2">
        <v>70.66</v>
      </c>
      <c r="BH22" s="2">
        <v>72.84999999999999</v>
      </c>
      <c r="BI22" s="2">
        <v>74.40000000000001</v>
      </c>
      <c r="BJ22" s="2">
        <v>75.36</v>
      </c>
      <c r="BK22" s="2">
        <v>77.23999999999999</v>
      </c>
      <c r="BL22" s="2">
        <v>77.69</v>
      </c>
      <c r="BM22" s="2">
        <v>79.34</v>
      </c>
      <c r="BN22" s="2">
        <v>82.93000000000001</v>
      </c>
      <c r="BO22" s="2">
        <v>84.75</v>
      </c>
      <c r="BP22" s="2">
        <v>84.2</v>
      </c>
      <c r="BQ22" s="2">
        <v>84.06999999999999</v>
      </c>
      <c r="BR22" s="2">
        <v>86.09</v>
      </c>
      <c r="BS22" s="2">
        <v>87.20999999999999</v>
      </c>
      <c r="BT22" s="2">
        <v>87.87</v>
      </c>
      <c r="BU22" s="2">
        <v>88.63</v>
      </c>
      <c r="BV22" s="2">
        <v>89.06999999999999</v>
      </c>
      <c r="BW22" s="2">
        <v>89.28</v>
      </c>
      <c r="BX22" s="2">
        <v>89.55</v>
      </c>
      <c r="BY22" s="2">
        <v>89.38</v>
      </c>
      <c r="BZ22" s="2">
        <v>90.92</v>
      </c>
      <c r="CA22" s="2">
        <v>92.73999999999999</v>
      </c>
      <c r="CB22" s="2">
        <v>91.77</v>
      </c>
      <c r="CC22" s="2">
        <v>92.14</v>
      </c>
      <c r="CD22" s="2">
        <v>93.83</v>
      </c>
      <c r="CE22" s="2">
        <v>93.03</v>
      </c>
      <c r="CF22" s="2">
        <v>95.22</v>
      </c>
      <c r="CG22" s="2">
        <v>95.61</v>
      </c>
      <c r="CH22" s="2">
        <v>94.77</v>
      </c>
      <c r="CI22" s="2">
        <v>99.08</v>
      </c>
      <c r="CJ22" s="2">
        <v>99.7</v>
      </c>
      <c r="CK22" s="2">
        <v>100.48</v>
      </c>
      <c r="CL22" s="2">
        <v>100.91</v>
      </c>
      <c r="CM22" s="2">
        <v>100.68</v>
      </c>
      <c r="CN22" s="2">
        <v>99.7</v>
      </c>
      <c r="CO22" s="2">
        <v>100</v>
      </c>
      <c r="CP22" s="2">
        <v>100.34</v>
      </c>
      <c r="CQ22" s="2">
        <v>99.68000000000001</v>
      </c>
      <c r="CR22" s="2">
        <v>100.91</v>
      </c>
      <c r="CS22" s="2">
        <v>100.88</v>
      </c>
      <c r="CT22" s="2">
        <v>99.19</v>
      </c>
      <c r="CU22" s="2">
        <v>99.84999999999999</v>
      </c>
      <c r="CV22" s="2">
        <v>100.16</v>
      </c>
      <c r="CW22" s="2">
        <v>98.95</v>
      </c>
      <c r="CX22" s="2">
        <v>99.45999999999999</v>
      </c>
      <c r="CY22" s="2">
        <v>99.42</v>
      </c>
      <c r="CZ22" s="2">
        <v>100</v>
      </c>
      <c r="DA22" s="2">
        <v>98.36</v>
      </c>
      <c r="DB22" s="2">
        <v>98.31</v>
      </c>
      <c r="DC22" s="2">
        <v>97.67</v>
      </c>
      <c r="DD22" s="2">
        <v>98.68000000000001</v>
      </c>
      <c r="DE22" s="2">
        <v>99.68000000000001</v>
      </c>
      <c r="DF22" s="2">
        <v>99.33</v>
      </c>
      <c r="DG22" s="2">
        <v>99.61</v>
      </c>
      <c r="DH22" s="2">
        <v>99.73999999999999</v>
      </c>
      <c r="DI22" s="2">
        <v>101.22</v>
      </c>
      <c r="DJ22" s="2">
        <v>101.62</v>
      </c>
      <c r="DK22" s="2">
        <v>4.2</v>
      </c>
      <c r="DL22" s="2">
        <v>4.4</v>
      </c>
      <c r="DM22" s="2">
        <v>2.4</v>
      </c>
      <c r="DN22" s="2">
        <v>1.7</v>
      </c>
      <c r="DO22" s="2">
        <v>2.7</v>
      </c>
      <c r="DP22" s="2">
        <v>2.8</v>
      </c>
      <c r="DQ22" s="2">
        <v>1.1</v>
      </c>
      <c r="DR22" s="2">
        <v>1.2</v>
      </c>
      <c r="DS22" s="2">
        <v>1.4</v>
      </c>
      <c r="DT22" s="2">
        <v>2.4</v>
      </c>
      <c r="DU22" s="2">
        <v>1</v>
      </c>
      <c r="DV22" s="2">
        <v>-0.1</v>
      </c>
      <c r="DW22" s="2">
        <v>0.5</v>
      </c>
      <c r="DX22" s="2">
        <v>-0.3</v>
      </c>
      <c r="DY22" s="2">
        <v>0.4</v>
      </c>
      <c r="DZ22" s="2">
        <v>-1</v>
      </c>
      <c r="EA22" s="2">
        <v>0.4</v>
      </c>
      <c r="EB22" s="2">
        <v>-0.5</v>
      </c>
      <c r="EC22" s="2">
        <v>3.7</v>
      </c>
      <c r="ED22" s="2">
        <v>6.8</v>
      </c>
      <c r="EE22" s="2">
        <v>4.1</v>
      </c>
      <c r="EF22" s="2">
        <v>1.2</v>
      </c>
      <c r="EG22" s="2">
        <v>2.1</v>
      </c>
      <c r="EH22" s="2">
        <v>1.9</v>
      </c>
      <c r="EI22" s="2">
        <v>1</v>
      </c>
      <c r="EJ22" s="2">
        <v>1.2</v>
      </c>
      <c r="EK22" s="2">
        <v>1.3</v>
      </c>
      <c r="EL22" s="2">
        <v>1</v>
      </c>
      <c r="EM22" s="2">
        <v>1.7</v>
      </c>
      <c r="EN22" s="2">
        <v>2.3</v>
      </c>
      <c r="EO22" s="2">
        <v>0.8</v>
      </c>
      <c r="EP22" s="2">
        <v>-3.2</v>
      </c>
      <c r="EQ22" s="2">
        <v>-0.1</v>
      </c>
      <c r="ER22" s="2">
        <v>2.2</v>
      </c>
      <c r="ES22" s="2">
        <v>2.8</v>
      </c>
      <c r="ET22" s="2">
        <v>3.5</v>
      </c>
      <c r="EU22" s="2">
        <v>5.1</v>
      </c>
      <c r="EV22" s="2">
        <v>4.5</v>
      </c>
      <c r="EW22" s="2">
        <v>5.3</v>
      </c>
      <c r="EX22" s="2">
        <v>4.7</v>
      </c>
      <c r="EY22" s="2">
        <v>6</v>
      </c>
      <c r="EZ22" s="2">
        <v>9</v>
      </c>
      <c r="FA22" s="2">
        <v>9.199999999999999</v>
      </c>
      <c r="FB22" s="2">
        <v>11.8</v>
      </c>
      <c r="FC22" s="2">
        <v>13</v>
      </c>
      <c r="FD22" s="2">
        <v>15.6</v>
      </c>
      <c r="FE22" s="2">
        <v>18</v>
      </c>
      <c r="FF22" s="2">
        <v>20.6</v>
      </c>
      <c r="FG22" s="2">
        <v>19.5</v>
      </c>
      <c r="FH22" s="2">
        <v>18.9</v>
      </c>
      <c r="FI22" s="2">
        <v>20.3</v>
      </c>
      <c r="FJ22" s="2">
        <v>23.4</v>
      </c>
      <c r="FK22" s="2">
        <v>20.6</v>
      </c>
      <c r="FL22" s="2">
        <v>19.1</v>
      </c>
      <c r="FM22" s="2">
        <v>18.2</v>
      </c>
      <c r="FN22" s="2">
        <v>15.6</v>
      </c>
      <c r="FO22" s="2">
        <v>15.3</v>
      </c>
      <c r="FP22" s="2">
        <v>12.7</v>
      </c>
      <c r="FQ22" s="2">
        <v>9.6</v>
      </c>
      <c r="FR22" s="2">
        <v>9.4</v>
      </c>
      <c r="FS22" s="2">
        <v>9</v>
      </c>
      <c r="FT22" s="2">
        <v>9.6</v>
      </c>
      <c r="FU22" s="2">
        <v>9</v>
      </c>
      <c r="FV22" s="2">
        <v>6.7</v>
      </c>
      <c r="FW22" s="2">
        <v>8.4</v>
      </c>
      <c r="FX22" s="2">
        <v>7.9</v>
      </c>
      <c r="FY22" s="2">
        <v>6.4</v>
      </c>
      <c r="FZ22" s="2">
        <v>11</v>
      </c>
      <c r="GA22" s="2">
        <v>11.3</v>
      </c>
      <c r="GB22" s="2">
        <v>12.4</v>
      </c>
      <c r="GC22" s="2">
        <v>11</v>
      </c>
      <c r="GD22" s="2">
        <v>8.6</v>
      </c>
      <c r="GE22" s="2">
        <v>8.6</v>
      </c>
      <c r="GF22" s="2">
        <v>8.5</v>
      </c>
      <c r="GG22" s="2">
        <v>6.9</v>
      </c>
      <c r="GH22" s="2">
        <v>7.1</v>
      </c>
      <c r="GI22" s="2">
        <v>6</v>
      </c>
      <c r="GJ22" s="2">
        <v>5.5</v>
      </c>
      <c r="GK22" s="2">
        <v>4.7</v>
      </c>
      <c r="GL22" s="2">
        <v>0.8</v>
      </c>
      <c r="GM22" s="2">
        <v>0.5</v>
      </c>
      <c r="GN22" s="2">
        <v>-1.5</v>
      </c>
      <c r="GO22" s="2">
        <v>-1.4</v>
      </c>
      <c r="GP22" s="2">
        <v>-1.3</v>
      </c>
      <c r="GQ22" s="2">
        <v>0.3</v>
      </c>
      <c r="GR22" s="2">
        <v>-1.6</v>
      </c>
      <c r="GS22" s="2">
        <v>-2</v>
      </c>
      <c r="GT22" s="2">
        <v>-2</v>
      </c>
      <c r="GU22" s="2">
        <v>-2.2</v>
      </c>
      <c r="GV22" s="2">
        <v>-1.2</v>
      </c>
      <c r="GW22" s="2">
        <v>0.1</v>
      </c>
      <c r="GX22" s="2">
        <v>-0.2</v>
      </c>
      <c r="GY22" s="2">
        <v>-0.4</v>
      </c>
      <c r="GZ22" s="2">
        <v>2.3</v>
      </c>
      <c r="HA22" s="2">
        <v>2.2</v>
      </c>
      <c r="HB22" s="2">
        <v>1.3</v>
      </c>
      <c r="HC22" s="2">
        <v>1.6</v>
      </c>
      <c r="HD22" s="2">
        <v>1.7</v>
      </c>
      <c r="HE22" s="2">
        <v>-1.2</v>
      </c>
      <c r="HF22" s="2">
        <v>-0.4</v>
      </c>
      <c r="HG22" s="2">
        <v>0</v>
      </c>
      <c r="HH22" s="2">
        <v>1.1</v>
      </c>
      <c r="HI22" s="2">
        <v>-1.3</v>
      </c>
      <c r="HJ22" s="2">
        <v>-0.5</v>
      </c>
      <c r="HK22" s="2">
        <v>2.2</v>
      </c>
      <c r="HL22" s="2">
        <v>0.7</v>
      </c>
      <c r="HM22" s="2">
        <v>-0.9</v>
      </c>
      <c r="HN22" s="2">
        <v>1.5</v>
      </c>
      <c r="HO22" s="2">
        <v>-0.4</v>
      </c>
      <c r="HP22" s="2">
        <v>1</v>
      </c>
      <c r="HQ22" s="2">
        <v>-0.3</v>
      </c>
      <c r="HR22" s="2">
        <v>-0.4</v>
      </c>
      <c r="HS22" s="2">
        <v>-1.6</v>
      </c>
      <c r="HT22" s="2">
        <v>1.2</v>
      </c>
      <c r="HU22" s="2">
        <v>-1.1</v>
      </c>
      <c r="HV22" s="2">
        <v>0.4</v>
      </c>
      <c r="HW22" s="2">
        <v>0.8</v>
      </c>
      <c r="HX22" s="2">
        <v>-0.4</v>
      </c>
      <c r="HY22" s="2">
        <v>-0.4</v>
      </c>
      <c r="HZ22" s="2">
        <v>0.7</v>
      </c>
      <c r="IA22" s="2">
        <v>0.3</v>
      </c>
      <c r="IB22" s="2">
        <v>-0.4</v>
      </c>
      <c r="IC22" s="2">
        <v>1.2</v>
      </c>
      <c r="ID22" s="2">
        <v>-1.3</v>
      </c>
      <c r="IE22" s="2">
        <v>2.6</v>
      </c>
      <c r="IF22" s="2">
        <v>4.3</v>
      </c>
      <c r="IG22" s="2">
        <v>-3.6</v>
      </c>
      <c r="IH22" s="2">
        <v>-2.3</v>
      </c>
      <c r="II22" s="2">
        <v>1.7</v>
      </c>
      <c r="IJ22" s="2">
        <v>-0.6</v>
      </c>
      <c r="IK22" s="2">
        <v>-1.4</v>
      </c>
      <c r="IL22" s="2">
        <v>1</v>
      </c>
      <c r="IM22" s="2">
        <v>0.4</v>
      </c>
      <c r="IN22" s="2">
        <v>-0.7</v>
      </c>
      <c r="IO22" s="2">
        <v>1.8</v>
      </c>
      <c r="IP22" s="2">
        <v>-0.7</v>
      </c>
      <c r="IQ22" s="2">
        <v>1.1</v>
      </c>
      <c r="IR22" s="2">
        <v>0.1</v>
      </c>
      <c r="IS22" s="2">
        <v>-0.5</v>
      </c>
      <c r="IT22" s="2">
        <v>-0.1</v>
      </c>
      <c r="IU22" s="2">
        <v>2.4</v>
      </c>
      <c r="IV22" s="2">
        <v>0</v>
      </c>
      <c r="IW22" s="2">
        <v>0.2</v>
      </c>
      <c r="IX22" s="2">
        <v>0.4</v>
      </c>
      <c r="IY22" s="2">
        <v>1.2</v>
      </c>
      <c r="IZ22" s="2">
        <v>-1.2</v>
      </c>
      <c r="JA22" s="2">
        <v>3.1</v>
      </c>
      <c r="JB22" s="2">
        <v>2.1</v>
      </c>
      <c r="JC22" s="2">
        <v>1.3</v>
      </c>
      <c r="JD22" s="2">
        <v>2.5</v>
      </c>
      <c r="JE22" s="2">
        <v>0.6</v>
      </c>
      <c r="JF22" s="2">
        <v>2.1</v>
      </c>
      <c r="JG22" s="2">
        <v>4.5</v>
      </c>
      <c r="JH22" s="2">
        <v>2.2</v>
      </c>
      <c r="JI22" s="2">
        <v>-0.6</v>
      </c>
      <c r="JJ22" s="2">
        <v>-0.2</v>
      </c>
      <c r="JK22" s="2">
        <v>2.4</v>
      </c>
      <c r="JL22" s="2">
        <v>1.3</v>
      </c>
      <c r="JM22" s="2">
        <v>0.8</v>
      </c>
      <c r="JN22" s="2">
        <v>0.9</v>
      </c>
      <c r="JO22" s="2">
        <v>0.5</v>
      </c>
      <c r="JP22" s="2">
        <v>0.2</v>
      </c>
      <c r="JQ22" s="2">
        <v>0.3</v>
      </c>
      <c r="JR22" s="2">
        <v>-0.2</v>
      </c>
      <c r="JS22" s="2">
        <v>1.7</v>
      </c>
      <c r="JT22" s="2">
        <v>2</v>
      </c>
      <c r="JU22" s="2">
        <v>-1</v>
      </c>
      <c r="JV22" s="2">
        <v>0.4</v>
      </c>
      <c r="JW22" s="2">
        <v>1.8</v>
      </c>
      <c r="JX22" s="2">
        <v>-0.9</v>
      </c>
      <c r="JY22" s="2">
        <v>2.4</v>
      </c>
      <c r="JZ22" s="2">
        <v>0.4</v>
      </c>
      <c r="KA22" s="2">
        <v>-0.9</v>
      </c>
      <c r="KB22" s="2">
        <v>4.5</v>
      </c>
      <c r="KC22" s="2">
        <v>0.6</v>
      </c>
      <c r="KD22" s="2">
        <v>0.8</v>
      </c>
      <c r="KE22" s="2">
        <v>0.4</v>
      </c>
      <c r="KF22" s="2">
        <v>-0.2</v>
      </c>
      <c r="KG22" s="2">
        <v>-1</v>
      </c>
      <c r="KH22" s="2">
        <v>0.3</v>
      </c>
      <c r="KI22" s="2">
        <v>0.3</v>
      </c>
      <c r="KJ22" s="2">
        <v>-0.7</v>
      </c>
      <c r="KK22" s="2">
        <v>1.2</v>
      </c>
      <c r="KL22" s="2">
        <v>0</v>
      </c>
      <c r="KM22" s="2">
        <v>-1.7</v>
      </c>
      <c r="KN22" s="2">
        <v>0.7</v>
      </c>
      <c r="KO22" s="2">
        <v>0.3</v>
      </c>
      <c r="KP22" s="2">
        <v>-1.2</v>
      </c>
      <c r="KQ22" s="2">
        <v>0.5</v>
      </c>
      <c r="KR22" s="2">
        <v>0</v>
      </c>
      <c r="KS22" s="2">
        <v>0.6</v>
      </c>
      <c r="KT22" s="2">
        <v>-1.6</v>
      </c>
      <c r="KU22" s="2">
        <v>-0.1</v>
      </c>
      <c r="KV22" s="2">
        <v>-0.7</v>
      </c>
      <c r="KW22" s="2">
        <v>1</v>
      </c>
      <c r="KX22" s="2">
        <v>1</v>
      </c>
      <c r="KY22" s="2">
        <v>-0.4</v>
      </c>
      <c r="KZ22" s="2">
        <v>0.3</v>
      </c>
      <c r="LA22" s="2">
        <v>0.1</v>
      </c>
      <c r="LB22" s="2">
        <v>1.5</v>
      </c>
      <c r="LC22" s="2">
        <v>0.4</v>
      </c>
      <c r="LD22" s="2">
        <v>0.26</v>
      </c>
      <c r="LE22" s="2">
        <v>0.26</v>
      </c>
      <c r="LF22" s="2">
        <v>0.26</v>
      </c>
      <c r="LG22" s="2">
        <v>0.25</v>
      </c>
      <c r="LH22" s="2">
        <v>0.26</v>
      </c>
      <c r="LI22" s="2">
        <v>0.26</v>
      </c>
      <c r="LJ22" s="2">
        <v>0.25</v>
      </c>
      <c r="LK22" s="2">
        <v>0.25</v>
      </c>
      <c r="LL22" s="2">
        <v>0.25</v>
      </c>
      <c r="LM22" s="2">
        <v>0.26</v>
      </c>
      <c r="LN22" s="2">
        <v>0.25</v>
      </c>
      <c r="LO22" s="2">
        <v>0.25</v>
      </c>
      <c r="LP22" s="2">
        <v>0.25</v>
      </c>
      <c r="LQ22" s="2">
        <v>0.25</v>
      </c>
      <c r="LR22" s="2">
        <v>0.26</v>
      </c>
      <c r="LS22" s="2">
        <v>0.25</v>
      </c>
      <c r="LT22" s="2">
        <v>0.26</v>
      </c>
      <c r="LU22" s="2">
        <v>0.26</v>
      </c>
      <c r="LV22" s="2">
        <v>0.26</v>
      </c>
      <c r="LW22" s="2">
        <v>0.26</v>
      </c>
      <c r="LX22" s="2">
        <v>0</v>
      </c>
      <c r="LY22" s="2">
        <v>0</v>
      </c>
      <c r="LZ22" s="2">
        <v>-0.01</v>
      </c>
      <c r="MA22" s="2">
        <v>0.01</v>
      </c>
      <c r="MB22" s="2">
        <v>0</v>
      </c>
      <c r="MC22" s="2">
        <v>-0.01</v>
      </c>
      <c r="MD22" s="2">
        <v>0</v>
      </c>
      <c r="ME22" s="2">
        <v>0</v>
      </c>
      <c r="MF22" s="2">
        <v>0.01</v>
      </c>
      <c r="MG22" s="2">
        <v>-0.01</v>
      </c>
      <c r="MH22" s="2">
        <v>0</v>
      </c>
      <c r="MI22" s="2">
        <v>0</v>
      </c>
      <c r="MJ22" s="2">
        <v>0</v>
      </c>
      <c r="MK22" s="2">
        <v>0.01</v>
      </c>
      <c r="ML22" s="2">
        <v>-0.01</v>
      </c>
      <c r="MM22" s="2">
        <v>0.01</v>
      </c>
      <c r="MN22" s="2">
        <v>0</v>
      </c>
      <c r="MO22" s="2">
        <v>0</v>
      </c>
      <c r="MP22" s="2">
        <v>0</v>
      </c>
      <c r="SY22" s="2">
        <v>29.27</v>
      </c>
      <c r="SZ22" s="2">
        <v>30.33</v>
      </c>
      <c r="TA22" s="2">
        <v>30.2</v>
      </c>
      <c r="TB22" s="2">
        <v>30.78</v>
      </c>
      <c r="TC22" s="2">
        <v>31.02</v>
      </c>
      <c r="TD22" s="2">
        <v>30.99</v>
      </c>
      <c r="TE22" s="2">
        <v>30.9</v>
      </c>
      <c r="TF22" s="2">
        <v>30.84</v>
      </c>
      <c r="TG22" s="2">
        <v>31.17</v>
      </c>
      <c r="TH22" s="2">
        <v>30.26</v>
      </c>
      <c r="TI22" s="2">
        <v>30.78</v>
      </c>
      <c r="TJ22" s="2">
        <v>30.75</v>
      </c>
      <c r="TK22" s="2">
        <v>31.02</v>
      </c>
      <c r="TL22" s="2">
        <v>30.93</v>
      </c>
      <c r="TM22" s="2">
        <v>31.32</v>
      </c>
      <c r="TN22" s="2">
        <v>30.75</v>
      </c>
      <c r="TO22" s="2">
        <v>31.44</v>
      </c>
      <c r="TP22" s="2">
        <v>31.08</v>
      </c>
      <c r="TQ22" s="2">
        <v>31.53</v>
      </c>
      <c r="TR22" s="2">
        <v>31.47</v>
      </c>
      <c r="TS22" s="2">
        <v>31.83</v>
      </c>
      <c r="TT22" s="2">
        <v>32.25</v>
      </c>
      <c r="TU22" s="2">
        <v>32.16</v>
      </c>
      <c r="TV22" s="2">
        <v>33.4</v>
      </c>
      <c r="TW22" s="2">
        <v>34.36</v>
      </c>
      <c r="TX22" s="2">
        <v>33.88</v>
      </c>
      <c r="TY22" s="2">
        <v>34.45</v>
      </c>
      <c r="TZ22" s="2">
        <v>33.94</v>
      </c>
      <c r="UA22" s="2">
        <v>34.39</v>
      </c>
      <c r="UB22" s="2">
        <v>34.33</v>
      </c>
      <c r="UC22" s="2">
        <v>34.39</v>
      </c>
      <c r="UD22" s="2">
        <v>34.64</v>
      </c>
      <c r="UE22" s="2">
        <v>33.79</v>
      </c>
      <c r="UF22" s="2">
        <v>33.55</v>
      </c>
      <c r="UG22" s="2">
        <v>34.24</v>
      </c>
      <c r="UH22" s="2">
        <v>34.45</v>
      </c>
      <c r="UI22" s="2">
        <v>35.88</v>
      </c>
      <c r="UJ22" s="2">
        <v>35.46</v>
      </c>
      <c r="UK22" s="2">
        <v>35.57</v>
      </c>
      <c r="UL22" s="2">
        <v>35.17</v>
      </c>
      <c r="UM22" s="2">
        <v>35.98</v>
      </c>
      <c r="UN22" s="2">
        <v>35.81</v>
      </c>
      <c r="UO22" s="2">
        <v>36.1</v>
      </c>
      <c r="UP22" s="2">
        <v>35.87</v>
      </c>
      <c r="UQ22" s="2">
        <v>35.27</v>
      </c>
      <c r="UR22" s="2">
        <v>35.71</v>
      </c>
      <c r="US22" s="2">
        <v>35.54</v>
      </c>
      <c r="UT22" s="2">
        <v>36.35</v>
      </c>
      <c r="UU22" s="2">
        <v>36.63</v>
      </c>
      <c r="UV22" s="2">
        <v>37.45</v>
      </c>
      <c r="UW22" s="2">
        <v>38.83</v>
      </c>
      <c r="UX22" s="2">
        <v>40.49</v>
      </c>
      <c r="UY22" s="2">
        <v>41.19</v>
      </c>
      <c r="UZ22" s="2">
        <v>40.47</v>
      </c>
      <c r="VA22" s="2">
        <v>41.04</v>
      </c>
      <c r="VB22" s="2">
        <v>41.17</v>
      </c>
      <c r="VC22" s="2">
        <v>41.44</v>
      </c>
      <c r="VD22" s="2">
        <v>41.22</v>
      </c>
      <c r="VE22" s="2">
        <v>41.72</v>
      </c>
      <c r="VF22" s="2">
        <v>41.6</v>
      </c>
      <c r="VG22" s="2">
        <v>42.29</v>
      </c>
      <c r="VH22" s="2">
        <v>42.61</v>
      </c>
      <c r="VI22" s="2">
        <v>43.75</v>
      </c>
      <c r="VJ22" s="2">
        <v>44.55</v>
      </c>
      <c r="VK22" s="2">
        <v>44.39</v>
      </c>
      <c r="VL22" s="2">
        <v>45.63</v>
      </c>
      <c r="VM22" s="2">
        <v>46.46</v>
      </c>
      <c r="VN22" s="2">
        <v>46.98</v>
      </c>
      <c r="VO22" s="2">
        <v>48.89</v>
      </c>
      <c r="VP22" s="2">
        <v>50.67</v>
      </c>
      <c r="VQ22" s="2">
        <v>51.47</v>
      </c>
      <c r="VR22" s="2">
        <v>51.97</v>
      </c>
      <c r="VS22" s="2">
        <v>51.84</v>
      </c>
      <c r="VT22" s="2">
        <v>52.25</v>
      </c>
      <c r="VU22" s="2">
        <v>53.45</v>
      </c>
      <c r="VV22" s="2">
        <v>56.21</v>
      </c>
      <c r="VW22" s="2">
        <v>57.88</v>
      </c>
      <c r="VX22" s="2">
        <v>57.82</v>
      </c>
      <c r="VY22" s="2">
        <v>59.12</v>
      </c>
      <c r="VZ22" s="2">
        <v>59.59</v>
      </c>
      <c r="WA22" s="2">
        <v>59.02</v>
      </c>
      <c r="WB22" s="2">
        <v>59.06</v>
      </c>
      <c r="WC22" s="2">
        <v>59.11</v>
      </c>
      <c r="WD22" s="2">
        <v>58.69</v>
      </c>
      <c r="WE22" s="2">
        <v>58.7</v>
      </c>
      <c r="WF22" s="2">
        <v>58.92</v>
      </c>
      <c r="WG22" s="2">
        <v>59.12</v>
      </c>
      <c r="WH22" s="2">
        <v>57.32</v>
      </c>
      <c r="WI22" s="2">
        <v>57.49</v>
      </c>
      <c r="WJ22" s="2">
        <v>58.31</v>
      </c>
      <c r="WK22" s="2">
        <v>58.66</v>
      </c>
      <c r="WL22" s="2">
        <v>57.5</v>
      </c>
      <c r="WM22" s="2">
        <v>57.2</v>
      </c>
      <c r="WN22" s="2">
        <v>57.51</v>
      </c>
      <c r="WO22" s="2">
        <v>57.1</v>
      </c>
      <c r="WP22" s="2">
        <v>58.01</v>
      </c>
      <c r="WQ22" s="2">
        <v>58</v>
      </c>
      <c r="WR22" s="2">
        <v>57.57</v>
      </c>
      <c r="WS22" s="2">
        <v>58.11</v>
      </c>
      <c r="WT22" s="2">
        <v>58.27</v>
      </c>
      <c r="WU22" s="2">
        <v>57.82</v>
      </c>
      <c r="WV22" s="2">
        <v>57.27</v>
      </c>
      <c r="WW22" s="2">
        <v>58.58</v>
      </c>
      <c r="WX22" s="2">
        <v>58.5</v>
      </c>
      <c r="WY22" s="2">
        <v>57.81</v>
      </c>
      <c r="WZ22" s="2">
        <v>57.37</v>
      </c>
      <c r="XA22" s="2">
        <v>58.34</v>
      </c>
      <c r="XB22" s="2">
        <v>59.08</v>
      </c>
      <c r="XC22" s="2">
        <v>59.12</v>
      </c>
      <c r="XD22" s="2">
        <v>58.92</v>
      </c>
      <c r="XE22" s="2">
        <v>60.02</v>
      </c>
      <c r="XF22" s="2">
        <v>61.5</v>
      </c>
      <c r="XG22" s="2">
        <v>62.93</v>
      </c>
      <c r="XH22" s="2">
        <v>65.67</v>
      </c>
      <c r="XI22" s="2">
        <v>65.84999999999999</v>
      </c>
      <c r="XJ22" s="2">
        <v>65.70999999999999</v>
      </c>
      <c r="XK22" s="2">
        <v>66.3</v>
      </c>
      <c r="XL22" s="2">
        <v>67.40000000000001</v>
      </c>
      <c r="XM22" s="2">
        <v>66.97</v>
      </c>
      <c r="XN22" s="2">
        <v>66.55</v>
      </c>
      <c r="XO22" s="2">
        <v>66.78</v>
      </c>
      <c r="XP22" s="2">
        <v>67</v>
      </c>
      <c r="XQ22" s="2">
        <v>67.95999999999999</v>
      </c>
      <c r="XR22" s="2">
        <v>69</v>
      </c>
      <c r="XS22" s="2">
        <v>67.52</v>
      </c>
      <c r="XT22" s="2">
        <v>67.31</v>
      </c>
      <c r="XU22" s="2">
        <v>68.45</v>
      </c>
      <c r="XV22" s="2">
        <v>68.48</v>
      </c>
      <c r="XW22" s="2">
        <v>70.38</v>
      </c>
      <c r="XX22" s="2">
        <v>70.95</v>
      </c>
      <c r="XY22" s="2">
        <v>74.27</v>
      </c>
      <c r="XZ22" s="2">
        <v>78.06999999999999</v>
      </c>
      <c r="YA22" s="2">
        <v>83.95999999999999</v>
      </c>
      <c r="YB22" s="2">
        <v>85.79000000000001</v>
      </c>
      <c r="YC22" s="2">
        <v>88.52</v>
      </c>
      <c r="YD22" s="2">
        <v>89.40000000000001</v>
      </c>
      <c r="YE22" s="2">
        <v>91.81</v>
      </c>
      <c r="YF22" s="2">
        <v>93</v>
      </c>
      <c r="YG22" s="2">
        <v>95.2</v>
      </c>
      <c r="YH22" s="2">
        <v>99.75</v>
      </c>
      <c r="YI22" s="2">
        <v>100.43</v>
      </c>
      <c r="YJ22" s="2">
        <v>100.01</v>
      </c>
      <c r="YK22" s="2">
        <v>100.33</v>
      </c>
      <c r="YL22" s="2">
        <v>99.65000000000001</v>
      </c>
      <c r="YM22" s="2">
        <v>99.63</v>
      </c>
      <c r="YN22" s="2">
        <v>98.11</v>
      </c>
      <c r="YO22" s="2">
        <v>99.23</v>
      </c>
      <c r="YP22" s="2">
        <v>100.19</v>
      </c>
      <c r="AEY22" s="2">
        <v>3.6</v>
      </c>
      <c r="AEZ22" s="2">
        <v>-0.4</v>
      </c>
      <c r="AFA22" s="2">
        <v>1.9</v>
      </c>
      <c r="AFB22" s="2">
        <v>0.8</v>
      </c>
      <c r="AFC22" s="2">
        <v>-0.1</v>
      </c>
      <c r="AFD22" s="2">
        <v>-0.3</v>
      </c>
      <c r="AFE22" s="2">
        <v>-0.2</v>
      </c>
      <c r="AFF22" s="2">
        <v>1.1</v>
      </c>
      <c r="AFG22" s="2">
        <v>-2.9</v>
      </c>
      <c r="AFH22" s="2">
        <v>1.7</v>
      </c>
      <c r="AFI22" s="2">
        <v>-0.1</v>
      </c>
      <c r="AFJ22" s="2">
        <v>0.9</v>
      </c>
      <c r="AFK22" s="2">
        <v>-0.3</v>
      </c>
      <c r="AFL22" s="2">
        <v>1.3</v>
      </c>
      <c r="AFM22" s="2">
        <v>-1.8</v>
      </c>
      <c r="AFN22" s="2">
        <v>2.2</v>
      </c>
      <c r="AFO22" s="2">
        <v>-1.1</v>
      </c>
      <c r="AFP22" s="2">
        <v>1.4</v>
      </c>
      <c r="AFQ22" s="2">
        <v>-0.2</v>
      </c>
      <c r="AFR22" s="2">
        <v>1.1</v>
      </c>
      <c r="AFS22" s="2">
        <v>1.3</v>
      </c>
      <c r="AFT22" s="2">
        <v>-0.3</v>
      </c>
      <c r="AFU22" s="2">
        <v>3.9</v>
      </c>
      <c r="AFV22" s="2">
        <v>2.9</v>
      </c>
      <c r="AFW22" s="2">
        <v>-1.4</v>
      </c>
      <c r="AFX22" s="2">
        <v>1.7</v>
      </c>
      <c r="AFY22" s="2">
        <v>-1.5</v>
      </c>
      <c r="AFZ22" s="2">
        <v>1.3</v>
      </c>
      <c r="AGA22" s="2">
        <v>-0.2</v>
      </c>
      <c r="AGB22" s="2">
        <v>0.2</v>
      </c>
      <c r="AGC22" s="2">
        <v>0.7</v>
      </c>
      <c r="AGD22" s="2">
        <v>-2.5</v>
      </c>
      <c r="AGE22" s="2">
        <v>-0.7</v>
      </c>
      <c r="AGF22" s="2">
        <v>2.1</v>
      </c>
      <c r="AGG22" s="2">
        <v>0.6</v>
      </c>
      <c r="AGH22" s="2">
        <v>4.2</v>
      </c>
      <c r="AGI22" s="2">
        <v>-1.2</v>
      </c>
      <c r="AGJ22" s="2">
        <v>0.3</v>
      </c>
      <c r="AGK22" s="2">
        <v>-1.1</v>
      </c>
      <c r="AGL22" s="2">
        <v>2.3</v>
      </c>
      <c r="AGM22" s="2">
        <v>-0.5</v>
      </c>
      <c r="AGN22" s="2">
        <v>0.8</v>
      </c>
      <c r="AGO22" s="2">
        <v>-0.6</v>
      </c>
      <c r="AGP22" s="2">
        <v>-1.7</v>
      </c>
      <c r="AGQ22" s="2">
        <v>1.2</v>
      </c>
      <c r="AGR22" s="2">
        <v>-0.5</v>
      </c>
      <c r="AGS22" s="2">
        <v>2.3</v>
      </c>
      <c r="AGT22" s="2">
        <v>0.8</v>
      </c>
      <c r="AGU22" s="2">
        <v>2.2</v>
      </c>
      <c r="AGV22" s="2">
        <v>3.7</v>
      </c>
      <c r="AGW22" s="2">
        <v>4.3</v>
      </c>
      <c r="AGX22" s="2">
        <v>1.7</v>
      </c>
      <c r="AGY22" s="2">
        <v>-1.7</v>
      </c>
      <c r="AGZ22" s="2">
        <v>1.4</v>
      </c>
      <c r="AHA22" s="2">
        <v>0.3</v>
      </c>
      <c r="AHB22" s="2">
        <v>0.7</v>
      </c>
      <c r="AHC22" s="2">
        <v>-0.5</v>
      </c>
      <c r="AHD22" s="2">
        <v>1.2</v>
      </c>
      <c r="AHE22" s="2">
        <v>-0.3</v>
      </c>
      <c r="AHF22" s="2">
        <v>1.7</v>
      </c>
      <c r="AHG22" s="2">
        <v>0.8</v>
      </c>
      <c r="AHH22" s="2">
        <v>2.7</v>
      </c>
      <c r="AHI22" s="2">
        <v>1.8</v>
      </c>
      <c r="AHJ22" s="2">
        <v>-0.4</v>
      </c>
      <c r="AHK22" s="2">
        <v>2.8</v>
      </c>
      <c r="AHL22" s="2">
        <v>1.8</v>
      </c>
      <c r="AHM22" s="2">
        <v>1.1</v>
      </c>
      <c r="AHN22" s="2">
        <v>4.1</v>
      </c>
      <c r="AHO22" s="2">
        <v>3.6</v>
      </c>
      <c r="AHP22" s="2">
        <v>1.6</v>
      </c>
      <c r="AHQ22" s="2">
        <v>1</v>
      </c>
      <c r="AHR22" s="2">
        <v>-0.3</v>
      </c>
      <c r="AHS22" s="2">
        <v>0.8</v>
      </c>
      <c r="AHT22" s="2">
        <v>2.3</v>
      </c>
      <c r="AHU22" s="2">
        <v>5.2</v>
      </c>
      <c r="AHV22" s="2">
        <v>3</v>
      </c>
      <c r="AHW22" s="2">
        <v>-0.1</v>
      </c>
      <c r="AHX22" s="2">
        <v>2.2</v>
      </c>
      <c r="AHY22" s="2">
        <v>0.8</v>
      </c>
      <c r="AHZ22" s="2">
        <v>-1</v>
      </c>
      <c r="AIA22" s="2">
        <v>0.1</v>
      </c>
      <c r="AIB22" s="2">
        <v>0.1</v>
      </c>
      <c r="AIC22" s="2">
        <v>-0.7</v>
      </c>
      <c r="AID22" s="2">
        <v>0</v>
      </c>
      <c r="AIE22" s="2">
        <v>0.4</v>
      </c>
      <c r="AIF22" s="2">
        <v>0.3</v>
      </c>
      <c r="AIG22" s="2">
        <v>-3</v>
      </c>
      <c r="AIH22" s="2">
        <v>0.3</v>
      </c>
      <c r="AII22" s="2">
        <v>1.4</v>
      </c>
      <c r="AIJ22" s="2">
        <v>0.6</v>
      </c>
      <c r="AIK22" s="2">
        <v>-2</v>
      </c>
      <c r="AIL22" s="2">
        <v>-0.5</v>
      </c>
      <c r="AIM22" s="2">
        <v>0.5</v>
      </c>
      <c r="AIN22" s="2">
        <v>-0.7</v>
      </c>
      <c r="AIO22" s="2">
        <v>1.6</v>
      </c>
      <c r="AIP22" s="2">
        <v>0</v>
      </c>
      <c r="AIQ22" s="2">
        <v>-0.7</v>
      </c>
      <c r="AIR22" s="2">
        <v>0.9</v>
      </c>
      <c r="AIS22" s="2">
        <v>0.3</v>
      </c>
      <c r="AIT22" s="2">
        <v>-0.8</v>
      </c>
      <c r="AIU22" s="2">
        <v>-1</v>
      </c>
      <c r="AIV22" s="2">
        <v>2.3</v>
      </c>
      <c r="AIW22" s="2">
        <v>-0.1</v>
      </c>
      <c r="AIX22" s="2">
        <v>-1.2</v>
      </c>
      <c r="AIY22" s="2">
        <v>-0.8</v>
      </c>
      <c r="AIZ22" s="2">
        <v>1.7</v>
      </c>
      <c r="AJA22" s="2">
        <v>1.3</v>
      </c>
      <c r="AJB22" s="2">
        <v>0.1</v>
      </c>
      <c r="AJC22" s="2">
        <v>-0.3</v>
      </c>
      <c r="AJD22" s="2">
        <v>1.9</v>
      </c>
      <c r="AJE22" s="2">
        <v>2.5</v>
      </c>
      <c r="AJF22" s="2">
        <v>2.3</v>
      </c>
      <c r="AJG22" s="2">
        <v>4.4</v>
      </c>
      <c r="AJH22" s="2">
        <v>0.3</v>
      </c>
      <c r="AJI22" s="2">
        <v>-0.2</v>
      </c>
      <c r="AJJ22" s="2">
        <v>0.9</v>
      </c>
      <c r="AJK22" s="2">
        <v>1.7</v>
      </c>
      <c r="AJL22" s="2">
        <v>-0.6</v>
      </c>
      <c r="AJM22" s="2">
        <v>-0.6</v>
      </c>
      <c r="AJN22" s="2">
        <v>0.3</v>
      </c>
      <c r="AJO22" s="2">
        <v>0.3</v>
      </c>
      <c r="AJP22" s="2">
        <v>1.4</v>
      </c>
      <c r="AJQ22" s="2">
        <v>1.5</v>
      </c>
      <c r="AJR22" s="2">
        <v>-2.1</v>
      </c>
      <c r="AJS22" s="2">
        <v>-0.3</v>
      </c>
      <c r="AJT22" s="2">
        <v>1.7</v>
      </c>
      <c r="AJU22" s="2">
        <v>0</v>
      </c>
      <c r="AJV22" s="2">
        <v>2.8</v>
      </c>
      <c r="AJW22" s="2">
        <v>0.8</v>
      </c>
      <c r="AJX22" s="2">
        <v>4.7</v>
      </c>
      <c r="AJY22" s="2">
        <v>5.1</v>
      </c>
      <c r="AJZ22" s="2">
        <v>7.5</v>
      </c>
      <c r="AKA22" s="2">
        <v>2.2</v>
      </c>
      <c r="AKB22" s="2">
        <v>3.2</v>
      </c>
      <c r="AKC22" s="2">
        <v>1</v>
      </c>
      <c r="AKD22" s="2">
        <v>2.7</v>
      </c>
      <c r="AKE22" s="2">
        <v>1.3</v>
      </c>
      <c r="AKF22" s="2">
        <v>2.4</v>
      </c>
      <c r="AKG22" s="2">
        <v>4.8</v>
      </c>
      <c r="AKH22" s="2">
        <v>0.7</v>
      </c>
      <c r="AKI22" s="2">
        <v>-0.4</v>
      </c>
      <c r="AKJ22" s="2">
        <v>0.3</v>
      </c>
      <c r="AKK22" s="2">
        <v>-0.7</v>
      </c>
      <c r="AKL22" s="2">
        <v>0</v>
      </c>
      <c r="AKM22" s="2">
        <v>-1.5</v>
      </c>
      <c r="AKN22" s="2">
        <v>1.1</v>
      </c>
      <c r="AKO22" s="2">
        <v>1</v>
      </c>
      <c r="AKP22" s="2">
        <v>0.25</v>
      </c>
      <c r="AKQ22" s="2">
        <v>0.25</v>
      </c>
      <c r="AKR22" s="2">
        <v>0.26</v>
      </c>
    </row>
    <row r="23">
      <c r="A23" t="inlineStr">
        <is>
          <t>Snacks and confectionery</t>
        </is>
      </c>
      <c r="B23" t="inlineStr">
        <is>
          <t>Food products n.e.c.</t>
        </is>
      </c>
      <c r="C23">
        <v>3</v>
      </c>
      <c r="D23">
        <v>0.9399999999999999</v>
      </c>
      <c r="E23" s="3">
        <f>D23/2.3*0.02298678920160827</f>
        <v>0.009394600804135553</v>
      </c>
      <c r="F23" s="3">
        <f>E23-D23/100</f>
        <v>-5.3991958644458715e-06</v>
      </c>
      <c r="G23" s="3">
        <f>D23/2.3</f>
        <v>0.40869565217391307</v>
      </c>
      <c r="H23" s="2">
        <v>71.97</v>
      </c>
      <c r="I23" s="2">
        <v>72.03</v>
      </c>
      <c r="J23" s="2">
        <v>71.61</v>
      </c>
      <c r="K23" s="2">
        <v>72.67</v>
      </c>
      <c r="L23" s="2">
        <v>73.16</v>
      </c>
      <c r="M23" s="2">
        <v>72.41</v>
      </c>
      <c r="N23" s="2">
        <v>72.17</v>
      </c>
      <c r="O23" s="2">
        <v>72.93000000000001</v>
      </c>
      <c r="P23" s="2">
        <v>72.03</v>
      </c>
      <c r="Q23" s="2">
        <v>71.90000000000001</v>
      </c>
      <c r="R23" s="2">
        <v>72.29000000000001</v>
      </c>
      <c r="S23" s="2">
        <v>72.88</v>
      </c>
      <c r="T23" s="2">
        <v>71.64</v>
      </c>
      <c r="U23" s="2">
        <v>72.17</v>
      </c>
      <c r="V23" s="2">
        <v>71.79000000000001</v>
      </c>
      <c r="W23" s="2">
        <v>72.55</v>
      </c>
      <c r="X23" s="2">
        <v>73.3</v>
      </c>
      <c r="Y23" s="2">
        <v>72.94</v>
      </c>
      <c r="Z23" s="2">
        <v>73.06999999999999</v>
      </c>
      <c r="AA23" s="2">
        <v>73.23999999999999</v>
      </c>
      <c r="AB23" s="2">
        <v>72.84999999999999</v>
      </c>
      <c r="AC23" s="2">
        <v>72.36</v>
      </c>
      <c r="AD23" s="2">
        <v>73.31999999999999</v>
      </c>
      <c r="AE23" s="2">
        <v>73</v>
      </c>
      <c r="AF23" s="2">
        <v>72.42</v>
      </c>
      <c r="AG23" s="2">
        <v>73.43000000000001</v>
      </c>
      <c r="AH23" s="2">
        <v>73.98999999999999</v>
      </c>
      <c r="AI23" s="2">
        <v>74.29000000000001</v>
      </c>
      <c r="AJ23" s="2">
        <v>75.89</v>
      </c>
      <c r="AK23" s="2">
        <v>74.79000000000001</v>
      </c>
      <c r="AL23" s="2">
        <v>77.18000000000001</v>
      </c>
      <c r="AM23" s="2">
        <v>79.09999999999999</v>
      </c>
      <c r="AN23" s="2">
        <v>75.38</v>
      </c>
      <c r="AO23" s="2">
        <v>75.23999999999999</v>
      </c>
      <c r="AP23" s="2">
        <v>75.92</v>
      </c>
      <c r="AQ23" s="2">
        <v>76.04000000000001</v>
      </c>
      <c r="AR23" s="2">
        <v>75.5</v>
      </c>
      <c r="AS23" s="2">
        <v>76.28</v>
      </c>
      <c r="AT23" s="2">
        <v>75.92</v>
      </c>
      <c r="AU23" s="2">
        <v>76.78</v>
      </c>
      <c r="AV23" s="2">
        <v>77.95999999999999</v>
      </c>
      <c r="AW23" s="2">
        <v>76.17</v>
      </c>
      <c r="AX23" s="2">
        <v>76.38</v>
      </c>
      <c r="AY23" s="2">
        <v>76.34</v>
      </c>
      <c r="AZ23" s="2">
        <v>75.45</v>
      </c>
      <c r="BA23" s="2">
        <v>76.04000000000001</v>
      </c>
      <c r="BB23" s="2">
        <v>76.18000000000001</v>
      </c>
      <c r="BC23" s="2">
        <v>76.31</v>
      </c>
      <c r="BD23" s="2">
        <v>76.27</v>
      </c>
      <c r="BE23" s="2">
        <v>76.73999999999999</v>
      </c>
      <c r="BF23" s="2">
        <v>76.7</v>
      </c>
      <c r="BG23" s="2">
        <v>77.34999999999999</v>
      </c>
      <c r="BH23" s="2">
        <v>79.31</v>
      </c>
      <c r="BI23" s="2">
        <v>78.55</v>
      </c>
      <c r="BJ23" s="2">
        <v>79.70999999999999</v>
      </c>
      <c r="BK23" s="2">
        <v>79.84</v>
      </c>
      <c r="BL23" s="2">
        <v>78.81999999999999</v>
      </c>
      <c r="BM23" s="2">
        <v>80.22</v>
      </c>
      <c r="BN23" s="2">
        <v>80.98999999999999</v>
      </c>
      <c r="BO23" s="2">
        <v>82.17</v>
      </c>
      <c r="BP23" s="2">
        <v>83.26000000000001</v>
      </c>
      <c r="BQ23" s="2">
        <v>83.65000000000001</v>
      </c>
      <c r="BR23" s="2">
        <v>83.56999999999999</v>
      </c>
      <c r="BS23" s="2">
        <v>85.65000000000001</v>
      </c>
      <c r="BT23" s="2">
        <v>87.02</v>
      </c>
      <c r="BU23" s="2">
        <v>87.69</v>
      </c>
      <c r="BV23" s="2">
        <v>88.54000000000001</v>
      </c>
      <c r="BW23" s="2">
        <v>88.67</v>
      </c>
      <c r="BX23" s="2">
        <v>88.3</v>
      </c>
      <c r="BY23" s="2">
        <v>88.90000000000001</v>
      </c>
      <c r="BZ23" s="2">
        <v>88.15000000000001</v>
      </c>
      <c r="CA23" s="2">
        <v>87.55</v>
      </c>
      <c r="CB23" s="2">
        <v>88.7</v>
      </c>
      <c r="CC23" s="2">
        <v>88.23999999999999</v>
      </c>
      <c r="CD23" s="2">
        <v>89.59</v>
      </c>
      <c r="CE23" s="2">
        <v>92.27</v>
      </c>
      <c r="CF23" s="2">
        <v>94.28</v>
      </c>
      <c r="CG23" s="2">
        <v>92.28</v>
      </c>
      <c r="CH23" s="2">
        <v>92.28</v>
      </c>
      <c r="CI23" s="2">
        <v>93.3</v>
      </c>
      <c r="CJ23" s="2">
        <v>92.5</v>
      </c>
      <c r="CK23" s="2">
        <v>92.20999999999999</v>
      </c>
      <c r="CL23" s="2">
        <v>93.05</v>
      </c>
      <c r="CM23" s="2">
        <v>92.14</v>
      </c>
      <c r="CN23" s="2">
        <v>92.92</v>
      </c>
      <c r="CO23" s="2">
        <v>92.06999999999999</v>
      </c>
      <c r="CP23" s="2">
        <v>92.81999999999999</v>
      </c>
      <c r="CQ23" s="2">
        <v>95.01000000000001</v>
      </c>
      <c r="CR23" s="2">
        <v>97.55</v>
      </c>
      <c r="CS23" s="2">
        <v>95.03</v>
      </c>
      <c r="CT23" s="2">
        <v>95.84999999999999</v>
      </c>
      <c r="CU23" s="2">
        <v>98.27</v>
      </c>
      <c r="CV23" s="2">
        <v>97.34</v>
      </c>
      <c r="CW23" s="2">
        <v>97.79000000000001</v>
      </c>
      <c r="CX23" s="2">
        <v>98.22</v>
      </c>
      <c r="CY23" s="2">
        <v>99</v>
      </c>
      <c r="CZ23" s="2">
        <v>100</v>
      </c>
      <c r="DA23" s="2">
        <v>99.09999999999999</v>
      </c>
      <c r="DB23" s="2">
        <v>99.40000000000001</v>
      </c>
      <c r="DC23" s="2">
        <v>101.14</v>
      </c>
      <c r="DD23" s="2">
        <v>103.06</v>
      </c>
      <c r="DE23" s="2">
        <v>101.35</v>
      </c>
      <c r="DF23" s="2">
        <v>101.34</v>
      </c>
      <c r="DG23" s="2">
        <v>102.32</v>
      </c>
      <c r="DH23" s="2">
        <v>100.27</v>
      </c>
      <c r="DI23" s="2">
        <v>99.98999999999999</v>
      </c>
      <c r="DJ23" s="2">
        <v>99.68000000000001</v>
      </c>
      <c r="DK23" s="2">
        <v>-0.5</v>
      </c>
      <c r="DL23" s="2">
        <v>0.2</v>
      </c>
      <c r="DM23" s="2">
        <v>0.3</v>
      </c>
      <c r="DN23" s="2">
        <v>-0.2</v>
      </c>
      <c r="DO23" s="2">
        <v>0.2</v>
      </c>
      <c r="DP23" s="2">
        <v>0.7</v>
      </c>
      <c r="DQ23" s="2">
        <v>1.2</v>
      </c>
      <c r="DR23" s="2">
        <v>0.4</v>
      </c>
      <c r="DS23" s="2">
        <v>1.1</v>
      </c>
      <c r="DT23" s="2">
        <v>0.6</v>
      </c>
      <c r="DU23" s="2">
        <v>1.4</v>
      </c>
      <c r="DV23" s="2">
        <v>0.2</v>
      </c>
      <c r="DW23" s="2">
        <v>1.1</v>
      </c>
      <c r="DX23" s="2">
        <v>1.7</v>
      </c>
      <c r="DY23" s="2">
        <v>3.1</v>
      </c>
      <c r="DZ23" s="2">
        <v>2.4</v>
      </c>
      <c r="EA23" s="2">
        <v>3.5</v>
      </c>
      <c r="EB23" s="2">
        <v>2.5</v>
      </c>
      <c r="EC23" s="2">
        <v>5.6</v>
      </c>
      <c r="ED23" s="2">
        <v>8</v>
      </c>
      <c r="EE23" s="2">
        <v>3.5</v>
      </c>
      <c r="EF23" s="2">
        <v>4</v>
      </c>
      <c r="EG23" s="2">
        <v>3.5</v>
      </c>
      <c r="EH23" s="2">
        <v>4.2</v>
      </c>
      <c r="EI23" s="2">
        <v>4.3</v>
      </c>
      <c r="EJ23" s="2">
        <v>3.9</v>
      </c>
      <c r="EK23" s="2">
        <v>2.6</v>
      </c>
      <c r="EL23" s="2">
        <v>3.4</v>
      </c>
      <c r="EM23" s="2">
        <v>2.7</v>
      </c>
      <c r="EN23" s="2">
        <v>1.8</v>
      </c>
      <c r="EO23" s="2">
        <v>-1</v>
      </c>
      <c r="EP23" s="2">
        <v>-3.5</v>
      </c>
      <c r="EQ23" s="2">
        <v>0.1</v>
      </c>
      <c r="ER23" s="2">
        <v>1.1</v>
      </c>
      <c r="ES23" s="2">
        <v>0.3</v>
      </c>
      <c r="ET23" s="2">
        <v>0.4</v>
      </c>
      <c r="EU23" s="2">
        <v>1</v>
      </c>
      <c r="EV23" s="2">
        <v>0.6</v>
      </c>
      <c r="EW23" s="2">
        <v>1</v>
      </c>
      <c r="EX23" s="2">
        <v>0.7</v>
      </c>
      <c r="EY23" s="2">
        <v>1.7</v>
      </c>
      <c r="EZ23" s="2">
        <v>3.1</v>
      </c>
      <c r="FA23" s="2">
        <v>4.4</v>
      </c>
      <c r="FB23" s="2">
        <v>4.6</v>
      </c>
      <c r="FC23" s="2">
        <v>4.5</v>
      </c>
      <c r="FD23" s="2">
        <v>5.5</v>
      </c>
      <c r="FE23" s="2">
        <v>6.3</v>
      </c>
      <c r="FF23" s="2">
        <v>7.7</v>
      </c>
      <c r="FG23" s="2">
        <v>9.199999999999999</v>
      </c>
      <c r="FH23" s="2">
        <v>9</v>
      </c>
      <c r="FI23" s="2">
        <v>9</v>
      </c>
      <c r="FJ23" s="2">
        <v>10.7</v>
      </c>
      <c r="FK23" s="2">
        <v>9.699999999999999</v>
      </c>
      <c r="FL23" s="2">
        <v>11.6</v>
      </c>
      <c r="FM23" s="2">
        <v>11.1</v>
      </c>
      <c r="FN23" s="2">
        <v>11.1</v>
      </c>
      <c r="FO23" s="2">
        <v>12</v>
      </c>
      <c r="FP23" s="2">
        <v>10.8</v>
      </c>
      <c r="FQ23" s="2">
        <v>8.800000000000001</v>
      </c>
      <c r="FR23" s="2">
        <v>6.5</v>
      </c>
      <c r="FS23" s="2">
        <v>6.5</v>
      </c>
      <c r="FT23" s="2">
        <v>5.5</v>
      </c>
      <c r="FU23" s="2">
        <v>7.2</v>
      </c>
      <c r="FV23" s="2">
        <v>7.7</v>
      </c>
      <c r="FW23" s="2">
        <v>8.300000000000001</v>
      </c>
      <c r="FX23" s="2">
        <v>5.2</v>
      </c>
      <c r="FY23" s="2">
        <v>4.2</v>
      </c>
      <c r="FZ23" s="2">
        <v>5.2</v>
      </c>
      <c r="GA23" s="2">
        <v>4.8</v>
      </c>
      <c r="GB23" s="2">
        <v>3.7</v>
      </c>
      <c r="GC23" s="2">
        <v>5.6</v>
      </c>
      <c r="GD23" s="2">
        <v>5.2</v>
      </c>
      <c r="GE23" s="2">
        <v>4.8</v>
      </c>
      <c r="GF23" s="2">
        <v>4.3</v>
      </c>
      <c r="GG23" s="2">
        <v>3.6</v>
      </c>
      <c r="GH23" s="2">
        <v>3</v>
      </c>
      <c r="GI23" s="2">
        <v>3.5</v>
      </c>
      <c r="GJ23" s="2">
        <v>3</v>
      </c>
      <c r="GK23" s="2">
        <v>3.9</v>
      </c>
      <c r="GL23" s="2">
        <v>5.3</v>
      </c>
      <c r="GM23" s="2">
        <v>5.2</v>
      </c>
      <c r="GN23" s="2">
        <v>6.1</v>
      </c>
      <c r="GO23" s="2">
        <v>5.6</v>
      </c>
      <c r="GP23" s="2">
        <v>7.4</v>
      </c>
      <c r="GQ23" s="2">
        <v>7.6</v>
      </c>
      <c r="GR23" s="2">
        <v>7.6</v>
      </c>
      <c r="GS23" s="2">
        <v>7.1</v>
      </c>
      <c r="GT23" s="2">
        <v>6.5</v>
      </c>
      <c r="GU23" s="2">
        <v>5.6</v>
      </c>
      <c r="GV23" s="2">
        <v>6.7</v>
      </c>
      <c r="GW23" s="2">
        <v>5.7</v>
      </c>
      <c r="GX23" s="2">
        <v>4.1</v>
      </c>
      <c r="GY23" s="2">
        <v>3</v>
      </c>
      <c r="GZ23" s="2">
        <v>2.2</v>
      </c>
      <c r="HA23" s="2">
        <v>1.5</v>
      </c>
      <c r="HB23" s="2">
        <v>0.1</v>
      </c>
      <c r="HC23" s="2">
        <v>-0.6</v>
      </c>
      <c r="HD23" s="2">
        <v>1.5</v>
      </c>
      <c r="HE23" s="2">
        <v>0.7</v>
      </c>
      <c r="HF23" s="2">
        <v>-1</v>
      </c>
      <c r="HG23" s="2">
        <v>-0.3</v>
      </c>
      <c r="HH23" s="2">
        <v>1.1</v>
      </c>
      <c r="HI23" s="2">
        <v>-1.2</v>
      </c>
      <c r="HJ23" s="2">
        <v>-0.2</v>
      </c>
      <c r="HK23" s="2">
        <v>0.5</v>
      </c>
      <c r="HL23" s="2">
        <v>0.8</v>
      </c>
      <c r="HM23" s="2">
        <v>-1.7</v>
      </c>
      <c r="HN23" s="2">
        <v>0.7</v>
      </c>
      <c r="HO23" s="2">
        <v>-0.5</v>
      </c>
      <c r="HP23" s="2">
        <v>1.1</v>
      </c>
      <c r="HQ23" s="2">
        <v>1</v>
      </c>
      <c r="HR23" s="2">
        <v>-0.5</v>
      </c>
      <c r="HS23" s="2">
        <v>0.2</v>
      </c>
      <c r="HT23" s="2">
        <v>0.2</v>
      </c>
      <c r="HU23" s="2">
        <v>-0.5</v>
      </c>
      <c r="HV23" s="2">
        <v>-0.7</v>
      </c>
      <c r="HW23" s="2">
        <v>1.3</v>
      </c>
      <c r="HX23" s="2">
        <v>-0.4</v>
      </c>
      <c r="HY23" s="2">
        <v>-0.8</v>
      </c>
      <c r="HZ23" s="2">
        <v>1.4</v>
      </c>
      <c r="IA23" s="2">
        <v>0.8</v>
      </c>
      <c r="IB23" s="2">
        <v>0.4</v>
      </c>
      <c r="IC23" s="2">
        <v>2.2</v>
      </c>
      <c r="ID23" s="2">
        <v>-1.4</v>
      </c>
      <c r="IE23" s="2">
        <v>3.2</v>
      </c>
      <c r="IF23" s="2">
        <v>2.5</v>
      </c>
      <c r="IG23" s="2">
        <v>-4.7</v>
      </c>
      <c r="IH23" s="2">
        <v>-0.2</v>
      </c>
      <c r="II23" s="2">
        <v>0.9</v>
      </c>
      <c r="IJ23" s="2">
        <v>0.2</v>
      </c>
      <c r="IK23" s="2">
        <v>-0.7</v>
      </c>
      <c r="IL23" s="2">
        <v>1</v>
      </c>
      <c r="IM23" s="2">
        <v>-0.5</v>
      </c>
      <c r="IN23" s="2">
        <v>1.1</v>
      </c>
      <c r="IO23" s="2">
        <v>1.5</v>
      </c>
      <c r="IP23" s="2">
        <v>-2.3</v>
      </c>
      <c r="IQ23" s="2">
        <v>0.3</v>
      </c>
      <c r="IR23" s="2">
        <v>-0.1</v>
      </c>
      <c r="IS23" s="2">
        <v>-1.2</v>
      </c>
      <c r="IT23" s="2">
        <v>0.8</v>
      </c>
      <c r="IU23" s="2">
        <v>0.2</v>
      </c>
      <c r="IV23" s="2">
        <v>0.2</v>
      </c>
      <c r="IW23" s="2">
        <v>-0.1</v>
      </c>
      <c r="IX23" s="2">
        <v>0.6</v>
      </c>
      <c r="IY23" s="2">
        <v>-0.1</v>
      </c>
      <c r="IZ23" s="2">
        <v>0.8</v>
      </c>
      <c r="JA23" s="2">
        <v>2.5</v>
      </c>
      <c r="JB23" s="2">
        <v>-1</v>
      </c>
      <c r="JC23" s="2">
        <v>1.5</v>
      </c>
      <c r="JD23" s="2">
        <v>0.2</v>
      </c>
      <c r="JE23" s="2">
        <v>-1.3</v>
      </c>
      <c r="JF23" s="2">
        <v>1.8</v>
      </c>
      <c r="JG23" s="2">
        <v>1</v>
      </c>
      <c r="JH23" s="2">
        <v>1.5</v>
      </c>
      <c r="JI23" s="2">
        <v>1.3</v>
      </c>
      <c r="JJ23" s="2">
        <v>0.5</v>
      </c>
      <c r="JK23" s="2">
        <v>-0.1</v>
      </c>
      <c r="JL23" s="2">
        <v>2.5</v>
      </c>
      <c r="JM23" s="2">
        <v>1.6</v>
      </c>
      <c r="JN23" s="2">
        <v>0.8</v>
      </c>
      <c r="JO23" s="2">
        <v>1</v>
      </c>
      <c r="JP23" s="2">
        <v>0.1</v>
      </c>
      <c r="JQ23" s="2">
        <v>-0.4</v>
      </c>
      <c r="JR23" s="2">
        <v>0.7</v>
      </c>
      <c r="JS23" s="2">
        <v>-0.8</v>
      </c>
      <c r="JT23" s="2">
        <v>-0.7</v>
      </c>
      <c r="JU23" s="2">
        <v>1.3</v>
      </c>
      <c r="JV23" s="2">
        <v>-0.5</v>
      </c>
      <c r="JW23" s="2">
        <v>1.5</v>
      </c>
      <c r="JX23" s="2">
        <v>3</v>
      </c>
      <c r="JY23" s="2">
        <v>2.2</v>
      </c>
      <c r="JZ23" s="2">
        <v>-2.1</v>
      </c>
      <c r="KA23" s="2">
        <v>0</v>
      </c>
      <c r="KB23" s="2">
        <v>1.1</v>
      </c>
      <c r="KC23" s="2">
        <v>-0.9</v>
      </c>
      <c r="KD23" s="2">
        <v>-0.3</v>
      </c>
      <c r="KE23" s="2">
        <v>0.9</v>
      </c>
      <c r="KF23" s="2">
        <v>-1</v>
      </c>
      <c r="KG23" s="2">
        <v>0.8</v>
      </c>
      <c r="KH23" s="2">
        <v>-0.9</v>
      </c>
      <c r="KI23" s="2">
        <v>0.8</v>
      </c>
      <c r="KJ23" s="2">
        <v>2.4</v>
      </c>
      <c r="KK23" s="2">
        <v>2.7</v>
      </c>
      <c r="KL23" s="2">
        <v>-2.6</v>
      </c>
      <c r="KM23" s="2">
        <v>0.9</v>
      </c>
      <c r="KN23" s="2">
        <v>2.5</v>
      </c>
      <c r="KO23" s="2">
        <v>-0.9</v>
      </c>
      <c r="KP23" s="2">
        <v>0.5</v>
      </c>
      <c r="KQ23" s="2">
        <v>0.4</v>
      </c>
      <c r="KR23" s="2">
        <v>0.8</v>
      </c>
      <c r="KS23" s="2">
        <v>1</v>
      </c>
      <c r="KT23" s="2">
        <v>-0.9</v>
      </c>
      <c r="KU23" s="2">
        <v>0.3</v>
      </c>
      <c r="KV23" s="2">
        <v>1.8</v>
      </c>
      <c r="KW23" s="2">
        <v>1.9</v>
      </c>
      <c r="KX23" s="2">
        <v>-1.7</v>
      </c>
      <c r="KY23" s="2">
        <v>0</v>
      </c>
      <c r="KZ23" s="2">
        <v>1</v>
      </c>
      <c r="LA23" s="2">
        <v>-2</v>
      </c>
      <c r="LB23" s="2">
        <v>-0.3</v>
      </c>
      <c r="LC23" s="2">
        <v>-0.3</v>
      </c>
      <c r="LD23" s="2">
        <v>0.91</v>
      </c>
      <c r="LE23" s="2">
        <v>0.9399999999999999</v>
      </c>
      <c r="LF23" s="2">
        <v>0.91</v>
      </c>
      <c r="LG23" s="2">
        <v>0.92</v>
      </c>
      <c r="LH23" s="2">
        <v>0.9399999999999999</v>
      </c>
      <c r="LI23" s="2">
        <v>0.93</v>
      </c>
      <c r="LJ23" s="2">
        <v>0.9399999999999999</v>
      </c>
      <c r="LK23" s="2">
        <v>0.9399999999999999</v>
      </c>
      <c r="LL23" s="2">
        <v>0.95</v>
      </c>
      <c r="LM23" s="2">
        <v>0.96</v>
      </c>
      <c r="LN23" s="2">
        <v>0.95</v>
      </c>
      <c r="LO23" s="2">
        <v>0.95</v>
      </c>
      <c r="LP23" s="2">
        <v>0.97</v>
      </c>
      <c r="LQ23" s="2">
        <v>0.99</v>
      </c>
      <c r="LR23" s="2">
        <v>0.97</v>
      </c>
      <c r="LS23" s="2">
        <v>0.97</v>
      </c>
      <c r="LT23" s="2">
        <v>0.98</v>
      </c>
      <c r="LU23" s="2">
        <v>0.96</v>
      </c>
      <c r="LV23" s="2">
        <v>0.96</v>
      </c>
      <c r="LW23" s="2">
        <v>0.96</v>
      </c>
      <c r="LX23" s="2">
        <v>0.03</v>
      </c>
      <c r="LY23" s="2">
        <v>-0.03</v>
      </c>
      <c r="LZ23" s="2">
        <v>0.01</v>
      </c>
      <c r="MA23" s="2">
        <v>0.02</v>
      </c>
      <c r="MB23" s="2">
        <v>-0.01</v>
      </c>
      <c r="MC23" s="2">
        <v>0.01</v>
      </c>
      <c r="MD23" s="2">
        <v>0</v>
      </c>
      <c r="ME23" s="2">
        <v>0.01</v>
      </c>
      <c r="MF23" s="2">
        <v>0.01</v>
      </c>
      <c r="MG23" s="2">
        <v>-0.01</v>
      </c>
      <c r="MH23" s="2">
        <v>0</v>
      </c>
      <c r="MI23" s="2">
        <v>0.02</v>
      </c>
      <c r="MJ23" s="2">
        <v>0.02</v>
      </c>
      <c r="MK23" s="2">
        <v>-0.02</v>
      </c>
      <c r="ML23" s="2">
        <v>0</v>
      </c>
      <c r="MM23" s="2">
        <v>0.01</v>
      </c>
      <c r="MN23" s="2">
        <v>-0.02</v>
      </c>
      <c r="MO23" s="2">
        <v>0</v>
      </c>
      <c r="MP23" s="2">
        <v>0</v>
      </c>
      <c r="SY23" s="2">
        <v>31.37</v>
      </c>
      <c r="SZ23" s="2">
        <v>32.12</v>
      </c>
      <c r="TA23" s="2">
        <v>33.06</v>
      </c>
      <c r="TB23" s="2">
        <v>33.39</v>
      </c>
      <c r="TC23" s="2">
        <v>34</v>
      </c>
      <c r="TD23" s="2">
        <v>34.36</v>
      </c>
      <c r="TE23" s="2">
        <v>34.59</v>
      </c>
      <c r="TF23" s="2">
        <v>35.21</v>
      </c>
      <c r="TG23" s="2">
        <v>35.4</v>
      </c>
      <c r="TH23" s="2">
        <v>35.92</v>
      </c>
      <c r="TI23" s="2">
        <v>36.05</v>
      </c>
      <c r="TJ23" s="2">
        <v>36.73</v>
      </c>
      <c r="TK23" s="2">
        <v>37.02</v>
      </c>
      <c r="TL23" s="2">
        <v>37.38</v>
      </c>
      <c r="TM23" s="2">
        <v>37.58</v>
      </c>
      <c r="TN23" s="2">
        <v>38.1</v>
      </c>
      <c r="TO23" s="2">
        <v>38.42</v>
      </c>
      <c r="TP23" s="2">
        <v>39.04</v>
      </c>
      <c r="TQ23" s="2">
        <v>39.46</v>
      </c>
      <c r="TR23" s="2">
        <v>39.59</v>
      </c>
      <c r="TS23" s="2">
        <v>39.92</v>
      </c>
      <c r="TT23" s="2">
        <v>40.11</v>
      </c>
      <c r="TU23" s="2">
        <v>40.73</v>
      </c>
      <c r="TV23" s="2">
        <v>40.79</v>
      </c>
      <c r="TW23" s="2">
        <v>41.51</v>
      </c>
      <c r="TX23" s="2">
        <v>42.06</v>
      </c>
      <c r="TY23" s="2">
        <v>42.25</v>
      </c>
      <c r="TZ23" s="2">
        <v>42.58</v>
      </c>
      <c r="UA23" s="2">
        <v>43.03</v>
      </c>
      <c r="UB23" s="2">
        <v>43.1</v>
      </c>
      <c r="UC23" s="2">
        <v>43.78</v>
      </c>
      <c r="UD23" s="2">
        <v>44.2</v>
      </c>
      <c r="UE23" s="2">
        <v>44.92</v>
      </c>
      <c r="UF23" s="2">
        <v>45.7</v>
      </c>
      <c r="UG23" s="2">
        <v>45.83</v>
      </c>
      <c r="UH23" s="2">
        <v>46.02</v>
      </c>
      <c r="UI23" s="2">
        <v>46.61</v>
      </c>
      <c r="UJ23" s="2">
        <v>46.7</v>
      </c>
      <c r="UK23" s="2">
        <v>47</v>
      </c>
      <c r="UL23" s="2">
        <v>47.9</v>
      </c>
      <c r="UM23" s="2">
        <v>48.07</v>
      </c>
      <c r="UN23" s="2">
        <v>48.49</v>
      </c>
      <c r="UO23" s="2">
        <v>48.85</v>
      </c>
      <c r="UP23" s="2">
        <v>49.11</v>
      </c>
      <c r="UQ23" s="2">
        <v>49.18</v>
      </c>
      <c r="UR23" s="2">
        <v>49.89</v>
      </c>
      <c r="US23" s="2">
        <v>50.28</v>
      </c>
      <c r="UT23" s="2">
        <v>50.72</v>
      </c>
      <c r="UU23" s="2">
        <v>50.82</v>
      </c>
      <c r="UV23" s="2">
        <v>51.66</v>
      </c>
      <c r="UW23" s="2">
        <v>51.79</v>
      </c>
      <c r="UX23" s="2">
        <v>52.41</v>
      </c>
      <c r="UY23" s="2">
        <v>52.8</v>
      </c>
      <c r="UZ23" s="2">
        <v>53.67</v>
      </c>
      <c r="VA23" s="2">
        <v>55.85</v>
      </c>
      <c r="VB23" s="2">
        <v>55.5</v>
      </c>
      <c r="VC23" s="2">
        <v>56.27</v>
      </c>
      <c r="VD23" s="2">
        <v>56.09</v>
      </c>
      <c r="VE23" s="2">
        <v>56.6</v>
      </c>
      <c r="VF23" s="2">
        <v>56.79</v>
      </c>
      <c r="VG23" s="2">
        <v>57.1</v>
      </c>
      <c r="VH23" s="2">
        <v>57.12</v>
      </c>
      <c r="VI23" s="2">
        <v>58.71</v>
      </c>
      <c r="VJ23" s="2">
        <v>59.39</v>
      </c>
      <c r="VK23" s="2">
        <v>59.87</v>
      </c>
      <c r="VL23" s="2">
        <v>60.4</v>
      </c>
      <c r="VM23" s="2">
        <v>61.03</v>
      </c>
      <c r="VN23" s="2">
        <v>62.3</v>
      </c>
      <c r="VO23" s="2">
        <v>62.82</v>
      </c>
      <c r="VP23" s="2">
        <v>62.84</v>
      </c>
      <c r="VQ23" s="2">
        <v>64.02</v>
      </c>
      <c r="VR23" s="2">
        <v>64.09</v>
      </c>
      <c r="VS23" s="2">
        <v>64.39</v>
      </c>
      <c r="VT23" s="2">
        <v>65.66</v>
      </c>
      <c r="VU23" s="2">
        <v>66.78</v>
      </c>
      <c r="VV23" s="2">
        <v>67.48999999999999</v>
      </c>
      <c r="VW23" s="2">
        <v>67.55</v>
      </c>
      <c r="VX23" s="2">
        <v>69.01000000000001</v>
      </c>
      <c r="VY23" s="2">
        <v>70.68000000000001</v>
      </c>
      <c r="VZ23" s="2">
        <v>70.98999999999999</v>
      </c>
      <c r="WA23" s="2">
        <v>70.43000000000001</v>
      </c>
      <c r="WB23" s="2">
        <v>71.17</v>
      </c>
      <c r="WC23" s="2">
        <v>71.88</v>
      </c>
      <c r="WD23" s="2">
        <v>72.51000000000001</v>
      </c>
      <c r="WE23" s="2">
        <v>72.5</v>
      </c>
      <c r="WF23" s="2">
        <v>72.73</v>
      </c>
      <c r="WG23" s="2">
        <v>73.51000000000001</v>
      </c>
      <c r="WH23" s="2">
        <v>74.51000000000001</v>
      </c>
      <c r="WI23" s="2">
        <v>74.3</v>
      </c>
      <c r="WJ23" s="2">
        <v>72.98999999999999</v>
      </c>
      <c r="WK23" s="2">
        <v>72.56</v>
      </c>
      <c r="WL23" s="2">
        <v>74.87</v>
      </c>
      <c r="WM23" s="2">
        <v>74.98</v>
      </c>
      <c r="WN23" s="2">
        <v>75.13</v>
      </c>
      <c r="WO23" s="2">
        <v>74.95999999999999</v>
      </c>
      <c r="WP23" s="2">
        <v>74.8</v>
      </c>
      <c r="WQ23" s="2">
        <v>74.98</v>
      </c>
      <c r="WR23" s="2">
        <v>76.59</v>
      </c>
      <c r="WS23" s="2">
        <v>75.09999999999999</v>
      </c>
      <c r="WT23" s="2">
        <v>76.17</v>
      </c>
      <c r="WU23" s="2">
        <v>75.75</v>
      </c>
      <c r="WV23" s="2">
        <v>76</v>
      </c>
      <c r="WW23" s="2">
        <v>77.09999999999999</v>
      </c>
      <c r="WX23" s="2">
        <v>76.73</v>
      </c>
      <c r="WY23" s="2">
        <v>76.22</v>
      </c>
      <c r="WZ23" s="2">
        <v>76.56999999999999</v>
      </c>
      <c r="XA23" s="2">
        <v>77.84</v>
      </c>
      <c r="XB23" s="2">
        <v>75.53</v>
      </c>
      <c r="XC23" s="2">
        <v>75.29000000000001</v>
      </c>
      <c r="XD23" s="2">
        <v>76.23</v>
      </c>
      <c r="XE23" s="2">
        <v>76.98</v>
      </c>
      <c r="XF23" s="2">
        <v>75.98</v>
      </c>
      <c r="XG23" s="2">
        <v>75.47</v>
      </c>
      <c r="XH23" s="2">
        <v>74.81</v>
      </c>
      <c r="XI23" s="2">
        <v>75.17</v>
      </c>
      <c r="XJ23" s="2">
        <v>74.31999999999999</v>
      </c>
      <c r="XK23" s="2">
        <v>74.42</v>
      </c>
      <c r="XL23" s="2">
        <v>74.26000000000001</v>
      </c>
      <c r="XM23" s="2">
        <v>74.90000000000001</v>
      </c>
      <c r="XN23" s="2">
        <v>74.56</v>
      </c>
      <c r="XO23" s="2">
        <v>74.40000000000001</v>
      </c>
      <c r="XP23" s="2">
        <v>75.12</v>
      </c>
      <c r="XQ23" s="2">
        <v>76.98</v>
      </c>
      <c r="XR23" s="2">
        <v>76.97</v>
      </c>
      <c r="XS23" s="2">
        <v>76.37</v>
      </c>
      <c r="XT23" s="2">
        <v>76.45999999999999</v>
      </c>
      <c r="XU23" s="2">
        <v>76.94</v>
      </c>
      <c r="XV23" s="2">
        <v>76.2</v>
      </c>
      <c r="XW23" s="2">
        <v>76.28</v>
      </c>
      <c r="XX23" s="2">
        <v>77.09999999999999</v>
      </c>
      <c r="XY23" s="2">
        <v>79.31999999999999</v>
      </c>
      <c r="XZ23" s="2">
        <v>79.45</v>
      </c>
      <c r="YA23" s="2">
        <v>82.14</v>
      </c>
      <c r="YB23" s="2">
        <v>84.29000000000001</v>
      </c>
      <c r="YC23" s="2">
        <v>87.75</v>
      </c>
      <c r="YD23" s="2">
        <v>88.62</v>
      </c>
      <c r="YE23" s="2">
        <v>88.13</v>
      </c>
      <c r="YF23" s="2">
        <v>90.03</v>
      </c>
      <c r="YG23" s="2">
        <v>92.95</v>
      </c>
      <c r="YH23" s="2">
        <v>92.67</v>
      </c>
      <c r="YI23" s="2">
        <v>92.7</v>
      </c>
      <c r="YJ23" s="2">
        <v>93.3</v>
      </c>
      <c r="YK23" s="2">
        <v>96.14</v>
      </c>
      <c r="YL23" s="2">
        <v>97.8</v>
      </c>
      <c r="YM23" s="2">
        <v>99.06999999999999</v>
      </c>
      <c r="YN23" s="2">
        <v>99.88</v>
      </c>
      <c r="YO23" s="2">
        <v>101.92</v>
      </c>
      <c r="YP23" s="2">
        <v>100.86</v>
      </c>
      <c r="AEY23" s="2">
        <v>2.4</v>
      </c>
      <c r="AEZ23" s="2">
        <v>2.9</v>
      </c>
      <c r="AFA23" s="2">
        <v>1</v>
      </c>
      <c r="AFB23" s="2">
        <v>1.8</v>
      </c>
      <c r="AFC23" s="2">
        <v>1.1</v>
      </c>
      <c r="AFD23" s="2">
        <v>0.7</v>
      </c>
      <c r="AFE23" s="2">
        <v>1.8</v>
      </c>
      <c r="AFF23" s="2">
        <v>0.5</v>
      </c>
      <c r="AFG23" s="2">
        <v>1.5</v>
      </c>
      <c r="AFH23" s="2">
        <v>0.4</v>
      </c>
      <c r="AFI23" s="2">
        <v>1.9</v>
      </c>
      <c r="AFJ23" s="2">
        <v>0.8</v>
      </c>
      <c r="AFK23" s="2">
        <v>1</v>
      </c>
      <c r="AFL23" s="2">
        <v>0.5</v>
      </c>
      <c r="AFM23" s="2">
        <v>1.4</v>
      </c>
      <c r="AFN23" s="2">
        <v>0.8</v>
      </c>
      <c r="AFO23" s="2">
        <v>1.6</v>
      </c>
      <c r="AFP23" s="2">
        <v>1.1</v>
      </c>
      <c r="AFQ23" s="2">
        <v>0.3</v>
      </c>
      <c r="AFR23" s="2">
        <v>0.8</v>
      </c>
      <c r="AFS23" s="2">
        <v>0.5</v>
      </c>
      <c r="AFT23" s="2">
        <v>1.5</v>
      </c>
      <c r="AFU23" s="2">
        <v>0.1</v>
      </c>
      <c r="AFV23" s="2">
        <v>1.8</v>
      </c>
      <c r="AFW23" s="2">
        <v>1.3</v>
      </c>
      <c r="AFX23" s="2">
        <v>0.5</v>
      </c>
      <c r="AFY23" s="2">
        <v>0.8</v>
      </c>
      <c r="AFZ23" s="2">
        <v>1.1</v>
      </c>
      <c r="AGA23" s="2">
        <v>0.2</v>
      </c>
      <c r="AGB23" s="2">
        <v>1.6</v>
      </c>
      <c r="AGC23" s="2">
        <v>1</v>
      </c>
      <c r="AGD23" s="2">
        <v>1.6</v>
      </c>
      <c r="AGE23" s="2">
        <v>1.7</v>
      </c>
      <c r="AGF23" s="2">
        <v>0.3</v>
      </c>
      <c r="AGG23" s="2">
        <v>0.4</v>
      </c>
      <c r="AGH23" s="2">
        <v>1.3</v>
      </c>
      <c r="AGI23" s="2">
        <v>0.2</v>
      </c>
      <c r="AGJ23" s="2">
        <v>0.6</v>
      </c>
      <c r="AGK23" s="2">
        <v>1.9</v>
      </c>
      <c r="AGL23" s="2">
        <v>0.4</v>
      </c>
      <c r="AGM23" s="2">
        <v>0.9</v>
      </c>
      <c r="AGN23" s="2">
        <v>0.7</v>
      </c>
      <c r="AGO23" s="2">
        <v>0.5</v>
      </c>
      <c r="AGP23" s="2">
        <v>0.1</v>
      </c>
      <c r="AGQ23" s="2">
        <v>1.4</v>
      </c>
      <c r="AGR23" s="2">
        <v>0.8</v>
      </c>
      <c r="AGS23" s="2">
        <v>0.9</v>
      </c>
      <c r="AGT23" s="2">
        <v>0.2</v>
      </c>
      <c r="AGU23" s="2">
        <v>1.7</v>
      </c>
      <c r="AGV23" s="2">
        <v>0.3</v>
      </c>
      <c r="AGW23" s="2">
        <v>1.2</v>
      </c>
      <c r="AGX23" s="2">
        <v>0.7</v>
      </c>
      <c r="AGY23" s="2">
        <v>1.6</v>
      </c>
      <c r="AGZ23" s="2">
        <v>4.1</v>
      </c>
      <c r="AHA23" s="2">
        <v>-0.6</v>
      </c>
      <c r="AHB23" s="2">
        <v>1.4</v>
      </c>
      <c r="AHC23" s="2">
        <v>-0.3</v>
      </c>
      <c r="AHD23" s="2">
        <v>0.9</v>
      </c>
      <c r="AHE23" s="2">
        <v>0.3</v>
      </c>
      <c r="AHF23" s="2">
        <v>0.5</v>
      </c>
      <c r="AHG23" s="2">
        <v>0</v>
      </c>
      <c r="AHH23" s="2">
        <v>2.8</v>
      </c>
      <c r="AHI23" s="2">
        <v>1.2</v>
      </c>
      <c r="AHJ23" s="2">
        <v>0.8</v>
      </c>
      <c r="AHK23" s="2">
        <v>0.9</v>
      </c>
      <c r="AHL23" s="2">
        <v>1</v>
      </c>
      <c r="AHM23" s="2">
        <v>2.1</v>
      </c>
      <c r="AHN23" s="2">
        <v>0.8</v>
      </c>
      <c r="AHO23" s="2">
        <v>0</v>
      </c>
      <c r="AHP23" s="2">
        <v>1.9</v>
      </c>
      <c r="AHQ23" s="2">
        <v>0.1</v>
      </c>
      <c r="AHR23" s="2">
        <v>0.5</v>
      </c>
      <c r="AHS23" s="2">
        <v>2</v>
      </c>
      <c r="AHT23" s="2">
        <v>1.7</v>
      </c>
      <c r="AHU23" s="2">
        <v>1.1</v>
      </c>
      <c r="AHV23" s="2">
        <v>0.1</v>
      </c>
      <c r="AHW23" s="2">
        <v>2.2</v>
      </c>
      <c r="AHX23" s="2">
        <v>2.4</v>
      </c>
      <c r="AHY23" s="2">
        <v>0.4</v>
      </c>
      <c r="AHZ23" s="2">
        <v>-0.8</v>
      </c>
      <c r="AIA23" s="2">
        <v>1.1</v>
      </c>
      <c r="AIB23" s="2">
        <v>1</v>
      </c>
      <c r="AIC23" s="2">
        <v>0.9</v>
      </c>
      <c r="AID23" s="2">
        <v>0</v>
      </c>
      <c r="AIE23" s="2">
        <v>0.3</v>
      </c>
      <c r="AIF23" s="2">
        <v>1.1</v>
      </c>
      <c r="AIG23" s="2">
        <v>1.4</v>
      </c>
      <c r="AIH23" s="2">
        <v>-0.3</v>
      </c>
      <c r="AII23" s="2">
        <v>-1.8</v>
      </c>
      <c r="AIJ23" s="2">
        <v>-0.6</v>
      </c>
      <c r="AIK23" s="2">
        <v>3.2</v>
      </c>
      <c r="AIL23" s="2">
        <v>0.1</v>
      </c>
      <c r="AIM23" s="2">
        <v>0.2</v>
      </c>
      <c r="AIN23" s="2">
        <v>-0.2</v>
      </c>
      <c r="AIO23" s="2">
        <v>-0.2</v>
      </c>
      <c r="AIP23" s="2">
        <v>0.2</v>
      </c>
      <c r="AIQ23" s="2">
        <v>2.1</v>
      </c>
      <c r="AIR23" s="2">
        <v>-1.9</v>
      </c>
      <c r="AIS23" s="2">
        <v>1.4</v>
      </c>
      <c r="AIT23" s="2">
        <v>-0.6</v>
      </c>
      <c r="AIU23" s="2">
        <v>0.3</v>
      </c>
      <c r="AIV23" s="2">
        <v>1.4</v>
      </c>
      <c r="AIW23" s="2">
        <v>-0.5</v>
      </c>
      <c r="AIX23" s="2">
        <v>-0.7</v>
      </c>
      <c r="AIY23" s="2">
        <v>0.5</v>
      </c>
      <c r="AIZ23" s="2">
        <v>1.7</v>
      </c>
      <c r="AJA23" s="2">
        <v>-3</v>
      </c>
      <c r="AJB23" s="2">
        <v>-0.3</v>
      </c>
      <c r="AJC23" s="2">
        <v>1.2</v>
      </c>
      <c r="AJD23" s="2">
        <v>1</v>
      </c>
      <c r="AJE23" s="2">
        <v>-1.3</v>
      </c>
      <c r="AJF23" s="2">
        <v>-0.7</v>
      </c>
      <c r="AJG23" s="2">
        <v>-0.9</v>
      </c>
      <c r="AJH23" s="2">
        <v>0.5</v>
      </c>
      <c r="AJI23" s="2">
        <v>-1.1</v>
      </c>
      <c r="AJJ23" s="2">
        <v>0.1</v>
      </c>
      <c r="AJK23" s="2">
        <v>-0.2</v>
      </c>
      <c r="AJL23" s="2">
        <v>0.9</v>
      </c>
      <c r="AJM23" s="2">
        <v>-0.5</v>
      </c>
      <c r="AJN23" s="2">
        <v>-0.2</v>
      </c>
      <c r="AJO23" s="2">
        <v>1</v>
      </c>
      <c r="AJP23" s="2">
        <v>2.5</v>
      </c>
      <c r="AJQ23" s="2">
        <v>0</v>
      </c>
      <c r="AJR23" s="2">
        <v>-0.8</v>
      </c>
      <c r="AJS23" s="2">
        <v>0.1</v>
      </c>
      <c r="AJT23" s="2">
        <v>0.6</v>
      </c>
      <c r="AJU23" s="2">
        <v>-1</v>
      </c>
      <c r="AJV23" s="2">
        <v>0.1</v>
      </c>
      <c r="AJW23" s="2">
        <v>1.1</v>
      </c>
      <c r="AJX23" s="2">
        <v>2.9</v>
      </c>
      <c r="AJY23" s="2">
        <v>0.2</v>
      </c>
      <c r="AJZ23" s="2">
        <v>3.4</v>
      </c>
      <c r="AKA23" s="2">
        <v>2.6</v>
      </c>
      <c r="AKB23" s="2">
        <v>4.1</v>
      </c>
      <c r="AKC23" s="2">
        <v>1</v>
      </c>
      <c r="AKD23" s="2">
        <v>-0.6</v>
      </c>
      <c r="AKE23" s="2">
        <v>2.2</v>
      </c>
      <c r="AKF23" s="2">
        <v>3.2</v>
      </c>
      <c r="AKG23" s="2">
        <v>-0.3</v>
      </c>
      <c r="AKH23" s="2">
        <v>0</v>
      </c>
      <c r="AKI23" s="2">
        <v>0.6</v>
      </c>
      <c r="AKJ23" s="2">
        <v>3</v>
      </c>
      <c r="AKK23" s="2">
        <v>1.7</v>
      </c>
      <c r="AKL23" s="2">
        <v>1.3</v>
      </c>
      <c r="AKM23" s="2">
        <v>0.8</v>
      </c>
      <c r="AKN23" s="2">
        <v>2</v>
      </c>
      <c r="AKO23" s="2">
        <v>-1</v>
      </c>
      <c r="AKP23" s="2">
        <v>0.96</v>
      </c>
      <c r="AKQ23" s="2">
        <v>0.98</v>
      </c>
      <c r="AKR23" s="2">
        <v>0.97</v>
      </c>
    </row>
    <row r="24">
      <c r="A24" t="inlineStr">
        <is>
          <t>Other food products n.e.c.</t>
        </is>
      </c>
      <c r="B24" t="inlineStr">
        <is>
          <t>Food products n.e.c.</t>
        </is>
      </c>
      <c r="C24">
        <v>3</v>
      </c>
      <c r="D24">
        <v>0.53</v>
      </c>
      <c r="E24" s="3">
        <f>D24/2.3*0.02298678920160827</f>
        <v>0.005296955772544515</v>
      </c>
      <c r="F24" s="3">
        <f>E24-D24/100</f>
        <v>-3.0442274554847923e-06</v>
      </c>
      <c r="G24" s="3">
        <f>D24/2.3</f>
        <v>0.23043478260869568</v>
      </c>
      <c r="H24" s="2">
        <v>78.11</v>
      </c>
      <c r="I24" s="2">
        <v>78.29000000000001</v>
      </c>
      <c r="J24" s="2">
        <v>79.2</v>
      </c>
      <c r="K24" s="2">
        <v>79.72</v>
      </c>
      <c r="L24" s="2">
        <v>79.47</v>
      </c>
      <c r="M24" s="2">
        <v>78.2</v>
      </c>
      <c r="N24" s="2">
        <v>77.95999999999999</v>
      </c>
      <c r="O24" s="2">
        <v>77.11</v>
      </c>
      <c r="P24" s="2">
        <v>76.39</v>
      </c>
      <c r="Q24" s="2">
        <v>76.81999999999999</v>
      </c>
      <c r="R24" s="2">
        <v>77.12</v>
      </c>
      <c r="S24" s="2">
        <v>77.28</v>
      </c>
      <c r="T24" s="2">
        <v>76.79000000000001</v>
      </c>
      <c r="U24" s="2">
        <v>77.45</v>
      </c>
      <c r="V24" s="2">
        <v>78.19</v>
      </c>
      <c r="W24" s="2">
        <v>79.23</v>
      </c>
      <c r="X24" s="2">
        <v>79.08</v>
      </c>
      <c r="Y24" s="2">
        <v>78.02</v>
      </c>
      <c r="Z24" s="2">
        <v>77</v>
      </c>
      <c r="AA24" s="2">
        <v>77.34</v>
      </c>
      <c r="AB24" s="2">
        <v>76.06</v>
      </c>
      <c r="AC24" s="2">
        <v>76.26000000000001</v>
      </c>
      <c r="AD24" s="2">
        <v>77.17</v>
      </c>
      <c r="AE24" s="2">
        <v>77.23</v>
      </c>
      <c r="AF24" s="2">
        <v>77.36</v>
      </c>
      <c r="AG24" s="2">
        <v>78.03</v>
      </c>
      <c r="AH24" s="2">
        <v>79.77</v>
      </c>
      <c r="AI24" s="2">
        <v>80.95999999999999</v>
      </c>
      <c r="AJ24" s="2">
        <v>80.73</v>
      </c>
      <c r="AK24" s="2">
        <v>79.88</v>
      </c>
      <c r="AL24" s="2">
        <v>83.15000000000001</v>
      </c>
      <c r="AM24" s="2">
        <v>87.11</v>
      </c>
      <c r="AN24" s="2">
        <v>83.53</v>
      </c>
      <c r="AO24" s="2">
        <v>81.83</v>
      </c>
      <c r="AP24" s="2">
        <v>81.81999999999999</v>
      </c>
      <c r="AQ24" s="2">
        <v>80.81</v>
      </c>
      <c r="AR24" s="2">
        <v>80.90000000000001</v>
      </c>
      <c r="AS24" s="2">
        <v>82.09</v>
      </c>
      <c r="AT24" s="2">
        <v>82.61</v>
      </c>
      <c r="AU24" s="2">
        <v>83.89</v>
      </c>
      <c r="AV24" s="2">
        <v>83.16</v>
      </c>
      <c r="AW24" s="2">
        <v>82.58</v>
      </c>
      <c r="AX24" s="2">
        <v>81.29000000000001</v>
      </c>
      <c r="AY24" s="2">
        <v>82.2</v>
      </c>
      <c r="AZ24" s="2">
        <v>81.01000000000001</v>
      </c>
      <c r="BA24" s="2">
        <v>81.20999999999999</v>
      </c>
      <c r="BB24" s="2">
        <v>82.33</v>
      </c>
      <c r="BC24" s="2">
        <v>82.68000000000001</v>
      </c>
      <c r="BD24" s="2">
        <v>82.48999999999999</v>
      </c>
      <c r="BE24" s="2">
        <v>82.84</v>
      </c>
      <c r="BF24" s="2">
        <v>84.28</v>
      </c>
      <c r="BG24" s="2">
        <v>85.87</v>
      </c>
      <c r="BH24" s="2">
        <v>86.18000000000001</v>
      </c>
      <c r="BI24" s="2">
        <v>86.97</v>
      </c>
      <c r="BJ24" s="2">
        <v>86.06</v>
      </c>
      <c r="BK24" s="2">
        <v>86.81999999999999</v>
      </c>
      <c r="BL24" s="2">
        <v>87.42</v>
      </c>
      <c r="BM24" s="2">
        <v>87.06</v>
      </c>
      <c r="BN24" s="2">
        <v>88.97</v>
      </c>
      <c r="BO24" s="2">
        <v>90.95</v>
      </c>
      <c r="BP24" s="2">
        <v>91.01000000000001</v>
      </c>
      <c r="BQ24" s="2">
        <v>93.39</v>
      </c>
      <c r="BR24" s="2">
        <v>94.23</v>
      </c>
      <c r="BS24" s="2">
        <v>96.18000000000001</v>
      </c>
      <c r="BT24" s="2">
        <v>96.2</v>
      </c>
      <c r="BU24" s="2">
        <v>96.98</v>
      </c>
      <c r="BV24" s="2">
        <v>97.39</v>
      </c>
      <c r="BW24" s="2">
        <v>98.59999999999999</v>
      </c>
      <c r="BX24" s="2">
        <v>97.81999999999999</v>
      </c>
      <c r="BY24" s="2">
        <v>97.90000000000001</v>
      </c>
      <c r="BZ24" s="2">
        <v>97.45999999999999</v>
      </c>
      <c r="CA24" s="2">
        <v>97.67</v>
      </c>
      <c r="CB24" s="2">
        <v>97.63</v>
      </c>
      <c r="CC24" s="2">
        <v>98.5</v>
      </c>
      <c r="CD24" s="2">
        <v>99.63</v>
      </c>
      <c r="CE24" s="2">
        <v>101.16</v>
      </c>
      <c r="CF24" s="2">
        <v>100.63</v>
      </c>
      <c r="CG24" s="2">
        <v>100.26</v>
      </c>
      <c r="CH24" s="2">
        <v>99.67</v>
      </c>
      <c r="CI24" s="2">
        <v>98.28</v>
      </c>
      <c r="CJ24" s="2">
        <v>98.15000000000001</v>
      </c>
      <c r="CK24" s="2">
        <v>98.05</v>
      </c>
      <c r="CL24" s="2">
        <v>98.51000000000001</v>
      </c>
      <c r="CM24" s="2">
        <v>98.92</v>
      </c>
      <c r="CN24" s="2">
        <v>99.03</v>
      </c>
      <c r="CO24" s="2">
        <v>99.67</v>
      </c>
      <c r="CP24" s="2">
        <v>100.14</v>
      </c>
      <c r="CQ24" s="2">
        <v>101.68</v>
      </c>
      <c r="CR24" s="2">
        <v>101.18</v>
      </c>
      <c r="CS24" s="2">
        <v>100.69</v>
      </c>
      <c r="CT24" s="2">
        <v>100.63</v>
      </c>
      <c r="CU24" s="2">
        <v>99.37</v>
      </c>
      <c r="CV24" s="2">
        <v>99.31</v>
      </c>
      <c r="CW24" s="2">
        <v>99.06999999999999</v>
      </c>
      <c r="CX24" s="2">
        <v>99.61</v>
      </c>
      <c r="CY24" s="2">
        <v>99.59</v>
      </c>
      <c r="CZ24" s="2">
        <v>100</v>
      </c>
      <c r="DA24" s="2">
        <v>100.44</v>
      </c>
      <c r="DB24" s="2">
        <v>101.24</v>
      </c>
      <c r="DC24" s="2">
        <v>102.92</v>
      </c>
      <c r="DD24" s="2">
        <v>102.57</v>
      </c>
      <c r="DE24" s="2">
        <v>100.99</v>
      </c>
      <c r="DF24" s="2">
        <v>101.38</v>
      </c>
      <c r="DG24" s="2">
        <v>100.99</v>
      </c>
      <c r="DH24" s="2">
        <v>100.45</v>
      </c>
      <c r="DI24" s="2">
        <v>99.81</v>
      </c>
      <c r="DJ24" s="2">
        <v>100.24</v>
      </c>
      <c r="DK24" s="2">
        <v>-1.7</v>
      </c>
      <c r="DL24" s="2">
        <v>-1.1</v>
      </c>
      <c r="DM24" s="2">
        <v>-1.3</v>
      </c>
      <c r="DN24" s="2">
        <v>-0.6</v>
      </c>
      <c r="DO24" s="2">
        <v>-0.5</v>
      </c>
      <c r="DP24" s="2">
        <v>-0.2</v>
      </c>
      <c r="DQ24" s="2">
        <v>-1.2</v>
      </c>
      <c r="DR24" s="2">
        <v>0.3</v>
      </c>
      <c r="DS24" s="2">
        <v>-0.4</v>
      </c>
      <c r="DT24" s="2">
        <v>-0.7</v>
      </c>
      <c r="DU24" s="2">
        <v>0.1</v>
      </c>
      <c r="DV24" s="2">
        <v>-0.1</v>
      </c>
      <c r="DW24" s="2">
        <v>0.7</v>
      </c>
      <c r="DX24" s="2">
        <v>0.7</v>
      </c>
      <c r="DY24" s="2">
        <v>2</v>
      </c>
      <c r="DZ24" s="2">
        <v>2.2</v>
      </c>
      <c r="EA24" s="2">
        <v>2.1</v>
      </c>
      <c r="EB24" s="2">
        <v>2.4</v>
      </c>
      <c r="EC24" s="2">
        <v>8</v>
      </c>
      <c r="ED24" s="2">
        <v>12.6</v>
      </c>
      <c r="EE24" s="2">
        <v>9.800000000000001</v>
      </c>
      <c r="EF24" s="2">
        <v>7.3</v>
      </c>
      <c r="EG24" s="2">
        <v>6</v>
      </c>
      <c r="EH24" s="2">
        <v>4.6</v>
      </c>
      <c r="EI24" s="2">
        <v>4.6</v>
      </c>
      <c r="EJ24" s="2">
        <v>5.2</v>
      </c>
      <c r="EK24" s="2">
        <v>3.6</v>
      </c>
      <c r="EL24" s="2">
        <v>3.6</v>
      </c>
      <c r="EM24" s="2">
        <v>3</v>
      </c>
      <c r="EN24" s="2">
        <v>3.4</v>
      </c>
      <c r="EO24" s="2">
        <v>-2.2</v>
      </c>
      <c r="EP24" s="2">
        <v>-5.6</v>
      </c>
      <c r="EQ24" s="2">
        <v>-3</v>
      </c>
      <c r="ER24" s="2">
        <v>-0.8</v>
      </c>
      <c r="ES24" s="2">
        <v>0.6</v>
      </c>
      <c r="ET24" s="2">
        <v>2.3</v>
      </c>
      <c r="EU24" s="2">
        <v>2</v>
      </c>
      <c r="EV24" s="2">
        <v>0.9</v>
      </c>
      <c r="EW24" s="2">
        <v>2</v>
      </c>
      <c r="EX24" s="2">
        <v>2.4</v>
      </c>
      <c r="EY24" s="2">
        <v>3.6</v>
      </c>
      <c r="EZ24" s="2">
        <v>5.3</v>
      </c>
      <c r="FA24" s="2">
        <v>5.9</v>
      </c>
      <c r="FB24" s="2">
        <v>5.6</v>
      </c>
      <c r="FC24" s="2">
        <v>7.9</v>
      </c>
      <c r="FD24" s="2">
        <v>7.2</v>
      </c>
      <c r="FE24" s="2">
        <v>8.1</v>
      </c>
      <c r="FF24" s="2">
        <v>10</v>
      </c>
      <c r="FG24" s="2">
        <v>10.3</v>
      </c>
      <c r="FH24" s="2">
        <v>12.7</v>
      </c>
      <c r="FI24" s="2">
        <v>11.8</v>
      </c>
      <c r="FJ24" s="2">
        <v>12</v>
      </c>
      <c r="FK24" s="2">
        <v>11.6</v>
      </c>
      <c r="FL24" s="2">
        <v>11.5</v>
      </c>
      <c r="FM24" s="2">
        <v>13.2</v>
      </c>
      <c r="FN24" s="2">
        <v>13.6</v>
      </c>
      <c r="FO24" s="2">
        <v>11.9</v>
      </c>
      <c r="FP24" s="2">
        <v>12.5</v>
      </c>
      <c r="FQ24" s="2">
        <v>9.5</v>
      </c>
      <c r="FR24" s="2">
        <v>7.4</v>
      </c>
      <c r="FS24" s="2">
        <v>7.3</v>
      </c>
      <c r="FT24" s="2">
        <v>5.5</v>
      </c>
      <c r="FU24" s="2">
        <v>5.7</v>
      </c>
      <c r="FV24" s="2">
        <v>5.2</v>
      </c>
      <c r="FW24" s="2">
        <v>4.6</v>
      </c>
      <c r="FX24" s="2">
        <v>3.4</v>
      </c>
      <c r="FY24" s="2">
        <v>2.3</v>
      </c>
      <c r="FZ24" s="2">
        <v>-0.3</v>
      </c>
      <c r="GA24" s="2">
        <v>0.3</v>
      </c>
      <c r="GB24" s="2">
        <v>0.2</v>
      </c>
      <c r="GC24" s="2">
        <v>1.1</v>
      </c>
      <c r="GD24" s="2">
        <v>1.3</v>
      </c>
      <c r="GE24" s="2">
        <v>1.4</v>
      </c>
      <c r="GF24" s="2">
        <v>1.2</v>
      </c>
      <c r="GG24" s="2">
        <v>0.5</v>
      </c>
      <c r="GH24" s="2">
        <v>0.5</v>
      </c>
      <c r="GI24" s="2">
        <v>0.5</v>
      </c>
      <c r="GJ24" s="2">
        <v>0.4</v>
      </c>
      <c r="GK24" s="2">
        <v>1</v>
      </c>
      <c r="GL24" s="2">
        <v>1.1</v>
      </c>
      <c r="GM24" s="2">
        <v>1.2</v>
      </c>
      <c r="GN24" s="2">
        <v>1</v>
      </c>
      <c r="GO24" s="2">
        <v>1.1</v>
      </c>
      <c r="GP24" s="2">
        <v>0.7</v>
      </c>
      <c r="GQ24" s="2">
        <v>1</v>
      </c>
      <c r="GR24" s="2">
        <v>0.8</v>
      </c>
      <c r="GS24" s="2">
        <v>1.1</v>
      </c>
      <c r="GT24" s="2">
        <v>1.2</v>
      </c>
      <c r="GU24" s="2">
        <v>1.4</v>
      </c>
      <c r="GV24" s="2">
        <v>0.3</v>
      </c>
      <c r="GW24" s="2">
        <v>0.7</v>
      </c>
      <c r="GX24" s="2">
        <v>1.6</v>
      </c>
      <c r="GY24" s="2">
        <v>1.1</v>
      </c>
      <c r="GZ24" s="2">
        <v>0.7</v>
      </c>
      <c r="HA24" s="2">
        <v>0.6</v>
      </c>
      <c r="HB24" s="2">
        <v>0.2</v>
      </c>
      <c r="HC24" s="2">
        <v>1.2</v>
      </c>
      <c r="HD24" s="2">
        <v>0.7</v>
      </c>
      <c r="HE24" s="2">
        <v>-0.3</v>
      </c>
      <c r="HF24" s="2">
        <v>-1.6</v>
      </c>
      <c r="HG24" s="2">
        <v>-0.3</v>
      </c>
      <c r="HH24" s="2">
        <v>-1.1</v>
      </c>
      <c r="HI24" s="2">
        <v>-0.9</v>
      </c>
      <c r="HJ24" s="2">
        <v>0.6</v>
      </c>
      <c r="HK24" s="2">
        <v>0.4</v>
      </c>
      <c r="HL24" s="2">
        <v>0.2</v>
      </c>
      <c r="HM24" s="2">
        <v>-0.6</v>
      </c>
      <c r="HN24" s="2">
        <v>0.9</v>
      </c>
      <c r="HO24" s="2">
        <v>1</v>
      </c>
      <c r="HP24" s="2">
        <v>1.3</v>
      </c>
      <c r="HQ24" s="2">
        <v>-0.2</v>
      </c>
      <c r="HR24" s="2">
        <v>-1.3</v>
      </c>
      <c r="HS24" s="2">
        <v>-1.3</v>
      </c>
      <c r="HT24" s="2">
        <v>0.4</v>
      </c>
      <c r="HU24" s="2">
        <v>-1.7</v>
      </c>
      <c r="HV24" s="2">
        <v>0.3</v>
      </c>
      <c r="HW24" s="2">
        <v>1.2</v>
      </c>
      <c r="HX24" s="2">
        <v>0.1</v>
      </c>
      <c r="HY24" s="2">
        <v>0.2</v>
      </c>
      <c r="HZ24" s="2">
        <v>0.9</v>
      </c>
      <c r="IA24" s="2">
        <v>2.2</v>
      </c>
      <c r="IB24" s="2">
        <v>1.5</v>
      </c>
      <c r="IC24" s="2">
        <v>-0.3</v>
      </c>
      <c r="ID24" s="2">
        <v>-1.1</v>
      </c>
      <c r="IE24" s="2">
        <v>4.1</v>
      </c>
      <c r="IF24" s="2">
        <v>4.8</v>
      </c>
      <c r="IG24" s="2">
        <v>-4.1</v>
      </c>
      <c r="IH24" s="2">
        <v>-2</v>
      </c>
      <c r="II24" s="2">
        <v>0</v>
      </c>
      <c r="IJ24" s="2">
        <v>-1.2</v>
      </c>
      <c r="IK24" s="2">
        <v>0.1</v>
      </c>
      <c r="IL24" s="2">
        <v>1.5</v>
      </c>
      <c r="IM24" s="2">
        <v>0.6</v>
      </c>
      <c r="IN24" s="2">
        <v>1.5</v>
      </c>
      <c r="IO24" s="2">
        <v>-0.9</v>
      </c>
      <c r="IP24" s="2">
        <v>-0.7</v>
      </c>
      <c r="IQ24" s="2">
        <v>-1.6</v>
      </c>
      <c r="IR24" s="2">
        <v>1.1</v>
      </c>
      <c r="IS24" s="2">
        <v>-1.4</v>
      </c>
      <c r="IT24" s="2">
        <v>0.2</v>
      </c>
      <c r="IU24" s="2">
        <v>1.4</v>
      </c>
      <c r="IV24" s="2">
        <v>0.4</v>
      </c>
      <c r="IW24" s="2">
        <v>-0.2</v>
      </c>
      <c r="IX24" s="2">
        <v>0.4</v>
      </c>
      <c r="IY24" s="2">
        <v>1.7</v>
      </c>
      <c r="IZ24" s="2">
        <v>1.9</v>
      </c>
      <c r="JA24" s="2">
        <v>0.4</v>
      </c>
      <c r="JB24" s="2">
        <v>0.9</v>
      </c>
      <c r="JC24" s="2">
        <v>-1</v>
      </c>
      <c r="JD24" s="2">
        <v>0.9</v>
      </c>
      <c r="JE24" s="2">
        <v>0.7</v>
      </c>
      <c r="JF24" s="2">
        <v>-0.4</v>
      </c>
      <c r="JG24" s="2">
        <v>2.2</v>
      </c>
      <c r="JH24" s="2">
        <v>2.2</v>
      </c>
      <c r="JI24" s="2">
        <v>0.1</v>
      </c>
      <c r="JJ24" s="2">
        <v>2.6</v>
      </c>
      <c r="JK24" s="2">
        <v>0.9</v>
      </c>
      <c r="JL24" s="2">
        <v>2.1</v>
      </c>
      <c r="JM24" s="2">
        <v>0</v>
      </c>
      <c r="JN24" s="2">
        <v>0.8</v>
      </c>
      <c r="JO24" s="2">
        <v>0.4</v>
      </c>
      <c r="JP24" s="2">
        <v>1.2</v>
      </c>
      <c r="JQ24" s="2">
        <v>-0.8</v>
      </c>
      <c r="JR24" s="2">
        <v>0.1</v>
      </c>
      <c r="JS24" s="2">
        <v>-0.4</v>
      </c>
      <c r="JT24" s="2">
        <v>0.2</v>
      </c>
      <c r="JU24" s="2">
        <v>0</v>
      </c>
      <c r="JV24" s="2">
        <v>0.9</v>
      </c>
      <c r="JW24" s="2">
        <v>1.1</v>
      </c>
      <c r="JX24" s="2">
        <v>1.5</v>
      </c>
      <c r="JY24" s="2">
        <v>-0.5</v>
      </c>
      <c r="JZ24" s="2">
        <v>-0.4</v>
      </c>
      <c r="KA24" s="2">
        <v>-0.6</v>
      </c>
      <c r="KB24" s="2">
        <v>-1.4</v>
      </c>
      <c r="KC24" s="2">
        <v>-0.1</v>
      </c>
      <c r="KD24" s="2">
        <v>-0.1</v>
      </c>
      <c r="KE24" s="2">
        <v>0.5</v>
      </c>
      <c r="KF24" s="2">
        <v>0.4</v>
      </c>
      <c r="KG24" s="2">
        <v>0.1</v>
      </c>
      <c r="KH24" s="2">
        <v>0.6</v>
      </c>
      <c r="KI24" s="2">
        <v>0.5</v>
      </c>
      <c r="KJ24" s="2">
        <v>1.5</v>
      </c>
      <c r="KK24" s="2">
        <v>-0.5</v>
      </c>
      <c r="KL24" s="2">
        <v>-0.5</v>
      </c>
      <c r="KM24" s="2">
        <v>-0.1</v>
      </c>
      <c r="KN24" s="2">
        <v>-1.3</v>
      </c>
      <c r="KO24" s="2">
        <v>-0.1</v>
      </c>
      <c r="KP24" s="2">
        <v>-0.2</v>
      </c>
      <c r="KQ24" s="2">
        <v>0.5</v>
      </c>
      <c r="KR24" s="2">
        <v>0</v>
      </c>
      <c r="KS24" s="2">
        <v>0.4</v>
      </c>
      <c r="KT24" s="2">
        <v>0.4</v>
      </c>
      <c r="KU24" s="2">
        <v>0.8</v>
      </c>
      <c r="KV24" s="2">
        <v>1.7</v>
      </c>
      <c r="KW24" s="2">
        <v>-0.3</v>
      </c>
      <c r="KX24" s="2">
        <v>-1.5</v>
      </c>
      <c r="KY24" s="2">
        <v>0.4</v>
      </c>
      <c r="KZ24" s="2">
        <v>-0.4</v>
      </c>
      <c r="LA24" s="2">
        <v>-0.5</v>
      </c>
      <c r="LB24" s="2">
        <v>-0.6</v>
      </c>
      <c r="LC24" s="2">
        <v>0.4</v>
      </c>
      <c r="LD24" s="2">
        <v>0.51</v>
      </c>
      <c r="LE24" s="2">
        <v>0.51</v>
      </c>
      <c r="LF24" s="2">
        <v>0.51</v>
      </c>
      <c r="LG24" s="2">
        <v>0.51</v>
      </c>
      <c r="LH24" s="2">
        <v>0.5</v>
      </c>
      <c r="LI24" s="2">
        <v>0.5</v>
      </c>
      <c r="LJ24" s="2">
        <v>0.5</v>
      </c>
      <c r="LK24" s="2">
        <v>0.5</v>
      </c>
      <c r="LL24" s="2">
        <v>0.5</v>
      </c>
      <c r="LM24" s="2">
        <v>0.51</v>
      </c>
      <c r="LN24" s="2">
        <v>0.51</v>
      </c>
      <c r="LO24" s="2">
        <v>0.51</v>
      </c>
      <c r="LP24" s="2">
        <v>0.52</v>
      </c>
      <c r="LQ24" s="2">
        <v>0.52</v>
      </c>
      <c r="LR24" s="2">
        <v>0.51</v>
      </c>
      <c r="LS24" s="2">
        <v>0.51</v>
      </c>
      <c r="LT24" s="2">
        <v>0.51</v>
      </c>
      <c r="LU24" s="2">
        <v>0.51</v>
      </c>
      <c r="LV24" s="2">
        <v>0.51</v>
      </c>
      <c r="LW24" s="2">
        <v>0.51</v>
      </c>
      <c r="LX24" s="2">
        <v>0</v>
      </c>
      <c r="LY24" s="2">
        <v>0</v>
      </c>
      <c r="LZ24" s="2">
        <v>0</v>
      </c>
      <c r="MA24" s="2">
        <v>-0.01</v>
      </c>
      <c r="MB24" s="2">
        <v>0</v>
      </c>
      <c r="MC24" s="2">
        <v>0</v>
      </c>
      <c r="MD24" s="2">
        <v>0</v>
      </c>
      <c r="ME24" s="2">
        <v>0</v>
      </c>
      <c r="MF24" s="2">
        <v>0.01</v>
      </c>
      <c r="MG24" s="2">
        <v>0</v>
      </c>
      <c r="MH24" s="2">
        <v>0</v>
      </c>
      <c r="MI24" s="2">
        <v>0.01</v>
      </c>
      <c r="MJ24" s="2">
        <v>0</v>
      </c>
      <c r="MK24" s="2">
        <v>-0.01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RO24" s="2">
        <v>23.24</v>
      </c>
      <c r="RP24" s="2">
        <v>24.31</v>
      </c>
      <c r="RQ24" s="2">
        <v>24.7</v>
      </c>
      <c r="RR24" s="2">
        <v>24.89</v>
      </c>
      <c r="RS24" s="2">
        <v>25.96</v>
      </c>
      <c r="RT24" s="2">
        <v>27.51</v>
      </c>
      <c r="RU24" s="2">
        <v>28.63</v>
      </c>
      <c r="RV24" s="2">
        <v>28.58</v>
      </c>
      <c r="RW24" s="2">
        <v>29.84</v>
      </c>
      <c r="RX24" s="2">
        <v>31.06</v>
      </c>
      <c r="RY24" s="2">
        <v>31.83</v>
      </c>
      <c r="RZ24" s="2">
        <v>31.88</v>
      </c>
      <c r="SA24" s="2">
        <v>31.74</v>
      </c>
      <c r="SB24" s="2">
        <v>32.56</v>
      </c>
      <c r="SC24" s="2">
        <v>32.46</v>
      </c>
      <c r="SD24" s="2">
        <v>32.71</v>
      </c>
      <c r="SE24" s="2">
        <v>32.71</v>
      </c>
      <c r="SF24" s="2">
        <v>33.68</v>
      </c>
      <c r="SG24" s="2">
        <v>34.11</v>
      </c>
      <c r="SH24" s="2">
        <v>34.41</v>
      </c>
      <c r="SI24" s="2">
        <v>35.38</v>
      </c>
      <c r="SJ24" s="2">
        <v>36.54</v>
      </c>
      <c r="SK24" s="2">
        <v>37.66</v>
      </c>
      <c r="SL24" s="2">
        <v>38.14</v>
      </c>
      <c r="SM24" s="2">
        <v>38.58</v>
      </c>
      <c r="SN24" s="2">
        <v>39.79</v>
      </c>
      <c r="SO24" s="2">
        <v>40.71</v>
      </c>
      <c r="SP24" s="2">
        <v>40.62</v>
      </c>
      <c r="SQ24" s="2">
        <v>41.88</v>
      </c>
      <c r="SR24" s="2">
        <v>42.07</v>
      </c>
      <c r="SS24" s="2">
        <v>41.68</v>
      </c>
      <c r="ST24" s="2">
        <v>42.12</v>
      </c>
      <c r="SU24" s="2">
        <v>43.48</v>
      </c>
      <c r="SV24" s="2">
        <v>44.79</v>
      </c>
      <c r="SW24" s="2">
        <v>46</v>
      </c>
      <c r="SX24" s="2">
        <v>45.66</v>
      </c>
      <c r="SY24" s="2">
        <v>46.88</v>
      </c>
      <c r="SZ24" s="2">
        <v>48.96</v>
      </c>
      <c r="TA24" s="2">
        <v>49.01</v>
      </c>
      <c r="TB24" s="2">
        <v>49.25</v>
      </c>
      <c r="TC24" s="2">
        <v>49.98</v>
      </c>
      <c r="TD24" s="2">
        <v>51.73</v>
      </c>
      <c r="TE24" s="2">
        <v>52.55</v>
      </c>
      <c r="TF24" s="2">
        <v>53.14</v>
      </c>
      <c r="TG24" s="2">
        <v>52.85</v>
      </c>
      <c r="TH24" s="2">
        <v>52.99</v>
      </c>
      <c r="TI24" s="2">
        <v>53.62</v>
      </c>
      <c r="TJ24" s="2">
        <v>53.72</v>
      </c>
      <c r="TK24" s="2">
        <v>54.25</v>
      </c>
      <c r="TL24" s="2">
        <v>55.32</v>
      </c>
      <c r="TM24" s="2">
        <v>54.93</v>
      </c>
      <c r="TN24" s="2">
        <v>54.35</v>
      </c>
      <c r="TO24" s="2">
        <v>53.91</v>
      </c>
      <c r="TP24" s="2">
        <v>55.08</v>
      </c>
      <c r="TQ24" s="2">
        <v>55.32</v>
      </c>
      <c r="TR24" s="2">
        <v>54.54</v>
      </c>
      <c r="TS24" s="2">
        <v>54.3</v>
      </c>
      <c r="TT24" s="2">
        <v>54.88</v>
      </c>
      <c r="TU24" s="2">
        <v>55.66</v>
      </c>
      <c r="TV24" s="2">
        <v>54.3</v>
      </c>
      <c r="TW24" s="2">
        <v>55.51</v>
      </c>
      <c r="TX24" s="2">
        <v>56.19</v>
      </c>
      <c r="TY24" s="2">
        <v>56.44</v>
      </c>
      <c r="TZ24" s="2">
        <v>57.84</v>
      </c>
      <c r="UA24" s="2">
        <v>57.5</v>
      </c>
      <c r="UB24" s="2">
        <v>57.79</v>
      </c>
      <c r="UC24" s="2">
        <v>58.09</v>
      </c>
      <c r="UD24" s="2">
        <v>58.33</v>
      </c>
      <c r="UE24" s="2">
        <v>58.57</v>
      </c>
      <c r="UF24" s="2">
        <v>59.06</v>
      </c>
      <c r="UG24" s="2">
        <v>59.11</v>
      </c>
      <c r="UH24" s="2">
        <v>59.11</v>
      </c>
      <c r="UI24" s="2">
        <v>58.23</v>
      </c>
      <c r="UJ24" s="2">
        <v>59.85</v>
      </c>
      <c r="UK24" s="2">
        <v>60.02</v>
      </c>
      <c r="UL24" s="2">
        <v>60.24</v>
      </c>
      <c r="UM24" s="2">
        <v>61.66</v>
      </c>
      <c r="UN24" s="2">
        <v>62.78</v>
      </c>
      <c r="UO24" s="2">
        <v>61.1</v>
      </c>
      <c r="UP24" s="2">
        <v>61.06</v>
      </c>
      <c r="UQ24" s="2">
        <v>61.91</v>
      </c>
      <c r="UR24" s="2">
        <v>63.71</v>
      </c>
      <c r="US24" s="2">
        <v>63.63</v>
      </c>
      <c r="UT24" s="2">
        <v>64.91</v>
      </c>
      <c r="UU24" s="2">
        <v>64.84999999999999</v>
      </c>
      <c r="UV24" s="2">
        <v>67.20999999999999</v>
      </c>
      <c r="UW24" s="2">
        <v>67.76000000000001</v>
      </c>
      <c r="UX24" s="2">
        <v>68.01000000000001</v>
      </c>
      <c r="UY24" s="2">
        <v>67.76000000000001</v>
      </c>
      <c r="UZ24" s="2">
        <v>68.28</v>
      </c>
      <c r="VA24" s="2">
        <v>68.55</v>
      </c>
      <c r="VB24" s="2">
        <v>67.87</v>
      </c>
      <c r="VC24" s="2">
        <v>67.83</v>
      </c>
      <c r="VD24" s="2">
        <v>68.08</v>
      </c>
      <c r="VE24" s="2">
        <v>70.25</v>
      </c>
      <c r="VF24" s="2">
        <v>69.81</v>
      </c>
      <c r="VG24" s="2">
        <v>68.65000000000001</v>
      </c>
      <c r="VH24" s="2">
        <v>70.08</v>
      </c>
      <c r="VI24" s="2">
        <v>70.84999999999999</v>
      </c>
      <c r="VJ24" s="2">
        <v>70.48</v>
      </c>
      <c r="VK24" s="2">
        <v>70.45</v>
      </c>
      <c r="VL24" s="2">
        <v>71.79000000000001</v>
      </c>
      <c r="VM24" s="2">
        <v>73.59999999999999</v>
      </c>
      <c r="VN24" s="2">
        <v>72.36</v>
      </c>
      <c r="VO24" s="2">
        <v>73.78</v>
      </c>
      <c r="VP24" s="2">
        <v>74.23</v>
      </c>
      <c r="VQ24" s="2">
        <v>75.54000000000001</v>
      </c>
      <c r="VR24" s="2">
        <v>75.15000000000001</v>
      </c>
      <c r="VS24" s="2">
        <v>74.27</v>
      </c>
      <c r="VT24" s="2">
        <v>77.13</v>
      </c>
      <c r="VU24" s="2">
        <v>78.61</v>
      </c>
      <c r="VV24" s="2">
        <v>79.12</v>
      </c>
      <c r="VW24" s="2">
        <v>79.20999999999999</v>
      </c>
      <c r="VX24" s="2">
        <v>81.59999999999999</v>
      </c>
      <c r="VY24" s="2">
        <v>83.91</v>
      </c>
      <c r="VZ24" s="2">
        <v>82.28</v>
      </c>
      <c r="WA24" s="2">
        <v>82.48</v>
      </c>
      <c r="WB24" s="2">
        <v>84.66</v>
      </c>
      <c r="WC24" s="2">
        <v>84.11</v>
      </c>
      <c r="WD24" s="2">
        <v>83.31999999999999</v>
      </c>
      <c r="WE24" s="2">
        <v>82.31</v>
      </c>
      <c r="WF24" s="2">
        <v>82.26000000000001</v>
      </c>
      <c r="WG24" s="2">
        <v>83.59999999999999</v>
      </c>
      <c r="WH24" s="2">
        <v>81.66</v>
      </c>
      <c r="WI24" s="2">
        <v>81.95999999999999</v>
      </c>
      <c r="WJ24" s="2">
        <v>83.84</v>
      </c>
      <c r="WK24" s="2">
        <v>84.17</v>
      </c>
      <c r="WL24" s="2">
        <v>82.02</v>
      </c>
      <c r="WM24" s="2">
        <v>83.37</v>
      </c>
      <c r="WN24" s="2">
        <v>83.42</v>
      </c>
      <c r="WO24" s="2">
        <v>83.59</v>
      </c>
      <c r="WP24" s="2">
        <v>81.34999999999999</v>
      </c>
      <c r="WQ24" s="2">
        <v>82.42</v>
      </c>
      <c r="WR24" s="2">
        <v>83.89</v>
      </c>
      <c r="WS24" s="2">
        <v>84.26000000000001</v>
      </c>
      <c r="WT24" s="2">
        <v>81.08</v>
      </c>
      <c r="WU24" s="2">
        <v>81.48999999999999</v>
      </c>
      <c r="WV24" s="2">
        <v>84.72</v>
      </c>
      <c r="WW24" s="2">
        <v>84.15000000000001</v>
      </c>
      <c r="WX24" s="2">
        <v>80.90000000000001</v>
      </c>
      <c r="WY24" s="2">
        <v>80.95999999999999</v>
      </c>
      <c r="WZ24" s="2">
        <v>83.68000000000001</v>
      </c>
      <c r="XA24" s="2">
        <v>84.05</v>
      </c>
      <c r="XB24" s="2">
        <v>78.47</v>
      </c>
      <c r="XC24" s="2">
        <v>79.53</v>
      </c>
      <c r="XD24" s="2">
        <v>83.83</v>
      </c>
      <c r="XE24" s="2">
        <v>80.27</v>
      </c>
      <c r="XF24" s="2">
        <v>79.54000000000001</v>
      </c>
      <c r="XG24" s="2">
        <v>79.94</v>
      </c>
      <c r="XH24" s="2">
        <v>80.79000000000001</v>
      </c>
      <c r="XI24" s="2">
        <v>80.19</v>
      </c>
      <c r="XJ24" s="2">
        <v>78.42</v>
      </c>
      <c r="XK24" s="2">
        <v>78.59</v>
      </c>
      <c r="XL24" s="2">
        <v>80.02</v>
      </c>
      <c r="XM24" s="2">
        <v>79.48</v>
      </c>
      <c r="XN24" s="2">
        <v>77.90000000000001</v>
      </c>
      <c r="XO24" s="2">
        <v>78.52</v>
      </c>
      <c r="XP24" s="2">
        <v>80.66</v>
      </c>
      <c r="XQ24" s="2">
        <v>82.7</v>
      </c>
      <c r="XR24" s="2">
        <v>84.92</v>
      </c>
      <c r="XS24" s="2">
        <v>81.92</v>
      </c>
      <c r="XT24" s="2">
        <v>83.52</v>
      </c>
      <c r="XU24" s="2">
        <v>82.91</v>
      </c>
      <c r="XV24" s="2">
        <v>82.12</v>
      </c>
      <c r="XW24" s="2">
        <v>83.13</v>
      </c>
      <c r="XX24" s="2">
        <v>85.16</v>
      </c>
      <c r="XY24" s="2">
        <v>86.97</v>
      </c>
      <c r="XZ24" s="2">
        <v>87.22</v>
      </c>
      <c r="YA24" s="2">
        <v>90.31</v>
      </c>
      <c r="YB24" s="2">
        <v>94.59999999999999</v>
      </c>
      <c r="YC24" s="2">
        <v>96.86</v>
      </c>
      <c r="YD24" s="2">
        <v>98.11</v>
      </c>
      <c r="YE24" s="2">
        <v>97.59</v>
      </c>
      <c r="YF24" s="2">
        <v>99.76000000000001</v>
      </c>
      <c r="YG24" s="2">
        <v>100.19</v>
      </c>
      <c r="YH24" s="2">
        <v>98.16</v>
      </c>
      <c r="YI24" s="2">
        <v>98.81999999999999</v>
      </c>
      <c r="YJ24" s="2">
        <v>100.5</v>
      </c>
      <c r="YK24" s="2">
        <v>100.83</v>
      </c>
      <c r="YL24" s="2">
        <v>99.25</v>
      </c>
      <c r="YM24" s="2">
        <v>99.73999999999999</v>
      </c>
      <c r="YN24" s="2">
        <v>101.53</v>
      </c>
      <c r="YO24" s="2">
        <v>101.65</v>
      </c>
      <c r="YP24" s="2">
        <v>100.42</v>
      </c>
      <c r="ADO24" s="2">
        <v>4.6</v>
      </c>
      <c r="ADP24" s="2">
        <v>1.6</v>
      </c>
      <c r="ADQ24" s="2">
        <v>0.8</v>
      </c>
      <c r="ADR24" s="2">
        <v>4.3</v>
      </c>
      <c r="ADS24" s="2">
        <v>6</v>
      </c>
      <c r="ADT24" s="2">
        <v>4.1</v>
      </c>
      <c r="ADU24" s="2">
        <v>-0.2</v>
      </c>
      <c r="ADV24" s="2">
        <v>4.4</v>
      </c>
      <c r="ADW24" s="2">
        <v>4.1</v>
      </c>
      <c r="ADX24" s="2">
        <v>2.5</v>
      </c>
      <c r="ADY24" s="2">
        <v>0.2</v>
      </c>
      <c r="ADZ24" s="2">
        <v>-0.4</v>
      </c>
      <c r="AEA24" s="2">
        <v>2.6</v>
      </c>
      <c r="AEB24" s="2">
        <v>-0.3</v>
      </c>
      <c r="AEC24" s="2">
        <v>0.8</v>
      </c>
      <c r="AED24" s="2">
        <v>0</v>
      </c>
      <c r="AEE24" s="2">
        <v>3</v>
      </c>
      <c r="AEF24" s="2">
        <v>1.3</v>
      </c>
      <c r="AEG24" s="2">
        <v>0.9</v>
      </c>
      <c r="AEH24" s="2">
        <v>2.8</v>
      </c>
      <c r="AEI24" s="2">
        <v>3.3</v>
      </c>
      <c r="AEJ24" s="2">
        <v>3.1</v>
      </c>
      <c r="AEK24" s="2">
        <v>1.3</v>
      </c>
      <c r="AEL24" s="2">
        <v>1.2</v>
      </c>
      <c r="AEM24" s="2">
        <v>3.1</v>
      </c>
      <c r="AEN24" s="2">
        <v>2.3</v>
      </c>
      <c r="AEO24" s="2">
        <v>-0.2</v>
      </c>
      <c r="AEP24" s="2">
        <v>3.1</v>
      </c>
      <c r="AEQ24" s="2">
        <v>0.5</v>
      </c>
      <c r="AER24" s="2">
        <v>-0.9</v>
      </c>
      <c r="AES24" s="2">
        <v>1.1</v>
      </c>
      <c r="AET24" s="2">
        <v>3.2</v>
      </c>
      <c r="AEU24" s="2">
        <v>3</v>
      </c>
      <c r="AEV24" s="2">
        <v>2.7</v>
      </c>
      <c r="AEW24" s="2">
        <v>-0.7</v>
      </c>
      <c r="AEX24" s="2">
        <v>2.7</v>
      </c>
      <c r="AEY24" s="2">
        <v>4.4</v>
      </c>
      <c r="AEZ24" s="2">
        <v>0.1</v>
      </c>
      <c r="AFA24" s="2">
        <v>0.5</v>
      </c>
      <c r="AFB24" s="2">
        <v>1.5</v>
      </c>
      <c r="AFC24" s="2">
        <v>3.5</v>
      </c>
      <c r="AFD24" s="2">
        <v>1.6</v>
      </c>
      <c r="AFE24" s="2">
        <v>1.1</v>
      </c>
      <c r="AFF24" s="2">
        <v>-0.5</v>
      </c>
      <c r="AFG24" s="2">
        <v>0.3</v>
      </c>
      <c r="AFH24" s="2">
        <v>1.2</v>
      </c>
      <c r="AFI24" s="2">
        <v>0.2</v>
      </c>
      <c r="AFJ24" s="2">
        <v>1</v>
      </c>
      <c r="AFK24" s="2">
        <v>2</v>
      </c>
      <c r="AFL24" s="2">
        <v>-0.7</v>
      </c>
      <c r="AFM24" s="2">
        <v>-1.1</v>
      </c>
      <c r="AFN24" s="2">
        <v>-0.8</v>
      </c>
      <c r="AFO24" s="2">
        <v>2.2</v>
      </c>
      <c r="AFP24" s="2">
        <v>0.4</v>
      </c>
      <c r="AFQ24" s="2">
        <v>-1.4</v>
      </c>
      <c r="AFR24" s="2">
        <v>-0.4</v>
      </c>
      <c r="AFS24" s="2">
        <v>1.1</v>
      </c>
      <c r="AFT24" s="2">
        <v>1.4</v>
      </c>
      <c r="AFU24" s="2">
        <v>-2.4</v>
      </c>
      <c r="AFV24" s="2">
        <v>2.2</v>
      </c>
      <c r="AFW24" s="2">
        <v>1.2</v>
      </c>
      <c r="AFX24" s="2">
        <v>0.4</v>
      </c>
      <c r="AFY24" s="2">
        <v>2.5</v>
      </c>
      <c r="AFZ24" s="2">
        <v>-0.6</v>
      </c>
      <c r="AGA24" s="2">
        <v>0.5</v>
      </c>
      <c r="AGB24" s="2">
        <v>0.5</v>
      </c>
      <c r="AGC24" s="2">
        <v>0.4</v>
      </c>
      <c r="AGD24" s="2">
        <v>0.4</v>
      </c>
      <c r="AGE24" s="2">
        <v>0.8</v>
      </c>
      <c r="AGF24" s="2">
        <v>0.1</v>
      </c>
      <c r="AGG24" s="2">
        <v>0</v>
      </c>
      <c r="AGH24" s="2">
        <v>-1.5</v>
      </c>
      <c r="AGI24" s="2">
        <v>2.8</v>
      </c>
      <c r="AGJ24" s="2">
        <v>0.3</v>
      </c>
      <c r="AGK24" s="2">
        <v>0.4</v>
      </c>
      <c r="AGL24" s="2">
        <v>2.4</v>
      </c>
      <c r="AGM24" s="2">
        <v>1.8</v>
      </c>
      <c r="AGN24" s="2">
        <v>-2.7</v>
      </c>
      <c r="AGO24" s="2">
        <v>-0.1</v>
      </c>
      <c r="AGP24" s="2">
        <v>1.4</v>
      </c>
      <c r="AGQ24" s="2">
        <v>2.9</v>
      </c>
      <c r="AGR24" s="2">
        <v>-0.1</v>
      </c>
      <c r="AGS24" s="2">
        <v>2</v>
      </c>
      <c r="AGT24" s="2">
        <v>-0.1</v>
      </c>
      <c r="AGU24" s="2">
        <v>3.6</v>
      </c>
      <c r="AGV24" s="2">
        <v>0.8</v>
      </c>
      <c r="AGW24" s="2">
        <v>0.4</v>
      </c>
      <c r="AGX24" s="2">
        <v>-0.4</v>
      </c>
      <c r="AGY24" s="2">
        <v>0.8</v>
      </c>
      <c r="AGZ24" s="2">
        <v>0.4</v>
      </c>
      <c r="AHA24" s="2">
        <v>-1</v>
      </c>
      <c r="AHB24" s="2">
        <v>-0.1</v>
      </c>
      <c r="AHC24" s="2">
        <v>0.4</v>
      </c>
      <c r="AHD24" s="2">
        <v>3.2</v>
      </c>
      <c r="AHE24" s="2">
        <v>-0.6</v>
      </c>
      <c r="AHF24" s="2">
        <v>-1.7</v>
      </c>
      <c r="AHG24" s="2">
        <v>2.1</v>
      </c>
      <c r="AHH24" s="2">
        <v>1.1</v>
      </c>
      <c r="AHI24" s="2">
        <v>-0.5</v>
      </c>
      <c r="AHJ24" s="2">
        <v>0</v>
      </c>
      <c r="AHK24" s="2">
        <v>1.9</v>
      </c>
      <c r="AHL24" s="2">
        <v>2.5</v>
      </c>
      <c r="AHM24" s="2">
        <v>-1.7</v>
      </c>
      <c r="AHN24" s="2">
        <v>2</v>
      </c>
      <c r="AHO24" s="2">
        <v>0.6</v>
      </c>
      <c r="AHP24" s="2">
        <v>1.8</v>
      </c>
      <c r="AHQ24" s="2">
        <v>-0.5</v>
      </c>
      <c r="AHR24" s="2">
        <v>-1.2</v>
      </c>
      <c r="AHS24" s="2">
        <v>3.9</v>
      </c>
      <c r="AHT24" s="2">
        <v>1.9</v>
      </c>
      <c r="AHU24" s="2">
        <v>0.6</v>
      </c>
      <c r="AHV24" s="2">
        <v>0.1</v>
      </c>
      <c r="AHW24" s="2">
        <v>3</v>
      </c>
      <c r="AHX24" s="2">
        <v>2.8</v>
      </c>
      <c r="AHY24" s="2">
        <v>-1.9</v>
      </c>
      <c r="AHZ24" s="2">
        <v>0.2</v>
      </c>
      <c r="AIA24" s="2">
        <v>2.6</v>
      </c>
      <c r="AIB24" s="2">
        <v>-0.6</v>
      </c>
      <c r="AIC24" s="2">
        <v>-0.9</v>
      </c>
      <c r="AID24" s="2">
        <v>-1.2</v>
      </c>
      <c r="AIE24" s="2">
        <v>-0.1</v>
      </c>
      <c r="AIF24" s="2">
        <v>1.6</v>
      </c>
      <c r="AIG24" s="2">
        <v>-2.3</v>
      </c>
      <c r="AIH24" s="2">
        <v>0.4</v>
      </c>
      <c r="AII24" s="2">
        <v>2.3</v>
      </c>
      <c r="AIJ24" s="2">
        <v>0.4</v>
      </c>
      <c r="AIK24" s="2">
        <v>-2.6</v>
      </c>
      <c r="AIL24" s="2">
        <v>1.6</v>
      </c>
      <c r="AIM24" s="2">
        <v>0.1</v>
      </c>
      <c r="AIN24" s="2">
        <v>0.2</v>
      </c>
      <c r="AIO24" s="2">
        <v>-2.7</v>
      </c>
      <c r="AIP24" s="2">
        <v>1.3</v>
      </c>
      <c r="AIQ24" s="2">
        <v>1.8</v>
      </c>
      <c r="AIR24" s="2">
        <v>0.4</v>
      </c>
      <c r="AIS24" s="2">
        <v>-3.8</v>
      </c>
      <c r="AIT24" s="2">
        <v>0.5</v>
      </c>
      <c r="AIU24" s="2">
        <v>4</v>
      </c>
      <c r="AIV24" s="2">
        <v>-0.7</v>
      </c>
      <c r="AIW24" s="2">
        <v>-3.9</v>
      </c>
      <c r="AIX24" s="2">
        <v>0.1</v>
      </c>
      <c r="AIY24" s="2">
        <v>3.4</v>
      </c>
      <c r="AIZ24" s="2">
        <v>0.4</v>
      </c>
      <c r="AJA24" s="2">
        <v>-6.6</v>
      </c>
      <c r="AJB24" s="2">
        <v>1.4</v>
      </c>
      <c r="AJC24" s="2">
        <v>5.4</v>
      </c>
      <c r="AJD24" s="2">
        <v>-4.2</v>
      </c>
      <c r="AJE24" s="2">
        <v>-0.9</v>
      </c>
      <c r="AJF24" s="2">
        <v>0.5</v>
      </c>
      <c r="AJG24" s="2">
        <v>1.1</v>
      </c>
      <c r="AJH24" s="2">
        <v>-0.7</v>
      </c>
      <c r="AJI24" s="2">
        <v>-2.2</v>
      </c>
      <c r="AJJ24" s="2">
        <v>0.2</v>
      </c>
      <c r="AJK24" s="2">
        <v>1.8</v>
      </c>
      <c r="AJL24" s="2">
        <v>-0.7</v>
      </c>
      <c r="AJM24" s="2">
        <v>-2</v>
      </c>
      <c r="AJN24" s="2">
        <v>0.8</v>
      </c>
      <c r="AJO24" s="2">
        <v>2.7</v>
      </c>
      <c r="AJP24" s="2">
        <v>2.5</v>
      </c>
      <c r="AJQ24" s="2">
        <v>2.7</v>
      </c>
      <c r="AJR24" s="2">
        <v>-3.5</v>
      </c>
      <c r="AJS24" s="2">
        <v>2</v>
      </c>
      <c r="AJT24" s="2">
        <v>-0.7</v>
      </c>
      <c r="AJU24" s="2">
        <v>-1</v>
      </c>
      <c r="AJV24" s="2">
        <v>1.2</v>
      </c>
      <c r="AJW24" s="2">
        <v>2.4</v>
      </c>
      <c r="AJX24" s="2">
        <v>2.1</v>
      </c>
      <c r="AJY24" s="2">
        <v>0.3</v>
      </c>
      <c r="AJZ24" s="2">
        <v>3.5</v>
      </c>
      <c r="AKA24" s="2">
        <v>4.8</v>
      </c>
      <c r="AKB24" s="2">
        <v>2.4</v>
      </c>
      <c r="AKC24" s="2">
        <v>1.3</v>
      </c>
      <c r="AKD24" s="2">
        <v>-0.5</v>
      </c>
      <c r="AKE24" s="2">
        <v>2.2</v>
      </c>
      <c r="AKF24" s="2">
        <v>0.4</v>
      </c>
      <c r="AKG24" s="2">
        <v>-2</v>
      </c>
      <c r="AKH24" s="2">
        <v>0.7</v>
      </c>
      <c r="AKI24" s="2">
        <v>1.7</v>
      </c>
      <c r="AKJ24" s="2">
        <v>0.3</v>
      </c>
      <c r="AKK24" s="2">
        <v>-1.6</v>
      </c>
      <c r="AKL24" s="2">
        <v>0.5</v>
      </c>
      <c r="AKM24" s="2">
        <v>1.8</v>
      </c>
      <c r="AKN24" s="2">
        <v>0.1</v>
      </c>
      <c r="AKO24" s="2">
        <v>-1.2</v>
      </c>
      <c r="AKP24" s="2">
        <v>0.51</v>
      </c>
      <c r="AKQ24" s="2">
        <v>0.51</v>
      </c>
      <c r="AKR24" s="2">
        <v>0.51</v>
      </c>
    </row>
    <row r="25">
      <c r="A25" t="inlineStr">
        <is>
          <t>Coffee, tea and cocoa</t>
        </is>
      </c>
      <c r="B25" t="inlineStr">
        <is>
          <t>Non-alcoholic beverages</t>
        </is>
      </c>
      <c r="C25">
        <v>3</v>
      </c>
      <c r="D25">
        <v>0.26</v>
      </c>
      <c r="E25" s="3">
        <f>D25/1.2*0.012093049971280872</f>
        <v>0.002620160827110856</v>
      </c>
      <c r="F25" s="3">
        <f>E25-D25/100</f>
        <v>2.0160827110855904e-05</v>
      </c>
      <c r="G25" s="3">
        <f>D25/1.2</f>
        <v>0.21666666666666667</v>
      </c>
      <c r="H25" s="2">
        <v>69.29000000000001</v>
      </c>
      <c r="I25" s="2">
        <v>69.76000000000001</v>
      </c>
      <c r="J25" s="2">
        <v>70.53</v>
      </c>
      <c r="K25" s="2">
        <v>70.37</v>
      </c>
      <c r="L25" s="2">
        <v>72.14</v>
      </c>
      <c r="M25" s="2">
        <v>70.43000000000001</v>
      </c>
      <c r="N25" s="2">
        <v>71.08</v>
      </c>
      <c r="O25" s="2">
        <v>69.65000000000001</v>
      </c>
      <c r="P25" s="2">
        <v>68.75</v>
      </c>
      <c r="Q25" s="2">
        <v>68.69</v>
      </c>
      <c r="R25" s="2">
        <v>70.81</v>
      </c>
      <c r="S25" s="2">
        <v>69.76000000000001</v>
      </c>
      <c r="T25" s="2">
        <v>69.84</v>
      </c>
      <c r="U25" s="2">
        <v>69.86</v>
      </c>
      <c r="V25" s="2">
        <v>71.06</v>
      </c>
      <c r="W25" s="2">
        <v>71.92</v>
      </c>
      <c r="X25" s="2">
        <v>71.72</v>
      </c>
      <c r="Y25" s="2">
        <v>71.8</v>
      </c>
      <c r="Z25" s="2">
        <v>71.83</v>
      </c>
      <c r="AA25" s="2">
        <v>70.81</v>
      </c>
      <c r="AB25" s="2">
        <v>70.95999999999999</v>
      </c>
      <c r="AC25" s="2">
        <v>69.31999999999999</v>
      </c>
      <c r="AD25" s="2">
        <v>70.44</v>
      </c>
      <c r="AE25" s="2">
        <v>70.63</v>
      </c>
      <c r="AF25" s="2">
        <v>70.68000000000001</v>
      </c>
      <c r="AG25" s="2">
        <v>70.45</v>
      </c>
      <c r="AH25" s="2">
        <v>70.76000000000001</v>
      </c>
      <c r="AI25" s="2">
        <v>71.78</v>
      </c>
      <c r="AJ25" s="2">
        <v>72.98999999999999</v>
      </c>
      <c r="AK25" s="2">
        <v>71.93000000000001</v>
      </c>
      <c r="AL25" s="2">
        <v>75.03</v>
      </c>
      <c r="AM25" s="2">
        <v>79.75</v>
      </c>
      <c r="AN25" s="2">
        <v>74.84999999999999</v>
      </c>
      <c r="AO25" s="2">
        <v>72.18000000000001</v>
      </c>
      <c r="AP25" s="2">
        <v>73.91</v>
      </c>
      <c r="AQ25" s="2">
        <v>72.52</v>
      </c>
      <c r="AR25" s="2">
        <v>73.77</v>
      </c>
      <c r="AS25" s="2">
        <v>73.97</v>
      </c>
      <c r="AT25" s="2">
        <v>72.18000000000001</v>
      </c>
      <c r="AU25" s="2">
        <v>72.84999999999999</v>
      </c>
      <c r="AV25" s="2">
        <v>73.78</v>
      </c>
      <c r="AW25" s="2">
        <v>72.45999999999999</v>
      </c>
      <c r="AX25" s="2">
        <v>72.06999999999999</v>
      </c>
      <c r="AY25" s="2">
        <v>72.43000000000001</v>
      </c>
      <c r="AZ25" s="2">
        <v>72.3</v>
      </c>
      <c r="BA25" s="2">
        <v>71.81</v>
      </c>
      <c r="BB25" s="2">
        <v>72.37</v>
      </c>
      <c r="BC25" s="2">
        <v>71.97</v>
      </c>
      <c r="BD25" s="2">
        <v>73.23</v>
      </c>
      <c r="BE25" s="2">
        <v>74.14</v>
      </c>
      <c r="BF25" s="2">
        <v>72.90000000000001</v>
      </c>
      <c r="BG25" s="2">
        <v>74.58</v>
      </c>
      <c r="BH25" s="2">
        <v>77.33</v>
      </c>
      <c r="BI25" s="2">
        <v>77.94</v>
      </c>
      <c r="BJ25" s="2">
        <v>81.16</v>
      </c>
      <c r="BK25" s="2">
        <v>80.28</v>
      </c>
      <c r="BL25" s="2">
        <v>79.17</v>
      </c>
      <c r="BM25" s="2">
        <v>78.98999999999999</v>
      </c>
      <c r="BN25" s="2">
        <v>79.81</v>
      </c>
      <c r="BO25" s="2">
        <v>80.64</v>
      </c>
      <c r="BP25" s="2">
        <v>82.5</v>
      </c>
      <c r="BQ25" s="2">
        <v>82.45</v>
      </c>
      <c r="BR25" s="2">
        <v>83.08</v>
      </c>
      <c r="BS25" s="2">
        <v>83.83</v>
      </c>
      <c r="BT25" s="2">
        <v>85</v>
      </c>
      <c r="BU25" s="2">
        <v>85.67</v>
      </c>
      <c r="BV25" s="2">
        <v>84.56</v>
      </c>
      <c r="BW25" s="2">
        <v>85.22</v>
      </c>
      <c r="BX25" s="2">
        <v>84.36</v>
      </c>
      <c r="BY25" s="2">
        <v>84.15000000000001</v>
      </c>
      <c r="BZ25" s="2">
        <v>84.65000000000001</v>
      </c>
      <c r="CA25" s="2">
        <v>84.65000000000001</v>
      </c>
      <c r="CB25" s="2">
        <v>85.62</v>
      </c>
      <c r="CC25" s="2">
        <v>85.22</v>
      </c>
      <c r="CD25" s="2">
        <v>85.17</v>
      </c>
      <c r="CE25" s="2">
        <v>87.42</v>
      </c>
      <c r="CF25" s="2">
        <v>86.01000000000001</v>
      </c>
      <c r="CG25" s="2">
        <v>85.98999999999999</v>
      </c>
      <c r="CH25" s="2">
        <v>87.2</v>
      </c>
      <c r="CI25" s="2">
        <v>85.93000000000001</v>
      </c>
      <c r="CJ25" s="2">
        <v>85.56999999999999</v>
      </c>
      <c r="CK25" s="2">
        <v>84.91</v>
      </c>
      <c r="CL25" s="2">
        <v>85.38</v>
      </c>
      <c r="CM25" s="2">
        <v>85.81999999999999</v>
      </c>
      <c r="CN25" s="2">
        <v>86.43000000000001</v>
      </c>
      <c r="CO25" s="2">
        <v>85.5</v>
      </c>
      <c r="CP25" s="2">
        <v>87.04000000000001</v>
      </c>
      <c r="CQ25" s="2">
        <v>89.41</v>
      </c>
      <c r="CR25" s="2">
        <v>88.5</v>
      </c>
      <c r="CS25" s="2">
        <v>90.06999999999999</v>
      </c>
      <c r="CT25" s="2">
        <v>90.38</v>
      </c>
      <c r="CU25" s="2">
        <v>92.11</v>
      </c>
      <c r="CV25" s="2">
        <v>92.72</v>
      </c>
      <c r="CW25" s="2">
        <v>95.59999999999999</v>
      </c>
      <c r="CX25" s="2">
        <v>97.70999999999999</v>
      </c>
      <c r="CY25" s="2">
        <v>97.73</v>
      </c>
      <c r="CZ25" s="2">
        <v>100</v>
      </c>
      <c r="DA25" s="2">
        <v>99.48999999999999</v>
      </c>
      <c r="DB25" s="2">
        <v>100.31</v>
      </c>
      <c r="DC25" s="2">
        <v>103.13</v>
      </c>
      <c r="DD25" s="2">
        <v>100.46</v>
      </c>
      <c r="DE25" s="2">
        <v>100.32</v>
      </c>
      <c r="DF25" s="2">
        <v>100.05</v>
      </c>
      <c r="DG25" s="2">
        <v>100.5</v>
      </c>
      <c r="DH25" s="2">
        <v>99.53</v>
      </c>
      <c r="DI25" s="2">
        <v>100.49</v>
      </c>
      <c r="DJ25" s="2">
        <v>99.45</v>
      </c>
      <c r="DK25" s="2">
        <v>0.8</v>
      </c>
      <c r="DL25" s="2">
        <v>0.1</v>
      </c>
      <c r="DM25" s="2">
        <v>0.8</v>
      </c>
      <c r="DN25" s="2">
        <v>2.2</v>
      </c>
      <c r="DO25" s="2">
        <v>-0.6</v>
      </c>
      <c r="DP25" s="2">
        <v>1.9</v>
      </c>
      <c r="DQ25" s="2">
        <v>1.1</v>
      </c>
      <c r="DR25" s="2">
        <v>1.7</v>
      </c>
      <c r="DS25" s="2">
        <v>3.2</v>
      </c>
      <c r="DT25" s="2">
        <v>0.9</v>
      </c>
      <c r="DU25" s="2">
        <v>-0.5</v>
      </c>
      <c r="DV25" s="2">
        <v>1.2</v>
      </c>
      <c r="DW25" s="2">
        <v>1.2</v>
      </c>
      <c r="DX25" s="2">
        <v>0.8</v>
      </c>
      <c r="DY25" s="2">
        <v>-0.4</v>
      </c>
      <c r="DZ25" s="2">
        <v>-0.2</v>
      </c>
      <c r="EA25" s="2">
        <v>1.8</v>
      </c>
      <c r="EB25" s="2">
        <v>0.2</v>
      </c>
      <c r="EC25" s="2">
        <v>4.5</v>
      </c>
      <c r="ED25" s="2">
        <v>12.6</v>
      </c>
      <c r="EE25" s="2">
        <v>5.5</v>
      </c>
      <c r="EF25" s="2">
        <v>4.1</v>
      </c>
      <c r="EG25" s="2">
        <v>4.9</v>
      </c>
      <c r="EH25" s="2">
        <v>2.7</v>
      </c>
      <c r="EI25" s="2">
        <v>4.4</v>
      </c>
      <c r="EJ25" s="2">
        <v>5</v>
      </c>
      <c r="EK25" s="2">
        <v>2</v>
      </c>
      <c r="EL25" s="2">
        <v>1.5</v>
      </c>
      <c r="EM25" s="2">
        <v>1.1</v>
      </c>
      <c r="EN25" s="2">
        <v>0.7</v>
      </c>
      <c r="EO25" s="2">
        <v>-3.9</v>
      </c>
      <c r="EP25" s="2">
        <v>-9.199999999999999</v>
      </c>
      <c r="EQ25" s="2">
        <v>-3.4</v>
      </c>
      <c r="ER25" s="2">
        <v>-0.5</v>
      </c>
      <c r="ES25" s="2">
        <v>-2.1</v>
      </c>
      <c r="ET25" s="2">
        <v>-0.8</v>
      </c>
      <c r="EU25" s="2">
        <v>-0.7</v>
      </c>
      <c r="EV25" s="2">
        <v>0.2</v>
      </c>
      <c r="EW25" s="2">
        <v>1</v>
      </c>
      <c r="EX25" s="2">
        <v>2.4</v>
      </c>
      <c r="EY25" s="2">
        <v>4.8</v>
      </c>
      <c r="EZ25" s="2">
        <v>7.6</v>
      </c>
      <c r="FA25" s="2">
        <v>12.6</v>
      </c>
      <c r="FB25" s="2">
        <v>10.8</v>
      </c>
      <c r="FC25" s="2">
        <v>9.5</v>
      </c>
      <c r="FD25" s="2">
        <v>10</v>
      </c>
      <c r="FE25" s="2">
        <v>10.3</v>
      </c>
      <c r="FF25" s="2">
        <v>12</v>
      </c>
      <c r="FG25" s="2">
        <v>12.7</v>
      </c>
      <c r="FH25" s="2">
        <v>11.2</v>
      </c>
      <c r="FI25" s="2">
        <v>14</v>
      </c>
      <c r="FJ25" s="2">
        <v>12.4</v>
      </c>
      <c r="FK25" s="2">
        <v>9.9</v>
      </c>
      <c r="FL25" s="2">
        <v>9.9</v>
      </c>
      <c r="FM25" s="2">
        <v>4.2</v>
      </c>
      <c r="FN25" s="2">
        <v>6.2</v>
      </c>
      <c r="FO25" s="2">
        <v>6.6</v>
      </c>
      <c r="FP25" s="2">
        <v>6.5</v>
      </c>
      <c r="FQ25" s="2">
        <v>6.1</v>
      </c>
      <c r="FR25" s="2">
        <v>5</v>
      </c>
      <c r="FS25" s="2">
        <v>3.8</v>
      </c>
      <c r="FT25" s="2">
        <v>3.4</v>
      </c>
      <c r="FU25" s="2">
        <v>2.5</v>
      </c>
      <c r="FV25" s="2">
        <v>4.3</v>
      </c>
      <c r="FW25" s="2">
        <v>1.2</v>
      </c>
      <c r="FX25" s="2">
        <v>0.4</v>
      </c>
      <c r="FY25" s="2">
        <v>3.1</v>
      </c>
      <c r="FZ25" s="2">
        <v>0.8</v>
      </c>
      <c r="GA25" s="2">
        <v>1.4</v>
      </c>
      <c r="GB25" s="2">
        <v>0.9</v>
      </c>
      <c r="GC25" s="2">
        <v>0.9</v>
      </c>
      <c r="GD25" s="2">
        <v>1.4</v>
      </c>
      <c r="GE25" s="2">
        <v>0.9</v>
      </c>
      <c r="GF25" s="2">
        <v>0.3</v>
      </c>
      <c r="GG25" s="2">
        <v>2.2</v>
      </c>
      <c r="GH25" s="2">
        <v>2.3</v>
      </c>
      <c r="GI25" s="2">
        <v>2.9</v>
      </c>
      <c r="GJ25" s="2">
        <v>4.7</v>
      </c>
      <c r="GK25" s="2">
        <v>3.6</v>
      </c>
      <c r="GL25" s="2">
        <v>7.2</v>
      </c>
      <c r="GM25" s="2">
        <v>8.4</v>
      </c>
      <c r="GN25" s="2">
        <v>12.6</v>
      </c>
      <c r="GO25" s="2">
        <v>14.4</v>
      </c>
      <c r="GP25" s="2">
        <v>13.9</v>
      </c>
      <c r="GQ25" s="2">
        <v>15.7</v>
      </c>
      <c r="GR25" s="2">
        <v>16.4</v>
      </c>
      <c r="GS25" s="2">
        <v>15.2</v>
      </c>
      <c r="GT25" s="2">
        <v>15.3</v>
      </c>
      <c r="GU25" s="2">
        <v>13.5</v>
      </c>
      <c r="GV25" s="2">
        <v>11.4</v>
      </c>
      <c r="GW25" s="2">
        <v>10.7</v>
      </c>
      <c r="GX25" s="2">
        <v>9.1</v>
      </c>
      <c r="GY25" s="2">
        <v>7.3</v>
      </c>
      <c r="GZ25" s="2">
        <v>5.1</v>
      </c>
      <c r="HA25" s="2">
        <v>1.8</v>
      </c>
      <c r="HB25" s="2">
        <v>0.7</v>
      </c>
      <c r="HC25" s="2">
        <v>1.1</v>
      </c>
      <c r="HD25" s="2">
        <v>-0.2</v>
      </c>
      <c r="HE25" s="2">
        <v>2.5</v>
      </c>
      <c r="HF25" s="2">
        <v>-2.4</v>
      </c>
      <c r="HG25" s="2">
        <v>0.9</v>
      </c>
      <c r="HH25" s="2">
        <v>-2</v>
      </c>
      <c r="HI25" s="2">
        <v>-1.3</v>
      </c>
      <c r="HJ25" s="2">
        <v>-0.1</v>
      </c>
      <c r="HK25" s="2">
        <v>3.1</v>
      </c>
      <c r="HL25" s="2">
        <v>-1.5</v>
      </c>
      <c r="HM25" s="2">
        <v>0.1</v>
      </c>
      <c r="HN25" s="2">
        <v>0</v>
      </c>
      <c r="HO25" s="2">
        <v>1.7</v>
      </c>
      <c r="HP25" s="2">
        <v>1.2</v>
      </c>
      <c r="HQ25" s="2">
        <v>-0.3</v>
      </c>
      <c r="HR25" s="2">
        <v>0.1</v>
      </c>
      <c r="HS25" s="2">
        <v>0</v>
      </c>
      <c r="HT25" s="2">
        <v>-1.4</v>
      </c>
      <c r="HU25" s="2">
        <v>0.2</v>
      </c>
      <c r="HV25" s="2">
        <v>-2.3</v>
      </c>
      <c r="HW25" s="2">
        <v>1.6</v>
      </c>
      <c r="HX25" s="2">
        <v>0.3</v>
      </c>
      <c r="HY25" s="2">
        <v>0.1</v>
      </c>
      <c r="HZ25" s="2">
        <v>-0.3</v>
      </c>
      <c r="IA25" s="2">
        <v>0.4</v>
      </c>
      <c r="IB25" s="2">
        <v>1.4</v>
      </c>
      <c r="IC25" s="2">
        <v>1.7</v>
      </c>
      <c r="ID25" s="2">
        <v>-1.5</v>
      </c>
      <c r="IE25" s="2">
        <v>4.3</v>
      </c>
      <c r="IF25" s="2">
        <v>6.3</v>
      </c>
      <c r="IG25" s="2">
        <v>-6.1</v>
      </c>
      <c r="IH25" s="2">
        <v>-3.6</v>
      </c>
      <c r="II25" s="2">
        <v>2.4</v>
      </c>
      <c r="IJ25" s="2">
        <v>-1.9</v>
      </c>
      <c r="IK25" s="2">
        <v>1.7</v>
      </c>
      <c r="IL25" s="2">
        <v>0.3</v>
      </c>
      <c r="IM25" s="2">
        <v>-2.4</v>
      </c>
      <c r="IN25" s="2">
        <v>0.9</v>
      </c>
      <c r="IO25" s="2">
        <v>1.3</v>
      </c>
      <c r="IP25" s="2">
        <v>-1.8</v>
      </c>
      <c r="IQ25" s="2">
        <v>-0.5</v>
      </c>
      <c r="IR25" s="2">
        <v>0.5</v>
      </c>
      <c r="IS25" s="2">
        <v>-0.2</v>
      </c>
      <c r="IT25" s="2">
        <v>-0.7</v>
      </c>
      <c r="IU25" s="2">
        <v>0.8</v>
      </c>
      <c r="IV25" s="2">
        <v>-0.6</v>
      </c>
      <c r="IW25" s="2">
        <v>1.8</v>
      </c>
      <c r="IX25" s="2">
        <v>1.2</v>
      </c>
      <c r="IY25" s="2">
        <v>-1.7</v>
      </c>
      <c r="IZ25" s="2">
        <v>2.3</v>
      </c>
      <c r="JA25" s="2">
        <v>3.7</v>
      </c>
      <c r="JB25" s="2">
        <v>0.8</v>
      </c>
      <c r="JC25" s="2">
        <v>4.1</v>
      </c>
      <c r="JD25" s="2">
        <v>-1.1</v>
      </c>
      <c r="JE25" s="2">
        <v>-1.4</v>
      </c>
      <c r="JF25" s="2">
        <v>-0.2</v>
      </c>
      <c r="JG25" s="2">
        <v>1</v>
      </c>
      <c r="JH25" s="2">
        <v>1</v>
      </c>
      <c r="JI25" s="2">
        <v>2.3</v>
      </c>
      <c r="JJ25" s="2">
        <v>-0.1</v>
      </c>
      <c r="JK25" s="2">
        <v>0.8</v>
      </c>
      <c r="JL25" s="2">
        <v>0.9</v>
      </c>
      <c r="JM25" s="2">
        <v>1.4</v>
      </c>
      <c r="JN25" s="2">
        <v>0.8</v>
      </c>
      <c r="JO25" s="2">
        <v>-1.3</v>
      </c>
      <c r="JP25" s="2">
        <v>0.8</v>
      </c>
      <c r="JQ25" s="2">
        <v>-1</v>
      </c>
      <c r="JR25" s="2">
        <v>-0.2</v>
      </c>
      <c r="JS25" s="2">
        <v>0.6</v>
      </c>
      <c r="JT25" s="2">
        <v>0</v>
      </c>
      <c r="JU25" s="2">
        <v>1.1</v>
      </c>
      <c r="JV25" s="2">
        <v>-0.5</v>
      </c>
      <c r="JW25" s="2">
        <v>-0.1</v>
      </c>
      <c r="JX25" s="2">
        <v>2.6</v>
      </c>
      <c r="JY25" s="2">
        <v>-1.6</v>
      </c>
      <c r="JZ25" s="2">
        <v>0</v>
      </c>
      <c r="KA25" s="2">
        <v>1.4</v>
      </c>
      <c r="KB25" s="2">
        <v>-1.5</v>
      </c>
      <c r="KC25" s="2">
        <v>-0.4</v>
      </c>
      <c r="KD25" s="2">
        <v>-0.8</v>
      </c>
      <c r="KE25" s="2">
        <v>0.6</v>
      </c>
      <c r="KF25" s="2">
        <v>0.5</v>
      </c>
      <c r="KG25" s="2">
        <v>0.7</v>
      </c>
      <c r="KH25" s="2">
        <v>-1.1</v>
      </c>
      <c r="KI25" s="2">
        <v>1.8</v>
      </c>
      <c r="KJ25" s="2">
        <v>2.7</v>
      </c>
      <c r="KK25" s="2">
        <v>-1</v>
      </c>
      <c r="KL25" s="2">
        <v>1.8</v>
      </c>
      <c r="KM25" s="2">
        <v>0.3</v>
      </c>
      <c r="KN25" s="2">
        <v>1.9</v>
      </c>
      <c r="KO25" s="2">
        <v>0.7</v>
      </c>
      <c r="KP25" s="2">
        <v>3.1</v>
      </c>
      <c r="KQ25" s="2">
        <v>2.2</v>
      </c>
      <c r="KR25" s="2">
        <v>0</v>
      </c>
      <c r="KS25" s="2">
        <v>2.3</v>
      </c>
      <c r="KT25" s="2">
        <v>-0.5</v>
      </c>
      <c r="KU25" s="2">
        <v>0.8</v>
      </c>
      <c r="KV25" s="2">
        <v>2.8</v>
      </c>
      <c r="KW25" s="2">
        <v>-2.6</v>
      </c>
      <c r="KX25" s="2">
        <v>-0.1</v>
      </c>
      <c r="KY25" s="2">
        <v>-0.3</v>
      </c>
      <c r="KZ25" s="2">
        <v>0.4</v>
      </c>
      <c r="LA25" s="2">
        <v>-1</v>
      </c>
      <c r="LB25" s="2">
        <v>1</v>
      </c>
      <c r="LC25" s="2">
        <v>-1</v>
      </c>
      <c r="LD25" s="2">
        <v>0.26</v>
      </c>
      <c r="LE25" s="2">
        <v>0.25</v>
      </c>
      <c r="LF25" s="2">
        <v>0.26</v>
      </c>
      <c r="LG25" s="2">
        <v>0.26</v>
      </c>
      <c r="LH25" s="2">
        <v>0.26</v>
      </c>
      <c r="LI25" s="2">
        <v>0.27</v>
      </c>
      <c r="LJ25" s="2">
        <v>0.27</v>
      </c>
      <c r="LK25" s="2">
        <v>0.28</v>
      </c>
      <c r="LL25" s="2">
        <v>0.28</v>
      </c>
      <c r="LM25" s="2">
        <v>0.29</v>
      </c>
      <c r="LN25" s="2">
        <v>0.29</v>
      </c>
      <c r="LO25" s="2">
        <v>0.29</v>
      </c>
      <c r="LP25" s="2">
        <v>0.3</v>
      </c>
      <c r="LQ25" s="2">
        <v>0.29</v>
      </c>
      <c r="LR25" s="2">
        <v>0.29</v>
      </c>
      <c r="LS25" s="2">
        <v>0.29</v>
      </c>
      <c r="LT25" s="2">
        <v>0.29</v>
      </c>
      <c r="LU25" s="2">
        <v>0.29</v>
      </c>
      <c r="LV25" s="2">
        <v>0.29</v>
      </c>
      <c r="LW25" s="2">
        <v>0.29</v>
      </c>
      <c r="LX25" s="2">
        <v>-0.01</v>
      </c>
      <c r="LY25" s="2">
        <v>0.01</v>
      </c>
      <c r="LZ25" s="2">
        <v>0</v>
      </c>
      <c r="MA25" s="2">
        <v>0</v>
      </c>
      <c r="MB25" s="2">
        <v>0.01</v>
      </c>
      <c r="MC25" s="2">
        <v>0</v>
      </c>
      <c r="MD25" s="2">
        <v>0.01</v>
      </c>
      <c r="ME25" s="2">
        <v>0</v>
      </c>
      <c r="MF25" s="2">
        <v>0.01</v>
      </c>
      <c r="MG25" s="2">
        <v>0</v>
      </c>
      <c r="MH25" s="2">
        <v>0</v>
      </c>
      <c r="MI25" s="2">
        <v>0.01</v>
      </c>
      <c r="MJ25" s="2">
        <v>-0.01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RO25" s="2">
        <v>26.75</v>
      </c>
      <c r="RP25" s="2">
        <v>27.2</v>
      </c>
      <c r="RQ25" s="2">
        <v>26.65</v>
      </c>
      <c r="RR25" s="2">
        <v>26.15</v>
      </c>
      <c r="RS25" s="2">
        <v>25.7</v>
      </c>
      <c r="RT25" s="2">
        <v>26.11</v>
      </c>
      <c r="RU25" s="2">
        <v>26.29</v>
      </c>
      <c r="RV25" s="2">
        <v>26.79</v>
      </c>
      <c r="RW25" s="2">
        <v>27.65</v>
      </c>
      <c r="RX25" s="2">
        <v>27.88</v>
      </c>
      <c r="RY25" s="2">
        <v>29.33</v>
      </c>
      <c r="RZ25" s="2">
        <v>30.24</v>
      </c>
      <c r="SA25" s="2">
        <v>31.01</v>
      </c>
      <c r="SB25" s="2">
        <v>32.24</v>
      </c>
      <c r="SC25" s="2">
        <v>33.15</v>
      </c>
      <c r="SD25" s="2">
        <v>34.28</v>
      </c>
      <c r="SE25" s="2">
        <v>36.05</v>
      </c>
      <c r="SF25" s="2">
        <v>36.83</v>
      </c>
      <c r="SG25" s="2">
        <v>38.46</v>
      </c>
      <c r="SH25" s="2">
        <v>38.91</v>
      </c>
      <c r="SI25" s="2">
        <v>40.37</v>
      </c>
      <c r="SJ25" s="2">
        <v>40.82</v>
      </c>
      <c r="SK25" s="2">
        <v>41.28</v>
      </c>
      <c r="SL25" s="2">
        <v>49.63</v>
      </c>
      <c r="SM25" s="2">
        <v>47.13</v>
      </c>
      <c r="SN25" s="2">
        <v>46.18</v>
      </c>
      <c r="SO25" s="2">
        <v>46.54</v>
      </c>
      <c r="SP25" s="2">
        <v>44.73</v>
      </c>
      <c r="SQ25" s="2">
        <v>44</v>
      </c>
      <c r="SR25" s="2">
        <v>44.18</v>
      </c>
      <c r="SS25" s="2">
        <v>44.82</v>
      </c>
      <c r="ST25" s="2">
        <v>44.86</v>
      </c>
      <c r="SU25" s="2">
        <v>45</v>
      </c>
      <c r="SV25" s="2">
        <v>45.04</v>
      </c>
      <c r="SW25" s="2">
        <v>45.77</v>
      </c>
      <c r="SX25" s="2">
        <v>44.95</v>
      </c>
      <c r="SY25" s="2">
        <v>45.18</v>
      </c>
      <c r="SZ25" s="2">
        <v>44.59</v>
      </c>
      <c r="TA25" s="2">
        <v>45.77</v>
      </c>
      <c r="TB25" s="2">
        <v>46.13</v>
      </c>
      <c r="TC25" s="2">
        <v>46.13</v>
      </c>
      <c r="TD25" s="2">
        <v>46.72</v>
      </c>
      <c r="TE25" s="2">
        <v>46.59</v>
      </c>
      <c r="TF25" s="2">
        <v>46.22</v>
      </c>
      <c r="TG25" s="2">
        <v>45.91</v>
      </c>
      <c r="TH25" s="2">
        <v>45.41</v>
      </c>
      <c r="TI25" s="2">
        <v>45.63</v>
      </c>
      <c r="TJ25" s="2">
        <v>45.68</v>
      </c>
      <c r="TK25" s="2">
        <v>45.27</v>
      </c>
      <c r="TL25" s="2">
        <v>44.82</v>
      </c>
      <c r="TM25" s="2">
        <v>44.64</v>
      </c>
      <c r="TN25" s="2">
        <v>44.95</v>
      </c>
      <c r="TO25" s="2">
        <v>45.36</v>
      </c>
      <c r="TP25" s="2">
        <v>45.63</v>
      </c>
      <c r="TQ25" s="2">
        <v>45.77</v>
      </c>
      <c r="TR25" s="2">
        <v>46.13</v>
      </c>
      <c r="TS25" s="2">
        <v>47.41</v>
      </c>
      <c r="TT25" s="2">
        <v>50.9</v>
      </c>
      <c r="TU25" s="2">
        <v>53.94</v>
      </c>
      <c r="TV25" s="2">
        <v>54.17</v>
      </c>
      <c r="TW25" s="2">
        <v>54.44</v>
      </c>
      <c r="TX25" s="2">
        <v>55.9</v>
      </c>
      <c r="TY25" s="2">
        <v>54.31</v>
      </c>
      <c r="TZ25" s="2">
        <v>54.4</v>
      </c>
      <c r="UA25" s="2">
        <v>55.08</v>
      </c>
      <c r="UB25" s="2">
        <v>54.99</v>
      </c>
      <c r="UC25" s="2">
        <v>54.22</v>
      </c>
      <c r="UD25" s="2">
        <v>57.21</v>
      </c>
      <c r="UE25" s="2">
        <v>60.53</v>
      </c>
      <c r="UF25" s="2">
        <v>61.71</v>
      </c>
      <c r="UG25" s="2">
        <v>63.71</v>
      </c>
      <c r="UH25" s="2">
        <v>62.71</v>
      </c>
      <c r="UI25" s="2">
        <v>63.12</v>
      </c>
      <c r="UJ25" s="2">
        <v>62.39</v>
      </c>
      <c r="UK25" s="2">
        <v>63.18</v>
      </c>
      <c r="UL25" s="2">
        <v>62.96</v>
      </c>
      <c r="UM25" s="2">
        <v>63.17</v>
      </c>
      <c r="UN25" s="2">
        <v>61.48</v>
      </c>
      <c r="UO25" s="2">
        <v>62.71</v>
      </c>
      <c r="UP25" s="2">
        <v>60.54</v>
      </c>
      <c r="UQ25" s="2">
        <v>61.5</v>
      </c>
      <c r="UR25" s="2">
        <v>61.88</v>
      </c>
      <c r="US25" s="2">
        <v>62.22</v>
      </c>
      <c r="UT25" s="2">
        <v>64.55</v>
      </c>
      <c r="UU25" s="2">
        <v>62.79</v>
      </c>
      <c r="UV25" s="2">
        <v>65.36</v>
      </c>
      <c r="UW25" s="2">
        <v>65.87</v>
      </c>
      <c r="UX25" s="2">
        <v>64.34999999999999</v>
      </c>
      <c r="UY25" s="2">
        <v>65.38</v>
      </c>
      <c r="UZ25" s="2">
        <v>64.56999999999999</v>
      </c>
      <c r="VA25" s="2">
        <v>62.51</v>
      </c>
      <c r="VB25" s="2">
        <v>64.11</v>
      </c>
      <c r="VC25" s="2">
        <v>62.28</v>
      </c>
      <c r="VD25" s="2">
        <v>62.96</v>
      </c>
      <c r="VE25" s="2">
        <v>61.31</v>
      </c>
      <c r="VF25" s="2">
        <v>60.45</v>
      </c>
      <c r="VG25" s="2">
        <v>60.61</v>
      </c>
      <c r="VH25" s="2">
        <v>60.67</v>
      </c>
      <c r="VI25" s="2">
        <v>59.28</v>
      </c>
      <c r="VJ25" s="2">
        <v>61.06</v>
      </c>
      <c r="VK25" s="2">
        <v>61.6</v>
      </c>
      <c r="VL25" s="2">
        <v>62.47</v>
      </c>
      <c r="VM25" s="2">
        <v>63.7</v>
      </c>
      <c r="VN25" s="2">
        <v>64.20999999999999</v>
      </c>
      <c r="VO25" s="2">
        <v>65.42</v>
      </c>
      <c r="VP25" s="2">
        <v>66.56</v>
      </c>
      <c r="VQ25" s="2">
        <v>66.62</v>
      </c>
      <c r="VR25" s="2">
        <v>68</v>
      </c>
      <c r="VS25" s="2">
        <v>65.48999999999999</v>
      </c>
      <c r="VT25" s="2">
        <v>68.42</v>
      </c>
      <c r="VU25" s="2">
        <v>70.09999999999999</v>
      </c>
      <c r="VV25" s="2">
        <v>70.88</v>
      </c>
      <c r="VW25" s="2">
        <v>70.55</v>
      </c>
      <c r="VX25" s="2">
        <v>71.59</v>
      </c>
      <c r="VY25" s="2">
        <v>73.33</v>
      </c>
      <c r="VZ25" s="2">
        <v>75.13</v>
      </c>
      <c r="WA25" s="2">
        <v>73.52</v>
      </c>
      <c r="WB25" s="2">
        <v>74.08</v>
      </c>
      <c r="WC25" s="2">
        <v>74.03</v>
      </c>
      <c r="WD25" s="2">
        <v>74.23999999999999</v>
      </c>
      <c r="WE25" s="2">
        <v>73.38</v>
      </c>
      <c r="WF25" s="2">
        <v>73.39</v>
      </c>
      <c r="WG25" s="2">
        <v>74.17</v>
      </c>
      <c r="WH25" s="2">
        <v>70.51000000000001</v>
      </c>
      <c r="WI25" s="2">
        <v>70.55</v>
      </c>
      <c r="WJ25" s="2">
        <v>74.58</v>
      </c>
      <c r="WK25" s="2">
        <v>75.94</v>
      </c>
      <c r="WL25" s="2">
        <v>76.64</v>
      </c>
      <c r="WM25" s="2">
        <v>77.12</v>
      </c>
      <c r="WN25" s="2">
        <v>77.67</v>
      </c>
      <c r="WO25" s="2">
        <v>77.64</v>
      </c>
      <c r="WP25" s="2">
        <v>76.43000000000001</v>
      </c>
      <c r="WQ25" s="2">
        <v>76.72</v>
      </c>
      <c r="WR25" s="2">
        <v>77.23999999999999</v>
      </c>
      <c r="WS25" s="2">
        <v>75.06999999999999</v>
      </c>
      <c r="WT25" s="2">
        <v>74.56999999999999</v>
      </c>
      <c r="WU25" s="2">
        <v>78.5</v>
      </c>
      <c r="WV25" s="2">
        <v>78.19</v>
      </c>
      <c r="WW25" s="2">
        <v>79.73</v>
      </c>
      <c r="WX25" s="2">
        <v>79.19</v>
      </c>
      <c r="WY25" s="2">
        <v>78.09</v>
      </c>
      <c r="WZ25" s="2">
        <v>76.65000000000001</v>
      </c>
      <c r="XA25" s="2">
        <v>79.73</v>
      </c>
      <c r="XB25" s="2">
        <v>75.56</v>
      </c>
      <c r="XC25" s="2">
        <v>74.17</v>
      </c>
      <c r="XD25" s="2">
        <v>75.98999999999999</v>
      </c>
      <c r="XE25" s="2">
        <v>77.53</v>
      </c>
      <c r="XF25" s="2">
        <v>74.92</v>
      </c>
      <c r="XG25" s="2">
        <v>73.62</v>
      </c>
      <c r="XH25" s="2">
        <v>74.11</v>
      </c>
      <c r="XI25" s="2">
        <v>74.58</v>
      </c>
      <c r="XJ25" s="2">
        <v>71.94</v>
      </c>
      <c r="XK25" s="2">
        <v>72.48999999999999</v>
      </c>
      <c r="XL25" s="2">
        <v>73.45</v>
      </c>
      <c r="XM25" s="2">
        <v>73.43000000000001</v>
      </c>
      <c r="XN25" s="2">
        <v>72</v>
      </c>
      <c r="XO25" s="2">
        <v>72.27</v>
      </c>
      <c r="XP25" s="2">
        <v>72.20999999999999</v>
      </c>
      <c r="XQ25" s="2">
        <v>74.06999999999999</v>
      </c>
      <c r="XR25" s="2">
        <v>75.40000000000001</v>
      </c>
      <c r="XS25" s="2">
        <v>74.04000000000001</v>
      </c>
      <c r="XT25" s="2">
        <v>73.52</v>
      </c>
      <c r="XU25" s="2">
        <v>73.38</v>
      </c>
      <c r="XV25" s="2">
        <v>72.73999999999999</v>
      </c>
      <c r="XW25" s="2">
        <v>73.16</v>
      </c>
      <c r="XX25" s="2">
        <v>74.31</v>
      </c>
      <c r="XY25" s="2">
        <v>79.40000000000001</v>
      </c>
      <c r="XZ25" s="2">
        <v>79.52</v>
      </c>
      <c r="YA25" s="2">
        <v>80.98</v>
      </c>
      <c r="YB25" s="2">
        <v>83.12</v>
      </c>
      <c r="YC25" s="2">
        <v>85.08</v>
      </c>
      <c r="YD25" s="2">
        <v>84.58</v>
      </c>
      <c r="YE25" s="2">
        <v>84.97</v>
      </c>
      <c r="YF25" s="2">
        <v>85.94</v>
      </c>
      <c r="YG25" s="2">
        <v>86.40000000000001</v>
      </c>
      <c r="YH25" s="2">
        <v>85.47</v>
      </c>
      <c r="YI25" s="2">
        <v>85.88</v>
      </c>
      <c r="YJ25" s="2">
        <v>87.31999999999999</v>
      </c>
      <c r="YK25" s="2">
        <v>89.65000000000001</v>
      </c>
      <c r="YL25" s="2">
        <v>93.48</v>
      </c>
      <c r="YM25" s="2">
        <v>98.48</v>
      </c>
      <c r="YN25" s="2">
        <v>100.98</v>
      </c>
      <c r="YO25" s="2">
        <v>100.28</v>
      </c>
      <c r="YP25" s="2">
        <v>100.18</v>
      </c>
      <c r="ADO25" s="2">
        <v>1.7</v>
      </c>
      <c r="ADP25" s="2">
        <v>-2</v>
      </c>
      <c r="ADQ25" s="2">
        <v>-1.9</v>
      </c>
      <c r="ADR25" s="2">
        <v>-1.7</v>
      </c>
      <c r="ADS25" s="2">
        <v>1.6</v>
      </c>
      <c r="ADT25" s="2">
        <v>0.7</v>
      </c>
      <c r="ADU25" s="2">
        <v>1.9</v>
      </c>
      <c r="ADV25" s="2">
        <v>3.2</v>
      </c>
      <c r="ADW25" s="2">
        <v>0.8</v>
      </c>
      <c r="ADX25" s="2">
        <v>5.2</v>
      </c>
      <c r="ADY25" s="2">
        <v>3.1</v>
      </c>
      <c r="ADZ25" s="2">
        <v>2.5</v>
      </c>
      <c r="AEA25" s="2">
        <v>4</v>
      </c>
      <c r="AEB25" s="2">
        <v>2.8</v>
      </c>
      <c r="AEC25" s="2">
        <v>3.4</v>
      </c>
      <c r="AED25" s="2">
        <v>5.2</v>
      </c>
      <c r="AEE25" s="2">
        <v>2.2</v>
      </c>
      <c r="AEF25" s="2">
        <v>4.4</v>
      </c>
      <c r="AEG25" s="2">
        <v>1.2</v>
      </c>
      <c r="AEH25" s="2">
        <v>3.8</v>
      </c>
      <c r="AEI25" s="2">
        <v>1.1</v>
      </c>
      <c r="AEJ25" s="2">
        <v>1.1</v>
      </c>
      <c r="AEK25" s="2">
        <v>20.2</v>
      </c>
      <c r="AEL25" s="2">
        <v>-5</v>
      </c>
      <c r="AEM25" s="2">
        <v>-2</v>
      </c>
      <c r="AEN25" s="2">
        <v>0.8</v>
      </c>
      <c r="AEO25" s="2">
        <v>-3.9</v>
      </c>
      <c r="AEP25" s="2">
        <v>-1.6</v>
      </c>
      <c r="AEQ25" s="2">
        <v>0.4</v>
      </c>
      <c r="AER25" s="2">
        <v>1.4</v>
      </c>
      <c r="AES25" s="2">
        <v>0.1</v>
      </c>
      <c r="AET25" s="2">
        <v>0.3</v>
      </c>
      <c r="AEU25" s="2">
        <v>0.1</v>
      </c>
      <c r="AEV25" s="2">
        <v>1.6</v>
      </c>
      <c r="AEW25" s="2">
        <v>-1.8</v>
      </c>
      <c r="AEX25" s="2">
        <v>0.5</v>
      </c>
      <c r="AEY25" s="2">
        <v>-1.3</v>
      </c>
      <c r="AEZ25" s="2">
        <v>2.6</v>
      </c>
      <c r="AFA25" s="2">
        <v>0.8</v>
      </c>
      <c r="AFB25" s="2">
        <v>0</v>
      </c>
      <c r="AFC25" s="2">
        <v>1.3</v>
      </c>
      <c r="AFD25" s="2">
        <v>-0.3</v>
      </c>
      <c r="AFE25" s="2">
        <v>-0.8</v>
      </c>
      <c r="AFF25" s="2">
        <v>-0.7</v>
      </c>
      <c r="AFG25" s="2">
        <v>-1.1</v>
      </c>
      <c r="AFH25" s="2">
        <v>0.5</v>
      </c>
      <c r="AFI25" s="2">
        <v>0.1</v>
      </c>
      <c r="AFJ25" s="2">
        <v>-0.9</v>
      </c>
      <c r="AFK25" s="2">
        <v>-1</v>
      </c>
      <c r="AFL25" s="2">
        <v>-0.4</v>
      </c>
      <c r="AFM25" s="2">
        <v>0.7</v>
      </c>
      <c r="AFN25" s="2">
        <v>0.9</v>
      </c>
      <c r="AFO25" s="2">
        <v>0.6</v>
      </c>
      <c r="AFP25" s="2">
        <v>0.3</v>
      </c>
      <c r="AFQ25" s="2">
        <v>0.8</v>
      </c>
      <c r="AFR25" s="2">
        <v>2.8</v>
      </c>
      <c r="AFS25" s="2">
        <v>7.4</v>
      </c>
      <c r="AFT25" s="2">
        <v>6</v>
      </c>
      <c r="AFU25" s="2">
        <v>0.4</v>
      </c>
      <c r="AFV25" s="2">
        <v>0.5</v>
      </c>
      <c r="AFW25" s="2">
        <v>2.7</v>
      </c>
      <c r="AFX25" s="2">
        <v>-2.8</v>
      </c>
      <c r="AFY25" s="2">
        <v>0.2</v>
      </c>
      <c r="AFZ25" s="2">
        <v>1.3</v>
      </c>
      <c r="AGA25" s="2">
        <v>-0.2</v>
      </c>
      <c r="AGB25" s="2">
        <v>-1.4</v>
      </c>
      <c r="AGC25" s="2">
        <v>5.5</v>
      </c>
      <c r="AGD25" s="2">
        <v>5.8</v>
      </c>
      <c r="AGE25" s="2">
        <v>1.9</v>
      </c>
      <c r="AGF25" s="2">
        <v>3.2</v>
      </c>
      <c r="AGG25" s="2">
        <v>-1.6</v>
      </c>
      <c r="AGH25" s="2">
        <v>0.7</v>
      </c>
      <c r="AGI25" s="2">
        <v>-1.2</v>
      </c>
      <c r="AGJ25" s="2">
        <v>1.3</v>
      </c>
      <c r="AGK25" s="2">
        <v>-0.3</v>
      </c>
      <c r="AGL25" s="2">
        <v>0.3</v>
      </c>
      <c r="AGM25" s="2">
        <v>-2.7</v>
      </c>
      <c r="AGN25" s="2">
        <v>2</v>
      </c>
      <c r="AGO25" s="2">
        <v>-3.5</v>
      </c>
      <c r="AGP25" s="2">
        <v>1.6</v>
      </c>
      <c r="AGQ25" s="2">
        <v>0.6</v>
      </c>
      <c r="AGR25" s="2">
        <v>0.5</v>
      </c>
      <c r="AGS25" s="2">
        <v>3.7</v>
      </c>
      <c r="AGT25" s="2">
        <v>-2.7</v>
      </c>
      <c r="AGU25" s="2">
        <v>4.1</v>
      </c>
      <c r="AGV25" s="2">
        <v>0.8</v>
      </c>
      <c r="AGW25" s="2">
        <v>-2.3</v>
      </c>
      <c r="AGX25" s="2">
        <v>1.6</v>
      </c>
      <c r="AGY25" s="2">
        <v>-1.2</v>
      </c>
      <c r="AGZ25" s="2">
        <v>-3.2</v>
      </c>
      <c r="AHA25" s="2">
        <v>2.6</v>
      </c>
      <c r="AHB25" s="2">
        <v>-2.9</v>
      </c>
      <c r="AHC25" s="2">
        <v>1.1</v>
      </c>
      <c r="AHD25" s="2">
        <v>-2.6</v>
      </c>
      <c r="AHE25" s="2">
        <v>-1.4</v>
      </c>
      <c r="AHF25" s="2">
        <v>0.3</v>
      </c>
      <c r="AHG25" s="2">
        <v>0.1</v>
      </c>
      <c r="AHH25" s="2">
        <v>-2.3</v>
      </c>
      <c r="AHI25" s="2">
        <v>3</v>
      </c>
      <c r="AHJ25" s="2">
        <v>0.9</v>
      </c>
      <c r="AHK25" s="2">
        <v>1.4</v>
      </c>
      <c r="AHL25" s="2">
        <v>2</v>
      </c>
      <c r="AHM25" s="2">
        <v>0.8</v>
      </c>
      <c r="AHN25" s="2">
        <v>1.9</v>
      </c>
      <c r="AHO25" s="2">
        <v>1.7</v>
      </c>
      <c r="AHP25" s="2">
        <v>0.1</v>
      </c>
      <c r="AHQ25" s="2">
        <v>2.1</v>
      </c>
      <c r="AHR25" s="2">
        <v>-3.7</v>
      </c>
      <c r="AHS25" s="2">
        <v>4.5</v>
      </c>
      <c r="AHT25" s="2">
        <v>2.5</v>
      </c>
      <c r="AHU25" s="2">
        <v>1.1</v>
      </c>
      <c r="AHV25" s="2">
        <v>-0.5</v>
      </c>
      <c r="AHW25" s="2">
        <v>1.5</v>
      </c>
      <c r="AHX25" s="2">
        <v>2.4</v>
      </c>
      <c r="AHY25" s="2">
        <v>2.5</v>
      </c>
      <c r="AHZ25" s="2">
        <v>-2.1</v>
      </c>
      <c r="AIA25" s="2">
        <v>0.8</v>
      </c>
      <c r="AIB25" s="2">
        <v>-0.1</v>
      </c>
      <c r="AIC25" s="2">
        <v>0.3</v>
      </c>
      <c r="AID25" s="2">
        <v>-1.2</v>
      </c>
      <c r="AIE25" s="2">
        <v>0</v>
      </c>
      <c r="AIF25" s="2">
        <v>1.1</v>
      </c>
      <c r="AIG25" s="2">
        <v>-4.9</v>
      </c>
      <c r="AIH25" s="2">
        <v>0.1</v>
      </c>
      <c r="AII25" s="2">
        <v>5.7</v>
      </c>
      <c r="AIJ25" s="2">
        <v>1.8</v>
      </c>
      <c r="AIK25" s="2">
        <v>0.9</v>
      </c>
      <c r="AIL25" s="2">
        <v>0.6</v>
      </c>
      <c r="AIM25" s="2">
        <v>0.7</v>
      </c>
      <c r="AIN25" s="2">
        <v>0</v>
      </c>
      <c r="AIO25" s="2">
        <v>-1.6</v>
      </c>
      <c r="AIP25" s="2">
        <v>0.4</v>
      </c>
      <c r="AIQ25" s="2">
        <v>0.7</v>
      </c>
      <c r="AIR25" s="2">
        <v>-2.8</v>
      </c>
      <c r="AIS25" s="2">
        <v>-0.7</v>
      </c>
      <c r="AIT25" s="2">
        <v>5.3</v>
      </c>
      <c r="AIU25" s="2">
        <v>-0.4</v>
      </c>
      <c r="AIV25" s="2">
        <v>2</v>
      </c>
      <c r="AIW25" s="2">
        <v>-0.7</v>
      </c>
      <c r="AIX25" s="2">
        <v>-1.4</v>
      </c>
      <c r="AIY25" s="2">
        <v>-1.8</v>
      </c>
      <c r="AIZ25" s="2">
        <v>4</v>
      </c>
      <c r="AJA25" s="2">
        <v>-5.2</v>
      </c>
      <c r="AJB25" s="2">
        <v>-1.8</v>
      </c>
      <c r="AJC25" s="2">
        <v>2.5</v>
      </c>
      <c r="AJD25" s="2">
        <v>2</v>
      </c>
      <c r="AJE25" s="2">
        <v>-3.4</v>
      </c>
      <c r="AJF25" s="2">
        <v>-1.7</v>
      </c>
      <c r="AJG25" s="2">
        <v>0.7</v>
      </c>
      <c r="AJH25" s="2">
        <v>0.6</v>
      </c>
      <c r="AJI25" s="2">
        <v>-3.5</v>
      </c>
      <c r="AJJ25" s="2">
        <v>0.8</v>
      </c>
      <c r="AJK25" s="2">
        <v>1.3</v>
      </c>
      <c r="AJL25" s="2">
        <v>0</v>
      </c>
      <c r="AJM25" s="2">
        <v>-1.9</v>
      </c>
      <c r="AJN25" s="2">
        <v>0.4</v>
      </c>
      <c r="AJO25" s="2">
        <v>-0.1</v>
      </c>
      <c r="AJP25" s="2">
        <v>2.6</v>
      </c>
      <c r="AJQ25" s="2">
        <v>1.8</v>
      </c>
      <c r="AJR25" s="2">
        <v>-1.8</v>
      </c>
      <c r="AJS25" s="2">
        <v>-0.7</v>
      </c>
      <c r="AJT25" s="2">
        <v>-0.2</v>
      </c>
      <c r="AJU25" s="2">
        <v>-0.9</v>
      </c>
      <c r="AJV25" s="2">
        <v>0.6</v>
      </c>
      <c r="AJW25" s="2">
        <v>1.6</v>
      </c>
      <c r="AJX25" s="2">
        <v>6.8</v>
      </c>
      <c r="AJY25" s="2">
        <v>0.2</v>
      </c>
      <c r="AJZ25" s="2">
        <v>1.8</v>
      </c>
      <c r="AKA25" s="2">
        <v>2.6</v>
      </c>
      <c r="AKB25" s="2">
        <v>2.4</v>
      </c>
      <c r="AKC25" s="2">
        <v>-0.6</v>
      </c>
      <c r="AKD25" s="2">
        <v>0.5</v>
      </c>
      <c r="AKE25" s="2">
        <v>1.1</v>
      </c>
      <c r="AKF25" s="2">
        <v>0.5</v>
      </c>
      <c r="AKG25" s="2">
        <v>-1.1</v>
      </c>
      <c r="AKH25" s="2">
        <v>0.5</v>
      </c>
      <c r="AKI25" s="2">
        <v>1.7</v>
      </c>
      <c r="AKJ25" s="2">
        <v>2.7</v>
      </c>
      <c r="AKK25" s="2">
        <v>4.3</v>
      </c>
      <c r="AKL25" s="2">
        <v>5.3</v>
      </c>
      <c r="AKM25" s="2">
        <v>2.5</v>
      </c>
      <c r="AKN25" s="2">
        <v>-0.7</v>
      </c>
      <c r="AKO25" s="2">
        <v>-0.1</v>
      </c>
      <c r="AKP25" s="2">
        <v>0.29</v>
      </c>
      <c r="AKQ25" s="2">
        <v>0.29</v>
      </c>
      <c r="AKR25" s="2">
        <v>0.29</v>
      </c>
    </row>
    <row r="26">
      <c r="A26" t="inlineStr">
        <is>
          <t>Waters, soft drinks and juices</t>
        </is>
      </c>
      <c r="B26" t="inlineStr">
        <is>
          <t>Non-alcoholic beverages</t>
        </is>
      </c>
      <c r="C26">
        <v>3</v>
      </c>
      <c r="D26">
        <v>0.9399999999999999</v>
      </c>
      <c r="E26" s="3">
        <f>D26/1.2*0.012093049971280872</f>
        <v>0.009472889144170016</v>
      </c>
      <c r="F26" s="3">
        <f>E26-D26/100</f>
        <v>7.288914417001753e-05</v>
      </c>
      <c r="G26" s="3">
        <f>D26/1.2</f>
        <v>0.7833333333333333</v>
      </c>
      <c r="H26" s="2">
        <v>74.11</v>
      </c>
      <c r="I26" s="2">
        <v>74.23999999999999</v>
      </c>
      <c r="J26" s="2">
        <v>74.19</v>
      </c>
      <c r="K26" s="2">
        <v>75.52</v>
      </c>
      <c r="L26" s="2">
        <v>76.48</v>
      </c>
      <c r="M26" s="2">
        <v>76.64</v>
      </c>
      <c r="N26" s="2">
        <v>76.38</v>
      </c>
      <c r="O26" s="2">
        <v>77.03</v>
      </c>
      <c r="P26" s="2">
        <v>77.02</v>
      </c>
      <c r="Q26" s="2">
        <v>76.25</v>
      </c>
      <c r="R26" s="2">
        <v>76.8</v>
      </c>
      <c r="S26" s="2">
        <v>76.93000000000001</v>
      </c>
      <c r="T26" s="2">
        <v>75.67</v>
      </c>
      <c r="U26" s="2">
        <v>75.67</v>
      </c>
      <c r="V26" s="2">
        <v>76.95</v>
      </c>
      <c r="W26" s="2">
        <v>75.59</v>
      </c>
      <c r="X26" s="2">
        <v>77.04000000000001</v>
      </c>
      <c r="Y26" s="2">
        <v>77.88</v>
      </c>
      <c r="Z26" s="2">
        <v>77.8</v>
      </c>
      <c r="AA26" s="2">
        <v>77.34</v>
      </c>
      <c r="AB26" s="2">
        <v>78.20999999999999</v>
      </c>
      <c r="AC26" s="2">
        <v>77.7</v>
      </c>
      <c r="AD26" s="2">
        <v>78.81</v>
      </c>
      <c r="AE26" s="2">
        <v>78.31</v>
      </c>
      <c r="AF26" s="2">
        <v>77.23</v>
      </c>
      <c r="AG26" s="2">
        <v>77.15000000000001</v>
      </c>
      <c r="AH26" s="2">
        <v>76.73999999999999</v>
      </c>
      <c r="AI26" s="2">
        <v>75.48999999999999</v>
      </c>
      <c r="AJ26" s="2">
        <v>76.68000000000001</v>
      </c>
      <c r="AK26" s="2">
        <v>77.20999999999999</v>
      </c>
      <c r="AL26" s="2">
        <v>78.81</v>
      </c>
      <c r="AM26" s="2">
        <v>79.62</v>
      </c>
      <c r="AN26" s="2">
        <v>79.58</v>
      </c>
      <c r="AO26" s="2">
        <v>79.11</v>
      </c>
      <c r="AP26" s="2">
        <v>80</v>
      </c>
      <c r="AQ26" s="2">
        <v>79.95</v>
      </c>
      <c r="AR26" s="2">
        <v>78.77</v>
      </c>
      <c r="AS26" s="2">
        <v>79.39</v>
      </c>
      <c r="AT26" s="2">
        <v>80</v>
      </c>
      <c r="AU26" s="2">
        <v>78.06</v>
      </c>
      <c r="AV26" s="2">
        <v>79.47</v>
      </c>
      <c r="AW26" s="2">
        <v>80.56999999999999</v>
      </c>
      <c r="AX26" s="2">
        <v>80.17</v>
      </c>
      <c r="AY26" s="2">
        <v>79.98999999999999</v>
      </c>
      <c r="AZ26" s="2">
        <v>80.93000000000001</v>
      </c>
      <c r="BA26" s="2">
        <v>80.95</v>
      </c>
      <c r="BB26" s="2">
        <v>81.40000000000001</v>
      </c>
      <c r="BC26" s="2">
        <v>81.73</v>
      </c>
      <c r="BD26" s="2">
        <v>80.56</v>
      </c>
      <c r="BE26" s="2">
        <v>80.44</v>
      </c>
      <c r="BF26" s="2">
        <v>80.37</v>
      </c>
      <c r="BG26" s="2">
        <v>80.41</v>
      </c>
      <c r="BH26" s="2">
        <v>82.14</v>
      </c>
      <c r="BI26" s="2">
        <v>86.81</v>
      </c>
      <c r="BJ26" s="2">
        <v>85.84</v>
      </c>
      <c r="BK26" s="2">
        <v>85.83</v>
      </c>
      <c r="BL26" s="2">
        <v>86.56</v>
      </c>
      <c r="BM26" s="2">
        <v>86.86</v>
      </c>
      <c r="BN26" s="2">
        <v>87.67</v>
      </c>
      <c r="BO26" s="2">
        <v>88.98</v>
      </c>
      <c r="BP26" s="2">
        <v>88.42</v>
      </c>
      <c r="BQ26" s="2">
        <v>89.40000000000001</v>
      </c>
      <c r="BR26" s="2">
        <v>88.64</v>
      </c>
      <c r="BS26" s="2">
        <v>87.42</v>
      </c>
      <c r="BT26" s="2">
        <v>90.3</v>
      </c>
      <c r="BU26" s="2">
        <v>91.64</v>
      </c>
      <c r="BV26" s="2">
        <v>92.87</v>
      </c>
      <c r="BW26" s="2">
        <v>95.08</v>
      </c>
      <c r="BX26" s="2">
        <v>95.20999999999999</v>
      </c>
      <c r="BY26" s="2">
        <v>92.81999999999999</v>
      </c>
      <c r="BZ26" s="2">
        <v>93.8</v>
      </c>
      <c r="CA26" s="2">
        <v>93.5</v>
      </c>
      <c r="CB26" s="2">
        <v>93</v>
      </c>
      <c r="CC26" s="2">
        <v>92.47</v>
      </c>
      <c r="CD26" s="2">
        <v>94.11</v>
      </c>
      <c r="CE26" s="2">
        <v>94.3</v>
      </c>
      <c r="CF26" s="2">
        <v>96.70999999999999</v>
      </c>
      <c r="CG26" s="2">
        <v>97.43000000000001</v>
      </c>
      <c r="CH26" s="2">
        <v>98.59</v>
      </c>
      <c r="CI26" s="2">
        <v>98.3</v>
      </c>
      <c r="CJ26" s="2">
        <v>99.45</v>
      </c>
      <c r="CK26" s="2">
        <v>99.81999999999999</v>
      </c>
      <c r="CL26" s="2">
        <v>99.48999999999999</v>
      </c>
      <c r="CM26" s="2">
        <v>99.28</v>
      </c>
      <c r="CN26" s="2">
        <v>97.47</v>
      </c>
      <c r="CO26" s="2">
        <v>97.91</v>
      </c>
      <c r="CP26" s="2">
        <v>97.87</v>
      </c>
      <c r="CQ26" s="2">
        <v>97.51000000000001</v>
      </c>
      <c r="CR26" s="2">
        <v>99.27</v>
      </c>
      <c r="CS26" s="2">
        <v>101.44</v>
      </c>
      <c r="CT26" s="2">
        <v>102.53</v>
      </c>
      <c r="CU26" s="2">
        <v>101.24</v>
      </c>
      <c r="CV26" s="2">
        <v>103.7</v>
      </c>
      <c r="CW26" s="2">
        <v>103.35</v>
      </c>
      <c r="CX26" s="2">
        <v>102.8</v>
      </c>
      <c r="CY26" s="2">
        <v>101.75</v>
      </c>
      <c r="CZ26" s="2">
        <v>100</v>
      </c>
      <c r="DA26" s="2">
        <v>99.61</v>
      </c>
      <c r="DB26" s="2">
        <v>99.62</v>
      </c>
      <c r="DC26" s="2">
        <v>98.34999999999999</v>
      </c>
      <c r="DD26" s="2">
        <v>99.90000000000001</v>
      </c>
      <c r="DE26" s="2">
        <v>100.89</v>
      </c>
      <c r="DF26" s="2">
        <v>102.39</v>
      </c>
      <c r="DG26" s="2">
        <v>101.32</v>
      </c>
      <c r="DH26" s="2">
        <v>103.57</v>
      </c>
      <c r="DI26" s="2">
        <v>104.57</v>
      </c>
      <c r="DJ26" s="2">
        <v>104.89</v>
      </c>
      <c r="DK26" s="2">
        <v>2.1</v>
      </c>
      <c r="DL26" s="2">
        <v>1.9</v>
      </c>
      <c r="DM26" s="2">
        <v>3.7</v>
      </c>
      <c r="DN26" s="2">
        <v>0.1</v>
      </c>
      <c r="DO26" s="2">
        <v>0.7</v>
      </c>
      <c r="DP26" s="2">
        <v>1.6</v>
      </c>
      <c r="DQ26" s="2">
        <v>1.9</v>
      </c>
      <c r="DR26" s="2">
        <v>0.4</v>
      </c>
      <c r="DS26" s="2">
        <v>1.5</v>
      </c>
      <c r="DT26" s="2">
        <v>1.9</v>
      </c>
      <c r="DU26" s="2">
        <v>2.6</v>
      </c>
      <c r="DV26" s="2">
        <v>1.8</v>
      </c>
      <c r="DW26" s="2">
        <v>2.1</v>
      </c>
      <c r="DX26" s="2">
        <v>2</v>
      </c>
      <c r="DY26" s="2">
        <v>-0.3</v>
      </c>
      <c r="DZ26" s="2">
        <v>-0.1</v>
      </c>
      <c r="EA26" s="2">
        <v>-0.5</v>
      </c>
      <c r="EB26" s="2">
        <v>-0.9</v>
      </c>
      <c r="EC26" s="2">
        <v>1.3</v>
      </c>
      <c r="ED26" s="2">
        <v>2.9</v>
      </c>
      <c r="EE26" s="2">
        <v>1.8</v>
      </c>
      <c r="EF26" s="2">
        <v>1.8</v>
      </c>
      <c r="EG26" s="2">
        <v>1.5</v>
      </c>
      <c r="EH26" s="2">
        <v>2.1</v>
      </c>
      <c r="EI26" s="2">
        <v>2</v>
      </c>
      <c r="EJ26" s="2">
        <v>2.9</v>
      </c>
      <c r="EK26" s="2">
        <v>4.2</v>
      </c>
      <c r="EL26" s="2">
        <v>3.4</v>
      </c>
      <c r="EM26" s="2">
        <v>3.6</v>
      </c>
      <c r="EN26" s="2">
        <v>4.4</v>
      </c>
      <c r="EO26" s="2">
        <v>1.7</v>
      </c>
      <c r="EP26" s="2">
        <v>0.5</v>
      </c>
      <c r="EQ26" s="2">
        <v>1.7</v>
      </c>
      <c r="ER26" s="2">
        <v>2.3</v>
      </c>
      <c r="ES26" s="2">
        <v>1.8</v>
      </c>
      <c r="ET26" s="2">
        <v>2.2</v>
      </c>
      <c r="EU26" s="2">
        <v>2.3</v>
      </c>
      <c r="EV26" s="2">
        <v>1.3</v>
      </c>
      <c r="EW26" s="2">
        <v>0.5</v>
      </c>
      <c r="EX26" s="2">
        <v>3</v>
      </c>
      <c r="EY26" s="2">
        <v>3.4</v>
      </c>
      <c r="EZ26" s="2">
        <v>7.7</v>
      </c>
      <c r="FA26" s="2">
        <v>7.1</v>
      </c>
      <c r="FB26" s="2">
        <v>7.3</v>
      </c>
      <c r="FC26" s="2">
        <v>7</v>
      </c>
      <c r="FD26" s="2">
        <v>7.3</v>
      </c>
      <c r="FE26" s="2">
        <v>7.7</v>
      </c>
      <c r="FF26" s="2">
        <v>8.9</v>
      </c>
      <c r="FG26" s="2">
        <v>9.800000000000001</v>
      </c>
      <c r="FH26" s="2">
        <v>11.1</v>
      </c>
      <c r="FI26" s="2">
        <v>10.3</v>
      </c>
      <c r="FJ26" s="2">
        <v>8.699999999999999</v>
      </c>
      <c r="FK26" s="2">
        <v>9.9</v>
      </c>
      <c r="FL26" s="2">
        <v>5.6</v>
      </c>
      <c r="FM26" s="2">
        <v>8.199999999999999</v>
      </c>
      <c r="FN26" s="2">
        <v>10.8</v>
      </c>
      <c r="FO26" s="2">
        <v>10</v>
      </c>
      <c r="FP26" s="2">
        <v>6.9</v>
      </c>
      <c r="FQ26" s="2">
        <v>7</v>
      </c>
      <c r="FR26" s="2">
        <v>5.1</v>
      </c>
      <c r="FS26" s="2">
        <v>5.2</v>
      </c>
      <c r="FT26" s="2">
        <v>3.4</v>
      </c>
      <c r="FU26" s="2">
        <v>6.2</v>
      </c>
      <c r="FV26" s="2">
        <v>7.9</v>
      </c>
      <c r="FW26" s="2">
        <v>7.1</v>
      </c>
      <c r="FX26" s="2">
        <v>6.3</v>
      </c>
      <c r="FY26" s="2">
        <v>6.2</v>
      </c>
      <c r="FZ26" s="2">
        <v>3.4</v>
      </c>
      <c r="GA26" s="2">
        <v>4.5</v>
      </c>
      <c r="GB26" s="2">
        <v>7.5</v>
      </c>
      <c r="GC26" s="2">
        <v>6.1</v>
      </c>
      <c r="GD26" s="2">
        <v>6.2</v>
      </c>
      <c r="GE26" s="2">
        <v>4.8</v>
      </c>
      <c r="GF26" s="2">
        <v>5.9</v>
      </c>
      <c r="GG26" s="2">
        <v>4</v>
      </c>
      <c r="GH26" s="2">
        <v>3.4</v>
      </c>
      <c r="GI26" s="2">
        <v>2.6</v>
      </c>
      <c r="GJ26" s="2">
        <v>4.1</v>
      </c>
      <c r="GK26" s="2">
        <v>4</v>
      </c>
      <c r="GL26" s="2">
        <v>3</v>
      </c>
      <c r="GM26" s="2">
        <v>4.3</v>
      </c>
      <c r="GN26" s="2">
        <v>3.5</v>
      </c>
      <c r="GO26" s="2">
        <v>3.3</v>
      </c>
      <c r="GP26" s="2">
        <v>2.5</v>
      </c>
      <c r="GQ26" s="2">
        <v>2.6</v>
      </c>
      <c r="GR26" s="2">
        <v>1.7</v>
      </c>
      <c r="GS26" s="2">
        <v>1.8</v>
      </c>
      <c r="GT26" s="2">
        <v>0.9</v>
      </c>
      <c r="GU26" s="2">
        <v>0.6</v>
      </c>
      <c r="GV26" s="2">
        <v>-0.5</v>
      </c>
      <c r="GW26" s="2">
        <v>-0.1</v>
      </c>
      <c r="GX26" s="2">
        <v>0.1</v>
      </c>
      <c r="GY26" s="2">
        <v>-0.1</v>
      </c>
      <c r="GZ26" s="2">
        <v>1.2</v>
      </c>
      <c r="HA26" s="2">
        <v>2</v>
      </c>
      <c r="HB26" s="2">
        <v>0.2</v>
      </c>
      <c r="HC26" s="2">
        <v>-0.1</v>
      </c>
      <c r="HD26" s="2">
        <v>1.8</v>
      </c>
      <c r="HE26" s="2">
        <v>1.3</v>
      </c>
      <c r="HF26" s="2">
        <v>0.2</v>
      </c>
      <c r="HG26" s="2">
        <v>-0.3</v>
      </c>
      <c r="HH26" s="2">
        <v>0.9</v>
      </c>
      <c r="HI26" s="2">
        <v>0</v>
      </c>
      <c r="HJ26" s="2">
        <v>-1</v>
      </c>
      <c r="HK26" s="2">
        <v>0.7</v>
      </c>
      <c r="HL26" s="2">
        <v>0.2</v>
      </c>
      <c r="HM26" s="2">
        <v>-1.6</v>
      </c>
      <c r="HN26" s="2">
        <v>0</v>
      </c>
      <c r="HO26" s="2">
        <v>1.7</v>
      </c>
      <c r="HP26" s="2">
        <v>-1.8</v>
      </c>
      <c r="HQ26" s="2">
        <v>1.9</v>
      </c>
      <c r="HR26" s="2">
        <v>1.1</v>
      </c>
      <c r="HS26" s="2">
        <v>-0.1</v>
      </c>
      <c r="HT26" s="2">
        <v>-0.6</v>
      </c>
      <c r="HU26" s="2">
        <v>1.1</v>
      </c>
      <c r="HV26" s="2">
        <v>-0.7</v>
      </c>
      <c r="HW26" s="2">
        <v>1.4</v>
      </c>
      <c r="HX26" s="2">
        <v>-0.6</v>
      </c>
      <c r="HY26" s="2">
        <v>-1.4</v>
      </c>
      <c r="HZ26" s="2">
        <v>-0.1</v>
      </c>
      <c r="IA26" s="2">
        <v>-0.5</v>
      </c>
      <c r="IB26" s="2">
        <v>-1.6</v>
      </c>
      <c r="IC26" s="2">
        <v>1.6</v>
      </c>
      <c r="ID26" s="2">
        <v>0.7</v>
      </c>
      <c r="IE26" s="2">
        <v>2.1</v>
      </c>
      <c r="IF26" s="2">
        <v>1</v>
      </c>
      <c r="IG26" s="2">
        <v>-0.1</v>
      </c>
      <c r="IH26" s="2">
        <v>-0.6</v>
      </c>
      <c r="II26" s="2">
        <v>1.1</v>
      </c>
      <c r="IJ26" s="2">
        <v>-0.1</v>
      </c>
      <c r="IK26" s="2">
        <v>-1.5</v>
      </c>
      <c r="IL26" s="2">
        <v>0.8</v>
      </c>
      <c r="IM26" s="2">
        <v>0.8</v>
      </c>
      <c r="IN26" s="2">
        <v>-2.4</v>
      </c>
      <c r="IO26" s="2">
        <v>1.8</v>
      </c>
      <c r="IP26" s="2">
        <v>1.4</v>
      </c>
      <c r="IQ26" s="2">
        <v>-0.5</v>
      </c>
      <c r="IR26" s="2">
        <v>-0.2</v>
      </c>
      <c r="IS26" s="2">
        <v>1.2</v>
      </c>
      <c r="IT26" s="2">
        <v>0</v>
      </c>
      <c r="IU26" s="2">
        <v>0.6</v>
      </c>
      <c r="IV26" s="2">
        <v>0.4</v>
      </c>
      <c r="IW26" s="2">
        <v>-1.4</v>
      </c>
      <c r="IX26" s="2">
        <v>-0.1</v>
      </c>
      <c r="IY26" s="2">
        <v>-0.1</v>
      </c>
      <c r="IZ26" s="2">
        <v>0</v>
      </c>
      <c r="JA26" s="2">
        <v>2.2</v>
      </c>
      <c r="JB26" s="2">
        <v>5.7</v>
      </c>
      <c r="JC26" s="2">
        <v>-1.1</v>
      </c>
      <c r="JD26" s="2">
        <v>0</v>
      </c>
      <c r="JE26" s="2">
        <v>0.9</v>
      </c>
      <c r="JF26" s="2">
        <v>0.3</v>
      </c>
      <c r="JG26" s="2">
        <v>0.9</v>
      </c>
      <c r="JH26" s="2">
        <v>1.5</v>
      </c>
      <c r="JI26" s="2">
        <v>-0.6</v>
      </c>
      <c r="JJ26" s="2">
        <v>1.1</v>
      </c>
      <c r="JK26" s="2">
        <v>-0.9</v>
      </c>
      <c r="JL26" s="2">
        <v>-1.4</v>
      </c>
      <c r="JM26" s="2">
        <v>3.3</v>
      </c>
      <c r="JN26" s="2">
        <v>1.5</v>
      </c>
      <c r="JO26" s="2">
        <v>1.3</v>
      </c>
      <c r="JP26" s="2">
        <v>2.4</v>
      </c>
      <c r="JQ26" s="2">
        <v>0.1</v>
      </c>
      <c r="JR26" s="2">
        <v>-2.5</v>
      </c>
      <c r="JS26" s="2">
        <v>1.1</v>
      </c>
      <c r="JT26" s="2">
        <v>-0.3</v>
      </c>
      <c r="JU26" s="2">
        <v>-0.5</v>
      </c>
      <c r="JV26" s="2">
        <v>-0.6</v>
      </c>
      <c r="JW26" s="2">
        <v>1.8</v>
      </c>
      <c r="JX26" s="2">
        <v>0.2</v>
      </c>
      <c r="JY26" s="2">
        <v>2.6</v>
      </c>
      <c r="JZ26" s="2">
        <v>0.7</v>
      </c>
      <c r="KA26" s="2">
        <v>1.2</v>
      </c>
      <c r="KB26" s="2">
        <v>-0.3</v>
      </c>
      <c r="KC26" s="2">
        <v>1.2</v>
      </c>
      <c r="KD26" s="2">
        <v>0.4</v>
      </c>
      <c r="KE26" s="2">
        <v>-0.3</v>
      </c>
      <c r="KF26" s="2">
        <v>-0.2</v>
      </c>
      <c r="KG26" s="2">
        <v>-1.8</v>
      </c>
      <c r="KH26" s="2">
        <v>0.5</v>
      </c>
      <c r="KI26" s="2">
        <v>0</v>
      </c>
      <c r="KJ26" s="2">
        <v>-0.4</v>
      </c>
      <c r="KK26" s="2">
        <v>1.8</v>
      </c>
      <c r="KL26" s="2">
        <v>2.2</v>
      </c>
      <c r="KM26" s="2">
        <v>1.1</v>
      </c>
      <c r="KN26" s="2">
        <v>-1.3</v>
      </c>
      <c r="KO26" s="2">
        <v>2.4</v>
      </c>
      <c r="KP26" s="2">
        <v>-0.3</v>
      </c>
      <c r="KQ26" s="2">
        <v>-0.5</v>
      </c>
      <c r="KR26" s="2">
        <v>-1</v>
      </c>
      <c r="KS26" s="2">
        <v>-1.7</v>
      </c>
      <c r="KT26" s="2">
        <v>-0.4</v>
      </c>
      <c r="KU26" s="2">
        <v>0</v>
      </c>
      <c r="KV26" s="2">
        <v>-1.3</v>
      </c>
      <c r="KW26" s="2">
        <v>1.6</v>
      </c>
      <c r="KX26" s="2">
        <v>1</v>
      </c>
      <c r="KY26" s="2">
        <v>1.5</v>
      </c>
      <c r="KZ26" s="2">
        <v>-1</v>
      </c>
      <c r="LA26" s="2">
        <v>2.2</v>
      </c>
      <c r="LB26" s="2">
        <v>1</v>
      </c>
      <c r="LC26" s="2">
        <v>0.3</v>
      </c>
      <c r="LD26" s="2">
        <v>0.92</v>
      </c>
      <c r="LE26" s="2">
        <v>0.93</v>
      </c>
      <c r="LF26" s="2">
        <v>0.95</v>
      </c>
      <c r="LG26" s="2">
        <v>0.96</v>
      </c>
      <c r="LH26" s="2">
        <v>0.95</v>
      </c>
      <c r="LI26" s="2">
        <v>0.97</v>
      </c>
      <c r="LJ26" s="2">
        <v>0.97</v>
      </c>
      <c r="LK26" s="2">
        <v>0.97</v>
      </c>
      <c r="LL26" s="2">
        <v>0.96</v>
      </c>
      <c r="LM26" s="2">
        <v>0.9399999999999999</v>
      </c>
      <c r="LN26" s="2">
        <v>0.9399999999999999</v>
      </c>
      <c r="LO26" s="2">
        <v>0.9399999999999999</v>
      </c>
      <c r="LP26" s="2">
        <v>0.92</v>
      </c>
      <c r="LQ26" s="2">
        <v>0.9399999999999999</v>
      </c>
      <c r="LR26" s="2">
        <v>0.95</v>
      </c>
      <c r="LS26" s="2">
        <v>0.96</v>
      </c>
      <c r="LT26" s="2">
        <v>0.95</v>
      </c>
      <c r="LU26" s="2">
        <v>0.97</v>
      </c>
      <c r="LV26" s="2">
        <v>0.98</v>
      </c>
      <c r="LW26" s="2">
        <v>0.99</v>
      </c>
      <c r="LX26" s="2">
        <v>0.01</v>
      </c>
      <c r="LY26" s="2">
        <v>0.02</v>
      </c>
      <c r="LZ26" s="2">
        <v>0.01</v>
      </c>
      <c r="MA26" s="2">
        <v>-0.01</v>
      </c>
      <c r="MB26" s="2">
        <v>0.02</v>
      </c>
      <c r="MC26" s="2">
        <v>0</v>
      </c>
      <c r="MD26" s="2">
        <v>0</v>
      </c>
      <c r="ME26" s="2">
        <v>-0.01</v>
      </c>
      <c r="MF26" s="2">
        <v>-0.02</v>
      </c>
      <c r="MG26" s="2">
        <v>0</v>
      </c>
      <c r="MH26" s="2">
        <v>0</v>
      </c>
      <c r="MI26" s="2">
        <v>-0.02</v>
      </c>
      <c r="MJ26" s="2">
        <v>0.02</v>
      </c>
      <c r="MK26" s="2">
        <v>0.01</v>
      </c>
      <c r="ML26" s="2">
        <v>0.01</v>
      </c>
      <c r="MM26" s="2">
        <v>-0.01</v>
      </c>
      <c r="MN26" s="2">
        <v>0.02</v>
      </c>
      <c r="MO26" s="2">
        <v>0.01</v>
      </c>
      <c r="MP26" s="2">
        <v>0.01</v>
      </c>
      <c r="SY26" s="2">
        <v>37.58</v>
      </c>
      <c r="SZ26" s="2">
        <v>38.47</v>
      </c>
      <c r="TA26" s="2">
        <v>38.97</v>
      </c>
      <c r="TB26" s="2">
        <v>40.22</v>
      </c>
      <c r="TC26" s="2">
        <v>40.1</v>
      </c>
      <c r="TD26" s="2">
        <v>40.64</v>
      </c>
      <c r="TE26" s="2">
        <v>41.38</v>
      </c>
      <c r="TF26" s="2">
        <v>42.51</v>
      </c>
      <c r="TG26" s="2">
        <v>42.54</v>
      </c>
      <c r="TH26" s="2">
        <v>42.89</v>
      </c>
      <c r="TI26" s="2">
        <v>44.1</v>
      </c>
      <c r="TJ26" s="2">
        <v>44.6</v>
      </c>
      <c r="TK26" s="2">
        <v>44.76</v>
      </c>
      <c r="TL26" s="2">
        <v>44.6</v>
      </c>
      <c r="TM26" s="2">
        <v>44.72</v>
      </c>
      <c r="TN26" s="2">
        <v>44.72</v>
      </c>
      <c r="TO26" s="2">
        <v>44.87</v>
      </c>
      <c r="TP26" s="2">
        <v>45.03</v>
      </c>
      <c r="TQ26" s="2">
        <v>45.26</v>
      </c>
      <c r="TR26" s="2">
        <v>45.38</v>
      </c>
      <c r="TS26" s="2">
        <v>45.53</v>
      </c>
      <c r="TT26" s="2">
        <v>44.99</v>
      </c>
      <c r="TU26" s="2">
        <v>45.03</v>
      </c>
      <c r="TV26" s="2">
        <v>45.92</v>
      </c>
      <c r="TW26" s="2">
        <v>47.01</v>
      </c>
      <c r="TX26" s="2">
        <v>46.97</v>
      </c>
      <c r="TY26" s="2">
        <v>47.32</v>
      </c>
      <c r="TZ26" s="2">
        <v>47.55</v>
      </c>
      <c r="UA26" s="2">
        <v>48.02</v>
      </c>
      <c r="UB26" s="2">
        <v>48.06</v>
      </c>
      <c r="UC26" s="2">
        <v>48.33</v>
      </c>
      <c r="UD26" s="2">
        <v>48.87</v>
      </c>
      <c r="UE26" s="2">
        <v>49.03</v>
      </c>
      <c r="UF26" s="2">
        <v>49.76</v>
      </c>
      <c r="UG26" s="2">
        <v>50.19</v>
      </c>
      <c r="UH26" s="2">
        <v>50.35</v>
      </c>
      <c r="UI26" s="2">
        <v>51.32</v>
      </c>
      <c r="UJ26" s="2">
        <v>50.89</v>
      </c>
      <c r="UK26" s="2">
        <v>51.2</v>
      </c>
      <c r="UL26" s="2">
        <v>50.93</v>
      </c>
      <c r="UM26" s="2">
        <v>50.93</v>
      </c>
      <c r="UN26" s="2">
        <v>50.93</v>
      </c>
      <c r="UO26" s="2">
        <v>50.7</v>
      </c>
      <c r="UP26" s="2">
        <v>51.24</v>
      </c>
      <c r="UQ26" s="2">
        <v>49.11</v>
      </c>
      <c r="UR26" s="2">
        <v>47.97</v>
      </c>
      <c r="US26" s="2">
        <v>49.8</v>
      </c>
      <c r="UT26" s="2">
        <v>50.95</v>
      </c>
      <c r="UU26" s="2">
        <v>50.08</v>
      </c>
      <c r="UV26" s="2">
        <v>50.48</v>
      </c>
      <c r="UW26" s="2">
        <v>49.59</v>
      </c>
      <c r="UX26" s="2">
        <v>50.09</v>
      </c>
      <c r="UY26" s="2">
        <v>51.34</v>
      </c>
      <c r="UZ26" s="2">
        <v>51.81</v>
      </c>
      <c r="VA26" s="2">
        <v>52.1</v>
      </c>
      <c r="VB26" s="2">
        <v>52.62</v>
      </c>
      <c r="VC26" s="2">
        <v>52.03</v>
      </c>
      <c r="VD26" s="2">
        <v>52.13</v>
      </c>
      <c r="VE26" s="2">
        <v>52.82</v>
      </c>
      <c r="VF26" s="2">
        <v>53.52</v>
      </c>
      <c r="VG26" s="2">
        <v>54</v>
      </c>
      <c r="VH26" s="2">
        <v>54.51</v>
      </c>
      <c r="VI26" s="2">
        <v>54.76</v>
      </c>
      <c r="VJ26" s="2">
        <v>55.49</v>
      </c>
      <c r="VK26" s="2">
        <v>55.62</v>
      </c>
      <c r="VL26" s="2">
        <v>55.88</v>
      </c>
      <c r="VM26" s="2">
        <v>57.17</v>
      </c>
      <c r="VN26" s="2">
        <v>57.55</v>
      </c>
      <c r="VO26" s="2">
        <v>59.39</v>
      </c>
      <c r="VP26" s="2">
        <v>59.93</v>
      </c>
      <c r="VQ26" s="2">
        <v>60.65</v>
      </c>
      <c r="VR26" s="2">
        <v>62.2</v>
      </c>
      <c r="VS26" s="2">
        <v>61.79</v>
      </c>
      <c r="VT26" s="2">
        <v>62.85</v>
      </c>
      <c r="VU26" s="2">
        <v>64.34999999999999</v>
      </c>
      <c r="VV26" s="2">
        <v>65.3</v>
      </c>
      <c r="VW26" s="2">
        <v>65.44</v>
      </c>
      <c r="VX26" s="2">
        <v>66.23</v>
      </c>
      <c r="VY26" s="2">
        <v>67.56999999999999</v>
      </c>
      <c r="VZ26" s="2">
        <v>67.91</v>
      </c>
      <c r="WA26" s="2">
        <v>67.95999999999999</v>
      </c>
      <c r="WB26" s="2">
        <v>67.31999999999999</v>
      </c>
      <c r="WC26" s="2">
        <v>69.68000000000001</v>
      </c>
      <c r="WD26" s="2">
        <v>70.79000000000001</v>
      </c>
      <c r="WE26" s="2">
        <v>69.58</v>
      </c>
      <c r="WF26" s="2">
        <v>69.95</v>
      </c>
      <c r="WG26" s="2">
        <v>72.55</v>
      </c>
      <c r="WH26" s="2">
        <v>72.63</v>
      </c>
      <c r="WI26" s="2">
        <v>72.55</v>
      </c>
      <c r="WJ26" s="2">
        <v>71.89</v>
      </c>
      <c r="WK26" s="2">
        <v>73.66</v>
      </c>
      <c r="WL26" s="2">
        <v>73.56</v>
      </c>
      <c r="WM26" s="2">
        <v>73.59</v>
      </c>
      <c r="WN26" s="2">
        <v>73.77</v>
      </c>
      <c r="WO26" s="2">
        <v>74.01000000000001</v>
      </c>
      <c r="WP26" s="2">
        <v>74.75</v>
      </c>
      <c r="WQ26" s="2">
        <v>75.12</v>
      </c>
      <c r="WR26" s="2">
        <v>75.34</v>
      </c>
      <c r="WS26" s="2">
        <v>76.3</v>
      </c>
      <c r="WT26" s="2">
        <v>76.15000000000001</v>
      </c>
      <c r="WU26" s="2">
        <v>75.86</v>
      </c>
      <c r="WV26" s="2">
        <v>75.28</v>
      </c>
      <c r="WW26" s="2">
        <v>75.12</v>
      </c>
      <c r="WX26" s="2">
        <v>75.84</v>
      </c>
      <c r="WY26" s="2">
        <v>75.56999999999999</v>
      </c>
      <c r="WZ26" s="2">
        <v>73.91</v>
      </c>
      <c r="XA26" s="2">
        <v>74.43000000000001</v>
      </c>
      <c r="XB26" s="2">
        <v>75.06999999999999</v>
      </c>
      <c r="XC26" s="2">
        <v>74.45999999999999</v>
      </c>
      <c r="XD26" s="2">
        <v>72.02</v>
      </c>
      <c r="XE26" s="2">
        <v>72.43000000000001</v>
      </c>
      <c r="XF26" s="2">
        <v>74.3</v>
      </c>
      <c r="XG26" s="2">
        <v>74.48999999999999</v>
      </c>
      <c r="XH26" s="2">
        <v>74.34</v>
      </c>
      <c r="XI26" s="2">
        <v>76.43000000000001</v>
      </c>
      <c r="XJ26" s="2">
        <v>76.55</v>
      </c>
      <c r="XK26" s="2">
        <v>76.15000000000001</v>
      </c>
      <c r="XL26" s="2">
        <v>75.73999999999999</v>
      </c>
      <c r="XM26" s="2">
        <v>77.25</v>
      </c>
      <c r="XN26" s="2">
        <v>77.5</v>
      </c>
      <c r="XO26" s="2">
        <v>77.58</v>
      </c>
      <c r="XP26" s="2">
        <v>75.87</v>
      </c>
      <c r="XQ26" s="2">
        <v>77.20999999999999</v>
      </c>
      <c r="XR26" s="2">
        <v>78.77</v>
      </c>
      <c r="XS26" s="2">
        <v>79.12</v>
      </c>
      <c r="XT26" s="2">
        <v>78.61</v>
      </c>
      <c r="XU26" s="2">
        <v>79.77</v>
      </c>
      <c r="XV26" s="2">
        <v>80.36</v>
      </c>
      <c r="XW26" s="2">
        <v>81.12</v>
      </c>
      <c r="XX26" s="2">
        <v>80.38</v>
      </c>
      <c r="XY26" s="2">
        <v>84.84</v>
      </c>
      <c r="XZ26" s="2">
        <v>86.45</v>
      </c>
      <c r="YA26" s="2">
        <v>88.38</v>
      </c>
      <c r="YB26" s="2">
        <v>88.51000000000001</v>
      </c>
      <c r="YC26" s="2">
        <v>91.63</v>
      </c>
      <c r="YD26" s="2">
        <v>94.39</v>
      </c>
      <c r="YE26" s="2">
        <v>93.45999999999999</v>
      </c>
      <c r="YF26" s="2">
        <v>93.65000000000001</v>
      </c>
      <c r="YG26" s="2">
        <v>97.58</v>
      </c>
      <c r="YH26" s="2">
        <v>99.19</v>
      </c>
      <c r="YI26" s="2">
        <v>98.73999999999999</v>
      </c>
      <c r="YJ26" s="2">
        <v>97.76000000000001</v>
      </c>
      <c r="YK26" s="2">
        <v>101.08</v>
      </c>
      <c r="YL26" s="2">
        <v>102.76</v>
      </c>
      <c r="YM26" s="2">
        <v>101.52</v>
      </c>
      <c r="YN26" s="2">
        <v>99.19</v>
      </c>
      <c r="YO26" s="2">
        <v>101.06</v>
      </c>
      <c r="YP26" s="2">
        <v>103.15</v>
      </c>
      <c r="AEY26" s="2">
        <v>2.4</v>
      </c>
      <c r="AEZ26" s="2">
        <v>1.3</v>
      </c>
      <c r="AFA26" s="2">
        <v>3.2</v>
      </c>
      <c r="AFB26" s="2">
        <v>-0.3</v>
      </c>
      <c r="AFC26" s="2">
        <v>1.3</v>
      </c>
      <c r="AFD26" s="2">
        <v>1.8</v>
      </c>
      <c r="AFE26" s="2">
        <v>2.7</v>
      </c>
      <c r="AFF26" s="2">
        <v>0.1</v>
      </c>
      <c r="AFG26" s="2">
        <v>0.8</v>
      </c>
      <c r="AFH26" s="2">
        <v>2.8</v>
      </c>
      <c r="AFI26" s="2">
        <v>1.1</v>
      </c>
      <c r="AFJ26" s="2">
        <v>0.4</v>
      </c>
      <c r="AFK26" s="2">
        <v>-0.4</v>
      </c>
      <c r="AFL26" s="2">
        <v>0.3</v>
      </c>
      <c r="AFM26" s="2">
        <v>0</v>
      </c>
      <c r="AFN26" s="2">
        <v>0.3</v>
      </c>
      <c r="AFO26" s="2">
        <v>0.4</v>
      </c>
      <c r="AFP26" s="2">
        <v>0.5</v>
      </c>
      <c r="AFQ26" s="2">
        <v>0.3</v>
      </c>
      <c r="AFR26" s="2">
        <v>0.3</v>
      </c>
      <c r="AFS26" s="2">
        <v>-1.2</v>
      </c>
      <c r="AFT26" s="2">
        <v>0.1</v>
      </c>
      <c r="AFU26" s="2">
        <v>2</v>
      </c>
      <c r="AFV26" s="2">
        <v>2.4</v>
      </c>
      <c r="AFW26" s="2">
        <v>-0.1</v>
      </c>
      <c r="AFX26" s="2">
        <v>0.7</v>
      </c>
      <c r="AFY26" s="2">
        <v>0.5</v>
      </c>
      <c r="AFZ26" s="2">
        <v>1</v>
      </c>
      <c r="AGA26" s="2">
        <v>0.1</v>
      </c>
      <c r="AGB26" s="2">
        <v>0.6</v>
      </c>
      <c r="AGC26" s="2">
        <v>1.1</v>
      </c>
      <c r="AGD26" s="2">
        <v>0.3</v>
      </c>
      <c r="AGE26" s="2">
        <v>1.5</v>
      </c>
      <c r="AGF26" s="2">
        <v>0.9</v>
      </c>
      <c r="AGG26" s="2">
        <v>0.3</v>
      </c>
      <c r="AGH26" s="2">
        <v>1.9</v>
      </c>
      <c r="AGI26" s="2">
        <v>-0.8</v>
      </c>
      <c r="AGJ26" s="2">
        <v>0.6</v>
      </c>
      <c r="AGK26" s="2">
        <v>-0.5</v>
      </c>
      <c r="AGL26" s="2">
        <v>0</v>
      </c>
      <c r="AGM26" s="2">
        <v>0</v>
      </c>
      <c r="AGN26" s="2">
        <v>-0.5</v>
      </c>
      <c r="AGO26" s="2">
        <v>1.1</v>
      </c>
      <c r="AGP26" s="2">
        <v>-4.2</v>
      </c>
      <c r="AGQ26" s="2">
        <v>-2.3</v>
      </c>
      <c r="AGR26" s="2">
        <v>3.8</v>
      </c>
      <c r="AGS26" s="2">
        <v>2.3</v>
      </c>
      <c r="AGT26" s="2">
        <v>-1.7</v>
      </c>
      <c r="AGU26" s="2">
        <v>0.8</v>
      </c>
      <c r="AGV26" s="2">
        <v>-1.8</v>
      </c>
      <c r="AGW26" s="2">
        <v>1</v>
      </c>
      <c r="AGX26" s="2">
        <v>2.5</v>
      </c>
      <c r="AGY26" s="2">
        <v>0.9</v>
      </c>
      <c r="AGZ26" s="2">
        <v>0.6</v>
      </c>
      <c r="AHA26" s="2">
        <v>1</v>
      </c>
      <c r="AHB26" s="2">
        <v>-1.1</v>
      </c>
      <c r="AHC26" s="2">
        <v>0.2</v>
      </c>
      <c r="AHD26" s="2">
        <v>1.3</v>
      </c>
      <c r="AHE26" s="2">
        <v>1.3</v>
      </c>
      <c r="AHF26" s="2">
        <v>0.9</v>
      </c>
      <c r="AHG26" s="2">
        <v>0.9</v>
      </c>
      <c r="AHH26" s="2">
        <v>0.5</v>
      </c>
      <c r="AHI26" s="2">
        <v>1.3</v>
      </c>
      <c r="AHJ26" s="2">
        <v>0.2</v>
      </c>
      <c r="AHK26" s="2">
        <v>0.5</v>
      </c>
      <c r="AHL26" s="2">
        <v>2.3</v>
      </c>
      <c r="AHM26" s="2">
        <v>0.7</v>
      </c>
      <c r="AHN26" s="2">
        <v>3.2</v>
      </c>
      <c r="AHO26" s="2">
        <v>0.9</v>
      </c>
      <c r="AHP26" s="2">
        <v>1.2</v>
      </c>
      <c r="AHQ26" s="2">
        <v>2.6</v>
      </c>
      <c r="AHR26" s="2">
        <v>-0.7</v>
      </c>
      <c r="AHS26" s="2">
        <v>1.7</v>
      </c>
      <c r="AHT26" s="2">
        <v>2.4</v>
      </c>
      <c r="AHU26" s="2">
        <v>1.5</v>
      </c>
      <c r="AHV26" s="2">
        <v>0.2</v>
      </c>
      <c r="AHW26" s="2">
        <v>1.2</v>
      </c>
      <c r="AHX26" s="2">
        <v>2</v>
      </c>
      <c r="AHY26" s="2">
        <v>0.5</v>
      </c>
      <c r="AHZ26" s="2">
        <v>0.1</v>
      </c>
      <c r="AIA26" s="2">
        <v>-0.9</v>
      </c>
      <c r="AIB26" s="2">
        <v>3.5</v>
      </c>
      <c r="AIC26" s="2">
        <v>1.6</v>
      </c>
      <c r="AID26" s="2">
        <v>-1.7</v>
      </c>
      <c r="AIE26" s="2">
        <v>0.5</v>
      </c>
      <c r="AIF26" s="2">
        <v>3.7</v>
      </c>
      <c r="AIG26" s="2">
        <v>0.1</v>
      </c>
      <c r="AIH26" s="2">
        <v>-0.1</v>
      </c>
      <c r="AII26" s="2">
        <v>-0.9</v>
      </c>
      <c r="AIJ26" s="2">
        <v>2.5</v>
      </c>
      <c r="AIK26" s="2">
        <v>-0.1</v>
      </c>
      <c r="AIL26" s="2">
        <v>0</v>
      </c>
      <c r="AIM26" s="2">
        <v>0.2</v>
      </c>
      <c r="AIN26" s="2">
        <v>0.3</v>
      </c>
      <c r="AIO26" s="2">
        <v>1</v>
      </c>
      <c r="AIP26" s="2">
        <v>0.5</v>
      </c>
      <c r="AIQ26" s="2">
        <v>0.3</v>
      </c>
      <c r="AIR26" s="2">
        <v>1.3</v>
      </c>
      <c r="AIS26" s="2">
        <v>-0.2</v>
      </c>
      <c r="AIT26" s="2">
        <v>-0.4</v>
      </c>
      <c r="AIU26" s="2">
        <v>-0.8</v>
      </c>
      <c r="AIV26" s="2">
        <v>-0.2</v>
      </c>
      <c r="AIW26" s="2">
        <v>1</v>
      </c>
      <c r="AIX26" s="2">
        <v>-0.4</v>
      </c>
      <c r="AIY26" s="2">
        <v>-2.2</v>
      </c>
      <c r="AIZ26" s="2">
        <v>0.7</v>
      </c>
      <c r="AJA26" s="2">
        <v>0.9</v>
      </c>
      <c r="AJB26" s="2">
        <v>-0.8</v>
      </c>
      <c r="AJC26" s="2">
        <v>-3.3</v>
      </c>
      <c r="AJD26" s="2">
        <v>0.6</v>
      </c>
      <c r="AJE26" s="2">
        <v>2.6</v>
      </c>
      <c r="AJF26" s="2">
        <v>0.3</v>
      </c>
      <c r="AJG26" s="2">
        <v>-0.2</v>
      </c>
      <c r="AJH26" s="2">
        <v>2.8</v>
      </c>
      <c r="AJI26" s="2">
        <v>0.2</v>
      </c>
      <c r="AJJ26" s="2">
        <v>-0.5</v>
      </c>
      <c r="AJK26" s="2">
        <v>-0.5</v>
      </c>
      <c r="AJL26" s="2">
        <v>2</v>
      </c>
      <c r="AJM26" s="2">
        <v>0.3</v>
      </c>
      <c r="AJN26" s="2">
        <v>0.1</v>
      </c>
      <c r="AJO26" s="2">
        <v>-2.2</v>
      </c>
      <c r="AJP26" s="2">
        <v>1.8</v>
      </c>
      <c r="AJQ26" s="2">
        <v>2</v>
      </c>
      <c r="AJR26" s="2">
        <v>0.4</v>
      </c>
      <c r="AJS26" s="2">
        <v>-0.6</v>
      </c>
      <c r="AJT26" s="2">
        <v>1.5</v>
      </c>
      <c r="AJU26" s="2">
        <v>0.7</v>
      </c>
      <c r="AJV26" s="2">
        <v>0.9</v>
      </c>
      <c r="AJW26" s="2">
        <v>-0.9</v>
      </c>
      <c r="AJX26" s="2">
        <v>5.5</v>
      </c>
      <c r="AJY26" s="2">
        <v>1.9</v>
      </c>
      <c r="AJZ26" s="2">
        <v>2.2</v>
      </c>
      <c r="AKA26" s="2">
        <v>0.1</v>
      </c>
      <c r="AKB26" s="2">
        <v>3.5</v>
      </c>
      <c r="AKC26" s="2">
        <v>3</v>
      </c>
      <c r="AKD26" s="2">
        <v>-1</v>
      </c>
      <c r="AKE26" s="2">
        <v>0.2</v>
      </c>
      <c r="AKF26" s="2">
        <v>4.2</v>
      </c>
      <c r="AKG26" s="2">
        <v>1.6</v>
      </c>
      <c r="AKH26" s="2">
        <v>-0.5</v>
      </c>
      <c r="AKI26" s="2">
        <v>-1</v>
      </c>
      <c r="AKJ26" s="2">
        <v>3.4</v>
      </c>
      <c r="AKK26" s="2">
        <v>1.7</v>
      </c>
      <c r="AKL26" s="2">
        <v>-1.2</v>
      </c>
      <c r="AKM26" s="2">
        <v>-2.3</v>
      </c>
      <c r="AKN26" s="2">
        <v>1.9</v>
      </c>
      <c r="AKO26" s="2">
        <v>2.1</v>
      </c>
      <c r="AKP26" s="2">
        <v>0.93</v>
      </c>
      <c r="AKQ26" s="2">
        <v>0.95</v>
      </c>
      <c r="AKR26" s="2">
        <v>0.97</v>
      </c>
    </row>
    <row r="27">
      <c r="A27" t="inlineStr">
        <is>
          <t>Restaurant meals</t>
        </is>
      </c>
      <c r="B27" t="inlineStr">
        <is>
          <t>Meals out and take away foods</t>
        </is>
      </c>
      <c r="C27">
        <v>3</v>
      </c>
      <c r="D27">
        <v>3.95</v>
      </c>
      <c r="E27" s="3">
        <f>D27/7.140000000000001*0.07125904652498563</f>
        <v>0.03942202153693183</v>
      </c>
      <c r="F27" s="3">
        <f>E27-D27/100</f>
        <v>-7.797846306817346e-05</v>
      </c>
      <c r="G27" s="3">
        <f>D27/7.140000000000001</f>
        <v>0.5532212885154062</v>
      </c>
      <c r="CI27" s="2">
        <v>95.68000000000001</v>
      </c>
      <c r="CJ27" s="2">
        <v>96.04000000000001</v>
      </c>
      <c r="CK27" s="2">
        <v>96.20999999999999</v>
      </c>
      <c r="CL27" s="2">
        <v>96.64</v>
      </c>
      <c r="CM27" s="2">
        <v>96.76000000000001</v>
      </c>
      <c r="CN27" s="2">
        <v>96.84</v>
      </c>
      <c r="CO27" s="2">
        <v>97.11</v>
      </c>
      <c r="CP27" s="2">
        <v>97.47</v>
      </c>
      <c r="CQ27" s="2">
        <v>97.73999999999999</v>
      </c>
      <c r="CR27" s="2">
        <v>97.8</v>
      </c>
      <c r="CS27" s="2">
        <v>98.02</v>
      </c>
      <c r="CT27" s="2">
        <v>98.2</v>
      </c>
      <c r="CU27" s="2">
        <v>98.38</v>
      </c>
      <c r="CV27" s="2">
        <v>98.41</v>
      </c>
      <c r="CW27" s="2">
        <v>98.81</v>
      </c>
      <c r="CX27" s="2">
        <v>98.98</v>
      </c>
      <c r="CY27" s="2">
        <v>99.61</v>
      </c>
      <c r="CZ27" s="2">
        <v>100</v>
      </c>
      <c r="DA27" s="2">
        <v>100.28</v>
      </c>
      <c r="DB27" s="2">
        <v>100.52</v>
      </c>
      <c r="DC27" s="2">
        <v>101.17</v>
      </c>
      <c r="DD27" s="2">
        <v>101.49</v>
      </c>
      <c r="DE27" s="2">
        <v>101.54</v>
      </c>
      <c r="DF27" s="2">
        <v>101.71</v>
      </c>
      <c r="DG27" s="2">
        <v>101.86</v>
      </c>
      <c r="DH27" s="2">
        <v>102.23</v>
      </c>
      <c r="DI27" s="2">
        <v>102.47</v>
      </c>
      <c r="DJ27" s="2">
        <v>103.65</v>
      </c>
      <c r="GL27" s="2">
        <v>2.8</v>
      </c>
      <c r="GM27" s="2">
        <v>2.5</v>
      </c>
      <c r="GN27" s="2">
        <v>2.7</v>
      </c>
      <c r="GO27" s="2">
        <v>2.4</v>
      </c>
      <c r="GP27" s="2">
        <v>2.9</v>
      </c>
      <c r="GQ27" s="2">
        <v>3.3</v>
      </c>
      <c r="GR27" s="2">
        <v>3.3</v>
      </c>
      <c r="GS27" s="2">
        <v>3.1</v>
      </c>
      <c r="GT27" s="2">
        <v>3.5</v>
      </c>
      <c r="GU27" s="2">
        <v>3.8</v>
      </c>
      <c r="GV27" s="2">
        <v>3.6</v>
      </c>
      <c r="GW27" s="2">
        <v>3.6</v>
      </c>
      <c r="GX27" s="2">
        <v>3.5</v>
      </c>
      <c r="GY27" s="2">
        <v>3.9</v>
      </c>
      <c r="GZ27" s="2">
        <v>3.7</v>
      </c>
      <c r="HA27" s="2">
        <v>4.7</v>
      </c>
      <c r="KC27" s="2">
        <v>0.4</v>
      </c>
      <c r="KD27" s="2">
        <v>0.2</v>
      </c>
      <c r="KE27" s="2">
        <v>0.4</v>
      </c>
      <c r="KF27" s="2">
        <v>0.1</v>
      </c>
      <c r="KG27" s="2">
        <v>0.1</v>
      </c>
      <c r="KH27" s="2">
        <v>0.3</v>
      </c>
      <c r="KI27" s="2">
        <v>0.4</v>
      </c>
      <c r="KJ27" s="2">
        <v>0.3</v>
      </c>
      <c r="KK27" s="2">
        <v>0.1</v>
      </c>
      <c r="KL27" s="2">
        <v>0.2</v>
      </c>
      <c r="KM27" s="2">
        <v>0.2</v>
      </c>
      <c r="KN27" s="2">
        <v>0.2</v>
      </c>
      <c r="KO27" s="2">
        <v>0</v>
      </c>
      <c r="KP27" s="2">
        <v>0.4</v>
      </c>
      <c r="KQ27" s="2">
        <v>0.2</v>
      </c>
      <c r="KR27" s="2">
        <v>0.6</v>
      </c>
      <c r="KS27" s="2">
        <v>0.4</v>
      </c>
      <c r="KT27" s="2">
        <v>0.3</v>
      </c>
      <c r="KU27" s="2">
        <v>0.2</v>
      </c>
      <c r="KV27" s="2">
        <v>0.6</v>
      </c>
      <c r="KW27" s="2">
        <v>0.3</v>
      </c>
      <c r="KX27" s="2">
        <v>0</v>
      </c>
      <c r="KY27" s="2">
        <v>0.2</v>
      </c>
      <c r="KZ27" s="2">
        <v>0.1</v>
      </c>
      <c r="LA27" s="2">
        <v>0.4</v>
      </c>
      <c r="LB27" s="2">
        <v>0.2</v>
      </c>
      <c r="LC27" s="2">
        <v>1.2</v>
      </c>
      <c r="LD27" s="2">
        <v>3.84</v>
      </c>
      <c r="LE27" s="2">
        <v>3.85</v>
      </c>
      <c r="LF27" s="2">
        <v>3.85</v>
      </c>
      <c r="LG27" s="2">
        <v>3.86</v>
      </c>
      <c r="LH27" s="2">
        <v>3.87</v>
      </c>
      <c r="LI27" s="2">
        <v>3.87</v>
      </c>
      <c r="LJ27" s="2">
        <v>3.89</v>
      </c>
      <c r="LK27" s="2">
        <v>3.89</v>
      </c>
      <c r="LL27" s="2">
        <v>3.92</v>
      </c>
      <c r="LM27" s="2">
        <v>3.93</v>
      </c>
      <c r="LN27" s="2">
        <v>3.94</v>
      </c>
      <c r="LO27" s="2">
        <v>3.95</v>
      </c>
      <c r="LP27" s="2">
        <v>3.98</v>
      </c>
      <c r="LQ27" s="2">
        <v>3.99</v>
      </c>
      <c r="LR27" s="2">
        <v>3.99</v>
      </c>
      <c r="LS27" s="2">
        <v>4</v>
      </c>
      <c r="LT27" s="2">
        <v>4.01</v>
      </c>
      <c r="LU27" s="2">
        <v>4.02</v>
      </c>
      <c r="LV27" s="2">
        <v>4.03</v>
      </c>
      <c r="LW27" s="2">
        <v>4.08</v>
      </c>
      <c r="LX27" s="2">
        <v>0.01</v>
      </c>
      <c r="LY27" s="2">
        <v>0</v>
      </c>
      <c r="LZ27" s="2">
        <v>0.01</v>
      </c>
      <c r="MA27" s="2">
        <v>0.01</v>
      </c>
      <c r="MB27" s="2">
        <v>0</v>
      </c>
      <c r="MC27" s="2">
        <v>0.02</v>
      </c>
      <c r="MD27" s="2">
        <v>0</v>
      </c>
      <c r="ME27" s="2">
        <v>0.03</v>
      </c>
      <c r="MF27" s="2">
        <v>0.01</v>
      </c>
      <c r="MG27" s="2">
        <v>0.01</v>
      </c>
      <c r="MH27" s="2">
        <v>0.01</v>
      </c>
      <c r="MI27" s="2">
        <v>0.03</v>
      </c>
      <c r="MJ27" s="2">
        <v>0.01</v>
      </c>
      <c r="MK27" s="2">
        <v>0</v>
      </c>
      <c r="ML27" s="2">
        <v>0.01</v>
      </c>
      <c r="MM27" s="2">
        <v>0.01</v>
      </c>
      <c r="MN27" s="2">
        <v>0.01</v>
      </c>
      <c r="MO27" s="2">
        <v>0.01</v>
      </c>
      <c r="MP27" s="2">
        <v>0.05</v>
      </c>
      <c r="RO27" s="2">
        <v>16.32</v>
      </c>
      <c r="RP27" s="2">
        <v>16.72</v>
      </c>
      <c r="RQ27" s="2">
        <v>17.02</v>
      </c>
      <c r="RR27" s="2">
        <v>17.29</v>
      </c>
      <c r="RS27" s="2">
        <v>17.7</v>
      </c>
      <c r="RT27" s="2">
        <v>18.23</v>
      </c>
      <c r="RU27" s="2">
        <v>18.7</v>
      </c>
      <c r="RV27" s="2">
        <v>19.11</v>
      </c>
      <c r="RW27" s="2">
        <v>19.54</v>
      </c>
      <c r="RX27" s="2">
        <v>19.98</v>
      </c>
      <c r="RY27" s="2">
        <v>20.48</v>
      </c>
      <c r="RZ27" s="2">
        <v>20.78</v>
      </c>
      <c r="SA27" s="2">
        <v>21.12</v>
      </c>
      <c r="SB27" s="2">
        <v>21.52</v>
      </c>
      <c r="SC27" s="2">
        <v>22.03</v>
      </c>
      <c r="SD27" s="2">
        <v>22.53</v>
      </c>
      <c r="SE27" s="2">
        <v>22.73</v>
      </c>
      <c r="SF27" s="2">
        <v>23.1</v>
      </c>
      <c r="SG27" s="2">
        <v>23.54</v>
      </c>
      <c r="SH27" s="2">
        <v>24.24</v>
      </c>
      <c r="SI27" s="2">
        <v>24.88</v>
      </c>
      <c r="SJ27" s="2">
        <v>25.22</v>
      </c>
      <c r="SK27" s="2">
        <v>26.06</v>
      </c>
      <c r="SL27" s="2">
        <v>26.39</v>
      </c>
      <c r="SM27" s="2">
        <v>26.93</v>
      </c>
      <c r="SN27" s="2">
        <v>27.74</v>
      </c>
      <c r="SO27" s="2">
        <v>28.17</v>
      </c>
      <c r="SP27" s="2">
        <v>28.54</v>
      </c>
      <c r="SQ27" s="2">
        <v>29.04</v>
      </c>
      <c r="SR27" s="2">
        <v>29.45</v>
      </c>
      <c r="SS27" s="2">
        <v>29.72</v>
      </c>
      <c r="ST27" s="2">
        <v>30.29</v>
      </c>
      <c r="SU27" s="2">
        <v>30.72</v>
      </c>
      <c r="SV27" s="2">
        <v>31.26</v>
      </c>
      <c r="SW27" s="2">
        <v>31.46</v>
      </c>
      <c r="SX27" s="2">
        <v>32.03</v>
      </c>
      <c r="SY27" s="2">
        <v>32.87</v>
      </c>
      <c r="SZ27" s="2">
        <v>33.04</v>
      </c>
      <c r="TA27" s="2">
        <v>33.78</v>
      </c>
      <c r="TB27" s="2">
        <v>34.62</v>
      </c>
      <c r="TC27" s="2">
        <v>34.82</v>
      </c>
      <c r="TD27" s="2">
        <v>35.36</v>
      </c>
      <c r="TE27" s="2">
        <v>35.59</v>
      </c>
      <c r="TF27" s="2">
        <v>35.76</v>
      </c>
      <c r="TG27" s="2">
        <v>36.1</v>
      </c>
      <c r="TH27" s="2">
        <v>36.13</v>
      </c>
      <c r="TI27" s="2">
        <v>36.26</v>
      </c>
      <c r="TJ27" s="2">
        <v>36.53</v>
      </c>
      <c r="TK27" s="2">
        <v>36.9</v>
      </c>
      <c r="TL27" s="2">
        <v>36.73</v>
      </c>
      <c r="TM27" s="2">
        <v>36.87</v>
      </c>
      <c r="TN27" s="2">
        <v>37.17</v>
      </c>
      <c r="TO27" s="2">
        <v>37.17</v>
      </c>
      <c r="TP27" s="2">
        <v>37.2</v>
      </c>
      <c r="TQ27" s="2">
        <v>37.34</v>
      </c>
      <c r="TR27" s="2">
        <v>37.41</v>
      </c>
      <c r="TS27" s="2">
        <v>37.91</v>
      </c>
      <c r="TT27" s="2">
        <v>37.77</v>
      </c>
      <c r="TU27" s="2">
        <v>38.01</v>
      </c>
      <c r="TV27" s="2">
        <v>38.78</v>
      </c>
      <c r="TW27" s="2">
        <v>39.08</v>
      </c>
      <c r="TX27" s="2">
        <v>39.29</v>
      </c>
      <c r="TY27" s="2">
        <v>39.52</v>
      </c>
      <c r="TZ27" s="2">
        <v>39.79</v>
      </c>
      <c r="UA27" s="2">
        <v>39.99</v>
      </c>
      <c r="UB27" s="2">
        <v>40.53</v>
      </c>
      <c r="UC27" s="2">
        <v>40.43</v>
      </c>
      <c r="UD27" s="2">
        <v>40.56</v>
      </c>
      <c r="UE27" s="2">
        <v>40.83</v>
      </c>
      <c r="UF27" s="2">
        <v>41.13</v>
      </c>
      <c r="UG27" s="2">
        <v>41.33</v>
      </c>
      <c r="UH27" s="2">
        <v>41.84</v>
      </c>
      <c r="UI27" s="2">
        <v>41.85</v>
      </c>
      <c r="UJ27" s="2">
        <v>41.95</v>
      </c>
      <c r="UK27" s="2">
        <v>42.36</v>
      </c>
      <c r="UL27" s="2">
        <v>42.56</v>
      </c>
      <c r="UM27" s="2">
        <v>42.91</v>
      </c>
      <c r="UN27" s="2">
        <v>43.48</v>
      </c>
      <c r="UO27" s="2">
        <v>43.91</v>
      </c>
      <c r="UP27" s="2">
        <v>44.45</v>
      </c>
      <c r="UQ27" s="2">
        <v>48.45</v>
      </c>
      <c r="UR27" s="2">
        <v>48.79</v>
      </c>
      <c r="US27" s="2">
        <v>49.07</v>
      </c>
      <c r="UT27" s="2">
        <v>49.66</v>
      </c>
      <c r="UU27" s="2">
        <v>49.99</v>
      </c>
      <c r="UV27" s="2">
        <v>50.06</v>
      </c>
      <c r="UW27" s="2">
        <v>50.67</v>
      </c>
      <c r="UX27" s="2">
        <v>51.12</v>
      </c>
      <c r="UY27" s="2">
        <v>51.61</v>
      </c>
      <c r="UZ27" s="2">
        <v>52.11</v>
      </c>
      <c r="VA27" s="2">
        <v>52.29</v>
      </c>
      <c r="VB27" s="2">
        <v>52.87</v>
      </c>
      <c r="VC27" s="2">
        <v>53.09</v>
      </c>
      <c r="VD27" s="2">
        <v>53.71</v>
      </c>
      <c r="VE27" s="2">
        <v>54.43</v>
      </c>
      <c r="VF27" s="2">
        <v>54.8</v>
      </c>
      <c r="VG27" s="2">
        <v>55.15</v>
      </c>
      <c r="VH27" s="2">
        <v>55.77</v>
      </c>
      <c r="VI27" s="2">
        <v>56.19</v>
      </c>
      <c r="VJ27" s="2">
        <v>56.88</v>
      </c>
      <c r="VK27" s="2">
        <v>57.66</v>
      </c>
      <c r="VL27" s="2">
        <v>57.97</v>
      </c>
      <c r="VM27" s="2">
        <v>58.55</v>
      </c>
      <c r="VN27" s="2">
        <v>58.89</v>
      </c>
      <c r="VO27" s="2">
        <v>59.4</v>
      </c>
      <c r="VP27" s="2">
        <v>59.9</v>
      </c>
      <c r="VQ27" s="2">
        <v>60.43</v>
      </c>
      <c r="VR27" s="2">
        <v>60.81</v>
      </c>
      <c r="VS27" s="2">
        <v>61.58</v>
      </c>
      <c r="VT27" s="2">
        <v>62.19</v>
      </c>
      <c r="VU27" s="2">
        <v>62.81</v>
      </c>
      <c r="VV27" s="2">
        <v>63.57</v>
      </c>
      <c r="VW27" s="2">
        <v>64.36</v>
      </c>
      <c r="VX27" s="2">
        <v>64.91</v>
      </c>
      <c r="VY27" s="2">
        <v>65.67</v>
      </c>
      <c r="VZ27" s="2">
        <v>66.18000000000001</v>
      </c>
      <c r="WA27" s="2">
        <v>66.41</v>
      </c>
      <c r="WB27" s="2">
        <v>66.98999999999999</v>
      </c>
      <c r="WC27" s="2">
        <v>67.56</v>
      </c>
      <c r="WD27" s="2">
        <v>67.79000000000001</v>
      </c>
      <c r="WE27" s="2">
        <v>68.01000000000001</v>
      </c>
      <c r="WF27" s="2">
        <v>68.31999999999999</v>
      </c>
      <c r="WG27" s="2">
        <v>68.62</v>
      </c>
      <c r="WH27" s="2">
        <v>69.53</v>
      </c>
      <c r="WI27" s="2">
        <v>69.81</v>
      </c>
      <c r="WJ27" s="2">
        <v>70.38</v>
      </c>
      <c r="WK27" s="2">
        <v>70.72</v>
      </c>
      <c r="WL27" s="2">
        <v>70.97</v>
      </c>
      <c r="WM27" s="2">
        <v>71.18000000000001</v>
      </c>
      <c r="WN27" s="2">
        <v>71.43000000000001</v>
      </c>
      <c r="WO27" s="2">
        <v>71.66</v>
      </c>
      <c r="WP27" s="2">
        <v>71.79000000000001</v>
      </c>
      <c r="WQ27" s="2">
        <v>72.18000000000001</v>
      </c>
      <c r="WR27" s="2">
        <v>72.65000000000001</v>
      </c>
      <c r="WS27" s="2">
        <v>72.84999999999999</v>
      </c>
      <c r="WT27" s="2">
        <v>73.25</v>
      </c>
      <c r="WU27" s="2">
        <v>73.78</v>
      </c>
      <c r="WV27" s="2">
        <v>74.26000000000001</v>
      </c>
      <c r="WW27" s="2">
        <v>74.59999999999999</v>
      </c>
      <c r="WX27" s="2">
        <v>74.87</v>
      </c>
      <c r="WY27" s="2">
        <v>75.28</v>
      </c>
      <c r="WZ27" s="2">
        <v>75.31999999999999</v>
      </c>
      <c r="XA27" s="2">
        <v>75.76000000000001</v>
      </c>
      <c r="XB27" s="2">
        <v>75.89</v>
      </c>
      <c r="XC27" s="2">
        <v>76.33</v>
      </c>
      <c r="XD27" s="2">
        <v>77.17</v>
      </c>
      <c r="XE27" s="2">
        <v>77.45999999999999</v>
      </c>
      <c r="XF27" s="2">
        <v>77.98</v>
      </c>
      <c r="XG27" s="2">
        <v>78.31</v>
      </c>
      <c r="XH27" s="2">
        <v>78.52</v>
      </c>
      <c r="XI27" s="2">
        <v>78.87</v>
      </c>
      <c r="XJ27" s="2">
        <v>79.23</v>
      </c>
      <c r="XK27" s="2">
        <v>79.31999999999999</v>
      </c>
      <c r="XL27" s="2">
        <v>79.77</v>
      </c>
      <c r="XM27" s="2">
        <v>79.89</v>
      </c>
      <c r="XN27" s="2">
        <v>80.08</v>
      </c>
      <c r="XO27" s="2">
        <v>80.54000000000001</v>
      </c>
      <c r="XP27" s="2">
        <v>81.2</v>
      </c>
      <c r="XQ27" s="2">
        <v>81.83</v>
      </c>
      <c r="XR27" s="2">
        <v>81.84999999999999</v>
      </c>
      <c r="XS27" s="2">
        <v>81.59999999999999</v>
      </c>
      <c r="XT27" s="2">
        <v>82.62</v>
      </c>
      <c r="XU27" s="2">
        <v>83</v>
      </c>
      <c r="XV27" s="2">
        <v>82.54000000000001</v>
      </c>
      <c r="XW27" s="2">
        <v>83.84999999999999</v>
      </c>
      <c r="XX27" s="2">
        <v>84.88</v>
      </c>
      <c r="XY27" s="2">
        <v>85.37</v>
      </c>
      <c r="XZ27" s="2">
        <v>86.61</v>
      </c>
      <c r="YA27" s="2">
        <v>88.75</v>
      </c>
      <c r="YB27" s="2">
        <v>90.68000000000001</v>
      </c>
      <c r="YC27" s="2">
        <v>91.3</v>
      </c>
      <c r="YD27" s="2">
        <v>92.25</v>
      </c>
      <c r="YE27" s="2">
        <v>94.13</v>
      </c>
      <c r="YF27" s="2">
        <v>94.83</v>
      </c>
      <c r="YG27" s="2">
        <v>95.34999999999999</v>
      </c>
      <c r="YH27" s="2">
        <v>96.06999999999999</v>
      </c>
      <c r="YI27" s="2">
        <v>96.78</v>
      </c>
      <c r="YJ27" s="2">
        <v>97.42</v>
      </c>
      <c r="YK27" s="2">
        <v>97.95</v>
      </c>
      <c r="YL27" s="2">
        <v>98.33</v>
      </c>
      <c r="YM27" s="2">
        <v>99.53</v>
      </c>
      <c r="YN27" s="2">
        <v>100.66</v>
      </c>
      <c r="YO27" s="2">
        <v>101.58</v>
      </c>
      <c r="YP27" s="2">
        <v>102.19</v>
      </c>
      <c r="ADO27" s="2">
        <v>2.5</v>
      </c>
      <c r="ADP27" s="2">
        <v>1.8</v>
      </c>
      <c r="ADQ27" s="2">
        <v>1.6</v>
      </c>
      <c r="ADR27" s="2">
        <v>2.4</v>
      </c>
      <c r="ADS27" s="2">
        <v>3</v>
      </c>
      <c r="ADT27" s="2">
        <v>2.6</v>
      </c>
      <c r="ADU27" s="2">
        <v>2.2</v>
      </c>
      <c r="ADV27" s="2">
        <v>2.3</v>
      </c>
      <c r="ADW27" s="2">
        <v>2.3</v>
      </c>
      <c r="ADX27" s="2">
        <v>2.5</v>
      </c>
      <c r="ADY27" s="2">
        <v>1.5</v>
      </c>
      <c r="ADZ27" s="2">
        <v>1.6</v>
      </c>
      <c r="AEA27" s="2">
        <v>1.9</v>
      </c>
      <c r="AEB27" s="2">
        <v>2.4</v>
      </c>
      <c r="AEC27" s="2">
        <v>2.3</v>
      </c>
      <c r="AED27" s="2">
        <v>0.9</v>
      </c>
      <c r="AEE27" s="2">
        <v>1.6</v>
      </c>
      <c r="AEF27" s="2">
        <v>1.9</v>
      </c>
      <c r="AEG27" s="2">
        <v>3</v>
      </c>
      <c r="AEH27" s="2">
        <v>2.6</v>
      </c>
      <c r="AEI27" s="2">
        <v>1.4</v>
      </c>
      <c r="AEJ27" s="2">
        <v>3.3</v>
      </c>
      <c r="AEK27" s="2">
        <v>1.3</v>
      </c>
      <c r="AEL27" s="2">
        <v>2</v>
      </c>
      <c r="AEM27" s="2">
        <v>3</v>
      </c>
      <c r="AEN27" s="2">
        <v>1.6</v>
      </c>
      <c r="AEO27" s="2">
        <v>1.3</v>
      </c>
      <c r="AEP27" s="2">
        <v>1.8</v>
      </c>
      <c r="AEQ27" s="2">
        <v>1.4</v>
      </c>
      <c r="AER27" s="2">
        <v>0.9</v>
      </c>
      <c r="AES27" s="2">
        <v>1.9</v>
      </c>
      <c r="AET27" s="2">
        <v>1.4</v>
      </c>
      <c r="AEU27" s="2">
        <v>1.8</v>
      </c>
      <c r="AEV27" s="2">
        <v>0.6</v>
      </c>
      <c r="AEW27" s="2">
        <v>1.8</v>
      </c>
      <c r="AEX27" s="2">
        <v>2.6</v>
      </c>
      <c r="AEY27" s="2">
        <v>0.5</v>
      </c>
      <c r="AEZ27" s="2">
        <v>2.2</v>
      </c>
      <c r="AFA27" s="2">
        <v>2.5</v>
      </c>
      <c r="AFB27" s="2">
        <v>0.6</v>
      </c>
      <c r="AFC27" s="2">
        <v>1.6</v>
      </c>
      <c r="AFD27" s="2">
        <v>0.7</v>
      </c>
      <c r="AFE27" s="2">
        <v>0.5</v>
      </c>
      <c r="AFF27" s="2">
        <v>1</v>
      </c>
      <c r="AFG27" s="2">
        <v>0.1</v>
      </c>
      <c r="AFH27" s="2">
        <v>0.4</v>
      </c>
      <c r="AFI27" s="2">
        <v>0.7</v>
      </c>
      <c r="AFJ27" s="2">
        <v>1</v>
      </c>
      <c r="AFK27" s="2">
        <v>-0.5</v>
      </c>
      <c r="AFL27" s="2">
        <v>0.4</v>
      </c>
      <c r="AFM27" s="2">
        <v>0.8</v>
      </c>
      <c r="AFN27" s="2">
        <v>0</v>
      </c>
      <c r="AFO27" s="2">
        <v>0.1</v>
      </c>
      <c r="AFP27" s="2">
        <v>0.4</v>
      </c>
      <c r="AFQ27" s="2">
        <v>0.2</v>
      </c>
      <c r="AFR27" s="2">
        <v>1.3</v>
      </c>
      <c r="AFS27" s="2">
        <v>-0.4</v>
      </c>
      <c r="AFT27" s="2">
        <v>0.6</v>
      </c>
      <c r="AFU27" s="2">
        <v>2</v>
      </c>
      <c r="AFV27" s="2">
        <v>0.8</v>
      </c>
      <c r="AFW27" s="2">
        <v>0.5</v>
      </c>
      <c r="AFX27" s="2">
        <v>0.6</v>
      </c>
      <c r="AFY27" s="2">
        <v>0.7</v>
      </c>
      <c r="AFZ27" s="2">
        <v>0.5</v>
      </c>
      <c r="AGA27" s="2">
        <v>1.4</v>
      </c>
      <c r="AGB27" s="2">
        <v>-0.2</v>
      </c>
      <c r="AGC27" s="2">
        <v>0.3</v>
      </c>
      <c r="AGD27" s="2">
        <v>0.7</v>
      </c>
      <c r="AGE27" s="2">
        <v>0.7</v>
      </c>
      <c r="AGF27" s="2">
        <v>0.5</v>
      </c>
      <c r="AGG27" s="2">
        <v>1.2</v>
      </c>
      <c r="AGH27" s="2">
        <v>0</v>
      </c>
      <c r="AGI27" s="2">
        <v>0.2</v>
      </c>
      <c r="AGJ27" s="2">
        <v>1</v>
      </c>
      <c r="AGK27" s="2">
        <v>0.5</v>
      </c>
      <c r="AGL27" s="2">
        <v>0.8</v>
      </c>
      <c r="AGM27" s="2">
        <v>1.3</v>
      </c>
      <c r="AGN27" s="2">
        <v>1</v>
      </c>
      <c r="AGO27" s="2">
        <v>1.2</v>
      </c>
      <c r="AGP27" s="2">
        <v>9</v>
      </c>
      <c r="AGQ27" s="2">
        <v>0.7</v>
      </c>
      <c r="AGR27" s="2">
        <v>0.6</v>
      </c>
      <c r="AGS27" s="2">
        <v>1.2</v>
      </c>
      <c r="AGT27" s="2">
        <v>0.7</v>
      </c>
      <c r="AGU27" s="2">
        <v>0.1</v>
      </c>
      <c r="AGV27" s="2">
        <v>1.2</v>
      </c>
      <c r="AGW27" s="2">
        <v>0.9</v>
      </c>
      <c r="AGX27" s="2">
        <v>1</v>
      </c>
      <c r="AGY27" s="2">
        <v>1</v>
      </c>
      <c r="AGZ27" s="2">
        <v>0.3</v>
      </c>
      <c r="AHA27" s="2">
        <v>1.1</v>
      </c>
      <c r="AHB27" s="2">
        <v>0.4</v>
      </c>
      <c r="AHC27" s="2">
        <v>1.2</v>
      </c>
      <c r="AHD27" s="2">
        <v>1.3</v>
      </c>
      <c r="AHE27" s="2">
        <v>0.7</v>
      </c>
      <c r="AHF27" s="2">
        <v>0.6</v>
      </c>
      <c r="AHG27" s="2">
        <v>1.1</v>
      </c>
      <c r="AHH27" s="2">
        <v>0.8</v>
      </c>
      <c r="AHI27" s="2">
        <v>1.2</v>
      </c>
      <c r="AHJ27" s="2">
        <v>1.4</v>
      </c>
      <c r="AHK27" s="2">
        <v>0.5</v>
      </c>
      <c r="AHL27" s="2">
        <v>1</v>
      </c>
      <c r="AHM27" s="2">
        <v>0.6</v>
      </c>
      <c r="AHN27" s="2">
        <v>0.9</v>
      </c>
      <c r="AHO27" s="2">
        <v>0.8</v>
      </c>
      <c r="AHP27" s="2">
        <v>0.9</v>
      </c>
      <c r="AHQ27" s="2">
        <v>0.6</v>
      </c>
      <c r="AHR27" s="2">
        <v>1.3</v>
      </c>
      <c r="AHS27" s="2">
        <v>1</v>
      </c>
      <c r="AHT27" s="2">
        <v>1</v>
      </c>
      <c r="AHU27" s="2">
        <v>1.2</v>
      </c>
      <c r="AHV27" s="2">
        <v>1.2</v>
      </c>
      <c r="AHW27" s="2">
        <v>0.9</v>
      </c>
      <c r="AHX27" s="2">
        <v>1.2</v>
      </c>
      <c r="AHY27" s="2">
        <v>0.8</v>
      </c>
      <c r="AHZ27" s="2">
        <v>0.3</v>
      </c>
      <c r="AIA27" s="2">
        <v>0.9</v>
      </c>
      <c r="AIB27" s="2">
        <v>0.9</v>
      </c>
      <c r="AIC27" s="2">
        <v>0.3</v>
      </c>
      <c r="AID27" s="2">
        <v>0.3</v>
      </c>
      <c r="AIE27" s="2">
        <v>0.5</v>
      </c>
      <c r="AIF27" s="2">
        <v>0.4</v>
      </c>
      <c r="AIG27" s="2">
        <v>1.3</v>
      </c>
      <c r="AIH27" s="2">
        <v>0.4</v>
      </c>
      <c r="AII27" s="2">
        <v>0.8</v>
      </c>
      <c r="AIJ27" s="2">
        <v>0.5</v>
      </c>
      <c r="AIK27" s="2">
        <v>0.4</v>
      </c>
      <c r="AIL27" s="2">
        <v>0.3</v>
      </c>
      <c r="AIM27" s="2">
        <v>0.4</v>
      </c>
      <c r="AIN27" s="2">
        <v>0.3</v>
      </c>
      <c r="AIO27" s="2">
        <v>0.2</v>
      </c>
      <c r="AIP27" s="2">
        <v>0.5</v>
      </c>
      <c r="AIQ27" s="2">
        <v>0.7</v>
      </c>
      <c r="AIR27" s="2">
        <v>0.3</v>
      </c>
      <c r="AIS27" s="2">
        <v>0.5</v>
      </c>
      <c r="AIT27" s="2">
        <v>0.7</v>
      </c>
      <c r="AIU27" s="2">
        <v>0.7</v>
      </c>
      <c r="AIV27" s="2">
        <v>0.5</v>
      </c>
      <c r="AIW27" s="2">
        <v>0.4</v>
      </c>
      <c r="AIX27" s="2">
        <v>0.5</v>
      </c>
      <c r="AIY27" s="2">
        <v>0.1</v>
      </c>
      <c r="AIZ27" s="2">
        <v>0.6</v>
      </c>
      <c r="AJA27" s="2">
        <v>0.2</v>
      </c>
      <c r="AJB27" s="2">
        <v>0.6</v>
      </c>
      <c r="AJC27" s="2">
        <v>1.1</v>
      </c>
      <c r="AJD27" s="2">
        <v>0.4</v>
      </c>
      <c r="AJE27" s="2">
        <v>0.7</v>
      </c>
      <c r="AJF27" s="2">
        <v>0.4</v>
      </c>
      <c r="AJG27" s="2">
        <v>0.3</v>
      </c>
      <c r="AJH27" s="2">
        <v>0.4</v>
      </c>
      <c r="AJI27" s="2">
        <v>0.5</v>
      </c>
      <c r="AJJ27" s="2">
        <v>0.1</v>
      </c>
      <c r="AJK27" s="2">
        <v>0.6</v>
      </c>
      <c r="AJL27" s="2">
        <v>0.2</v>
      </c>
      <c r="AJM27" s="2">
        <v>0.2</v>
      </c>
      <c r="AJN27" s="2">
        <v>0.6</v>
      </c>
      <c r="AJO27" s="2">
        <v>0.8</v>
      </c>
      <c r="AJP27" s="2">
        <v>0.8</v>
      </c>
      <c r="AJQ27" s="2">
        <v>0</v>
      </c>
      <c r="AJR27" s="2">
        <v>-0.3</v>
      </c>
      <c r="AJS27" s="2">
        <v>1.3</v>
      </c>
      <c r="AJT27" s="2">
        <v>0.5</v>
      </c>
      <c r="AJU27" s="2">
        <v>-0.6</v>
      </c>
      <c r="AJV27" s="2">
        <v>1.6</v>
      </c>
      <c r="AJW27" s="2">
        <v>1.2</v>
      </c>
      <c r="AJX27" s="2">
        <v>0.6</v>
      </c>
      <c r="AJY27" s="2">
        <v>1.5</v>
      </c>
      <c r="AJZ27" s="2">
        <v>2.5</v>
      </c>
      <c r="AKA27" s="2">
        <v>2.2</v>
      </c>
      <c r="AKB27" s="2">
        <v>0.7</v>
      </c>
      <c r="AKC27" s="2">
        <v>1</v>
      </c>
      <c r="AKD27" s="2">
        <v>2</v>
      </c>
      <c r="AKE27" s="2">
        <v>0.7</v>
      </c>
      <c r="AKF27" s="2">
        <v>0.5</v>
      </c>
      <c r="AKG27" s="2">
        <v>0.8</v>
      </c>
      <c r="AKH27" s="2">
        <v>0.7</v>
      </c>
      <c r="AKI27" s="2">
        <v>0.7</v>
      </c>
      <c r="AKJ27" s="2">
        <v>0.5</v>
      </c>
      <c r="AKK27" s="2">
        <v>0.4</v>
      </c>
      <c r="AKL27" s="2">
        <v>1.2</v>
      </c>
      <c r="AKM27" s="2">
        <v>1.1</v>
      </c>
      <c r="AKN27" s="2">
        <v>0.9</v>
      </c>
      <c r="AKO27" s="2">
        <v>0.6</v>
      </c>
      <c r="AKP27" s="2">
        <v>3.96</v>
      </c>
      <c r="AKQ27" s="2">
        <v>4</v>
      </c>
      <c r="AKR27" s="2">
        <v>4.02</v>
      </c>
    </row>
    <row r="28">
      <c r="A28" t="inlineStr">
        <is>
          <t>Take away and fast foods</t>
        </is>
      </c>
      <c r="B28" t="inlineStr">
        <is>
          <t>Meals out and take away foods</t>
        </is>
      </c>
      <c r="C28">
        <v>3</v>
      </c>
      <c r="D28">
        <v>3.19</v>
      </c>
      <c r="E28" s="3">
        <f>D28/7.140000000000001*0.07125904652498563</f>
        <v>0.031837024988053804</v>
      </c>
      <c r="F28" s="3">
        <f>E28-D28/100</f>
        <v>-6.297501194619387e-05</v>
      </c>
      <c r="G28" s="3">
        <f>D28/7.140000000000001</f>
        <v>0.4467787114845938</v>
      </c>
      <c r="CI28" s="2">
        <v>94.89</v>
      </c>
      <c r="CJ28" s="2">
        <v>95.17</v>
      </c>
      <c r="CK28" s="2">
        <v>94.58</v>
      </c>
      <c r="CL28" s="2">
        <v>95.92</v>
      </c>
      <c r="CM28" s="2">
        <v>96.05</v>
      </c>
      <c r="CN28" s="2">
        <v>96.18000000000001</v>
      </c>
      <c r="CO28" s="2">
        <v>96.3</v>
      </c>
      <c r="CP28" s="2">
        <v>96.53</v>
      </c>
      <c r="CQ28" s="2">
        <v>96.73999999999999</v>
      </c>
      <c r="CR28" s="2">
        <v>96.88</v>
      </c>
      <c r="CS28" s="2">
        <v>97.17</v>
      </c>
      <c r="CT28" s="2">
        <v>97.42</v>
      </c>
      <c r="CU28" s="2">
        <v>97.84</v>
      </c>
      <c r="CV28" s="2">
        <v>98.26000000000001</v>
      </c>
      <c r="CW28" s="2">
        <v>98.59999999999999</v>
      </c>
      <c r="CX28" s="2">
        <v>99.2</v>
      </c>
      <c r="CY28" s="2">
        <v>99.76000000000001</v>
      </c>
      <c r="CZ28" s="2">
        <v>100</v>
      </c>
      <c r="DA28" s="2">
        <v>100.12</v>
      </c>
      <c r="DB28" s="2">
        <v>100.27</v>
      </c>
      <c r="DC28" s="2">
        <v>100.08</v>
      </c>
      <c r="DD28" s="2">
        <v>100.84</v>
      </c>
      <c r="DE28" s="2">
        <v>100.95</v>
      </c>
      <c r="DF28" s="2">
        <v>101.5</v>
      </c>
      <c r="DG28" s="2">
        <v>101.73</v>
      </c>
      <c r="DH28" s="2">
        <v>102.28</v>
      </c>
      <c r="DI28" s="2">
        <v>102.88</v>
      </c>
      <c r="DJ28" s="2">
        <v>103.41</v>
      </c>
      <c r="GL28" s="2">
        <v>3.1</v>
      </c>
      <c r="GM28" s="2">
        <v>3.2</v>
      </c>
      <c r="GN28" s="2">
        <v>4.3</v>
      </c>
      <c r="GO28" s="2">
        <v>3.4</v>
      </c>
      <c r="GP28" s="2">
        <v>3.9</v>
      </c>
      <c r="GQ28" s="2">
        <v>4</v>
      </c>
      <c r="GR28" s="2">
        <v>4</v>
      </c>
      <c r="GS28" s="2">
        <v>3.9</v>
      </c>
      <c r="GT28" s="2">
        <v>3.5</v>
      </c>
      <c r="GU28" s="2">
        <v>4.1</v>
      </c>
      <c r="GV28" s="2">
        <v>3.9</v>
      </c>
      <c r="GW28" s="2">
        <v>4.2</v>
      </c>
      <c r="GX28" s="2">
        <v>4</v>
      </c>
      <c r="GY28" s="2">
        <v>4.1</v>
      </c>
      <c r="GZ28" s="2">
        <v>4.3</v>
      </c>
      <c r="HA28" s="2">
        <v>4.2</v>
      </c>
      <c r="KC28" s="2">
        <v>0.3</v>
      </c>
      <c r="KD28" s="2">
        <v>-0.6</v>
      </c>
      <c r="KE28" s="2">
        <v>1.4</v>
      </c>
      <c r="KF28" s="2">
        <v>0.1</v>
      </c>
      <c r="KG28" s="2">
        <v>0.1</v>
      </c>
      <c r="KH28" s="2">
        <v>0.1</v>
      </c>
      <c r="KI28" s="2">
        <v>0.2</v>
      </c>
      <c r="KJ28" s="2">
        <v>0.2</v>
      </c>
      <c r="KK28" s="2">
        <v>0.1</v>
      </c>
      <c r="KL28" s="2">
        <v>0.3</v>
      </c>
      <c r="KM28" s="2">
        <v>0.3</v>
      </c>
      <c r="KN28" s="2">
        <v>0.4</v>
      </c>
      <c r="KO28" s="2">
        <v>0.4</v>
      </c>
      <c r="KP28" s="2">
        <v>0.3</v>
      </c>
      <c r="KQ28" s="2">
        <v>0.6</v>
      </c>
      <c r="KR28" s="2">
        <v>0.6</v>
      </c>
      <c r="KS28" s="2">
        <v>0.2</v>
      </c>
      <c r="KT28" s="2">
        <v>0.1</v>
      </c>
      <c r="KU28" s="2">
        <v>0.1</v>
      </c>
      <c r="KV28" s="2">
        <v>-0.2</v>
      </c>
      <c r="KW28" s="2">
        <v>0.8</v>
      </c>
      <c r="KX28" s="2">
        <v>0.1</v>
      </c>
      <c r="KY28" s="2">
        <v>0.5</v>
      </c>
      <c r="KZ28" s="2">
        <v>0.2</v>
      </c>
      <c r="LA28" s="2">
        <v>0.5</v>
      </c>
      <c r="LB28" s="2">
        <v>0.6</v>
      </c>
      <c r="LC28" s="2">
        <v>0.5</v>
      </c>
      <c r="LD28" s="2">
        <v>3.1</v>
      </c>
      <c r="LE28" s="2">
        <v>3.1</v>
      </c>
      <c r="LF28" s="2">
        <v>3.11</v>
      </c>
      <c r="LG28" s="2">
        <v>3.12</v>
      </c>
      <c r="LH28" s="2">
        <v>3.13</v>
      </c>
      <c r="LI28" s="2">
        <v>3.15</v>
      </c>
      <c r="LJ28" s="2">
        <v>3.16</v>
      </c>
      <c r="LK28" s="2">
        <v>3.18</v>
      </c>
      <c r="LL28" s="2">
        <v>3.2</v>
      </c>
      <c r="LM28" s="2">
        <v>3.2</v>
      </c>
      <c r="LN28" s="2">
        <v>3.21</v>
      </c>
      <c r="LO28" s="2">
        <v>3.21</v>
      </c>
      <c r="LP28" s="2">
        <v>3.21</v>
      </c>
      <c r="LQ28" s="2">
        <v>3.23</v>
      </c>
      <c r="LR28" s="2">
        <v>3.23</v>
      </c>
      <c r="LS28" s="2">
        <v>3.25</v>
      </c>
      <c r="LT28" s="2">
        <v>3.26</v>
      </c>
      <c r="LU28" s="2">
        <v>3.28</v>
      </c>
      <c r="LV28" s="2">
        <v>3.3</v>
      </c>
      <c r="LW28" s="2">
        <v>3.31</v>
      </c>
      <c r="LX28" s="2">
        <v>0</v>
      </c>
      <c r="LY28" s="2">
        <v>0.01</v>
      </c>
      <c r="LZ28" s="2">
        <v>0.01</v>
      </c>
      <c r="MA28" s="2">
        <v>0.01</v>
      </c>
      <c r="MB28" s="2">
        <v>0.02</v>
      </c>
      <c r="MC28" s="2">
        <v>0.01</v>
      </c>
      <c r="MD28" s="2">
        <v>0.02</v>
      </c>
      <c r="ME28" s="2">
        <v>0.02</v>
      </c>
      <c r="MF28" s="2">
        <v>0</v>
      </c>
      <c r="MG28" s="2">
        <v>0.01</v>
      </c>
      <c r="MH28" s="2">
        <v>0</v>
      </c>
      <c r="MI28" s="2">
        <v>0</v>
      </c>
      <c r="MJ28" s="2">
        <v>0.02</v>
      </c>
      <c r="MK28" s="2">
        <v>0</v>
      </c>
      <c r="ML28" s="2">
        <v>0.02</v>
      </c>
      <c r="MM28" s="2">
        <v>0.01</v>
      </c>
      <c r="MN28" s="2">
        <v>0.02</v>
      </c>
      <c r="MO28" s="2">
        <v>0.02</v>
      </c>
      <c r="MP28" s="2">
        <v>0.01</v>
      </c>
      <c r="RO28" s="2">
        <v>14.06</v>
      </c>
      <c r="RP28" s="2">
        <v>14.43</v>
      </c>
      <c r="RQ28" s="2">
        <v>14.87</v>
      </c>
      <c r="RR28" s="2">
        <v>15.18</v>
      </c>
      <c r="RS28" s="2">
        <v>15.49</v>
      </c>
      <c r="RT28" s="2">
        <v>15.87</v>
      </c>
      <c r="RU28" s="2">
        <v>16.43</v>
      </c>
      <c r="RV28" s="2">
        <v>16.89</v>
      </c>
      <c r="RW28" s="2">
        <v>17.36</v>
      </c>
      <c r="RX28" s="2">
        <v>17.8</v>
      </c>
      <c r="RY28" s="2">
        <v>18.17</v>
      </c>
      <c r="RZ28" s="2">
        <v>18.45</v>
      </c>
      <c r="SA28" s="2">
        <v>19.01</v>
      </c>
      <c r="SB28" s="2">
        <v>19.39</v>
      </c>
      <c r="SC28" s="2">
        <v>19.7</v>
      </c>
      <c r="SD28" s="2">
        <v>20.17</v>
      </c>
      <c r="SE28" s="2">
        <v>20.35</v>
      </c>
      <c r="SF28" s="2">
        <v>20.73</v>
      </c>
      <c r="SG28" s="2">
        <v>21.2</v>
      </c>
      <c r="SH28" s="2">
        <v>21.6</v>
      </c>
      <c r="SI28" s="2">
        <v>22.01</v>
      </c>
      <c r="SJ28" s="2">
        <v>22.69</v>
      </c>
      <c r="SK28" s="2">
        <v>23.13</v>
      </c>
      <c r="SL28" s="2">
        <v>23.66</v>
      </c>
      <c r="SM28" s="2">
        <v>24.03</v>
      </c>
      <c r="SN28" s="2">
        <v>24.44</v>
      </c>
      <c r="SO28" s="2">
        <v>24.97</v>
      </c>
      <c r="SP28" s="2">
        <v>25.43</v>
      </c>
      <c r="SQ28" s="2">
        <v>25.75</v>
      </c>
      <c r="SR28" s="2">
        <v>26.18</v>
      </c>
      <c r="SS28" s="2">
        <v>26.87</v>
      </c>
      <c r="ST28" s="2">
        <v>27.21</v>
      </c>
      <c r="SU28" s="2">
        <v>27.74</v>
      </c>
      <c r="SV28" s="2">
        <v>28.36</v>
      </c>
      <c r="SW28" s="2">
        <v>29.21</v>
      </c>
      <c r="SX28" s="2">
        <v>30.05</v>
      </c>
      <c r="SY28" s="2">
        <v>30.14</v>
      </c>
      <c r="SZ28" s="2">
        <v>30.83</v>
      </c>
      <c r="TA28" s="2">
        <v>31.54</v>
      </c>
      <c r="TB28" s="2">
        <v>32.17</v>
      </c>
      <c r="TC28" s="2">
        <v>32.54</v>
      </c>
      <c r="TD28" s="2">
        <v>33.29</v>
      </c>
      <c r="TE28" s="2">
        <v>33.73</v>
      </c>
      <c r="TF28" s="2">
        <v>34.38</v>
      </c>
      <c r="TG28" s="2">
        <v>34.75</v>
      </c>
      <c r="TH28" s="2">
        <v>35.41</v>
      </c>
      <c r="TI28" s="2">
        <v>35.47</v>
      </c>
      <c r="TJ28" s="2">
        <v>35.94</v>
      </c>
      <c r="TK28" s="2">
        <v>36.19</v>
      </c>
      <c r="TL28" s="2">
        <v>36.28</v>
      </c>
      <c r="TM28" s="2">
        <v>36.81</v>
      </c>
      <c r="TN28" s="2">
        <v>37</v>
      </c>
      <c r="TO28" s="2">
        <v>37.12</v>
      </c>
      <c r="TP28" s="2">
        <v>36.97</v>
      </c>
      <c r="TQ28" s="2">
        <v>36.5</v>
      </c>
      <c r="TR28" s="2">
        <v>35.72</v>
      </c>
      <c r="TS28" s="2">
        <v>35.75</v>
      </c>
      <c r="TT28" s="2">
        <v>35.56</v>
      </c>
      <c r="TU28" s="2">
        <v>35.75</v>
      </c>
      <c r="TV28" s="2">
        <v>36.25</v>
      </c>
      <c r="TW28" s="2">
        <v>36.13</v>
      </c>
      <c r="TX28" s="2">
        <v>36.16</v>
      </c>
      <c r="TY28" s="2">
        <v>36.22</v>
      </c>
      <c r="TZ28" s="2">
        <v>36.9</v>
      </c>
      <c r="UA28" s="2">
        <v>36.97</v>
      </c>
      <c r="UB28" s="2">
        <v>37</v>
      </c>
      <c r="UC28" s="2">
        <v>37.5</v>
      </c>
      <c r="UD28" s="2">
        <v>37.75</v>
      </c>
      <c r="UE28" s="2">
        <v>37.75</v>
      </c>
      <c r="UF28" s="2">
        <v>37.34</v>
      </c>
      <c r="UG28" s="2">
        <v>37.93</v>
      </c>
      <c r="UH28" s="2">
        <v>38.09</v>
      </c>
      <c r="UI28" s="2">
        <v>38.15</v>
      </c>
      <c r="UJ28" s="2">
        <v>38.26</v>
      </c>
      <c r="UK28" s="2">
        <v>38.83</v>
      </c>
      <c r="UL28" s="2">
        <v>39.08</v>
      </c>
      <c r="UM28" s="2">
        <v>39.46</v>
      </c>
      <c r="UN28" s="2">
        <v>39.97</v>
      </c>
      <c r="UO28" s="2">
        <v>40.1</v>
      </c>
      <c r="UP28" s="2">
        <v>40.32</v>
      </c>
      <c r="UQ28" s="2">
        <v>43.4</v>
      </c>
      <c r="UR28" s="2">
        <v>44.23</v>
      </c>
      <c r="US28" s="2">
        <v>44.53</v>
      </c>
      <c r="UT28" s="2">
        <v>45.09</v>
      </c>
      <c r="UU28" s="2">
        <v>45.38</v>
      </c>
      <c r="UV28" s="2">
        <v>45.98</v>
      </c>
      <c r="UW28" s="2">
        <v>46.28</v>
      </c>
      <c r="UX28" s="2">
        <v>46.45</v>
      </c>
      <c r="UY28" s="2">
        <v>46.82</v>
      </c>
      <c r="UZ28" s="2">
        <v>47.02</v>
      </c>
      <c r="VA28" s="2">
        <v>47.64</v>
      </c>
      <c r="VB28" s="2">
        <v>48.05</v>
      </c>
      <c r="VC28" s="2">
        <v>48.62</v>
      </c>
      <c r="VD28" s="2">
        <v>49.17</v>
      </c>
      <c r="VE28" s="2">
        <v>49.33</v>
      </c>
      <c r="VF28" s="2">
        <v>49.61</v>
      </c>
      <c r="VG28" s="2">
        <v>49.88</v>
      </c>
      <c r="VH28" s="2">
        <v>50.17</v>
      </c>
      <c r="VI28" s="2">
        <v>50.76</v>
      </c>
      <c r="VJ28" s="2">
        <v>51.02</v>
      </c>
      <c r="VK28" s="2">
        <v>51.39</v>
      </c>
      <c r="VL28" s="2">
        <v>52</v>
      </c>
      <c r="VM28" s="2">
        <v>52.33</v>
      </c>
      <c r="VN28" s="2">
        <v>52.76</v>
      </c>
      <c r="VO28" s="2">
        <v>53.24</v>
      </c>
      <c r="VP28" s="2">
        <v>53.55</v>
      </c>
      <c r="VQ28" s="2">
        <v>54.43</v>
      </c>
      <c r="VR28" s="2">
        <v>54.85</v>
      </c>
      <c r="VS28" s="2">
        <v>55.4</v>
      </c>
      <c r="VT28" s="2">
        <v>56.17</v>
      </c>
      <c r="VU28" s="2">
        <v>57.44</v>
      </c>
      <c r="VV28" s="2">
        <v>58.45</v>
      </c>
      <c r="VW28" s="2">
        <v>59.23</v>
      </c>
      <c r="VX28" s="2">
        <v>60.11</v>
      </c>
      <c r="VY28" s="2">
        <v>61.11</v>
      </c>
      <c r="VZ28" s="2">
        <v>61.73</v>
      </c>
      <c r="WA28" s="2">
        <v>62.24</v>
      </c>
      <c r="WB28" s="2">
        <v>62.35</v>
      </c>
      <c r="WC28" s="2">
        <v>62.83</v>
      </c>
      <c r="WD28" s="2">
        <v>63.12</v>
      </c>
      <c r="WE28" s="2">
        <v>63.43</v>
      </c>
      <c r="WF28" s="2">
        <v>64.14</v>
      </c>
      <c r="WG28" s="2">
        <v>64.66</v>
      </c>
      <c r="WH28" s="2">
        <v>65.16</v>
      </c>
      <c r="WI28" s="2">
        <v>65.79000000000001</v>
      </c>
      <c r="WJ28" s="2">
        <v>66.09999999999999</v>
      </c>
      <c r="WK28" s="2">
        <v>66.47</v>
      </c>
      <c r="WL28" s="2">
        <v>67.15000000000001</v>
      </c>
      <c r="WM28" s="2">
        <v>67.8</v>
      </c>
      <c r="WN28" s="2">
        <v>68.13</v>
      </c>
      <c r="WO28" s="2">
        <v>68.54000000000001</v>
      </c>
      <c r="WP28" s="2">
        <v>68.7</v>
      </c>
      <c r="WQ28" s="2">
        <v>69.08</v>
      </c>
      <c r="WR28" s="2">
        <v>69.48</v>
      </c>
      <c r="WS28" s="2">
        <v>69.87</v>
      </c>
      <c r="WT28" s="2">
        <v>70.34999999999999</v>
      </c>
      <c r="WU28" s="2">
        <v>70.45999999999999</v>
      </c>
      <c r="WV28" s="2">
        <v>70.94</v>
      </c>
      <c r="WW28" s="2">
        <v>71.38</v>
      </c>
      <c r="WX28" s="2">
        <v>71.53</v>
      </c>
      <c r="WY28" s="2">
        <v>71.95999999999999</v>
      </c>
      <c r="WZ28" s="2">
        <v>72.87</v>
      </c>
      <c r="XA28" s="2">
        <v>72.95999999999999</v>
      </c>
      <c r="XB28" s="2">
        <v>72.95999999999999</v>
      </c>
      <c r="XC28" s="2">
        <v>73.16</v>
      </c>
      <c r="XD28" s="2">
        <v>73.48999999999999</v>
      </c>
      <c r="XE28" s="2">
        <v>73.73999999999999</v>
      </c>
      <c r="XF28" s="2">
        <v>74.27</v>
      </c>
      <c r="XG28" s="2">
        <v>74.52</v>
      </c>
      <c r="XH28" s="2">
        <v>74.87</v>
      </c>
      <c r="XI28" s="2">
        <v>75.26000000000001</v>
      </c>
      <c r="XJ28" s="2">
        <v>75.86</v>
      </c>
      <c r="XK28" s="2">
        <v>76.43000000000001</v>
      </c>
      <c r="XL28" s="2">
        <v>76.91</v>
      </c>
      <c r="XM28" s="2">
        <v>77.64</v>
      </c>
      <c r="XN28" s="2">
        <v>77.37</v>
      </c>
      <c r="XO28" s="2">
        <v>77.87</v>
      </c>
      <c r="XP28" s="2">
        <v>78.78</v>
      </c>
      <c r="XQ28" s="2">
        <v>79.26000000000001</v>
      </c>
      <c r="XR28" s="2">
        <v>79.84</v>
      </c>
      <c r="XS28" s="2">
        <v>79.31</v>
      </c>
      <c r="XT28" s="2">
        <v>80.04000000000001</v>
      </c>
      <c r="XU28" s="2">
        <v>80.51000000000001</v>
      </c>
      <c r="XV28" s="2">
        <v>79.91</v>
      </c>
      <c r="XW28" s="2">
        <v>81</v>
      </c>
      <c r="XX28" s="2">
        <v>81.66</v>
      </c>
      <c r="XY28" s="2">
        <v>82.34</v>
      </c>
      <c r="XZ28" s="2">
        <v>83.55</v>
      </c>
      <c r="YA28" s="2">
        <v>86.3</v>
      </c>
      <c r="YB28" s="2">
        <v>88.03</v>
      </c>
      <c r="YC28" s="2">
        <v>88.79000000000001</v>
      </c>
      <c r="YD28" s="2">
        <v>91.20999999999999</v>
      </c>
      <c r="YE28" s="2">
        <v>93.17</v>
      </c>
      <c r="YF28" s="2">
        <v>94.23999999999999</v>
      </c>
      <c r="YG28" s="2">
        <v>94.68000000000001</v>
      </c>
      <c r="YH28" s="2">
        <v>95.14</v>
      </c>
      <c r="YI28" s="2">
        <v>95.98</v>
      </c>
      <c r="YJ28" s="2">
        <v>96.48</v>
      </c>
      <c r="YK28" s="2">
        <v>97.11</v>
      </c>
      <c r="YL28" s="2">
        <v>98.15000000000001</v>
      </c>
      <c r="YM28" s="2">
        <v>99.65000000000001</v>
      </c>
      <c r="YN28" s="2">
        <v>100.16</v>
      </c>
      <c r="YO28" s="2">
        <v>101.1</v>
      </c>
      <c r="YP28" s="2">
        <v>102.3</v>
      </c>
      <c r="ADO28" s="2">
        <v>2.6</v>
      </c>
      <c r="ADP28" s="2">
        <v>3</v>
      </c>
      <c r="ADQ28" s="2">
        <v>2.1</v>
      </c>
      <c r="ADR28" s="2">
        <v>2</v>
      </c>
      <c r="ADS28" s="2">
        <v>2.5</v>
      </c>
      <c r="ADT28" s="2">
        <v>3.5</v>
      </c>
      <c r="ADU28" s="2">
        <v>2.8</v>
      </c>
      <c r="ADV28" s="2">
        <v>2.8</v>
      </c>
      <c r="ADW28" s="2">
        <v>2.5</v>
      </c>
      <c r="ADX28" s="2">
        <v>2.1</v>
      </c>
      <c r="ADY28" s="2">
        <v>1.5</v>
      </c>
      <c r="ADZ28" s="2">
        <v>3</v>
      </c>
      <c r="AEA28" s="2">
        <v>2</v>
      </c>
      <c r="AEB28" s="2">
        <v>1.6</v>
      </c>
      <c r="AEC28" s="2">
        <v>2.4</v>
      </c>
      <c r="AED28" s="2">
        <v>0.9</v>
      </c>
      <c r="AEE28" s="2">
        <v>1.9</v>
      </c>
      <c r="AEF28" s="2">
        <v>2.3</v>
      </c>
      <c r="AEG28" s="2">
        <v>1.9</v>
      </c>
      <c r="AEH28" s="2">
        <v>1.9</v>
      </c>
      <c r="AEI28" s="2">
        <v>3.1</v>
      </c>
      <c r="AEJ28" s="2">
        <v>1.9</v>
      </c>
      <c r="AEK28" s="2">
        <v>2.3</v>
      </c>
      <c r="AEL28" s="2">
        <v>1.6</v>
      </c>
      <c r="AEM28" s="2">
        <v>1.7</v>
      </c>
      <c r="AEN28" s="2">
        <v>2.2</v>
      </c>
      <c r="AEO28" s="2">
        <v>1.8</v>
      </c>
      <c r="AEP28" s="2">
        <v>1.3</v>
      </c>
      <c r="AEQ28" s="2">
        <v>1.7</v>
      </c>
      <c r="AER28" s="2">
        <v>2.6</v>
      </c>
      <c r="AES28" s="2">
        <v>1.3</v>
      </c>
      <c r="AET28" s="2">
        <v>1.9</v>
      </c>
      <c r="AEU28" s="2">
        <v>2.2</v>
      </c>
      <c r="AEV28" s="2">
        <v>3</v>
      </c>
      <c r="AEW28" s="2">
        <v>2.9</v>
      </c>
      <c r="AEX28" s="2">
        <v>0.3</v>
      </c>
      <c r="AEY28" s="2">
        <v>2.3</v>
      </c>
      <c r="AEZ28" s="2">
        <v>2.3</v>
      </c>
      <c r="AFA28" s="2">
        <v>2</v>
      </c>
      <c r="AFB28" s="2">
        <v>1.2</v>
      </c>
      <c r="AFC28" s="2">
        <v>2.3</v>
      </c>
      <c r="AFD28" s="2">
        <v>1.3</v>
      </c>
      <c r="AFE28" s="2">
        <v>1.9</v>
      </c>
      <c r="AFF28" s="2">
        <v>1.1</v>
      </c>
      <c r="AFG28" s="2">
        <v>1.9</v>
      </c>
      <c r="AFH28" s="2">
        <v>0.2</v>
      </c>
      <c r="AFI28" s="2">
        <v>1.3</v>
      </c>
      <c r="AFJ28" s="2">
        <v>0.7</v>
      </c>
      <c r="AFK28" s="2">
        <v>0.2</v>
      </c>
      <c r="AFL28" s="2">
        <v>1.5</v>
      </c>
      <c r="AFM28" s="2">
        <v>0.5</v>
      </c>
      <c r="AFN28" s="2">
        <v>0.3</v>
      </c>
      <c r="AFO28" s="2">
        <v>-0.4</v>
      </c>
      <c r="AFP28" s="2">
        <v>-1.3</v>
      </c>
      <c r="AFQ28" s="2">
        <v>-2.1</v>
      </c>
      <c r="AFR28" s="2">
        <v>0.1</v>
      </c>
      <c r="AFS28" s="2">
        <v>-0.5</v>
      </c>
      <c r="AFT28" s="2">
        <v>0.5</v>
      </c>
      <c r="AFU28" s="2">
        <v>1.4</v>
      </c>
      <c r="AFV28" s="2">
        <v>-0.3</v>
      </c>
      <c r="AFW28" s="2">
        <v>0.1</v>
      </c>
      <c r="AFX28" s="2">
        <v>0.2</v>
      </c>
      <c r="AFY28" s="2">
        <v>1.9</v>
      </c>
      <c r="AFZ28" s="2">
        <v>0.2</v>
      </c>
      <c r="AGA28" s="2">
        <v>0.1</v>
      </c>
      <c r="AGB28" s="2">
        <v>1.4</v>
      </c>
      <c r="AGC28" s="2">
        <v>0.7</v>
      </c>
      <c r="AGD28" s="2">
        <v>0</v>
      </c>
      <c r="AGE28" s="2">
        <v>-1.1</v>
      </c>
      <c r="AGF28" s="2">
        <v>1.6</v>
      </c>
      <c r="AGG28" s="2">
        <v>0.4</v>
      </c>
      <c r="AGH28" s="2">
        <v>0.2</v>
      </c>
      <c r="AGI28" s="2">
        <v>0.3</v>
      </c>
      <c r="AGJ28" s="2">
        <v>1.5</v>
      </c>
      <c r="AGK28" s="2">
        <v>0.6</v>
      </c>
      <c r="AGL28" s="2">
        <v>1</v>
      </c>
      <c r="AGM28" s="2">
        <v>1.3</v>
      </c>
      <c r="AGN28" s="2">
        <v>0.3</v>
      </c>
      <c r="AGO28" s="2">
        <v>0.5</v>
      </c>
      <c r="AGP28" s="2">
        <v>7.6</v>
      </c>
      <c r="AGQ28" s="2">
        <v>1.9</v>
      </c>
      <c r="AGR28" s="2">
        <v>0.7</v>
      </c>
      <c r="AGS28" s="2">
        <v>1.3</v>
      </c>
      <c r="AGT28" s="2">
        <v>0.6</v>
      </c>
      <c r="AGU28" s="2">
        <v>1.3</v>
      </c>
      <c r="AGV28" s="2">
        <v>0.7</v>
      </c>
      <c r="AGW28" s="2">
        <v>0.4</v>
      </c>
      <c r="AGX28" s="2">
        <v>0.8</v>
      </c>
      <c r="AGY28" s="2">
        <v>0.4</v>
      </c>
      <c r="AGZ28" s="2">
        <v>1.3</v>
      </c>
      <c r="AHA28" s="2">
        <v>0.9</v>
      </c>
      <c r="AHB28" s="2">
        <v>1.2</v>
      </c>
      <c r="AHC28" s="2">
        <v>1.1</v>
      </c>
      <c r="AHD28" s="2">
        <v>0.3</v>
      </c>
      <c r="AHE28" s="2">
        <v>0.6</v>
      </c>
      <c r="AHF28" s="2">
        <v>0.5</v>
      </c>
      <c r="AHG28" s="2">
        <v>0.6</v>
      </c>
      <c r="AHH28" s="2">
        <v>1.2</v>
      </c>
      <c r="AHI28" s="2">
        <v>0.5</v>
      </c>
      <c r="AHJ28" s="2">
        <v>0.7</v>
      </c>
      <c r="AHK28" s="2">
        <v>1.2</v>
      </c>
      <c r="AHL28" s="2">
        <v>0.6</v>
      </c>
      <c r="AHM28" s="2">
        <v>0.8</v>
      </c>
      <c r="AHN28" s="2">
        <v>0.9</v>
      </c>
      <c r="AHO28" s="2">
        <v>0.6</v>
      </c>
      <c r="AHP28" s="2">
        <v>1.6</v>
      </c>
      <c r="AHQ28" s="2">
        <v>0.8</v>
      </c>
      <c r="AHR28" s="2">
        <v>1</v>
      </c>
      <c r="AHS28" s="2">
        <v>1.4</v>
      </c>
      <c r="AHT28" s="2">
        <v>2.3</v>
      </c>
      <c r="AHU28" s="2">
        <v>1.8</v>
      </c>
      <c r="AHV28" s="2">
        <v>1.3</v>
      </c>
      <c r="AHW28" s="2">
        <v>1.5</v>
      </c>
      <c r="AHX28" s="2">
        <v>1.7</v>
      </c>
      <c r="AHY28" s="2">
        <v>1</v>
      </c>
      <c r="AHZ28" s="2">
        <v>0.8</v>
      </c>
      <c r="AIA28" s="2">
        <v>0.2</v>
      </c>
      <c r="AIB28" s="2">
        <v>0.8</v>
      </c>
      <c r="AIC28" s="2">
        <v>0.5</v>
      </c>
      <c r="AID28" s="2">
        <v>0.5</v>
      </c>
      <c r="AIE28" s="2">
        <v>1.1</v>
      </c>
      <c r="AIF28" s="2">
        <v>0.8</v>
      </c>
      <c r="AIG28" s="2">
        <v>0.8</v>
      </c>
      <c r="AIH28" s="2">
        <v>1</v>
      </c>
      <c r="AII28" s="2">
        <v>0.5</v>
      </c>
      <c r="AIJ28" s="2">
        <v>0.6</v>
      </c>
      <c r="AIK28" s="2">
        <v>1</v>
      </c>
      <c r="AIL28" s="2">
        <v>1</v>
      </c>
      <c r="AIM28" s="2">
        <v>0.5</v>
      </c>
      <c r="AIN28" s="2">
        <v>0.6</v>
      </c>
      <c r="AIO28" s="2">
        <v>0.2</v>
      </c>
      <c r="AIP28" s="2">
        <v>0.6</v>
      </c>
      <c r="AIQ28" s="2">
        <v>0.6</v>
      </c>
      <c r="AIR28" s="2">
        <v>0.6</v>
      </c>
      <c r="AIS28" s="2">
        <v>0.7</v>
      </c>
      <c r="AIT28" s="2">
        <v>0.2</v>
      </c>
      <c r="AIU28" s="2">
        <v>0.7</v>
      </c>
      <c r="AIV28" s="2">
        <v>0.6</v>
      </c>
      <c r="AIW28" s="2">
        <v>0.2</v>
      </c>
      <c r="AIX28" s="2">
        <v>0.6</v>
      </c>
      <c r="AIY28" s="2">
        <v>1.3</v>
      </c>
      <c r="AIZ28" s="2">
        <v>0.1</v>
      </c>
      <c r="AJA28" s="2">
        <v>0</v>
      </c>
      <c r="AJB28" s="2">
        <v>0.3</v>
      </c>
      <c r="AJC28" s="2">
        <v>0.5</v>
      </c>
      <c r="AJD28" s="2">
        <v>0.3</v>
      </c>
      <c r="AJE28" s="2">
        <v>0.7</v>
      </c>
      <c r="AJF28" s="2">
        <v>0.3</v>
      </c>
      <c r="AJG28" s="2">
        <v>0.5</v>
      </c>
      <c r="AJH28" s="2">
        <v>0.5</v>
      </c>
      <c r="AJI28" s="2">
        <v>0.8</v>
      </c>
      <c r="AJJ28" s="2">
        <v>0.8</v>
      </c>
      <c r="AJK28" s="2">
        <v>0.6</v>
      </c>
      <c r="AJL28" s="2">
        <v>0.9</v>
      </c>
      <c r="AJM28" s="2">
        <v>-0.3</v>
      </c>
      <c r="AJN28" s="2">
        <v>0.6</v>
      </c>
      <c r="AJO28" s="2">
        <v>1.2</v>
      </c>
      <c r="AJP28" s="2">
        <v>0.6</v>
      </c>
      <c r="AJQ28" s="2">
        <v>0.7</v>
      </c>
      <c r="AJR28" s="2">
        <v>-0.7</v>
      </c>
      <c r="AJS28" s="2">
        <v>0.9</v>
      </c>
      <c r="AJT28" s="2">
        <v>0.6</v>
      </c>
      <c r="AJU28" s="2">
        <v>-0.7</v>
      </c>
      <c r="AJV28" s="2">
        <v>1.4</v>
      </c>
      <c r="AJW28" s="2">
        <v>0.8</v>
      </c>
      <c r="AJX28" s="2">
        <v>0.8</v>
      </c>
      <c r="AJY28" s="2">
        <v>1.5</v>
      </c>
      <c r="AJZ28" s="2">
        <v>3.3</v>
      </c>
      <c r="AKA28" s="2">
        <v>2</v>
      </c>
      <c r="AKB28" s="2">
        <v>0.9</v>
      </c>
      <c r="AKC28" s="2">
        <v>2.7</v>
      </c>
      <c r="AKD28" s="2">
        <v>2.1</v>
      </c>
      <c r="AKE28" s="2">
        <v>1.1</v>
      </c>
      <c r="AKF28" s="2">
        <v>0.5</v>
      </c>
      <c r="AKG28" s="2">
        <v>0.5</v>
      </c>
      <c r="AKH28" s="2">
        <v>0.9</v>
      </c>
      <c r="AKI28" s="2">
        <v>0.5</v>
      </c>
      <c r="AKJ28" s="2">
        <v>0.7</v>
      </c>
      <c r="AKK28" s="2">
        <v>1.1</v>
      </c>
      <c r="AKL28" s="2">
        <v>1.5</v>
      </c>
      <c r="AKM28" s="2">
        <v>0.5</v>
      </c>
      <c r="AKN28" s="2">
        <v>0.9</v>
      </c>
      <c r="AKO28" s="2">
        <v>1.2</v>
      </c>
      <c r="AKP28" s="2">
        <v>3.21</v>
      </c>
      <c r="AKQ28" s="2">
        <v>3.24</v>
      </c>
      <c r="AKR28" s="2">
        <v>3.28</v>
      </c>
    </row>
    <row r="29">
      <c r="A29" t="inlineStr">
        <is>
          <t>Spirits</t>
        </is>
      </c>
      <c r="B29" t="inlineStr">
        <is>
          <t>Alcoholic beverages</t>
        </is>
      </c>
      <c r="C29">
        <v>3</v>
      </c>
      <c r="D29">
        <v>0.92</v>
      </c>
      <c r="E29" s="3">
        <f>D29/4.64*0.046499999999999986</f>
        <v>0.009219827586206895</v>
      </c>
      <c r="F29" s="3">
        <f>E29-D29/100</f>
        <v>1.9827586206895564e-05</v>
      </c>
      <c r="G29" s="3">
        <f>D29/4.64</f>
        <v>0.19827586206896555</v>
      </c>
      <c r="H29" s="2">
        <v>76.51000000000001</v>
      </c>
      <c r="I29" s="2">
        <v>76.56</v>
      </c>
      <c r="J29" s="2">
        <v>76.95</v>
      </c>
      <c r="K29" s="2">
        <v>75.12</v>
      </c>
      <c r="L29" s="2">
        <v>77</v>
      </c>
      <c r="M29" s="2">
        <v>77.56999999999999</v>
      </c>
      <c r="N29" s="2">
        <v>77.45999999999999</v>
      </c>
      <c r="O29" s="2">
        <v>77.89</v>
      </c>
      <c r="P29" s="2">
        <v>77.94</v>
      </c>
      <c r="Q29" s="2">
        <v>78.18000000000001</v>
      </c>
      <c r="R29" s="2">
        <v>78.3</v>
      </c>
      <c r="S29" s="2">
        <v>78.29000000000001</v>
      </c>
      <c r="T29" s="2">
        <v>78.06</v>
      </c>
      <c r="U29" s="2">
        <v>78.75</v>
      </c>
      <c r="V29" s="2">
        <v>77.87</v>
      </c>
      <c r="W29" s="2">
        <v>77.76000000000001</v>
      </c>
      <c r="X29" s="2">
        <v>79.05</v>
      </c>
      <c r="Y29" s="2">
        <v>79.33</v>
      </c>
      <c r="Z29" s="2">
        <v>78.8</v>
      </c>
      <c r="AA29" s="2">
        <v>79.16</v>
      </c>
      <c r="AB29" s="2">
        <v>79.61</v>
      </c>
      <c r="AC29" s="2">
        <v>78.95999999999999</v>
      </c>
      <c r="AD29" s="2">
        <v>79.70999999999999</v>
      </c>
      <c r="AE29" s="2">
        <v>80.26000000000001</v>
      </c>
      <c r="AF29" s="2">
        <v>79.43000000000001</v>
      </c>
      <c r="AG29" s="2">
        <v>79.54000000000001</v>
      </c>
      <c r="AH29" s="2">
        <v>79.84</v>
      </c>
      <c r="AI29" s="2">
        <v>79.06</v>
      </c>
      <c r="AJ29" s="2">
        <v>80.95</v>
      </c>
      <c r="AK29" s="2">
        <v>81.13</v>
      </c>
      <c r="AL29" s="2">
        <v>81.5</v>
      </c>
      <c r="AM29" s="2">
        <v>81.11</v>
      </c>
      <c r="AN29" s="2">
        <v>82.01000000000001</v>
      </c>
      <c r="AO29" s="2">
        <v>80.28</v>
      </c>
      <c r="AP29" s="2">
        <v>81.3</v>
      </c>
      <c r="AQ29" s="2">
        <v>80.8</v>
      </c>
      <c r="AR29" s="2">
        <v>82.34999999999999</v>
      </c>
      <c r="AS29" s="2">
        <v>81.12</v>
      </c>
      <c r="AT29" s="2">
        <v>81.8</v>
      </c>
      <c r="AU29" s="2">
        <v>80.64</v>
      </c>
      <c r="AV29" s="2">
        <v>81.41</v>
      </c>
      <c r="AW29" s="2">
        <v>82.26000000000001</v>
      </c>
      <c r="AX29" s="2">
        <v>83.23</v>
      </c>
      <c r="AY29" s="2">
        <v>82.48</v>
      </c>
      <c r="AZ29" s="2">
        <v>82.81</v>
      </c>
      <c r="BA29" s="2">
        <v>82.65000000000001</v>
      </c>
      <c r="BB29" s="2">
        <v>82.23</v>
      </c>
      <c r="BC29" s="2">
        <v>83.01000000000001</v>
      </c>
      <c r="BD29" s="2">
        <v>82.38</v>
      </c>
      <c r="BE29" s="2">
        <v>83.31</v>
      </c>
      <c r="BF29" s="2">
        <v>83.08</v>
      </c>
      <c r="BG29" s="2">
        <v>82.93000000000001</v>
      </c>
      <c r="BH29" s="2">
        <v>82.93000000000001</v>
      </c>
      <c r="BI29" s="2">
        <v>84.43000000000001</v>
      </c>
      <c r="BJ29" s="2">
        <v>84.51000000000001</v>
      </c>
      <c r="BK29" s="2">
        <v>84.39</v>
      </c>
      <c r="BL29" s="2">
        <v>84.69</v>
      </c>
      <c r="BM29" s="2">
        <v>84.86</v>
      </c>
      <c r="BN29" s="2">
        <v>85.09</v>
      </c>
      <c r="BO29" s="2">
        <v>88.59999999999999</v>
      </c>
      <c r="BP29" s="2">
        <v>88.97</v>
      </c>
      <c r="BQ29" s="2">
        <v>89.03</v>
      </c>
      <c r="BR29" s="2">
        <v>89.93000000000001</v>
      </c>
      <c r="BS29" s="2">
        <v>89.09999999999999</v>
      </c>
      <c r="BT29" s="2">
        <v>89.64</v>
      </c>
      <c r="BU29" s="2">
        <v>93.03</v>
      </c>
      <c r="BV29" s="2">
        <v>93.92</v>
      </c>
      <c r="BW29" s="2">
        <v>93.67</v>
      </c>
      <c r="BX29" s="2">
        <v>93.62</v>
      </c>
      <c r="BY29" s="2">
        <v>93.48</v>
      </c>
      <c r="BZ29" s="2">
        <v>93.98</v>
      </c>
      <c r="CA29" s="2">
        <v>94.88</v>
      </c>
      <c r="CB29" s="2">
        <v>95.73</v>
      </c>
      <c r="CC29" s="2">
        <v>95.17</v>
      </c>
      <c r="CD29" s="2">
        <v>94.08</v>
      </c>
      <c r="CE29" s="2">
        <v>94.06999999999999</v>
      </c>
      <c r="CF29" s="2">
        <v>94.05</v>
      </c>
      <c r="CG29" s="2">
        <v>95.45999999999999</v>
      </c>
      <c r="CH29" s="2">
        <v>96.64</v>
      </c>
      <c r="CI29" s="2">
        <v>95.16</v>
      </c>
      <c r="CJ29" s="2">
        <v>97.01000000000001</v>
      </c>
      <c r="CK29" s="2">
        <v>95.56</v>
      </c>
      <c r="CL29" s="2">
        <v>96.31999999999999</v>
      </c>
      <c r="CM29" s="2">
        <v>96.3</v>
      </c>
      <c r="CN29" s="2">
        <v>96.98999999999999</v>
      </c>
      <c r="CO29" s="2">
        <v>97.26000000000001</v>
      </c>
      <c r="CP29" s="2">
        <v>98.18000000000001</v>
      </c>
      <c r="CQ29" s="2">
        <v>97.19</v>
      </c>
      <c r="CR29" s="2">
        <v>97.56</v>
      </c>
      <c r="CS29" s="2">
        <v>100.13</v>
      </c>
      <c r="CT29" s="2">
        <v>99.84999999999999</v>
      </c>
      <c r="CU29" s="2">
        <v>98.78</v>
      </c>
      <c r="CV29" s="2">
        <v>99.25</v>
      </c>
      <c r="CW29" s="2">
        <v>99.75</v>
      </c>
      <c r="CX29" s="2">
        <v>99.94</v>
      </c>
      <c r="CY29" s="2">
        <v>100.06</v>
      </c>
      <c r="CZ29" s="2">
        <v>100</v>
      </c>
      <c r="DA29" s="2">
        <v>99.64</v>
      </c>
      <c r="DB29" s="2">
        <v>99.90000000000001</v>
      </c>
      <c r="DC29" s="2">
        <v>99.01000000000001</v>
      </c>
      <c r="DD29" s="2">
        <v>100.81</v>
      </c>
      <c r="DE29" s="2">
        <v>101.05</v>
      </c>
      <c r="DF29" s="2">
        <v>101.95</v>
      </c>
      <c r="DG29" s="2">
        <v>100.82</v>
      </c>
      <c r="DH29" s="2">
        <v>102.19</v>
      </c>
      <c r="DI29" s="2">
        <v>101.86</v>
      </c>
      <c r="DJ29" s="2">
        <v>102.42</v>
      </c>
      <c r="DK29" s="2">
        <v>2</v>
      </c>
      <c r="DL29" s="2">
        <v>2.9</v>
      </c>
      <c r="DM29" s="2">
        <v>1.2</v>
      </c>
      <c r="DN29" s="2">
        <v>3.5</v>
      </c>
      <c r="DO29" s="2">
        <v>2.7</v>
      </c>
      <c r="DP29" s="2">
        <v>2.3</v>
      </c>
      <c r="DQ29" s="2">
        <v>1.7</v>
      </c>
      <c r="DR29" s="2">
        <v>1.6</v>
      </c>
      <c r="DS29" s="2">
        <v>2.1</v>
      </c>
      <c r="DT29" s="2">
        <v>1</v>
      </c>
      <c r="DU29" s="2">
        <v>1.8</v>
      </c>
      <c r="DV29" s="2">
        <v>2.5</v>
      </c>
      <c r="DW29" s="2">
        <v>1.8</v>
      </c>
      <c r="DX29" s="2">
        <v>1</v>
      </c>
      <c r="DY29" s="2">
        <v>2.5</v>
      </c>
      <c r="DZ29" s="2">
        <v>1.7</v>
      </c>
      <c r="EA29" s="2">
        <v>2.4</v>
      </c>
      <c r="EB29" s="2">
        <v>2.3</v>
      </c>
      <c r="EC29" s="2">
        <v>3.4</v>
      </c>
      <c r="ED29" s="2">
        <v>2.5</v>
      </c>
      <c r="EE29" s="2">
        <v>3</v>
      </c>
      <c r="EF29" s="2">
        <v>1.7</v>
      </c>
      <c r="EG29" s="2">
        <v>2</v>
      </c>
      <c r="EH29" s="2">
        <v>0.7</v>
      </c>
      <c r="EI29" s="2">
        <v>3.7</v>
      </c>
      <c r="EJ29" s="2">
        <v>2</v>
      </c>
      <c r="EK29" s="2">
        <v>2.5</v>
      </c>
      <c r="EL29" s="2">
        <v>2</v>
      </c>
      <c r="EM29" s="2">
        <v>0.6</v>
      </c>
      <c r="EN29" s="2">
        <v>1.4</v>
      </c>
      <c r="EO29" s="2">
        <v>2.1</v>
      </c>
      <c r="EP29" s="2">
        <v>1.7</v>
      </c>
      <c r="EQ29" s="2">
        <v>1</v>
      </c>
      <c r="ER29" s="2">
        <v>3</v>
      </c>
      <c r="ES29" s="2">
        <v>1.1</v>
      </c>
      <c r="ET29" s="2">
        <v>2.7</v>
      </c>
      <c r="EU29" s="2">
        <v>0</v>
      </c>
      <c r="EV29" s="2">
        <v>2.7</v>
      </c>
      <c r="EW29" s="2">
        <v>1.6</v>
      </c>
      <c r="EX29" s="2">
        <v>2.8</v>
      </c>
      <c r="EY29" s="2">
        <v>1.9</v>
      </c>
      <c r="EZ29" s="2">
        <v>2.6</v>
      </c>
      <c r="FA29" s="2">
        <v>1.5</v>
      </c>
      <c r="FB29" s="2">
        <v>2.3</v>
      </c>
      <c r="FC29" s="2">
        <v>2.3</v>
      </c>
      <c r="FD29" s="2">
        <v>2.7</v>
      </c>
      <c r="FE29" s="2">
        <v>3.5</v>
      </c>
      <c r="FF29" s="2">
        <v>6.7</v>
      </c>
      <c r="FG29" s="2">
        <v>8</v>
      </c>
      <c r="FH29" s="2">
        <v>6.9</v>
      </c>
      <c r="FI29" s="2">
        <v>8.199999999999999</v>
      </c>
      <c r="FJ29" s="2">
        <v>7.4</v>
      </c>
      <c r="FK29" s="2">
        <v>8.1</v>
      </c>
      <c r="FL29" s="2">
        <v>10.2</v>
      </c>
      <c r="FM29" s="2">
        <v>11.1</v>
      </c>
      <c r="FN29" s="2">
        <v>11</v>
      </c>
      <c r="FO29" s="2">
        <v>10.5</v>
      </c>
      <c r="FP29" s="2">
        <v>10.2</v>
      </c>
      <c r="FQ29" s="2">
        <v>10.4</v>
      </c>
      <c r="FR29" s="2">
        <v>7.1</v>
      </c>
      <c r="FS29" s="2">
        <v>7.6</v>
      </c>
      <c r="FT29" s="2">
        <v>6.9</v>
      </c>
      <c r="FU29" s="2">
        <v>4.6</v>
      </c>
      <c r="FV29" s="2">
        <v>5.6</v>
      </c>
      <c r="FW29" s="2">
        <v>4.9</v>
      </c>
      <c r="FX29" s="2">
        <v>2.6</v>
      </c>
      <c r="FY29" s="2">
        <v>2.9</v>
      </c>
      <c r="FZ29" s="2">
        <v>1.6</v>
      </c>
      <c r="GA29" s="2">
        <v>3.6</v>
      </c>
      <c r="GB29" s="2">
        <v>2.2</v>
      </c>
      <c r="GC29" s="2">
        <v>2.5</v>
      </c>
      <c r="GD29" s="2">
        <v>1.5</v>
      </c>
      <c r="GE29" s="2">
        <v>1.3</v>
      </c>
      <c r="GF29" s="2">
        <v>2.2</v>
      </c>
      <c r="GG29" s="2">
        <v>4.4</v>
      </c>
      <c r="GH29" s="2">
        <v>3.3</v>
      </c>
      <c r="GI29" s="2">
        <v>3.7</v>
      </c>
      <c r="GJ29" s="2">
        <v>4.9</v>
      </c>
      <c r="GK29" s="2">
        <v>3.3</v>
      </c>
      <c r="GL29" s="2">
        <v>3.8</v>
      </c>
      <c r="GM29" s="2">
        <v>2.3</v>
      </c>
      <c r="GN29" s="2">
        <v>4.4</v>
      </c>
      <c r="GO29" s="2">
        <v>3.8</v>
      </c>
      <c r="GP29" s="2">
        <v>3.9</v>
      </c>
      <c r="GQ29" s="2">
        <v>3.1</v>
      </c>
      <c r="GR29" s="2">
        <v>2.4</v>
      </c>
      <c r="GS29" s="2">
        <v>1.8</v>
      </c>
      <c r="GT29" s="2">
        <v>1.9</v>
      </c>
      <c r="GU29" s="2">
        <v>3.3</v>
      </c>
      <c r="GV29" s="2">
        <v>0.9</v>
      </c>
      <c r="GW29" s="2">
        <v>2.1</v>
      </c>
      <c r="GX29" s="2">
        <v>2.1</v>
      </c>
      <c r="GY29" s="2">
        <v>3</v>
      </c>
      <c r="GZ29" s="2">
        <v>2.1</v>
      </c>
      <c r="HA29" s="2">
        <v>2.5</v>
      </c>
      <c r="HB29" s="2">
        <v>0.1</v>
      </c>
      <c r="HC29" s="2">
        <v>0.5</v>
      </c>
      <c r="HD29" s="2">
        <v>-2.4</v>
      </c>
      <c r="HE29" s="2">
        <v>2.5</v>
      </c>
      <c r="HF29" s="2">
        <v>0.7</v>
      </c>
      <c r="HG29" s="2">
        <v>-0.1</v>
      </c>
      <c r="HH29" s="2">
        <v>0.6</v>
      </c>
      <c r="HI29" s="2">
        <v>0.1</v>
      </c>
      <c r="HJ29" s="2">
        <v>0.3</v>
      </c>
      <c r="HK29" s="2">
        <v>0.2</v>
      </c>
      <c r="HL29" s="2">
        <v>0</v>
      </c>
      <c r="HM29" s="2">
        <v>-0.3</v>
      </c>
      <c r="HN29" s="2">
        <v>0.9</v>
      </c>
      <c r="HO29" s="2">
        <v>-1.1</v>
      </c>
      <c r="HP29" s="2">
        <v>-0.1</v>
      </c>
      <c r="HQ29" s="2">
        <v>1.7</v>
      </c>
      <c r="HR29" s="2">
        <v>0.4</v>
      </c>
      <c r="HS29" s="2">
        <v>-0.7</v>
      </c>
      <c r="HT29" s="2">
        <v>0.5</v>
      </c>
      <c r="HU29" s="2">
        <v>0.6</v>
      </c>
      <c r="HV29" s="2">
        <v>-0.8</v>
      </c>
      <c r="HW29" s="2">
        <v>0.9</v>
      </c>
      <c r="HX29" s="2">
        <v>0.7</v>
      </c>
      <c r="HY29" s="2">
        <v>-1</v>
      </c>
      <c r="HZ29" s="2">
        <v>0.1</v>
      </c>
      <c r="IA29" s="2">
        <v>0.4</v>
      </c>
      <c r="IB29" s="2">
        <v>-1</v>
      </c>
      <c r="IC29" s="2">
        <v>2.4</v>
      </c>
      <c r="ID29" s="2">
        <v>0.2</v>
      </c>
      <c r="IE29" s="2">
        <v>0.5</v>
      </c>
      <c r="IF29" s="2">
        <v>-0.5</v>
      </c>
      <c r="IG29" s="2">
        <v>1.1</v>
      </c>
      <c r="IH29" s="2">
        <v>-2.1</v>
      </c>
      <c r="II29" s="2">
        <v>1.3</v>
      </c>
      <c r="IJ29" s="2">
        <v>-0.6</v>
      </c>
      <c r="IK29" s="2">
        <v>1.9</v>
      </c>
      <c r="IL29" s="2">
        <v>-1.5</v>
      </c>
      <c r="IM29" s="2">
        <v>0.8</v>
      </c>
      <c r="IN29" s="2">
        <v>-1.4</v>
      </c>
      <c r="IO29" s="2">
        <v>1</v>
      </c>
      <c r="IP29" s="2">
        <v>1</v>
      </c>
      <c r="IQ29" s="2">
        <v>1.2</v>
      </c>
      <c r="IR29" s="2">
        <v>-0.9</v>
      </c>
      <c r="IS29" s="2">
        <v>0.4</v>
      </c>
      <c r="IT29" s="2">
        <v>-0.2</v>
      </c>
      <c r="IU29" s="2">
        <v>-0.5</v>
      </c>
      <c r="IV29" s="2">
        <v>0.9</v>
      </c>
      <c r="IW29" s="2">
        <v>-0.8</v>
      </c>
      <c r="IX29" s="2">
        <v>1.1</v>
      </c>
      <c r="IY29" s="2">
        <v>-0.3</v>
      </c>
      <c r="IZ29" s="2">
        <v>-0.2</v>
      </c>
      <c r="JA29" s="2">
        <v>0</v>
      </c>
      <c r="JB29" s="2">
        <v>1.8</v>
      </c>
      <c r="JC29" s="2">
        <v>0.1</v>
      </c>
      <c r="JD29" s="2">
        <v>-0.1</v>
      </c>
      <c r="JE29" s="2">
        <v>0.4</v>
      </c>
      <c r="JF29" s="2">
        <v>0.2</v>
      </c>
      <c r="JG29" s="2">
        <v>0.3</v>
      </c>
      <c r="JH29" s="2">
        <v>4.1</v>
      </c>
      <c r="JI29" s="2">
        <v>0.4</v>
      </c>
      <c r="JJ29" s="2">
        <v>0.1</v>
      </c>
      <c r="JK29" s="2">
        <v>1</v>
      </c>
      <c r="JL29" s="2">
        <v>-0.9</v>
      </c>
      <c r="JM29" s="2">
        <v>0.6</v>
      </c>
      <c r="JN29" s="2">
        <v>3.8</v>
      </c>
      <c r="JO29" s="2">
        <v>1</v>
      </c>
      <c r="JP29" s="2">
        <v>-0.3</v>
      </c>
      <c r="JQ29" s="2">
        <v>-0.1</v>
      </c>
      <c r="JR29" s="2">
        <v>-0.1</v>
      </c>
      <c r="JS29" s="2">
        <v>0.5</v>
      </c>
      <c r="JT29" s="2">
        <v>1</v>
      </c>
      <c r="JU29" s="2">
        <v>0.9</v>
      </c>
      <c r="JV29" s="2">
        <v>-0.6</v>
      </c>
      <c r="JW29" s="2">
        <v>-1.1</v>
      </c>
      <c r="JX29" s="2">
        <v>0</v>
      </c>
      <c r="JY29" s="2">
        <v>0</v>
      </c>
      <c r="JZ29" s="2">
        <v>1.5</v>
      </c>
      <c r="KA29" s="2">
        <v>1.2</v>
      </c>
      <c r="KB29" s="2">
        <v>-1.5</v>
      </c>
      <c r="KC29" s="2">
        <v>1.9</v>
      </c>
      <c r="KD29" s="2">
        <v>-1.5</v>
      </c>
      <c r="KE29" s="2">
        <v>0.8</v>
      </c>
      <c r="KF29" s="2">
        <v>0</v>
      </c>
      <c r="KG29" s="2">
        <v>0.7</v>
      </c>
      <c r="KH29" s="2">
        <v>0.3</v>
      </c>
      <c r="KI29" s="2">
        <v>0.9</v>
      </c>
      <c r="KJ29" s="2">
        <v>-1</v>
      </c>
      <c r="KK29" s="2">
        <v>0.4</v>
      </c>
      <c r="KL29" s="2">
        <v>2.6</v>
      </c>
      <c r="KM29" s="2">
        <v>-0.3</v>
      </c>
      <c r="KN29" s="2">
        <v>-1.1</v>
      </c>
      <c r="KO29" s="2">
        <v>0.5</v>
      </c>
      <c r="KP29" s="2">
        <v>0.5</v>
      </c>
      <c r="KQ29" s="2">
        <v>0.2</v>
      </c>
      <c r="KR29" s="2">
        <v>0.1</v>
      </c>
      <c r="KS29" s="2">
        <v>-0.1</v>
      </c>
      <c r="KT29" s="2">
        <v>-0.4</v>
      </c>
      <c r="KU29" s="2">
        <v>0.3</v>
      </c>
      <c r="KV29" s="2">
        <v>-0.9</v>
      </c>
      <c r="KW29" s="2">
        <v>1.8</v>
      </c>
      <c r="KX29" s="2">
        <v>0.2</v>
      </c>
      <c r="KY29" s="2">
        <v>0.9</v>
      </c>
      <c r="KZ29" s="2">
        <v>-1.1</v>
      </c>
      <c r="LA29" s="2">
        <v>1.4</v>
      </c>
      <c r="LB29" s="2">
        <v>-0.3</v>
      </c>
      <c r="LC29" s="2">
        <v>0.5</v>
      </c>
      <c r="LD29" s="2">
        <v>0.9</v>
      </c>
      <c r="LE29" s="2">
        <v>0.9</v>
      </c>
      <c r="LF29" s="2">
        <v>0.93</v>
      </c>
      <c r="LG29" s="2">
        <v>0.92</v>
      </c>
      <c r="LH29" s="2">
        <v>0.91</v>
      </c>
      <c r="LI29" s="2">
        <v>0.92</v>
      </c>
      <c r="LJ29" s="2">
        <v>0.92</v>
      </c>
      <c r="LK29" s="2">
        <v>0.92</v>
      </c>
      <c r="LL29" s="2">
        <v>0.93</v>
      </c>
      <c r="LM29" s="2">
        <v>0.93</v>
      </c>
      <c r="LN29" s="2">
        <v>0.92</v>
      </c>
      <c r="LO29" s="2">
        <v>0.92</v>
      </c>
      <c r="LP29" s="2">
        <v>0.92</v>
      </c>
      <c r="LQ29" s="2">
        <v>0.93</v>
      </c>
      <c r="LR29" s="2">
        <v>0.93</v>
      </c>
      <c r="LS29" s="2">
        <v>0.9399999999999999</v>
      </c>
      <c r="LT29" s="2">
        <v>0.93</v>
      </c>
      <c r="LU29" s="2">
        <v>0.95</v>
      </c>
      <c r="LV29" s="2">
        <v>0.9399999999999999</v>
      </c>
      <c r="LW29" s="2">
        <v>0.95</v>
      </c>
      <c r="LX29" s="2">
        <v>0</v>
      </c>
      <c r="LY29" s="2">
        <v>0.03</v>
      </c>
      <c r="LZ29" s="2">
        <v>-0.01</v>
      </c>
      <c r="MA29" s="2">
        <v>-0.01</v>
      </c>
      <c r="MB29" s="2">
        <v>0.01</v>
      </c>
      <c r="MC29" s="2">
        <v>0</v>
      </c>
      <c r="MD29" s="2">
        <v>0</v>
      </c>
      <c r="ME29" s="2">
        <v>0.01</v>
      </c>
      <c r="MF29" s="2">
        <v>0</v>
      </c>
      <c r="MG29" s="2">
        <v>-0.01</v>
      </c>
      <c r="MH29" s="2">
        <v>0</v>
      </c>
      <c r="MI29" s="2">
        <v>0</v>
      </c>
      <c r="MJ29" s="2">
        <v>0.01</v>
      </c>
      <c r="MK29" s="2">
        <v>0</v>
      </c>
      <c r="ML29" s="2">
        <v>0.01</v>
      </c>
      <c r="MM29" s="2">
        <v>-0.01</v>
      </c>
      <c r="MN29" s="2">
        <v>0.02</v>
      </c>
      <c r="MO29" s="2">
        <v>-0.01</v>
      </c>
      <c r="MP29" s="2">
        <v>0.01</v>
      </c>
      <c r="RO29" s="2">
        <v>13.98</v>
      </c>
      <c r="RP29" s="2">
        <v>14.1</v>
      </c>
      <c r="RQ29" s="2">
        <v>14.22</v>
      </c>
      <c r="RR29" s="2">
        <v>14.3</v>
      </c>
      <c r="RS29" s="2">
        <v>14.69</v>
      </c>
      <c r="RT29" s="2">
        <v>15.02</v>
      </c>
      <c r="RU29" s="2">
        <v>15.59</v>
      </c>
      <c r="RV29" s="2">
        <v>15.77</v>
      </c>
      <c r="RW29" s="2">
        <v>16.09</v>
      </c>
      <c r="RX29" s="2">
        <v>16.51</v>
      </c>
      <c r="RY29" s="2">
        <v>16.75</v>
      </c>
      <c r="RZ29" s="2">
        <v>16.9</v>
      </c>
      <c r="SA29" s="2">
        <v>17.08</v>
      </c>
      <c r="SB29" s="2">
        <v>17.7</v>
      </c>
      <c r="SC29" s="2">
        <v>18</v>
      </c>
      <c r="SD29" s="2">
        <v>18.42</v>
      </c>
      <c r="SE29" s="2">
        <v>18.72</v>
      </c>
      <c r="SF29" s="2">
        <v>18.78</v>
      </c>
      <c r="SG29" s="2">
        <v>19.01</v>
      </c>
      <c r="SH29" s="2">
        <v>19.49</v>
      </c>
      <c r="SI29" s="2">
        <v>19.94</v>
      </c>
      <c r="SJ29" s="2">
        <v>20.59</v>
      </c>
      <c r="SK29" s="2">
        <v>21.1</v>
      </c>
      <c r="SL29" s="2">
        <v>21.61</v>
      </c>
      <c r="SM29" s="2">
        <v>22.08</v>
      </c>
      <c r="SN29" s="2">
        <v>22.71</v>
      </c>
      <c r="SO29" s="2">
        <v>23.22</v>
      </c>
      <c r="SP29" s="2">
        <v>23.93</v>
      </c>
      <c r="SQ29" s="2">
        <v>24.29</v>
      </c>
      <c r="SR29" s="2">
        <v>24.77</v>
      </c>
      <c r="SS29" s="2">
        <v>25.27</v>
      </c>
      <c r="ST29" s="2">
        <v>25.9</v>
      </c>
      <c r="SU29" s="2">
        <v>26.34</v>
      </c>
      <c r="SV29" s="2">
        <v>26.88</v>
      </c>
      <c r="SW29" s="2">
        <v>27.39</v>
      </c>
      <c r="SX29" s="2">
        <v>28.34</v>
      </c>
      <c r="SY29" s="2">
        <v>28.88</v>
      </c>
      <c r="SZ29" s="2">
        <v>29.41</v>
      </c>
      <c r="TA29" s="2">
        <v>29.98</v>
      </c>
      <c r="TB29" s="2">
        <v>30.9</v>
      </c>
      <c r="TC29" s="2">
        <v>31.65</v>
      </c>
      <c r="TD29" s="2">
        <v>32.72</v>
      </c>
      <c r="TE29" s="2">
        <v>33.2</v>
      </c>
      <c r="TF29" s="2">
        <v>34.24</v>
      </c>
      <c r="TG29" s="2">
        <v>34.6</v>
      </c>
      <c r="TH29" s="2">
        <v>35.05</v>
      </c>
      <c r="TI29" s="2">
        <v>34.96</v>
      </c>
      <c r="TJ29" s="2">
        <v>35.2</v>
      </c>
      <c r="TK29" s="2">
        <v>34.96</v>
      </c>
      <c r="TL29" s="2">
        <v>35.58</v>
      </c>
      <c r="TM29" s="2">
        <v>35.67</v>
      </c>
      <c r="TN29" s="2">
        <v>35.94</v>
      </c>
      <c r="TO29" s="2">
        <v>36.24</v>
      </c>
      <c r="TP29" s="2">
        <v>36.48</v>
      </c>
      <c r="TQ29" s="2">
        <v>36.42</v>
      </c>
      <c r="TR29" s="2">
        <v>36.75</v>
      </c>
      <c r="TS29" s="2">
        <v>37.31</v>
      </c>
      <c r="TT29" s="2">
        <v>37.67</v>
      </c>
      <c r="TU29" s="2">
        <v>37.88</v>
      </c>
      <c r="TV29" s="2">
        <v>37.91</v>
      </c>
      <c r="TW29" s="2">
        <v>38.24</v>
      </c>
      <c r="TX29" s="2">
        <v>38.41</v>
      </c>
      <c r="TY29" s="2">
        <v>38.8</v>
      </c>
      <c r="TZ29" s="2">
        <v>39.46</v>
      </c>
      <c r="UA29" s="2">
        <v>39.85</v>
      </c>
      <c r="UB29" s="2">
        <v>39.85</v>
      </c>
      <c r="UC29" s="2">
        <v>40.26</v>
      </c>
      <c r="UD29" s="2">
        <v>40.56</v>
      </c>
      <c r="UE29" s="2">
        <v>39.82</v>
      </c>
      <c r="UF29" s="2">
        <v>39.93</v>
      </c>
      <c r="UG29" s="2">
        <v>40.08</v>
      </c>
      <c r="UH29" s="2">
        <v>40.14</v>
      </c>
      <c r="UI29" s="2">
        <v>40.44</v>
      </c>
      <c r="UJ29" s="2">
        <v>40.59</v>
      </c>
      <c r="UK29" s="2">
        <v>40.84</v>
      </c>
      <c r="UL29" s="2">
        <v>40.98</v>
      </c>
      <c r="UM29" s="2">
        <v>41.02</v>
      </c>
      <c r="UN29" s="2">
        <v>41.13</v>
      </c>
      <c r="UO29" s="2">
        <v>41.37</v>
      </c>
      <c r="UP29" s="2">
        <v>41.62</v>
      </c>
      <c r="UQ29" s="2">
        <v>43.34</v>
      </c>
      <c r="UR29" s="2">
        <v>43.37</v>
      </c>
      <c r="US29" s="2">
        <v>44.24</v>
      </c>
      <c r="UT29" s="2">
        <v>44.61</v>
      </c>
      <c r="UU29" s="2">
        <v>44.98</v>
      </c>
      <c r="UV29" s="2">
        <v>44.97</v>
      </c>
      <c r="UW29" s="2">
        <v>45.41</v>
      </c>
      <c r="UX29" s="2">
        <v>45.55</v>
      </c>
      <c r="UY29" s="2">
        <v>45.78</v>
      </c>
      <c r="UZ29" s="2">
        <v>45.84</v>
      </c>
      <c r="VA29" s="2">
        <v>46.36</v>
      </c>
      <c r="VB29" s="2">
        <v>46.85</v>
      </c>
      <c r="VC29" s="2">
        <v>47.31</v>
      </c>
      <c r="VD29" s="2">
        <v>47.2</v>
      </c>
      <c r="VE29" s="2">
        <v>47.75</v>
      </c>
      <c r="VF29" s="2">
        <v>48.1</v>
      </c>
      <c r="VG29" s="2">
        <v>48.51</v>
      </c>
      <c r="VH29" s="2">
        <v>48.89</v>
      </c>
      <c r="VI29" s="2">
        <v>48.91</v>
      </c>
      <c r="VJ29" s="2">
        <v>49.16</v>
      </c>
      <c r="VK29" s="2">
        <v>49.38</v>
      </c>
      <c r="VL29" s="2">
        <v>49.89</v>
      </c>
      <c r="VM29" s="2">
        <v>50.63</v>
      </c>
      <c r="VN29" s="2">
        <v>51.04</v>
      </c>
      <c r="VO29" s="2">
        <v>51.5</v>
      </c>
      <c r="VP29" s="2">
        <v>52.28</v>
      </c>
      <c r="VQ29" s="2">
        <v>52.83</v>
      </c>
      <c r="VR29" s="2">
        <v>53.34</v>
      </c>
      <c r="VS29" s="2">
        <v>53.91</v>
      </c>
      <c r="VT29" s="2">
        <v>54.31</v>
      </c>
      <c r="VU29" s="2">
        <v>54.91</v>
      </c>
      <c r="VV29" s="2">
        <v>58.27</v>
      </c>
      <c r="VW29" s="2">
        <v>61.03</v>
      </c>
      <c r="VX29" s="2">
        <v>61.87</v>
      </c>
      <c r="VY29" s="2">
        <v>63.04</v>
      </c>
      <c r="VZ29" s="2">
        <v>63.51</v>
      </c>
      <c r="WA29" s="2">
        <v>64.36</v>
      </c>
      <c r="WB29" s="2">
        <v>64.89</v>
      </c>
      <c r="WC29" s="2">
        <v>65.31999999999999</v>
      </c>
      <c r="WD29" s="2">
        <v>65.16</v>
      </c>
      <c r="WE29" s="2">
        <v>65.64</v>
      </c>
      <c r="WF29" s="2">
        <v>66.28</v>
      </c>
      <c r="WG29" s="2">
        <v>67.02</v>
      </c>
      <c r="WH29" s="2">
        <v>67.25</v>
      </c>
      <c r="WI29" s="2">
        <v>67.02</v>
      </c>
      <c r="WJ29" s="2">
        <v>67.8</v>
      </c>
      <c r="WK29" s="2">
        <v>68.48</v>
      </c>
      <c r="WL29" s="2">
        <v>68.89</v>
      </c>
      <c r="WM29" s="2">
        <v>69.69</v>
      </c>
      <c r="WN29" s="2">
        <v>69.61</v>
      </c>
      <c r="WO29" s="2">
        <v>70.2</v>
      </c>
      <c r="WP29" s="2">
        <v>70.59</v>
      </c>
      <c r="WQ29" s="2">
        <v>71.54000000000001</v>
      </c>
      <c r="WR29" s="2">
        <v>72.56999999999999</v>
      </c>
      <c r="WS29" s="2">
        <v>73.2</v>
      </c>
      <c r="WT29" s="2">
        <v>73.06</v>
      </c>
      <c r="WU29" s="2">
        <v>73.44</v>
      </c>
      <c r="WV29" s="2">
        <v>72.86</v>
      </c>
      <c r="WW29" s="2">
        <v>73.64</v>
      </c>
      <c r="WX29" s="2">
        <v>73.78</v>
      </c>
      <c r="WY29" s="2">
        <v>74.01000000000001</v>
      </c>
      <c r="WZ29" s="2">
        <v>74.2</v>
      </c>
      <c r="XA29" s="2">
        <v>74.88</v>
      </c>
      <c r="XB29" s="2">
        <v>75.34</v>
      </c>
      <c r="XC29" s="2">
        <v>75.34999999999999</v>
      </c>
      <c r="XD29" s="2">
        <v>74.48</v>
      </c>
      <c r="XE29" s="2">
        <v>75.40000000000001</v>
      </c>
      <c r="XF29" s="2">
        <v>76.04000000000001</v>
      </c>
      <c r="XG29" s="2">
        <v>76.19</v>
      </c>
      <c r="XH29" s="2">
        <v>76.13</v>
      </c>
      <c r="XI29" s="2">
        <v>77.25</v>
      </c>
      <c r="XJ29" s="2">
        <v>77.91</v>
      </c>
      <c r="XK29" s="2">
        <v>78.13</v>
      </c>
      <c r="XL29" s="2">
        <v>78.04000000000001</v>
      </c>
      <c r="XM29" s="2">
        <v>78.97</v>
      </c>
      <c r="XN29" s="2">
        <v>79.15000000000001</v>
      </c>
      <c r="XO29" s="2">
        <v>79.7</v>
      </c>
      <c r="XP29" s="2">
        <v>79.39</v>
      </c>
      <c r="XQ29" s="2">
        <v>81.12</v>
      </c>
      <c r="XR29" s="2">
        <v>81.09999999999999</v>
      </c>
      <c r="XS29" s="2">
        <v>81.45</v>
      </c>
      <c r="XT29" s="2">
        <v>81.16</v>
      </c>
      <c r="XU29" s="2">
        <v>82.27</v>
      </c>
      <c r="XV29" s="2">
        <v>82.62</v>
      </c>
      <c r="XW29" s="2">
        <v>82.51000000000001</v>
      </c>
      <c r="XX29" s="2">
        <v>83.08</v>
      </c>
      <c r="XY29" s="2">
        <v>83.93000000000001</v>
      </c>
      <c r="XZ29" s="2">
        <v>84.62</v>
      </c>
      <c r="YA29" s="2">
        <v>87.52</v>
      </c>
      <c r="YB29" s="2">
        <v>89.31999999999999</v>
      </c>
      <c r="YC29" s="2">
        <v>92.16</v>
      </c>
      <c r="YD29" s="2">
        <v>93.56</v>
      </c>
      <c r="YE29" s="2">
        <v>94.83</v>
      </c>
      <c r="YF29" s="2">
        <v>94.41</v>
      </c>
      <c r="YG29" s="2">
        <v>95.34999999999999</v>
      </c>
      <c r="YH29" s="2">
        <v>95.88</v>
      </c>
      <c r="YI29" s="2">
        <v>96.53</v>
      </c>
      <c r="YJ29" s="2">
        <v>97.53</v>
      </c>
      <c r="YK29" s="2">
        <v>99.17</v>
      </c>
      <c r="YL29" s="2">
        <v>99.23</v>
      </c>
      <c r="YM29" s="2">
        <v>100</v>
      </c>
      <c r="YN29" s="2">
        <v>99.52</v>
      </c>
      <c r="YO29" s="2">
        <v>101.27</v>
      </c>
      <c r="YP29" s="2">
        <v>101.62</v>
      </c>
      <c r="ADO29" s="2">
        <v>0.9</v>
      </c>
      <c r="ADP29" s="2">
        <v>0.9</v>
      </c>
      <c r="ADQ29" s="2">
        <v>0.6</v>
      </c>
      <c r="ADR29" s="2">
        <v>2.7</v>
      </c>
      <c r="ADS29" s="2">
        <v>2.2</v>
      </c>
      <c r="ADT29" s="2">
        <v>3.8</v>
      </c>
      <c r="ADU29" s="2">
        <v>1.2</v>
      </c>
      <c r="ADV29" s="2">
        <v>2</v>
      </c>
      <c r="ADW29" s="2">
        <v>2.6</v>
      </c>
      <c r="ADX29" s="2">
        <v>1.5</v>
      </c>
      <c r="ADY29" s="2">
        <v>0.9</v>
      </c>
      <c r="ADZ29" s="2">
        <v>1.1</v>
      </c>
      <c r="AEA29" s="2">
        <v>3.6</v>
      </c>
      <c r="AEB29" s="2">
        <v>1.7</v>
      </c>
      <c r="AEC29" s="2">
        <v>2.3</v>
      </c>
      <c r="AED29" s="2">
        <v>1.6</v>
      </c>
      <c r="AEE29" s="2">
        <v>0.3</v>
      </c>
      <c r="AEF29" s="2">
        <v>1.2</v>
      </c>
      <c r="AEG29" s="2">
        <v>2.5</v>
      </c>
      <c r="AEH29" s="2">
        <v>2.3</v>
      </c>
      <c r="AEI29" s="2">
        <v>3.3</v>
      </c>
      <c r="AEJ29" s="2">
        <v>2.5</v>
      </c>
      <c r="AEK29" s="2">
        <v>2.4</v>
      </c>
      <c r="AEL29" s="2">
        <v>2.2</v>
      </c>
      <c r="AEM29" s="2">
        <v>2.9</v>
      </c>
      <c r="AEN29" s="2">
        <v>2.2</v>
      </c>
      <c r="AEO29" s="2">
        <v>3.1</v>
      </c>
      <c r="AEP29" s="2">
        <v>1.5</v>
      </c>
      <c r="AEQ29" s="2">
        <v>2</v>
      </c>
      <c r="AER29" s="2">
        <v>2</v>
      </c>
      <c r="AES29" s="2">
        <v>2.5</v>
      </c>
      <c r="AET29" s="2">
        <v>1.7</v>
      </c>
      <c r="AEU29" s="2">
        <v>2.1</v>
      </c>
      <c r="AEV29" s="2">
        <v>1.9</v>
      </c>
      <c r="AEW29" s="2">
        <v>3.5</v>
      </c>
      <c r="AEX29" s="2">
        <v>1.9</v>
      </c>
      <c r="AEY29" s="2">
        <v>1.8</v>
      </c>
      <c r="AEZ29" s="2">
        <v>1.9</v>
      </c>
      <c r="AFA29" s="2">
        <v>3.1</v>
      </c>
      <c r="AFB29" s="2">
        <v>2.4</v>
      </c>
      <c r="AFC29" s="2">
        <v>3.4</v>
      </c>
      <c r="AFD29" s="2">
        <v>1.5</v>
      </c>
      <c r="AFE29" s="2">
        <v>3.1</v>
      </c>
      <c r="AFF29" s="2">
        <v>1.1</v>
      </c>
      <c r="AFG29" s="2">
        <v>1.3</v>
      </c>
      <c r="AFH29" s="2">
        <v>-0.3</v>
      </c>
      <c r="AFI29" s="2">
        <v>0.7</v>
      </c>
      <c r="AFJ29" s="2">
        <v>-0.7</v>
      </c>
      <c r="AFK29" s="2">
        <v>1.8</v>
      </c>
      <c r="AFL29" s="2">
        <v>0.3</v>
      </c>
      <c r="AFM29" s="2">
        <v>0.8</v>
      </c>
      <c r="AFN29" s="2">
        <v>0.8</v>
      </c>
      <c r="AFO29" s="2">
        <v>0.7</v>
      </c>
      <c r="AFP29" s="2">
        <v>-0.2</v>
      </c>
      <c r="AFQ29" s="2">
        <v>0.9</v>
      </c>
      <c r="AFR29" s="2">
        <v>1.5</v>
      </c>
      <c r="AFS29" s="2">
        <v>1</v>
      </c>
      <c r="AFT29" s="2">
        <v>0.6</v>
      </c>
      <c r="AFU29" s="2">
        <v>0.1</v>
      </c>
      <c r="AFV29" s="2">
        <v>0.9</v>
      </c>
      <c r="AFW29" s="2">
        <v>0.4</v>
      </c>
      <c r="AFX29" s="2">
        <v>1</v>
      </c>
      <c r="AFY29" s="2">
        <v>1.7</v>
      </c>
      <c r="AFZ29" s="2">
        <v>1</v>
      </c>
      <c r="AGA29" s="2">
        <v>0</v>
      </c>
      <c r="AGB29" s="2">
        <v>1</v>
      </c>
      <c r="AGC29" s="2">
        <v>0.7</v>
      </c>
      <c r="AGD29" s="2">
        <v>-1.8</v>
      </c>
      <c r="AGE29" s="2">
        <v>0.3</v>
      </c>
      <c r="AGF29" s="2">
        <v>0.4</v>
      </c>
      <c r="AGG29" s="2">
        <v>0.1</v>
      </c>
      <c r="AGH29" s="2">
        <v>0.7</v>
      </c>
      <c r="AGI29" s="2">
        <v>0.4</v>
      </c>
      <c r="AGJ29" s="2">
        <v>0.6</v>
      </c>
      <c r="AGK29" s="2">
        <v>0.3</v>
      </c>
      <c r="AGL29" s="2">
        <v>0.1</v>
      </c>
      <c r="AGM29" s="2">
        <v>0.3</v>
      </c>
      <c r="AGN29" s="2">
        <v>0.6</v>
      </c>
      <c r="AGO29" s="2">
        <v>0.6</v>
      </c>
      <c r="AGP29" s="2">
        <v>4.1</v>
      </c>
      <c r="AGQ29" s="2">
        <v>0.1</v>
      </c>
      <c r="AGR29" s="2">
        <v>2</v>
      </c>
      <c r="AGS29" s="2">
        <v>0.8</v>
      </c>
      <c r="AGT29" s="2">
        <v>0.8</v>
      </c>
      <c r="AGU29" s="2">
        <v>0</v>
      </c>
      <c r="AGV29" s="2">
        <v>1</v>
      </c>
      <c r="AGW29" s="2">
        <v>0.3</v>
      </c>
      <c r="AGX29" s="2">
        <v>0.5</v>
      </c>
      <c r="AGY29" s="2">
        <v>0.1</v>
      </c>
      <c r="AGZ29" s="2">
        <v>1.1</v>
      </c>
      <c r="AHA29" s="2">
        <v>1.1</v>
      </c>
      <c r="AHB29" s="2">
        <v>1</v>
      </c>
      <c r="AHC29" s="2">
        <v>-0.2</v>
      </c>
      <c r="AHD29" s="2">
        <v>1.2</v>
      </c>
      <c r="AHE29" s="2">
        <v>0.7</v>
      </c>
      <c r="AHF29" s="2">
        <v>0.9</v>
      </c>
      <c r="AHG29" s="2">
        <v>0.8</v>
      </c>
      <c r="AHH29" s="2">
        <v>0</v>
      </c>
      <c r="AHI29" s="2">
        <v>0.5</v>
      </c>
      <c r="AHJ29" s="2">
        <v>0.4</v>
      </c>
      <c r="AHK29" s="2">
        <v>1</v>
      </c>
      <c r="AHL29" s="2">
        <v>1.5</v>
      </c>
      <c r="AHM29" s="2">
        <v>0.8</v>
      </c>
      <c r="AHN29" s="2">
        <v>0.9</v>
      </c>
      <c r="AHO29" s="2">
        <v>1.5</v>
      </c>
      <c r="AHP29" s="2">
        <v>1.1</v>
      </c>
      <c r="AHQ29" s="2">
        <v>1</v>
      </c>
      <c r="AHR29" s="2">
        <v>1.1</v>
      </c>
      <c r="AHS29" s="2">
        <v>0.7</v>
      </c>
      <c r="AHT29" s="2">
        <v>1.1</v>
      </c>
      <c r="AHU29" s="2">
        <v>6.1</v>
      </c>
      <c r="AHV29" s="2">
        <v>4.7</v>
      </c>
      <c r="AHW29" s="2">
        <v>1.4</v>
      </c>
      <c r="AHX29" s="2">
        <v>1.9</v>
      </c>
      <c r="AHY29" s="2">
        <v>0.7</v>
      </c>
      <c r="AHZ29" s="2">
        <v>1.3</v>
      </c>
      <c r="AIA29" s="2">
        <v>0.8</v>
      </c>
      <c r="AIB29" s="2">
        <v>0.7</v>
      </c>
      <c r="AIC29" s="2">
        <v>-0.2</v>
      </c>
      <c r="AID29" s="2">
        <v>0.7</v>
      </c>
      <c r="AIE29" s="2">
        <v>1</v>
      </c>
      <c r="AIF29" s="2">
        <v>1.1</v>
      </c>
      <c r="AIG29" s="2">
        <v>0.3</v>
      </c>
      <c r="AIH29" s="2">
        <v>-0.3</v>
      </c>
      <c r="AII29" s="2">
        <v>1.2</v>
      </c>
      <c r="AIJ29" s="2">
        <v>1</v>
      </c>
      <c r="AIK29" s="2">
        <v>0.6</v>
      </c>
      <c r="AIL29" s="2">
        <v>1.2</v>
      </c>
      <c r="AIM29" s="2">
        <v>-0.1</v>
      </c>
      <c r="AIN29" s="2">
        <v>0.8</v>
      </c>
      <c r="AIO29" s="2">
        <v>0.6</v>
      </c>
      <c r="AIP29" s="2">
        <v>1.3</v>
      </c>
      <c r="AIQ29" s="2">
        <v>1.4</v>
      </c>
      <c r="AIR29" s="2">
        <v>0.9</v>
      </c>
      <c r="AIS29" s="2">
        <v>-0.2</v>
      </c>
      <c r="AIT29" s="2">
        <v>0.5</v>
      </c>
      <c r="AIU29" s="2">
        <v>-0.8</v>
      </c>
      <c r="AIV29" s="2">
        <v>1.1</v>
      </c>
      <c r="AIW29" s="2">
        <v>0.2</v>
      </c>
      <c r="AIX29" s="2">
        <v>0.3</v>
      </c>
      <c r="AIY29" s="2">
        <v>0.3</v>
      </c>
      <c r="AIZ29" s="2">
        <v>0.9</v>
      </c>
      <c r="AJA29" s="2">
        <v>0.6</v>
      </c>
      <c r="AJB29" s="2">
        <v>0</v>
      </c>
      <c r="AJC29" s="2">
        <v>-1.2</v>
      </c>
      <c r="AJD29" s="2">
        <v>1.2</v>
      </c>
      <c r="AJE29" s="2">
        <v>0.8</v>
      </c>
      <c r="AJF29" s="2">
        <v>0.2</v>
      </c>
      <c r="AJG29" s="2">
        <v>-0.1</v>
      </c>
      <c r="AJH29" s="2">
        <v>1.5</v>
      </c>
      <c r="AJI29" s="2">
        <v>0.9</v>
      </c>
      <c r="AJJ29" s="2">
        <v>0.3</v>
      </c>
      <c r="AJK29" s="2">
        <v>-0.1</v>
      </c>
      <c r="AJL29" s="2">
        <v>1.2</v>
      </c>
      <c r="AJM29" s="2">
        <v>0.2</v>
      </c>
      <c r="AJN29" s="2">
        <v>0.7</v>
      </c>
      <c r="AJO29" s="2">
        <v>-0.4</v>
      </c>
      <c r="AJP29" s="2">
        <v>2.2</v>
      </c>
      <c r="AJQ29" s="2">
        <v>0</v>
      </c>
      <c r="AJR29" s="2">
        <v>0.4</v>
      </c>
      <c r="AJS29" s="2">
        <v>-0.4</v>
      </c>
      <c r="AJT29" s="2">
        <v>1.4</v>
      </c>
      <c r="AJU29" s="2">
        <v>0.4</v>
      </c>
      <c r="AJV29" s="2">
        <v>-0.1</v>
      </c>
      <c r="AJW29" s="2">
        <v>0.7</v>
      </c>
      <c r="AJX29" s="2">
        <v>1</v>
      </c>
      <c r="AJY29" s="2">
        <v>0.8</v>
      </c>
      <c r="AJZ29" s="2">
        <v>3.4</v>
      </c>
      <c r="AKA29" s="2">
        <v>2.1</v>
      </c>
      <c r="AKB29" s="2">
        <v>3.2</v>
      </c>
      <c r="AKC29" s="2">
        <v>1.5</v>
      </c>
      <c r="AKD29" s="2">
        <v>1.4</v>
      </c>
      <c r="AKE29" s="2">
        <v>-0.4</v>
      </c>
      <c r="AKF29" s="2">
        <v>1</v>
      </c>
      <c r="AKG29" s="2">
        <v>0.6</v>
      </c>
      <c r="AKH29" s="2">
        <v>0.7</v>
      </c>
      <c r="AKI29" s="2">
        <v>1</v>
      </c>
      <c r="AKJ29" s="2">
        <v>1.7</v>
      </c>
      <c r="AKK29" s="2">
        <v>0.1</v>
      </c>
      <c r="AKL29" s="2">
        <v>0.8</v>
      </c>
      <c r="AKM29" s="2">
        <v>-0.5</v>
      </c>
      <c r="AKN29" s="2">
        <v>1.8</v>
      </c>
      <c r="AKO29" s="2">
        <v>0.3</v>
      </c>
      <c r="AKP29" s="2">
        <v>0.92</v>
      </c>
      <c r="AKQ29" s="2">
        <v>0.9399999999999999</v>
      </c>
      <c r="AKR29" s="2">
        <v>0.9399999999999999</v>
      </c>
    </row>
    <row r="30">
      <c r="A30" t="inlineStr">
        <is>
          <t>Wine</t>
        </is>
      </c>
      <c r="B30" t="inlineStr">
        <is>
          <t>Alcoholic beverages</t>
        </is>
      </c>
      <c r="C30">
        <v>3</v>
      </c>
      <c r="D30">
        <v>1.65</v>
      </c>
      <c r="E30" s="3">
        <f>D30/4.64*0.046499999999999986</f>
        <v>0.01653556034482758</v>
      </c>
      <c r="F30" s="3">
        <f>E30-D30/100</f>
        <v>3.556034482758014e-05</v>
      </c>
      <c r="G30" s="3">
        <f>D30/4.64</f>
        <v>0.3556034482758621</v>
      </c>
      <c r="CI30" s="2">
        <v>97.78</v>
      </c>
      <c r="CJ30" s="2">
        <v>97.3</v>
      </c>
      <c r="CK30" s="2">
        <v>97.98999999999999</v>
      </c>
      <c r="CL30" s="2">
        <v>97.95</v>
      </c>
      <c r="CM30" s="2">
        <v>99.34999999999999</v>
      </c>
      <c r="CN30" s="2">
        <v>99.7</v>
      </c>
      <c r="CO30" s="2">
        <v>99.5</v>
      </c>
      <c r="CP30" s="2">
        <v>99.64</v>
      </c>
      <c r="CQ30" s="2">
        <v>97.48999999999999</v>
      </c>
      <c r="CR30" s="2">
        <v>99.19</v>
      </c>
      <c r="CS30" s="2">
        <v>98.38</v>
      </c>
      <c r="CT30" s="2">
        <v>100.11</v>
      </c>
      <c r="CU30" s="2">
        <v>98.76000000000001</v>
      </c>
      <c r="CV30" s="2">
        <v>99.90000000000001</v>
      </c>
      <c r="CW30" s="2">
        <v>99.06999999999999</v>
      </c>
      <c r="CX30" s="2">
        <v>101.18</v>
      </c>
      <c r="CY30" s="2">
        <v>101.24</v>
      </c>
      <c r="CZ30" s="2">
        <v>100</v>
      </c>
      <c r="DA30" s="2">
        <v>98.76000000000001</v>
      </c>
      <c r="DB30" s="2">
        <v>98.43000000000001</v>
      </c>
      <c r="DC30" s="2">
        <v>97.83</v>
      </c>
      <c r="DD30" s="2">
        <v>100.29</v>
      </c>
      <c r="DE30" s="2">
        <v>99.97</v>
      </c>
      <c r="DF30" s="2">
        <v>100.85</v>
      </c>
      <c r="DG30" s="2">
        <v>98.98999999999999</v>
      </c>
      <c r="DH30" s="2">
        <v>101.39</v>
      </c>
      <c r="DI30" s="2">
        <v>99.22</v>
      </c>
      <c r="DJ30" s="2">
        <v>101.15</v>
      </c>
      <c r="GL30" s="2">
        <v>1</v>
      </c>
      <c r="GM30" s="2">
        <v>2.7</v>
      </c>
      <c r="GN30" s="2">
        <v>1.1</v>
      </c>
      <c r="GO30" s="2">
        <v>3.3</v>
      </c>
      <c r="GP30" s="2">
        <v>1.9</v>
      </c>
      <c r="GQ30" s="2">
        <v>0.3</v>
      </c>
      <c r="GR30" s="2">
        <v>-0.7</v>
      </c>
      <c r="GS30" s="2">
        <v>-1.2</v>
      </c>
      <c r="GT30" s="2">
        <v>0.3</v>
      </c>
      <c r="GU30" s="2">
        <v>1.1</v>
      </c>
      <c r="GV30" s="2">
        <v>1.6</v>
      </c>
      <c r="GW30" s="2">
        <v>0.7</v>
      </c>
      <c r="GX30" s="2">
        <v>0.2</v>
      </c>
      <c r="GY30" s="2">
        <v>1.5</v>
      </c>
      <c r="GZ30" s="2">
        <v>0.2</v>
      </c>
      <c r="HA30" s="2">
        <v>0</v>
      </c>
      <c r="KC30" s="2">
        <v>-0.5</v>
      </c>
      <c r="KD30" s="2">
        <v>0.7</v>
      </c>
      <c r="KE30" s="2">
        <v>0</v>
      </c>
      <c r="KF30" s="2">
        <v>1.4</v>
      </c>
      <c r="KG30" s="2">
        <v>0.4</v>
      </c>
      <c r="KH30" s="2">
        <v>-0.2</v>
      </c>
      <c r="KI30" s="2">
        <v>0.1</v>
      </c>
      <c r="KJ30" s="2">
        <v>-2.2</v>
      </c>
      <c r="KK30" s="2">
        <v>1.7</v>
      </c>
      <c r="KL30" s="2">
        <v>-0.8</v>
      </c>
      <c r="KM30" s="2">
        <v>1.8</v>
      </c>
      <c r="KN30" s="2">
        <v>-1.3</v>
      </c>
      <c r="KO30" s="2">
        <v>1.2</v>
      </c>
      <c r="KP30" s="2">
        <v>-0.8</v>
      </c>
      <c r="KQ30" s="2">
        <v>2.1</v>
      </c>
      <c r="KR30" s="2">
        <v>0.1</v>
      </c>
      <c r="KS30" s="2">
        <v>-1.2</v>
      </c>
      <c r="KT30" s="2">
        <v>-1.2</v>
      </c>
      <c r="KU30" s="2">
        <v>-0.3</v>
      </c>
      <c r="KV30" s="2">
        <v>-0.6</v>
      </c>
      <c r="KW30" s="2">
        <v>2.5</v>
      </c>
      <c r="KX30" s="2">
        <v>-0.3</v>
      </c>
      <c r="KY30" s="2">
        <v>0.9</v>
      </c>
      <c r="KZ30" s="2">
        <v>-1.8</v>
      </c>
      <c r="LA30" s="2">
        <v>2.4</v>
      </c>
      <c r="LB30" s="2">
        <v>-2.1</v>
      </c>
      <c r="LC30" s="2">
        <v>1.9</v>
      </c>
      <c r="LD30" s="2">
        <v>1.61</v>
      </c>
      <c r="LE30" s="2">
        <v>1.64</v>
      </c>
      <c r="LF30" s="2">
        <v>1.62</v>
      </c>
      <c r="LG30" s="2">
        <v>1.65</v>
      </c>
      <c r="LH30" s="2">
        <v>1.63</v>
      </c>
      <c r="LI30" s="2">
        <v>1.65</v>
      </c>
      <c r="LJ30" s="2">
        <v>1.63</v>
      </c>
      <c r="LK30" s="2">
        <v>1.67</v>
      </c>
      <c r="LL30" s="2">
        <v>1.67</v>
      </c>
      <c r="LM30" s="2">
        <v>1.65</v>
      </c>
      <c r="LN30" s="2">
        <v>1.63</v>
      </c>
      <c r="LO30" s="2">
        <v>1.62</v>
      </c>
      <c r="LP30" s="2">
        <v>1.61</v>
      </c>
      <c r="LQ30" s="2">
        <v>1.65</v>
      </c>
      <c r="LR30" s="2">
        <v>1.65</v>
      </c>
      <c r="LS30" s="2">
        <v>1.66</v>
      </c>
      <c r="LT30" s="2">
        <v>1.63</v>
      </c>
      <c r="LU30" s="2">
        <v>1.67</v>
      </c>
      <c r="LV30" s="2">
        <v>1.64</v>
      </c>
      <c r="LW30" s="2">
        <v>1.67</v>
      </c>
      <c r="LX30" s="2">
        <v>0.03</v>
      </c>
      <c r="LY30" s="2">
        <v>-0.02</v>
      </c>
      <c r="LZ30" s="2">
        <v>0.03</v>
      </c>
      <c r="MA30" s="2">
        <v>-0.02</v>
      </c>
      <c r="MB30" s="2">
        <v>0.02</v>
      </c>
      <c r="MC30" s="2">
        <v>-0.02</v>
      </c>
      <c r="MD30" s="2">
        <v>0.04</v>
      </c>
      <c r="ME30" s="2">
        <v>0</v>
      </c>
      <c r="MF30" s="2">
        <v>-0.02</v>
      </c>
      <c r="MG30" s="2">
        <v>-0.02</v>
      </c>
      <c r="MH30" s="2">
        <v>-0.01</v>
      </c>
      <c r="MI30" s="2">
        <v>-0.01</v>
      </c>
      <c r="MJ30" s="2">
        <v>0.04</v>
      </c>
      <c r="MK30" s="2">
        <v>0</v>
      </c>
      <c r="ML30" s="2">
        <v>0.01</v>
      </c>
      <c r="MM30" s="2">
        <v>-0.03</v>
      </c>
      <c r="MN30" s="2">
        <v>0.04</v>
      </c>
      <c r="MO30" s="2">
        <v>-0.03</v>
      </c>
      <c r="MP30" s="2">
        <v>0.03</v>
      </c>
      <c r="RO30" s="2">
        <v>32.1</v>
      </c>
      <c r="RP30" s="2">
        <v>32.91</v>
      </c>
      <c r="RQ30" s="2">
        <v>33.08</v>
      </c>
      <c r="RR30" s="2">
        <v>33.78</v>
      </c>
      <c r="RS30" s="2">
        <v>34.07</v>
      </c>
      <c r="RT30" s="2">
        <v>34.19</v>
      </c>
      <c r="RU30" s="2">
        <v>35.46</v>
      </c>
      <c r="RV30" s="2">
        <v>36.63</v>
      </c>
      <c r="RW30" s="2">
        <v>37.44</v>
      </c>
      <c r="RX30" s="2">
        <v>37.96</v>
      </c>
      <c r="RY30" s="2">
        <v>38.25</v>
      </c>
      <c r="RZ30" s="2">
        <v>38.95</v>
      </c>
      <c r="SA30" s="2">
        <v>39.24</v>
      </c>
      <c r="SB30" s="2">
        <v>41.21</v>
      </c>
      <c r="SC30" s="2">
        <v>41.56</v>
      </c>
      <c r="SD30" s="2">
        <v>42.08</v>
      </c>
      <c r="SE30" s="2">
        <v>42.55</v>
      </c>
      <c r="SF30" s="2">
        <v>44.29</v>
      </c>
      <c r="SG30" s="2">
        <v>44.35</v>
      </c>
      <c r="SH30" s="2">
        <v>44.29</v>
      </c>
      <c r="SI30" s="2">
        <v>44.87</v>
      </c>
      <c r="SJ30" s="2">
        <v>44.75</v>
      </c>
      <c r="SK30" s="2">
        <v>45.22</v>
      </c>
      <c r="SL30" s="2">
        <v>45.33</v>
      </c>
      <c r="SM30" s="2">
        <v>46.2</v>
      </c>
      <c r="SN30" s="2">
        <v>48.76</v>
      </c>
      <c r="SO30" s="2">
        <v>49.57</v>
      </c>
      <c r="SP30" s="2">
        <v>50.15</v>
      </c>
      <c r="SQ30" s="2">
        <v>50.85</v>
      </c>
      <c r="SR30" s="2">
        <v>50.79</v>
      </c>
      <c r="SS30" s="2">
        <v>51.66</v>
      </c>
      <c r="ST30" s="2">
        <v>53.23</v>
      </c>
      <c r="SU30" s="2">
        <v>54.68</v>
      </c>
      <c r="SV30" s="2">
        <v>55.26</v>
      </c>
      <c r="SW30" s="2">
        <v>55.61</v>
      </c>
      <c r="SX30" s="2">
        <v>57.29</v>
      </c>
      <c r="SY30" s="2">
        <v>58.39</v>
      </c>
      <c r="SZ30" s="2">
        <v>58.16</v>
      </c>
      <c r="TA30" s="2">
        <v>57.99</v>
      </c>
      <c r="TB30" s="2">
        <v>57.58</v>
      </c>
      <c r="TC30" s="2">
        <v>57.81</v>
      </c>
      <c r="TD30" s="2">
        <v>57.75</v>
      </c>
      <c r="TE30" s="2">
        <v>58.86</v>
      </c>
      <c r="TF30" s="2">
        <v>59.78</v>
      </c>
      <c r="TG30" s="2">
        <v>59.9</v>
      </c>
      <c r="TH30" s="2">
        <v>60.13</v>
      </c>
      <c r="TI30" s="2">
        <v>60.02</v>
      </c>
      <c r="TJ30" s="2">
        <v>60.77</v>
      </c>
      <c r="TK30" s="2">
        <v>61.12</v>
      </c>
      <c r="TL30" s="2">
        <v>60.83</v>
      </c>
      <c r="TM30" s="2">
        <v>61.47</v>
      </c>
      <c r="TN30" s="2">
        <v>61.64</v>
      </c>
      <c r="TO30" s="2">
        <v>63.04</v>
      </c>
      <c r="TP30" s="2">
        <v>63.79</v>
      </c>
      <c r="TQ30" s="2">
        <v>63.96</v>
      </c>
      <c r="TR30" s="2">
        <v>65.41</v>
      </c>
      <c r="TS30" s="2">
        <v>66.69</v>
      </c>
      <c r="TT30" s="2">
        <v>67.04000000000001</v>
      </c>
      <c r="TU30" s="2">
        <v>67.27</v>
      </c>
      <c r="TV30" s="2">
        <v>68.31999999999999</v>
      </c>
      <c r="TW30" s="2">
        <v>68.90000000000001</v>
      </c>
      <c r="TX30" s="2">
        <v>70.12</v>
      </c>
      <c r="TY30" s="2">
        <v>71.45</v>
      </c>
      <c r="TZ30" s="2">
        <v>72.84</v>
      </c>
      <c r="UA30" s="2">
        <v>72.31999999999999</v>
      </c>
      <c r="UB30" s="2">
        <v>71.34</v>
      </c>
      <c r="UC30" s="2">
        <v>71.97</v>
      </c>
      <c r="UD30" s="2">
        <v>72.95999999999999</v>
      </c>
      <c r="UE30" s="2">
        <v>73.89</v>
      </c>
      <c r="UF30" s="2">
        <v>74.47</v>
      </c>
      <c r="UG30" s="2">
        <v>74.76000000000001</v>
      </c>
      <c r="UH30" s="2">
        <v>75.40000000000001</v>
      </c>
      <c r="UI30" s="2">
        <v>75.70999999999999</v>
      </c>
      <c r="UJ30" s="2">
        <v>75.34999999999999</v>
      </c>
      <c r="UK30" s="2">
        <v>75.44</v>
      </c>
      <c r="UL30" s="2">
        <v>75.95</v>
      </c>
      <c r="UM30" s="2">
        <v>75.76000000000001</v>
      </c>
      <c r="UN30" s="2">
        <v>75.88</v>
      </c>
      <c r="UO30" s="2">
        <v>75.78</v>
      </c>
      <c r="UP30" s="2">
        <v>76.08</v>
      </c>
      <c r="UQ30" s="2">
        <v>79.12</v>
      </c>
      <c r="UR30" s="2">
        <v>78.95</v>
      </c>
      <c r="US30" s="2">
        <v>80.23999999999999</v>
      </c>
      <c r="UT30" s="2">
        <v>81.63</v>
      </c>
      <c r="UU30" s="2">
        <v>82.28</v>
      </c>
      <c r="UV30" s="2">
        <v>82.05</v>
      </c>
      <c r="UW30" s="2">
        <v>82.3</v>
      </c>
      <c r="UX30" s="2">
        <v>82.44</v>
      </c>
      <c r="UY30" s="2">
        <v>82.81</v>
      </c>
      <c r="UZ30" s="2">
        <v>82.5</v>
      </c>
      <c r="VA30" s="2">
        <v>83.28</v>
      </c>
      <c r="VB30" s="2">
        <v>83.15000000000001</v>
      </c>
      <c r="VC30" s="2">
        <v>83.52</v>
      </c>
      <c r="VD30" s="2">
        <v>83.66</v>
      </c>
      <c r="VE30" s="2">
        <v>84.45999999999999</v>
      </c>
      <c r="VF30" s="2">
        <v>85.09</v>
      </c>
      <c r="VG30" s="2">
        <v>85.55</v>
      </c>
      <c r="VH30" s="2">
        <v>85.79000000000001</v>
      </c>
      <c r="VI30" s="2">
        <v>86.23</v>
      </c>
      <c r="VJ30" s="2">
        <v>86.02</v>
      </c>
      <c r="VK30" s="2">
        <v>86.26000000000001</v>
      </c>
      <c r="VL30" s="2">
        <v>86.28</v>
      </c>
      <c r="VM30" s="2">
        <v>86.62</v>
      </c>
      <c r="VN30" s="2">
        <v>87.22</v>
      </c>
      <c r="VO30" s="2">
        <v>86.05</v>
      </c>
      <c r="VP30" s="2">
        <v>85.98</v>
      </c>
      <c r="VQ30" s="2">
        <v>86.06</v>
      </c>
      <c r="VR30" s="2">
        <v>86.37</v>
      </c>
      <c r="VS30" s="2">
        <v>86.05</v>
      </c>
      <c r="VT30" s="2">
        <v>86.73999999999999</v>
      </c>
      <c r="VU30" s="2">
        <v>87.52</v>
      </c>
      <c r="VV30" s="2">
        <v>89</v>
      </c>
      <c r="VW30" s="2">
        <v>88.98999999999999</v>
      </c>
      <c r="VX30" s="2">
        <v>89.15000000000001</v>
      </c>
      <c r="VY30" s="2">
        <v>88.5</v>
      </c>
      <c r="VZ30" s="2">
        <v>88.43000000000001</v>
      </c>
      <c r="WA30" s="2">
        <v>89.23999999999999</v>
      </c>
      <c r="WB30" s="2">
        <v>89.19</v>
      </c>
      <c r="WC30" s="2">
        <v>89.45999999999999</v>
      </c>
      <c r="WD30" s="2">
        <v>89.73999999999999</v>
      </c>
      <c r="WE30" s="2">
        <v>90.33</v>
      </c>
      <c r="WF30" s="2">
        <v>90.29000000000001</v>
      </c>
      <c r="WG30" s="2">
        <v>90.94</v>
      </c>
      <c r="WH30" s="2">
        <v>90.44</v>
      </c>
      <c r="WI30" s="2">
        <v>90.31</v>
      </c>
      <c r="WJ30" s="2">
        <v>90.39</v>
      </c>
      <c r="WK30" s="2">
        <v>90.8</v>
      </c>
      <c r="WL30" s="2">
        <v>91.34</v>
      </c>
      <c r="WM30" s="2">
        <v>91.73999999999999</v>
      </c>
      <c r="WN30" s="2">
        <v>91.98999999999999</v>
      </c>
      <c r="WO30" s="2">
        <v>93.02</v>
      </c>
      <c r="WP30" s="2">
        <v>93.09</v>
      </c>
      <c r="WQ30" s="2">
        <v>93.98</v>
      </c>
      <c r="WR30" s="2">
        <v>94.59999999999999</v>
      </c>
      <c r="WS30" s="2">
        <v>95.52</v>
      </c>
      <c r="WT30" s="2">
        <v>96.03</v>
      </c>
      <c r="WU30" s="2">
        <v>95.59999999999999</v>
      </c>
      <c r="WV30" s="2">
        <v>94.78</v>
      </c>
      <c r="WW30" s="2">
        <v>94.59</v>
      </c>
      <c r="WX30" s="2">
        <v>95.2</v>
      </c>
      <c r="WY30" s="2">
        <v>94.78</v>
      </c>
      <c r="WZ30" s="2">
        <v>92.68000000000001</v>
      </c>
      <c r="XA30" s="2">
        <v>92.95999999999999</v>
      </c>
      <c r="XB30" s="2">
        <v>92.67</v>
      </c>
      <c r="XC30" s="2">
        <v>92.56999999999999</v>
      </c>
      <c r="XD30" s="2">
        <v>90.78</v>
      </c>
      <c r="XE30" s="2">
        <v>92.23</v>
      </c>
      <c r="XF30" s="2">
        <v>91.87</v>
      </c>
      <c r="XG30" s="2">
        <v>92.18000000000001</v>
      </c>
      <c r="XH30" s="2">
        <v>91.59</v>
      </c>
      <c r="XI30" s="2">
        <v>91.20999999999999</v>
      </c>
      <c r="XJ30" s="2">
        <v>91.88</v>
      </c>
      <c r="XK30" s="2">
        <v>93.09999999999999</v>
      </c>
      <c r="XL30" s="2">
        <v>91.3</v>
      </c>
      <c r="XM30" s="2">
        <v>91.95999999999999</v>
      </c>
      <c r="XN30" s="2">
        <v>91.56</v>
      </c>
      <c r="XO30" s="2">
        <v>93.19</v>
      </c>
      <c r="XP30" s="2">
        <v>91.68000000000001</v>
      </c>
      <c r="XQ30" s="2">
        <v>92.56999999999999</v>
      </c>
      <c r="XR30" s="2">
        <v>93.41</v>
      </c>
      <c r="XS30" s="2">
        <v>94.65000000000001</v>
      </c>
      <c r="XT30" s="2">
        <v>93.83</v>
      </c>
      <c r="XU30" s="2">
        <v>94.86</v>
      </c>
      <c r="XV30" s="2">
        <v>94.48</v>
      </c>
      <c r="XW30" s="2">
        <v>94.43000000000001</v>
      </c>
      <c r="XX30" s="2">
        <v>93.75</v>
      </c>
      <c r="XY30" s="2">
        <v>94.91</v>
      </c>
      <c r="XZ30" s="2">
        <v>95.56999999999999</v>
      </c>
      <c r="YA30" s="2">
        <v>95.93000000000001</v>
      </c>
      <c r="YB30" s="2">
        <v>95.84</v>
      </c>
      <c r="YC30" s="2">
        <v>96.18000000000001</v>
      </c>
      <c r="YD30" s="2">
        <v>96.31</v>
      </c>
      <c r="YE30" s="2">
        <v>96.91</v>
      </c>
      <c r="YF30" s="2">
        <v>96.73999999999999</v>
      </c>
      <c r="YG30" s="2">
        <v>96.70999999999999</v>
      </c>
      <c r="YH30" s="2">
        <v>97.79000000000001</v>
      </c>
      <c r="YI30" s="2">
        <v>99.13</v>
      </c>
      <c r="YJ30" s="2">
        <v>98.98</v>
      </c>
      <c r="YK30" s="2">
        <v>99.34999999999999</v>
      </c>
      <c r="YL30" s="2">
        <v>99.31</v>
      </c>
      <c r="YM30" s="2">
        <v>100.81</v>
      </c>
      <c r="YN30" s="2">
        <v>98.34</v>
      </c>
      <c r="YO30" s="2">
        <v>100.37</v>
      </c>
      <c r="YP30" s="2">
        <v>99.87</v>
      </c>
      <c r="ADO30" s="2">
        <v>2.5</v>
      </c>
      <c r="ADP30" s="2">
        <v>0.5</v>
      </c>
      <c r="ADQ30" s="2">
        <v>2.1</v>
      </c>
      <c r="ADR30" s="2">
        <v>0.9</v>
      </c>
      <c r="ADS30" s="2">
        <v>0.4</v>
      </c>
      <c r="ADT30" s="2">
        <v>3.7</v>
      </c>
      <c r="ADU30" s="2">
        <v>3.3</v>
      </c>
      <c r="ADV30" s="2">
        <v>2.2</v>
      </c>
      <c r="ADW30" s="2">
        <v>1.4</v>
      </c>
      <c r="ADX30" s="2">
        <v>0.8</v>
      </c>
      <c r="ADY30" s="2">
        <v>1.8</v>
      </c>
      <c r="ADZ30" s="2">
        <v>0.7</v>
      </c>
      <c r="AEA30" s="2">
        <v>5</v>
      </c>
      <c r="AEB30" s="2">
        <v>0.8</v>
      </c>
      <c r="AEC30" s="2">
        <v>1.3</v>
      </c>
      <c r="AED30" s="2">
        <v>1.1</v>
      </c>
      <c r="AEE30" s="2">
        <v>4.1</v>
      </c>
      <c r="AEF30" s="2">
        <v>0.1</v>
      </c>
      <c r="AEG30" s="2">
        <v>-0.1</v>
      </c>
      <c r="AEH30" s="2">
        <v>1.3</v>
      </c>
      <c r="AEI30" s="2">
        <v>-0.3</v>
      </c>
      <c r="AEJ30" s="2">
        <v>1.1</v>
      </c>
      <c r="AEK30" s="2">
        <v>0.2</v>
      </c>
      <c r="AEL30" s="2">
        <v>1.9</v>
      </c>
      <c r="AEM30" s="2">
        <v>5.5</v>
      </c>
      <c r="AEN30" s="2">
        <v>1.7</v>
      </c>
      <c r="AEO30" s="2">
        <v>1.2</v>
      </c>
      <c r="AEP30" s="2">
        <v>1.4</v>
      </c>
      <c r="AEQ30" s="2">
        <v>-0.1</v>
      </c>
      <c r="AER30" s="2">
        <v>1.7</v>
      </c>
      <c r="AES30" s="2">
        <v>3</v>
      </c>
      <c r="AET30" s="2">
        <v>2.7</v>
      </c>
      <c r="AEU30" s="2">
        <v>1.1</v>
      </c>
      <c r="AEV30" s="2">
        <v>0.6</v>
      </c>
      <c r="AEW30" s="2">
        <v>3</v>
      </c>
      <c r="AEX30" s="2">
        <v>1.9</v>
      </c>
      <c r="AEY30" s="2">
        <v>-0.4</v>
      </c>
      <c r="AEZ30" s="2">
        <v>-0.3</v>
      </c>
      <c r="AFA30" s="2">
        <v>-0.7</v>
      </c>
      <c r="AFB30" s="2">
        <v>0.4</v>
      </c>
      <c r="AFC30" s="2">
        <v>-0.1</v>
      </c>
      <c r="AFD30" s="2">
        <v>1.9</v>
      </c>
      <c r="AFE30" s="2">
        <v>1.6</v>
      </c>
      <c r="AFF30" s="2">
        <v>0.2</v>
      </c>
      <c r="AFG30" s="2">
        <v>0.4</v>
      </c>
      <c r="AFH30" s="2">
        <v>-0.2</v>
      </c>
      <c r="AFI30" s="2">
        <v>1.2</v>
      </c>
      <c r="AFJ30" s="2">
        <v>0.6</v>
      </c>
      <c r="AFK30" s="2">
        <v>-0.5</v>
      </c>
      <c r="AFL30" s="2">
        <v>1.1</v>
      </c>
      <c r="AFM30" s="2">
        <v>0.3</v>
      </c>
      <c r="AFN30" s="2">
        <v>2.3</v>
      </c>
      <c r="AFO30" s="2">
        <v>1.2</v>
      </c>
      <c r="AFP30" s="2">
        <v>0.3</v>
      </c>
      <c r="AFQ30" s="2">
        <v>2.3</v>
      </c>
      <c r="AFR30" s="2">
        <v>2</v>
      </c>
      <c r="AFS30" s="2">
        <v>0.5</v>
      </c>
      <c r="AFT30" s="2">
        <v>0.3</v>
      </c>
      <c r="AFU30" s="2">
        <v>1.6</v>
      </c>
      <c r="AFV30" s="2">
        <v>0.8</v>
      </c>
      <c r="AFW30" s="2">
        <v>1.8</v>
      </c>
      <c r="AFX30" s="2">
        <v>1.9</v>
      </c>
      <c r="AFY30" s="2">
        <v>1.9</v>
      </c>
      <c r="AFZ30" s="2">
        <v>-0.7</v>
      </c>
      <c r="AGA30" s="2">
        <v>-1.4</v>
      </c>
      <c r="AGB30" s="2">
        <v>0.9</v>
      </c>
      <c r="AGC30" s="2">
        <v>1.4</v>
      </c>
      <c r="AGD30" s="2">
        <v>1.3</v>
      </c>
      <c r="AGE30" s="2">
        <v>0.8</v>
      </c>
      <c r="AGF30" s="2">
        <v>0.4</v>
      </c>
      <c r="AGG30" s="2">
        <v>0.9</v>
      </c>
      <c r="AGH30" s="2">
        <v>0.4</v>
      </c>
      <c r="AGI30" s="2">
        <v>-0.5</v>
      </c>
      <c r="AGJ30" s="2">
        <v>0.1</v>
      </c>
      <c r="AGK30" s="2">
        <v>0.7</v>
      </c>
      <c r="AGL30" s="2">
        <v>-0.3</v>
      </c>
      <c r="AGM30" s="2">
        <v>0.2</v>
      </c>
      <c r="AGN30" s="2">
        <v>-0.1</v>
      </c>
      <c r="AGO30" s="2">
        <v>0.4</v>
      </c>
      <c r="AGP30" s="2">
        <v>4</v>
      </c>
      <c r="AGQ30" s="2">
        <v>-0.2</v>
      </c>
      <c r="AGR30" s="2">
        <v>1.6</v>
      </c>
      <c r="AGS30" s="2">
        <v>1.7</v>
      </c>
      <c r="AGT30" s="2">
        <v>0.8</v>
      </c>
      <c r="AGU30" s="2">
        <v>-0.3</v>
      </c>
      <c r="AGV30" s="2">
        <v>0.3</v>
      </c>
      <c r="AGW30" s="2">
        <v>0.2</v>
      </c>
      <c r="AGX30" s="2">
        <v>0.4</v>
      </c>
      <c r="AGY30" s="2">
        <v>-0.4</v>
      </c>
      <c r="AGZ30" s="2">
        <v>0.9</v>
      </c>
      <c r="AHA30" s="2">
        <v>-0.2</v>
      </c>
      <c r="AHB30" s="2">
        <v>0.4</v>
      </c>
      <c r="AHC30" s="2">
        <v>0.2</v>
      </c>
      <c r="AHD30" s="2">
        <v>1</v>
      </c>
      <c r="AHE30" s="2">
        <v>0.7</v>
      </c>
      <c r="AHF30" s="2">
        <v>0.5</v>
      </c>
      <c r="AHG30" s="2">
        <v>0.3</v>
      </c>
      <c r="AHH30" s="2">
        <v>0.5</v>
      </c>
      <c r="AHI30" s="2">
        <v>-0.2</v>
      </c>
      <c r="AHJ30" s="2">
        <v>0.3</v>
      </c>
      <c r="AHK30" s="2">
        <v>0</v>
      </c>
      <c r="AHL30" s="2">
        <v>0.4</v>
      </c>
      <c r="AHM30" s="2">
        <v>0.7</v>
      </c>
      <c r="AHN30" s="2">
        <v>-1.3</v>
      </c>
      <c r="AHO30" s="2">
        <v>-0.1</v>
      </c>
      <c r="AHP30" s="2">
        <v>0.1</v>
      </c>
      <c r="AHQ30" s="2">
        <v>0.4</v>
      </c>
      <c r="AHR30" s="2">
        <v>-0.4</v>
      </c>
      <c r="AHS30" s="2">
        <v>0.8</v>
      </c>
      <c r="AHT30" s="2">
        <v>0.9</v>
      </c>
      <c r="AHU30" s="2">
        <v>1.7</v>
      </c>
      <c r="AHV30" s="2">
        <v>0</v>
      </c>
      <c r="AHW30" s="2">
        <v>0.2</v>
      </c>
      <c r="AHX30" s="2">
        <v>-0.7</v>
      </c>
      <c r="AHY30" s="2">
        <v>-0.1</v>
      </c>
      <c r="AHZ30" s="2">
        <v>0.9</v>
      </c>
      <c r="AIA30" s="2">
        <v>-0.1</v>
      </c>
      <c r="AIB30" s="2">
        <v>0.3</v>
      </c>
      <c r="AIC30" s="2">
        <v>0.3</v>
      </c>
      <c r="AID30" s="2">
        <v>0.7</v>
      </c>
      <c r="AIE30" s="2">
        <v>0</v>
      </c>
      <c r="AIF30" s="2">
        <v>0.7</v>
      </c>
      <c r="AIG30" s="2">
        <v>-0.5</v>
      </c>
      <c r="AIH30" s="2">
        <v>-0.1</v>
      </c>
      <c r="AII30" s="2">
        <v>0.1</v>
      </c>
      <c r="AIJ30" s="2">
        <v>0.5</v>
      </c>
      <c r="AIK30" s="2">
        <v>0.6</v>
      </c>
      <c r="AIL30" s="2">
        <v>0.4</v>
      </c>
      <c r="AIM30" s="2">
        <v>0.3</v>
      </c>
      <c r="AIN30" s="2">
        <v>1.1</v>
      </c>
      <c r="AIO30" s="2">
        <v>0.1</v>
      </c>
      <c r="AIP30" s="2">
        <v>1</v>
      </c>
      <c r="AIQ30" s="2">
        <v>0.7</v>
      </c>
      <c r="AIR30" s="2">
        <v>1</v>
      </c>
      <c r="AIS30" s="2">
        <v>0.5</v>
      </c>
      <c r="AIT30" s="2">
        <v>-0.4</v>
      </c>
      <c r="AIU30" s="2">
        <v>-0.9</v>
      </c>
      <c r="AIV30" s="2">
        <v>-0.2</v>
      </c>
      <c r="AIW30" s="2">
        <v>0.6</v>
      </c>
      <c r="AIX30" s="2">
        <v>-0.4</v>
      </c>
      <c r="AIY30" s="2">
        <v>-2.2</v>
      </c>
      <c r="AIZ30" s="2">
        <v>0.3</v>
      </c>
      <c r="AJA30" s="2">
        <v>-0.3</v>
      </c>
      <c r="AJB30" s="2">
        <v>-0.1</v>
      </c>
      <c r="AJC30" s="2">
        <v>-1.9</v>
      </c>
      <c r="AJD30" s="2">
        <v>1.6</v>
      </c>
      <c r="AJE30" s="2">
        <v>-0.4</v>
      </c>
      <c r="AJF30" s="2">
        <v>0.3</v>
      </c>
      <c r="AJG30" s="2">
        <v>-0.6</v>
      </c>
      <c r="AJH30" s="2">
        <v>-0.4</v>
      </c>
      <c r="AJI30" s="2">
        <v>0.7</v>
      </c>
      <c r="AJJ30" s="2">
        <v>1.3</v>
      </c>
      <c r="AJK30" s="2">
        <v>-1.9</v>
      </c>
      <c r="AJL30" s="2">
        <v>0.7</v>
      </c>
      <c r="AJM30" s="2">
        <v>-0.4</v>
      </c>
      <c r="AJN30" s="2">
        <v>1.8</v>
      </c>
      <c r="AJO30" s="2">
        <v>-1.6</v>
      </c>
      <c r="AJP30" s="2">
        <v>1</v>
      </c>
      <c r="AJQ30" s="2">
        <v>0.9</v>
      </c>
      <c r="AJR30" s="2">
        <v>1.3</v>
      </c>
      <c r="AJS30" s="2">
        <v>-0.9</v>
      </c>
      <c r="AJT30" s="2">
        <v>1.1</v>
      </c>
      <c r="AJU30" s="2">
        <v>-0.4</v>
      </c>
      <c r="AJV30" s="2">
        <v>-0.1</v>
      </c>
      <c r="AJW30" s="2">
        <v>-0.7</v>
      </c>
      <c r="AJX30" s="2">
        <v>1.2</v>
      </c>
      <c r="AJY30" s="2">
        <v>0.7</v>
      </c>
      <c r="AJZ30" s="2">
        <v>0.4</v>
      </c>
      <c r="AKA30" s="2">
        <v>-0.1</v>
      </c>
      <c r="AKB30" s="2">
        <v>0.4</v>
      </c>
      <c r="AKC30" s="2">
        <v>0.1</v>
      </c>
      <c r="AKD30" s="2">
        <v>0.6</v>
      </c>
      <c r="AKE30" s="2">
        <v>-0.2</v>
      </c>
      <c r="AKF30" s="2">
        <v>0</v>
      </c>
      <c r="AKG30" s="2">
        <v>1.1</v>
      </c>
      <c r="AKH30" s="2">
        <v>1.4</v>
      </c>
      <c r="AKI30" s="2">
        <v>-0.2</v>
      </c>
      <c r="AKJ30" s="2">
        <v>0.4</v>
      </c>
      <c r="AKK30" s="2">
        <v>0</v>
      </c>
      <c r="AKL30" s="2">
        <v>1.5</v>
      </c>
      <c r="AKM30" s="2">
        <v>-2.5</v>
      </c>
      <c r="AKN30" s="2">
        <v>2.1</v>
      </c>
      <c r="AKO30" s="2">
        <v>-0.5</v>
      </c>
      <c r="AKP30" s="2">
        <v>1.62</v>
      </c>
      <c r="AKQ30" s="2">
        <v>1.66</v>
      </c>
      <c r="AKR30" s="2">
        <v>1.65</v>
      </c>
    </row>
    <row r="31">
      <c r="A31" t="inlineStr">
        <is>
          <t>Beer</t>
        </is>
      </c>
      <c r="B31" t="inlineStr">
        <is>
          <t>Alcoholic beverages</t>
        </is>
      </c>
      <c r="C31">
        <v>3</v>
      </c>
      <c r="D31">
        <v>2.07</v>
      </c>
      <c r="E31" s="3">
        <f>D31/4.64*0.046499999999999986</f>
        <v>0.020744612068965513</v>
      </c>
      <c r="F31" s="3">
        <f>E31-D31/100</f>
        <v>4.4612068965513285e-05</v>
      </c>
      <c r="G31" s="3">
        <f>D31/4.64</f>
        <v>0.44612068965517243</v>
      </c>
      <c r="H31" s="2">
        <v>76.5</v>
      </c>
      <c r="I31" s="2">
        <v>76.45</v>
      </c>
      <c r="J31" s="2">
        <v>76.64</v>
      </c>
      <c r="K31" s="2">
        <v>76.84</v>
      </c>
      <c r="L31" s="2">
        <v>77.77</v>
      </c>
      <c r="M31" s="2">
        <v>78.45</v>
      </c>
      <c r="N31" s="2">
        <v>78.38</v>
      </c>
      <c r="O31" s="2">
        <v>78.79000000000001</v>
      </c>
      <c r="P31" s="2">
        <v>78.61</v>
      </c>
      <c r="Q31" s="2">
        <v>78.40000000000001</v>
      </c>
      <c r="R31" s="2">
        <v>78.81</v>
      </c>
      <c r="S31" s="2">
        <v>80.19</v>
      </c>
      <c r="T31" s="2">
        <v>78.98</v>
      </c>
      <c r="U31" s="2">
        <v>79.97</v>
      </c>
      <c r="V31" s="2">
        <v>79.22</v>
      </c>
      <c r="W31" s="2">
        <v>78.73999999999999</v>
      </c>
      <c r="X31" s="2">
        <v>79.56999999999999</v>
      </c>
      <c r="Y31" s="2">
        <v>80.38</v>
      </c>
      <c r="Z31" s="2">
        <v>80.62</v>
      </c>
      <c r="AA31" s="2">
        <v>80.48999999999999</v>
      </c>
      <c r="AB31" s="2">
        <v>80.61</v>
      </c>
      <c r="AC31" s="2">
        <v>80.65000000000001</v>
      </c>
      <c r="AD31" s="2">
        <v>80.81999999999999</v>
      </c>
      <c r="AE31" s="2">
        <v>81.14</v>
      </c>
      <c r="AF31" s="2">
        <v>81.2</v>
      </c>
      <c r="AG31" s="2">
        <v>81.2</v>
      </c>
      <c r="AH31" s="2">
        <v>80.90000000000001</v>
      </c>
      <c r="AI31" s="2">
        <v>80.84</v>
      </c>
      <c r="AJ31" s="2">
        <v>81.33</v>
      </c>
      <c r="AK31" s="2">
        <v>82.17</v>
      </c>
      <c r="AL31" s="2">
        <v>82.34</v>
      </c>
      <c r="AM31" s="2">
        <v>83.02</v>
      </c>
      <c r="AN31" s="2">
        <v>82.34</v>
      </c>
      <c r="AO31" s="2">
        <v>82.41</v>
      </c>
      <c r="AP31" s="2">
        <v>82.04000000000001</v>
      </c>
      <c r="AQ31" s="2">
        <v>82.72</v>
      </c>
      <c r="AR31" s="2">
        <v>82.23999999999999</v>
      </c>
      <c r="AS31" s="2">
        <v>82.70999999999999</v>
      </c>
      <c r="AT31" s="2">
        <v>82.23</v>
      </c>
      <c r="AU31" s="2">
        <v>82.36</v>
      </c>
      <c r="AV31" s="2">
        <v>82.31</v>
      </c>
      <c r="AW31" s="2">
        <v>83.40000000000001</v>
      </c>
      <c r="AX31" s="2">
        <v>83.77</v>
      </c>
      <c r="AY31" s="2">
        <v>83.68000000000001</v>
      </c>
      <c r="AZ31" s="2">
        <v>84.01000000000001</v>
      </c>
      <c r="BA31" s="2">
        <v>83.98999999999999</v>
      </c>
      <c r="BB31" s="2">
        <v>83.48</v>
      </c>
      <c r="BC31" s="2">
        <v>83.34</v>
      </c>
      <c r="BD31" s="2">
        <v>83.37</v>
      </c>
      <c r="BE31" s="2">
        <v>83.86</v>
      </c>
      <c r="BF31" s="2">
        <v>84.02</v>
      </c>
      <c r="BG31" s="2">
        <v>83.58</v>
      </c>
      <c r="BH31" s="2">
        <v>84.17</v>
      </c>
      <c r="BI31" s="2">
        <v>84.73</v>
      </c>
      <c r="BJ31" s="2">
        <v>84.44</v>
      </c>
      <c r="BK31" s="2">
        <v>84.83</v>
      </c>
      <c r="BL31" s="2">
        <v>85.13</v>
      </c>
      <c r="BM31" s="2">
        <v>84.73999999999999</v>
      </c>
      <c r="BN31" s="2">
        <v>84.73</v>
      </c>
      <c r="BO31" s="2">
        <v>86.7</v>
      </c>
      <c r="BP31" s="2">
        <v>86.8</v>
      </c>
      <c r="BQ31" s="2">
        <v>87.39</v>
      </c>
      <c r="BR31" s="2">
        <v>87.45</v>
      </c>
      <c r="BS31" s="2">
        <v>87.29000000000001</v>
      </c>
      <c r="BT31" s="2">
        <v>87.68000000000001</v>
      </c>
      <c r="BU31" s="2">
        <v>89.45</v>
      </c>
      <c r="BV31" s="2">
        <v>89.83</v>
      </c>
      <c r="BW31" s="2">
        <v>90.09999999999999</v>
      </c>
      <c r="BX31" s="2">
        <v>90.44</v>
      </c>
      <c r="BY31" s="2">
        <v>90.27</v>
      </c>
      <c r="BZ31" s="2">
        <v>90.20999999999999</v>
      </c>
      <c r="CA31" s="2">
        <v>92.3</v>
      </c>
      <c r="CB31" s="2">
        <v>93.15000000000001</v>
      </c>
      <c r="CC31" s="2">
        <v>93.2</v>
      </c>
      <c r="CD31" s="2">
        <v>93.69</v>
      </c>
      <c r="CE31" s="2">
        <v>93.41</v>
      </c>
      <c r="CF31" s="2">
        <v>93.84</v>
      </c>
      <c r="CG31" s="2">
        <v>94.78</v>
      </c>
      <c r="CH31" s="2">
        <v>95.09999999999999</v>
      </c>
      <c r="CI31" s="2">
        <v>94.95</v>
      </c>
      <c r="CJ31" s="2">
        <v>95.06999999999999</v>
      </c>
      <c r="CK31" s="2">
        <v>95.04000000000001</v>
      </c>
      <c r="CL31" s="2">
        <v>95.61</v>
      </c>
      <c r="CM31" s="2">
        <v>96.45</v>
      </c>
      <c r="CN31" s="2">
        <v>96.88</v>
      </c>
      <c r="CO31" s="2">
        <v>97.27</v>
      </c>
      <c r="CP31" s="2">
        <v>97.48999999999999</v>
      </c>
      <c r="CQ31" s="2">
        <v>97.45</v>
      </c>
      <c r="CR31" s="2">
        <v>97.76000000000001</v>
      </c>
      <c r="CS31" s="2">
        <v>99.40000000000001</v>
      </c>
      <c r="CT31" s="2">
        <v>99.06999999999999</v>
      </c>
      <c r="CU31" s="2">
        <v>98.54000000000001</v>
      </c>
      <c r="CV31" s="2">
        <v>99.03</v>
      </c>
      <c r="CW31" s="2">
        <v>99.11</v>
      </c>
      <c r="CX31" s="2">
        <v>99.58</v>
      </c>
      <c r="CY31" s="2">
        <v>99.98</v>
      </c>
      <c r="CZ31" s="2">
        <v>100</v>
      </c>
      <c r="DA31" s="2">
        <v>100.17</v>
      </c>
      <c r="DB31" s="2">
        <v>99.97</v>
      </c>
      <c r="DC31" s="2">
        <v>100.31</v>
      </c>
      <c r="DD31" s="2">
        <v>100.47</v>
      </c>
      <c r="DE31" s="2">
        <v>100.87</v>
      </c>
      <c r="DF31" s="2">
        <v>101.35</v>
      </c>
      <c r="DG31" s="2">
        <v>101.09</v>
      </c>
      <c r="DH31" s="2">
        <v>101.42</v>
      </c>
      <c r="DI31" s="2">
        <v>101.68</v>
      </c>
      <c r="DJ31" s="2">
        <v>102.55</v>
      </c>
      <c r="DK31" s="2">
        <v>3.2</v>
      </c>
      <c r="DL31" s="2">
        <v>4.6</v>
      </c>
      <c r="DM31" s="2">
        <v>3.4</v>
      </c>
      <c r="DN31" s="2">
        <v>2.5</v>
      </c>
      <c r="DO31" s="2">
        <v>2.3</v>
      </c>
      <c r="DP31" s="2">
        <v>2.5</v>
      </c>
      <c r="DQ31" s="2">
        <v>2.9</v>
      </c>
      <c r="DR31" s="2">
        <v>2.2</v>
      </c>
      <c r="DS31" s="2">
        <v>2.5</v>
      </c>
      <c r="DT31" s="2">
        <v>2.9</v>
      </c>
      <c r="DU31" s="2">
        <v>2.6</v>
      </c>
      <c r="DV31" s="2">
        <v>1.2</v>
      </c>
      <c r="DW31" s="2">
        <v>2.8</v>
      </c>
      <c r="DX31" s="2">
        <v>1.5</v>
      </c>
      <c r="DY31" s="2">
        <v>2.1</v>
      </c>
      <c r="DZ31" s="2">
        <v>2.7</v>
      </c>
      <c r="EA31" s="2">
        <v>2.2</v>
      </c>
      <c r="EB31" s="2">
        <v>2.2</v>
      </c>
      <c r="EC31" s="2">
        <v>2.1</v>
      </c>
      <c r="ED31" s="2">
        <v>3.1</v>
      </c>
      <c r="EE31" s="2">
        <v>2.1</v>
      </c>
      <c r="EF31" s="2">
        <v>2.2</v>
      </c>
      <c r="EG31" s="2">
        <v>1.5</v>
      </c>
      <c r="EH31" s="2">
        <v>1.9</v>
      </c>
      <c r="EI31" s="2">
        <v>1.3</v>
      </c>
      <c r="EJ31" s="2">
        <v>1.9</v>
      </c>
      <c r="EK31" s="2">
        <v>1.6</v>
      </c>
      <c r="EL31" s="2">
        <v>1.9</v>
      </c>
      <c r="EM31" s="2">
        <v>1.2</v>
      </c>
      <c r="EN31" s="2">
        <v>1.5</v>
      </c>
      <c r="EO31" s="2">
        <v>1.7</v>
      </c>
      <c r="EP31" s="2">
        <v>0.8</v>
      </c>
      <c r="EQ31" s="2">
        <v>2</v>
      </c>
      <c r="ER31" s="2">
        <v>1.9</v>
      </c>
      <c r="ES31" s="2">
        <v>1.8</v>
      </c>
      <c r="ET31" s="2">
        <v>0.7</v>
      </c>
      <c r="EU31" s="2">
        <v>1.4</v>
      </c>
      <c r="EV31" s="2">
        <v>1.4</v>
      </c>
      <c r="EW31" s="2">
        <v>2.2</v>
      </c>
      <c r="EX31" s="2">
        <v>1.5</v>
      </c>
      <c r="EY31" s="2">
        <v>2.3</v>
      </c>
      <c r="EZ31" s="2">
        <v>1.6</v>
      </c>
      <c r="FA31" s="2">
        <v>0.8</v>
      </c>
      <c r="FB31" s="2">
        <v>1.4</v>
      </c>
      <c r="FC31" s="2">
        <v>1.3</v>
      </c>
      <c r="FD31" s="2">
        <v>0.9</v>
      </c>
      <c r="FE31" s="2">
        <v>1.5</v>
      </c>
      <c r="FF31" s="2">
        <v>4</v>
      </c>
      <c r="FG31" s="2">
        <v>4.1</v>
      </c>
      <c r="FH31" s="2">
        <v>4.2</v>
      </c>
      <c r="FI31" s="2">
        <v>4.1</v>
      </c>
      <c r="FJ31" s="2">
        <v>4.4</v>
      </c>
      <c r="FK31" s="2">
        <v>4.2</v>
      </c>
      <c r="FL31" s="2">
        <v>5.6</v>
      </c>
      <c r="FM31" s="2">
        <v>6.4</v>
      </c>
      <c r="FN31" s="2">
        <v>6.2</v>
      </c>
      <c r="FO31" s="2">
        <v>6.2</v>
      </c>
      <c r="FP31" s="2">
        <v>6.5</v>
      </c>
      <c r="FQ31" s="2">
        <v>6.5</v>
      </c>
      <c r="FR31" s="2">
        <v>6.5</v>
      </c>
      <c r="FS31" s="2">
        <v>7.3</v>
      </c>
      <c r="FT31" s="2">
        <v>6.6</v>
      </c>
      <c r="FU31" s="2">
        <v>7.1</v>
      </c>
      <c r="FV31" s="2">
        <v>7</v>
      </c>
      <c r="FW31" s="2">
        <v>7</v>
      </c>
      <c r="FX31" s="2">
        <v>6</v>
      </c>
      <c r="FY31" s="2">
        <v>5.9</v>
      </c>
      <c r="FZ31" s="2">
        <v>5.4</v>
      </c>
      <c r="GA31" s="2">
        <v>5.1</v>
      </c>
      <c r="GB31" s="2">
        <v>5.3</v>
      </c>
      <c r="GC31" s="2">
        <v>6</v>
      </c>
      <c r="GD31" s="2">
        <v>4.5</v>
      </c>
      <c r="GE31" s="2">
        <v>4</v>
      </c>
      <c r="GF31" s="2">
        <v>4.4</v>
      </c>
      <c r="GG31" s="2">
        <v>4.1</v>
      </c>
      <c r="GH31" s="2">
        <v>4.3</v>
      </c>
      <c r="GI31" s="2">
        <v>4.2</v>
      </c>
      <c r="GJ31" s="2">
        <v>4.9</v>
      </c>
      <c r="GK31" s="2">
        <v>4.2</v>
      </c>
      <c r="GL31" s="2">
        <v>3.8</v>
      </c>
      <c r="GM31" s="2">
        <v>4.2</v>
      </c>
      <c r="GN31" s="2">
        <v>4.3</v>
      </c>
      <c r="GO31" s="2">
        <v>4.2</v>
      </c>
      <c r="GP31" s="2">
        <v>3.7</v>
      </c>
      <c r="GQ31" s="2">
        <v>3.2</v>
      </c>
      <c r="GR31" s="2">
        <v>3</v>
      </c>
      <c r="GS31" s="2">
        <v>2.5</v>
      </c>
      <c r="GT31" s="2">
        <v>2.9</v>
      </c>
      <c r="GU31" s="2">
        <v>2.8</v>
      </c>
      <c r="GV31" s="2">
        <v>1.5</v>
      </c>
      <c r="GW31" s="2">
        <v>2.3</v>
      </c>
      <c r="GX31" s="2">
        <v>2.6</v>
      </c>
      <c r="GY31" s="2">
        <v>2.4</v>
      </c>
      <c r="GZ31" s="2">
        <v>2.6</v>
      </c>
      <c r="HA31" s="2">
        <v>3</v>
      </c>
      <c r="HB31" s="2">
        <v>-0.1</v>
      </c>
      <c r="HC31" s="2">
        <v>0.2</v>
      </c>
      <c r="HD31" s="2">
        <v>0.3</v>
      </c>
      <c r="HE31" s="2">
        <v>1.2</v>
      </c>
      <c r="HF31" s="2">
        <v>0.9</v>
      </c>
      <c r="HG31" s="2">
        <v>-0.1</v>
      </c>
      <c r="HH31" s="2">
        <v>0.5</v>
      </c>
      <c r="HI31" s="2">
        <v>-0.2</v>
      </c>
      <c r="HJ31" s="2">
        <v>-0.3</v>
      </c>
      <c r="HK31" s="2">
        <v>0.5</v>
      </c>
      <c r="HL31" s="2">
        <v>1.8</v>
      </c>
      <c r="HM31" s="2">
        <v>-1.5</v>
      </c>
      <c r="HN31" s="2">
        <v>1.3</v>
      </c>
      <c r="HO31" s="2">
        <v>-0.9</v>
      </c>
      <c r="HP31" s="2">
        <v>-0.6</v>
      </c>
      <c r="HQ31" s="2">
        <v>1.1</v>
      </c>
      <c r="HR31" s="2">
        <v>1</v>
      </c>
      <c r="HS31" s="2">
        <v>0.3</v>
      </c>
      <c r="HT31" s="2">
        <v>-0.2</v>
      </c>
      <c r="HU31" s="2">
        <v>0.1</v>
      </c>
      <c r="HV31" s="2">
        <v>0</v>
      </c>
      <c r="HW31" s="2">
        <v>0.2</v>
      </c>
      <c r="HX31" s="2">
        <v>0.4</v>
      </c>
      <c r="HY31" s="2">
        <v>0.1</v>
      </c>
      <c r="HZ31" s="2">
        <v>0</v>
      </c>
      <c r="IA31" s="2">
        <v>-0.4</v>
      </c>
      <c r="IB31" s="2">
        <v>-0.1</v>
      </c>
      <c r="IC31" s="2">
        <v>0.6</v>
      </c>
      <c r="ID31" s="2">
        <v>1</v>
      </c>
      <c r="IE31" s="2">
        <v>0.2</v>
      </c>
      <c r="IF31" s="2">
        <v>0.8</v>
      </c>
      <c r="IG31" s="2">
        <v>-0.8</v>
      </c>
      <c r="IH31" s="2">
        <v>0.1</v>
      </c>
      <c r="II31" s="2">
        <v>-0.4</v>
      </c>
      <c r="IJ31" s="2">
        <v>0.8</v>
      </c>
      <c r="IK31" s="2">
        <v>-0.6</v>
      </c>
      <c r="IL31" s="2">
        <v>0.6</v>
      </c>
      <c r="IM31" s="2">
        <v>-0.6</v>
      </c>
      <c r="IN31" s="2">
        <v>0.2</v>
      </c>
      <c r="IO31" s="2">
        <v>-0.1</v>
      </c>
      <c r="IP31" s="2">
        <v>1.3</v>
      </c>
      <c r="IQ31" s="2">
        <v>0.4</v>
      </c>
      <c r="IR31" s="2">
        <v>-0.1</v>
      </c>
      <c r="IS31" s="2">
        <v>0.4</v>
      </c>
      <c r="IT31" s="2">
        <v>0</v>
      </c>
      <c r="IU31" s="2">
        <v>-0.6</v>
      </c>
      <c r="IV31" s="2">
        <v>-0.2</v>
      </c>
      <c r="IW31" s="2">
        <v>0</v>
      </c>
      <c r="IX31" s="2">
        <v>0.6</v>
      </c>
      <c r="IY31" s="2">
        <v>0.2</v>
      </c>
      <c r="IZ31" s="2">
        <v>-0.5</v>
      </c>
      <c r="JA31" s="2">
        <v>0.7</v>
      </c>
      <c r="JB31" s="2">
        <v>0.7</v>
      </c>
      <c r="JC31" s="2">
        <v>-0.3</v>
      </c>
      <c r="JD31" s="2">
        <v>0.5</v>
      </c>
      <c r="JE31" s="2">
        <v>0.4</v>
      </c>
      <c r="JF31" s="2">
        <v>-0.5</v>
      </c>
      <c r="JG31" s="2">
        <v>0</v>
      </c>
      <c r="JH31" s="2">
        <v>2.3</v>
      </c>
      <c r="JI31" s="2">
        <v>0.1</v>
      </c>
      <c r="JJ31" s="2">
        <v>0.7</v>
      </c>
      <c r="JK31" s="2">
        <v>0.1</v>
      </c>
      <c r="JL31" s="2">
        <v>-0.2</v>
      </c>
      <c r="JM31" s="2">
        <v>0.4</v>
      </c>
      <c r="JN31" s="2">
        <v>2</v>
      </c>
      <c r="JO31" s="2">
        <v>0.4</v>
      </c>
      <c r="JP31" s="2">
        <v>0.3</v>
      </c>
      <c r="JQ31" s="2">
        <v>0.4</v>
      </c>
      <c r="JR31" s="2">
        <v>-0.2</v>
      </c>
      <c r="JS31" s="2">
        <v>-0.1</v>
      </c>
      <c r="JT31" s="2">
        <v>2.3</v>
      </c>
      <c r="JU31" s="2">
        <v>0.9</v>
      </c>
      <c r="JV31" s="2">
        <v>0.1</v>
      </c>
      <c r="JW31" s="2">
        <v>0.5</v>
      </c>
      <c r="JX31" s="2">
        <v>-0.3</v>
      </c>
      <c r="JY31" s="2">
        <v>0.5</v>
      </c>
      <c r="JZ31" s="2">
        <v>1</v>
      </c>
      <c r="KA31" s="2">
        <v>0.3</v>
      </c>
      <c r="KB31" s="2">
        <v>-0.2</v>
      </c>
      <c r="KC31" s="2">
        <v>0.1</v>
      </c>
      <c r="KD31" s="2">
        <v>0</v>
      </c>
      <c r="KE31" s="2">
        <v>0.6</v>
      </c>
      <c r="KF31" s="2">
        <v>0.9</v>
      </c>
      <c r="KG31" s="2">
        <v>0.4</v>
      </c>
      <c r="KH31" s="2">
        <v>0.4</v>
      </c>
      <c r="KI31" s="2">
        <v>0.2</v>
      </c>
      <c r="KJ31" s="2">
        <v>0</v>
      </c>
      <c r="KK31" s="2">
        <v>0.3</v>
      </c>
      <c r="KL31" s="2">
        <v>1.7</v>
      </c>
      <c r="KM31" s="2">
        <v>-0.3</v>
      </c>
      <c r="KN31" s="2">
        <v>-0.5</v>
      </c>
      <c r="KO31" s="2">
        <v>0.5</v>
      </c>
      <c r="KP31" s="2">
        <v>0.1</v>
      </c>
      <c r="KQ31" s="2">
        <v>0.5</v>
      </c>
      <c r="KR31" s="2">
        <v>0.4</v>
      </c>
      <c r="KS31" s="2">
        <v>0</v>
      </c>
      <c r="KT31" s="2">
        <v>0.2</v>
      </c>
      <c r="KU31" s="2">
        <v>-0.2</v>
      </c>
      <c r="KV31" s="2">
        <v>0.3</v>
      </c>
      <c r="KW31" s="2">
        <v>0.2</v>
      </c>
      <c r="KX31" s="2">
        <v>0.4</v>
      </c>
      <c r="KY31" s="2">
        <v>0.5</v>
      </c>
      <c r="KZ31" s="2">
        <v>-0.3</v>
      </c>
      <c r="LA31" s="2">
        <v>0.3</v>
      </c>
      <c r="LB31" s="2">
        <v>0.3</v>
      </c>
      <c r="LC31" s="2">
        <v>0.9</v>
      </c>
      <c r="LD31" s="2">
        <v>2.01</v>
      </c>
      <c r="LE31" s="2">
        <v>2.02</v>
      </c>
      <c r="LF31" s="2">
        <v>2.05</v>
      </c>
      <c r="LG31" s="2">
        <v>2.05</v>
      </c>
      <c r="LH31" s="2">
        <v>2.04</v>
      </c>
      <c r="LI31" s="2">
        <v>2.05</v>
      </c>
      <c r="LJ31" s="2">
        <v>2.05</v>
      </c>
      <c r="LK31" s="2">
        <v>2.06</v>
      </c>
      <c r="LL31" s="2">
        <v>2.07</v>
      </c>
      <c r="LM31" s="2">
        <v>2.07</v>
      </c>
      <c r="LN31" s="2">
        <v>2.07</v>
      </c>
      <c r="LO31" s="2">
        <v>2.07</v>
      </c>
      <c r="LP31" s="2">
        <v>2.07</v>
      </c>
      <c r="LQ31" s="2">
        <v>2.08</v>
      </c>
      <c r="LR31" s="2">
        <v>2.09</v>
      </c>
      <c r="LS31" s="2">
        <v>2.1</v>
      </c>
      <c r="LT31" s="2">
        <v>2.09</v>
      </c>
      <c r="LU31" s="2">
        <v>2.1</v>
      </c>
      <c r="LV31" s="2">
        <v>2.1</v>
      </c>
      <c r="LW31" s="2">
        <v>2.12</v>
      </c>
      <c r="LX31" s="2">
        <v>0.01</v>
      </c>
      <c r="LY31" s="2">
        <v>0.03</v>
      </c>
      <c r="LZ31" s="2">
        <v>0</v>
      </c>
      <c r="MA31" s="2">
        <v>-0.01</v>
      </c>
      <c r="MB31" s="2">
        <v>0.01</v>
      </c>
      <c r="MC31" s="2">
        <v>0</v>
      </c>
      <c r="MD31" s="2">
        <v>0.01</v>
      </c>
      <c r="ME31" s="2">
        <v>0.01</v>
      </c>
      <c r="MF31" s="2">
        <v>0</v>
      </c>
      <c r="MG31" s="2">
        <v>0</v>
      </c>
      <c r="MH31" s="2">
        <v>0</v>
      </c>
      <c r="MI31" s="2">
        <v>0</v>
      </c>
      <c r="MJ31" s="2">
        <v>0.01</v>
      </c>
      <c r="MK31" s="2">
        <v>0.01</v>
      </c>
      <c r="ML31" s="2">
        <v>0.01</v>
      </c>
      <c r="MM31" s="2">
        <v>-0.01</v>
      </c>
      <c r="MN31" s="2">
        <v>0.01</v>
      </c>
      <c r="MO31" s="2">
        <v>0</v>
      </c>
      <c r="MP31" s="2">
        <v>0.02</v>
      </c>
      <c r="QI31" s="2">
        <v>5.15</v>
      </c>
      <c r="QJ31" s="2">
        <v>5.23</v>
      </c>
      <c r="QK31" s="2">
        <v>5.25</v>
      </c>
      <c r="QL31" s="2">
        <v>5.58</v>
      </c>
      <c r="QM31" s="2">
        <v>5.58</v>
      </c>
      <c r="QN31" s="2">
        <v>5.58</v>
      </c>
      <c r="QO31" s="2">
        <v>5.61</v>
      </c>
      <c r="QP31" s="2">
        <v>6.07</v>
      </c>
      <c r="QQ31" s="2">
        <v>6.26</v>
      </c>
      <c r="QR31" s="2">
        <v>6.45</v>
      </c>
      <c r="QS31" s="2">
        <v>6.64</v>
      </c>
      <c r="QT31" s="2">
        <v>6.75</v>
      </c>
      <c r="QU31" s="2">
        <v>6.89</v>
      </c>
      <c r="QV31" s="2">
        <v>8.49</v>
      </c>
      <c r="QW31" s="2">
        <v>8.550000000000001</v>
      </c>
      <c r="QX31" s="2">
        <v>8.85</v>
      </c>
      <c r="QY31" s="2">
        <v>8.789999999999999</v>
      </c>
      <c r="QZ31" s="2">
        <v>8.93</v>
      </c>
      <c r="RA31" s="2">
        <v>9.01</v>
      </c>
      <c r="RB31" s="2">
        <v>9.119999999999999</v>
      </c>
      <c r="RC31" s="2">
        <v>9.26</v>
      </c>
      <c r="RD31" s="2">
        <v>9.42</v>
      </c>
      <c r="RE31" s="2">
        <v>9.470000000000001</v>
      </c>
      <c r="RF31" s="2">
        <v>9.56</v>
      </c>
      <c r="RG31" s="2">
        <v>9.66</v>
      </c>
      <c r="RH31" s="2">
        <v>11.38</v>
      </c>
      <c r="RI31" s="2">
        <v>11.22</v>
      </c>
      <c r="RJ31" s="2">
        <v>11.41</v>
      </c>
      <c r="RK31" s="2">
        <v>11.54</v>
      </c>
      <c r="RL31" s="2">
        <v>11.65</v>
      </c>
      <c r="RM31" s="2">
        <v>11.98</v>
      </c>
      <c r="RN31" s="2">
        <v>12.22</v>
      </c>
      <c r="RO31" s="2">
        <v>12.5</v>
      </c>
      <c r="RP31" s="2">
        <v>12.66</v>
      </c>
      <c r="RQ31" s="2">
        <v>13.09</v>
      </c>
      <c r="RR31" s="2">
        <v>13.34</v>
      </c>
      <c r="RS31" s="2">
        <v>13.78</v>
      </c>
      <c r="RT31" s="2">
        <v>13.99</v>
      </c>
      <c r="RU31" s="2">
        <v>14.43</v>
      </c>
      <c r="RV31" s="2">
        <v>14.76</v>
      </c>
      <c r="RW31" s="2">
        <v>15.41</v>
      </c>
      <c r="RX31" s="2">
        <v>16.25</v>
      </c>
      <c r="RY31" s="2">
        <v>16.5</v>
      </c>
      <c r="RZ31" s="2">
        <v>16.74</v>
      </c>
      <c r="SA31" s="2">
        <v>16.88</v>
      </c>
      <c r="SB31" s="2">
        <v>17.59</v>
      </c>
      <c r="SC31" s="2">
        <v>18.05</v>
      </c>
      <c r="SD31" s="2">
        <v>18.57</v>
      </c>
      <c r="SE31" s="2">
        <v>18.78</v>
      </c>
      <c r="SF31" s="2">
        <v>19.11</v>
      </c>
      <c r="SG31" s="2">
        <v>19.38</v>
      </c>
      <c r="SH31" s="2">
        <v>19.66</v>
      </c>
      <c r="SI31" s="2">
        <v>20.2</v>
      </c>
      <c r="SJ31" s="2">
        <v>20.66</v>
      </c>
      <c r="SK31" s="2">
        <v>21.18</v>
      </c>
      <c r="SL31" s="2">
        <v>21.64</v>
      </c>
      <c r="SM31" s="2">
        <v>22.16</v>
      </c>
      <c r="SN31" s="2">
        <v>22.73</v>
      </c>
      <c r="SO31" s="2">
        <v>23.41</v>
      </c>
      <c r="SP31" s="2">
        <v>24.04</v>
      </c>
      <c r="SQ31" s="2">
        <v>24.47</v>
      </c>
      <c r="SR31" s="2">
        <v>24.99</v>
      </c>
      <c r="SS31" s="2">
        <v>25.45</v>
      </c>
      <c r="ST31" s="2">
        <v>25.84</v>
      </c>
      <c r="SU31" s="2">
        <v>25.84</v>
      </c>
      <c r="SV31" s="2">
        <v>25.18</v>
      </c>
      <c r="SW31" s="2">
        <v>25.51</v>
      </c>
      <c r="SX31" s="2">
        <v>25.92</v>
      </c>
      <c r="SY31" s="2">
        <v>26.41</v>
      </c>
      <c r="SZ31" s="2">
        <v>26.92</v>
      </c>
      <c r="TA31" s="2">
        <v>27.55</v>
      </c>
      <c r="TB31" s="2">
        <v>28.04</v>
      </c>
      <c r="TC31" s="2">
        <v>28.67</v>
      </c>
      <c r="TD31" s="2">
        <v>29.35</v>
      </c>
      <c r="TE31" s="2">
        <v>29.67</v>
      </c>
      <c r="TF31" s="2">
        <v>30.11</v>
      </c>
      <c r="TG31" s="2">
        <v>30.16</v>
      </c>
      <c r="TH31" s="2">
        <v>30.36</v>
      </c>
      <c r="TI31" s="2">
        <v>30.55</v>
      </c>
      <c r="TJ31" s="2">
        <v>30.87</v>
      </c>
      <c r="TK31" s="2">
        <v>31.09</v>
      </c>
      <c r="TL31" s="2">
        <v>31.17</v>
      </c>
      <c r="TM31" s="2">
        <v>31.44</v>
      </c>
      <c r="TN31" s="2">
        <v>31.77</v>
      </c>
      <c r="TO31" s="2">
        <v>32.07</v>
      </c>
      <c r="TP31" s="2">
        <v>32.34</v>
      </c>
      <c r="TQ31" s="2">
        <v>32.51</v>
      </c>
      <c r="TR31" s="2">
        <v>32.75</v>
      </c>
      <c r="TS31" s="2">
        <v>33</v>
      </c>
      <c r="TT31" s="2">
        <v>33.1</v>
      </c>
      <c r="TU31" s="2">
        <v>33.43</v>
      </c>
      <c r="TV31" s="2">
        <v>34.03</v>
      </c>
      <c r="TW31" s="2">
        <v>34.63</v>
      </c>
      <c r="TX31" s="2">
        <v>34.87</v>
      </c>
      <c r="TY31" s="2">
        <v>35.39</v>
      </c>
      <c r="TZ31" s="2">
        <v>35.96</v>
      </c>
      <c r="UA31" s="2">
        <v>36.02</v>
      </c>
      <c r="UB31" s="2">
        <v>36.15</v>
      </c>
      <c r="UC31" s="2">
        <v>36.34</v>
      </c>
      <c r="UD31" s="2">
        <v>36.29</v>
      </c>
      <c r="UE31" s="2">
        <v>36.29</v>
      </c>
      <c r="UF31" s="2">
        <v>36.4</v>
      </c>
      <c r="UG31" s="2">
        <v>36.45</v>
      </c>
      <c r="UH31" s="2">
        <v>36.64</v>
      </c>
      <c r="UI31" s="2">
        <v>36.67</v>
      </c>
      <c r="UJ31" s="2">
        <v>36.88</v>
      </c>
      <c r="UK31" s="2">
        <v>37.15</v>
      </c>
      <c r="UL31" s="2">
        <v>37.31</v>
      </c>
      <c r="UM31" s="2">
        <v>37.2</v>
      </c>
      <c r="UN31" s="2">
        <v>37.61</v>
      </c>
      <c r="UO31" s="2">
        <v>37.82</v>
      </c>
      <c r="UP31" s="2">
        <v>38.49</v>
      </c>
      <c r="UQ31" s="2">
        <v>40.34</v>
      </c>
      <c r="UR31" s="2">
        <v>40.85</v>
      </c>
      <c r="US31" s="2">
        <v>41.7</v>
      </c>
      <c r="UT31" s="2">
        <v>41.71</v>
      </c>
      <c r="UU31" s="2">
        <v>42.01</v>
      </c>
      <c r="UV31" s="2">
        <v>42.2</v>
      </c>
      <c r="UW31" s="2">
        <v>42.4</v>
      </c>
      <c r="UX31" s="2">
        <v>42.51</v>
      </c>
      <c r="UY31" s="2">
        <v>43.29</v>
      </c>
      <c r="UZ31" s="2">
        <v>43.25</v>
      </c>
      <c r="VA31" s="2">
        <v>43.81</v>
      </c>
      <c r="VB31" s="2">
        <v>43.98</v>
      </c>
      <c r="VC31" s="2">
        <v>45.63</v>
      </c>
      <c r="VD31" s="2">
        <v>46.24</v>
      </c>
      <c r="VE31" s="2">
        <v>46.57</v>
      </c>
      <c r="VF31" s="2">
        <v>47.04</v>
      </c>
      <c r="VG31" s="2">
        <v>47.52</v>
      </c>
      <c r="VH31" s="2">
        <v>48.26</v>
      </c>
      <c r="VI31" s="2">
        <v>48.86</v>
      </c>
      <c r="VJ31" s="2">
        <v>49.1</v>
      </c>
      <c r="VK31" s="2">
        <v>50.02</v>
      </c>
      <c r="VL31" s="2">
        <v>50.25</v>
      </c>
      <c r="VM31" s="2">
        <v>51.07</v>
      </c>
      <c r="VN31" s="2">
        <v>51.43</v>
      </c>
      <c r="VO31" s="2">
        <v>51.9</v>
      </c>
      <c r="VP31" s="2">
        <v>52.54</v>
      </c>
      <c r="VQ31" s="2">
        <v>52.92</v>
      </c>
      <c r="VR31" s="2">
        <v>53.88</v>
      </c>
      <c r="VS31" s="2">
        <v>54.27</v>
      </c>
      <c r="VT31" s="2">
        <v>55.4</v>
      </c>
      <c r="VU31" s="2">
        <v>56.28</v>
      </c>
      <c r="VV31" s="2">
        <v>56.57</v>
      </c>
      <c r="VW31" s="2">
        <v>57.02</v>
      </c>
      <c r="VX31" s="2">
        <v>58.04</v>
      </c>
      <c r="VY31" s="2">
        <v>58.31</v>
      </c>
      <c r="VZ31" s="2">
        <v>58.98</v>
      </c>
      <c r="WA31" s="2">
        <v>59.84</v>
      </c>
      <c r="WB31" s="2">
        <v>61.09</v>
      </c>
      <c r="WC31" s="2">
        <v>61.79</v>
      </c>
      <c r="WD31" s="2">
        <v>62.6</v>
      </c>
      <c r="WE31" s="2">
        <v>62.89</v>
      </c>
      <c r="WF31" s="2">
        <v>63.25</v>
      </c>
      <c r="WG31" s="2">
        <v>63.1</v>
      </c>
      <c r="WH31" s="2">
        <v>63.35</v>
      </c>
      <c r="WI31" s="2">
        <v>63.4</v>
      </c>
      <c r="WJ31" s="2">
        <v>64.2</v>
      </c>
      <c r="WK31" s="2">
        <v>65.22</v>
      </c>
      <c r="WL31" s="2">
        <v>65.70999999999999</v>
      </c>
      <c r="WM31" s="2">
        <v>66.29000000000001</v>
      </c>
      <c r="WN31" s="2">
        <v>65.97</v>
      </c>
      <c r="WO31" s="2">
        <v>65.89</v>
      </c>
      <c r="WP31" s="2">
        <v>66.34999999999999</v>
      </c>
      <c r="WQ31" s="2">
        <v>66.38</v>
      </c>
      <c r="WR31" s="2">
        <v>67.47</v>
      </c>
      <c r="WS31" s="2">
        <v>67.84999999999999</v>
      </c>
      <c r="WT31" s="2">
        <v>68.62</v>
      </c>
      <c r="WU31" s="2">
        <v>69.19</v>
      </c>
      <c r="WV31" s="2">
        <v>69.48999999999999</v>
      </c>
      <c r="WW31" s="2">
        <v>70.27</v>
      </c>
      <c r="WX31" s="2">
        <v>70.5</v>
      </c>
      <c r="WY31" s="2">
        <v>71.56</v>
      </c>
      <c r="WZ31" s="2">
        <v>72.02</v>
      </c>
      <c r="XA31" s="2">
        <v>72.88</v>
      </c>
      <c r="XB31" s="2">
        <v>73.05</v>
      </c>
      <c r="XC31" s="2">
        <v>73.58</v>
      </c>
      <c r="XD31" s="2">
        <v>73.88</v>
      </c>
      <c r="XE31" s="2">
        <v>74.56</v>
      </c>
      <c r="XF31" s="2">
        <v>75.26000000000001</v>
      </c>
      <c r="XG31" s="2">
        <v>75.95999999999999</v>
      </c>
      <c r="XH31" s="2">
        <v>76.62</v>
      </c>
      <c r="XI31" s="2">
        <v>78.17</v>
      </c>
      <c r="XJ31" s="2">
        <v>78.56999999999999</v>
      </c>
      <c r="XK31" s="2">
        <v>79.3</v>
      </c>
      <c r="XL31" s="2">
        <v>79.28</v>
      </c>
      <c r="XM31" s="2">
        <v>80.16</v>
      </c>
      <c r="XN31" s="2">
        <v>80.55</v>
      </c>
      <c r="XO31" s="2">
        <v>81</v>
      </c>
      <c r="XP31" s="2">
        <v>80.92</v>
      </c>
      <c r="XQ31" s="2">
        <v>81.89</v>
      </c>
      <c r="XR31" s="2">
        <v>82.53</v>
      </c>
      <c r="XS31" s="2">
        <v>82.28</v>
      </c>
      <c r="XT31" s="2">
        <v>82.38</v>
      </c>
      <c r="XU31" s="2">
        <v>83.09999999999999</v>
      </c>
      <c r="XV31" s="2">
        <v>83.84</v>
      </c>
      <c r="XW31" s="2">
        <v>83.34</v>
      </c>
      <c r="XX31" s="2">
        <v>83.76000000000001</v>
      </c>
      <c r="XY31" s="2">
        <v>84.39</v>
      </c>
      <c r="XZ31" s="2">
        <v>84.84</v>
      </c>
      <c r="YA31" s="2">
        <v>86.02</v>
      </c>
      <c r="YB31" s="2">
        <v>87.31</v>
      </c>
      <c r="YC31" s="2">
        <v>88.92</v>
      </c>
      <c r="YD31" s="2">
        <v>90.2</v>
      </c>
      <c r="YE31" s="2">
        <v>91.81999999999999</v>
      </c>
      <c r="YF31" s="2">
        <v>93.36</v>
      </c>
      <c r="YG31" s="2">
        <v>94.51000000000001</v>
      </c>
      <c r="YH31" s="2">
        <v>94.95</v>
      </c>
      <c r="YI31" s="2">
        <v>96.23999999999999</v>
      </c>
      <c r="YJ31" s="2">
        <v>97.38</v>
      </c>
      <c r="YK31" s="2">
        <v>98.73999999999999</v>
      </c>
      <c r="YL31" s="2">
        <v>98.89</v>
      </c>
      <c r="YM31" s="2">
        <v>99.84999999999999</v>
      </c>
      <c r="YN31" s="2">
        <v>100.15</v>
      </c>
      <c r="YO31" s="2">
        <v>100.9</v>
      </c>
      <c r="YP31" s="2">
        <v>101.39</v>
      </c>
      <c r="ACI31" s="2">
        <v>1.6</v>
      </c>
      <c r="ACJ31" s="2">
        <v>0.4</v>
      </c>
      <c r="ACK31" s="2">
        <v>6.3</v>
      </c>
      <c r="ACL31" s="2">
        <v>0</v>
      </c>
      <c r="ACM31" s="2">
        <v>0</v>
      </c>
      <c r="ACN31" s="2">
        <v>0.5</v>
      </c>
      <c r="ACO31" s="2">
        <v>8.199999999999999</v>
      </c>
      <c r="ACP31" s="2">
        <v>3.1</v>
      </c>
      <c r="ACQ31" s="2">
        <v>3</v>
      </c>
      <c r="ACR31" s="2">
        <v>2.9</v>
      </c>
      <c r="ACS31" s="2">
        <v>1.7</v>
      </c>
      <c r="ACT31" s="2">
        <v>2.1</v>
      </c>
      <c r="ACU31" s="2">
        <v>23.2</v>
      </c>
      <c r="ACV31" s="2">
        <v>0.7</v>
      </c>
      <c r="ACW31" s="2">
        <v>3.5</v>
      </c>
      <c r="ACX31" s="2">
        <v>-0.7</v>
      </c>
      <c r="ACY31" s="2">
        <v>1.6</v>
      </c>
      <c r="ACZ31" s="2">
        <v>0.9</v>
      </c>
      <c r="ADA31" s="2">
        <v>1.2</v>
      </c>
      <c r="ADB31" s="2">
        <v>1.5</v>
      </c>
      <c r="ADC31" s="2">
        <v>1.7</v>
      </c>
      <c r="ADD31" s="2">
        <v>0.5</v>
      </c>
      <c r="ADE31" s="2">
        <v>1</v>
      </c>
      <c r="ADF31" s="2">
        <v>1</v>
      </c>
      <c r="ADG31" s="2">
        <v>17.8</v>
      </c>
      <c r="ADH31" s="2">
        <v>-1.4</v>
      </c>
      <c r="ADI31" s="2">
        <v>1.7</v>
      </c>
      <c r="ADJ31" s="2">
        <v>1.1</v>
      </c>
      <c r="ADK31" s="2">
        <v>1</v>
      </c>
      <c r="ADL31" s="2">
        <v>2.8</v>
      </c>
      <c r="ADM31" s="2">
        <v>2</v>
      </c>
      <c r="ADN31" s="2">
        <v>2.3</v>
      </c>
      <c r="ADO31" s="2">
        <v>1.3</v>
      </c>
      <c r="ADP31" s="2">
        <v>3.4</v>
      </c>
      <c r="ADQ31" s="2">
        <v>1.9</v>
      </c>
      <c r="ADR31" s="2">
        <v>3.3</v>
      </c>
      <c r="ADS31" s="2">
        <v>1.5</v>
      </c>
      <c r="ADT31" s="2">
        <v>3.1</v>
      </c>
      <c r="ADU31" s="2">
        <v>2.3</v>
      </c>
      <c r="ADV31" s="2">
        <v>4.4</v>
      </c>
      <c r="ADW31" s="2">
        <v>5.5</v>
      </c>
      <c r="ADX31" s="2">
        <v>1.5</v>
      </c>
      <c r="ADY31" s="2">
        <v>1.5</v>
      </c>
      <c r="ADZ31" s="2">
        <v>0.8</v>
      </c>
      <c r="AEA31" s="2">
        <v>4.2</v>
      </c>
      <c r="AEB31" s="2">
        <v>2.6</v>
      </c>
      <c r="AEC31" s="2">
        <v>2.9</v>
      </c>
      <c r="AED31" s="2">
        <v>1.1</v>
      </c>
      <c r="AEE31" s="2">
        <v>1.8</v>
      </c>
      <c r="AEF31" s="2">
        <v>1.4</v>
      </c>
      <c r="AEG31" s="2">
        <v>1.4</v>
      </c>
      <c r="AEH31" s="2">
        <v>2.7</v>
      </c>
      <c r="AEI31" s="2">
        <v>2.3</v>
      </c>
      <c r="AEJ31" s="2">
        <v>2.5</v>
      </c>
      <c r="AEK31" s="2">
        <v>2.2</v>
      </c>
      <c r="AEL31" s="2">
        <v>2.4</v>
      </c>
      <c r="AEM31" s="2">
        <v>2.6</v>
      </c>
      <c r="AEN31" s="2">
        <v>3</v>
      </c>
      <c r="AEO31" s="2">
        <v>2.7</v>
      </c>
      <c r="AEP31" s="2">
        <v>1.8</v>
      </c>
      <c r="AEQ31" s="2">
        <v>2.1</v>
      </c>
      <c r="AER31" s="2">
        <v>1.8</v>
      </c>
      <c r="AES31" s="2">
        <v>1.5</v>
      </c>
      <c r="AET31" s="2">
        <v>0</v>
      </c>
      <c r="AEU31" s="2">
        <v>-2.6</v>
      </c>
      <c r="AEV31" s="2">
        <v>1.3</v>
      </c>
      <c r="AEW31" s="2">
        <v>1.6</v>
      </c>
      <c r="AEX31" s="2">
        <v>1.9</v>
      </c>
      <c r="AEY31" s="2">
        <v>1.9</v>
      </c>
      <c r="AEZ31" s="2">
        <v>2.3</v>
      </c>
      <c r="AFA31" s="2">
        <v>1.8</v>
      </c>
      <c r="AFB31" s="2">
        <v>2.2</v>
      </c>
      <c r="AFC31" s="2">
        <v>2.4</v>
      </c>
      <c r="AFD31" s="2">
        <v>1.1</v>
      </c>
      <c r="AFE31" s="2">
        <v>1.5</v>
      </c>
      <c r="AFF31" s="2">
        <v>0.2</v>
      </c>
      <c r="AFG31" s="2">
        <v>0.7</v>
      </c>
      <c r="AFH31" s="2">
        <v>0.6</v>
      </c>
      <c r="AFI31" s="2">
        <v>1</v>
      </c>
      <c r="AFJ31" s="2">
        <v>0.7</v>
      </c>
      <c r="AFK31" s="2">
        <v>0.3</v>
      </c>
      <c r="AFL31" s="2">
        <v>0.9</v>
      </c>
      <c r="AFM31" s="2">
        <v>1</v>
      </c>
      <c r="AFN31" s="2">
        <v>0.9</v>
      </c>
      <c r="AFO31" s="2">
        <v>0.8</v>
      </c>
      <c r="AFP31" s="2">
        <v>0.5</v>
      </c>
      <c r="AFQ31" s="2">
        <v>0.7</v>
      </c>
      <c r="AFR31" s="2">
        <v>0.8</v>
      </c>
      <c r="AFS31" s="2">
        <v>0.3</v>
      </c>
      <c r="AFT31" s="2">
        <v>1</v>
      </c>
      <c r="AFU31" s="2">
        <v>1.8</v>
      </c>
      <c r="AFV31" s="2">
        <v>1.8</v>
      </c>
      <c r="AFW31" s="2">
        <v>0.7</v>
      </c>
      <c r="AFX31" s="2">
        <v>1.5</v>
      </c>
      <c r="AFY31" s="2">
        <v>1.6</v>
      </c>
      <c r="AFZ31" s="2">
        <v>0.2</v>
      </c>
      <c r="AGA31" s="2">
        <v>0.4</v>
      </c>
      <c r="AGB31" s="2">
        <v>0.5</v>
      </c>
      <c r="AGC31" s="2">
        <v>-0.1</v>
      </c>
      <c r="AGD31" s="2">
        <v>0</v>
      </c>
      <c r="AGE31" s="2">
        <v>0.3</v>
      </c>
      <c r="AGF31" s="2">
        <v>0.1</v>
      </c>
      <c r="AGG31" s="2">
        <v>0.5</v>
      </c>
      <c r="AGH31" s="2">
        <v>0.1</v>
      </c>
      <c r="AGI31" s="2">
        <v>0.6</v>
      </c>
      <c r="AGJ31" s="2">
        <v>0.7</v>
      </c>
      <c r="AGK31" s="2">
        <v>0.4</v>
      </c>
      <c r="AGL31" s="2">
        <v>-0.3</v>
      </c>
      <c r="AGM31" s="2">
        <v>1.1</v>
      </c>
      <c r="AGN31" s="2">
        <v>0.6</v>
      </c>
      <c r="AGO31" s="2">
        <v>1.8</v>
      </c>
      <c r="AGP31" s="2">
        <v>4.8</v>
      </c>
      <c r="AGQ31" s="2">
        <v>1.3</v>
      </c>
      <c r="AGR31" s="2">
        <v>2.1</v>
      </c>
      <c r="AGS31" s="2">
        <v>0</v>
      </c>
      <c r="AGT31" s="2">
        <v>0.7</v>
      </c>
      <c r="AGU31" s="2">
        <v>0.5</v>
      </c>
      <c r="AGV31" s="2">
        <v>0.5</v>
      </c>
      <c r="AGW31" s="2">
        <v>0.3</v>
      </c>
      <c r="AGX31" s="2">
        <v>1.8</v>
      </c>
      <c r="AGY31" s="2">
        <v>-0.1</v>
      </c>
      <c r="AGZ31" s="2">
        <v>1.3</v>
      </c>
      <c r="AHA31" s="2">
        <v>0.4</v>
      </c>
      <c r="AHB31" s="2">
        <v>3.8</v>
      </c>
      <c r="AHC31" s="2">
        <v>1.3</v>
      </c>
      <c r="AHD31" s="2">
        <v>0.7</v>
      </c>
      <c r="AHE31" s="2">
        <v>1</v>
      </c>
      <c r="AHF31" s="2">
        <v>1</v>
      </c>
      <c r="AHG31" s="2">
        <v>1.6</v>
      </c>
      <c r="AHH31" s="2">
        <v>1.2</v>
      </c>
      <c r="AHI31" s="2">
        <v>0.5</v>
      </c>
      <c r="AHJ31" s="2">
        <v>1.9</v>
      </c>
      <c r="AHK31" s="2">
        <v>0.5</v>
      </c>
      <c r="AHL31" s="2">
        <v>1.6</v>
      </c>
      <c r="AHM31" s="2">
        <v>0.7</v>
      </c>
      <c r="AHN31" s="2">
        <v>0.9</v>
      </c>
      <c r="AHO31" s="2">
        <v>1.2</v>
      </c>
      <c r="AHP31" s="2">
        <v>0.7</v>
      </c>
      <c r="AHQ31" s="2">
        <v>1.8</v>
      </c>
      <c r="AHR31" s="2">
        <v>0.7</v>
      </c>
      <c r="AHS31" s="2">
        <v>2.1</v>
      </c>
      <c r="AHT31" s="2">
        <v>1.6</v>
      </c>
      <c r="AHU31" s="2">
        <v>0.5</v>
      </c>
      <c r="AHV31" s="2">
        <v>0.8</v>
      </c>
      <c r="AHW31" s="2">
        <v>1.8</v>
      </c>
      <c r="AHX31" s="2">
        <v>0.5</v>
      </c>
      <c r="AHY31" s="2">
        <v>1.1</v>
      </c>
      <c r="AHZ31" s="2">
        <v>1.5</v>
      </c>
      <c r="AIA31" s="2">
        <v>2.1</v>
      </c>
      <c r="AIB31" s="2">
        <v>1.1</v>
      </c>
      <c r="AIC31" s="2">
        <v>1.3</v>
      </c>
      <c r="AID31" s="2">
        <v>0.5</v>
      </c>
      <c r="AIE31" s="2">
        <v>0.6</v>
      </c>
      <c r="AIF31" s="2">
        <v>-0.2</v>
      </c>
      <c r="AIG31" s="2">
        <v>0.4</v>
      </c>
      <c r="AIH31" s="2">
        <v>0.1</v>
      </c>
      <c r="AII31" s="2">
        <v>1.3</v>
      </c>
      <c r="AIJ31" s="2">
        <v>1.6</v>
      </c>
      <c r="AIK31" s="2">
        <v>0.8</v>
      </c>
      <c r="AIL31" s="2">
        <v>0.9</v>
      </c>
      <c r="AIM31" s="2">
        <v>-0.5</v>
      </c>
      <c r="AIN31" s="2">
        <v>-0.1</v>
      </c>
      <c r="AIO31" s="2">
        <v>0.7</v>
      </c>
      <c r="AIP31" s="2">
        <v>0</v>
      </c>
      <c r="AIQ31" s="2">
        <v>1.6</v>
      </c>
      <c r="AIR31" s="2">
        <v>0.6</v>
      </c>
      <c r="AIS31" s="2">
        <v>1.1</v>
      </c>
      <c r="AIT31" s="2">
        <v>0.8</v>
      </c>
      <c r="AIU31" s="2">
        <v>0.4</v>
      </c>
      <c r="AIV31" s="2">
        <v>1.1</v>
      </c>
      <c r="AIW31" s="2">
        <v>0.3</v>
      </c>
      <c r="AIX31" s="2">
        <v>1.5</v>
      </c>
      <c r="AIY31" s="2">
        <v>0.6</v>
      </c>
      <c r="AIZ31" s="2">
        <v>1.2</v>
      </c>
      <c r="AJA31" s="2">
        <v>0.2</v>
      </c>
      <c r="AJB31" s="2">
        <v>0.7</v>
      </c>
      <c r="AJC31" s="2">
        <v>0.4</v>
      </c>
      <c r="AJD31" s="2">
        <v>0.9</v>
      </c>
      <c r="AJE31" s="2">
        <v>0.9</v>
      </c>
      <c r="AJF31" s="2">
        <v>0.9</v>
      </c>
      <c r="AJG31" s="2">
        <v>0.9</v>
      </c>
      <c r="AJH31" s="2">
        <v>2</v>
      </c>
      <c r="AJI31" s="2">
        <v>0.5</v>
      </c>
      <c r="AJJ31" s="2">
        <v>0.9</v>
      </c>
      <c r="AJK31" s="2">
        <v>0</v>
      </c>
      <c r="AJL31" s="2">
        <v>1.1</v>
      </c>
      <c r="AJM31" s="2">
        <v>0.5</v>
      </c>
      <c r="AJN31" s="2">
        <v>0.6</v>
      </c>
      <c r="AJO31" s="2">
        <v>-0.1</v>
      </c>
      <c r="AJP31" s="2">
        <v>1.2</v>
      </c>
      <c r="AJQ31" s="2">
        <v>0.8</v>
      </c>
      <c r="AJR31" s="2">
        <v>-0.3</v>
      </c>
      <c r="AJS31" s="2">
        <v>0.1</v>
      </c>
      <c r="AJT31" s="2">
        <v>0.9</v>
      </c>
      <c r="AJU31" s="2">
        <v>0.9</v>
      </c>
      <c r="AJV31" s="2">
        <v>-0.6</v>
      </c>
      <c r="AJW31" s="2">
        <v>0.5</v>
      </c>
      <c r="AJX31" s="2">
        <v>0.8</v>
      </c>
      <c r="AJY31" s="2">
        <v>0.5</v>
      </c>
      <c r="AJZ31" s="2">
        <v>1.4</v>
      </c>
      <c r="AKA31" s="2">
        <v>1.5</v>
      </c>
      <c r="AKB31" s="2">
        <v>1.8</v>
      </c>
      <c r="AKC31" s="2">
        <v>1.4</v>
      </c>
      <c r="AKD31" s="2">
        <v>1.8</v>
      </c>
      <c r="AKE31" s="2">
        <v>1.7</v>
      </c>
      <c r="AKF31" s="2">
        <v>1.2</v>
      </c>
      <c r="AKG31" s="2">
        <v>0.5</v>
      </c>
      <c r="AKH31" s="2">
        <v>1.4</v>
      </c>
      <c r="AKI31" s="2">
        <v>1.2</v>
      </c>
      <c r="AKJ31" s="2">
        <v>1.4</v>
      </c>
      <c r="AKK31" s="2">
        <v>0.2</v>
      </c>
      <c r="AKL31" s="2">
        <v>1</v>
      </c>
      <c r="AKM31" s="2">
        <v>0.3</v>
      </c>
      <c r="AKN31" s="2">
        <v>0.7</v>
      </c>
      <c r="AKO31" s="2">
        <v>0.5</v>
      </c>
      <c r="AKP31" s="2">
        <v>2.07</v>
      </c>
      <c r="AKQ31" s="2">
        <v>2.09</v>
      </c>
      <c r="AKR31" s="2">
        <v>2.1</v>
      </c>
    </row>
    <row r="32">
      <c r="A32" t="inlineStr">
        <is>
          <t>Tobacco</t>
        </is>
      </c>
      <c r="B32" t="inlineStr">
        <is>
          <t>Tobacco</t>
        </is>
      </c>
      <c r="C32">
        <v>3</v>
      </c>
      <c r="D32">
        <v>1.86</v>
      </c>
      <c r="E32" s="3">
        <f>D32/1.86*0.018599999999999995</f>
        <v>0.018599999999999995</v>
      </c>
      <c r="F32" s="3">
        <f>E32-D32/100</f>
        <v>-6.938893903907228e-18</v>
      </c>
      <c r="G32" s="3">
        <f>D32/1.86</f>
        <v>1.0</v>
      </c>
      <c r="H32" s="2">
        <v>42.27</v>
      </c>
      <c r="I32" s="2">
        <v>43.82</v>
      </c>
      <c r="J32" s="2">
        <v>44.02</v>
      </c>
      <c r="K32" s="2">
        <v>44.22</v>
      </c>
      <c r="L32" s="2">
        <v>44.35</v>
      </c>
      <c r="M32" s="2">
        <v>43.89</v>
      </c>
      <c r="N32" s="2">
        <v>44.44</v>
      </c>
      <c r="O32" s="2">
        <v>45.01</v>
      </c>
      <c r="P32" s="2">
        <v>45.47</v>
      </c>
      <c r="Q32" s="2">
        <v>45.37</v>
      </c>
      <c r="R32" s="2">
        <v>45.48</v>
      </c>
      <c r="S32" s="2">
        <v>45.59</v>
      </c>
      <c r="T32" s="2">
        <v>47.68</v>
      </c>
      <c r="U32" s="2">
        <v>50.15</v>
      </c>
      <c r="V32" s="2">
        <v>51.05</v>
      </c>
      <c r="W32" s="2">
        <v>50.82</v>
      </c>
      <c r="X32" s="2">
        <v>50.5</v>
      </c>
      <c r="Y32" s="2">
        <v>50.31</v>
      </c>
      <c r="Z32" s="2">
        <v>50.54</v>
      </c>
      <c r="AA32" s="2">
        <v>51.31</v>
      </c>
      <c r="AB32" s="2">
        <v>51.66</v>
      </c>
      <c r="AC32" s="2">
        <v>51.93</v>
      </c>
      <c r="AD32" s="2">
        <v>52.42</v>
      </c>
      <c r="AE32" s="2">
        <v>52.28</v>
      </c>
      <c r="AF32" s="2">
        <v>55.44</v>
      </c>
      <c r="AG32" s="2">
        <v>57.33</v>
      </c>
      <c r="AH32" s="2">
        <v>57.79</v>
      </c>
      <c r="AI32" s="2">
        <v>58.06</v>
      </c>
      <c r="AJ32" s="2">
        <v>58.48</v>
      </c>
      <c r="AK32" s="2">
        <v>58.66</v>
      </c>
      <c r="AL32" s="2">
        <v>59.55</v>
      </c>
      <c r="AM32" s="2">
        <v>60.15</v>
      </c>
      <c r="AN32" s="2">
        <v>60.46</v>
      </c>
      <c r="AO32" s="2">
        <v>60.67</v>
      </c>
      <c r="AP32" s="2">
        <v>60.98</v>
      </c>
      <c r="AQ32" s="2">
        <v>60.95</v>
      </c>
      <c r="AR32" s="2">
        <v>65.5</v>
      </c>
      <c r="AS32" s="2">
        <v>69.05</v>
      </c>
      <c r="AT32" s="2">
        <v>69.59</v>
      </c>
      <c r="AU32" s="2">
        <v>69.20999999999999</v>
      </c>
      <c r="AV32" s="2">
        <v>69.09</v>
      </c>
      <c r="AW32" s="2">
        <v>68.70999999999999</v>
      </c>
      <c r="AX32" s="2">
        <v>68.54000000000001</v>
      </c>
      <c r="AY32" s="2">
        <v>68.86</v>
      </c>
      <c r="AZ32" s="2">
        <v>69.33</v>
      </c>
      <c r="BA32" s="2">
        <v>69</v>
      </c>
      <c r="BB32" s="2">
        <v>68.56</v>
      </c>
      <c r="BC32" s="2">
        <v>68.29000000000001</v>
      </c>
      <c r="BD32" s="2">
        <v>68.72</v>
      </c>
      <c r="BE32" s="2">
        <v>69.37</v>
      </c>
      <c r="BF32" s="2">
        <v>69.88</v>
      </c>
      <c r="BG32" s="2">
        <v>70.25</v>
      </c>
      <c r="BH32" s="2">
        <v>70.45</v>
      </c>
      <c r="BI32" s="2">
        <v>70.41</v>
      </c>
      <c r="BJ32" s="2">
        <v>71.12</v>
      </c>
      <c r="BK32" s="2">
        <v>71.34</v>
      </c>
      <c r="BL32" s="2">
        <v>71.34</v>
      </c>
      <c r="BM32" s="2">
        <v>71.42</v>
      </c>
      <c r="BN32" s="2">
        <v>71.58</v>
      </c>
      <c r="BO32" s="2">
        <v>71.78</v>
      </c>
      <c r="BP32" s="2">
        <v>72.59</v>
      </c>
      <c r="BQ32" s="2">
        <v>73.06</v>
      </c>
      <c r="BR32" s="2">
        <v>73.09</v>
      </c>
      <c r="BS32" s="2">
        <v>73.06</v>
      </c>
      <c r="BT32" s="2">
        <v>73.18000000000001</v>
      </c>
      <c r="BU32" s="2">
        <v>73.3</v>
      </c>
      <c r="BV32" s="2">
        <v>73.89</v>
      </c>
      <c r="BW32" s="2">
        <v>74.40000000000001</v>
      </c>
      <c r="BX32" s="2">
        <v>74.26000000000001</v>
      </c>
      <c r="BY32" s="2">
        <v>74.13</v>
      </c>
      <c r="BZ32" s="2">
        <v>74.14</v>
      </c>
      <c r="CA32" s="2">
        <v>74.45</v>
      </c>
      <c r="CB32" s="2">
        <v>78.03</v>
      </c>
      <c r="CC32" s="2">
        <v>80.68000000000001</v>
      </c>
      <c r="CD32" s="2">
        <v>80.76000000000001</v>
      </c>
      <c r="CE32" s="2">
        <v>80.95</v>
      </c>
      <c r="CF32" s="2">
        <v>81.01000000000001</v>
      </c>
      <c r="CG32" s="2">
        <v>81.16</v>
      </c>
      <c r="CH32" s="2">
        <v>83.02</v>
      </c>
      <c r="CI32" s="2">
        <v>84.06</v>
      </c>
      <c r="CJ32" s="2">
        <v>84.23</v>
      </c>
      <c r="CK32" s="2">
        <v>84.39</v>
      </c>
      <c r="CL32" s="2">
        <v>84.45999999999999</v>
      </c>
      <c r="CM32" s="2">
        <v>84.39</v>
      </c>
      <c r="CN32" s="2">
        <v>88.09999999999999</v>
      </c>
      <c r="CO32" s="2">
        <v>90.54000000000001</v>
      </c>
      <c r="CP32" s="2">
        <v>90.59999999999999</v>
      </c>
      <c r="CQ32" s="2">
        <v>90.78</v>
      </c>
      <c r="CR32" s="2">
        <v>91.25</v>
      </c>
      <c r="CS32" s="2">
        <v>91.84999999999999</v>
      </c>
      <c r="CT32" s="2">
        <v>93.15000000000001</v>
      </c>
      <c r="CU32" s="2">
        <v>94.17</v>
      </c>
      <c r="CV32" s="2">
        <v>93.98</v>
      </c>
      <c r="CW32" s="2">
        <v>93.72</v>
      </c>
      <c r="CX32" s="2">
        <v>94.93000000000001</v>
      </c>
      <c r="CY32" s="2">
        <v>95.06</v>
      </c>
      <c r="CZ32" s="2">
        <v>100</v>
      </c>
      <c r="DA32" s="2">
        <v>101</v>
      </c>
      <c r="DB32" s="2">
        <v>101.66</v>
      </c>
      <c r="DC32" s="2">
        <v>102.12</v>
      </c>
      <c r="DD32" s="2">
        <v>102.04</v>
      </c>
      <c r="DE32" s="2">
        <v>102.41</v>
      </c>
      <c r="DF32" s="2">
        <v>103.58</v>
      </c>
      <c r="DG32" s="2">
        <v>104.29</v>
      </c>
      <c r="DH32" s="2">
        <v>104.2</v>
      </c>
      <c r="DI32" s="2">
        <v>104.2</v>
      </c>
      <c r="DJ32" s="2">
        <v>105.43</v>
      </c>
      <c r="DK32" s="2">
        <v>12.8</v>
      </c>
      <c r="DL32" s="2">
        <v>14.4</v>
      </c>
      <c r="DM32" s="2">
        <v>16</v>
      </c>
      <c r="DN32" s="2">
        <v>14.9</v>
      </c>
      <c r="DO32" s="2">
        <v>13.9</v>
      </c>
      <c r="DP32" s="2">
        <v>14.6</v>
      </c>
      <c r="DQ32" s="2">
        <v>13.7</v>
      </c>
      <c r="DR32" s="2">
        <v>14</v>
      </c>
      <c r="DS32" s="2">
        <v>13.6</v>
      </c>
      <c r="DT32" s="2">
        <v>14.5</v>
      </c>
      <c r="DU32" s="2">
        <v>15.3</v>
      </c>
      <c r="DV32" s="2">
        <v>14.7</v>
      </c>
      <c r="DW32" s="2">
        <v>16.3</v>
      </c>
      <c r="DX32" s="2">
        <v>14.3</v>
      </c>
      <c r="DY32" s="2">
        <v>13.2</v>
      </c>
      <c r="DZ32" s="2">
        <v>14.2</v>
      </c>
      <c r="EA32" s="2">
        <v>15.8</v>
      </c>
      <c r="EB32" s="2">
        <v>16.6</v>
      </c>
      <c r="EC32" s="2">
        <v>17.8</v>
      </c>
      <c r="ED32" s="2">
        <v>17.2</v>
      </c>
      <c r="EE32" s="2">
        <v>17</v>
      </c>
      <c r="EF32" s="2">
        <v>16.8</v>
      </c>
      <c r="EG32" s="2">
        <v>16.3</v>
      </c>
      <c r="EH32" s="2">
        <v>16.6</v>
      </c>
      <c r="EI32" s="2">
        <v>18.1</v>
      </c>
      <c r="EJ32" s="2">
        <v>20.4</v>
      </c>
      <c r="EK32" s="2">
        <v>20.4</v>
      </c>
      <c r="EL32" s="2">
        <v>19.2</v>
      </c>
      <c r="EM32" s="2">
        <v>18.1</v>
      </c>
      <c r="EN32" s="2">
        <v>17.1</v>
      </c>
      <c r="EO32" s="2">
        <v>15.1</v>
      </c>
      <c r="EP32" s="2">
        <v>14.5</v>
      </c>
      <c r="EQ32" s="2">
        <v>14.7</v>
      </c>
      <c r="ER32" s="2">
        <v>13.7</v>
      </c>
      <c r="ES32" s="2">
        <v>12.4</v>
      </c>
      <c r="ET32" s="2">
        <v>12</v>
      </c>
      <c r="EU32" s="2">
        <v>4.9</v>
      </c>
      <c r="EV32" s="2">
        <v>0.5</v>
      </c>
      <c r="EW32" s="2">
        <v>0.4</v>
      </c>
      <c r="EX32" s="2">
        <v>1.5</v>
      </c>
      <c r="EY32" s="2">
        <v>2</v>
      </c>
      <c r="EZ32" s="2">
        <v>2.5</v>
      </c>
      <c r="FA32" s="2">
        <v>3.8</v>
      </c>
      <c r="FB32" s="2">
        <v>3.6</v>
      </c>
      <c r="FC32" s="2">
        <v>2.9</v>
      </c>
      <c r="FD32" s="2">
        <v>3.5</v>
      </c>
      <c r="FE32" s="2">
        <v>4.4</v>
      </c>
      <c r="FF32" s="2">
        <v>5.1</v>
      </c>
      <c r="FG32" s="2">
        <v>5.6</v>
      </c>
      <c r="FH32" s="2">
        <v>5.3</v>
      </c>
      <c r="FI32" s="2">
        <v>4.6</v>
      </c>
      <c r="FJ32" s="2">
        <v>4</v>
      </c>
      <c r="FK32" s="2">
        <v>3.9</v>
      </c>
      <c r="FL32" s="2">
        <v>4.1</v>
      </c>
      <c r="FM32" s="2">
        <v>3.9</v>
      </c>
      <c r="FN32" s="2">
        <v>4.3</v>
      </c>
      <c r="FO32" s="2">
        <v>4.1</v>
      </c>
      <c r="FP32" s="2">
        <v>3.8</v>
      </c>
      <c r="FQ32" s="2">
        <v>3.6</v>
      </c>
      <c r="FR32" s="2">
        <v>3.7</v>
      </c>
      <c r="FS32" s="2">
        <v>7.5</v>
      </c>
      <c r="FT32" s="2">
        <v>10.4</v>
      </c>
      <c r="FU32" s="2">
        <v>10.5</v>
      </c>
      <c r="FV32" s="2">
        <v>10.8</v>
      </c>
      <c r="FW32" s="2">
        <v>10.7</v>
      </c>
      <c r="FX32" s="2">
        <v>10.7</v>
      </c>
      <c r="FY32" s="2">
        <v>12.4</v>
      </c>
      <c r="FZ32" s="2">
        <v>13</v>
      </c>
      <c r="GA32" s="2">
        <v>13.4</v>
      </c>
      <c r="GB32" s="2">
        <v>13.8</v>
      </c>
      <c r="GC32" s="2">
        <v>13.9</v>
      </c>
      <c r="GD32" s="2">
        <v>13.4</v>
      </c>
      <c r="GE32" s="2">
        <v>12.9</v>
      </c>
      <c r="GF32" s="2">
        <v>12.2</v>
      </c>
      <c r="GG32" s="2">
        <v>12.2</v>
      </c>
      <c r="GH32" s="2">
        <v>12.1</v>
      </c>
      <c r="GI32" s="2">
        <v>12.6</v>
      </c>
      <c r="GJ32" s="2">
        <v>13.2</v>
      </c>
      <c r="GK32" s="2">
        <v>12.2</v>
      </c>
      <c r="GL32" s="2">
        <v>12</v>
      </c>
      <c r="GM32" s="2">
        <v>11.6</v>
      </c>
      <c r="GN32" s="2">
        <v>11.1</v>
      </c>
      <c r="GO32" s="2">
        <v>12.4</v>
      </c>
      <c r="GP32" s="2">
        <v>12.6</v>
      </c>
      <c r="GQ32" s="2">
        <v>13.5</v>
      </c>
      <c r="GR32" s="2">
        <v>11.6</v>
      </c>
      <c r="GS32" s="2">
        <v>12.2</v>
      </c>
      <c r="GT32" s="2">
        <v>12.5</v>
      </c>
      <c r="GU32" s="2">
        <v>11.8</v>
      </c>
      <c r="GV32" s="2">
        <v>11.5</v>
      </c>
      <c r="GW32" s="2">
        <v>11.2</v>
      </c>
      <c r="GX32" s="2">
        <v>10.7</v>
      </c>
      <c r="GY32" s="2">
        <v>10.9</v>
      </c>
      <c r="GZ32" s="2">
        <v>11.2</v>
      </c>
      <c r="HA32" s="2">
        <v>11.1</v>
      </c>
      <c r="HB32" s="2">
        <v>3.7</v>
      </c>
      <c r="HC32" s="2">
        <v>0.5</v>
      </c>
      <c r="HD32" s="2">
        <v>0.5</v>
      </c>
      <c r="HE32" s="2">
        <v>0.3</v>
      </c>
      <c r="HF32" s="2">
        <v>-1</v>
      </c>
      <c r="HG32" s="2">
        <v>1.3</v>
      </c>
      <c r="HH32" s="2">
        <v>1.3</v>
      </c>
      <c r="HI32" s="2">
        <v>1</v>
      </c>
      <c r="HJ32" s="2">
        <v>-0.2</v>
      </c>
      <c r="HK32" s="2">
        <v>0.2</v>
      </c>
      <c r="HL32" s="2">
        <v>0.2</v>
      </c>
      <c r="HM32" s="2">
        <v>4.6</v>
      </c>
      <c r="HN32" s="2">
        <v>5.2</v>
      </c>
      <c r="HO32" s="2">
        <v>1.8</v>
      </c>
      <c r="HP32" s="2">
        <v>-0.5</v>
      </c>
      <c r="HQ32" s="2">
        <v>-0.6</v>
      </c>
      <c r="HR32" s="2">
        <v>-0.4</v>
      </c>
      <c r="HS32" s="2">
        <v>0.5</v>
      </c>
      <c r="HT32" s="2">
        <v>1.5</v>
      </c>
      <c r="HU32" s="2">
        <v>0.7</v>
      </c>
      <c r="HV32" s="2">
        <v>0.5</v>
      </c>
      <c r="HW32" s="2">
        <v>0.9</v>
      </c>
      <c r="HX32" s="2">
        <v>-0.3</v>
      </c>
      <c r="HY32" s="2">
        <v>6</v>
      </c>
      <c r="HZ32" s="2">
        <v>3.4</v>
      </c>
      <c r="IA32" s="2">
        <v>0.8</v>
      </c>
      <c r="IB32" s="2">
        <v>0.5</v>
      </c>
      <c r="IC32" s="2">
        <v>0.7</v>
      </c>
      <c r="ID32" s="2">
        <v>0.3</v>
      </c>
      <c r="IE32" s="2">
        <v>1.5</v>
      </c>
      <c r="IF32" s="2">
        <v>1</v>
      </c>
      <c r="IG32" s="2">
        <v>0.5</v>
      </c>
      <c r="IH32" s="2">
        <v>0.3</v>
      </c>
      <c r="II32" s="2">
        <v>0.5</v>
      </c>
      <c r="IJ32" s="2">
        <v>0</v>
      </c>
      <c r="IK32" s="2">
        <v>7.5</v>
      </c>
      <c r="IL32" s="2">
        <v>5.4</v>
      </c>
      <c r="IM32" s="2">
        <v>0.8</v>
      </c>
      <c r="IN32" s="2">
        <v>-0.5</v>
      </c>
      <c r="IO32" s="2">
        <v>-0.2</v>
      </c>
      <c r="IP32" s="2">
        <v>-0.6</v>
      </c>
      <c r="IQ32" s="2">
        <v>-0.2</v>
      </c>
      <c r="IR32" s="2">
        <v>0.5</v>
      </c>
      <c r="IS32" s="2">
        <v>0.7</v>
      </c>
      <c r="IT32" s="2">
        <v>-0.5</v>
      </c>
      <c r="IU32" s="2">
        <v>-0.6</v>
      </c>
      <c r="IV32" s="2">
        <v>-0.4</v>
      </c>
      <c r="IW32" s="2">
        <v>0.6</v>
      </c>
      <c r="IX32" s="2">
        <v>0.9</v>
      </c>
      <c r="IY32" s="2">
        <v>0.7</v>
      </c>
      <c r="IZ32" s="2">
        <v>0.5</v>
      </c>
      <c r="JA32" s="2">
        <v>0.3</v>
      </c>
      <c r="JB32" s="2">
        <v>-0.1</v>
      </c>
      <c r="JC32" s="2">
        <v>1</v>
      </c>
      <c r="JD32" s="2">
        <v>0.3</v>
      </c>
      <c r="JE32" s="2">
        <v>0</v>
      </c>
      <c r="JF32" s="2">
        <v>0.1</v>
      </c>
      <c r="JG32" s="2">
        <v>0.2</v>
      </c>
      <c r="JH32" s="2">
        <v>0.3</v>
      </c>
      <c r="JI32" s="2">
        <v>1.1</v>
      </c>
      <c r="JJ32" s="2">
        <v>0.6</v>
      </c>
      <c r="JK32" s="2">
        <v>0</v>
      </c>
      <c r="JL32" s="2">
        <v>0</v>
      </c>
      <c r="JM32" s="2">
        <v>0.2</v>
      </c>
      <c r="JN32" s="2">
        <v>0.2</v>
      </c>
      <c r="JO32" s="2">
        <v>0.8</v>
      </c>
      <c r="JP32" s="2">
        <v>0.7</v>
      </c>
      <c r="JQ32" s="2">
        <v>-0.2</v>
      </c>
      <c r="JR32" s="2">
        <v>-0.2</v>
      </c>
      <c r="JS32" s="2">
        <v>0</v>
      </c>
      <c r="JT32" s="2">
        <v>0.4</v>
      </c>
      <c r="JU32" s="2">
        <v>4.8</v>
      </c>
      <c r="JV32" s="2">
        <v>3.4</v>
      </c>
      <c r="JW32" s="2">
        <v>0.1</v>
      </c>
      <c r="JX32" s="2">
        <v>0.2</v>
      </c>
      <c r="JY32" s="2">
        <v>0.1</v>
      </c>
      <c r="JZ32" s="2">
        <v>0.2</v>
      </c>
      <c r="KA32" s="2">
        <v>2.3</v>
      </c>
      <c r="KB32" s="2">
        <v>1.3</v>
      </c>
      <c r="KC32" s="2">
        <v>0.2</v>
      </c>
      <c r="KD32" s="2">
        <v>0.2</v>
      </c>
      <c r="KE32" s="2">
        <v>0.1</v>
      </c>
      <c r="KF32" s="2">
        <v>-0.1</v>
      </c>
      <c r="KG32" s="2">
        <v>4.4</v>
      </c>
      <c r="KH32" s="2">
        <v>2.8</v>
      </c>
      <c r="KI32" s="2">
        <v>0.1</v>
      </c>
      <c r="KJ32" s="2">
        <v>0.2</v>
      </c>
      <c r="KK32" s="2">
        <v>0.5</v>
      </c>
      <c r="KL32" s="2">
        <v>0.7</v>
      </c>
      <c r="KM32" s="2">
        <v>1.4</v>
      </c>
      <c r="KN32" s="2">
        <v>1.1</v>
      </c>
      <c r="KO32" s="2">
        <v>-0.2</v>
      </c>
      <c r="KP32" s="2">
        <v>-0.3</v>
      </c>
      <c r="KQ32" s="2">
        <v>1.3</v>
      </c>
      <c r="KR32" s="2">
        <v>0.1</v>
      </c>
      <c r="KS32" s="2">
        <v>5.2</v>
      </c>
      <c r="KT32" s="2">
        <v>1</v>
      </c>
      <c r="KU32" s="2">
        <v>0.7</v>
      </c>
      <c r="KV32" s="2">
        <v>0.5</v>
      </c>
      <c r="KW32" s="2">
        <v>-0.1</v>
      </c>
      <c r="KX32" s="2">
        <v>0.4</v>
      </c>
      <c r="KY32" s="2">
        <v>1.1</v>
      </c>
      <c r="KZ32" s="2">
        <v>0.7</v>
      </c>
      <c r="LA32" s="2">
        <v>-0.1</v>
      </c>
      <c r="LB32" s="2">
        <v>0</v>
      </c>
      <c r="LC32" s="2">
        <v>1.2</v>
      </c>
      <c r="LD32" s="2">
        <v>1.81</v>
      </c>
      <c r="LE32" s="2">
        <v>1.82</v>
      </c>
      <c r="LF32" s="2">
        <v>1.84</v>
      </c>
      <c r="LG32" s="2">
        <v>1.86</v>
      </c>
      <c r="LH32" s="2">
        <v>1.88</v>
      </c>
      <c r="LI32" s="2">
        <v>1.88</v>
      </c>
      <c r="LJ32" s="2">
        <v>1.87</v>
      </c>
      <c r="LK32" s="2">
        <v>1.9</v>
      </c>
      <c r="LL32" s="2">
        <v>1.9</v>
      </c>
      <c r="LM32" s="2">
        <v>2</v>
      </c>
      <c r="LN32" s="2">
        <v>2.02</v>
      </c>
      <c r="LO32" s="2">
        <v>2.03</v>
      </c>
      <c r="LP32" s="2">
        <v>2.04</v>
      </c>
      <c r="LQ32" s="2">
        <v>2.04</v>
      </c>
      <c r="LR32" s="2">
        <v>2.05</v>
      </c>
      <c r="LS32" s="2">
        <v>2.07</v>
      </c>
      <c r="LT32" s="2">
        <v>2.08</v>
      </c>
      <c r="LU32" s="2">
        <v>2.08</v>
      </c>
      <c r="LV32" s="2">
        <v>2.08</v>
      </c>
      <c r="LW32" s="2">
        <v>2.11</v>
      </c>
      <c r="LX32" s="2">
        <v>0.01</v>
      </c>
      <c r="LY32" s="2">
        <v>0.02</v>
      </c>
      <c r="LZ32" s="2">
        <v>0.02</v>
      </c>
      <c r="MA32" s="2">
        <v>0.02</v>
      </c>
      <c r="MB32" s="2">
        <v>0</v>
      </c>
      <c r="MC32" s="2">
        <v>-0.01</v>
      </c>
      <c r="MD32" s="2">
        <v>0.03</v>
      </c>
      <c r="ME32" s="2">
        <v>0</v>
      </c>
      <c r="MF32" s="2">
        <v>0.1</v>
      </c>
      <c r="MG32" s="2">
        <v>0.02</v>
      </c>
      <c r="MH32" s="2">
        <v>0.01</v>
      </c>
      <c r="MI32" s="2">
        <v>0.01</v>
      </c>
      <c r="MJ32" s="2">
        <v>0</v>
      </c>
      <c r="MK32" s="2">
        <v>0.01</v>
      </c>
      <c r="ML32" s="2">
        <v>0.02</v>
      </c>
      <c r="MM32" s="2">
        <v>0.01</v>
      </c>
      <c r="MN32" s="2">
        <v>0</v>
      </c>
      <c r="MO32" s="2">
        <v>0</v>
      </c>
      <c r="MP32" s="2">
        <v>0.03</v>
      </c>
      <c r="QI32" s="2">
        <v>0.49</v>
      </c>
      <c r="QJ32" s="2">
        <v>0.49</v>
      </c>
      <c r="QK32" s="2">
        <v>0.5</v>
      </c>
      <c r="QL32" s="2">
        <v>0.5</v>
      </c>
      <c r="QM32" s="2">
        <v>0.5</v>
      </c>
      <c r="QN32" s="2">
        <v>0.5600000000000001</v>
      </c>
      <c r="QO32" s="2">
        <v>0.5600000000000001</v>
      </c>
      <c r="QP32" s="2">
        <v>0.57</v>
      </c>
      <c r="QQ32" s="2">
        <v>0.62</v>
      </c>
      <c r="QR32" s="2">
        <v>0.62</v>
      </c>
      <c r="QS32" s="2">
        <v>0.68</v>
      </c>
      <c r="QT32" s="2">
        <v>0.6899999999999999</v>
      </c>
      <c r="QU32" s="2">
        <v>0.7</v>
      </c>
      <c r="QV32" s="2">
        <v>0.83</v>
      </c>
      <c r="QW32" s="2">
        <v>0.86</v>
      </c>
      <c r="QX32" s="2">
        <v>0.87</v>
      </c>
      <c r="QY32" s="2">
        <v>0.87</v>
      </c>
      <c r="QZ32" s="2">
        <v>0.89</v>
      </c>
      <c r="RA32" s="2">
        <v>0.89</v>
      </c>
      <c r="RB32" s="2">
        <v>0.9</v>
      </c>
      <c r="RC32" s="2">
        <v>0.91</v>
      </c>
      <c r="RD32" s="2">
        <v>0.91</v>
      </c>
      <c r="RE32" s="2">
        <v>0.93</v>
      </c>
      <c r="RF32" s="2">
        <v>0.92</v>
      </c>
      <c r="RG32" s="2">
        <v>0.93</v>
      </c>
      <c r="RH32" s="2">
        <v>1.07</v>
      </c>
      <c r="RI32" s="2">
        <v>1.07</v>
      </c>
      <c r="RJ32" s="2">
        <v>1.08</v>
      </c>
      <c r="RK32" s="2">
        <v>1.11</v>
      </c>
      <c r="RL32" s="2">
        <v>1.13</v>
      </c>
      <c r="RM32" s="2">
        <v>1.14</v>
      </c>
      <c r="RN32" s="2">
        <v>1.16</v>
      </c>
      <c r="RO32" s="2">
        <v>1.18</v>
      </c>
      <c r="RP32" s="2">
        <v>1.18</v>
      </c>
      <c r="RQ32" s="2">
        <v>1.19</v>
      </c>
      <c r="RR32" s="2">
        <v>1.21</v>
      </c>
      <c r="RS32" s="2">
        <v>1.26</v>
      </c>
      <c r="RT32" s="2">
        <v>1.28</v>
      </c>
      <c r="RU32" s="2">
        <v>1.3</v>
      </c>
      <c r="RV32" s="2">
        <v>1.33</v>
      </c>
      <c r="RW32" s="2">
        <v>1.41</v>
      </c>
      <c r="RX32" s="2">
        <v>1.51</v>
      </c>
      <c r="RY32" s="2">
        <v>1.54</v>
      </c>
      <c r="RZ32" s="2">
        <v>1.59</v>
      </c>
      <c r="SA32" s="2">
        <v>1.67</v>
      </c>
      <c r="SB32" s="2">
        <v>1.86</v>
      </c>
      <c r="SC32" s="2">
        <v>1.87</v>
      </c>
      <c r="SD32" s="2">
        <v>1.91</v>
      </c>
      <c r="SE32" s="2">
        <v>1.95</v>
      </c>
      <c r="SF32" s="2">
        <v>2</v>
      </c>
      <c r="SG32" s="2">
        <v>2.02</v>
      </c>
      <c r="SH32" s="2">
        <v>2.06</v>
      </c>
      <c r="SI32" s="2">
        <v>2.13</v>
      </c>
      <c r="SJ32" s="2">
        <v>2.2</v>
      </c>
      <c r="SK32" s="2">
        <v>2.29</v>
      </c>
      <c r="SL32" s="2">
        <v>2.34</v>
      </c>
      <c r="SM32" s="2">
        <v>2.4</v>
      </c>
      <c r="SN32" s="2">
        <v>2.47</v>
      </c>
      <c r="SO32" s="2">
        <v>2.55</v>
      </c>
      <c r="SP32" s="2">
        <v>2.62</v>
      </c>
      <c r="SQ32" s="2">
        <v>2.64</v>
      </c>
      <c r="SR32" s="2">
        <v>2.7</v>
      </c>
      <c r="SS32" s="2">
        <v>2.76</v>
      </c>
      <c r="ST32" s="2">
        <v>2.77</v>
      </c>
      <c r="SU32" s="2">
        <v>2.84</v>
      </c>
      <c r="SV32" s="2">
        <v>2.93</v>
      </c>
      <c r="SW32" s="2">
        <v>3.04</v>
      </c>
      <c r="SX32" s="2">
        <v>3.1</v>
      </c>
      <c r="SY32" s="2">
        <v>3.2</v>
      </c>
      <c r="SZ32" s="2">
        <v>3.31</v>
      </c>
      <c r="TA32" s="2">
        <v>3.42</v>
      </c>
      <c r="TB32" s="2">
        <v>3.5</v>
      </c>
      <c r="TC32" s="2">
        <v>3.57</v>
      </c>
      <c r="TD32" s="2">
        <v>3.8</v>
      </c>
      <c r="TE32" s="2">
        <v>3.85</v>
      </c>
      <c r="TF32" s="2">
        <v>3.95</v>
      </c>
      <c r="TG32" s="2">
        <v>4.09</v>
      </c>
      <c r="TH32" s="2">
        <v>4.15</v>
      </c>
      <c r="TI32" s="2">
        <v>4.19</v>
      </c>
      <c r="TJ32" s="2">
        <v>4.24</v>
      </c>
      <c r="TK32" s="2">
        <v>4.62</v>
      </c>
      <c r="TL32" s="2">
        <v>4.95</v>
      </c>
      <c r="TM32" s="2">
        <v>5.18</v>
      </c>
      <c r="TN32" s="2">
        <v>5.32</v>
      </c>
      <c r="TO32" s="2">
        <v>5.53</v>
      </c>
      <c r="TP32" s="2">
        <v>5.7</v>
      </c>
      <c r="TQ32" s="2">
        <v>5.83</v>
      </c>
      <c r="TR32" s="2">
        <v>5.92</v>
      </c>
      <c r="TS32" s="2">
        <v>5.95</v>
      </c>
      <c r="TT32" s="2">
        <v>6.1</v>
      </c>
      <c r="TU32" s="2">
        <v>6.25</v>
      </c>
      <c r="TV32" s="2">
        <v>6.71</v>
      </c>
      <c r="TW32" s="2">
        <v>7.13</v>
      </c>
      <c r="TX32" s="2">
        <v>7.49</v>
      </c>
      <c r="TY32" s="2">
        <v>7.63</v>
      </c>
      <c r="TZ32" s="2">
        <v>7.68</v>
      </c>
      <c r="UA32" s="2">
        <v>7.73</v>
      </c>
      <c r="UB32" s="2">
        <v>7.82</v>
      </c>
      <c r="UC32" s="2">
        <v>7.81</v>
      </c>
      <c r="UD32" s="2">
        <v>7.82</v>
      </c>
      <c r="UE32" s="2">
        <v>7.81</v>
      </c>
      <c r="UF32" s="2">
        <v>8.039999999999999</v>
      </c>
      <c r="UG32" s="2">
        <v>8.140000000000001</v>
      </c>
      <c r="UH32" s="2">
        <v>8.23</v>
      </c>
      <c r="UI32" s="2">
        <v>8.289999999999999</v>
      </c>
      <c r="UJ32" s="2">
        <v>8.300000000000001</v>
      </c>
      <c r="UK32" s="2">
        <v>8.41</v>
      </c>
      <c r="UL32" s="2">
        <v>8.49</v>
      </c>
      <c r="UM32" s="2">
        <v>8.57</v>
      </c>
      <c r="UN32" s="2">
        <v>8.92</v>
      </c>
      <c r="UO32" s="2">
        <v>9.26</v>
      </c>
      <c r="UP32" s="2">
        <v>9.289999999999999</v>
      </c>
      <c r="UQ32" s="2">
        <v>10.32</v>
      </c>
      <c r="UR32" s="2">
        <v>10.54</v>
      </c>
      <c r="US32" s="2">
        <v>10.96</v>
      </c>
      <c r="UT32" s="2">
        <v>11.18</v>
      </c>
      <c r="UU32" s="2">
        <v>11.36</v>
      </c>
      <c r="UV32" s="2">
        <v>11.4</v>
      </c>
      <c r="UW32" s="2">
        <v>11.63</v>
      </c>
      <c r="UX32" s="2">
        <v>11.76</v>
      </c>
      <c r="UY32" s="2">
        <v>11.89</v>
      </c>
      <c r="UZ32" s="2">
        <v>11.93</v>
      </c>
      <c r="VA32" s="2">
        <v>12.1</v>
      </c>
      <c r="VB32" s="2">
        <v>12.23</v>
      </c>
      <c r="VC32" s="2">
        <v>12.41</v>
      </c>
      <c r="VD32" s="2">
        <v>12.48</v>
      </c>
      <c r="VE32" s="2">
        <v>12.66</v>
      </c>
      <c r="VF32" s="2">
        <v>12.73</v>
      </c>
      <c r="VG32" s="2">
        <v>12.87</v>
      </c>
      <c r="VH32" s="2">
        <v>12.88</v>
      </c>
      <c r="VI32" s="2">
        <v>13.16</v>
      </c>
      <c r="VJ32" s="2">
        <v>13.3</v>
      </c>
      <c r="VK32" s="2">
        <v>13.42</v>
      </c>
      <c r="VL32" s="2">
        <v>13.5</v>
      </c>
      <c r="VM32" s="2">
        <v>13.69</v>
      </c>
      <c r="VN32" s="2">
        <v>13.85</v>
      </c>
      <c r="VO32" s="2">
        <v>14.04</v>
      </c>
      <c r="VP32" s="2">
        <v>14.12</v>
      </c>
      <c r="VQ32" s="2">
        <v>14.32</v>
      </c>
      <c r="VR32" s="2">
        <v>14.37</v>
      </c>
      <c r="VS32" s="2">
        <v>14.49</v>
      </c>
      <c r="VT32" s="2">
        <v>14.65</v>
      </c>
      <c r="VU32" s="2">
        <v>14.75</v>
      </c>
      <c r="VV32" s="2">
        <v>14.97</v>
      </c>
      <c r="VW32" s="2">
        <v>15.2</v>
      </c>
      <c r="VX32" s="2">
        <v>15.46</v>
      </c>
      <c r="VY32" s="2">
        <v>15.76</v>
      </c>
      <c r="VZ32" s="2">
        <v>15.95</v>
      </c>
      <c r="WA32" s="2">
        <v>15.93</v>
      </c>
      <c r="WB32" s="2">
        <v>15.85</v>
      </c>
      <c r="WC32" s="2">
        <v>16.19</v>
      </c>
      <c r="WD32" s="2">
        <v>18.68</v>
      </c>
      <c r="WE32" s="2">
        <v>19.98</v>
      </c>
      <c r="WF32" s="2">
        <v>20.22</v>
      </c>
      <c r="WG32" s="2">
        <v>20.64</v>
      </c>
      <c r="WH32" s="2">
        <v>20.93</v>
      </c>
      <c r="WI32" s="2">
        <v>21.31</v>
      </c>
      <c r="WJ32" s="2">
        <v>21.5</v>
      </c>
      <c r="WK32" s="2">
        <v>21.95</v>
      </c>
      <c r="WL32" s="2">
        <v>22.31</v>
      </c>
      <c r="WM32" s="2">
        <v>22.55</v>
      </c>
      <c r="WN32" s="2">
        <v>22.75</v>
      </c>
      <c r="WO32" s="2">
        <v>23.6</v>
      </c>
      <c r="WP32" s="2">
        <v>24.32</v>
      </c>
      <c r="WQ32" s="2">
        <v>24.61</v>
      </c>
      <c r="WR32" s="2">
        <v>25.17</v>
      </c>
      <c r="WS32" s="2">
        <v>26.86</v>
      </c>
      <c r="WT32" s="2">
        <v>27.68</v>
      </c>
      <c r="WU32" s="2">
        <v>28.31</v>
      </c>
      <c r="WV32" s="2">
        <v>29.68</v>
      </c>
      <c r="WW32" s="2">
        <v>29.95</v>
      </c>
      <c r="WX32" s="2">
        <v>30.68</v>
      </c>
      <c r="WY32" s="2">
        <v>31.35</v>
      </c>
      <c r="WZ32" s="2">
        <v>33.65</v>
      </c>
      <c r="XA32" s="2">
        <v>33.93</v>
      </c>
      <c r="XB32" s="2">
        <v>34.65</v>
      </c>
      <c r="XC32" s="2">
        <v>35.45</v>
      </c>
      <c r="XD32" s="2">
        <v>38.1</v>
      </c>
      <c r="XE32" s="2">
        <v>38.47</v>
      </c>
      <c r="XF32" s="2">
        <v>38.86</v>
      </c>
      <c r="XG32" s="2">
        <v>40.44</v>
      </c>
      <c r="XH32" s="2">
        <v>43.89</v>
      </c>
      <c r="XI32" s="2">
        <v>44.05</v>
      </c>
      <c r="XJ32" s="2">
        <v>45.3</v>
      </c>
      <c r="XK32" s="2">
        <v>46.12</v>
      </c>
      <c r="XL32" s="2">
        <v>50.47</v>
      </c>
      <c r="XM32" s="2">
        <v>50.14</v>
      </c>
      <c r="XN32" s="2">
        <v>51.35</v>
      </c>
      <c r="XO32" s="2">
        <v>53.1</v>
      </c>
      <c r="XP32" s="2">
        <v>57.55</v>
      </c>
      <c r="XQ32" s="2">
        <v>58.72</v>
      </c>
      <c r="XR32" s="2">
        <v>60.28</v>
      </c>
      <c r="XS32" s="2">
        <v>62.19</v>
      </c>
      <c r="XT32" s="2">
        <v>68.98</v>
      </c>
      <c r="XU32" s="2">
        <v>68.56999999999999</v>
      </c>
      <c r="XV32" s="2">
        <v>68.90000000000001</v>
      </c>
      <c r="XW32" s="2">
        <v>68.3</v>
      </c>
      <c r="XX32" s="2">
        <v>69.77</v>
      </c>
      <c r="XY32" s="2">
        <v>70.62</v>
      </c>
      <c r="XZ32" s="2">
        <v>71.3</v>
      </c>
      <c r="YA32" s="2">
        <v>71.98</v>
      </c>
      <c r="YB32" s="2">
        <v>73.06999999999999</v>
      </c>
      <c r="YC32" s="2">
        <v>73.45999999999999</v>
      </c>
      <c r="YD32" s="2">
        <v>74.26000000000001</v>
      </c>
      <c r="YE32" s="2">
        <v>75.54000000000001</v>
      </c>
      <c r="YF32" s="2">
        <v>80.8</v>
      </c>
      <c r="YG32" s="2">
        <v>81.73</v>
      </c>
      <c r="YH32" s="2">
        <v>84.22</v>
      </c>
      <c r="YI32" s="2">
        <v>85.65000000000001</v>
      </c>
      <c r="YJ32" s="2">
        <v>90.64</v>
      </c>
      <c r="YK32" s="2">
        <v>92.08</v>
      </c>
      <c r="YL32" s="2">
        <v>93.95</v>
      </c>
      <c r="YM32" s="2">
        <v>96.66</v>
      </c>
      <c r="YN32" s="2">
        <v>101.6</v>
      </c>
      <c r="YO32" s="2">
        <v>102.68</v>
      </c>
      <c r="YP32" s="2">
        <v>104.23</v>
      </c>
      <c r="ACI32" s="2">
        <v>0</v>
      </c>
      <c r="ACJ32" s="2">
        <v>2</v>
      </c>
      <c r="ACK32" s="2">
        <v>0</v>
      </c>
      <c r="ACL32" s="2">
        <v>0</v>
      </c>
      <c r="ACM32" s="2">
        <v>12</v>
      </c>
      <c r="ACN32" s="2">
        <v>0</v>
      </c>
      <c r="ACO32" s="2">
        <v>1.8</v>
      </c>
      <c r="ACP32" s="2">
        <v>8.800000000000001</v>
      </c>
      <c r="ACQ32" s="2">
        <v>0</v>
      </c>
      <c r="ACR32" s="2">
        <v>9.699999999999999</v>
      </c>
      <c r="ACS32" s="2">
        <v>1.5</v>
      </c>
      <c r="ACT32" s="2">
        <v>1.4</v>
      </c>
      <c r="ACU32" s="2">
        <v>18.6</v>
      </c>
      <c r="ACV32" s="2">
        <v>3.6</v>
      </c>
      <c r="ACW32" s="2">
        <v>1.2</v>
      </c>
      <c r="ACX32" s="2">
        <v>0</v>
      </c>
      <c r="ACY32" s="2">
        <v>2.3</v>
      </c>
      <c r="ACZ32" s="2">
        <v>0</v>
      </c>
      <c r="ADA32" s="2">
        <v>1.1</v>
      </c>
      <c r="ADB32" s="2">
        <v>1.1</v>
      </c>
      <c r="ADC32" s="2">
        <v>0</v>
      </c>
      <c r="ADD32" s="2">
        <v>2.2</v>
      </c>
      <c r="ADE32" s="2">
        <v>-1.1</v>
      </c>
      <c r="ADF32" s="2">
        <v>1.1</v>
      </c>
      <c r="ADG32" s="2">
        <v>15.1</v>
      </c>
      <c r="ADH32" s="2">
        <v>0</v>
      </c>
      <c r="ADI32" s="2">
        <v>0.9</v>
      </c>
      <c r="ADJ32" s="2">
        <v>2.8</v>
      </c>
      <c r="ADK32" s="2">
        <v>1.8</v>
      </c>
      <c r="ADL32" s="2">
        <v>0.9</v>
      </c>
      <c r="ADM32" s="2">
        <v>1.8</v>
      </c>
      <c r="ADN32" s="2">
        <v>1.7</v>
      </c>
      <c r="ADO32" s="2">
        <v>0</v>
      </c>
      <c r="ADP32" s="2">
        <v>0.8</v>
      </c>
      <c r="ADQ32" s="2">
        <v>1.7</v>
      </c>
      <c r="ADR32" s="2">
        <v>4.1</v>
      </c>
      <c r="ADS32" s="2">
        <v>1.6</v>
      </c>
      <c r="ADT32" s="2">
        <v>1.6</v>
      </c>
      <c r="ADU32" s="2">
        <v>2.3</v>
      </c>
      <c r="ADV32" s="2">
        <v>6</v>
      </c>
      <c r="ADW32" s="2">
        <v>7.1</v>
      </c>
      <c r="ADX32" s="2">
        <v>2</v>
      </c>
      <c r="ADY32" s="2">
        <v>3.2</v>
      </c>
      <c r="ADZ32" s="2">
        <v>5</v>
      </c>
      <c r="AEA32" s="2">
        <v>11.4</v>
      </c>
      <c r="AEB32" s="2">
        <v>0.5</v>
      </c>
      <c r="AEC32" s="2">
        <v>2.1</v>
      </c>
      <c r="AED32" s="2">
        <v>2.1</v>
      </c>
      <c r="AEE32" s="2">
        <v>2.6</v>
      </c>
      <c r="AEF32" s="2">
        <v>1</v>
      </c>
      <c r="AEG32" s="2">
        <v>2</v>
      </c>
      <c r="AEH32" s="2">
        <v>3.4</v>
      </c>
      <c r="AEI32" s="2">
        <v>3.3</v>
      </c>
      <c r="AEJ32" s="2">
        <v>4.1</v>
      </c>
      <c r="AEK32" s="2">
        <v>2.2</v>
      </c>
      <c r="AEL32" s="2">
        <v>2.6</v>
      </c>
      <c r="AEM32" s="2">
        <v>2.9</v>
      </c>
      <c r="AEN32" s="2">
        <v>3.2</v>
      </c>
      <c r="AEO32" s="2">
        <v>2.7</v>
      </c>
      <c r="AEP32" s="2">
        <v>0.8</v>
      </c>
      <c r="AEQ32" s="2">
        <v>2.3</v>
      </c>
      <c r="AER32" s="2">
        <v>2.2</v>
      </c>
      <c r="AES32" s="2">
        <v>0.4</v>
      </c>
      <c r="AET32" s="2">
        <v>2.5</v>
      </c>
      <c r="AEU32" s="2">
        <v>3.2</v>
      </c>
      <c r="AEV32" s="2">
        <v>3.8</v>
      </c>
      <c r="AEW32" s="2">
        <v>2</v>
      </c>
      <c r="AEX32" s="2">
        <v>3.2</v>
      </c>
      <c r="AEY32" s="2">
        <v>3.4</v>
      </c>
      <c r="AEZ32" s="2">
        <v>3.3</v>
      </c>
      <c r="AFA32" s="2">
        <v>2.3</v>
      </c>
      <c r="AFB32" s="2">
        <v>2</v>
      </c>
      <c r="AFC32" s="2">
        <v>6.4</v>
      </c>
      <c r="AFD32" s="2">
        <v>1.3</v>
      </c>
      <c r="AFE32" s="2">
        <v>2.6</v>
      </c>
      <c r="AFF32" s="2">
        <v>3.5</v>
      </c>
      <c r="AFG32" s="2">
        <v>1.5</v>
      </c>
      <c r="AFH32" s="2">
        <v>1</v>
      </c>
      <c r="AFI32" s="2">
        <v>1.2</v>
      </c>
      <c r="AFJ32" s="2">
        <v>9</v>
      </c>
      <c r="AFK32" s="2">
        <v>7.1</v>
      </c>
      <c r="AFL32" s="2">
        <v>4.6</v>
      </c>
      <c r="AFM32" s="2">
        <v>2.7</v>
      </c>
      <c r="AFN32" s="2">
        <v>3.9</v>
      </c>
      <c r="AFO32" s="2">
        <v>3.1</v>
      </c>
      <c r="AFP32" s="2">
        <v>2.3</v>
      </c>
      <c r="AFQ32" s="2">
        <v>1.5</v>
      </c>
      <c r="AFR32" s="2">
        <v>0.5</v>
      </c>
      <c r="AFS32" s="2">
        <v>2.5</v>
      </c>
      <c r="AFT32" s="2">
        <v>2.5</v>
      </c>
      <c r="AFU32" s="2">
        <v>7.4</v>
      </c>
      <c r="AFV32" s="2">
        <v>6.3</v>
      </c>
      <c r="AFW32" s="2">
        <v>5</v>
      </c>
      <c r="AFX32" s="2">
        <v>1.9</v>
      </c>
      <c r="AFY32" s="2">
        <v>0.7</v>
      </c>
      <c r="AFZ32" s="2">
        <v>0.7</v>
      </c>
      <c r="AGA32" s="2">
        <v>1.2</v>
      </c>
      <c r="AGB32" s="2">
        <v>-0.1</v>
      </c>
      <c r="AGC32" s="2">
        <v>0.1</v>
      </c>
      <c r="AGD32" s="2">
        <v>-0.1</v>
      </c>
      <c r="AGE32" s="2">
        <v>2.9</v>
      </c>
      <c r="AGF32" s="2">
        <v>1.2</v>
      </c>
      <c r="AGG32" s="2">
        <v>1.1</v>
      </c>
      <c r="AGH32" s="2">
        <v>0.7</v>
      </c>
      <c r="AGI32" s="2">
        <v>0.1</v>
      </c>
      <c r="AGJ32" s="2">
        <v>1.3</v>
      </c>
      <c r="AGK32" s="2">
        <v>1</v>
      </c>
      <c r="AGL32" s="2">
        <v>0.9</v>
      </c>
      <c r="AGM32" s="2">
        <v>4.1</v>
      </c>
      <c r="AGN32" s="2">
        <v>3.8</v>
      </c>
      <c r="AGO32" s="2">
        <v>0.3</v>
      </c>
      <c r="AGP32" s="2">
        <v>11.1</v>
      </c>
      <c r="AGQ32" s="2">
        <v>2.1</v>
      </c>
      <c r="AGR32" s="2">
        <v>4</v>
      </c>
      <c r="AGS32" s="2">
        <v>2</v>
      </c>
      <c r="AGT32" s="2">
        <v>1.6</v>
      </c>
      <c r="AGU32" s="2">
        <v>0.4</v>
      </c>
      <c r="AGV32" s="2">
        <v>2</v>
      </c>
      <c r="AGW32" s="2">
        <v>1.1</v>
      </c>
      <c r="AGX32" s="2">
        <v>1.1</v>
      </c>
      <c r="AGY32" s="2">
        <v>0.3</v>
      </c>
      <c r="AGZ32" s="2">
        <v>1.4</v>
      </c>
      <c r="AHA32" s="2">
        <v>1.1</v>
      </c>
      <c r="AHB32" s="2">
        <v>1.5</v>
      </c>
      <c r="AHC32" s="2">
        <v>0.6</v>
      </c>
      <c r="AHD32" s="2">
        <v>1.4</v>
      </c>
      <c r="AHE32" s="2">
        <v>0.6</v>
      </c>
      <c r="AHF32" s="2">
        <v>1.1</v>
      </c>
      <c r="AHG32" s="2">
        <v>0.1</v>
      </c>
      <c r="AHH32" s="2">
        <v>2.2</v>
      </c>
      <c r="AHI32" s="2">
        <v>1.1</v>
      </c>
      <c r="AHJ32" s="2">
        <v>0.9</v>
      </c>
      <c r="AHK32" s="2">
        <v>0.6</v>
      </c>
      <c r="AHL32" s="2">
        <v>1.4</v>
      </c>
      <c r="AHM32" s="2">
        <v>1.2</v>
      </c>
      <c r="AHN32" s="2">
        <v>1.4</v>
      </c>
      <c r="AHO32" s="2">
        <v>0.6</v>
      </c>
      <c r="AHP32" s="2">
        <v>1.4</v>
      </c>
      <c r="AHQ32" s="2">
        <v>0.3</v>
      </c>
      <c r="AHR32" s="2">
        <v>0.8</v>
      </c>
      <c r="AHS32" s="2">
        <v>1.1</v>
      </c>
      <c r="AHT32" s="2">
        <v>0.7</v>
      </c>
      <c r="AHU32" s="2">
        <v>1.5</v>
      </c>
      <c r="AHV32" s="2">
        <v>1.5</v>
      </c>
      <c r="AHW32" s="2">
        <v>1.7</v>
      </c>
      <c r="AHX32" s="2">
        <v>1.9</v>
      </c>
      <c r="AHY32" s="2">
        <v>1.2</v>
      </c>
      <c r="AHZ32" s="2">
        <v>-0.1</v>
      </c>
      <c r="AIA32" s="2">
        <v>-0.5</v>
      </c>
      <c r="AIB32" s="2">
        <v>2.1</v>
      </c>
      <c r="AIC32" s="2">
        <v>15.4</v>
      </c>
      <c r="AID32" s="2">
        <v>7</v>
      </c>
      <c r="AIE32" s="2">
        <v>1.2</v>
      </c>
      <c r="AIF32" s="2">
        <v>2.1</v>
      </c>
      <c r="AIG32" s="2">
        <v>1.4</v>
      </c>
      <c r="AIH32" s="2">
        <v>1.8</v>
      </c>
      <c r="AII32" s="2">
        <v>0.9</v>
      </c>
      <c r="AIJ32" s="2">
        <v>2.1</v>
      </c>
      <c r="AIK32" s="2">
        <v>1.6</v>
      </c>
      <c r="AIL32" s="2">
        <v>1.1</v>
      </c>
      <c r="AIM32" s="2">
        <v>0.9</v>
      </c>
      <c r="AIN32" s="2">
        <v>3.7</v>
      </c>
      <c r="AIO32" s="2">
        <v>3.1</v>
      </c>
      <c r="AIP32" s="2">
        <v>1.2</v>
      </c>
      <c r="AIQ32" s="2">
        <v>2.3</v>
      </c>
      <c r="AIR32" s="2">
        <v>6.7</v>
      </c>
      <c r="AIS32" s="2">
        <v>3.1</v>
      </c>
      <c r="AIT32" s="2">
        <v>2.3</v>
      </c>
      <c r="AIU32" s="2">
        <v>4.8</v>
      </c>
      <c r="AIV32" s="2">
        <v>0.9</v>
      </c>
      <c r="AIW32" s="2">
        <v>2.4</v>
      </c>
      <c r="AIX32" s="2">
        <v>2.2</v>
      </c>
      <c r="AIY32" s="2">
        <v>7.3</v>
      </c>
      <c r="AIZ32" s="2">
        <v>0.8</v>
      </c>
      <c r="AJA32" s="2">
        <v>2.1</v>
      </c>
      <c r="AJB32" s="2">
        <v>2.3</v>
      </c>
      <c r="AJC32" s="2">
        <v>7.5</v>
      </c>
      <c r="AJD32" s="2">
        <v>1</v>
      </c>
      <c r="AJE32" s="2">
        <v>1</v>
      </c>
      <c r="AJF32" s="2">
        <v>4.1</v>
      </c>
      <c r="AJG32" s="2">
        <v>8.5</v>
      </c>
      <c r="AJH32" s="2">
        <v>0.4</v>
      </c>
      <c r="AJI32" s="2">
        <v>2.8</v>
      </c>
      <c r="AJJ32" s="2">
        <v>1.8</v>
      </c>
      <c r="AJK32" s="2">
        <v>9.4</v>
      </c>
      <c r="AJL32" s="2">
        <v>-0.7</v>
      </c>
      <c r="AJM32" s="2">
        <v>2.4</v>
      </c>
      <c r="AJN32" s="2">
        <v>3.4</v>
      </c>
      <c r="AJO32" s="2">
        <v>8.4</v>
      </c>
      <c r="AJP32" s="2">
        <v>2</v>
      </c>
      <c r="AJQ32" s="2">
        <v>2.7</v>
      </c>
      <c r="AJR32" s="2">
        <v>3.2</v>
      </c>
      <c r="AJS32" s="2">
        <v>10.9</v>
      </c>
      <c r="AJT32" s="2">
        <v>-0.6</v>
      </c>
      <c r="AJU32" s="2">
        <v>0.5</v>
      </c>
      <c r="AJV32" s="2">
        <v>-0.9</v>
      </c>
      <c r="AJW32" s="2">
        <v>2.2</v>
      </c>
      <c r="AJX32" s="2">
        <v>1.2</v>
      </c>
      <c r="AJY32" s="2">
        <v>1</v>
      </c>
      <c r="AJZ32" s="2">
        <v>1</v>
      </c>
      <c r="AKA32" s="2">
        <v>1.5</v>
      </c>
      <c r="AKB32" s="2">
        <v>0.5</v>
      </c>
      <c r="AKC32" s="2">
        <v>1.1</v>
      </c>
      <c r="AKD32" s="2">
        <v>1.7</v>
      </c>
      <c r="AKE32" s="2">
        <v>7</v>
      </c>
      <c r="AKF32" s="2">
        <v>1.2</v>
      </c>
      <c r="AKG32" s="2">
        <v>3</v>
      </c>
      <c r="AKH32" s="2">
        <v>1.7</v>
      </c>
      <c r="AKI32" s="2">
        <v>5.8</v>
      </c>
      <c r="AKJ32" s="2">
        <v>1.6</v>
      </c>
      <c r="AKK32" s="2">
        <v>2</v>
      </c>
      <c r="AKL32" s="2">
        <v>2.9</v>
      </c>
      <c r="AKM32" s="2">
        <v>5.1</v>
      </c>
      <c r="AKN32" s="2">
        <v>1.1</v>
      </c>
      <c r="AKO32" s="2">
        <v>1.5</v>
      </c>
      <c r="AKP32" s="2">
        <v>2.03</v>
      </c>
      <c r="AKQ32" s="2">
        <v>2.05</v>
      </c>
      <c r="AKR32" s="2">
        <v>2.08</v>
      </c>
    </row>
    <row r="33">
      <c r="A33" t="inlineStr">
        <is>
          <t>Garments for men</t>
        </is>
      </c>
      <c r="B33" t="inlineStr">
        <is>
          <t>Garments</t>
        </is>
      </c>
      <c r="C33">
        <v>3</v>
      </c>
      <c r="D33">
        <v>0.53</v>
      </c>
      <c r="E33" s="3">
        <f>D33/1.9600000000000002*0.019538364779874213</f>
        <v>0.005283333333333333</v>
      </c>
      <c r="F33" s="3">
        <f>E33-D33/100</f>
        <v>-1.6666666666667433e-05</v>
      </c>
      <c r="G33" s="3">
        <f>D33/1.9600000000000002</f>
        <v>0.2704081632653061</v>
      </c>
      <c r="CI33" s="2">
        <v>107.18</v>
      </c>
      <c r="CJ33" s="2">
        <v>102.45</v>
      </c>
      <c r="CK33" s="2">
        <v>99.34</v>
      </c>
      <c r="CL33" s="2">
        <v>103.04</v>
      </c>
      <c r="CM33" s="2">
        <v>104.5</v>
      </c>
      <c r="CN33" s="2">
        <v>102.88</v>
      </c>
      <c r="CO33" s="2">
        <v>102.14</v>
      </c>
      <c r="CP33" s="2">
        <v>101.01</v>
      </c>
      <c r="CQ33" s="2">
        <v>99.78</v>
      </c>
      <c r="CR33" s="2">
        <v>99.2</v>
      </c>
      <c r="CS33" s="2">
        <v>102.02</v>
      </c>
      <c r="CT33" s="2">
        <v>98.59999999999999</v>
      </c>
      <c r="CU33" s="2">
        <v>104.95</v>
      </c>
      <c r="CV33" s="2">
        <v>101.94</v>
      </c>
      <c r="CW33" s="2">
        <v>98.05</v>
      </c>
      <c r="CX33" s="2">
        <v>99.81999999999999</v>
      </c>
      <c r="CY33" s="2">
        <v>103.72</v>
      </c>
      <c r="CZ33" s="2">
        <v>100</v>
      </c>
      <c r="DA33" s="2">
        <v>103.24</v>
      </c>
      <c r="DB33" s="2">
        <v>101.09</v>
      </c>
      <c r="DC33" s="2">
        <v>98.51000000000001</v>
      </c>
      <c r="DD33" s="2">
        <v>101.18</v>
      </c>
      <c r="DE33" s="2">
        <v>103.85</v>
      </c>
      <c r="DF33" s="2">
        <v>99.40000000000001</v>
      </c>
      <c r="DG33" s="2">
        <v>103.39</v>
      </c>
      <c r="DH33" s="2">
        <v>101.54</v>
      </c>
      <c r="DI33" s="2">
        <v>100.02</v>
      </c>
      <c r="DJ33" s="2">
        <v>104.03</v>
      </c>
      <c r="GL33" s="2">
        <v>-2.1</v>
      </c>
      <c r="GM33" s="2">
        <v>-0.5</v>
      </c>
      <c r="GN33" s="2">
        <v>-1.3</v>
      </c>
      <c r="GO33" s="2">
        <v>-3.1</v>
      </c>
      <c r="GP33" s="2">
        <v>-0.7</v>
      </c>
      <c r="GQ33" s="2">
        <v>-2.8</v>
      </c>
      <c r="GR33" s="2">
        <v>1.1</v>
      </c>
      <c r="GS33" s="2">
        <v>0.1</v>
      </c>
      <c r="GT33" s="2">
        <v>-1.3</v>
      </c>
      <c r="GU33" s="2">
        <v>2</v>
      </c>
      <c r="GV33" s="2">
        <v>1.8</v>
      </c>
      <c r="GW33" s="2">
        <v>0.8</v>
      </c>
      <c r="GX33" s="2">
        <v>-1.5</v>
      </c>
      <c r="GY33" s="2">
        <v>-0.4</v>
      </c>
      <c r="GZ33" s="2">
        <v>2</v>
      </c>
      <c r="HA33" s="2">
        <v>4.2</v>
      </c>
      <c r="KC33" s="2">
        <v>-4.4</v>
      </c>
      <c r="KD33" s="2">
        <v>-3</v>
      </c>
      <c r="KE33" s="2">
        <v>3.7</v>
      </c>
      <c r="KF33" s="2">
        <v>1.4</v>
      </c>
      <c r="KG33" s="2">
        <v>-1.6</v>
      </c>
      <c r="KH33" s="2">
        <v>-0.7</v>
      </c>
      <c r="KI33" s="2">
        <v>-1.1</v>
      </c>
      <c r="KJ33" s="2">
        <v>-1.2</v>
      </c>
      <c r="KK33" s="2">
        <v>-0.6</v>
      </c>
      <c r="KL33" s="2">
        <v>2.8</v>
      </c>
      <c r="KM33" s="2">
        <v>-3.4</v>
      </c>
      <c r="KN33" s="2">
        <v>6.4</v>
      </c>
      <c r="KO33" s="2">
        <v>-2.9</v>
      </c>
      <c r="KP33" s="2">
        <v>-3.8</v>
      </c>
      <c r="KQ33" s="2">
        <v>1.8</v>
      </c>
      <c r="KR33" s="2">
        <v>3.9</v>
      </c>
      <c r="KS33" s="2">
        <v>-3.6</v>
      </c>
      <c r="KT33" s="2">
        <v>3.2</v>
      </c>
      <c r="KU33" s="2">
        <v>-2.1</v>
      </c>
      <c r="KV33" s="2">
        <v>-2.6</v>
      </c>
      <c r="KW33" s="2">
        <v>2.7</v>
      </c>
      <c r="KX33" s="2">
        <v>2.6</v>
      </c>
      <c r="KY33" s="2">
        <v>-4.3</v>
      </c>
      <c r="KZ33" s="2">
        <v>4</v>
      </c>
      <c r="LA33" s="2">
        <v>-1.8</v>
      </c>
      <c r="LB33" s="2">
        <v>-1.5</v>
      </c>
      <c r="LC33" s="2">
        <v>4</v>
      </c>
      <c r="LD33" s="2">
        <v>0.51</v>
      </c>
      <c r="LE33" s="2">
        <v>0.51</v>
      </c>
      <c r="LF33" s="2">
        <v>0.52</v>
      </c>
      <c r="LG33" s="2">
        <v>0.51</v>
      </c>
      <c r="LH33" s="2">
        <v>0.54</v>
      </c>
      <c r="LI33" s="2">
        <v>0.52</v>
      </c>
      <c r="LJ33" s="2">
        <v>0.5</v>
      </c>
      <c r="LK33" s="2">
        <v>0.51</v>
      </c>
      <c r="LL33" s="2">
        <v>0.53</v>
      </c>
      <c r="LM33" s="2">
        <v>0.51</v>
      </c>
      <c r="LN33" s="2">
        <v>0.53</v>
      </c>
      <c r="LO33" s="2">
        <v>0.52</v>
      </c>
      <c r="LP33" s="2">
        <v>0.51</v>
      </c>
      <c r="LQ33" s="2">
        <v>0.52</v>
      </c>
      <c r="LR33" s="2">
        <v>0.53</v>
      </c>
      <c r="LS33" s="2">
        <v>0.51</v>
      </c>
      <c r="LT33" s="2">
        <v>0.53</v>
      </c>
      <c r="LU33" s="2">
        <v>0.52</v>
      </c>
      <c r="LV33" s="2">
        <v>0.51</v>
      </c>
      <c r="LW33" s="2">
        <v>0.53</v>
      </c>
      <c r="LX33" s="2">
        <v>0</v>
      </c>
      <c r="LY33" s="2">
        <v>0.01</v>
      </c>
      <c r="LZ33" s="2">
        <v>-0.01</v>
      </c>
      <c r="MA33" s="2">
        <v>0.03</v>
      </c>
      <c r="MB33" s="2">
        <v>-0.02</v>
      </c>
      <c r="MC33" s="2">
        <v>-0.02</v>
      </c>
      <c r="MD33" s="2">
        <v>0.01</v>
      </c>
      <c r="ME33" s="2">
        <v>0.02</v>
      </c>
      <c r="MF33" s="2">
        <v>-0.02</v>
      </c>
      <c r="MG33" s="2">
        <v>0.02</v>
      </c>
      <c r="MH33" s="2">
        <v>-0.01</v>
      </c>
      <c r="MI33" s="2">
        <v>-0.01</v>
      </c>
      <c r="MJ33" s="2">
        <v>0.01</v>
      </c>
      <c r="MK33" s="2">
        <v>0.01</v>
      </c>
      <c r="ML33" s="2">
        <v>-0.02</v>
      </c>
      <c r="MM33" s="2">
        <v>0.02</v>
      </c>
      <c r="MN33" s="2">
        <v>-0.01</v>
      </c>
      <c r="MO33" s="2">
        <v>-0.01</v>
      </c>
      <c r="MP33" s="2">
        <v>0.02</v>
      </c>
      <c r="SY33" s="2">
        <v>99.25</v>
      </c>
      <c r="SZ33" s="2">
        <v>100.77</v>
      </c>
      <c r="TA33" s="2">
        <v>100.56</v>
      </c>
      <c r="TB33" s="2">
        <v>103.7</v>
      </c>
      <c r="TC33" s="2">
        <v>104.71</v>
      </c>
      <c r="TD33" s="2">
        <v>105.21</v>
      </c>
      <c r="TE33" s="2">
        <v>106.22</v>
      </c>
      <c r="TF33" s="2">
        <v>108.95</v>
      </c>
      <c r="TG33" s="2">
        <v>107.13</v>
      </c>
      <c r="TH33" s="2">
        <v>109.46</v>
      </c>
      <c r="TI33" s="2">
        <v>108.45</v>
      </c>
      <c r="TJ33" s="2">
        <v>108.85</v>
      </c>
      <c r="TK33" s="2">
        <v>109.05</v>
      </c>
      <c r="TL33" s="2">
        <v>110.16</v>
      </c>
      <c r="TM33" s="2">
        <v>110.27</v>
      </c>
      <c r="TN33" s="2">
        <v>111.07</v>
      </c>
      <c r="TO33" s="2">
        <v>108.45</v>
      </c>
      <c r="TP33" s="2">
        <v>109.05</v>
      </c>
      <c r="TQ33" s="2">
        <v>109.36</v>
      </c>
      <c r="TR33" s="2">
        <v>109.96</v>
      </c>
      <c r="TS33" s="2">
        <v>110.47</v>
      </c>
      <c r="TT33" s="2">
        <v>110.47</v>
      </c>
      <c r="TU33" s="2">
        <v>110.06</v>
      </c>
      <c r="TV33" s="2">
        <v>111.28</v>
      </c>
      <c r="TW33" s="2">
        <v>111.28</v>
      </c>
      <c r="TX33" s="2">
        <v>111.58</v>
      </c>
      <c r="TY33" s="2">
        <v>111.38</v>
      </c>
      <c r="TZ33" s="2">
        <v>112.29</v>
      </c>
      <c r="UA33" s="2">
        <v>111.48</v>
      </c>
      <c r="UB33" s="2">
        <v>111.68</v>
      </c>
      <c r="UC33" s="2">
        <v>111.38</v>
      </c>
      <c r="UD33" s="2">
        <v>111.88</v>
      </c>
      <c r="UE33" s="2">
        <v>111.48</v>
      </c>
      <c r="UF33" s="2">
        <v>111.88</v>
      </c>
      <c r="UG33" s="2">
        <v>111.07</v>
      </c>
      <c r="UH33" s="2">
        <v>112.08</v>
      </c>
      <c r="UI33" s="2">
        <v>112.07</v>
      </c>
      <c r="UJ33" s="2">
        <v>109.94</v>
      </c>
      <c r="UK33" s="2">
        <v>110.03</v>
      </c>
      <c r="UL33" s="2">
        <v>110.06</v>
      </c>
      <c r="UM33" s="2">
        <v>109.35</v>
      </c>
      <c r="UN33" s="2">
        <v>109.06</v>
      </c>
      <c r="UO33" s="2">
        <v>107.63</v>
      </c>
      <c r="UP33" s="2">
        <v>108.27</v>
      </c>
      <c r="UQ33" s="2">
        <v>117.7</v>
      </c>
      <c r="UR33" s="2">
        <v>114.62</v>
      </c>
      <c r="US33" s="2">
        <v>112.36</v>
      </c>
      <c r="UT33" s="2">
        <v>113.66</v>
      </c>
      <c r="UU33" s="2">
        <v>111.85</v>
      </c>
      <c r="UV33" s="2">
        <v>113.1</v>
      </c>
      <c r="UW33" s="2">
        <v>113.3</v>
      </c>
      <c r="UX33" s="2">
        <v>113.91</v>
      </c>
      <c r="UY33" s="2">
        <v>111.91</v>
      </c>
      <c r="UZ33" s="2">
        <v>114.01</v>
      </c>
      <c r="VA33" s="2">
        <v>111.73</v>
      </c>
      <c r="VB33" s="2">
        <v>112.5</v>
      </c>
      <c r="VC33" s="2">
        <v>112.77</v>
      </c>
      <c r="VD33" s="2">
        <v>112.02</v>
      </c>
      <c r="VE33" s="2">
        <v>109.58</v>
      </c>
      <c r="VF33" s="2">
        <v>110.65</v>
      </c>
      <c r="VG33" s="2">
        <v>110.82</v>
      </c>
      <c r="VH33" s="2">
        <v>110.3</v>
      </c>
      <c r="VI33" s="2">
        <v>107.78</v>
      </c>
      <c r="VJ33" s="2">
        <v>109.85</v>
      </c>
      <c r="VK33" s="2">
        <v>108.84</v>
      </c>
      <c r="VL33" s="2">
        <v>108.53</v>
      </c>
      <c r="VM33" s="2">
        <v>105.56</v>
      </c>
      <c r="VN33" s="2">
        <v>107.84</v>
      </c>
      <c r="VO33" s="2">
        <v>107.42</v>
      </c>
      <c r="VP33" s="2">
        <v>108</v>
      </c>
      <c r="VQ33" s="2">
        <v>105.89</v>
      </c>
      <c r="VR33" s="2">
        <v>107.19</v>
      </c>
      <c r="VS33" s="2">
        <v>108.05</v>
      </c>
      <c r="VT33" s="2">
        <v>107.8</v>
      </c>
      <c r="VU33" s="2">
        <v>103.95</v>
      </c>
      <c r="VV33" s="2">
        <v>109.47</v>
      </c>
      <c r="VW33" s="2">
        <v>107.35</v>
      </c>
      <c r="VX33" s="2">
        <v>108.99</v>
      </c>
      <c r="VY33" s="2">
        <v>107.62</v>
      </c>
      <c r="VZ33" s="2">
        <v>109.72</v>
      </c>
      <c r="WA33" s="2">
        <v>109.53</v>
      </c>
      <c r="WB33" s="2">
        <v>110.76</v>
      </c>
      <c r="WC33" s="2">
        <v>103.96</v>
      </c>
      <c r="WD33" s="2">
        <v>103.72</v>
      </c>
      <c r="WE33" s="2">
        <v>106.79</v>
      </c>
      <c r="WF33" s="2">
        <v>104.62</v>
      </c>
      <c r="WG33" s="2">
        <v>103.04</v>
      </c>
      <c r="WH33" s="2">
        <v>104.33</v>
      </c>
      <c r="WI33" s="2">
        <v>105.83</v>
      </c>
      <c r="WJ33" s="2">
        <v>105.46</v>
      </c>
      <c r="WK33" s="2">
        <v>100.01</v>
      </c>
      <c r="WL33" s="2">
        <v>102.46</v>
      </c>
      <c r="WM33" s="2">
        <v>105.45</v>
      </c>
      <c r="WN33" s="2">
        <v>106.57</v>
      </c>
      <c r="WO33" s="2">
        <v>100.72</v>
      </c>
      <c r="WP33" s="2">
        <v>107.92</v>
      </c>
      <c r="WQ33" s="2">
        <v>108.57</v>
      </c>
      <c r="WR33" s="2">
        <v>108.3</v>
      </c>
      <c r="WS33" s="2">
        <v>105.19</v>
      </c>
      <c r="WT33" s="2">
        <v>108.58</v>
      </c>
      <c r="WU33" s="2">
        <v>104.62</v>
      </c>
      <c r="WV33" s="2">
        <v>105.8</v>
      </c>
      <c r="WW33" s="2">
        <v>103.26</v>
      </c>
      <c r="WX33" s="2">
        <v>106.91</v>
      </c>
      <c r="WY33" s="2">
        <v>106.85</v>
      </c>
      <c r="WZ33" s="2">
        <v>107.2</v>
      </c>
      <c r="XA33" s="2">
        <v>104.24</v>
      </c>
      <c r="XB33" s="2">
        <v>105.83</v>
      </c>
      <c r="XC33" s="2">
        <v>105.19</v>
      </c>
      <c r="XD33" s="2">
        <v>107.84</v>
      </c>
      <c r="XE33" s="2">
        <v>103.61</v>
      </c>
      <c r="XF33" s="2">
        <v>101.69</v>
      </c>
      <c r="XG33" s="2">
        <v>99.53</v>
      </c>
      <c r="XH33" s="2">
        <v>100.95</v>
      </c>
      <c r="XI33" s="2">
        <v>98.92</v>
      </c>
      <c r="XJ33" s="2">
        <v>97.44</v>
      </c>
      <c r="XK33" s="2">
        <v>98.91</v>
      </c>
      <c r="XL33" s="2">
        <v>101.47</v>
      </c>
      <c r="XM33" s="2">
        <v>102.47</v>
      </c>
      <c r="XN33" s="2">
        <v>102.14</v>
      </c>
      <c r="XO33" s="2">
        <v>103.04</v>
      </c>
      <c r="XP33" s="2">
        <v>102.76</v>
      </c>
      <c r="XQ33" s="2">
        <v>103.65</v>
      </c>
      <c r="XR33" s="2">
        <v>101.52</v>
      </c>
      <c r="XS33" s="2">
        <v>101.67</v>
      </c>
      <c r="XT33" s="2">
        <v>103.6</v>
      </c>
      <c r="XU33" s="2">
        <v>102.51</v>
      </c>
      <c r="XV33" s="2">
        <v>102.88</v>
      </c>
      <c r="XW33" s="2">
        <v>97.11</v>
      </c>
      <c r="XX33" s="2">
        <v>97.31</v>
      </c>
      <c r="XY33" s="2">
        <v>97.20999999999999</v>
      </c>
      <c r="XZ33" s="2">
        <v>98.88</v>
      </c>
      <c r="YA33" s="2">
        <v>99.02</v>
      </c>
      <c r="YB33" s="2">
        <v>103.5</v>
      </c>
      <c r="YC33" s="2">
        <v>101.77</v>
      </c>
      <c r="YD33" s="2">
        <v>102.72</v>
      </c>
      <c r="YE33" s="2">
        <v>101.68</v>
      </c>
      <c r="YF33" s="2">
        <v>103.34</v>
      </c>
      <c r="YG33" s="2">
        <v>104.22</v>
      </c>
      <c r="YH33" s="2">
        <v>104.44</v>
      </c>
      <c r="YI33" s="2">
        <v>104.19</v>
      </c>
      <c r="YJ33" s="2">
        <v>102</v>
      </c>
      <c r="YK33" s="2">
        <v>100.8</v>
      </c>
      <c r="YL33" s="2">
        <v>103.26</v>
      </c>
      <c r="YM33" s="2">
        <v>101.18</v>
      </c>
      <c r="YN33" s="2">
        <v>100.95</v>
      </c>
      <c r="YO33" s="2">
        <v>101.48</v>
      </c>
      <c r="YP33" s="2">
        <v>101.65</v>
      </c>
      <c r="AEY33" s="2">
        <v>1.5</v>
      </c>
      <c r="AEZ33" s="2">
        <v>-0.2</v>
      </c>
      <c r="AFA33" s="2">
        <v>3.1</v>
      </c>
      <c r="AFB33" s="2">
        <v>1</v>
      </c>
      <c r="AFC33" s="2">
        <v>0.5</v>
      </c>
      <c r="AFD33" s="2">
        <v>1</v>
      </c>
      <c r="AFE33" s="2">
        <v>2.6</v>
      </c>
      <c r="AFF33" s="2">
        <v>-1.7</v>
      </c>
      <c r="AFG33" s="2">
        <v>2.2</v>
      </c>
      <c r="AFH33" s="2">
        <v>-0.9</v>
      </c>
      <c r="AFI33" s="2">
        <v>0.4</v>
      </c>
      <c r="AFJ33" s="2">
        <v>0.2</v>
      </c>
      <c r="AFK33" s="2">
        <v>1</v>
      </c>
      <c r="AFL33" s="2">
        <v>0.1</v>
      </c>
      <c r="AFM33" s="2">
        <v>0.7</v>
      </c>
      <c r="AFN33" s="2">
        <v>-2.4</v>
      </c>
      <c r="AFO33" s="2">
        <v>0.6</v>
      </c>
      <c r="AFP33" s="2">
        <v>0.3</v>
      </c>
      <c r="AFQ33" s="2">
        <v>0.5</v>
      </c>
      <c r="AFR33" s="2">
        <v>0.5</v>
      </c>
      <c r="AFS33" s="2">
        <v>0</v>
      </c>
      <c r="AFT33" s="2">
        <v>-0.4</v>
      </c>
      <c r="AFU33" s="2">
        <v>1.1</v>
      </c>
      <c r="AFV33" s="2">
        <v>0</v>
      </c>
      <c r="AFW33" s="2">
        <v>0.3</v>
      </c>
      <c r="AFX33" s="2">
        <v>-0.2</v>
      </c>
      <c r="AFY33" s="2">
        <v>0.8</v>
      </c>
      <c r="AFZ33" s="2">
        <v>-0.7</v>
      </c>
      <c r="AGA33" s="2">
        <v>0.2</v>
      </c>
      <c r="AGB33" s="2">
        <v>-0.3</v>
      </c>
      <c r="AGC33" s="2">
        <v>0.4</v>
      </c>
      <c r="AGD33" s="2">
        <v>-0.4</v>
      </c>
      <c r="AGE33" s="2">
        <v>0.4</v>
      </c>
      <c r="AGF33" s="2">
        <v>-0.7</v>
      </c>
      <c r="AGG33" s="2">
        <v>0.9</v>
      </c>
      <c r="AGH33" s="2">
        <v>0</v>
      </c>
      <c r="AGI33" s="2">
        <v>-1.9</v>
      </c>
      <c r="AGJ33" s="2">
        <v>0.1</v>
      </c>
      <c r="AGK33" s="2">
        <v>0</v>
      </c>
      <c r="AGL33" s="2">
        <v>-0.6</v>
      </c>
      <c r="AGM33" s="2">
        <v>-0.3</v>
      </c>
      <c r="AGN33" s="2">
        <v>-1.3</v>
      </c>
      <c r="AGO33" s="2">
        <v>0.6</v>
      </c>
      <c r="AGP33" s="2">
        <v>8.699999999999999</v>
      </c>
      <c r="AGQ33" s="2">
        <v>-2.6</v>
      </c>
      <c r="AGR33" s="2">
        <v>-2</v>
      </c>
      <c r="AGS33" s="2">
        <v>1.2</v>
      </c>
      <c r="AGT33" s="2">
        <v>-1.6</v>
      </c>
      <c r="AGU33" s="2">
        <v>1.1</v>
      </c>
      <c r="AGV33" s="2">
        <v>0.2</v>
      </c>
      <c r="AGW33" s="2">
        <v>0.5</v>
      </c>
      <c r="AGX33" s="2">
        <v>-1.8</v>
      </c>
      <c r="AGY33" s="2">
        <v>1.9</v>
      </c>
      <c r="AGZ33" s="2">
        <v>-2</v>
      </c>
      <c r="AHA33" s="2">
        <v>0.7</v>
      </c>
      <c r="AHB33" s="2">
        <v>0.2</v>
      </c>
      <c r="AHC33" s="2">
        <v>-0.7</v>
      </c>
      <c r="AHD33" s="2">
        <v>-2.2</v>
      </c>
      <c r="AHE33" s="2">
        <v>1</v>
      </c>
      <c r="AHF33" s="2">
        <v>0.2</v>
      </c>
      <c r="AHG33" s="2">
        <v>-0.5</v>
      </c>
      <c r="AHH33" s="2">
        <v>-2.3</v>
      </c>
      <c r="AHI33" s="2">
        <v>1.9</v>
      </c>
      <c r="AHJ33" s="2">
        <v>-0.9</v>
      </c>
      <c r="AHK33" s="2">
        <v>-0.3</v>
      </c>
      <c r="AHL33" s="2">
        <v>-2.7</v>
      </c>
      <c r="AHM33" s="2">
        <v>2.2</v>
      </c>
      <c r="AHN33" s="2">
        <v>-0.4</v>
      </c>
      <c r="AHO33" s="2">
        <v>0.5</v>
      </c>
      <c r="AHP33" s="2">
        <v>-2</v>
      </c>
      <c r="AHQ33" s="2">
        <v>1.2</v>
      </c>
      <c r="AHR33" s="2">
        <v>0.8</v>
      </c>
      <c r="AHS33" s="2">
        <v>-0.2</v>
      </c>
      <c r="AHT33" s="2">
        <v>-3.6</v>
      </c>
      <c r="AHU33" s="2">
        <v>5.3</v>
      </c>
      <c r="AHV33" s="2">
        <v>-1.9</v>
      </c>
      <c r="AHW33" s="2">
        <v>1.5</v>
      </c>
      <c r="AHX33" s="2">
        <v>-1.3</v>
      </c>
      <c r="AHY33" s="2">
        <v>2</v>
      </c>
      <c r="AHZ33" s="2">
        <v>-0.2</v>
      </c>
      <c r="AIA33" s="2">
        <v>1.1</v>
      </c>
      <c r="AIB33" s="2">
        <v>-6.1</v>
      </c>
      <c r="AIC33" s="2">
        <v>-0.2</v>
      </c>
      <c r="AID33" s="2">
        <v>3</v>
      </c>
      <c r="AIE33" s="2">
        <v>-2</v>
      </c>
      <c r="AIF33" s="2">
        <v>-1.5</v>
      </c>
      <c r="AIG33" s="2">
        <v>1.3</v>
      </c>
      <c r="AIH33" s="2">
        <v>1.4</v>
      </c>
      <c r="AII33" s="2">
        <v>-0.3</v>
      </c>
      <c r="AIJ33" s="2">
        <v>-5.2</v>
      </c>
      <c r="AIK33" s="2">
        <v>2.4</v>
      </c>
      <c r="AIL33" s="2">
        <v>2.9</v>
      </c>
      <c r="AIM33" s="2">
        <v>1.1</v>
      </c>
      <c r="AIN33" s="2">
        <v>-5.5</v>
      </c>
      <c r="AIO33" s="2">
        <v>7.1</v>
      </c>
      <c r="AIP33" s="2">
        <v>0.6</v>
      </c>
      <c r="AIQ33" s="2">
        <v>-0.2</v>
      </c>
      <c r="AIR33" s="2">
        <v>-2.9</v>
      </c>
      <c r="AIS33" s="2">
        <v>3.2</v>
      </c>
      <c r="AIT33" s="2">
        <v>-3.6</v>
      </c>
      <c r="AIU33" s="2">
        <v>1.1</v>
      </c>
      <c r="AIV33" s="2">
        <v>-2.4</v>
      </c>
      <c r="AIW33" s="2">
        <v>3.5</v>
      </c>
      <c r="AIX33" s="2">
        <v>-0.1</v>
      </c>
      <c r="AIY33" s="2">
        <v>0.3</v>
      </c>
      <c r="AIZ33" s="2">
        <v>-2.8</v>
      </c>
      <c r="AJA33" s="2">
        <v>1.5</v>
      </c>
      <c r="AJB33" s="2">
        <v>-0.6</v>
      </c>
      <c r="AJC33" s="2">
        <v>2.5</v>
      </c>
      <c r="AJD33" s="2">
        <v>-3.9</v>
      </c>
      <c r="AJE33" s="2">
        <v>-1.9</v>
      </c>
      <c r="AJF33" s="2">
        <v>-2.1</v>
      </c>
      <c r="AJG33" s="2">
        <v>1.4</v>
      </c>
      <c r="AJH33" s="2">
        <v>-2</v>
      </c>
      <c r="AJI33" s="2">
        <v>-1.5</v>
      </c>
      <c r="AJJ33" s="2">
        <v>1.5</v>
      </c>
      <c r="AJK33" s="2">
        <v>2.6</v>
      </c>
      <c r="AJL33" s="2">
        <v>1</v>
      </c>
      <c r="AJM33" s="2">
        <v>-0.3</v>
      </c>
      <c r="AJN33" s="2">
        <v>0.9</v>
      </c>
      <c r="AJO33" s="2">
        <v>-0.3</v>
      </c>
      <c r="AJP33" s="2">
        <v>0.9</v>
      </c>
      <c r="AJQ33" s="2">
        <v>-2.1</v>
      </c>
      <c r="AJR33" s="2">
        <v>0.1</v>
      </c>
      <c r="AJS33" s="2">
        <v>1.9</v>
      </c>
      <c r="AJT33" s="2">
        <v>-1.1</v>
      </c>
      <c r="AJU33" s="2">
        <v>0.4</v>
      </c>
      <c r="AJV33" s="2">
        <v>-5.6</v>
      </c>
      <c r="AJW33" s="2">
        <v>0.2</v>
      </c>
      <c r="AJX33" s="2">
        <v>-0.1</v>
      </c>
      <c r="AJY33" s="2">
        <v>1.7</v>
      </c>
      <c r="AJZ33" s="2">
        <v>0.1</v>
      </c>
      <c r="AKA33" s="2">
        <v>4.5</v>
      </c>
      <c r="AKB33" s="2">
        <v>-1.7</v>
      </c>
      <c r="AKC33" s="2">
        <v>0.9</v>
      </c>
      <c r="AKD33" s="2">
        <v>-1</v>
      </c>
      <c r="AKE33" s="2">
        <v>1.6</v>
      </c>
      <c r="AKF33" s="2">
        <v>0.9</v>
      </c>
      <c r="AKG33" s="2">
        <v>0.2</v>
      </c>
      <c r="AKH33" s="2">
        <v>-0.2</v>
      </c>
      <c r="AKI33" s="2">
        <v>-2.1</v>
      </c>
      <c r="AKJ33" s="2">
        <v>-1.2</v>
      </c>
      <c r="AKK33" s="2">
        <v>2.4</v>
      </c>
      <c r="AKL33" s="2">
        <v>-2</v>
      </c>
      <c r="AKM33" s="2">
        <v>-0.2</v>
      </c>
      <c r="AKN33" s="2">
        <v>0.5</v>
      </c>
      <c r="AKO33" s="2">
        <v>0.2</v>
      </c>
      <c r="AKP33" s="2">
        <v>0.52</v>
      </c>
      <c r="AKQ33" s="2">
        <v>0.52</v>
      </c>
      <c r="AKR33" s="2">
        <v>0.52</v>
      </c>
    </row>
    <row r="34">
      <c r="A34" t="inlineStr">
        <is>
          <t>Garments for women</t>
        </is>
      </c>
      <c r="B34" t="inlineStr">
        <is>
          <t>Garments</t>
        </is>
      </c>
      <c r="C34">
        <v>3</v>
      </c>
      <c r="D34">
        <v>1.1</v>
      </c>
      <c r="E34" s="3">
        <f>D34/1.9600000000000002*0.019538364779874213</f>
        <v>0.010965408805031447</v>
      </c>
      <c r="F34" s="3">
        <f>E34-D34/100</f>
        <v>-3.459119496855394e-05</v>
      </c>
      <c r="G34" s="3">
        <f>D34/1.9600000000000002</f>
        <v>0.5612244897959183</v>
      </c>
      <c r="CI34" s="2">
        <v>101.34</v>
      </c>
      <c r="CJ34" s="2">
        <v>96.62</v>
      </c>
      <c r="CK34" s="2">
        <v>95.23</v>
      </c>
      <c r="CL34" s="2">
        <v>98.63</v>
      </c>
      <c r="CM34" s="2">
        <v>98.2</v>
      </c>
      <c r="CN34" s="2">
        <v>97.15000000000001</v>
      </c>
      <c r="CO34" s="2">
        <v>97.90000000000001</v>
      </c>
      <c r="CP34" s="2">
        <v>96.97</v>
      </c>
      <c r="CQ34" s="2">
        <v>98.38</v>
      </c>
      <c r="CR34" s="2">
        <v>96.64</v>
      </c>
      <c r="CS34" s="2">
        <v>101.78</v>
      </c>
      <c r="CT34" s="2">
        <v>97.76000000000001</v>
      </c>
      <c r="CU34" s="2">
        <v>103.63</v>
      </c>
      <c r="CV34" s="2">
        <v>101.19</v>
      </c>
      <c r="CW34" s="2">
        <v>99.41</v>
      </c>
      <c r="CX34" s="2">
        <v>102.48</v>
      </c>
      <c r="CY34" s="2">
        <v>103.23</v>
      </c>
      <c r="CZ34" s="2">
        <v>100</v>
      </c>
      <c r="DA34" s="2">
        <v>102.57</v>
      </c>
      <c r="DB34" s="2">
        <v>99.79000000000001</v>
      </c>
      <c r="DC34" s="2">
        <v>99.25</v>
      </c>
      <c r="DD34" s="2">
        <v>101.39</v>
      </c>
      <c r="DE34" s="2">
        <v>104.98</v>
      </c>
      <c r="DF34" s="2">
        <v>103.18</v>
      </c>
      <c r="DG34" s="2">
        <v>109.46</v>
      </c>
      <c r="DH34" s="2">
        <v>105.36</v>
      </c>
      <c r="DI34" s="2">
        <v>100.5</v>
      </c>
      <c r="DJ34" s="2">
        <v>103.7</v>
      </c>
      <c r="GL34" s="2">
        <v>2.3</v>
      </c>
      <c r="GM34" s="2">
        <v>4.7</v>
      </c>
      <c r="GN34" s="2">
        <v>4.4</v>
      </c>
      <c r="GO34" s="2">
        <v>3.9</v>
      </c>
      <c r="GP34" s="2">
        <v>5.1</v>
      </c>
      <c r="GQ34" s="2">
        <v>2.9</v>
      </c>
      <c r="GR34" s="2">
        <v>4.8</v>
      </c>
      <c r="GS34" s="2">
        <v>2.9</v>
      </c>
      <c r="GT34" s="2">
        <v>0.9</v>
      </c>
      <c r="GU34" s="2">
        <v>4.9</v>
      </c>
      <c r="GV34" s="2">
        <v>3.1</v>
      </c>
      <c r="GW34" s="2">
        <v>5.5</v>
      </c>
      <c r="GX34" s="2">
        <v>5.6</v>
      </c>
      <c r="GY34" s="2">
        <v>4.1</v>
      </c>
      <c r="GZ34" s="2">
        <v>1.1</v>
      </c>
      <c r="HA34" s="2">
        <v>1.2</v>
      </c>
      <c r="KC34" s="2">
        <v>-4.7</v>
      </c>
      <c r="KD34" s="2">
        <v>-1.4</v>
      </c>
      <c r="KE34" s="2">
        <v>3.6</v>
      </c>
      <c r="KF34" s="2">
        <v>-0.4</v>
      </c>
      <c r="KG34" s="2">
        <v>-1.1</v>
      </c>
      <c r="KH34" s="2">
        <v>0.8</v>
      </c>
      <c r="KI34" s="2">
        <v>-0.9</v>
      </c>
      <c r="KJ34" s="2">
        <v>1.5</v>
      </c>
      <c r="KK34" s="2">
        <v>-1.8</v>
      </c>
      <c r="KL34" s="2">
        <v>5.3</v>
      </c>
      <c r="KM34" s="2">
        <v>-3.9</v>
      </c>
      <c r="KN34" s="2">
        <v>6</v>
      </c>
      <c r="KO34" s="2">
        <v>-2.4</v>
      </c>
      <c r="KP34" s="2">
        <v>-1.8</v>
      </c>
      <c r="KQ34" s="2">
        <v>3.1</v>
      </c>
      <c r="KR34" s="2">
        <v>0.7</v>
      </c>
      <c r="KS34" s="2">
        <v>-3.1</v>
      </c>
      <c r="KT34" s="2">
        <v>2.6</v>
      </c>
      <c r="KU34" s="2">
        <v>-2.7</v>
      </c>
      <c r="KV34" s="2">
        <v>-0.5</v>
      </c>
      <c r="KW34" s="2">
        <v>2.2</v>
      </c>
      <c r="KX34" s="2">
        <v>3.5</v>
      </c>
      <c r="KY34" s="2">
        <v>-1.7</v>
      </c>
      <c r="KZ34" s="2">
        <v>6.1</v>
      </c>
      <c r="LA34" s="2">
        <v>-3.7</v>
      </c>
      <c r="LB34" s="2">
        <v>-4.6</v>
      </c>
      <c r="LC34" s="2">
        <v>3.2</v>
      </c>
      <c r="LD34" s="2">
        <v>1.07</v>
      </c>
      <c r="LE34" s="2">
        <v>1.05</v>
      </c>
      <c r="LF34" s="2">
        <v>1.11</v>
      </c>
      <c r="LG34" s="2">
        <v>1.07</v>
      </c>
      <c r="LH34" s="2">
        <v>1.13</v>
      </c>
      <c r="LI34" s="2">
        <v>1.1</v>
      </c>
      <c r="LJ34" s="2">
        <v>1.08</v>
      </c>
      <c r="LK34" s="2">
        <v>1.12</v>
      </c>
      <c r="LL34" s="2">
        <v>1.13</v>
      </c>
      <c r="LM34" s="2">
        <v>1.09</v>
      </c>
      <c r="LN34" s="2">
        <v>1.12</v>
      </c>
      <c r="LO34" s="2">
        <v>1.09</v>
      </c>
      <c r="LP34" s="2">
        <v>1.08</v>
      </c>
      <c r="LQ34" s="2">
        <v>1.11</v>
      </c>
      <c r="LR34" s="2">
        <v>1.14</v>
      </c>
      <c r="LS34" s="2">
        <v>1.13</v>
      </c>
      <c r="LT34" s="2">
        <v>1.19</v>
      </c>
      <c r="LU34" s="2">
        <v>1.15</v>
      </c>
      <c r="LV34" s="2">
        <v>1.1</v>
      </c>
      <c r="LW34" s="2">
        <v>1.13</v>
      </c>
      <c r="LX34" s="2">
        <v>-0.02</v>
      </c>
      <c r="LY34" s="2">
        <v>0.06</v>
      </c>
      <c r="LZ34" s="2">
        <v>-0.04</v>
      </c>
      <c r="MA34" s="2">
        <v>0.06</v>
      </c>
      <c r="MB34" s="2">
        <v>-0.03</v>
      </c>
      <c r="MC34" s="2">
        <v>-0.02</v>
      </c>
      <c r="MD34" s="2">
        <v>0.04</v>
      </c>
      <c r="ME34" s="2">
        <v>0.01</v>
      </c>
      <c r="MF34" s="2">
        <v>-0.04</v>
      </c>
      <c r="MG34" s="2">
        <v>0.03</v>
      </c>
      <c r="MH34" s="2">
        <v>-0.03</v>
      </c>
      <c r="MI34" s="2">
        <v>-0.01</v>
      </c>
      <c r="MJ34" s="2">
        <v>0.03</v>
      </c>
      <c r="MK34" s="2">
        <v>0.03</v>
      </c>
      <c r="ML34" s="2">
        <v>-0.01</v>
      </c>
      <c r="MM34" s="2">
        <v>0.06</v>
      </c>
      <c r="MN34" s="2">
        <v>-0.04</v>
      </c>
      <c r="MO34" s="2">
        <v>-0.05</v>
      </c>
      <c r="MP34" s="2">
        <v>0.03</v>
      </c>
      <c r="SY34" s="2">
        <v>108.64</v>
      </c>
      <c r="SZ34" s="2">
        <v>111.42</v>
      </c>
      <c r="TA34" s="2">
        <v>111.75</v>
      </c>
      <c r="TB34" s="2">
        <v>113.42</v>
      </c>
      <c r="TC34" s="2">
        <v>113.53</v>
      </c>
      <c r="TD34" s="2">
        <v>116.43</v>
      </c>
      <c r="TE34" s="2">
        <v>116.76</v>
      </c>
      <c r="TF34" s="2">
        <v>117.54</v>
      </c>
      <c r="TG34" s="2">
        <v>117.65</v>
      </c>
      <c r="TH34" s="2">
        <v>117.65</v>
      </c>
      <c r="TI34" s="2">
        <v>117.76</v>
      </c>
      <c r="TJ34" s="2">
        <v>118.65</v>
      </c>
      <c r="TK34" s="2">
        <v>118.43</v>
      </c>
      <c r="TL34" s="2">
        <v>119.43</v>
      </c>
      <c r="TM34" s="2">
        <v>119.32</v>
      </c>
      <c r="TN34" s="2">
        <v>120.21</v>
      </c>
      <c r="TO34" s="2">
        <v>119.99</v>
      </c>
      <c r="TP34" s="2">
        <v>119.1</v>
      </c>
      <c r="TQ34" s="2">
        <v>119.21</v>
      </c>
      <c r="TR34" s="2">
        <v>118.77</v>
      </c>
      <c r="TS34" s="2">
        <v>118.88</v>
      </c>
      <c r="TT34" s="2">
        <v>118.88</v>
      </c>
      <c r="TU34" s="2">
        <v>118.65</v>
      </c>
      <c r="TV34" s="2">
        <v>119.55</v>
      </c>
      <c r="TW34" s="2">
        <v>119.55</v>
      </c>
      <c r="TX34" s="2">
        <v>118.88</v>
      </c>
      <c r="TY34" s="2">
        <v>118.77</v>
      </c>
      <c r="TZ34" s="2">
        <v>118.77</v>
      </c>
      <c r="UA34" s="2">
        <v>118.99</v>
      </c>
      <c r="UB34" s="2">
        <v>118.88</v>
      </c>
      <c r="UC34" s="2">
        <v>118.88</v>
      </c>
      <c r="UD34" s="2">
        <v>119.99</v>
      </c>
      <c r="UE34" s="2">
        <v>120.1</v>
      </c>
      <c r="UF34" s="2">
        <v>121.21</v>
      </c>
      <c r="UG34" s="2">
        <v>121.21</v>
      </c>
      <c r="UH34" s="2">
        <v>120.77</v>
      </c>
      <c r="UI34" s="2">
        <v>120.61</v>
      </c>
      <c r="UJ34" s="2">
        <v>121.09</v>
      </c>
      <c r="UK34" s="2">
        <v>120.73</v>
      </c>
      <c r="UL34" s="2">
        <v>120.38</v>
      </c>
      <c r="UM34" s="2">
        <v>120.01</v>
      </c>
      <c r="UN34" s="2">
        <v>118.16</v>
      </c>
      <c r="UO34" s="2">
        <v>118.53</v>
      </c>
      <c r="UP34" s="2">
        <v>121.08</v>
      </c>
      <c r="UQ34" s="2">
        <v>131.1</v>
      </c>
      <c r="UR34" s="2">
        <v>131.22</v>
      </c>
      <c r="US34" s="2">
        <v>126.43</v>
      </c>
      <c r="UT34" s="2">
        <v>129.93</v>
      </c>
      <c r="UU34" s="2">
        <v>126.41</v>
      </c>
      <c r="UV34" s="2">
        <v>130.47</v>
      </c>
      <c r="UW34" s="2">
        <v>128.85</v>
      </c>
      <c r="UX34" s="2">
        <v>131.41</v>
      </c>
      <c r="UY34" s="2">
        <v>129.1</v>
      </c>
      <c r="UZ34" s="2">
        <v>131.3</v>
      </c>
      <c r="VA34" s="2">
        <v>129.36</v>
      </c>
      <c r="VB34" s="2">
        <v>131.45</v>
      </c>
      <c r="VC34" s="2">
        <v>130.37</v>
      </c>
      <c r="VD34" s="2">
        <v>130.5</v>
      </c>
      <c r="VE34" s="2">
        <v>130.48</v>
      </c>
      <c r="VF34" s="2">
        <v>132.34</v>
      </c>
      <c r="VG34" s="2">
        <v>130.22</v>
      </c>
      <c r="VH34" s="2">
        <v>126.69</v>
      </c>
      <c r="VI34" s="2">
        <v>125.11</v>
      </c>
      <c r="VJ34" s="2">
        <v>125.68</v>
      </c>
      <c r="VK34" s="2">
        <v>125.9</v>
      </c>
      <c r="VL34" s="2">
        <v>124.89</v>
      </c>
      <c r="VM34" s="2">
        <v>122.74</v>
      </c>
      <c r="VN34" s="2">
        <v>121.14</v>
      </c>
      <c r="VO34" s="2">
        <v>120.88</v>
      </c>
      <c r="VP34" s="2">
        <v>120.14</v>
      </c>
      <c r="VQ34" s="2">
        <v>120.79</v>
      </c>
      <c r="VR34" s="2">
        <v>122.86</v>
      </c>
      <c r="VS34" s="2">
        <v>122.02</v>
      </c>
      <c r="VT34" s="2">
        <v>121.52</v>
      </c>
      <c r="VU34" s="2">
        <v>121</v>
      </c>
      <c r="VV34" s="2">
        <v>122.2</v>
      </c>
      <c r="VW34" s="2">
        <v>121.47</v>
      </c>
      <c r="VX34" s="2">
        <v>120.01</v>
      </c>
      <c r="VY34" s="2">
        <v>121.64</v>
      </c>
      <c r="VZ34" s="2">
        <v>123.83</v>
      </c>
      <c r="WA34" s="2">
        <v>123.53</v>
      </c>
      <c r="WB34" s="2">
        <v>123.07</v>
      </c>
      <c r="WC34" s="2">
        <v>118.75</v>
      </c>
      <c r="WD34" s="2">
        <v>118.72</v>
      </c>
      <c r="WE34" s="2">
        <v>118.05</v>
      </c>
      <c r="WF34" s="2">
        <v>115.31</v>
      </c>
      <c r="WG34" s="2">
        <v>115.8</v>
      </c>
      <c r="WH34" s="2">
        <v>116.76</v>
      </c>
      <c r="WI34" s="2">
        <v>117.06</v>
      </c>
      <c r="WJ34" s="2">
        <v>117.81</v>
      </c>
      <c r="WK34" s="2">
        <v>114.88</v>
      </c>
      <c r="WL34" s="2">
        <v>117.03</v>
      </c>
      <c r="WM34" s="2">
        <v>116.78</v>
      </c>
      <c r="WN34" s="2">
        <v>114.66</v>
      </c>
      <c r="WO34" s="2">
        <v>113.1</v>
      </c>
      <c r="WP34" s="2">
        <v>113.43</v>
      </c>
      <c r="WQ34" s="2">
        <v>114.22</v>
      </c>
      <c r="WR34" s="2">
        <v>112.62</v>
      </c>
      <c r="WS34" s="2">
        <v>111.11</v>
      </c>
      <c r="WT34" s="2">
        <v>112</v>
      </c>
      <c r="WU34" s="2">
        <v>111.51</v>
      </c>
      <c r="WV34" s="2">
        <v>109.85</v>
      </c>
      <c r="WW34" s="2">
        <v>108.15</v>
      </c>
      <c r="WX34" s="2">
        <v>109.46</v>
      </c>
      <c r="WY34" s="2">
        <v>108.74</v>
      </c>
      <c r="WZ34" s="2">
        <v>109.05</v>
      </c>
      <c r="XA34" s="2">
        <v>107.65</v>
      </c>
      <c r="XB34" s="2">
        <v>109.49</v>
      </c>
      <c r="XC34" s="2">
        <v>107.73</v>
      </c>
      <c r="XD34" s="2">
        <v>107.05</v>
      </c>
      <c r="XE34" s="2">
        <v>105.14</v>
      </c>
      <c r="XF34" s="2">
        <v>104.04</v>
      </c>
      <c r="XG34" s="2">
        <v>102.85</v>
      </c>
      <c r="XH34" s="2">
        <v>101.24</v>
      </c>
      <c r="XI34" s="2">
        <v>98.7</v>
      </c>
      <c r="XJ34" s="2">
        <v>100.93</v>
      </c>
      <c r="XK34" s="2">
        <v>100.59</v>
      </c>
      <c r="XL34" s="2">
        <v>99.61</v>
      </c>
      <c r="XM34" s="2">
        <v>96.73</v>
      </c>
      <c r="XN34" s="2">
        <v>100.74</v>
      </c>
      <c r="XO34" s="2">
        <v>102.06</v>
      </c>
      <c r="XP34" s="2">
        <v>99.59</v>
      </c>
      <c r="XQ34" s="2">
        <v>97.5</v>
      </c>
      <c r="XR34" s="2">
        <v>100.28</v>
      </c>
      <c r="XS34" s="2">
        <v>101.76</v>
      </c>
      <c r="XT34" s="2">
        <v>96.25</v>
      </c>
      <c r="XU34" s="2">
        <v>95.23</v>
      </c>
      <c r="XV34" s="2">
        <v>96</v>
      </c>
      <c r="XW34" s="2">
        <v>91.15000000000001</v>
      </c>
      <c r="XX34" s="2">
        <v>94.59999999999999</v>
      </c>
      <c r="XY34" s="2">
        <v>92.89</v>
      </c>
      <c r="XZ34" s="2">
        <v>98.42</v>
      </c>
      <c r="YA34" s="2">
        <v>98.3</v>
      </c>
      <c r="YB34" s="2">
        <v>99.73999999999999</v>
      </c>
      <c r="YC34" s="2">
        <v>95.51000000000001</v>
      </c>
      <c r="YD34" s="2">
        <v>95.52</v>
      </c>
      <c r="YE34" s="2">
        <v>94.98</v>
      </c>
      <c r="YF34" s="2">
        <v>97.08</v>
      </c>
      <c r="YG34" s="2">
        <v>96.88</v>
      </c>
      <c r="YH34" s="2">
        <v>99.58</v>
      </c>
      <c r="YI34" s="2">
        <v>98.14</v>
      </c>
      <c r="YJ34" s="2">
        <v>98.84</v>
      </c>
      <c r="YK34" s="2">
        <v>98.5</v>
      </c>
      <c r="YL34" s="2">
        <v>102.02</v>
      </c>
      <c r="YM34" s="2">
        <v>101.9</v>
      </c>
      <c r="YN34" s="2">
        <v>100.53</v>
      </c>
      <c r="YO34" s="2">
        <v>103.18</v>
      </c>
      <c r="YP34" s="2">
        <v>105.11</v>
      </c>
      <c r="AEY34" s="2">
        <v>2.6</v>
      </c>
      <c r="AEZ34" s="2">
        <v>0.3</v>
      </c>
      <c r="AFA34" s="2">
        <v>1.5</v>
      </c>
      <c r="AFB34" s="2">
        <v>0.1</v>
      </c>
      <c r="AFC34" s="2">
        <v>2.6</v>
      </c>
      <c r="AFD34" s="2">
        <v>0.3</v>
      </c>
      <c r="AFE34" s="2">
        <v>0.7</v>
      </c>
      <c r="AFF34" s="2">
        <v>0.1</v>
      </c>
      <c r="AFG34" s="2">
        <v>0</v>
      </c>
      <c r="AFH34" s="2">
        <v>0.1</v>
      </c>
      <c r="AFI34" s="2">
        <v>0.8</v>
      </c>
      <c r="AFJ34" s="2">
        <v>-0.2</v>
      </c>
      <c r="AFK34" s="2">
        <v>0.8</v>
      </c>
      <c r="AFL34" s="2">
        <v>-0.1</v>
      </c>
      <c r="AFM34" s="2">
        <v>0.7</v>
      </c>
      <c r="AFN34" s="2">
        <v>-0.2</v>
      </c>
      <c r="AFO34" s="2">
        <v>-0.7</v>
      </c>
      <c r="AFP34" s="2">
        <v>0.1</v>
      </c>
      <c r="AFQ34" s="2">
        <v>-0.4</v>
      </c>
      <c r="AFR34" s="2">
        <v>0.1</v>
      </c>
      <c r="AFS34" s="2">
        <v>0</v>
      </c>
      <c r="AFT34" s="2">
        <v>-0.2</v>
      </c>
      <c r="AFU34" s="2">
        <v>0.8</v>
      </c>
      <c r="AFV34" s="2">
        <v>0</v>
      </c>
      <c r="AFW34" s="2">
        <v>-0.6</v>
      </c>
      <c r="AFX34" s="2">
        <v>-0.1</v>
      </c>
      <c r="AFY34" s="2">
        <v>0</v>
      </c>
      <c r="AFZ34" s="2">
        <v>0.2</v>
      </c>
      <c r="AGA34" s="2">
        <v>-0.1</v>
      </c>
      <c r="AGB34" s="2">
        <v>0</v>
      </c>
      <c r="AGC34" s="2">
        <v>0.9</v>
      </c>
      <c r="AGD34" s="2">
        <v>0.1</v>
      </c>
      <c r="AGE34" s="2">
        <v>0.9</v>
      </c>
      <c r="AGF34" s="2">
        <v>0</v>
      </c>
      <c r="AGG34" s="2">
        <v>-0.4</v>
      </c>
      <c r="AGH34" s="2">
        <v>-0.1</v>
      </c>
      <c r="AGI34" s="2">
        <v>0.4</v>
      </c>
      <c r="AGJ34" s="2">
        <v>-0.3</v>
      </c>
      <c r="AGK34" s="2">
        <v>-0.3</v>
      </c>
      <c r="AGL34" s="2">
        <v>-0.3</v>
      </c>
      <c r="AGM34" s="2">
        <v>-1.5</v>
      </c>
      <c r="AGN34" s="2">
        <v>0.3</v>
      </c>
      <c r="AGO34" s="2">
        <v>2.2</v>
      </c>
      <c r="AGP34" s="2">
        <v>8.300000000000001</v>
      </c>
      <c r="AGQ34" s="2">
        <v>0.1</v>
      </c>
      <c r="AGR34" s="2">
        <v>-3.7</v>
      </c>
      <c r="AGS34" s="2">
        <v>2.8</v>
      </c>
      <c r="AGT34" s="2">
        <v>-2.7</v>
      </c>
      <c r="AGU34" s="2">
        <v>3.2</v>
      </c>
      <c r="AGV34" s="2">
        <v>-1.2</v>
      </c>
      <c r="AGW34" s="2">
        <v>2</v>
      </c>
      <c r="AGX34" s="2">
        <v>-1.8</v>
      </c>
      <c r="AGY34" s="2">
        <v>1.7</v>
      </c>
      <c r="AGZ34" s="2">
        <v>-1.5</v>
      </c>
      <c r="AHA34" s="2">
        <v>1.6</v>
      </c>
      <c r="AHB34" s="2">
        <v>-0.8</v>
      </c>
      <c r="AHC34" s="2">
        <v>0.1</v>
      </c>
      <c r="AHD34" s="2">
        <v>0</v>
      </c>
      <c r="AHE34" s="2">
        <v>1.4</v>
      </c>
      <c r="AHF34" s="2">
        <v>-1.6</v>
      </c>
      <c r="AHG34" s="2">
        <v>-2.7</v>
      </c>
      <c r="AHH34" s="2">
        <v>-1.2</v>
      </c>
      <c r="AHI34" s="2">
        <v>0.5</v>
      </c>
      <c r="AHJ34" s="2">
        <v>0.2</v>
      </c>
      <c r="AHK34" s="2">
        <v>-0.8</v>
      </c>
      <c r="AHL34" s="2">
        <v>-1.7</v>
      </c>
      <c r="AHM34" s="2">
        <v>-1.3</v>
      </c>
      <c r="AHN34" s="2">
        <v>-0.2</v>
      </c>
      <c r="AHO34" s="2">
        <v>-0.6</v>
      </c>
      <c r="AHP34" s="2">
        <v>0.5</v>
      </c>
      <c r="AHQ34" s="2">
        <v>1.7</v>
      </c>
      <c r="AHR34" s="2">
        <v>-0.7</v>
      </c>
      <c r="AHS34" s="2">
        <v>-0.4</v>
      </c>
      <c r="AHT34" s="2">
        <v>-0.4</v>
      </c>
      <c r="AHU34" s="2">
        <v>1</v>
      </c>
      <c r="AHV34" s="2">
        <v>-0.6</v>
      </c>
      <c r="AHW34" s="2">
        <v>-1.2</v>
      </c>
      <c r="AHX34" s="2">
        <v>1.4</v>
      </c>
      <c r="AHY34" s="2">
        <v>1.8</v>
      </c>
      <c r="AHZ34" s="2">
        <v>-0.2</v>
      </c>
      <c r="AIA34" s="2">
        <v>-0.4</v>
      </c>
      <c r="AIB34" s="2">
        <v>-3.5</v>
      </c>
      <c r="AIC34" s="2">
        <v>0</v>
      </c>
      <c r="AID34" s="2">
        <v>-0.6</v>
      </c>
      <c r="AIE34" s="2">
        <v>-2.3</v>
      </c>
      <c r="AIF34" s="2">
        <v>0.4</v>
      </c>
      <c r="AIG34" s="2">
        <v>0.8</v>
      </c>
      <c r="AIH34" s="2">
        <v>0.3</v>
      </c>
      <c r="AII34" s="2">
        <v>0.6</v>
      </c>
      <c r="AIJ34" s="2">
        <v>-2.5</v>
      </c>
      <c r="AIK34" s="2">
        <v>1.9</v>
      </c>
      <c r="AIL34" s="2">
        <v>-0.2</v>
      </c>
      <c r="AIM34" s="2">
        <v>-1.8</v>
      </c>
      <c r="AIN34" s="2">
        <v>-1.4</v>
      </c>
      <c r="AIO34" s="2">
        <v>0.3</v>
      </c>
      <c r="AIP34" s="2">
        <v>0.7</v>
      </c>
      <c r="AIQ34" s="2">
        <v>-1.4</v>
      </c>
      <c r="AIR34" s="2">
        <v>-1.3</v>
      </c>
      <c r="AIS34" s="2">
        <v>0.8</v>
      </c>
      <c r="AIT34" s="2">
        <v>-0.4</v>
      </c>
      <c r="AIU34" s="2">
        <v>-1.5</v>
      </c>
      <c r="AIV34" s="2">
        <v>-1.5</v>
      </c>
      <c r="AIW34" s="2">
        <v>1.2</v>
      </c>
      <c r="AIX34" s="2">
        <v>-0.7</v>
      </c>
      <c r="AIY34" s="2">
        <v>0.3</v>
      </c>
      <c r="AIZ34" s="2">
        <v>-1.3</v>
      </c>
      <c r="AJA34" s="2">
        <v>1.7</v>
      </c>
      <c r="AJB34" s="2">
        <v>-1.6</v>
      </c>
      <c r="AJC34" s="2">
        <v>-0.6</v>
      </c>
      <c r="AJD34" s="2">
        <v>-1.8</v>
      </c>
      <c r="AJE34" s="2">
        <v>-1</v>
      </c>
      <c r="AJF34" s="2">
        <v>-1.1</v>
      </c>
      <c r="AJG34" s="2">
        <v>-1.6</v>
      </c>
      <c r="AJH34" s="2">
        <v>-2.5</v>
      </c>
      <c r="AJI34" s="2">
        <v>2.3</v>
      </c>
      <c r="AJJ34" s="2">
        <v>-0.3</v>
      </c>
      <c r="AJK34" s="2">
        <v>-1</v>
      </c>
      <c r="AJL34" s="2">
        <v>-2.9</v>
      </c>
      <c r="AJM34" s="2">
        <v>4.1</v>
      </c>
      <c r="AJN34" s="2">
        <v>1.3</v>
      </c>
      <c r="AJO34" s="2">
        <v>-2.4</v>
      </c>
      <c r="AJP34" s="2">
        <v>-2.1</v>
      </c>
      <c r="AJQ34" s="2">
        <v>2.9</v>
      </c>
      <c r="AJR34" s="2">
        <v>1.5</v>
      </c>
      <c r="AJS34" s="2">
        <v>-5.4</v>
      </c>
      <c r="AJT34" s="2">
        <v>-1.1</v>
      </c>
      <c r="AJU34" s="2">
        <v>0.8</v>
      </c>
      <c r="AJV34" s="2">
        <v>-5.1</v>
      </c>
      <c r="AJW34" s="2">
        <v>3.8</v>
      </c>
      <c r="AJX34" s="2">
        <v>-1.8</v>
      </c>
      <c r="AJY34" s="2">
        <v>6</v>
      </c>
      <c r="AJZ34" s="2">
        <v>-0.1</v>
      </c>
      <c r="AKA34" s="2">
        <v>1.5</v>
      </c>
      <c r="AKB34" s="2">
        <v>-4.2</v>
      </c>
      <c r="AKC34" s="2">
        <v>0</v>
      </c>
      <c r="AKD34" s="2">
        <v>-0.6</v>
      </c>
      <c r="AKE34" s="2">
        <v>2.2</v>
      </c>
      <c r="AKF34" s="2">
        <v>-0.2</v>
      </c>
      <c r="AKG34" s="2">
        <v>2.8</v>
      </c>
      <c r="AKH34" s="2">
        <v>-1.4</v>
      </c>
      <c r="AKI34" s="2">
        <v>0.7</v>
      </c>
      <c r="AKJ34" s="2">
        <v>-0.3</v>
      </c>
      <c r="AKK34" s="2">
        <v>3.6</v>
      </c>
      <c r="AKL34" s="2">
        <v>-0.1</v>
      </c>
      <c r="AKM34" s="2">
        <v>-1.3</v>
      </c>
      <c r="AKN34" s="2">
        <v>2.6</v>
      </c>
      <c r="AKO34" s="2">
        <v>1.9</v>
      </c>
      <c r="AKP34" s="2">
        <v>1.1</v>
      </c>
      <c r="AKQ34" s="2">
        <v>1.13</v>
      </c>
      <c r="AKR34" s="2">
        <v>1.15</v>
      </c>
    </row>
    <row r="35">
      <c r="A35" t="inlineStr">
        <is>
          <t>Garments for infants and children</t>
        </is>
      </c>
      <c r="B35" t="inlineStr">
        <is>
          <t>Garments</t>
        </is>
      </c>
      <c r="C35">
        <v>3</v>
      </c>
      <c r="D35">
        <v>0.33</v>
      </c>
      <c r="E35" s="3">
        <f>D35/1.9600000000000002*0.019538364779874213</f>
        <v>0.003289622641509434</v>
      </c>
      <c r="F35" s="3">
        <f>E35-D35/100</f>
        <v>-1.0377358490566008e-05</v>
      </c>
      <c r="G35" s="3">
        <f>D35/1.9600000000000002</f>
        <v>0.1683673469387755</v>
      </c>
      <c r="CI35" s="2">
        <v>100.51</v>
      </c>
      <c r="CJ35" s="2">
        <v>98.11</v>
      </c>
      <c r="CK35" s="2">
        <v>97.97</v>
      </c>
      <c r="CL35" s="2">
        <v>98.38</v>
      </c>
      <c r="CM35" s="2">
        <v>98.75</v>
      </c>
      <c r="CN35" s="2">
        <v>97.18000000000001</v>
      </c>
      <c r="CO35" s="2">
        <v>97.83</v>
      </c>
      <c r="CP35" s="2">
        <v>96.95</v>
      </c>
      <c r="CQ35" s="2">
        <v>95.84</v>
      </c>
      <c r="CR35" s="2">
        <v>94.89</v>
      </c>
      <c r="CS35" s="2">
        <v>95.88</v>
      </c>
      <c r="CT35" s="2">
        <v>93.91</v>
      </c>
      <c r="CU35" s="2">
        <v>98.34</v>
      </c>
      <c r="CV35" s="2">
        <v>97.43000000000001</v>
      </c>
      <c r="CW35" s="2">
        <v>94.33</v>
      </c>
      <c r="CX35" s="2">
        <v>97.34</v>
      </c>
      <c r="CY35" s="2">
        <v>101.57</v>
      </c>
      <c r="CZ35" s="2">
        <v>100</v>
      </c>
      <c r="DA35" s="2">
        <v>101.62</v>
      </c>
      <c r="DB35" s="2">
        <v>100.25</v>
      </c>
      <c r="DC35" s="2">
        <v>98.68000000000001</v>
      </c>
      <c r="DD35" s="2">
        <v>100.19</v>
      </c>
      <c r="DE35" s="2">
        <v>101.51</v>
      </c>
      <c r="DF35" s="2">
        <v>99.02</v>
      </c>
      <c r="DG35" s="2">
        <v>100.54</v>
      </c>
      <c r="DH35" s="2">
        <v>96.70999999999999</v>
      </c>
      <c r="DI35" s="2">
        <v>96.52</v>
      </c>
      <c r="DJ35" s="2">
        <v>98.20999999999999</v>
      </c>
      <c r="GL35" s="2">
        <v>-2.2</v>
      </c>
      <c r="GM35" s="2">
        <v>-0.7</v>
      </c>
      <c r="GN35" s="2">
        <v>-3.7</v>
      </c>
      <c r="GO35" s="2">
        <v>-1.1</v>
      </c>
      <c r="GP35" s="2">
        <v>2.9</v>
      </c>
      <c r="GQ35" s="2">
        <v>2.9</v>
      </c>
      <c r="GR35" s="2">
        <v>3.9</v>
      </c>
      <c r="GS35" s="2">
        <v>3.4</v>
      </c>
      <c r="GT35" s="2">
        <v>3</v>
      </c>
      <c r="GU35" s="2">
        <v>5.6</v>
      </c>
      <c r="GV35" s="2">
        <v>5.9</v>
      </c>
      <c r="GW35" s="2">
        <v>5.4</v>
      </c>
      <c r="GX35" s="2">
        <v>2.2</v>
      </c>
      <c r="GY35" s="2">
        <v>-0.7</v>
      </c>
      <c r="GZ35" s="2">
        <v>2.3</v>
      </c>
      <c r="HA35" s="2">
        <v>0.9</v>
      </c>
      <c r="KC35" s="2">
        <v>-2.4</v>
      </c>
      <c r="KD35" s="2">
        <v>-0.1</v>
      </c>
      <c r="KE35" s="2">
        <v>0.4</v>
      </c>
      <c r="KF35" s="2">
        <v>0.4</v>
      </c>
      <c r="KG35" s="2">
        <v>-1.6</v>
      </c>
      <c r="KH35" s="2">
        <v>0.7</v>
      </c>
      <c r="KI35" s="2">
        <v>-0.9</v>
      </c>
      <c r="KJ35" s="2">
        <v>-1.1</v>
      </c>
      <c r="KK35" s="2">
        <v>-1</v>
      </c>
      <c r="KL35" s="2">
        <v>1</v>
      </c>
      <c r="KM35" s="2">
        <v>-2.1</v>
      </c>
      <c r="KN35" s="2">
        <v>4.7</v>
      </c>
      <c r="KO35" s="2">
        <v>-0.9</v>
      </c>
      <c r="KP35" s="2">
        <v>-3.2</v>
      </c>
      <c r="KQ35" s="2">
        <v>3.2</v>
      </c>
      <c r="KR35" s="2">
        <v>4.3</v>
      </c>
      <c r="KS35" s="2">
        <v>-1.5</v>
      </c>
      <c r="KT35" s="2">
        <v>1.6</v>
      </c>
      <c r="KU35" s="2">
        <v>-1.3</v>
      </c>
      <c r="KV35" s="2">
        <v>-1.6</v>
      </c>
      <c r="KW35" s="2">
        <v>1.5</v>
      </c>
      <c r="KX35" s="2">
        <v>1.3</v>
      </c>
      <c r="KY35" s="2">
        <v>-2.5</v>
      </c>
      <c r="KZ35" s="2">
        <v>1.5</v>
      </c>
      <c r="LA35" s="2">
        <v>-3.8</v>
      </c>
      <c r="LB35" s="2">
        <v>-0.2</v>
      </c>
      <c r="LC35" s="2">
        <v>1.8</v>
      </c>
      <c r="LD35" s="2">
        <v>0.32</v>
      </c>
      <c r="LE35" s="2">
        <v>0.32</v>
      </c>
      <c r="LF35" s="2">
        <v>0.32</v>
      </c>
      <c r="LG35" s="2">
        <v>0.31</v>
      </c>
      <c r="LH35" s="2">
        <v>0.33</v>
      </c>
      <c r="LI35" s="2">
        <v>0.33</v>
      </c>
      <c r="LJ35" s="2">
        <v>0.32</v>
      </c>
      <c r="LK35" s="2">
        <v>0.33</v>
      </c>
      <c r="LL35" s="2">
        <v>0.34</v>
      </c>
      <c r="LM35" s="2">
        <v>0.33</v>
      </c>
      <c r="LN35" s="2">
        <v>0.34</v>
      </c>
      <c r="LO35" s="2">
        <v>0.34</v>
      </c>
      <c r="LP35" s="2">
        <v>0.33</v>
      </c>
      <c r="LQ35" s="2">
        <v>0.33</v>
      </c>
      <c r="LR35" s="2">
        <v>0.34</v>
      </c>
      <c r="LS35" s="2">
        <v>0.33</v>
      </c>
      <c r="LT35" s="2">
        <v>0.34</v>
      </c>
      <c r="LU35" s="2">
        <v>0.32</v>
      </c>
      <c r="LV35" s="2">
        <v>0.32</v>
      </c>
      <c r="LW35" s="2">
        <v>0.33</v>
      </c>
      <c r="LX35" s="2">
        <v>0</v>
      </c>
      <c r="LY35" s="2">
        <v>0</v>
      </c>
      <c r="LZ35" s="2">
        <v>-0.01</v>
      </c>
      <c r="MA35" s="2">
        <v>0.02</v>
      </c>
      <c r="MB35" s="2">
        <v>0</v>
      </c>
      <c r="MC35" s="2">
        <v>-0.01</v>
      </c>
      <c r="MD35" s="2">
        <v>0.01</v>
      </c>
      <c r="ME35" s="2">
        <v>0.01</v>
      </c>
      <c r="MF35" s="2">
        <v>-0.01</v>
      </c>
      <c r="MG35" s="2">
        <v>0.01</v>
      </c>
      <c r="MH35" s="2">
        <v>0</v>
      </c>
      <c r="MI35" s="2">
        <v>-0.01</v>
      </c>
      <c r="MJ35" s="2">
        <v>0</v>
      </c>
      <c r="MK35" s="2">
        <v>0.01</v>
      </c>
      <c r="ML35" s="2">
        <v>-0.01</v>
      </c>
      <c r="MM35" s="2">
        <v>0.01</v>
      </c>
      <c r="MN35" s="2">
        <v>-0.02</v>
      </c>
      <c r="MO35" s="2">
        <v>0</v>
      </c>
      <c r="MP35" s="2">
        <v>0.01</v>
      </c>
      <c r="SY35" s="2">
        <v>86.90000000000001</v>
      </c>
      <c r="SZ35" s="2">
        <v>88.93000000000001</v>
      </c>
      <c r="TA35" s="2">
        <v>87.52</v>
      </c>
      <c r="TB35" s="2">
        <v>91.23999999999999</v>
      </c>
      <c r="TC35" s="2">
        <v>91.95</v>
      </c>
      <c r="TD35" s="2">
        <v>93.98999999999999</v>
      </c>
      <c r="TE35" s="2">
        <v>93.01000000000001</v>
      </c>
      <c r="TF35" s="2">
        <v>94.61</v>
      </c>
      <c r="TG35" s="2">
        <v>94.17</v>
      </c>
      <c r="TH35" s="2">
        <v>93.63</v>
      </c>
      <c r="TI35" s="2">
        <v>92.93000000000001</v>
      </c>
      <c r="TJ35" s="2">
        <v>94.17</v>
      </c>
      <c r="TK35" s="2">
        <v>94.08</v>
      </c>
      <c r="TL35" s="2">
        <v>96.47</v>
      </c>
      <c r="TM35" s="2">
        <v>95.41</v>
      </c>
      <c r="TN35" s="2">
        <v>96.29000000000001</v>
      </c>
      <c r="TO35" s="2">
        <v>95.76000000000001</v>
      </c>
      <c r="TP35" s="2">
        <v>95.05</v>
      </c>
      <c r="TQ35" s="2">
        <v>93.45999999999999</v>
      </c>
      <c r="TR35" s="2">
        <v>94.34</v>
      </c>
      <c r="TS35" s="2">
        <v>95.14</v>
      </c>
      <c r="TT35" s="2">
        <v>95.41</v>
      </c>
      <c r="TU35" s="2">
        <v>95.41</v>
      </c>
      <c r="TV35" s="2">
        <v>96.29000000000001</v>
      </c>
      <c r="TW35" s="2">
        <v>96.38</v>
      </c>
      <c r="TX35" s="2">
        <v>96.65000000000001</v>
      </c>
      <c r="TY35" s="2">
        <v>96.83</v>
      </c>
      <c r="TZ35" s="2">
        <v>97.8</v>
      </c>
      <c r="UA35" s="2">
        <v>98.16</v>
      </c>
      <c r="UB35" s="2">
        <v>98.95</v>
      </c>
      <c r="UC35" s="2">
        <v>98.42</v>
      </c>
      <c r="UD35" s="2">
        <v>99.13</v>
      </c>
      <c r="UE35" s="2">
        <v>98.33</v>
      </c>
      <c r="UF35" s="2">
        <v>99.04000000000001</v>
      </c>
      <c r="UG35" s="2">
        <v>98.59999999999999</v>
      </c>
      <c r="UH35" s="2">
        <v>98.06999999999999</v>
      </c>
      <c r="UI35" s="2">
        <v>98.06</v>
      </c>
      <c r="UJ35" s="2">
        <v>98.12</v>
      </c>
      <c r="UK35" s="2">
        <v>96.5</v>
      </c>
      <c r="UL35" s="2">
        <v>97.28</v>
      </c>
      <c r="UM35" s="2">
        <v>97.90000000000001</v>
      </c>
      <c r="UN35" s="2">
        <v>97.05</v>
      </c>
      <c r="UO35" s="2">
        <v>95.22</v>
      </c>
      <c r="UP35" s="2">
        <v>95.43000000000001</v>
      </c>
      <c r="UQ35" s="2">
        <v>104.96</v>
      </c>
      <c r="UR35" s="2">
        <v>103.9</v>
      </c>
      <c r="US35" s="2">
        <v>101.08</v>
      </c>
      <c r="UT35" s="2">
        <v>103.14</v>
      </c>
      <c r="UU35" s="2">
        <v>100.42</v>
      </c>
      <c r="UV35" s="2">
        <v>102.64</v>
      </c>
      <c r="UW35" s="2">
        <v>101.32</v>
      </c>
      <c r="UX35" s="2">
        <v>104.75</v>
      </c>
      <c r="UY35" s="2">
        <v>103.9</v>
      </c>
      <c r="UZ35" s="2">
        <v>106.81</v>
      </c>
      <c r="VA35" s="2">
        <v>103.34</v>
      </c>
      <c r="VB35" s="2">
        <v>104.98</v>
      </c>
      <c r="VC35" s="2">
        <v>106.05</v>
      </c>
      <c r="VD35" s="2">
        <v>106.38</v>
      </c>
      <c r="VE35" s="2">
        <v>101.92</v>
      </c>
      <c r="VF35" s="2">
        <v>103.18</v>
      </c>
      <c r="VG35" s="2">
        <v>104.77</v>
      </c>
      <c r="VH35" s="2">
        <v>103.77</v>
      </c>
      <c r="VI35" s="2">
        <v>100.43</v>
      </c>
      <c r="VJ35" s="2">
        <v>102.76</v>
      </c>
      <c r="VK35" s="2">
        <v>104.06</v>
      </c>
      <c r="VL35" s="2">
        <v>103.57</v>
      </c>
      <c r="VM35" s="2">
        <v>99.38</v>
      </c>
      <c r="VN35" s="2">
        <v>101.69</v>
      </c>
      <c r="VO35" s="2">
        <v>102.63</v>
      </c>
      <c r="VP35" s="2">
        <v>102.43</v>
      </c>
      <c r="VQ35" s="2">
        <v>102.84</v>
      </c>
      <c r="VR35" s="2">
        <v>103.3</v>
      </c>
      <c r="VS35" s="2">
        <v>102.87</v>
      </c>
      <c r="VT35" s="2">
        <v>103.47</v>
      </c>
      <c r="VU35" s="2">
        <v>99.36</v>
      </c>
      <c r="VV35" s="2">
        <v>103.17</v>
      </c>
      <c r="VW35" s="2">
        <v>101.08</v>
      </c>
      <c r="VX35" s="2">
        <v>102.04</v>
      </c>
      <c r="VY35" s="2">
        <v>99.39</v>
      </c>
      <c r="VZ35" s="2">
        <v>102.48</v>
      </c>
      <c r="WA35" s="2">
        <v>104.25</v>
      </c>
      <c r="WB35" s="2">
        <v>104.9</v>
      </c>
      <c r="WC35" s="2">
        <v>94.56</v>
      </c>
      <c r="WD35" s="2">
        <v>95.93000000000001</v>
      </c>
      <c r="WE35" s="2">
        <v>97.51000000000001</v>
      </c>
      <c r="WF35" s="2">
        <v>96.5</v>
      </c>
      <c r="WG35" s="2">
        <v>92.75</v>
      </c>
      <c r="WH35" s="2">
        <v>94.54000000000001</v>
      </c>
      <c r="WI35" s="2">
        <v>95.19</v>
      </c>
      <c r="WJ35" s="2">
        <v>94.81</v>
      </c>
      <c r="WK35" s="2">
        <v>91.47</v>
      </c>
      <c r="WL35" s="2">
        <v>92.8</v>
      </c>
      <c r="WM35" s="2">
        <v>94.70999999999999</v>
      </c>
      <c r="WN35" s="2">
        <v>94.19</v>
      </c>
      <c r="WO35" s="2">
        <v>87.84999999999999</v>
      </c>
      <c r="WP35" s="2">
        <v>93.14</v>
      </c>
      <c r="WQ35" s="2">
        <v>92.53</v>
      </c>
      <c r="WR35" s="2">
        <v>93.45</v>
      </c>
      <c r="WS35" s="2">
        <v>90.09</v>
      </c>
      <c r="WT35" s="2">
        <v>93.31</v>
      </c>
      <c r="WU35" s="2">
        <v>91.94</v>
      </c>
      <c r="WV35" s="2">
        <v>93.45999999999999</v>
      </c>
      <c r="WW35" s="2">
        <v>89.53</v>
      </c>
      <c r="WX35" s="2">
        <v>92.02</v>
      </c>
      <c r="WY35" s="2">
        <v>88.91</v>
      </c>
      <c r="WZ35" s="2">
        <v>92.17</v>
      </c>
      <c r="XA35" s="2">
        <v>89</v>
      </c>
      <c r="XB35" s="2">
        <v>92.39</v>
      </c>
      <c r="XC35" s="2">
        <v>92.01000000000001</v>
      </c>
      <c r="XD35" s="2">
        <v>94.63</v>
      </c>
      <c r="XE35" s="2">
        <v>91</v>
      </c>
      <c r="XF35" s="2">
        <v>92.31999999999999</v>
      </c>
      <c r="XG35" s="2">
        <v>91.87</v>
      </c>
      <c r="XH35" s="2">
        <v>92.29000000000001</v>
      </c>
      <c r="XI35" s="2">
        <v>87.75</v>
      </c>
      <c r="XJ35" s="2">
        <v>91.64</v>
      </c>
      <c r="XK35" s="2">
        <v>91.84</v>
      </c>
      <c r="XL35" s="2">
        <v>93.36</v>
      </c>
      <c r="XM35" s="2">
        <v>90.94</v>
      </c>
      <c r="XN35" s="2">
        <v>91.91</v>
      </c>
      <c r="XO35" s="2">
        <v>92.81999999999999</v>
      </c>
      <c r="XP35" s="2">
        <v>93.11</v>
      </c>
      <c r="XQ35" s="2">
        <v>92</v>
      </c>
      <c r="XR35" s="2">
        <v>91.27</v>
      </c>
      <c r="XS35" s="2">
        <v>91.68000000000001</v>
      </c>
      <c r="XT35" s="2">
        <v>93.23</v>
      </c>
      <c r="XU35" s="2">
        <v>90.72</v>
      </c>
      <c r="XV35" s="2">
        <v>93.20999999999999</v>
      </c>
      <c r="XW35" s="2">
        <v>87.42</v>
      </c>
      <c r="XX35" s="2">
        <v>90.38</v>
      </c>
      <c r="XY35" s="2">
        <v>90.19</v>
      </c>
      <c r="XZ35" s="2">
        <v>93.16</v>
      </c>
      <c r="YA35" s="2">
        <v>94.23</v>
      </c>
      <c r="YB35" s="2">
        <v>94.28</v>
      </c>
      <c r="YC35" s="2">
        <v>92.43000000000001</v>
      </c>
      <c r="YD35" s="2">
        <v>99.7</v>
      </c>
      <c r="YE35" s="2">
        <v>97.59</v>
      </c>
      <c r="YF35" s="2">
        <v>98.51000000000001</v>
      </c>
      <c r="YG35" s="2">
        <v>94.70999999999999</v>
      </c>
      <c r="YH35" s="2">
        <v>101.14</v>
      </c>
      <c r="YI35" s="2">
        <v>99.28</v>
      </c>
      <c r="YJ35" s="2">
        <v>98.45</v>
      </c>
      <c r="YK35" s="2">
        <v>95.34999999999999</v>
      </c>
      <c r="YL35" s="2">
        <v>100.17</v>
      </c>
      <c r="YM35" s="2">
        <v>99.64</v>
      </c>
      <c r="YN35" s="2">
        <v>100.18</v>
      </c>
      <c r="YO35" s="2">
        <v>100.24</v>
      </c>
      <c r="YP35" s="2">
        <v>97.92</v>
      </c>
      <c r="AEY35" s="2">
        <v>2.3</v>
      </c>
      <c r="AEZ35" s="2">
        <v>-1.6</v>
      </c>
      <c r="AFA35" s="2">
        <v>4.3</v>
      </c>
      <c r="AFB35" s="2">
        <v>0.8</v>
      </c>
      <c r="AFC35" s="2">
        <v>2.2</v>
      </c>
      <c r="AFD35" s="2">
        <v>-1</v>
      </c>
      <c r="AFE35" s="2">
        <v>1.7</v>
      </c>
      <c r="AFF35" s="2">
        <v>-0.5</v>
      </c>
      <c r="AFG35" s="2">
        <v>-0.6</v>
      </c>
      <c r="AFH35" s="2">
        <v>-0.7</v>
      </c>
      <c r="AFI35" s="2">
        <v>1.3</v>
      </c>
      <c r="AFJ35" s="2">
        <v>-0.1</v>
      </c>
      <c r="AFK35" s="2">
        <v>2.5</v>
      </c>
      <c r="AFL35" s="2">
        <v>-1.1</v>
      </c>
      <c r="AFM35" s="2">
        <v>0.9</v>
      </c>
      <c r="AFN35" s="2">
        <v>-0.6</v>
      </c>
      <c r="AFO35" s="2">
        <v>-0.7</v>
      </c>
      <c r="AFP35" s="2">
        <v>-1.7</v>
      </c>
      <c r="AFQ35" s="2">
        <v>0.9</v>
      </c>
      <c r="AFR35" s="2">
        <v>0.8</v>
      </c>
      <c r="AFS35" s="2">
        <v>0.3</v>
      </c>
      <c r="AFT35" s="2">
        <v>0</v>
      </c>
      <c r="AFU35" s="2">
        <v>0.9</v>
      </c>
      <c r="AFV35" s="2">
        <v>0.1</v>
      </c>
      <c r="AFW35" s="2">
        <v>0.3</v>
      </c>
      <c r="AFX35" s="2">
        <v>0.2</v>
      </c>
      <c r="AFY35" s="2">
        <v>1</v>
      </c>
      <c r="AFZ35" s="2">
        <v>0.4</v>
      </c>
      <c r="AGA35" s="2">
        <v>0.8</v>
      </c>
      <c r="AGB35" s="2">
        <v>-0.5</v>
      </c>
      <c r="AGC35" s="2">
        <v>0.7</v>
      </c>
      <c r="AGD35" s="2">
        <v>-0.8</v>
      </c>
      <c r="AGE35" s="2">
        <v>0.7</v>
      </c>
      <c r="AGF35" s="2">
        <v>-0.4</v>
      </c>
      <c r="AGG35" s="2">
        <v>-0.5</v>
      </c>
      <c r="AGH35" s="2">
        <v>0</v>
      </c>
      <c r="AGI35" s="2">
        <v>0.1</v>
      </c>
      <c r="AGJ35" s="2">
        <v>-1.7</v>
      </c>
      <c r="AGK35" s="2">
        <v>0.8</v>
      </c>
      <c r="AGL35" s="2">
        <v>0.6</v>
      </c>
      <c r="AGM35" s="2">
        <v>-0.9</v>
      </c>
      <c r="AGN35" s="2">
        <v>-1.9</v>
      </c>
      <c r="AGO35" s="2">
        <v>0.2</v>
      </c>
      <c r="AGP35" s="2">
        <v>10</v>
      </c>
      <c r="AGQ35" s="2">
        <v>-1</v>
      </c>
      <c r="AGR35" s="2">
        <v>-2.7</v>
      </c>
      <c r="AGS35" s="2">
        <v>2</v>
      </c>
      <c r="AGT35" s="2">
        <v>-2.6</v>
      </c>
      <c r="AGU35" s="2">
        <v>2.2</v>
      </c>
      <c r="AGV35" s="2">
        <v>-1.3</v>
      </c>
      <c r="AGW35" s="2">
        <v>3.4</v>
      </c>
      <c r="AGX35" s="2">
        <v>-0.8</v>
      </c>
      <c r="AGY35" s="2">
        <v>2.8</v>
      </c>
      <c r="AGZ35" s="2">
        <v>-3.2</v>
      </c>
      <c r="AHA35" s="2">
        <v>1.6</v>
      </c>
      <c r="AHB35" s="2">
        <v>1</v>
      </c>
      <c r="AHC35" s="2">
        <v>0.3</v>
      </c>
      <c r="AHD35" s="2">
        <v>-4.2</v>
      </c>
      <c r="AHE35" s="2">
        <v>1.2</v>
      </c>
      <c r="AHF35" s="2">
        <v>1.5</v>
      </c>
      <c r="AHG35" s="2">
        <v>-1</v>
      </c>
      <c r="AHH35" s="2">
        <v>-3.2</v>
      </c>
      <c r="AHI35" s="2">
        <v>2.3</v>
      </c>
      <c r="AHJ35" s="2">
        <v>1.3</v>
      </c>
      <c r="AHK35" s="2">
        <v>-0.5</v>
      </c>
      <c r="AHL35" s="2">
        <v>-4</v>
      </c>
      <c r="AHM35" s="2">
        <v>2.3</v>
      </c>
      <c r="AHN35" s="2">
        <v>0.9</v>
      </c>
      <c r="AHO35" s="2">
        <v>-0.2</v>
      </c>
      <c r="AHP35" s="2">
        <v>0.4</v>
      </c>
      <c r="AHQ35" s="2">
        <v>0.4</v>
      </c>
      <c r="AHR35" s="2">
        <v>-0.4</v>
      </c>
      <c r="AHS35" s="2">
        <v>0.6</v>
      </c>
      <c r="AHT35" s="2">
        <v>-4</v>
      </c>
      <c r="AHU35" s="2">
        <v>3.8</v>
      </c>
      <c r="AHV35" s="2">
        <v>-2</v>
      </c>
      <c r="AHW35" s="2">
        <v>0.9</v>
      </c>
      <c r="AHX35" s="2">
        <v>-2.6</v>
      </c>
      <c r="AHY35" s="2">
        <v>3.1</v>
      </c>
      <c r="AHZ35" s="2">
        <v>1.7</v>
      </c>
      <c r="AIA35" s="2">
        <v>0.6</v>
      </c>
      <c r="AIB35" s="2">
        <v>-9.9</v>
      </c>
      <c r="AIC35" s="2">
        <v>1.4</v>
      </c>
      <c r="AID35" s="2">
        <v>1.6</v>
      </c>
      <c r="AIE35" s="2">
        <v>-1</v>
      </c>
      <c r="AIF35" s="2">
        <v>-3.9</v>
      </c>
      <c r="AIG35" s="2">
        <v>1.9</v>
      </c>
      <c r="AIH35" s="2">
        <v>0.7</v>
      </c>
      <c r="AII35" s="2">
        <v>-0.4</v>
      </c>
      <c r="AIJ35" s="2">
        <v>-3.5</v>
      </c>
      <c r="AIK35" s="2">
        <v>1.5</v>
      </c>
      <c r="AIL35" s="2">
        <v>2.1</v>
      </c>
      <c r="AIM35" s="2">
        <v>-0.5</v>
      </c>
      <c r="AIN35" s="2">
        <v>-6.7</v>
      </c>
      <c r="AIO35" s="2">
        <v>6</v>
      </c>
      <c r="AIP35" s="2">
        <v>-0.7</v>
      </c>
      <c r="AIQ35" s="2">
        <v>1</v>
      </c>
      <c r="AIR35" s="2">
        <v>-3.6</v>
      </c>
      <c r="AIS35" s="2">
        <v>3.6</v>
      </c>
      <c r="AIT35" s="2">
        <v>-1.5</v>
      </c>
      <c r="AIU35" s="2">
        <v>1.7</v>
      </c>
      <c r="AIV35" s="2">
        <v>-4.2</v>
      </c>
      <c r="AIW35" s="2">
        <v>2.8</v>
      </c>
      <c r="AIX35" s="2">
        <v>-3.4</v>
      </c>
      <c r="AIY35" s="2">
        <v>3.7</v>
      </c>
      <c r="AIZ35" s="2">
        <v>-3.4</v>
      </c>
      <c r="AJA35" s="2">
        <v>3.8</v>
      </c>
      <c r="AJB35" s="2">
        <v>-0.4</v>
      </c>
      <c r="AJC35" s="2">
        <v>2.8</v>
      </c>
      <c r="AJD35" s="2">
        <v>-3.8</v>
      </c>
      <c r="AJE35" s="2">
        <v>1.5</v>
      </c>
      <c r="AJF35" s="2">
        <v>-0.5</v>
      </c>
      <c r="AJG35" s="2">
        <v>0.5</v>
      </c>
      <c r="AJH35" s="2">
        <v>-4.9</v>
      </c>
      <c r="AJI35" s="2">
        <v>4.4</v>
      </c>
      <c r="AJJ35" s="2">
        <v>0.2</v>
      </c>
      <c r="AJK35" s="2">
        <v>1.7</v>
      </c>
      <c r="AJL35" s="2">
        <v>-2.6</v>
      </c>
      <c r="AJM35" s="2">
        <v>1.1</v>
      </c>
      <c r="AJN35" s="2">
        <v>1</v>
      </c>
      <c r="AJO35" s="2">
        <v>0.3</v>
      </c>
      <c r="AJP35" s="2">
        <v>-1.2</v>
      </c>
      <c r="AJQ35" s="2">
        <v>-0.8</v>
      </c>
      <c r="AJR35" s="2">
        <v>0.4</v>
      </c>
      <c r="AJS35" s="2">
        <v>1.7</v>
      </c>
      <c r="AJT35" s="2">
        <v>-2.7</v>
      </c>
      <c r="AJU35" s="2">
        <v>2.7</v>
      </c>
      <c r="AJV35" s="2">
        <v>-6.2</v>
      </c>
      <c r="AJW35" s="2">
        <v>3.4</v>
      </c>
      <c r="AJX35" s="2">
        <v>-0.2</v>
      </c>
      <c r="AJY35" s="2">
        <v>3.3</v>
      </c>
      <c r="AJZ35" s="2">
        <v>1.1</v>
      </c>
      <c r="AKA35" s="2">
        <v>0.1</v>
      </c>
      <c r="AKB35" s="2">
        <v>-2</v>
      </c>
      <c r="AKC35" s="2">
        <v>7.9</v>
      </c>
      <c r="AKD35" s="2">
        <v>-2.1</v>
      </c>
      <c r="AKE35" s="2">
        <v>0.9</v>
      </c>
      <c r="AKF35" s="2">
        <v>-3.9</v>
      </c>
      <c r="AKG35" s="2">
        <v>6.8</v>
      </c>
      <c r="AKH35" s="2">
        <v>-1.8</v>
      </c>
      <c r="AKI35" s="2">
        <v>-0.8</v>
      </c>
      <c r="AKJ35" s="2">
        <v>-3.1</v>
      </c>
      <c r="AKK35" s="2">
        <v>5.1</v>
      </c>
      <c r="AKL35" s="2">
        <v>-0.5</v>
      </c>
      <c r="AKM35" s="2">
        <v>0.5</v>
      </c>
      <c r="AKN35" s="2">
        <v>0.1</v>
      </c>
      <c r="AKO35" s="2">
        <v>-2.3</v>
      </c>
      <c r="AKP35" s="2">
        <v>0.33</v>
      </c>
      <c r="AKQ35" s="2">
        <v>0.34</v>
      </c>
      <c r="AKR35" s="2">
        <v>0.33</v>
      </c>
    </row>
    <row r="36">
      <c r="A36" t="inlineStr">
        <is>
          <t>Footwear for men</t>
        </is>
      </c>
      <c r="B36" t="inlineStr">
        <is>
          <t>Footwear</t>
        </is>
      </c>
      <c r="C36">
        <v>3</v>
      </c>
      <c r="D36">
        <v>0.11</v>
      </c>
      <c r="E36" s="3">
        <f>D36/0.44*0.004485849056603773</f>
        <v>0.0011214622641509432</v>
      </c>
      <c r="F36" s="3">
        <f>E36-D36/100</f>
        <v>2.1462264150943176e-05</v>
      </c>
      <c r="G36" s="3">
        <f>D36/0.44</f>
        <v>0.25</v>
      </c>
      <c r="CI36" s="2">
        <v>103.25</v>
      </c>
      <c r="CJ36" s="2">
        <v>100.27</v>
      </c>
      <c r="CK36" s="2">
        <v>98.31</v>
      </c>
      <c r="CL36" s="2">
        <v>102.9</v>
      </c>
      <c r="CM36" s="2">
        <v>100.24</v>
      </c>
      <c r="CN36" s="2">
        <v>104.38</v>
      </c>
      <c r="CO36" s="2">
        <v>105.37</v>
      </c>
      <c r="CP36" s="2">
        <v>99.70999999999999</v>
      </c>
      <c r="CQ36" s="2">
        <v>100.22</v>
      </c>
      <c r="CR36" s="2">
        <v>100.32</v>
      </c>
      <c r="CS36" s="2">
        <v>106.37</v>
      </c>
      <c r="CT36" s="2">
        <v>100.57</v>
      </c>
      <c r="CU36" s="2">
        <v>105.94</v>
      </c>
      <c r="CV36" s="2">
        <v>102.28</v>
      </c>
      <c r="CW36" s="2">
        <v>103.19</v>
      </c>
      <c r="CX36" s="2">
        <v>102.57</v>
      </c>
      <c r="CY36" s="2">
        <v>98.61</v>
      </c>
      <c r="CZ36" s="2">
        <v>100</v>
      </c>
      <c r="DA36" s="2">
        <v>102.78</v>
      </c>
      <c r="DB36" s="2">
        <v>98.48</v>
      </c>
      <c r="DC36" s="2">
        <v>98.01000000000001</v>
      </c>
      <c r="DD36" s="2">
        <v>102.11</v>
      </c>
      <c r="DE36" s="2">
        <v>105.24</v>
      </c>
      <c r="DF36" s="2">
        <v>102.27</v>
      </c>
      <c r="DG36" s="2">
        <v>104.47</v>
      </c>
      <c r="DH36" s="2">
        <v>105.77</v>
      </c>
      <c r="DI36" s="2">
        <v>103.34</v>
      </c>
      <c r="DJ36" s="2">
        <v>102.4</v>
      </c>
      <c r="GL36" s="2">
        <v>2.6</v>
      </c>
      <c r="GM36" s="2">
        <v>2</v>
      </c>
      <c r="GN36" s="2">
        <v>5</v>
      </c>
      <c r="GO36" s="2">
        <v>-0.3</v>
      </c>
      <c r="GP36" s="2">
        <v>-1.6</v>
      </c>
      <c r="GQ36" s="2">
        <v>-4.2</v>
      </c>
      <c r="GR36" s="2">
        <v>-2.5</v>
      </c>
      <c r="GS36" s="2">
        <v>-1.2</v>
      </c>
      <c r="GT36" s="2">
        <v>-2.2</v>
      </c>
      <c r="GU36" s="2">
        <v>1.8</v>
      </c>
      <c r="GV36" s="2">
        <v>-1.1</v>
      </c>
      <c r="GW36" s="2">
        <v>1.7</v>
      </c>
      <c r="GX36" s="2">
        <v>-1.4</v>
      </c>
      <c r="GY36" s="2">
        <v>3.4</v>
      </c>
      <c r="GZ36" s="2">
        <v>0.1</v>
      </c>
      <c r="HA36" s="2">
        <v>-0.2</v>
      </c>
      <c r="KC36" s="2">
        <v>-2.9</v>
      </c>
      <c r="KD36" s="2">
        <v>-2</v>
      </c>
      <c r="KE36" s="2">
        <v>4.7</v>
      </c>
      <c r="KF36" s="2">
        <v>-2.6</v>
      </c>
      <c r="KG36" s="2">
        <v>4.1</v>
      </c>
      <c r="KH36" s="2">
        <v>0.9</v>
      </c>
      <c r="KI36" s="2">
        <v>-5.4</v>
      </c>
      <c r="KJ36" s="2">
        <v>0.5</v>
      </c>
      <c r="KK36" s="2">
        <v>0.1</v>
      </c>
      <c r="KL36" s="2">
        <v>6</v>
      </c>
      <c r="KM36" s="2">
        <v>-5.5</v>
      </c>
      <c r="KN36" s="2">
        <v>5.3</v>
      </c>
      <c r="KO36" s="2">
        <v>-3.5</v>
      </c>
      <c r="KP36" s="2">
        <v>0.9</v>
      </c>
      <c r="KQ36" s="2">
        <v>-0.6</v>
      </c>
      <c r="KR36" s="2">
        <v>-3.9</v>
      </c>
      <c r="KS36" s="2">
        <v>1.4</v>
      </c>
      <c r="KT36" s="2">
        <v>2.8</v>
      </c>
      <c r="KU36" s="2">
        <v>-4.2</v>
      </c>
      <c r="KV36" s="2">
        <v>-0.5</v>
      </c>
      <c r="KW36" s="2">
        <v>4.2</v>
      </c>
      <c r="KX36" s="2">
        <v>3.1</v>
      </c>
      <c r="KY36" s="2">
        <v>-2.8</v>
      </c>
      <c r="KZ36" s="2">
        <v>2.2</v>
      </c>
      <c r="LA36" s="2">
        <v>1.2</v>
      </c>
      <c r="LB36" s="2">
        <v>-2.3</v>
      </c>
      <c r="LC36" s="2">
        <v>-0.9</v>
      </c>
      <c r="LD36" s="2">
        <v>0.11</v>
      </c>
      <c r="LE36" s="2">
        <v>0.11</v>
      </c>
      <c r="LF36" s="2">
        <v>0.12</v>
      </c>
      <c r="LG36" s="2">
        <v>0.11</v>
      </c>
      <c r="LH36" s="2">
        <v>0.12</v>
      </c>
      <c r="LI36" s="2">
        <v>0.11</v>
      </c>
      <c r="LJ36" s="2">
        <v>0.11</v>
      </c>
      <c r="LK36" s="2">
        <v>0.11</v>
      </c>
      <c r="LL36" s="2">
        <v>0.11</v>
      </c>
      <c r="LM36" s="2">
        <v>0.11</v>
      </c>
      <c r="LN36" s="2">
        <v>0.11</v>
      </c>
      <c r="LO36" s="2">
        <v>0.11</v>
      </c>
      <c r="LP36" s="2">
        <v>0.11</v>
      </c>
      <c r="LQ36" s="2">
        <v>0.11</v>
      </c>
      <c r="LR36" s="2">
        <v>0.12</v>
      </c>
      <c r="LS36" s="2">
        <v>0.11</v>
      </c>
      <c r="LT36" s="2">
        <v>0.11</v>
      </c>
      <c r="LU36" s="2">
        <v>0.12</v>
      </c>
      <c r="LV36" s="2">
        <v>0.11</v>
      </c>
      <c r="LW36" s="2">
        <v>0.11</v>
      </c>
      <c r="LX36" s="2">
        <v>0</v>
      </c>
      <c r="LY36" s="2">
        <v>0.01</v>
      </c>
      <c r="LZ36" s="2">
        <v>-0.01</v>
      </c>
      <c r="MA36" s="2">
        <v>0.01</v>
      </c>
      <c r="MB36" s="2">
        <v>-0.01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0.01</v>
      </c>
      <c r="ML36" s="2">
        <v>-0.01</v>
      </c>
      <c r="MM36" s="2">
        <v>0</v>
      </c>
      <c r="MN36" s="2">
        <v>0.01</v>
      </c>
      <c r="MO36" s="2">
        <v>-0.01</v>
      </c>
      <c r="MP36" s="2">
        <v>0</v>
      </c>
      <c r="RO36" s="2">
        <v>71.06</v>
      </c>
      <c r="RP36" s="2">
        <v>72.25</v>
      </c>
      <c r="RQ36" s="2">
        <v>74.27</v>
      </c>
      <c r="RR36" s="2">
        <v>75.22</v>
      </c>
      <c r="RS36" s="2">
        <v>75.56999999999999</v>
      </c>
      <c r="RT36" s="2">
        <v>76.28</v>
      </c>
      <c r="RU36" s="2">
        <v>76.88</v>
      </c>
      <c r="RV36" s="2">
        <v>78.89</v>
      </c>
      <c r="RW36" s="2">
        <v>79.13</v>
      </c>
      <c r="RX36" s="2">
        <v>80.55</v>
      </c>
      <c r="RY36" s="2">
        <v>81.27</v>
      </c>
      <c r="RZ36" s="2">
        <v>83.16</v>
      </c>
      <c r="SA36" s="2">
        <v>82.93000000000001</v>
      </c>
      <c r="SB36" s="2">
        <v>83.52</v>
      </c>
      <c r="SC36" s="2">
        <v>83.16</v>
      </c>
      <c r="SD36" s="2">
        <v>85.66</v>
      </c>
      <c r="SE36" s="2">
        <v>87.67</v>
      </c>
      <c r="SF36" s="2">
        <v>90.40000000000001</v>
      </c>
      <c r="SG36" s="2">
        <v>90.40000000000001</v>
      </c>
      <c r="SH36" s="2">
        <v>91.94</v>
      </c>
      <c r="SI36" s="2">
        <v>93.37</v>
      </c>
      <c r="SJ36" s="2">
        <v>95.73999999999999</v>
      </c>
      <c r="SK36" s="2">
        <v>95.73999999999999</v>
      </c>
      <c r="SL36" s="2">
        <v>98.70999999999999</v>
      </c>
      <c r="SM36" s="2">
        <v>100.25</v>
      </c>
      <c r="SN36" s="2">
        <v>102.62</v>
      </c>
      <c r="SO36" s="2">
        <v>103.21</v>
      </c>
      <c r="SP36" s="2">
        <v>105.59</v>
      </c>
      <c r="SQ36" s="2">
        <v>105.11</v>
      </c>
      <c r="SR36" s="2">
        <v>106.54</v>
      </c>
      <c r="SS36" s="2">
        <v>107.25</v>
      </c>
      <c r="ST36" s="2">
        <v>112.82</v>
      </c>
      <c r="SU36" s="2">
        <v>113.06</v>
      </c>
      <c r="SV36" s="2">
        <v>116.26</v>
      </c>
      <c r="SW36" s="2">
        <v>114.72</v>
      </c>
      <c r="SX36" s="2">
        <v>117.45</v>
      </c>
      <c r="SY36" s="2">
        <v>115.08</v>
      </c>
      <c r="SZ36" s="2">
        <v>118.87</v>
      </c>
      <c r="TA36" s="2">
        <v>118.64</v>
      </c>
      <c r="TB36" s="2">
        <v>121.84</v>
      </c>
      <c r="TC36" s="2">
        <v>123.5</v>
      </c>
      <c r="TD36" s="2">
        <v>124.57</v>
      </c>
      <c r="TE36" s="2">
        <v>125.64</v>
      </c>
      <c r="TF36" s="2">
        <v>126.94</v>
      </c>
      <c r="TG36" s="2">
        <v>127.65</v>
      </c>
      <c r="TH36" s="2">
        <v>128.48</v>
      </c>
      <c r="TI36" s="2">
        <v>128.13</v>
      </c>
      <c r="TJ36" s="2">
        <v>128.96</v>
      </c>
      <c r="TK36" s="2">
        <v>128.37</v>
      </c>
      <c r="TL36" s="2">
        <v>127.42</v>
      </c>
      <c r="TM36" s="2">
        <v>125.99</v>
      </c>
      <c r="TN36" s="2">
        <v>125.76</v>
      </c>
      <c r="TO36" s="2">
        <v>122.67</v>
      </c>
      <c r="TP36" s="2">
        <v>124.81</v>
      </c>
      <c r="TQ36" s="2">
        <v>123.26</v>
      </c>
      <c r="TR36" s="2">
        <v>121.01</v>
      </c>
      <c r="TS36" s="2">
        <v>117.09</v>
      </c>
      <c r="TT36" s="2">
        <v>117.57</v>
      </c>
      <c r="TU36" s="2">
        <v>116.74</v>
      </c>
      <c r="TV36" s="2">
        <v>116.86</v>
      </c>
      <c r="TW36" s="2">
        <v>116.26</v>
      </c>
      <c r="TX36" s="2">
        <v>116.62</v>
      </c>
      <c r="TY36" s="2">
        <v>113.65</v>
      </c>
      <c r="TZ36" s="2">
        <v>115.43</v>
      </c>
      <c r="UA36" s="2">
        <v>114.37</v>
      </c>
      <c r="UB36" s="2">
        <v>116.86</v>
      </c>
      <c r="UC36" s="2">
        <v>117.21</v>
      </c>
      <c r="UD36" s="2">
        <v>115.08</v>
      </c>
      <c r="UE36" s="2">
        <v>115.43</v>
      </c>
      <c r="UF36" s="2">
        <v>112.71</v>
      </c>
      <c r="UG36" s="2">
        <v>112.23</v>
      </c>
      <c r="UH36" s="2">
        <v>109.5</v>
      </c>
      <c r="UI36" s="2">
        <v>110.48</v>
      </c>
      <c r="UJ36" s="2">
        <v>110.23</v>
      </c>
      <c r="UK36" s="2">
        <v>109.32</v>
      </c>
      <c r="UL36" s="2">
        <v>110.04</v>
      </c>
      <c r="UM36" s="2">
        <v>109.01</v>
      </c>
      <c r="UN36" s="2">
        <v>108.83</v>
      </c>
      <c r="UO36" s="2">
        <v>107.16</v>
      </c>
      <c r="UP36" s="2">
        <v>106.25</v>
      </c>
      <c r="UQ36" s="2">
        <v>114.03</v>
      </c>
      <c r="UR36" s="2">
        <v>114.95</v>
      </c>
      <c r="US36" s="2">
        <v>113.15</v>
      </c>
      <c r="UT36" s="2">
        <v>115.55</v>
      </c>
      <c r="UU36" s="2">
        <v>115.55</v>
      </c>
      <c r="UV36" s="2">
        <v>116.87</v>
      </c>
      <c r="UW36" s="2">
        <v>116.54</v>
      </c>
      <c r="UX36" s="2">
        <v>117.03</v>
      </c>
      <c r="UY36" s="2">
        <v>118.99</v>
      </c>
      <c r="UZ36" s="2">
        <v>116.51</v>
      </c>
      <c r="VA36" s="2">
        <v>116.48</v>
      </c>
      <c r="VB36" s="2">
        <v>116.86</v>
      </c>
      <c r="VC36" s="2">
        <v>114.55</v>
      </c>
      <c r="VD36" s="2">
        <v>111.43</v>
      </c>
      <c r="VE36" s="2">
        <v>109.17</v>
      </c>
      <c r="VF36" s="2">
        <v>109.29</v>
      </c>
      <c r="VG36" s="2">
        <v>112.06</v>
      </c>
      <c r="VH36" s="2">
        <v>110.75</v>
      </c>
      <c r="VI36" s="2">
        <v>108.93</v>
      </c>
      <c r="VJ36" s="2">
        <v>108.23</v>
      </c>
      <c r="VK36" s="2">
        <v>108.52</v>
      </c>
      <c r="VL36" s="2">
        <v>110.06</v>
      </c>
      <c r="VM36" s="2">
        <v>106.89</v>
      </c>
      <c r="VN36" s="2">
        <v>107.7</v>
      </c>
      <c r="VO36" s="2">
        <v>108.58</v>
      </c>
      <c r="VP36" s="2">
        <v>106.29</v>
      </c>
      <c r="VQ36" s="2">
        <v>110.31</v>
      </c>
      <c r="VR36" s="2">
        <v>108.85</v>
      </c>
      <c r="VS36" s="2">
        <v>111.41</v>
      </c>
      <c r="VT36" s="2">
        <v>108.63</v>
      </c>
      <c r="VU36" s="2">
        <v>105.69</v>
      </c>
      <c r="VV36" s="2">
        <v>106.35</v>
      </c>
      <c r="VW36" s="2">
        <v>105.3</v>
      </c>
      <c r="VX36" s="2">
        <v>105.68</v>
      </c>
      <c r="VY36" s="2">
        <v>107.77</v>
      </c>
      <c r="VZ36" s="2">
        <v>105.82</v>
      </c>
      <c r="WA36" s="2">
        <v>102.88</v>
      </c>
      <c r="WB36" s="2">
        <v>104.46</v>
      </c>
      <c r="WC36" s="2">
        <v>104.69</v>
      </c>
      <c r="WD36" s="2">
        <v>103.94</v>
      </c>
      <c r="WE36" s="2">
        <v>104.8</v>
      </c>
      <c r="WF36" s="2">
        <v>103.27</v>
      </c>
      <c r="WG36" s="2">
        <v>99.76000000000001</v>
      </c>
      <c r="WH36" s="2">
        <v>103.03</v>
      </c>
      <c r="WI36" s="2">
        <v>101.81</v>
      </c>
      <c r="WJ36" s="2">
        <v>103.45</v>
      </c>
      <c r="WK36" s="2">
        <v>101.48</v>
      </c>
      <c r="WL36" s="2">
        <v>101.35</v>
      </c>
      <c r="WM36" s="2">
        <v>102.7</v>
      </c>
      <c r="WN36" s="2">
        <v>101.97</v>
      </c>
      <c r="WO36" s="2">
        <v>94.90000000000001</v>
      </c>
      <c r="WP36" s="2">
        <v>99.61</v>
      </c>
      <c r="WQ36" s="2">
        <v>103.3</v>
      </c>
      <c r="WR36" s="2">
        <v>99.89</v>
      </c>
      <c r="WS36" s="2">
        <v>99.18000000000001</v>
      </c>
      <c r="WT36" s="2">
        <v>102.93</v>
      </c>
      <c r="WU36" s="2">
        <v>99.97</v>
      </c>
      <c r="WV36" s="2">
        <v>103.7</v>
      </c>
      <c r="WW36" s="2">
        <v>101.99</v>
      </c>
      <c r="WX36" s="2">
        <v>102.67</v>
      </c>
      <c r="WY36" s="2">
        <v>100.97</v>
      </c>
      <c r="WZ36" s="2">
        <v>100.49</v>
      </c>
      <c r="XA36" s="2">
        <v>98.14</v>
      </c>
      <c r="XB36" s="2">
        <v>100.08</v>
      </c>
      <c r="XC36" s="2">
        <v>100.57</v>
      </c>
      <c r="XD36" s="2">
        <v>101.68</v>
      </c>
      <c r="XE36" s="2">
        <v>97.97</v>
      </c>
      <c r="XF36" s="2">
        <v>99.2</v>
      </c>
      <c r="XG36" s="2">
        <v>97.45</v>
      </c>
      <c r="XH36" s="2">
        <v>100.01</v>
      </c>
      <c r="XI36" s="2">
        <v>96.70999999999999</v>
      </c>
      <c r="XJ36" s="2">
        <v>94.44</v>
      </c>
      <c r="XK36" s="2">
        <v>91.97</v>
      </c>
      <c r="XL36" s="2">
        <v>92.64</v>
      </c>
      <c r="XM36" s="2">
        <v>92.04000000000001</v>
      </c>
      <c r="XN36" s="2">
        <v>93.43000000000001</v>
      </c>
      <c r="XO36" s="2">
        <v>94.20999999999999</v>
      </c>
      <c r="XP36" s="2">
        <v>96.04000000000001</v>
      </c>
      <c r="XQ36" s="2">
        <v>94.84999999999999</v>
      </c>
      <c r="XR36" s="2">
        <v>91.55</v>
      </c>
      <c r="XS36" s="2">
        <v>91.93000000000001</v>
      </c>
      <c r="XT36" s="2">
        <v>96.89</v>
      </c>
      <c r="XU36" s="2">
        <v>93.93000000000001</v>
      </c>
      <c r="XV36" s="2">
        <v>94.38</v>
      </c>
      <c r="XW36" s="2">
        <v>90.45999999999999</v>
      </c>
      <c r="XX36" s="2">
        <v>94.56</v>
      </c>
      <c r="XY36" s="2">
        <v>94.29000000000001</v>
      </c>
      <c r="XZ36" s="2">
        <v>97.47</v>
      </c>
      <c r="YA36" s="2">
        <v>94.83</v>
      </c>
      <c r="YB36" s="2">
        <v>100.7</v>
      </c>
      <c r="YC36" s="2">
        <v>98.67</v>
      </c>
      <c r="YD36" s="2">
        <v>97.19</v>
      </c>
      <c r="YE36" s="2">
        <v>100.01</v>
      </c>
      <c r="YF36" s="2">
        <v>98.76000000000001</v>
      </c>
      <c r="YG36" s="2">
        <v>98.39</v>
      </c>
      <c r="YH36" s="2">
        <v>100.89</v>
      </c>
      <c r="YI36" s="2">
        <v>100.32</v>
      </c>
      <c r="YJ36" s="2">
        <v>102.6</v>
      </c>
      <c r="YK36" s="2">
        <v>98.04000000000001</v>
      </c>
      <c r="YL36" s="2">
        <v>103.4</v>
      </c>
      <c r="YM36" s="2">
        <v>100.39</v>
      </c>
      <c r="YN36" s="2">
        <v>99.76000000000001</v>
      </c>
      <c r="YO36" s="2">
        <v>103.21</v>
      </c>
      <c r="YP36" s="2">
        <v>104.53</v>
      </c>
      <c r="ADO36" s="2">
        <v>1.7</v>
      </c>
      <c r="ADP36" s="2">
        <v>2.8</v>
      </c>
      <c r="ADQ36" s="2">
        <v>1.3</v>
      </c>
      <c r="ADR36" s="2">
        <v>0.5</v>
      </c>
      <c r="ADS36" s="2">
        <v>0.9</v>
      </c>
      <c r="ADT36" s="2">
        <v>0.8</v>
      </c>
      <c r="ADU36" s="2">
        <v>2.6</v>
      </c>
      <c r="ADV36" s="2">
        <v>0.3</v>
      </c>
      <c r="ADW36" s="2">
        <v>1.8</v>
      </c>
      <c r="ADX36" s="2">
        <v>0.9</v>
      </c>
      <c r="ADY36" s="2">
        <v>2.3</v>
      </c>
      <c r="ADZ36" s="2">
        <v>-0.3</v>
      </c>
      <c r="AEA36" s="2">
        <v>0.7</v>
      </c>
      <c r="AEB36" s="2">
        <v>-0.4</v>
      </c>
      <c r="AEC36" s="2">
        <v>3</v>
      </c>
      <c r="AED36" s="2">
        <v>2.3</v>
      </c>
      <c r="AEE36" s="2">
        <v>3.1</v>
      </c>
      <c r="AEF36" s="2">
        <v>0</v>
      </c>
      <c r="AEG36" s="2">
        <v>1.7</v>
      </c>
      <c r="AEH36" s="2">
        <v>1.6</v>
      </c>
      <c r="AEI36" s="2">
        <v>2.5</v>
      </c>
      <c r="AEJ36" s="2">
        <v>0</v>
      </c>
      <c r="AEK36" s="2">
        <v>3.1</v>
      </c>
      <c r="AEL36" s="2">
        <v>1.6</v>
      </c>
      <c r="AEM36" s="2">
        <v>2.4</v>
      </c>
      <c r="AEN36" s="2">
        <v>0.6</v>
      </c>
      <c r="AEO36" s="2">
        <v>2.3</v>
      </c>
      <c r="AEP36" s="2">
        <v>-0.5</v>
      </c>
      <c r="AEQ36" s="2">
        <v>1.4</v>
      </c>
      <c r="AER36" s="2">
        <v>0.7</v>
      </c>
      <c r="AES36" s="2">
        <v>5.2</v>
      </c>
      <c r="AET36" s="2">
        <v>0.2</v>
      </c>
      <c r="AEU36" s="2">
        <v>2.8</v>
      </c>
      <c r="AEV36" s="2">
        <v>-1.3</v>
      </c>
      <c r="AEW36" s="2">
        <v>2.4</v>
      </c>
      <c r="AEX36" s="2">
        <v>-2</v>
      </c>
      <c r="AEY36" s="2">
        <v>3.3</v>
      </c>
      <c r="AEZ36" s="2">
        <v>-0.2</v>
      </c>
      <c r="AFA36" s="2">
        <v>2.7</v>
      </c>
      <c r="AFB36" s="2">
        <v>1.4</v>
      </c>
      <c r="AFC36" s="2">
        <v>0.9</v>
      </c>
      <c r="AFD36" s="2">
        <v>0.9</v>
      </c>
      <c r="AFE36" s="2">
        <v>1</v>
      </c>
      <c r="AFF36" s="2">
        <v>0.6</v>
      </c>
      <c r="AFG36" s="2">
        <v>0.7</v>
      </c>
      <c r="AFH36" s="2">
        <v>-0.3</v>
      </c>
      <c r="AFI36" s="2">
        <v>0.6</v>
      </c>
      <c r="AFJ36" s="2">
        <v>-0.5</v>
      </c>
      <c r="AFK36" s="2">
        <v>-0.7</v>
      </c>
      <c r="AFL36" s="2">
        <v>-1.1</v>
      </c>
      <c r="AFM36" s="2">
        <v>-0.2</v>
      </c>
      <c r="AFN36" s="2">
        <v>-2.5</v>
      </c>
      <c r="AFO36" s="2">
        <v>1.7</v>
      </c>
      <c r="AFP36" s="2">
        <v>-1.2</v>
      </c>
      <c r="AFQ36" s="2">
        <v>-1.8</v>
      </c>
      <c r="AFR36" s="2">
        <v>-3.2</v>
      </c>
      <c r="AFS36" s="2">
        <v>0.4</v>
      </c>
      <c r="AFT36" s="2">
        <v>-0.7</v>
      </c>
      <c r="AFU36" s="2">
        <v>0.1</v>
      </c>
      <c r="AFV36" s="2">
        <v>-0.5</v>
      </c>
      <c r="AFW36" s="2">
        <v>0.3</v>
      </c>
      <c r="AFX36" s="2">
        <v>-2.5</v>
      </c>
      <c r="AFY36" s="2">
        <v>1.6</v>
      </c>
      <c r="AFZ36" s="2">
        <v>-0.9</v>
      </c>
      <c r="AGA36" s="2">
        <v>2.2</v>
      </c>
      <c r="AGB36" s="2">
        <v>0.3</v>
      </c>
      <c r="AGC36" s="2">
        <v>-1.8</v>
      </c>
      <c r="AGD36" s="2">
        <v>0.3</v>
      </c>
      <c r="AGE36" s="2">
        <v>-2.4</v>
      </c>
      <c r="AGF36" s="2">
        <v>-0.4</v>
      </c>
      <c r="AGG36" s="2">
        <v>-2.4</v>
      </c>
      <c r="AGH36" s="2">
        <v>0.9</v>
      </c>
      <c r="AGI36" s="2">
        <v>-0.2</v>
      </c>
      <c r="AGJ36" s="2">
        <v>-0.8</v>
      </c>
      <c r="AGK36" s="2">
        <v>0.7</v>
      </c>
      <c r="AGL36" s="2">
        <v>-0.9</v>
      </c>
      <c r="AGM36" s="2">
        <v>-0.2</v>
      </c>
      <c r="AGN36" s="2">
        <v>-1.5</v>
      </c>
      <c r="AGO36" s="2">
        <v>-0.8</v>
      </c>
      <c r="AGP36" s="2">
        <v>7.3</v>
      </c>
      <c r="AGQ36" s="2">
        <v>0.8</v>
      </c>
      <c r="AGR36" s="2">
        <v>-1.6</v>
      </c>
      <c r="AGS36" s="2">
        <v>2.1</v>
      </c>
      <c r="AGT36" s="2">
        <v>0</v>
      </c>
      <c r="AGU36" s="2">
        <v>1.1</v>
      </c>
      <c r="AGV36" s="2">
        <v>-0.3</v>
      </c>
      <c r="AGW36" s="2">
        <v>0.4</v>
      </c>
      <c r="AGX36" s="2">
        <v>1.7</v>
      </c>
      <c r="AGY36" s="2">
        <v>-2.1</v>
      </c>
      <c r="AGZ36" s="2">
        <v>0</v>
      </c>
      <c r="AHA36" s="2">
        <v>0.3</v>
      </c>
      <c r="AHB36" s="2">
        <v>-2</v>
      </c>
      <c r="AHC36" s="2">
        <v>-2.7</v>
      </c>
      <c r="AHD36" s="2">
        <v>-2</v>
      </c>
      <c r="AHE36" s="2">
        <v>0.1</v>
      </c>
      <c r="AHF36" s="2">
        <v>2.5</v>
      </c>
      <c r="AHG36" s="2">
        <v>-1.2</v>
      </c>
      <c r="AHH36" s="2">
        <v>-1.6</v>
      </c>
      <c r="AHI36" s="2">
        <v>-0.6</v>
      </c>
      <c r="AHJ36" s="2">
        <v>0.3</v>
      </c>
      <c r="AHK36" s="2">
        <v>1.4</v>
      </c>
      <c r="AHL36" s="2">
        <v>-2.9</v>
      </c>
      <c r="AHM36" s="2">
        <v>0.8</v>
      </c>
      <c r="AHN36" s="2">
        <v>0.8</v>
      </c>
      <c r="AHO36" s="2">
        <v>-2.1</v>
      </c>
      <c r="AHP36" s="2">
        <v>3.8</v>
      </c>
      <c r="AHQ36" s="2">
        <v>-1.3</v>
      </c>
      <c r="AHR36" s="2">
        <v>2.4</v>
      </c>
      <c r="AHS36" s="2">
        <v>-2.5</v>
      </c>
      <c r="AHT36" s="2">
        <v>-2.7</v>
      </c>
      <c r="AHU36" s="2">
        <v>0.6</v>
      </c>
      <c r="AHV36" s="2">
        <v>-1</v>
      </c>
      <c r="AHW36" s="2">
        <v>0.4</v>
      </c>
      <c r="AHX36" s="2">
        <v>2</v>
      </c>
      <c r="AHY36" s="2">
        <v>-1.8</v>
      </c>
      <c r="AHZ36" s="2">
        <v>-2.8</v>
      </c>
      <c r="AIA36" s="2">
        <v>1.5</v>
      </c>
      <c r="AIB36" s="2">
        <v>0.2</v>
      </c>
      <c r="AIC36" s="2">
        <v>-0.7</v>
      </c>
      <c r="AID36" s="2">
        <v>0.8</v>
      </c>
      <c r="AIE36" s="2">
        <v>-1.5</v>
      </c>
      <c r="AIF36" s="2">
        <v>-3.4</v>
      </c>
      <c r="AIG36" s="2">
        <v>3.3</v>
      </c>
      <c r="AIH36" s="2">
        <v>-1.2</v>
      </c>
      <c r="AII36" s="2">
        <v>1.6</v>
      </c>
      <c r="AIJ36" s="2">
        <v>-1.9</v>
      </c>
      <c r="AIK36" s="2">
        <v>-0.1</v>
      </c>
      <c r="AIL36" s="2">
        <v>1.3</v>
      </c>
      <c r="AIM36" s="2">
        <v>-0.7</v>
      </c>
      <c r="AIN36" s="2">
        <v>-6.9</v>
      </c>
      <c r="AIO36" s="2">
        <v>5</v>
      </c>
      <c r="AIP36" s="2">
        <v>3.7</v>
      </c>
      <c r="AIQ36" s="2">
        <v>-3.3</v>
      </c>
      <c r="AIR36" s="2">
        <v>-0.7</v>
      </c>
      <c r="AIS36" s="2">
        <v>3.8</v>
      </c>
      <c r="AIT36" s="2">
        <v>-2.9</v>
      </c>
      <c r="AIU36" s="2">
        <v>3.7</v>
      </c>
      <c r="AIV36" s="2">
        <v>-1.6</v>
      </c>
      <c r="AIW36" s="2">
        <v>0.7</v>
      </c>
      <c r="AIX36" s="2">
        <v>-1.7</v>
      </c>
      <c r="AIY36" s="2">
        <v>-0.5</v>
      </c>
      <c r="AIZ36" s="2">
        <v>-2.3</v>
      </c>
      <c r="AJA36" s="2">
        <v>2</v>
      </c>
      <c r="AJB36" s="2">
        <v>0.5</v>
      </c>
      <c r="AJC36" s="2">
        <v>1.1</v>
      </c>
      <c r="AJD36" s="2">
        <v>-3.6</v>
      </c>
      <c r="AJE36" s="2">
        <v>1.3</v>
      </c>
      <c r="AJF36" s="2">
        <v>-1.8</v>
      </c>
      <c r="AJG36" s="2">
        <v>2.6</v>
      </c>
      <c r="AJH36" s="2">
        <v>-3.3</v>
      </c>
      <c r="AJI36" s="2">
        <v>-2.3</v>
      </c>
      <c r="AJJ36" s="2">
        <v>-2.6</v>
      </c>
      <c r="AJK36" s="2">
        <v>0.7</v>
      </c>
      <c r="AJL36" s="2">
        <v>-0.6</v>
      </c>
      <c r="AJM36" s="2">
        <v>1.5</v>
      </c>
      <c r="AJN36" s="2">
        <v>0.8</v>
      </c>
      <c r="AJO36" s="2">
        <v>1.9</v>
      </c>
      <c r="AJP36" s="2">
        <v>-1.2</v>
      </c>
      <c r="AJQ36" s="2">
        <v>-3.5</v>
      </c>
      <c r="AJR36" s="2">
        <v>0.4</v>
      </c>
      <c r="AJS36" s="2">
        <v>5.4</v>
      </c>
      <c r="AJT36" s="2">
        <v>-3.1</v>
      </c>
      <c r="AJU36" s="2">
        <v>0.5</v>
      </c>
      <c r="AJV36" s="2">
        <v>-4.2</v>
      </c>
      <c r="AJW36" s="2">
        <v>4.5</v>
      </c>
      <c r="AJX36" s="2">
        <v>-0.3</v>
      </c>
      <c r="AJY36" s="2">
        <v>3.4</v>
      </c>
      <c r="AJZ36" s="2">
        <v>-2.7</v>
      </c>
      <c r="AKA36" s="2">
        <v>6.2</v>
      </c>
      <c r="AKB36" s="2">
        <v>-2</v>
      </c>
      <c r="AKC36" s="2">
        <v>-1.5</v>
      </c>
      <c r="AKD36" s="2">
        <v>2.9</v>
      </c>
      <c r="AKE36" s="2">
        <v>-1.2</v>
      </c>
      <c r="AKF36" s="2">
        <v>-0.4</v>
      </c>
      <c r="AKG36" s="2">
        <v>2.5</v>
      </c>
      <c r="AKH36" s="2">
        <v>-0.6</v>
      </c>
      <c r="AKI36" s="2">
        <v>2.3</v>
      </c>
      <c r="AKJ36" s="2">
        <v>-4.4</v>
      </c>
      <c r="AKK36" s="2">
        <v>5.5</v>
      </c>
      <c r="AKL36" s="2">
        <v>-2.9</v>
      </c>
      <c r="AKM36" s="2">
        <v>-0.6</v>
      </c>
      <c r="AKN36" s="2">
        <v>3.5</v>
      </c>
      <c r="AKO36" s="2">
        <v>1.3</v>
      </c>
      <c r="AKP36" s="2">
        <v>0.11</v>
      </c>
      <c r="AKQ36" s="2">
        <v>0.11</v>
      </c>
      <c r="AKR36" s="2">
        <v>0.11</v>
      </c>
    </row>
    <row r="37">
      <c r="A37" t="inlineStr">
        <is>
          <t>Footwear for women</t>
        </is>
      </c>
      <c r="B37" t="inlineStr">
        <is>
          <t>Footwear</t>
        </is>
      </c>
      <c r="C37">
        <v>3</v>
      </c>
      <c r="D37">
        <v>0.26</v>
      </c>
      <c r="E37" s="3">
        <f>D37/0.44*0.004485849056603773</f>
        <v>0.0026507289879931385</v>
      </c>
      <c r="F37" s="3">
        <f>E37-D37/100</f>
        <v>5.0728987993138575e-05</v>
      </c>
      <c r="G37" s="3">
        <f>D37/0.44</f>
        <v>0.5909090909090909</v>
      </c>
      <c r="CI37" s="2">
        <v>98.59</v>
      </c>
      <c r="CJ37" s="2">
        <v>91.59</v>
      </c>
      <c r="CK37" s="2">
        <v>95.76000000000001</v>
      </c>
      <c r="CL37" s="2">
        <v>95.7</v>
      </c>
      <c r="CM37" s="2">
        <v>92.16</v>
      </c>
      <c r="CN37" s="2">
        <v>90.95999999999999</v>
      </c>
      <c r="CO37" s="2">
        <v>96.18000000000001</v>
      </c>
      <c r="CP37" s="2">
        <v>91.06999999999999</v>
      </c>
      <c r="CQ37" s="2">
        <v>90.14</v>
      </c>
      <c r="CR37" s="2">
        <v>92.62</v>
      </c>
      <c r="CS37" s="2">
        <v>98.27</v>
      </c>
      <c r="CT37" s="2">
        <v>94.62</v>
      </c>
      <c r="CU37" s="2">
        <v>99.29000000000001</v>
      </c>
      <c r="CV37" s="2">
        <v>96.53</v>
      </c>
      <c r="CW37" s="2">
        <v>98.12</v>
      </c>
      <c r="CX37" s="2">
        <v>96.04000000000001</v>
      </c>
      <c r="CY37" s="2">
        <v>94.64</v>
      </c>
      <c r="CZ37" s="2">
        <v>100</v>
      </c>
      <c r="DA37" s="2">
        <v>101.24</v>
      </c>
      <c r="DB37" s="2">
        <v>94.81999999999999</v>
      </c>
      <c r="DC37" s="2">
        <v>94.20999999999999</v>
      </c>
      <c r="DD37" s="2">
        <v>94.53</v>
      </c>
      <c r="DE37" s="2">
        <v>99.75</v>
      </c>
      <c r="DF37" s="2">
        <v>98.61</v>
      </c>
      <c r="DG37" s="2">
        <v>101.42</v>
      </c>
      <c r="DH37" s="2">
        <v>97</v>
      </c>
      <c r="DI37" s="2">
        <v>97.15000000000001</v>
      </c>
      <c r="DJ37" s="2">
        <v>99.53</v>
      </c>
      <c r="GL37" s="2">
        <v>0.7</v>
      </c>
      <c r="GM37" s="2">
        <v>5.4</v>
      </c>
      <c r="GN37" s="2">
        <v>2.5</v>
      </c>
      <c r="GO37" s="2">
        <v>0.4</v>
      </c>
      <c r="GP37" s="2">
        <v>2.7</v>
      </c>
      <c r="GQ37" s="2">
        <v>9.9</v>
      </c>
      <c r="GR37" s="2">
        <v>5.3</v>
      </c>
      <c r="GS37" s="2">
        <v>4.1</v>
      </c>
      <c r="GT37" s="2">
        <v>4.5</v>
      </c>
      <c r="GU37" s="2">
        <v>2.1</v>
      </c>
      <c r="GV37" s="2">
        <v>1.5</v>
      </c>
      <c r="GW37" s="2">
        <v>4.2</v>
      </c>
      <c r="GX37" s="2">
        <v>2.1</v>
      </c>
      <c r="GY37" s="2">
        <v>0.5</v>
      </c>
      <c r="GZ37" s="2">
        <v>-1</v>
      </c>
      <c r="HA37" s="2">
        <v>3.6</v>
      </c>
      <c r="KC37" s="2">
        <v>-7.1</v>
      </c>
      <c r="KD37" s="2">
        <v>4.6</v>
      </c>
      <c r="KE37" s="2">
        <v>-0.1</v>
      </c>
      <c r="KF37" s="2">
        <v>-3.7</v>
      </c>
      <c r="KG37" s="2">
        <v>-1.3</v>
      </c>
      <c r="KH37" s="2">
        <v>5.7</v>
      </c>
      <c r="KI37" s="2">
        <v>-5.3</v>
      </c>
      <c r="KJ37" s="2">
        <v>-1</v>
      </c>
      <c r="KK37" s="2">
        <v>2.8</v>
      </c>
      <c r="KL37" s="2">
        <v>6.1</v>
      </c>
      <c r="KM37" s="2">
        <v>-3.7</v>
      </c>
      <c r="KN37" s="2">
        <v>4.9</v>
      </c>
      <c r="KO37" s="2">
        <v>-2.8</v>
      </c>
      <c r="KP37" s="2">
        <v>1.6</v>
      </c>
      <c r="KQ37" s="2">
        <v>-2.1</v>
      </c>
      <c r="KR37" s="2">
        <v>-1.5</v>
      </c>
      <c r="KS37" s="2">
        <v>5.7</v>
      </c>
      <c r="KT37" s="2">
        <v>1.2</v>
      </c>
      <c r="KU37" s="2">
        <v>-6.3</v>
      </c>
      <c r="KV37" s="2">
        <v>-0.6</v>
      </c>
      <c r="KW37" s="2">
        <v>0.3</v>
      </c>
      <c r="KX37" s="2">
        <v>5.5</v>
      </c>
      <c r="KY37" s="2">
        <v>-1.1</v>
      </c>
      <c r="KZ37" s="2">
        <v>2.8</v>
      </c>
      <c r="LA37" s="2">
        <v>-4.4</v>
      </c>
      <c r="LB37" s="2">
        <v>0.2</v>
      </c>
      <c r="LC37" s="2">
        <v>2.4</v>
      </c>
      <c r="LD37" s="2">
        <v>0.26</v>
      </c>
      <c r="LE37" s="2">
        <v>0.26</v>
      </c>
      <c r="LF37" s="2">
        <v>0.28</v>
      </c>
      <c r="LG37" s="2">
        <v>0.27</v>
      </c>
      <c r="LH37" s="2">
        <v>0.28</v>
      </c>
      <c r="LI37" s="2">
        <v>0.27</v>
      </c>
      <c r="LJ37" s="2">
        <v>0.28</v>
      </c>
      <c r="LK37" s="2">
        <v>0.27</v>
      </c>
      <c r="LL37" s="2">
        <v>0.27</v>
      </c>
      <c r="LM37" s="2">
        <v>0.28</v>
      </c>
      <c r="LN37" s="2">
        <v>0.29</v>
      </c>
      <c r="LO37" s="2">
        <v>0.27</v>
      </c>
      <c r="LP37" s="2">
        <v>0.27</v>
      </c>
      <c r="LQ37" s="2">
        <v>0.27</v>
      </c>
      <c r="LR37" s="2">
        <v>0.28</v>
      </c>
      <c r="LS37" s="2">
        <v>0.28</v>
      </c>
      <c r="LT37" s="2">
        <v>0.29</v>
      </c>
      <c r="LU37" s="2">
        <v>0.27</v>
      </c>
      <c r="LV37" s="2">
        <v>0.28</v>
      </c>
      <c r="LW37" s="2">
        <v>0.28</v>
      </c>
      <c r="LX37" s="2">
        <v>0</v>
      </c>
      <c r="LY37" s="2">
        <v>0.02</v>
      </c>
      <c r="LZ37" s="2">
        <v>-0.01</v>
      </c>
      <c r="MA37" s="2">
        <v>0.01</v>
      </c>
      <c r="MB37" s="2">
        <v>-0.01</v>
      </c>
      <c r="MC37" s="2">
        <v>0.01</v>
      </c>
      <c r="MD37" s="2">
        <v>-0.01</v>
      </c>
      <c r="ME37" s="2">
        <v>0</v>
      </c>
      <c r="MF37" s="2">
        <v>0.01</v>
      </c>
      <c r="MG37" s="2">
        <v>0.01</v>
      </c>
      <c r="MH37" s="2">
        <v>-0.02</v>
      </c>
      <c r="MI37" s="2">
        <v>0</v>
      </c>
      <c r="MJ37" s="2">
        <v>0</v>
      </c>
      <c r="MK37" s="2">
        <v>0.01</v>
      </c>
      <c r="ML37" s="2">
        <v>0</v>
      </c>
      <c r="MM37" s="2">
        <v>0.01</v>
      </c>
      <c r="MN37" s="2">
        <v>-0.02</v>
      </c>
      <c r="MO37" s="2">
        <v>0.01</v>
      </c>
      <c r="MP37" s="2">
        <v>0</v>
      </c>
      <c r="RO37" s="2">
        <v>52.74</v>
      </c>
      <c r="RP37" s="2">
        <v>55.06</v>
      </c>
      <c r="RQ37" s="2">
        <v>55.28</v>
      </c>
      <c r="RR37" s="2">
        <v>58.04</v>
      </c>
      <c r="RS37" s="2">
        <v>58.37</v>
      </c>
      <c r="RT37" s="2">
        <v>59.36</v>
      </c>
      <c r="RU37" s="2">
        <v>59.58</v>
      </c>
      <c r="RV37" s="2">
        <v>63.22</v>
      </c>
      <c r="RW37" s="2">
        <v>64.09999999999999</v>
      </c>
      <c r="RX37" s="2">
        <v>65.87</v>
      </c>
      <c r="RY37" s="2">
        <v>65.87</v>
      </c>
      <c r="RZ37" s="2">
        <v>69.95</v>
      </c>
      <c r="SA37" s="2">
        <v>70.17</v>
      </c>
      <c r="SB37" s="2">
        <v>69.06999999999999</v>
      </c>
      <c r="SC37" s="2">
        <v>69.18000000000001</v>
      </c>
      <c r="SD37" s="2">
        <v>71.61</v>
      </c>
      <c r="SE37" s="2">
        <v>71.83</v>
      </c>
      <c r="SF37" s="2">
        <v>74.59</v>
      </c>
      <c r="SG37" s="2">
        <v>74.92</v>
      </c>
      <c r="SH37" s="2">
        <v>76.79000000000001</v>
      </c>
      <c r="SI37" s="2">
        <v>77.45999999999999</v>
      </c>
      <c r="SJ37" s="2">
        <v>78.23</v>
      </c>
      <c r="SK37" s="2">
        <v>78.34</v>
      </c>
      <c r="SL37" s="2">
        <v>89.37</v>
      </c>
      <c r="SM37" s="2">
        <v>90.03</v>
      </c>
      <c r="SN37" s="2">
        <v>92.02</v>
      </c>
      <c r="SO37" s="2">
        <v>92.13</v>
      </c>
      <c r="SP37" s="2">
        <v>93.67</v>
      </c>
      <c r="SQ37" s="2">
        <v>94.01000000000001</v>
      </c>
      <c r="SR37" s="2">
        <v>96.20999999999999</v>
      </c>
      <c r="SS37" s="2">
        <v>96.54000000000001</v>
      </c>
      <c r="ST37" s="2">
        <v>99.52</v>
      </c>
      <c r="SU37" s="2">
        <v>100.96</v>
      </c>
      <c r="SV37" s="2">
        <v>105.15</v>
      </c>
      <c r="SW37" s="2">
        <v>105.26</v>
      </c>
      <c r="SX37" s="2">
        <v>110.45</v>
      </c>
      <c r="SY37" s="2">
        <v>110.34</v>
      </c>
      <c r="SZ37" s="2">
        <v>109.89</v>
      </c>
      <c r="TA37" s="2">
        <v>110.11</v>
      </c>
      <c r="TB37" s="2">
        <v>111</v>
      </c>
      <c r="TC37" s="2">
        <v>110.89</v>
      </c>
      <c r="TD37" s="2">
        <v>113.87</v>
      </c>
      <c r="TE37" s="2">
        <v>114.31</v>
      </c>
      <c r="TF37" s="2">
        <v>115.74</v>
      </c>
      <c r="TG37" s="2">
        <v>116.07</v>
      </c>
      <c r="TH37" s="2">
        <v>115.63</v>
      </c>
      <c r="TI37" s="2">
        <v>116.29</v>
      </c>
      <c r="TJ37" s="2">
        <v>114.86</v>
      </c>
      <c r="TK37" s="2">
        <v>114.75</v>
      </c>
      <c r="TL37" s="2">
        <v>114.53</v>
      </c>
      <c r="TM37" s="2">
        <v>113.76</v>
      </c>
      <c r="TN37" s="2">
        <v>115.08</v>
      </c>
      <c r="TO37" s="2">
        <v>114.42</v>
      </c>
      <c r="TP37" s="2">
        <v>113.2</v>
      </c>
      <c r="TQ37" s="2">
        <v>113.2</v>
      </c>
      <c r="TR37" s="2">
        <v>114.2</v>
      </c>
      <c r="TS37" s="2">
        <v>113.87</v>
      </c>
      <c r="TT37" s="2">
        <v>114.75</v>
      </c>
      <c r="TU37" s="2">
        <v>111.55</v>
      </c>
      <c r="TV37" s="2">
        <v>111.77</v>
      </c>
      <c r="TW37" s="2">
        <v>109.89</v>
      </c>
      <c r="TX37" s="2">
        <v>112.21</v>
      </c>
      <c r="TY37" s="2">
        <v>111</v>
      </c>
      <c r="TZ37" s="2">
        <v>114.2</v>
      </c>
      <c r="UA37" s="2">
        <v>112.76</v>
      </c>
      <c r="UB37" s="2">
        <v>114.09</v>
      </c>
      <c r="UC37" s="2">
        <v>113.65</v>
      </c>
      <c r="UD37" s="2">
        <v>112.54</v>
      </c>
      <c r="UE37" s="2">
        <v>110.78</v>
      </c>
      <c r="UF37" s="2">
        <v>114.31</v>
      </c>
      <c r="UG37" s="2">
        <v>111.77</v>
      </c>
      <c r="UH37" s="2">
        <v>112.65</v>
      </c>
      <c r="UI37" s="2">
        <v>109.24</v>
      </c>
      <c r="UJ37" s="2">
        <v>111.57</v>
      </c>
      <c r="UK37" s="2">
        <v>109.78</v>
      </c>
      <c r="UL37" s="2">
        <v>110.17</v>
      </c>
      <c r="UM37" s="2">
        <v>108.88</v>
      </c>
      <c r="UN37" s="2">
        <v>108.9</v>
      </c>
      <c r="UO37" s="2">
        <v>108.66</v>
      </c>
      <c r="UP37" s="2">
        <v>108.97</v>
      </c>
      <c r="UQ37" s="2">
        <v>118.1</v>
      </c>
      <c r="UR37" s="2">
        <v>116.56</v>
      </c>
      <c r="US37" s="2">
        <v>116.93</v>
      </c>
      <c r="UT37" s="2">
        <v>116.83</v>
      </c>
      <c r="UU37" s="2">
        <v>116.36</v>
      </c>
      <c r="UV37" s="2">
        <v>118.65</v>
      </c>
      <c r="UW37" s="2">
        <v>119.36</v>
      </c>
      <c r="UX37" s="2">
        <v>117.72</v>
      </c>
      <c r="UY37" s="2">
        <v>118.99</v>
      </c>
      <c r="UZ37" s="2">
        <v>117.27</v>
      </c>
      <c r="VA37" s="2">
        <v>112.68</v>
      </c>
      <c r="VB37" s="2">
        <v>114.39</v>
      </c>
      <c r="VC37" s="2">
        <v>112.66</v>
      </c>
      <c r="VD37" s="2">
        <v>113.84</v>
      </c>
      <c r="VE37" s="2">
        <v>111.63</v>
      </c>
      <c r="VF37" s="2">
        <v>112.3</v>
      </c>
      <c r="VG37" s="2">
        <v>113.91</v>
      </c>
      <c r="VH37" s="2">
        <v>113.63</v>
      </c>
      <c r="VI37" s="2">
        <v>111.76</v>
      </c>
      <c r="VJ37" s="2">
        <v>111.58</v>
      </c>
      <c r="VK37" s="2">
        <v>111.23</v>
      </c>
      <c r="VL37" s="2">
        <v>112.44</v>
      </c>
      <c r="VM37" s="2">
        <v>109.49</v>
      </c>
      <c r="VN37" s="2">
        <v>112.56</v>
      </c>
      <c r="VO37" s="2">
        <v>114.31</v>
      </c>
      <c r="VP37" s="2">
        <v>112.81</v>
      </c>
      <c r="VQ37" s="2">
        <v>113.98</v>
      </c>
      <c r="VR37" s="2">
        <v>109.78</v>
      </c>
      <c r="VS37" s="2">
        <v>111.71</v>
      </c>
      <c r="VT37" s="2">
        <v>114.27</v>
      </c>
      <c r="VU37" s="2">
        <v>110.22</v>
      </c>
      <c r="VV37" s="2">
        <v>112.52</v>
      </c>
      <c r="VW37" s="2">
        <v>112.01</v>
      </c>
      <c r="VX37" s="2">
        <v>113.53</v>
      </c>
      <c r="VY37" s="2">
        <v>109.34</v>
      </c>
      <c r="VZ37" s="2">
        <v>107.13</v>
      </c>
      <c r="WA37" s="2">
        <v>110.63</v>
      </c>
      <c r="WB37" s="2">
        <v>110.84</v>
      </c>
      <c r="WC37" s="2">
        <v>106.85</v>
      </c>
      <c r="WD37" s="2">
        <v>102.74</v>
      </c>
      <c r="WE37" s="2">
        <v>106.41</v>
      </c>
      <c r="WF37" s="2">
        <v>107.02</v>
      </c>
      <c r="WG37" s="2">
        <v>103.79</v>
      </c>
      <c r="WH37" s="2">
        <v>101.38</v>
      </c>
      <c r="WI37" s="2">
        <v>106.63</v>
      </c>
      <c r="WJ37" s="2">
        <v>105.46</v>
      </c>
      <c r="WK37" s="2">
        <v>108.38</v>
      </c>
      <c r="WL37" s="2">
        <v>107.92</v>
      </c>
      <c r="WM37" s="2">
        <v>107.3</v>
      </c>
      <c r="WN37" s="2">
        <v>109.56</v>
      </c>
      <c r="WO37" s="2">
        <v>102.15</v>
      </c>
      <c r="WP37" s="2">
        <v>105.4</v>
      </c>
      <c r="WQ37" s="2">
        <v>107.61</v>
      </c>
      <c r="WR37" s="2">
        <v>106.26</v>
      </c>
      <c r="WS37" s="2">
        <v>102.75</v>
      </c>
      <c r="WT37" s="2">
        <v>101.48</v>
      </c>
      <c r="WU37" s="2">
        <v>102.01</v>
      </c>
      <c r="WV37" s="2">
        <v>107.3</v>
      </c>
      <c r="WW37" s="2">
        <v>101.86</v>
      </c>
      <c r="WX37" s="2">
        <v>98.79000000000001</v>
      </c>
      <c r="WY37" s="2">
        <v>99.04000000000001</v>
      </c>
      <c r="WZ37" s="2">
        <v>101.21</v>
      </c>
      <c r="XA37" s="2">
        <v>96.67</v>
      </c>
      <c r="XB37" s="2">
        <v>101.05</v>
      </c>
      <c r="XC37" s="2">
        <v>100.23</v>
      </c>
      <c r="XD37" s="2">
        <v>101.13</v>
      </c>
      <c r="XE37" s="2">
        <v>98.22</v>
      </c>
      <c r="XF37" s="2">
        <v>98.95999999999999</v>
      </c>
      <c r="XG37" s="2">
        <v>100.09</v>
      </c>
      <c r="XH37" s="2">
        <v>98.29000000000001</v>
      </c>
      <c r="XI37" s="2">
        <v>93.95999999999999</v>
      </c>
      <c r="XJ37" s="2">
        <v>96.42</v>
      </c>
      <c r="XK37" s="2">
        <v>95.84</v>
      </c>
      <c r="XL37" s="2">
        <v>92.45999999999999</v>
      </c>
      <c r="XM37" s="2">
        <v>92.34999999999999</v>
      </c>
      <c r="XN37" s="2">
        <v>94.19</v>
      </c>
      <c r="XO37" s="2">
        <v>96.73</v>
      </c>
      <c r="XP37" s="2">
        <v>95.98999999999999</v>
      </c>
      <c r="XQ37" s="2">
        <v>95.86</v>
      </c>
      <c r="XR37" s="2">
        <v>94.97</v>
      </c>
      <c r="XS37" s="2">
        <v>95.33</v>
      </c>
      <c r="XT37" s="2">
        <v>97.40000000000001</v>
      </c>
      <c r="XU37" s="2">
        <v>96.91</v>
      </c>
      <c r="XV37" s="2">
        <v>101.16</v>
      </c>
      <c r="XW37" s="2">
        <v>94.19</v>
      </c>
      <c r="XX37" s="2">
        <v>98.48999999999999</v>
      </c>
      <c r="XY37" s="2">
        <v>94.78</v>
      </c>
      <c r="XZ37" s="2">
        <v>101.19</v>
      </c>
      <c r="YA37" s="2">
        <v>98.02</v>
      </c>
      <c r="YB37" s="2">
        <v>103.81</v>
      </c>
      <c r="YC37" s="2">
        <v>97.22</v>
      </c>
      <c r="YD37" s="2">
        <v>99.70999999999999</v>
      </c>
      <c r="YE37" s="2">
        <v>98.78</v>
      </c>
      <c r="YF37" s="2">
        <v>98.23</v>
      </c>
      <c r="YG37" s="2">
        <v>95.28</v>
      </c>
      <c r="YH37" s="2">
        <v>99.33</v>
      </c>
      <c r="YI37" s="2">
        <v>96.20999999999999</v>
      </c>
      <c r="YJ37" s="2">
        <v>96.90000000000001</v>
      </c>
      <c r="YK37" s="2">
        <v>92.88</v>
      </c>
      <c r="YL37" s="2">
        <v>99.75</v>
      </c>
      <c r="YM37" s="2">
        <v>96.89</v>
      </c>
      <c r="YN37" s="2">
        <v>96.76000000000001</v>
      </c>
      <c r="YO37" s="2">
        <v>97.63</v>
      </c>
      <c r="YP37" s="2">
        <v>98.52</v>
      </c>
      <c r="ADO37" s="2">
        <v>4.4</v>
      </c>
      <c r="ADP37" s="2">
        <v>0.4</v>
      </c>
      <c r="ADQ37" s="2">
        <v>5</v>
      </c>
      <c r="ADR37" s="2">
        <v>0.6</v>
      </c>
      <c r="ADS37" s="2">
        <v>1.7</v>
      </c>
      <c r="ADT37" s="2">
        <v>0.4</v>
      </c>
      <c r="ADU37" s="2">
        <v>6.1</v>
      </c>
      <c r="ADV37" s="2">
        <v>1.4</v>
      </c>
      <c r="ADW37" s="2">
        <v>2.8</v>
      </c>
      <c r="ADX37" s="2">
        <v>0</v>
      </c>
      <c r="ADY37" s="2">
        <v>6.2</v>
      </c>
      <c r="ADZ37" s="2">
        <v>0.3</v>
      </c>
      <c r="AEA37" s="2">
        <v>-1.6</v>
      </c>
      <c r="AEB37" s="2">
        <v>0.2</v>
      </c>
      <c r="AEC37" s="2">
        <v>3.5</v>
      </c>
      <c r="AED37" s="2">
        <v>0.3</v>
      </c>
      <c r="AEE37" s="2">
        <v>3.8</v>
      </c>
      <c r="AEF37" s="2">
        <v>0.4</v>
      </c>
      <c r="AEG37" s="2">
        <v>2.5</v>
      </c>
      <c r="AEH37" s="2">
        <v>0.9</v>
      </c>
      <c r="AEI37" s="2">
        <v>1</v>
      </c>
      <c r="AEJ37" s="2">
        <v>0.1</v>
      </c>
      <c r="AEK37" s="2">
        <v>14.1</v>
      </c>
      <c r="AEL37" s="2">
        <v>0.7</v>
      </c>
      <c r="AEM37" s="2">
        <v>2.2</v>
      </c>
      <c r="AEN37" s="2">
        <v>0.1</v>
      </c>
      <c r="AEO37" s="2">
        <v>1.7</v>
      </c>
      <c r="AEP37" s="2">
        <v>0.4</v>
      </c>
      <c r="AEQ37" s="2">
        <v>2.3</v>
      </c>
      <c r="AER37" s="2">
        <v>0.3</v>
      </c>
      <c r="AES37" s="2">
        <v>3.1</v>
      </c>
      <c r="AET37" s="2">
        <v>1.4</v>
      </c>
      <c r="AEU37" s="2">
        <v>4.2</v>
      </c>
      <c r="AEV37" s="2">
        <v>0.1</v>
      </c>
      <c r="AEW37" s="2">
        <v>4.9</v>
      </c>
      <c r="AEX37" s="2">
        <v>-0.1</v>
      </c>
      <c r="AEY37" s="2">
        <v>-0.4</v>
      </c>
      <c r="AEZ37" s="2">
        <v>0.2</v>
      </c>
      <c r="AFA37" s="2">
        <v>0.8</v>
      </c>
      <c r="AFB37" s="2">
        <v>-0.1</v>
      </c>
      <c r="AFC37" s="2">
        <v>2.7</v>
      </c>
      <c r="AFD37" s="2">
        <v>0.4</v>
      </c>
      <c r="AFE37" s="2">
        <v>1.3</v>
      </c>
      <c r="AFF37" s="2">
        <v>0.3</v>
      </c>
      <c r="AFG37" s="2">
        <v>-0.4</v>
      </c>
      <c r="AFH37" s="2">
        <v>0.6</v>
      </c>
      <c r="AFI37" s="2">
        <v>-1.2</v>
      </c>
      <c r="AFJ37" s="2">
        <v>-0.1</v>
      </c>
      <c r="AFK37" s="2">
        <v>-0.2</v>
      </c>
      <c r="AFL37" s="2">
        <v>-0.7</v>
      </c>
      <c r="AFM37" s="2">
        <v>1.2</v>
      </c>
      <c r="AFN37" s="2">
        <v>-0.6</v>
      </c>
      <c r="AFO37" s="2">
        <v>-1.1</v>
      </c>
      <c r="AFP37" s="2">
        <v>0</v>
      </c>
      <c r="AFQ37" s="2">
        <v>0.9</v>
      </c>
      <c r="AFR37" s="2">
        <v>-0.3</v>
      </c>
      <c r="AFS37" s="2">
        <v>0.8</v>
      </c>
      <c r="AFT37" s="2">
        <v>-2.8</v>
      </c>
      <c r="AFU37" s="2">
        <v>0.2</v>
      </c>
      <c r="AFV37" s="2">
        <v>-1.7</v>
      </c>
      <c r="AFW37" s="2">
        <v>2.1</v>
      </c>
      <c r="AFX37" s="2">
        <v>-1.1</v>
      </c>
      <c r="AFY37" s="2">
        <v>2.9</v>
      </c>
      <c r="AFZ37" s="2">
        <v>-1.3</v>
      </c>
      <c r="AGA37" s="2">
        <v>1.2</v>
      </c>
      <c r="AGB37" s="2">
        <v>-0.4</v>
      </c>
      <c r="AGC37" s="2">
        <v>-1</v>
      </c>
      <c r="AGD37" s="2">
        <v>-1.6</v>
      </c>
      <c r="AGE37" s="2">
        <v>3.2</v>
      </c>
      <c r="AGF37" s="2">
        <v>-2.2</v>
      </c>
      <c r="AGG37" s="2">
        <v>0.8</v>
      </c>
      <c r="AGH37" s="2">
        <v>-3</v>
      </c>
      <c r="AGI37" s="2">
        <v>2.1</v>
      </c>
      <c r="AGJ37" s="2">
        <v>-1.6</v>
      </c>
      <c r="AGK37" s="2">
        <v>0.4</v>
      </c>
      <c r="AGL37" s="2">
        <v>-1.2</v>
      </c>
      <c r="AGM37" s="2">
        <v>0</v>
      </c>
      <c r="AGN37" s="2">
        <v>-0.2</v>
      </c>
      <c r="AGO37" s="2">
        <v>0.3</v>
      </c>
      <c r="AGP37" s="2">
        <v>8.4</v>
      </c>
      <c r="AGQ37" s="2">
        <v>-1.3</v>
      </c>
      <c r="AGR37" s="2">
        <v>0.3</v>
      </c>
      <c r="AGS37" s="2">
        <v>-0.1</v>
      </c>
      <c r="AGT37" s="2">
        <v>-0.4</v>
      </c>
      <c r="AGU37" s="2">
        <v>2</v>
      </c>
      <c r="AGV37" s="2">
        <v>0.6</v>
      </c>
      <c r="AGW37" s="2">
        <v>-1.4</v>
      </c>
      <c r="AGX37" s="2">
        <v>1.1</v>
      </c>
      <c r="AGY37" s="2">
        <v>-1.4</v>
      </c>
      <c r="AGZ37" s="2">
        <v>-3.9</v>
      </c>
      <c r="AHA37" s="2">
        <v>1.5</v>
      </c>
      <c r="AHB37" s="2">
        <v>-1.5</v>
      </c>
      <c r="AHC37" s="2">
        <v>1</v>
      </c>
      <c r="AHD37" s="2">
        <v>-1.9</v>
      </c>
      <c r="AHE37" s="2">
        <v>0.6</v>
      </c>
      <c r="AHF37" s="2">
        <v>1.4</v>
      </c>
      <c r="AHG37" s="2">
        <v>-0.2</v>
      </c>
      <c r="AHH37" s="2">
        <v>-1.6</v>
      </c>
      <c r="AHI37" s="2">
        <v>-0.2</v>
      </c>
      <c r="AHJ37" s="2">
        <v>-0.3</v>
      </c>
      <c r="AHK37" s="2">
        <v>1.1</v>
      </c>
      <c r="AHL37" s="2">
        <v>-2.6</v>
      </c>
      <c r="AHM37" s="2">
        <v>2.8</v>
      </c>
      <c r="AHN37" s="2">
        <v>1.6</v>
      </c>
      <c r="AHO37" s="2">
        <v>-1.3</v>
      </c>
      <c r="AHP37" s="2">
        <v>1</v>
      </c>
      <c r="AHQ37" s="2">
        <v>-3.7</v>
      </c>
      <c r="AHR37" s="2">
        <v>1.8</v>
      </c>
      <c r="AHS37" s="2">
        <v>2.3</v>
      </c>
      <c r="AHT37" s="2">
        <v>-3.5</v>
      </c>
      <c r="AHU37" s="2">
        <v>2.1</v>
      </c>
      <c r="AHV37" s="2">
        <v>-0.5</v>
      </c>
      <c r="AHW37" s="2">
        <v>1.4</v>
      </c>
      <c r="AHX37" s="2">
        <v>-3.7</v>
      </c>
      <c r="AHY37" s="2">
        <v>-2</v>
      </c>
      <c r="AHZ37" s="2">
        <v>3.3</v>
      </c>
      <c r="AIA37" s="2">
        <v>0.2</v>
      </c>
      <c r="AIB37" s="2">
        <v>-3.6</v>
      </c>
      <c r="AIC37" s="2">
        <v>-3.8</v>
      </c>
      <c r="AID37" s="2">
        <v>3.6</v>
      </c>
      <c r="AIE37" s="2">
        <v>0.6</v>
      </c>
      <c r="AIF37" s="2">
        <v>-3</v>
      </c>
      <c r="AIG37" s="2">
        <v>-2.3</v>
      </c>
      <c r="AIH37" s="2">
        <v>5.2</v>
      </c>
      <c r="AII37" s="2">
        <v>-1.1</v>
      </c>
      <c r="AIJ37" s="2">
        <v>2.8</v>
      </c>
      <c r="AIK37" s="2">
        <v>-0.4</v>
      </c>
      <c r="AIL37" s="2">
        <v>-0.6</v>
      </c>
      <c r="AIM37" s="2">
        <v>2.1</v>
      </c>
      <c r="AIN37" s="2">
        <v>-6.8</v>
      </c>
      <c r="AIO37" s="2">
        <v>3.2</v>
      </c>
      <c r="AIP37" s="2">
        <v>2.1</v>
      </c>
      <c r="AIQ37" s="2">
        <v>-1.3</v>
      </c>
      <c r="AIR37" s="2">
        <v>-3.3</v>
      </c>
      <c r="AIS37" s="2">
        <v>-1.2</v>
      </c>
      <c r="AIT37" s="2">
        <v>0.5</v>
      </c>
      <c r="AIU37" s="2">
        <v>5.2</v>
      </c>
      <c r="AIV37" s="2">
        <v>-5.1</v>
      </c>
      <c r="AIW37" s="2">
        <v>-3</v>
      </c>
      <c r="AIX37" s="2">
        <v>0.3</v>
      </c>
      <c r="AIY37" s="2">
        <v>2.2</v>
      </c>
      <c r="AIZ37" s="2">
        <v>-4.5</v>
      </c>
      <c r="AJA37" s="2">
        <v>4.5</v>
      </c>
      <c r="AJB37" s="2">
        <v>-0.8</v>
      </c>
      <c r="AJC37" s="2">
        <v>0.9</v>
      </c>
      <c r="AJD37" s="2">
        <v>-2.9</v>
      </c>
      <c r="AJE37" s="2">
        <v>0.8</v>
      </c>
      <c r="AJF37" s="2">
        <v>1.1</v>
      </c>
      <c r="AJG37" s="2">
        <v>-1.8</v>
      </c>
      <c r="AJH37" s="2">
        <v>-4.4</v>
      </c>
      <c r="AJI37" s="2">
        <v>2.6</v>
      </c>
      <c r="AJJ37" s="2">
        <v>-0.6</v>
      </c>
      <c r="AJK37" s="2">
        <v>-3.5</v>
      </c>
      <c r="AJL37" s="2">
        <v>-0.1</v>
      </c>
      <c r="AJM37" s="2">
        <v>2</v>
      </c>
      <c r="AJN37" s="2">
        <v>2.7</v>
      </c>
      <c r="AJO37" s="2">
        <v>-0.8</v>
      </c>
      <c r="AJP37" s="2">
        <v>-0.1</v>
      </c>
      <c r="AJQ37" s="2">
        <v>-0.9</v>
      </c>
      <c r="AJR37" s="2">
        <v>0.4</v>
      </c>
      <c r="AJS37" s="2">
        <v>2.2</v>
      </c>
      <c r="AJT37" s="2">
        <v>-0.5</v>
      </c>
      <c r="AJU37" s="2">
        <v>4.4</v>
      </c>
      <c r="AJV37" s="2">
        <v>-6.9</v>
      </c>
      <c r="AJW37" s="2">
        <v>4.6</v>
      </c>
      <c r="AJX37" s="2">
        <v>-3.8</v>
      </c>
      <c r="AJY37" s="2">
        <v>6.8</v>
      </c>
      <c r="AJZ37" s="2">
        <v>-3.1</v>
      </c>
      <c r="AKA37" s="2">
        <v>5.9</v>
      </c>
      <c r="AKB37" s="2">
        <v>-6.3</v>
      </c>
      <c r="AKC37" s="2">
        <v>2.6</v>
      </c>
      <c r="AKD37" s="2">
        <v>-0.9</v>
      </c>
      <c r="AKE37" s="2">
        <v>-0.6</v>
      </c>
      <c r="AKF37" s="2">
        <v>-3</v>
      </c>
      <c r="AKG37" s="2">
        <v>4.3</v>
      </c>
      <c r="AKH37" s="2">
        <v>-3.1</v>
      </c>
      <c r="AKI37" s="2">
        <v>0.7</v>
      </c>
      <c r="AKJ37" s="2">
        <v>-4.1</v>
      </c>
      <c r="AKK37" s="2">
        <v>7.4</v>
      </c>
      <c r="AKL37" s="2">
        <v>-2.9</v>
      </c>
      <c r="AKM37" s="2">
        <v>-0.1</v>
      </c>
      <c r="AKN37" s="2">
        <v>0.9</v>
      </c>
      <c r="AKO37" s="2">
        <v>0.9</v>
      </c>
      <c r="AKP37" s="2">
        <v>0.27</v>
      </c>
      <c r="AKQ37" s="2">
        <v>0.28</v>
      </c>
      <c r="AKR37" s="2">
        <v>0.28</v>
      </c>
    </row>
    <row r="38">
      <c r="A38" t="inlineStr">
        <is>
          <t>Footwear for infants and children</t>
        </is>
      </c>
      <c r="B38" t="inlineStr">
        <is>
          <t>Footwear</t>
        </is>
      </c>
      <c r="C38">
        <v>3</v>
      </c>
      <c r="D38">
        <v>0.07000000000000001</v>
      </c>
      <c r="E38" s="3">
        <f>D38/0.44*0.004485849056603773</f>
        <v>0.0007136578044596913</v>
      </c>
      <c r="F38" s="3">
        <f>E38-D38/100</f>
        <v>1.3657804459691171e-05</v>
      </c>
      <c r="G38" s="3">
        <f>D38/0.44</f>
        <v>0.15909090909090912</v>
      </c>
      <c r="CI38" s="2">
        <v>103.3</v>
      </c>
      <c r="CJ38" s="2">
        <v>100.4</v>
      </c>
      <c r="CK38" s="2">
        <v>102.83</v>
      </c>
      <c r="CL38" s="2">
        <v>103.88</v>
      </c>
      <c r="CM38" s="2">
        <v>101.6</v>
      </c>
      <c r="CN38" s="2">
        <v>100.39</v>
      </c>
      <c r="CO38" s="2">
        <v>104.48</v>
      </c>
      <c r="CP38" s="2">
        <v>102.2</v>
      </c>
      <c r="CQ38" s="2">
        <v>99.95</v>
      </c>
      <c r="CR38" s="2">
        <v>104.97</v>
      </c>
      <c r="CS38" s="2">
        <v>107.52</v>
      </c>
      <c r="CT38" s="2">
        <v>107.19</v>
      </c>
      <c r="CU38" s="2">
        <v>104.51</v>
      </c>
      <c r="CV38" s="2">
        <v>102.72</v>
      </c>
      <c r="CW38" s="2">
        <v>99.34</v>
      </c>
      <c r="CX38" s="2">
        <v>101.12</v>
      </c>
      <c r="CY38" s="2">
        <v>97.55</v>
      </c>
      <c r="CZ38" s="2">
        <v>100</v>
      </c>
      <c r="DA38" s="2">
        <v>103.89</v>
      </c>
      <c r="DB38" s="2">
        <v>99.87</v>
      </c>
      <c r="DC38" s="2">
        <v>103</v>
      </c>
      <c r="DD38" s="2">
        <v>104.41</v>
      </c>
      <c r="DE38" s="2">
        <v>107.42</v>
      </c>
      <c r="DF38" s="2">
        <v>103.94</v>
      </c>
      <c r="DG38" s="2">
        <v>105.67</v>
      </c>
      <c r="DH38" s="2">
        <v>105.96</v>
      </c>
      <c r="DI38" s="2">
        <v>103.39</v>
      </c>
      <c r="DJ38" s="2">
        <v>101.45</v>
      </c>
      <c r="GL38" s="2">
        <v>1.2</v>
      </c>
      <c r="GM38" s="2">
        <v>2.3</v>
      </c>
      <c r="GN38" s="2">
        <v>-3.4</v>
      </c>
      <c r="GO38" s="2">
        <v>-2.7</v>
      </c>
      <c r="GP38" s="2">
        <v>-4</v>
      </c>
      <c r="GQ38" s="2">
        <v>-0.4</v>
      </c>
      <c r="GR38" s="2">
        <v>-0.6</v>
      </c>
      <c r="GS38" s="2">
        <v>-2.3</v>
      </c>
      <c r="GT38" s="2">
        <v>3.1</v>
      </c>
      <c r="GU38" s="2">
        <v>-0.5</v>
      </c>
      <c r="GV38" s="2">
        <v>-0.1</v>
      </c>
      <c r="GW38" s="2">
        <v>-3</v>
      </c>
      <c r="GX38" s="2">
        <v>1.1</v>
      </c>
      <c r="GY38" s="2">
        <v>3.2</v>
      </c>
      <c r="GZ38" s="2">
        <v>4.1</v>
      </c>
      <c r="HA38" s="2">
        <v>0.3</v>
      </c>
      <c r="KC38" s="2">
        <v>-2.8</v>
      </c>
      <c r="KD38" s="2">
        <v>2.4</v>
      </c>
      <c r="KE38" s="2">
        <v>1</v>
      </c>
      <c r="KF38" s="2">
        <v>-2.2</v>
      </c>
      <c r="KG38" s="2">
        <v>-1.2</v>
      </c>
      <c r="KH38" s="2">
        <v>4.1</v>
      </c>
      <c r="KI38" s="2">
        <v>-2.2</v>
      </c>
      <c r="KJ38" s="2">
        <v>-2.2</v>
      </c>
      <c r="KK38" s="2">
        <v>5</v>
      </c>
      <c r="KL38" s="2">
        <v>2.4</v>
      </c>
      <c r="KM38" s="2">
        <v>-0.3</v>
      </c>
      <c r="KN38" s="2">
        <v>-2.5</v>
      </c>
      <c r="KO38" s="2">
        <v>-1.7</v>
      </c>
      <c r="KP38" s="2">
        <v>-3.3</v>
      </c>
      <c r="KQ38" s="2">
        <v>1.8</v>
      </c>
      <c r="KR38" s="2">
        <v>-3.5</v>
      </c>
      <c r="KS38" s="2">
        <v>2.5</v>
      </c>
      <c r="KT38" s="2">
        <v>3.9</v>
      </c>
      <c r="KU38" s="2">
        <v>-3.9</v>
      </c>
      <c r="KV38" s="2">
        <v>3.1</v>
      </c>
      <c r="KW38" s="2">
        <v>1.4</v>
      </c>
      <c r="KX38" s="2">
        <v>2.9</v>
      </c>
      <c r="KY38" s="2">
        <v>-3.2</v>
      </c>
      <c r="KZ38" s="2">
        <v>1.7</v>
      </c>
      <c r="LA38" s="2">
        <v>0.3</v>
      </c>
      <c r="LB38" s="2">
        <v>-2.4</v>
      </c>
      <c r="LC38" s="2">
        <v>-1.9</v>
      </c>
      <c r="LD38" s="2">
        <v>0.07000000000000001</v>
      </c>
      <c r="LE38" s="2">
        <v>0.07000000000000001</v>
      </c>
      <c r="LF38" s="2">
        <v>0.07000000000000001</v>
      </c>
      <c r="LG38" s="2">
        <v>0.07000000000000001</v>
      </c>
      <c r="LH38" s="2">
        <v>0.07000000000000001</v>
      </c>
      <c r="LI38" s="2">
        <v>0.07000000000000001</v>
      </c>
      <c r="LJ38" s="2">
        <v>0.07000000000000001</v>
      </c>
      <c r="LK38" s="2">
        <v>0.07000000000000001</v>
      </c>
      <c r="LL38" s="2">
        <v>0.07000000000000001</v>
      </c>
      <c r="LM38" s="2">
        <v>0.07000000000000001</v>
      </c>
      <c r="LN38" s="2">
        <v>0.07000000000000001</v>
      </c>
      <c r="LO38" s="2">
        <v>0.07000000000000001</v>
      </c>
      <c r="LP38" s="2">
        <v>0.07000000000000001</v>
      </c>
      <c r="LQ38" s="2">
        <v>0.07000000000000001</v>
      </c>
      <c r="LR38" s="2">
        <v>0.07000000000000001</v>
      </c>
      <c r="LS38" s="2">
        <v>0.07000000000000001</v>
      </c>
      <c r="LT38" s="2">
        <v>0.07000000000000001</v>
      </c>
      <c r="LU38" s="2">
        <v>0.07000000000000001</v>
      </c>
      <c r="LV38" s="2">
        <v>0.07000000000000001</v>
      </c>
      <c r="LW38" s="2">
        <v>0.07000000000000001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RO38" s="2">
        <v>57.28</v>
      </c>
      <c r="RP38" s="2">
        <v>57.99</v>
      </c>
      <c r="RQ38" s="2">
        <v>58.6</v>
      </c>
      <c r="RR38" s="2">
        <v>60.12</v>
      </c>
      <c r="RS38" s="2">
        <v>59.51</v>
      </c>
      <c r="RT38" s="2">
        <v>61.64</v>
      </c>
      <c r="RU38" s="2">
        <v>62.45</v>
      </c>
      <c r="RV38" s="2">
        <v>60.93</v>
      </c>
      <c r="RW38" s="2">
        <v>64.58</v>
      </c>
      <c r="RX38" s="2">
        <v>65.48999999999999</v>
      </c>
      <c r="RY38" s="2">
        <v>61.33</v>
      </c>
      <c r="RZ38" s="2">
        <v>70.56</v>
      </c>
      <c r="SA38" s="2">
        <v>70.86</v>
      </c>
      <c r="SB38" s="2">
        <v>71.17</v>
      </c>
      <c r="SC38" s="2">
        <v>74.92</v>
      </c>
      <c r="SD38" s="2">
        <v>76.84</v>
      </c>
      <c r="SE38" s="2">
        <v>77.05</v>
      </c>
      <c r="SF38" s="2">
        <v>78.36</v>
      </c>
      <c r="SG38" s="2">
        <v>78.77</v>
      </c>
      <c r="SH38" s="2">
        <v>79.78</v>
      </c>
      <c r="SI38" s="2">
        <v>81.91</v>
      </c>
      <c r="SJ38" s="2">
        <v>83.84</v>
      </c>
      <c r="SK38" s="2">
        <v>85.87</v>
      </c>
      <c r="SL38" s="2">
        <v>87.89</v>
      </c>
      <c r="SM38" s="2">
        <v>88.59999999999999</v>
      </c>
      <c r="SN38" s="2">
        <v>89.62</v>
      </c>
      <c r="SO38" s="2">
        <v>89.92</v>
      </c>
      <c r="SP38" s="2">
        <v>90.94</v>
      </c>
      <c r="SQ38" s="2">
        <v>93.37</v>
      </c>
      <c r="SR38" s="2">
        <v>94.48</v>
      </c>
      <c r="SS38" s="2">
        <v>94.59</v>
      </c>
      <c r="ST38" s="2">
        <v>96.41</v>
      </c>
      <c r="SU38" s="2">
        <v>97.83</v>
      </c>
      <c r="SV38" s="2">
        <v>99.45</v>
      </c>
      <c r="SW38" s="2">
        <v>97.42</v>
      </c>
      <c r="SX38" s="2">
        <v>100.26</v>
      </c>
      <c r="SY38" s="2">
        <v>100.36</v>
      </c>
      <c r="SZ38" s="2">
        <v>101.78</v>
      </c>
      <c r="TA38" s="2">
        <v>102.09</v>
      </c>
      <c r="TB38" s="2">
        <v>101.17</v>
      </c>
      <c r="TC38" s="2">
        <v>101.58</v>
      </c>
      <c r="TD38" s="2">
        <v>101.88</v>
      </c>
      <c r="TE38" s="2">
        <v>103.51</v>
      </c>
      <c r="TF38" s="2">
        <v>103.61</v>
      </c>
      <c r="TG38" s="2">
        <v>105.74</v>
      </c>
      <c r="TH38" s="2">
        <v>106.75</v>
      </c>
      <c r="TI38" s="2">
        <v>106.85</v>
      </c>
      <c r="TJ38" s="2">
        <v>108.88</v>
      </c>
      <c r="TK38" s="2">
        <v>99.34999999999999</v>
      </c>
      <c r="TL38" s="2">
        <v>108.07</v>
      </c>
      <c r="TM38" s="2">
        <v>105.23</v>
      </c>
      <c r="TN38" s="2">
        <v>105.53</v>
      </c>
      <c r="TO38" s="2">
        <v>105.53</v>
      </c>
      <c r="TP38" s="2">
        <v>106.04</v>
      </c>
      <c r="TQ38" s="2">
        <v>103.51</v>
      </c>
      <c r="TR38" s="2">
        <v>102.39</v>
      </c>
      <c r="TS38" s="2">
        <v>101.17</v>
      </c>
      <c r="TT38" s="2">
        <v>101.38</v>
      </c>
      <c r="TU38" s="2">
        <v>97.93000000000001</v>
      </c>
      <c r="TV38" s="2">
        <v>99.25</v>
      </c>
      <c r="TW38" s="2">
        <v>96.70999999999999</v>
      </c>
      <c r="TX38" s="2">
        <v>99.45</v>
      </c>
      <c r="TY38" s="2">
        <v>99.05</v>
      </c>
      <c r="TZ38" s="2">
        <v>99.86</v>
      </c>
      <c r="UA38" s="2">
        <v>96.31</v>
      </c>
      <c r="UB38" s="2">
        <v>98.34</v>
      </c>
      <c r="UC38" s="2">
        <v>98.34</v>
      </c>
      <c r="UD38" s="2">
        <v>98.03</v>
      </c>
      <c r="UE38" s="2">
        <v>99.25</v>
      </c>
      <c r="UF38" s="2">
        <v>100.36</v>
      </c>
      <c r="UG38" s="2">
        <v>98.54000000000001</v>
      </c>
      <c r="UH38" s="2">
        <v>97.53</v>
      </c>
      <c r="UI38" s="2">
        <v>97.51000000000001</v>
      </c>
      <c r="UJ38" s="2">
        <v>98.12</v>
      </c>
      <c r="UK38" s="2">
        <v>97.17</v>
      </c>
      <c r="UL38" s="2">
        <v>98.42</v>
      </c>
      <c r="UM38" s="2">
        <v>97.89</v>
      </c>
      <c r="UN38" s="2">
        <v>97.45</v>
      </c>
      <c r="UO38" s="2">
        <v>95.31999999999999</v>
      </c>
      <c r="UP38" s="2">
        <v>95.43000000000001</v>
      </c>
      <c r="UQ38" s="2">
        <v>101.44</v>
      </c>
      <c r="UR38" s="2">
        <v>99.67</v>
      </c>
      <c r="US38" s="2">
        <v>99.95999999999999</v>
      </c>
      <c r="UT38" s="2">
        <v>101.08</v>
      </c>
      <c r="UU38" s="2">
        <v>102.32</v>
      </c>
      <c r="UV38" s="2">
        <v>102.02</v>
      </c>
      <c r="UW38" s="2">
        <v>101.71</v>
      </c>
      <c r="UX38" s="2">
        <v>102.1</v>
      </c>
      <c r="UY38" s="2">
        <v>102.91</v>
      </c>
      <c r="UZ38" s="2">
        <v>103.45</v>
      </c>
      <c r="VA38" s="2">
        <v>102.77</v>
      </c>
      <c r="VB38" s="2">
        <v>102.33</v>
      </c>
      <c r="VC38" s="2">
        <v>99.84999999999999</v>
      </c>
      <c r="VD38" s="2">
        <v>101.28</v>
      </c>
      <c r="VE38" s="2">
        <v>98.19</v>
      </c>
      <c r="VF38" s="2">
        <v>99.12</v>
      </c>
      <c r="VG38" s="2">
        <v>99.23</v>
      </c>
      <c r="VH38" s="2">
        <v>100.5</v>
      </c>
      <c r="VI38" s="2">
        <v>99.48999999999999</v>
      </c>
      <c r="VJ38" s="2">
        <v>99.90000000000001</v>
      </c>
      <c r="VK38" s="2">
        <v>100.63</v>
      </c>
      <c r="VL38" s="2">
        <v>100.89</v>
      </c>
      <c r="VM38" s="2">
        <v>95.67</v>
      </c>
      <c r="VN38" s="2">
        <v>99.67</v>
      </c>
      <c r="VO38" s="2">
        <v>98.97</v>
      </c>
      <c r="VP38" s="2">
        <v>98.56</v>
      </c>
      <c r="VQ38" s="2">
        <v>98.36</v>
      </c>
      <c r="VR38" s="2">
        <v>96.81999999999999</v>
      </c>
      <c r="VS38" s="2">
        <v>99.88</v>
      </c>
      <c r="VT38" s="2">
        <v>100.55</v>
      </c>
      <c r="VU38" s="2">
        <v>99.95999999999999</v>
      </c>
      <c r="VV38" s="2">
        <v>100.25</v>
      </c>
      <c r="VW38" s="2">
        <v>101.51</v>
      </c>
      <c r="VX38" s="2">
        <v>101.22</v>
      </c>
      <c r="VY38" s="2">
        <v>99.48999999999999</v>
      </c>
      <c r="VZ38" s="2">
        <v>102.28</v>
      </c>
      <c r="WA38" s="2">
        <v>103.31</v>
      </c>
      <c r="WB38" s="2">
        <v>99.81</v>
      </c>
      <c r="WC38" s="2">
        <v>99.48999999999999</v>
      </c>
      <c r="WD38" s="2">
        <v>98.62</v>
      </c>
      <c r="WE38" s="2">
        <v>100.45</v>
      </c>
      <c r="WF38" s="2">
        <v>99.47</v>
      </c>
      <c r="WG38" s="2">
        <v>92.16</v>
      </c>
      <c r="WH38" s="2">
        <v>100.07</v>
      </c>
      <c r="WI38" s="2">
        <v>101.22</v>
      </c>
      <c r="WJ38" s="2">
        <v>100.54</v>
      </c>
      <c r="WK38" s="2">
        <v>97.97</v>
      </c>
      <c r="WL38" s="2">
        <v>99.48999999999999</v>
      </c>
      <c r="WM38" s="2">
        <v>100.95</v>
      </c>
      <c r="WN38" s="2">
        <v>99.59999999999999</v>
      </c>
      <c r="WO38" s="2">
        <v>95.23</v>
      </c>
      <c r="WP38" s="2">
        <v>97.56999999999999</v>
      </c>
      <c r="WQ38" s="2">
        <v>100.75</v>
      </c>
      <c r="WR38" s="2">
        <v>98.66</v>
      </c>
      <c r="WS38" s="2">
        <v>95.54000000000001</v>
      </c>
      <c r="WT38" s="2">
        <v>99.75</v>
      </c>
      <c r="WU38" s="2">
        <v>96.45</v>
      </c>
      <c r="WV38" s="2">
        <v>97.94</v>
      </c>
      <c r="WW38" s="2">
        <v>95.88</v>
      </c>
      <c r="WX38" s="2">
        <v>97.2</v>
      </c>
      <c r="WY38" s="2">
        <v>94.62</v>
      </c>
      <c r="WZ38" s="2">
        <v>97.81</v>
      </c>
      <c r="XA38" s="2">
        <v>95.54000000000001</v>
      </c>
      <c r="XB38" s="2">
        <v>101.37</v>
      </c>
      <c r="XC38" s="2">
        <v>98.84999999999999</v>
      </c>
      <c r="XD38" s="2">
        <v>97.23999999999999</v>
      </c>
      <c r="XE38" s="2">
        <v>94.5</v>
      </c>
      <c r="XF38" s="2">
        <v>98.11</v>
      </c>
      <c r="XG38" s="2">
        <v>96.20999999999999</v>
      </c>
      <c r="XH38" s="2">
        <v>94.95999999999999</v>
      </c>
      <c r="XI38" s="2">
        <v>93.01000000000001</v>
      </c>
      <c r="XJ38" s="2">
        <v>97.89</v>
      </c>
      <c r="XK38" s="2">
        <v>97.15000000000001</v>
      </c>
      <c r="XL38" s="2">
        <v>94.83</v>
      </c>
      <c r="XM38" s="2">
        <v>92.54000000000001</v>
      </c>
      <c r="XN38" s="2">
        <v>92.90000000000001</v>
      </c>
      <c r="XO38" s="2">
        <v>97.56</v>
      </c>
      <c r="XP38" s="2">
        <v>96.53</v>
      </c>
      <c r="XQ38" s="2">
        <v>96.33</v>
      </c>
      <c r="XR38" s="2">
        <v>95.84999999999999</v>
      </c>
      <c r="XS38" s="2">
        <v>94.78</v>
      </c>
      <c r="XT38" s="2">
        <v>99.05</v>
      </c>
      <c r="XU38" s="2">
        <v>97.09</v>
      </c>
      <c r="XV38" s="2">
        <v>97.16</v>
      </c>
      <c r="XW38" s="2">
        <v>98.3</v>
      </c>
      <c r="XX38" s="2">
        <v>100.5</v>
      </c>
      <c r="XY38" s="2">
        <v>100.3</v>
      </c>
      <c r="XZ38" s="2">
        <v>97.86</v>
      </c>
      <c r="YA38" s="2">
        <v>97.56999999999999</v>
      </c>
      <c r="YB38" s="2">
        <v>100.13</v>
      </c>
      <c r="YC38" s="2">
        <v>95.58</v>
      </c>
      <c r="YD38" s="2">
        <v>97.13</v>
      </c>
      <c r="YE38" s="2">
        <v>99.38</v>
      </c>
      <c r="YF38" s="2">
        <v>99.33</v>
      </c>
      <c r="YG38" s="2">
        <v>94.86</v>
      </c>
      <c r="YH38" s="2">
        <v>101.35</v>
      </c>
      <c r="YI38" s="2">
        <v>101.18</v>
      </c>
      <c r="YJ38" s="2">
        <v>102.02</v>
      </c>
      <c r="YK38" s="2">
        <v>101.58</v>
      </c>
      <c r="YL38" s="2">
        <v>101.27</v>
      </c>
      <c r="YM38" s="2">
        <v>99.56</v>
      </c>
      <c r="YN38" s="2">
        <v>102.26</v>
      </c>
      <c r="YO38" s="2">
        <v>105.26</v>
      </c>
      <c r="YP38" s="2">
        <v>105.01</v>
      </c>
      <c r="ADO38" s="2">
        <v>1.2</v>
      </c>
      <c r="ADP38" s="2">
        <v>1.1</v>
      </c>
      <c r="ADQ38" s="2">
        <v>2.6</v>
      </c>
      <c r="ADR38" s="2">
        <v>-1</v>
      </c>
      <c r="ADS38" s="2">
        <v>3.6</v>
      </c>
      <c r="ADT38" s="2">
        <v>1.3</v>
      </c>
      <c r="ADU38" s="2">
        <v>-2.4</v>
      </c>
      <c r="ADV38" s="2">
        <v>6</v>
      </c>
      <c r="ADW38" s="2">
        <v>1.4</v>
      </c>
      <c r="ADX38" s="2">
        <v>-6.4</v>
      </c>
      <c r="ADY38" s="2">
        <v>15</v>
      </c>
      <c r="ADZ38" s="2">
        <v>0.4</v>
      </c>
      <c r="AEA38" s="2">
        <v>0.4</v>
      </c>
      <c r="AEB38" s="2">
        <v>5.3</v>
      </c>
      <c r="AEC38" s="2">
        <v>2.6</v>
      </c>
      <c r="AED38" s="2">
        <v>0.3</v>
      </c>
      <c r="AEE38" s="2">
        <v>1.7</v>
      </c>
      <c r="AEF38" s="2">
        <v>0.5</v>
      </c>
      <c r="AEG38" s="2">
        <v>1.3</v>
      </c>
      <c r="AEH38" s="2">
        <v>2.7</v>
      </c>
      <c r="AEI38" s="2">
        <v>2.4</v>
      </c>
      <c r="AEJ38" s="2">
        <v>2.4</v>
      </c>
      <c r="AEK38" s="2">
        <v>2.4</v>
      </c>
      <c r="AEL38" s="2">
        <v>0.8</v>
      </c>
      <c r="AEM38" s="2">
        <v>1.2</v>
      </c>
      <c r="AEN38" s="2">
        <v>0.3</v>
      </c>
      <c r="AEO38" s="2">
        <v>1.1</v>
      </c>
      <c r="AEP38" s="2">
        <v>2.7</v>
      </c>
      <c r="AEQ38" s="2">
        <v>1.2</v>
      </c>
      <c r="AER38" s="2">
        <v>0.1</v>
      </c>
      <c r="AES38" s="2">
        <v>1.9</v>
      </c>
      <c r="AET38" s="2">
        <v>1.5</v>
      </c>
      <c r="AEU38" s="2">
        <v>1.7</v>
      </c>
      <c r="AEV38" s="2">
        <v>-2</v>
      </c>
      <c r="AEW38" s="2">
        <v>2.9</v>
      </c>
      <c r="AEX38" s="2">
        <v>0.1</v>
      </c>
      <c r="AEY38" s="2">
        <v>1.4</v>
      </c>
      <c r="AEZ38" s="2">
        <v>0.3</v>
      </c>
      <c r="AFA38" s="2">
        <v>-0.9</v>
      </c>
      <c r="AFB38" s="2">
        <v>0.4</v>
      </c>
      <c r="AFC38" s="2">
        <v>0.3</v>
      </c>
      <c r="AFD38" s="2">
        <v>1.6</v>
      </c>
      <c r="AFE38" s="2">
        <v>0.1</v>
      </c>
      <c r="AFF38" s="2">
        <v>2.1</v>
      </c>
      <c r="AFG38" s="2">
        <v>1</v>
      </c>
      <c r="AFH38" s="2">
        <v>0.1</v>
      </c>
      <c r="AFI38" s="2">
        <v>1.9</v>
      </c>
      <c r="AFJ38" s="2">
        <v>-8.800000000000001</v>
      </c>
      <c r="AFK38" s="2">
        <v>8.800000000000001</v>
      </c>
      <c r="AFL38" s="2">
        <v>-2.6</v>
      </c>
      <c r="AFM38" s="2">
        <v>0.3</v>
      </c>
      <c r="AFN38" s="2">
        <v>0</v>
      </c>
      <c r="AFO38" s="2">
        <v>0.5</v>
      </c>
      <c r="AFP38" s="2">
        <v>-2.4</v>
      </c>
      <c r="AFQ38" s="2">
        <v>-1.1</v>
      </c>
      <c r="AFR38" s="2">
        <v>-1.2</v>
      </c>
      <c r="AFS38" s="2">
        <v>0.2</v>
      </c>
      <c r="AFT38" s="2">
        <v>-3.4</v>
      </c>
      <c r="AFU38" s="2">
        <v>1.3</v>
      </c>
      <c r="AFV38" s="2">
        <v>-2.6</v>
      </c>
      <c r="AFW38" s="2">
        <v>2.8</v>
      </c>
      <c r="AFX38" s="2">
        <v>-0.4</v>
      </c>
      <c r="AFY38" s="2">
        <v>0.8</v>
      </c>
      <c r="AFZ38" s="2">
        <v>-3.6</v>
      </c>
      <c r="AGA38" s="2">
        <v>2.1</v>
      </c>
      <c r="AGB38" s="2">
        <v>0</v>
      </c>
      <c r="AGC38" s="2">
        <v>-0.3</v>
      </c>
      <c r="AGD38" s="2">
        <v>1.2</v>
      </c>
      <c r="AGE38" s="2">
        <v>1.1</v>
      </c>
      <c r="AGF38" s="2">
        <v>-1.8</v>
      </c>
      <c r="AGG38" s="2">
        <v>-1</v>
      </c>
      <c r="AGH38" s="2">
        <v>0</v>
      </c>
      <c r="AGI38" s="2">
        <v>0.6</v>
      </c>
      <c r="AGJ38" s="2">
        <v>-1</v>
      </c>
      <c r="AGK38" s="2">
        <v>1.3</v>
      </c>
      <c r="AGL38" s="2">
        <v>-0.5</v>
      </c>
      <c r="AGM38" s="2">
        <v>-0.4</v>
      </c>
      <c r="AGN38" s="2">
        <v>-2.2</v>
      </c>
      <c r="AGO38" s="2">
        <v>0.1</v>
      </c>
      <c r="AGP38" s="2">
        <v>6.3</v>
      </c>
      <c r="AGQ38" s="2">
        <v>-1.7</v>
      </c>
      <c r="AGR38" s="2">
        <v>0.3</v>
      </c>
      <c r="AGS38" s="2">
        <v>1.1</v>
      </c>
      <c r="AGT38" s="2">
        <v>1.2</v>
      </c>
      <c r="AGU38" s="2">
        <v>-0.3</v>
      </c>
      <c r="AGV38" s="2">
        <v>-0.3</v>
      </c>
      <c r="AGW38" s="2">
        <v>0.4</v>
      </c>
      <c r="AGX38" s="2">
        <v>0.8</v>
      </c>
      <c r="AGY38" s="2">
        <v>0.5</v>
      </c>
      <c r="AGZ38" s="2">
        <v>-0.7</v>
      </c>
      <c r="AHA38" s="2">
        <v>-0.4</v>
      </c>
      <c r="AHB38" s="2">
        <v>-2.4</v>
      </c>
      <c r="AHC38" s="2">
        <v>1.4</v>
      </c>
      <c r="AHD38" s="2">
        <v>-3.1</v>
      </c>
      <c r="AHE38" s="2">
        <v>0.9</v>
      </c>
      <c r="AHF38" s="2">
        <v>0.1</v>
      </c>
      <c r="AHG38" s="2">
        <v>1.3</v>
      </c>
      <c r="AHH38" s="2">
        <v>-1</v>
      </c>
      <c r="AHI38" s="2">
        <v>0.4</v>
      </c>
      <c r="AHJ38" s="2">
        <v>0.7</v>
      </c>
      <c r="AHK38" s="2">
        <v>0.3</v>
      </c>
      <c r="AHL38" s="2">
        <v>-5.2</v>
      </c>
      <c r="AHM38" s="2">
        <v>4.2</v>
      </c>
      <c r="AHN38" s="2">
        <v>-0.7</v>
      </c>
      <c r="AHO38" s="2">
        <v>-0.4</v>
      </c>
      <c r="AHP38" s="2">
        <v>-0.2</v>
      </c>
      <c r="AHQ38" s="2">
        <v>-1.6</v>
      </c>
      <c r="AHR38" s="2">
        <v>3.2</v>
      </c>
      <c r="AHS38" s="2">
        <v>0.7</v>
      </c>
      <c r="AHT38" s="2">
        <v>-0.6</v>
      </c>
      <c r="AHU38" s="2">
        <v>0.3</v>
      </c>
      <c r="AHV38" s="2">
        <v>1.3</v>
      </c>
      <c r="AHW38" s="2">
        <v>-0.3</v>
      </c>
      <c r="AHX38" s="2">
        <v>-1.7</v>
      </c>
      <c r="AHY38" s="2">
        <v>2.8</v>
      </c>
      <c r="AHZ38" s="2">
        <v>1</v>
      </c>
      <c r="AIA38" s="2">
        <v>-3.4</v>
      </c>
      <c r="AIB38" s="2">
        <v>-0.3</v>
      </c>
      <c r="AIC38" s="2">
        <v>-0.9</v>
      </c>
      <c r="AID38" s="2">
        <v>1.9</v>
      </c>
      <c r="AIE38" s="2">
        <v>-1</v>
      </c>
      <c r="AIF38" s="2">
        <v>-7.3</v>
      </c>
      <c r="AIG38" s="2">
        <v>8.6</v>
      </c>
      <c r="AIH38" s="2">
        <v>1.1</v>
      </c>
      <c r="AII38" s="2">
        <v>-0.7</v>
      </c>
      <c r="AIJ38" s="2">
        <v>-2.6</v>
      </c>
      <c r="AIK38" s="2">
        <v>1.6</v>
      </c>
      <c r="AIL38" s="2">
        <v>1.5</v>
      </c>
      <c r="AIM38" s="2">
        <v>-1.3</v>
      </c>
      <c r="AIN38" s="2">
        <v>-4.4</v>
      </c>
      <c r="AIO38" s="2">
        <v>2.5</v>
      </c>
      <c r="AIP38" s="2">
        <v>3.3</v>
      </c>
      <c r="AIQ38" s="2">
        <v>-2.1</v>
      </c>
      <c r="AIR38" s="2">
        <v>-3.2</v>
      </c>
      <c r="AIS38" s="2">
        <v>4.4</v>
      </c>
      <c r="AIT38" s="2">
        <v>-3.3</v>
      </c>
      <c r="AIU38" s="2">
        <v>1.5</v>
      </c>
      <c r="AIV38" s="2">
        <v>-2.1</v>
      </c>
      <c r="AIW38" s="2">
        <v>1.4</v>
      </c>
      <c r="AIX38" s="2">
        <v>-2.7</v>
      </c>
      <c r="AIY38" s="2">
        <v>3.4</v>
      </c>
      <c r="AIZ38" s="2">
        <v>-2.3</v>
      </c>
      <c r="AJA38" s="2">
        <v>6.1</v>
      </c>
      <c r="AJB38" s="2">
        <v>-2.5</v>
      </c>
      <c r="AJC38" s="2">
        <v>-1.6</v>
      </c>
      <c r="AJD38" s="2">
        <v>-2.8</v>
      </c>
      <c r="AJE38" s="2">
        <v>3.8</v>
      </c>
      <c r="AJF38" s="2">
        <v>-1.9</v>
      </c>
      <c r="AJG38" s="2">
        <v>-1.3</v>
      </c>
      <c r="AJH38" s="2">
        <v>-2.1</v>
      </c>
      <c r="AJI38" s="2">
        <v>5.2</v>
      </c>
      <c r="AJJ38" s="2">
        <v>-0.8</v>
      </c>
      <c r="AJK38" s="2">
        <v>-2.4</v>
      </c>
      <c r="AJL38" s="2">
        <v>-2.4</v>
      </c>
      <c r="AJM38" s="2">
        <v>0.4</v>
      </c>
      <c r="AJN38" s="2">
        <v>5</v>
      </c>
      <c r="AJO38" s="2">
        <v>-1.1</v>
      </c>
      <c r="AJP38" s="2">
        <v>-0.2</v>
      </c>
      <c r="AJQ38" s="2">
        <v>-0.5</v>
      </c>
      <c r="AJR38" s="2">
        <v>-1.1</v>
      </c>
      <c r="AJS38" s="2">
        <v>4.5</v>
      </c>
      <c r="AJT38" s="2">
        <v>-2</v>
      </c>
      <c r="AJU38" s="2">
        <v>0.1</v>
      </c>
      <c r="AJV38" s="2">
        <v>1.2</v>
      </c>
      <c r="AJW38" s="2">
        <v>2.2</v>
      </c>
      <c r="AJX38" s="2">
        <v>-0.2</v>
      </c>
      <c r="AJY38" s="2">
        <v>-2.4</v>
      </c>
      <c r="AJZ38" s="2">
        <v>-0.3</v>
      </c>
      <c r="AKA38" s="2">
        <v>2.6</v>
      </c>
      <c r="AKB38" s="2">
        <v>-4.5</v>
      </c>
      <c r="AKC38" s="2">
        <v>1.6</v>
      </c>
      <c r="AKD38" s="2">
        <v>2.3</v>
      </c>
      <c r="AKE38" s="2">
        <v>-0.1</v>
      </c>
      <c r="AKF38" s="2">
        <v>-4.5</v>
      </c>
      <c r="AKG38" s="2">
        <v>6.8</v>
      </c>
      <c r="AKH38" s="2">
        <v>-0.2</v>
      </c>
      <c r="AKI38" s="2">
        <v>0.8</v>
      </c>
      <c r="AKJ38" s="2">
        <v>-0.4</v>
      </c>
      <c r="AKK38" s="2">
        <v>-0.3</v>
      </c>
      <c r="AKL38" s="2">
        <v>-1.7</v>
      </c>
      <c r="AKM38" s="2">
        <v>2.7</v>
      </c>
      <c r="AKN38" s="2">
        <v>2.9</v>
      </c>
      <c r="AKO38" s="2">
        <v>-0.2</v>
      </c>
      <c r="AKP38" s="2">
        <v>0.07000000000000001</v>
      </c>
      <c r="AKQ38" s="2">
        <v>0.07000000000000001</v>
      </c>
      <c r="AKR38" s="2">
        <v>0.07000000000000001</v>
      </c>
    </row>
    <row r="39">
      <c r="A39" t="inlineStr">
        <is>
          <t>Accessories</t>
        </is>
      </c>
      <c r="B39" t="inlineStr">
        <is>
          <t>Accessories and clothing services</t>
        </is>
      </c>
      <c r="C39">
        <v>3</v>
      </c>
      <c r="D39">
        <v>0.7</v>
      </c>
      <c r="E39" s="3">
        <f>D39/0.77*0.007675786163522012</f>
        <v>0.006977987421383647</v>
      </c>
      <c r="F39" s="3">
        <f>E39-D39/100</f>
        <v>-2.2012578616351954e-05</v>
      </c>
      <c r="G39" s="3">
        <f>D39/0.77</f>
        <v>0.9090909090909091</v>
      </c>
      <c r="CI39" s="2">
        <v>88.18000000000001</v>
      </c>
      <c r="CJ39" s="2">
        <v>89.36</v>
      </c>
      <c r="CK39" s="2">
        <v>85.44</v>
      </c>
      <c r="CL39" s="2">
        <v>89.40000000000001</v>
      </c>
      <c r="CM39" s="2">
        <v>88.38</v>
      </c>
      <c r="CN39" s="2">
        <v>91.03</v>
      </c>
      <c r="CO39" s="2">
        <v>90.43000000000001</v>
      </c>
      <c r="CP39" s="2">
        <v>84.14</v>
      </c>
      <c r="CQ39" s="2">
        <v>87.20999999999999</v>
      </c>
      <c r="CR39" s="2">
        <v>91.75</v>
      </c>
      <c r="CS39" s="2">
        <v>92</v>
      </c>
      <c r="CT39" s="2">
        <v>86.91</v>
      </c>
      <c r="CU39" s="2">
        <v>90.41</v>
      </c>
      <c r="CV39" s="2">
        <v>89.33</v>
      </c>
      <c r="CW39" s="2">
        <v>91.59999999999999</v>
      </c>
      <c r="CX39" s="2">
        <v>95.7</v>
      </c>
      <c r="CY39" s="2">
        <v>97.39</v>
      </c>
      <c r="CZ39" s="2">
        <v>100</v>
      </c>
      <c r="DA39" s="2">
        <v>101.65</v>
      </c>
      <c r="DB39" s="2">
        <v>97.53</v>
      </c>
      <c r="DC39" s="2">
        <v>97.17</v>
      </c>
      <c r="DD39" s="2">
        <v>102.74</v>
      </c>
      <c r="DE39" s="2">
        <v>103.71</v>
      </c>
      <c r="DF39" s="2">
        <v>103.06</v>
      </c>
      <c r="DG39" s="2">
        <v>105.79</v>
      </c>
      <c r="DH39" s="2">
        <v>103.17</v>
      </c>
      <c r="DI39" s="2">
        <v>107.26</v>
      </c>
      <c r="DJ39" s="2">
        <v>109.65</v>
      </c>
      <c r="GL39" s="2">
        <v>2.5</v>
      </c>
      <c r="GM39" s="2">
        <v>0</v>
      </c>
      <c r="GN39" s="2">
        <v>7.2</v>
      </c>
      <c r="GO39" s="2">
        <v>7</v>
      </c>
      <c r="GP39" s="2">
        <v>10.2</v>
      </c>
      <c r="GQ39" s="2">
        <v>9.9</v>
      </c>
      <c r="GR39" s="2">
        <v>12.4</v>
      </c>
      <c r="GS39" s="2">
        <v>15.9</v>
      </c>
      <c r="GT39" s="2">
        <v>11.4</v>
      </c>
      <c r="GU39" s="2">
        <v>12</v>
      </c>
      <c r="GV39" s="2">
        <v>12.7</v>
      </c>
      <c r="GW39" s="2">
        <v>18.6</v>
      </c>
      <c r="GX39" s="2">
        <v>17</v>
      </c>
      <c r="GY39" s="2">
        <v>15.5</v>
      </c>
      <c r="GZ39" s="2">
        <v>17.1</v>
      </c>
      <c r="HA39" s="2">
        <v>14.6</v>
      </c>
      <c r="KC39" s="2">
        <v>1.3</v>
      </c>
      <c r="KD39" s="2">
        <v>-4.4</v>
      </c>
      <c r="KE39" s="2">
        <v>4.6</v>
      </c>
      <c r="KF39" s="2">
        <v>-1.1</v>
      </c>
      <c r="KG39" s="2">
        <v>3</v>
      </c>
      <c r="KH39" s="2">
        <v>-0.7</v>
      </c>
      <c r="KI39" s="2">
        <v>-7</v>
      </c>
      <c r="KJ39" s="2">
        <v>3.6</v>
      </c>
      <c r="KK39" s="2">
        <v>5.2</v>
      </c>
      <c r="KL39" s="2">
        <v>0.3</v>
      </c>
      <c r="KM39" s="2">
        <v>-5.5</v>
      </c>
      <c r="KN39" s="2">
        <v>4</v>
      </c>
      <c r="KO39" s="2">
        <v>-1.2</v>
      </c>
      <c r="KP39" s="2">
        <v>2.5</v>
      </c>
      <c r="KQ39" s="2">
        <v>4.5</v>
      </c>
      <c r="KR39" s="2">
        <v>1.8</v>
      </c>
      <c r="KS39" s="2">
        <v>2.7</v>
      </c>
      <c r="KT39" s="2">
        <v>1.7</v>
      </c>
      <c r="KU39" s="2">
        <v>-4.1</v>
      </c>
      <c r="KV39" s="2">
        <v>-0.4</v>
      </c>
      <c r="KW39" s="2">
        <v>5.7</v>
      </c>
      <c r="KX39" s="2">
        <v>0.9</v>
      </c>
      <c r="KY39" s="2">
        <v>-0.6</v>
      </c>
      <c r="KZ39" s="2">
        <v>2.6</v>
      </c>
      <c r="LA39" s="2">
        <v>-2.5</v>
      </c>
      <c r="LB39" s="2">
        <v>4</v>
      </c>
      <c r="LC39" s="2">
        <v>2.2</v>
      </c>
      <c r="LD39" s="2">
        <v>0.68</v>
      </c>
      <c r="LE39" s="2">
        <v>0.72</v>
      </c>
      <c r="LF39" s="2">
        <v>0.72</v>
      </c>
      <c r="LG39" s="2">
        <v>0.68</v>
      </c>
      <c r="LH39" s="2">
        <v>0.7</v>
      </c>
      <c r="LI39" s="2">
        <v>0.7</v>
      </c>
      <c r="LJ39" s="2">
        <v>0.71</v>
      </c>
      <c r="LK39" s="2">
        <v>0.75</v>
      </c>
      <c r="LL39" s="2">
        <v>0.76</v>
      </c>
      <c r="LM39" s="2">
        <v>0.78</v>
      </c>
      <c r="LN39" s="2">
        <v>0.79</v>
      </c>
      <c r="LO39" s="2">
        <v>0.76</v>
      </c>
      <c r="LP39" s="2">
        <v>0.76</v>
      </c>
      <c r="LQ39" s="2">
        <v>0.8</v>
      </c>
      <c r="LR39" s="2">
        <v>0.8100000000000001</v>
      </c>
      <c r="LS39" s="2">
        <v>0.8</v>
      </c>
      <c r="LT39" s="2">
        <v>0.82</v>
      </c>
      <c r="LU39" s="2">
        <v>0.8</v>
      </c>
      <c r="LV39" s="2">
        <v>0.84</v>
      </c>
      <c r="LW39" s="2">
        <v>0.85</v>
      </c>
      <c r="LX39" s="2">
        <v>0.04</v>
      </c>
      <c r="LY39" s="2">
        <v>0</v>
      </c>
      <c r="LZ39" s="2">
        <v>-0.04</v>
      </c>
      <c r="MA39" s="2">
        <v>0.02</v>
      </c>
      <c r="MB39" s="2">
        <v>0</v>
      </c>
      <c r="MC39" s="2">
        <v>0.01</v>
      </c>
      <c r="MD39" s="2">
        <v>0.04</v>
      </c>
      <c r="ME39" s="2">
        <v>0.01</v>
      </c>
      <c r="MF39" s="2">
        <v>0.02</v>
      </c>
      <c r="MG39" s="2">
        <v>0.01</v>
      </c>
      <c r="MH39" s="2">
        <v>-0.03</v>
      </c>
      <c r="MI39" s="2">
        <v>0</v>
      </c>
      <c r="MJ39" s="2">
        <v>0.04</v>
      </c>
      <c r="MK39" s="2">
        <v>0.01</v>
      </c>
      <c r="ML39" s="2">
        <v>-0.01</v>
      </c>
      <c r="MM39" s="2">
        <v>0.02</v>
      </c>
      <c r="MN39" s="2">
        <v>-0.02</v>
      </c>
      <c r="MO39" s="2">
        <v>0.04</v>
      </c>
      <c r="MP39" s="2">
        <v>0.01</v>
      </c>
      <c r="UH39" s="2">
        <v>66.44</v>
      </c>
      <c r="UI39" s="2">
        <v>66.51000000000001</v>
      </c>
      <c r="UJ39" s="2">
        <v>65.98</v>
      </c>
      <c r="UK39" s="2">
        <v>65.34</v>
      </c>
      <c r="UL39" s="2">
        <v>67.3</v>
      </c>
      <c r="UM39" s="2">
        <v>66.75</v>
      </c>
      <c r="UN39" s="2">
        <v>64.66</v>
      </c>
      <c r="UO39" s="2">
        <v>64.45999999999999</v>
      </c>
      <c r="UP39" s="2">
        <v>62.97</v>
      </c>
      <c r="UQ39" s="2">
        <v>62.91</v>
      </c>
      <c r="UR39" s="2">
        <v>64.20999999999999</v>
      </c>
      <c r="US39" s="2">
        <v>63.3</v>
      </c>
      <c r="UT39" s="2">
        <v>63.82</v>
      </c>
      <c r="UU39" s="2">
        <v>63.78</v>
      </c>
      <c r="UV39" s="2">
        <v>61.79</v>
      </c>
      <c r="UW39" s="2">
        <v>62.33</v>
      </c>
      <c r="UX39" s="2">
        <v>63.35</v>
      </c>
      <c r="UY39" s="2">
        <v>63.58</v>
      </c>
      <c r="UZ39" s="2">
        <v>62.73</v>
      </c>
      <c r="VA39" s="2">
        <v>63.52</v>
      </c>
      <c r="VB39" s="2">
        <v>64.14</v>
      </c>
      <c r="VC39" s="2">
        <v>64.64</v>
      </c>
      <c r="VD39" s="2">
        <v>63.3</v>
      </c>
      <c r="VE39" s="2">
        <v>62.16</v>
      </c>
      <c r="VF39" s="2">
        <v>63.06</v>
      </c>
      <c r="VG39" s="2">
        <v>62.45</v>
      </c>
      <c r="VH39" s="2">
        <v>60.98</v>
      </c>
      <c r="VI39" s="2">
        <v>61.08</v>
      </c>
      <c r="VJ39" s="2">
        <v>60.84</v>
      </c>
      <c r="VK39" s="2">
        <v>61.23</v>
      </c>
      <c r="VL39" s="2">
        <v>61.29</v>
      </c>
      <c r="VM39" s="2">
        <v>59.14</v>
      </c>
      <c r="VN39" s="2">
        <v>60.25</v>
      </c>
      <c r="VO39" s="2">
        <v>59.99</v>
      </c>
      <c r="VP39" s="2">
        <v>59.76</v>
      </c>
      <c r="VQ39" s="2">
        <v>57.77</v>
      </c>
      <c r="VR39" s="2">
        <v>61.5</v>
      </c>
      <c r="VS39" s="2">
        <v>61.85</v>
      </c>
      <c r="VT39" s="2">
        <v>62.91</v>
      </c>
      <c r="VU39" s="2">
        <v>59.58</v>
      </c>
      <c r="VV39" s="2">
        <v>63.64</v>
      </c>
      <c r="VW39" s="2">
        <v>64</v>
      </c>
      <c r="VX39" s="2">
        <v>64.88</v>
      </c>
      <c r="VY39" s="2">
        <v>64.11</v>
      </c>
      <c r="VZ39" s="2">
        <v>68.17</v>
      </c>
      <c r="WA39" s="2">
        <v>68.33</v>
      </c>
      <c r="WB39" s="2">
        <v>68.5</v>
      </c>
      <c r="WC39" s="2">
        <v>65.69</v>
      </c>
      <c r="WD39" s="2">
        <v>66.84</v>
      </c>
      <c r="WE39" s="2">
        <v>68.44</v>
      </c>
      <c r="WF39" s="2">
        <v>66.04000000000001</v>
      </c>
      <c r="WG39" s="2">
        <v>67.68000000000001</v>
      </c>
      <c r="WH39" s="2">
        <v>73.7</v>
      </c>
      <c r="WI39" s="2">
        <v>76.17</v>
      </c>
      <c r="WJ39" s="2">
        <v>73.37</v>
      </c>
      <c r="WK39" s="2">
        <v>74.45</v>
      </c>
      <c r="WL39" s="2">
        <v>75.33</v>
      </c>
      <c r="WM39" s="2">
        <v>73.09</v>
      </c>
      <c r="WN39" s="2">
        <v>77.97</v>
      </c>
      <c r="WO39" s="2">
        <v>74.45999999999999</v>
      </c>
      <c r="WP39" s="2">
        <v>75.39</v>
      </c>
      <c r="WQ39" s="2">
        <v>76.84999999999999</v>
      </c>
      <c r="WR39" s="2">
        <v>75.43000000000001</v>
      </c>
      <c r="WS39" s="2">
        <v>73.75</v>
      </c>
      <c r="WT39" s="2">
        <v>74.81</v>
      </c>
      <c r="WU39" s="2">
        <v>75.15000000000001</v>
      </c>
      <c r="WV39" s="2">
        <v>73.77</v>
      </c>
      <c r="WW39" s="2">
        <v>75.79000000000001</v>
      </c>
      <c r="WX39" s="2">
        <v>76.81</v>
      </c>
      <c r="WY39" s="2">
        <v>74.65000000000001</v>
      </c>
      <c r="WZ39" s="2">
        <v>78.02</v>
      </c>
      <c r="XA39" s="2">
        <v>74.66</v>
      </c>
      <c r="XB39" s="2">
        <v>75.27</v>
      </c>
      <c r="XC39" s="2">
        <v>79.51000000000001</v>
      </c>
      <c r="XD39" s="2">
        <v>75.52</v>
      </c>
      <c r="XE39" s="2">
        <v>77.98999999999999</v>
      </c>
      <c r="XF39" s="2">
        <v>78.28</v>
      </c>
      <c r="XG39" s="2">
        <v>77.75</v>
      </c>
      <c r="XH39" s="2">
        <v>77.91</v>
      </c>
      <c r="XI39" s="2">
        <v>79.06999999999999</v>
      </c>
      <c r="XJ39" s="2">
        <v>79.20999999999999</v>
      </c>
      <c r="XK39" s="2">
        <v>80.03</v>
      </c>
      <c r="XL39" s="2">
        <v>79.69</v>
      </c>
      <c r="XM39" s="2">
        <v>78.92</v>
      </c>
      <c r="XN39" s="2">
        <v>78.41</v>
      </c>
      <c r="XO39" s="2">
        <v>79.73999999999999</v>
      </c>
      <c r="XP39" s="2">
        <v>81.98999999999999</v>
      </c>
      <c r="XQ39" s="2">
        <v>81.84</v>
      </c>
      <c r="XR39" s="2">
        <v>81.02</v>
      </c>
      <c r="XS39" s="2">
        <v>80.54000000000001</v>
      </c>
      <c r="XT39" s="2">
        <v>79.94</v>
      </c>
      <c r="XU39" s="2">
        <v>85.76000000000001</v>
      </c>
      <c r="XV39" s="2">
        <v>83.5</v>
      </c>
      <c r="XW39" s="2">
        <v>84.3</v>
      </c>
      <c r="XX39" s="2">
        <v>85.38</v>
      </c>
      <c r="XY39" s="2">
        <v>86.48</v>
      </c>
      <c r="XZ39" s="2">
        <v>87.43000000000001</v>
      </c>
      <c r="YA39" s="2">
        <v>87.59</v>
      </c>
      <c r="YB39" s="2">
        <v>89.42</v>
      </c>
      <c r="YC39" s="2">
        <v>89.33</v>
      </c>
      <c r="YD39" s="2">
        <v>87.38</v>
      </c>
      <c r="YE39" s="2">
        <v>90.5</v>
      </c>
      <c r="YF39" s="2">
        <v>88.95</v>
      </c>
      <c r="YG39" s="2">
        <v>87</v>
      </c>
      <c r="YH39" s="2">
        <v>90.13</v>
      </c>
      <c r="YI39" s="2">
        <v>91.37</v>
      </c>
      <c r="YJ39" s="2">
        <v>92.19</v>
      </c>
      <c r="YK39" s="2">
        <v>93.47</v>
      </c>
      <c r="YL39" s="2">
        <v>92.19</v>
      </c>
      <c r="YM39" s="2">
        <v>97.69</v>
      </c>
      <c r="YN39" s="2">
        <v>98.78</v>
      </c>
      <c r="YO39" s="2">
        <v>103.17</v>
      </c>
      <c r="YP39" s="2">
        <v>105.41</v>
      </c>
      <c r="AGH39" s="2">
        <v>0.1</v>
      </c>
      <c r="AGI39" s="2">
        <v>-0.8</v>
      </c>
      <c r="AGJ39" s="2">
        <v>-1</v>
      </c>
      <c r="AGK39" s="2">
        <v>3</v>
      </c>
      <c r="AGL39" s="2">
        <v>-0.8</v>
      </c>
      <c r="AGM39" s="2">
        <v>-3.1</v>
      </c>
      <c r="AGN39" s="2">
        <v>-0.3</v>
      </c>
      <c r="AGO39" s="2">
        <v>-2.3</v>
      </c>
      <c r="AGP39" s="2">
        <v>-0.1</v>
      </c>
      <c r="AGQ39" s="2">
        <v>2.1</v>
      </c>
      <c r="AGR39" s="2">
        <v>-1.4</v>
      </c>
      <c r="AGS39" s="2">
        <v>0.8</v>
      </c>
      <c r="AGT39" s="2">
        <v>-0.1</v>
      </c>
      <c r="AGU39" s="2">
        <v>-3.1</v>
      </c>
      <c r="AGV39" s="2">
        <v>0.9</v>
      </c>
      <c r="AGW39" s="2">
        <v>1.6</v>
      </c>
      <c r="AGX39" s="2">
        <v>0.4</v>
      </c>
      <c r="AGY39" s="2">
        <v>-1.3</v>
      </c>
      <c r="AGZ39" s="2">
        <v>1.3</v>
      </c>
      <c r="AHA39" s="2">
        <v>1</v>
      </c>
      <c r="AHB39" s="2">
        <v>0.8</v>
      </c>
      <c r="AHC39" s="2">
        <v>-2.1</v>
      </c>
      <c r="AHD39" s="2">
        <v>-1.8</v>
      </c>
      <c r="AHE39" s="2">
        <v>1.4</v>
      </c>
      <c r="AHF39" s="2">
        <v>-1</v>
      </c>
      <c r="AHG39" s="2">
        <v>-2.4</v>
      </c>
      <c r="AHH39" s="2">
        <v>0.2</v>
      </c>
      <c r="AHI39" s="2">
        <v>-0.4</v>
      </c>
      <c r="AHJ39" s="2">
        <v>0.6</v>
      </c>
      <c r="AHK39" s="2">
        <v>0.1</v>
      </c>
      <c r="AHL39" s="2">
        <v>-3.5</v>
      </c>
      <c r="AHM39" s="2">
        <v>1.9</v>
      </c>
      <c r="AHN39" s="2">
        <v>-0.4</v>
      </c>
      <c r="AHO39" s="2">
        <v>-0.4</v>
      </c>
      <c r="AHP39" s="2">
        <v>-3.3</v>
      </c>
      <c r="AHQ39" s="2">
        <v>6.5</v>
      </c>
      <c r="AHR39" s="2">
        <v>0.6</v>
      </c>
      <c r="AHS39" s="2">
        <v>1.7</v>
      </c>
      <c r="AHT39" s="2">
        <v>-5.3</v>
      </c>
      <c r="AHU39" s="2">
        <v>6.8</v>
      </c>
      <c r="AHV39" s="2">
        <v>0.6</v>
      </c>
      <c r="AHW39" s="2">
        <v>1.4</v>
      </c>
      <c r="AHX39" s="2">
        <v>-1.2</v>
      </c>
      <c r="AHY39" s="2">
        <v>6.3</v>
      </c>
      <c r="AHZ39" s="2">
        <v>0.2</v>
      </c>
      <c r="AIA39" s="2">
        <v>0.2</v>
      </c>
      <c r="AIB39" s="2">
        <v>-4.1</v>
      </c>
      <c r="AIC39" s="2">
        <v>1.8</v>
      </c>
      <c r="AID39" s="2">
        <v>2.4</v>
      </c>
      <c r="AIE39" s="2">
        <v>-3.5</v>
      </c>
      <c r="AIF39" s="2">
        <v>2.5</v>
      </c>
      <c r="AIG39" s="2">
        <v>8.9</v>
      </c>
      <c r="AIH39" s="2">
        <v>3.4</v>
      </c>
      <c r="AII39" s="2">
        <v>-3.7</v>
      </c>
      <c r="AIJ39" s="2">
        <v>1.5</v>
      </c>
      <c r="AIK39" s="2">
        <v>1.2</v>
      </c>
      <c r="AIL39" s="2">
        <v>-3</v>
      </c>
      <c r="AIM39" s="2">
        <v>6.7</v>
      </c>
      <c r="AIN39" s="2">
        <v>-4.5</v>
      </c>
      <c r="AIO39" s="2">
        <v>1.2</v>
      </c>
      <c r="AIP39" s="2">
        <v>1.9</v>
      </c>
      <c r="AIQ39" s="2">
        <v>-1.8</v>
      </c>
      <c r="AIR39" s="2">
        <v>-2.2</v>
      </c>
      <c r="AIS39" s="2">
        <v>1.4</v>
      </c>
      <c r="AIT39" s="2">
        <v>0.5</v>
      </c>
      <c r="AIU39" s="2">
        <v>-1.8</v>
      </c>
      <c r="AIV39" s="2">
        <v>2.7</v>
      </c>
      <c r="AIW39" s="2">
        <v>1.3</v>
      </c>
      <c r="AIX39" s="2">
        <v>-2.8</v>
      </c>
      <c r="AIY39" s="2">
        <v>4.5</v>
      </c>
      <c r="AIZ39" s="2">
        <v>-4.3</v>
      </c>
      <c r="AJA39" s="2">
        <v>0.8</v>
      </c>
      <c r="AJB39" s="2">
        <v>5.6</v>
      </c>
      <c r="AJC39" s="2">
        <v>-5</v>
      </c>
      <c r="AJD39" s="2">
        <v>3.3</v>
      </c>
      <c r="AJE39" s="2">
        <v>0.4</v>
      </c>
      <c r="AJF39" s="2">
        <v>-0.7</v>
      </c>
      <c r="AJG39" s="2">
        <v>0.2</v>
      </c>
      <c r="AJH39" s="2">
        <v>1.5</v>
      </c>
      <c r="AJI39" s="2">
        <v>0.2</v>
      </c>
      <c r="AJJ39" s="2">
        <v>1</v>
      </c>
      <c r="AJK39" s="2">
        <v>-0.4</v>
      </c>
      <c r="AJL39" s="2">
        <v>-1</v>
      </c>
      <c r="AJM39" s="2">
        <v>-0.6</v>
      </c>
      <c r="AJN39" s="2">
        <v>1.7</v>
      </c>
      <c r="AJO39" s="2">
        <v>2.8</v>
      </c>
      <c r="AJP39" s="2">
        <v>-0.2</v>
      </c>
      <c r="AJQ39" s="2">
        <v>-1</v>
      </c>
      <c r="AJR39" s="2">
        <v>-0.6</v>
      </c>
      <c r="AJS39" s="2">
        <v>-0.7</v>
      </c>
      <c r="AJT39" s="2">
        <v>7.3</v>
      </c>
      <c r="AJU39" s="2">
        <v>-2.6</v>
      </c>
      <c r="AJV39" s="2">
        <v>1</v>
      </c>
      <c r="AJW39" s="2">
        <v>1.3</v>
      </c>
      <c r="AJX39" s="2">
        <v>1.3</v>
      </c>
      <c r="AJY39" s="2">
        <v>1.1</v>
      </c>
      <c r="AJZ39" s="2">
        <v>0.2</v>
      </c>
      <c r="AKA39" s="2">
        <v>2.1</v>
      </c>
      <c r="AKB39" s="2">
        <v>-0.1</v>
      </c>
      <c r="AKC39" s="2">
        <v>-2.2</v>
      </c>
      <c r="AKD39" s="2">
        <v>3.6</v>
      </c>
      <c r="AKE39" s="2">
        <v>-1.7</v>
      </c>
      <c r="AKF39" s="2">
        <v>-2.2</v>
      </c>
      <c r="AKG39" s="2">
        <v>3.6</v>
      </c>
      <c r="AKH39" s="2">
        <v>1.4</v>
      </c>
      <c r="AKI39" s="2">
        <v>0.9</v>
      </c>
      <c r="AKJ39" s="2">
        <v>1.4</v>
      </c>
      <c r="AKK39" s="2">
        <v>-1.4</v>
      </c>
      <c r="AKL39" s="2">
        <v>6</v>
      </c>
      <c r="AKM39" s="2">
        <v>1.1</v>
      </c>
      <c r="AKN39" s="2">
        <v>4.4</v>
      </c>
      <c r="AKO39" s="2">
        <v>2.2</v>
      </c>
      <c r="AKP39" s="2">
        <v>0.77</v>
      </c>
      <c r="AKQ39" s="2">
        <v>0.8</v>
      </c>
      <c r="AKR39" s="2">
        <v>0.82</v>
      </c>
    </row>
    <row r="40">
      <c r="A40" t="inlineStr">
        <is>
          <t>Cleaning, repair and hire of clothing and footwear</t>
        </is>
      </c>
      <c r="B40" t="inlineStr">
        <is>
          <t>Accessories and clothing services</t>
        </is>
      </c>
      <c r="C40">
        <v>3</v>
      </c>
      <c r="D40">
        <v>0.07000000000000001</v>
      </c>
      <c r="E40" s="3">
        <f>D40/0.77*0.007675786163522012</f>
        <v>0.0006977987421383648</v>
      </c>
      <c r="F40" s="3">
        <f>E40-D40/100</f>
        <v>-2.2012578616353255e-06</v>
      </c>
      <c r="G40" s="3">
        <f>D40/0.77</f>
        <v>0.09090909090909091</v>
      </c>
      <c r="CI40" s="2">
        <v>94.98999999999999</v>
      </c>
      <c r="CJ40" s="2">
        <v>95.08</v>
      </c>
      <c r="CK40" s="2">
        <v>95.18000000000001</v>
      </c>
      <c r="CL40" s="2">
        <v>95.34999999999999</v>
      </c>
      <c r="CM40" s="2">
        <v>95.48</v>
      </c>
      <c r="CN40" s="2">
        <v>95.62</v>
      </c>
      <c r="CO40" s="2">
        <v>95.98999999999999</v>
      </c>
      <c r="CP40" s="2">
        <v>96.72</v>
      </c>
      <c r="CQ40" s="2">
        <v>97.01000000000001</v>
      </c>
      <c r="CR40" s="2">
        <v>96.52</v>
      </c>
      <c r="CS40" s="2">
        <v>96.69</v>
      </c>
      <c r="CT40" s="2">
        <v>97.5</v>
      </c>
      <c r="CU40" s="2">
        <v>98.18000000000001</v>
      </c>
      <c r="CV40" s="2">
        <v>98.15000000000001</v>
      </c>
      <c r="CW40" s="2">
        <v>99.08</v>
      </c>
      <c r="CX40" s="2">
        <v>99.56999999999999</v>
      </c>
      <c r="CY40" s="2">
        <v>99.84</v>
      </c>
      <c r="CZ40" s="2">
        <v>100</v>
      </c>
      <c r="DA40" s="2">
        <v>100.34</v>
      </c>
      <c r="DB40" s="2">
        <v>100.75</v>
      </c>
      <c r="DC40" s="2">
        <v>100.75</v>
      </c>
      <c r="DD40" s="2">
        <v>100.95</v>
      </c>
      <c r="DE40" s="2">
        <v>100.95</v>
      </c>
      <c r="DF40" s="2">
        <v>101.25</v>
      </c>
      <c r="DG40" s="2">
        <v>101.99</v>
      </c>
      <c r="DH40" s="2">
        <v>102.17</v>
      </c>
      <c r="DI40" s="2">
        <v>102.33</v>
      </c>
      <c r="DJ40" s="2">
        <v>103.37</v>
      </c>
      <c r="GL40" s="2">
        <v>3.4</v>
      </c>
      <c r="GM40" s="2">
        <v>3.2</v>
      </c>
      <c r="GN40" s="2">
        <v>4.1</v>
      </c>
      <c r="GO40" s="2">
        <v>4.4</v>
      </c>
      <c r="GP40" s="2">
        <v>4.6</v>
      </c>
      <c r="GQ40" s="2">
        <v>4.6</v>
      </c>
      <c r="GR40" s="2">
        <v>4.5</v>
      </c>
      <c r="GS40" s="2">
        <v>4.2</v>
      </c>
      <c r="GT40" s="2">
        <v>3.9</v>
      </c>
      <c r="GU40" s="2">
        <v>4.6</v>
      </c>
      <c r="GV40" s="2">
        <v>4.4</v>
      </c>
      <c r="GW40" s="2">
        <v>3.8</v>
      </c>
      <c r="GX40" s="2">
        <v>3.9</v>
      </c>
      <c r="GY40" s="2">
        <v>4.1</v>
      </c>
      <c r="GZ40" s="2">
        <v>3.3</v>
      </c>
      <c r="HA40" s="2">
        <v>3.8</v>
      </c>
      <c r="KC40" s="2">
        <v>0.1</v>
      </c>
      <c r="KD40" s="2">
        <v>0.1</v>
      </c>
      <c r="KE40" s="2">
        <v>0.2</v>
      </c>
      <c r="KF40" s="2">
        <v>0.1</v>
      </c>
      <c r="KG40" s="2">
        <v>0.1</v>
      </c>
      <c r="KH40" s="2">
        <v>0.4</v>
      </c>
      <c r="KI40" s="2">
        <v>0.8</v>
      </c>
      <c r="KJ40" s="2">
        <v>0.3</v>
      </c>
      <c r="KK40" s="2">
        <v>-0.5</v>
      </c>
      <c r="KL40" s="2">
        <v>0.2</v>
      </c>
      <c r="KM40" s="2">
        <v>0.8</v>
      </c>
      <c r="KN40" s="2">
        <v>0.7</v>
      </c>
      <c r="KO40" s="2">
        <v>0</v>
      </c>
      <c r="KP40" s="2">
        <v>0.9</v>
      </c>
      <c r="KQ40" s="2">
        <v>0.5</v>
      </c>
      <c r="KR40" s="2">
        <v>0.3</v>
      </c>
      <c r="KS40" s="2">
        <v>0.2</v>
      </c>
      <c r="KT40" s="2">
        <v>0.3</v>
      </c>
      <c r="KU40" s="2">
        <v>0.4</v>
      </c>
      <c r="KV40" s="2">
        <v>0</v>
      </c>
      <c r="KW40" s="2">
        <v>0.2</v>
      </c>
      <c r="KX40" s="2">
        <v>0</v>
      </c>
      <c r="KY40" s="2">
        <v>0.3</v>
      </c>
      <c r="KZ40" s="2">
        <v>0.7</v>
      </c>
      <c r="LA40" s="2">
        <v>0.2</v>
      </c>
      <c r="LB40" s="2">
        <v>0.2</v>
      </c>
      <c r="LC40" s="2">
        <v>1</v>
      </c>
      <c r="LD40" s="2">
        <v>0.07000000000000001</v>
      </c>
      <c r="LE40" s="2">
        <v>0.07000000000000001</v>
      </c>
      <c r="LF40" s="2">
        <v>0.07000000000000001</v>
      </c>
      <c r="LG40" s="2">
        <v>0.07000000000000001</v>
      </c>
      <c r="LH40" s="2">
        <v>0.07000000000000001</v>
      </c>
      <c r="LI40" s="2">
        <v>0.07000000000000001</v>
      </c>
      <c r="LJ40" s="2">
        <v>0.07000000000000001</v>
      </c>
      <c r="LK40" s="2">
        <v>0.07000000000000001</v>
      </c>
      <c r="LL40" s="2">
        <v>0.07000000000000001</v>
      </c>
      <c r="LM40" s="2">
        <v>0.07000000000000001</v>
      </c>
      <c r="LN40" s="2">
        <v>0.07000000000000001</v>
      </c>
      <c r="LO40" s="2">
        <v>0.07000000000000001</v>
      </c>
      <c r="LP40" s="2">
        <v>0.07000000000000001</v>
      </c>
      <c r="LQ40" s="2">
        <v>0.07000000000000001</v>
      </c>
      <c r="LR40" s="2">
        <v>0.07000000000000001</v>
      </c>
      <c r="LS40" s="2">
        <v>0.07000000000000001</v>
      </c>
      <c r="LT40" s="2">
        <v>0.07000000000000001</v>
      </c>
      <c r="LU40" s="2">
        <v>0.07000000000000001</v>
      </c>
      <c r="LV40" s="2">
        <v>0.07000000000000001</v>
      </c>
      <c r="LW40" s="2">
        <v>0.07000000000000001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QI40" s="2">
        <v>4.32</v>
      </c>
      <c r="QJ40" s="2">
        <v>4.41</v>
      </c>
      <c r="QK40" s="2">
        <v>4.47</v>
      </c>
      <c r="QL40" s="2">
        <v>4.65</v>
      </c>
      <c r="QM40" s="2">
        <v>5.01</v>
      </c>
      <c r="QN40" s="2">
        <v>5.1</v>
      </c>
      <c r="QO40" s="2">
        <v>5.33</v>
      </c>
      <c r="QP40" s="2">
        <v>5.84</v>
      </c>
      <c r="QQ40" s="2">
        <v>6.31</v>
      </c>
      <c r="QR40" s="2">
        <v>6.81</v>
      </c>
      <c r="QS40" s="2">
        <v>7.02</v>
      </c>
      <c r="QT40" s="2">
        <v>7.61</v>
      </c>
      <c r="QU40" s="2">
        <v>8.289999999999999</v>
      </c>
      <c r="QV40" s="2">
        <v>8.800000000000001</v>
      </c>
      <c r="QW40" s="2">
        <v>8.800000000000001</v>
      </c>
      <c r="QX40" s="2">
        <v>9.06</v>
      </c>
      <c r="QY40" s="2">
        <v>9.24</v>
      </c>
      <c r="QZ40" s="2">
        <v>9.51</v>
      </c>
      <c r="RA40" s="2">
        <v>9.66</v>
      </c>
      <c r="RB40" s="2">
        <v>10.01</v>
      </c>
      <c r="RC40" s="2">
        <v>10.22</v>
      </c>
      <c r="RD40" s="2">
        <v>10.6</v>
      </c>
      <c r="RE40" s="2">
        <v>10.69</v>
      </c>
      <c r="RF40" s="2">
        <v>10.87</v>
      </c>
      <c r="RG40" s="2">
        <v>11.11</v>
      </c>
      <c r="RH40" s="2">
        <v>11.32</v>
      </c>
      <c r="RI40" s="2">
        <v>11.58</v>
      </c>
      <c r="RJ40" s="2">
        <v>11.85</v>
      </c>
      <c r="RK40" s="2">
        <v>12.29</v>
      </c>
      <c r="RL40" s="2">
        <v>12.53</v>
      </c>
      <c r="RM40" s="2">
        <v>12.71</v>
      </c>
      <c r="RN40" s="2">
        <v>13.3</v>
      </c>
      <c r="RO40" s="2">
        <v>13.45</v>
      </c>
      <c r="RP40" s="2">
        <v>13.72</v>
      </c>
      <c r="RQ40" s="2">
        <v>14.28</v>
      </c>
      <c r="RR40" s="2">
        <v>14.78</v>
      </c>
      <c r="RS40" s="2">
        <v>15.37</v>
      </c>
      <c r="RT40" s="2">
        <v>15.52</v>
      </c>
      <c r="RU40" s="2">
        <v>16.03</v>
      </c>
      <c r="RV40" s="2">
        <v>16.77</v>
      </c>
      <c r="RW40" s="2">
        <v>17.33</v>
      </c>
      <c r="RX40" s="2">
        <v>17.68</v>
      </c>
      <c r="RY40" s="2">
        <v>17.83</v>
      </c>
      <c r="RZ40" s="2">
        <v>18.22</v>
      </c>
      <c r="SA40" s="2">
        <v>18.37</v>
      </c>
      <c r="SB40" s="2">
        <v>18.72</v>
      </c>
      <c r="SC40" s="2">
        <v>18.87</v>
      </c>
      <c r="SD40" s="2">
        <v>19.28</v>
      </c>
      <c r="SE40" s="2">
        <v>20.05</v>
      </c>
      <c r="SF40" s="2">
        <v>20.14</v>
      </c>
      <c r="SG40" s="2">
        <v>19.64</v>
      </c>
      <c r="SH40" s="2">
        <v>19.85</v>
      </c>
      <c r="SI40" s="2">
        <v>20.38</v>
      </c>
      <c r="SJ40" s="2">
        <v>20.38</v>
      </c>
      <c r="SK40" s="2">
        <v>20.94</v>
      </c>
      <c r="SL40" s="2">
        <v>21.65</v>
      </c>
      <c r="SM40" s="2">
        <v>21.86</v>
      </c>
      <c r="SN40" s="2">
        <v>22.04</v>
      </c>
      <c r="SO40" s="2">
        <v>22.45</v>
      </c>
      <c r="SP40" s="2">
        <v>23.05</v>
      </c>
      <c r="SQ40" s="2">
        <v>23.43</v>
      </c>
      <c r="SR40" s="2">
        <v>23.85</v>
      </c>
      <c r="SS40" s="2">
        <v>24.38</v>
      </c>
      <c r="ST40" s="2">
        <v>25.03</v>
      </c>
      <c r="SU40" s="2">
        <v>25.77</v>
      </c>
      <c r="SV40" s="2">
        <v>26.57</v>
      </c>
      <c r="SW40" s="2">
        <v>27.28</v>
      </c>
      <c r="SX40" s="2">
        <v>27.96</v>
      </c>
      <c r="SY40" s="2">
        <v>28.38</v>
      </c>
      <c r="SZ40" s="2">
        <v>29.21</v>
      </c>
      <c r="TA40" s="2">
        <v>29.92</v>
      </c>
      <c r="TB40" s="2">
        <v>31.01</v>
      </c>
      <c r="TC40" s="2">
        <v>31.49</v>
      </c>
      <c r="TD40" s="2">
        <v>32.05</v>
      </c>
      <c r="TE40" s="2">
        <v>32.2</v>
      </c>
      <c r="TF40" s="2">
        <v>33.27</v>
      </c>
      <c r="TG40" s="2">
        <v>33.3</v>
      </c>
      <c r="TH40" s="2">
        <v>33.33</v>
      </c>
      <c r="TI40" s="2">
        <v>33.77</v>
      </c>
      <c r="TJ40" s="2">
        <v>33.41</v>
      </c>
      <c r="TK40" s="2">
        <v>33.89</v>
      </c>
      <c r="TL40" s="2">
        <v>34.48</v>
      </c>
      <c r="TM40" s="2">
        <v>34.69</v>
      </c>
      <c r="TN40" s="2">
        <v>34.9</v>
      </c>
      <c r="TO40" s="2">
        <v>35.13</v>
      </c>
      <c r="TP40" s="2">
        <v>35.22</v>
      </c>
      <c r="TQ40" s="2">
        <v>35.31</v>
      </c>
      <c r="TR40" s="2">
        <v>35.4</v>
      </c>
      <c r="TS40" s="2">
        <v>35.7</v>
      </c>
      <c r="TT40" s="2">
        <v>35.7</v>
      </c>
      <c r="TU40" s="2">
        <v>35.75</v>
      </c>
      <c r="TV40" s="2">
        <v>36.29</v>
      </c>
      <c r="TW40" s="2">
        <v>36.64</v>
      </c>
      <c r="TX40" s="2">
        <v>37.47</v>
      </c>
      <c r="TY40" s="2">
        <v>37.59</v>
      </c>
      <c r="TZ40" s="2">
        <v>37.95</v>
      </c>
      <c r="UA40" s="2">
        <v>38.18</v>
      </c>
      <c r="UB40" s="2">
        <v>38.36</v>
      </c>
      <c r="UC40" s="2">
        <v>38.57</v>
      </c>
      <c r="UD40" s="2">
        <v>38.84</v>
      </c>
      <c r="UE40" s="2">
        <v>39.25</v>
      </c>
      <c r="UF40" s="2">
        <v>39.25</v>
      </c>
      <c r="UG40" s="2">
        <v>39.58</v>
      </c>
      <c r="UH40" s="2">
        <v>39.66</v>
      </c>
      <c r="UI40" s="2">
        <v>39.96</v>
      </c>
      <c r="UJ40" s="2">
        <v>40.23</v>
      </c>
      <c r="UK40" s="2">
        <v>40.28</v>
      </c>
      <c r="UL40" s="2">
        <v>40.33</v>
      </c>
      <c r="UM40" s="2">
        <v>40.39</v>
      </c>
      <c r="UN40" s="2">
        <v>40.88</v>
      </c>
      <c r="UO40" s="2">
        <v>41.56</v>
      </c>
      <c r="UP40" s="2">
        <v>41.8</v>
      </c>
      <c r="UQ40" s="2">
        <v>45.15</v>
      </c>
      <c r="UR40" s="2">
        <v>46.06</v>
      </c>
      <c r="US40" s="2">
        <v>46.05</v>
      </c>
      <c r="UT40" s="2">
        <v>45.87</v>
      </c>
      <c r="UU40" s="2">
        <v>46.76</v>
      </c>
      <c r="UV40" s="2">
        <v>46.76</v>
      </c>
      <c r="UW40" s="2">
        <v>47</v>
      </c>
      <c r="UX40" s="2">
        <v>47.52</v>
      </c>
      <c r="UY40" s="2">
        <v>48.36</v>
      </c>
      <c r="UZ40" s="2">
        <v>48.61</v>
      </c>
      <c r="VA40" s="2">
        <v>48.91</v>
      </c>
      <c r="VB40" s="2">
        <v>49.43</v>
      </c>
      <c r="VC40" s="2">
        <v>49.64</v>
      </c>
      <c r="VD40" s="2">
        <v>49.94</v>
      </c>
      <c r="VE40" s="2">
        <v>50.1</v>
      </c>
      <c r="VF40" s="2">
        <v>50.21</v>
      </c>
      <c r="VG40" s="2">
        <v>50.53</v>
      </c>
      <c r="VH40" s="2">
        <v>50.86</v>
      </c>
      <c r="VI40" s="2">
        <v>51.18</v>
      </c>
      <c r="VJ40" s="2">
        <v>51.78</v>
      </c>
      <c r="VK40" s="2">
        <v>52.12</v>
      </c>
      <c r="VL40" s="2">
        <v>52.95</v>
      </c>
      <c r="VM40" s="2">
        <v>53.35</v>
      </c>
      <c r="VN40" s="2">
        <v>53.57</v>
      </c>
      <c r="VO40" s="2">
        <v>54.44</v>
      </c>
      <c r="VP40" s="2">
        <v>54.47</v>
      </c>
      <c r="VQ40" s="2">
        <v>54.95</v>
      </c>
      <c r="VR40" s="2">
        <v>55.53</v>
      </c>
      <c r="VS40" s="2">
        <v>55.74</v>
      </c>
      <c r="VT40" s="2">
        <v>55.86</v>
      </c>
      <c r="VU40" s="2">
        <v>56.28</v>
      </c>
      <c r="VV40" s="2">
        <v>56.94</v>
      </c>
      <c r="VW40" s="2">
        <v>57.53</v>
      </c>
      <c r="VX40" s="2">
        <v>58.36</v>
      </c>
      <c r="VY40" s="2">
        <v>58.92</v>
      </c>
      <c r="VZ40" s="2">
        <v>59.16</v>
      </c>
      <c r="WA40" s="2">
        <v>59.42</v>
      </c>
      <c r="WB40" s="2">
        <v>60.01</v>
      </c>
      <c r="WC40" s="2">
        <v>60.68</v>
      </c>
      <c r="WD40" s="2">
        <v>61.06</v>
      </c>
      <c r="WE40" s="2">
        <v>61.4</v>
      </c>
      <c r="WF40" s="2">
        <v>61.94</v>
      </c>
      <c r="WG40" s="2">
        <v>62.18</v>
      </c>
      <c r="WH40" s="2">
        <v>62.69</v>
      </c>
      <c r="WI40" s="2">
        <v>63.07</v>
      </c>
      <c r="WJ40" s="2">
        <v>63.39</v>
      </c>
      <c r="WK40" s="2">
        <v>63.52</v>
      </c>
      <c r="WL40" s="2">
        <v>63.91</v>
      </c>
      <c r="WM40" s="2">
        <v>64.7</v>
      </c>
      <c r="WN40" s="2">
        <v>65.25</v>
      </c>
      <c r="WO40" s="2">
        <v>65.45999999999999</v>
      </c>
      <c r="WP40" s="2">
        <v>65.84999999999999</v>
      </c>
      <c r="WQ40" s="2">
        <v>66.34999999999999</v>
      </c>
      <c r="WR40" s="2">
        <v>66.56999999999999</v>
      </c>
      <c r="WS40" s="2">
        <v>66.67</v>
      </c>
      <c r="WT40" s="2">
        <v>66.79000000000001</v>
      </c>
      <c r="WU40" s="2">
        <v>67.81999999999999</v>
      </c>
      <c r="WV40" s="2">
        <v>68.25</v>
      </c>
      <c r="WW40" s="2">
        <v>68.84</v>
      </c>
      <c r="WX40" s="2">
        <v>69.37</v>
      </c>
      <c r="WY40" s="2">
        <v>69.62</v>
      </c>
      <c r="WZ40" s="2">
        <v>70.25</v>
      </c>
      <c r="XA40" s="2">
        <v>71</v>
      </c>
      <c r="XB40" s="2">
        <v>71.14</v>
      </c>
      <c r="XC40" s="2">
        <v>71.55</v>
      </c>
      <c r="XD40" s="2">
        <v>71.98</v>
      </c>
      <c r="XE40" s="2">
        <v>72.8</v>
      </c>
      <c r="XF40" s="2">
        <v>73.28</v>
      </c>
      <c r="XG40" s="2">
        <v>73.51000000000001</v>
      </c>
      <c r="XH40" s="2">
        <v>73.98</v>
      </c>
      <c r="XI40" s="2">
        <v>74.47</v>
      </c>
      <c r="XJ40" s="2">
        <v>75.51000000000001</v>
      </c>
      <c r="XK40" s="2">
        <v>75.64</v>
      </c>
      <c r="XL40" s="2">
        <v>75.7</v>
      </c>
      <c r="XM40" s="2">
        <v>76.23</v>
      </c>
      <c r="XN40" s="2">
        <v>76.48999999999999</v>
      </c>
      <c r="XO40" s="2">
        <v>76.78</v>
      </c>
      <c r="XP40" s="2">
        <v>77.11</v>
      </c>
      <c r="XQ40" s="2">
        <v>77.31999999999999</v>
      </c>
      <c r="XR40" s="2">
        <v>77.5</v>
      </c>
      <c r="XS40" s="2">
        <v>78</v>
      </c>
      <c r="XT40" s="2">
        <v>78.69</v>
      </c>
      <c r="XU40" s="2">
        <v>79.73</v>
      </c>
      <c r="XV40" s="2">
        <v>80.02</v>
      </c>
      <c r="XW40" s="2">
        <v>80.88</v>
      </c>
      <c r="XX40" s="2">
        <v>81.18000000000001</v>
      </c>
      <c r="XY40" s="2">
        <v>82.66</v>
      </c>
      <c r="XZ40" s="2">
        <v>84.97</v>
      </c>
      <c r="YA40" s="2">
        <v>86.39</v>
      </c>
      <c r="YB40" s="2">
        <v>87.62</v>
      </c>
      <c r="YC40" s="2">
        <v>88.78</v>
      </c>
      <c r="YD40" s="2">
        <v>90.11</v>
      </c>
      <c r="YE40" s="2">
        <v>91.76000000000001</v>
      </c>
      <c r="YF40" s="2">
        <v>93.8</v>
      </c>
      <c r="YG40" s="2">
        <v>94.67</v>
      </c>
      <c r="YH40" s="2">
        <v>95.23999999999999</v>
      </c>
      <c r="YI40" s="2">
        <v>95.78</v>
      </c>
      <c r="YJ40" s="2">
        <v>96.31999999999999</v>
      </c>
      <c r="YK40" s="2">
        <v>96.81999999999999</v>
      </c>
      <c r="YL40" s="2">
        <v>98.06999999999999</v>
      </c>
      <c r="YM40" s="2">
        <v>99.81</v>
      </c>
      <c r="YN40" s="2">
        <v>100.61</v>
      </c>
      <c r="YO40" s="2">
        <v>101.05</v>
      </c>
      <c r="YP40" s="2">
        <v>102.17</v>
      </c>
      <c r="ACI40" s="2">
        <v>2.1</v>
      </c>
      <c r="ACJ40" s="2">
        <v>1.4</v>
      </c>
      <c r="ACK40" s="2">
        <v>4</v>
      </c>
      <c r="ACL40" s="2">
        <v>7.7</v>
      </c>
      <c r="ACM40" s="2">
        <v>1.8</v>
      </c>
      <c r="ACN40" s="2">
        <v>4.5</v>
      </c>
      <c r="ACO40" s="2">
        <v>9.6</v>
      </c>
      <c r="ACP40" s="2">
        <v>8</v>
      </c>
      <c r="ACQ40" s="2">
        <v>7.9</v>
      </c>
      <c r="ACR40" s="2">
        <v>3.1</v>
      </c>
      <c r="ACS40" s="2">
        <v>8.4</v>
      </c>
      <c r="ACT40" s="2">
        <v>8.9</v>
      </c>
      <c r="ACU40" s="2">
        <v>6.2</v>
      </c>
      <c r="ACV40" s="2">
        <v>0</v>
      </c>
      <c r="ACW40" s="2">
        <v>3</v>
      </c>
      <c r="ACX40" s="2">
        <v>2</v>
      </c>
      <c r="ACY40" s="2">
        <v>2.9</v>
      </c>
      <c r="ACZ40" s="2">
        <v>1.6</v>
      </c>
      <c r="ADA40" s="2">
        <v>3.6</v>
      </c>
      <c r="ADB40" s="2">
        <v>2.1</v>
      </c>
      <c r="ADC40" s="2">
        <v>3.7</v>
      </c>
      <c r="ADD40" s="2">
        <v>0.8</v>
      </c>
      <c r="ADE40" s="2">
        <v>1.7</v>
      </c>
      <c r="ADF40" s="2">
        <v>2.2</v>
      </c>
      <c r="ADG40" s="2">
        <v>1.9</v>
      </c>
      <c r="ADH40" s="2">
        <v>2.3</v>
      </c>
      <c r="ADI40" s="2">
        <v>2.3</v>
      </c>
      <c r="ADJ40" s="2">
        <v>3.7</v>
      </c>
      <c r="ADK40" s="2">
        <v>2</v>
      </c>
      <c r="ADL40" s="2">
        <v>1.4</v>
      </c>
      <c r="ADM40" s="2">
        <v>4.6</v>
      </c>
      <c r="ADN40" s="2">
        <v>1.1</v>
      </c>
      <c r="ADO40" s="2">
        <v>2</v>
      </c>
      <c r="ADP40" s="2">
        <v>4.1</v>
      </c>
      <c r="ADQ40" s="2">
        <v>3.5</v>
      </c>
      <c r="ADR40" s="2">
        <v>4</v>
      </c>
      <c r="ADS40" s="2">
        <v>1</v>
      </c>
      <c r="ADT40" s="2">
        <v>3.3</v>
      </c>
      <c r="ADU40" s="2">
        <v>4.6</v>
      </c>
      <c r="ADV40" s="2">
        <v>3.3</v>
      </c>
      <c r="ADW40" s="2">
        <v>2</v>
      </c>
      <c r="ADX40" s="2">
        <v>0.8</v>
      </c>
      <c r="ADY40" s="2">
        <v>2.2</v>
      </c>
      <c r="ADZ40" s="2">
        <v>0.8</v>
      </c>
      <c r="AEA40" s="2">
        <v>1.9</v>
      </c>
      <c r="AEB40" s="2">
        <v>0.8</v>
      </c>
      <c r="AEC40" s="2">
        <v>2.2</v>
      </c>
      <c r="AED40" s="2">
        <v>4</v>
      </c>
      <c r="AEE40" s="2">
        <v>0.4</v>
      </c>
      <c r="AEF40" s="2">
        <v>-2.5</v>
      </c>
      <c r="AEG40" s="2">
        <v>1.1</v>
      </c>
      <c r="AEH40" s="2">
        <v>2.7</v>
      </c>
      <c r="AEI40" s="2">
        <v>0</v>
      </c>
      <c r="AEJ40" s="2">
        <v>2.7</v>
      </c>
      <c r="AEK40" s="2">
        <v>3.4</v>
      </c>
      <c r="AEL40" s="2">
        <v>1</v>
      </c>
      <c r="AEM40" s="2">
        <v>0.8</v>
      </c>
      <c r="AEN40" s="2">
        <v>1.9</v>
      </c>
      <c r="AEO40" s="2">
        <v>2.7</v>
      </c>
      <c r="AEP40" s="2">
        <v>1.6</v>
      </c>
      <c r="AEQ40" s="2">
        <v>1.8</v>
      </c>
      <c r="AER40" s="2">
        <v>2.2</v>
      </c>
      <c r="AES40" s="2">
        <v>2.7</v>
      </c>
      <c r="AET40" s="2">
        <v>3</v>
      </c>
      <c r="AEU40" s="2">
        <v>3.1</v>
      </c>
      <c r="AEV40" s="2">
        <v>2.7</v>
      </c>
      <c r="AEW40" s="2">
        <v>2.5</v>
      </c>
      <c r="AEX40" s="2">
        <v>1.5</v>
      </c>
      <c r="AEY40" s="2">
        <v>2.9</v>
      </c>
      <c r="AEZ40" s="2">
        <v>2.4</v>
      </c>
      <c r="AFA40" s="2">
        <v>3.6</v>
      </c>
      <c r="AFB40" s="2">
        <v>1.5</v>
      </c>
      <c r="AFC40" s="2">
        <v>1.8</v>
      </c>
      <c r="AFD40" s="2">
        <v>0.5</v>
      </c>
      <c r="AFE40" s="2">
        <v>3.3</v>
      </c>
      <c r="AFF40" s="2">
        <v>0.1</v>
      </c>
      <c r="AFG40" s="2">
        <v>0.1</v>
      </c>
      <c r="AFH40" s="2">
        <v>1.3</v>
      </c>
      <c r="AFI40" s="2">
        <v>-1.1</v>
      </c>
      <c r="AFJ40" s="2">
        <v>1.4</v>
      </c>
      <c r="AFK40" s="2">
        <v>1.7</v>
      </c>
      <c r="AFL40" s="2">
        <v>0.6</v>
      </c>
      <c r="AFM40" s="2">
        <v>0.6</v>
      </c>
      <c r="AFN40" s="2">
        <v>0.7</v>
      </c>
      <c r="AFO40" s="2">
        <v>0.3</v>
      </c>
      <c r="AFP40" s="2">
        <v>0.3</v>
      </c>
      <c r="AFQ40" s="2">
        <v>0.3</v>
      </c>
      <c r="AFR40" s="2">
        <v>0.8</v>
      </c>
      <c r="AFS40" s="2">
        <v>0</v>
      </c>
      <c r="AFT40" s="2">
        <v>0.1</v>
      </c>
      <c r="AFU40" s="2">
        <v>1.5</v>
      </c>
      <c r="AFV40" s="2">
        <v>1</v>
      </c>
      <c r="AFW40" s="2">
        <v>2.3</v>
      </c>
      <c r="AFX40" s="2">
        <v>0.3</v>
      </c>
      <c r="AFY40" s="2">
        <v>1</v>
      </c>
      <c r="AFZ40" s="2">
        <v>0.6</v>
      </c>
      <c r="AGA40" s="2">
        <v>0.5</v>
      </c>
      <c r="AGB40" s="2">
        <v>0.5</v>
      </c>
      <c r="AGC40" s="2">
        <v>0.7</v>
      </c>
      <c r="AGD40" s="2">
        <v>1.1</v>
      </c>
      <c r="AGE40" s="2">
        <v>0</v>
      </c>
      <c r="AGF40" s="2">
        <v>0.8</v>
      </c>
      <c r="AGG40" s="2">
        <v>0.2</v>
      </c>
      <c r="AGH40" s="2">
        <v>0.8</v>
      </c>
      <c r="AGI40" s="2">
        <v>0.7</v>
      </c>
      <c r="AGJ40" s="2">
        <v>0.1</v>
      </c>
      <c r="AGK40" s="2">
        <v>0.1</v>
      </c>
      <c r="AGL40" s="2">
        <v>0.1</v>
      </c>
      <c r="AGM40" s="2">
        <v>1.2</v>
      </c>
      <c r="AGN40" s="2">
        <v>1.7</v>
      </c>
      <c r="AGO40" s="2">
        <v>0.6</v>
      </c>
      <c r="AGP40" s="2">
        <v>8</v>
      </c>
      <c r="AGQ40" s="2">
        <v>2</v>
      </c>
      <c r="AGR40" s="2">
        <v>0</v>
      </c>
      <c r="AGS40" s="2">
        <v>-0.4</v>
      </c>
      <c r="AGT40" s="2">
        <v>1.9</v>
      </c>
      <c r="AGU40" s="2">
        <v>0</v>
      </c>
      <c r="AGV40" s="2">
        <v>0.5</v>
      </c>
      <c r="AGW40" s="2">
        <v>1.1</v>
      </c>
      <c r="AGX40" s="2">
        <v>1.8</v>
      </c>
      <c r="AGY40" s="2">
        <v>0.5</v>
      </c>
      <c r="AGZ40" s="2">
        <v>0.6</v>
      </c>
      <c r="AHA40" s="2">
        <v>1.1</v>
      </c>
      <c r="AHB40" s="2">
        <v>0.4</v>
      </c>
      <c r="AHC40" s="2">
        <v>0.6</v>
      </c>
      <c r="AHD40" s="2">
        <v>0.3</v>
      </c>
      <c r="AHE40" s="2">
        <v>0.2</v>
      </c>
      <c r="AHF40" s="2">
        <v>0.6</v>
      </c>
      <c r="AHG40" s="2">
        <v>0.7</v>
      </c>
      <c r="AHH40" s="2">
        <v>0.6</v>
      </c>
      <c r="AHI40" s="2">
        <v>1.2</v>
      </c>
      <c r="AHJ40" s="2">
        <v>0.7</v>
      </c>
      <c r="AHK40" s="2">
        <v>1.6</v>
      </c>
      <c r="AHL40" s="2">
        <v>0.8</v>
      </c>
      <c r="AHM40" s="2">
        <v>0.4</v>
      </c>
      <c r="AHN40" s="2">
        <v>1.6</v>
      </c>
      <c r="AHO40" s="2">
        <v>0.1</v>
      </c>
      <c r="AHP40" s="2">
        <v>0.9</v>
      </c>
      <c r="AHQ40" s="2">
        <v>1.1</v>
      </c>
      <c r="AHR40" s="2">
        <v>0.4</v>
      </c>
      <c r="AHS40" s="2">
        <v>0.2</v>
      </c>
      <c r="AHT40" s="2">
        <v>0.8</v>
      </c>
      <c r="AHU40" s="2">
        <v>1.2</v>
      </c>
      <c r="AHV40" s="2">
        <v>1</v>
      </c>
      <c r="AHW40" s="2">
        <v>1.4</v>
      </c>
      <c r="AHX40" s="2">
        <v>1</v>
      </c>
      <c r="AHY40" s="2">
        <v>0.4</v>
      </c>
      <c r="AHZ40" s="2">
        <v>0.4</v>
      </c>
      <c r="AIA40" s="2">
        <v>1</v>
      </c>
      <c r="AIB40" s="2">
        <v>1.1</v>
      </c>
      <c r="AIC40" s="2">
        <v>0.6</v>
      </c>
      <c r="AID40" s="2">
        <v>0.6</v>
      </c>
      <c r="AIE40" s="2">
        <v>0.9</v>
      </c>
      <c r="AIF40" s="2">
        <v>0.4</v>
      </c>
      <c r="AIG40" s="2">
        <v>0.8</v>
      </c>
      <c r="AIH40" s="2">
        <v>0.6</v>
      </c>
      <c r="AII40" s="2">
        <v>0.5</v>
      </c>
      <c r="AIJ40" s="2">
        <v>0.2</v>
      </c>
      <c r="AIK40" s="2">
        <v>0.6</v>
      </c>
      <c r="AIL40" s="2">
        <v>1.2</v>
      </c>
      <c r="AIM40" s="2">
        <v>0.9</v>
      </c>
      <c r="AIN40" s="2">
        <v>0.3</v>
      </c>
      <c r="AIO40" s="2">
        <v>0.6</v>
      </c>
      <c r="AIP40" s="2">
        <v>0.8</v>
      </c>
      <c r="AIQ40" s="2">
        <v>0.3</v>
      </c>
      <c r="AIR40" s="2">
        <v>0.2</v>
      </c>
      <c r="AIS40" s="2">
        <v>0.2</v>
      </c>
      <c r="AIT40" s="2">
        <v>1.5</v>
      </c>
      <c r="AIU40" s="2">
        <v>0.6</v>
      </c>
      <c r="AIV40" s="2">
        <v>0.9</v>
      </c>
      <c r="AIW40" s="2">
        <v>0.8</v>
      </c>
      <c r="AIX40" s="2">
        <v>0.4</v>
      </c>
      <c r="AIY40" s="2">
        <v>0.9</v>
      </c>
      <c r="AIZ40" s="2">
        <v>1.1</v>
      </c>
      <c r="AJA40" s="2">
        <v>0.2</v>
      </c>
      <c r="AJB40" s="2">
        <v>0.6</v>
      </c>
      <c r="AJC40" s="2">
        <v>0.6</v>
      </c>
      <c r="AJD40" s="2">
        <v>1.1</v>
      </c>
      <c r="AJE40" s="2">
        <v>0.7</v>
      </c>
      <c r="AJF40" s="2">
        <v>0.3</v>
      </c>
      <c r="AJG40" s="2">
        <v>0.6</v>
      </c>
      <c r="AJH40" s="2">
        <v>0.7</v>
      </c>
      <c r="AJI40" s="2">
        <v>1.4</v>
      </c>
      <c r="AJJ40" s="2">
        <v>0.2</v>
      </c>
      <c r="AJK40" s="2">
        <v>0.1</v>
      </c>
      <c r="AJL40" s="2">
        <v>0.7</v>
      </c>
      <c r="AJM40" s="2">
        <v>0.3</v>
      </c>
      <c r="AJN40" s="2">
        <v>0.4</v>
      </c>
      <c r="AJO40" s="2">
        <v>0.4</v>
      </c>
      <c r="AJP40" s="2">
        <v>0.3</v>
      </c>
      <c r="AJQ40" s="2">
        <v>0.2</v>
      </c>
      <c r="AJR40" s="2">
        <v>0.6</v>
      </c>
      <c r="AJS40" s="2">
        <v>0.9</v>
      </c>
      <c r="AJT40" s="2">
        <v>1.3</v>
      </c>
      <c r="AJU40" s="2">
        <v>0.4</v>
      </c>
      <c r="AJV40" s="2">
        <v>1.1</v>
      </c>
      <c r="AJW40" s="2">
        <v>0.4</v>
      </c>
      <c r="AJX40" s="2">
        <v>1.8</v>
      </c>
      <c r="AJY40" s="2">
        <v>2.8</v>
      </c>
      <c r="AJZ40" s="2">
        <v>1.7</v>
      </c>
      <c r="AKA40" s="2">
        <v>1.4</v>
      </c>
      <c r="AKB40" s="2">
        <v>1.3</v>
      </c>
      <c r="AKC40" s="2">
        <v>1.5</v>
      </c>
      <c r="AKD40" s="2">
        <v>1.8</v>
      </c>
      <c r="AKE40" s="2">
        <v>2.2</v>
      </c>
      <c r="AKF40" s="2">
        <v>0.9</v>
      </c>
      <c r="AKG40" s="2">
        <v>0.6</v>
      </c>
      <c r="AKH40" s="2">
        <v>0.6</v>
      </c>
      <c r="AKI40" s="2">
        <v>0.6</v>
      </c>
      <c r="AKJ40" s="2">
        <v>0.5</v>
      </c>
      <c r="AKK40" s="2">
        <v>1.3</v>
      </c>
      <c r="AKL40" s="2">
        <v>1.8</v>
      </c>
      <c r="AKM40" s="2">
        <v>0.8</v>
      </c>
      <c r="AKN40" s="2">
        <v>0.4</v>
      </c>
      <c r="AKO40" s="2">
        <v>1.1</v>
      </c>
      <c r="AKP40" s="2">
        <v>0.07000000000000001</v>
      </c>
      <c r="AKQ40" s="2">
        <v>0.07000000000000001</v>
      </c>
      <c r="AKR40" s="2">
        <v>0.07000000000000001</v>
      </c>
    </row>
    <row r="41">
      <c r="A41" t="inlineStr">
        <is>
          <t>Rents</t>
        </is>
      </c>
      <c r="B41" t="inlineStr">
        <is>
          <t>Rents</t>
        </is>
      </c>
      <c r="C41">
        <v>3</v>
      </c>
      <c r="D41">
        <v>6.6</v>
      </c>
      <c r="E41" s="3">
        <f>D41/6.6*0.066</f>
        <v>0.066</v>
      </c>
      <c r="F41" s="3">
        <f>E41-D41/100</f>
        <v>0.0</v>
      </c>
      <c r="G41" s="3">
        <f>D41/6.6</f>
        <v>1.0</v>
      </c>
      <c r="BN41" s="2">
        <v>83.19</v>
      </c>
      <c r="BO41" s="2">
        <v>83.63</v>
      </c>
      <c r="BP41" s="2">
        <v>84.04000000000001</v>
      </c>
      <c r="BQ41" s="2">
        <v>84.45999999999999</v>
      </c>
      <c r="BR41" s="2">
        <v>84.65000000000001</v>
      </c>
      <c r="BS41" s="2">
        <v>85.06999999999999</v>
      </c>
      <c r="BT41" s="2">
        <v>85.61</v>
      </c>
      <c r="BU41" s="2">
        <v>86.23999999999999</v>
      </c>
      <c r="BV41" s="2">
        <v>86.61</v>
      </c>
      <c r="BW41" s="2">
        <v>87.28</v>
      </c>
      <c r="BX41" s="2">
        <v>88.03</v>
      </c>
      <c r="BY41" s="2">
        <v>88.81999999999999</v>
      </c>
      <c r="BZ41" s="2">
        <v>89.52</v>
      </c>
      <c r="CA41" s="2">
        <v>90.16</v>
      </c>
      <c r="CB41" s="2">
        <v>90.34999999999999</v>
      </c>
      <c r="CC41" s="2">
        <v>90.06</v>
      </c>
      <c r="CD41" s="2">
        <v>90.68000000000001</v>
      </c>
      <c r="CE41" s="2">
        <v>91.37</v>
      </c>
      <c r="CF41" s="2">
        <v>92.01000000000001</v>
      </c>
      <c r="CG41" s="2">
        <v>92.72</v>
      </c>
      <c r="CH41" s="2">
        <v>93.3</v>
      </c>
      <c r="CI41" s="2">
        <v>93.81</v>
      </c>
      <c r="CJ41" s="2">
        <v>94.53</v>
      </c>
      <c r="CK41" s="2">
        <v>95.11</v>
      </c>
      <c r="CL41" s="2">
        <v>95.7</v>
      </c>
      <c r="CM41" s="2">
        <v>96.23</v>
      </c>
      <c r="CN41" s="2">
        <v>96.34999999999999</v>
      </c>
      <c r="CO41" s="2">
        <v>96.14</v>
      </c>
      <c r="CP41" s="2">
        <v>96.68000000000001</v>
      </c>
      <c r="CQ41" s="2">
        <v>97.01000000000001</v>
      </c>
      <c r="CR41" s="2">
        <v>97.37</v>
      </c>
      <c r="CS41" s="2">
        <v>97.83</v>
      </c>
      <c r="CT41" s="2">
        <v>98.14</v>
      </c>
      <c r="CU41" s="2">
        <v>98.45</v>
      </c>
      <c r="CV41" s="2">
        <v>98.81999999999999</v>
      </c>
      <c r="CW41" s="2">
        <v>99.11</v>
      </c>
      <c r="CX41" s="2">
        <v>99.44</v>
      </c>
      <c r="CY41" s="2">
        <v>99.77</v>
      </c>
      <c r="CZ41" s="2">
        <v>100</v>
      </c>
      <c r="DA41" s="2">
        <v>100.18</v>
      </c>
      <c r="DB41" s="2">
        <v>100.58</v>
      </c>
      <c r="DC41" s="2">
        <v>100.83</v>
      </c>
      <c r="DD41" s="2">
        <v>101.15</v>
      </c>
      <c r="DE41" s="2">
        <v>101.52</v>
      </c>
      <c r="DF41" s="2">
        <v>101.73</v>
      </c>
      <c r="DG41" s="2">
        <v>101.9</v>
      </c>
      <c r="DH41" s="2">
        <v>102.33</v>
      </c>
      <c r="DI41" s="2">
        <v>102.64</v>
      </c>
      <c r="DJ41" s="2">
        <v>103</v>
      </c>
      <c r="FQ41" s="2">
        <v>7.6</v>
      </c>
      <c r="FR41" s="2">
        <v>7.8</v>
      </c>
      <c r="FS41" s="2">
        <v>7.5</v>
      </c>
      <c r="FT41" s="2">
        <v>6.6</v>
      </c>
      <c r="FU41" s="2">
        <v>7.1</v>
      </c>
      <c r="FV41" s="2">
        <v>7.4</v>
      </c>
      <c r="FW41" s="2">
        <v>7.5</v>
      </c>
      <c r="FX41" s="2">
        <v>7.5</v>
      </c>
      <c r="FY41" s="2">
        <v>7.7</v>
      </c>
      <c r="FZ41" s="2">
        <v>7.5</v>
      </c>
      <c r="GA41" s="2">
        <v>7.4</v>
      </c>
      <c r="GB41" s="2">
        <v>7.1</v>
      </c>
      <c r="GC41" s="2">
        <v>6.9</v>
      </c>
      <c r="GD41" s="2">
        <v>6.7</v>
      </c>
      <c r="GE41" s="2">
        <v>6.6</v>
      </c>
      <c r="GF41" s="2">
        <v>6.8</v>
      </c>
      <c r="GG41" s="2">
        <v>6.6</v>
      </c>
      <c r="GH41" s="2">
        <v>6.2</v>
      </c>
      <c r="GI41" s="2">
        <v>5.8</v>
      </c>
      <c r="GJ41" s="2">
        <v>5.5</v>
      </c>
      <c r="GK41" s="2">
        <v>5.2</v>
      </c>
      <c r="GL41" s="2">
        <v>4.9</v>
      </c>
      <c r="GM41" s="2">
        <v>4.5</v>
      </c>
      <c r="GN41" s="2">
        <v>4.2</v>
      </c>
      <c r="GO41" s="2">
        <v>3.9</v>
      </c>
      <c r="GP41" s="2">
        <v>3.7</v>
      </c>
      <c r="GQ41" s="2">
        <v>3.8</v>
      </c>
      <c r="GR41" s="2">
        <v>4.2</v>
      </c>
      <c r="GS41" s="2">
        <v>4</v>
      </c>
      <c r="GT41" s="2">
        <v>3.9</v>
      </c>
      <c r="GU41" s="2">
        <v>3.9</v>
      </c>
      <c r="GV41" s="2">
        <v>3.8</v>
      </c>
      <c r="GW41" s="2">
        <v>3.7</v>
      </c>
      <c r="GX41" s="2">
        <v>3.5</v>
      </c>
      <c r="GY41" s="2">
        <v>3.6</v>
      </c>
      <c r="GZ41" s="2">
        <v>3.6</v>
      </c>
      <c r="HA41" s="2">
        <v>3.6</v>
      </c>
      <c r="JH41" s="2">
        <v>0.5</v>
      </c>
      <c r="JI41" s="2">
        <v>0.5</v>
      </c>
      <c r="JJ41" s="2">
        <v>0.5</v>
      </c>
      <c r="JK41" s="2">
        <v>0.2</v>
      </c>
      <c r="JL41" s="2">
        <v>0.5</v>
      </c>
      <c r="JM41" s="2">
        <v>0.6</v>
      </c>
      <c r="JN41" s="2">
        <v>0.7</v>
      </c>
      <c r="JO41" s="2">
        <v>0.4</v>
      </c>
      <c r="JP41" s="2">
        <v>0.8</v>
      </c>
      <c r="JQ41" s="2">
        <v>0.9</v>
      </c>
      <c r="JR41" s="2">
        <v>0.9</v>
      </c>
      <c r="JS41" s="2">
        <v>0.8</v>
      </c>
      <c r="JT41" s="2">
        <v>0.7</v>
      </c>
      <c r="JU41" s="2">
        <v>0.2</v>
      </c>
      <c r="JV41" s="2">
        <v>-0.3</v>
      </c>
      <c r="JW41" s="2">
        <v>0.7</v>
      </c>
      <c r="JX41" s="2">
        <v>0.8</v>
      </c>
      <c r="JY41" s="2">
        <v>0.7</v>
      </c>
      <c r="JZ41" s="2">
        <v>0.8</v>
      </c>
      <c r="KA41" s="2">
        <v>0.6</v>
      </c>
      <c r="KB41" s="2">
        <v>0.5</v>
      </c>
      <c r="KC41" s="2">
        <v>0.8</v>
      </c>
      <c r="KD41" s="2">
        <v>0.6</v>
      </c>
      <c r="KE41" s="2">
        <v>0.6</v>
      </c>
      <c r="KF41" s="2">
        <v>0.6</v>
      </c>
      <c r="KG41" s="2">
        <v>0.1</v>
      </c>
      <c r="KH41" s="2">
        <v>-0.2</v>
      </c>
      <c r="KI41" s="2">
        <v>0.6</v>
      </c>
      <c r="KJ41" s="2">
        <v>0.3</v>
      </c>
      <c r="KK41" s="2">
        <v>0.4</v>
      </c>
      <c r="KL41" s="2">
        <v>0.5</v>
      </c>
      <c r="KM41" s="2">
        <v>0.3</v>
      </c>
      <c r="KN41" s="2">
        <v>0.3</v>
      </c>
      <c r="KO41" s="2">
        <v>0.4</v>
      </c>
      <c r="KP41" s="2">
        <v>0.3</v>
      </c>
      <c r="KQ41" s="2">
        <v>0.3</v>
      </c>
      <c r="KR41" s="2">
        <v>0.3</v>
      </c>
      <c r="KS41" s="2">
        <v>0.2</v>
      </c>
      <c r="KT41" s="2">
        <v>0.2</v>
      </c>
      <c r="KU41" s="2">
        <v>0.4</v>
      </c>
      <c r="KV41" s="2">
        <v>0.2</v>
      </c>
      <c r="KW41" s="2">
        <v>0.3</v>
      </c>
      <c r="KX41" s="2">
        <v>0.4</v>
      </c>
      <c r="KY41" s="2">
        <v>0.2</v>
      </c>
      <c r="KZ41" s="2">
        <v>0.2</v>
      </c>
      <c r="LA41" s="2">
        <v>0.4</v>
      </c>
      <c r="LB41" s="2">
        <v>0.3</v>
      </c>
      <c r="LC41" s="2">
        <v>0.4</v>
      </c>
      <c r="LD41" s="2">
        <v>6.42</v>
      </c>
      <c r="LE41" s="2">
        <v>6.45</v>
      </c>
      <c r="LF41" s="2">
        <v>6.48</v>
      </c>
      <c r="LG41" s="2">
        <v>6.5</v>
      </c>
      <c r="LH41" s="2">
        <v>6.52</v>
      </c>
      <c r="LI41" s="2">
        <v>6.54</v>
      </c>
      <c r="LJ41" s="2">
        <v>6.56</v>
      </c>
      <c r="LK41" s="2">
        <v>6.58</v>
      </c>
      <c r="LL41" s="2">
        <v>6.6</v>
      </c>
      <c r="LM41" s="2">
        <v>6.62</v>
      </c>
      <c r="LN41" s="2">
        <v>6.63</v>
      </c>
      <c r="LO41" s="2">
        <v>6.66</v>
      </c>
      <c r="LP41" s="2">
        <v>6.68</v>
      </c>
      <c r="LQ41" s="2">
        <v>6.7</v>
      </c>
      <c r="LR41" s="2">
        <v>6.72</v>
      </c>
      <c r="LS41" s="2">
        <v>6.73</v>
      </c>
      <c r="LT41" s="2">
        <v>6.75</v>
      </c>
      <c r="LU41" s="2">
        <v>6.77</v>
      </c>
      <c r="LV41" s="2">
        <v>6.8</v>
      </c>
      <c r="LW41" s="2">
        <v>6.82</v>
      </c>
      <c r="LX41" s="2">
        <v>0.03</v>
      </c>
      <c r="LY41" s="2">
        <v>0.03</v>
      </c>
      <c r="LZ41" s="2">
        <v>0.02</v>
      </c>
      <c r="MA41" s="2">
        <v>0.02</v>
      </c>
      <c r="MB41" s="2">
        <v>0.02</v>
      </c>
      <c r="MC41" s="2">
        <v>0.02</v>
      </c>
      <c r="MD41" s="2">
        <v>0.02</v>
      </c>
      <c r="ME41" s="2">
        <v>0.02</v>
      </c>
      <c r="MF41" s="2">
        <v>0.02</v>
      </c>
      <c r="MG41" s="2">
        <v>0.01</v>
      </c>
      <c r="MH41" s="2">
        <v>0.03</v>
      </c>
      <c r="MI41" s="2">
        <v>0.02</v>
      </c>
      <c r="MJ41" s="2">
        <v>0.02</v>
      </c>
      <c r="MK41" s="2">
        <v>0.02</v>
      </c>
      <c r="ML41" s="2">
        <v>0.01</v>
      </c>
      <c r="MM41" s="2">
        <v>0.02</v>
      </c>
      <c r="MN41" s="2">
        <v>0.02</v>
      </c>
      <c r="MO41" s="2">
        <v>0.03</v>
      </c>
      <c r="MP41" s="2">
        <v>0.02</v>
      </c>
      <c r="QI41" s="2">
        <v>7.07</v>
      </c>
      <c r="QJ41" s="2">
        <v>7.18</v>
      </c>
      <c r="QK41" s="2">
        <v>7.29</v>
      </c>
      <c r="QL41" s="2">
        <v>7.4</v>
      </c>
      <c r="QM41" s="2">
        <v>7.55</v>
      </c>
      <c r="QN41" s="2">
        <v>7.8</v>
      </c>
      <c r="QO41" s="2">
        <v>7.91</v>
      </c>
      <c r="QP41" s="2">
        <v>8.17</v>
      </c>
      <c r="QQ41" s="2">
        <v>8.5</v>
      </c>
      <c r="QR41" s="2">
        <v>8.83</v>
      </c>
      <c r="QS41" s="2">
        <v>9.119999999999999</v>
      </c>
      <c r="QT41" s="2">
        <v>9.48</v>
      </c>
      <c r="QU41" s="2">
        <v>9.92</v>
      </c>
      <c r="QV41" s="2">
        <v>10.28</v>
      </c>
      <c r="QW41" s="2">
        <v>10.61</v>
      </c>
      <c r="QX41" s="2">
        <v>10.9</v>
      </c>
      <c r="QY41" s="2">
        <v>11.38</v>
      </c>
      <c r="QZ41" s="2">
        <v>11.71</v>
      </c>
      <c r="RA41" s="2">
        <v>12</v>
      </c>
      <c r="RB41" s="2">
        <v>12.25</v>
      </c>
      <c r="RC41" s="2">
        <v>12.51</v>
      </c>
      <c r="RD41" s="2">
        <v>12.84</v>
      </c>
      <c r="RE41" s="2">
        <v>13.06</v>
      </c>
      <c r="RF41" s="2">
        <v>13.27</v>
      </c>
      <c r="RG41" s="2">
        <v>13.57</v>
      </c>
      <c r="RH41" s="2">
        <v>13.86</v>
      </c>
      <c r="RI41" s="2">
        <v>14.15</v>
      </c>
      <c r="RJ41" s="2">
        <v>14.4</v>
      </c>
      <c r="RK41" s="2">
        <v>14.7</v>
      </c>
      <c r="RL41" s="2">
        <v>14.92</v>
      </c>
      <c r="RM41" s="2">
        <v>15.1</v>
      </c>
      <c r="RN41" s="2">
        <v>15.35</v>
      </c>
      <c r="RO41" s="2">
        <v>15.72</v>
      </c>
      <c r="RP41" s="2">
        <v>15.94</v>
      </c>
      <c r="RQ41" s="2">
        <v>16.23</v>
      </c>
      <c r="RR41" s="2">
        <v>16.56</v>
      </c>
      <c r="RS41" s="2">
        <v>16.99</v>
      </c>
      <c r="RT41" s="2">
        <v>17.43</v>
      </c>
      <c r="RU41" s="2">
        <v>17.83</v>
      </c>
      <c r="RV41" s="2">
        <v>18.45</v>
      </c>
      <c r="RW41" s="2">
        <v>19.18</v>
      </c>
      <c r="RX41" s="2">
        <v>19.58</v>
      </c>
      <c r="RY41" s="2">
        <v>19.91</v>
      </c>
      <c r="RZ41" s="2">
        <v>20.28</v>
      </c>
      <c r="SA41" s="2">
        <v>20.6</v>
      </c>
      <c r="SB41" s="2">
        <v>20.93</v>
      </c>
      <c r="SC41" s="2">
        <v>21.26</v>
      </c>
      <c r="SD41" s="2">
        <v>21.74</v>
      </c>
      <c r="SE41" s="2">
        <v>22.14</v>
      </c>
      <c r="SF41" s="2">
        <v>22.54</v>
      </c>
      <c r="SG41" s="2">
        <v>22.94</v>
      </c>
      <c r="SH41" s="2">
        <v>23.41</v>
      </c>
      <c r="SI41" s="2">
        <v>24.18</v>
      </c>
      <c r="SJ41" s="2">
        <v>24.69</v>
      </c>
      <c r="SK41" s="2">
        <v>25.24</v>
      </c>
      <c r="SL41" s="2">
        <v>25.93</v>
      </c>
      <c r="SM41" s="2">
        <v>26.62</v>
      </c>
      <c r="SN41" s="2">
        <v>27.21</v>
      </c>
      <c r="SO41" s="2">
        <v>27.83</v>
      </c>
      <c r="SP41" s="2">
        <v>28.48</v>
      </c>
      <c r="SQ41" s="2">
        <v>29.43</v>
      </c>
      <c r="SR41" s="2">
        <v>30.12</v>
      </c>
      <c r="SS41" s="2">
        <v>31</v>
      </c>
      <c r="ST41" s="2">
        <v>31.76</v>
      </c>
      <c r="SU41" s="2">
        <v>32.75</v>
      </c>
      <c r="SV41" s="2">
        <v>33.51</v>
      </c>
      <c r="SW41" s="2">
        <v>34.32</v>
      </c>
      <c r="SX41" s="2">
        <v>34.97</v>
      </c>
      <c r="SY41" s="2">
        <v>35.7</v>
      </c>
      <c r="SZ41" s="2">
        <v>36.32</v>
      </c>
      <c r="TA41" s="2">
        <v>36.72</v>
      </c>
      <c r="TB41" s="2">
        <v>37.16</v>
      </c>
      <c r="TC41" s="2">
        <v>37.67</v>
      </c>
      <c r="TD41" s="2">
        <v>38.15</v>
      </c>
      <c r="TE41" s="2">
        <v>38.36</v>
      </c>
      <c r="TF41" s="2">
        <v>38.66</v>
      </c>
      <c r="TG41" s="2">
        <v>38.8</v>
      </c>
      <c r="TH41" s="2">
        <v>38.88</v>
      </c>
      <c r="TI41" s="2">
        <v>38.95</v>
      </c>
      <c r="TJ41" s="2">
        <v>38.98</v>
      </c>
      <c r="TK41" s="2">
        <v>39.06</v>
      </c>
      <c r="TL41" s="2">
        <v>39.09</v>
      </c>
      <c r="TM41" s="2">
        <v>39.09</v>
      </c>
      <c r="TN41" s="2">
        <v>39.17</v>
      </c>
      <c r="TO41" s="2">
        <v>39.2</v>
      </c>
      <c r="TP41" s="2">
        <v>39.35</v>
      </c>
      <c r="TQ41" s="2">
        <v>39.39</v>
      </c>
      <c r="TR41" s="2">
        <v>39.46</v>
      </c>
      <c r="TS41" s="2">
        <v>39.53</v>
      </c>
      <c r="TT41" s="2">
        <v>39.6</v>
      </c>
      <c r="TU41" s="2">
        <v>39.71</v>
      </c>
      <c r="TV41" s="2">
        <v>40.04</v>
      </c>
      <c r="TW41" s="2">
        <v>40.3</v>
      </c>
      <c r="TX41" s="2">
        <v>40.55</v>
      </c>
      <c r="TY41" s="2">
        <v>40.88</v>
      </c>
      <c r="TZ41" s="2">
        <v>41.21</v>
      </c>
      <c r="UA41" s="2">
        <v>41.54</v>
      </c>
      <c r="UB41" s="2">
        <v>41.83</v>
      </c>
      <c r="UC41" s="2">
        <v>42.05</v>
      </c>
      <c r="UD41" s="2">
        <v>42.45</v>
      </c>
      <c r="UE41" s="2">
        <v>42.74</v>
      </c>
      <c r="UF41" s="2">
        <v>43.07</v>
      </c>
      <c r="UG41" s="2">
        <v>43.32</v>
      </c>
      <c r="UH41" s="2">
        <v>43.76</v>
      </c>
      <c r="UI41" s="2">
        <v>44.13</v>
      </c>
      <c r="UJ41" s="2">
        <v>44.32</v>
      </c>
      <c r="UK41" s="2">
        <v>44.6</v>
      </c>
      <c r="UL41" s="2">
        <v>44.9</v>
      </c>
      <c r="UM41" s="2">
        <v>45.17</v>
      </c>
      <c r="UN41" s="2">
        <v>45.48</v>
      </c>
      <c r="UO41" s="2">
        <v>45.88</v>
      </c>
      <c r="UP41" s="2">
        <v>46.32</v>
      </c>
      <c r="UQ41" s="2">
        <v>46.64</v>
      </c>
      <c r="UR41" s="2">
        <v>46.91</v>
      </c>
      <c r="US41" s="2">
        <v>47.32</v>
      </c>
      <c r="UT41" s="2">
        <v>47.79</v>
      </c>
      <c r="UU41" s="2">
        <v>48.09</v>
      </c>
      <c r="UV41" s="2">
        <v>48.38</v>
      </c>
      <c r="UW41" s="2">
        <v>48.61</v>
      </c>
      <c r="UX41" s="2">
        <v>49.02</v>
      </c>
      <c r="UY41" s="2">
        <v>49.2</v>
      </c>
      <c r="UZ41" s="2">
        <v>49.39</v>
      </c>
      <c r="VA41" s="2">
        <v>49.54</v>
      </c>
      <c r="VB41" s="2">
        <v>49.8</v>
      </c>
      <c r="VC41" s="2">
        <v>50.11</v>
      </c>
      <c r="VD41" s="2">
        <v>50.5</v>
      </c>
      <c r="VE41" s="2">
        <v>50.8</v>
      </c>
      <c r="VF41" s="2">
        <v>51.15</v>
      </c>
      <c r="VG41" s="2">
        <v>51.4</v>
      </c>
      <c r="VH41" s="2">
        <v>51.62</v>
      </c>
      <c r="VI41" s="2">
        <v>51.87</v>
      </c>
      <c r="VJ41" s="2">
        <v>52.23</v>
      </c>
      <c r="VK41" s="2">
        <v>52.55</v>
      </c>
      <c r="VL41" s="2">
        <v>52.92</v>
      </c>
      <c r="VM41" s="2">
        <v>53.32</v>
      </c>
      <c r="VN41" s="2">
        <v>53.81</v>
      </c>
      <c r="VO41" s="2">
        <v>54.33</v>
      </c>
      <c r="VP41" s="2">
        <v>54.88</v>
      </c>
      <c r="VQ41" s="2">
        <v>55.66</v>
      </c>
      <c r="VR41" s="2">
        <v>56.58</v>
      </c>
      <c r="VS41" s="2">
        <v>57.48</v>
      </c>
      <c r="VT41" s="2">
        <v>58.44</v>
      </c>
      <c r="VU41" s="2">
        <v>59.58</v>
      </c>
      <c r="VV41" s="2">
        <v>60.91</v>
      </c>
      <c r="VW41" s="2">
        <v>62.17</v>
      </c>
      <c r="VX41" s="2">
        <v>63.33</v>
      </c>
      <c r="VY41" s="2">
        <v>64.39</v>
      </c>
      <c r="VZ41" s="2">
        <v>65.3</v>
      </c>
      <c r="WA41" s="2">
        <v>66.04000000000001</v>
      </c>
      <c r="WB41" s="2">
        <v>66.68000000000001</v>
      </c>
      <c r="WC41" s="2">
        <v>67.34</v>
      </c>
      <c r="WD41" s="2">
        <v>68.13</v>
      </c>
      <c r="WE41" s="2">
        <v>68.87</v>
      </c>
      <c r="WF41" s="2">
        <v>69.47</v>
      </c>
      <c r="WG41" s="2">
        <v>70.39</v>
      </c>
      <c r="WH41" s="2">
        <v>71.18000000000001</v>
      </c>
      <c r="WI41" s="2">
        <v>72.05</v>
      </c>
      <c r="WJ41" s="2">
        <v>72.78</v>
      </c>
      <c r="WK41" s="2">
        <v>73.48999999999999</v>
      </c>
      <c r="WL41" s="2">
        <v>74.31</v>
      </c>
      <c r="WM41" s="2">
        <v>74.93000000000001</v>
      </c>
      <c r="WN41" s="2">
        <v>75.5</v>
      </c>
      <c r="WO41" s="2">
        <v>76.09999999999999</v>
      </c>
      <c r="WP41" s="2">
        <v>76.88</v>
      </c>
      <c r="WQ41" s="2">
        <v>77.34999999999999</v>
      </c>
      <c r="WR41" s="2">
        <v>77.78</v>
      </c>
      <c r="WS41" s="2">
        <v>78.26000000000001</v>
      </c>
      <c r="WT41" s="2">
        <v>78.75</v>
      </c>
      <c r="WU41" s="2">
        <v>79.22</v>
      </c>
      <c r="WV41" s="2">
        <v>79.63</v>
      </c>
      <c r="WW41" s="2">
        <v>79.87</v>
      </c>
      <c r="WX41" s="2">
        <v>80.17</v>
      </c>
      <c r="WY41" s="2">
        <v>80.42</v>
      </c>
      <c r="WZ41" s="2">
        <v>80.58</v>
      </c>
      <c r="XA41" s="2">
        <v>80.59999999999999</v>
      </c>
      <c r="XB41" s="2">
        <v>80.76000000000001</v>
      </c>
      <c r="XC41" s="2">
        <v>81</v>
      </c>
      <c r="XD41" s="2">
        <v>81.06999999999999</v>
      </c>
      <c r="XE41" s="2">
        <v>81.13</v>
      </c>
      <c r="XF41" s="2">
        <v>81.27</v>
      </c>
      <c r="XG41" s="2">
        <v>81.43000000000001</v>
      </c>
      <c r="XH41" s="2">
        <v>81.62</v>
      </c>
      <c r="XI41" s="2">
        <v>81.83</v>
      </c>
      <c r="XJ41" s="2">
        <v>81.83</v>
      </c>
      <c r="XK41" s="2">
        <v>81.95999999999999</v>
      </c>
      <c r="XL41" s="2">
        <v>82.09</v>
      </c>
      <c r="XM41" s="2">
        <v>82.15000000000001</v>
      </c>
      <c r="XN41" s="2">
        <v>82.19</v>
      </c>
      <c r="XO41" s="2">
        <v>82.23</v>
      </c>
      <c r="XP41" s="2">
        <v>82.23999999999999</v>
      </c>
      <c r="XQ41" s="2">
        <v>82.29000000000001</v>
      </c>
      <c r="XR41" s="2">
        <v>81.22</v>
      </c>
      <c r="XS41" s="2">
        <v>81.03</v>
      </c>
      <c r="XT41" s="2">
        <v>81.14</v>
      </c>
      <c r="XU41" s="2">
        <v>81.14</v>
      </c>
      <c r="XV41" s="2">
        <v>81.19</v>
      </c>
      <c r="XW41" s="2">
        <v>81.31999999999999</v>
      </c>
      <c r="XX41" s="2">
        <v>81.40000000000001</v>
      </c>
      <c r="XY41" s="2">
        <v>81.95</v>
      </c>
      <c r="XZ41" s="2">
        <v>82.48999999999999</v>
      </c>
      <c r="YA41" s="2">
        <v>83.62</v>
      </c>
      <c r="YB41" s="2">
        <v>84.62</v>
      </c>
      <c r="YC41" s="2">
        <v>85.97</v>
      </c>
      <c r="YD41" s="2">
        <v>88.09999999999999</v>
      </c>
      <c r="YE41" s="2">
        <v>90.01000000000001</v>
      </c>
      <c r="YF41" s="2">
        <v>90.8</v>
      </c>
      <c r="YG41" s="2">
        <v>92.7</v>
      </c>
      <c r="YH41" s="2">
        <v>94.5</v>
      </c>
      <c r="YI41" s="2">
        <v>96.09</v>
      </c>
      <c r="YJ41" s="2">
        <v>96.64</v>
      </c>
      <c r="YK41" s="2">
        <v>97.79000000000001</v>
      </c>
      <c r="YL41" s="2">
        <v>98.79000000000001</v>
      </c>
      <c r="YM41" s="2">
        <v>99.73999999999999</v>
      </c>
      <c r="YN41" s="2">
        <v>100.53</v>
      </c>
      <c r="YO41" s="2">
        <v>101.46</v>
      </c>
      <c r="YP41" s="2">
        <v>102.29</v>
      </c>
      <c r="ACI41" s="2">
        <v>1.6</v>
      </c>
      <c r="ACJ41" s="2">
        <v>1.5</v>
      </c>
      <c r="ACK41" s="2">
        <v>1.5</v>
      </c>
      <c r="ACL41" s="2">
        <v>2</v>
      </c>
      <c r="ACM41" s="2">
        <v>3.3</v>
      </c>
      <c r="ACN41" s="2">
        <v>1.4</v>
      </c>
      <c r="ACO41" s="2">
        <v>3.3</v>
      </c>
      <c r="ACP41" s="2">
        <v>4</v>
      </c>
      <c r="ACQ41" s="2">
        <v>3.9</v>
      </c>
      <c r="ACR41" s="2">
        <v>3.3</v>
      </c>
      <c r="ACS41" s="2">
        <v>3.9</v>
      </c>
      <c r="ACT41" s="2">
        <v>4.6</v>
      </c>
      <c r="ACU41" s="2">
        <v>3.6</v>
      </c>
      <c r="ACV41" s="2">
        <v>3.2</v>
      </c>
      <c r="ACW41" s="2">
        <v>2.7</v>
      </c>
      <c r="ACX41" s="2">
        <v>4.4</v>
      </c>
      <c r="ACY41" s="2">
        <v>2.9</v>
      </c>
      <c r="ACZ41" s="2">
        <v>2.5</v>
      </c>
      <c r="ADA41" s="2">
        <v>2.1</v>
      </c>
      <c r="ADB41" s="2">
        <v>2.1</v>
      </c>
      <c r="ADC41" s="2">
        <v>2.6</v>
      </c>
      <c r="ADD41" s="2">
        <v>1.7</v>
      </c>
      <c r="ADE41" s="2">
        <v>1.6</v>
      </c>
      <c r="ADF41" s="2">
        <v>2.3</v>
      </c>
      <c r="ADG41" s="2">
        <v>2.1</v>
      </c>
      <c r="ADH41" s="2">
        <v>2.1</v>
      </c>
      <c r="ADI41" s="2">
        <v>1.8</v>
      </c>
      <c r="ADJ41" s="2">
        <v>2.1</v>
      </c>
      <c r="ADK41" s="2">
        <v>1.5</v>
      </c>
      <c r="ADL41" s="2">
        <v>1.2</v>
      </c>
      <c r="ADM41" s="2">
        <v>1.7</v>
      </c>
      <c r="ADN41" s="2">
        <v>2.4</v>
      </c>
      <c r="ADO41" s="2">
        <v>1.4</v>
      </c>
      <c r="ADP41" s="2">
        <v>1.8</v>
      </c>
      <c r="ADQ41" s="2">
        <v>2</v>
      </c>
      <c r="ADR41" s="2">
        <v>2.6</v>
      </c>
      <c r="ADS41" s="2">
        <v>2.6</v>
      </c>
      <c r="ADT41" s="2">
        <v>2.3</v>
      </c>
      <c r="ADU41" s="2">
        <v>3.5</v>
      </c>
      <c r="ADV41" s="2">
        <v>4</v>
      </c>
      <c r="ADW41" s="2">
        <v>2.1</v>
      </c>
      <c r="ADX41" s="2">
        <v>1.7</v>
      </c>
      <c r="ADY41" s="2">
        <v>1.9</v>
      </c>
      <c r="ADZ41" s="2">
        <v>1.6</v>
      </c>
      <c r="AEA41" s="2">
        <v>1.6</v>
      </c>
      <c r="AEB41" s="2">
        <v>1.6</v>
      </c>
      <c r="AEC41" s="2">
        <v>2.3</v>
      </c>
      <c r="AED41" s="2">
        <v>1.8</v>
      </c>
      <c r="AEE41" s="2">
        <v>1.8</v>
      </c>
      <c r="AEF41" s="2">
        <v>1.8</v>
      </c>
      <c r="AEG41" s="2">
        <v>2</v>
      </c>
      <c r="AEH41" s="2">
        <v>3.3</v>
      </c>
      <c r="AEI41" s="2">
        <v>2.1</v>
      </c>
      <c r="AEJ41" s="2">
        <v>2.2</v>
      </c>
      <c r="AEK41" s="2">
        <v>2.7</v>
      </c>
      <c r="AEL41" s="2">
        <v>2.7</v>
      </c>
      <c r="AEM41" s="2">
        <v>2.2</v>
      </c>
      <c r="AEN41" s="2">
        <v>2.3</v>
      </c>
      <c r="AEO41" s="2">
        <v>2.3</v>
      </c>
      <c r="AEP41" s="2">
        <v>3.3</v>
      </c>
      <c r="AEQ41" s="2">
        <v>2.3</v>
      </c>
      <c r="AER41" s="2">
        <v>2.9</v>
      </c>
      <c r="AES41" s="2">
        <v>2.5</v>
      </c>
      <c r="AET41" s="2">
        <v>3.1</v>
      </c>
      <c r="AEU41" s="2">
        <v>2.3</v>
      </c>
      <c r="AEV41" s="2">
        <v>2.4</v>
      </c>
      <c r="AEW41" s="2">
        <v>1.9</v>
      </c>
      <c r="AEX41" s="2">
        <v>2.1</v>
      </c>
      <c r="AEY41" s="2">
        <v>1.7</v>
      </c>
      <c r="AEZ41" s="2">
        <v>1.1</v>
      </c>
      <c r="AFA41" s="2">
        <v>1.2</v>
      </c>
      <c r="AFB41" s="2">
        <v>1.4</v>
      </c>
      <c r="AFC41" s="2">
        <v>1.3</v>
      </c>
      <c r="AFD41" s="2">
        <v>0.6</v>
      </c>
      <c r="AFE41" s="2">
        <v>0.8</v>
      </c>
      <c r="AFF41" s="2">
        <v>0.4</v>
      </c>
      <c r="AFG41" s="2">
        <v>0.2</v>
      </c>
      <c r="AFH41" s="2">
        <v>0.2</v>
      </c>
      <c r="AFI41" s="2">
        <v>0.1</v>
      </c>
      <c r="AFJ41" s="2">
        <v>0.2</v>
      </c>
      <c r="AFK41" s="2">
        <v>0.1</v>
      </c>
      <c r="AFL41" s="2">
        <v>0</v>
      </c>
      <c r="AFM41" s="2">
        <v>0.2</v>
      </c>
      <c r="AFN41" s="2">
        <v>0.1</v>
      </c>
      <c r="AFO41" s="2">
        <v>0.4</v>
      </c>
      <c r="AFP41" s="2">
        <v>0.1</v>
      </c>
      <c r="AFQ41" s="2">
        <v>0.2</v>
      </c>
      <c r="AFR41" s="2">
        <v>0.2</v>
      </c>
      <c r="AFS41" s="2">
        <v>0.2</v>
      </c>
      <c r="AFT41" s="2">
        <v>0.3</v>
      </c>
      <c r="AFU41" s="2">
        <v>0.8</v>
      </c>
      <c r="AFV41" s="2">
        <v>0.6</v>
      </c>
      <c r="AFW41" s="2">
        <v>0.6</v>
      </c>
      <c r="AFX41" s="2">
        <v>0.8</v>
      </c>
      <c r="AFY41" s="2">
        <v>0.8</v>
      </c>
      <c r="AFZ41" s="2">
        <v>0.8</v>
      </c>
      <c r="AGA41" s="2">
        <v>0.7</v>
      </c>
      <c r="AGB41" s="2">
        <v>0.5</v>
      </c>
      <c r="AGC41" s="2">
        <v>1</v>
      </c>
      <c r="AGD41" s="2">
        <v>0.7</v>
      </c>
      <c r="AGE41" s="2">
        <v>0.8</v>
      </c>
      <c r="AGF41" s="2">
        <v>0.6</v>
      </c>
      <c r="AGG41" s="2">
        <v>1</v>
      </c>
      <c r="AGH41" s="2">
        <v>0.8</v>
      </c>
      <c r="AGI41" s="2">
        <v>0.4</v>
      </c>
      <c r="AGJ41" s="2">
        <v>0.6</v>
      </c>
      <c r="AGK41" s="2">
        <v>0.7</v>
      </c>
      <c r="AGL41" s="2">
        <v>0.6</v>
      </c>
      <c r="AGM41" s="2">
        <v>0.7</v>
      </c>
      <c r="AGN41" s="2">
        <v>0.9</v>
      </c>
      <c r="AGO41" s="2">
        <v>1</v>
      </c>
      <c r="AGP41" s="2">
        <v>0.7</v>
      </c>
      <c r="AGQ41" s="2">
        <v>0.6</v>
      </c>
      <c r="AGR41" s="2">
        <v>0.9</v>
      </c>
      <c r="AGS41" s="2">
        <v>1</v>
      </c>
      <c r="AGT41" s="2">
        <v>0.6</v>
      </c>
      <c r="AGU41" s="2">
        <v>0.6</v>
      </c>
      <c r="AGV41" s="2">
        <v>0.5</v>
      </c>
      <c r="AGW41" s="2">
        <v>0.8</v>
      </c>
      <c r="AGX41" s="2">
        <v>0.4</v>
      </c>
      <c r="AGY41" s="2">
        <v>0.4</v>
      </c>
      <c r="AGZ41" s="2">
        <v>0.3</v>
      </c>
      <c r="AHA41" s="2">
        <v>0.5</v>
      </c>
      <c r="AHB41" s="2">
        <v>0.6</v>
      </c>
      <c r="AHC41" s="2">
        <v>0.8</v>
      </c>
      <c r="AHD41" s="2">
        <v>0.6</v>
      </c>
      <c r="AHE41" s="2">
        <v>0.7</v>
      </c>
      <c r="AHF41" s="2">
        <v>0.5</v>
      </c>
      <c r="AHG41" s="2">
        <v>0.4</v>
      </c>
      <c r="AHH41" s="2">
        <v>0.5</v>
      </c>
      <c r="AHI41" s="2">
        <v>0.7</v>
      </c>
      <c r="AHJ41" s="2">
        <v>0.6</v>
      </c>
      <c r="AHK41" s="2">
        <v>0.7</v>
      </c>
      <c r="AHL41" s="2">
        <v>0.8</v>
      </c>
      <c r="AHM41" s="2">
        <v>0.9</v>
      </c>
      <c r="AHN41" s="2">
        <v>1</v>
      </c>
      <c r="AHO41" s="2">
        <v>1</v>
      </c>
      <c r="AHP41" s="2">
        <v>1.4</v>
      </c>
      <c r="AHQ41" s="2">
        <v>1.7</v>
      </c>
      <c r="AHR41" s="2">
        <v>1.6</v>
      </c>
      <c r="AHS41" s="2">
        <v>1.7</v>
      </c>
      <c r="AHT41" s="2">
        <v>2</v>
      </c>
      <c r="AHU41" s="2">
        <v>2.2</v>
      </c>
      <c r="AHV41" s="2">
        <v>2.1</v>
      </c>
      <c r="AHW41" s="2">
        <v>1.9</v>
      </c>
      <c r="AHX41" s="2">
        <v>1.7</v>
      </c>
      <c r="AHY41" s="2">
        <v>1.4</v>
      </c>
      <c r="AHZ41" s="2">
        <v>1.1</v>
      </c>
      <c r="AIA41" s="2">
        <v>1</v>
      </c>
      <c r="AIB41" s="2">
        <v>1</v>
      </c>
      <c r="AIC41" s="2">
        <v>1.2</v>
      </c>
      <c r="AID41" s="2">
        <v>1.1</v>
      </c>
      <c r="AIE41" s="2">
        <v>0.9</v>
      </c>
      <c r="AIF41" s="2">
        <v>1.3</v>
      </c>
      <c r="AIG41" s="2">
        <v>1.1</v>
      </c>
      <c r="AIH41" s="2">
        <v>1.2</v>
      </c>
      <c r="AII41" s="2">
        <v>1</v>
      </c>
      <c r="AIJ41" s="2">
        <v>1</v>
      </c>
      <c r="AIK41" s="2">
        <v>1.1</v>
      </c>
      <c r="AIL41" s="2">
        <v>0.8</v>
      </c>
      <c r="AIM41" s="2">
        <v>0.8</v>
      </c>
      <c r="AIN41" s="2">
        <v>0.8</v>
      </c>
      <c r="AIO41" s="2">
        <v>1</v>
      </c>
      <c r="AIP41" s="2">
        <v>0.6</v>
      </c>
      <c r="AIQ41" s="2">
        <v>0.6</v>
      </c>
      <c r="AIR41" s="2">
        <v>0.6</v>
      </c>
      <c r="AIS41" s="2">
        <v>0.6</v>
      </c>
      <c r="AIT41" s="2">
        <v>0.6</v>
      </c>
      <c r="AIU41" s="2">
        <v>0.5</v>
      </c>
      <c r="AIV41" s="2">
        <v>0.3</v>
      </c>
      <c r="AIW41" s="2">
        <v>0.4</v>
      </c>
      <c r="AIX41" s="2">
        <v>0.3</v>
      </c>
      <c r="AIY41" s="2">
        <v>0.2</v>
      </c>
      <c r="AIZ41" s="2">
        <v>0</v>
      </c>
      <c r="AJA41" s="2">
        <v>0.2</v>
      </c>
      <c r="AJB41" s="2">
        <v>0.3</v>
      </c>
      <c r="AJC41" s="2">
        <v>0.1</v>
      </c>
      <c r="AJD41" s="2">
        <v>0.1</v>
      </c>
      <c r="AJE41" s="2">
        <v>0.2</v>
      </c>
      <c r="AJF41" s="2">
        <v>0.2</v>
      </c>
      <c r="AJG41" s="2">
        <v>0.2</v>
      </c>
      <c r="AJH41" s="2">
        <v>0.3</v>
      </c>
      <c r="AJI41" s="2">
        <v>0</v>
      </c>
      <c r="AJJ41" s="2">
        <v>0.2</v>
      </c>
      <c r="AJK41" s="2">
        <v>0.2</v>
      </c>
      <c r="AJL41" s="2">
        <v>0.1</v>
      </c>
      <c r="AJM41" s="2">
        <v>0</v>
      </c>
      <c r="AJN41" s="2">
        <v>0</v>
      </c>
      <c r="AJO41" s="2">
        <v>0</v>
      </c>
      <c r="AJP41" s="2">
        <v>0.1</v>
      </c>
      <c r="AJQ41" s="2">
        <v>-1.3</v>
      </c>
      <c r="AJR41" s="2">
        <v>-0.2</v>
      </c>
      <c r="AJS41" s="2">
        <v>0.1</v>
      </c>
      <c r="AJT41" s="2">
        <v>0</v>
      </c>
      <c r="AJU41" s="2">
        <v>0.1</v>
      </c>
      <c r="AJV41" s="2">
        <v>0.2</v>
      </c>
      <c r="AJW41" s="2">
        <v>0.1</v>
      </c>
      <c r="AJX41" s="2">
        <v>0.7</v>
      </c>
      <c r="AJY41" s="2">
        <v>0.7</v>
      </c>
      <c r="AJZ41" s="2">
        <v>1.4</v>
      </c>
      <c r="AKA41" s="2">
        <v>1.2</v>
      </c>
      <c r="AKB41" s="2">
        <v>1.6</v>
      </c>
      <c r="AKC41" s="2">
        <v>2.5</v>
      </c>
      <c r="AKD41" s="2">
        <v>2.2</v>
      </c>
      <c r="AKE41" s="2">
        <v>0.9</v>
      </c>
      <c r="AKF41" s="2">
        <v>2.1</v>
      </c>
      <c r="AKG41" s="2">
        <v>1.9</v>
      </c>
      <c r="AKH41" s="2">
        <v>1.7</v>
      </c>
      <c r="AKI41" s="2">
        <v>0.6</v>
      </c>
      <c r="AKJ41" s="2">
        <v>1.2</v>
      </c>
      <c r="AKK41" s="2">
        <v>1</v>
      </c>
      <c r="AKL41" s="2">
        <v>1</v>
      </c>
      <c r="AKM41" s="2">
        <v>0.8</v>
      </c>
      <c r="AKN41" s="2">
        <v>0.9</v>
      </c>
      <c r="AKO41" s="2">
        <v>0.8</v>
      </c>
      <c r="AKP41" s="2">
        <v>6.66</v>
      </c>
      <c r="AKQ41" s="2">
        <v>6.72</v>
      </c>
      <c r="AKR41" s="2">
        <v>6.77</v>
      </c>
    </row>
    <row r="42">
      <c r="A42" t="inlineStr">
        <is>
          <t>New dwelling purchase by owner-occupiers</t>
        </is>
      </c>
      <c r="B42" t="inlineStr">
        <is>
          <t>New dwelling purchase by owner-occupiers</t>
        </is>
      </c>
      <c r="C42">
        <v>3</v>
      </c>
      <c r="D42">
        <v>7.54</v>
      </c>
      <c r="E42" s="3">
        <f>D42/7.54*0.0754</f>
        <v>0.07539999999999998</v>
      </c>
      <c r="F42" s="3">
        <f>E42-D42/100</f>
        <v>-1.3877787807814457e-17</v>
      </c>
      <c r="G42" s="3">
        <f>D42/7.54</f>
        <v>1.0</v>
      </c>
      <c r="H42" s="2">
        <v>69.2</v>
      </c>
      <c r="I42" s="2">
        <v>68.92</v>
      </c>
      <c r="J42" s="2">
        <v>69.3</v>
      </c>
      <c r="K42" s="2">
        <v>69.72</v>
      </c>
      <c r="L42" s="2">
        <v>69.63</v>
      </c>
      <c r="M42" s="2">
        <v>69.65000000000001</v>
      </c>
      <c r="N42" s="2">
        <v>69.81</v>
      </c>
      <c r="O42" s="2">
        <v>69.97</v>
      </c>
      <c r="P42" s="2">
        <v>70.15000000000001</v>
      </c>
      <c r="Q42" s="2">
        <v>70.52</v>
      </c>
      <c r="R42" s="2">
        <v>70.37</v>
      </c>
      <c r="S42" s="2">
        <v>70.13</v>
      </c>
      <c r="T42" s="2">
        <v>70.34999999999999</v>
      </c>
      <c r="U42" s="2">
        <v>70.48</v>
      </c>
      <c r="V42" s="2">
        <v>70.58</v>
      </c>
      <c r="W42" s="2">
        <v>70.70999999999999</v>
      </c>
      <c r="X42" s="2">
        <v>70.43000000000001</v>
      </c>
      <c r="Y42" s="2">
        <v>70.45999999999999</v>
      </c>
      <c r="Z42" s="2">
        <v>70.59999999999999</v>
      </c>
      <c r="AA42" s="2">
        <v>70.45999999999999</v>
      </c>
      <c r="AB42" s="2">
        <v>70.31</v>
      </c>
      <c r="AC42" s="2">
        <v>70.36</v>
      </c>
      <c r="AD42" s="2">
        <v>70.37</v>
      </c>
      <c r="AE42" s="2">
        <v>70.09</v>
      </c>
      <c r="AF42" s="2">
        <v>70.45999999999999</v>
      </c>
      <c r="AG42" s="2">
        <v>70.48999999999999</v>
      </c>
      <c r="AH42" s="2">
        <v>70.48999999999999</v>
      </c>
      <c r="AI42" s="2">
        <v>70.67</v>
      </c>
      <c r="AJ42" s="2">
        <v>70.75</v>
      </c>
      <c r="AK42" s="2">
        <v>71</v>
      </c>
      <c r="AL42" s="2">
        <v>70.95999999999999</v>
      </c>
      <c r="AM42" s="2">
        <v>70.92</v>
      </c>
      <c r="AN42" s="2">
        <v>70.75</v>
      </c>
      <c r="AO42" s="2">
        <v>71.05</v>
      </c>
      <c r="AP42" s="2">
        <v>71.18000000000001</v>
      </c>
      <c r="AQ42" s="2">
        <v>71.36</v>
      </c>
      <c r="AR42" s="2">
        <v>71.36</v>
      </c>
      <c r="AS42" s="2">
        <v>71.47</v>
      </c>
      <c r="AT42" s="2">
        <v>71.78</v>
      </c>
      <c r="AU42" s="2">
        <v>71.79000000000001</v>
      </c>
      <c r="AV42" s="2">
        <v>72.34</v>
      </c>
      <c r="AW42" s="2">
        <v>71.62</v>
      </c>
      <c r="AX42" s="2">
        <v>71.54000000000001</v>
      </c>
      <c r="AY42" s="2">
        <v>70.91</v>
      </c>
      <c r="AZ42" s="2">
        <v>71.87</v>
      </c>
      <c r="BA42" s="2">
        <v>72.38</v>
      </c>
      <c r="BB42" s="2">
        <v>72.73</v>
      </c>
      <c r="BC42" s="2">
        <v>74.27</v>
      </c>
      <c r="BD42" s="2">
        <v>74.97</v>
      </c>
      <c r="BE42" s="2">
        <v>75.11</v>
      </c>
      <c r="BF42" s="2">
        <v>76.75</v>
      </c>
      <c r="BG42" s="2">
        <v>78.69</v>
      </c>
      <c r="BH42" s="2">
        <v>79.90000000000001</v>
      </c>
      <c r="BI42" s="2">
        <v>81.27</v>
      </c>
      <c r="BJ42" s="2">
        <v>82.83</v>
      </c>
      <c r="BK42" s="2">
        <v>84.62</v>
      </c>
      <c r="BL42" s="2">
        <v>85.73999999999999</v>
      </c>
      <c r="BM42" s="2">
        <v>87.34999999999999</v>
      </c>
      <c r="BN42" s="2">
        <v>88.48999999999999</v>
      </c>
      <c r="BO42" s="2">
        <v>89.47</v>
      </c>
      <c r="BP42" s="2">
        <v>89.98</v>
      </c>
      <c r="BQ42" s="2">
        <v>90.38</v>
      </c>
      <c r="BR42" s="2">
        <v>90.45999999999999</v>
      </c>
      <c r="BS42" s="2">
        <v>91.26000000000001</v>
      </c>
      <c r="BT42" s="2">
        <v>91.70999999999999</v>
      </c>
      <c r="BU42" s="2">
        <v>91.84999999999999</v>
      </c>
      <c r="BV42" s="2">
        <v>92.01000000000001</v>
      </c>
      <c r="BW42" s="2">
        <v>92.47</v>
      </c>
      <c r="BX42" s="2">
        <v>92.89</v>
      </c>
      <c r="BY42" s="2">
        <v>93.09999999999999</v>
      </c>
      <c r="BZ42" s="2">
        <v>93.69</v>
      </c>
      <c r="CA42" s="2">
        <v>93.78</v>
      </c>
      <c r="CB42" s="2">
        <v>94.42</v>
      </c>
      <c r="CC42" s="2">
        <v>94.62</v>
      </c>
      <c r="CD42" s="2">
        <v>95.43000000000001</v>
      </c>
      <c r="CE42" s="2">
        <v>95.92</v>
      </c>
      <c r="CF42" s="2">
        <v>96.08</v>
      </c>
      <c r="CG42" s="2">
        <v>96.3</v>
      </c>
      <c r="CH42" s="2">
        <v>96.77</v>
      </c>
      <c r="CI42" s="2">
        <v>97.06999999999999</v>
      </c>
      <c r="CJ42" s="2">
        <v>97.54000000000001</v>
      </c>
      <c r="CK42" s="2">
        <v>98.06999999999999</v>
      </c>
      <c r="CL42" s="2">
        <v>98.45</v>
      </c>
      <c r="CM42" s="2">
        <v>98.69</v>
      </c>
      <c r="CN42" s="2">
        <v>98.5</v>
      </c>
      <c r="CO42" s="2">
        <v>98.68000000000001</v>
      </c>
      <c r="CP42" s="2">
        <v>98.13</v>
      </c>
      <c r="CQ42" s="2">
        <v>98.12</v>
      </c>
      <c r="CR42" s="2">
        <v>98.04000000000001</v>
      </c>
      <c r="CS42" s="2">
        <v>97.95</v>
      </c>
      <c r="CT42" s="2">
        <v>97.69</v>
      </c>
      <c r="CU42" s="2">
        <v>98.27</v>
      </c>
      <c r="CV42" s="2">
        <v>98.28</v>
      </c>
      <c r="CW42" s="2">
        <v>98.45999999999999</v>
      </c>
      <c r="CX42" s="2">
        <v>98.91</v>
      </c>
      <c r="CY42" s="2">
        <v>99.34</v>
      </c>
      <c r="CZ42" s="2">
        <v>100</v>
      </c>
      <c r="DA42" s="2">
        <v>100.4</v>
      </c>
      <c r="DB42" s="2">
        <v>100.89</v>
      </c>
      <c r="DC42" s="2">
        <v>101.07</v>
      </c>
      <c r="DD42" s="2">
        <v>101.47</v>
      </c>
      <c r="DE42" s="2">
        <v>101.62</v>
      </c>
      <c r="DF42" s="2">
        <v>102.11</v>
      </c>
      <c r="DG42" s="2">
        <v>102.84</v>
      </c>
      <c r="DH42" s="2">
        <v>103.74</v>
      </c>
      <c r="DI42" s="2">
        <v>104.13</v>
      </c>
      <c r="DJ42" s="2">
        <v>104.52</v>
      </c>
      <c r="DK42" s="2">
        <v>1.7</v>
      </c>
      <c r="DL42" s="2">
        <v>2.3</v>
      </c>
      <c r="DM42" s="2">
        <v>1.8</v>
      </c>
      <c r="DN42" s="2">
        <v>1.4</v>
      </c>
      <c r="DO42" s="2">
        <v>1.1</v>
      </c>
      <c r="DP42" s="2">
        <v>1.2</v>
      </c>
      <c r="DQ42" s="2">
        <v>1.1</v>
      </c>
      <c r="DR42" s="2">
        <v>0.7</v>
      </c>
      <c r="DS42" s="2">
        <v>0.2</v>
      </c>
      <c r="DT42" s="2">
        <v>-0.2</v>
      </c>
      <c r="DU42" s="2">
        <v>0</v>
      </c>
      <c r="DV42" s="2">
        <v>-0.1</v>
      </c>
      <c r="DW42" s="2">
        <v>0.2</v>
      </c>
      <c r="DX42" s="2">
        <v>0</v>
      </c>
      <c r="DY42" s="2">
        <v>-0.1</v>
      </c>
      <c r="DZ42" s="2">
        <v>-0.1</v>
      </c>
      <c r="EA42" s="2">
        <v>0.5</v>
      </c>
      <c r="EB42" s="2">
        <v>0.8</v>
      </c>
      <c r="EC42" s="2">
        <v>0.5</v>
      </c>
      <c r="ED42" s="2">
        <v>0.7</v>
      </c>
      <c r="EE42" s="2">
        <v>0.6</v>
      </c>
      <c r="EF42" s="2">
        <v>1</v>
      </c>
      <c r="EG42" s="2">
        <v>1.2</v>
      </c>
      <c r="EH42" s="2">
        <v>1.8</v>
      </c>
      <c r="EI42" s="2">
        <v>1.3</v>
      </c>
      <c r="EJ42" s="2">
        <v>1.4</v>
      </c>
      <c r="EK42" s="2">
        <v>1.8</v>
      </c>
      <c r="EL42" s="2">
        <v>1.6</v>
      </c>
      <c r="EM42" s="2">
        <v>2.2</v>
      </c>
      <c r="EN42" s="2">
        <v>0.9</v>
      </c>
      <c r="EO42" s="2">
        <v>0.8</v>
      </c>
      <c r="EP42" s="2">
        <v>0</v>
      </c>
      <c r="EQ42" s="2">
        <v>1.6</v>
      </c>
      <c r="ER42" s="2">
        <v>1.9</v>
      </c>
      <c r="ES42" s="2">
        <v>2.2</v>
      </c>
      <c r="ET42" s="2">
        <v>4.1</v>
      </c>
      <c r="EU42" s="2">
        <v>5.1</v>
      </c>
      <c r="EV42" s="2">
        <v>5.1</v>
      </c>
      <c r="EW42" s="2">
        <v>6.9</v>
      </c>
      <c r="EX42" s="2">
        <v>9.6</v>
      </c>
      <c r="EY42" s="2">
        <v>10.5</v>
      </c>
      <c r="EZ42" s="2">
        <v>13.5</v>
      </c>
      <c r="FA42" s="2">
        <v>15.8</v>
      </c>
      <c r="FB42" s="2">
        <v>19.3</v>
      </c>
      <c r="FC42" s="2">
        <v>19.3</v>
      </c>
      <c r="FD42" s="2">
        <v>20.7</v>
      </c>
      <c r="FE42" s="2">
        <v>21.7</v>
      </c>
      <c r="FF42" s="2">
        <v>20.5</v>
      </c>
      <c r="FG42" s="2">
        <v>20</v>
      </c>
      <c r="FH42" s="2">
        <v>20.3</v>
      </c>
      <c r="FI42" s="2">
        <v>17.9</v>
      </c>
      <c r="FJ42" s="2">
        <v>16</v>
      </c>
      <c r="FK42" s="2">
        <v>14.8</v>
      </c>
      <c r="FL42" s="2">
        <v>13</v>
      </c>
      <c r="FM42" s="2">
        <v>11.1</v>
      </c>
      <c r="FN42" s="2">
        <v>9.300000000000001</v>
      </c>
      <c r="FO42" s="2">
        <v>8.300000000000001</v>
      </c>
      <c r="FP42" s="2">
        <v>6.6</v>
      </c>
      <c r="FQ42" s="2">
        <v>5.9</v>
      </c>
      <c r="FR42" s="2">
        <v>4.8</v>
      </c>
      <c r="FS42" s="2">
        <v>4.9</v>
      </c>
      <c r="FT42" s="2">
        <v>4.7</v>
      </c>
      <c r="FU42" s="2">
        <v>5.5</v>
      </c>
      <c r="FV42" s="2">
        <v>5.1</v>
      </c>
      <c r="FW42" s="2">
        <v>4.8</v>
      </c>
      <c r="FX42" s="2">
        <v>4.8</v>
      </c>
      <c r="FY42" s="2">
        <v>5.2</v>
      </c>
      <c r="FZ42" s="2">
        <v>5</v>
      </c>
      <c r="GA42" s="2">
        <v>5</v>
      </c>
      <c r="GB42" s="2">
        <v>5.3</v>
      </c>
      <c r="GC42" s="2">
        <v>5.1</v>
      </c>
      <c r="GD42" s="2">
        <v>5.2</v>
      </c>
      <c r="GE42" s="2">
        <v>4.3</v>
      </c>
      <c r="GF42" s="2">
        <v>4.3</v>
      </c>
      <c r="GG42" s="2">
        <v>2.8</v>
      </c>
      <c r="GH42" s="2">
        <v>2.3</v>
      </c>
      <c r="GI42" s="2">
        <v>2</v>
      </c>
      <c r="GJ42" s="2">
        <v>1.7</v>
      </c>
      <c r="GK42" s="2">
        <v>1</v>
      </c>
      <c r="GL42" s="2">
        <v>1.2</v>
      </c>
      <c r="GM42" s="2">
        <v>0.8</v>
      </c>
      <c r="GN42" s="2">
        <v>0.4</v>
      </c>
      <c r="GO42" s="2">
        <v>0.5</v>
      </c>
      <c r="GP42" s="2">
        <v>0.7</v>
      </c>
      <c r="GQ42" s="2">
        <v>1.5</v>
      </c>
      <c r="GR42" s="2">
        <v>1.7</v>
      </c>
      <c r="GS42" s="2">
        <v>2.8</v>
      </c>
      <c r="GT42" s="2">
        <v>3</v>
      </c>
      <c r="GU42" s="2">
        <v>3.5</v>
      </c>
      <c r="GV42" s="2">
        <v>3.7</v>
      </c>
      <c r="GW42" s="2">
        <v>4.5</v>
      </c>
      <c r="GX42" s="2">
        <v>4.7</v>
      </c>
      <c r="GY42" s="2">
        <v>5.6</v>
      </c>
      <c r="GZ42" s="2">
        <v>5.8</v>
      </c>
      <c r="HA42" s="2">
        <v>5.7</v>
      </c>
      <c r="HB42" s="2">
        <v>-0.4</v>
      </c>
      <c r="HC42" s="2">
        <v>0.6</v>
      </c>
      <c r="HD42" s="2">
        <v>0.6</v>
      </c>
      <c r="HE42" s="2">
        <v>-0.1</v>
      </c>
      <c r="HF42" s="2">
        <v>0</v>
      </c>
      <c r="HG42" s="2">
        <v>0.2</v>
      </c>
      <c r="HH42" s="2">
        <v>0.2</v>
      </c>
      <c r="HI42" s="2">
        <v>0.3</v>
      </c>
      <c r="HJ42" s="2">
        <v>0.5</v>
      </c>
      <c r="HK42" s="2">
        <v>-0.2</v>
      </c>
      <c r="HL42" s="2">
        <v>-0.3</v>
      </c>
      <c r="HM42" s="2">
        <v>0.3</v>
      </c>
      <c r="HN42" s="2">
        <v>0.2</v>
      </c>
      <c r="HO42" s="2">
        <v>0.1</v>
      </c>
      <c r="HP42" s="2">
        <v>0.2</v>
      </c>
      <c r="HQ42" s="2">
        <v>-0.4</v>
      </c>
      <c r="HR42" s="2">
        <v>0</v>
      </c>
      <c r="HS42" s="2">
        <v>0.2</v>
      </c>
      <c r="HT42" s="2">
        <v>-0.2</v>
      </c>
      <c r="HU42" s="2">
        <v>-0.2</v>
      </c>
      <c r="HV42" s="2">
        <v>0.1</v>
      </c>
      <c r="HW42" s="2">
        <v>0</v>
      </c>
      <c r="HX42" s="2">
        <v>-0.4</v>
      </c>
      <c r="HY42" s="2">
        <v>0.5</v>
      </c>
      <c r="HZ42" s="2">
        <v>0</v>
      </c>
      <c r="IA42" s="2">
        <v>0</v>
      </c>
      <c r="IB42" s="2">
        <v>0.3</v>
      </c>
      <c r="IC42" s="2">
        <v>0.1</v>
      </c>
      <c r="ID42" s="2">
        <v>0.4</v>
      </c>
      <c r="IE42" s="2">
        <v>-0.1</v>
      </c>
      <c r="IF42" s="2">
        <v>-0.1</v>
      </c>
      <c r="IG42" s="2">
        <v>-0.2</v>
      </c>
      <c r="IH42" s="2">
        <v>0.4</v>
      </c>
      <c r="II42" s="2">
        <v>0.2</v>
      </c>
      <c r="IJ42" s="2">
        <v>0.3</v>
      </c>
      <c r="IK42" s="2">
        <v>0</v>
      </c>
      <c r="IL42" s="2">
        <v>0.2</v>
      </c>
      <c r="IM42" s="2">
        <v>0.4</v>
      </c>
      <c r="IN42" s="2">
        <v>0</v>
      </c>
      <c r="IO42" s="2">
        <v>0.8</v>
      </c>
      <c r="IP42" s="2">
        <v>-1</v>
      </c>
      <c r="IQ42" s="2">
        <v>-0.1</v>
      </c>
      <c r="IR42" s="2">
        <v>-0.9</v>
      </c>
      <c r="IS42" s="2">
        <v>1.4</v>
      </c>
      <c r="IT42" s="2">
        <v>0.7</v>
      </c>
      <c r="IU42" s="2">
        <v>0.5</v>
      </c>
      <c r="IV42" s="2">
        <v>2.1</v>
      </c>
      <c r="IW42" s="2">
        <v>0.9</v>
      </c>
      <c r="IX42" s="2">
        <v>0.2</v>
      </c>
      <c r="IY42" s="2">
        <v>2.2</v>
      </c>
      <c r="IZ42" s="2">
        <v>2.5</v>
      </c>
      <c r="JA42" s="2">
        <v>1.5</v>
      </c>
      <c r="JB42" s="2">
        <v>1.7</v>
      </c>
      <c r="JC42" s="2">
        <v>1.9</v>
      </c>
      <c r="JD42" s="2">
        <v>2.2</v>
      </c>
      <c r="JE42" s="2">
        <v>1.3</v>
      </c>
      <c r="JF42" s="2">
        <v>1.9</v>
      </c>
      <c r="JG42" s="2">
        <v>1.3</v>
      </c>
      <c r="JH42" s="2">
        <v>1.1</v>
      </c>
      <c r="JI42" s="2">
        <v>0.6</v>
      </c>
      <c r="JJ42" s="2">
        <v>0.4</v>
      </c>
      <c r="JK42" s="2">
        <v>0.1</v>
      </c>
      <c r="JL42" s="2">
        <v>0.9</v>
      </c>
      <c r="JM42" s="2">
        <v>0.5</v>
      </c>
      <c r="JN42" s="2">
        <v>0.2</v>
      </c>
      <c r="JO42" s="2">
        <v>0.2</v>
      </c>
      <c r="JP42" s="2">
        <v>0.5</v>
      </c>
      <c r="JQ42" s="2">
        <v>0.5</v>
      </c>
      <c r="JR42" s="2">
        <v>0.2</v>
      </c>
      <c r="JS42" s="2">
        <v>0.6</v>
      </c>
      <c r="JT42" s="2">
        <v>0.1</v>
      </c>
      <c r="JU42" s="2">
        <v>0.7</v>
      </c>
      <c r="JV42" s="2">
        <v>0.2</v>
      </c>
      <c r="JW42" s="2">
        <v>0.9</v>
      </c>
      <c r="JX42" s="2">
        <v>0.5</v>
      </c>
      <c r="JY42" s="2">
        <v>0.2</v>
      </c>
      <c r="JZ42" s="2">
        <v>0.2</v>
      </c>
      <c r="KA42" s="2">
        <v>0.5</v>
      </c>
      <c r="KB42" s="2">
        <v>0.3</v>
      </c>
      <c r="KC42" s="2">
        <v>0.5</v>
      </c>
      <c r="KD42" s="2">
        <v>0.5</v>
      </c>
      <c r="KE42" s="2">
        <v>0.4</v>
      </c>
      <c r="KF42" s="2">
        <v>0.2</v>
      </c>
      <c r="KG42" s="2">
        <v>-0.2</v>
      </c>
      <c r="KH42" s="2">
        <v>0.2</v>
      </c>
      <c r="KI42" s="2">
        <v>-0.6</v>
      </c>
      <c r="KJ42" s="2">
        <v>0</v>
      </c>
      <c r="KK42" s="2">
        <v>-0.1</v>
      </c>
      <c r="KL42" s="2">
        <v>-0.1</v>
      </c>
      <c r="KM42" s="2">
        <v>-0.3</v>
      </c>
      <c r="KN42" s="2">
        <v>0.6</v>
      </c>
      <c r="KO42" s="2">
        <v>0</v>
      </c>
      <c r="KP42" s="2">
        <v>0.2</v>
      </c>
      <c r="KQ42" s="2">
        <v>0.5</v>
      </c>
      <c r="KR42" s="2">
        <v>0.4</v>
      </c>
      <c r="KS42" s="2">
        <v>0.7</v>
      </c>
      <c r="KT42" s="2">
        <v>0.4</v>
      </c>
      <c r="KU42" s="2">
        <v>0.5</v>
      </c>
      <c r="KV42" s="2">
        <v>0.2</v>
      </c>
      <c r="KW42" s="2">
        <v>0.4</v>
      </c>
      <c r="KX42" s="2">
        <v>0.1</v>
      </c>
      <c r="KY42" s="2">
        <v>0.5</v>
      </c>
      <c r="KZ42" s="2">
        <v>0.7</v>
      </c>
      <c r="LA42" s="2">
        <v>0.9</v>
      </c>
      <c r="LB42" s="2">
        <v>0.4</v>
      </c>
      <c r="LC42" s="2">
        <v>0.4</v>
      </c>
      <c r="LD42" s="2">
        <v>7.34</v>
      </c>
      <c r="LE42" s="2">
        <v>7.34</v>
      </c>
      <c r="LF42" s="2">
        <v>7.33</v>
      </c>
      <c r="LG42" s="2">
        <v>7.31</v>
      </c>
      <c r="LH42" s="2">
        <v>7.35</v>
      </c>
      <c r="LI42" s="2">
        <v>7.35</v>
      </c>
      <c r="LJ42" s="2">
        <v>7.37</v>
      </c>
      <c r="LK42" s="2">
        <v>7.4</v>
      </c>
      <c r="LL42" s="2">
        <v>7.43</v>
      </c>
      <c r="LM42" s="2">
        <v>7.48</v>
      </c>
      <c r="LN42" s="2">
        <v>7.51</v>
      </c>
      <c r="LO42" s="2">
        <v>7.55</v>
      </c>
      <c r="LP42" s="2">
        <v>7.56</v>
      </c>
      <c r="LQ42" s="2">
        <v>7.59</v>
      </c>
      <c r="LR42" s="2">
        <v>7.6</v>
      </c>
      <c r="LS42" s="2">
        <v>7.64</v>
      </c>
      <c r="LT42" s="2">
        <v>7.69</v>
      </c>
      <c r="LU42" s="2">
        <v>7.76</v>
      </c>
      <c r="LV42" s="2">
        <v>7.79</v>
      </c>
      <c r="LW42" s="2">
        <v>7.82</v>
      </c>
      <c r="LX42" s="2">
        <v>0</v>
      </c>
      <c r="LY42" s="2">
        <v>-0.01</v>
      </c>
      <c r="LZ42" s="2">
        <v>-0.02</v>
      </c>
      <c r="MA42" s="2">
        <v>0.04</v>
      </c>
      <c r="MB42" s="2">
        <v>0</v>
      </c>
      <c r="MC42" s="2">
        <v>0.02</v>
      </c>
      <c r="MD42" s="2">
        <v>0.03</v>
      </c>
      <c r="ME42" s="2">
        <v>0.03</v>
      </c>
      <c r="MF42" s="2">
        <v>0.05</v>
      </c>
      <c r="MG42" s="2">
        <v>0.03</v>
      </c>
      <c r="MH42" s="2">
        <v>0.04</v>
      </c>
      <c r="MI42" s="2">
        <v>0.01</v>
      </c>
      <c r="MJ42" s="2">
        <v>0.03</v>
      </c>
      <c r="MK42" s="2">
        <v>0.01</v>
      </c>
      <c r="ML42" s="2">
        <v>0.04</v>
      </c>
      <c r="MM42" s="2">
        <v>0.05</v>
      </c>
      <c r="MN42" s="2">
        <v>0.07000000000000001</v>
      </c>
      <c r="MO42" s="2">
        <v>0.03</v>
      </c>
      <c r="MP42" s="2">
        <v>0.03</v>
      </c>
      <c r="UH42" s="2">
        <v>32.9</v>
      </c>
      <c r="UI42" s="2">
        <v>33.09</v>
      </c>
      <c r="UJ42" s="2">
        <v>33.41</v>
      </c>
      <c r="UK42" s="2">
        <v>33.9</v>
      </c>
      <c r="UL42" s="2">
        <v>34.22</v>
      </c>
      <c r="UM42" s="2">
        <v>34.92</v>
      </c>
      <c r="UN42" s="2">
        <v>36.01</v>
      </c>
      <c r="UO42" s="2">
        <v>36.62</v>
      </c>
      <c r="UP42" s="2">
        <v>36.77</v>
      </c>
      <c r="UQ42" s="2">
        <v>39.73</v>
      </c>
      <c r="UR42" s="2">
        <v>39.85</v>
      </c>
      <c r="US42" s="2">
        <v>39.93</v>
      </c>
      <c r="UT42" s="2">
        <v>39.82</v>
      </c>
      <c r="UU42" s="2">
        <v>40.19</v>
      </c>
      <c r="UV42" s="2">
        <v>40.58</v>
      </c>
      <c r="UW42" s="2">
        <v>40.9</v>
      </c>
      <c r="UX42" s="2">
        <v>41.32</v>
      </c>
      <c r="UY42" s="2">
        <v>41.73</v>
      </c>
      <c r="UZ42" s="2">
        <v>42.02</v>
      </c>
      <c r="VA42" s="2">
        <v>42.68</v>
      </c>
      <c r="VB42" s="2">
        <v>43.52</v>
      </c>
      <c r="VC42" s="2">
        <v>44.24</v>
      </c>
      <c r="VD42" s="2">
        <v>44.71</v>
      </c>
      <c r="VE42" s="2">
        <v>45.19</v>
      </c>
      <c r="VF42" s="2">
        <v>45.82</v>
      </c>
      <c r="VG42" s="2">
        <v>46.33</v>
      </c>
      <c r="VH42" s="2">
        <v>47.02</v>
      </c>
      <c r="VI42" s="2">
        <v>47.68</v>
      </c>
      <c r="VJ42" s="2">
        <v>48.11</v>
      </c>
      <c r="VK42" s="2">
        <v>48.7</v>
      </c>
      <c r="VL42" s="2">
        <v>49.08</v>
      </c>
      <c r="VM42" s="2">
        <v>49.24</v>
      </c>
      <c r="VN42" s="2">
        <v>49.8</v>
      </c>
      <c r="VO42" s="2">
        <v>49.91</v>
      </c>
      <c r="VP42" s="2">
        <v>50.15</v>
      </c>
      <c r="VQ42" s="2">
        <v>50.66</v>
      </c>
      <c r="VR42" s="2">
        <v>51.15</v>
      </c>
      <c r="VS42" s="2">
        <v>51.66</v>
      </c>
      <c r="VT42" s="2">
        <v>52.33</v>
      </c>
      <c r="VU42" s="2">
        <v>53.21</v>
      </c>
      <c r="VV42" s="2">
        <v>53.73</v>
      </c>
      <c r="VW42" s="2">
        <v>54.43</v>
      </c>
      <c r="VX42" s="2">
        <v>54.54</v>
      </c>
      <c r="VY42" s="2">
        <v>54.3</v>
      </c>
      <c r="VZ42" s="2">
        <v>54.73</v>
      </c>
      <c r="WA42" s="2">
        <v>55.34</v>
      </c>
      <c r="WB42" s="2">
        <v>55.88</v>
      </c>
      <c r="WC42" s="2">
        <v>56.53</v>
      </c>
      <c r="WD42" s="2">
        <v>56.87</v>
      </c>
      <c r="WE42" s="2">
        <v>57.12</v>
      </c>
      <c r="WF42" s="2">
        <v>57.51</v>
      </c>
      <c r="WG42" s="2">
        <v>57.98</v>
      </c>
      <c r="WH42" s="2">
        <v>58.24</v>
      </c>
      <c r="WI42" s="2">
        <v>58.18</v>
      </c>
      <c r="WJ42" s="2">
        <v>58.34</v>
      </c>
      <c r="WK42" s="2">
        <v>58.31</v>
      </c>
      <c r="WL42" s="2">
        <v>58.36</v>
      </c>
      <c r="WM42" s="2">
        <v>58.88</v>
      </c>
      <c r="WN42" s="2">
        <v>58.94</v>
      </c>
      <c r="WO42" s="2">
        <v>59.94</v>
      </c>
      <c r="WP42" s="2">
        <v>60.44</v>
      </c>
      <c r="WQ42" s="2">
        <v>60.77</v>
      </c>
      <c r="WR42" s="2">
        <v>61.3</v>
      </c>
      <c r="WS42" s="2">
        <v>61.38</v>
      </c>
      <c r="WT42" s="2">
        <v>62.36</v>
      </c>
      <c r="WU42" s="2">
        <v>63.08</v>
      </c>
      <c r="WV42" s="2">
        <v>63.75</v>
      </c>
      <c r="WW42" s="2">
        <v>64.34</v>
      </c>
      <c r="WX42" s="2">
        <v>65.34999999999999</v>
      </c>
      <c r="WY42" s="2">
        <v>65.81999999999999</v>
      </c>
      <c r="WZ42" s="2">
        <v>65.89</v>
      </c>
      <c r="XA42" s="2">
        <v>65.98</v>
      </c>
      <c r="XB42" s="2">
        <v>66.59</v>
      </c>
      <c r="XC42" s="2">
        <v>66.84999999999999</v>
      </c>
      <c r="XD42" s="2">
        <v>67.23999999999999</v>
      </c>
      <c r="XE42" s="2">
        <v>67.84999999999999</v>
      </c>
      <c r="XF42" s="2">
        <v>68.44</v>
      </c>
      <c r="XG42" s="2">
        <v>68.98</v>
      </c>
      <c r="XH42" s="2">
        <v>69.37</v>
      </c>
      <c r="XI42" s="2">
        <v>69.73</v>
      </c>
      <c r="XJ42" s="2">
        <v>70.31999999999999</v>
      </c>
      <c r="XK42" s="2">
        <v>70.38</v>
      </c>
      <c r="XL42" s="2">
        <v>70.63</v>
      </c>
      <c r="XM42" s="2">
        <v>70.54000000000001</v>
      </c>
      <c r="XN42" s="2">
        <v>70.43000000000001</v>
      </c>
      <c r="XO42" s="2">
        <v>70.31999999999999</v>
      </c>
      <c r="XP42" s="2">
        <v>70.58</v>
      </c>
      <c r="XQ42" s="2">
        <v>70.89</v>
      </c>
      <c r="XR42" s="2">
        <v>70.94</v>
      </c>
      <c r="XS42" s="2">
        <v>71.3</v>
      </c>
      <c r="XT42" s="2">
        <v>71.73999999999999</v>
      </c>
      <c r="XU42" s="2">
        <v>71.73</v>
      </c>
      <c r="XV42" s="2">
        <v>71.66</v>
      </c>
      <c r="XW42" s="2">
        <v>74.06</v>
      </c>
      <c r="XX42" s="2">
        <v>77.12</v>
      </c>
      <c r="XY42" s="2">
        <v>81.54000000000001</v>
      </c>
      <c r="XZ42" s="2">
        <v>86.17</v>
      </c>
      <c r="YA42" s="2">
        <v>89.39</v>
      </c>
      <c r="YB42" s="2">
        <v>90.86</v>
      </c>
      <c r="YC42" s="2">
        <v>91.92</v>
      </c>
      <c r="YD42" s="2">
        <v>92.87</v>
      </c>
      <c r="YE42" s="2">
        <v>94.06</v>
      </c>
      <c r="YF42" s="2">
        <v>95.45999999999999</v>
      </c>
      <c r="YG42" s="2">
        <v>96.54000000000001</v>
      </c>
      <c r="YH42" s="2">
        <v>97.59999999999999</v>
      </c>
      <c r="YI42" s="2">
        <v>98.53</v>
      </c>
      <c r="YJ42" s="2">
        <v>98.31</v>
      </c>
      <c r="YK42" s="2">
        <v>97.88</v>
      </c>
      <c r="YL42" s="2">
        <v>98.31</v>
      </c>
      <c r="YM42" s="2">
        <v>99.42</v>
      </c>
      <c r="YN42" s="2">
        <v>100.79</v>
      </c>
      <c r="YO42" s="2">
        <v>101.74</v>
      </c>
      <c r="YP42" s="2">
        <v>103.57</v>
      </c>
      <c r="AGH42" s="2">
        <v>0.6</v>
      </c>
      <c r="AGI42" s="2">
        <v>1</v>
      </c>
      <c r="AGJ42" s="2">
        <v>1.5</v>
      </c>
      <c r="AGK42" s="2">
        <v>0.9</v>
      </c>
      <c r="AGL42" s="2">
        <v>2</v>
      </c>
      <c r="AGM42" s="2">
        <v>3.1</v>
      </c>
      <c r="AGN42" s="2">
        <v>1.7</v>
      </c>
      <c r="AGO42" s="2">
        <v>0.4</v>
      </c>
      <c r="AGP42" s="2">
        <v>8.1</v>
      </c>
      <c r="AGQ42" s="2">
        <v>0.3</v>
      </c>
      <c r="AGR42" s="2">
        <v>0.2</v>
      </c>
      <c r="AGS42" s="2">
        <v>-0.3</v>
      </c>
      <c r="AGT42" s="2">
        <v>0.9</v>
      </c>
      <c r="AGU42" s="2">
        <v>1</v>
      </c>
      <c r="AGV42" s="2">
        <v>0.8</v>
      </c>
      <c r="AGW42" s="2">
        <v>1</v>
      </c>
      <c r="AGX42" s="2">
        <v>1</v>
      </c>
      <c r="AGY42" s="2">
        <v>0.7</v>
      </c>
      <c r="AGZ42" s="2">
        <v>1.6</v>
      </c>
      <c r="AHA42" s="2">
        <v>2</v>
      </c>
      <c r="AHB42" s="2">
        <v>1.7</v>
      </c>
      <c r="AHC42" s="2">
        <v>1.1</v>
      </c>
      <c r="AHD42" s="2">
        <v>1.1</v>
      </c>
      <c r="AHE42" s="2">
        <v>1.4</v>
      </c>
      <c r="AHF42" s="2">
        <v>1.1</v>
      </c>
      <c r="AHG42" s="2">
        <v>1.5</v>
      </c>
      <c r="AHH42" s="2">
        <v>1.4</v>
      </c>
      <c r="AHI42" s="2">
        <v>0.9</v>
      </c>
      <c r="AHJ42" s="2">
        <v>1.2</v>
      </c>
      <c r="AHK42" s="2">
        <v>0.8</v>
      </c>
      <c r="AHL42" s="2">
        <v>0.3</v>
      </c>
      <c r="AHM42" s="2">
        <v>1.1</v>
      </c>
      <c r="AHN42" s="2">
        <v>0.2</v>
      </c>
      <c r="AHO42" s="2">
        <v>0.5</v>
      </c>
      <c r="AHP42" s="2">
        <v>1</v>
      </c>
      <c r="AHQ42" s="2">
        <v>1</v>
      </c>
      <c r="AHR42" s="2">
        <v>1</v>
      </c>
      <c r="AHS42" s="2">
        <v>1.3</v>
      </c>
      <c r="AHT42" s="2">
        <v>1.7</v>
      </c>
      <c r="AHU42" s="2">
        <v>1</v>
      </c>
      <c r="AHV42" s="2">
        <v>1.3</v>
      </c>
      <c r="AHW42" s="2">
        <v>0.2</v>
      </c>
      <c r="AHX42" s="2">
        <v>-0.4</v>
      </c>
      <c r="AHY42" s="2">
        <v>0.8</v>
      </c>
      <c r="AHZ42" s="2">
        <v>1.1</v>
      </c>
      <c r="AIA42" s="2">
        <v>1</v>
      </c>
      <c r="AIB42" s="2">
        <v>1.2</v>
      </c>
      <c r="AIC42" s="2">
        <v>0.6</v>
      </c>
      <c r="AID42" s="2">
        <v>0.4</v>
      </c>
      <c r="AIE42" s="2">
        <v>0.7</v>
      </c>
      <c r="AIF42" s="2">
        <v>0.8</v>
      </c>
      <c r="AIG42" s="2">
        <v>0.4</v>
      </c>
      <c r="AIH42" s="2">
        <v>-0.1</v>
      </c>
      <c r="AII42" s="2">
        <v>0.3</v>
      </c>
      <c r="AIJ42" s="2">
        <v>-0.1</v>
      </c>
      <c r="AIK42" s="2">
        <v>0.1</v>
      </c>
      <c r="AIL42" s="2">
        <v>0.9</v>
      </c>
      <c r="AIM42" s="2">
        <v>0.1</v>
      </c>
      <c r="AIN42" s="2">
        <v>1.7</v>
      </c>
      <c r="AIO42" s="2">
        <v>0.8</v>
      </c>
      <c r="AIP42" s="2">
        <v>0.5</v>
      </c>
      <c r="AIQ42" s="2">
        <v>0.9</v>
      </c>
      <c r="AIR42" s="2">
        <v>0.1</v>
      </c>
      <c r="AIS42" s="2">
        <v>1.6</v>
      </c>
      <c r="AIT42" s="2">
        <v>1.2</v>
      </c>
      <c r="AIU42" s="2">
        <v>1.1</v>
      </c>
      <c r="AIV42" s="2">
        <v>0.9</v>
      </c>
      <c r="AIW42" s="2">
        <v>1.6</v>
      </c>
      <c r="AIX42" s="2">
        <v>0.7</v>
      </c>
      <c r="AIY42" s="2">
        <v>0.1</v>
      </c>
      <c r="AIZ42" s="2">
        <v>0.1</v>
      </c>
      <c r="AJA42" s="2">
        <v>0.9</v>
      </c>
      <c r="AJB42" s="2">
        <v>0.4</v>
      </c>
      <c r="AJC42" s="2">
        <v>0.6</v>
      </c>
      <c r="AJD42" s="2">
        <v>0.9</v>
      </c>
      <c r="AJE42" s="2">
        <v>0.9</v>
      </c>
      <c r="AJF42" s="2">
        <v>0.8</v>
      </c>
      <c r="AJG42" s="2">
        <v>0.6</v>
      </c>
      <c r="AJH42" s="2">
        <v>0.5</v>
      </c>
      <c r="AJI42" s="2">
        <v>0.8</v>
      </c>
      <c r="AJJ42" s="2">
        <v>0.1</v>
      </c>
      <c r="AJK42" s="2">
        <v>0.4</v>
      </c>
      <c r="AJL42" s="2">
        <v>-0.1</v>
      </c>
      <c r="AJM42" s="2">
        <v>-0.2</v>
      </c>
      <c r="AJN42" s="2">
        <v>-0.2</v>
      </c>
      <c r="AJO42" s="2">
        <v>0.4</v>
      </c>
      <c r="AJP42" s="2">
        <v>0.4</v>
      </c>
      <c r="AJQ42" s="2">
        <v>0.1</v>
      </c>
      <c r="AJR42" s="2">
        <v>0.5</v>
      </c>
      <c r="AJS42" s="2">
        <v>0.6</v>
      </c>
      <c r="AJT42" s="2">
        <v>0</v>
      </c>
      <c r="AJU42" s="2">
        <v>-0.1</v>
      </c>
      <c r="AJV42" s="2">
        <v>3.3</v>
      </c>
      <c r="AJW42" s="2">
        <v>4.1</v>
      </c>
      <c r="AJX42" s="2">
        <v>5.7</v>
      </c>
      <c r="AJY42" s="2">
        <v>5.7</v>
      </c>
      <c r="AJZ42" s="2">
        <v>3.7</v>
      </c>
      <c r="AKA42" s="2">
        <v>1.6</v>
      </c>
      <c r="AKB42" s="2">
        <v>1.2</v>
      </c>
      <c r="AKC42" s="2">
        <v>1</v>
      </c>
      <c r="AKD42" s="2">
        <v>1.3</v>
      </c>
      <c r="AKE42" s="2">
        <v>1.5</v>
      </c>
      <c r="AKF42" s="2">
        <v>1.1</v>
      </c>
      <c r="AKG42" s="2">
        <v>1.1</v>
      </c>
      <c r="AKH42" s="2">
        <v>1</v>
      </c>
      <c r="AKI42" s="2">
        <v>-0.2</v>
      </c>
      <c r="AKJ42" s="2">
        <v>-0.4</v>
      </c>
      <c r="AKK42" s="2">
        <v>0.4</v>
      </c>
      <c r="AKL42" s="2">
        <v>1.1</v>
      </c>
      <c r="AKM42" s="2">
        <v>1.4</v>
      </c>
      <c r="AKN42" s="2">
        <v>0.9</v>
      </c>
      <c r="AKO42" s="2">
        <v>1.8</v>
      </c>
      <c r="AKP42" s="2">
        <v>7.54</v>
      </c>
      <c r="AKQ42" s="2">
        <v>7.62</v>
      </c>
      <c r="AKR42" s="2">
        <v>7.75</v>
      </c>
    </row>
    <row r="43">
      <c r="A43" t="inlineStr">
        <is>
          <t>Maintenance and repair of the dwelling</t>
        </is>
      </c>
      <c r="B43" t="inlineStr">
        <is>
          <t>Other housing</t>
        </is>
      </c>
      <c r="C43">
        <v>3</v>
      </c>
      <c r="D43">
        <v>2.03</v>
      </c>
      <c r="E43" s="3">
        <f>D43/3.5*0.035</f>
        <v>0.020300000000000002</v>
      </c>
      <c r="F43" s="3">
        <f>E43-D43/100</f>
        <v>3.469446951953614e-18</v>
      </c>
      <c r="G43" s="3">
        <f>D43/3.5</f>
        <v>0.58</v>
      </c>
      <c r="CI43" s="2">
        <v>96.25</v>
      </c>
      <c r="CJ43" s="2">
        <v>96.72</v>
      </c>
      <c r="CK43" s="2">
        <v>96.69</v>
      </c>
      <c r="CL43" s="2">
        <v>97.23</v>
      </c>
      <c r="CM43" s="2">
        <v>97.06999999999999</v>
      </c>
      <c r="CN43" s="2">
        <v>97.25</v>
      </c>
      <c r="CO43" s="2">
        <v>97.89</v>
      </c>
      <c r="CP43" s="2">
        <v>98.12</v>
      </c>
      <c r="CQ43" s="2">
        <v>97.90000000000001</v>
      </c>
      <c r="CR43" s="2">
        <v>98.43000000000001</v>
      </c>
      <c r="CS43" s="2">
        <v>98.34999999999999</v>
      </c>
      <c r="CT43" s="2">
        <v>98.69</v>
      </c>
      <c r="CU43" s="2">
        <v>98.84</v>
      </c>
      <c r="CV43" s="2">
        <v>98.90000000000001</v>
      </c>
      <c r="CW43" s="2">
        <v>99</v>
      </c>
      <c r="CX43" s="2">
        <v>99.84</v>
      </c>
      <c r="CY43" s="2">
        <v>99.98</v>
      </c>
      <c r="CZ43" s="2">
        <v>100</v>
      </c>
      <c r="DA43" s="2">
        <v>100.8</v>
      </c>
      <c r="DB43" s="2">
        <v>100.91</v>
      </c>
      <c r="DC43" s="2">
        <v>100.97</v>
      </c>
      <c r="DD43" s="2">
        <v>101.21</v>
      </c>
      <c r="DE43" s="2">
        <v>101.36</v>
      </c>
      <c r="DF43" s="2">
        <v>101.42</v>
      </c>
      <c r="DG43" s="2">
        <v>101.85</v>
      </c>
      <c r="DH43" s="2">
        <v>102.51</v>
      </c>
      <c r="DI43" s="2">
        <v>102.92</v>
      </c>
      <c r="DJ43" s="2">
        <v>103.37</v>
      </c>
      <c r="GL43" s="2">
        <v>2.7</v>
      </c>
      <c r="GM43" s="2">
        <v>2.3</v>
      </c>
      <c r="GN43" s="2">
        <v>2.4</v>
      </c>
      <c r="GO43" s="2">
        <v>2.7</v>
      </c>
      <c r="GP43" s="2">
        <v>3</v>
      </c>
      <c r="GQ43" s="2">
        <v>2.8</v>
      </c>
      <c r="GR43" s="2">
        <v>3</v>
      </c>
      <c r="GS43" s="2">
        <v>2.8</v>
      </c>
      <c r="GT43" s="2">
        <v>3.1</v>
      </c>
      <c r="GU43" s="2">
        <v>2.8</v>
      </c>
      <c r="GV43" s="2">
        <v>3.1</v>
      </c>
      <c r="GW43" s="2">
        <v>2.8</v>
      </c>
      <c r="GX43" s="2">
        <v>3</v>
      </c>
      <c r="GY43" s="2">
        <v>3.7</v>
      </c>
      <c r="GZ43" s="2">
        <v>4</v>
      </c>
      <c r="HA43" s="2">
        <v>3.5</v>
      </c>
      <c r="KC43" s="2">
        <v>0.5</v>
      </c>
      <c r="KD43" s="2">
        <v>0</v>
      </c>
      <c r="KE43" s="2">
        <v>0.6</v>
      </c>
      <c r="KF43" s="2">
        <v>-0.2</v>
      </c>
      <c r="KG43" s="2">
        <v>0.2</v>
      </c>
      <c r="KH43" s="2">
        <v>0.7</v>
      </c>
      <c r="KI43" s="2">
        <v>0.2</v>
      </c>
      <c r="KJ43" s="2">
        <v>-0.2</v>
      </c>
      <c r="KK43" s="2">
        <v>0.5</v>
      </c>
      <c r="KL43" s="2">
        <v>-0.1</v>
      </c>
      <c r="KM43" s="2">
        <v>0.3</v>
      </c>
      <c r="KN43" s="2">
        <v>0.2</v>
      </c>
      <c r="KO43" s="2">
        <v>0.1</v>
      </c>
      <c r="KP43" s="2">
        <v>0.1</v>
      </c>
      <c r="KQ43" s="2">
        <v>0.8</v>
      </c>
      <c r="KR43" s="2">
        <v>0.1</v>
      </c>
      <c r="KS43" s="2">
        <v>0</v>
      </c>
      <c r="KT43" s="2">
        <v>0.8</v>
      </c>
      <c r="KU43" s="2">
        <v>0.1</v>
      </c>
      <c r="KV43" s="2">
        <v>0.1</v>
      </c>
      <c r="KW43" s="2">
        <v>0.2</v>
      </c>
      <c r="KX43" s="2">
        <v>0.1</v>
      </c>
      <c r="KY43" s="2">
        <v>0.1</v>
      </c>
      <c r="KZ43" s="2">
        <v>0.4</v>
      </c>
      <c r="LA43" s="2">
        <v>0.6</v>
      </c>
      <c r="LB43" s="2">
        <v>0.4</v>
      </c>
      <c r="LC43" s="2">
        <v>0.4</v>
      </c>
      <c r="LD43" s="2">
        <v>1.98</v>
      </c>
      <c r="LE43" s="2">
        <v>1.99</v>
      </c>
      <c r="LF43" s="2">
        <v>1.99</v>
      </c>
      <c r="LG43" s="2">
        <v>2</v>
      </c>
      <c r="LH43" s="2">
        <v>2</v>
      </c>
      <c r="LI43" s="2">
        <v>2</v>
      </c>
      <c r="LJ43" s="2">
        <v>2</v>
      </c>
      <c r="LK43" s="2">
        <v>2.02</v>
      </c>
      <c r="LL43" s="2">
        <v>2.02</v>
      </c>
      <c r="LM43" s="2">
        <v>2.02</v>
      </c>
      <c r="LN43" s="2">
        <v>2.04</v>
      </c>
      <c r="LO43" s="2">
        <v>2.04</v>
      </c>
      <c r="LP43" s="2">
        <v>2.04</v>
      </c>
      <c r="LQ43" s="2">
        <v>2.05</v>
      </c>
      <c r="LR43" s="2">
        <v>2.05</v>
      </c>
      <c r="LS43" s="2">
        <v>2.05</v>
      </c>
      <c r="LT43" s="2">
        <v>2.06</v>
      </c>
      <c r="LU43" s="2">
        <v>2.07</v>
      </c>
      <c r="LV43" s="2">
        <v>2.08</v>
      </c>
      <c r="LW43" s="2">
        <v>2.09</v>
      </c>
      <c r="LX43" s="2">
        <v>0.01</v>
      </c>
      <c r="LY43" s="2">
        <v>0</v>
      </c>
      <c r="LZ43" s="2">
        <v>0.01</v>
      </c>
      <c r="MA43" s="2">
        <v>0</v>
      </c>
      <c r="MB43" s="2">
        <v>0</v>
      </c>
      <c r="MC43" s="2">
        <v>0</v>
      </c>
      <c r="MD43" s="2">
        <v>0.02</v>
      </c>
      <c r="ME43" s="2">
        <v>0</v>
      </c>
      <c r="MF43" s="2">
        <v>0</v>
      </c>
      <c r="MG43" s="2">
        <v>0.02</v>
      </c>
      <c r="MH43" s="2">
        <v>0</v>
      </c>
      <c r="MI43" s="2">
        <v>0</v>
      </c>
      <c r="MJ43" s="2">
        <v>0.01</v>
      </c>
      <c r="MK43" s="2">
        <v>0</v>
      </c>
      <c r="ML43" s="2">
        <v>0</v>
      </c>
      <c r="MM43" s="2">
        <v>0.01</v>
      </c>
      <c r="MN43" s="2">
        <v>0.01</v>
      </c>
      <c r="MO43" s="2">
        <v>0.01</v>
      </c>
      <c r="MP43" s="2">
        <v>0.01</v>
      </c>
      <c r="RO43" s="2">
        <v>18.82</v>
      </c>
      <c r="RP43" s="2">
        <v>19.03</v>
      </c>
      <c r="RQ43" s="2">
        <v>19.54</v>
      </c>
      <c r="RR43" s="2">
        <v>19.82</v>
      </c>
      <c r="RS43" s="2">
        <v>20.32</v>
      </c>
      <c r="RT43" s="2">
        <v>20.61</v>
      </c>
      <c r="RU43" s="2">
        <v>21.33</v>
      </c>
      <c r="RV43" s="2">
        <v>22.22</v>
      </c>
      <c r="RW43" s="2">
        <v>23.16</v>
      </c>
      <c r="RX43" s="2">
        <v>23.48</v>
      </c>
      <c r="RY43" s="2">
        <v>24.09</v>
      </c>
      <c r="RZ43" s="2">
        <v>24.48</v>
      </c>
      <c r="SA43" s="2">
        <v>24.7</v>
      </c>
      <c r="SB43" s="2">
        <v>25.16</v>
      </c>
      <c r="SC43" s="2">
        <v>25.84</v>
      </c>
      <c r="SD43" s="2">
        <v>26.35</v>
      </c>
      <c r="SE43" s="2">
        <v>26.63</v>
      </c>
      <c r="SF43" s="2">
        <v>26.56</v>
      </c>
      <c r="SG43" s="2">
        <v>26.7</v>
      </c>
      <c r="SH43" s="2">
        <v>27.17</v>
      </c>
      <c r="SI43" s="2">
        <v>27.67</v>
      </c>
      <c r="SJ43" s="2">
        <v>28.57</v>
      </c>
      <c r="SK43" s="2">
        <v>29.36</v>
      </c>
      <c r="SL43" s="2">
        <v>29.29</v>
      </c>
      <c r="SM43" s="2">
        <v>29.39</v>
      </c>
      <c r="SN43" s="2">
        <v>29.75</v>
      </c>
      <c r="SO43" s="2">
        <v>30.11</v>
      </c>
      <c r="SP43" s="2">
        <v>30.5</v>
      </c>
      <c r="SQ43" s="2">
        <v>30.97</v>
      </c>
      <c r="SR43" s="2">
        <v>31.19</v>
      </c>
      <c r="SS43" s="2">
        <v>31.65</v>
      </c>
      <c r="ST43" s="2">
        <v>32.19</v>
      </c>
      <c r="SU43" s="2">
        <v>33.01</v>
      </c>
      <c r="SV43" s="2">
        <v>33.8</v>
      </c>
      <c r="SW43" s="2">
        <v>33.69</v>
      </c>
      <c r="SX43" s="2">
        <v>34.7</v>
      </c>
      <c r="SY43" s="2">
        <v>34.98</v>
      </c>
      <c r="SZ43" s="2">
        <v>35.59</v>
      </c>
      <c r="TA43" s="2">
        <v>35.99</v>
      </c>
      <c r="TB43" s="2">
        <v>36.81</v>
      </c>
      <c r="TC43" s="2">
        <v>37.39</v>
      </c>
      <c r="TD43" s="2">
        <v>37.53</v>
      </c>
      <c r="TE43" s="2">
        <v>38.03</v>
      </c>
      <c r="TF43" s="2">
        <v>38.46</v>
      </c>
      <c r="TG43" s="2">
        <v>39.25</v>
      </c>
      <c r="TH43" s="2">
        <v>39.43</v>
      </c>
      <c r="TI43" s="2">
        <v>39.29</v>
      </c>
      <c r="TJ43" s="2">
        <v>39.64</v>
      </c>
      <c r="TK43" s="2">
        <v>39.86</v>
      </c>
      <c r="TL43" s="2">
        <v>39.93</v>
      </c>
      <c r="TM43" s="2">
        <v>39.75</v>
      </c>
      <c r="TN43" s="2">
        <v>40.18</v>
      </c>
      <c r="TO43" s="2">
        <v>40.61</v>
      </c>
      <c r="TP43" s="2">
        <v>40.79</v>
      </c>
      <c r="TQ43" s="2">
        <v>40.61</v>
      </c>
      <c r="TR43" s="2">
        <v>41.19</v>
      </c>
      <c r="TS43" s="2">
        <v>41.26</v>
      </c>
      <c r="TT43" s="2">
        <v>41.22</v>
      </c>
      <c r="TU43" s="2">
        <v>41.11</v>
      </c>
      <c r="TV43" s="2">
        <v>41.19</v>
      </c>
      <c r="TW43" s="2">
        <v>41.26</v>
      </c>
      <c r="TX43" s="2">
        <v>41.83</v>
      </c>
      <c r="TY43" s="2">
        <v>41.62</v>
      </c>
      <c r="TZ43" s="2">
        <v>41.87</v>
      </c>
      <c r="UA43" s="2">
        <v>42.4</v>
      </c>
      <c r="UB43" s="2">
        <v>42.33</v>
      </c>
      <c r="UC43" s="2">
        <v>42.4</v>
      </c>
      <c r="UD43" s="2">
        <v>42.66</v>
      </c>
      <c r="UE43" s="2">
        <v>42.94</v>
      </c>
      <c r="UF43" s="2">
        <v>43.19</v>
      </c>
      <c r="UG43" s="2">
        <v>43.09</v>
      </c>
      <c r="UH43" s="2">
        <v>43.48</v>
      </c>
      <c r="UI43" s="2">
        <v>43.72</v>
      </c>
      <c r="UJ43" s="2">
        <v>43.86</v>
      </c>
      <c r="UK43" s="2">
        <v>43.95</v>
      </c>
      <c r="UL43" s="2">
        <v>43.87</v>
      </c>
      <c r="UM43" s="2">
        <v>44.16</v>
      </c>
      <c r="UN43" s="2">
        <v>44.31</v>
      </c>
      <c r="UO43" s="2">
        <v>44.82</v>
      </c>
      <c r="UP43" s="2">
        <v>44.92</v>
      </c>
      <c r="UQ43" s="2">
        <v>49.49</v>
      </c>
      <c r="UR43" s="2">
        <v>49.72</v>
      </c>
      <c r="US43" s="2">
        <v>50.25</v>
      </c>
      <c r="UT43" s="2">
        <v>50.51</v>
      </c>
      <c r="UU43" s="2">
        <v>51.19</v>
      </c>
      <c r="UV43" s="2">
        <v>51.73</v>
      </c>
      <c r="UW43" s="2">
        <v>51.58</v>
      </c>
      <c r="UX43" s="2">
        <v>51.91</v>
      </c>
      <c r="UY43" s="2">
        <v>52.28</v>
      </c>
      <c r="UZ43" s="2">
        <v>52.71</v>
      </c>
      <c r="VA43" s="2">
        <v>52.88</v>
      </c>
      <c r="VB43" s="2">
        <v>53.53</v>
      </c>
      <c r="VC43" s="2">
        <v>54.07</v>
      </c>
      <c r="VD43" s="2">
        <v>54.26</v>
      </c>
      <c r="VE43" s="2">
        <v>54.34</v>
      </c>
      <c r="VF43" s="2">
        <v>54.77</v>
      </c>
      <c r="VG43" s="2">
        <v>55.34</v>
      </c>
      <c r="VH43" s="2">
        <v>55.74</v>
      </c>
      <c r="VI43" s="2">
        <v>55.92</v>
      </c>
      <c r="VJ43" s="2">
        <v>56.53</v>
      </c>
      <c r="VK43" s="2">
        <v>56.98</v>
      </c>
      <c r="VL43" s="2">
        <v>57.31</v>
      </c>
      <c r="VM43" s="2">
        <v>57.55</v>
      </c>
      <c r="VN43" s="2">
        <v>58.16</v>
      </c>
      <c r="VO43" s="2">
        <v>58.46</v>
      </c>
      <c r="VP43" s="2">
        <v>58.67</v>
      </c>
      <c r="VQ43" s="2">
        <v>58.6</v>
      </c>
      <c r="VR43" s="2">
        <v>58.95</v>
      </c>
      <c r="VS43" s="2">
        <v>59.35</v>
      </c>
      <c r="VT43" s="2">
        <v>59.89</v>
      </c>
      <c r="VU43" s="2">
        <v>60.35</v>
      </c>
      <c r="VV43" s="2">
        <v>60.77</v>
      </c>
      <c r="VW43" s="2">
        <v>61.36</v>
      </c>
      <c r="VX43" s="2">
        <v>62.08</v>
      </c>
      <c r="VY43" s="2">
        <v>63.14</v>
      </c>
      <c r="VZ43" s="2">
        <v>63.9</v>
      </c>
      <c r="WA43" s="2">
        <v>64.43000000000001</v>
      </c>
      <c r="WB43" s="2">
        <v>64.62</v>
      </c>
      <c r="WC43" s="2">
        <v>64.83</v>
      </c>
      <c r="WD43" s="2">
        <v>65.12</v>
      </c>
      <c r="WE43" s="2">
        <v>65.52</v>
      </c>
      <c r="WF43" s="2">
        <v>66.04000000000001</v>
      </c>
      <c r="WG43" s="2">
        <v>66.29000000000001</v>
      </c>
      <c r="WH43" s="2">
        <v>66.73999999999999</v>
      </c>
      <c r="WI43" s="2">
        <v>67.01000000000001</v>
      </c>
      <c r="WJ43" s="2">
        <v>67.05</v>
      </c>
      <c r="WK43" s="2">
        <v>66.77</v>
      </c>
      <c r="WL43" s="2">
        <v>67.3</v>
      </c>
      <c r="WM43" s="2">
        <v>67.84999999999999</v>
      </c>
      <c r="WN43" s="2">
        <v>68.19</v>
      </c>
      <c r="WO43" s="2">
        <v>68.65000000000001</v>
      </c>
      <c r="WP43" s="2">
        <v>68.89</v>
      </c>
      <c r="WQ43" s="2">
        <v>69.52</v>
      </c>
      <c r="WR43" s="2">
        <v>69.94</v>
      </c>
      <c r="WS43" s="2">
        <v>70.36</v>
      </c>
      <c r="WT43" s="2">
        <v>70.72</v>
      </c>
      <c r="WU43" s="2">
        <v>71.29000000000001</v>
      </c>
      <c r="WV43" s="2">
        <v>71.70999999999999</v>
      </c>
      <c r="WW43" s="2">
        <v>71.95</v>
      </c>
      <c r="WX43" s="2">
        <v>72.34999999999999</v>
      </c>
      <c r="WY43" s="2">
        <v>73.23</v>
      </c>
      <c r="WZ43" s="2">
        <v>73.52</v>
      </c>
      <c r="XA43" s="2">
        <v>73.98</v>
      </c>
      <c r="XB43" s="2">
        <v>74.28</v>
      </c>
      <c r="XC43" s="2">
        <v>74.61</v>
      </c>
      <c r="XD43" s="2">
        <v>75.33</v>
      </c>
      <c r="XE43" s="2">
        <v>75.47</v>
      </c>
      <c r="XF43" s="2">
        <v>75.54000000000001</v>
      </c>
      <c r="XG43" s="2">
        <v>76.02</v>
      </c>
      <c r="XH43" s="2">
        <v>76.56999999999999</v>
      </c>
      <c r="XI43" s="2">
        <v>76.8</v>
      </c>
      <c r="XJ43" s="2">
        <v>77.15000000000001</v>
      </c>
      <c r="XK43" s="2">
        <v>77.84999999999999</v>
      </c>
      <c r="XL43" s="2">
        <v>78.33</v>
      </c>
      <c r="XM43" s="2">
        <v>78.87</v>
      </c>
      <c r="XN43" s="2">
        <v>79.56</v>
      </c>
      <c r="XO43" s="2">
        <v>80.09999999999999</v>
      </c>
      <c r="XP43" s="2">
        <v>80.48999999999999</v>
      </c>
      <c r="XQ43" s="2">
        <v>80.81</v>
      </c>
      <c r="XR43" s="2">
        <v>81.06</v>
      </c>
      <c r="XS43" s="2">
        <v>81.3</v>
      </c>
      <c r="XT43" s="2">
        <v>81.89</v>
      </c>
      <c r="XU43" s="2">
        <v>82.77</v>
      </c>
      <c r="XV43" s="2">
        <v>83.40000000000001</v>
      </c>
      <c r="XW43" s="2">
        <v>84.56999999999999</v>
      </c>
      <c r="XX43" s="2">
        <v>86.58</v>
      </c>
      <c r="XY43" s="2">
        <v>87.23999999999999</v>
      </c>
      <c r="XZ43" s="2">
        <v>88.34999999999999</v>
      </c>
      <c r="YA43" s="2">
        <v>90.20999999999999</v>
      </c>
      <c r="YB43" s="2">
        <v>91.66</v>
      </c>
      <c r="YC43" s="2">
        <v>92.56999999999999</v>
      </c>
      <c r="YD43" s="2">
        <v>93.34</v>
      </c>
      <c r="YE43" s="2">
        <v>94.28</v>
      </c>
      <c r="YF43" s="2">
        <v>95.34999999999999</v>
      </c>
      <c r="YG43" s="2">
        <v>95.66</v>
      </c>
      <c r="YH43" s="2">
        <v>96.14</v>
      </c>
      <c r="YI43" s="2">
        <v>97.23999999999999</v>
      </c>
      <c r="YJ43" s="2">
        <v>97.81999999999999</v>
      </c>
      <c r="YK43" s="2">
        <v>98.34999999999999</v>
      </c>
      <c r="YL43" s="2">
        <v>98.91</v>
      </c>
      <c r="YM43" s="2">
        <v>99.94</v>
      </c>
      <c r="YN43" s="2">
        <v>100.89</v>
      </c>
      <c r="YO43" s="2">
        <v>101.33</v>
      </c>
      <c r="YP43" s="2">
        <v>102.43</v>
      </c>
      <c r="ADO43" s="2">
        <v>1.1</v>
      </c>
      <c r="ADP43" s="2">
        <v>2.7</v>
      </c>
      <c r="ADQ43" s="2">
        <v>1.4</v>
      </c>
      <c r="ADR43" s="2">
        <v>2.5</v>
      </c>
      <c r="ADS43" s="2">
        <v>1.4</v>
      </c>
      <c r="ADT43" s="2">
        <v>3.5</v>
      </c>
      <c r="ADU43" s="2">
        <v>4.2</v>
      </c>
      <c r="ADV43" s="2">
        <v>4.2</v>
      </c>
      <c r="ADW43" s="2">
        <v>1.4</v>
      </c>
      <c r="ADX43" s="2">
        <v>2.6</v>
      </c>
      <c r="ADY43" s="2">
        <v>1.6</v>
      </c>
      <c r="ADZ43" s="2">
        <v>0.9</v>
      </c>
      <c r="AEA43" s="2">
        <v>1.9</v>
      </c>
      <c r="AEB43" s="2">
        <v>2.7</v>
      </c>
      <c r="AEC43" s="2">
        <v>2</v>
      </c>
      <c r="AED43" s="2">
        <v>1.1</v>
      </c>
      <c r="AEE43" s="2">
        <v>-0.3</v>
      </c>
      <c r="AEF43" s="2">
        <v>0.5</v>
      </c>
      <c r="AEG43" s="2">
        <v>1.8</v>
      </c>
      <c r="AEH43" s="2">
        <v>1.8</v>
      </c>
      <c r="AEI43" s="2">
        <v>3.3</v>
      </c>
      <c r="AEJ43" s="2">
        <v>2.8</v>
      </c>
      <c r="AEK43" s="2">
        <v>-0.2</v>
      </c>
      <c r="AEL43" s="2">
        <v>0.3</v>
      </c>
      <c r="AEM43" s="2">
        <v>1.2</v>
      </c>
      <c r="AEN43" s="2">
        <v>1.2</v>
      </c>
      <c r="AEO43" s="2">
        <v>1.3</v>
      </c>
      <c r="AEP43" s="2">
        <v>1.5</v>
      </c>
      <c r="AEQ43" s="2">
        <v>0.7</v>
      </c>
      <c r="AER43" s="2">
        <v>1.5</v>
      </c>
      <c r="AES43" s="2">
        <v>1.7</v>
      </c>
      <c r="AET43" s="2">
        <v>2.5</v>
      </c>
      <c r="AEU43" s="2">
        <v>2.4</v>
      </c>
      <c r="AEV43" s="2">
        <v>-0.3</v>
      </c>
      <c r="AEW43" s="2">
        <v>3</v>
      </c>
      <c r="AEX43" s="2">
        <v>0.8</v>
      </c>
      <c r="AEY43" s="2">
        <v>1.7</v>
      </c>
      <c r="AEZ43" s="2">
        <v>1.1</v>
      </c>
      <c r="AFA43" s="2">
        <v>2.3</v>
      </c>
      <c r="AFB43" s="2">
        <v>1.6</v>
      </c>
      <c r="AFC43" s="2">
        <v>0.4</v>
      </c>
      <c r="AFD43" s="2">
        <v>1.3</v>
      </c>
      <c r="AFE43" s="2">
        <v>1.1</v>
      </c>
      <c r="AFF43" s="2">
        <v>2.1</v>
      </c>
      <c r="AFG43" s="2">
        <v>0.5</v>
      </c>
      <c r="AFH43" s="2">
        <v>-0.4</v>
      </c>
      <c r="AFI43" s="2">
        <v>0.9</v>
      </c>
      <c r="AFJ43" s="2">
        <v>0.6</v>
      </c>
      <c r="AFK43" s="2">
        <v>0.2</v>
      </c>
      <c r="AFL43" s="2">
        <v>-0.5</v>
      </c>
      <c r="AFM43" s="2">
        <v>1.1</v>
      </c>
      <c r="AFN43" s="2">
        <v>1.1</v>
      </c>
      <c r="AFO43" s="2">
        <v>0.4</v>
      </c>
      <c r="AFP43" s="2">
        <v>-0.4</v>
      </c>
      <c r="AFQ43" s="2">
        <v>1.4</v>
      </c>
      <c r="AFR43" s="2">
        <v>0.2</v>
      </c>
      <c r="AFS43" s="2">
        <v>-0.1</v>
      </c>
      <c r="AFT43" s="2">
        <v>-0.3</v>
      </c>
      <c r="AFU43" s="2">
        <v>0.2</v>
      </c>
      <c r="AFV43" s="2">
        <v>0.2</v>
      </c>
      <c r="AFW43" s="2">
        <v>1.4</v>
      </c>
      <c r="AFX43" s="2">
        <v>-0.5</v>
      </c>
      <c r="AFY43" s="2">
        <v>0.6</v>
      </c>
      <c r="AFZ43" s="2">
        <v>1.3</v>
      </c>
      <c r="AGA43" s="2">
        <v>-0.2</v>
      </c>
      <c r="AGB43" s="2">
        <v>0.2</v>
      </c>
      <c r="AGC43" s="2">
        <v>0.6</v>
      </c>
      <c r="AGD43" s="2">
        <v>0.7</v>
      </c>
      <c r="AGE43" s="2">
        <v>0.6</v>
      </c>
      <c r="AGF43" s="2">
        <v>-0.2</v>
      </c>
      <c r="AGG43" s="2">
        <v>0.9</v>
      </c>
      <c r="AGH43" s="2">
        <v>0.6</v>
      </c>
      <c r="AGI43" s="2">
        <v>0.3</v>
      </c>
      <c r="AGJ43" s="2">
        <v>0.2</v>
      </c>
      <c r="AGK43" s="2">
        <v>-0.2</v>
      </c>
      <c r="AGL43" s="2">
        <v>0.7</v>
      </c>
      <c r="AGM43" s="2">
        <v>0.3</v>
      </c>
      <c r="AGN43" s="2">
        <v>1.2</v>
      </c>
      <c r="AGO43" s="2">
        <v>0.2</v>
      </c>
      <c r="AGP43" s="2">
        <v>10.2</v>
      </c>
      <c r="AGQ43" s="2">
        <v>0.5</v>
      </c>
      <c r="AGR43" s="2">
        <v>1.1</v>
      </c>
      <c r="AGS43" s="2">
        <v>0.5</v>
      </c>
      <c r="AGT43" s="2">
        <v>1.3</v>
      </c>
      <c r="AGU43" s="2">
        <v>1.1</v>
      </c>
      <c r="AGV43" s="2">
        <v>-0.3</v>
      </c>
      <c r="AGW43" s="2">
        <v>0.6</v>
      </c>
      <c r="AGX43" s="2">
        <v>0.7</v>
      </c>
      <c r="AGY43" s="2">
        <v>0.8</v>
      </c>
      <c r="AGZ43" s="2">
        <v>0.3</v>
      </c>
      <c r="AHA43" s="2">
        <v>1.2</v>
      </c>
      <c r="AHB43" s="2">
        <v>1</v>
      </c>
      <c r="AHC43" s="2">
        <v>0.4</v>
      </c>
      <c r="AHD43" s="2">
        <v>0.1</v>
      </c>
      <c r="AHE43" s="2">
        <v>0.8</v>
      </c>
      <c r="AHF43" s="2">
        <v>1</v>
      </c>
      <c r="AHG43" s="2">
        <v>0.7</v>
      </c>
      <c r="AHH43" s="2">
        <v>0.3</v>
      </c>
      <c r="AHI43" s="2">
        <v>1.1</v>
      </c>
      <c r="AHJ43" s="2">
        <v>0.8</v>
      </c>
      <c r="AHK43" s="2">
        <v>0.6</v>
      </c>
      <c r="AHL43" s="2">
        <v>0.4</v>
      </c>
      <c r="AHM43" s="2">
        <v>1.1</v>
      </c>
      <c r="AHN43" s="2">
        <v>0.5</v>
      </c>
      <c r="AHO43" s="2">
        <v>0.4</v>
      </c>
      <c r="AHP43" s="2">
        <v>-0.1</v>
      </c>
      <c r="AHQ43" s="2">
        <v>0.6</v>
      </c>
      <c r="AHR43" s="2">
        <v>0.7</v>
      </c>
      <c r="AHS43" s="2">
        <v>0.9</v>
      </c>
      <c r="AHT43" s="2">
        <v>0.8</v>
      </c>
      <c r="AHU43" s="2">
        <v>0.7</v>
      </c>
      <c r="AHV43" s="2">
        <v>1</v>
      </c>
      <c r="AHW43" s="2">
        <v>1.2</v>
      </c>
      <c r="AHX43" s="2">
        <v>1.7</v>
      </c>
      <c r="AHY43" s="2">
        <v>1.2</v>
      </c>
      <c r="AHZ43" s="2">
        <v>0.8</v>
      </c>
      <c r="AIA43" s="2">
        <v>0.3</v>
      </c>
      <c r="AIB43" s="2">
        <v>0.3</v>
      </c>
      <c r="AIC43" s="2">
        <v>0.4</v>
      </c>
      <c r="AID43" s="2">
        <v>0.6</v>
      </c>
      <c r="AIE43" s="2">
        <v>0.8</v>
      </c>
      <c r="AIF43" s="2">
        <v>0.4</v>
      </c>
      <c r="AIG43" s="2">
        <v>0.7</v>
      </c>
      <c r="AIH43" s="2">
        <v>0.4</v>
      </c>
      <c r="AII43" s="2">
        <v>0.1</v>
      </c>
      <c r="AIJ43" s="2">
        <v>-0.4</v>
      </c>
      <c r="AIK43" s="2">
        <v>0.8</v>
      </c>
      <c r="AIL43" s="2">
        <v>0.8</v>
      </c>
      <c r="AIM43" s="2">
        <v>0.5</v>
      </c>
      <c r="AIN43" s="2">
        <v>0.7</v>
      </c>
      <c r="AIO43" s="2">
        <v>0.3</v>
      </c>
      <c r="AIP43" s="2">
        <v>0.9</v>
      </c>
      <c r="AIQ43" s="2">
        <v>0.6</v>
      </c>
      <c r="AIR43" s="2">
        <v>0.6</v>
      </c>
      <c r="AIS43" s="2">
        <v>0.5</v>
      </c>
      <c r="AIT43" s="2">
        <v>0.8</v>
      </c>
      <c r="AIU43" s="2">
        <v>0.6</v>
      </c>
      <c r="AIV43" s="2">
        <v>0.3</v>
      </c>
      <c r="AIW43" s="2">
        <v>0.6</v>
      </c>
      <c r="AIX43" s="2">
        <v>1.2</v>
      </c>
      <c r="AIY43" s="2">
        <v>0.4</v>
      </c>
      <c r="AIZ43" s="2">
        <v>0.6</v>
      </c>
      <c r="AJA43" s="2">
        <v>0.4</v>
      </c>
      <c r="AJB43" s="2">
        <v>0.4</v>
      </c>
      <c r="AJC43" s="2">
        <v>1</v>
      </c>
      <c r="AJD43" s="2">
        <v>0.2</v>
      </c>
      <c r="AJE43" s="2">
        <v>0.1</v>
      </c>
      <c r="AJF43" s="2">
        <v>0.6</v>
      </c>
      <c r="AJG43" s="2">
        <v>0.7</v>
      </c>
      <c r="AJH43" s="2">
        <v>0.3</v>
      </c>
      <c r="AJI43" s="2">
        <v>0.5</v>
      </c>
      <c r="AJJ43" s="2">
        <v>0.9</v>
      </c>
      <c r="AJK43" s="2">
        <v>0.6</v>
      </c>
      <c r="AJL43" s="2">
        <v>0.7</v>
      </c>
      <c r="AJM43" s="2">
        <v>0.9</v>
      </c>
      <c r="AJN43" s="2">
        <v>0.7</v>
      </c>
      <c r="AJO43" s="2">
        <v>0.5</v>
      </c>
      <c r="AJP43" s="2">
        <v>0.4</v>
      </c>
      <c r="AJQ43" s="2">
        <v>0.3</v>
      </c>
      <c r="AJR43" s="2">
        <v>0.3</v>
      </c>
      <c r="AJS43" s="2">
        <v>0.7</v>
      </c>
      <c r="AJT43" s="2">
        <v>1.1</v>
      </c>
      <c r="AJU43" s="2">
        <v>0.8</v>
      </c>
      <c r="AJV43" s="2">
        <v>1.4</v>
      </c>
      <c r="AJW43" s="2">
        <v>2.4</v>
      </c>
      <c r="AJX43" s="2">
        <v>0.8</v>
      </c>
      <c r="AJY43" s="2">
        <v>1.3</v>
      </c>
      <c r="AJZ43" s="2">
        <v>2.1</v>
      </c>
      <c r="AKA43" s="2">
        <v>1.6</v>
      </c>
      <c r="AKB43" s="2">
        <v>1</v>
      </c>
      <c r="AKC43" s="2">
        <v>0.8</v>
      </c>
      <c r="AKD43" s="2">
        <v>1</v>
      </c>
      <c r="AKE43" s="2">
        <v>1.1</v>
      </c>
      <c r="AKF43" s="2">
        <v>0.3</v>
      </c>
      <c r="AKG43" s="2">
        <v>0.5</v>
      </c>
      <c r="AKH43" s="2">
        <v>1.1</v>
      </c>
      <c r="AKI43" s="2">
        <v>0.6</v>
      </c>
      <c r="AKJ43" s="2">
        <v>0.5</v>
      </c>
      <c r="AKK43" s="2">
        <v>0.6</v>
      </c>
      <c r="AKL43" s="2">
        <v>1</v>
      </c>
      <c r="AKM43" s="2">
        <v>1</v>
      </c>
      <c r="AKN43" s="2">
        <v>0.4</v>
      </c>
      <c r="AKO43" s="2">
        <v>1.1</v>
      </c>
      <c r="AKP43" s="2">
        <v>2.04</v>
      </c>
      <c r="AKQ43" s="2">
        <v>2.05</v>
      </c>
      <c r="AKR43" s="2">
        <v>2.07</v>
      </c>
    </row>
    <row r="44">
      <c r="A44" t="inlineStr">
        <is>
          <t>Property rates and charges</t>
        </is>
      </c>
      <c r="B44" t="inlineStr">
        <is>
          <t>Other housing</t>
        </is>
      </c>
      <c r="C44">
        <v>3</v>
      </c>
      <c r="D44">
        <v>1.47</v>
      </c>
      <c r="E44" s="3">
        <f>D44/3.5*0.035</f>
        <v>0.014700000000000001</v>
      </c>
      <c r="F44" s="3">
        <f>E44-D44/100</f>
        <v>1.734723475976807e-18</v>
      </c>
      <c r="G44" s="3">
        <f>D44/3.5</f>
        <v>0.42</v>
      </c>
      <c r="H44" s="2">
        <v>75.61</v>
      </c>
      <c r="I44" s="2">
        <v>75.61</v>
      </c>
      <c r="J44" s="2">
        <v>75.61</v>
      </c>
      <c r="K44" s="2">
        <v>75.61</v>
      </c>
      <c r="L44" s="2">
        <v>75.61</v>
      </c>
      <c r="M44" s="2">
        <v>75.61</v>
      </c>
      <c r="N44" s="2">
        <v>75.61</v>
      </c>
      <c r="O44" s="2">
        <v>75.61</v>
      </c>
      <c r="P44" s="2">
        <v>75.61</v>
      </c>
      <c r="Q44" s="2">
        <v>75.61</v>
      </c>
      <c r="R44" s="2">
        <v>75.61</v>
      </c>
      <c r="S44" s="2">
        <v>75.61</v>
      </c>
      <c r="T44" s="2">
        <v>77.31999999999999</v>
      </c>
      <c r="U44" s="2">
        <v>77.31999999999999</v>
      </c>
      <c r="V44" s="2">
        <v>77.31999999999999</v>
      </c>
      <c r="W44" s="2">
        <v>77.31999999999999</v>
      </c>
      <c r="X44" s="2">
        <v>77.31999999999999</v>
      </c>
      <c r="Y44" s="2">
        <v>77.31999999999999</v>
      </c>
      <c r="Z44" s="2">
        <v>77.31999999999999</v>
      </c>
      <c r="AA44" s="2">
        <v>77.31999999999999</v>
      </c>
      <c r="AB44" s="2">
        <v>77.31999999999999</v>
      </c>
      <c r="AC44" s="2">
        <v>77.31999999999999</v>
      </c>
      <c r="AD44" s="2">
        <v>77.31999999999999</v>
      </c>
      <c r="AE44" s="2">
        <v>77.31999999999999</v>
      </c>
      <c r="AF44" s="2">
        <v>79.28</v>
      </c>
      <c r="AG44" s="2">
        <v>79.28</v>
      </c>
      <c r="AH44" s="2">
        <v>79.28</v>
      </c>
      <c r="AI44" s="2">
        <v>79.28</v>
      </c>
      <c r="AJ44" s="2">
        <v>79.28</v>
      </c>
      <c r="AK44" s="2">
        <v>79.28</v>
      </c>
      <c r="AL44" s="2">
        <v>79.28</v>
      </c>
      <c r="AM44" s="2">
        <v>79.28</v>
      </c>
      <c r="AN44" s="2">
        <v>79.28</v>
      </c>
      <c r="AO44" s="2">
        <v>79.28</v>
      </c>
      <c r="AP44" s="2">
        <v>79.28</v>
      </c>
      <c r="AQ44" s="2">
        <v>79.28</v>
      </c>
      <c r="AR44" s="2">
        <v>80.3</v>
      </c>
      <c r="AS44" s="2">
        <v>80.3</v>
      </c>
      <c r="AT44" s="2">
        <v>80.3</v>
      </c>
      <c r="AU44" s="2">
        <v>80.3</v>
      </c>
      <c r="AV44" s="2">
        <v>80.3</v>
      </c>
      <c r="AW44" s="2">
        <v>80.3</v>
      </c>
      <c r="AX44" s="2">
        <v>80.3</v>
      </c>
      <c r="AY44" s="2">
        <v>80.3</v>
      </c>
      <c r="AZ44" s="2">
        <v>80.3</v>
      </c>
      <c r="BA44" s="2">
        <v>80.3</v>
      </c>
      <c r="BB44" s="2">
        <v>80.3</v>
      </c>
      <c r="BC44" s="2">
        <v>80.3</v>
      </c>
      <c r="BD44" s="2">
        <v>82.93000000000001</v>
      </c>
      <c r="BE44" s="2">
        <v>82.93000000000001</v>
      </c>
      <c r="BF44" s="2">
        <v>82.93000000000001</v>
      </c>
      <c r="BG44" s="2">
        <v>82.93000000000001</v>
      </c>
      <c r="BH44" s="2">
        <v>82.93000000000001</v>
      </c>
      <c r="BI44" s="2">
        <v>82.93000000000001</v>
      </c>
      <c r="BJ44" s="2">
        <v>82.93000000000001</v>
      </c>
      <c r="BK44" s="2">
        <v>82.93000000000001</v>
      </c>
      <c r="BL44" s="2">
        <v>82.93000000000001</v>
      </c>
      <c r="BM44" s="2">
        <v>82.93000000000001</v>
      </c>
      <c r="BN44" s="2">
        <v>82.93000000000001</v>
      </c>
      <c r="BO44" s="2">
        <v>82.93000000000001</v>
      </c>
      <c r="BP44" s="2">
        <v>85.95</v>
      </c>
      <c r="BQ44" s="2">
        <v>85.95</v>
      </c>
      <c r="BR44" s="2">
        <v>85.95</v>
      </c>
      <c r="BS44" s="2">
        <v>85.95</v>
      </c>
      <c r="BT44" s="2">
        <v>85.95</v>
      </c>
      <c r="BU44" s="2">
        <v>85.95</v>
      </c>
      <c r="BV44" s="2">
        <v>85.95</v>
      </c>
      <c r="BW44" s="2">
        <v>85.95</v>
      </c>
      <c r="BX44" s="2">
        <v>85.95</v>
      </c>
      <c r="BY44" s="2">
        <v>85.95</v>
      </c>
      <c r="BZ44" s="2">
        <v>85.95</v>
      </c>
      <c r="CA44" s="2">
        <v>85.95</v>
      </c>
      <c r="CB44" s="2">
        <v>89.68000000000001</v>
      </c>
      <c r="CC44" s="2">
        <v>89.68000000000001</v>
      </c>
      <c r="CD44" s="2">
        <v>89.68000000000001</v>
      </c>
      <c r="CE44" s="2">
        <v>89.68000000000001</v>
      </c>
      <c r="CF44" s="2">
        <v>89.68000000000001</v>
      </c>
      <c r="CG44" s="2">
        <v>89.68000000000001</v>
      </c>
      <c r="CH44" s="2">
        <v>89.68000000000001</v>
      </c>
      <c r="CI44" s="2">
        <v>89.68000000000001</v>
      </c>
      <c r="CJ44" s="2">
        <v>89.68000000000001</v>
      </c>
      <c r="CK44" s="2">
        <v>89.68000000000001</v>
      </c>
      <c r="CL44" s="2">
        <v>89.68000000000001</v>
      </c>
      <c r="CM44" s="2">
        <v>89.68000000000001</v>
      </c>
      <c r="CN44" s="2">
        <v>94.12</v>
      </c>
      <c r="CO44" s="2">
        <v>94.12</v>
      </c>
      <c r="CP44" s="2">
        <v>94.12</v>
      </c>
      <c r="CQ44" s="2">
        <v>94.12</v>
      </c>
      <c r="CR44" s="2">
        <v>94.12</v>
      </c>
      <c r="CS44" s="2">
        <v>94.12</v>
      </c>
      <c r="CT44" s="2">
        <v>94.12</v>
      </c>
      <c r="CU44" s="2">
        <v>94.12</v>
      </c>
      <c r="CV44" s="2">
        <v>94.12</v>
      </c>
      <c r="CW44" s="2">
        <v>94.12</v>
      </c>
      <c r="CX44" s="2">
        <v>94.12</v>
      </c>
      <c r="CY44" s="2">
        <v>94.12</v>
      </c>
      <c r="CZ44" s="2">
        <v>100</v>
      </c>
      <c r="DA44" s="2">
        <v>100</v>
      </c>
      <c r="DB44" s="2">
        <v>100</v>
      </c>
      <c r="DC44" s="2">
        <v>100</v>
      </c>
      <c r="DD44" s="2">
        <v>100</v>
      </c>
      <c r="DE44" s="2">
        <v>100</v>
      </c>
      <c r="DF44" s="2">
        <v>100</v>
      </c>
      <c r="DG44" s="2">
        <v>100</v>
      </c>
      <c r="DH44" s="2">
        <v>100</v>
      </c>
      <c r="DI44" s="2">
        <v>100</v>
      </c>
      <c r="DJ44" s="2">
        <v>100</v>
      </c>
      <c r="DK44" s="2">
        <v>2.3</v>
      </c>
      <c r="DL44" s="2">
        <v>2.3</v>
      </c>
      <c r="DM44" s="2">
        <v>2.3</v>
      </c>
      <c r="DN44" s="2">
        <v>2.3</v>
      </c>
      <c r="DO44" s="2">
        <v>2.3</v>
      </c>
      <c r="DP44" s="2">
        <v>2.3</v>
      </c>
      <c r="DQ44" s="2">
        <v>2.3</v>
      </c>
      <c r="DR44" s="2">
        <v>2.3</v>
      </c>
      <c r="DS44" s="2">
        <v>2.3</v>
      </c>
      <c r="DT44" s="2">
        <v>2.3</v>
      </c>
      <c r="DU44" s="2">
        <v>2.3</v>
      </c>
      <c r="DV44" s="2">
        <v>2.3</v>
      </c>
      <c r="DW44" s="2">
        <v>2.5</v>
      </c>
      <c r="DX44" s="2">
        <v>2.5</v>
      </c>
      <c r="DY44" s="2">
        <v>2.5</v>
      </c>
      <c r="DZ44" s="2">
        <v>2.5</v>
      </c>
      <c r="EA44" s="2">
        <v>2.5</v>
      </c>
      <c r="EB44" s="2">
        <v>2.5</v>
      </c>
      <c r="EC44" s="2">
        <v>2.5</v>
      </c>
      <c r="ED44" s="2">
        <v>2.5</v>
      </c>
      <c r="EE44" s="2">
        <v>2.5</v>
      </c>
      <c r="EF44" s="2">
        <v>2.5</v>
      </c>
      <c r="EG44" s="2">
        <v>2.5</v>
      </c>
      <c r="EH44" s="2">
        <v>2.5</v>
      </c>
      <c r="EI44" s="2">
        <v>1.3</v>
      </c>
      <c r="EJ44" s="2">
        <v>1.3</v>
      </c>
      <c r="EK44" s="2">
        <v>1.3</v>
      </c>
      <c r="EL44" s="2">
        <v>1.3</v>
      </c>
      <c r="EM44" s="2">
        <v>1.3</v>
      </c>
      <c r="EN44" s="2">
        <v>1.3</v>
      </c>
      <c r="EO44" s="2">
        <v>1.3</v>
      </c>
      <c r="EP44" s="2">
        <v>1.3</v>
      </c>
      <c r="EQ44" s="2">
        <v>1.3</v>
      </c>
      <c r="ER44" s="2">
        <v>1.3</v>
      </c>
      <c r="ES44" s="2">
        <v>1.3</v>
      </c>
      <c r="ET44" s="2">
        <v>1.3</v>
      </c>
      <c r="EU44" s="2">
        <v>3.3</v>
      </c>
      <c r="EV44" s="2">
        <v>3.3</v>
      </c>
      <c r="EW44" s="2">
        <v>3.3</v>
      </c>
      <c r="EX44" s="2">
        <v>3.3</v>
      </c>
      <c r="EY44" s="2">
        <v>3.3</v>
      </c>
      <c r="EZ44" s="2">
        <v>3.3</v>
      </c>
      <c r="FA44" s="2">
        <v>3.3</v>
      </c>
      <c r="FB44" s="2">
        <v>3.3</v>
      </c>
      <c r="FC44" s="2">
        <v>3.3</v>
      </c>
      <c r="FD44" s="2">
        <v>3.3</v>
      </c>
      <c r="FE44" s="2">
        <v>3.3</v>
      </c>
      <c r="FF44" s="2">
        <v>3.3</v>
      </c>
      <c r="FG44" s="2">
        <v>3.6</v>
      </c>
      <c r="FH44" s="2">
        <v>3.6</v>
      </c>
      <c r="FI44" s="2">
        <v>3.6</v>
      </c>
      <c r="FJ44" s="2">
        <v>3.6</v>
      </c>
      <c r="FK44" s="2">
        <v>3.6</v>
      </c>
      <c r="FL44" s="2">
        <v>3.6</v>
      </c>
      <c r="FM44" s="2">
        <v>3.6</v>
      </c>
      <c r="FN44" s="2">
        <v>3.6</v>
      </c>
      <c r="FO44" s="2">
        <v>3.6</v>
      </c>
      <c r="FP44" s="2">
        <v>3.6</v>
      </c>
      <c r="FQ44" s="2">
        <v>3.6</v>
      </c>
      <c r="FR44" s="2">
        <v>3.6</v>
      </c>
      <c r="FS44" s="2">
        <v>4.3</v>
      </c>
      <c r="FT44" s="2">
        <v>4.3</v>
      </c>
      <c r="FU44" s="2">
        <v>4.3</v>
      </c>
      <c r="FV44" s="2">
        <v>4.3</v>
      </c>
      <c r="FW44" s="2">
        <v>4.3</v>
      </c>
      <c r="FX44" s="2">
        <v>4.3</v>
      </c>
      <c r="FY44" s="2">
        <v>4.3</v>
      </c>
      <c r="FZ44" s="2">
        <v>4.3</v>
      </c>
      <c r="GA44" s="2">
        <v>4.3</v>
      </c>
      <c r="GB44" s="2">
        <v>4.3</v>
      </c>
      <c r="GC44" s="2">
        <v>4.3</v>
      </c>
      <c r="GD44" s="2">
        <v>4.3</v>
      </c>
      <c r="GE44" s="2">
        <v>5</v>
      </c>
      <c r="GF44" s="2">
        <v>5</v>
      </c>
      <c r="GG44" s="2">
        <v>5</v>
      </c>
      <c r="GH44" s="2">
        <v>5</v>
      </c>
      <c r="GI44" s="2">
        <v>5</v>
      </c>
      <c r="GJ44" s="2">
        <v>5</v>
      </c>
      <c r="GK44" s="2">
        <v>5</v>
      </c>
      <c r="GL44" s="2">
        <v>5</v>
      </c>
      <c r="GM44" s="2">
        <v>5</v>
      </c>
      <c r="GN44" s="2">
        <v>5</v>
      </c>
      <c r="GO44" s="2">
        <v>5</v>
      </c>
      <c r="GP44" s="2">
        <v>5</v>
      </c>
      <c r="GQ44" s="2">
        <v>6.2</v>
      </c>
      <c r="GR44" s="2">
        <v>6.2</v>
      </c>
      <c r="GS44" s="2">
        <v>6.2</v>
      </c>
      <c r="GT44" s="2">
        <v>6.2</v>
      </c>
      <c r="GU44" s="2">
        <v>6.2</v>
      </c>
      <c r="GV44" s="2">
        <v>6.2</v>
      </c>
      <c r="GW44" s="2">
        <v>6.2</v>
      </c>
      <c r="GX44" s="2">
        <v>6.2</v>
      </c>
      <c r="GY44" s="2">
        <v>6.2</v>
      </c>
      <c r="GZ44" s="2">
        <v>6.2</v>
      </c>
      <c r="HA44" s="2">
        <v>6.2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2.3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2.5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1.3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3.3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3.6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4.3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5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6.2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1.43</v>
      </c>
      <c r="LE44" s="2">
        <v>1.43</v>
      </c>
      <c r="LF44" s="2">
        <v>1.43</v>
      </c>
      <c r="LG44" s="2">
        <v>1.43</v>
      </c>
      <c r="LH44" s="2">
        <v>1.43</v>
      </c>
      <c r="LI44" s="2">
        <v>1.43</v>
      </c>
      <c r="LJ44" s="2">
        <v>1.43</v>
      </c>
      <c r="LK44" s="2">
        <v>1.43</v>
      </c>
      <c r="LL44" s="2">
        <v>1.43</v>
      </c>
      <c r="LM44" s="2">
        <v>1.52</v>
      </c>
      <c r="LN44" s="2">
        <v>1.52</v>
      </c>
      <c r="LO44" s="2">
        <v>1.52</v>
      </c>
      <c r="LP44" s="2">
        <v>1.52</v>
      </c>
      <c r="LQ44" s="2">
        <v>1.52</v>
      </c>
      <c r="LR44" s="2">
        <v>1.52</v>
      </c>
      <c r="LS44" s="2">
        <v>1.52</v>
      </c>
      <c r="LT44" s="2">
        <v>1.52</v>
      </c>
      <c r="LU44" s="2">
        <v>1.52</v>
      </c>
      <c r="LV44" s="2">
        <v>1.52</v>
      </c>
      <c r="LW44" s="2">
        <v>1.52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0.09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UH44" s="2">
        <v>26.21</v>
      </c>
      <c r="UI44" s="2">
        <v>27.02</v>
      </c>
      <c r="UJ44" s="2">
        <v>27.11</v>
      </c>
      <c r="UK44" s="2">
        <v>27.11</v>
      </c>
      <c r="UL44" s="2">
        <v>27.11</v>
      </c>
      <c r="UM44" s="2">
        <v>28.53</v>
      </c>
      <c r="UN44" s="2">
        <v>28.53</v>
      </c>
      <c r="UO44" s="2">
        <v>28.52</v>
      </c>
      <c r="UP44" s="2">
        <v>28.52</v>
      </c>
      <c r="UQ44" s="2">
        <v>29.92</v>
      </c>
      <c r="UR44" s="2">
        <v>29.92</v>
      </c>
      <c r="US44" s="2">
        <v>29.75</v>
      </c>
      <c r="UT44" s="2">
        <v>29.75</v>
      </c>
      <c r="UU44" s="2">
        <v>31.2</v>
      </c>
      <c r="UV44" s="2">
        <v>31.2</v>
      </c>
      <c r="UW44" s="2">
        <v>31.19</v>
      </c>
      <c r="UX44" s="2">
        <v>31.19</v>
      </c>
      <c r="UY44" s="2">
        <v>33.08</v>
      </c>
      <c r="UZ44" s="2">
        <v>33.08</v>
      </c>
      <c r="VA44" s="2">
        <v>33.08</v>
      </c>
      <c r="VB44" s="2">
        <v>33.08</v>
      </c>
      <c r="VC44" s="2">
        <v>35.09</v>
      </c>
      <c r="VD44" s="2">
        <v>35.09</v>
      </c>
      <c r="VE44" s="2">
        <v>35.13</v>
      </c>
      <c r="VF44" s="2">
        <v>35.13</v>
      </c>
      <c r="VG44" s="2">
        <v>36.93</v>
      </c>
      <c r="VH44" s="2">
        <v>36.93</v>
      </c>
      <c r="VI44" s="2">
        <v>36.93</v>
      </c>
      <c r="VJ44" s="2">
        <v>36.93</v>
      </c>
      <c r="VK44" s="2">
        <v>38.75</v>
      </c>
      <c r="VL44" s="2">
        <v>38.75</v>
      </c>
      <c r="VM44" s="2">
        <v>38.75</v>
      </c>
      <c r="VN44" s="2">
        <v>38.75</v>
      </c>
      <c r="VO44" s="2">
        <v>40.93</v>
      </c>
      <c r="VP44" s="2">
        <v>40.93</v>
      </c>
      <c r="VQ44" s="2">
        <v>40.93</v>
      </c>
      <c r="VR44" s="2">
        <v>40.93</v>
      </c>
      <c r="VS44" s="2">
        <v>42.79</v>
      </c>
      <c r="VT44" s="2">
        <v>42.79</v>
      </c>
      <c r="VU44" s="2">
        <v>42.79</v>
      </c>
      <c r="VV44" s="2">
        <v>42.79</v>
      </c>
      <c r="VW44" s="2">
        <v>45.39</v>
      </c>
      <c r="VX44" s="2">
        <v>45.39</v>
      </c>
      <c r="VY44" s="2">
        <v>45.39</v>
      </c>
      <c r="VZ44" s="2">
        <v>45.39</v>
      </c>
      <c r="WA44" s="2">
        <v>47.99</v>
      </c>
      <c r="WB44" s="2">
        <v>47.99</v>
      </c>
      <c r="WC44" s="2">
        <v>47.99</v>
      </c>
      <c r="WD44" s="2">
        <v>47.99</v>
      </c>
      <c r="WE44" s="2">
        <v>50.94</v>
      </c>
      <c r="WF44" s="2">
        <v>50.94</v>
      </c>
      <c r="WG44" s="2">
        <v>50.94</v>
      </c>
      <c r="WH44" s="2">
        <v>50.94</v>
      </c>
      <c r="WI44" s="2">
        <v>53.62</v>
      </c>
      <c r="WJ44" s="2">
        <v>53.62</v>
      </c>
      <c r="WK44" s="2">
        <v>53.62</v>
      </c>
      <c r="WL44" s="2">
        <v>53.62</v>
      </c>
      <c r="WM44" s="2">
        <v>56.74</v>
      </c>
      <c r="WN44" s="2">
        <v>56.74</v>
      </c>
      <c r="WO44" s="2">
        <v>56.74</v>
      </c>
      <c r="WP44" s="2">
        <v>56.74</v>
      </c>
      <c r="WQ44" s="2">
        <v>61.24</v>
      </c>
      <c r="WR44" s="2">
        <v>61.24</v>
      </c>
      <c r="WS44" s="2">
        <v>61.24</v>
      </c>
      <c r="WT44" s="2">
        <v>61.24</v>
      </c>
      <c r="WU44" s="2">
        <v>65.12</v>
      </c>
      <c r="WV44" s="2">
        <v>65.12</v>
      </c>
      <c r="WW44" s="2">
        <v>65.12</v>
      </c>
      <c r="WX44" s="2">
        <v>65.12</v>
      </c>
      <c r="WY44" s="2">
        <v>68.09</v>
      </c>
      <c r="WZ44" s="2">
        <v>68.09</v>
      </c>
      <c r="XA44" s="2">
        <v>68.09</v>
      </c>
      <c r="XB44" s="2">
        <v>68.09</v>
      </c>
      <c r="XC44" s="2">
        <v>70.84</v>
      </c>
      <c r="XD44" s="2">
        <v>70.84</v>
      </c>
      <c r="XE44" s="2">
        <v>70.84</v>
      </c>
      <c r="XF44" s="2">
        <v>70.84</v>
      </c>
      <c r="XG44" s="2">
        <v>72.65000000000001</v>
      </c>
      <c r="XH44" s="2">
        <v>72.65000000000001</v>
      </c>
      <c r="XI44" s="2">
        <v>72.65000000000001</v>
      </c>
      <c r="XJ44" s="2">
        <v>72.65000000000001</v>
      </c>
      <c r="XK44" s="2">
        <v>74.3</v>
      </c>
      <c r="XL44" s="2">
        <v>74.3</v>
      </c>
      <c r="XM44" s="2">
        <v>74.3</v>
      </c>
      <c r="XN44" s="2">
        <v>74.3</v>
      </c>
      <c r="XO44" s="2">
        <v>76.17</v>
      </c>
      <c r="XP44" s="2">
        <v>76.17</v>
      </c>
      <c r="XQ44" s="2">
        <v>76.17</v>
      </c>
      <c r="XR44" s="2">
        <v>76.17</v>
      </c>
      <c r="XS44" s="2">
        <v>77.15000000000001</v>
      </c>
      <c r="XT44" s="2">
        <v>77.15000000000001</v>
      </c>
      <c r="XU44" s="2">
        <v>77.15000000000001</v>
      </c>
      <c r="XV44" s="2">
        <v>77.15000000000001</v>
      </c>
      <c r="XW44" s="2">
        <v>79.68000000000001</v>
      </c>
      <c r="XX44" s="2">
        <v>79.68000000000001</v>
      </c>
      <c r="XY44" s="2">
        <v>79.68000000000001</v>
      </c>
      <c r="XZ44" s="2">
        <v>79.68000000000001</v>
      </c>
      <c r="YA44" s="2">
        <v>82.59</v>
      </c>
      <c r="YB44" s="2">
        <v>82.59</v>
      </c>
      <c r="YC44" s="2">
        <v>82.59</v>
      </c>
      <c r="YD44" s="2">
        <v>82.59</v>
      </c>
      <c r="YE44" s="2">
        <v>86.16</v>
      </c>
      <c r="YF44" s="2">
        <v>86.16</v>
      </c>
      <c r="YG44" s="2">
        <v>86.16</v>
      </c>
      <c r="YH44" s="2">
        <v>86.16</v>
      </c>
      <c r="YI44" s="2">
        <v>90.43000000000001</v>
      </c>
      <c r="YJ44" s="2">
        <v>90.43000000000001</v>
      </c>
      <c r="YK44" s="2">
        <v>90.43000000000001</v>
      </c>
      <c r="YL44" s="2">
        <v>90.43000000000001</v>
      </c>
      <c r="YM44" s="2">
        <v>96.08</v>
      </c>
      <c r="YN44" s="2">
        <v>100</v>
      </c>
      <c r="YO44" s="2">
        <v>100</v>
      </c>
      <c r="YP44" s="2">
        <v>100</v>
      </c>
      <c r="AGH44" s="2">
        <v>3.1</v>
      </c>
      <c r="AGI44" s="2">
        <v>0.3</v>
      </c>
      <c r="AGJ44" s="2">
        <v>0</v>
      </c>
      <c r="AGK44" s="2">
        <v>0</v>
      </c>
      <c r="AGL44" s="2">
        <v>5.2</v>
      </c>
      <c r="AGM44" s="2">
        <v>0</v>
      </c>
      <c r="AGN44" s="2">
        <v>0</v>
      </c>
      <c r="AGO44" s="2">
        <v>0</v>
      </c>
      <c r="AGP44" s="2">
        <v>4.9</v>
      </c>
      <c r="AGQ44" s="2">
        <v>0</v>
      </c>
      <c r="AGR44" s="2">
        <v>-0.6</v>
      </c>
      <c r="AGS44" s="2">
        <v>0</v>
      </c>
      <c r="AGT44" s="2">
        <v>4.9</v>
      </c>
      <c r="AGU44" s="2">
        <v>0</v>
      </c>
      <c r="AGV44" s="2">
        <v>0</v>
      </c>
      <c r="AGW44" s="2">
        <v>0</v>
      </c>
      <c r="AGX44" s="2">
        <v>6.1</v>
      </c>
      <c r="AGY44" s="2">
        <v>0</v>
      </c>
      <c r="AGZ44" s="2">
        <v>0</v>
      </c>
      <c r="AHA44" s="2">
        <v>0</v>
      </c>
      <c r="AHB44" s="2">
        <v>6.1</v>
      </c>
      <c r="AHC44" s="2">
        <v>0</v>
      </c>
      <c r="AHD44" s="2">
        <v>0.1</v>
      </c>
      <c r="AHE44" s="2">
        <v>0</v>
      </c>
      <c r="AHF44" s="2">
        <v>5.1</v>
      </c>
      <c r="AHG44" s="2">
        <v>0</v>
      </c>
      <c r="AHH44" s="2">
        <v>0</v>
      </c>
      <c r="AHI44" s="2">
        <v>0</v>
      </c>
      <c r="AHJ44" s="2">
        <v>4.9</v>
      </c>
      <c r="AHK44" s="2">
        <v>0</v>
      </c>
      <c r="AHL44" s="2">
        <v>0</v>
      </c>
      <c r="AHM44" s="2">
        <v>0</v>
      </c>
      <c r="AHN44" s="2">
        <v>5.6</v>
      </c>
      <c r="AHO44" s="2">
        <v>0</v>
      </c>
      <c r="AHP44" s="2">
        <v>0</v>
      </c>
      <c r="AHQ44" s="2">
        <v>0</v>
      </c>
      <c r="AHR44" s="2">
        <v>4.5</v>
      </c>
      <c r="AHS44" s="2">
        <v>0</v>
      </c>
      <c r="AHT44" s="2">
        <v>0</v>
      </c>
      <c r="AHU44" s="2">
        <v>0</v>
      </c>
      <c r="AHV44" s="2">
        <v>6.1</v>
      </c>
      <c r="AHW44" s="2">
        <v>0</v>
      </c>
      <c r="AHX44" s="2">
        <v>0</v>
      </c>
      <c r="AHY44" s="2">
        <v>0</v>
      </c>
      <c r="AHZ44" s="2">
        <v>5.7</v>
      </c>
      <c r="AIA44" s="2">
        <v>0</v>
      </c>
      <c r="AIB44" s="2">
        <v>0</v>
      </c>
      <c r="AIC44" s="2">
        <v>0</v>
      </c>
      <c r="AID44" s="2">
        <v>6.1</v>
      </c>
      <c r="AIE44" s="2">
        <v>0</v>
      </c>
      <c r="AIF44" s="2">
        <v>0</v>
      </c>
      <c r="AIG44" s="2">
        <v>0</v>
      </c>
      <c r="AIH44" s="2">
        <v>5.3</v>
      </c>
      <c r="AII44" s="2">
        <v>0</v>
      </c>
      <c r="AIJ44" s="2">
        <v>0</v>
      </c>
      <c r="AIK44" s="2">
        <v>0</v>
      </c>
      <c r="AIL44" s="2">
        <v>5.8</v>
      </c>
      <c r="AIM44" s="2">
        <v>0</v>
      </c>
      <c r="AIN44" s="2">
        <v>0</v>
      </c>
      <c r="AIO44" s="2">
        <v>0</v>
      </c>
      <c r="AIP44" s="2">
        <v>7.9</v>
      </c>
      <c r="AIQ44" s="2">
        <v>0</v>
      </c>
      <c r="AIR44" s="2">
        <v>0</v>
      </c>
      <c r="AIS44" s="2">
        <v>0</v>
      </c>
      <c r="AIT44" s="2">
        <v>6.3</v>
      </c>
      <c r="AIU44" s="2">
        <v>0</v>
      </c>
      <c r="AIV44" s="2">
        <v>0</v>
      </c>
      <c r="AIW44" s="2">
        <v>0</v>
      </c>
      <c r="AIX44" s="2">
        <v>4.6</v>
      </c>
      <c r="AIY44" s="2">
        <v>0</v>
      </c>
      <c r="AIZ44" s="2">
        <v>0</v>
      </c>
      <c r="AJA44" s="2">
        <v>0</v>
      </c>
      <c r="AJB44" s="2">
        <v>4</v>
      </c>
      <c r="AJC44" s="2">
        <v>0</v>
      </c>
      <c r="AJD44" s="2">
        <v>0</v>
      </c>
      <c r="AJE44" s="2">
        <v>0</v>
      </c>
      <c r="AJF44" s="2">
        <v>2.6</v>
      </c>
      <c r="AJG44" s="2">
        <v>0</v>
      </c>
      <c r="AJH44" s="2">
        <v>0</v>
      </c>
      <c r="AJI44" s="2">
        <v>0</v>
      </c>
      <c r="AJJ44" s="2">
        <v>2.3</v>
      </c>
      <c r="AJK44" s="2">
        <v>0</v>
      </c>
      <c r="AJL44" s="2">
        <v>0</v>
      </c>
      <c r="AJM44" s="2">
        <v>0</v>
      </c>
      <c r="AJN44" s="2">
        <v>2.5</v>
      </c>
      <c r="AJO44" s="2">
        <v>0</v>
      </c>
      <c r="AJP44" s="2">
        <v>0</v>
      </c>
      <c r="AJQ44" s="2">
        <v>0</v>
      </c>
      <c r="AJR44" s="2">
        <v>1.3</v>
      </c>
      <c r="AJS44" s="2">
        <v>0</v>
      </c>
      <c r="AJT44" s="2">
        <v>0</v>
      </c>
      <c r="AJU44" s="2">
        <v>0</v>
      </c>
      <c r="AJV44" s="2">
        <v>3.3</v>
      </c>
      <c r="AJW44" s="2">
        <v>0</v>
      </c>
      <c r="AJX44" s="2">
        <v>0</v>
      </c>
      <c r="AJY44" s="2">
        <v>0</v>
      </c>
      <c r="AJZ44" s="2">
        <v>3.7</v>
      </c>
      <c r="AKA44" s="2">
        <v>0</v>
      </c>
      <c r="AKB44" s="2">
        <v>0</v>
      </c>
      <c r="AKC44" s="2">
        <v>0</v>
      </c>
      <c r="AKD44" s="2">
        <v>4.3</v>
      </c>
      <c r="AKE44" s="2">
        <v>0</v>
      </c>
      <c r="AKF44" s="2">
        <v>0</v>
      </c>
      <c r="AKG44" s="2">
        <v>0</v>
      </c>
      <c r="AKH44" s="2">
        <v>5</v>
      </c>
      <c r="AKI44" s="2">
        <v>0</v>
      </c>
      <c r="AKJ44" s="2">
        <v>0</v>
      </c>
      <c r="AKK44" s="2">
        <v>0</v>
      </c>
      <c r="AKL44" s="2">
        <v>6.2</v>
      </c>
      <c r="AKM44" s="2">
        <v>4.1</v>
      </c>
      <c r="AKN44" s="2">
        <v>0</v>
      </c>
      <c r="AKO44" s="2">
        <v>0</v>
      </c>
      <c r="AKP44" s="2">
        <v>1.52</v>
      </c>
      <c r="AKQ44" s="2">
        <v>1.52</v>
      </c>
      <c r="AKR44" s="2">
        <v>1.52</v>
      </c>
    </row>
    <row r="45">
      <c r="A45" t="inlineStr">
        <is>
          <t>Water and sewerage</t>
        </is>
      </c>
      <c r="B45" t="inlineStr">
        <is>
          <t>Utilities</t>
        </is>
      </c>
      <c r="C45">
        <v>3</v>
      </c>
      <c r="D45">
        <v>0.87</v>
      </c>
      <c r="E45" s="3">
        <f>D45/3.7399999999999998*0.0375</f>
        <v>0.008723262032085562</v>
      </c>
      <c r="F45" s="3">
        <f>E45-D45/100</f>
        <v>2.326203208556296e-05</v>
      </c>
      <c r="G45" s="3">
        <f>D45/3.7399999999999998</f>
        <v>0.232620320855615</v>
      </c>
      <c r="CI45" s="2">
        <v>94.73999999999999</v>
      </c>
      <c r="CJ45" s="2">
        <v>94.73999999999999</v>
      </c>
      <c r="CK45" s="2">
        <v>94.73999999999999</v>
      </c>
      <c r="CL45" s="2">
        <v>97.33</v>
      </c>
      <c r="CM45" s="2">
        <v>97.33</v>
      </c>
      <c r="CN45" s="2">
        <v>97.33</v>
      </c>
      <c r="CO45" s="2">
        <v>97.33</v>
      </c>
      <c r="CP45" s="2">
        <v>97.33</v>
      </c>
      <c r="CQ45" s="2">
        <v>97.33</v>
      </c>
      <c r="CR45" s="2">
        <v>97.33</v>
      </c>
      <c r="CS45" s="2">
        <v>97.33</v>
      </c>
      <c r="CT45" s="2">
        <v>97.33</v>
      </c>
      <c r="CU45" s="2">
        <v>97.33</v>
      </c>
      <c r="CV45" s="2">
        <v>97.33</v>
      </c>
      <c r="CW45" s="2">
        <v>97.33</v>
      </c>
      <c r="CX45" s="2">
        <v>100</v>
      </c>
      <c r="CY45" s="2">
        <v>100</v>
      </c>
      <c r="CZ45" s="2">
        <v>100</v>
      </c>
      <c r="DA45" s="2">
        <v>104.21</v>
      </c>
      <c r="DB45" s="2">
        <v>104.21</v>
      </c>
      <c r="DC45" s="2">
        <v>104.21</v>
      </c>
      <c r="DD45" s="2">
        <v>104.21</v>
      </c>
      <c r="DE45" s="2">
        <v>104.21</v>
      </c>
      <c r="DF45" s="2">
        <v>104.21</v>
      </c>
      <c r="DG45" s="2">
        <v>104.21</v>
      </c>
      <c r="DH45" s="2">
        <v>104.21</v>
      </c>
      <c r="DI45" s="2">
        <v>104.21</v>
      </c>
      <c r="DJ45" s="2">
        <v>110.22</v>
      </c>
      <c r="GL45" s="2">
        <v>2.7</v>
      </c>
      <c r="GM45" s="2">
        <v>2.7</v>
      </c>
      <c r="GN45" s="2">
        <v>2.7</v>
      </c>
      <c r="GO45" s="2">
        <v>2.7</v>
      </c>
      <c r="GP45" s="2">
        <v>2.7</v>
      </c>
      <c r="GQ45" s="2">
        <v>2.7</v>
      </c>
      <c r="GR45" s="2">
        <v>7.1</v>
      </c>
      <c r="GS45" s="2">
        <v>7.1</v>
      </c>
      <c r="GT45" s="2">
        <v>7.1</v>
      </c>
      <c r="GU45" s="2">
        <v>7.1</v>
      </c>
      <c r="GV45" s="2">
        <v>7.1</v>
      </c>
      <c r="GW45" s="2">
        <v>7.1</v>
      </c>
      <c r="GX45" s="2">
        <v>7.1</v>
      </c>
      <c r="GY45" s="2">
        <v>7.1</v>
      </c>
      <c r="GZ45" s="2">
        <v>7.1</v>
      </c>
      <c r="HA45" s="2">
        <v>10.2</v>
      </c>
      <c r="KC45" s="2">
        <v>0</v>
      </c>
      <c r="KD45" s="2">
        <v>0</v>
      </c>
      <c r="KE45" s="2">
        <v>2.7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2.7</v>
      </c>
      <c r="KR45" s="2">
        <v>0</v>
      </c>
      <c r="KS45" s="2">
        <v>0</v>
      </c>
      <c r="KT45" s="2">
        <v>4.2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5.8</v>
      </c>
      <c r="LD45" s="2">
        <v>0.85</v>
      </c>
      <c r="LE45" s="2">
        <v>0.85</v>
      </c>
      <c r="LF45" s="2">
        <v>0.85</v>
      </c>
      <c r="LG45" s="2">
        <v>0.85</v>
      </c>
      <c r="LH45" s="2">
        <v>0.85</v>
      </c>
      <c r="LI45" s="2">
        <v>0.85</v>
      </c>
      <c r="LJ45" s="2">
        <v>0.85</v>
      </c>
      <c r="LK45" s="2">
        <v>0.87</v>
      </c>
      <c r="LL45" s="2">
        <v>0.87</v>
      </c>
      <c r="LM45" s="2">
        <v>0.87</v>
      </c>
      <c r="LN45" s="2">
        <v>0.91</v>
      </c>
      <c r="LO45" s="2">
        <v>0.91</v>
      </c>
      <c r="LP45" s="2">
        <v>0.91</v>
      </c>
      <c r="LQ45" s="2">
        <v>0.91</v>
      </c>
      <c r="LR45" s="2">
        <v>0.91</v>
      </c>
      <c r="LS45" s="2">
        <v>0.91</v>
      </c>
      <c r="LT45" s="2">
        <v>0.91</v>
      </c>
      <c r="LU45" s="2">
        <v>0.91</v>
      </c>
      <c r="LV45" s="2">
        <v>0.91</v>
      </c>
      <c r="LW45" s="2">
        <v>0.96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0.02</v>
      </c>
      <c r="ME45" s="2">
        <v>0</v>
      </c>
      <c r="MF45" s="2">
        <v>0</v>
      </c>
      <c r="MG45" s="2">
        <v>0.04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0.05</v>
      </c>
      <c r="UH45" s="2">
        <v>31.54</v>
      </c>
      <c r="UI45" s="2">
        <v>32.14</v>
      </c>
      <c r="UJ45" s="2">
        <v>32.35</v>
      </c>
      <c r="UK45" s="2">
        <v>32.35</v>
      </c>
      <c r="UL45" s="2">
        <v>32.35</v>
      </c>
      <c r="UM45" s="2">
        <v>33.36</v>
      </c>
      <c r="UN45" s="2">
        <v>33.51</v>
      </c>
      <c r="UO45" s="2">
        <v>33.55</v>
      </c>
      <c r="UP45" s="2">
        <v>33.55</v>
      </c>
      <c r="UQ45" s="2">
        <v>34.06</v>
      </c>
      <c r="UR45" s="2">
        <v>34.13</v>
      </c>
      <c r="US45" s="2">
        <v>34.01</v>
      </c>
      <c r="UT45" s="2">
        <v>34.01</v>
      </c>
      <c r="UU45" s="2">
        <v>34.98</v>
      </c>
      <c r="UV45" s="2">
        <v>35.3</v>
      </c>
      <c r="UW45" s="2">
        <v>35.35</v>
      </c>
      <c r="UX45" s="2">
        <v>35.35</v>
      </c>
      <c r="UY45" s="2">
        <v>36.4</v>
      </c>
      <c r="UZ45" s="2">
        <v>36.6</v>
      </c>
      <c r="VA45" s="2">
        <v>36.62</v>
      </c>
      <c r="VB45" s="2">
        <v>36.62</v>
      </c>
      <c r="VC45" s="2">
        <v>38.1</v>
      </c>
      <c r="VD45" s="2">
        <v>38.24</v>
      </c>
      <c r="VE45" s="2">
        <v>38.31</v>
      </c>
      <c r="VF45" s="2">
        <v>38.31</v>
      </c>
      <c r="VG45" s="2">
        <v>39.19</v>
      </c>
      <c r="VH45" s="2">
        <v>39.42</v>
      </c>
      <c r="VI45" s="2">
        <v>39.64</v>
      </c>
      <c r="VJ45" s="2">
        <v>39.64</v>
      </c>
      <c r="VK45" s="2">
        <v>40.83</v>
      </c>
      <c r="VL45" s="2">
        <v>41.66</v>
      </c>
      <c r="VM45" s="2">
        <v>42.08</v>
      </c>
      <c r="VN45" s="2">
        <v>42.08</v>
      </c>
      <c r="VO45" s="2">
        <v>44.05</v>
      </c>
      <c r="VP45" s="2">
        <v>44.21</v>
      </c>
      <c r="VQ45" s="2">
        <v>44.21</v>
      </c>
      <c r="VR45" s="2">
        <v>44.21</v>
      </c>
      <c r="VS45" s="2">
        <v>46.65</v>
      </c>
      <c r="VT45" s="2">
        <v>46.85</v>
      </c>
      <c r="VU45" s="2">
        <v>46.85</v>
      </c>
      <c r="VV45" s="2">
        <v>46.85</v>
      </c>
      <c r="VW45" s="2">
        <v>52.61</v>
      </c>
      <c r="VX45" s="2">
        <v>53</v>
      </c>
      <c r="VY45" s="2">
        <v>53</v>
      </c>
      <c r="VZ45" s="2">
        <v>53</v>
      </c>
      <c r="WA45" s="2">
        <v>60.46</v>
      </c>
      <c r="WB45" s="2">
        <v>60.46</v>
      </c>
      <c r="WC45" s="2">
        <v>60.44</v>
      </c>
      <c r="WD45" s="2">
        <v>60.44</v>
      </c>
      <c r="WE45" s="2">
        <v>68.19</v>
      </c>
      <c r="WF45" s="2">
        <v>68.19</v>
      </c>
      <c r="WG45" s="2">
        <v>68.19</v>
      </c>
      <c r="WH45" s="2">
        <v>68.19</v>
      </c>
      <c r="WI45" s="2">
        <v>74.03</v>
      </c>
      <c r="WJ45" s="2">
        <v>74.03</v>
      </c>
      <c r="WK45" s="2">
        <v>74.52</v>
      </c>
      <c r="WL45" s="2">
        <v>74.52</v>
      </c>
      <c r="WM45" s="2">
        <v>76.91</v>
      </c>
      <c r="WN45" s="2">
        <v>76.91</v>
      </c>
      <c r="WO45" s="2">
        <v>76.40000000000001</v>
      </c>
      <c r="WP45" s="2">
        <v>76.41</v>
      </c>
      <c r="WQ45" s="2">
        <v>83.98</v>
      </c>
      <c r="WR45" s="2">
        <v>83.98</v>
      </c>
      <c r="WS45" s="2">
        <v>84.69</v>
      </c>
      <c r="WT45" s="2">
        <v>84.89</v>
      </c>
      <c r="WU45" s="2">
        <v>84.38</v>
      </c>
      <c r="WV45" s="2">
        <v>84.3</v>
      </c>
      <c r="WW45" s="2">
        <v>84.08</v>
      </c>
      <c r="WX45" s="2">
        <v>84.08</v>
      </c>
      <c r="WY45" s="2">
        <v>86.23</v>
      </c>
      <c r="WZ45" s="2">
        <v>86.23</v>
      </c>
      <c r="XA45" s="2">
        <v>86.23</v>
      </c>
      <c r="XB45" s="2">
        <v>86.23</v>
      </c>
      <c r="XC45" s="2">
        <v>84.64</v>
      </c>
      <c r="XD45" s="2">
        <v>84.64</v>
      </c>
      <c r="XE45" s="2">
        <v>84.64</v>
      </c>
      <c r="XF45" s="2">
        <v>84.64</v>
      </c>
      <c r="XG45" s="2">
        <v>87.33</v>
      </c>
      <c r="XH45" s="2">
        <v>87.33</v>
      </c>
      <c r="XI45" s="2">
        <v>87.33</v>
      </c>
      <c r="XJ45" s="2">
        <v>87.33</v>
      </c>
      <c r="XK45" s="2">
        <v>88.48999999999999</v>
      </c>
      <c r="XL45" s="2">
        <v>88.48999999999999</v>
      </c>
      <c r="XM45" s="2">
        <v>88.48999999999999</v>
      </c>
      <c r="XN45" s="2">
        <v>88.48999999999999</v>
      </c>
      <c r="XO45" s="2">
        <v>90.47</v>
      </c>
      <c r="XP45" s="2">
        <v>91</v>
      </c>
      <c r="XQ45" s="2">
        <v>91</v>
      </c>
      <c r="XR45" s="2">
        <v>90.47</v>
      </c>
      <c r="XS45" s="2">
        <v>88.05</v>
      </c>
      <c r="XT45" s="2">
        <v>88.05</v>
      </c>
      <c r="XU45" s="2">
        <v>88.22</v>
      </c>
      <c r="XV45" s="2">
        <v>88.22</v>
      </c>
      <c r="XW45" s="2">
        <v>88.33</v>
      </c>
      <c r="XX45" s="2">
        <v>88.34</v>
      </c>
      <c r="XY45" s="2">
        <v>88.34</v>
      </c>
      <c r="XZ45" s="2">
        <v>88.34</v>
      </c>
      <c r="YA45" s="2">
        <v>90.59999999999999</v>
      </c>
      <c r="YB45" s="2">
        <v>88.73</v>
      </c>
      <c r="YC45" s="2">
        <v>89.58</v>
      </c>
      <c r="YD45" s="2">
        <v>90.43000000000001</v>
      </c>
      <c r="YE45" s="2">
        <v>94.73999999999999</v>
      </c>
      <c r="YF45" s="2">
        <v>94.73999999999999</v>
      </c>
      <c r="YG45" s="2">
        <v>94.73999999999999</v>
      </c>
      <c r="YH45" s="2">
        <v>94.73999999999999</v>
      </c>
      <c r="YI45" s="2">
        <v>97.33</v>
      </c>
      <c r="YJ45" s="2">
        <v>97.33</v>
      </c>
      <c r="YK45" s="2">
        <v>97.33</v>
      </c>
      <c r="YL45" s="2">
        <v>97.33</v>
      </c>
      <c r="YM45" s="2">
        <v>100</v>
      </c>
      <c r="YN45" s="2">
        <v>104.21</v>
      </c>
      <c r="YO45" s="2">
        <v>104.21</v>
      </c>
      <c r="YP45" s="2">
        <v>104.21</v>
      </c>
      <c r="AGH45" s="2">
        <v>1.9</v>
      </c>
      <c r="AGI45" s="2">
        <v>0.7</v>
      </c>
      <c r="AGJ45" s="2">
        <v>0</v>
      </c>
      <c r="AGK45" s="2">
        <v>0</v>
      </c>
      <c r="AGL45" s="2">
        <v>3.1</v>
      </c>
      <c r="AGM45" s="2">
        <v>0.4</v>
      </c>
      <c r="AGN45" s="2">
        <v>0.1</v>
      </c>
      <c r="AGO45" s="2">
        <v>0</v>
      </c>
      <c r="AGP45" s="2">
        <v>1.5</v>
      </c>
      <c r="AGQ45" s="2">
        <v>0.2</v>
      </c>
      <c r="AGR45" s="2">
        <v>-0.4</v>
      </c>
      <c r="AGS45" s="2">
        <v>0</v>
      </c>
      <c r="AGT45" s="2">
        <v>2.9</v>
      </c>
      <c r="AGU45" s="2">
        <v>0.9</v>
      </c>
      <c r="AGV45" s="2">
        <v>0.1</v>
      </c>
      <c r="AGW45" s="2">
        <v>0</v>
      </c>
      <c r="AGX45" s="2">
        <v>3</v>
      </c>
      <c r="AGY45" s="2">
        <v>0.5</v>
      </c>
      <c r="AGZ45" s="2">
        <v>0.1</v>
      </c>
      <c r="AHA45" s="2">
        <v>0</v>
      </c>
      <c r="AHB45" s="2">
        <v>4</v>
      </c>
      <c r="AHC45" s="2">
        <v>0.4</v>
      </c>
      <c r="AHD45" s="2">
        <v>0.2</v>
      </c>
      <c r="AHE45" s="2">
        <v>0</v>
      </c>
      <c r="AHF45" s="2">
        <v>2.3</v>
      </c>
      <c r="AHG45" s="2">
        <v>0.6</v>
      </c>
      <c r="AHH45" s="2">
        <v>0.6</v>
      </c>
      <c r="AHI45" s="2">
        <v>0</v>
      </c>
      <c r="AHJ45" s="2">
        <v>3</v>
      </c>
      <c r="AHK45" s="2">
        <v>2</v>
      </c>
      <c r="AHL45" s="2">
        <v>1</v>
      </c>
      <c r="AHM45" s="2">
        <v>0</v>
      </c>
      <c r="AHN45" s="2">
        <v>4.7</v>
      </c>
      <c r="AHO45" s="2">
        <v>0.4</v>
      </c>
      <c r="AHP45" s="2">
        <v>0</v>
      </c>
      <c r="AHQ45" s="2">
        <v>0</v>
      </c>
      <c r="AHR45" s="2">
        <v>5.5</v>
      </c>
      <c r="AHS45" s="2">
        <v>0.4</v>
      </c>
      <c r="AHT45" s="2">
        <v>0</v>
      </c>
      <c r="AHU45" s="2">
        <v>0</v>
      </c>
      <c r="AHV45" s="2">
        <v>12.3</v>
      </c>
      <c r="AHW45" s="2">
        <v>0.7</v>
      </c>
      <c r="AHX45" s="2">
        <v>0</v>
      </c>
      <c r="AHY45" s="2">
        <v>0</v>
      </c>
      <c r="AHZ45" s="2">
        <v>14.1</v>
      </c>
      <c r="AIA45" s="2">
        <v>0</v>
      </c>
      <c r="AIB45" s="2">
        <v>0</v>
      </c>
      <c r="AIC45" s="2">
        <v>0</v>
      </c>
      <c r="AID45" s="2">
        <v>12.8</v>
      </c>
      <c r="AIE45" s="2">
        <v>0</v>
      </c>
      <c r="AIF45" s="2">
        <v>0</v>
      </c>
      <c r="AIG45" s="2">
        <v>0</v>
      </c>
      <c r="AIH45" s="2">
        <v>8.6</v>
      </c>
      <c r="AII45" s="2">
        <v>0</v>
      </c>
      <c r="AIJ45" s="2">
        <v>0.7</v>
      </c>
      <c r="AIK45" s="2">
        <v>0</v>
      </c>
      <c r="AIL45" s="2">
        <v>3.2</v>
      </c>
      <c r="AIM45" s="2">
        <v>0</v>
      </c>
      <c r="AIN45" s="2">
        <v>-0.7</v>
      </c>
      <c r="AIO45" s="2">
        <v>0</v>
      </c>
      <c r="AIP45" s="2">
        <v>9.9</v>
      </c>
      <c r="AIQ45" s="2">
        <v>0</v>
      </c>
      <c r="AIR45" s="2">
        <v>0.8</v>
      </c>
      <c r="AIS45" s="2">
        <v>0.2</v>
      </c>
      <c r="AIT45" s="2">
        <v>-0.6</v>
      </c>
      <c r="AIU45" s="2">
        <v>-0.1</v>
      </c>
      <c r="AIV45" s="2">
        <v>-0.3</v>
      </c>
      <c r="AIW45" s="2">
        <v>0</v>
      </c>
      <c r="AIX45" s="2">
        <v>2.6</v>
      </c>
      <c r="AIY45" s="2">
        <v>0</v>
      </c>
      <c r="AIZ45" s="2">
        <v>0</v>
      </c>
      <c r="AJA45" s="2">
        <v>0</v>
      </c>
      <c r="AJB45" s="2">
        <v>-1.8</v>
      </c>
      <c r="AJC45" s="2">
        <v>0</v>
      </c>
      <c r="AJD45" s="2">
        <v>0</v>
      </c>
      <c r="AJE45" s="2">
        <v>0</v>
      </c>
      <c r="AJF45" s="2">
        <v>3.2</v>
      </c>
      <c r="AJG45" s="2">
        <v>0</v>
      </c>
      <c r="AJH45" s="2">
        <v>0</v>
      </c>
      <c r="AJI45" s="2">
        <v>0</v>
      </c>
      <c r="AJJ45" s="2">
        <v>1.3</v>
      </c>
      <c r="AJK45" s="2">
        <v>0</v>
      </c>
      <c r="AJL45" s="2">
        <v>0</v>
      </c>
      <c r="AJM45" s="2">
        <v>0</v>
      </c>
      <c r="AJN45" s="2">
        <v>2.2</v>
      </c>
      <c r="AJO45" s="2">
        <v>0.6</v>
      </c>
      <c r="AJP45" s="2">
        <v>0</v>
      </c>
      <c r="AJQ45" s="2">
        <v>-0.6</v>
      </c>
      <c r="AJR45" s="2">
        <v>-2.7</v>
      </c>
      <c r="AJS45" s="2">
        <v>0</v>
      </c>
      <c r="AJT45" s="2">
        <v>0.2</v>
      </c>
      <c r="AJU45" s="2">
        <v>0</v>
      </c>
      <c r="AJV45" s="2">
        <v>0.1</v>
      </c>
      <c r="AJW45" s="2">
        <v>0</v>
      </c>
      <c r="AJX45" s="2">
        <v>0</v>
      </c>
      <c r="AJY45" s="2">
        <v>0</v>
      </c>
      <c r="AJZ45" s="2">
        <v>2.6</v>
      </c>
      <c r="AKA45" s="2">
        <v>-2.1</v>
      </c>
      <c r="AKB45" s="2">
        <v>1</v>
      </c>
      <c r="AKC45" s="2">
        <v>0.9</v>
      </c>
      <c r="AKD45" s="2">
        <v>4.8</v>
      </c>
      <c r="AKE45" s="2">
        <v>0</v>
      </c>
      <c r="AKF45" s="2">
        <v>0</v>
      </c>
      <c r="AKG45" s="2">
        <v>0</v>
      </c>
      <c r="AKH45" s="2">
        <v>2.7</v>
      </c>
      <c r="AKI45" s="2">
        <v>0</v>
      </c>
      <c r="AKJ45" s="2">
        <v>0</v>
      </c>
      <c r="AKK45" s="2">
        <v>0</v>
      </c>
      <c r="AKL45" s="2">
        <v>2.7</v>
      </c>
      <c r="AKM45" s="2">
        <v>4.2</v>
      </c>
      <c r="AKN45" s="2">
        <v>0</v>
      </c>
      <c r="AKO45" s="2">
        <v>0</v>
      </c>
      <c r="AKP45" s="2">
        <v>0.91</v>
      </c>
      <c r="AKQ45" s="2">
        <v>0.91</v>
      </c>
      <c r="AKR45" s="2">
        <v>0.91</v>
      </c>
    </row>
    <row r="46">
      <c r="A46" t="inlineStr">
        <is>
          <t>Electricity</t>
        </is>
      </c>
      <c r="B46" t="inlineStr">
        <is>
          <t>Utilities</t>
        </is>
      </c>
      <c r="C46">
        <v>3</v>
      </c>
      <c r="D46">
        <v>1.92</v>
      </c>
      <c r="E46" s="3">
        <f>D46/3.7399999999999998*0.0375</f>
        <v>0.019251336898395723</v>
      </c>
      <c r="F46" s="3">
        <f>E46-D46/100</f>
        <v>5.133689839572492e-05</v>
      </c>
      <c r="G46" s="3">
        <f>D46/3.7399999999999998</f>
        <v>0.5133689839572193</v>
      </c>
      <c r="BE46" s="2">
        <v>82.55</v>
      </c>
      <c r="BF46" s="2">
        <v>83.42</v>
      </c>
      <c r="BG46" s="2">
        <v>83.64</v>
      </c>
      <c r="BH46" s="2">
        <v>83.55</v>
      </c>
      <c r="BI46" s="2">
        <v>83.28</v>
      </c>
      <c r="BJ46" s="2">
        <v>83.22</v>
      </c>
      <c r="BK46" s="2">
        <v>82.79000000000001</v>
      </c>
      <c r="BL46" s="2">
        <v>82.98</v>
      </c>
      <c r="BM46" s="2">
        <v>85.09999999999999</v>
      </c>
      <c r="BN46" s="2">
        <v>86.03</v>
      </c>
      <c r="BO46" s="2">
        <v>87.2</v>
      </c>
      <c r="BP46" s="2">
        <v>83.40000000000001</v>
      </c>
      <c r="BQ46" s="2">
        <v>92.38</v>
      </c>
      <c r="BR46" s="2">
        <v>92.22</v>
      </c>
      <c r="BS46" s="2">
        <v>95.86</v>
      </c>
      <c r="BT46" s="2">
        <v>96.34999999999999</v>
      </c>
      <c r="BU46" s="2">
        <v>96.34999999999999</v>
      </c>
      <c r="BV46" s="2">
        <v>96.23999999999999</v>
      </c>
      <c r="BW46" s="2">
        <v>95.31999999999999</v>
      </c>
      <c r="BX46" s="2">
        <v>94.56999999999999</v>
      </c>
      <c r="BY46" s="2">
        <v>93.79000000000001</v>
      </c>
      <c r="BZ46" s="2">
        <v>99.45999999999999</v>
      </c>
      <c r="CA46" s="2">
        <v>98.19</v>
      </c>
      <c r="CB46" s="2">
        <v>98.40000000000001</v>
      </c>
      <c r="CC46" s="2">
        <v>101.7</v>
      </c>
      <c r="CD46" s="2">
        <v>102.09</v>
      </c>
      <c r="CE46" s="2">
        <v>96.22</v>
      </c>
      <c r="CF46" s="2">
        <v>97.12</v>
      </c>
      <c r="CG46" s="2">
        <v>96.58</v>
      </c>
      <c r="CH46" s="2">
        <v>101.29</v>
      </c>
      <c r="CI46" s="2">
        <v>99.34999999999999</v>
      </c>
      <c r="CJ46" s="2">
        <v>100.77</v>
      </c>
      <c r="CK46" s="2">
        <v>100.77</v>
      </c>
      <c r="CL46" s="2">
        <v>94.37</v>
      </c>
      <c r="CM46" s="2">
        <v>80.59</v>
      </c>
      <c r="CN46" s="2">
        <v>74.68000000000001</v>
      </c>
      <c r="CO46" s="2">
        <v>65.53</v>
      </c>
      <c r="CP46" s="2">
        <v>80.11</v>
      </c>
      <c r="CQ46" s="2">
        <v>78.95999999999999</v>
      </c>
      <c r="CR46" s="2">
        <v>86</v>
      </c>
      <c r="CS46" s="2">
        <v>83.84</v>
      </c>
      <c r="CT46" s="2">
        <v>91.55</v>
      </c>
      <c r="CU46" s="2">
        <v>92.89</v>
      </c>
      <c r="CV46" s="2">
        <v>94.78</v>
      </c>
      <c r="CW46" s="2">
        <v>94.41</v>
      </c>
      <c r="CX46" s="2">
        <v>107.16</v>
      </c>
      <c r="CY46" s="2">
        <v>100.45</v>
      </c>
      <c r="CZ46" s="2">
        <v>100</v>
      </c>
      <c r="DA46" s="2">
        <v>89.81999999999999</v>
      </c>
      <c r="DB46" s="2">
        <v>95.90000000000001</v>
      </c>
      <c r="DC46" s="2">
        <v>95.92</v>
      </c>
      <c r="DD46" s="2">
        <v>113.68</v>
      </c>
      <c r="DE46" s="2">
        <v>114.83</v>
      </c>
      <c r="DF46" s="2">
        <v>114.83</v>
      </c>
      <c r="DG46" s="2">
        <v>113.78</v>
      </c>
      <c r="DH46" s="2">
        <v>114.81</v>
      </c>
      <c r="DI46" s="2">
        <v>115.59</v>
      </c>
      <c r="DJ46" s="2">
        <v>113.69</v>
      </c>
      <c r="FH46" s="2">
        <v>11.9</v>
      </c>
      <c r="FI46" s="2">
        <v>10.5</v>
      </c>
      <c r="FJ46" s="2">
        <v>14.6</v>
      </c>
      <c r="FK46" s="2">
        <v>15.3</v>
      </c>
      <c r="FL46" s="2">
        <v>15.7</v>
      </c>
      <c r="FM46" s="2">
        <v>15.6</v>
      </c>
      <c r="FN46" s="2">
        <v>15.1</v>
      </c>
      <c r="FO46" s="2">
        <v>14</v>
      </c>
      <c r="FP46" s="2">
        <v>10.2</v>
      </c>
      <c r="FQ46" s="2">
        <v>15.6</v>
      </c>
      <c r="FR46" s="2">
        <v>12.6</v>
      </c>
      <c r="FS46" s="2">
        <v>18</v>
      </c>
      <c r="FT46" s="2">
        <v>10.1</v>
      </c>
      <c r="FU46" s="2">
        <v>10.7</v>
      </c>
      <c r="FV46" s="2">
        <v>0.4</v>
      </c>
      <c r="FW46" s="2">
        <v>0.8</v>
      </c>
      <c r="FX46" s="2">
        <v>0.2</v>
      </c>
      <c r="FY46" s="2">
        <v>5.2</v>
      </c>
      <c r="FZ46" s="2">
        <v>4.2</v>
      </c>
      <c r="GA46" s="2">
        <v>6.6</v>
      </c>
      <c r="GB46" s="2">
        <v>7.4</v>
      </c>
      <c r="GC46" s="2">
        <v>-5.1</v>
      </c>
      <c r="GD46" s="2">
        <v>-17.9</v>
      </c>
      <c r="GE46" s="2">
        <v>-24.1</v>
      </c>
      <c r="GF46" s="2">
        <v>-35.6</v>
      </c>
      <c r="GG46" s="2">
        <v>-21.5</v>
      </c>
      <c r="GH46" s="2">
        <v>-17.9</v>
      </c>
      <c r="GI46" s="2">
        <v>-11.4</v>
      </c>
      <c r="GJ46" s="2">
        <v>-13.2</v>
      </c>
      <c r="GK46" s="2">
        <v>-9.6</v>
      </c>
      <c r="GL46" s="2">
        <v>-6.5</v>
      </c>
      <c r="GM46" s="2">
        <v>-5.9</v>
      </c>
      <c r="GN46" s="2">
        <v>-6.3</v>
      </c>
      <c r="GO46" s="2">
        <v>13.6</v>
      </c>
      <c r="GP46" s="2">
        <v>24.6</v>
      </c>
      <c r="GQ46" s="2">
        <v>33.9</v>
      </c>
      <c r="GR46" s="2">
        <v>37.1</v>
      </c>
      <c r="GS46" s="2">
        <v>19.7</v>
      </c>
      <c r="GT46" s="2">
        <v>21.5</v>
      </c>
      <c r="GU46" s="2">
        <v>32.2</v>
      </c>
      <c r="GV46" s="2">
        <v>37</v>
      </c>
      <c r="GW46" s="2">
        <v>25.4</v>
      </c>
      <c r="GX46" s="2">
        <v>22.5</v>
      </c>
      <c r="GY46" s="2">
        <v>21.1</v>
      </c>
      <c r="GZ46" s="2">
        <v>22.4</v>
      </c>
      <c r="HA46" s="2">
        <v>6.1</v>
      </c>
      <c r="IY46" s="2">
        <v>1.1</v>
      </c>
      <c r="IZ46" s="2">
        <v>0.3</v>
      </c>
      <c r="JA46" s="2">
        <v>-0.1</v>
      </c>
      <c r="JB46" s="2">
        <v>-0.3</v>
      </c>
      <c r="JC46" s="2">
        <v>-0.1</v>
      </c>
      <c r="JD46" s="2">
        <v>-0.5</v>
      </c>
      <c r="JE46" s="2">
        <v>0.2</v>
      </c>
      <c r="JF46" s="2">
        <v>2.6</v>
      </c>
      <c r="JG46" s="2">
        <v>1.1</v>
      </c>
      <c r="JH46" s="2">
        <v>1.4</v>
      </c>
      <c r="JI46" s="2">
        <v>-4.4</v>
      </c>
      <c r="JJ46" s="2">
        <v>10.8</v>
      </c>
      <c r="JK46" s="2">
        <v>-0.2</v>
      </c>
      <c r="JL46" s="2">
        <v>3.9</v>
      </c>
      <c r="JM46" s="2">
        <v>0.5</v>
      </c>
      <c r="JN46" s="2">
        <v>0</v>
      </c>
      <c r="JO46" s="2">
        <v>-0.1</v>
      </c>
      <c r="JP46" s="2">
        <v>-1</v>
      </c>
      <c r="JQ46" s="2">
        <v>-0.8</v>
      </c>
      <c r="JR46" s="2">
        <v>-0.8</v>
      </c>
      <c r="JS46" s="2">
        <v>6</v>
      </c>
      <c r="JT46" s="2">
        <v>-1.3</v>
      </c>
      <c r="JU46" s="2">
        <v>0.2</v>
      </c>
      <c r="JV46" s="2">
        <v>3.4</v>
      </c>
      <c r="JW46" s="2">
        <v>0.4</v>
      </c>
      <c r="JX46" s="2">
        <v>-5.7</v>
      </c>
      <c r="JY46" s="2">
        <v>0.9</v>
      </c>
      <c r="JZ46" s="2">
        <v>-0.6</v>
      </c>
      <c r="KA46" s="2">
        <v>4.9</v>
      </c>
      <c r="KB46" s="2">
        <v>-1.9</v>
      </c>
      <c r="KC46" s="2">
        <v>1.4</v>
      </c>
      <c r="KD46" s="2">
        <v>0</v>
      </c>
      <c r="KE46" s="2">
        <v>-6.4</v>
      </c>
      <c r="KF46" s="2">
        <v>-14.6</v>
      </c>
      <c r="KG46" s="2">
        <v>-7.3</v>
      </c>
      <c r="KH46" s="2">
        <v>-12.3</v>
      </c>
      <c r="KI46" s="2">
        <v>22.2</v>
      </c>
      <c r="KJ46" s="2">
        <v>-1.4</v>
      </c>
      <c r="KK46" s="2">
        <v>8.9</v>
      </c>
      <c r="KL46" s="2">
        <v>-2.5</v>
      </c>
      <c r="KM46" s="2">
        <v>9.199999999999999</v>
      </c>
      <c r="KN46" s="2">
        <v>1.5</v>
      </c>
      <c r="KO46" s="2">
        <v>2</v>
      </c>
      <c r="KP46" s="2">
        <v>-0.4</v>
      </c>
      <c r="KQ46" s="2">
        <v>13.5</v>
      </c>
      <c r="KR46" s="2">
        <v>-6.3</v>
      </c>
      <c r="KS46" s="2">
        <v>-0.4</v>
      </c>
      <c r="KT46" s="2">
        <v>-10.2</v>
      </c>
      <c r="KU46" s="2">
        <v>6.8</v>
      </c>
      <c r="KV46" s="2">
        <v>0</v>
      </c>
      <c r="KW46" s="2">
        <v>18.5</v>
      </c>
      <c r="KX46" s="2">
        <v>1</v>
      </c>
      <c r="KY46" s="2">
        <v>0</v>
      </c>
      <c r="KZ46" s="2">
        <v>-0.9</v>
      </c>
      <c r="LA46" s="2">
        <v>0.9</v>
      </c>
      <c r="LB46" s="2">
        <v>0.7</v>
      </c>
      <c r="LC46" s="2">
        <v>-1.6</v>
      </c>
      <c r="LD46" s="2">
        <v>1.87</v>
      </c>
      <c r="LE46" s="2">
        <v>2.04</v>
      </c>
      <c r="LF46" s="2">
        <v>1.99</v>
      </c>
      <c r="LG46" s="2">
        <v>2.17</v>
      </c>
      <c r="LH46" s="2">
        <v>2.2</v>
      </c>
      <c r="LI46" s="2">
        <v>2.25</v>
      </c>
      <c r="LJ46" s="2">
        <v>2.24</v>
      </c>
      <c r="LK46" s="2">
        <v>2.54</v>
      </c>
      <c r="LL46" s="2">
        <v>2.38</v>
      </c>
      <c r="LM46" s="2">
        <v>2.37</v>
      </c>
      <c r="LN46" s="2">
        <v>2.13</v>
      </c>
      <c r="LO46" s="2">
        <v>2.27</v>
      </c>
      <c r="LP46" s="2">
        <v>2.27</v>
      </c>
      <c r="LQ46" s="2">
        <v>2.69</v>
      </c>
      <c r="LR46" s="2">
        <v>2.72</v>
      </c>
      <c r="LS46" s="2">
        <v>2.72</v>
      </c>
      <c r="LT46" s="2">
        <v>2.7</v>
      </c>
      <c r="LU46" s="2">
        <v>2.72</v>
      </c>
      <c r="LV46" s="2">
        <v>2.74</v>
      </c>
      <c r="LW46" s="2">
        <v>2.69</v>
      </c>
      <c r="LX46" s="2">
        <v>0.17</v>
      </c>
      <c r="LY46" s="2">
        <v>-0.05</v>
      </c>
      <c r="LZ46" s="2">
        <v>0.18</v>
      </c>
      <c r="MA46" s="2">
        <v>0.03</v>
      </c>
      <c r="MB46" s="2">
        <v>0.05</v>
      </c>
      <c r="MC46" s="2">
        <v>-0.01</v>
      </c>
      <c r="MD46" s="2">
        <v>0.3</v>
      </c>
      <c r="ME46" s="2">
        <v>-0.16</v>
      </c>
      <c r="MF46" s="2">
        <v>-0.01</v>
      </c>
      <c r="MG46" s="2">
        <v>-0.24</v>
      </c>
      <c r="MH46" s="2">
        <v>0.14</v>
      </c>
      <c r="MI46" s="2">
        <v>0</v>
      </c>
      <c r="MJ46" s="2">
        <v>0.42</v>
      </c>
      <c r="MK46" s="2">
        <v>0.03</v>
      </c>
      <c r="ML46" s="2">
        <v>0</v>
      </c>
      <c r="MM46" s="2">
        <v>-0.02</v>
      </c>
      <c r="MN46" s="2">
        <v>0.02</v>
      </c>
      <c r="MO46" s="2">
        <v>0.02</v>
      </c>
      <c r="MP46" s="2">
        <v>-0.05</v>
      </c>
      <c r="RO46" s="2">
        <v>10.46</v>
      </c>
      <c r="RP46" s="2">
        <v>10.53</v>
      </c>
      <c r="RQ46" s="2">
        <v>11.47</v>
      </c>
      <c r="RR46" s="2">
        <v>11.57</v>
      </c>
      <c r="RS46" s="2">
        <v>12.05</v>
      </c>
      <c r="RT46" s="2">
        <v>12.31</v>
      </c>
      <c r="RU46" s="2">
        <v>13.42</v>
      </c>
      <c r="RV46" s="2">
        <v>14.07</v>
      </c>
      <c r="RW46" s="2">
        <v>15.45</v>
      </c>
      <c r="RX46" s="2">
        <v>16.53</v>
      </c>
      <c r="RY46" s="2">
        <v>16.63</v>
      </c>
      <c r="RZ46" s="2">
        <v>16.6</v>
      </c>
      <c r="SA46" s="2">
        <v>17.11</v>
      </c>
      <c r="SB46" s="2">
        <v>17.88</v>
      </c>
      <c r="SC46" s="2">
        <v>17.66</v>
      </c>
      <c r="SD46" s="2">
        <v>17.33</v>
      </c>
      <c r="SE46" s="2">
        <v>17.9</v>
      </c>
      <c r="SF46" s="2">
        <v>18.39</v>
      </c>
      <c r="SG46" s="2">
        <v>18.96</v>
      </c>
      <c r="SH46" s="2">
        <v>19.04</v>
      </c>
      <c r="SI46" s="2">
        <v>19.37</v>
      </c>
      <c r="SJ46" s="2">
        <v>19.54</v>
      </c>
      <c r="SK46" s="2">
        <v>20</v>
      </c>
      <c r="SL46" s="2">
        <v>20.12</v>
      </c>
      <c r="SM46" s="2">
        <v>20.46</v>
      </c>
      <c r="SN46" s="2">
        <v>20.75</v>
      </c>
      <c r="SO46" s="2">
        <v>20.87</v>
      </c>
      <c r="SP46" s="2">
        <v>20.92</v>
      </c>
      <c r="SQ46" s="2">
        <v>21.9</v>
      </c>
      <c r="SR46" s="2">
        <v>22.07</v>
      </c>
      <c r="SS46" s="2">
        <v>22.14</v>
      </c>
      <c r="ST46" s="2">
        <v>22.17</v>
      </c>
      <c r="SU46" s="2">
        <v>23.16</v>
      </c>
      <c r="SV46" s="2">
        <v>23.23</v>
      </c>
      <c r="SW46" s="2">
        <v>23.28</v>
      </c>
      <c r="SX46" s="2">
        <v>23.28</v>
      </c>
      <c r="SY46" s="2">
        <v>23.98</v>
      </c>
      <c r="SZ46" s="2">
        <v>24.12</v>
      </c>
      <c r="TA46" s="2">
        <v>24.14</v>
      </c>
      <c r="TB46" s="2">
        <v>24.14</v>
      </c>
      <c r="TC46" s="2">
        <v>23.28</v>
      </c>
      <c r="TD46" s="2">
        <v>25.3</v>
      </c>
      <c r="TE46" s="2">
        <v>25.37</v>
      </c>
      <c r="TF46" s="2">
        <v>25.4</v>
      </c>
      <c r="TG46" s="2">
        <v>26.41</v>
      </c>
      <c r="TH46" s="2">
        <v>26.53</v>
      </c>
      <c r="TI46" s="2">
        <v>26.55</v>
      </c>
      <c r="TJ46" s="2">
        <v>26.58</v>
      </c>
      <c r="TK46" s="2">
        <v>27.13</v>
      </c>
      <c r="TL46" s="2">
        <v>27.64</v>
      </c>
      <c r="TM46" s="2">
        <v>27.88</v>
      </c>
      <c r="TN46" s="2">
        <v>27.9</v>
      </c>
      <c r="TO46" s="2">
        <v>28.22</v>
      </c>
      <c r="TP46" s="2">
        <v>28.24</v>
      </c>
      <c r="TQ46" s="2">
        <v>28.26</v>
      </c>
      <c r="TR46" s="2">
        <v>28.29</v>
      </c>
      <c r="TS46" s="2">
        <v>28.26</v>
      </c>
      <c r="TT46" s="2">
        <v>28.26</v>
      </c>
      <c r="TU46" s="2">
        <v>28.26</v>
      </c>
      <c r="TV46" s="2">
        <v>28.26</v>
      </c>
      <c r="TW46" s="2">
        <v>28.34</v>
      </c>
      <c r="TX46" s="2">
        <v>28.34</v>
      </c>
      <c r="TY46" s="2">
        <v>28.34</v>
      </c>
      <c r="TZ46" s="2">
        <v>28.34</v>
      </c>
      <c r="UA46" s="2">
        <v>28.7</v>
      </c>
      <c r="UB46" s="2">
        <v>28.7</v>
      </c>
      <c r="UC46" s="2">
        <v>28.75</v>
      </c>
      <c r="UD46" s="2">
        <v>28.75</v>
      </c>
      <c r="UE46" s="2">
        <v>28.94</v>
      </c>
      <c r="UF46" s="2">
        <v>28.94</v>
      </c>
      <c r="UG46" s="2">
        <v>28.94</v>
      </c>
      <c r="UH46" s="2">
        <v>28.94</v>
      </c>
      <c r="UI46" s="2">
        <v>27.8</v>
      </c>
      <c r="UJ46" s="2">
        <v>27.95</v>
      </c>
      <c r="UK46" s="2">
        <v>28.28</v>
      </c>
      <c r="UL46" s="2">
        <v>27.99</v>
      </c>
      <c r="UM46" s="2">
        <v>27.93</v>
      </c>
      <c r="UN46" s="2">
        <v>28.26</v>
      </c>
      <c r="UO46" s="2">
        <v>28.49</v>
      </c>
      <c r="UP46" s="2">
        <v>28.17</v>
      </c>
      <c r="UQ46" s="2">
        <v>31.25</v>
      </c>
      <c r="UR46" s="2">
        <v>31.4</v>
      </c>
      <c r="US46" s="2">
        <v>31.58</v>
      </c>
      <c r="UT46" s="2">
        <v>31.3</v>
      </c>
      <c r="UU46" s="2">
        <v>32.23</v>
      </c>
      <c r="UV46" s="2">
        <v>32.5</v>
      </c>
      <c r="UW46" s="2">
        <v>33</v>
      </c>
      <c r="UX46" s="2">
        <v>32.7</v>
      </c>
      <c r="UY46" s="2">
        <v>33.08</v>
      </c>
      <c r="UZ46" s="2">
        <v>33.36</v>
      </c>
      <c r="VA46" s="2">
        <v>35.1</v>
      </c>
      <c r="VB46" s="2">
        <v>34.58</v>
      </c>
      <c r="VC46" s="2">
        <v>35.06</v>
      </c>
      <c r="VD46" s="2">
        <v>35.07</v>
      </c>
      <c r="VE46" s="2">
        <v>35.53</v>
      </c>
      <c r="VF46" s="2">
        <v>35.05</v>
      </c>
      <c r="VG46" s="2">
        <v>35.84</v>
      </c>
      <c r="VH46" s="2">
        <v>36.04</v>
      </c>
      <c r="VI46" s="2">
        <v>36.62</v>
      </c>
      <c r="VJ46" s="2">
        <v>36.14</v>
      </c>
      <c r="VK46" s="2">
        <v>36.76</v>
      </c>
      <c r="VL46" s="2">
        <v>37.02</v>
      </c>
      <c r="VM46" s="2">
        <v>37.57</v>
      </c>
      <c r="VN46" s="2">
        <v>37.12</v>
      </c>
      <c r="VO46" s="2">
        <v>37.94</v>
      </c>
      <c r="VP46" s="2">
        <v>38.13</v>
      </c>
      <c r="VQ46" s="2">
        <v>38.85</v>
      </c>
      <c r="VR46" s="2">
        <v>38.41</v>
      </c>
      <c r="VS46" s="2">
        <v>40.04</v>
      </c>
      <c r="VT46" s="2">
        <v>40.32</v>
      </c>
      <c r="VU46" s="2">
        <v>42.74</v>
      </c>
      <c r="VV46" s="2">
        <v>42.17</v>
      </c>
      <c r="VW46" s="2">
        <v>44.11</v>
      </c>
      <c r="VX46" s="2">
        <v>44.42</v>
      </c>
      <c r="VY46" s="2">
        <v>46.01</v>
      </c>
      <c r="VZ46" s="2">
        <v>45.77</v>
      </c>
      <c r="WA46" s="2">
        <v>51</v>
      </c>
      <c r="WB46" s="2">
        <v>51.39</v>
      </c>
      <c r="WC46" s="2">
        <v>54.41</v>
      </c>
      <c r="WD46" s="2">
        <v>54.06</v>
      </c>
      <c r="WE46" s="2">
        <v>57.33</v>
      </c>
      <c r="WF46" s="2">
        <v>57.84</v>
      </c>
      <c r="WG46" s="2">
        <v>60.78</v>
      </c>
      <c r="WH46" s="2">
        <v>59.86</v>
      </c>
      <c r="WI46" s="2">
        <v>64.51000000000001</v>
      </c>
      <c r="WJ46" s="2">
        <v>64.87</v>
      </c>
      <c r="WK46" s="2">
        <v>66.79000000000001</v>
      </c>
      <c r="WL46" s="2">
        <v>66.23</v>
      </c>
      <c r="WM46" s="2">
        <v>76.45</v>
      </c>
      <c r="WN46" s="2">
        <v>76.34999999999999</v>
      </c>
      <c r="WO46" s="2">
        <v>78.20999999999999</v>
      </c>
      <c r="WP46" s="2">
        <v>77.68000000000001</v>
      </c>
      <c r="WQ46" s="2">
        <v>81.09999999999999</v>
      </c>
      <c r="WR46" s="2">
        <v>81.17</v>
      </c>
      <c r="WS46" s="2">
        <v>82.29000000000001</v>
      </c>
      <c r="WT46" s="2">
        <v>81.64</v>
      </c>
      <c r="WU46" s="2">
        <v>77.51000000000001</v>
      </c>
      <c r="WV46" s="2">
        <v>77.51000000000001</v>
      </c>
      <c r="WW46" s="2">
        <v>79.03</v>
      </c>
      <c r="WX46" s="2">
        <v>78.58</v>
      </c>
      <c r="WY46" s="2">
        <v>77.45</v>
      </c>
      <c r="WZ46" s="2">
        <v>77.45</v>
      </c>
      <c r="XA46" s="2">
        <v>77.31999999999999</v>
      </c>
      <c r="XB46" s="2">
        <v>76.98999999999999</v>
      </c>
      <c r="XC46" s="2">
        <v>81.16</v>
      </c>
      <c r="XD46" s="2">
        <v>81.15000000000001</v>
      </c>
      <c r="XE46" s="2">
        <v>83.19</v>
      </c>
      <c r="XF46" s="2">
        <v>83.06</v>
      </c>
      <c r="XG46" s="2">
        <v>90.44</v>
      </c>
      <c r="XH46" s="2">
        <v>91.25</v>
      </c>
      <c r="XI46" s="2">
        <v>92.90000000000001</v>
      </c>
      <c r="XJ46" s="2">
        <v>91.69</v>
      </c>
      <c r="XK46" s="2">
        <v>92.13</v>
      </c>
      <c r="XL46" s="2">
        <v>92.86</v>
      </c>
      <c r="XM46" s="2">
        <v>92.36</v>
      </c>
      <c r="XN46" s="2">
        <v>90.81</v>
      </c>
      <c r="XO46" s="2">
        <v>90.17</v>
      </c>
      <c r="XP46" s="2">
        <v>89.63</v>
      </c>
      <c r="XQ46" s="2">
        <v>90.79000000000001</v>
      </c>
      <c r="XR46" s="2">
        <v>88.56</v>
      </c>
      <c r="XS46" s="2">
        <v>87.97</v>
      </c>
      <c r="XT46" s="2">
        <v>81.34999999999999</v>
      </c>
      <c r="XU46" s="2">
        <v>80.62</v>
      </c>
      <c r="XV46" s="2">
        <v>83.3</v>
      </c>
      <c r="XW46" s="2">
        <v>83.45</v>
      </c>
      <c r="XX46" s="2">
        <v>83.78</v>
      </c>
      <c r="XY46" s="2">
        <v>83.45</v>
      </c>
      <c r="XZ46" s="2">
        <v>83.45</v>
      </c>
      <c r="YA46" s="2">
        <v>86.09999999999999</v>
      </c>
      <c r="YB46" s="2">
        <v>93.55</v>
      </c>
      <c r="YC46" s="2">
        <v>96.40000000000001</v>
      </c>
      <c r="YD46" s="2">
        <v>94.62</v>
      </c>
      <c r="YE46" s="2">
        <v>98.56999999999999</v>
      </c>
      <c r="YF46" s="2">
        <v>99.98</v>
      </c>
      <c r="YG46" s="2">
        <v>98.26000000000001</v>
      </c>
      <c r="YH46" s="2">
        <v>100.32</v>
      </c>
      <c r="YI46" s="2">
        <v>83.01000000000001</v>
      </c>
      <c r="YJ46" s="2">
        <v>74.76000000000001</v>
      </c>
      <c r="YK46" s="2">
        <v>87.02</v>
      </c>
      <c r="YL46" s="2">
        <v>94.06999999999999</v>
      </c>
      <c r="YM46" s="2">
        <v>102.54</v>
      </c>
      <c r="YN46" s="2">
        <v>93.88</v>
      </c>
      <c r="YO46" s="2">
        <v>114.44</v>
      </c>
      <c r="YP46" s="2">
        <v>114.73</v>
      </c>
      <c r="ADO46" s="2">
        <v>0.7</v>
      </c>
      <c r="ADP46" s="2">
        <v>8.9</v>
      </c>
      <c r="ADQ46" s="2">
        <v>0.9</v>
      </c>
      <c r="ADR46" s="2">
        <v>4.1</v>
      </c>
      <c r="ADS46" s="2">
        <v>2.2</v>
      </c>
      <c r="ADT46" s="2">
        <v>9</v>
      </c>
      <c r="ADU46" s="2">
        <v>4.8</v>
      </c>
      <c r="ADV46" s="2">
        <v>9.800000000000001</v>
      </c>
      <c r="ADW46" s="2">
        <v>7</v>
      </c>
      <c r="ADX46" s="2">
        <v>0.6</v>
      </c>
      <c r="ADY46" s="2">
        <v>-0.2</v>
      </c>
      <c r="ADZ46" s="2">
        <v>3.1</v>
      </c>
      <c r="AEA46" s="2">
        <v>4.5</v>
      </c>
      <c r="AEB46" s="2">
        <v>-1.2</v>
      </c>
      <c r="AEC46" s="2">
        <v>-1.9</v>
      </c>
      <c r="AED46" s="2">
        <v>3.3</v>
      </c>
      <c r="AEE46" s="2">
        <v>2.7</v>
      </c>
      <c r="AEF46" s="2">
        <v>3.1</v>
      </c>
      <c r="AEG46" s="2">
        <v>0.4</v>
      </c>
      <c r="AEH46" s="2">
        <v>1.7</v>
      </c>
      <c r="AEI46" s="2">
        <v>0.9</v>
      </c>
      <c r="AEJ46" s="2">
        <v>2.4</v>
      </c>
      <c r="AEK46" s="2">
        <v>0.6</v>
      </c>
      <c r="AEL46" s="2">
        <v>1.7</v>
      </c>
      <c r="AEM46" s="2">
        <v>1.4</v>
      </c>
      <c r="AEN46" s="2">
        <v>0.6</v>
      </c>
      <c r="AEO46" s="2">
        <v>0.2</v>
      </c>
      <c r="AEP46" s="2">
        <v>4.7</v>
      </c>
      <c r="AEQ46" s="2">
        <v>0.8</v>
      </c>
      <c r="AER46" s="2">
        <v>0.3</v>
      </c>
      <c r="AES46" s="2">
        <v>0.1</v>
      </c>
      <c r="AET46" s="2">
        <v>4.5</v>
      </c>
      <c r="AEU46" s="2">
        <v>0.3</v>
      </c>
      <c r="AEV46" s="2">
        <v>0.2</v>
      </c>
      <c r="AEW46" s="2">
        <v>0</v>
      </c>
      <c r="AEX46" s="2">
        <v>3</v>
      </c>
      <c r="AEY46" s="2">
        <v>0.6</v>
      </c>
      <c r="AEZ46" s="2">
        <v>0.1</v>
      </c>
      <c r="AFA46" s="2">
        <v>0</v>
      </c>
      <c r="AFB46" s="2">
        <v>-3.6</v>
      </c>
      <c r="AFC46" s="2">
        <v>8.699999999999999</v>
      </c>
      <c r="AFD46" s="2">
        <v>0.3</v>
      </c>
      <c r="AFE46" s="2">
        <v>0.1</v>
      </c>
      <c r="AFF46" s="2">
        <v>4</v>
      </c>
      <c r="AFG46" s="2">
        <v>0.5</v>
      </c>
      <c r="AFH46" s="2">
        <v>0.1</v>
      </c>
      <c r="AFI46" s="2">
        <v>0.1</v>
      </c>
      <c r="AFJ46" s="2">
        <v>2.1</v>
      </c>
      <c r="AFK46" s="2">
        <v>1.9</v>
      </c>
      <c r="AFL46" s="2">
        <v>0.9</v>
      </c>
      <c r="AFM46" s="2">
        <v>0.1</v>
      </c>
      <c r="AFN46" s="2">
        <v>1.1</v>
      </c>
      <c r="AFO46" s="2">
        <v>0.1</v>
      </c>
      <c r="AFP46" s="2">
        <v>0.1</v>
      </c>
      <c r="AFQ46" s="2">
        <v>0.1</v>
      </c>
      <c r="AFR46" s="2">
        <v>-0.1</v>
      </c>
      <c r="AFS46" s="2">
        <v>0</v>
      </c>
      <c r="AFT46" s="2">
        <v>0</v>
      </c>
      <c r="AFU46" s="2">
        <v>0</v>
      </c>
      <c r="AFV46" s="2">
        <v>0.3</v>
      </c>
      <c r="AFW46" s="2">
        <v>0</v>
      </c>
      <c r="AFX46" s="2">
        <v>0</v>
      </c>
      <c r="AFY46" s="2">
        <v>0</v>
      </c>
      <c r="AFZ46" s="2">
        <v>1.3</v>
      </c>
      <c r="AGA46" s="2">
        <v>0</v>
      </c>
      <c r="AGB46" s="2">
        <v>0.2</v>
      </c>
      <c r="AGC46" s="2">
        <v>0</v>
      </c>
      <c r="AGD46" s="2">
        <v>0.7</v>
      </c>
      <c r="AGE46" s="2">
        <v>0</v>
      </c>
      <c r="AGF46" s="2">
        <v>0</v>
      </c>
      <c r="AGG46" s="2">
        <v>0</v>
      </c>
      <c r="AGH46" s="2">
        <v>-3.9</v>
      </c>
      <c r="AGI46" s="2">
        <v>0.5</v>
      </c>
      <c r="AGJ46" s="2">
        <v>1.2</v>
      </c>
      <c r="AGK46" s="2">
        <v>-1</v>
      </c>
      <c r="AGL46" s="2">
        <v>-0.2</v>
      </c>
      <c r="AGM46" s="2">
        <v>1.2</v>
      </c>
      <c r="AGN46" s="2">
        <v>0.8</v>
      </c>
      <c r="AGO46" s="2">
        <v>-1.1</v>
      </c>
      <c r="AGP46" s="2">
        <v>10.9</v>
      </c>
      <c r="AGQ46" s="2">
        <v>0.5</v>
      </c>
      <c r="AGR46" s="2">
        <v>0.6</v>
      </c>
      <c r="AGS46" s="2">
        <v>-0.9</v>
      </c>
      <c r="AGT46" s="2">
        <v>3</v>
      </c>
      <c r="AGU46" s="2">
        <v>0.8</v>
      </c>
      <c r="AGV46" s="2">
        <v>1.5</v>
      </c>
      <c r="AGW46" s="2">
        <v>-0.9</v>
      </c>
      <c r="AGX46" s="2">
        <v>1.2</v>
      </c>
      <c r="AGY46" s="2">
        <v>0.8</v>
      </c>
      <c r="AGZ46" s="2">
        <v>5.2</v>
      </c>
      <c r="AHA46" s="2">
        <v>-1.5</v>
      </c>
      <c r="AHB46" s="2">
        <v>1.4</v>
      </c>
      <c r="AHC46" s="2">
        <v>0</v>
      </c>
      <c r="AHD46" s="2">
        <v>1.3</v>
      </c>
      <c r="AHE46" s="2">
        <v>-1.4</v>
      </c>
      <c r="AHF46" s="2">
        <v>2.3</v>
      </c>
      <c r="AHG46" s="2">
        <v>0.6</v>
      </c>
      <c r="AHH46" s="2">
        <v>1.6</v>
      </c>
      <c r="AHI46" s="2">
        <v>-1.3</v>
      </c>
      <c r="AHJ46" s="2">
        <v>1.7</v>
      </c>
      <c r="AHK46" s="2">
        <v>0.7</v>
      </c>
      <c r="AHL46" s="2">
        <v>1.5</v>
      </c>
      <c r="AHM46" s="2">
        <v>-1.2</v>
      </c>
      <c r="AHN46" s="2">
        <v>2.2</v>
      </c>
      <c r="AHO46" s="2">
        <v>0.5</v>
      </c>
      <c r="AHP46" s="2">
        <v>1.9</v>
      </c>
      <c r="AHQ46" s="2">
        <v>-1.1</v>
      </c>
      <c r="AHR46" s="2">
        <v>4.2</v>
      </c>
      <c r="AHS46" s="2">
        <v>0.7</v>
      </c>
      <c r="AHT46" s="2">
        <v>6</v>
      </c>
      <c r="AHU46" s="2">
        <v>-1.3</v>
      </c>
      <c r="AHV46" s="2">
        <v>4.6</v>
      </c>
      <c r="AHW46" s="2">
        <v>0.7</v>
      </c>
      <c r="AHX46" s="2">
        <v>3.6</v>
      </c>
      <c r="AHY46" s="2">
        <v>-0.5</v>
      </c>
      <c r="AHZ46" s="2">
        <v>11.4</v>
      </c>
      <c r="AIA46" s="2">
        <v>0.8</v>
      </c>
      <c r="AIB46" s="2">
        <v>5.9</v>
      </c>
      <c r="AIC46" s="2">
        <v>-0.6</v>
      </c>
      <c r="AID46" s="2">
        <v>6</v>
      </c>
      <c r="AIE46" s="2">
        <v>0.9</v>
      </c>
      <c r="AIF46" s="2">
        <v>5.1</v>
      </c>
      <c r="AIG46" s="2">
        <v>-1.5</v>
      </c>
      <c r="AIH46" s="2">
        <v>7.8</v>
      </c>
      <c r="AII46" s="2">
        <v>0.6</v>
      </c>
      <c r="AIJ46" s="2">
        <v>3</v>
      </c>
      <c r="AIK46" s="2">
        <v>-0.8</v>
      </c>
      <c r="AIL46" s="2">
        <v>15.4</v>
      </c>
      <c r="AIM46" s="2">
        <v>-0.1</v>
      </c>
      <c r="AIN46" s="2">
        <v>2.4</v>
      </c>
      <c r="AIO46" s="2">
        <v>-0.7</v>
      </c>
      <c r="AIP46" s="2">
        <v>4.4</v>
      </c>
      <c r="AIQ46" s="2">
        <v>0.1</v>
      </c>
      <c r="AIR46" s="2">
        <v>1.4</v>
      </c>
      <c r="AIS46" s="2">
        <v>-0.8</v>
      </c>
      <c r="AIT46" s="2">
        <v>-5.1</v>
      </c>
      <c r="AIU46" s="2">
        <v>0</v>
      </c>
      <c r="AIV46" s="2">
        <v>2</v>
      </c>
      <c r="AIW46" s="2">
        <v>-0.6</v>
      </c>
      <c r="AIX46" s="2">
        <v>-1.4</v>
      </c>
      <c r="AIY46" s="2">
        <v>0</v>
      </c>
      <c r="AIZ46" s="2">
        <v>-0.2</v>
      </c>
      <c r="AJA46" s="2">
        <v>-0.4</v>
      </c>
      <c r="AJB46" s="2">
        <v>5.4</v>
      </c>
      <c r="AJC46" s="2">
        <v>0</v>
      </c>
      <c r="AJD46" s="2">
        <v>2.5</v>
      </c>
      <c r="AJE46" s="2">
        <v>-0.2</v>
      </c>
      <c r="AJF46" s="2">
        <v>8.9</v>
      </c>
      <c r="AJG46" s="2">
        <v>0.9</v>
      </c>
      <c r="AJH46" s="2">
        <v>1.8</v>
      </c>
      <c r="AJI46" s="2">
        <v>-1.3</v>
      </c>
      <c r="AJJ46" s="2">
        <v>0.5</v>
      </c>
      <c r="AJK46" s="2">
        <v>0.8</v>
      </c>
      <c r="AJL46" s="2">
        <v>-0.5</v>
      </c>
      <c r="AJM46" s="2">
        <v>-1.7</v>
      </c>
      <c r="AJN46" s="2">
        <v>-0.7</v>
      </c>
      <c r="AJO46" s="2">
        <v>-0.6</v>
      </c>
      <c r="AJP46" s="2">
        <v>1.3</v>
      </c>
      <c r="AJQ46" s="2">
        <v>-2.5</v>
      </c>
      <c r="AJR46" s="2">
        <v>-0.7</v>
      </c>
      <c r="AJS46" s="2">
        <v>-7.5</v>
      </c>
      <c r="AJT46" s="2">
        <v>-0.9</v>
      </c>
      <c r="AJU46" s="2">
        <v>3.3</v>
      </c>
      <c r="AJV46" s="2">
        <v>0.2</v>
      </c>
      <c r="AJW46" s="2">
        <v>0.4</v>
      </c>
      <c r="AJX46" s="2">
        <v>-0.4</v>
      </c>
      <c r="AJY46" s="2">
        <v>0</v>
      </c>
      <c r="AJZ46" s="2">
        <v>3.2</v>
      </c>
      <c r="AKA46" s="2">
        <v>8.699999999999999</v>
      </c>
      <c r="AKB46" s="2">
        <v>3</v>
      </c>
      <c r="AKC46" s="2">
        <v>-1.8</v>
      </c>
      <c r="AKD46" s="2">
        <v>4.2</v>
      </c>
      <c r="AKE46" s="2">
        <v>1.4</v>
      </c>
      <c r="AKF46" s="2">
        <v>-1.7</v>
      </c>
      <c r="AKG46" s="2">
        <v>2.1</v>
      </c>
      <c r="AKH46" s="2">
        <v>-17.3</v>
      </c>
      <c r="AKI46" s="2">
        <v>-9.9</v>
      </c>
      <c r="AKJ46" s="2">
        <v>16.4</v>
      </c>
      <c r="AKK46" s="2">
        <v>8.1</v>
      </c>
      <c r="AKL46" s="2">
        <v>9</v>
      </c>
      <c r="AKM46" s="2">
        <v>-8.4</v>
      </c>
      <c r="AKN46" s="2">
        <v>21.9</v>
      </c>
      <c r="AKO46" s="2">
        <v>0.3</v>
      </c>
      <c r="AKP46" s="2">
        <v>2.23</v>
      </c>
      <c r="AKQ46" s="2">
        <v>2.71</v>
      </c>
      <c r="AKR46" s="2">
        <v>2.72</v>
      </c>
    </row>
    <row r="47">
      <c r="A47" t="inlineStr">
        <is>
          <t>Gas and other household fuels</t>
        </is>
      </c>
      <c r="B47" t="inlineStr">
        <is>
          <t>Utilities</t>
        </is>
      </c>
      <c r="C47">
        <v>3</v>
      </c>
      <c r="D47">
        <v>0.95</v>
      </c>
      <c r="E47" s="3">
        <f>D47/3.7399999999999998*0.0375</f>
        <v>0.009525401069518716</v>
      </c>
      <c r="F47" s="3">
        <f>E47-D47/100</f>
        <v>2.540106951871672e-05</v>
      </c>
      <c r="G47" s="3">
        <f>D47/3.7399999999999998</f>
        <v>0.2540106951871658</v>
      </c>
      <c r="BE47" s="2">
        <v>67.13</v>
      </c>
      <c r="BF47" s="2">
        <v>68.75</v>
      </c>
      <c r="BG47" s="2">
        <v>70.29000000000001</v>
      </c>
      <c r="BH47" s="2">
        <v>70.93000000000001</v>
      </c>
      <c r="BI47" s="2">
        <v>72.27</v>
      </c>
      <c r="BJ47" s="2">
        <v>72.3</v>
      </c>
      <c r="BK47" s="2">
        <v>72.20999999999999</v>
      </c>
      <c r="BL47" s="2">
        <v>70.17</v>
      </c>
      <c r="BM47" s="2">
        <v>72.54000000000001</v>
      </c>
      <c r="BN47" s="2">
        <v>79.63</v>
      </c>
      <c r="BO47" s="2">
        <v>80.61</v>
      </c>
      <c r="BP47" s="2">
        <v>80.88</v>
      </c>
      <c r="BQ47" s="2">
        <v>78.65000000000001</v>
      </c>
      <c r="BR47" s="2">
        <v>80.48</v>
      </c>
      <c r="BS47" s="2">
        <v>83.40000000000001</v>
      </c>
      <c r="BT47" s="2">
        <v>90.12</v>
      </c>
      <c r="BU47" s="2">
        <v>90.95</v>
      </c>
      <c r="BV47" s="2">
        <v>91.25</v>
      </c>
      <c r="BW47" s="2">
        <v>91.23</v>
      </c>
      <c r="BX47" s="2">
        <v>89.26000000000001</v>
      </c>
      <c r="BY47" s="2">
        <v>88.61</v>
      </c>
      <c r="BZ47" s="2">
        <v>90.65000000000001</v>
      </c>
      <c r="CA47" s="2">
        <v>91.04000000000001</v>
      </c>
      <c r="CB47" s="2">
        <v>91.18000000000001</v>
      </c>
      <c r="CC47" s="2">
        <v>88.84999999999999</v>
      </c>
      <c r="CD47" s="2">
        <v>90.90000000000001</v>
      </c>
      <c r="CE47" s="2">
        <v>90.5</v>
      </c>
      <c r="CF47" s="2">
        <v>88.86</v>
      </c>
      <c r="CG47" s="2">
        <v>88.75</v>
      </c>
      <c r="CH47" s="2">
        <v>88.56</v>
      </c>
      <c r="CI47" s="2">
        <v>88</v>
      </c>
      <c r="CJ47" s="2">
        <v>85.77</v>
      </c>
      <c r="CK47" s="2">
        <v>88.06999999999999</v>
      </c>
      <c r="CL47" s="2">
        <v>93.11</v>
      </c>
      <c r="CM47" s="2">
        <v>93.89</v>
      </c>
      <c r="CN47" s="2">
        <v>93.94</v>
      </c>
      <c r="CO47" s="2">
        <v>92.76000000000001</v>
      </c>
      <c r="CP47" s="2">
        <v>95.73</v>
      </c>
      <c r="CQ47" s="2">
        <v>94.09999999999999</v>
      </c>
      <c r="CR47" s="2">
        <v>94.18000000000001</v>
      </c>
      <c r="CS47" s="2">
        <v>94.34</v>
      </c>
      <c r="CT47" s="2">
        <v>94.14</v>
      </c>
      <c r="CU47" s="2">
        <v>93.56</v>
      </c>
      <c r="CV47" s="2">
        <v>91.37</v>
      </c>
      <c r="CW47" s="2">
        <v>91.8</v>
      </c>
      <c r="CX47" s="2">
        <v>97.51000000000001</v>
      </c>
      <c r="CY47" s="2">
        <v>97.72</v>
      </c>
      <c r="CZ47" s="2">
        <v>100</v>
      </c>
      <c r="DA47" s="2">
        <v>96.31</v>
      </c>
      <c r="DB47" s="2">
        <v>99.64</v>
      </c>
      <c r="DC47" s="2">
        <v>99.59999999999999</v>
      </c>
      <c r="DD47" s="2">
        <v>99.63</v>
      </c>
      <c r="DE47" s="2">
        <v>99.48999999999999</v>
      </c>
      <c r="DF47" s="2">
        <v>99.48999999999999</v>
      </c>
      <c r="DG47" s="2">
        <v>98.90000000000001</v>
      </c>
      <c r="DH47" s="2">
        <v>95.81</v>
      </c>
      <c r="DI47" s="2">
        <v>98.37</v>
      </c>
      <c r="DJ47" s="2">
        <v>101.13</v>
      </c>
      <c r="FH47" s="2">
        <v>17.2</v>
      </c>
      <c r="FI47" s="2">
        <v>17.1</v>
      </c>
      <c r="FJ47" s="2">
        <v>18.7</v>
      </c>
      <c r="FK47" s="2">
        <v>27.1</v>
      </c>
      <c r="FL47" s="2">
        <v>25.8</v>
      </c>
      <c r="FM47" s="2">
        <v>26.2</v>
      </c>
      <c r="FN47" s="2">
        <v>26.3</v>
      </c>
      <c r="FO47" s="2">
        <v>27.2</v>
      </c>
      <c r="FP47" s="2">
        <v>22.2</v>
      </c>
      <c r="FQ47" s="2">
        <v>13.8</v>
      </c>
      <c r="FR47" s="2">
        <v>12.9</v>
      </c>
      <c r="FS47" s="2">
        <v>12.7</v>
      </c>
      <c r="FT47" s="2">
        <v>13</v>
      </c>
      <c r="FU47" s="2">
        <v>12.9</v>
      </c>
      <c r="FV47" s="2">
        <v>8.5</v>
      </c>
      <c r="FW47" s="2">
        <v>-1.4</v>
      </c>
      <c r="FX47" s="2">
        <v>-2.4</v>
      </c>
      <c r="FY47" s="2">
        <v>-2.9</v>
      </c>
      <c r="FZ47" s="2">
        <v>-3.5</v>
      </c>
      <c r="GA47" s="2">
        <v>-3.9</v>
      </c>
      <c r="GB47" s="2">
        <v>-0.6</v>
      </c>
      <c r="GC47" s="2">
        <v>2.7</v>
      </c>
      <c r="GD47" s="2">
        <v>3.1</v>
      </c>
      <c r="GE47" s="2">
        <v>3</v>
      </c>
      <c r="GF47" s="2">
        <v>4.4</v>
      </c>
      <c r="GG47" s="2">
        <v>5.3</v>
      </c>
      <c r="GH47" s="2">
        <v>4</v>
      </c>
      <c r="GI47" s="2">
        <v>6</v>
      </c>
      <c r="GJ47" s="2">
        <v>6.3</v>
      </c>
      <c r="GK47" s="2">
        <v>6.3</v>
      </c>
      <c r="GL47" s="2">
        <v>6.3</v>
      </c>
      <c r="GM47" s="2">
        <v>6.5</v>
      </c>
      <c r="GN47" s="2">
        <v>4.2</v>
      </c>
      <c r="GO47" s="2">
        <v>4.7</v>
      </c>
      <c r="GP47" s="2">
        <v>4.1</v>
      </c>
      <c r="GQ47" s="2">
        <v>6.5</v>
      </c>
      <c r="GR47" s="2">
        <v>3.8</v>
      </c>
      <c r="GS47" s="2">
        <v>4.1</v>
      </c>
      <c r="GT47" s="2">
        <v>5.8</v>
      </c>
      <c r="GU47" s="2">
        <v>5.8</v>
      </c>
      <c r="GV47" s="2">
        <v>5.5</v>
      </c>
      <c r="GW47" s="2">
        <v>5.7</v>
      </c>
      <c r="GX47" s="2">
        <v>5.7</v>
      </c>
      <c r="GY47" s="2">
        <v>4.9</v>
      </c>
      <c r="GZ47" s="2">
        <v>7.2</v>
      </c>
      <c r="HA47" s="2">
        <v>3.7</v>
      </c>
      <c r="IY47" s="2">
        <v>2.4</v>
      </c>
      <c r="IZ47" s="2">
        <v>2.2</v>
      </c>
      <c r="JA47" s="2">
        <v>0.9</v>
      </c>
      <c r="JB47" s="2">
        <v>1.9</v>
      </c>
      <c r="JC47" s="2">
        <v>0</v>
      </c>
      <c r="JD47" s="2">
        <v>-0.1</v>
      </c>
      <c r="JE47" s="2">
        <v>-2.8</v>
      </c>
      <c r="JF47" s="2">
        <v>3.4</v>
      </c>
      <c r="JG47" s="2">
        <v>9.800000000000001</v>
      </c>
      <c r="JH47" s="2">
        <v>1.2</v>
      </c>
      <c r="JI47" s="2">
        <v>0.3</v>
      </c>
      <c r="JJ47" s="2">
        <v>-2.8</v>
      </c>
      <c r="JK47" s="2">
        <v>2.3</v>
      </c>
      <c r="JL47" s="2">
        <v>3.6</v>
      </c>
      <c r="JM47" s="2">
        <v>8.1</v>
      </c>
      <c r="JN47" s="2">
        <v>0.9</v>
      </c>
      <c r="JO47" s="2">
        <v>0.3</v>
      </c>
      <c r="JP47" s="2">
        <v>0</v>
      </c>
      <c r="JQ47" s="2">
        <v>-2.2</v>
      </c>
      <c r="JR47" s="2">
        <v>-0.7</v>
      </c>
      <c r="JS47" s="2">
        <v>2.3</v>
      </c>
      <c r="JT47" s="2">
        <v>0.4</v>
      </c>
      <c r="JU47" s="2">
        <v>0.2</v>
      </c>
      <c r="JV47" s="2">
        <v>-2.6</v>
      </c>
      <c r="JW47" s="2">
        <v>2.3</v>
      </c>
      <c r="JX47" s="2">
        <v>-0.4</v>
      </c>
      <c r="JY47" s="2">
        <v>-1.8</v>
      </c>
      <c r="JZ47" s="2">
        <v>-0.1</v>
      </c>
      <c r="KA47" s="2">
        <v>-0.2</v>
      </c>
      <c r="KB47" s="2">
        <v>-0.6</v>
      </c>
      <c r="KC47" s="2">
        <v>-2.5</v>
      </c>
      <c r="KD47" s="2">
        <v>2.7</v>
      </c>
      <c r="KE47" s="2">
        <v>5.7</v>
      </c>
      <c r="KF47" s="2">
        <v>0.8</v>
      </c>
      <c r="KG47" s="2">
        <v>0.1</v>
      </c>
      <c r="KH47" s="2">
        <v>-1.3</v>
      </c>
      <c r="KI47" s="2">
        <v>3.2</v>
      </c>
      <c r="KJ47" s="2">
        <v>-1.7</v>
      </c>
      <c r="KK47" s="2">
        <v>0.1</v>
      </c>
      <c r="KL47" s="2">
        <v>0.2</v>
      </c>
      <c r="KM47" s="2">
        <v>-0.2</v>
      </c>
      <c r="KN47" s="2">
        <v>-0.6</v>
      </c>
      <c r="KO47" s="2">
        <v>-2.3</v>
      </c>
      <c r="KP47" s="2">
        <v>0.5</v>
      </c>
      <c r="KQ47" s="2">
        <v>6.2</v>
      </c>
      <c r="KR47" s="2">
        <v>0.2</v>
      </c>
      <c r="KS47" s="2">
        <v>2.3</v>
      </c>
      <c r="KT47" s="2">
        <v>-3.7</v>
      </c>
      <c r="KU47" s="2">
        <v>3.5</v>
      </c>
      <c r="KV47" s="2">
        <v>0</v>
      </c>
      <c r="KW47" s="2">
        <v>0</v>
      </c>
      <c r="KX47" s="2">
        <v>-0.1</v>
      </c>
      <c r="KY47" s="2">
        <v>0</v>
      </c>
      <c r="KZ47" s="2">
        <v>-0.6</v>
      </c>
      <c r="LA47" s="2">
        <v>-3.1</v>
      </c>
      <c r="LB47" s="2">
        <v>2.7</v>
      </c>
      <c r="LC47" s="2">
        <v>2.8</v>
      </c>
      <c r="LD47" s="2">
        <v>0.93</v>
      </c>
      <c r="LE47" s="2">
        <v>0.93</v>
      </c>
      <c r="LF47" s="2">
        <v>0.93</v>
      </c>
      <c r="LG47" s="2">
        <v>0.93</v>
      </c>
      <c r="LH47" s="2">
        <v>0.92</v>
      </c>
      <c r="LI47" s="2">
        <v>0.9</v>
      </c>
      <c r="LJ47" s="2">
        <v>0.91</v>
      </c>
      <c r="LK47" s="2">
        <v>0.96</v>
      </c>
      <c r="LL47" s="2">
        <v>0.96</v>
      </c>
      <c r="LM47" s="2">
        <v>0.99</v>
      </c>
      <c r="LN47" s="2">
        <v>0.95</v>
      </c>
      <c r="LO47" s="2">
        <v>0.98</v>
      </c>
      <c r="LP47" s="2">
        <v>0.98</v>
      </c>
      <c r="LQ47" s="2">
        <v>0.98</v>
      </c>
      <c r="LR47" s="2">
        <v>0.98</v>
      </c>
      <c r="LS47" s="2">
        <v>0.98</v>
      </c>
      <c r="LT47" s="2">
        <v>0.98</v>
      </c>
      <c r="LU47" s="2">
        <v>0.95</v>
      </c>
      <c r="LV47" s="2">
        <v>0.97</v>
      </c>
      <c r="LW47" s="2">
        <v>1</v>
      </c>
      <c r="LX47" s="2">
        <v>0</v>
      </c>
      <c r="LY47" s="2">
        <v>0</v>
      </c>
      <c r="LZ47" s="2">
        <v>0</v>
      </c>
      <c r="MA47" s="2">
        <v>-0.01</v>
      </c>
      <c r="MB47" s="2">
        <v>-0.02</v>
      </c>
      <c r="MC47" s="2">
        <v>0.01</v>
      </c>
      <c r="MD47" s="2">
        <v>0.05</v>
      </c>
      <c r="ME47" s="2">
        <v>0</v>
      </c>
      <c r="MF47" s="2">
        <v>0.03</v>
      </c>
      <c r="MG47" s="2">
        <v>-0.04</v>
      </c>
      <c r="MH47" s="2">
        <v>0.03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-0.03</v>
      </c>
      <c r="MO47" s="2">
        <v>0.02</v>
      </c>
      <c r="MP47" s="2">
        <v>0.03</v>
      </c>
      <c r="SY47" s="2">
        <v>16.89</v>
      </c>
      <c r="SZ47" s="2">
        <v>17.24</v>
      </c>
      <c r="TA47" s="2">
        <v>17.41</v>
      </c>
      <c r="TB47" s="2">
        <v>17.48</v>
      </c>
      <c r="TC47" s="2">
        <v>18.12</v>
      </c>
      <c r="TD47" s="2">
        <v>18.46</v>
      </c>
      <c r="TE47" s="2">
        <v>18.64</v>
      </c>
      <c r="TF47" s="2">
        <v>18.53</v>
      </c>
      <c r="TG47" s="2">
        <v>19.15</v>
      </c>
      <c r="TH47" s="2">
        <v>19.15</v>
      </c>
      <c r="TI47" s="2">
        <v>19.24</v>
      </c>
      <c r="TJ47" s="2">
        <v>19.19</v>
      </c>
      <c r="TK47" s="2">
        <v>19.27</v>
      </c>
      <c r="TL47" s="2">
        <v>19.83</v>
      </c>
      <c r="TM47" s="2">
        <v>20.57</v>
      </c>
      <c r="TN47" s="2">
        <v>20.55</v>
      </c>
      <c r="TO47" s="2">
        <v>20.57</v>
      </c>
      <c r="TP47" s="2">
        <v>20.62</v>
      </c>
      <c r="TQ47" s="2">
        <v>20.62</v>
      </c>
      <c r="TR47" s="2">
        <v>20.55</v>
      </c>
      <c r="TS47" s="2">
        <v>21.02</v>
      </c>
      <c r="TT47" s="2">
        <v>21.1</v>
      </c>
      <c r="TU47" s="2">
        <v>21.24</v>
      </c>
      <c r="TV47" s="2">
        <v>21.28</v>
      </c>
      <c r="TW47" s="2">
        <v>21.48</v>
      </c>
      <c r="TX47" s="2">
        <v>21.48</v>
      </c>
      <c r="TY47" s="2">
        <v>21.54</v>
      </c>
      <c r="TZ47" s="2">
        <v>21.55</v>
      </c>
      <c r="UA47" s="2">
        <v>21.85</v>
      </c>
      <c r="UB47" s="2">
        <v>21.95</v>
      </c>
      <c r="UC47" s="2">
        <v>22.04</v>
      </c>
      <c r="UD47" s="2">
        <v>22</v>
      </c>
      <c r="UE47" s="2">
        <v>22.38</v>
      </c>
      <c r="UF47" s="2">
        <v>22.36</v>
      </c>
      <c r="UG47" s="2">
        <v>22.36</v>
      </c>
      <c r="UH47" s="2">
        <v>22.38</v>
      </c>
      <c r="UI47" s="2">
        <v>21.98</v>
      </c>
      <c r="UJ47" s="2">
        <v>22.36</v>
      </c>
      <c r="UK47" s="2">
        <v>22</v>
      </c>
      <c r="UL47" s="2">
        <v>21.91</v>
      </c>
      <c r="UM47" s="2">
        <v>21.93</v>
      </c>
      <c r="UN47" s="2">
        <v>21.9</v>
      </c>
      <c r="UO47" s="2">
        <v>21.71</v>
      </c>
      <c r="UP47" s="2">
        <v>21.86</v>
      </c>
      <c r="UQ47" s="2">
        <v>24.6</v>
      </c>
      <c r="UR47" s="2">
        <v>24.12</v>
      </c>
      <c r="US47" s="2">
        <v>24.13</v>
      </c>
      <c r="UT47" s="2">
        <v>24.44</v>
      </c>
      <c r="UU47" s="2">
        <v>25.49</v>
      </c>
      <c r="UV47" s="2">
        <v>24.41</v>
      </c>
      <c r="UW47" s="2">
        <v>25.5</v>
      </c>
      <c r="UX47" s="2">
        <v>25.71</v>
      </c>
      <c r="UY47" s="2">
        <v>26.86</v>
      </c>
      <c r="UZ47" s="2">
        <v>25.81</v>
      </c>
      <c r="VA47" s="2">
        <v>27.09</v>
      </c>
      <c r="VB47" s="2">
        <v>27.33</v>
      </c>
      <c r="VC47" s="2">
        <v>28.18</v>
      </c>
      <c r="VD47" s="2">
        <v>27.66</v>
      </c>
      <c r="VE47" s="2">
        <v>28.99</v>
      </c>
      <c r="VF47" s="2">
        <v>28.78</v>
      </c>
      <c r="VG47" s="2">
        <v>29.31</v>
      </c>
      <c r="VH47" s="2">
        <v>29.43</v>
      </c>
      <c r="VI47" s="2">
        <v>30.24</v>
      </c>
      <c r="VJ47" s="2">
        <v>30.38</v>
      </c>
      <c r="VK47" s="2">
        <v>31</v>
      </c>
      <c r="VL47" s="2">
        <v>30.89</v>
      </c>
      <c r="VM47" s="2">
        <v>31.64</v>
      </c>
      <c r="VN47" s="2">
        <v>31.73</v>
      </c>
      <c r="VO47" s="2">
        <v>32.54</v>
      </c>
      <c r="VP47" s="2">
        <v>32.33</v>
      </c>
      <c r="VQ47" s="2">
        <v>32.84</v>
      </c>
      <c r="VR47" s="2">
        <v>32.94</v>
      </c>
      <c r="VS47" s="2">
        <v>33.75</v>
      </c>
      <c r="VT47" s="2">
        <v>33.65</v>
      </c>
      <c r="VU47" s="2">
        <v>34.6</v>
      </c>
      <c r="VV47" s="2">
        <v>35.43</v>
      </c>
      <c r="VW47" s="2">
        <v>37.08</v>
      </c>
      <c r="VX47" s="2">
        <v>36.88</v>
      </c>
      <c r="VY47" s="2">
        <v>38.36</v>
      </c>
      <c r="VZ47" s="2">
        <v>38.37</v>
      </c>
      <c r="WA47" s="2">
        <v>39.41</v>
      </c>
      <c r="WB47" s="2">
        <v>40.21</v>
      </c>
      <c r="WC47" s="2">
        <v>41.64</v>
      </c>
      <c r="WD47" s="2">
        <v>42.34</v>
      </c>
      <c r="WE47" s="2">
        <v>43.27</v>
      </c>
      <c r="WF47" s="2">
        <v>43.06</v>
      </c>
      <c r="WG47" s="2">
        <v>43.74</v>
      </c>
      <c r="WH47" s="2">
        <v>44.17</v>
      </c>
      <c r="WI47" s="2">
        <v>45.88</v>
      </c>
      <c r="WJ47" s="2">
        <v>45.97</v>
      </c>
      <c r="WK47" s="2">
        <v>46.65</v>
      </c>
      <c r="WL47" s="2">
        <v>47.71</v>
      </c>
      <c r="WM47" s="2">
        <v>54.49</v>
      </c>
      <c r="WN47" s="2">
        <v>53.91</v>
      </c>
      <c r="WO47" s="2">
        <v>54.45</v>
      </c>
      <c r="WP47" s="2">
        <v>55.03</v>
      </c>
      <c r="WQ47" s="2">
        <v>57.67</v>
      </c>
      <c r="WR47" s="2">
        <v>56.93</v>
      </c>
      <c r="WS47" s="2">
        <v>58.22</v>
      </c>
      <c r="WT47" s="2">
        <v>58.4</v>
      </c>
      <c r="WU47" s="2">
        <v>59.12</v>
      </c>
      <c r="WV47" s="2">
        <v>58.35</v>
      </c>
      <c r="WW47" s="2">
        <v>59.94</v>
      </c>
      <c r="WX47" s="2">
        <v>60.44</v>
      </c>
      <c r="WY47" s="2">
        <v>59.65</v>
      </c>
      <c r="WZ47" s="2">
        <v>58.92</v>
      </c>
      <c r="XA47" s="2">
        <v>60.68</v>
      </c>
      <c r="XB47" s="2">
        <v>60.88</v>
      </c>
      <c r="XC47" s="2">
        <v>60.86</v>
      </c>
      <c r="XD47" s="2">
        <v>60.06</v>
      </c>
      <c r="XE47" s="2">
        <v>62.34</v>
      </c>
      <c r="XF47" s="2">
        <v>62.57</v>
      </c>
      <c r="XG47" s="2">
        <v>65.8</v>
      </c>
      <c r="XH47" s="2">
        <v>64.70999999999999</v>
      </c>
      <c r="XI47" s="2">
        <v>68.56999999999999</v>
      </c>
      <c r="XJ47" s="2">
        <v>67.05</v>
      </c>
      <c r="XK47" s="2">
        <v>67.78</v>
      </c>
      <c r="XL47" s="2">
        <v>66.79000000000001</v>
      </c>
      <c r="XM47" s="2">
        <v>67.38</v>
      </c>
      <c r="XN47" s="2">
        <v>67.02</v>
      </c>
      <c r="XO47" s="2">
        <v>69.03</v>
      </c>
      <c r="XP47" s="2">
        <v>67.73</v>
      </c>
      <c r="XQ47" s="2">
        <v>67.95</v>
      </c>
      <c r="XR47" s="2">
        <v>67.37</v>
      </c>
      <c r="XS47" s="2">
        <v>66.92</v>
      </c>
      <c r="XT47" s="2">
        <v>65.98</v>
      </c>
      <c r="XU47" s="2">
        <v>67.03</v>
      </c>
      <c r="XV47" s="2">
        <v>66.8</v>
      </c>
      <c r="XW47" s="2">
        <v>67.58</v>
      </c>
      <c r="XX47" s="2">
        <v>67.69</v>
      </c>
      <c r="XY47" s="2">
        <v>71.95999999999999</v>
      </c>
      <c r="XZ47" s="2">
        <v>71.11</v>
      </c>
      <c r="YA47" s="2">
        <v>78.81</v>
      </c>
      <c r="YB47" s="2">
        <v>79.45</v>
      </c>
      <c r="YC47" s="2">
        <v>90.83</v>
      </c>
      <c r="YD47" s="2">
        <v>89.73</v>
      </c>
      <c r="YE47" s="2">
        <v>90.97</v>
      </c>
      <c r="YF47" s="2">
        <v>90.09999999999999</v>
      </c>
      <c r="YG47" s="2">
        <v>88.73</v>
      </c>
      <c r="YH47" s="2">
        <v>87.28</v>
      </c>
      <c r="YI47" s="2">
        <v>93.65000000000001</v>
      </c>
      <c r="YJ47" s="2">
        <v>94.2</v>
      </c>
      <c r="YK47" s="2">
        <v>94.23</v>
      </c>
      <c r="YL47" s="2">
        <v>92.25</v>
      </c>
      <c r="YM47" s="2">
        <v>98.41</v>
      </c>
      <c r="YN47" s="2">
        <v>98.52</v>
      </c>
      <c r="YO47" s="2">
        <v>99.54000000000001</v>
      </c>
      <c r="YP47" s="2">
        <v>97.69</v>
      </c>
      <c r="AEY47" s="2">
        <v>2.1</v>
      </c>
      <c r="AEZ47" s="2">
        <v>1</v>
      </c>
      <c r="AFA47" s="2">
        <v>0.4</v>
      </c>
      <c r="AFB47" s="2">
        <v>3.7</v>
      </c>
      <c r="AFC47" s="2">
        <v>1.9</v>
      </c>
      <c r="AFD47" s="2">
        <v>1</v>
      </c>
      <c r="AFE47" s="2">
        <v>-0.6</v>
      </c>
      <c r="AFF47" s="2">
        <v>3.3</v>
      </c>
      <c r="AFG47" s="2">
        <v>0</v>
      </c>
      <c r="AFH47" s="2">
        <v>0.5</v>
      </c>
      <c r="AFI47" s="2">
        <v>-0.3</v>
      </c>
      <c r="AFJ47" s="2">
        <v>0.4</v>
      </c>
      <c r="AFK47" s="2">
        <v>2.9</v>
      </c>
      <c r="AFL47" s="2">
        <v>3.7</v>
      </c>
      <c r="AFM47" s="2">
        <v>-0.1</v>
      </c>
      <c r="AFN47" s="2">
        <v>0.1</v>
      </c>
      <c r="AFO47" s="2">
        <v>0.2</v>
      </c>
      <c r="AFP47" s="2">
        <v>0</v>
      </c>
      <c r="AFQ47" s="2">
        <v>-0.3</v>
      </c>
      <c r="AFR47" s="2">
        <v>2.3</v>
      </c>
      <c r="AFS47" s="2">
        <v>0.4</v>
      </c>
      <c r="AFT47" s="2">
        <v>0.7</v>
      </c>
      <c r="AFU47" s="2">
        <v>0.2</v>
      </c>
      <c r="AFV47" s="2">
        <v>0.9</v>
      </c>
      <c r="AFW47" s="2">
        <v>0</v>
      </c>
      <c r="AFX47" s="2">
        <v>0.3</v>
      </c>
      <c r="AFY47" s="2">
        <v>0</v>
      </c>
      <c r="AFZ47" s="2">
        <v>1.4</v>
      </c>
      <c r="AGA47" s="2">
        <v>0.5</v>
      </c>
      <c r="AGB47" s="2">
        <v>0.4</v>
      </c>
      <c r="AGC47" s="2">
        <v>-0.2</v>
      </c>
      <c r="AGD47" s="2">
        <v>1.7</v>
      </c>
      <c r="AGE47" s="2">
        <v>-0.1</v>
      </c>
      <c r="AGF47" s="2">
        <v>0</v>
      </c>
      <c r="AGG47" s="2">
        <v>0.1</v>
      </c>
      <c r="AGH47" s="2">
        <v>-1.8</v>
      </c>
      <c r="AGI47" s="2">
        <v>1.7</v>
      </c>
      <c r="AGJ47" s="2">
        <v>-1.6</v>
      </c>
      <c r="AGK47" s="2">
        <v>-0.4</v>
      </c>
      <c r="AGL47" s="2">
        <v>0.1</v>
      </c>
      <c r="AGM47" s="2">
        <v>-0.1</v>
      </c>
      <c r="AGN47" s="2">
        <v>-0.9</v>
      </c>
      <c r="AGO47" s="2">
        <v>0.7</v>
      </c>
      <c r="AGP47" s="2">
        <v>12.5</v>
      </c>
      <c r="AGQ47" s="2">
        <v>-2</v>
      </c>
      <c r="AGR47" s="2">
        <v>0</v>
      </c>
      <c r="AGS47" s="2">
        <v>1.3</v>
      </c>
      <c r="AGT47" s="2">
        <v>4.3</v>
      </c>
      <c r="AGU47" s="2">
        <v>-4.2</v>
      </c>
      <c r="AGV47" s="2">
        <v>4.5</v>
      </c>
      <c r="AGW47" s="2">
        <v>0.8</v>
      </c>
      <c r="AGX47" s="2">
        <v>4.5</v>
      </c>
      <c r="AGY47" s="2">
        <v>-3.9</v>
      </c>
      <c r="AGZ47" s="2">
        <v>5</v>
      </c>
      <c r="AHA47" s="2">
        <v>0.9</v>
      </c>
      <c r="AHB47" s="2">
        <v>3.1</v>
      </c>
      <c r="AHC47" s="2">
        <v>-1.8</v>
      </c>
      <c r="AHD47" s="2">
        <v>4.8</v>
      </c>
      <c r="AHE47" s="2">
        <v>-0.7</v>
      </c>
      <c r="AHF47" s="2">
        <v>1.8</v>
      </c>
      <c r="AHG47" s="2">
        <v>0.4</v>
      </c>
      <c r="AHH47" s="2">
        <v>2.8</v>
      </c>
      <c r="AHI47" s="2">
        <v>0.5</v>
      </c>
      <c r="AHJ47" s="2">
        <v>2</v>
      </c>
      <c r="AHK47" s="2">
        <v>-0.4</v>
      </c>
      <c r="AHL47" s="2">
        <v>2.4</v>
      </c>
      <c r="AHM47" s="2">
        <v>0.3</v>
      </c>
      <c r="AHN47" s="2">
        <v>2.6</v>
      </c>
      <c r="AHO47" s="2">
        <v>-0.6</v>
      </c>
      <c r="AHP47" s="2">
        <v>1.6</v>
      </c>
      <c r="AHQ47" s="2">
        <v>0.3</v>
      </c>
      <c r="AHR47" s="2">
        <v>2.5</v>
      </c>
      <c r="AHS47" s="2">
        <v>-0.3</v>
      </c>
      <c r="AHT47" s="2">
        <v>2.8</v>
      </c>
      <c r="AHU47" s="2">
        <v>2.4</v>
      </c>
      <c r="AHV47" s="2">
        <v>4.7</v>
      </c>
      <c r="AHW47" s="2">
        <v>-0.5</v>
      </c>
      <c r="AHX47" s="2">
        <v>4</v>
      </c>
      <c r="AHY47" s="2">
        <v>0</v>
      </c>
      <c r="AHZ47" s="2">
        <v>2.7</v>
      </c>
      <c r="AIA47" s="2">
        <v>2</v>
      </c>
      <c r="AIB47" s="2">
        <v>3.6</v>
      </c>
      <c r="AIC47" s="2">
        <v>1.7</v>
      </c>
      <c r="AID47" s="2">
        <v>2.2</v>
      </c>
      <c r="AIE47" s="2">
        <v>-0.5</v>
      </c>
      <c r="AIF47" s="2">
        <v>1.6</v>
      </c>
      <c r="AIG47" s="2">
        <v>1</v>
      </c>
      <c r="AIH47" s="2">
        <v>3.9</v>
      </c>
      <c r="AII47" s="2">
        <v>0.2</v>
      </c>
      <c r="AIJ47" s="2">
        <v>1.5</v>
      </c>
      <c r="AIK47" s="2">
        <v>2.3</v>
      </c>
      <c r="AIL47" s="2">
        <v>14.2</v>
      </c>
      <c r="AIM47" s="2">
        <v>-1.1</v>
      </c>
      <c r="AIN47" s="2">
        <v>1</v>
      </c>
      <c r="AIO47" s="2">
        <v>1.1</v>
      </c>
      <c r="AIP47" s="2">
        <v>4.8</v>
      </c>
      <c r="AIQ47" s="2">
        <v>-1.3</v>
      </c>
      <c r="AIR47" s="2">
        <v>2.3</v>
      </c>
      <c r="AIS47" s="2">
        <v>0.3</v>
      </c>
      <c r="AIT47" s="2">
        <v>1.2</v>
      </c>
      <c r="AIU47" s="2">
        <v>-1.3</v>
      </c>
      <c r="AIV47" s="2">
        <v>2.7</v>
      </c>
      <c r="AIW47" s="2">
        <v>0.8</v>
      </c>
      <c r="AIX47" s="2">
        <v>-1.3</v>
      </c>
      <c r="AIY47" s="2">
        <v>-1.2</v>
      </c>
      <c r="AIZ47" s="2">
        <v>3</v>
      </c>
      <c r="AJA47" s="2">
        <v>0.3</v>
      </c>
      <c r="AJB47" s="2">
        <v>0</v>
      </c>
      <c r="AJC47" s="2">
        <v>-1.3</v>
      </c>
      <c r="AJD47" s="2">
        <v>3.8</v>
      </c>
      <c r="AJE47" s="2">
        <v>0.4</v>
      </c>
      <c r="AJF47" s="2">
        <v>5.2</v>
      </c>
      <c r="AJG47" s="2">
        <v>-1.7</v>
      </c>
      <c r="AJH47" s="2">
        <v>6</v>
      </c>
      <c r="AJI47" s="2">
        <v>-2.2</v>
      </c>
      <c r="AJJ47" s="2">
        <v>1.1</v>
      </c>
      <c r="AJK47" s="2">
        <v>-1.5</v>
      </c>
      <c r="AJL47" s="2">
        <v>0.9</v>
      </c>
      <c r="AJM47" s="2">
        <v>-0.5</v>
      </c>
      <c r="AJN47" s="2">
        <v>3</v>
      </c>
      <c r="AJO47" s="2">
        <v>-1.9</v>
      </c>
      <c r="AJP47" s="2">
        <v>0.3</v>
      </c>
      <c r="AJQ47" s="2">
        <v>-0.9</v>
      </c>
      <c r="AJR47" s="2">
        <v>-0.7</v>
      </c>
      <c r="AJS47" s="2">
        <v>-1.4</v>
      </c>
      <c r="AJT47" s="2">
        <v>1.6</v>
      </c>
      <c r="AJU47" s="2">
        <v>-0.3</v>
      </c>
      <c r="AJV47" s="2">
        <v>1.2</v>
      </c>
      <c r="AJW47" s="2">
        <v>0.2</v>
      </c>
      <c r="AJX47" s="2">
        <v>6.3</v>
      </c>
      <c r="AJY47" s="2">
        <v>-1.2</v>
      </c>
      <c r="AJZ47" s="2">
        <v>10.8</v>
      </c>
      <c r="AKA47" s="2">
        <v>0.8</v>
      </c>
      <c r="AKB47" s="2">
        <v>14.3</v>
      </c>
      <c r="AKC47" s="2">
        <v>-1.2</v>
      </c>
      <c r="AKD47" s="2">
        <v>1.4</v>
      </c>
      <c r="AKE47" s="2">
        <v>-1</v>
      </c>
      <c r="AKF47" s="2">
        <v>-1.5</v>
      </c>
      <c r="AKG47" s="2">
        <v>-1.6</v>
      </c>
      <c r="AKH47" s="2">
        <v>7.3</v>
      </c>
      <c r="AKI47" s="2">
        <v>0.6</v>
      </c>
      <c r="AKJ47" s="2">
        <v>0</v>
      </c>
      <c r="AKK47" s="2">
        <v>-2.1</v>
      </c>
      <c r="AKL47" s="2">
        <v>6.7</v>
      </c>
      <c r="AKM47" s="2">
        <v>0.1</v>
      </c>
      <c r="AKN47" s="2">
        <v>1</v>
      </c>
      <c r="AKO47" s="2">
        <v>-1.9</v>
      </c>
      <c r="AKP47" s="2">
        <v>0.97</v>
      </c>
      <c r="AKQ47" s="2">
        <v>0.98</v>
      </c>
      <c r="AKR47" s="2">
        <v>0.96</v>
      </c>
    </row>
    <row r="48">
      <c r="A48" t="inlineStr">
        <is>
          <t>Furniture</t>
        </is>
      </c>
      <c r="B48" t="inlineStr">
        <is>
          <t>Furniture and furnishings</t>
        </is>
      </c>
      <c r="C48">
        <v>3</v>
      </c>
      <c r="D48">
        <v>1.19</v>
      </c>
      <c r="E48" s="3">
        <f>D48/1.45*0.014518377693282637</f>
        <v>0.011915082382762992</v>
      </c>
      <c r="F48" s="3">
        <f>E48-D48/100</f>
        <v>1.5082382762992771e-05</v>
      </c>
      <c r="G48" s="3">
        <f>D48/1.45</f>
        <v>0.8206896551724138</v>
      </c>
      <c r="CI48" s="2">
        <v>97.72</v>
      </c>
      <c r="CJ48" s="2">
        <v>98.3</v>
      </c>
      <c r="CK48" s="2">
        <v>93.73999999999999</v>
      </c>
      <c r="CL48" s="2">
        <v>99.01000000000001</v>
      </c>
      <c r="CM48" s="2">
        <v>98.28</v>
      </c>
      <c r="CN48" s="2">
        <v>99.61</v>
      </c>
      <c r="CO48" s="2">
        <v>101.89</v>
      </c>
      <c r="CP48" s="2">
        <v>98.19</v>
      </c>
      <c r="CQ48" s="2">
        <v>98.09999999999999</v>
      </c>
      <c r="CR48" s="2">
        <v>96.38</v>
      </c>
      <c r="CS48" s="2">
        <v>101.07</v>
      </c>
      <c r="CT48" s="2">
        <v>99.47</v>
      </c>
      <c r="CU48" s="2">
        <v>99.23999999999999</v>
      </c>
      <c r="CV48" s="2">
        <v>97.62</v>
      </c>
      <c r="CW48" s="2">
        <v>94.59999999999999</v>
      </c>
      <c r="CX48" s="2">
        <v>99.3</v>
      </c>
      <c r="CY48" s="2">
        <v>97.56</v>
      </c>
      <c r="CZ48" s="2">
        <v>100</v>
      </c>
      <c r="DA48" s="2">
        <v>102.53</v>
      </c>
      <c r="DB48" s="2">
        <v>97.78</v>
      </c>
      <c r="DC48" s="2">
        <v>98.78</v>
      </c>
      <c r="DD48" s="2">
        <v>94.48999999999999</v>
      </c>
      <c r="DE48" s="2">
        <v>98.87</v>
      </c>
      <c r="DF48" s="2">
        <v>99.03</v>
      </c>
      <c r="DG48" s="2">
        <v>98.75</v>
      </c>
      <c r="DH48" s="2">
        <v>99.18000000000001</v>
      </c>
      <c r="DI48" s="2">
        <v>94.11</v>
      </c>
      <c r="DJ48" s="2">
        <v>98.81</v>
      </c>
      <c r="GL48" s="2">
        <v>1.6</v>
      </c>
      <c r="GM48" s="2">
        <v>-0.7</v>
      </c>
      <c r="GN48" s="2">
        <v>0.9</v>
      </c>
      <c r="GO48" s="2">
        <v>0.3</v>
      </c>
      <c r="GP48" s="2">
        <v>-0.7</v>
      </c>
      <c r="GQ48" s="2">
        <v>0.4</v>
      </c>
      <c r="GR48" s="2">
        <v>0.6</v>
      </c>
      <c r="GS48" s="2">
        <v>-0.4</v>
      </c>
      <c r="GT48" s="2">
        <v>0.7</v>
      </c>
      <c r="GU48" s="2">
        <v>-2</v>
      </c>
      <c r="GV48" s="2">
        <v>-2.2</v>
      </c>
      <c r="GW48" s="2">
        <v>-0.4</v>
      </c>
      <c r="GX48" s="2">
        <v>-0.5</v>
      </c>
      <c r="GY48" s="2">
        <v>1.6</v>
      </c>
      <c r="GZ48" s="2">
        <v>-0.5</v>
      </c>
      <c r="HA48" s="2">
        <v>-0.5</v>
      </c>
      <c r="KC48" s="2">
        <v>0.6</v>
      </c>
      <c r="KD48" s="2">
        <v>-4.6</v>
      </c>
      <c r="KE48" s="2">
        <v>5.6</v>
      </c>
      <c r="KF48" s="2">
        <v>-0.7</v>
      </c>
      <c r="KG48" s="2">
        <v>1.4</v>
      </c>
      <c r="KH48" s="2">
        <v>2.3</v>
      </c>
      <c r="KI48" s="2">
        <v>-3.6</v>
      </c>
      <c r="KJ48" s="2">
        <v>-0.1</v>
      </c>
      <c r="KK48" s="2">
        <v>-1.8</v>
      </c>
      <c r="KL48" s="2">
        <v>4.9</v>
      </c>
      <c r="KM48" s="2">
        <v>-1.6</v>
      </c>
      <c r="KN48" s="2">
        <v>-0.2</v>
      </c>
      <c r="KO48" s="2">
        <v>-1.6</v>
      </c>
      <c r="KP48" s="2">
        <v>-3.1</v>
      </c>
      <c r="KQ48" s="2">
        <v>5</v>
      </c>
      <c r="KR48" s="2">
        <v>-1.8</v>
      </c>
      <c r="KS48" s="2">
        <v>2.5</v>
      </c>
      <c r="KT48" s="2">
        <v>2.5</v>
      </c>
      <c r="KU48" s="2">
        <v>-4.6</v>
      </c>
      <c r="KV48" s="2">
        <v>1</v>
      </c>
      <c r="KW48" s="2">
        <v>-4.3</v>
      </c>
      <c r="KX48" s="2">
        <v>4.6</v>
      </c>
      <c r="KY48" s="2">
        <v>0.2</v>
      </c>
      <c r="KZ48" s="2">
        <v>-0.3</v>
      </c>
      <c r="LA48" s="2">
        <v>0.4</v>
      </c>
      <c r="LB48" s="2">
        <v>-5.1</v>
      </c>
      <c r="LC48" s="2">
        <v>5</v>
      </c>
      <c r="LD48" s="2">
        <v>1.16</v>
      </c>
      <c r="LE48" s="2">
        <v>1.14</v>
      </c>
      <c r="LF48" s="2">
        <v>1.19</v>
      </c>
      <c r="LG48" s="2">
        <v>1.17</v>
      </c>
      <c r="LH48" s="2">
        <v>1.17</v>
      </c>
      <c r="LI48" s="2">
        <v>1.15</v>
      </c>
      <c r="LJ48" s="2">
        <v>1.12</v>
      </c>
      <c r="LK48" s="2">
        <v>1.17</v>
      </c>
      <c r="LL48" s="2">
        <v>1.15</v>
      </c>
      <c r="LM48" s="2">
        <v>1.18</v>
      </c>
      <c r="LN48" s="2">
        <v>1.21</v>
      </c>
      <c r="LO48" s="2">
        <v>1.15</v>
      </c>
      <c r="LP48" s="2">
        <v>1.17</v>
      </c>
      <c r="LQ48" s="2">
        <v>1.11</v>
      </c>
      <c r="LR48" s="2">
        <v>1.17</v>
      </c>
      <c r="LS48" s="2">
        <v>1.17</v>
      </c>
      <c r="LT48" s="2">
        <v>1.16</v>
      </c>
      <c r="LU48" s="2">
        <v>1.17</v>
      </c>
      <c r="LV48" s="2">
        <v>1.11</v>
      </c>
      <c r="LW48" s="2">
        <v>1.17</v>
      </c>
      <c r="LX48" s="2">
        <v>-0.02</v>
      </c>
      <c r="LY48" s="2">
        <v>0.05</v>
      </c>
      <c r="LZ48" s="2">
        <v>-0.02</v>
      </c>
      <c r="MA48" s="2">
        <v>0</v>
      </c>
      <c r="MB48" s="2">
        <v>-0.02</v>
      </c>
      <c r="MC48" s="2">
        <v>-0.03</v>
      </c>
      <c r="MD48" s="2">
        <v>0.05</v>
      </c>
      <c r="ME48" s="2">
        <v>-0.02</v>
      </c>
      <c r="MF48" s="2">
        <v>0.03</v>
      </c>
      <c r="MG48" s="2">
        <v>0.03</v>
      </c>
      <c r="MH48" s="2">
        <v>-0.06</v>
      </c>
      <c r="MI48" s="2">
        <v>0.02</v>
      </c>
      <c r="MJ48" s="2">
        <v>-0.06</v>
      </c>
      <c r="MK48" s="2">
        <v>0.06</v>
      </c>
      <c r="ML48" s="2">
        <v>0</v>
      </c>
      <c r="MM48" s="2">
        <v>-0.01</v>
      </c>
      <c r="MN48" s="2">
        <v>0.01</v>
      </c>
      <c r="MO48" s="2">
        <v>-0.06</v>
      </c>
      <c r="MP48" s="2">
        <v>0.06</v>
      </c>
      <c r="RO48" s="2">
        <v>30.59</v>
      </c>
      <c r="RP48" s="2">
        <v>31.72</v>
      </c>
      <c r="RQ48" s="2">
        <v>32.03</v>
      </c>
      <c r="RR48" s="2">
        <v>32.47</v>
      </c>
      <c r="RS48" s="2">
        <v>32.72</v>
      </c>
      <c r="RT48" s="2">
        <v>34.04</v>
      </c>
      <c r="RU48" s="2">
        <v>34.35</v>
      </c>
      <c r="RV48" s="2">
        <v>36.35</v>
      </c>
      <c r="RW48" s="2">
        <v>37.48</v>
      </c>
      <c r="RX48" s="2">
        <v>38.79</v>
      </c>
      <c r="RY48" s="2">
        <v>39.42</v>
      </c>
      <c r="RZ48" s="2">
        <v>40.04</v>
      </c>
      <c r="SA48" s="2">
        <v>40.92</v>
      </c>
      <c r="SB48" s="2">
        <v>41.61</v>
      </c>
      <c r="SC48" s="2">
        <v>42.11</v>
      </c>
      <c r="SD48" s="2">
        <v>42.36</v>
      </c>
      <c r="SE48" s="2">
        <v>42.98</v>
      </c>
      <c r="SF48" s="2">
        <v>44.05</v>
      </c>
      <c r="SG48" s="2">
        <v>44.55</v>
      </c>
      <c r="SH48" s="2">
        <v>44.61</v>
      </c>
      <c r="SI48" s="2">
        <v>46.17</v>
      </c>
      <c r="SJ48" s="2">
        <v>47.67</v>
      </c>
      <c r="SK48" s="2">
        <v>48.68</v>
      </c>
      <c r="SL48" s="2">
        <v>49.55</v>
      </c>
      <c r="SM48" s="2">
        <v>50.68</v>
      </c>
      <c r="SN48" s="2">
        <v>51.8</v>
      </c>
      <c r="SO48" s="2">
        <v>50.99</v>
      </c>
      <c r="SP48" s="2">
        <v>53.31</v>
      </c>
      <c r="SQ48" s="2">
        <v>53.43</v>
      </c>
      <c r="SR48" s="2">
        <v>54.18</v>
      </c>
      <c r="SS48" s="2">
        <v>55.12</v>
      </c>
      <c r="ST48" s="2">
        <v>56.56</v>
      </c>
      <c r="SU48" s="2">
        <v>56.56</v>
      </c>
      <c r="SV48" s="2">
        <v>57.25</v>
      </c>
      <c r="SW48" s="2">
        <v>58.06</v>
      </c>
      <c r="SX48" s="2">
        <v>59.5</v>
      </c>
      <c r="SY48" s="2">
        <v>60.25</v>
      </c>
      <c r="SZ48" s="2">
        <v>61.69</v>
      </c>
      <c r="TA48" s="2">
        <v>63</v>
      </c>
      <c r="TB48" s="2">
        <v>65.31999999999999</v>
      </c>
      <c r="TC48" s="2">
        <v>65.38</v>
      </c>
      <c r="TD48" s="2">
        <v>67.38</v>
      </c>
      <c r="TE48" s="2">
        <v>66.81999999999999</v>
      </c>
      <c r="TF48" s="2">
        <v>67.81999999999999</v>
      </c>
      <c r="TG48" s="2">
        <v>66.88</v>
      </c>
      <c r="TH48" s="2">
        <v>69.31999999999999</v>
      </c>
      <c r="TI48" s="2">
        <v>67.76000000000001</v>
      </c>
      <c r="TJ48" s="2">
        <v>70.51000000000001</v>
      </c>
      <c r="TK48" s="2">
        <v>69.13</v>
      </c>
      <c r="TL48" s="2">
        <v>70.7</v>
      </c>
      <c r="TM48" s="2">
        <v>68.76000000000001</v>
      </c>
      <c r="TN48" s="2">
        <v>69.2</v>
      </c>
      <c r="TO48" s="2">
        <v>69.81999999999999</v>
      </c>
      <c r="TP48" s="2">
        <v>70.76000000000001</v>
      </c>
      <c r="TQ48" s="2">
        <v>71.95</v>
      </c>
      <c r="TR48" s="2">
        <v>72.95</v>
      </c>
      <c r="TS48" s="2">
        <v>72.51000000000001</v>
      </c>
      <c r="TT48" s="2">
        <v>73.89</v>
      </c>
      <c r="TU48" s="2">
        <v>73.01000000000001</v>
      </c>
      <c r="TV48" s="2">
        <v>73.58</v>
      </c>
      <c r="TW48" s="2">
        <v>73.26000000000001</v>
      </c>
      <c r="TX48" s="2">
        <v>74.26000000000001</v>
      </c>
      <c r="TY48" s="2">
        <v>73.51000000000001</v>
      </c>
      <c r="TZ48" s="2">
        <v>75.02</v>
      </c>
      <c r="UA48" s="2">
        <v>74.39</v>
      </c>
      <c r="UB48" s="2">
        <v>75.39</v>
      </c>
      <c r="UC48" s="2">
        <v>74.83</v>
      </c>
      <c r="UD48" s="2">
        <v>75.7</v>
      </c>
      <c r="UE48" s="2">
        <v>74.64</v>
      </c>
      <c r="UF48" s="2">
        <v>76.39</v>
      </c>
      <c r="UG48" s="2">
        <v>76.39</v>
      </c>
      <c r="UH48" s="2">
        <v>76.45</v>
      </c>
      <c r="UI48" s="2">
        <v>76.04000000000001</v>
      </c>
      <c r="UJ48" s="2">
        <v>77.02</v>
      </c>
      <c r="UK48" s="2">
        <v>75.56999999999999</v>
      </c>
      <c r="UL48" s="2">
        <v>77.14</v>
      </c>
      <c r="UM48" s="2">
        <v>76.67</v>
      </c>
      <c r="UN48" s="2">
        <v>77.09</v>
      </c>
      <c r="UO48" s="2">
        <v>76.28</v>
      </c>
      <c r="UP48" s="2">
        <v>77.54000000000001</v>
      </c>
      <c r="UQ48" s="2">
        <v>80.27</v>
      </c>
      <c r="UR48" s="2">
        <v>79.86</v>
      </c>
      <c r="US48" s="2">
        <v>79.65000000000001</v>
      </c>
      <c r="UT48" s="2">
        <v>81.37</v>
      </c>
      <c r="UU48" s="2">
        <v>80.78</v>
      </c>
      <c r="UV48" s="2">
        <v>82.27</v>
      </c>
      <c r="UW48" s="2">
        <v>81.15000000000001</v>
      </c>
      <c r="UX48" s="2">
        <v>82.81999999999999</v>
      </c>
      <c r="UY48" s="2">
        <v>81.81999999999999</v>
      </c>
      <c r="UZ48" s="2">
        <v>83.78</v>
      </c>
      <c r="VA48" s="2">
        <v>81.73999999999999</v>
      </c>
      <c r="VB48" s="2">
        <v>83.44</v>
      </c>
      <c r="VC48" s="2">
        <v>82.95999999999999</v>
      </c>
      <c r="VD48" s="2">
        <v>83.14</v>
      </c>
      <c r="VE48" s="2">
        <v>81.65000000000001</v>
      </c>
      <c r="VF48" s="2">
        <v>82.23999999999999</v>
      </c>
      <c r="VG48" s="2">
        <v>81.58</v>
      </c>
      <c r="VH48" s="2">
        <v>82.22</v>
      </c>
      <c r="VI48" s="2">
        <v>80.17</v>
      </c>
      <c r="VJ48" s="2">
        <v>80.68000000000001</v>
      </c>
      <c r="VK48" s="2">
        <v>81.36</v>
      </c>
      <c r="VL48" s="2">
        <v>81.73999999999999</v>
      </c>
      <c r="VM48" s="2">
        <v>79.12</v>
      </c>
      <c r="VN48" s="2">
        <v>80.15000000000001</v>
      </c>
      <c r="VO48" s="2">
        <v>81.25</v>
      </c>
      <c r="VP48" s="2">
        <v>81.98999999999999</v>
      </c>
      <c r="VQ48" s="2">
        <v>79.29000000000001</v>
      </c>
      <c r="VR48" s="2">
        <v>82.38</v>
      </c>
      <c r="VS48" s="2">
        <v>81.16</v>
      </c>
      <c r="VT48" s="2">
        <v>82.81999999999999</v>
      </c>
      <c r="VU48" s="2">
        <v>79.81</v>
      </c>
      <c r="VV48" s="2">
        <v>82.37</v>
      </c>
      <c r="VW48" s="2">
        <v>81.3</v>
      </c>
      <c r="VX48" s="2">
        <v>81.72</v>
      </c>
      <c r="VY48" s="2">
        <v>81.75</v>
      </c>
      <c r="VZ48" s="2">
        <v>84.8</v>
      </c>
      <c r="WA48" s="2">
        <v>85.20999999999999</v>
      </c>
      <c r="WB48" s="2">
        <v>86.40000000000001</v>
      </c>
      <c r="WC48" s="2">
        <v>82.39</v>
      </c>
      <c r="WD48" s="2">
        <v>84.01000000000001</v>
      </c>
      <c r="WE48" s="2">
        <v>85.2</v>
      </c>
      <c r="WF48" s="2">
        <v>85.34</v>
      </c>
      <c r="WG48" s="2">
        <v>80.11</v>
      </c>
      <c r="WH48" s="2">
        <v>84.89</v>
      </c>
      <c r="WI48" s="2">
        <v>84.17</v>
      </c>
      <c r="WJ48" s="2">
        <v>85.09</v>
      </c>
      <c r="WK48" s="2">
        <v>79.98</v>
      </c>
      <c r="WL48" s="2">
        <v>83.59</v>
      </c>
      <c r="WM48" s="2">
        <v>85.11</v>
      </c>
      <c r="WN48" s="2">
        <v>83.76000000000001</v>
      </c>
      <c r="WO48" s="2">
        <v>78.09999999999999</v>
      </c>
      <c r="WP48" s="2">
        <v>81.86</v>
      </c>
      <c r="WQ48" s="2">
        <v>81.81</v>
      </c>
      <c r="WR48" s="2">
        <v>82.90000000000001</v>
      </c>
      <c r="WS48" s="2">
        <v>79.29000000000001</v>
      </c>
      <c r="WT48" s="2">
        <v>83.11</v>
      </c>
      <c r="WU48" s="2">
        <v>83.34</v>
      </c>
      <c r="WV48" s="2">
        <v>83.18000000000001</v>
      </c>
      <c r="WW48" s="2">
        <v>80.47</v>
      </c>
      <c r="WX48" s="2">
        <v>83.25</v>
      </c>
      <c r="WY48" s="2">
        <v>83.73</v>
      </c>
      <c r="WZ48" s="2">
        <v>84.53</v>
      </c>
      <c r="XA48" s="2">
        <v>83.20999999999999</v>
      </c>
      <c r="XB48" s="2">
        <v>85.23</v>
      </c>
      <c r="XC48" s="2">
        <v>86.28</v>
      </c>
      <c r="XD48" s="2">
        <v>84.92</v>
      </c>
      <c r="XE48" s="2">
        <v>81.98999999999999</v>
      </c>
      <c r="XF48" s="2">
        <v>82.68000000000001</v>
      </c>
      <c r="XG48" s="2">
        <v>83.06</v>
      </c>
      <c r="XH48" s="2">
        <v>82.25</v>
      </c>
      <c r="XI48" s="2">
        <v>79.90000000000001</v>
      </c>
      <c r="XJ48" s="2">
        <v>80.45</v>
      </c>
      <c r="XK48" s="2">
        <v>81.92</v>
      </c>
      <c r="XL48" s="2">
        <v>83.43000000000001</v>
      </c>
      <c r="XM48" s="2">
        <v>81.42</v>
      </c>
      <c r="XN48" s="2">
        <v>82.67</v>
      </c>
      <c r="XO48" s="2">
        <v>84.67</v>
      </c>
      <c r="XP48" s="2">
        <v>83.56999999999999</v>
      </c>
      <c r="XQ48" s="2">
        <v>80.42</v>
      </c>
      <c r="XR48" s="2">
        <v>83.53</v>
      </c>
      <c r="XS48" s="2">
        <v>88.86</v>
      </c>
      <c r="XT48" s="2">
        <v>87.84</v>
      </c>
      <c r="XU48" s="2">
        <v>85.17</v>
      </c>
      <c r="XV48" s="2">
        <v>88.41</v>
      </c>
      <c r="XW48" s="2">
        <v>91.81999999999999</v>
      </c>
      <c r="XX48" s="2">
        <v>92.90000000000001</v>
      </c>
      <c r="XY48" s="2">
        <v>89.69</v>
      </c>
      <c r="XZ48" s="2">
        <v>95.92</v>
      </c>
      <c r="YA48" s="2">
        <v>102.25</v>
      </c>
      <c r="YB48" s="2">
        <v>102.53</v>
      </c>
      <c r="YC48" s="2">
        <v>97.73999999999999</v>
      </c>
      <c r="YD48" s="2">
        <v>102.6</v>
      </c>
      <c r="YE48" s="2">
        <v>104.56</v>
      </c>
      <c r="YF48" s="2">
        <v>100.14</v>
      </c>
      <c r="YG48" s="2">
        <v>94.5</v>
      </c>
      <c r="YH48" s="2">
        <v>97.65000000000001</v>
      </c>
      <c r="YI48" s="2">
        <v>99.02</v>
      </c>
      <c r="YJ48" s="2">
        <v>101.52</v>
      </c>
      <c r="YK48" s="2">
        <v>95.94</v>
      </c>
      <c r="YL48" s="2">
        <v>98.72</v>
      </c>
      <c r="YM48" s="2">
        <v>98.95999999999999</v>
      </c>
      <c r="YN48" s="2">
        <v>99.7</v>
      </c>
      <c r="YO48" s="2">
        <v>97.45999999999999</v>
      </c>
      <c r="YP48" s="2">
        <v>97.34999999999999</v>
      </c>
      <c r="ADO48" s="2">
        <v>3.7</v>
      </c>
      <c r="ADP48" s="2">
        <v>1</v>
      </c>
      <c r="ADQ48" s="2">
        <v>1.4</v>
      </c>
      <c r="ADR48" s="2">
        <v>0.8</v>
      </c>
      <c r="ADS48" s="2">
        <v>4</v>
      </c>
      <c r="ADT48" s="2">
        <v>0.9</v>
      </c>
      <c r="ADU48" s="2">
        <v>5.8</v>
      </c>
      <c r="ADV48" s="2">
        <v>3.1</v>
      </c>
      <c r="ADW48" s="2">
        <v>3.5</v>
      </c>
      <c r="ADX48" s="2">
        <v>1.6</v>
      </c>
      <c r="ADY48" s="2">
        <v>1.6</v>
      </c>
      <c r="ADZ48" s="2">
        <v>2.2</v>
      </c>
      <c r="AEA48" s="2">
        <v>1.7</v>
      </c>
      <c r="AEB48" s="2">
        <v>1.2</v>
      </c>
      <c r="AEC48" s="2">
        <v>0.6</v>
      </c>
      <c r="AED48" s="2">
        <v>1.5</v>
      </c>
      <c r="AEE48" s="2">
        <v>2.5</v>
      </c>
      <c r="AEF48" s="2">
        <v>1.1</v>
      </c>
      <c r="AEG48" s="2">
        <v>0.1</v>
      </c>
      <c r="AEH48" s="2">
        <v>3.5</v>
      </c>
      <c r="AEI48" s="2">
        <v>3.2</v>
      </c>
      <c r="AEJ48" s="2">
        <v>2.1</v>
      </c>
      <c r="AEK48" s="2">
        <v>1.8</v>
      </c>
      <c r="AEL48" s="2">
        <v>2.3</v>
      </c>
      <c r="AEM48" s="2">
        <v>2.2</v>
      </c>
      <c r="AEN48" s="2">
        <v>-1.6</v>
      </c>
      <c r="AEO48" s="2">
        <v>4.5</v>
      </c>
      <c r="AEP48" s="2">
        <v>0.2</v>
      </c>
      <c r="AEQ48" s="2">
        <v>1.4</v>
      </c>
      <c r="AER48" s="2">
        <v>1.7</v>
      </c>
      <c r="AES48" s="2">
        <v>2.6</v>
      </c>
      <c r="AET48" s="2">
        <v>0</v>
      </c>
      <c r="AEU48" s="2">
        <v>1.2</v>
      </c>
      <c r="AEV48" s="2">
        <v>1.4</v>
      </c>
      <c r="AEW48" s="2">
        <v>2.5</v>
      </c>
      <c r="AEX48" s="2">
        <v>1.3</v>
      </c>
      <c r="AEY48" s="2">
        <v>2.4</v>
      </c>
      <c r="AEZ48" s="2">
        <v>2.1</v>
      </c>
      <c r="AFA48" s="2">
        <v>3.7</v>
      </c>
      <c r="AFB48" s="2">
        <v>0.1</v>
      </c>
      <c r="AFC48" s="2">
        <v>3.1</v>
      </c>
      <c r="AFD48" s="2">
        <v>-0.8</v>
      </c>
      <c r="AFE48" s="2">
        <v>1.5</v>
      </c>
      <c r="AFF48" s="2">
        <v>-1.4</v>
      </c>
      <c r="AFG48" s="2">
        <v>3.6</v>
      </c>
      <c r="AFH48" s="2">
        <v>-2.3</v>
      </c>
      <c r="AFI48" s="2">
        <v>4.1</v>
      </c>
      <c r="AFJ48" s="2">
        <v>-2</v>
      </c>
      <c r="AFK48" s="2">
        <v>2.3</v>
      </c>
      <c r="AFL48" s="2">
        <v>-2.7</v>
      </c>
      <c r="AFM48" s="2">
        <v>0.6</v>
      </c>
      <c r="AFN48" s="2">
        <v>0.9</v>
      </c>
      <c r="AFO48" s="2">
        <v>1.3</v>
      </c>
      <c r="AFP48" s="2">
        <v>1.7</v>
      </c>
      <c r="AFQ48" s="2">
        <v>1.4</v>
      </c>
      <c r="AFR48" s="2">
        <v>-0.6</v>
      </c>
      <c r="AFS48" s="2">
        <v>1.9</v>
      </c>
      <c r="AFT48" s="2">
        <v>-1.2</v>
      </c>
      <c r="AFU48" s="2">
        <v>0.8</v>
      </c>
      <c r="AFV48" s="2">
        <v>-0.4</v>
      </c>
      <c r="AFW48" s="2">
        <v>1.4</v>
      </c>
      <c r="AFX48" s="2">
        <v>-1</v>
      </c>
      <c r="AFY48" s="2">
        <v>2.1</v>
      </c>
      <c r="AFZ48" s="2">
        <v>-0.8</v>
      </c>
      <c r="AGA48" s="2">
        <v>1.3</v>
      </c>
      <c r="AGB48" s="2">
        <v>-0.7</v>
      </c>
      <c r="AGC48" s="2">
        <v>1.2</v>
      </c>
      <c r="AGD48" s="2">
        <v>-1.4</v>
      </c>
      <c r="AGE48" s="2">
        <v>2.3</v>
      </c>
      <c r="AGF48" s="2">
        <v>0</v>
      </c>
      <c r="AGG48" s="2">
        <v>0.1</v>
      </c>
      <c r="AGH48" s="2">
        <v>-0.5</v>
      </c>
      <c r="AGI48" s="2">
        <v>1.3</v>
      </c>
      <c r="AGJ48" s="2">
        <v>-1.9</v>
      </c>
      <c r="AGK48" s="2">
        <v>2.1</v>
      </c>
      <c r="AGL48" s="2">
        <v>-0.6</v>
      </c>
      <c r="AGM48" s="2">
        <v>0.5</v>
      </c>
      <c r="AGN48" s="2">
        <v>-1.1</v>
      </c>
      <c r="AGO48" s="2">
        <v>1.7</v>
      </c>
      <c r="AGP48" s="2">
        <v>3.5</v>
      </c>
      <c r="AGQ48" s="2">
        <v>-0.5</v>
      </c>
      <c r="AGR48" s="2">
        <v>-0.3</v>
      </c>
      <c r="AGS48" s="2">
        <v>2.2</v>
      </c>
      <c r="AGT48" s="2">
        <v>-0.7</v>
      </c>
      <c r="AGU48" s="2">
        <v>1.8</v>
      </c>
      <c r="AGV48" s="2">
        <v>-1.4</v>
      </c>
      <c r="AGW48" s="2">
        <v>2.1</v>
      </c>
      <c r="AGX48" s="2">
        <v>-1.2</v>
      </c>
      <c r="AGY48" s="2">
        <v>2.4</v>
      </c>
      <c r="AGZ48" s="2">
        <v>-2.4</v>
      </c>
      <c r="AHA48" s="2">
        <v>2.1</v>
      </c>
      <c r="AHB48" s="2">
        <v>-0.6</v>
      </c>
      <c r="AHC48" s="2">
        <v>0.2</v>
      </c>
      <c r="AHD48" s="2">
        <v>-1.8</v>
      </c>
      <c r="AHE48" s="2">
        <v>0.7</v>
      </c>
      <c r="AHF48" s="2">
        <v>-0.8</v>
      </c>
      <c r="AHG48" s="2">
        <v>0.8</v>
      </c>
      <c r="AHH48" s="2">
        <v>-2.5</v>
      </c>
      <c r="AHI48" s="2">
        <v>0.6</v>
      </c>
      <c r="AHJ48" s="2">
        <v>0.8</v>
      </c>
      <c r="AHK48" s="2">
        <v>0.5</v>
      </c>
      <c r="AHL48" s="2">
        <v>-3.2</v>
      </c>
      <c r="AHM48" s="2">
        <v>1.3</v>
      </c>
      <c r="AHN48" s="2">
        <v>1.4</v>
      </c>
      <c r="AHO48" s="2">
        <v>0.9</v>
      </c>
      <c r="AHP48" s="2">
        <v>-3.3</v>
      </c>
      <c r="AHQ48" s="2">
        <v>3.9</v>
      </c>
      <c r="AHR48" s="2">
        <v>-1.5</v>
      </c>
      <c r="AHS48" s="2">
        <v>2</v>
      </c>
      <c r="AHT48" s="2">
        <v>-3.6</v>
      </c>
      <c r="AHU48" s="2">
        <v>3.2</v>
      </c>
      <c r="AHV48" s="2">
        <v>-1.3</v>
      </c>
      <c r="AHW48" s="2">
        <v>0.5</v>
      </c>
      <c r="AHX48" s="2">
        <v>0</v>
      </c>
      <c r="AHY48" s="2">
        <v>3.7</v>
      </c>
      <c r="AHZ48" s="2">
        <v>0.5</v>
      </c>
      <c r="AIA48" s="2">
        <v>1.4</v>
      </c>
      <c r="AIB48" s="2">
        <v>-4.6</v>
      </c>
      <c r="AIC48" s="2">
        <v>2</v>
      </c>
      <c r="AID48" s="2">
        <v>1.4</v>
      </c>
      <c r="AIE48" s="2">
        <v>0.2</v>
      </c>
      <c r="AIF48" s="2">
        <v>-6.1</v>
      </c>
      <c r="AIG48" s="2">
        <v>6</v>
      </c>
      <c r="AIH48" s="2">
        <v>-0.8</v>
      </c>
      <c r="AII48" s="2">
        <v>1.1</v>
      </c>
      <c r="AIJ48" s="2">
        <v>-6</v>
      </c>
      <c r="AIK48" s="2">
        <v>4.5</v>
      </c>
      <c r="AIL48" s="2">
        <v>1.8</v>
      </c>
      <c r="AIM48" s="2">
        <v>-1.6</v>
      </c>
      <c r="AIN48" s="2">
        <v>-6.8</v>
      </c>
      <c r="AIO48" s="2">
        <v>4.8</v>
      </c>
      <c r="AIP48" s="2">
        <v>-0.1</v>
      </c>
      <c r="AIQ48" s="2">
        <v>1.3</v>
      </c>
      <c r="AIR48" s="2">
        <v>-4.4</v>
      </c>
      <c r="AIS48" s="2">
        <v>4.8</v>
      </c>
      <c r="AIT48" s="2">
        <v>0.3</v>
      </c>
      <c r="AIU48" s="2">
        <v>-0.2</v>
      </c>
      <c r="AIV48" s="2">
        <v>-3.3</v>
      </c>
      <c r="AIW48" s="2">
        <v>3.5</v>
      </c>
      <c r="AIX48" s="2">
        <v>0.6</v>
      </c>
      <c r="AIY48" s="2">
        <v>1</v>
      </c>
      <c r="AIZ48" s="2">
        <v>-1.6</v>
      </c>
      <c r="AJA48" s="2">
        <v>2.4</v>
      </c>
      <c r="AJB48" s="2">
        <v>1.2</v>
      </c>
      <c r="AJC48" s="2">
        <v>-1.6</v>
      </c>
      <c r="AJD48" s="2">
        <v>-3.5</v>
      </c>
      <c r="AJE48" s="2">
        <v>0.8</v>
      </c>
      <c r="AJF48" s="2">
        <v>0.5</v>
      </c>
      <c r="AJG48" s="2">
        <v>-1</v>
      </c>
      <c r="AJH48" s="2">
        <v>-2.9</v>
      </c>
      <c r="AJI48" s="2">
        <v>0.7</v>
      </c>
      <c r="AJJ48" s="2">
        <v>1.8</v>
      </c>
      <c r="AJK48" s="2">
        <v>1.8</v>
      </c>
      <c r="AJL48" s="2">
        <v>-2.4</v>
      </c>
      <c r="AJM48" s="2">
        <v>1.5</v>
      </c>
      <c r="AJN48" s="2">
        <v>2.4</v>
      </c>
      <c r="AJO48" s="2">
        <v>-1.3</v>
      </c>
      <c r="AJP48" s="2">
        <v>-3.8</v>
      </c>
      <c r="AJQ48" s="2">
        <v>3.9</v>
      </c>
      <c r="AJR48" s="2">
        <v>6.4</v>
      </c>
      <c r="AJS48" s="2">
        <v>-1.1</v>
      </c>
      <c r="AJT48" s="2">
        <v>-3</v>
      </c>
      <c r="AJU48" s="2">
        <v>3.8</v>
      </c>
      <c r="AJV48" s="2">
        <v>3.9</v>
      </c>
      <c r="AJW48" s="2">
        <v>1.2</v>
      </c>
      <c r="AJX48" s="2">
        <v>-3.5</v>
      </c>
      <c r="AJY48" s="2">
        <v>6.9</v>
      </c>
      <c r="AJZ48" s="2">
        <v>6.6</v>
      </c>
      <c r="AKA48" s="2">
        <v>0.3</v>
      </c>
      <c r="AKB48" s="2">
        <v>-4.7</v>
      </c>
      <c r="AKC48" s="2">
        <v>5</v>
      </c>
      <c r="AKD48" s="2">
        <v>1.9</v>
      </c>
      <c r="AKE48" s="2">
        <v>-4.2</v>
      </c>
      <c r="AKF48" s="2">
        <v>-5.6</v>
      </c>
      <c r="AKG48" s="2">
        <v>3.3</v>
      </c>
      <c r="AKH48" s="2">
        <v>1.4</v>
      </c>
      <c r="AKI48" s="2">
        <v>2.5</v>
      </c>
      <c r="AKJ48" s="2">
        <v>-5.5</v>
      </c>
      <c r="AKK48" s="2">
        <v>2.9</v>
      </c>
      <c r="AKL48" s="2">
        <v>0.2</v>
      </c>
      <c r="AKM48" s="2">
        <v>0.7</v>
      </c>
      <c r="AKN48" s="2">
        <v>-2.2</v>
      </c>
      <c r="AKO48" s="2">
        <v>-0.1</v>
      </c>
      <c r="AKP48" s="2">
        <v>1.18</v>
      </c>
      <c r="AKQ48" s="2">
        <v>1.15</v>
      </c>
      <c r="AKR48" s="2">
        <v>1.15</v>
      </c>
    </row>
    <row r="49">
      <c r="A49" t="inlineStr">
        <is>
          <t>Carpets and other floor coverings</t>
        </is>
      </c>
      <c r="B49" t="inlineStr">
        <is>
          <t>Furniture and furnishings</t>
        </is>
      </c>
      <c r="C49">
        <v>3</v>
      </c>
      <c r="D49">
        <v>0.26</v>
      </c>
      <c r="E49" s="3">
        <f>D49/1.45*0.014518377693282637</f>
        <v>0.0026032953105196454</v>
      </c>
      <c r="F49" s="3">
        <f>E49-D49/100</f>
        <v>3.295310519645534e-06</v>
      </c>
      <c r="G49" s="3">
        <f>D49/1.45</f>
        <v>0.17931034482758623</v>
      </c>
      <c r="CI49" s="2">
        <v>98.75</v>
      </c>
      <c r="CJ49" s="2">
        <v>97.5</v>
      </c>
      <c r="CK49" s="2">
        <v>97.90000000000001</v>
      </c>
      <c r="CL49" s="2">
        <v>98.28</v>
      </c>
      <c r="CM49" s="2">
        <v>98.26000000000001</v>
      </c>
      <c r="CN49" s="2">
        <v>98.36</v>
      </c>
      <c r="CO49" s="2">
        <v>97.58</v>
      </c>
      <c r="CP49" s="2">
        <v>97.95999999999999</v>
      </c>
      <c r="CQ49" s="2">
        <v>98.48999999999999</v>
      </c>
      <c r="CR49" s="2">
        <v>97.23999999999999</v>
      </c>
      <c r="CS49" s="2">
        <v>98.05</v>
      </c>
      <c r="CT49" s="2">
        <v>98.14</v>
      </c>
      <c r="CU49" s="2">
        <v>97.81</v>
      </c>
      <c r="CV49" s="2">
        <v>98.22</v>
      </c>
      <c r="CW49" s="2">
        <v>97.22</v>
      </c>
      <c r="CX49" s="2">
        <v>98.94</v>
      </c>
      <c r="CY49" s="2">
        <v>99.88</v>
      </c>
      <c r="CZ49" s="2">
        <v>100</v>
      </c>
      <c r="DA49" s="2">
        <v>99.38</v>
      </c>
      <c r="DB49" s="2">
        <v>99.26000000000001</v>
      </c>
      <c r="DC49" s="2">
        <v>100.15</v>
      </c>
      <c r="DD49" s="2">
        <v>99.97</v>
      </c>
      <c r="DE49" s="2">
        <v>100.75</v>
      </c>
      <c r="DF49" s="2">
        <v>101.6</v>
      </c>
      <c r="DG49" s="2">
        <v>101.04</v>
      </c>
      <c r="DH49" s="2">
        <v>100.72</v>
      </c>
      <c r="DI49" s="2">
        <v>100.81</v>
      </c>
      <c r="DJ49" s="2">
        <v>102.44</v>
      </c>
      <c r="GL49" s="2">
        <v>-1</v>
      </c>
      <c r="GM49" s="2">
        <v>0.7</v>
      </c>
      <c r="GN49" s="2">
        <v>-0.7</v>
      </c>
      <c r="GO49" s="2">
        <v>0.7</v>
      </c>
      <c r="GP49" s="2">
        <v>1.6</v>
      </c>
      <c r="GQ49" s="2">
        <v>1.7</v>
      </c>
      <c r="GR49" s="2">
        <v>1.8</v>
      </c>
      <c r="GS49" s="2">
        <v>1.3</v>
      </c>
      <c r="GT49" s="2">
        <v>1.7</v>
      </c>
      <c r="GU49" s="2">
        <v>2.8</v>
      </c>
      <c r="GV49" s="2">
        <v>2.8</v>
      </c>
      <c r="GW49" s="2">
        <v>3.5</v>
      </c>
      <c r="GX49" s="2">
        <v>3.3</v>
      </c>
      <c r="GY49" s="2">
        <v>2.5</v>
      </c>
      <c r="GZ49" s="2">
        <v>3.7</v>
      </c>
      <c r="HA49" s="2">
        <v>3.5</v>
      </c>
      <c r="KC49" s="2">
        <v>-1.3</v>
      </c>
      <c r="KD49" s="2">
        <v>0.4</v>
      </c>
      <c r="KE49" s="2">
        <v>0.4</v>
      </c>
      <c r="KF49" s="2">
        <v>0</v>
      </c>
      <c r="KG49" s="2">
        <v>0.1</v>
      </c>
      <c r="KH49" s="2">
        <v>-0.8</v>
      </c>
      <c r="KI49" s="2">
        <v>0.4</v>
      </c>
      <c r="KJ49" s="2">
        <v>0.5</v>
      </c>
      <c r="KK49" s="2">
        <v>-1.3</v>
      </c>
      <c r="KL49" s="2">
        <v>0.8</v>
      </c>
      <c r="KM49" s="2">
        <v>0.1</v>
      </c>
      <c r="KN49" s="2">
        <v>-0.3</v>
      </c>
      <c r="KO49" s="2">
        <v>0.4</v>
      </c>
      <c r="KP49" s="2">
        <v>-1</v>
      </c>
      <c r="KQ49" s="2">
        <v>1.8</v>
      </c>
      <c r="KR49" s="2">
        <v>1</v>
      </c>
      <c r="KS49" s="2">
        <v>0.1</v>
      </c>
      <c r="KT49" s="2">
        <v>-0.6</v>
      </c>
      <c r="KU49" s="2">
        <v>-0.1</v>
      </c>
      <c r="KV49" s="2">
        <v>0.9</v>
      </c>
      <c r="KW49" s="2">
        <v>-0.2</v>
      </c>
      <c r="KX49" s="2">
        <v>0.8</v>
      </c>
      <c r="KY49" s="2">
        <v>0.8</v>
      </c>
      <c r="KZ49" s="2">
        <v>-0.6</v>
      </c>
      <c r="LA49" s="2">
        <v>-0.3</v>
      </c>
      <c r="LB49" s="2">
        <v>0.1</v>
      </c>
      <c r="LC49" s="2">
        <v>1.6</v>
      </c>
      <c r="LD49" s="2">
        <v>0.25</v>
      </c>
      <c r="LE49" s="2">
        <v>0.25</v>
      </c>
      <c r="LF49" s="2">
        <v>0.25</v>
      </c>
      <c r="LG49" s="2">
        <v>0.25</v>
      </c>
      <c r="LH49" s="2">
        <v>0.25</v>
      </c>
      <c r="LI49" s="2">
        <v>0.25</v>
      </c>
      <c r="LJ49" s="2">
        <v>0.25</v>
      </c>
      <c r="LK49" s="2">
        <v>0.26</v>
      </c>
      <c r="LL49" s="2">
        <v>0.26</v>
      </c>
      <c r="LM49" s="2">
        <v>0.26</v>
      </c>
      <c r="LN49" s="2">
        <v>0.26</v>
      </c>
      <c r="LO49" s="2">
        <v>0.26</v>
      </c>
      <c r="LP49" s="2">
        <v>0.26</v>
      </c>
      <c r="LQ49" s="2">
        <v>0.26</v>
      </c>
      <c r="LR49" s="2">
        <v>0.26</v>
      </c>
      <c r="LS49" s="2">
        <v>0.26</v>
      </c>
      <c r="LT49" s="2">
        <v>0.26</v>
      </c>
      <c r="LU49" s="2">
        <v>0.26</v>
      </c>
      <c r="LV49" s="2">
        <v>0.26</v>
      </c>
      <c r="LW49" s="2">
        <v>0.26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0.01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RO49" s="2">
        <v>22.08</v>
      </c>
      <c r="RP49" s="2">
        <v>22.61</v>
      </c>
      <c r="RQ49" s="2">
        <v>22.79</v>
      </c>
      <c r="RR49" s="2">
        <v>23.45</v>
      </c>
      <c r="RS49" s="2">
        <v>23.67</v>
      </c>
      <c r="RT49" s="2">
        <v>24.25</v>
      </c>
      <c r="RU49" s="2">
        <v>24.65</v>
      </c>
      <c r="RV49" s="2">
        <v>24.83</v>
      </c>
      <c r="RW49" s="2">
        <v>25.63</v>
      </c>
      <c r="RX49" s="2">
        <v>26.07</v>
      </c>
      <c r="RY49" s="2">
        <v>26.29</v>
      </c>
      <c r="RZ49" s="2">
        <v>26.96</v>
      </c>
      <c r="SA49" s="2">
        <v>27.27</v>
      </c>
      <c r="SB49" s="2">
        <v>27.8</v>
      </c>
      <c r="SC49" s="2">
        <v>28.02</v>
      </c>
      <c r="SD49" s="2">
        <v>28.42</v>
      </c>
      <c r="SE49" s="2">
        <v>28.68</v>
      </c>
      <c r="SF49" s="2">
        <v>28.99</v>
      </c>
      <c r="SG49" s="2">
        <v>29.39</v>
      </c>
      <c r="SH49" s="2">
        <v>30.06</v>
      </c>
      <c r="SI49" s="2">
        <v>31.43</v>
      </c>
      <c r="SJ49" s="2">
        <v>32.99</v>
      </c>
      <c r="SK49" s="2">
        <v>33.61</v>
      </c>
      <c r="SL49" s="2">
        <v>34</v>
      </c>
      <c r="SM49" s="2">
        <v>34.23</v>
      </c>
      <c r="SN49" s="2">
        <v>34.85</v>
      </c>
      <c r="SO49" s="2">
        <v>35.29</v>
      </c>
      <c r="SP49" s="2">
        <v>36.31</v>
      </c>
      <c r="SQ49" s="2">
        <v>37.15</v>
      </c>
      <c r="SR49" s="2">
        <v>38.26</v>
      </c>
      <c r="SS49" s="2">
        <v>39.15</v>
      </c>
      <c r="ST49" s="2">
        <v>40.48</v>
      </c>
      <c r="SU49" s="2">
        <v>40.79</v>
      </c>
      <c r="SV49" s="2">
        <v>41.72</v>
      </c>
      <c r="SW49" s="2">
        <v>42.21</v>
      </c>
      <c r="SX49" s="2">
        <v>42.69</v>
      </c>
      <c r="SY49" s="2">
        <v>43.05</v>
      </c>
      <c r="SZ49" s="2">
        <v>43.98</v>
      </c>
      <c r="TA49" s="2">
        <v>44.96</v>
      </c>
      <c r="TB49" s="2">
        <v>45.35</v>
      </c>
      <c r="TC49" s="2">
        <v>45.93</v>
      </c>
      <c r="TD49" s="2">
        <v>46.11</v>
      </c>
      <c r="TE49" s="2">
        <v>46.15</v>
      </c>
      <c r="TF49" s="2">
        <v>45.84</v>
      </c>
      <c r="TG49" s="2">
        <v>45.84</v>
      </c>
      <c r="TH49" s="2">
        <v>45.44</v>
      </c>
      <c r="TI49" s="2">
        <v>45.84</v>
      </c>
      <c r="TJ49" s="2">
        <v>45.31</v>
      </c>
      <c r="TK49" s="2">
        <v>44.91</v>
      </c>
      <c r="TL49" s="2">
        <v>44.78</v>
      </c>
      <c r="TM49" s="2">
        <v>44.91</v>
      </c>
      <c r="TN49" s="2">
        <v>45.44</v>
      </c>
      <c r="TO49" s="2">
        <v>45.31</v>
      </c>
      <c r="TP49" s="2">
        <v>45.66</v>
      </c>
      <c r="TQ49" s="2">
        <v>45.8</v>
      </c>
      <c r="TR49" s="2">
        <v>45.89</v>
      </c>
      <c r="TS49" s="2">
        <v>46.73</v>
      </c>
      <c r="TT49" s="2">
        <v>46.37</v>
      </c>
      <c r="TU49" s="2">
        <v>46.73</v>
      </c>
      <c r="TV49" s="2">
        <v>46.82</v>
      </c>
      <c r="TW49" s="2">
        <v>47.48</v>
      </c>
      <c r="TX49" s="2">
        <v>47.44</v>
      </c>
      <c r="TY49" s="2">
        <v>47.57</v>
      </c>
      <c r="TZ49" s="2">
        <v>47.97</v>
      </c>
      <c r="UA49" s="2">
        <v>48.19</v>
      </c>
      <c r="UB49" s="2">
        <v>48.41</v>
      </c>
      <c r="UC49" s="2">
        <v>48.64</v>
      </c>
      <c r="UD49" s="2">
        <v>48.68</v>
      </c>
      <c r="UE49" s="2">
        <v>48.59</v>
      </c>
      <c r="UF49" s="2">
        <v>48.81</v>
      </c>
      <c r="UG49" s="2">
        <v>49.17</v>
      </c>
      <c r="UH49" s="2">
        <v>49.79</v>
      </c>
      <c r="UI49" s="2">
        <v>49.83</v>
      </c>
      <c r="UJ49" s="2">
        <v>50.23</v>
      </c>
      <c r="UK49" s="2">
        <v>49.97</v>
      </c>
      <c r="UL49" s="2">
        <v>49.57</v>
      </c>
      <c r="UM49" s="2">
        <v>49.74</v>
      </c>
      <c r="UN49" s="2">
        <v>50.23</v>
      </c>
      <c r="UO49" s="2">
        <v>49.83</v>
      </c>
      <c r="UP49" s="2">
        <v>50.36</v>
      </c>
      <c r="UQ49" s="2">
        <v>53.16</v>
      </c>
      <c r="UR49" s="2">
        <v>53.33</v>
      </c>
      <c r="US49" s="2">
        <v>53.47</v>
      </c>
      <c r="UT49" s="2">
        <v>55.02</v>
      </c>
      <c r="UU49" s="2">
        <v>55.55</v>
      </c>
      <c r="UV49" s="2">
        <v>55.64</v>
      </c>
      <c r="UW49" s="2">
        <v>55.86</v>
      </c>
      <c r="UX49" s="2">
        <v>57.19</v>
      </c>
      <c r="UY49" s="2">
        <v>58.17</v>
      </c>
      <c r="UZ49" s="2">
        <v>59.05</v>
      </c>
      <c r="VA49" s="2">
        <v>59.36</v>
      </c>
      <c r="VB49" s="2">
        <v>60.92</v>
      </c>
      <c r="VC49" s="2">
        <v>61.54</v>
      </c>
      <c r="VD49" s="2">
        <v>61.63</v>
      </c>
      <c r="VE49" s="2">
        <v>61.67</v>
      </c>
      <c r="VF49" s="2">
        <v>62.33</v>
      </c>
      <c r="VG49" s="2">
        <v>62.78</v>
      </c>
      <c r="VH49" s="2">
        <v>62.96</v>
      </c>
      <c r="VI49" s="2">
        <v>63.27</v>
      </c>
      <c r="VJ49" s="2">
        <v>63.89</v>
      </c>
      <c r="VK49" s="2">
        <v>64.59999999999999</v>
      </c>
      <c r="VL49" s="2">
        <v>64.91</v>
      </c>
      <c r="VM49" s="2">
        <v>64.77</v>
      </c>
      <c r="VN49" s="2">
        <v>65.22</v>
      </c>
      <c r="VO49" s="2">
        <v>65.56999999999999</v>
      </c>
      <c r="VP49" s="2">
        <v>65.88</v>
      </c>
      <c r="VQ49" s="2">
        <v>66.28</v>
      </c>
      <c r="VR49" s="2">
        <v>66.15000000000001</v>
      </c>
      <c r="VS49" s="2">
        <v>66.37</v>
      </c>
      <c r="VT49" s="2">
        <v>66.37</v>
      </c>
      <c r="VU49" s="2">
        <v>66.72</v>
      </c>
      <c r="VV49" s="2">
        <v>67.56999999999999</v>
      </c>
      <c r="VW49" s="2">
        <v>67.92</v>
      </c>
      <c r="VX49" s="2">
        <v>68.41</v>
      </c>
      <c r="VY49" s="2">
        <v>70.09</v>
      </c>
      <c r="VZ49" s="2">
        <v>71.73</v>
      </c>
      <c r="WA49" s="2">
        <v>72.34999999999999</v>
      </c>
      <c r="WB49" s="2">
        <v>71.59999999999999</v>
      </c>
      <c r="WC49" s="2">
        <v>71.56</v>
      </c>
      <c r="WD49" s="2">
        <v>71.69</v>
      </c>
      <c r="WE49" s="2">
        <v>72.13</v>
      </c>
      <c r="WF49" s="2">
        <v>71.64</v>
      </c>
      <c r="WG49" s="2">
        <v>71.02</v>
      </c>
      <c r="WH49" s="2">
        <v>71.47</v>
      </c>
      <c r="WI49" s="2">
        <v>71.81</v>
      </c>
      <c r="WJ49" s="2">
        <v>72.12</v>
      </c>
      <c r="WK49" s="2">
        <v>72.16</v>
      </c>
      <c r="WL49" s="2">
        <v>71.83</v>
      </c>
      <c r="WM49" s="2">
        <v>71.54000000000001</v>
      </c>
      <c r="WN49" s="2">
        <v>71.78</v>
      </c>
      <c r="WO49" s="2">
        <v>71.29000000000001</v>
      </c>
      <c r="WP49" s="2">
        <v>71.52</v>
      </c>
      <c r="WQ49" s="2">
        <v>71.89</v>
      </c>
      <c r="WR49" s="2">
        <v>72.05</v>
      </c>
      <c r="WS49" s="2">
        <v>73.11</v>
      </c>
      <c r="WT49" s="2">
        <v>72.7</v>
      </c>
      <c r="WU49" s="2">
        <v>73.09</v>
      </c>
      <c r="WV49" s="2">
        <v>73.31</v>
      </c>
      <c r="WW49" s="2">
        <v>72.45999999999999</v>
      </c>
      <c r="WX49" s="2">
        <v>74.63</v>
      </c>
      <c r="WY49" s="2">
        <v>75.3</v>
      </c>
      <c r="WZ49" s="2">
        <v>76.13</v>
      </c>
      <c r="XA49" s="2">
        <v>76.78</v>
      </c>
      <c r="XB49" s="2">
        <v>77.23</v>
      </c>
      <c r="XC49" s="2">
        <v>77.19</v>
      </c>
      <c r="XD49" s="2">
        <v>77.02</v>
      </c>
      <c r="XE49" s="2">
        <v>76.47</v>
      </c>
      <c r="XF49" s="2">
        <v>77.76000000000001</v>
      </c>
      <c r="XG49" s="2">
        <v>77.56999999999999</v>
      </c>
      <c r="XH49" s="2">
        <v>77.64</v>
      </c>
      <c r="XI49" s="2">
        <v>77.34999999999999</v>
      </c>
      <c r="XJ49" s="2">
        <v>78.27</v>
      </c>
      <c r="XK49" s="2">
        <v>78.47</v>
      </c>
      <c r="XL49" s="2">
        <v>78.48999999999999</v>
      </c>
      <c r="XM49" s="2">
        <v>78.59999999999999</v>
      </c>
      <c r="XN49" s="2">
        <v>79.59999999999999</v>
      </c>
      <c r="XO49" s="2">
        <v>79.92</v>
      </c>
      <c r="XP49" s="2">
        <v>80.45</v>
      </c>
      <c r="XQ49" s="2">
        <v>80.64</v>
      </c>
      <c r="XR49" s="2">
        <v>81.41</v>
      </c>
      <c r="XS49" s="2">
        <v>82.84</v>
      </c>
      <c r="XT49" s="2">
        <v>83.05</v>
      </c>
      <c r="XU49" s="2">
        <v>81.67</v>
      </c>
      <c r="XV49" s="2">
        <v>82.61</v>
      </c>
      <c r="XW49" s="2">
        <v>83.52</v>
      </c>
      <c r="XX49" s="2">
        <v>83.79000000000001</v>
      </c>
      <c r="XY49" s="2">
        <v>85.75</v>
      </c>
      <c r="XZ49" s="2">
        <v>88.31999999999999</v>
      </c>
      <c r="YA49" s="2">
        <v>92.17</v>
      </c>
      <c r="YB49" s="2">
        <v>94.81999999999999</v>
      </c>
      <c r="YC49" s="2">
        <v>96.73</v>
      </c>
      <c r="YD49" s="2">
        <v>97.45</v>
      </c>
      <c r="YE49" s="2">
        <v>98.68000000000001</v>
      </c>
      <c r="YF49" s="2">
        <v>98.65000000000001</v>
      </c>
      <c r="YG49" s="2">
        <v>99.04000000000001</v>
      </c>
      <c r="YH49" s="2">
        <v>99.58</v>
      </c>
      <c r="YI49" s="2">
        <v>99.51000000000001</v>
      </c>
      <c r="YJ49" s="2">
        <v>98.73</v>
      </c>
      <c r="YK49" s="2">
        <v>98.41</v>
      </c>
      <c r="YL49" s="2">
        <v>98.81</v>
      </c>
      <c r="YM49" s="2">
        <v>99.61</v>
      </c>
      <c r="YN49" s="2">
        <v>99.59999999999999</v>
      </c>
      <c r="YO49" s="2">
        <v>100.77</v>
      </c>
      <c r="YP49" s="2">
        <v>100.86</v>
      </c>
      <c r="ADO49" s="2">
        <v>2.4</v>
      </c>
      <c r="ADP49" s="2">
        <v>0.8</v>
      </c>
      <c r="ADQ49" s="2">
        <v>2.9</v>
      </c>
      <c r="ADR49" s="2">
        <v>0.9</v>
      </c>
      <c r="ADS49" s="2">
        <v>2.5</v>
      </c>
      <c r="ADT49" s="2">
        <v>1.6</v>
      </c>
      <c r="ADU49" s="2">
        <v>0.7</v>
      </c>
      <c r="ADV49" s="2">
        <v>3.2</v>
      </c>
      <c r="ADW49" s="2">
        <v>1.7</v>
      </c>
      <c r="ADX49" s="2">
        <v>0.8</v>
      </c>
      <c r="ADY49" s="2">
        <v>2.5</v>
      </c>
      <c r="ADZ49" s="2">
        <v>1.1</v>
      </c>
      <c r="AEA49" s="2">
        <v>1.9</v>
      </c>
      <c r="AEB49" s="2">
        <v>0.8</v>
      </c>
      <c r="AEC49" s="2">
        <v>1.4</v>
      </c>
      <c r="AED49" s="2">
        <v>0.9</v>
      </c>
      <c r="AEE49" s="2">
        <v>1.1</v>
      </c>
      <c r="AEF49" s="2">
        <v>1.4</v>
      </c>
      <c r="AEG49" s="2">
        <v>2.3</v>
      </c>
      <c r="AEH49" s="2">
        <v>4.6</v>
      </c>
      <c r="AEI49" s="2">
        <v>5</v>
      </c>
      <c r="AEJ49" s="2">
        <v>1.9</v>
      </c>
      <c r="AEK49" s="2">
        <v>1.2</v>
      </c>
      <c r="AEL49" s="2">
        <v>0.7</v>
      </c>
      <c r="AEM49" s="2">
        <v>1.8</v>
      </c>
      <c r="AEN49" s="2">
        <v>1.3</v>
      </c>
      <c r="AEO49" s="2">
        <v>2.9</v>
      </c>
      <c r="AEP49" s="2">
        <v>2.3</v>
      </c>
      <c r="AEQ49" s="2">
        <v>3</v>
      </c>
      <c r="AER49" s="2">
        <v>2.3</v>
      </c>
      <c r="AES49" s="2">
        <v>3.4</v>
      </c>
      <c r="AET49" s="2">
        <v>0.8</v>
      </c>
      <c r="AEU49" s="2">
        <v>2.3</v>
      </c>
      <c r="AEV49" s="2">
        <v>1.2</v>
      </c>
      <c r="AEW49" s="2">
        <v>1.1</v>
      </c>
      <c r="AEX49" s="2">
        <v>0.8</v>
      </c>
      <c r="AEY49" s="2">
        <v>2.2</v>
      </c>
      <c r="AEZ49" s="2">
        <v>2.2</v>
      </c>
      <c r="AFA49" s="2">
        <v>0.9</v>
      </c>
      <c r="AFB49" s="2">
        <v>1.3</v>
      </c>
      <c r="AFC49" s="2">
        <v>0.4</v>
      </c>
      <c r="AFD49" s="2">
        <v>0.1</v>
      </c>
      <c r="AFE49" s="2">
        <v>-0.7</v>
      </c>
      <c r="AFF49" s="2">
        <v>0</v>
      </c>
      <c r="AFG49" s="2">
        <v>-0.9</v>
      </c>
      <c r="AFH49" s="2">
        <v>0.9</v>
      </c>
      <c r="AFI49" s="2">
        <v>-1.2</v>
      </c>
      <c r="AFJ49" s="2">
        <v>-0.9</v>
      </c>
      <c r="AFK49" s="2">
        <v>-0.3</v>
      </c>
      <c r="AFL49" s="2">
        <v>0.3</v>
      </c>
      <c r="AFM49" s="2">
        <v>1.2</v>
      </c>
      <c r="AFN49" s="2">
        <v>-0.3</v>
      </c>
      <c r="AFO49" s="2">
        <v>0.8</v>
      </c>
      <c r="AFP49" s="2">
        <v>0.3</v>
      </c>
      <c r="AFQ49" s="2">
        <v>0.2</v>
      </c>
      <c r="AFR49" s="2">
        <v>1.8</v>
      </c>
      <c r="AFS49" s="2">
        <v>-0.8</v>
      </c>
      <c r="AFT49" s="2">
        <v>0.8</v>
      </c>
      <c r="AFU49" s="2">
        <v>0.2</v>
      </c>
      <c r="AFV49" s="2">
        <v>1.4</v>
      </c>
      <c r="AFW49" s="2">
        <v>-0.1</v>
      </c>
      <c r="AFX49" s="2">
        <v>0.3</v>
      </c>
      <c r="AFY49" s="2">
        <v>0.8</v>
      </c>
      <c r="AFZ49" s="2">
        <v>0.5</v>
      </c>
      <c r="AGA49" s="2">
        <v>0.5</v>
      </c>
      <c r="AGB49" s="2">
        <v>0.5</v>
      </c>
      <c r="AGC49" s="2">
        <v>0.1</v>
      </c>
      <c r="AGD49" s="2">
        <v>-0.2</v>
      </c>
      <c r="AGE49" s="2">
        <v>0.5</v>
      </c>
      <c r="AGF49" s="2">
        <v>0.7</v>
      </c>
      <c r="AGG49" s="2">
        <v>1.3</v>
      </c>
      <c r="AGH49" s="2">
        <v>0.1</v>
      </c>
      <c r="AGI49" s="2">
        <v>0.8</v>
      </c>
      <c r="AGJ49" s="2">
        <v>-0.5</v>
      </c>
      <c r="AGK49" s="2">
        <v>-0.8</v>
      </c>
      <c r="AGL49" s="2">
        <v>0.3</v>
      </c>
      <c r="AGM49" s="2">
        <v>1</v>
      </c>
      <c r="AGN49" s="2">
        <v>-0.8</v>
      </c>
      <c r="AGO49" s="2">
        <v>1.1</v>
      </c>
      <c r="AGP49" s="2">
        <v>5.6</v>
      </c>
      <c r="AGQ49" s="2">
        <v>0.3</v>
      </c>
      <c r="AGR49" s="2">
        <v>0.3</v>
      </c>
      <c r="AGS49" s="2">
        <v>2.9</v>
      </c>
      <c r="AGT49" s="2">
        <v>1</v>
      </c>
      <c r="AGU49" s="2">
        <v>0.2</v>
      </c>
      <c r="AGV49" s="2">
        <v>0.4</v>
      </c>
      <c r="AGW49" s="2">
        <v>2.4</v>
      </c>
      <c r="AGX49" s="2">
        <v>1.7</v>
      </c>
      <c r="AGY49" s="2">
        <v>1.5</v>
      </c>
      <c r="AGZ49" s="2">
        <v>0.5</v>
      </c>
      <c r="AHA49" s="2">
        <v>2.6</v>
      </c>
      <c r="AHB49" s="2">
        <v>1</v>
      </c>
      <c r="AHC49" s="2">
        <v>0.1</v>
      </c>
      <c r="AHD49" s="2">
        <v>0.1</v>
      </c>
      <c r="AHE49" s="2">
        <v>1.1</v>
      </c>
      <c r="AHF49" s="2">
        <v>0.7</v>
      </c>
      <c r="AHG49" s="2">
        <v>0.3</v>
      </c>
      <c r="AHH49" s="2">
        <v>0.5</v>
      </c>
      <c r="AHI49" s="2">
        <v>1</v>
      </c>
      <c r="AHJ49" s="2">
        <v>1.1</v>
      </c>
      <c r="AHK49" s="2">
        <v>0.5</v>
      </c>
      <c r="AHL49" s="2">
        <v>-0.2</v>
      </c>
      <c r="AHM49" s="2">
        <v>0.7</v>
      </c>
      <c r="AHN49" s="2">
        <v>0.5</v>
      </c>
      <c r="AHO49" s="2">
        <v>0.5</v>
      </c>
      <c r="AHP49" s="2">
        <v>0.6</v>
      </c>
      <c r="AHQ49" s="2">
        <v>-0.2</v>
      </c>
      <c r="AHR49" s="2">
        <v>0.3</v>
      </c>
      <c r="AHS49" s="2">
        <v>0</v>
      </c>
      <c r="AHT49" s="2">
        <v>0.5</v>
      </c>
      <c r="AHU49" s="2">
        <v>1.3</v>
      </c>
      <c r="AHV49" s="2">
        <v>0.5</v>
      </c>
      <c r="AHW49" s="2">
        <v>0.7</v>
      </c>
      <c r="AHX49" s="2">
        <v>2.5</v>
      </c>
      <c r="AHY49" s="2">
        <v>2.3</v>
      </c>
      <c r="AHZ49" s="2">
        <v>0.9</v>
      </c>
      <c r="AIA49" s="2">
        <v>-1</v>
      </c>
      <c r="AIB49" s="2">
        <v>-0.1</v>
      </c>
      <c r="AIC49" s="2">
        <v>0.2</v>
      </c>
      <c r="AID49" s="2">
        <v>0.6</v>
      </c>
      <c r="AIE49" s="2">
        <v>-0.7</v>
      </c>
      <c r="AIF49" s="2">
        <v>-0.9</v>
      </c>
      <c r="AIG49" s="2">
        <v>0.6</v>
      </c>
      <c r="AIH49" s="2">
        <v>0.5</v>
      </c>
      <c r="AII49" s="2">
        <v>0.4</v>
      </c>
      <c r="AIJ49" s="2">
        <v>0.1</v>
      </c>
      <c r="AIK49" s="2">
        <v>-0.5</v>
      </c>
      <c r="AIL49" s="2">
        <v>-0.4</v>
      </c>
      <c r="AIM49" s="2">
        <v>0.3</v>
      </c>
      <c r="AIN49" s="2">
        <v>-0.7</v>
      </c>
      <c r="AIO49" s="2">
        <v>0.3</v>
      </c>
      <c r="AIP49" s="2">
        <v>0.5</v>
      </c>
      <c r="AIQ49" s="2">
        <v>0.2</v>
      </c>
      <c r="AIR49" s="2">
        <v>1.5</v>
      </c>
      <c r="AIS49" s="2">
        <v>-0.6</v>
      </c>
      <c r="AIT49" s="2">
        <v>0.5</v>
      </c>
      <c r="AIU49" s="2">
        <v>0.3</v>
      </c>
      <c r="AIV49" s="2">
        <v>-1.2</v>
      </c>
      <c r="AIW49" s="2">
        <v>3</v>
      </c>
      <c r="AIX49" s="2">
        <v>0.9</v>
      </c>
      <c r="AIY49" s="2">
        <v>1.1</v>
      </c>
      <c r="AIZ49" s="2">
        <v>0.9</v>
      </c>
      <c r="AJA49" s="2">
        <v>0.6</v>
      </c>
      <c r="AJB49" s="2">
        <v>-0.1</v>
      </c>
      <c r="AJC49" s="2">
        <v>-0.2</v>
      </c>
      <c r="AJD49" s="2">
        <v>-0.7</v>
      </c>
      <c r="AJE49" s="2">
        <v>1.7</v>
      </c>
      <c r="AJF49" s="2">
        <v>-0.2</v>
      </c>
      <c r="AJG49" s="2">
        <v>0.1</v>
      </c>
      <c r="AJH49" s="2">
        <v>-0.4</v>
      </c>
      <c r="AJI49" s="2">
        <v>1.2</v>
      </c>
      <c r="AJJ49" s="2">
        <v>0.3</v>
      </c>
      <c r="AJK49" s="2">
        <v>0</v>
      </c>
      <c r="AJL49" s="2">
        <v>0.1</v>
      </c>
      <c r="AJM49" s="2">
        <v>1.3</v>
      </c>
      <c r="AJN49" s="2">
        <v>0.4</v>
      </c>
      <c r="AJO49" s="2">
        <v>0.7</v>
      </c>
      <c r="AJP49" s="2">
        <v>0.2</v>
      </c>
      <c r="AJQ49" s="2">
        <v>1</v>
      </c>
      <c r="AJR49" s="2">
        <v>1.8</v>
      </c>
      <c r="AJS49" s="2">
        <v>0.3</v>
      </c>
      <c r="AJT49" s="2">
        <v>-1.7</v>
      </c>
      <c r="AJU49" s="2">
        <v>1.2</v>
      </c>
      <c r="AJV49" s="2">
        <v>1.1</v>
      </c>
      <c r="AJW49" s="2">
        <v>0.3</v>
      </c>
      <c r="AJX49" s="2">
        <v>2.3</v>
      </c>
      <c r="AJY49" s="2">
        <v>3</v>
      </c>
      <c r="AJZ49" s="2">
        <v>4.4</v>
      </c>
      <c r="AKA49" s="2">
        <v>2.9</v>
      </c>
      <c r="AKB49" s="2">
        <v>2</v>
      </c>
      <c r="AKC49" s="2">
        <v>0.7</v>
      </c>
      <c r="AKD49" s="2">
        <v>1.3</v>
      </c>
      <c r="AKE49" s="2">
        <v>0</v>
      </c>
      <c r="AKF49" s="2">
        <v>0.4</v>
      </c>
      <c r="AKG49" s="2">
        <v>0.5</v>
      </c>
      <c r="AKH49" s="2">
        <v>-0.1</v>
      </c>
      <c r="AKI49" s="2">
        <v>-0.8</v>
      </c>
      <c r="AKJ49" s="2">
        <v>-0.3</v>
      </c>
      <c r="AKK49" s="2">
        <v>0.4</v>
      </c>
      <c r="AKL49" s="2">
        <v>0.8</v>
      </c>
      <c r="AKM49" s="2">
        <v>0</v>
      </c>
      <c r="AKN49" s="2">
        <v>1.2</v>
      </c>
      <c r="AKO49" s="2">
        <v>0.1</v>
      </c>
      <c r="AKP49" s="2">
        <v>0.26</v>
      </c>
      <c r="AKQ49" s="2">
        <v>0.26</v>
      </c>
      <c r="AKR49" s="2">
        <v>0.26</v>
      </c>
    </row>
    <row r="50">
      <c r="A50" t="inlineStr">
        <is>
          <t>Household textiles</t>
        </is>
      </c>
      <c r="B50" t="inlineStr">
        <is>
          <t>Household textiles</t>
        </is>
      </c>
      <c r="C50">
        <v>3</v>
      </c>
      <c r="D50">
        <v>0.43</v>
      </c>
      <c r="E50" s="3">
        <f>D50/0.43*0.004305449936628644</f>
        <v>0.004305449936628644</v>
      </c>
      <c r="F50" s="3">
        <f>E50-D50/100</f>
        <v>5.44993662864382e-06</v>
      </c>
      <c r="G50" s="3">
        <f>D50/0.43</f>
        <v>1.0</v>
      </c>
      <c r="CI50" s="2">
        <v>99.59999999999999</v>
      </c>
      <c r="CJ50" s="2">
        <v>99.7</v>
      </c>
      <c r="CK50" s="2">
        <v>93.37</v>
      </c>
      <c r="CL50" s="2">
        <v>100.57</v>
      </c>
      <c r="CM50" s="2">
        <v>105.51</v>
      </c>
      <c r="CN50" s="2">
        <v>100.02</v>
      </c>
      <c r="CO50" s="2">
        <v>98.13</v>
      </c>
      <c r="CP50" s="2">
        <v>104.45</v>
      </c>
      <c r="CQ50" s="2">
        <v>92.15000000000001</v>
      </c>
      <c r="CR50" s="2">
        <v>94.63</v>
      </c>
      <c r="CS50" s="2">
        <v>100.15</v>
      </c>
      <c r="CT50" s="2">
        <v>100.34</v>
      </c>
      <c r="CU50" s="2">
        <v>98</v>
      </c>
      <c r="CV50" s="2">
        <v>100.09</v>
      </c>
      <c r="CW50" s="2">
        <v>93.09999999999999</v>
      </c>
      <c r="CX50" s="2">
        <v>102.45</v>
      </c>
      <c r="CY50" s="2">
        <v>101.48</v>
      </c>
      <c r="CZ50" s="2">
        <v>100</v>
      </c>
      <c r="DA50" s="2">
        <v>101.69</v>
      </c>
      <c r="DB50" s="2">
        <v>100.8</v>
      </c>
      <c r="DC50" s="2">
        <v>96.88</v>
      </c>
      <c r="DD50" s="2">
        <v>95.36</v>
      </c>
      <c r="DE50" s="2">
        <v>100.32</v>
      </c>
      <c r="DF50" s="2">
        <v>98.14</v>
      </c>
      <c r="DG50" s="2">
        <v>96.52</v>
      </c>
      <c r="DH50" s="2">
        <v>95.36</v>
      </c>
      <c r="DI50" s="2">
        <v>92.56999999999999</v>
      </c>
      <c r="DJ50" s="2">
        <v>103.25</v>
      </c>
      <c r="GL50" s="2">
        <v>-1.6</v>
      </c>
      <c r="GM50" s="2">
        <v>0.4</v>
      </c>
      <c r="GN50" s="2">
        <v>-0.3</v>
      </c>
      <c r="GO50" s="2">
        <v>1.9</v>
      </c>
      <c r="GP50" s="2">
        <v>-3.8</v>
      </c>
      <c r="GQ50" s="2">
        <v>0</v>
      </c>
      <c r="GR50" s="2">
        <v>3.6</v>
      </c>
      <c r="GS50" s="2">
        <v>-3.5</v>
      </c>
      <c r="GT50" s="2">
        <v>5.1</v>
      </c>
      <c r="GU50" s="2">
        <v>0.8</v>
      </c>
      <c r="GV50" s="2">
        <v>0.2</v>
      </c>
      <c r="GW50" s="2">
        <v>-2.2</v>
      </c>
      <c r="GX50" s="2">
        <v>-1.5</v>
      </c>
      <c r="GY50" s="2">
        <v>-4.7</v>
      </c>
      <c r="GZ50" s="2">
        <v>-0.6</v>
      </c>
      <c r="HA50" s="2">
        <v>0.8</v>
      </c>
      <c r="KC50" s="2">
        <v>0.1</v>
      </c>
      <c r="KD50" s="2">
        <v>-6.3</v>
      </c>
      <c r="KE50" s="2">
        <v>7.7</v>
      </c>
      <c r="KF50" s="2">
        <v>4.9</v>
      </c>
      <c r="KG50" s="2">
        <v>-5.2</v>
      </c>
      <c r="KH50" s="2">
        <v>-1.9</v>
      </c>
      <c r="KI50" s="2">
        <v>6.4</v>
      </c>
      <c r="KJ50" s="2">
        <v>-11.8</v>
      </c>
      <c r="KK50" s="2">
        <v>2.7</v>
      </c>
      <c r="KL50" s="2">
        <v>5.8</v>
      </c>
      <c r="KM50" s="2">
        <v>0.2</v>
      </c>
      <c r="KN50" s="2">
        <v>-2.3</v>
      </c>
      <c r="KO50" s="2">
        <v>2.1</v>
      </c>
      <c r="KP50" s="2">
        <v>-7</v>
      </c>
      <c r="KQ50" s="2">
        <v>10</v>
      </c>
      <c r="KR50" s="2">
        <v>-0.9</v>
      </c>
      <c r="KS50" s="2">
        <v>-1.5</v>
      </c>
      <c r="KT50" s="2">
        <v>1.7</v>
      </c>
      <c r="KU50" s="2">
        <v>-0.9</v>
      </c>
      <c r="KV50" s="2">
        <v>-3.9</v>
      </c>
      <c r="KW50" s="2">
        <v>-1.6</v>
      </c>
      <c r="KX50" s="2">
        <v>5.2</v>
      </c>
      <c r="KY50" s="2">
        <v>-2.2</v>
      </c>
      <c r="KZ50" s="2">
        <v>-1.7</v>
      </c>
      <c r="LA50" s="2">
        <v>-1.2</v>
      </c>
      <c r="LB50" s="2">
        <v>-2.9</v>
      </c>
      <c r="LC50" s="2">
        <v>11.5</v>
      </c>
      <c r="LD50" s="2">
        <v>0.42</v>
      </c>
      <c r="LE50" s="2">
        <v>0.43</v>
      </c>
      <c r="LF50" s="2">
        <v>0.46</v>
      </c>
      <c r="LG50" s="2">
        <v>0.46</v>
      </c>
      <c r="LH50" s="2">
        <v>0.45</v>
      </c>
      <c r="LI50" s="2">
        <v>0.46</v>
      </c>
      <c r="LJ50" s="2">
        <v>0.42</v>
      </c>
      <c r="LK50" s="2">
        <v>0.47</v>
      </c>
      <c r="LL50" s="2">
        <v>0.46</v>
      </c>
      <c r="LM50" s="2">
        <v>0.46</v>
      </c>
      <c r="LN50" s="2">
        <v>0.46</v>
      </c>
      <c r="LO50" s="2">
        <v>0.46</v>
      </c>
      <c r="LP50" s="2">
        <v>0.44</v>
      </c>
      <c r="LQ50" s="2">
        <v>0.43</v>
      </c>
      <c r="LR50" s="2">
        <v>0.46</v>
      </c>
      <c r="LS50" s="2">
        <v>0.45</v>
      </c>
      <c r="LT50" s="2">
        <v>0.44</v>
      </c>
      <c r="LU50" s="2">
        <v>0.43</v>
      </c>
      <c r="LV50" s="2">
        <v>0.42</v>
      </c>
      <c r="LW50" s="2">
        <v>0.47</v>
      </c>
      <c r="LX50" s="2">
        <v>0.01</v>
      </c>
      <c r="LY50" s="2">
        <v>0.03</v>
      </c>
      <c r="LZ50" s="2">
        <v>0</v>
      </c>
      <c r="MA50" s="2">
        <v>-0.01</v>
      </c>
      <c r="MB50" s="2">
        <v>0.01</v>
      </c>
      <c r="MC50" s="2">
        <v>-0.04</v>
      </c>
      <c r="MD50" s="2">
        <v>0.05</v>
      </c>
      <c r="ME50" s="2">
        <v>-0.01</v>
      </c>
      <c r="MF50" s="2">
        <v>0</v>
      </c>
      <c r="MG50" s="2">
        <v>0</v>
      </c>
      <c r="MH50" s="2">
        <v>0</v>
      </c>
      <c r="MI50" s="2">
        <v>-0.02</v>
      </c>
      <c r="MJ50" s="2">
        <v>-0.01</v>
      </c>
      <c r="MK50" s="2">
        <v>0.03</v>
      </c>
      <c r="ML50" s="2">
        <v>-0.01</v>
      </c>
      <c r="MM50" s="2">
        <v>-0.01</v>
      </c>
      <c r="MN50" s="2">
        <v>-0.01</v>
      </c>
      <c r="MO50" s="2">
        <v>-0.01</v>
      </c>
      <c r="MP50" s="2">
        <v>0.05</v>
      </c>
      <c r="QI50" s="2">
        <v>18.54</v>
      </c>
      <c r="QJ50" s="2">
        <v>18.64</v>
      </c>
      <c r="QK50" s="2">
        <v>18.96</v>
      </c>
      <c r="QL50" s="2">
        <v>21.29</v>
      </c>
      <c r="QM50" s="2">
        <v>22.35</v>
      </c>
      <c r="QN50" s="2">
        <v>23.2</v>
      </c>
      <c r="QO50" s="2">
        <v>24.58</v>
      </c>
      <c r="QP50" s="2">
        <v>26.8</v>
      </c>
      <c r="QQ50" s="2">
        <v>27.65</v>
      </c>
      <c r="QR50" s="2">
        <v>28.81</v>
      </c>
      <c r="QS50" s="2">
        <v>29.45</v>
      </c>
      <c r="QT50" s="2">
        <v>30.83</v>
      </c>
      <c r="QU50" s="2">
        <v>31.99</v>
      </c>
      <c r="QV50" s="2">
        <v>32.84</v>
      </c>
      <c r="QW50" s="2">
        <v>33.47</v>
      </c>
      <c r="QX50" s="2">
        <v>35.17</v>
      </c>
      <c r="QY50" s="2">
        <v>36.23</v>
      </c>
      <c r="QZ50" s="2">
        <v>36.33</v>
      </c>
      <c r="RA50" s="2">
        <v>38.45</v>
      </c>
      <c r="RB50" s="2">
        <v>41.31</v>
      </c>
      <c r="RC50" s="2">
        <v>42.58</v>
      </c>
      <c r="RD50" s="2">
        <v>43.96</v>
      </c>
      <c r="RE50" s="2">
        <v>44.6</v>
      </c>
      <c r="RF50" s="2">
        <v>45.87</v>
      </c>
      <c r="RG50" s="2">
        <v>46.5</v>
      </c>
      <c r="RH50" s="2">
        <v>47.35</v>
      </c>
      <c r="RI50" s="2">
        <v>48.09</v>
      </c>
      <c r="RJ50" s="2">
        <v>48.09</v>
      </c>
      <c r="RK50" s="2">
        <v>49.47</v>
      </c>
      <c r="RL50" s="2">
        <v>50.53</v>
      </c>
      <c r="RM50" s="2">
        <v>51.38</v>
      </c>
      <c r="RN50" s="2">
        <v>52.43</v>
      </c>
      <c r="RO50" s="2">
        <v>53.92</v>
      </c>
      <c r="RP50" s="2">
        <v>56.14</v>
      </c>
      <c r="RQ50" s="2">
        <v>56.67</v>
      </c>
      <c r="RR50" s="2">
        <v>57.84</v>
      </c>
      <c r="RS50" s="2">
        <v>59.11</v>
      </c>
      <c r="RT50" s="2">
        <v>60.17</v>
      </c>
      <c r="RU50" s="2">
        <v>60.7</v>
      </c>
      <c r="RV50" s="2">
        <v>61.86</v>
      </c>
      <c r="RW50" s="2">
        <v>62.18</v>
      </c>
      <c r="RX50" s="2">
        <v>63.34</v>
      </c>
      <c r="RY50" s="2">
        <v>64.83</v>
      </c>
      <c r="RZ50" s="2">
        <v>69.06999999999999</v>
      </c>
      <c r="SA50" s="2">
        <v>70.12</v>
      </c>
      <c r="SB50" s="2">
        <v>71.29000000000001</v>
      </c>
      <c r="SC50" s="2">
        <v>72.03</v>
      </c>
      <c r="SD50" s="2">
        <v>73.73</v>
      </c>
      <c r="SE50" s="2">
        <v>73.3</v>
      </c>
      <c r="SF50" s="2">
        <v>73.51000000000001</v>
      </c>
      <c r="SG50" s="2">
        <v>73.41</v>
      </c>
      <c r="SH50" s="2">
        <v>75.42</v>
      </c>
      <c r="SI50" s="2">
        <v>76.69</v>
      </c>
      <c r="SJ50" s="2">
        <v>79.45</v>
      </c>
      <c r="SK50" s="2">
        <v>81.04000000000001</v>
      </c>
      <c r="SL50" s="2">
        <v>85.06</v>
      </c>
      <c r="SM50" s="2">
        <v>86.54000000000001</v>
      </c>
      <c r="SN50" s="2">
        <v>87.70999999999999</v>
      </c>
      <c r="SO50" s="2">
        <v>87.92</v>
      </c>
      <c r="SP50" s="2">
        <v>90.89</v>
      </c>
      <c r="SQ50" s="2">
        <v>92.37</v>
      </c>
      <c r="SR50" s="2">
        <v>93.31999999999999</v>
      </c>
      <c r="SS50" s="2">
        <v>94.38</v>
      </c>
      <c r="ST50" s="2">
        <v>94.28</v>
      </c>
      <c r="SU50" s="2">
        <v>96.70999999999999</v>
      </c>
      <c r="SV50" s="2">
        <v>97.45</v>
      </c>
      <c r="SW50" s="2">
        <v>99.36</v>
      </c>
      <c r="SX50" s="2">
        <v>101.69</v>
      </c>
      <c r="SY50" s="2">
        <v>103.81</v>
      </c>
      <c r="SZ50" s="2">
        <v>105.29</v>
      </c>
      <c r="TA50" s="2">
        <v>106.25</v>
      </c>
      <c r="TB50" s="2">
        <v>108.36</v>
      </c>
      <c r="TC50" s="2">
        <v>109.21</v>
      </c>
      <c r="TD50" s="2">
        <v>108.68</v>
      </c>
      <c r="TE50" s="2">
        <v>110.69</v>
      </c>
      <c r="TF50" s="2">
        <v>113.24</v>
      </c>
      <c r="TG50" s="2">
        <v>113.34</v>
      </c>
      <c r="TH50" s="2">
        <v>112.92</v>
      </c>
      <c r="TI50" s="2">
        <v>113.03</v>
      </c>
      <c r="TJ50" s="2">
        <v>112.18</v>
      </c>
      <c r="TK50" s="2">
        <v>112.28</v>
      </c>
      <c r="TL50" s="2">
        <v>113.13</v>
      </c>
      <c r="TM50" s="2">
        <v>113.13</v>
      </c>
      <c r="TN50" s="2">
        <v>113.66</v>
      </c>
      <c r="TO50" s="2">
        <v>113.55</v>
      </c>
      <c r="TP50" s="2">
        <v>113.77</v>
      </c>
      <c r="TQ50" s="2">
        <v>113.03</v>
      </c>
      <c r="TR50" s="2">
        <v>113.98</v>
      </c>
      <c r="TS50" s="2">
        <v>114.3</v>
      </c>
      <c r="TT50" s="2">
        <v>115.46</v>
      </c>
      <c r="TU50" s="2">
        <v>115.57</v>
      </c>
      <c r="TV50" s="2">
        <v>118.11</v>
      </c>
      <c r="TW50" s="2">
        <v>118.96</v>
      </c>
      <c r="TX50" s="2">
        <v>121.29</v>
      </c>
      <c r="TY50" s="2">
        <v>122.35</v>
      </c>
      <c r="TZ50" s="2">
        <v>121.82</v>
      </c>
      <c r="UA50" s="2">
        <v>122.66</v>
      </c>
      <c r="UB50" s="2">
        <v>124.89</v>
      </c>
      <c r="UC50" s="2">
        <v>124.68</v>
      </c>
      <c r="UD50" s="2">
        <v>125</v>
      </c>
      <c r="UE50" s="2">
        <v>125.84</v>
      </c>
      <c r="UF50" s="2">
        <v>127.01</v>
      </c>
      <c r="UG50" s="2">
        <v>127.54</v>
      </c>
      <c r="UH50" s="2">
        <v>127.33</v>
      </c>
      <c r="UI50" s="2">
        <v>127.86</v>
      </c>
      <c r="UJ50" s="2">
        <v>128.6</v>
      </c>
      <c r="UK50" s="2">
        <v>128.91</v>
      </c>
      <c r="UL50" s="2">
        <v>128.38</v>
      </c>
      <c r="UM50" s="2">
        <v>127.96</v>
      </c>
      <c r="UN50" s="2">
        <v>127.96</v>
      </c>
      <c r="UO50" s="2">
        <v>127.22</v>
      </c>
      <c r="UP50" s="2">
        <v>126.05</v>
      </c>
      <c r="UQ50" s="2">
        <v>131.24</v>
      </c>
      <c r="UR50" s="2">
        <v>127.01</v>
      </c>
      <c r="US50" s="2">
        <v>127.96</v>
      </c>
      <c r="UT50" s="2">
        <v>130.29</v>
      </c>
      <c r="UU50" s="2">
        <v>126.8</v>
      </c>
      <c r="UV50" s="2">
        <v>128.91</v>
      </c>
      <c r="UW50" s="2">
        <v>127.33</v>
      </c>
      <c r="UX50" s="2">
        <v>124.68</v>
      </c>
      <c r="UY50" s="2">
        <v>122.88</v>
      </c>
      <c r="UZ50" s="2">
        <v>125.1</v>
      </c>
      <c r="VA50" s="2">
        <v>123.51</v>
      </c>
      <c r="VB50" s="2">
        <v>123.94</v>
      </c>
      <c r="VC50" s="2">
        <v>125</v>
      </c>
      <c r="VD50" s="2">
        <v>121.92</v>
      </c>
      <c r="VE50" s="2">
        <v>121.82</v>
      </c>
      <c r="VF50" s="2">
        <v>118</v>
      </c>
      <c r="VG50" s="2">
        <v>118.96</v>
      </c>
      <c r="VH50" s="2">
        <v>119.17</v>
      </c>
      <c r="VI50" s="2">
        <v>115.25</v>
      </c>
      <c r="VJ50" s="2">
        <v>118.85</v>
      </c>
      <c r="VK50" s="2">
        <v>117.37</v>
      </c>
      <c r="VL50" s="2">
        <v>117.69</v>
      </c>
      <c r="VM50" s="2">
        <v>115.78</v>
      </c>
      <c r="VN50" s="2">
        <v>115.89</v>
      </c>
      <c r="VO50" s="2">
        <v>118.32</v>
      </c>
      <c r="VP50" s="2">
        <v>117.58</v>
      </c>
      <c r="VQ50" s="2">
        <v>112.5</v>
      </c>
      <c r="VR50" s="2">
        <v>117.16</v>
      </c>
      <c r="VS50" s="2">
        <v>114.08</v>
      </c>
      <c r="VT50" s="2">
        <v>113.87</v>
      </c>
      <c r="VU50" s="2">
        <v>108.89</v>
      </c>
      <c r="VV50" s="2">
        <v>112.39</v>
      </c>
      <c r="VW50" s="2">
        <v>113.13</v>
      </c>
      <c r="VX50" s="2">
        <v>113.13</v>
      </c>
      <c r="VY50" s="2">
        <v>111.01</v>
      </c>
      <c r="VZ50" s="2">
        <v>114.93</v>
      </c>
      <c r="WA50" s="2">
        <v>114.3</v>
      </c>
      <c r="WB50" s="2">
        <v>114.93</v>
      </c>
      <c r="WC50" s="2">
        <v>108.89</v>
      </c>
      <c r="WD50" s="2">
        <v>109.64</v>
      </c>
      <c r="WE50" s="2">
        <v>111.54</v>
      </c>
      <c r="WF50" s="2">
        <v>110.59</v>
      </c>
      <c r="WG50" s="2">
        <v>106.35</v>
      </c>
      <c r="WH50" s="2">
        <v>111.54</v>
      </c>
      <c r="WI50" s="2">
        <v>112.13</v>
      </c>
      <c r="WJ50" s="2">
        <v>113.28</v>
      </c>
      <c r="WK50" s="2">
        <v>106.95</v>
      </c>
      <c r="WL50" s="2">
        <v>110.03</v>
      </c>
      <c r="WM50" s="2">
        <v>110.91</v>
      </c>
      <c r="WN50" s="2">
        <v>109.61</v>
      </c>
      <c r="WO50" s="2">
        <v>102.3</v>
      </c>
      <c r="WP50" s="2">
        <v>104.53</v>
      </c>
      <c r="WQ50" s="2">
        <v>108.54</v>
      </c>
      <c r="WR50" s="2">
        <v>108.62</v>
      </c>
      <c r="WS50" s="2">
        <v>105.47</v>
      </c>
      <c r="WT50" s="2">
        <v>103.3</v>
      </c>
      <c r="WU50" s="2">
        <v>99.81999999999999</v>
      </c>
      <c r="WV50" s="2">
        <v>102.96</v>
      </c>
      <c r="WW50" s="2">
        <v>97.45999999999999</v>
      </c>
      <c r="WX50" s="2">
        <v>97.34</v>
      </c>
      <c r="WY50" s="2">
        <v>102.57</v>
      </c>
      <c r="WZ50" s="2">
        <v>104.74</v>
      </c>
      <c r="XA50" s="2">
        <v>100.46</v>
      </c>
      <c r="XB50" s="2">
        <v>99.15000000000001</v>
      </c>
      <c r="XC50" s="2">
        <v>105.03</v>
      </c>
      <c r="XD50" s="2">
        <v>100.56</v>
      </c>
      <c r="XE50" s="2">
        <v>94.95</v>
      </c>
      <c r="XF50" s="2">
        <v>98.68000000000001</v>
      </c>
      <c r="XG50" s="2">
        <v>101.11</v>
      </c>
      <c r="XH50" s="2">
        <v>95.38</v>
      </c>
      <c r="XI50" s="2">
        <v>92.05</v>
      </c>
      <c r="XJ50" s="2">
        <v>93.09999999999999</v>
      </c>
      <c r="XK50" s="2">
        <v>93.39</v>
      </c>
      <c r="XL50" s="2">
        <v>91.81999999999999</v>
      </c>
      <c r="XM50" s="2">
        <v>89.98</v>
      </c>
      <c r="XN50" s="2">
        <v>92.68000000000001</v>
      </c>
      <c r="XO50" s="2">
        <v>93.70999999999999</v>
      </c>
      <c r="XP50" s="2">
        <v>90.29000000000001</v>
      </c>
      <c r="XQ50" s="2">
        <v>93.7</v>
      </c>
      <c r="XR50" s="2">
        <v>93.55</v>
      </c>
      <c r="XS50" s="2">
        <v>98.56</v>
      </c>
      <c r="XT50" s="2">
        <v>96.61</v>
      </c>
      <c r="XU50" s="2">
        <v>95.06</v>
      </c>
      <c r="XV50" s="2">
        <v>96.98</v>
      </c>
      <c r="XW50" s="2">
        <v>99.94</v>
      </c>
      <c r="XX50" s="2">
        <v>97.04000000000001</v>
      </c>
      <c r="XY50" s="2">
        <v>97.61</v>
      </c>
      <c r="XZ50" s="2">
        <v>101.54</v>
      </c>
      <c r="YA50" s="2">
        <v>103.06</v>
      </c>
      <c r="YB50" s="2">
        <v>100.87</v>
      </c>
      <c r="YC50" s="2">
        <v>96.65000000000001</v>
      </c>
      <c r="YD50" s="2">
        <v>105.89</v>
      </c>
      <c r="YE50" s="2">
        <v>102.41</v>
      </c>
      <c r="YF50" s="2">
        <v>96.97</v>
      </c>
      <c r="YG50" s="2">
        <v>96.8</v>
      </c>
      <c r="YH50" s="2">
        <v>97.81999999999999</v>
      </c>
      <c r="YI50" s="2">
        <v>98.87</v>
      </c>
      <c r="YJ50" s="2">
        <v>96.78</v>
      </c>
      <c r="YK50" s="2">
        <v>93.48</v>
      </c>
      <c r="YL50" s="2">
        <v>96.75</v>
      </c>
      <c r="YM50" s="2">
        <v>101.31</v>
      </c>
      <c r="YN50" s="2">
        <v>99.79000000000001</v>
      </c>
      <c r="YO50" s="2">
        <v>97.94</v>
      </c>
      <c r="YP50" s="2">
        <v>94.81999999999999</v>
      </c>
      <c r="ACI50" s="2">
        <v>0.5</v>
      </c>
      <c r="ACJ50" s="2">
        <v>1.7</v>
      </c>
      <c r="ACK50" s="2">
        <v>12.3</v>
      </c>
      <c r="ACL50" s="2">
        <v>5</v>
      </c>
      <c r="ACM50" s="2">
        <v>3.8</v>
      </c>
      <c r="ACN50" s="2">
        <v>5.9</v>
      </c>
      <c r="ACO50" s="2">
        <v>9</v>
      </c>
      <c r="ACP50" s="2">
        <v>3.2</v>
      </c>
      <c r="ACQ50" s="2">
        <v>4.2</v>
      </c>
      <c r="ACR50" s="2">
        <v>2.2</v>
      </c>
      <c r="ACS50" s="2">
        <v>4.7</v>
      </c>
      <c r="ACT50" s="2">
        <v>3.8</v>
      </c>
      <c r="ACU50" s="2">
        <v>2.7</v>
      </c>
      <c r="ACV50" s="2">
        <v>1.9</v>
      </c>
      <c r="ACW50" s="2">
        <v>5.1</v>
      </c>
      <c r="ACX50" s="2">
        <v>3</v>
      </c>
      <c r="ACY50" s="2">
        <v>0.3</v>
      </c>
      <c r="ACZ50" s="2">
        <v>5.8</v>
      </c>
      <c r="ADA50" s="2">
        <v>7.4</v>
      </c>
      <c r="ADB50" s="2">
        <v>3.1</v>
      </c>
      <c r="ADC50" s="2">
        <v>3.2</v>
      </c>
      <c r="ADD50" s="2">
        <v>1.5</v>
      </c>
      <c r="ADE50" s="2">
        <v>2.8</v>
      </c>
      <c r="ADF50" s="2">
        <v>1.4</v>
      </c>
      <c r="ADG50" s="2">
        <v>1.8</v>
      </c>
      <c r="ADH50" s="2">
        <v>1.6</v>
      </c>
      <c r="ADI50" s="2">
        <v>0</v>
      </c>
      <c r="ADJ50" s="2">
        <v>2.9</v>
      </c>
      <c r="ADK50" s="2">
        <v>2.1</v>
      </c>
      <c r="ADL50" s="2">
        <v>1.7</v>
      </c>
      <c r="ADM50" s="2">
        <v>2</v>
      </c>
      <c r="ADN50" s="2">
        <v>2.8</v>
      </c>
      <c r="ADO50" s="2">
        <v>4.1</v>
      </c>
      <c r="ADP50" s="2">
        <v>0.9</v>
      </c>
      <c r="ADQ50" s="2">
        <v>2.1</v>
      </c>
      <c r="ADR50" s="2">
        <v>2.2</v>
      </c>
      <c r="ADS50" s="2">
        <v>1.8</v>
      </c>
      <c r="ADT50" s="2">
        <v>0.9</v>
      </c>
      <c r="ADU50" s="2">
        <v>1.9</v>
      </c>
      <c r="ADV50" s="2">
        <v>0.5</v>
      </c>
      <c r="ADW50" s="2">
        <v>1.9</v>
      </c>
      <c r="ADX50" s="2">
        <v>2.4</v>
      </c>
      <c r="ADY50" s="2">
        <v>6.5</v>
      </c>
      <c r="ADZ50" s="2">
        <v>1.5</v>
      </c>
      <c r="AEA50" s="2">
        <v>1.7</v>
      </c>
      <c r="AEB50" s="2">
        <v>1</v>
      </c>
      <c r="AEC50" s="2">
        <v>2.4</v>
      </c>
      <c r="AED50" s="2">
        <v>-0.6</v>
      </c>
      <c r="AEE50" s="2">
        <v>0.3</v>
      </c>
      <c r="AEF50" s="2">
        <v>-0.1</v>
      </c>
      <c r="AEG50" s="2">
        <v>2.7</v>
      </c>
      <c r="AEH50" s="2">
        <v>1.7</v>
      </c>
      <c r="AEI50" s="2">
        <v>3.6</v>
      </c>
      <c r="AEJ50" s="2">
        <v>2</v>
      </c>
      <c r="AEK50" s="2">
        <v>5</v>
      </c>
      <c r="AEL50" s="2">
        <v>1.7</v>
      </c>
      <c r="AEM50" s="2">
        <v>1.4</v>
      </c>
      <c r="AEN50" s="2">
        <v>0.2</v>
      </c>
      <c r="AEO50" s="2">
        <v>3.4</v>
      </c>
      <c r="AEP50" s="2">
        <v>1.6</v>
      </c>
      <c r="AEQ50" s="2">
        <v>1</v>
      </c>
      <c r="AER50" s="2">
        <v>1.1</v>
      </c>
      <c r="AES50" s="2">
        <v>-0.1</v>
      </c>
      <c r="AET50" s="2">
        <v>2.6</v>
      </c>
      <c r="AEU50" s="2">
        <v>0.8</v>
      </c>
      <c r="AEV50" s="2">
        <v>2</v>
      </c>
      <c r="AEW50" s="2">
        <v>2.3</v>
      </c>
      <c r="AEX50" s="2">
        <v>2.1</v>
      </c>
      <c r="AEY50" s="2">
        <v>1.4</v>
      </c>
      <c r="AEZ50" s="2">
        <v>0.9</v>
      </c>
      <c r="AFA50" s="2">
        <v>2</v>
      </c>
      <c r="AFB50" s="2">
        <v>0.8</v>
      </c>
      <c r="AFC50" s="2">
        <v>-0.5</v>
      </c>
      <c r="AFD50" s="2">
        <v>1.8</v>
      </c>
      <c r="AFE50" s="2">
        <v>2.3</v>
      </c>
      <c r="AFF50" s="2">
        <v>0.1</v>
      </c>
      <c r="AFG50" s="2">
        <v>-0.4</v>
      </c>
      <c r="AFH50" s="2">
        <v>0.1</v>
      </c>
      <c r="AFI50" s="2">
        <v>-0.8</v>
      </c>
      <c r="AFJ50" s="2">
        <v>0.1</v>
      </c>
      <c r="AFK50" s="2">
        <v>0.8</v>
      </c>
      <c r="AFL50" s="2">
        <v>0</v>
      </c>
      <c r="AFM50" s="2">
        <v>0.5</v>
      </c>
      <c r="AFN50" s="2">
        <v>-0.1</v>
      </c>
      <c r="AFO50" s="2">
        <v>0.2</v>
      </c>
      <c r="AFP50" s="2">
        <v>-0.7</v>
      </c>
      <c r="AFQ50" s="2">
        <v>0.8</v>
      </c>
      <c r="AFR50" s="2">
        <v>0.3</v>
      </c>
      <c r="AFS50" s="2">
        <v>1</v>
      </c>
      <c r="AFT50" s="2">
        <v>0.1</v>
      </c>
      <c r="AFU50" s="2">
        <v>2.2</v>
      </c>
      <c r="AFV50" s="2">
        <v>0.7</v>
      </c>
      <c r="AFW50" s="2">
        <v>2</v>
      </c>
      <c r="AFX50" s="2">
        <v>0.9</v>
      </c>
      <c r="AFY50" s="2">
        <v>-0.4</v>
      </c>
      <c r="AFZ50" s="2">
        <v>0.7</v>
      </c>
      <c r="AGA50" s="2">
        <v>1.8</v>
      </c>
      <c r="AGB50" s="2">
        <v>-0.2</v>
      </c>
      <c r="AGC50" s="2">
        <v>0.3</v>
      </c>
      <c r="AGD50" s="2">
        <v>0.7</v>
      </c>
      <c r="AGE50" s="2">
        <v>0.9</v>
      </c>
      <c r="AGF50" s="2">
        <v>0.4</v>
      </c>
      <c r="AGG50" s="2">
        <v>-0.2</v>
      </c>
      <c r="AGH50" s="2">
        <v>0.4</v>
      </c>
      <c r="AGI50" s="2">
        <v>0.6</v>
      </c>
      <c r="AGJ50" s="2">
        <v>0.2</v>
      </c>
      <c r="AGK50" s="2">
        <v>-0.4</v>
      </c>
      <c r="AGL50" s="2">
        <v>-0.3</v>
      </c>
      <c r="AGM50" s="2">
        <v>0</v>
      </c>
      <c r="AGN50" s="2">
        <v>-0.6</v>
      </c>
      <c r="AGO50" s="2">
        <v>-0.9</v>
      </c>
      <c r="AGP50" s="2">
        <v>4.1</v>
      </c>
      <c r="AGQ50" s="2">
        <v>-3.2</v>
      </c>
      <c r="AGR50" s="2">
        <v>0.7</v>
      </c>
      <c r="AGS50" s="2">
        <v>1.8</v>
      </c>
      <c r="AGT50" s="2">
        <v>-2.7</v>
      </c>
      <c r="AGU50" s="2">
        <v>1.7</v>
      </c>
      <c r="AGV50" s="2">
        <v>-1.2</v>
      </c>
      <c r="AGW50" s="2">
        <v>-2.1</v>
      </c>
      <c r="AGX50" s="2">
        <v>-1.4</v>
      </c>
      <c r="AGY50" s="2">
        <v>1.8</v>
      </c>
      <c r="AGZ50" s="2">
        <v>-1.3</v>
      </c>
      <c r="AHA50" s="2">
        <v>0.3</v>
      </c>
      <c r="AHB50" s="2">
        <v>0.9</v>
      </c>
      <c r="AHC50" s="2">
        <v>-2.5</v>
      </c>
      <c r="AHD50" s="2">
        <v>-0.1</v>
      </c>
      <c r="AHE50" s="2">
        <v>-3.1</v>
      </c>
      <c r="AHF50" s="2">
        <v>0.8</v>
      </c>
      <c r="AHG50" s="2">
        <v>0.2</v>
      </c>
      <c r="AHH50" s="2">
        <v>-3.3</v>
      </c>
      <c r="AHI50" s="2">
        <v>3.1</v>
      </c>
      <c r="AHJ50" s="2">
        <v>-1.2</v>
      </c>
      <c r="AHK50" s="2">
        <v>0.3</v>
      </c>
      <c r="AHL50" s="2">
        <v>-1.6</v>
      </c>
      <c r="AHM50" s="2">
        <v>0.1</v>
      </c>
      <c r="AHN50" s="2">
        <v>2.1</v>
      </c>
      <c r="AHO50" s="2">
        <v>-0.6</v>
      </c>
      <c r="AHP50" s="2">
        <v>-4.3</v>
      </c>
      <c r="AHQ50" s="2">
        <v>4.1</v>
      </c>
      <c r="AHR50" s="2">
        <v>-2.6</v>
      </c>
      <c r="AHS50" s="2">
        <v>-0.2</v>
      </c>
      <c r="AHT50" s="2">
        <v>-4.4</v>
      </c>
      <c r="AHU50" s="2">
        <v>3.2</v>
      </c>
      <c r="AHV50" s="2">
        <v>0.7</v>
      </c>
      <c r="AHW50" s="2">
        <v>0</v>
      </c>
      <c r="AHX50" s="2">
        <v>-1.9</v>
      </c>
      <c r="AHY50" s="2">
        <v>3.5</v>
      </c>
      <c r="AHZ50" s="2">
        <v>-0.5</v>
      </c>
      <c r="AIA50" s="2">
        <v>0.6</v>
      </c>
      <c r="AIB50" s="2">
        <v>-5.3</v>
      </c>
      <c r="AIC50" s="2">
        <v>0.7</v>
      </c>
      <c r="AID50" s="2">
        <v>1.7</v>
      </c>
      <c r="AIE50" s="2">
        <v>-0.9</v>
      </c>
      <c r="AIF50" s="2">
        <v>-3.8</v>
      </c>
      <c r="AIG50" s="2">
        <v>4.9</v>
      </c>
      <c r="AIH50" s="2">
        <v>0.5</v>
      </c>
      <c r="AII50" s="2">
        <v>1</v>
      </c>
      <c r="AIJ50" s="2">
        <v>-5.6</v>
      </c>
      <c r="AIK50" s="2">
        <v>2.9</v>
      </c>
      <c r="AIL50" s="2">
        <v>0.8</v>
      </c>
      <c r="AIM50" s="2">
        <v>-1.2</v>
      </c>
      <c r="AIN50" s="2">
        <v>-6.7</v>
      </c>
      <c r="AIO50" s="2">
        <v>2.2</v>
      </c>
      <c r="AIP50" s="2">
        <v>3.8</v>
      </c>
      <c r="AIQ50" s="2">
        <v>0.1</v>
      </c>
      <c r="AIR50" s="2">
        <v>-2.9</v>
      </c>
      <c r="AIS50" s="2">
        <v>-2.1</v>
      </c>
      <c r="AIT50" s="2">
        <v>-3.4</v>
      </c>
      <c r="AIU50" s="2">
        <v>3.1</v>
      </c>
      <c r="AIV50" s="2">
        <v>-5.3</v>
      </c>
      <c r="AIW50" s="2">
        <v>-0.1</v>
      </c>
      <c r="AIX50" s="2">
        <v>5.4</v>
      </c>
      <c r="AIY50" s="2">
        <v>2.1</v>
      </c>
      <c r="AIZ50" s="2">
        <v>-4.1</v>
      </c>
      <c r="AJA50" s="2">
        <v>-1.3</v>
      </c>
      <c r="AJB50" s="2">
        <v>5.9</v>
      </c>
      <c r="AJC50" s="2">
        <v>-4.3</v>
      </c>
      <c r="AJD50" s="2">
        <v>-5.6</v>
      </c>
      <c r="AJE50" s="2">
        <v>3.9</v>
      </c>
      <c r="AJF50" s="2">
        <v>2.5</v>
      </c>
      <c r="AJG50" s="2">
        <v>-5.7</v>
      </c>
      <c r="AJH50" s="2">
        <v>-3.5</v>
      </c>
      <c r="AJI50" s="2">
        <v>1.1</v>
      </c>
      <c r="AJJ50" s="2">
        <v>0.3</v>
      </c>
      <c r="AJK50" s="2">
        <v>-1.7</v>
      </c>
      <c r="AJL50" s="2">
        <v>-2</v>
      </c>
      <c r="AJM50" s="2">
        <v>3</v>
      </c>
      <c r="AJN50" s="2">
        <v>1.1</v>
      </c>
      <c r="AJO50" s="2">
        <v>-3.6</v>
      </c>
      <c r="AJP50" s="2">
        <v>3.8</v>
      </c>
      <c r="AJQ50" s="2">
        <v>-0.2</v>
      </c>
      <c r="AJR50" s="2">
        <v>5.4</v>
      </c>
      <c r="AJS50" s="2">
        <v>-2</v>
      </c>
      <c r="AJT50" s="2">
        <v>-1.6</v>
      </c>
      <c r="AJU50" s="2">
        <v>2</v>
      </c>
      <c r="AJV50" s="2">
        <v>3.1</v>
      </c>
      <c r="AJW50" s="2">
        <v>-2.9</v>
      </c>
      <c r="AJX50" s="2">
        <v>0.6</v>
      </c>
      <c r="AJY50" s="2">
        <v>4</v>
      </c>
      <c r="AJZ50" s="2">
        <v>1.5</v>
      </c>
      <c r="AKA50" s="2">
        <v>-2.1</v>
      </c>
      <c r="AKB50" s="2">
        <v>-4.2</v>
      </c>
      <c r="AKC50" s="2">
        <v>9.6</v>
      </c>
      <c r="AKD50" s="2">
        <v>-3.3</v>
      </c>
      <c r="AKE50" s="2">
        <v>-5.3</v>
      </c>
      <c r="AKF50" s="2">
        <v>-0.2</v>
      </c>
      <c r="AKG50" s="2">
        <v>1.1</v>
      </c>
      <c r="AKH50" s="2">
        <v>1.1</v>
      </c>
      <c r="AKI50" s="2">
        <v>-2.1</v>
      </c>
      <c r="AKJ50" s="2">
        <v>-3.4</v>
      </c>
      <c r="AKK50" s="2">
        <v>3.5</v>
      </c>
      <c r="AKL50" s="2">
        <v>4.7</v>
      </c>
      <c r="AKM50" s="2">
        <v>-1.5</v>
      </c>
      <c r="AKN50" s="2">
        <v>-1.9</v>
      </c>
      <c r="AKO50" s="2">
        <v>-3.2</v>
      </c>
      <c r="AKP50" s="2">
        <v>0.45</v>
      </c>
      <c r="AKQ50" s="2">
        <v>0.45</v>
      </c>
      <c r="AKR50" s="2">
        <v>0.43</v>
      </c>
    </row>
    <row r="51">
      <c r="A51" t="inlineStr">
        <is>
          <t>Major household appliances</t>
        </is>
      </c>
      <c r="B51" t="inlineStr">
        <is>
          <t>Household appliances, utensils and tools</t>
        </is>
      </c>
      <c r="C51">
        <v>3</v>
      </c>
      <c r="D51">
        <v>0.33</v>
      </c>
      <c r="E51" s="3">
        <f>D51/1.27*0.012816223067173638</f>
        <v>0.003330199694619922</v>
      </c>
      <c r="F51" s="3">
        <f>E51-D51/100</f>
        <v>3.0199694619922196e-05</v>
      </c>
      <c r="G51" s="3">
        <f>D51/1.27</f>
        <v>0.25984251968503935</v>
      </c>
      <c r="CI51" s="2">
        <v>101.35</v>
      </c>
      <c r="CJ51" s="2">
        <v>100.49</v>
      </c>
      <c r="CK51" s="2">
        <v>99.37</v>
      </c>
      <c r="CL51" s="2">
        <v>101.1</v>
      </c>
      <c r="CM51" s="2">
        <v>100.01</v>
      </c>
      <c r="CN51" s="2">
        <v>99.18000000000001</v>
      </c>
      <c r="CO51" s="2">
        <v>100.67</v>
      </c>
      <c r="CP51" s="2">
        <v>100.42</v>
      </c>
      <c r="CQ51" s="2">
        <v>97.16</v>
      </c>
      <c r="CR51" s="2">
        <v>98.45</v>
      </c>
      <c r="CS51" s="2">
        <v>98.95</v>
      </c>
      <c r="CT51" s="2">
        <v>97.41</v>
      </c>
      <c r="CU51" s="2">
        <v>99.81999999999999</v>
      </c>
      <c r="CV51" s="2">
        <v>101.62</v>
      </c>
      <c r="CW51" s="2">
        <v>101.6</v>
      </c>
      <c r="CX51" s="2">
        <v>100.08</v>
      </c>
      <c r="CY51" s="2">
        <v>100.45</v>
      </c>
      <c r="CZ51" s="2">
        <v>100</v>
      </c>
      <c r="DA51" s="2">
        <v>99.27</v>
      </c>
      <c r="DB51" s="2">
        <v>99.44</v>
      </c>
      <c r="DC51" s="2">
        <v>96.23999999999999</v>
      </c>
      <c r="DD51" s="2">
        <v>98.90000000000001</v>
      </c>
      <c r="DE51" s="2">
        <v>99.40000000000001</v>
      </c>
      <c r="DF51" s="2">
        <v>96.97</v>
      </c>
      <c r="DG51" s="2">
        <v>98.92</v>
      </c>
      <c r="DH51" s="2">
        <v>99.2</v>
      </c>
      <c r="DI51" s="2">
        <v>96.65000000000001</v>
      </c>
      <c r="DJ51" s="2">
        <v>100.51</v>
      </c>
      <c r="GL51" s="2">
        <v>-1.5</v>
      </c>
      <c r="GM51" s="2">
        <v>1.1</v>
      </c>
      <c r="GN51" s="2">
        <v>2.2</v>
      </c>
      <c r="GO51" s="2">
        <v>-1</v>
      </c>
      <c r="GP51" s="2">
        <v>0.4</v>
      </c>
      <c r="GQ51" s="2">
        <v>0.8</v>
      </c>
      <c r="GR51" s="2">
        <v>-1.4</v>
      </c>
      <c r="GS51" s="2">
        <v>-1</v>
      </c>
      <c r="GT51" s="2">
        <v>-0.9</v>
      </c>
      <c r="GU51" s="2">
        <v>0.5</v>
      </c>
      <c r="GV51" s="2">
        <v>0.5</v>
      </c>
      <c r="GW51" s="2">
        <v>-0.5</v>
      </c>
      <c r="GX51" s="2">
        <v>-0.9</v>
      </c>
      <c r="GY51" s="2">
        <v>-2.4</v>
      </c>
      <c r="GZ51" s="2">
        <v>-4.9</v>
      </c>
      <c r="HA51" s="2">
        <v>0.4</v>
      </c>
      <c r="KC51" s="2">
        <v>-0.8</v>
      </c>
      <c r="KD51" s="2">
        <v>-1.1</v>
      </c>
      <c r="KE51" s="2">
        <v>1.7</v>
      </c>
      <c r="KF51" s="2">
        <v>-1.1</v>
      </c>
      <c r="KG51" s="2">
        <v>-0.8</v>
      </c>
      <c r="KH51" s="2">
        <v>1.5</v>
      </c>
      <c r="KI51" s="2">
        <v>-0.2</v>
      </c>
      <c r="KJ51" s="2">
        <v>-3.2</v>
      </c>
      <c r="KK51" s="2">
        <v>1.3</v>
      </c>
      <c r="KL51" s="2">
        <v>0.5</v>
      </c>
      <c r="KM51" s="2">
        <v>-1.6</v>
      </c>
      <c r="KN51" s="2">
        <v>2.5</v>
      </c>
      <c r="KO51" s="2">
        <v>1.8</v>
      </c>
      <c r="KP51" s="2">
        <v>0</v>
      </c>
      <c r="KQ51" s="2">
        <v>-1.5</v>
      </c>
      <c r="KR51" s="2">
        <v>0.4</v>
      </c>
      <c r="KS51" s="2">
        <v>-0.4</v>
      </c>
      <c r="KT51" s="2">
        <v>-0.7</v>
      </c>
      <c r="KU51" s="2">
        <v>0.2</v>
      </c>
      <c r="KV51" s="2">
        <v>-3.2</v>
      </c>
      <c r="KW51" s="2">
        <v>2.8</v>
      </c>
      <c r="KX51" s="2">
        <v>0.5</v>
      </c>
      <c r="KY51" s="2">
        <v>-2.4</v>
      </c>
      <c r="KZ51" s="2">
        <v>2</v>
      </c>
      <c r="LA51" s="2">
        <v>0.3</v>
      </c>
      <c r="LB51" s="2">
        <v>-2.6</v>
      </c>
      <c r="LC51" s="2">
        <v>4</v>
      </c>
      <c r="LD51" s="2">
        <v>0.33</v>
      </c>
      <c r="LE51" s="2">
        <v>0.33</v>
      </c>
      <c r="LF51" s="2">
        <v>0.33</v>
      </c>
      <c r="LG51" s="2">
        <v>0.33</v>
      </c>
      <c r="LH51" s="2">
        <v>0.33</v>
      </c>
      <c r="LI51" s="2">
        <v>0.34</v>
      </c>
      <c r="LJ51" s="2">
        <v>0.34</v>
      </c>
      <c r="LK51" s="2">
        <v>0.34</v>
      </c>
      <c r="LL51" s="2">
        <v>0.34</v>
      </c>
      <c r="LM51" s="2">
        <v>0.34</v>
      </c>
      <c r="LN51" s="2">
        <v>0.33</v>
      </c>
      <c r="LO51" s="2">
        <v>0.33</v>
      </c>
      <c r="LP51" s="2">
        <v>0.32</v>
      </c>
      <c r="LQ51" s="2">
        <v>0.33</v>
      </c>
      <c r="LR51" s="2">
        <v>0.33</v>
      </c>
      <c r="LS51" s="2">
        <v>0.33</v>
      </c>
      <c r="LT51" s="2">
        <v>0.33</v>
      </c>
      <c r="LU51" s="2">
        <v>0.33</v>
      </c>
      <c r="LV51" s="2">
        <v>0.32</v>
      </c>
      <c r="LW51" s="2">
        <v>0.34</v>
      </c>
      <c r="LX51" s="2">
        <v>0</v>
      </c>
      <c r="LY51" s="2">
        <v>0</v>
      </c>
      <c r="LZ51" s="2">
        <v>0</v>
      </c>
      <c r="MA51" s="2">
        <v>0</v>
      </c>
      <c r="MB51" s="2">
        <v>0.01</v>
      </c>
      <c r="MC51" s="2">
        <v>0</v>
      </c>
      <c r="MD51" s="2">
        <v>0</v>
      </c>
      <c r="ME51" s="2">
        <v>0</v>
      </c>
      <c r="MF51" s="2">
        <v>0</v>
      </c>
      <c r="MG51" s="2">
        <v>-0.01</v>
      </c>
      <c r="MH51" s="2">
        <v>0</v>
      </c>
      <c r="MI51" s="2">
        <v>-0.01</v>
      </c>
      <c r="MJ51" s="2">
        <v>0.01</v>
      </c>
      <c r="MK51" s="2">
        <v>0</v>
      </c>
      <c r="ML51" s="2">
        <v>0</v>
      </c>
      <c r="MM51" s="2">
        <v>0</v>
      </c>
      <c r="MN51" s="2">
        <v>0</v>
      </c>
      <c r="MO51" s="2">
        <v>-0.01</v>
      </c>
      <c r="MP51" s="2">
        <v>0.02</v>
      </c>
      <c r="QI51" s="2">
        <v>44.33</v>
      </c>
      <c r="QJ51" s="2">
        <v>44.53</v>
      </c>
      <c r="QK51" s="2">
        <v>44.53</v>
      </c>
      <c r="QL51" s="2">
        <v>44.72</v>
      </c>
      <c r="QM51" s="2">
        <v>45.41</v>
      </c>
      <c r="QN51" s="2">
        <v>45.9</v>
      </c>
      <c r="QO51" s="2">
        <v>46.39</v>
      </c>
      <c r="QP51" s="2">
        <v>46.87</v>
      </c>
      <c r="QQ51" s="2">
        <v>49.52</v>
      </c>
      <c r="QR51" s="2">
        <v>50.79</v>
      </c>
      <c r="QS51" s="2">
        <v>51.57</v>
      </c>
      <c r="QT51" s="2">
        <v>52.35</v>
      </c>
      <c r="QU51" s="2">
        <v>52.35</v>
      </c>
      <c r="QV51" s="2">
        <v>53.63</v>
      </c>
      <c r="QW51" s="2">
        <v>53.92</v>
      </c>
      <c r="QX51" s="2">
        <v>54.31</v>
      </c>
      <c r="QY51" s="2">
        <v>54.61</v>
      </c>
      <c r="QZ51" s="2">
        <v>55</v>
      </c>
      <c r="RA51" s="2">
        <v>55.68</v>
      </c>
      <c r="RB51" s="2">
        <v>56.95</v>
      </c>
      <c r="RC51" s="2">
        <v>56.86</v>
      </c>
      <c r="RD51" s="2">
        <v>57.93</v>
      </c>
      <c r="RE51" s="2">
        <v>58.52</v>
      </c>
      <c r="RF51" s="2">
        <v>59.01</v>
      </c>
      <c r="RG51" s="2">
        <v>59.69</v>
      </c>
      <c r="RH51" s="2">
        <v>59.89</v>
      </c>
      <c r="RI51" s="2">
        <v>60.48</v>
      </c>
      <c r="RJ51" s="2">
        <v>60.87</v>
      </c>
      <c r="RK51" s="2">
        <v>61.26</v>
      </c>
      <c r="RL51" s="2">
        <v>61.94</v>
      </c>
      <c r="RM51" s="2">
        <v>63.51</v>
      </c>
      <c r="RN51" s="2">
        <v>64.48999999999999</v>
      </c>
      <c r="RO51" s="2">
        <v>66.84</v>
      </c>
      <c r="RP51" s="2">
        <v>66.84</v>
      </c>
      <c r="RQ51" s="2">
        <v>67.52</v>
      </c>
      <c r="RR51" s="2">
        <v>68.7</v>
      </c>
      <c r="RS51" s="2">
        <v>69.87</v>
      </c>
      <c r="RT51" s="2">
        <v>71.34</v>
      </c>
      <c r="RU51" s="2">
        <v>72.31999999999999</v>
      </c>
      <c r="RV51" s="2">
        <v>73</v>
      </c>
      <c r="RW51" s="2">
        <v>74.18000000000001</v>
      </c>
      <c r="RX51" s="2">
        <v>74.37</v>
      </c>
      <c r="RY51" s="2">
        <v>74.47</v>
      </c>
      <c r="RZ51" s="2">
        <v>75.34999999999999</v>
      </c>
      <c r="SA51" s="2">
        <v>75.84</v>
      </c>
      <c r="SB51" s="2">
        <v>76.43000000000001</v>
      </c>
      <c r="SC51" s="2">
        <v>76.92</v>
      </c>
      <c r="SD51" s="2">
        <v>77.41</v>
      </c>
      <c r="SE51" s="2">
        <v>77.01000000000001</v>
      </c>
      <c r="SF51" s="2">
        <v>76.72</v>
      </c>
      <c r="SG51" s="2">
        <v>76.33</v>
      </c>
      <c r="SH51" s="2">
        <v>77.31</v>
      </c>
      <c r="SI51" s="2">
        <v>77.41</v>
      </c>
      <c r="SJ51" s="2">
        <v>79.84999999999999</v>
      </c>
      <c r="SK51" s="2">
        <v>82.48999999999999</v>
      </c>
      <c r="SL51" s="2">
        <v>83.28</v>
      </c>
      <c r="SM51" s="2">
        <v>84.94</v>
      </c>
      <c r="SN51" s="2">
        <v>86.20999999999999</v>
      </c>
      <c r="SO51" s="2">
        <v>87.19</v>
      </c>
      <c r="SP51" s="2">
        <v>88.86</v>
      </c>
      <c r="SQ51" s="2">
        <v>89.25</v>
      </c>
      <c r="SR51" s="2">
        <v>90.13</v>
      </c>
      <c r="SS51" s="2">
        <v>91.2</v>
      </c>
      <c r="ST51" s="2">
        <v>92.48</v>
      </c>
      <c r="SU51" s="2">
        <v>93.65000000000001</v>
      </c>
      <c r="SV51" s="2">
        <v>95.31</v>
      </c>
      <c r="SW51" s="2">
        <v>95.8</v>
      </c>
      <c r="SX51" s="2">
        <v>95.41</v>
      </c>
      <c r="SY51" s="2">
        <v>97.08</v>
      </c>
      <c r="SZ51" s="2">
        <v>98.34999999999999</v>
      </c>
      <c r="TA51" s="2">
        <v>97.86</v>
      </c>
      <c r="TB51" s="2">
        <v>98.05</v>
      </c>
      <c r="TC51" s="2">
        <v>99.03</v>
      </c>
      <c r="TD51" s="2">
        <v>99.33</v>
      </c>
      <c r="TE51" s="2">
        <v>99.33</v>
      </c>
      <c r="TF51" s="2">
        <v>101.19</v>
      </c>
      <c r="TG51" s="2">
        <v>101.87</v>
      </c>
      <c r="TH51" s="2">
        <v>101.97</v>
      </c>
      <c r="TI51" s="2">
        <v>102.46</v>
      </c>
      <c r="TJ51" s="2">
        <v>102.07</v>
      </c>
      <c r="TK51" s="2">
        <v>101.48</v>
      </c>
      <c r="TL51" s="2">
        <v>101.19</v>
      </c>
      <c r="TM51" s="2">
        <v>101.87</v>
      </c>
      <c r="TN51" s="2">
        <v>102.95</v>
      </c>
      <c r="TO51" s="2">
        <v>103.05</v>
      </c>
      <c r="TP51" s="2">
        <v>103.34</v>
      </c>
      <c r="TQ51" s="2">
        <v>103.73</v>
      </c>
      <c r="TR51" s="2">
        <v>103.73</v>
      </c>
      <c r="TS51" s="2">
        <v>105</v>
      </c>
      <c r="TT51" s="2">
        <v>105.88</v>
      </c>
      <c r="TU51" s="2">
        <v>105.88</v>
      </c>
      <c r="TV51" s="2">
        <v>105.1</v>
      </c>
      <c r="TW51" s="2">
        <v>106.08</v>
      </c>
      <c r="TX51" s="2">
        <v>105.79</v>
      </c>
      <c r="TY51" s="2">
        <v>106.08</v>
      </c>
      <c r="TZ51" s="2">
        <v>107.16</v>
      </c>
      <c r="UA51" s="2">
        <v>107.74</v>
      </c>
      <c r="UB51" s="2">
        <v>107.35</v>
      </c>
      <c r="UC51" s="2">
        <v>107.06</v>
      </c>
      <c r="UD51" s="2">
        <v>107.45</v>
      </c>
      <c r="UE51" s="2">
        <v>107.06</v>
      </c>
      <c r="UF51" s="2">
        <v>106.67</v>
      </c>
      <c r="UG51" s="2">
        <v>106.18</v>
      </c>
      <c r="UH51" s="2">
        <v>106.18</v>
      </c>
      <c r="UI51" s="2">
        <v>105.75</v>
      </c>
      <c r="UJ51" s="2">
        <v>104.25</v>
      </c>
      <c r="UK51" s="2">
        <v>103.93</v>
      </c>
      <c r="UL51" s="2">
        <v>104.4</v>
      </c>
      <c r="UM51" s="2">
        <v>104.45</v>
      </c>
      <c r="UN51" s="2">
        <v>103.62</v>
      </c>
      <c r="UO51" s="2">
        <v>103.06</v>
      </c>
      <c r="UP51" s="2">
        <v>102.85</v>
      </c>
      <c r="UQ51" s="2">
        <v>105.88</v>
      </c>
      <c r="UR51" s="2">
        <v>106.39</v>
      </c>
      <c r="US51" s="2">
        <v>108.78</v>
      </c>
      <c r="UT51" s="2">
        <v>108.95</v>
      </c>
      <c r="UU51" s="2">
        <v>108.11</v>
      </c>
      <c r="UV51" s="2">
        <v>108.1</v>
      </c>
      <c r="UW51" s="2">
        <v>106.28</v>
      </c>
      <c r="UX51" s="2">
        <v>105.88</v>
      </c>
      <c r="UY51" s="2">
        <v>105.9</v>
      </c>
      <c r="UZ51" s="2">
        <v>106.02</v>
      </c>
      <c r="VA51" s="2">
        <v>104.44</v>
      </c>
      <c r="VB51" s="2">
        <v>104.43</v>
      </c>
      <c r="VC51" s="2">
        <v>104.71</v>
      </c>
      <c r="VD51" s="2">
        <v>105.42</v>
      </c>
      <c r="VE51" s="2">
        <v>104.57</v>
      </c>
      <c r="VF51" s="2">
        <v>104.05</v>
      </c>
      <c r="VG51" s="2">
        <v>104.09</v>
      </c>
      <c r="VH51" s="2">
        <v>104.6</v>
      </c>
      <c r="VI51" s="2">
        <v>104.89</v>
      </c>
      <c r="VJ51" s="2">
        <v>106.75</v>
      </c>
      <c r="VK51" s="2">
        <v>108.6</v>
      </c>
      <c r="VL51" s="2">
        <v>107.54</v>
      </c>
      <c r="VM51" s="2">
        <v>106.65</v>
      </c>
      <c r="VN51" s="2">
        <v>106.57</v>
      </c>
      <c r="VO51" s="2">
        <v>104.54</v>
      </c>
      <c r="VP51" s="2">
        <v>104.38</v>
      </c>
      <c r="VQ51" s="2">
        <v>103.89</v>
      </c>
      <c r="VR51" s="2">
        <v>104.23</v>
      </c>
      <c r="VS51" s="2">
        <v>104.32</v>
      </c>
      <c r="VT51" s="2">
        <v>103.65</v>
      </c>
      <c r="VU51" s="2">
        <v>103.03</v>
      </c>
      <c r="VV51" s="2">
        <v>104.87</v>
      </c>
      <c r="VW51" s="2">
        <v>103.62</v>
      </c>
      <c r="VX51" s="2">
        <v>103.36</v>
      </c>
      <c r="VY51" s="2">
        <v>105.22</v>
      </c>
      <c r="VZ51" s="2">
        <v>104.39</v>
      </c>
      <c r="WA51" s="2">
        <v>106.17</v>
      </c>
      <c r="WB51" s="2">
        <v>103.21</v>
      </c>
      <c r="WC51" s="2">
        <v>102.72</v>
      </c>
      <c r="WD51" s="2">
        <v>102.1</v>
      </c>
      <c r="WE51" s="2">
        <v>101.45</v>
      </c>
      <c r="WF51" s="2">
        <v>99.25</v>
      </c>
      <c r="WG51" s="2">
        <v>97.59999999999999</v>
      </c>
      <c r="WH51" s="2">
        <v>98.56</v>
      </c>
      <c r="WI51" s="2">
        <v>97.91</v>
      </c>
      <c r="WJ51" s="2">
        <v>94.64</v>
      </c>
      <c r="WK51" s="2">
        <v>94.92</v>
      </c>
      <c r="WL51" s="2">
        <v>93.91</v>
      </c>
      <c r="WM51" s="2">
        <v>94.53</v>
      </c>
      <c r="WN51" s="2">
        <v>91.81</v>
      </c>
      <c r="WO51" s="2">
        <v>90.18000000000001</v>
      </c>
      <c r="WP51" s="2">
        <v>90.2</v>
      </c>
      <c r="WQ51" s="2">
        <v>89.52</v>
      </c>
      <c r="WR51" s="2">
        <v>92.75</v>
      </c>
      <c r="WS51" s="2">
        <v>92.16</v>
      </c>
      <c r="WT51" s="2">
        <v>92.7</v>
      </c>
      <c r="WU51" s="2">
        <v>93.18000000000001</v>
      </c>
      <c r="WV51" s="2">
        <v>90.90000000000001</v>
      </c>
      <c r="WW51" s="2">
        <v>89.56</v>
      </c>
      <c r="WX51" s="2">
        <v>93.19</v>
      </c>
      <c r="WY51" s="2">
        <v>94.19</v>
      </c>
      <c r="WZ51" s="2">
        <v>93.45</v>
      </c>
      <c r="XA51" s="2">
        <v>94.08</v>
      </c>
      <c r="XB51" s="2">
        <v>95.41</v>
      </c>
      <c r="XC51" s="2">
        <v>94.5</v>
      </c>
      <c r="XD51" s="2">
        <v>91.81999999999999</v>
      </c>
      <c r="XE51" s="2">
        <v>90.75</v>
      </c>
      <c r="XF51" s="2">
        <v>90.90000000000001</v>
      </c>
      <c r="XG51" s="2">
        <v>90.48999999999999</v>
      </c>
      <c r="XH51" s="2">
        <v>87.81</v>
      </c>
      <c r="XI51" s="2">
        <v>87.18000000000001</v>
      </c>
      <c r="XJ51" s="2">
        <v>88.01000000000001</v>
      </c>
      <c r="XK51" s="2">
        <v>89.78</v>
      </c>
      <c r="XL51" s="2">
        <v>91.48</v>
      </c>
      <c r="XM51" s="2">
        <v>90.20999999999999</v>
      </c>
      <c r="XN51" s="2">
        <v>92.45</v>
      </c>
      <c r="XO51" s="2">
        <v>91.53</v>
      </c>
      <c r="XP51" s="2">
        <v>90.42</v>
      </c>
      <c r="XQ51" s="2">
        <v>91.83</v>
      </c>
      <c r="XR51" s="2">
        <v>94.56999999999999</v>
      </c>
      <c r="XS51" s="2">
        <v>99.67</v>
      </c>
      <c r="XT51" s="2">
        <v>99.40000000000001</v>
      </c>
      <c r="XU51" s="2">
        <v>98.63</v>
      </c>
      <c r="XV51" s="2">
        <v>98.14</v>
      </c>
      <c r="XW51" s="2">
        <v>96.43000000000001</v>
      </c>
      <c r="XX51" s="2">
        <v>96.88</v>
      </c>
      <c r="XY51" s="2">
        <v>100.4</v>
      </c>
      <c r="XZ51" s="2">
        <v>103.75</v>
      </c>
      <c r="YA51" s="2">
        <v>105.36</v>
      </c>
      <c r="YB51" s="2">
        <v>106.78</v>
      </c>
      <c r="YC51" s="2">
        <v>102.67</v>
      </c>
      <c r="YD51" s="2">
        <v>102.29</v>
      </c>
      <c r="YE51" s="2">
        <v>102.27</v>
      </c>
      <c r="YF51" s="2">
        <v>99.12</v>
      </c>
      <c r="YG51" s="2">
        <v>100.23</v>
      </c>
      <c r="YH51" s="2">
        <v>101.03</v>
      </c>
      <c r="YI51" s="2">
        <v>100.6</v>
      </c>
      <c r="YJ51" s="2">
        <v>100.51</v>
      </c>
      <c r="YK51" s="2">
        <v>98.25</v>
      </c>
      <c r="YL51" s="2">
        <v>99.95</v>
      </c>
      <c r="YM51" s="2">
        <v>100.18</v>
      </c>
      <c r="YN51" s="2">
        <v>98.31999999999999</v>
      </c>
      <c r="YO51" s="2">
        <v>98.42</v>
      </c>
      <c r="YP51" s="2">
        <v>98.26000000000001</v>
      </c>
      <c r="ACI51" s="2">
        <v>0.5</v>
      </c>
      <c r="ACJ51" s="2">
        <v>0</v>
      </c>
      <c r="ACK51" s="2">
        <v>0.4</v>
      </c>
      <c r="ACL51" s="2">
        <v>1.5</v>
      </c>
      <c r="ACM51" s="2">
        <v>1.1</v>
      </c>
      <c r="ACN51" s="2">
        <v>1.1</v>
      </c>
      <c r="ACO51" s="2">
        <v>1</v>
      </c>
      <c r="ACP51" s="2">
        <v>5.7</v>
      </c>
      <c r="ACQ51" s="2">
        <v>2.6</v>
      </c>
      <c r="ACR51" s="2">
        <v>1.5</v>
      </c>
      <c r="ACS51" s="2">
        <v>1.5</v>
      </c>
      <c r="ACT51" s="2">
        <v>0</v>
      </c>
      <c r="ACU51" s="2">
        <v>2.4</v>
      </c>
      <c r="ACV51" s="2">
        <v>0.5</v>
      </c>
      <c r="ACW51" s="2">
        <v>0.7</v>
      </c>
      <c r="ACX51" s="2">
        <v>0.6</v>
      </c>
      <c r="ACY51" s="2">
        <v>0.7</v>
      </c>
      <c r="ACZ51" s="2">
        <v>1.2</v>
      </c>
      <c r="ADA51" s="2">
        <v>2.3</v>
      </c>
      <c r="ADB51" s="2">
        <v>-0.2</v>
      </c>
      <c r="ADC51" s="2">
        <v>1.9</v>
      </c>
      <c r="ADD51" s="2">
        <v>1</v>
      </c>
      <c r="ADE51" s="2">
        <v>0.8</v>
      </c>
      <c r="ADF51" s="2">
        <v>1.2</v>
      </c>
      <c r="ADG51" s="2">
        <v>0.3</v>
      </c>
      <c r="ADH51" s="2">
        <v>1</v>
      </c>
      <c r="ADI51" s="2">
        <v>0.6</v>
      </c>
      <c r="ADJ51" s="2">
        <v>0.6</v>
      </c>
      <c r="ADK51" s="2">
        <v>1.1</v>
      </c>
      <c r="ADL51" s="2">
        <v>2.5</v>
      </c>
      <c r="ADM51" s="2">
        <v>1.5</v>
      </c>
      <c r="ADN51" s="2">
        <v>3.6</v>
      </c>
      <c r="ADO51" s="2">
        <v>0</v>
      </c>
      <c r="ADP51" s="2">
        <v>1</v>
      </c>
      <c r="ADQ51" s="2">
        <v>1.7</v>
      </c>
      <c r="ADR51" s="2">
        <v>1.7</v>
      </c>
      <c r="ADS51" s="2">
        <v>2.1</v>
      </c>
      <c r="ADT51" s="2">
        <v>1.4</v>
      </c>
      <c r="ADU51" s="2">
        <v>0.9</v>
      </c>
      <c r="ADV51" s="2">
        <v>1.6</v>
      </c>
      <c r="ADW51" s="2">
        <v>0.3</v>
      </c>
      <c r="ADX51" s="2">
        <v>0.1</v>
      </c>
      <c r="ADY51" s="2">
        <v>1.2</v>
      </c>
      <c r="ADZ51" s="2">
        <v>0.7</v>
      </c>
      <c r="AEA51" s="2">
        <v>0.8</v>
      </c>
      <c r="AEB51" s="2">
        <v>0.6</v>
      </c>
      <c r="AEC51" s="2">
        <v>0.6</v>
      </c>
      <c r="AED51" s="2">
        <v>-0.5</v>
      </c>
      <c r="AEE51" s="2">
        <v>-0.4</v>
      </c>
      <c r="AEF51" s="2">
        <v>-0.5</v>
      </c>
      <c r="AEG51" s="2">
        <v>1.3</v>
      </c>
      <c r="AEH51" s="2">
        <v>0.1</v>
      </c>
      <c r="AEI51" s="2">
        <v>3.2</v>
      </c>
      <c r="AEJ51" s="2">
        <v>3.3</v>
      </c>
      <c r="AEK51" s="2">
        <v>1</v>
      </c>
      <c r="AEL51" s="2">
        <v>2</v>
      </c>
      <c r="AEM51" s="2">
        <v>1.5</v>
      </c>
      <c r="AEN51" s="2">
        <v>1.1</v>
      </c>
      <c r="AEO51" s="2">
        <v>1.9</v>
      </c>
      <c r="AEP51" s="2">
        <v>0.4</v>
      </c>
      <c r="AEQ51" s="2">
        <v>1</v>
      </c>
      <c r="AER51" s="2">
        <v>1.2</v>
      </c>
      <c r="AES51" s="2">
        <v>1.4</v>
      </c>
      <c r="AET51" s="2">
        <v>1.3</v>
      </c>
      <c r="AEU51" s="2">
        <v>1.8</v>
      </c>
      <c r="AEV51" s="2">
        <v>0.5</v>
      </c>
      <c r="AEW51" s="2">
        <v>-0.4</v>
      </c>
      <c r="AEX51" s="2">
        <v>1.8</v>
      </c>
      <c r="AEY51" s="2">
        <v>1.3</v>
      </c>
      <c r="AEZ51" s="2">
        <v>-0.5</v>
      </c>
      <c r="AFA51" s="2">
        <v>0.2</v>
      </c>
      <c r="AFB51" s="2">
        <v>1</v>
      </c>
      <c r="AFC51" s="2">
        <v>0.3</v>
      </c>
      <c r="AFD51" s="2">
        <v>0</v>
      </c>
      <c r="AFE51" s="2">
        <v>1.9</v>
      </c>
      <c r="AFF51" s="2">
        <v>0.7</v>
      </c>
      <c r="AFG51" s="2">
        <v>0.1</v>
      </c>
      <c r="AFH51" s="2">
        <v>0.5</v>
      </c>
      <c r="AFI51" s="2">
        <v>-0.4</v>
      </c>
      <c r="AFJ51" s="2">
        <v>-0.6</v>
      </c>
      <c r="AFK51" s="2">
        <v>-0.3</v>
      </c>
      <c r="AFL51" s="2">
        <v>0.7</v>
      </c>
      <c r="AFM51" s="2">
        <v>1.1</v>
      </c>
      <c r="AFN51" s="2">
        <v>0.1</v>
      </c>
      <c r="AFO51" s="2">
        <v>0.3</v>
      </c>
      <c r="AFP51" s="2">
        <v>0.4</v>
      </c>
      <c r="AFQ51" s="2">
        <v>0</v>
      </c>
      <c r="AFR51" s="2">
        <v>1.2</v>
      </c>
      <c r="AFS51" s="2">
        <v>0.8</v>
      </c>
      <c r="AFT51" s="2">
        <v>0</v>
      </c>
      <c r="AFU51" s="2">
        <v>-0.7</v>
      </c>
      <c r="AFV51" s="2">
        <v>0.9</v>
      </c>
      <c r="AFW51" s="2">
        <v>-0.3</v>
      </c>
      <c r="AFX51" s="2">
        <v>0.3</v>
      </c>
      <c r="AFY51" s="2">
        <v>1</v>
      </c>
      <c r="AFZ51" s="2">
        <v>0.5</v>
      </c>
      <c r="AGA51" s="2">
        <v>-0.4</v>
      </c>
      <c r="AGB51" s="2">
        <v>-0.3</v>
      </c>
      <c r="AGC51" s="2">
        <v>0.4</v>
      </c>
      <c r="AGD51" s="2">
        <v>-0.4</v>
      </c>
      <c r="AGE51" s="2">
        <v>-0.4</v>
      </c>
      <c r="AGF51" s="2">
        <v>-0.5</v>
      </c>
      <c r="AGG51" s="2">
        <v>0</v>
      </c>
      <c r="AGH51" s="2">
        <v>-0.4</v>
      </c>
      <c r="AGI51" s="2">
        <v>-1.4</v>
      </c>
      <c r="AGJ51" s="2">
        <v>-0.3</v>
      </c>
      <c r="AGK51" s="2">
        <v>0.5</v>
      </c>
      <c r="AGL51" s="2">
        <v>0</v>
      </c>
      <c r="AGM51" s="2">
        <v>-0.8</v>
      </c>
      <c r="AGN51" s="2">
        <v>-0.5</v>
      </c>
      <c r="AGO51" s="2">
        <v>-0.2</v>
      </c>
      <c r="AGP51" s="2">
        <v>2.9</v>
      </c>
      <c r="AGQ51" s="2">
        <v>0.5</v>
      </c>
      <c r="AGR51" s="2">
        <v>2.2</v>
      </c>
      <c r="AGS51" s="2">
        <v>0.2</v>
      </c>
      <c r="AGT51" s="2">
        <v>-0.8</v>
      </c>
      <c r="AGU51" s="2">
        <v>0</v>
      </c>
      <c r="AGV51" s="2">
        <v>-1.7</v>
      </c>
      <c r="AGW51" s="2">
        <v>-0.4</v>
      </c>
      <c r="AGX51" s="2">
        <v>0</v>
      </c>
      <c r="AGY51" s="2">
        <v>0.1</v>
      </c>
      <c r="AGZ51" s="2">
        <v>-1.5</v>
      </c>
      <c r="AHA51" s="2">
        <v>0</v>
      </c>
      <c r="AHB51" s="2">
        <v>0.3</v>
      </c>
      <c r="AHC51" s="2">
        <v>0.7</v>
      </c>
      <c r="AHD51" s="2">
        <v>-0.8</v>
      </c>
      <c r="AHE51" s="2">
        <v>-0.5</v>
      </c>
      <c r="AHF51" s="2">
        <v>0</v>
      </c>
      <c r="AHG51" s="2">
        <v>0.5</v>
      </c>
      <c r="AHH51" s="2">
        <v>0.3</v>
      </c>
      <c r="AHI51" s="2">
        <v>1.8</v>
      </c>
      <c r="AHJ51" s="2">
        <v>1.7</v>
      </c>
      <c r="AHK51" s="2">
        <v>-1</v>
      </c>
      <c r="AHL51" s="2">
        <v>-0.8</v>
      </c>
      <c r="AHM51" s="2">
        <v>-0.1</v>
      </c>
      <c r="AHN51" s="2">
        <v>-1.9</v>
      </c>
      <c r="AHO51" s="2">
        <v>-0.2</v>
      </c>
      <c r="AHP51" s="2">
        <v>-0.5</v>
      </c>
      <c r="AHQ51" s="2">
        <v>0.3</v>
      </c>
      <c r="AHR51" s="2">
        <v>0.1</v>
      </c>
      <c r="AHS51" s="2">
        <v>-0.6</v>
      </c>
      <c r="AHT51" s="2">
        <v>-0.6</v>
      </c>
      <c r="AHU51" s="2">
        <v>1.8</v>
      </c>
      <c r="AHV51" s="2">
        <v>-1.2</v>
      </c>
      <c r="AHW51" s="2">
        <v>-0.3</v>
      </c>
      <c r="AHX51" s="2">
        <v>1.8</v>
      </c>
      <c r="AHY51" s="2">
        <v>-0.8</v>
      </c>
      <c r="AHZ51" s="2">
        <v>1.7</v>
      </c>
      <c r="AIA51" s="2">
        <v>-2.8</v>
      </c>
      <c r="AIB51" s="2">
        <v>-0.5</v>
      </c>
      <c r="AIC51" s="2">
        <v>-0.6</v>
      </c>
      <c r="AID51" s="2">
        <v>-0.6</v>
      </c>
      <c r="AIE51" s="2">
        <v>-2.2</v>
      </c>
      <c r="AIF51" s="2">
        <v>-1.7</v>
      </c>
      <c r="AIG51" s="2">
        <v>1</v>
      </c>
      <c r="AIH51" s="2">
        <v>-0.7</v>
      </c>
      <c r="AII51" s="2">
        <v>-3.3</v>
      </c>
      <c r="AIJ51" s="2">
        <v>0.3</v>
      </c>
      <c r="AIK51" s="2">
        <v>-1.1</v>
      </c>
      <c r="AIL51" s="2">
        <v>0.7</v>
      </c>
      <c r="AIM51" s="2">
        <v>-2.9</v>
      </c>
      <c r="AIN51" s="2">
        <v>-1.8</v>
      </c>
      <c r="AIO51" s="2">
        <v>0</v>
      </c>
      <c r="AIP51" s="2">
        <v>-0.8</v>
      </c>
      <c r="AIQ51" s="2">
        <v>3.6</v>
      </c>
      <c r="AIR51" s="2">
        <v>-0.6</v>
      </c>
      <c r="AIS51" s="2">
        <v>0.6</v>
      </c>
      <c r="AIT51" s="2">
        <v>0.5</v>
      </c>
      <c r="AIU51" s="2">
        <v>-2.4</v>
      </c>
      <c r="AIV51" s="2">
        <v>-1.5</v>
      </c>
      <c r="AIW51" s="2">
        <v>4.1</v>
      </c>
      <c r="AIX51" s="2">
        <v>1.1</v>
      </c>
      <c r="AIY51" s="2">
        <v>-0.8</v>
      </c>
      <c r="AIZ51" s="2">
        <v>0.7</v>
      </c>
      <c r="AJA51" s="2">
        <v>1.4</v>
      </c>
      <c r="AJB51" s="2">
        <v>-1</v>
      </c>
      <c r="AJC51" s="2">
        <v>-2.8</v>
      </c>
      <c r="AJD51" s="2">
        <v>-1.2</v>
      </c>
      <c r="AJE51" s="2">
        <v>0.2</v>
      </c>
      <c r="AJF51" s="2">
        <v>-0.5</v>
      </c>
      <c r="AJG51" s="2">
        <v>-3</v>
      </c>
      <c r="AJH51" s="2">
        <v>-0.7</v>
      </c>
      <c r="AJI51" s="2">
        <v>1</v>
      </c>
      <c r="AJJ51" s="2">
        <v>2</v>
      </c>
      <c r="AJK51" s="2">
        <v>1.9</v>
      </c>
      <c r="AJL51" s="2">
        <v>-1.4</v>
      </c>
      <c r="AJM51" s="2">
        <v>2.5</v>
      </c>
      <c r="AJN51" s="2">
        <v>-1</v>
      </c>
      <c r="AJO51" s="2">
        <v>-1.2</v>
      </c>
      <c r="AJP51" s="2">
        <v>1.6</v>
      </c>
      <c r="AJQ51" s="2">
        <v>3</v>
      </c>
      <c r="AJR51" s="2">
        <v>5.4</v>
      </c>
      <c r="AJS51" s="2">
        <v>-0.3</v>
      </c>
      <c r="AJT51" s="2">
        <v>-0.8</v>
      </c>
      <c r="AJU51" s="2">
        <v>-0.5</v>
      </c>
      <c r="AJV51" s="2">
        <v>-1.7</v>
      </c>
      <c r="AJW51" s="2">
        <v>0.5</v>
      </c>
      <c r="AJX51" s="2">
        <v>3.6</v>
      </c>
      <c r="AJY51" s="2">
        <v>3.3</v>
      </c>
      <c r="AJZ51" s="2">
        <v>1.6</v>
      </c>
      <c r="AKA51" s="2">
        <v>1.3</v>
      </c>
      <c r="AKB51" s="2">
        <v>-3.8</v>
      </c>
      <c r="AKC51" s="2">
        <v>-0.4</v>
      </c>
      <c r="AKD51" s="2">
        <v>0</v>
      </c>
      <c r="AKE51" s="2">
        <v>-3.1</v>
      </c>
      <c r="AKF51" s="2">
        <v>1.1</v>
      </c>
      <c r="AKG51" s="2">
        <v>0.8</v>
      </c>
      <c r="AKH51" s="2">
        <v>-0.4</v>
      </c>
      <c r="AKI51" s="2">
        <v>-0.1</v>
      </c>
      <c r="AKJ51" s="2">
        <v>-2.2</v>
      </c>
      <c r="AKK51" s="2">
        <v>1.7</v>
      </c>
      <c r="AKL51" s="2">
        <v>0.2</v>
      </c>
      <c r="AKM51" s="2">
        <v>-1.9</v>
      </c>
      <c r="AKN51" s="2">
        <v>0.1</v>
      </c>
      <c r="AKO51" s="2">
        <v>-0.2</v>
      </c>
      <c r="AKP51" s="2">
        <v>0.33</v>
      </c>
      <c r="AKQ51" s="2">
        <v>0.33</v>
      </c>
      <c r="AKR51" s="2">
        <v>0.33</v>
      </c>
    </row>
    <row r="52">
      <c r="A52" t="inlineStr">
        <is>
          <t>Small electric household appliances</t>
        </is>
      </c>
      <c r="B52" t="inlineStr">
        <is>
          <t>Household appliances, utensils and tools</t>
        </is>
      </c>
      <c r="C52">
        <v>3</v>
      </c>
      <c r="D52">
        <v>0.25</v>
      </c>
      <c r="E52" s="3">
        <f>D52/1.27*0.012816223067173638</f>
        <v>0.002522878556530244</v>
      </c>
      <c r="F52" s="3">
        <f>E52-D52/100</f>
        <v>2.2878556530243812e-05</v>
      </c>
      <c r="G52" s="3">
        <f>D52/1.27</f>
        <v>0.19685039370078738</v>
      </c>
      <c r="CI52" s="2">
        <v>101.48</v>
      </c>
      <c r="CJ52" s="2">
        <v>104.09</v>
      </c>
      <c r="CK52" s="2">
        <v>100.77</v>
      </c>
      <c r="CL52" s="2">
        <v>103.88</v>
      </c>
      <c r="CM52" s="2">
        <v>103.77</v>
      </c>
      <c r="CN52" s="2">
        <v>100.04</v>
      </c>
      <c r="CO52" s="2">
        <v>101.33</v>
      </c>
      <c r="CP52" s="2">
        <v>102.36</v>
      </c>
      <c r="CQ52" s="2">
        <v>96.52</v>
      </c>
      <c r="CR52" s="2">
        <v>99.76000000000001</v>
      </c>
      <c r="CS52" s="2">
        <v>100.94</v>
      </c>
      <c r="CT52" s="2">
        <v>99.16</v>
      </c>
      <c r="CU52" s="2">
        <v>100.91</v>
      </c>
      <c r="CV52" s="2">
        <v>100.65</v>
      </c>
      <c r="CW52" s="2">
        <v>98.94</v>
      </c>
      <c r="CX52" s="2">
        <v>99.62</v>
      </c>
      <c r="CY52" s="2">
        <v>103.44</v>
      </c>
      <c r="CZ52" s="2">
        <v>100</v>
      </c>
      <c r="DA52" s="2">
        <v>101.49</v>
      </c>
      <c r="DB52" s="2">
        <v>102.13</v>
      </c>
      <c r="DC52" s="2">
        <v>96.08</v>
      </c>
      <c r="DD52" s="2">
        <v>97.56</v>
      </c>
      <c r="DE52" s="2">
        <v>100.82</v>
      </c>
      <c r="DF52" s="2">
        <v>99.06999999999999</v>
      </c>
      <c r="DG52" s="2">
        <v>98.90000000000001</v>
      </c>
      <c r="DH52" s="2">
        <v>99</v>
      </c>
      <c r="DI52" s="2">
        <v>98.43000000000001</v>
      </c>
      <c r="DJ52" s="2">
        <v>100.27</v>
      </c>
      <c r="GL52" s="2">
        <v>-0.6</v>
      </c>
      <c r="GM52" s="2">
        <v>-3.3</v>
      </c>
      <c r="GN52" s="2">
        <v>-1.8</v>
      </c>
      <c r="GO52" s="2">
        <v>-4.1</v>
      </c>
      <c r="GP52" s="2">
        <v>-0.3</v>
      </c>
      <c r="GQ52" s="2">
        <v>0</v>
      </c>
      <c r="GR52" s="2">
        <v>0.2</v>
      </c>
      <c r="GS52" s="2">
        <v>-0.2</v>
      </c>
      <c r="GT52" s="2">
        <v>-0.5</v>
      </c>
      <c r="GU52" s="2">
        <v>-2.2</v>
      </c>
      <c r="GV52" s="2">
        <v>-0.1</v>
      </c>
      <c r="GW52" s="2">
        <v>-0.1</v>
      </c>
      <c r="GX52" s="2">
        <v>-2</v>
      </c>
      <c r="GY52" s="2">
        <v>-1.6</v>
      </c>
      <c r="GZ52" s="2">
        <v>-0.5</v>
      </c>
      <c r="HA52" s="2">
        <v>0.7</v>
      </c>
      <c r="KC52" s="2">
        <v>2.6</v>
      </c>
      <c r="KD52" s="2">
        <v>-3.2</v>
      </c>
      <c r="KE52" s="2">
        <v>3.1</v>
      </c>
      <c r="KF52" s="2">
        <v>-0.1</v>
      </c>
      <c r="KG52" s="2">
        <v>-3.6</v>
      </c>
      <c r="KH52" s="2">
        <v>1.3</v>
      </c>
      <c r="KI52" s="2">
        <v>1</v>
      </c>
      <c r="KJ52" s="2">
        <v>-5.7</v>
      </c>
      <c r="KK52" s="2">
        <v>3.4</v>
      </c>
      <c r="KL52" s="2">
        <v>1.2</v>
      </c>
      <c r="KM52" s="2">
        <v>-1.8</v>
      </c>
      <c r="KN52" s="2">
        <v>1.8</v>
      </c>
      <c r="KO52" s="2">
        <v>-0.3</v>
      </c>
      <c r="KP52" s="2">
        <v>-1.7</v>
      </c>
      <c r="KQ52" s="2">
        <v>0.7</v>
      </c>
      <c r="KR52" s="2">
        <v>3.8</v>
      </c>
      <c r="KS52" s="2">
        <v>-3.3</v>
      </c>
      <c r="KT52" s="2">
        <v>1.5</v>
      </c>
      <c r="KU52" s="2">
        <v>0.6</v>
      </c>
      <c r="KV52" s="2">
        <v>-5.9</v>
      </c>
      <c r="KW52" s="2">
        <v>1.5</v>
      </c>
      <c r="KX52" s="2">
        <v>3.3</v>
      </c>
      <c r="KY52" s="2">
        <v>-1.7</v>
      </c>
      <c r="KZ52" s="2">
        <v>-0.2</v>
      </c>
      <c r="LA52" s="2">
        <v>0.1</v>
      </c>
      <c r="LB52" s="2">
        <v>-0.6</v>
      </c>
      <c r="LC52" s="2">
        <v>1.9</v>
      </c>
      <c r="LD52" s="2">
        <v>0.24</v>
      </c>
      <c r="LE52" s="2">
        <v>0.25</v>
      </c>
      <c r="LF52" s="2">
        <v>0.26</v>
      </c>
      <c r="LG52" s="2">
        <v>0.25</v>
      </c>
      <c r="LH52" s="2">
        <v>0.26</v>
      </c>
      <c r="LI52" s="2">
        <v>0.25</v>
      </c>
      <c r="LJ52" s="2">
        <v>0.25</v>
      </c>
      <c r="LK52" s="2">
        <v>0.25</v>
      </c>
      <c r="LL52" s="2">
        <v>0.26</v>
      </c>
      <c r="LM52" s="2">
        <v>0.25</v>
      </c>
      <c r="LN52" s="2">
        <v>0.26</v>
      </c>
      <c r="LO52" s="2">
        <v>0.26</v>
      </c>
      <c r="LP52" s="2">
        <v>0.24</v>
      </c>
      <c r="LQ52" s="2">
        <v>0.25</v>
      </c>
      <c r="LR52" s="2">
        <v>0.26</v>
      </c>
      <c r="LS52" s="2">
        <v>0.25</v>
      </c>
      <c r="LT52" s="2">
        <v>0.25</v>
      </c>
      <c r="LU52" s="2">
        <v>0.25</v>
      </c>
      <c r="LV52" s="2">
        <v>0.25</v>
      </c>
      <c r="LW52" s="2">
        <v>0.25</v>
      </c>
      <c r="LX52" s="2">
        <v>0.01</v>
      </c>
      <c r="LY52" s="2">
        <v>0.01</v>
      </c>
      <c r="LZ52" s="2">
        <v>-0.01</v>
      </c>
      <c r="MA52" s="2">
        <v>0.01</v>
      </c>
      <c r="MB52" s="2">
        <v>-0.01</v>
      </c>
      <c r="MC52" s="2">
        <v>0</v>
      </c>
      <c r="MD52" s="2">
        <v>0</v>
      </c>
      <c r="ME52" s="2">
        <v>0.01</v>
      </c>
      <c r="MF52" s="2">
        <v>-0.01</v>
      </c>
      <c r="MG52" s="2">
        <v>0.01</v>
      </c>
      <c r="MH52" s="2">
        <v>0</v>
      </c>
      <c r="MI52" s="2">
        <v>-0.02</v>
      </c>
      <c r="MJ52" s="2">
        <v>0.01</v>
      </c>
      <c r="MK52" s="2">
        <v>0.01</v>
      </c>
      <c r="ML52" s="2">
        <v>-0.01</v>
      </c>
      <c r="MM52" s="2">
        <v>0</v>
      </c>
      <c r="MN52" s="2">
        <v>0</v>
      </c>
      <c r="MO52" s="2">
        <v>0</v>
      </c>
      <c r="MP52" s="2">
        <v>0</v>
      </c>
      <c r="QI52" s="2">
        <v>50.57</v>
      </c>
      <c r="QJ52" s="2">
        <v>50.79</v>
      </c>
      <c r="QK52" s="2">
        <v>50.79</v>
      </c>
      <c r="QL52" s="2">
        <v>51.01</v>
      </c>
      <c r="QM52" s="2">
        <v>51.79</v>
      </c>
      <c r="QN52" s="2">
        <v>52.35</v>
      </c>
      <c r="QO52" s="2">
        <v>52.91</v>
      </c>
      <c r="QP52" s="2">
        <v>53.47</v>
      </c>
      <c r="QQ52" s="2">
        <v>56.48</v>
      </c>
      <c r="QR52" s="2">
        <v>57.93</v>
      </c>
      <c r="QS52" s="2">
        <v>58.83</v>
      </c>
      <c r="QT52" s="2">
        <v>59.72</v>
      </c>
      <c r="QU52" s="2">
        <v>59.72</v>
      </c>
      <c r="QV52" s="2">
        <v>61.17</v>
      </c>
      <c r="QW52" s="2">
        <v>61.51</v>
      </c>
      <c r="QX52" s="2">
        <v>61.95</v>
      </c>
      <c r="QY52" s="2">
        <v>62.29</v>
      </c>
      <c r="QZ52" s="2">
        <v>62.73</v>
      </c>
      <c r="RA52" s="2">
        <v>63.51</v>
      </c>
      <c r="RB52" s="2">
        <v>64.97</v>
      </c>
      <c r="RC52" s="2">
        <v>64.84999999999999</v>
      </c>
      <c r="RD52" s="2">
        <v>66.08</v>
      </c>
      <c r="RE52" s="2">
        <v>66.75</v>
      </c>
      <c r="RF52" s="2">
        <v>67.31</v>
      </c>
      <c r="RG52" s="2">
        <v>68.09</v>
      </c>
      <c r="RH52" s="2">
        <v>68.31</v>
      </c>
      <c r="RI52" s="2">
        <v>68.98</v>
      </c>
      <c r="RJ52" s="2">
        <v>69.43000000000001</v>
      </c>
      <c r="RK52" s="2">
        <v>69.88</v>
      </c>
      <c r="RL52" s="2">
        <v>70.66</v>
      </c>
      <c r="RM52" s="2">
        <v>72.44</v>
      </c>
      <c r="RN52" s="2">
        <v>73.56</v>
      </c>
      <c r="RO52" s="2">
        <v>76.23999999999999</v>
      </c>
      <c r="RP52" s="2">
        <v>76.23999999999999</v>
      </c>
      <c r="RQ52" s="2">
        <v>77.02</v>
      </c>
      <c r="RR52" s="2">
        <v>78.36</v>
      </c>
      <c r="RS52" s="2">
        <v>79.7</v>
      </c>
      <c r="RT52" s="2">
        <v>81.37</v>
      </c>
      <c r="RU52" s="2">
        <v>82.48999999999999</v>
      </c>
      <c r="RV52" s="2">
        <v>83.27</v>
      </c>
      <c r="RW52" s="2">
        <v>84.61</v>
      </c>
      <c r="RX52" s="2">
        <v>84.84</v>
      </c>
      <c r="RY52" s="2">
        <v>84.95</v>
      </c>
      <c r="RZ52" s="2">
        <v>85.95</v>
      </c>
      <c r="SA52" s="2">
        <v>86.51000000000001</v>
      </c>
      <c r="SB52" s="2">
        <v>87.18000000000001</v>
      </c>
      <c r="SC52" s="2">
        <v>87.73999999999999</v>
      </c>
      <c r="SD52" s="2">
        <v>88.3</v>
      </c>
      <c r="SE52" s="2">
        <v>87.84999999999999</v>
      </c>
      <c r="SF52" s="2">
        <v>87.51000000000001</v>
      </c>
      <c r="SG52" s="2">
        <v>87.06999999999999</v>
      </c>
      <c r="SH52" s="2">
        <v>88.18000000000001</v>
      </c>
      <c r="SI52" s="2">
        <v>88.3</v>
      </c>
      <c r="SJ52" s="2">
        <v>91.09</v>
      </c>
      <c r="SK52" s="2">
        <v>94.09999999999999</v>
      </c>
      <c r="SL52" s="2">
        <v>94.98999999999999</v>
      </c>
      <c r="SM52" s="2">
        <v>96.89</v>
      </c>
      <c r="SN52" s="2">
        <v>98.34</v>
      </c>
      <c r="SO52" s="2">
        <v>99.45999999999999</v>
      </c>
      <c r="SP52" s="2">
        <v>101.36</v>
      </c>
      <c r="SQ52" s="2">
        <v>101.8</v>
      </c>
      <c r="SR52" s="2">
        <v>102.81</v>
      </c>
      <c r="SS52" s="2">
        <v>104.03</v>
      </c>
      <c r="ST52" s="2">
        <v>105.49</v>
      </c>
      <c r="SU52" s="2">
        <v>106.83</v>
      </c>
      <c r="SV52" s="2">
        <v>108.72</v>
      </c>
      <c r="SW52" s="2">
        <v>109.28</v>
      </c>
      <c r="SX52" s="2">
        <v>108.83</v>
      </c>
      <c r="SY52" s="2">
        <v>110.73</v>
      </c>
      <c r="SZ52" s="2">
        <v>112.18</v>
      </c>
      <c r="TA52" s="2">
        <v>111.63</v>
      </c>
      <c r="TB52" s="2">
        <v>111.85</v>
      </c>
      <c r="TC52" s="2">
        <v>112.96</v>
      </c>
      <c r="TD52" s="2">
        <v>113.3</v>
      </c>
      <c r="TE52" s="2">
        <v>113.3</v>
      </c>
      <c r="TF52" s="2">
        <v>115.42</v>
      </c>
      <c r="TG52" s="2">
        <v>116.2</v>
      </c>
      <c r="TH52" s="2">
        <v>116.31</v>
      </c>
      <c r="TI52" s="2">
        <v>116.87</v>
      </c>
      <c r="TJ52" s="2">
        <v>116.43</v>
      </c>
      <c r="TK52" s="2">
        <v>115.76</v>
      </c>
      <c r="TL52" s="2">
        <v>115.42</v>
      </c>
      <c r="TM52" s="2">
        <v>116.2</v>
      </c>
      <c r="TN52" s="2">
        <v>117.43</v>
      </c>
      <c r="TO52" s="2">
        <v>117.54</v>
      </c>
      <c r="TP52" s="2">
        <v>117.88</v>
      </c>
      <c r="TQ52" s="2">
        <v>118.32</v>
      </c>
      <c r="TR52" s="2">
        <v>118.32</v>
      </c>
      <c r="TS52" s="2">
        <v>119.77</v>
      </c>
      <c r="TT52" s="2">
        <v>120.78</v>
      </c>
      <c r="TU52" s="2">
        <v>120.78</v>
      </c>
      <c r="TV52" s="2">
        <v>119.89</v>
      </c>
      <c r="TW52" s="2">
        <v>121</v>
      </c>
      <c r="TX52" s="2">
        <v>120.67</v>
      </c>
      <c r="TY52" s="2">
        <v>121</v>
      </c>
      <c r="TZ52" s="2">
        <v>122.23</v>
      </c>
      <c r="UA52" s="2">
        <v>122.9</v>
      </c>
      <c r="UB52" s="2">
        <v>122.45</v>
      </c>
      <c r="UC52" s="2">
        <v>122.12</v>
      </c>
      <c r="UD52" s="2">
        <v>122.56</v>
      </c>
      <c r="UE52" s="2">
        <v>122.12</v>
      </c>
      <c r="UF52" s="2">
        <v>121.67</v>
      </c>
      <c r="UG52" s="2">
        <v>121.11</v>
      </c>
      <c r="UH52" s="2">
        <v>121.11</v>
      </c>
      <c r="UI52" s="2">
        <v>120.67</v>
      </c>
      <c r="UJ52" s="2">
        <v>118.88</v>
      </c>
      <c r="UK52" s="2">
        <v>118.55</v>
      </c>
      <c r="UL52" s="2">
        <v>119.1</v>
      </c>
      <c r="UM52" s="2">
        <v>119.1</v>
      </c>
      <c r="UN52" s="2">
        <v>118.21</v>
      </c>
      <c r="UO52" s="2">
        <v>117.55</v>
      </c>
      <c r="UP52" s="2">
        <v>117.32</v>
      </c>
      <c r="UQ52" s="2">
        <v>118.77</v>
      </c>
      <c r="UR52" s="2">
        <v>118.43</v>
      </c>
      <c r="US52" s="2">
        <v>119.95</v>
      </c>
      <c r="UT52" s="2">
        <v>119.07</v>
      </c>
      <c r="UU52" s="2">
        <v>120.16</v>
      </c>
      <c r="UV52" s="2">
        <v>121.09</v>
      </c>
      <c r="UW52" s="2">
        <v>119.16</v>
      </c>
      <c r="UX52" s="2">
        <v>119.7</v>
      </c>
      <c r="UY52" s="2">
        <v>119.29</v>
      </c>
      <c r="UZ52" s="2">
        <v>119.68</v>
      </c>
      <c r="VA52" s="2">
        <v>118.66</v>
      </c>
      <c r="VB52" s="2">
        <v>117.78</v>
      </c>
      <c r="VC52" s="2">
        <v>118</v>
      </c>
      <c r="VD52" s="2">
        <v>114.19</v>
      </c>
      <c r="VE52" s="2">
        <v>114.53</v>
      </c>
      <c r="VF52" s="2">
        <v>113.4</v>
      </c>
      <c r="VG52" s="2">
        <v>112.65</v>
      </c>
      <c r="VH52" s="2">
        <v>109.78</v>
      </c>
      <c r="VI52" s="2">
        <v>106.54</v>
      </c>
      <c r="VJ52" s="2">
        <v>106.97</v>
      </c>
      <c r="VK52" s="2">
        <v>106.61</v>
      </c>
      <c r="VL52" s="2">
        <v>104.92</v>
      </c>
      <c r="VM52" s="2">
        <v>103.97</v>
      </c>
      <c r="VN52" s="2">
        <v>104.16</v>
      </c>
      <c r="VO52" s="2">
        <v>104.38</v>
      </c>
      <c r="VP52" s="2">
        <v>103.71</v>
      </c>
      <c r="VQ52" s="2">
        <v>103.42</v>
      </c>
      <c r="VR52" s="2">
        <v>104.46</v>
      </c>
      <c r="VS52" s="2">
        <v>104.75</v>
      </c>
      <c r="VT52" s="2">
        <v>105.72</v>
      </c>
      <c r="VU52" s="2">
        <v>104.29</v>
      </c>
      <c r="VV52" s="2">
        <v>104.39</v>
      </c>
      <c r="VW52" s="2">
        <v>104.18</v>
      </c>
      <c r="VX52" s="2">
        <v>103.81</v>
      </c>
      <c r="VY52" s="2">
        <v>104.84</v>
      </c>
      <c r="VZ52" s="2">
        <v>107.5</v>
      </c>
      <c r="WA52" s="2">
        <v>109.4</v>
      </c>
      <c r="WB52" s="2">
        <v>107.23</v>
      </c>
      <c r="WC52" s="2">
        <v>105.57</v>
      </c>
      <c r="WD52" s="2">
        <v>107.44</v>
      </c>
      <c r="WE52" s="2">
        <v>107.42</v>
      </c>
      <c r="WF52" s="2">
        <v>106.63</v>
      </c>
      <c r="WG52" s="2">
        <v>106.01</v>
      </c>
      <c r="WH52" s="2">
        <v>105.83</v>
      </c>
      <c r="WI52" s="2">
        <v>106.89</v>
      </c>
      <c r="WJ52" s="2">
        <v>103.28</v>
      </c>
      <c r="WK52" s="2">
        <v>103.99</v>
      </c>
      <c r="WL52" s="2">
        <v>103.24</v>
      </c>
      <c r="WM52" s="2">
        <v>103.3</v>
      </c>
      <c r="WN52" s="2">
        <v>101.45</v>
      </c>
      <c r="WO52" s="2">
        <v>99.09</v>
      </c>
      <c r="WP52" s="2">
        <v>97.56999999999999</v>
      </c>
      <c r="WQ52" s="2">
        <v>98.77</v>
      </c>
      <c r="WR52" s="2">
        <v>98.65000000000001</v>
      </c>
      <c r="WS52" s="2">
        <v>98.17</v>
      </c>
      <c r="WT52" s="2">
        <v>98.16</v>
      </c>
      <c r="WU52" s="2">
        <v>98.38</v>
      </c>
      <c r="WV52" s="2">
        <v>97.23</v>
      </c>
      <c r="WW52" s="2">
        <v>95.28</v>
      </c>
      <c r="WX52" s="2">
        <v>96.68000000000001</v>
      </c>
      <c r="WY52" s="2">
        <v>100.42</v>
      </c>
      <c r="WZ52" s="2">
        <v>100.8</v>
      </c>
      <c r="XA52" s="2">
        <v>100.19</v>
      </c>
      <c r="XB52" s="2">
        <v>98.92</v>
      </c>
      <c r="XC52" s="2">
        <v>98.90000000000001</v>
      </c>
      <c r="XD52" s="2">
        <v>97.98</v>
      </c>
      <c r="XE52" s="2">
        <v>95.23</v>
      </c>
      <c r="XF52" s="2">
        <v>94.84999999999999</v>
      </c>
      <c r="XG52" s="2">
        <v>95.23</v>
      </c>
      <c r="XH52" s="2">
        <v>92.27</v>
      </c>
      <c r="XI52" s="2">
        <v>91.18000000000001</v>
      </c>
      <c r="XJ52" s="2">
        <v>92.28</v>
      </c>
      <c r="XK52" s="2">
        <v>92.94</v>
      </c>
      <c r="XL52" s="2">
        <v>94.81</v>
      </c>
      <c r="XM52" s="2">
        <v>93.97</v>
      </c>
      <c r="XN52" s="2">
        <v>92.54000000000001</v>
      </c>
      <c r="XO52" s="2">
        <v>94.84999999999999</v>
      </c>
      <c r="XP52" s="2">
        <v>93.31999999999999</v>
      </c>
      <c r="XQ52" s="2">
        <v>92.45999999999999</v>
      </c>
      <c r="XR52" s="2">
        <v>93.7</v>
      </c>
      <c r="XS52" s="2">
        <v>99.13</v>
      </c>
      <c r="XT52" s="2">
        <v>101.34</v>
      </c>
      <c r="XU52" s="2">
        <v>99.08</v>
      </c>
      <c r="XV52" s="2">
        <v>99.59999999999999</v>
      </c>
      <c r="XW52" s="2">
        <v>97.8</v>
      </c>
      <c r="XX52" s="2">
        <v>99.39</v>
      </c>
      <c r="XY52" s="2">
        <v>101.65</v>
      </c>
      <c r="XZ52" s="2">
        <v>106.62</v>
      </c>
      <c r="YA52" s="2">
        <v>107.6</v>
      </c>
      <c r="YB52" s="2">
        <v>108.31</v>
      </c>
      <c r="YC52" s="2">
        <v>104.42</v>
      </c>
      <c r="YD52" s="2">
        <v>105.47</v>
      </c>
      <c r="YE52" s="2">
        <v>105.46</v>
      </c>
      <c r="YF52" s="2">
        <v>106.85</v>
      </c>
      <c r="YG52" s="2">
        <v>102.03</v>
      </c>
      <c r="YH52" s="2">
        <v>103.16</v>
      </c>
      <c r="YI52" s="2">
        <v>105.8</v>
      </c>
      <c r="YJ52" s="2">
        <v>103.47</v>
      </c>
      <c r="YK52" s="2">
        <v>101.23</v>
      </c>
      <c r="YL52" s="2">
        <v>102.52</v>
      </c>
      <c r="YM52" s="2">
        <v>101.02</v>
      </c>
      <c r="YN52" s="2">
        <v>99.90000000000001</v>
      </c>
      <c r="YO52" s="2">
        <v>99.15000000000001</v>
      </c>
      <c r="YP52" s="2">
        <v>98.78</v>
      </c>
      <c r="ACI52" s="2">
        <v>0.4</v>
      </c>
      <c r="ACJ52" s="2">
        <v>0</v>
      </c>
      <c r="ACK52" s="2">
        <v>0.4</v>
      </c>
      <c r="ACL52" s="2">
        <v>1.5</v>
      </c>
      <c r="ACM52" s="2">
        <v>1.1</v>
      </c>
      <c r="ACN52" s="2">
        <v>1.1</v>
      </c>
      <c r="ACO52" s="2">
        <v>1.1</v>
      </c>
      <c r="ACP52" s="2">
        <v>5.6</v>
      </c>
      <c r="ACQ52" s="2">
        <v>2.6</v>
      </c>
      <c r="ACR52" s="2">
        <v>1.6</v>
      </c>
      <c r="ACS52" s="2">
        <v>1.5</v>
      </c>
      <c r="ACT52" s="2">
        <v>0</v>
      </c>
      <c r="ACU52" s="2">
        <v>2.4</v>
      </c>
      <c r="ACV52" s="2">
        <v>0.6</v>
      </c>
      <c r="ACW52" s="2">
        <v>0.7</v>
      </c>
      <c r="ACX52" s="2">
        <v>0.5</v>
      </c>
      <c r="ACY52" s="2">
        <v>0.7</v>
      </c>
      <c r="ACZ52" s="2">
        <v>1.2</v>
      </c>
      <c r="ADA52" s="2">
        <v>2.3</v>
      </c>
      <c r="ADB52" s="2">
        <v>-0.2</v>
      </c>
      <c r="ADC52" s="2">
        <v>1.9</v>
      </c>
      <c r="ADD52" s="2">
        <v>1</v>
      </c>
      <c r="ADE52" s="2">
        <v>0.8</v>
      </c>
      <c r="ADF52" s="2">
        <v>1.2</v>
      </c>
      <c r="ADG52" s="2">
        <v>0.3</v>
      </c>
      <c r="ADH52" s="2">
        <v>1</v>
      </c>
      <c r="ADI52" s="2">
        <v>0.7</v>
      </c>
      <c r="ADJ52" s="2">
        <v>0.6</v>
      </c>
      <c r="ADK52" s="2">
        <v>1.1</v>
      </c>
      <c r="ADL52" s="2">
        <v>2.5</v>
      </c>
      <c r="ADM52" s="2">
        <v>1.5</v>
      </c>
      <c r="ADN52" s="2">
        <v>3.6</v>
      </c>
      <c r="ADO52" s="2">
        <v>0</v>
      </c>
      <c r="ADP52" s="2">
        <v>1</v>
      </c>
      <c r="ADQ52" s="2">
        <v>1.7</v>
      </c>
      <c r="ADR52" s="2">
        <v>1.7</v>
      </c>
      <c r="ADS52" s="2">
        <v>2.1</v>
      </c>
      <c r="ADT52" s="2">
        <v>1.4</v>
      </c>
      <c r="ADU52" s="2">
        <v>0.9</v>
      </c>
      <c r="ADV52" s="2">
        <v>1.6</v>
      </c>
      <c r="ADW52" s="2">
        <v>0.3</v>
      </c>
      <c r="ADX52" s="2">
        <v>0.1</v>
      </c>
      <c r="ADY52" s="2">
        <v>1.2</v>
      </c>
      <c r="ADZ52" s="2">
        <v>0.7</v>
      </c>
      <c r="AEA52" s="2">
        <v>0.8</v>
      </c>
      <c r="AEB52" s="2">
        <v>0.6</v>
      </c>
      <c r="AEC52" s="2">
        <v>0.6</v>
      </c>
      <c r="AED52" s="2">
        <v>-0.5</v>
      </c>
      <c r="AEE52" s="2">
        <v>-0.4</v>
      </c>
      <c r="AEF52" s="2">
        <v>-0.5</v>
      </c>
      <c r="AEG52" s="2">
        <v>1.3</v>
      </c>
      <c r="AEH52" s="2">
        <v>0.1</v>
      </c>
      <c r="AEI52" s="2">
        <v>3.2</v>
      </c>
      <c r="AEJ52" s="2">
        <v>3.3</v>
      </c>
      <c r="AEK52" s="2">
        <v>0.9</v>
      </c>
      <c r="AEL52" s="2">
        <v>2</v>
      </c>
      <c r="AEM52" s="2">
        <v>1.5</v>
      </c>
      <c r="AEN52" s="2">
        <v>1.1</v>
      </c>
      <c r="AEO52" s="2">
        <v>1.9</v>
      </c>
      <c r="AEP52" s="2">
        <v>0.4</v>
      </c>
      <c r="AEQ52" s="2">
        <v>1</v>
      </c>
      <c r="AER52" s="2">
        <v>1.2</v>
      </c>
      <c r="AES52" s="2">
        <v>1.4</v>
      </c>
      <c r="AET52" s="2">
        <v>1.3</v>
      </c>
      <c r="AEU52" s="2">
        <v>1.8</v>
      </c>
      <c r="AEV52" s="2">
        <v>0.5</v>
      </c>
      <c r="AEW52" s="2">
        <v>-0.4</v>
      </c>
      <c r="AEX52" s="2">
        <v>1.7</v>
      </c>
      <c r="AEY52" s="2">
        <v>1.3</v>
      </c>
      <c r="AEZ52" s="2">
        <v>-0.5</v>
      </c>
      <c r="AFA52" s="2">
        <v>0.2</v>
      </c>
      <c r="AFB52" s="2">
        <v>1</v>
      </c>
      <c r="AFC52" s="2">
        <v>0.3</v>
      </c>
      <c r="AFD52" s="2">
        <v>0</v>
      </c>
      <c r="AFE52" s="2">
        <v>1.9</v>
      </c>
      <c r="AFF52" s="2">
        <v>0.7</v>
      </c>
      <c r="AFG52" s="2">
        <v>0.1</v>
      </c>
      <c r="AFH52" s="2">
        <v>0.5</v>
      </c>
      <c r="AFI52" s="2">
        <v>-0.4</v>
      </c>
      <c r="AFJ52" s="2">
        <v>-0.6</v>
      </c>
      <c r="AFK52" s="2">
        <v>-0.3</v>
      </c>
      <c r="AFL52" s="2">
        <v>0.7</v>
      </c>
      <c r="AFM52" s="2">
        <v>1.1</v>
      </c>
      <c r="AFN52" s="2">
        <v>0.1</v>
      </c>
      <c r="AFO52" s="2">
        <v>0.3</v>
      </c>
      <c r="AFP52" s="2">
        <v>0.4</v>
      </c>
      <c r="AFQ52" s="2">
        <v>0</v>
      </c>
      <c r="AFR52" s="2">
        <v>1.2</v>
      </c>
      <c r="AFS52" s="2">
        <v>0.8</v>
      </c>
      <c r="AFT52" s="2">
        <v>0</v>
      </c>
      <c r="AFU52" s="2">
        <v>-0.7</v>
      </c>
      <c r="AFV52" s="2">
        <v>0.9</v>
      </c>
      <c r="AFW52" s="2">
        <v>-0.3</v>
      </c>
      <c r="AFX52" s="2">
        <v>0.3</v>
      </c>
      <c r="AFY52" s="2">
        <v>1</v>
      </c>
      <c r="AFZ52" s="2">
        <v>0.5</v>
      </c>
      <c r="AGA52" s="2">
        <v>-0.4</v>
      </c>
      <c r="AGB52" s="2">
        <v>-0.3</v>
      </c>
      <c r="AGC52" s="2">
        <v>0.4</v>
      </c>
      <c r="AGD52" s="2">
        <v>-0.4</v>
      </c>
      <c r="AGE52" s="2">
        <v>-0.4</v>
      </c>
      <c r="AGF52" s="2">
        <v>-0.5</v>
      </c>
      <c r="AGG52" s="2">
        <v>0</v>
      </c>
      <c r="AGH52" s="2">
        <v>-0.4</v>
      </c>
      <c r="AGI52" s="2">
        <v>-1.5</v>
      </c>
      <c r="AGJ52" s="2">
        <v>-0.3</v>
      </c>
      <c r="AGK52" s="2">
        <v>0.5</v>
      </c>
      <c r="AGL52" s="2">
        <v>0</v>
      </c>
      <c r="AGM52" s="2">
        <v>-0.7</v>
      </c>
      <c r="AGN52" s="2">
        <v>-0.6</v>
      </c>
      <c r="AGO52" s="2">
        <v>-0.2</v>
      </c>
      <c r="AGP52" s="2">
        <v>1.2</v>
      </c>
      <c r="AGQ52" s="2">
        <v>-0.3</v>
      </c>
      <c r="AGR52" s="2">
        <v>1.3</v>
      </c>
      <c r="AGS52" s="2">
        <v>-0.7</v>
      </c>
      <c r="AGT52" s="2">
        <v>0.9</v>
      </c>
      <c r="AGU52" s="2">
        <v>0.8</v>
      </c>
      <c r="AGV52" s="2">
        <v>-1.6</v>
      </c>
      <c r="AGW52" s="2">
        <v>0.5</v>
      </c>
      <c r="AGX52" s="2">
        <v>-0.3</v>
      </c>
      <c r="AGY52" s="2">
        <v>0.3</v>
      </c>
      <c r="AGZ52" s="2">
        <v>-0.9</v>
      </c>
      <c r="AHA52" s="2">
        <v>-0.7</v>
      </c>
      <c r="AHB52" s="2">
        <v>0.2</v>
      </c>
      <c r="AHC52" s="2">
        <v>-3.2</v>
      </c>
      <c r="AHD52" s="2">
        <v>0.3</v>
      </c>
      <c r="AHE52" s="2">
        <v>-1</v>
      </c>
      <c r="AHF52" s="2">
        <v>-0.7</v>
      </c>
      <c r="AHG52" s="2">
        <v>-2.5</v>
      </c>
      <c r="AHH52" s="2">
        <v>-3</v>
      </c>
      <c r="AHI52" s="2">
        <v>0.4</v>
      </c>
      <c r="AHJ52" s="2">
        <v>-0.3</v>
      </c>
      <c r="AHK52" s="2">
        <v>-1.6</v>
      </c>
      <c r="AHL52" s="2">
        <v>-0.9</v>
      </c>
      <c r="AHM52" s="2">
        <v>0.2</v>
      </c>
      <c r="AHN52" s="2">
        <v>0.2</v>
      </c>
      <c r="AHO52" s="2">
        <v>-0.6</v>
      </c>
      <c r="AHP52" s="2">
        <v>-0.3</v>
      </c>
      <c r="AHQ52" s="2">
        <v>1</v>
      </c>
      <c r="AHR52" s="2">
        <v>0.3</v>
      </c>
      <c r="AHS52" s="2">
        <v>0.9</v>
      </c>
      <c r="AHT52" s="2">
        <v>-1.4</v>
      </c>
      <c r="AHU52" s="2">
        <v>0.1</v>
      </c>
      <c r="AHV52" s="2">
        <v>-0.2</v>
      </c>
      <c r="AHW52" s="2">
        <v>-0.4</v>
      </c>
      <c r="AHX52" s="2">
        <v>1</v>
      </c>
      <c r="AHY52" s="2">
        <v>2.5</v>
      </c>
      <c r="AHZ52" s="2">
        <v>1.8</v>
      </c>
      <c r="AIA52" s="2">
        <v>-2</v>
      </c>
      <c r="AIB52" s="2">
        <v>-1.5</v>
      </c>
      <c r="AIC52" s="2">
        <v>1.8</v>
      </c>
      <c r="AID52" s="2">
        <v>0</v>
      </c>
      <c r="AIE52" s="2">
        <v>-0.7</v>
      </c>
      <c r="AIF52" s="2">
        <v>-0.6</v>
      </c>
      <c r="AIG52" s="2">
        <v>-0.2</v>
      </c>
      <c r="AIH52" s="2">
        <v>1</v>
      </c>
      <c r="AII52" s="2">
        <v>-3.4</v>
      </c>
      <c r="AIJ52" s="2">
        <v>0.7</v>
      </c>
      <c r="AIK52" s="2">
        <v>-0.7</v>
      </c>
      <c r="AIL52" s="2">
        <v>0.1</v>
      </c>
      <c r="AIM52" s="2">
        <v>-1.8</v>
      </c>
      <c r="AIN52" s="2">
        <v>-2.3</v>
      </c>
      <c r="AIO52" s="2">
        <v>-1.5</v>
      </c>
      <c r="AIP52" s="2">
        <v>1.2</v>
      </c>
      <c r="AIQ52" s="2">
        <v>-0.1</v>
      </c>
      <c r="AIR52" s="2">
        <v>-0.5</v>
      </c>
      <c r="AIS52" s="2">
        <v>0</v>
      </c>
      <c r="AIT52" s="2">
        <v>0.2</v>
      </c>
      <c r="AIU52" s="2">
        <v>-1.2</v>
      </c>
      <c r="AIV52" s="2">
        <v>-2</v>
      </c>
      <c r="AIW52" s="2">
        <v>1.5</v>
      </c>
      <c r="AIX52" s="2">
        <v>3.9</v>
      </c>
      <c r="AIY52" s="2">
        <v>0.4</v>
      </c>
      <c r="AIZ52" s="2">
        <v>-0.6</v>
      </c>
      <c r="AJA52" s="2">
        <v>-1.3</v>
      </c>
      <c r="AJB52" s="2">
        <v>0</v>
      </c>
      <c r="AJC52" s="2">
        <v>-0.9</v>
      </c>
      <c r="AJD52" s="2">
        <v>-2.8</v>
      </c>
      <c r="AJE52" s="2">
        <v>-0.4</v>
      </c>
      <c r="AJF52" s="2">
        <v>0.4</v>
      </c>
      <c r="AJG52" s="2">
        <v>-3.1</v>
      </c>
      <c r="AJH52" s="2">
        <v>-1.2</v>
      </c>
      <c r="AJI52" s="2">
        <v>1.2</v>
      </c>
      <c r="AJJ52" s="2">
        <v>0.7</v>
      </c>
      <c r="AJK52" s="2">
        <v>2</v>
      </c>
      <c r="AJL52" s="2">
        <v>-0.9</v>
      </c>
      <c r="AJM52" s="2">
        <v>-1.5</v>
      </c>
      <c r="AJN52" s="2">
        <v>2.5</v>
      </c>
      <c r="AJO52" s="2">
        <v>-1.6</v>
      </c>
      <c r="AJP52" s="2">
        <v>-0.9</v>
      </c>
      <c r="AJQ52" s="2">
        <v>1.3</v>
      </c>
      <c r="AJR52" s="2">
        <v>5.8</v>
      </c>
      <c r="AJS52" s="2">
        <v>2.2</v>
      </c>
      <c r="AJT52" s="2">
        <v>-2.2</v>
      </c>
      <c r="AJU52" s="2">
        <v>0.5</v>
      </c>
      <c r="AJV52" s="2">
        <v>-1.8</v>
      </c>
      <c r="AJW52" s="2">
        <v>1.6</v>
      </c>
      <c r="AJX52" s="2">
        <v>2.3</v>
      </c>
      <c r="AJY52" s="2">
        <v>4.9</v>
      </c>
      <c r="AJZ52" s="2">
        <v>0.9</v>
      </c>
      <c r="AKA52" s="2">
        <v>0.7</v>
      </c>
      <c r="AKB52" s="2">
        <v>-3.6</v>
      </c>
      <c r="AKC52" s="2">
        <v>1</v>
      </c>
      <c r="AKD52" s="2">
        <v>0</v>
      </c>
      <c r="AKE52" s="2">
        <v>1.3</v>
      </c>
      <c r="AKF52" s="2">
        <v>-4.5</v>
      </c>
      <c r="AKG52" s="2">
        <v>1.1</v>
      </c>
      <c r="AKH52" s="2">
        <v>2.6</v>
      </c>
      <c r="AKI52" s="2">
        <v>-2.2</v>
      </c>
      <c r="AKJ52" s="2">
        <v>-2.2</v>
      </c>
      <c r="AKK52" s="2">
        <v>1.3</v>
      </c>
      <c r="AKL52" s="2">
        <v>-1.5</v>
      </c>
      <c r="AKM52" s="2">
        <v>-1.1</v>
      </c>
      <c r="AKN52" s="2">
        <v>-0.8</v>
      </c>
      <c r="AKO52" s="2">
        <v>-0.4</v>
      </c>
      <c r="AKP52" s="2">
        <v>0.25</v>
      </c>
      <c r="AKQ52" s="2">
        <v>0.25</v>
      </c>
      <c r="AKR52" s="2">
        <v>0.25</v>
      </c>
    </row>
    <row r="53">
      <c r="A53" t="inlineStr">
        <is>
          <t>Glassware, tableware and household utensils</t>
        </is>
      </c>
      <c r="B53" t="inlineStr">
        <is>
          <t>Household appliances, utensils and tools</t>
        </is>
      </c>
      <c r="C53">
        <v>3</v>
      </c>
      <c r="D53">
        <v>0.34</v>
      </c>
      <c r="E53" s="3">
        <f>D53/1.27*0.012816223067173638</f>
        <v>0.003431114836881132</v>
      </c>
      <c r="F53" s="3">
        <f>E53-D53/100</f>
        <v>3.111483688113172e-05</v>
      </c>
      <c r="G53" s="3">
        <f>D53/1.27</f>
        <v>0.2677165354330709</v>
      </c>
      <c r="CI53" s="2">
        <v>100.01</v>
      </c>
      <c r="CJ53" s="2">
        <v>99.06</v>
      </c>
      <c r="CK53" s="2">
        <v>93.76000000000001</v>
      </c>
      <c r="CL53" s="2">
        <v>101.44</v>
      </c>
      <c r="CM53" s="2">
        <v>103.83</v>
      </c>
      <c r="CN53" s="2">
        <v>100.45</v>
      </c>
      <c r="CO53" s="2">
        <v>104.26</v>
      </c>
      <c r="CP53" s="2">
        <v>101.99</v>
      </c>
      <c r="CQ53" s="2">
        <v>97.52</v>
      </c>
      <c r="CR53" s="2">
        <v>100.26</v>
      </c>
      <c r="CS53" s="2">
        <v>98.92</v>
      </c>
      <c r="CT53" s="2">
        <v>94.73999999999999</v>
      </c>
      <c r="CU53" s="2">
        <v>101</v>
      </c>
      <c r="CV53" s="2">
        <v>97.25</v>
      </c>
      <c r="CW53" s="2">
        <v>92.42</v>
      </c>
      <c r="CX53" s="2">
        <v>100.55</v>
      </c>
      <c r="CY53" s="2">
        <v>108.5</v>
      </c>
      <c r="CZ53" s="2">
        <v>100</v>
      </c>
      <c r="DA53" s="2">
        <v>103.5</v>
      </c>
      <c r="DB53" s="2">
        <v>99.81999999999999</v>
      </c>
      <c r="DC53" s="2">
        <v>92.73</v>
      </c>
      <c r="DD53" s="2">
        <v>101.59</v>
      </c>
      <c r="DE53" s="2">
        <v>99.75</v>
      </c>
      <c r="DF53" s="2">
        <v>96.03</v>
      </c>
      <c r="DG53" s="2">
        <v>98.52</v>
      </c>
      <c r="DH53" s="2">
        <v>100.14</v>
      </c>
      <c r="DI53" s="2">
        <v>94.98999999999999</v>
      </c>
      <c r="DJ53" s="2">
        <v>100.14</v>
      </c>
      <c r="GL53" s="2">
        <v>1</v>
      </c>
      <c r="GM53" s="2">
        <v>-1.8</v>
      </c>
      <c r="GN53" s="2">
        <v>-1.4</v>
      </c>
      <c r="GO53" s="2">
        <v>-0.9</v>
      </c>
      <c r="GP53" s="2">
        <v>4.5</v>
      </c>
      <c r="GQ53" s="2">
        <v>-0.4</v>
      </c>
      <c r="GR53" s="2">
        <v>-0.7</v>
      </c>
      <c r="GS53" s="2">
        <v>-2.1</v>
      </c>
      <c r="GT53" s="2">
        <v>-4.9</v>
      </c>
      <c r="GU53" s="2">
        <v>1.3</v>
      </c>
      <c r="GV53" s="2">
        <v>0.8</v>
      </c>
      <c r="GW53" s="2">
        <v>1.4</v>
      </c>
      <c r="GX53" s="2">
        <v>-2.5</v>
      </c>
      <c r="GY53" s="2">
        <v>3</v>
      </c>
      <c r="GZ53" s="2">
        <v>2.8</v>
      </c>
      <c r="HA53" s="2">
        <v>-0.4</v>
      </c>
      <c r="KC53" s="2">
        <v>-0.9</v>
      </c>
      <c r="KD53" s="2">
        <v>-5.4</v>
      </c>
      <c r="KE53" s="2">
        <v>8.199999999999999</v>
      </c>
      <c r="KF53" s="2">
        <v>2.4</v>
      </c>
      <c r="KG53" s="2">
        <v>-3.3</v>
      </c>
      <c r="KH53" s="2">
        <v>3.8</v>
      </c>
      <c r="KI53" s="2">
        <v>-2.2</v>
      </c>
      <c r="KJ53" s="2">
        <v>-4.4</v>
      </c>
      <c r="KK53" s="2">
        <v>2.8</v>
      </c>
      <c r="KL53" s="2">
        <v>-1.3</v>
      </c>
      <c r="KM53" s="2">
        <v>-4.2</v>
      </c>
      <c r="KN53" s="2">
        <v>6.6</v>
      </c>
      <c r="KO53" s="2">
        <v>-3.7</v>
      </c>
      <c r="KP53" s="2">
        <v>-5</v>
      </c>
      <c r="KQ53" s="2">
        <v>8.800000000000001</v>
      </c>
      <c r="KR53" s="2">
        <v>7.9</v>
      </c>
      <c r="KS53" s="2">
        <v>-7.8</v>
      </c>
      <c r="KT53" s="2">
        <v>3.5</v>
      </c>
      <c r="KU53" s="2">
        <v>-3.6</v>
      </c>
      <c r="KV53" s="2">
        <v>-7.1</v>
      </c>
      <c r="KW53" s="2">
        <v>9.6</v>
      </c>
      <c r="KX53" s="2">
        <v>-1.8</v>
      </c>
      <c r="KY53" s="2">
        <v>-3.7</v>
      </c>
      <c r="KZ53" s="2">
        <v>2.6</v>
      </c>
      <c r="LA53" s="2">
        <v>1.6</v>
      </c>
      <c r="LB53" s="2">
        <v>-5.1</v>
      </c>
      <c r="LC53" s="2">
        <v>5.4</v>
      </c>
      <c r="LD53" s="2">
        <v>0.34</v>
      </c>
      <c r="LE53" s="2">
        <v>0.34</v>
      </c>
      <c r="LF53" s="2">
        <v>0.34</v>
      </c>
      <c r="LG53" s="2">
        <v>0.33</v>
      </c>
      <c r="LH53" s="2">
        <v>0.35</v>
      </c>
      <c r="LI53" s="2">
        <v>0.33</v>
      </c>
      <c r="LJ53" s="2">
        <v>0.32</v>
      </c>
      <c r="LK53" s="2">
        <v>0.35</v>
      </c>
      <c r="LL53" s="2">
        <v>0.37</v>
      </c>
      <c r="LM53" s="2">
        <v>0.34</v>
      </c>
      <c r="LN53" s="2">
        <v>0.36</v>
      </c>
      <c r="LO53" s="2">
        <v>0.34</v>
      </c>
      <c r="LP53" s="2">
        <v>0.32</v>
      </c>
      <c r="LQ53" s="2">
        <v>0.35</v>
      </c>
      <c r="LR53" s="2">
        <v>0.34</v>
      </c>
      <c r="LS53" s="2">
        <v>0.33</v>
      </c>
      <c r="LT53" s="2">
        <v>0.34</v>
      </c>
      <c r="LU53" s="2">
        <v>0.34</v>
      </c>
      <c r="LV53" s="2">
        <v>0.33</v>
      </c>
      <c r="LW53" s="2">
        <v>0.34</v>
      </c>
      <c r="LX53" s="2">
        <v>0</v>
      </c>
      <c r="LY53" s="2">
        <v>0</v>
      </c>
      <c r="LZ53" s="2">
        <v>-0.01</v>
      </c>
      <c r="MA53" s="2">
        <v>0.02</v>
      </c>
      <c r="MB53" s="2">
        <v>-0.02</v>
      </c>
      <c r="MC53" s="2">
        <v>-0.01</v>
      </c>
      <c r="MD53" s="2">
        <v>0.03</v>
      </c>
      <c r="ME53" s="2">
        <v>0.02</v>
      </c>
      <c r="MF53" s="2">
        <v>-0.03</v>
      </c>
      <c r="MG53" s="2">
        <v>0.02</v>
      </c>
      <c r="MH53" s="2">
        <v>-0.02</v>
      </c>
      <c r="MI53" s="2">
        <v>-0.02</v>
      </c>
      <c r="MJ53" s="2">
        <v>0.03</v>
      </c>
      <c r="MK53" s="2">
        <v>-0.01</v>
      </c>
      <c r="ML53" s="2">
        <v>-0.01</v>
      </c>
      <c r="MM53" s="2">
        <v>0.01</v>
      </c>
      <c r="MN53" s="2">
        <v>0</v>
      </c>
      <c r="MO53" s="2">
        <v>-0.01</v>
      </c>
      <c r="MP53" s="2">
        <v>0.01</v>
      </c>
      <c r="SY53" s="2">
        <v>116.91</v>
      </c>
      <c r="SZ53" s="2">
        <v>116.55</v>
      </c>
      <c r="TA53" s="2">
        <v>120.49</v>
      </c>
      <c r="TB53" s="2">
        <v>122.75</v>
      </c>
      <c r="TC53" s="2">
        <v>123.23</v>
      </c>
      <c r="TD53" s="2">
        <v>125.73</v>
      </c>
      <c r="TE53" s="2">
        <v>127.16</v>
      </c>
      <c r="TF53" s="2">
        <v>125.37</v>
      </c>
      <c r="TG53" s="2">
        <v>121.68</v>
      </c>
      <c r="TH53" s="2">
        <v>123.23</v>
      </c>
      <c r="TI53" s="2">
        <v>123.47</v>
      </c>
      <c r="TJ53" s="2">
        <v>125.01</v>
      </c>
      <c r="TK53" s="2">
        <v>122.15</v>
      </c>
      <c r="TL53" s="2">
        <v>124.06</v>
      </c>
      <c r="TM53" s="2">
        <v>123.35</v>
      </c>
      <c r="TN53" s="2">
        <v>125.61</v>
      </c>
      <c r="TO53" s="2">
        <v>125.37</v>
      </c>
      <c r="TP53" s="2">
        <v>125.61</v>
      </c>
      <c r="TQ53" s="2">
        <v>126.33</v>
      </c>
      <c r="TR53" s="2">
        <v>126.92</v>
      </c>
      <c r="TS53" s="2">
        <v>125.25</v>
      </c>
      <c r="TT53" s="2">
        <v>125.37</v>
      </c>
      <c r="TU53" s="2">
        <v>123.94</v>
      </c>
      <c r="TV53" s="2">
        <v>124.54</v>
      </c>
      <c r="TW53" s="2">
        <v>124.78</v>
      </c>
      <c r="TX53" s="2">
        <v>123.47</v>
      </c>
      <c r="TY53" s="2">
        <v>123.82</v>
      </c>
      <c r="TZ53" s="2">
        <v>123.35</v>
      </c>
      <c r="UA53" s="2">
        <v>123.11</v>
      </c>
      <c r="UB53" s="2">
        <v>122.87</v>
      </c>
      <c r="UC53" s="2">
        <v>121.92</v>
      </c>
      <c r="UD53" s="2">
        <v>122.27</v>
      </c>
      <c r="UE53" s="2">
        <v>119.17</v>
      </c>
      <c r="UF53" s="2">
        <v>121.56</v>
      </c>
      <c r="UG53" s="2">
        <v>122.51</v>
      </c>
      <c r="UH53" s="2">
        <v>122.87</v>
      </c>
      <c r="UI53" s="2">
        <v>122.15</v>
      </c>
      <c r="UJ53" s="2">
        <v>124.06</v>
      </c>
      <c r="UK53" s="2">
        <v>122.27</v>
      </c>
      <c r="UL53" s="2">
        <v>126.21</v>
      </c>
      <c r="UM53" s="2">
        <v>125.25</v>
      </c>
      <c r="UN53" s="2">
        <v>124.42</v>
      </c>
      <c r="UO53" s="2">
        <v>124.42</v>
      </c>
      <c r="UP53" s="2">
        <v>124.9</v>
      </c>
      <c r="UQ53" s="2">
        <v>128.96</v>
      </c>
      <c r="UR53" s="2">
        <v>124.17</v>
      </c>
      <c r="US53" s="2">
        <v>124.15</v>
      </c>
      <c r="UT53" s="2">
        <v>127.8</v>
      </c>
      <c r="UU53" s="2">
        <v>124.34</v>
      </c>
      <c r="UV53" s="2">
        <v>128.57</v>
      </c>
      <c r="UW53" s="2">
        <v>124.68</v>
      </c>
      <c r="UX53" s="2">
        <v>126.04</v>
      </c>
      <c r="UY53" s="2">
        <v>123.53</v>
      </c>
      <c r="UZ53" s="2">
        <v>123.62</v>
      </c>
      <c r="VA53" s="2">
        <v>120.76</v>
      </c>
      <c r="VB53" s="2">
        <v>124.81</v>
      </c>
      <c r="VC53" s="2">
        <v>123.39</v>
      </c>
      <c r="VD53" s="2">
        <v>120.77</v>
      </c>
      <c r="VE53" s="2">
        <v>117.55</v>
      </c>
      <c r="VF53" s="2">
        <v>115.44</v>
      </c>
      <c r="VG53" s="2">
        <v>114.62</v>
      </c>
      <c r="VH53" s="2">
        <v>116.28</v>
      </c>
      <c r="VI53" s="2">
        <v>111.37</v>
      </c>
      <c r="VJ53" s="2">
        <v>115.47</v>
      </c>
      <c r="VK53" s="2">
        <v>116.14</v>
      </c>
      <c r="VL53" s="2">
        <v>113.67</v>
      </c>
      <c r="VM53" s="2">
        <v>111.42</v>
      </c>
      <c r="VN53" s="2">
        <v>115.2</v>
      </c>
      <c r="VO53" s="2">
        <v>116.73</v>
      </c>
      <c r="VP53" s="2">
        <v>113.23</v>
      </c>
      <c r="VQ53" s="2">
        <v>110.67</v>
      </c>
      <c r="VR53" s="2">
        <v>114.7</v>
      </c>
      <c r="VS53" s="2">
        <v>115.52</v>
      </c>
      <c r="VT53" s="2">
        <v>115.67</v>
      </c>
      <c r="VU53" s="2">
        <v>111.76</v>
      </c>
      <c r="VV53" s="2">
        <v>114.69</v>
      </c>
      <c r="VW53" s="2">
        <v>114.24</v>
      </c>
      <c r="VX53" s="2">
        <v>111.94</v>
      </c>
      <c r="VY53" s="2">
        <v>108.56</v>
      </c>
      <c r="VZ53" s="2">
        <v>114.52</v>
      </c>
      <c r="WA53" s="2">
        <v>116.68</v>
      </c>
      <c r="WB53" s="2">
        <v>115.16</v>
      </c>
      <c r="WC53" s="2">
        <v>107.34</v>
      </c>
      <c r="WD53" s="2">
        <v>114.11</v>
      </c>
      <c r="WE53" s="2">
        <v>114.1</v>
      </c>
      <c r="WF53" s="2">
        <v>110.7</v>
      </c>
      <c r="WG53" s="2">
        <v>107.35</v>
      </c>
      <c r="WH53" s="2">
        <v>112.6</v>
      </c>
      <c r="WI53" s="2">
        <v>116.29</v>
      </c>
      <c r="WJ53" s="2">
        <v>113.07</v>
      </c>
      <c r="WK53" s="2">
        <v>111.2</v>
      </c>
      <c r="WL53" s="2">
        <v>110.89</v>
      </c>
      <c r="WM53" s="2">
        <v>112.82</v>
      </c>
      <c r="WN53" s="2">
        <v>109.67</v>
      </c>
      <c r="WO53" s="2">
        <v>104.54</v>
      </c>
      <c r="WP53" s="2">
        <v>107.42</v>
      </c>
      <c r="WQ53" s="2">
        <v>110.96</v>
      </c>
      <c r="WR53" s="2">
        <v>109.47</v>
      </c>
      <c r="WS53" s="2">
        <v>106.6</v>
      </c>
      <c r="WT53" s="2">
        <v>105.49</v>
      </c>
      <c r="WU53" s="2">
        <v>109.6</v>
      </c>
      <c r="WV53" s="2">
        <v>104.67</v>
      </c>
      <c r="WW53" s="2">
        <v>105.09</v>
      </c>
      <c r="WX53" s="2">
        <v>104.63</v>
      </c>
      <c r="WY53" s="2">
        <v>106.29</v>
      </c>
      <c r="WZ53" s="2">
        <v>106.96</v>
      </c>
      <c r="XA53" s="2">
        <v>104.31</v>
      </c>
      <c r="XB53" s="2">
        <v>106.12</v>
      </c>
      <c r="XC53" s="2">
        <v>108.58</v>
      </c>
      <c r="XD53" s="2">
        <v>105.57</v>
      </c>
      <c r="XE53" s="2">
        <v>101.92</v>
      </c>
      <c r="XF53" s="2">
        <v>102.96</v>
      </c>
      <c r="XG53" s="2">
        <v>105.86</v>
      </c>
      <c r="XH53" s="2">
        <v>103.54</v>
      </c>
      <c r="XI53" s="2">
        <v>100.26</v>
      </c>
      <c r="XJ53" s="2">
        <v>103.7</v>
      </c>
      <c r="XK53" s="2">
        <v>104.67</v>
      </c>
      <c r="XL53" s="2">
        <v>103.58</v>
      </c>
      <c r="XM53" s="2">
        <v>99.17</v>
      </c>
      <c r="XN53" s="2">
        <v>99.43000000000001</v>
      </c>
      <c r="XO53" s="2">
        <v>99.92</v>
      </c>
      <c r="XP53" s="2">
        <v>97.45999999999999</v>
      </c>
      <c r="XQ53" s="2">
        <v>98.38</v>
      </c>
      <c r="XR53" s="2">
        <v>100.42</v>
      </c>
      <c r="XS53" s="2">
        <v>105.81</v>
      </c>
      <c r="XT53" s="2">
        <v>103.11</v>
      </c>
      <c r="XU53" s="2">
        <v>100.1</v>
      </c>
      <c r="XV53" s="2">
        <v>103.2</v>
      </c>
      <c r="XW53" s="2">
        <v>105.35</v>
      </c>
      <c r="XX53" s="2">
        <v>102.4</v>
      </c>
      <c r="XY53" s="2">
        <v>97.53</v>
      </c>
      <c r="XZ53" s="2">
        <v>103.52</v>
      </c>
      <c r="YA53" s="2">
        <v>107.42</v>
      </c>
      <c r="YB53" s="2">
        <v>110.04</v>
      </c>
      <c r="YC53" s="2">
        <v>106.04</v>
      </c>
      <c r="YD53" s="2">
        <v>107.77</v>
      </c>
      <c r="YE53" s="2">
        <v>107.31</v>
      </c>
      <c r="YF53" s="2">
        <v>104.37</v>
      </c>
      <c r="YG53" s="2">
        <v>104.95</v>
      </c>
      <c r="YH53" s="2">
        <v>103.03</v>
      </c>
      <c r="YI53" s="2">
        <v>104.6</v>
      </c>
      <c r="YJ53" s="2">
        <v>107.1</v>
      </c>
      <c r="YK53" s="2">
        <v>102.95</v>
      </c>
      <c r="YL53" s="2">
        <v>103.47</v>
      </c>
      <c r="YM53" s="2">
        <v>103.02</v>
      </c>
      <c r="YN53" s="2">
        <v>98.68000000000001</v>
      </c>
      <c r="YO53" s="2">
        <v>99.12</v>
      </c>
      <c r="YP53" s="2">
        <v>97.88</v>
      </c>
      <c r="AEY53" s="2">
        <v>-0.3</v>
      </c>
      <c r="AEZ53" s="2">
        <v>3.4</v>
      </c>
      <c r="AFA53" s="2">
        <v>1.9</v>
      </c>
      <c r="AFB53" s="2">
        <v>0.4</v>
      </c>
      <c r="AFC53" s="2">
        <v>2</v>
      </c>
      <c r="AFD53" s="2">
        <v>1.1</v>
      </c>
      <c r="AFE53" s="2">
        <v>-1.4</v>
      </c>
      <c r="AFF53" s="2">
        <v>-2.9</v>
      </c>
      <c r="AFG53" s="2">
        <v>1.3</v>
      </c>
      <c r="AFH53" s="2">
        <v>0.2</v>
      </c>
      <c r="AFI53" s="2">
        <v>1.2</v>
      </c>
      <c r="AFJ53" s="2">
        <v>-2.3</v>
      </c>
      <c r="AFK53" s="2">
        <v>1.6</v>
      </c>
      <c r="AFL53" s="2">
        <v>-0.6</v>
      </c>
      <c r="AFM53" s="2">
        <v>1.8</v>
      </c>
      <c r="AFN53" s="2">
        <v>-0.2</v>
      </c>
      <c r="AFO53" s="2">
        <v>0.2</v>
      </c>
      <c r="AFP53" s="2">
        <v>0.6</v>
      </c>
      <c r="AFQ53" s="2">
        <v>0.5</v>
      </c>
      <c r="AFR53" s="2">
        <v>-1.3</v>
      </c>
      <c r="AFS53" s="2">
        <v>0.1</v>
      </c>
      <c r="AFT53" s="2">
        <v>-1.1</v>
      </c>
      <c r="AFU53" s="2">
        <v>0.5</v>
      </c>
      <c r="AFV53" s="2">
        <v>0.2</v>
      </c>
      <c r="AFW53" s="2">
        <v>-1</v>
      </c>
      <c r="AFX53" s="2">
        <v>0.3</v>
      </c>
      <c r="AFY53" s="2">
        <v>-0.4</v>
      </c>
      <c r="AFZ53" s="2">
        <v>-0.2</v>
      </c>
      <c r="AGA53" s="2">
        <v>-0.2</v>
      </c>
      <c r="AGB53" s="2">
        <v>-0.8</v>
      </c>
      <c r="AGC53" s="2">
        <v>0.3</v>
      </c>
      <c r="AGD53" s="2">
        <v>-2.5</v>
      </c>
      <c r="AGE53" s="2">
        <v>2</v>
      </c>
      <c r="AGF53" s="2">
        <v>0.8</v>
      </c>
      <c r="AGG53" s="2">
        <v>0.3</v>
      </c>
      <c r="AGH53" s="2">
        <v>-0.6</v>
      </c>
      <c r="AGI53" s="2">
        <v>1.6</v>
      </c>
      <c r="AGJ53" s="2">
        <v>-1.4</v>
      </c>
      <c r="AGK53" s="2">
        <v>3.2</v>
      </c>
      <c r="AGL53" s="2">
        <v>-0.8</v>
      </c>
      <c r="AGM53" s="2">
        <v>-0.7</v>
      </c>
      <c r="AGN53" s="2">
        <v>0</v>
      </c>
      <c r="AGO53" s="2">
        <v>0.4</v>
      </c>
      <c r="AGP53" s="2">
        <v>3.3</v>
      </c>
      <c r="AGQ53" s="2">
        <v>-3.7</v>
      </c>
      <c r="AGR53" s="2">
        <v>0</v>
      </c>
      <c r="AGS53" s="2">
        <v>2.9</v>
      </c>
      <c r="AGT53" s="2">
        <v>-2.7</v>
      </c>
      <c r="AGU53" s="2">
        <v>3.4</v>
      </c>
      <c r="AGV53" s="2">
        <v>-3</v>
      </c>
      <c r="AGW53" s="2">
        <v>1.1</v>
      </c>
      <c r="AGX53" s="2">
        <v>-2</v>
      </c>
      <c r="AGY53" s="2">
        <v>0.1</v>
      </c>
      <c r="AGZ53" s="2">
        <v>-2.3</v>
      </c>
      <c r="AHA53" s="2">
        <v>3.4</v>
      </c>
      <c r="AHB53" s="2">
        <v>-1.1</v>
      </c>
      <c r="AHC53" s="2">
        <v>-2.1</v>
      </c>
      <c r="AHD53" s="2">
        <v>-2.7</v>
      </c>
      <c r="AHE53" s="2">
        <v>-1.8</v>
      </c>
      <c r="AHF53" s="2">
        <v>-0.7</v>
      </c>
      <c r="AHG53" s="2">
        <v>1.4</v>
      </c>
      <c r="AHH53" s="2">
        <v>-4.2</v>
      </c>
      <c r="AHI53" s="2">
        <v>3.7</v>
      </c>
      <c r="AHJ53" s="2">
        <v>0.6</v>
      </c>
      <c r="AHK53" s="2">
        <v>-2.1</v>
      </c>
      <c r="AHL53" s="2">
        <v>-2</v>
      </c>
      <c r="AHM53" s="2">
        <v>3.4</v>
      </c>
      <c r="AHN53" s="2">
        <v>1.3</v>
      </c>
      <c r="AHO53" s="2">
        <v>-3</v>
      </c>
      <c r="AHP53" s="2">
        <v>-2.3</v>
      </c>
      <c r="AHQ53" s="2">
        <v>3.6</v>
      </c>
      <c r="AHR53" s="2">
        <v>0.7</v>
      </c>
      <c r="AHS53" s="2">
        <v>0.1</v>
      </c>
      <c r="AHT53" s="2">
        <v>-3.4</v>
      </c>
      <c r="AHU53" s="2">
        <v>2.6</v>
      </c>
      <c r="AHV53" s="2">
        <v>-0.4</v>
      </c>
      <c r="AHW53" s="2">
        <v>-2</v>
      </c>
      <c r="AHX53" s="2">
        <v>-3</v>
      </c>
      <c r="AHY53" s="2">
        <v>5.5</v>
      </c>
      <c r="AHZ53" s="2">
        <v>1.9</v>
      </c>
      <c r="AIA53" s="2">
        <v>-1.3</v>
      </c>
      <c r="AIB53" s="2">
        <v>-6.8</v>
      </c>
      <c r="AIC53" s="2">
        <v>6.3</v>
      </c>
      <c r="AID53" s="2">
        <v>0</v>
      </c>
      <c r="AIE53" s="2">
        <v>-3</v>
      </c>
      <c r="AIF53" s="2">
        <v>-3</v>
      </c>
      <c r="AIG53" s="2">
        <v>4.9</v>
      </c>
      <c r="AIH53" s="2">
        <v>3.3</v>
      </c>
      <c r="AII53" s="2">
        <v>-2.8</v>
      </c>
      <c r="AIJ53" s="2">
        <v>-1.7</v>
      </c>
      <c r="AIK53" s="2">
        <v>-0.3</v>
      </c>
      <c r="AIL53" s="2">
        <v>1.7</v>
      </c>
      <c r="AIM53" s="2">
        <v>-2.8</v>
      </c>
      <c r="AIN53" s="2">
        <v>-4.7</v>
      </c>
      <c r="AIO53" s="2">
        <v>2.8</v>
      </c>
      <c r="AIP53" s="2">
        <v>3.3</v>
      </c>
      <c r="AIQ53" s="2">
        <v>-1.3</v>
      </c>
      <c r="AIR53" s="2">
        <v>-2.6</v>
      </c>
      <c r="AIS53" s="2">
        <v>-1</v>
      </c>
      <c r="AIT53" s="2">
        <v>3.9</v>
      </c>
      <c r="AIU53" s="2">
        <v>-4.5</v>
      </c>
      <c r="AIV53" s="2">
        <v>0.4</v>
      </c>
      <c r="AIW53" s="2">
        <v>-0.4</v>
      </c>
      <c r="AIX53" s="2">
        <v>1.6</v>
      </c>
      <c r="AIY53" s="2">
        <v>0.6</v>
      </c>
      <c r="AIZ53" s="2">
        <v>-2.5</v>
      </c>
      <c r="AJA53" s="2">
        <v>1.7</v>
      </c>
      <c r="AJB53" s="2">
        <v>2.3</v>
      </c>
      <c r="AJC53" s="2">
        <v>-2.8</v>
      </c>
      <c r="AJD53" s="2">
        <v>-3.5</v>
      </c>
      <c r="AJE53" s="2">
        <v>1</v>
      </c>
      <c r="AJF53" s="2">
        <v>2.8</v>
      </c>
      <c r="AJG53" s="2">
        <v>-2.2</v>
      </c>
      <c r="AJH53" s="2">
        <v>-3.2</v>
      </c>
      <c r="AJI53" s="2">
        <v>3.4</v>
      </c>
      <c r="AJJ53" s="2">
        <v>0.9</v>
      </c>
      <c r="AJK53" s="2">
        <v>-1</v>
      </c>
      <c r="AJL53" s="2">
        <v>-4.3</v>
      </c>
      <c r="AJM53" s="2">
        <v>0.3</v>
      </c>
      <c r="AJN53" s="2">
        <v>0.5</v>
      </c>
      <c r="AJO53" s="2">
        <v>-2.5</v>
      </c>
      <c r="AJP53" s="2">
        <v>0.9</v>
      </c>
      <c r="AJQ53" s="2">
        <v>2.1</v>
      </c>
      <c r="AJR53" s="2">
        <v>5.4</v>
      </c>
      <c r="AJS53" s="2">
        <v>-2.6</v>
      </c>
      <c r="AJT53" s="2">
        <v>-2.9</v>
      </c>
      <c r="AJU53" s="2">
        <v>3.1</v>
      </c>
      <c r="AJV53" s="2">
        <v>2.1</v>
      </c>
      <c r="AJW53" s="2">
        <v>-2.8</v>
      </c>
      <c r="AJX53" s="2">
        <v>-4.8</v>
      </c>
      <c r="AJY53" s="2">
        <v>6.1</v>
      </c>
      <c r="AJZ53" s="2">
        <v>3.8</v>
      </c>
      <c r="AKA53" s="2">
        <v>2.4</v>
      </c>
      <c r="AKB53" s="2">
        <v>-3.6</v>
      </c>
      <c r="AKC53" s="2">
        <v>1.6</v>
      </c>
      <c r="AKD53" s="2">
        <v>-0.4</v>
      </c>
      <c r="AKE53" s="2">
        <v>-2.7</v>
      </c>
      <c r="AKF53" s="2">
        <v>0.6</v>
      </c>
      <c r="AKG53" s="2">
        <v>-1.8</v>
      </c>
      <c r="AKH53" s="2">
        <v>1.5</v>
      </c>
      <c r="AKI53" s="2">
        <v>2.4</v>
      </c>
      <c r="AKJ53" s="2">
        <v>-3.9</v>
      </c>
      <c r="AKK53" s="2">
        <v>0.5</v>
      </c>
      <c r="AKL53" s="2">
        <v>-0.4</v>
      </c>
      <c r="AKM53" s="2">
        <v>-4.2</v>
      </c>
      <c r="AKN53" s="2">
        <v>0.4</v>
      </c>
      <c r="AKO53" s="2">
        <v>-1.3</v>
      </c>
      <c r="AKP53" s="2">
        <v>0.34</v>
      </c>
      <c r="AKQ53" s="2">
        <v>0.34</v>
      </c>
      <c r="AKR53" s="2">
        <v>0.34</v>
      </c>
    </row>
    <row r="54">
      <c r="A54" t="inlineStr">
        <is>
          <t>Tools and equipment for house and garden</t>
        </is>
      </c>
      <c r="B54" t="inlineStr">
        <is>
          <t>Household appliances, utensils and tools</t>
        </is>
      </c>
      <c r="C54">
        <v>3</v>
      </c>
      <c r="D54">
        <v>0.35</v>
      </c>
      <c r="E54" s="3">
        <f>D54/1.27*0.012816223067173638</f>
        <v>0.003532029979142341</v>
      </c>
      <c r="F54" s="3">
        <f>E54-D54/100</f>
        <v>3.202997914234125e-05</v>
      </c>
      <c r="G54" s="3">
        <f>D54/1.27</f>
        <v>0.2755905511811023</v>
      </c>
      <c r="CI54" s="2">
        <v>101.6</v>
      </c>
      <c r="CJ54" s="2">
        <v>101.36</v>
      </c>
      <c r="CK54" s="2">
        <v>101.55</v>
      </c>
      <c r="CL54" s="2">
        <v>102.31</v>
      </c>
      <c r="CM54" s="2">
        <v>102.15</v>
      </c>
      <c r="CN54" s="2">
        <v>101.57</v>
      </c>
      <c r="CO54" s="2">
        <v>100.89</v>
      </c>
      <c r="CP54" s="2">
        <v>100.26</v>
      </c>
      <c r="CQ54" s="2">
        <v>100.95</v>
      </c>
      <c r="CR54" s="2">
        <v>100.89</v>
      </c>
      <c r="CS54" s="2">
        <v>99.76000000000001</v>
      </c>
      <c r="CT54" s="2">
        <v>99.95</v>
      </c>
      <c r="CU54" s="2">
        <v>100.98</v>
      </c>
      <c r="CV54" s="2">
        <v>100.86</v>
      </c>
      <c r="CW54" s="2">
        <v>100.84</v>
      </c>
      <c r="CX54" s="2">
        <v>100.29</v>
      </c>
      <c r="CY54" s="2">
        <v>100.47</v>
      </c>
      <c r="CZ54" s="2">
        <v>100</v>
      </c>
      <c r="DA54" s="2">
        <v>100.06</v>
      </c>
      <c r="DB54" s="2">
        <v>99.83</v>
      </c>
      <c r="DC54" s="2">
        <v>99.5</v>
      </c>
      <c r="DD54" s="2">
        <v>99.2</v>
      </c>
      <c r="DE54" s="2">
        <v>99.72</v>
      </c>
      <c r="DF54" s="2">
        <v>98.81999999999999</v>
      </c>
      <c r="DG54" s="2">
        <v>100.26</v>
      </c>
      <c r="DH54" s="2">
        <v>100.76</v>
      </c>
      <c r="DI54" s="2">
        <v>101.91</v>
      </c>
      <c r="DJ54" s="2">
        <v>102.37</v>
      </c>
      <c r="GL54" s="2">
        <v>-0.6</v>
      </c>
      <c r="GM54" s="2">
        <v>-0.5</v>
      </c>
      <c r="GN54" s="2">
        <v>-0.7</v>
      </c>
      <c r="GO54" s="2">
        <v>-2</v>
      </c>
      <c r="GP54" s="2">
        <v>-1.6</v>
      </c>
      <c r="GQ54" s="2">
        <v>-1.5</v>
      </c>
      <c r="GR54" s="2">
        <v>-0.8</v>
      </c>
      <c r="GS54" s="2">
        <v>-0.4</v>
      </c>
      <c r="GT54" s="2">
        <v>-1.4</v>
      </c>
      <c r="GU54" s="2">
        <v>-1.7</v>
      </c>
      <c r="GV54" s="2">
        <v>0</v>
      </c>
      <c r="GW54" s="2">
        <v>-1.1</v>
      </c>
      <c r="GX54" s="2">
        <v>-0.7</v>
      </c>
      <c r="GY54" s="2">
        <v>-0.1</v>
      </c>
      <c r="GZ54" s="2">
        <v>1.1</v>
      </c>
      <c r="HA54" s="2">
        <v>2.1</v>
      </c>
      <c r="KC54" s="2">
        <v>-0.2</v>
      </c>
      <c r="KD54" s="2">
        <v>0.2</v>
      </c>
      <c r="KE54" s="2">
        <v>0.7</v>
      </c>
      <c r="KF54" s="2">
        <v>-0.2</v>
      </c>
      <c r="KG54" s="2">
        <v>-0.6</v>
      </c>
      <c r="KH54" s="2">
        <v>-0.7</v>
      </c>
      <c r="KI54" s="2">
        <v>-0.6</v>
      </c>
      <c r="KJ54" s="2">
        <v>0.7</v>
      </c>
      <c r="KK54" s="2">
        <v>-0.1</v>
      </c>
      <c r="KL54" s="2">
        <v>-1.1</v>
      </c>
      <c r="KM54" s="2">
        <v>0.2</v>
      </c>
      <c r="KN54" s="2">
        <v>1</v>
      </c>
      <c r="KO54" s="2">
        <v>-0.1</v>
      </c>
      <c r="KP54" s="2">
        <v>0</v>
      </c>
      <c r="KQ54" s="2">
        <v>-0.5</v>
      </c>
      <c r="KR54" s="2">
        <v>0.2</v>
      </c>
      <c r="KS54" s="2">
        <v>-0.5</v>
      </c>
      <c r="KT54" s="2">
        <v>0.1</v>
      </c>
      <c r="KU54" s="2">
        <v>-0.2</v>
      </c>
      <c r="KV54" s="2">
        <v>-0.3</v>
      </c>
      <c r="KW54" s="2">
        <v>-0.3</v>
      </c>
      <c r="KX54" s="2">
        <v>0.5</v>
      </c>
      <c r="KY54" s="2">
        <v>-0.9</v>
      </c>
      <c r="KZ54" s="2">
        <v>1.5</v>
      </c>
      <c r="LA54" s="2">
        <v>0.5</v>
      </c>
      <c r="LB54" s="2">
        <v>1.1</v>
      </c>
      <c r="LC54" s="2">
        <v>0.5</v>
      </c>
      <c r="LD54" s="2">
        <v>0.34</v>
      </c>
      <c r="LE54" s="2">
        <v>0.34</v>
      </c>
      <c r="LF54" s="2">
        <v>0.34</v>
      </c>
      <c r="LG54" s="2">
        <v>0.34</v>
      </c>
      <c r="LH54" s="2">
        <v>0.34</v>
      </c>
      <c r="LI54" s="2">
        <v>0.34</v>
      </c>
      <c r="LJ54" s="2">
        <v>0.34</v>
      </c>
      <c r="LK54" s="2">
        <v>0.34</v>
      </c>
      <c r="LL54" s="2">
        <v>0.34</v>
      </c>
      <c r="LM54" s="2">
        <v>0.34</v>
      </c>
      <c r="LN54" s="2">
        <v>0.34</v>
      </c>
      <c r="LO54" s="2">
        <v>0.34</v>
      </c>
      <c r="LP54" s="2">
        <v>0.34</v>
      </c>
      <c r="LQ54" s="2">
        <v>0.34</v>
      </c>
      <c r="LR54" s="2">
        <v>0.34</v>
      </c>
      <c r="LS54" s="2">
        <v>0.34</v>
      </c>
      <c r="LT54" s="2">
        <v>0.34</v>
      </c>
      <c r="LU54" s="2">
        <v>0.34</v>
      </c>
      <c r="LV54" s="2">
        <v>0.35</v>
      </c>
      <c r="LW54" s="2">
        <v>0.35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0.01</v>
      </c>
      <c r="MP54" s="2">
        <v>0</v>
      </c>
      <c r="RO54" s="2">
        <v>29.15</v>
      </c>
      <c r="RP54" s="2">
        <v>30.47</v>
      </c>
      <c r="RQ54" s="2">
        <v>31.58</v>
      </c>
      <c r="RR54" s="2">
        <v>32.14</v>
      </c>
      <c r="RS54" s="2">
        <v>32.76</v>
      </c>
      <c r="RT54" s="2">
        <v>33.32</v>
      </c>
      <c r="RU54" s="2">
        <v>34.09</v>
      </c>
      <c r="RV54" s="2">
        <v>34.57</v>
      </c>
      <c r="RW54" s="2">
        <v>35.34</v>
      </c>
      <c r="RX54" s="2">
        <v>37.08</v>
      </c>
      <c r="RY54" s="2">
        <v>38.05</v>
      </c>
      <c r="RZ54" s="2">
        <v>39.02</v>
      </c>
      <c r="SA54" s="2">
        <v>40.42</v>
      </c>
      <c r="SB54" s="2">
        <v>42.02</v>
      </c>
      <c r="SC54" s="2">
        <v>42.15</v>
      </c>
      <c r="SD54" s="2">
        <v>42.71</v>
      </c>
      <c r="SE54" s="2">
        <v>42.85</v>
      </c>
      <c r="SF54" s="2">
        <v>43.27</v>
      </c>
      <c r="SG54" s="2">
        <v>43.61</v>
      </c>
      <c r="SH54" s="2">
        <v>45.21</v>
      </c>
      <c r="SI54" s="2">
        <v>47.16</v>
      </c>
      <c r="SJ54" s="2">
        <v>48.83</v>
      </c>
      <c r="SK54" s="2">
        <v>50.08</v>
      </c>
      <c r="SL54" s="2">
        <v>51.2</v>
      </c>
      <c r="SM54" s="2">
        <v>52.73</v>
      </c>
      <c r="SN54" s="2">
        <v>57.39</v>
      </c>
      <c r="SO54" s="2">
        <v>59.06</v>
      </c>
      <c r="SP54" s="2">
        <v>61.77</v>
      </c>
      <c r="SQ54" s="2">
        <v>61.63</v>
      </c>
      <c r="SR54" s="2">
        <v>63.79</v>
      </c>
      <c r="SS54" s="2">
        <v>63.93</v>
      </c>
      <c r="ST54" s="2">
        <v>64.90000000000001</v>
      </c>
      <c r="SU54" s="2">
        <v>66.01000000000001</v>
      </c>
      <c r="SV54" s="2">
        <v>67.81999999999999</v>
      </c>
      <c r="SW54" s="2">
        <v>67.2</v>
      </c>
      <c r="SX54" s="2">
        <v>68.52</v>
      </c>
      <c r="SY54" s="2">
        <v>68.23999999999999</v>
      </c>
      <c r="SZ54" s="2">
        <v>69.7</v>
      </c>
      <c r="TA54" s="2">
        <v>69.84</v>
      </c>
      <c r="TB54" s="2">
        <v>70.54000000000001</v>
      </c>
      <c r="TC54" s="2">
        <v>72.41</v>
      </c>
      <c r="TD54" s="2">
        <v>70.81</v>
      </c>
      <c r="TE54" s="2">
        <v>73.04000000000001</v>
      </c>
      <c r="TF54" s="2">
        <v>71.93000000000001</v>
      </c>
      <c r="TG54" s="2">
        <v>74.22</v>
      </c>
      <c r="TH54" s="2">
        <v>73.59999999999999</v>
      </c>
      <c r="TI54" s="2">
        <v>73.94</v>
      </c>
      <c r="TJ54" s="2">
        <v>74.15000000000001</v>
      </c>
      <c r="TK54" s="2">
        <v>74.08</v>
      </c>
      <c r="TL54" s="2">
        <v>72.76000000000001</v>
      </c>
      <c r="TM54" s="2">
        <v>72.83</v>
      </c>
      <c r="TN54" s="2">
        <v>73.73999999999999</v>
      </c>
      <c r="TO54" s="2">
        <v>74.36</v>
      </c>
      <c r="TP54" s="2">
        <v>73.94</v>
      </c>
      <c r="TQ54" s="2">
        <v>74.01000000000001</v>
      </c>
      <c r="TR54" s="2">
        <v>74.56999999999999</v>
      </c>
      <c r="TS54" s="2">
        <v>74.64</v>
      </c>
      <c r="TT54" s="2">
        <v>74.29000000000001</v>
      </c>
      <c r="TU54" s="2">
        <v>74.15000000000001</v>
      </c>
      <c r="TV54" s="2">
        <v>74.5</v>
      </c>
      <c r="TW54" s="2">
        <v>74.98999999999999</v>
      </c>
      <c r="TX54" s="2">
        <v>75.68000000000001</v>
      </c>
      <c r="TY54" s="2">
        <v>75.27</v>
      </c>
      <c r="TZ54" s="2">
        <v>76.03</v>
      </c>
      <c r="UA54" s="2">
        <v>75.95999999999999</v>
      </c>
      <c r="UB54" s="2">
        <v>74.92</v>
      </c>
      <c r="UC54" s="2">
        <v>74.84999999999999</v>
      </c>
      <c r="UD54" s="2">
        <v>75.13</v>
      </c>
      <c r="UE54" s="2">
        <v>75.47</v>
      </c>
      <c r="UF54" s="2">
        <v>75.27</v>
      </c>
      <c r="UG54" s="2">
        <v>75.47</v>
      </c>
      <c r="UH54" s="2">
        <v>76.09999999999999</v>
      </c>
      <c r="UI54" s="2">
        <v>77.15000000000001</v>
      </c>
      <c r="UJ54" s="2">
        <v>77.17</v>
      </c>
      <c r="UK54" s="2">
        <v>77.94</v>
      </c>
      <c r="UL54" s="2">
        <v>78.29000000000001</v>
      </c>
      <c r="UM54" s="2">
        <v>78.70999999999999</v>
      </c>
      <c r="UN54" s="2">
        <v>78.52</v>
      </c>
      <c r="UO54" s="2">
        <v>78.78</v>
      </c>
      <c r="UP54" s="2">
        <v>78.98999999999999</v>
      </c>
      <c r="UQ54" s="2">
        <v>76.06999999999999</v>
      </c>
      <c r="UR54" s="2">
        <v>75.73999999999999</v>
      </c>
      <c r="US54" s="2">
        <v>76.55</v>
      </c>
      <c r="UT54" s="2">
        <v>78.26000000000001</v>
      </c>
      <c r="UU54" s="2">
        <v>78.92</v>
      </c>
      <c r="UV54" s="2">
        <v>78.95</v>
      </c>
      <c r="UW54" s="2">
        <v>78.70999999999999</v>
      </c>
      <c r="UX54" s="2">
        <v>78.64</v>
      </c>
      <c r="UY54" s="2">
        <v>79.06</v>
      </c>
      <c r="UZ54" s="2">
        <v>78.87</v>
      </c>
      <c r="VA54" s="2">
        <v>77.86</v>
      </c>
      <c r="VB54" s="2">
        <v>77.87</v>
      </c>
      <c r="VC54" s="2">
        <v>77.73</v>
      </c>
      <c r="VD54" s="2">
        <v>78.42</v>
      </c>
      <c r="VE54" s="2">
        <v>77.83</v>
      </c>
      <c r="VF54" s="2">
        <v>77.94</v>
      </c>
      <c r="VG54" s="2">
        <v>77.90000000000001</v>
      </c>
      <c r="VH54" s="2">
        <v>77.23</v>
      </c>
      <c r="VI54" s="2">
        <v>77.01000000000001</v>
      </c>
      <c r="VJ54" s="2">
        <v>77.38</v>
      </c>
      <c r="VK54" s="2">
        <v>76.63</v>
      </c>
      <c r="VL54" s="2">
        <v>76.56999999999999</v>
      </c>
      <c r="VM54" s="2">
        <v>76.23999999999999</v>
      </c>
      <c r="VN54" s="2">
        <v>76.51000000000001</v>
      </c>
      <c r="VO54" s="2">
        <v>76.73</v>
      </c>
      <c r="VP54" s="2">
        <v>76.98999999999999</v>
      </c>
      <c r="VQ54" s="2">
        <v>77.22</v>
      </c>
      <c r="VR54" s="2">
        <v>76.83</v>
      </c>
      <c r="VS54" s="2">
        <v>76.52</v>
      </c>
      <c r="VT54" s="2">
        <v>76.65000000000001</v>
      </c>
      <c r="VU54" s="2">
        <v>76.86</v>
      </c>
      <c r="VV54" s="2">
        <v>77.62</v>
      </c>
      <c r="VW54" s="2">
        <v>77.14</v>
      </c>
      <c r="VX54" s="2">
        <v>77.56999999999999</v>
      </c>
      <c r="VY54" s="2">
        <v>77.69</v>
      </c>
      <c r="VZ54" s="2">
        <v>81.29000000000001</v>
      </c>
      <c r="WA54" s="2">
        <v>81.81</v>
      </c>
      <c r="WB54" s="2">
        <v>82.84999999999999</v>
      </c>
      <c r="WC54" s="2">
        <v>83.31</v>
      </c>
      <c r="WD54" s="2">
        <v>83.61</v>
      </c>
      <c r="WE54" s="2">
        <v>82.78</v>
      </c>
      <c r="WF54" s="2">
        <v>82.45</v>
      </c>
      <c r="WG54" s="2">
        <v>81.61</v>
      </c>
      <c r="WH54" s="2">
        <v>82.01000000000001</v>
      </c>
      <c r="WI54" s="2">
        <v>80.56999999999999</v>
      </c>
      <c r="WJ54" s="2">
        <v>80.95</v>
      </c>
      <c r="WK54" s="2">
        <v>81.18000000000001</v>
      </c>
      <c r="WL54" s="2">
        <v>80.94</v>
      </c>
      <c r="WM54" s="2">
        <v>81.04000000000001</v>
      </c>
      <c r="WN54" s="2">
        <v>80.84</v>
      </c>
      <c r="WO54" s="2">
        <v>80.76000000000001</v>
      </c>
      <c r="WP54" s="2">
        <v>80.73999999999999</v>
      </c>
      <c r="WQ54" s="2">
        <v>80.68000000000001</v>
      </c>
      <c r="WR54" s="2">
        <v>80.81999999999999</v>
      </c>
      <c r="WS54" s="2">
        <v>81.33</v>
      </c>
      <c r="WT54" s="2">
        <v>81.48999999999999</v>
      </c>
      <c r="WU54" s="2">
        <v>81.33</v>
      </c>
      <c r="WV54" s="2">
        <v>81.13</v>
      </c>
      <c r="WW54" s="2">
        <v>81.34999999999999</v>
      </c>
      <c r="WX54" s="2">
        <v>82.03</v>
      </c>
      <c r="WY54" s="2">
        <v>83.41</v>
      </c>
      <c r="WZ54" s="2">
        <v>83.81999999999999</v>
      </c>
      <c r="XA54" s="2">
        <v>84.84</v>
      </c>
      <c r="XB54" s="2">
        <v>85.77</v>
      </c>
      <c r="XC54" s="2">
        <v>86.75</v>
      </c>
      <c r="XD54" s="2">
        <v>86.16</v>
      </c>
      <c r="XE54" s="2">
        <v>86.73</v>
      </c>
      <c r="XF54" s="2">
        <v>87.19</v>
      </c>
      <c r="XG54" s="2">
        <v>87.37</v>
      </c>
      <c r="XH54" s="2">
        <v>86.92</v>
      </c>
      <c r="XI54" s="2">
        <v>86.58</v>
      </c>
      <c r="XJ54" s="2">
        <v>85.84</v>
      </c>
      <c r="XK54" s="2">
        <v>85.95</v>
      </c>
      <c r="XL54" s="2">
        <v>85.70999999999999</v>
      </c>
      <c r="XM54" s="2">
        <v>85.78</v>
      </c>
      <c r="XN54" s="2">
        <v>86.89</v>
      </c>
      <c r="XO54" s="2">
        <v>87.40000000000001</v>
      </c>
      <c r="XP54" s="2">
        <v>87.62</v>
      </c>
      <c r="XQ54" s="2">
        <v>87.86</v>
      </c>
      <c r="XR54" s="2">
        <v>89.48</v>
      </c>
      <c r="XS54" s="2">
        <v>90.75</v>
      </c>
      <c r="XT54" s="2">
        <v>91.06999999999999</v>
      </c>
      <c r="XU54" s="2">
        <v>91.13</v>
      </c>
      <c r="XV54" s="2">
        <v>91.59</v>
      </c>
      <c r="XW54" s="2">
        <v>93.08</v>
      </c>
      <c r="XX54" s="2">
        <v>94.19</v>
      </c>
      <c r="XY54" s="2">
        <v>95.06999999999999</v>
      </c>
      <c r="XZ54" s="2">
        <v>96.59999999999999</v>
      </c>
      <c r="YA54" s="2">
        <v>98.27</v>
      </c>
      <c r="YB54" s="2">
        <v>99.64</v>
      </c>
      <c r="YC54" s="2">
        <v>99.31999999999999</v>
      </c>
      <c r="YD54" s="2">
        <v>100.64</v>
      </c>
      <c r="YE54" s="2">
        <v>100.73</v>
      </c>
      <c r="YF54" s="2">
        <v>101.3</v>
      </c>
      <c r="YG54" s="2">
        <v>101.52</v>
      </c>
      <c r="YH54" s="2">
        <v>101.29</v>
      </c>
      <c r="YI54" s="2">
        <v>101.97</v>
      </c>
      <c r="YJ54" s="2">
        <v>100.62</v>
      </c>
      <c r="YK54" s="2">
        <v>100.71</v>
      </c>
      <c r="YL54" s="2">
        <v>100.69</v>
      </c>
      <c r="YM54" s="2">
        <v>100.25</v>
      </c>
      <c r="YN54" s="2">
        <v>99.8</v>
      </c>
      <c r="YO54" s="2">
        <v>99.25</v>
      </c>
      <c r="YP54" s="2">
        <v>100.98</v>
      </c>
      <c r="ADO54" s="2">
        <v>4.5</v>
      </c>
      <c r="ADP54" s="2">
        <v>3.6</v>
      </c>
      <c r="ADQ54" s="2">
        <v>1.8</v>
      </c>
      <c r="ADR54" s="2">
        <v>1.9</v>
      </c>
      <c r="ADS54" s="2">
        <v>1.7</v>
      </c>
      <c r="ADT54" s="2">
        <v>2.3</v>
      </c>
      <c r="ADU54" s="2">
        <v>1.4</v>
      </c>
      <c r="ADV54" s="2">
        <v>2.2</v>
      </c>
      <c r="ADW54" s="2">
        <v>4.9</v>
      </c>
      <c r="ADX54" s="2">
        <v>2.6</v>
      </c>
      <c r="ADY54" s="2">
        <v>2.5</v>
      </c>
      <c r="ADZ54" s="2">
        <v>3.6</v>
      </c>
      <c r="AEA54" s="2">
        <v>4</v>
      </c>
      <c r="AEB54" s="2">
        <v>0.3</v>
      </c>
      <c r="AEC54" s="2">
        <v>1.3</v>
      </c>
      <c r="AED54" s="2">
        <v>0.3</v>
      </c>
      <c r="AEE54" s="2">
        <v>1</v>
      </c>
      <c r="AEF54" s="2">
        <v>0.8</v>
      </c>
      <c r="AEG54" s="2">
        <v>3.7</v>
      </c>
      <c r="AEH54" s="2">
        <v>4.3</v>
      </c>
      <c r="AEI54" s="2">
        <v>3.5</v>
      </c>
      <c r="AEJ54" s="2">
        <v>2.6</v>
      </c>
      <c r="AEK54" s="2">
        <v>2.2</v>
      </c>
      <c r="AEL54" s="2">
        <v>3</v>
      </c>
      <c r="AEM54" s="2">
        <v>8.800000000000001</v>
      </c>
      <c r="AEN54" s="2">
        <v>2.9</v>
      </c>
      <c r="AEO54" s="2">
        <v>4.6</v>
      </c>
      <c r="AEP54" s="2">
        <v>-0.2</v>
      </c>
      <c r="AEQ54" s="2">
        <v>3.5</v>
      </c>
      <c r="AER54" s="2">
        <v>0.2</v>
      </c>
      <c r="AES54" s="2">
        <v>1.5</v>
      </c>
      <c r="AET54" s="2">
        <v>1.7</v>
      </c>
      <c r="AEU54" s="2">
        <v>2.7</v>
      </c>
      <c r="AEV54" s="2">
        <v>-0.9</v>
      </c>
      <c r="AEW54" s="2">
        <v>2</v>
      </c>
      <c r="AEX54" s="2">
        <v>-0.4</v>
      </c>
      <c r="AEY54" s="2">
        <v>2.1</v>
      </c>
      <c r="AEZ54" s="2">
        <v>0.2</v>
      </c>
      <c r="AFA54" s="2">
        <v>1</v>
      </c>
      <c r="AFB54" s="2">
        <v>2.7</v>
      </c>
      <c r="AFC54" s="2">
        <v>-2.2</v>
      </c>
      <c r="AFD54" s="2">
        <v>3.1</v>
      </c>
      <c r="AFE54" s="2">
        <v>-1.5</v>
      </c>
      <c r="AFF54" s="2">
        <v>3.2</v>
      </c>
      <c r="AFG54" s="2">
        <v>-0.8</v>
      </c>
      <c r="AFH54" s="2">
        <v>0.5</v>
      </c>
      <c r="AFI54" s="2">
        <v>0.3</v>
      </c>
      <c r="AFJ54" s="2">
        <v>-0.1</v>
      </c>
      <c r="AFK54" s="2">
        <v>-1.8</v>
      </c>
      <c r="AFL54" s="2">
        <v>0.1</v>
      </c>
      <c r="AFM54" s="2">
        <v>1.2</v>
      </c>
      <c r="AFN54" s="2">
        <v>0.8</v>
      </c>
      <c r="AFO54" s="2">
        <v>-0.6</v>
      </c>
      <c r="AFP54" s="2">
        <v>0.1</v>
      </c>
      <c r="AFQ54" s="2">
        <v>0.8</v>
      </c>
      <c r="AFR54" s="2">
        <v>0.1</v>
      </c>
      <c r="AFS54" s="2">
        <v>-0.5</v>
      </c>
      <c r="AFT54" s="2">
        <v>-0.2</v>
      </c>
      <c r="AFU54" s="2">
        <v>0.5</v>
      </c>
      <c r="AFV54" s="2">
        <v>0.7</v>
      </c>
      <c r="AFW54" s="2">
        <v>0.9</v>
      </c>
      <c r="AFX54" s="2">
        <v>-0.5</v>
      </c>
      <c r="AFY54" s="2">
        <v>1</v>
      </c>
      <c r="AFZ54" s="2">
        <v>-0.1</v>
      </c>
      <c r="AGA54" s="2">
        <v>-1.4</v>
      </c>
      <c r="AGB54" s="2">
        <v>-0.1</v>
      </c>
      <c r="AGC54" s="2">
        <v>0.4</v>
      </c>
      <c r="AGD54" s="2">
        <v>0.5</v>
      </c>
      <c r="AGE54" s="2">
        <v>-0.3</v>
      </c>
      <c r="AGF54" s="2">
        <v>0.3</v>
      </c>
      <c r="AGG54" s="2">
        <v>0.8</v>
      </c>
      <c r="AGH54" s="2">
        <v>1.4</v>
      </c>
      <c r="AGI54" s="2">
        <v>0</v>
      </c>
      <c r="AGJ54" s="2">
        <v>1</v>
      </c>
      <c r="AGK54" s="2">
        <v>0.4</v>
      </c>
      <c r="AGL54" s="2">
        <v>0.5</v>
      </c>
      <c r="AGM54" s="2">
        <v>-0.2</v>
      </c>
      <c r="AGN54" s="2">
        <v>0.3</v>
      </c>
      <c r="AGO54" s="2">
        <v>0.3</v>
      </c>
      <c r="AGP54" s="2">
        <v>-3.7</v>
      </c>
      <c r="AGQ54" s="2">
        <v>-0.4</v>
      </c>
      <c r="AGR54" s="2">
        <v>1.1</v>
      </c>
      <c r="AGS54" s="2">
        <v>2.2</v>
      </c>
      <c r="AGT54" s="2">
        <v>0.8</v>
      </c>
      <c r="AGU54" s="2">
        <v>0</v>
      </c>
      <c r="AGV54" s="2">
        <v>-0.3</v>
      </c>
      <c r="AGW54" s="2">
        <v>-0.1</v>
      </c>
      <c r="AGX54" s="2">
        <v>0.5</v>
      </c>
      <c r="AGY54" s="2">
        <v>-0.2</v>
      </c>
      <c r="AGZ54" s="2">
        <v>-1.3</v>
      </c>
      <c r="AHA54" s="2">
        <v>0</v>
      </c>
      <c r="AHB54" s="2">
        <v>-0.2</v>
      </c>
      <c r="AHC54" s="2">
        <v>0.9</v>
      </c>
      <c r="AHD54" s="2">
        <v>-0.8</v>
      </c>
      <c r="AHE54" s="2">
        <v>0.1</v>
      </c>
      <c r="AHF54" s="2">
        <v>-0.1</v>
      </c>
      <c r="AHG54" s="2">
        <v>-0.9</v>
      </c>
      <c r="AHH54" s="2">
        <v>-0.3</v>
      </c>
      <c r="AHI54" s="2">
        <v>0.5</v>
      </c>
      <c r="AHJ54" s="2">
        <v>-1</v>
      </c>
      <c r="AHK54" s="2">
        <v>-0.1</v>
      </c>
      <c r="AHL54" s="2">
        <v>-0.4</v>
      </c>
      <c r="AHM54" s="2">
        <v>0.4</v>
      </c>
      <c r="AHN54" s="2">
        <v>0.3</v>
      </c>
      <c r="AHO54" s="2">
        <v>0.3</v>
      </c>
      <c r="AHP54" s="2">
        <v>0.3</v>
      </c>
      <c r="AHQ54" s="2">
        <v>-0.5</v>
      </c>
      <c r="AHR54" s="2">
        <v>-0.4</v>
      </c>
      <c r="AHS54" s="2">
        <v>0.2</v>
      </c>
      <c r="AHT54" s="2">
        <v>0.3</v>
      </c>
      <c r="AHU54" s="2">
        <v>1</v>
      </c>
      <c r="AHV54" s="2">
        <v>-0.6</v>
      </c>
      <c r="AHW54" s="2">
        <v>0.6</v>
      </c>
      <c r="AHX54" s="2">
        <v>0.2</v>
      </c>
      <c r="AHY54" s="2">
        <v>4.6</v>
      </c>
      <c r="AHZ54" s="2">
        <v>0.6</v>
      </c>
      <c r="AIA54" s="2">
        <v>1.3</v>
      </c>
      <c r="AIB54" s="2">
        <v>0.6</v>
      </c>
      <c r="AIC54" s="2">
        <v>0.4</v>
      </c>
      <c r="AID54" s="2">
        <v>-1</v>
      </c>
      <c r="AIE54" s="2">
        <v>-0.4</v>
      </c>
      <c r="AIF54" s="2">
        <v>-1</v>
      </c>
      <c r="AIG54" s="2">
        <v>0.5</v>
      </c>
      <c r="AIH54" s="2">
        <v>-1.8</v>
      </c>
      <c r="AII54" s="2">
        <v>0.5</v>
      </c>
      <c r="AIJ54" s="2">
        <v>0.3</v>
      </c>
      <c r="AIK54" s="2">
        <v>-0.3</v>
      </c>
      <c r="AIL54" s="2">
        <v>0.1</v>
      </c>
      <c r="AIM54" s="2">
        <v>-0.2</v>
      </c>
      <c r="AIN54" s="2">
        <v>-0.1</v>
      </c>
      <c r="AIO54" s="2">
        <v>0</v>
      </c>
      <c r="AIP54" s="2">
        <v>-0.1</v>
      </c>
      <c r="AIQ54" s="2">
        <v>0.2</v>
      </c>
      <c r="AIR54" s="2">
        <v>0.6</v>
      </c>
      <c r="AIS54" s="2">
        <v>0.2</v>
      </c>
      <c r="AIT54" s="2">
        <v>-0.2</v>
      </c>
      <c r="AIU54" s="2">
        <v>-0.2</v>
      </c>
      <c r="AIV54" s="2">
        <v>0.3</v>
      </c>
      <c r="AIW54" s="2">
        <v>0.8</v>
      </c>
      <c r="AIX54" s="2">
        <v>1.7</v>
      </c>
      <c r="AIY54" s="2">
        <v>0.5</v>
      </c>
      <c r="AIZ54" s="2">
        <v>1.2</v>
      </c>
      <c r="AJA54" s="2">
        <v>1.1</v>
      </c>
      <c r="AJB54" s="2">
        <v>1.1</v>
      </c>
      <c r="AJC54" s="2">
        <v>-0.7</v>
      </c>
      <c r="AJD54" s="2">
        <v>0.7</v>
      </c>
      <c r="AJE54" s="2">
        <v>0.5</v>
      </c>
      <c r="AJF54" s="2">
        <v>0.2</v>
      </c>
      <c r="AJG54" s="2">
        <v>-0.5</v>
      </c>
      <c r="AJH54" s="2">
        <v>-0.4</v>
      </c>
      <c r="AJI54" s="2">
        <v>-0.9</v>
      </c>
      <c r="AJJ54" s="2">
        <v>0.1</v>
      </c>
      <c r="AJK54" s="2">
        <v>-0.3</v>
      </c>
      <c r="AJL54" s="2">
        <v>0.1</v>
      </c>
      <c r="AJM54" s="2">
        <v>1.3</v>
      </c>
      <c r="AJN54" s="2">
        <v>0.6</v>
      </c>
      <c r="AJO54" s="2">
        <v>0.3</v>
      </c>
      <c r="AJP54" s="2">
        <v>0.3</v>
      </c>
      <c r="AJQ54" s="2">
        <v>1.8</v>
      </c>
      <c r="AJR54" s="2">
        <v>1.4</v>
      </c>
      <c r="AJS54" s="2">
        <v>0.4</v>
      </c>
      <c r="AJT54" s="2">
        <v>0.1</v>
      </c>
      <c r="AJU54" s="2">
        <v>0.5</v>
      </c>
      <c r="AJV54" s="2">
        <v>1.6</v>
      </c>
      <c r="AJW54" s="2">
        <v>1.2</v>
      </c>
      <c r="AJX54" s="2">
        <v>0.9</v>
      </c>
      <c r="AJY54" s="2">
        <v>1.6</v>
      </c>
      <c r="AJZ54" s="2">
        <v>1.7</v>
      </c>
      <c r="AKA54" s="2">
        <v>1.4</v>
      </c>
      <c r="AKB54" s="2">
        <v>-0.3</v>
      </c>
      <c r="AKC54" s="2">
        <v>1.3</v>
      </c>
      <c r="AKD54" s="2">
        <v>0.1</v>
      </c>
      <c r="AKE54" s="2">
        <v>0.6</v>
      </c>
      <c r="AKF54" s="2">
        <v>0.2</v>
      </c>
      <c r="AKG54" s="2">
        <v>-0.2</v>
      </c>
      <c r="AKH54" s="2">
        <v>0.7</v>
      </c>
      <c r="AKI54" s="2">
        <v>-1.3</v>
      </c>
      <c r="AKJ54" s="2">
        <v>0.1</v>
      </c>
      <c r="AKK54" s="2">
        <v>0</v>
      </c>
      <c r="AKL54" s="2">
        <v>-0.4</v>
      </c>
      <c r="AKM54" s="2">
        <v>-0.4</v>
      </c>
      <c r="AKN54" s="2">
        <v>-0.6</v>
      </c>
      <c r="AKO54" s="2">
        <v>1.7</v>
      </c>
      <c r="AKP54" s="2">
        <v>0.34</v>
      </c>
      <c r="AKQ54" s="2">
        <v>0.34</v>
      </c>
      <c r="AKR54" s="2">
        <v>0.34</v>
      </c>
    </row>
    <row r="55">
      <c r="A55" t="inlineStr">
        <is>
          <t>Cleaning and maintenance products</t>
        </is>
      </c>
      <c r="B55" t="inlineStr">
        <is>
          <t>Non-durable household products</t>
        </is>
      </c>
      <c r="C55">
        <v>3</v>
      </c>
      <c r="D55">
        <v>0.22</v>
      </c>
      <c r="E55" s="3">
        <f>D55/2.2*0.02202788339670469</f>
        <v>0.0022027883396704686</v>
      </c>
      <c r="F55" s="3">
        <f>E55-D55/100</f>
        <v>2.7883396704684975e-06</v>
      </c>
      <c r="G55" s="3">
        <f>D55/2.2</f>
        <v>0.09999999999999999</v>
      </c>
      <c r="H55" s="2">
        <v>79.31999999999999</v>
      </c>
      <c r="I55" s="2">
        <v>79.91</v>
      </c>
      <c r="J55" s="2">
        <v>78.44</v>
      </c>
      <c r="K55" s="2">
        <v>79.58</v>
      </c>
      <c r="L55" s="2">
        <v>78.34</v>
      </c>
      <c r="M55" s="2">
        <v>78.33</v>
      </c>
      <c r="N55" s="2">
        <v>78.84999999999999</v>
      </c>
      <c r="O55" s="2">
        <v>77.79000000000001</v>
      </c>
      <c r="P55" s="2">
        <v>76.44</v>
      </c>
      <c r="Q55" s="2">
        <v>76.67</v>
      </c>
      <c r="R55" s="2">
        <v>77.62</v>
      </c>
      <c r="S55" s="2">
        <v>77.34</v>
      </c>
      <c r="T55" s="2">
        <v>76.83</v>
      </c>
      <c r="U55" s="2">
        <v>77.84</v>
      </c>
      <c r="V55" s="2">
        <v>77.62</v>
      </c>
      <c r="W55" s="2">
        <v>79.44</v>
      </c>
      <c r="X55" s="2">
        <v>77.26000000000001</v>
      </c>
      <c r="Y55" s="2">
        <v>78.22</v>
      </c>
      <c r="Z55" s="2">
        <v>78.56999999999999</v>
      </c>
      <c r="AA55" s="2">
        <v>79.22</v>
      </c>
      <c r="AB55" s="2">
        <v>78.51000000000001</v>
      </c>
      <c r="AC55" s="2">
        <v>77.8</v>
      </c>
      <c r="AD55" s="2">
        <v>79.73999999999999</v>
      </c>
      <c r="AE55" s="2">
        <v>78.75</v>
      </c>
      <c r="AF55" s="2">
        <v>78.27</v>
      </c>
      <c r="AG55" s="2">
        <v>79.23</v>
      </c>
      <c r="AH55" s="2">
        <v>79.66</v>
      </c>
      <c r="AI55" s="2">
        <v>81.58</v>
      </c>
      <c r="AJ55" s="2">
        <v>78.88</v>
      </c>
      <c r="AK55" s="2">
        <v>80.78</v>
      </c>
      <c r="AL55" s="2">
        <v>85.09999999999999</v>
      </c>
      <c r="AM55" s="2">
        <v>89.51000000000001</v>
      </c>
      <c r="AN55" s="2">
        <v>84.81999999999999</v>
      </c>
      <c r="AO55" s="2">
        <v>82.27</v>
      </c>
      <c r="AP55" s="2">
        <v>82.26000000000001</v>
      </c>
      <c r="AQ55" s="2">
        <v>81.79000000000001</v>
      </c>
      <c r="AR55" s="2">
        <v>81.02</v>
      </c>
      <c r="AS55" s="2">
        <v>81.39</v>
      </c>
      <c r="AT55" s="2">
        <v>82.56999999999999</v>
      </c>
      <c r="AU55" s="2">
        <v>84.40000000000001</v>
      </c>
      <c r="AV55" s="2">
        <v>81.73</v>
      </c>
      <c r="AW55" s="2">
        <v>82.47</v>
      </c>
      <c r="AX55" s="2">
        <v>81.29000000000001</v>
      </c>
      <c r="AY55" s="2">
        <v>82.13</v>
      </c>
      <c r="AZ55" s="2">
        <v>82.5</v>
      </c>
      <c r="BA55" s="2">
        <v>81.83</v>
      </c>
      <c r="BB55" s="2">
        <v>82.8</v>
      </c>
      <c r="BC55" s="2">
        <v>82.98</v>
      </c>
      <c r="BD55" s="2">
        <v>82.37</v>
      </c>
      <c r="BE55" s="2">
        <v>83.04000000000001</v>
      </c>
      <c r="BF55" s="2">
        <v>83.68000000000001</v>
      </c>
      <c r="BG55" s="2">
        <v>86.34999999999999</v>
      </c>
      <c r="BH55" s="2">
        <v>86.09999999999999</v>
      </c>
      <c r="BI55" s="2">
        <v>88.28</v>
      </c>
      <c r="BJ55" s="2">
        <v>89.09999999999999</v>
      </c>
      <c r="BK55" s="2">
        <v>90.22</v>
      </c>
      <c r="BL55" s="2">
        <v>91.44</v>
      </c>
      <c r="BM55" s="2">
        <v>91.02</v>
      </c>
      <c r="BN55" s="2">
        <v>91.68000000000001</v>
      </c>
      <c r="BO55" s="2">
        <v>92.26000000000001</v>
      </c>
      <c r="BP55" s="2">
        <v>93.23999999999999</v>
      </c>
      <c r="BQ55" s="2">
        <v>93.23999999999999</v>
      </c>
      <c r="BR55" s="2">
        <v>98.98999999999999</v>
      </c>
      <c r="BS55" s="2">
        <v>99.84</v>
      </c>
      <c r="BT55" s="2">
        <v>98.2</v>
      </c>
      <c r="BU55" s="2">
        <v>98.54000000000001</v>
      </c>
      <c r="BV55" s="2">
        <v>99.02</v>
      </c>
      <c r="BW55" s="2">
        <v>98.87</v>
      </c>
      <c r="BX55" s="2">
        <v>99.62</v>
      </c>
      <c r="BY55" s="2">
        <v>99.25</v>
      </c>
      <c r="BZ55" s="2">
        <v>100.15</v>
      </c>
      <c r="CA55" s="2">
        <v>99.63</v>
      </c>
      <c r="CB55" s="2">
        <v>100.65</v>
      </c>
      <c r="CC55" s="2">
        <v>100.92</v>
      </c>
      <c r="CD55" s="2">
        <v>100.64</v>
      </c>
      <c r="CE55" s="2">
        <v>102.03</v>
      </c>
      <c r="CF55" s="2">
        <v>99.92</v>
      </c>
      <c r="CG55" s="2">
        <v>100.26</v>
      </c>
      <c r="CH55" s="2">
        <v>100.78</v>
      </c>
      <c r="CI55" s="2">
        <v>99.84999999999999</v>
      </c>
      <c r="CJ55" s="2">
        <v>98.95</v>
      </c>
      <c r="CK55" s="2">
        <v>98.81</v>
      </c>
      <c r="CL55" s="2">
        <v>99.77</v>
      </c>
      <c r="CM55" s="2">
        <v>99.19</v>
      </c>
      <c r="CN55" s="2">
        <v>98.48999999999999</v>
      </c>
      <c r="CO55" s="2">
        <v>99.11</v>
      </c>
      <c r="CP55" s="2">
        <v>97.87</v>
      </c>
      <c r="CQ55" s="2">
        <v>100.23</v>
      </c>
      <c r="CR55" s="2">
        <v>98.84999999999999</v>
      </c>
      <c r="CS55" s="2">
        <v>99.04000000000001</v>
      </c>
      <c r="CT55" s="2">
        <v>99.37</v>
      </c>
      <c r="CU55" s="2">
        <v>98.59999999999999</v>
      </c>
      <c r="CV55" s="2">
        <v>98.78</v>
      </c>
      <c r="CW55" s="2">
        <v>99.19</v>
      </c>
      <c r="CX55" s="2">
        <v>100.99</v>
      </c>
      <c r="CY55" s="2">
        <v>99.81</v>
      </c>
      <c r="CZ55" s="2">
        <v>100</v>
      </c>
      <c r="DA55" s="2">
        <v>100.28</v>
      </c>
      <c r="DB55" s="2">
        <v>99.26000000000001</v>
      </c>
      <c r="DC55" s="2">
        <v>102.11</v>
      </c>
      <c r="DD55" s="2">
        <v>100.03</v>
      </c>
      <c r="DE55" s="2">
        <v>99.23</v>
      </c>
      <c r="DF55" s="2">
        <v>99.36</v>
      </c>
      <c r="DG55" s="2">
        <v>99.63</v>
      </c>
      <c r="DH55" s="2">
        <v>99.67</v>
      </c>
      <c r="DI55" s="2">
        <v>99.29000000000001</v>
      </c>
      <c r="DJ55" s="2">
        <v>101.95</v>
      </c>
      <c r="DK55" s="2">
        <v>-3.1</v>
      </c>
      <c r="DL55" s="2">
        <v>-2.6</v>
      </c>
      <c r="DM55" s="2">
        <v>-1</v>
      </c>
      <c r="DN55" s="2">
        <v>-0.2</v>
      </c>
      <c r="DO55" s="2">
        <v>-1.4</v>
      </c>
      <c r="DP55" s="2">
        <v>-0.1</v>
      </c>
      <c r="DQ55" s="2">
        <v>-0.4</v>
      </c>
      <c r="DR55" s="2">
        <v>1.8</v>
      </c>
      <c r="DS55" s="2">
        <v>2.7</v>
      </c>
      <c r="DT55" s="2">
        <v>1.5</v>
      </c>
      <c r="DU55" s="2">
        <v>2.7</v>
      </c>
      <c r="DV55" s="2">
        <v>1.8</v>
      </c>
      <c r="DW55" s="2">
        <v>1.9</v>
      </c>
      <c r="DX55" s="2">
        <v>1.8</v>
      </c>
      <c r="DY55" s="2">
        <v>2.6</v>
      </c>
      <c r="DZ55" s="2">
        <v>2.7</v>
      </c>
      <c r="EA55" s="2">
        <v>2.1</v>
      </c>
      <c r="EB55" s="2">
        <v>3.3</v>
      </c>
      <c r="EC55" s="2">
        <v>8.300000000000001</v>
      </c>
      <c r="ED55" s="2">
        <v>13</v>
      </c>
      <c r="EE55" s="2">
        <v>8</v>
      </c>
      <c r="EF55" s="2">
        <v>5.7</v>
      </c>
      <c r="EG55" s="2">
        <v>3.2</v>
      </c>
      <c r="EH55" s="2">
        <v>3.9</v>
      </c>
      <c r="EI55" s="2">
        <v>3.5</v>
      </c>
      <c r="EJ55" s="2">
        <v>2.7</v>
      </c>
      <c r="EK55" s="2">
        <v>3.7</v>
      </c>
      <c r="EL55" s="2">
        <v>3.5</v>
      </c>
      <c r="EM55" s="2">
        <v>3.6</v>
      </c>
      <c r="EN55" s="2">
        <v>2.1</v>
      </c>
      <c r="EO55" s="2">
        <v>-4.5</v>
      </c>
      <c r="EP55" s="2">
        <v>-8.199999999999999</v>
      </c>
      <c r="EQ55" s="2">
        <v>-2.7</v>
      </c>
      <c r="ER55" s="2">
        <v>-0.5</v>
      </c>
      <c r="ES55" s="2">
        <v>0.7</v>
      </c>
      <c r="ET55" s="2">
        <v>1.5</v>
      </c>
      <c r="EU55" s="2">
        <v>1.7</v>
      </c>
      <c r="EV55" s="2">
        <v>2</v>
      </c>
      <c r="EW55" s="2">
        <v>1.3</v>
      </c>
      <c r="EX55" s="2">
        <v>2.3</v>
      </c>
      <c r="EY55" s="2">
        <v>5.3</v>
      </c>
      <c r="EZ55" s="2">
        <v>7</v>
      </c>
      <c r="FA55" s="2">
        <v>9.6</v>
      </c>
      <c r="FB55" s="2">
        <v>9.9</v>
      </c>
      <c r="FC55" s="2">
        <v>10.8</v>
      </c>
      <c r="FD55" s="2">
        <v>11.2</v>
      </c>
      <c r="FE55" s="2">
        <v>10.7</v>
      </c>
      <c r="FF55" s="2">
        <v>11.2</v>
      </c>
      <c r="FG55" s="2">
        <v>13.2</v>
      </c>
      <c r="FH55" s="2">
        <v>12.3</v>
      </c>
      <c r="FI55" s="2">
        <v>18.3</v>
      </c>
      <c r="FJ55" s="2">
        <v>15.6</v>
      </c>
      <c r="FK55" s="2">
        <v>14.1</v>
      </c>
      <c r="FL55" s="2">
        <v>11.6</v>
      </c>
      <c r="FM55" s="2">
        <v>11.1</v>
      </c>
      <c r="FN55" s="2">
        <v>9.6</v>
      </c>
      <c r="FO55" s="2">
        <v>8.9</v>
      </c>
      <c r="FP55" s="2">
        <v>9</v>
      </c>
      <c r="FQ55" s="2">
        <v>9.199999999999999</v>
      </c>
      <c r="FR55" s="2">
        <v>8</v>
      </c>
      <c r="FS55" s="2">
        <v>7.9</v>
      </c>
      <c r="FT55" s="2">
        <v>8.199999999999999</v>
      </c>
      <c r="FU55" s="2">
        <v>1.7</v>
      </c>
      <c r="FV55" s="2">
        <v>2.2</v>
      </c>
      <c r="FW55" s="2">
        <v>1.8</v>
      </c>
      <c r="FX55" s="2">
        <v>1.7</v>
      </c>
      <c r="FY55" s="2">
        <v>1.8</v>
      </c>
      <c r="FZ55" s="2">
        <v>1</v>
      </c>
      <c r="GA55" s="2">
        <v>-0.7</v>
      </c>
      <c r="GB55" s="2">
        <v>-0.4</v>
      </c>
      <c r="GC55" s="2">
        <v>-0.4</v>
      </c>
      <c r="GD55" s="2">
        <v>-0.4</v>
      </c>
      <c r="GE55" s="2">
        <v>-2.1</v>
      </c>
      <c r="GF55" s="2">
        <v>-1.8</v>
      </c>
      <c r="GG55" s="2">
        <v>-2.8</v>
      </c>
      <c r="GH55" s="2">
        <v>-1.8</v>
      </c>
      <c r="GI55" s="2">
        <v>-1.1</v>
      </c>
      <c r="GJ55" s="2">
        <v>-1.2</v>
      </c>
      <c r="GK55" s="2">
        <v>-1.4</v>
      </c>
      <c r="GL55" s="2">
        <v>-1.3</v>
      </c>
      <c r="GM55" s="2">
        <v>-0.2</v>
      </c>
      <c r="GN55" s="2">
        <v>0.4</v>
      </c>
      <c r="GO55" s="2">
        <v>1.2</v>
      </c>
      <c r="GP55" s="2">
        <v>0.6</v>
      </c>
      <c r="GQ55" s="2">
        <v>1.5</v>
      </c>
      <c r="GR55" s="2">
        <v>1.2</v>
      </c>
      <c r="GS55" s="2">
        <v>1.4</v>
      </c>
      <c r="GT55" s="2">
        <v>1.9</v>
      </c>
      <c r="GU55" s="2">
        <v>1.2</v>
      </c>
      <c r="GV55" s="2">
        <v>0.2</v>
      </c>
      <c r="GW55" s="2">
        <v>0</v>
      </c>
      <c r="GX55" s="2">
        <v>1</v>
      </c>
      <c r="GY55" s="2">
        <v>0.9</v>
      </c>
      <c r="GZ55" s="2">
        <v>0.1</v>
      </c>
      <c r="HA55" s="2">
        <v>1</v>
      </c>
      <c r="HB55" s="2">
        <v>0.7</v>
      </c>
      <c r="HC55" s="2">
        <v>-1.8</v>
      </c>
      <c r="HD55" s="2">
        <v>1.5</v>
      </c>
      <c r="HE55" s="2">
        <v>-1.6</v>
      </c>
      <c r="HF55" s="2">
        <v>0</v>
      </c>
      <c r="HG55" s="2">
        <v>0.7</v>
      </c>
      <c r="HH55" s="2">
        <v>-1.3</v>
      </c>
      <c r="HI55" s="2">
        <v>-1.7</v>
      </c>
      <c r="HJ55" s="2">
        <v>0.3</v>
      </c>
      <c r="HK55" s="2">
        <v>1.2</v>
      </c>
      <c r="HL55" s="2">
        <v>-0.4</v>
      </c>
      <c r="HM55" s="2">
        <v>-0.7</v>
      </c>
      <c r="HN55" s="2">
        <v>1.3</v>
      </c>
      <c r="HO55" s="2">
        <v>-0.3</v>
      </c>
      <c r="HP55" s="2">
        <v>2.3</v>
      </c>
      <c r="HQ55" s="2">
        <v>-2.7</v>
      </c>
      <c r="HR55" s="2">
        <v>1.2</v>
      </c>
      <c r="HS55" s="2">
        <v>0.4</v>
      </c>
      <c r="HT55" s="2">
        <v>0.8</v>
      </c>
      <c r="HU55" s="2">
        <v>-0.9</v>
      </c>
      <c r="HV55" s="2">
        <v>-0.9</v>
      </c>
      <c r="HW55" s="2">
        <v>2.5</v>
      </c>
      <c r="HX55" s="2">
        <v>-1.2</v>
      </c>
      <c r="HY55" s="2">
        <v>-0.6</v>
      </c>
      <c r="HZ55" s="2">
        <v>1.2</v>
      </c>
      <c r="IA55" s="2">
        <v>0.5</v>
      </c>
      <c r="IB55" s="2">
        <v>2.4</v>
      </c>
      <c r="IC55" s="2">
        <v>-3.3</v>
      </c>
      <c r="ID55" s="2">
        <v>2.4</v>
      </c>
      <c r="IE55" s="2">
        <v>5.3</v>
      </c>
      <c r="IF55" s="2">
        <v>5.2</v>
      </c>
      <c r="IG55" s="2">
        <v>-5.2</v>
      </c>
      <c r="IH55" s="2">
        <v>-3</v>
      </c>
      <c r="II55" s="2">
        <v>0</v>
      </c>
      <c r="IJ55" s="2">
        <v>-0.6</v>
      </c>
      <c r="IK55" s="2">
        <v>-0.9</v>
      </c>
      <c r="IL55" s="2">
        <v>0.5</v>
      </c>
      <c r="IM55" s="2">
        <v>1.4</v>
      </c>
      <c r="IN55" s="2">
        <v>2.2</v>
      </c>
      <c r="IO55" s="2">
        <v>-3.2</v>
      </c>
      <c r="IP55" s="2">
        <v>0.9</v>
      </c>
      <c r="IQ55" s="2">
        <v>-1.4</v>
      </c>
      <c r="IR55" s="2">
        <v>1</v>
      </c>
      <c r="IS55" s="2">
        <v>0.5</v>
      </c>
      <c r="IT55" s="2">
        <v>-0.8</v>
      </c>
      <c r="IU55" s="2">
        <v>1.2</v>
      </c>
      <c r="IV55" s="2">
        <v>0.2</v>
      </c>
      <c r="IW55" s="2">
        <v>-0.7</v>
      </c>
      <c r="IX55" s="2">
        <v>0.8</v>
      </c>
      <c r="IY55" s="2">
        <v>0.8</v>
      </c>
      <c r="IZ55" s="2">
        <v>3.2</v>
      </c>
      <c r="JA55" s="2">
        <v>-0.3</v>
      </c>
      <c r="JB55" s="2">
        <v>2.5</v>
      </c>
      <c r="JC55" s="2">
        <v>0.9</v>
      </c>
      <c r="JD55" s="2">
        <v>1.3</v>
      </c>
      <c r="JE55" s="2">
        <v>1.4</v>
      </c>
      <c r="JF55" s="2">
        <v>-0.5</v>
      </c>
      <c r="JG55" s="2">
        <v>0.7</v>
      </c>
      <c r="JH55" s="2">
        <v>0.6</v>
      </c>
      <c r="JI55" s="2">
        <v>1.1</v>
      </c>
      <c r="JJ55" s="2">
        <v>0</v>
      </c>
      <c r="JK55" s="2">
        <v>6.2</v>
      </c>
      <c r="JL55" s="2">
        <v>0.9</v>
      </c>
      <c r="JM55" s="2">
        <v>-1.6</v>
      </c>
      <c r="JN55" s="2">
        <v>0.3</v>
      </c>
      <c r="JO55" s="2">
        <v>0.5</v>
      </c>
      <c r="JP55" s="2">
        <v>-0.2</v>
      </c>
      <c r="JQ55" s="2">
        <v>0.8</v>
      </c>
      <c r="JR55" s="2">
        <v>-0.4</v>
      </c>
      <c r="JS55" s="2">
        <v>0.9</v>
      </c>
      <c r="JT55" s="2">
        <v>-0.5</v>
      </c>
      <c r="JU55" s="2">
        <v>1</v>
      </c>
      <c r="JV55" s="2">
        <v>0.3</v>
      </c>
      <c r="JW55" s="2">
        <v>-0.3</v>
      </c>
      <c r="JX55" s="2">
        <v>1.4</v>
      </c>
      <c r="JY55" s="2">
        <v>-2.1</v>
      </c>
      <c r="JZ55" s="2">
        <v>0.3</v>
      </c>
      <c r="KA55" s="2">
        <v>0.5</v>
      </c>
      <c r="KB55" s="2">
        <v>-0.9</v>
      </c>
      <c r="KC55" s="2">
        <v>-0.9</v>
      </c>
      <c r="KD55" s="2">
        <v>-0.1</v>
      </c>
      <c r="KE55" s="2">
        <v>1</v>
      </c>
      <c r="KF55" s="2">
        <v>-0.6</v>
      </c>
      <c r="KG55" s="2">
        <v>-0.7</v>
      </c>
      <c r="KH55" s="2">
        <v>0.6</v>
      </c>
      <c r="KI55" s="2">
        <v>-1.3</v>
      </c>
      <c r="KJ55" s="2">
        <v>2.4</v>
      </c>
      <c r="KK55" s="2">
        <v>-1.4</v>
      </c>
      <c r="KL55" s="2">
        <v>0.2</v>
      </c>
      <c r="KM55" s="2">
        <v>0.3</v>
      </c>
      <c r="KN55" s="2">
        <v>-0.8</v>
      </c>
      <c r="KO55" s="2">
        <v>0.2</v>
      </c>
      <c r="KP55" s="2">
        <v>0.4</v>
      </c>
      <c r="KQ55" s="2">
        <v>1.8</v>
      </c>
      <c r="KR55" s="2">
        <v>-1.2</v>
      </c>
      <c r="KS55" s="2">
        <v>0.2</v>
      </c>
      <c r="KT55" s="2">
        <v>0.3</v>
      </c>
      <c r="KU55" s="2">
        <v>-1</v>
      </c>
      <c r="KV55" s="2">
        <v>2.9</v>
      </c>
      <c r="KW55" s="2">
        <v>-2</v>
      </c>
      <c r="KX55" s="2">
        <v>-0.8</v>
      </c>
      <c r="KY55" s="2">
        <v>0.1</v>
      </c>
      <c r="KZ55" s="2">
        <v>0.3</v>
      </c>
      <c r="LA55" s="2">
        <v>0</v>
      </c>
      <c r="LB55" s="2">
        <v>-0.4</v>
      </c>
      <c r="LC55" s="2">
        <v>2.7</v>
      </c>
      <c r="LD55" s="2">
        <v>0.21</v>
      </c>
      <c r="LE55" s="2">
        <v>0.21</v>
      </c>
      <c r="LF55" s="2">
        <v>0.21</v>
      </c>
      <c r="LG55" s="2">
        <v>0.21</v>
      </c>
      <c r="LH55" s="2">
        <v>0.21</v>
      </c>
      <c r="LI55" s="2">
        <v>0.21</v>
      </c>
      <c r="LJ55" s="2">
        <v>0.21</v>
      </c>
      <c r="LK55" s="2">
        <v>0.21</v>
      </c>
      <c r="LL55" s="2">
        <v>0.21</v>
      </c>
      <c r="LM55" s="2">
        <v>0.21</v>
      </c>
      <c r="LN55" s="2">
        <v>0.21</v>
      </c>
      <c r="LO55" s="2">
        <v>0.21</v>
      </c>
      <c r="LP55" s="2">
        <v>0.22</v>
      </c>
      <c r="LQ55" s="2">
        <v>0.21</v>
      </c>
      <c r="LR55" s="2">
        <v>0.21</v>
      </c>
      <c r="LS55" s="2">
        <v>0.21</v>
      </c>
      <c r="LT55" s="2">
        <v>0.21</v>
      </c>
      <c r="LU55" s="2">
        <v>0.21</v>
      </c>
      <c r="LV55" s="2">
        <v>0.21</v>
      </c>
      <c r="LW55" s="2">
        <v>0.22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0.01</v>
      </c>
      <c r="MJ55" s="2">
        <v>-0.01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0.01</v>
      </c>
      <c r="RO55" s="2">
        <v>29.95</v>
      </c>
      <c r="RP55" s="2">
        <v>31.94</v>
      </c>
      <c r="RQ55" s="2">
        <v>32.9</v>
      </c>
      <c r="RR55" s="2">
        <v>32.9</v>
      </c>
      <c r="RS55" s="2">
        <v>34.18</v>
      </c>
      <c r="RT55" s="2">
        <v>35.66</v>
      </c>
      <c r="RU55" s="2">
        <v>36.3</v>
      </c>
      <c r="RV55" s="2">
        <v>37.84</v>
      </c>
      <c r="RW55" s="2">
        <v>39.06</v>
      </c>
      <c r="RX55" s="2">
        <v>40.21</v>
      </c>
      <c r="RY55" s="2">
        <v>41.75</v>
      </c>
      <c r="RZ55" s="2">
        <v>42.13</v>
      </c>
      <c r="SA55" s="2">
        <v>43.42</v>
      </c>
      <c r="SB55" s="2">
        <v>43.67</v>
      </c>
      <c r="SC55" s="2">
        <v>44.31</v>
      </c>
      <c r="SD55" s="2">
        <v>45.79</v>
      </c>
      <c r="SE55" s="2">
        <v>45.66</v>
      </c>
      <c r="SF55" s="2">
        <v>46.17</v>
      </c>
      <c r="SG55" s="2">
        <v>47.65</v>
      </c>
      <c r="SH55" s="2">
        <v>50.09</v>
      </c>
      <c r="SI55" s="2">
        <v>51.11</v>
      </c>
      <c r="SJ55" s="2">
        <v>52.33</v>
      </c>
      <c r="SK55" s="2">
        <v>53.42</v>
      </c>
      <c r="SL55" s="2">
        <v>54.06</v>
      </c>
      <c r="SM55" s="2">
        <v>53.93</v>
      </c>
      <c r="SN55" s="2">
        <v>53.81</v>
      </c>
      <c r="SO55" s="2">
        <v>55.54</v>
      </c>
      <c r="SP55" s="2">
        <v>55.92</v>
      </c>
      <c r="SQ55" s="2">
        <v>56.05</v>
      </c>
      <c r="SR55" s="2">
        <v>58.1</v>
      </c>
      <c r="SS55" s="2">
        <v>58.23</v>
      </c>
      <c r="ST55" s="2">
        <v>58.74</v>
      </c>
      <c r="SU55" s="2">
        <v>59.26</v>
      </c>
      <c r="SV55" s="2">
        <v>59.58</v>
      </c>
      <c r="SW55" s="2">
        <v>60.54</v>
      </c>
      <c r="SX55" s="2">
        <v>61.44</v>
      </c>
      <c r="SY55" s="2">
        <v>61.76</v>
      </c>
      <c r="SZ55" s="2">
        <v>64</v>
      </c>
      <c r="TA55" s="2">
        <v>64.64</v>
      </c>
      <c r="TB55" s="2">
        <v>66.12</v>
      </c>
      <c r="TC55" s="2">
        <v>67.02</v>
      </c>
      <c r="TD55" s="2">
        <v>69.97</v>
      </c>
      <c r="TE55" s="2">
        <v>70.03</v>
      </c>
      <c r="TF55" s="2">
        <v>68.3</v>
      </c>
      <c r="TG55" s="2">
        <v>69.58</v>
      </c>
      <c r="TH55" s="2">
        <v>69.58</v>
      </c>
      <c r="TI55" s="2">
        <v>69.2</v>
      </c>
      <c r="TJ55" s="2">
        <v>70.93000000000001</v>
      </c>
      <c r="TK55" s="2">
        <v>71.83</v>
      </c>
      <c r="TL55" s="2">
        <v>71.63</v>
      </c>
      <c r="TM55" s="2">
        <v>70.48</v>
      </c>
      <c r="TN55" s="2">
        <v>70.61</v>
      </c>
      <c r="TO55" s="2">
        <v>73.3</v>
      </c>
      <c r="TP55" s="2">
        <v>72.53</v>
      </c>
      <c r="TQ55" s="2">
        <v>72.84999999999999</v>
      </c>
      <c r="TR55" s="2">
        <v>71.89</v>
      </c>
      <c r="TS55" s="2">
        <v>72.47</v>
      </c>
      <c r="TT55" s="2">
        <v>72.15000000000001</v>
      </c>
      <c r="TU55" s="2">
        <v>72.66</v>
      </c>
      <c r="TV55" s="2">
        <v>73.94</v>
      </c>
      <c r="TW55" s="2">
        <v>75.29000000000001</v>
      </c>
      <c r="TX55" s="2">
        <v>76.31999999999999</v>
      </c>
      <c r="TY55" s="2">
        <v>77.53</v>
      </c>
      <c r="TZ55" s="2">
        <v>78.43000000000001</v>
      </c>
      <c r="UA55" s="2">
        <v>79.65000000000001</v>
      </c>
      <c r="UB55" s="2">
        <v>80.04000000000001</v>
      </c>
      <c r="UC55" s="2">
        <v>80.36</v>
      </c>
      <c r="UD55" s="2">
        <v>80.23</v>
      </c>
      <c r="UE55" s="2">
        <v>77.20999999999999</v>
      </c>
      <c r="UF55" s="2">
        <v>76.83</v>
      </c>
      <c r="UG55" s="2">
        <v>77.02</v>
      </c>
      <c r="UH55" s="2">
        <v>77.20999999999999</v>
      </c>
      <c r="UI55" s="2">
        <v>77.91</v>
      </c>
      <c r="UJ55" s="2">
        <v>77.04000000000001</v>
      </c>
      <c r="UK55" s="2">
        <v>76.95999999999999</v>
      </c>
      <c r="UL55" s="2">
        <v>77.98</v>
      </c>
      <c r="UM55" s="2">
        <v>78.34</v>
      </c>
      <c r="UN55" s="2">
        <v>77.87</v>
      </c>
      <c r="UO55" s="2">
        <v>78.76000000000001</v>
      </c>
      <c r="UP55" s="2">
        <v>78.58</v>
      </c>
      <c r="UQ55" s="2">
        <v>71.83</v>
      </c>
      <c r="UR55" s="2">
        <v>72.70999999999999</v>
      </c>
      <c r="US55" s="2">
        <v>74.06999999999999</v>
      </c>
      <c r="UT55" s="2">
        <v>75.31</v>
      </c>
      <c r="UU55" s="2">
        <v>75.84999999999999</v>
      </c>
      <c r="UV55" s="2">
        <v>75.51000000000001</v>
      </c>
      <c r="UW55" s="2">
        <v>76.98999999999999</v>
      </c>
      <c r="UX55" s="2">
        <v>77.25</v>
      </c>
      <c r="UY55" s="2">
        <v>78.09</v>
      </c>
      <c r="UZ55" s="2">
        <v>77.64</v>
      </c>
      <c r="VA55" s="2">
        <v>78.23</v>
      </c>
      <c r="VB55" s="2">
        <v>78.66</v>
      </c>
      <c r="VC55" s="2">
        <v>79.20999999999999</v>
      </c>
      <c r="VD55" s="2">
        <v>78.45999999999999</v>
      </c>
      <c r="VE55" s="2">
        <v>78.45</v>
      </c>
      <c r="VF55" s="2">
        <v>80.34</v>
      </c>
      <c r="VG55" s="2">
        <v>78.23999999999999</v>
      </c>
      <c r="VH55" s="2">
        <v>80.06</v>
      </c>
      <c r="VI55" s="2">
        <v>78.63</v>
      </c>
      <c r="VJ55" s="2">
        <v>80.44</v>
      </c>
      <c r="VK55" s="2">
        <v>81.03</v>
      </c>
      <c r="VL55" s="2">
        <v>82.15000000000001</v>
      </c>
      <c r="VM55" s="2">
        <v>81.59999999999999</v>
      </c>
      <c r="VN55" s="2">
        <v>82.81</v>
      </c>
      <c r="VO55" s="2">
        <v>83.39</v>
      </c>
      <c r="VP55" s="2">
        <v>84.18000000000001</v>
      </c>
      <c r="VQ55" s="2">
        <v>83.56999999999999</v>
      </c>
      <c r="VR55" s="2">
        <v>84.84</v>
      </c>
      <c r="VS55" s="2">
        <v>84.73</v>
      </c>
      <c r="VT55" s="2">
        <v>83.72</v>
      </c>
      <c r="VU55" s="2">
        <v>84.39</v>
      </c>
      <c r="VV55" s="2">
        <v>82.61</v>
      </c>
      <c r="VW55" s="2">
        <v>85.2</v>
      </c>
      <c r="VX55" s="2">
        <v>85.54000000000001</v>
      </c>
      <c r="VY55" s="2">
        <v>85.79000000000001</v>
      </c>
      <c r="VZ55" s="2">
        <v>85.28</v>
      </c>
      <c r="WA55" s="2">
        <v>85.09</v>
      </c>
      <c r="WB55" s="2">
        <v>85.45999999999999</v>
      </c>
      <c r="WC55" s="2">
        <v>88.3</v>
      </c>
      <c r="WD55" s="2">
        <v>88.63</v>
      </c>
      <c r="WE55" s="2">
        <v>87.79000000000001</v>
      </c>
      <c r="WF55" s="2">
        <v>85.56999999999999</v>
      </c>
      <c r="WG55" s="2">
        <v>85.54000000000001</v>
      </c>
      <c r="WH55" s="2">
        <v>86.23999999999999</v>
      </c>
      <c r="WI55" s="2">
        <v>87.43000000000001</v>
      </c>
      <c r="WJ55" s="2">
        <v>87.65000000000001</v>
      </c>
      <c r="WK55" s="2">
        <v>84.7</v>
      </c>
      <c r="WL55" s="2">
        <v>88.72</v>
      </c>
      <c r="WM55" s="2">
        <v>88.59999999999999</v>
      </c>
      <c r="WN55" s="2">
        <v>88.69</v>
      </c>
      <c r="WO55" s="2">
        <v>88.87</v>
      </c>
      <c r="WP55" s="2">
        <v>87.98</v>
      </c>
      <c r="WQ55" s="2">
        <v>87.51000000000001</v>
      </c>
      <c r="WR55" s="2">
        <v>86.95999999999999</v>
      </c>
      <c r="WS55" s="2">
        <v>84.86</v>
      </c>
      <c r="WT55" s="2">
        <v>85.56</v>
      </c>
      <c r="WU55" s="2">
        <v>86.84</v>
      </c>
      <c r="WV55" s="2">
        <v>85.58</v>
      </c>
      <c r="WW55" s="2">
        <v>87.31999999999999</v>
      </c>
      <c r="WX55" s="2">
        <v>85.54000000000001</v>
      </c>
      <c r="WY55" s="2">
        <v>84.44</v>
      </c>
      <c r="WZ55" s="2">
        <v>85.58</v>
      </c>
      <c r="XA55" s="2">
        <v>84.37</v>
      </c>
      <c r="XB55" s="2">
        <v>84.83</v>
      </c>
      <c r="XC55" s="2">
        <v>83.90000000000001</v>
      </c>
      <c r="XD55" s="2">
        <v>83.5</v>
      </c>
      <c r="XE55" s="2">
        <v>82.70999999999999</v>
      </c>
      <c r="XF55" s="2">
        <v>83.52</v>
      </c>
      <c r="XG55" s="2">
        <v>82.75</v>
      </c>
      <c r="XH55" s="2">
        <v>82.36</v>
      </c>
      <c r="XI55" s="2">
        <v>81.28</v>
      </c>
      <c r="XJ55" s="2">
        <v>79.69</v>
      </c>
      <c r="XK55" s="2">
        <v>79.56999999999999</v>
      </c>
      <c r="XL55" s="2">
        <v>81.16</v>
      </c>
      <c r="XM55" s="2">
        <v>80.34999999999999</v>
      </c>
      <c r="XN55" s="2">
        <v>80.52</v>
      </c>
      <c r="XO55" s="2">
        <v>80.77</v>
      </c>
      <c r="XP55" s="2">
        <v>81.63</v>
      </c>
      <c r="XQ55" s="2">
        <v>83.12</v>
      </c>
      <c r="XR55" s="2">
        <v>88.29000000000001</v>
      </c>
      <c r="XS55" s="2">
        <v>84.44</v>
      </c>
      <c r="XT55" s="2">
        <v>84.93000000000001</v>
      </c>
      <c r="XU55" s="2">
        <v>83.79000000000001</v>
      </c>
      <c r="XV55" s="2">
        <v>84.15000000000001</v>
      </c>
      <c r="XW55" s="2">
        <v>84.81999999999999</v>
      </c>
      <c r="XX55" s="2">
        <v>86.12</v>
      </c>
      <c r="XY55" s="2">
        <v>88.47</v>
      </c>
      <c r="XZ55" s="2">
        <v>90.88</v>
      </c>
      <c r="YA55" s="2">
        <v>92.40000000000001</v>
      </c>
      <c r="YB55" s="2">
        <v>97.36</v>
      </c>
      <c r="YC55" s="2">
        <v>98.59</v>
      </c>
      <c r="YD55" s="2">
        <v>99.25</v>
      </c>
      <c r="YE55" s="2">
        <v>100.14</v>
      </c>
      <c r="YF55" s="2">
        <v>101.2</v>
      </c>
      <c r="YG55" s="2">
        <v>100.32</v>
      </c>
      <c r="YH55" s="2">
        <v>99.2</v>
      </c>
      <c r="YI55" s="2">
        <v>99.15000000000001</v>
      </c>
      <c r="YJ55" s="2">
        <v>99.06999999999999</v>
      </c>
      <c r="YK55" s="2">
        <v>99.09</v>
      </c>
      <c r="YL55" s="2">
        <v>98.86</v>
      </c>
      <c r="YM55" s="2">
        <v>100.27</v>
      </c>
      <c r="YN55" s="2">
        <v>100.55</v>
      </c>
      <c r="YO55" s="2">
        <v>99.54000000000001</v>
      </c>
      <c r="YP55" s="2">
        <v>99.53</v>
      </c>
      <c r="ADO55" s="2">
        <v>6.6</v>
      </c>
      <c r="ADP55" s="2">
        <v>3</v>
      </c>
      <c r="ADQ55" s="2">
        <v>0</v>
      </c>
      <c r="ADR55" s="2">
        <v>3.9</v>
      </c>
      <c r="ADS55" s="2">
        <v>4.3</v>
      </c>
      <c r="ADT55" s="2">
        <v>1.8</v>
      </c>
      <c r="ADU55" s="2">
        <v>4.2</v>
      </c>
      <c r="ADV55" s="2">
        <v>3.2</v>
      </c>
      <c r="ADW55" s="2">
        <v>2.9</v>
      </c>
      <c r="ADX55" s="2">
        <v>3.8</v>
      </c>
      <c r="ADY55" s="2">
        <v>0.9</v>
      </c>
      <c r="ADZ55" s="2">
        <v>3.1</v>
      </c>
      <c r="AEA55" s="2">
        <v>0.6</v>
      </c>
      <c r="AEB55" s="2">
        <v>1.5</v>
      </c>
      <c r="AEC55" s="2">
        <v>3.3</v>
      </c>
      <c r="AED55" s="2">
        <v>-0.3</v>
      </c>
      <c r="AEE55" s="2">
        <v>1.1</v>
      </c>
      <c r="AEF55" s="2">
        <v>3.2</v>
      </c>
      <c r="AEG55" s="2">
        <v>5.1</v>
      </c>
      <c r="AEH55" s="2">
        <v>2</v>
      </c>
      <c r="AEI55" s="2">
        <v>2.4</v>
      </c>
      <c r="AEJ55" s="2">
        <v>2.1</v>
      </c>
      <c r="AEK55" s="2">
        <v>1.2</v>
      </c>
      <c r="AEL55" s="2">
        <v>-0.2</v>
      </c>
      <c r="AEM55" s="2">
        <v>-0.2</v>
      </c>
      <c r="AEN55" s="2">
        <v>3.2</v>
      </c>
      <c r="AEO55" s="2">
        <v>0.7</v>
      </c>
      <c r="AEP55" s="2">
        <v>0.2</v>
      </c>
      <c r="AEQ55" s="2">
        <v>3.7</v>
      </c>
      <c r="AER55" s="2">
        <v>0.2</v>
      </c>
      <c r="AES55" s="2">
        <v>0.9</v>
      </c>
      <c r="AET55" s="2">
        <v>0.9</v>
      </c>
      <c r="AEU55" s="2">
        <v>0.5</v>
      </c>
      <c r="AEV55" s="2">
        <v>1.6</v>
      </c>
      <c r="AEW55" s="2">
        <v>1.5</v>
      </c>
      <c r="AEX55" s="2">
        <v>0.5</v>
      </c>
      <c r="AEY55" s="2">
        <v>3.6</v>
      </c>
      <c r="AEZ55" s="2">
        <v>1</v>
      </c>
      <c r="AFA55" s="2">
        <v>2.3</v>
      </c>
      <c r="AFB55" s="2">
        <v>1.4</v>
      </c>
      <c r="AFC55" s="2">
        <v>4.4</v>
      </c>
      <c r="AFD55" s="2">
        <v>0.1</v>
      </c>
      <c r="AFE55" s="2">
        <v>-2.5</v>
      </c>
      <c r="AFF55" s="2">
        <v>1.9</v>
      </c>
      <c r="AFG55" s="2">
        <v>0</v>
      </c>
      <c r="AFH55" s="2">
        <v>-0.5</v>
      </c>
      <c r="AFI55" s="2">
        <v>2.5</v>
      </c>
      <c r="AFJ55" s="2">
        <v>1.3</v>
      </c>
      <c r="AFK55" s="2">
        <v>-0.3</v>
      </c>
      <c r="AFL55" s="2">
        <v>-1.6</v>
      </c>
      <c r="AFM55" s="2">
        <v>0.2</v>
      </c>
      <c r="AFN55" s="2">
        <v>3.8</v>
      </c>
      <c r="AFO55" s="2">
        <v>-1.1</v>
      </c>
      <c r="AFP55" s="2">
        <v>0.4</v>
      </c>
      <c r="AFQ55" s="2">
        <v>-1.3</v>
      </c>
      <c r="AFR55" s="2">
        <v>0.8</v>
      </c>
      <c r="AFS55" s="2">
        <v>-0.4</v>
      </c>
      <c r="AFT55" s="2">
        <v>0.7</v>
      </c>
      <c r="AFU55" s="2">
        <v>1.8</v>
      </c>
      <c r="AFV55" s="2">
        <v>1.8</v>
      </c>
      <c r="AFW55" s="2">
        <v>1.4</v>
      </c>
      <c r="AFX55" s="2">
        <v>1.6</v>
      </c>
      <c r="AFY55" s="2">
        <v>1.2</v>
      </c>
      <c r="AFZ55" s="2">
        <v>1.6</v>
      </c>
      <c r="AGA55" s="2">
        <v>0.5</v>
      </c>
      <c r="AGB55" s="2">
        <v>0.4</v>
      </c>
      <c r="AGC55" s="2">
        <v>-0.2</v>
      </c>
      <c r="AGD55" s="2">
        <v>-3.8</v>
      </c>
      <c r="AGE55" s="2">
        <v>-0.5</v>
      </c>
      <c r="AGF55" s="2">
        <v>0.2</v>
      </c>
      <c r="AGG55" s="2">
        <v>0.2</v>
      </c>
      <c r="AGH55" s="2">
        <v>0.9</v>
      </c>
      <c r="AGI55" s="2">
        <v>-1.1</v>
      </c>
      <c r="AGJ55" s="2">
        <v>-0.1</v>
      </c>
      <c r="AGK55" s="2">
        <v>1.3</v>
      </c>
      <c r="AGL55" s="2">
        <v>0.5</v>
      </c>
      <c r="AGM55" s="2">
        <v>-0.6</v>
      </c>
      <c r="AGN55" s="2">
        <v>1.1</v>
      </c>
      <c r="AGO55" s="2">
        <v>-0.2</v>
      </c>
      <c r="AGP55" s="2">
        <v>-8.6</v>
      </c>
      <c r="AGQ55" s="2">
        <v>1.2</v>
      </c>
      <c r="AGR55" s="2">
        <v>1.9</v>
      </c>
      <c r="AGS55" s="2">
        <v>1.7</v>
      </c>
      <c r="AGT55" s="2">
        <v>0.7</v>
      </c>
      <c r="AGU55" s="2">
        <v>-0.4</v>
      </c>
      <c r="AGV55" s="2">
        <v>2</v>
      </c>
      <c r="AGW55" s="2">
        <v>0.3</v>
      </c>
      <c r="AGX55" s="2">
        <v>1.1</v>
      </c>
      <c r="AGY55" s="2">
        <v>-0.6</v>
      </c>
      <c r="AGZ55" s="2">
        <v>0.8</v>
      </c>
      <c r="AHA55" s="2">
        <v>0.5</v>
      </c>
      <c r="AHB55" s="2">
        <v>0.7</v>
      </c>
      <c r="AHC55" s="2">
        <v>-0.9</v>
      </c>
      <c r="AHD55" s="2">
        <v>0</v>
      </c>
      <c r="AHE55" s="2">
        <v>2.4</v>
      </c>
      <c r="AHF55" s="2">
        <v>-2.6</v>
      </c>
      <c r="AHG55" s="2">
        <v>2.3</v>
      </c>
      <c r="AHH55" s="2">
        <v>-1.8</v>
      </c>
      <c r="AHI55" s="2">
        <v>2.3</v>
      </c>
      <c r="AHJ55" s="2">
        <v>0.7</v>
      </c>
      <c r="AHK55" s="2">
        <v>1.4</v>
      </c>
      <c r="AHL55" s="2">
        <v>-0.7</v>
      </c>
      <c r="AHM55" s="2">
        <v>1.5</v>
      </c>
      <c r="AHN55" s="2">
        <v>0.7</v>
      </c>
      <c r="AHO55" s="2">
        <v>0.9</v>
      </c>
      <c r="AHP55" s="2">
        <v>-0.7</v>
      </c>
      <c r="AHQ55" s="2">
        <v>1.5</v>
      </c>
      <c r="AHR55" s="2">
        <v>-0.1</v>
      </c>
      <c r="AHS55" s="2">
        <v>-1.2</v>
      </c>
      <c r="AHT55" s="2">
        <v>0.8</v>
      </c>
      <c r="AHU55" s="2">
        <v>-2.1</v>
      </c>
      <c r="AHV55" s="2">
        <v>3.1</v>
      </c>
      <c r="AHW55" s="2">
        <v>0.4</v>
      </c>
      <c r="AHX55" s="2">
        <v>0.3</v>
      </c>
      <c r="AHY55" s="2">
        <v>-0.6</v>
      </c>
      <c r="AHZ55" s="2">
        <v>-0.2</v>
      </c>
      <c r="AIA55" s="2">
        <v>0.4</v>
      </c>
      <c r="AIB55" s="2">
        <v>3.3</v>
      </c>
      <c r="AIC55" s="2">
        <v>0.4</v>
      </c>
      <c r="AID55" s="2">
        <v>-0.9</v>
      </c>
      <c r="AIE55" s="2">
        <v>-2.5</v>
      </c>
      <c r="AIF55" s="2">
        <v>0</v>
      </c>
      <c r="AIG55" s="2">
        <v>0.8</v>
      </c>
      <c r="AIH55" s="2">
        <v>1.4</v>
      </c>
      <c r="AII55" s="2">
        <v>0.3</v>
      </c>
      <c r="AIJ55" s="2">
        <v>-3.4</v>
      </c>
      <c r="AIK55" s="2">
        <v>4.7</v>
      </c>
      <c r="AIL55" s="2">
        <v>-0.1</v>
      </c>
      <c r="AIM55" s="2">
        <v>0.1</v>
      </c>
      <c r="AIN55" s="2">
        <v>0.2</v>
      </c>
      <c r="AIO55" s="2">
        <v>-1</v>
      </c>
      <c r="AIP55" s="2">
        <v>-0.5</v>
      </c>
      <c r="AIQ55" s="2">
        <v>-0.6</v>
      </c>
      <c r="AIR55" s="2">
        <v>-2.4</v>
      </c>
      <c r="AIS55" s="2">
        <v>0.8</v>
      </c>
      <c r="AIT55" s="2">
        <v>1.5</v>
      </c>
      <c r="AIU55" s="2">
        <v>-1.5</v>
      </c>
      <c r="AIV55" s="2">
        <v>2</v>
      </c>
      <c r="AIW55" s="2">
        <v>-2</v>
      </c>
      <c r="AIX55" s="2">
        <v>-1.3</v>
      </c>
      <c r="AIY55" s="2">
        <v>1.4</v>
      </c>
      <c r="AIZ55" s="2">
        <v>-1.4</v>
      </c>
      <c r="AJA55" s="2">
        <v>0.5</v>
      </c>
      <c r="AJB55" s="2">
        <v>-1.1</v>
      </c>
      <c r="AJC55" s="2">
        <v>-0.5</v>
      </c>
      <c r="AJD55" s="2">
        <v>-0.9</v>
      </c>
      <c r="AJE55" s="2">
        <v>1</v>
      </c>
      <c r="AJF55" s="2">
        <v>-0.9</v>
      </c>
      <c r="AJG55" s="2">
        <v>-0.5</v>
      </c>
      <c r="AJH55" s="2">
        <v>-1.3</v>
      </c>
      <c r="AJI55" s="2">
        <v>-2</v>
      </c>
      <c r="AJJ55" s="2">
        <v>-0.2</v>
      </c>
      <c r="AJK55" s="2">
        <v>2</v>
      </c>
      <c r="AJL55" s="2">
        <v>-1</v>
      </c>
      <c r="AJM55" s="2">
        <v>0.2</v>
      </c>
      <c r="AJN55" s="2">
        <v>0.3</v>
      </c>
      <c r="AJO55" s="2">
        <v>1.1</v>
      </c>
      <c r="AJP55" s="2">
        <v>1.8</v>
      </c>
      <c r="AJQ55" s="2">
        <v>6.2</v>
      </c>
      <c r="AJR55" s="2">
        <v>-4.4</v>
      </c>
      <c r="AJS55" s="2">
        <v>0.6</v>
      </c>
      <c r="AJT55" s="2">
        <v>-1.3</v>
      </c>
      <c r="AJU55" s="2">
        <v>0.4</v>
      </c>
      <c r="AJV55" s="2">
        <v>0.8</v>
      </c>
      <c r="AJW55" s="2">
        <v>1.5</v>
      </c>
      <c r="AJX55" s="2">
        <v>2.7</v>
      </c>
      <c r="AJY55" s="2">
        <v>2.7</v>
      </c>
      <c r="AJZ55" s="2">
        <v>1.7</v>
      </c>
      <c r="AKA55" s="2">
        <v>5.4</v>
      </c>
      <c r="AKB55" s="2">
        <v>1.3</v>
      </c>
      <c r="AKC55" s="2">
        <v>0.7</v>
      </c>
      <c r="AKD55" s="2">
        <v>0.9</v>
      </c>
      <c r="AKE55" s="2">
        <v>1.1</v>
      </c>
      <c r="AKF55" s="2">
        <v>-0.9</v>
      </c>
      <c r="AKG55" s="2">
        <v>-1.1</v>
      </c>
      <c r="AKH55" s="2">
        <v>-0.1</v>
      </c>
      <c r="AKI55" s="2">
        <v>-0.1</v>
      </c>
      <c r="AKJ55" s="2">
        <v>0</v>
      </c>
      <c r="AKK55" s="2">
        <v>-0.2</v>
      </c>
      <c r="AKL55" s="2">
        <v>1.4</v>
      </c>
      <c r="AKM55" s="2">
        <v>0.3</v>
      </c>
      <c r="AKN55" s="2">
        <v>-1</v>
      </c>
      <c r="AKO55" s="2">
        <v>0</v>
      </c>
      <c r="AKP55" s="2">
        <v>0.21</v>
      </c>
      <c r="AKQ55" s="2">
        <v>0.21</v>
      </c>
      <c r="AKR55" s="2">
        <v>0.21</v>
      </c>
    </row>
    <row r="56">
      <c r="A56" t="inlineStr">
        <is>
          <t>Personal care products</t>
        </is>
      </c>
      <c r="B56" t="inlineStr">
        <is>
          <t>Non-durable household products</t>
        </is>
      </c>
      <c r="C56">
        <v>3</v>
      </c>
      <c r="D56">
        <v>0.8</v>
      </c>
      <c r="E56" s="3">
        <f>D56/2.2*0.02202788339670469</f>
        <v>0.008010139416983524</v>
      </c>
      <c r="F56" s="3">
        <f>E56-D56/100</f>
        <v>1.0139416983523386e-05</v>
      </c>
      <c r="G56" s="3">
        <f>D56/2.2</f>
        <v>0.36363636363636365</v>
      </c>
      <c r="H56" s="2">
        <v>86.45</v>
      </c>
      <c r="I56" s="2">
        <v>84.54000000000001</v>
      </c>
      <c r="J56" s="2">
        <v>85.12</v>
      </c>
      <c r="K56" s="2">
        <v>86.56999999999999</v>
      </c>
      <c r="L56" s="2">
        <v>86.90000000000001</v>
      </c>
      <c r="M56" s="2">
        <v>85.13</v>
      </c>
      <c r="N56" s="2">
        <v>85.83</v>
      </c>
      <c r="O56" s="2">
        <v>84.69</v>
      </c>
      <c r="P56" s="2">
        <v>84.68000000000001</v>
      </c>
      <c r="Q56" s="2">
        <v>85.03</v>
      </c>
      <c r="R56" s="2">
        <v>85.11</v>
      </c>
      <c r="S56" s="2">
        <v>84.53</v>
      </c>
      <c r="T56" s="2">
        <v>84.56999999999999</v>
      </c>
      <c r="U56" s="2">
        <v>82.86</v>
      </c>
      <c r="V56" s="2">
        <v>83.56</v>
      </c>
      <c r="W56" s="2">
        <v>84.75</v>
      </c>
      <c r="X56" s="2">
        <v>85.23</v>
      </c>
      <c r="Y56" s="2">
        <v>84.86</v>
      </c>
      <c r="Z56" s="2">
        <v>84.45999999999999</v>
      </c>
      <c r="AA56" s="2">
        <v>85.98</v>
      </c>
      <c r="AB56" s="2">
        <v>85.52</v>
      </c>
      <c r="AC56" s="2">
        <v>84.51000000000001</v>
      </c>
      <c r="AD56" s="2">
        <v>85.98</v>
      </c>
      <c r="AE56" s="2">
        <v>84.65000000000001</v>
      </c>
      <c r="AF56" s="2">
        <v>84.66</v>
      </c>
      <c r="AG56" s="2">
        <v>83.93000000000001</v>
      </c>
      <c r="AH56" s="2">
        <v>85.31999999999999</v>
      </c>
      <c r="AI56" s="2">
        <v>84.90000000000001</v>
      </c>
      <c r="AJ56" s="2">
        <v>86.04000000000001</v>
      </c>
      <c r="AK56" s="2">
        <v>85.02</v>
      </c>
      <c r="AL56" s="2">
        <v>89.61</v>
      </c>
      <c r="AM56" s="2">
        <v>94.22</v>
      </c>
      <c r="AN56" s="2">
        <v>89.81999999999999</v>
      </c>
      <c r="AO56" s="2">
        <v>86.64</v>
      </c>
      <c r="AP56" s="2">
        <v>88.14</v>
      </c>
      <c r="AQ56" s="2">
        <v>87.59</v>
      </c>
      <c r="AR56" s="2">
        <v>87.48999999999999</v>
      </c>
      <c r="AS56" s="2">
        <v>86.3</v>
      </c>
      <c r="AT56" s="2">
        <v>86.04000000000001</v>
      </c>
      <c r="AU56" s="2">
        <v>86.97</v>
      </c>
      <c r="AV56" s="2">
        <v>87.23</v>
      </c>
      <c r="AW56" s="2">
        <v>86.72</v>
      </c>
      <c r="AX56" s="2">
        <v>86.56</v>
      </c>
      <c r="AY56" s="2">
        <v>87.14</v>
      </c>
      <c r="AZ56" s="2">
        <v>86.33</v>
      </c>
      <c r="BA56" s="2">
        <v>86.09999999999999</v>
      </c>
      <c r="BB56" s="2">
        <v>86.68000000000001</v>
      </c>
      <c r="BC56" s="2">
        <v>87.8</v>
      </c>
      <c r="BD56" s="2">
        <v>88.2</v>
      </c>
      <c r="BE56" s="2">
        <v>87.18000000000001</v>
      </c>
      <c r="BF56" s="2">
        <v>87.40000000000001</v>
      </c>
      <c r="BG56" s="2">
        <v>88.86</v>
      </c>
      <c r="BH56" s="2">
        <v>89.98</v>
      </c>
      <c r="BI56" s="2">
        <v>88.97</v>
      </c>
      <c r="BJ56" s="2">
        <v>90.42</v>
      </c>
      <c r="BK56" s="2">
        <v>91.67</v>
      </c>
      <c r="BL56" s="2">
        <v>92.25</v>
      </c>
      <c r="BM56" s="2">
        <v>92.09</v>
      </c>
      <c r="BN56" s="2">
        <v>92.78</v>
      </c>
      <c r="BO56" s="2">
        <v>94.51000000000001</v>
      </c>
      <c r="BP56" s="2">
        <v>94.83</v>
      </c>
      <c r="BQ56" s="2">
        <v>94.05</v>
      </c>
      <c r="BR56" s="2">
        <v>94.86</v>
      </c>
      <c r="BS56" s="2">
        <v>97.38</v>
      </c>
      <c r="BT56" s="2">
        <v>96.23999999999999</v>
      </c>
      <c r="BU56" s="2">
        <v>97.8</v>
      </c>
      <c r="BV56" s="2">
        <v>98.2</v>
      </c>
      <c r="BW56" s="2">
        <v>98.25</v>
      </c>
      <c r="BX56" s="2">
        <v>98.48999999999999</v>
      </c>
      <c r="BY56" s="2">
        <v>98.43000000000001</v>
      </c>
      <c r="BZ56" s="2">
        <v>98.48</v>
      </c>
      <c r="CA56" s="2">
        <v>98.83</v>
      </c>
      <c r="CB56" s="2">
        <v>99.23</v>
      </c>
      <c r="CC56" s="2">
        <v>96.72</v>
      </c>
      <c r="CD56" s="2">
        <v>97.09999999999999</v>
      </c>
      <c r="CE56" s="2">
        <v>100.1</v>
      </c>
      <c r="CF56" s="2">
        <v>99.91</v>
      </c>
      <c r="CG56" s="2">
        <v>98.38</v>
      </c>
      <c r="CH56" s="2">
        <v>99.78</v>
      </c>
      <c r="CI56" s="2">
        <v>98.98</v>
      </c>
      <c r="CJ56" s="2">
        <v>99.11</v>
      </c>
      <c r="CK56" s="2">
        <v>99.04000000000001</v>
      </c>
      <c r="CL56" s="2">
        <v>98.73</v>
      </c>
      <c r="CM56" s="2">
        <v>99.11</v>
      </c>
      <c r="CN56" s="2">
        <v>97.84999999999999</v>
      </c>
      <c r="CO56" s="2">
        <v>97.11</v>
      </c>
      <c r="CP56" s="2">
        <v>96.81</v>
      </c>
      <c r="CQ56" s="2">
        <v>97.86</v>
      </c>
      <c r="CR56" s="2">
        <v>99.59999999999999</v>
      </c>
      <c r="CS56" s="2">
        <v>99.2</v>
      </c>
      <c r="CT56" s="2">
        <v>99.29000000000001</v>
      </c>
      <c r="CU56" s="2">
        <v>100.68</v>
      </c>
      <c r="CV56" s="2">
        <v>99.20999999999999</v>
      </c>
      <c r="CW56" s="2">
        <v>98.7</v>
      </c>
      <c r="CX56" s="2">
        <v>100.03</v>
      </c>
      <c r="CY56" s="2">
        <v>100.36</v>
      </c>
      <c r="CZ56" s="2">
        <v>100</v>
      </c>
      <c r="DA56" s="2">
        <v>99.18000000000001</v>
      </c>
      <c r="DB56" s="2">
        <v>98.55</v>
      </c>
      <c r="DC56" s="2">
        <v>101.34</v>
      </c>
      <c r="DD56" s="2">
        <v>100.77</v>
      </c>
      <c r="DE56" s="2">
        <v>100.98</v>
      </c>
      <c r="DF56" s="2">
        <v>100.05</v>
      </c>
      <c r="DG56" s="2">
        <v>101.54</v>
      </c>
      <c r="DH56" s="2">
        <v>100.57</v>
      </c>
      <c r="DI56" s="2">
        <v>100.29</v>
      </c>
      <c r="DJ56" s="2">
        <v>99.15000000000001</v>
      </c>
      <c r="DK56" s="2">
        <v>-2.2</v>
      </c>
      <c r="DL56" s="2">
        <v>-2</v>
      </c>
      <c r="DM56" s="2">
        <v>-1.8</v>
      </c>
      <c r="DN56" s="2">
        <v>-2.1</v>
      </c>
      <c r="DO56" s="2">
        <v>-1.9</v>
      </c>
      <c r="DP56" s="2">
        <v>-0.3</v>
      </c>
      <c r="DQ56" s="2">
        <v>-1.6</v>
      </c>
      <c r="DR56" s="2">
        <v>1.5</v>
      </c>
      <c r="DS56" s="2">
        <v>1</v>
      </c>
      <c r="DT56" s="2">
        <v>-0.6</v>
      </c>
      <c r="DU56" s="2">
        <v>1</v>
      </c>
      <c r="DV56" s="2">
        <v>0.1</v>
      </c>
      <c r="DW56" s="2">
        <v>0.1</v>
      </c>
      <c r="DX56" s="2">
        <v>1.3</v>
      </c>
      <c r="DY56" s="2">
        <v>2.1</v>
      </c>
      <c r="DZ56" s="2">
        <v>0.2</v>
      </c>
      <c r="EA56" s="2">
        <v>1</v>
      </c>
      <c r="EB56" s="2">
        <v>0.2</v>
      </c>
      <c r="EC56" s="2">
        <v>6.1</v>
      </c>
      <c r="ED56" s="2">
        <v>9.6</v>
      </c>
      <c r="EE56" s="2">
        <v>5</v>
      </c>
      <c r="EF56" s="2">
        <v>2.5</v>
      </c>
      <c r="EG56" s="2">
        <v>2.5</v>
      </c>
      <c r="EH56" s="2">
        <v>3.5</v>
      </c>
      <c r="EI56" s="2">
        <v>3.3</v>
      </c>
      <c r="EJ56" s="2">
        <v>2.8</v>
      </c>
      <c r="EK56" s="2">
        <v>0.8</v>
      </c>
      <c r="EL56" s="2">
        <v>2.4</v>
      </c>
      <c r="EM56" s="2">
        <v>1.4</v>
      </c>
      <c r="EN56" s="2">
        <v>2</v>
      </c>
      <c r="EO56" s="2">
        <v>-3.4</v>
      </c>
      <c r="EP56" s="2">
        <v>-7.5</v>
      </c>
      <c r="EQ56" s="2">
        <v>-3.9</v>
      </c>
      <c r="ER56" s="2">
        <v>-0.6</v>
      </c>
      <c r="ES56" s="2">
        <v>-1.7</v>
      </c>
      <c r="ET56" s="2">
        <v>0.2</v>
      </c>
      <c r="EU56" s="2">
        <v>0.8</v>
      </c>
      <c r="EV56" s="2">
        <v>1</v>
      </c>
      <c r="EW56" s="2">
        <v>1.6</v>
      </c>
      <c r="EX56" s="2">
        <v>2.2</v>
      </c>
      <c r="EY56" s="2">
        <v>3.2</v>
      </c>
      <c r="EZ56" s="2">
        <v>2.6</v>
      </c>
      <c r="FA56" s="2">
        <v>4.5</v>
      </c>
      <c r="FB56" s="2">
        <v>5.2</v>
      </c>
      <c r="FC56" s="2">
        <v>6.9</v>
      </c>
      <c r="FD56" s="2">
        <v>7</v>
      </c>
      <c r="FE56" s="2">
        <v>7</v>
      </c>
      <c r="FF56" s="2">
        <v>7.6</v>
      </c>
      <c r="FG56" s="2">
        <v>7.5</v>
      </c>
      <c r="FH56" s="2">
        <v>7.9</v>
      </c>
      <c r="FI56" s="2">
        <v>8.5</v>
      </c>
      <c r="FJ56" s="2">
        <v>9.6</v>
      </c>
      <c r="FK56" s="2">
        <v>7</v>
      </c>
      <c r="FL56" s="2">
        <v>9.9</v>
      </c>
      <c r="FM56" s="2">
        <v>8.6</v>
      </c>
      <c r="FN56" s="2">
        <v>7.2</v>
      </c>
      <c r="FO56" s="2">
        <v>6.8</v>
      </c>
      <c r="FP56" s="2">
        <v>6.9</v>
      </c>
      <c r="FQ56" s="2">
        <v>6.1</v>
      </c>
      <c r="FR56" s="2">
        <v>4.6</v>
      </c>
      <c r="FS56" s="2">
        <v>4.6</v>
      </c>
      <c r="FT56" s="2">
        <v>2.8</v>
      </c>
      <c r="FU56" s="2">
        <v>2.4</v>
      </c>
      <c r="FV56" s="2">
        <v>2.8</v>
      </c>
      <c r="FW56" s="2">
        <v>3.8</v>
      </c>
      <c r="FX56" s="2">
        <v>0.6</v>
      </c>
      <c r="FY56" s="2">
        <v>1.6</v>
      </c>
      <c r="FZ56" s="2">
        <v>0.7</v>
      </c>
      <c r="GA56" s="2">
        <v>0.6</v>
      </c>
      <c r="GB56" s="2">
        <v>0.6</v>
      </c>
      <c r="GC56" s="2">
        <v>0.3</v>
      </c>
      <c r="GD56" s="2">
        <v>0.3</v>
      </c>
      <c r="GE56" s="2">
        <v>-1.4</v>
      </c>
      <c r="GF56" s="2">
        <v>0.4</v>
      </c>
      <c r="GG56" s="2">
        <v>-0.3</v>
      </c>
      <c r="GH56" s="2">
        <v>-2.2</v>
      </c>
      <c r="GI56" s="2">
        <v>-0.3</v>
      </c>
      <c r="GJ56" s="2">
        <v>0.8</v>
      </c>
      <c r="GK56" s="2">
        <v>-0.5</v>
      </c>
      <c r="GL56" s="2">
        <v>1.7</v>
      </c>
      <c r="GM56" s="2">
        <v>0.1</v>
      </c>
      <c r="GN56" s="2">
        <v>-0.3</v>
      </c>
      <c r="GO56" s="2">
        <v>1.3</v>
      </c>
      <c r="GP56" s="2">
        <v>1.3</v>
      </c>
      <c r="GQ56" s="2">
        <v>2.2</v>
      </c>
      <c r="GR56" s="2">
        <v>2.1</v>
      </c>
      <c r="GS56" s="2">
        <v>1.8</v>
      </c>
      <c r="GT56" s="2">
        <v>3.6</v>
      </c>
      <c r="GU56" s="2">
        <v>1.2</v>
      </c>
      <c r="GV56" s="2">
        <v>1.8</v>
      </c>
      <c r="GW56" s="2">
        <v>0.8</v>
      </c>
      <c r="GX56" s="2">
        <v>0.9</v>
      </c>
      <c r="GY56" s="2">
        <v>1.4</v>
      </c>
      <c r="GZ56" s="2">
        <v>1.6</v>
      </c>
      <c r="HA56" s="2">
        <v>-0.9</v>
      </c>
      <c r="HB56" s="2">
        <v>-2.2</v>
      </c>
      <c r="HC56" s="2">
        <v>0.7</v>
      </c>
      <c r="HD56" s="2">
        <v>1.7</v>
      </c>
      <c r="HE56" s="2">
        <v>0.4</v>
      </c>
      <c r="HF56" s="2">
        <v>-2</v>
      </c>
      <c r="HG56" s="2">
        <v>0.8</v>
      </c>
      <c r="HH56" s="2">
        <v>-1.3</v>
      </c>
      <c r="HI56" s="2">
        <v>0</v>
      </c>
      <c r="HJ56" s="2">
        <v>0.4</v>
      </c>
      <c r="HK56" s="2">
        <v>0.1</v>
      </c>
      <c r="HL56" s="2">
        <v>-0.7</v>
      </c>
      <c r="HM56" s="2">
        <v>0</v>
      </c>
      <c r="HN56" s="2">
        <v>-2</v>
      </c>
      <c r="HO56" s="2">
        <v>0.8</v>
      </c>
      <c r="HP56" s="2">
        <v>1.4</v>
      </c>
      <c r="HQ56" s="2">
        <v>0.6</v>
      </c>
      <c r="HR56" s="2">
        <v>-0.4</v>
      </c>
      <c r="HS56" s="2">
        <v>-0.5</v>
      </c>
      <c r="HT56" s="2">
        <v>1.8</v>
      </c>
      <c r="HU56" s="2">
        <v>-0.5</v>
      </c>
      <c r="HV56" s="2">
        <v>-1.2</v>
      </c>
      <c r="HW56" s="2">
        <v>1.7</v>
      </c>
      <c r="HX56" s="2">
        <v>-1.5</v>
      </c>
      <c r="HY56" s="2">
        <v>0</v>
      </c>
      <c r="HZ56" s="2">
        <v>-0.9</v>
      </c>
      <c r="IA56" s="2">
        <v>1.7</v>
      </c>
      <c r="IB56" s="2">
        <v>-0.5</v>
      </c>
      <c r="IC56" s="2">
        <v>1.3</v>
      </c>
      <c r="ID56" s="2">
        <v>-1.2</v>
      </c>
      <c r="IE56" s="2">
        <v>5.4</v>
      </c>
      <c r="IF56" s="2">
        <v>5.1</v>
      </c>
      <c r="IG56" s="2">
        <v>-4.7</v>
      </c>
      <c r="IH56" s="2">
        <v>-3.5</v>
      </c>
      <c r="II56" s="2">
        <v>1.7</v>
      </c>
      <c r="IJ56" s="2">
        <v>-0.6</v>
      </c>
      <c r="IK56" s="2">
        <v>-0.1</v>
      </c>
      <c r="IL56" s="2">
        <v>-1.4</v>
      </c>
      <c r="IM56" s="2">
        <v>-0.3</v>
      </c>
      <c r="IN56" s="2">
        <v>1.1</v>
      </c>
      <c r="IO56" s="2">
        <v>0.3</v>
      </c>
      <c r="IP56" s="2">
        <v>-0.6</v>
      </c>
      <c r="IQ56" s="2">
        <v>-0.2</v>
      </c>
      <c r="IR56" s="2">
        <v>0.7</v>
      </c>
      <c r="IS56" s="2">
        <v>-0.9</v>
      </c>
      <c r="IT56" s="2">
        <v>-0.3</v>
      </c>
      <c r="IU56" s="2">
        <v>0.7</v>
      </c>
      <c r="IV56" s="2">
        <v>1.3</v>
      </c>
      <c r="IW56" s="2">
        <v>0.5</v>
      </c>
      <c r="IX56" s="2">
        <v>-1.2</v>
      </c>
      <c r="IY56" s="2">
        <v>0.3</v>
      </c>
      <c r="IZ56" s="2">
        <v>1.7</v>
      </c>
      <c r="JA56" s="2">
        <v>1.3</v>
      </c>
      <c r="JB56" s="2">
        <v>-1.1</v>
      </c>
      <c r="JC56" s="2">
        <v>1.6</v>
      </c>
      <c r="JD56" s="2">
        <v>1.4</v>
      </c>
      <c r="JE56" s="2">
        <v>0.6</v>
      </c>
      <c r="JF56" s="2">
        <v>-0.2</v>
      </c>
      <c r="JG56" s="2">
        <v>0.7</v>
      </c>
      <c r="JH56" s="2">
        <v>1.9</v>
      </c>
      <c r="JI56" s="2">
        <v>0.3</v>
      </c>
      <c r="JJ56" s="2">
        <v>-0.8</v>
      </c>
      <c r="JK56" s="2">
        <v>0.9</v>
      </c>
      <c r="JL56" s="2">
        <v>2.7</v>
      </c>
      <c r="JM56" s="2">
        <v>-1.2</v>
      </c>
      <c r="JN56" s="2">
        <v>1.6</v>
      </c>
      <c r="JO56" s="2">
        <v>0.4</v>
      </c>
      <c r="JP56" s="2">
        <v>0.1</v>
      </c>
      <c r="JQ56" s="2">
        <v>0.2</v>
      </c>
      <c r="JR56" s="2">
        <v>-0.1</v>
      </c>
      <c r="JS56" s="2">
        <v>0.1</v>
      </c>
      <c r="JT56" s="2">
        <v>0.4</v>
      </c>
      <c r="JU56" s="2">
        <v>0.4</v>
      </c>
      <c r="JV56" s="2">
        <v>-2.5</v>
      </c>
      <c r="JW56" s="2">
        <v>0.4</v>
      </c>
      <c r="JX56" s="2">
        <v>3.1</v>
      </c>
      <c r="JY56" s="2">
        <v>-0.2</v>
      </c>
      <c r="JZ56" s="2">
        <v>-1.5</v>
      </c>
      <c r="KA56" s="2">
        <v>1.4</v>
      </c>
      <c r="KB56" s="2">
        <v>-0.8</v>
      </c>
      <c r="KC56" s="2">
        <v>0.1</v>
      </c>
      <c r="KD56" s="2">
        <v>-0.1</v>
      </c>
      <c r="KE56" s="2">
        <v>-0.3</v>
      </c>
      <c r="KF56" s="2">
        <v>0.4</v>
      </c>
      <c r="KG56" s="2">
        <v>-1.3</v>
      </c>
      <c r="KH56" s="2">
        <v>-0.8</v>
      </c>
      <c r="KI56" s="2">
        <v>-0.3</v>
      </c>
      <c r="KJ56" s="2">
        <v>1.1</v>
      </c>
      <c r="KK56" s="2">
        <v>1.8</v>
      </c>
      <c r="KL56" s="2">
        <v>-0.4</v>
      </c>
      <c r="KM56" s="2">
        <v>0.1</v>
      </c>
      <c r="KN56" s="2">
        <v>1.4</v>
      </c>
      <c r="KO56" s="2">
        <v>-1.5</v>
      </c>
      <c r="KP56" s="2">
        <v>-0.5</v>
      </c>
      <c r="KQ56" s="2">
        <v>1.3</v>
      </c>
      <c r="KR56" s="2">
        <v>0.3</v>
      </c>
      <c r="KS56" s="2">
        <v>-0.4</v>
      </c>
      <c r="KT56" s="2">
        <v>-0.8</v>
      </c>
      <c r="KU56" s="2">
        <v>-0.6</v>
      </c>
      <c r="KV56" s="2">
        <v>2.8</v>
      </c>
      <c r="KW56" s="2">
        <v>-0.6</v>
      </c>
      <c r="KX56" s="2">
        <v>0.2</v>
      </c>
      <c r="KY56" s="2">
        <v>-0.9</v>
      </c>
      <c r="KZ56" s="2">
        <v>1.5</v>
      </c>
      <c r="LA56" s="2">
        <v>-1</v>
      </c>
      <c r="LB56" s="2">
        <v>-0.3</v>
      </c>
      <c r="LC56" s="2">
        <v>-1.1</v>
      </c>
      <c r="LD56" s="2">
        <v>0.78</v>
      </c>
      <c r="LE56" s="2">
        <v>0.79</v>
      </c>
      <c r="LF56" s="2">
        <v>0.79</v>
      </c>
      <c r="LG56" s="2">
        <v>0.79</v>
      </c>
      <c r="LH56" s="2">
        <v>0.8</v>
      </c>
      <c r="LI56" s="2">
        <v>0.79</v>
      </c>
      <c r="LJ56" s="2">
        <v>0.78</v>
      </c>
      <c r="LK56" s="2">
        <v>0.8</v>
      </c>
      <c r="LL56" s="2">
        <v>0.8</v>
      </c>
      <c r="LM56" s="2">
        <v>0.8</v>
      </c>
      <c r="LN56" s="2">
        <v>0.79</v>
      </c>
      <c r="LO56" s="2">
        <v>0.78</v>
      </c>
      <c r="LP56" s="2">
        <v>0.8100000000000001</v>
      </c>
      <c r="LQ56" s="2">
        <v>0.8</v>
      </c>
      <c r="LR56" s="2">
        <v>0.8</v>
      </c>
      <c r="LS56" s="2">
        <v>0.8</v>
      </c>
      <c r="LT56" s="2">
        <v>0.8100000000000001</v>
      </c>
      <c r="LU56" s="2">
        <v>0.8</v>
      </c>
      <c r="LV56" s="2">
        <v>0.8</v>
      </c>
      <c r="LW56" s="2">
        <v>0.79</v>
      </c>
      <c r="LX56" s="2">
        <v>0.01</v>
      </c>
      <c r="LY56" s="2">
        <v>0</v>
      </c>
      <c r="LZ56" s="2">
        <v>0</v>
      </c>
      <c r="MA56" s="2">
        <v>0.01</v>
      </c>
      <c r="MB56" s="2">
        <v>-0.01</v>
      </c>
      <c r="MC56" s="2">
        <v>-0.01</v>
      </c>
      <c r="MD56" s="2">
        <v>0.02</v>
      </c>
      <c r="ME56" s="2">
        <v>0</v>
      </c>
      <c r="MF56" s="2">
        <v>0</v>
      </c>
      <c r="MG56" s="2">
        <v>-0.01</v>
      </c>
      <c r="MH56" s="2">
        <v>-0.01</v>
      </c>
      <c r="MI56" s="2">
        <v>0.03</v>
      </c>
      <c r="MJ56" s="2">
        <v>-0.01</v>
      </c>
      <c r="MK56" s="2">
        <v>0</v>
      </c>
      <c r="ML56" s="2">
        <v>0</v>
      </c>
      <c r="MM56" s="2">
        <v>0.01</v>
      </c>
      <c r="MN56" s="2">
        <v>-0.01</v>
      </c>
      <c r="MO56" s="2">
        <v>0</v>
      </c>
      <c r="MP56" s="2">
        <v>-0.01</v>
      </c>
      <c r="RO56" s="2">
        <v>36.2</v>
      </c>
      <c r="RP56" s="2">
        <v>37.41</v>
      </c>
      <c r="RQ56" s="2">
        <v>38.41</v>
      </c>
      <c r="RR56" s="2">
        <v>38.91</v>
      </c>
      <c r="RS56" s="2">
        <v>39.48</v>
      </c>
      <c r="RT56" s="2">
        <v>40.27</v>
      </c>
      <c r="RU56" s="2">
        <v>41.63</v>
      </c>
      <c r="RV56" s="2">
        <v>42.05</v>
      </c>
      <c r="RW56" s="2">
        <v>43.2</v>
      </c>
      <c r="RX56" s="2">
        <v>45.55</v>
      </c>
      <c r="RY56" s="2">
        <v>47.7</v>
      </c>
      <c r="RZ56" s="2">
        <v>48.77</v>
      </c>
      <c r="SA56" s="2">
        <v>49.69</v>
      </c>
      <c r="SB56" s="2">
        <v>49.62</v>
      </c>
      <c r="SC56" s="2">
        <v>50.41</v>
      </c>
      <c r="SD56" s="2">
        <v>50.62</v>
      </c>
      <c r="SE56" s="2">
        <v>51.62</v>
      </c>
      <c r="SF56" s="2">
        <v>53.98</v>
      </c>
      <c r="SG56" s="2">
        <v>54.84</v>
      </c>
      <c r="SH56" s="2">
        <v>56.05</v>
      </c>
      <c r="SI56" s="2">
        <v>57.55</v>
      </c>
      <c r="SJ56" s="2">
        <v>57.69</v>
      </c>
      <c r="SK56" s="2">
        <v>58.91</v>
      </c>
      <c r="SL56" s="2">
        <v>60.12</v>
      </c>
      <c r="SM56" s="2">
        <v>61.05</v>
      </c>
      <c r="SN56" s="2">
        <v>61.55</v>
      </c>
      <c r="SO56" s="2">
        <v>63.26</v>
      </c>
      <c r="SP56" s="2">
        <v>64.47</v>
      </c>
      <c r="SQ56" s="2">
        <v>65.26000000000001</v>
      </c>
      <c r="SR56" s="2">
        <v>65.55</v>
      </c>
      <c r="SS56" s="2">
        <v>66.90000000000001</v>
      </c>
      <c r="ST56" s="2">
        <v>68.54000000000001</v>
      </c>
      <c r="SU56" s="2">
        <v>69.69</v>
      </c>
      <c r="SV56" s="2">
        <v>67.62</v>
      </c>
      <c r="SW56" s="2">
        <v>68.12</v>
      </c>
      <c r="SX56" s="2">
        <v>68.19</v>
      </c>
      <c r="SY56" s="2">
        <v>69.83</v>
      </c>
      <c r="SZ56" s="2">
        <v>70.12</v>
      </c>
      <c r="TA56" s="2">
        <v>71.90000000000001</v>
      </c>
      <c r="TB56" s="2">
        <v>73.76000000000001</v>
      </c>
      <c r="TC56" s="2">
        <v>74.97</v>
      </c>
      <c r="TD56" s="2">
        <v>75.90000000000001</v>
      </c>
      <c r="TE56" s="2">
        <v>77.18000000000001</v>
      </c>
      <c r="TF56" s="2">
        <v>77.83</v>
      </c>
      <c r="TG56" s="2">
        <v>77.68000000000001</v>
      </c>
      <c r="TH56" s="2">
        <v>79.40000000000001</v>
      </c>
      <c r="TI56" s="2">
        <v>79.83</v>
      </c>
      <c r="TJ56" s="2">
        <v>80.90000000000001</v>
      </c>
      <c r="TK56" s="2">
        <v>81.25</v>
      </c>
      <c r="TL56" s="2">
        <v>81.54000000000001</v>
      </c>
      <c r="TM56" s="2">
        <v>81.33</v>
      </c>
      <c r="TN56" s="2">
        <v>82.97</v>
      </c>
      <c r="TO56" s="2">
        <v>82.61</v>
      </c>
      <c r="TP56" s="2">
        <v>83.61</v>
      </c>
      <c r="TQ56" s="2">
        <v>84.90000000000001</v>
      </c>
      <c r="TR56" s="2">
        <v>85.68000000000001</v>
      </c>
      <c r="TS56" s="2">
        <v>85.61</v>
      </c>
      <c r="TT56" s="2">
        <v>85.47</v>
      </c>
      <c r="TU56" s="2">
        <v>86.31999999999999</v>
      </c>
      <c r="TV56" s="2">
        <v>86.97</v>
      </c>
      <c r="TW56" s="2">
        <v>87.68000000000001</v>
      </c>
      <c r="TX56" s="2">
        <v>88.47</v>
      </c>
      <c r="TY56" s="2">
        <v>88.89</v>
      </c>
      <c r="TZ56" s="2">
        <v>89.47</v>
      </c>
      <c r="UA56" s="2">
        <v>89.89</v>
      </c>
      <c r="UB56" s="2">
        <v>90.11</v>
      </c>
      <c r="UC56" s="2">
        <v>90.45999999999999</v>
      </c>
      <c r="UD56" s="2">
        <v>90.25</v>
      </c>
      <c r="UE56" s="2">
        <v>90.04000000000001</v>
      </c>
      <c r="UF56" s="2">
        <v>90.31999999999999</v>
      </c>
      <c r="UG56" s="2">
        <v>90.18000000000001</v>
      </c>
      <c r="UH56" s="2">
        <v>90.95999999999999</v>
      </c>
      <c r="UI56" s="2">
        <v>91.78</v>
      </c>
      <c r="UJ56" s="2">
        <v>91.72</v>
      </c>
      <c r="UK56" s="2">
        <v>93</v>
      </c>
      <c r="UL56" s="2">
        <v>93.76000000000001</v>
      </c>
      <c r="UM56" s="2">
        <v>93.59</v>
      </c>
      <c r="UN56" s="2">
        <v>93.98</v>
      </c>
      <c r="UO56" s="2">
        <v>95.03</v>
      </c>
      <c r="UP56" s="2">
        <v>95.15000000000001</v>
      </c>
      <c r="UQ56" s="2">
        <v>94.97</v>
      </c>
      <c r="UR56" s="2">
        <v>95.73999999999999</v>
      </c>
      <c r="US56" s="2">
        <v>95.22</v>
      </c>
      <c r="UT56" s="2">
        <v>96.73</v>
      </c>
      <c r="UU56" s="2">
        <v>98.26000000000001</v>
      </c>
      <c r="UV56" s="2">
        <v>97.93000000000001</v>
      </c>
      <c r="UW56" s="2">
        <v>97.48</v>
      </c>
      <c r="UX56" s="2">
        <v>97.91</v>
      </c>
      <c r="UY56" s="2">
        <v>99.67</v>
      </c>
      <c r="UZ56" s="2">
        <v>99.52</v>
      </c>
      <c r="VA56" s="2">
        <v>100.41</v>
      </c>
      <c r="VB56" s="2">
        <v>100.77</v>
      </c>
      <c r="VC56" s="2">
        <v>100.37</v>
      </c>
      <c r="VD56" s="2">
        <v>99.28</v>
      </c>
      <c r="VE56" s="2">
        <v>100.4</v>
      </c>
      <c r="VF56" s="2">
        <v>100.23</v>
      </c>
      <c r="VG56" s="2">
        <v>100.88</v>
      </c>
      <c r="VH56" s="2">
        <v>100.58</v>
      </c>
      <c r="VI56" s="2">
        <v>100.97</v>
      </c>
      <c r="VJ56" s="2">
        <v>102.02</v>
      </c>
      <c r="VK56" s="2">
        <v>101.51</v>
      </c>
      <c r="VL56" s="2">
        <v>102.76</v>
      </c>
      <c r="VM56" s="2">
        <v>103.88</v>
      </c>
      <c r="VN56" s="2">
        <v>103.89</v>
      </c>
      <c r="VO56" s="2">
        <v>104.5</v>
      </c>
      <c r="VP56" s="2">
        <v>103.56</v>
      </c>
      <c r="VQ56" s="2">
        <v>103.37</v>
      </c>
      <c r="VR56" s="2">
        <v>103.67</v>
      </c>
      <c r="VS56" s="2">
        <v>102.83</v>
      </c>
      <c r="VT56" s="2">
        <v>103.09</v>
      </c>
      <c r="VU56" s="2">
        <v>103.13</v>
      </c>
      <c r="VV56" s="2">
        <v>103.4</v>
      </c>
      <c r="VW56" s="2">
        <v>103.12</v>
      </c>
      <c r="VX56" s="2">
        <v>102.45</v>
      </c>
      <c r="VY56" s="2">
        <v>104.13</v>
      </c>
      <c r="VZ56" s="2">
        <v>105.93</v>
      </c>
      <c r="WA56" s="2">
        <v>105.37</v>
      </c>
      <c r="WB56" s="2">
        <v>104.76</v>
      </c>
      <c r="WC56" s="2">
        <v>104.25</v>
      </c>
      <c r="WD56" s="2">
        <v>103.88</v>
      </c>
      <c r="WE56" s="2">
        <v>104.51</v>
      </c>
      <c r="WF56" s="2">
        <v>103.47</v>
      </c>
      <c r="WG56" s="2">
        <v>103.85</v>
      </c>
      <c r="WH56" s="2">
        <v>101.36</v>
      </c>
      <c r="WI56" s="2">
        <v>101.34</v>
      </c>
      <c r="WJ56" s="2">
        <v>100.52</v>
      </c>
      <c r="WK56" s="2">
        <v>100.48</v>
      </c>
      <c r="WL56" s="2">
        <v>102.67</v>
      </c>
      <c r="WM56" s="2">
        <v>103.02</v>
      </c>
      <c r="WN56" s="2">
        <v>101.76</v>
      </c>
      <c r="WO56" s="2">
        <v>101.22</v>
      </c>
      <c r="WP56" s="2">
        <v>101.04</v>
      </c>
      <c r="WQ56" s="2">
        <v>101.39</v>
      </c>
      <c r="WR56" s="2">
        <v>100.73</v>
      </c>
      <c r="WS56" s="2">
        <v>98.79000000000001</v>
      </c>
      <c r="WT56" s="2">
        <v>98.62</v>
      </c>
      <c r="WU56" s="2">
        <v>97.53</v>
      </c>
      <c r="WV56" s="2">
        <v>98.73999999999999</v>
      </c>
      <c r="WW56" s="2">
        <v>98.56</v>
      </c>
      <c r="WX56" s="2">
        <v>97.63</v>
      </c>
      <c r="WY56" s="2">
        <v>96.09999999999999</v>
      </c>
      <c r="WZ56" s="2">
        <v>97.04000000000001</v>
      </c>
      <c r="XA56" s="2">
        <v>95.53</v>
      </c>
      <c r="XB56" s="2">
        <v>94.63</v>
      </c>
      <c r="XC56" s="2">
        <v>95.09999999999999</v>
      </c>
      <c r="XD56" s="2">
        <v>93.11</v>
      </c>
      <c r="XE56" s="2">
        <v>93.63</v>
      </c>
      <c r="XF56" s="2">
        <v>93.48</v>
      </c>
      <c r="XG56" s="2">
        <v>92.5</v>
      </c>
      <c r="XH56" s="2">
        <v>91.14</v>
      </c>
      <c r="XI56" s="2">
        <v>91.34</v>
      </c>
      <c r="XJ56" s="2">
        <v>89.47</v>
      </c>
      <c r="XK56" s="2">
        <v>89.37</v>
      </c>
      <c r="XL56" s="2">
        <v>88.59999999999999</v>
      </c>
      <c r="XM56" s="2">
        <v>88.37</v>
      </c>
      <c r="XN56" s="2">
        <v>88.70999999999999</v>
      </c>
      <c r="XO56" s="2">
        <v>88.45</v>
      </c>
      <c r="XP56" s="2">
        <v>87.54000000000001</v>
      </c>
      <c r="XQ56" s="2">
        <v>89.47</v>
      </c>
      <c r="XR56" s="2">
        <v>91.48</v>
      </c>
      <c r="XS56" s="2">
        <v>88.73999999999999</v>
      </c>
      <c r="XT56" s="2">
        <v>87.09</v>
      </c>
      <c r="XU56" s="2">
        <v>87.70999999999999</v>
      </c>
      <c r="XV56" s="2">
        <v>87.47</v>
      </c>
      <c r="XW56" s="2">
        <v>88.3</v>
      </c>
      <c r="XX56" s="2">
        <v>88.59</v>
      </c>
      <c r="XY56" s="2">
        <v>90.37</v>
      </c>
      <c r="XZ56" s="2">
        <v>92.29000000000001</v>
      </c>
      <c r="YA56" s="2">
        <v>94.06999999999999</v>
      </c>
      <c r="YB56" s="2">
        <v>95.45</v>
      </c>
      <c r="YC56" s="2">
        <v>97.41</v>
      </c>
      <c r="YD56" s="2">
        <v>98.39</v>
      </c>
      <c r="YE56" s="2">
        <v>98.84999999999999</v>
      </c>
      <c r="YF56" s="2">
        <v>97.97</v>
      </c>
      <c r="YG56" s="2">
        <v>99.36</v>
      </c>
      <c r="YH56" s="2">
        <v>99.04000000000001</v>
      </c>
      <c r="YI56" s="2">
        <v>98.56</v>
      </c>
      <c r="YJ56" s="2">
        <v>97.26000000000001</v>
      </c>
      <c r="YK56" s="2">
        <v>99.36</v>
      </c>
      <c r="YL56" s="2">
        <v>99.53</v>
      </c>
      <c r="YM56" s="2">
        <v>100.13</v>
      </c>
      <c r="YN56" s="2">
        <v>99.69</v>
      </c>
      <c r="YO56" s="2">
        <v>100.6</v>
      </c>
      <c r="YP56" s="2">
        <v>100.8</v>
      </c>
      <c r="ADO56" s="2">
        <v>3.3</v>
      </c>
      <c r="ADP56" s="2">
        <v>2.7</v>
      </c>
      <c r="ADQ56" s="2">
        <v>1.3</v>
      </c>
      <c r="ADR56" s="2">
        <v>1.5</v>
      </c>
      <c r="ADS56" s="2">
        <v>2</v>
      </c>
      <c r="ADT56" s="2">
        <v>3.4</v>
      </c>
      <c r="ADU56" s="2">
        <v>1</v>
      </c>
      <c r="ADV56" s="2">
        <v>2.7</v>
      </c>
      <c r="ADW56" s="2">
        <v>5.4</v>
      </c>
      <c r="ADX56" s="2">
        <v>4.7</v>
      </c>
      <c r="ADY56" s="2">
        <v>2.2</v>
      </c>
      <c r="ADZ56" s="2">
        <v>1.9</v>
      </c>
      <c r="AEA56" s="2">
        <v>-0.1</v>
      </c>
      <c r="AEB56" s="2">
        <v>1.6</v>
      </c>
      <c r="AEC56" s="2">
        <v>0.4</v>
      </c>
      <c r="AED56" s="2">
        <v>2</v>
      </c>
      <c r="AEE56" s="2">
        <v>4.6</v>
      </c>
      <c r="AEF56" s="2">
        <v>1.6</v>
      </c>
      <c r="AEG56" s="2">
        <v>2.2</v>
      </c>
      <c r="AEH56" s="2">
        <v>2.7</v>
      </c>
      <c r="AEI56" s="2">
        <v>0.2</v>
      </c>
      <c r="AEJ56" s="2">
        <v>2.1</v>
      </c>
      <c r="AEK56" s="2">
        <v>2.1</v>
      </c>
      <c r="AEL56" s="2">
        <v>1.5</v>
      </c>
      <c r="AEM56" s="2">
        <v>0.8</v>
      </c>
      <c r="AEN56" s="2">
        <v>2.8</v>
      </c>
      <c r="AEO56" s="2">
        <v>1.9</v>
      </c>
      <c r="AEP56" s="2">
        <v>1.2</v>
      </c>
      <c r="AEQ56" s="2">
        <v>0.4</v>
      </c>
      <c r="AER56" s="2">
        <v>2.1</v>
      </c>
      <c r="AES56" s="2">
        <v>2.5</v>
      </c>
      <c r="AET56" s="2">
        <v>1.7</v>
      </c>
      <c r="AEU56" s="2">
        <v>-3</v>
      </c>
      <c r="AEV56" s="2">
        <v>0.7</v>
      </c>
      <c r="AEW56" s="2">
        <v>0.1</v>
      </c>
      <c r="AEX56" s="2">
        <v>2.4</v>
      </c>
      <c r="AEY56" s="2">
        <v>0.4</v>
      </c>
      <c r="AEZ56" s="2">
        <v>2.5</v>
      </c>
      <c r="AFA56" s="2">
        <v>2.6</v>
      </c>
      <c r="AFB56" s="2">
        <v>1.6</v>
      </c>
      <c r="AFC56" s="2">
        <v>1.2</v>
      </c>
      <c r="AFD56" s="2">
        <v>1.7</v>
      </c>
      <c r="AFE56" s="2">
        <v>0.8</v>
      </c>
      <c r="AFF56" s="2">
        <v>-0.2</v>
      </c>
      <c r="AFG56" s="2">
        <v>2.2</v>
      </c>
      <c r="AFH56" s="2">
        <v>0.5</v>
      </c>
      <c r="AFI56" s="2">
        <v>1.3</v>
      </c>
      <c r="AFJ56" s="2">
        <v>0.4</v>
      </c>
      <c r="AFK56" s="2">
        <v>0.4</v>
      </c>
      <c r="AFL56" s="2">
        <v>-0.3</v>
      </c>
      <c r="AFM56" s="2">
        <v>2</v>
      </c>
      <c r="AFN56" s="2">
        <v>-0.4</v>
      </c>
      <c r="AFO56" s="2">
        <v>1.2</v>
      </c>
      <c r="AFP56" s="2">
        <v>1.5</v>
      </c>
      <c r="AFQ56" s="2">
        <v>0.9</v>
      </c>
      <c r="AFR56" s="2">
        <v>-0.1</v>
      </c>
      <c r="AFS56" s="2">
        <v>-0.2</v>
      </c>
      <c r="AFT56" s="2">
        <v>1</v>
      </c>
      <c r="AFU56" s="2">
        <v>0.8</v>
      </c>
      <c r="AFV56" s="2">
        <v>0.8</v>
      </c>
      <c r="AFW56" s="2">
        <v>0.9</v>
      </c>
      <c r="AFX56" s="2">
        <v>0.5</v>
      </c>
      <c r="AFY56" s="2">
        <v>0.7</v>
      </c>
      <c r="AFZ56" s="2">
        <v>0.5</v>
      </c>
      <c r="AGA56" s="2">
        <v>0.2</v>
      </c>
      <c r="AGB56" s="2">
        <v>0.4</v>
      </c>
      <c r="AGC56" s="2">
        <v>-0.2</v>
      </c>
      <c r="AGD56" s="2">
        <v>-0.2</v>
      </c>
      <c r="AGE56" s="2">
        <v>0.3</v>
      </c>
      <c r="AGF56" s="2">
        <v>-0.2</v>
      </c>
      <c r="AGG56" s="2">
        <v>0.9</v>
      </c>
      <c r="AGH56" s="2">
        <v>0.9</v>
      </c>
      <c r="AGI56" s="2">
        <v>-0.1</v>
      </c>
      <c r="AGJ56" s="2">
        <v>1.4</v>
      </c>
      <c r="AGK56" s="2">
        <v>0.8</v>
      </c>
      <c r="AGL56" s="2">
        <v>-0.2</v>
      </c>
      <c r="AGM56" s="2">
        <v>0.4</v>
      </c>
      <c r="AGN56" s="2">
        <v>1.1</v>
      </c>
      <c r="AGO56" s="2">
        <v>0.1</v>
      </c>
      <c r="AGP56" s="2">
        <v>-0.2</v>
      </c>
      <c r="AGQ56" s="2">
        <v>0.8</v>
      </c>
      <c r="AGR56" s="2">
        <v>-0.5</v>
      </c>
      <c r="AGS56" s="2">
        <v>1.6</v>
      </c>
      <c r="AGT56" s="2">
        <v>1.6</v>
      </c>
      <c r="AGU56" s="2">
        <v>-0.3</v>
      </c>
      <c r="AGV56" s="2">
        <v>-0.5</v>
      </c>
      <c r="AGW56" s="2">
        <v>0.4</v>
      </c>
      <c r="AGX56" s="2">
        <v>1.8</v>
      </c>
      <c r="AGY56" s="2">
        <v>-0.2</v>
      </c>
      <c r="AGZ56" s="2">
        <v>0.9</v>
      </c>
      <c r="AHA56" s="2">
        <v>0.4</v>
      </c>
      <c r="AHB56" s="2">
        <v>-0.4</v>
      </c>
      <c r="AHC56" s="2">
        <v>-1.1</v>
      </c>
      <c r="AHD56" s="2">
        <v>1.1</v>
      </c>
      <c r="AHE56" s="2">
        <v>-0.2</v>
      </c>
      <c r="AHF56" s="2">
        <v>0.6</v>
      </c>
      <c r="AHG56" s="2">
        <v>-0.3</v>
      </c>
      <c r="AHH56" s="2">
        <v>0.4</v>
      </c>
      <c r="AHI56" s="2">
        <v>1</v>
      </c>
      <c r="AHJ56" s="2">
        <v>-0.5</v>
      </c>
      <c r="AHK56" s="2">
        <v>1.2</v>
      </c>
      <c r="AHL56" s="2">
        <v>1.1</v>
      </c>
      <c r="AHM56" s="2">
        <v>0</v>
      </c>
      <c r="AHN56" s="2">
        <v>0.6</v>
      </c>
      <c r="AHO56" s="2">
        <v>-0.9</v>
      </c>
      <c r="AHP56" s="2">
        <v>-0.2</v>
      </c>
      <c r="AHQ56" s="2">
        <v>0.3</v>
      </c>
      <c r="AHR56" s="2">
        <v>-0.8</v>
      </c>
      <c r="AHS56" s="2">
        <v>0.3</v>
      </c>
      <c r="AHT56" s="2">
        <v>0</v>
      </c>
      <c r="AHU56" s="2">
        <v>0.3</v>
      </c>
      <c r="AHV56" s="2">
        <v>-0.3</v>
      </c>
      <c r="AHW56" s="2">
        <v>-0.6</v>
      </c>
      <c r="AHX56" s="2">
        <v>1.6</v>
      </c>
      <c r="AHY56" s="2">
        <v>1.7</v>
      </c>
      <c r="AHZ56" s="2">
        <v>-0.5</v>
      </c>
      <c r="AIA56" s="2">
        <v>-0.6</v>
      </c>
      <c r="AIB56" s="2">
        <v>-0.5</v>
      </c>
      <c r="AIC56" s="2">
        <v>-0.4</v>
      </c>
      <c r="AID56" s="2">
        <v>0.6</v>
      </c>
      <c r="AIE56" s="2">
        <v>-1</v>
      </c>
      <c r="AIF56" s="2">
        <v>0.4</v>
      </c>
      <c r="AIG56" s="2">
        <v>-2.4</v>
      </c>
      <c r="AIH56" s="2">
        <v>0</v>
      </c>
      <c r="AII56" s="2">
        <v>-0.8</v>
      </c>
      <c r="AIJ56" s="2">
        <v>0</v>
      </c>
      <c r="AIK56" s="2">
        <v>2.2</v>
      </c>
      <c r="AIL56" s="2">
        <v>0.3</v>
      </c>
      <c r="AIM56" s="2">
        <v>-1.2</v>
      </c>
      <c r="AIN56" s="2">
        <v>-0.5</v>
      </c>
      <c r="AIO56" s="2">
        <v>-0.2</v>
      </c>
      <c r="AIP56" s="2">
        <v>0.3</v>
      </c>
      <c r="AIQ56" s="2">
        <v>-0.7</v>
      </c>
      <c r="AIR56" s="2">
        <v>-1.9</v>
      </c>
      <c r="AIS56" s="2">
        <v>-0.2</v>
      </c>
      <c r="AIT56" s="2">
        <v>-1.1</v>
      </c>
      <c r="AIU56" s="2">
        <v>1.2</v>
      </c>
      <c r="AIV56" s="2">
        <v>-0.2</v>
      </c>
      <c r="AIW56" s="2">
        <v>-0.9</v>
      </c>
      <c r="AIX56" s="2">
        <v>-1.6</v>
      </c>
      <c r="AIY56" s="2">
        <v>1</v>
      </c>
      <c r="AIZ56" s="2">
        <v>-1.6</v>
      </c>
      <c r="AJA56" s="2">
        <v>-0.9</v>
      </c>
      <c r="AJB56" s="2">
        <v>0.5</v>
      </c>
      <c r="AJC56" s="2">
        <v>-2.1</v>
      </c>
      <c r="AJD56" s="2">
        <v>0.6</v>
      </c>
      <c r="AJE56" s="2">
        <v>-0.2</v>
      </c>
      <c r="AJF56" s="2">
        <v>-1</v>
      </c>
      <c r="AJG56" s="2">
        <v>-1.5</v>
      </c>
      <c r="AJH56" s="2">
        <v>0.2</v>
      </c>
      <c r="AJI56" s="2">
        <v>-2</v>
      </c>
      <c r="AJJ56" s="2">
        <v>-0.1</v>
      </c>
      <c r="AJK56" s="2">
        <v>-0.9</v>
      </c>
      <c r="AJL56" s="2">
        <v>-0.3</v>
      </c>
      <c r="AJM56" s="2">
        <v>0.4</v>
      </c>
      <c r="AJN56" s="2">
        <v>-0.3</v>
      </c>
      <c r="AJO56" s="2">
        <v>-1</v>
      </c>
      <c r="AJP56" s="2">
        <v>2.2</v>
      </c>
      <c r="AJQ56" s="2">
        <v>2.2</v>
      </c>
      <c r="AJR56" s="2">
        <v>-3</v>
      </c>
      <c r="AJS56" s="2">
        <v>-1.9</v>
      </c>
      <c r="AJT56" s="2">
        <v>0.7</v>
      </c>
      <c r="AJU56" s="2">
        <v>-0.3</v>
      </c>
      <c r="AJV56" s="2">
        <v>0.9</v>
      </c>
      <c r="AJW56" s="2">
        <v>0.3</v>
      </c>
      <c r="AJX56" s="2">
        <v>2</v>
      </c>
      <c r="AJY56" s="2">
        <v>2.1</v>
      </c>
      <c r="AJZ56" s="2">
        <v>1.9</v>
      </c>
      <c r="AKA56" s="2">
        <v>1.5</v>
      </c>
      <c r="AKB56" s="2">
        <v>2.1</v>
      </c>
      <c r="AKC56" s="2">
        <v>1</v>
      </c>
      <c r="AKD56" s="2">
        <v>0.5</v>
      </c>
      <c r="AKE56" s="2">
        <v>-0.9</v>
      </c>
      <c r="AKF56" s="2">
        <v>1.4</v>
      </c>
      <c r="AKG56" s="2">
        <v>-0.3</v>
      </c>
      <c r="AKH56" s="2">
        <v>-0.5</v>
      </c>
      <c r="AKI56" s="2">
        <v>-1.3</v>
      </c>
      <c r="AKJ56" s="2">
        <v>2.2</v>
      </c>
      <c r="AKK56" s="2">
        <v>0.2</v>
      </c>
      <c r="AKL56" s="2">
        <v>0.6</v>
      </c>
      <c r="AKM56" s="2">
        <v>-0.4</v>
      </c>
      <c r="AKN56" s="2">
        <v>0.9</v>
      </c>
      <c r="AKO56" s="2">
        <v>0.2</v>
      </c>
      <c r="AKP56" s="2">
        <v>0.79</v>
      </c>
      <c r="AKQ56" s="2">
        <v>0.8</v>
      </c>
      <c r="AKR56" s="2">
        <v>0.8</v>
      </c>
    </row>
    <row r="57">
      <c r="A57" t="inlineStr">
        <is>
          <t>Other non-durable household products</t>
        </is>
      </c>
      <c r="B57" t="inlineStr">
        <is>
          <t>Non-durable household products</t>
        </is>
      </c>
      <c r="C57">
        <v>3</v>
      </c>
      <c r="D57">
        <v>1.18</v>
      </c>
      <c r="E57" s="3">
        <f>D57/2.2*0.02202788339670469</f>
        <v>0.011814955640050697</v>
      </c>
      <c r="F57" s="3">
        <f>E57-D57/100</f>
        <v>1.4955640050696994e-05</v>
      </c>
      <c r="G57" s="3">
        <f>D57/2.2</f>
        <v>0.5363636363636363</v>
      </c>
      <c r="H57" s="2">
        <v>81.98999999999999</v>
      </c>
      <c r="I57" s="2">
        <v>81.45999999999999</v>
      </c>
      <c r="J57" s="2">
        <v>81.89</v>
      </c>
      <c r="K57" s="2">
        <v>81.54000000000001</v>
      </c>
      <c r="L57" s="2">
        <v>82.18000000000001</v>
      </c>
      <c r="M57" s="2">
        <v>81.67</v>
      </c>
      <c r="N57" s="2">
        <v>82.28</v>
      </c>
      <c r="O57" s="2">
        <v>82.26000000000001</v>
      </c>
      <c r="P57" s="2">
        <v>82.18000000000001</v>
      </c>
      <c r="Q57" s="2">
        <v>81.53</v>
      </c>
      <c r="R57" s="2">
        <v>81.70999999999999</v>
      </c>
      <c r="S57" s="2">
        <v>81.69</v>
      </c>
      <c r="T57" s="2">
        <v>81.37</v>
      </c>
      <c r="U57" s="2">
        <v>81.16</v>
      </c>
      <c r="V57" s="2">
        <v>81.87</v>
      </c>
      <c r="W57" s="2">
        <v>81.11</v>
      </c>
      <c r="X57" s="2">
        <v>80.84999999999999</v>
      </c>
      <c r="Y57" s="2">
        <v>81.37</v>
      </c>
      <c r="Z57" s="2">
        <v>81.68000000000001</v>
      </c>
      <c r="AA57" s="2">
        <v>82.14</v>
      </c>
      <c r="AB57" s="2">
        <v>81.77</v>
      </c>
      <c r="AC57" s="2">
        <v>81.17</v>
      </c>
      <c r="AD57" s="2">
        <v>81.92</v>
      </c>
      <c r="AE57" s="2">
        <v>82.05</v>
      </c>
      <c r="AF57" s="2">
        <v>81.3</v>
      </c>
      <c r="AG57" s="2">
        <v>82.02</v>
      </c>
      <c r="AH57" s="2">
        <v>82.67</v>
      </c>
      <c r="AI57" s="2">
        <v>81.87</v>
      </c>
      <c r="AJ57" s="2">
        <v>81.63</v>
      </c>
      <c r="AK57" s="2">
        <v>82.42</v>
      </c>
      <c r="AL57" s="2">
        <v>88.43000000000001</v>
      </c>
      <c r="AM57" s="2">
        <v>92.45999999999999</v>
      </c>
      <c r="AN57" s="2">
        <v>88.52</v>
      </c>
      <c r="AO57" s="2">
        <v>85.09</v>
      </c>
      <c r="AP57" s="2">
        <v>86.48999999999999</v>
      </c>
      <c r="AQ57" s="2">
        <v>84.39</v>
      </c>
      <c r="AR57" s="2">
        <v>83.86</v>
      </c>
      <c r="AS57" s="2">
        <v>84.02</v>
      </c>
      <c r="AT57" s="2">
        <v>83.56</v>
      </c>
      <c r="AU57" s="2">
        <v>83.31</v>
      </c>
      <c r="AV57" s="2">
        <v>83.2</v>
      </c>
      <c r="AW57" s="2">
        <v>84.2</v>
      </c>
      <c r="AX57" s="2">
        <v>84.84</v>
      </c>
      <c r="AY57" s="2">
        <v>83.98</v>
      </c>
      <c r="AZ57" s="2">
        <v>84.09</v>
      </c>
      <c r="BA57" s="2">
        <v>83.56</v>
      </c>
      <c r="BB57" s="2">
        <v>84.73</v>
      </c>
      <c r="BC57" s="2">
        <v>84.28</v>
      </c>
      <c r="BD57" s="2">
        <v>85.41</v>
      </c>
      <c r="BE57" s="2">
        <v>86.15000000000001</v>
      </c>
      <c r="BF57" s="2">
        <v>86.95</v>
      </c>
      <c r="BG57" s="2">
        <v>88.56</v>
      </c>
      <c r="BH57" s="2">
        <v>90.36</v>
      </c>
      <c r="BI57" s="2">
        <v>93.75</v>
      </c>
      <c r="BJ57" s="2">
        <v>94.5</v>
      </c>
      <c r="BK57" s="2">
        <v>94.47</v>
      </c>
      <c r="BL57" s="2">
        <v>95.48</v>
      </c>
      <c r="BM57" s="2">
        <v>95.83</v>
      </c>
      <c r="BN57" s="2">
        <v>97.16</v>
      </c>
      <c r="BO57" s="2">
        <v>97.23</v>
      </c>
      <c r="BP57" s="2">
        <v>98.25</v>
      </c>
      <c r="BQ57" s="2">
        <v>98.34</v>
      </c>
      <c r="BR57" s="2">
        <v>100.39</v>
      </c>
      <c r="BS57" s="2">
        <v>100.46</v>
      </c>
      <c r="BT57" s="2">
        <v>100.31</v>
      </c>
      <c r="BU57" s="2">
        <v>101.76</v>
      </c>
      <c r="BV57" s="2">
        <v>102.07</v>
      </c>
      <c r="BW57" s="2">
        <v>101.94</v>
      </c>
      <c r="BX57" s="2">
        <v>102.5</v>
      </c>
      <c r="BY57" s="2">
        <v>101.98</v>
      </c>
      <c r="BZ57" s="2">
        <v>102.11</v>
      </c>
      <c r="CA57" s="2">
        <v>102.18</v>
      </c>
      <c r="CB57" s="2">
        <v>101.09</v>
      </c>
      <c r="CC57" s="2">
        <v>99.86</v>
      </c>
      <c r="CD57" s="2">
        <v>99.76000000000001</v>
      </c>
      <c r="CE57" s="2">
        <v>100.64</v>
      </c>
      <c r="CF57" s="2">
        <v>100.38</v>
      </c>
      <c r="CG57" s="2">
        <v>100.48</v>
      </c>
      <c r="CH57" s="2">
        <v>100.91</v>
      </c>
      <c r="CI57" s="2">
        <v>101.82</v>
      </c>
      <c r="CJ57" s="2">
        <v>101.4</v>
      </c>
      <c r="CK57" s="2">
        <v>101.17</v>
      </c>
      <c r="CL57" s="2">
        <v>100.66</v>
      </c>
      <c r="CM57" s="2">
        <v>100.83</v>
      </c>
      <c r="CN57" s="2">
        <v>100.36</v>
      </c>
      <c r="CO57" s="2">
        <v>99.58</v>
      </c>
      <c r="CP57" s="2">
        <v>100.17</v>
      </c>
      <c r="CQ57" s="2">
        <v>100.34</v>
      </c>
      <c r="CR57" s="2">
        <v>100.08</v>
      </c>
      <c r="CS57" s="2">
        <v>100.05</v>
      </c>
      <c r="CT57" s="2">
        <v>100.26</v>
      </c>
      <c r="CU57" s="2">
        <v>100.94</v>
      </c>
      <c r="CV57" s="2">
        <v>100.92</v>
      </c>
      <c r="CW57" s="2">
        <v>100.64</v>
      </c>
      <c r="CX57" s="2">
        <v>100.66</v>
      </c>
      <c r="CY57" s="2">
        <v>100.71</v>
      </c>
      <c r="CZ57" s="2">
        <v>100</v>
      </c>
      <c r="DA57" s="2">
        <v>99.89</v>
      </c>
      <c r="DB57" s="2">
        <v>99.04000000000001</v>
      </c>
      <c r="DC57" s="2">
        <v>99.33</v>
      </c>
      <c r="DD57" s="2">
        <v>98.58</v>
      </c>
      <c r="DE57" s="2">
        <v>98.73</v>
      </c>
      <c r="DF57" s="2">
        <v>99.05</v>
      </c>
      <c r="DG57" s="2">
        <v>99.39</v>
      </c>
      <c r="DH57" s="2">
        <v>99.86</v>
      </c>
      <c r="DI57" s="2">
        <v>99.52</v>
      </c>
      <c r="DJ57" s="2">
        <v>99.78</v>
      </c>
      <c r="DK57" s="2">
        <v>-0.8</v>
      </c>
      <c r="DL57" s="2">
        <v>-0.4</v>
      </c>
      <c r="DM57" s="2">
        <v>0</v>
      </c>
      <c r="DN57" s="2">
        <v>-0.5</v>
      </c>
      <c r="DO57" s="2">
        <v>-1.6</v>
      </c>
      <c r="DP57" s="2">
        <v>-0.4</v>
      </c>
      <c r="DQ57" s="2">
        <v>-0.7</v>
      </c>
      <c r="DR57" s="2">
        <v>-0.1</v>
      </c>
      <c r="DS57" s="2">
        <v>-0.5</v>
      </c>
      <c r="DT57" s="2">
        <v>-0.4</v>
      </c>
      <c r="DU57" s="2">
        <v>0.3</v>
      </c>
      <c r="DV57" s="2">
        <v>0.4</v>
      </c>
      <c r="DW57" s="2">
        <v>-0.1</v>
      </c>
      <c r="DX57" s="2">
        <v>1.1</v>
      </c>
      <c r="DY57" s="2">
        <v>1</v>
      </c>
      <c r="DZ57" s="2">
        <v>0.9</v>
      </c>
      <c r="EA57" s="2">
        <v>1</v>
      </c>
      <c r="EB57" s="2">
        <v>1.3</v>
      </c>
      <c r="EC57" s="2">
        <v>8.300000000000001</v>
      </c>
      <c r="ED57" s="2">
        <v>12.6</v>
      </c>
      <c r="EE57" s="2">
        <v>8.300000000000001</v>
      </c>
      <c r="EF57" s="2">
        <v>4.8</v>
      </c>
      <c r="EG57" s="2">
        <v>5.6</v>
      </c>
      <c r="EH57" s="2">
        <v>2.9</v>
      </c>
      <c r="EI57" s="2">
        <v>3.1</v>
      </c>
      <c r="EJ57" s="2">
        <v>2.4</v>
      </c>
      <c r="EK57" s="2">
        <v>1.1</v>
      </c>
      <c r="EL57" s="2">
        <v>1.8</v>
      </c>
      <c r="EM57" s="2">
        <v>1.9</v>
      </c>
      <c r="EN57" s="2">
        <v>2.2</v>
      </c>
      <c r="EO57" s="2">
        <v>-4.1</v>
      </c>
      <c r="EP57" s="2">
        <v>-9.199999999999999</v>
      </c>
      <c r="EQ57" s="2">
        <v>-5</v>
      </c>
      <c r="ER57" s="2">
        <v>-1.8</v>
      </c>
      <c r="ES57" s="2">
        <v>-2</v>
      </c>
      <c r="ET57" s="2">
        <v>-0.1</v>
      </c>
      <c r="EU57" s="2">
        <v>1.8</v>
      </c>
      <c r="EV57" s="2">
        <v>2.5</v>
      </c>
      <c r="EW57" s="2">
        <v>4.1</v>
      </c>
      <c r="EX57" s="2">
        <v>6.3</v>
      </c>
      <c r="EY57" s="2">
        <v>8.6</v>
      </c>
      <c r="EZ57" s="2">
        <v>11.3</v>
      </c>
      <c r="FA57" s="2">
        <v>11.4</v>
      </c>
      <c r="FB57" s="2">
        <v>12.5</v>
      </c>
      <c r="FC57" s="2">
        <v>13.5</v>
      </c>
      <c r="FD57" s="2">
        <v>14.7</v>
      </c>
      <c r="FE57" s="2">
        <v>14.7</v>
      </c>
      <c r="FF57" s="2">
        <v>15.4</v>
      </c>
      <c r="FG57" s="2">
        <v>15</v>
      </c>
      <c r="FH57" s="2">
        <v>14.1</v>
      </c>
      <c r="FI57" s="2">
        <v>15.5</v>
      </c>
      <c r="FJ57" s="2">
        <v>13.4</v>
      </c>
      <c r="FK57" s="2">
        <v>11</v>
      </c>
      <c r="FL57" s="2">
        <v>8.5</v>
      </c>
      <c r="FM57" s="2">
        <v>8</v>
      </c>
      <c r="FN57" s="2">
        <v>7.9</v>
      </c>
      <c r="FO57" s="2">
        <v>7.4</v>
      </c>
      <c r="FP57" s="2">
        <v>6.4</v>
      </c>
      <c r="FQ57" s="2">
        <v>5.1</v>
      </c>
      <c r="FR57" s="2">
        <v>5.1</v>
      </c>
      <c r="FS57" s="2">
        <v>2.9</v>
      </c>
      <c r="FT57" s="2">
        <v>1.5</v>
      </c>
      <c r="FU57" s="2">
        <v>-0.6</v>
      </c>
      <c r="FV57" s="2">
        <v>0.2</v>
      </c>
      <c r="FW57" s="2">
        <v>0.1</v>
      </c>
      <c r="FX57" s="2">
        <v>-1.3</v>
      </c>
      <c r="FY57" s="2">
        <v>-1.1</v>
      </c>
      <c r="FZ57" s="2">
        <v>-0.1</v>
      </c>
      <c r="GA57" s="2">
        <v>-1.1</v>
      </c>
      <c r="GB57" s="2">
        <v>-0.8</v>
      </c>
      <c r="GC57" s="2">
        <v>-1.4</v>
      </c>
      <c r="GD57" s="2">
        <v>-1.3</v>
      </c>
      <c r="GE57" s="2">
        <v>-0.7</v>
      </c>
      <c r="GF57" s="2">
        <v>-0.3</v>
      </c>
      <c r="GG57" s="2">
        <v>0.4</v>
      </c>
      <c r="GH57" s="2">
        <v>-0.3</v>
      </c>
      <c r="GI57" s="2">
        <v>-0.3</v>
      </c>
      <c r="GJ57" s="2">
        <v>-0.4</v>
      </c>
      <c r="GK57" s="2">
        <v>-0.6</v>
      </c>
      <c r="GL57" s="2">
        <v>-0.9</v>
      </c>
      <c r="GM57" s="2">
        <v>-0.5</v>
      </c>
      <c r="GN57" s="2">
        <v>-0.5</v>
      </c>
      <c r="GO57" s="2">
        <v>0</v>
      </c>
      <c r="GP57" s="2">
        <v>-0.1</v>
      </c>
      <c r="GQ57" s="2">
        <v>-0.4</v>
      </c>
      <c r="GR57" s="2">
        <v>0.3</v>
      </c>
      <c r="GS57" s="2">
        <v>-1.1</v>
      </c>
      <c r="GT57" s="2">
        <v>-1</v>
      </c>
      <c r="GU57" s="2">
        <v>-1.5</v>
      </c>
      <c r="GV57" s="2">
        <v>-1.3</v>
      </c>
      <c r="GW57" s="2">
        <v>-1.2</v>
      </c>
      <c r="GX57" s="2">
        <v>-1.5</v>
      </c>
      <c r="GY57" s="2">
        <v>-1.1</v>
      </c>
      <c r="GZ57" s="2">
        <v>-1.1</v>
      </c>
      <c r="HA57" s="2">
        <v>-0.9</v>
      </c>
      <c r="HB57" s="2">
        <v>-0.6</v>
      </c>
      <c r="HC57" s="2">
        <v>0.5</v>
      </c>
      <c r="HD57" s="2">
        <v>-0.4</v>
      </c>
      <c r="HE57" s="2">
        <v>0.8</v>
      </c>
      <c r="HF57" s="2">
        <v>-0.6</v>
      </c>
      <c r="HG57" s="2">
        <v>0.7</v>
      </c>
      <c r="HH57" s="2">
        <v>0</v>
      </c>
      <c r="HI57" s="2">
        <v>-0.1</v>
      </c>
      <c r="HJ57" s="2">
        <v>-0.8</v>
      </c>
      <c r="HK57" s="2">
        <v>0.2</v>
      </c>
      <c r="HL57" s="2">
        <v>0</v>
      </c>
      <c r="HM57" s="2">
        <v>-0.4</v>
      </c>
      <c r="HN57" s="2">
        <v>-0.3</v>
      </c>
      <c r="HO57" s="2">
        <v>0.9</v>
      </c>
      <c r="HP57" s="2">
        <v>-0.9</v>
      </c>
      <c r="HQ57" s="2">
        <v>-0.3</v>
      </c>
      <c r="HR57" s="2">
        <v>0.6</v>
      </c>
      <c r="HS57" s="2">
        <v>0.4</v>
      </c>
      <c r="HT57" s="2">
        <v>0.6</v>
      </c>
      <c r="HU57" s="2">
        <v>-0.5</v>
      </c>
      <c r="HV57" s="2">
        <v>-0.7</v>
      </c>
      <c r="HW57" s="2">
        <v>0.9</v>
      </c>
      <c r="HX57" s="2">
        <v>0.2</v>
      </c>
      <c r="HY57" s="2">
        <v>-0.9</v>
      </c>
      <c r="HZ57" s="2">
        <v>0.9</v>
      </c>
      <c r="IA57" s="2">
        <v>0.8</v>
      </c>
      <c r="IB57" s="2">
        <v>-1</v>
      </c>
      <c r="IC57" s="2">
        <v>-0.3</v>
      </c>
      <c r="ID57" s="2">
        <v>1</v>
      </c>
      <c r="IE57" s="2">
        <v>7.3</v>
      </c>
      <c r="IF57" s="2">
        <v>4.6</v>
      </c>
      <c r="IG57" s="2">
        <v>-4.3</v>
      </c>
      <c r="IH57" s="2">
        <v>-3.9</v>
      </c>
      <c r="II57" s="2">
        <v>1.6</v>
      </c>
      <c r="IJ57" s="2">
        <v>-2.4</v>
      </c>
      <c r="IK57" s="2">
        <v>-0.6</v>
      </c>
      <c r="IL57" s="2">
        <v>0.2</v>
      </c>
      <c r="IM57" s="2">
        <v>-0.5</v>
      </c>
      <c r="IN57" s="2">
        <v>-0.3</v>
      </c>
      <c r="IO57" s="2">
        <v>-0.1</v>
      </c>
      <c r="IP57" s="2">
        <v>1.2</v>
      </c>
      <c r="IQ57" s="2">
        <v>0.8</v>
      </c>
      <c r="IR57" s="2">
        <v>-1</v>
      </c>
      <c r="IS57" s="2">
        <v>0.1</v>
      </c>
      <c r="IT57" s="2">
        <v>-0.6</v>
      </c>
      <c r="IU57" s="2">
        <v>1.4</v>
      </c>
      <c r="IV57" s="2">
        <v>-0.5</v>
      </c>
      <c r="IW57" s="2">
        <v>1.3</v>
      </c>
      <c r="IX57" s="2">
        <v>0.9</v>
      </c>
      <c r="IY57" s="2">
        <v>0.9</v>
      </c>
      <c r="IZ57" s="2">
        <v>1.9</v>
      </c>
      <c r="JA57" s="2">
        <v>2</v>
      </c>
      <c r="JB57" s="2">
        <v>3.8</v>
      </c>
      <c r="JC57" s="2">
        <v>0.8</v>
      </c>
      <c r="JD57" s="2">
        <v>0</v>
      </c>
      <c r="JE57" s="2">
        <v>1.1</v>
      </c>
      <c r="JF57" s="2">
        <v>0.4</v>
      </c>
      <c r="JG57" s="2">
        <v>1.4</v>
      </c>
      <c r="JH57" s="2">
        <v>0.1</v>
      </c>
      <c r="JI57" s="2">
        <v>1</v>
      </c>
      <c r="JJ57" s="2">
        <v>0.1</v>
      </c>
      <c r="JK57" s="2">
        <v>2.1</v>
      </c>
      <c r="JL57" s="2">
        <v>0.1</v>
      </c>
      <c r="JM57" s="2">
        <v>-0.1</v>
      </c>
      <c r="JN57" s="2">
        <v>1.4</v>
      </c>
      <c r="JO57" s="2">
        <v>0.3</v>
      </c>
      <c r="JP57" s="2">
        <v>-0.1</v>
      </c>
      <c r="JQ57" s="2">
        <v>0.5</v>
      </c>
      <c r="JR57" s="2">
        <v>-0.5</v>
      </c>
      <c r="JS57" s="2">
        <v>0.1</v>
      </c>
      <c r="JT57" s="2">
        <v>0.1</v>
      </c>
      <c r="JU57" s="2">
        <v>-1.1</v>
      </c>
      <c r="JV57" s="2">
        <v>-1.2</v>
      </c>
      <c r="JW57" s="2">
        <v>-0.1</v>
      </c>
      <c r="JX57" s="2">
        <v>0.9</v>
      </c>
      <c r="JY57" s="2">
        <v>-0.3</v>
      </c>
      <c r="JZ57" s="2">
        <v>0.1</v>
      </c>
      <c r="KA57" s="2">
        <v>0.4</v>
      </c>
      <c r="KB57" s="2">
        <v>0.9</v>
      </c>
      <c r="KC57" s="2">
        <v>-0.4</v>
      </c>
      <c r="KD57" s="2">
        <v>-0.2</v>
      </c>
      <c r="KE57" s="2">
        <v>-0.5</v>
      </c>
      <c r="KF57" s="2">
        <v>0.2</v>
      </c>
      <c r="KG57" s="2">
        <v>-0.5</v>
      </c>
      <c r="KH57" s="2">
        <v>-0.8</v>
      </c>
      <c r="KI57" s="2">
        <v>0.6</v>
      </c>
      <c r="KJ57" s="2">
        <v>0.2</v>
      </c>
      <c r="KK57" s="2">
        <v>-0.3</v>
      </c>
      <c r="KL57" s="2">
        <v>0</v>
      </c>
      <c r="KM57" s="2">
        <v>0.2</v>
      </c>
      <c r="KN57" s="2">
        <v>0.7</v>
      </c>
      <c r="KO57" s="2">
        <v>0</v>
      </c>
      <c r="KP57" s="2">
        <v>-0.3</v>
      </c>
      <c r="KQ57" s="2">
        <v>0</v>
      </c>
      <c r="KR57" s="2">
        <v>0</v>
      </c>
      <c r="KS57" s="2">
        <v>-0.7</v>
      </c>
      <c r="KT57" s="2">
        <v>-0.1</v>
      </c>
      <c r="KU57" s="2">
        <v>-0.9</v>
      </c>
      <c r="KV57" s="2">
        <v>0.3</v>
      </c>
      <c r="KW57" s="2">
        <v>-0.8</v>
      </c>
      <c r="KX57" s="2">
        <v>0.2</v>
      </c>
      <c r="KY57" s="2">
        <v>0.3</v>
      </c>
      <c r="KZ57" s="2">
        <v>0.3</v>
      </c>
      <c r="LA57" s="2">
        <v>0.5</v>
      </c>
      <c r="LB57" s="2">
        <v>-0.3</v>
      </c>
      <c r="LC57" s="2">
        <v>0.3</v>
      </c>
      <c r="LD57" s="2">
        <v>1.15</v>
      </c>
      <c r="LE57" s="2">
        <v>1.15</v>
      </c>
      <c r="LF57" s="2">
        <v>1.15</v>
      </c>
      <c r="LG57" s="2">
        <v>1.15</v>
      </c>
      <c r="LH57" s="2">
        <v>1.16</v>
      </c>
      <c r="LI57" s="2">
        <v>1.16</v>
      </c>
      <c r="LJ57" s="2">
        <v>1.16</v>
      </c>
      <c r="LK57" s="2">
        <v>1.16</v>
      </c>
      <c r="LL57" s="2">
        <v>1.16</v>
      </c>
      <c r="LM57" s="2">
        <v>1.15</v>
      </c>
      <c r="LN57" s="2">
        <v>1.15</v>
      </c>
      <c r="LO57" s="2">
        <v>1.14</v>
      </c>
      <c r="LP57" s="2">
        <v>1.14</v>
      </c>
      <c r="LQ57" s="2">
        <v>1.13</v>
      </c>
      <c r="LR57" s="2">
        <v>1.13</v>
      </c>
      <c r="LS57" s="2">
        <v>1.14</v>
      </c>
      <c r="LT57" s="2">
        <v>1.14</v>
      </c>
      <c r="LU57" s="2">
        <v>1.15</v>
      </c>
      <c r="LV57" s="2">
        <v>1.14</v>
      </c>
      <c r="LW57" s="2">
        <v>1.15</v>
      </c>
      <c r="LX57" s="2">
        <v>0</v>
      </c>
      <c r="LY57" s="2">
        <v>0</v>
      </c>
      <c r="LZ57" s="2">
        <v>0</v>
      </c>
      <c r="MA57" s="2">
        <v>0.01</v>
      </c>
      <c r="MB57" s="2">
        <v>0</v>
      </c>
      <c r="MC57" s="2">
        <v>0</v>
      </c>
      <c r="MD57" s="2">
        <v>0</v>
      </c>
      <c r="ME57" s="2">
        <v>0</v>
      </c>
      <c r="MF57" s="2">
        <v>-0.01</v>
      </c>
      <c r="MG57" s="2">
        <v>0</v>
      </c>
      <c r="MH57" s="2">
        <v>-0.01</v>
      </c>
      <c r="MI57" s="2">
        <v>0</v>
      </c>
      <c r="MJ57" s="2">
        <v>-0.01</v>
      </c>
      <c r="MK57" s="2">
        <v>0</v>
      </c>
      <c r="ML57" s="2">
        <v>0.01</v>
      </c>
      <c r="MM57" s="2">
        <v>0</v>
      </c>
      <c r="MN57" s="2">
        <v>0.01</v>
      </c>
      <c r="MO57" s="2">
        <v>-0.01</v>
      </c>
      <c r="MP57" s="2">
        <v>0.01</v>
      </c>
      <c r="SY57" s="2">
        <v>51.48</v>
      </c>
      <c r="SZ57" s="2">
        <v>51.53</v>
      </c>
      <c r="TA57" s="2">
        <v>51.84</v>
      </c>
      <c r="TB57" s="2">
        <v>52.72</v>
      </c>
      <c r="TC57" s="2">
        <v>53.81</v>
      </c>
      <c r="TD57" s="2">
        <v>54.44</v>
      </c>
      <c r="TE57" s="2">
        <v>54.18</v>
      </c>
      <c r="TF57" s="2">
        <v>55.37</v>
      </c>
      <c r="TG57" s="2">
        <v>55.94</v>
      </c>
      <c r="TH57" s="2">
        <v>55.73</v>
      </c>
      <c r="TI57" s="2">
        <v>55.53</v>
      </c>
      <c r="TJ57" s="2">
        <v>56.15</v>
      </c>
      <c r="TK57" s="2">
        <v>56.77</v>
      </c>
      <c r="TL57" s="2">
        <v>56.36</v>
      </c>
      <c r="TM57" s="2">
        <v>56.2</v>
      </c>
      <c r="TN57" s="2">
        <v>56.3</v>
      </c>
      <c r="TO57" s="2">
        <v>55.63</v>
      </c>
      <c r="TP57" s="2">
        <v>55.99</v>
      </c>
      <c r="TQ57" s="2">
        <v>57.55</v>
      </c>
      <c r="TR57" s="2">
        <v>57.08</v>
      </c>
      <c r="TS57" s="2">
        <v>57.39</v>
      </c>
      <c r="TT57" s="2">
        <v>57.08</v>
      </c>
      <c r="TU57" s="2">
        <v>57.45</v>
      </c>
      <c r="TV57" s="2">
        <v>58.79</v>
      </c>
      <c r="TW57" s="2">
        <v>60.66</v>
      </c>
      <c r="TX57" s="2">
        <v>60.14</v>
      </c>
      <c r="TY57" s="2">
        <v>60.09</v>
      </c>
      <c r="TZ57" s="2">
        <v>60.14</v>
      </c>
      <c r="UA57" s="2">
        <v>61.23</v>
      </c>
      <c r="UB57" s="2">
        <v>61.08</v>
      </c>
      <c r="UC57" s="2">
        <v>61.6</v>
      </c>
      <c r="UD57" s="2">
        <v>61.86</v>
      </c>
      <c r="UE57" s="2">
        <v>61.8</v>
      </c>
      <c r="UF57" s="2">
        <v>62.43</v>
      </c>
      <c r="UG57" s="2">
        <v>62.22</v>
      </c>
      <c r="UH57" s="2">
        <v>63.05</v>
      </c>
      <c r="UI57" s="2">
        <v>63.83</v>
      </c>
      <c r="UJ57" s="2">
        <v>63.59</v>
      </c>
      <c r="UK57" s="2">
        <v>64.06999999999999</v>
      </c>
      <c r="UL57" s="2">
        <v>63.4</v>
      </c>
      <c r="UM57" s="2">
        <v>64.03</v>
      </c>
      <c r="UN57" s="2">
        <v>64.48999999999999</v>
      </c>
      <c r="UO57" s="2">
        <v>64.13</v>
      </c>
      <c r="UP57" s="2">
        <v>65.34</v>
      </c>
      <c r="UQ57" s="2">
        <v>64.06</v>
      </c>
      <c r="UR57" s="2">
        <v>65.59999999999999</v>
      </c>
      <c r="US57" s="2">
        <v>66.51000000000001</v>
      </c>
      <c r="UT57" s="2">
        <v>67.81</v>
      </c>
      <c r="UU57" s="2">
        <v>68.5</v>
      </c>
      <c r="UV57" s="2">
        <v>69.23</v>
      </c>
      <c r="UW57" s="2">
        <v>69.06</v>
      </c>
      <c r="UX57" s="2">
        <v>69.27</v>
      </c>
      <c r="UY57" s="2">
        <v>71.03</v>
      </c>
      <c r="UZ57" s="2">
        <v>70.72</v>
      </c>
      <c r="VA57" s="2">
        <v>70.51000000000001</v>
      </c>
      <c r="VB57" s="2">
        <v>69.72</v>
      </c>
      <c r="VC57" s="2">
        <v>69.73999999999999</v>
      </c>
      <c r="VD57" s="2">
        <v>70.13</v>
      </c>
      <c r="VE57" s="2">
        <v>70.48</v>
      </c>
      <c r="VF57" s="2">
        <v>70.23999999999999</v>
      </c>
      <c r="VG57" s="2">
        <v>71.04000000000001</v>
      </c>
      <c r="VH57" s="2">
        <v>71.45</v>
      </c>
      <c r="VI57" s="2">
        <v>71.02</v>
      </c>
      <c r="VJ57" s="2">
        <v>71.48</v>
      </c>
      <c r="VK57" s="2">
        <v>71.20999999999999</v>
      </c>
      <c r="VL57" s="2">
        <v>72.12</v>
      </c>
      <c r="VM57" s="2">
        <v>72.59</v>
      </c>
      <c r="VN57" s="2">
        <v>72.47</v>
      </c>
      <c r="VO57" s="2">
        <v>74.56999999999999</v>
      </c>
      <c r="VP57" s="2">
        <v>74.73</v>
      </c>
      <c r="VQ57" s="2">
        <v>73.90000000000001</v>
      </c>
      <c r="VR57" s="2">
        <v>74.01000000000001</v>
      </c>
      <c r="VS57" s="2">
        <v>73.98</v>
      </c>
      <c r="VT57" s="2">
        <v>74.54000000000001</v>
      </c>
      <c r="VU57" s="2">
        <v>75.20999999999999</v>
      </c>
      <c r="VV57" s="2">
        <v>76.79000000000001</v>
      </c>
      <c r="VW57" s="2">
        <v>77.06</v>
      </c>
      <c r="VX57" s="2">
        <v>77.90000000000001</v>
      </c>
      <c r="VY57" s="2">
        <v>79.14</v>
      </c>
      <c r="VZ57" s="2">
        <v>80.7</v>
      </c>
      <c r="WA57" s="2">
        <v>81.23999999999999</v>
      </c>
      <c r="WB57" s="2">
        <v>80.77</v>
      </c>
      <c r="WC57" s="2">
        <v>80.73</v>
      </c>
      <c r="WD57" s="2">
        <v>81.04000000000001</v>
      </c>
      <c r="WE57" s="2">
        <v>82.03</v>
      </c>
      <c r="WF57" s="2">
        <v>81.05</v>
      </c>
      <c r="WG57" s="2">
        <v>80.95</v>
      </c>
      <c r="WH57" s="2">
        <v>79.63</v>
      </c>
      <c r="WI57" s="2">
        <v>79.73</v>
      </c>
      <c r="WJ57" s="2">
        <v>78.90000000000001</v>
      </c>
      <c r="WK57" s="2">
        <v>79.34</v>
      </c>
      <c r="WL57" s="2">
        <v>79.06</v>
      </c>
      <c r="WM57" s="2">
        <v>79.44</v>
      </c>
      <c r="WN57" s="2">
        <v>79.31999999999999</v>
      </c>
      <c r="WO57" s="2">
        <v>80.84999999999999</v>
      </c>
      <c r="WP57" s="2">
        <v>80.11</v>
      </c>
      <c r="WQ57" s="2">
        <v>81.09999999999999</v>
      </c>
      <c r="WR57" s="2">
        <v>80.94</v>
      </c>
      <c r="WS57" s="2">
        <v>79.87</v>
      </c>
      <c r="WT57" s="2">
        <v>80.8</v>
      </c>
      <c r="WU57" s="2">
        <v>80.41</v>
      </c>
      <c r="WV57" s="2">
        <v>82.34999999999999</v>
      </c>
      <c r="WW57" s="2">
        <v>82.26000000000001</v>
      </c>
      <c r="WX57" s="2">
        <v>82.83</v>
      </c>
      <c r="WY57" s="2">
        <v>81.95</v>
      </c>
      <c r="WZ57" s="2">
        <v>81.7</v>
      </c>
      <c r="XA57" s="2">
        <v>81.41</v>
      </c>
      <c r="XB57" s="2">
        <v>81.78</v>
      </c>
      <c r="XC57" s="2">
        <v>81.81999999999999</v>
      </c>
      <c r="XD57" s="2">
        <v>81.83</v>
      </c>
      <c r="XE57" s="2">
        <v>81.63</v>
      </c>
      <c r="XF57" s="2">
        <v>82.03</v>
      </c>
      <c r="XG57" s="2">
        <v>81.23999999999999</v>
      </c>
      <c r="XH57" s="2">
        <v>80.87</v>
      </c>
      <c r="XI57" s="2">
        <v>81.23</v>
      </c>
      <c r="XJ57" s="2">
        <v>81.22</v>
      </c>
      <c r="XK57" s="2">
        <v>80.72</v>
      </c>
      <c r="XL57" s="2">
        <v>80.62</v>
      </c>
      <c r="XM57" s="2">
        <v>80.39</v>
      </c>
      <c r="XN57" s="2">
        <v>80.79000000000001</v>
      </c>
      <c r="XO57" s="2">
        <v>80.98999999999999</v>
      </c>
      <c r="XP57" s="2">
        <v>81.19</v>
      </c>
      <c r="XQ57" s="2">
        <v>83.92</v>
      </c>
      <c r="XR57" s="2">
        <v>87.76000000000001</v>
      </c>
      <c r="XS57" s="2">
        <v>84.19</v>
      </c>
      <c r="XT57" s="2">
        <v>82.61</v>
      </c>
      <c r="XU57" s="2">
        <v>83.06</v>
      </c>
      <c r="XV57" s="2">
        <v>82.91</v>
      </c>
      <c r="XW57" s="2">
        <v>83.95999999999999</v>
      </c>
      <c r="XX57" s="2">
        <v>87.02</v>
      </c>
      <c r="XY57" s="2">
        <v>92.91</v>
      </c>
      <c r="XZ57" s="2">
        <v>95.12</v>
      </c>
      <c r="YA57" s="2">
        <v>97.58</v>
      </c>
      <c r="YB57" s="2">
        <v>99.76000000000001</v>
      </c>
      <c r="YC57" s="2">
        <v>101.38</v>
      </c>
      <c r="YD57" s="2">
        <v>102.14</v>
      </c>
      <c r="YE57" s="2">
        <v>101.8</v>
      </c>
      <c r="YF57" s="2">
        <v>100.09</v>
      </c>
      <c r="YG57" s="2">
        <v>100.59</v>
      </c>
      <c r="YH57" s="2">
        <v>101.46</v>
      </c>
      <c r="YI57" s="2">
        <v>100.61</v>
      </c>
      <c r="YJ57" s="2">
        <v>100.03</v>
      </c>
      <c r="YK57" s="2">
        <v>100.13</v>
      </c>
      <c r="YL57" s="2">
        <v>100.83</v>
      </c>
      <c r="YM57" s="2">
        <v>100.46</v>
      </c>
      <c r="YN57" s="2">
        <v>99.42</v>
      </c>
      <c r="YO57" s="2">
        <v>98.79000000000001</v>
      </c>
      <c r="YP57" s="2">
        <v>99.59</v>
      </c>
      <c r="AEY57" s="2">
        <v>0.1</v>
      </c>
      <c r="AEZ57" s="2">
        <v>0.6</v>
      </c>
      <c r="AFA57" s="2">
        <v>1.7</v>
      </c>
      <c r="AFB57" s="2">
        <v>2.1</v>
      </c>
      <c r="AFC57" s="2">
        <v>1.2</v>
      </c>
      <c r="AFD57" s="2">
        <v>-0.5</v>
      </c>
      <c r="AFE57" s="2">
        <v>2.2</v>
      </c>
      <c r="AFF57" s="2">
        <v>1</v>
      </c>
      <c r="AFG57" s="2">
        <v>-0.4</v>
      </c>
      <c r="AFH57" s="2">
        <v>-0.4</v>
      </c>
      <c r="AFI57" s="2">
        <v>1.1</v>
      </c>
      <c r="AFJ57" s="2">
        <v>1.1</v>
      </c>
      <c r="AFK57" s="2">
        <v>-0.7</v>
      </c>
      <c r="AFL57" s="2">
        <v>-0.3</v>
      </c>
      <c r="AFM57" s="2">
        <v>0.2</v>
      </c>
      <c r="AFN57" s="2">
        <v>-1.2</v>
      </c>
      <c r="AFO57" s="2">
        <v>0.6</v>
      </c>
      <c r="AFP57" s="2">
        <v>2.8</v>
      </c>
      <c r="AFQ57" s="2">
        <v>-0.8</v>
      </c>
      <c r="AFR57" s="2">
        <v>0.5</v>
      </c>
      <c r="AFS57" s="2">
        <v>-0.5</v>
      </c>
      <c r="AFT57" s="2">
        <v>0.6</v>
      </c>
      <c r="AFU57" s="2">
        <v>2.3</v>
      </c>
      <c r="AFV57" s="2">
        <v>3.2</v>
      </c>
      <c r="AFW57" s="2">
        <v>-0.9</v>
      </c>
      <c r="AFX57" s="2">
        <v>-0.1</v>
      </c>
      <c r="AFY57" s="2">
        <v>0.1</v>
      </c>
      <c r="AFZ57" s="2">
        <v>1.8</v>
      </c>
      <c r="AGA57" s="2">
        <v>-0.2</v>
      </c>
      <c r="AGB57" s="2">
        <v>0.9</v>
      </c>
      <c r="AGC57" s="2">
        <v>0.4</v>
      </c>
      <c r="AGD57" s="2">
        <v>-0.1</v>
      </c>
      <c r="AGE57" s="2">
        <v>1</v>
      </c>
      <c r="AGF57" s="2">
        <v>-0.3</v>
      </c>
      <c r="AGG57" s="2">
        <v>1.3</v>
      </c>
      <c r="AGH57" s="2">
        <v>1.2</v>
      </c>
      <c r="AGI57" s="2">
        <v>-0.4</v>
      </c>
      <c r="AGJ57" s="2">
        <v>0.8</v>
      </c>
      <c r="AGK57" s="2">
        <v>-1</v>
      </c>
      <c r="AGL57" s="2">
        <v>1</v>
      </c>
      <c r="AGM57" s="2">
        <v>0.7</v>
      </c>
      <c r="AGN57" s="2">
        <v>-0.6</v>
      </c>
      <c r="AGO57" s="2">
        <v>1.9</v>
      </c>
      <c r="AGP57" s="2">
        <v>-2</v>
      </c>
      <c r="AGQ57" s="2">
        <v>2.4</v>
      </c>
      <c r="AGR57" s="2">
        <v>1.4</v>
      </c>
      <c r="AGS57" s="2">
        <v>2</v>
      </c>
      <c r="AGT57" s="2">
        <v>1</v>
      </c>
      <c r="AGU57" s="2">
        <v>1.1</v>
      </c>
      <c r="AGV57" s="2">
        <v>-0.2</v>
      </c>
      <c r="AGW57" s="2">
        <v>0.3</v>
      </c>
      <c r="AGX57" s="2">
        <v>2.5</v>
      </c>
      <c r="AGY57" s="2">
        <v>-0.4</v>
      </c>
      <c r="AGZ57" s="2">
        <v>-0.3</v>
      </c>
      <c r="AHA57" s="2">
        <v>-1.1</v>
      </c>
      <c r="AHB57" s="2">
        <v>0</v>
      </c>
      <c r="AHC57" s="2">
        <v>0.6</v>
      </c>
      <c r="AHD57" s="2">
        <v>0.5</v>
      </c>
      <c r="AHE57" s="2">
        <v>-0.3</v>
      </c>
      <c r="AHF57" s="2">
        <v>1.1</v>
      </c>
      <c r="AHG57" s="2">
        <v>0.6</v>
      </c>
      <c r="AHH57" s="2">
        <v>-0.6</v>
      </c>
      <c r="AHI57" s="2">
        <v>0.6</v>
      </c>
      <c r="AHJ57" s="2">
        <v>-0.4</v>
      </c>
      <c r="AHK57" s="2">
        <v>1.3</v>
      </c>
      <c r="AHL57" s="2">
        <v>0.7</v>
      </c>
      <c r="AHM57" s="2">
        <v>-0.2</v>
      </c>
      <c r="AHN57" s="2">
        <v>2.9</v>
      </c>
      <c r="AHO57" s="2">
        <v>0.2</v>
      </c>
      <c r="AHP57" s="2">
        <v>-1.1</v>
      </c>
      <c r="AHQ57" s="2">
        <v>0.1</v>
      </c>
      <c r="AHR57" s="2">
        <v>0</v>
      </c>
      <c r="AHS57" s="2">
        <v>0.8</v>
      </c>
      <c r="AHT57" s="2">
        <v>0.9</v>
      </c>
      <c r="AHU57" s="2">
        <v>2.1</v>
      </c>
      <c r="AHV57" s="2">
        <v>0.4</v>
      </c>
      <c r="AHW57" s="2">
        <v>1.1</v>
      </c>
      <c r="AHX57" s="2">
        <v>1.6</v>
      </c>
      <c r="AHY57" s="2">
        <v>2</v>
      </c>
      <c r="AHZ57" s="2">
        <v>0.7</v>
      </c>
      <c r="AIA57" s="2">
        <v>-0.6</v>
      </c>
      <c r="AIB57" s="2">
        <v>0</v>
      </c>
      <c r="AIC57" s="2">
        <v>0.4</v>
      </c>
      <c r="AID57" s="2">
        <v>1.2</v>
      </c>
      <c r="AIE57" s="2">
        <v>-1.2</v>
      </c>
      <c r="AIF57" s="2">
        <v>-0.1</v>
      </c>
      <c r="AIG57" s="2">
        <v>-1.6</v>
      </c>
      <c r="AIH57" s="2">
        <v>0.1</v>
      </c>
      <c r="AII57" s="2">
        <v>-1</v>
      </c>
      <c r="AIJ57" s="2">
        <v>0.6</v>
      </c>
      <c r="AIK57" s="2">
        <v>-0.4</v>
      </c>
      <c r="AIL57" s="2">
        <v>0.5</v>
      </c>
      <c r="AIM57" s="2">
        <v>-0.2</v>
      </c>
      <c r="AIN57" s="2">
        <v>1.9</v>
      </c>
      <c r="AIO57" s="2">
        <v>-0.9</v>
      </c>
      <c r="AIP57" s="2">
        <v>1.2</v>
      </c>
      <c r="AIQ57" s="2">
        <v>-0.2</v>
      </c>
      <c r="AIR57" s="2">
        <v>-1.3</v>
      </c>
      <c r="AIS57" s="2">
        <v>1.2</v>
      </c>
      <c r="AIT57" s="2">
        <v>-0.5</v>
      </c>
      <c r="AIU57" s="2">
        <v>2.4</v>
      </c>
      <c r="AIV57" s="2">
        <v>-0.1</v>
      </c>
      <c r="AIW57" s="2">
        <v>0.7</v>
      </c>
      <c r="AIX57" s="2">
        <v>-1.1</v>
      </c>
      <c r="AIY57" s="2">
        <v>-0.3</v>
      </c>
      <c r="AIZ57" s="2">
        <v>-0.4</v>
      </c>
      <c r="AJA57" s="2">
        <v>0.5</v>
      </c>
      <c r="AJB57" s="2">
        <v>0</v>
      </c>
      <c r="AJC57" s="2">
        <v>0</v>
      </c>
      <c r="AJD57" s="2">
        <v>-0.2</v>
      </c>
      <c r="AJE57" s="2">
        <v>0.5</v>
      </c>
      <c r="AJF57" s="2">
        <v>-1</v>
      </c>
      <c r="AJG57" s="2">
        <v>-0.5</v>
      </c>
      <c r="AJH57" s="2">
        <v>0.4</v>
      </c>
      <c r="AJI57" s="2">
        <v>0</v>
      </c>
      <c r="AJJ57" s="2">
        <v>-0.6</v>
      </c>
      <c r="AJK57" s="2">
        <v>-0.1</v>
      </c>
      <c r="AJL57" s="2">
        <v>-0.3</v>
      </c>
      <c r="AJM57" s="2">
        <v>0.5</v>
      </c>
      <c r="AJN57" s="2">
        <v>0.2</v>
      </c>
      <c r="AJO57" s="2">
        <v>0.2</v>
      </c>
      <c r="AJP57" s="2">
        <v>3.4</v>
      </c>
      <c r="AJQ57" s="2">
        <v>4.6</v>
      </c>
      <c r="AJR57" s="2">
        <v>-4.1</v>
      </c>
      <c r="AJS57" s="2">
        <v>-1.9</v>
      </c>
      <c r="AJT57" s="2">
        <v>0.5</v>
      </c>
      <c r="AJU57" s="2">
        <v>-0.2</v>
      </c>
      <c r="AJV57" s="2">
        <v>1.3</v>
      </c>
      <c r="AJW57" s="2">
        <v>3.6</v>
      </c>
      <c r="AJX57" s="2">
        <v>6.8</v>
      </c>
      <c r="AJY57" s="2">
        <v>2.4</v>
      </c>
      <c r="AJZ57" s="2">
        <v>2.6</v>
      </c>
      <c r="AKA57" s="2">
        <v>2.2</v>
      </c>
      <c r="AKB57" s="2">
        <v>1.6</v>
      </c>
      <c r="AKC57" s="2">
        <v>0.7</v>
      </c>
      <c r="AKD57" s="2">
        <v>-0.3</v>
      </c>
      <c r="AKE57" s="2">
        <v>-1.7</v>
      </c>
      <c r="AKF57" s="2">
        <v>0.5</v>
      </c>
      <c r="AKG57" s="2">
        <v>0.9</v>
      </c>
      <c r="AKH57" s="2">
        <v>-0.8</v>
      </c>
      <c r="AKI57" s="2">
        <v>-0.6</v>
      </c>
      <c r="AKJ57" s="2">
        <v>0.1</v>
      </c>
      <c r="AKK57" s="2">
        <v>0.7</v>
      </c>
      <c r="AKL57" s="2">
        <v>-0.4</v>
      </c>
      <c r="AKM57" s="2">
        <v>-1</v>
      </c>
      <c r="AKN57" s="2">
        <v>-0.6</v>
      </c>
      <c r="AKO57" s="2">
        <v>0.8</v>
      </c>
      <c r="AKP57" s="2">
        <v>1.14</v>
      </c>
      <c r="AKQ57" s="2">
        <v>1.13</v>
      </c>
      <c r="AKR57" s="2">
        <v>1.14</v>
      </c>
    </row>
    <row r="58">
      <c r="A58" t="inlineStr">
        <is>
          <t>Child care</t>
        </is>
      </c>
      <c r="B58" t="inlineStr">
        <is>
          <t>Domestic and household services</t>
        </is>
      </c>
      <c r="C58">
        <v>3</v>
      </c>
      <c r="D58">
        <v>0.77</v>
      </c>
      <c r="E58" s="3">
        <f>D58/2.5300000000000002*0.025332065906210392</f>
        <v>0.007709759188846641</v>
      </c>
      <c r="F58" s="3">
        <f>E58-D58/100</f>
        <v>9.759188846640392e-06</v>
      </c>
      <c r="G58" s="3">
        <f>D58/2.5300000000000002</f>
        <v>0.3043478260869565</v>
      </c>
      <c r="CI58" s="2">
        <v>83.79000000000001</v>
      </c>
      <c r="CJ58" s="2">
        <v>83.47</v>
      </c>
      <c r="CK58" s="2">
        <v>84.20999999999999</v>
      </c>
      <c r="CL58" s="2">
        <v>84.43000000000001</v>
      </c>
      <c r="CM58" s="2">
        <v>89.39</v>
      </c>
      <c r="CN58" s="2">
        <v>90.69</v>
      </c>
      <c r="CO58" s="2">
        <v>91.2</v>
      </c>
      <c r="CP58" s="2">
        <v>91.45</v>
      </c>
      <c r="CQ58" s="2">
        <v>91.84999999999999</v>
      </c>
      <c r="CR58" s="2">
        <v>91.51000000000001</v>
      </c>
      <c r="CS58" s="2">
        <v>92</v>
      </c>
      <c r="CT58" s="2">
        <v>93.58</v>
      </c>
      <c r="CU58" s="2">
        <v>93.22</v>
      </c>
      <c r="CV58" s="2">
        <v>92.54000000000001</v>
      </c>
      <c r="CW58" s="2">
        <v>94.45</v>
      </c>
      <c r="CX58" s="2">
        <v>94.87</v>
      </c>
      <c r="CY58" s="2">
        <v>98.98</v>
      </c>
      <c r="CZ58" s="2">
        <v>100</v>
      </c>
      <c r="DA58" s="2">
        <v>101.09</v>
      </c>
      <c r="DB58" s="2">
        <v>101.66</v>
      </c>
      <c r="DC58" s="2">
        <v>102.16</v>
      </c>
      <c r="DD58" s="2">
        <v>101.99</v>
      </c>
      <c r="DE58" s="2">
        <v>100.35</v>
      </c>
      <c r="DF58" s="2">
        <v>102.06</v>
      </c>
      <c r="DG58" s="2">
        <v>101.64</v>
      </c>
      <c r="DH58" s="2">
        <v>101.26</v>
      </c>
      <c r="DI58" s="2">
        <v>101.6</v>
      </c>
      <c r="DJ58" s="2">
        <v>101.79</v>
      </c>
      <c r="GL58" s="2">
        <v>11.3</v>
      </c>
      <c r="GM58" s="2">
        <v>10.9</v>
      </c>
      <c r="GN58" s="2">
        <v>12.2</v>
      </c>
      <c r="GO58" s="2">
        <v>12.4</v>
      </c>
      <c r="GP58" s="2">
        <v>10.7</v>
      </c>
      <c r="GQ58" s="2">
        <v>10.3</v>
      </c>
      <c r="GR58" s="2">
        <v>10.8</v>
      </c>
      <c r="GS58" s="2">
        <v>11.2</v>
      </c>
      <c r="GT58" s="2">
        <v>11.2</v>
      </c>
      <c r="GU58" s="2">
        <v>11.5</v>
      </c>
      <c r="GV58" s="2">
        <v>9.1</v>
      </c>
      <c r="GW58" s="2">
        <v>9.1</v>
      </c>
      <c r="GX58" s="2">
        <v>9</v>
      </c>
      <c r="GY58" s="2">
        <v>9.4</v>
      </c>
      <c r="GZ58" s="2">
        <v>7.6</v>
      </c>
      <c r="HA58" s="2">
        <v>7.3</v>
      </c>
      <c r="KC58" s="2">
        <v>-0.4</v>
      </c>
      <c r="KD58" s="2">
        <v>0.9</v>
      </c>
      <c r="KE58" s="2">
        <v>0.3</v>
      </c>
      <c r="KF58" s="2">
        <v>5.9</v>
      </c>
      <c r="KG58" s="2">
        <v>1.5</v>
      </c>
      <c r="KH58" s="2">
        <v>0.6</v>
      </c>
      <c r="KI58" s="2">
        <v>0.3</v>
      </c>
      <c r="KJ58" s="2">
        <v>0.4</v>
      </c>
      <c r="KK58" s="2">
        <v>-0.4</v>
      </c>
      <c r="KL58" s="2">
        <v>0.5</v>
      </c>
      <c r="KM58" s="2">
        <v>1.7</v>
      </c>
      <c r="KN58" s="2">
        <v>-0.4</v>
      </c>
      <c r="KO58" s="2">
        <v>-0.7</v>
      </c>
      <c r="KP58" s="2">
        <v>2.1</v>
      </c>
      <c r="KQ58" s="2">
        <v>0.4</v>
      </c>
      <c r="KR58" s="2">
        <v>4.3</v>
      </c>
      <c r="KS58" s="2">
        <v>1</v>
      </c>
      <c r="KT58" s="2">
        <v>1.1</v>
      </c>
      <c r="KU58" s="2">
        <v>0.6</v>
      </c>
      <c r="KV58" s="2">
        <v>0.5</v>
      </c>
      <c r="KW58" s="2">
        <v>-0.2</v>
      </c>
      <c r="KX58" s="2">
        <v>-1.6</v>
      </c>
      <c r="KY58" s="2">
        <v>1.7</v>
      </c>
      <c r="KZ58" s="2">
        <v>-0.4</v>
      </c>
      <c r="LA58" s="2">
        <v>-0.4</v>
      </c>
      <c r="LB58" s="2">
        <v>0.3</v>
      </c>
      <c r="LC58" s="2">
        <v>0.2</v>
      </c>
      <c r="LD58" s="2">
        <v>0.75</v>
      </c>
      <c r="LE58" s="2">
        <v>0.74</v>
      </c>
      <c r="LF58" s="2">
        <v>0.75</v>
      </c>
      <c r="LG58" s="2">
        <v>0.76</v>
      </c>
      <c r="LH58" s="2">
        <v>0.76</v>
      </c>
      <c r="LI58" s="2">
        <v>0.75</v>
      </c>
      <c r="LJ58" s="2">
        <v>0.77</v>
      </c>
      <c r="LK58" s="2">
        <v>0.77</v>
      </c>
      <c r="LL58" s="2">
        <v>0.8</v>
      </c>
      <c r="LM58" s="2">
        <v>0.8100000000000001</v>
      </c>
      <c r="LN58" s="2">
        <v>0.82</v>
      </c>
      <c r="LO58" s="2">
        <v>0.83</v>
      </c>
      <c r="LP58" s="2">
        <v>0.83</v>
      </c>
      <c r="LQ58" s="2">
        <v>0.83</v>
      </c>
      <c r="LR58" s="2">
        <v>0.82</v>
      </c>
      <c r="LS58" s="2">
        <v>0.83</v>
      </c>
      <c r="LT58" s="2">
        <v>0.83</v>
      </c>
      <c r="LU58" s="2">
        <v>0.82</v>
      </c>
      <c r="LV58" s="2">
        <v>0.83</v>
      </c>
      <c r="LW58" s="2">
        <v>0.83</v>
      </c>
      <c r="LX58" s="2">
        <v>-0.01</v>
      </c>
      <c r="LY58" s="2">
        <v>0.01</v>
      </c>
      <c r="LZ58" s="2">
        <v>0.01</v>
      </c>
      <c r="MA58" s="2">
        <v>0</v>
      </c>
      <c r="MB58" s="2">
        <v>-0.01</v>
      </c>
      <c r="MC58" s="2">
        <v>0.02</v>
      </c>
      <c r="MD58" s="2">
        <v>0</v>
      </c>
      <c r="ME58" s="2">
        <v>0.03</v>
      </c>
      <c r="MF58" s="2">
        <v>0.01</v>
      </c>
      <c r="MG58" s="2">
        <v>0.01</v>
      </c>
      <c r="MH58" s="2">
        <v>0.01</v>
      </c>
      <c r="MI58" s="2">
        <v>0</v>
      </c>
      <c r="MJ58" s="2">
        <v>0</v>
      </c>
      <c r="MK58" s="2">
        <v>-0.01</v>
      </c>
      <c r="ML58" s="2">
        <v>0.01</v>
      </c>
      <c r="MM58" s="2">
        <v>0</v>
      </c>
      <c r="MN58" s="2">
        <v>-0.01</v>
      </c>
      <c r="MO58" s="2">
        <v>0.01</v>
      </c>
      <c r="MP58" s="2">
        <v>0</v>
      </c>
      <c r="RU58" s="2">
        <v>15.39</v>
      </c>
      <c r="RV58" s="2">
        <v>15.84</v>
      </c>
      <c r="RW58" s="2">
        <v>16.27</v>
      </c>
      <c r="RX58" s="2">
        <v>16.66</v>
      </c>
      <c r="RY58" s="2">
        <v>17.67</v>
      </c>
      <c r="RZ58" s="2">
        <v>18.02</v>
      </c>
      <c r="SA58" s="2">
        <v>18.71</v>
      </c>
      <c r="SB58" s="2">
        <v>19.07</v>
      </c>
      <c r="SC58" s="2">
        <v>19.91</v>
      </c>
      <c r="SD58" s="2">
        <v>20.27</v>
      </c>
      <c r="SE58" s="2">
        <v>20.33</v>
      </c>
      <c r="SF58" s="2">
        <v>19.75</v>
      </c>
      <c r="SG58" s="2">
        <v>20.24</v>
      </c>
      <c r="SH58" s="2">
        <v>20.4</v>
      </c>
      <c r="SI58" s="2">
        <v>20.66</v>
      </c>
      <c r="SJ58" s="2">
        <v>21.21</v>
      </c>
      <c r="SK58" s="2">
        <v>22.19</v>
      </c>
      <c r="SL58" s="2">
        <v>23.2</v>
      </c>
      <c r="SM58" s="2">
        <v>23.65</v>
      </c>
      <c r="SN58" s="2">
        <v>23.78</v>
      </c>
      <c r="SO58" s="2">
        <v>24.89</v>
      </c>
      <c r="SP58" s="2">
        <v>25.21</v>
      </c>
      <c r="SQ58" s="2">
        <v>25.93</v>
      </c>
      <c r="SR58" s="2">
        <v>26.09</v>
      </c>
      <c r="SS58" s="2">
        <v>27.52</v>
      </c>
      <c r="ST58" s="2">
        <v>28.08</v>
      </c>
      <c r="SU58" s="2">
        <v>28.44</v>
      </c>
      <c r="SV58" s="2">
        <v>28.83</v>
      </c>
      <c r="SW58" s="2">
        <v>29.96</v>
      </c>
      <c r="SX58" s="2">
        <v>30.29</v>
      </c>
      <c r="SY58" s="2">
        <v>31.4</v>
      </c>
      <c r="SZ58" s="2">
        <v>31.56</v>
      </c>
      <c r="TA58" s="2">
        <v>33.35</v>
      </c>
      <c r="TB58" s="2">
        <v>33.84</v>
      </c>
      <c r="TC58" s="2">
        <v>34.94</v>
      </c>
      <c r="TD58" s="2">
        <v>34.32</v>
      </c>
      <c r="TE58" s="2">
        <v>29.28</v>
      </c>
      <c r="TF58" s="2">
        <v>29.38</v>
      </c>
      <c r="TG58" s="2">
        <v>29.61</v>
      </c>
      <c r="TH58" s="2">
        <v>29.67</v>
      </c>
      <c r="TI58" s="2">
        <v>31.53</v>
      </c>
      <c r="TJ58" s="2">
        <v>31.53</v>
      </c>
      <c r="TK58" s="2">
        <v>31.72</v>
      </c>
      <c r="TL58" s="2">
        <v>31.72</v>
      </c>
      <c r="TM58" s="2">
        <v>34.19</v>
      </c>
      <c r="TN58" s="2">
        <v>34.58</v>
      </c>
      <c r="TO58" s="2">
        <v>34.49</v>
      </c>
      <c r="TP58" s="2">
        <v>34.58</v>
      </c>
      <c r="TQ58" s="2">
        <v>36.5</v>
      </c>
      <c r="TR58" s="2">
        <v>37.12</v>
      </c>
      <c r="TS58" s="2">
        <v>35.24</v>
      </c>
      <c r="TT58" s="2">
        <v>34.98</v>
      </c>
      <c r="TU58" s="2">
        <v>36.02</v>
      </c>
      <c r="TV58" s="2">
        <v>36.41</v>
      </c>
      <c r="TW58" s="2">
        <v>36.76</v>
      </c>
      <c r="TX58" s="2">
        <v>36.89</v>
      </c>
      <c r="TY58" s="2">
        <v>38.46</v>
      </c>
      <c r="TZ58" s="2">
        <v>38.78</v>
      </c>
      <c r="UA58" s="2">
        <v>38.88</v>
      </c>
      <c r="UB58" s="2">
        <v>38.94</v>
      </c>
      <c r="UC58" s="2">
        <v>39.6</v>
      </c>
      <c r="UD58" s="2">
        <v>40.99</v>
      </c>
      <c r="UE58" s="2">
        <v>41.84</v>
      </c>
      <c r="UF58" s="2">
        <v>42.3</v>
      </c>
      <c r="UG58" s="2">
        <v>43.27</v>
      </c>
      <c r="UH58" s="2">
        <v>44.02</v>
      </c>
      <c r="UI58" s="2">
        <v>45.16</v>
      </c>
      <c r="UJ58" s="2">
        <v>45.22</v>
      </c>
      <c r="UK58" s="2">
        <v>45.84</v>
      </c>
      <c r="UL58" s="2">
        <v>46.33</v>
      </c>
      <c r="UM58" s="2">
        <v>46.85</v>
      </c>
      <c r="UN58" s="2">
        <v>47.21</v>
      </c>
      <c r="UO58" s="2">
        <v>48.81</v>
      </c>
      <c r="UP58" s="2">
        <v>48.94</v>
      </c>
      <c r="UQ58" s="2">
        <v>41.55</v>
      </c>
      <c r="UR58" s="2">
        <v>42.54</v>
      </c>
      <c r="US58" s="2">
        <v>44.5</v>
      </c>
      <c r="UT58" s="2">
        <v>44.67</v>
      </c>
      <c r="UU58" s="2">
        <v>41.8</v>
      </c>
      <c r="UV58" s="2">
        <v>42.52</v>
      </c>
      <c r="UW58" s="2">
        <v>43.93</v>
      </c>
      <c r="UX58" s="2">
        <v>44.24</v>
      </c>
      <c r="UY58" s="2">
        <v>49.15</v>
      </c>
      <c r="UZ58" s="2">
        <v>50.02</v>
      </c>
      <c r="VA58" s="2">
        <v>51.2</v>
      </c>
      <c r="VB58" s="2">
        <v>51.54</v>
      </c>
      <c r="VC58" s="2">
        <v>55.28</v>
      </c>
      <c r="VD58" s="2">
        <v>55.29</v>
      </c>
      <c r="VE58" s="2">
        <v>57.7</v>
      </c>
      <c r="VF58" s="2">
        <v>58.3</v>
      </c>
      <c r="VG58" s="2">
        <v>60.96</v>
      </c>
      <c r="VH58" s="2">
        <v>62.52</v>
      </c>
      <c r="VI58" s="2">
        <v>64.64</v>
      </c>
      <c r="VJ58" s="2">
        <v>65.56999999999999</v>
      </c>
      <c r="VK58" s="2">
        <v>66.48999999999999</v>
      </c>
      <c r="VL58" s="2">
        <v>68.90000000000001</v>
      </c>
      <c r="VM58" s="2">
        <v>72.37</v>
      </c>
      <c r="VN58" s="2">
        <v>73.7</v>
      </c>
      <c r="VO58" s="2">
        <v>76.09</v>
      </c>
      <c r="VP58" s="2">
        <v>77.61</v>
      </c>
      <c r="VQ58" s="2">
        <v>81.77</v>
      </c>
      <c r="VR58" s="2">
        <v>83.16</v>
      </c>
      <c r="VS58" s="2">
        <v>55.39</v>
      </c>
      <c r="VT58" s="2">
        <v>56.06</v>
      </c>
      <c r="VU58" s="2">
        <v>58.6</v>
      </c>
      <c r="VV58" s="2">
        <v>59.31</v>
      </c>
      <c r="VW58" s="2">
        <v>45.73</v>
      </c>
      <c r="VX58" s="2">
        <v>46.36</v>
      </c>
      <c r="VY58" s="2">
        <v>47.76</v>
      </c>
      <c r="VZ58" s="2">
        <v>48.22</v>
      </c>
      <c r="WA58" s="2">
        <v>48.64</v>
      </c>
      <c r="WB58" s="2">
        <v>49.24</v>
      </c>
      <c r="WC58" s="2">
        <v>50.76</v>
      </c>
      <c r="WD58" s="2">
        <v>50.89</v>
      </c>
      <c r="WE58" s="2">
        <v>52.12</v>
      </c>
      <c r="WF58" s="2">
        <v>52.72</v>
      </c>
      <c r="WG58" s="2">
        <v>54.23</v>
      </c>
      <c r="WH58" s="2">
        <v>54.71</v>
      </c>
      <c r="WI58" s="2">
        <v>55.74</v>
      </c>
      <c r="WJ58" s="2">
        <v>57.17</v>
      </c>
      <c r="WK58" s="2">
        <v>59.47</v>
      </c>
      <c r="WL58" s="2">
        <v>60.09</v>
      </c>
      <c r="WM58" s="2">
        <v>61.32</v>
      </c>
      <c r="WN58" s="2">
        <v>62.1</v>
      </c>
      <c r="WO58" s="2">
        <v>64.16</v>
      </c>
      <c r="WP58" s="2">
        <v>64.48</v>
      </c>
      <c r="WQ58" s="2">
        <v>66.7</v>
      </c>
      <c r="WR58" s="2">
        <v>67.06999999999999</v>
      </c>
      <c r="WS58" s="2">
        <v>68.86</v>
      </c>
      <c r="WT58" s="2">
        <v>69.40000000000001</v>
      </c>
      <c r="WU58" s="2">
        <v>71.55</v>
      </c>
      <c r="WV58" s="2">
        <v>72.51000000000001</v>
      </c>
      <c r="WW58" s="2">
        <v>74.73999999999999</v>
      </c>
      <c r="WX58" s="2">
        <v>75.28</v>
      </c>
      <c r="WY58" s="2">
        <v>78.29000000000001</v>
      </c>
      <c r="WZ58" s="2">
        <v>78.47</v>
      </c>
      <c r="XA58" s="2">
        <v>80.98</v>
      </c>
      <c r="XB58" s="2">
        <v>81.62</v>
      </c>
      <c r="XC58" s="2">
        <v>84.48999999999999</v>
      </c>
      <c r="XD58" s="2">
        <v>84.86</v>
      </c>
      <c r="XE58" s="2">
        <v>85.84999999999999</v>
      </c>
      <c r="XF58" s="2">
        <v>86.59999999999999</v>
      </c>
      <c r="XG58" s="2">
        <v>88.52</v>
      </c>
      <c r="XH58" s="2">
        <v>89.45</v>
      </c>
      <c r="XI58" s="2">
        <v>90.89</v>
      </c>
      <c r="XJ58" s="2">
        <v>91.76000000000001</v>
      </c>
      <c r="XK58" s="2">
        <v>80.98</v>
      </c>
      <c r="XL58" s="2">
        <v>82.08</v>
      </c>
      <c r="XM58" s="2">
        <v>83.61</v>
      </c>
      <c r="XN58" s="2">
        <v>84.51000000000001</v>
      </c>
      <c r="XO58" s="2">
        <v>86.58</v>
      </c>
      <c r="XP58" s="2">
        <v>87.94</v>
      </c>
      <c r="XQ58" s="2">
        <v>88.79000000000001</v>
      </c>
      <c r="XR58" s="2">
        <v>4.44</v>
      </c>
      <c r="XS58" s="2">
        <v>65.45999999999999</v>
      </c>
      <c r="XT58" s="2">
        <v>90.08</v>
      </c>
      <c r="XU58" s="2">
        <v>92.04000000000001</v>
      </c>
      <c r="XV58" s="2">
        <v>93.17</v>
      </c>
      <c r="XW58" s="2">
        <v>95.16</v>
      </c>
      <c r="XX58" s="2">
        <v>95.94</v>
      </c>
      <c r="XY58" s="2">
        <v>95.92</v>
      </c>
      <c r="XZ58" s="2">
        <v>88.92</v>
      </c>
      <c r="YA58" s="2">
        <v>89.94</v>
      </c>
      <c r="YB58" s="2">
        <v>94.04000000000001</v>
      </c>
      <c r="YC58" s="2">
        <v>95.93000000000001</v>
      </c>
      <c r="YD58" s="2">
        <v>97.34</v>
      </c>
      <c r="YE58" s="2">
        <v>84.53</v>
      </c>
      <c r="YF58" s="2">
        <v>87.23999999999999</v>
      </c>
      <c r="YG58" s="2">
        <v>90.58</v>
      </c>
      <c r="YH58" s="2">
        <v>91.81999999999999</v>
      </c>
      <c r="YI58" s="2">
        <v>94.7</v>
      </c>
      <c r="YJ58" s="2">
        <v>90.81999999999999</v>
      </c>
      <c r="YK58" s="2">
        <v>93.05</v>
      </c>
      <c r="YL58" s="2">
        <v>94.18000000000001</v>
      </c>
      <c r="YM58" s="2">
        <v>97.95</v>
      </c>
      <c r="YN58" s="2">
        <v>101.64</v>
      </c>
      <c r="YO58" s="2">
        <v>101.47</v>
      </c>
      <c r="YP58" s="2">
        <v>101.5</v>
      </c>
      <c r="ADU58" s="2">
        <v>2.9</v>
      </c>
      <c r="ADV58" s="2">
        <v>2.7</v>
      </c>
      <c r="ADW58" s="2">
        <v>2.4</v>
      </c>
      <c r="ADX58" s="2">
        <v>6.1</v>
      </c>
      <c r="ADY58" s="2">
        <v>2</v>
      </c>
      <c r="ADZ58" s="2">
        <v>3.8</v>
      </c>
      <c r="AEA58" s="2">
        <v>1.9</v>
      </c>
      <c r="AEB58" s="2">
        <v>4.4</v>
      </c>
      <c r="AEC58" s="2">
        <v>1.8</v>
      </c>
      <c r="AED58" s="2">
        <v>0.3</v>
      </c>
      <c r="AEE58" s="2">
        <v>-2.9</v>
      </c>
      <c r="AEF58" s="2">
        <v>2.5</v>
      </c>
      <c r="AEG58" s="2">
        <v>0.8</v>
      </c>
      <c r="AEH58" s="2">
        <v>1.3</v>
      </c>
      <c r="AEI58" s="2">
        <v>2.7</v>
      </c>
      <c r="AEJ58" s="2">
        <v>4.6</v>
      </c>
      <c r="AEK58" s="2">
        <v>4.6</v>
      </c>
      <c r="AEL58" s="2">
        <v>1.9</v>
      </c>
      <c r="AEM58" s="2">
        <v>0.5</v>
      </c>
      <c r="AEN58" s="2">
        <v>4.7</v>
      </c>
      <c r="AEO58" s="2">
        <v>1.3</v>
      </c>
      <c r="AEP58" s="2">
        <v>2.9</v>
      </c>
      <c r="AEQ58" s="2">
        <v>0.6</v>
      </c>
      <c r="AER58" s="2">
        <v>5.5</v>
      </c>
      <c r="AES58" s="2">
        <v>2</v>
      </c>
      <c r="AET58" s="2">
        <v>1.3</v>
      </c>
      <c r="AEU58" s="2">
        <v>1.4</v>
      </c>
      <c r="AEV58" s="2">
        <v>3.9</v>
      </c>
      <c r="AEW58" s="2">
        <v>1.1</v>
      </c>
      <c r="AEX58" s="2">
        <v>3.7</v>
      </c>
      <c r="AEY58" s="2">
        <v>0.5</v>
      </c>
      <c r="AEZ58" s="2">
        <v>5.7</v>
      </c>
      <c r="AFA58" s="2">
        <v>1.5</v>
      </c>
      <c r="AFB58" s="2">
        <v>3.3</v>
      </c>
      <c r="AFC58" s="2">
        <v>-1.8</v>
      </c>
      <c r="AFD58" s="2">
        <v>-14.7</v>
      </c>
      <c r="AFE58" s="2">
        <v>0.3</v>
      </c>
      <c r="AFF58" s="2">
        <v>0.8</v>
      </c>
      <c r="AFG58" s="2">
        <v>0.2</v>
      </c>
      <c r="AFH58" s="2">
        <v>6.3</v>
      </c>
      <c r="AFI58" s="2">
        <v>0</v>
      </c>
      <c r="AFJ58" s="2">
        <v>0.6</v>
      </c>
      <c r="AFK58" s="2">
        <v>0</v>
      </c>
      <c r="AFL58" s="2">
        <v>7.8</v>
      </c>
      <c r="AFM58" s="2">
        <v>1.1</v>
      </c>
      <c r="AFN58" s="2">
        <v>-0.3</v>
      </c>
      <c r="AFO58" s="2">
        <v>0.3</v>
      </c>
      <c r="AFP58" s="2">
        <v>5.6</v>
      </c>
      <c r="AFQ58" s="2">
        <v>1.7</v>
      </c>
      <c r="AFR58" s="2">
        <v>-5.1</v>
      </c>
      <c r="AFS58" s="2">
        <v>-0.7</v>
      </c>
      <c r="AFT58" s="2">
        <v>3</v>
      </c>
      <c r="AFU58" s="2">
        <v>1.1</v>
      </c>
      <c r="AFV58" s="2">
        <v>1</v>
      </c>
      <c r="AFW58" s="2">
        <v>0.4</v>
      </c>
      <c r="AFX58" s="2">
        <v>4.3</v>
      </c>
      <c r="AFY58" s="2">
        <v>0.8</v>
      </c>
      <c r="AFZ58" s="2">
        <v>0.3</v>
      </c>
      <c r="AGA58" s="2">
        <v>0.2</v>
      </c>
      <c r="AGB58" s="2">
        <v>1.7</v>
      </c>
      <c r="AGC58" s="2">
        <v>3.5</v>
      </c>
      <c r="AGD58" s="2">
        <v>2.1</v>
      </c>
      <c r="AGE58" s="2">
        <v>1.1</v>
      </c>
      <c r="AGF58" s="2">
        <v>2.3</v>
      </c>
      <c r="AGG58" s="2">
        <v>1.7</v>
      </c>
      <c r="AGH58" s="2">
        <v>2.6</v>
      </c>
      <c r="AGI58" s="2">
        <v>0.1</v>
      </c>
      <c r="AGJ58" s="2">
        <v>1.4</v>
      </c>
      <c r="AGK58" s="2">
        <v>1.1</v>
      </c>
      <c r="AGL58" s="2">
        <v>1.1</v>
      </c>
      <c r="AGM58" s="2">
        <v>0.8</v>
      </c>
      <c r="AGN58" s="2">
        <v>3.4</v>
      </c>
      <c r="AGO58" s="2">
        <v>0.3</v>
      </c>
      <c r="AGP58" s="2">
        <v>-15.1</v>
      </c>
      <c r="AGQ58" s="2">
        <v>2.4</v>
      </c>
      <c r="AGR58" s="2">
        <v>4.6</v>
      </c>
      <c r="AGS58" s="2">
        <v>0.4</v>
      </c>
      <c r="AGT58" s="2">
        <v>-6.4</v>
      </c>
      <c r="AGU58" s="2">
        <v>1.7</v>
      </c>
      <c r="AGV58" s="2">
        <v>3.3</v>
      </c>
      <c r="AGW58" s="2">
        <v>0.7</v>
      </c>
      <c r="AGX58" s="2">
        <v>11.1</v>
      </c>
      <c r="AGY58" s="2">
        <v>1.8</v>
      </c>
      <c r="AGZ58" s="2">
        <v>2.4</v>
      </c>
      <c r="AHA58" s="2">
        <v>0.7</v>
      </c>
      <c r="AHB58" s="2">
        <v>7.3</v>
      </c>
      <c r="AHC58" s="2">
        <v>0</v>
      </c>
      <c r="AHD58" s="2">
        <v>4.4</v>
      </c>
      <c r="AHE58" s="2">
        <v>1</v>
      </c>
      <c r="AHF58" s="2">
        <v>4.6</v>
      </c>
      <c r="AHG58" s="2">
        <v>2.6</v>
      </c>
      <c r="AHH58" s="2">
        <v>3.4</v>
      </c>
      <c r="AHI58" s="2">
        <v>1.4</v>
      </c>
      <c r="AHJ58" s="2">
        <v>1.4</v>
      </c>
      <c r="AHK58" s="2">
        <v>3.6</v>
      </c>
      <c r="AHL58" s="2">
        <v>5</v>
      </c>
      <c r="AHM58" s="2">
        <v>1.8</v>
      </c>
      <c r="AHN58" s="2">
        <v>3.2</v>
      </c>
      <c r="AHO58" s="2">
        <v>2</v>
      </c>
      <c r="AHP58" s="2">
        <v>5.4</v>
      </c>
      <c r="AHQ58" s="2">
        <v>1.7</v>
      </c>
      <c r="AHR58" s="2">
        <v>-33.4</v>
      </c>
      <c r="AHS58" s="2">
        <v>1.2</v>
      </c>
      <c r="AHT58" s="2">
        <v>4.5</v>
      </c>
      <c r="AHU58" s="2">
        <v>1.2</v>
      </c>
      <c r="AHV58" s="2">
        <v>-22.9</v>
      </c>
      <c r="AHW58" s="2">
        <v>1.4</v>
      </c>
      <c r="AHX58" s="2">
        <v>3</v>
      </c>
      <c r="AHY58" s="2">
        <v>1</v>
      </c>
      <c r="AHZ58" s="2">
        <v>0.9</v>
      </c>
      <c r="AIA58" s="2">
        <v>1.2</v>
      </c>
      <c r="AIB58" s="2">
        <v>3.1</v>
      </c>
      <c r="AIC58" s="2">
        <v>0.3</v>
      </c>
      <c r="AID58" s="2">
        <v>2.4</v>
      </c>
      <c r="AIE58" s="2">
        <v>1.2</v>
      </c>
      <c r="AIF58" s="2">
        <v>2.9</v>
      </c>
      <c r="AIG58" s="2">
        <v>0.9</v>
      </c>
      <c r="AIH58" s="2">
        <v>1.9</v>
      </c>
      <c r="AII58" s="2">
        <v>2.6</v>
      </c>
      <c r="AIJ58" s="2">
        <v>4</v>
      </c>
      <c r="AIK58" s="2">
        <v>1</v>
      </c>
      <c r="AIL58" s="2">
        <v>2</v>
      </c>
      <c r="AIM58" s="2">
        <v>1.3</v>
      </c>
      <c r="AIN58" s="2">
        <v>3.3</v>
      </c>
      <c r="AIO58" s="2">
        <v>0.5</v>
      </c>
      <c r="AIP58" s="2">
        <v>3.4</v>
      </c>
      <c r="AIQ58" s="2">
        <v>0.6</v>
      </c>
      <c r="AIR58" s="2">
        <v>2.7</v>
      </c>
      <c r="AIS58" s="2">
        <v>0.8</v>
      </c>
      <c r="AIT58" s="2">
        <v>3.1</v>
      </c>
      <c r="AIU58" s="2">
        <v>1.3</v>
      </c>
      <c r="AIV58" s="2">
        <v>3.1</v>
      </c>
      <c r="AIW58" s="2">
        <v>0.7</v>
      </c>
      <c r="AIX58" s="2">
        <v>4</v>
      </c>
      <c r="AIY58" s="2">
        <v>0.2</v>
      </c>
      <c r="AIZ58" s="2">
        <v>3.2</v>
      </c>
      <c r="AJA58" s="2">
        <v>0.8</v>
      </c>
      <c r="AJB58" s="2">
        <v>3.5</v>
      </c>
      <c r="AJC58" s="2">
        <v>0.4</v>
      </c>
      <c r="AJD58" s="2">
        <v>1.2</v>
      </c>
      <c r="AJE58" s="2">
        <v>0.9</v>
      </c>
      <c r="AJF58" s="2">
        <v>2.2</v>
      </c>
      <c r="AJG58" s="2">
        <v>1.1</v>
      </c>
      <c r="AJH58" s="2">
        <v>1.6</v>
      </c>
      <c r="AJI58" s="2">
        <v>1</v>
      </c>
      <c r="AJJ58" s="2">
        <v>-11.7</v>
      </c>
      <c r="AJK58" s="2">
        <v>1.4</v>
      </c>
      <c r="AJL58" s="2">
        <v>1.9</v>
      </c>
      <c r="AJM58" s="2">
        <v>1.1</v>
      </c>
      <c r="AJN58" s="2">
        <v>2.4</v>
      </c>
      <c r="AJO58" s="2">
        <v>1.6</v>
      </c>
      <c r="AJP58" s="2">
        <v>1</v>
      </c>
      <c r="AJQ58" s="2">
        <v>-95</v>
      </c>
      <c r="AJR58" s="2">
        <v>1374.3</v>
      </c>
      <c r="AJS58" s="2">
        <v>37.6</v>
      </c>
      <c r="AJT58" s="2">
        <v>2.2</v>
      </c>
      <c r="AJU58" s="2">
        <v>1.2</v>
      </c>
      <c r="AJV58" s="2">
        <v>2.1</v>
      </c>
      <c r="AJW58" s="2">
        <v>0.8</v>
      </c>
      <c r="AJX58" s="2">
        <v>0</v>
      </c>
      <c r="AJY58" s="2">
        <v>-7.3</v>
      </c>
      <c r="AJZ58" s="2">
        <v>1.1</v>
      </c>
      <c r="AKA58" s="2">
        <v>4.6</v>
      </c>
      <c r="AKB58" s="2">
        <v>2</v>
      </c>
      <c r="AKC58" s="2">
        <v>1.5</v>
      </c>
      <c r="AKD58" s="2">
        <v>-13.2</v>
      </c>
      <c r="AKE58" s="2">
        <v>3.2</v>
      </c>
      <c r="AKF58" s="2">
        <v>3.8</v>
      </c>
      <c r="AKG58" s="2">
        <v>1.4</v>
      </c>
      <c r="AKH58" s="2">
        <v>3.1</v>
      </c>
      <c r="AKI58" s="2">
        <v>-4.1</v>
      </c>
      <c r="AKJ58" s="2">
        <v>2.5</v>
      </c>
      <c r="AKK58" s="2">
        <v>1.2</v>
      </c>
      <c r="AKL58" s="2">
        <v>4</v>
      </c>
      <c r="AKM58" s="2">
        <v>3.8</v>
      </c>
      <c r="AKN58" s="2">
        <v>-0.2</v>
      </c>
      <c r="AKO58" s="2">
        <v>0</v>
      </c>
      <c r="AKP58" s="2">
        <v>0.83</v>
      </c>
      <c r="AKQ58" s="2">
        <v>0.83</v>
      </c>
      <c r="AKR58" s="2">
        <v>0.83</v>
      </c>
    </row>
    <row r="59">
      <c r="A59" t="inlineStr">
        <is>
          <t>Hairdressing and personal grooming services</t>
        </is>
      </c>
      <c r="B59" t="inlineStr">
        <is>
          <t>Domestic and household services</t>
        </is>
      </c>
      <c r="C59">
        <v>3</v>
      </c>
      <c r="D59">
        <v>1.05</v>
      </c>
      <c r="E59" s="3">
        <f>D59/2.5300000000000002*0.025332065906210392</f>
        <v>0.010513307984790873</v>
      </c>
      <c r="F59" s="3">
        <f>E59-D59/100</f>
        <v>1.330798479087271e-05</v>
      </c>
      <c r="G59" s="3">
        <f>D59/2.5300000000000002</f>
        <v>0.4150197628458498</v>
      </c>
      <c r="CI59" s="2">
        <v>95.16</v>
      </c>
      <c r="CJ59" s="2">
        <v>95.59</v>
      </c>
      <c r="CK59" s="2">
        <v>95.97</v>
      </c>
      <c r="CL59" s="2">
        <v>96.59999999999999</v>
      </c>
      <c r="CM59" s="2">
        <v>97.09999999999999</v>
      </c>
      <c r="CN59" s="2">
        <v>97.51000000000001</v>
      </c>
      <c r="CO59" s="2">
        <v>97.67</v>
      </c>
      <c r="CP59" s="2">
        <v>98.02</v>
      </c>
      <c r="CQ59" s="2">
        <v>98.17</v>
      </c>
      <c r="CR59" s="2">
        <v>98.3</v>
      </c>
      <c r="CS59" s="2">
        <v>98.27</v>
      </c>
      <c r="CT59" s="2">
        <v>98.40000000000001</v>
      </c>
      <c r="CU59" s="2">
        <v>98.45</v>
      </c>
      <c r="CV59" s="2">
        <v>98.72</v>
      </c>
      <c r="CW59" s="2">
        <v>98.73</v>
      </c>
      <c r="CX59" s="2">
        <v>99.17</v>
      </c>
      <c r="CY59" s="2">
        <v>99.45</v>
      </c>
      <c r="CZ59" s="2">
        <v>100</v>
      </c>
      <c r="DA59" s="2">
        <v>100.32</v>
      </c>
      <c r="DB59" s="2">
        <v>100.77</v>
      </c>
      <c r="DC59" s="2">
        <v>101.28</v>
      </c>
      <c r="DD59" s="2">
        <v>101.47</v>
      </c>
      <c r="DE59" s="2">
        <v>101.74</v>
      </c>
      <c r="DF59" s="2">
        <v>102.27</v>
      </c>
      <c r="DG59" s="2">
        <v>102.3</v>
      </c>
      <c r="DH59" s="2">
        <v>102.46</v>
      </c>
      <c r="DI59" s="2">
        <v>102.88</v>
      </c>
      <c r="DJ59" s="2">
        <v>103.54</v>
      </c>
      <c r="GL59" s="2">
        <v>3.5</v>
      </c>
      <c r="GM59" s="2">
        <v>3.3</v>
      </c>
      <c r="GN59" s="2">
        <v>2.9</v>
      </c>
      <c r="GO59" s="2">
        <v>2.7</v>
      </c>
      <c r="GP59" s="2">
        <v>2.4</v>
      </c>
      <c r="GQ59" s="2">
        <v>2.6</v>
      </c>
      <c r="GR59" s="2">
        <v>2.7</v>
      </c>
      <c r="GS59" s="2">
        <v>2.8</v>
      </c>
      <c r="GT59" s="2">
        <v>3.2</v>
      </c>
      <c r="GU59" s="2">
        <v>3.2</v>
      </c>
      <c r="GV59" s="2">
        <v>3.5</v>
      </c>
      <c r="GW59" s="2">
        <v>3.9</v>
      </c>
      <c r="GX59" s="2">
        <v>3.9</v>
      </c>
      <c r="GY59" s="2">
        <v>3.8</v>
      </c>
      <c r="GZ59" s="2">
        <v>4.2</v>
      </c>
      <c r="HA59" s="2">
        <v>4.4</v>
      </c>
      <c r="KC59" s="2">
        <v>0.5</v>
      </c>
      <c r="KD59" s="2">
        <v>0.4</v>
      </c>
      <c r="KE59" s="2">
        <v>0.7</v>
      </c>
      <c r="KF59" s="2">
        <v>0.5</v>
      </c>
      <c r="KG59" s="2">
        <v>0.4</v>
      </c>
      <c r="KH59" s="2">
        <v>0.2</v>
      </c>
      <c r="KI59" s="2">
        <v>0.4</v>
      </c>
      <c r="KJ59" s="2">
        <v>0.2</v>
      </c>
      <c r="KK59" s="2">
        <v>0.1</v>
      </c>
      <c r="KL59" s="2">
        <v>0</v>
      </c>
      <c r="KM59" s="2">
        <v>0.1</v>
      </c>
      <c r="KN59" s="2">
        <v>0.1</v>
      </c>
      <c r="KO59" s="2">
        <v>0.3</v>
      </c>
      <c r="KP59" s="2">
        <v>0</v>
      </c>
      <c r="KQ59" s="2">
        <v>0.4</v>
      </c>
      <c r="KR59" s="2">
        <v>0.3</v>
      </c>
      <c r="KS59" s="2">
        <v>0.6</v>
      </c>
      <c r="KT59" s="2">
        <v>0.3</v>
      </c>
      <c r="KU59" s="2">
        <v>0.4</v>
      </c>
      <c r="KV59" s="2">
        <v>0.5</v>
      </c>
      <c r="KW59" s="2">
        <v>0.2</v>
      </c>
      <c r="KX59" s="2">
        <v>0.3</v>
      </c>
      <c r="KY59" s="2">
        <v>0.5</v>
      </c>
      <c r="KZ59" s="2">
        <v>0</v>
      </c>
      <c r="LA59" s="2">
        <v>0.2</v>
      </c>
      <c r="LB59" s="2">
        <v>0.4</v>
      </c>
      <c r="LC59" s="2">
        <v>0.6</v>
      </c>
      <c r="LD59" s="2">
        <v>1.02</v>
      </c>
      <c r="LE59" s="2">
        <v>1.02</v>
      </c>
      <c r="LF59" s="2">
        <v>1.02</v>
      </c>
      <c r="LG59" s="2">
        <v>1.02</v>
      </c>
      <c r="LH59" s="2">
        <v>1.02</v>
      </c>
      <c r="LI59" s="2">
        <v>1.03</v>
      </c>
      <c r="LJ59" s="2">
        <v>1.03</v>
      </c>
      <c r="LK59" s="2">
        <v>1.03</v>
      </c>
      <c r="LL59" s="2">
        <v>1.03</v>
      </c>
      <c r="LM59" s="2">
        <v>1.04</v>
      </c>
      <c r="LN59" s="2">
        <v>1.04</v>
      </c>
      <c r="LO59" s="2">
        <v>1.05</v>
      </c>
      <c r="LP59" s="2">
        <v>1.05</v>
      </c>
      <c r="LQ59" s="2">
        <v>1.05</v>
      </c>
      <c r="LR59" s="2">
        <v>1.06</v>
      </c>
      <c r="LS59" s="2">
        <v>1.06</v>
      </c>
      <c r="LT59" s="2">
        <v>1.06</v>
      </c>
      <c r="LU59" s="2">
        <v>1.06</v>
      </c>
      <c r="LV59" s="2">
        <v>1.07</v>
      </c>
      <c r="LW59" s="2">
        <v>1.08</v>
      </c>
      <c r="LX59" s="2">
        <v>0</v>
      </c>
      <c r="LY59" s="2">
        <v>0</v>
      </c>
      <c r="LZ59" s="2">
        <v>0</v>
      </c>
      <c r="MA59" s="2">
        <v>0</v>
      </c>
      <c r="MB59" s="2">
        <v>0.01</v>
      </c>
      <c r="MC59" s="2">
        <v>0</v>
      </c>
      <c r="MD59" s="2">
        <v>0</v>
      </c>
      <c r="ME59" s="2">
        <v>0</v>
      </c>
      <c r="MF59" s="2">
        <v>0.01</v>
      </c>
      <c r="MG59" s="2">
        <v>0</v>
      </c>
      <c r="MH59" s="2">
        <v>0.01</v>
      </c>
      <c r="MI59" s="2">
        <v>0</v>
      </c>
      <c r="MJ59" s="2">
        <v>0</v>
      </c>
      <c r="MK59" s="2">
        <v>0.01</v>
      </c>
      <c r="ML59" s="2">
        <v>0</v>
      </c>
      <c r="MM59" s="2">
        <v>0</v>
      </c>
      <c r="MN59" s="2">
        <v>0</v>
      </c>
      <c r="MO59" s="2">
        <v>0.01</v>
      </c>
      <c r="MP59" s="2">
        <v>0.01</v>
      </c>
      <c r="QI59" s="2">
        <v>3.92</v>
      </c>
      <c r="QJ59" s="2">
        <v>4.07</v>
      </c>
      <c r="QK59" s="2">
        <v>4.19</v>
      </c>
      <c r="QL59" s="2">
        <v>4.22</v>
      </c>
      <c r="QM59" s="2">
        <v>4.64</v>
      </c>
      <c r="QN59" s="2">
        <v>4.82</v>
      </c>
      <c r="QO59" s="2">
        <v>5.12</v>
      </c>
      <c r="QP59" s="2">
        <v>5.21</v>
      </c>
      <c r="QQ59" s="2">
        <v>6.18</v>
      </c>
      <c r="QR59" s="2">
        <v>6.54</v>
      </c>
      <c r="QS59" s="2">
        <v>7.02</v>
      </c>
      <c r="QT59" s="2">
        <v>7.14</v>
      </c>
      <c r="QU59" s="2">
        <v>7.77</v>
      </c>
      <c r="QV59" s="2">
        <v>8.1</v>
      </c>
      <c r="QW59" s="2">
        <v>8.220000000000001</v>
      </c>
      <c r="QX59" s="2">
        <v>8.949999999999999</v>
      </c>
      <c r="QY59" s="2">
        <v>9.31</v>
      </c>
      <c r="QZ59" s="2">
        <v>9.609999999999999</v>
      </c>
      <c r="RA59" s="2">
        <v>10.06</v>
      </c>
      <c r="RB59" s="2">
        <v>10.45</v>
      </c>
      <c r="RC59" s="2">
        <v>10.84</v>
      </c>
      <c r="RD59" s="2">
        <v>11.15</v>
      </c>
      <c r="RE59" s="2">
        <v>11.54</v>
      </c>
      <c r="RF59" s="2">
        <v>11.78</v>
      </c>
      <c r="RG59" s="2">
        <v>12.14</v>
      </c>
      <c r="RH59" s="2">
        <v>12.5</v>
      </c>
      <c r="RI59" s="2">
        <v>12.89</v>
      </c>
      <c r="RJ59" s="2">
        <v>13.22</v>
      </c>
      <c r="RK59" s="2">
        <v>13.47</v>
      </c>
      <c r="RL59" s="2">
        <v>13.71</v>
      </c>
      <c r="RM59" s="2">
        <v>13.89</v>
      </c>
      <c r="RN59" s="2">
        <v>14.31</v>
      </c>
      <c r="RO59" s="2">
        <v>14.49</v>
      </c>
      <c r="RP59" s="2">
        <v>14.94</v>
      </c>
      <c r="RQ59" s="2">
        <v>15.33</v>
      </c>
      <c r="RR59" s="2">
        <v>15.66</v>
      </c>
      <c r="RS59" s="2">
        <v>15.97</v>
      </c>
      <c r="RT59" s="2">
        <v>16.48</v>
      </c>
      <c r="RU59" s="2">
        <v>16.75</v>
      </c>
      <c r="RV59" s="2">
        <v>17.29</v>
      </c>
      <c r="RW59" s="2">
        <v>18.31</v>
      </c>
      <c r="RX59" s="2">
        <v>18.53</v>
      </c>
      <c r="RY59" s="2">
        <v>18.89</v>
      </c>
      <c r="RZ59" s="2">
        <v>19.07</v>
      </c>
      <c r="SA59" s="2">
        <v>19.64</v>
      </c>
      <c r="SB59" s="2">
        <v>20.42</v>
      </c>
      <c r="SC59" s="2">
        <v>20.63</v>
      </c>
      <c r="SD59" s="2">
        <v>20.6</v>
      </c>
      <c r="SE59" s="2">
        <v>21</v>
      </c>
      <c r="SF59" s="2">
        <v>21.48</v>
      </c>
      <c r="SG59" s="2">
        <v>21.78</v>
      </c>
      <c r="SH59" s="2">
        <v>22.17</v>
      </c>
      <c r="SI59" s="2">
        <v>22.53</v>
      </c>
      <c r="SJ59" s="2">
        <v>22.89</v>
      </c>
      <c r="SK59" s="2">
        <v>23.26</v>
      </c>
      <c r="SL59" s="2">
        <v>23.53</v>
      </c>
      <c r="SM59" s="2">
        <v>24.04</v>
      </c>
      <c r="SN59" s="2">
        <v>24.46</v>
      </c>
      <c r="SO59" s="2">
        <v>24.67</v>
      </c>
      <c r="SP59" s="2">
        <v>25.3</v>
      </c>
      <c r="SQ59" s="2">
        <v>25.82</v>
      </c>
      <c r="SR59" s="2">
        <v>26.09</v>
      </c>
      <c r="SS59" s="2">
        <v>26.54</v>
      </c>
      <c r="ST59" s="2">
        <v>26.96</v>
      </c>
      <c r="SU59" s="2">
        <v>27.29</v>
      </c>
      <c r="SV59" s="2">
        <v>27.8</v>
      </c>
      <c r="SW59" s="2">
        <v>28.23</v>
      </c>
      <c r="SX59" s="2">
        <v>28.53</v>
      </c>
      <c r="SY59" s="2">
        <v>29.16</v>
      </c>
      <c r="SZ59" s="2">
        <v>29.7</v>
      </c>
      <c r="TA59" s="2">
        <v>30.42</v>
      </c>
      <c r="TB59" s="2">
        <v>31.18</v>
      </c>
      <c r="TC59" s="2">
        <v>31.48</v>
      </c>
      <c r="TD59" s="2">
        <v>31.87</v>
      </c>
      <c r="TE59" s="2">
        <v>32.29</v>
      </c>
      <c r="TF59" s="2">
        <v>32.77</v>
      </c>
      <c r="TG59" s="2">
        <v>32.77</v>
      </c>
      <c r="TH59" s="2">
        <v>33.11</v>
      </c>
      <c r="TI59" s="2">
        <v>33.38</v>
      </c>
      <c r="TJ59" s="2">
        <v>33.62</v>
      </c>
      <c r="TK59" s="2">
        <v>33.23</v>
      </c>
      <c r="TL59" s="2">
        <v>33.71</v>
      </c>
      <c r="TM59" s="2">
        <v>33.65</v>
      </c>
      <c r="TN59" s="2">
        <v>33.8</v>
      </c>
      <c r="TO59" s="2">
        <v>34.1</v>
      </c>
      <c r="TP59" s="2">
        <v>34.13</v>
      </c>
      <c r="TQ59" s="2">
        <v>34.25</v>
      </c>
      <c r="TR59" s="2">
        <v>34.64</v>
      </c>
      <c r="TS59" s="2">
        <v>34.82</v>
      </c>
      <c r="TT59" s="2">
        <v>35.36</v>
      </c>
      <c r="TU59" s="2">
        <v>35.7</v>
      </c>
      <c r="TV59" s="2">
        <v>36.03</v>
      </c>
      <c r="TW59" s="2">
        <v>36.15</v>
      </c>
      <c r="TX59" s="2">
        <v>36.3</v>
      </c>
      <c r="TY59" s="2">
        <v>36.93</v>
      </c>
      <c r="TZ59" s="2">
        <v>36.96</v>
      </c>
      <c r="UA59" s="2">
        <v>37.11</v>
      </c>
      <c r="UB59" s="2">
        <v>37.44</v>
      </c>
      <c r="UC59" s="2">
        <v>37.74</v>
      </c>
      <c r="UD59" s="2">
        <v>38.56</v>
      </c>
      <c r="UE59" s="2">
        <v>38.59</v>
      </c>
      <c r="UF59" s="2">
        <v>39.1</v>
      </c>
      <c r="UG59" s="2">
        <v>39.37</v>
      </c>
      <c r="UH59" s="2">
        <v>39.52</v>
      </c>
      <c r="UI59" s="2">
        <v>39.82</v>
      </c>
      <c r="UJ59" s="2">
        <v>40.11</v>
      </c>
      <c r="UK59" s="2">
        <v>40.46</v>
      </c>
      <c r="UL59" s="2">
        <v>40.7</v>
      </c>
      <c r="UM59" s="2">
        <v>41.29</v>
      </c>
      <c r="UN59" s="2">
        <v>41.47</v>
      </c>
      <c r="UO59" s="2">
        <v>41.75</v>
      </c>
      <c r="UP59" s="2">
        <v>42.15</v>
      </c>
      <c r="UQ59" s="2">
        <v>46.49</v>
      </c>
      <c r="UR59" s="2">
        <v>46.72</v>
      </c>
      <c r="US59" s="2">
        <v>47.06</v>
      </c>
      <c r="UT59" s="2">
        <v>47.23</v>
      </c>
      <c r="UU59" s="2">
        <v>47.35</v>
      </c>
      <c r="UV59" s="2">
        <v>47.68</v>
      </c>
      <c r="UW59" s="2">
        <v>47.92</v>
      </c>
      <c r="UX59" s="2">
        <v>48.01</v>
      </c>
      <c r="UY59" s="2">
        <v>48.36</v>
      </c>
      <c r="UZ59" s="2">
        <v>48.66</v>
      </c>
      <c r="VA59" s="2">
        <v>49.08</v>
      </c>
      <c r="VB59" s="2">
        <v>49.3</v>
      </c>
      <c r="VC59" s="2">
        <v>49.84</v>
      </c>
      <c r="VD59" s="2">
        <v>50.84</v>
      </c>
      <c r="VE59" s="2">
        <v>51.14</v>
      </c>
      <c r="VF59" s="2">
        <v>51.43</v>
      </c>
      <c r="VG59" s="2">
        <v>51.8</v>
      </c>
      <c r="VH59" s="2">
        <v>52.41</v>
      </c>
      <c r="VI59" s="2">
        <v>52.77</v>
      </c>
      <c r="VJ59" s="2">
        <v>53.14</v>
      </c>
      <c r="VK59" s="2">
        <v>53.6</v>
      </c>
      <c r="VL59" s="2">
        <v>54.12</v>
      </c>
      <c r="VM59" s="2">
        <v>54.64</v>
      </c>
      <c r="VN59" s="2">
        <v>55.11</v>
      </c>
      <c r="VO59" s="2">
        <v>55.68</v>
      </c>
      <c r="VP59" s="2">
        <v>56.04</v>
      </c>
      <c r="VQ59" s="2">
        <v>56.28</v>
      </c>
      <c r="VR59" s="2">
        <v>56.58</v>
      </c>
      <c r="VS59" s="2">
        <v>56.98</v>
      </c>
      <c r="VT59" s="2">
        <v>57.66</v>
      </c>
      <c r="VU59" s="2">
        <v>58.15</v>
      </c>
      <c r="VV59" s="2">
        <v>58.75</v>
      </c>
      <c r="VW59" s="2">
        <v>59.32</v>
      </c>
      <c r="VX59" s="2">
        <v>60.07</v>
      </c>
      <c r="VY59" s="2">
        <v>60.43</v>
      </c>
      <c r="VZ59" s="2">
        <v>60.86</v>
      </c>
      <c r="WA59" s="2">
        <v>61.24</v>
      </c>
      <c r="WB59" s="2">
        <v>61.8</v>
      </c>
      <c r="WC59" s="2">
        <v>62.3</v>
      </c>
      <c r="WD59" s="2">
        <v>62.71</v>
      </c>
      <c r="WE59" s="2">
        <v>63.18</v>
      </c>
      <c r="WF59" s="2">
        <v>63.47</v>
      </c>
      <c r="WG59" s="2">
        <v>63.95</v>
      </c>
      <c r="WH59" s="2">
        <v>64.59999999999999</v>
      </c>
      <c r="WI59" s="2">
        <v>64.64</v>
      </c>
      <c r="WJ59" s="2">
        <v>65.19</v>
      </c>
      <c r="WK59" s="2">
        <v>65.47</v>
      </c>
      <c r="WL59" s="2">
        <v>65.95</v>
      </c>
      <c r="WM59" s="2">
        <v>66.73</v>
      </c>
      <c r="WN59" s="2">
        <v>67.08</v>
      </c>
      <c r="WO59" s="2">
        <v>67.3</v>
      </c>
      <c r="WP59" s="2">
        <v>67.59999999999999</v>
      </c>
      <c r="WQ59" s="2">
        <v>67.84</v>
      </c>
      <c r="WR59" s="2">
        <v>68.09999999999999</v>
      </c>
      <c r="WS59" s="2">
        <v>68.16</v>
      </c>
      <c r="WT59" s="2">
        <v>68.69</v>
      </c>
      <c r="WU59" s="2">
        <v>69.2</v>
      </c>
      <c r="WV59" s="2">
        <v>69.68000000000001</v>
      </c>
      <c r="WW59" s="2">
        <v>70.20999999999999</v>
      </c>
      <c r="WX59" s="2">
        <v>70.59</v>
      </c>
      <c r="WY59" s="2">
        <v>70.78</v>
      </c>
      <c r="WZ59" s="2">
        <v>71.06</v>
      </c>
      <c r="XA59" s="2">
        <v>71.56999999999999</v>
      </c>
      <c r="XB59" s="2">
        <v>71.8</v>
      </c>
      <c r="XC59" s="2">
        <v>72.18000000000001</v>
      </c>
      <c r="XD59" s="2">
        <v>72.88</v>
      </c>
      <c r="XE59" s="2">
        <v>73.11</v>
      </c>
      <c r="XF59" s="2">
        <v>73.27</v>
      </c>
      <c r="XG59" s="2">
        <v>73.52</v>
      </c>
      <c r="XH59" s="2">
        <v>73.93000000000001</v>
      </c>
      <c r="XI59" s="2">
        <v>74.33</v>
      </c>
      <c r="XJ59" s="2">
        <v>74.87</v>
      </c>
      <c r="XK59" s="2">
        <v>75.73999999999999</v>
      </c>
      <c r="XL59" s="2">
        <v>76.29000000000001</v>
      </c>
      <c r="XM59" s="2">
        <v>77.03</v>
      </c>
      <c r="XN59" s="2">
        <v>77.03</v>
      </c>
      <c r="XO59" s="2">
        <v>77.61</v>
      </c>
      <c r="XP59" s="2">
        <v>78.02</v>
      </c>
      <c r="XQ59" s="2">
        <v>78.59999999999999</v>
      </c>
      <c r="XR59" s="2">
        <v>78.69</v>
      </c>
      <c r="XS59" s="2">
        <v>79.09999999999999</v>
      </c>
      <c r="XT59" s="2">
        <v>79.28</v>
      </c>
      <c r="XU59" s="2">
        <v>80.19</v>
      </c>
      <c r="XV59" s="2">
        <v>80.56999999999999</v>
      </c>
      <c r="XW59" s="2">
        <v>81.16</v>
      </c>
      <c r="XX59" s="2">
        <v>82.18000000000001</v>
      </c>
      <c r="XY59" s="2">
        <v>83.13</v>
      </c>
      <c r="XZ59" s="2">
        <v>84.31</v>
      </c>
      <c r="YA59" s="2">
        <v>85.44</v>
      </c>
      <c r="YB59" s="2">
        <v>87.16</v>
      </c>
      <c r="YC59" s="2">
        <v>88.40000000000001</v>
      </c>
      <c r="YD59" s="2">
        <v>90.31</v>
      </c>
      <c r="YE59" s="2">
        <v>91.14</v>
      </c>
      <c r="YF59" s="2">
        <v>92.7</v>
      </c>
      <c r="YG59" s="2">
        <v>94.61</v>
      </c>
      <c r="YH59" s="2">
        <v>95.33</v>
      </c>
      <c r="YI59" s="2">
        <v>96.84999999999999</v>
      </c>
      <c r="YJ59" s="2">
        <v>97.84</v>
      </c>
      <c r="YK59" s="2">
        <v>98.31</v>
      </c>
      <c r="YL59" s="2">
        <v>98.79000000000001</v>
      </c>
      <c r="YM59" s="2">
        <v>99.54000000000001</v>
      </c>
      <c r="YN59" s="2">
        <v>100.79</v>
      </c>
      <c r="YO59" s="2">
        <v>101.83</v>
      </c>
      <c r="YP59" s="2">
        <v>102.55</v>
      </c>
      <c r="ACI59" s="2">
        <v>3.8</v>
      </c>
      <c r="ACJ59" s="2">
        <v>2.9</v>
      </c>
      <c r="ACK59" s="2">
        <v>0.7</v>
      </c>
      <c r="ACL59" s="2">
        <v>10</v>
      </c>
      <c r="ACM59" s="2">
        <v>3.9</v>
      </c>
      <c r="ACN59" s="2">
        <v>6.2</v>
      </c>
      <c r="ACO59" s="2">
        <v>1.8</v>
      </c>
      <c r="ACP59" s="2">
        <v>18.6</v>
      </c>
      <c r="ACQ59" s="2">
        <v>5.8</v>
      </c>
      <c r="ACR59" s="2">
        <v>7.3</v>
      </c>
      <c r="ACS59" s="2">
        <v>1.7</v>
      </c>
      <c r="ACT59" s="2">
        <v>8.800000000000001</v>
      </c>
      <c r="ACU59" s="2">
        <v>4.2</v>
      </c>
      <c r="ACV59" s="2">
        <v>1.5</v>
      </c>
      <c r="ACW59" s="2">
        <v>8.9</v>
      </c>
      <c r="ACX59" s="2">
        <v>4</v>
      </c>
      <c r="ACY59" s="2">
        <v>3.2</v>
      </c>
      <c r="ACZ59" s="2">
        <v>4.7</v>
      </c>
      <c r="ADA59" s="2">
        <v>3.9</v>
      </c>
      <c r="ADB59" s="2">
        <v>3.7</v>
      </c>
      <c r="ADC59" s="2">
        <v>2.9</v>
      </c>
      <c r="ADD59" s="2">
        <v>3.5</v>
      </c>
      <c r="ADE59" s="2">
        <v>2.1</v>
      </c>
      <c r="ADF59" s="2">
        <v>3.1</v>
      </c>
      <c r="ADG59" s="2">
        <v>3</v>
      </c>
      <c r="ADH59" s="2">
        <v>3.1</v>
      </c>
      <c r="ADI59" s="2">
        <v>2.6</v>
      </c>
      <c r="ADJ59" s="2">
        <v>1.9</v>
      </c>
      <c r="ADK59" s="2">
        <v>1.8</v>
      </c>
      <c r="ADL59" s="2">
        <v>1.3</v>
      </c>
      <c r="ADM59" s="2">
        <v>3</v>
      </c>
      <c r="ADN59" s="2">
        <v>1.3</v>
      </c>
      <c r="ADO59" s="2">
        <v>3.1</v>
      </c>
      <c r="ADP59" s="2">
        <v>2.6</v>
      </c>
      <c r="ADQ59" s="2">
        <v>2.2</v>
      </c>
      <c r="ADR59" s="2">
        <v>2</v>
      </c>
      <c r="ADS59" s="2">
        <v>3.2</v>
      </c>
      <c r="ADT59" s="2">
        <v>1.6</v>
      </c>
      <c r="ADU59" s="2">
        <v>3.2</v>
      </c>
      <c r="ADV59" s="2">
        <v>5.9</v>
      </c>
      <c r="ADW59" s="2">
        <v>1.2</v>
      </c>
      <c r="ADX59" s="2">
        <v>1.9</v>
      </c>
      <c r="ADY59" s="2">
        <v>1</v>
      </c>
      <c r="ADZ59" s="2">
        <v>3</v>
      </c>
      <c r="AEA59" s="2">
        <v>4</v>
      </c>
      <c r="AEB59" s="2">
        <v>1</v>
      </c>
      <c r="AEC59" s="2">
        <v>-0.1</v>
      </c>
      <c r="AED59" s="2">
        <v>1.9</v>
      </c>
      <c r="AEE59" s="2">
        <v>2.3</v>
      </c>
      <c r="AEF59" s="2">
        <v>1.4</v>
      </c>
      <c r="AEG59" s="2">
        <v>1.8</v>
      </c>
      <c r="AEH59" s="2">
        <v>1.6</v>
      </c>
      <c r="AEI59" s="2">
        <v>1.6</v>
      </c>
      <c r="AEJ59" s="2">
        <v>1.6</v>
      </c>
      <c r="AEK59" s="2">
        <v>1.2</v>
      </c>
      <c r="AEL59" s="2">
        <v>2.2</v>
      </c>
      <c r="AEM59" s="2">
        <v>1.7</v>
      </c>
      <c r="AEN59" s="2">
        <v>0.9</v>
      </c>
      <c r="AEO59" s="2">
        <v>2.6</v>
      </c>
      <c r="AEP59" s="2">
        <v>2.1</v>
      </c>
      <c r="AEQ59" s="2">
        <v>1</v>
      </c>
      <c r="AER59" s="2">
        <v>1.7</v>
      </c>
      <c r="AES59" s="2">
        <v>1.6</v>
      </c>
      <c r="AET59" s="2">
        <v>1.2</v>
      </c>
      <c r="AEU59" s="2">
        <v>1.9</v>
      </c>
      <c r="AEV59" s="2">
        <v>1.5</v>
      </c>
      <c r="AEW59" s="2">
        <v>1.1</v>
      </c>
      <c r="AEX59" s="2">
        <v>2.2</v>
      </c>
      <c r="AEY59" s="2">
        <v>1.9</v>
      </c>
      <c r="AEZ59" s="2">
        <v>2.4</v>
      </c>
      <c r="AFA59" s="2">
        <v>2.5</v>
      </c>
      <c r="AFB59" s="2">
        <v>1</v>
      </c>
      <c r="AFC59" s="2">
        <v>1.2</v>
      </c>
      <c r="AFD59" s="2">
        <v>1.3</v>
      </c>
      <c r="AFE59" s="2">
        <v>1.5</v>
      </c>
      <c r="AFF59" s="2">
        <v>0</v>
      </c>
      <c r="AFG59" s="2">
        <v>1</v>
      </c>
      <c r="AFH59" s="2">
        <v>0.8</v>
      </c>
      <c r="AFI59" s="2">
        <v>0.7</v>
      </c>
      <c r="AFJ59" s="2">
        <v>-1.2</v>
      </c>
      <c r="AFK59" s="2">
        <v>1.4</v>
      </c>
      <c r="AFL59" s="2">
        <v>-0.2</v>
      </c>
      <c r="AFM59" s="2">
        <v>0.4</v>
      </c>
      <c r="AFN59" s="2">
        <v>0.9</v>
      </c>
      <c r="AFO59" s="2">
        <v>0.1</v>
      </c>
      <c r="AFP59" s="2">
        <v>0.4</v>
      </c>
      <c r="AFQ59" s="2">
        <v>1.1</v>
      </c>
      <c r="AFR59" s="2">
        <v>0.5</v>
      </c>
      <c r="AFS59" s="2">
        <v>1.6</v>
      </c>
      <c r="AFT59" s="2">
        <v>1</v>
      </c>
      <c r="AFU59" s="2">
        <v>0.9</v>
      </c>
      <c r="AFV59" s="2">
        <v>0.3</v>
      </c>
      <c r="AFW59" s="2">
        <v>0.4</v>
      </c>
      <c r="AFX59" s="2">
        <v>1.7</v>
      </c>
      <c r="AFY59" s="2">
        <v>0.1</v>
      </c>
      <c r="AFZ59" s="2">
        <v>0.4</v>
      </c>
      <c r="AGA59" s="2">
        <v>0.9</v>
      </c>
      <c r="AGB59" s="2">
        <v>0.8</v>
      </c>
      <c r="AGC59" s="2">
        <v>2.2</v>
      </c>
      <c r="AGD59" s="2">
        <v>0.1</v>
      </c>
      <c r="AGE59" s="2">
        <v>1.3</v>
      </c>
      <c r="AGF59" s="2">
        <v>0.7</v>
      </c>
      <c r="AGG59" s="2">
        <v>0.4</v>
      </c>
      <c r="AGH59" s="2">
        <v>0.8</v>
      </c>
      <c r="AGI59" s="2">
        <v>0.7</v>
      </c>
      <c r="AGJ59" s="2">
        <v>0.9</v>
      </c>
      <c r="AGK59" s="2">
        <v>0.6</v>
      </c>
      <c r="AGL59" s="2">
        <v>1.4</v>
      </c>
      <c r="AGM59" s="2">
        <v>0.4</v>
      </c>
      <c r="AGN59" s="2">
        <v>0.7</v>
      </c>
      <c r="AGO59" s="2">
        <v>1</v>
      </c>
      <c r="AGP59" s="2">
        <v>10.3</v>
      </c>
      <c r="AGQ59" s="2">
        <v>0.5</v>
      </c>
      <c r="AGR59" s="2">
        <v>0.7</v>
      </c>
      <c r="AGS59" s="2">
        <v>0.4</v>
      </c>
      <c r="AGT59" s="2">
        <v>0.3</v>
      </c>
      <c r="AGU59" s="2">
        <v>0.7</v>
      </c>
      <c r="AGV59" s="2">
        <v>0.5</v>
      </c>
      <c r="AGW59" s="2">
        <v>0.2</v>
      </c>
      <c r="AGX59" s="2">
        <v>0.7</v>
      </c>
      <c r="AGY59" s="2">
        <v>0.6</v>
      </c>
      <c r="AGZ59" s="2">
        <v>0.9</v>
      </c>
      <c r="AHA59" s="2">
        <v>0.4</v>
      </c>
      <c r="AHB59" s="2">
        <v>1.1</v>
      </c>
      <c r="AHC59" s="2">
        <v>2</v>
      </c>
      <c r="AHD59" s="2">
        <v>0.6</v>
      </c>
      <c r="AHE59" s="2">
        <v>0.6</v>
      </c>
      <c r="AHF59" s="2">
        <v>0.7</v>
      </c>
      <c r="AHG59" s="2">
        <v>1.2</v>
      </c>
      <c r="AHH59" s="2">
        <v>0.7</v>
      </c>
      <c r="AHI59" s="2">
        <v>0.7</v>
      </c>
      <c r="AHJ59" s="2">
        <v>0.9</v>
      </c>
      <c r="AHK59" s="2">
        <v>1</v>
      </c>
      <c r="AHL59" s="2">
        <v>1</v>
      </c>
      <c r="AHM59" s="2">
        <v>0.9</v>
      </c>
      <c r="AHN59" s="2">
        <v>1</v>
      </c>
      <c r="AHO59" s="2">
        <v>0.6</v>
      </c>
      <c r="AHP59" s="2">
        <v>0.4</v>
      </c>
      <c r="AHQ59" s="2">
        <v>0.5</v>
      </c>
      <c r="AHR59" s="2">
        <v>0.7</v>
      </c>
      <c r="AHS59" s="2">
        <v>1.2</v>
      </c>
      <c r="AHT59" s="2">
        <v>0.8</v>
      </c>
      <c r="AHU59" s="2">
        <v>1</v>
      </c>
      <c r="AHV59" s="2">
        <v>1</v>
      </c>
      <c r="AHW59" s="2">
        <v>1.3</v>
      </c>
      <c r="AHX59" s="2">
        <v>0.6</v>
      </c>
      <c r="AHY59" s="2">
        <v>0.7</v>
      </c>
      <c r="AHZ59" s="2">
        <v>0.6</v>
      </c>
      <c r="AIA59" s="2">
        <v>0.9</v>
      </c>
      <c r="AIB59" s="2">
        <v>0.8</v>
      </c>
      <c r="AIC59" s="2">
        <v>0.7</v>
      </c>
      <c r="AID59" s="2">
        <v>0.7</v>
      </c>
      <c r="AIE59" s="2">
        <v>0.5</v>
      </c>
      <c r="AIF59" s="2">
        <v>0.8</v>
      </c>
      <c r="AIG59" s="2">
        <v>1</v>
      </c>
      <c r="AIH59" s="2">
        <v>0.1</v>
      </c>
      <c r="AII59" s="2">
        <v>0.9</v>
      </c>
      <c r="AIJ59" s="2">
        <v>0.4</v>
      </c>
      <c r="AIK59" s="2">
        <v>0.7</v>
      </c>
      <c r="AIL59" s="2">
        <v>1.2</v>
      </c>
      <c r="AIM59" s="2">
        <v>0.5</v>
      </c>
      <c r="AIN59" s="2">
        <v>0.3</v>
      </c>
      <c r="AIO59" s="2">
        <v>0.4</v>
      </c>
      <c r="AIP59" s="2">
        <v>0.4</v>
      </c>
      <c r="AIQ59" s="2">
        <v>0.4</v>
      </c>
      <c r="AIR59" s="2">
        <v>0.1</v>
      </c>
      <c r="AIS59" s="2">
        <v>0.8</v>
      </c>
      <c r="AIT59" s="2">
        <v>0.7</v>
      </c>
      <c r="AIU59" s="2">
        <v>0.7</v>
      </c>
      <c r="AIV59" s="2">
        <v>0.8</v>
      </c>
      <c r="AIW59" s="2">
        <v>0.5</v>
      </c>
      <c r="AIX59" s="2">
        <v>0.3</v>
      </c>
      <c r="AIY59" s="2">
        <v>0.4</v>
      </c>
      <c r="AIZ59" s="2">
        <v>0.7</v>
      </c>
      <c r="AJA59" s="2">
        <v>0.3</v>
      </c>
      <c r="AJB59" s="2">
        <v>0.5</v>
      </c>
      <c r="AJC59" s="2">
        <v>1</v>
      </c>
      <c r="AJD59" s="2">
        <v>0.3</v>
      </c>
      <c r="AJE59" s="2">
        <v>0.2</v>
      </c>
      <c r="AJF59" s="2">
        <v>0.3</v>
      </c>
      <c r="AJG59" s="2">
        <v>0.6</v>
      </c>
      <c r="AJH59" s="2">
        <v>0.5</v>
      </c>
      <c r="AJI59" s="2">
        <v>0.7</v>
      </c>
      <c r="AJJ59" s="2">
        <v>1.2</v>
      </c>
      <c r="AJK59" s="2">
        <v>0.7</v>
      </c>
      <c r="AJL59" s="2">
        <v>1</v>
      </c>
      <c r="AJM59" s="2">
        <v>0</v>
      </c>
      <c r="AJN59" s="2">
        <v>0.8</v>
      </c>
      <c r="AJO59" s="2">
        <v>0.5</v>
      </c>
      <c r="AJP59" s="2">
        <v>0.7</v>
      </c>
      <c r="AJQ59" s="2">
        <v>0.1</v>
      </c>
      <c r="AJR59" s="2">
        <v>0.5</v>
      </c>
      <c r="AJS59" s="2">
        <v>0.2</v>
      </c>
      <c r="AJT59" s="2">
        <v>1.1</v>
      </c>
      <c r="AJU59" s="2">
        <v>0.5</v>
      </c>
      <c r="AJV59" s="2">
        <v>0.7</v>
      </c>
      <c r="AJW59" s="2">
        <v>1.3</v>
      </c>
      <c r="AJX59" s="2">
        <v>1.2</v>
      </c>
      <c r="AJY59" s="2">
        <v>1.4</v>
      </c>
      <c r="AJZ59" s="2">
        <v>1.3</v>
      </c>
      <c r="AKA59" s="2">
        <v>2</v>
      </c>
      <c r="AKB59" s="2">
        <v>1.4</v>
      </c>
      <c r="AKC59" s="2">
        <v>2.2</v>
      </c>
      <c r="AKD59" s="2">
        <v>0.9</v>
      </c>
      <c r="AKE59" s="2">
        <v>1.7</v>
      </c>
      <c r="AKF59" s="2">
        <v>2.1</v>
      </c>
      <c r="AKG59" s="2">
        <v>0.8</v>
      </c>
      <c r="AKH59" s="2">
        <v>1.6</v>
      </c>
      <c r="AKI59" s="2">
        <v>1</v>
      </c>
      <c r="AKJ59" s="2">
        <v>0.5</v>
      </c>
      <c r="AKK59" s="2">
        <v>0.5</v>
      </c>
      <c r="AKL59" s="2">
        <v>0.8</v>
      </c>
      <c r="AKM59" s="2">
        <v>1.3</v>
      </c>
      <c r="AKN59" s="2">
        <v>1</v>
      </c>
      <c r="AKO59" s="2">
        <v>0.7</v>
      </c>
      <c r="AKP59" s="2">
        <v>1.05</v>
      </c>
      <c r="AKQ59" s="2">
        <v>1.06</v>
      </c>
      <c r="AKR59" s="2">
        <v>1.07</v>
      </c>
    </row>
    <row r="60">
      <c r="A60" t="inlineStr">
        <is>
          <t>Other household services</t>
        </is>
      </c>
      <c r="B60" t="inlineStr">
        <is>
          <t>Domestic and household services</t>
        </is>
      </c>
      <c r="C60">
        <v>3</v>
      </c>
      <c r="D60">
        <v>0.71</v>
      </c>
      <c r="E60" s="3">
        <f>D60/2.5300000000000002*0.025332065906210392</f>
        <v>0.007108998732572876</v>
      </c>
      <c r="F60" s="3">
        <f>E60-D60/100</f>
        <v>8.998732572876138e-06</v>
      </c>
      <c r="G60" s="3">
        <f>D60/2.5300000000000002</f>
        <v>0.2806324110671936</v>
      </c>
      <c r="CI60" s="2">
        <v>97.78</v>
      </c>
      <c r="CJ60" s="2">
        <v>97.29000000000001</v>
      </c>
      <c r="CK60" s="2">
        <v>97.29000000000001</v>
      </c>
      <c r="CL60" s="2">
        <v>98.06999999999999</v>
      </c>
      <c r="CM60" s="2">
        <v>98.14</v>
      </c>
      <c r="CN60" s="2">
        <v>98.52</v>
      </c>
      <c r="CO60" s="2">
        <v>99.20999999999999</v>
      </c>
      <c r="CP60" s="2">
        <v>99.43000000000001</v>
      </c>
      <c r="CQ60" s="2">
        <v>99.81</v>
      </c>
      <c r="CR60" s="2">
        <v>99.84999999999999</v>
      </c>
      <c r="CS60" s="2">
        <v>99.44</v>
      </c>
      <c r="CT60" s="2">
        <v>99.79000000000001</v>
      </c>
      <c r="CU60" s="2">
        <v>99.53</v>
      </c>
      <c r="CV60" s="2">
        <v>99.54000000000001</v>
      </c>
      <c r="CW60" s="2">
        <v>99.16</v>
      </c>
      <c r="CX60" s="2">
        <v>100.22</v>
      </c>
      <c r="CY60" s="2">
        <v>101.48</v>
      </c>
      <c r="CZ60" s="2">
        <v>100</v>
      </c>
      <c r="DA60" s="2">
        <v>100.26</v>
      </c>
      <c r="DB60" s="2">
        <v>100.94</v>
      </c>
      <c r="DC60" s="2">
        <v>101.37</v>
      </c>
      <c r="DD60" s="2">
        <v>101.37</v>
      </c>
      <c r="DE60" s="2">
        <v>101.42</v>
      </c>
      <c r="DF60" s="2">
        <v>101.59</v>
      </c>
      <c r="DG60" s="2">
        <v>102.39</v>
      </c>
      <c r="DH60" s="2">
        <v>102.37</v>
      </c>
      <c r="DI60" s="2">
        <v>102.5</v>
      </c>
      <c r="DJ60" s="2">
        <v>103.09</v>
      </c>
      <c r="GL60" s="2">
        <v>1.8</v>
      </c>
      <c r="GM60" s="2">
        <v>2.3</v>
      </c>
      <c r="GN60" s="2">
        <v>1.9</v>
      </c>
      <c r="GO60" s="2">
        <v>2.2</v>
      </c>
      <c r="GP60" s="2">
        <v>3.4</v>
      </c>
      <c r="GQ60" s="2">
        <v>1.5</v>
      </c>
      <c r="GR60" s="2">
        <v>1.1</v>
      </c>
      <c r="GS60" s="2">
        <v>1.5</v>
      </c>
      <c r="GT60" s="2">
        <v>1.6</v>
      </c>
      <c r="GU60" s="2">
        <v>1.5</v>
      </c>
      <c r="GV60" s="2">
        <v>2</v>
      </c>
      <c r="GW60" s="2">
        <v>1.8</v>
      </c>
      <c r="GX60" s="2">
        <v>2.9</v>
      </c>
      <c r="GY60" s="2">
        <v>2.8</v>
      </c>
      <c r="GZ60" s="2">
        <v>3.4</v>
      </c>
      <c r="HA60" s="2">
        <v>2.9</v>
      </c>
      <c r="KC60" s="2">
        <v>-0.5</v>
      </c>
      <c r="KD60" s="2">
        <v>0</v>
      </c>
      <c r="KE60" s="2">
        <v>0.8</v>
      </c>
      <c r="KF60" s="2">
        <v>0.1</v>
      </c>
      <c r="KG60" s="2">
        <v>0.4</v>
      </c>
      <c r="KH60" s="2">
        <v>0.7</v>
      </c>
      <c r="KI60" s="2">
        <v>0.2</v>
      </c>
      <c r="KJ60" s="2">
        <v>0.4</v>
      </c>
      <c r="KK60" s="2">
        <v>0</v>
      </c>
      <c r="KL60" s="2">
        <v>-0.4</v>
      </c>
      <c r="KM60" s="2">
        <v>0.4</v>
      </c>
      <c r="KN60" s="2">
        <v>-0.3</v>
      </c>
      <c r="KO60" s="2">
        <v>0</v>
      </c>
      <c r="KP60" s="2">
        <v>-0.4</v>
      </c>
      <c r="KQ60" s="2">
        <v>1.1</v>
      </c>
      <c r="KR60" s="2">
        <v>1.3</v>
      </c>
      <c r="KS60" s="2">
        <v>-1.5</v>
      </c>
      <c r="KT60" s="2">
        <v>0.3</v>
      </c>
      <c r="KU60" s="2">
        <v>0.7</v>
      </c>
      <c r="KV60" s="2">
        <v>0.4</v>
      </c>
      <c r="KW60" s="2">
        <v>0</v>
      </c>
      <c r="KX60" s="2">
        <v>0</v>
      </c>
      <c r="KY60" s="2">
        <v>0.2</v>
      </c>
      <c r="KZ60" s="2">
        <v>0.8</v>
      </c>
      <c r="LA60" s="2">
        <v>0</v>
      </c>
      <c r="LB60" s="2">
        <v>0.1</v>
      </c>
      <c r="LC60" s="2">
        <v>0.6</v>
      </c>
      <c r="LD60" s="2">
        <v>0.6899999999999999</v>
      </c>
      <c r="LE60" s="2">
        <v>0.6899999999999999</v>
      </c>
      <c r="LF60" s="2">
        <v>0.6899999999999999</v>
      </c>
      <c r="LG60" s="2">
        <v>0.6899999999999999</v>
      </c>
      <c r="LH60" s="2">
        <v>0.6899999999999999</v>
      </c>
      <c r="LI60" s="2">
        <v>0.6899999999999999</v>
      </c>
      <c r="LJ60" s="2">
        <v>0.6899999999999999</v>
      </c>
      <c r="LK60" s="2">
        <v>0.7</v>
      </c>
      <c r="LL60" s="2">
        <v>0.71</v>
      </c>
      <c r="LM60" s="2">
        <v>0.7</v>
      </c>
      <c r="LN60" s="2">
        <v>0.7</v>
      </c>
      <c r="LO60" s="2">
        <v>0.7</v>
      </c>
      <c r="LP60" s="2">
        <v>0.71</v>
      </c>
      <c r="LQ60" s="2">
        <v>0.71</v>
      </c>
      <c r="LR60" s="2">
        <v>0.71</v>
      </c>
      <c r="LS60" s="2">
        <v>0.71</v>
      </c>
      <c r="LT60" s="2">
        <v>0.71</v>
      </c>
      <c r="LU60" s="2">
        <v>0.71</v>
      </c>
      <c r="LV60" s="2">
        <v>0.71</v>
      </c>
      <c r="LW60" s="2">
        <v>0.72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0.01</v>
      </c>
      <c r="ME60" s="2">
        <v>0.01</v>
      </c>
      <c r="MF60" s="2">
        <v>-0.01</v>
      </c>
      <c r="MG60" s="2">
        <v>0</v>
      </c>
      <c r="MH60" s="2">
        <v>0</v>
      </c>
      <c r="MI60" s="2">
        <v>0.01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0</v>
      </c>
      <c r="MP60" s="2">
        <v>0.01</v>
      </c>
      <c r="SY60" s="2">
        <v>21.49</v>
      </c>
      <c r="SZ60" s="2">
        <v>21.74</v>
      </c>
      <c r="TA60" s="2">
        <v>22.09</v>
      </c>
      <c r="TB60" s="2">
        <v>23.04</v>
      </c>
      <c r="TC60" s="2">
        <v>23.55</v>
      </c>
      <c r="TD60" s="2">
        <v>23.99</v>
      </c>
      <c r="TE60" s="2">
        <v>24.69</v>
      </c>
      <c r="TF60" s="2">
        <v>25.03</v>
      </c>
      <c r="TG60" s="2">
        <v>25.6</v>
      </c>
      <c r="TH60" s="2">
        <v>26</v>
      </c>
      <c r="TI60" s="2">
        <v>26.37</v>
      </c>
      <c r="TJ60" s="2">
        <v>26.93</v>
      </c>
      <c r="TK60" s="2">
        <v>26.97</v>
      </c>
      <c r="TL60" s="2">
        <v>26.97</v>
      </c>
      <c r="TM60" s="2">
        <v>27.17</v>
      </c>
      <c r="TN60" s="2">
        <v>27.72</v>
      </c>
      <c r="TO60" s="2">
        <v>28.23</v>
      </c>
      <c r="TP60" s="2">
        <v>28.41</v>
      </c>
      <c r="TQ60" s="2">
        <v>28.32</v>
      </c>
      <c r="TR60" s="2">
        <v>28.12</v>
      </c>
      <c r="TS60" s="2">
        <v>28.45</v>
      </c>
      <c r="TT60" s="2">
        <v>28.65</v>
      </c>
      <c r="TU60" s="2">
        <v>29.38</v>
      </c>
      <c r="TV60" s="2">
        <v>29.73</v>
      </c>
      <c r="TW60" s="2">
        <v>29.86</v>
      </c>
      <c r="TX60" s="2">
        <v>30.26</v>
      </c>
      <c r="TY60" s="2">
        <v>30.48</v>
      </c>
      <c r="TZ60" s="2">
        <v>30.88</v>
      </c>
      <c r="UA60" s="2">
        <v>31.03</v>
      </c>
      <c r="UB60" s="2">
        <v>31.32</v>
      </c>
      <c r="UC60" s="2">
        <v>31.81</v>
      </c>
      <c r="UD60" s="2">
        <v>32.34</v>
      </c>
      <c r="UE60" s="2">
        <v>32.67</v>
      </c>
      <c r="UF60" s="2">
        <v>32.8</v>
      </c>
      <c r="UG60" s="2">
        <v>33.04</v>
      </c>
      <c r="UH60" s="2">
        <v>33.24</v>
      </c>
      <c r="UI60" s="2">
        <v>33.38</v>
      </c>
      <c r="UJ60" s="2">
        <v>33.57</v>
      </c>
      <c r="UK60" s="2">
        <v>33.75</v>
      </c>
      <c r="UL60" s="2">
        <v>33.91</v>
      </c>
      <c r="UM60" s="2">
        <v>34.33</v>
      </c>
      <c r="UN60" s="2">
        <v>34.9</v>
      </c>
      <c r="UO60" s="2">
        <v>35.46</v>
      </c>
      <c r="UP60" s="2">
        <v>36.14</v>
      </c>
      <c r="UQ60" s="2">
        <v>39.1</v>
      </c>
      <c r="UR60" s="2">
        <v>39.51</v>
      </c>
      <c r="US60" s="2">
        <v>39.96</v>
      </c>
      <c r="UT60" s="2">
        <v>40.2</v>
      </c>
      <c r="UU60" s="2">
        <v>40.48</v>
      </c>
      <c r="UV60" s="2">
        <v>40.68</v>
      </c>
      <c r="UW60" s="2">
        <v>41.15</v>
      </c>
      <c r="UX60" s="2">
        <v>41.22</v>
      </c>
      <c r="UY60" s="2">
        <v>41.63</v>
      </c>
      <c r="UZ60" s="2">
        <v>42.21</v>
      </c>
      <c r="VA60" s="2">
        <v>42.75</v>
      </c>
      <c r="VB60" s="2">
        <v>43.03</v>
      </c>
      <c r="VC60" s="2">
        <v>43.31</v>
      </c>
      <c r="VD60" s="2">
        <v>43.78</v>
      </c>
      <c r="VE60" s="2">
        <v>44.22</v>
      </c>
      <c r="VF60" s="2">
        <v>44.49</v>
      </c>
      <c r="VG60" s="2">
        <v>44.82</v>
      </c>
      <c r="VH60" s="2">
        <v>45.21</v>
      </c>
      <c r="VI60" s="2">
        <v>45.7</v>
      </c>
      <c r="VJ60" s="2">
        <v>46.07</v>
      </c>
      <c r="VK60" s="2">
        <v>46.24</v>
      </c>
      <c r="VL60" s="2">
        <v>46.73</v>
      </c>
      <c r="VM60" s="2">
        <v>47.2</v>
      </c>
      <c r="VN60" s="2">
        <v>47.87</v>
      </c>
      <c r="VO60" s="2">
        <v>48.94</v>
      </c>
      <c r="VP60" s="2">
        <v>49.34</v>
      </c>
      <c r="VQ60" s="2">
        <v>49.77</v>
      </c>
      <c r="VR60" s="2">
        <v>49.99</v>
      </c>
      <c r="VS60" s="2">
        <v>50.15</v>
      </c>
      <c r="VT60" s="2">
        <v>51.15</v>
      </c>
      <c r="VU60" s="2">
        <v>52.05</v>
      </c>
      <c r="VV60" s="2">
        <v>52.58</v>
      </c>
      <c r="VW60" s="2">
        <v>53.75</v>
      </c>
      <c r="VX60" s="2">
        <v>54.34</v>
      </c>
      <c r="VY60" s="2">
        <v>55.03</v>
      </c>
      <c r="VZ60" s="2">
        <v>55.5</v>
      </c>
      <c r="WA60" s="2">
        <v>56.33</v>
      </c>
      <c r="WB60" s="2">
        <v>56.46</v>
      </c>
      <c r="WC60" s="2">
        <v>57.14</v>
      </c>
      <c r="WD60" s="2">
        <v>57.68</v>
      </c>
      <c r="WE60" s="2">
        <v>58.49</v>
      </c>
      <c r="WF60" s="2">
        <v>58.96</v>
      </c>
      <c r="WG60" s="2">
        <v>59.48</v>
      </c>
      <c r="WH60" s="2">
        <v>60.19</v>
      </c>
      <c r="WI60" s="2">
        <v>60.88</v>
      </c>
      <c r="WJ60" s="2">
        <v>61.81</v>
      </c>
      <c r="WK60" s="2">
        <v>62.63</v>
      </c>
      <c r="WL60" s="2">
        <v>63.63</v>
      </c>
      <c r="WM60" s="2">
        <v>64.76000000000001</v>
      </c>
      <c r="WN60" s="2">
        <v>65.59</v>
      </c>
      <c r="WO60" s="2">
        <v>66.56999999999999</v>
      </c>
      <c r="WP60" s="2">
        <v>67.15000000000001</v>
      </c>
      <c r="WQ60" s="2">
        <v>67.73</v>
      </c>
      <c r="WR60" s="2">
        <v>68.12</v>
      </c>
      <c r="WS60" s="2">
        <v>67.13</v>
      </c>
      <c r="WT60" s="2">
        <v>67.90000000000001</v>
      </c>
      <c r="WU60" s="2">
        <v>68.45</v>
      </c>
      <c r="WV60" s="2">
        <v>68.75</v>
      </c>
      <c r="WW60" s="2">
        <v>69.66</v>
      </c>
      <c r="WX60" s="2">
        <v>70.26000000000001</v>
      </c>
      <c r="WY60" s="2">
        <v>70.34</v>
      </c>
      <c r="WZ60" s="2">
        <v>70.8</v>
      </c>
      <c r="XA60" s="2">
        <v>70.94</v>
      </c>
      <c r="XB60" s="2">
        <v>71.25</v>
      </c>
      <c r="XC60" s="2">
        <v>71.66</v>
      </c>
      <c r="XD60" s="2">
        <v>72.34</v>
      </c>
      <c r="XE60" s="2">
        <v>72.59999999999999</v>
      </c>
      <c r="XF60" s="2">
        <v>72.81</v>
      </c>
      <c r="XG60" s="2">
        <v>73.27</v>
      </c>
      <c r="XH60" s="2">
        <v>73.5</v>
      </c>
      <c r="XI60" s="2">
        <v>74.81999999999999</v>
      </c>
      <c r="XJ60" s="2">
        <v>74.78</v>
      </c>
      <c r="XK60" s="2">
        <v>75.95999999999999</v>
      </c>
      <c r="XL60" s="2">
        <v>76.22</v>
      </c>
      <c r="XM60" s="2">
        <v>76.81</v>
      </c>
      <c r="XN60" s="2">
        <v>75.90000000000001</v>
      </c>
      <c r="XO60" s="2">
        <v>76.44</v>
      </c>
      <c r="XP60" s="2">
        <v>77.22</v>
      </c>
      <c r="XQ60" s="2">
        <v>77.95</v>
      </c>
      <c r="XR60" s="2">
        <v>78.09999999999999</v>
      </c>
      <c r="XS60" s="2">
        <v>78.98999999999999</v>
      </c>
      <c r="XT60" s="2">
        <v>80.19</v>
      </c>
      <c r="XU60" s="2">
        <v>81.15000000000001</v>
      </c>
      <c r="XV60" s="2">
        <v>81.67</v>
      </c>
      <c r="XW60" s="2">
        <v>82.88</v>
      </c>
      <c r="XX60" s="2">
        <v>84.5</v>
      </c>
      <c r="XY60" s="2">
        <v>86</v>
      </c>
      <c r="XZ60" s="2">
        <v>87.86</v>
      </c>
      <c r="YA60" s="2">
        <v>90.84999999999999</v>
      </c>
      <c r="YB60" s="2">
        <v>92.90000000000001</v>
      </c>
      <c r="YC60" s="2">
        <v>94.09</v>
      </c>
      <c r="YD60" s="2">
        <v>93.67</v>
      </c>
      <c r="YE60" s="2">
        <v>95.56999999999999</v>
      </c>
      <c r="YF60" s="2">
        <v>96.09</v>
      </c>
      <c r="YG60" s="2">
        <v>96.22</v>
      </c>
      <c r="YH60" s="2">
        <v>96.25</v>
      </c>
      <c r="YI60" s="2">
        <v>97.13</v>
      </c>
      <c r="YJ60" s="2">
        <v>98.51000000000001</v>
      </c>
      <c r="YK60" s="2">
        <v>98.53</v>
      </c>
      <c r="YL60" s="2">
        <v>98.62</v>
      </c>
      <c r="YM60" s="2">
        <v>100.57</v>
      </c>
      <c r="YN60" s="2">
        <v>100.86</v>
      </c>
      <c r="YO60" s="2">
        <v>101.46</v>
      </c>
      <c r="YP60" s="2">
        <v>102.42</v>
      </c>
      <c r="AEY60" s="2">
        <v>1.2</v>
      </c>
      <c r="AEZ60" s="2">
        <v>1.6</v>
      </c>
      <c r="AFA60" s="2">
        <v>4.3</v>
      </c>
      <c r="AFB60" s="2">
        <v>2.2</v>
      </c>
      <c r="AFC60" s="2">
        <v>1.9</v>
      </c>
      <c r="AFD60" s="2">
        <v>2.9</v>
      </c>
      <c r="AFE60" s="2">
        <v>1.4</v>
      </c>
      <c r="AFF60" s="2">
        <v>2.3</v>
      </c>
      <c r="AFG60" s="2">
        <v>1.6</v>
      </c>
      <c r="AFH60" s="2">
        <v>1.4</v>
      </c>
      <c r="AFI60" s="2">
        <v>2.1</v>
      </c>
      <c r="AFJ60" s="2">
        <v>0.1</v>
      </c>
      <c r="AFK60" s="2">
        <v>0</v>
      </c>
      <c r="AFL60" s="2">
        <v>0.7</v>
      </c>
      <c r="AFM60" s="2">
        <v>2</v>
      </c>
      <c r="AFN60" s="2">
        <v>1.8</v>
      </c>
      <c r="AFO60" s="2">
        <v>0.6</v>
      </c>
      <c r="AFP60" s="2">
        <v>-0.3</v>
      </c>
      <c r="AFQ60" s="2">
        <v>-0.7</v>
      </c>
      <c r="AFR60" s="2">
        <v>1.2</v>
      </c>
      <c r="AFS60" s="2">
        <v>0.7</v>
      </c>
      <c r="AFT60" s="2">
        <v>2.5</v>
      </c>
      <c r="AFU60" s="2">
        <v>1.2</v>
      </c>
      <c r="AFV60" s="2">
        <v>0.4</v>
      </c>
      <c r="AFW60" s="2">
        <v>1.3</v>
      </c>
      <c r="AFX60" s="2">
        <v>0.7</v>
      </c>
      <c r="AFY60" s="2">
        <v>1.3</v>
      </c>
      <c r="AFZ60" s="2">
        <v>0.5</v>
      </c>
      <c r="AGA60" s="2">
        <v>0.9</v>
      </c>
      <c r="AGB60" s="2">
        <v>1.6</v>
      </c>
      <c r="AGC60" s="2">
        <v>1.7</v>
      </c>
      <c r="AGD60" s="2">
        <v>1</v>
      </c>
      <c r="AGE60" s="2">
        <v>0.4</v>
      </c>
      <c r="AGF60" s="2">
        <v>0.7</v>
      </c>
      <c r="AGG60" s="2">
        <v>0.6</v>
      </c>
      <c r="AGH60" s="2">
        <v>0.4</v>
      </c>
      <c r="AGI60" s="2">
        <v>0.6</v>
      </c>
      <c r="AGJ60" s="2">
        <v>0.5</v>
      </c>
      <c r="AGK60" s="2">
        <v>0.5</v>
      </c>
      <c r="AGL60" s="2">
        <v>1.2</v>
      </c>
      <c r="AGM60" s="2">
        <v>1.7</v>
      </c>
      <c r="AGN60" s="2">
        <v>1.6</v>
      </c>
      <c r="AGO60" s="2">
        <v>1.9</v>
      </c>
      <c r="AGP60" s="2">
        <v>8.199999999999999</v>
      </c>
      <c r="AGQ60" s="2">
        <v>1</v>
      </c>
      <c r="AGR60" s="2">
        <v>1.1</v>
      </c>
      <c r="AGS60" s="2">
        <v>0.6</v>
      </c>
      <c r="AGT60" s="2">
        <v>0.7</v>
      </c>
      <c r="AGU60" s="2">
        <v>0.5</v>
      </c>
      <c r="AGV60" s="2">
        <v>1.2</v>
      </c>
      <c r="AGW60" s="2">
        <v>0.2</v>
      </c>
      <c r="AGX60" s="2">
        <v>1</v>
      </c>
      <c r="AGY60" s="2">
        <v>1.4</v>
      </c>
      <c r="AGZ60" s="2">
        <v>1.3</v>
      </c>
      <c r="AHA60" s="2">
        <v>0.7</v>
      </c>
      <c r="AHB60" s="2">
        <v>0.7</v>
      </c>
      <c r="AHC60" s="2">
        <v>1.1</v>
      </c>
      <c r="AHD60" s="2">
        <v>1</v>
      </c>
      <c r="AHE60" s="2">
        <v>0.6</v>
      </c>
      <c r="AHF60" s="2">
        <v>0.7</v>
      </c>
      <c r="AHG60" s="2">
        <v>0.9</v>
      </c>
      <c r="AHH60" s="2">
        <v>1.1</v>
      </c>
      <c r="AHI60" s="2">
        <v>0.8</v>
      </c>
      <c r="AHJ60" s="2">
        <v>0.4</v>
      </c>
      <c r="AHK60" s="2">
        <v>1.1</v>
      </c>
      <c r="AHL60" s="2">
        <v>1</v>
      </c>
      <c r="AHM60" s="2">
        <v>1.4</v>
      </c>
      <c r="AHN60" s="2">
        <v>2.2</v>
      </c>
      <c r="AHO60" s="2">
        <v>0.8</v>
      </c>
      <c r="AHP60" s="2">
        <v>0.9</v>
      </c>
      <c r="AHQ60" s="2">
        <v>0.4</v>
      </c>
      <c r="AHR60" s="2">
        <v>0.3</v>
      </c>
      <c r="AHS60" s="2">
        <v>2</v>
      </c>
      <c r="AHT60" s="2">
        <v>1.8</v>
      </c>
      <c r="AHU60" s="2">
        <v>1</v>
      </c>
      <c r="AHV60" s="2">
        <v>2.2</v>
      </c>
      <c r="AHW60" s="2">
        <v>1.1</v>
      </c>
      <c r="AHX60" s="2">
        <v>1.3</v>
      </c>
      <c r="AHY60" s="2">
        <v>0.9</v>
      </c>
      <c r="AHZ60" s="2">
        <v>1.5</v>
      </c>
      <c r="AIA60" s="2">
        <v>0.2</v>
      </c>
      <c r="AIB60" s="2">
        <v>1.2</v>
      </c>
      <c r="AIC60" s="2">
        <v>0.9</v>
      </c>
      <c r="AID60" s="2">
        <v>1.4</v>
      </c>
      <c r="AIE60" s="2">
        <v>0.8</v>
      </c>
      <c r="AIF60" s="2">
        <v>0.9</v>
      </c>
      <c r="AIG60" s="2">
        <v>1.2</v>
      </c>
      <c r="AIH60" s="2">
        <v>1.1</v>
      </c>
      <c r="AII60" s="2">
        <v>1.5</v>
      </c>
      <c r="AIJ60" s="2">
        <v>1.3</v>
      </c>
      <c r="AIK60" s="2">
        <v>1.6</v>
      </c>
      <c r="AIL60" s="2">
        <v>1.8</v>
      </c>
      <c r="AIM60" s="2">
        <v>1.3</v>
      </c>
      <c r="AIN60" s="2">
        <v>1.5</v>
      </c>
      <c r="AIO60" s="2">
        <v>0.9</v>
      </c>
      <c r="AIP60" s="2">
        <v>0.9</v>
      </c>
      <c r="AIQ60" s="2">
        <v>0.6</v>
      </c>
      <c r="AIR60" s="2">
        <v>-1.5</v>
      </c>
      <c r="AIS60" s="2">
        <v>1.1</v>
      </c>
      <c r="AIT60" s="2">
        <v>0.8</v>
      </c>
      <c r="AIU60" s="2">
        <v>0.4</v>
      </c>
      <c r="AIV60" s="2">
        <v>1.3</v>
      </c>
      <c r="AIW60" s="2">
        <v>0.9</v>
      </c>
      <c r="AIX60" s="2">
        <v>0.1</v>
      </c>
      <c r="AIY60" s="2">
        <v>0.7</v>
      </c>
      <c r="AIZ60" s="2">
        <v>0.2</v>
      </c>
      <c r="AJA60" s="2">
        <v>0.4</v>
      </c>
      <c r="AJB60" s="2">
        <v>0.6</v>
      </c>
      <c r="AJC60" s="2">
        <v>0.9</v>
      </c>
      <c r="AJD60" s="2">
        <v>0.4</v>
      </c>
      <c r="AJE60" s="2">
        <v>0.3</v>
      </c>
      <c r="AJF60" s="2">
        <v>0.6</v>
      </c>
      <c r="AJG60" s="2">
        <v>0.3</v>
      </c>
      <c r="AJH60" s="2">
        <v>1.8</v>
      </c>
      <c r="AJI60" s="2">
        <v>-0.1</v>
      </c>
      <c r="AJJ60" s="2">
        <v>1.6</v>
      </c>
      <c r="AJK60" s="2">
        <v>0.3</v>
      </c>
      <c r="AJL60" s="2">
        <v>0.8</v>
      </c>
      <c r="AJM60" s="2">
        <v>-1.2</v>
      </c>
      <c r="AJN60" s="2">
        <v>0.7</v>
      </c>
      <c r="AJO60" s="2">
        <v>1</v>
      </c>
      <c r="AJP60" s="2">
        <v>0.9</v>
      </c>
      <c r="AJQ60" s="2">
        <v>0.2</v>
      </c>
      <c r="AJR60" s="2">
        <v>1.1</v>
      </c>
      <c r="AJS60" s="2">
        <v>1.5</v>
      </c>
      <c r="AJT60" s="2">
        <v>1.2</v>
      </c>
      <c r="AJU60" s="2">
        <v>0.6</v>
      </c>
      <c r="AJV60" s="2">
        <v>1.5</v>
      </c>
      <c r="AJW60" s="2">
        <v>2</v>
      </c>
      <c r="AJX60" s="2">
        <v>1.8</v>
      </c>
      <c r="AJY60" s="2">
        <v>2.2</v>
      </c>
      <c r="AJZ60" s="2">
        <v>3.4</v>
      </c>
      <c r="AKA60" s="2">
        <v>2.3</v>
      </c>
      <c r="AKB60" s="2">
        <v>1.3</v>
      </c>
      <c r="AKC60" s="2">
        <v>-0.4</v>
      </c>
      <c r="AKD60" s="2">
        <v>2</v>
      </c>
      <c r="AKE60" s="2">
        <v>0.5</v>
      </c>
      <c r="AKF60" s="2">
        <v>0.1</v>
      </c>
      <c r="AKG60" s="2">
        <v>0</v>
      </c>
      <c r="AKH60" s="2">
        <v>0.9</v>
      </c>
      <c r="AKI60" s="2">
        <v>1.4</v>
      </c>
      <c r="AKJ60" s="2">
        <v>0</v>
      </c>
      <c r="AKK60" s="2">
        <v>0.1</v>
      </c>
      <c r="AKL60" s="2">
        <v>2</v>
      </c>
      <c r="AKM60" s="2">
        <v>0.3</v>
      </c>
      <c r="AKN60" s="2">
        <v>0.6</v>
      </c>
      <c r="AKO60" s="2">
        <v>0.9</v>
      </c>
      <c r="AKP60" s="2">
        <v>0.7</v>
      </c>
      <c r="AKQ60" s="2">
        <v>0.71</v>
      </c>
      <c r="AKR60" s="2">
        <v>0.71</v>
      </c>
    </row>
    <row r="61">
      <c r="A61" t="inlineStr">
        <is>
          <t>Pharmaceutical products</t>
        </is>
      </c>
      <c r="B61" t="inlineStr">
        <is>
          <t>Medical products, appliances and equipment</t>
        </is>
      </c>
      <c r="C61">
        <v>3</v>
      </c>
      <c r="D61">
        <v>0.95</v>
      </c>
      <c r="E61" s="3">
        <f>D61/1.0899999999999999*0.0109</f>
        <v>0.009500000000000001</v>
      </c>
      <c r="F61" s="3">
        <f>E61-D61/100</f>
        <v>1.734723475976807e-18</v>
      </c>
      <c r="G61" s="3">
        <f>D61/1.0899999999999999</f>
        <v>0.871559633027523</v>
      </c>
      <c r="CI61" s="2">
        <v>102.56</v>
      </c>
      <c r="CJ61" s="2">
        <v>102.63</v>
      </c>
      <c r="CK61" s="2">
        <v>101.93</v>
      </c>
      <c r="CL61" s="2">
        <v>101.65</v>
      </c>
      <c r="CM61" s="2">
        <v>101.24</v>
      </c>
      <c r="CN61" s="2">
        <v>100.7</v>
      </c>
      <c r="CO61" s="2">
        <v>100.91</v>
      </c>
      <c r="CP61" s="2">
        <v>99.84</v>
      </c>
      <c r="CQ61" s="2">
        <v>98.98</v>
      </c>
      <c r="CR61" s="2">
        <v>104.3</v>
      </c>
      <c r="CS61" s="2">
        <v>104.99</v>
      </c>
      <c r="CT61" s="2">
        <v>104.31</v>
      </c>
      <c r="CU61" s="2">
        <v>103.33</v>
      </c>
      <c r="CV61" s="2">
        <v>102.46</v>
      </c>
      <c r="CW61" s="2">
        <v>101.47</v>
      </c>
      <c r="CX61" s="2">
        <v>101.27</v>
      </c>
      <c r="CY61" s="2">
        <v>100.74</v>
      </c>
      <c r="CZ61" s="2">
        <v>100</v>
      </c>
      <c r="DA61" s="2">
        <v>100.11</v>
      </c>
      <c r="DB61" s="2">
        <v>99.08</v>
      </c>
      <c r="DC61" s="2">
        <v>98.78</v>
      </c>
      <c r="DD61" s="2">
        <v>102.98</v>
      </c>
      <c r="DE61" s="2">
        <v>102.14</v>
      </c>
      <c r="DF61" s="2">
        <v>103.48</v>
      </c>
      <c r="DG61" s="2">
        <v>103.01</v>
      </c>
      <c r="DH61" s="2">
        <v>100.02</v>
      </c>
      <c r="DI61" s="2">
        <v>99.52</v>
      </c>
      <c r="DJ61" s="2">
        <v>99.47</v>
      </c>
      <c r="GL61" s="2">
        <v>0.8</v>
      </c>
      <c r="GM61" s="2">
        <v>-0.2</v>
      </c>
      <c r="GN61" s="2">
        <v>-0.5</v>
      </c>
      <c r="GO61" s="2">
        <v>-0.4</v>
      </c>
      <c r="GP61" s="2">
        <v>-0.5</v>
      </c>
      <c r="GQ61" s="2">
        <v>-0.7</v>
      </c>
      <c r="GR61" s="2">
        <v>-0.8</v>
      </c>
      <c r="GS61" s="2">
        <v>-0.8</v>
      </c>
      <c r="GT61" s="2">
        <v>-0.2</v>
      </c>
      <c r="GU61" s="2">
        <v>-1.3</v>
      </c>
      <c r="GV61" s="2">
        <v>-2.7</v>
      </c>
      <c r="GW61" s="2">
        <v>-0.8</v>
      </c>
      <c r="GX61" s="2">
        <v>-0.3</v>
      </c>
      <c r="GY61" s="2">
        <v>-2.4</v>
      </c>
      <c r="GZ61" s="2">
        <v>-1.9</v>
      </c>
      <c r="HA61" s="2">
        <v>-1.8</v>
      </c>
      <c r="KC61" s="2">
        <v>0.1</v>
      </c>
      <c r="KD61" s="2">
        <v>-0.7</v>
      </c>
      <c r="KE61" s="2">
        <v>-0.3</v>
      </c>
      <c r="KF61" s="2">
        <v>-0.4</v>
      </c>
      <c r="KG61" s="2">
        <v>-0.5</v>
      </c>
      <c r="KH61" s="2">
        <v>0.2</v>
      </c>
      <c r="KI61" s="2">
        <v>-1.1</v>
      </c>
      <c r="KJ61" s="2">
        <v>-0.9</v>
      </c>
      <c r="KK61" s="2">
        <v>5.4</v>
      </c>
      <c r="KL61" s="2">
        <v>0.7</v>
      </c>
      <c r="KM61" s="2">
        <v>-0.6</v>
      </c>
      <c r="KN61" s="2">
        <v>-0.9</v>
      </c>
      <c r="KO61" s="2">
        <v>-0.8</v>
      </c>
      <c r="KP61" s="2">
        <v>-1</v>
      </c>
      <c r="KQ61" s="2">
        <v>-0.2</v>
      </c>
      <c r="KR61" s="2">
        <v>-0.5</v>
      </c>
      <c r="KS61" s="2">
        <v>-0.7</v>
      </c>
      <c r="KT61" s="2">
        <v>0.1</v>
      </c>
      <c r="KU61" s="2">
        <v>-1</v>
      </c>
      <c r="KV61" s="2">
        <v>-0.3</v>
      </c>
      <c r="KW61" s="2">
        <v>4.3</v>
      </c>
      <c r="KX61" s="2">
        <v>-0.8</v>
      </c>
      <c r="KY61" s="2">
        <v>1.3</v>
      </c>
      <c r="KZ61" s="2">
        <v>-0.5</v>
      </c>
      <c r="LA61" s="2">
        <v>-2.9</v>
      </c>
      <c r="LB61" s="2">
        <v>-0.5</v>
      </c>
      <c r="LC61" s="2">
        <v>-0.1</v>
      </c>
      <c r="LD61" s="2">
        <v>0.92</v>
      </c>
      <c r="LE61" s="2">
        <v>0.97</v>
      </c>
      <c r="LF61" s="2">
        <v>0.98</v>
      </c>
      <c r="LG61" s="2">
        <v>0.97</v>
      </c>
      <c r="LH61" s="2">
        <v>0.96</v>
      </c>
      <c r="LI61" s="2">
        <v>0.95</v>
      </c>
      <c r="LJ61" s="2">
        <v>0.95</v>
      </c>
      <c r="LK61" s="2">
        <v>0.9399999999999999</v>
      </c>
      <c r="LL61" s="2">
        <v>0.9399999999999999</v>
      </c>
      <c r="LM61" s="2">
        <v>0.93</v>
      </c>
      <c r="LN61" s="2">
        <v>0.93</v>
      </c>
      <c r="LO61" s="2">
        <v>0.92</v>
      </c>
      <c r="LP61" s="2">
        <v>0.92</v>
      </c>
      <c r="LQ61" s="2">
        <v>0.96</v>
      </c>
      <c r="LR61" s="2">
        <v>0.95</v>
      </c>
      <c r="LS61" s="2">
        <v>0.96</v>
      </c>
      <c r="LT61" s="2">
        <v>0.96</v>
      </c>
      <c r="LU61" s="2">
        <v>0.93</v>
      </c>
      <c r="LV61" s="2">
        <v>0.93</v>
      </c>
      <c r="LW61" s="2">
        <v>0.93</v>
      </c>
      <c r="LX61" s="2">
        <v>0.05</v>
      </c>
      <c r="LY61" s="2">
        <v>0.01</v>
      </c>
      <c r="LZ61" s="2">
        <v>-0.01</v>
      </c>
      <c r="MA61" s="2">
        <v>-0.01</v>
      </c>
      <c r="MB61" s="2">
        <v>-0.01</v>
      </c>
      <c r="MC61" s="2">
        <v>0</v>
      </c>
      <c r="MD61" s="2">
        <v>-0.01</v>
      </c>
      <c r="ME61" s="2">
        <v>0</v>
      </c>
      <c r="MF61" s="2">
        <v>-0.01</v>
      </c>
      <c r="MG61" s="2">
        <v>0</v>
      </c>
      <c r="MH61" s="2">
        <v>-0.01</v>
      </c>
      <c r="MI61" s="2">
        <v>0</v>
      </c>
      <c r="MJ61" s="2">
        <v>0.04</v>
      </c>
      <c r="MK61" s="2">
        <v>-0.01</v>
      </c>
      <c r="ML61" s="2">
        <v>0.01</v>
      </c>
      <c r="MM61" s="2">
        <v>0</v>
      </c>
      <c r="MN61" s="2">
        <v>-0.03</v>
      </c>
      <c r="MO61" s="2">
        <v>0</v>
      </c>
      <c r="MP61" s="2">
        <v>0</v>
      </c>
      <c r="RO61" s="2">
        <v>21.51</v>
      </c>
      <c r="RP61" s="2">
        <v>21.87</v>
      </c>
      <c r="RQ61" s="2">
        <v>22.54</v>
      </c>
      <c r="RR61" s="2">
        <v>22.96</v>
      </c>
      <c r="RS61" s="2">
        <v>23.37</v>
      </c>
      <c r="RT61" s="2">
        <v>24.14</v>
      </c>
      <c r="RU61" s="2">
        <v>25.17</v>
      </c>
      <c r="RV61" s="2">
        <v>25.94</v>
      </c>
      <c r="RW61" s="2">
        <v>26.76</v>
      </c>
      <c r="RX61" s="2">
        <v>27.33</v>
      </c>
      <c r="RY61" s="2">
        <v>29.96</v>
      </c>
      <c r="RZ61" s="2">
        <v>30.52</v>
      </c>
      <c r="SA61" s="2">
        <v>31.09</v>
      </c>
      <c r="SB61" s="2">
        <v>31.29</v>
      </c>
      <c r="SC61" s="2">
        <v>32.01</v>
      </c>
      <c r="SD61" s="2">
        <v>32.58</v>
      </c>
      <c r="SE61" s="2">
        <v>32.79</v>
      </c>
      <c r="SF61" s="2">
        <v>33.35</v>
      </c>
      <c r="SG61" s="2">
        <v>33.87</v>
      </c>
      <c r="SH61" s="2">
        <v>34.23</v>
      </c>
      <c r="SI61" s="2">
        <v>36.65</v>
      </c>
      <c r="SJ61" s="2">
        <v>37.32</v>
      </c>
      <c r="SK61" s="2">
        <v>38.19</v>
      </c>
      <c r="SL61" s="2">
        <v>39.32</v>
      </c>
      <c r="SM61" s="2">
        <v>39.94</v>
      </c>
      <c r="SN61" s="2">
        <v>44.16</v>
      </c>
      <c r="SO61" s="2">
        <v>46.37</v>
      </c>
      <c r="SP61" s="2">
        <v>44.98</v>
      </c>
      <c r="SQ61" s="2">
        <v>42.67</v>
      </c>
      <c r="SR61" s="2">
        <v>39.99</v>
      </c>
      <c r="SS61" s="2">
        <v>49.62</v>
      </c>
      <c r="ST61" s="2">
        <v>49.21</v>
      </c>
      <c r="SU61" s="2">
        <v>46.99</v>
      </c>
      <c r="SV61" s="2">
        <v>42.77</v>
      </c>
      <c r="SW61" s="2">
        <v>52.6</v>
      </c>
      <c r="SX61" s="2">
        <v>51.88</v>
      </c>
      <c r="SY61" s="2">
        <v>49.57</v>
      </c>
      <c r="SZ61" s="2">
        <v>46.48</v>
      </c>
      <c r="TA61" s="2">
        <v>55.12</v>
      </c>
      <c r="TB61" s="2">
        <v>54.76</v>
      </c>
      <c r="TC61" s="2">
        <v>52.96</v>
      </c>
      <c r="TD61" s="2">
        <v>50.7</v>
      </c>
      <c r="TE61" s="2">
        <v>57.9</v>
      </c>
      <c r="TF61" s="2">
        <v>58.01</v>
      </c>
      <c r="TG61" s="2">
        <v>57.08</v>
      </c>
      <c r="TH61" s="2">
        <v>54.76</v>
      </c>
      <c r="TI61" s="2">
        <v>59.14</v>
      </c>
      <c r="TJ61" s="2">
        <v>59.5</v>
      </c>
      <c r="TK61" s="2">
        <v>56.62</v>
      </c>
      <c r="TL61" s="2">
        <v>53.22</v>
      </c>
      <c r="TM61" s="2">
        <v>61.2</v>
      </c>
      <c r="TN61" s="2">
        <v>60.94</v>
      </c>
      <c r="TO61" s="2">
        <v>57.85</v>
      </c>
      <c r="TP61" s="2">
        <v>54.56</v>
      </c>
      <c r="TQ61" s="2">
        <v>62.38</v>
      </c>
      <c r="TR61" s="2">
        <v>62.18</v>
      </c>
      <c r="TS61" s="2">
        <v>61.15</v>
      </c>
      <c r="TT61" s="2">
        <v>58.37</v>
      </c>
      <c r="TU61" s="2">
        <v>63.87</v>
      </c>
      <c r="TV61" s="2">
        <v>63.98</v>
      </c>
      <c r="TW61" s="2">
        <v>62.28</v>
      </c>
      <c r="TX61" s="2">
        <v>60.01</v>
      </c>
      <c r="TY61" s="2">
        <v>65.88</v>
      </c>
      <c r="TZ61" s="2">
        <v>66.04000000000001</v>
      </c>
      <c r="UA61" s="2">
        <v>65.73</v>
      </c>
      <c r="UB61" s="2">
        <v>63.77</v>
      </c>
      <c r="UC61" s="2">
        <v>66.14</v>
      </c>
      <c r="UD61" s="2">
        <v>69.23</v>
      </c>
      <c r="UE61" s="2">
        <v>67.68000000000001</v>
      </c>
      <c r="UF61" s="2">
        <v>64.18000000000001</v>
      </c>
      <c r="UG61" s="2">
        <v>68.2</v>
      </c>
      <c r="UH61" s="2">
        <v>69.73999999999999</v>
      </c>
      <c r="UI61" s="2">
        <v>67.06999999999999</v>
      </c>
      <c r="UJ61" s="2">
        <v>64.22</v>
      </c>
      <c r="UK61" s="2">
        <v>69.2</v>
      </c>
      <c r="UL61" s="2">
        <v>69.27</v>
      </c>
      <c r="UM61" s="2">
        <v>67.90000000000001</v>
      </c>
      <c r="UN61" s="2">
        <v>65.16</v>
      </c>
      <c r="UO61" s="2">
        <v>70.2</v>
      </c>
      <c r="UP61" s="2">
        <v>69.89</v>
      </c>
      <c r="UQ61" s="2">
        <v>69.69</v>
      </c>
      <c r="UR61" s="2">
        <v>67.14</v>
      </c>
      <c r="US61" s="2">
        <v>73.39</v>
      </c>
      <c r="UT61" s="2">
        <v>72.8</v>
      </c>
      <c r="UU61" s="2">
        <v>70.20999999999999</v>
      </c>
      <c r="UV61" s="2">
        <v>66.84999999999999</v>
      </c>
      <c r="UW61" s="2">
        <v>74.48999999999999</v>
      </c>
      <c r="UX61" s="2">
        <v>73.59</v>
      </c>
      <c r="UY61" s="2">
        <v>70.31</v>
      </c>
      <c r="UZ61" s="2">
        <v>68.29000000000001</v>
      </c>
      <c r="VA61" s="2">
        <v>76.36</v>
      </c>
      <c r="VB61" s="2">
        <v>75.83</v>
      </c>
      <c r="VC61" s="2">
        <v>73.09999999999999</v>
      </c>
      <c r="VD61" s="2">
        <v>70.26000000000001</v>
      </c>
      <c r="VE61" s="2">
        <v>78.17</v>
      </c>
      <c r="VF61" s="2">
        <v>77.61</v>
      </c>
      <c r="VG61" s="2">
        <v>74.15000000000001</v>
      </c>
      <c r="VH61" s="2">
        <v>71.14</v>
      </c>
      <c r="VI61" s="2">
        <v>83.06999999999999</v>
      </c>
      <c r="VJ61" s="2">
        <v>81.59999999999999</v>
      </c>
      <c r="VK61" s="2">
        <v>77.64</v>
      </c>
      <c r="VL61" s="2">
        <v>74.06</v>
      </c>
      <c r="VM61" s="2">
        <v>84.63</v>
      </c>
      <c r="VN61" s="2">
        <v>84.20999999999999</v>
      </c>
      <c r="VO61" s="2">
        <v>80.04000000000001</v>
      </c>
      <c r="VP61" s="2">
        <v>76</v>
      </c>
      <c r="VQ61" s="2">
        <v>85.73999999999999</v>
      </c>
      <c r="VR61" s="2">
        <v>85.42</v>
      </c>
      <c r="VS61" s="2">
        <v>81.56</v>
      </c>
      <c r="VT61" s="2">
        <v>77.19</v>
      </c>
      <c r="VU61" s="2">
        <v>87.36</v>
      </c>
      <c r="VV61" s="2">
        <v>86.59</v>
      </c>
      <c r="VW61" s="2">
        <v>83.23999999999999</v>
      </c>
      <c r="VX61" s="2">
        <v>79.31</v>
      </c>
      <c r="VY61" s="2">
        <v>89.59999999999999</v>
      </c>
      <c r="VZ61" s="2">
        <v>89.09999999999999</v>
      </c>
      <c r="WA61" s="2">
        <v>85.13</v>
      </c>
      <c r="WB61" s="2">
        <v>80.61</v>
      </c>
      <c r="WC61" s="2">
        <v>91.31</v>
      </c>
      <c r="WD61" s="2">
        <v>90.12</v>
      </c>
      <c r="WE61" s="2">
        <v>86.62</v>
      </c>
      <c r="WF61" s="2">
        <v>81.22</v>
      </c>
      <c r="WG61" s="2">
        <v>91.34</v>
      </c>
      <c r="WH61" s="2">
        <v>90.63</v>
      </c>
      <c r="WI61" s="2">
        <v>86.09</v>
      </c>
      <c r="WJ61" s="2">
        <v>81.31999999999999</v>
      </c>
      <c r="WK61" s="2">
        <v>92.76000000000001</v>
      </c>
      <c r="WL61" s="2">
        <v>91.19</v>
      </c>
      <c r="WM61" s="2">
        <v>88.79000000000001</v>
      </c>
      <c r="WN61" s="2">
        <v>85.73999999999999</v>
      </c>
      <c r="WO61" s="2">
        <v>92.2</v>
      </c>
      <c r="WP61" s="2">
        <v>90.63</v>
      </c>
      <c r="WQ61" s="2">
        <v>89.67</v>
      </c>
      <c r="WR61" s="2">
        <v>88.31</v>
      </c>
      <c r="WS61" s="2">
        <v>93.66</v>
      </c>
      <c r="WT61" s="2">
        <v>91.84999999999999</v>
      </c>
      <c r="WU61" s="2">
        <v>90.56999999999999</v>
      </c>
      <c r="WV61" s="2">
        <v>87.18000000000001</v>
      </c>
      <c r="WW61" s="2">
        <v>92.22</v>
      </c>
      <c r="WX61" s="2">
        <v>90.54000000000001</v>
      </c>
      <c r="WY61" s="2">
        <v>91.14</v>
      </c>
      <c r="WZ61" s="2">
        <v>89.12</v>
      </c>
      <c r="XA61" s="2">
        <v>93.5</v>
      </c>
      <c r="XB61" s="2">
        <v>91.73999999999999</v>
      </c>
      <c r="XC61" s="2">
        <v>90.95</v>
      </c>
      <c r="XD61" s="2">
        <v>88.58</v>
      </c>
      <c r="XE61" s="2">
        <v>92.87</v>
      </c>
      <c r="XF61" s="2">
        <v>91.77</v>
      </c>
      <c r="XG61" s="2">
        <v>91.13</v>
      </c>
      <c r="XH61" s="2">
        <v>89.2</v>
      </c>
      <c r="XI61" s="2">
        <v>94.27</v>
      </c>
      <c r="XJ61" s="2">
        <v>93.28</v>
      </c>
      <c r="XK61" s="2">
        <v>92.26000000000001</v>
      </c>
      <c r="XL61" s="2">
        <v>90.47</v>
      </c>
      <c r="XM61" s="2">
        <v>94.94</v>
      </c>
      <c r="XN61" s="2">
        <v>94.79000000000001</v>
      </c>
      <c r="XO61" s="2">
        <v>93.83</v>
      </c>
      <c r="XP61" s="2">
        <v>92.58</v>
      </c>
      <c r="XQ61" s="2">
        <v>97.31</v>
      </c>
      <c r="XR61" s="2">
        <v>96.84999999999999</v>
      </c>
      <c r="XS61" s="2">
        <v>94.84999999999999</v>
      </c>
      <c r="XT61" s="2">
        <v>92.17</v>
      </c>
      <c r="XU61" s="2">
        <v>97.06999999999999</v>
      </c>
      <c r="XV61" s="2">
        <v>95.95999999999999</v>
      </c>
      <c r="XW61" s="2">
        <v>94.22</v>
      </c>
      <c r="XX61" s="2">
        <v>93.01000000000001</v>
      </c>
      <c r="XY61" s="2">
        <v>98.27</v>
      </c>
      <c r="XZ61" s="2">
        <v>97.19</v>
      </c>
      <c r="YA61" s="2">
        <v>95.40000000000001</v>
      </c>
      <c r="YB61" s="2">
        <v>95.34999999999999</v>
      </c>
      <c r="YC61" s="2">
        <v>99.70999999999999</v>
      </c>
      <c r="YD61" s="2">
        <v>98.72</v>
      </c>
      <c r="YE61" s="2">
        <v>97.47</v>
      </c>
      <c r="YF61" s="2">
        <v>95.86</v>
      </c>
      <c r="YG61" s="2">
        <v>102.62</v>
      </c>
      <c r="YH61" s="2">
        <v>101.96</v>
      </c>
      <c r="YI61" s="2">
        <v>100.38</v>
      </c>
      <c r="YJ61" s="2">
        <v>98.81</v>
      </c>
      <c r="YK61" s="2">
        <v>104.09</v>
      </c>
      <c r="YL61" s="2">
        <v>101.97</v>
      </c>
      <c r="YM61" s="2">
        <v>100.67</v>
      </c>
      <c r="YN61" s="2">
        <v>99.31999999999999</v>
      </c>
      <c r="YO61" s="2">
        <v>102.87</v>
      </c>
      <c r="YP61" s="2">
        <v>100.85</v>
      </c>
      <c r="ADO61" s="2">
        <v>1.7</v>
      </c>
      <c r="ADP61" s="2">
        <v>3.1</v>
      </c>
      <c r="ADQ61" s="2">
        <v>1.9</v>
      </c>
      <c r="ADR61" s="2">
        <v>1.8</v>
      </c>
      <c r="ADS61" s="2">
        <v>3.3</v>
      </c>
      <c r="ADT61" s="2">
        <v>4.3</v>
      </c>
      <c r="ADU61" s="2">
        <v>3.1</v>
      </c>
      <c r="ADV61" s="2">
        <v>3.2</v>
      </c>
      <c r="ADW61" s="2">
        <v>2.1</v>
      </c>
      <c r="ADX61" s="2">
        <v>9.6</v>
      </c>
      <c r="ADY61" s="2">
        <v>1.9</v>
      </c>
      <c r="ADZ61" s="2">
        <v>1.9</v>
      </c>
      <c r="AEA61" s="2">
        <v>0.6</v>
      </c>
      <c r="AEB61" s="2">
        <v>2.3</v>
      </c>
      <c r="AEC61" s="2">
        <v>1.8</v>
      </c>
      <c r="AED61" s="2">
        <v>0.6</v>
      </c>
      <c r="AEE61" s="2">
        <v>1.7</v>
      </c>
      <c r="AEF61" s="2">
        <v>1.6</v>
      </c>
      <c r="AEG61" s="2">
        <v>1.1</v>
      </c>
      <c r="AEH61" s="2">
        <v>7.1</v>
      </c>
      <c r="AEI61" s="2">
        <v>1.8</v>
      </c>
      <c r="AEJ61" s="2">
        <v>2.3</v>
      </c>
      <c r="AEK61" s="2">
        <v>3</v>
      </c>
      <c r="AEL61" s="2">
        <v>1.6</v>
      </c>
      <c r="AEM61" s="2">
        <v>10.6</v>
      </c>
      <c r="AEN61" s="2">
        <v>5</v>
      </c>
      <c r="AEO61" s="2">
        <v>-3</v>
      </c>
      <c r="AEP61" s="2">
        <v>-5.1</v>
      </c>
      <c r="AEQ61" s="2">
        <v>-6.3</v>
      </c>
      <c r="AER61" s="2">
        <v>24.1</v>
      </c>
      <c r="AES61" s="2">
        <v>-0.8</v>
      </c>
      <c r="AET61" s="2">
        <v>-4.5</v>
      </c>
      <c r="AEU61" s="2">
        <v>-9</v>
      </c>
      <c r="AEV61" s="2">
        <v>23</v>
      </c>
      <c r="AEW61" s="2">
        <v>-1.4</v>
      </c>
      <c r="AEX61" s="2">
        <v>-4.5</v>
      </c>
      <c r="AEY61" s="2">
        <v>-6.2</v>
      </c>
      <c r="AEZ61" s="2">
        <v>18.6</v>
      </c>
      <c r="AFA61" s="2">
        <v>-0.7</v>
      </c>
      <c r="AFB61" s="2">
        <v>-3.3</v>
      </c>
      <c r="AFC61" s="2">
        <v>-4.3</v>
      </c>
      <c r="AFD61" s="2">
        <v>14.2</v>
      </c>
      <c r="AFE61" s="2">
        <v>0.2</v>
      </c>
      <c r="AFF61" s="2">
        <v>-1.6</v>
      </c>
      <c r="AFG61" s="2">
        <v>-4.1</v>
      </c>
      <c r="AFH61" s="2">
        <v>8</v>
      </c>
      <c r="AFI61" s="2">
        <v>0.6</v>
      </c>
      <c r="AFJ61" s="2">
        <v>-4.8</v>
      </c>
      <c r="AFK61" s="2">
        <v>-6</v>
      </c>
      <c r="AFL61" s="2">
        <v>15</v>
      </c>
      <c r="AFM61" s="2">
        <v>-0.4</v>
      </c>
      <c r="AFN61" s="2">
        <v>-5.1</v>
      </c>
      <c r="AFO61" s="2">
        <v>-5.7</v>
      </c>
      <c r="AFP61" s="2">
        <v>14.3</v>
      </c>
      <c r="AFQ61" s="2">
        <v>-0.3</v>
      </c>
      <c r="AFR61" s="2">
        <v>-1.7</v>
      </c>
      <c r="AFS61" s="2">
        <v>-4.5</v>
      </c>
      <c r="AFT61" s="2">
        <v>9.4</v>
      </c>
      <c r="AFU61" s="2">
        <v>0.2</v>
      </c>
      <c r="AFV61" s="2">
        <v>-2.7</v>
      </c>
      <c r="AFW61" s="2">
        <v>-3.6</v>
      </c>
      <c r="AFX61" s="2">
        <v>9.800000000000001</v>
      </c>
      <c r="AFY61" s="2">
        <v>0.2</v>
      </c>
      <c r="AFZ61" s="2">
        <v>-0.5</v>
      </c>
      <c r="AGA61" s="2">
        <v>-3</v>
      </c>
      <c r="AGB61" s="2">
        <v>3.7</v>
      </c>
      <c r="AGC61" s="2">
        <v>4.7</v>
      </c>
      <c r="AGD61" s="2">
        <v>-2.2</v>
      </c>
      <c r="AGE61" s="2">
        <v>-5.2</v>
      </c>
      <c r="AGF61" s="2">
        <v>6.3</v>
      </c>
      <c r="AGG61" s="2">
        <v>2.3</v>
      </c>
      <c r="AGH61" s="2">
        <v>-3.8</v>
      </c>
      <c r="AGI61" s="2">
        <v>-4.2</v>
      </c>
      <c r="AGJ61" s="2">
        <v>7.8</v>
      </c>
      <c r="AGK61" s="2">
        <v>0.1</v>
      </c>
      <c r="AGL61" s="2">
        <v>-2</v>
      </c>
      <c r="AGM61" s="2">
        <v>-4</v>
      </c>
      <c r="AGN61" s="2">
        <v>7.7</v>
      </c>
      <c r="AGO61" s="2">
        <v>-0.4</v>
      </c>
      <c r="AGP61" s="2">
        <v>-0.3</v>
      </c>
      <c r="AGQ61" s="2">
        <v>-3.7</v>
      </c>
      <c r="AGR61" s="2">
        <v>9.300000000000001</v>
      </c>
      <c r="AGS61" s="2">
        <v>-0.8</v>
      </c>
      <c r="AGT61" s="2">
        <v>-3.6</v>
      </c>
      <c r="AGU61" s="2">
        <v>-4.8</v>
      </c>
      <c r="AGV61" s="2">
        <v>11.4</v>
      </c>
      <c r="AGW61" s="2">
        <v>-1.2</v>
      </c>
      <c r="AGX61" s="2">
        <v>-4.5</v>
      </c>
      <c r="AGY61" s="2">
        <v>-2.9</v>
      </c>
      <c r="AGZ61" s="2">
        <v>11.8</v>
      </c>
      <c r="AHA61" s="2">
        <v>-0.7</v>
      </c>
      <c r="AHB61" s="2">
        <v>-3.6</v>
      </c>
      <c r="AHC61" s="2">
        <v>-3.9</v>
      </c>
      <c r="AHD61" s="2">
        <v>11.3</v>
      </c>
      <c r="AHE61" s="2">
        <v>-0.7</v>
      </c>
      <c r="AHF61" s="2">
        <v>-4.5</v>
      </c>
      <c r="AHG61" s="2">
        <v>-4.1</v>
      </c>
      <c r="AHH61" s="2">
        <v>16.8</v>
      </c>
      <c r="AHI61" s="2">
        <v>-1.8</v>
      </c>
      <c r="AHJ61" s="2">
        <v>-4.9</v>
      </c>
      <c r="AHK61" s="2">
        <v>-4.6</v>
      </c>
      <c r="AHL61" s="2">
        <v>14.3</v>
      </c>
      <c r="AHM61" s="2">
        <v>-0.5</v>
      </c>
      <c r="AHN61" s="2">
        <v>-5</v>
      </c>
      <c r="AHO61" s="2">
        <v>-5</v>
      </c>
      <c r="AHP61" s="2">
        <v>12.8</v>
      </c>
      <c r="AHQ61" s="2">
        <v>-0.4</v>
      </c>
      <c r="AHR61" s="2">
        <v>-4.5</v>
      </c>
      <c r="AHS61" s="2">
        <v>-5.4</v>
      </c>
      <c r="AHT61" s="2">
        <v>13.2</v>
      </c>
      <c r="AHU61" s="2">
        <v>-0.9</v>
      </c>
      <c r="AHV61" s="2">
        <v>-3.9</v>
      </c>
      <c r="AHW61" s="2">
        <v>-4.7</v>
      </c>
      <c r="AHX61" s="2">
        <v>13</v>
      </c>
      <c r="AHY61" s="2">
        <v>-0.6</v>
      </c>
      <c r="AHZ61" s="2">
        <v>-4.5</v>
      </c>
      <c r="AIA61" s="2">
        <v>-5.3</v>
      </c>
      <c r="AIB61" s="2">
        <v>13.3</v>
      </c>
      <c r="AIC61" s="2">
        <v>-1.3</v>
      </c>
      <c r="AID61" s="2">
        <v>-3.9</v>
      </c>
      <c r="AIE61" s="2">
        <v>-6.2</v>
      </c>
      <c r="AIF61" s="2">
        <v>12.5</v>
      </c>
      <c r="AIG61" s="2">
        <v>-0.8</v>
      </c>
      <c r="AIH61" s="2">
        <v>-5</v>
      </c>
      <c r="AII61" s="2">
        <v>-5.5</v>
      </c>
      <c r="AIJ61" s="2">
        <v>14.1</v>
      </c>
      <c r="AIK61" s="2">
        <v>-1.7</v>
      </c>
      <c r="AIL61" s="2">
        <v>-2.6</v>
      </c>
      <c r="AIM61" s="2">
        <v>-3.4</v>
      </c>
      <c r="AIN61" s="2">
        <v>7.5</v>
      </c>
      <c r="AIO61" s="2">
        <v>-1.7</v>
      </c>
      <c r="AIP61" s="2">
        <v>-1.1</v>
      </c>
      <c r="AIQ61" s="2">
        <v>-1.5</v>
      </c>
      <c r="AIR61" s="2">
        <v>6.1</v>
      </c>
      <c r="AIS61" s="2">
        <v>-1.9</v>
      </c>
      <c r="AIT61" s="2">
        <v>-1.4</v>
      </c>
      <c r="AIU61" s="2">
        <v>-3.7</v>
      </c>
      <c r="AIV61" s="2">
        <v>5.8</v>
      </c>
      <c r="AIW61" s="2">
        <v>-1.8</v>
      </c>
      <c r="AIX61" s="2">
        <v>0.7</v>
      </c>
      <c r="AIY61" s="2">
        <v>-2.2</v>
      </c>
      <c r="AIZ61" s="2">
        <v>4.9</v>
      </c>
      <c r="AJA61" s="2">
        <v>-1.9</v>
      </c>
      <c r="AJB61" s="2">
        <v>-0.9</v>
      </c>
      <c r="AJC61" s="2">
        <v>-2.6</v>
      </c>
      <c r="AJD61" s="2">
        <v>4.8</v>
      </c>
      <c r="AJE61" s="2">
        <v>-1.2</v>
      </c>
      <c r="AJF61" s="2">
        <v>-0.7</v>
      </c>
      <c r="AJG61" s="2">
        <v>-2.1</v>
      </c>
      <c r="AJH61" s="2">
        <v>5.7</v>
      </c>
      <c r="AJI61" s="2">
        <v>-1.1</v>
      </c>
      <c r="AJJ61" s="2">
        <v>-1.1</v>
      </c>
      <c r="AJK61" s="2">
        <v>-1.9</v>
      </c>
      <c r="AJL61" s="2">
        <v>4.9</v>
      </c>
      <c r="AJM61" s="2">
        <v>-0.2</v>
      </c>
      <c r="AJN61" s="2">
        <v>-1</v>
      </c>
      <c r="AJO61" s="2">
        <v>-1.3</v>
      </c>
      <c r="AJP61" s="2">
        <v>5.1</v>
      </c>
      <c r="AJQ61" s="2">
        <v>-0.5</v>
      </c>
      <c r="AJR61" s="2">
        <v>-2.1</v>
      </c>
      <c r="AJS61" s="2">
        <v>-2.8</v>
      </c>
      <c r="AJT61" s="2">
        <v>5.3</v>
      </c>
      <c r="AJU61" s="2">
        <v>-1.1</v>
      </c>
      <c r="AJV61" s="2">
        <v>-1.8</v>
      </c>
      <c r="AJW61" s="2">
        <v>-1.3</v>
      </c>
      <c r="AJX61" s="2">
        <v>5.7</v>
      </c>
      <c r="AJY61" s="2">
        <v>-1.1</v>
      </c>
      <c r="AJZ61" s="2">
        <v>-1.8</v>
      </c>
      <c r="AKA61" s="2">
        <v>-0.1</v>
      </c>
      <c r="AKB61" s="2">
        <v>4.6</v>
      </c>
      <c r="AKC61" s="2">
        <v>-1</v>
      </c>
      <c r="AKD61" s="2">
        <v>-1.3</v>
      </c>
      <c r="AKE61" s="2">
        <v>-1.7</v>
      </c>
      <c r="AKF61" s="2">
        <v>7.1</v>
      </c>
      <c r="AKG61" s="2">
        <v>-0.6</v>
      </c>
      <c r="AKH61" s="2">
        <v>-1.5</v>
      </c>
      <c r="AKI61" s="2">
        <v>-1.6</v>
      </c>
      <c r="AKJ61" s="2">
        <v>5.3</v>
      </c>
      <c r="AKK61" s="2">
        <v>-2</v>
      </c>
      <c r="AKL61" s="2">
        <v>-1.3</v>
      </c>
      <c r="AKM61" s="2">
        <v>-1.3</v>
      </c>
      <c r="AKN61" s="2">
        <v>3.6</v>
      </c>
      <c r="AKO61" s="2">
        <v>-2</v>
      </c>
      <c r="AKP61" s="2">
        <v>0.93</v>
      </c>
      <c r="AKQ61" s="2">
        <v>0.96</v>
      </c>
      <c r="AKR61" s="2">
        <v>0.9399999999999999</v>
      </c>
    </row>
    <row r="62">
      <c r="A62" t="inlineStr">
        <is>
          <t>Therapeutic appliances and equipment</t>
        </is>
      </c>
      <c r="B62" t="inlineStr">
        <is>
          <t>Medical products, appliances and equipment</t>
        </is>
      </c>
      <c r="C62">
        <v>3</v>
      </c>
      <c r="D62">
        <v>0.14</v>
      </c>
      <c r="E62" s="3">
        <f>D62/1.0899999999999999*0.0109</f>
        <v>0.0014000000000000004</v>
      </c>
      <c r="F62" s="3">
        <f>E62-D62/100</f>
        <v>2.168404344971009e-19</v>
      </c>
      <c r="G62" s="3">
        <f>D62/1.0899999999999999</f>
        <v>0.1284403669724771</v>
      </c>
      <c r="CI62" s="2">
        <v>96.8</v>
      </c>
      <c r="CJ62" s="2">
        <v>97.05</v>
      </c>
      <c r="CK62" s="2">
        <v>96.94</v>
      </c>
      <c r="CL62" s="2">
        <v>97.09999999999999</v>
      </c>
      <c r="CM62" s="2">
        <v>97.08</v>
      </c>
      <c r="CN62" s="2">
        <v>97.20999999999999</v>
      </c>
      <c r="CO62" s="2">
        <v>97.44</v>
      </c>
      <c r="CP62" s="2">
        <v>97.26000000000001</v>
      </c>
      <c r="CQ62" s="2">
        <v>96.39</v>
      </c>
      <c r="CR62" s="2">
        <v>98.06</v>
      </c>
      <c r="CS62" s="2">
        <v>97.54000000000001</v>
      </c>
      <c r="CT62" s="2">
        <v>97.8</v>
      </c>
      <c r="CU62" s="2">
        <v>98.84</v>
      </c>
      <c r="CV62" s="2">
        <v>98.67</v>
      </c>
      <c r="CW62" s="2">
        <v>99.11</v>
      </c>
      <c r="CX62" s="2">
        <v>99.56999999999999</v>
      </c>
      <c r="CY62" s="2">
        <v>99.81999999999999</v>
      </c>
      <c r="CZ62" s="2">
        <v>100</v>
      </c>
      <c r="DA62" s="2">
        <v>99.89</v>
      </c>
      <c r="DB62" s="2">
        <v>99.89</v>
      </c>
      <c r="DC62" s="2">
        <v>99.16</v>
      </c>
      <c r="DD62" s="2">
        <v>98.77</v>
      </c>
      <c r="DE62" s="2">
        <v>99.38</v>
      </c>
      <c r="DF62" s="2">
        <v>99.48999999999999</v>
      </c>
      <c r="DG62" s="2">
        <v>99.62</v>
      </c>
      <c r="DH62" s="2">
        <v>100.27</v>
      </c>
      <c r="DI62" s="2">
        <v>97.94</v>
      </c>
      <c r="DJ62" s="2">
        <v>100.47</v>
      </c>
      <c r="GL62" s="2">
        <v>2.1</v>
      </c>
      <c r="GM62" s="2">
        <v>1.7</v>
      </c>
      <c r="GN62" s="2">
        <v>2.2</v>
      </c>
      <c r="GO62" s="2">
        <v>2.5</v>
      </c>
      <c r="GP62" s="2">
        <v>2.8</v>
      </c>
      <c r="GQ62" s="2">
        <v>2.9</v>
      </c>
      <c r="GR62" s="2">
        <v>2.5</v>
      </c>
      <c r="GS62" s="2">
        <v>2.7</v>
      </c>
      <c r="GT62" s="2">
        <v>2.9</v>
      </c>
      <c r="GU62" s="2">
        <v>0.7</v>
      </c>
      <c r="GV62" s="2">
        <v>1.9</v>
      </c>
      <c r="GW62" s="2">
        <v>1.7</v>
      </c>
      <c r="GX62" s="2">
        <v>0.8</v>
      </c>
      <c r="GY62" s="2">
        <v>1.6</v>
      </c>
      <c r="GZ62" s="2">
        <v>-1.2</v>
      </c>
      <c r="HA62" s="2">
        <v>0.9</v>
      </c>
      <c r="KC62" s="2">
        <v>0.3</v>
      </c>
      <c r="KD62" s="2">
        <v>-0.1</v>
      </c>
      <c r="KE62" s="2">
        <v>0.2</v>
      </c>
      <c r="KF62" s="2">
        <v>0</v>
      </c>
      <c r="KG62" s="2">
        <v>0.1</v>
      </c>
      <c r="KH62" s="2">
        <v>0.2</v>
      </c>
      <c r="KI62" s="2">
        <v>-0.2</v>
      </c>
      <c r="KJ62" s="2">
        <v>-0.9</v>
      </c>
      <c r="KK62" s="2">
        <v>1.7</v>
      </c>
      <c r="KL62" s="2">
        <v>-0.5</v>
      </c>
      <c r="KM62" s="2">
        <v>0.3</v>
      </c>
      <c r="KN62" s="2">
        <v>1.1</v>
      </c>
      <c r="KO62" s="2">
        <v>-0.2</v>
      </c>
      <c r="KP62" s="2">
        <v>0.4</v>
      </c>
      <c r="KQ62" s="2">
        <v>0.5</v>
      </c>
      <c r="KR62" s="2">
        <v>0.3</v>
      </c>
      <c r="KS62" s="2">
        <v>0.2</v>
      </c>
      <c r="KT62" s="2">
        <v>-0.1</v>
      </c>
      <c r="KU62" s="2">
        <v>0</v>
      </c>
      <c r="KV62" s="2">
        <v>-0.7</v>
      </c>
      <c r="KW62" s="2">
        <v>-0.4</v>
      </c>
      <c r="KX62" s="2">
        <v>0.6</v>
      </c>
      <c r="KY62" s="2">
        <v>0.1</v>
      </c>
      <c r="KZ62" s="2">
        <v>0.1</v>
      </c>
      <c r="LA62" s="2">
        <v>0.7</v>
      </c>
      <c r="LB62" s="2">
        <v>-2.3</v>
      </c>
      <c r="LC62" s="2">
        <v>2.6</v>
      </c>
      <c r="LD62" s="2">
        <v>0.14</v>
      </c>
      <c r="LE62" s="2">
        <v>0.14</v>
      </c>
      <c r="LF62" s="2">
        <v>0.14</v>
      </c>
      <c r="LG62" s="2">
        <v>0.14</v>
      </c>
      <c r="LH62" s="2">
        <v>0.14</v>
      </c>
      <c r="LI62" s="2">
        <v>0.14</v>
      </c>
      <c r="LJ62" s="2">
        <v>0.14</v>
      </c>
      <c r="LK62" s="2">
        <v>0.14</v>
      </c>
      <c r="LL62" s="2">
        <v>0.14</v>
      </c>
      <c r="LM62" s="2">
        <v>0.14</v>
      </c>
      <c r="LN62" s="2">
        <v>0.14</v>
      </c>
      <c r="LO62" s="2">
        <v>0.14</v>
      </c>
      <c r="LP62" s="2">
        <v>0.14</v>
      </c>
      <c r="LQ62" s="2">
        <v>0.14</v>
      </c>
      <c r="LR62" s="2">
        <v>0.14</v>
      </c>
      <c r="LS62" s="2">
        <v>0.14</v>
      </c>
      <c r="LT62" s="2">
        <v>0.14</v>
      </c>
      <c r="LU62" s="2">
        <v>0.14</v>
      </c>
      <c r="LV62" s="2">
        <v>0.14</v>
      </c>
      <c r="LW62" s="2">
        <v>0.14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SN62" s="2">
        <v>51.94</v>
      </c>
      <c r="SO62" s="2">
        <v>53.08</v>
      </c>
      <c r="SP62" s="2">
        <v>53.74</v>
      </c>
      <c r="SQ62" s="2">
        <v>53.86</v>
      </c>
      <c r="SR62" s="2">
        <v>54.1</v>
      </c>
      <c r="SS62" s="2">
        <v>55.06</v>
      </c>
      <c r="ST62" s="2">
        <v>56.97</v>
      </c>
      <c r="SU62" s="2">
        <v>57.33</v>
      </c>
      <c r="SV62" s="2">
        <v>57.39</v>
      </c>
      <c r="SW62" s="2">
        <v>58.41</v>
      </c>
      <c r="SX62" s="2">
        <v>58.65</v>
      </c>
      <c r="SY62" s="2">
        <v>59.19</v>
      </c>
      <c r="SZ62" s="2">
        <v>59.49</v>
      </c>
      <c r="TA62" s="2">
        <v>60.21</v>
      </c>
      <c r="TB62" s="2">
        <v>60.93</v>
      </c>
      <c r="TC62" s="2">
        <v>61.53</v>
      </c>
      <c r="TD62" s="2">
        <v>61.95</v>
      </c>
      <c r="TE62" s="2">
        <v>62.43</v>
      </c>
      <c r="TF62" s="2">
        <v>63.09</v>
      </c>
      <c r="TG62" s="2">
        <v>63.33</v>
      </c>
      <c r="TH62" s="2">
        <v>63.69</v>
      </c>
      <c r="TI62" s="2">
        <v>63.93</v>
      </c>
      <c r="TJ62" s="2">
        <v>63.69</v>
      </c>
      <c r="TK62" s="2">
        <v>66.03</v>
      </c>
      <c r="TL62" s="2">
        <v>66.93000000000001</v>
      </c>
      <c r="TM62" s="2">
        <v>67.53</v>
      </c>
      <c r="TN62" s="2">
        <v>65.73</v>
      </c>
      <c r="TO62" s="2">
        <v>67.83</v>
      </c>
      <c r="TP62" s="2">
        <v>68.01000000000001</v>
      </c>
      <c r="TQ62" s="2">
        <v>68.31</v>
      </c>
      <c r="TR62" s="2">
        <v>68.25</v>
      </c>
      <c r="TS62" s="2">
        <v>69.20999999999999</v>
      </c>
      <c r="TT62" s="2">
        <v>69.39</v>
      </c>
      <c r="TU62" s="2">
        <v>69.20999999999999</v>
      </c>
      <c r="TV62" s="2">
        <v>69.63</v>
      </c>
      <c r="TW62" s="2">
        <v>70.47</v>
      </c>
      <c r="TX62" s="2">
        <v>71.01000000000001</v>
      </c>
      <c r="TY62" s="2">
        <v>71.43000000000001</v>
      </c>
      <c r="TZ62" s="2">
        <v>69.87</v>
      </c>
      <c r="UA62" s="2">
        <v>71.43000000000001</v>
      </c>
      <c r="UB62" s="2">
        <v>72.09</v>
      </c>
      <c r="UC62" s="2">
        <v>72.39</v>
      </c>
      <c r="UD62" s="2">
        <v>72.75</v>
      </c>
      <c r="UE62" s="2">
        <v>73.17</v>
      </c>
      <c r="UF62" s="2">
        <v>73.53</v>
      </c>
      <c r="UG62" s="2">
        <v>73.83</v>
      </c>
      <c r="UH62" s="2">
        <v>74.37</v>
      </c>
      <c r="UI62" s="2">
        <v>74.31999999999999</v>
      </c>
      <c r="UJ62" s="2">
        <v>74.53</v>
      </c>
      <c r="UK62" s="2">
        <v>74.68000000000001</v>
      </c>
      <c r="UL62" s="2">
        <v>74.77</v>
      </c>
      <c r="UM62" s="2">
        <v>75.18000000000001</v>
      </c>
      <c r="UN62" s="2">
        <v>75.45</v>
      </c>
      <c r="UO62" s="2">
        <v>75.76000000000001</v>
      </c>
      <c r="UP62" s="2">
        <v>75.73</v>
      </c>
      <c r="UQ62" s="2">
        <v>80.06</v>
      </c>
      <c r="UR62" s="2">
        <v>80.26000000000001</v>
      </c>
      <c r="US62" s="2">
        <v>80.61</v>
      </c>
      <c r="UT62" s="2">
        <v>80.93000000000001</v>
      </c>
      <c r="UU62" s="2">
        <v>81.40000000000001</v>
      </c>
      <c r="UV62" s="2">
        <v>81.78</v>
      </c>
      <c r="UW62" s="2">
        <v>82.05</v>
      </c>
      <c r="UX62" s="2">
        <v>82.33</v>
      </c>
      <c r="UY62" s="2">
        <v>82.56</v>
      </c>
      <c r="UZ62" s="2">
        <v>82.59999999999999</v>
      </c>
      <c r="VA62" s="2">
        <v>82.75</v>
      </c>
      <c r="VB62" s="2">
        <v>82.51000000000001</v>
      </c>
      <c r="VC62" s="2">
        <v>83.2</v>
      </c>
      <c r="VD62" s="2">
        <v>83.25</v>
      </c>
      <c r="VE62" s="2">
        <v>83.79000000000001</v>
      </c>
      <c r="VF62" s="2">
        <v>84.34999999999999</v>
      </c>
      <c r="VG62" s="2">
        <v>85.06</v>
      </c>
      <c r="VH62" s="2">
        <v>85.40000000000001</v>
      </c>
      <c r="VI62" s="2">
        <v>85.34999999999999</v>
      </c>
      <c r="VJ62" s="2">
        <v>86.15000000000001</v>
      </c>
      <c r="VK62" s="2">
        <v>85.88</v>
      </c>
      <c r="VL62" s="2">
        <v>86.98</v>
      </c>
      <c r="VM62" s="2">
        <v>87.56</v>
      </c>
      <c r="VN62" s="2">
        <v>87.58</v>
      </c>
      <c r="VO62" s="2">
        <v>87.84</v>
      </c>
      <c r="VP62" s="2">
        <v>87.91</v>
      </c>
      <c r="VQ62" s="2">
        <v>88.26000000000001</v>
      </c>
      <c r="VR62" s="2">
        <v>88.48999999999999</v>
      </c>
      <c r="VS62" s="2">
        <v>88.83</v>
      </c>
      <c r="VT62" s="2">
        <v>89.63</v>
      </c>
      <c r="VU62" s="2">
        <v>89.94</v>
      </c>
      <c r="VV62" s="2">
        <v>89.89</v>
      </c>
      <c r="VW62" s="2">
        <v>90</v>
      </c>
      <c r="VX62" s="2">
        <v>88.53</v>
      </c>
      <c r="VY62" s="2">
        <v>88.15000000000001</v>
      </c>
      <c r="VZ62" s="2">
        <v>89.72</v>
      </c>
      <c r="WA62" s="2">
        <v>87.97</v>
      </c>
      <c r="WB62" s="2">
        <v>91.03</v>
      </c>
      <c r="WC62" s="2">
        <v>91.58</v>
      </c>
      <c r="WD62" s="2">
        <v>91.59</v>
      </c>
      <c r="WE62" s="2">
        <v>91.34</v>
      </c>
      <c r="WF62" s="2">
        <v>91.06999999999999</v>
      </c>
      <c r="WG62" s="2">
        <v>91.64</v>
      </c>
      <c r="WH62" s="2">
        <v>92.03</v>
      </c>
      <c r="WI62" s="2">
        <v>95.75</v>
      </c>
      <c r="WJ62" s="2">
        <v>95.64</v>
      </c>
      <c r="WK62" s="2">
        <v>95.7</v>
      </c>
      <c r="WL62" s="2">
        <v>95.19</v>
      </c>
      <c r="WM62" s="2">
        <v>95.28</v>
      </c>
      <c r="WN62" s="2">
        <v>95.33</v>
      </c>
      <c r="WO62" s="2">
        <v>95.45</v>
      </c>
      <c r="WP62" s="2">
        <v>95.55</v>
      </c>
      <c r="WQ62" s="2">
        <v>94.48999999999999</v>
      </c>
      <c r="WR62" s="2">
        <v>93.61</v>
      </c>
      <c r="WS62" s="2">
        <v>93.44</v>
      </c>
      <c r="WT62" s="2">
        <v>93.93000000000001</v>
      </c>
      <c r="WU62" s="2">
        <v>94.2</v>
      </c>
      <c r="WV62" s="2">
        <v>94.40000000000001</v>
      </c>
      <c r="WW62" s="2">
        <v>95.16</v>
      </c>
      <c r="WX62" s="2">
        <v>94.16</v>
      </c>
      <c r="WY62" s="2">
        <v>92.51000000000001</v>
      </c>
      <c r="WZ62" s="2">
        <v>93.95999999999999</v>
      </c>
      <c r="XA62" s="2">
        <v>92.89</v>
      </c>
      <c r="XB62" s="2">
        <v>92.89</v>
      </c>
      <c r="XC62" s="2">
        <v>92.95</v>
      </c>
      <c r="XD62" s="2">
        <v>93.08</v>
      </c>
      <c r="XE62" s="2">
        <v>92.84999999999999</v>
      </c>
      <c r="XF62" s="2">
        <v>92.81999999999999</v>
      </c>
      <c r="XG62" s="2">
        <v>93.16</v>
      </c>
      <c r="XH62" s="2">
        <v>92.97</v>
      </c>
      <c r="XI62" s="2">
        <v>93.11</v>
      </c>
      <c r="XJ62" s="2">
        <v>93.14</v>
      </c>
      <c r="XK62" s="2">
        <v>93.05</v>
      </c>
      <c r="XL62" s="2">
        <v>93.12</v>
      </c>
      <c r="XM62" s="2">
        <v>93.06</v>
      </c>
      <c r="XN62" s="2">
        <v>93</v>
      </c>
      <c r="XO62" s="2">
        <v>93.03</v>
      </c>
      <c r="XP62" s="2">
        <v>93.09</v>
      </c>
      <c r="XQ62" s="2">
        <v>92.89</v>
      </c>
      <c r="XR62" s="2">
        <v>93.18000000000001</v>
      </c>
      <c r="XS62" s="2">
        <v>93.38</v>
      </c>
      <c r="XT62" s="2">
        <v>93.56</v>
      </c>
      <c r="XU62" s="2">
        <v>94.05</v>
      </c>
      <c r="XV62" s="2">
        <v>93.89</v>
      </c>
      <c r="XW62" s="2">
        <v>93.98999999999999</v>
      </c>
      <c r="XX62" s="2">
        <v>94.05</v>
      </c>
      <c r="XY62" s="2">
        <v>93.44</v>
      </c>
      <c r="XZ62" s="2">
        <v>94.13</v>
      </c>
      <c r="YA62" s="2">
        <v>94.78</v>
      </c>
      <c r="YB62" s="2">
        <v>94.8</v>
      </c>
      <c r="YC62" s="2">
        <v>95.23999999999999</v>
      </c>
      <c r="YD62" s="2">
        <v>95.39</v>
      </c>
      <c r="YE62" s="2">
        <v>96.36</v>
      </c>
      <c r="YF62" s="2">
        <v>95.36</v>
      </c>
      <c r="YG62" s="2">
        <v>95.95</v>
      </c>
      <c r="YH62" s="2">
        <v>96.73</v>
      </c>
      <c r="YI62" s="2">
        <v>96.87</v>
      </c>
      <c r="YJ62" s="2">
        <v>96.09999999999999</v>
      </c>
      <c r="YK62" s="2">
        <v>97.59</v>
      </c>
      <c r="YL62" s="2">
        <v>98.83</v>
      </c>
      <c r="YM62" s="2">
        <v>99.8</v>
      </c>
      <c r="YN62" s="2">
        <v>99.65000000000001</v>
      </c>
      <c r="YO62" s="2">
        <v>99.20999999999999</v>
      </c>
      <c r="YP62" s="2">
        <v>99.27</v>
      </c>
      <c r="AEN62" s="2">
        <v>2.2</v>
      </c>
      <c r="AEO62" s="2">
        <v>1.2</v>
      </c>
      <c r="AEP62" s="2">
        <v>0.2</v>
      </c>
      <c r="AEQ62" s="2">
        <v>0.4</v>
      </c>
      <c r="AER62" s="2">
        <v>1.8</v>
      </c>
      <c r="AES62" s="2">
        <v>3.5</v>
      </c>
      <c r="AET62" s="2">
        <v>0.6</v>
      </c>
      <c r="AEU62" s="2">
        <v>0.1</v>
      </c>
      <c r="AEV62" s="2">
        <v>1.8</v>
      </c>
      <c r="AEW62" s="2">
        <v>0.4</v>
      </c>
      <c r="AEX62" s="2">
        <v>0.9</v>
      </c>
      <c r="AEY62" s="2">
        <v>0.5</v>
      </c>
      <c r="AEZ62" s="2">
        <v>1.2</v>
      </c>
      <c r="AFA62" s="2">
        <v>1.2</v>
      </c>
      <c r="AFB62" s="2">
        <v>1</v>
      </c>
      <c r="AFC62" s="2">
        <v>0.7</v>
      </c>
      <c r="AFD62" s="2">
        <v>0.8</v>
      </c>
      <c r="AFE62" s="2">
        <v>1.1</v>
      </c>
      <c r="AFF62" s="2">
        <v>0.4</v>
      </c>
      <c r="AFG62" s="2">
        <v>0.6</v>
      </c>
      <c r="AFH62" s="2">
        <v>0.4</v>
      </c>
      <c r="AFI62" s="2">
        <v>-0.4</v>
      </c>
      <c r="AFJ62" s="2">
        <v>3.7</v>
      </c>
      <c r="AFK62" s="2">
        <v>1.4</v>
      </c>
      <c r="AFL62" s="2">
        <v>0.9</v>
      </c>
      <c r="AFM62" s="2">
        <v>-2.7</v>
      </c>
      <c r="AFN62" s="2">
        <v>3.2</v>
      </c>
      <c r="AFO62" s="2">
        <v>0.3</v>
      </c>
      <c r="AFP62" s="2">
        <v>0.4</v>
      </c>
      <c r="AFQ62" s="2">
        <v>-0.1</v>
      </c>
      <c r="AFR62" s="2">
        <v>1.4</v>
      </c>
      <c r="AFS62" s="2">
        <v>0.3</v>
      </c>
      <c r="AFT62" s="2">
        <v>-0.3</v>
      </c>
      <c r="AFU62" s="2">
        <v>0.6</v>
      </c>
      <c r="AFV62" s="2">
        <v>1.2</v>
      </c>
      <c r="AFW62" s="2">
        <v>0.8</v>
      </c>
      <c r="AFX62" s="2">
        <v>0.6</v>
      </c>
      <c r="AFY62" s="2">
        <v>-2.2</v>
      </c>
      <c r="AFZ62" s="2">
        <v>2.2</v>
      </c>
      <c r="AGA62" s="2">
        <v>0.9</v>
      </c>
      <c r="AGB62" s="2">
        <v>0.4</v>
      </c>
      <c r="AGC62" s="2">
        <v>0.5</v>
      </c>
      <c r="AGD62" s="2">
        <v>0.6</v>
      </c>
      <c r="AGE62" s="2">
        <v>0.5</v>
      </c>
      <c r="AGF62" s="2">
        <v>0.4</v>
      </c>
      <c r="AGG62" s="2">
        <v>0.7</v>
      </c>
      <c r="AGH62" s="2">
        <v>-0.1</v>
      </c>
      <c r="AGI62" s="2">
        <v>0.3</v>
      </c>
      <c r="AGJ62" s="2">
        <v>0.2</v>
      </c>
      <c r="AGK62" s="2">
        <v>0.1</v>
      </c>
      <c r="AGL62" s="2">
        <v>0.5</v>
      </c>
      <c r="AGM62" s="2">
        <v>0.4</v>
      </c>
      <c r="AGN62" s="2">
        <v>0.4</v>
      </c>
      <c r="AGO62" s="2">
        <v>0</v>
      </c>
      <c r="AGP62" s="2">
        <v>5.7</v>
      </c>
      <c r="AGQ62" s="2">
        <v>0.2</v>
      </c>
      <c r="AGR62" s="2">
        <v>0.4</v>
      </c>
      <c r="AGS62" s="2">
        <v>0.4</v>
      </c>
      <c r="AGT62" s="2">
        <v>0.6</v>
      </c>
      <c r="AGU62" s="2">
        <v>0.5</v>
      </c>
      <c r="AGV62" s="2">
        <v>0.3</v>
      </c>
      <c r="AGW62" s="2">
        <v>0.3</v>
      </c>
      <c r="AGX62" s="2">
        <v>0.3</v>
      </c>
      <c r="AGY62" s="2">
        <v>0</v>
      </c>
      <c r="AGZ62" s="2">
        <v>0.2</v>
      </c>
      <c r="AHA62" s="2">
        <v>-0.3</v>
      </c>
      <c r="AHB62" s="2">
        <v>0.8</v>
      </c>
      <c r="AHC62" s="2">
        <v>0.1</v>
      </c>
      <c r="AHD62" s="2">
        <v>0.6</v>
      </c>
      <c r="AHE62" s="2">
        <v>0.7</v>
      </c>
      <c r="AHF62" s="2">
        <v>0.8</v>
      </c>
      <c r="AHG62" s="2">
        <v>0.4</v>
      </c>
      <c r="AHH62" s="2">
        <v>-0.1</v>
      </c>
      <c r="AHI62" s="2">
        <v>0.9</v>
      </c>
      <c r="AHJ62" s="2">
        <v>-0.3</v>
      </c>
      <c r="AHK62" s="2">
        <v>1.3</v>
      </c>
      <c r="AHL62" s="2">
        <v>0.7</v>
      </c>
      <c r="AHM62" s="2">
        <v>0</v>
      </c>
      <c r="AHN62" s="2">
        <v>0.3</v>
      </c>
      <c r="AHO62" s="2">
        <v>0.1</v>
      </c>
      <c r="AHP62" s="2">
        <v>0.4</v>
      </c>
      <c r="AHQ62" s="2">
        <v>0.3</v>
      </c>
      <c r="AHR62" s="2">
        <v>0.4</v>
      </c>
      <c r="AHS62" s="2">
        <v>0.9</v>
      </c>
      <c r="AHT62" s="2">
        <v>0.3</v>
      </c>
      <c r="AHU62" s="2">
        <v>-0.1</v>
      </c>
      <c r="AHV62" s="2">
        <v>0.1</v>
      </c>
      <c r="AHW62" s="2">
        <v>-1.6</v>
      </c>
      <c r="AHX62" s="2">
        <v>-0.4</v>
      </c>
      <c r="AHY62" s="2">
        <v>1.8</v>
      </c>
      <c r="AHZ62" s="2">
        <v>-2</v>
      </c>
      <c r="AIA62" s="2">
        <v>3.5</v>
      </c>
      <c r="AIB62" s="2">
        <v>0.6</v>
      </c>
      <c r="AIC62" s="2">
        <v>0</v>
      </c>
      <c r="AID62" s="2">
        <v>-0.3</v>
      </c>
      <c r="AIE62" s="2">
        <v>-0.3</v>
      </c>
      <c r="AIF62" s="2">
        <v>0.6</v>
      </c>
      <c r="AIG62" s="2">
        <v>0.4</v>
      </c>
      <c r="AIH62" s="2">
        <v>4</v>
      </c>
      <c r="AII62" s="2">
        <v>-0.1</v>
      </c>
      <c r="AIJ62" s="2">
        <v>0.1</v>
      </c>
      <c r="AIK62" s="2">
        <v>-0.5</v>
      </c>
      <c r="AIL62" s="2">
        <v>0.1</v>
      </c>
      <c r="AIM62" s="2">
        <v>0.1</v>
      </c>
      <c r="AIN62" s="2">
        <v>0.1</v>
      </c>
      <c r="AIO62" s="2">
        <v>0.1</v>
      </c>
      <c r="AIP62" s="2">
        <v>-1.1</v>
      </c>
      <c r="AIQ62" s="2">
        <v>-0.9</v>
      </c>
      <c r="AIR62" s="2">
        <v>-0.2</v>
      </c>
      <c r="AIS62" s="2">
        <v>0.5</v>
      </c>
      <c r="AIT62" s="2">
        <v>0.3</v>
      </c>
      <c r="AIU62" s="2">
        <v>0.2</v>
      </c>
      <c r="AIV62" s="2">
        <v>0.8</v>
      </c>
      <c r="AIW62" s="2">
        <v>-1.1</v>
      </c>
      <c r="AIX62" s="2">
        <v>-1.8</v>
      </c>
      <c r="AIY62" s="2">
        <v>1.6</v>
      </c>
      <c r="AIZ62" s="2">
        <v>-1.1</v>
      </c>
      <c r="AJA62" s="2">
        <v>0</v>
      </c>
      <c r="AJB62" s="2">
        <v>0.1</v>
      </c>
      <c r="AJC62" s="2">
        <v>0.1</v>
      </c>
      <c r="AJD62" s="2">
        <v>-0.2</v>
      </c>
      <c r="AJE62" s="2">
        <v>0</v>
      </c>
      <c r="AJF62" s="2">
        <v>0.4</v>
      </c>
      <c r="AJG62" s="2">
        <v>-0.2</v>
      </c>
      <c r="AJH62" s="2">
        <v>0.2</v>
      </c>
      <c r="AJI62" s="2">
        <v>0</v>
      </c>
      <c r="AJJ62" s="2">
        <v>-0.1</v>
      </c>
      <c r="AJK62" s="2">
        <v>0.1</v>
      </c>
      <c r="AJL62" s="2">
        <v>-0.1</v>
      </c>
      <c r="AJM62" s="2">
        <v>-0.1</v>
      </c>
      <c r="AJN62" s="2">
        <v>0</v>
      </c>
      <c r="AJO62" s="2">
        <v>0.1</v>
      </c>
      <c r="AJP62" s="2">
        <v>-0.2</v>
      </c>
      <c r="AJQ62" s="2">
        <v>0.3</v>
      </c>
      <c r="AJR62" s="2">
        <v>0.2</v>
      </c>
      <c r="AJS62" s="2">
        <v>0.2</v>
      </c>
      <c r="AJT62" s="2">
        <v>0.5</v>
      </c>
      <c r="AJU62" s="2">
        <v>-0.2</v>
      </c>
      <c r="AJV62" s="2">
        <v>0.1</v>
      </c>
      <c r="AJW62" s="2">
        <v>0.1</v>
      </c>
      <c r="AJX62" s="2">
        <v>-0.6</v>
      </c>
      <c r="AJY62" s="2">
        <v>0.7</v>
      </c>
      <c r="AJZ62" s="2">
        <v>0.7</v>
      </c>
      <c r="AKA62" s="2">
        <v>0</v>
      </c>
      <c r="AKB62" s="2">
        <v>0.5</v>
      </c>
      <c r="AKC62" s="2">
        <v>0.2</v>
      </c>
      <c r="AKD62" s="2">
        <v>1</v>
      </c>
      <c r="AKE62" s="2">
        <v>-1</v>
      </c>
      <c r="AKF62" s="2">
        <v>0.6</v>
      </c>
      <c r="AKG62" s="2">
        <v>0.8</v>
      </c>
      <c r="AKH62" s="2">
        <v>0.1</v>
      </c>
      <c r="AKI62" s="2">
        <v>-0.8</v>
      </c>
      <c r="AKJ62" s="2">
        <v>1.6</v>
      </c>
      <c r="AKK62" s="2">
        <v>1.3</v>
      </c>
      <c r="AKL62" s="2">
        <v>1</v>
      </c>
      <c r="AKM62" s="2">
        <v>-0.2</v>
      </c>
      <c r="AKN62" s="2">
        <v>-0.4</v>
      </c>
      <c r="AKO62" s="2">
        <v>0.1</v>
      </c>
      <c r="AKP62" s="2">
        <v>0.14</v>
      </c>
      <c r="AKQ62" s="2">
        <v>0.14</v>
      </c>
      <c r="AKR62" s="2">
        <v>0.14</v>
      </c>
    </row>
    <row r="63">
      <c r="A63" t="inlineStr">
        <is>
          <t>Medical and hospital services</t>
        </is>
      </c>
      <c r="B63" t="inlineStr">
        <is>
          <t>Medical, dental and hospital services</t>
        </is>
      </c>
      <c r="C63">
        <v>3</v>
      </c>
      <c r="D63">
        <v>5.02</v>
      </c>
      <c r="E63" s="3">
        <f>D63/5.619999999999999*0.0562</f>
        <v>0.0502</v>
      </c>
      <c r="F63" s="3">
        <f>E63-D63/100</f>
        <v>6.938893903907228e-18</v>
      </c>
      <c r="G63" s="3">
        <f>D63/5.619999999999999</f>
        <v>0.8932384341637011</v>
      </c>
      <c r="CI63" s="2">
        <v>95.12</v>
      </c>
      <c r="CJ63" s="2">
        <v>95.08</v>
      </c>
      <c r="CK63" s="2">
        <v>95.14</v>
      </c>
      <c r="CL63" s="2">
        <v>95.13</v>
      </c>
      <c r="CM63" s="2">
        <v>95.05</v>
      </c>
      <c r="CN63" s="2">
        <v>94.95999999999999</v>
      </c>
      <c r="CO63" s="2">
        <v>95.13</v>
      </c>
      <c r="CP63" s="2">
        <v>95.15000000000001</v>
      </c>
      <c r="CQ63" s="2">
        <v>94.90000000000001</v>
      </c>
      <c r="CR63" s="2">
        <v>97.70999999999999</v>
      </c>
      <c r="CS63" s="2">
        <v>97.7</v>
      </c>
      <c r="CT63" s="2">
        <v>97.8</v>
      </c>
      <c r="CU63" s="2">
        <v>100.13</v>
      </c>
      <c r="CV63" s="2">
        <v>99.89</v>
      </c>
      <c r="CW63" s="2">
        <v>99.93000000000001</v>
      </c>
      <c r="CX63" s="2">
        <v>99.95999999999999</v>
      </c>
      <c r="CY63" s="2">
        <v>99.94</v>
      </c>
      <c r="CZ63" s="2">
        <v>100</v>
      </c>
      <c r="DA63" s="2">
        <v>100</v>
      </c>
      <c r="DB63" s="2">
        <v>99.48</v>
      </c>
      <c r="DC63" s="2">
        <v>99.02</v>
      </c>
      <c r="DD63" s="2">
        <v>101.79</v>
      </c>
      <c r="DE63" s="2">
        <v>101.97</v>
      </c>
      <c r="DF63" s="2">
        <v>101.5</v>
      </c>
      <c r="DG63" s="2">
        <v>105.07</v>
      </c>
      <c r="DH63" s="2">
        <v>104.89</v>
      </c>
      <c r="DI63" s="2">
        <v>104.89</v>
      </c>
      <c r="DJ63" s="2">
        <v>104.88</v>
      </c>
      <c r="GL63" s="2">
        <v>5.3</v>
      </c>
      <c r="GM63" s="2">
        <v>5.1</v>
      </c>
      <c r="GN63" s="2">
        <v>5</v>
      </c>
      <c r="GO63" s="2">
        <v>5.1</v>
      </c>
      <c r="GP63" s="2">
        <v>5.1</v>
      </c>
      <c r="GQ63" s="2">
        <v>5.3</v>
      </c>
      <c r="GR63" s="2">
        <v>5.1</v>
      </c>
      <c r="GS63" s="2">
        <v>4.6</v>
      </c>
      <c r="GT63" s="2">
        <v>4.3</v>
      </c>
      <c r="GU63" s="2">
        <v>4.2</v>
      </c>
      <c r="GV63" s="2">
        <v>4.4</v>
      </c>
      <c r="GW63" s="2">
        <v>3.8</v>
      </c>
      <c r="GX63" s="2">
        <v>4.9</v>
      </c>
      <c r="GY63" s="2">
        <v>5</v>
      </c>
      <c r="GZ63" s="2">
        <v>5</v>
      </c>
      <c r="HA63" s="2">
        <v>4.9</v>
      </c>
      <c r="KC63" s="2">
        <v>0</v>
      </c>
      <c r="KD63" s="2">
        <v>0.1</v>
      </c>
      <c r="KE63" s="2">
        <v>0</v>
      </c>
      <c r="KF63" s="2">
        <v>-0.1</v>
      </c>
      <c r="KG63" s="2">
        <v>-0.1</v>
      </c>
      <c r="KH63" s="2">
        <v>0.2</v>
      </c>
      <c r="KI63" s="2">
        <v>0</v>
      </c>
      <c r="KJ63" s="2">
        <v>-0.3</v>
      </c>
      <c r="KK63" s="2">
        <v>3</v>
      </c>
      <c r="KL63" s="2">
        <v>0</v>
      </c>
      <c r="KM63" s="2">
        <v>0.1</v>
      </c>
      <c r="KN63" s="2">
        <v>2.4</v>
      </c>
      <c r="KO63" s="2">
        <v>-0.2</v>
      </c>
      <c r="KP63" s="2">
        <v>0</v>
      </c>
      <c r="KQ63" s="2">
        <v>0</v>
      </c>
      <c r="KR63" s="2">
        <v>0</v>
      </c>
      <c r="KS63" s="2">
        <v>0.1</v>
      </c>
      <c r="KT63" s="2">
        <v>0</v>
      </c>
      <c r="KU63" s="2">
        <v>-0.5</v>
      </c>
      <c r="KV63" s="2">
        <v>-0.5</v>
      </c>
      <c r="KW63" s="2">
        <v>2.8</v>
      </c>
      <c r="KX63" s="2">
        <v>0.2</v>
      </c>
      <c r="KY63" s="2">
        <v>-0.5</v>
      </c>
      <c r="KZ63" s="2">
        <v>3.5</v>
      </c>
      <c r="LA63" s="2">
        <v>-0.2</v>
      </c>
      <c r="LB63" s="2">
        <v>0</v>
      </c>
      <c r="LC63" s="2">
        <v>0</v>
      </c>
      <c r="LD63" s="2">
        <v>4.88</v>
      </c>
      <c r="LE63" s="2">
        <v>5.03</v>
      </c>
      <c r="LF63" s="2">
        <v>5.03</v>
      </c>
      <c r="LG63" s="2">
        <v>5.03</v>
      </c>
      <c r="LH63" s="2">
        <v>5.15</v>
      </c>
      <c r="LI63" s="2">
        <v>5.14</v>
      </c>
      <c r="LJ63" s="2">
        <v>5.14</v>
      </c>
      <c r="LK63" s="2">
        <v>5.14</v>
      </c>
      <c r="LL63" s="2">
        <v>5.14</v>
      </c>
      <c r="LM63" s="2">
        <v>5.14</v>
      </c>
      <c r="LN63" s="2">
        <v>5.14</v>
      </c>
      <c r="LO63" s="2">
        <v>5.12</v>
      </c>
      <c r="LP63" s="2">
        <v>5.09</v>
      </c>
      <c r="LQ63" s="2">
        <v>5.24</v>
      </c>
      <c r="LR63" s="2">
        <v>5.25</v>
      </c>
      <c r="LS63" s="2">
        <v>5.22</v>
      </c>
      <c r="LT63" s="2">
        <v>5.4</v>
      </c>
      <c r="LU63" s="2">
        <v>5.4</v>
      </c>
      <c r="LV63" s="2">
        <v>5.4</v>
      </c>
      <c r="LW63" s="2">
        <v>5.39</v>
      </c>
      <c r="LX63" s="2">
        <v>0.15</v>
      </c>
      <c r="LY63" s="2">
        <v>0</v>
      </c>
      <c r="LZ63" s="2">
        <v>0</v>
      </c>
      <c r="MA63" s="2">
        <v>0.12</v>
      </c>
      <c r="MB63" s="2">
        <v>-0.01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-0.02</v>
      </c>
      <c r="MI63" s="2">
        <v>-0.03</v>
      </c>
      <c r="MJ63" s="2">
        <v>0.15</v>
      </c>
      <c r="MK63" s="2">
        <v>0.01</v>
      </c>
      <c r="ML63" s="2">
        <v>-0.03</v>
      </c>
      <c r="MM63" s="2">
        <v>0.18</v>
      </c>
      <c r="MN63" s="2">
        <v>0</v>
      </c>
      <c r="MO63" s="2">
        <v>0</v>
      </c>
      <c r="MP63" s="2">
        <v>-0.01</v>
      </c>
      <c r="RO63" s="2">
        <v>7.42</v>
      </c>
      <c r="RP63" s="2">
        <v>7.39</v>
      </c>
      <c r="RQ63" s="2">
        <v>7.39</v>
      </c>
      <c r="RR63" s="2">
        <v>7.41</v>
      </c>
      <c r="RS63" s="2">
        <v>7.42</v>
      </c>
      <c r="RT63" s="2">
        <v>11.27</v>
      </c>
      <c r="RU63" s="2">
        <v>11.45</v>
      </c>
      <c r="RV63" s="2">
        <v>11.75</v>
      </c>
      <c r="RW63" s="2">
        <v>12.76</v>
      </c>
      <c r="RX63" s="2">
        <v>13.71</v>
      </c>
      <c r="RY63" s="2">
        <v>14.19</v>
      </c>
      <c r="RZ63" s="2">
        <v>14.57</v>
      </c>
      <c r="SA63" s="2">
        <v>14.87</v>
      </c>
      <c r="SB63" s="2">
        <v>15.27</v>
      </c>
      <c r="SC63" s="2">
        <v>10.14</v>
      </c>
      <c r="SD63" s="2">
        <v>7.41</v>
      </c>
      <c r="SE63" s="2">
        <v>7.25</v>
      </c>
      <c r="SF63" s="2">
        <v>7.32</v>
      </c>
      <c r="SG63" s="2">
        <v>7.48</v>
      </c>
      <c r="SH63" s="2">
        <v>7.57</v>
      </c>
      <c r="SI63" s="2">
        <v>7.67</v>
      </c>
      <c r="SJ63" s="2">
        <v>7.79</v>
      </c>
      <c r="SK63" s="2">
        <v>8.039999999999999</v>
      </c>
      <c r="SL63" s="2">
        <v>8.710000000000001</v>
      </c>
      <c r="SM63" s="2">
        <v>9.01</v>
      </c>
      <c r="SN63" s="2">
        <v>10.08</v>
      </c>
      <c r="SO63" s="2">
        <v>10.48</v>
      </c>
      <c r="SP63" s="2">
        <v>10.89</v>
      </c>
      <c r="SQ63" s="2">
        <v>11.13</v>
      </c>
      <c r="SR63" s="2">
        <v>12.08</v>
      </c>
      <c r="SS63" s="2">
        <v>12.38</v>
      </c>
      <c r="ST63" s="2">
        <v>12.57</v>
      </c>
      <c r="SU63" s="2">
        <v>12.76</v>
      </c>
      <c r="SV63" s="2">
        <v>13.3</v>
      </c>
      <c r="SW63" s="2">
        <v>13.91</v>
      </c>
      <c r="SX63" s="2">
        <v>14.03</v>
      </c>
      <c r="SY63" s="2">
        <v>14.22</v>
      </c>
      <c r="SZ63" s="2">
        <v>14.54</v>
      </c>
      <c r="TA63" s="2">
        <v>14.76</v>
      </c>
      <c r="TB63" s="2">
        <v>14.93</v>
      </c>
      <c r="TC63" s="2">
        <v>15.25</v>
      </c>
      <c r="TD63" s="2">
        <v>16.6</v>
      </c>
      <c r="TE63" s="2">
        <v>17.01</v>
      </c>
      <c r="TF63" s="2">
        <v>17.43</v>
      </c>
      <c r="TG63" s="2">
        <v>18.21</v>
      </c>
      <c r="TH63" s="2">
        <v>19.87</v>
      </c>
      <c r="TI63" s="2">
        <v>21.38</v>
      </c>
      <c r="TJ63" s="2">
        <v>19.43</v>
      </c>
      <c r="TK63" s="2">
        <v>19.53</v>
      </c>
      <c r="TL63" s="2">
        <v>20.13</v>
      </c>
      <c r="TM63" s="2">
        <v>20.44</v>
      </c>
      <c r="TN63" s="2">
        <v>20.57</v>
      </c>
      <c r="TO63" s="2">
        <v>20.76</v>
      </c>
      <c r="TP63" s="2">
        <v>21.1</v>
      </c>
      <c r="TQ63" s="2">
        <v>21.49</v>
      </c>
      <c r="TR63" s="2">
        <v>21.74</v>
      </c>
      <c r="TS63" s="2">
        <v>22.27</v>
      </c>
      <c r="TT63" s="2">
        <v>22.52</v>
      </c>
      <c r="TU63" s="2">
        <v>22.82</v>
      </c>
      <c r="TV63" s="2">
        <v>23.33</v>
      </c>
      <c r="TW63" s="2">
        <v>23.54</v>
      </c>
      <c r="TX63" s="2">
        <v>24.18</v>
      </c>
      <c r="TY63" s="2">
        <v>24.43</v>
      </c>
      <c r="TZ63" s="2">
        <v>24.4</v>
      </c>
      <c r="UA63" s="2">
        <v>24.72</v>
      </c>
      <c r="UB63" s="2">
        <v>25.39</v>
      </c>
      <c r="UC63" s="2">
        <v>26.4</v>
      </c>
      <c r="UD63" s="2">
        <v>27.13</v>
      </c>
      <c r="UE63" s="2">
        <v>25.38</v>
      </c>
      <c r="UF63" s="2">
        <v>27.06</v>
      </c>
      <c r="UG63" s="2">
        <v>27.23</v>
      </c>
      <c r="UH63" s="2">
        <v>28.05</v>
      </c>
      <c r="UI63" s="2">
        <v>28.7</v>
      </c>
      <c r="UJ63" s="2">
        <v>28.79</v>
      </c>
      <c r="UK63" s="2">
        <v>23.65</v>
      </c>
      <c r="UL63" s="2">
        <v>23.73</v>
      </c>
      <c r="UM63" s="2">
        <v>24.28</v>
      </c>
      <c r="UN63" s="2">
        <v>24.48</v>
      </c>
      <c r="UO63" s="2">
        <v>24.62</v>
      </c>
      <c r="UP63" s="2">
        <v>24.84</v>
      </c>
      <c r="UQ63" s="2">
        <v>24.92</v>
      </c>
      <c r="UR63" s="2">
        <v>25.21</v>
      </c>
      <c r="US63" s="2">
        <v>25.37</v>
      </c>
      <c r="UT63" s="2">
        <v>25.48</v>
      </c>
      <c r="UU63" s="2">
        <v>25.71</v>
      </c>
      <c r="UV63" s="2">
        <v>26.03</v>
      </c>
      <c r="UW63" s="2">
        <v>26.15</v>
      </c>
      <c r="UX63" s="2">
        <v>27.44</v>
      </c>
      <c r="UY63" s="2">
        <v>27.96</v>
      </c>
      <c r="UZ63" s="2">
        <v>28.38</v>
      </c>
      <c r="VA63" s="2">
        <v>28.77</v>
      </c>
      <c r="VB63" s="2">
        <v>30.26</v>
      </c>
      <c r="VC63" s="2">
        <v>30.56</v>
      </c>
      <c r="VD63" s="2">
        <v>30.96</v>
      </c>
      <c r="VE63" s="2">
        <v>31.27</v>
      </c>
      <c r="VF63" s="2">
        <v>32.87</v>
      </c>
      <c r="VG63" s="2">
        <v>32.91</v>
      </c>
      <c r="VH63" s="2">
        <v>32.9</v>
      </c>
      <c r="VI63" s="2">
        <v>33.08</v>
      </c>
      <c r="VJ63" s="2">
        <v>34.47</v>
      </c>
      <c r="VK63" s="2">
        <v>34.42</v>
      </c>
      <c r="VL63" s="2">
        <v>34.36</v>
      </c>
      <c r="VM63" s="2">
        <v>34.85</v>
      </c>
      <c r="VN63" s="2">
        <v>36.25</v>
      </c>
      <c r="VO63" s="2">
        <v>36.39</v>
      </c>
      <c r="VP63" s="2">
        <v>36.56</v>
      </c>
      <c r="VQ63" s="2">
        <v>36.9</v>
      </c>
      <c r="VR63" s="2">
        <v>38.15</v>
      </c>
      <c r="VS63" s="2">
        <v>38.33</v>
      </c>
      <c r="VT63" s="2">
        <v>38.33</v>
      </c>
      <c r="VU63" s="2">
        <v>38.92</v>
      </c>
      <c r="VV63" s="2">
        <v>40.48</v>
      </c>
      <c r="VW63" s="2">
        <v>40.83</v>
      </c>
      <c r="VX63" s="2">
        <v>40.67</v>
      </c>
      <c r="VY63" s="2">
        <v>41.58</v>
      </c>
      <c r="VZ63" s="2">
        <v>43.09</v>
      </c>
      <c r="WA63" s="2">
        <v>43.05</v>
      </c>
      <c r="WB63" s="2">
        <v>43.06</v>
      </c>
      <c r="WC63" s="2">
        <v>44.31</v>
      </c>
      <c r="WD63" s="2">
        <v>45.99</v>
      </c>
      <c r="WE63" s="2">
        <v>46</v>
      </c>
      <c r="WF63" s="2">
        <v>46.01</v>
      </c>
      <c r="WG63" s="2">
        <v>46.97</v>
      </c>
      <c r="WH63" s="2">
        <v>48.56</v>
      </c>
      <c r="WI63" s="2">
        <v>48.46</v>
      </c>
      <c r="WJ63" s="2">
        <v>48.34</v>
      </c>
      <c r="WK63" s="2">
        <v>49.37</v>
      </c>
      <c r="WL63" s="2">
        <v>50.78</v>
      </c>
      <c r="WM63" s="2">
        <v>53.03</v>
      </c>
      <c r="WN63" s="2">
        <v>52.88</v>
      </c>
      <c r="WO63" s="2">
        <v>53.98</v>
      </c>
      <c r="WP63" s="2">
        <v>55.81</v>
      </c>
      <c r="WQ63" s="2">
        <v>55.98</v>
      </c>
      <c r="WR63" s="2">
        <v>55.82</v>
      </c>
      <c r="WS63" s="2">
        <v>56.85</v>
      </c>
      <c r="WT63" s="2">
        <v>59.49</v>
      </c>
      <c r="WU63" s="2">
        <v>59.48</v>
      </c>
      <c r="WV63" s="2">
        <v>59.3</v>
      </c>
      <c r="WW63" s="2">
        <v>60.56</v>
      </c>
      <c r="WX63" s="2">
        <v>63.27</v>
      </c>
      <c r="WY63" s="2">
        <v>63.4</v>
      </c>
      <c r="WZ63" s="2">
        <v>63.34</v>
      </c>
      <c r="XA63" s="2">
        <v>64.29000000000001</v>
      </c>
      <c r="XB63" s="2">
        <v>67.01000000000001</v>
      </c>
      <c r="XC63" s="2">
        <v>66.88</v>
      </c>
      <c r="XD63" s="2">
        <v>66.72</v>
      </c>
      <c r="XE63" s="2">
        <v>67.81999999999999</v>
      </c>
      <c r="XF63" s="2">
        <v>70.55</v>
      </c>
      <c r="XG63" s="2">
        <v>70.47</v>
      </c>
      <c r="XH63" s="2">
        <v>70.33</v>
      </c>
      <c r="XI63" s="2">
        <v>71.40000000000001</v>
      </c>
      <c r="XJ63" s="2">
        <v>73.59999999999999</v>
      </c>
      <c r="XK63" s="2">
        <v>73.37</v>
      </c>
      <c r="XL63" s="2">
        <v>73.3</v>
      </c>
      <c r="XM63" s="2">
        <v>74.28</v>
      </c>
      <c r="XN63" s="2">
        <v>76.2</v>
      </c>
      <c r="XO63" s="2">
        <v>76.11</v>
      </c>
      <c r="XP63" s="2">
        <v>75.98999999999999</v>
      </c>
      <c r="XQ63" s="2">
        <v>76.81</v>
      </c>
      <c r="XR63" s="2">
        <v>76.66</v>
      </c>
      <c r="XS63" s="2">
        <v>76.81</v>
      </c>
      <c r="XT63" s="2">
        <v>78.73999999999999</v>
      </c>
      <c r="XU63" s="2">
        <v>79.92</v>
      </c>
      <c r="XV63" s="2">
        <v>81.84999999999999</v>
      </c>
      <c r="XW63" s="2">
        <v>82.23999999999999</v>
      </c>
      <c r="XX63" s="2">
        <v>82.09999999999999</v>
      </c>
      <c r="XY63" s="2">
        <v>83.56</v>
      </c>
      <c r="XZ63" s="2">
        <v>84.17</v>
      </c>
      <c r="YA63" s="2">
        <v>84.65000000000001</v>
      </c>
      <c r="YB63" s="2">
        <v>85.55</v>
      </c>
      <c r="YC63" s="2">
        <v>89.12</v>
      </c>
      <c r="YD63" s="2">
        <v>89.12</v>
      </c>
      <c r="YE63" s="2">
        <v>90.03</v>
      </c>
      <c r="YF63" s="2">
        <v>91.09</v>
      </c>
      <c r="YG63" s="2">
        <v>93.16</v>
      </c>
      <c r="YH63" s="2">
        <v>95.08</v>
      </c>
      <c r="YI63" s="2">
        <v>95.09999999999999</v>
      </c>
      <c r="YJ63" s="2">
        <v>95.14</v>
      </c>
      <c r="YK63" s="2">
        <v>97.73999999999999</v>
      </c>
      <c r="YL63" s="2">
        <v>99.97</v>
      </c>
      <c r="YM63" s="2">
        <v>99.97</v>
      </c>
      <c r="YN63" s="2">
        <v>99.5</v>
      </c>
      <c r="YO63" s="2">
        <v>101.75</v>
      </c>
      <c r="YP63" s="2">
        <v>104.95</v>
      </c>
      <c r="ADO63" s="2">
        <v>-0.4</v>
      </c>
      <c r="ADP63" s="2">
        <v>0</v>
      </c>
      <c r="ADQ63" s="2">
        <v>0.3</v>
      </c>
      <c r="ADR63" s="2">
        <v>0.1</v>
      </c>
      <c r="ADS63" s="2">
        <v>51.9</v>
      </c>
      <c r="ADT63" s="2">
        <v>1.6</v>
      </c>
      <c r="ADU63" s="2">
        <v>2.6</v>
      </c>
      <c r="ADV63" s="2">
        <v>8.6</v>
      </c>
      <c r="ADW63" s="2">
        <v>7.4</v>
      </c>
      <c r="ADX63" s="2">
        <v>3.5</v>
      </c>
      <c r="ADY63" s="2">
        <v>2.7</v>
      </c>
      <c r="ADZ63" s="2">
        <v>2.1</v>
      </c>
      <c r="AEA63" s="2">
        <v>2.7</v>
      </c>
      <c r="AEB63" s="2">
        <v>-33.6</v>
      </c>
      <c r="AEC63" s="2">
        <v>-26.9</v>
      </c>
      <c r="AED63" s="2">
        <v>-2.2</v>
      </c>
      <c r="AEE63" s="2">
        <v>1</v>
      </c>
      <c r="AEF63" s="2">
        <v>2.2</v>
      </c>
      <c r="AEG63" s="2">
        <v>1.2</v>
      </c>
      <c r="AEH63" s="2">
        <v>1.3</v>
      </c>
      <c r="AEI63" s="2">
        <v>1.6</v>
      </c>
      <c r="AEJ63" s="2">
        <v>3.2</v>
      </c>
      <c r="AEK63" s="2">
        <v>8.300000000000001</v>
      </c>
      <c r="AEL63" s="2">
        <v>3.4</v>
      </c>
      <c r="AEM63" s="2">
        <v>11.9</v>
      </c>
      <c r="AEN63" s="2">
        <v>4</v>
      </c>
      <c r="AEO63" s="2">
        <v>3.9</v>
      </c>
      <c r="AEP63" s="2">
        <v>2.2</v>
      </c>
      <c r="AEQ63" s="2">
        <v>8.5</v>
      </c>
      <c r="AER63" s="2">
        <v>2.5</v>
      </c>
      <c r="AES63" s="2">
        <v>1.5</v>
      </c>
      <c r="AET63" s="2">
        <v>1.5</v>
      </c>
      <c r="AEU63" s="2">
        <v>4.2</v>
      </c>
      <c r="AEV63" s="2">
        <v>4.6</v>
      </c>
      <c r="AEW63" s="2">
        <v>0.9</v>
      </c>
      <c r="AEX63" s="2">
        <v>1.4</v>
      </c>
      <c r="AEY63" s="2">
        <v>2.3</v>
      </c>
      <c r="AEZ63" s="2">
        <v>1.5</v>
      </c>
      <c r="AFA63" s="2">
        <v>1.2</v>
      </c>
      <c r="AFB63" s="2">
        <v>2.1</v>
      </c>
      <c r="AFC63" s="2">
        <v>8.9</v>
      </c>
      <c r="AFD63" s="2">
        <v>2.5</v>
      </c>
      <c r="AFE63" s="2">
        <v>2.5</v>
      </c>
      <c r="AFF63" s="2">
        <v>4.5</v>
      </c>
      <c r="AFG63" s="2">
        <v>9.1</v>
      </c>
      <c r="AFH63" s="2">
        <v>7.6</v>
      </c>
      <c r="AFI63" s="2">
        <v>-9.1</v>
      </c>
      <c r="AFJ63" s="2">
        <v>0.5</v>
      </c>
      <c r="AFK63" s="2">
        <v>3.1</v>
      </c>
      <c r="AFL63" s="2">
        <v>1.5</v>
      </c>
      <c r="AFM63" s="2">
        <v>0.6</v>
      </c>
      <c r="AFN63" s="2">
        <v>0.9</v>
      </c>
      <c r="AFO63" s="2">
        <v>1.6</v>
      </c>
      <c r="AFP63" s="2">
        <v>1.8</v>
      </c>
      <c r="AFQ63" s="2">
        <v>1.2</v>
      </c>
      <c r="AFR63" s="2">
        <v>2.4</v>
      </c>
      <c r="AFS63" s="2">
        <v>1.1</v>
      </c>
      <c r="AFT63" s="2">
        <v>1.3</v>
      </c>
      <c r="AFU63" s="2">
        <v>2.2</v>
      </c>
      <c r="AFV63" s="2">
        <v>0.9</v>
      </c>
      <c r="AFW63" s="2">
        <v>2.7</v>
      </c>
      <c r="AFX63" s="2">
        <v>1</v>
      </c>
      <c r="AFY63" s="2">
        <v>-0.1</v>
      </c>
      <c r="AFZ63" s="2">
        <v>1.3</v>
      </c>
      <c r="AGA63" s="2">
        <v>2.7</v>
      </c>
      <c r="AGB63" s="2">
        <v>4</v>
      </c>
      <c r="AGC63" s="2">
        <v>2.8</v>
      </c>
      <c r="AGD63" s="2">
        <v>-6.5</v>
      </c>
      <c r="AGE63" s="2">
        <v>6.6</v>
      </c>
      <c r="AGF63" s="2">
        <v>0.6</v>
      </c>
      <c r="AGG63" s="2">
        <v>3</v>
      </c>
      <c r="AGH63" s="2">
        <v>2.3</v>
      </c>
      <c r="AGI63" s="2">
        <v>0.3</v>
      </c>
      <c r="AGJ63" s="2">
        <v>-17.9</v>
      </c>
      <c r="AGK63" s="2">
        <v>0.3</v>
      </c>
      <c r="AGL63" s="2">
        <v>2.3</v>
      </c>
      <c r="AGM63" s="2">
        <v>0.8</v>
      </c>
      <c r="AGN63" s="2">
        <v>0.6</v>
      </c>
      <c r="AGO63" s="2">
        <v>0.9</v>
      </c>
      <c r="AGP63" s="2">
        <v>0.3</v>
      </c>
      <c r="AGQ63" s="2">
        <v>1.2</v>
      </c>
      <c r="AGR63" s="2">
        <v>0.6</v>
      </c>
      <c r="AGS63" s="2">
        <v>0.4</v>
      </c>
      <c r="AGT63" s="2">
        <v>0.9</v>
      </c>
      <c r="AGU63" s="2">
        <v>1.2</v>
      </c>
      <c r="AGV63" s="2">
        <v>0.5</v>
      </c>
      <c r="AGW63" s="2">
        <v>4.9</v>
      </c>
      <c r="AGX63" s="2">
        <v>1.9</v>
      </c>
      <c r="AGY63" s="2">
        <v>1.5</v>
      </c>
      <c r="AGZ63" s="2">
        <v>1.4</v>
      </c>
      <c r="AHA63" s="2">
        <v>5.2</v>
      </c>
      <c r="AHB63" s="2">
        <v>1</v>
      </c>
      <c r="AHC63" s="2">
        <v>1.3</v>
      </c>
      <c r="AHD63" s="2">
        <v>1</v>
      </c>
      <c r="AHE63" s="2">
        <v>5.1</v>
      </c>
      <c r="AHF63" s="2">
        <v>0.1</v>
      </c>
      <c r="AHG63" s="2">
        <v>0</v>
      </c>
      <c r="AHH63" s="2">
        <v>0.5</v>
      </c>
      <c r="AHI63" s="2">
        <v>4.2</v>
      </c>
      <c r="AHJ63" s="2">
        <v>-0.1</v>
      </c>
      <c r="AHK63" s="2">
        <v>-0.2</v>
      </c>
      <c r="AHL63" s="2">
        <v>1.4</v>
      </c>
      <c r="AHM63" s="2">
        <v>4</v>
      </c>
      <c r="AHN63" s="2">
        <v>0.4</v>
      </c>
      <c r="AHO63" s="2">
        <v>0.5</v>
      </c>
      <c r="AHP63" s="2">
        <v>0.9</v>
      </c>
      <c r="AHQ63" s="2">
        <v>3.4</v>
      </c>
      <c r="AHR63" s="2">
        <v>0.5</v>
      </c>
      <c r="AHS63" s="2">
        <v>0</v>
      </c>
      <c r="AHT63" s="2">
        <v>1.5</v>
      </c>
      <c r="AHU63" s="2">
        <v>4</v>
      </c>
      <c r="AHV63" s="2">
        <v>0.9</v>
      </c>
      <c r="AHW63" s="2">
        <v>-0.4</v>
      </c>
      <c r="AHX63" s="2">
        <v>2.2</v>
      </c>
      <c r="AHY63" s="2">
        <v>3.6</v>
      </c>
      <c r="AHZ63" s="2">
        <v>-0.1</v>
      </c>
      <c r="AIA63" s="2">
        <v>0</v>
      </c>
      <c r="AIB63" s="2">
        <v>2.9</v>
      </c>
      <c r="AIC63" s="2">
        <v>3.8</v>
      </c>
      <c r="AID63" s="2">
        <v>0</v>
      </c>
      <c r="AIE63" s="2">
        <v>0</v>
      </c>
      <c r="AIF63" s="2">
        <v>2.1</v>
      </c>
      <c r="AIG63" s="2">
        <v>3.4</v>
      </c>
      <c r="AIH63" s="2">
        <v>-0.2</v>
      </c>
      <c r="AII63" s="2">
        <v>-0.2</v>
      </c>
      <c r="AIJ63" s="2">
        <v>2.1</v>
      </c>
      <c r="AIK63" s="2">
        <v>2.9</v>
      </c>
      <c r="AIL63" s="2">
        <v>4.4</v>
      </c>
      <c r="AIM63" s="2">
        <v>-0.3</v>
      </c>
      <c r="AIN63" s="2">
        <v>2.1</v>
      </c>
      <c r="AIO63" s="2">
        <v>3.4</v>
      </c>
      <c r="AIP63" s="2">
        <v>0.3</v>
      </c>
      <c r="AIQ63" s="2">
        <v>-0.3</v>
      </c>
      <c r="AIR63" s="2">
        <v>1.8</v>
      </c>
      <c r="AIS63" s="2">
        <v>4.6</v>
      </c>
      <c r="AIT63" s="2">
        <v>0</v>
      </c>
      <c r="AIU63" s="2">
        <v>-0.3</v>
      </c>
      <c r="AIV63" s="2">
        <v>2.1</v>
      </c>
      <c r="AIW63" s="2">
        <v>4.5</v>
      </c>
      <c r="AIX63" s="2">
        <v>0.2</v>
      </c>
      <c r="AIY63" s="2">
        <v>-0.1</v>
      </c>
      <c r="AIZ63" s="2">
        <v>1.5</v>
      </c>
      <c r="AJA63" s="2">
        <v>4.2</v>
      </c>
      <c r="AJB63" s="2">
        <v>-0.2</v>
      </c>
      <c r="AJC63" s="2">
        <v>-0.2</v>
      </c>
      <c r="AJD63" s="2">
        <v>1.6</v>
      </c>
      <c r="AJE63" s="2">
        <v>4</v>
      </c>
      <c r="AJF63" s="2">
        <v>-0.1</v>
      </c>
      <c r="AJG63" s="2">
        <v>-0.2</v>
      </c>
      <c r="AJH63" s="2">
        <v>1.5</v>
      </c>
      <c r="AJI63" s="2">
        <v>3.1</v>
      </c>
      <c r="AJJ63" s="2">
        <v>-0.3</v>
      </c>
      <c r="AJK63" s="2">
        <v>-0.1</v>
      </c>
      <c r="AJL63" s="2">
        <v>1.3</v>
      </c>
      <c r="AJM63" s="2">
        <v>2.6</v>
      </c>
      <c r="AJN63" s="2">
        <v>-0.1</v>
      </c>
      <c r="AJO63" s="2">
        <v>-0.2</v>
      </c>
      <c r="AJP63" s="2">
        <v>1.1</v>
      </c>
      <c r="AJQ63" s="2">
        <v>-0.2</v>
      </c>
      <c r="AJR63" s="2">
        <v>0.2</v>
      </c>
      <c r="AJS63" s="2">
        <v>2.5</v>
      </c>
      <c r="AJT63" s="2">
        <v>1.5</v>
      </c>
      <c r="AJU63" s="2">
        <v>2.4</v>
      </c>
      <c r="AJV63" s="2">
        <v>0.5</v>
      </c>
      <c r="AJW63" s="2">
        <v>-0.2</v>
      </c>
      <c r="AJX63" s="2">
        <v>1.8</v>
      </c>
      <c r="AJY63" s="2">
        <v>0.7</v>
      </c>
      <c r="AJZ63" s="2">
        <v>0.6</v>
      </c>
      <c r="AKA63" s="2">
        <v>1.1</v>
      </c>
      <c r="AKB63" s="2">
        <v>4.2</v>
      </c>
      <c r="AKC63" s="2">
        <v>0</v>
      </c>
      <c r="AKD63" s="2">
        <v>1</v>
      </c>
      <c r="AKE63" s="2">
        <v>1.2</v>
      </c>
      <c r="AKF63" s="2">
        <v>2.3</v>
      </c>
      <c r="AKG63" s="2">
        <v>2.1</v>
      </c>
      <c r="AKH63" s="2">
        <v>0</v>
      </c>
      <c r="AKI63" s="2">
        <v>0</v>
      </c>
      <c r="AKJ63" s="2">
        <v>2.7</v>
      </c>
      <c r="AKK63" s="2">
        <v>2.3</v>
      </c>
      <c r="AKL63" s="2">
        <v>0</v>
      </c>
      <c r="AKM63" s="2">
        <v>-0.5</v>
      </c>
      <c r="AKN63" s="2">
        <v>2.3</v>
      </c>
      <c r="AKO63" s="2">
        <v>3.1</v>
      </c>
      <c r="AKP63" s="2">
        <v>5.12</v>
      </c>
      <c r="AKQ63" s="2">
        <v>5.24</v>
      </c>
      <c r="AKR63" s="2">
        <v>5.4</v>
      </c>
    </row>
    <row r="64">
      <c r="A64" t="inlineStr">
        <is>
          <t>Dental services</t>
        </is>
      </c>
      <c r="B64" t="inlineStr">
        <is>
          <t>Medical, dental and hospital services</t>
        </is>
      </c>
      <c r="C64">
        <v>3</v>
      </c>
      <c r="D64">
        <v>0.6</v>
      </c>
      <c r="E64" s="3">
        <f>D64/5.619999999999999*0.0562</f>
        <v>0.006000000000000001</v>
      </c>
      <c r="F64" s="3">
        <f>E64-D64/100</f>
        <v>8.673617379884035e-19</v>
      </c>
      <c r="G64" s="3">
        <f>D64/5.619999999999999</f>
        <v>0.10676156583629895</v>
      </c>
      <c r="CI64" s="2">
        <v>95.79000000000001</v>
      </c>
      <c r="CJ64" s="2">
        <v>95.98999999999999</v>
      </c>
      <c r="CK64" s="2">
        <v>96.09</v>
      </c>
      <c r="CL64" s="2">
        <v>96.42</v>
      </c>
      <c r="CM64" s="2">
        <v>96.72</v>
      </c>
      <c r="CN64" s="2">
        <v>96.98</v>
      </c>
      <c r="CO64" s="2">
        <v>97.20999999999999</v>
      </c>
      <c r="CP64" s="2">
        <v>97.18000000000001</v>
      </c>
      <c r="CQ64" s="2">
        <v>97.22</v>
      </c>
      <c r="CR64" s="2">
        <v>97.34999999999999</v>
      </c>
      <c r="CS64" s="2">
        <v>97.53</v>
      </c>
      <c r="CT64" s="2">
        <v>97.62</v>
      </c>
      <c r="CU64" s="2">
        <v>98.23</v>
      </c>
      <c r="CV64" s="2">
        <v>98.20999999999999</v>
      </c>
      <c r="CW64" s="2">
        <v>98.20999999999999</v>
      </c>
      <c r="CX64" s="2">
        <v>98.73</v>
      </c>
      <c r="CY64" s="2">
        <v>99.87</v>
      </c>
      <c r="CZ64" s="2">
        <v>100</v>
      </c>
      <c r="DA64" s="2">
        <v>100.12</v>
      </c>
      <c r="DB64" s="2">
        <v>100.16</v>
      </c>
      <c r="DC64" s="2">
        <v>100.32</v>
      </c>
      <c r="DD64" s="2">
        <v>100.56</v>
      </c>
      <c r="DE64" s="2">
        <v>100.81</v>
      </c>
      <c r="DF64" s="2">
        <v>100.9</v>
      </c>
      <c r="DG64" s="2">
        <v>101.33</v>
      </c>
      <c r="DH64" s="2">
        <v>101.48</v>
      </c>
      <c r="DI64" s="2">
        <v>101.51</v>
      </c>
      <c r="DJ64" s="2">
        <v>102.44</v>
      </c>
      <c r="GL64" s="2">
        <v>2.5</v>
      </c>
      <c r="GM64" s="2">
        <v>2.3</v>
      </c>
      <c r="GN64" s="2">
        <v>2.2</v>
      </c>
      <c r="GO64" s="2">
        <v>2.4</v>
      </c>
      <c r="GP64" s="2">
        <v>3.3</v>
      </c>
      <c r="GQ64" s="2">
        <v>3.1</v>
      </c>
      <c r="GR64" s="2">
        <v>3</v>
      </c>
      <c r="GS64" s="2">
        <v>3.1</v>
      </c>
      <c r="GT64" s="2">
        <v>3.2</v>
      </c>
      <c r="GU64" s="2">
        <v>3.3</v>
      </c>
      <c r="GV64" s="2">
        <v>3.4</v>
      </c>
      <c r="GW64" s="2">
        <v>3.4</v>
      </c>
      <c r="GX64" s="2">
        <v>3.2</v>
      </c>
      <c r="GY64" s="2">
        <v>3.3</v>
      </c>
      <c r="GZ64" s="2">
        <v>3.4</v>
      </c>
      <c r="HA64" s="2">
        <v>3.8</v>
      </c>
      <c r="KC64" s="2">
        <v>0.2</v>
      </c>
      <c r="KD64" s="2">
        <v>0.1</v>
      </c>
      <c r="KE64" s="2">
        <v>0.3</v>
      </c>
      <c r="KF64" s="2">
        <v>0.3</v>
      </c>
      <c r="KG64" s="2">
        <v>0.3</v>
      </c>
      <c r="KH64" s="2">
        <v>0.2</v>
      </c>
      <c r="KI64" s="2">
        <v>0</v>
      </c>
      <c r="KJ64" s="2">
        <v>0</v>
      </c>
      <c r="KK64" s="2">
        <v>0.1</v>
      </c>
      <c r="KL64" s="2">
        <v>0.2</v>
      </c>
      <c r="KM64" s="2">
        <v>0.1</v>
      </c>
      <c r="KN64" s="2">
        <v>0.6</v>
      </c>
      <c r="KO64" s="2">
        <v>0</v>
      </c>
      <c r="KP64" s="2">
        <v>0</v>
      </c>
      <c r="KQ64" s="2">
        <v>0.5</v>
      </c>
      <c r="KR64" s="2">
        <v>1.2</v>
      </c>
      <c r="KS64" s="2">
        <v>0.1</v>
      </c>
      <c r="KT64" s="2">
        <v>0.1</v>
      </c>
      <c r="KU64" s="2">
        <v>0</v>
      </c>
      <c r="KV64" s="2">
        <v>0.2</v>
      </c>
      <c r="KW64" s="2">
        <v>0.2</v>
      </c>
      <c r="KX64" s="2">
        <v>0.2</v>
      </c>
      <c r="KY64" s="2">
        <v>0.1</v>
      </c>
      <c r="KZ64" s="2">
        <v>0.4</v>
      </c>
      <c r="LA64" s="2">
        <v>0.1</v>
      </c>
      <c r="LB64" s="2">
        <v>0</v>
      </c>
      <c r="LC64" s="2">
        <v>0.9</v>
      </c>
      <c r="LD64" s="2">
        <v>0.58</v>
      </c>
      <c r="LE64" s="2">
        <v>0.58</v>
      </c>
      <c r="LF64" s="2">
        <v>0.58</v>
      </c>
      <c r="LG64" s="2">
        <v>0.59</v>
      </c>
      <c r="LH64" s="2">
        <v>0.59</v>
      </c>
      <c r="LI64" s="2">
        <v>0.59</v>
      </c>
      <c r="LJ64" s="2">
        <v>0.59</v>
      </c>
      <c r="LK64" s="2">
        <v>0.59</v>
      </c>
      <c r="LL64" s="2">
        <v>0.6</v>
      </c>
      <c r="LM64" s="2">
        <v>0.6</v>
      </c>
      <c r="LN64" s="2">
        <v>0.6</v>
      </c>
      <c r="LO64" s="2">
        <v>0.6</v>
      </c>
      <c r="LP64" s="2">
        <v>0.6</v>
      </c>
      <c r="LQ64" s="2">
        <v>0.6</v>
      </c>
      <c r="LR64" s="2">
        <v>0.6</v>
      </c>
      <c r="LS64" s="2">
        <v>0.6</v>
      </c>
      <c r="LT64" s="2">
        <v>0.61</v>
      </c>
      <c r="LU64" s="2">
        <v>0.61</v>
      </c>
      <c r="LV64" s="2">
        <v>0.61</v>
      </c>
      <c r="LW64" s="2">
        <v>0.61</v>
      </c>
      <c r="LX64" s="2">
        <v>0</v>
      </c>
      <c r="LY64" s="2">
        <v>0</v>
      </c>
      <c r="LZ64" s="2">
        <v>0.01</v>
      </c>
      <c r="MA64" s="2">
        <v>0</v>
      </c>
      <c r="MB64" s="2">
        <v>0</v>
      </c>
      <c r="MC64" s="2">
        <v>0</v>
      </c>
      <c r="MD64" s="2">
        <v>0</v>
      </c>
      <c r="ME64" s="2">
        <v>0.01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0.01</v>
      </c>
      <c r="MN64" s="2">
        <v>0</v>
      </c>
      <c r="MO64" s="2">
        <v>0</v>
      </c>
      <c r="MP64" s="2">
        <v>0</v>
      </c>
      <c r="RO64" s="2">
        <v>10.91</v>
      </c>
      <c r="RP64" s="2">
        <v>11.07</v>
      </c>
      <c r="RQ64" s="2">
        <v>11.41</v>
      </c>
      <c r="RR64" s="2">
        <v>11.67</v>
      </c>
      <c r="RS64" s="2">
        <v>11.93</v>
      </c>
      <c r="RT64" s="2">
        <v>12.11</v>
      </c>
      <c r="RU64" s="2">
        <v>12.45</v>
      </c>
      <c r="RV64" s="2">
        <v>12.95</v>
      </c>
      <c r="RW64" s="2">
        <v>13.29</v>
      </c>
      <c r="RX64" s="2">
        <v>13.45</v>
      </c>
      <c r="RY64" s="2">
        <v>13.84</v>
      </c>
      <c r="RZ64" s="2">
        <v>13.94</v>
      </c>
      <c r="SA64" s="2">
        <v>14.21</v>
      </c>
      <c r="SB64" s="2">
        <v>14.6</v>
      </c>
      <c r="SC64" s="2">
        <v>15.1</v>
      </c>
      <c r="SD64" s="2">
        <v>15.36</v>
      </c>
      <c r="SE64" s="2">
        <v>15.51</v>
      </c>
      <c r="SF64" s="2">
        <v>15.96</v>
      </c>
      <c r="SG64" s="2">
        <v>16.38</v>
      </c>
      <c r="SH64" s="2">
        <v>16.74</v>
      </c>
      <c r="SI64" s="2">
        <v>17.19</v>
      </c>
      <c r="SJ64" s="2">
        <v>17.61</v>
      </c>
      <c r="SK64" s="2">
        <v>18.05</v>
      </c>
      <c r="SL64" s="2">
        <v>18.42</v>
      </c>
      <c r="SM64" s="2">
        <v>19.05</v>
      </c>
      <c r="SN64" s="2">
        <v>19.46</v>
      </c>
      <c r="SO64" s="2">
        <v>20.07</v>
      </c>
      <c r="SP64" s="2">
        <v>20.62</v>
      </c>
      <c r="SQ64" s="2">
        <v>21.24</v>
      </c>
      <c r="SR64" s="2">
        <v>21.53</v>
      </c>
      <c r="SS64" s="2">
        <v>21.87</v>
      </c>
      <c r="ST64" s="2">
        <v>22.6</v>
      </c>
      <c r="SU64" s="2">
        <v>23.07</v>
      </c>
      <c r="SV64" s="2">
        <v>23.65</v>
      </c>
      <c r="SW64" s="2">
        <v>24.3</v>
      </c>
      <c r="SX64" s="2">
        <v>24.75</v>
      </c>
      <c r="SY64" s="2">
        <v>25.38</v>
      </c>
      <c r="SZ64" s="2">
        <v>25.87</v>
      </c>
      <c r="TA64" s="2">
        <v>26.37</v>
      </c>
      <c r="TB64" s="2">
        <v>27.03</v>
      </c>
      <c r="TC64" s="2">
        <v>27.63</v>
      </c>
      <c r="TD64" s="2">
        <v>27.94</v>
      </c>
      <c r="TE64" s="2">
        <v>28.62</v>
      </c>
      <c r="TF64" s="2">
        <v>29.12</v>
      </c>
      <c r="TG64" s="2">
        <v>29.64</v>
      </c>
      <c r="TH64" s="2">
        <v>29.88</v>
      </c>
      <c r="TI64" s="2">
        <v>30.27</v>
      </c>
      <c r="TJ64" s="2">
        <v>30.43</v>
      </c>
      <c r="TK64" s="2">
        <v>30.64</v>
      </c>
      <c r="TL64" s="2">
        <v>30.84</v>
      </c>
      <c r="TM64" s="2">
        <v>31.32</v>
      </c>
      <c r="TN64" s="2">
        <v>31.53</v>
      </c>
      <c r="TO64" s="2">
        <v>31.87</v>
      </c>
      <c r="TP64" s="2">
        <v>32.1</v>
      </c>
      <c r="TQ64" s="2">
        <v>32.44</v>
      </c>
      <c r="TR64" s="2">
        <v>32.86</v>
      </c>
      <c r="TS64" s="2">
        <v>33.2</v>
      </c>
      <c r="TT64" s="2">
        <v>33.41</v>
      </c>
      <c r="TU64" s="2">
        <v>33.88</v>
      </c>
      <c r="TV64" s="2">
        <v>34.4</v>
      </c>
      <c r="TW64" s="2">
        <v>34.61</v>
      </c>
      <c r="TX64" s="2">
        <v>35.03</v>
      </c>
      <c r="TY64" s="2">
        <v>35.45</v>
      </c>
      <c r="TZ64" s="2">
        <v>35.95</v>
      </c>
      <c r="UA64" s="2">
        <v>36.29</v>
      </c>
      <c r="UB64" s="2">
        <v>36.44</v>
      </c>
      <c r="UC64" s="2">
        <v>36.84</v>
      </c>
      <c r="UD64" s="2">
        <v>37.54</v>
      </c>
      <c r="UE64" s="2">
        <v>37.7</v>
      </c>
      <c r="UF64" s="2">
        <v>37.99</v>
      </c>
      <c r="UG64" s="2">
        <v>38.54</v>
      </c>
      <c r="UH64" s="2">
        <v>38.88</v>
      </c>
      <c r="UI64" s="2">
        <v>39.11</v>
      </c>
      <c r="UJ64" s="2">
        <v>39.23</v>
      </c>
      <c r="UK64" s="2">
        <v>39.6</v>
      </c>
      <c r="UL64" s="2">
        <v>40.14</v>
      </c>
      <c r="UM64" s="2">
        <v>40.4</v>
      </c>
      <c r="UN64" s="2">
        <v>41.22</v>
      </c>
      <c r="UO64" s="2">
        <v>42.16</v>
      </c>
      <c r="UP64" s="2">
        <v>42.83</v>
      </c>
      <c r="UQ64" s="2">
        <v>43.4</v>
      </c>
      <c r="UR64" s="2">
        <v>43.67</v>
      </c>
      <c r="US64" s="2">
        <v>44.21</v>
      </c>
      <c r="UT64" s="2">
        <v>44.71</v>
      </c>
      <c r="UU64" s="2">
        <v>45.31</v>
      </c>
      <c r="UV64" s="2">
        <v>45.81</v>
      </c>
      <c r="UW64" s="2">
        <v>46.27</v>
      </c>
      <c r="UX64" s="2">
        <v>46.93</v>
      </c>
      <c r="UY64" s="2">
        <v>47.68</v>
      </c>
      <c r="UZ64" s="2">
        <v>48.11</v>
      </c>
      <c r="VA64" s="2">
        <v>48.86</v>
      </c>
      <c r="VB64" s="2">
        <v>49.53</v>
      </c>
      <c r="VC64" s="2">
        <v>50.22</v>
      </c>
      <c r="VD64" s="2">
        <v>50.85</v>
      </c>
      <c r="VE64" s="2">
        <v>51.75</v>
      </c>
      <c r="VF64" s="2">
        <v>52.26</v>
      </c>
      <c r="VG64" s="2">
        <v>52.79</v>
      </c>
      <c r="VH64" s="2">
        <v>53.43</v>
      </c>
      <c r="VI64" s="2">
        <v>54.47</v>
      </c>
      <c r="VJ64" s="2">
        <v>55.38</v>
      </c>
      <c r="VK64" s="2">
        <v>55.93</v>
      </c>
      <c r="VL64" s="2">
        <v>56.36</v>
      </c>
      <c r="VM64" s="2">
        <v>57.54</v>
      </c>
      <c r="VN64" s="2">
        <v>58.32</v>
      </c>
      <c r="VO64" s="2">
        <v>59.17</v>
      </c>
      <c r="VP64" s="2">
        <v>59.47</v>
      </c>
      <c r="VQ64" s="2">
        <v>60.08</v>
      </c>
      <c r="VR64" s="2">
        <v>60.93</v>
      </c>
      <c r="VS64" s="2">
        <v>61.82</v>
      </c>
      <c r="VT64" s="2">
        <v>62.4</v>
      </c>
      <c r="VU64" s="2">
        <v>63.39</v>
      </c>
      <c r="VV64" s="2">
        <v>64.19</v>
      </c>
      <c r="VW64" s="2">
        <v>64.65000000000001</v>
      </c>
      <c r="VX64" s="2">
        <v>65.14</v>
      </c>
      <c r="VY64" s="2">
        <v>66.36</v>
      </c>
      <c r="VZ64" s="2">
        <v>66.86</v>
      </c>
      <c r="WA64" s="2">
        <v>67.34</v>
      </c>
      <c r="WB64" s="2">
        <v>67.89</v>
      </c>
      <c r="WC64" s="2">
        <v>68.95999999999999</v>
      </c>
      <c r="WD64" s="2">
        <v>69.51000000000001</v>
      </c>
      <c r="WE64" s="2">
        <v>69.88</v>
      </c>
      <c r="WF64" s="2">
        <v>70.29000000000001</v>
      </c>
      <c r="WG64" s="2">
        <v>70.93000000000001</v>
      </c>
      <c r="WH64" s="2">
        <v>71.38</v>
      </c>
      <c r="WI64" s="2">
        <v>72.18000000000001</v>
      </c>
      <c r="WJ64" s="2">
        <v>72.7</v>
      </c>
      <c r="WK64" s="2">
        <v>73.86</v>
      </c>
      <c r="WL64" s="2">
        <v>74.31</v>
      </c>
      <c r="WM64" s="2">
        <v>75.01000000000001</v>
      </c>
      <c r="WN64" s="2">
        <v>75.15000000000001</v>
      </c>
      <c r="WO64" s="2">
        <v>75.81999999999999</v>
      </c>
      <c r="WP64" s="2">
        <v>76.16</v>
      </c>
      <c r="WQ64" s="2">
        <v>76.33</v>
      </c>
      <c r="WR64" s="2">
        <v>76.54000000000001</v>
      </c>
      <c r="WS64" s="2">
        <v>77.56999999999999</v>
      </c>
      <c r="WT64" s="2">
        <v>78.20999999999999</v>
      </c>
      <c r="WU64" s="2">
        <v>78.98</v>
      </c>
      <c r="WV64" s="2">
        <v>79.22</v>
      </c>
      <c r="WW64" s="2">
        <v>79.68000000000001</v>
      </c>
      <c r="WX64" s="2">
        <v>79.88</v>
      </c>
      <c r="WY64" s="2">
        <v>80.26000000000001</v>
      </c>
      <c r="WZ64" s="2">
        <v>80.5</v>
      </c>
      <c r="XA64" s="2">
        <v>81.09999999999999</v>
      </c>
      <c r="XB64" s="2">
        <v>81.23999999999999</v>
      </c>
      <c r="XC64" s="2">
        <v>81.27</v>
      </c>
      <c r="XD64" s="2">
        <v>81.23</v>
      </c>
      <c r="XE64" s="2">
        <v>81.47</v>
      </c>
      <c r="XF64" s="2">
        <v>81.91</v>
      </c>
      <c r="XG64" s="2">
        <v>82.04000000000001</v>
      </c>
      <c r="XH64" s="2">
        <v>82.3</v>
      </c>
      <c r="XI64" s="2">
        <v>82.47</v>
      </c>
      <c r="XJ64" s="2">
        <v>82.56</v>
      </c>
      <c r="XK64" s="2">
        <v>82.75</v>
      </c>
      <c r="XL64" s="2">
        <v>83.34</v>
      </c>
      <c r="XM64" s="2">
        <v>84.23999999999999</v>
      </c>
      <c r="XN64" s="2">
        <v>84.45</v>
      </c>
      <c r="XO64" s="2">
        <v>84.95</v>
      </c>
      <c r="XP64" s="2">
        <v>85.34</v>
      </c>
      <c r="XQ64" s="2">
        <v>85.67</v>
      </c>
      <c r="XR64" s="2">
        <v>85.87</v>
      </c>
      <c r="XS64" s="2">
        <v>86</v>
      </c>
      <c r="XT64" s="2">
        <v>86.23</v>
      </c>
      <c r="XU64" s="2">
        <v>86.70999999999999</v>
      </c>
      <c r="XV64" s="2">
        <v>86.81</v>
      </c>
      <c r="XW64" s="2">
        <v>87</v>
      </c>
      <c r="XX64" s="2">
        <v>87.06999999999999</v>
      </c>
      <c r="XY64" s="2">
        <v>87.93000000000001</v>
      </c>
      <c r="XZ64" s="2">
        <v>88.59999999999999</v>
      </c>
      <c r="YA64" s="2">
        <v>89.56999999999999</v>
      </c>
      <c r="YB64" s="2">
        <v>90.45999999999999</v>
      </c>
      <c r="YC64" s="2">
        <v>91.25</v>
      </c>
      <c r="YD64" s="2">
        <v>91.75</v>
      </c>
      <c r="YE64" s="2">
        <v>94.02</v>
      </c>
      <c r="YF64" s="2">
        <v>94.15000000000001</v>
      </c>
      <c r="YG64" s="2">
        <v>95.19</v>
      </c>
      <c r="YH64" s="2">
        <v>95.7</v>
      </c>
      <c r="YI64" s="2">
        <v>96.58</v>
      </c>
      <c r="YJ64" s="2">
        <v>96.84999999999999</v>
      </c>
      <c r="YK64" s="2">
        <v>97.23999999999999</v>
      </c>
      <c r="YL64" s="2">
        <v>97.69</v>
      </c>
      <c r="YM64" s="2">
        <v>99.53</v>
      </c>
      <c r="YN64" s="2">
        <v>100.2</v>
      </c>
      <c r="YO64" s="2">
        <v>100.76</v>
      </c>
      <c r="YP64" s="2">
        <v>101.44</v>
      </c>
      <c r="ADO64" s="2">
        <v>1.5</v>
      </c>
      <c r="ADP64" s="2">
        <v>3.1</v>
      </c>
      <c r="ADQ64" s="2">
        <v>2.3</v>
      </c>
      <c r="ADR64" s="2">
        <v>2.2</v>
      </c>
      <c r="ADS64" s="2">
        <v>1.5</v>
      </c>
      <c r="ADT64" s="2">
        <v>2.8</v>
      </c>
      <c r="ADU64" s="2">
        <v>4</v>
      </c>
      <c r="ADV64" s="2">
        <v>2.6</v>
      </c>
      <c r="ADW64" s="2">
        <v>1.2</v>
      </c>
      <c r="ADX64" s="2">
        <v>2.9</v>
      </c>
      <c r="ADY64" s="2">
        <v>0.7</v>
      </c>
      <c r="ADZ64" s="2">
        <v>1.9</v>
      </c>
      <c r="AEA64" s="2">
        <v>2.7</v>
      </c>
      <c r="AEB64" s="2">
        <v>3.4</v>
      </c>
      <c r="AEC64" s="2">
        <v>1.7</v>
      </c>
      <c r="AED64" s="2">
        <v>1</v>
      </c>
      <c r="AEE64" s="2">
        <v>2.9</v>
      </c>
      <c r="AEF64" s="2">
        <v>2.6</v>
      </c>
      <c r="AEG64" s="2">
        <v>2.2</v>
      </c>
      <c r="AEH64" s="2">
        <v>2.7</v>
      </c>
      <c r="AEI64" s="2">
        <v>2.4</v>
      </c>
      <c r="AEJ64" s="2">
        <v>2.5</v>
      </c>
      <c r="AEK64" s="2">
        <v>2</v>
      </c>
      <c r="AEL64" s="2">
        <v>3.4</v>
      </c>
      <c r="AEM64" s="2">
        <v>2.2</v>
      </c>
      <c r="AEN64" s="2">
        <v>3.1</v>
      </c>
      <c r="AEO64" s="2">
        <v>2.7</v>
      </c>
      <c r="AEP64" s="2">
        <v>3</v>
      </c>
      <c r="AEQ64" s="2">
        <v>1.4</v>
      </c>
      <c r="AER64" s="2">
        <v>1.6</v>
      </c>
      <c r="AES64" s="2">
        <v>3.3</v>
      </c>
      <c r="AET64" s="2">
        <v>2.1</v>
      </c>
      <c r="AEU64" s="2">
        <v>2.5</v>
      </c>
      <c r="AEV64" s="2">
        <v>2.7</v>
      </c>
      <c r="AEW64" s="2">
        <v>1.9</v>
      </c>
      <c r="AEX64" s="2">
        <v>2.5</v>
      </c>
      <c r="AEY64" s="2">
        <v>1.9</v>
      </c>
      <c r="AEZ64" s="2">
        <v>1.9</v>
      </c>
      <c r="AFA64" s="2">
        <v>2.5</v>
      </c>
      <c r="AFB64" s="2">
        <v>2.2</v>
      </c>
      <c r="AFC64" s="2">
        <v>1.1</v>
      </c>
      <c r="AFD64" s="2">
        <v>2.4</v>
      </c>
      <c r="AFE64" s="2">
        <v>1.7</v>
      </c>
      <c r="AFF64" s="2">
        <v>1.8</v>
      </c>
      <c r="AFG64" s="2">
        <v>0.8</v>
      </c>
      <c r="AFH64" s="2">
        <v>1.3</v>
      </c>
      <c r="AFI64" s="2">
        <v>0.5</v>
      </c>
      <c r="AFJ64" s="2">
        <v>0.7</v>
      </c>
      <c r="AFK64" s="2">
        <v>0.7</v>
      </c>
      <c r="AFL64" s="2">
        <v>1.6</v>
      </c>
      <c r="AFM64" s="2">
        <v>0.7</v>
      </c>
      <c r="AFN64" s="2">
        <v>1.1</v>
      </c>
      <c r="AFO64" s="2">
        <v>0.7</v>
      </c>
      <c r="AFP64" s="2">
        <v>1.1</v>
      </c>
      <c r="AFQ64" s="2">
        <v>1.3</v>
      </c>
      <c r="AFR64" s="2">
        <v>1</v>
      </c>
      <c r="AFS64" s="2">
        <v>0.6</v>
      </c>
      <c r="AFT64" s="2">
        <v>1.4</v>
      </c>
      <c r="AFU64" s="2">
        <v>1.5</v>
      </c>
      <c r="AFV64" s="2">
        <v>0.6</v>
      </c>
      <c r="AFW64" s="2">
        <v>1.2</v>
      </c>
      <c r="AFX64" s="2">
        <v>1.2</v>
      </c>
      <c r="AFY64" s="2">
        <v>1.4</v>
      </c>
      <c r="AFZ64" s="2">
        <v>0.9</v>
      </c>
      <c r="AGA64" s="2">
        <v>0.4</v>
      </c>
      <c r="AGB64" s="2">
        <v>1.1</v>
      </c>
      <c r="AGC64" s="2">
        <v>1.9</v>
      </c>
      <c r="AGD64" s="2">
        <v>0.4</v>
      </c>
      <c r="AGE64" s="2">
        <v>0.8</v>
      </c>
      <c r="AGF64" s="2">
        <v>1.4</v>
      </c>
      <c r="AGG64" s="2">
        <v>0.9</v>
      </c>
      <c r="AGH64" s="2">
        <v>0.6</v>
      </c>
      <c r="AGI64" s="2">
        <v>0.3</v>
      </c>
      <c r="AGJ64" s="2">
        <v>0.9</v>
      </c>
      <c r="AGK64" s="2">
        <v>1.4</v>
      </c>
      <c r="AGL64" s="2">
        <v>0.6</v>
      </c>
      <c r="AGM64" s="2">
        <v>2</v>
      </c>
      <c r="AGN64" s="2">
        <v>2.3</v>
      </c>
      <c r="AGO64" s="2">
        <v>1.6</v>
      </c>
      <c r="AGP64" s="2">
        <v>1.3</v>
      </c>
      <c r="AGQ64" s="2">
        <v>0.6</v>
      </c>
      <c r="AGR64" s="2">
        <v>1.2</v>
      </c>
      <c r="AGS64" s="2">
        <v>1.1</v>
      </c>
      <c r="AGT64" s="2">
        <v>1.3</v>
      </c>
      <c r="AGU64" s="2">
        <v>1.1</v>
      </c>
      <c r="AGV64" s="2">
        <v>1</v>
      </c>
      <c r="AGW64" s="2">
        <v>1.4</v>
      </c>
      <c r="AGX64" s="2">
        <v>1.6</v>
      </c>
      <c r="AGY64" s="2">
        <v>0.9</v>
      </c>
      <c r="AGZ64" s="2">
        <v>1.6</v>
      </c>
      <c r="AHA64" s="2">
        <v>1.4</v>
      </c>
      <c r="AHB64" s="2">
        <v>1.4</v>
      </c>
      <c r="AHC64" s="2">
        <v>1.3</v>
      </c>
      <c r="AHD64" s="2">
        <v>1.8</v>
      </c>
      <c r="AHE64" s="2">
        <v>1</v>
      </c>
      <c r="AHF64" s="2">
        <v>1</v>
      </c>
      <c r="AHG64" s="2">
        <v>1.2</v>
      </c>
      <c r="AHH64" s="2">
        <v>1.9</v>
      </c>
      <c r="AHI64" s="2">
        <v>1.7</v>
      </c>
      <c r="AHJ64" s="2">
        <v>1</v>
      </c>
      <c r="AHK64" s="2">
        <v>0.8</v>
      </c>
      <c r="AHL64" s="2">
        <v>2.1</v>
      </c>
      <c r="AHM64" s="2">
        <v>1.4</v>
      </c>
      <c r="AHN64" s="2">
        <v>1.5</v>
      </c>
      <c r="AHO64" s="2">
        <v>0.5</v>
      </c>
      <c r="AHP64" s="2">
        <v>1</v>
      </c>
      <c r="AHQ64" s="2">
        <v>1.4</v>
      </c>
      <c r="AHR64" s="2">
        <v>1.5</v>
      </c>
      <c r="AHS64" s="2">
        <v>0.9</v>
      </c>
      <c r="AHT64" s="2">
        <v>1.6</v>
      </c>
      <c r="AHU64" s="2">
        <v>1.3</v>
      </c>
      <c r="AHV64" s="2">
        <v>0.7</v>
      </c>
      <c r="AHW64" s="2">
        <v>0.8</v>
      </c>
      <c r="AHX64" s="2">
        <v>1.9</v>
      </c>
      <c r="AHY64" s="2">
        <v>0.8</v>
      </c>
      <c r="AHZ64" s="2">
        <v>0.7</v>
      </c>
      <c r="AIA64" s="2">
        <v>0.8</v>
      </c>
      <c r="AIB64" s="2">
        <v>1.6</v>
      </c>
      <c r="AIC64" s="2">
        <v>0.8</v>
      </c>
      <c r="AID64" s="2">
        <v>0.5</v>
      </c>
      <c r="AIE64" s="2">
        <v>0.6</v>
      </c>
      <c r="AIF64" s="2">
        <v>0.9</v>
      </c>
      <c r="AIG64" s="2">
        <v>0.6</v>
      </c>
      <c r="AIH64" s="2">
        <v>1.1</v>
      </c>
      <c r="AII64" s="2">
        <v>0.7</v>
      </c>
      <c r="AIJ64" s="2">
        <v>1.6</v>
      </c>
      <c r="AIK64" s="2">
        <v>0.6</v>
      </c>
      <c r="AIL64" s="2">
        <v>0.9</v>
      </c>
      <c r="AIM64" s="2">
        <v>0.2</v>
      </c>
      <c r="AIN64" s="2">
        <v>0.9</v>
      </c>
      <c r="AIO64" s="2">
        <v>0.4</v>
      </c>
      <c r="AIP64" s="2">
        <v>0.2</v>
      </c>
      <c r="AIQ64" s="2">
        <v>0.3</v>
      </c>
      <c r="AIR64" s="2">
        <v>1.3</v>
      </c>
      <c r="AIS64" s="2">
        <v>0.8</v>
      </c>
      <c r="AIT64" s="2">
        <v>1</v>
      </c>
      <c r="AIU64" s="2">
        <v>0.3</v>
      </c>
      <c r="AIV64" s="2">
        <v>0.6</v>
      </c>
      <c r="AIW64" s="2">
        <v>0.3</v>
      </c>
      <c r="AIX64" s="2">
        <v>0.5</v>
      </c>
      <c r="AIY64" s="2">
        <v>0.3</v>
      </c>
      <c r="AIZ64" s="2">
        <v>0.7</v>
      </c>
      <c r="AJA64" s="2">
        <v>0.2</v>
      </c>
      <c r="AJB64" s="2">
        <v>0</v>
      </c>
      <c r="AJC64" s="2">
        <v>0</v>
      </c>
      <c r="AJD64" s="2">
        <v>0.3</v>
      </c>
      <c r="AJE64" s="2">
        <v>0.5</v>
      </c>
      <c r="AJF64" s="2">
        <v>0.2</v>
      </c>
      <c r="AJG64" s="2">
        <v>0.3</v>
      </c>
      <c r="AJH64" s="2">
        <v>0.2</v>
      </c>
      <c r="AJI64" s="2">
        <v>0.1</v>
      </c>
      <c r="AJJ64" s="2">
        <v>0.2</v>
      </c>
      <c r="AJK64" s="2">
        <v>0.7</v>
      </c>
      <c r="AJL64" s="2">
        <v>1.1</v>
      </c>
      <c r="AJM64" s="2">
        <v>0.2</v>
      </c>
      <c r="AJN64" s="2">
        <v>0.6</v>
      </c>
      <c r="AJO64" s="2">
        <v>0.5</v>
      </c>
      <c r="AJP64" s="2">
        <v>0.4</v>
      </c>
      <c r="AJQ64" s="2">
        <v>0.2</v>
      </c>
      <c r="AJR64" s="2">
        <v>0.2</v>
      </c>
      <c r="AJS64" s="2">
        <v>0.3</v>
      </c>
      <c r="AJT64" s="2">
        <v>0.6</v>
      </c>
      <c r="AJU64" s="2">
        <v>0.1</v>
      </c>
      <c r="AJV64" s="2">
        <v>0.2</v>
      </c>
      <c r="AJW64" s="2">
        <v>0.1</v>
      </c>
      <c r="AJX64" s="2">
        <v>1</v>
      </c>
      <c r="AJY64" s="2">
        <v>0.8</v>
      </c>
      <c r="AJZ64" s="2">
        <v>1.1</v>
      </c>
      <c r="AKA64" s="2">
        <v>1</v>
      </c>
      <c r="AKB64" s="2">
        <v>0.9</v>
      </c>
      <c r="AKC64" s="2">
        <v>0.5</v>
      </c>
      <c r="AKD64" s="2">
        <v>2.5</v>
      </c>
      <c r="AKE64" s="2">
        <v>0.1</v>
      </c>
      <c r="AKF64" s="2">
        <v>1.1</v>
      </c>
      <c r="AKG64" s="2">
        <v>0.5</v>
      </c>
      <c r="AKH64" s="2">
        <v>0.9</v>
      </c>
      <c r="AKI64" s="2">
        <v>0.3</v>
      </c>
      <c r="AKJ64" s="2">
        <v>0.4</v>
      </c>
      <c r="AKK64" s="2">
        <v>0.5</v>
      </c>
      <c r="AKL64" s="2">
        <v>1.9</v>
      </c>
      <c r="AKM64" s="2">
        <v>0.7</v>
      </c>
      <c r="AKN64" s="2">
        <v>0.6</v>
      </c>
      <c r="AKO64" s="2">
        <v>0.7</v>
      </c>
      <c r="AKP64" s="2">
        <v>0.6</v>
      </c>
      <c r="AKQ64" s="2">
        <v>0.6</v>
      </c>
      <c r="AKR64" s="2">
        <v>0.61</v>
      </c>
    </row>
    <row r="65">
      <c r="A65" t="inlineStr">
        <is>
          <t>Motor vehicles</t>
        </is>
      </c>
      <c r="B65" t="inlineStr">
        <is>
          <t>Private motoring</t>
        </is>
      </c>
      <c r="C65">
        <v>3</v>
      </c>
      <c r="D65">
        <v>3.5</v>
      </c>
      <c r="E65" s="3">
        <f>D65/11.14*0.11149703832752614</f>
        <v>0.03503048780487805</v>
      </c>
      <c r="F65" s="3">
        <f>E65-D65/100</f>
        <v>3.0487804878048808e-05</v>
      </c>
      <c r="G65" s="3">
        <f>D65/11.14</f>
        <v>0.3141831238779174</v>
      </c>
      <c r="CI65" s="2">
        <v>101.37</v>
      </c>
      <c r="CJ65" s="2">
        <v>100.98</v>
      </c>
      <c r="CK65" s="2">
        <v>100.43</v>
      </c>
      <c r="CL65" s="2">
        <v>100.29</v>
      </c>
      <c r="CM65" s="2">
        <v>100.15</v>
      </c>
      <c r="CN65" s="2">
        <v>99.95</v>
      </c>
      <c r="CO65" s="2">
        <v>100.18</v>
      </c>
      <c r="CP65" s="2">
        <v>99.86</v>
      </c>
      <c r="CQ65" s="2">
        <v>99.94</v>
      </c>
      <c r="CR65" s="2">
        <v>99.98</v>
      </c>
      <c r="CS65" s="2">
        <v>100.13</v>
      </c>
      <c r="CT65" s="2">
        <v>100.36</v>
      </c>
      <c r="CU65" s="2">
        <v>100.56</v>
      </c>
      <c r="CV65" s="2">
        <v>100.45</v>
      </c>
      <c r="CW65" s="2">
        <v>98.83</v>
      </c>
      <c r="CX65" s="2">
        <v>100.83</v>
      </c>
      <c r="CY65" s="2">
        <v>100.82</v>
      </c>
      <c r="CZ65" s="2">
        <v>100</v>
      </c>
      <c r="DA65" s="2">
        <v>100.93</v>
      </c>
      <c r="DB65" s="2">
        <v>99.29000000000001</v>
      </c>
      <c r="DC65" s="2">
        <v>101.07</v>
      </c>
      <c r="DD65" s="2">
        <v>101.46</v>
      </c>
      <c r="DE65" s="2">
        <v>101.35</v>
      </c>
      <c r="DF65" s="2">
        <v>101.5</v>
      </c>
      <c r="DG65" s="2">
        <v>101.71</v>
      </c>
      <c r="DH65" s="2">
        <v>100.69</v>
      </c>
      <c r="DI65" s="2">
        <v>101.02</v>
      </c>
      <c r="DJ65" s="2">
        <v>101.59</v>
      </c>
      <c r="GL65" s="2">
        <v>-0.8</v>
      </c>
      <c r="GM65" s="2">
        <v>-0.5</v>
      </c>
      <c r="GN65" s="2">
        <v>-1.6</v>
      </c>
      <c r="GO65" s="2">
        <v>0.5</v>
      </c>
      <c r="GP65" s="2">
        <v>0.7</v>
      </c>
      <c r="GQ65" s="2">
        <v>0.1</v>
      </c>
      <c r="GR65" s="2">
        <v>0.7</v>
      </c>
      <c r="GS65" s="2">
        <v>-0.6</v>
      </c>
      <c r="GT65" s="2">
        <v>1.1</v>
      </c>
      <c r="GU65" s="2">
        <v>1.5</v>
      </c>
      <c r="GV65" s="2">
        <v>1.2</v>
      </c>
      <c r="GW65" s="2">
        <v>1.1</v>
      </c>
      <c r="GX65" s="2">
        <v>1.1</v>
      </c>
      <c r="GY65" s="2">
        <v>0.2</v>
      </c>
      <c r="GZ65" s="2">
        <v>2.2</v>
      </c>
      <c r="HA65" s="2">
        <v>0.8</v>
      </c>
      <c r="KC65" s="2">
        <v>-0.4</v>
      </c>
      <c r="KD65" s="2">
        <v>-0.5</v>
      </c>
      <c r="KE65" s="2">
        <v>-0.1</v>
      </c>
      <c r="KF65" s="2">
        <v>-0.1</v>
      </c>
      <c r="KG65" s="2">
        <v>-0.2</v>
      </c>
      <c r="KH65" s="2">
        <v>0.2</v>
      </c>
      <c r="KI65" s="2">
        <v>-0.3</v>
      </c>
      <c r="KJ65" s="2">
        <v>0.1</v>
      </c>
      <c r="KK65" s="2">
        <v>0</v>
      </c>
      <c r="KL65" s="2">
        <v>0.2</v>
      </c>
      <c r="KM65" s="2">
        <v>0.2</v>
      </c>
      <c r="KN65" s="2">
        <v>0.2</v>
      </c>
      <c r="KO65" s="2">
        <v>-0.1</v>
      </c>
      <c r="KP65" s="2">
        <v>-1.6</v>
      </c>
      <c r="KQ65" s="2">
        <v>2</v>
      </c>
      <c r="KR65" s="2">
        <v>0</v>
      </c>
      <c r="KS65" s="2">
        <v>-0.8</v>
      </c>
      <c r="KT65" s="2">
        <v>0.9</v>
      </c>
      <c r="KU65" s="2">
        <v>-1.6</v>
      </c>
      <c r="KV65" s="2">
        <v>1.8</v>
      </c>
      <c r="KW65" s="2">
        <v>0.4</v>
      </c>
      <c r="KX65" s="2">
        <v>-0.1</v>
      </c>
      <c r="KY65" s="2">
        <v>0.1</v>
      </c>
      <c r="KZ65" s="2">
        <v>0.2</v>
      </c>
      <c r="LA65" s="2">
        <v>-1</v>
      </c>
      <c r="LB65" s="2">
        <v>0.3</v>
      </c>
      <c r="LC65" s="2">
        <v>0.6</v>
      </c>
      <c r="LD65" s="2">
        <v>3.41</v>
      </c>
      <c r="LE65" s="2">
        <v>3.41</v>
      </c>
      <c r="LF65" s="2">
        <v>3.41</v>
      </c>
      <c r="LG65" s="2">
        <v>3.42</v>
      </c>
      <c r="LH65" s="2">
        <v>3.43</v>
      </c>
      <c r="LI65" s="2">
        <v>3.42</v>
      </c>
      <c r="LJ65" s="2">
        <v>3.37</v>
      </c>
      <c r="LK65" s="2">
        <v>3.44</v>
      </c>
      <c r="LL65" s="2">
        <v>3.44</v>
      </c>
      <c r="LM65" s="2">
        <v>3.41</v>
      </c>
      <c r="LN65" s="2">
        <v>3.44</v>
      </c>
      <c r="LO65" s="2">
        <v>3.38</v>
      </c>
      <c r="LP65" s="2">
        <v>3.44</v>
      </c>
      <c r="LQ65" s="2">
        <v>3.46</v>
      </c>
      <c r="LR65" s="2">
        <v>3.45</v>
      </c>
      <c r="LS65" s="2">
        <v>3.46</v>
      </c>
      <c r="LT65" s="2">
        <v>3.47</v>
      </c>
      <c r="LU65" s="2">
        <v>3.43</v>
      </c>
      <c r="LV65" s="2">
        <v>3.44</v>
      </c>
      <c r="LW65" s="2">
        <v>3.46</v>
      </c>
      <c r="LX65" s="2">
        <v>0</v>
      </c>
      <c r="LY65" s="2">
        <v>0</v>
      </c>
      <c r="LZ65" s="2">
        <v>0.01</v>
      </c>
      <c r="MA65" s="2">
        <v>0.01</v>
      </c>
      <c r="MB65" s="2">
        <v>-0.01</v>
      </c>
      <c r="MC65" s="2">
        <v>-0.05</v>
      </c>
      <c r="MD65" s="2">
        <v>0.07000000000000001</v>
      </c>
      <c r="ME65" s="2">
        <v>0</v>
      </c>
      <c r="MF65" s="2">
        <v>-0.03</v>
      </c>
      <c r="MG65" s="2">
        <v>0.03</v>
      </c>
      <c r="MH65" s="2">
        <v>-0.06</v>
      </c>
      <c r="MI65" s="2">
        <v>0.06</v>
      </c>
      <c r="MJ65" s="2">
        <v>0.02</v>
      </c>
      <c r="MK65" s="2">
        <v>-0.01</v>
      </c>
      <c r="ML65" s="2">
        <v>0.01</v>
      </c>
      <c r="MM65" s="2">
        <v>0.01</v>
      </c>
      <c r="MN65" s="2">
        <v>-0.04</v>
      </c>
      <c r="MO65" s="2">
        <v>0.01</v>
      </c>
      <c r="MP65" s="2">
        <v>0.02</v>
      </c>
      <c r="QI65" s="2">
        <v>19.86</v>
      </c>
      <c r="QJ65" s="2">
        <v>19.86</v>
      </c>
      <c r="QK65" s="2">
        <v>19.86</v>
      </c>
      <c r="QL65" s="2">
        <v>19.95</v>
      </c>
      <c r="QM65" s="2">
        <v>20.34</v>
      </c>
      <c r="QN65" s="2">
        <v>20.82</v>
      </c>
      <c r="QO65" s="2">
        <v>21.5</v>
      </c>
      <c r="QP65" s="2">
        <v>21.69</v>
      </c>
      <c r="QQ65" s="2">
        <v>23.33</v>
      </c>
      <c r="QR65" s="2">
        <v>25.16</v>
      </c>
      <c r="QS65" s="2">
        <v>24.2</v>
      </c>
      <c r="QT65" s="2">
        <v>25.45</v>
      </c>
      <c r="QU65" s="2">
        <v>27.47</v>
      </c>
      <c r="QV65" s="2">
        <v>29.59</v>
      </c>
      <c r="QW65" s="2">
        <v>30.27</v>
      </c>
      <c r="QX65" s="2">
        <v>31.14</v>
      </c>
      <c r="QY65" s="2">
        <v>32</v>
      </c>
      <c r="QZ65" s="2">
        <v>32.68</v>
      </c>
      <c r="RA65" s="2">
        <v>33.55</v>
      </c>
      <c r="RB65" s="2">
        <v>34.51</v>
      </c>
      <c r="RC65" s="2">
        <v>35.28</v>
      </c>
      <c r="RD65" s="2">
        <v>35.76</v>
      </c>
      <c r="RE65" s="2">
        <v>36.73</v>
      </c>
      <c r="RF65" s="2">
        <v>37.6</v>
      </c>
      <c r="RG65" s="2">
        <v>38.85</v>
      </c>
      <c r="RH65" s="2">
        <v>37.6</v>
      </c>
      <c r="RI65" s="2">
        <v>38.46</v>
      </c>
      <c r="RJ65" s="2">
        <v>38.85</v>
      </c>
      <c r="RK65" s="2">
        <v>39.62</v>
      </c>
      <c r="RL65" s="2">
        <v>40.1</v>
      </c>
      <c r="RM65" s="2">
        <v>40.87</v>
      </c>
      <c r="RN65" s="2">
        <v>41.16</v>
      </c>
      <c r="RO65" s="2">
        <v>41.16</v>
      </c>
      <c r="RP65" s="2">
        <v>41.93</v>
      </c>
      <c r="RQ65" s="2">
        <v>42.9</v>
      </c>
      <c r="RR65" s="2">
        <v>43.67</v>
      </c>
      <c r="RS65" s="2">
        <v>44.73</v>
      </c>
      <c r="RT65" s="2">
        <v>46.56</v>
      </c>
      <c r="RU65" s="2">
        <v>47.52</v>
      </c>
      <c r="RV65" s="2">
        <v>48.01</v>
      </c>
      <c r="RW65" s="2">
        <v>49.26</v>
      </c>
      <c r="RX65" s="2">
        <v>49.55</v>
      </c>
      <c r="RY65" s="2">
        <v>51.09</v>
      </c>
      <c r="RZ65" s="2">
        <v>52.83</v>
      </c>
      <c r="SA65" s="2">
        <v>53.5</v>
      </c>
      <c r="SB65" s="2">
        <v>53.98</v>
      </c>
      <c r="SC65" s="2">
        <v>54.46</v>
      </c>
      <c r="SD65" s="2">
        <v>55.24</v>
      </c>
      <c r="SE65" s="2">
        <v>55.81</v>
      </c>
      <c r="SF65" s="2">
        <v>56.68</v>
      </c>
      <c r="SG65" s="2">
        <v>58.32</v>
      </c>
      <c r="SH65" s="2">
        <v>60.15</v>
      </c>
      <c r="SI65" s="2">
        <v>61.5</v>
      </c>
      <c r="SJ65" s="2">
        <v>63.33</v>
      </c>
      <c r="SK65" s="2">
        <v>66.42</v>
      </c>
      <c r="SL65" s="2">
        <v>68.15000000000001</v>
      </c>
      <c r="SM65" s="2">
        <v>71.62</v>
      </c>
      <c r="SN65" s="2">
        <v>76.44</v>
      </c>
      <c r="SO65" s="2">
        <v>78.84999999999999</v>
      </c>
      <c r="SP65" s="2">
        <v>80.40000000000001</v>
      </c>
      <c r="SQ65" s="2">
        <v>82.31999999999999</v>
      </c>
      <c r="SR65" s="2">
        <v>84.54000000000001</v>
      </c>
      <c r="SS65" s="2">
        <v>86.28</v>
      </c>
      <c r="ST65" s="2">
        <v>88.40000000000001</v>
      </c>
      <c r="SU65" s="2">
        <v>90.61</v>
      </c>
      <c r="SV65" s="2">
        <v>91.77</v>
      </c>
      <c r="SW65" s="2">
        <v>93.12</v>
      </c>
      <c r="SX65" s="2">
        <v>93.7</v>
      </c>
      <c r="SY65" s="2">
        <v>94.76000000000001</v>
      </c>
      <c r="SZ65" s="2">
        <v>96.40000000000001</v>
      </c>
      <c r="TA65" s="2">
        <v>97.36</v>
      </c>
      <c r="TB65" s="2">
        <v>97.17</v>
      </c>
      <c r="TC65" s="2">
        <v>95.43000000000001</v>
      </c>
      <c r="TD65" s="2">
        <v>96.88</v>
      </c>
      <c r="TE65" s="2">
        <v>96.20999999999999</v>
      </c>
      <c r="TF65" s="2">
        <v>98.13</v>
      </c>
      <c r="TG65" s="2">
        <v>99.58</v>
      </c>
      <c r="TH65" s="2">
        <v>101.51</v>
      </c>
      <c r="TI65" s="2">
        <v>101.99</v>
      </c>
      <c r="TJ65" s="2">
        <v>100.83</v>
      </c>
      <c r="TK65" s="2">
        <v>101.99</v>
      </c>
      <c r="TL65" s="2">
        <v>102.66</v>
      </c>
      <c r="TM65" s="2">
        <v>105.36</v>
      </c>
      <c r="TN65" s="2">
        <v>107.19</v>
      </c>
      <c r="TO65" s="2">
        <v>109.41</v>
      </c>
      <c r="TP65" s="2">
        <v>108.45</v>
      </c>
      <c r="TQ65" s="2">
        <v>109.99</v>
      </c>
      <c r="TR65" s="2">
        <v>110.18</v>
      </c>
      <c r="TS65" s="2">
        <v>112.21</v>
      </c>
      <c r="TT65" s="2">
        <v>113.46</v>
      </c>
      <c r="TU65" s="2">
        <v>113.07</v>
      </c>
      <c r="TV65" s="2">
        <v>115.58</v>
      </c>
      <c r="TW65" s="2">
        <v>117.41</v>
      </c>
      <c r="TX65" s="2">
        <v>117.51</v>
      </c>
      <c r="TY65" s="2">
        <v>117.32</v>
      </c>
      <c r="TZ65" s="2">
        <v>117.32</v>
      </c>
      <c r="UA65" s="2">
        <v>115.1</v>
      </c>
      <c r="UB65" s="2">
        <v>114.33</v>
      </c>
      <c r="UC65" s="2">
        <v>112.11</v>
      </c>
      <c r="UD65" s="2">
        <v>108.83</v>
      </c>
      <c r="UE65" s="2">
        <v>109.99</v>
      </c>
      <c r="UF65" s="2">
        <v>106.52</v>
      </c>
      <c r="UG65" s="2">
        <v>107.39</v>
      </c>
      <c r="UH65" s="2">
        <v>105.17</v>
      </c>
      <c r="UI65" s="2">
        <v>103.03</v>
      </c>
      <c r="UJ65" s="2">
        <v>102.18</v>
      </c>
      <c r="UK65" s="2">
        <v>101.69</v>
      </c>
      <c r="UL65" s="2">
        <v>101.3</v>
      </c>
      <c r="UM65" s="2">
        <v>101.97</v>
      </c>
      <c r="UN65" s="2">
        <v>100.34</v>
      </c>
      <c r="UO65" s="2">
        <v>100.81</v>
      </c>
      <c r="UP65" s="2">
        <v>100.81</v>
      </c>
      <c r="UQ65" s="2">
        <v>98.31999999999999</v>
      </c>
      <c r="UR65" s="2">
        <v>97.95</v>
      </c>
      <c r="US65" s="2">
        <v>99.81999999999999</v>
      </c>
      <c r="UT65" s="2">
        <v>101.84</v>
      </c>
      <c r="UU65" s="2">
        <v>102.19</v>
      </c>
      <c r="UV65" s="2">
        <v>102.77</v>
      </c>
      <c r="UW65" s="2">
        <v>103.7</v>
      </c>
      <c r="UX65" s="2">
        <v>102.8</v>
      </c>
      <c r="UY65" s="2">
        <v>101.79</v>
      </c>
      <c r="UZ65" s="2">
        <v>102.78</v>
      </c>
      <c r="VA65" s="2">
        <v>102.25</v>
      </c>
      <c r="VB65" s="2">
        <v>101.29</v>
      </c>
      <c r="VC65" s="2">
        <v>100.81</v>
      </c>
      <c r="VD65" s="2">
        <v>100.08</v>
      </c>
      <c r="VE65" s="2">
        <v>98.28</v>
      </c>
      <c r="VF65" s="2">
        <v>98.31</v>
      </c>
      <c r="VG65" s="2">
        <v>96.55</v>
      </c>
      <c r="VH65" s="2">
        <v>98.02</v>
      </c>
      <c r="VI65" s="2">
        <v>96.68000000000001</v>
      </c>
      <c r="VJ65" s="2">
        <v>95.64</v>
      </c>
      <c r="VK65" s="2">
        <v>95.40000000000001</v>
      </c>
      <c r="VL65" s="2">
        <v>94.36</v>
      </c>
      <c r="VM65" s="2">
        <v>95.69</v>
      </c>
      <c r="VN65" s="2">
        <v>94.78</v>
      </c>
      <c r="VO65" s="2">
        <v>95.56999999999999</v>
      </c>
      <c r="VP65" s="2">
        <v>95.81</v>
      </c>
      <c r="VQ65" s="2">
        <v>95.89</v>
      </c>
      <c r="VR65" s="2">
        <v>96.08</v>
      </c>
      <c r="VS65" s="2">
        <v>96.03</v>
      </c>
      <c r="VT65" s="2">
        <v>95.36</v>
      </c>
      <c r="VU65" s="2">
        <v>94.94</v>
      </c>
      <c r="VV65" s="2">
        <v>94.90000000000001</v>
      </c>
      <c r="VW65" s="2">
        <v>94.15000000000001</v>
      </c>
      <c r="VX65" s="2">
        <v>91.98</v>
      </c>
      <c r="VY65" s="2">
        <v>93.13</v>
      </c>
      <c r="VZ65" s="2">
        <v>94.02</v>
      </c>
      <c r="WA65" s="2">
        <v>94.34999999999999</v>
      </c>
      <c r="WB65" s="2">
        <v>94.11</v>
      </c>
      <c r="WC65" s="2">
        <v>93.54000000000001</v>
      </c>
      <c r="WD65" s="2">
        <v>93.31999999999999</v>
      </c>
      <c r="WE65" s="2">
        <v>93.62</v>
      </c>
      <c r="WF65" s="2">
        <v>92.65000000000001</v>
      </c>
      <c r="WG65" s="2">
        <v>92.12</v>
      </c>
      <c r="WH65" s="2">
        <v>91.98</v>
      </c>
      <c r="WI65" s="2">
        <v>90.98999999999999</v>
      </c>
      <c r="WJ65" s="2">
        <v>89.93000000000001</v>
      </c>
      <c r="WK65" s="2">
        <v>89.52</v>
      </c>
      <c r="WL65" s="2">
        <v>90.56</v>
      </c>
      <c r="WM65" s="2">
        <v>89.59</v>
      </c>
      <c r="WN65" s="2">
        <v>88.84</v>
      </c>
      <c r="WO65" s="2">
        <v>87.59999999999999</v>
      </c>
      <c r="WP65" s="2">
        <v>87.42</v>
      </c>
      <c r="WQ65" s="2">
        <v>86.76000000000001</v>
      </c>
      <c r="WR65" s="2">
        <v>86.23999999999999</v>
      </c>
      <c r="WS65" s="2">
        <v>86.62</v>
      </c>
      <c r="WT65" s="2">
        <v>86.84999999999999</v>
      </c>
      <c r="WU65" s="2">
        <v>86.54000000000001</v>
      </c>
      <c r="WV65" s="2">
        <v>85.54000000000001</v>
      </c>
      <c r="WW65" s="2">
        <v>85.94</v>
      </c>
      <c r="WX65" s="2">
        <v>85.66</v>
      </c>
      <c r="WY65" s="2">
        <v>86.51000000000001</v>
      </c>
      <c r="WZ65" s="2">
        <v>86.27</v>
      </c>
      <c r="XA65" s="2">
        <v>86.92</v>
      </c>
      <c r="XB65" s="2">
        <v>85.7</v>
      </c>
      <c r="XC65" s="2">
        <v>85.20999999999999</v>
      </c>
      <c r="XD65" s="2">
        <v>84.7</v>
      </c>
      <c r="XE65" s="2">
        <v>84.36</v>
      </c>
      <c r="XF65" s="2">
        <v>84.66</v>
      </c>
      <c r="XG65" s="2">
        <v>84.22</v>
      </c>
      <c r="XH65" s="2">
        <v>83.34999999999999</v>
      </c>
      <c r="XI65" s="2">
        <v>84.52</v>
      </c>
      <c r="XJ65" s="2">
        <v>82.8</v>
      </c>
      <c r="XK65" s="2">
        <v>82.66</v>
      </c>
      <c r="XL65" s="2">
        <v>82.44</v>
      </c>
      <c r="XM65" s="2">
        <v>84.40000000000001</v>
      </c>
      <c r="XN65" s="2">
        <v>85.56</v>
      </c>
      <c r="XO65" s="2">
        <v>85.70999999999999</v>
      </c>
      <c r="XP65" s="2">
        <v>85.17</v>
      </c>
      <c r="XQ65" s="2">
        <v>84.58</v>
      </c>
      <c r="XR65" s="2">
        <v>85.01000000000001</v>
      </c>
      <c r="XS65" s="2">
        <v>87.16</v>
      </c>
      <c r="XT65" s="2">
        <v>88.73</v>
      </c>
      <c r="XU65" s="2">
        <v>89.33</v>
      </c>
      <c r="XV65" s="2">
        <v>91.3</v>
      </c>
      <c r="XW65" s="2">
        <v>92.59999999999999</v>
      </c>
      <c r="XX65" s="2">
        <v>94.33</v>
      </c>
      <c r="XY65" s="2">
        <v>95.23999999999999</v>
      </c>
      <c r="XZ65" s="2">
        <v>96.38</v>
      </c>
      <c r="YA65" s="2">
        <v>96.81999999999999</v>
      </c>
      <c r="YB65" s="2">
        <v>99.01000000000001</v>
      </c>
      <c r="YC65" s="2">
        <v>100.82</v>
      </c>
      <c r="YD65" s="2">
        <v>100.17</v>
      </c>
      <c r="YE65" s="2">
        <v>100.69</v>
      </c>
      <c r="YF65" s="2">
        <v>100.15</v>
      </c>
      <c r="YG65" s="2">
        <v>101.2</v>
      </c>
      <c r="YH65" s="2">
        <v>100.86</v>
      </c>
      <c r="YI65" s="2">
        <v>100.06</v>
      </c>
      <c r="YJ65" s="2">
        <v>99.93000000000001</v>
      </c>
      <c r="YK65" s="2">
        <v>100.09</v>
      </c>
      <c r="YL65" s="2">
        <v>99.89</v>
      </c>
      <c r="YM65" s="2">
        <v>100.55</v>
      </c>
      <c r="YN65" s="2">
        <v>100.43</v>
      </c>
      <c r="YO65" s="2">
        <v>101.44</v>
      </c>
      <c r="YP65" s="2">
        <v>101.14</v>
      </c>
      <c r="ACI65" s="2">
        <v>0</v>
      </c>
      <c r="ACJ65" s="2">
        <v>0</v>
      </c>
      <c r="ACK65" s="2">
        <v>0.5</v>
      </c>
      <c r="ACL65" s="2">
        <v>2</v>
      </c>
      <c r="ACM65" s="2">
        <v>2.4</v>
      </c>
      <c r="ACN65" s="2">
        <v>3.3</v>
      </c>
      <c r="ACO65" s="2">
        <v>0.9</v>
      </c>
      <c r="ACP65" s="2">
        <v>7.6</v>
      </c>
      <c r="ACQ65" s="2">
        <v>7.8</v>
      </c>
      <c r="ACR65" s="2">
        <v>-3.8</v>
      </c>
      <c r="ACS65" s="2">
        <v>5.2</v>
      </c>
      <c r="ACT65" s="2">
        <v>7.9</v>
      </c>
      <c r="ACU65" s="2">
        <v>7.7</v>
      </c>
      <c r="ACV65" s="2">
        <v>2.3</v>
      </c>
      <c r="ACW65" s="2">
        <v>2.9</v>
      </c>
      <c r="ACX65" s="2">
        <v>2.8</v>
      </c>
      <c r="ACY65" s="2">
        <v>2.1</v>
      </c>
      <c r="ACZ65" s="2">
        <v>2.7</v>
      </c>
      <c r="ADA65" s="2">
        <v>2.9</v>
      </c>
      <c r="ADB65" s="2">
        <v>2.2</v>
      </c>
      <c r="ADC65" s="2">
        <v>1.4</v>
      </c>
      <c r="ADD65" s="2">
        <v>2.7</v>
      </c>
      <c r="ADE65" s="2">
        <v>2.4</v>
      </c>
      <c r="ADF65" s="2">
        <v>3.3</v>
      </c>
      <c r="ADG65" s="2">
        <v>-3.2</v>
      </c>
      <c r="ADH65" s="2">
        <v>2.3</v>
      </c>
      <c r="ADI65" s="2">
        <v>1</v>
      </c>
      <c r="ADJ65" s="2">
        <v>2</v>
      </c>
      <c r="ADK65" s="2">
        <v>1.2</v>
      </c>
      <c r="ADL65" s="2">
        <v>1.9</v>
      </c>
      <c r="ADM65" s="2">
        <v>0.7</v>
      </c>
      <c r="ADN65" s="2">
        <v>0</v>
      </c>
      <c r="ADO65" s="2">
        <v>1.9</v>
      </c>
      <c r="ADP65" s="2">
        <v>2.3</v>
      </c>
      <c r="ADQ65" s="2">
        <v>1.8</v>
      </c>
      <c r="ADR65" s="2">
        <v>2.4</v>
      </c>
      <c r="ADS65" s="2">
        <v>4.1</v>
      </c>
      <c r="ADT65" s="2">
        <v>2.1</v>
      </c>
      <c r="ADU65" s="2">
        <v>1</v>
      </c>
      <c r="ADV65" s="2">
        <v>2.6</v>
      </c>
      <c r="ADW65" s="2">
        <v>0.6</v>
      </c>
      <c r="ADX65" s="2">
        <v>3.1</v>
      </c>
      <c r="ADY65" s="2">
        <v>3.4</v>
      </c>
      <c r="ADZ65" s="2">
        <v>1.3</v>
      </c>
      <c r="AEA65" s="2">
        <v>0.9</v>
      </c>
      <c r="AEB65" s="2">
        <v>0.9</v>
      </c>
      <c r="AEC65" s="2">
        <v>1.4</v>
      </c>
      <c r="AED65" s="2">
        <v>1</v>
      </c>
      <c r="AEE65" s="2">
        <v>1.6</v>
      </c>
      <c r="AEF65" s="2">
        <v>2.9</v>
      </c>
      <c r="AEG65" s="2">
        <v>3.1</v>
      </c>
      <c r="AEH65" s="2">
        <v>2.2</v>
      </c>
      <c r="AEI65" s="2">
        <v>3</v>
      </c>
      <c r="AEJ65" s="2">
        <v>4.9</v>
      </c>
      <c r="AEK65" s="2">
        <v>2.6</v>
      </c>
      <c r="AEL65" s="2">
        <v>5.1</v>
      </c>
      <c r="AEM65" s="2">
        <v>6.7</v>
      </c>
      <c r="AEN65" s="2">
        <v>3.2</v>
      </c>
      <c r="AEO65" s="2">
        <v>2</v>
      </c>
      <c r="AEP65" s="2">
        <v>2.4</v>
      </c>
      <c r="AEQ65" s="2">
        <v>2.7</v>
      </c>
      <c r="AER65" s="2">
        <v>2.1</v>
      </c>
      <c r="AES65" s="2">
        <v>2.5</v>
      </c>
      <c r="AET65" s="2">
        <v>2.5</v>
      </c>
      <c r="AEU65" s="2">
        <v>1.3</v>
      </c>
      <c r="AEV65" s="2">
        <v>1.5</v>
      </c>
      <c r="AEW65" s="2">
        <v>0.6</v>
      </c>
      <c r="AEX65" s="2">
        <v>1.1</v>
      </c>
      <c r="AEY65" s="2">
        <v>1.7</v>
      </c>
      <c r="AEZ65" s="2">
        <v>1</v>
      </c>
      <c r="AFA65" s="2">
        <v>-0.2</v>
      </c>
      <c r="AFB65" s="2">
        <v>-1.8</v>
      </c>
      <c r="AFC65" s="2">
        <v>1.5</v>
      </c>
      <c r="AFD65" s="2">
        <v>-0.7</v>
      </c>
      <c r="AFE65" s="2">
        <v>2</v>
      </c>
      <c r="AFF65" s="2">
        <v>1.5</v>
      </c>
      <c r="AFG65" s="2">
        <v>1.9</v>
      </c>
      <c r="AFH65" s="2">
        <v>0.5</v>
      </c>
      <c r="AFI65" s="2">
        <v>-1.1</v>
      </c>
      <c r="AFJ65" s="2">
        <v>1.2</v>
      </c>
      <c r="AFK65" s="2">
        <v>0.7</v>
      </c>
      <c r="AFL65" s="2">
        <v>2.6</v>
      </c>
      <c r="AFM65" s="2">
        <v>1.7</v>
      </c>
      <c r="AFN65" s="2">
        <v>2.1</v>
      </c>
      <c r="AFO65" s="2">
        <v>-0.9</v>
      </c>
      <c r="AFP65" s="2">
        <v>1.4</v>
      </c>
      <c r="AFQ65" s="2">
        <v>0.2</v>
      </c>
      <c r="AFR65" s="2">
        <v>1.8</v>
      </c>
      <c r="AFS65" s="2">
        <v>1.1</v>
      </c>
      <c r="AFT65" s="2">
        <v>-0.3</v>
      </c>
      <c r="AFU65" s="2">
        <v>2.2</v>
      </c>
      <c r="AFV65" s="2">
        <v>1.6</v>
      </c>
      <c r="AFW65" s="2">
        <v>0.1</v>
      </c>
      <c r="AFX65" s="2">
        <v>-0.2</v>
      </c>
      <c r="AFY65" s="2">
        <v>0</v>
      </c>
      <c r="AFZ65" s="2">
        <v>-1.9</v>
      </c>
      <c r="AGA65" s="2">
        <v>-0.7</v>
      </c>
      <c r="AGB65" s="2">
        <v>-1.9</v>
      </c>
      <c r="AGC65" s="2">
        <v>-2.9</v>
      </c>
      <c r="AGD65" s="2">
        <v>1.1</v>
      </c>
      <c r="AGE65" s="2">
        <v>-3.2</v>
      </c>
      <c r="AGF65" s="2">
        <v>0.8</v>
      </c>
      <c r="AGG65" s="2">
        <v>-2.1</v>
      </c>
      <c r="AGH65" s="2">
        <v>-2</v>
      </c>
      <c r="AGI65" s="2">
        <v>-0.8</v>
      </c>
      <c r="AGJ65" s="2">
        <v>-0.5</v>
      </c>
      <c r="AGK65" s="2">
        <v>-0.4</v>
      </c>
      <c r="AGL65" s="2">
        <v>0.7</v>
      </c>
      <c r="AGM65" s="2">
        <v>-1.6</v>
      </c>
      <c r="AGN65" s="2">
        <v>0.5</v>
      </c>
      <c r="AGO65" s="2">
        <v>0</v>
      </c>
      <c r="AGP65" s="2">
        <v>-2.5</v>
      </c>
      <c r="AGQ65" s="2">
        <v>-0.4</v>
      </c>
      <c r="AGR65" s="2">
        <v>1.9</v>
      </c>
      <c r="AGS65" s="2">
        <v>2</v>
      </c>
      <c r="AGT65" s="2">
        <v>0.3</v>
      </c>
      <c r="AGU65" s="2">
        <v>0.6</v>
      </c>
      <c r="AGV65" s="2">
        <v>0.9</v>
      </c>
      <c r="AGW65" s="2">
        <v>-0.9</v>
      </c>
      <c r="AGX65" s="2">
        <v>-1</v>
      </c>
      <c r="AGY65" s="2">
        <v>1</v>
      </c>
      <c r="AGZ65" s="2">
        <v>-0.5</v>
      </c>
      <c r="AHA65" s="2">
        <v>-0.9</v>
      </c>
      <c r="AHB65" s="2">
        <v>-0.5</v>
      </c>
      <c r="AHC65" s="2">
        <v>-0.7</v>
      </c>
      <c r="AHD65" s="2">
        <v>-1.8</v>
      </c>
      <c r="AHE65" s="2">
        <v>0</v>
      </c>
      <c r="AHF65" s="2">
        <v>-1.8</v>
      </c>
      <c r="AHG65" s="2">
        <v>1.5</v>
      </c>
      <c r="AHH65" s="2">
        <v>-1.4</v>
      </c>
      <c r="AHI65" s="2">
        <v>-1.1</v>
      </c>
      <c r="AHJ65" s="2">
        <v>-0.3</v>
      </c>
      <c r="AHK65" s="2">
        <v>-1.1</v>
      </c>
      <c r="AHL65" s="2">
        <v>1.4</v>
      </c>
      <c r="AHM65" s="2">
        <v>-1</v>
      </c>
      <c r="AHN65" s="2">
        <v>0.8</v>
      </c>
      <c r="AHO65" s="2">
        <v>0.3</v>
      </c>
      <c r="AHP65" s="2">
        <v>0.1</v>
      </c>
      <c r="AHQ65" s="2">
        <v>0.2</v>
      </c>
      <c r="AHR65" s="2">
        <v>-0.1</v>
      </c>
      <c r="AHS65" s="2">
        <v>-0.7</v>
      </c>
      <c r="AHT65" s="2">
        <v>-0.4</v>
      </c>
      <c r="AHU65" s="2">
        <v>0</v>
      </c>
      <c r="AHV65" s="2">
        <v>-0.8</v>
      </c>
      <c r="AHW65" s="2">
        <v>-2.3</v>
      </c>
      <c r="AHX65" s="2">
        <v>1.3</v>
      </c>
      <c r="AHY65" s="2">
        <v>1</v>
      </c>
      <c r="AHZ65" s="2">
        <v>0.4</v>
      </c>
      <c r="AIA65" s="2">
        <v>-0.3</v>
      </c>
      <c r="AIB65" s="2">
        <v>-0.6</v>
      </c>
      <c r="AIC65" s="2">
        <v>-0.2</v>
      </c>
      <c r="AID65" s="2">
        <v>0.3</v>
      </c>
      <c r="AIE65" s="2">
        <v>-1</v>
      </c>
      <c r="AIF65" s="2">
        <v>-0.6</v>
      </c>
      <c r="AIG65" s="2">
        <v>-0.2</v>
      </c>
      <c r="AIH65" s="2">
        <v>-1.1</v>
      </c>
      <c r="AII65" s="2">
        <v>-1.2</v>
      </c>
      <c r="AIJ65" s="2">
        <v>-0.5</v>
      </c>
      <c r="AIK65" s="2">
        <v>1.2</v>
      </c>
      <c r="AIL65" s="2">
        <v>-1.1</v>
      </c>
      <c r="AIM65" s="2">
        <v>-0.8</v>
      </c>
      <c r="AIN65" s="2">
        <v>-1.4</v>
      </c>
      <c r="AIO65" s="2">
        <v>-0.2</v>
      </c>
      <c r="AIP65" s="2">
        <v>-0.8</v>
      </c>
      <c r="AIQ65" s="2">
        <v>-0.6</v>
      </c>
      <c r="AIR65" s="2">
        <v>0.4</v>
      </c>
      <c r="AIS65" s="2">
        <v>0.3</v>
      </c>
      <c r="AIT65" s="2">
        <v>-0.4</v>
      </c>
      <c r="AIU65" s="2">
        <v>-1.2</v>
      </c>
      <c r="AIV65" s="2">
        <v>0.5</v>
      </c>
      <c r="AIW65" s="2">
        <v>-0.3</v>
      </c>
      <c r="AIX65" s="2">
        <v>1</v>
      </c>
      <c r="AIY65" s="2">
        <v>-0.3</v>
      </c>
      <c r="AIZ65" s="2">
        <v>0.8</v>
      </c>
      <c r="AJA65" s="2">
        <v>-1.4</v>
      </c>
      <c r="AJB65" s="2">
        <v>-0.6</v>
      </c>
      <c r="AJC65" s="2">
        <v>-0.6</v>
      </c>
      <c r="AJD65" s="2">
        <v>-0.4</v>
      </c>
      <c r="AJE65" s="2">
        <v>0.4</v>
      </c>
      <c r="AJF65" s="2">
        <v>-0.5</v>
      </c>
      <c r="AJG65" s="2">
        <v>-1</v>
      </c>
      <c r="AJH65" s="2">
        <v>1.4</v>
      </c>
      <c r="AJI65" s="2">
        <v>-2</v>
      </c>
      <c r="AJJ65" s="2">
        <v>-0.2</v>
      </c>
      <c r="AJK65" s="2">
        <v>-0.3</v>
      </c>
      <c r="AJL65" s="2">
        <v>2.4</v>
      </c>
      <c r="AJM65" s="2">
        <v>1.4</v>
      </c>
      <c r="AJN65" s="2">
        <v>0.2</v>
      </c>
      <c r="AJO65" s="2">
        <v>-0.6</v>
      </c>
      <c r="AJP65" s="2">
        <v>-0.7</v>
      </c>
      <c r="AJQ65" s="2">
        <v>0.5</v>
      </c>
      <c r="AJR65" s="2">
        <v>2.5</v>
      </c>
      <c r="AJS65" s="2">
        <v>1.8</v>
      </c>
      <c r="AJT65" s="2">
        <v>0.7</v>
      </c>
      <c r="AJU65" s="2">
        <v>2.2</v>
      </c>
      <c r="AJV65" s="2">
        <v>1.4</v>
      </c>
      <c r="AJW65" s="2">
        <v>1.9</v>
      </c>
      <c r="AJX65" s="2">
        <v>1</v>
      </c>
      <c r="AJY65" s="2">
        <v>1.2</v>
      </c>
      <c r="AJZ65" s="2">
        <v>0.5</v>
      </c>
      <c r="AKA65" s="2">
        <v>2.3</v>
      </c>
      <c r="AKB65" s="2">
        <v>1.8</v>
      </c>
      <c r="AKC65" s="2">
        <v>-0.6</v>
      </c>
      <c r="AKD65" s="2">
        <v>0.5</v>
      </c>
      <c r="AKE65" s="2">
        <v>-0.5</v>
      </c>
      <c r="AKF65" s="2">
        <v>1</v>
      </c>
      <c r="AKG65" s="2">
        <v>-0.3</v>
      </c>
      <c r="AKH65" s="2">
        <v>-0.8</v>
      </c>
      <c r="AKI65" s="2">
        <v>-0.1</v>
      </c>
      <c r="AKJ65" s="2">
        <v>0.2</v>
      </c>
      <c r="AKK65" s="2">
        <v>-0.2</v>
      </c>
      <c r="AKL65" s="2">
        <v>0.7</v>
      </c>
      <c r="AKM65" s="2">
        <v>-0.1</v>
      </c>
      <c r="AKN65" s="2">
        <v>1</v>
      </c>
      <c r="AKO65" s="2">
        <v>-0.3</v>
      </c>
      <c r="AKP65" s="2">
        <v>3.42</v>
      </c>
      <c r="AKQ65" s="2">
        <v>3.46</v>
      </c>
      <c r="AKR65" s="2">
        <v>3.45</v>
      </c>
    </row>
    <row r="66">
      <c r="A66" t="inlineStr">
        <is>
          <t>Spare parts and accessories for motor vehicles</t>
        </is>
      </c>
      <c r="B66" t="inlineStr">
        <is>
          <t>Private motoring</t>
        </is>
      </c>
      <c r="C66">
        <v>3</v>
      </c>
      <c r="D66">
        <v>0.87</v>
      </c>
      <c r="E66" s="3">
        <f>D66/11.14*0.11149703832752614</f>
        <v>0.008707578397212543</v>
      </c>
      <c r="F66" s="3">
        <f>E66-D66/100</f>
        <v>7.578397212543511e-06</v>
      </c>
      <c r="G66" s="3">
        <f>D66/11.14</f>
        <v>0.07809694793536803</v>
      </c>
      <c r="CI66" s="2">
        <v>99.16</v>
      </c>
      <c r="CJ66" s="2">
        <v>99.06</v>
      </c>
      <c r="CK66" s="2">
        <v>99.47</v>
      </c>
      <c r="CL66" s="2">
        <v>99.38</v>
      </c>
      <c r="CM66" s="2">
        <v>100.28</v>
      </c>
      <c r="CN66" s="2">
        <v>99.22</v>
      </c>
      <c r="CO66" s="2">
        <v>99.98</v>
      </c>
      <c r="CP66" s="2">
        <v>100.14</v>
      </c>
      <c r="CQ66" s="2">
        <v>98.64</v>
      </c>
      <c r="CR66" s="2">
        <v>100.65</v>
      </c>
      <c r="CS66" s="2">
        <v>101.58</v>
      </c>
      <c r="CT66" s="2">
        <v>102.84</v>
      </c>
      <c r="CU66" s="2">
        <v>101.68</v>
      </c>
      <c r="CV66" s="2">
        <v>102.24</v>
      </c>
      <c r="CW66" s="2">
        <v>101.23</v>
      </c>
      <c r="CX66" s="2">
        <v>101.11</v>
      </c>
      <c r="CY66" s="2">
        <v>100.84</v>
      </c>
      <c r="CZ66" s="2">
        <v>100</v>
      </c>
      <c r="DA66" s="2">
        <v>102.07</v>
      </c>
      <c r="DB66" s="2">
        <v>101.52</v>
      </c>
      <c r="DC66" s="2">
        <v>99.15000000000001</v>
      </c>
      <c r="DD66" s="2">
        <v>100.26</v>
      </c>
      <c r="DE66" s="2">
        <v>100.48</v>
      </c>
      <c r="DF66" s="2">
        <v>100.53</v>
      </c>
      <c r="DG66" s="2">
        <v>100.59</v>
      </c>
      <c r="DH66" s="2">
        <v>101.65</v>
      </c>
      <c r="DI66" s="2">
        <v>102.36</v>
      </c>
      <c r="DJ66" s="2">
        <v>102.67</v>
      </c>
      <c r="GL66" s="2">
        <v>2.5</v>
      </c>
      <c r="GM66" s="2">
        <v>3.2</v>
      </c>
      <c r="GN66" s="2">
        <v>1.8</v>
      </c>
      <c r="GO66" s="2">
        <v>1.7</v>
      </c>
      <c r="GP66" s="2">
        <v>0.6</v>
      </c>
      <c r="GQ66" s="2">
        <v>0.8</v>
      </c>
      <c r="GR66" s="2">
        <v>2.1</v>
      </c>
      <c r="GS66" s="2">
        <v>1.4</v>
      </c>
      <c r="GT66" s="2">
        <v>0.5</v>
      </c>
      <c r="GU66" s="2">
        <v>-0.4</v>
      </c>
      <c r="GV66" s="2">
        <v>-1.1</v>
      </c>
      <c r="GW66" s="2">
        <v>-2.2</v>
      </c>
      <c r="GX66" s="2">
        <v>-1.1</v>
      </c>
      <c r="GY66" s="2">
        <v>-0.6</v>
      </c>
      <c r="GZ66" s="2">
        <v>1.1</v>
      </c>
      <c r="HA66" s="2">
        <v>1.5</v>
      </c>
      <c r="KC66" s="2">
        <v>-0.1</v>
      </c>
      <c r="KD66" s="2">
        <v>0.4</v>
      </c>
      <c r="KE66" s="2">
        <v>-0.1</v>
      </c>
      <c r="KF66" s="2">
        <v>0.9</v>
      </c>
      <c r="KG66" s="2">
        <v>-1.1</v>
      </c>
      <c r="KH66" s="2">
        <v>0.8</v>
      </c>
      <c r="KI66" s="2">
        <v>0.2</v>
      </c>
      <c r="KJ66" s="2">
        <v>-1.5</v>
      </c>
      <c r="KK66" s="2">
        <v>2</v>
      </c>
      <c r="KL66" s="2">
        <v>0.9</v>
      </c>
      <c r="KM66" s="2">
        <v>1.2</v>
      </c>
      <c r="KN66" s="2">
        <v>-1.1</v>
      </c>
      <c r="KO66" s="2">
        <v>0.6</v>
      </c>
      <c r="KP66" s="2">
        <v>-1</v>
      </c>
      <c r="KQ66" s="2">
        <v>-0.1</v>
      </c>
      <c r="KR66" s="2">
        <v>-0.3</v>
      </c>
      <c r="KS66" s="2">
        <v>-0.8</v>
      </c>
      <c r="KT66" s="2">
        <v>2.1</v>
      </c>
      <c r="KU66" s="2">
        <v>-0.5</v>
      </c>
      <c r="KV66" s="2">
        <v>-2.3</v>
      </c>
      <c r="KW66" s="2">
        <v>1.1</v>
      </c>
      <c r="KX66" s="2">
        <v>0.2</v>
      </c>
      <c r="KY66" s="2">
        <v>0</v>
      </c>
      <c r="KZ66" s="2">
        <v>0.1</v>
      </c>
      <c r="LA66" s="2">
        <v>1.1</v>
      </c>
      <c r="LB66" s="2">
        <v>0.7</v>
      </c>
      <c r="LC66" s="2">
        <v>0.3</v>
      </c>
      <c r="LD66" s="2">
        <v>0.85</v>
      </c>
      <c r="LE66" s="2">
        <v>0.86</v>
      </c>
      <c r="LF66" s="2">
        <v>0.87</v>
      </c>
      <c r="LG66" s="2">
        <v>0.88</v>
      </c>
      <c r="LH66" s="2">
        <v>0.87</v>
      </c>
      <c r="LI66" s="2">
        <v>0.88</v>
      </c>
      <c r="LJ66" s="2">
        <v>0.87</v>
      </c>
      <c r="LK66" s="2">
        <v>0.87</v>
      </c>
      <c r="LL66" s="2">
        <v>0.86</v>
      </c>
      <c r="LM66" s="2">
        <v>0.86</v>
      </c>
      <c r="LN66" s="2">
        <v>0.88</v>
      </c>
      <c r="LO66" s="2">
        <v>0.87</v>
      </c>
      <c r="LP66" s="2">
        <v>0.85</v>
      </c>
      <c r="LQ66" s="2">
        <v>0.86</v>
      </c>
      <c r="LR66" s="2">
        <v>0.86</v>
      </c>
      <c r="LS66" s="2">
        <v>0.86</v>
      </c>
      <c r="LT66" s="2">
        <v>0.86</v>
      </c>
      <c r="LU66" s="2">
        <v>0.87</v>
      </c>
      <c r="LV66" s="2">
        <v>0.88</v>
      </c>
      <c r="LW66" s="2">
        <v>0.88</v>
      </c>
      <c r="LX66" s="2">
        <v>0.01</v>
      </c>
      <c r="LY66" s="2">
        <v>0.01</v>
      </c>
      <c r="LZ66" s="2">
        <v>0.01</v>
      </c>
      <c r="MA66" s="2">
        <v>-0.01</v>
      </c>
      <c r="MB66" s="2">
        <v>0.01</v>
      </c>
      <c r="MC66" s="2">
        <v>-0.01</v>
      </c>
      <c r="MD66" s="2">
        <v>0</v>
      </c>
      <c r="ME66" s="2">
        <v>-0.01</v>
      </c>
      <c r="MF66" s="2">
        <v>0</v>
      </c>
      <c r="MG66" s="2">
        <v>0.02</v>
      </c>
      <c r="MH66" s="2">
        <v>-0.01</v>
      </c>
      <c r="MI66" s="2">
        <v>-0.02</v>
      </c>
      <c r="MJ66" s="2">
        <v>0.01</v>
      </c>
      <c r="MK66" s="2">
        <v>0</v>
      </c>
      <c r="ML66" s="2">
        <v>0</v>
      </c>
      <c r="MM66" s="2">
        <v>0</v>
      </c>
      <c r="MN66" s="2">
        <v>0.01</v>
      </c>
      <c r="MO66" s="2">
        <v>0.01</v>
      </c>
      <c r="MP66" s="2">
        <v>0</v>
      </c>
      <c r="RO66" s="2">
        <v>29.19</v>
      </c>
      <c r="RP66" s="2">
        <v>29.78</v>
      </c>
      <c r="RQ66" s="2">
        <v>29.88</v>
      </c>
      <c r="RR66" s="2">
        <v>30.52</v>
      </c>
      <c r="RS66" s="2">
        <v>30.47</v>
      </c>
      <c r="RT66" s="2">
        <v>31.11</v>
      </c>
      <c r="RU66" s="2">
        <v>30.61</v>
      </c>
      <c r="RV66" s="2">
        <v>31.16</v>
      </c>
      <c r="RW66" s="2">
        <v>31.75</v>
      </c>
      <c r="RX66" s="2">
        <v>31.65</v>
      </c>
      <c r="RY66" s="2">
        <v>31.7</v>
      </c>
      <c r="RZ66" s="2">
        <v>33.32</v>
      </c>
      <c r="SA66" s="2">
        <v>34.5</v>
      </c>
      <c r="SB66" s="2">
        <v>34.79</v>
      </c>
      <c r="SC66" s="2">
        <v>35.33</v>
      </c>
      <c r="SD66" s="2">
        <v>36.36</v>
      </c>
      <c r="SE66" s="2">
        <v>37</v>
      </c>
      <c r="SF66" s="2">
        <v>37.1</v>
      </c>
      <c r="SG66" s="2">
        <v>37.4</v>
      </c>
      <c r="SH66" s="2">
        <v>38.28</v>
      </c>
      <c r="SI66" s="2">
        <v>38.87</v>
      </c>
      <c r="SJ66" s="2">
        <v>38.97</v>
      </c>
      <c r="SK66" s="2">
        <v>39.51</v>
      </c>
      <c r="SL66" s="2">
        <v>39.85</v>
      </c>
      <c r="SM66" s="2">
        <v>40.59</v>
      </c>
      <c r="SN66" s="2">
        <v>41.43</v>
      </c>
      <c r="SO66" s="2">
        <v>41.72</v>
      </c>
      <c r="SP66" s="2">
        <v>42.46</v>
      </c>
      <c r="SQ66" s="2">
        <v>43.24</v>
      </c>
      <c r="SR66" s="2">
        <v>43.88</v>
      </c>
      <c r="SS66" s="2">
        <v>44.91</v>
      </c>
      <c r="ST66" s="2">
        <v>46.34</v>
      </c>
      <c r="SU66" s="2">
        <v>46.44</v>
      </c>
      <c r="SV66" s="2">
        <v>47.42</v>
      </c>
      <c r="SW66" s="2">
        <v>47.57</v>
      </c>
      <c r="SX66" s="2">
        <v>48.31</v>
      </c>
      <c r="SY66" s="2">
        <v>48.45</v>
      </c>
      <c r="SZ66" s="2">
        <v>48.55</v>
      </c>
      <c r="TA66" s="2">
        <v>49.44</v>
      </c>
      <c r="TB66" s="2">
        <v>50.12</v>
      </c>
      <c r="TC66" s="2">
        <v>50.12</v>
      </c>
      <c r="TD66" s="2">
        <v>50.91</v>
      </c>
      <c r="TE66" s="2">
        <v>51.45</v>
      </c>
      <c r="TF66" s="2">
        <v>50.22</v>
      </c>
      <c r="TG66" s="2">
        <v>50.37</v>
      </c>
      <c r="TH66" s="2">
        <v>50.47</v>
      </c>
      <c r="TI66" s="2">
        <v>50.17</v>
      </c>
      <c r="TJ66" s="2">
        <v>50.03</v>
      </c>
      <c r="TK66" s="2">
        <v>49.63</v>
      </c>
      <c r="TL66" s="2">
        <v>50.37</v>
      </c>
      <c r="TM66" s="2">
        <v>50.52</v>
      </c>
      <c r="TN66" s="2">
        <v>49.93</v>
      </c>
      <c r="TO66" s="2">
        <v>50.81</v>
      </c>
      <c r="TP66" s="2">
        <v>50.66</v>
      </c>
      <c r="TQ66" s="2">
        <v>50.91</v>
      </c>
      <c r="TR66" s="2">
        <v>51.06</v>
      </c>
      <c r="TS66" s="2">
        <v>51.01</v>
      </c>
      <c r="TT66" s="2">
        <v>51.45</v>
      </c>
      <c r="TU66" s="2">
        <v>51.75</v>
      </c>
      <c r="TV66" s="2">
        <v>52.24</v>
      </c>
      <c r="TW66" s="2">
        <v>52.63</v>
      </c>
      <c r="TX66" s="2">
        <v>52.34</v>
      </c>
      <c r="TY66" s="2">
        <v>51.99</v>
      </c>
      <c r="TZ66" s="2">
        <v>51.7</v>
      </c>
      <c r="UA66" s="2">
        <v>52.04</v>
      </c>
      <c r="UB66" s="2">
        <v>52.58</v>
      </c>
      <c r="UC66" s="2">
        <v>52.14</v>
      </c>
      <c r="UD66" s="2">
        <v>52.38</v>
      </c>
      <c r="UE66" s="2">
        <v>52.29</v>
      </c>
      <c r="UF66" s="2">
        <v>52.04</v>
      </c>
      <c r="UG66" s="2">
        <v>52.04</v>
      </c>
      <c r="UH66" s="2">
        <v>52.09</v>
      </c>
      <c r="UI66" s="2">
        <v>52</v>
      </c>
      <c r="UJ66" s="2">
        <v>52.57</v>
      </c>
      <c r="UK66" s="2">
        <v>52.82</v>
      </c>
      <c r="UL66" s="2">
        <v>52.68</v>
      </c>
      <c r="UM66" s="2">
        <v>53.02</v>
      </c>
      <c r="UN66" s="2">
        <v>53.02</v>
      </c>
      <c r="UO66" s="2">
        <v>52.46</v>
      </c>
      <c r="UP66" s="2">
        <v>52.17</v>
      </c>
      <c r="UQ66" s="2">
        <v>50.26</v>
      </c>
      <c r="UR66" s="2">
        <v>50.76</v>
      </c>
      <c r="US66" s="2">
        <v>51.6</v>
      </c>
      <c r="UT66" s="2">
        <v>53.02</v>
      </c>
      <c r="UU66" s="2">
        <v>53.89</v>
      </c>
      <c r="UV66" s="2">
        <v>54.35</v>
      </c>
      <c r="UW66" s="2">
        <v>54.3</v>
      </c>
      <c r="UX66" s="2">
        <v>54.65</v>
      </c>
      <c r="UY66" s="2">
        <v>53.65</v>
      </c>
      <c r="UZ66" s="2">
        <v>55.22</v>
      </c>
      <c r="VA66" s="2">
        <v>54.95</v>
      </c>
      <c r="VB66" s="2">
        <v>55.6</v>
      </c>
      <c r="VC66" s="2">
        <v>55.43</v>
      </c>
      <c r="VD66" s="2">
        <v>55.87</v>
      </c>
      <c r="VE66" s="2">
        <v>56.08</v>
      </c>
      <c r="VF66" s="2">
        <v>55.72</v>
      </c>
      <c r="VG66" s="2">
        <v>55.98</v>
      </c>
      <c r="VH66" s="2">
        <v>56.25</v>
      </c>
      <c r="VI66" s="2">
        <v>56.81</v>
      </c>
      <c r="VJ66" s="2">
        <v>56.93</v>
      </c>
      <c r="VK66" s="2">
        <v>57.44</v>
      </c>
      <c r="VL66" s="2">
        <v>58.23</v>
      </c>
      <c r="VM66" s="2">
        <v>58.25</v>
      </c>
      <c r="VN66" s="2">
        <v>58.99</v>
      </c>
      <c r="VO66" s="2">
        <v>59.38</v>
      </c>
      <c r="VP66" s="2">
        <v>59.74</v>
      </c>
      <c r="VQ66" s="2">
        <v>60.44</v>
      </c>
      <c r="VR66" s="2">
        <v>61.05</v>
      </c>
      <c r="VS66" s="2">
        <v>62.12</v>
      </c>
      <c r="VT66" s="2">
        <v>63.01</v>
      </c>
      <c r="VU66" s="2">
        <v>64.06</v>
      </c>
      <c r="VV66" s="2">
        <v>64.06</v>
      </c>
      <c r="VW66" s="2">
        <v>65.53</v>
      </c>
      <c r="VX66" s="2">
        <v>66.78</v>
      </c>
      <c r="VY66" s="2">
        <v>68.58</v>
      </c>
      <c r="VZ66" s="2">
        <v>69.70999999999999</v>
      </c>
      <c r="WA66" s="2">
        <v>70.37</v>
      </c>
      <c r="WB66" s="2">
        <v>70.39</v>
      </c>
      <c r="WC66" s="2">
        <v>70.08</v>
      </c>
      <c r="WD66" s="2">
        <v>70.03</v>
      </c>
      <c r="WE66" s="2">
        <v>70.01000000000001</v>
      </c>
      <c r="WF66" s="2">
        <v>70.38</v>
      </c>
      <c r="WG66" s="2">
        <v>70.16</v>
      </c>
      <c r="WH66" s="2">
        <v>70.04000000000001</v>
      </c>
      <c r="WI66" s="2">
        <v>70.36</v>
      </c>
      <c r="WJ66" s="2">
        <v>70.53</v>
      </c>
      <c r="WK66" s="2">
        <v>70.18000000000001</v>
      </c>
      <c r="WL66" s="2">
        <v>70.39</v>
      </c>
      <c r="WM66" s="2">
        <v>70.75</v>
      </c>
      <c r="WN66" s="2">
        <v>71.05</v>
      </c>
      <c r="WO66" s="2">
        <v>70.79000000000001</v>
      </c>
      <c r="WP66" s="2">
        <v>70.63</v>
      </c>
      <c r="WQ66" s="2">
        <v>70.58</v>
      </c>
      <c r="WR66" s="2">
        <v>71.34999999999999</v>
      </c>
      <c r="WS66" s="2">
        <v>71.43000000000001</v>
      </c>
      <c r="WT66" s="2">
        <v>71.98</v>
      </c>
      <c r="WU66" s="2">
        <v>72.06999999999999</v>
      </c>
      <c r="WV66" s="2">
        <v>72.29000000000001</v>
      </c>
      <c r="WW66" s="2">
        <v>74.13</v>
      </c>
      <c r="WX66" s="2">
        <v>74.69</v>
      </c>
      <c r="WY66" s="2">
        <v>74.56</v>
      </c>
      <c r="WZ66" s="2">
        <v>74.63</v>
      </c>
      <c r="XA66" s="2">
        <v>74.84</v>
      </c>
      <c r="XB66" s="2">
        <v>74.75</v>
      </c>
      <c r="XC66" s="2">
        <v>75.23999999999999</v>
      </c>
      <c r="XD66" s="2">
        <v>75.09</v>
      </c>
      <c r="XE66" s="2">
        <v>75.77</v>
      </c>
      <c r="XF66" s="2">
        <v>75.8</v>
      </c>
      <c r="XG66" s="2">
        <v>77.02</v>
      </c>
      <c r="XH66" s="2">
        <v>76.58</v>
      </c>
      <c r="XI66" s="2">
        <v>77.06999999999999</v>
      </c>
      <c r="XJ66" s="2">
        <v>77.48999999999999</v>
      </c>
      <c r="XK66" s="2">
        <v>76.90000000000001</v>
      </c>
      <c r="XL66" s="2">
        <v>78.42</v>
      </c>
      <c r="XM66" s="2">
        <v>78.8</v>
      </c>
      <c r="XN66" s="2">
        <v>78.62</v>
      </c>
      <c r="XO66" s="2">
        <v>78.84</v>
      </c>
      <c r="XP66" s="2">
        <v>77.97</v>
      </c>
      <c r="XQ66" s="2">
        <v>79.7</v>
      </c>
      <c r="XR66" s="2">
        <v>79.31</v>
      </c>
      <c r="XS66" s="2">
        <v>79.95999999999999</v>
      </c>
      <c r="XT66" s="2">
        <v>78.22</v>
      </c>
      <c r="XU66" s="2">
        <v>79.66</v>
      </c>
      <c r="XV66" s="2">
        <v>79.87</v>
      </c>
      <c r="XW66" s="2">
        <v>80.78</v>
      </c>
      <c r="XX66" s="2">
        <v>81.73</v>
      </c>
      <c r="XY66" s="2">
        <v>83.16</v>
      </c>
      <c r="XZ66" s="2">
        <v>87.41</v>
      </c>
      <c r="YA66" s="2">
        <v>90.04000000000001</v>
      </c>
      <c r="YB66" s="2">
        <v>92.13</v>
      </c>
      <c r="YC66" s="2">
        <v>95.18000000000001</v>
      </c>
      <c r="YD66" s="2">
        <v>97.63</v>
      </c>
      <c r="YE66" s="2">
        <v>98.26000000000001</v>
      </c>
      <c r="YF66" s="2">
        <v>94.89</v>
      </c>
      <c r="YG66" s="2">
        <v>97.86</v>
      </c>
      <c r="YH66" s="2">
        <v>98.95999999999999</v>
      </c>
      <c r="YI66" s="2">
        <v>99.97</v>
      </c>
      <c r="YJ66" s="2">
        <v>99.94</v>
      </c>
      <c r="YK66" s="2">
        <v>101.27</v>
      </c>
      <c r="YL66" s="2">
        <v>101.98</v>
      </c>
      <c r="YM66" s="2">
        <v>100.65</v>
      </c>
      <c r="YN66" s="2">
        <v>100.92</v>
      </c>
      <c r="YO66" s="2">
        <v>100.42</v>
      </c>
      <c r="YP66" s="2">
        <v>101.53</v>
      </c>
      <c r="ADO66" s="2">
        <v>2</v>
      </c>
      <c r="ADP66" s="2">
        <v>0.3</v>
      </c>
      <c r="ADQ66" s="2">
        <v>2.1</v>
      </c>
      <c r="ADR66" s="2">
        <v>-0.2</v>
      </c>
      <c r="ADS66" s="2">
        <v>2.1</v>
      </c>
      <c r="ADT66" s="2">
        <v>-1.6</v>
      </c>
      <c r="ADU66" s="2">
        <v>1.8</v>
      </c>
      <c r="ADV66" s="2">
        <v>1.9</v>
      </c>
      <c r="ADW66" s="2">
        <v>-0.3</v>
      </c>
      <c r="ADX66" s="2">
        <v>0.2</v>
      </c>
      <c r="ADY66" s="2">
        <v>5.1</v>
      </c>
      <c r="ADZ66" s="2">
        <v>3.5</v>
      </c>
      <c r="AEA66" s="2">
        <v>0.8</v>
      </c>
      <c r="AEB66" s="2">
        <v>1.6</v>
      </c>
      <c r="AEC66" s="2">
        <v>2.9</v>
      </c>
      <c r="AED66" s="2">
        <v>1.8</v>
      </c>
      <c r="AEE66" s="2">
        <v>0.3</v>
      </c>
      <c r="AEF66" s="2">
        <v>0.8</v>
      </c>
      <c r="AEG66" s="2">
        <v>2.4</v>
      </c>
      <c r="AEH66" s="2">
        <v>1.5</v>
      </c>
      <c r="AEI66" s="2">
        <v>0.3</v>
      </c>
      <c r="AEJ66" s="2">
        <v>1.4</v>
      </c>
      <c r="AEK66" s="2">
        <v>0.9</v>
      </c>
      <c r="AEL66" s="2">
        <v>1.9</v>
      </c>
      <c r="AEM66" s="2">
        <v>2.1</v>
      </c>
      <c r="AEN66" s="2">
        <v>0.7</v>
      </c>
      <c r="AEO66" s="2">
        <v>1.8</v>
      </c>
      <c r="AEP66" s="2">
        <v>1.8</v>
      </c>
      <c r="AEQ66" s="2">
        <v>1.5</v>
      </c>
      <c r="AER66" s="2">
        <v>2.3</v>
      </c>
      <c r="AES66" s="2">
        <v>3.2</v>
      </c>
      <c r="AET66" s="2">
        <v>0.2</v>
      </c>
      <c r="AEU66" s="2">
        <v>2.1</v>
      </c>
      <c r="AEV66" s="2">
        <v>0.3</v>
      </c>
      <c r="AEW66" s="2">
        <v>1.6</v>
      </c>
      <c r="AEX66" s="2">
        <v>0.3</v>
      </c>
      <c r="AEY66" s="2">
        <v>0.2</v>
      </c>
      <c r="AEZ66" s="2">
        <v>1.8</v>
      </c>
      <c r="AFA66" s="2">
        <v>1.4</v>
      </c>
      <c r="AFB66" s="2">
        <v>0</v>
      </c>
      <c r="AFC66" s="2">
        <v>1.6</v>
      </c>
      <c r="AFD66" s="2">
        <v>1.1</v>
      </c>
      <c r="AFE66" s="2">
        <v>-2.4</v>
      </c>
      <c r="AFF66" s="2">
        <v>0.3</v>
      </c>
      <c r="AFG66" s="2">
        <v>0.2</v>
      </c>
      <c r="AFH66" s="2">
        <v>-0.6</v>
      </c>
      <c r="AFI66" s="2">
        <v>-0.3</v>
      </c>
      <c r="AFJ66" s="2">
        <v>-0.8</v>
      </c>
      <c r="AFK66" s="2">
        <v>1.5</v>
      </c>
      <c r="AFL66" s="2">
        <v>0.3</v>
      </c>
      <c r="AFM66" s="2">
        <v>-1.2</v>
      </c>
      <c r="AFN66" s="2">
        <v>1.8</v>
      </c>
      <c r="AFO66" s="2">
        <v>-0.3</v>
      </c>
      <c r="AFP66" s="2">
        <v>0.5</v>
      </c>
      <c r="AFQ66" s="2">
        <v>0.3</v>
      </c>
      <c r="AFR66" s="2">
        <v>-0.1</v>
      </c>
      <c r="AFS66" s="2">
        <v>0.9</v>
      </c>
      <c r="AFT66" s="2">
        <v>0.6</v>
      </c>
      <c r="AFU66" s="2">
        <v>0.9</v>
      </c>
      <c r="AFV66" s="2">
        <v>0.7</v>
      </c>
      <c r="AFW66" s="2">
        <v>-0.6</v>
      </c>
      <c r="AFX66" s="2">
        <v>-0.7</v>
      </c>
      <c r="AFY66" s="2">
        <v>-0.6</v>
      </c>
      <c r="AFZ66" s="2">
        <v>0.7</v>
      </c>
      <c r="AGA66" s="2">
        <v>1</v>
      </c>
      <c r="AGB66" s="2">
        <v>-0.8</v>
      </c>
      <c r="AGC66" s="2">
        <v>0.5</v>
      </c>
      <c r="AGD66" s="2">
        <v>-0.2</v>
      </c>
      <c r="AGE66" s="2">
        <v>-0.5</v>
      </c>
      <c r="AGF66" s="2">
        <v>0</v>
      </c>
      <c r="AGG66" s="2">
        <v>0.1</v>
      </c>
      <c r="AGH66" s="2">
        <v>-0.2</v>
      </c>
      <c r="AGI66" s="2">
        <v>1.1</v>
      </c>
      <c r="AGJ66" s="2">
        <v>0.5</v>
      </c>
      <c r="AGK66" s="2">
        <v>-0.3</v>
      </c>
      <c r="AGL66" s="2">
        <v>0.6</v>
      </c>
      <c r="AGM66" s="2">
        <v>0</v>
      </c>
      <c r="AGN66" s="2">
        <v>-1.1</v>
      </c>
      <c r="AGO66" s="2">
        <v>-0.6</v>
      </c>
      <c r="AGP66" s="2">
        <v>-3.7</v>
      </c>
      <c r="AGQ66" s="2">
        <v>1</v>
      </c>
      <c r="AGR66" s="2">
        <v>1.7</v>
      </c>
      <c r="AGS66" s="2">
        <v>2.8</v>
      </c>
      <c r="AGT66" s="2">
        <v>1.6</v>
      </c>
      <c r="AGU66" s="2">
        <v>0.9</v>
      </c>
      <c r="AGV66" s="2">
        <v>-0.1</v>
      </c>
      <c r="AGW66" s="2">
        <v>0.6</v>
      </c>
      <c r="AGX66" s="2">
        <v>-1.8</v>
      </c>
      <c r="AGY66" s="2">
        <v>2.9</v>
      </c>
      <c r="AGZ66" s="2">
        <v>-0.5</v>
      </c>
      <c r="AHA66" s="2">
        <v>1.2</v>
      </c>
      <c r="AHB66" s="2">
        <v>-0.3</v>
      </c>
      <c r="AHC66" s="2">
        <v>0.8</v>
      </c>
      <c r="AHD66" s="2">
        <v>0.4</v>
      </c>
      <c r="AHE66" s="2">
        <v>-0.6</v>
      </c>
      <c r="AHF66" s="2">
        <v>0.5</v>
      </c>
      <c r="AHG66" s="2">
        <v>0.5</v>
      </c>
      <c r="AHH66" s="2">
        <v>1</v>
      </c>
      <c r="AHI66" s="2">
        <v>0.2</v>
      </c>
      <c r="AHJ66" s="2">
        <v>0.9</v>
      </c>
      <c r="AHK66" s="2">
        <v>1.4</v>
      </c>
      <c r="AHL66" s="2">
        <v>0</v>
      </c>
      <c r="AHM66" s="2">
        <v>1.3</v>
      </c>
      <c r="AHN66" s="2">
        <v>0.7</v>
      </c>
      <c r="AHO66" s="2">
        <v>0.6</v>
      </c>
      <c r="AHP66" s="2">
        <v>1.2</v>
      </c>
      <c r="AHQ66" s="2">
        <v>1</v>
      </c>
      <c r="AHR66" s="2">
        <v>1.8</v>
      </c>
      <c r="AHS66" s="2">
        <v>1.4</v>
      </c>
      <c r="AHT66" s="2">
        <v>1.7</v>
      </c>
      <c r="AHU66" s="2">
        <v>0</v>
      </c>
      <c r="AHV66" s="2">
        <v>2.3</v>
      </c>
      <c r="AHW66" s="2">
        <v>1.9</v>
      </c>
      <c r="AHX66" s="2">
        <v>2.7</v>
      </c>
      <c r="AHY66" s="2">
        <v>1.6</v>
      </c>
      <c r="AHZ66" s="2">
        <v>0.9</v>
      </c>
      <c r="AIA66" s="2">
        <v>0</v>
      </c>
      <c r="AIB66" s="2">
        <v>-0.4</v>
      </c>
      <c r="AIC66" s="2">
        <v>-0.1</v>
      </c>
      <c r="AID66" s="2">
        <v>0</v>
      </c>
      <c r="AIE66" s="2">
        <v>0.5</v>
      </c>
      <c r="AIF66" s="2">
        <v>-0.3</v>
      </c>
      <c r="AIG66" s="2">
        <v>-0.2</v>
      </c>
      <c r="AIH66" s="2">
        <v>0.5</v>
      </c>
      <c r="AII66" s="2">
        <v>0.2</v>
      </c>
      <c r="AIJ66" s="2">
        <v>-0.5</v>
      </c>
      <c r="AIK66" s="2">
        <v>0.3</v>
      </c>
      <c r="AIL66" s="2">
        <v>0.5</v>
      </c>
      <c r="AIM66" s="2">
        <v>0.4</v>
      </c>
      <c r="AIN66" s="2">
        <v>-0.4</v>
      </c>
      <c r="AIO66" s="2">
        <v>-0.2</v>
      </c>
      <c r="AIP66" s="2">
        <v>-0.1</v>
      </c>
      <c r="AIQ66" s="2">
        <v>1.1</v>
      </c>
      <c r="AIR66" s="2">
        <v>0.1</v>
      </c>
      <c r="AIS66" s="2">
        <v>0.8</v>
      </c>
      <c r="AIT66" s="2">
        <v>0.1</v>
      </c>
      <c r="AIU66" s="2">
        <v>0.3</v>
      </c>
      <c r="AIV66" s="2">
        <v>2.5</v>
      </c>
      <c r="AIW66" s="2">
        <v>0.8</v>
      </c>
      <c r="AIX66" s="2">
        <v>-0.2</v>
      </c>
      <c r="AIY66" s="2">
        <v>0.1</v>
      </c>
      <c r="AIZ66" s="2">
        <v>0.3</v>
      </c>
      <c r="AJA66" s="2">
        <v>-0.1</v>
      </c>
      <c r="AJB66" s="2">
        <v>0.7</v>
      </c>
      <c r="AJC66" s="2">
        <v>-0.2</v>
      </c>
      <c r="AJD66" s="2">
        <v>0.9</v>
      </c>
      <c r="AJE66" s="2">
        <v>0</v>
      </c>
      <c r="AJF66" s="2">
        <v>1.6</v>
      </c>
      <c r="AJG66" s="2">
        <v>-0.6</v>
      </c>
      <c r="AJH66" s="2">
        <v>0.6</v>
      </c>
      <c r="AJI66" s="2">
        <v>0.5</v>
      </c>
      <c r="AJJ66" s="2">
        <v>-0.8</v>
      </c>
      <c r="AJK66" s="2">
        <v>2</v>
      </c>
      <c r="AJL66" s="2">
        <v>0.5</v>
      </c>
      <c r="AJM66" s="2">
        <v>-0.2</v>
      </c>
      <c r="AJN66" s="2">
        <v>0.3</v>
      </c>
      <c r="AJO66" s="2">
        <v>-1.1</v>
      </c>
      <c r="AJP66" s="2">
        <v>2.2</v>
      </c>
      <c r="AJQ66" s="2">
        <v>-0.5</v>
      </c>
      <c r="AJR66" s="2">
        <v>0.8</v>
      </c>
      <c r="AJS66" s="2">
        <v>-2.2</v>
      </c>
      <c r="AJT66" s="2">
        <v>1.8</v>
      </c>
      <c r="AJU66" s="2">
        <v>0.3</v>
      </c>
      <c r="AJV66" s="2">
        <v>1.1</v>
      </c>
      <c r="AJW66" s="2">
        <v>1.2</v>
      </c>
      <c r="AJX66" s="2">
        <v>1.7</v>
      </c>
      <c r="AJY66" s="2">
        <v>5.1</v>
      </c>
      <c r="AJZ66" s="2">
        <v>3</v>
      </c>
      <c r="AKA66" s="2">
        <v>2.3</v>
      </c>
      <c r="AKB66" s="2">
        <v>3.3</v>
      </c>
      <c r="AKC66" s="2">
        <v>2.6</v>
      </c>
      <c r="AKD66" s="2">
        <v>0.6</v>
      </c>
      <c r="AKE66" s="2">
        <v>-3.4</v>
      </c>
      <c r="AKF66" s="2">
        <v>3.1</v>
      </c>
      <c r="AKG66" s="2">
        <v>1.1</v>
      </c>
      <c r="AKH66" s="2">
        <v>1</v>
      </c>
      <c r="AKI66" s="2">
        <v>0</v>
      </c>
      <c r="AKJ66" s="2">
        <v>1.3</v>
      </c>
      <c r="AKK66" s="2">
        <v>0.7</v>
      </c>
      <c r="AKL66" s="2">
        <v>-1.3</v>
      </c>
      <c r="AKM66" s="2">
        <v>0.3</v>
      </c>
      <c r="AKN66" s="2">
        <v>-0.5</v>
      </c>
      <c r="AKO66" s="2">
        <v>1.1</v>
      </c>
      <c r="AKP66" s="2">
        <v>0.87</v>
      </c>
      <c r="AKQ66" s="2">
        <v>0.86</v>
      </c>
      <c r="AKR66" s="2">
        <v>0.87</v>
      </c>
    </row>
    <row r="67">
      <c r="A67" t="inlineStr">
        <is>
          <t>Automotive fuel</t>
        </is>
      </c>
      <c r="B67" t="inlineStr">
        <is>
          <t>Private motoring</t>
        </is>
      </c>
      <c r="C67">
        <v>3</v>
      </c>
      <c r="D67">
        <v>3.42</v>
      </c>
      <c r="E67" s="3">
        <f>D67/11.14*0.11149703832752614</f>
        <v>0.03422979094076655</v>
      </c>
      <c r="F67" s="3">
        <f>E67-D67/100</f>
        <v>2.9790940766549756e-05</v>
      </c>
      <c r="G67" s="3">
        <f>D67/11.14</f>
        <v>0.3070017953321364</v>
      </c>
      <c r="H67" s="2">
        <v>68.95</v>
      </c>
      <c r="I67" s="2">
        <v>71.63</v>
      </c>
      <c r="J67" s="2">
        <v>75.02</v>
      </c>
      <c r="K67" s="2">
        <v>76.61</v>
      </c>
      <c r="L67" s="2">
        <v>75.66</v>
      </c>
      <c r="M67" s="2">
        <v>75.26000000000001</v>
      </c>
      <c r="N67" s="2">
        <v>74.42</v>
      </c>
      <c r="O67" s="2">
        <v>78.04000000000001</v>
      </c>
      <c r="P67" s="2">
        <v>81.13</v>
      </c>
      <c r="Q67" s="2">
        <v>81.72</v>
      </c>
      <c r="R67" s="2">
        <v>80.11</v>
      </c>
      <c r="S67" s="2">
        <v>80.09</v>
      </c>
      <c r="T67" s="2">
        <v>84.23</v>
      </c>
      <c r="U67" s="2">
        <v>86.95999999999999</v>
      </c>
      <c r="V67" s="2">
        <v>77.58</v>
      </c>
      <c r="W67" s="2">
        <v>73.73999999999999</v>
      </c>
      <c r="X67" s="2">
        <v>69.28</v>
      </c>
      <c r="Y67" s="2">
        <v>72.23999999999999</v>
      </c>
      <c r="Z67" s="2">
        <v>75.98999999999999</v>
      </c>
      <c r="AA67" s="2">
        <v>80.29000000000001</v>
      </c>
      <c r="AB67" s="2">
        <v>81.65000000000001</v>
      </c>
      <c r="AC67" s="2">
        <v>77.78</v>
      </c>
      <c r="AD67" s="2">
        <v>78.03</v>
      </c>
      <c r="AE67" s="2">
        <v>77.33</v>
      </c>
      <c r="AF67" s="2">
        <v>79.47</v>
      </c>
      <c r="AG67" s="2">
        <v>82.59</v>
      </c>
      <c r="AH67" s="2">
        <v>80.93000000000001</v>
      </c>
      <c r="AI67" s="2">
        <v>81.72</v>
      </c>
      <c r="AJ67" s="2">
        <v>81.14</v>
      </c>
      <c r="AK67" s="2">
        <v>78.38</v>
      </c>
      <c r="AL67" s="2">
        <v>71.06</v>
      </c>
      <c r="AM67" s="2">
        <v>59.74</v>
      </c>
      <c r="AN67" s="2">
        <v>60.3</v>
      </c>
      <c r="AO67" s="2">
        <v>65.81</v>
      </c>
      <c r="AP67" s="2">
        <v>68.13</v>
      </c>
      <c r="AQ67" s="2">
        <v>67.42</v>
      </c>
      <c r="AR67" s="2">
        <v>67.84</v>
      </c>
      <c r="AS67" s="2">
        <v>67.58</v>
      </c>
      <c r="AT67" s="2">
        <v>66.89</v>
      </c>
      <c r="AU67" s="2">
        <v>69.95999999999999</v>
      </c>
      <c r="AV67" s="2">
        <v>71.14</v>
      </c>
      <c r="AW67" s="2">
        <v>73.02</v>
      </c>
      <c r="AX67" s="2">
        <v>78.13</v>
      </c>
      <c r="AY67" s="2">
        <v>79.41</v>
      </c>
      <c r="AZ67" s="2">
        <v>78.81</v>
      </c>
      <c r="BA67" s="2">
        <v>78.58</v>
      </c>
      <c r="BB67" s="2">
        <v>84.17</v>
      </c>
      <c r="BC67" s="2">
        <v>83.65000000000001</v>
      </c>
      <c r="BD67" s="2">
        <v>85.81999999999999</v>
      </c>
      <c r="BE67" s="2">
        <v>90.44</v>
      </c>
      <c r="BF67" s="2">
        <v>91.61</v>
      </c>
      <c r="BG67" s="2">
        <v>88.55</v>
      </c>
      <c r="BH67" s="2">
        <v>92.34999999999999</v>
      </c>
      <c r="BI67" s="2">
        <v>97.83</v>
      </c>
      <c r="BJ67" s="2">
        <v>110.04</v>
      </c>
      <c r="BK67" s="2">
        <v>94.88</v>
      </c>
      <c r="BL67" s="2">
        <v>105.36</v>
      </c>
      <c r="BM67" s="2">
        <v>112.57</v>
      </c>
      <c r="BN67" s="2">
        <v>108.74</v>
      </c>
      <c r="BO67" s="2">
        <v>96.18000000000001</v>
      </c>
      <c r="BP67" s="2">
        <v>94.48999999999999</v>
      </c>
      <c r="BQ67" s="2">
        <v>101.17</v>
      </c>
      <c r="BR67" s="2">
        <v>106.82</v>
      </c>
      <c r="BS67" s="2">
        <v>98.13</v>
      </c>
      <c r="BT67" s="2">
        <v>99.20999999999999</v>
      </c>
      <c r="BU67" s="2">
        <v>103.25</v>
      </c>
      <c r="BV67" s="2">
        <v>100.98</v>
      </c>
      <c r="BW67" s="2">
        <v>103.88</v>
      </c>
      <c r="BX67" s="2">
        <v>96.92</v>
      </c>
      <c r="BY67" s="2">
        <v>100.67</v>
      </c>
      <c r="BZ67" s="2">
        <v>100.42</v>
      </c>
      <c r="CA67" s="2">
        <v>109.56</v>
      </c>
      <c r="CB67" s="2">
        <v>113.17</v>
      </c>
      <c r="CC67" s="2">
        <v>109.82</v>
      </c>
      <c r="CD67" s="2">
        <v>109.31</v>
      </c>
      <c r="CE67" s="2">
        <v>103.29</v>
      </c>
      <c r="CF67" s="2">
        <v>102.32</v>
      </c>
      <c r="CG67" s="2">
        <v>107.59</v>
      </c>
      <c r="CH67" s="2">
        <v>109.22</v>
      </c>
      <c r="CI67" s="2">
        <v>111.64</v>
      </c>
      <c r="CJ67" s="2">
        <v>105.94</v>
      </c>
      <c r="CK67" s="2">
        <v>107.26</v>
      </c>
      <c r="CL67" s="2">
        <v>104.49</v>
      </c>
      <c r="CM67" s="2">
        <v>101.24</v>
      </c>
      <c r="CN67" s="2">
        <v>97.25</v>
      </c>
      <c r="CO67" s="2">
        <v>97.20999999999999</v>
      </c>
      <c r="CP67" s="2">
        <v>98.09</v>
      </c>
      <c r="CQ67" s="2">
        <v>101.81</v>
      </c>
      <c r="CR67" s="2">
        <v>100.4</v>
      </c>
      <c r="CS67" s="2">
        <v>101.62</v>
      </c>
      <c r="CT67" s="2">
        <v>100.84</v>
      </c>
      <c r="CU67" s="2">
        <v>98.28</v>
      </c>
      <c r="CV67" s="2">
        <v>95.34</v>
      </c>
      <c r="CW67" s="2">
        <v>98.75</v>
      </c>
      <c r="CX67" s="2">
        <v>98.75</v>
      </c>
      <c r="CY67" s="2">
        <v>99.48999999999999</v>
      </c>
      <c r="CZ67" s="2">
        <v>100</v>
      </c>
      <c r="DA67" s="2">
        <v>99.09999999999999</v>
      </c>
      <c r="DB67" s="2">
        <v>101.55</v>
      </c>
      <c r="DC67" s="2">
        <v>101</v>
      </c>
      <c r="DD67" s="2">
        <v>97.72</v>
      </c>
      <c r="DE67" s="2">
        <v>94.34999999999999</v>
      </c>
      <c r="DF67" s="2">
        <v>125.29</v>
      </c>
      <c r="DG67" s="2">
        <v>116.53</v>
      </c>
      <c r="DH67" s="2">
        <v>102.69</v>
      </c>
      <c r="DI67" s="2">
        <v>91.53</v>
      </c>
      <c r="DJ67" s="2">
        <v>98.40000000000001</v>
      </c>
      <c r="DK67" s="2">
        <v>22.2</v>
      </c>
      <c r="DL67" s="2">
        <v>21.4</v>
      </c>
      <c r="DM67" s="2">
        <v>3.4</v>
      </c>
      <c r="DN67" s="2">
        <v>-3.7</v>
      </c>
      <c r="DO67" s="2">
        <v>-8.4</v>
      </c>
      <c r="DP67" s="2">
        <v>-4</v>
      </c>
      <c r="DQ67" s="2">
        <v>2.1</v>
      </c>
      <c r="DR67" s="2">
        <v>2.9</v>
      </c>
      <c r="DS67" s="2">
        <v>0.6</v>
      </c>
      <c r="DT67" s="2">
        <v>-4.8</v>
      </c>
      <c r="DU67" s="2">
        <v>-2.6</v>
      </c>
      <c r="DV67" s="2">
        <v>-3.4</v>
      </c>
      <c r="DW67" s="2">
        <v>-5.7</v>
      </c>
      <c r="DX67" s="2">
        <v>-5</v>
      </c>
      <c r="DY67" s="2">
        <v>4.3</v>
      </c>
      <c r="DZ67" s="2">
        <v>10.8</v>
      </c>
      <c r="EA67" s="2">
        <v>17.1</v>
      </c>
      <c r="EB67" s="2">
        <v>8.5</v>
      </c>
      <c r="EC67" s="2">
        <v>-6.5</v>
      </c>
      <c r="ED67" s="2">
        <v>-25.6</v>
      </c>
      <c r="EE67" s="2">
        <v>-26.1</v>
      </c>
      <c r="EF67" s="2">
        <v>-15.4</v>
      </c>
      <c r="EG67" s="2">
        <v>-12.7</v>
      </c>
      <c r="EH67" s="2">
        <v>-12.8</v>
      </c>
      <c r="EI67" s="2">
        <v>-14.6</v>
      </c>
      <c r="EJ67" s="2">
        <v>-18.2</v>
      </c>
      <c r="EK67" s="2">
        <v>-17.3</v>
      </c>
      <c r="EL67" s="2">
        <v>-14.4</v>
      </c>
      <c r="EM67" s="2">
        <v>-12.3</v>
      </c>
      <c r="EN67" s="2">
        <v>-6.8</v>
      </c>
      <c r="EO67" s="2">
        <v>9.9</v>
      </c>
      <c r="EP67" s="2">
        <v>32.9</v>
      </c>
      <c r="EQ67" s="2">
        <v>30.7</v>
      </c>
      <c r="ER67" s="2">
        <v>19.4</v>
      </c>
      <c r="ES67" s="2">
        <v>23.5</v>
      </c>
      <c r="ET67" s="2">
        <v>24.1</v>
      </c>
      <c r="EU67" s="2">
        <v>26.5</v>
      </c>
      <c r="EV67" s="2">
        <v>33.8</v>
      </c>
      <c r="EW67" s="2">
        <v>37</v>
      </c>
      <c r="EX67" s="2">
        <v>26.6</v>
      </c>
      <c r="EY67" s="2">
        <v>29.8</v>
      </c>
      <c r="EZ67" s="2">
        <v>34</v>
      </c>
      <c r="FA67" s="2">
        <v>40.8</v>
      </c>
      <c r="FB67" s="2">
        <v>19.5</v>
      </c>
      <c r="FC67" s="2">
        <v>33.7</v>
      </c>
      <c r="FD67" s="2">
        <v>43.3</v>
      </c>
      <c r="FE67" s="2">
        <v>29.2</v>
      </c>
      <c r="FF67" s="2">
        <v>15</v>
      </c>
      <c r="FG67" s="2">
        <v>10.1</v>
      </c>
      <c r="FH67" s="2">
        <v>11.9</v>
      </c>
      <c r="FI67" s="2">
        <v>16.6</v>
      </c>
      <c r="FJ67" s="2">
        <v>10.8</v>
      </c>
      <c r="FK67" s="2">
        <v>7.4</v>
      </c>
      <c r="FL67" s="2">
        <v>5.5</v>
      </c>
      <c r="FM67" s="2">
        <v>-8.199999999999999</v>
      </c>
      <c r="FN67" s="2">
        <v>9.5</v>
      </c>
      <c r="FO67" s="2">
        <v>-8</v>
      </c>
      <c r="FP67" s="2">
        <v>-10.6</v>
      </c>
      <c r="FQ67" s="2">
        <v>-7.7</v>
      </c>
      <c r="FR67" s="2">
        <v>13.9</v>
      </c>
      <c r="FS67" s="2">
        <v>19.8</v>
      </c>
      <c r="FT67" s="2">
        <v>8.5</v>
      </c>
      <c r="FU67" s="2">
        <v>2.3</v>
      </c>
      <c r="FV67" s="2">
        <v>5.3</v>
      </c>
      <c r="FW67" s="2">
        <v>3.1</v>
      </c>
      <c r="FX67" s="2">
        <v>4.2</v>
      </c>
      <c r="FY67" s="2">
        <v>8.199999999999999</v>
      </c>
      <c r="FZ67" s="2">
        <v>7.5</v>
      </c>
      <c r="GA67" s="2">
        <v>9.300000000000001</v>
      </c>
      <c r="GB67" s="2">
        <v>6.5</v>
      </c>
      <c r="GC67" s="2">
        <v>4.1</v>
      </c>
      <c r="GD67" s="2">
        <v>-7.6</v>
      </c>
      <c r="GE67" s="2">
        <v>-14.1</v>
      </c>
      <c r="GF67" s="2">
        <v>-11.5</v>
      </c>
      <c r="GG67" s="2">
        <v>-10.3</v>
      </c>
      <c r="GH67" s="2">
        <v>-1.4</v>
      </c>
      <c r="GI67" s="2">
        <v>-1.9</v>
      </c>
      <c r="GJ67" s="2">
        <v>-5.5</v>
      </c>
      <c r="GK67" s="2">
        <v>-7.7</v>
      </c>
      <c r="GL67" s="2">
        <v>-12</v>
      </c>
      <c r="GM67" s="2">
        <v>-10</v>
      </c>
      <c r="GN67" s="2">
        <v>-7.9</v>
      </c>
      <c r="GO67" s="2">
        <v>-5.5</v>
      </c>
      <c r="GP67" s="2">
        <v>-1.7</v>
      </c>
      <c r="GQ67" s="2">
        <v>2.8</v>
      </c>
      <c r="GR67" s="2">
        <v>1.9</v>
      </c>
      <c r="GS67" s="2">
        <v>3.5</v>
      </c>
      <c r="GT67" s="2">
        <v>-0.8</v>
      </c>
      <c r="GU67" s="2">
        <v>-2.7</v>
      </c>
      <c r="GV67" s="2">
        <v>-7.2</v>
      </c>
      <c r="GW67" s="2">
        <v>24.2</v>
      </c>
      <c r="GX67" s="2">
        <v>18.6</v>
      </c>
      <c r="GY67" s="2">
        <v>7.7</v>
      </c>
      <c r="GZ67" s="2">
        <v>-7.3</v>
      </c>
      <c r="HA67" s="2">
        <v>-0.4</v>
      </c>
      <c r="HB67" s="2">
        <v>3.9</v>
      </c>
      <c r="HC67" s="2">
        <v>4.7</v>
      </c>
      <c r="HD67" s="2">
        <v>2.1</v>
      </c>
      <c r="HE67" s="2">
        <v>-1.2</v>
      </c>
      <c r="HF67" s="2">
        <v>-0.5</v>
      </c>
      <c r="HG67" s="2">
        <v>-1.1</v>
      </c>
      <c r="HH67" s="2">
        <v>4.9</v>
      </c>
      <c r="HI67" s="2">
        <v>4</v>
      </c>
      <c r="HJ67" s="2">
        <v>0.7</v>
      </c>
      <c r="HK67" s="2">
        <v>-2</v>
      </c>
      <c r="HL67" s="2">
        <v>0</v>
      </c>
      <c r="HM67" s="2">
        <v>5.2</v>
      </c>
      <c r="HN67" s="2">
        <v>3.2</v>
      </c>
      <c r="HO67" s="2">
        <v>-10.8</v>
      </c>
      <c r="HP67" s="2">
        <v>-4.9</v>
      </c>
      <c r="HQ67" s="2">
        <v>-6</v>
      </c>
      <c r="HR67" s="2">
        <v>4.3</v>
      </c>
      <c r="HS67" s="2">
        <v>5.2</v>
      </c>
      <c r="HT67" s="2">
        <v>5.7</v>
      </c>
      <c r="HU67" s="2">
        <v>1.7</v>
      </c>
      <c r="HV67" s="2">
        <v>-4.7</v>
      </c>
      <c r="HW67" s="2">
        <v>0.3</v>
      </c>
      <c r="HX67" s="2">
        <v>-0.9</v>
      </c>
      <c r="HY67" s="2">
        <v>2.8</v>
      </c>
      <c r="HZ67" s="2">
        <v>3.9</v>
      </c>
      <c r="IA67" s="2">
        <v>-2</v>
      </c>
      <c r="IB67" s="2">
        <v>1</v>
      </c>
      <c r="IC67" s="2">
        <v>-0.7</v>
      </c>
      <c r="ID67" s="2">
        <v>-3.4</v>
      </c>
      <c r="IE67" s="2">
        <v>-9.300000000000001</v>
      </c>
      <c r="IF67" s="2">
        <v>-15.9</v>
      </c>
      <c r="IG67" s="2">
        <v>0.9</v>
      </c>
      <c r="IH67" s="2">
        <v>9.1</v>
      </c>
      <c r="II67" s="2">
        <v>3.5</v>
      </c>
      <c r="IJ67" s="2">
        <v>-1</v>
      </c>
      <c r="IK67" s="2">
        <v>0.6</v>
      </c>
      <c r="IL67" s="2">
        <v>-0.4</v>
      </c>
      <c r="IM67" s="2">
        <v>-1</v>
      </c>
      <c r="IN67" s="2">
        <v>4.6</v>
      </c>
      <c r="IO67" s="2">
        <v>1.7</v>
      </c>
      <c r="IP67" s="2">
        <v>2.6</v>
      </c>
      <c r="IQ67" s="2">
        <v>7</v>
      </c>
      <c r="IR67" s="2">
        <v>1.6</v>
      </c>
      <c r="IS67" s="2">
        <v>-0.8</v>
      </c>
      <c r="IT67" s="2">
        <v>-0.3</v>
      </c>
      <c r="IU67" s="2">
        <v>7.1</v>
      </c>
      <c r="IV67" s="2">
        <v>-0.6</v>
      </c>
      <c r="IW67" s="2">
        <v>2.6</v>
      </c>
      <c r="IX67" s="2">
        <v>5.4</v>
      </c>
      <c r="IY67" s="2">
        <v>1.3</v>
      </c>
      <c r="IZ67" s="2">
        <v>-3.3</v>
      </c>
      <c r="JA67" s="2">
        <v>4.3</v>
      </c>
      <c r="JB67" s="2">
        <v>5.9</v>
      </c>
      <c r="JC67" s="2">
        <v>12.5</v>
      </c>
      <c r="JD67" s="2">
        <v>-13.8</v>
      </c>
      <c r="JE67" s="2">
        <v>11</v>
      </c>
      <c r="JF67" s="2">
        <v>6.8</v>
      </c>
      <c r="JG67" s="2">
        <v>-3.4</v>
      </c>
      <c r="JH67" s="2">
        <v>-11.6</v>
      </c>
      <c r="JI67" s="2">
        <v>-1.8</v>
      </c>
      <c r="JJ67" s="2">
        <v>7.1</v>
      </c>
      <c r="JK67" s="2">
        <v>5.6</v>
      </c>
      <c r="JL67" s="2">
        <v>-8.1</v>
      </c>
      <c r="JM67" s="2">
        <v>1.1</v>
      </c>
      <c r="JN67" s="2">
        <v>4.1</v>
      </c>
      <c r="JO67" s="2">
        <v>-2.2</v>
      </c>
      <c r="JP67" s="2">
        <v>2.9</v>
      </c>
      <c r="JQ67" s="2">
        <v>-6.7</v>
      </c>
      <c r="JR67" s="2">
        <v>3.9</v>
      </c>
      <c r="JS67" s="2">
        <v>-0.2</v>
      </c>
      <c r="JT67" s="2">
        <v>9.1</v>
      </c>
      <c r="JU67" s="2">
        <v>3.3</v>
      </c>
      <c r="JV67" s="2">
        <v>-3</v>
      </c>
      <c r="JW67" s="2">
        <v>-0.5</v>
      </c>
      <c r="JX67" s="2">
        <v>-5.5</v>
      </c>
      <c r="JY67" s="2">
        <v>-0.9</v>
      </c>
      <c r="JZ67" s="2">
        <v>5.2</v>
      </c>
      <c r="KA67" s="2">
        <v>1.5</v>
      </c>
      <c r="KB67" s="2">
        <v>2.2</v>
      </c>
      <c r="KC67" s="2">
        <v>-5.1</v>
      </c>
      <c r="KD67" s="2">
        <v>1.2</v>
      </c>
      <c r="KE67" s="2">
        <v>-2.6</v>
      </c>
      <c r="KF67" s="2">
        <v>-3.1</v>
      </c>
      <c r="KG67" s="2">
        <v>-3.9</v>
      </c>
      <c r="KH67" s="2">
        <v>0</v>
      </c>
      <c r="KI67" s="2">
        <v>0.9</v>
      </c>
      <c r="KJ67" s="2">
        <v>3.8</v>
      </c>
      <c r="KK67" s="2">
        <v>-1.4</v>
      </c>
      <c r="KL67" s="2">
        <v>1.2</v>
      </c>
      <c r="KM67" s="2">
        <v>-0.8</v>
      </c>
      <c r="KN67" s="2">
        <v>-2.5</v>
      </c>
      <c r="KO67" s="2">
        <v>-3</v>
      </c>
      <c r="KP67" s="2">
        <v>3.6</v>
      </c>
      <c r="KQ67" s="2">
        <v>0</v>
      </c>
      <c r="KR67" s="2">
        <v>0.7</v>
      </c>
      <c r="KS67" s="2">
        <v>0.5</v>
      </c>
      <c r="KT67" s="2">
        <v>-0.9</v>
      </c>
      <c r="KU67" s="2">
        <v>2.5</v>
      </c>
      <c r="KV67" s="2">
        <v>-0.5</v>
      </c>
      <c r="KW67" s="2">
        <v>-3.2</v>
      </c>
      <c r="KX67" s="2">
        <v>-3.4</v>
      </c>
      <c r="KY67" s="2">
        <v>32.8</v>
      </c>
      <c r="KZ67" s="2">
        <v>-7</v>
      </c>
      <c r="LA67" s="2">
        <v>-11.9</v>
      </c>
      <c r="LB67" s="2">
        <v>-10.9</v>
      </c>
      <c r="LC67" s="2">
        <v>7.5</v>
      </c>
      <c r="LD67" s="2">
        <v>3.33</v>
      </c>
      <c r="LE67" s="2">
        <v>3.28</v>
      </c>
      <c r="LF67" s="2">
        <v>3.32</v>
      </c>
      <c r="LG67" s="2">
        <v>3.29</v>
      </c>
      <c r="LH67" s="2">
        <v>3.21</v>
      </c>
      <c r="LI67" s="2">
        <v>3.11</v>
      </c>
      <c r="LJ67" s="2">
        <v>3.23</v>
      </c>
      <c r="LK67" s="2">
        <v>3.23</v>
      </c>
      <c r="LL67" s="2">
        <v>3.25</v>
      </c>
      <c r="LM67" s="2">
        <v>3.27</v>
      </c>
      <c r="LN67" s="2">
        <v>3.24</v>
      </c>
      <c r="LO67" s="2">
        <v>3.32</v>
      </c>
      <c r="LP67" s="2">
        <v>3.3</v>
      </c>
      <c r="LQ67" s="2">
        <v>3.19</v>
      </c>
      <c r="LR67" s="2">
        <v>3.08</v>
      </c>
      <c r="LS67" s="2">
        <v>4.09</v>
      </c>
      <c r="LT67" s="2">
        <v>3.81</v>
      </c>
      <c r="LU67" s="2">
        <v>3.35</v>
      </c>
      <c r="LV67" s="2">
        <v>2.99</v>
      </c>
      <c r="LW67" s="2">
        <v>3.21</v>
      </c>
      <c r="LX67" s="2">
        <v>-0.05</v>
      </c>
      <c r="LY67" s="2">
        <v>0.04</v>
      </c>
      <c r="LZ67" s="2">
        <v>-0.03</v>
      </c>
      <c r="MA67" s="2">
        <v>-0.08</v>
      </c>
      <c r="MB67" s="2">
        <v>-0.1</v>
      </c>
      <c r="MC67" s="2">
        <v>0.12</v>
      </c>
      <c r="MD67" s="2">
        <v>0</v>
      </c>
      <c r="ME67" s="2">
        <v>0.02</v>
      </c>
      <c r="MF67" s="2">
        <v>0.02</v>
      </c>
      <c r="MG67" s="2">
        <v>-0.03</v>
      </c>
      <c r="MH67" s="2">
        <v>0.08</v>
      </c>
      <c r="MI67" s="2">
        <v>-0.02</v>
      </c>
      <c r="MJ67" s="2">
        <v>-0.11</v>
      </c>
      <c r="MK67" s="2">
        <v>-0.11</v>
      </c>
      <c r="ML67" s="2">
        <v>1.01</v>
      </c>
      <c r="MM67" s="2">
        <v>-0.28</v>
      </c>
      <c r="MN67" s="2">
        <v>-0.46</v>
      </c>
      <c r="MO67" s="2">
        <v>-0.36</v>
      </c>
      <c r="MP67" s="2">
        <v>0.22</v>
      </c>
      <c r="QI67" s="2">
        <v>5.3</v>
      </c>
      <c r="QJ67" s="2">
        <v>5.3</v>
      </c>
      <c r="QK67" s="2">
        <v>5.27</v>
      </c>
      <c r="QL67" s="2">
        <v>5.24</v>
      </c>
      <c r="QM67" s="2">
        <v>5.42</v>
      </c>
      <c r="QN67" s="2">
        <v>6.02</v>
      </c>
      <c r="QO67" s="2">
        <v>6.08</v>
      </c>
      <c r="QP67" s="2">
        <v>6.14</v>
      </c>
      <c r="QQ67" s="2">
        <v>6.42</v>
      </c>
      <c r="QR67" s="2">
        <v>6.42</v>
      </c>
      <c r="QS67" s="2">
        <v>7.14</v>
      </c>
      <c r="QT67" s="2">
        <v>7.33</v>
      </c>
      <c r="QU67" s="2">
        <v>7.26</v>
      </c>
      <c r="QV67" s="2">
        <v>7.98</v>
      </c>
      <c r="QW67" s="2">
        <v>8.199999999999999</v>
      </c>
      <c r="QX67" s="2">
        <v>7.92</v>
      </c>
      <c r="QY67" s="2">
        <v>8.07</v>
      </c>
      <c r="QZ67" s="2">
        <v>8.07</v>
      </c>
      <c r="RA67" s="2">
        <v>8.390000000000001</v>
      </c>
      <c r="RB67" s="2">
        <v>8.26</v>
      </c>
      <c r="RC67" s="2">
        <v>8.390000000000001</v>
      </c>
      <c r="RD67" s="2">
        <v>9.17</v>
      </c>
      <c r="RE67" s="2">
        <v>9.07</v>
      </c>
      <c r="RF67" s="2">
        <v>9.1</v>
      </c>
      <c r="RG67" s="2">
        <v>9.1</v>
      </c>
      <c r="RH67" s="2">
        <v>11</v>
      </c>
      <c r="RI67" s="2">
        <v>11.32</v>
      </c>
      <c r="RJ67" s="2">
        <v>12.44</v>
      </c>
      <c r="RK67" s="2">
        <v>13.5</v>
      </c>
      <c r="RL67" s="2">
        <v>14.9</v>
      </c>
      <c r="RM67" s="2">
        <v>14.56</v>
      </c>
      <c r="RN67" s="2">
        <v>16.65</v>
      </c>
      <c r="RO67" s="2">
        <v>15.99</v>
      </c>
      <c r="RP67" s="2">
        <v>16.4</v>
      </c>
      <c r="RQ67" s="2">
        <v>17.61</v>
      </c>
      <c r="RR67" s="2">
        <v>19.3</v>
      </c>
      <c r="RS67" s="2">
        <v>18.14</v>
      </c>
      <c r="RT67" s="2">
        <v>18.95</v>
      </c>
      <c r="RU67" s="2">
        <v>18.58</v>
      </c>
      <c r="RV67" s="2">
        <v>19.11</v>
      </c>
      <c r="RW67" s="2">
        <v>21.45</v>
      </c>
      <c r="RX67" s="2">
        <v>21.48</v>
      </c>
      <c r="RY67" s="2">
        <v>22.35</v>
      </c>
      <c r="RZ67" s="2">
        <v>21.29</v>
      </c>
      <c r="SA67" s="2">
        <v>22.88</v>
      </c>
      <c r="SB67" s="2">
        <v>23.97</v>
      </c>
      <c r="SC67" s="2">
        <v>23.85</v>
      </c>
      <c r="SD67" s="2">
        <v>24.72</v>
      </c>
      <c r="SE67" s="2">
        <v>24.94</v>
      </c>
      <c r="SF67" s="2">
        <v>24.72</v>
      </c>
      <c r="SG67" s="2">
        <v>25.22</v>
      </c>
      <c r="SH67" s="2">
        <v>27.65</v>
      </c>
      <c r="SI67" s="2">
        <v>28.34</v>
      </c>
      <c r="SJ67" s="2">
        <v>27.34</v>
      </c>
      <c r="SK67" s="2">
        <v>27.99</v>
      </c>
      <c r="SL67" s="2">
        <v>24.85</v>
      </c>
      <c r="SM67" s="2">
        <v>26.41</v>
      </c>
      <c r="SN67" s="2">
        <v>28.18</v>
      </c>
      <c r="SO67" s="2">
        <v>28.77</v>
      </c>
      <c r="SP67" s="2">
        <v>27.93</v>
      </c>
      <c r="SQ67" s="2">
        <v>27.78</v>
      </c>
      <c r="SR67" s="2">
        <v>28.93</v>
      </c>
      <c r="SS67" s="2">
        <v>29.09</v>
      </c>
      <c r="ST67" s="2">
        <v>27.31</v>
      </c>
      <c r="SU67" s="2">
        <v>27.15</v>
      </c>
      <c r="SV67" s="2">
        <v>26.5</v>
      </c>
      <c r="SW67" s="2">
        <v>26.5</v>
      </c>
      <c r="SX67" s="2">
        <v>28.71</v>
      </c>
      <c r="SY67" s="2">
        <v>29.15</v>
      </c>
      <c r="SZ67" s="2">
        <v>30.52</v>
      </c>
      <c r="TA67" s="2">
        <v>32.48</v>
      </c>
      <c r="TB67" s="2">
        <v>32.52</v>
      </c>
      <c r="TC67" s="2">
        <v>34.23</v>
      </c>
      <c r="TD67" s="2">
        <v>41.37</v>
      </c>
      <c r="TE67" s="2">
        <v>34.98</v>
      </c>
      <c r="TF67" s="2">
        <v>33.05</v>
      </c>
      <c r="TG67" s="2">
        <v>34.88</v>
      </c>
      <c r="TH67" s="2">
        <v>34.76</v>
      </c>
      <c r="TI67" s="2">
        <v>34.32</v>
      </c>
      <c r="TJ67" s="2">
        <v>34.48</v>
      </c>
      <c r="TK67" s="2">
        <v>35.94</v>
      </c>
      <c r="TL67" s="2">
        <v>35.76</v>
      </c>
      <c r="TM67" s="2">
        <v>34.57</v>
      </c>
      <c r="TN67" s="2">
        <v>34.92</v>
      </c>
      <c r="TO67" s="2">
        <v>34.98</v>
      </c>
      <c r="TP67" s="2">
        <v>35.26</v>
      </c>
      <c r="TQ67" s="2">
        <v>33.76</v>
      </c>
      <c r="TR67" s="2">
        <v>35.38</v>
      </c>
      <c r="TS67" s="2">
        <v>35.6</v>
      </c>
      <c r="TT67" s="2">
        <v>34.76</v>
      </c>
      <c r="TU67" s="2">
        <v>35.45</v>
      </c>
      <c r="TV67" s="2">
        <v>36.07</v>
      </c>
      <c r="TW67" s="2">
        <v>37.41</v>
      </c>
      <c r="TX67" s="2">
        <v>36.88</v>
      </c>
      <c r="TY67" s="2">
        <v>36.69</v>
      </c>
      <c r="TZ67" s="2">
        <v>37.82</v>
      </c>
      <c r="UA67" s="2">
        <v>37.04</v>
      </c>
      <c r="UB67" s="2">
        <v>38.03</v>
      </c>
      <c r="UC67" s="2">
        <v>38.63</v>
      </c>
      <c r="UD67" s="2">
        <v>38</v>
      </c>
      <c r="UE67" s="2">
        <v>37.69</v>
      </c>
      <c r="UF67" s="2">
        <v>38.13</v>
      </c>
      <c r="UG67" s="2">
        <v>36.47</v>
      </c>
      <c r="UH67" s="2">
        <v>36.79</v>
      </c>
      <c r="UI67" s="2">
        <v>35.99</v>
      </c>
      <c r="UJ67" s="2">
        <v>35.44</v>
      </c>
      <c r="UK67" s="2">
        <v>34.5</v>
      </c>
      <c r="UL67" s="2">
        <v>36.32</v>
      </c>
      <c r="UM67" s="2">
        <v>39.52</v>
      </c>
      <c r="UN67" s="2">
        <v>39.78</v>
      </c>
      <c r="UO67" s="2">
        <v>42.87</v>
      </c>
      <c r="UP67" s="2">
        <v>44.25</v>
      </c>
      <c r="UQ67" s="2">
        <v>48.86</v>
      </c>
      <c r="UR67" s="2">
        <v>49.51</v>
      </c>
      <c r="US67" s="2">
        <v>47.71</v>
      </c>
      <c r="UT67" s="2">
        <v>49.22</v>
      </c>
      <c r="UU67" s="2">
        <v>45.14</v>
      </c>
      <c r="UV67" s="2">
        <v>43.5</v>
      </c>
      <c r="UW67" s="2">
        <v>43.47</v>
      </c>
      <c r="UX67" s="2">
        <v>46.73</v>
      </c>
      <c r="UY67" s="2">
        <v>46.17</v>
      </c>
      <c r="UZ67" s="2">
        <v>47.01</v>
      </c>
      <c r="VA67" s="2">
        <v>51.04</v>
      </c>
      <c r="VB67" s="2">
        <v>46.15</v>
      </c>
      <c r="VC67" s="2">
        <v>47.53</v>
      </c>
      <c r="VD67" s="2">
        <v>47.1</v>
      </c>
      <c r="VE67" s="2">
        <v>48.69</v>
      </c>
      <c r="VF67" s="2">
        <v>51.53</v>
      </c>
      <c r="VG67" s="2">
        <v>53.25</v>
      </c>
      <c r="VH67" s="2">
        <v>54.59</v>
      </c>
      <c r="VI67" s="2">
        <v>53.11</v>
      </c>
      <c r="VJ67" s="2">
        <v>56.91</v>
      </c>
      <c r="VK67" s="2">
        <v>63.51</v>
      </c>
      <c r="VL67" s="2">
        <v>62.91</v>
      </c>
      <c r="VM67" s="2">
        <v>63.81</v>
      </c>
      <c r="VN67" s="2">
        <v>70.97</v>
      </c>
      <c r="VO67" s="2">
        <v>70.14</v>
      </c>
      <c r="VP67" s="2">
        <v>61.47</v>
      </c>
      <c r="VQ67" s="2">
        <v>62.33</v>
      </c>
      <c r="VR67" s="2">
        <v>68</v>
      </c>
      <c r="VS67" s="2">
        <v>65.47</v>
      </c>
      <c r="VT67" s="2">
        <v>70.25</v>
      </c>
      <c r="VU67" s="2">
        <v>74.08</v>
      </c>
      <c r="VV67" s="2">
        <v>80.48</v>
      </c>
      <c r="VW67" s="2">
        <v>82.08</v>
      </c>
      <c r="VX67" s="2">
        <v>67.17</v>
      </c>
      <c r="VY67" s="2">
        <v>61.71</v>
      </c>
      <c r="VZ67" s="2">
        <v>63.95</v>
      </c>
      <c r="WA67" s="2">
        <v>66.48</v>
      </c>
      <c r="WB67" s="2">
        <v>64.64</v>
      </c>
      <c r="WC67" s="2">
        <v>67.37</v>
      </c>
      <c r="WD67" s="2">
        <v>68.81</v>
      </c>
      <c r="WE67" s="2">
        <v>66.27</v>
      </c>
      <c r="WF67" s="2">
        <v>67.69</v>
      </c>
      <c r="WG67" s="2">
        <v>73.59999999999999</v>
      </c>
      <c r="WH67" s="2">
        <v>76.56</v>
      </c>
      <c r="WI67" s="2">
        <v>75.5</v>
      </c>
      <c r="WJ67" s="2">
        <v>76.06</v>
      </c>
      <c r="WK67" s="2">
        <v>77.95</v>
      </c>
      <c r="WL67" s="2">
        <v>78.47</v>
      </c>
      <c r="WM67" s="2">
        <v>75.39</v>
      </c>
      <c r="WN67" s="2">
        <v>77.33</v>
      </c>
      <c r="WO67" s="2">
        <v>78.23999999999999</v>
      </c>
      <c r="WP67" s="2">
        <v>75.81</v>
      </c>
      <c r="WQ67" s="2">
        <v>81.59</v>
      </c>
      <c r="WR67" s="2">
        <v>80.70999999999999</v>
      </c>
      <c r="WS67" s="2">
        <v>83.98</v>
      </c>
      <c r="WT67" s="2">
        <v>81.72</v>
      </c>
      <c r="WU67" s="2">
        <v>79.58</v>
      </c>
      <c r="WV67" s="2">
        <v>74.23999999999999</v>
      </c>
      <c r="WW67" s="2">
        <v>65.16</v>
      </c>
      <c r="WX67" s="2">
        <v>73.09999999999999</v>
      </c>
      <c r="WY67" s="2">
        <v>71.8</v>
      </c>
      <c r="WZ67" s="2">
        <v>67.73999999999999</v>
      </c>
      <c r="XA67" s="2">
        <v>60.99</v>
      </c>
      <c r="XB67" s="2">
        <v>64.63</v>
      </c>
      <c r="XC67" s="2">
        <v>62.75</v>
      </c>
      <c r="XD67" s="2">
        <v>67.02</v>
      </c>
      <c r="XE67" s="2">
        <v>70.86</v>
      </c>
      <c r="XF67" s="2">
        <v>69.04000000000001</v>
      </c>
      <c r="XG67" s="2">
        <v>67.43000000000001</v>
      </c>
      <c r="XH67" s="2">
        <v>74.42</v>
      </c>
      <c r="XI67" s="2">
        <v>75.12</v>
      </c>
      <c r="XJ67" s="2">
        <v>80.3</v>
      </c>
      <c r="XK67" s="2">
        <v>81.48</v>
      </c>
      <c r="XL67" s="2">
        <v>79.43000000000001</v>
      </c>
      <c r="XM67" s="2">
        <v>72.51000000000001</v>
      </c>
      <c r="XN67" s="2">
        <v>79.91</v>
      </c>
      <c r="XO67" s="2">
        <v>78.28</v>
      </c>
      <c r="XP67" s="2">
        <v>81.75</v>
      </c>
      <c r="XQ67" s="2">
        <v>76.86</v>
      </c>
      <c r="XR67" s="2">
        <v>61.95</v>
      </c>
      <c r="XS67" s="2">
        <v>67.79000000000001</v>
      </c>
      <c r="XT67" s="2">
        <v>68.13</v>
      </c>
      <c r="XU67" s="2">
        <v>74.09</v>
      </c>
      <c r="XV67" s="2">
        <v>78.92</v>
      </c>
      <c r="XW67" s="2">
        <v>84.53</v>
      </c>
      <c r="XX67" s="2">
        <v>90.19</v>
      </c>
      <c r="XY67" s="2">
        <v>100.06</v>
      </c>
      <c r="XZ67" s="2">
        <v>104.25</v>
      </c>
      <c r="YA67" s="2">
        <v>99.79000000000001</v>
      </c>
      <c r="YB67" s="2">
        <v>102.04</v>
      </c>
      <c r="YC67" s="2">
        <v>101.15</v>
      </c>
      <c r="YD67" s="2">
        <v>100.49</v>
      </c>
      <c r="YE67" s="2">
        <v>107.71</v>
      </c>
      <c r="YF67" s="2">
        <v>107.47</v>
      </c>
      <c r="YG67" s="2">
        <v>106.38</v>
      </c>
      <c r="YH67" s="2">
        <v>108.29</v>
      </c>
      <c r="YI67" s="2">
        <v>101</v>
      </c>
      <c r="YJ67" s="2">
        <v>99.04000000000001</v>
      </c>
      <c r="YK67" s="2">
        <v>100.95</v>
      </c>
      <c r="YL67" s="2">
        <v>97.45999999999999</v>
      </c>
      <c r="YM67" s="2">
        <v>99.41</v>
      </c>
      <c r="YN67" s="2">
        <v>100.55</v>
      </c>
      <c r="YO67" s="2">
        <v>105.79</v>
      </c>
      <c r="YP67" s="2">
        <v>103.58</v>
      </c>
      <c r="ACI67" s="2">
        <v>0</v>
      </c>
      <c r="ACJ67" s="2">
        <v>-0.6</v>
      </c>
      <c r="ACK67" s="2">
        <v>-0.6</v>
      </c>
      <c r="ACL67" s="2">
        <v>3.4</v>
      </c>
      <c r="ACM67" s="2">
        <v>11.1</v>
      </c>
      <c r="ACN67" s="2">
        <v>1</v>
      </c>
      <c r="ACO67" s="2">
        <v>1</v>
      </c>
      <c r="ACP67" s="2">
        <v>4.6</v>
      </c>
      <c r="ACQ67" s="2">
        <v>0</v>
      </c>
      <c r="ACR67" s="2">
        <v>11.2</v>
      </c>
      <c r="ACS67" s="2">
        <v>2.7</v>
      </c>
      <c r="ACT67" s="2">
        <v>-1</v>
      </c>
      <c r="ACU67" s="2">
        <v>9.9</v>
      </c>
      <c r="ACV67" s="2">
        <v>2.8</v>
      </c>
      <c r="ACW67" s="2">
        <v>-3.4</v>
      </c>
      <c r="ACX67" s="2">
        <v>1.9</v>
      </c>
      <c r="ACY67" s="2">
        <v>0</v>
      </c>
      <c r="ACZ67" s="2">
        <v>4</v>
      </c>
      <c r="ADA67" s="2">
        <v>-1.5</v>
      </c>
      <c r="ADB67" s="2">
        <v>1.6</v>
      </c>
      <c r="ADC67" s="2">
        <v>9.300000000000001</v>
      </c>
      <c r="ADD67" s="2">
        <v>-1.1</v>
      </c>
      <c r="ADE67" s="2">
        <v>0.3</v>
      </c>
      <c r="ADF67" s="2">
        <v>0</v>
      </c>
      <c r="ADG67" s="2">
        <v>20.9</v>
      </c>
      <c r="ADH67" s="2">
        <v>2.9</v>
      </c>
      <c r="ADI67" s="2">
        <v>9.9</v>
      </c>
      <c r="ADJ67" s="2">
        <v>8.5</v>
      </c>
      <c r="ADK67" s="2">
        <v>10.4</v>
      </c>
      <c r="ADL67" s="2">
        <v>-2.3</v>
      </c>
      <c r="ADM67" s="2">
        <v>14.4</v>
      </c>
      <c r="ADN67" s="2">
        <v>-4</v>
      </c>
      <c r="ADO67" s="2">
        <v>2.6</v>
      </c>
      <c r="ADP67" s="2">
        <v>7.4</v>
      </c>
      <c r="ADQ67" s="2">
        <v>9.6</v>
      </c>
      <c r="ADR67" s="2">
        <v>-6</v>
      </c>
      <c r="ADS67" s="2">
        <v>4.5</v>
      </c>
      <c r="ADT67" s="2">
        <v>-2</v>
      </c>
      <c r="ADU67" s="2">
        <v>2.9</v>
      </c>
      <c r="ADV67" s="2">
        <v>12.2</v>
      </c>
      <c r="ADW67" s="2">
        <v>0.1</v>
      </c>
      <c r="ADX67" s="2">
        <v>4.1</v>
      </c>
      <c r="ADY67" s="2">
        <v>-4.7</v>
      </c>
      <c r="ADZ67" s="2">
        <v>7.5</v>
      </c>
      <c r="AEA67" s="2">
        <v>4.8</v>
      </c>
      <c r="AEB67" s="2">
        <v>-0.5</v>
      </c>
      <c r="AEC67" s="2">
        <v>3.6</v>
      </c>
      <c r="AED67" s="2">
        <v>0.9</v>
      </c>
      <c r="AEE67" s="2">
        <v>-0.9</v>
      </c>
      <c r="AEF67" s="2">
        <v>2</v>
      </c>
      <c r="AEG67" s="2">
        <v>9.6</v>
      </c>
      <c r="AEH67" s="2">
        <v>2.5</v>
      </c>
      <c r="AEI67" s="2">
        <v>-3.5</v>
      </c>
      <c r="AEJ67" s="2">
        <v>2.4</v>
      </c>
      <c r="AEK67" s="2">
        <v>-11.2</v>
      </c>
      <c r="AEL67" s="2">
        <v>6.3</v>
      </c>
      <c r="AEM67" s="2">
        <v>6.7</v>
      </c>
      <c r="AEN67" s="2">
        <v>2.1</v>
      </c>
      <c r="AEO67" s="2">
        <v>-2.9</v>
      </c>
      <c r="AEP67" s="2">
        <v>-0.5</v>
      </c>
      <c r="AEQ67" s="2">
        <v>4.1</v>
      </c>
      <c r="AER67" s="2">
        <v>0.6</v>
      </c>
      <c r="AES67" s="2">
        <v>-6.1</v>
      </c>
      <c r="AET67" s="2">
        <v>-0.6</v>
      </c>
      <c r="AEU67" s="2">
        <v>-2.4</v>
      </c>
      <c r="AEV67" s="2">
        <v>0</v>
      </c>
      <c r="AEW67" s="2">
        <v>8.300000000000001</v>
      </c>
      <c r="AEX67" s="2">
        <v>1.5</v>
      </c>
      <c r="AEY67" s="2">
        <v>4.7</v>
      </c>
      <c r="AEZ67" s="2">
        <v>6.4</v>
      </c>
      <c r="AFA67" s="2">
        <v>0.1</v>
      </c>
      <c r="AFB67" s="2">
        <v>5.3</v>
      </c>
      <c r="AFC67" s="2">
        <v>20.9</v>
      </c>
      <c r="AFD67" s="2">
        <v>-15.4</v>
      </c>
      <c r="AFE67" s="2">
        <v>-5.5</v>
      </c>
      <c r="AFF67" s="2">
        <v>5.5</v>
      </c>
      <c r="AFG67" s="2">
        <v>-0.3</v>
      </c>
      <c r="AFH67" s="2">
        <v>-1.3</v>
      </c>
      <c r="AFI67" s="2">
        <v>0.5</v>
      </c>
      <c r="AFJ67" s="2">
        <v>4.2</v>
      </c>
      <c r="AFK67" s="2">
        <v>-0.5</v>
      </c>
      <c r="AFL67" s="2">
        <v>-3.3</v>
      </c>
      <c r="AFM67" s="2">
        <v>1</v>
      </c>
      <c r="AFN67" s="2">
        <v>0.2</v>
      </c>
      <c r="AFO67" s="2">
        <v>0.8</v>
      </c>
      <c r="AFP67" s="2">
        <v>-4.3</v>
      </c>
      <c r="AFQ67" s="2">
        <v>4.8</v>
      </c>
      <c r="AFR67" s="2">
        <v>0.6</v>
      </c>
      <c r="AFS67" s="2">
        <v>-2.4</v>
      </c>
      <c r="AFT67" s="2">
        <v>2</v>
      </c>
      <c r="AFU67" s="2">
        <v>1.7</v>
      </c>
      <c r="AFV67" s="2">
        <v>3.7</v>
      </c>
      <c r="AFW67" s="2">
        <v>-1.4</v>
      </c>
      <c r="AFX67" s="2">
        <v>-0.5</v>
      </c>
      <c r="AFY67" s="2">
        <v>3.1</v>
      </c>
      <c r="AFZ67" s="2">
        <v>-2.1</v>
      </c>
      <c r="AGA67" s="2">
        <v>2.7</v>
      </c>
      <c r="AGB67" s="2">
        <v>1.6</v>
      </c>
      <c r="AGC67" s="2">
        <v>-1.6</v>
      </c>
      <c r="AGD67" s="2">
        <v>-0.8</v>
      </c>
      <c r="AGE67" s="2">
        <v>1.2</v>
      </c>
      <c r="AGF67" s="2">
        <v>-4.4</v>
      </c>
      <c r="AGG67" s="2">
        <v>0.9</v>
      </c>
      <c r="AGH67" s="2">
        <v>-2.2</v>
      </c>
      <c r="AGI67" s="2">
        <v>-1.5</v>
      </c>
      <c r="AGJ67" s="2">
        <v>-2.7</v>
      </c>
      <c r="AGK67" s="2">
        <v>5.3</v>
      </c>
      <c r="AGL67" s="2">
        <v>8.800000000000001</v>
      </c>
      <c r="AGM67" s="2">
        <v>0.7</v>
      </c>
      <c r="AGN67" s="2">
        <v>7.8</v>
      </c>
      <c r="AGO67" s="2">
        <v>3.2</v>
      </c>
      <c r="AGP67" s="2">
        <v>10.4</v>
      </c>
      <c r="AGQ67" s="2">
        <v>1.3</v>
      </c>
      <c r="AGR67" s="2">
        <v>-3.6</v>
      </c>
      <c r="AGS67" s="2">
        <v>3.2</v>
      </c>
      <c r="AGT67" s="2">
        <v>-8.300000000000001</v>
      </c>
      <c r="AGU67" s="2">
        <v>-3.6</v>
      </c>
      <c r="AGV67" s="2">
        <v>-0.1</v>
      </c>
      <c r="AGW67" s="2">
        <v>7.5</v>
      </c>
      <c r="AGX67" s="2">
        <v>-1.2</v>
      </c>
      <c r="AGY67" s="2">
        <v>1.8</v>
      </c>
      <c r="AGZ67" s="2">
        <v>8.6</v>
      </c>
      <c r="AHA67" s="2">
        <v>-9.6</v>
      </c>
      <c r="AHB67" s="2">
        <v>3</v>
      </c>
      <c r="AHC67" s="2">
        <v>-0.9</v>
      </c>
      <c r="AHD67" s="2">
        <v>3.4</v>
      </c>
      <c r="AHE67" s="2">
        <v>5.8</v>
      </c>
      <c r="AHF67" s="2">
        <v>3.3</v>
      </c>
      <c r="AHG67" s="2">
        <v>2.5</v>
      </c>
      <c r="AHH67" s="2">
        <v>-2.7</v>
      </c>
      <c r="AHI67" s="2">
        <v>7.2</v>
      </c>
      <c r="AHJ67" s="2">
        <v>11.6</v>
      </c>
      <c r="AHK67" s="2">
        <v>-0.9</v>
      </c>
      <c r="AHL67" s="2">
        <v>1.4</v>
      </c>
      <c r="AHM67" s="2">
        <v>11.2</v>
      </c>
      <c r="AHN67" s="2">
        <v>-1.2</v>
      </c>
      <c r="AHO67" s="2">
        <v>-12.4</v>
      </c>
      <c r="AHP67" s="2">
        <v>1.4</v>
      </c>
      <c r="AHQ67" s="2">
        <v>9.1</v>
      </c>
      <c r="AHR67" s="2">
        <v>-3.7</v>
      </c>
      <c r="AHS67" s="2">
        <v>7.3</v>
      </c>
      <c r="AHT67" s="2">
        <v>5.5</v>
      </c>
      <c r="AHU67" s="2">
        <v>8.6</v>
      </c>
      <c r="AHV67" s="2">
        <v>2</v>
      </c>
      <c r="AHW67" s="2">
        <v>-18.2</v>
      </c>
      <c r="AHX67" s="2">
        <v>-8.1</v>
      </c>
      <c r="AHY67" s="2">
        <v>3.6</v>
      </c>
      <c r="AHZ67" s="2">
        <v>4</v>
      </c>
      <c r="AIA67" s="2">
        <v>-2.8</v>
      </c>
      <c r="AIB67" s="2">
        <v>4.2</v>
      </c>
      <c r="AIC67" s="2">
        <v>2.1</v>
      </c>
      <c r="AID67" s="2">
        <v>-3.7</v>
      </c>
      <c r="AIE67" s="2">
        <v>2.1</v>
      </c>
      <c r="AIF67" s="2">
        <v>8.699999999999999</v>
      </c>
      <c r="AIG67" s="2">
        <v>4</v>
      </c>
      <c r="AIH67" s="2">
        <v>-1.4</v>
      </c>
      <c r="AII67" s="2">
        <v>0.7</v>
      </c>
      <c r="AIJ67" s="2">
        <v>2.5</v>
      </c>
      <c r="AIK67" s="2">
        <v>0.7</v>
      </c>
      <c r="AIL67" s="2">
        <v>-3.9</v>
      </c>
      <c r="AIM67" s="2">
        <v>2.6</v>
      </c>
      <c r="AIN67" s="2">
        <v>1.2</v>
      </c>
      <c r="AIO67" s="2">
        <v>-3.1</v>
      </c>
      <c r="AIP67" s="2">
        <v>7.6</v>
      </c>
      <c r="AIQ67" s="2">
        <v>-1.1</v>
      </c>
      <c r="AIR67" s="2">
        <v>4.1</v>
      </c>
      <c r="AIS67" s="2">
        <v>-2.7</v>
      </c>
      <c r="AIT67" s="2">
        <v>-2.6</v>
      </c>
      <c r="AIU67" s="2">
        <v>-6.7</v>
      </c>
      <c r="AIV67" s="2">
        <v>-12.2</v>
      </c>
      <c r="AIW67" s="2">
        <v>12.2</v>
      </c>
      <c r="AIX67" s="2">
        <v>-1.8</v>
      </c>
      <c r="AIY67" s="2">
        <v>-5.7</v>
      </c>
      <c r="AIZ67" s="2">
        <v>-10</v>
      </c>
      <c r="AJA67" s="2">
        <v>6</v>
      </c>
      <c r="AJB67" s="2">
        <v>-2.9</v>
      </c>
      <c r="AJC67" s="2">
        <v>6.8</v>
      </c>
      <c r="AJD67" s="2">
        <v>5.7</v>
      </c>
      <c r="AJE67" s="2">
        <v>-2.6</v>
      </c>
      <c r="AJF67" s="2">
        <v>-2.3</v>
      </c>
      <c r="AJG67" s="2">
        <v>10.4</v>
      </c>
      <c r="AJH67" s="2">
        <v>0.9</v>
      </c>
      <c r="AJI67" s="2">
        <v>6.9</v>
      </c>
      <c r="AJJ67" s="2">
        <v>1.5</v>
      </c>
      <c r="AJK67" s="2">
        <v>-2.5</v>
      </c>
      <c r="AJL67" s="2">
        <v>-8.699999999999999</v>
      </c>
      <c r="AJM67" s="2">
        <v>10.2</v>
      </c>
      <c r="AJN67" s="2">
        <v>-2</v>
      </c>
      <c r="AJO67" s="2">
        <v>4.4</v>
      </c>
      <c r="AJP67" s="2">
        <v>-6</v>
      </c>
      <c r="AJQ67" s="2">
        <v>-19.4</v>
      </c>
      <c r="AJR67" s="2">
        <v>9.4</v>
      </c>
      <c r="AJS67" s="2">
        <v>0.5</v>
      </c>
      <c r="AJT67" s="2">
        <v>8.699999999999999</v>
      </c>
      <c r="AJU67" s="2">
        <v>6.5</v>
      </c>
      <c r="AJV67" s="2">
        <v>7.1</v>
      </c>
      <c r="AJW67" s="2">
        <v>6.7</v>
      </c>
      <c r="AJX67" s="2">
        <v>10.9</v>
      </c>
      <c r="AJY67" s="2">
        <v>4.2</v>
      </c>
      <c r="AJZ67" s="2">
        <v>-4.3</v>
      </c>
      <c r="AKA67" s="2">
        <v>2.3</v>
      </c>
      <c r="AKB67" s="2">
        <v>-0.9</v>
      </c>
      <c r="AKC67" s="2">
        <v>-0.7</v>
      </c>
      <c r="AKD67" s="2">
        <v>7.2</v>
      </c>
      <c r="AKE67" s="2">
        <v>-0.2</v>
      </c>
      <c r="AKF67" s="2">
        <v>-1</v>
      </c>
      <c r="AKG67" s="2">
        <v>1.8</v>
      </c>
      <c r="AKH67" s="2">
        <v>-6.7</v>
      </c>
      <c r="AKI67" s="2">
        <v>-1.9</v>
      </c>
      <c r="AKJ67" s="2">
        <v>1.9</v>
      </c>
      <c r="AKK67" s="2">
        <v>-3.5</v>
      </c>
      <c r="AKL67" s="2">
        <v>2</v>
      </c>
      <c r="AKM67" s="2">
        <v>1.1</v>
      </c>
      <c r="AKN67" s="2">
        <v>5.2</v>
      </c>
      <c r="AKO67" s="2">
        <v>-2.1</v>
      </c>
      <c r="AKP67" s="2">
        <v>3.29</v>
      </c>
      <c r="AKQ67" s="2">
        <v>3.46</v>
      </c>
      <c r="AKR67" s="2">
        <v>3.39</v>
      </c>
    </row>
    <row r="68">
      <c r="A68" t="inlineStr">
        <is>
          <t>Maintenance and repair of motor vehicles</t>
        </is>
      </c>
      <c r="B68" t="inlineStr">
        <is>
          <t>Private motoring</t>
        </is>
      </c>
      <c r="C68">
        <v>3</v>
      </c>
      <c r="D68">
        <v>2.05</v>
      </c>
      <c r="E68" s="3">
        <f>D68/11.14*0.11149703832752614</f>
        <v>0.020517857142857143</v>
      </c>
      <c r="F68" s="3">
        <f>E68-D68/100</f>
        <v>1.7857142857145847e-05</v>
      </c>
      <c r="G68" s="3">
        <f>D68/11.14</f>
        <v>0.18402154398563733</v>
      </c>
      <c r="CI68" s="2">
        <v>94.55</v>
      </c>
      <c r="CJ68" s="2">
        <v>95.02</v>
      </c>
      <c r="CK68" s="2">
        <v>94.78</v>
      </c>
      <c r="CL68" s="2">
        <v>94.59</v>
      </c>
      <c r="CM68" s="2">
        <v>95.25</v>
      </c>
      <c r="CN68" s="2">
        <v>95.5</v>
      </c>
      <c r="CO68" s="2">
        <v>95.66</v>
      </c>
      <c r="CP68" s="2">
        <v>96.34</v>
      </c>
      <c r="CQ68" s="2">
        <v>96.65000000000001</v>
      </c>
      <c r="CR68" s="2">
        <v>96.7</v>
      </c>
      <c r="CS68" s="2">
        <v>97.02</v>
      </c>
      <c r="CT68" s="2">
        <v>97.40000000000001</v>
      </c>
      <c r="CU68" s="2">
        <v>98.09999999999999</v>
      </c>
      <c r="CV68" s="2">
        <v>98.44</v>
      </c>
      <c r="CW68" s="2">
        <v>98.47</v>
      </c>
      <c r="CX68" s="2">
        <v>99.43000000000001</v>
      </c>
      <c r="CY68" s="2">
        <v>99.92</v>
      </c>
      <c r="CZ68" s="2">
        <v>100</v>
      </c>
      <c r="DA68" s="2">
        <v>100.48</v>
      </c>
      <c r="DB68" s="2">
        <v>101.25</v>
      </c>
      <c r="DC68" s="2">
        <v>101.2</v>
      </c>
      <c r="DD68" s="2">
        <v>101.63</v>
      </c>
      <c r="DE68" s="2">
        <v>102.8</v>
      </c>
      <c r="DF68" s="2">
        <v>103.2</v>
      </c>
      <c r="DG68" s="2">
        <v>103.68</v>
      </c>
      <c r="DH68" s="2">
        <v>104.63</v>
      </c>
      <c r="DI68" s="2">
        <v>104.91</v>
      </c>
      <c r="DJ68" s="2">
        <v>105.25</v>
      </c>
      <c r="GL68" s="2">
        <v>3.8</v>
      </c>
      <c r="GM68" s="2">
        <v>3.6</v>
      </c>
      <c r="GN68" s="2">
        <v>3.9</v>
      </c>
      <c r="GO68" s="2">
        <v>5.1</v>
      </c>
      <c r="GP68" s="2">
        <v>4.9</v>
      </c>
      <c r="GQ68" s="2">
        <v>4.7</v>
      </c>
      <c r="GR68" s="2">
        <v>5</v>
      </c>
      <c r="GS68" s="2">
        <v>5.1</v>
      </c>
      <c r="GT68" s="2">
        <v>4.7</v>
      </c>
      <c r="GU68" s="2">
        <v>5.1</v>
      </c>
      <c r="GV68" s="2">
        <v>6</v>
      </c>
      <c r="GW68" s="2">
        <v>6</v>
      </c>
      <c r="GX68" s="2">
        <v>5.7</v>
      </c>
      <c r="GY68" s="2">
        <v>6.3</v>
      </c>
      <c r="GZ68" s="2">
        <v>6.5</v>
      </c>
      <c r="HA68" s="2">
        <v>5.9</v>
      </c>
      <c r="KC68" s="2">
        <v>0.5</v>
      </c>
      <c r="KD68" s="2">
        <v>-0.3</v>
      </c>
      <c r="KE68" s="2">
        <v>-0.2</v>
      </c>
      <c r="KF68" s="2">
        <v>0.7</v>
      </c>
      <c r="KG68" s="2">
        <v>0.3</v>
      </c>
      <c r="KH68" s="2">
        <v>0.2</v>
      </c>
      <c r="KI68" s="2">
        <v>0.7</v>
      </c>
      <c r="KJ68" s="2">
        <v>0.3</v>
      </c>
      <c r="KK68" s="2">
        <v>0.1</v>
      </c>
      <c r="KL68" s="2">
        <v>0.3</v>
      </c>
      <c r="KM68" s="2">
        <v>0.4</v>
      </c>
      <c r="KN68" s="2">
        <v>0.7</v>
      </c>
      <c r="KO68" s="2">
        <v>0.3</v>
      </c>
      <c r="KP68" s="2">
        <v>0</v>
      </c>
      <c r="KQ68" s="2">
        <v>1</v>
      </c>
      <c r="KR68" s="2">
        <v>0.5</v>
      </c>
      <c r="KS68" s="2">
        <v>0.1</v>
      </c>
      <c r="KT68" s="2">
        <v>0.5</v>
      </c>
      <c r="KU68" s="2">
        <v>0.8</v>
      </c>
      <c r="KV68" s="2">
        <v>0</v>
      </c>
      <c r="KW68" s="2">
        <v>0.4</v>
      </c>
      <c r="KX68" s="2">
        <v>1.2</v>
      </c>
      <c r="KY68" s="2">
        <v>0.4</v>
      </c>
      <c r="KZ68" s="2">
        <v>0.5</v>
      </c>
      <c r="LA68" s="2">
        <v>0.9</v>
      </c>
      <c r="LB68" s="2">
        <v>0.3</v>
      </c>
      <c r="LC68" s="2">
        <v>0.3</v>
      </c>
      <c r="LD68" s="2">
        <v>2</v>
      </c>
      <c r="LE68" s="2">
        <v>2</v>
      </c>
      <c r="LF68" s="2">
        <v>2.01</v>
      </c>
      <c r="LG68" s="2">
        <v>2.01</v>
      </c>
      <c r="LH68" s="2">
        <v>2.03</v>
      </c>
      <c r="LI68" s="2">
        <v>2.04</v>
      </c>
      <c r="LJ68" s="2">
        <v>2.04</v>
      </c>
      <c r="LK68" s="2">
        <v>2.06</v>
      </c>
      <c r="LL68" s="2">
        <v>2.07</v>
      </c>
      <c r="LM68" s="2">
        <v>2.07</v>
      </c>
      <c r="LN68" s="2">
        <v>2.08</v>
      </c>
      <c r="LO68" s="2">
        <v>2.09</v>
      </c>
      <c r="LP68" s="2">
        <v>2.09</v>
      </c>
      <c r="LQ68" s="2">
        <v>2.1</v>
      </c>
      <c r="LR68" s="2">
        <v>2.13</v>
      </c>
      <c r="LS68" s="2">
        <v>2.13</v>
      </c>
      <c r="LT68" s="2">
        <v>2.14</v>
      </c>
      <c r="LU68" s="2">
        <v>2.16</v>
      </c>
      <c r="LV68" s="2">
        <v>2.17</v>
      </c>
      <c r="LW68" s="2">
        <v>2.18</v>
      </c>
      <c r="LX68" s="2">
        <v>0</v>
      </c>
      <c r="LY68" s="2">
        <v>0.01</v>
      </c>
      <c r="LZ68" s="2">
        <v>0</v>
      </c>
      <c r="MA68" s="2">
        <v>0.02</v>
      </c>
      <c r="MB68" s="2">
        <v>0.01</v>
      </c>
      <c r="MC68" s="2">
        <v>0</v>
      </c>
      <c r="MD68" s="2">
        <v>0.02</v>
      </c>
      <c r="ME68" s="2">
        <v>0.01</v>
      </c>
      <c r="MF68" s="2">
        <v>0</v>
      </c>
      <c r="MG68" s="2">
        <v>0.01</v>
      </c>
      <c r="MH68" s="2">
        <v>0.01</v>
      </c>
      <c r="MI68" s="2">
        <v>0</v>
      </c>
      <c r="MJ68" s="2">
        <v>0.01</v>
      </c>
      <c r="MK68" s="2">
        <v>0.03</v>
      </c>
      <c r="ML68" s="2">
        <v>0</v>
      </c>
      <c r="MM68" s="2">
        <v>0.01</v>
      </c>
      <c r="MN68" s="2">
        <v>0.02</v>
      </c>
      <c r="MO68" s="2">
        <v>0.01</v>
      </c>
      <c r="MP68" s="2">
        <v>0.01</v>
      </c>
      <c r="RO68" s="2">
        <v>19.3</v>
      </c>
      <c r="RP68" s="2">
        <v>19.58</v>
      </c>
      <c r="RQ68" s="2">
        <v>19.9</v>
      </c>
      <c r="RR68" s="2">
        <v>20.26</v>
      </c>
      <c r="RS68" s="2">
        <v>20.7</v>
      </c>
      <c r="RT68" s="2">
        <v>21.46</v>
      </c>
      <c r="RU68" s="2">
        <v>21.78</v>
      </c>
      <c r="RV68" s="2">
        <v>23.18</v>
      </c>
      <c r="RW68" s="2">
        <v>23.74</v>
      </c>
      <c r="RX68" s="2">
        <v>24.22</v>
      </c>
      <c r="RY68" s="2">
        <v>24.94</v>
      </c>
      <c r="RZ68" s="2">
        <v>25.22</v>
      </c>
      <c r="SA68" s="2">
        <v>25.62</v>
      </c>
      <c r="SB68" s="2">
        <v>25.9</v>
      </c>
      <c r="SC68" s="2">
        <v>26.42</v>
      </c>
      <c r="SD68" s="2">
        <v>26.78</v>
      </c>
      <c r="SE68" s="2">
        <v>27.02</v>
      </c>
      <c r="SF68" s="2">
        <v>27.38</v>
      </c>
      <c r="SG68" s="2">
        <v>27.66</v>
      </c>
      <c r="SH68" s="2">
        <v>28.3</v>
      </c>
      <c r="SI68" s="2">
        <v>28.82</v>
      </c>
      <c r="SJ68" s="2">
        <v>29.51</v>
      </c>
      <c r="SK68" s="2">
        <v>30.43</v>
      </c>
      <c r="SL68" s="2">
        <v>31.27</v>
      </c>
      <c r="SM68" s="2">
        <v>32.15</v>
      </c>
      <c r="SN68" s="2">
        <v>32.83</v>
      </c>
      <c r="SO68" s="2">
        <v>33.79</v>
      </c>
      <c r="SP68" s="2">
        <v>34.63</v>
      </c>
      <c r="SQ68" s="2">
        <v>35.11</v>
      </c>
      <c r="SR68" s="2">
        <v>35.55</v>
      </c>
      <c r="SS68" s="2">
        <v>35.83</v>
      </c>
      <c r="ST68" s="2">
        <v>36.71</v>
      </c>
      <c r="SU68" s="2">
        <v>37.39</v>
      </c>
      <c r="SV68" s="2">
        <v>37.95</v>
      </c>
      <c r="SW68" s="2">
        <v>38.55</v>
      </c>
      <c r="SX68" s="2">
        <v>38.43</v>
      </c>
      <c r="SY68" s="2">
        <v>38.83</v>
      </c>
      <c r="SZ68" s="2">
        <v>39.59</v>
      </c>
      <c r="TA68" s="2">
        <v>40.27</v>
      </c>
      <c r="TB68" s="2">
        <v>41.44</v>
      </c>
      <c r="TC68" s="2">
        <v>42.08</v>
      </c>
      <c r="TD68" s="2">
        <v>42.68</v>
      </c>
      <c r="TE68" s="2">
        <v>43.2</v>
      </c>
      <c r="TF68" s="2">
        <v>43.44</v>
      </c>
      <c r="TG68" s="2">
        <v>43.92</v>
      </c>
      <c r="TH68" s="2">
        <v>43.96</v>
      </c>
      <c r="TI68" s="2">
        <v>44.16</v>
      </c>
      <c r="TJ68" s="2">
        <v>43.96</v>
      </c>
      <c r="TK68" s="2">
        <v>44</v>
      </c>
      <c r="TL68" s="2">
        <v>43.96</v>
      </c>
      <c r="TM68" s="2">
        <v>44.36</v>
      </c>
      <c r="TN68" s="2">
        <v>44.44</v>
      </c>
      <c r="TO68" s="2">
        <v>44.64</v>
      </c>
      <c r="TP68" s="2">
        <v>44.96</v>
      </c>
      <c r="TQ68" s="2">
        <v>45.12</v>
      </c>
      <c r="TR68" s="2">
        <v>45.12</v>
      </c>
      <c r="TS68" s="2">
        <v>45.6</v>
      </c>
      <c r="TT68" s="2">
        <v>45.72</v>
      </c>
      <c r="TU68" s="2">
        <v>45.6</v>
      </c>
      <c r="TV68" s="2">
        <v>45.64</v>
      </c>
      <c r="TW68" s="2">
        <v>46.24</v>
      </c>
      <c r="TX68" s="2">
        <v>46.68</v>
      </c>
      <c r="TY68" s="2">
        <v>46.88</v>
      </c>
      <c r="TZ68" s="2">
        <v>47.4</v>
      </c>
      <c r="UA68" s="2">
        <v>47.64</v>
      </c>
      <c r="UB68" s="2">
        <v>47.76</v>
      </c>
      <c r="UC68" s="2">
        <v>48.16</v>
      </c>
      <c r="UD68" s="2">
        <v>47.76</v>
      </c>
      <c r="UE68" s="2">
        <v>47.64</v>
      </c>
      <c r="UF68" s="2">
        <v>47.52</v>
      </c>
      <c r="UG68" s="2">
        <v>47.56</v>
      </c>
      <c r="UH68" s="2">
        <v>47.8</v>
      </c>
      <c r="UI68" s="2">
        <v>48.32</v>
      </c>
      <c r="UJ68" s="2">
        <v>48.74</v>
      </c>
      <c r="UK68" s="2">
        <v>49.15</v>
      </c>
      <c r="UL68" s="2">
        <v>49.25</v>
      </c>
      <c r="UM68" s="2">
        <v>49.52</v>
      </c>
      <c r="UN68" s="2">
        <v>47.8</v>
      </c>
      <c r="UO68" s="2">
        <v>47.9</v>
      </c>
      <c r="UP68" s="2">
        <v>47.92</v>
      </c>
      <c r="UQ68" s="2">
        <v>48.82</v>
      </c>
      <c r="UR68" s="2">
        <v>49.43</v>
      </c>
      <c r="US68" s="2">
        <v>50.82</v>
      </c>
      <c r="UT68" s="2">
        <v>51.34</v>
      </c>
      <c r="UU68" s="2">
        <v>52.05</v>
      </c>
      <c r="UV68" s="2">
        <v>52.4</v>
      </c>
      <c r="UW68" s="2">
        <v>52.53</v>
      </c>
      <c r="UX68" s="2">
        <v>52.81</v>
      </c>
      <c r="UY68" s="2">
        <v>53.82</v>
      </c>
      <c r="UZ68" s="2">
        <v>53.7</v>
      </c>
      <c r="VA68" s="2">
        <v>54.26</v>
      </c>
      <c r="VB68" s="2">
        <v>54.51</v>
      </c>
      <c r="VC68" s="2">
        <v>55.19</v>
      </c>
      <c r="VD68" s="2">
        <v>55.16</v>
      </c>
      <c r="VE68" s="2">
        <v>55.85</v>
      </c>
      <c r="VF68" s="2">
        <v>56.02</v>
      </c>
      <c r="VG68" s="2">
        <v>56.9</v>
      </c>
      <c r="VH68" s="2">
        <v>56.92</v>
      </c>
      <c r="VI68" s="2">
        <v>57.67</v>
      </c>
      <c r="VJ68" s="2">
        <v>58.34</v>
      </c>
      <c r="VK68" s="2">
        <v>57.85</v>
      </c>
      <c r="VL68" s="2">
        <v>58.2</v>
      </c>
      <c r="VM68" s="2">
        <v>59.04</v>
      </c>
      <c r="VN68" s="2">
        <v>59.58</v>
      </c>
      <c r="VO68" s="2">
        <v>59.97</v>
      </c>
      <c r="VP68" s="2">
        <v>60.56</v>
      </c>
      <c r="VQ68" s="2">
        <v>60.62</v>
      </c>
      <c r="VR68" s="2">
        <v>61.17</v>
      </c>
      <c r="VS68" s="2">
        <v>61.77</v>
      </c>
      <c r="VT68" s="2">
        <v>62.33</v>
      </c>
      <c r="VU68" s="2">
        <v>62.72</v>
      </c>
      <c r="VV68" s="2">
        <v>63.27</v>
      </c>
      <c r="VW68" s="2">
        <v>64.05</v>
      </c>
      <c r="VX68" s="2">
        <v>64.59999999999999</v>
      </c>
      <c r="VY68" s="2">
        <v>65.34999999999999</v>
      </c>
      <c r="VZ68" s="2">
        <v>65.90000000000001</v>
      </c>
      <c r="WA68" s="2">
        <v>66.45</v>
      </c>
      <c r="WB68" s="2">
        <v>66.72</v>
      </c>
      <c r="WC68" s="2">
        <v>66.76000000000001</v>
      </c>
      <c r="WD68" s="2">
        <v>67.33</v>
      </c>
      <c r="WE68" s="2">
        <v>67.84</v>
      </c>
      <c r="WF68" s="2">
        <v>66.51000000000001</v>
      </c>
      <c r="WG68" s="2">
        <v>66.77</v>
      </c>
      <c r="WH68" s="2">
        <v>66.19</v>
      </c>
      <c r="WI68" s="2">
        <v>68.64</v>
      </c>
      <c r="WJ68" s="2">
        <v>68.83</v>
      </c>
      <c r="WK68" s="2">
        <v>69.28</v>
      </c>
      <c r="WL68" s="2">
        <v>69.52</v>
      </c>
      <c r="WM68" s="2">
        <v>71.18000000000001</v>
      </c>
      <c r="WN68" s="2">
        <v>71.39</v>
      </c>
      <c r="WO68" s="2">
        <v>72.17</v>
      </c>
      <c r="WP68" s="2">
        <v>72.70999999999999</v>
      </c>
      <c r="WQ68" s="2">
        <v>72.97</v>
      </c>
      <c r="WR68" s="2">
        <v>73.66</v>
      </c>
      <c r="WS68" s="2">
        <v>71.18000000000001</v>
      </c>
      <c r="WT68" s="2">
        <v>71.25</v>
      </c>
      <c r="WU68" s="2">
        <v>71.33</v>
      </c>
      <c r="WV68" s="2">
        <v>72.29000000000001</v>
      </c>
      <c r="WW68" s="2">
        <v>72.38</v>
      </c>
      <c r="WX68" s="2">
        <v>72.69</v>
      </c>
      <c r="WY68" s="2">
        <v>73.39</v>
      </c>
      <c r="WZ68" s="2">
        <v>74.66</v>
      </c>
      <c r="XA68" s="2">
        <v>74.28</v>
      </c>
      <c r="XB68" s="2">
        <v>74.20999999999999</v>
      </c>
      <c r="XC68" s="2">
        <v>74.43000000000001</v>
      </c>
      <c r="XD68" s="2">
        <v>74.56999999999999</v>
      </c>
      <c r="XE68" s="2">
        <v>74.69</v>
      </c>
      <c r="XF68" s="2">
        <v>74.88</v>
      </c>
      <c r="XG68" s="2">
        <v>75.23</v>
      </c>
      <c r="XH68" s="2">
        <v>74.95</v>
      </c>
      <c r="XI68" s="2">
        <v>75.87</v>
      </c>
      <c r="XJ68" s="2">
        <v>76.14</v>
      </c>
      <c r="XK68" s="2">
        <v>76.56</v>
      </c>
      <c r="XL68" s="2">
        <v>77.01000000000001</v>
      </c>
      <c r="XM68" s="2">
        <v>77.43000000000001</v>
      </c>
      <c r="XN68" s="2">
        <v>78.23</v>
      </c>
      <c r="XO68" s="2">
        <v>78.48999999999999</v>
      </c>
      <c r="XP68" s="2">
        <v>79.56</v>
      </c>
      <c r="XQ68" s="2">
        <v>80.03</v>
      </c>
      <c r="XR68" s="2">
        <v>80.68000000000001</v>
      </c>
      <c r="XS68" s="2">
        <v>80.56999999999999</v>
      </c>
      <c r="XT68" s="2">
        <v>80.64</v>
      </c>
      <c r="XU68" s="2">
        <v>81.45</v>
      </c>
      <c r="XV68" s="2">
        <v>82.40000000000001</v>
      </c>
      <c r="XW68" s="2">
        <v>83.23999999999999</v>
      </c>
      <c r="XX68" s="2">
        <v>84.03</v>
      </c>
      <c r="XY68" s="2">
        <v>85.20999999999999</v>
      </c>
      <c r="XZ68" s="2">
        <v>86.7</v>
      </c>
      <c r="YA68" s="2">
        <v>88.42</v>
      </c>
      <c r="YB68" s="2">
        <v>89.23999999999999</v>
      </c>
      <c r="YC68" s="2">
        <v>89.84999999999999</v>
      </c>
      <c r="YD68" s="2">
        <v>90.3</v>
      </c>
      <c r="YE68" s="2">
        <v>91.45999999999999</v>
      </c>
      <c r="YF68" s="2">
        <v>92.73999999999999</v>
      </c>
      <c r="YG68" s="2">
        <v>93.76000000000001</v>
      </c>
      <c r="YH68" s="2">
        <v>95.09999999999999</v>
      </c>
      <c r="YI68" s="2">
        <v>95.42</v>
      </c>
      <c r="YJ68" s="2">
        <v>96.52</v>
      </c>
      <c r="YK68" s="2">
        <v>97.20999999999999</v>
      </c>
      <c r="YL68" s="2">
        <v>98.63</v>
      </c>
      <c r="YM68" s="2">
        <v>99.78</v>
      </c>
      <c r="YN68" s="2">
        <v>100.98</v>
      </c>
      <c r="YO68" s="2">
        <v>102.54</v>
      </c>
      <c r="YP68" s="2">
        <v>104.41</v>
      </c>
      <c r="ADO68" s="2">
        <v>1.5</v>
      </c>
      <c r="ADP68" s="2">
        <v>1.6</v>
      </c>
      <c r="ADQ68" s="2">
        <v>1.8</v>
      </c>
      <c r="ADR68" s="2">
        <v>2.2</v>
      </c>
      <c r="ADS68" s="2">
        <v>3.7</v>
      </c>
      <c r="ADT68" s="2">
        <v>1.5</v>
      </c>
      <c r="ADU68" s="2">
        <v>6.4</v>
      </c>
      <c r="ADV68" s="2">
        <v>2.4</v>
      </c>
      <c r="ADW68" s="2">
        <v>2</v>
      </c>
      <c r="ADX68" s="2">
        <v>3</v>
      </c>
      <c r="ADY68" s="2">
        <v>1.1</v>
      </c>
      <c r="ADZ68" s="2">
        <v>1.6</v>
      </c>
      <c r="AEA68" s="2">
        <v>1.1</v>
      </c>
      <c r="AEB68" s="2">
        <v>2</v>
      </c>
      <c r="AEC68" s="2">
        <v>1.4</v>
      </c>
      <c r="AED68" s="2">
        <v>0.9</v>
      </c>
      <c r="AEE68" s="2">
        <v>1.3</v>
      </c>
      <c r="AEF68" s="2">
        <v>1</v>
      </c>
      <c r="AEG68" s="2">
        <v>2.3</v>
      </c>
      <c r="AEH68" s="2">
        <v>1.8</v>
      </c>
      <c r="AEI68" s="2">
        <v>2.4</v>
      </c>
      <c r="AEJ68" s="2">
        <v>3.1</v>
      </c>
      <c r="AEK68" s="2">
        <v>2.8</v>
      </c>
      <c r="AEL68" s="2">
        <v>2.8</v>
      </c>
      <c r="AEM68" s="2">
        <v>2.1</v>
      </c>
      <c r="AEN68" s="2">
        <v>2.9</v>
      </c>
      <c r="AEO68" s="2">
        <v>2.5</v>
      </c>
      <c r="AEP68" s="2">
        <v>1.4</v>
      </c>
      <c r="AEQ68" s="2">
        <v>1.3</v>
      </c>
      <c r="AER68" s="2">
        <v>0.8</v>
      </c>
      <c r="AES68" s="2">
        <v>2.5</v>
      </c>
      <c r="AET68" s="2">
        <v>1.9</v>
      </c>
      <c r="AEU68" s="2">
        <v>1.5</v>
      </c>
      <c r="AEV68" s="2">
        <v>1.6</v>
      </c>
      <c r="AEW68" s="2">
        <v>-0.3</v>
      </c>
      <c r="AEX68" s="2">
        <v>1</v>
      </c>
      <c r="AEY68" s="2">
        <v>2</v>
      </c>
      <c r="AEZ68" s="2">
        <v>1.7</v>
      </c>
      <c r="AFA68" s="2">
        <v>2.9</v>
      </c>
      <c r="AFB68" s="2">
        <v>1.5</v>
      </c>
      <c r="AFC68" s="2">
        <v>1.4</v>
      </c>
      <c r="AFD68" s="2">
        <v>1.2</v>
      </c>
      <c r="AFE68" s="2">
        <v>0.6</v>
      </c>
      <c r="AFF68" s="2">
        <v>1.1</v>
      </c>
      <c r="AFG68" s="2">
        <v>0.1</v>
      </c>
      <c r="AFH68" s="2">
        <v>0.5</v>
      </c>
      <c r="AFI68" s="2">
        <v>-0.5</v>
      </c>
      <c r="AFJ68" s="2">
        <v>0.1</v>
      </c>
      <c r="AFK68" s="2">
        <v>-0.1</v>
      </c>
      <c r="AFL68" s="2">
        <v>0.9</v>
      </c>
      <c r="AFM68" s="2">
        <v>0.2</v>
      </c>
      <c r="AFN68" s="2">
        <v>0.5</v>
      </c>
      <c r="AFO68" s="2">
        <v>0.7</v>
      </c>
      <c r="AFP68" s="2">
        <v>0.4</v>
      </c>
      <c r="AFQ68" s="2">
        <v>0</v>
      </c>
      <c r="AFR68" s="2">
        <v>1.1</v>
      </c>
      <c r="AFS68" s="2">
        <v>0.3</v>
      </c>
      <c r="AFT68" s="2">
        <v>-0.3</v>
      </c>
      <c r="AFU68" s="2">
        <v>0.1</v>
      </c>
      <c r="AFV68" s="2">
        <v>1.3</v>
      </c>
      <c r="AFW68" s="2">
        <v>1</v>
      </c>
      <c r="AFX68" s="2">
        <v>0.4</v>
      </c>
      <c r="AFY68" s="2">
        <v>1.1</v>
      </c>
      <c r="AFZ68" s="2">
        <v>0.5</v>
      </c>
      <c r="AGA68" s="2">
        <v>0.3</v>
      </c>
      <c r="AGB68" s="2">
        <v>0.8</v>
      </c>
      <c r="AGC68" s="2">
        <v>-0.8</v>
      </c>
      <c r="AGD68" s="2">
        <v>-0.3</v>
      </c>
      <c r="AGE68" s="2">
        <v>-0.3</v>
      </c>
      <c r="AGF68" s="2">
        <v>0.1</v>
      </c>
      <c r="AGG68" s="2">
        <v>0.5</v>
      </c>
      <c r="AGH68" s="2">
        <v>1.1</v>
      </c>
      <c r="AGI68" s="2">
        <v>0.9</v>
      </c>
      <c r="AGJ68" s="2">
        <v>0.8</v>
      </c>
      <c r="AGK68" s="2">
        <v>0.2</v>
      </c>
      <c r="AGL68" s="2">
        <v>0.5</v>
      </c>
      <c r="AGM68" s="2">
        <v>-3.5</v>
      </c>
      <c r="AGN68" s="2">
        <v>0.2</v>
      </c>
      <c r="AGO68" s="2">
        <v>0</v>
      </c>
      <c r="AGP68" s="2">
        <v>1.9</v>
      </c>
      <c r="AGQ68" s="2">
        <v>1.2</v>
      </c>
      <c r="AGR68" s="2">
        <v>2.8</v>
      </c>
      <c r="AGS68" s="2">
        <v>1</v>
      </c>
      <c r="AGT68" s="2">
        <v>1.4</v>
      </c>
      <c r="AGU68" s="2">
        <v>0.7</v>
      </c>
      <c r="AGV68" s="2">
        <v>0.2</v>
      </c>
      <c r="AGW68" s="2">
        <v>0.5</v>
      </c>
      <c r="AGX68" s="2">
        <v>1.9</v>
      </c>
      <c r="AGY68" s="2">
        <v>-0.2</v>
      </c>
      <c r="AGZ68" s="2">
        <v>1</v>
      </c>
      <c r="AHA68" s="2">
        <v>0.5</v>
      </c>
      <c r="AHB68" s="2">
        <v>1.2</v>
      </c>
      <c r="AHC68" s="2">
        <v>-0.1</v>
      </c>
      <c r="AHD68" s="2">
        <v>1.3</v>
      </c>
      <c r="AHE68" s="2">
        <v>0.3</v>
      </c>
      <c r="AHF68" s="2">
        <v>1.6</v>
      </c>
      <c r="AHG68" s="2">
        <v>0</v>
      </c>
      <c r="AHH68" s="2">
        <v>1.3</v>
      </c>
      <c r="AHI68" s="2">
        <v>1.2</v>
      </c>
      <c r="AHJ68" s="2">
        <v>-0.8</v>
      </c>
      <c r="AHK68" s="2">
        <v>0.6</v>
      </c>
      <c r="AHL68" s="2">
        <v>1.4</v>
      </c>
      <c r="AHM68" s="2">
        <v>0.9</v>
      </c>
      <c r="AHN68" s="2">
        <v>0.7</v>
      </c>
      <c r="AHO68" s="2">
        <v>1</v>
      </c>
      <c r="AHP68" s="2">
        <v>0.1</v>
      </c>
      <c r="AHQ68" s="2">
        <v>0.9</v>
      </c>
      <c r="AHR68" s="2">
        <v>1</v>
      </c>
      <c r="AHS68" s="2">
        <v>0.9</v>
      </c>
      <c r="AHT68" s="2">
        <v>0.6</v>
      </c>
      <c r="AHU68" s="2">
        <v>0.9</v>
      </c>
      <c r="AHV68" s="2">
        <v>1.2</v>
      </c>
      <c r="AHW68" s="2">
        <v>0.9</v>
      </c>
      <c r="AHX68" s="2">
        <v>1.2</v>
      </c>
      <c r="AHY68" s="2">
        <v>0.8</v>
      </c>
      <c r="AHZ68" s="2">
        <v>0.8</v>
      </c>
      <c r="AIA68" s="2">
        <v>0.4</v>
      </c>
      <c r="AIB68" s="2">
        <v>0.1</v>
      </c>
      <c r="AIC68" s="2">
        <v>0.9</v>
      </c>
      <c r="AID68" s="2">
        <v>0.8</v>
      </c>
      <c r="AIE68" s="2">
        <v>-2</v>
      </c>
      <c r="AIF68" s="2">
        <v>0.4</v>
      </c>
      <c r="AIG68" s="2">
        <v>-0.9</v>
      </c>
      <c r="AIH68" s="2">
        <v>3.7</v>
      </c>
      <c r="AII68" s="2">
        <v>0.3</v>
      </c>
      <c r="AIJ68" s="2">
        <v>0.7</v>
      </c>
      <c r="AIK68" s="2">
        <v>0.3</v>
      </c>
      <c r="AIL68" s="2">
        <v>2.4</v>
      </c>
      <c r="AIM68" s="2">
        <v>0.3</v>
      </c>
      <c r="AIN68" s="2">
        <v>1.1</v>
      </c>
      <c r="AIO68" s="2">
        <v>0.7</v>
      </c>
      <c r="AIP68" s="2">
        <v>0.4</v>
      </c>
      <c r="AIQ68" s="2">
        <v>0.9</v>
      </c>
      <c r="AIR68" s="2">
        <v>-3.4</v>
      </c>
      <c r="AIS68" s="2">
        <v>0.1</v>
      </c>
      <c r="AIT68" s="2">
        <v>0.1</v>
      </c>
      <c r="AIU68" s="2">
        <v>1.3</v>
      </c>
      <c r="AIV68" s="2">
        <v>0.1</v>
      </c>
      <c r="AIW68" s="2">
        <v>0.4</v>
      </c>
      <c r="AIX68" s="2">
        <v>1</v>
      </c>
      <c r="AIY68" s="2">
        <v>1.7</v>
      </c>
      <c r="AIZ68" s="2">
        <v>-0.5</v>
      </c>
      <c r="AJA68" s="2">
        <v>-0.1</v>
      </c>
      <c r="AJB68" s="2">
        <v>0.3</v>
      </c>
      <c r="AJC68" s="2">
        <v>0.2</v>
      </c>
      <c r="AJD68" s="2">
        <v>0.2</v>
      </c>
      <c r="AJE68" s="2">
        <v>0.3</v>
      </c>
      <c r="AJF68" s="2">
        <v>0.5</v>
      </c>
      <c r="AJG68" s="2">
        <v>-0.4</v>
      </c>
      <c r="AJH68" s="2">
        <v>1.2</v>
      </c>
      <c r="AJI68" s="2">
        <v>0.4</v>
      </c>
      <c r="AJJ68" s="2">
        <v>0.6</v>
      </c>
      <c r="AJK68" s="2">
        <v>0.6</v>
      </c>
      <c r="AJL68" s="2">
        <v>0.5</v>
      </c>
      <c r="AJM68" s="2">
        <v>1</v>
      </c>
      <c r="AJN68" s="2">
        <v>0.3</v>
      </c>
      <c r="AJO68" s="2">
        <v>1.4</v>
      </c>
      <c r="AJP68" s="2">
        <v>0.6</v>
      </c>
      <c r="AJQ68" s="2">
        <v>0.8</v>
      </c>
      <c r="AJR68" s="2">
        <v>-0.1</v>
      </c>
      <c r="AJS68" s="2">
        <v>0.1</v>
      </c>
      <c r="AJT68" s="2">
        <v>1</v>
      </c>
      <c r="AJU68" s="2">
        <v>1.2</v>
      </c>
      <c r="AJV68" s="2">
        <v>1</v>
      </c>
      <c r="AJW68" s="2">
        <v>0.9</v>
      </c>
      <c r="AJX68" s="2">
        <v>1.4</v>
      </c>
      <c r="AJY68" s="2">
        <v>1.7</v>
      </c>
      <c r="AJZ68" s="2">
        <v>2</v>
      </c>
      <c r="AKA68" s="2">
        <v>0.9</v>
      </c>
      <c r="AKB68" s="2">
        <v>0.7</v>
      </c>
      <c r="AKC68" s="2">
        <v>0.5</v>
      </c>
      <c r="AKD68" s="2">
        <v>1.3</v>
      </c>
      <c r="AKE68" s="2">
        <v>1.4</v>
      </c>
      <c r="AKF68" s="2">
        <v>1.1</v>
      </c>
      <c r="AKG68" s="2">
        <v>1.4</v>
      </c>
      <c r="AKH68" s="2">
        <v>0.3</v>
      </c>
      <c r="AKI68" s="2">
        <v>1.2</v>
      </c>
      <c r="AKJ68" s="2">
        <v>0.7</v>
      </c>
      <c r="AKK68" s="2">
        <v>1.5</v>
      </c>
      <c r="AKL68" s="2">
        <v>1.2</v>
      </c>
      <c r="AKM68" s="2">
        <v>1.2</v>
      </c>
      <c r="AKN68" s="2">
        <v>1.5</v>
      </c>
      <c r="AKO68" s="2">
        <v>1.8</v>
      </c>
      <c r="AKP68" s="2">
        <v>2.09</v>
      </c>
      <c r="AKQ68" s="2">
        <v>2.12</v>
      </c>
      <c r="AKR68" s="2">
        <v>2.16</v>
      </c>
    </row>
    <row r="69">
      <c r="A69" t="inlineStr">
        <is>
          <t>Other services in respect of motor vehicles</t>
        </is>
      </c>
      <c r="B69" t="inlineStr">
        <is>
          <t>Private motoring</t>
        </is>
      </c>
      <c r="C69">
        <v>3</v>
      </c>
      <c r="D69">
        <v>1.3</v>
      </c>
      <c r="E69" s="3">
        <f>D69/11.14*0.11149703832752614</f>
        <v>0.013011324041811849</v>
      </c>
      <c r="F69" s="3">
        <f>E69-D69/100</f>
        <v>1.1324041811847443e-05</v>
      </c>
      <c r="G69" s="3">
        <f>D69/11.14</f>
        <v>0.11669658886894076</v>
      </c>
      <c r="CI69" s="2">
        <v>94.67</v>
      </c>
      <c r="CJ69" s="2">
        <v>94.69</v>
      </c>
      <c r="CK69" s="2">
        <v>94.70999999999999</v>
      </c>
      <c r="CL69" s="2">
        <v>96.22</v>
      </c>
      <c r="CM69" s="2">
        <v>96.09</v>
      </c>
      <c r="CN69" s="2">
        <v>97.11</v>
      </c>
      <c r="CO69" s="2">
        <v>94.51000000000001</v>
      </c>
      <c r="CP69" s="2">
        <v>94.78</v>
      </c>
      <c r="CQ69" s="2">
        <v>94.84</v>
      </c>
      <c r="CR69" s="2">
        <v>95.5</v>
      </c>
      <c r="CS69" s="2">
        <v>95.5</v>
      </c>
      <c r="CT69" s="2">
        <v>95.59999999999999</v>
      </c>
      <c r="CU69" s="2">
        <v>95.68000000000001</v>
      </c>
      <c r="CV69" s="2">
        <v>95.83</v>
      </c>
      <c r="CW69" s="2">
        <v>95.89</v>
      </c>
      <c r="CX69" s="2">
        <v>97.84999999999999</v>
      </c>
      <c r="CY69" s="2">
        <v>97.81</v>
      </c>
      <c r="CZ69" s="2">
        <v>100</v>
      </c>
      <c r="DA69" s="2">
        <v>100</v>
      </c>
      <c r="DB69" s="2">
        <v>100.14</v>
      </c>
      <c r="DC69" s="2">
        <v>100.24</v>
      </c>
      <c r="DD69" s="2">
        <v>100.52</v>
      </c>
      <c r="DE69" s="2">
        <v>100.58</v>
      </c>
      <c r="DF69" s="2">
        <v>100.6</v>
      </c>
      <c r="DG69" s="2">
        <v>100.86</v>
      </c>
      <c r="DH69" s="2">
        <v>100.86</v>
      </c>
      <c r="DI69" s="2">
        <v>100.87</v>
      </c>
      <c r="DJ69" s="2">
        <v>103.73</v>
      </c>
      <c r="GL69" s="2">
        <v>1.1</v>
      </c>
      <c r="GM69" s="2">
        <v>1.2</v>
      </c>
      <c r="GN69" s="2">
        <v>1.2</v>
      </c>
      <c r="GO69" s="2">
        <v>1.7</v>
      </c>
      <c r="GP69" s="2">
        <v>1.8</v>
      </c>
      <c r="GQ69" s="2">
        <v>3</v>
      </c>
      <c r="GR69" s="2">
        <v>5.8</v>
      </c>
      <c r="GS69" s="2">
        <v>5.7</v>
      </c>
      <c r="GT69" s="2">
        <v>5.7</v>
      </c>
      <c r="GU69" s="2">
        <v>5.3</v>
      </c>
      <c r="GV69" s="2">
        <v>5.3</v>
      </c>
      <c r="GW69" s="2">
        <v>5.2</v>
      </c>
      <c r="GX69" s="2">
        <v>5.4</v>
      </c>
      <c r="GY69" s="2">
        <v>5.2</v>
      </c>
      <c r="GZ69" s="2">
        <v>5.2</v>
      </c>
      <c r="HA69" s="2">
        <v>6</v>
      </c>
      <c r="KC69" s="2">
        <v>0</v>
      </c>
      <c r="KD69" s="2">
        <v>0</v>
      </c>
      <c r="KE69" s="2">
        <v>1.6</v>
      </c>
      <c r="KF69" s="2">
        <v>-0.1</v>
      </c>
      <c r="KG69" s="2">
        <v>1.1</v>
      </c>
      <c r="KH69" s="2">
        <v>-2.7</v>
      </c>
      <c r="KI69" s="2">
        <v>0.3</v>
      </c>
      <c r="KJ69" s="2">
        <v>0.1</v>
      </c>
      <c r="KK69" s="2">
        <v>0.7</v>
      </c>
      <c r="KL69" s="2">
        <v>0</v>
      </c>
      <c r="KM69" s="2">
        <v>0.1</v>
      </c>
      <c r="KN69" s="2">
        <v>0.1</v>
      </c>
      <c r="KO69" s="2">
        <v>0.2</v>
      </c>
      <c r="KP69" s="2">
        <v>0.1</v>
      </c>
      <c r="KQ69" s="2">
        <v>2</v>
      </c>
      <c r="KR69" s="2">
        <v>0</v>
      </c>
      <c r="KS69" s="2">
        <v>2.2</v>
      </c>
      <c r="KT69" s="2">
        <v>0</v>
      </c>
      <c r="KU69" s="2">
        <v>0.1</v>
      </c>
      <c r="KV69" s="2">
        <v>0.1</v>
      </c>
      <c r="KW69" s="2">
        <v>0.3</v>
      </c>
      <c r="KX69" s="2">
        <v>0.1</v>
      </c>
      <c r="KY69" s="2">
        <v>0</v>
      </c>
      <c r="KZ69" s="2">
        <v>0.3</v>
      </c>
      <c r="LA69" s="2">
        <v>0</v>
      </c>
      <c r="LB69" s="2">
        <v>0</v>
      </c>
      <c r="LC69" s="2">
        <v>2.8</v>
      </c>
      <c r="LD69" s="2">
        <v>1.27</v>
      </c>
      <c r="LE69" s="2">
        <v>1.27</v>
      </c>
      <c r="LF69" s="2">
        <v>1.27</v>
      </c>
      <c r="LG69" s="2">
        <v>1.28</v>
      </c>
      <c r="LH69" s="2">
        <v>1.28</v>
      </c>
      <c r="LI69" s="2">
        <v>1.28</v>
      </c>
      <c r="LJ69" s="2">
        <v>1.28</v>
      </c>
      <c r="LK69" s="2">
        <v>1.31</v>
      </c>
      <c r="LL69" s="2">
        <v>1.3</v>
      </c>
      <c r="LM69" s="2">
        <v>1.33</v>
      </c>
      <c r="LN69" s="2">
        <v>1.33</v>
      </c>
      <c r="LO69" s="2">
        <v>1.34</v>
      </c>
      <c r="LP69" s="2">
        <v>1.34</v>
      </c>
      <c r="LQ69" s="2">
        <v>1.34</v>
      </c>
      <c r="LR69" s="2">
        <v>1.34</v>
      </c>
      <c r="LS69" s="2">
        <v>1.34</v>
      </c>
      <c r="LT69" s="2">
        <v>1.35</v>
      </c>
      <c r="LU69" s="2">
        <v>1.35</v>
      </c>
      <c r="LV69" s="2">
        <v>1.35</v>
      </c>
      <c r="LW69" s="2">
        <v>1.38</v>
      </c>
      <c r="LX69" s="2">
        <v>0</v>
      </c>
      <c r="LY69" s="2">
        <v>0</v>
      </c>
      <c r="LZ69" s="2">
        <v>0.01</v>
      </c>
      <c r="MA69" s="2">
        <v>0</v>
      </c>
      <c r="MB69" s="2">
        <v>0</v>
      </c>
      <c r="MC69" s="2">
        <v>0</v>
      </c>
      <c r="MD69" s="2">
        <v>0.03</v>
      </c>
      <c r="ME69" s="2">
        <v>-0.01</v>
      </c>
      <c r="MF69" s="2">
        <v>0.03</v>
      </c>
      <c r="MG69" s="2">
        <v>0</v>
      </c>
      <c r="MH69" s="2">
        <v>0.01</v>
      </c>
      <c r="MI69" s="2">
        <v>0</v>
      </c>
      <c r="MJ69" s="2">
        <v>0</v>
      </c>
      <c r="MK69" s="2">
        <v>0</v>
      </c>
      <c r="ML69" s="2">
        <v>0</v>
      </c>
      <c r="MM69" s="2">
        <v>0.01</v>
      </c>
      <c r="MN69" s="2">
        <v>0</v>
      </c>
      <c r="MO69" s="2">
        <v>0</v>
      </c>
      <c r="MP69" s="2">
        <v>0.03</v>
      </c>
      <c r="RO69" s="2">
        <v>11.82</v>
      </c>
      <c r="RP69" s="2">
        <v>11.82</v>
      </c>
      <c r="RQ69" s="2">
        <v>12.5</v>
      </c>
      <c r="RR69" s="2">
        <v>12.59</v>
      </c>
      <c r="RS69" s="2">
        <v>12.69</v>
      </c>
      <c r="RT69" s="2">
        <v>13.48</v>
      </c>
      <c r="RU69" s="2">
        <v>14.39</v>
      </c>
      <c r="RV69" s="2">
        <v>15.18</v>
      </c>
      <c r="RW69" s="2">
        <v>15.88</v>
      </c>
      <c r="RX69" s="2">
        <v>16.02</v>
      </c>
      <c r="RY69" s="2">
        <v>16.09</v>
      </c>
      <c r="RZ69" s="2">
        <v>16.07</v>
      </c>
      <c r="SA69" s="2">
        <v>16.58</v>
      </c>
      <c r="SB69" s="2">
        <v>16.77</v>
      </c>
      <c r="SC69" s="2">
        <v>16.91</v>
      </c>
      <c r="SD69" s="2">
        <v>17.33</v>
      </c>
      <c r="SE69" s="2">
        <v>17.82</v>
      </c>
      <c r="SF69" s="2">
        <v>18.49</v>
      </c>
      <c r="SG69" s="2">
        <v>18.56</v>
      </c>
      <c r="SH69" s="2">
        <v>18.63</v>
      </c>
      <c r="SI69" s="2">
        <v>19.05</v>
      </c>
      <c r="SJ69" s="2">
        <v>19.24</v>
      </c>
      <c r="SK69" s="2">
        <v>19.5</v>
      </c>
      <c r="SL69" s="2">
        <v>19.54</v>
      </c>
      <c r="SM69" s="2">
        <v>20.4</v>
      </c>
      <c r="SN69" s="2">
        <v>20.61</v>
      </c>
      <c r="SO69" s="2">
        <v>20.71</v>
      </c>
      <c r="SP69" s="2">
        <v>21.55</v>
      </c>
      <c r="SQ69" s="2">
        <v>22.74</v>
      </c>
      <c r="SR69" s="2">
        <v>23.09</v>
      </c>
      <c r="SS69" s="2">
        <v>22.11</v>
      </c>
      <c r="ST69" s="2">
        <v>22.22</v>
      </c>
      <c r="SU69" s="2">
        <v>22.13</v>
      </c>
      <c r="SV69" s="2">
        <v>22.53</v>
      </c>
      <c r="SW69" s="2">
        <v>22.76</v>
      </c>
      <c r="SX69" s="2">
        <v>22.99</v>
      </c>
      <c r="SY69" s="2">
        <v>22.83</v>
      </c>
      <c r="SZ69" s="2">
        <v>23.34</v>
      </c>
      <c r="TA69" s="2">
        <v>23.53</v>
      </c>
      <c r="TB69" s="2">
        <v>23.6</v>
      </c>
      <c r="TC69" s="2">
        <v>24.3</v>
      </c>
      <c r="TD69" s="2">
        <v>24.56</v>
      </c>
      <c r="TE69" s="2">
        <v>25.07</v>
      </c>
      <c r="TF69" s="2">
        <v>25.23</v>
      </c>
      <c r="TG69" s="2">
        <v>26.14</v>
      </c>
      <c r="TH69" s="2">
        <v>27.07</v>
      </c>
      <c r="TI69" s="2">
        <v>27.07</v>
      </c>
      <c r="TJ69" s="2">
        <v>27.24</v>
      </c>
      <c r="TK69" s="2">
        <v>27.59</v>
      </c>
      <c r="TL69" s="2">
        <v>27.63</v>
      </c>
      <c r="TM69" s="2">
        <v>29.69</v>
      </c>
      <c r="TN69" s="2">
        <v>29.73</v>
      </c>
      <c r="TO69" s="2">
        <v>30.04</v>
      </c>
      <c r="TP69" s="2">
        <v>30.18</v>
      </c>
      <c r="TQ69" s="2">
        <v>30.41</v>
      </c>
      <c r="TR69" s="2">
        <v>30.48</v>
      </c>
      <c r="TS69" s="2">
        <v>30.97</v>
      </c>
      <c r="TT69" s="2">
        <v>31.08</v>
      </c>
      <c r="TU69" s="2">
        <v>31.18</v>
      </c>
      <c r="TV69" s="2">
        <v>31.27</v>
      </c>
      <c r="TW69" s="2">
        <v>31.81</v>
      </c>
      <c r="TX69" s="2">
        <v>32.11</v>
      </c>
      <c r="TY69" s="2">
        <v>32.32</v>
      </c>
      <c r="TZ69" s="2">
        <v>32.53</v>
      </c>
      <c r="UA69" s="2">
        <v>33.28</v>
      </c>
      <c r="UB69" s="2">
        <v>33.35</v>
      </c>
      <c r="UC69" s="2">
        <v>33.74</v>
      </c>
      <c r="UD69" s="2">
        <v>33.91</v>
      </c>
      <c r="UE69" s="2">
        <v>34.68</v>
      </c>
      <c r="UF69" s="2">
        <v>34.72</v>
      </c>
      <c r="UG69" s="2">
        <v>34.93</v>
      </c>
      <c r="UH69" s="2">
        <v>35.03</v>
      </c>
      <c r="UI69" s="2">
        <v>36.7</v>
      </c>
      <c r="UJ69" s="2">
        <v>36.76</v>
      </c>
      <c r="UK69" s="2">
        <v>36.85</v>
      </c>
      <c r="UL69" s="2">
        <v>36.85</v>
      </c>
      <c r="UM69" s="2">
        <v>37.58</v>
      </c>
      <c r="UN69" s="2">
        <v>37.98</v>
      </c>
      <c r="UO69" s="2">
        <v>38.29</v>
      </c>
      <c r="UP69" s="2">
        <v>38.41</v>
      </c>
      <c r="UQ69" s="2">
        <v>39.56</v>
      </c>
      <c r="UR69" s="2">
        <v>39.65</v>
      </c>
      <c r="US69" s="2">
        <v>39.87</v>
      </c>
      <c r="UT69" s="2">
        <v>39.87</v>
      </c>
      <c r="UU69" s="2">
        <v>40.55</v>
      </c>
      <c r="UV69" s="2">
        <v>40.57</v>
      </c>
      <c r="UW69" s="2">
        <v>40.99</v>
      </c>
      <c r="UX69" s="2">
        <v>41.34</v>
      </c>
      <c r="UY69" s="2">
        <v>42.26</v>
      </c>
      <c r="UZ69" s="2">
        <v>42.5</v>
      </c>
      <c r="VA69" s="2">
        <v>42.74</v>
      </c>
      <c r="VB69" s="2">
        <v>42.82</v>
      </c>
      <c r="VC69" s="2">
        <v>44.74</v>
      </c>
      <c r="VD69" s="2">
        <v>45.04</v>
      </c>
      <c r="VE69" s="2">
        <v>45.32</v>
      </c>
      <c r="VF69" s="2">
        <v>45.44</v>
      </c>
      <c r="VG69" s="2">
        <v>46.17</v>
      </c>
      <c r="VH69" s="2">
        <v>46.3</v>
      </c>
      <c r="VI69" s="2">
        <v>46.51</v>
      </c>
      <c r="VJ69" s="2">
        <v>46.83</v>
      </c>
      <c r="VK69" s="2">
        <v>47.1</v>
      </c>
      <c r="VL69" s="2">
        <v>47.2</v>
      </c>
      <c r="VM69" s="2">
        <v>47.62</v>
      </c>
      <c r="VN69" s="2">
        <v>47.84</v>
      </c>
      <c r="VO69" s="2">
        <v>49.15</v>
      </c>
      <c r="VP69" s="2">
        <v>49.39</v>
      </c>
      <c r="VQ69" s="2">
        <v>49.98</v>
      </c>
      <c r="VR69" s="2">
        <v>50.12</v>
      </c>
      <c r="VS69" s="2">
        <v>51.39</v>
      </c>
      <c r="VT69" s="2">
        <v>51.98</v>
      </c>
      <c r="VU69" s="2">
        <v>52.37</v>
      </c>
      <c r="VV69" s="2">
        <v>52.77</v>
      </c>
      <c r="VW69" s="2">
        <v>54.18</v>
      </c>
      <c r="VX69" s="2">
        <v>54.55</v>
      </c>
      <c r="VY69" s="2">
        <v>54.84</v>
      </c>
      <c r="VZ69" s="2">
        <v>54.83</v>
      </c>
      <c r="WA69" s="2">
        <v>57.49</v>
      </c>
      <c r="WB69" s="2">
        <v>57.81</v>
      </c>
      <c r="WC69" s="2">
        <v>58.25</v>
      </c>
      <c r="WD69" s="2">
        <v>59.04</v>
      </c>
      <c r="WE69" s="2">
        <v>60.8</v>
      </c>
      <c r="WF69" s="2">
        <v>62.48</v>
      </c>
      <c r="WG69" s="2">
        <v>62.68</v>
      </c>
      <c r="WH69" s="2">
        <v>62.78</v>
      </c>
      <c r="WI69" s="2">
        <v>64.09999999999999</v>
      </c>
      <c r="WJ69" s="2">
        <v>64.37</v>
      </c>
      <c r="WK69" s="2">
        <v>64.88</v>
      </c>
      <c r="WL69" s="2">
        <v>66.81</v>
      </c>
      <c r="WM69" s="2">
        <v>68.20999999999999</v>
      </c>
      <c r="WN69" s="2">
        <v>68.73</v>
      </c>
      <c r="WO69" s="2">
        <v>69.56</v>
      </c>
      <c r="WP69" s="2">
        <v>69.84999999999999</v>
      </c>
      <c r="WQ69" s="2">
        <v>71.11</v>
      </c>
      <c r="WR69" s="2">
        <v>71.76000000000001</v>
      </c>
      <c r="WS69" s="2">
        <v>72.27</v>
      </c>
      <c r="WT69" s="2">
        <v>72.34</v>
      </c>
      <c r="WU69" s="2">
        <v>76.52</v>
      </c>
      <c r="WV69" s="2">
        <v>76.64</v>
      </c>
      <c r="WW69" s="2">
        <v>77.16</v>
      </c>
      <c r="WX69" s="2">
        <v>77.23999999999999</v>
      </c>
      <c r="WY69" s="2">
        <v>78.51000000000001</v>
      </c>
      <c r="WZ69" s="2">
        <v>78.91</v>
      </c>
      <c r="XA69" s="2">
        <v>78.77</v>
      </c>
      <c r="XB69" s="2">
        <v>78.8</v>
      </c>
      <c r="XC69" s="2">
        <v>79.94</v>
      </c>
      <c r="XD69" s="2">
        <v>80.03</v>
      </c>
      <c r="XE69" s="2">
        <v>80.3</v>
      </c>
      <c r="XF69" s="2">
        <v>80.31</v>
      </c>
      <c r="XG69" s="2">
        <v>82.5</v>
      </c>
      <c r="XH69" s="2">
        <v>82.66</v>
      </c>
      <c r="XI69" s="2">
        <v>83.27</v>
      </c>
      <c r="XJ69" s="2">
        <v>83.27</v>
      </c>
      <c r="XK69" s="2">
        <v>84.83</v>
      </c>
      <c r="XL69" s="2">
        <v>84.92</v>
      </c>
      <c r="XM69" s="2">
        <v>85.40000000000001</v>
      </c>
      <c r="XN69" s="2">
        <v>85.53</v>
      </c>
      <c r="XO69" s="2">
        <v>86.59999999999999</v>
      </c>
      <c r="XP69" s="2">
        <v>86.42</v>
      </c>
      <c r="XQ69" s="2">
        <v>86.56999999999999</v>
      </c>
      <c r="XR69" s="2">
        <v>83.68000000000001</v>
      </c>
      <c r="XS69" s="2">
        <v>85.09999999999999</v>
      </c>
      <c r="XT69" s="2">
        <v>86.55</v>
      </c>
      <c r="XU69" s="2">
        <v>86.48</v>
      </c>
      <c r="XV69" s="2">
        <v>86.41</v>
      </c>
      <c r="XW69" s="2">
        <v>87.04000000000001</v>
      </c>
      <c r="XX69" s="2">
        <v>87.17</v>
      </c>
      <c r="XY69" s="2">
        <v>87.45999999999999</v>
      </c>
      <c r="XZ69" s="2">
        <v>87.86</v>
      </c>
      <c r="YA69" s="2">
        <v>89.45999999999999</v>
      </c>
      <c r="YB69" s="2">
        <v>89.72</v>
      </c>
      <c r="YC69" s="2">
        <v>90.13</v>
      </c>
      <c r="YD69" s="2">
        <v>90.22</v>
      </c>
      <c r="YE69" s="2">
        <v>93.15000000000001</v>
      </c>
      <c r="YF69" s="2">
        <v>93.73999999999999</v>
      </c>
      <c r="YG69" s="2">
        <v>94.97</v>
      </c>
      <c r="YH69" s="2">
        <v>95.27</v>
      </c>
      <c r="YI69" s="2">
        <v>96.62</v>
      </c>
      <c r="YJ69" s="2">
        <v>95.52</v>
      </c>
      <c r="YK69" s="2">
        <v>96.23</v>
      </c>
      <c r="YL69" s="2">
        <v>96.56</v>
      </c>
      <c r="YM69" s="2">
        <v>98.55</v>
      </c>
      <c r="YN69" s="2">
        <v>100.13</v>
      </c>
      <c r="YO69" s="2">
        <v>100.57</v>
      </c>
      <c r="YP69" s="2">
        <v>100.86</v>
      </c>
      <c r="ADO69" s="2">
        <v>0</v>
      </c>
      <c r="ADP69" s="2">
        <v>5.8</v>
      </c>
      <c r="ADQ69" s="2">
        <v>0.7</v>
      </c>
      <c r="ADR69" s="2">
        <v>0.8</v>
      </c>
      <c r="ADS69" s="2">
        <v>6.2</v>
      </c>
      <c r="ADT69" s="2">
        <v>6.8</v>
      </c>
      <c r="ADU69" s="2">
        <v>5.5</v>
      </c>
      <c r="ADV69" s="2">
        <v>4.6</v>
      </c>
      <c r="ADW69" s="2">
        <v>0.9</v>
      </c>
      <c r="ADX69" s="2">
        <v>0.4</v>
      </c>
      <c r="ADY69" s="2">
        <v>-0.1</v>
      </c>
      <c r="ADZ69" s="2">
        <v>3.2</v>
      </c>
      <c r="AEA69" s="2">
        <v>1.1</v>
      </c>
      <c r="AEB69" s="2">
        <v>0.8</v>
      </c>
      <c r="AEC69" s="2">
        <v>2.5</v>
      </c>
      <c r="AED69" s="2">
        <v>2.8</v>
      </c>
      <c r="AEE69" s="2">
        <v>3.8</v>
      </c>
      <c r="AEF69" s="2">
        <v>0.4</v>
      </c>
      <c r="AEG69" s="2">
        <v>0.4</v>
      </c>
      <c r="AEH69" s="2">
        <v>2.3</v>
      </c>
      <c r="AEI69" s="2">
        <v>1</v>
      </c>
      <c r="AEJ69" s="2">
        <v>1.4</v>
      </c>
      <c r="AEK69" s="2">
        <v>0.2</v>
      </c>
      <c r="AEL69" s="2">
        <v>4.4</v>
      </c>
      <c r="AEM69" s="2">
        <v>1</v>
      </c>
      <c r="AEN69" s="2">
        <v>0.5</v>
      </c>
      <c r="AEO69" s="2">
        <v>4.1</v>
      </c>
      <c r="AEP69" s="2">
        <v>5.5</v>
      </c>
      <c r="AEQ69" s="2">
        <v>1.5</v>
      </c>
      <c r="AER69" s="2">
        <v>-4.2</v>
      </c>
      <c r="AES69" s="2">
        <v>0.5</v>
      </c>
      <c r="AET69" s="2">
        <v>-0.4</v>
      </c>
      <c r="AEU69" s="2">
        <v>1.8</v>
      </c>
      <c r="AEV69" s="2">
        <v>1</v>
      </c>
      <c r="AEW69" s="2">
        <v>1</v>
      </c>
      <c r="AEX69" s="2">
        <v>-0.7</v>
      </c>
      <c r="AEY69" s="2">
        <v>2.2</v>
      </c>
      <c r="AEZ69" s="2">
        <v>0.8</v>
      </c>
      <c r="AFA69" s="2">
        <v>0.3</v>
      </c>
      <c r="AFB69" s="2">
        <v>3</v>
      </c>
      <c r="AFC69" s="2">
        <v>1.1</v>
      </c>
      <c r="AFD69" s="2">
        <v>2.1</v>
      </c>
      <c r="AFE69" s="2">
        <v>0.6</v>
      </c>
      <c r="AFF69" s="2">
        <v>3.6</v>
      </c>
      <c r="AFG69" s="2">
        <v>3.6</v>
      </c>
      <c r="AFH69" s="2">
        <v>0</v>
      </c>
      <c r="AFI69" s="2">
        <v>0.6</v>
      </c>
      <c r="AFJ69" s="2">
        <v>1.3</v>
      </c>
      <c r="AFK69" s="2">
        <v>0.1</v>
      </c>
      <c r="AFL69" s="2">
        <v>7.5</v>
      </c>
      <c r="AFM69" s="2">
        <v>0.1</v>
      </c>
      <c r="AFN69" s="2">
        <v>1</v>
      </c>
      <c r="AFO69" s="2">
        <v>0.5</v>
      </c>
      <c r="AFP69" s="2">
        <v>0.8</v>
      </c>
      <c r="AFQ69" s="2">
        <v>0.2</v>
      </c>
      <c r="AFR69" s="2">
        <v>1.6</v>
      </c>
      <c r="AFS69" s="2">
        <v>0.4</v>
      </c>
      <c r="AFT69" s="2">
        <v>0.3</v>
      </c>
      <c r="AFU69" s="2">
        <v>0.3</v>
      </c>
      <c r="AFV69" s="2">
        <v>1.7</v>
      </c>
      <c r="AFW69" s="2">
        <v>0.9</v>
      </c>
      <c r="AFX69" s="2">
        <v>0.7</v>
      </c>
      <c r="AFY69" s="2">
        <v>0.6</v>
      </c>
      <c r="AFZ69" s="2">
        <v>2.3</v>
      </c>
      <c r="AGA69" s="2">
        <v>0.2</v>
      </c>
      <c r="AGB69" s="2">
        <v>1.2</v>
      </c>
      <c r="AGC69" s="2">
        <v>0.5</v>
      </c>
      <c r="AGD69" s="2">
        <v>2.3</v>
      </c>
      <c r="AGE69" s="2">
        <v>0.1</v>
      </c>
      <c r="AGF69" s="2">
        <v>0.6</v>
      </c>
      <c r="AGG69" s="2">
        <v>0.3</v>
      </c>
      <c r="AGH69" s="2">
        <v>4.8</v>
      </c>
      <c r="AGI69" s="2">
        <v>0.2</v>
      </c>
      <c r="AGJ69" s="2">
        <v>0.2</v>
      </c>
      <c r="AGK69" s="2">
        <v>0</v>
      </c>
      <c r="AGL69" s="2">
        <v>2</v>
      </c>
      <c r="AGM69" s="2">
        <v>1.1</v>
      </c>
      <c r="AGN69" s="2">
        <v>0.8</v>
      </c>
      <c r="AGO69" s="2">
        <v>0.3</v>
      </c>
      <c r="AGP69" s="2">
        <v>3</v>
      </c>
      <c r="AGQ69" s="2">
        <v>0.2</v>
      </c>
      <c r="AGR69" s="2">
        <v>0.6</v>
      </c>
      <c r="AGS69" s="2">
        <v>0</v>
      </c>
      <c r="AGT69" s="2">
        <v>1.7</v>
      </c>
      <c r="AGU69" s="2">
        <v>0</v>
      </c>
      <c r="AGV69" s="2">
        <v>1</v>
      </c>
      <c r="AGW69" s="2">
        <v>0.9</v>
      </c>
      <c r="AGX69" s="2">
        <v>2.2</v>
      </c>
      <c r="AGY69" s="2">
        <v>0.6</v>
      </c>
      <c r="AGZ69" s="2">
        <v>0.6</v>
      </c>
      <c r="AHA69" s="2">
        <v>0.2</v>
      </c>
      <c r="AHB69" s="2">
        <v>4.5</v>
      </c>
      <c r="AHC69" s="2">
        <v>0.7</v>
      </c>
      <c r="AHD69" s="2">
        <v>0.6</v>
      </c>
      <c r="AHE69" s="2">
        <v>0.3</v>
      </c>
      <c r="AHF69" s="2">
        <v>1.6</v>
      </c>
      <c r="AHG69" s="2">
        <v>0.3</v>
      </c>
      <c r="AHH69" s="2">
        <v>0.5</v>
      </c>
      <c r="AHI69" s="2">
        <v>0.7</v>
      </c>
      <c r="AHJ69" s="2">
        <v>0.6</v>
      </c>
      <c r="AHK69" s="2">
        <v>0.2</v>
      </c>
      <c r="AHL69" s="2">
        <v>0.9</v>
      </c>
      <c r="AHM69" s="2">
        <v>0.5</v>
      </c>
      <c r="AHN69" s="2">
        <v>2.7</v>
      </c>
      <c r="AHO69" s="2">
        <v>0.5</v>
      </c>
      <c r="AHP69" s="2">
        <v>1.2</v>
      </c>
      <c r="AHQ69" s="2">
        <v>0.3</v>
      </c>
      <c r="AHR69" s="2">
        <v>2.5</v>
      </c>
      <c r="AHS69" s="2">
        <v>1.1</v>
      </c>
      <c r="AHT69" s="2">
        <v>0.8</v>
      </c>
      <c r="AHU69" s="2">
        <v>0.8</v>
      </c>
      <c r="AHV69" s="2">
        <v>2.7</v>
      </c>
      <c r="AHW69" s="2">
        <v>0.7</v>
      </c>
      <c r="AHX69" s="2">
        <v>0.5</v>
      </c>
      <c r="AHY69" s="2">
        <v>0</v>
      </c>
      <c r="AHZ69" s="2">
        <v>4.9</v>
      </c>
      <c r="AIA69" s="2">
        <v>0.6</v>
      </c>
      <c r="AIB69" s="2">
        <v>0.8</v>
      </c>
      <c r="AIC69" s="2">
        <v>1.4</v>
      </c>
      <c r="AID69" s="2">
        <v>3</v>
      </c>
      <c r="AIE69" s="2">
        <v>2.8</v>
      </c>
      <c r="AIF69" s="2">
        <v>0.3</v>
      </c>
      <c r="AIG69" s="2">
        <v>0.2</v>
      </c>
      <c r="AIH69" s="2">
        <v>2.1</v>
      </c>
      <c r="AII69" s="2">
        <v>0.4</v>
      </c>
      <c r="AIJ69" s="2">
        <v>0.8</v>
      </c>
      <c r="AIK69" s="2">
        <v>3</v>
      </c>
      <c r="AIL69" s="2">
        <v>2.1</v>
      </c>
      <c r="AIM69" s="2">
        <v>0.8</v>
      </c>
      <c r="AIN69" s="2">
        <v>1.2</v>
      </c>
      <c r="AIO69" s="2">
        <v>0.4</v>
      </c>
      <c r="AIP69" s="2">
        <v>1.8</v>
      </c>
      <c r="AIQ69" s="2">
        <v>0.9</v>
      </c>
      <c r="AIR69" s="2">
        <v>0.7</v>
      </c>
      <c r="AIS69" s="2">
        <v>0.1</v>
      </c>
      <c r="AIT69" s="2">
        <v>5.8</v>
      </c>
      <c r="AIU69" s="2">
        <v>0.2</v>
      </c>
      <c r="AIV69" s="2">
        <v>0.7</v>
      </c>
      <c r="AIW69" s="2">
        <v>0.1</v>
      </c>
      <c r="AIX69" s="2">
        <v>1.6</v>
      </c>
      <c r="AIY69" s="2">
        <v>0.5</v>
      </c>
      <c r="AIZ69" s="2">
        <v>-0.2</v>
      </c>
      <c r="AJA69" s="2">
        <v>0</v>
      </c>
      <c r="AJB69" s="2">
        <v>1.4</v>
      </c>
      <c r="AJC69" s="2">
        <v>0.1</v>
      </c>
      <c r="AJD69" s="2">
        <v>0.3</v>
      </c>
      <c r="AJE69" s="2">
        <v>0</v>
      </c>
      <c r="AJF69" s="2">
        <v>2.7</v>
      </c>
      <c r="AJG69" s="2">
        <v>0.2</v>
      </c>
      <c r="AJH69" s="2">
        <v>0.7</v>
      </c>
      <c r="AJI69" s="2">
        <v>0</v>
      </c>
      <c r="AJJ69" s="2">
        <v>1.9</v>
      </c>
      <c r="AJK69" s="2">
        <v>0.1</v>
      </c>
      <c r="AJL69" s="2">
        <v>0.6</v>
      </c>
      <c r="AJM69" s="2">
        <v>0.2</v>
      </c>
      <c r="AJN69" s="2">
        <v>1.3</v>
      </c>
      <c r="AJO69" s="2">
        <v>-0.2</v>
      </c>
      <c r="AJP69" s="2">
        <v>0.2</v>
      </c>
      <c r="AJQ69" s="2">
        <v>-3.3</v>
      </c>
      <c r="AJR69" s="2">
        <v>1.7</v>
      </c>
      <c r="AJS69" s="2">
        <v>1.7</v>
      </c>
      <c r="AJT69" s="2">
        <v>-0.1</v>
      </c>
      <c r="AJU69" s="2">
        <v>-0.1</v>
      </c>
      <c r="AJV69" s="2">
        <v>0.7</v>
      </c>
      <c r="AJW69" s="2">
        <v>0.1</v>
      </c>
      <c r="AJX69" s="2">
        <v>0.3</v>
      </c>
      <c r="AJY69" s="2">
        <v>0.5</v>
      </c>
      <c r="AJZ69" s="2">
        <v>1.8</v>
      </c>
      <c r="AKA69" s="2">
        <v>0.3</v>
      </c>
      <c r="AKB69" s="2">
        <v>0.5</v>
      </c>
      <c r="AKC69" s="2">
        <v>0.1</v>
      </c>
      <c r="AKD69" s="2">
        <v>3.2</v>
      </c>
      <c r="AKE69" s="2">
        <v>0.6</v>
      </c>
      <c r="AKF69" s="2">
        <v>1.3</v>
      </c>
      <c r="AKG69" s="2">
        <v>0.3</v>
      </c>
      <c r="AKH69" s="2">
        <v>1.4</v>
      </c>
      <c r="AKI69" s="2">
        <v>-1.1</v>
      </c>
      <c r="AKJ69" s="2">
        <v>0.7</v>
      </c>
      <c r="AKK69" s="2">
        <v>0.3</v>
      </c>
      <c r="AKL69" s="2">
        <v>2.1</v>
      </c>
      <c r="AKM69" s="2">
        <v>1.6</v>
      </c>
      <c r="AKN69" s="2">
        <v>0.4</v>
      </c>
      <c r="AKO69" s="2">
        <v>0.3</v>
      </c>
      <c r="AKP69" s="2">
        <v>1.34</v>
      </c>
      <c r="AKQ69" s="2">
        <v>1.34</v>
      </c>
      <c r="AKR69" s="2">
        <v>1.35</v>
      </c>
    </row>
    <row r="70">
      <c r="A70" t="inlineStr">
        <is>
          <t>Urban transport fares</t>
        </is>
      </c>
      <c r="B70" t="inlineStr">
        <is>
          <t>Urban transport fares</t>
        </is>
      </c>
      <c r="C70">
        <v>3</v>
      </c>
      <c r="D70">
        <v>0.34</v>
      </c>
      <c r="E70" s="3">
        <f>D70/0.34*0.0034029616724738677</f>
        <v>0.0034029616724738677</v>
      </c>
      <c r="F70" s="3">
        <f>E70-D70/100</f>
        <v>2.9616724738674993e-06</v>
      </c>
      <c r="G70" s="3">
        <f>D70/0.34</f>
        <v>1.0</v>
      </c>
      <c r="CI70" s="2">
        <v>101.77</v>
      </c>
      <c r="CJ70" s="2">
        <v>101.8</v>
      </c>
      <c r="CK70" s="2">
        <v>101.44</v>
      </c>
      <c r="CL70" s="2">
        <v>102.91</v>
      </c>
      <c r="CM70" s="2">
        <v>97.51000000000001</v>
      </c>
      <c r="CN70" s="2">
        <v>96.58</v>
      </c>
      <c r="CO70" s="2">
        <v>96.34999999999999</v>
      </c>
      <c r="CP70" s="2">
        <v>96.27</v>
      </c>
      <c r="CQ70" s="2">
        <v>94.95999999999999</v>
      </c>
      <c r="CR70" s="2">
        <v>94.28</v>
      </c>
      <c r="CS70" s="2">
        <v>97.42</v>
      </c>
      <c r="CT70" s="2">
        <v>97.97</v>
      </c>
      <c r="CU70" s="2">
        <v>98.02</v>
      </c>
      <c r="CV70" s="2">
        <v>98.12</v>
      </c>
      <c r="CW70" s="2">
        <v>98.22</v>
      </c>
      <c r="CX70" s="2">
        <v>99.98999999999999</v>
      </c>
      <c r="CY70" s="2">
        <v>99.98999999999999</v>
      </c>
      <c r="CZ70" s="2">
        <v>100</v>
      </c>
      <c r="DA70" s="2">
        <v>99.89</v>
      </c>
      <c r="DB70" s="2">
        <v>99.39</v>
      </c>
      <c r="DC70" s="2">
        <v>94.34999999999999</v>
      </c>
      <c r="DD70" s="2">
        <v>92.54000000000001</v>
      </c>
      <c r="DE70" s="2">
        <v>96.54000000000001</v>
      </c>
      <c r="DF70" s="2">
        <v>96.87</v>
      </c>
      <c r="DG70" s="2">
        <v>77.64</v>
      </c>
      <c r="DH70" s="2">
        <v>77.56</v>
      </c>
      <c r="DI70" s="2">
        <v>87.37</v>
      </c>
      <c r="DJ70" s="2">
        <v>87.67</v>
      </c>
      <c r="GL70" s="2">
        <v>-3.7</v>
      </c>
      <c r="GM70" s="2">
        <v>-3.6</v>
      </c>
      <c r="GN70" s="2">
        <v>-3.2</v>
      </c>
      <c r="GO70" s="2">
        <v>-2.8</v>
      </c>
      <c r="GP70" s="2">
        <v>2.5</v>
      </c>
      <c r="GQ70" s="2">
        <v>3.5</v>
      </c>
      <c r="GR70" s="2">
        <v>3.7</v>
      </c>
      <c r="GS70" s="2">
        <v>3.2</v>
      </c>
      <c r="GT70" s="2">
        <v>-0.6</v>
      </c>
      <c r="GU70" s="2">
        <v>-1.8</v>
      </c>
      <c r="GV70" s="2">
        <v>-0.9</v>
      </c>
      <c r="GW70" s="2">
        <v>-1.1</v>
      </c>
      <c r="GX70" s="2">
        <v>-20.8</v>
      </c>
      <c r="GY70" s="2">
        <v>-21</v>
      </c>
      <c r="GZ70" s="2">
        <v>-11</v>
      </c>
      <c r="HA70" s="2">
        <v>-12.3</v>
      </c>
      <c r="KC70" s="2">
        <v>0</v>
      </c>
      <c r="KD70" s="2">
        <v>-0.4</v>
      </c>
      <c r="KE70" s="2">
        <v>1.4</v>
      </c>
      <c r="KF70" s="2">
        <v>-5.2</v>
      </c>
      <c r="KG70" s="2">
        <v>-1</v>
      </c>
      <c r="KH70" s="2">
        <v>-0.2</v>
      </c>
      <c r="KI70" s="2">
        <v>-0.1</v>
      </c>
      <c r="KJ70" s="2">
        <v>-1.4</v>
      </c>
      <c r="KK70" s="2">
        <v>-0.7</v>
      </c>
      <c r="KL70" s="2">
        <v>3.3</v>
      </c>
      <c r="KM70" s="2">
        <v>0.6</v>
      </c>
      <c r="KN70" s="2">
        <v>0.1</v>
      </c>
      <c r="KO70" s="2">
        <v>0.1</v>
      </c>
      <c r="KP70" s="2">
        <v>0.1</v>
      </c>
      <c r="KQ70" s="2">
        <v>1.8</v>
      </c>
      <c r="KR70" s="2">
        <v>0</v>
      </c>
      <c r="KS70" s="2">
        <v>0</v>
      </c>
      <c r="KT70" s="2">
        <v>-0.1</v>
      </c>
      <c r="KU70" s="2">
        <v>-0.5</v>
      </c>
      <c r="KV70" s="2">
        <v>-5.1</v>
      </c>
      <c r="KW70" s="2">
        <v>-1.9</v>
      </c>
      <c r="KX70" s="2">
        <v>4.3</v>
      </c>
      <c r="KY70" s="2">
        <v>0.3</v>
      </c>
      <c r="KZ70" s="2">
        <v>-19.9</v>
      </c>
      <c r="LA70" s="2">
        <v>-0.1</v>
      </c>
      <c r="LB70" s="2">
        <v>12.6</v>
      </c>
      <c r="LC70" s="2">
        <v>0.3</v>
      </c>
      <c r="LD70" s="2">
        <v>0.33</v>
      </c>
      <c r="LE70" s="2">
        <v>0.33</v>
      </c>
      <c r="LF70" s="2">
        <v>0.34</v>
      </c>
      <c r="LG70" s="2">
        <v>0.35</v>
      </c>
      <c r="LH70" s="2">
        <v>0.35</v>
      </c>
      <c r="LI70" s="2">
        <v>0.35</v>
      </c>
      <c r="LJ70" s="2">
        <v>0.35</v>
      </c>
      <c r="LK70" s="2">
        <v>0.35</v>
      </c>
      <c r="LL70" s="2">
        <v>0.35</v>
      </c>
      <c r="LM70" s="2">
        <v>0.35</v>
      </c>
      <c r="LN70" s="2">
        <v>0.35</v>
      </c>
      <c r="LO70" s="2">
        <v>0.35</v>
      </c>
      <c r="LP70" s="2">
        <v>0.33</v>
      </c>
      <c r="LQ70" s="2">
        <v>0.33</v>
      </c>
      <c r="LR70" s="2">
        <v>0.34</v>
      </c>
      <c r="LS70" s="2">
        <v>0.34</v>
      </c>
      <c r="LT70" s="2">
        <v>0.27</v>
      </c>
      <c r="LU70" s="2">
        <v>0.27</v>
      </c>
      <c r="LV70" s="2">
        <v>0.31</v>
      </c>
      <c r="LW70" s="2">
        <v>0.31</v>
      </c>
      <c r="LX70" s="2">
        <v>0</v>
      </c>
      <c r="LY70" s="2">
        <v>0.01</v>
      </c>
      <c r="LZ70" s="2">
        <v>0.01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-0.02</v>
      </c>
      <c r="MJ70" s="2">
        <v>0</v>
      </c>
      <c r="MK70" s="2">
        <v>0.01</v>
      </c>
      <c r="ML70" s="2">
        <v>0</v>
      </c>
      <c r="MM70" s="2">
        <v>-0.07000000000000001</v>
      </c>
      <c r="MN70" s="2">
        <v>0</v>
      </c>
      <c r="MO70" s="2">
        <v>0.04</v>
      </c>
      <c r="MP70" s="2">
        <v>0</v>
      </c>
      <c r="QI70" s="2">
        <v>6.46</v>
      </c>
      <c r="QJ70" s="2">
        <v>6.46</v>
      </c>
      <c r="QK70" s="2">
        <v>6.53</v>
      </c>
      <c r="QL70" s="2">
        <v>6.59</v>
      </c>
      <c r="QM70" s="2">
        <v>6.68</v>
      </c>
      <c r="QN70" s="2">
        <v>6.74</v>
      </c>
      <c r="QO70" s="2">
        <v>6.77</v>
      </c>
      <c r="QP70" s="2">
        <v>6.83</v>
      </c>
      <c r="QQ70" s="2">
        <v>7.11</v>
      </c>
      <c r="QR70" s="2">
        <v>7.61</v>
      </c>
      <c r="QS70" s="2">
        <v>7.76</v>
      </c>
      <c r="QT70" s="2">
        <v>7.76</v>
      </c>
      <c r="QU70" s="2">
        <v>8.380000000000001</v>
      </c>
      <c r="QV70" s="2">
        <v>8.470000000000001</v>
      </c>
      <c r="QW70" s="2">
        <v>9</v>
      </c>
      <c r="QX70" s="2">
        <v>9</v>
      </c>
      <c r="QY70" s="2">
        <v>8.69</v>
      </c>
      <c r="QZ70" s="2">
        <v>8.75</v>
      </c>
      <c r="RA70" s="2">
        <v>8.75</v>
      </c>
      <c r="RB70" s="2">
        <v>8.779999999999999</v>
      </c>
      <c r="RC70" s="2">
        <v>8.880000000000001</v>
      </c>
      <c r="RD70" s="2">
        <v>8.970000000000001</v>
      </c>
      <c r="RE70" s="2">
        <v>9.52</v>
      </c>
      <c r="RF70" s="2">
        <v>9.52</v>
      </c>
      <c r="RG70" s="2">
        <v>9.619999999999999</v>
      </c>
      <c r="RH70" s="2">
        <v>9.619999999999999</v>
      </c>
      <c r="RI70" s="2">
        <v>10.02</v>
      </c>
      <c r="RJ70" s="2">
        <v>10.02</v>
      </c>
      <c r="RK70" s="2">
        <v>10.48</v>
      </c>
      <c r="RL70" s="2">
        <v>11.16</v>
      </c>
      <c r="RM70" s="2">
        <v>11.6</v>
      </c>
      <c r="RN70" s="2">
        <v>11.66</v>
      </c>
      <c r="RO70" s="2">
        <v>12.59</v>
      </c>
      <c r="RP70" s="2">
        <v>13.39</v>
      </c>
      <c r="RQ70" s="2">
        <v>13.54</v>
      </c>
      <c r="RR70" s="2">
        <v>13.54</v>
      </c>
      <c r="RS70" s="2">
        <v>14.01</v>
      </c>
      <c r="RT70" s="2">
        <v>15.31</v>
      </c>
      <c r="RU70" s="2">
        <v>15.55</v>
      </c>
      <c r="RV70" s="2">
        <v>15.55</v>
      </c>
      <c r="RW70" s="2">
        <v>16.39</v>
      </c>
      <c r="RX70" s="2">
        <v>17.16</v>
      </c>
      <c r="RY70" s="2">
        <v>17.29</v>
      </c>
      <c r="RZ70" s="2">
        <v>17.29</v>
      </c>
      <c r="SA70" s="2">
        <v>17.78</v>
      </c>
      <c r="SB70" s="2">
        <v>19.36</v>
      </c>
      <c r="SC70" s="2">
        <v>19.58</v>
      </c>
      <c r="SD70" s="2">
        <v>19.58</v>
      </c>
      <c r="SE70" s="2">
        <v>20.04</v>
      </c>
      <c r="SF70" s="2">
        <v>20.5</v>
      </c>
      <c r="SG70" s="2">
        <v>20.6</v>
      </c>
      <c r="SH70" s="2">
        <v>20.66</v>
      </c>
      <c r="SI70" s="2">
        <v>21.21</v>
      </c>
      <c r="SJ70" s="2">
        <v>21.68</v>
      </c>
      <c r="SK70" s="2">
        <v>22.05</v>
      </c>
      <c r="SL70" s="2">
        <v>22.14</v>
      </c>
      <c r="SM70" s="2">
        <v>23.53</v>
      </c>
      <c r="SN70" s="2">
        <v>24</v>
      </c>
      <c r="SO70" s="2">
        <v>24.24</v>
      </c>
      <c r="SP70" s="2">
        <v>24.31</v>
      </c>
      <c r="SQ70" s="2">
        <v>25.36</v>
      </c>
      <c r="SR70" s="2">
        <v>25.7</v>
      </c>
      <c r="SS70" s="2">
        <v>26.13</v>
      </c>
      <c r="ST70" s="2">
        <v>26.29</v>
      </c>
      <c r="SU70" s="2">
        <v>28.17</v>
      </c>
      <c r="SV70" s="2">
        <v>28.57</v>
      </c>
      <c r="SW70" s="2">
        <v>28.64</v>
      </c>
      <c r="SX70" s="2">
        <v>28.73</v>
      </c>
      <c r="SY70" s="2">
        <v>30.34</v>
      </c>
      <c r="SZ70" s="2">
        <v>30.86</v>
      </c>
      <c r="TA70" s="2">
        <v>31.17</v>
      </c>
      <c r="TB70" s="2">
        <v>31.33</v>
      </c>
      <c r="TC70" s="2">
        <v>33.15</v>
      </c>
      <c r="TD70" s="2">
        <v>34.67</v>
      </c>
      <c r="TE70" s="2">
        <v>35.1</v>
      </c>
      <c r="TF70" s="2">
        <v>35.87</v>
      </c>
      <c r="TG70" s="2">
        <v>36.95</v>
      </c>
      <c r="TH70" s="2">
        <v>37.42</v>
      </c>
      <c r="TI70" s="2">
        <v>37.88</v>
      </c>
      <c r="TJ70" s="2">
        <v>37.91</v>
      </c>
      <c r="TK70" s="2">
        <v>38.75</v>
      </c>
      <c r="TL70" s="2">
        <v>38.81</v>
      </c>
      <c r="TM70" s="2">
        <v>39.99</v>
      </c>
      <c r="TN70" s="2">
        <v>40.11</v>
      </c>
      <c r="TO70" s="2">
        <v>40.85</v>
      </c>
      <c r="TP70" s="2">
        <v>40.91</v>
      </c>
      <c r="TQ70" s="2">
        <v>41.28</v>
      </c>
      <c r="TR70" s="2">
        <v>41.38</v>
      </c>
      <c r="TS70" s="2">
        <v>42.06</v>
      </c>
      <c r="TT70" s="2">
        <v>42.24</v>
      </c>
      <c r="TU70" s="2">
        <v>42.52</v>
      </c>
      <c r="TV70" s="2">
        <v>42.61</v>
      </c>
      <c r="TW70" s="2">
        <v>43.76</v>
      </c>
      <c r="TX70" s="2">
        <v>43.82</v>
      </c>
      <c r="TY70" s="2">
        <v>43.97</v>
      </c>
      <c r="TZ70" s="2">
        <v>44.25</v>
      </c>
      <c r="UA70" s="2">
        <v>45.71</v>
      </c>
      <c r="UB70" s="2">
        <v>46.08</v>
      </c>
      <c r="UC70" s="2">
        <v>46.76</v>
      </c>
      <c r="UD70" s="2">
        <v>47</v>
      </c>
      <c r="UE70" s="2">
        <v>47.47</v>
      </c>
      <c r="UF70" s="2">
        <v>47.53</v>
      </c>
      <c r="UG70" s="2">
        <v>47.62</v>
      </c>
      <c r="UH70" s="2">
        <v>47.72</v>
      </c>
      <c r="UI70" s="2">
        <v>48.23</v>
      </c>
      <c r="UJ70" s="2">
        <v>48.15</v>
      </c>
      <c r="UK70" s="2">
        <v>48.56</v>
      </c>
      <c r="UL70" s="2">
        <v>48.67</v>
      </c>
      <c r="UM70" s="2">
        <v>49.77</v>
      </c>
      <c r="UN70" s="2">
        <v>50.66</v>
      </c>
      <c r="UO70" s="2">
        <v>50.98</v>
      </c>
      <c r="UP70" s="2">
        <v>50.98</v>
      </c>
      <c r="UQ70" s="2">
        <v>55.13</v>
      </c>
      <c r="UR70" s="2">
        <v>55.64</v>
      </c>
      <c r="US70" s="2">
        <v>56.58</v>
      </c>
      <c r="UT70" s="2">
        <v>56.58</v>
      </c>
      <c r="UU70" s="2">
        <v>57.92</v>
      </c>
      <c r="UV70" s="2">
        <v>57.91</v>
      </c>
      <c r="UW70" s="2">
        <v>58.33</v>
      </c>
      <c r="UX70" s="2">
        <v>58.34</v>
      </c>
      <c r="UY70" s="2">
        <v>58.83</v>
      </c>
      <c r="UZ70" s="2">
        <v>58.84</v>
      </c>
      <c r="VA70" s="2">
        <v>59.2</v>
      </c>
      <c r="VB70" s="2">
        <v>59.5</v>
      </c>
      <c r="VC70" s="2">
        <v>61.19</v>
      </c>
      <c r="VD70" s="2">
        <v>61.35</v>
      </c>
      <c r="VE70" s="2">
        <v>62.49</v>
      </c>
      <c r="VF70" s="2">
        <v>62.5</v>
      </c>
      <c r="VG70" s="2">
        <v>62.4</v>
      </c>
      <c r="VH70" s="2">
        <v>62.78</v>
      </c>
      <c r="VI70" s="2">
        <v>63.52</v>
      </c>
      <c r="VJ70" s="2">
        <v>63.52</v>
      </c>
      <c r="VK70" s="2">
        <v>64.14</v>
      </c>
      <c r="VL70" s="2">
        <v>64.84999999999999</v>
      </c>
      <c r="VM70" s="2">
        <v>65.59</v>
      </c>
      <c r="VN70" s="2">
        <v>65.59</v>
      </c>
      <c r="VO70" s="2">
        <v>67.19</v>
      </c>
      <c r="VP70" s="2">
        <v>67.25</v>
      </c>
      <c r="VQ70" s="2">
        <v>67.54000000000001</v>
      </c>
      <c r="VR70" s="2">
        <v>68.03</v>
      </c>
      <c r="VS70" s="2">
        <v>69.16</v>
      </c>
      <c r="VT70" s="2">
        <v>70.19</v>
      </c>
      <c r="VU70" s="2">
        <v>71.15000000000001</v>
      </c>
      <c r="VV70" s="2">
        <v>71.34999999999999</v>
      </c>
      <c r="VW70" s="2">
        <v>72.20999999999999</v>
      </c>
      <c r="VX70" s="2">
        <v>72.54000000000001</v>
      </c>
      <c r="VY70" s="2">
        <v>74.95999999999999</v>
      </c>
      <c r="VZ70" s="2">
        <v>74.98</v>
      </c>
      <c r="WA70" s="2">
        <v>75.59999999999999</v>
      </c>
      <c r="WB70" s="2">
        <v>75.73999999999999</v>
      </c>
      <c r="WC70" s="2">
        <v>78.15000000000001</v>
      </c>
      <c r="WD70" s="2">
        <v>76.90000000000001</v>
      </c>
      <c r="WE70" s="2">
        <v>77.51000000000001</v>
      </c>
      <c r="WF70" s="2">
        <v>77.51000000000001</v>
      </c>
      <c r="WG70" s="2">
        <v>78.31</v>
      </c>
      <c r="WH70" s="2">
        <v>79.12</v>
      </c>
      <c r="WI70" s="2">
        <v>79.51000000000001</v>
      </c>
      <c r="WJ70" s="2">
        <v>79.54000000000001</v>
      </c>
      <c r="WK70" s="2">
        <v>83.18000000000001</v>
      </c>
      <c r="WL70" s="2">
        <v>83.22</v>
      </c>
      <c r="WM70" s="2">
        <v>84.09999999999999</v>
      </c>
      <c r="WN70" s="2">
        <v>84.16</v>
      </c>
      <c r="WO70" s="2">
        <v>86.89</v>
      </c>
      <c r="WP70" s="2">
        <v>86.90000000000001</v>
      </c>
      <c r="WQ70" s="2">
        <v>87.2</v>
      </c>
      <c r="WR70" s="2">
        <v>87.2</v>
      </c>
      <c r="WS70" s="2">
        <v>89.09</v>
      </c>
      <c r="WT70" s="2">
        <v>89.09</v>
      </c>
      <c r="WU70" s="2">
        <v>90.06</v>
      </c>
      <c r="WV70" s="2">
        <v>88.41</v>
      </c>
      <c r="WW70" s="2">
        <v>85.5</v>
      </c>
      <c r="WX70" s="2">
        <v>85.5</v>
      </c>
      <c r="WY70" s="2">
        <v>85.7</v>
      </c>
      <c r="WZ70" s="2">
        <v>85.40000000000001</v>
      </c>
      <c r="XA70" s="2">
        <v>85.63</v>
      </c>
      <c r="XB70" s="2">
        <v>85.63</v>
      </c>
      <c r="XC70" s="2">
        <v>85.81999999999999</v>
      </c>
      <c r="XD70" s="2">
        <v>87.42</v>
      </c>
      <c r="XE70" s="2">
        <v>86.63</v>
      </c>
      <c r="XF70" s="2">
        <v>86.78</v>
      </c>
      <c r="XG70" s="2">
        <v>87.86</v>
      </c>
      <c r="XH70" s="2">
        <v>87.86</v>
      </c>
      <c r="XI70" s="2">
        <v>89.41</v>
      </c>
      <c r="XJ70" s="2">
        <v>89.27</v>
      </c>
      <c r="XK70" s="2">
        <v>90.06999999999999</v>
      </c>
      <c r="XL70" s="2">
        <v>90.06999999999999</v>
      </c>
      <c r="XM70" s="2">
        <v>91.09</v>
      </c>
      <c r="XN70" s="2">
        <v>90.92</v>
      </c>
      <c r="XO70" s="2">
        <v>91.95999999999999</v>
      </c>
      <c r="XP70" s="2">
        <v>91.98999999999999</v>
      </c>
      <c r="XQ70" s="2">
        <v>92.52</v>
      </c>
      <c r="XR70" s="2">
        <v>90.66</v>
      </c>
      <c r="XS70" s="2">
        <v>87.43000000000001</v>
      </c>
      <c r="XT70" s="2">
        <v>91.37</v>
      </c>
      <c r="XU70" s="2">
        <v>91.55</v>
      </c>
      <c r="XV70" s="2">
        <v>91.67</v>
      </c>
      <c r="XW70" s="2">
        <v>92.23</v>
      </c>
      <c r="XX70" s="2">
        <v>92.27</v>
      </c>
      <c r="XY70" s="2">
        <v>92.66</v>
      </c>
      <c r="XZ70" s="2">
        <v>88.59999999999999</v>
      </c>
      <c r="YA70" s="2">
        <v>94.48999999999999</v>
      </c>
      <c r="YB70" s="2">
        <v>93.93000000000001</v>
      </c>
      <c r="YC70" s="2">
        <v>95.73</v>
      </c>
      <c r="YD70" s="2">
        <v>95.73999999999999</v>
      </c>
      <c r="YE70" s="2">
        <v>98.52</v>
      </c>
      <c r="YF70" s="2">
        <v>100.05</v>
      </c>
      <c r="YG70" s="2">
        <v>100.32</v>
      </c>
      <c r="YH70" s="2">
        <v>101.08</v>
      </c>
      <c r="YI70" s="2">
        <v>98.93000000000001</v>
      </c>
      <c r="YJ70" s="2">
        <v>95.79000000000001</v>
      </c>
      <c r="YK70" s="2">
        <v>96.48</v>
      </c>
      <c r="YL70" s="2">
        <v>98.13</v>
      </c>
      <c r="YM70" s="2">
        <v>99.98999999999999</v>
      </c>
      <c r="YN70" s="2">
        <v>97.88</v>
      </c>
      <c r="YO70" s="2">
        <v>95.31999999999999</v>
      </c>
      <c r="YP70" s="2">
        <v>80.86</v>
      </c>
      <c r="ACI70" s="2">
        <v>0</v>
      </c>
      <c r="ACJ70" s="2">
        <v>1.1</v>
      </c>
      <c r="ACK70" s="2">
        <v>0.9</v>
      </c>
      <c r="ACL70" s="2">
        <v>1.4</v>
      </c>
      <c r="ACM70" s="2">
        <v>0.9</v>
      </c>
      <c r="ACN70" s="2">
        <v>0.4</v>
      </c>
      <c r="ACO70" s="2">
        <v>0.9</v>
      </c>
      <c r="ACP70" s="2">
        <v>4.1</v>
      </c>
      <c r="ACQ70" s="2">
        <v>7</v>
      </c>
      <c r="ACR70" s="2">
        <v>2</v>
      </c>
      <c r="ACS70" s="2">
        <v>0</v>
      </c>
      <c r="ACT70" s="2">
        <v>8</v>
      </c>
      <c r="ACU70" s="2">
        <v>1.1</v>
      </c>
      <c r="ACV70" s="2">
        <v>6.3</v>
      </c>
      <c r="ACW70" s="2">
        <v>0</v>
      </c>
      <c r="ACX70" s="2">
        <v>-3.4</v>
      </c>
      <c r="ACY70" s="2">
        <v>0.7</v>
      </c>
      <c r="ACZ70" s="2">
        <v>0</v>
      </c>
      <c r="ADA70" s="2">
        <v>0.3</v>
      </c>
      <c r="ADB70" s="2">
        <v>1.1</v>
      </c>
      <c r="ADC70" s="2">
        <v>1</v>
      </c>
      <c r="ADD70" s="2">
        <v>6.1</v>
      </c>
      <c r="ADE70" s="2">
        <v>0</v>
      </c>
      <c r="ADF70" s="2">
        <v>1.1</v>
      </c>
      <c r="ADG70" s="2">
        <v>0</v>
      </c>
      <c r="ADH70" s="2">
        <v>4.2</v>
      </c>
      <c r="ADI70" s="2">
        <v>0</v>
      </c>
      <c r="ADJ70" s="2">
        <v>4.6</v>
      </c>
      <c r="ADK70" s="2">
        <v>6.5</v>
      </c>
      <c r="ADL70" s="2">
        <v>3.9</v>
      </c>
      <c r="ADM70" s="2">
        <v>0.5</v>
      </c>
      <c r="ADN70" s="2">
        <v>8</v>
      </c>
      <c r="ADO70" s="2">
        <v>6.4</v>
      </c>
      <c r="ADP70" s="2">
        <v>1.1</v>
      </c>
      <c r="ADQ70" s="2">
        <v>0</v>
      </c>
      <c r="ADR70" s="2">
        <v>3.5</v>
      </c>
      <c r="ADS70" s="2">
        <v>9.300000000000001</v>
      </c>
      <c r="ADT70" s="2">
        <v>1.6</v>
      </c>
      <c r="ADU70" s="2">
        <v>0</v>
      </c>
      <c r="ADV70" s="2">
        <v>5.4</v>
      </c>
      <c r="ADW70" s="2">
        <v>4.7</v>
      </c>
      <c r="ADX70" s="2">
        <v>0.8</v>
      </c>
      <c r="ADY70" s="2">
        <v>0</v>
      </c>
      <c r="ADZ70" s="2">
        <v>2.8</v>
      </c>
      <c r="AEA70" s="2">
        <v>8.9</v>
      </c>
      <c r="AEB70" s="2">
        <v>1.1</v>
      </c>
      <c r="AEC70" s="2">
        <v>0</v>
      </c>
      <c r="AED70" s="2">
        <v>2.3</v>
      </c>
      <c r="AEE70" s="2">
        <v>2.3</v>
      </c>
      <c r="AEF70" s="2">
        <v>0.5</v>
      </c>
      <c r="AEG70" s="2">
        <v>0.3</v>
      </c>
      <c r="AEH70" s="2">
        <v>2.7</v>
      </c>
      <c r="AEI70" s="2">
        <v>2.2</v>
      </c>
      <c r="AEJ70" s="2">
        <v>1.7</v>
      </c>
      <c r="AEK70" s="2">
        <v>0.4</v>
      </c>
      <c r="AEL70" s="2">
        <v>6.3</v>
      </c>
      <c r="AEM70" s="2">
        <v>2</v>
      </c>
      <c r="AEN70" s="2">
        <v>1</v>
      </c>
      <c r="AEO70" s="2">
        <v>0.3</v>
      </c>
      <c r="AEP70" s="2">
        <v>4.3</v>
      </c>
      <c r="AEQ70" s="2">
        <v>1.3</v>
      </c>
      <c r="AER70" s="2">
        <v>1.7</v>
      </c>
      <c r="AES70" s="2">
        <v>0.6</v>
      </c>
      <c r="AET70" s="2">
        <v>7.2</v>
      </c>
      <c r="AEU70" s="2">
        <v>1.4</v>
      </c>
      <c r="AEV70" s="2">
        <v>0.2</v>
      </c>
      <c r="AEW70" s="2">
        <v>0.3</v>
      </c>
      <c r="AEX70" s="2">
        <v>5.6</v>
      </c>
      <c r="AEY70" s="2">
        <v>1.7</v>
      </c>
      <c r="AEZ70" s="2">
        <v>1</v>
      </c>
      <c r="AFA70" s="2">
        <v>0.5</v>
      </c>
      <c r="AFB70" s="2">
        <v>5.8</v>
      </c>
      <c r="AFC70" s="2">
        <v>4.6</v>
      </c>
      <c r="AFD70" s="2">
        <v>1.2</v>
      </c>
      <c r="AFE70" s="2">
        <v>2.2</v>
      </c>
      <c r="AFF70" s="2">
        <v>3</v>
      </c>
      <c r="AFG70" s="2">
        <v>1.3</v>
      </c>
      <c r="AFH70" s="2">
        <v>1.2</v>
      </c>
      <c r="AFI70" s="2">
        <v>0.1</v>
      </c>
      <c r="AFJ70" s="2">
        <v>2.2</v>
      </c>
      <c r="AFK70" s="2">
        <v>0.2</v>
      </c>
      <c r="AFL70" s="2">
        <v>3</v>
      </c>
      <c r="AFM70" s="2">
        <v>0.3</v>
      </c>
      <c r="AFN70" s="2">
        <v>1.8</v>
      </c>
      <c r="AFO70" s="2">
        <v>0.1</v>
      </c>
      <c r="AFP70" s="2">
        <v>0.9</v>
      </c>
      <c r="AFQ70" s="2">
        <v>0.2</v>
      </c>
      <c r="AFR70" s="2">
        <v>1.6</v>
      </c>
      <c r="AFS70" s="2">
        <v>0.4</v>
      </c>
      <c r="AFT70" s="2">
        <v>0.7</v>
      </c>
      <c r="AFU70" s="2">
        <v>0.2</v>
      </c>
      <c r="AFV70" s="2">
        <v>2.7</v>
      </c>
      <c r="AFW70" s="2">
        <v>0.1</v>
      </c>
      <c r="AFX70" s="2">
        <v>0.3</v>
      </c>
      <c r="AFY70" s="2">
        <v>0.6</v>
      </c>
      <c r="AFZ70" s="2">
        <v>3.3</v>
      </c>
      <c r="AGA70" s="2">
        <v>0.8</v>
      </c>
      <c r="AGB70" s="2">
        <v>1.5</v>
      </c>
      <c r="AGC70" s="2">
        <v>0.5</v>
      </c>
      <c r="AGD70" s="2">
        <v>1</v>
      </c>
      <c r="AGE70" s="2">
        <v>0.1</v>
      </c>
      <c r="AGF70" s="2">
        <v>0.2</v>
      </c>
      <c r="AGG70" s="2">
        <v>0.2</v>
      </c>
      <c r="AGH70" s="2">
        <v>1.1</v>
      </c>
      <c r="AGI70" s="2">
        <v>-0.2</v>
      </c>
      <c r="AGJ70" s="2">
        <v>0.9</v>
      </c>
      <c r="AGK70" s="2">
        <v>0.2</v>
      </c>
      <c r="AGL70" s="2">
        <v>2.3</v>
      </c>
      <c r="AGM70" s="2">
        <v>1.8</v>
      </c>
      <c r="AGN70" s="2">
        <v>0.6</v>
      </c>
      <c r="AGO70" s="2">
        <v>0</v>
      </c>
      <c r="AGP70" s="2">
        <v>8.1</v>
      </c>
      <c r="AGQ70" s="2">
        <v>0.9</v>
      </c>
      <c r="AGR70" s="2">
        <v>1.7</v>
      </c>
      <c r="AGS70" s="2">
        <v>0</v>
      </c>
      <c r="AGT70" s="2">
        <v>2.4</v>
      </c>
      <c r="AGU70" s="2">
        <v>0</v>
      </c>
      <c r="AGV70" s="2">
        <v>0.7</v>
      </c>
      <c r="AGW70" s="2">
        <v>0</v>
      </c>
      <c r="AGX70" s="2">
        <v>0.8</v>
      </c>
      <c r="AGY70" s="2">
        <v>0</v>
      </c>
      <c r="AGZ70" s="2">
        <v>0.6</v>
      </c>
      <c r="AHA70" s="2">
        <v>0.5</v>
      </c>
      <c r="AHB70" s="2">
        <v>2.8</v>
      </c>
      <c r="AHC70" s="2">
        <v>0.3</v>
      </c>
      <c r="AHD70" s="2">
        <v>1.9</v>
      </c>
      <c r="AHE70" s="2">
        <v>0</v>
      </c>
      <c r="AHF70" s="2">
        <v>-0.2</v>
      </c>
      <c r="AHG70" s="2">
        <v>0.6</v>
      </c>
      <c r="AHH70" s="2">
        <v>1.2</v>
      </c>
      <c r="AHI70" s="2">
        <v>0</v>
      </c>
      <c r="AHJ70" s="2">
        <v>1</v>
      </c>
      <c r="AHK70" s="2">
        <v>1.1</v>
      </c>
      <c r="AHL70" s="2">
        <v>1.1</v>
      </c>
      <c r="AHM70" s="2">
        <v>0</v>
      </c>
      <c r="AHN70" s="2">
        <v>2.4</v>
      </c>
      <c r="AHO70" s="2">
        <v>0.1</v>
      </c>
      <c r="AHP70" s="2">
        <v>0.4</v>
      </c>
      <c r="AHQ70" s="2">
        <v>0.7</v>
      </c>
      <c r="AHR70" s="2">
        <v>1.7</v>
      </c>
      <c r="AHS70" s="2">
        <v>1.5</v>
      </c>
      <c r="AHT70" s="2">
        <v>1.4</v>
      </c>
      <c r="AHU70" s="2">
        <v>0.3</v>
      </c>
      <c r="AHV70" s="2">
        <v>1.2</v>
      </c>
      <c r="AHW70" s="2">
        <v>0.5</v>
      </c>
      <c r="AHX70" s="2">
        <v>3.3</v>
      </c>
      <c r="AHY70" s="2">
        <v>0</v>
      </c>
      <c r="AHZ70" s="2">
        <v>0.8</v>
      </c>
      <c r="AIA70" s="2">
        <v>0.2</v>
      </c>
      <c r="AIB70" s="2">
        <v>3.2</v>
      </c>
      <c r="AIC70" s="2">
        <v>-1.6</v>
      </c>
      <c r="AID70" s="2">
        <v>0.8</v>
      </c>
      <c r="AIE70" s="2">
        <v>0</v>
      </c>
      <c r="AIF70" s="2">
        <v>1</v>
      </c>
      <c r="AIG70" s="2">
        <v>1</v>
      </c>
      <c r="AIH70" s="2">
        <v>0.5</v>
      </c>
      <c r="AII70" s="2">
        <v>0</v>
      </c>
      <c r="AIJ70" s="2">
        <v>4.6</v>
      </c>
      <c r="AIK70" s="2">
        <v>0</v>
      </c>
      <c r="AIL70" s="2">
        <v>1.1</v>
      </c>
      <c r="AIM70" s="2">
        <v>0.1</v>
      </c>
      <c r="AIN70" s="2">
        <v>3.2</v>
      </c>
      <c r="AIO70" s="2">
        <v>0</v>
      </c>
      <c r="AIP70" s="2">
        <v>0.3</v>
      </c>
      <c r="AIQ70" s="2">
        <v>0</v>
      </c>
      <c r="AIR70" s="2">
        <v>2.2</v>
      </c>
      <c r="AIS70" s="2">
        <v>0</v>
      </c>
      <c r="AIT70" s="2">
        <v>1.1</v>
      </c>
      <c r="AIU70" s="2">
        <v>-1.8</v>
      </c>
      <c r="AIV70" s="2">
        <v>-3.3</v>
      </c>
      <c r="AIW70" s="2">
        <v>0</v>
      </c>
      <c r="AIX70" s="2">
        <v>0.2</v>
      </c>
      <c r="AIY70" s="2">
        <v>-0.4</v>
      </c>
      <c r="AIZ70" s="2">
        <v>0.3</v>
      </c>
      <c r="AJA70" s="2">
        <v>0</v>
      </c>
      <c r="AJB70" s="2">
        <v>0.2</v>
      </c>
      <c r="AJC70" s="2">
        <v>1.9</v>
      </c>
      <c r="AJD70" s="2">
        <v>-0.9</v>
      </c>
      <c r="AJE70" s="2">
        <v>0.2</v>
      </c>
      <c r="AJF70" s="2">
        <v>1.2</v>
      </c>
      <c r="AJG70" s="2">
        <v>0</v>
      </c>
      <c r="AJH70" s="2">
        <v>1.8</v>
      </c>
      <c r="AJI70" s="2">
        <v>-0.2</v>
      </c>
      <c r="AJJ70" s="2">
        <v>0.9</v>
      </c>
      <c r="AJK70" s="2">
        <v>0</v>
      </c>
      <c r="AJL70" s="2">
        <v>1.1</v>
      </c>
      <c r="AJM70" s="2">
        <v>-0.2</v>
      </c>
      <c r="AJN70" s="2">
        <v>1.1</v>
      </c>
      <c r="AJO70" s="2">
        <v>0</v>
      </c>
      <c r="AJP70" s="2">
        <v>0.6</v>
      </c>
      <c r="AJQ70" s="2">
        <v>-2</v>
      </c>
      <c r="AJR70" s="2">
        <v>-3.6</v>
      </c>
      <c r="AJS70" s="2">
        <v>4.5</v>
      </c>
      <c r="AJT70" s="2">
        <v>0.2</v>
      </c>
      <c r="AJU70" s="2">
        <v>0.1</v>
      </c>
      <c r="AJV70" s="2">
        <v>0.6</v>
      </c>
      <c r="AJW70" s="2">
        <v>0</v>
      </c>
      <c r="AJX70" s="2">
        <v>0.4</v>
      </c>
      <c r="AJY70" s="2">
        <v>-4.4</v>
      </c>
      <c r="AJZ70" s="2">
        <v>6.6</v>
      </c>
      <c r="AKA70" s="2">
        <v>-0.6</v>
      </c>
      <c r="AKB70" s="2">
        <v>1.9</v>
      </c>
      <c r="AKC70" s="2">
        <v>0</v>
      </c>
      <c r="AKD70" s="2">
        <v>2.9</v>
      </c>
      <c r="AKE70" s="2">
        <v>1.6</v>
      </c>
      <c r="AKF70" s="2">
        <v>0.3</v>
      </c>
      <c r="AKG70" s="2">
        <v>0.8</v>
      </c>
      <c r="AKH70" s="2">
        <v>-2.1</v>
      </c>
      <c r="AKI70" s="2">
        <v>-3.2</v>
      </c>
      <c r="AKJ70" s="2">
        <v>0.7</v>
      </c>
      <c r="AKK70" s="2">
        <v>1.7</v>
      </c>
      <c r="AKL70" s="2">
        <v>1.9</v>
      </c>
      <c r="AKM70" s="2">
        <v>-2.1</v>
      </c>
      <c r="AKN70" s="2">
        <v>-2.6</v>
      </c>
      <c r="AKO70" s="2">
        <v>-15.2</v>
      </c>
      <c r="AKP70" s="2">
        <v>0.35</v>
      </c>
      <c r="AKQ70" s="2">
        <v>0.34</v>
      </c>
      <c r="AKR70" s="2">
        <v>0.29</v>
      </c>
    </row>
    <row r="71">
      <c r="A71" t="inlineStr">
        <is>
          <t>Postal services</t>
        </is>
      </c>
      <c r="B71" t="inlineStr">
        <is>
          <t>Communication</t>
        </is>
      </c>
      <c r="C71">
        <v>3</v>
      </c>
      <c r="D71">
        <v>0.1</v>
      </c>
      <c r="E71" s="3">
        <f>D71/2.12*0.0212</f>
        <v>0.001</v>
      </c>
      <c r="F71" s="3">
        <f>E71-D71/100</f>
        <v>0.0</v>
      </c>
      <c r="G71" s="3">
        <f>D71/2.12</f>
        <v>0.04716981132075472</v>
      </c>
      <c r="BN71" s="2">
        <v>80.95</v>
      </c>
      <c r="BO71" s="2">
        <v>81.15000000000001</v>
      </c>
      <c r="BP71" s="2">
        <v>81.84</v>
      </c>
      <c r="BQ71" s="2">
        <v>81.81999999999999</v>
      </c>
      <c r="BR71" s="2">
        <v>81.73</v>
      </c>
      <c r="BS71" s="2">
        <v>81.41</v>
      </c>
      <c r="BT71" s="2">
        <v>81.81999999999999</v>
      </c>
      <c r="BU71" s="2">
        <v>81.40000000000001</v>
      </c>
      <c r="BV71" s="2">
        <v>85.88</v>
      </c>
      <c r="BW71" s="2">
        <v>85.15000000000001</v>
      </c>
      <c r="BX71" s="2">
        <v>86.33</v>
      </c>
      <c r="BY71" s="2">
        <v>86.04000000000001</v>
      </c>
      <c r="BZ71" s="2">
        <v>90.95</v>
      </c>
      <c r="CA71" s="2">
        <v>93.58</v>
      </c>
      <c r="CB71" s="2">
        <v>94.06</v>
      </c>
      <c r="CC71" s="2">
        <v>94.42</v>
      </c>
      <c r="CD71" s="2">
        <v>95</v>
      </c>
      <c r="CE71" s="2">
        <v>95.39</v>
      </c>
      <c r="CF71" s="2">
        <v>95.02</v>
      </c>
      <c r="CG71" s="2">
        <v>96.22</v>
      </c>
      <c r="CH71" s="2">
        <v>96.20999999999999</v>
      </c>
      <c r="CI71" s="2">
        <v>96.77</v>
      </c>
      <c r="CJ71" s="2">
        <v>94.61</v>
      </c>
      <c r="CK71" s="2">
        <v>92.38</v>
      </c>
      <c r="CL71" s="2">
        <v>96.26000000000001</v>
      </c>
      <c r="CM71" s="2">
        <v>96.17</v>
      </c>
      <c r="CN71" s="2">
        <v>95.95999999999999</v>
      </c>
      <c r="CO71" s="2">
        <v>95.36</v>
      </c>
      <c r="CP71" s="2">
        <v>95.19</v>
      </c>
      <c r="CQ71" s="2">
        <v>95.05</v>
      </c>
      <c r="CR71" s="2">
        <v>95.03</v>
      </c>
      <c r="CS71" s="2">
        <v>96.36</v>
      </c>
      <c r="CT71" s="2">
        <v>96.76000000000001</v>
      </c>
      <c r="CU71" s="2">
        <v>98.13</v>
      </c>
      <c r="CV71" s="2">
        <v>97.98</v>
      </c>
      <c r="CW71" s="2">
        <v>98.29000000000001</v>
      </c>
      <c r="CX71" s="2">
        <v>99.40000000000001</v>
      </c>
      <c r="CY71" s="2">
        <v>99.59</v>
      </c>
      <c r="CZ71" s="2">
        <v>100</v>
      </c>
      <c r="DA71" s="2">
        <v>100.56</v>
      </c>
      <c r="DB71" s="2">
        <v>100.63</v>
      </c>
      <c r="DC71" s="2">
        <v>100.87</v>
      </c>
      <c r="DD71" s="2">
        <v>100.78</v>
      </c>
      <c r="DE71" s="2">
        <v>100.46</v>
      </c>
      <c r="DF71" s="2">
        <v>104.04</v>
      </c>
      <c r="DG71" s="2">
        <v>110.3</v>
      </c>
      <c r="DH71" s="2">
        <v>109.33</v>
      </c>
      <c r="DI71" s="2">
        <v>106.88</v>
      </c>
      <c r="DJ71" s="2">
        <v>106.12</v>
      </c>
      <c r="FQ71" s="2">
        <v>12.4</v>
      </c>
      <c r="FR71" s="2">
        <v>15.3</v>
      </c>
      <c r="FS71" s="2">
        <v>14.9</v>
      </c>
      <c r="FT71" s="2">
        <v>15.4</v>
      </c>
      <c r="FU71" s="2">
        <v>16.2</v>
      </c>
      <c r="FV71" s="2">
        <v>17.2</v>
      </c>
      <c r="FW71" s="2">
        <v>16.1</v>
      </c>
      <c r="FX71" s="2">
        <v>18.2</v>
      </c>
      <c r="FY71" s="2">
        <v>12</v>
      </c>
      <c r="FZ71" s="2">
        <v>13.6</v>
      </c>
      <c r="GA71" s="2">
        <v>9.6</v>
      </c>
      <c r="GB71" s="2">
        <v>7.4</v>
      </c>
      <c r="GC71" s="2">
        <v>5.8</v>
      </c>
      <c r="GD71" s="2">
        <v>2.8</v>
      </c>
      <c r="GE71" s="2">
        <v>2</v>
      </c>
      <c r="GF71" s="2">
        <v>1</v>
      </c>
      <c r="GG71" s="2">
        <v>0.2</v>
      </c>
      <c r="GH71" s="2">
        <v>-0.4</v>
      </c>
      <c r="GI71" s="2">
        <v>0</v>
      </c>
      <c r="GJ71" s="2">
        <v>0.1</v>
      </c>
      <c r="GK71" s="2">
        <v>0.6</v>
      </c>
      <c r="GL71" s="2">
        <v>1.4</v>
      </c>
      <c r="GM71" s="2">
        <v>3.6</v>
      </c>
      <c r="GN71" s="2">
        <v>6.4</v>
      </c>
      <c r="GO71" s="2">
        <v>3.3</v>
      </c>
      <c r="GP71" s="2">
        <v>3.6</v>
      </c>
      <c r="GQ71" s="2">
        <v>4.2</v>
      </c>
      <c r="GR71" s="2">
        <v>5.5</v>
      </c>
      <c r="GS71" s="2">
        <v>5.7</v>
      </c>
      <c r="GT71" s="2">
        <v>6.1</v>
      </c>
      <c r="GU71" s="2">
        <v>6.1</v>
      </c>
      <c r="GV71" s="2">
        <v>4.3</v>
      </c>
      <c r="GW71" s="2">
        <v>7.5</v>
      </c>
      <c r="GX71" s="2">
        <v>12.4</v>
      </c>
      <c r="GY71" s="2">
        <v>11.6</v>
      </c>
      <c r="GZ71" s="2">
        <v>8.699999999999999</v>
      </c>
      <c r="HA71" s="2">
        <v>6.8</v>
      </c>
      <c r="JH71" s="2">
        <v>0.2</v>
      </c>
      <c r="JI71" s="2">
        <v>0.9</v>
      </c>
      <c r="JJ71" s="2">
        <v>0</v>
      </c>
      <c r="JK71" s="2">
        <v>-0.1</v>
      </c>
      <c r="JL71" s="2">
        <v>-0.4</v>
      </c>
      <c r="JM71" s="2">
        <v>0.5</v>
      </c>
      <c r="JN71" s="2">
        <v>-0.5</v>
      </c>
      <c r="JO71" s="2">
        <v>5.5</v>
      </c>
      <c r="JP71" s="2">
        <v>-0.9</v>
      </c>
      <c r="JQ71" s="2">
        <v>1.4</v>
      </c>
      <c r="JR71" s="2">
        <v>-0.3</v>
      </c>
      <c r="JS71" s="2">
        <v>5.7</v>
      </c>
      <c r="JT71" s="2">
        <v>2.9</v>
      </c>
      <c r="JU71" s="2">
        <v>0.5</v>
      </c>
      <c r="JV71" s="2">
        <v>0.4</v>
      </c>
      <c r="JW71" s="2">
        <v>0.6</v>
      </c>
      <c r="JX71" s="2">
        <v>0.4</v>
      </c>
      <c r="JY71" s="2">
        <v>-0.4</v>
      </c>
      <c r="JZ71" s="2">
        <v>1.3</v>
      </c>
      <c r="KA71" s="2">
        <v>0</v>
      </c>
      <c r="KB71" s="2">
        <v>0.6</v>
      </c>
      <c r="KC71" s="2">
        <v>-2.2</v>
      </c>
      <c r="KD71" s="2">
        <v>-2.4</v>
      </c>
      <c r="KE71" s="2">
        <v>4.2</v>
      </c>
      <c r="KF71" s="2">
        <v>-0.1</v>
      </c>
      <c r="KG71" s="2">
        <v>-0.2</v>
      </c>
      <c r="KH71" s="2">
        <v>-0.6</v>
      </c>
      <c r="KI71" s="2">
        <v>-0.2</v>
      </c>
      <c r="KJ71" s="2">
        <v>-0.1</v>
      </c>
      <c r="KK71" s="2">
        <v>0</v>
      </c>
      <c r="KL71" s="2">
        <v>1.4</v>
      </c>
      <c r="KM71" s="2">
        <v>0.4</v>
      </c>
      <c r="KN71" s="2">
        <v>1.4</v>
      </c>
      <c r="KO71" s="2">
        <v>-0.2</v>
      </c>
      <c r="KP71" s="2">
        <v>0.3</v>
      </c>
      <c r="KQ71" s="2">
        <v>1.1</v>
      </c>
      <c r="KR71" s="2">
        <v>0.2</v>
      </c>
      <c r="KS71" s="2">
        <v>0.4</v>
      </c>
      <c r="KT71" s="2">
        <v>0.6</v>
      </c>
      <c r="KU71" s="2">
        <v>0.1</v>
      </c>
      <c r="KV71" s="2">
        <v>0.2</v>
      </c>
      <c r="KW71" s="2">
        <v>-0.1</v>
      </c>
      <c r="KX71" s="2">
        <v>-0.3</v>
      </c>
      <c r="KY71" s="2">
        <v>3.6</v>
      </c>
      <c r="KZ71" s="2">
        <v>6</v>
      </c>
      <c r="LA71" s="2">
        <v>-0.9</v>
      </c>
      <c r="LB71" s="2">
        <v>-2.2</v>
      </c>
      <c r="LC71" s="2">
        <v>-0.7</v>
      </c>
      <c r="LD71" s="2">
        <v>0.1</v>
      </c>
      <c r="LE71" s="2">
        <v>0.1</v>
      </c>
      <c r="LF71" s="2">
        <v>0.1</v>
      </c>
      <c r="LG71" s="2">
        <v>0.1</v>
      </c>
      <c r="LH71" s="2">
        <v>0.1</v>
      </c>
      <c r="LI71" s="2">
        <v>0.1</v>
      </c>
      <c r="LJ71" s="2">
        <v>0.1</v>
      </c>
      <c r="LK71" s="2">
        <v>0.1</v>
      </c>
      <c r="LL71" s="2">
        <v>0.1</v>
      </c>
      <c r="LM71" s="2">
        <v>0.1</v>
      </c>
      <c r="LN71" s="2">
        <v>0.11</v>
      </c>
      <c r="LO71" s="2">
        <v>0.11</v>
      </c>
      <c r="LP71" s="2">
        <v>0.11</v>
      </c>
      <c r="LQ71" s="2">
        <v>0.11</v>
      </c>
      <c r="LR71" s="2">
        <v>0.11</v>
      </c>
      <c r="LS71" s="2">
        <v>0.11</v>
      </c>
      <c r="LT71" s="2">
        <v>0.12</v>
      </c>
      <c r="LU71" s="2">
        <v>0.11</v>
      </c>
      <c r="LV71" s="2">
        <v>0.11</v>
      </c>
      <c r="LW71" s="2">
        <v>0.11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0.01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0.01</v>
      </c>
      <c r="MN71" s="2">
        <v>-0.01</v>
      </c>
      <c r="MO71" s="2">
        <v>0</v>
      </c>
      <c r="MP71" s="2">
        <v>0</v>
      </c>
      <c r="RO71" s="2">
        <v>17.61</v>
      </c>
      <c r="RP71" s="2">
        <v>17.61</v>
      </c>
      <c r="RQ71" s="2">
        <v>17.61</v>
      </c>
      <c r="RR71" s="2">
        <v>17.57</v>
      </c>
      <c r="RS71" s="2">
        <v>19.09</v>
      </c>
      <c r="RT71" s="2">
        <v>19.15</v>
      </c>
      <c r="RU71" s="2">
        <v>19.15</v>
      </c>
      <c r="RV71" s="2">
        <v>20.8</v>
      </c>
      <c r="RW71" s="2">
        <v>21.2</v>
      </c>
      <c r="RX71" s="2">
        <v>21.54</v>
      </c>
      <c r="RY71" s="2">
        <v>21.54</v>
      </c>
      <c r="RZ71" s="2">
        <v>21.54</v>
      </c>
      <c r="SA71" s="2">
        <v>21.54</v>
      </c>
      <c r="SB71" s="2">
        <v>23.89</v>
      </c>
      <c r="SC71" s="2">
        <v>23.92</v>
      </c>
      <c r="SD71" s="2">
        <v>23.92</v>
      </c>
      <c r="SE71" s="2">
        <v>23.92</v>
      </c>
      <c r="SF71" s="2">
        <v>23.92</v>
      </c>
      <c r="SG71" s="2">
        <v>24.7</v>
      </c>
      <c r="SH71" s="2">
        <v>26.21</v>
      </c>
      <c r="SI71" s="2">
        <v>26.21</v>
      </c>
      <c r="SJ71" s="2">
        <v>26.38</v>
      </c>
      <c r="SK71" s="2">
        <v>26.38</v>
      </c>
      <c r="SL71" s="2">
        <v>26.38</v>
      </c>
      <c r="SM71" s="2">
        <v>27.42</v>
      </c>
      <c r="SN71" s="2">
        <v>28.96</v>
      </c>
      <c r="SO71" s="2">
        <v>28.96</v>
      </c>
      <c r="SP71" s="2">
        <v>28.96</v>
      </c>
      <c r="SQ71" s="2">
        <v>29.74</v>
      </c>
      <c r="SR71" s="2">
        <v>29.74</v>
      </c>
      <c r="SS71" s="2">
        <v>29.74</v>
      </c>
      <c r="ST71" s="2">
        <v>29.74</v>
      </c>
      <c r="SU71" s="2">
        <v>29.74</v>
      </c>
      <c r="SV71" s="2">
        <v>31.05</v>
      </c>
      <c r="SW71" s="2">
        <v>31.65</v>
      </c>
      <c r="SX71" s="2">
        <v>32.12</v>
      </c>
      <c r="SY71" s="2">
        <v>32.59</v>
      </c>
      <c r="SZ71" s="2">
        <v>33.73</v>
      </c>
      <c r="TA71" s="2">
        <v>33.97</v>
      </c>
      <c r="TB71" s="2">
        <v>34.07</v>
      </c>
      <c r="TC71" s="2">
        <v>34.61</v>
      </c>
      <c r="TD71" s="2">
        <v>34.84</v>
      </c>
      <c r="TE71" s="2">
        <v>34.84</v>
      </c>
      <c r="TF71" s="2">
        <v>35.08</v>
      </c>
      <c r="TG71" s="2">
        <v>35.08</v>
      </c>
      <c r="TH71" s="2">
        <v>35.08</v>
      </c>
      <c r="TI71" s="2">
        <v>36.93</v>
      </c>
      <c r="TJ71" s="2">
        <v>36.99</v>
      </c>
      <c r="TK71" s="2">
        <v>36.99</v>
      </c>
      <c r="TL71" s="2">
        <v>36.99</v>
      </c>
      <c r="TM71" s="2">
        <v>36.99</v>
      </c>
      <c r="TN71" s="2">
        <v>36.99</v>
      </c>
      <c r="TO71" s="2">
        <v>36.99</v>
      </c>
      <c r="TP71" s="2">
        <v>36.99</v>
      </c>
      <c r="TQ71" s="2">
        <v>36.99</v>
      </c>
      <c r="TR71" s="2">
        <v>36.99</v>
      </c>
      <c r="TS71" s="2">
        <v>36.99</v>
      </c>
      <c r="TT71" s="2">
        <v>36.99</v>
      </c>
      <c r="TU71" s="2">
        <v>36.99</v>
      </c>
      <c r="TV71" s="2">
        <v>36.99</v>
      </c>
      <c r="TW71" s="2">
        <v>37.13</v>
      </c>
      <c r="TX71" s="2">
        <v>37.13</v>
      </c>
      <c r="TY71" s="2">
        <v>37.13</v>
      </c>
      <c r="TZ71" s="2">
        <v>37.13</v>
      </c>
      <c r="UA71" s="2">
        <v>37.13</v>
      </c>
      <c r="UB71" s="2">
        <v>37.13</v>
      </c>
      <c r="UC71" s="2">
        <v>37.4</v>
      </c>
      <c r="UD71" s="2">
        <v>37.4</v>
      </c>
      <c r="UE71" s="2">
        <v>37.4</v>
      </c>
      <c r="UF71" s="2">
        <v>37.4</v>
      </c>
      <c r="UG71" s="2">
        <v>37.43</v>
      </c>
      <c r="UH71" s="2">
        <v>37.43</v>
      </c>
      <c r="UI71" s="2">
        <v>37.42</v>
      </c>
      <c r="UJ71" s="2">
        <v>37.47</v>
      </c>
      <c r="UK71" s="2">
        <v>37.47</v>
      </c>
      <c r="UL71" s="2">
        <v>37.47</v>
      </c>
      <c r="UM71" s="2">
        <v>37.47</v>
      </c>
      <c r="UN71" s="2">
        <v>38.93</v>
      </c>
      <c r="UO71" s="2">
        <v>38.98</v>
      </c>
      <c r="UP71" s="2">
        <v>38.98</v>
      </c>
      <c r="UQ71" s="2">
        <v>40.08</v>
      </c>
      <c r="UR71" s="2">
        <v>40.08</v>
      </c>
      <c r="US71" s="2">
        <v>40.08</v>
      </c>
      <c r="UT71" s="2">
        <v>40.08</v>
      </c>
      <c r="UU71" s="2">
        <v>40.08</v>
      </c>
      <c r="UV71" s="2">
        <v>40.68</v>
      </c>
      <c r="UW71" s="2">
        <v>40.68</v>
      </c>
      <c r="UX71" s="2">
        <v>40.68</v>
      </c>
      <c r="UY71" s="2">
        <v>41.68</v>
      </c>
      <c r="UZ71" s="2">
        <v>41.68</v>
      </c>
      <c r="VA71" s="2">
        <v>43.5</v>
      </c>
      <c r="VB71" s="2">
        <v>43.78</v>
      </c>
      <c r="VC71" s="2">
        <v>44.03</v>
      </c>
      <c r="VD71" s="2">
        <v>44.6</v>
      </c>
      <c r="VE71" s="2">
        <v>44.6</v>
      </c>
      <c r="VF71" s="2">
        <v>44.6</v>
      </c>
      <c r="VG71" s="2">
        <v>44.75</v>
      </c>
      <c r="VH71" s="2">
        <v>45.05</v>
      </c>
      <c r="VI71" s="2">
        <v>45.05</v>
      </c>
      <c r="VJ71" s="2">
        <v>45.05</v>
      </c>
      <c r="VK71" s="2">
        <v>45.26</v>
      </c>
      <c r="VL71" s="2">
        <v>45.7</v>
      </c>
      <c r="VM71" s="2">
        <v>45.81</v>
      </c>
      <c r="VN71" s="2">
        <v>46.04</v>
      </c>
      <c r="VO71" s="2">
        <v>46.19</v>
      </c>
      <c r="VP71" s="2">
        <v>46.48</v>
      </c>
      <c r="VQ71" s="2">
        <v>46.88</v>
      </c>
      <c r="VR71" s="2">
        <v>47.67</v>
      </c>
      <c r="VS71" s="2">
        <v>47.82</v>
      </c>
      <c r="VT71" s="2">
        <v>48.12</v>
      </c>
      <c r="VU71" s="2">
        <v>48.14</v>
      </c>
      <c r="VV71" s="2">
        <v>48.15</v>
      </c>
      <c r="VW71" s="2">
        <v>49.5</v>
      </c>
      <c r="VX71" s="2">
        <v>51.27</v>
      </c>
      <c r="VY71" s="2">
        <v>51.27</v>
      </c>
      <c r="VZ71" s="2">
        <v>51.27</v>
      </c>
      <c r="WA71" s="2">
        <v>52.22</v>
      </c>
      <c r="WB71" s="2">
        <v>52.22</v>
      </c>
      <c r="WC71" s="2">
        <v>52.22</v>
      </c>
      <c r="WD71" s="2">
        <v>52.22</v>
      </c>
      <c r="WE71" s="2">
        <v>55.57</v>
      </c>
      <c r="WF71" s="2">
        <v>55.57</v>
      </c>
      <c r="WG71" s="2">
        <v>55.57</v>
      </c>
      <c r="WH71" s="2">
        <v>56.74</v>
      </c>
      <c r="WI71" s="2">
        <v>58.11</v>
      </c>
      <c r="WJ71" s="2">
        <v>58.11</v>
      </c>
      <c r="WK71" s="2">
        <v>58.11</v>
      </c>
      <c r="WL71" s="2">
        <v>59.18</v>
      </c>
      <c r="WM71" s="2">
        <v>59.18</v>
      </c>
      <c r="WN71" s="2">
        <v>59.54</v>
      </c>
      <c r="WO71" s="2">
        <v>59.72</v>
      </c>
      <c r="WP71" s="2">
        <v>60.96</v>
      </c>
      <c r="WQ71" s="2">
        <v>60.96</v>
      </c>
      <c r="WR71" s="2">
        <v>61.15</v>
      </c>
      <c r="WS71" s="2">
        <v>65.39</v>
      </c>
      <c r="WT71" s="2">
        <v>64.15000000000001</v>
      </c>
      <c r="WU71" s="2">
        <v>64.18000000000001</v>
      </c>
      <c r="WV71" s="2">
        <v>64.87</v>
      </c>
      <c r="WW71" s="2">
        <v>64.31</v>
      </c>
      <c r="WX71" s="2">
        <v>64.88</v>
      </c>
      <c r="WY71" s="2">
        <v>64.98999999999999</v>
      </c>
      <c r="WZ71" s="2">
        <v>63.63</v>
      </c>
      <c r="XA71" s="2">
        <v>63.98</v>
      </c>
      <c r="XB71" s="2">
        <v>64.3</v>
      </c>
      <c r="XC71" s="2">
        <v>64.91</v>
      </c>
      <c r="XD71" s="2">
        <v>65.76000000000001</v>
      </c>
      <c r="XE71" s="2">
        <v>66.62</v>
      </c>
      <c r="XF71" s="2">
        <v>66.56999999999999</v>
      </c>
      <c r="XG71" s="2">
        <v>66.90000000000001</v>
      </c>
      <c r="XH71" s="2">
        <v>68.01000000000001</v>
      </c>
      <c r="XI71" s="2">
        <v>68.15000000000001</v>
      </c>
      <c r="XJ71" s="2">
        <v>71.67</v>
      </c>
      <c r="XK71" s="2">
        <v>73.94</v>
      </c>
      <c r="XL71" s="2">
        <v>74.84999999999999</v>
      </c>
      <c r="XM71" s="2">
        <v>74.98999999999999</v>
      </c>
      <c r="XN71" s="2">
        <v>74.94</v>
      </c>
      <c r="XO71" s="2">
        <v>74.69</v>
      </c>
      <c r="XP71" s="2">
        <v>73.45999999999999</v>
      </c>
      <c r="XQ71" s="2">
        <v>74.56999999999999</v>
      </c>
      <c r="XR71" s="2">
        <v>73.54000000000001</v>
      </c>
      <c r="XS71" s="2">
        <v>72.75</v>
      </c>
      <c r="XT71" s="2">
        <v>72.77</v>
      </c>
      <c r="XU71" s="2">
        <v>73.63</v>
      </c>
      <c r="XV71" s="2">
        <v>75.31</v>
      </c>
      <c r="XW71" s="2">
        <v>75.65000000000001</v>
      </c>
      <c r="XX71" s="2">
        <v>76.12</v>
      </c>
      <c r="XY71" s="2">
        <v>79.03</v>
      </c>
      <c r="XZ71" s="2">
        <v>79.12</v>
      </c>
      <c r="YA71" s="2">
        <v>81.31</v>
      </c>
      <c r="YB71" s="2">
        <v>81.65000000000001</v>
      </c>
      <c r="YC71" s="2">
        <v>83.03</v>
      </c>
      <c r="YD71" s="2">
        <v>85.84</v>
      </c>
      <c r="YE71" s="2">
        <v>92.86</v>
      </c>
      <c r="YF71" s="2">
        <v>94.94</v>
      </c>
      <c r="YG71" s="2">
        <v>95.81999999999999</v>
      </c>
      <c r="YH71" s="2">
        <v>94.59</v>
      </c>
      <c r="YI71" s="2">
        <v>96.13</v>
      </c>
      <c r="YJ71" s="2">
        <v>95.2</v>
      </c>
      <c r="YK71" s="2">
        <v>96.05</v>
      </c>
      <c r="YL71" s="2">
        <v>98.13</v>
      </c>
      <c r="YM71" s="2">
        <v>99.66</v>
      </c>
      <c r="YN71" s="2">
        <v>100.69</v>
      </c>
      <c r="YO71" s="2">
        <v>101.76</v>
      </c>
      <c r="YP71" s="2">
        <v>108.84</v>
      </c>
      <c r="ADO71" s="2">
        <v>0</v>
      </c>
      <c r="ADP71" s="2">
        <v>0</v>
      </c>
      <c r="ADQ71" s="2">
        <v>-0.2</v>
      </c>
      <c r="ADR71" s="2">
        <v>8.699999999999999</v>
      </c>
      <c r="ADS71" s="2">
        <v>0.3</v>
      </c>
      <c r="ADT71" s="2">
        <v>0</v>
      </c>
      <c r="ADU71" s="2">
        <v>8.6</v>
      </c>
      <c r="ADV71" s="2">
        <v>1.9</v>
      </c>
      <c r="ADW71" s="2">
        <v>1.6</v>
      </c>
      <c r="ADX71" s="2">
        <v>0</v>
      </c>
      <c r="ADY71" s="2">
        <v>0</v>
      </c>
      <c r="ADZ71" s="2">
        <v>0</v>
      </c>
      <c r="AEA71" s="2">
        <v>10.9</v>
      </c>
      <c r="AEB71" s="2">
        <v>0.1</v>
      </c>
      <c r="AEC71" s="2">
        <v>0</v>
      </c>
      <c r="AED71" s="2">
        <v>0</v>
      </c>
      <c r="AEE71" s="2">
        <v>0</v>
      </c>
      <c r="AEF71" s="2">
        <v>3.3</v>
      </c>
      <c r="AEG71" s="2">
        <v>6.1</v>
      </c>
      <c r="AEH71" s="2">
        <v>0</v>
      </c>
      <c r="AEI71" s="2">
        <v>0.6</v>
      </c>
      <c r="AEJ71" s="2">
        <v>0</v>
      </c>
      <c r="AEK71" s="2">
        <v>0</v>
      </c>
      <c r="AEL71" s="2">
        <v>3.9</v>
      </c>
      <c r="AEM71" s="2">
        <v>5.6</v>
      </c>
      <c r="AEN71" s="2">
        <v>0</v>
      </c>
      <c r="AEO71" s="2">
        <v>0</v>
      </c>
      <c r="AEP71" s="2">
        <v>2.7</v>
      </c>
      <c r="AEQ71" s="2">
        <v>0</v>
      </c>
      <c r="AER71" s="2">
        <v>0</v>
      </c>
      <c r="AES71" s="2">
        <v>0</v>
      </c>
      <c r="AET71" s="2">
        <v>0</v>
      </c>
      <c r="AEU71" s="2">
        <v>4.4</v>
      </c>
      <c r="AEV71" s="2">
        <v>1.9</v>
      </c>
      <c r="AEW71" s="2">
        <v>1.5</v>
      </c>
      <c r="AEX71" s="2">
        <v>1.5</v>
      </c>
      <c r="AEY71" s="2">
        <v>3.5</v>
      </c>
      <c r="AEZ71" s="2">
        <v>0.7</v>
      </c>
      <c r="AFA71" s="2">
        <v>0.3</v>
      </c>
      <c r="AFB71" s="2">
        <v>1.6</v>
      </c>
      <c r="AFC71" s="2">
        <v>0.7</v>
      </c>
      <c r="AFD71" s="2">
        <v>0</v>
      </c>
      <c r="AFE71" s="2">
        <v>0.7</v>
      </c>
      <c r="AFF71" s="2">
        <v>0</v>
      </c>
      <c r="AFG71" s="2">
        <v>0</v>
      </c>
      <c r="AFH71" s="2">
        <v>5.3</v>
      </c>
      <c r="AFI71" s="2">
        <v>0.2</v>
      </c>
      <c r="AFJ71" s="2">
        <v>0</v>
      </c>
      <c r="AFK71" s="2">
        <v>0</v>
      </c>
      <c r="AFL71" s="2">
        <v>0</v>
      </c>
      <c r="AFM71" s="2">
        <v>0</v>
      </c>
      <c r="AFN71" s="2">
        <v>0</v>
      </c>
      <c r="AFO71" s="2">
        <v>0</v>
      </c>
      <c r="AFP71" s="2">
        <v>0</v>
      </c>
      <c r="AFQ71" s="2">
        <v>0</v>
      </c>
      <c r="AFR71" s="2">
        <v>0</v>
      </c>
      <c r="AFS71" s="2">
        <v>0</v>
      </c>
      <c r="AFT71" s="2">
        <v>0</v>
      </c>
      <c r="AFU71" s="2">
        <v>0</v>
      </c>
      <c r="AFV71" s="2">
        <v>0.4</v>
      </c>
      <c r="AFW71" s="2">
        <v>0</v>
      </c>
      <c r="AFX71" s="2">
        <v>0</v>
      </c>
      <c r="AFY71" s="2">
        <v>0</v>
      </c>
      <c r="AFZ71" s="2">
        <v>0</v>
      </c>
      <c r="AGA71" s="2">
        <v>0</v>
      </c>
      <c r="AGB71" s="2">
        <v>0.7</v>
      </c>
      <c r="AGC71" s="2">
        <v>0</v>
      </c>
      <c r="AGD71" s="2">
        <v>0</v>
      </c>
      <c r="AGE71" s="2">
        <v>0</v>
      </c>
      <c r="AGF71" s="2">
        <v>0.1</v>
      </c>
      <c r="AGG71" s="2">
        <v>0</v>
      </c>
      <c r="AGH71" s="2">
        <v>0</v>
      </c>
      <c r="AGI71" s="2">
        <v>0.1</v>
      </c>
      <c r="AGJ71" s="2">
        <v>0</v>
      </c>
      <c r="AGK71" s="2">
        <v>0</v>
      </c>
      <c r="AGL71" s="2">
        <v>0</v>
      </c>
      <c r="AGM71" s="2">
        <v>3.9</v>
      </c>
      <c r="AGN71" s="2">
        <v>0.1</v>
      </c>
      <c r="AGO71" s="2">
        <v>0</v>
      </c>
      <c r="AGP71" s="2">
        <v>2.8</v>
      </c>
      <c r="AGQ71" s="2">
        <v>0</v>
      </c>
      <c r="AGR71" s="2">
        <v>0</v>
      </c>
      <c r="AGS71" s="2">
        <v>0</v>
      </c>
      <c r="AGT71" s="2">
        <v>0</v>
      </c>
      <c r="AGU71" s="2">
        <v>1.5</v>
      </c>
      <c r="AGV71" s="2">
        <v>0</v>
      </c>
      <c r="AGW71" s="2">
        <v>0</v>
      </c>
      <c r="AGX71" s="2">
        <v>2.5</v>
      </c>
      <c r="AGY71" s="2">
        <v>0</v>
      </c>
      <c r="AGZ71" s="2">
        <v>4.4</v>
      </c>
      <c r="AHA71" s="2">
        <v>0.6</v>
      </c>
      <c r="AHB71" s="2">
        <v>0.6</v>
      </c>
      <c r="AHC71" s="2">
        <v>1.3</v>
      </c>
      <c r="AHD71" s="2">
        <v>0</v>
      </c>
      <c r="AHE71" s="2">
        <v>0</v>
      </c>
      <c r="AHF71" s="2">
        <v>0.3</v>
      </c>
      <c r="AHG71" s="2">
        <v>0.7</v>
      </c>
      <c r="AHH71" s="2">
        <v>0</v>
      </c>
      <c r="AHI71" s="2">
        <v>0</v>
      </c>
      <c r="AHJ71" s="2">
        <v>0.5</v>
      </c>
      <c r="AHK71" s="2">
        <v>1</v>
      </c>
      <c r="AHL71" s="2">
        <v>0.2</v>
      </c>
      <c r="AHM71" s="2">
        <v>0.5</v>
      </c>
      <c r="AHN71" s="2">
        <v>0.3</v>
      </c>
      <c r="AHO71" s="2">
        <v>0.6</v>
      </c>
      <c r="AHP71" s="2">
        <v>0.9</v>
      </c>
      <c r="AHQ71" s="2">
        <v>1.7</v>
      </c>
      <c r="AHR71" s="2">
        <v>0.3</v>
      </c>
      <c r="AHS71" s="2">
        <v>0.6</v>
      </c>
      <c r="AHT71" s="2">
        <v>0</v>
      </c>
      <c r="AHU71" s="2">
        <v>0</v>
      </c>
      <c r="AHV71" s="2">
        <v>2.8</v>
      </c>
      <c r="AHW71" s="2">
        <v>3.6</v>
      </c>
      <c r="AHX71" s="2">
        <v>0</v>
      </c>
      <c r="AHY71" s="2">
        <v>0</v>
      </c>
      <c r="AHZ71" s="2">
        <v>1.9</v>
      </c>
      <c r="AIA71" s="2">
        <v>0</v>
      </c>
      <c r="AIB71" s="2">
        <v>0</v>
      </c>
      <c r="AIC71" s="2">
        <v>0</v>
      </c>
      <c r="AID71" s="2">
        <v>6.4</v>
      </c>
      <c r="AIE71" s="2">
        <v>0</v>
      </c>
      <c r="AIF71" s="2">
        <v>0</v>
      </c>
      <c r="AIG71" s="2">
        <v>2.1</v>
      </c>
      <c r="AIH71" s="2">
        <v>2.4</v>
      </c>
      <c r="AII71" s="2">
        <v>0</v>
      </c>
      <c r="AIJ71" s="2">
        <v>0</v>
      </c>
      <c r="AIK71" s="2">
        <v>1.8</v>
      </c>
      <c r="AIL71" s="2">
        <v>0</v>
      </c>
      <c r="AIM71" s="2">
        <v>0.6</v>
      </c>
      <c r="AIN71" s="2">
        <v>0.3</v>
      </c>
      <c r="AIO71" s="2">
        <v>2.1</v>
      </c>
      <c r="AIP71" s="2">
        <v>0</v>
      </c>
      <c r="AIQ71" s="2">
        <v>0.3</v>
      </c>
      <c r="AIR71" s="2">
        <v>6.9</v>
      </c>
      <c r="AIS71" s="2">
        <v>-1.9</v>
      </c>
      <c r="AIT71" s="2">
        <v>0</v>
      </c>
      <c r="AIU71" s="2">
        <v>1.1</v>
      </c>
      <c r="AIV71" s="2">
        <v>-0.9</v>
      </c>
      <c r="AIW71" s="2">
        <v>0.9</v>
      </c>
      <c r="AIX71" s="2">
        <v>0.2</v>
      </c>
      <c r="AIY71" s="2">
        <v>-2.1</v>
      </c>
      <c r="AIZ71" s="2">
        <v>0.6</v>
      </c>
      <c r="AJA71" s="2">
        <v>0.5</v>
      </c>
      <c r="AJB71" s="2">
        <v>0.9</v>
      </c>
      <c r="AJC71" s="2">
        <v>1.3</v>
      </c>
      <c r="AJD71" s="2">
        <v>1.3</v>
      </c>
      <c r="AJE71" s="2">
        <v>-0.1</v>
      </c>
      <c r="AJF71" s="2">
        <v>0.5</v>
      </c>
      <c r="AJG71" s="2">
        <v>1.7</v>
      </c>
      <c r="AJH71" s="2">
        <v>0.2</v>
      </c>
      <c r="AJI71" s="2">
        <v>5.2</v>
      </c>
      <c r="AJJ71" s="2">
        <v>3.2</v>
      </c>
      <c r="AJK71" s="2">
        <v>1.2</v>
      </c>
      <c r="AJL71" s="2">
        <v>0.2</v>
      </c>
      <c r="AJM71" s="2">
        <v>-0.1</v>
      </c>
      <c r="AJN71" s="2">
        <v>-0.3</v>
      </c>
      <c r="AJO71" s="2">
        <v>-1.6</v>
      </c>
      <c r="AJP71" s="2">
        <v>1.5</v>
      </c>
      <c r="AJQ71" s="2">
        <v>-1.4</v>
      </c>
      <c r="AJR71" s="2">
        <v>-1.1</v>
      </c>
      <c r="AJS71" s="2">
        <v>0</v>
      </c>
      <c r="AJT71" s="2">
        <v>1.2</v>
      </c>
      <c r="AJU71" s="2">
        <v>2.3</v>
      </c>
      <c r="AJV71" s="2">
        <v>0.5</v>
      </c>
      <c r="AJW71" s="2">
        <v>0.6</v>
      </c>
      <c r="AJX71" s="2">
        <v>3.8</v>
      </c>
      <c r="AJY71" s="2">
        <v>0.1</v>
      </c>
      <c r="AJZ71" s="2">
        <v>2.8</v>
      </c>
      <c r="AKA71" s="2">
        <v>0.4</v>
      </c>
      <c r="AKB71" s="2">
        <v>1.7</v>
      </c>
      <c r="AKC71" s="2">
        <v>3.4</v>
      </c>
      <c r="AKD71" s="2">
        <v>8.199999999999999</v>
      </c>
      <c r="AKE71" s="2">
        <v>2.2</v>
      </c>
      <c r="AKF71" s="2">
        <v>0.9</v>
      </c>
      <c r="AKG71" s="2">
        <v>-1.3</v>
      </c>
      <c r="AKH71" s="2">
        <v>1.6</v>
      </c>
      <c r="AKI71" s="2">
        <v>-1</v>
      </c>
      <c r="AKJ71" s="2">
        <v>0.9</v>
      </c>
      <c r="AKK71" s="2">
        <v>2.2</v>
      </c>
      <c r="AKL71" s="2">
        <v>1.6</v>
      </c>
      <c r="AKM71" s="2">
        <v>1</v>
      </c>
      <c r="AKN71" s="2">
        <v>1.1</v>
      </c>
      <c r="AKO71" s="2">
        <v>7</v>
      </c>
      <c r="AKP71" s="2">
        <v>0.11</v>
      </c>
      <c r="AKQ71" s="2">
        <v>0.11</v>
      </c>
      <c r="AKR71" s="2">
        <v>0.11</v>
      </c>
    </row>
    <row r="72">
      <c r="A72" t="inlineStr">
        <is>
          <t>Telecommunication equipment and services</t>
        </is>
      </c>
      <c r="B72" t="inlineStr">
        <is>
          <t>Communication</t>
        </is>
      </c>
      <c r="C72">
        <v>3</v>
      </c>
      <c r="D72">
        <v>2.02</v>
      </c>
      <c r="E72" s="3">
        <f>D72/2.12*0.0212</f>
        <v>0.0202</v>
      </c>
      <c r="F72" s="3">
        <f>E72-D72/100</f>
        <v>0.0</v>
      </c>
      <c r="G72" s="3">
        <f>D72/2.12</f>
        <v>0.9528301886792453</v>
      </c>
      <c r="CI72" s="2">
        <v>98.61</v>
      </c>
      <c r="CJ72" s="2">
        <v>98.06</v>
      </c>
      <c r="CK72" s="2">
        <v>97.52</v>
      </c>
      <c r="CL72" s="2">
        <v>99.02</v>
      </c>
      <c r="CM72" s="2">
        <v>98.48</v>
      </c>
      <c r="CN72" s="2">
        <v>98.54000000000001</v>
      </c>
      <c r="CO72" s="2">
        <v>99.25</v>
      </c>
      <c r="CP72" s="2">
        <v>99.14</v>
      </c>
      <c r="CQ72" s="2">
        <v>98.92</v>
      </c>
      <c r="CR72" s="2">
        <v>98.54000000000001</v>
      </c>
      <c r="CS72" s="2">
        <v>99.23999999999999</v>
      </c>
      <c r="CT72" s="2">
        <v>99.06999999999999</v>
      </c>
      <c r="CU72" s="2">
        <v>99.27</v>
      </c>
      <c r="CV72" s="2">
        <v>98.89</v>
      </c>
      <c r="CW72" s="2">
        <v>97.98999999999999</v>
      </c>
      <c r="CX72" s="2">
        <v>99.5</v>
      </c>
      <c r="CY72" s="2">
        <v>100.23</v>
      </c>
      <c r="CZ72" s="2">
        <v>100</v>
      </c>
      <c r="DA72" s="2">
        <v>99.76000000000001</v>
      </c>
      <c r="DB72" s="2">
        <v>100.22</v>
      </c>
      <c r="DC72" s="2">
        <v>99.73999999999999</v>
      </c>
      <c r="DD72" s="2">
        <v>99.65000000000001</v>
      </c>
      <c r="DE72" s="2">
        <v>99.86</v>
      </c>
      <c r="DF72" s="2">
        <v>100.16</v>
      </c>
      <c r="DG72" s="2">
        <v>100.23</v>
      </c>
      <c r="DH72" s="2">
        <v>100.46</v>
      </c>
      <c r="DI72" s="2">
        <v>99.86</v>
      </c>
      <c r="DJ72" s="2">
        <v>101.77</v>
      </c>
      <c r="GL72" s="2">
        <v>0.7</v>
      </c>
      <c r="GM72" s="2">
        <v>0.8</v>
      </c>
      <c r="GN72" s="2">
        <v>0.5</v>
      </c>
      <c r="GO72" s="2">
        <v>0.5</v>
      </c>
      <c r="GP72" s="2">
        <v>1.8</v>
      </c>
      <c r="GQ72" s="2">
        <v>1.5</v>
      </c>
      <c r="GR72" s="2">
        <v>0.5</v>
      </c>
      <c r="GS72" s="2">
        <v>1.1</v>
      </c>
      <c r="GT72" s="2">
        <v>0.8</v>
      </c>
      <c r="GU72" s="2">
        <v>1.1</v>
      </c>
      <c r="GV72" s="2">
        <v>0.6</v>
      </c>
      <c r="GW72" s="2">
        <v>1.1</v>
      </c>
      <c r="GX72" s="2">
        <v>1</v>
      </c>
      <c r="GY72" s="2">
        <v>1.6</v>
      </c>
      <c r="GZ72" s="2">
        <v>1.9</v>
      </c>
      <c r="HA72" s="2">
        <v>2.3</v>
      </c>
      <c r="KC72" s="2">
        <v>-0.6</v>
      </c>
      <c r="KD72" s="2">
        <v>-0.6</v>
      </c>
      <c r="KE72" s="2">
        <v>1.5</v>
      </c>
      <c r="KF72" s="2">
        <v>-0.5</v>
      </c>
      <c r="KG72" s="2">
        <v>0.1</v>
      </c>
      <c r="KH72" s="2">
        <v>0.7</v>
      </c>
      <c r="KI72" s="2">
        <v>-0.1</v>
      </c>
      <c r="KJ72" s="2">
        <v>-0.2</v>
      </c>
      <c r="KK72" s="2">
        <v>-0.4</v>
      </c>
      <c r="KL72" s="2">
        <v>0.7</v>
      </c>
      <c r="KM72" s="2">
        <v>-0.2</v>
      </c>
      <c r="KN72" s="2">
        <v>0.2</v>
      </c>
      <c r="KO72" s="2">
        <v>-0.4</v>
      </c>
      <c r="KP72" s="2">
        <v>-0.9</v>
      </c>
      <c r="KQ72" s="2">
        <v>1.5</v>
      </c>
      <c r="KR72" s="2">
        <v>0.7</v>
      </c>
      <c r="KS72" s="2">
        <v>-0.2</v>
      </c>
      <c r="KT72" s="2">
        <v>-0.2</v>
      </c>
      <c r="KU72" s="2">
        <v>0.5</v>
      </c>
      <c r="KV72" s="2">
        <v>-0.5</v>
      </c>
      <c r="KW72" s="2">
        <v>-0.1</v>
      </c>
      <c r="KX72" s="2">
        <v>0.2</v>
      </c>
      <c r="KY72" s="2">
        <v>0.3</v>
      </c>
      <c r="KZ72" s="2">
        <v>0.1</v>
      </c>
      <c r="LA72" s="2">
        <v>0.2</v>
      </c>
      <c r="LB72" s="2">
        <v>-0.6</v>
      </c>
      <c r="LC72" s="2">
        <v>1.9</v>
      </c>
      <c r="LD72" s="2">
        <v>1.96</v>
      </c>
      <c r="LE72" s="2">
        <v>1.95</v>
      </c>
      <c r="LF72" s="2">
        <v>1.97</v>
      </c>
      <c r="LG72" s="2">
        <v>1.96</v>
      </c>
      <c r="LH72" s="2">
        <v>1.97</v>
      </c>
      <c r="LI72" s="2">
        <v>1.96</v>
      </c>
      <c r="LJ72" s="2">
        <v>1.94</v>
      </c>
      <c r="LK72" s="2">
        <v>1.97</v>
      </c>
      <c r="LL72" s="2">
        <v>1.99</v>
      </c>
      <c r="LM72" s="2">
        <v>1.98</v>
      </c>
      <c r="LN72" s="2">
        <v>1.98</v>
      </c>
      <c r="LO72" s="2">
        <v>1.99</v>
      </c>
      <c r="LP72" s="2">
        <v>1.98</v>
      </c>
      <c r="LQ72" s="2">
        <v>1.98</v>
      </c>
      <c r="LR72" s="2">
        <v>1.98</v>
      </c>
      <c r="LS72" s="2">
        <v>1.99</v>
      </c>
      <c r="LT72" s="2">
        <v>1.99</v>
      </c>
      <c r="LU72" s="2">
        <v>1.99</v>
      </c>
      <c r="LV72" s="2">
        <v>1.98</v>
      </c>
      <c r="LW72" s="2">
        <v>2.02</v>
      </c>
      <c r="LX72" s="2">
        <v>-0.01</v>
      </c>
      <c r="LY72" s="2">
        <v>0.02</v>
      </c>
      <c r="LZ72" s="2">
        <v>-0.01</v>
      </c>
      <c r="MA72" s="2">
        <v>0.01</v>
      </c>
      <c r="MB72" s="2">
        <v>-0.01</v>
      </c>
      <c r="MC72" s="2">
        <v>-0.02</v>
      </c>
      <c r="MD72" s="2">
        <v>0.03</v>
      </c>
      <c r="ME72" s="2">
        <v>0.02</v>
      </c>
      <c r="MF72" s="2">
        <v>-0.01</v>
      </c>
      <c r="MG72" s="2">
        <v>0</v>
      </c>
      <c r="MH72" s="2">
        <v>0.01</v>
      </c>
      <c r="MI72" s="2">
        <v>-0.01</v>
      </c>
      <c r="MJ72" s="2">
        <v>0</v>
      </c>
      <c r="MK72" s="2">
        <v>0</v>
      </c>
      <c r="ML72" s="2">
        <v>0.01</v>
      </c>
      <c r="MM72" s="2">
        <v>0</v>
      </c>
      <c r="MN72" s="2">
        <v>0</v>
      </c>
      <c r="MO72" s="2">
        <v>-0.01</v>
      </c>
      <c r="MP72" s="2">
        <v>0.04</v>
      </c>
      <c r="RO72" s="2">
        <v>77.20999999999999</v>
      </c>
      <c r="RP72" s="2">
        <v>76.98</v>
      </c>
      <c r="RQ72" s="2">
        <v>76.98</v>
      </c>
      <c r="RR72" s="2">
        <v>76.04000000000001</v>
      </c>
      <c r="RS72" s="2">
        <v>76.04000000000001</v>
      </c>
      <c r="RT72" s="2">
        <v>81.2</v>
      </c>
      <c r="RU72" s="2">
        <v>84.36</v>
      </c>
      <c r="RV72" s="2">
        <v>84.36</v>
      </c>
      <c r="RW72" s="2">
        <v>86.81999999999999</v>
      </c>
      <c r="RX72" s="2">
        <v>90.8</v>
      </c>
      <c r="RY72" s="2">
        <v>90.8</v>
      </c>
      <c r="RZ72" s="2">
        <v>90.8</v>
      </c>
      <c r="SA72" s="2">
        <v>90.8</v>
      </c>
      <c r="SB72" s="2">
        <v>99.23999999999999</v>
      </c>
      <c r="SC72" s="2">
        <v>99.47</v>
      </c>
      <c r="SD72" s="2">
        <v>99.47</v>
      </c>
      <c r="SE72" s="2">
        <v>99.47</v>
      </c>
      <c r="SF72" s="2">
        <v>99.47</v>
      </c>
      <c r="SG72" s="2">
        <v>102.4</v>
      </c>
      <c r="SH72" s="2">
        <v>103.81</v>
      </c>
      <c r="SI72" s="2">
        <v>103.81</v>
      </c>
      <c r="SJ72" s="2">
        <v>105.92</v>
      </c>
      <c r="SK72" s="2">
        <v>107.09</v>
      </c>
      <c r="SL72" s="2">
        <v>107.09</v>
      </c>
      <c r="SM72" s="2">
        <v>107.09</v>
      </c>
      <c r="SN72" s="2">
        <v>108.49</v>
      </c>
      <c r="SO72" s="2">
        <v>109.31</v>
      </c>
      <c r="SP72" s="2">
        <v>109.67</v>
      </c>
      <c r="SQ72" s="2">
        <v>116.11</v>
      </c>
      <c r="SR72" s="2">
        <v>118.69</v>
      </c>
      <c r="SS72" s="2">
        <v>117.75</v>
      </c>
      <c r="ST72" s="2">
        <v>117.75</v>
      </c>
      <c r="SU72" s="2">
        <v>119.16</v>
      </c>
      <c r="SV72" s="2">
        <v>121.85</v>
      </c>
      <c r="SW72" s="2">
        <v>119.98</v>
      </c>
      <c r="SX72" s="2">
        <v>116.81</v>
      </c>
      <c r="SY72" s="2">
        <v>116.58</v>
      </c>
      <c r="SZ72" s="2">
        <v>117.16</v>
      </c>
      <c r="TA72" s="2">
        <v>117.4</v>
      </c>
      <c r="TB72" s="2">
        <v>117.4</v>
      </c>
      <c r="TC72" s="2">
        <v>120.09</v>
      </c>
      <c r="TD72" s="2">
        <v>120.21</v>
      </c>
      <c r="TE72" s="2">
        <v>120.21</v>
      </c>
      <c r="TF72" s="2">
        <v>120.21</v>
      </c>
      <c r="TG72" s="2">
        <v>125.72</v>
      </c>
      <c r="TH72" s="2">
        <v>125.6</v>
      </c>
      <c r="TI72" s="2">
        <v>125.72</v>
      </c>
      <c r="TJ72" s="2">
        <v>124.78</v>
      </c>
      <c r="TK72" s="2">
        <v>124.55</v>
      </c>
      <c r="TL72" s="2">
        <v>125.01</v>
      </c>
      <c r="TM72" s="2">
        <v>125.13</v>
      </c>
      <c r="TN72" s="2">
        <v>124.08</v>
      </c>
      <c r="TO72" s="2">
        <v>123.26</v>
      </c>
      <c r="TP72" s="2">
        <v>123.02</v>
      </c>
      <c r="TQ72" s="2">
        <v>124.31</v>
      </c>
      <c r="TR72" s="2">
        <v>124.31</v>
      </c>
      <c r="TS72" s="2">
        <v>124.31</v>
      </c>
      <c r="TT72" s="2">
        <v>125.95</v>
      </c>
      <c r="TU72" s="2">
        <v>125.95</v>
      </c>
      <c r="TV72" s="2">
        <v>125.72</v>
      </c>
      <c r="TW72" s="2">
        <v>125.72</v>
      </c>
      <c r="TX72" s="2">
        <v>125.72</v>
      </c>
      <c r="TY72" s="2">
        <v>124.43</v>
      </c>
      <c r="TZ72" s="2">
        <v>124.43</v>
      </c>
      <c r="UA72" s="2">
        <v>124.43</v>
      </c>
      <c r="UB72" s="2">
        <v>123.84</v>
      </c>
      <c r="UC72" s="2">
        <v>123.96</v>
      </c>
      <c r="UD72" s="2">
        <v>123.96</v>
      </c>
      <c r="UE72" s="2">
        <v>124.08</v>
      </c>
      <c r="UF72" s="2">
        <v>124.31</v>
      </c>
      <c r="UG72" s="2">
        <v>124.43</v>
      </c>
      <c r="UH72" s="2">
        <v>123.49</v>
      </c>
      <c r="UI72" s="2">
        <v>122.28</v>
      </c>
      <c r="UJ72" s="2">
        <v>120.91</v>
      </c>
      <c r="UK72" s="2">
        <v>117.2</v>
      </c>
      <c r="UL72" s="2">
        <v>116.85</v>
      </c>
      <c r="UM72" s="2">
        <v>112.7</v>
      </c>
      <c r="UN72" s="2">
        <v>111.8</v>
      </c>
      <c r="UO72" s="2">
        <v>112.02</v>
      </c>
      <c r="UP72" s="2">
        <v>113.65</v>
      </c>
      <c r="UQ72" s="2">
        <v>121.8</v>
      </c>
      <c r="UR72" s="2">
        <v>120.94</v>
      </c>
      <c r="US72" s="2">
        <v>120.32</v>
      </c>
      <c r="UT72" s="2">
        <v>119.57</v>
      </c>
      <c r="UU72" s="2">
        <v>119.31</v>
      </c>
      <c r="UV72" s="2">
        <v>121.44</v>
      </c>
      <c r="UW72" s="2">
        <v>121.49</v>
      </c>
      <c r="UX72" s="2">
        <v>122.48</v>
      </c>
      <c r="UY72" s="2">
        <v>124.32</v>
      </c>
      <c r="UZ72" s="2">
        <v>124.94</v>
      </c>
      <c r="VA72" s="2">
        <v>125.03</v>
      </c>
      <c r="VB72" s="2">
        <v>125.19</v>
      </c>
      <c r="VC72" s="2">
        <v>126.13</v>
      </c>
      <c r="VD72" s="2">
        <v>126.29</v>
      </c>
      <c r="VE72" s="2">
        <v>126.33</v>
      </c>
      <c r="VF72" s="2">
        <v>126.9</v>
      </c>
      <c r="VG72" s="2">
        <v>127.45</v>
      </c>
      <c r="VH72" s="2">
        <v>127.74</v>
      </c>
      <c r="VI72" s="2">
        <v>128.23</v>
      </c>
      <c r="VJ72" s="2">
        <v>126.99</v>
      </c>
      <c r="VK72" s="2">
        <v>126.05</v>
      </c>
      <c r="VL72" s="2">
        <v>125.06</v>
      </c>
      <c r="VM72" s="2">
        <v>125.6</v>
      </c>
      <c r="VN72" s="2">
        <v>125.71</v>
      </c>
      <c r="VO72" s="2">
        <v>126.49</v>
      </c>
      <c r="VP72" s="2">
        <v>127.07</v>
      </c>
      <c r="VQ72" s="2">
        <v>127.27</v>
      </c>
      <c r="VR72" s="2">
        <v>127.41</v>
      </c>
      <c r="VS72" s="2">
        <v>127.41</v>
      </c>
      <c r="VT72" s="2">
        <v>127.4</v>
      </c>
      <c r="VU72" s="2">
        <v>127.32</v>
      </c>
      <c r="VV72" s="2">
        <v>127.41</v>
      </c>
      <c r="VW72" s="2">
        <v>127.58</v>
      </c>
      <c r="VX72" s="2">
        <v>127.89</v>
      </c>
      <c r="VY72" s="2">
        <v>128.36</v>
      </c>
      <c r="VZ72" s="2">
        <v>128.65</v>
      </c>
      <c r="WA72" s="2">
        <v>128.63</v>
      </c>
      <c r="WB72" s="2">
        <v>128.54</v>
      </c>
      <c r="WC72" s="2">
        <v>128.42</v>
      </c>
      <c r="WD72" s="2">
        <v>128.37</v>
      </c>
      <c r="WE72" s="2">
        <v>127.7</v>
      </c>
      <c r="WF72" s="2">
        <v>127.72</v>
      </c>
      <c r="WG72" s="2">
        <v>127.93</v>
      </c>
      <c r="WH72" s="2">
        <v>128.39</v>
      </c>
      <c r="WI72" s="2">
        <v>128.23</v>
      </c>
      <c r="WJ72" s="2">
        <v>129.63</v>
      </c>
      <c r="WK72" s="2">
        <v>129.75</v>
      </c>
      <c r="WL72" s="2">
        <v>129.28</v>
      </c>
      <c r="WM72" s="2">
        <v>129.95</v>
      </c>
      <c r="WN72" s="2">
        <v>131.63</v>
      </c>
      <c r="WO72" s="2">
        <v>131.6</v>
      </c>
      <c r="WP72" s="2">
        <v>132.07</v>
      </c>
      <c r="WQ72" s="2">
        <v>132.21</v>
      </c>
      <c r="WR72" s="2">
        <v>133.78</v>
      </c>
      <c r="WS72" s="2">
        <v>133.67</v>
      </c>
      <c r="WT72" s="2">
        <v>131.38</v>
      </c>
      <c r="WU72" s="2">
        <v>129.42</v>
      </c>
      <c r="WV72" s="2">
        <v>129.22</v>
      </c>
      <c r="WW72" s="2">
        <v>127.46</v>
      </c>
      <c r="WX72" s="2">
        <v>126.55</v>
      </c>
      <c r="WY72" s="2">
        <v>123.93</v>
      </c>
      <c r="WZ72" s="2">
        <v>120.94</v>
      </c>
      <c r="XA72" s="2">
        <v>118.94</v>
      </c>
      <c r="XB72" s="2">
        <v>117.1</v>
      </c>
      <c r="XC72" s="2">
        <v>114.15</v>
      </c>
      <c r="XD72" s="2">
        <v>113.22</v>
      </c>
      <c r="XE72" s="2">
        <v>112.71</v>
      </c>
      <c r="XF72" s="2">
        <v>112.18</v>
      </c>
      <c r="XG72" s="2">
        <v>110.45</v>
      </c>
      <c r="XH72" s="2">
        <v>108.93</v>
      </c>
      <c r="XI72" s="2">
        <v>108.55</v>
      </c>
      <c r="XJ72" s="2">
        <v>106.92</v>
      </c>
      <c r="XK72" s="2">
        <v>105.27</v>
      </c>
      <c r="XL72" s="2">
        <v>103.73</v>
      </c>
      <c r="XM72" s="2">
        <v>103.14</v>
      </c>
      <c r="XN72" s="2">
        <v>101.89</v>
      </c>
      <c r="XO72" s="2">
        <v>100.72</v>
      </c>
      <c r="XP72" s="2">
        <v>99.76000000000001</v>
      </c>
      <c r="XQ72" s="2">
        <v>99.47</v>
      </c>
      <c r="XR72" s="2">
        <v>98.18000000000001</v>
      </c>
      <c r="XS72" s="2">
        <v>97.44</v>
      </c>
      <c r="XT72" s="2">
        <v>97.09</v>
      </c>
      <c r="XU72" s="2">
        <v>97.48</v>
      </c>
      <c r="XV72" s="2">
        <v>96.8</v>
      </c>
      <c r="XW72" s="2">
        <v>96.19</v>
      </c>
      <c r="XX72" s="2">
        <v>96.31999999999999</v>
      </c>
      <c r="XY72" s="2">
        <v>96.42</v>
      </c>
      <c r="XZ72" s="2">
        <v>96.47</v>
      </c>
      <c r="YA72" s="2">
        <v>97.76000000000001</v>
      </c>
      <c r="YB72" s="2">
        <v>97.3</v>
      </c>
      <c r="YC72" s="2">
        <v>97.39</v>
      </c>
      <c r="YD72" s="2">
        <v>96.76000000000001</v>
      </c>
      <c r="YE72" s="2">
        <v>98.53</v>
      </c>
      <c r="YF72" s="2">
        <v>98.77</v>
      </c>
      <c r="YG72" s="2">
        <v>98.42</v>
      </c>
      <c r="YH72" s="2">
        <v>97.72</v>
      </c>
      <c r="YI72" s="2">
        <v>98.19</v>
      </c>
      <c r="YJ72" s="2">
        <v>98.79000000000001</v>
      </c>
      <c r="YK72" s="2">
        <v>98.44</v>
      </c>
      <c r="YL72" s="2">
        <v>98.55</v>
      </c>
      <c r="YM72" s="2">
        <v>99.91</v>
      </c>
      <c r="YN72" s="2">
        <v>99.91</v>
      </c>
      <c r="YO72" s="2">
        <v>99.89</v>
      </c>
      <c r="YP72" s="2">
        <v>100.18</v>
      </c>
      <c r="ADO72" s="2">
        <v>-0.3</v>
      </c>
      <c r="ADP72" s="2">
        <v>0</v>
      </c>
      <c r="ADQ72" s="2">
        <v>-1.2</v>
      </c>
      <c r="ADR72" s="2">
        <v>0</v>
      </c>
      <c r="ADS72" s="2">
        <v>6.8</v>
      </c>
      <c r="ADT72" s="2">
        <v>3.9</v>
      </c>
      <c r="ADU72" s="2">
        <v>0</v>
      </c>
      <c r="ADV72" s="2">
        <v>2.9</v>
      </c>
      <c r="ADW72" s="2">
        <v>4.6</v>
      </c>
      <c r="ADX72" s="2">
        <v>0</v>
      </c>
      <c r="ADY72" s="2">
        <v>0</v>
      </c>
      <c r="ADZ72" s="2">
        <v>0</v>
      </c>
      <c r="AEA72" s="2">
        <v>9.300000000000001</v>
      </c>
      <c r="AEB72" s="2">
        <v>0.2</v>
      </c>
      <c r="AEC72" s="2">
        <v>0</v>
      </c>
      <c r="AED72" s="2">
        <v>0</v>
      </c>
      <c r="AEE72" s="2">
        <v>0</v>
      </c>
      <c r="AEF72" s="2">
        <v>2.9</v>
      </c>
      <c r="AEG72" s="2">
        <v>1.4</v>
      </c>
      <c r="AEH72" s="2">
        <v>0</v>
      </c>
      <c r="AEI72" s="2">
        <v>2</v>
      </c>
      <c r="AEJ72" s="2">
        <v>1.1</v>
      </c>
      <c r="AEK72" s="2">
        <v>0</v>
      </c>
      <c r="AEL72" s="2">
        <v>0</v>
      </c>
      <c r="AEM72" s="2">
        <v>1.3</v>
      </c>
      <c r="AEN72" s="2">
        <v>0.8</v>
      </c>
      <c r="AEO72" s="2">
        <v>0.3</v>
      </c>
      <c r="AEP72" s="2">
        <v>5.9</v>
      </c>
      <c r="AEQ72" s="2">
        <v>2.2</v>
      </c>
      <c r="AER72" s="2">
        <v>-0.8</v>
      </c>
      <c r="AES72" s="2">
        <v>0</v>
      </c>
      <c r="AET72" s="2">
        <v>1.2</v>
      </c>
      <c r="AEU72" s="2">
        <v>2.3</v>
      </c>
      <c r="AEV72" s="2">
        <v>-1.5</v>
      </c>
      <c r="AEW72" s="2">
        <v>-2.6</v>
      </c>
      <c r="AEX72" s="2">
        <v>-0.2</v>
      </c>
      <c r="AEY72" s="2">
        <v>0.5</v>
      </c>
      <c r="AEZ72" s="2">
        <v>0.2</v>
      </c>
      <c r="AFA72" s="2">
        <v>0</v>
      </c>
      <c r="AFB72" s="2">
        <v>2.3</v>
      </c>
      <c r="AFC72" s="2">
        <v>0.1</v>
      </c>
      <c r="AFD72" s="2">
        <v>0</v>
      </c>
      <c r="AFE72" s="2">
        <v>0</v>
      </c>
      <c r="AFF72" s="2">
        <v>4.6</v>
      </c>
      <c r="AFG72" s="2">
        <v>-0.1</v>
      </c>
      <c r="AFH72" s="2">
        <v>0.1</v>
      </c>
      <c r="AFI72" s="2">
        <v>-0.7</v>
      </c>
      <c r="AFJ72" s="2">
        <v>-0.2</v>
      </c>
      <c r="AFK72" s="2">
        <v>0.4</v>
      </c>
      <c r="AFL72" s="2">
        <v>0.1</v>
      </c>
      <c r="AFM72" s="2">
        <v>-0.8</v>
      </c>
      <c r="AFN72" s="2">
        <v>-0.7</v>
      </c>
      <c r="AFO72" s="2">
        <v>-0.2</v>
      </c>
      <c r="AFP72" s="2">
        <v>1</v>
      </c>
      <c r="AFQ72" s="2">
        <v>0</v>
      </c>
      <c r="AFR72" s="2">
        <v>0</v>
      </c>
      <c r="AFS72" s="2">
        <v>1.3</v>
      </c>
      <c r="AFT72" s="2">
        <v>0</v>
      </c>
      <c r="AFU72" s="2">
        <v>-0.2</v>
      </c>
      <c r="AFV72" s="2">
        <v>0</v>
      </c>
      <c r="AFW72" s="2">
        <v>0</v>
      </c>
      <c r="AFX72" s="2">
        <v>-1</v>
      </c>
      <c r="AFY72" s="2">
        <v>0</v>
      </c>
      <c r="AFZ72" s="2">
        <v>0</v>
      </c>
      <c r="AGA72" s="2">
        <v>-0.5</v>
      </c>
      <c r="AGB72" s="2">
        <v>0.1</v>
      </c>
      <c r="AGC72" s="2">
        <v>0</v>
      </c>
      <c r="AGD72" s="2">
        <v>0.1</v>
      </c>
      <c r="AGE72" s="2">
        <v>0.2</v>
      </c>
      <c r="AGF72" s="2">
        <v>0.1</v>
      </c>
      <c r="AGG72" s="2">
        <v>-0.8</v>
      </c>
      <c r="AGH72" s="2">
        <v>-1</v>
      </c>
      <c r="AGI72" s="2">
        <v>-1.1</v>
      </c>
      <c r="AGJ72" s="2">
        <v>-3.1</v>
      </c>
      <c r="AGK72" s="2">
        <v>-0.3</v>
      </c>
      <c r="AGL72" s="2">
        <v>-3.6</v>
      </c>
      <c r="AGM72" s="2">
        <v>-0.8</v>
      </c>
      <c r="AGN72" s="2">
        <v>0.2</v>
      </c>
      <c r="AGO72" s="2">
        <v>1.5</v>
      </c>
      <c r="AGP72" s="2">
        <v>7.2</v>
      </c>
      <c r="AGQ72" s="2">
        <v>-0.7</v>
      </c>
      <c r="AGR72" s="2">
        <v>-0.5</v>
      </c>
      <c r="AGS72" s="2">
        <v>-0.6</v>
      </c>
      <c r="AGT72" s="2">
        <v>-0.2</v>
      </c>
      <c r="AGU72" s="2">
        <v>1.8</v>
      </c>
      <c r="AGV72" s="2">
        <v>0</v>
      </c>
      <c r="AGW72" s="2">
        <v>0.8</v>
      </c>
      <c r="AGX72" s="2">
        <v>1.5</v>
      </c>
      <c r="AGY72" s="2">
        <v>0.5</v>
      </c>
      <c r="AGZ72" s="2">
        <v>0.1</v>
      </c>
      <c r="AHA72" s="2">
        <v>0.1</v>
      </c>
      <c r="AHB72" s="2">
        <v>0.8</v>
      </c>
      <c r="AHC72" s="2">
        <v>0.1</v>
      </c>
      <c r="AHD72" s="2">
        <v>0</v>
      </c>
      <c r="AHE72" s="2">
        <v>0.5</v>
      </c>
      <c r="AHF72" s="2">
        <v>0.4</v>
      </c>
      <c r="AHG72" s="2">
        <v>0.2</v>
      </c>
      <c r="AHH72" s="2">
        <v>0.4</v>
      </c>
      <c r="AHI72" s="2">
        <v>-1</v>
      </c>
      <c r="AHJ72" s="2">
        <v>-0.7</v>
      </c>
      <c r="AHK72" s="2">
        <v>-0.8</v>
      </c>
      <c r="AHL72" s="2">
        <v>0.4</v>
      </c>
      <c r="AHM72" s="2">
        <v>0.1</v>
      </c>
      <c r="AHN72" s="2">
        <v>0.6</v>
      </c>
      <c r="AHO72" s="2">
        <v>0.5</v>
      </c>
      <c r="AHP72" s="2">
        <v>0.2</v>
      </c>
      <c r="AHQ72" s="2">
        <v>0.1</v>
      </c>
      <c r="AHR72" s="2">
        <v>0</v>
      </c>
      <c r="AHS72" s="2">
        <v>0</v>
      </c>
      <c r="AHT72" s="2">
        <v>-0.1</v>
      </c>
      <c r="AHU72" s="2">
        <v>0.1</v>
      </c>
      <c r="AHV72" s="2">
        <v>0.1</v>
      </c>
      <c r="AHW72" s="2">
        <v>0.2</v>
      </c>
      <c r="AHX72" s="2">
        <v>0.4</v>
      </c>
      <c r="AHY72" s="2">
        <v>0.2</v>
      </c>
      <c r="AHZ72" s="2">
        <v>0</v>
      </c>
      <c r="AIA72" s="2">
        <v>-0.1</v>
      </c>
      <c r="AIB72" s="2">
        <v>-0.1</v>
      </c>
      <c r="AIC72" s="2">
        <v>0</v>
      </c>
      <c r="AID72" s="2">
        <v>-0.5</v>
      </c>
      <c r="AIE72" s="2">
        <v>0</v>
      </c>
      <c r="AIF72" s="2">
        <v>0.2</v>
      </c>
      <c r="AIG72" s="2">
        <v>0.4</v>
      </c>
      <c r="AIH72" s="2">
        <v>-0.1</v>
      </c>
      <c r="AII72" s="2">
        <v>1.1</v>
      </c>
      <c r="AIJ72" s="2">
        <v>0.1</v>
      </c>
      <c r="AIK72" s="2">
        <v>-0.4</v>
      </c>
      <c r="AIL72" s="2">
        <v>0.5</v>
      </c>
      <c r="AIM72" s="2">
        <v>1.3</v>
      </c>
      <c r="AIN72" s="2">
        <v>0</v>
      </c>
      <c r="AIO72" s="2">
        <v>0.4</v>
      </c>
      <c r="AIP72" s="2">
        <v>0.1</v>
      </c>
      <c r="AIQ72" s="2">
        <v>1.2</v>
      </c>
      <c r="AIR72" s="2">
        <v>-0.1</v>
      </c>
      <c r="AIS72" s="2">
        <v>-1.7</v>
      </c>
      <c r="AIT72" s="2">
        <v>-1.5</v>
      </c>
      <c r="AIU72" s="2">
        <v>-0.2</v>
      </c>
      <c r="AIV72" s="2">
        <v>-1.4</v>
      </c>
      <c r="AIW72" s="2">
        <v>-0.7</v>
      </c>
      <c r="AIX72" s="2">
        <v>-2.1</v>
      </c>
      <c r="AIY72" s="2">
        <v>-2.4</v>
      </c>
      <c r="AIZ72" s="2">
        <v>-1.7</v>
      </c>
      <c r="AJA72" s="2">
        <v>-1.5</v>
      </c>
      <c r="AJB72" s="2">
        <v>-2.5</v>
      </c>
      <c r="AJC72" s="2">
        <v>-0.8</v>
      </c>
      <c r="AJD72" s="2">
        <v>-0.5</v>
      </c>
      <c r="AJE72" s="2">
        <v>-0.5</v>
      </c>
      <c r="AJF72" s="2">
        <v>-1.5</v>
      </c>
      <c r="AJG72" s="2">
        <v>-1.4</v>
      </c>
      <c r="AJH72" s="2">
        <v>-0.3</v>
      </c>
      <c r="AJI72" s="2">
        <v>-1.5</v>
      </c>
      <c r="AJJ72" s="2">
        <v>-1.5</v>
      </c>
      <c r="AJK72" s="2">
        <v>-1.5</v>
      </c>
      <c r="AJL72" s="2">
        <v>-0.6</v>
      </c>
      <c r="AJM72" s="2">
        <v>-1.2</v>
      </c>
      <c r="AJN72" s="2">
        <v>-1.1</v>
      </c>
      <c r="AJO72" s="2">
        <v>-1</v>
      </c>
      <c r="AJP72" s="2">
        <v>-0.3</v>
      </c>
      <c r="AJQ72" s="2">
        <v>-1.3</v>
      </c>
      <c r="AJR72" s="2">
        <v>-0.8</v>
      </c>
      <c r="AJS72" s="2">
        <v>-0.4</v>
      </c>
      <c r="AJT72" s="2">
        <v>0.4</v>
      </c>
      <c r="AJU72" s="2">
        <v>-0.7</v>
      </c>
      <c r="AJV72" s="2">
        <v>-0.6</v>
      </c>
      <c r="AJW72" s="2">
        <v>0.1</v>
      </c>
      <c r="AJX72" s="2">
        <v>0.1</v>
      </c>
      <c r="AJY72" s="2">
        <v>0.1</v>
      </c>
      <c r="AJZ72" s="2">
        <v>1.3</v>
      </c>
      <c r="AKA72" s="2">
        <v>-0.5</v>
      </c>
      <c r="AKB72" s="2">
        <v>0.1</v>
      </c>
      <c r="AKC72" s="2">
        <v>-0.6</v>
      </c>
      <c r="AKD72" s="2">
        <v>1.8</v>
      </c>
      <c r="AKE72" s="2">
        <v>0.2</v>
      </c>
      <c r="AKF72" s="2">
        <v>-0.4</v>
      </c>
      <c r="AKG72" s="2">
        <v>-0.7</v>
      </c>
      <c r="AKH72" s="2">
        <v>0.5</v>
      </c>
      <c r="AKI72" s="2">
        <v>0.6</v>
      </c>
      <c r="AKJ72" s="2">
        <v>-0.4</v>
      </c>
      <c r="AKK72" s="2">
        <v>0.1</v>
      </c>
      <c r="AKL72" s="2">
        <v>1.4</v>
      </c>
      <c r="AKM72" s="2">
        <v>0</v>
      </c>
      <c r="AKN72" s="2">
        <v>0</v>
      </c>
      <c r="AKO72" s="2">
        <v>0.3</v>
      </c>
      <c r="AKP72" s="2">
        <v>1.98</v>
      </c>
      <c r="AKQ72" s="2">
        <v>1.98</v>
      </c>
      <c r="AKR72" s="2">
        <v>1.99</v>
      </c>
    </row>
    <row r="73">
      <c r="A73" t="inlineStr">
        <is>
          <t>Audio, visual and computing equipment</t>
        </is>
      </c>
      <c r="B73" t="inlineStr">
        <is>
          <t>Audio, visual and computing equipment and services</t>
        </is>
      </c>
      <c r="C73">
        <v>3</v>
      </c>
      <c r="D73">
        <v>0.99</v>
      </c>
      <c r="E73" s="3">
        <f>D73/1.88*0.018785648854961833</f>
        <v>0.009892442748091604</v>
      </c>
      <c r="F73" s="3">
        <f>E73-D73/100</f>
        <v>-7.557251908395235e-06</v>
      </c>
      <c r="G73" s="3">
        <f>D73/1.88</f>
        <v>0.5265957446808511</v>
      </c>
      <c r="CI73" s="2">
        <v>102.39</v>
      </c>
      <c r="CJ73" s="2">
        <v>103.19</v>
      </c>
      <c r="CK73" s="2">
        <v>100.63</v>
      </c>
      <c r="CL73" s="2">
        <v>102.19</v>
      </c>
      <c r="CM73" s="2">
        <v>102.07</v>
      </c>
      <c r="CN73" s="2">
        <v>101.01</v>
      </c>
      <c r="CO73" s="2">
        <v>100.36</v>
      </c>
      <c r="CP73" s="2">
        <v>101.76</v>
      </c>
      <c r="CQ73" s="2">
        <v>98.26000000000001</v>
      </c>
      <c r="CR73" s="2">
        <v>98.34</v>
      </c>
      <c r="CS73" s="2">
        <v>99.23</v>
      </c>
      <c r="CT73" s="2">
        <v>99.91</v>
      </c>
      <c r="CU73" s="2">
        <v>100.51</v>
      </c>
      <c r="CV73" s="2">
        <v>101.91</v>
      </c>
      <c r="CW73" s="2">
        <v>100.33</v>
      </c>
      <c r="CX73" s="2">
        <v>101.5</v>
      </c>
      <c r="CY73" s="2">
        <v>101.43</v>
      </c>
      <c r="CZ73" s="2">
        <v>100</v>
      </c>
      <c r="DA73" s="2">
        <v>99.88</v>
      </c>
      <c r="DB73" s="2">
        <v>100.05</v>
      </c>
      <c r="DC73" s="2">
        <v>96.7</v>
      </c>
      <c r="DD73" s="2">
        <v>100.14</v>
      </c>
      <c r="DE73" s="2">
        <v>101.04</v>
      </c>
      <c r="DF73" s="2">
        <v>99.22</v>
      </c>
      <c r="DG73" s="2">
        <v>99.7</v>
      </c>
      <c r="DH73" s="2">
        <v>99.98999999999999</v>
      </c>
      <c r="DI73" s="2">
        <v>97.34</v>
      </c>
      <c r="DJ73" s="2">
        <v>104.84</v>
      </c>
      <c r="GL73" s="2">
        <v>-1.8</v>
      </c>
      <c r="GM73" s="2">
        <v>-1.2</v>
      </c>
      <c r="GN73" s="2">
        <v>-0.3</v>
      </c>
      <c r="GO73" s="2">
        <v>-0.7</v>
      </c>
      <c r="GP73" s="2">
        <v>-0.6</v>
      </c>
      <c r="GQ73" s="2">
        <v>-1</v>
      </c>
      <c r="GR73" s="2">
        <v>-0.5</v>
      </c>
      <c r="GS73" s="2">
        <v>-1.7</v>
      </c>
      <c r="GT73" s="2">
        <v>-1.6</v>
      </c>
      <c r="GU73" s="2">
        <v>1.8</v>
      </c>
      <c r="GV73" s="2">
        <v>1.8</v>
      </c>
      <c r="GW73" s="2">
        <v>-0.7</v>
      </c>
      <c r="GX73" s="2">
        <v>-0.8</v>
      </c>
      <c r="GY73" s="2">
        <v>-1.9</v>
      </c>
      <c r="GZ73" s="2">
        <v>-3</v>
      </c>
      <c r="HA73" s="2">
        <v>3.3</v>
      </c>
      <c r="KC73" s="2">
        <v>0.8</v>
      </c>
      <c r="KD73" s="2">
        <v>-2.5</v>
      </c>
      <c r="KE73" s="2">
        <v>1.6</v>
      </c>
      <c r="KF73" s="2">
        <v>-0.1</v>
      </c>
      <c r="KG73" s="2">
        <v>-1</v>
      </c>
      <c r="KH73" s="2">
        <v>-0.6</v>
      </c>
      <c r="KI73" s="2">
        <v>1.4</v>
      </c>
      <c r="KJ73" s="2">
        <v>-3.4</v>
      </c>
      <c r="KK73" s="2">
        <v>0.1</v>
      </c>
      <c r="KL73" s="2">
        <v>0.9</v>
      </c>
      <c r="KM73" s="2">
        <v>0.7</v>
      </c>
      <c r="KN73" s="2">
        <v>0.6</v>
      </c>
      <c r="KO73" s="2">
        <v>1.4</v>
      </c>
      <c r="KP73" s="2">
        <v>-1.6</v>
      </c>
      <c r="KQ73" s="2">
        <v>1.2</v>
      </c>
      <c r="KR73" s="2">
        <v>-0.1</v>
      </c>
      <c r="KS73" s="2">
        <v>-1.4</v>
      </c>
      <c r="KT73" s="2">
        <v>-0.1</v>
      </c>
      <c r="KU73" s="2">
        <v>0.2</v>
      </c>
      <c r="KV73" s="2">
        <v>-3.3</v>
      </c>
      <c r="KW73" s="2">
        <v>3.6</v>
      </c>
      <c r="KX73" s="2">
        <v>0.9</v>
      </c>
      <c r="KY73" s="2">
        <v>-1.8</v>
      </c>
      <c r="KZ73" s="2">
        <v>0.5</v>
      </c>
      <c r="LA73" s="2">
        <v>0.3</v>
      </c>
      <c r="LB73" s="2">
        <v>-2.7</v>
      </c>
      <c r="LC73" s="2">
        <v>7.7</v>
      </c>
      <c r="LD73" s="2">
        <v>0.96</v>
      </c>
      <c r="LE73" s="2">
        <v>0.96</v>
      </c>
      <c r="LF73" s="2">
        <v>0.97</v>
      </c>
      <c r="LG73" s="2">
        <v>0.98</v>
      </c>
      <c r="LH73" s="2">
        <v>0.98</v>
      </c>
      <c r="LI73" s="2">
        <v>1</v>
      </c>
      <c r="LJ73" s="2">
        <v>0.98</v>
      </c>
      <c r="LK73" s="2">
        <v>0.99</v>
      </c>
      <c r="LL73" s="2">
        <v>0.99</v>
      </c>
      <c r="LM73" s="2">
        <v>0.98</v>
      </c>
      <c r="LN73" s="2">
        <v>0.98</v>
      </c>
      <c r="LO73" s="2">
        <v>0.98</v>
      </c>
      <c r="LP73" s="2">
        <v>0.95</v>
      </c>
      <c r="LQ73" s="2">
        <v>0.98</v>
      </c>
      <c r="LR73" s="2">
        <v>0.99</v>
      </c>
      <c r="LS73" s="2">
        <v>0.97</v>
      </c>
      <c r="LT73" s="2">
        <v>0.98</v>
      </c>
      <c r="LU73" s="2">
        <v>0.98</v>
      </c>
      <c r="LV73" s="2">
        <v>0.95</v>
      </c>
      <c r="LW73" s="2">
        <v>1.03</v>
      </c>
      <c r="LX73" s="2">
        <v>0</v>
      </c>
      <c r="LY73" s="2">
        <v>0.01</v>
      </c>
      <c r="LZ73" s="2">
        <v>0.01</v>
      </c>
      <c r="MA73" s="2">
        <v>0</v>
      </c>
      <c r="MB73" s="2">
        <v>0.02</v>
      </c>
      <c r="MC73" s="2">
        <v>-0.02</v>
      </c>
      <c r="MD73" s="2">
        <v>0.01</v>
      </c>
      <c r="ME73" s="2">
        <v>0</v>
      </c>
      <c r="MF73" s="2">
        <v>-0.01</v>
      </c>
      <c r="MG73" s="2">
        <v>0</v>
      </c>
      <c r="MH73" s="2">
        <v>0</v>
      </c>
      <c r="MI73" s="2">
        <v>-0.03</v>
      </c>
      <c r="MJ73" s="2">
        <v>0.03</v>
      </c>
      <c r="MK73" s="2">
        <v>0.01</v>
      </c>
      <c r="ML73" s="2">
        <v>-0.02</v>
      </c>
      <c r="MM73" s="2">
        <v>0.01</v>
      </c>
      <c r="MN73" s="2">
        <v>0</v>
      </c>
      <c r="MO73" s="2">
        <v>-0.03</v>
      </c>
      <c r="MP73" s="2">
        <v>0.08</v>
      </c>
      <c r="RO73" s="2">
        <v>2276.45</v>
      </c>
      <c r="RP73" s="2">
        <v>2233.46</v>
      </c>
      <c r="RQ73" s="2">
        <v>2240.94</v>
      </c>
      <c r="RR73" s="2">
        <v>2244.67</v>
      </c>
      <c r="RS73" s="2">
        <v>2235.33</v>
      </c>
      <c r="RT73" s="2">
        <v>2313.83</v>
      </c>
      <c r="RU73" s="2">
        <v>2282.05</v>
      </c>
      <c r="RV73" s="2">
        <v>2214.77</v>
      </c>
      <c r="RW73" s="2">
        <v>2196.08</v>
      </c>
      <c r="RX73" s="2">
        <v>2141.88</v>
      </c>
      <c r="RY73" s="2">
        <v>2108.24</v>
      </c>
      <c r="RZ73" s="2">
        <v>2166.18</v>
      </c>
      <c r="SA73" s="2">
        <v>2175.52</v>
      </c>
      <c r="SB73" s="2">
        <v>2130.67</v>
      </c>
      <c r="SC73" s="2">
        <v>2091.42</v>
      </c>
      <c r="SD73" s="2">
        <v>2037.22</v>
      </c>
      <c r="SE73" s="2">
        <v>1997.97</v>
      </c>
      <c r="SF73" s="2">
        <v>1923.21</v>
      </c>
      <c r="SG73" s="2">
        <v>1876.48</v>
      </c>
      <c r="SH73" s="2">
        <v>1923.21</v>
      </c>
      <c r="SI73" s="2">
        <v>1947.5</v>
      </c>
      <c r="SJ73" s="2">
        <v>1923.21</v>
      </c>
      <c r="SK73" s="2">
        <v>1941.9</v>
      </c>
      <c r="SL73" s="2">
        <v>1964.32</v>
      </c>
      <c r="SM73" s="2">
        <v>1999.84</v>
      </c>
      <c r="SN73" s="2">
        <v>2052.17</v>
      </c>
      <c r="SO73" s="2">
        <v>2115.71</v>
      </c>
      <c r="SP73" s="2">
        <v>2153.09</v>
      </c>
      <c r="SQ73" s="2">
        <v>2134.4</v>
      </c>
      <c r="SR73" s="2">
        <v>2119.45</v>
      </c>
      <c r="SS73" s="2">
        <v>2076.46</v>
      </c>
      <c r="ST73" s="2">
        <v>2063.38</v>
      </c>
      <c r="SU73" s="2">
        <v>2059.64</v>
      </c>
      <c r="SV73" s="2">
        <v>2042.82</v>
      </c>
      <c r="SW73" s="2">
        <v>2014.79</v>
      </c>
      <c r="SX73" s="2">
        <v>1975.54</v>
      </c>
      <c r="SY73" s="2">
        <v>1923.21</v>
      </c>
      <c r="SZ73" s="2">
        <v>1895.17</v>
      </c>
      <c r="TA73" s="2">
        <v>1850.31</v>
      </c>
      <c r="TB73" s="2">
        <v>1805.46</v>
      </c>
      <c r="TC73" s="2">
        <v>1792.38</v>
      </c>
      <c r="TD73" s="2">
        <v>1779.29</v>
      </c>
      <c r="TE73" s="2">
        <v>1762.47</v>
      </c>
      <c r="TF73" s="2">
        <v>1734.44</v>
      </c>
      <c r="TG73" s="2">
        <v>1712.01</v>
      </c>
      <c r="TH73" s="2">
        <v>1726.96</v>
      </c>
      <c r="TI73" s="2">
        <v>1713.88</v>
      </c>
      <c r="TJ73" s="2">
        <v>1691.45</v>
      </c>
      <c r="TK73" s="2">
        <v>1685.84</v>
      </c>
      <c r="TL73" s="2">
        <v>1683.97</v>
      </c>
      <c r="TM73" s="2">
        <v>1689.58</v>
      </c>
      <c r="TN73" s="2">
        <v>1700.79</v>
      </c>
      <c r="TO73" s="2">
        <v>1691.45</v>
      </c>
      <c r="TP73" s="2">
        <v>1700.79</v>
      </c>
      <c r="TQ73" s="2">
        <v>1676.5</v>
      </c>
      <c r="TR73" s="2">
        <v>1700.79</v>
      </c>
      <c r="TS73" s="2">
        <v>1693.32</v>
      </c>
      <c r="TT73" s="2">
        <v>1704.53</v>
      </c>
      <c r="TU73" s="2">
        <v>1687.71</v>
      </c>
      <c r="TV73" s="2">
        <v>1648.46</v>
      </c>
      <c r="TW73" s="2">
        <v>1601.74</v>
      </c>
      <c r="TX73" s="2">
        <v>1571.83</v>
      </c>
      <c r="TY73" s="2">
        <v>1553.14</v>
      </c>
      <c r="TZ73" s="2">
        <v>1519.5</v>
      </c>
      <c r="UA73" s="2">
        <v>1504.55</v>
      </c>
      <c r="UB73" s="2">
        <v>1489.6</v>
      </c>
      <c r="UC73" s="2">
        <v>1452.22</v>
      </c>
      <c r="UD73" s="2">
        <v>1433.53</v>
      </c>
      <c r="UE73" s="2">
        <v>1409.23</v>
      </c>
      <c r="UF73" s="2">
        <v>1390.54</v>
      </c>
      <c r="UG73" s="2">
        <v>1379.33</v>
      </c>
      <c r="UH73" s="2">
        <v>1383.06</v>
      </c>
      <c r="UI73" s="2">
        <v>1339.52</v>
      </c>
      <c r="UJ73" s="2">
        <v>1317.52</v>
      </c>
      <c r="UK73" s="2">
        <v>1279.15</v>
      </c>
      <c r="UL73" s="2">
        <v>1238.68</v>
      </c>
      <c r="UM73" s="2">
        <v>1165.98</v>
      </c>
      <c r="UN73" s="2">
        <v>1076.58</v>
      </c>
      <c r="UO73" s="2">
        <v>1065.94</v>
      </c>
      <c r="UP73" s="2">
        <v>1051.56</v>
      </c>
      <c r="UQ73" s="2">
        <v>1000.64</v>
      </c>
      <c r="UR73" s="2">
        <v>1002.77</v>
      </c>
      <c r="US73" s="2">
        <v>1005.27</v>
      </c>
      <c r="UT73" s="2">
        <v>970.84</v>
      </c>
      <c r="UU73" s="2">
        <v>964.62</v>
      </c>
      <c r="UV73" s="2">
        <v>948.5700000000001</v>
      </c>
      <c r="UW73" s="2">
        <v>939.17</v>
      </c>
      <c r="UX73" s="2">
        <v>928.88</v>
      </c>
      <c r="UY73" s="2">
        <v>898.01</v>
      </c>
      <c r="UZ73" s="2">
        <v>851.7</v>
      </c>
      <c r="VA73" s="2">
        <v>815.15</v>
      </c>
      <c r="VB73" s="2">
        <v>766.13</v>
      </c>
      <c r="VC73" s="2">
        <v>710.85</v>
      </c>
      <c r="VD73" s="2">
        <v>670.51</v>
      </c>
      <c r="VE73" s="2">
        <v>640.26</v>
      </c>
      <c r="VF73" s="2">
        <v>608.05</v>
      </c>
      <c r="VG73" s="2">
        <v>591.77</v>
      </c>
      <c r="VH73" s="2">
        <v>582.97</v>
      </c>
      <c r="VI73" s="2">
        <v>545.87</v>
      </c>
      <c r="VJ73" s="2">
        <v>538.38</v>
      </c>
      <c r="VK73" s="2">
        <v>529.46</v>
      </c>
      <c r="VL73" s="2">
        <v>511.58</v>
      </c>
      <c r="VM73" s="2">
        <v>503.72</v>
      </c>
      <c r="VN73" s="2">
        <v>492.07</v>
      </c>
      <c r="VO73" s="2">
        <v>484.35</v>
      </c>
      <c r="VP73" s="2">
        <v>470.94</v>
      </c>
      <c r="VQ73" s="2">
        <v>458.91</v>
      </c>
      <c r="VR73" s="2">
        <v>449.01</v>
      </c>
      <c r="VS73" s="2">
        <v>437.49</v>
      </c>
      <c r="VT73" s="2">
        <v>419.38</v>
      </c>
      <c r="VU73" s="2">
        <v>394.25</v>
      </c>
      <c r="VV73" s="2">
        <v>387.09</v>
      </c>
      <c r="VW73" s="2">
        <v>371.13</v>
      </c>
      <c r="VX73" s="2">
        <v>359.94</v>
      </c>
      <c r="VY73" s="2">
        <v>352.77</v>
      </c>
      <c r="VZ73" s="2">
        <v>347.55</v>
      </c>
      <c r="WA73" s="2">
        <v>341.01</v>
      </c>
      <c r="WB73" s="2">
        <v>315.39</v>
      </c>
      <c r="WC73" s="2">
        <v>296.78</v>
      </c>
      <c r="WD73" s="2">
        <v>279.06</v>
      </c>
      <c r="WE73" s="2">
        <v>271.9</v>
      </c>
      <c r="WF73" s="2">
        <v>257.8</v>
      </c>
      <c r="WG73" s="2">
        <v>239.88</v>
      </c>
      <c r="WH73" s="2">
        <v>224.32</v>
      </c>
      <c r="WI73" s="2">
        <v>216.79</v>
      </c>
      <c r="WJ73" s="2">
        <v>208.46</v>
      </c>
      <c r="WK73" s="2">
        <v>197.03</v>
      </c>
      <c r="WL73" s="2">
        <v>189.69</v>
      </c>
      <c r="WM73" s="2">
        <v>186.89</v>
      </c>
      <c r="WN73" s="2">
        <v>178.86</v>
      </c>
      <c r="WO73" s="2">
        <v>170.52</v>
      </c>
      <c r="WP73" s="2">
        <v>167.17</v>
      </c>
      <c r="WQ73" s="2">
        <v>165.81</v>
      </c>
      <c r="WR73" s="2">
        <v>162.42</v>
      </c>
      <c r="WS73" s="2">
        <v>158.1</v>
      </c>
      <c r="WT73" s="2">
        <v>155.57</v>
      </c>
      <c r="WU73" s="2">
        <v>155.99</v>
      </c>
      <c r="WV73" s="2">
        <v>147.85</v>
      </c>
      <c r="WW73" s="2">
        <v>143.85</v>
      </c>
      <c r="WX73" s="2">
        <v>145.85</v>
      </c>
      <c r="WY73" s="2">
        <v>143.75</v>
      </c>
      <c r="WZ73" s="2">
        <v>141.15</v>
      </c>
      <c r="XA73" s="2">
        <v>134.73</v>
      </c>
      <c r="XB73" s="2">
        <v>133.31</v>
      </c>
      <c r="XC73" s="2">
        <v>130.99</v>
      </c>
      <c r="XD73" s="2">
        <v>127.15</v>
      </c>
      <c r="XE73" s="2">
        <v>125.02</v>
      </c>
      <c r="XF73" s="2">
        <v>123.96</v>
      </c>
      <c r="XG73" s="2">
        <v>121.88</v>
      </c>
      <c r="XH73" s="2">
        <v>117.62</v>
      </c>
      <c r="XI73" s="2">
        <v>114.12</v>
      </c>
      <c r="XJ73" s="2">
        <v>112.84</v>
      </c>
      <c r="XK73" s="2">
        <v>110.79</v>
      </c>
      <c r="XL73" s="2">
        <v>107.26</v>
      </c>
      <c r="XM73" s="2">
        <v>105.43</v>
      </c>
      <c r="XN73" s="2">
        <v>104.61</v>
      </c>
      <c r="XO73" s="2">
        <v>103.59</v>
      </c>
      <c r="XP73" s="2">
        <v>101.86</v>
      </c>
      <c r="XQ73" s="2">
        <v>99.63</v>
      </c>
      <c r="XR73" s="2">
        <v>101.44</v>
      </c>
      <c r="XS73" s="2">
        <v>103.06</v>
      </c>
      <c r="XT73" s="2">
        <v>101.53</v>
      </c>
      <c r="XU73" s="2">
        <v>99.86</v>
      </c>
      <c r="XV73" s="2">
        <v>99.44</v>
      </c>
      <c r="XW73" s="2">
        <v>101.31</v>
      </c>
      <c r="XX73" s="2">
        <v>101.84</v>
      </c>
      <c r="XY73" s="2">
        <v>101.77</v>
      </c>
      <c r="XZ73" s="2">
        <v>102.39</v>
      </c>
      <c r="YA73" s="2">
        <v>102.61</v>
      </c>
      <c r="YB73" s="2">
        <v>102.37</v>
      </c>
      <c r="YC73" s="2">
        <v>103.31</v>
      </c>
      <c r="YD73" s="2">
        <v>103.25</v>
      </c>
      <c r="YE73" s="2">
        <v>102.8</v>
      </c>
      <c r="YF73" s="2">
        <v>102</v>
      </c>
      <c r="YG73" s="2">
        <v>103.32</v>
      </c>
      <c r="YH73" s="2">
        <v>102.17</v>
      </c>
      <c r="YI73" s="2">
        <v>102.13</v>
      </c>
      <c r="YJ73" s="2">
        <v>100.99</v>
      </c>
      <c r="YK73" s="2">
        <v>98.70999999999999</v>
      </c>
      <c r="YL73" s="2">
        <v>100.98</v>
      </c>
      <c r="YM73" s="2">
        <v>100.98</v>
      </c>
      <c r="YN73" s="2">
        <v>98.88</v>
      </c>
      <c r="YO73" s="2">
        <v>100.13</v>
      </c>
      <c r="YP73" s="2">
        <v>99.01000000000001</v>
      </c>
      <c r="ADO73" s="2">
        <v>-1.9</v>
      </c>
      <c r="ADP73" s="2">
        <v>0.3</v>
      </c>
      <c r="ADQ73" s="2">
        <v>0.2</v>
      </c>
      <c r="ADR73" s="2">
        <v>-0.4</v>
      </c>
      <c r="ADS73" s="2">
        <v>3.5</v>
      </c>
      <c r="ADT73" s="2">
        <v>-1.4</v>
      </c>
      <c r="ADU73" s="2">
        <v>-2.9</v>
      </c>
      <c r="ADV73" s="2">
        <v>-0.8</v>
      </c>
      <c r="ADW73" s="2">
        <v>-2.5</v>
      </c>
      <c r="ADX73" s="2">
        <v>-1.6</v>
      </c>
      <c r="ADY73" s="2">
        <v>2.7</v>
      </c>
      <c r="ADZ73" s="2">
        <v>0.4</v>
      </c>
      <c r="AEA73" s="2">
        <v>-2.1</v>
      </c>
      <c r="AEB73" s="2">
        <v>-1.8</v>
      </c>
      <c r="AEC73" s="2">
        <v>-2.6</v>
      </c>
      <c r="AED73" s="2">
        <v>-1.9</v>
      </c>
      <c r="AEE73" s="2">
        <v>-3.7</v>
      </c>
      <c r="AEF73" s="2">
        <v>-2.4</v>
      </c>
      <c r="AEG73" s="2">
        <v>2.5</v>
      </c>
      <c r="AEH73" s="2">
        <v>1.3</v>
      </c>
      <c r="AEI73" s="2">
        <v>-1.2</v>
      </c>
      <c r="AEJ73" s="2">
        <v>1</v>
      </c>
      <c r="AEK73" s="2">
        <v>1.2</v>
      </c>
      <c r="AEL73" s="2">
        <v>1.8</v>
      </c>
      <c r="AEM73" s="2">
        <v>2.6</v>
      </c>
      <c r="AEN73" s="2">
        <v>3.1</v>
      </c>
      <c r="AEO73" s="2">
        <v>1.8</v>
      </c>
      <c r="AEP73" s="2">
        <v>-0.9</v>
      </c>
      <c r="AEQ73" s="2">
        <v>-0.7</v>
      </c>
      <c r="AER73" s="2">
        <v>-2</v>
      </c>
      <c r="AES73" s="2">
        <v>-0.6</v>
      </c>
      <c r="AET73" s="2">
        <v>-0.2</v>
      </c>
      <c r="AEU73" s="2">
        <v>-0.8</v>
      </c>
      <c r="AEV73" s="2">
        <v>-1.4</v>
      </c>
      <c r="AEW73" s="2">
        <v>-1.9</v>
      </c>
      <c r="AEX73" s="2">
        <v>-2.6</v>
      </c>
      <c r="AEY73" s="2">
        <v>-1.5</v>
      </c>
      <c r="AEZ73" s="2">
        <v>-2.4</v>
      </c>
      <c r="AFA73" s="2">
        <v>-2.4</v>
      </c>
      <c r="AFB73" s="2">
        <v>-0.7</v>
      </c>
      <c r="AFC73" s="2">
        <v>-0.7</v>
      </c>
      <c r="AFD73" s="2">
        <v>-0.9</v>
      </c>
      <c r="AFE73" s="2">
        <v>-1.6</v>
      </c>
      <c r="AFF73" s="2">
        <v>-1.3</v>
      </c>
      <c r="AFG73" s="2">
        <v>0.9</v>
      </c>
      <c r="AFH73" s="2">
        <v>-0.8</v>
      </c>
      <c r="AFI73" s="2">
        <v>-1.3</v>
      </c>
      <c r="AFJ73" s="2">
        <v>-0.3</v>
      </c>
      <c r="AFK73" s="2">
        <v>-0.1</v>
      </c>
      <c r="AFL73" s="2">
        <v>0.3</v>
      </c>
      <c r="AFM73" s="2">
        <v>0.7</v>
      </c>
      <c r="AFN73" s="2">
        <v>-0.5</v>
      </c>
      <c r="AFO73" s="2">
        <v>0.6</v>
      </c>
      <c r="AFP73" s="2">
        <v>-1.4</v>
      </c>
      <c r="AFQ73" s="2">
        <v>1.4</v>
      </c>
      <c r="AFR73" s="2">
        <v>-0.4</v>
      </c>
      <c r="AFS73" s="2">
        <v>0.7</v>
      </c>
      <c r="AFT73" s="2">
        <v>-1</v>
      </c>
      <c r="AFU73" s="2">
        <v>-2.3</v>
      </c>
      <c r="AFV73" s="2">
        <v>-2.8</v>
      </c>
      <c r="AFW73" s="2">
        <v>-1.9</v>
      </c>
      <c r="AFX73" s="2">
        <v>-1.2</v>
      </c>
      <c r="AFY73" s="2">
        <v>-2.2</v>
      </c>
      <c r="AFZ73" s="2">
        <v>-1</v>
      </c>
      <c r="AGA73" s="2">
        <v>-1</v>
      </c>
      <c r="AGB73" s="2">
        <v>-2.5</v>
      </c>
      <c r="AGC73" s="2">
        <v>-1.3</v>
      </c>
      <c r="AGD73" s="2">
        <v>-1.7</v>
      </c>
      <c r="AGE73" s="2">
        <v>-1.3</v>
      </c>
      <c r="AGF73" s="2">
        <v>-0.8</v>
      </c>
      <c r="AGG73" s="2">
        <v>0.3</v>
      </c>
      <c r="AGH73" s="2">
        <v>-3.1</v>
      </c>
      <c r="AGI73" s="2">
        <v>-1.6</v>
      </c>
      <c r="AGJ73" s="2">
        <v>-2.9</v>
      </c>
      <c r="AGK73" s="2">
        <v>-3.2</v>
      </c>
      <c r="AGL73" s="2">
        <v>-5.9</v>
      </c>
      <c r="AGM73" s="2">
        <v>-7.7</v>
      </c>
      <c r="AGN73" s="2">
        <v>-1</v>
      </c>
      <c r="AGO73" s="2">
        <v>-1.3</v>
      </c>
      <c r="AGP73" s="2">
        <v>-4.8</v>
      </c>
      <c r="AGQ73" s="2">
        <v>0.2</v>
      </c>
      <c r="AGR73" s="2">
        <v>0.2</v>
      </c>
      <c r="AGS73" s="2">
        <v>-3.4</v>
      </c>
      <c r="AGT73" s="2">
        <v>-0.6</v>
      </c>
      <c r="AGU73" s="2">
        <v>-1.7</v>
      </c>
      <c r="AGV73" s="2">
        <v>-1</v>
      </c>
      <c r="AGW73" s="2">
        <v>-1.1</v>
      </c>
      <c r="AGX73" s="2">
        <v>-3.3</v>
      </c>
      <c r="AGY73" s="2">
        <v>-5.2</v>
      </c>
      <c r="AGZ73" s="2">
        <v>-4.3</v>
      </c>
      <c r="AHA73" s="2">
        <v>-6</v>
      </c>
      <c r="AHB73" s="2">
        <v>-7.2</v>
      </c>
      <c r="AHC73" s="2">
        <v>-5.7</v>
      </c>
      <c r="AHD73" s="2">
        <v>-4.5</v>
      </c>
      <c r="AHE73" s="2">
        <v>-5</v>
      </c>
      <c r="AHF73" s="2">
        <v>-2.7</v>
      </c>
      <c r="AHG73" s="2">
        <v>-1.5</v>
      </c>
      <c r="AHH73" s="2">
        <v>-6.4</v>
      </c>
      <c r="AHI73" s="2">
        <v>-1.4</v>
      </c>
      <c r="AHJ73" s="2">
        <v>-1.7</v>
      </c>
      <c r="AHK73" s="2">
        <v>-3.4</v>
      </c>
      <c r="AHL73" s="2">
        <v>-1.5</v>
      </c>
      <c r="AHM73" s="2">
        <v>-2.3</v>
      </c>
      <c r="AHN73" s="2">
        <v>-1.6</v>
      </c>
      <c r="AHO73" s="2">
        <v>-2.8</v>
      </c>
      <c r="AHP73" s="2">
        <v>-2.6</v>
      </c>
      <c r="AHQ73" s="2">
        <v>-2.2</v>
      </c>
      <c r="AHR73" s="2">
        <v>-2.6</v>
      </c>
      <c r="AHS73" s="2">
        <v>-4.1</v>
      </c>
      <c r="AHT73" s="2">
        <v>-6</v>
      </c>
      <c r="AHU73" s="2">
        <v>-1.8</v>
      </c>
      <c r="AHV73" s="2">
        <v>-4.1</v>
      </c>
      <c r="AHW73" s="2">
        <v>-3</v>
      </c>
      <c r="AHX73" s="2">
        <v>-2</v>
      </c>
      <c r="AHY73" s="2">
        <v>-1.5</v>
      </c>
      <c r="AHZ73" s="2">
        <v>-1.9</v>
      </c>
      <c r="AIA73" s="2">
        <v>-7.5</v>
      </c>
      <c r="AIB73" s="2">
        <v>-5.9</v>
      </c>
      <c r="AIC73" s="2">
        <v>-6</v>
      </c>
      <c r="AID73" s="2">
        <v>-2.6</v>
      </c>
      <c r="AIE73" s="2">
        <v>-5.2</v>
      </c>
      <c r="AIF73" s="2">
        <v>-7</v>
      </c>
      <c r="AIG73" s="2">
        <v>-6.5</v>
      </c>
      <c r="AIH73" s="2">
        <v>-3.4</v>
      </c>
      <c r="AII73" s="2">
        <v>-3.8</v>
      </c>
      <c r="AIJ73" s="2">
        <v>-5.5</v>
      </c>
      <c r="AIK73" s="2">
        <v>-3.7</v>
      </c>
      <c r="AIL73" s="2">
        <v>-1.5</v>
      </c>
      <c r="AIM73" s="2">
        <v>-4.3</v>
      </c>
      <c r="AIN73" s="2">
        <v>-4.7</v>
      </c>
      <c r="AIO73" s="2">
        <v>-2</v>
      </c>
      <c r="AIP73" s="2">
        <v>-0.8</v>
      </c>
      <c r="AIQ73" s="2">
        <v>-2</v>
      </c>
      <c r="AIR73" s="2">
        <v>-2.7</v>
      </c>
      <c r="AIS73" s="2">
        <v>-1.6</v>
      </c>
      <c r="AIT73" s="2">
        <v>0.3</v>
      </c>
      <c r="AIU73" s="2">
        <v>-5.2</v>
      </c>
      <c r="AIV73" s="2">
        <v>-2.7</v>
      </c>
      <c r="AIW73" s="2">
        <v>1.4</v>
      </c>
      <c r="AIX73" s="2">
        <v>-1.4</v>
      </c>
      <c r="AIY73" s="2">
        <v>-1.8</v>
      </c>
      <c r="AIZ73" s="2">
        <v>-4.5</v>
      </c>
      <c r="AJA73" s="2">
        <v>-1.1</v>
      </c>
      <c r="AJB73" s="2">
        <v>-1.7</v>
      </c>
      <c r="AJC73" s="2">
        <v>-2.9</v>
      </c>
      <c r="AJD73" s="2">
        <v>-1.7</v>
      </c>
      <c r="AJE73" s="2">
        <v>-0.8</v>
      </c>
      <c r="AJF73" s="2">
        <v>-1.7</v>
      </c>
      <c r="AJG73" s="2">
        <v>-3.5</v>
      </c>
      <c r="AJH73" s="2">
        <v>-3</v>
      </c>
      <c r="AJI73" s="2">
        <v>-1.1</v>
      </c>
      <c r="AJJ73" s="2">
        <v>-1.8</v>
      </c>
      <c r="AJK73" s="2">
        <v>-3.2</v>
      </c>
      <c r="AJL73" s="2">
        <v>-1.7</v>
      </c>
      <c r="AJM73" s="2">
        <v>-0.8</v>
      </c>
      <c r="AJN73" s="2">
        <v>-1</v>
      </c>
      <c r="AJO73" s="2">
        <v>-1.7</v>
      </c>
      <c r="AJP73" s="2">
        <v>-2.2</v>
      </c>
      <c r="AJQ73" s="2">
        <v>1.8</v>
      </c>
      <c r="AJR73" s="2">
        <v>1.6</v>
      </c>
      <c r="AJS73" s="2">
        <v>-1.5</v>
      </c>
      <c r="AJT73" s="2">
        <v>-1.6</v>
      </c>
      <c r="AJU73" s="2">
        <v>-0.4</v>
      </c>
      <c r="AJV73" s="2">
        <v>1.9</v>
      </c>
      <c r="AJW73" s="2">
        <v>0.5</v>
      </c>
      <c r="AJX73" s="2">
        <v>-0.1</v>
      </c>
      <c r="AJY73" s="2">
        <v>0.6</v>
      </c>
      <c r="AJZ73" s="2">
        <v>0.2</v>
      </c>
      <c r="AKA73" s="2">
        <v>-0.2</v>
      </c>
      <c r="AKB73" s="2">
        <v>0.9</v>
      </c>
      <c r="AKC73" s="2">
        <v>-0.1</v>
      </c>
      <c r="AKD73" s="2">
        <v>-0.4</v>
      </c>
      <c r="AKE73" s="2">
        <v>-0.8</v>
      </c>
      <c r="AKF73" s="2">
        <v>1.3</v>
      </c>
      <c r="AKG73" s="2">
        <v>-1.1</v>
      </c>
      <c r="AKH73" s="2">
        <v>0</v>
      </c>
      <c r="AKI73" s="2">
        <v>-1.1</v>
      </c>
      <c r="AKJ73" s="2">
        <v>-2.3</v>
      </c>
      <c r="AKK73" s="2">
        <v>2.3</v>
      </c>
      <c r="AKL73" s="2">
        <v>0</v>
      </c>
      <c r="AKM73" s="2">
        <v>-2.1</v>
      </c>
      <c r="AKN73" s="2">
        <v>1.3</v>
      </c>
      <c r="AKO73" s="2">
        <v>-1.1</v>
      </c>
      <c r="AKP73" s="2">
        <v>0.97</v>
      </c>
      <c r="AKQ73" s="2">
        <v>0.98</v>
      </c>
      <c r="AKR73" s="2">
        <v>0.97</v>
      </c>
    </row>
    <row r="74">
      <c r="A74" t="inlineStr">
        <is>
          <t>Audio, visual and computing media and services</t>
        </is>
      </c>
      <c r="B74" t="inlineStr">
        <is>
          <t>Audio, visual and computing equipment and services</t>
        </is>
      </c>
      <c r="C74">
        <v>3</v>
      </c>
      <c r="D74">
        <v>0.89</v>
      </c>
      <c r="E74" s="3">
        <f>D74/1.88*0.018785648854961833</f>
        <v>0.00889320610687023</v>
      </c>
      <c r="F74" s="3">
        <f>E74-D74/100</f>
        <v>-6.793893129769524e-06</v>
      </c>
      <c r="G74" s="3">
        <f>D74/1.88</f>
        <v>0.473404255319149</v>
      </c>
      <c r="CI74" s="2">
        <v>86.37</v>
      </c>
      <c r="CJ74" s="2">
        <v>88.89</v>
      </c>
      <c r="CK74" s="2">
        <v>89.67</v>
      </c>
      <c r="CL74" s="2">
        <v>90.5</v>
      </c>
      <c r="CM74" s="2">
        <v>90.78</v>
      </c>
      <c r="CN74" s="2">
        <v>90.95999999999999</v>
      </c>
      <c r="CO74" s="2">
        <v>91.05</v>
      </c>
      <c r="CP74" s="2">
        <v>91.81</v>
      </c>
      <c r="CQ74" s="2">
        <v>91.62</v>
      </c>
      <c r="CR74" s="2">
        <v>91.63</v>
      </c>
      <c r="CS74" s="2">
        <v>92.2</v>
      </c>
      <c r="CT74" s="2">
        <v>93.22</v>
      </c>
      <c r="CU74" s="2">
        <v>93.33</v>
      </c>
      <c r="CV74" s="2">
        <v>93.61</v>
      </c>
      <c r="CW74" s="2">
        <v>94.34</v>
      </c>
      <c r="CX74" s="2">
        <v>94.20999999999999</v>
      </c>
      <c r="CY74" s="2">
        <v>99.27</v>
      </c>
      <c r="CZ74" s="2">
        <v>100</v>
      </c>
      <c r="DA74" s="2">
        <v>99.95999999999999</v>
      </c>
      <c r="DB74" s="2">
        <v>100.57</v>
      </c>
      <c r="DC74" s="2">
        <v>100.79</v>
      </c>
      <c r="DD74" s="2">
        <v>100.88</v>
      </c>
      <c r="DE74" s="2">
        <v>101.57</v>
      </c>
      <c r="DF74" s="2">
        <v>101.84</v>
      </c>
      <c r="DG74" s="2">
        <v>102.27</v>
      </c>
      <c r="DH74" s="2">
        <v>103.48</v>
      </c>
      <c r="DI74" s="2">
        <v>103.27</v>
      </c>
      <c r="DJ74" s="2">
        <v>104.04</v>
      </c>
      <c r="GL74" s="2">
        <v>8.1</v>
      </c>
      <c r="GM74" s="2">
        <v>5.3</v>
      </c>
      <c r="GN74" s="2">
        <v>5.2</v>
      </c>
      <c r="GO74" s="2">
        <v>4.1</v>
      </c>
      <c r="GP74" s="2">
        <v>9.4</v>
      </c>
      <c r="GQ74" s="2">
        <v>9.9</v>
      </c>
      <c r="GR74" s="2">
        <v>9.800000000000001</v>
      </c>
      <c r="GS74" s="2">
        <v>9.5</v>
      </c>
      <c r="GT74" s="2">
        <v>10</v>
      </c>
      <c r="GU74" s="2">
        <v>10.1</v>
      </c>
      <c r="GV74" s="2">
        <v>10.2</v>
      </c>
      <c r="GW74" s="2">
        <v>9.199999999999999</v>
      </c>
      <c r="GX74" s="2">
        <v>9.6</v>
      </c>
      <c r="GY74" s="2">
        <v>10.5</v>
      </c>
      <c r="GZ74" s="2">
        <v>9.5</v>
      </c>
      <c r="HA74" s="2">
        <v>10.4</v>
      </c>
      <c r="KC74" s="2">
        <v>2.9</v>
      </c>
      <c r="KD74" s="2">
        <v>0.9</v>
      </c>
      <c r="KE74" s="2">
        <v>0.9</v>
      </c>
      <c r="KF74" s="2">
        <v>0.3</v>
      </c>
      <c r="KG74" s="2">
        <v>0.2</v>
      </c>
      <c r="KH74" s="2">
        <v>0.1</v>
      </c>
      <c r="KI74" s="2">
        <v>0.8</v>
      </c>
      <c r="KJ74" s="2">
        <v>-0.2</v>
      </c>
      <c r="KK74" s="2">
        <v>0</v>
      </c>
      <c r="KL74" s="2">
        <v>0.6</v>
      </c>
      <c r="KM74" s="2">
        <v>1.1</v>
      </c>
      <c r="KN74" s="2">
        <v>0.1</v>
      </c>
      <c r="KO74" s="2">
        <v>0.3</v>
      </c>
      <c r="KP74" s="2">
        <v>0.8</v>
      </c>
      <c r="KQ74" s="2">
        <v>-0.1</v>
      </c>
      <c r="KR74" s="2">
        <v>5.4</v>
      </c>
      <c r="KS74" s="2">
        <v>0.7</v>
      </c>
      <c r="KT74" s="2">
        <v>0</v>
      </c>
      <c r="KU74" s="2">
        <v>0.6</v>
      </c>
      <c r="KV74" s="2">
        <v>0.2</v>
      </c>
      <c r="KW74" s="2">
        <v>0.1</v>
      </c>
      <c r="KX74" s="2">
        <v>0.7</v>
      </c>
      <c r="KY74" s="2">
        <v>0.3</v>
      </c>
      <c r="KZ74" s="2">
        <v>0.4</v>
      </c>
      <c r="LA74" s="2">
        <v>1.2</v>
      </c>
      <c r="LB74" s="2">
        <v>-0.2</v>
      </c>
      <c r="LC74" s="2">
        <v>0.7</v>
      </c>
      <c r="LD74" s="2">
        <v>0.86</v>
      </c>
      <c r="LE74" s="2">
        <v>0.86</v>
      </c>
      <c r="LF74" s="2">
        <v>0.87</v>
      </c>
      <c r="LG74" s="2">
        <v>0.88</v>
      </c>
      <c r="LH74" s="2">
        <v>0.88</v>
      </c>
      <c r="LI74" s="2">
        <v>0.88</v>
      </c>
      <c r="LJ74" s="2">
        <v>0.89</v>
      </c>
      <c r="LK74" s="2">
        <v>0.89</v>
      </c>
      <c r="LL74" s="2">
        <v>0.9399999999999999</v>
      </c>
      <c r="LM74" s="2">
        <v>0.9399999999999999</v>
      </c>
      <c r="LN74" s="2">
        <v>0.9399999999999999</v>
      </c>
      <c r="LO74" s="2">
        <v>0.95</v>
      </c>
      <c r="LP74" s="2">
        <v>0.95</v>
      </c>
      <c r="LQ74" s="2">
        <v>0.95</v>
      </c>
      <c r="LR74" s="2">
        <v>0.96</v>
      </c>
      <c r="LS74" s="2">
        <v>0.96</v>
      </c>
      <c r="LT74" s="2">
        <v>0.96</v>
      </c>
      <c r="LU74" s="2">
        <v>0.98</v>
      </c>
      <c r="LV74" s="2">
        <v>0.97</v>
      </c>
      <c r="LW74" s="2">
        <v>0.98</v>
      </c>
      <c r="LX74" s="2">
        <v>0</v>
      </c>
      <c r="LY74" s="2">
        <v>0.01</v>
      </c>
      <c r="LZ74" s="2">
        <v>0.01</v>
      </c>
      <c r="MA74" s="2">
        <v>0</v>
      </c>
      <c r="MB74" s="2">
        <v>0</v>
      </c>
      <c r="MC74" s="2">
        <v>0.01</v>
      </c>
      <c r="MD74" s="2">
        <v>0</v>
      </c>
      <c r="ME74" s="2">
        <v>0.05</v>
      </c>
      <c r="MF74" s="2">
        <v>0</v>
      </c>
      <c r="MG74" s="2">
        <v>0</v>
      </c>
      <c r="MH74" s="2">
        <v>0.01</v>
      </c>
      <c r="MI74" s="2">
        <v>0</v>
      </c>
      <c r="MJ74" s="2">
        <v>0</v>
      </c>
      <c r="MK74" s="2">
        <v>0.01</v>
      </c>
      <c r="ML74" s="2">
        <v>0</v>
      </c>
      <c r="MM74" s="2">
        <v>0</v>
      </c>
      <c r="MN74" s="2">
        <v>0.02</v>
      </c>
      <c r="MO74" s="2">
        <v>-0.01</v>
      </c>
      <c r="MP74" s="2">
        <v>0.01</v>
      </c>
      <c r="SY74" s="2">
        <v>80.52</v>
      </c>
      <c r="SZ74" s="2">
        <v>81.25</v>
      </c>
      <c r="TA74" s="2">
        <v>81.73999999999999</v>
      </c>
      <c r="TB74" s="2">
        <v>82.72</v>
      </c>
      <c r="TC74" s="2">
        <v>84.11</v>
      </c>
      <c r="TD74" s="2">
        <v>85.17</v>
      </c>
      <c r="TE74" s="2">
        <v>84.68000000000001</v>
      </c>
      <c r="TF74" s="2">
        <v>85.81999999999999</v>
      </c>
      <c r="TG74" s="2">
        <v>85.5</v>
      </c>
      <c r="TH74" s="2">
        <v>84.52</v>
      </c>
      <c r="TI74" s="2">
        <v>81.5</v>
      </c>
      <c r="TJ74" s="2">
        <v>83.62</v>
      </c>
      <c r="TK74" s="2">
        <v>82.88</v>
      </c>
      <c r="TL74" s="2">
        <v>83.05</v>
      </c>
      <c r="TM74" s="2">
        <v>83.78</v>
      </c>
      <c r="TN74" s="2">
        <v>84.76000000000001</v>
      </c>
      <c r="TO74" s="2">
        <v>84.92</v>
      </c>
      <c r="TP74" s="2">
        <v>85.90000000000001</v>
      </c>
      <c r="TQ74" s="2">
        <v>86.15000000000001</v>
      </c>
      <c r="TR74" s="2">
        <v>86.72</v>
      </c>
      <c r="TS74" s="2">
        <v>87.62</v>
      </c>
      <c r="TT74" s="2">
        <v>87.94</v>
      </c>
      <c r="TU74" s="2">
        <v>87.86</v>
      </c>
      <c r="TV74" s="2">
        <v>87.78</v>
      </c>
      <c r="TW74" s="2">
        <v>87.86</v>
      </c>
      <c r="TX74" s="2">
        <v>88.02</v>
      </c>
      <c r="TY74" s="2">
        <v>88.76000000000001</v>
      </c>
      <c r="TZ74" s="2">
        <v>88.59999999999999</v>
      </c>
      <c r="UA74" s="2">
        <v>87.94</v>
      </c>
      <c r="UB74" s="2">
        <v>86.8</v>
      </c>
      <c r="UC74" s="2">
        <v>86.64</v>
      </c>
      <c r="UD74" s="2">
        <v>86.56</v>
      </c>
      <c r="UE74" s="2">
        <v>85.81999999999999</v>
      </c>
      <c r="UF74" s="2">
        <v>85.81999999999999</v>
      </c>
      <c r="UG74" s="2">
        <v>87.20999999999999</v>
      </c>
      <c r="UH74" s="2">
        <v>87.45</v>
      </c>
      <c r="UI74" s="2">
        <v>87.45</v>
      </c>
      <c r="UJ74" s="2">
        <v>89.08</v>
      </c>
      <c r="UK74" s="2">
        <v>88.02</v>
      </c>
      <c r="UL74" s="2">
        <v>86.88</v>
      </c>
      <c r="UM74" s="2">
        <v>86.31</v>
      </c>
      <c r="UN74" s="2">
        <v>86.23</v>
      </c>
      <c r="UO74" s="2">
        <v>85.41</v>
      </c>
      <c r="UP74" s="2">
        <v>84.68000000000001</v>
      </c>
      <c r="UQ74" s="2">
        <v>82.72</v>
      </c>
      <c r="UR74" s="2">
        <v>83.7</v>
      </c>
      <c r="US74" s="2">
        <v>84.68000000000001</v>
      </c>
      <c r="UT74" s="2">
        <v>85.09</v>
      </c>
      <c r="UU74" s="2">
        <v>84.76000000000001</v>
      </c>
      <c r="UV74" s="2">
        <v>82.72</v>
      </c>
      <c r="UW74" s="2">
        <v>82.48</v>
      </c>
      <c r="UX74" s="2">
        <v>80.93000000000001</v>
      </c>
      <c r="UY74" s="2">
        <v>80.68000000000001</v>
      </c>
      <c r="UZ74" s="2">
        <v>79.95</v>
      </c>
      <c r="VA74" s="2">
        <v>80.19</v>
      </c>
      <c r="VB74" s="2">
        <v>80.68000000000001</v>
      </c>
      <c r="VC74" s="2">
        <v>79.95</v>
      </c>
      <c r="VD74" s="2">
        <v>79.7</v>
      </c>
      <c r="VE74" s="2">
        <v>78.23</v>
      </c>
      <c r="VF74" s="2">
        <v>78.40000000000001</v>
      </c>
      <c r="VG74" s="2">
        <v>77.17</v>
      </c>
      <c r="VH74" s="2">
        <v>78.06999999999999</v>
      </c>
      <c r="VI74" s="2">
        <v>77.09</v>
      </c>
      <c r="VJ74" s="2">
        <v>76.2</v>
      </c>
      <c r="VK74" s="2">
        <v>76.52</v>
      </c>
      <c r="VL74" s="2">
        <v>75.70999999999999</v>
      </c>
      <c r="VM74" s="2">
        <v>76.03</v>
      </c>
      <c r="VN74" s="2">
        <v>75.87</v>
      </c>
      <c r="VO74" s="2">
        <v>75.13</v>
      </c>
      <c r="VP74" s="2">
        <v>74.23999999999999</v>
      </c>
      <c r="VQ74" s="2">
        <v>74.89</v>
      </c>
      <c r="VR74" s="2">
        <v>73.5</v>
      </c>
      <c r="VS74" s="2">
        <v>73.09999999999999</v>
      </c>
      <c r="VT74" s="2">
        <v>75.3</v>
      </c>
      <c r="VU74" s="2">
        <v>75.45999999999999</v>
      </c>
      <c r="VV74" s="2">
        <v>74.81</v>
      </c>
      <c r="VW74" s="2">
        <v>74.48</v>
      </c>
      <c r="VX74" s="2">
        <v>71.70999999999999</v>
      </c>
      <c r="VY74" s="2">
        <v>75.70999999999999</v>
      </c>
      <c r="VZ74" s="2">
        <v>74.89</v>
      </c>
      <c r="WA74" s="2">
        <v>75.13</v>
      </c>
      <c r="WB74" s="2">
        <v>76.28</v>
      </c>
      <c r="WC74" s="2">
        <v>75.54000000000001</v>
      </c>
      <c r="WD74" s="2">
        <v>75.05</v>
      </c>
      <c r="WE74" s="2">
        <v>75.70999999999999</v>
      </c>
      <c r="WF74" s="2">
        <v>75.62</v>
      </c>
      <c r="WG74" s="2">
        <v>74.73</v>
      </c>
      <c r="WH74" s="2">
        <v>75.05</v>
      </c>
      <c r="WI74" s="2">
        <v>73.77</v>
      </c>
      <c r="WJ74" s="2">
        <v>75.45999999999999</v>
      </c>
      <c r="WK74" s="2">
        <v>74.87</v>
      </c>
      <c r="WL74" s="2">
        <v>74.51000000000001</v>
      </c>
      <c r="WM74" s="2">
        <v>73.37</v>
      </c>
      <c r="WN74" s="2">
        <v>73.7</v>
      </c>
      <c r="WO74" s="2">
        <v>73.79000000000001</v>
      </c>
      <c r="WP74" s="2">
        <v>73.73999999999999</v>
      </c>
      <c r="WQ74" s="2">
        <v>73.73</v>
      </c>
      <c r="WR74" s="2">
        <v>74.37</v>
      </c>
      <c r="WS74" s="2">
        <v>75.33</v>
      </c>
      <c r="WT74" s="2">
        <v>74.01000000000001</v>
      </c>
      <c r="WU74" s="2">
        <v>74.53</v>
      </c>
      <c r="WV74" s="2">
        <v>71.67</v>
      </c>
      <c r="WW74" s="2">
        <v>72.3</v>
      </c>
      <c r="WX74" s="2">
        <v>71.13</v>
      </c>
      <c r="WY74" s="2">
        <v>72.25</v>
      </c>
      <c r="WZ74" s="2">
        <v>72.41</v>
      </c>
      <c r="XA74" s="2">
        <v>70.84</v>
      </c>
      <c r="XB74" s="2">
        <v>71.7</v>
      </c>
      <c r="XC74" s="2">
        <v>71.45</v>
      </c>
      <c r="XD74" s="2">
        <v>72.41</v>
      </c>
      <c r="XE74" s="2">
        <v>71.12</v>
      </c>
      <c r="XF74" s="2">
        <v>70.98999999999999</v>
      </c>
      <c r="XG74" s="2">
        <v>73.73</v>
      </c>
      <c r="XH74" s="2">
        <v>75.14</v>
      </c>
      <c r="XI74" s="2">
        <v>70.61</v>
      </c>
      <c r="XJ74" s="2">
        <v>72.72</v>
      </c>
      <c r="XK74" s="2">
        <v>75.28</v>
      </c>
      <c r="XL74" s="2">
        <v>75</v>
      </c>
      <c r="XM74" s="2">
        <v>73.17</v>
      </c>
      <c r="XN74" s="2">
        <v>73.59999999999999</v>
      </c>
      <c r="XO74" s="2">
        <v>74.54000000000001</v>
      </c>
      <c r="XP74" s="2">
        <v>76.33</v>
      </c>
      <c r="XQ74" s="2">
        <v>74.87</v>
      </c>
      <c r="XR74" s="2">
        <v>74.56999999999999</v>
      </c>
      <c r="XS74" s="2">
        <v>74.65000000000001</v>
      </c>
      <c r="XT74" s="2">
        <v>75.67</v>
      </c>
      <c r="XU74" s="2">
        <v>75.69</v>
      </c>
      <c r="XV74" s="2">
        <v>76.62</v>
      </c>
      <c r="XW74" s="2">
        <v>76.69</v>
      </c>
      <c r="XX74" s="2">
        <v>78.09</v>
      </c>
      <c r="XY74" s="2">
        <v>77.34</v>
      </c>
      <c r="XZ74" s="2">
        <v>79.05</v>
      </c>
      <c r="YA74" s="2">
        <v>80.02</v>
      </c>
      <c r="YB74" s="2">
        <v>80.55</v>
      </c>
      <c r="YC74" s="2">
        <v>81.76000000000001</v>
      </c>
      <c r="YD74" s="2">
        <v>82.22</v>
      </c>
      <c r="YE74" s="2">
        <v>82.56</v>
      </c>
      <c r="YF74" s="2">
        <v>82.83</v>
      </c>
      <c r="YG74" s="2">
        <v>84.45</v>
      </c>
      <c r="YH74" s="2">
        <v>87.61</v>
      </c>
      <c r="YI74" s="2">
        <v>89.45999999999999</v>
      </c>
      <c r="YJ74" s="2">
        <v>90.48</v>
      </c>
      <c r="YK74" s="2">
        <v>90.84999999999999</v>
      </c>
      <c r="YL74" s="2">
        <v>92.06999999999999</v>
      </c>
      <c r="YM74" s="2">
        <v>97.83</v>
      </c>
      <c r="YN74" s="2">
        <v>100.44</v>
      </c>
      <c r="YO74" s="2">
        <v>101.43</v>
      </c>
      <c r="YP74" s="2">
        <v>103.01</v>
      </c>
      <c r="AEY74" s="2">
        <v>0.9</v>
      </c>
      <c r="AEZ74" s="2">
        <v>0.6</v>
      </c>
      <c r="AFA74" s="2">
        <v>1.2</v>
      </c>
      <c r="AFB74" s="2">
        <v>1.7</v>
      </c>
      <c r="AFC74" s="2">
        <v>1.3</v>
      </c>
      <c r="AFD74" s="2">
        <v>-0.6</v>
      </c>
      <c r="AFE74" s="2">
        <v>1.3</v>
      </c>
      <c r="AFF74" s="2">
        <v>-0.4</v>
      </c>
      <c r="AFG74" s="2">
        <v>-1.1</v>
      </c>
      <c r="AFH74" s="2">
        <v>-3.6</v>
      </c>
      <c r="AFI74" s="2">
        <v>2.6</v>
      </c>
      <c r="AFJ74" s="2">
        <v>-0.9</v>
      </c>
      <c r="AFK74" s="2">
        <v>0.2</v>
      </c>
      <c r="AFL74" s="2">
        <v>0.9</v>
      </c>
      <c r="AFM74" s="2">
        <v>1.2</v>
      </c>
      <c r="AFN74" s="2">
        <v>0.2</v>
      </c>
      <c r="AFO74" s="2">
        <v>1.2</v>
      </c>
      <c r="AFP74" s="2">
        <v>0.3</v>
      </c>
      <c r="AFQ74" s="2">
        <v>0.7</v>
      </c>
      <c r="AFR74" s="2">
        <v>1</v>
      </c>
      <c r="AFS74" s="2">
        <v>0.4</v>
      </c>
      <c r="AFT74" s="2">
        <v>-0.1</v>
      </c>
      <c r="AFU74" s="2">
        <v>-0.1</v>
      </c>
      <c r="AFV74" s="2">
        <v>0.1</v>
      </c>
      <c r="AFW74" s="2">
        <v>0.2</v>
      </c>
      <c r="AFX74" s="2">
        <v>0.8</v>
      </c>
      <c r="AFY74" s="2">
        <v>-0.2</v>
      </c>
      <c r="AFZ74" s="2">
        <v>-0.7</v>
      </c>
      <c r="AGA74" s="2">
        <v>-1.3</v>
      </c>
      <c r="AGB74" s="2">
        <v>-0.2</v>
      </c>
      <c r="AGC74" s="2">
        <v>-0.1</v>
      </c>
      <c r="AGD74" s="2">
        <v>-0.9</v>
      </c>
      <c r="AGE74" s="2">
        <v>0</v>
      </c>
      <c r="AGF74" s="2">
        <v>1.6</v>
      </c>
      <c r="AGG74" s="2">
        <v>0.3</v>
      </c>
      <c r="AGH74" s="2">
        <v>0</v>
      </c>
      <c r="AGI74" s="2">
        <v>1.9</v>
      </c>
      <c r="AGJ74" s="2">
        <v>-1.2</v>
      </c>
      <c r="AGK74" s="2">
        <v>-1.3</v>
      </c>
      <c r="AGL74" s="2">
        <v>-0.7</v>
      </c>
      <c r="AGM74" s="2">
        <v>-0.1</v>
      </c>
      <c r="AGN74" s="2">
        <v>-1</v>
      </c>
      <c r="AGO74" s="2">
        <v>-0.9</v>
      </c>
      <c r="AGP74" s="2">
        <v>-2.3</v>
      </c>
      <c r="AGQ74" s="2">
        <v>1.2</v>
      </c>
      <c r="AGR74" s="2">
        <v>1.2</v>
      </c>
      <c r="AGS74" s="2">
        <v>0.5</v>
      </c>
      <c r="AGT74" s="2">
        <v>-0.4</v>
      </c>
      <c r="AGU74" s="2">
        <v>-2.4</v>
      </c>
      <c r="AGV74" s="2">
        <v>-0.3</v>
      </c>
      <c r="AGW74" s="2">
        <v>-1.9</v>
      </c>
      <c r="AGX74" s="2">
        <v>-0.3</v>
      </c>
      <c r="AGY74" s="2">
        <v>-0.9</v>
      </c>
      <c r="AGZ74" s="2">
        <v>0.3</v>
      </c>
      <c r="AHA74" s="2">
        <v>0.6</v>
      </c>
      <c r="AHB74" s="2">
        <v>-0.9</v>
      </c>
      <c r="AHC74" s="2">
        <v>-0.3</v>
      </c>
      <c r="AHD74" s="2">
        <v>-1.8</v>
      </c>
      <c r="AHE74" s="2">
        <v>0.2</v>
      </c>
      <c r="AHF74" s="2">
        <v>-1.6</v>
      </c>
      <c r="AHG74" s="2">
        <v>1.2</v>
      </c>
      <c r="AHH74" s="2">
        <v>-1.3</v>
      </c>
      <c r="AHI74" s="2">
        <v>-1.2</v>
      </c>
      <c r="AHJ74" s="2">
        <v>0.4</v>
      </c>
      <c r="AHK74" s="2">
        <v>-1.1</v>
      </c>
      <c r="AHL74" s="2">
        <v>0.4</v>
      </c>
      <c r="AHM74" s="2">
        <v>-0.2</v>
      </c>
      <c r="AHN74" s="2">
        <v>-1</v>
      </c>
      <c r="AHO74" s="2">
        <v>-1.2</v>
      </c>
      <c r="AHP74" s="2">
        <v>0.9</v>
      </c>
      <c r="AHQ74" s="2">
        <v>-1.9</v>
      </c>
      <c r="AHR74" s="2">
        <v>-0.5</v>
      </c>
      <c r="AHS74" s="2">
        <v>3</v>
      </c>
      <c r="AHT74" s="2">
        <v>0.2</v>
      </c>
      <c r="AHU74" s="2">
        <v>-0.9</v>
      </c>
      <c r="AHV74" s="2">
        <v>-0.4</v>
      </c>
      <c r="AHW74" s="2">
        <v>-3.7</v>
      </c>
      <c r="AHX74" s="2">
        <v>5.6</v>
      </c>
      <c r="AHY74" s="2">
        <v>-1.1</v>
      </c>
      <c r="AHZ74" s="2">
        <v>0.3</v>
      </c>
      <c r="AIA74" s="2">
        <v>1.5</v>
      </c>
      <c r="AIB74" s="2">
        <v>-1</v>
      </c>
      <c r="AIC74" s="2">
        <v>-0.6</v>
      </c>
      <c r="AID74" s="2">
        <v>0.9</v>
      </c>
      <c r="AIE74" s="2">
        <v>-0.1</v>
      </c>
      <c r="AIF74" s="2">
        <v>-1.2</v>
      </c>
      <c r="AIG74" s="2">
        <v>0.4</v>
      </c>
      <c r="AIH74" s="2">
        <v>-1.7</v>
      </c>
      <c r="AII74" s="2">
        <v>2.3</v>
      </c>
      <c r="AIJ74" s="2">
        <v>-0.8</v>
      </c>
      <c r="AIK74" s="2">
        <v>-0.5</v>
      </c>
      <c r="AIL74" s="2">
        <v>-1.5</v>
      </c>
      <c r="AIM74" s="2">
        <v>0.4</v>
      </c>
      <c r="AIN74" s="2">
        <v>0.1</v>
      </c>
      <c r="AIO74" s="2">
        <v>-0.1</v>
      </c>
      <c r="AIP74" s="2">
        <v>0</v>
      </c>
      <c r="AIQ74" s="2">
        <v>0.9</v>
      </c>
      <c r="AIR74" s="2">
        <v>1.3</v>
      </c>
      <c r="AIS74" s="2">
        <v>-1.8</v>
      </c>
      <c r="AIT74" s="2">
        <v>0.7</v>
      </c>
      <c r="AIU74" s="2">
        <v>-3.8</v>
      </c>
      <c r="AIV74" s="2">
        <v>0.9</v>
      </c>
      <c r="AIW74" s="2">
        <v>-1.6</v>
      </c>
      <c r="AIX74" s="2">
        <v>1.6</v>
      </c>
      <c r="AIY74" s="2">
        <v>0.2</v>
      </c>
      <c r="AIZ74" s="2">
        <v>-2.2</v>
      </c>
      <c r="AJA74" s="2">
        <v>1.2</v>
      </c>
      <c r="AJB74" s="2">
        <v>-0.3</v>
      </c>
      <c r="AJC74" s="2">
        <v>1.3</v>
      </c>
      <c r="AJD74" s="2">
        <v>-1.8</v>
      </c>
      <c r="AJE74" s="2">
        <v>-0.2</v>
      </c>
      <c r="AJF74" s="2">
        <v>3.9</v>
      </c>
      <c r="AJG74" s="2">
        <v>1.9</v>
      </c>
      <c r="AJH74" s="2">
        <v>-6</v>
      </c>
      <c r="AJI74" s="2">
        <v>3</v>
      </c>
      <c r="AJJ74" s="2">
        <v>3.5</v>
      </c>
      <c r="AJK74" s="2">
        <v>-0.4</v>
      </c>
      <c r="AJL74" s="2">
        <v>-2.4</v>
      </c>
      <c r="AJM74" s="2">
        <v>0.6</v>
      </c>
      <c r="AJN74" s="2">
        <v>1.3</v>
      </c>
      <c r="AJO74" s="2">
        <v>2.4</v>
      </c>
      <c r="AJP74" s="2">
        <v>-1.9</v>
      </c>
      <c r="AJQ74" s="2">
        <v>-0.4</v>
      </c>
      <c r="AJR74" s="2">
        <v>0.1</v>
      </c>
      <c r="AJS74" s="2">
        <v>1.4</v>
      </c>
      <c r="AJT74" s="2">
        <v>0</v>
      </c>
      <c r="AJU74" s="2">
        <v>1.2</v>
      </c>
      <c r="AJV74" s="2">
        <v>0.1</v>
      </c>
      <c r="AJW74" s="2">
        <v>1.8</v>
      </c>
      <c r="AJX74" s="2">
        <v>-1</v>
      </c>
      <c r="AJY74" s="2">
        <v>2.2</v>
      </c>
      <c r="AJZ74" s="2">
        <v>1.2</v>
      </c>
      <c r="AKA74" s="2">
        <v>0.7</v>
      </c>
      <c r="AKB74" s="2">
        <v>1.5</v>
      </c>
      <c r="AKC74" s="2">
        <v>0.6</v>
      </c>
      <c r="AKD74" s="2">
        <v>0.4</v>
      </c>
      <c r="AKE74" s="2">
        <v>0.3</v>
      </c>
      <c r="AKF74" s="2">
        <v>2</v>
      </c>
      <c r="AKG74" s="2">
        <v>3.7</v>
      </c>
      <c r="AKH74" s="2">
        <v>2.1</v>
      </c>
      <c r="AKI74" s="2">
        <v>1.1</v>
      </c>
      <c r="AKJ74" s="2">
        <v>0.4</v>
      </c>
      <c r="AKK74" s="2">
        <v>1.3</v>
      </c>
      <c r="AKL74" s="2">
        <v>6.3</v>
      </c>
      <c r="AKM74" s="2">
        <v>2.7</v>
      </c>
      <c r="AKN74" s="2">
        <v>1</v>
      </c>
      <c r="AKO74" s="2">
        <v>1.6</v>
      </c>
      <c r="AKP74" s="2">
        <v>0.95</v>
      </c>
      <c r="AKQ74" s="2">
        <v>0.96</v>
      </c>
      <c r="AKR74" s="2">
        <v>0.97</v>
      </c>
    </row>
    <row r="75">
      <c r="A75" t="inlineStr">
        <is>
          <t>Books</t>
        </is>
      </c>
      <c r="B75" t="inlineStr">
        <is>
          <t>Newspapers, books and stationery</t>
        </is>
      </c>
      <c r="C75">
        <v>3</v>
      </c>
      <c r="D75">
        <v>0.13</v>
      </c>
      <c r="E75" s="3">
        <f>D75/0.46*0.004696412213740458</f>
        <v>0.0013272469299701294</v>
      </c>
      <c r="F75" s="3">
        <f>E75-D75/100</f>
        <v>2.7246929970129417e-05</v>
      </c>
      <c r="G75" s="3">
        <f>D75/0.46</f>
        <v>0.2826086956521739</v>
      </c>
      <c r="CI75" s="2">
        <v>101.32</v>
      </c>
      <c r="CJ75" s="2">
        <v>101.33</v>
      </c>
      <c r="CK75" s="2">
        <v>101.97</v>
      </c>
      <c r="CL75" s="2">
        <v>102.27</v>
      </c>
      <c r="CM75" s="2">
        <v>103.12</v>
      </c>
      <c r="CN75" s="2">
        <v>99.48</v>
      </c>
      <c r="CO75" s="2">
        <v>99.56999999999999</v>
      </c>
      <c r="CP75" s="2">
        <v>100.45</v>
      </c>
      <c r="CQ75" s="2">
        <v>99.62</v>
      </c>
      <c r="CR75" s="2">
        <v>102.28</v>
      </c>
      <c r="CS75" s="2">
        <v>102.46</v>
      </c>
      <c r="CT75" s="2">
        <v>99.91</v>
      </c>
      <c r="CU75" s="2">
        <v>101.62</v>
      </c>
      <c r="CV75" s="2">
        <v>102.06</v>
      </c>
      <c r="CW75" s="2">
        <v>100.09</v>
      </c>
      <c r="CX75" s="2">
        <v>102.04</v>
      </c>
      <c r="CY75" s="2">
        <v>100.97</v>
      </c>
      <c r="CZ75" s="2">
        <v>100</v>
      </c>
      <c r="DA75" s="2">
        <v>101.84</v>
      </c>
      <c r="DB75" s="2">
        <v>101.67</v>
      </c>
      <c r="DC75" s="2">
        <v>99.36</v>
      </c>
      <c r="DD75" s="2">
        <v>103.36</v>
      </c>
      <c r="DE75" s="2">
        <v>102.74</v>
      </c>
      <c r="DF75" s="2">
        <v>101.73</v>
      </c>
      <c r="DG75" s="2">
        <v>98.45999999999999</v>
      </c>
      <c r="DH75" s="2">
        <v>101.61</v>
      </c>
      <c r="DI75" s="2">
        <v>100.47</v>
      </c>
      <c r="DJ75" s="2">
        <v>104.14</v>
      </c>
      <c r="GL75" s="2">
        <v>0.3</v>
      </c>
      <c r="GM75" s="2">
        <v>0.7</v>
      </c>
      <c r="GN75" s="2">
        <v>-1.8</v>
      </c>
      <c r="GO75" s="2">
        <v>-0.2</v>
      </c>
      <c r="GP75" s="2">
        <v>-2.1</v>
      </c>
      <c r="GQ75" s="2">
        <v>0.5</v>
      </c>
      <c r="GR75" s="2">
        <v>2.3</v>
      </c>
      <c r="GS75" s="2">
        <v>1.2</v>
      </c>
      <c r="GT75" s="2">
        <v>-0.3</v>
      </c>
      <c r="GU75" s="2">
        <v>1.1</v>
      </c>
      <c r="GV75" s="2">
        <v>0.3</v>
      </c>
      <c r="GW75" s="2">
        <v>1.8</v>
      </c>
      <c r="GX75" s="2">
        <v>-3.1</v>
      </c>
      <c r="GY75" s="2">
        <v>-0.4</v>
      </c>
      <c r="GZ75" s="2">
        <v>0.4</v>
      </c>
      <c r="HA75" s="2">
        <v>2.1</v>
      </c>
      <c r="KC75" s="2">
        <v>0</v>
      </c>
      <c r="KD75" s="2">
        <v>0.6</v>
      </c>
      <c r="KE75" s="2">
        <v>0.3</v>
      </c>
      <c r="KF75" s="2">
        <v>0.8</v>
      </c>
      <c r="KG75" s="2">
        <v>-3.5</v>
      </c>
      <c r="KH75" s="2">
        <v>0.1</v>
      </c>
      <c r="KI75" s="2">
        <v>0.9</v>
      </c>
      <c r="KJ75" s="2">
        <v>-0.8</v>
      </c>
      <c r="KK75" s="2">
        <v>2.7</v>
      </c>
      <c r="KL75" s="2">
        <v>0.2</v>
      </c>
      <c r="KM75" s="2">
        <v>-2.5</v>
      </c>
      <c r="KN75" s="2">
        <v>1.7</v>
      </c>
      <c r="KO75" s="2">
        <v>0.4</v>
      </c>
      <c r="KP75" s="2">
        <v>-1.9</v>
      </c>
      <c r="KQ75" s="2">
        <v>1.9</v>
      </c>
      <c r="KR75" s="2">
        <v>-1</v>
      </c>
      <c r="KS75" s="2">
        <v>-1</v>
      </c>
      <c r="KT75" s="2">
        <v>1.8</v>
      </c>
      <c r="KU75" s="2">
        <v>-0.2</v>
      </c>
      <c r="KV75" s="2">
        <v>-2.3</v>
      </c>
      <c r="KW75" s="2">
        <v>4</v>
      </c>
      <c r="KX75" s="2">
        <v>-0.6</v>
      </c>
      <c r="KY75" s="2">
        <v>-1</v>
      </c>
      <c r="KZ75" s="2">
        <v>-3.2</v>
      </c>
      <c r="LA75" s="2">
        <v>3.2</v>
      </c>
      <c r="LB75" s="2">
        <v>-1.1</v>
      </c>
      <c r="LC75" s="2">
        <v>3.7</v>
      </c>
      <c r="LD75" s="2">
        <v>0.13</v>
      </c>
      <c r="LE75" s="2">
        <v>0.13</v>
      </c>
      <c r="LF75" s="2">
        <v>0.13</v>
      </c>
      <c r="LG75" s="2">
        <v>0.13</v>
      </c>
      <c r="LH75" s="2">
        <v>0.13</v>
      </c>
      <c r="LI75" s="2">
        <v>0.13</v>
      </c>
      <c r="LJ75" s="2">
        <v>0.13</v>
      </c>
      <c r="LK75" s="2">
        <v>0.13</v>
      </c>
      <c r="LL75" s="2">
        <v>0.13</v>
      </c>
      <c r="LM75" s="2">
        <v>0.13</v>
      </c>
      <c r="LN75" s="2">
        <v>0.13</v>
      </c>
      <c r="LO75" s="2">
        <v>0.13</v>
      </c>
      <c r="LP75" s="2">
        <v>0.13</v>
      </c>
      <c r="LQ75" s="2">
        <v>0.13</v>
      </c>
      <c r="LR75" s="2">
        <v>0.13</v>
      </c>
      <c r="LS75" s="2">
        <v>0.13</v>
      </c>
      <c r="LT75" s="2">
        <v>0.13</v>
      </c>
      <c r="LU75" s="2">
        <v>0.13</v>
      </c>
      <c r="LV75" s="2">
        <v>0.13</v>
      </c>
      <c r="LW75" s="2">
        <v>0.14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0.01</v>
      </c>
      <c r="UH75" s="2">
        <v>76.69</v>
      </c>
      <c r="UI75" s="2">
        <v>78.17</v>
      </c>
      <c r="UJ75" s="2">
        <v>78.52</v>
      </c>
      <c r="UK75" s="2">
        <v>80.45</v>
      </c>
      <c r="UL75" s="2">
        <v>79.47</v>
      </c>
      <c r="UM75" s="2">
        <v>79.34999999999999</v>
      </c>
      <c r="UN75" s="2">
        <v>79.7</v>
      </c>
      <c r="UO75" s="2">
        <v>81.20999999999999</v>
      </c>
      <c r="UP75" s="2">
        <v>81.62</v>
      </c>
      <c r="UQ75" s="2">
        <v>87.19</v>
      </c>
      <c r="UR75" s="2">
        <v>85.94</v>
      </c>
      <c r="US75" s="2">
        <v>87.36</v>
      </c>
      <c r="UT75" s="2">
        <v>89.15000000000001</v>
      </c>
      <c r="UU75" s="2">
        <v>90.02</v>
      </c>
      <c r="UV75" s="2">
        <v>90.08</v>
      </c>
      <c r="UW75" s="2">
        <v>90.76000000000001</v>
      </c>
      <c r="UX75" s="2">
        <v>91.15000000000001</v>
      </c>
      <c r="UY75" s="2">
        <v>91.14</v>
      </c>
      <c r="UZ75" s="2">
        <v>91.56999999999999</v>
      </c>
      <c r="VA75" s="2">
        <v>92.48</v>
      </c>
      <c r="VB75" s="2">
        <v>92.56</v>
      </c>
      <c r="VC75" s="2">
        <v>92.98999999999999</v>
      </c>
      <c r="VD75" s="2">
        <v>92.90000000000001</v>
      </c>
      <c r="VE75" s="2">
        <v>93.55</v>
      </c>
      <c r="VF75" s="2">
        <v>93.69</v>
      </c>
      <c r="VG75" s="2">
        <v>94.14</v>
      </c>
      <c r="VH75" s="2">
        <v>94.23</v>
      </c>
      <c r="VI75" s="2">
        <v>94.93000000000001</v>
      </c>
      <c r="VJ75" s="2">
        <v>95.11</v>
      </c>
      <c r="VK75" s="2">
        <v>95.36</v>
      </c>
      <c r="VL75" s="2">
        <v>95.68000000000001</v>
      </c>
      <c r="VM75" s="2">
        <v>95.83</v>
      </c>
      <c r="VN75" s="2">
        <v>95.3</v>
      </c>
      <c r="VO75" s="2">
        <v>96.14</v>
      </c>
      <c r="VP75" s="2">
        <v>96.58</v>
      </c>
      <c r="VQ75" s="2">
        <v>96.95999999999999</v>
      </c>
      <c r="VR75" s="2">
        <v>96.90000000000001</v>
      </c>
      <c r="VS75" s="2">
        <v>97.31</v>
      </c>
      <c r="VT75" s="2">
        <v>97.34</v>
      </c>
      <c r="VU75" s="2">
        <v>98.91</v>
      </c>
      <c r="VV75" s="2">
        <v>98.48</v>
      </c>
      <c r="VW75" s="2">
        <v>98.54000000000001</v>
      </c>
      <c r="VX75" s="2">
        <v>99.76000000000001</v>
      </c>
      <c r="VY75" s="2">
        <v>99.95999999999999</v>
      </c>
      <c r="VZ75" s="2">
        <v>99.68000000000001</v>
      </c>
      <c r="WA75" s="2">
        <v>100.26</v>
      </c>
      <c r="WB75" s="2">
        <v>101.44</v>
      </c>
      <c r="WC75" s="2">
        <v>101.41</v>
      </c>
      <c r="WD75" s="2">
        <v>100.94</v>
      </c>
      <c r="WE75" s="2">
        <v>101.57</v>
      </c>
      <c r="WF75" s="2">
        <v>101.6</v>
      </c>
      <c r="WG75" s="2">
        <v>102.04</v>
      </c>
      <c r="WH75" s="2">
        <v>101.69</v>
      </c>
      <c r="WI75" s="2">
        <v>101.19</v>
      </c>
      <c r="WJ75" s="2">
        <v>101.12</v>
      </c>
      <c r="WK75" s="2">
        <v>101.16</v>
      </c>
      <c r="WL75" s="2">
        <v>101.61</v>
      </c>
      <c r="WM75" s="2">
        <v>99.51000000000001</v>
      </c>
      <c r="WN75" s="2">
        <v>99.76000000000001</v>
      </c>
      <c r="WO75" s="2">
        <v>99.75</v>
      </c>
      <c r="WP75" s="2">
        <v>99.29000000000001</v>
      </c>
      <c r="WQ75" s="2">
        <v>97.72</v>
      </c>
      <c r="WR75" s="2">
        <v>98.66</v>
      </c>
      <c r="WS75" s="2">
        <v>99.51000000000001</v>
      </c>
      <c r="WT75" s="2">
        <v>97.89</v>
      </c>
      <c r="WU75" s="2">
        <v>99.69</v>
      </c>
      <c r="WV75" s="2">
        <v>100.72</v>
      </c>
      <c r="WW75" s="2">
        <v>101.19</v>
      </c>
      <c r="WX75" s="2">
        <v>100.68</v>
      </c>
      <c r="WY75" s="2">
        <v>99.89</v>
      </c>
      <c r="WZ75" s="2">
        <v>97.29000000000001</v>
      </c>
      <c r="XA75" s="2">
        <v>99.63</v>
      </c>
      <c r="XB75" s="2">
        <v>99.36</v>
      </c>
      <c r="XC75" s="2">
        <v>101.77</v>
      </c>
      <c r="XD75" s="2">
        <v>99.43000000000001</v>
      </c>
      <c r="XE75" s="2">
        <v>101.96</v>
      </c>
      <c r="XF75" s="2">
        <v>102.61</v>
      </c>
      <c r="XG75" s="2">
        <v>104.33</v>
      </c>
      <c r="XH75" s="2">
        <v>100.77</v>
      </c>
      <c r="XI75" s="2">
        <v>104.48</v>
      </c>
      <c r="XJ75" s="2">
        <v>103.33</v>
      </c>
      <c r="XK75" s="2">
        <v>102.03</v>
      </c>
      <c r="XL75" s="2">
        <v>99.97</v>
      </c>
      <c r="XM75" s="2">
        <v>103.77</v>
      </c>
      <c r="XN75" s="2">
        <v>101.27</v>
      </c>
      <c r="XO75" s="2">
        <v>102.81</v>
      </c>
      <c r="XP75" s="2">
        <v>101.74</v>
      </c>
      <c r="XQ75" s="2">
        <v>101.72</v>
      </c>
      <c r="XR75" s="2">
        <v>104.26</v>
      </c>
      <c r="XS75" s="2">
        <v>103.34</v>
      </c>
      <c r="XT75" s="2">
        <v>100.12</v>
      </c>
      <c r="XU75" s="2">
        <v>103.24</v>
      </c>
      <c r="XV75" s="2">
        <v>102.46</v>
      </c>
      <c r="XW75" s="2">
        <v>102.41</v>
      </c>
      <c r="XX75" s="2">
        <v>99.5</v>
      </c>
      <c r="XY75" s="2">
        <v>103.35</v>
      </c>
      <c r="XZ75" s="2">
        <v>101.92</v>
      </c>
      <c r="YA75" s="2">
        <v>102.6</v>
      </c>
      <c r="YB75" s="2">
        <v>98.73</v>
      </c>
      <c r="YC75" s="2">
        <v>102.46</v>
      </c>
      <c r="YD75" s="2">
        <v>102.54</v>
      </c>
      <c r="YE75" s="2">
        <v>101.92</v>
      </c>
      <c r="YF75" s="2">
        <v>100.09</v>
      </c>
      <c r="YG75" s="2">
        <v>102.2</v>
      </c>
      <c r="YH75" s="2">
        <v>103.11</v>
      </c>
      <c r="YI75" s="2">
        <v>100.69</v>
      </c>
      <c r="YJ75" s="2">
        <v>101.18</v>
      </c>
      <c r="YK75" s="2">
        <v>101.31</v>
      </c>
      <c r="YL75" s="2">
        <v>101.26</v>
      </c>
      <c r="YM75" s="2">
        <v>101</v>
      </c>
      <c r="YN75" s="2">
        <v>100.96</v>
      </c>
      <c r="YO75" s="2">
        <v>102.61</v>
      </c>
      <c r="YP75" s="2">
        <v>100.18</v>
      </c>
      <c r="AGH75" s="2">
        <v>1.9</v>
      </c>
      <c r="AGI75" s="2">
        <v>0.4</v>
      </c>
      <c r="AGJ75" s="2">
        <v>2.5</v>
      </c>
      <c r="AGK75" s="2">
        <v>-1.2</v>
      </c>
      <c r="AGL75" s="2">
        <v>-0.2</v>
      </c>
      <c r="AGM75" s="2">
        <v>0.4</v>
      </c>
      <c r="AGN75" s="2">
        <v>1.9</v>
      </c>
      <c r="AGO75" s="2">
        <v>0.5</v>
      </c>
      <c r="AGP75" s="2">
        <v>6.8</v>
      </c>
      <c r="AGQ75" s="2">
        <v>-1.4</v>
      </c>
      <c r="AGR75" s="2">
        <v>1.7</v>
      </c>
      <c r="AGS75" s="2">
        <v>2</v>
      </c>
      <c r="AGT75" s="2">
        <v>1</v>
      </c>
      <c r="AGU75" s="2">
        <v>0.1</v>
      </c>
      <c r="AGV75" s="2">
        <v>0.8</v>
      </c>
      <c r="AGW75" s="2">
        <v>0.4</v>
      </c>
      <c r="AGX75" s="2">
        <v>0</v>
      </c>
      <c r="AGY75" s="2">
        <v>0.5</v>
      </c>
      <c r="AGZ75" s="2">
        <v>1</v>
      </c>
      <c r="AHA75" s="2">
        <v>0.1</v>
      </c>
      <c r="AHB75" s="2">
        <v>0.5</v>
      </c>
      <c r="AHC75" s="2">
        <v>-0.1</v>
      </c>
      <c r="AHD75" s="2">
        <v>0.7</v>
      </c>
      <c r="AHE75" s="2">
        <v>0.1</v>
      </c>
      <c r="AHF75" s="2">
        <v>0.5</v>
      </c>
      <c r="AHG75" s="2">
        <v>0.1</v>
      </c>
      <c r="AHH75" s="2">
        <v>0.7</v>
      </c>
      <c r="AHI75" s="2">
        <v>0.2</v>
      </c>
      <c r="AHJ75" s="2">
        <v>0.3</v>
      </c>
      <c r="AHK75" s="2">
        <v>0.3</v>
      </c>
      <c r="AHL75" s="2">
        <v>0.2</v>
      </c>
      <c r="AHM75" s="2">
        <v>-0.6</v>
      </c>
      <c r="AHN75" s="2">
        <v>0.9</v>
      </c>
      <c r="AHO75" s="2">
        <v>0.5</v>
      </c>
      <c r="AHP75" s="2">
        <v>0.4</v>
      </c>
      <c r="AHQ75" s="2">
        <v>-0.1</v>
      </c>
      <c r="AHR75" s="2">
        <v>0.4</v>
      </c>
      <c r="AHS75" s="2">
        <v>0</v>
      </c>
      <c r="AHT75" s="2">
        <v>1.6</v>
      </c>
      <c r="AHU75" s="2">
        <v>-0.4</v>
      </c>
      <c r="AHV75" s="2">
        <v>0.1</v>
      </c>
      <c r="AHW75" s="2">
        <v>1.2</v>
      </c>
      <c r="AHX75" s="2">
        <v>0.2</v>
      </c>
      <c r="AHY75" s="2">
        <v>-0.3</v>
      </c>
      <c r="AHZ75" s="2">
        <v>0.6</v>
      </c>
      <c r="AIA75" s="2">
        <v>1.2</v>
      </c>
      <c r="AIB75" s="2">
        <v>0</v>
      </c>
      <c r="AIC75" s="2">
        <v>-0.5</v>
      </c>
      <c r="AID75" s="2">
        <v>0.6</v>
      </c>
      <c r="AIE75" s="2">
        <v>0</v>
      </c>
      <c r="AIF75" s="2">
        <v>0.4</v>
      </c>
      <c r="AIG75" s="2">
        <v>-0.3</v>
      </c>
      <c r="AIH75" s="2">
        <v>-0.5</v>
      </c>
      <c r="AII75" s="2">
        <v>-0.1</v>
      </c>
      <c r="AIJ75" s="2">
        <v>0</v>
      </c>
      <c r="AIK75" s="2">
        <v>0.4</v>
      </c>
      <c r="AIL75" s="2">
        <v>-2.1</v>
      </c>
      <c r="AIM75" s="2">
        <v>0.3</v>
      </c>
      <c r="AIN75" s="2">
        <v>0</v>
      </c>
      <c r="AIO75" s="2">
        <v>-0.5</v>
      </c>
      <c r="AIP75" s="2">
        <v>-1.6</v>
      </c>
      <c r="AIQ75" s="2">
        <v>1</v>
      </c>
      <c r="AIR75" s="2">
        <v>0.9</v>
      </c>
      <c r="AIS75" s="2">
        <v>-1.6</v>
      </c>
      <c r="AIT75" s="2">
        <v>1.8</v>
      </c>
      <c r="AIU75" s="2">
        <v>1</v>
      </c>
      <c r="AIV75" s="2">
        <v>0.5</v>
      </c>
      <c r="AIW75" s="2">
        <v>-0.5</v>
      </c>
      <c r="AIX75" s="2">
        <v>-0.8</v>
      </c>
      <c r="AIY75" s="2">
        <v>-2.6</v>
      </c>
      <c r="AIZ75" s="2">
        <v>2.4</v>
      </c>
      <c r="AJA75" s="2">
        <v>-0.3</v>
      </c>
      <c r="AJB75" s="2">
        <v>2.4</v>
      </c>
      <c r="AJC75" s="2">
        <v>-2.3</v>
      </c>
      <c r="AJD75" s="2">
        <v>2.5</v>
      </c>
      <c r="AJE75" s="2">
        <v>0.6</v>
      </c>
      <c r="AJF75" s="2">
        <v>1.7</v>
      </c>
      <c r="AJG75" s="2">
        <v>-3.4</v>
      </c>
      <c r="AJH75" s="2">
        <v>3.7</v>
      </c>
      <c r="AJI75" s="2">
        <v>-1.1</v>
      </c>
      <c r="AJJ75" s="2">
        <v>-1.3</v>
      </c>
      <c r="AJK75" s="2">
        <v>-2</v>
      </c>
      <c r="AJL75" s="2">
        <v>3.8</v>
      </c>
      <c r="AJM75" s="2">
        <v>-2.4</v>
      </c>
      <c r="AJN75" s="2">
        <v>1.5</v>
      </c>
      <c r="AJO75" s="2">
        <v>-1</v>
      </c>
      <c r="AJP75" s="2">
        <v>0</v>
      </c>
      <c r="AJQ75" s="2">
        <v>2.5</v>
      </c>
      <c r="AJR75" s="2">
        <v>-0.9</v>
      </c>
      <c r="AJS75" s="2">
        <v>-3.1</v>
      </c>
      <c r="AJT75" s="2">
        <v>3.1</v>
      </c>
      <c r="AJU75" s="2">
        <v>-0.8</v>
      </c>
      <c r="AJV75" s="2">
        <v>0</v>
      </c>
      <c r="AJW75" s="2">
        <v>-2.8</v>
      </c>
      <c r="AJX75" s="2">
        <v>3.9</v>
      </c>
      <c r="AJY75" s="2">
        <v>-1.4</v>
      </c>
      <c r="AJZ75" s="2">
        <v>0.7</v>
      </c>
      <c r="AKA75" s="2">
        <v>-3.8</v>
      </c>
      <c r="AKB75" s="2">
        <v>3.8</v>
      </c>
      <c r="AKC75" s="2">
        <v>0.1</v>
      </c>
      <c r="AKD75" s="2">
        <v>-0.6</v>
      </c>
      <c r="AKE75" s="2">
        <v>-1.8</v>
      </c>
      <c r="AKF75" s="2">
        <v>2.1</v>
      </c>
      <c r="AKG75" s="2">
        <v>0.9</v>
      </c>
      <c r="AKH75" s="2">
        <v>-2.3</v>
      </c>
      <c r="AKI75" s="2">
        <v>0.5</v>
      </c>
      <c r="AKJ75" s="2">
        <v>0.1</v>
      </c>
      <c r="AKK75" s="2">
        <v>0</v>
      </c>
      <c r="AKL75" s="2">
        <v>-0.3</v>
      </c>
      <c r="AKM75" s="2">
        <v>0</v>
      </c>
      <c r="AKN75" s="2">
        <v>1.6</v>
      </c>
      <c r="AKO75" s="2">
        <v>-2.4</v>
      </c>
      <c r="AKP75" s="2">
        <v>0.13</v>
      </c>
      <c r="AKQ75" s="2">
        <v>0.13</v>
      </c>
      <c r="AKR75" s="2">
        <v>0.13</v>
      </c>
    </row>
    <row r="76">
      <c r="A76" t="inlineStr">
        <is>
          <t>Newspapers, magazines and stationery</t>
        </is>
      </c>
      <c r="B76" t="inlineStr">
        <is>
          <t>Newspapers, books and stationery</t>
        </is>
      </c>
      <c r="C76">
        <v>3</v>
      </c>
      <c r="D76">
        <v>0.33</v>
      </c>
      <c r="E76" s="3">
        <f>D76/0.46*0.004696412213740458</f>
        <v>0.0033691652837703283</v>
      </c>
      <c r="F76" s="3">
        <f>E76-D76/100</f>
        <v>6.916528377032835e-05</v>
      </c>
      <c r="G76" s="3">
        <f>D76/0.46</f>
        <v>0.717391304347826</v>
      </c>
      <c r="CI76" s="2">
        <v>94.66</v>
      </c>
      <c r="CJ76" s="2">
        <v>94.40000000000001</v>
      </c>
      <c r="CK76" s="2">
        <v>94.56999999999999</v>
      </c>
      <c r="CL76" s="2">
        <v>95.11</v>
      </c>
      <c r="CM76" s="2">
        <v>95.54000000000001</v>
      </c>
      <c r="CN76" s="2">
        <v>95.73999999999999</v>
      </c>
      <c r="CO76" s="2">
        <v>96.34999999999999</v>
      </c>
      <c r="CP76" s="2">
        <v>96.37</v>
      </c>
      <c r="CQ76" s="2">
        <v>95.56</v>
      </c>
      <c r="CR76" s="2">
        <v>94.44</v>
      </c>
      <c r="CS76" s="2">
        <v>96.68000000000001</v>
      </c>
      <c r="CT76" s="2">
        <v>95.84999999999999</v>
      </c>
      <c r="CU76" s="2">
        <v>96.84</v>
      </c>
      <c r="CV76" s="2">
        <v>97.15000000000001</v>
      </c>
      <c r="CW76" s="2">
        <v>98.02</v>
      </c>
      <c r="CX76" s="2">
        <v>99.86</v>
      </c>
      <c r="CY76" s="2">
        <v>100.27</v>
      </c>
      <c r="CZ76" s="2">
        <v>100</v>
      </c>
      <c r="DA76" s="2">
        <v>99.38</v>
      </c>
      <c r="DB76" s="2">
        <v>100.69</v>
      </c>
      <c r="DC76" s="2">
        <v>100.39</v>
      </c>
      <c r="DD76" s="2">
        <v>98.08</v>
      </c>
      <c r="DE76" s="2">
        <v>101.34</v>
      </c>
      <c r="DF76" s="2">
        <v>101.58</v>
      </c>
      <c r="DG76" s="2">
        <v>101.15</v>
      </c>
      <c r="DH76" s="2">
        <v>101.91</v>
      </c>
      <c r="DI76" s="2">
        <v>102.15</v>
      </c>
      <c r="DJ76" s="2">
        <v>102.41</v>
      </c>
      <c r="GL76" s="2">
        <v>2.3</v>
      </c>
      <c r="GM76" s="2">
        <v>2.9</v>
      </c>
      <c r="GN76" s="2">
        <v>3.6</v>
      </c>
      <c r="GO76" s="2">
        <v>5</v>
      </c>
      <c r="GP76" s="2">
        <v>5</v>
      </c>
      <c r="GQ76" s="2">
        <v>4.4</v>
      </c>
      <c r="GR76" s="2">
        <v>3.1</v>
      </c>
      <c r="GS76" s="2">
        <v>4.5</v>
      </c>
      <c r="GT76" s="2">
        <v>5.1</v>
      </c>
      <c r="GU76" s="2">
        <v>3.9</v>
      </c>
      <c r="GV76" s="2">
        <v>4.8</v>
      </c>
      <c r="GW76" s="2">
        <v>6</v>
      </c>
      <c r="GX76" s="2">
        <v>4.5</v>
      </c>
      <c r="GY76" s="2">
        <v>4.9</v>
      </c>
      <c r="GZ76" s="2">
        <v>4.2</v>
      </c>
      <c r="HA76" s="2">
        <v>2.6</v>
      </c>
      <c r="KC76" s="2">
        <v>-0.3</v>
      </c>
      <c r="KD76" s="2">
        <v>0.2</v>
      </c>
      <c r="KE76" s="2">
        <v>0.6</v>
      </c>
      <c r="KF76" s="2">
        <v>0.5</v>
      </c>
      <c r="KG76" s="2">
        <v>0.2</v>
      </c>
      <c r="KH76" s="2">
        <v>0.6</v>
      </c>
      <c r="KI76" s="2">
        <v>0</v>
      </c>
      <c r="KJ76" s="2">
        <v>-0.8</v>
      </c>
      <c r="KK76" s="2">
        <v>-1.2</v>
      </c>
      <c r="KL76" s="2">
        <v>2.4</v>
      </c>
      <c r="KM76" s="2">
        <v>-0.9</v>
      </c>
      <c r="KN76" s="2">
        <v>1</v>
      </c>
      <c r="KO76" s="2">
        <v>0.3</v>
      </c>
      <c r="KP76" s="2">
        <v>0.9</v>
      </c>
      <c r="KQ76" s="2">
        <v>1.9</v>
      </c>
      <c r="KR76" s="2">
        <v>0.4</v>
      </c>
      <c r="KS76" s="2">
        <v>-0.3</v>
      </c>
      <c r="KT76" s="2">
        <v>-0.6</v>
      </c>
      <c r="KU76" s="2">
        <v>1.3</v>
      </c>
      <c r="KV76" s="2">
        <v>-0.3</v>
      </c>
      <c r="KW76" s="2">
        <v>-2.3</v>
      </c>
      <c r="KX76" s="2">
        <v>3.3</v>
      </c>
      <c r="KY76" s="2">
        <v>0.2</v>
      </c>
      <c r="KZ76" s="2">
        <v>-0.4</v>
      </c>
      <c r="LA76" s="2">
        <v>0.8</v>
      </c>
      <c r="LB76" s="2">
        <v>0.2</v>
      </c>
      <c r="LC76" s="2">
        <v>0.3</v>
      </c>
      <c r="LD76" s="2">
        <v>0.33</v>
      </c>
      <c r="LE76" s="2">
        <v>0.32</v>
      </c>
      <c r="LF76" s="2">
        <v>0.33</v>
      </c>
      <c r="LG76" s="2">
        <v>0.33</v>
      </c>
      <c r="LH76" s="2">
        <v>0.33</v>
      </c>
      <c r="LI76" s="2">
        <v>0.33</v>
      </c>
      <c r="LJ76" s="2">
        <v>0.33</v>
      </c>
      <c r="LK76" s="2">
        <v>0.34</v>
      </c>
      <c r="LL76" s="2">
        <v>0.34</v>
      </c>
      <c r="LM76" s="2">
        <v>0.34</v>
      </c>
      <c r="LN76" s="2">
        <v>0.34</v>
      </c>
      <c r="LO76" s="2">
        <v>0.34</v>
      </c>
      <c r="LP76" s="2">
        <v>0.34</v>
      </c>
      <c r="LQ76" s="2">
        <v>0.33</v>
      </c>
      <c r="LR76" s="2">
        <v>0.35</v>
      </c>
      <c r="LS76" s="2">
        <v>0.35</v>
      </c>
      <c r="LT76" s="2">
        <v>0.34</v>
      </c>
      <c r="LU76" s="2">
        <v>0.35</v>
      </c>
      <c r="LV76" s="2">
        <v>0.35</v>
      </c>
      <c r="LW76" s="2">
        <v>0.35</v>
      </c>
      <c r="LX76" s="2">
        <v>-0.01</v>
      </c>
      <c r="LY76" s="2">
        <v>0.01</v>
      </c>
      <c r="LZ76" s="2">
        <v>0</v>
      </c>
      <c r="MA76" s="2">
        <v>0</v>
      </c>
      <c r="MB76" s="2">
        <v>0</v>
      </c>
      <c r="MC76" s="2">
        <v>0</v>
      </c>
      <c r="MD76" s="2">
        <v>0.01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-0.01</v>
      </c>
      <c r="MK76" s="2">
        <v>0.02</v>
      </c>
      <c r="ML76" s="2">
        <v>0</v>
      </c>
      <c r="MM76" s="2">
        <v>-0.01</v>
      </c>
      <c r="MN76" s="2">
        <v>0.01</v>
      </c>
      <c r="MO76" s="2">
        <v>0</v>
      </c>
      <c r="MP76" s="2">
        <v>0</v>
      </c>
      <c r="UH76" s="2">
        <v>46.7</v>
      </c>
      <c r="UI76" s="2">
        <v>47.64</v>
      </c>
      <c r="UJ76" s="2">
        <v>47.96</v>
      </c>
      <c r="UK76" s="2">
        <v>48.2</v>
      </c>
      <c r="UL76" s="2">
        <v>48.85</v>
      </c>
      <c r="UM76" s="2">
        <v>49.6</v>
      </c>
      <c r="UN76" s="2">
        <v>49.83</v>
      </c>
      <c r="UO76" s="2">
        <v>50.11</v>
      </c>
      <c r="UP76" s="2">
        <v>50.21</v>
      </c>
      <c r="UQ76" s="2">
        <v>52.4</v>
      </c>
      <c r="UR76" s="2">
        <v>52.4</v>
      </c>
      <c r="US76" s="2">
        <v>53.29</v>
      </c>
      <c r="UT76" s="2">
        <v>53.15</v>
      </c>
      <c r="UU76" s="2">
        <v>53.29</v>
      </c>
      <c r="UV76" s="2">
        <v>54.18</v>
      </c>
      <c r="UW76" s="2">
        <v>54.64</v>
      </c>
      <c r="UX76" s="2">
        <v>55.11</v>
      </c>
      <c r="UY76" s="2">
        <v>55.11</v>
      </c>
      <c r="UZ76" s="2">
        <v>55.72</v>
      </c>
      <c r="VA76" s="2">
        <v>56.37</v>
      </c>
      <c r="VB76" s="2">
        <v>56.65</v>
      </c>
      <c r="VC76" s="2">
        <v>56.93</v>
      </c>
      <c r="VD76" s="2">
        <v>57.02</v>
      </c>
      <c r="VE76" s="2">
        <v>57.12</v>
      </c>
      <c r="VF76" s="2">
        <v>56.98</v>
      </c>
      <c r="VG76" s="2">
        <v>56.42</v>
      </c>
      <c r="VH76" s="2">
        <v>57.4</v>
      </c>
      <c r="VI76" s="2">
        <v>57.58</v>
      </c>
      <c r="VJ76" s="2">
        <v>57.68</v>
      </c>
      <c r="VK76" s="2">
        <v>58.15</v>
      </c>
      <c r="VL76" s="2">
        <v>58.19</v>
      </c>
      <c r="VM76" s="2">
        <v>58.29</v>
      </c>
      <c r="VN76" s="2">
        <v>58.75</v>
      </c>
      <c r="VO76" s="2">
        <v>58.85</v>
      </c>
      <c r="VP76" s="2">
        <v>59.41</v>
      </c>
      <c r="VQ76" s="2">
        <v>59.5</v>
      </c>
      <c r="VR76" s="2">
        <v>60.06</v>
      </c>
      <c r="VS76" s="2">
        <v>60.48</v>
      </c>
      <c r="VT76" s="2">
        <v>60.62</v>
      </c>
      <c r="VU76" s="2">
        <v>60.48</v>
      </c>
      <c r="VV76" s="2">
        <v>60.99</v>
      </c>
      <c r="VW76" s="2">
        <v>61.27</v>
      </c>
      <c r="VX76" s="2">
        <v>61.69</v>
      </c>
      <c r="VY76" s="2">
        <v>62.3</v>
      </c>
      <c r="VZ76" s="2">
        <v>63.28</v>
      </c>
      <c r="WA76" s="2">
        <v>63.98</v>
      </c>
      <c r="WB76" s="2">
        <v>63.84</v>
      </c>
      <c r="WC76" s="2">
        <v>63.24</v>
      </c>
      <c r="WD76" s="2">
        <v>63.14</v>
      </c>
      <c r="WE76" s="2">
        <v>63.84</v>
      </c>
      <c r="WF76" s="2">
        <v>63.89</v>
      </c>
      <c r="WG76" s="2">
        <v>63.98</v>
      </c>
      <c r="WH76" s="2">
        <v>63.84</v>
      </c>
      <c r="WI76" s="2">
        <v>63.96</v>
      </c>
      <c r="WJ76" s="2">
        <v>64.17</v>
      </c>
      <c r="WK76" s="2">
        <v>63.84</v>
      </c>
      <c r="WL76" s="2">
        <v>64.38</v>
      </c>
      <c r="WM76" s="2">
        <v>65.62</v>
      </c>
      <c r="WN76" s="2">
        <v>66.06</v>
      </c>
      <c r="WO76" s="2">
        <v>66.77</v>
      </c>
      <c r="WP76" s="2">
        <v>67.52</v>
      </c>
      <c r="WQ76" s="2">
        <v>68.31</v>
      </c>
      <c r="WR76" s="2">
        <v>69.14</v>
      </c>
      <c r="WS76" s="2">
        <v>69.12</v>
      </c>
      <c r="WT76" s="2">
        <v>70.09999999999999</v>
      </c>
      <c r="WU76" s="2">
        <v>71.01000000000001</v>
      </c>
      <c r="WV76" s="2">
        <v>71.73</v>
      </c>
      <c r="WW76" s="2">
        <v>72.44</v>
      </c>
      <c r="WX76" s="2">
        <v>72.67</v>
      </c>
      <c r="WY76" s="2">
        <v>73.41</v>
      </c>
      <c r="WZ76" s="2">
        <v>73.67</v>
      </c>
      <c r="XA76" s="2">
        <v>74.26000000000001</v>
      </c>
      <c r="XB76" s="2">
        <v>74.44</v>
      </c>
      <c r="XC76" s="2">
        <v>74.34999999999999</v>
      </c>
      <c r="XD76" s="2">
        <v>75.09</v>
      </c>
      <c r="XE76" s="2">
        <v>75.55</v>
      </c>
      <c r="XF76" s="2">
        <v>75.05</v>
      </c>
      <c r="XG76" s="2">
        <v>75.39</v>
      </c>
      <c r="XH76" s="2">
        <v>76.22</v>
      </c>
      <c r="XI76" s="2">
        <v>75.88</v>
      </c>
      <c r="XJ76" s="2">
        <v>76.09</v>
      </c>
      <c r="XK76" s="2">
        <v>75.55</v>
      </c>
      <c r="XL76" s="2">
        <v>76.22</v>
      </c>
      <c r="XM76" s="2">
        <v>75.26000000000001</v>
      </c>
      <c r="XN76" s="2">
        <v>76.59</v>
      </c>
      <c r="XO76" s="2">
        <v>77.52</v>
      </c>
      <c r="XP76" s="2">
        <v>77.18000000000001</v>
      </c>
      <c r="XQ76" s="2">
        <v>77.76000000000001</v>
      </c>
      <c r="XR76" s="2">
        <v>78.33</v>
      </c>
      <c r="XS76" s="2">
        <v>78.53</v>
      </c>
      <c r="XT76" s="2">
        <v>78.91</v>
      </c>
      <c r="XU76" s="2">
        <v>79.13</v>
      </c>
      <c r="XV76" s="2">
        <v>80.04000000000001</v>
      </c>
      <c r="XW76" s="2">
        <v>81.04000000000001</v>
      </c>
      <c r="XX76" s="2">
        <v>80.78</v>
      </c>
      <c r="XY76" s="2">
        <v>81.66</v>
      </c>
      <c r="XZ76" s="2">
        <v>82.70999999999999</v>
      </c>
      <c r="YA76" s="2">
        <v>85.41</v>
      </c>
      <c r="YB76" s="2">
        <v>88.59</v>
      </c>
      <c r="YC76" s="2">
        <v>88.58</v>
      </c>
      <c r="YD76" s="2">
        <v>90.44</v>
      </c>
      <c r="YE76" s="2">
        <v>91.48999999999999</v>
      </c>
      <c r="YF76" s="2">
        <v>91.70999999999999</v>
      </c>
      <c r="YG76" s="2">
        <v>93.76000000000001</v>
      </c>
      <c r="YH76" s="2">
        <v>93.95</v>
      </c>
      <c r="YI76" s="2">
        <v>95.03</v>
      </c>
      <c r="YJ76" s="2">
        <v>94.98999999999999</v>
      </c>
      <c r="YK76" s="2">
        <v>95.69</v>
      </c>
      <c r="YL76" s="2">
        <v>97.76000000000001</v>
      </c>
      <c r="YM76" s="2">
        <v>100.05</v>
      </c>
      <c r="YN76" s="2">
        <v>100.15</v>
      </c>
      <c r="YO76" s="2">
        <v>100.33</v>
      </c>
      <c r="YP76" s="2">
        <v>101.74</v>
      </c>
      <c r="AGH76" s="2">
        <v>2</v>
      </c>
      <c r="AGI76" s="2">
        <v>0.7</v>
      </c>
      <c r="AGJ76" s="2">
        <v>0.5</v>
      </c>
      <c r="AGK76" s="2">
        <v>1.3</v>
      </c>
      <c r="AGL76" s="2">
        <v>1.5</v>
      </c>
      <c r="AGM76" s="2">
        <v>0.5</v>
      </c>
      <c r="AGN76" s="2">
        <v>0.6</v>
      </c>
      <c r="AGO76" s="2">
        <v>0.2</v>
      </c>
      <c r="AGP76" s="2">
        <v>4.4</v>
      </c>
      <c r="AGQ76" s="2">
        <v>0</v>
      </c>
      <c r="AGR76" s="2">
        <v>1.7</v>
      </c>
      <c r="AGS76" s="2">
        <v>-0.3</v>
      </c>
      <c r="AGT76" s="2">
        <v>0.3</v>
      </c>
      <c r="AGU76" s="2">
        <v>1.7</v>
      </c>
      <c r="AGV76" s="2">
        <v>0.8</v>
      </c>
      <c r="AGW76" s="2">
        <v>0.9</v>
      </c>
      <c r="AGX76" s="2">
        <v>0</v>
      </c>
      <c r="AGY76" s="2">
        <v>1.1</v>
      </c>
      <c r="AGZ76" s="2">
        <v>1.2</v>
      </c>
      <c r="AHA76" s="2">
        <v>0.5</v>
      </c>
      <c r="AHB76" s="2">
        <v>0.5</v>
      </c>
      <c r="AHC76" s="2">
        <v>0.2</v>
      </c>
      <c r="AHD76" s="2">
        <v>0.2</v>
      </c>
      <c r="AHE76" s="2">
        <v>-0.2</v>
      </c>
      <c r="AHF76" s="2">
        <v>-1</v>
      </c>
      <c r="AHG76" s="2">
        <v>1.7</v>
      </c>
      <c r="AHH76" s="2">
        <v>0.3</v>
      </c>
      <c r="AHI76" s="2">
        <v>0.2</v>
      </c>
      <c r="AHJ76" s="2">
        <v>0.8</v>
      </c>
      <c r="AHK76" s="2">
        <v>0.1</v>
      </c>
      <c r="AHL76" s="2">
        <v>0.2</v>
      </c>
      <c r="AHM76" s="2">
        <v>0.8</v>
      </c>
      <c r="AHN76" s="2">
        <v>0.2</v>
      </c>
      <c r="AHO76" s="2">
        <v>1</v>
      </c>
      <c r="AHP76" s="2">
        <v>0.2</v>
      </c>
      <c r="AHQ76" s="2">
        <v>0.9</v>
      </c>
      <c r="AHR76" s="2">
        <v>0.7</v>
      </c>
      <c r="AHS76" s="2">
        <v>0.2</v>
      </c>
      <c r="AHT76" s="2">
        <v>-0.2</v>
      </c>
      <c r="AHU76" s="2">
        <v>0.8</v>
      </c>
      <c r="AHV76" s="2">
        <v>0.5</v>
      </c>
      <c r="AHW76" s="2">
        <v>0.7</v>
      </c>
      <c r="AHX76" s="2">
        <v>1</v>
      </c>
      <c r="AHY76" s="2">
        <v>1.6</v>
      </c>
      <c r="AHZ76" s="2">
        <v>1.1</v>
      </c>
      <c r="AIA76" s="2">
        <v>-0.2</v>
      </c>
      <c r="AIB76" s="2">
        <v>-0.9</v>
      </c>
      <c r="AIC76" s="2">
        <v>-0.2</v>
      </c>
      <c r="AID76" s="2">
        <v>1.1</v>
      </c>
      <c r="AIE76" s="2">
        <v>0.1</v>
      </c>
      <c r="AIF76" s="2">
        <v>0.1</v>
      </c>
      <c r="AIG76" s="2">
        <v>-0.2</v>
      </c>
      <c r="AIH76" s="2">
        <v>0.2</v>
      </c>
      <c r="AII76" s="2">
        <v>0.3</v>
      </c>
      <c r="AIJ76" s="2">
        <v>-0.5</v>
      </c>
      <c r="AIK76" s="2">
        <v>0.8</v>
      </c>
      <c r="AIL76" s="2">
        <v>1.9</v>
      </c>
      <c r="AIM76" s="2">
        <v>0.7</v>
      </c>
      <c r="AIN76" s="2">
        <v>1.1</v>
      </c>
      <c r="AIO76" s="2">
        <v>1.1</v>
      </c>
      <c r="AIP76" s="2">
        <v>1.2</v>
      </c>
      <c r="AIQ76" s="2">
        <v>1.2</v>
      </c>
      <c r="AIR76" s="2">
        <v>0</v>
      </c>
      <c r="AIS76" s="2">
        <v>1.4</v>
      </c>
      <c r="AIT76" s="2">
        <v>1.3</v>
      </c>
      <c r="AIU76" s="2">
        <v>1</v>
      </c>
      <c r="AIV76" s="2">
        <v>1</v>
      </c>
      <c r="AIW76" s="2">
        <v>0.3</v>
      </c>
      <c r="AIX76" s="2">
        <v>1</v>
      </c>
      <c r="AIY76" s="2">
        <v>0.4</v>
      </c>
      <c r="AIZ76" s="2">
        <v>0.8</v>
      </c>
      <c r="AJA76" s="2">
        <v>0.2</v>
      </c>
      <c r="AJB76" s="2">
        <v>-0.1</v>
      </c>
      <c r="AJC76" s="2">
        <v>1</v>
      </c>
      <c r="AJD76" s="2">
        <v>0.6</v>
      </c>
      <c r="AJE76" s="2">
        <v>-0.7</v>
      </c>
      <c r="AJF76" s="2">
        <v>0.5</v>
      </c>
      <c r="AJG76" s="2">
        <v>1.1</v>
      </c>
      <c r="AJH76" s="2">
        <v>-0.4</v>
      </c>
      <c r="AJI76" s="2">
        <v>0.3</v>
      </c>
      <c r="AJJ76" s="2">
        <v>-0.7</v>
      </c>
      <c r="AJK76" s="2">
        <v>0.9</v>
      </c>
      <c r="AJL76" s="2">
        <v>-1.3</v>
      </c>
      <c r="AJM76" s="2">
        <v>1.8</v>
      </c>
      <c r="AJN76" s="2">
        <v>1.2</v>
      </c>
      <c r="AJO76" s="2">
        <v>-0.4</v>
      </c>
      <c r="AJP76" s="2">
        <v>0.8</v>
      </c>
      <c r="AJQ76" s="2">
        <v>0.7</v>
      </c>
      <c r="AJR76" s="2">
        <v>0.3</v>
      </c>
      <c r="AJS76" s="2">
        <v>0.5</v>
      </c>
      <c r="AJT76" s="2">
        <v>0.3</v>
      </c>
      <c r="AJU76" s="2">
        <v>1.2</v>
      </c>
      <c r="AJV76" s="2">
        <v>1.2</v>
      </c>
      <c r="AJW76" s="2">
        <v>-0.3</v>
      </c>
      <c r="AJX76" s="2">
        <v>1.1</v>
      </c>
      <c r="AJY76" s="2">
        <v>1.3</v>
      </c>
      <c r="AJZ76" s="2">
        <v>3.3</v>
      </c>
      <c r="AKA76" s="2">
        <v>3.7</v>
      </c>
      <c r="AKB76" s="2">
        <v>0</v>
      </c>
      <c r="AKC76" s="2">
        <v>2.1</v>
      </c>
      <c r="AKD76" s="2">
        <v>1.2</v>
      </c>
      <c r="AKE76" s="2">
        <v>0.2</v>
      </c>
      <c r="AKF76" s="2">
        <v>2.2</v>
      </c>
      <c r="AKG76" s="2">
        <v>0.2</v>
      </c>
      <c r="AKH76" s="2">
        <v>1.1</v>
      </c>
      <c r="AKI76" s="2">
        <v>0</v>
      </c>
      <c r="AKJ76" s="2">
        <v>0.7</v>
      </c>
      <c r="AKK76" s="2">
        <v>2.2</v>
      </c>
      <c r="AKL76" s="2">
        <v>2.3</v>
      </c>
      <c r="AKM76" s="2">
        <v>0.1</v>
      </c>
      <c r="AKN76" s="2">
        <v>0.2</v>
      </c>
      <c r="AKO76" s="2">
        <v>1.4</v>
      </c>
      <c r="AKP76" s="2">
        <v>0.34</v>
      </c>
      <c r="AKQ76" s="2">
        <v>0.34</v>
      </c>
      <c r="AKR76" s="2">
        <v>0.35</v>
      </c>
    </row>
    <row r="77">
      <c r="A77" t="inlineStr">
        <is>
          <t>Domestic holiday travel and accommodation</t>
        </is>
      </c>
      <c r="B77" t="inlineStr">
        <is>
          <t>Holiday travel and accommodation</t>
        </is>
      </c>
      <c r="C77">
        <v>3</v>
      </c>
      <c r="D77">
        <v>3.17</v>
      </c>
      <c r="E77" s="3">
        <f>D77/6.67*0.06664908396946564</f>
        <v>0.031675801526717555</v>
      </c>
      <c r="F77" s="3">
        <f>E77-D77/100</f>
        <v>-2.4198473282444066e-05</v>
      </c>
      <c r="G77" s="3">
        <f>D77/6.67</f>
        <v>0.4752623688155922</v>
      </c>
      <c r="H77" s="2">
        <v>68.15000000000001</v>
      </c>
      <c r="I77" s="2">
        <v>71.01000000000001</v>
      </c>
      <c r="J77" s="2">
        <v>69.48</v>
      </c>
      <c r="K77" s="2">
        <v>76.40000000000001</v>
      </c>
      <c r="L77" s="2">
        <v>77.75</v>
      </c>
      <c r="M77" s="2">
        <v>70.73999999999999</v>
      </c>
      <c r="N77" s="2">
        <v>71.59</v>
      </c>
      <c r="O77" s="2">
        <v>73.42</v>
      </c>
      <c r="P77" s="2">
        <v>69.14</v>
      </c>
      <c r="Q77" s="2">
        <v>69.41</v>
      </c>
      <c r="R77" s="2">
        <v>73.37</v>
      </c>
      <c r="S77" s="2">
        <v>70.81</v>
      </c>
      <c r="T77" s="2">
        <v>73.31</v>
      </c>
      <c r="U77" s="2">
        <v>74.23999999999999</v>
      </c>
      <c r="V77" s="2">
        <v>73.27</v>
      </c>
      <c r="W77" s="2">
        <v>84.14</v>
      </c>
      <c r="X77" s="2">
        <v>80.3</v>
      </c>
      <c r="Y77" s="2">
        <v>71.41</v>
      </c>
      <c r="Z77" s="2">
        <v>71</v>
      </c>
      <c r="AA77" s="2">
        <v>76.63</v>
      </c>
      <c r="AB77" s="2">
        <v>71.23999999999999</v>
      </c>
      <c r="AC77" s="2">
        <v>71.61</v>
      </c>
      <c r="AD77" s="2">
        <v>74.65000000000001</v>
      </c>
      <c r="AE77" s="2">
        <v>71.7</v>
      </c>
      <c r="AF77" s="2">
        <v>73.18000000000001</v>
      </c>
      <c r="AG77" s="2">
        <v>77.12</v>
      </c>
      <c r="AH77" s="2">
        <v>73.54000000000001</v>
      </c>
      <c r="AI77" s="2">
        <v>85.04000000000001</v>
      </c>
      <c r="AJ77" s="2">
        <v>83.03</v>
      </c>
      <c r="AK77" s="2">
        <v>72.69</v>
      </c>
      <c r="AL77" s="2">
        <v>72.95</v>
      </c>
      <c r="AM77" s="2">
        <v>72.89</v>
      </c>
      <c r="AN77" s="2">
        <v>72.90000000000001</v>
      </c>
      <c r="AO77" s="2">
        <v>75.93000000000001</v>
      </c>
      <c r="AP77" s="2">
        <v>73.31</v>
      </c>
      <c r="AQ77" s="2">
        <v>73.26000000000001</v>
      </c>
      <c r="AR77" s="2">
        <v>78.48999999999999</v>
      </c>
      <c r="AS77" s="2">
        <v>77.23999999999999</v>
      </c>
      <c r="AT77" s="2">
        <v>76.75</v>
      </c>
      <c r="AU77" s="2">
        <v>85.02</v>
      </c>
      <c r="AV77" s="2">
        <v>83.63</v>
      </c>
      <c r="AW77" s="2">
        <v>76.52</v>
      </c>
      <c r="AX77" s="2">
        <v>74.7</v>
      </c>
      <c r="AY77" s="2">
        <v>79.69</v>
      </c>
      <c r="AZ77" s="2">
        <v>74.43000000000001</v>
      </c>
      <c r="BA77" s="2">
        <v>77.62</v>
      </c>
      <c r="BB77" s="2">
        <v>76.72</v>
      </c>
      <c r="BC77" s="2">
        <v>76.72</v>
      </c>
      <c r="BD77" s="2">
        <v>80.08</v>
      </c>
      <c r="BE77" s="2">
        <v>81.03</v>
      </c>
      <c r="BF77" s="2">
        <v>77.58</v>
      </c>
      <c r="BG77" s="2">
        <v>86.23</v>
      </c>
      <c r="BH77" s="2">
        <v>88.63</v>
      </c>
      <c r="BI77" s="2">
        <v>77.51000000000001</v>
      </c>
      <c r="BJ77" s="2">
        <v>79.38</v>
      </c>
      <c r="BK77" s="2">
        <v>86.45999999999999</v>
      </c>
      <c r="BL77" s="2">
        <v>79.58</v>
      </c>
      <c r="BM77" s="2">
        <v>83.70999999999999</v>
      </c>
      <c r="BN77" s="2">
        <v>86.81999999999999</v>
      </c>
      <c r="BO77" s="2">
        <v>82.20999999999999</v>
      </c>
      <c r="BP77" s="2">
        <v>89.62</v>
      </c>
      <c r="BQ77" s="2">
        <v>88.43000000000001</v>
      </c>
      <c r="BR77" s="2">
        <v>93.31999999999999</v>
      </c>
      <c r="BS77" s="2">
        <v>110.83</v>
      </c>
      <c r="BT77" s="2">
        <v>111.91</v>
      </c>
      <c r="BU77" s="2">
        <v>96.87</v>
      </c>
      <c r="BV77" s="2">
        <v>97.86</v>
      </c>
      <c r="BW77" s="2">
        <v>103.88</v>
      </c>
      <c r="BX77" s="2">
        <v>87.76000000000001</v>
      </c>
      <c r="BY77" s="2">
        <v>93.05</v>
      </c>
      <c r="BZ77" s="2">
        <v>94.31999999999999</v>
      </c>
      <c r="CA77" s="2">
        <v>89.75</v>
      </c>
      <c r="CB77" s="2">
        <v>93.88</v>
      </c>
      <c r="CC77" s="2">
        <v>92.14</v>
      </c>
      <c r="CD77" s="2">
        <v>93.8</v>
      </c>
      <c r="CE77" s="2">
        <v>102.85</v>
      </c>
      <c r="CF77" s="2">
        <v>103.5</v>
      </c>
      <c r="CG77" s="2">
        <v>94.22</v>
      </c>
      <c r="CH77" s="2">
        <v>95.09999999999999</v>
      </c>
      <c r="CI77" s="2">
        <v>95.25</v>
      </c>
      <c r="CJ77" s="2">
        <v>88.98</v>
      </c>
      <c r="CK77" s="2">
        <v>94.51000000000001</v>
      </c>
      <c r="CL77" s="2">
        <v>94.3</v>
      </c>
      <c r="CM77" s="2">
        <v>91.86</v>
      </c>
      <c r="CN77" s="2">
        <v>95.62</v>
      </c>
      <c r="CO77" s="2">
        <v>98.88</v>
      </c>
      <c r="CP77" s="2">
        <v>98.37</v>
      </c>
      <c r="CQ77" s="2">
        <v>100.34</v>
      </c>
      <c r="CR77" s="2">
        <v>105.57</v>
      </c>
      <c r="CS77" s="2">
        <v>94.86</v>
      </c>
      <c r="CT77" s="2">
        <v>98.03</v>
      </c>
      <c r="CU77" s="2">
        <v>101.82</v>
      </c>
      <c r="CV77" s="2">
        <v>92.45</v>
      </c>
      <c r="CW77" s="2">
        <v>92.95999999999999</v>
      </c>
      <c r="CX77" s="2">
        <v>100.35</v>
      </c>
      <c r="CY77" s="2">
        <v>96.12</v>
      </c>
      <c r="CZ77" s="2">
        <v>100</v>
      </c>
      <c r="DA77" s="2">
        <v>105.94</v>
      </c>
      <c r="DB77" s="2">
        <v>101.6</v>
      </c>
      <c r="DC77" s="2">
        <v>109.96</v>
      </c>
      <c r="DD77" s="2">
        <v>111.44</v>
      </c>
      <c r="DE77" s="2">
        <v>103.22</v>
      </c>
      <c r="DF77" s="2">
        <v>100.92</v>
      </c>
      <c r="DG77" s="2">
        <v>108.41</v>
      </c>
      <c r="DH77" s="2">
        <v>95.26000000000001</v>
      </c>
      <c r="DI77" s="2">
        <v>96.45999999999999</v>
      </c>
      <c r="DJ77" s="2">
        <v>102.44</v>
      </c>
      <c r="DK77" s="2">
        <v>7.6</v>
      </c>
      <c r="DL77" s="2">
        <v>4.5</v>
      </c>
      <c r="DM77" s="2">
        <v>5.5</v>
      </c>
      <c r="DN77" s="2">
        <v>10.1</v>
      </c>
      <c r="DO77" s="2">
        <v>3.3</v>
      </c>
      <c r="DP77" s="2">
        <v>0.9</v>
      </c>
      <c r="DQ77" s="2">
        <v>-0.8</v>
      </c>
      <c r="DR77" s="2">
        <v>4.4</v>
      </c>
      <c r="DS77" s="2">
        <v>3</v>
      </c>
      <c r="DT77" s="2">
        <v>3.2</v>
      </c>
      <c r="DU77" s="2">
        <v>1.7</v>
      </c>
      <c r="DV77" s="2">
        <v>1.3</v>
      </c>
      <c r="DW77" s="2">
        <v>-0.2</v>
      </c>
      <c r="DX77" s="2">
        <v>3.9</v>
      </c>
      <c r="DY77" s="2">
        <v>0.4</v>
      </c>
      <c r="DZ77" s="2">
        <v>1.1</v>
      </c>
      <c r="EA77" s="2">
        <v>3.4</v>
      </c>
      <c r="EB77" s="2">
        <v>1.8</v>
      </c>
      <c r="EC77" s="2">
        <v>2.7</v>
      </c>
      <c r="ED77" s="2">
        <v>-4.9</v>
      </c>
      <c r="EE77" s="2">
        <v>2.3</v>
      </c>
      <c r="EF77" s="2">
        <v>6</v>
      </c>
      <c r="EG77" s="2">
        <v>-1.8</v>
      </c>
      <c r="EH77" s="2">
        <v>2.2</v>
      </c>
      <c r="EI77" s="2">
        <v>7.3</v>
      </c>
      <c r="EJ77" s="2">
        <v>0.2</v>
      </c>
      <c r="EK77" s="2">
        <v>4.4</v>
      </c>
      <c r="EL77" s="2">
        <v>0</v>
      </c>
      <c r="EM77" s="2">
        <v>0.7</v>
      </c>
      <c r="EN77" s="2">
        <v>5.3</v>
      </c>
      <c r="EO77" s="2">
        <v>2.4</v>
      </c>
      <c r="EP77" s="2">
        <v>9.300000000000001</v>
      </c>
      <c r="EQ77" s="2">
        <v>2.1</v>
      </c>
      <c r="ER77" s="2">
        <v>2.2</v>
      </c>
      <c r="ES77" s="2">
        <v>4.7</v>
      </c>
      <c r="ET77" s="2">
        <v>4.7</v>
      </c>
      <c r="EU77" s="2">
        <v>2</v>
      </c>
      <c r="EV77" s="2">
        <v>4.9</v>
      </c>
      <c r="EW77" s="2">
        <v>1.1</v>
      </c>
      <c r="EX77" s="2">
        <v>1.4</v>
      </c>
      <c r="EY77" s="2">
        <v>6</v>
      </c>
      <c r="EZ77" s="2">
        <v>1.3</v>
      </c>
      <c r="FA77" s="2">
        <v>6.3</v>
      </c>
      <c r="FB77" s="2">
        <v>8.5</v>
      </c>
      <c r="FC77" s="2">
        <v>6.9</v>
      </c>
      <c r="FD77" s="2">
        <v>7.8</v>
      </c>
      <c r="FE77" s="2">
        <v>13.2</v>
      </c>
      <c r="FF77" s="2">
        <v>7.2</v>
      </c>
      <c r="FG77" s="2">
        <v>11.9</v>
      </c>
      <c r="FH77" s="2">
        <v>9.1</v>
      </c>
      <c r="FI77" s="2">
        <v>20.3</v>
      </c>
      <c r="FJ77" s="2">
        <v>28.5</v>
      </c>
      <c r="FK77" s="2">
        <v>26.3</v>
      </c>
      <c r="FL77" s="2">
        <v>25</v>
      </c>
      <c r="FM77" s="2">
        <v>23.3</v>
      </c>
      <c r="FN77" s="2">
        <v>20.1</v>
      </c>
      <c r="FO77" s="2">
        <v>10.3</v>
      </c>
      <c r="FP77" s="2">
        <v>11.2</v>
      </c>
      <c r="FQ77" s="2">
        <v>8.6</v>
      </c>
      <c r="FR77" s="2">
        <v>9.199999999999999</v>
      </c>
      <c r="FS77" s="2">
        <v>4.8</v>
      </c>
      <c r="FT77" s="2">
        <v>4.2</v>
      </c>
      <c r="FU77" s="2">
        <v>0.5</v>
      </c>
      <c r="FV77" s="2">
        <v>-7.2</v>
      </c>
      <c r="FW77" s="2">
        <v>-7.5</v>
      </c>
      <c r="FX77" s="2">
        <v>-2.7</v>
      </c>
      <c r="FY77" s="2">
        <v>-2.8</v>
      </c>
      <c r="FZ77" s="2">
        <v>-8.300000000000001</v>
      </c>
      <c r="GA77" s="2">
        <v>1.4</v>
      </c>
      <c r="GB77" s="2">
        <v>1.6</v>
      </c>
      <c r="GC77" s="2">
        <v>0</v>
      </c>
      <c r="GD77" s="2">
        <v>2.4</v>
      </c>
      <c r="GE77" s="2">
        <v>1.9</v>
      </c>
      <c r="GF77" s="2">
        <v>7.3</v>
      </c>
      <c r="GG77" s="2">
        <v>4.9</v>
      </c>
      <c r="GH77" s="2">
        <v>-2.4</v>
      </c>
      <c r="GI77" s="2">
        <v>2</v>
      </c>
      <c r="GJ77" s="2">
        <v>0.7</v>
      </c>
      <c r="GK77" s="2">
        <v>3.1</v>
      </c>
      <c r="GL77" s="2">
        <v>6.9</v>
      </c>
      <c r="GM77" s="2">
        <v>3.9</v>
      </c>
      <c r="GN77" s="2">
        <v>-1.6</v>
      </c>
      <c r="GO77" s="2">
        <v>6.4</v>
      </c>
      <c r="GP77" s="2">
        <v>4.6</v>
      </c>
      <c r="GQ77" s="2">
        <v>4.6</v>
      </c>
      <c r="GR77" s="2">
        <v>7.1</v>
      </c>
      <c r="GS77" s="2">
        <v>3.3</v>
      </c>
      <c r="GT77" s="2">
        <v>9.6</v>
      </c>
      <c r="GU77" s="2">
        <v>5.6</v>
      </c>
      <c r="GV77" s="2">
        <v>8.800000000000001</v>
      </c>
      <c r="GW77" s="2">
        <v>2.9</v>
      </c>
      <c r="GX77" s="2">
        <v>6.5</v>
      </c>
      <c r="GY77" s="2">
        <v>3</v>
      </c>
      <c r="GZ77" s="2">
        <v>3.8</v>
      </c>
      <c r="HA77" s="2">
        <v>2.1</v>
      </c>
      <c r="HB77" s="2">
        <v>4.2</v>
      </c>
      <c r="HC77" s="2">
        <v>-2.2</v>
      </c>
      <c r="HD77" s="2">
        <v>10</v>
      </c>
      <c r="HE77" s="2">
        <v>1.8</v>
      </c>
      <c r="HF77" s="2">
        <v>-9</v>
      </c>
      <c r="HG77" s="2">
        <v>1.2</v>
      </c>
      <c r="HH77" s="2">
        <v>2.6</v>
      </c>
      <c r="HI77" s="2">
        <v>-5.8</v>
      </c>
      <c r="HJ77" s="2">
        <v>0.4</v>
      </c>
      <c r="HK77" s="2">
        <v>5.7</v>
      </c>
      <c r="HL77" s="2">
        <v>-3.5</v>
      </c>
      <c r="HM77" s="2">
        <v>3.5</v>
      </c>
      <c r="HN77" s="2">
        <v>1.3</v>
      </c>
      <c r="HO77" s="2">
        <v>-1.3</v>
      </c>
      <c r="HP77" s="2">
        <v>14.8</v>
      </c>
      <c r="HQ77" s="2">
        <v>-4.6</v>
      </c>
      <c r="HR77" s="2">
        <v>-11.1</v>
      </c>
      <c r="HS77" s="2">
        <v>-0.6</v>
      </c>
      <c r="HT77" s="2">
        <v>7.9</v>
      </c>
      <c r="HU77" s="2">
        <v>-7</v>
      </c>
      <c r="HV77" s="2">
        <v>0.5</v>
      </c>
      <c r="HW77" s="2">
        <v>4.2</v>
      </c>
      <c r="HX77" s="2">
        <v>-4</v>
      </c>
      <c r="HY77" s="2">
        <v>2.1</v>
      </c>
      <c r="HZ77" s="2">
        <v>5.4</v>
      </c>
      <c r="IA77" s="2">
        <v>-4.6</v>
      </c>
      <c r="IB77" s="2">
        <v>15.6</v>
      </c>
      <c r="IC77" s="2">
        <v>-2.4</v>
      </c>
      <c r="ID77" s="2">
        <v>-12.5</v>
      </c>
      <c r="IE77" s="2">
        <v>0.4</v>
      </c>
      <c r="IF77" s="2">
        <v>-0.1</v>
      </c>
      <c r="IG77" s="2">
        <v>0</v>
      </c>
      <c r="IH77" s="2">
        <v>4.2</v>
      </c>
      <c r="II77" s="2">
        <v>-3.5</v>
      </c>
      <c r="IJ77" s="2">
        <v>-0.1</v>
      </c>
      <c r="IK77" s="2">
        <v>7.1</v>
      </c>
      <c r="IL77" s="2">
        <v>-1.6</v>
      </c>
      <c r="IM77" s="2">
        <v>-0.6</v>
      </c>
      <c r="IN77" s="2">
        <v>10.8</v>
      </c>
      <c r="IO77" s="2">
        <v>-1.6</v>
      </c>
      <c r="IP77" s="2">
        <v>-8.5</v>
      </c>
      <c r="IQ77" s="2">
        <v>-2.4</v>
      </c>
      <c r="IR77" s="2">
        <v>6.7</v>
      </c>
      <c r="IS77" s="2">
        <v>-6.6</v>
      </c>
      <c r="IT77" s="2">
        <v>4.3</v>
      </c>
      <c r="IU77" s="2">
        <v>-1.2</v>
      </c>
      <c r="IV77" s="2">
        <v>0</v>
      </c>
      <c r="IW77" s="2">
        <v>4.4</v>
      </c>
      <c r="IX77" s="2">
        <v>1.2</v>
      </c>
      <c r="IY77" s="2">
        <v>-4.3</v>
      </c>
      <c r="IZ77" s="2">
        <v>11.1</v>
      </c>
      <c r="JA77" s="2">
        <v>2.8</v>
      </c>
      <c r="JB77" s="2">
        <v>-12.5</v>
      </c>
      <c r="JC77" s="2">
        <v>2.4</v>
      </c>
      <c r="JD77" s="2">
        <v>8.9</v>
      </c>
      <c r="JE77" s="2">
        <v>-8</v>
      </c>
      <c r="JF77" s="2">
        <v>5.2</v>
      </c>
      <c r="JG77" s="2">
        <v>3.7</v>
      </c>
      <c r="JH77" s="2">
        <v>-5.3</v>
      </c>
      <c r="JI77" s="2">
        <v>9</v>
      </c>
      <c r="JJ77" s="2">
        <v>-1.3</v>
      </c>
      <c r="JK77" s="2">
        <v>5.5</v>
      </c>
      <c r="JL77" s="2">
        <v>18.8</v>
      </c>
      <c r="JM77" s="2">
        <v>1</v>
      </c>
      <c r="JN77" s="2">
        <v>-13.4</v>
      </c>
      <c r="JO77" s="2">
        <v>1</v>
      </c>
      <c r="JP77" s="2">
        <v>6.2</v>
      </c>
      <c r="JQ77" s="2">
        <v>-15.5</v>
      </c>
      <c r="JR77" s="2">
        <v>6</v>
      </c>
      <c r="JS77" s="2">
        <v>1.4</v>
      </c>
      <c r="JT77" s="2">
        <v>-4.8</v>
      </c>
      <c r="JU77" s="2">
        <v>4.6</v>
      </c>
      <c r="JV77" s="2">
        <v>-1.9</v>
      </c>
      <c r="JW77" s="2">
        <v>1.8</v>
      </c>
      <c r="JX77" s="2">
        <v>9.6</v>
      </c>
      <c r="JY77" s="2">
        <v>0.6</v>
      </c>
      <c r="JZ77" s="2">
        <v>-9</v>
      </c>
      <c r="KA77" s="2">
        <v>0.9</v>
      </c>
      <c r="KB77" s="2">
        <v>0.2</v>
      </c>
      <c r="KC77" s="2">
        <v>-6.6</v>
      </c>
      <c r="KD77" s="2">
        <v>6.2</v>
      </c>
      <c r="KE77" s="2">
        <v>-0.2</v>
      </c>
      <c r="KF77" s="2">
        <v>-2.6</v>
      </c>
      <c r="KG77" s="2">
        <v>4.1</v>
      </c>
      <c r="KH77" s="2">
        <v>3.4</v>
      </c>
      <c r="KI77" s="2">
        <v>-0.5</v>
      </c>
      <c r="KJ77" s="2">
        <v>2</v>
      </c>
      <c r="KK77" s="2">
        <v>5.2</v>
      </c>
      <c r="KL77" s="2">
        <v>-10.1</v>
      </c>
      <c r="KM77" s="2">
        <v>3.3</v>
      </c>
      <c r="KN77" s="2">
        <v>3.9</v>
      </c>
      <c r="KO77" s="2">
        <v>-9.199999999999999</v>
      </c>
      <c r="KP77" s="2">
        <v>0.6</v>
      </c>
      <c r="KQ77" s="2">
        <v>7.9</v>
      </c>
      <c r="KR77" s="2">
        <v>-4.2</v>
      </c>
      <c r="KS77" s="2">
        <v>4</v>
      </c>
      <c r="KT77" s="2">
        <v>5.9</v>
      </c>
      <c r="KU77" s="2">
        <v>-4.1</v>
      </c>
      <c r="KV77" s="2">
        <v>8.199999999999999</v>
      </c>
      <c r="KW77" s="2">
        <v>1.3</v>
      </c>
      <c r="KX77" s="2">
        <v>-7.4</v>
      </c>
      <c r="KY77" s="2">
        <v>-2.2</v>
      </c>
      <c r="KZ77" s="2">
        <v>7.4</v>
      </c>
      <c r="LA77" s="2">
        <v>-12.1</v>
      </c>
      <c r="LB77" s="2">
        <v>1.3</v>
      </c>
      <c r="LC77" s="2">
        <v>6.2</v>
      </c>
      <c r="LD77" s="2">
        <v>3.09</v>
      </c>
      <c r="LE77" s="2">
        <v>3.25</v>
      </c>
      <c r="LF77" s="2">
        <v>2.92</v>
      </c>
      <c r="LG77" s="2">
        <v>3.02</v>
      </c>
      <c r="LH77" s="2">
        <v>3.13</v>
      </c>
      <c r="LI77" s="2">
        <v>2.84</v>
      </c>
      <c r="LJ77" s="2">
        <v>2.86</v>
      </c>
      <c r="LK77" s="2">
        <v>3.09</v>
      </c>
      <c r="LL77" s="2">
        <v>2.96</v>
      </c>
      <c r="LM77" s="2">
        <v>3.08</v>
      </c>
      <c r="LN77" s="2">
        <v>3.26</v>
      </c>
      <c r="LO77" s="2">
        <v>3.13</v>
      </c>
      <c r="LP77" s="2">
        <v>3.38</v>
      </c>
      <c r="LQ77" s="2">
        <v>3.43</v>
      </c>
      <c r="LR77" s="2">
        <v>3.18</v>
      </c>
      <c r="LS77" s="2">
        <v>3.1</v>
      </c>
      <c r="LT77" s="2">
        <v>3.33</v>
      </c>
      <c r="LU77" s="2">
        <v>2.93</v>
      </c>
      <c r="LV77" s="2">
        <v>2.97</v>
      </c>
      <c r="LW77" s="2">
        <v>3.15</v>
      </c>
      <c r="LX77" s="2">
        <v>0.16</v>
      </c>
      <c r="LY77" s="2">
        <v>-0.33</v>
      </c>
      <c r="LZ77" s="2">
        <v>0.1</v>
      </c>
      <c r="MA77" s="2">
        <v>0.11</v>
      </c>
      <c r="MB77" s="2">
        <v>-0.29</v>
      </c>
      <c r="MC77" s="2">
        <v>0.02</v>
      </c>
      <c r="MD77" s="2">
        <v>0.23</v>
      </c>
      <c r="ME77" s="2">
        <v>-0.13</v>
      </c>
      <c r="MF77" s="2">
        <v>0.12</v>
      </c>
      <c r="MG77" s="2">
        <v>0.18</v>
      </c>
      <c r="MH77" s="2">
        <v>-0.13</v>
      </c>
      <c r="MI77" s="2">
        <v>0.25</v>
      </c>
      <c r="MJ77" s="2">
        <v>0.05</v>
      </c>
      <c r="MK77" s="2">
        <v>-0.25</v>
      </c>
      <c r="ML77" s="2">
        <v>-0.08</v>
      </c>
      <c r="MM77" s="2">
        <v>0.23</v>
      </c>
      <c r="MN77" s="2">
        <v>-0.4</v>
      </c>
      <c r="MO77" s="2">
        <v>0.04</v>
      </c>
      <c r="MP77" s="2">
        <v>0.18</v>
      </c>
      <c r="RU77" s="2">
        <v>19.88</v>
      </c>
      <c r="RV77" s="2">
        <v>20.22</v>
      </c>
      <c r="RW77" s="2">
        <v>21.33</v>
      </c>
      <c r="RX77" s="2">
        <v>23.12</v>
      </c>
      <c r="RY77" s="2">
        <v>22.78</v>
      </c>
      <c r="RZ77" s="2">
        <v>22.81</v>
      </c>
      <c r="SA77" s="2">
        <v>23.2</v>
      </c>
      <c r="SB77" s="2">
        <v>24.49</v>
      </c>
      <c r="SC77" s="2">
        <v>24.23</v>
      </c>
      <c r="SD77" s="2">
        <v>24.23</v>
      </c>
      <c r="SE77" s="2">
        <v>24.53</v>
      </c>
      <c r="SF77" s="2">
        <v>25.79</v>
      </c>
      <c r="SG77" s="2">
        <v>25.6</v>
      </c>
      <c r="SH77" s="2">
        <v>25.6</v>
      </c>
      <c r="SI77" s="2">
        <v>26.44</v>
      </c>
      <c r="SJ77" s="2">
        <v>27.89</v>
      </c>
      <c r="SK77" s="2">
        <v>27.2</v>
      </c>
      <c r="SL77" s="2">
        <v>27.39</v>
      </c>
      <c r="SM77" s="2">
        <v>28.8</v>
      </c>
      <c r="SN77" s="2">
        <v>29.99</v>
      </c>
      <c r="SO77" s="2">
        <v>30.37</v>
      </c>
      <c r="SP77" s="2">
        <v>29.57</v>
      </c>
      <c r="SQ77" s="2">
        <v>30.86</v>
      </c>
      <c r="SR77" s="2">
        <v>32.43</v>
      </c>
      <c r="SS77" s="2">
        <v>32.73</v>
      </c>
      <c r="ST77" s="2">
        <v>32.85</v>
      </c>
      <c r="SU77" s="2">
        <v>34.03</v>
      </c>
      <c r="SV77" s="2">
        <v>36.01</v>
      </c>
      <c r="SW77" s="2">
        <v>35.37</v>
      </c>
      <c r="SX77" s="2">
        <v>35.48</v>
      </c>
      <c r="SY77" s="2">
        <v>36.4</v>
      </c>
      <c r="SZ77" s="2">
        <v>38.76</v>
      </c>
      <c r="TA77" s="2">
        <v>38.72</v>
      </c>
      <c r="TB77" s="2">
        <v>38.72</v>
      </c>
      <c r="TC77" s="2">
        <v>38.42</v>
      </c>
      <c r="TD77" s="2">
        <v>41.28</v>
      </c>
      <c r="TE77" s="2">
        <v>39.22</v>
      </c>
      <c r="TF77" s="2">
        <v>35.56</v>
      </c>
      <c r="TG77" s="2">
        <v>36.36</v>
      </c>
      <c r="TH77" s="2">
        <v>37.16</v>
      </c>
      <c r="TI77" s="2">
        <v>36.4</v>
      </c>
      <c r="TJ77" s="2">
        <v>36.47</v>
      </c>
      <c r="TK77" s="2">
        <v>37.39</v>
      </c>
      <c r="TL77" s="2">
        <v>37.27</v>
      </c>
      <c r="TM77" s="2">
        <v>36.7</v>
      </c>
      <c r="TN77" s="2">
        <v>36.93</v>
      </c>
      <c r="TO77" s="2">
        <v>37.43</v>
      </c>
      <c r="TP77" s="2">
        <v>38.8</v>
      </c>
      <c r="TQ77" s="2">
        <v>38.57</v>
      </c>
      <c r="TR77" s="2">
        <v>37.16</v>
      </c>
      <c r="TS77" s="2">
        <v>37.58</v>
      </c>
      <c r="TT77" s="2">
        <v>40.21</v>
      </c>
      <c r="TU77" s="2">
        <v>40.94</v>
      </c>
      <c r="TV77" s="2">
        <v>38.91</v>
      </c>
      <c r="TW77" s="2">
        <v>38.95</v>
      </c>
      <c r="TX77" s="2">
        <v>41.36</v>
      </c>
      <c r="TY77" s="2">
        <v>41.66</v>
      </c>
      <c r="TZ77" s="2">
        <v>38.99</v>
      </c>
      <c r="UA77" s="2">
        <v>38.76</v>
      </c>
      <c r="UB77" s="2">
        <v>40.52</v>
      </c>
      <c r="UC77" s="2">
        <v>42.61</v>
      </c>
      <c r="UD77" s="2">
        <v>39.98</v>
      </c>
      <c r="UE77" s="2">
        <v>40.71</v>
      </c>
      <c r="UF77" s="2">
        <v>41.66</v>
      </c>
      <c r="UG77" s="2">
        <v>44.03</v>
      </c>
      <c r="UH77" s="2">
        <v>42.27</v>
      </c>
      <c r="UI77" s="2">
        <v>41.41</v>
      </c>
      <c r="UJ77" s="2">
        <v>43.92</v>
      </c>
      <c r="UK77" s="2">
        <v>45.14</v>
      </c>
      <c r="UL77" s="2">
        <v>42.38</v>
      </c>
      <c r="UM77" s="2">
        <v>43.34</v>
      </c>
      <c r="UN77" s="2">
        <v>45.82</v>
      </c>
      <c r="UO77" s="2">
        <v>46.32</v>
      </c>
      <c r="UP77" s="2">
        <v>44.35</v>
      </c>
      <c r="UQ77" s="2">
        <v>48.77</v>
      </c>
      <c r="UR77" s="2">
        <v>48.7</v>
      </c>
      <c r="US77" s="2">
        <v>46.15</v>
      </c>
      <c r="UT77" s="2">
        <v>45.14</v>
      </c>
      <c r="UU77" s="2">
        <v>45.19</v>
      </c>
      <c r="UV77" s="2">
        <v>48.69</v>
      </c>
      <c r="UW77" s="2">
        <v>49.85</v>
      </c>
      <c r="UX77" s="2">
        <v>49.09</v>
      </c>
      <c r="UY77" s="2">
        <v>49.43</v>
      </c>
      <c r="UZ77" s="2">
        <v>50.76</v>
      </c>
      <c r="VA77" s="2">
        <v>51.55</v>
      </c>
      <c r="VB77" s="2">
        <v>49.57</v>
      </c>
      <c r="VC77" s="2">
        <v>49.13</v>
      </c>
      <c r="VD77" s="2">
        <v>52.37</v>
      </c>
      <c r="VE77" s="2">
        <v>51.81</v>
      </c>
      <c r="VF77" s="2">
        <v>50.93</v>
      </c>
      <c r="VG77" s="2">
        <v>50.95</v>
      </c>
      <c r="VH77" s="2">
        <v>53.11</v>
      </c>
      <c r="VI77" s="2">
        <v>55.32</v>
      </c>
      <c r="VJ77" s="2">
        <v>52.14</v>
      </c>
      <c r="VK77" s="2">
        <v>53.89</v>
      </c>
      <c r="VL77" s="2">
        <v>55.7</v>
      </c>
      <c r="VM77" s="2">
        <v>56.26</v>
      </c>
      <c r="VN77" s="2">
        <v>55.77</v>
      </c>
      <c r="VO77" s="2">
        <v>56.44</v>
      </c>
      <c r="VP77" s="2">
        <v>59.92</v>
      </c>
      <c r="VQ77" s="2">
        <v>59.19</v>
      </c>
      <c r="VR77" s="2">
        <v>57.11</v>
      </c>
      <c r="VS77" s="2">
        <v>58.15</v>
      </c>
      <c r="VT77" s="2">
        <v>60.32</v>
      </c>
      <c r="VU77" s="2">
        <v>59.48</v>
      </c>
      <c r="VV77" s="2">
        <v>58.31</v>
      </c>
      <c r="VW77" s="2">
        <v>59.67</v>
      </c>
      <c r="VX77" s="2">
        <v>60.64</v>
      </c>
      <c r="VY77" s="2">
        <v>57.57</v>
      </c>
      <c r="VZ77" s="2">
        <v>58.15</v>
      </c>
      <c r="WA77" s="2">
        <v>58.14</v>
      </c>
      <c r="WB77" s="2">
        <v>62.01</v>
      </c>
      <c r="WC77" s="2">
        <v>60.55</v>
      </c>
      <c r="WD77" s="2">
        <v>56.89</v>
      </c>
      <c r="WE77" s="2">
        <v>57.99</v>
      </c>
      <c r="WF77" s="2">
        <v>60.17</v>
      </c>
      <c r="WG77" s="2">
        <v>59.75</v>
      </c>
      <c r="WH77" s="2">
        <v>58.87</v>
      </c>
      <c r="WI77" s="2">
        <v>59.87</v>
      </c>
      <c r="WJ77" s="2">
        <v>64.23</v>
      </c>
      <c r="WK77" s="2">
        <v>62.95</v>
      </c>
      <c r="WL77" s="2">
        <v>60.43</v>
      </c>
      <c r="WM77" s="2">
        <v>59.65</v>
      </c>
      <c r="WN77" s="2">
        <v>63.34</v>
      </c>
      <c r="WO77" s="2">
        <v>64.12</v>
      </c>
      <c r="WP77" s="2">
        <v>61.56</v>
      </c>
      <c r="WQ77" s="2">
        <v>63.73</v>
      </c>
      <c r="WR77" s="2">
        <v>68.14</v>
      </c>
      <c r="WS77" s="2">
        <v>66.53</v>
      </c>
      <c r="WT77" s="2">
        <v>63.96</v>
      </c>
      <c r="WU77" s="2">
        <v>63.94</v>
      </c>
      <c r="WV77" s="2">
        <v>67.59999999999999</v>
      </c>
      <c r="WW77" s="2">
        <v>69.98999999999999</v>
      </c>
      <c r="WX77" s="2">
        <v>66.18000000000001</v>
      </c>
      <c r="WY77" s="2">
        <v>65.56</v>
      </c>
      <c r="WZ77" s="2">
        <v>69.47</v>
      </c>
      <c r="XA77" s="2">
        <v>68.15000000000001</v>
      </c>
      <c r="XB77" s="2">
        <v>65.62</v>
      </c>
      <c r="XC77" s="2">
        <v>65.84</v>
      </c>
      <c r="XD77" s="2">
        <v>69.51000000000001</v>
      </c>
      <c r="XE77" s="2">
        <v>69.31999999999999</v>
      </c>
      <c r="XF77" s="2">
        <v>67.09</v>
      </c>
      <c r="XG77" s="2">
        <v>67.16</v>
      </c>
      <c r="XH77" s="2">
        <v>71.31</v>
      </c>
      <c r="XI77" s="2">
        <v>72.37</v>
      </c>
      <c r="XJ77" s="2">
        <v>70.38</v>
      </c>
      <c r="XK77" s="2">
        <v>72.05</v>
      </c>
      <c r="XL77" s="2">
        <v>76.55</v>
      </c>
      <c r="XM77" s="2">
        <v>73.59999999999999</v>
      </c>
      <c r="XN77" s="2">
        <v>72.53</v>
      </c>
      <c r="XO77" s="2">
        <v>72.54000000000001</v>
      </c>
      <c r="XP77" s="2">
        <v>77.87</v>
      </c>
      <c r="XQ77" s="2">
        <v>75.47</v>
      </c>
      <c r="XR77" s="2">
        <v>74.02</v>
      </c>
      <c r="XS77" s="2">
        <v>75.14</v>
      </c>
      <c r="XT77" s="2">
        <v>79.84</v>
      </c>
      <c r="XU77" s="2">
        <v>78.41</v>
      </c>
      <c r="XV77" s="2">
        <v>77.37</v>
      </c>
      <c r="XW77" s="2">
        <v>77.95999999999999</v>
      </c>
      <c r="XX77" s="2">
        <v>81.73999999999999</v>
      </c>
      <c r="XY77" s="2">
        <v>81.97</v>
      </c>
      <c r="XZ77" s="2">
        <v>83.38</v>
      </c>
      <c r="YA77" s="2">
        <v>86.36</v>
      </c>
      <c r="YB77" s="2">
        <v>97.86</v>
      </c>
      <c r="YC77" s="2">
        <v>102.43</v>
      </c>
      <c r="YD77" s="2">
        <v>95.01000000000001</v>
      </c>
      <c r="YE77" s="2">
        <v>92.70999999999999</v>
      </c>
      <c r="YF77" s="2">
        <v>96.34999999999999</v>
      </c>
      <c r="YG77" s="2">
        <v>97.65000000000001</v>
      </c>
      <c r="YH77" s="2">
        <v>92.94</v>
      </c>
      <c r="YI77" s="2">
        <v>93.90000000000001</v>
      </c>
      <c r="YJ77" s="2">
        <v>99.23</v>
      </c>
      <c r="YK77" s="2">
        <v>99.48</v>
      </c>
      <c r="YL77" s="2">
        <v>95.75</v>
      </c>
      <c r="YM77" s="2">
        <v>98.81999999999999</v>
      </c>
      <c r="YN77" s="2">
        <v>105.84</v>
      </c>
      <c r="YO77" s="2">
        <v>105.19</v>
      </c>
      <c r="YP77" s="2">
        <v>100.04</v>
      </c>
      <c r="ADU77" s="2">
        <v>1.7</v>
      </c>
      <c r="ADV77" s="2">
        <v>5.5</v>
      </c>
      <c r="ADW77" s="2">
        <v>8.4</v>
      </c>
      <c r="ADX77" s="2">
        <v>-1.5</v>
      </c>
      <c r="ADY77" s="2">
        <v>0.1</v>
      </c>
      <c r="ADZ77" s="2">
        <v>1.7</v>
      </c>
      <c r="AEA77" s="2">
        <v>5.6</v>
      </c>
      <c r="AEB77" s="2">
        <v>-1.1</v>
      </c>
      <c r="AEC77" s="2">
        <v>0</v>
      </c>
      <c r="AED77" s="2">
        <v>1.2</v>
      </c>
      <c r="AEE77" s="2">
        <v>5.1</v>
      </c>
      <c r="AEF77" s="2">
        <v>-0.7</v>
      </c>
      <c r="AEG77" s="2">
        <v>0</v>
      </c>
      <c r="AEH77" s="2">
        <v>3.3</v>
      </c>
      <c r="AEI77" s="2">
        <v>5.5</v>
      </c>
      <c r="AEJ77" s="2">
        <v>-2.5</v>
      </c>
      <c r="AEK77" s="2">
        <v>0.7</v>
      </c>
      <c r="AEL77" s="2">
        <v>5.1</v>
      </c>
      <c r="AEM77" s="2">
        <v>4.1</v>
      </c>
      <c r="AEN77" s="2">
        <v>1.3</v>
      </c>
      <c r="AEO77" s="2">
        <v>-2.6</v>
      </c>
      <c r="AEP77" s="2">
        <v>4.4</v>
      </c>
      <c r="AEQ77" s="2">
        <v>5.1</v>
      </c>
      <c r="AER77" s="2">
        <v>0.9</v>
      </c>
      <c r="AES77" s="2">
        <v>0.4</v>
      </c>
      <c r="AET77" s="2">
        <v>3.6</v>
      </c>
      <c r="AEU77" s="2">
        <v>5.8</v>
      </c>
      <c r="AEV77" s="2">
        <v>-1.8</v>
      </c>
      <c r="AEW77" s="2">
        <v>0.3</v>
      </c>
      <c r="AEX77" s="2">
        <v>2.6</v>
      </c>
      <c r="AEY77" s="2">
        <v>6.5</v>
      </c>
      <c r="AEZ77" s="2">
        <v>-0.1</v>
      </c>
      <c r="AFA77" s="2">
        <v>0</v>
      </c>
      <c r="AFB77" s="2">
        <v>-0.8</v>
      </c>
      <c r="AFC77" s="2">
        <v>7.4</v>
      </c>
      <c r="AFD77" s="2">
        <v>-5</v>
      </c>
      <c r="AFE77" s="2">
        <v>-9.300000000000001</v>
      </c>
      <c r="AFF77" s="2">
        <v>2.2</v>
      </c>
      <c r="AFG77" s="2">
        <v>2.2</v>
      </c>
      <c r="AFH77" s="2">
        <v>-2</v>
      </c>
      <c r="AFI77" s="2">
        <v>0.2</v>
      </c>
      <c r="AFJ77" s="2">
        <v>2.5</v>
      </c>
      <c r="AFK77" s="2">
        <v>-0.3</v>
      </c>
      <c r="AFL77" s="2">
        <v>-1.5</v>
      </c>
      <c r="AFM77" s="2">
        <v>0.6</v>
      </c>
      <c r="AFN77" s="2">
        <v>1.4</v>
      </c>
      <c r="AFO77" s="2">
        <v>3.7</v>
      </c>
      <c r="AFP77" s="2">
        <v>-0.6</v>
      </c>
      <c r="AFQ77" s="2">
        <v>-3.7</v>
      </c>
      <c r="AFR77" s="2">
        <v>1.1</v>
      </c>
      <c r="AFS77" s="2">
        <v>7</v>
      </c>
      <c r="AFT77" s="2">
        <v>1.8</v>
      </c>
      <c r="AFU77" s="2">
        <v>-5</v>
      </c>
      <c r="AFV77" s="2">
        <v>0.1</v>
      </c>
      <c r="AFW77" s="2">
        <v>6.2</v>
      </c>
      <c r="AFX77" s="2">
        <v>0.7</v>
      </c>
      <c r="AFY77" s="2">
        <v>-6.4</v>
      </c>
      <c r="AFZ77" s="2">
        <v>-0.6</v>
      </c>
      <c r="AGA77" s="2">
        <v>4.5</v>
      </c>
      <c r="AGB77" s="2">
        <v>5.2</v>
      </c>
      <c r="AGC77" s="2">
        <v>-6.2</v>
      </c>
      <c r="AGD77" s="2">
        <v>1.8</v>
      </c>
      <c r="AGE77" s="2">
        <v>2.3</v>
      </c>
      <c r="AGF77" s="2">
        <v>5.7</v>
      </c>
      <c r="AGG77" s="2">
        <v>-4</v>
      </c>
      <c r="AGH77" s="2">
        <v>-2</v>
      </c>
      <c r="AGI77" s="2">
        <v>6.1</v>
      </c>
      <c r="AGJ77" s="2">
        <v>2.8</v>
      </c>
      <c r="AGK77" s="2">
        <v>-6.1</v>
      </c>
      <c r="AGL77" s="2">
        <v>2.3</v>
      </c>
      <c r="AGM77" s="2">
        <v>5.7</v>
      </c>
      <c r="AGN77" s="2">
        <v>1.1</v>
      </c>
      <c r="AGO77" s="2">
        <v>-4.3</v>
      </c>
      <c r="AGP77" s="2">
        <v>10</v>
      </c>
      <c r="AGQ77" s="2">
        <v>-0.1</v>
      </c>
      <c r="AGR77" s="2">
        <v>-5.2</v>
      </c>
      <c r="AGS77" s="2">
        <v>-2.2</v>
      </c>
      <c r="AGT77" s="2">
        <v>0.1</v>
      </c>
      <c r="AGU77" s="2">
        <v>7.7</v>
      </c>
      <c r="AGV77" s="2">
        <v>2.4</v>
      </c>
      <c r="AGW77" s="2">
        <v>-1.5</v>
      </c>
      <c r="AGX77" s="2">
        <v>0.7</v>
      </c>
      <c r="AGY77" s="2">
        <v>2.7</v>
      </c>
      <c r="AGZ77" s="2">
        <v>1.6</v>
      </c>
      <c r="AHA77" s="2">
        <v>-3.8</v>
      </c>
      <c r="AHB77" s="2">
        <v>-0.9</v>
      </c>
      <c r="AHC77" s="2">
        <v>6.6</v>
      </c>
      <c r="AHD77" s="2">
        <v>-1.1</v>
      </c>
      <c r="AHE77" s="2">
        <v>-1.7</v>
      </c>
      <c r="AHF77" s="2">
        <v>0</v>
      </c>
      <c r="AHG77" s="2">
        <v>4.2</v>
      </c>
      <c r="AHH77" s="2">
        <v>4.2</v>
      </c>
      <c r="AHI77" s="2">
        <v>-5.7</v>
      </c>
      <c r="AHJ77" s="2">
        <v>3.4</v>
      </c>
      <c r="AHK77" s="2">
        <v>3.4</v>
      </c>
      <c r="AHL77" s="2">
        <v>1</v>
      </c>
      <c r="AHM77" s="2">
        <v>-0.9</v>
      </c>
      <c r="AHN77" s="2">
        <v>1.2</v>
      </c>
      <c r="AHO77" s="2">
        <v>6.2</v>
      </c>
      <c r="AHP77" s="2">
        <v>-1.2</v>
      </c>
      <c r="AHQ77" s="2">
        <v>-3.5</v>
      </c>
      <c r="AHR77" s="2">
        <v>1.8</v>
      </c>
      <c r="AHS77" s="2">
        <v>3.7</v>
      </c>
      <c r="AHT77" s="2">
        <v>-1.4</v>
      </c>
      <c r="AHU77" s="2">
        <v>-2</v>
      </c>
      <c r="AHV77" s="2">
        <v>2.3</v>
      </c>
      <c r="AHW77" s="2">
        <v>1.6</v>
      </c>
      <c r="AHX77" s="2">
        <v>-5.1</v>
      </c>
      <c r="AHY77" s="2">
        <v>1</v>
      </c>
      <c r="AHZ77" s="2">
        <v>0</v>
      </c>
      <c r="AIA77" s="2">
        <v>6.7</v>
      </c>
      <c r="AIB77" s="2">
        <v>-2.4</v>
      </c>
      <c r="AIC77" s="2">
        <v>-6</v>
      </c>
      <c r="AID77" s="2">
        <v>1.9</v>
      </c>
      <c r="AIE77" s="2">
        <v>3.8</v>
      </c>
      <c r="AIF77" s="2">
        <v>-0.7</v>
      </c>
      <c r="AIG77" s="2">
        <v>-1.5</v>
      </c>
      <c r="AIH77" s="2">
        <v>1.7</v>
      </c>
      <c r="AII77" s="2">
        <v>7.3</v>
      </c>
      <c r="AIJ77" s="2">
        <v>-2</v>
      </c>
      <c r="AIK77" s="2">
        <v>-4</v>
      </c>
      <c r="AIL77" s="2">
        <v>-1.3</v>
      </c>
      <c r="AIM77" s="2">
        <v>6.2</v>
      </c>
      <c r="AIN77" s="2">
        <v>1.2</v>
      </c>
      <c r="AIO77" s="2">
        <v>-4</v>
      </c>
      <c r="AIP77" s="2">
        <v>3.5</v>
      </c>
      <c r="AIQ77" s="2">
        <v>6.9</v>
      </c>
      <c r="AIR77" s="2">
        <v>-2.4</v>
      </c>
      <c r="AIS77" s="2">
        <v>-3.9</v>
      </c>
      <c r="AIT77" s="2">
        <v>0</v>
      </c>
      <c r="AIU77" s="2">
        <v>5.7</v>
      </c>
      <c r="AIV77" s="2">
        <v>3.5</v>
      </c>
      <c r="AIW77" s="2">
        <v>-5.4</v>
      </c>
      <c r="AIX77" s="2">
        <v>-0.9</v>
      </c>
      <c r="AIY77" s="2">
        <v>6</v>
      </c>
      <c r="AIZ77" s="2">
        <v>-1.9</v>
      </c>
      <c r="AJA77" s="2">
        <v>-3.7</v>
      </c>
      <c r="AJB77" s="2">
        <v>0.3</v>
      </c>
      <c r="AJC77" s="2">
        <v>5.6</v>
      </c>
      <c r="AJD77" s="2">
        <v>-0.3</v>
      </c>
      <c r="AJE77" s="2">
        <v>-3.2</v>
      </c>
      <c r="AJF77" s="2">
        <v>0.1</v>
      </c>
      <c r="AJG77" s="2">
        <v>6.2</v>
      </c>
      <c r="AJH77" s="2">
        <v>1.5</v>
      </c>
      <c r="AJI77" s="2">
        <v>-2.7</v>
      </c>
      <c r="AJJ77" s="2">
        <v>2.4</v>
      </c>
      <c r="AJK77" s="2">
        <v>6.2</v>
      </c>
      <c r="AJL77" s="2">
        <v>-3.9</v>
      </c>
      <c r="AJM77" s="2">
        <v>-1.5</v>
      </c>
      <c r="AJN77" s="2">
        <v>0</v>
      </c>
      <c r="AJO77" s="2">
        <v>7.3</v>
      </c>
      <c r="AJP77" s="2">
        <v>-3.1</v>
      </c>
      <c r="AJQ77" s="2">
        <v>-1.9</v>
      </c>
      <c r="AJR77" s="2">
        <v>1.5</v>
      </c>
      <c r="AJS77" s="2">
        <v>6.3</v>
      </c>
      <c r="AJT77" s="2">
        <v>-1.8</v>
      </c>
      <c r="AJU77" s="2">
        <v>-1.3</v>
      </c>
      <c r="AJV77" s="2">
        <v>0.8</v>
      </c>
      <c r="AJW77" s="2">
        <v>4.8</v>
      </c>
      <c r="AJX77" s="2">
        <v>0.3</v>
      </c>
      <c r="AJY77" s="2">
        <v>1.7</v>
      </c>
      <c r="AJZ77" s="2">
        <v>3.6</v>
      </c>
      <c r="AKA77" s="2">
        <v>13.3</v>
      </c>
      <c r="AKB77" s="2">
        <v>4.7</v>
      </c>
      <c r="AKC77" s="2">
        <v>-7.2</v>
      </c>
      <c r="AKD77" s="2">
        <v>-2.4</v>
      </c>
      <c r="AKE77" s="2">
        <v>3.9</v>
      </c>
      <c r="AKF77" s="2">
        <v>1.3</v>
      </c>
      <c r="AKG77" s="2">
        <v>-4.8</v>
      </c>
      <c r="AKH77" s="2">
        <v>1</v>
      </c>
      <c r="AKI77" s="2">
        <v>5.7</v>
      </c>
      <c r="AKJ77" s="2">
        <v>0.3</v>
      </c>
      <c r="AKK77" s="2">
        <v>-3.7</v>
      </c>
      <c r="AKL77" s="2">
        <v>3.2</v>
      </c>
      <c r="AKM77" s="2">
        <v>7.1</v>
      </c>
      <c r="AKN77" s="2">
        <v>-0.6</v>
      </c>
      <c r="AKO77" s="2">
        <v>-4.9</v>
      </c>
      <c r="AKP77" s="2">
        <v>3.26</v>
      </c>
      <c r="AKQ77" s="2">
        <v>3.24</v>
      </c>
      <c r="AKR77" s="2">
        <v>3.08</v>
      </c>
    </row>
    <row r="78">
      <c r="A78" t="inlineStr">
        <is>
          <t>International holiday travel and accommodation</t>
        </is>
      </c>
      <c r="B78" t="inlineStr">
        <is>
          <t>Holiday travel and accommodation</t>
        </is>
      </c>
      <c r="C78">
        <v>3</v>
      </c>
      <c r="D78">
        <v>3.5</v>
      </c>
      <c r="E78" s="3">
        <f>D78/6.67*0.06664908396946564</f>
        <v>0.03497328244274809</v>
      </c>
      <c r="F78" s="3">
        <f>E78-D78/100</f>
        <v>-2.671755725191377e-05</v>
      </c>
      <c r="G78" s="3">
        <f>D78/6.67</f>
        <v>0.5247376311844077</v>
      </c>
      <c r="H78" s="2">
        <v>67.41</v>
      </c>
      <c r="I78" s="2">
        <v>65.22</v>
      </c>
      <c r="J78" s="2">
        <v>64.22</v>
      </c>
      <c r="K78" s="2">
        <v>72.98</v>
      </c>
      <c r="L78" s="2">
        <v>69.78</v>
      </c>
      <c r="M78" s="2">
        <v>64.93000000000001</v>
      </c>
      <c r="N78" s="2">
        <v>62.93</v>
      </c>
      <c r="O78" s="2">
        <v>68.04000000000001</v>
      </c>
      <c r="P78" s="2">
        <v>65.13</v>
      </c>
      <c r="Q78" s="2">
        <v>67.16</v>
      </c>
      <c r="R78" s="2">
        <v>74.76000000000001</v>
      </c>
      <c r="S78" s="2">
        <v>65.66</v>
      </c>
      <c r="T78" s="2">
        <v>68.43000000000001</v>
      </c>
      <c r="U78" s="2">
        <v>68.87</v>
      </c>
      <c r="V78" s="2">
        <v>65.29000000000001</v>
      </c>
      <c r="W78" s="2">
        <v>73.12</v>
      </c>
      <c r="X78" s="2">
        <v>72.75</v>
      </c>
      <c r="Y78" s="2">
        <v>66.75</v>
      </c>
      <c r="Z78" s="2">
        <v>63.43</v>
      </c>
      <c r="AA78" s="2">
        <v>71.73</v>
      </c>
      <c r="AB78" s="2">
        <v>66.64</v>
      </c>
      <c r="AC78" s="2">
        <v>69.95</v>
      </c>
      <c r="AD78" s="2">
        <v>78.27</v>
      </c>
      <c r="AE78" s="2">
        <v>71.03</v>
      </c>
      <c r="AF78" s="2">
        <v>71.77</v>
      </c>
      <c r="AG78" s="2">
        <v>72.17</v>
      </c>
      <c r="AH78" s="2">
        <v>66.70999999999999</v>
      </c>
      <c r="AI78" s="2">
        <v>75.84999999999999</v>
      </c>
      <c r="AJ78" s="2">
        <v>75.93000000000001</v>
      </c>
      <c r="AK78" s="2">
        <v>65.02</v>
      </c>
      <c r="AL78" s="2">
        <v>67.19</v>
      </c>
      <c r="AM78" s="2">
        <v>70.83</v>
      </c>
      <c r="AN78" s="2">
        <v>68.2</v>
      </c>
      <c r="AO78" s="2">
        <v>65.02</v>
      </c>
      <c r="AP78" s="2">
        <v>75.19</v>
      </c>
      <c r="AQ78" s="2">
        <v>74.56999999999999</v>
      </c>
      <c r="AR78" s="2">
        <v>57.39</v>
      </c>
      <c r="AS78" s="2">
        <v>65.38</v>
      </c>
      <c r="AT78" s="2">
        <v>60.8</v>
      </c>
      <c r="AU78" s="2">
        <v>82.93000000000001</v>
      </c>
      <c r="AV78" s="2">
        <v>61.16</v>
      </c>
      <c r="AW78" s="2">
        <v>67.94</v>
      </c>
      <c r="AX78" s="2">
        <v>81.12</v>
      </c>
      <c r="AY78" s="2">
        <v>72.38</v>
      </c>
      <c r="AZ78" s="2">
        <v>76.19</v>
      </c>
      <c r="BA78" s="2">
        <v>79.76000000000001</v>
      </c>
      <c r="BB78" s="2">
        <v>74.45999999999999</v>
      </c>
      <c r="BC78" s="2">
        <v>67.92</v>
      </c>
      <c r="BD78" s="2">
        <v>74.76000000000001</v>
      </c>
      <c r="BE78" s="2">
        <v>84.08</v>
      </c>
      <c r="BF78" s="2">
        <v>84.36</v>
      </c>
      <c r="BG78" s="2">
        <v>84.56</v>
      </c>
      <c r="BH78" s="2">
        <v>67.51000000000001</v>
      </c>
      <c r="BI78" s="2">
        <v>62.84</v>
      </c>
      <c r="BJ78" s="2">
        <v>64.28</v>
      </c>
      <c r="BK78" s="2">
        <v>72.31999999999999</v>
      </c>
      <c r="BL78" s="2">
        <v>76.84999999999999</v>
      </c>
      <c r="BM78" s="2">
        <v>84.04000000000001</v>
      </c>
      <c r="BN78" s="2">
        <v>86.45</v>
      </c>
      <c r="BO78" s="2">
        <v>88.44</v>
      </c>
      <c r="BP78" s="2">
        <v>97.5</v>
      </c>
      <c r="BQ78" s="2">
        <v>84.95999999999999</v>
      </c>
      <c r="BR78" s="2">
        <v>86.95</v>
      </c>
      <c r="BS78" s="2">
        <v>121.19</v>
      </c>
      <c r="BT78" s="2">
        <v>100.04</v>
      </c>
      <c r="BU78" s="2">
        <v>83.59999999999999</v>
      </c>
      <c r="BV78" s="2">
        <v>85.54000000000001</v>
      </c>
      <c r="BW78" s="2">
        <v>92.91</v>
      </c>
      <c r="BX78" s="2">
        <v>88.54000000000001</v>
      </c>
      <c r="BY78" s="2">
        <v>104.12</v>
      </c>
      <c r="BZ78" s="2">
        <v>96.31999999999999</v>
      </c>
      <c r="CA78" s="2">
        <v>93.51000000000001</v>
      </c>
      <c r="CB78" s="2">
        <v>97.27</v>
      </c>
      <c r="CC78" s="2">
        <v>85.63</v>
      </c>
      <c r="CD78" s="2">
        <v>88.7</v>
      </c>
      <c r="CE78" s="2">
        <v>108.52</v>
      </c>
      <c r="CF78" s="2">
        <v>95.97</v>
      </c>
      <c r="CG78" s="2">
        <v>86.81</v>
      </c>
      <c r="CH78" s="2">
        <v>83.38</v>
      </c>
      <c r="CI78" s="2">
        <v>92.22</v>
      </c>
      <c r="CJ78" s="2">
        <v>94.05</v>
      </c>
      <c r="CK78" s="2">
        <v>101.37</v>
      </c>
      <c r="CL78" s="2">
        <v>96.51000000000001</v>
      </c>
      <c r="CM78" s="2">
        <v>96.52</v>
      </c>
      <c r="CN78" s="2">
        <v>100.15</v>
      </c>
      <c r="CO78" s="2">
        <v>92.33</v>
      </c>
      <c r="CP78" s="2">
        <v>90.20999999999999</v>
      </c>
      <c r="CQ78" s="2">
        <v>111.31</v>
      </c>
      <c r="CR78" s="2">
        <v>93.53</v>
      </c>
      <c r="CS78" s="2">
        <v>89.08</v>
      </c>
      <c r="CT78" s="2">
        <v>89.02</v>
      </c>
      <c r="CU78" s="2">
        <v>96.56999999999999</v>
      </c>
      <c r="CV78" s="2">
        <v>91.90000000000001</v>
      </c>
      <c r="CW78" s="2">
        <v>95.86</v>
      </c>
      <c r="CX78" s="2">
        <v>97.26000000000001</v>
      </c>
      <c r="CY78" s="2">
        <v>94.64</v>
      </c>
      <c r="CZ78" s="2">
        <v>100</v>
      </c>
      <c r="DA78" s="2">
        <v>92.12</v>
      </c>
      <c r="DB78" s="2">
        <v>91.56999999999999</v>
      </c>
      <c r="DC78" s="2">
        <v>113.94</v>
      </c>
      <c r="DD78" s="2">
        <v>95.38</v>
      </c>
      <c r="DE78" s="2">
        <v>90.52</v>
      </c>
      <c r="DF78" s="2">
        <v>90.20999999999999</v>
      </c>
      <c r="DG78" s="2">
        <v>93.29000000000001</v>
      </c>
      <c r="DH78" s="2">
        <v>92.52</v>
      </c>
      <c r="DI78" s="2">
        <v>99.89</v>
      </c>
      <c r="DJ78" s="2">
        <v>97.44</v>
      </c>
      <c r="DK78" s="2">
        <v>1.5</v>
      </c>
      <c r="DL78" s="2">
        <v>5.6</v>
      </c>
      <c r="DM78" s="2">
        <v>1.7</v>
      </c>
      <c r="DN78" s="2">
        <v>0.2</v>
      </c>
      <c r="DO78" s="2">
        <v>4.3</v>
      </c>
      <c r="DP78" s="2">
        <v>2.8</v>
      </c>
      <c r="DQ78" s="2">
        <v>0.8</v>
      </c>
      <c r="DR78" s="2">
        <v>5.4</v>
      </c>
      <c r="DS78" s="2">
        <v>2.3</v>
      </c>
      <c r="DT78" s="2">
        <v>4.2</v>
      </c>
      <c r="DU78" s="2">
        <v>4.7</v>
      </c>
      <c r="DV78" s="2">
        <v>8.199999999999999</v>
      </c>
      <c r="DW78" s="2">
        <v>4.9</v>
      </c>
      <c r="DX78" s="2">
        <v>4.8</v>
      </c>
      <c r="DY78" s="2">
        <v>2.2</v>
      </c>
      <c r="DZ78" s="2">
        <v>3.7</v>
      </c>
      <c r="EA78" s="2">
        <v>4.4</v>
      </c>
      <c r="EB78" s="2">
        <v>-2.6</v>
      </c>
      <c r="EC78" s="2">
        <v>5.9</v>
      </c>
      <c r="ED78" s="2">
        <v>-1.3</v>
      </c>
      <c r="EE78" s="2">
        <v>2.3</v>
      </c>
      <c r="EF78" s="2">
        <v>-7</v>
      </c>
      <c r="EG78" s="2">
        <v>-3.9</v>
      </c>
      <c r="EH78" s="2">
        <v>5</v>
      </c>
      <c r="EI78" s="2">
        <v>-20</v>
      </c>
      <c r="EJ78" s="2">
        <v>-9.4</v>
      </c>
      <c r="EK78" s="2">
        <v>-8.9</v>
      </c>
      <c r="EL78" s="2">
        <v>9.300000000000001</v>
      </c>
      <c r="EM78" s="2">
        <v>-19.5</v>
      </c>
      <c r="EN78" s="2">
        <v>4.5</v>
      </c>
      <c r="EO78" s="2">
        <v>20.7</v>
      </c>
      <c r="EP78" s="2">
        <v>2.2</v>
      </c>
      <c r="EQ78" s="2">
        <v>11.7</v>
      </c>
      <c r="ER78" s="2">
        <v>22.7</v>
      </c>
      <c r="ES78" s="2">
        <v>-1</v>
      </c>
      <c r="ET78" s="2">
        <v>-8.9</v>
      </c>
      <c r="EU78" s="2">
        <v>30.3</v>
      </c>
      <c r="EV78" s="2">
        <v>28.6</v>
      </c>
      <c r="EW78" s="2">
        <v>38.8</v>
      </c>
      <c r="EX78" s="2">
        <v>2</v>
      </c>
      <c r="EY78" s="2">
        <v>10.4</v>
      </c>
      <c r="EZ78" s="2">
        <v>-7.5</v>
      </c>
      <c r="FA78" s="2">
        <v>-20.8</v>
      </c>
      <c r="FB78" s="2">
        <v>-0.1</v>
      </c>
      <c r="FC78" s="2">
        <v>0.9</v>
      </c>
      <c r="FD78" s="2">
        <v>5.4</v>
      </c>
      <c r="FE78" s="2">
        <v>16.1</v>
      </c>
      <c r="FF78" s="2">
        <v>30.2</v>
      </c>
      <c r="FG78" s="2">
        <v>30.4</v>
      </c>
      <c r="FH78" s="2">
        <v>1</v>
      </c>
      <c r="FI78" s="2">
        <v>3.1</v>
      </c>
      <c r="FJ78" s="2">
        <v>43.3</v>
      </c>
      <c r="FK78" s="2">
        <v>48.2</v>
      </c>
      <c r="FL78" s="2">
        <v>33</v>
      </c>
      <c r="FM78" s="2">
        <v>33.1</v>
      </c>
      <c r="FN78" s="2">
        <v>28.5</v>
      </c>
      <c r="FO78" s="2">
        <v>15.2</v>
      </c>
      <c r="FP78" s="2">
        <v>23.9</v>
      </c>
      <c r="FQ78" s="2">
        <v>11.4</v>
      </c>
      <c r="FR78" s="2">
        <v>5.7</v>
      </c>
      <c r="FS78" s="2">
        <v>-0.2</v>
      </c>
      <c r="FT78" s="2">
        <v>0.8</v>
      </c>
      <c r="FU78" s="2">
        <v>2</v>
      </c>
      <c r="FV78" s="2">
        <v>-10.5</v>
      </c>
      <c r="FW78" s="2">
        <v>-4.1</v>
      </c>
      <c r="FX78" s="2">
        <v>3.8</v>
      </c>
      <c r="FY78" s="2">
        <v>-2.5</v>
      </c>
      <c r="FZ78" s="2">
        <v>-0.7</v>
      </c>
      <c r="GA78" s="2">
        <v>6.2</v>
      </c>
      <c r="GB78" s="2">
        <v>-2.6</v>
      </c>
      <c r="GC78" s="2">
        <v>0.2</v>
      </c>
      <c r="GD78" s="2">
        <v>3.2</v>
      </c>
      <c r="GE78" s="2">
        <v>3</v>
      </c>
      <c r="GF78" s="2">
        <v>7.8</v>
      </c>
      <c r="GG78" s="2">
        <v>1.7</v>
      </c>
      <c r="GH78" s="2">
        <v>2.6</v>
      </c>
      <c r="GI78" s="2">
        <v>-2.5</v>
      </c>
      <c r="GJ78" s="2">
        <v>2.6</v>
      </c>
      <c r="GK78" s="2">
        <v>6.8</v>
      </c>
      <c r="GL78" s="2">
        <v>4.7</v>
      </c>
      <c r="GM78" s="2">
        <v>-2.3</v>
      </c>
      <c r="GN78" s="2">
        <v>-5.4</v>
      </c>
      <c r="GO78" s="2">
        <v>0.8</v>
      </c>
      <c r="GP78" s="2">
        <v>-1.9</v>
      </c>
      <c r="GQ78" s="2">
        <v>-0.1</v>
      </c>
      <c r="GR78" s="2">
        <v>-0.2</v>
      </c>
      <c r="GS78" s="2">
        <v>1.5</v>
      </c>
      <c r="GT78" s="2">
        <v>2.4</v>
      </c>
      <c r="GU78" s="2">
        <v>2</v>
      </c>
      <c r="GV78" s="2">
        <v>1.6</v>
      </c>
      <c r="GW78" s="2">
        <v>1.3</v>
      </c>
      <c r="GX78" s="2">
        <v>-3.4</v>
      </c>
      <c r="GY78" s="2">
        <v>0.7</v>
      </c>
      <c r="GZ78" s="2">
        <v>4.2</v>
      </c>
      <c r="HA78" s="2">
        <v>0.2</v>
      </c>
      <c r="HB78" s="2">
        <v>-3.2</v>
      </c>
      <c r="HC78" s="2">
        <v>-1.5</v>
      </c>
      <c r="HD78" s="2">
        <v>13.6</v>
      </c>
      <c r="HE78" s="2">
        <v>-4.4</v>
      </c>
      <c r="HF78" s="2">
        <v>-7</v>
      </c>
      <c r="HG78" s="2">
        <v>-3.1</v>
      </c>
      <c r="HH78" s="2">
        <v>8.1</v>
      </c>
      <c r="HI78" s="2">
        <v>-4.3</v>
      </c>
      <c r="HJ78" s="2">
        <v>3.1</v>
      </c>
      <c r="HK78" s="2">
        <v>11.3</v>
      </c>
      <c r="HL78" s="2">
        <v>-12.2</v>
      </c>
      <c r="HM78" s="2">
        <v>4.2</v>
      </c>
      <c r="HN78" s="2">
        <v>0.6</v>
      </c>
      <c r="HO78" s="2">
        <v>-5.2</v>
      </c>
      <c r="HP78" s="2">
        <v>12</v>
      </c>
      <c r="HQ78" s="2">
        <v>-0.5</v>
      </c>
      <c r="HR78" s="2">
        <v>-8.199999999999999</v>
      </c>
      <c r="HS78" s="2">
        <v>-5</v>
      </c>
      <c r="HT78" s="2">
        <v>13.1</v>
      </c>
      <c r="HU78" s="2">
        <v>-7.1</v>
      </c>
      <c r="HV78" s="2">
        <v>5</v>
      </c>
      <c r="HW78" s="2">
        <v>11.9</v>
      </c>
      <c r="HX78" s="2">
        <v>-9.300000000000001</v>
      </c>
      <c r="HY78" s="2">
        <v>1</v>
      </c>
      <c r="HZ78" s="2">
        <v>0.6</v>
      </c>
      <c r="IA78" s="2">
        <v>-7.6</v>
      </c>
      <c r="IB78" s="2">
        <v>13.7</v>
      </c>
      <c r="IC78" s="2">
        <v>0.1</v>
      </c>
      <c r="ID78" s="2">
        <v>-14.4</v>
      </c>
      <c r="IE78" s="2">
        <v>3.3</v>
      </c>
      <c r="IF78" s="2">
        <v>5.4</v>
      </c>
      <c r="IG78" s="2">
        <v>-3.7</v>
      </c>
      <c r="IH78" s="2">
        <v>-4.7</v>
      </c>
      <c r="II78" s="2">
        <v>15.6</v>
      </c>
      <c r="IJ78" s="2">
        <v>-0.8</v>
      </c>
      <c r="IK78" s="2">
        <v>-23</v>
      </c>
      <c r="IL78" s="2">
        <v>13.9</v>
      </c>
      <c r="IM78" s="2">
        <v>-7</v>
      </c>
      <c r="IN78" s="2">
        <v>36.4</v>
      </c>
      <c r="IO78" s="2">
        <v>-26.3</v>
      </c>
      <c r="IP78" s="2">
        <v>11.1</v>
      </c>
      <c r="IQ78" s="2">
        <v>19.4</v>
      </c>
      <c r="IR78" s="2">
        <v>-10.8</v>
      </c>
      <c r="IS78" s="2">
        <v>5.3</v>
      </c>
      <c r="IT78" s="2">
        <v>4.7</v>
      </c>
      <c r="IU78" s="2">
        <v>-6.6</v>
      </c>
      <c r="IV78" s="2">
        <v>-8.800000000000001</v>
      </c>
      <c r="IW78" s="2">
        <v>10.1</v>
      </c>
      <c r="IX78" s="2">
        <v>12.5</v>
      </c>
      <c r="IY78" s="2">
        <v>0.3</v>
      </c>
      <c r="IZ78" s="2">
        <v>0.2</v>
      </c>
      <c r="JA78" s="2">
        <v>-20.2</v>
      </c>
      <c r="JB78" s="2">
        <v>-6.9</v>
      </c>
      <c r="JC78" s="2">
        <v>2.3</v>
      </c>
      <c r="JD78" s="2">
        <v>12.5</v>
      </c>
      <c r="JE78" s="2">
        <v>6.3</v>
      </c>
      <c r="JF78" s="2">
        <v>9.4</v>
      </c>
      <c r="JG78" s="2">
        <v>2.9</v>
      </c>
      <c r="JH78" s="2">
        <v>2.3</v>
      </c>
      <c r="JI78" s="2">
        <v>10.2</v>
      </c>
      <c r="JJ78" s="2">
        <v>-12.9</v>
      </c>
      <c r="JK78" s="2">
        <v>2.3</v>
      </c>
      <c r="JL78" s="2">
        <v>39.4</v>
      </c>
      <c r="JM78" s="2">
        <v>-17.5</v>
      </c>
      <c r="JN78" s="2">
        <v>-16.4</v>
      </c>
      <c r="JO78" s="2">
        <v>2.3</v>
      </c>
      <c r="JP78" s="2">
        <v>8.6</v>
      </c>
      <c r="JQ78" s="2">
        <v>-4.7</v>
      </c>
      <c r="JR78" s="2">
        <v>17.6</v>
      </c>
      <c r="JS78" s="2">
        <v>-7.5</v>
      </c>
      <c r="JT78" s="2">
        <v>-2.9</v>
      </c>
      <c r="JU78" s="2">
        <v>4</v>
      </c>
      <c r="JV78" s="2">
        <v>-12</v>
      </c>
      <c r="JW78" s="2">
        <v>3.6</v>
      </c>
      <c r="JX78" s="2">
        <v>22.3</v>
      </c>
      <c r="JY78" s="2">
        <v>-11.6</v>
      </c>
      <c r="JZ78" s="2">
        <v>-9.5</v>
      </c>
      <c r="KA78" s="2">
        <v>-4</v>
      </c>
      <c r="KB78" s="2">
        <v>10.6</v>
      </c>
      <c r="KC78" s="2">
        <v>2</v>
      </c>
      <c r="KD78" s="2">
        <v>7.8</v>
      </c>
      <c r="KE78" s="2">
        <v>-4.8</v>
      </c>
      <c r="KF78" s="2">
        <v>0</v>
      </c>
      <c r="KG78" s="2">
        <v>3.8</v>
      </c>
      <c r="KH78" s="2">
        <v>-7.8</v>
      </c>
      <c r="KI78" s="2">
        <v>-2.3</v>
      </c>
      <c r="KJ78" s="2">
        <v>23.4</v>
      </c>
      <c r="KK78" s="2">
        <v>-16</v>
      </c>
      <c r="KL78" s="2">
        <v>-4.8</v>
      </c>
      <c r="KM78" s="2">
        <v>-0.1</v>
      </c>
      <c r="KN78" s="2">
        <v>8.5</v>
      </c>
      <c r="KO78" s="2">
        <v>-4.8</v>
      </c>
      <c r="KP78" s="2">
        <v>4.3</v>
      </c>
      <c r="KQ78" s="2">
        <v>1.5</v>
      </c>
      <c r="KR78" s="2">
        <v>-2.7</v>
      </c>
      <c r="KS78" s="2">
        <v>5.7</v>
      </c>
      <c r="KT78" s="2">
        <v>-7.9</v>
      </c>
      <c r="KU78" s="2">
        <v>-0.6</v>
      </c>
      <c r="KV78" s="2">
        <v>24.4</v>
      </c>
      <c r="KW78" s="2">
        <v>-16.3</v>
      </c>
      <c r="KX78" s="2">
        <v>-5.1</v>
      </c>
      <c r="KY78" s="2">
        <v>-0.3</v>
      </c>
      <c r="KZ78" s="2">
        <v>3.4</v>
      </c>
      <c r="LA78" s="2">
        <v>-0.8</v>
      </c>
      <c r="LB78" s="2">
        <v>8</v>
      </c>
      <c r="LC78" s="2">
        <v>-2.5</v>
      </c>
      <c r="LD78" s="2">
        <v>3.4</v>
      </c>
      <c r="LE78" s="2">
        <v>2.86</v>
      </c>
      <c r="LF78" s="2">
        <v>2.72</v>
      </c>
      <c r="LG78" s="2">
        <v>2.72</v>
      </c>
      <c r="LH78" s="2">
        <v>2.95</v>
      </c>
      <c r="LI78" s="2">
        <v>2.81</v>
      </c>
      <c r="LJ78" s="2">
        <v>2.93</v>
      </c>
      <c r="LK78" s="2">
        <v>2.97</v>
      </c>
      <c r="LL78" s="2">
        <v>2.89</v>
      </c>
      <c r="LM78" s="2">
        <v>3.06</v>
      </c>
      <c r="LN78" s="2">
        <v>2.82</v>
      </c>
      <c r="LO78" s="2">
        <v>2.8</v>
      </c>
      <c r="LP78" s="2">
        <v>3.48</v>
      </c>
      <c r="LQ78" s="2">
        <v>2.92</v>
      </c>
      <c r="LR78" s="2">
        <v>2.77</v>
      </c>
      <c r="LS78" s="2">
        <v>2.76</v>
      </c>
      <c r="LT78" s="2">
        <v>2.85</v>
      </c>
      <c r="LU78" s="2">
        <v>2.83</v>
      </c>
      <c r="LV78" s="2">
        <v>3.06</v>
      </c>
      <c r="LW78" s="2">
        <v>2.98</v>
      </c>
      <c r="LX78" s="2">
        <v>-0.54</v>
      </c>
      <c r="LY78" s="2">
        <v>-0.14</v>
      </c>
      <c r="LZ78" s="2">
        <v>0</v>
      </c>
      <c r="MA78" s="2">
        <v>0.23</v>
      </c>
      <c r="MB78" s="2">
        <v>-0.14</v>
      </c>
      <c r="MC78" s="2">
        <v>0.12</v>
      </c>
      <c r="MD78" s="2">
        <v>0.04</v>
      </c>
      <c r="ME78" s="2">
        <v>-0.08</v>
      </c>
      <c r="MF78" s="2">
        <v>0.17</v>
      </c>
      <c r="MG78" s="2">
        <v>-0.24</v>
      </c>
      <c r="MH78" s="2">
        <v>-0.02</v>
      </c>
      <c r="MI78" s="2">
        <v>0.68</v>
      </c>
      <c r="MJ78" s="2">
        <v>-0.5600000000000001</v>
      </c>
      <c r="MK78" s="2">
        <v>-0.15</v>
      </c>
      <c r="ML78" s="2">
        <v>-0.01</v>
      </c>
      <c r="MM78" s="2">
        <v>0.09</v>
      </c>
      <c r="MN78" s="2">
        <v>-0.02</v>
      </c>
      <c r="MO78" s="2">
        <v>0.23</v>
      </c>
      <c r="MP78" s="2">
        <v>-0.08</v>
      </c>
      <c r="RU78" s="2">
        <v>25.41</v>
      </c>
      <c r="RV78" s="2">
        <v>24.38</v>
      </c>
      <c r="RW78" s="2">
        <v>24.2</v>
      </c>
      <c r="RX78" s="2">
        <v>24.73</v>
      </c>
      <c r="RY78" s="2">
        <v>27.46</v>
      </c>
      <c r="RZ78" s="2">
        <v>29.39</v>
      </c>
      <c r="SA78" s="2">
        <v>29.21</v>
      </c>
      <c r="SB78" s="2">
        <v>27.64</v>
      </c>
      <c r="SC78" s="2">
        <v>28.72</v>
      </c>
      <c r="SD78" s="2">
        <v>28.36</v>
      </c>
      <c r="SE78" s="2">
        <v>28.89</v>
      </c>
      <c r="SF78" s="2">
        <v>28.18</v>
      </c>
      <c r="SG78" s="2">
        <v>29.65</v>
      </c>
      <c r="SH78" s="2">
        <v>32.11</v>
      </c>
      <c r="SI78" s="2">
        <v>33.37</v>
      </c>
      <c r="SJ78" s="2">
        <v>33.19</v>
      </c>
      <c r="SK78" s="2">
        <v>33.9</v>
      </c>
      <c r="SL78" s="2">
        <v>34.8</v>
      </c>
      <c r="SM78" s="2">
        <v>36.54</v>
      </c>
      <c r="SN78" s="2">
        <v>34.93</v>
      </c>
      <c r="SO78" s="2">
        <v>36.1</v>
      </c>
      <c r="SP78" s="2">
        <v>36.41</v>
      </c>
      <c r="SQ78" s="2">
        <v>37.79</v>
      </c>
      <c r="SR78" s="2">
        <v>36.72</v>
      </c>
      <c r="SS78" s="2">
        <v>40.7</v>
      </c>
      <c r="ST78" s="2">
        <v>41.1</v>
      </c>
      <c r="SU78" s="2">
        <v>39.72</v>
      </c>
      <c r="SV78" s="2">
        <v>42.58</v>
      </c>
      <c r="SW78" s="2">
        <v>40.3</v>
      </c>
      <c r="SX78" s="2">
        <v>42.31</v>
      </c>
      <c r="SY78" s="2">
        <v>42.49</v>
      </c>
      <c r="SZ78" s="2">
        <v>45.35</v>
      </c>
      <c r="TA78" s="2">
        <v>45.35</v>
      </c>
      <c r="TB78" s="2">
        <v>45.76</v>
      </c>
      <c r="TC78" s="2">
        <v>45.71</v>
      </c>
      <c r="TD78" s="2">
        <v>50.01</v>
      </c>
      <c r="TE78" s="2">
        <v>47.37</v>
      </c>
      <c r="TF78" s="2">
        <v>46.47</v>
      </c>
      <c r="TG78" s="2">
        <v>46.65</v>
      </c>
      <c r="TH78" s="2">
        <v>49.29</v>
      </c>
      <c r="TI78" s="2">
        <v>44.46</v>
      </c>
      <c r="TJ78" s="2">
        <v>42.89</v>
      </c>
      <c r="TK78" s="2">
        <v>41.91</v>
      </c>
      <c r="TL78" s="2">
        <v>44.68</v>
      </c>
      <c r="TM78" s="2">
        <v>41.37</v>
      </c>
      <c r="TN78" s="2">
        <v>42.49</v>
      </c>
      <c r="TO78" s="2">
        <v>41.95</v>
      </c>
      <c r="TP78" s="2">
        <v>45.71</v>
      </c>
      <c r="TQ78" s="2">
        <v>42.4</v>
      </c>
      <c r="TR78" s="2">
        <v>44.55</v>
      </c>
      <c r="TS78" s="2">
        <v>43.74</v>
      </c>
      <c r="TT78" s="2">
        <v>44.41</v>
      </c>
      <c r="TU78" s="2">
        <v>43.12</v>
      </c>
      <c r="TV78" s="2">
        <v>46.02</v>
      </c>
      <c r="TW78" s="2">
        <v>45.94</v>
      </c>
      <c r="TX78" s="2">
        <v>46.02</v>
      </c>
      <c r="TY78" s="2">
        <v>46.07</v>
      </c>
      <c r="TZ78" s="2">
        <v>46.25</v>
      </c>
      <c r="UA78" s="2">
        <v>45.89</v>
      </c>
      <c r="UB78" s="2">
        <v>45.17</v>
      </c>
      <c r="UC78" s="2">
        <v>42.94</v>
      </c>
      <c r="UD78" s="2">
        <v>44.73</v>
      </c>
      <c r="UE78" s="2">
        <v>45.71</v>
      </c>
      <c r="UF78" s="2">
        <v>45.35</v>
      </c>
      <c r="UG78" s="2">
        <v>43.97</v>
      </c>
      <c r="UH78" s="2">
        <v>45.85</v>
      </c>
      <c r="UI78" s="2">
        <v>45.22</v>
      </c>
      <c r="UJ78" s="2">
        <v>44.72</v>
      </c>
      <c r="UK78" s="2">
        <v>44.42</v>
      </c>
      <c r="UL78" s="2">
        <v>47.62</v>
      </c>
      <c r="UM78" s="2">
        <v>48.66</v>
      </c>
      <c r="UN78" s="2">
        <v>48.84</v>
      </c>
      <c r="UO78" s="2">
        <v>43.86</v>
      </c>
      <c r="UP78" s="2">
        <v>45.76</v>
      </c>
      <c r="UQ78" s="2">
        <v>47.29</v>
      </c>
      <c r="UR78" s="2">
        <v>47.23</v>
      </c>
      <c r="US78" s="2">
        <v>47.56</v>
      </c>
      <c r="UT78" s="2">
        <v>48.83</v>
      </c>
      <c r="UU78" s="2">
        <v>50.29</v>
      </c>
      <c r="UV78" s="2">
        <v>51.06</v>
      </c>
      <c r="UW78" s="2">
        <v>54.84</v>
      </c>
      <c r="UX78" s="2">
        <v>57.14</v>
      </c>
      <c r="UY78" s="2">
        <v>58.8</v>
      </c>
      <c r="UZ78" s="2">
        <v>58.78</v>
      </c>
      <c r="VA78" s="2">
        <v>58.06</v>
      </c>
      <c r="VB78" s="2">
        <v>58.99</v>
      </c>
      <c r="VC78" s="2">
        <v>57.31</v>
      </c>
      <c r="VD78" s="2">
        <v>57.45</v>
      </c>
      <c r="VE78" s="2">
        <v>54.3</v>
      </c>
      <c r="VF78" s="2">
        <v>54.82</v>
      </c>
      <c r="VG78" s="2">
        <v>56.06</v>
      </c>
      <c r="VH78" s="2">
        <v>55.76</v>
      </c>
      <c r="VI78" s="2">
        <v>55.07</v>
      </c>
      <c r="VJ78" s="2">
        <v>55.25</v>
      </c>
      <c r="VK78" s="2">
        <v>56.35</v>
      </c>
      <c r="VL78" s="2">
        <v>54.94</v>
      </c>
      <c r="VM78" s="2">
        <v>56.36</v>
      </c>
      <c r="VN78" s="2">
        <v>56.67</v>
      </c>
      <c r="VO78" s="2">
        <v>57.46</v>
      </c>
      <c r="VP78" s="2">
        <v>58.21</v>
      </c>
      <c r="VQ78" s="2">
        <v>56.88</v>
      </c>
      <c r="VR78" s="2">
        <v>58.34</v>
      </c>
      <c r="VS78" s="2">
        <v>60.76</v>
      </c>
      <c r="VT78" s="2">
        <v>61.41</v>
      </c>
      <c r="VU78" s="2">
        <v>61.83</v>
      </c>
      <c r="VV78" s="2">
        <v>62.43</v>
      </c>
      <c r="VW78" s="2">
        <v>65.54000000000001</v>
      </c>
      <c r="VX78" s="2">
        <v>66.55</v>
      </c>
      <c r="VY78" s="2">
        <v>63.91</v>
      </c>
      <c r="VZ78" s="2">
        <v>61.75</v>
      </c>
      <c r="WA78" s="2">
        <v>62.17</v>
      </c>
      <c r="WB78" s="2">
        <v>63.58</v>
      </c>
      <c r="WC78" s="2">
        <v>63.41</v>
      </c>
      <c r="WD78" s="2">
        <v>62.24</v>
      </c>
      <c r="WE78" s="2">
        <v>63.24</v>
      </c>
      <c r="WF78" s="2">
        <v>62.83</v>
      </c>
      <c r="WG78" s="2">
        <v>61.81</v>
      </c>
      <c r="WH78" s="2">
        <v>61.05</v>
      </c>
      <c r="WI78" s="2">
        <v>64.13</v>
      </c>
      <c r="WJ78" s="2">
        <v>62.91</v>
      </c>
      <c r="WK78" s="2">
        <v>59.89</v>
      </c>
      <c r="WL78" s="2">
        <v>59.68</v>
      </c>
      <c r="WM78" s="2">
        <v>63.6</v>
      </c>
      <c r="WN78" s="2">
        <v>62.91</v>
      </c>
      <c r="WO78" s="2">
        <v>59.62</v>
      </c>
      <c r="WP78" s="2">
        <v>59.91</v>
      </c>
      <c r="WQ78" s="2">
        <v>63.55</v>
      </c>
      <c r="WR78" s="2">
        <v>65.2</v>
      </c>
      <c r="WS78" s="2">
        <v>63.67</v>
      </c>
      <c r="WT78" s="2">
        <v>65.95</v>
      </c>
      <c r="WU78" s="2">
        <v>66.81999999999999</v>
      </c>
      <c r="WV78" s="2">
        <v>68.09</v>
      </c>
      <c r="WW78" s="2">
        <v>66.04000000000001</v>
      </c>
      <c r="WX78" s="2">
        <v>65.2</v>
      </c>
      <c r="WY78" s="2">
        <v>68.20999999999999</v>
      </c>
      <c r="WZ78" s="2">
        <v>69.78</v>
      </c>
      <c r="XA78" s="2">
        <v>68.38</v>
      </c>
      <c r="XB78" s="2">
        <v>68.59999999999999</v>
      </c>
      <c r="XC78" s="2">
        <v>69.91</v>
      </c>
      <c r="XD78" s="2">
        <v>68.08</v>
      </c>
      <c r="XE78" s="2">
        <v>65.47</v>
      </c>
      <c r="XF78" s="2">
        <v>66.11</v>
      </c>
      <c r="XG78" s="2">
        <v>68.81999999999999</v>
      </c>
      <c r="XH78" s="2">
        <v>67.61</v>
      </c>
      <c r="XI78" s="2">
        <v>66.01000000000001</v>
      </c>
      <c r="XJ78" s="2">
        <v>66.92</v>
      </c>
      <c r="XK78" s="2">
        <v>69.76000000000001</v>
      </c>
      <c r="XL78" s="2">
        <v>69.23999999999999</v>
      </c>
      <c r="XM78" s="2">
        <v>67.78</v>
      </c>
      <c r="XN78" s="2">
        <v>69.58</v>
      </c>
      <c r="XO78" s="2">
        <v>73.84</v>
      </c>
      <c r="XP78" s="2">
        <v>71.72</v>
      </c>
      <c r="XQ78" s="2">
        <v>69.52</v>
      </c>
      <c r="XR78" s="2">
        <v>68.16</v>
      </c>
      <c r="XS78" s="2">
        <v>69.22</v>
      </c>
      <c r="XT78" s="2">
        <v>69.86</v>
      </c>
      <c r="XU78" s="2">
        <v>70.22</v>
      </c>
      <c r="XV78" s="2">
        <v>76.27</v>
      </c>
      <c r="XW78" s="2">
        <v>72.53</v>
      </c>
      <c r="XX78" s="2">
        <v>84.36</v>
      </c>
      <c r="XY78" s="2">
        <v>64.86</v>
      </c>
      <c r="XZ78" s="2">
        <v>77.75</v>
      </c>
      <c r="YA78" s="2">
        <v>90.81999999999999</v>
      </c>
      <c r="YB78" s="2">
        <v>97.7</v>
      </c>
      <c r="YC78" s="2">
        <v>89.73</v>
      </c>
      <c r="YD78" s="2">
        <v>95.22</v>
      </c>
      <c r="YE78" s="2">
        <v>95.7</v>
      </c>
      <c r="YF78" s="2">
        <v>94.25</v>
      </c>
      <c r="YG78" s="2">
        <v>88.7</v>
      </c>
      <c r="YH78" s="2">
        <v>95.90000000000001</v>
      </c>
      <c r="YI78" s="2">
        <v>97.73</v>
      </c>
      <c r="YJ78" s="2">
        <v>97.94</v>
      </c>
      <c r="YK78" s="2">
        <v>90.53</v>
      </c>
      <c r="YL78" s="2">
        <v>94.78</v>
      </c>
      <c r="YM78" s="2">
        <v>97.3</v>
      </c>
      <c r="YN78" s="2">
        <v>99.20999999999999</v>
      </c>
      <c r="YO78" s="2">
        <v>92.04000000000001</v>
      </c>
      <c r="YP78" s="2">
        <v>95.23</v>
      </c>
      <c r="ADU78" s="2">
        <v>-4.1</v>
      </c>
      <c r="ADV78" s="2">
        <v>-0.7</v>
      </c>
      <c r="ADW78" s="2">
        <v>2.2</v>
      </c>
      <c r="ADX78" s="2">
        <v>11</v>
      </c>
      <c r="ADY78" s="2">
        <v>7</v>
      </c>
      <c r="ADZ78" s="2">
        <v>-0.6</v>
      </c>
      <c r="AEA78" s="2">
        <v>-5.4</v>
      </c>
      <c r="AEB78" s="2">
        <v>3.9</v>
      </c>
      <c r="AEC78" s="2">
        <v>-1.3</v>
      </c>
      <c r="AED78" s="2">
        <v>1.9</v>
      </c>
      <c r="AEE78" s="2">
        <v>-2.5</v>
      </c>
      <c r="AEF78" s="2">
        <v>5.2</v>
      </c>
      <c r="AEG78" s="2">
        <v>8.300000000000001</v>
      </c>
      <c r="AEH78" s="2">
        <v>3.9</v>
      </c>
      <c r="AEI78" s="2">
        <v>-0.5</v>
      </c>
      <c r="AEJ78" s="2">
        <v>2.1</v>
      </c>
      <c r="AEK78" s="2">
        <v>2.7</v>
      </c>
      <c r="AEL78" s="2">
        <v>5</v>
      </c>
      <c r="AEM78" s="2">
        <v>-4.4</v>
      </c>
      <c r="AEN78" s="2">
        <v>3.3</v>
      </c>
      <c r="AEO78" s="2">
        <v>0.9</v>
      </c>
      <c r="AEP78" s="2">
        <v>3.8</v>
      </c>
      <c r="AEQ78" s="2">
        <v>-2.8</v>
      </c>
      <c r="AER78" s="2">
        <v>10.8</v>
      </c>
      <c r="AES78" s="2">
        <v>1</v>
      </c>
      <c r="AET78" s="2">
        <v>-3.4</v>
      </c>
      <c r="AEU78" s="2">
        <v>7.2</v>
      </c>
      <c r="AEV78" s="2">
        <v>-5.4</v>
      </c>
      <c r="AEW78" s="2">
        <v>5</v>
      </c>
      <c r="AEX78" s="2">
        <v>0.4</v>
      </c>
      <c r="AEY78" s="2">
        <v>6.7</v>
      </c>
      <c r="AEZ78" s="2">
        <v>0</v>
      </c>
      <c r="AFA78" s="2">
        <v>0.9</v>
      </c>
      <c r="AFB78" s="2">
        <v>-0.1</v>
      </c>
      <c r="AFC78" s="2">
        <v>9.4</v>
      </c>
      <c r="AFD78" s="2">
        <v>-5.3</v>
      </c>
      <c r="AFE78" s="2">
        <v>-1.9</v>
      </c>
      <c r="AFF78" s="2">
        <v>0.4</v>
      </c>
      <c r="AFG78" s="2">
        <v>5.7</v>
      </c>
      <c r="AFH78" s="2">
        <v>-9.800000000000001</v>
      </c>
      <c r="AFI78" s="2">
        <v>-3.5</v>
      </c>
      <c r="AFJ78" s="2">
        <v>-2.3</v>
      </c>
      <c r="AFK78" s="2">
        <v>6.6</v>
      </c>
      <c r="AFL78" s="2">
        <v>-7.4</v>
      </c>
      <c r="AFM78" s="2">
        <v>2.7</v>
      </c>
      <c r="AFN78" s="2">
        <v>-1.3</v>
      </c>
      <c r="AFO78" s="2">
        <v>9</v>
      </c>
      <c r="AFP78" s="2">
        <v>-7.2</v>
      </c>
      <c r="AFQ78" s="2">
        <v>5.1</v>
      </c>
      <c r="AFR78" s="2">
        <v>-1.8</v>
      </c>
      <c r="AFS78" s="2">
        <v>1.5</v>
      </c>
      <c r="AFT78" s="2">
        <v>-2.9</v>
      </c>
      <c r="AFU78" s="2">
        <v>6.7</v>
      </c>
      <c r="AFV78" s="2">
        <v>-0.2</v>
      </c>
      <c r="AFW78" s="2">
        <v>0.2</v>
      </c>
      <c r="AFX78" s="2">
        <v>0.1</v>
      </c>
      <c r="AFY78" s="2">
        <v>0.4</v>
      </c>
      <c r="AFZ78" s="2">
        <v>-0.8</v>
      </c>
      <c r="AGA78" s="2">
        <v>-1.6</v>
      </c>
      <c r="AGB78" s="2">
        <v>-4.9</v>
      </c>
      <c r="AGC78" s="2">
        <v>4.2</v>
      </c>
      <c r="AGD78" s="2">
        <v>2.2</v>
      </c>
      <c r="AGE78" s="2">
        <v>-0.8</v>
      </c>
      <c r="AGF78" s="2">
        <v>-3</v>
      </c>
      <c r="AGG78" s="2">
        <v>4.3</v>
      </c>
      <c r="AGH78" s="2">
        <v>-1.4</v>
      </c>
      <c r="AGI78" s="2">
        <v>-1.1</v>
      </c>
      <c r="AGJ78" s="2">
        <v>-0.7</v>
      </c>
      <c r="AGK78" s="2">
        <v>7.2</v>
      </c>
      <c r="AGL78" s="2">
        <v>2.2</v>
      </c>
      <c r="AGM78" s="2">
        <v>0.4</v>
      </c>
      <c r="AGN78" s="2">
        <v>-10.2</v>
      </c>
      <c r="AGO78" s="2">
        <v>4.3</v>
      </c>
      <c r="AGP78" s="2">
        <v>3.3</v>
      </c>
      <c r="AGQ78" s="2">
        <v>-0.1</v>
      </c>
      <c r="AGR78" s="2">
        <v>0.7</v>
      </c>
      <c r="AGS78" s="2">
        <v>2.7</v>
      </c>
      <c r="AGT78" s="2">
        <v>3</v>
      </c>
      <c r="AGU78" s="2">
        <v>1.5</v>
      </c>
      <c r="AGV78" s="2">
        <v>7.4</v>
      </c>
      <c r="AGW78" s="2">
        <v>4.2</v>
      </c>
      <c r="AGX78" s="2">
        <v>2.9</v>
      </c>
      <c r="AGY78" s="2">
        <v>0</v>
      </c>
      <c r="AGZ78" s="2">
        <v>-1.2</v>
      </c>
      <c r="AHA78" s="2">
        <v>1.6</v>
      </c>
      <c r="AHB78" s="2">
        <v>-2.8</v>
      </c>
      <c r="AHC78" s="2">
        <v>0.2</v>
      </c>
      <c r="AHD78" s="2">
        <v>-5.5</v>
      </c>
      <c r="AHE78" s="2">
        <v>1</v>
      </c>
      <c r="AHF78" s="2">
        <v>2.3</v>
      </c>
      <c r="AHG78" s="2">
        <v>-0.5</v>
      </c>
      <c r="AHH78" s="2">
        <v>-1.2</v>
      </c>
      <c r="AHI78" s="2">
        <v>0.3</v>
      </c>
      <c r="AHJ78" s="2">
        <v>2</v>
      </c>
      <c r="AHK78" s="2">
        <v>-2.5</v>
      </c>
      <c r="AHL78" s="2">
        <v>2.6</v>
      </c>
      <c r="AHM78" s="2">
        <v>0.6</v>
      </c>
      <c r="AHN78" s="2">
        <v>1.4</v>
      </c>
      <c r="AHO78" s="2">
        <v>1.3</v>
      </c>
      <c r="AHP78" s="2">
        <v>-2.3</v>
      </c>
      <c r="AHQ78" s="2">
        <v>2.6</v>
      </c>
      <c r="AHR78" s="2">
        <v>4.1</v>
      </c>
      <c r="AHS78" s="2">
        <v>1.1</v>
      </c>
      <c r="AHT78" s="2">
        <v>0.7</v>
      </c>
      <c r="AHU78" s="2">
        <v>1</v>
      </c>
      <c r="AHV78" s="2">
        <v>5</v>
      </c>
      <c r="AHW78" s="2">
        <v>1.5</v>
      </c>
      <c r="AHX78" s="2">
        <v>-4</v>
      </c>
      <c r="AHY78" s="2">
        <v>-3.4</v>
      </c>
      <c r="AHZ78" s="2">
        <v>0.7</v>
      </c>
      <c r="AIA78" s="2">
        <v>2.3</v>
      </c>
      <c r="AIB78" s="2">
        <v>-0.3</v>
      </c>
      <c r="AIC78" s="2">
        <v>-1.8</v>
      </c>
      <c r="AID78" s="2">
        <v>1.6</v>
      </c>
      <c r="AIE78" s="2">
        <v>-0.6</v>
      </c>
      <c r="AIF78" s="2">
        <v>-1.6</v>
      </c>
      <c r="AIG78" s="2">
        <v>-1.2</v>
      </c>
      <c r="AIH78" s="2">
        <v>5</v>
      </c>
      <c r="AII78" s="2">
        <v>-1.9</v>
      </c>
      <c r="AIJ78" s="2">
        <v>-4.8</v>
      </c>
      <c r="AIK78" s="2">
        <v>-0.4</v>
      </c>
      <c r="AIL78" s="2">
        <v>6.6</v>
      </c>
      <c r="AIM78" s="2">
        <v>-1.1</v>
      </c>
      <c r="AIN78" s="2">
        <v>-5.2</v>
      </c>
      <c r="AIO78" s="2">
        <v>0.5</v>
      </c>
      <c r="AIP78" s="2">
        <v>6.1</v>
      </c>
      <c r="AIQ78" s="2">
        <v>2.6</v>
      </c>
      <c r="AIR78" s="2">
        <v>-2.3</v>
      </c>
      <c r="AIS78" s="2">
        <v>3.6</v>
      </c>
      <c r="AIT78" s="2">
        <v>1.3</v>
      </c>
      <c r="AIU78" s="2">
        <v>1.9</v>
      </c>
      <c r="AIV78" s="2">
        <v>-3</v>
      </c>
      <c r="AIW78" s="2">
        <v>-1.3</v>
      </c>
      <c r="AIX78" s="2">
        <v>4.6</v>
      </c>
      <c r="AIY78" s="2">
        <v>2.3</v>
      </c>
      <c r="AIZ78" s="2">
        <v>-2</v>
      </c>
      <c r="AJA78" s="2">
        <v>0.3</v>
      </c>
      <c r="AJB78" s="2">
        <v>1.9</v>
      </c>
      <c r="AJC78" s="2">
        <v>-2.6</v>
      </c>
      <c r="AJD78" s="2">
        <v>-3.8</v>
      </c>
      <c r="AJE78" s="2">
        <v>1</v>
      </c>
      <c r="AJF78" s="2">
        <v>4.1</v>
      </c>
      <c r="AJG78" s="2">
        <v>-1.8</v>
      </c>
      <c r="AJH78" s="2">
        <v>-2.4</v>
      </c>
      <c r="AJI78" s="2">
        <v>1.4</v>
      </c>
      <c r="AJJ78" s="2">
        <v>4.2</v>
      </c>
      <c r="AJK78" s="2">
        <v>-0.7</v>
      </c>
      <c r="AJL78" s="2">
        <v>-2.1</v>
      </c>
      <c r="AJM78" s="2">
        <v>2.7</v>
      </c>
      <c r="AJN78" s="2">
        <v>6.1</v>
      </c>
      <c r="AJO78" s="2">
        <v>-2.9</v>
      </c>
      <c r="AJP78" s="2">
        <v>-3.1</v>
      </c>
      <c r="AJQ78" s="2">
        <v>-2</v>
      </c>
      <c r="AJR78" s="2">
        <v>1.6</v>
      </c>
      <c r="AJS78" s="2">
        <v>0.9</v>
      </c>
      <c r="AJT78" s="2">
        <v>0.5</v>
      </c>
      <c r="AJU78" s="2">
        <v>8.6</v>
      </c>
      <c r="AJV78" s="2">
        <v>-4.9</v>
      </c>
      <c r="AJW78" s="2">
        <v>16.3</v>
      </c>
      <c r="AJX78" s="2">
        <v>-23.1</v>
      </c>
      <c r="AJY78" s="2">
        <v>19.9</v>
      </c>
      <c r="AJZ78" s="2">
        <v>16.8</v>
      </c>
      <c r="AKA78" s="2">
        <v>7.6</v>
      </c>
      <c r="AKB78" s="2">
        <v>-8.199999999999999</v>
      </c>
      <c r="AKC78" s="2">
        <v>6.1</v>
      </c>
      <c r="AKD78" s="2">
        <v>0.5</v>
      </c>
      <c r="AKE78" s="2">
        <v>-1.5</v>
      </c>
      <c r="AKF78" s="2">
        <v>-5.9</v>
      </c>
      <c r="AKG78" s="2">
        <v>8.1</v>
      </c>
      <c r="AKH78" s="2">
        <v>1.9</v>
      </c>
      <c r="AKI78" s="2">
        <v>0.2</v>
      </c>
      <c r="AKJ78" s="2">
        <v>-7.6</v>
      </c>
      <c r="AKK78" s="2">
        <v>4.7</v>
      </c>
      <c r="AKL78" s="2">
        <v>2.7</v>
      </c>
      <c r="AKM78" s="2">
        <v>2</v>
      </c>
      <c r="AKN78" s="2">
        <v>-7.2</v>
      </c>
      <c r="AKO78" s="2">
        <v>3.5</v>
      </c>
      <c r="AKP78" s="2">
        <v>3.04</v>
      </c>
      <c r="AKQ78" s="2">
        <v>2.82</v>
      </c>
      <c r="AKR78" s="2">
        <v>2.91</v>
      </c>
    </row>
    <row r="79">
      <c r="A79" t="inlineStr">
        <is>
          <t>Equipment for sports, camping and open-air recreation</t>
        </is>
      </c>
      <c r="B79" t="inlineStr">
        <is>
          <t>Other recreation, sport and culture</t>
        </is>
      </c>
      <c r="C79">
        <v>3</v>
      </c>
      <c r="D79">
        <v>0.47</v>
      </c>
      <c r="E79" s="3">
        <f>D79/4.07*0.04076885496183206</f>
        <v>0.004707951310088714</v>
      </c>
      <c r="F79" s="3">
        <f>E79-D79/100</f>
        <v>7.951310088715087e-06</v>
      </c>
      <c r="G79" s="3">
        <f>D79/4.07</f>
        <v>0.11547911547911546</v>
      </c>
      <c r="CI79" s="2">
        <v>100.48</v>
      </c>
      <c r="CJ79" s="2">
        <v>101.04</v>
      </c>
      <c r="CK79" s="2">
        <v>99.44</v>
      </c>
      <c r="CL79" s="2">
        <v>99.45999999999999</v>
      </c>
      <c r="CM79" s="2">
        <v>100.44</v>
      </c>
      <c r="CN79" s="2">
        <v>101</v>
      </c>
      <c r="CO79" s="2">
        <v>100.42</v>
      </c>
      <c r="CP79" s="2">
        <v>101.37</v>
      </c>
      <c r="CQ79" s="2">
        <v>100.55</v>
      </c>
      <c r="CR79" s="2">
        <v>99.36</v>
      </c>
      <c r="CS79" s="2">
        <v>100.43</v>
      </c>
      <c r="CT79" s="2">
        <v>99.91</v>
      </c>
      <c r="CU79" s="2">
        <v>99.05</v>
      </c>
      <c r="CV79" s="2">
        <v>100.47</v>
      </c>
      <c r="CW79" s="2">
        <v>99.37</v>
      </c>
      <c r="CX79" s="2">
        <v>100.47</v>
      </c>
      <c r="CY79" s="2">
        <v>100.21</v>
      </c>
      <c r="CZ79" s="2">
        <v>100</v>
      </c>
      <c r="DA79" s="2">
        <v>99.75</v>
      </c>
      <c r="DB79" s="2">
        <v>99.20999999999999</v>
      </c>
      <c r="DC79" s="2">
        <v>98.15000000000001</v>
      </c>
      <c r="DD79" s="2">
        <v>99.92</v>
      </c>
      <c r="DE79" s="2">
        <v>99.01000000000001</v>
      </c>
      <c r="DF79" s="2">
        <v>99.3</v>
      </c>
      <c r="DG79" s="2">
        <v>99.73999999999999</v>
      </c>
      <c r="DH79" s="2">
        <v>101.18</v>
      </c>
      <c r="DI79" s="2">
        <v>100.18</v>
      </c>
      <c r="DJ79" s="2">
        <v>100.29</v>
      </c>
      <c r="GL79" s="2">
        <v>-1.4</v>
      </c>
      <c r="GM79" s="2">
        <v>-0.6</v>
      </c>
      <c r="GN79" s="2">
        <v>-0.1</v>
      </c>
      <c r="GO79" s="2">
        <v>1</v>
      </c>
      <c r="GP79" s="2">
        <v>-0.2</v>
      </c>
      <c r="GQ79" s="2">
        <v>-1</v>
      </c>
      <c r="GR79" s="2">
        <v>-0.7</v>
      </c>
      <c r="GS79" s="2">
        <v>-2.1</v>
      </c>
      <c r="GT79" s="2">
        <v>-2.4</v>
      </c>
      <c r="GU79" s="2">
        <v>0.6</v>
      </c>
      <c r="GV79" s="2">
        <v>-1.4</v>
      </c>
      <c r="GW79" s="2">
        <v>-0.6</v>
      </c>
      <c r="GX79" s="2">
        <v>0.7</v>
      </c>
      <c r="GY79" s="2">
        <v>0.7</v>
      </c>
      <c r="GZ79" s="2">
        <v>0.8</v>
      </c>
      <c r="HA79" s="2">
        <v>-0.2</v>
      </c>
      <c r="KC79" s="2">
        <v>0.6</v>
      </c>
      <c r="KD79" s="2">
        <v>-1.6</v>
      </c>
      <c r="KE79" s="2">
        <v>0</v>
      </c>
      <c r="KF79" s="2">
        <v>1</v>
      </c>
      <c r="KG79" s="2">
        <v>0.6</v>
      </c>
      <c r="KH79" s="2">
        <v>-0.6</v>
      </c>
      <c r="KI79" s="2">
        <v>0.9</v>
      </c>
      <c r="KJ79" s="2">
        <v>-0.8</v>
      </c>
      <c r="KK79" s="2">
        <v>-1.2</v>
      </c>
      <c r="KL79" s="2">
        <v>1.1</v>
      </c>
      <c r="KM79" s="2">
        <v>-0.5</v>
      </c>
      <c r="KN79" s="2">
        <v>-0.9</v>
      </c>
      <c r="KO79" s="2">
        <v>1.4</v>
      </c>
      <c r="KP79" s="2">
        <v>-1.1</v>
      </c>
      <c r="KQ79" s="2">
        <v>1.1</v>
      </c>
      <c r="KR79" s="2">
        <v>-0.3</v>
      </c>
      <c r="KS79" s="2">
        <v>-0.2</v>
      </c>
      <c r="KT79" s="2">
        <v>-0.3</v>
      </c>
      <c r="KU79" s="2">
        <v>-0.5</v>
      </c>
      <c r="KV79" s="2">
        <v>-1.1</v>
      </c>
      <c r="KW79" s="2">
        <v>1.8</v>
      </c>
      <c r="KX79" s="2">
        <v>-0.9</v>
      </c>
      <c r="KY79" s="2">
        <v>0.3</v>
      </c>
      <c r="KZ79" s="2">
        <v>0.4</v>
      </c>
      <c r="LA79" s="2">
        <v>1.4</v>
      </c>
      <c r="LB79" s="2">
        <v>-1</v>
      </c>
      <c r="LC79" s="2">
        <v>0.1</v>
      </c>
      <c r="LD79" s="2">
        <v>0.46</v>
      </c>
      <c r="LE79" s="2">
        <v>0.46</v>
      </c>
      <c r="LF79" s="2">
        <v>0.46</v>
      </c>
      <c r="LG79" s="2">
        <v>0.46</v>
      </c>
      <c r="LH79" s="2">
        <v>0.45</v>
      </c>
      <c r="LI79" s="2">
        <v>0.46</v>
      </c>
      <c r="LJ79" s="2">
        <v>0.46</v>
      </c>
      <c r="LK79" s="2">
        <v>0.46</v>
      </c>
      <c r="LL79" s="2">
        <v>0.46</v>
      </c>
      <c r="LM79" s="2">
        <v>0.46</v>
      </c>
      <c r="LN79" s="2">
        <v>0.46</v>
      </c>
      <c r="LO79" s="2">
        <v>0.45</v>
      </c>
      <c r="LP79" s="2">
        <v>0.45</v>
      </c>
      <c r="LQ79" s="2">
        <v>0.46</v>
      </c>
      <c r="LR79" s="2">
        <v>0.45</v>
      </c>
      <c r="LS79" s="2">
        <v>0.45</v>
      </c>
      <c r="LT79" s="2">
        <v>0.46</v>
      </c>
      <c r="LU79" s="2">
        <v>0.46</v>
      </c>
      <c r="LV79" s="2">
        <v>0.46</v>
      </c>
      <c r="LW79" s="2">
        <v>0.46</v>
      </c>
      <c r="LX79" s="2">
        <v>0</v>
      </c>
      <c r="LY79" s="2">
        <v>0</v>
      </c>
      <c r="LZ79" s="2">
        <v>0</v>
      </c>
      <c r="MA79" s="2">
        <v>-0.01</v>
      </c>
      <c r="MB79" s="2">
        <v>0.01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-0.01</v>
      </c>
      <c r="MI79" s="2">
        <v>0</v>
      </c>
      <c r="MJ79" s="2">
        <v>0.01</v>
      </c>
      <c r="MK79" s="2">
        <v>-0.01</v>
      </c>
      <c r="ML79" s="2">
        <v>0</v>
      </c>
      <c r="MM79" s="2">
        <v>0.01</v>
      </c>
      <c r="MN79" s="2">
        <v>0</v>
      </c>
      <c r="MO79" s="2">
        <v>0</v>
      </c>
      <c r="MP79" s="2">
        <v>0</v>
      </c>
      <c r="UH79" s="2">
        <v>105.2</v>
      </c>
      <c r="UI79" s="2">
        <v>106.26</v>
      </c>
      <c r="UJ79" s="2">
        <v>107.02</v>
      </c>
      <c r="UK79" s="2">
        <v>106.99</v>
      </c>
      <c r="UL79" s="2">
        <v>106.3</v>
      </c>
      <c r="UM79" s="2">
        <v>105.73</v>
      </c>
      <c r="UN79" s="2">
        <v>104.48</v>
      </c>
      <c r="UO79" s="2">
        <v>103.69</v>
      </c>
      <c r="UP79" s="2">
        <v>103.15</v>
      </c>
      <c r="UQ79" s="2">
        <v>101.3</v>
      </c>
      <c r="UR79" s="2">
        <v>100.1</v>
      </c>
      <c r="US79" s="2">
        <v>100.89</v>
      </c>
      <c r="UT79" s="2">
        <v>101.11</v>
      </c>
      <c r="UU79" s="2">
        <v>102.03</v>
      </c>
      <c r="UV79" s="2">
        <v>101.92</v>
      </c>
      <c r="UW79" s="2">
        <v>101.36</v>
      </c>
      <c r="UX79" s="2">
        <v>100.72</v>
      </c>
      <c r="UY79" s="2">
        <v>99.84999999999999</v>
      </c>
      <c r="UZ79" s="2">
        <v>99.23</v>
      </c>
      <c r="VA79" s="2">
        <v>98.51000000000001</v>
      </c>
      <c r="VB79" s="2">
        <v>98.26000000000001</v>
      </c>
      <c r="VC79" s="2">
        <v>97.98</v>
      </c>
      <c r="VD79" s="2">
        <v>96.61</v>
      </c>
      <c r="VE79" s="2">
        <v>96.31999999999999</v>
      </c>
      <c r="VF79" s="2">
        <v>95.33</v>
      </c>
      <c r="VG79" s="2">
        <v>95.5</v>
      </c>
      <c r="VH79" s="2">
        <v>94.70999999999999</v>
      </c>
      <c r="VI79" s="2">
        <v>94.31999999999999</v>
      </c>
      <c r="VJ79" s="2">
        <v>93.81</v>
      </c>
      <c r="VK79" s="2">
        <v>93.8</v>
      </c>
      <c r="VL79" s="2">
        <v>92.88</v>
      </c>
      <c r="VM79" s="2">
        <v>91.97</v>
      </c>
      <c r="VN79" s="2">
        <v>90.59</v>
      </c>
      <c r="VO79" s="2">
        <v>91.09</v>
      </c>
      <c r="VP79" s="2">
        <v>90.95</v>
      </c>
      <c r="VQ79" s="2">
        <v>90.58</v>
      </c>
      <c r="VR79" s="2">
        <v>90.39</v>
      </c>
      <c r="VS79" s="2">
        <v>90.77</v>
      </c>
      <c r="VT79" s="2">
        <v>90.5</v>
      </c>
      <c r="VU79" s="2">
        <v>90.76000000000001</v>
      </c>
      <c r="VV79" s="2">
        <v>90.29000000000001</v>
      </c>
      <c r="VW79" s="2">
        <v>89.84999999999999</v>
      </c>
      <c r="VX79" s="2">
        <v>91.03</v>
      </c>
      <c r="VY79" s="2">
        <v>93.33</v>
      </c>
      <c r="VZ79" s="2">
        <v>95.17</v>
      </c>
      <c r="WA79" s="2">
        <v>95.17</v>
      </c>
      <c r="WB79" s="2">
        <v>95.2</v>
      </c>
      <c r="WC79" s="2">
        <v>94.08</v>
      </c>
      <c r="WD79" s="2">
        <v>92.44</v>
      </c>
      <c r="WE79" s="2">
        <v>91.89</v>
      </c>
      <c r="WF79" s="2">
        <v>89.17</v>
      </c>
      <c r="WG79" s="2">
        <v>87.73999999999999</v>
      </c>
      <c r="WH79" s="2">
        <v>86.22</v>
      </c>
      <c r="WI79" s="2">
        <v>84.86</v>
      </c>
      <c r="WJ79" s="2">
        <v>84.91</v>
      </c>
      <c r="WK79" s="2">
        <v>84.39</v>
      </c>
      <c r="WL79" s="2">
        <v>84.34999999999999</v>
      </c>
      <c r="WM79" s="2">
        <v>84.5</v>
      </c>
      <c r="WN79" s="2">
        <v>82.92</v>
      </c>
      <c r="WO79" s="2">
        <v>83.23</v>
      </c>
      <c r="WP79" s="2">
        <v>82.42</v>
      </c>
      <c r="WQ79" s="2">
        <v>82.64</v>
      </c>
      <c r="WR79" s="2">
        <v>83.17</v>
      </c>
      <c r="WS79" s="2">
        <v>83.16</v>
      </c>
      <c r="WT79" s="2">
        <v>83.70999999999999</v>
      </c>
      <c r="WU79" s="2">
        <v>84.81</v>
      </c>
      <c r="WV79" s="2">
        <v>85.09999999999999</v>
      </c>
      <c r="WW79" s="2">
        <v>85.92</v>
      </c>
      <c r="WX79" s="2">
        <v>87.03</v>
      </c>
      <c r="WY79" s="2">
        <v>86.83</v>
      </c>
      <c r="WZ79" s="2">
        <v>88.34</v>
      </c>
      <c r="XA79" s="2">
        <v>88.78</v>
      </c>
      <c r="XB79" s="2">
        <v>88.14</v>
      </c>
      <c r="XC79" s="2">
        <v>87.95</v>
      </c>
      <c r="XD79" s="2">
        <v>87.7</v>
      </c>
      <c r="XE79" s="2">
        <v>88.16</v>
      </c>
      <c r="XF79" s="2">
        <v>87.53</v>
      </c>
      <c r="XG79" s="2">
        <v>87.98</v>
      </c>
      <c r="XH79" s="2">
        <v>87.27</v>
      </c>
      <c r="XI79" s="2">
        <v>88.7</v>
      </c>
      <c r="XJ79" s="2">
        <v>88.13</v>
      </c>
      <c r="XK79" s="2">
        <v>89.25</v>
      </c>
      <c r="XL79" s="2">
        <v>88.05</v>
      </c>
      <c r="XM79" s="2">
        <v>89.41</v>
      </c>
      <c r="XN79" s="2">
        <v>89.67</v>
      </c>
      <c r="XO79" s="2">
        <v>90.73999999999999</v>
      </c>
      <c r="XP79" s="2">
        <v>89.65000000000001</v>
      </c>
      <c r="XQ79" s="2">
        <v>91</v>
      </c>
      <c r="XR79" s="2">
        <v>91.5</v>
      </c>
      <c r="XS79" s="2">
        <v>91.86</v>
      </c>
      <c r="XT79" s="2">
        <v>91.5</v>
      </c>
      <c r="XU79" s="2">
        <v>92.59999999999999</v>
      </c>
      <c r="XV79" s="2">
        <v>93.14</v>
      </c>
      <c r="XW79" s="2">
        <v>92.92</v>
      </c>
      <c r="XX79" s="2">
        <v>93.75</v>
      </c>
      <c r="XY79" s="2">
        <v>95.62</v>
      </c>
      <c r="XZ79" s="2">
        <v>96.44</v>
      </c>
      <c r="YA79" s="2">
        <v>98.43000000000001</v>
      </c>
      <c r="YB79" s="2">
        <v>99.83</v>
      </c>
      <c r="YC79" s="2">
        <v>101.48</v>
      </c>
      <c r="YD79" s="2">
        <v>101.28</v>
      </c>
      <c r="YE79" s="2">
        <v>101.12</v>
      </c>
      <c r="YF79" s="2">
        <v>100.11</v>
      </c>
      <c r="YG79" s="2">
        <v>101.73</v>
      </c>
      <c r="YH79" s="2">
        <v>101.14</v>
      </c>
      <c r="YI79" s="2">
        <v>100.34</v>
      </c>
      <c r="YJ79" s="2">
        <v>101.54</v>
      </c>
      <c r="YK79" s="2">
        <v>100.7</v>
      </c>
      <c r="YL79" s="2">
        <v>100.44</v>
      </c>
      <c r="YM79" s="2">
        <v>100.22</v>
      </c>
      <c r="YN79" s="2">
        <v>99.03</v>
      </c>
      <c r="YO79" s="2">
        <v>99.41</v>
      </c>
      <c r="YP79" s="2">
        <v>100.37</v>
      </c>
      <c r="AGH79" s="2">
        <v>1</v>
      </c>
      <c r="AGI79" s="2">
        <v>0.7</v>
      </c>
      <c r="AGJ79" s="2">
        <v>0</v>
      </c>
      <c r="AGK79" s="2">
        <v>-0.6</v>
      </c>
      <c r="AGL79" s="2">
        <v>-0.5</v>
      </c>
      <c r="AGM79" s="2">
        <v>-1.2</v>
      </c>
      <c r="AGN79" s="2">
        <v>-0.8</v>
      </c>
      <c r="AGO79" s="2">
        <v>-0.5</v>
      </c>
      <c r="AGP79" s="2">
        <v>-1.8</v>
      </c>
      <c r="AGQ79" s="2">
        <v>-1.2</v>
      </c>
      <c r="AGR79" s="2">
        <v>0.8</v>
      </c>
      <c r="AGS79" s="2">
        <v>0.2</v>
      </c>
      <c r="AGT79" s="2">
        <v>0.9</v>
      </c>
      <c r="AGU79" s="2">
        <v>-0.1</v>
      </c>
      <c r="AGV79" s="2">
        <v>-0.5</v>
      </c>
      <c r="AGW79" s="2">
        <v>-0.6</v>
      </c>
      <c r="AGX79" s="2">
        <v>-0.9</v>
      </c>
      <c r="AGY79" s="2">
        <v>-0.6</v>
      </c>
      <c r="AGZ79" s="2">
        <v>-0.7</v>
      </c>
      <c r="AHA79" s="2">
        <v>-0.3</v>
      </c>
      <c r="AHB79" s="2">
        <v>-0.3</v>
      </c>
      <c r="AHC79" s="2">
        <v>-1.4</v>
      </c>
      <c r="AHD79" s="2">
        <v>-0.3</v>
      </c>
      <c r="AHE79" s="2">
        <v>-1</v>
      </c>
      <c r="AHF79" s="2">
        <v>0.2</v>
      </c>
      <c r="AHG79" s="2">
        <v>-0.8</v>
      </c>
      <c r="AHH79" s="2">
        <v>-0.4</v>
      </c>
      <c r="AHI79" s="2">
        <v>-0.5</v>
      </c>
      <c r="AHJ79" s="2">
        <v>0</v>
      </c>
      <c r="AHK79" s="2">
        <v>-1</v>
      </c>
      <c r="AHL79" s="2">
        <v>-1</v>
      </c>
      <c r="AHM79" s="2">
        <v>-1.5</v>
      </c>
      <c r="AHN79" s="2">
        <v>0.6</v>
      </c>
      <c r="AHO79" s="2">
        <v>-0.2</v>
      </c>
      <c r="AHP79" s="2">
        <v>-0.4</v>
      </c>
      <c r="AHQ79" s="2">
        <v>-0.2</v>
      </c>
      <c r="AHR79" s="2">
        <v>0.4</v>
      </c>
      <c r="AHS79" s="2">
        <v>-0.3</v>
      </c>
      <c r="AHT79" s="2">
        <v>0.3</v>
      </c>
      <c r="AHU79" s="2">
        <v>-0.5</v>
      </c>
      <c r="AHV79" s="2">
        <v>-0.5</v>
      </c>
      <c r="AHW79" s="2">
        <v>1.3</v>
      </c>
      <c r="AHX79" s="2">
        <v>2.5</v>
      </c>
      <c r="AHY79" s="2">
        <v>2</v>
      </c>
      <c r="AHZ79" s="2">
        <v>0</v>
      </c>
      <c r="AIA79" s="2">
        <v>0</v>
      </c>
      <c r="AIB79" s="2">
        <v>-1.2</v>
      </c>
      <c r="AIC79" s="2">
        <v>-1.7</v>
      </c>
      <c r="AID79" s="2">
        <v>-0.6</v>
      </c>
      <c r="AIE79" s="2">
        <v>-3</v>
      </c>
      <c r="AIF79" s="2">
        <v>-1.6</v>
      </c>
      <c r="AIG79" s="2">
        <v>-1.7</v>
      </c>
      <c r="AIH79" s="2">
        <v>-1.6</v>
      </c>
      <c r="AII79" s="2">
        <v>0.1</v>
      </c>
      <c r="AIJ79" s="2">
        <v>-0.6</v>
      </c>
      <c r="AIK79" s="2">
        <v>0</v>
      </c>
      <c r="AIL79" s="2">
        <v>0.2</v>
      </c>
      <c r="AIM79" s="2">
        <v>-1.9</v>
      </c>
      <c r="AIN79" s="2">
        <v>0.4</v>
      </c>
      <c r="AIO79" s="2">
        <v>-1</v>
      </c>
      <c r="AIP79" s="2">
        <v>0.3</v>
      </c>
      <c r="AIQ79" s="2">
        <v>0.6</v>
      </c>
      <c r="AIR79" s="2">
        <v>0</v>
      </c>
      <c r="AIS79" s="2">
        <v>0.7</v>
      </c>
      <c r="AIT79" s="2">
        <v>1.3</v>
      </c>
      <c r="AIU79" s="2">
        <v>0.3</v>
      </c>
      <c r="AIV79" s="2">
        <v>1</v>
      </c>
      <c r="AIW79" s="2">
        <v>1.3</v>
      </c>
      <c r="AIX79" s="2">
        <v>-0.2</v>
      </c>
      <c r="AIY79" s="2">
        <v>1.7</v>
      </c>
      <c r="AIZ79" s="2">
        <v>0.5</v>
      </c>
      <c r="AJA79" s="2">
        <v>-0.7</v>
      </c>
      <c r="AJB79" s="2">
        <v>-0.2</v>
      </c>
      <c r="AJC79" s="2">
        <v>-0.3</v>
      </c>
      <c r="AJD79" s="2">
        <v>0.5</v>
      </c>
      <c r="AJE79" s="2">
        <v>-0.7</v>
      </c>
      <c r="AJF79" s="2">
        <v>0.5</v>
      </c>
      <c r="AJG79" s="2">
        <v>-0.8</v>
      </c>
      <c r="AJH79" s="2">
        <v>1.6</v>
      </c>
      <c r="AJI79" s="2">
        <v>-0.6</v>
      </c>
      <c r="AJJ79" s="2">
        <v>1.3</v>
      </c>
      <c r="AJK79" s="2">
        <v>-1.3</v>
      </c>
      <c r="AJL79" s="2">
        <v>1.5</v>
      </c>
      <c r="AJM79" s="2">
        <v>0.3</v>
      </c>
      <c r="AJN79" s="2">
        <v>1.2</v>
      </c>
      <c r="AJO79" s="2">
        <v>-1.2</v>
      </c>
      <c r="AJP79" s="2">
        <v>1.5</v>
      </c>
      <c r="AJQ79" s="2">
        <v>0.5</v>
      </c>
      <c r="AJR79" s="2">
        <v>0.4</v>
      </c>
      <c r="AJS79" s="2">
        <v>-0.4</v>
      </c>
      <c r="AJT79" s="2">
        <v>1.2</v>
      </c>
      <c r="AJU79" s="2">
        <v>0.6</v>
      </c>
      <c r="AJV79" s="2">
        <v>-0.2</v>
      </c>
      <c r="AJW79" s="2">
        <v>0.9</v>
      </c>
      <c r="AJX79" s="2">
        <v>2</v>
      </c>
      <c r="AJY79" s="2">
        <v>0.9</v>
      </c>
      <c r="AJZ79" s="2">
        <v>2.1</v>
      </c>
      <c r="AKA79" s="2">
        <v>1.4</v>
      </c>
      <c r="AKB79" s="2">
        <v>1.7</v>
      </c>
      <c r="AKC79" s="2">
        <v>-0.2</v>
      </c>
      <c r="AKD79" s="2">
        <v>-0.2</v>
      </c>
      <c r="AKE79" s="2">
        <v>-1</v>
      </c>
      <c r="AKF79" s="2">
        <v>1.6</v>
      </c>
      <c r="AKG79" s="2">
        <v>-0.6</v>
      </c>
      <c r="AKH79" s="2">
        <v>-0.8</v>
      </c>
      <c r="AKI79" s="2">
        <v>1.2</v>
      </c>
      <c r="AKJ79" s="2">
        <v>-0.8</v>
      </c>
      <c r="AKK79" s="2">
        <v>-0.3</v>
      </c>
      <c r="AKL79" s="2">
        <v>-0.2</v>
      </c>
      <c r="AKM79" s="2">
        <v>-1.2</v>
      </c>
      <c r="AKN79" s="2">
        <v>0.4</v>
      </c>
      <c r="AKO79" s="2">
        <v>1</v>
      </c>
      <c r="AKP79" s="2">
        <v>0.45</v>
      </c>
      <c r="AKQ79" s="2">
        <v>0.46</v>
      </c>
      <c r="AKR79" s="2">
        <v>0.46</v>
      </c>
    </row>
    <row r="80">
      <c r="A80" t="inlineStr">
        <is>
          <t>Games, toys and hobbies</t>
        </is>
      </c>
      <c r="B80" t="inlineStr">
        <is>
          <t>Other recreation, sport and culture</t>
        </is>
      </c>
      <c r="C80">
        <v>3</v>
      </c>
      <c r="D80">
        <v>0.58</v>
      </c>
      <c r="E80" s="3">
        <f>D80/4.07*0.04076885496183206</f>
        <v>0.005809812255003093</v>
      </c>
      <c r="F80" s="3">
        <f>E80-D80/100</f>
        <v>9.81225500309383e-06</v>
      </c>
      <c r="G80" s="3">
        <f>D80/4.07</f>
        <v>0.1425061425061425</v>
      </c>
      <c r="CI80" s="2">
        <v>98.19</v>
      </c>
      <c r="CJ80" s="2">
        <v>97.78</v>
      </c>
      <c r="CK80" s="2">
        <v>97.06999999999999</v>
      </c>
      <c r="CL80" s="2">
        <v>94.59</v>
      </c>
      <c r="CM80" s="2">
        <v>98.06</v>
      </c>
      <c r="CN80" s="2">
        <v>99.87</v>
      </c>
      <c r="CO80" s="2">
        <v>98.09</v>
      </c>
      <c r="CP80" s="2">
        <v>100.99</v>
      </c>
      <c r="CQ80" s="2">
        <v>94.20999999999999</v>
      </c>
      <c r="CR80" s="2">
        <v>102.13</v>
      </c>
      <c r="CS80" s="2">
        <v>101.21</v>
      </c>
      <c r="CT80" s="2">
        <v>99.04000000000001</v>
      </c>
      <c r="CU80" s="2">
        <v>97.51000000000001</v>
      </c>
      <c r="CV80" s="2">
        <v>100.98</v>
      </c>
      <c r="CW80" s="2">
        <v>98.81999999999999</v>
      </c>
      <c r="CX80" s="2">
        <v>96.77</v>
      </c>
      <c r="CY80" s="2">
        <v>97.40000000000001</v>
      </c>
      <c r="CZ80" s="2">
        <v>100</v>
      </c>
      <c r="DA80" s="2">
        <v>101.17</v>
      </c>
      <c r="DB80" s="2">
        <v>100.26</v>
      </c>
      <c r="DC80" s="2">
        <v>99.23999999999999</v>
      </c>
      <c r="DD80" s="2">
        <v>104.85</v>
      </c>
      <c r="DE80" s="2">
        <v>103.9</v>
      </c>
      <c r="DF80" s="2">
        <v>105.96</v>
      </c>
      <c r="DG80" s="2">
        <v>103.83</v>
      </c>
      <c r="DH80" s="2">
        <v>103.56</v>
      </c>
      <c r="DI80" s="2">
        <v>101.81</v>
      </c>
      <c r="DJ80" s="2">
        <v>99.55</v>
      </c>
      <c r="GL80" s="2">
        <v>-0.7</v>
      </c>
      <c r="GM80" s="2">
        <v>3.3</v>
      </c>
      <c r="GN80" s="2">
        <v>1.8</v>
      </c>
      <c r="GO80" s="2">
        <v>2.3</v>
      </c>
      <c r="GP80" s="2">
        <v>-0.7</v>
      </c>
      <c r="GQ80" s="2">
        <v>0.1</v>
      </c>
      <c r="GR80" s="2">
        <v>3.1</v>
      </c>
      <c r="GS80" s="2">
        <v>-0.7</v>
      </c>
      <c r="GT80" s="2">
        <v>5.3</v>
      </c>
      <c r="GU80" s="2">
        <v>2.7</v>
      </c>
      <c r="GV80" s="2">
        <v>2.7</v>
      </c>
      <c r="GW80" s="2">
        <v>7</v>
      </c>
      <c r="GX80" s="2">
        <v>6.5</v>
      </c>
      <c r="GY80" s="2">
        <v>2.6</v>
      </c>
      <c r="GZ80" s="2">
        <v>3</v>
      </c>
      <c r="HA80" s="2">
        <v>2.9</v>
      </c>
      <c r="KC80" s="2">
        <v>-0.4</v>
      </c>
      <c r="KD80" s="2">
        <v>-0.7</v>
      </c>
      <c r="KE80" s="2">
        <v>-2.6</v>
      </c>
      <c r="KF80" s="2">
        <v>3.7</v>
      </c>
      <c r="KG80" s="2">
        <v>1.8</v>
      </c>
      <c r="KH80" s="2">
        <v>-1.8</v>
      </c>
      <c r="KI80" s="2">
        <v>3</v>
      </c>
      <c r="KJ80" s="2">
        <v>-6.7</v>
      </c>
      <c r="KK80" s="2">
        <v>8.4</v>
      </c>
      <c r="KL80" s="2">
        <v>-0.9</v>
      </c>
      <c r="KM80" s="2">
        <v>-2.1</v>
      </c>
      <c r="KN80" s="2">
        <v>-1.5</v>
      </c>
      <c r="KO80" s="2">
        <v>3.6</v>
      </c>
      <c r="KP80" s="2">
        <v>-2.1</v>
      </c>
      <c r="KQ80" s="2">
        <v>-2.1</v>
      </c>
      <c r="KR80" s="2">
        <v>0.7</v>
      </c>
      <c r="KS80" s="2">
        <v>2.7</v>
      </c>
      <c r="KT80" s="2">
        <v>1.2</v>
      </c>
      <c r="KU80" s="2">
        <v>-0.9</v>
      </c>
      <c r="KV80" s="2">
        <v>-1</v>
      </c>
      <c r="KW80" s="2">
        <v>5.7</v>
      </c>
      <c r="KX80" s="2">
        <v>-0.9</v>
      </c>
      <c r="KY80" s="2">
        <v>2</v>
      </c>
      <c r="KZ80" s="2">
        <v>-2</v>
      </c>
      <c r="LA80" s="2">
        <v>-0.3</v>
      </c>
      <c r="LB80" s="2">
        <v>-1.7</v>
      </c>
      <c r="LC80" s="2">
        <v>-2.2</v>
      </c>
      <c r="LD80" s="2">
        <v>0.57</v>
      </c>
      <c r="LE80" s="2">
        <v>0.62</v>
      </c>
      <c r="LF80" s="2">
        <v>0.61</v>
      </c>
      <c r="LG80" s="2">
        <v>0.6</v>
      </c>
      <c r="LH80" s="2">
        <v>0.59</v>
      </c>
      <c r="LI80" s="2">
        <v>0.61</v>
      </c>
      <c r="LJ80" s="2">
        <v>0.6</v>
      </c>
      <c r="LK80" s="2">
        <v>0.58</v>
      </c>
      <c r="LL80" s="2">
        <v>0.59</v>
      </c>
      <c r="LM80" s="2">
        <v>0.6</v>
      </c>
      <c r="LN80" s="2">
        <v>0.61</v>
      </c>
      <c r="LO80" s="2">
        <v>0.61</v>
      </c>
      <c r="LP80" s="2">
        <v>0.6</v>
      </c>
      <c r="LQ80" s="2">
        <v>0.63</v>
      </c>
      <c r="LR80" s="2">
        <v>0.63</v>
      </c>
      <c r="LS80" s="2">
        <v>0.64</v>
      </c>
      <c r="LT80" s="2">
        <v>0.63</v>
      </c>
      <c r="LU80" s="2">
        <v>0.63</v>
      </c>
      <c r="LV80" s="2">
        <v>0.62</v>
      </c>
      <c r="LW80" s="2">
        <v>0.6</v>
      </c>
      <c r="LX80" s="2">
        <v>0.05</v>
      </c>
      <c r="LY80" s="2">
        <v>-0.01</v>
      </c>
      <c r="LZ80" s="2">
        <v>-0.01</v>
      </c>
      <c r="MA80" s="2">
        <v>-0.01</v>
      </c>
      <c r="MB80" s="2">
        <v>0.02</v>
      </c>
      <c r="MC80" s="2">
        <v>-0.01</v>
      </c>
      <c r="MD80" s="2">
        <v>-0.02</v>
      </c>
      <c r="ME80" s="2">
        <v>0.01</v>
      </c>
      <c r="MF80" s="2">
        <v>0.01</v>
      </c>
      <c r="MG80" s="2">
        <v>0.01</v>
      </c>
      <c r="MH80" s="2">
        <v>0</v>
      </c>
      <c r="MI80" s="2">
        <v>-0.01</v>
      </c>
      <c r="MJ80" s="2">
        <v>0.03</v>
      </c>
      <c r="MK80" s="2">
        <v>0</v>
      </c>
      <c r="ML80" s="2">
        <v>0.01</v>
      </c>
      <c r="MM80" s="2">
        <v>-0.01</v>
      </c>
      <c r="MN80" s="2">
        <v>0</v>
      </c>
      <c r="MO80" s="2">
        <v>-0.01</v>
      </c>
      <c r="MP80" s="2">
        <v>-0.02</v>
      </c>
      <c r="UH80" s="2">
        <v>130.4</v>
      </c>
      <c r="UI80" s="2">
        <v>129.85</v>
      </c>
      <c r="UJ80" s="2">
        <v>127.51</v>
      </c>
      <c r="UK80" s="2">
        <v>130.16</v>
      </c>
      <c r="UL80" s="2">
        <v>130.68</v>
      </c>
      <c r="UM80" s="2">
        <v>129.21</v>
      </c>
      <c r="UN80" s="2">
        <v>123.58</v>
      </c>
      <c r="UO80" s="2">
        <v>127.58</v>
      </c>
      <c r="UP80" s="2">
        <v>126.95</v>
      </c>
      <c r="UQ80" s="2">
        <v>121.06</v>
      </c>
      <c r="UR80" s="2">
        <v>120.63</v>
      </c>
      <c r="US80" s="2">
        <v>126.55</v>
      </c>
      <c r="UT80" s="2">
        <v>129.07</v>
      </c>
      <c r="UU80" s="2">
        <v>126.55</v>
      </c>
      <c r="UV80" s="2">
        <v>126.11</v>
      </c>
      <c r="UW80" s="2">
        <v>131.55</v>
      </c>
      <c r="UX80" s="2">
        <v>132.43</v>
      </c>
      <c r="UY80" s="2">
        <v>130.66</v>
      </c>
      <c r="UZ80" s="2">
        <v>126.43</v>
      </c>
      <c r="VA80" s="2">
        <v>129.8</v>
      </c>
      <c r="VB80" s="2">
        <v>130.12</v>
      </c>
      <c r="VC80" s="2">
        <v>127.27</v>
      </c>
      <c r="VD80" s="2">
        <v>122.95</v>
      </c>
      <c r="VE80" s="2">
        <v>127.75</v>
      </c>
      <c r="VF80" s="2">
        <v>128.53</v>
      </c>
      <c r="VG80" s="2">
        <v>128.76</v>
      </c>
      <c r="VH80" s="2">
        <v>124.74</v>
      </c>
      <c r="VI80" s="2">
        <v>127.71</v>
      </c>
      <c r="VJ80" s="2">
        <v>127.61</v>
      </c>
      <c r="VK80" s="2">
        <v>127.34</v>
      </c>
      <c r="VL80" s="2">
        <v>125.93</v>
      </c>
      <c r="VM80" s="2">
        <v>125.47</v>
      </c>
      <c r="VN80" s="2">
        <v>125.17</v>
      </c>
      <c r="VO80" s="2">
        <v>124.47</v>
      </c>
      <c r="VP80" s="2">
        <v>123.31</v>
      </c>
      <c r="VQ80" s="2">
        <v>123.27</v>
      </c>
      <c r="VR80" s="2">
        <v>124.54</v>
      </c>
      <c r="VS80" s="2">
        <v>123.98</v>
      </c>
      <c r="VT80" s="2">
        <v>122.29</v>
      </c>
      <c r="VU80" s="2">
        <v>124.07</v>
      </c>
      <c r="VV80" s="2">
        <v>122.87</v>
      </c>
      <c r="VW80" s="2">
        <v>123.25</v>
      </c>
      <c r="VX80" s="2">
        <v>122.52</v>
      </c>
      <c r="VY80" s="2">
        <v>123.77</v>
      </c>
      <c r="VZ80" s="2">
        <v>124.17</v>
      </c>
      <c r="WA80" s="2">
        <v>124.72</v>
      </c>
      <c r="WB80" s="2">
        <v>124.07</v>
      </c>
      <c r="WC80" s="2">
        <v>123.97</v>
      </c>
      <c r="WD80" s="2">
        <v>123.7</v>
      </c>
      <c r="WE80" s="2">
        <v>123</v>
      </c>
      <c r="WF80" s="2">
        <v>122.72</v>
      </c>
      <c r="WG80" s="2">
        <v>122.37</v>
      </c>
      <c r="WH80" s="2">
        <v>121.63</v>
      </c>
      <c r="WI80" s="2">
        <v>120.41</v>
      </c>
      <c r="WJ80" s="2">
        <v>117.15</v>
      </c>
      <c r="WK80" s="2">
        <v>115.98</v>
      </c>
      <c r="WL80" s="2">
        <v>114.32</v>
      </c>
      <c r="WM80" s="2">
        <v>112.6</v>
      </c>
      <c r="WN80" s="2">
        <v>111.76</v>
      </c>
      <c r="WO80" s="2">
        <v>111.12</v>
      </c>
      <c r="WP80" s="2">
        <v>111.5</v>
      </c>
      <c r="WQ80" s="2">
        <v>109.5</v>
      </c>
      <c r="WR80" s="2">
        <v>109.98</v>
      </c>
      <c r="WS80" s="2">
        <v>112.2</v>
      </c>
      <c r="WT80" s="2">
        <v>112.05</v>
      </c>
      <c r="WU80" s="2">
        <v>110.7</v>
      </c>
      <c r="WV80" s="2">
        <v>109.13</v>
      </c>
      <c r="WW80" s="2">
        <v>108.64</v>
      </c>
      <c r="WX80" s="2">
        <v>108.23</v>
      </c>
      <c r="WY80" s="2">
        <v>107.29</v>
      </c>
      <c r="WZ80" s="2">
        <v>106.9</v>
      </c>
      <c r="XA80" s="2">
        <v>104.7</v>
      </c>
      <c r="XB80" s="2">
        <v>103.05</v>
      </c>
      <c r="XC80" s="2">
        <v>103.92</v>
      </c>
      <c r="XD80" s="2">
        <v>103.75</v>
      </c>
      <c r="XE80" s="2">
        <v>105.46</v>
      </c>
      <c r="XF80" s="2">
        <v>104.22</v>
      </c>
      <c r="XG80" s="2">
        <v>101.95</v>
      </c>
      <c r="XH80" s="2">
        <v>102.05</v>
      </c>
      <c r="XI80" s="2">
        <v>100.83</v>
      </c>
      <c r="XJ80" s="2">
        <v>101</v>
      </c>
      <c r="XK80" s="2">
        <v>98.12</v>
      </c>
      <c r="XL80" s="2">
        <v>99.23</v>
      </c>
      <c r="XM80" s="2">
        <v>100.99</v>
      </c>
      <c r="XN80" s="2">
        <v>100.36</v>
      </c>
      <c r="XO80" s="2">
        <v>97.15000000000001</v>
      </c>
      <c r="XP80" s="2">
        <v>96.64</v>
      </c>
      <c r="XQ80" s="2">
        <v>97.70999999999999</v>
      </c>
      <c r="XR80" s="2">
        <v>97.01000000000001</v>
      </c>
      <c r="XS80" s="2">
        <v>97.77</v>
      </c>
      <c r="XT80" s="2">
        <v>99.44</v>
      </c>
      <c r="XU80" s="2">
        <v>99.09</v>
      </c>
      <c r="XV80" s="2">
        <v>98.09</v>
      </c>
      <c r="XW80" s="2">
        <v>99.51000000000001</v>
      </c>
      <c r="XX80" s="2">
        <v>98.39</v>
      </c>
      <c r="XY80" s="2">
        <v>100.36</v>
      </c>
      <c r="XZ80" s="2">
        <v>100.75</v>
      </c>
      <c r="YA80" s="2">
        <v>96.19</v>
      </c>
      <c r="YB80" s="2">
        <v>103.77</v>
      </c>
      <c r="YC80" s="2">
        <v>104.39</v>
      </c>
      <c r="YD80" s="2">
        <v>104.22</v>
      </c>
      <c r="YE80" s="2">
        <v>103.89</v>
      </c>
      <c r="YF80" s="2">
        <v>101.4</v>
      </c>
      <c r="YG80" s="2">
        <v>102.65</v>
      </c>
      <c r="YH80" s="2">
        <v>98.19</v>
      </c>
      <c r="YI80" s="2">
        <v>98.33</v>
      </c>
      <c r="YJ80" s="2">
        <v>101.09</v>
      </c>
      <c r="YK80" s="2">
        <v>101.74</v>
      </c>
      <c r="YL80" s="2">
        <v>101.46</v>
      </c>
      <c r="YM80" s="2">
        <v>98.06</v>
      </c>
      <c r="YN80" s="2">
        <v>100.23</v>
      </c>
      <c r="YO80" s="2">
        <v>104.9</v>
      </c>
      <c r="YP80" s="2">
        <v>103.07</v>
      </c>
      <c r="AGH80" s="2">
        <v>-0.4</v>
      </c>
      <c r="AGI80" s="2">
        <v>-1.8</v>
      </c>
      <c r="AGJ80" s="2">
        <v>2.1</v>
      </c>
      <c r="AGK80" s="2">
        <v>0.4</v>
      </c>
      <c r="AGL80" s="2">
        <v>-1.1</v>
      </c>
      <c r="AGM80" s="2">
        <v>-4.4</v>
      </c>
      <c r="AGN80" s="2">
        <v>3.2</v>
      </c>
      <c r="AGO80" s="2">
        <v>-0.5</v>
      </c>
      <c r="AGP80" s="2">
        <v>-4.6</v>
      </c>
      <c r="AGQ80" s="2">
        <v>-0.4</v>
      </c>
      <c r="AGR80" s="2">
        <v>4.9</v>
      </c>
      <c r="AGS80" s="2">
        <v>2</v>
      </c>
      <c r="AGT80" s="2">
        <v>-2</v>
      </c>
      <c r="AGU80" s="2">
        <v>-0.3</v>
      </c>
      <c r="AGV80" s="2">
        <v>4.3</v>
      </c>
      <c r="AGW80" s="2">
        <v>0.7</v>
      </c>
      <c r="AGX80" s="2">
        <v>-1.3</v>
      </c>
      <c r="AGY80" s="2">
        <v>-3.2</v>
      </c>
      <c r="AGZ80" s="2">
        <v>2.7</v>
      </c>
      <c r="AHA80" s="2">
        <v>0.2</v>
      </c>
      <c r="AHB80" s="2">
        <v>-2.2</v>
      </c>
      <c r="AHC80" s="2">
        <v>-3.4</v>
      </c>
      <c r="AHD80" s="2">
        <v>3.9</v>
      </c>
      <c r="AHE80" s="2">
        <v>0.6</v>
      </c>
      <c r="AHF80" s="2">
        <v>0.2</v>
      </c>
      <c r="AHG80" s="2">
        <v>-3.1</v>
      </c>
      <c r="AHH80" s="2">
        <v>2.4</v>
      </c>
      <c r="AHI80" s="2">
        <v>-0.1</v>
      </c>
      <c r="AHJ80" s="2">
        <v>-0.2</v>
      </c>
      <c r="AHK80" s="2">
        <v>-1.1</v>
      </c>
      <c r="AHL80" s="2">
        <v>-0.4</v>
      </c>
      <c r="AHM80" s="2">
        <v>-0.2</v>
      </c>
      <c r="AHN80" s="2">
        <v>-0.6</v>
      </c>
      <c r="AHO80" s="2">
        <v>-0.9</v>
      </c>
      <c r="AHP80" s="2">
        <v>0</v>
      </c>
      <c r="AHQ80" s="2">
        <v>1</v>
      </c>
      <c r="AHR80" s="2">
        <v>-0.4</v>
      </c>
      <c r="AHS80" s="2">
        <v>-1.4</v>
      </c>
      <c r="AHT80" s="2">
        <v>1.5</v>
      </c>
      <c r="AHU80" s="2">
        <v>-1</v>
      </c>
      <c r="AHV80" s="2">
        <v>0.3</v>
      </c>
      <c r="AHW80" s="2">
        <v>-0.6</v>
      </c>
      <c r="AHX80" s="2">
        <v>1</v>
      </c>
      <c r="AHY80" s="2">
        <v>0.3</v>
      </c>
      <c r="AHZ80" s="2">
        <v>0.4</v>
      </c>
      <c r="AIA80" s="2">
        <v>-0.5</v>
      </c>
      <c r="AIB80" s="2">
        <v>-0.1</v>
      </c>
      <c r="AIC80" s="2">
        <v>-0.2</v>
      </c>
      <c r="AID80" s="2">
        <v>-0.6</v>
      </c>
      <c r="AIE80" s="2">
        <v>-0.2</v>
      </c>
      <c r="AIF80" s="2">
        <v>-0.3</v>
      </c>
      <c r="AIG80" s="2">
        <v>-0.6</v>
      </c>
      <c r="AIH80" s="2">
        <v>-1</v>
      </c>
      <c r="AII80" s="2">
        <v>-2.7</v>
      </c>
      <c r="AIJ80" s="2">
        <v>-1</v>
      </c>
      <c r="AIK80" s="2">
        <v>-1.4</v>
      </c>
      <c r="AIL80" s="2">
        <v>-1.5</v>
      </c>
      <c r="AIM80" s="2">
        <v>-0.7</v>
      </c>
      <c r="AIN80" s="2">
        <v>-0.6</v>
      </c>
      <c r="AIO80" s="2">
        <v>0.3</v>
      </c>
      <c r="AIP80" s="2">
        <v>-1.8</v>
      </c>
      <c r="AIQ80" s="2">
        <v>0.4</v>
      </c>
      <c r="AIR80" s="2">
        <v>2</v>
      </c>
      <c r="AIS80" s="2">
        <v>-0.1</v>
      </c>
      <c r="AIT80" s="2">
        <v>-1.2</v>
      </c>
      <c r="AIU80" s="2">
        <v>-1.4</v>
      </c>
      <c r="AIV80" s="2">
        <v>-0.4</v>
      </c>
      <c r="AIW80" s="2">
        <v>-0.4</v>
      </c>
      <c r="AIX80" s="2">
        <v>-0.9</v>
      </c>
      <c r="AIY80" s="2">
        <v>-0.4</v>
      </c>
      <c r="AIZ80" s="2">
        <v>-2.1</v>
      </c>
      <c r="AJA80" s="2">
        <v>-1.6</v>
      </c>
      <c r="AJB80" s="2">
        <v>0.8</v>
      </c>
      <c r="AJC80" s="2">
        <v>-0.2</v>
      </c>
      <c r="AJD80" s="2">
        <v>1.6</v>
      </c>
      <c r="AJE80" s="2">
        <v>-1.2</v>
      </c>
      <c r="AJF80" s="2">
        <v>-2.2</v>
      </c>
      <c r="AJG80" s="2">
        <v>0.1</v>
      </c>
      <c r="AJH80" s="2">
        <v>-1.2</v>
      </c>
      <c r="AJI80" s="2">
        <v>0.2</v>
      </c>
      <c r="AJJ80" s="2">
        <v>-2.9</v>
      </c>
      <c r="AJK80" s="2">
        <v>1.1</v>
      </c>
      <c r="AJL80" s="2">
        <v>1.8</v>
      </c>
      <c r="AJM80" s="2">
        <v>-0.6</v>
      </c>
      <c r="AJN80" s="2">
        <v>-3.2</v>
      </c>
      <c r="AJO80" s="2">
        <v>-0.5</v>
      </c>
      <c r="AJP80" s="2">
        <v>1.1</v>
      </c>
      <c r="AJQ80" s="2">
        <v>-0.7</v>
      </c>
      <c r="AJR80" s="2">
        <v>0.8</v>
      </c>
      <c r="AJS80" s="2">
        <v>1.7</v>
      </c>
      <c r="AJT80" s="2">
        <v>-0.4</v>
      </c>
      <c r="AJU80" s="2">
        <v>-1</v>
      </c>
      <c r="AJV80" s="2">
        <v>1.4</v>
      </c>
      <c r="AJW80" s="2">
        <v>-1.1</v>
      </c>
      <c r="AJX80" s="2">
        <v>2</v>
      </c>
      <c r="AJY80" s="2">
        <v>0.4</v>
      </c>
      <c r="AJZ80" s="2">
        <v>-4.5</v>
      </c>
      <c r="AKA80" s="2">
        <v>7.9</v>
      </c>
      <c r="AKB80" s="2">
        <v>0.6</v>
      </c>
      <c r="AKC80" s="2">
        <v>-0.2</v>
      </c>
      <c r="AKD80" s="2">
        <v>-0.3</v>
      </c>
      <c r="AKE80" s="2">
        <v>-2.4</v>
      </c>
      <c r="AKF80" s="2">
        <v>1.2</v>
      </c>
      <c r="AKG80" s="2">
        <v>-4.3</v>
      </c>
      <c r="AKH80" s="2">
        <v>0.1</v>
      </c>
      <c r="AKI80" s="2">
        <v>2.8</v>
      </c>
      <c r="AKJ80" s="2">
        <v>0.6</v>
      </c>
      <c r="AKK80" s="2">
        <v>-0.3</v>
      </c>
      <c r="AKL80" s="2">
        <v>-3.4</v>
      </c>
      <c r="AKM80" s="2">
        <v>2.2</v>
      </c>
      <c r="AKN80" s="2">
        <v>4.7</v>
      </c>
      <c r="AKO80" s="2">
        <v>-1.7</v>
      </c>
      <c r="AKP80" s="2">
        <v>0.61</v>
      </c>
      <c r="AKQ80" s="2">
        <v>0.63</v>
      </c>
      <c r="AKR80" s="2">
        <v>0.62</v>
      </c>
    </row>
    <row r="81">
      <c r="A81" t="inlineStr">
        <is>
          <t>Pets and related products</t>
        </is>
      </c>
      <c r="B81" t="inlineStr">
        <is>
          <t>Other recreation, sport and culture</t>
        </is>
      </c>
      <c r="C81">
        <v>3</v>
      </c>
      <c r="D81">
        <v>0.51</v>
      </c>
      <c r="E81" s="3">
        <f>D81/4.07*0.04076885496183206</f>
        <v>0.005108628017330306</v>
      </c>
      <c r="F81" s="3">
        <f>E81-D81/100</f>
        <v>8.628017330305701e-06</v>
      </c>
      <c r="G81" s="3">
        <f>D81/4.07</f>
        <v>0.1253071253071253</v>
      </c>
      <c r="H81" s="2">
        <v>73.91</v>
      </c>
      <c r="I81" s="2">
        <v>72.84999999999999</v>
      </c>
      <c r="J81" s="2">
        <v>73.42</v>
      </c>
      <c r="K81" s="2">
        <v>73.26000000000001</v>
      </c>
      <c r="L81" s="2">
        <v>73.72</v>
      </c>
      <c r="M81" s="2">
        <v>72.79000000000001</v>
      </c>
      <c r="N81" s="2">
        <v>72.61</v>
      </c>
      <c r="O81" s="2">
        <v>73.03</v>
      </c>
      <c r="P81" s="2">
        <v>73.14</v>
      </c>
      <c r="Q81" s="2">
        <v>72.3</v>
      </c>
      <c r="R81" s="2">
        <v>72.70999999999999</v>
      </c>
      <c r="S81" s="2">
        <v>72.75</v>
      </c>
      <c r="T81" s="2">
        <v>73.18000000000001</v>
      </c>
      <c r="U81" s="2">
        <v>72.12</v>
      </c>
      <c r="V81" s="2">
        <v>74.17</v>
      </c>
      <c r="W81" s="2">
        <v>74.14</v>
      </c>
      <c r="X81" s="2">
        <v>74.98999999999999</v>
      </c>
      <c r="Y81" s="2">
        <v>73.56</v>
      </c>
      <c r="Z81" s="2">
        <v>75.73999999999999</v>
      </c>
      <c r="AA81" s="2">
        <v>77.53</v>
      </c>
      <c r="AB81" s="2">
        <v>77.69</v>
      </c>
      <c r="AC81" s="2">
        <v>76.88</v>
      </c>
      <c r="AD81" s="2">
        <v>78.52</v>
      </c>
      <c r="AE81" s="2">
        <v>77.98999999999999</v>
      </c>
      <c r="AF81" s="2">
        <v>77.59</v>
      </c>
      <c r="AG81" s="2">
        <v>77.59</v>
      </c>
      <c r="AH81" s="2">
        <v>78.09999999999999</v>
      </c>
      <c r="AI81" s="2">
        <v>78.54000000000001</v>
      </c>
      <c r="AJ81" s="2">
        <v>80.11</v>
      </c>
      <c r="AK81" s="2">
        <v>78.68000000000001</v>
      </c>
      <c r="AL81" s="2">
        <v>80.37</v>
      </c>
      <c r="AM81" s="2">
        <v>82.17</v>
      </c>
      <c r="AN81" s="2">
        <v>80.2</v>
      </c>
      <c r="AO81" s="2">
        <v>80.22</v>
      </c>
      <c r="AP81" s="2">
        <v>80.19</v>
      </c>
      <c r="AQ81" s="2">
        <v>80.23</v>
      </c>
      <c r="AR81" s="2">
        <v>80.58</v>
      </c>
      <c r="AS81" s="2">
        <v>80</v>
      </c>
      <c r="AT81" s="2">
        <v>80.76000000000001</v>
      </c>
      <c r="AU81" s="2">
        <v>81.14</v>
      </c>
      <c r="AV81" s="2">
        <v>81.87</v>
      </c>
      <c r="AW81" s="2">
        <v>80.84</v>
      </c>
      <c r="AX81" s="2">
        <v>81.09999999999999</v>
      </c>
      <c r="AY81" s="2">
        <v>80.97</v>
      </c>
      <c r="AZ81" s="2">
        <v>80.95999999999999</v>
      </c>
      <c r="BA81" s="2">
        <v>81.09999999999999</v>
      </c>
      <c r="BB81" s="2">
        <v>81.41</v>
      </c>
      <c r="BC81" s="2">
        <v>80.88</v>
      </c>
      <c r="BD81" s="2">
        <v>81.13</v>
      </c>
      <c r="BE81" s="2">
        <v>80.16</v>
      </c>
      <c r="BF81" s="2">
        <v>80.84999999999999</v>
      </c>
      <c r="BG81" s="2">
        <v>83.09</v>
      </c>
      <c r="BH81" s="2">
        <v>84.91</v>
      </c>
      <c r="BI81" s="2">
        <v>85.01000000000001</v>
      </c>
      <c r="BJ81" s="2">
        <v>89.97</v>
      </c>
      <c r="BK81" s="2">
        <v>91.23</v>
      </c>
      <c r="BL81" s="2">
        <v>90.11</v>
      </c>
      <c r="BM81" s="2">
        <v>91.73999999999999</v>
      </c>
      <c r="BN81" s="2">
        <v>92.02</v>
      </c>
      <c r="BO81" s="2">
        <v>92.38</v>
      </c>
      <c r="BP81" s="2">
        <v>94.01000000000001</v>
      </c>
      <c r="BQ81" s="2">
        <v>95.18000000000001</v>
      </c>
      <c r="BR81" s="2">
        <v>97.76000000000001</v>
      </c>
      <c r="BS81" s="2">
        <v>99.26000000000001</v>
      </c>
      <c r="BT81" s="2">
        <v>99.8</v>
      </c>
      <c r="BU81" s="2">
        <v>99.26000000000001</v>
      </c>
      <c r="BV81" s="2">
        <v>100.03</v>
      </c>
      <c r="BW81" s="2">
        <v>99.15000000000001</v>
      </c>
      <c r="BX81" s="2">
        <v>98.56999999999999</v>
      </c>
      <c r="BY81" s="2">
        <v>101.78</v>
      </c>
      <c r="BZ81" s="2">
        <v>101.78</v>
      </c>
      <c r="CA81" s="2">
        <v>100.37</v>
      </c>
      <c r="CB81" s="2">
        <v>100.22</v>
      </c>
      <c r="CC81" s="2">
        <v>99.01000000000001</v>
      </c>
      <c r="CD81" s="2">
        <v>99.79000000000001</v>
      </c>
      <c r="CE81" s="2">
        <v>101.52</v>
      </c>
      <c r="CF81" s="2">
        <v>102.41</v>
      </c>
      <c r="CG81" s="2">
        <v>101.12</v>
      </c>
      <c r="CH81" s="2">
        <v>101.67</v>
      </c>
      <c r="CI81" s="2">
        <v>100.6</v>
      </c>
      <c r="CJ81" s="2">
        <v>100.03</v>
      </c>
      <c r="CK81" s="2">
        <v>102.18</v>
      </c>
      <c r="CL81" s="2">
        <v>102.89</v>
      </c>
      <c r="CM81" s="2">
        <v>102.26</v>
      </c>
      <c r="CN81" s="2">
        <v>101.53</v>
      </c>
      <c r="CO81" s="2">
        <v>97.43000000000001</v>
      </c>
      <c r="CP81" s="2">
        <v>99.48999999999999</v>
      </c>
      <c r="CQ81" s="2">
        <v>101.18</v>
      </c>
      <c r="CR81" s="2">
        <v>102.56</v>
      </c>
      <c r="CS81" s="2">
        <v>100.84</v>
      </c>
      <c r="CT81" s="2">
        <v>100.88</v>
      </c>
      <c r="CU81" s="2">
        <v>101.41</v>
      </c>
      <c r="CV81" s="2">
        <v>99.94</v>
      </c>
      <c r="CW81" s="2">
        <v>101.06</v>
      </c>
      <c r="CX81" s="2">
        <v>100.66</v>
      </c>
      <c r="CY81" s="2">
        <v>100.53</v>
      </c>
      <c r="CZ81" s="2">
        <v>100</v>
      </c>
      <c r="DA81" s="2">
        <v>99.78</v>
      </c>
      <c r="DB81" s="2">
        <v>101.93</v>
      </c>
      <c r="DC81" s="2">
        <v>102.81</v>
      </c>
      <c r="DD81" s="2">
        <v>102.5</v>
      </c>
      <c r="DE81" s="2">
        <v>100.51</v>
      </c>
      <c r="DF81" s="2">
        <v>100.12</v>
      </c>
      <c r="DG81" s="2">
        <v>99.59999999999999</v>
      </c>
      <c r="DH81" s="2">
        <v>99.75</v>
      </c>
      <c r="DI81" s="2">
        <v>100.49</v>
      </c>
      <c r="DJ81" s="2">
        <v>100.2</v>
      </c>
      <c r="DK81" s="2">
        <v>-1</v>
      </c>
      <c r="DL81" s="2">
        <v>-1</v>
      </c>
      <c r="DM81" s="2">
        <v>1</v>
      </c>
      <c r="DN81" s="2">
        <v>1.2</v>
      </c>
      <c r="DO81" s="2">
        <v>1.7</v>
      </c>
      <c r="DP81" s="2">
        <v>1.1</v>
      </c>
      <c r="DQ81" s="2">
        <v>4.3</v>
      </c>
      <c r="DR81" s="2">
        <v>6.2</v>
      </c>
      <c r="DS81" s="2">
        <v>6.2</v>
      </c>
      <c r="DT81" s="2">
        <v>6.3</v>
      </c>
      <c r="DU81" s="2">
        <v>8</v>
      </c>
      <c r="DV81" s="2">
        <v>7.2</v>
      </c>
      <c r="DW81" s="2">
        <v>6</v>
      </c>
      <c r="DX81" s="2">
        <v>7.6</v>
      </c>
      <c r="DY81" s="2">
        <v>5.3</v>
      </c>
      <c r="DZ81" s="2">
        <v>5.9</v>
      </c>
      <c r="EA81" s="2">
        <v>6.8</v>
      </c>
      <c r="EB81" s="2">
        <v>7</v>
      </c>
      <c r="EC81" s="2">
        <v>6.1</v>
      </c>
      <c r="ED81" s="2">
        <v>6</v>
      </c>
      <c r="EE81" s="2">
        <v>3.2</v>
      </c>
      <c r="EF81" s="2">
        <v>4.3</v>
      </c>
      <c r="EG81" s="2">
        <v>2.1</v>
      </c>
      <c r="EH81" s="2">
        <v>2.9</v>
      </c>
      <c r="EI81" s="2">
        <v>3.9</v>
      </c>
      <c r="EJ81" s="2">
        <v>3.1</v>
      </c>
      <c r="EK81" s="2">
        <v>3.4</v>
      </c>
      <c r="EL81" s="2">
        <v>3.3</v>
      </c>
      <c r="EM81" s="2">
        <v>2.2</v>
      </c>
      <c r="EN81" s="2">
        <v>2.7</v>
      </c>
      <c r="EO81" s="2">
        <v>0.9</v>
      </c>
      <c r="EP81" s="2">
        <v>-1.5</v>
      </c>
      <c r="EQ81" s="2">
        <v>0.9</v>
      </c>
      <c r="ER81" s="2">
        <v>1.1</v>
      </c>
      <c r="ES81" s="2">
        <v>1.5</v>
      </c>
      <c r="ET81" s="2">
        <v>0.8</v>
      </c>
      <c r="EU81" s="2">
        <v>0.7</v>
      </c>
      <c r="EV81" s="2">
        <v>0.2</v>
      </c>
      <c r="EW81" s="2">
        <v>0.1</v>
      </c>
      <c r="EX81" s="2">
        <v>2.4</v>
      </c>
      <c r="EY81" s="2">
        <v>3.7</v>
      </c>
      <c r="EZ81" s="2">
        <v>5.2</v>
      </c>
      <c r="FA81" s="2">
        <v>10.9</v>
      </c>
      <c r="FB81" s="2">
        <v>12.7</v>
      </c>
      <c r="FC81" s="2">
        <v>11.3</v>
      </c>
      <c r="FD81" s="2">
        <v>13.1</v>
      </c>
      <c r="FE81" s="2">
        <v>13</v>
      </c>
      <c r="FF81" s="2">
        <v>14.2</v>
      </c>
      <c r="FG81" s="2">
        <v>15.9</v>
      </c>
      <c r="FH81" s="2">
        <v>18.7</v>
      </c>
      <c r="FI81" s="2">
        <v>20.9</v>
      </c>
      <c r="FJ81" s="2">
        <v>19.5</v>
      </c>
      <c r="FK81" s="2">
        <v>17.5</v>
      </c>
      <c r="FL81" s="2">
        <v>16.8</v>
      </c>
      <c r="FM81" s="2">
        <v>11.2</v>
      </c>
      <c r="FN81" s="2">
        <v>8.699999999999999</v>
      </c>
      <c r="FO81" s="2">
        <v>9.4</v>
      </c>
      <c r="FP81" s="2">
        <v>10.9</v>
      </c>
      <c r="FQ81" s="2">
        <v>10.6</v>
      </c>
      <c r="FR81" s="2">
        <v>8.6</v>
      </c>
      <c r="FS81" s="2">
        <v>6.6</v>
      </c>
      <c r="FT81" s="2">
        <v>4</v>
      </c>
      <c r="FU81" s="2">
        <v>2.1</v>
      </c>
      <c r="FV81" s="2">
        <v>2.3</v>
      </c>
      <c r="FW81" s="2">
        <v>2.6</v>
      </c>
      <c r="FX81" s="2">
        <v>1.9</v>
      </c>
      <c r="FY81" s="2">
        <v>1.6</v>
      </c>
      <c r="FZ81" s="2">
        <v>1.5</v>
      </c>
      <c r="GA81" s="2">
        <v>1.5</v>
      </c>
      <c r="GB81" s="2">
        <v>0.4</v>
      </c>
      <c r="GC81" s="2">
        <v>1.1</v>
      </c>
      <c r="GD81" s="2">
        <v>1.9</v>
      </c>
      <c r="GE81" s="2">
        <v>1.3</v>
      </c>
      <c r="GF81" s="2">
        <v>-1.6</v>
      </c>
      <c r="GG81" s="2">
        <v>-0.3</v>
      </c>
      <c r="GH81" s="2">
        <v>-0.3</v>
      </c>
      <c r="GI81" s="2">
        <v>0.1</v>
      </c>
      <c r="GJ81" s="2">
        <v>-0.3</v>
      </c>
      <c r="GK81" s="2">
        <v>-0.8</v>
      </c>
      <c r="GL81" s="2">
        <v>0.8</v>
      </c>
      <c r="GM81" s="2">
        <v>-0.1</v>
      </c>
      <c r="GN81" s="2">
        <v>-1.1</v>
      </c>
      <c r="GO81" s="2">
        <v>-2.2</v>
      </c>
      <c r="GP81" s="2">
        <v>-1.7</v>
      </c>
      <c r="GQ81" s="2">
        <v>-1.5</v>
      </c>
      <c r="GR81" s="2">
        <v>2.4</v>
      </c>
      <c r="GS81" s="2">
        <v>2.5</v>
      </c>
      <c r="GT81" s="2">
        <v>1.6</v>
      </c>
      <c r="GU81" s="2">
        <v>-0.1</v>
      </c>
      <c r="GV81" s="2">
        <v>-0.3</v>
      </c>
      <c r="GW81" s="2">
        <v>-0.8</v>
      </c>
      <c r="GX81" s="2">
        <v>-1.8</v>
      </c>
      <c r="GY81" s="2">
        <v>-0.2</v>
      </c>
      <c r="GZ81" s="2">
        <v>-0.6</v>
      </c>
      <c r="HA81" s="2">
        <v>-0.5</v>
      </c>
      <c r="HB81" s="2">
        <v>-1.4</v>
      </c>
      <c r="HC81" s="2">
        <v>0.8</v>
      </c>
      <c r="HD81" s="2">
        <v>-0.2</v>
      </c>
      <c r="HE81" s="2">
        <v>0.6</v>
      </c>
      <c r="HF81" s="2">
        <v>-1.3</v>
      </c>
      <c r="HG81" s="2">
        <v>-0.2</v>
      </c>
      <c r="HH81" s="2">
        <v>0.6</v>
      </c>
      <c r="HI81" s="2">
        <v>0.2</v>
      </c>
      <c r="HJ81" s="2">
        <v>-1.1</v>
      </c>
      <c r="HK81" s="2">
        <v>0.6</v>
      </c>
      <c r="HL81" s="2">
        <v>0.1</v>
      </c>
      <c r="HM81" s="2">
        <v>0.6</v>
      </c>
      <c r="HN81" s="2">
        <v>-1.4</v>
      </c>
      <c r="HO81" s="2">
        <v>2.8</v>
      </c>
      <c r="HP81" s="2">
        <v>0</v>
      </c>
      <c r="HQ81" s="2">
        <v>1.1</v>
      </c>
      <c r="HR81" s="2">
        <v>-1.9</v>
      </c>
      <c r="HS81" s="2">
        <v>3</v>
      </c>
      <c r="HT81" s="2">
        <v>2.4</v>
      </c>
      <c r="HU81" s="2">
        <v>0.2</v>
      </c>
      <c r="HV81" s="2">
        <v>-1</v>
      </c>
      <c r="HW81" s="2">
        <v>2.1</v>
      </c>
      <c r="HX81" s="2">
        <v>-0.7</v>
      </c>
      <c r="HY81" s="2">
        <v>-0.5</v>
      </c>
      <c r="HZ81" s="2">
        <v>0</v>
      </c>
      <c r="IA81" s="2">
        <v>0.7</v>
      </c>
      <c r="IB81" s="2">
        <v>0.6</v>
      </c>
      <c r="IC81" s="2">
        <v>2</v>
      </c>
      <c r="ID81" s="2">
        <v>-1.8</v>
      </c>
      <c r="IE81" s="2">
        <v>2.1</v>
      </c>
      <c r="IF81" s="2">
        <v>2.2</v>
      </c>
      <c r="IG81" s="2">
        <v>-2.4</v>
      </c>
      <c r="IH81" s="2">
        <v>0</v>
      </c>
      <c r="II81" s="2">
        <v>0</v>
      </c>
      <c r="IJ81" s="2">
        <v>0</v>
      </c>
      <c r="IK81" s="2">
        <v>0.4</v>
      </c>
      <c r="IL81" s="2">
        <v>-0.7</v>
      </c>
      <c r="IM81" s="2">
        <v>1</v>
      </c>
      <c r="IN81" s="2">
        <v>0.5</v>
      </c>
      <c r="IO81" s="2">
        <v>0.9</v>
      </c>
      <c r="IP81" s="2">
        <v>-1.3</v>
      </c>
      <c r="IQ81" s="2">
        <v>0.3</v>
      </c>
      <c r="IR81" s="2">
        <v>-0.2</v>
      </c>
      <c r="IS81" s="2">
        <v>0</v>
      </c>
      <c r="IT81" s="2">
        <v>0.2</v>
      </c>
      <c r="IU81" s="2">
        <v>0.4</v>
      </c>
      <c r="IV81" s="2">
        <v>-0.7</v>
      </c>
      <c r="IW81" s="2">
        <v>0.3</v>
      </c>
      <c r="IX81" s="2">
        <v>-1.2</v>
      </c>
      <c r="IY81" s="2">
        <v>0.9</v>
      </c>
      <c r="IZ81" s="2">
        <v>2.8</v>
      </c>
      <c r="JA81" s="2">
        <v>2.2</v>
      </c>
      <c r="JB81" s="2">
        <v>0.1</v>
      </c>
      <c r="JC81" s="2">
        <v>5.8</v>
      </c>
      <c r="JD81" s="2">
        <v>1.4</v>
      </c>
      <c r="JE81" s="2">
        <v>-1.2</v>
      </c>
      <c r="JF81" s="2">
        <v>1.8</v>
      </c>
      <c r="JG81" s="2">
        <v>0.3</v>
      </c>
      <c r="JH81" s="2">
        <v>0.4</v>
      </c>
      <c r="JI81" s="2">
        <v>1.8</v>
      </c>
      <c r="JJ81" s="2">
        <v>1.2</v>
      </c>
      <c r="JK81" s="2">
        <v>2.7</v>
      </c>
      <c r="JL81" s="2">
        <v>1.5</v>
      </c>
      <c r="JM81" s="2">
        <v>0.5</v>
      </c>
      <c r="JN81" s="2">
        <v>-0.5</v>
      </c>
      <c r="JO81" s="2">
        <v>0.8</v>
      </c>
      <c r="JP81" s="2">
        <v>-0.9</v>
      </c>
      <c r="JQ81" s="2">
        <v>-0.6</v>
      </c>
      <c r="JR81" s="2">
        <v>3.3</v>
      </c>
      <c r="JS81" s="2">
        <v>0</v>
      </c>
      <c r="JT81" s="2">
        <v>-1.4</v>
      </c>
      <c r="JU81" s="2">
        <v>-0.1</v>
      </c>
      <c r="JV81" s="2">
        <v>-1.2</v>
      </c>
      <c r="JW81" s="2">
        <v>0.8</v>
      </c>
      <c r="JX81" s="2">
        <v>1.7</v>
      </c>
      <c r="JY81" s="2">
        <v>0.9</v>
      </c>
      <c r="JZ81" s="2">
        <v>-1.3</v>
      </c>
      <c r="KA81" s="2">
        <v>0.5</v>
      </c>
      <c r="KB81" s="2">
        <v>-1.1</v>
      </c>
      <c r="KC81" s="2">
        <v>-0.6</v>
      </c>
      <c r="KD81" s="2">
        <v>2.1</v>
      </c>
      <c r="KE81" s="2">
        <v>0.7</v>
      </c>
      <c r="KF81" s="2">
        <v>-0.6</v>
      </c>
      <c r="KG81" s="2">
        <v>-0.7</v>
      </c>
      <c r="KH81" s="2">
        <v>-4</v>
      </c>
      <c r="KI81" s="2">
        <v>2.1</v>
      </c>
      <c r="KJ81" s="2">
        <v>1.7</v>
      </c>
      <c r="KK81" s="2">
        <v>1.4</v>
      </c>
      <c r="KL81" s="2">
        <v>-1.7</v>
      </c>
      <c r="KM81" s="2">
        <v>0</v>
      </c>
      <c r="KN81" s="2">
        <v>0.5</v>
      </c>
      <c r="KO81" s="2">
        <v>-1.4</v>
      </c>
      <c r="KP81" s="2">
        <v>1.1</v>
      </c>
      <c r="KQ81" s="2">
        <v>-0.4</v>
      </c>
      <c r="KR81" s="2">
        <v>-0.1</v>
      </c>
      <c r="KS81" s="2">
        <v>-0.5</v>
      </c>
      <c r="KT81" s="2">
        <v>-0.2</v>
      </c>
      <c r="KU81" s="2">
        <v>2.2</v>
      </c>
      <c r="KV81" s="2">
        <v>0.9</v>
      </c>
      <c r="KW81" s="2">
        <v>-0.3</v>
      </c>
      <c r="KX81" s="2">
        <v>-1.9</v>
      </c>
      <c r="KY81" s="2">
        <v>-0.4</v>
      </c>
      <c r="KZ81" s="2">
        <v>-0.5</v>
      </c>
      <c r="LA81" s="2">
        <v>0.2</v>
      </c>
      <c r="LB81" s="2">
        <v>0.7</v>
      </c>
      <c r="LC81" s="2">
        <v>-0.3</v>
      </c>
      <c r="LD81" s="2">
        <v>0.49</v>
      </c>
      <c r="LE81" s="2">
        <v>0.5</v>
      </c>
      <c r="LF81" s="2">
        <v>0.49</v>
      </c>
      <c r="LG81" s="2">
        <v>0.49</v>
      </c>
      <c r="LH81" s="2">
        <v>0.49</v>
      </c>
      <c r="LI81" s="2">
        <v>0.49</v>
      </c>
      <c r="LJ81" s="2">
        <v>0.49</v>
      </c>
      <c r="LK81" s="2">
        <v>0.49</v>
      </c>
      <c r="LL81" s="2">
        <v>0.49</v>
      </c>
      <c r="LM81" s="2">
        <v>0.49</v>
      </c>
      <c r="LN81" s="2">
        <v>0.49</v>
      </c>
      <c r="LO81" s="2">
        <v>0.5</v>
      </c>
      <c r="LP81" s="2">
        <v>0.5</v>
      </c>
      <c r="LQ81" s="2">
        <v>0.5</v>
      </c>
      <c r="LR81" s="2">
        <v>0.49</v>
      </c>
      <c r="LS81" s="2">
        <v>0.49</v>
      </c>
      <c r="LT81" s="2">
        <v>0.49</v>
      </c>
      <c r="LU81" s="2">
        <v>0.49</v>
      </c>
      <c r="LV81" s="2">
        <v>0.49</v>
      </c>
      <c r="LW81" s="2">
        <v>0.49</v>
      </c>
      <c r="LX81" s="2">
        <v>0.01</v>
      </c>
      <c r="LY81" s="2">
        <v>-0.01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0.01</v>
      </c>
      <c r="MI81" s="2">
        <v>0</v>
      </c>
      <c r="MJ81" s="2">
        <v>0</v>
      </c>
      <c r="MK81" s="2">
        <v>-0.01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RO81" s="2">
        <v>19.84</v>
      </c>
      <c r="RP81" s="2">
        <v>19.77</v>
      </c>
      <c r="RQ81" s="2">
        <v>19.52</v>
      </c>
      <c r="RR81" s="2">
        <v>19.7</v>
      </c>
      <c r="RS81" s="2">
        <v>19.74</v>
      </c>
      <c r="RT81" s="2">
        <v>23.13</v>
      </c>
      <c r="RU81" s="2">
        <v>23.2</v>
      </c>
      <c r="RV81" s="2">
        <v>23.99</v>
      </c>
      <c r="RW81" s="2">
        <v>24.07</v>
      </c>
      <c r="RX81" s="2">
        <v>25.04</v>
      </c>
      <c r="RY81" s="2">
        <v>25.94</v>
      </c>
      <c r="RZ81" s="2">
        <v>25.51</v>
      </c>
      <c r="SA81" s="2">
        <v>25.4</v>
      </c>
      <c r="SB81" s="2">
        <v>25.4</v>
      </c>
      <c r="SC81" s="2">
        <v>25.36</v>
      </c>
      <c r="SD81" s="2">
        <v>26.16</v>
      </c>
      <c r="SE81" s="2">
        <v>26.01</v>
      </c>
      <c r="SF81" s="2">
        <v>26.66</v>
      </c>
      <c r="SG81" s="2">
        <v>26.66</v>
      </c>
      <c r="SH81" s="2">
        <v>27.24</v>
      </c>
      <c r="SI81" s="2">
        <v>27.85</v>
      </c>
      <c r="SJ81" s="2">
        <v>27.89</v>
      </c>
      <c r="SK81" s="2">
        <v>28.83</v>
      </c>
      <c r="SL81" s="2">
        <v>29.22</v>
      </c>
      <c r="SM81" s="2">
        <v>29.87</v>
      </c>
      <c r="SN81" s="2">
        <v>30.6</v>
      </c>
      <c r="SO81" s="2">
        <v>30.7</v>
      </c>
      <c r="SP81" s="2">
        <v>31.14</v>
      </c>
      <c r="SQ81" s="2">
        <v>31.32</v>
      </c>
      <c r="SR81" s="2">
        <v>32.08</v>
      </c>
      <c r="SS81" s="2">
        <v>32.33</v>
      </c>
      <c r="ST81" s="2">
        <v>33.63</v>
      </c>
      <c r="SU81" s="2">
        <v>33.95</v>
      </c>
      <c r="SV81" s="2">
        <v>35</v>
      </c>
      <c r="SW81" s="2">
        <v>34.93</v>
      </c>
      <c r="SX81" s="2">
        <v>34.6</v>
      </c>
      <c r="SY81" s="2">
        <v>34.82</v>
      </c>
      <c r="SZ81" s="2">
        <v>34.71</v>
      </c>
      <c r="TA81" s="2">
        <v>36.87</v>
      </c>
      <c r="TB81" s="2">
        <v>37.92</v>
      </c>
      <c r="TC81" s="2">
        <v>38.5</v>
      </c>
      <c r="TD81" s="2">
        <v>38.43</v>
      </c>
      <c r="TE81" s="2">
        <v>38.17</v>
      </c>
      <c r="TF81" s="2">
        <v>38.28</v>
      </c>
      <c r="TG81" s="2">
        <v>38.35</v>
      </c>
      <c r="TH81" s="2">
        <v>38.61</v>
      </c>
      <c r="TI81" s="2">
        <v>38.39</v>
      </c>
      <c r="TJ81" s="2">
        <v>39.44</v>
      </c>
      <c r="TK81" s="2">
        <v>39.94</v>
      </c>
      <c r="TL81" s="2">
        <v>40.01</v>
      </c>
      <c r="TM81" s="2">
        <v>39.69</v>
      </c>
      <c r="TN81" s="2">
        <v>40.59</v>
      </c>
      <c r="TO81" s="2">
        <v>41.49</v>
      </c>
      <c r="TP81" s="2">
        <v>41.38</v>
      </c>
      <c r="TQ81" s="2">
        <v>43.15</v>
      </c>
      <c r="TR81" s="2">
        <v>42.5</v>
      </c>
      <c r="TS81" s="2">
        <v>41.17</v>
      </c>
      <c r="TT81" s="2">
        <v>42.61</v>
      </c>
      <c r="TU81" s="2">
        <v>42.65</v>
      </c>
      <c r="TV81" s="2">
        <v>42.94</v>
      </c>
      <c r="TW81" s="2">
        <v>43.87</v>
      </c>
      <c r="TX81" s="2">
        <v>43.84</v>
      </c>
      <c r="TY81" s="2">
        <v>44.81</v>
      </c>
      <c r="TZ81" s="2">
        <v>44.27</v>
      </c>
      <c r="UA81" s="2">
        <v>46.04</v>
      </c>
      <c r="UB81" s="2">
        <v>45.79</v>
      </c>
      <c r="UC81" s="2">
        <v>46.51</v>
      </c>
      <c r="UD81" s="2">
        <v>46.94</v>
      </c>
      <c r="UE81" s="2">
        <v>46.11</v>
      </c>
      <c r="UF81" s="2">
        <v>47.41</v>
      </c>
      <c r="UG81" s="2">
        <v>46.83</v>
      </c>
      <c r="UH81" s="2">
        <v>46.94</v>
      </c>
      <c r="UI81" s="2">
        <v>47</v>
      </c>
      <c r="UJ81" s="2">
        <v>47.77</v>
      </c>
      <c r="UK81" s="2">
        <v>47.2</v>
      </c>
      <c r="UL81" s="2">
        <v>46.02</v>
      </c>
      <c r="UM81" s="2">
        <v>45.25</v>
      </c>
      <c r="UN81" s="2">
        <v>45.84</v>
      </c>
      <c r="UO81" s="2">
        <v>43.77</v>
      </c>
      <c r="UP81" s="2">
        <v>45.09</v>
      </c>
      <c r="UQ81" s="2">
        <v>43.82</v>
      </c>
      <c r="UR81" s="2">
        <v>42.6</v>
      </c>
      <c r="US81" s="2">
        <v>43.69</v>
      </c>
      <c r="UT81" s="2">
        <v>43.28</v>
      </c>
      <c r="UU81" s="2">
        <v>45.65</v>
      </c>
      <c r="UV81" s="2">
        <v>46.65</v>
      </c>
      <c r="UW81" s="2">
        <v>47.97</v>
      </c>
      <c r="UX81" s="2">
        <v>48.36</v>
      </c>
      <c r="UY81" s="2">
        <v>47.62</v>
      </c>
      <c r="UZ81" s="2">
        <v>47.44</v>
      </c>
      <c r="VA81" s="2">
        <v>50.07</v>
      </c>
      <c r="VB81" s="2">
        <v>49.07</v>
      </c>
      <c r="VC81" s="2">
        <v>48.94</v>
      </c>
      <c r="VD81" s="2">
        <v>47.26</v>
      </c>
      <c r="VE81" s="2">
        <v>47.11</v>
      </c>
      <c r="VF81" s="2">
        <v>47.62</v>
      </c>
      <c r="VG81" s="2">
        <v>49.16</v>
      </c>
      <c r="VH81" s="2">
        <v>48.31</v>
      </c>
      <c r="VI81" s="2">
        <v>49.19</v>
      </c>
      <c r="VJ81" s="2">
        <v>49.53</v>
      </c>
      <c r="VK81" s="2">
        <v>51.52</v>
      </c>
      <c r="VL81" s="2">
        <v>53.16</v>
      </c>
      <c r="VM81" s="2">
        <v>53.26</v>
      </c>
      <c r="VN81" s="2">
        <v>52.95</v>
      </c>
      <c r="VO81" s="2">
        <v>54.88</v>
      </c>
      <c r="VP81" s="2">
        <v>55.79</v>
      </c>
      <c r="VQ81" s="2">
        <v>55.95</v>
      </c>
      <c r="VR81" s="2">
        <v>57.08</v>
      </c>
      <c r="VS81" s="2">
        <v>58.57</v>
      </c>
      <c r="VT81" s="2">
        <v>58.05</v>
      </c>
      <c r="VU81" s="2">
        <v>58.58</v>
      </c>
      <c r="VV81" s="2">
        <v>58.14</v>
      </c>
      <c r="VW81" s="2">
        <v>58.96</v>
      </c>
      <c r="VX81" s="2">
        <v>61.55</v>
      </c>
      <c r="VY81" s="2">
        <v>60.86</v>
      </c>
      <c r="VZ81" s="2">
        <v>63.88</v>
      </c>
      <c r="WA81" s="2">
        <v>67.33</v>
      </c>
      <c r="WB81" s="2">
        <v>69.38</v>
      </c>
      <c r="WC81" s="2">
        <v>69.09999999999999</v>
      </c>
      <c r="WD81" s="2">
        <v>72.23999999999999</v>
      </c>
      <c r="WE81" s="2">
        <v>70.53</v>
      </c>
      <c r="WF81" s="2">
        <v>68.73</v>
      </c>
      <c r="WG81" s="2">
        <v>68.69</v>
      </c>
      <c r="WH81" s="2">
        <v>71.47</v>
      </c>
      <c r="WI81" s="2">
        <v>73.01000000000001</v>
      </c>
      <c r="WJ81" s="2">
        <v>74.03</v>
      </c>
      <c r="WK81" s="2">
        <v>72.90000000000001</v>
      </c>
      <c r="WL81" s="2">
        <v>73.36</v>
      </c>
      <c r="WM81" s="2">
        <v>73.36</v>
      </c>
      <c r="WN81" s="2">
        <v>74.5</v>
      </c>
      <c r="WO81" s="2">
        <v>73.94</v>
      </c>
      <c r="WP81" s="2">
        <v>74.13</v>
      </c>
      <c r="WQ81" s="2">
        <v>74.95999999999999</v>
      </c>
      <c r="WR81" s="2">
        <v>74.56</v>
      </c>
      <c r="WS81" s="2">
        <v>75.3</v>
      </c>
      <c r="WT81" s="2">
        <v>74.13</v>
      </c>
      <c r="WU81" s="2">
        <v>72.84</v>
      </c>
      <c r="WV81" s="2">
        <v>72.73</v>
      </c>
      <c r="WW81" s="2">
        <v>74.56999999999999</v>
      </c>
      <c r="WX81" s="2">
        <v>74.06999999999999</v>
      </c>
      <c r="WY81" s="2">
        <v>71.97</v>
      </c>
      <c r="WZ81" s="2">
        <v>70.14</v>
      </c>
      <c r="XA81" s="2">
        <v>70.45999999999999</v>
      </c>
      <c r="XB81" s="2">
        <v>73.34</v>
      </c>
      <c r="XC81" s="2">
        <v>74.40000000000001</v>
      </c>
      <c r="XD81" s="2">
        <v>73.95999999999999</v>
      </c>
      <c r="XE81" s="2">
        <v>74.61</v>
      </c>
      <c r="XF81" s="2">
        <v>75.56</v>
      </c>
      <c r="XG81" s="2">
        <v>75.38</v>
      </c>
      <c r="XH81" s="2">
        <v>74.8</v>
      </c>
      <c r="XI81" s="2">
        <v>74.62</v>
      </c>
      <c r="XJ81" s="2">
        <v>74.56</v>
      </c>
      <c r="XK81" s="2">
        <v>74.43000000000001</v>
      </c>
      <c r="XL81" s="2">
        <v>75.26000000000001</v>
      </c>
      <c r="XM81" s="2">
        <v>76.40000000000001</v>
      </c>
      <c r="XN81" s="2">
        <v>78.90000000000001</v>
      </c>
      <c r="XO81" s="2">
        <v>79.56999999999999</v>
      </c>
      <c r="XP81" s="2">
        <v>79.63</v>
      </c>
      <c r="XQ81" s="2">
        <v>81.18000000000001</v>
      </c>
      <c r="XR81" s="2">
        <v>81.76000000000001</v>
      </c>
      <c r="XS81" s="2">
        <v>81.2</v>
      </c>
      <c r="XT81" s="2">
        <v>81.11</v>
      </c>
      <c r="XU81" s="2">
        <v>81.81999999999999</v>
      </c>
      <c r="XV81" s="2">
        <v>81.28</v>
      </c>
      <c r="XW81" s="2">
        <v>81.51000000000001</v>
      </c>
      <c r="XX81" s="2">
        <v>81.83</v>
      </c>
      <c r="XY81" s="2">
        <v>87.33</v>
      </c>
      <c r="XZ81" s="2">
        <v>90.81</v>
      </c>
      <c r="YA81" s="2">
        <v>92.75</v>
      </c>
      <c r="YB81" s="2">
        <v>97.36</v>
      </c>
      <c r="YC81" s="2">
        <v>99.7</v>
      </c>
      <c r="YD81" s="2">
        <v>99.84</v>
      </c>
      <c r="YE81" s="2">
        <v>100.79</v>
      </c>
      <c r="YF81" s="2">
        <v>100.11</v>
      </c>
      <c r="YG81" s="2">
        <v>101.73</v>
      </c>
      <c r="YH81" s="2">
        <v>100.94</v>
      </c>
      <c r="YI81" s="2">
        <v>102.22</v>
      </c>
      <c r="YJ81" s="2">
        <v>99.37</v>
      </c>
      <c r="YK81" s="2">
        <v>101.43</v>
      </c>
      <c r="YL81" s="2">
        <v>100.8</v>
      </c>
      <c r="YM81" s="2">
        <v>100.4</v>
      </c>
      <c r="YN81" s="2">
        <v>101.51</v>
      </c>
      <c r="YO81" s="2">
        <v>101.04</v>
      </c>
      <c r="YP81" s="2">
        <v>99.95</v>
      </c>
      <c r="ADO81" s="2">
        <v>-0.4</v>
      </c>
      <c r="ADP81" s="2">
        <v>-1.3</v>
      </c>
      <c r="ADQ81" s="2">
        <v>0.9</v>
      </c>
      <c r="ADR81" s="2">
        <v>0.2</v>
      </c>
      <c r="ADS81" s="2">
        <v>17.2</v>
      </c>
      <c r="ADT81" s="2">
        <v>0.3</v>
      </c>
      <c r="ADU81" s="2">
        <v>3.4</v>
      </c>
      <c r="ADV81" s="2">
        <v>0.3</v>
      </c>
      <c r="ADW81" s="2">
        <v>4</v>
      </c>
      <c r="ADX81" s="2">
        <v>3.6</v>
      </c>
      <c r="ADY81" s="2">
        <v>-1.7</v>
      </c>
      <c r="ADZ81" s="2">
        <v>-0.4</v>
      </c>
      <c r="AEA81" s="2">
        <v>0</v>
      </c>
      <c r="AEB81" s="2">
        <v>-0.2</v>
      </c>
      <c r="AEC81" s="2">
        <v>3.2</v>
      </c>
      <c r="AED81" s="2">
        <v>-0.6</v>
      </c>
      <c r="AEE81" s="2">
        <v>2.5</v>
      </c>
      <c r="AEF81" s="2">
        <v>0</v>
      </c>
      <c r="AEG81" s="2">
        <v>2.2</v>
      </c>
      <c r="AEH81" s="2">
        <v>2.2</v>
      </c>
      <c r="AEI81" s="2">
        <v>0.1</v>
      </c>
      <c r="AEJ81" s="2">
        <v>3.4</v>
      </c>
      <c r="AEK81" s="2">
        <v>1.4</v>
      </c>
      <c r="AEL81" s="2">
        <v>2.2</v>
      </c>
      <c r="AEM81" s="2">
        <v>2.4</v>
      </c>
      <c r="AEN81" s="2">
        <v>0.3</v>
      </c>
      <c r="AEO81" s="2">
        <v>1.4</v>
      </c>
      <c r="AEP81" s="2">
        <v>0.6</v>
      </c>
      <c r="AEQ81" s="2">
        <v>2.4</v>
      </c>
      <c r="AER81" s="2">
        <v>0.8</v>
      </c>
      <c r="AES81" s="2">
        <v>4</v>
      </c>
      <c r="AET81" s="2">
        <v>1</v>
      </c>
      <c r="AEU81" s="2">
        <v>3.1</v>
      </c>
      <c r="AEV81" s="2">
        <v>-0.2</v>
      </c>
      <c r="AEW81" s="2">
        <v>-0.9</v>
      </c>
      <c r="AEX81" s="2">
        <v>0.6</v>
      </c>
      <c r="AEY81" s="2">
        <v>-0.3</v>
      </c>
      <c r="AEZ81" s="2">
        <v>6.2</v>
      </c>
      <c r="AFA81" s="2">
        <v>2.8</v>
      </c>
      <c r="AFB81" s="2">
        <v>1.5</v>
      </c>
      <c r="AFC81" s="2">
        <v>-0.2</v>
      </c>
      <c r="AFD81" s="2">
        <v>-0.7</v>
      </c>
      <c r="AFE81" s="2">
        <v>0.3</v>
      </c>
      <c r="AFF81" s="2">
        <v>0.2</v>
      </c>
      <c r="AFG81" s="2">
        <v>0.7</v>
      </c>
      <c r="AFH81" s="2">
        <v>-0.6</v>
      </c>
      <c r="AFI81" s="2">
        <v>2.7</v>
      </c>
      <c r="AFJ81" s="2">
        <v>1.3</v>
      </c>
      <c r="AFK81" s="2">
        <v>0.2</v>
      </c>
      <c r="AFL81" s="2">
        <v>-0.8</v>
      </c>
      <c r="AFM81" s="2">
        <v>2.3</v>
      </c>
      <c r="AFN81" s="2">
        <v>2.2</v>
      </c>
      <c r="AFO81" s="2">
        <v>-0.3</v>
      </c>
      <c r="AFP81" s="2">
        <v>4.3</v>
      </c>
      <c r="AFQ81" s="2">
        <v>-1.5</v>
      </c>
      <c r="AFR81" s="2">
        <v>-3.1</v>
      </c>
      <c r="AFS81" s="2">
        <v>3.5</v>
      </c>
      <c r="AFT81" s="2">
        <v>0.1</v>
      </c>
      <c r="AFU81" s="2">
        <v>0.7</v>
      </c>
      <c r="AFV81" s="2">
        <v>2.2</v>
      </c>
      <c r="AFW81" s="2">
        <v>-0.1</v>
      </c>
      <c r="AFX81" s="2">
        <v>2.2</v>
      </c>
      <c r="AFY81" s="2">
        <v>-1.2</v>
      </c>
      <c r="AFZ81" s="2">
        <v>4</v>
      </c>
      <c r="AGA81" s="2">
        <v>-0.5</v>
      </c>
      <c r="AGB81" s="2">
        <v>1.6</v>
      </c>
      <c r="AGC81" s="2">
        <v>0.9</v>
      </c>
      <c r="AGD81" s="2">
        <v>-1.8</v>
      </c>
      <c r="AGE81" s="2">
        <v>2.8</v>
      </c>
      <c r="AGF81" s="2">
        <v>-1.2</v>
      </c>
      <c r="AGG81" s="2">
        <v>0.2</v>
      </c>
      <c r="AGH81" s="2">
        <v>0.1</v>
      </c>
      <c r="AGI81" s="2">
        <v>1.6</v>
      </c>
      <c r="AGJ81" s="2">
        <v>-1.2</v>
      </c>
      <c r="AGK81" s="2">
        <v>-2.5</v>
      </c>
      <c r="AGL81" s="2">
        <v>-1.7</v>
      </c>
      <c r="AGM81" s="2">
        <v>1.3</v>
      </c>
      <c r="AGN81" s="2">
        <v>-4.5</v>
      </c>
      <c r="AGO81" s="2">
        <v>3</v>
      </c>
      <c r="AGP81" s="2">
        <v>-2.8</v>
      </c>
      <c r="AGQ81" s="2">
        <v>-2.8</v>
      </c>
      <c r="AGR81" s="2">
        <v>2.6</v>
      </c>
      <c r="AGS81" s="2">
        <v>-0.9</v>
      </c>
      <c r="AGT81" s="2">
        <v>5.5</v>
      </c>
      <c r="AGU81" s="2">
        <v>2.2</v>
      </c>
      <c r="AGV81" s="2">
        <v>2.8</v>
      </c>
      <c r="AGW81" s="2">
        <v>0.8</v>
      </c>
      <c r="AGX81" s="2">
        <v>-1.5</v>
      </c>
      <c r="AGY81" s="2">
        <v>-0.4</v>
      </c>
      <c r="AGZ81" s="2">
        <v>5.5</v>
      </c>
      <c r="AHA81" s="2">
        <v>-2</v>
      </c>
      <c r="AHB81" s="2">
        <v>-0.3</v>
      </c>
      <c r="AHC81" s="2">
        <v>-3.4</v>
      </c>
      <c r="AHD81" s="2">
        <v>-0.3</v>
      </c>
      <c r="AHE81" s="2">
        <v>1.1</v>
      </c>
      <c r="AHF81" s="2">
        <v>3.2</v>
      </c>
      <c r="AHG81" s="2">
        <v>-1.7</v>
      </c>
      <c r="AHH81" s="2">
        <v>1.8</v>
      </c>
      <c r="AHI81" s="2">
        <v>0.7</v>
      </c>
      <c r="AHJ81" s="2">
        <v>4</v>
      </c>
      <c r="AHK81" s="2">
        <v>3.2</v>
      </c>
      <c r="AHL81" s="2">
        <v>0.2</v>
      </c>
      <c r="AHM81" s="2">
        <v>-0.6</v>
      </c>
      <c r="AHN81" s="2">
        <v>3.6</v>
      </c>
      <c r="AHO81" s="2">
        <v>1.7</v>
      </c>
      <c r="AHP81" s="2">
        <v>0.3</v>
      </c>
      <c r="AHQ81" s="2">
        <v>2</v>
      </c>
      <c r="AHR81" s="2">
        <v>2.6</v>
      </c>
      <c r="AHS81" s="2">
        <v>-0.9</v>
      </c>
      <c r="AHT81" s="2">
        <v>0.9</v>
      </c>
      <c r="AHU81" s="2">
        <v>-0.8</v>
      </c>
      <c r="AHV81" s="2">
        <v>1.4</v>
      </c>
      <c r="AHW81" s="2">
        <v>4.4</v>
      </c>
      <c r="AHX81" s="2">
        <v>-1.1</v>
      </c>
      <c r="AHY81" s="2">
        <v>5</v>
      </c>
      <c r="AHZ81" s="2">
        <v>5.4</v>
      </c>
      <c r="AIA81" s="2">
        <v>3</v>
      </c>
      <c r="AIB81" s="2">
        <v>-0.4</v>
      </c>
      <c r="AIC81" s="2">
        <v>4.5</v>
      </c>
      <c r="AID81" s="2">
        <v>-2.4</v>
      </c>
      <c r="AIE81" s="2">
        <v>-2.6</v>
      </c>
      <c r="AIF81" s="2">
        <v>-0.1</v>
      </c>
      <c r="AIG81" s="2">
        <v>4</v>
      </c>
      <c r="AIH81" s="2">
        <v>2.2</v>
      </c>
      <c r="AII81" s="2">
        <v>1.4</v>
      </c>
      <c r="AIJ81" s="2">
        <v>-1.5</v>
      </c>
      <c r="AIK81" s="2">
        <v>0.6</v>
      </c>
      <c r="AIL81" s="2">
        <v>0</v>
      </c>
      <c r="AIM81" s="2">
        <v>1.6</v>
      </c>
      <c r="AIN81" s="2">
        <v>-0.8</v>
      </c>
      <c r="AIO81" s="2">
        <v>0.3</v>
      </c>
      <c r="AIP81" s="2">
        <v>1.1</v>
      </c>
      <c r="AIQ81" s="2">
        <v>-0.5</v>
      </c>
      <c r="AIR81" s="2">
        <v>1</v>
      </c>
      <c r="AIS81" s="2">
        <v>-1.6</v>
      </c>
      <c r="AIT81" s="2">
        <v>-1.7</v>
      </c>
      <c r="AIU81" s="2">
        <v>-0.2</v>
      </c>
      <c r="AIV81" s="2">
        <v>2.5</v>
      </c>
      <c r="AIW81" s="2">
        <v>-0.7</v>
      </c>
      <c r="AIX81" s="2">
        <v>-2.8</v>
      </c>
      <c r="AIY81" s="2">
        <v>-2.5</v>
      </c>
      <c r="AIZ81" s="2">
        <v>0.5</v>
      </c>
      <c r="AJA81" s="2">
        <v>4.1</v>
      </c>
      <c r="AJB81" s="2">
        <v>1.4</v>
      </c>
      <c r="AJC81" s="2">
        <v>-0.6</v>
      </c>
      <c r="AJD81" s="2">
        <v>0.9</v>
      </c>
      <c r="AJE81" s="2">
        <v>1.3</v>
      </c>
      <c r="AJF81" s="2">
        <v>-0.2</v>
      </c>
      <c r="AJG81" s="2">
        <v>-0.8</v>
      </c>
      <c r="AJH81" s="2">
        <v>-0.2</v>
      </c>
      <c r="AJI81" s="2">
        <v>-0.1</v>
      </c>
      <c r="AJJ81" s="2">
        <v>-0.2</v>
      </c>
      <c r="AJK81" s="2">
        <v>1.1</v>
      </c>
      <c r="AJL81" s="2">
        <v>1.5</v>
      </c>
      <c r="AJM81" s="2">
        <v>3.3</v>
      </c>
      <c r="AJN81" s="2">
        <v>0.8</v>
      </c>
      <c r="AJO81" s="2">
        <v>0.1</v>
      </c>
      <c r="AJP81" s="2">
        <v>1.9</v>
      </c>
      <c r="AJQ81" s="2">
        <v>0.7</v>
      </c>
      <c r="AJR81" s="2">
        <v>-0.7</v>
      </c>
      <c r="AJS81" s="2">
        <v>-0.1</v>
      </c>
      <c r="AJT81" s="2">
        <v>0.9</v>
      </c>
      <c r="AJU81" s="2">
        <v>-0.7</v>
      </c>
      <c r="AJV81" s="2">
        <v>0.3</v>
      </c>
      <c r="AJW81" s="2">
        <v>0.4</v>
      </c>
      <c r="AJX81" s="2">
        <v>6.7</v>
      </c>
      <c r="AJY81" s="2">
        <v>4</v>
      </c>
      <c r="AJZ81" s="2">
        <v>2.1</v>
      </c>
      <c r="AKA81" s="2">
        <v>5</v>
      </c>
      <c r="AKB81" s="2">
        <v>2.4</v>
      </c>
      <c r="AKC81" s="2">
        <v>0.1</v>
      </c>
      <c r="AKD81" s="2">
        <v>1</v>
      </c>
      <c r="AKE81" s="2">
        <v>-0.7</v>
      </c>
      <c r="AKF81" s="2">
        <v>1.6</v>
      </c>
      <c r="AKG81" s="2">
        <v>-0.8</v>
      </c>
      <c r="AKH81" s="2">
        <v>1.3</v>
      </c>
      <c r="AKI81" s="2">
        <v>-2.8</v>
      </c>
      <c r="AKJ81" s="2">
        <v>2.1</v>
      </c>
      <c r="AKK81" s="2">
        <v>-0.6</v>
      </c>
      <c r="AKL81" s="2">
        <v>-0.4</v>
      </c>
      <c r="AKM81" s="2">
        <v>1.1</v>
      </c>
      <c r="AKN81" s="2">
        <v>-0.5</v>
      </c>
      <c r="AKO81" s="2">
        <v>-1.1</v>
      </c>
      <c r="AKP81" s="2">
        <v>0.5</v>
      </c>
      <c r="AKQ81" s="2">
        <v>0.49</v>
      </c>
      <c r="AKR81" s="2">
        <v>0.49</v>
      </c>
    </row>
    <row r="82">
      <c r="A82" t="inlineStr">
        <is>
          <t>Veterinary and other services for pets</t>
        </is>
      </c>
      <c r="B82" t="inlineStr">
        <is>
          <t>Other recreation, sport and culture</t>
        </is>
      </c>
      <c r="C82">
        <v>3</v>
      </c>
      <c r="D82">
        <v>0.51</v>
      </c>
      <c r="E82" s="3">
        <f>D82/4.07*0.04076885496183206</f>
        <v>0.005108628017330306</v>
      </c>
      <c r="F82" s="3">
        <f>E82-D82/100</f>
        <v>8.628017330305701e-06</v>
      </c>
      <c r="G82" s="3">
        <f>D82/4.07</f>
        <v>0.1253071253071253</v>
      </c>
      <c r="CI82" s="2">
        <v>92.90000000000001</v>
      </c>
      <c r="CJ82" s="2">
        <v>93.36</v>
      </c>
      <c r="CK82" s="2">
        <v>94.02</v>
      </c>
      <c r="CL82" s="2">
        <v>94.54000000000001</v>
      </c>
      <c r="CM82" s="2">
        <v>95.23</v>
      </c>
      <c r="CN82" s="2">
        <v>95.34999999999999</v>
      </c>
      <c r="CO82" s="2">
        <v>95.89</v>
      </c>
      <c r="CP82" s="2">
        <v>95.84</v>
      </c>
      <c r="CQ82" s="2">
        <v>96.31999999999999</v>
      </c>
      <c r="CR82" s="2">
        <v>96.37</v>
      </c>
      <c r="CS82" s="2">
        <v>96.87</v>
      </c>
      <c r="CT82" s="2">
        <v>97.61</v>
      </c>
      <c r="CU82" s="2">
        <v>97.78</v>
      </c>
      <c r="CV82" s="2">
        <v>98.17</v>
      </c>
      <c r="CW82" s="2">
        <v>98.31</v>
      </c>
      <c r="CX82" s="2">
        <v>99.38</v>
      </c>
      <c r="CY82" s="2">
        <v>99.56</v>
      </c>
      <c r="CZ82" s="2">
        <v>100</v>
      </c>
      <c r="DA82" s="2">
        <v>100.25</v>
      </c>
      <c r="DB82" s="2">
        <v>100.25</v>
      </c>
      <c r="DC82" s="2">
        <v>100.48</v>
      </c>
      <c r="DD82" s="2">
        <v>101.36</v>
      </c>
      <c r="DE82" s="2">
        <v>101.64</v>
      </c>
      <c r="DF82" s="2">
        <v>101.68</v>
      </c>
      <c r="DG82" s="2">
        <v>101.62</v>
      </c>
      <c r="DH82" s="2">
        <v>101.74</v>
      </c>
      <c r="DI82" s="2">
        <v>101.82</v>
      </c>
      <c r="DJ82" s="2">
        <v>102.64</v>
      </c>
      <c r="GL82" s="2">
        <v>5.3</v>
      </c>
      <c r="GM82" s="2">
        <v>5.2</v>
      </c>
      <c r="GN82" s="2">
        <v>4.6</v>
      </c>
      <c r="GO82" s="2">
        <v>5.1</v>
      </c>
      <c r="GP82" s="2">
        <v>4.5</v>
      </c>
      <c r="GQ82" s="2">
        <v>4.9</v>
      </c>
      <c r="GR82" s="2">
        <v>4.5</v>
      </c>
      <c r="GS82" s="2">
        <v>4.6</v>
      </c>
      <c r="GT82" s="2">
        <v>4.3</v>
      </c>
      <c r="GU82" s="2">
        <v>5.2</v>
      </c>
      <c r="GV82" s="2">
        <v>4.9</v>
      </c>
      <c r="GW82" s="2">
        <v>4.2</v>
      </c>
      <c r="GX82" s="2">
        <v>3.9</v>
      </c>
      <c r="GY82" s="2">
        <v>3.6</v>
      </c>
      <c r="GZ82" s="2">
        <v>3.6</v>
      </c>
      <c r="HA82" s="2">
        <v>3.3</v>
      </c>
      <c r="KC82" s="2">
        <v>0.5</v>
      </c>
      <c r="KD82" s="2">
        <v>0.7</v>
      </c>
      <c r="KE82" s="2">
        <v>0.6</v>
      </c>
      <c r="KF82" s="2">
        <v>0.7</v>
      </c>
      <c r="KG82" s="2">
        <v>0.1</v>
      </c>
      <c r="KH82" s="2">
        <v>0.6</v>
      </c>
      <c r="KI82" s="2">
        <v>-0.1</v>
      </c>
      <c r="KJ82" s="2">
        <v>0.5</v>
      </c>
      <c r="KK82" s="2">
        <v>0.1</v>
      </c>
      <c r="KL82" s="2">
        <v>0.5</v>
      </c>
      <c r="KM82" s="2">
        <v>0.8</v>
      </c>
      <c r="KN82" s="2">
        <v>0.2</v>
      </c>
      <c r="KO82" s="2">
        <v>0.4</v>
      </c>
      <c r="KP82" s="2">
        <v>0.1</v>
      </c>
      <c r="KQ82" s="2">
        <v>1.1</v>
      </c>
      <c r="KR82" s="2">
        <v>0.2</v>
      </c>
      <c r="KS82" s="2">
        <v>0.4</v>
      </c>
      <c r="KT82" s="2">
        <v>0.3</v>
      </c>
      <c r="KU82" s="2">
        <v>0</v>
      </c>
      <c r="KV82" s="2">
        <v>0.2</v>
      </c>
      <c r="KW82" s="2">
        <v>0.9</v>
      </c>
      <c r="KX82" s="2">
        <v>0.3</v>
      </c>
      <c r="KY82" s="2">
        <v>0</v>
      </c>
      <c r="KZ82" s="2">
        <v>-0.1</v>
      </c>
      <c r="LA82" s="2">
        <v>0.1</v>
      </c>
      <c r="LB82" s="2">
        <v>0.1</v>
      </c>
      <c r="LC82" s="2">
        <v>0.8</v>
      </c>
      <c r="LD82" s="2">
        <v>0.5</v>
      </c>
      <c r="LE82" s="2">
        <v>0.5</v>
      </c>
      <c r="LF82" s="2">
        <v>0.5</v>
      </c>
      <c r="LG82" s="2">
        <v>0.5</v>
      </c>
      <c r="LH82" s="2">
        <v>0.5</v>
      </c>
      <c r="LI82" s="2">
        <v>0.51</v>
      </c>
      <c r="LJ82" s="2">
        <v>0.51</v>
      </c>
      <c r="LK82" s="2">
        <v>0.51</v>
      </c>
      <c r="LL82" s="2">
        <v>0.51</v>
      </c>
      <c r="LM82" s="2">
        <v>0.52</v>
      </c>
      <c r="LN82" s="2">
        <v>0.52</v>
      </c>
      <c r="LO82" s="2">
        <v>0.52</v>
      </c>
      <c r="LP82" s="2">
        <v>0.52</v>
      </c>
      <c r="LQ82" s="2">
        <v>0.52</v>
      </c>
      <c r="LR82" s="2">
        <v>0.52</v>
      </c>
      <c r="LS82" s="2">
        <v>0.52</v>
      </c>
      <c r="LT82" s="2">
        <v>0.52</v>
      </c>
      <c r="LU82" s="2">
        <v>0.52</v>
      </c>
      <c r="LV82" s="2">
        <v>0.53</v>
      </c>
      <c r="LW82" s="2">
        <v>0.53</v>
      </c>
      <c r="LX82" s="2">
        <v>0</v>
      </c>
      <c r="LY82" s="2">
        <v>0</v>
      </c>
      <c r="LZ82" s="2">
        <v>0</v>
      </c>
      <c r="MA82" s="2">
        <v>0</v>
      </c>
      <c r="MB82" s="2">
        <v>0.01</v>
      </c>
      <c r="MC82" s="2">
        <v>0</v>
      </c>
      <c r="MD82" s="2">
        <v>0</v>
      </c>
      <c r="ME82" s="2">
        <v>0</v>
      </c>
      <c r="MF82" s="2">
        <v>0.01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0.01</v>
      </c>
      <c r="MP82" s="2">
        <v>0</v>
      </c>
      <c r="SN82" s="2">
        <v>16.05</v>
      </c>
      <c r="SO82" s="2">
        <v>16.97</v>
      </c>
      <c r="SP82" s="2">
        <v>17.19</v>
      </c>
      <c r="SQ82" s="2">
        <v>17.61</v>
      </c>
      <c r="SR82" s="2">
        <v>17.74</v>
      </c>
      <c r="SS82" s="2">
        <v>18.72</v>
      </c>
      <c r="ST82" s="2">
        <v>18.98</v>
      </c>
      <c r="SU82" s="2">
        <v>19.2</v>
      </c>
      <c r="SV82" s="2">
        <v>19.58</v>
      </c>
      <c r="SW82" s="2">
        <v>20.25</v>
      </c>
      <c r="SX82" s="2">
        <v>20.73</v>
      </c>
      <c r="SY82" s="2">
        <v>21.02</v>
      </c>
      <c r="SZ82" s="2">
        <v>21.37</v>
      </c>
      <c r="TA82" s="2">
        <v>22.4</v>
      </c>
      <c r="TB82" s="2">
        <v>22.68</v>
      </c>
      <c r="TC82" s="2">
        <v>23.01</v>
      </c>
      <c r="TD82" s="2">
        <v>23.23</v>
      </c>
      <c r="TE82" s="2">
        <v>24.17</v>
      </c>
      <c r="TF82" s="2">
        <v>24.56</v>
      </c>
      <c r="TG82" s="2">
        <v>24.98</v>
      </c>
      <c r="TH82" s="2">
        <v>25.2</v>
      </c>
      <c r="TI82" s="2">
        <v>25.79</v>
      </c>
      <c r="TJ82" s="2">
        <v>25.98</v>
      </c>
      <c r="TK82" s="2">
        <v>26.14</v>
      </c>
      <c r="TL82" s="2">
        <v>26.42</v>
      </c>
      <c r="TM82" s="2">
        <v>26.64</v>
      </c>
      <c r="TN82" s="2">
        <v>27.08</v>
      </c>
      <c r="TO82" s="2">
        <v>27.58</v>
      </c>
      <c r="TP82" s="2">
        <v>27.82</v>
      </c>
      <c r="TQ82" s="2">
        <v>28.24</v>
      </c>
      <c r="TR82" s="2">
        <v>28.21</v>
      </c>
      <c r="TS82" s="2">
        <v>28.41</v>
      </c>
      <c r="TT82" s="2">
        <v>28.61</v>
      </c>
      <c r="TU82" s="2">
        <v>29</v>
      </c>
      <c r="TV82" s="2">
        <v>29.26</v>
      </c>
      <c r="TW82" s="2">
        <v>29.44</v>
      </c>
      <c r="TX82" s="2">
        <v>29.59</v>
      </c>
      <c r="TY82" s="2">
        <v>30.01</v>
      </c>
      <c r="TZ82" s="2">
        <v>30.18</v>
      </c>
      <c r="UA82" s="2">
        <v>30.53</v>
      </c>
      <c r="UB82" s="2">
        <v>30.58</v>
      </c>
      <c r="UC82" s="2">
        <v>31.1</v>
      </c>
      <c r="UD82" s="2">
        <v>31.61</v>
      </c>
      <c r="UE82" s="2">
        <v>31.69</v>
      </c>
      <c r="UF82" s="2">
        <v>31.78</v>
      </c>
      <c r="UG82" s="2">
        <v>32.02</v>
      </c>
      <c r="UH82" s="2">
        <v>32.28</v>
      </c>
      <c r="UI82" s="2">
        <v>32.18</v>
      </c>
      <c r="UJ82" s="2">
        <v>32.35</v>
      </c>
      <c r="UK82" s="2">
        <v>32.58</v>
      </c>
      <c r="UL82" s="2">
        <v>32.66</v>
      </c>
      <c r="UM82" s="2">
        <v>32.85</v>
      </c>
      <c r="UN82" s="2">
        <v>33.12</v>
      </c>
      <c r="UO82" s="2">
        <v>33.52</v>
      </c>
      <c r="UP82" s="2">
        <v>33.82</v>
      </c>
      <c r="UQ82" s="2">
        <v>37.34</v>
      </c>
      <c r="UR82" s="2">
        <v>37.43</v>
      </c>
      <c r="US82" s="2">
        <v>37.88</v>
      </c>
      <c r="UT82" s="2">
        <v>38.18</v>
      </c>
      <c r="UU82" s="2">
        <v>38.38</v>
      </c>
      <c r="UV82" s="2">
        <v>38.67</v>
      </c>
      <c r="UW82" s="2">
        <v>39.02</v>
      </c>
      <c r="UX82" s="2">
        <v>39.47</v>
      </c>
      <c r="UY82" s="2">
        <v>39.97</v>
      </c>
      <c r="UZ82" s="2">
        <v>40.11</v>
      </c>
      <c r="VA82" s="2">
        <v>40.42</v>
      </c>
      <c r="VB82" s="2">
        <v>40.64</v>
      </c>
      <c r="VC82" s="2">
        <v>41</v>
      </c>
      <c r="VD82" s="2">
        <v>41.17</v>
      </c>
      <c r="VE82" s="2">
        <v>41.66</v>
      </c>
      <c r="VF82" s="2">
        <v>42.26</v>
      </c>
      <c r="VG82" s="2">
        <v>42.59</v>
      </c>
      <c r="VH82" s="2">
        <v>42.7</v>
      </c>
      <c r="VI82" s="2">
        <v>42.93</v>
      </c>
      <c r="VJ82" s="2">
        <v>43.15</v>
      </c>
      <c r="VK82" s="2">
        <v>43.75</v>
      </c>
      <c r="VL82" s="2">
        <v>44.11</v>
      </c>
      <c r="VM82" s="2">
        <v>44.62</v>
      </c>
      <c r="VN82" s="2">
        <v>44.82</v>
      </c>
      <c r="VO82" s="2">
        <v>45.37</v>
      </c>
      <c r="VP82" s="2">
        <v>45.59</v>
      </c>
      <c r="VQ82" s="2">
        <v>46.2</v>
      </c>
      <c r="VR82" s="2">
        <v>46.47</v>
      </c>
      <c r="VS82" s="2">
        <v>47.3</v>
      </c>
      <c r="VT82" s="2">
        <v>47.64</v>
      </c>
      <c r="VU82" s="2">
        <v>48.14</v>
      </c>
      <c r="VV82" s="2">
        <v>48.46</v>
      </c>
      <c r="VW82" s="2">
        <v>49</v>
      </c>
      <c r="VX82" s="2">
        <v>49.42</v>
      </c>
      <c r="VY82" s="2">
        <v>50.18</v>
      </c>
      <c r="VZ82" s="2">
        <v>50.3</v>
      </c>
      <c r="WA82" s="2">
        <v>51.02</v>
      </c>
      <c r="WB82" s="2">
        <v>51.32</v>
      </c>
      <c r="WC82" s="2">
        <v>51.87</v>
      </c>
      <c r="WD82" s="2">
        <v>52.37</v>
      </c>
      <c r="WE82" s="2">
        <v>52.94</v>
      </c>
      <c r="WF82" s="2">
        <v>53.38</v>
      </c>
      <c r="WG82" s="2">
        <v>53.82</v>
      </c>
      <c r="WH82" s="2">
        <v>54.62</v>
      </c>
      <c r="WI82" s="2">
        <v>55.51</v>
      </c>
      <c r="WJ82" s="2">
        <v>56.05</v>
      </c>
      <c r="WK82" s="2">
        <v>56.65</v>
      </c>
      <c r="WL82" s="2">
        <v>56.78</v>
      </c>
      <c r="WM82" s="2">
        <v>57.23</v>
      </c>
      <c r="WN82" s="2">
        <v>57.67</v>
      </c>
      <c r="WO82" s="2">
        <v>58.11</v>
      </c>
      <c r="WP82" s="2">
        <v>58.35</v>
      </c>
      <c r="WQ82" s="2">
        <v>58.77</v>
      </c>
      <c r="WR82" s="2">
        <v>59.05</v>
      </c>
      <c r="WS82" s="2">
        <v>60.06</v>
      </c>
      <c r="WT82" s="2">
        <v>60.36</v>
      </c>
      <c r="WU82" s="2">
        <v>61.1</v>
      </c>
      <c r="WV82" s="2">
        <v>61.92</v>
      </c>
      <c r="WW82" s="2">
        <v>62.67</v>
      </c>
      <c r="WX82" s="2">
        <v>62.82</v>
      </c>
      <c r="WY82" s="2">
        <v>63.4</v>
      </c>
      <c r="WZ82" s="2">
        <v>63.93</v>
      </c>
      <c r="XA82" s="2">
        <v>64.76000000000001</v>
      </c>
      <c r="XB82" s="2">
        <v>65.5</v>
      </c>
      <c r="XC82" s="2">
        <v>66.11</v>
      </c>
      <c r="XD82" s="2">
        <v>66.54000000000001</v>
      </c>
      <c r="XE82" s="2">
        <v>66.8</v>
      </c>
      <c r="XF82" s="2">
        <v>67.34</v>
      </c>
      <c r="XG82" s="2">
        <v>68.34999999999999</v>
      </c>
      <c r="XH82" s="2">
        <v>68.62</v>
      </c>
      <c r="XI82" s="2">
        <v>69.22</v>
      </c>
      <c r="XJ82" s="2">
        <v>69.7</v>
      </c>
      <c r="XK82" s="2">
        <v>70.02</v>
      </c>
      <c r="XL82" s="2">
        <v>70</v>
      </c>
      <c r="XM82" s="2">
        <v>70.66</v>
      </c>
      <c r="XN82" s="2">
        <v>70.88</v>
      </c>
      <c r="XO82" s="2">
        <v>72.02</v>
      </c>
      <c r="XP82" s="2">
        <v>72.2</v>
      </c>
      <c r="XQ82" s="2">
        <v>72.63</v>
      </c>
      <c r="XR82" s="2">
        <v>72.83</v>
      </c>
      <c r="XS82" s="2">
        <v>73.25</v>
      </c>
      <c r="XT82" s="2">
        <v>73.45999999999999</v>
      </c>
      <c r="XU82" s="2">
        <v>74.15000000000001</v>
      </c>
      <c r="XV82" s="2">
        <v>75.95999999999999</v>
      </c>
      <c r="XW82" s="2">
        <v>77.42</v>
      </c>
      <c r="XX82" s="2">
        <v>77.90000000000001</v>
      </c>
      <c r="XY82" s="2">
        <v>79.38</v>
      </c>
      <c r="XZ82" s="2">
        <v>81.42</v>
      </c>
      <c r="YA82" s="2">
        <v>83.51000000000001</v>
      </c>
      <c r="YB82" s="2">
        <v>84.63</v>
      </c>
      <c r="YC82" s="2">
        <v>85.83</v>
      </c>
      <c r="YD82" s="2">
        <v>87.7</v>
      </c>
      <c r="YE82" s="2">
        <v>89.79000000000001</v>
      </c>
      <c r="YF82" s="2">
        <v>91.06</v>
      </c>
      <c r="YG82" s="2">
        <v>91.91</v>
      </c>
      <c r="YH82" s="2">
        <v>93.61</v>
      </c>
      <c r="YI82" s="2">
        <v>94.93000000000001</v>
      </c>
      <c r="YJ82" s="2">
        <v>95.92</v>
      </c>
      <c r="YK82" s="2">
        <v>97.19</v>
      </c>
      <c r="YL82" s="2">
        <v>97.90000000000001</v>
      </c>
      <c r="YM82" s="2">
        <v>99.65000000000001</v>
      </c>
      <c r="YN82" s="2">
        <v>100.33</v>
      </c>
      <c r="YO82" s="2">
        <v>101.56</v>
      </c>
      <c r="YP82" s="2">
        <v>101.73</v>
      </c>
      <c r="AEN82" s="2">
        <v>5.7</v>
      </c>
      <c r="AEO82" s="2">
        <v>1.3</v>
      </c>
      <c r="AEP82" s="2">
        <v>2.4</v>
      </c>
      <c r="AEQ82" s="2">
        <v>0.7</v>
      </c>
      <c r="AER82" s="2">
        <v>5.5</v>
      </c>
      <c r="AES82" s="2">
        <v>1.4</v>
      </c>
      <c r="AET82" s="2">
        <v>1.2</v>
      </c>
      <c r="AEU82" s="2">
        <v>2</v>
      </c>
      <c r="AEV82" s="2">
        <v>3.4</v>
      </c>
      <c r="AEW82" s="2">
        <v>2.4</v>
      </c>
      <c r="AEX82" s="2">
        <v>1.4</v>
      </c>
      <c r="AEY82" s="2">
        <v>1.7</v>
      </c>
      <c r="AEZ82" s="2">
        <v>4.8</v>
      </c>
      <c r="AFA82" s="2">
        <v>1.3</v>
      </c>
      <c r="AFB82" s="2">
        <v>1.5</v>
      </c>
      <c r="AFC82" s="2">
        <v>1</v>
      </c>
      <c r="AFD82" s="2">
        <v>4</v>
      </c>
      <c r="AFE82" s="2">
        <v>1.6</v>
      </c>
      <c r="AFF82" s="2">
        <v>1.7</v>
      </c>
      <c r="AFG82" s="2">
        <v>0.9</v>
      </c>
      <c r="AFH82" s="2">
        <v>2.3</v>
      </c>
      <c r="AFI82" s="2">
        <v>0.7</v>
      </c>
      <c r="AFJ82" s="2">
        <v>0.6</v>
      </c>
      <c r="AFK82" s="2">
        <v>1.1</v>
      </c>
      <c r="AFL82" s="2">
        <v>0.8</v>
      </c>
      <c r="AFM82" s="2">
        <v>1.7</v>
      </c>
      <c r="AFN82" s="2">
        <v>1.8</v>
      </c>
      <c r="AFO82" s="2">
        <v>0.9</v>
      </c>
      <c r="AFP82" s="2">
        <v>1.5</v>
      </c>
      <c r="AFQ82" s="2">
        <v>-0.1</v>
      </c>
      <c r="AFR82" s="2">
        <v>0.7</v>
      </c>
      <c r="AFS82" s="2">
        <v>0.7</v>
      </c>
      <c r="AFT82" s="2">
        <v>1.4</v>
      </c>
      <c r="AFU82" s="2">
        <v>0.9</v>
      </c>
      <c r="AFV82" s="2">
        <v>0.6</v>
      </c>
      <c r="AFW82" s="2">
        <v>0.5</v>
      </c>
      <c r="AFX82" s="2">
        <v>1.4</v>
      </c>
      <c r="AFY82" s="2">
        <v>0.6</v>
      </c>
      <c r="AFZ82" s="2">
        <v>1.2</v>
      </c>
      <c r="AGA82" s="2">
        <v>0.2</v>
      </c>
      <c r="AGB82" s="2">
        <v>1.7</v>
      </c>
      <c r="AGC82" s="2">
        <v>1.6</v>
      </c>
      <c r="AGD82" s="2">
        <v>0.3</v>
      </c>
      <c r="AGE82" s="2">
        <v>0.3</v>
      </c>
      <c r="AGF82" s="2">
        <v>0.8</v>
      </c>
      <c r="AGG82" s="2">
        <v>0.8</v>
      </c>
      <c r="AGH82" s="2">
        <v>-0.3</v>
      </c>
      <c r="AGI82" s="2">
        <v>0.5</v>
      </c>
      <c r="AGJ82" s="2">
        <v>0.7</v>
      </c>
      <c r="AGK82" s="2">
        <v>0.2</v>
      </c>
      <c r="AGL82" s="2">
        <v>0.6</v>
      </c>
      <c r="AGM82" s="2">
        <v>0.8</v>
      </c>
      <c r="AGN82" s="2">
        <v>1.2</v>
      </c>
      <c r="AGO82" s="2">
        <v>0.9</v>
      </c>
      <c r="AGP82" s="2">
        <v>10.4</v>
      </c>
      <c r="AGQ82" s="2">
        <v>0.2</v>
      </c>
      <c r="AGR82" s="2">
        <v>1.2</v>
      </c>
      <c r="AGS82" s="2">
        <v>0.8</v>
      </c>
      <c r="AGT82" s="2">
        <v>0.5</v>
      </c>
      <c r="AGU82" s="2">
        <v>0.8</v>
      </c>
      <c r="AGV82" s="2">
        <v>0.9</v>
      </c>
      <c r="AGW82" s="2">
        <v>1.2</v>
      </c>
      <c r="AGX82" s="2">
        <v>1.3</v>
      </c>
      <c r="AGY82" s="2">
        <v>0.4</v>
      </c>
      <c r="AGZ82" s="2">
        <v>0.8</v>
      </c>
      <c r="AHA82" s="2">
        <v>0.5</v>
      </c>
      <c r="AHB82" s="2">
        <v>0.9</v>
      </c>
      <c r="AHC82" s="2">
        <v>0.4</v>
      </c>
      <c r="AHD82" s="2">
        <v>1.2</v>
      </c>
      <c r="AHE82" s="2">
        <v>1.4</v>
      </c>
      <c r="AHF82" s="2">
        <v>0.8</v>
      </c>
      <c r="AHG82" s="2">
        <v>0.3</v>
      </c>
      <c r="AHH82" s="2">
        <v>0.5</v>
      </c>
      <c r="AHI82" s="2">
        <v>0.5</v>
      </c>
      <c r="AHJ82" s="2">
        <v>1.4</v>
      </c>
      <c r="AHK82" s="2">
        <v>0.8</v>
      </c>
      <c r="AHL82" s="2">
        <v>1.2</v>
      </c>
      <c r="AHM82" s="2">
        <v>0.4</v>
      </c>
      <c r="AHN82" s="2">
        <v>1.2</v>
      </c>
      <c r="AHO82" s="2">
        <v>0.5</v>
      </c>
      <c r="AHP82" s="2">
        <v>1.3</v>
      </c>
      <c r="AHQ82" s="2">
        <v>0.6</v>
      </c>
      <c r="AHR82" s="2">
        <v>1.8</v>
      </c>
      <c r="AHS82" s="2">
        <v>0.7</v>
      </c>
      <c r="AHT82" s="2">
        <v>1</v>
      </c>
      <c r="AHU82" s="2">
        <v>0.7</v>
      </c>
      <c r="AHV82" s="2">
        <v>1.1</v>
      </c>
      <c r="AHW82" s="2">
        <v>0.9</v>
      </c>
      <c r="AHX82" s="2">
        <v>1.5</v>
      </c>
      <c r="AHY82" s="2">
        <v>0.2</v>
      </c>
      <c r="AHZ82" s="2">
        <v>1.4</v>
      </c>
      <c r="AIA82" s="2">
        <v>0.6</v>
      </c>
      <c r="AIB82" s="2">
        <v>1.1</v>
      </c>
      <c r="AIC82" s="2">
        <v>1</v>
      </c>
      <c r="AID82" s="2">
        <v>1.1</v>
      </c>
      <c r="AIE82" s="2">
        <v>0.8</v>
      </c>
      <c r="AIF82" s="2">
        <v>0.8</v>
      </c>
      <c r="AIG82" s="2">
        <v>1.5</v>
      </c>
      <c r="AIH82" s="2">
        <v>1.6</v>
      </c>
      <c r="AII82" s="2">
        <v>1</v>
      </c>
      <c r="AIJ82" s="2">
        <v>1.1</v>
      </c>
      <c r="AIK82" s="2">
        <v>0.2</v>
      </c>
      <c r="AIL82" s="2">
        <v>0.8</v>
      </c>
      <c r="AIM82" s="2">
        <v>0.8</v>
      </c>
      <c r="AIN82" s="2">
        <v>0.8</v>
      </c>
      <c r="AIO82" s="2">
        <v>0.4</v>
      </c>
      <c r="AIP82" s="2">
        <v>0.7</v>
      </c>
      <c r="AIQ82" s="2">
        <v>0.5</v>
      </c>
      <c r="AIR82" s="2">
        <v>1.7</v>
      </c>
      <c r="AIS82" s="2">
        <v>0.5</v>
      </c>
      <c r="AIT82" s="2">
        <v>1.2</v>
      </c>
      <c r="AIU82" s="2">
        <v>1.3</v>
      </c>
      <c r="AIV82" s="2">
        <v>1.2</v>
      </c>
      <c r="AIW82" s="2">
        <v>0.2</v>
      </c>
      <c r="AIX82" s="2">
        <v>0.9</v>
      </c>
      <c r="AIY82" s="2">
        <v>0.8</v>
      </c>
      <c r="AIZ82" s="2">
        <v>1.3</v>
      </c>
      <c r="AJA82" s="2">
        <v>1.1</v>
      </c>
      <c r="AJB82" s="2">
        <v>0.9</v>
      </c>
      <c r="AJC82" s="2">
        <v>0.7</v>
      </c>
      <c r="AJD82" s="2">
        <v>0.4</v>
      </c>
      <c r="AJE82" s="2">
        <v>0.8</v>
      </c>
      <c r="AJF82" s="2">
        <v>1.5</v>
      </c>
      <c r="AJG82" s="2">
        <v>0.4</v>
      </c>
      <c r="AJH82" s="2">
        <v>0.9</v>
      </c>
      <c r="AJI82" s="2">
        <v>0.7</v>
      </c>
      <c r="AJJ82" s="2">
        <v>0.5</v>
      </c>
      <c r="AJK82" s="2">
        <v>0</v>
      </c>
      <c r="AJL82" s="2">
        <v>0.9</v>
      </c>
      <c r="AJM82" s="2">
        <v>0.3</v>
      </c>
      <c r="AJN82" s="2">
        <v>1.6</v>
      </c>
      <c r="AJO82" s="2">
        <v>0.2</v>
      </c>
      <c r="AJP82" s="2">
        <v>0.6</v>
      </c>
      <c r="AJQ82" s="2">
        <v>0.3</v>
      </c>
      <c r="AJR82" s="2">
        <v>0.6</v>
      </c>
      <c r="AJS82" s="2">
        <v>0.3</v>
      </c>
      <c r="AJT82" s="2">
        <v>0.9</v>
      </c>
      <c r="AJU82" s="2">
        <v>2.4</v>
      </c>
      <c r="AJV82" s="2">
        <v>1.9</v>
      </c>
      <c r="AJW82" s="2">
        <v>0.6</v>
      </c>
      <c r="AJX82" s="2">
        <v>1.9</v>
      </c>
      <c r="AJY82" s="2">
        <v>2.6</v>
      </c>
      <c r="AJZ82" s="2">
        <v>2.6</v>
      </c>
      <c r="AKA82" s="2">
        <v>1.3</v>
      </c>
      <c r="AKB82" s="2">
        <v>1.4</v>
      </c>
      <c r="AKC82" s="2">
        <v>2.2</v>
      </c>
      <c r="AKD82" s="2">
        <v>2.4</v>
      </c>
      <c r="AKE82" s="2">
        <v>1.4</v>
      </c>
      <c r="AKF82" s="2">
        <v>0.9</v>
      </c>
      <c r="AKG82" s="2">
        <v>1.8</v>
      </c>
      <c r="AKH82" s="2">
        <v>1.4</v>
      </c>
      <c r="AKI82" s="2">
        <v>1</v>
      </c>
      <c r="AKJ82" s="2">
        <v>1.3</v>
      </c>
      <c r="AKK82" s="2">
        <v>0.7</v>
      </c>
      <c r="AKL82" s="2">
        <v>1.8</v>
      </c>
      <c r="AKM82" s="2">
        <v>0.7</v>
      </c>
      <c r="AKN82" s="2">
        <v>1.2</v>
      </c>
      <c r="AKO82" s="2">
        <v>0.2</v>
      </c>
      <c r="AKP82" s="2">
        <v>0.52</v>
      </c>
      <c r="AKQ82" s="2">
        <v>0.52</v>
      </c>
      <c r="AKR82" s="2">
        <v>0.52</v>
      </c>
    </row>
    <row r="83">
      <c r="A83" t="inlineStr">
        <is>
          <t>Sports participation</t>
        </is>
      </c>
      <c r="B83" t="inlineStr">
        <is>
          <t>Other recreation, sport and culture</t>
        </is>
      </c>
      <c r="C83">
        <v>3</v>
      </c>
      <c r="D83">
        <v>1.06</v>
      </c>
      <c r="E83" s="3">
        <f>D83/4.07*0.04076885496183206</f>
        <v>0.010617932741902206</v>
      </c>
      <c r="F83" s="3">
        <f>E83-D83/100</f>
        <v>1.7932741902206353e-05</v>
      </c>
      <c r="G83" s="3">
        <f>D83/4.07</f>
        <v>0.26044226044226043</v>
      </c>
      <c r="CI83" s="2">
        <v>93.34</v>
      </c>
      <c r="CJ83" s="2">
        <v>93.54000000000001</v>
      </c>
      <c r="CK83" s="2">
        <v>93.65000000000001</v>
      </c>
      <c r="CL83" s="2">
        <v>95.66</v>
      </c>
      <c r="CM83" s="2">
        <v>96.17</v>
      </c>
      <c r="CN83" s="2">
        <v>96.59</v>
      </c>
      <c r="CO83" s="2">
        <v>96.66</v>
      </c>
      <c r="CP83" s="2">
        <v>96.75</v>
      </c>
      <c r="CQ83" s="2">
        <v>96.70999999999999</v>
      </c>
      <c r="CR83" s="2">
        <v>97</v>
      </c>
      <c r="CS83" s="2">
        <v>97.97</v>
      </c>
      <c r="CT83" s="2">
        <v>97.78</v>
      </c>
      <c r="CU83" s="2">
        <v>98.23999999999999</v>
      </c>
      <c r="CV83" s="2">
        <v>98.28</v>
      </c>
      <c r="CW83" s="2">
        <v>98.38</v>
      </c>
      <c r="CX83" s="2">
        <v>99.48</v>
      </c>
      <c r="CY83" s="2">
        <v>99.79000000000001</v>
      </c>
      <c r="CZ83" s="2">
        <v>100</v>
      </c>
      <c r="DA83" s="2">
        <v>100.44</v>
      </c>
      <c r="DB83" s="2">
        <v>100.54</v>
      </c>
      <c r="DC83" s="2">
        <v>100.69</v>
      </c>
      <c r="DD83" s="2">
        <v>101.07</v>
      </c>
      <c r="DE83" s="2">
        <v>101.23</v>
      </c>
      <c r="DF83" s="2">
        <v>101.41</v>
      </c>
      <c r="DG83" s="2">
        <v>102.18</v>
      </c>
      <c r="DH83" s="2">
        <v>102.19</v>
      </c>
      <c r="DI83" s="2">
        <v>102.77</v>
      </c>
      <c r="DJ83" s="2">
        <v>104.43</v>
      </c>
      <c r="GL83" s="2">
        <v>5.2</v>
      </c>
      <c r="GM83" s="2">
        <v>5.1</v>
      </c>
      <c r="GN83" s="2">
        <v>5.1</v>
      </c>
      <c r="GO83" s="2">
        <v>4</v>
      </c>
      <c r="GP83" s="2">
        <v>3.8</v>
      </c>
      <c r="GQ83" s="2">
        <v>3.5</v>
      </c>
      <c r="GR83" s="2">
        <v>3.9</v>
      </c>
      <c r="GS83" s="2">
        <v>3.9</v>
      </c>
      <c r="GT83" s="2">
        <v>4.1</v>
      </c>
      <c r="GU83" s="2">
        <v>4.2</v>
      </c>
      <c r="GV83" s="2">
        <v>3.3</v>
      </c>
      <c r="GW83" s="2">
        <v>3.7</v>
      </c>
      <c r="GX83" s="2">
        <v>4</v>
      </c>
      <c r="GY83" s="2">
        <v>4</v>
      </c>
      <c r="GZ83" s="2">
        <v>4.5</v>
      </c>
      <c r="HA83" s="2">
        <v>5</v>
      </c>
      <c r="KC83" s="2">
        <v>0.2</v>
      </c>
      <c r="KD83" s="2">
        <v>0.1</v>
      </c>
      <c r="KE83" s="2">
        <v>2.1</v>
      </c>
      <c r="KF83" s="2">
        <v>0.5</v>
      </c>
      <c r="KG83" s="2">
        <v>0.4</v>
      </c>
      <c r="KH83" s="2">
        <v>0.1</v>
      </c>
      <c r="KI83" s="2">
        <v>0.1</v>
      </c>
      <c r="KJ83" s="2">
        <v>0</v>
      </c>
      <c r="KK83" s="2">
        <v>0.3</v>
      </c>
      <c r="KL83" s="2">
        <v>1</v>
      </c>
      <c r="KM83" s="2">
        <v>-0.2</v>
      </c>
      <c r="KN83" s="2">
        <v>0.5</v>
      </c>
      <c r="KO83" s="2">
        <v>0</v>
      </c>
      <c r="KP83" s="2">
        <v>0.1</v>
      </c>
      <c r="KQ83" s="2">
        <v>1.1</v>
      </c>
      <c r="KR83" s="2">
        <v>0.3</v>
      </c>
      <c r="KS83" s="2">
        <v>0.2</v>
      </c>
      <c r="KT83" s="2">
        <v>0.4</v>
      </c>
      <c r="KU83" s="2">
        <v>0.1</v>
      </c>
      <c r="KV83" s="2">
        <v>0.1</v>
      </c>
      <c r="KW83" s="2">
        <v>0.4</v>
      </c>
      <c r="KX83" s="2">
        <v>0.2</v>
      </c>
      <c r="KY83" s="2">
        <v>0.2</v>
      </c>
      <c r="KZ83" s="2">
        <v>0.8</v>
      </c>
      <c r="LA83" s="2">
        <v>0</v>
      </c>
      <c r="LB83" s="2">
        <v>0.6</v>
      </c>
      <c r="LC83" s="2">
        <v>1.6</v>
      </c>
      <c r="LD83" s="2">
        <v>1.03</v>
      </c>
      <c r="LE83" s="2">
        <v>1.04</v>
      </c>
      <c r="LF83" s="2">
        <v>1.05</v>
      </c>
      <c r="LG83" s="2">
        <v>1.04</v>
      </c>
      <c r="LH83" s="2">
        <v>1.05</v>
      </c>
      <c r="LI83" s="2">
        <v>1.05</v>
      </c>
      <c r="LJ83" s="2">
        <v>1.05</v>
      </c>
      <c r="LK83" s="2">
        <v>1.06</v>
      </c>
      <c r="LL83" s="2">
        <v>1.07</v>
      </c>
      <c r="LM83" s="2">
        <v>1.07</v>
      </c>
      <c r="LN83" s="2">
        <v>1.07</v>
      </c>
      <c r="LO83" s="2">
        <v>1.07</v>
      </c>
      <c r="LP83" s="2">
        <v>1.08</v>
      </c>
      <c r="LQ83" s="2">
        <v>1.08</v>
      </c>
      <c r="LR83" s="2">
        <v>1.08</v>
      </c>
      <c r="LS83" s="2">
        <v>1.08</v>
      </c>
      <c r="LT83" s="2">
        <v>1.09</v>
      </c>
      <c r="LU83" s="2">
        <v>1.09</v>
      </c>
      <c r="LV83" s="2">
        <v>1.1</v>
      </c>
      <c r="LW83" s="2">
        <v>1.12</v>
      </c>
      <c r="LX83" s="2">
        <v>0.01</v>
      </c>
      <c r="LY83" s="2">
        <v>0.01</v>
      </c>
      <c r="LZ83" s="2">
        <v>-0.01</v>
      </c>
      <c r="MA83" s="2">
        <v>0.01</v>
      </c>
      <c r="MB83" s="2">
        <v>0</v>
      </c>
      <c r="MC83" s="2">
        <v>0</v>
      </c>
      <c r="MD83" s="2">
        <v>0.01</v>
      </c>
      <c r="ME83" s="2">
        <v>0.01</v>
      </c>
      <c r="MF83" s="2">
        <v>0</v>
      </c>
      <c r="MG83" s="2">
        <v>0</v>
      </c>
      <c r="MH83" s="2">
        <v>0</v>
      </c>
      <c r="MI83" s="2">
        <v>0.01</v>
      </c>
      <c r="MJ83" s="2">
        <v>0</v>
      </c>
      <c r="MK83" s="2">
        <v>0</v>
      </c>
      <c r="ML83" s="2">
        <v>0</v>
      </c>
      <c r="MM83" s="2">
        <v>0.01</v>
      </c>
      <c r="MN83" s="2">
        <v>0</v>
      </c>
      <c r="MO83" s="2">
        <v>0.01</v>
      </c>
      <c r="MP83" s="2">
        <v>0.02</v>
      </c>
      <c r="UH83" s="2">
        <v>35.64</v>
      </c>
      <c r="UI83" s="2">
        <v>35.72</v>
      </c>
      <c r="UJ83" s="2">
        <v>35.81</v>
      </c>
      <c r="UK83" s="2">
        <v>36.18</v>
      </c>
      <c r="UL83" s="2">
        <v>36.43</v>
      </c>
      <c r="UM83" s="2">
        <v>37.04</v>
      </c>
      <c r="UN83" s="2">
        <v>37.63</v>
      </c>
      <c r="UO83" s="2">
        <v>38.24</v>
      </c>
      <c r="UP83" s="2">
        <v>38.97</v>
      </c>
      <c r="UQ83" s="2">
        <v>42.66</v>
      </c>
      <c r="UR83" s="2">
        <v>43.34</v>
      </c>
      <c r="US83" s="2">
        <v>43.74</v>
      </c>
      <c r="UT83" s="2">
        <v>43.87</v>
      </c>
      <c r="UU83" s="2">
        <v>44.42</v>
      </c>
      <c r="UV83" s="2">
        <v>44.65</v>
      </c>
      <c r="UW83" s="2">
        <v>45.25</v>
      </c>
      <c r="UX83" s="2">
        <v>45.62</v>
      </c>
      <c r="UY83" s="2">
        <v>46.28</v>
      </c>
      <c r="UZ83" s="2">
        <v>46.59</v>
      </c>
      <c r="VA83" s="2">
        <v>46.97</v>
      </c>
      <c r="VB83" s="2">
        <v>47.49</v>
      </c>
      <c r="VC83" s="2">
        <v>48.25</v>
      </c>
      <c r="VD83" s="2">
        <v>48.56</v>
      </c>
      <c r="VE83" s="2">
        <v>49.04</v>
      </c>
      <c r="VF83" s="2">
        <v>49.51</v>
      </c>
      <c r="VG83" s="2">
        <v>50.33</v>
      </c>
      <c r="VH83" s="2">
        <v>50.81</v>
      </c>
      <c r="VI83" s="2">
        <v>51.14</v>
      </c>
      <c r="VJ83" s="2">
        <v>51.74</v>
      </c>
      <c r="VK83" s="2">
        <v>52.83</v>
      </c>
      <c r="VL83" s="2">
        <v>53.05</v>
      </c>
      <c r="VM83" s="2">
        <v>53.53</v>
      </c>
      <c r="VN83" s="2">
        <v>53.6</v>
      </c>
      <c r="VO83" s="2">
        <v>54.54</v>
      </c>
      <c r="VP83" s="2">
        <v>54.92</v>
      </c>
      <c r="VQ83" s="2">
        <v>55.12</v>
      </c>
      <c r="VR83" s="2">
        <v>55.29</v>
      </c>
      <c r="VS83" s="2">
        <v>57.48</v>
      </c>
      <c r="VT83" s="2">
        <v>57.95</v>
      </c>
      <c r="VU83" s="2">
        <v>58.33</v>
      </c>
      <c r="VV83" s="2">
        <v>58.74</v>
      </c>
      <c r="VW83" s="2">
        <v>60.3</v>
      </c>
      <c r="VX83" s="2">
        <v>60.11</v>
      </c>
      <c r="VY83" s="2">
        <v>60.28</v>
      </c>
      <c r="VZ83" s="2">
        <v>60.52</v>
      </c>
      <c r="WA83" s="2">
        <v>61.8</v>
      </c>
      <c r="WB83" s="2">
        <v>62.13</v>
      </c>
      <c r="WC83" s="2">
        <v>62.56</v>
      </c>
      <c r="WD83" s="2">
        <v>62.81</v>
      </c>
      <c r="WE83" s="2">
        <v>64.14</v>
      </c>
      <c r="WF83" s="2">
        <v>64.39</v>
      </c>
      <c r="WG83" s="2">
        <v>65.06</v>
      </c>
      <c r="WH83" s="2">
        <v>65.19</v>
      </c>
      <c r="WI83" s="2">
        <v>66.55</v>
      </c>
      <c r="WJ83" s="2">
        <v>66.7</v>
      </c>
      <c r="WK83" s="2">
        <v>67.06</v>
      </c>
      <c r="WL83" s="2">
        <v>67.34</v>
      </c>
      <c r="WM83" s="2">
        <v>68.93000000000001</v>
      </c>
      <c r="WN83" s="2">
        <v>69.34999999999999</v>
      </c>
      <c r="WO83" s="2">
        <v>70</v>
      </c>
      <c r="WP83" s="2">
        <v>70.52</v>
      </c>
      <c r="WQ83" s="2">
        <v>71.75</v>
      </c>
      <c r="WR83" s="2">
        <v>71.84</v>
      </c>
      <c r="WS83" s="2">
        <v>72.97</v>
      </c>
      <c r="WT83" s="2">
        <v>74.38</v>
      </c>
      <c r="WU83" s="2">
        <v>74.55</v>
      </c>
      <c r="WV83" s="2">
        <v>75.03</v>
      </c>
      <c r="WW83" s="2">
        <v>75.68000000000001</v>
      </c>
      <c r="WX83" s="2">
        <v>75.88</v>
      </c>
      <c r="WY83" s="2">
        <v>76.73</v>
      </c>
      <c r="WZ83" s="2">
        <v>77.23999999999999</v>
      </c>
      <c r="XA83" s="2">
        <v>77.88</v>
      </c>
      <c r="XB83" s="2">
        <v>78.04000000000001</v>
      </c>
      <c r="XC83" s="2">
        <v>78.31</v>
      </c>
      <c r="XD83" s="2">
        <v>78.87</v>
      </c>
      <c r="XE83" s="2">
        <v>79.23</v>
      </c>
      <c r="XF83" s="2">
        <v>79.69</v>
      </c>
      <c r="XG83" s="2">
        <v>81.26000000000001</v>
      </c>
      <c r="XH83" s="2">
        <v>81.75</v>
      </c>
      <c r="XI83" s="2">
        <v>80.92</v>
      </c>
      <c r="XJ83" s="2">
        <v>79.26000000000001</v>
      </c>
      <c r="XK83" s="2">
        <v>80.8</v>
      </c>
      <c r="XL83" s="2">
        <v>82.22</v>
      </c>
      <c r="XM83" s="2">
        <v>81.2</v>
      </c>
      <c r="XN83" s="2">
        <v>82.41</v>
      </c>
      <c r="XO83" s="2">
        <v>82.09</v>
      </c>
      <c r="XP83" s="2">
        <v>83.26000000000001</v>
      </c>
      <c r="XQ83" s="2">
        <v>82.37</v>
      </c>
      <c r="XR83" s="2">
        <v>80.77</v>
      </c>
      <c r="XS83" s="2">
        <v>81.31999999999999</v>
      </c>
      <c r="XT83" s="2">
        <v>82.27</v>
      </c>
      <c r="XU83" s="2">
        <v>81.01000000000001</v>
      </c>
      <c r="XV83" s="2">
        <v>81.98999999999999</v>
      </c>
      <c r="XW83" s="2">
        <v>83.16</v>
      </c>
      <c r="XX83" s="2">
        <v>82.98999999999999</v>
      </c>
      <c r="XY83" s="2">
        <v>82.70999999999999</v>
      </c>
      <c r="XZ83" s="2">
        <v>84.11</v>
      </c>
      <c r="YA83" s="2">
        <v>84.62</v>
      </c>
      <c r="YB83" s="2">
        <v>85.84</v>
      </c>
      <c r="YC83" s="2">
        <v>85.81</v>
      </c>
      <c r="YD83" s="2">
        <v>88.62</v>
      </c>
      <c r="YE83" s="2">
        <v>90.40000000000001</v>
      </c>
      <c r="YF83" s="2">
        <v>91.41</v>
      </c>
      <c r="YG83" s="2">
        <v>92.54000000000001</v>
      </c>
      <c r="YH83" s="2">
        <v>93.40000000000001</v>
      </c>
      <c r="YI83" s="2">
        <v>96.3</v>
      </c>
      <c r="YJ83" s="2">
        <v>96.67</v>
      </c>
      <c r="YK83" s="2">
        <v>97.64</v>
      </c>
      <c r="YL83" s="2">
        <v>98.25</v>
      </c>
      <c r="YM83" s="2">
        <v>99.76000000000001</v>
      </c>
      <c r="YN83" s="2">
        <v>100.56</v>
      </c>
      <c r="YO83" s="2">
        <v>101.24</v>
      </c>
      <c r="YP83" s="2">
        <v>102.38</v>
      </c>
      <c r="AGH83" s="2">
        <v>0.2</v>
      </c>
      <c r="AGI83" s="2">
        <v>0.3</v>
      </c>
      <c r="AGJ83" s="2">
        <v>1</v>
      </c>
      <c r="AGK83" s="2">
        <v>0.7</v>
      </c>
      <c r="AGL83" s="2">
        <v>1.7</v>
      </c>
      <c r="AGM83" s="2">
        <v>1.6</v>
      </c>
      <c r="AGN83" s="2">
        <v>1.6</v>
      </c>
      <c r="AGO83" s="2">
        <v>1.9</v>
      </c>
      <c r="AGP83" s="2">
        <v>9.5</v>
      </c>
      <c r="AGQ83" s="2">
        <v>1.6</v>
      </c>
      <c r="AGR83" s="2">
        <v>0.9</v>
      </c>
      <c r="AGS83" s="2">
        <v>0.3</v>
      </c>
      <c r="AGT83" s="2">
        <v>1.3</v>
      </c>
      <c r="AGU83" s="2">
        <v>0.5</v>
      </c>
      <c r="AGV83" s="2">
        <v>1.3</v>
      </c>
      <c r="AGW83" s="2">
        <v>0.8</v>
      </c>
      <c r="AGX83" s="2">
        <v>1.4</v>
      </c>
      <c r="AGY83" s="2">
        <v>0.7</v>
      </c>
      <c r="AGZ83" s="2">
        <v>0.8</v>
      </c>
      <c r="AHA83" s="2">
        <v>1.1</v>
      </c>
      <c r="AHB83" s="2">
        <v>1.6</v>
      </c>
      <c r="AHC83" s="2">
        <v>0.6</v>
      </c>
      <c r="AHD83" s="2">
        <v>1</v>
      </c>
      <c r="AHE83" s="2">
        <v>1</v>
      </c>
      <c r="AHF83" s="2">
        <v>1.7</v>
      </c>
      <c r="AHG83" s="2">
        <v>1</v>
      </c>
      <c r="AHH83" s="2">
        <v>0.6</v>
      </c>
      <c r="AHI83" s="2">
        <v>1.2</v>
      </c>
      <c r="AHJ83" s="2">
        <v>2.1</v>
      </c>
      <c r="AHK83" s="2">
        <v>0.4</v>
      </c>
      <c r="AHL83" s="2">
        <v>0.9</v>
      </c>
      <c r="AHM83" s="2">
        <v>0.1</v>
      </c>
      <c r="AHN83" s="2">
        <v>1.8</v>
      </c>
      <c r="AHO83" s="2">
        <v>0.7</v>
      </c>
      <c r="AHP83" s="2">
        <v>0.4</v>
      </c>
      <c r="AHQ83" s="2">
        <v>0.3</v>
      </c>
      <c r="AHR83" s="2">
        <v>4</v>
      </c>
      <c r="AHS83" s="2">
        <v>0.8</v>
      </c>
      <c r="AHT83" s="2">
        <v>0.7</v>
      </c>
      <c r="AHU83" s="2">
        <v>0.7</v>
      </c>
      <c r="AHV83" s="2">
        <v>2.7</v>
      </c>
      <c r="AHW83" s="2">
        <v>-0.3</v>
      </c>
      <c r="AHX83" s="2">
        <v>0.3</v>
      </c>
      <c r="AHY83" s="2">
        <v>0.4</v>
      </c>
      <c r="AHZ83" s="2">
        <v>2.1</v>
      </c>
      <c r="AIA83" s="2">
        <v>0.5</v>
      </c>
      <c r="AIB83" s="2">
        <v>0.7</v>
      </c>
      <c r="AIC83" s="2">
        <v>0.4</v>
      </c>
      <c r="AID83" s="2">
        <v>2.1</v>
      </c>
      <c r="AIE83" s="2">
        <v>0.4</v>
      </c>
      <c r="AIF83" s="2">
        <v>1</v>
      </c>
      <c r="AIG83" s="2">
        <v>0.2</v>
      </c>
      <c r="AIH83" s="2">
        <v>2.1</v>
      </c>
      <c r="AII83" s="2">
        <v>0.2</v>
      </c>
      <c r="AIJ83" s="2">
        <v>0.5</v>
      </c>
      <c r="AIK83" s="2">
        <v>0.4</v>
      </c>
      <c r="AIL83" s="2">
        <v>2.4</v>
      </c>
      <c r="AIM83" s="2">
        <v>0.6</v>
      </c>
      <c r="AIN83" s="2">
        <v>0.9</v>
      </c>
      <c r="AIO83" s="2">
        <v>0.7</v>
      </c>
      <c r="AIP83" s="2">
        <v>1.7</v>
      </c>
      <c r="AIQ83" s="2">
        <v>0.1</v>
      </c>
      <c r="AIR83" s="2">
        <v>1.6</v>
      </c>
      <c r="AIS83" s="2">
        <v>1.9</v>
      </c>
      <c r="AIT83" s="2">
        <v>0.2</v>
      </c>
      <c r="AIU83" s="2">
        <v>0.6</v>
      </c>
      <c r="AIV83" s="2">
        <v>0.9</v>
      </c>
      <c r="AIW83" s="2">
        <v>0.3</v>
      </c>
      <c r="AIX83" s="2">
        <v>1.1</v>
      </c>
      <c r="AIY83" s="2">
        <v>0.7</v>
      </c>
      <c r="AIZ83" s="2">
        <v>0.8</v>
      </c>
      <c r="AJA83" s="2">
        <v>0.2</v>
      </c>
      <c r="AJB83" s="2">
        <v>0.3</v>
      </c>
      <c r="AJC83" s="2">
        <v>0.7</v>
      </c>
      <c r="AJD83" s="2">
        <v>0.5</v>
      </c>
      <c r="AJE83" s="2">
        <v>0.6</v>
      </c>
      <c r="AJF83" s="2">
        <v>2</v>
      </c>
      <c r="AJG83" s="2">
        <v>0.6</v>
      </c>
      <c r="AJH83" s="2">
        <v>-1</v>
      </c>
      <c r="AJI83" s="2">
        <v>-2.1</v>
      </c>
      <c r="AJJ83" s="2">
        <v>1.9</v>
      </c>
      <c r="AJK83" s="2">
        <v>1.8</v>
      </c>
      <c r="AJL83" s="2">
        <v>-1.2</v>
      </c>
      <c r="AJM83" s="2">
        <v>1.5</v>
      </c>
      <c r="AJN83" s="2">
        <v>-0.4</v>
      </c>
      <c r="AJO83" s="2">
        <v>1.4</v>
      </c>
      <c r="AJP83" s="2">
        <v>-1.1</v>
      </c>
      <c r="AJQ83" s="2">
        <v>-1.9</v>
      </c>
      <c r="AJR83" s="2">
        <v>0.7</v>
      </c>
      <c r="AJS83" s="2">
        <v>1.2</v>
      </c>
      <c r="AJT83" s="2">
        <v>-1.5</v>
      </c>
      <c r="AJU83" s="2">
        <v>1.2</v>
      </c>
      <c r="AJV83" s="2">
        <v>1.4</v>
      </c>
      <c r="AJW83" s="2">
        <v>-0.2</v>
      </c>
      <c r="AJX83" s="2">
        <v>-0.3</v>
      </c>
      <c r="AJY83" s="2">
        <v>1.7</v>
      </c>
      <c r="AJZ83" s="2">
        <v>0.6</v>
      </c>
      <c r="AKA83" s="2">
        <v>1.4</v>
      </c>
      <c r="AKB83" s="2">
        <v>0</v>
      </c>
      <c r="AKC83" s="2">
        <v>3.3</v>
      </c>
      <c r="AKD83" s="2">
        <v>2</v>
      </c>
      <c r="AKE83" s="2">
        <v>1.1</v>
      </c>
      <c r="AKF83" s="2">
        <v>1.2</v>
      </c>
      <c r="AKG83" s="2">
        <v>0.9</v>
      </c>
      <c r="AKH83" s="2">
        <v>3.1</v>
      </c>
      <c r="AKI83" s="2">
        <v>0.4</v>
      </c>
      <c r="AKJ83" s="2">
        <v>1</v>
      </c>
      <c r="AKK83" s="2">
        <v>0.6</v>
      </c>
      <c r="AKL83" s="2">
        <v>1.5</v>
      </c>
      <c r="AKM83" s="2">
        <v>0.8</v>
      </c>
      <c r="AKN83" s="2">
        <v>0.7</v>
      </c>
      <c r="AKO83" s="2">
        <v>1.1</v>
      </c>
      <c r="AKP83" s="2">
        <v>1.07</v>
      </c>
      <c r="AKQ83" s="2">
        <v>1.08</v>
      </c>
      <c r="AKR83" s="2">
        <v>1.09</v>
      </c>
    </row>
    <row r="84">
      <c r="A84" t="inlineStr">
        <is>
          <t>Other recreational, sporting and cultural services</t>
        </is>
      </c>
      <c r="B84" t="inlineStr">
        <is>
          <t>Other recreation, sport and culture</t>
        </is>
      </c>
      <c r="C84">
        <v>3</v>
      </c>
      <c r="D84">
        <v>0.9399999999999999</v>
      </c>
      <c r="E84" s="3">
        <f>D84/4.07*0.04076885496183206</f>
        <v>0.009415902620177429</v>
      </c>
      <c r="F84" s="3">
        <f>E84-D84/100</f>
        <v>1.5902620177430174e-05</v>
      </c>
      <c r="G84" s="3">
        <f>D84/4.07</f>
        <v>0.23095823095823093</v>
      </c>
      <c r="CI84" s="2">
        <v>101.2</v>
      </c>
      <c r="CJ84" s="2">
        <v>101.06</v>
      </c>
      <c r="CK84" s="2">
        <v>102.21</v>
      </c>
      <c r="CL84" s="2">
        <v>102.16</v>
      </c>
      <c r="CM84" s="2">
        <v>103.77</v>
      </c>
      <c r="CN84" s="2">
        <v>102.9</v>
      </c>
      <c r="CO84" s="2">
        <v>98.79000000000001</v>
      </c>
      <c r="CP84" s="2">
        <v>102.36</v>
      </c>
      <c r="CQ84" s="2">
        <v>104.16</v>
      </c>
      <c r="CR84" s="2">
        <v>102.74</v>
      </c>
      <c r="CS84" s="2">
        <v>104.9</v>
      </c>
      <c r="CT84" s="2">
        <v>101.44</v>
      </c>
      <c r="CU84" s="2">
        <v>100.83</v>
      </c>
      <c r="CV84" s="2">
        <v>103.27</v>
      </c>
      <c r="CW84" s="2">
        <v>101.73</v>
      </c>
      <c r="CX84" s="2">
        <v>102.34</v>
      </c>
      <c r="CY84" s="2">
        <v>102.22</v>
      </c>
      <c r="CZ84" s="2">
        <v>100</v>
      </c>
      <c r="DA84" s="2">
        <v>103.3</v>
      </c>
      <c r="DB84" s="2">
        <v>103.34</v>
      </c>
      <c r="DC84" s="2">
        <v>104.45</v>
      </c>
      <c r="DD84" s="2">
        <v>103.75</v>
      </c>
      <c r="DE84" s="2">
        <v>105.09</v>
      </c>
      <c r="DF84" s="2">
        <v>104.48</v>
      </c>
      <c r="DG84" s="2">
        <v>103.7</v>
      </c>
      <c r="DH84" s="2">
        <v>104.76</v>
      </c>
      <c r="DI84" s="2">
        <v>104.03</v>
      </c>
      <c r="DJ84" s="2">
        <v>105.98</v>
      </c>
      <c r="GL84" s="2">
        <v>-0.4</v>
      </c>
      <c r="GM84" s="2">
        <v>2.2</v>
      </c>
      <c r="GN84" s="2">
        <v>-0.5</v>
      </c>
      <c r="GO84" s="2">
        <v>0.2</v>
      </c>
      <c r="GP84" s="2">
        <v>-1.5</v>
      </c>
      <c r="GQ84" s="2">
        <v>-2.8</v>
      </c>
      <c r="GR84" s="2">
        <v>4.6</v>
      </c>
      <c r="GS84" s="2">
        <v>1</v>
      </c>
      <c r="GT84" s="2">
        <v>0.3</v>
      </c>
      <c r="GU84" s="2">
        <v>1</v>
      </c>
      <c r="GV84" s="2">
        <v>0.2</v>
      </c>
      <c r="GW84" s="2">
        <v>3</v>
      </c>
      <c r="GX84" s="2">
        <v>2.8</v>
      </c>
      <c r="GY84" s="2">
        <v>1.4</v>
      </c>
      <c r="GZ84" s="2">
        <v>2.3</v>
      </c>
      <c r="HA84" s="2">
        <v>3.6</v>
      </c>
      <c r="KC84" s="2">
        <v>-0.1</v>
      </c>
      <c r="KD84" s="2">
        <v>1.1</v>
      </c>
      <c r="KE84" s="2">
        <v>0</v>
      </c>
      <c r="KF84" s="2">
        <v>1.6</v>
      </c>
      <c r="KG84" s="2">
        <v>-0.8</v>
      </c>
      <c r="KH84" s="2">
        <v>-4</v>
      </c>
      <c r="KI84" s="2">
        <v>3.6</v>
      </c>
      <c r="KJ84" s="2">
        <v>1.8</v>
      </c>
      <c r="KK84" s="2">
        <v>-1.4</v>
      </c>
      <c r="KL84" s="2">
        <v>2.1</v>
      </c>
      <c r="KM84" s="2">
        <v>-3.3</v>
      </c>
      <c r="KN84" s="2">
        <v>-0.6</v>
      </c>
      <c r="KO84" s="2">
        <v>2.4</v>
      </c>
      <c r="KP84" s="2">
        <v>-1.5</v>
      </c>
      <c r="KQ84" s="2">
        <v>0.6</v>
      </c>
      <c r="KR84" s="2">
        <v>-0.1</v>
      </c>
      <c r="KS84" s="2">
        <v>-2.2</v>
      </c>
      <c r="KT84" s="2">
        <v>3.3</v>
      </c>
      <c r="KU84" s="2">
        <v>0</v>
      </c>
      <c r="KV84" s="2">
        <v>1.1</v>
      </c>
      <c r="KW84" s="2">
        <v>-0.7</v>
      </c>
      <c r="KX84" s="2">
        <v>1.3</v>
      </c>
      <c r="KY84" s="2">
        <v>-0.6</v>
      </c>
      <c r="KZ84" s="2">
        <v>-0.7</v>
      </c>
      <c r="LA84" s="2">
        <v>1</v>
      </c>
      <c r="LB84" s="2">
        <v>-0.7</v>
      </c>
      <c r="LC84" s="2">
        <v>1.9</v>
      </c>
      <c r="LD84" s="2">
        <v>0.91</v>
      </c>
      <c r="LE84" s="2">
        <v>0.9</v>
      </c>
      <c r="LF84" s="2">
        <v>0.92</v>
      </c>
      <c r="LG84" s="2">
        <v>0.89</v>
      </c>
      <c r="LH84" s="2">
        <v>0.88</v>
      </c>
      <c r="LI84" s="2">
        <v>0.91</v>
      </c>
      <c r="LJ84" s="2">
        <v>0.89</v>
      </c>
      <c r="LK84" s="2">
        <v>0.9</v>
      </c>
      <c r="LL84" s="2">
        <v>0.9</v>
      </c>
      <c r="LM84" s="2">
        <v>0.88</v>
      </c>
      <c r="LN84" s="2">
        <v>0.91</v>
      </c>
      <c r="LO84" s="2">
        <v>0.91</v>
      </c>
      <c r="LP84" s="2">
        <v>0.92</v>
      </c>
      <c r="LQ84" s="2">
        <v>0.91</v>
      </c>
      <c r="LR84" s="2">
        <v>0.92</v>
      </c>
      <c r="LS84" s="2">
        <v>0.92</v>
      </c>
      <c r="LT84" s="2">
        <v>0.91</v>
      </c>
      <c r="LU84" s="2">
        <v>0.92</v>
      </c>
      <c r="LV84" s="2">
        <v>0.91</v>
      </c>
      <c r="LW84" s="2">
        <v>0.93</v>
      </c>
      <c r="LX84" s="2">
        <v>-0.01</v>
      </c>
      <c r="LY84" s="2">
        <v>0.02</v>
      </c>
      <c r="LZ84" s="2">
        <v>-0.03</v>
      </c>
      <c r="MA84" s="2">
        <v>-0.01</v>
      </c>
      <c r="MB84" s="2">
        <v>0.03</v>
      </c>
      <c r="MC84" s="2">
        <v>-0.02</v>
      </c>
      <c r="MD84" s="2">
        <v>0.01</v>
      </c>
      <c r="ME84" s="2">
        <v>0</v>
      </c>
      <c r="MF84" s="2">
        <v>-0.02</v>
      </c>
      <c r="MG84" s="2">
        <v>0.03</v>
      </c>
      <c r="MH84" s="2">
        <v>0</v>
      </c>
      <c r="MI84" s="2">
        <v>0.01</v>
      </c>
      <c r="MJ84" s="2">
        <v>-0.01</v>
      </c>
      <c r="MK84" s="2">
        <v>0.01</v>
      </c>
      <c r="ML84" s="2">
        <v>0</v>
      </c>
      <c r="MM84" s="2">
        <v>-0.01</v>
      </c>
      <c r="MN84" s="2">
        <v>0.01</v>
      </c>
      <c r="MO84" s="2">
        <v>-0.01</v>
      </c>
      <c r="MP84" s="2">
        <v>0.02</v>
      </c>
      <c r="UH84" s="2">
        <v>36.28</v>
      </c>
      <c r="UI84" s="2">
        <v>36.49</v>
      </c>
      <c r="UJ84" s="2">
        <v>36.7</v>
      </c>
      <c r="UK84" s="2">
        <v>37.4</v>
      </c>
      <c r="UL84" s="2">
        <v>37.77</v>
      </c>
      <c r="UM84" s="2">
        <v>38.18</v>
      </c>
      <c r="UN84" s="2">
        <v>38.49</v>
      </c>
      <c r="UO84" s="2">
        <v>39.39</v>
      </c>
      <c r="UP84" s="2">
        <v>39.83</v>
      </c>
      <c r="UQ84" s="2">
        <v>43.08</v>
      </c>
      <c r="UR84" s="2">
        <v>42.84</v>
      </c>
      <c r="US84" s="2">
        <v>43.25</v>
      </c>
      <c r="UT84" s="2">
        <v>43.45</v>
      </c>
      <c r="UU84" s="2">
        <v>43.75</v>
      </c>
      <c r="UV84" s="2">
        <v>43.69</v>
      </c>
      <c r="UW84" s="2">
        <v>44.44</v>
      </c>
      <c r="UX84" s="2">
        <v>44.87</v>
      </c>
      <c r="UY84" s="2">
        <v>45.37</v>
      </c>
      <c r="UZ84" s="2">
        <v>45.49</v>
      </c>
      <c r="VA84" s="2">
        <v>46.07</v>
      </c>
      <c r="VB84" s="2">
        <v>46.6</v>
      </c>
      <c r="VC84" s="2">
        <v>46.89</v>
      </c>
      <c r="VD84" s="2">
        <v>47.3</v>
      </c>
      <c r="VE84" s="2">
        <v>48.36</v>
      </c>
      <c r="VF84" s="2">
        <v>48.63</v>
      </c>
      <c r="VG84" s="2">
        <v>48.97</v>
      </c>
      <c r="VH84" s="2">
        <v>49.15</v>
      </c>
      <c r="VI84" s="2">
        <v>49.54</v>
      </c>
      <c r="VJ84" s="2">
        <v>49.47</v>
      </c>
      <c r="VK84" s="2">
        <v>49.69</v>
      </c>
      <c r="VL84" s="2">
        <v>50.6</v>
      </c>
      <c r="VM84" s="2">
        <v>51.33</v>
      </c>
      <c r="VN84" s="2">
        <v>51.58</v>
      </c>
      <c r="VO84" s="2">
        <v>52.8</v>
      </c>
      <c r="VP84" s="2">
        <v>53.26</v>
      </c>
      <c r="VQ84" s="2">
        <v>53.84</v>
      </c>
      <c r="VR84" s="2">
        <v>54.2</v>
      </c>
      <c r="VS84" s="2">
        <v>55.11</v>
      </c>
      <c r="VT84" s="2">
        <v>55.4</v>
      </c>
      <c r="VU84" s="2">
        <v>56.52</v>
      </c>
      <c r="VV84" s="2">
        <v>57.8</v>
      </c>
      <c r="VW84" s="2">
        <v>58.36</v>
      </c>
      <c r="VX84" s="2">
        <v>59.32</v>
      </c>
      <c r="VY84" s="2">
        <v>60.1</v>
      </c>
      <c r="VZ84" s="2">
        <v>60.58</v>
      </c>
      <c r="WA84" s="2">
        <v>61.59</v>
      </c>
      <c r="WB84" s="2">
        <v>61.77</v>
      </c>
      <c r="WC84" s="2">
        <v>62.58</v>
      </c>
      <c r="WD84" s="2">
        <v>63.32</v>
      </c>
      <c r="WE84" s="2">
        <v>63.1</v>
      </c>
      <c r="WF84" s="2">
        <v>63.39</v>
      </c>
      <c r="WG84" s="2">
        <v>64.92</v>
      </c>
      <c r="WH84" s="2">
        <v>65.81999999999999</v>
      </c>
      <c r="WI84" s="2">
        <v>66.19</v>
      </c>
      <c r="WJ84" s="2">
        <v>66.31999999999999</v>
      </c>
      <c r="WK84" s="2">
        <v>67.63</v>
      </c>
      <c r="WL84" s="2">
        <v>67.84</v>
      </c>
      <c r="WM84" s="2">
        <v>68.48999999999999</v>
      </c>
      <c r="WN84" s="2">
        <v>68.72</v>
      </c>
      <c r="WO84" s="2">
        <v>70.41</v>
      </c>
      <c r="WP84" s="2">
        <v>70.98999999999999</v>
      </c>
      <c r="WQ84" s="2">
        <v>71.36</v>
      </c>
      <c r="WR84" s="2">
        <v>71.66</v>
      </c>
      <c r="WS84" s="2">
        <v>73.91</v>
      </c>
      <c r="WT84" s="2">
        <v>73.91</v>
      </c>
      <c r="WU84" s="2">
        <v>74.39</v>
      </c>
      <c r="WV84" s="2">
        <v>74.94</v>
      </c>
      <c r="WW84" s="2">
        <v>77.48999999999999</v>
      </c>
      <c r="WX84" s="2">
        <v>77.94</v>
      </c>
      <c r="WY84" s="2">
        <v>78.58</v>
      </c>
      <c r="WZ84" s="2">
        <v>79.13</v>
      </c>
      <c r="XA84" s="2">
        <v>80.52</v>
      </c>
      <c r="XB84" s="2">
        <v>81.04000000000001</v>
      </c>
      <c r="XC84" s="2">
        <v>81.33</v>
      </c>
      <c r="XD84" s="2">
        <v>81.42</v>
      </c>
      <c r="XE84" s="2">
        <v>81.98</v>
      </c>
      <c r="XF84" s="2">
        <v>82.42</v>
      </c>
      <c r="XG84" s="2">
        <v>82.62</v>
      </c>
      <c r="XH84" s="2">
        <v>82.78</v>
      </c>
      <c r="XI84" s="2">
        <v>84.36</v>
      </c>
      <c r="XJ84" s="2">
        <v>84.79000000000001</v>
      </c>
      <c r="XK84" s="2">
        <v>85.06999999999999</v>
      </c>
      <c r="XL84" s="2">
        <v>85.69</v>
      </c>
      <c r="XM84" s="2">
        <v>85.98</v>
      </c>
      <c r="XN84" s="2">
        <v>86.33</v>
      </c>
      <c r="XO84" s="2">
        <v>87.53</v>
      </c>
      <c r="XP84" s="2">
        <v>87.53</v>
      </c>
      <c r="XQ84" s="2">
        <v>87.04000000000001</v>
      </c>
      <c r="XR84" s="2">
        <v>85.36</v>
      </c>
      <c r="XS84" s="2">
        <v>86.88</v>
      </c>
      <c r="XT84" s="2">
        <v>87.59999999999999</v>
      </c>
      <c r="XU84" s="2">
        <v>90.91</v>
      </c>
      <c r="XV84" s="2">
        <v>90.45999999999999</v>
      </c>
      <c r="XW84" s="2">
        <v>91.04000000000001</v>
      </c>
      <c r="XX84" s="2">
        <v>91.09999999999999</v>
      </c>
      <c r="XY84" s="2">
        <v>91.78</v>
      </c>
      <c r="XZ84" s="2">
        <v>91.47</v>
      </c>
      <c r="YA84" s="2">
        <v>90.31</v>
      </c>
      <c r="YB84" s="2">
        <v>91.31999999999999</v>
      </c>
      <c r="YC84" s="2">
        <v>91.73</v>
      </c>
      <c r="YD84" s="2">
        <v>93.33</v>
      </c>
      <c r="YE84" s="2">
        <v>96.52</v>
      </c>
      <c r="YF84" s="2">
        <v>97.33</v>
      </c>
      <c r="YG84" s="2">
        <v>100.19</v>
      </c>
      <c r="YH84" s="2">
        <v>100.37</v>
      </c>
      <c r="YI84" s="2">
        <v>102.91</v>
      </c>
      <c r="YJ84" s="2">
        <v>102.28</v>
      </c>
      <c r="YK84" s="2">
        <v>103.64</v>
      </c>
      <c r="YL84" s="2">
        <v>102.39</v>
      </c>
      <c r="YM84" s="2">
        <v>101.52</v>
      </c>
      <c r="YN84" s="2">
        <v>103.7</v>
      </c>
      <c r="YO84" s="2">
        <v>104.44</v>
      </c>
      <c r="YP84" s="2">
        <v>104.16</v>
      </c>
      <c r="AGH84" s="2">
        <v>0.6</v>
      </c>
      <c r="AGI84" s="2">
        <v>0.6</v>
      </c>
      <c r="AGJ84" s="2">
        <v>1.9</v>
      </c>
      <c r="AGK84" s="2">
        <v>1</v>
      </c>
      <c r="AGL84" s="2">
        <v>1.1</v>
      </c>
      <c r="AGM84" s="2">
        <v>0.8</v>
      </c>
      <c r="AGN84" s="2">
        <v>2.3</v>
      </c>
      <c r="AGO84" s="2">
        <v>1.1</v>
      </c>
      <c r="AGP84" s="2">
        <v>8.199999999999999</v>
      </c>
      <c r="AGQ84" s="2">
        <v>-0.6</v>
      </c>
      <c r="AGR84" s="2">
        <v>1</v>
      </c>
      <c r="AGS84" s="2">
        <v>0.5</v>
      </c>
      <c r="AGT84" s="2">
        <v>0.7</v>
      </c>
      <c r="AGU84" s="2">
        <v>-0.1</v>
      </c>
      <c r="AGV84" s="2">
        <v>1.7</v>
      </c>
      <c r="AGW84" s="2">
        <v>1</v>
      </c>
      <c r="AGX84" s="2">
        <v>1.1</v>
      </c>
      <c r="AGY84" s="2">
        <v>0.3</v>
      </c>
      <c r="AGZ84" s="2">
        <v>1.3</v>
      </c>
      <c r="AHA84" s="2">
        <v>1.2</v>
      </c>
      <c r="AHB84" s="2">
        <v>0.6</v>
      </c>
      <c r="AHC84" s="2">
        <v>0.9</v>
      </c>
      <c r="AHD84" s="2">
        <v>2.2</v>
      </c>
      <c r="AHE84" s="2">
        <v>0.6</v>
      </c>
      <c r="AHF84" s="2">
        <v>0.7</v>
      </c>
      <c r="AHG84" s="2">
        <v>0.4</v>
      </c>
      <c r="AHH84" s="2">
        <v>0.8</v>
      </c>
      <c r="AHI84" s="2">
        <v>-0.1</v>
      </c>
      <c r="AHJ84" s="2">
        <v>0.4</v>
      </c>
      <c r="AHK84" s="2">
        <v>1.8</v>
      </c>
      <c r="AHL84" s="2">
        <v>1.4</v>
      </c>
      <c r="AHM84" s="2">
        <v>0.5</v>
      </c>
      <c r="AHN84" s="2">
        <v>2.4</v>
      </c>
      <c r="AHO84" s="2">
        <v>0.9</v>
      </c>
      <c r="AHP84" s="2">
        <v>1.1</v>
      </c>
      <c r="AHQ84" s="2">
        <v>0.7</v>
      </c>
      <c r="AHR84" s="2">
        <v>1.7</v>
      </c>
      <c r="AHS84" s="2">
        <v>0.5</v>
      </c>
      <c r="AHT84" s="2">
        <v>2</v>
      </c>
      <c r="AHU84" s="2">
        <v>2.3</v>
      </c>
      <c r="AHV84" s="2">
        <v>1</v>
      </c>
      <c r="AHW84" s="2">
        <v>1.6</v>
      </c>
      <c r="AHX84" s="2">
        <v>1.3</v>
      </c>
      <c r="AHY84" s="2">
        <v>0.8</v>
      </c>
      <c r="AHZ84" s="2">
        <v>1.7</v>
      </c>
      <c r="AIA84" s="2">
        <v>0.3</v>
      </c>
      <c r="AIB84" s="2">
        <v>1.3</v>
      </c>
      <c r="AIC84" s="2">
        <v>1.2</v>
      </c>
      <c r="AID84" s="2">
        <v>-0.3</v>
      </c>
      <c r="AIE84" s="2">
        <v>0.5</v>
      </c>
      <c r="AIF84" s="2">
        <v>2.4</v>
      </c>
      <c r="AIG84" s="2">
        <v>1.4</v>
      </c>
      <c r="AIH84" s="2">
        <v>0.6</v>
      </c>
      <c r="AII84" s="2">
        <v>0.2</v>
      </c>
      <c r="AIJ84" s="2">
        <v>2</v>
      </c>
      <c r="AIK84" s="2">
        <v>0.3</v>
      </c>
      <c r="AIL84" s="2">
        <v>1</v>
      </c>
      <c r="AIM84" s="2">
        <v>0.3</v>
      </c>
      <c r="AIN84" s="2">
        <v>2.5</v>
      </c>
      <c r="AIO84" s="2">
        <v>0.8</v>
      </c>
      <c r="AIP84" s="2">
        <v>0.5</v>
      </c>
      <c r="AIQ84" s="2">
        <v>0.4</v>
      </c>
      <c r="AIR84" s="2">
        <v>3.1</v>
      </c>
      <c r="AIS84" s="2">
        <v>0</v>
      </c>
      <c r="AIT84" s="2">
        <v>0.6</v>
      </c>
      <c r="AIU84" s="2">
        <v>0.7</v>
      </c>
      <c r="AIV84" s="2">
        <v>3.4</v>
      </c>
      <c r="AIW84" s="2">
        <v>0.6</v>
      </c>
      <c r="AIX84" s="2">
        <v>0.8</v>
      </c>
      <c r="AIY84" s="2">
        <v>0.7</v>
      </c>
      <c r="AIZ84" s="2">
        <v>1.8</v>
      </c>
      <c r="AJA84" s="2">
        <v>0.6</v>
      </c>
      <c r="AJB84" s="2">
        <v>0.4</v>
      </c>
      <c r="AJC84" s="2">
        <v>0.1</v>
      </c>
      <c r="AJD84" s="2">
        <v>0.7</v>
      </c>
      <c r="AJE84" s="2">
        <v>0.5</v>
      </c>
      <c r="AJF84" s="2">
        <v>0.2</v>
      </c>
      <c r="AJG84" s="2">
        <v>0.2</v>
      </c>
      <c r="AJH84" s="2">
        <v>1.9</v>
      </c>
      <c r="AJI84" s="2">
        <v>0.5</v>
      </c>
      <c r="AJJ84" s="2">
        <v>0.3</v>
      </c>
      <c r="AJK84" s="2">
        <v>0.7</v>
      </c>
      <c r="AJL84" s="2">
        <v>0.3</v>
      </c>
      <c r="AJM84" s="2">
        <v>0.4</v>
      </c>
      <c r="AJN84" s="2">
        <v>1.4</v>
      </c>
      <c r="AJO84" s="2">
        <v>0</v>
      </c>
      <c r="AJP84" s="2">
        <v>-0.6</v>
      </c>
      <c r="AJQ84" s="2">
        <v>-1.9</v>
      </c>
      <c r="AJR84" s="2">
        <v>1.8</v>
      </c>
      <c r="AJS84" s="2">
        <v>0.8</v>
      </c>
      <c r="AJT84" s="2">
        <v>3.8</v>
      </c>
      <c r="AJU84" s="2">
        <v>-0.5</v>
      </c>
      <c r="AJV84" s="2">
        <v>0.6</v>
      </c>
      <c r="AJW84" s="2">
        <v>0.1</v>
      </c>
      <c r="AJX84" s="2">
        <v>0.7</v>
      </c>
      <c r="AJY84" s="2">
        <v>-0.3</v>
      </c>
      <c r="AJZ84" s="2">
        <v>-1.3</v>
      </c>
      <c r="AKA84" s="2">
        <v>1.1</v>
      </c>
      <c r="AKB84" s="2">
        <v>0.4</v>
      </c>
      <c r="AKC84" s="2">
        <v>1.7</v>
      </c>
      <c r="AKD84" s="2">
        <v>3.4</v>
      </c>
      <c r="AKE84" s="2">
        <v>0.8</v>
      </c>
      <c r="AKF84" s="2">
        <v>2.9</v>
      </c>
      <c r="AKG84" s="2">
        <v>0.2</v>
      </c>
      <c r="AKH84" s="2">
        <v>2.5</v>
      </c>
      <c r="AKI84" s="2">
        <v>-0.6</v>
      </c>
      <c r="AKJ84" s="2">
        <v>1.3</v>
      </c>
      <c r="AKK84" s="2">
        <v>-1.2</v>
      </c>
      <c r="AKL84" s="2">
        <v>-0.8</v>
      </c>
      <c r="AKM84" s="2">
        <v>2.1</v>
      </c>
      <c r="AKN84" s="2">
        <v>0.7</v>
      </c>
      <c r="AKO84" s="2">
        <v>-0.3</v>
      </c>
      <c r="AKP84" s="2">
        <v>0.91</v>
      </c>
      <c r="AKQ84" s="2">
        <v>0.92</v>
      </c>
      <c r="AKR84" s="2">
        <v>0.91</v>
      </c>
    </row>
    <row r="85">
      <c r="A85" t="inlineStr">
        <is>
          <t>Preschool and primary education</t>
        </is>
      </c>
      <c r="B85" t="inlineStr">
        <is>
          <t>Education</t>
        </is>
      </c>
      <c r="C85">
        <v>3</v>
      </c>
      <c r="D85">
        <v>0.91</v>
      </c>
      <c r="E85" s="3">
        <f>D85/4.6499999999999995*0.04650000000000001</f>
        <v>0.009100000000000002</v>
      </c>
      <c r="F85" s="3">
        <f>E85-D85/100</f>
        <v>1.734723475976807e-18</v>
      </c>
      <c r="G85" s="3">
        <f>D85/4.6499999999999995</f>
        <v>0.19569892473118283</v>
      </c>
      <c r="CI85" s="2">
        <v>93.23999999999999</v>
      </c>
      <c r="CJ85" s="2">
        <v>93.29000000000001</v>
      </c>
      <c r="CK85" s="2">
        <v>93.41</v>
      </c>
      <c r="CL85" s="2">
        <v>93.47</v>
      </c>
      <c r="CM85" s="2">
        <v>93.91</v>
      </c>
      <c r="CN85" s="2">
        <v>94.06</v>
      </c>
      <c r="CO85" s="2">
        <v>94.12</v>
      </c>
      <c r="CP85" s="2">
        <v>94.17</v>
      </c>
      <c r="CQ85" s="2">
        <v>94.25</v>
      </c>
      <c r="CR85" s="2">
        <v>94.17</v>
      </c>
      <c r="CS85" s="2">
        <v>99.06</v>
      </c>
      <c r="CT85" s="2">
        <v>99.23</v>
      </c>
      <c r="CU85" s="2">
        <v>99.20999999999999</v>
      </c>
      <c r="CV85" s="2">
        <v>99.19</v>
      </c>
      <c r="CW85" s="2">
        <v>99.41</v>
      </c>
      <c r="CX85" s="2">
        <v>99.48999999999999</v>
      </c>
      <c r="CY85" s="2">
        <v>99.90000000000001</v>
      </c>
      <c r="CZ85" s="2">
        <v>100</v>
      </c>
      <c r="DA85" s="2">
        <v>100.11</v>
      </c>
      <c r="DB85" s="2">
        <v>100.19</v>
      </c>
      <c r="DC85" s="2">
        <v>100.27</v>
      </c>
      <c r="DD85" s="2">
        <v>100.05</v>
      </c>
      <c r="DE85" s="2">
        <v>104.41</v>
      </c>
      <c r="DF85" s="2">
        <v>104.62</v>
      </c>
      <c r="DG85" s="2">
        <v>104.59</v>
      </c>
      <c r="DH85" s="2">
        <v>104.59</v>
      </c>
      <c r="DI85" s="2">
        <v>104.65</v>
      </c>
      <c r="DJ85" s="2">
        <v>104.71</v>
      </c>
      <c r="GL85" s="2">
        <v>6.4</v>
      </c>
      <c r="GM85" s="2">
        <v>6.3</v>
      </c>
      <c r="GN85" s="2">
        <v>6.4</v>
      </c>
      <c r="GO85" s="2">
        <v>6.4</v>
      </c>
      <c r="GP85" s="2">
        <v>6.4</v>
      </c>
      <c r="GQ85" s="2">
        <v>6.3</v>
      </c>
      <c r="GR85" s="2">
        <v>6.4</v>
      </c>
      <c r="GS85" s="2">
        <v>6.4</v>
      </c>
      <c r="GT85" s="2">
        <v>6.4</v>
      </c>
      <c r="GU85" s="2">
        <v>6.2</v>
      </c>
      <c r="GV85" s="2">
        <v>5.4</v>
      </c>
      <c r="GW85" s="2">
        <v>5.4</v>
      </c>
      <c r="GX85" s="2">
        <v>5.4</v>
      </c>
      <c r="GY85" s="2">
        <v>5.4</v>
      </c>
      <c r="GZ85" s="2">
        <v>5.3</v>
      </c>
      <c r="HA85" s="2">
        <v>5.2</v>
      </c>
      <c r="KC85" s="2">
        <v>0.1</v>
      </c>
      <c r="KD85" s="2">
        <v>0.1</v>
      </c>
      <c r="KE85" s="2">
        <v>0.1</v>
      </c>
      <c r="KF85" s="2">
        <v>0.5</v>
      </c>
      <c r="KG85" s="2">
        <v>0.2</v>
      </c>
      <c r="KH85" s="2">
        <v>0.1</v>
      </c>
      <c r="KI85" s="2">
        <v>0.1</v>
      </c>
      <c r="KJ85" s="2">
        <v>0.1</v>
      </c>
      <c r="KK85" s="2">
        <v>-0.1</v>
      </c>
      <c r="KL85" s="2">
        <v>5.2</v>
      </c>
      <c r="KM85" s="2">
        <v>0.2</v>
      </c>
      <c r="KN85" s="2">
        <v>0</v>
      </c>
      <c r="KO85" s="2">
        <v>0</v>
      </c>
      <c r="KP85" s="2">
        <v>0.2</v>
      </c>
      <c r="KQ85" s="2">
        <v>0.1</v>
      </c>
      <c r="KR85" s="2">
        <v>0.4</v>
      </c>
      <c r="KS85" s="2">
        <v>0.1</v>
      </c>
      <c r="KT85" s="2">
        <v>0.1</v>
      </c>
      <c r="KU85" s="2">
        <v>0.1</v>
      </c>
      <c r="KV85" s="2">
        <v>0.1</v>
      </c>
      <c r="KW85" s="2">
        <v>-0.2</v>
      </c>
      <c r="KX85" s="2">
        <v>4.4</v>
      </c>
      <c r="KY85" s="2">
        <v>0.2</v>
      </c>
      <c r="KZ85" s="2">
        <v>0</v>
      </c>
      <c r="LA85" s="2">
        <v>0</v>
      </c>
      <c r="LB85" s="2">
        <v>0.1</v>
      </c>
      <c r="LC85" s="2">
        <v>0.1</v>
      </c>
      <c r="LD85" s="2">
        <v>0.89</v>
      </c>
      <c r="LE85" s="2">
        <v>0.89</v>
      </c>
      <c r="LF85" s="2">
        <v>0.93</v>
      </c>
      <c r="LG85" s="2">
        <v>0.93</v>
      </c>
      <c r="LH85" s="2">
        <v>0.93</v>
      </c>
      <c r="LI85" s="2">
        <v>0.93</v>
      </c>
      <c r="LJ85" s="2">
        <v>0.9399999999999999</v>
      </c>
      <c r="LK85" s="2">
        <v>0.9399999999999999</v>
      </c>
      <c r="LL85" s="2">
        <v>0.9399999999999999</v>
      </c>
      <c r="LM85" s="2">
        <v>0.9399999999999999</v>
      </c>
      <c r="LN85" s="2">
        <v>0.9399999999999999</v>
      </c>
      <c r="LO85" s="2">
        <v>0.9399999999999999</v>
      </c>
      <c r="LP85" s="2">
        <v>0.9399999999999999</v>
      </c>
      <c r="LQ85" s="2">
        <v>0.9399999999999999</v>
      </c>
      <c r="LR85" s="2">
        <v>0.98</v>
      </c>
      <c r="LS85" s="2">
        <v>0.99</v>
      </c>
      <c r="LT85" s="2">
        <v>0.99</v>
      </c>
      <c r="LU85" s="2">
        <v>0.99</v>
      </c>
      <c r="LV85" s="2">
        <v>0.99</v>
      </c>
      <c r="LW85" s="2">
        <v>0.99</v>
      </c>
      <c r="LX85" s="2">
        <v>0</v>
      </c>
      <c r="LY85" s="2">
        <v>0.04</v>
      </c>
      <c r="LZ85" s="2">
        <v>0</v>
      </c>
      <c r="MA85" s="2">
        <v>0</v>
      </c>
      <c r="MB85" s="2">
        <v>0</v>
      </c>
      <c r="MC85" s="2">
        <v>0.01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0.04</v>
      </c>
      <c r="ML85" s="2">
        <v>0.01</v>
      </c>
      <c r="MM85" s="2">
        <v>0</v>
      </c>
      <c r="MN85" s="2">
        <v>0</v>
      </c>
      <c r="MO85" s="2">
        <v>0</v>
      </c>
      <c r="MP85" s="2">
        <v>0</v>
      </c>
      <c r="UP85" s="2">
        <v>32.88</v>
      </c>
      <c r="UQ85" s="2">
        <v>32.88</v>
      </c>
      <c r="UR85" s="2">
        <v>33.03</v>
      </c>
      <c r="US85" s="2">
        <v>34.47</v>
      </c>
      <c r="UT85" s="2">
        <v>34.47</v>
      </c>
      <c r="UU85" s="2">
        <v>34.54</v>
      </c>
      <c r="UV85" s="2">
        <v>34.62</v>
      </c>
      <c r="UW85" s="2">
        <v>36.5</v>
      </c>
      <c r="UX85" s="2">
        <v>36.53</v>
      </c>
      <c r="UY85" s="2">
        <v>36.89</v>
      </c>
      <c r="UZ85" s="2">
        <v>37.11</v>
      </c>
      <c r="VA85" s="2">
        <v>39.15</v>
      </c>
      <c r="VB85" s="2">
        <v>39.16</v>
      </c>
      <c r="VC85" s="2">
        <v>39.49</v>
      </c>
      <c r="VD85" s="2">
        <v>39.51</v>
      </c>
      <c r="VE85" s="2">
        <v>42.11</v>
      </c>
      <c r="VF85" s="2">
        <v>42.21</v>
      </c>
      <c r="VG85" s="2">
        <v>42.28</v>
      </c>
      <c r="VH85" s="2">
        <v>42.4</v>
      </c>
      <c r="VI85" s="2">
        <v>45.09</v>
      </c>
      <c r="VJ85" s="2">
        <v>45.27</v>
      </c>
      <c r="VK85" s="2">
        <v>45.36</v>
      </c>
      <c r="VL85" s="2">
        <v>45.59</v>
      </c>
      <c r="VM85" s="2">
        <v>48.06</v>
      </c>
      <c r="VN85" s="2">
        <v>48.19</v>
      </c>
      <c r="VO85" s="2">
        <v>48.56</v>
      </c>
      <c r="VP85" s="2">
        <v>48.6</v>
      </c>
      <c r="VQ85" s="2">
        <v>51.82</v>
      </c>
      <c r="VR85" s="2">
        <v>52.17</v>
      </c>
      <c r="VS85" s="2">
        <v>49.62</v>
      </c>
      <c r="VT85" s="2">
        <v>49.67</v>
      </c>
      <c r="VU85" s="2">
        <v>52.54</v>
      </c>
      <c r="VV85" s="2">
        <v>52.63</v>
      </c>
      <c r="VW85" s="2">
        <v>51.37</v>
      </c>
      <c r="VX85" s="2">
        <v>51.45</v>
      </c>
      <c r="VY85" s="2">
        <v>54.81</v>
      </c>
      <c r="VZ85" s="2">
        <v>55.01</v>
      </c>
      <c r="WA85" s="2">
        <v>55.1</v>
      </c>
      <c r="WB85" s="2">
        <v>55.29</v>
      </c>
      <c r="WC85" s="2">
        <v>57.75</v>
      </c>
      <c r="WD85" s="2">
        <v>57.82</v>
      </c>
      <c r="WE85" s="2">
        <v>58.24</v>
      </c>
      <c r="WF85" s="2">
        <v>58.2</v>
      </c>
      <c r="WG85" s="2">
        <v>61.37</v>
      </c>
      <c r="WH85" s="2">
        <v>61.42</v>
      </c>
      <c r="WI85" s="2">
        <v>61.54</v>
      </c>
      <c r="WJ85" s="2">
        <v>61.64</v>
      </c>
      <c r="WK85" s="2">
        <v>64.81</v>
      </c>
      <c r="WL85" s="2">
        <v>64.91</v>
      </c>
      <c r="WM85" s="2">
        <v>65.15000000000001</v>
      </c>
      <c r="WN85" s="2">
        <v>65.20999999999999</v>
      </c>
      <c r="WO85" s="2">
        <v>68.13</v>
      </c>
      <c r="WP85" s="2">
        <v>67.59999999999999</v>
      </c>
      <c r="WQ85" s="2">
        <v>67.77</v>
      </c>
      <c r="WR85" s="2">
        <v>67.81</v>
      </c>
      <c r="WS85" s="2">
        <v>71.15000000000001</v>
      </c>
      <c r="WT85" s="2">
        <v>71.22</v>
      </c>
      <c r="WU85" s="2">
        <v>71.48</v>
      </c>
      <c r="WV85" s="2">
        <v>71.63</v>
      </c>
      <c r="WW85" s="2">
        <v>75.69</v>
      </c>
      <c r="WX85" s="2">
        <v>75.75</v>
      </c>
      <c r="WY85" s="2">
        <v>76.17</v>
      </c>
      <c r="WZ85" s="2">
        <v>76.19</v>
      </c>
      <c r="XA85" s="2">
        <v>79.3</v>
      </c>
      <c r="XB85" s="2">
        <v>79.36</v>
      </c>
      <c r="XC85" s="2">
        <v>79.66</v>
      </c>
      <c r="XD85" s="2">
        <v>79.7</v>
      </c>
      <c r="XE85" s="2">
        <v>81.56</v>
      </c>
      <c r="XF85" s="2">
        <v>81.55</v>
      </c>
      <c r="XG85" s="2">
        <v>81.59</v>
      </c>
      <c r="XH85" s="2">
        <v>81.78</v>
      </c>
      <c r="XI85" s="2">
        <v>84.48999999999999</v>
      </c>
      <c r="XJ85" s="2">
        <v>84.68000000000001</v>
      </c>
      <c r="XK85" s="2">
        <v>83.43000000000001</v>
      </c>
      <c r="XL85" s="2">
        <v>83.55</v>
      </c>
      <c r="XM85" s="2">
        <v>85.41</v>
      </c>
      <c r="XN85" s="2">
        <v>85.53</v>
      </c>
      <c r="XO85" s="2">
        <v>85.77</v>
      </c>
      <c r="XP85" s="2">
        <v>85.94</v>
      </c>
      <c r="XQ85" s="2">
        <v>88.45999999999999</v>
      </c>
      <c r="XR85" s="2">
        <v>74.13</v>
      </c>
      <c r="XS85" s="2">
        <v>82.29000000000001</v>
      </c>
      <c r="XT85" s="2">
        <v>86.76000000000001</v>
      </c>
      <c r="XU85" s="2">
        <v>87.70999999999999</v>
      </c>
      <c r="XV85" s="2">
        <v>87.84999999999999</v>
      </c>
      <c r="XW85" s="2">
        <v>88.06999999999999</v>
      </c>
      <c r="XX85" s="2">
        <v>88.13</v>
      </c>
      <c r="XY85" s="2">
        <v>92.15000000000001</v>
      </c>
      <c r="XZ85" s="2">
        <v>92.17</v>
      </c>
      <c r="YA85" s="2">
        <v>92.36</v>
      </c>
      <c r="YB85" s="2">
        <v>92.73999999999999</v>
      </c>
      <c r="YC85" s="2">
        <v>92.02</v>
      </c>
      <c r="YD85" s="2">
        <v>90.88</v>
      </c>
      <c r="YE85" s="2">
        <v>88.5</v>
      </c>
      <c r="YF85" s="2">
        <v>88.15000000000001</v>
      </c>
      <c r="YG85" s="2">
        <v>91.91</v>
      </c>
      <c r="YH85" s="2">
        <v>92.83</v>
      </c>
      <c r="YI85" s="2">
        <v>94.36</v>
      </c>
      <c r="YJ85" s="2">
        <v>94.23</v>
      </c>
      <c r="YK85" s="2">
        <v>99.5</v>
      </c>
      <c r="YL85" s="2">
        <v>99.34999999999999</v>
      </c>
      <c r="YM85" s="2">
        <v>99.8</v>
      </c>
      <c r="YN85" s="2">
        <v>100.19</v>
      </c>
      <c r="YO85" s="2">
        <v>103.03</v>
      </c>
      <c r="YP85" s="2">
        <v>104.61</v>
      </c>
      <c r="AGP85" s="2">
        <v>0</v>
      </c>
      <c r="AGQ85" s="2">
        <v>0.5</v>
      </c>
      <c r="AGR85" s="2">
        <v>4.4</v>
      </c>
      <c r="AGS85" s="2">
        <v>0</v>
      </c>
      <c r="AGT85" s="2">
        <v>0.2</v>
      </c>
      <c r="AGU85" s="2">
        <v>0.2</v>
      </c>
      <c r="AGV85" s="2">
        <v>5.4</v>
      </c>
      <c r="AGW85" s="2">
        <v>0.1</v>
      </c>
      <c r="AGX85" s="2">
        <v>1</v>
      </c>
      <c r="AGY85" s="2">
        <v>0.6</v>
      </c>
      <c r="AGZ85" s="2">
        <v>5.5</v>
      </c>
      <c r="AHA85" s="2">
        <v>0</v>
      </c>
      <c r="AHB85" s="2">
        <v>0.8</v>
      </c>
      <c r="AHC85" s="2">
        <v>0.1</v>
      </c>
      <c r="AHD85" s="2">
        <v>6.6</v>
      </c>
      <c r="AHE85" s="2">
        <v>0.2</v>
      </c>
      <c r="AHF85" s="2">
        <v>0.2</v>
      </c>
      <c r="AHG85" s="2">
        <v>0.3</v>
      </c>
      <c r="AHH85" s="2">
        <v>6.3</v>
      </c>
      <c r="AHI85" s="2">
        <v>0.4</v>
      </c>
      <c r="AHJ85" s="2">
        <v>0.2</v>
      </c>
      <c r="AHK85" s="2">
        <v>0.5</v>
      </c>
      <c r="AHL85" s="2">
        <v>5.4</v>
      </c>
      <c r="AHM85" s="2">
        <v>0.3</v>
      </c>
      <c r="AHN85" s="2">
        <v>0.8</v>
      </c>
      <c r="AHO85" s="2">
        <v>0.1</v>
      </c>
      <c r="AHP85" s="2">
        <v>6.6</v>
      </c>
      <c r="AHQ85" s="2">
        <v>0.7</v>
      </c>
      <c r="AHR85" s="2">
        <v>-4.9</v>
      </c>
      <c r="AHS85" s="2">
        <v>0.1</v>
      </c>
      <c r="AHT85" s="2">
        <v>5.8</v>
      </c>
      <c r="AHU85" s="2">
        <v>0.2</v>
      </c>
      <c r="AHV85" s="2">
        <v>-2.4</v>
      </c>
      <c r="AHW85" s="2">
        <v>0.2</v>
      </c>
      <c r="AHX85" s="2">
        <v>6.5</v>
      </c>
      <c r="AHY85" s="2">
        <v>0.4</v>
      </c>
      <c r="AHZ85" s="2">
        <v>0.2</v>
      </c>
      <c r="AIA85" s="2">
        <v>0.3</v>
      </c>
      <c r="AIB85" s="2">
        <v>4.4</v>
      </c>
      <c r="AIC85" s="2">
        <v>0.1</v>
      </c>
      <c r="AID85" s="2">
        <v>0.7</v>
      </c>
      <c r="AIE85" s="2">
        <v>-0.1</v>
      </c>
      <c r="AIF85" s="2">
        <v>5.4</v>
      </c>
      <c r="AIG85" s="2">
        <v>0.1</v>
      </c>
      <c r="AIH85" s="2">
        <v>0.2</v>
      </c>
      <c r="AII85" s="2">
        <v>0.2</v>
      </c>
      <c r="AIJ85" s="2">
        <v>5.1</v>
      </c>
      <c r="AIK85" s="2">
        <v>0.2</v>
      </c>
      <c r="AIL85" s="2">
        <v>0.4</v>
      </c>
      <c r="AIM85" s="2">
        <v>0.1</v>
      </c>
      <c r="AIN85" s="2">
        <v>4.5</v>
      </c>
      <c r="AIO85" s="2">
        <v>-0.8</v>
      </c>
      <c r="AIP85" s="2">
        <v>0.3</v>
      </c>
      <c r="AIQ85" s="2">
        <v>0.1</v>
      </c>
      <c r="AIR85" s="2">
        <v>4.9</v>
      </c>
      <c r="AIS85" s="2">
        <v>0.1</v>
      </c>
      <c r="AIT85" s="2">
        <v>0.4</v>
      </c>
      <c r="AIU85" s="2">
        <v>0.2</v>
      </c>
      <c r="AIV85" s="2">
        <v>5.7</v>
      </c>
      <c r="AIW85" s="2">
        <v>0.1</v>
      </c>
      <c r="AIX85" s="2">
        <v>0.6</v>
      </c>
      <c r="AIY85" s="2">
        <v>0</v>
      </c>
      <c r="AIZ85" s="2">
        <v>4.1</v>
      </c>
      <c r="AJA85" s="2">
        <v>0.1</v>
      </c>
      <c r="AJB85" s="2">
        <v>0.4</v>
      </c>
      <c r="AJC85" s="2">
        <v>0.1</v>
      </c>
      <c r="AJD85" s="2">
        <v>2.3</v>
      </c>
      <c r="AJE85" s="2">
        <v>0</v>
      </c>
      <c r="AJF85" s="2">
        <v>0</v>
      </c>
      <c r="AJG85" s="2">
        <v>0.2</v>
      </c>
      <c r="AJH85" s="2">
        <v>3.3</v>
      </c>
      <c r="AJI85" s="2">
        <v>0.2</v>
      </c>
      <c r="AJJ85" s="2">
        <v>-1.5</v>
      </c>
      <c r="AJK85" s="2">
        <v>0.1</v>
      </c>
      <c r="AJL85" s="2">
        <v>2.2</v>
      </c>
      <c r="AJM85" s="2">
        <v>0.1</v>
      </c>
      <c r="AJN85" s="2">
        <v>0.3</v>
      </c>
      <c r="AJO85" s="2">
        <v>0.2</v>
      </c>
      <c r="AJP85" s="2">
        <v>2.9</v>
      </c>
      <c r="AJQ85" s="2">
        <v>-16.2</v>
      </c>
      <c r="AJR85" s="2">
        <v>11</v>
      </c>
      <c r="AJS85" s="2">
        <v>5.4</v>
      </c>
      <c r="AJT85" s="2">
        <v>1.1</v>
      </c>
      <c r="AJU85" s="2">
        <v>0.2</v>
      </c>
      <c r="AJV85" s="2">
        <v>0.3</v>
      </c>
      <c r="AJW85" s="2">
        <v>0.1</v>
      </c>
      <c r="AJX85" s="2">
        <v>4.6</v>
      </c>
      <c r="AJY85" s="2">
        <v>0</v>
      </c>
      <c r="AJZ85" s="2">
        <v>0.2</v>
      </c>
      <c r="AKA85" s="2">
        <v>0.4</v>
      </c>
      <c r="AKB85" s="2">
        <v>-0.8</v>
      </c>
      <c r="AKC85" s="2">
        <v>-1.2</v>
      </c>
      <c r="AKD85" s="2">
        <v>-2.6</v>
      </c>
      <c r="AKE85" s="2">
        <v>-0.4</v>
      </c>
      <c r="AKF85" s="2">
        <v>4.3</v>
      </c>
      <c r="AKG85" s="2">
        <v>1</v>
      </c>
      <c r="AKH85" s="2">
        <v>1.6</v>
      </c>
      <c r="AKI85" s="2">
        <v>-0.1</v>
      </c>
      <c r="AKJ85" s="2">
        <v>5.6</v>
      </c>
      <c r="AKK85" s="2">
        <v>-0.2</v>
      </c>
      <c r="AKL85" s="2">
        <v>0.5</v>
      </c>
      <c r="AKM85" s="2">
        <v>0.4</v>
      </c>
      <c r="AKN85" s="2">
        <v>2.8</v>
      </c>
      <c r="AKO85" s="2">
        <v>1.5</v>
      </c>
      <c r="AKP85" s="2">
        <v>0.9399999999999999</v>
      </c>
      <c r="AKQ85" s="2">
        <v>0.97</v>
      </c>
      <c r="AKR85" s="2">
        <v>0.99</v>
      </c>
    </row>
    <row r="86">
      <c r="A86" t="inlineStr">
        <is>
          <t>Secondary education</t>
        </is>
      </c>
      <c r="B86" t="inlineStr">
        <is>
          <t>Education</t>
        </is>
      </c>
      <c r="C86">
        <v>3</v>
      </c>
      <c r="D86">
        <v>2.01</v>
      </c>
      <c r="E86" s="3">
        <f>D86/4.6499999999999995*0.04650000000000001</f>
        <v>0.020100000000000003</v>
      </c>
      <c r="F86" s="3">
        <f>E86-D86/100</f>
        <v>6.938893903907228e-18</v>
      </c>
      <c r="G86" s="3">
        <f>D86/4.6499999999999995</f>
        <v>0.432258064516129</v>
      </c>
      <c r="H86" s="2">
        <v>72.47</v>
      </c>
      <c r="I86" s="2">
        <v>72.47</v>
      </c>
      <c r="J86" s="2">
        <v>72.47</v>
      </c>
      <c r="K86" s="2">
        <v>72.47</v>
      </c>
      <c r="L86" s="2">
        <v>72.47</v>
      </c>
      <c r="M86" s="2">
        <v>74.92</v>
      </c>
      <c r="N86" s="2">
        <v>74.92</v>
      </c>
      <c r="O86" s="2">
        <v>74.92</v>
      </c>
      <c r="P86" s="2">
        <v>74.92</v>
      </c>
      <c r="Q86" s="2">
        <v>74.92</v>
      </c>
      <c r="R86" s="2">
        <v>74.92</v>
      </c>
      <c r="S86" s="2">
        <v>74.92</v>
      </c>
      <c r="T86" s="2">
        <v>74.92</v>
      </c>
      <c r="U86" s="2">
        <v>74.92</v>
      </c>
      <c r="V86" s="2">
        <v>74.92</v>
      </c>
      <c r="W86" s="2">
        <v>74.92</v>
      </c>
      <c r="X86" s="2">
        <v>74.92</v>
      </c>
      <c r="Y86" s="2">
        <v>78.03</v>
      </c>
      <c r="Z86" s="2">
        <v>78.03</v>
      </c>
      <c r="AA86" s="2">
        <v>78.03</v>
      </c>
      <c r="AB86" s="2">
        <v>78.03</v>
      </c>
      <c r="AC86" s="2">
        <v>78.03</v>
      </c>
      <c r="AD86" s="2">
        <v>78.03</v>
      </c>
      <c r="AE86" s="2">
        <v>78.03</v>
      </c>
      <c r="AF86" s="2">
        <v>78.03</v>
      </c>
      <c r="AG86" s="2">
        <v>78.03</v>
      </c>
      <c r="AH86" s="2">
        <v>78.03</v>
      </c>
      <c r="AI86" s="2">
        <v>78.03</v>
      </c>
      <c r="AJ86" s="2">
        <v>78.03</v>
      </c>
      <c r="AK86" s="2">
        <v>80.69</v>
      </c>
      <c r="AL86" s="2">
        <v>80.69</v>
      </c>
      <c r="AM86" s="2">
        <v>80.69</v>
      </c>
      <c r="AN86" s="2">
        <v>80.59</v>
      </c>
      <c r="AO86" s="2">
        <v>80.59</v>
      </c>
      <c r="AP86" s="2">
        <v>80.59</v>
      </c>
      <c r="AQ86" s="2">
        <v>80.59</v>
      </c>
      <c r="AR86" s="2">
        <v>80.59</v>
      </c>
      <c r="AS86" s="2">
        <v>80.59</v>
      </c>
      <c r="AT86" s="2">
        <v>80.59</v>
      </c>
      <c r="AU86" s="2">
        <v>80.59</v>
      </c>
      <c r="AV86" s="2">
        <v>80.59</v>
      </c>
      <c r="AW86" s="2">
        <v>82.06999999999999</v>
      </c>
      <c r="AX86" s="2">
        <v>82.06999999999999</v>
      </c>
      <c r="AY86" s="2">
        <v>82.06999999999999</v>
      </c>
      <c r="AZ86" s="2">
        <v>82.06999999999999</v>
      </c>
      <c r="BA86" s="2">
        <v>82.06999999999999</v>
      </c>
      <c r="BB86" s="2">
        <v>82.06999999999999</v>
      </c>
      <c r="BC86" s="2">
        <v>82.06999999999999</v>
      </c>
      <c r="BD86" s="2">
        <v>82.06999999999999</v>
      </c>
      <c r="BE86" s="2">
        <v>82.06999999999999</v>
      </c>
      <c r="BF86" s="2">
        <v>82.06999999999999</v>
      </c>
      <c r="BG86" s="2">
        <v>82.06999999999999</v>
      </c>
      <c r="BH86" s="2">
        <v>82.06999999999999</v>
      </c>
      <c r="BI86" s="2">
        <v>84.53</v>
      </c>
      <c r="BJ86" s="2">
        <v>84.53</v>
      </c>
      <c r="BK86" s="2">
        <v>84.53</v>
      </c>
      <c r="BL86" s="2">
        <v>84.53</v>
      </c>
      <c r="BM86" s="2">
        <v>84.53</v>
      </c>
      <c r="BN86" s="2">
        <v>84.53</v>
      </c>
      <c r="BO86" s="2">
        <v>84.53</v>
      </c>
      <c r="BP86" s="2">
        <v>84.53</v>
      </c>
      <c r="BQ86" s="2">
        <v>84.53</v>
      </c>
      <c r="BR86" s="2">
        <v>84.53</v>
      </c>
      <c r="BS86" s="2">
        <v>84.53</v>
      </c>
      <c r="BT86" s="2">
        <v>84.53</v>
      </c>
      <c r="BU86" s="2">
        <v>88.64</v>
      </c>
      <c r="BV86" s="2">
        <v>88.64</v>
      </c>
      <c r="BW86" s="2">
        <v>88.64</v>
      </c>
      <c r="BX86" s="2">
        <v>88.64</v>
      </c>
      <c r="BY86" s="2">
        <v>88.64</v>
      </c>
      <c r="BZ86" s="2">
        <v>88.64</v>
      </c>
      <c r="CA86" s="2">
        <v>88.64</v>
      </c>
      <c r="CB86" s="2">
        <v>88.64</v>
      </c>
      <c r="CC86" s="2">
        <v>88.64</v>
      </c>
      <c r="CD86" s="2">
        <v>88.64</v>
      </c>
      <c r="CE86" s="2">
        <v>88.64</v>
      </c>
      <c r="CF86" s="2">
        <v>88.64</v>
      </c>
      <c r="CG86" s="2">
        <v>94.04000000000001</v>
      </c>
      <c r="CH86" s="2">
        <v>94.04000000000001</v>
      </c>
      <c r="CI86" s="2">
        <v>94.04000000000001</v>
      </c>
      <c r="CJ86" s="2">
        <v>94.04000000000001</v>
      </c>
      <c r="CK86" s="2">
        <v>94.04000000000001</v>
      </c>
      <c r="CL86" s="2">
        <v>94.04000000000001</v>
      </c>
      <c r="CM86" s="2">
        <v>94.04000000000001</v>
      </c>
      <c r="CN86" s="2">
        <v>94.04000000000001</v>
      </c>
      <c r="CO86" s="2">
        <v>94.04000000000001</v>
      </c>
      <c r="CP86" s="2">
        <v>94.04000000000001</v>
      </c>
      <c r="CQ86" s="2">
        <v>94.04000000000001</v>
      </c>
      <c r="CR86" s="2">
        <v>94.04000000000001</v>
      </c>
      <c r="CS86" s="2">
        <v>100</v>
      </c>
      <c r="CT86" s="2">
        <v>100</v>
      </c>
      <c r="CU86" s="2">
        <v>100</v>
      </c>
      <c r="CV86" s="2">
        <v>100</v>
      </c>
      <c r="CW86" s="2">
        <v>100</v>
      </c>
      <c r="CX86" s="2">
        <v>100</v>
      </c>
      <c r="CY86" s="2">
        <v>100</v>
      </c>
      <c r="CZ86" s="2">
        <v>100</v>
      </c>
      <c r="DA86" s="2">
        <v>100</v>
      </c>
      <c r="DB86" s="2">
        <v>100</v>
      </c>
      <c r="DC86" s="2">
        <v>100</v>
      </c>
      <c r="DD86" s="2">
        <v>100</v>
      </c>
      <c r="DE86" s="2">
        <v>106.57</v>
      </c>
      <c r="DF86" s="2">
        <v>106.57</v>
      </c>
      <c r="DG86" s="2">
        <v>106.57</v>
      </c>
      <c r="DH86" s="2">
        <v>106.57</v>
      </c>
      <c r="DI86" s="2">
        <v>106.57</v>
      </c>
      <c r="DJ86" s="2">
        <v>106.57</v>
      </c>
      <c r="DK86" s="2">
        <v>3.4</v>
      </c>
      <c r="DL86" s="2">
        <v>3.4</v>
      </c>
      <c r="DM86" s="2">
        <v>3.4</v>
      </c>
      <c r="DN86" s="2">
        <v>3.4</v>
      </c>
      <c r="DO86" s="2">
        <v>3.4</v>
      </c>
      <c r="DP86" s="2">
        <v>4.2</v>
      </c>
      <c r="DQ86" s="2">
        <v>4.2</v>
      </c>
      <c r="DR86" s="2">
        <v>4.2</v>
      </c>
      <c r="DS86" s="2">
        <v>4.2</v>
      </c>
      <c r="DT86" s="2">
        <v>4.2</v>
      </c>
      <c r="DU86" s="2">
        <v>4.2</v>
      </c>
      <c r="DV86" s="2">
        <v>4.2</v>
      </c>
      <c r="DW86" s="2">
        <v>4.2</v>
      </c>
      <c r="DX86" s="2">
        <v>4.2</v>
      </c>
      <c r="DY86" s="2">
        <v>4.2</v>
      </c>
      <c r="DZ86" s="2">
        <v>4.2</v>
      </c>
      <c r="EA86" s="2">
        <v>4.2</v>
      </c>
      <c r="EB86" s="2">
        <v>3.4</v>
      </c>
      <c r="EC86" s="2">
        <v>3.4</v>
      </c>
      <c r="ED86" s="2">
        <v>3.4</v>
      </c>
      <c r="EE86" s="2">
        <v>3.3</v>
      </c>
      <c r="EF86" s="2">
        <v>3.3</v>
      </c>
      <c r="EG86" s="2">
        <v>3.3</v>
      </c>
      <c r="EH86" s="2">
        <v>3.3</v>
      </c>
      <c r="EI86" s="2">
        <v>3.3</v>
      </c>
      <c r="EJ86" s="2">
        <v>3.3</v>
      </c>
      <c r="EK86" s="2">
        <v>3.3</v>
      </c>
      <c r="EL86" s="2">
        <v>3.3</v>
      </c>
      <c r="EM86" s="2">
        <v>3.3</v>
      </c>
      <c r="EN86" s="2">
        <v>1.7</v>
      </c>
      <c r="EO86" s="2">
        <v>1.7</v>
      </c>
      <c r="EP86" s="2">
        <v>1.7</v>
      </c>
      <c r="EQ86" s="2">
        <v>1.8</v>
      </c>
      <c r="ER86" s="2">
        <v>1.8</v>
      </c>
      <c r="ES86" s="2">
        <v>1.8</v>
      </c>
      <c r="ET86" s="2">
        <v>1.8</v>
      </c>
      <c r="EU86" s="2">
        <v>1.8</v>
      </c>
      <c r="EV86" s="2">
        <v>1.8</v>
      </c>
      <c r="EW86" s="2">
        <v>1.8</v>
      </c>
      <c r="EX86" s="2">
        <v>1.8</v>
      </c>
      <c r="EY86" s="2">
        <v>1.8</v>
      </c>
      <c r="EZ86" s="2">
        <v>3</v>
      </c>
      <c r="FA86" s="2">
        <v>3</v>
      </c>
      <c r="FB86" s="2">
        <v>3</v>
      </c>
      <c r="FC86" s="2">
        <v>3</v>
      </c>
      <c r="FD86" s="2">
        <v>3</v>
      </c>
      <c r="FE86" s="2">
        <v>3</v>
      </c>
      <c r="FF86" s="2">
        <v>3</v>
      </c>
      <c r="FG86" s="2">
        <v>3</v>
      </c>
      <c r="FH86" s="2">
        <v>3</v>
      </c>
      <c r="FI86" s="2">
        <v>3</v>
      </c>
      <c r="FJ86" s="2">
        <v>3</v>
      </c>
      <c r="FK86" s="2">
        <v>3</v>
      </c>
      <c r="FL86" s="2">
        <v>4.9</v>
      </c>
      <c r="FM86" s="2">
        <v>4.9</v>
      </c>
      <c r="FN86" s="2">
        <v>4.9</v>
      </c>
      <c r="FO86" s="2">
        <v>4.9</v>
      </c>
      <c r="FP86" s="2">
        <v>4.9</v>
      </c>
      <c r="FQ86" s="2">
        <v>4.9</v>
      </c>
      <c r="FR86" s="2">
        <v>4.9</v>
      </c>
      <c r="FS86" s="2">
        <v>4.9</v>
      </c>
      <c r="FT86" s="2">
        <v>4.9</v>
      </c>
      <c r="FU86" s="2">
        <v>4.9</v>
      </c>
      <c r="FV86" s="2">
        <v>4.9</v>
      </c>
      <c r="FW86" s="2">
        <v>4.9</v>
      </c>
      <c r="FX86" s="2">
        <v>6.1</v>
      </c>
      <c r="FY86" s="2">
        <v>6.1</v>
      </c>
      <c r="FZ86" s="2">
        <v>6.1</v>
      </c>
      <c r="GA86" s="2">
        <v>6.1</v>
      </c>
      <c r="GB86" s="2">
        <v>6.1</v>
      </c>
      <c r="GC86" s="2">
        <v>6.1</v>
      </c>
      <c r="GD86" s="2">
        <v>6.1</v>
      </c>
      <c r="GE86" s="2">
        <v>6.1</v>
      </c>
      <c r="GF86" s="2">
        <v>6.1</v>
      </c>
      <c r="GG86" s="2">
        <v>6.1</v>
      </c>
      <c r="GH86" s="2">
        <v>6.1</v>
      </c>
      <c r="GI86" s="2">
        <v>6.1</v>
      </c>
      <c r="GJ86" s="2">
        <v>6.3</v>
      </c>
      <c r="GK86" s="2">
        <v>6.3</v>
      </c>
      <c r="GL86" s="2">
        <v>6.3</v>
      </c>
      <c r="GM86" s="2">
        <v>6.3</v>
      </c>
      <c r="GN86" s="2">
        <v>6.3</v>
      </c>
      <c r="GO86" s="2">
        <v>6.3</v>
      </c>
      <c r="GP86" s="2">
        <v>6.3</v>
      </c>
      <c r="GQ86" s="2">
        <v>6.3</v>
      </c>
      <c r="GR86" s="2">
        <v>6.3</v>
      </c>
      <c r="GS86" s="2">
        <v>6.3</v>
      </c>
      <c r="GT86" s="2">
        <v>6.3</v>
      </c>
      <c r="GU86" s="2">
        <v>6.3</v>
      </c>
      <c r="GV86" s="2">
        <v>6.6</v>
      </c>
      <c r="GW86" s="2">
        <v>6.6</v>
      </c>
      <c r="GX86" s="2">
        <v>6.6</v>
      </c>
      <c r="GY86" s="2">
        <v>6.6</v>
      </c>
      <c r="GZ86" s="2">
        <v>6.6</v>
      </c>
      <c r="HA86" s="2">
        <v>6.6</v>
      </c>
      <c r="HB86" s="2">
        <v>0</v>
      </c>
      <c r="HC86" s="2">
        <v>0</v>
      </c>
      <c r="HD86" s="2">
        <v>0</v>
      </c>
      <c r="HE86" s="2">
        <v>0</v>
      </c>
      <c r="HF86" s="2">
        <v>3.4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4.2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3.4</v>
      </c>
      <c r="IE86" s="2">
        <v>0</v>
      </c>
      <c r="IF86" s="2">
        <v>0</v>
      </c>
      <c r="IG86" s="2">
        <v>-0.1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1.8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3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4.9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6.1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6.3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6.6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1.95</v>
      </c>
      <c r="LE86" s="2">
        <v>1.95</v>
      </c>
      <c r="LF86" s="2">
        <v>2.08</v>
      </c>
      <c r="LG86" s="2">
        <v>2.08</v>
      </c>
      <c r="LH86" s="2">
        <v>2.08</v>
      </c>
      <c r="LI86" s="2">
        <v>2.08</v>
      </c>
      <c r="LJ86" s="2">
        <v>2.08</v>
      </c>
      <c r="LK86" s="2">
        <v>2.08</v>
      </c>
      <c r="LL86" s="2">
        <v>2.08</v>
      </c>
      <c r="LM86" s="2">
        <v>2.08</v>
      </c>
      <c r="LN86" s="2">
        <v>2.08</v>
      </c>
      <c r="LO86" s="2">
        <v>2.08</v>
      </c>
      <c r="LP86" s="2">
        <v>2.08</v>
      </c>
      <c r="LQ86" s="2">
        <v>2.08</v>
      </c>
      <c r="LR86" s="2">
        <v>2.21</v>
      </c>
      <c r="LS86" s="2">
        <v>2.21</v>
      </c>
      <c r="LT86" s="2">
        <v>2.21</v>
      </c>
      <c r="LU86" s="2">
        <v>2.21</v>
      </c>
      <c r="LV86" s="2">
        <v>2.21</v>
      </c>
      <c r="LW86" s="2">
        <v>2.21</v>
      </c>
      <c r="LX86" s="2">
        <v>0</v>
      </c>
      <c r="LY86" s="2">
        <v>0.13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0.13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UP86" s="2">
        <v>25.75</v>
      </c>
      <c r="UQ86" s="2">
        <v>25.75</v>
      </c>
      <c r="UR86" s="2">
        <v>25.75</v>
      </c>
      <c r="US86" s="2">
        <v>27.38</v>
      </c>
      <c r="UT86" s="2">
        <v>27.38</v>
      </c>
      <c r="UU86" s="2">
        <v>27.38</v>
      </c>
      <c r="UV86" s="2">
        <v>27.38</v>
      </c>
      <c r="UW86" s="2">
        <v>29.12</v>
      </c>
      <c r="UX86" s="2">
        <v>29.12</v>
      </c>
      <c r="UY86" s="2">
        <v>29.12</v>
      </c>
      <c r="UZ86" s="2">
        <v>29.12</v>
      </c>
      <c r="VA86" s="2">
        <v>31.13</v>
      </c>
      <c r="VB86" s="2">
        <v>31.13</v>
      </c>
      <c r="VC86" s="2">
        <v>31.13</v>
      </c>
      <c r="VD86" s="2">
        <v>31.13</v>
      </c>
      <c r="VE86" s="2">
        <v>33.31</v>
      </c>
      <c r="VF86" s="2">
        <v>33.31</v>
      </c>
      <c r="VG86" s="2">
        <v>33.31</v>
      </c>
      <c r="VH86" s="2">
        <v>33.31</v>
      </c>
      <c r="VI86" s="2">
        <v>35.61</v>
      </c>
      <c r="VJ86" s="2">
        <v>35.61</v>
      </c>
      <c r="VK86" s="2">
        <v>35.61</v>
      </c>
      <c r="VL86" s="2">
        <v>35.61</v>
      </c>
      <c r="VM86" s="2">
        <v>38.07</v>
      </c>
      <c r="VN86" s="2">
        <v>38.07</v>
      </c>
      <c r="VO86" s="2">
        <v>38.07</v>
      </c>
      <c r="VP86" s="2">
        <v>38.07</v>
      </c>
      <c r="VQ86" s="2">
        <v>40.78</v>
      </c>
      <c r="VR86" s="2">
        <v>40.78</v>
      </c>
      <c r="VS86" s="2">
        <v>40.78</v>
      </c>
      <c r="VT86" s="2">
        <v>40.78</v>
      </c>
      <c r="VU86" s="2">
        <v>43.45</v>
      </c>
      <c r="VV86" s="2">
        <v>43.45</v>
      </c>
      <c r="VW86" s="2">
        <v>43.45</v>
      </c>
      <c r="VX86" s="2">
        <v>43.45</v>
      </c>
      <c r="VY86" s="2">
        <v>46.75</v>
      </c>
      <c r="VZ86" s="2">
        <v>46.75</v>
      </c>
      <c r="WA86" s="2">
        <v>46.75</v>
      </c>
      <c r="WB86" s="2">
        <v>46.75</v>
      </c>
      <c r="WC86" s="2">
        <v>49.42</v>
      </c>
      <c r="WD86" s="2">
        <v>49.42</v>
      </c>
      <c r="WE86" s="2">
        <v>49.42</v>
      </c>
      <c r="WF86" s="2">
        <v>49.42</v>
      </c>
      <c r="WG86" s="2">
        <v>52.8</v>
      </c>
      <c r="WH86" s="2">
        <v>52.8</v>
      </c>
      <c r="WI86" s="2">
        <v>52.8</v>
      </c>
      <c r="WJ86" s="2">
        <v>52.8</v>
      </c>
      <c r="WK86" s="2">
        <v>56.86</v>
      </c>
      <c r="WL86" s="2">
        <v>56.86</v>
      </c>
      <c r="WM86" s="2">
        <v>56.86</v>
      </c>
      <c r="WN86" s="2">
        <v>56.86</v>
      </c>
      <c r="WO86" s="2">
        <v>59.92</v>
      </c>
      <c r="WP86" s="2">
        <v>59.92</v>
      </c>
      <c r="WQ86" s="2">
        <v>59.92</v>
      </c>
      <c r="WR86" s="2">
        <v>59.92</v>
      </c>
      <c r="WS86" s="2">
        <v>63.56</v>
      </c>
      <c r="WT86" s="2">
        <v>63.56</v>
      </c>
      <c r="WU86" s="2">
        <v>63.56</v>
      </c>
      <c r="WV86" s="2">
        <v>63.56</v>
      </c>
      <c r="WW86" s="2">
        <v>66.56999999999999</v>
      </c>
      <c r="WX86" s="2">
        <v>66.56999999999999</v>
      </c>
      <c r="WY86" s="2">
        <v>66.56999999999999</v>
      </c>
      <c r="WZ86" s="2">
        <v>66.56999999999999</v>
      </c>
      <c r="XA86" s="2">
        <v>69.64</v>
      </c>
      <c r="XB86" s="2">
        <v>69.64</v>
      </c>
      <c r="XC86" s="2">
        <v>69.64</v>
      </c>
      <c r="XD86" s="2">
        <v>69.64</v>
      </c>
      <c r="XE86" s="2">
        <v>72.47</v>
      </c>
      <c r="XF86" s="2">
        <v>72.47</v>
      </c>
      <c r="XG86" s="2">
        <v>72.47</v>
      </c>
      <c r="XH86" s="2">
        <v>72.47</v>
      </c>
      <c r="XI86" s="2">
        <v>74.92</v>
      </c>
      <c r="XJ86" s="2">
        <v>74.92</v>
      </c>
      <c r="XK86" s="2">
        <v>74.92</v>
      </c>
      <c r="XL86" s="2">
        <v>74.92</v>
      </c>
      <c r="XM86" s="2">
        <v>78.03</v>
      </c>
      <c r="XN86" s="2">
        <v>78.03</v>
      </c>
      <c r="XO86" s="2">
        <v>78.03</v>
      </c>
      <c r="XP86" s="2">
        <v>78.03</v>
      </c>
      <c r="XQ86" s="2">
        <v>80.69</v>
      </c>
      <c r="XR86" s="2">
        <v>80.59</v>
      </c>
      <c r="XS86" s="2">
        <v>80.59</v>
      </c>
      <c r="XT86" s="2">
        <v>80.59</v>
      </c>
      <c r="XU86" s="2">
        <v>82.06999999999999</v>
      </c>
      <c r="XV86" s="2">
        <v>82.06999999999999</v>
      </c>
      <c r="XW86" s="2">
        <v>82.06999999999999</v>
      </c>
      <c r="XX86" s="2">
        <v>82.06999999999999</v>
      </c>
      <c r="XY86" s="2">
        <v>84.53</v>
      </c>
      <c r="XZ86" s="2">
        <v>84.53</v>
      </c>
      <c r="YA86" s="2">
        <v>84.53</v>
      </c>
      <c r="YB86" s="2">
        <v>84.53</v>
      </c>
      <c r="YC86" s="2">
        <v>88.64</v>
      </c>
      <c r="YD86" s="2">
        <v>88.64</v>
      </c>
      <c r="YE86" s="2">
        <v>88.64</v>
      </c>
      <c r="YF86" s="2">
        <v>88.64</v>
      </c>
      <c r="YG86" s="2">
        <v>94.04000000000001</v>
      </c>
      <c r="YH86" s="2">
        <v>94.04000000000001</v>
      </c>
      <c r="YI86" s="2">
        <v>94.04000000000001</v>
      </c>
      <c r="YJ86" s="2">
        <v>94.04000000000001</v>
      </c>
      <c r="YK86" s="2">
        <v>100</v>
      </c>
      <c r="YL86" s="2">
        <v>100</v>
      </c>
      <c r="YM86" s="2">
        <v>100</v>
      </c>
      <c r="YN86" s="2">
        <v>100</v>
      </c>
      <c r="YO86" s="2">
        <v>104.38</v>
      </c>
      <c r="YP86" s="2">
        <v>106.57</v>
      </c>
      <c r="AGP86" s="2">
        <v>0</v>
      </c>
      <c r="AGQ86" s="2">
        <v>0</v>
      </c>
      <c r="AGR86" s="2">
        <v>6.3</v>
      </c>
      <c r="AGS86" s="2">
        <v>0</v>
      </c>
      <c r="AGT86" s="2">
        <v>0</v>
      </c>
      <c r="AGU86" s="2">
        <v>0</v>
      </c>
      <c r="AGV86" s="2">
        <v>6.4</v>
      </c>
      <c r="AGW86" s="2">
        <v>0</v>
      </c>
      <c r="AGX86" s="2">
        <v>0</v>
      </c>
      <c r="AGY86" s="2">
        <v>0</v>
      </c>
      <c r="AGZ86" s="2">
        <v>6.9</v>
      </c>
      <c r="AHA86" s="2">
        <v>0</v>
      </c>
      <c r="AHB86" s="2">
        <v>0</v>
      </c>
      <c r="AHC86" s="2">
        <v>0</v>
      </c>
      <c r="AHD86" s="2">
        <v>7</v>
      </c>
      <c r="AHE86" s="2">
        <v>0</v>
      </c>
      <c r="AHF86" s="2">
        <v>0</v>
      </c>
      <c r="AHG86" s="2">
        <v>0</v>
      </c>
      <c r="AHH86" s="2">
        <v>6.9</v>
      </c>
      <c r="AHI86" s="2">
        <v>0</v>
      </c>
      <c r="AHJ86" s="2">
        <v>0</v>
      </c>
      <c r="AHK86" s="2">
        <v>0</v>
      </c>
      <c r="AHL86" s="2">
        <v>6.9</v>
      </c>
      <c r="AHM86" s="2">
        <v>0</v>
      </c>
      <c r="AHN86" s="2">
        <v>0</v>
      </c>
      <c r="AHO86" s="2">
        <v>0</v>
      </c>
      <c r="AHP86" s="2">
        <v>7.1</v>
      </c>
      <c r="AHQ86" s="2">
        <v>0</v>
      </c>
      <c r="AHR86" s="2">
        <v>0</v>
      </c>
      <c r="AHS86" s="2">
        <v>0</v>
      </c>
      <c r="AHT86" s="2">
        <v>6.5</v>
      </c>
      <c r="AHU86" s="2">
        <v>0</v>
      </c>
      <c r="AHV86" s="2">
        <v>0</v>
      </c>
      <c r="AHW86" s="2">
        <v>0</v>
      </c>
      <c r="AHX86" s="2">
        <v>7.6</v>
      </c>
      <c r="AHY86" s="2">
        <v>0</v>
      </c>
      <c r="AHZ86" s="2">
        <v>0</v>
      </c>
      <c r="AIA86" s="2">
        <v>0</v>
      </c>
      <c r="AIB86" s="2">
        <v>5.7</v>
      </c>
      <c r="AIC86" s="2">
        <v>0</v>
      </c>
      <c r="AID86" s="2">
        <v>0</v>
      </c>
      <c r="AIE86" s="2">
        <v>0</v>
      </c>
      <c r="AIF86" s="2">
        <v>6.8</v>
      </c>
      <c r="AIG86" s="2">
        <v>0</v>
      </c>
      <c r="AIH86" s="2">
        <v>0</v>
      </c>
      <c r="AII86" s="2">
        <v>0</v>
      </c>
      <c r="AIJ86" s="2">
        <v>7.7</v>
      </c>
      <c r="AIK86" s="2">
        <v>0</v>
      </c>
      <c r="AIL86" s="2">
        <v>0</v>
      </c>
      <c r="AIM86" s="2">
        <v>0</v>
      </c>
      <c r="AIN86" s="2">
        <v>5.4</v>
      </c>
      <c r="AIO86" s="2">
        <v>0</v>
      </c>
      <c r="AIP86" s="2">
        <v>0</v>
      </c>
      <c r="AIQ86" s="2">
        <v>0</v>
      </c>
      <c r="AIR86" s="2">
        <v>6.1</v>
      </c>
      <c r="AIS86" s="2">
        <v>0</v>
      </c>
      <c r="AIT86" s="2">
        <v>0</v>
      </c>
      <c r="AIU86" s="2">
        <v>0</v>
      </c>
      <c r="AIV86" s="2">
        <v>4.7</v>
      </c>
      <c r="AIW86" s="2">
        <v>0</v>
      </c>
      <c r="AIX86" s="2">
        <v>0</v>
      </c>
      <c r="AIY86" s="2">
        <v>0</v>
      </c>
      <c r="AIZ86" s="2">
        <v>4.6</v>
      </c>
      <c r="AJA86" s="2">
        <v>0</v>
      </c>
      <c r="AJB86" s="2">
        <v>0</v>
      </c>
      <c r="AJC86" s="2">
        <v>0</v>
      </c>
      <c r="AJD86" s="2">
        <v>4.1</v>
      </c>
      <c r="AJE86" s="2">
        <v>0</v>
      </c>
      <c r="AJF86" s="2">
        <v>0</v>
      </c>
      <c r="AJG86" s="2">
        <v>0</v>
      </c>
      <c r="AJH86" s="2">
        <v>3.4</v>
      </c>
      <c r="AJI86" s="2">
        <v>0</v>
      </c>
      <c r="AJJ86" s="2">
        <v>0</v>
      </c>
      <c r="AJK86" s="2">
        <v>0</v>
      </c>
      <c r="AJL86" s="2">
        <v>4.2</v>
      </c>
      <c r="AJM86" s="2">
        <v>0</v>
      </c>
      <c r="AJN86" s="2">
        <v>0</v>
      </c>
      <c r="AJO86" s="2">
        <v>0</v>
      </c>
      <c r="AJP86" s="2">
        <v>3.4</v>
      </c>
      <c r="AJQ86" s="2">
        <v>-0.1</v>
      </c>
      <c r="AJR86" s="2">
        <v>0</v>
      </c>
      <c r="AJS86" s="2">
        <v>0</v>
      </c>
      <c r="AJT86" s="2">
        <v>1.8</v>
      </c>
      <c r="AJU86" s="2">
        <v>0</v>
      </c>
      <c r="AJV86" s="2">
        <v>0</v>
      </c>
      <c r="AJW86" s="2">
        <v>0</v>
      </c>
      <c r="AJX86" s="2">
        <v>3</v>
      </c>
      <c r="AJY86" s="2">
        <v>0</v>
      </c>
      <c r="AJZ86" s="2">
        <v>0</v>
      </c>
      <c r="AKA86" s="2">
        <v>0</v>
      </c>
      <c r="AKB86" s="2">
        <v>4.9</v>
      </c>
      <c r="AKC86" s="2">
        <v>0</v>
      </c>
      <c r="AKD86" s="2">
        <v>0</v>
      </c>
      <c r="AKE86" s="2">
        <v>0</v>
      </c>
      <c r="AKF86" s="2">
        <v>6.1</v>
      </c>
      <c r="AKG86" s="2">
        <v>0</v>
      </c>
      <c r="AKH86" s="2">
        <v>0</v>
      </c>
      <c r="AKI86" s="2">
        <v>0</v>
      </c>
      <c r="AKJ86" s="2">
        <v>6.3</v>
      </c>
      <c r="AKK86" s="2">
        <v>0</v>
      </c>
      <c r="AKL86" s="2">
        <v>0</v>
      </c>
      <c r="AKM86" s="2">
        <v>0</v>
      </c>
      <c r="AKN86" s="2">
        <v>4.4</v>
      </c>
      <c r="AKO86" s="2">
        <v>2.1</v>
      </c>
      <c r="AKP86" s="2">
        <v>2.08</v>
      </c>
      <c r="AKQ86" s="2">
        <v>2.17</v>
      </c>
      <c r="AKR86" s="2">
        <v>2.21</v>
      </c>
    </row>
    <row r="87">
      <c r="A87" t="inlineStr">
        <is>
          <t>Tertiary education</t>
        </is>
      </c>
      <c r="B87" t="inlineStr">
        <is>
          <t>Education</t>
        </is>
      </c>
      <c r="C87">
        <v>3</v>
      </c>
      <c r="D87">
        <v>1.73</v>
      </c>
      <c r="E87" s="3">
        <f>D87/4.6499999999999995*0.04650000000000001</f>
        <v>0.017300000000000006</v>
      </c>
      <c r="F87" s="3">
        <f>E87-D87/100</f>
        <v>6.938893903907228e-18</v>
      </c>
      <c r="G87" s="3">
        <f>D87/4.6499999999999995</f>
        <v>0.3720430107526882</v>
      </c>
      <c r="H87" s="2">
        <v>74.47</v>
      </c>
      <c r="I87" s="2">
        <v>74.47</v>
      </c>
      <c r="J87" s="2">
        <v>74.47</v>
      </c>
      <c r="K87" s="2">
        <v>74.47</v>
      </c>
      <c r="L87" s="2">
        <v>74.47</v>
      </c>
      <c r="M87" s="2">
        <v>75.51000000000001</v>
      </c>
      <c r="N87" s="2">
        <v>75.51000000000001</v>
      </c>
      <c r="O87" s="2">
        <v>75.51000000000001</v>
      </c>
      <c r="P87" s="2">
        <v>75.51000000000001</v>
      </c>
      <c r="Q87" s="2">
        <v>75.51000000000001</v>
      </c>
      <c r="R87" s="2">
        <v>75.51000000000001</v>
      </c>
      <c r="S87" s="2">
        <v>76.31</v>
      </c>
      <c r="T87" s="2">
        <v>76.31</v>
      </c>
      <c r="U87" s="2">
        <v>76.31</v>
      </c>
      <c r="V87" s="2">
        <v>76.31</v>
      </c>
      <c r="W87" s="2">
        <v>76.31</v>
      </c>
      <c r="X87" s="2">
        <v>76.31</v>
      </c>
      <c r="Y87" s="2">
        <v>77.42</v>
      </c>
      <c r="Z87" s="2">
        <v>77.42</v>
      </c>
      <c r="AA87" s="2">
        <v>77.42</v>
      </c>
      <c r="AB87" s="2">
        <v>77.42</v>
      </c>
      <c r="AC87" s="2">
        <v>77.42</v>
      </c>
      <c r="AD87" s="2">
        <v>77.42</v>
      </c>
      <c r="AE87" s="2">
        <v>77.45</v>
      </c>
      <c r="AF87" s="2">
        <v>77.45</v>
      </c>
      <c r="AG87" s="2">
        <v>77.45</v>
      </c>
      <c r="AH87" s="2">
        <v>77.45</v>
      </c>
      <c r="AI87" s="2">
        <v>77.45</v>
      </c>
      <c r="AJ87" s="2">
        <v>77.45</v>
      </c>
      <c r="AK87" s="2">
        <v>78.48999999999999</v>
      </c>
      <c r="AL87" s="2">
        <v>78.48999999999999</v>
      </c>
      <c r="AM87" s="2">
        <v>78.48999999999999</v>
      </c>
      <c r="AN87" s="2">
        <v>78.48999999999999</v>
      </c>
      <c r="AO87" s="2">
        <v>78.48999999999999</v>
      </c>
      <c r="AP87" s="2">
        <v>78.48999999999999</v>
      </c>
      <c r="AQ87" s="2">
        <v>78.42</v>
      </c>
      <c r="AR87" s="2">
        <v>78.42</v>
      </c>
      <c r="AS87" s="2">
        <v>78.42</v>
      </c>
      <c r="AT87" s="2">
        <v>78.42</v>
      </c>
      <c r="AU87" s="2">
        <v>78.42</v>
      </c>
      <c r="AV87" s="2">
        <v>80.56999999999999</v>
      </c>
      <c r="AW87" s="2">
        <v>77.15000000000001</v>
      </c>
      <c r="AX87" s="2">
        <v>77.15000000000001</v>
      </c>
      <c r="AY87" s="2">
        <v>77.15000000000001</v>
      </c>
      <c r="AZ87" s="2">
        <v>77.15000000000001</v>
      </c>
      <c r="BA87" s="2">
        <v>77.15000000000001</v>
      </c>
      <c r="BB87" s="2">
        <v>77.15000000000001</v>
      </c>
      <c r="BC87" s="2">
        <v>77.16</v>
      </c>
      <c r="BD87" s="2">
        <v>77.16</v>
      </c>
      <c r="BE87" s="2">
        <v>77.16</v>
      </c>
      <c r="BF87" s="2">
        <v>77.16</v>
      </c>
      <c r="BG87" s="2">
        <v>77.16</v>
      </c>
      <c r="BH87" s="2">
        <v>77.16</v>
      </c>
      <c r="BI87" s="2">
        <v>82.08</v>
      </c>
      <c r="BJ87" s="2">
        <v>82.08</v>
      </c>
      <c r="BK87" s="2">
        <v>82.08</v>
      </c>
      <c r="BL87" s="2">
        <v>82.08</v>
      </c>
      <c r="BM87" s="2">
        <v>82.08</v>
      </c>
      <c r="BN87" s="2">
        <v>82.08</v>
      </c>
      <c r="BO87" s="2">
        <v>81.98</v>
      </c>
      <c r="BP87" s="2">
        <v>81.98</v>
      </c>
      <c r="BQ87" s="2">
        <v>81.98</v>
      </c>
      <c r="BR87" s="2">
        <v>81.98</v>
      </c>
      <c r="BS87" s="2">
        <v>81.98</v>
      </c>
      <c r="BT87" s="2">
        <v>81.98</v>
      </c>
      <c r="BU87" s="2">
        <v>89.93000000000001</v>
      </c>
      <c r="BV87" s="2">
        <v>89.93000000000001</v>
      </c>
      <c r="BW87" s="2">
        <v>89.93000000000001</v>
      </c>
      <c r="BX87" s="2">
        <v>89.93000000000001</v>
      </c>
      <c r="BY87" s="2">
        <v>89.93000000000001</v>
      </c>
      <c r="BZ87" s="2">
        <v>89.93000000000001</v>
      </c>
      <c r="CA87" s="2">
        <v>90.39</v>
      </c>
      <c r="CB87" s="2">
        <v>90.39</v>
      </c>
      <c r="CC87" s="2">
        <v>90.39</v>
      </c>
      <c r="CD87" s="2">
        <v>90.39</v>
      </c>
      <c r="CE87" s="2">
        <v>90.39</v>
      </c>
      <c r="CF87" s="2">
        <v>90.39</v>
      </c>
      <c r="CG87" s="2">
        <v>96.23999999999999</v>
      </c>
      <c r="CH87" s="2">
        <v>96.23999999999999</v>
      </c>
      <c r="CI87" s="2">
        <v>96.23999999999999</v>
      </c>
      <c r="CJ87" s="2">
        <v>96.23999999999999</v>
      </c>
      <c r="CK87" s="2">
        <v>96.23999999999999</v>
      </c>
      <c r="CL87" s="2">
        <v>96.23999999999999</v>
      </c>
      <c r="CM87" s="2">
        <v>96.36</v>
      </c>
      <c r="CN87" s="2">
        <v>96.36</v>
      </c>
      <c r="CO87" s="2">
        <v>96.36</v>
      </c>
      <c r="CP87" s="2">
        <v>96.36</v>
      </c>
      <c r="CQ87" s="2">
        <v>96.36</v>
      </c>
      <c r="CR87" s="2">
        <v>96.36</v>
      </c>
      <c r="CS87" s="2">
        <v>99.86</v>
      </c>
      <c r="CT87" s="2">
        <v>99.86</v>
      </c>
      <c r="CU87" s="2">
        <v>99.86</v>
      </c>
      <c r="CV87" s="2">
        <v>99.86</v>
      </c>
      <c r="CW87" s="2">
        <v>99.86</v>
      </c>
      <c r="CX87" s="2">
        <v>99.86</v>
      </c>
      <c r="CY87" s="2">
        <v>100</v>
      </c>
      <c r="CZ87" s="2">
        <v>100</v>
      </c>
      <c r="DA87" s="2">
        <v>100</v>
      </c>
      <c r="DB87" s="2">
        <v>100</v>
      </c>
      <c r="DC87" s="2">
        <v>100</v>
      </c>
      <c r="DD87" s="2">
        <v>100</v>
      </c>
      <c r="DE87" s="2">
        <v>102.2</v>
      </c>
      <c r="DF87" s="2">
        <v>102.2</v>
      </c>
      <c r="DG87" s="2">
        <v>102.2</v>
      </c>
      <c r="DH87" s="2">
        <v>102.2</v>
      </c>
      <c r="DI87" s="2">
        <v>102.2</v>
      </c>
      <c r="DJ87" s="2">
        <v>102.2</v>
      </c>
      <c r="DK87" s="2">
        <v>2.5</v>
      </c>
      <c r="DL87" s="2">
        <v>2.5</v>
      </c>
      <c r="DM87" s="2">
        <v>2.5</v>
      </c>
      <c r="DN87" s="2">
        <v>2.5</v>
      </c>
      <c r="DO87" s="2">
        <v>2.5</v>
      </c>
      <c r="DP87" s="2">
        <v>2.5</v>
      </c>
      <c r="DQ87" s="2">
        <v>2.5</v>
      </c>
      <c r="DR87" s="2">
        <v>2.5</v>
      </c>
      <c r="DS87" s="2">
        <v>2.5</v>
      </c>
      <c r="DT87" s="2">
        <v>2.5</v>
      </c>
      <c r="DU87" s="2">
        <v>2.5</v>
      </c>
      <c r="DV87" s="2">
        <v>1.5</v>
      </c>
      <c r="DW87" s="2">
        <v>1.5</v>
      </c>
      <c r="DX87" s="2">
        <v>1.5</v>
      </c>
      <c r="DY87" s="2">
        <v>1.5</v>
      </c>
      <c r="DZ87" s="2">
        <v>1.5</v>
      </c>
      <c r="EA87" s="2">
        <v>1.5</v>
      </c>
      <c r="EB87" s="2">
        <v>1.4</v>
      </c>
      <c r="EC87" s="2">
        <v>1.4</v>
      </c>
      <c r="ED87" s="2">
        <v>1.4</v>
      </c>
      <c r="EE87" s="2">
        <v>1.4</v>
      </c>
      <c r="EF87" s="2">
        <v>1.4</v>
      </c>
      <c r="EG87" s="2">
        <v>1.4</v>
      </c>
      <c r="EH87" s="2">
        <v>1.3</v>
      </c>
      <c r="EI87" s="2">
        <v>1.3</v>
      </c>
      <c r="EJ87" s="2">
        <v>1.3</v>
      </c>
      <c r="EK87" s="2">
        <v>1.3</v>
      </c>
      <c r="EL87" s="2">
        <v>1.3</v>
      </c>
      <c r="EM87" s="2">
        <v>4</v>
      </c>
      <c r="EN87" s="2">
        <v>-1.7</v>
      </c>
      <c r="EO87" s="2">
        <v>-1.7</v>
      </c>
      <c r="EP87" s="2">
        <v>-1.7</v>
      </c>
      <c r="EQ87" s="2">
        <v>-1.7</v>
      </c>
      <c r="ER87" s="2">
        <v>-1.7</v>
      </c>
      <c r="ES87" s="2">
        <v>-1.7</v>
      </c>
      <c r="ET87" s="2">
        <v>-1.6</v>
      </c>
      <c r="EU87" s="2">
        <v>-1.6</v>
      </c>
      <c r="EV87" s="2">
        <v>-1.6</v>
      </c>
      <c r="EW87" s="2">
        <v>-1.6</v>
      </c>
      <c r="EX87" s="2">
        <v>-1.6</v>
      </c>
      <c r="EY87" s="2">
        <v>-4.2</v>
      </c>
      <c r="EZ87" s="2">
        <v>6.4</v>
      </c>
      <c r="FA87" s="2">
        <v>6.4</v>
      </c>
      <c r="FB87" s="2">
        <v>6.4</v>
      </c>
      <c r="FC87" s="2">
        <v>6.4</v>
      </c>
      <c r="FD87" s="2">
        <v>6.4</v>
      </c>
      <c r="FE87" s="2">
        <v>6.4</v>
      </c>
      <c r="FF87" s="2">
        <v>6.2</v>
      </c>
      <c r="FG87" s="2">
        <v>6.2</v>
      </c>
      <c r="FH87" s="2">
        <v>6.2</v>
      </c>
      <c r="FI87" s="2">
        <v>6.2</v>
      </c>
      <c r="FJ87" s="2">
        <v>6.2</v>
      </c>
      <c r="FK87" s="2">
        <v>6.2</v>
      </c>
      <c r="FL87" s="2">
        <v>9.6</v>
      </c>
      <c r="FM87" s="2">
        <v>9.6</v>
      </c>
      <c r="FN87" s="2">
        <v>9.6</v>
      </c>
      <c r="FO87" s="2">
        <v>9.6</v>
      </c>
      <c r="FP87" s="2">
        <v>9.6</v>
      </c>
      <c r="FQ87" s="2">
        <v>9.6</v>
      </c>
      <c r="FR87" s="2">
        <v>10.3</v>
      </c>
      <c r="FS87" s="2">
        <v>10.3</v>
      </c>
      <c r="FT87" s="2">
        <v>10.3</v>
      </c>
      <c r="FU87" s="2">
        <v>10.3</v>
      </c>
      <c r="FV87" s="2">
        <v>10.3</v>
      </c>
      <c r="FW87" s="2">
        <v>10.3</v>
      </c>
      <c r="FX87" s="2">
        <v>7</v>
      </c>
      <c r="FY87" s="2">
        <v>7</v>
      </c>
      <c r="FZ87" s="2">
        <v>7</v>
      </c>
      <c r="GA87" s="2">
        <v>7</v>
      </c>
      <c r="GB87" s="2">
        <v>7</v>
      </c>
      <c r="GC87" s="2">
        <v>7</v>
      </c>
      <c r="GD87" s="2">
        <v>6.6</v>
      </c>
      <c r="GE87" s="2">
        <v>6.6</v>
      </c>
      <c r="GF87" s="2">
        <v>6.6</v>
      </c>
      <c r="GG87" s="2">
        <v>6.6</v>
      </c>
      <c r="GH87" s="2">
        <v>6.6</v>
      </c>
      <c r="GI87" s="2">
        <v>6.6</v>
      </c>
      <c r="GJ87" s="2">
        <v>3.8</v>
      </c>
      <c r="GK87" s="2">
        <v>3.8</v>
      </c>
      <c r="GL87" s="2">
        <v>3.8</v>
      </c>
      <c r="GM87" s="2">
        <v>3.8</v>
      </c>
      <c r="GN87" s="2">
        <v>3.8</v>
      </c>
      <c r="GO87" s="2">
        <v>3.8</v>
      </c>
      <c r="GP87" s="2">
        <v>3.8</v>
      </c>
      <c r="GQ87" s="2">
        <v>3.8</v>
      </c>
      <c r="GR87" s="2">
        <v>3.8</v>
      </c>
      <c r="GS87" s="2">
        <v>3.8</v>
      </c>
      <c r="GT87" s="2">
        <v>3.8</v>
      </c>
      <c r="GU87" s="2">
        <v>3.8</v>
      </c>
      <c r="GV87" s="2">
        <v>2.3</v>
      </c>
      <c r="GW87" s="2">
        <v>2.3</v>
      </c>
      <c r="GX87" s="2">
        <v>2.3</v>
      </c>
      <c r="GY87" s="2">
        <v>2.3</v>
      </c>
      <c r="GZ87" s="2">
        <v>2.3</v>
      </c>
      <c r="HA87" s="2">
        <v>2.3</v>
      </c>
      <c r="HB87" s="2">
        <v>0</v>
      </c>
      <c r="HC87" s="2">
        <v>0</v>
      </c>
      <c r="HD87" s="2">
        <v>0</v>
      </c>
      <c r="HE87" s="2">
        <v>0</v>
      </c>
      <c r="HF87" s="2">
        <v>1.4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1.1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1.5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1.3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-0.1</v>
      </c>
      <c r="IK87" s="2">
        <v>0</v>
      </c>
      <c r="IL87" s="2">
        <v>0</v>
      </c>
      <c r="IM87" s="2">
        <v>0</v>
      </c>
      <c r="IN87" s="2">
        <v>0</v>
      </c>
      <c r="IO87" s="2">
        <v>2.7</v>
      </c>
      <c r="IP87" s="2">
        <v>-4.2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6.4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-0.1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9.699999999999999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0.5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6.5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0.1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3.6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0.1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2.2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1.69</v>
      </c>
      <c r="LE87" s="2">
        <v>1.69</v>
      </c>
      <c r="LF87" s="2">
        <v>1.75</v>
      </c>
      <c r="LG87" s="2">
        <v>1.75</v>
      </c>
      <c r="LH87" s="2">
        <v>1.75</v>
      </c>
      <c r="LI87" s="2">
        <v>1.75</v>
      </c>
      <c r="LJ87" s="2">
        <v>1.75</v>
      </c>
      <c r="LK87" s="2">
        <v>1.75</v>
      </c>
      <c r="LL87" s="2">
        <v>1.75</v>
      </c>
      <c r="LM87" s="2">
        <v>1.75</v>
      </c>
      <c r="LN87" s="2">
        <v>1.75</v>
      </c>
      <c r="LO87" s="2">
        <v>1.75</v>
      </c>
      <c r="LP87" s="2">
        <v>1.75</v>
      </c>
      <c r="LQ87" s="2">
        <v>1.75</v>
      </c>
      <c r="LR87" s="2">
        <v>1.79</v>
      </c>
      <c r="LS87" s="2">
        <v>1.79</v>
      </c>
      <c r="LT87" s="2">
        <v>1.79</v>
      </c>
      <c r="LU87" s="2">
        <v>1.79</v>
      </c>
      <c r="LV87" s="2">
        <v>1.79</v>
      </c>
      <c r="LW87" s="2">
        <v>1.79</v>
      </c>
      <c r="LX87" s="2">
        <v>0</v>
      </c>
      <c r="LY87" s="2">
        <v>0.06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0.04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UP87" s="2">
        <v>37.46</v>
      </c>
      <c r="UQ87" s="2">
        <v>37.59</v>
      </c>
      <c r="UR87" s="2">
        <v>37.59</v>
      </c>
      <c r="US87" s="2">
        <v>38.55</v>
      </c>
      <c r="UT87" s="2">
        <v>38.55</v>
      </c>
      <c r="UU87" s="2">
        <v>38.55</v>
      </c>
      <c r="UV87" s="2">
        <v>38.55</v>
      </c>
      <c r="UW87" s="2">
        <v>39.71</v>
      </c>
      <c r="UX87" s="2">
        <v>39.71</v>
      </c>
      <c r="UY87" s="2">
        <v>39.71</v>
      </c>
      <c r="UZ87" s="2">
        <v>39.71</v>
      </c>
      <c r="VA87" s="2">
        <v>40.67</v>
      </c>
      <c r="VB87" s="2">
        <v>40.67</v>
      </c>
      <c r="VC87" s="2">
        <v>40.67</v>
      </c>
      <c r="VD87" s="2">
        <v>40.67</v>
      </c>
      <c r="VE87" s="2">
        <v>44.1</v>
      </c>
      <c r="VF87" s="2">
        <v>44.1</v>
      </c>
      <c r="VG87" s="2">
        <v>44.1</v>
      </c>
      <c r="VH87" s="2">
        <v>44.1</v>
      </c>
      <c r="VI87" s="2">
        <v>46.42</v>
      </c>
      <c r="VJ87" s="2">
        <v>46.42</v>
      </c>
      <c r="VK87" s="2">
        <v>46.42</v>
      </c>
      <c r="VL87" s="2">
        <v>46.42</v>
      </c>
      <c r="VM87" s="2">
        <v>48.62</v>
      </c>
      <c r="VN87" s="2">
        <v>48.62</v>
      </c>
      <c r="VO87" s="2">
        <v>47.53</v>
      </c>
      <c r="VP87" s="2">
        <v>47.53</v>
      </c>
      <c r="VQ87" s="2">
        <v>48.78</v>
      </c>
      <c r="VR87" s="2">
        <v>48.78</v>
      </c>
      <c r="VS87" s="2">
        <v>48.78</v>
      </c>
      <c r="VT87" s="2">
        <v>48.78</v>
      </c>
      <c r="VU87" s="2">
        <v>50.61</v>
      </c>
      <c r="VV87" s="2">
        <v>50.61</v>
      </c>
      <c r="VW87" s="2">
        <v>50.61</v>
      </c>
      <c r="VX87" s="2">
        <v>50.61</v>
      </c>
      <c r="VY87" s="2">
        <v>52.23</v>
      </c>
      <c r="VZ87" s="2">
        <v>52.23</v>
      </c>
      <c r="WA87" s="2">
        <v>52.23</v>
      </c>
      <c r="WB87" s="2">
        <v>52.23</v>
      </c>
      <c r="WC87" s="2">
        <v>55.3</v>
      </c>
      <c r="WD87" s="2">
        <v>55.3</v>
      </c>
      <c r="WE87" s="2">
        <v>55.3</v>
      </c>
      <c r="WF87" s="2">
        <v>55.3</v>
      </c>
      <c r="WG87" s="2">
        <v>58.02</v>
      </c>
      <c r="WH87" s="2">
        <v>58.02</v>
      </c>
      <c r="WI87" s="2">
        <v>58.02</v>
      </c>
      <c r="WJ87" s="2">
        <v>58.02</v>
      </c>
      <c r="WK87" s="2">
        <v>60.75</v>
      </c>
      <c r="WL87" s="2">
        <v>60.75</v>
      </c>
      <c r="WM87" s="2">
        <v>60.75</v>
      </c>
      <c r="WN87" s="2">
        <v>60.75</v>
      </c>
      <c r="WO87" s="2">
        <v>64.72</v>
      </c>
      <c r="WP87" s="2">
        <v>64.72</v>
      </c>
      <c r="WQ87" s="2">
        <v>64.72</v>
      </c>
      <c r="WR87" s="2">
        <v>64.72</v>
      </c>
      <c r="WS87" s="2">
        <v>67.55</v>
      </c>
      <c r="WT87" s="2">
        <v>67.55</v>
      </c>
      <c r="WU87" s="2">
        <v>67.55</v>
      </c>
      <c r="WV87" s="2">
        <v>67.55</v>
      </c>
      <c r="WW87" s="2">
        <v>71.39</v>
      </c>
      <c r="WX87" s="2">
        <v>71.39</v>
      </c>
      <c r="WY87" s="2">
        <v>71.43000000000001</v>
      </c>
      <c r="WZ87" s="2">
        <v>71.43000000000001</v>
      </c>
      <c r="XA87" s="2">
        <v>72.5</v>
      </c>
      <c r="XB87" s="2">
        <v>72.5</v>
      </c>
      <c r="XC87" s="2">
        <v>72.7</v>
      </c>
      <c r="XD87" s="2">
        <v>72.7</v>
      </c>
      <c r="XE87" s="2">
        <v>74.43000000000001</v>
      </c>
      <c r="XF87" s="2">
        <v>74.43000000000001</v>
      </c>
      <c r="XG87" s="2">
        <v>74.51000000000001</v>
      </c>
      <c r="XH87" s="2">
        <v>74.51000000000001</v>
      </c>
      <c r="XI87" s="2">
        <v>75.55</v>
      </c>
      <c r="XJ87" s="2">
        <v>75.55</v>
      </c>
      <c r="XK87" s="2">
        <v>76.28</v>
      </c>
      <c r="XL87" s="2">
        <v>76.28</v>
      </c>
      <c r="XM87" s="2">
        <v>77.38</v>
      </c>
      <c r="XN87" s="2">
        <v>77.38</v>
      </c>
      <c r="XO87" s="2">
        <v>77.42</v>
      </c>
      <c r="XP87" s="2">
        <v>77.42</v>
      </c>
      <c r="XQ87" s="2">
        <v>78.45999999999999</v>
      </c>
      <c r="XR87" s="2">
        <v>78.45999999999999</v>
      </c>
      <c r="XS87" s="2">
        <v>78.39</v>
      </c>
      <c r="XT87" s="2">
        <v>78.39</v>
      </c>
      <c r="XU87" s="2">
        <v>77.11</v>
      </c>
      <c r="XV87" s="2">
        <v>77.11</v>
      </c>
      <c r="XW87" s="2">
        <v>77.13</v>
      </c>
      <c r="XX87" s="2">
        <v>77.13</v>
      </c>
      <c r="XY87" s="2">
        <v>82.04000000000001</v>
      </c>
      <c r="XZ87" s="2">
        <v>82.04000000000001</v>
      </c>
      <c r="YA87" s="2">
        <v>81.94</v>
      </c>
      <c r="YB87" s="2">
        <v>81.94</v>
      </c>
      <c r="YC87" s="2">
        <v>89.89</v>
      </c>
      <c r="YD87" s="2">
        <v>89.89</v>
      </c>
      <c r="YE87" s="2">
        <v>90.34999999999999</v>
      </c>
      <c r="YF87" s="2">
        <v>90.34999999999999</v>
      </c>
      <c r="YG87" s="2">
        <v>96.19</v>
      </c>
      <c r="YH87" s="2">
        <v>96.19</v>
      </c>
      <c r="YI87" s="2">
        <v>96.31999999999999</v>
      </c>
      <c r="YJ87" s="2">
        <v>96.31999999999999</v>
      </c>
      <c r="YK87" s="2">
        <v>99.81999999999999</v>
      </c>
      <c r="YL87" s="2">
        <v>99.81999999999999</v>
      </c>
      <c r="YM87" s="2">
        <v>99.95</v>
      </c>
      <c r="YN87" s="2">
        <v>100</v>
      </c>
      <c r="YO87" s="2">
        <v>101.47</v>
      </c>
      <c r="YP87" s="2">
        <v>102.2</v>
      </c>
      <c r="AGP87" s="2">
        <v>0.3</v>
      </c>
      <c r="AGQ87" s="2">
        <v>0</v>
      </c>
      <c r="AGR87" s="2">
        <v>2.6</v>
      </c>
      <c r="AGS87" s="2">
        <v>0</v>
      </c>
      <c r="AGT87" s="2">
        <v>0</v>
      </c>
      <c r="AGU87" s="2">
        <v>0</v>
      </c>
      <c r="AGV87" s="2">
        <v>3</v>
      </c>
      <c r="AGW87" s="2">
        <v>0</v>
      </c>
      <c r="AGX87" s="2">
        <v>0</v>
      </c>
      <c r="AGY87" s="2">
        <v>0</v>
      </c>
      <c r="AGZ87" s="2">
        <v>2.4</v>
      </c>
      <c r="AHA87" s="2">
        <v>0</v>
      </c>
      <c r="AHB87" s="2">
        <v>0</v>
      </c>
      <c r="AHC87" s="2">
        <v>0</v>
      </c>
      <c r="AHD87" s="2">
        <v>8.4</v>
      </c>
      <c r="AHE87" s="2">
        <v>0</v>
      </c>
      <c r="AHF87" s="2">
        <v>0</v>
      </c>
      <c r="AHG87" s="2">
        <v>0</v>
      </c>
      <c r="AHH87" s="2">
        <v>5.3</v>
      </c>
      <c r="AHI87" s="2">
        <v>0</v>
      </c>
      <c r="AHJ87" s="2">
        <v>0</v>
      </c>
      <c r="AHK87" s="2">
        <v>0</v>
      </c>
      <c r="AHL87" s="2">
        <v>4.7</v>
      </c>
      <c r="AHM87" s="2">
        <v>0</v>
      </c>
      <c r="AHN87" s="2">
        <v>-2.2</v>
      </c>
      <c r="AHO87" s="2">
        <v>0</v>
      </c>
      <c r="AHP87" s="2">
        <v>2.6</v>
      </c>
      <c r="AHQ87" s="2">
        <v>0</v>
      </c>
      <c r="AHR87" s="2">
        <v>0</v>
      </c>
      <c r="AHS87" s="2">
        <v>0</v>
      </c>
      <c r="AHT87" s="2">
        <v>3.8</v>
      </c>
      <c r="AHU87" s="2">
        <v>0</v>
      </c>
      <c r="AHV87" s="2">
        <v>0</v>
      </c>
      <c r="AHW87" s="2">
        <v>0</v>
      </c>
      <c r="AHX87" s="2">
        <v>3.2</v>
      </c>
      <c r="AHY87" s="2">
        <v>0</v>
      </c>
      <c r="AHZ87" s="2">
        <v>0</v>
      </c>
      <c r="AIA87" s="2">
        <v>0</v>
      </c>
      <c r="AIB87" s="2">
        <v>5.9</v>
      </c>
      <c r="AIC87" s="2">
        <v>0</v>
      </c>
      <c r="AID87" s="2">
        <v>0</v>
      </c>
      <c r="AIE87" s="2">
        <v>0</v>
      </c>
      <c r="AIF87" s="2">
        <v>4.9</v>
      </c>
      <c r="AIG87" s="2">
        <v>0</v>
      </c>
      <c r="AIH87" s="2">
        <v>0</v>
      </c>
      <c r="AII87" s="2">
        <v>0</v>
      </c>
      <c r="AIJ87" s="2">
        <v>4.7</v>
      </c>
      <c r="AIK87" s="2">
        <v>0</v>
      </c>
      <c r="AIL87" s="2">
        <v>0</v>
      </c>
      <c r="AIM87" s="2">
        <v>0</v>
      </c>
      <c r="AIN87" s="2">
        <v>6.5</v>
      </c>
      <c r="AIO87" s="2">
        <v>0</v>
      </c>
      <c r="AIP87" s="2">
        <v>0</v>
      </c>
      <c r="AIQ87" s="2">
        <v>0</v>
      </c>
      <c r="AIR87" s="2">
        <v>4.4</v>
      </c>
      <c r="AIS87" s="2">
        <v>0</v>
      </c>
      <c r="AIT87" s="2">
        <v>0</v>
      </c>
      <c r="AIU87" s="2">
        <v>0</v>
      </c>
      <c r="AIV87" s="2">
        <v>5.7</v>
      </c>
      <c r="AIW87" s="2">
        <v>0</v>
      </c>
      <c r="AIX87" s="2">
        <v>0.1</v>
      </c>
      <c r="AIY87" s="2">
        <v>0</v>
      </c>
      <c r="AIZ87" s="2">
        <v>1.5</v>
      </c>
      <c r="AJA87" s="2">
        <v>0</v>
      </c>
      <c r="AJB87" s="2">
        <v>0.3</v>
      </c>
      <c r="AJC87" s="2">
        <v>0</v>
      </c>
      <c r="AJD87" s="2">
        <v>2.4</v>
      </c>
      <c r="AJE87" s="2">
        <v>0</v>
      </c>
      <c r="AJF87" s="2">
        <v>0.1</v>
      </c>
      <c r="AJG87" s="2">
        <v>0</v>
      </c>
      <c r="AJH87" s="2">
        <v>1.4</v>
      </c>
      <c r="AJI87" s="2">
        <v>0</v>
      </c>
      <c r="AJJ87" s="2">
        <v>1</v>
      </c>
      <c r="AJK87" s="2">
        <v>0</v>
      </c>
      <c r="AJL87" s="2">
        <v>1.4</v>
      </c>
      <c r="AJM87" s="2">
        <v>0</v>
      </c>
      <c r="AJN87" s="2">
        <v>0.1</v>
      </c>
      <c r="AJO87" s="2">
        <v>0</v>
      </c>
      <c r="AJP87" s="2">
        <v>1.3</v>
      </c>
      <c r="AJQ87" s="2">
        <v>0</v>
      </c>
      <c r="AJR87" s="2">
        <v>-0.1</v>
      </c>
      <c r="AJS87" s="2">
        <v>0</v>
      </c>
      <c r="AJT87" s="2">
        <v>-1.6</v>
      </c>
      <c r="AJU87" s="2">
        <v>0</v>
      </c>
      <c r="AJV87" s="2">
        <v>0</v>
      </c>
      <c r="AJW87" s="2">
        <v>0</v>
      </c>
      <c r="AJX87" s="2">
        <v>6.4</v>
      </c>
      <c r="AJY87" s="2">
        <v>0</v>
      </c>
      <c r="AJZ87" s="2">
        <v>-0.1</v>
      </c>
      <c r="AKA87" s="2">
        <v>0</v>
      </c>
      <c r="AKB87" s="2">
        <v>9.699999999999999</v>
      </c>
      <c r="AKC87" s="2">
        <v>0</v>
      </c>
      <c r="AKD87" s="2">
        <v>0.5</v>
      </c>
      <c r="AKE87" s="2">
        <v>0</v>
      </c>
      <c r="AKF87" s="2">
        <v>6.5</v>
      </c>
      <c r="AKG87" s="2">
        <v>0</v>
      </c>
      <c r="AKH87" s="2">
        <v>0.1</v>
      </c>
      <c r="AKI87" s="2">
        <v>0</v>
      </c>
      <c r="AKJ87" s="2">
        <v>3.6</v>
      </c>
      <c r="AKK87" s="2">
        <v>0</v>
      </c>
      <c r="AKL87" s="2">
        <v>0.1</v>
      </c>
      <c r="AKM87" s="2">
        <v>0.1</v>
      </c>
      <c r="AKN87" s="2">
        <v>1.5</v>
      </c>
      <c r="AKO87" s="2">
        <v>0.7</v>
      </c>
      <c r="AKP87" s="2">
        <v>1.75</v>
      </c>
      <c r="AKQ87" s="2">
        <v>1.78</v>
      </c>
      <c r="AKR87" s="2">
        <v>1.79</v>
      </c>
    </row>
    <row r="88">
      <c r="A88" t="inlineStr">
        <is>
          <t>Insurance</t>
        </is>
      </c>
      <c r="B88" t="inlineStr">
        <is>
          <t>Insurance</t>
        </is>
      </c>
      <c r="C88">
        <v>3</v>
      </c>
      <c r="D88">
        <v>1.36</v>
      </c>
      <c r="E88" s="3">
        <f>D88/1.36*0.0136</f>
        <v>0.013600000000000001</v>
      </c>
      <c r="F88" s="3">
        <f>E88-D88/100</f>
        <v>0.0</v>
      </c>
      <c r="G88" s="3">
        <f>D88/1.36</f>
        <v>1.0</v>
      </c>
      <c r="CI88" s="2">
        <v>94.04000000000001</v>
      </c>
      <c r="CJ88" s="2">
        <v>94.93000000000001</v>
      </c>
      <c r="CK88" s="2">
        <v>95.72</v>
      </c>
      <c r="CL88" s="2">
        <v>96.5</v>
      </c>
      <c r="CM88" s="2">
        <v>97.59</v>
      </c>
      <c r="CN88" s="2">
        <v>97.95</v>
      </c>
      <c r="CO88" s="2">
        <v>98.31999999999999</v>
      </c>
      <c r="CP88" s="2">
        <v>98.75</v>
      </c>
      <c r="CQ88" s="2">
        <v>98.87</v>
      </c>
      <c r="CR88" s="2">
        <v>100.61</v>
      </c>
      <c r="CS88" s="2">
        <v>100.66</v>
      </c>
      <c r="CT88" s="2">
        <v>100.17</v>
      </c>
      <c r="CU88" s="2">
        <v>99.70999999999999</v>
      </c>
      <c r="CV88" s="2">
        <v>99.27</v>
      </c>
      <c r="CW88" s="2">
        <v>99.53</v>
      </c>
      <c r="CX88" s="2">
        <v>100.33</v>
      </c>
      <c r="CY88" s="2">
        <v>99.70999999999999</v>
      </c>
      <c r="CZ88" s="2">
        <v>100</v>
      </c>
      <c r="DA88" s="2">
        <v>100.61</v>
      </c>
      <c r="DB88" s="2">
        <v>101.17</v>
      </c>
      <c r="DC88" s="2">
        <v>101.41</v>
      </c>
      <c r="DD88" s="2">
        <v>102.84</v>
      </c>
      <c r="DE88" s="2">
        <v>103.21</v>
      </c>
      <c r="DF88" s="2">
        <v>103.91</v>
      </c>
      <c r="DG88" s="2">
        <v>104.19</v>
      </c>
      <c r="DH88" s="2">
        <v>104.7</v>
      </c>
      <c r="DI88" s="2">
        <v>104.37</v>
      </c>
      <c r="DJ88" s="2">
        <v>104.57</v>
      </c>
      <c r="GL88" s="2">
        <v>6</v>
      </c>
      <c r="GM88" s="2">
        <v>4.6</v>
      </c>
      <c r="GN88" s="2">
        <v>4</v>
      </c>
      <c r="GO88" s="2">
        <v>4</v>
      </c>
      <c r="GP88" s="2">
        <v>2.2</v>
      </c>
      <c r="GQ88" s="2">
        <v>2.1</v>
      </c>
      <c r="GR88" s="2">
        <v>2.3</v>
      </c>
      <c r="GS88" s="2">
        <v>2.5</v>
      </c>
      <c r="GT88" s="2">
        <v>2.6</v>
      </c>
      <c r="GU88" s="2">
        <v>2.2</v>
      </c>
      <c r="GV88" s="2">
        <v>2.5</v>
      </c>
      <c r="GW88" s="2">
        <v>3.7</v>
      </c>
      <c r="GX88" s="2">
        <v>4.5</v>
      </c>
      <c r="GY88" s="2">
        <v>5.5</v>
      </c>
      <c r="GZ88" s="2">
        <v>4.9</v>
      </c>
      <c r="HA88" s="2">
        <v>4.2</v>
      </c>
      <c r="KC88" s="2">
        <v>0.9</v>
      </c>
      <c r="KD88" s="2">
        <v>0.8</v>
      </c>
      <c r="KE88" s="2">
        <v>0.8</v>
      </c>
      <c r="KF88" s="2">
        <v>1.1</v>
      </c>
      <c r="KG88" s="2">
        <v>0.4</v>
      </c>
      <c r="KH88" s="2">
        <v>0.4</v>
      </c>
      <c r="KI88" s="2">
        <v>0.4</v>
      </c>
      <c r="KJ88" s="2">
        <v>0.1</v>
      </c>
      <c r="KK88" s="2">
        <v>1.8</v>
      </c>
      <c r="KL88" s="2">
        <v>0</v>
      </c>
      <c r="KM88" s="2">
        <v>-0.5</v>
      </c>
      <c r="KN88" s="2">
        <v>-0.5</v>
      </c>
      <c r="KO88" s="2">
        <v>-0.4</v>
      </c>
      <c r="KP88" s="2">
        <v>0.3</v>
      </c>
      <c r="KQ88" s="2">
        <v>0.8</v>
      </c>
      <c r="KR88" s="2">
        <v>-0.6</v>
      </c>
      <c r="KS88" s="2">
        <v>0.3</v>
      </c>
      <c r="KT88" s="2">
        <v>0.6</v>
      </c>
      <c r="KU88" s="2">
        <v>0.6</v>
      </c>
      <c r="KV88" s="2">
        <v>0.2</v>
      </c>
      <c r="KW88" s="2">
        <v>1.4</v>
      </c>
      <c r="KX88" s="2">
        <v>0.4</v>
      </c>
      <c r="KY88" s="2">
        <v>0.7</v>
      </c>
      <c r="KZ88" s="2">
        <v>0.3</v>
      </c>
      <c r="LA88" s="2">
        <v>0.5</v>
      </c>
      <c r="LB88" s="2">
        <v>-0.3</v>
      </c>
      <c r="LC88" s="2">
        <v>0.2</v>
      </c>
      <c r="LD88" s="2">
        <v>1.32</v>
      </c>
      <c r="LE88" s="2">
        <v>1.35</v>
      </c>
      <c r="LF88" s="2">
        <v>1.35</v>
      </c>
      <c r="LG88" s="2">
        <v>1.34</v>
      </c>
      <c r="LH88" s="2">
        <v>1.33</v>
      </c>
      <c r="LI88" s="2">
        <v>1.33</v>
      </c>
      <c r="LJ88" s="2">
        <v>1.33</v>
      </c>
      <c r="LK88" s="2">
        <v>1.34</v>
      </c>
      <c r="LL88" s="2">
        <v>1.33</v>
      </c>
      <c r="LM88" s="2">
        <v>1.34</v>
      </c>
      <c r="LN88" s="2">
        <v>1.35</v>
      </c>
      <c r="LO88" s="2">
        <v>1.35</v>
      </c>
      <c r="LP88" s="2">
        <v>1.36</v>
      </c>
      <c r="LQ88" s="2">
        <v>1.38</v>
      </c>
      <c r="LR88" s="2">
        <v>1.38</v>
      </c>
      <c r="LS88" s="2">
        <v>1.39</v>
      </c>
      <c r="LT88" s="2">
        <v>1.39</v>
      </c>
      <c r="LU88" s="2">
        <v>1.4</v>
      </c>
      <c r="LV88" s="2">
        <v>1.4</v>
      </c>
      <c r="LW88" s="2">
        <v>1.4</v>
      </c>
      <c r="LX88" s="2">
        <v>0.03</v>
      </c>
      <c r="LY88" s="2">
        <v>0</v>
      </c>
      <c r="LZ88" s="2">
        <v>-0.01</v>
      </c>
      <c r="MA88" s="2">
        <v>-0.01</v>
      </c>
      <c r="MB88" s="2">
        <v>0</v>
      </c>
      <c r="MC88" s="2">
        <v>0</v>
      </c>
      <c r="MD88" s="2">
        <v>0.01</v>
      </c>
      <c r="ME88" s="2">
        <v>-0.01</v>
      </c>
      <c r="MF88" s="2">
        <v>0.01</v>
      </c>
      <c r="MG88" s="2">
        <v>0.01</v>
      </c>
      <c r="MH88" s="2">
        <v>0</v>
      </c>
      <c r="MI88" s="2">
        <v>0.01</v>
      </c>
      <c r="MJ88" s="2">
        <v>0.02</v>
      </c>
      <c r="MK88" s="2">
        <v>0</v>
      </c>
      <c r="ML88" s="2">
        <v>0.01</v>
      </c>
      <c r="MM88" s="2">
        <v>0</v>
      </c>
      <c r="MN88" s="2">
        <v>0.01</v>
      </c>
      <c r="MO88" s="2">
        <v>0</v>
      </c>
      <c r="MP88" s="2">
        <v>0</v>
      </c>
      <c r="SY88" s="2">
        <v>14.14</v>
      </c>
      <c r="SZ88" s="2">
        <v>14.28</v>
      </c>
      <c r="TA88" s="2">
        <v>14.44</v>
      </c>
      <c r="TB88" s="2">
        <v>14.61</v>
      </c>
      <c r="TC88" s="2">
        <v>15.13</v>
      </c>
      <c r="TD88" s="2">
        <v>15.27</v>
      </c>
      <c r="TE88" s="2">
        <v>15.37</v>
      </c>
      <c r="TF88" s="2">
        <v>15.63</v>
      </c>
      <c r="TG88" s="2">
        <v>15.14</v>
      </c>
      <c r="TH88" s="2">
        <v>15.96</v>
      </c>
      <c r="TI88" s="2">
        <v>15.98</v>
      </c>
      <c r="TJ88" s="2">
        <v>15.98</v>
      </c>
      <c r="TK88" s="2">
        <v>16.06</v>
      </c>
      <c r="TL88" s="2">
        <v>16.03</v>
      </c>
      <c r="TM88" s="2">
        <v>15.95</v>
      </c>
      <c r="TN88" s="2">
        <v>16</v>
      </c>
      <c r="TO88" s="2">
        <v>16.22</v>
      </c>
      <c r="TP88" s="2">
        <v>16.36</v>
      </c>
      <c r="TQ88" s="2">
        <v>16.75</v>
      </c>
      <c r="TR88" s="2">
        <v>17.02</v>
      </c>
      <c r="TS88" s="2">
        <v>17.48</v>
      </c>
      <c r="TT88" s="2">
        <v>17.61</v>
      </c>
      <c r="TU88" s="2">
        <v>17.79</v>
      </c>
      <c r="TV88" s="2">
        <v>17.99</v>
      </c>
      <c r="TW88" s="2">
        <v>18.68</v>
      </c>
      <c r="TX88" s="2">
        <v>19.17</v>
      </c>
      <c r="TY88" s="2">
        <v>19.37</v>
      </c>
      <c r="TZ88" s="2">
        <v>19.5</v>
      </c>
      <c r="UA88" s="2">
        <v>19.74</v>
      </c>
      <c r="UB88" s="2">
        <v>20.04</v>
      </c>
      <c r="UC88" s="2">
        <v>20.4</v>
      </c>
      <c r="UD88" s="2">
        <v>20.66</v>
      </c>
      <c r="UE88" s="2">
        <v>20.93</v>
      </c>
      <c r="UF88" s="2">
        <v>21.1</v>
      </c>
      <c r="UG88" s="2">
        <v>21.21</v>
      </c>
      <c r="UH88" s="2">
        <v>21.36</v>
      </c>
      <c r="UI88" s="2">
        <v>21.84</v>
      </c>
      <c r="UJ88" s="2">
        <v>22.24</v>
      </c>
      <c r="UK88" s="2">
        <v>22.1</v>
      </c>
      <c r="UL88" s="2">
        <v>22.18</v>
      </c>
      <c r="UM88" s="2">
        <v>22.99</v>
      </c>
      <c r="UN88" s="2">
        <v>24.45</v>
      </c>
      <c r="UO88" s="2">
        <v>26.45</v>
      </c>
      <c r="UP88" s="2">
        <v>28.99</v>
      </c>
      <c r="UQ88" s="2">
        <v>30.45</v>
      </c>
      <c r="UR88" s="2">
        <v>30.7</v>
      </c>
      <c r="US88" s="2">
        <v>31.24</v>
      </c>
      <c r="UT88" s="2">
        <v>31.74</v>
      </c>
      <c r="UU88" s="2">
        <v>32.6</v>
      </c>
      <c r="UV88" s="2">
        <v>32.55</v>
      </c>
      <c r="UW88" s="2">
        <v>33.41</v>
      </c>
      <c r="UX88" s="2">
        <v>33.59</v>
      </c>
      <c r="UY88" s="2">
        <v>34.03</v>
      </c>
      <c r="UZ88" s="2">
        <v>34.12</v>
      </c>
      <c r="VA88" s="2">
        <v>34.1</v>
      </c>
      <c r="VB88" s="2">
        <v>34.07</v>
      </c>
      <c r="VC88" s="2">
        <v>34.59</v>
      </c>
      <c r="VD88" s="2">
        <v>34.56</v>
      </c>
      <c r="VE88" s="2">
        <v>34.87</v>
      </c>
      <c r="VF88" s="2">
        <v>34.7</v>
      </c>
      <c r="VG88" s="2">
        <v>35.08</v>
      </c>
      <c r="VH88" s="2">
        <v>35.11</v>
      </c>
      <c r="VI88" s="2">
        <v>35.32</v>
      </c>
      <c r="VJ88" s="2">
        <v>35.71</v>
      </c>
      <c r="VK88" s="2">
        <v>36.14</v>
      </c>
      <c r="VL88" s="2">
        <v>36.45</v>
      </c>
      <c r="VM88" s="2">
        <v>36.72</v>
      </c>
      <c r="VN88" s="2">
        <v>37.04</v>
      </c>
      <c r="VO88" s="2">
        <v>37.84</v>
      </c>
      <c r="VP88" s="2">
        <v>37.63</v>
      </c>
      <c r="VQ88" s="2">
        <v>37.6</v>
      </c>
      <c r="VR88" s="2">
        <v>37.9</v>
      </c>
      <c r="VS88" s="2">
        <v>38.27</v>
      </c>
      <c r="VT88" s="2">
        <v>38.73</v>
      </c>
      <c r="VU88" s="2">
        <v>39.55</v>
      </c>
      <c r="VV88" s="2">
        <v>40.54</v>
      </c>
      <c r="VW88" s="2">
        <v>41.73</v>
      </c>
      <c r="VX88" s="2">
        <v>42.42</v>
      </c>
      <c r="VY88" s="2">
        <v>43.61</v>
      </c>
      <c r="VZ88" s="2">
        <v>44.18</v>
      </c>
      <c r="WA88" s="2">
        <v>45.4</v>
      </c>
      <c r="WB88" s="2">
        <v>45.97</v>
      </c>
      <c r="WC88" s="2">
        <v>46.72</v>
      </c>
      <c r="WD88" s="2">
        <v>46.47</v>
      </c>
      <c r="WE88" s="2">
        <v>47.33</v>
      </c>
      <c r="WF88" s="2">
        <v>47.59</v>
      </c>
      <c r="WG88" s="2">
        <v>48.14</v>
      </c>
      <c r="WH88" s="2">
        <v>48.93</v>
      </c>
      <c r="WI88" s="2">
        <v>50.32</v>
      </c>
      <c r="WJ88" s="2">
        <v>50.99</v>
      </c>
      <c r="WK88" s="2">
        <v>51.67</v>
      </c>
      <c r="WL88" s="2">
        <v>52.34</v>
      </c>
      <c r="WM88" s="2">
        <v>53.74</v>
      </c>
      <c r="WN88" s="2">
        <v>55.28</v>
      </c>
      <c r="WO88" s="2">
        <v>56.34</v>
      </c>
      <c r="WP88" s="2">
        <v>56.31</v>
      </c>
      <c r="WQ88" s="2">
        <v>55.9</v>
      </c>
      <c r="WR88" s="2">
        <v>55.86</v>
      </c>
      <c r="WS88" s="2">
        <v>55.98</v>
      </c>
      <c r="WT88" s="2">
        <v>55.29</v>
      </c>
      <c r="WU88" s="2">
        <v>55.68</v>
      </c>
      <c r="WV88" s="2">
        <v>56.39</v>
      </c>
      <c r="WW88" s="2">
        <v>56.62</v>
      </c>
      <c r="WX88" s="2">
        <v>56.77</v>
      </c>
      <c r="WY88" s="2">
        <v>57.4</v>
      </c>
      <c r="WZ88" s="2">
        <v>58.56</v>
      </c>
      <c r="XA88" s="2">
        <v>59.56</v>
      </c>
      <c r="XB88" s="2">
        <v>60.34</v>
      </c>
      <c r="XC88" s="2">
        <v>61.83</v>
      </c>
      <c r="XD88" s="2">
        <v>63.09</v>
      </c>
      <c r="XE88" s="2">
        <v>63.6</v>
      </c>
      <c r="XF88" s="2">
        <v>62.96</v>
      </c>
      <c r="XG88" s="2">
        <v>64.09</v>
      </c>
      <c r="XH88" s="2">
        <v>65.27</v>
      </c>
      <c r="XI88" s="2">
        <v>65.70999999999999</v>
      </c>
      <c r="XJ88" s="2">
        <v>66.3</v>
      </c>
      <c r="XK88" s="2">
        <v>66.77</v>
      </c>
      <c r="XL88" s="2">
        <v>67.20999999999999</v>
      </c>
      <c r="XM88" s="2">
        <v>66.98</v>
      </c>
      <c r="XN88" s="2">
        <v>67.02</v>
      </c>
      <c r="XO88" s="2">
        <v>67.41</v>
      </c>
      <c r="XP88" s="2">
        <v>67.66</v>
      </c>
      <c r="XQ88" s="2">
        <v>68.13</v>
      </c>
      <c r="XR88" s="2">
        <v>68.64</v>
      </c>
      <c r="XS88" s="2">
        <v>68.98</v>
      </c>
      <c r="XT88" s="2">
        <v>69.45</v>
      </c>
      <c r="XU88" s="2">
        <v>69.7</v>
      </c>
      <c r="XV88" s="2">
        <v>70.61</v>
      </c>
      <c r="XW88" s="2">
        <v>71.48999999999999</v>
      </c>
      <c r="XX88" s="2">
        <v>71.84</v>
      </c>
      <c r="XY88" s="2">
        <v>72.63</v>
      </c>
      <c r="XZ88" s="2">
        <v>72.86</v>
      </c>
      <c r="YA88" s="2">
        <v>74.5</v>
      </c>
      <c r="YB88" s="2">
        <v>76.3</v>
      </c>
      <c r="YC88" s="2">
        <v>79</v>
      </c>
      <c r="YD88" s="2">
        <v>83.13</v>
      </c>
      <c r="YE88" s="2">
        <v>85.44</v>
      </c>
      <c r="YF88" s="2">
        <v>88.72</v>
      </c>
      <c r="YG88" s="2">
        <v>91.98999999999999</v>
      </c>
      <c r="YH88" s="2">
        <v>94.79000000000001</v>
      </c>
      <c r="YI88" s="2">
        <v>97.44</v>
      </c>
      <c r="YJ88" s="2">
        <v>98.45999999999999</v>
      </c>
      <c r="YK88" s="2">
        <v>99.01000000000001</v>
      </c>
      <c r="YL88" s="2">
        <v>98.48999999999999</v>
      </c>
      <c r="YM88" s="2">
        <v>100.01</v>
      </c>
      <c r="YN88" s="2">
        <v>101.07</v>
      </c>
      <c r="YO88" s="2">
        <v>103.32</v>
      </c>
      <c r="YP88" s="2">
        <v>104.42</v>
      </c>
      <c r="AEY88" s="2">
        <v>1</v>
      </c>
      <c r="AEZ88" s="2">
        <v>1.1</v>
      </c>
      <c r="AFA88" s="2">
        <v>1.2</v>
      </c>
      <c r="AFB88" s="2">
        <v>3.6</v>
      </c>
      <c r="AFC88" s="2">
        <v>0.9</v>
      </c>
      <c r="AFD88" s="2">
        <v>0.7</v>
      </c>
      <c r="AFE88" s="2">
        <v>1.7</v>
      </c>
      <c r="AFF88" s="2">
        <v>-3.1</v>
      </c>
      <c r="AFG88" s="2">
        <v>5.4</v>
      </c>
      <c r="AFH88" s="2">
        <v>0.1</v>
      </c>
      <c r="AFI88" s="2">
        <v>0</v>
      </c>
      <c r="AFJ88" s="2">
        <v>0.5</v>
      </c>
      <c r="AFK88" s="2">
        <v>-0.2</v>
      </c>
      <c r="AFL88" s="2">
        <v>-0.5</v>
      </c>
      <c r="AFM88" s="2">
        <v>0.3</v>
      </c>
      <c r="AFN88" s="2">
        <v>1.4</v>
      </c>
      <c r="AFO88" s="2">
        <v>0.9</v>
      </c>
      <c r="AFP88" s="2">
        <v>2.4</v>
      </c>
      <c r="AFQ88" s="2">
        <v>1.6</v>
      </c>
      <c r="AFR88" s="2">
        <v>2.7</v>
      </c>
      <c r="AFS88" s="2">
        <v>0.7</v>
      </c>
      <c r="AFT88" s="2">
        <v>1</v>
      </c>
      <c r="AFU88" s="2">
        <v>1.1</v>
      </c>
      <c r="AFV88" s="2">
        <v>3.8</v>
      </c>
      <c r="AFW88" s="2">
        <v>2.6</v>
      </c>
      <c r="AFX88" s="2">
        <v>1</v>
      </c>
      <c r="AFY88" s="2">
        <v>0.7</v>
      </c>
      <c r="AFZ88" s="2">
        <v>1.2</v>
      </c>
      <c r="AGA88" s="2">
        <v>1.5</v>
      </c>
      <c r="AGB88" s="2">
        <v>1.8</v>
      </c>
      <c r="AGC88" s="2">
        <v>1.3</v>
      </c>
      <c r="AGD88" s="2">
        <v>1.3</v>
      </c>
      <c r="AGE88" s="2">
        <v>0.8</v>
      </c>
      <c r="AGF88" s="2">
        <v>0.5</v>
      </c>
      <c r="AGG88" s="2">
        <v>0.7</v>
      </c>
      <c r="AGH88" s="2">
        <v>2.2</v>
      </c>
      <c r="AGI88" s="2">
        <v>1.8</v>
      </c>
      <c r="AGJ88" s="2">
        <v>-0.6</v>
      </c>
      <c r="AGK88" s="2">
        <v>0.4</v>
      </c>
      <c r="AGL88" s="2">
        <v>3.7</v>
      </c>
      <c r="AGM88" s="2">
        <v>6.4</v>
      </c>
      <c r="AGN88" s="2">
        <v>8.199999999999999</v>
      </c>
      <c r="AGO88" s="2">
        <v>9.6</v>
      </c>
      <c r="AGP88" s="2">
        <v>5</v>
      </c>
      <c r="AGQ88" s="2">
        <v>0.8</v>
      </c>
      <c r="AGR88" s="2">
        <v>1.8</v>
      </c>
      <c r="AGS88" s="2">
        <v>1.6</v>
      </c>
      <c r="AGT88" s="2">
        <v>2.7</v>
      </c>
      <c r="AGU88" s="2">
        <v>-0.2</v>
      </c>
      <c r="AGV88" s="2">
        <v>2.6</v>
      </c>
      <c r="AGW88" s="2">
        <v>0.5</v>
      </c>
      <c r="AGX88" s="2">
        <v>1.3</v>
      </c>
      <c r="AGY88" s="2">
        <v>0.3</v>
      </c>
      <c r="AGZ88" s="2">
        <v>-0.1</v>
      </c>
      <c r="AHA88" s="2">
        <v>-0.1</v>
      </c>
      <c r="AHB88" s="2">
        <v>1.5</v>
      </c>
      <c r="AHC88" s="2">
        <v>-0.1</v>
      </c>
      <c r="AHD88" s="2">
        <v>0.9</v>
      </c>
      <c r="AHE88" s="2">
        <v>-0.5</v>
      </c>
      <c r="AHF88" s="2">
        <v>1.1</v>
      </c>
      <c r="AHG88" s="2">
        <v>0.1</v>
      </c>
      <c r="AHH88" s="2">
        <v>0.6</v>
      </c>
      <c r="AHI88" s="2">
        <v>1.1</v>
      </c>
      <c r="AHJ88" s="2">
        <v>1.2</v>
      </c>
      <c r="AHK88" s="2">
        <v>0.9</v>
      </c>
      <c r="AHL88" s="2">
        <v>0.7</v>
      </c>
      <c r="AHM88" s="2">
        <v>0.9</v>
      </c>
      <c r="AHN88" s="2">
        <v>2.2</v>
      </c>
      <c r="AHO88" s="2">
        <v>-0.6</v>
      </c>
      <c r="AHP88" s="2">
        <v>-0.1</v>
      </c>
      <c r="AHQ88" s="2">
        <v>0.8</v>
      </c>
      <c r="AHR88" s="2">
        <v>1</v>
      </c>
      <c r="AHS88" s="2">
        <v>1.2</v>
      </c>
      <c r="AHT88" s="2">
        <v>2.1</v>
      </c>
      <c r="AHU88" s="2">
        <v>2.5</v>
      </c>
      <c r="AHV88" s="2">
        <v>2.9</v>
      </c>
      <c r="AHW88" s="2">
        <v>1.7</v>
      </c>
      <c r="AHX88" s="2">
        <v>2.8</v>
      </c>
      <c r="AHY88" s="2">
        <v>1.3</v>
      </c>
      <c r="AHZ88" s="2">
        <v>2.8</v>
      </c>
      <c r="AIA88" s="2">
        <v>1.3</v>
      </c>
      <c r="AIB88" s="2">
        <v>1.6</v>
      </c>
      <c r="AIC88" s="2">
        <v>-0.5</v>
      </c>
      <c r="AID88" s="2">
        <v>1.9</v>
      </c>
      <c r="AIE88" s="2">
        <v>0.5</v>
      </c>
      <c r="AIF88" s="2">
        <v>1.2</v>
      </c>
      <c r="AIG88" s="2">
        <v>1.6</v>
      </c>
      <c r="AIH88" s="2">
        <v>2.8</v>
      </c>
      <c r="AII88" s="2">
        <v>1.3</v>
      </c>
      <c r="AIJ88" s="2">
        <v>1.3</v>
      </c>
      <c r="AIK88" s="2">
        <v>1.3</v>
      </c>
      <c r="AIL88" s="2">
        <v>2.7</v>
      </c>
      <c r="AIM88" s="2">
        <v>2.9</v>
      </c>
      <c r="AIN88" s="2">
        <v>1.9</v>
      </c>
      <c r="AIO88" s="2">
        <v>-0.1</v>
      </c>
      <c r="AIP88" s="2">
        <v>-0.7</v>
      </c>
      <c r="AIQ88" s="2">
        <v>-0.1</v>
      </c>
      <c r="AIR88" s="2">
        <v>0.2</v>
      </c>
      <c r="AIS88" s="2">
        <v>-1.2</v>
      </c>
      <c r="AIT88" s="2">
        <v>0.7</v>
      </c>
      <c r="AIU88" s="2">
        <v>1.3</v>
      </c>
      <c r="AIV88" s="2">
        <v>0.4</v>
      </c>
      <c r="AIW88" s="2">
        <v>0.3</v>
      </c>
      <c r="AIX88" s="2">
        <v>1.1</v>
      </c>
      <c r="AIY88" s="2">
        <v>2</v>
      </c>
      <c r="AIZ88" s="2">
        <v>1.7</v>
      </c>
      <c r="AJA88" s="2">
        <v>1.3</v>
      </c>
      <c r="AJB88" s="2">
        <v>2.5</v>
      </c>
      <c r="AJC88" s="2">
        <v>2</v>
      </c>
      <c r="AJD88" s="2">
        <v>0.8</v>
      </c>
      <c r="AJE88" s="2">
        <v>-1</v>
      </c>
      <c r="AJF88" s="2">
        <v>1.8</v>
      </c>
      <c r="AJG88" s="2">
        <v>1.8</v>
      </c>
      <c r="AJH88" s="2">
        <v>0.7</v>
      </c>
      <c r="AJI88" s="2">
        <v>0.9</v>
      </c>
      <c r="AJJ88" s="2">
        <v>0.7</v>
      </c>
      <c r="AJK88" s="2">
        <v>0.7</v>
      </c>
      <c r="AJL88" s="2">
        <v>-0.3</v>
      </c>
      <c r="AJM88" s="2">
        <v>0.1</v>
      </c>
      <c r="AJN88" s="2">
        <v>0.6</v>
      </c>
      <c r="AJO88" s="2">
        <v>0.4</v>
      </c>
      <c r="AJP88" s="2">
        <v>0.7</v>
      </c>
      <c r="AJQ88" s="2">
        <v>0.7</v>
      </c>
      <c r="AJR88" s="2">
        <v>0.5</v>
      </c>
      <c r="AJS88" s="2">
        <v>0.7</v>
      </c>
      <c r="AJT88" s="2">
        <v>0.4</v>
      </c>
      <c r="AJU88" s="2">
        <v>1.3</v>
      </c>
      <c r="AJV88" s="2">
        <v>1.2</v>
      </c>
      <c r="AJW88" s="2">
        <v>0.5</v>
      </c>
      <c r="AJX88" s="2">
        <v>1.1</v>
      </c>
      <c r="AJY88" s="2">
        <v>0.3</v>
      </c>
      <c r="AJZ88" s="2">
        <v>2.3</v>
      </c>
      <c r="AKA88" s="2">
        <v>2.4</v>
      </c>
      <c r="AKB88" s="2">
        <v>3.5</v>
      </c>
      <c r="AKC88" s="2">
        <v>5.2</v>
      </c>
      <c r="AKD88" s="2">
        <v>2.8</v>
      </c>
      <c r="AKE88" s="2">
        <v>3.8</v>
      </c>
      <c r="AKF88" s="2">
        <v>3.7</v>
      </c>
      <c r="AKG88" s="2">
        <v>3</v>
      </c>
      <c r="AKH88" s="2">
        <v>2.8</v>
      </c>
      <c r="AKI88" s="2">
        <v>1</v>
      </c>
      <c r="AKJ88" s="2">
        <v>0.6</v>
      </c>
      <c r="AKK88" s="2">
        <v>-0.5</v>
      </c>
      <c r="AKL88" s="2">
        <v>1.5</v>
      </c>
      <c r="AKM88" s="2">
        <v>1.1</v>
      </c>
      <c r="AKN88" s="2">
        <v>2.2</v>
      </c>
      <c r="AKO88" s="2">
        <v>1.1</v>
      </c>
      <c r="AKP88" s="2">
        <v>1.35</v>
      </c>
      <c r="AKQ88" s="2">
        <v>1.38</v>
      </c>
      <c r="AKR88" s="2">
        <v>1.4</v>
      </c>
    </row>
    <row r="89">
      <c r="A89" t="inlineStr">
        <is>
          <t>Deposit and loan facilities (direct charges)</t>
        </is>
      </c>
      <c r="B89" t="inlineStr">
        <is>
          <t>Financial services</t>
        </is>
      </c>
      <c r="C89">
        <v>3</v>
      </c>
      <c r="D89">
        <v>0.4</v>
      </c>
      <c r="E89" s="3">
        <f>D89/4.22*0.04209999999999999</f>
        <v>0.003990521327014217</v>
      </c>
      <c r="F89" s="3">
        <f>E89-D89/100</f>
        <v>-9.478672985782817e-06</v>
      </c>
      <c r="G89" s="3">
        <f>D89/4.22</f>
        <v>0.09478672985781991</v>
      </c>
      <c r="H89" s="2">
        <v>96.97</v>
      </c>
      <c r="I89" s="2">
        <v>94.3</v>
      </c>
      <c r="J89" s="2">
        <v>94.31999999999999</v>
      </c>
      <c r="K89" s="2">
        <v>93.48999999999999</v>
      </c>
      <c r="L89" s="2">
        <v>93.51000000000001</v>
      </c>
      <c r="M89" s="2">
        <v>93.53</v>
      </c>
      <c r="N89" s="2">
        <v>93.55</v>
      </c>
      <c r="O89" s="2">
        <v>93.56999999999999</v>
      </c>
      <c r="P89" s="2">
        <v>93.59</v>
      </c>
      <c r="Q89" s="2">
        <v>93.59999999999999</v>
      </c>
      <c r="R89" s="2">
        <v>93.63</v>
      </c>
      <c r="S89" s="2">
        <v>93.66</v>
      </c>
      <c r="T89" s="2">
        <v>93.69</v>
      </c>
      <c r="U89" s="2">
        <v>93.70999999999999</v>
      </c>
      <c r="V89" s="2">
        <v>93.73</v>
      </c>
      <c r="W89" s="2">
        <v>93.73999999999999</v>
      </c>
      <c r="X89" s="2">
        <v>93.89</v>
      </c>
      <c r="Y89" s="2">
        <v>93.91</v>
      </c>
      <c r="Z89" s="2">
        <v>93.93000000000001</v>
      </c>
      <c r="AA89" s="2">
        <v>93.95</v>
      </c>
      <c r="AB89" s="2">
        <v>93.97</v>
      </c>
      <c r="AC89" s="2">
        <v>92.08</v>
      </c>
      <c r="AD89" s="2">
        <v>92.64</v>
      </c>
      <c r="AE89" s="2">
        <v>92.66</v>
      </c>
      <c r="AF89" s="2">
        <v>92.68000000000001</v>
      </c>
      <c r="AG89" s="2">
        <v>92.7</v>
      </c>
      <c r="AH89" s="2">
        <v>93.15000000000001</v>
      </c>
      <c r="AI89" s="2">
        <v>94.33</v>
      </c>
      <c r="AJ89" s="2">
        <v>93.98999999999999</v>
      </c>
      <c r="AK89" s="2">
        <v>94.01000000000001</v>
      </c>
      <c r="AL89" s="2">
        <v>94.02</v>
      </c>
      <c r="AM89" s="2">
        <v>92.59</v>
      </c>
      <c r="AN89" s="2">
        <v>92.61</v>
      </c>
      <c r="AO89" s="2">
        <v>92.95999999999999</v>
      </c>
      <c r="AP89" s="2">
        <v>92.95</v>
      </c>
      <c r="AQ89" s="2">
        <v>92.94</v>
      </c>
      <c r="AR89" s="2">
        <v>92.93000000000001</v>
      </c>
      <c r="AS89" s="2">
        <v>93.58</v>
      </c>
      <c r="AT89" s="2">
        <v>93.59</v>
      </c>
      <c r="AU89" s="2">
        <v>93.59999999999999</v>
      </c>
      <c r="AV89" s="2">
        <v>93.61</v>
      </c>
      <c r="AW89" s="2">
        <v>93.31</v>
      </c>
      <c r="AX89" s="2">
        <v>93.31999999999999</v>
      </c>
      <c r="AY89" s="2">
        <v>93.34</v>
      </c>
      <c r="AZ89" s="2">
        <v>92.04000000000001</v>
      </c>
      <c r="BA89" s="2">
        <v>92.06</v>
      </c>
      <c r="BB89" s="2">
        <v>90.2</v>
      </c>
      <c r="BC89" s="2">
        <v>90.25</v>
      </c>
      <c r="BD89" s="2">
        <v>90.3</v>
      </c>
      <c r="BE89" s="2">
        <v>90.34999999999999</v>
      </c>
      <c r="BF89" s="2">
        <v>90.81999999999999</v>
      </c>
      <c r="BG89" s="2">
        <v>90.95999999999999</v>
      </c>
      <c r="BH89" s="2">
        <v>90.81999999999999</v>
      </c>
      <c r="BI89" s="2">
        <v>90.87</v>
      </c>
      <c r="BJ89" s="2">
        <v>90.91</v>
      </c>
      <c r="BK89" s="2">
        <v>89.23</v>
      </c>
      <c r="BL89" s="2">
        <v>89.3</v>
      </c>
      <c r="BM89" s="2">
        <v>89.81</v>
      </c>
      <c r="BN89" s="2">
        <v>89.90000000000001</v>
      </c>
      <c r="BO89" s="2">
        <v>88.73</v>
      </c>
      <c r="BP89" s="2">
        <v>88.81999999999999</v>
      </c>
      <c r="BQ89" s="2">
        <v>89</v>
      </c>
      <c r="BR89" s="2">
        <v>90.23999999999999</v>
      </c>
      <c r="BS89" s="2">
        <v>89.12</v>
      </c>
      <c r="BT89" s="2">
        <v>89.23999999999999</v>
      </c>
      <c r="BU89" s="2">
        <v>89.34999999999999</v>
      </c>
      <c r="BV89" s="2">
        <v>90.73</v>
      </c>
      <c r="BW89" s="2">
        <v>90.84</v>
      </c>
      <c r="BX89" s="2">
        <v>90.94</v>
      </c>
      <c r="BY89" s="2">
        <v>91.31</v>
      </c>
      <c r="BZ89" s="2">
        <v>91.40000000000001</v>
      </c>
      <c r="CA89" s="2">
        <v>92.39</v>
      </c>
      <c r="CB89" s="2">
        <v>94.34</v>
      </c>
      <c r="CC89" s="2">
        <v>94.42</v>
      </c>
      <c r="CD89" s="2">
        <v>94.81</v>
      </c>
      <c r="CE89" s="2">
        <v>95.61</v>
      </c>
      <c r="CF89" s="2">
        <v>95.81</v>
      </c>
      <c r="CG89" s="2">
        <v>95.90000000000001</v>
      </c>
      <c r="CH89" s="2">
        <v>96.22</v>
      </c>
      <c r="CI89" s="2">
        <v>96.53</v>
      </c>
      <c r="CJ89" s="2">
        <v>96.59</v>
      </c>
      <c r="CK89" s="2">
        <v>96.92</v>
      </c>
      <c r="CL89" s="2">
        <v>96.98</v>
      </c>
      <c r="CM89" s="2">
        <v>94.95</v>
      </c>
      <c r="CN89" s="2">
        <v>95.16</v>
      </c>
      <c r="CO89" s="2">
        <v>97.31999999999999</v>
      </c>
      <c r="CP89" s="2">
        <v>95.75</v>
      </c>
      <c r="CQ89" s="2">
        <v>95.94</v>
      </c>
      <c r="CR89" s="2">
        <v>95.98999999999999</v>
      </c>
      <c r="CS89" s="2">
        <v>96.31999999999999</v>
      </c>
      <c r="CT89" s="2">
        <v>98.47</v>
      </c>
      <c r="CU89" s="2">
        <v>99.05</v>
      </c>
      <c r="CV89" s="2">
        <v>99.08</v>
      </c>
      <c r="CW89" s="2">
        <v>100.3</v>
      </c>
      <c r="CX89" s="2">
        <v>100.79</v>
      </c>
      <c r="CY89" s="2">
        <v>101.03</v>
      </c>
      <c r="CZ89" s="2">
        <v>100</v>
      </c>
      <c r="DA89" s="2">
        <v>101.1</v>
      </c>
      <c r="DB89" s="2">
        <v>100.09</v>
      </c>
      <c r="DC89" s="2">
        <v>99.92</v>
      </c>
      <c r="DD89" s="2">
        <v>99.95999999999999</v>
      </c>
      <c r="DE89" s="2">
        <v>100.01</v>
      </c>
      <c r="DF89" s="2">
        <v>100.88</v>
      </c>
      <c r="DG89" s="2">
        <v>100.82</v>
      </c>
      <c r="DH89" s="2">
        <v>101.24</v>
      </c>
      <c r="DI89" s="2">
        <v>101.29</v>
      </c>
      <c r="DJ89" s="2">
        <v>103.04</v>
      </c>
      <c r="DK89" s="2">
        <v>-3.4</v>
      </c>
      <c r="DL89" s="2">
        <v>-0.6</v>
      </c>
      <c r="DM89" s="2">
        <v>-0.6</v>
      </c>
      <c r="DN89" s="2">
        <v>0.3</v>
      </c>
      <c r="DO89" s="2">
        <v>0.4</v>
      </c>
      <c r="DP89" s="2">
        <v>0.4</v>
      </c>
      <c r="DQ89" s="2">
        <v>0.4</v>
      </c>
      <c r="DR89" s="2">
        <v>0.4</v>
      </c>
      <c r="DS89" s="2">
        <v>0.4</v>
      </c>
      <c r="DT89" s="2">
        <v>-1.6</v>
      </c>
      <c r="DU89" s="2">
        <v>-1.1</v>
      </c>
      <c r="DV89" s="2">
        <v>-1.1</v>
      </c>
      <c r="DW89" s="2">
        <v>-1.1</v>
      </c>
      <c r="DX89" s="2">
        <v>-1.1</v>
      </c>
      <c r="DY89" s="2">
        <v>-0.6</v>
      </c>
      <c r="DZ89" s="2">
        <v>0.6</v>
      </c>
      <c r="EA89" s="2">
        <v>0.1</v>
      </c>
      <c r="EB89" s="2">
        <v>0.1</v>
      </c>
      <c r="EC89" s="2">
        <v>0.1</v>
      </c>
      <c r="ED89" s="2">
        <v>-1.4</v>
      </c>
      <c r="EE89" s="2">
        <v>-1.4</v>
      </c>
      <c r="EF89" s="2">
        <v>1</v>
      </c>
      <c r="EG89" s="2">
        <v>0.3</v>
      </c>
      <c r="EH89" s="2">
        <v>0.3</v>
      </c>
      <c r="EI89" s="2">
        <v>0.3</v>
      </c>
      <c r="EJ89" s="2">
        <v>0.9</v>
      </c>
      <c r="EK89" s="2">
        <v>0.5</v>
      </c>
      <c r="EL89" s="2">
        <v>-0.8</v>
      </c>
      <c r="EM89" s="2">
        <v>-0.4</v>
      </c>
      <c r="EN89" s="2">
        <v>-0.7</v>
      </c>
      <c r="EO89" s="2">
        <v>-0.7</v>
      </c>
      <c r="EP89" s="2">
        <v>0.8</v>
      </c>
      <c r="EQ89" s="2">
        <v>-0.6</v>
      </c>
      <c r="ER89" s="2">
        <v>-1</v>
      </c>
      <c r="ES89" s="2">
        <v>-3</v>
      </c>
      <c r="ET89" s="2">
        <v>-2.9</v>
      </c>
      <c r="EU89" s="2">
        <v>-2.8</v>
      </c>
      <c r="EV89" s="2">
        <v>-3.5</v>
      </c>
      <c r="EW89" s="2">
        <v>-3</v>
      </c>
      <c r="EX89" s="2">
        <v>-2.8</v>
      </c>
      <c r="EY89" s="2">
        <v>-3</v>
      </c>
      <c r="EZ89" s="2">
        <v>-2.6</v>
      </c>
      <c r="FA89" s="2">
        <v>-2.6</v>
      </c>
      <c r="FB89" s="2">
        <v>-4.4</v>
      </c>
      <c r="FC89" s="2">
        <v>-3</v>
      </c>
      <c r="FD89" s="2">
        <v>-2.4</v>
      </c>
      <c r="FE89" s="2">
        <v>-0.3</v>
      </c>
      <c r="FF89" s="2">
        <v>-1.7</v>
      </c>
      <c r="FG89" s="2">
        <v>-1.6</v>
      </c>
      <c r="FH89" s="2">
        <v>-1.5</v>
      </c>
      <c r="FI89" s="2">
        <v>-0.6</v>
      </c>
      <c r="FJ89" s="2">
        <v>-2</v>
      </c>
      <c r="FK89" s="2">
        <v>-1.7</v>
      </c>
      <c r="FL89" s="2">
        <v>-1.7</v>
      </c>
      <c r="FM89" s="2">
        <v>-0.2</v>
      </c>
      <c r="FN89" s="2">
        <v>1.8</v>
      </c>
      <c r="FO89" s="2">
        <v>1.8</v>
      </c>
      <c r="FP89" s="2">
        <v>1.7</v>
      </c>
      <c r="FQ89" s="2">
        <v>1.7</v>
      </c>
      <c r="FR89" s="2">
        <v>4.1</v>
      </c>
      <c r="FS89" s="2">
        <v>6.2</v>
      </c>
      <c r="FT89" s="2">
        <v>6.1</v>
      </c>
      <c r="FU89" s="2">
        <v>5.1</v>
      </c>
      <c r="FV89" s="2">
        <v>7.3</v>
      </c>
      <c r="FW89" s="2">
        <v>7.4</v>
      </c>
      <c r="FX89" s="2">
        <v>7.3</v>
      </c>
      <c r="FY89" s="2">
        <v>6.1</v>
      </c>
      <c r="FZ89" s="2">
        <v>6.3</v>
      </c>
      <c r="GA89" s="2">
        <v>6.2</v>
      </c>
      <c r="GB89" s="2">
        <v>6.1</v>
      </c>
      <c r="GC89" s="2">
        <v>6.1</v>
      </c>
      <c r="GD89" s="2">
        <v>2.8</v>
      </c>
      <c r="GE89" s="2">
        <v>0.9</v>
      </c>
      <c r="GF89" s="2">
        <v>3.1</v>
      </c>
      <c r="GG89" s="2">
        <v>1</v>
      </c>
      <c r="GH89" s="2">
        <v>0.3</v>
      </c>
      <c r="GI89" s="2">
        <v>0.2</v>
      </c>
      <c r="GJ89" s="2">
        <v>0.4</v>
      </c>
      <c r="GK89" s="2">
        <v>2.3</v>
      </c>
      <c r="GL89" s="2">
        <v>2.6</v>
      </c>
      <c r="GM89" s="2">
        <v>2.6</v>
      </c>
      <c r="GN89" s="2">
        <v>3.5</v>
      </c>
      <c r="GO89" s="2">
        <v>3.9</v>
      </c>
      <c r="GP89" s="2">
        <v>6.4</v>
      </c>
      <c r="GQ89" s="2">
        <v>5.1</v>
      </c>
      <c r="GR89" s="2">
        <v>3.9</v>
      </c>
      <c r="GS89" s="2">
        <v>4.5</v>
      </c>
      <c r="GT89" s="2">
        <v>4.1</v>
      </c>
      <c r="GU89" s="2">
        <v>4.1</v>
      </c>
      <c r="GV89" s="2">
        <v>3.8</v>
      </c>
      <c r="GW89" s="2">
        <v>2.4</v>
      </c>
      <c r="GX89" s="2">
        <v>1.8</v>
      </c>
      <c r="GY89" s="2">
        <v>2.2</v>
      </c>
      <c r="GZ89" s="2">
        <v>1</v>
      </c>
      <c r="HA89" s="2">
        <v>2.2</v>
      </c>
      <c r="HB89" s="2">
        <v>-2.8</v>
      </c>
      <c r="HC89" s="2">
        <v>0</v>
      </c>
      <c r="HD89" s="2">
        <v>-0.9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0.2</v>
      </c>
      <c r="HR89" s="2">
        <v>0</v>
      </c>
      <c r="HS89" s="2">
        <v>0</v>
      </c>
      <c r="HT89" s="2">
        <v>0</v>
      </c>
      <c r="HU89" s="2">
        <v>0</v>
      </c>
      <c r="HV89" s="2">
        <v>-2</v>
      </c>
      <c r="HW89" s="2">
        <v>0.6</v>
      </c>
      <c r="HX89" s="2">
        <v>0</v>
      </c>
      <c r="HY89" s="2">
        <v>0</v>
      </c>
      <c r="HZ89" s="2">
        <v>0</v>
      </c>
      <c r="IA89" s="2">
        <v>0.5</v>
      </c>
      <c r="IB89" s="2">
        <v>1.3</v>
      </c>
      <c r="IC89" s="2">
        <v>-0.4</v>
      </c>
      <c r="ID89" s="2">
        <v>0</v>
      </c>
      <c r="IE89" s="2">
        <v>0</v>
      </c>
      <c r="IF89" s="2">
        <v>-1.5</v>
      </c>
      <c r="IG89" s="2">
        <v>0</v>
      </c>
      <c r="IH89" s="2">
        <v>0.4</v>
      </c>
      <c r="II89" s="2">
        <v>0</v>
      </c>
      <c r="IJ89" s="2">
        <v>0</v>
      </c>
      <c r="IK89" s="2">
        <v>0</v>
      </c>
      <c r="IL89" s="2">
        <v>0.7</v>
      </c>
      <c r="IM89" s="2">
        <v>0</v>
      </c>
      <c r="IN89" s="2">
        <v>0</v>
      </c>
      <c r="IO89" s="2">
        <v>0</v>
      </c>
      <c r="IP89" s="2">
        <v>-0.3</v>
      </c>
      <c r="IQ89" s="2">
        <v>0</v>
      </c>
      <c r="IR89" s="2">
        <v>0</v>
      </c>
      <c r="IS89" s="2">
        <v>-1.4</v>
      </c>
      <c r="IT89" s="2">
        <v>0</v>
      </c>
      <c r="IU89" s="2">
        <v>-2</v>
      </c>
      <c r="IV89" s="2">
        <v>0.1</v>
      </c>
      <c r="IW89" s="2">
        <v>0.1</v>
      </c>
      <c r="IX89" s="2">
        <v>0.1</v>
      </c>
      <c r="IY89" s="2">
        <v>0.5</v>
      </c>
      <c r="IZ89" s="2">
        <v>0.2</v>
      </c>
      <c r="JA89" s="2">
        <v>-0.2</v>
      </c>
      <c r="JB89" s="2">
        <v>0.1</v>
      </c>
      <c r="JC89" s="2">
        <v>0</v>
      </c>
      <c r="JD89" s="2">
        <v>-1.8</v>
      </c>
      <c r="JE89" s="2">
        <v>0.1</v>
      </c>
      <c r="JF89" s="2">
        <v>0.6</v>
      </c>
      <c r="JG89" s="2">
        <v>0.1</v>
      </c>
      <c r="JH89" s="2">
        <v>-1.3</v>
      </c>
      <c r="JI89" s="2">
        <v>0.1</v>
      </c>
      <c r="JJ89" s="2">
        <v>0.2</v>
      </c>
      <c r="JK89" s="2">
        <v>1.4</v>
      </c>
      <c r="JL89" s="2">
        <v>-1.2</v>
      </c>
      <c r="JM89" s="2">
        <v>0.1</v>
      </c>
      <c r="JN89" s="2">
        <v>0.1</v>
      </c>
      <c r="JO89" s="2">
        <v>1.5</v>
      </c>
      <c r="JP89" s="2">
        <v>0.1</v>
      </c>
      <c r="JQ89" s="2">
        <v>0.1</v>
      </c>
      <c r="JR89" s="2">
        <v>0.4</v>
      </c>
      <c r="JS89" s="2">
        <v>0.1</v>
      </c>
      <c r="JT89" s="2">
        <v>1.1</v>
      </c>
      <c r="JU89" s="2">
        <v>2.1</v>
      </c>
      <c r="JV89" s="2">
        <v>0.1</v>
      </c>
      <c r="JW89" s="2">
        <v>0.4</v>
      </c>
      <c r="JX89" s="2">
        <v>0.8</v>
      </c>
      <c r="JY89" s="2">
        <v>0.2</v>
      </c>
      <c r="JZ89" s="2">
        <v>0.1</v>
      </c>
      <c r="KA89" s="2">
        <v>0.3</v>
      </c>
      <c r="KB89" s="2">
        <v>0.3</v>
      </c>
      <c r="KC89" s="2">
        <v>0.1</v>
      </c>
      <c r="KD89" s="2">
        <v>0.3</v>
      </c>
      <c r="KE89" s="2">
        <v>0.1</v>
      </c>
      <c r="KF89" s="2">
        <v>-2.1</v>
      </c>
      <c r="KG89" s="2">
        <v>0.2</v>
      </c>
      <c r="KH89" s="2">
        <v>2.3</v>
      </c>
      <c r="KI89" s="2">
        <v>-1.6</v>
      </c>
      <c r="KJ89" s="2">
        <v>0.2</v>
      </c>
      <c r="KK89" s="2">
        <v>0.1</v>
      </c>
      <c r="KL89" s="2">
        <v>0.3</v>
      </c>
      <c r="KM89" s="2">
        <v>2.2</v>
      </c>
      <c r="KN89" s="2">
        <v>0.6</v>
      </c>
      <c r="KO89" s="2">
        <v>0</v>
      </c>
      <c r="KP89" s="2">
        <v>1.2</v>
      </c>
      <c r="KQ89" s="2">
        <v>0.5</v>
      </c>
      <c r="KR89" s="2">
        <v>0.2</v>
      </c>
      <c r="KS89" s="2">
        <v>-1</v>
      </c>
      <c r="KT89" s="2">
        <v>1.1</v>
      </c>
      <c r="KU89" s="2">
        <v>-1</v>
      </c>
      <c r="KV89" s="2">
        <v>-0.2</v>
      </c>
      <c r="KW89" s="2">
        <v>0</v>
      </c>
      <c r="KX89" s="2">
        <v>0.1</v>
      </c>
      <c r="KY89" s="2">
        <v>0.9</v>
      </c>
      <c r="KZ89" s="2">
        <v>-0.1</v>
      </c>
      <c r="LA89" s="2">
        <v>0.4</v>
      </c>
      <c r="LB89" s="2">
        <v>0</v>
      </c>
      <c r="LC89" s="2">
        <v>1.7</v>
      </c>
      <c r="LD89" s="2">
        <v>0.39</v>
      </c>
      <c r="LE89" s="2">
        <v>0.39</v>
      </c>
      <c r="LF89" s="2">
        <v>0.39</v>
      </c>
      <c r="LG89" s="2">
        <v>0.4</v>
      </c>
      <c r="LH89" s="2">
        <v>0.4</v>
      </c>
      <c r="LI89" s="2">
        <v>0.4</v>
      </c>
      <c r="LJ89" s="2">
        <v>0.4</v>
      </c>
      <c r="LK89" s="2">
        <v>0.41</v>
      </c>
      <c r="LL89" s="2">
        <v>0.41</v>
      </c>
      <c r="LM89" s="2">
        <v>0.4</v>
      </c>
      <c r="LN89" s="2">
        <v>0.41</v>
      </c>
      <c r="LO89" s="2">
        <v>0.4</v>
      </c>
      <c r="LP89" s="2">
        <v>0.4</v>
      </c>
      <c r="LQ89" s="2">
        <v>0.4</v>
      </c>
      <c r="LR89" s="2">
        <v>0.4</v>
      </c>
      <c r="LS89" s="2">
        <v>0.41</v>
      </c>
      <c r="LT89" s="2">
        <v>0.41</v>
      </c>
      <c r="LU89" s="2">
        <v>0.41</v>
      </c>
      <c r="LV89" s="2">
        <v>0.41</v>
      </c>
      <c r="LW89" s="2">
        <v>0.41</v>
      </c>
      <c r="LX89" s="2">
        <v>0</v>
      </c>
      <c r="LY89" s="2">
        <v>0</v>
      </c>
      <c r="LZ89" s="2">
        <v>0.01</v>
      </c>
      <c r="MA89" s="2">
        <v>0</v>
      </c>
      <c r="MB89" s="2">
        <v>0</v>
      </c>
      <c r="MC89" s="2">
        <v>0</v>
      </c>
      <c r="MD89" s="2">
        <v>0.01</v>
      </c>
      <c r="ME89" s="2">
        <v>0</v>
      </c>
      <c r="MF89" s="2">
        <v>-0.01</v>
      </c>
      <c r="MG89" s="2">
        <v>0.01</v>
      </c>
      <c r="MH89" s="2">
        <v>-0.01</v>
      </c>
      <c r="MI89" s="2">
        <v>0</v>
      </c>
      <c r="MJ89" s="2">
        <v>0</v>
      </c>
      <c r="MK89" s="2">
        <v>0</v>
      </c>
      <c r="ML89" s="2">
        <v>0.01</v>
      </c>
      <c r="MM89" s="2">
        <v>0</v>
      </c>
      <c r="MN89" s="2">
        <v>0</v>
      </c>
      <c r="MO89" s="2">
        <v>0</v>
      </c>
      <c r="MP89" s="2">
        <v>0</v>
      </c>
      <c r="WH89" s="2">
        <v>93.93000000000001</v>
      </c>
      <c r="WI89" s="2">
        <v>93.5</v>
      </c>
      <c r="WJ89" s="2">
        <v>93.54000000000001</v>
      </c>
      <c r="WK89" s="2">
        <v>93.84</v>
      </c>
      <c r="WL89" s="2">
        <v>94.06</v>
      </c>
      <c r="WM89" s="2">
        <v>93.66</v>
      </c>
      <c r="WN89" s="2">
        <v>93.94</v>
      </c>
      <c r="WO89" s="2">
        <v>93.8</v>
      </c>
      <c r="WP89" s="2">
        <v>94.12</v>
      </c>
      <c r="WQ89" s="2">
        <v>93.91</v>
      </c>
      <c r="WR89" s="2">
        <v>93.62</v>
      </c>
      <c r="WS89" s="2">
        <v>94.33</v>
      </c>
      <c r="WT89" s="2">
        <v>94.78</v>
      </c>
      <c r="WU89" s="2">
        <v>95.06</v>
      </c>
      <c r="WV89" s="2">
        <v>95.34</v>
      </c>
      <c r="WW89" s="2">
        <v>95.16</v>
      </c>
      <c r="WX89" s="2">
        <v>94.84</v>
      </c>
      <c r="WY89" s="2">
        <v>94.95</v>
      </c>
      <c r="WZ89" s="2">
        <v>95</v>
      </c>
      <c r="XA89" s="2">
        <v>95.06</v>
      </c>
      <c r="XB89" s="2">
        <v>94.79000000000001</v>
      </c>
      <c r="XC89" s="2">
        <v>95.33</v>
      </c>
      <c r="XD89" s="2">
        <v>94.86</v>
      </c>
      <c r="XE89" s="2">
        <v>95.62</v>
      </c>
      <c r="XF89" s="2">
        <v>96.12</v>
      </c>
      <c r="XG89" s="2">
        <v>96.33</v>
      </c>
      <c r="XH89" s="2">
        <v>93.44</v>
      </c>
      <c r="XI89" s="2">
        <v>92.95</v>
      </c>
      <c r="XJ89" s="2">
        <v>93.01000000000001</v>
      </c>
      <c r="XK89" s="2">
        <v>93.08</v>
      </c>
      <c r="XL89" s="2">
        <v>93.15000000000001</v>
      </c>
      <c r="XM89" s="2">
        <v>93.34</v>
      </c>
      <c r="XN89" s="2">
        <v>92.77</v>
      </c>
      <c r="XO89" s="2">
        <v>92.09</v>
      </c>
      <c r="XP89" s="2">
        <v>92.81999999999999</v>
      </c>
      <c r="XQ89" s="2">
        <v>93.7</v>
      </c>
      <c r="XR89" s="2">
        <v>92.36</v>
      </c>
      <c r="XS89" s="2">
        <v>92.59</v>
      </c>
      <c r="XT89" s="2">
        <v>93.25</v>
      </c>
      <c r="XU89" s="2">
        <v>93.06999999999999</v>
      </c>
      <c r="XV89" s="2">
        <v>92.14</v>
      </c>
      <c r="XW89" s="2">
        <v>89.91</v>
      </c>
      <c r="XX89" s="2">
        <v>90.37</v>
      </c>
      <c r="XY89" s="2">
        <v>90.52</v>
      </c>
      <c r="XZ89" s="2">
        <v>89.12</v>
      </c>
      <c r="YA89" s="2">
        <v>88.81999999999999</v>
      </c>
      <c r="YB89" s="2">
        <v>89.47</v>
      </c>
      <c r="YC89" s="2">
        <v>89.77</v>
      </c>
      <c r="YD89" s="2">
        <v>91.03</v>
      </c>
      <c r="YE89" s="2">
        <v>92.70999999999999</v>
      </c>
      <c r="YF89" s="2">
        <v>94.95</v>
      </c>
      <c r="YG89" s="2">
        <v>95.98</v>
      </c>
      <c r="YH89" s="2">
        <v>96.68000000000001</v>
      </c>
      <c r="YI89" s="2">
        <v>95.7</v>
      </c>
      <c r="YJ89" s="2">
        <v>96.33</v>
      </c>
      <c r="YK89" s="2">
        <v>96.93000000000001</v>
      </c>
      <c r="YL89" s="2">
        <v>99.48</v>
      </c>
      <c r="YM89" s="2">
        <v>100.61</v>
      </c>
      <c r="YN89" s="2">
        <v>100.37</v>
      </c>
      <c r="YO89" s="2">
        <v>100.28</v>
      </c>
      <c r="YP89" s="2">
        <v>101.12</v>
      </c>
      <c r="AIH89" s="2">
        <v>-0.5</v>
      </c>
      <c r="AII89" s="2">
        <v>0</v>
      </c>
      <c r="AIJ89" s="2">
        <v>0.3</v>
      </c>
      <c r="AIK89" s="2">
        <v>0.2</v>
      </c>
      <c r="AIL89" s="2">
        <v>-0.4</v>
      </c>
      <c r="AIM89" s="2">
        <v>0.3</v>
      </c>
      <c r="AIN89" s="2">
        <v>-0.1</v>
      </c>
      <c r="AIO89" s="2">
        <v>0.3</v>
      </c>
      <c r="AIP89" s="2">
        <v>-0.2</v>
      </c>
      <c r="AIQ89" s="2">
        <v>-0.3</v>
      </c>
      <c r="AIR89" s="2">
        <v>0.8</v>
      </c>
      <c r="AIS89" s="2">
        <v>0.5</v>
      </c>
      <c r="AIT89" s="2">
        <v>0.3</v>
      </c>
      <c r="AIU89" s="2">
        <v>0.3</v>
      </c>
      <c r="AIV89" s="2">
        <v>-0.2</v>
      </c>
      <c r="AIW89" s="2">
        <v>-0.3</v>
      </c>
      <c r="AIX89" s="2">
        <v>0.1</v>
      </c>
      <c r="AIY89" s="2">
        <v>0.1</v>
      </c>
      <c r="AIZ89" s="2">
        <v>0.1</v>
      </c>
      <c r="AJA89" s="2">
        <v>-0.3</v>
      </c>
      <c r="AJB89" s="2">
        <v>0.6</v>
      </c>
      <c r="AJC89" s="2">
        <v>-0.5</v>
      </c>
      <c r="AJD89" s="2">
        <v>0.8</v>
      </c>
      <c r="AJE89" s="2">
        <v>0.5</v>
      </c>
      <c r="AJF89" s="2">
        <v>0.2</v>
      </c>
      <c r="AJG89" s="2">
        <v>-3</v>
      </c>
      <c r="AJH89" s="2">
        <v>-0.5</v>
      </c>
      <c r="AJI89" s="2">
        <v>0.1</v>
      </c>
      <c r="AJJ89" s="2">
        <v>0.1</v>
      </c>
      <c r="AJK89" s="2">
        <v>0.1</v>
      </c>
      <c r="AJL89" s="2">
        <v>0.2</v>
      </c>
      <c r="AJM89" s="2">
        <v>-0.6</v>
      </c>
      <c r="AJN89" s="2">
        <v>-0.7</v>
      </c>
      <c r="AJO89" s="2">
        <v>0.8</v>
      </c>
      <c r="AJP89" s="2">
        <v>0.9</v>
      </c>
      <c r="AJQ89" s="2">
        <v>-1.4</v>
      </c>
      <c r="AJR89" s="2">
        <v>0.2</v>
      </c>
      <c r="AJS89" s="2">
        <v>0.7</v>
      </c>
      <c r="AJT89" s="2">
        <v>-0.2</v>
      </c>
      <c r="AJU89" s="2">
        <v>-1</v>
      </c>
      <c r="AJV89" s="2">
        <v>-2.4</v>
      </c>
      <c r="AJW89" s="2">
        <v>0.5</v>
      </c>
      <c r="AJX89" s="2">
        <v>0.2</v>
      </c>
      <c r="AJY89" s="2">
        <v>-1.5</v>
      </c>
      <c r="AJZ89" s="2">
        <v>-0.3</v>
      </c>
      <c r="AKA89" s="2">
        <v>0.7</v>
      </c>
      <c r="AKB89" s="2">
        <v>0.3</v>
      </c>
      <c r="AKC89" s="2">
        <v>1.4</v>
      </c>
      <c r="AKD89" s="2">
        <v>1.8</v>
      </c>
      <c r="AKE89" s="2">
        <v>2.4</v>
      </c>
      <c r="AKF89" s="2">
        <v>1.1</v>
      </c>
      <c r="AKG89" s="2">
        <v>0.7</v>
      </c>
      <c r="AKH89" s="2">
        <v>-1</v>
      </c>
      <c r="AKI89" s="2">
        <v>0.7</v>
      </c>
      <c r="AKJ89" s="2">
        <v>0.6</v>
      </c>
      <c r="AKK89" s="2">
        <v>2.6</v>
      </c>
      <c r="AKL89" s="2">
        <v>1.1</v>
      </c>
      <c r="AKM89" s="2">
        <v>-0.2</v>
      </c>
      <c r="AKN89" s="2">
        <v>-0.1</v>
      </c>
      <c r="AKO89" s="2">
        <v>0.8</v>
      </c>
      <c r="AKP89" s="2">
        <v>0.4</v>
      </c>
      <c r="AKQ89" s="2">
        <v>0.4</v>
      </c>
      <c r="AKR89" s="2">
        <v>0.41</v>
      </c>
    </row>
    <row r="90">
      <c r="A90" t="inlineStr">
        <is>
          <t>Other financial services</t>
        </is>
      </c>
      <c r="B90" t="inlineStr">
        <is>
          <t>Financial services</t>
        </is>
      </c>
      <c r="C90">
        <v>3</v>
      </c>
      <c r="D90">
        <v>3.82</v>
      </c>
      <c r="E90" s="3">
        <f>D90/4.22*0.04209999999999999</f>
        <v>0.03810947867298577</v>
      </c>
      <c r="F90" s="3">
        <f>E90-D90/100</f>
        <v>-9.052132701422438e-05</v>
      </c>
      <c r="G90" s="3">
        <f>D90/4.22</f>
        <v>0.9052132701421801</v>
      </c>
      <c r="H90" s="2">
        <v>80.2</v>
      </c>
      <c r="I90" s="2">
        <v>80.2</v>
      </c>
      <c r="J90" s="2">
        <v>80.2</v>
      </c>
      <c r="K90" s="2">
        <v>80.29000000000001</v>
      </c>
      <c r="L90" s="2">
        <v>80.29000000000001</v>
      </c>
      <c r="M90" s="2">
        <v>80.29000000000001</v>
      </c>
      <c r="N90" s="2">
        <v>80.53</v>
      </c>
      <c r="O90" s="2">
        <v>80.53</v>
      </c>
      <c r="P90" s="2">
        <v>80.53</v>
      </c>
      <c r="Q90" s="2">
        <v>80.79000000000001</v>
      </c>
      <c r="R90" s="2">
        <v>80.79000000000001</v>
      </c>
      <c r="S90" s="2">
        <v>80.79000000000001</v>
      </c>
      <c r="T90" s="2">
        <v>81.2</v>
      </c>
      <c r="U90" s="2">
        <v>81.2</v>
      </c>
      <c r="V90" s="2">
        <v>81.2</v>
      </c>
      <c r="W90" s="2">
        <v>81.37</v>
      </c>
      <c r="X90" s="2">
        <v>81.37</v>
      </c>
      <c r="Y90" s="2">
        <v>81.37</v>
      </c>
      <c r="Z90" s="2">
        <v>81.23999999999999</v>
      </c>
      <c r="AA90" s="2">
        <v>81.23999999999999</v>
      </c>
      <c r="AB90" s="2">
        <v>81.23999999999999</v>
      </c>
      <c r="AC90" s="2">
        <v>81.55</v>
      </c>
      <c r="AD90" s="2">
        <v>81.55</v>
      </c>
      <c r="AE90" s="2">
        <v>81.55</v>
      </c>
      <c r="AF90" s="2">
        <v>81.73999999999999</v>
      </c>
      <c r="AG90" s="2">
        <v>81.73999999999999</v>
      </c>
      <c r="AH90" s="2">
        <v>81.73999999999999</v>
      </c>
      <c r="AI90" s="2">
        <v>82.06999999999999</v>
      </c>
      <c r="AJ90" s="2">
        <v>82.06999999999999</v>
      </c>
      <c r="AK90" s="2">
        <v>82.06999999999999</v>
      </c>
      <c r="AL90" s="2">
        <v>82.59</v>
      </c>
      <c r="AM90" s="2">
        <v>82.59</v>
      </c>
      <c r="AN90" s="2">
        <v>82.59</v>
      </c>
      <c r="AO90" s="2">
        <v>83.01000000000001</v>
      </c>
      <c r="AP90" s="2">
        <v>83.01000000000001</v>
      </c>
      <c r="AQ90" s="2">
        <v>83.01000000000001</v>
      </c>
      <c r="AR90" s="2">
        <v>82.89</v>
      </c>
      <c r="AS90" s="2">
        <v>82.89</v>
      </c>
      <c r="AT90" s="2">
        <v>82.89</v>
      </c>
      <c r="AU90" s="2">
        <v>82.78</v>
      </c>
      <c r="AV90" s="2">
        <v>82.78</v>
      </c>
      <c r="AW90" s="2">
        <v>82.78</v>
      </c>
      <c r="AX90" s="2">
        <v>82.70999999999999</v>
      </c>
      <c r="AY90" s="2">
        <v>82.70999999999999</v>
      </c>
      <c r="AZ90" s="2">
        <v>82.70999999999999</v>
      </c>
      <c r="BA90" s="2">
        <v>82.95999999999999</v>
      </c>
      <c r="BB90" s="2">
        <v>82.95999999999999</v>
      </c>
      <c r="BC90" s="2">
        <v>82.95999999999999</v>
      </c>
      <c r="BD90" s="2">
        <v>83.5</v>
      </c>
      <c r="BE90" s="2">
        <v>83.5</v>
      </c>
      <c r="BF90" s="2">
        <v>83.5</v>
      </c>
      <c r="BG90" s="2">
        <v>84.75</v>
      </c>
      <c r="BH90" s="2">
        <v>84.75</v>
      </c>
      <c r="BI90" s="2">
        <v>84.75</v>
      </c>
      <c r="BJ90" s="2">
        <v>85.13</v>
      </c>
      <c r="BK90" s="2">
        <v>85.13</v>
      </c>
      <c r="BL90" s="2">
        <v>85.13</v>
      </c>
      <c r="BM90" s="2">
        <v>86.40000000000001</v>
      </c>
      <c r="BN90" s="2">
        <v>86.40000000000001</v>
      </c>
      <c r="BO90" s="2">
        <v>86.40000000000001</v>
      </c>
      <c r="BP90" s="2">
        <v>87.53</v>
      </c>
      <c r="BQ90" s="2">
        <v>87.53</v>
      </c>
      <c r="BR90" s="2">
        <v>87.53</v>
      </c>
      <c r="BS90" s="2">
        <v>89.33</v>
      </c>
      <c r="BT90" s="2">
        <v>89.33</v>
      </c>
      <c r="BU90" s="2">
        <v>89.33</v>
      </c>
      <c r="BV90" s="2">
        <v>90.75</v>
      </c>
      <c r="BW90" s="2">
        <v>90.75</v>
      </c>
      <c r="BX90" s="2">
        <v>90.75</v>
      </c>
      <c r="BY90" s="2">
        <v>93.01000000000001</v>
      </c>
      <c r="BZ90" s="2">
        <v>93.01000000000001</v>
      </c>
      <c r="CA90" s="2">
        <v>93.01000000000001</v>
      </c>
      <c r="CB90" s="2">
        <v>93.77</v>
      </c>
      <c r="CC90" s="2">
        <v>93.77</v>
      </c>
      <c r="CD90" s="2">
        <v>93.77</v>
      </c>
      <c r="CE90" s="2">
        <v>94.69</v>
      </c>
      <c r="CF90" s="2">
        <v>94.69</v>
      </c>
      <c r="CG90" s="2">
        <v>94.69</v>
      </c>
      <c r="CH90" s="2">
        <v>96.12</v>
      </c>
      <c r="CI90" s="2">
        <v>96.12</v>
      </c>
      <c r="CJ90" s="2">
        <v>96.12</v>
      </c>
      <c r="CK90" s="2">
        <v>96.81999999999999</v>
      </c>
      <c r="CL90" s="2">
        <v>96.81999999999999</v>
      </c>
      <c r="CM90" s="2">
        <v>96.81999999999999</v>
      </c>
      <c r="CN90" s="2">
        <v>97.7</v>
      </c>
      <c r="CO90" s="2">
        <v>97.7</v>
      </c>
      <c r="CP90" s="2">
        <v>97.7</v>
      </c>
      <c r="CQ90" s="2">
        <v>98.40000000000001</v>
      </c>
      <c r="CR90" s="2">
        <v>98.40000000000001</v>
      </c>
      <c r="CS90" s="2">
        <v>98.40000000000001</v>
      </c>
      <c r="CT90" s="2">
        <v>98.94</v>
      </c>
      <c r="CU90" s="2">
        <v>98.94</v>
      </c>
      <c r="CV90" s="2">
        <v>98.94</v>
      </c>
      <c r="CW90" s="2">
        <v>99.56</v>
      </c>
      <c r="CX90" s="2">
        <v>99.56</v>
      </c>
      <c r="CY90" s="2">
        <v>99.56</v>
      </c>
      <c r="CZ90" s="2">
        <v>100</v>
      </c>
      <c r="DA90" s="2">
        <v>100</v>
      </c>
      <c r="DB90" s="2">
        <v>100</v>
      </c>
      <c r="DC90" s="2">
        <v>100.62</v>
      </c>
      <c r="DD90" s="2">
        <v>100.62</v>
      </c>
      <c r="DE90" s="2">
        <v>100.62</v>
      </c>
      <c r="DF90" s="2">
        <v>101.47</v>
      </c>
      <c r="DG90" s="2">
        <v>101.47</v>
      </c>
      <c r="DH90" s="2">
        <v>101.47</v>
      </c>
      <c r="DI90" s="2">
        <v>102.41</v>
      </c>
      <c r="DJ90" s="2">
        <v>102.41</v>
      </c>
      <c r="DK90" s="2">
        <v>1.2</v>
      </c>
      <c r="DL90" s="2">
        <v>1.2</v>
      </c>
      <c r="DM90" s="2">
        <v>1.2</v>
      </c>
      <c r="DN90" s="2">
        <v>1.3</v>
      </c>
      <c r="DO90" s="2">
        <v>1.3</v>
      </c>
      <c r="DP90" s="2">
        <v>1.3</v>
      </c>
      <c r="DQ90" s="2">
        <v>0.9</v>
      </c>
      <c r="DR90" s="2">
        <v>0.9</v>
      </c>
      <c r="DS90" s="2">
        <v>0.9</v>
      </c>
      <c r="DT90" s="2">
        <v>0.9</v>
      </c>
      <c r="DU90" s="2">
        <v>0.9</v>
      </c>
      <c r="DV90" s="2">
        <v>0.9</v>
      </c>
      <c r="DW90" s="2">
        <v>0.7</v>
      </c>
      <c r="DX90" s="2">
        <v>0.7</v>
      </c>
      <c r="DY90" s="2">
        <v>0.7</v>
      </c>
      <c r="DZ90" s="2">
        <v>0.9</v>
      </c>
      <c r="EA90" s="2">
        <v>0.9</v>
      </c>
      <c r="EB90" s="2">
        <v>0.9</v>
      </c>
      <c r="EC90" s="2">
        <v>1.7</v>
      </c>
      <c r="ED90" s="2">
        <v>1.7</v>
      </c>
      <c r="EE90" s="2">
        <v>1.7</v>
      </c>
      <c r="EF90" s="2">
        <v>1.8</v>
      </c>
      <c r="EG90" s="2">
        <v>1.8</v>
      </c>
      <c r="EH90" s="2">
        <v>1.8</v>
      </c>
      <c r="EI90" s="2">
        <v>1.4</v>
      </c>
      <c r="EJ90" s="2">
        <v>1.4</v>
      </c>
      <c r="EK90" s="2">
        <v>1.4</v>
      </c>
      <c r="EL90" s="2">
        <v>0.9</v>
      </c>
      <c r="EM90" s="2">
        <v>0.9</v>
      </c>
      <c r="EN90" s="2">
        <v>0.9</v>
      </c>
      <c r="EO90" s="2">
        <v>0.1</v>
      </c>
      <c r="EP90" s="2">
        <v>0.1</v>
      </c>
      <c r="EQ90" s="2">
        <v>0.1</v>
      </c>
      <c r="ER90" s="2">
        <v>-0.1</v>
      </c>
      <c r="ES90" s="2">
        <v>-0.1</v>
      </c>
      <c r="ET90" s="2">
        <v>-0.1</v>
      </c>
      <c r="EU90" s="2">
        <v>0.7</v>
      </c>
      <c r="EV90" s="2">
        <v>0.7</v>
      </c>
      <c r="EW90" s="2">
        <v>0.7</v>
      </c>
      <c r="EX90" s="2">
        <v>2.4</v>
      </c>
      <c r="EY90" s="2">
        <v>2.4</v>
      </c>
      <c r="EZ90" s="2">
        <v>2.4</v>
      </c>
      <c r="FA90" s="2">
        <v>2.9</v>
      </c>
      <c r="FB90" s="2">
        <v>2.9</v>
      </c>
      <c r="FC90" s="2">
        <v>2.9</v>
      </c>
      <c r="FD90" s="2">
        <v>4.1</v>
      </c>
      <c r="FE90" s="2">
        <v>4.1</v>
      </c>
      <c r="FF90" s="2">
        <v>4.1</v>
      </c>
      <c r="FG90" s="2">
        <v>4.8</v>
      </c>
      <c r="FH90" s="2">
        <v>4.8</v>
      </c>
      <c r="FI90" s="2">
        <v>4.8</v>
      </c>
      <c r="FJ90" s="2">
        <v>5.4</v>
      </c>
      <c r="FK90" s="2">
        <v>5.4</v>
      </c>
      <c r="FL90" s="2">
        <v>5.4</v>
      </c>
      <c r="FM90" s="2">
        <v>6.6</v>
      </c>
      <c r="FN90" s="2">
        <v>6.6</v>
      </c>
      <c r="FO90" s="2">
        <v>6.6</v>
      </c>
      <c r="FP90" s="2">
        <v>7.7</v>
      </c>
      <c r="FQ90" s="2">
        <v>7.7</v>
      </c>
      <c r="FR90" s="2">
        <v>7.7</v>
      </c>
      <c r="FS90" s="2">
        <v>7.1</v>
      </c>
      <c r="FT90" s="2">
        <v>7.1</v>
      </c>
      <c r="FU90" s="2">
        <v>7.1</v>
      </c>
      <c r="FV90" s="2">
        <v>6</v>
      </c>
      <c r="FW90" s="2">
        <v>6</v>
      </c>
      <c r="FX90" s="2">
        <v>6</v>
      </c>
      <c r="FY90" s="2">
        <v>5.9</v>
      </c>
      <c r="FZ90" s="2">
        <v>5.9</v>
      </c>
      <c r="GA90" s="2">
        <v>5.9</v>
      </c>
      <c r="GB90" s="2">
        <v>4.1</v>
      </c>
      <c r="GC90" s="2">
        <v>4.1</v>
      </c>
      <c r="GD90" s="2">
        <v>4.1</v>
      </c>
      <c r="GE90" s="2">
        <v>4.2</v>
      </c>
      <c r="GF90" s="2">
        <v>4.2</v>
      </c>
      <c r="GG90" s="2">
        <v>4.2</v>
      </c>
      <c r="GH90" s="2">
        <v>3.9</v>
      </c>
      <c r="GI90" s="2">
        <v>3.9</v>
      </c>
      <c r="GJ90" s="2">
        <v>3.9</v>
      </c>
      <c r="GK90" s="2">
        <v>2.9</v>
      </c>
      <c r="GL90" s="2">
        <v>2.9</v>
      </c>
      <c r="GM90" s="2">
        <v>2.9</v>
      </c>
      <c r="GN90" s="2">
        <v>2.8</v>
      </c>
      <c r="GO90" s="2">
        <v>2.8</v>
      </c>
      <c r="GP90" s="2">
        <v>2.8</v>
      </c>
      <c r="GQ90" s="2">
        <v>2.4</v>
      </c>
      <c r="GR90" s="2">
        <v>2.4</v>
      </c>
      <c r="GS90" s="2">
        <v>2.4</v>
      </c>
      <c r="GT90" s="2">
        <v>2.3</v>
      </c>
      <c r="GU90" s="2">
        <v>2.3</v>
      </c>
      <c r="GV90" s="2">
        <v>2.3</v>
      </c>
      <c r="GW90" s="2">
        <v>2.6</v>
      </c>
      <c r="GX90" s="2">
        <v>2.6</v>
      </c>
      <c r="GY90" s="2">
        <v>2.6</v>
      </c>
      <c r="GZ90" s="2">
        <v>2.9</v>
      </c>
      <c r="HA90" s="2">
        <v>2.9</v>
      </c>
      <c r="HB90" s="2">
        <v>0</v>
      </c>
      <c r="HC90" s="2">
        <v>0</v>
      </c>
      <c r="HD90" s="2">
        <v>0.1</v>
      </c>
      <c r="HE90" s="2">
        <v>0</v>
      </c>
      <c r="HF90" s="2">
        <v>0</v>
      </c>
      <c r="HG90" s="2">
        <v>0.3</v>
      </c>
      <c r="HH90" s="2">
        <v>0</v>
      </c>
      <c r="HI90" s="2">
        <v>0</v>
      </c>
      <c r="HJ90" s="2">
        <v>0.3</v>
      </c>
      <c r="HK90" s="2">
        <v>0</v>
      </c>
      <c r="HL90" s="2">
        <v>0</v>
      </c>
      <c r="HM90" s="2">
        <v>0.5</v>
      </c>
      <c r="HN90" s="2">
        <v>0</v>
      </c>
      <c r="HO90" s="2">
        <v>0</v>
      </c>
      <c r="HP90" s="2">
        <v>0.2</v>
      </c>
      <c r="HQ90" s="2">
        <v>0</v>
      </c>
      <c r="HR90" s="2">
        <v>0</v>
      </c>
      <c r="HS90" s="2">
        <v>-0.2</v>
      </c>
      <c r="HT90" s="2">
        <v>0</v>
      </c>
      <c r="HU90" s="2">
        <v>0</v>
      </c>
      <c r="HV90" s="2">
        <v>0.4</v>
      </c>
      <c r="HW90" s="2">
        <v>0</v>
      </c>
      <c r="HX90" s="2">
        <v>0</v>
      </c>
      <c r="HY90" s="2">
        <v>0.2</v>
      </c>
      <c r="HZ90" s="2">
        <v>0</v>
      </c>
      <c r="IA90" s="2">
        <v>0</v>
      </c>
      <c r="IB90" s="2">
        <v>0.4</v>
      </c>
      <c r="IC90" s="2">
        <v>0</v>
      </c>
      <c r="ID90" s="2">
        <v>0</v>
      </c>
      <c r="IE90" s="2">
        <v>0.6</v>
      </c>
      <c r="IF90" s="2">
        <v>0</v>
      </c>
      <c r="IG90" s="2">
        <v>0</v>
      </c>
      <c r="IH90" s="2">
        <v>0.5</v>
      </c>
      <c r="II90" s="2">
        <v>0</v>
      </c>
      <c r="IJ90" s="2">
        <v>0</v>
      </c>
      <c r="IK90" s="2">
        <v>-0.1</v>
      </c>
      <c r="IL90" s="2">
        <v>0</v>
      </c>
      <c r="IM90" s="2">
        <v>0</v>
      </c>
      <c r="IN90" s="2">
        <v>-0.1</v>
      </c>
      <c r="IO90" s="2">
        <v>0</v>
      </c>
      <c r="IP90" s="2">
        <v>0</v>
      </c>
      <c r="IQ90" s="2">
        <v>-0.1</v>
      </c>
      <c r="IR90" s="2">
        <v>0</v>
      </c>
      <c r="IS90" s="2">
        <v>0</v>
      </c>
      <c r="IT90" s="2">
        <v>0.3</v>
      </c>
      <c r="IU90" s="2">
        <v>0</v>
      </c>
      <c r="IV90" s="2">
        <v>0</v>
      </c>
      <c r="IW90" s="2">
        <v>0.7</v>
      </c>
      <c r="IX90" s="2">
        <v>0</v>
      </c>
      <c r="IY90" s="2">
        <v>0</v>
      </c>
      <c r="IZ90" s="2">
        <v>1.5</v>
      </c>
      <c r="JA90" s="2">
        <v>0</v>
      </c>
      <c r="JB90" s="2">
        <v>0</v>
      </c>
      <c r="JC90" s="2">
        <v>0.4</v>
      </c>
      <c r="JD90" s="2">
        <v>0</v>
      </c>
      <c r="JE90" s="2">
        <v>0</v>
      </c>
      <c r="JF90" s="2">
        <v>1.5</v>
      </c>
      <c r="JG90" s="2">
        <v>0</v>
      </c>
      <c r="JH90" s="2">
        <v>0</v>
      </c>
      <c r="JI90" s="2">
        <v>1.3</v>
      </c>
      <c r="JJ90" s="2">
        <v>0</v>
      </c>
      <c r="JK90" s="2">
        <v>0</v>
      </c>
      <c r="JL90" s="2">
        <v>2.1</v>
      </c>
      <c r="JM90" s="2">
        <v>0</v>
      </c>
      <c r="JN90" s="2">
        <v>0</v>
      </c>
      <c r="JO90" s="2">
        <v>1.6</v>
      </c>
      <c r="JP90" s="2">
        <v>0</v>
      </c>
      <c r="JQ90" s="2">
        <v>0</v>
      </c>
      <c r="JR90" s="2">
        <v>2.5</v>
      </c>
      <c r="JS90" s="2">
        <v>0</v>
      </c>
      <c r="JT90" s="2">
        <v>0</v>
      </c>
      <c r="JU90" s="2">
        <v>0.8</v>
      </c>
      <c r="JV90" s="2">
        <v>0</v>
      </c>
      <c r="JW90" s="2">
        <v>0</v>
      </c>
      <c r="JX90" s="2">
        <v>1</v>
      </c>
      <c r="JY90" s="2">
        <v>0</v>
      </c>
      <c r="JZ90" s="2">
        <v>0</v>
      </c>
      <c r="KA90" s="2">
        <v>1.5</v>
      </c>
      <c r="KB90" s="2">
        <v>0</v>
      </c>
      <c r="KC90" s="2">
        <v>0</v>
      </c>
      <c r="KD90" s="2">
        <v>0.7</v>
      </c>
      <c r="KE90" s="2">
        <v>0</v>
      </c>
      <c r="KF90" s="2">
        <v>0</v>
      </c>
      <c r="KG90" s="2">
        <v>0.9</v>
      </c>
      <c r="KH90" s="2">
        <v>0</v>
      </c>
      <c r="KI90" s="2">
        <v>0</v>
      </c>
      <c r="KJ90" s="2">
        <v>0.7</v>
      </c>
      <c r="KK90" s="2">
        <v>0</v>
      </c>
      <c r="KL90" s="2">
        <v>0</v>
      </c>
      <c r="KM90" s="2">
        <v>0.5</v>
      </c>
      <c r="KN90" s="2">
        <v>0</v>
      </c>
      <c r="KO90" s="2">
        <v>0</v>
      </c>
      <c r="KP90" s="2">
        <v>0.6</v>
      </c>
      <c r="KQ90" s="2">
        <v>0</v>
      </c>
      <c r="KR90" s="2">
        <v>0</v>
      </c>
      <c r="KS90" s="2">
        <v>0.4</v>
      </c>
      <c r="KT90" s="2">
        <v>0</v>
      </c>
      <c r="KU90" s="2">
        <v>0</v>
      </c>
      <c r="KV90" s="2">
        <v>0.6</v>
      </c>
      <c r="KW90" s="2">
        <v>0</v>
      </c>
      <c r="KX90" s="2">
        <v>0</v>
      </c>
      <c r="KY90" s="2">
        <v>0.8</v>
      </c>
      <c r="KZ90" s="2">
        <v>0</v>
      </c>
      <c r="LA90" s="2">
        <v>0</v>
      </c>
      <c r="LB90" s="2">
        <v>0.9</v>
      </c>
      <c r="LC90" s="2">
        <v>0</v>
      </c>
      <c r="LD90" s="2">
        <v>3.71</v>
      </c>
      <c r="LE90" s="2">
        <v>3.71</v>
      </c>
      <c r="LF90" s="2">
        <v>3.71</v>
      </c>
      <c r="LG90" s="2">
        <v>3.74</v>
      </c>
      <c r="LH90" s="2">
        <v>3.74</v>
      </c>
      <c r="LI90" s="2">
        <v>3.74</v>
      </c>
      <c r="LJ90" s="2">
        <v>3.76</v>
      </c>
      <c r="LK90" s="2">
        <v>3.76</v>
      </c>
      <c r="LL90" s="2">
        <v>3.76</v>
      </c>
      <c r="LM90" s="2">
        <v>3.78</v>
      </c>
      <c r="LN90" s="2">
        <v>3.78</v>
      </c>
      <c r="LO90" s="2">
        <v>3.78</v>
      </c>
      <c r="LP90" s="2">
        <v>3.8</v>
      </c>
      <c r="LQ90" s="2">
        <v>3.8</v>
      </c>
      <c r="LR90" s="2">
        <v>3.8</v>
      </c>
      <c r="LS90" s="2">
        <v>3.83</v>
      </c>
      <c r="LT90" s="2">
        <v>3.83</v>
      </c>
      <c r="LU90" s="2">
        <v>3.83</v>
      </c>
      <c r="LV90" s="2">
        <v>3.87</v>
      </c>
      <c r="LW90" s="2">
        <v>3.87</v>
      </c>
      <c r="LX90" s="2">
        <v>0</v>
      </c>
      <c r="LY90" s="2">
        <v>0</v>
      </c>
      <c r="LZ90" s="2">
        <v>0.03</v>
      </c>
      <c r="MA90" s="2">
        <v>0</v>
      </c>
      <c r="MB90" s="2">
        <v>0</v>
      </c>
      <c r="MC90" s="2">
        <v>0.02</v>
      </c>
      <c r="MD90" s="2">
        <v>0</v>
      </c>
      <c r="ME90" s="2">
        <v>0</v>
      </c>
      <c r="MF90" s="2">
        <v>0.02</v>
      </c>
      <c r="MG90" s="2">
        <v>0</v>
      </c>
      <c r="MH90" s="2">
        <v>0</v>
      </c>
      <c r="MI90" s="2">
        <v>0.02</v>
      </c>
      <c r="MJ90" s="2">
        <v>0</v>
      </c>
      <c r="MK90" s="2">
        <v>0</v>
      </c>
      <c r="ML90" s="2">
        <v>0.03</v>
      </c>
      <c r="MM90" s="2">
        <v>0</v>
      </c>
      <c r="MN90" s="2">
        <v>0</v>
      </c>
      <c r="MO90" s="2">
        <v>0.04</v>
      </c>
      <c r="MP90" s="2">
        <v>0</v>
      </c>
      <c r="VJ90" s="2">
        <v>63.68</v>
      </c>
      <c r="VK90" s="2">
        <v>64.04000000000001</v>
      </c>
      <c r="VL90" s="2">
        <v>64.55</v>
      </c>
      <c r="VM90" s="2">
        <v>64.98999999999999</v>
      </c>
      <c r="VN90" s="2">
        <v>65.62</v>
      </c>
      <c r="VO90" s="2">
        <v>66.11</v>
      </c>
      <c r="VP90" s="2">
        <v>66.63</v>
      </c>
      <c r="VQ90" s="2">
        <v>66.84</v>
      </c>
      <c r="VR90" s="2">
        <v>67.11</v>
      </c>
      <c r="VS90" s="2">
        <v>68.63</v>
      </c>
      <c r="VT90" s="2">
        <v>69.91</v>
      </c>
      <c r="VU90" s="2">
        <v>71.34999999999999</v>
      </c>
      <c r="VV90" s="2">
        <v>69.22</v>
      </c>
      <c r="VW90" s="2">
        <v>69.75</v>
      </c>
      <c r="VX90" s="2">
        <v>70.52</v>
      </c>
      <c r="VY90" s="2">
        <v>70.93000000000001</v>
      </c>
      <c r="VZ90" s="2">
        <v>71.02</v>
      </c>
      <c r="WA90" s="2">
        <v>69.34999999999999</v>
      </c>
      <c r="WB90" s="2">
        <v>70.2</v>
      </c>
      <c r="WC90" s="2">
        <v>70.77</v>
      </c>
      <c r="WD90" s="2">
        <v>71.31</v>
      </c>
      <c r="WE90" s="2">
        <v>71.45999999999999</v>
      </c>
      <c r="WF90" s="2">
        <v>71.54000000000001</v>
      </c>
      <c r="WG90" s="2">
        <v>72.2</v>
      </c>
      <c r="WH90" s="2">
        <v>72.86</v>
      </c>
      <c r="WI90" s="2">
        <v>72.8</v>
      </c>
      <c r="WJ90" s="2">
        <v>73.16</v>
      </c>
      <c r="WK90" s="2">
        <v>73.84</v>
      </c>
      <c r="WL90" s="2">
        <v>73.98999999999999</v>
      </c>
      <c r="WM90" s="2">
        <v>73.3</v>
      </c>
      <c r="WN90" s="2">
        <v>74.12</v>
      </c>
      <c r="WO90" s="2">
        <v>74.18000000000001</v>
      </c>
      <c r="WP90" s="2">
        <v>74.56999999999999</v>
      </c>
      <c r="WQ90" s="2">
        <v>75.48</v>
      </c>
      <c r="WR90" s="2">
        <v>75.78</v>
      </c>
      <c r="WS90" s="2">
        <v>76.06999999999999</v>
      </c>
      <c r="WT90" s="2">
        <v>76.52</v>
      </c>
      <c r="WU90" s="2">
        <v>76.90000000000001</v>
      </c>
      <c r="WV90" s="2">
        <v>77.8</v>
      </c>
      <c r="WW90" s="2">
        <v>77.84999999999999</v>
      </c>
      <c r="WX90" s="2">
        <v>78.23999999999999</v>
      </c>
      <c r="WY90" s="2">
        <v>78.45999999999999</v>
      </c>
      <c r="WZ90" s="2">
        <v>78.7</v>
      </c>
      <c r="XA90" s="2">
        <v>78.91</v>
      </c>
      <c r="XB90" s="2">
        <v>78.98999999999999</v>
      </c>
      <c r="XC90" s="2">
        <v>79.13</v>
      </c>
      <c r="XD90" s="2">
        <v>79.25</v>
      </c>
      <c r="XE90" s="2">
        <v>79.7</v>
      </c>
      <c r="XF90" s="2">
        <v>79.90000000000001</v>
      </c>
      <c r="XG90" s="2">
        <v>79.97</v>
      </c>
      <c r="XH90" s="2">
        <v>80.06</v>
      </c>
      <c r="XI90" s="2">
        <v>80.3</v>
      </c>
      <c r="XJ90" s="2">
        <v>80.56</v>
      </c>
      <c r="XK90" s="2">
        <v>80.97</v>
      </c>
      <c r="XL90" s="2">
        <v>81.14</v>
      </c>
      <c r="XM90" s="2">
        <v>81.01000000000001</v>
      </c>
      <c r="XN90" s="2">
        <v>81.31</v>
      </c>
      <c r="XO90" s="2">
        <v>81.51000000000001</v>
      </c>
      <c r="XP90" s="2">
        <v>81.83</v>
      </c>
      <c r="XQ90" s="2">
        <v>82.34999999999999</v>
      </c>
      <c r="XR90" s="2">
        <v>82.77</v>
      </c>
      <c r="XS90" s="2">
        <v>82.65000000000001</v>
      </c>
      <c r="XT90" s="2">
        <v>82.54000000000001</v>
      </c>
      <c r="XU90" s="2">
        <v>82.48</v>
      </c>
      <c r="XV90" s="2">
        <v>82.72</v>
      </c>
      <c r="XW90" s="2">
        <v>83.26000000000001</v>
      </c>
      <c r="XX90" s="2">
        <v>84.5</v>
      </c>
      <c r="XY90" s="2">
        <v>84.88</v>
      </c>
      <c r="XZ90" s="2">
        <v>86.15000000000001</v>
      </c>
      <c r="YA90" s="2">
        <v>87.28</v>
      </c>
      <c r="YB90" s="2">
        <v>89.08</v>
      </c>
      <c r="YC90" s="2">
        <v>90.48</v>
      </c>
      <c r="YD90" s="2">
        <v>92.75</v>
      </c>
      <c r="YE90" s="2">
        <v>93.48999999999999</v>
      </c>
      <c r="YF90" s="2">
        <v>94.41</v>
      </c>
      <c r="YG90" s="2">
        <v>95.84</v>
      </c>
      <c r="YH90" s="2">
        <v>96.53</v>
      </c>
      <c r="YI90" s="2">
        <v>97.41</v>
      </c>
      <c r="YJ90" s="2">
        <v>98.11</v>
      </c>
      <c r="YK90" s="2">
        <v>98.65000000000001</v>
      </c>
      <c r="YL90" s="2">
        <v>99.26000000000001</v>
      </c>
      <c r="YM90" s="2">
        <v>99.70999999999999</v>
      </c>
      <c r="YN90" s="2">
        <v>100.21</v>
      </c>
      <c r="YO90" s="2">
        <v>100.91</v>
      </c>
      <c r="YP90" s="2">
        <v>101.78</v>
      </c>
      <c r="AHJ90" s="2">
        <v>0.6</v>
      </c>
      <c r="AHK90" s="2">
        <v>0.8</v>
      </c>
      <c r="AHL90" s="2">
        <v>0.7</v>
      </c>
      <c r="AHM90" s="2">
        <v>1</v>
      </c>
      <c r="AHN90" s="2">
        <v>0.7</v>
      </c>
      <c r="AHO90" s="2">
        <v>0.8</v>
      </c>
      <c r="AHP90" s="2">
        <v>0.3</v>
      </c>
      <c r="AHQ90" s="2">
        <v>0.4</v>
      </c>
      <c r="AHR90" s="2">
        <v>2.3</v>
      </c>
      <c r="AHS90" s="2">
        <v>1.9</v>
      </c>
      <c r="AHT90" s="2">
        <v>2.1</v>
      </c>
      <c r="AHU90" s="2">
        <v>-3</v>
      </c>
      <c r="AHV90" s="2">
        <v>0.8</v>
      </c>
      <c r="AHW90" s="2">
        <v>1.1</v>
      </c>
      <c r="AHX90" s="2">
        <v>0.6</v>
      </c>
      <c r="AHY90" s="2">
        <v>0.1</v>
      </c>
      <c r="AHZ90" s="2">
        <v>-2.4</v>
      </c>
      <c r="AIA90" s="2">
        <v>1.2</v>
      </c>
      <c r="AIB90" s="2">
        <v>0.8</v>
      </c>
      <c r="AIC90" s="2">
        <v>0.8</v>
      </c>
      <c r="AID90" s="2">
        <v>0.2</v>
      </c>
      <c r="AIE90" s="2">
        <v>0.1</v>
      </c>
      <c r="AIF90" s="2">
        <v>0.9</v>
      </c>
      <c r="AIG90" s="2">
        <v>0.9</v>
      </c>
      <c r="AIH90" s="2">
        <v>-0.1</v>
      </c>
      <c r="AII90" s="2">
        <v>0.5</v>
      </c>
      <c r="AIJ90" s="2">
        <v>0.9</v>
      </c>
      <c r="AIK90" s="2">
        <v>0.2</v>
      </c>
      <c r="AIL90" s="2">
        <v>-0.9</v>
      </c>
      <c r="AIM90" s="2">
        <v>1.1</v>
      </c>
      <c r="AIN90" s="2">
        <v>0.1</v>
      </c>
      <c r="AIO90" s="2">
        <v>0.5</v>
      </c>
      <c r="AIP90" s="2">
        <v>1.2</v>
      </c>
      <c r="AIQ90" s="2">
        <v>0.4</v>
      </c>
      <c r="AIR90" s="2">
        <v>0.4</v>
      </c>
      <c r="AIS90" s="2">
        <v>0.6</v>
      </c>
      <c r="AIT90" s="2">
        <v>0.5</v>
      </c>
      <c r="AIU90" s="2">
        <v>1.2</v>
      </c>
      <c r="AIV90" s="2">
        <v>0.1</v>
      </c>
      <c r="AIW90" s="2">
        <v>0.5</v>
      </c>
      <c r="AIX90" s="2">
        <v>0.3</v>
      </c>
      <c r="AIY90" s="2">
        <v>0.3</v>
      </c>
      <c r="AIZ90" s="2">
        <v>0.3</v>
      </c>
      <c r="AJA90" s="2">
        <v>0.1</v>
      </c>
      <c r="AJB90" s="2">
        <v>0.2</v>
      </c>
      <c r="AJC90" s="2">
        <v>0.2</v>
      </c>
      <c r="AJD90" s="2">
        <v>0.6</v>
      </c>
      <c r="AJE90" s="2">
        <v>0.3</v>
      </c>
      <c r="AJF90" s="2">
        <v>0.1</v>
      </c>
      <c r="AJG90" s="2">
        <v>0.1</v>
      </c>
      <c r="AJH90" s="2">
        <v>0.3</v>
      </c>
      <c r="AJI90" s="2">
        <v>0.3</v>
      </c>
      <c r="AJJ90" s="2">
        <v>0.5</v>
      </c>
      <c r="AJK90" s="2">
        <v>0.2</v>
      </c>
      <c r="AJL90" s="2">
        <v>-0.2</v>
      </c>
      <c r="AJM90" s="2">
        <v>0.4</v>
      </c>
      <c r="AJN90" s="2">
        <v>0.2</v>
      </c>
      <c r="AJO90" s="2">
        <v>0.4</v>
      </c>
      <c r="AJP90" s="2">
        <v>0.6</v>
      </c>
      <c r="AJQ90" s="2">
        <v>0.5</v>
      </c>
      <c r="AJR90" s="2">
        <v>-0.1</v>
      </c>
      <c r="AJS90" s="2">
        <v>-0.1</v>
      </c>
      <c r="AJT90" s="2">
        <v>-0.1</v>
      </c>
      <c r="AJU90" s="2">
        <v>0.3</v>
      </c>
      <c r="AJV90" s="2">
        <v>0.7</v>
      </c>
      <c r="AJW90" s="2">
        <v>1.5</v>
      </c>
      <c r="AJX90" s="2">
        <v>0.4</v>
      </c>
      <c r="AJY90" s="2">
        <v>1.5</v>
      </c>
      <c r="AJZ90" s="2">
        <v>1.3</v>
      </c>
      <c r="AKA90" s="2">
        <v>2.1</v>
      </c>
      <c r="AKB90" s="2">
        <v>1.6</v>
      </c>
      <c r="AKC90" s="2">
        <v>2.5</v>
      </c>
      <c r="AKD90" s="2">
        <v>0.8</v>
      </c>
      <c r="AKE90" s="2">
        <v>1</v>
      </c>
      <c r="AKF90" s="2">
        <v>1.5</v>
      </c>
      <c r="AKG90" s="2">
        <v>0.7</v>
      </c>
      <c r="AKH90" s="2">
        <v>0.9</v>
      </c>
      <c r="AKI90" s="2">
        <v>0.7</v>
      </c>
      <c r="AKJ90" s="2">
        <v>0.6</v>
      </c>
      <c r="AKK90" s="2">
        <v>0.6</v>
      </c>
      <c r="AKL90" s="2">
        <v>0.5</v>
      </c>
      <c r="AKM90" s="2">
        <v>0.5</v>
      </c>
      <c r="AKN90" s="2">
        <v>0.7</v>
      </c>
      <c r="AKO90" s="2">
        <v>0.9</v>
      </c>
      <c r="AKP90" s="2">
        <v>3.78</v>
      </c>
      <c r="AKQ90" s="2">
        <v>3.81</v>
      </c>
      <c r="AKR90" s="2">
        <v>3.84</v>
      </c>
    </row>
  </sheetData>
  <autoFilter ref="A3:AKR9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5.7109375" customWidth="1"/>
    <col min="2" max="9" width="24.7109375" customWidth="1"/>
  </cols>
  <sheetData>
    <row r="1">
      <c r="A1" s="1" t="inlineStr">
        <is>
          <t>Name</t>
        </is>
      </c>
      <c r="B1" s="1" t="inlineStr">
        <is>
          <t>Depth</t>
        </is>
      </c>
      <c r="C1" s="1" t="inlineStr">
        <is>
          <t>Parent</t>
        </is>
      </c>
      <c r="D1" s="1" t="inlineStr">
        <is>
          <t>Published %</t>
        </is>
      </c>
      <c r="E1" s="1" t="inlineStr">
        <is>
          <t>Reconciled basket share</t>
        </is>
      </c>
      <c r="F1" s="1" t="inlineStr">
        <is>
          <t>Children published %</t>
        </is>
      </c>
      <c r="G1" s="1" t="inlineStr">
        <is>
          <t>Published rounding difference</t>
        </is>
      </c>
      <c r="H1" s="1" t="inlineStr">
        <is>
          <t>Children reconciled share</t>
        </is>
      </c>
      <c r="I1" s="1" t="inlineStr">
        <is>
          <t>Reconciled difference</t>
        </is>
      </c>
    </row>
    <row r="2">
      <c r="A2" t="inlineStr">
        <is>
          <t>All groups CPI</t>
        </is>
      </c>
      <c r="B2">
        <v>0</v>
      </c>
      <c r="D2">
        <v>100</v>
      </c>
      <c r="E2">
        <v>1</v>
      </c>
      <c r="F2">
        <v>100</v>
      </c>
      <c r="G2">
        <v>0</v>
      </c>
      <c r="H2">
        <v>1</v>
      </c>
      <c r="I2">
        <v>0</v>
      </c>
    </row>
    <row r="3">
      <c r="A3" t="inlineStr">
        <is>
          <t>Food and non-alcoholic beverages</t>
        </is>
      </c>
      <c r="B3">
        <v>1</v>
      </c>
      <c r="C3" t="inlineStr">
        <is>
          <t>0</t>
        </is>
      </c>
      <c r="D3">
        <v>17.4</v>
      </c>
      <c r="E3">
        <v>0.174</v>
      </c>
      <c r="F3">
        <v>17.41</v>
      </c>
      <c r="G3">
        <v>0.01000000000000156</v>
      </c>
      <c r="H3">
        <v>0.174</v>
      </c>
      <c r="I3">
        <v>0</v>
      </c>
    </row>
    <row r="4">
      <c r="A4" t="inlineStr">
        <is>
          <t>Bread and cereal products</t>
        </is>
      </c>
      <c r="B4">
        <v>2</v>
      </c>
      <c r="C4" t="inlineStr">
        <is>
          <t>1</t>
        </is>
      </c>
      <c r="D4">
        <v>1.56</v>
      </c>
      <c r="E4">
        <v>0.01559103963239518</v>
      </c>
      <c r="F4">
        <v>1.56</v>
      </c>
      <c r="G4">
        <v>0</v>
      </c>
      <c r="H4">
        <v>0.01559103963239518</v>
      </c>
      <c r="I4">
        <v>0</v>
      </c>
    </row>
    <row r="5">
      <c r="A5" t="inlineStr">
        <is>
          <t>Bread</t>
        </is>
      </c>
      <c r="B5">
        <v>3</v>
      </c>
      <c r="C5" t="inlineStr">
        <is>
          <t>2</t>
        </is>
      </c>
      <c r="D5">
        <v>0.62</v>
      </c>
      <c r="E5">
        <v>0.006196438828259621</v>
      </c>
    </row>
    <row r="6">
      <c r="A6" t="inlineStr">
        <is>
          <t>Cakes and biscuits</t>
        </is>
      </c>
      <c r="B6">
        <v>3</v>
      </c>
      <c r="C6" t="inlineStr">
        <is>
          <t>2</t>
        </is>
      </c>
      <c r="D6">
        <v>0.65</v>
      </c>
      <c r="E6">
        <v>0.006496266513497989</v>
      </c>
    </row>
    <row r="7">
      <c r="A7" t="inlineStr">
        <is>
          <t>Breakfast cereals</t>
        </is>
      </c>
      <c r="B7">
        <v>3</v>
      </c>
      <c r="C7" t="inlineStr">
        <is>
          <t>2</t>
        </is>
      </c>
      <c r="D7">
        <v>0.1</v>
      </c>
      <c r="E7">
        <v>0.0009994256174612292</v>
      </c>
    </row>
    <row r="8">
      <c r="A8" t="inlineStr">
        <is>
          <t>Other cereal products</t>
        </is>
      </c>
      <c r="B8">
        <v>3</v>
      </c>
      <c r="C8" t="inlineStr">
        <is>
          <t>2</t>
        </is>
      </c>
      <c r="D8">
        <v>0.19</v>
      </c>
      <c r="E8">
        <v>0.001898908673176336</v>
      </c>
    </row>
    <row r="9">
      <c r="A9" t="inlineStr">
        <is>
          <t>Meat and seafoods</t>
        </is>
      </c>
      <c r="B9">
        <v>2</v>
      </c>
      <c r="C9" t="inlineStr">
        <is>
          <t>1</t>
        </is>
      </c>
      <c r="D9">
        <v>2.13</v>
      </c>
      <c r="E9">
        <v>0.02128776565192418</v>
      </c>
      <c r="F9">
        <v>2.13</v>
      </c>
      <c r="G9">
        <v>0</v>
      </c>
      <c r="H9">
        <v>0.02128776565192418</v>
      </c>
      <c r="I9">
        <v>3.469446951953614E-18</v>
      </c>
    </row>
    <row r="10">
      <c r="A10" t="inlineStr">
        <is>
          <t>Beef and veal</t>
        </is>
      </c>
      <c r="B10">
        <v>3</v>
      </c>
      <c r="C10" t="inlineStr">
        <is>
          <t>7</t>
        </is>
      </c>
      <c r="D10">
        <v>0.42</v>
      </c>
      <c r="E10">
        <v>0.004197587593337162</v>
      </c>
    </row>
    <row r="11">
      <c r="A11" t="inlineStr">
        <is>
          <t>Pork</t>
        </is>
      </c>
      <c r="B11">
        <v>3</v>
      </c>
      <c r="C11" t="inlineStr">
        <is>
          <t>7</t>
        </is>
      </c>
      <c r="D11">
        <v>0.27</v>
      </c>
      <c r="E11">
        <v>0.002698449167145319</v>
      </c>
    </row>
    <row r="12">
      <c r="A12" t="inlineStr">
        <is>
          <t>Lamb and goat</t>
        </is>
      </c>
      <c r="B12">
        <v>3</v>
      </c>
      <c r="C12" t="inlineStr">
        <is>
          <t>7</t>
        </is>
      </c>
      <c r="D12">
        <v>0.24</v>
      </c>
      <c r="E12">
        <v>0.00239862148190695</v>
      </c>
    </row>
    <row r="13">
      <c r="A13" t="inlineStr">
        <is>
          <t>Poultry</t>
        </is>
      </c>
      <c r="B13">
        <v>3</v>
      </c>
      <c r="C13" t="inlineStr">
        <is>
          <t>7</t>
        </is>
      </c>
      <c r="D13">
        <v>0.42</v>
      </c>
      <c r="E13">
        <v>0.004197587593337162</v>
      </c>
    </row>
    <row r="14">
      <c r="A14" t="inlineStr">
        <is>
          <t>Other meats</t>
        </is>
      </c>
      <c r="B14">
        <v>3</v>
      </c>
      <c r="C14" t="inlineStr">
        <is>
          <t>7</t>
        </is>
      </c>
      <c r="D14">
        <v>0.4</v>
      </c>
      <c r="E14">
        <v>0.003997702469844916</v>
      </c>
    </row>
    <row r="15">
      <c r="A15" t="inlineStr">
        <is>
          <t>Fish and other seafood</t>
        </is>
      </c>
      <c r="B15">
        <v>3</v>
      </c>
      <c r="C15" t="inlineStr">
        <is>
          <t>7</t>
        </is>
      </c>
      <c r="D15">
        <v>0.38</v>
      </c>
      <c r="E15">
        <v>0.00379781734635267</v>
      </c>
    </row>
    <row r="16">
      <c r="A16" t="inlineStr">
        <is>
          <t>Dairy and related products</t>
        </is>
      </c>
      <c r="B16">
        <v>2</v>
      </c>
      <c r="C16" t="inlineStr">
        <is>
          <t>1</t>
        </is>
      </c>
      <c r="D16">
        <v>1.08</v>
      </c>
      <c r="E16">
        <v>0.01079379666858128</v>
      </c>
      <c r="F16">
        <v>1.08</v>
      </c>
      <c r="G16">
        <v>0</v>
      </c>
      <c r="H16">
        <v>0.01079379666858128</v>
      </c>
      <c r="I16">
        <v>0</v>
      </c>
    </row>
    <row r="17">
      <c r="A17" t="inlineStr">
        <is>
          <t>Milk</t>
        </is>
      </c>
      <c r="B17">
        <v>3</v>
      </c>
      <c r="C17" t="inlineStr">
        <is>
          <t>14</t>
        </is>
      </c>
      <c r="D17">
        <v>0.42</v>
      </c>
      <c r="E17">
        <v>0.004197587593337162</v>
      </c>
    </row>
    <row r="18">
      <c r="A18" t="inlineStr">
        <is>
          <t>Cheese</t>
        </is>
      </c>
      <c r="B18">
        <v>3</v>
      </c>
      <c r="C18" t="inlineStr">
        <is>
          <t>14</t>
        </is>
      </c>
      <c r="D18">
        <v>0.34</v>
      </c>
      <c r="E18">
        <v>0.003398047099368179</v>
      </c>
    </row>
    <row r="19">
      <c r="A19" t="inlineStr">
        <is>
          <t>Ice cream and other dairy products</t>
        </is>
      </c>
      <c r="B19">
        <v>3</v>
      </c>
      <c r="C19" t="inlineStr">
        <is>
          <t>14</t>
        </is>
      </c>
      <c r="D19">
        <v>0.32</v>
      </c>
      <c r="E19">
        <v>0.003198161975875933</v>
      </c>
    </row>
    <row r="20">
      <c r="A20" t="inlineStr">
        <is>
          <t>Fruit and vegetables</t>
        </is>
      </c>
      <c r="B20">
        <v>2</v>
      </c>
      <c r="C20" t="inlineStr">
        <is>
          <t>1</t>
        </is>
      </c>
      <c r="D20">
        <v>2</v>
      </c>
      <c r="E20">
        <v>0.01998851234922458</v>
      </c>
      <c r="F20">
        <v>2</v>
      </c>
      <c r="G20">
        <v>0</v>
      </c>
      <c r="H20">
        <v>0.01998851234922458</v>
      </c>
      <c r="I20">
        <v>0</v>
      </c>
    </row>
    <row r="21">
      <c r="A21" t="inlineStr">
        <is>
          <t>Fruit</t>
        </is>
      </c>
      <c r="B21">
        <v>3</v>
      </c>
      <c r="C21" t="inlineStr">
        <is>
          <t>18</t>
        </is>
      </c>
      <c r="D21">
        <v>0.9</v>
      </c>
      <c r="E21">
        <v>0.008994830557151062</v>
      </c>
    </row>
    <row r="22">
      <c r="A22" t="inlineStr">
        <is>
          <t>Vegetables</t>
        </is>
      </c>
      <c r="B22">
        <v>3</v>
      </c>
      <c r="C22" t="inlineStr">
        <is>
          <t>18</t>
        </is>
      </c>
      <c r="D22">
        <v>1.1</v>
      </c>
      <c r="E22">
        <v>0.01099368179207352</v>
      </c>
    </row>
    <row r="23">
      <c r="A23" t="inlineStr">
        <is>
          <t>Food products n.e.c.</t>
        </is>
      </c>
      <c r="B23">
        <v>2</v>
      </c>
      <c r="C23" t="inlineStr">
        <is>
          <t>1</t>
        </is>
      </c>
      <c r="D23">
        <v>2.3</v>
      </c>
      <c r="E23">
        <v>0.02298678920160827</v>
      </c>
      <c r="F23">
        <v>2.3</v>
      </c>
      <c r="G23">
        <v>0</v>
      </c>
      <c r="H23">
        <v>0.02298678920160827</v>
      </c>
      <c r="I23">
        <v>0</v>
      </c>
    </row>
    <row r="24">
      <c r="A24" t="inlineStr">
        <is>
          <t>Eggs</t>
        </is>
      </c>
      <c r="B24">
        <v>3</v>
      </c>
      <c r="C24" t="inlineStr">
        <is>
          <t>21</t>
        </is>
      </c>
      <c r="D24">
        <v>0.14</v>
      </c>
      <c r="E24">
        <v>0.001399195864445721</v>
      </c>
    </row>
    <row r="25">
      <c r="A25" t="inlineStr">
        <is>
          <t>Jams, honey and spreads</t>
        </is>
      </c>
      <c r="B25">
        <v>3</v>
      </c>
      <c r="C25" t="inlineStr">
        <is>
          <t>21</t>
        </is>
      </c>
      <c r="D25">
        <v>0.12</v>
      </c>
      <c r="E25">
        <v>0.001199310740953475</v>
      </c>
    </row>
    <row r="26">
      <c r="A26" t="inlineStr">
        <is>
          <t>Food additives and condiments</t>
        </is>
      </c>
      <c r="B26">
        <v>3</v>
      </c>
      <c r="C26" t="inlineStr">
        <is>
          <t>21</t>
        </is>
      </c>
      <c r="D26">
        <v>0.31</v>
      </c>
      <c r="E26">
        <v>0.00309821941412981</v>
      </c>
    </row>
    <row r="27">
      <c r="A27" t="inlineStr">
        <is>
          <t>Oils and fats</t>
        </is>
      </c>
      <c r="B27">
        <v>3</v>
      </c>
      <c r="C27" t="inlineStr">
        <is>
          <t>21</t>
        </is>
      </c>
      <c r="D27">
        <v>0.26</v>
      </c>
      <c r="E27">
        <v>0.002598506605399196</v>
      </c>
    </row>
    <row r="28">
      <c r="A28" t="inlineStr">
        <is>
          <t>Snacks and confectionery</t>
        </is>
      </c>
      <c r="B28">
        <v>3</v>
      </c>
      <c r="C28" t="inlineStr">
        <is>
          <t>21</t>
        </is>
      </c>
      <c r="D28">
        <v>0.9399999999999999</v>
      </c>
      <c r="E28">
        <v>0.009394600804135553</v>
      </c>
    </row>
    <row r="29">
      <c r="A29" t="inlineStr">
        <is>
          <t>Other food products n.e.c.</t>
        </is>
      </c>
      <c r="B29">
        <v>3</v>
      </c>
      <c r="C29" t="inlineStr">
        <is>
          <t>21</t>
        </is>
      </c>
      <c r="D29">
        <v>0.53</v>
      </c>
      <c r="E29">
        <v>0.005296955772544515</v>
      </c>
    </row>
    <row r="30">
      <c r="A30" t="inlineStr">
        <is>
          <t>Non-alcoholic beverages</t>
        </is>
      </c>
      <c r="B30">
        <v>2</v>
      </c>
      <c r="C30" t="inlineStr">
        <is>
          <t>1</t>
        </is>
      </c>
      <c r="D30">
        <v>1.21</v>
      </c>
      <c r="E30">
        <v>0.01209304997128087</v>
      </c>
      <c r="F30">
        <v>1.2</v>
      </c>
      <c r="G30">
        <v>-0.01000000000000001</v>
      </c>
      <c r="H30">
        <v>0.01209304997128087</v>
      </c>
      <c r="I30">
        <v>0</v>
      </c>
    </row>
    <row r="31">
      <c r="A31" t="inlineStr">
        <is>
          <t>Coffee, tea and cocoa</t>
        </is>
      </c>
      <c r="B31">
        <v>3</v>
      </c>
      <c r="C31" t="inlineStr">
        <is>
          <t>28</t>
        </is>
      </c>
      <c r="D31">
        <v>0.26</v>
      </c>
      <c r="E31">
        <v>0.002620160827110856</v>
      </c>
    </row>
    <row r="32">
      <c r="A32" t="inlineStr">
        <is>
          <t>Waters, soft drinks and juices</t>
        </is>
      </c>
      <c r="B32">
        <v>3</v>
      </c>
      <c r="C32" t="inlineStr">
        <is>
          <t>28</t>
        </is>
      </c>
      <c r="D32">
        <v>0.9399999999999999</v>
      </c>
      <c r="E32">
        <v>0.009472889144170016</v>
      </c>
    </row>
    <row r="33">
      <c r="A33" t="inlineStr">
        <is>
          <t>Meals out and take away foods</t>
        </is>
      </c>
      <c r="B33">
        <v>2</v>
      </c>
      <c r="C33" t="inlineStr">
        <is>
          <t>1</t>
        </is>
      </c>
      <c r="D33">
        <v>7.13</v>
      </c>
      <c r="E33">
        <v>0.07125904652498563</v>
      </c>
      <c r="F33">
        <v>7.140000000000001</v>
      </c>
      <c r="G33">
        <v>0.01000000000000068</v>
      </c>
      <c r="H33">
        <v>0.07125904652498563</v>
      </c>
      <c r="I33">
        <v>0</v>
      </c>
    </row>
    <row r="34">
      <c r="A34" t="inlineStr">
        <is>
          <t>Restaurant meals</t>
        </is>
      </c>
      <c r="B34">
        <v>3</v>
      </c>
      <c r="C34" t="inlineStr">
        <is>
          <t>31</t>
        </is>
      </c>
      <c r="D34">
        <v>3.95</v>
      </c>
      <c r="E34">
        <v>0.03942202153693183</v>
      </c>
    </row>
    <row r="35">
      <c r="A35" t="inlineStr">
        <is>
          <t>Take away and fast foods</t>
        </is>
      </c>
      <c r="B35">
        <v>3</v>
      </c>
      <c r="C35" t="inlineStr">
        <is>
          <t>31</t>
        </is>
      </c>
      <c r="D35">
        <v>3.19</v>
      </c>
      <c r="E35">
        <v>0.0318370249880538</v>
      </c>
    </row>
    <row r="36">
      <c r="A36" t="inlineStr">
        <is>
          <t>Alcohol and tobacco</t>
        </is>
      </c>
      <c r="B36">
        <v>1</v>
      </c>
      <c r="C36" t="inlineStr">
        <is>
          <t>0</t>
        </is>
      </c>
      <c r="D36">
        <v>6.51</v>
      </c>
      <c r="E36">
        <v>0.06509999999999999</v>
      </c>
      <c r="F36">
        <v>6.510000000000001</v>
      </c>
      <c r="G36">
        <v>8.881784197001252E-16</v>
      </c>
      <c r="H36">
        <v>0.06509999999999998</v>
      </c>
      <c r="I36">
        <v>-1.387778780781446E-17</v>
      </c>
    </row>
    <row r="37">
      <c r="A37" t="inlineStr">
        <is>
          <t>Alcoholic beverages</t>
        </is>
      </c>
      <c r="B37">
        <v>2</v>
      </c>
      <c r="C37" t="inlineStr">
        <is>
          <t>34</t>
        </is>
      </c>
      <c r="D37">
        <v>4.65</v>
      </c>
      <c r="E37">
        <v>0.04649999999999999</v>
      </c>
      <c r="F37">
        <v>4.64</v>
      </c>
      <c r="G37">
        <v>-0.01000000000000068</v>
      </c>
      <c r="H37">
        <v>0.04649999999999999</v>
      </c>
      <c r="I37">
        <v>0</v>
      </c>
    </row>
    <row r="38">
      <c r="A38" t="inlineStr">
        <is>
          <t>Spirits</t>
        </is>
      </c>
      <c r="B38">
        <v>3</v>
      </c>
      <c r="C38" t="inlineStr">
        <is>
          <t>35</t>
        </is>
      </c>
      <c r="D38">
        <v>0.92</v>
      </c>
      <c r="E38">
        <v>0.009219827586206895</v>
      </c>
    </row>
    <row r="39">
      <c r="A39" t="inlineStr">
        <is>
          <t>Wine</t>
        </is>
      </c>
      <c r="B39">
        <v>3</v>
      </c>
      <c r="C39" t="inlineStr">
        <is>
          <t>35</t>
        </is>
      </c>
      <c r="D39">
        <v>1.65</v>
      </c>
      <c r="E39">
        <v>0.01653556034482758</v>
      </c>
    </row>
    <row r="40">
      <c r="A40" t="inlineStr">
        <is>
          <t>Beer</t>
        </is>
      </c>
      <c r="B40">
        <v>3</v>
      </c>
      <c r="C40" t="inlineStr">
        <is>
          <t>35</t>
        </is>
      </c>
      <c r="D40">
        <v>2.07</v>
      </c>
      <c r="E40">
        <v>0.02074461206896551</v>
      </c>
    </row>
    <row r="41">
      <c r="A41" t="inlineStr">
        <is>
          <t>Tobacco</t>
        </is>
      </c>
      <c r="B41">
        <v>2</v>
      </c>
      <c r="C41" t="inlineStr">
        <is>
          <t>34</t>
        </is>
      </c>
      <c r="D41">
        <v>1.86</v>
      </c>
      <c r="E41">
        <v>0.0186</v>
      </c>
      <c r="F41">
        <v>1.86</v>
      </c>
      <c r="G41">
        <v>0</v>
      </c>
      <c r="H41">
        <v>0.0186</v>
      </c>
      <c r="I41">
        <v>0</v>
      </c>
    </row>
    <row r="42">
      <c r="A42" t="inlineStr">
        <is>
          <t>Tobacco</t>
        </is>
      </c>
      <c r="B42">
        <v>3</v>
      </c>
      <c r="C42" t="inlineStr">
        <is>
          <t>39</t>
        </is>
      </c>
      <c r="D42">
        <v>1.86</v>
      </c>
      <c r="E42">
        <v>0.0186</v>
      </c>
    </row>
    <row r="43">
      <c r="A43" t="inlineStr">
        <is>
          <t>Clothing and footwear</t>
        </is>
      </c>
      <c r="B43">
        <v>1</v>
      </c>
      <c r="C43" t="inlineStr">
        <is>
          <t>0</t>
        </is>
      </c>
      <c r="D43">
        <v>3.17</v>
      </c>
      <c r="E43">
        <v>0.0317</v>
      </c>
      <c r="F43">
        <v>3.18</v>
      </c>
      <c r="G43">
        <v>0.01000000000000023</v>
      </c>
      <c r="H43">
        <v>0.0317</v>
      </c>
      <c r="I43">
        <v>0</v>
      </c>
    </row>
    <row r="44">
      <c r="A44" t="inlineStr">
        <is>
          <t>Garments</t>
        </is>
      </c>
      <c r="B44">
        <v>2</v>
      </c>
      <c r="C44" t="inlineStr">
        <is>
          <t>41</t>
        </is>
      </c>
      <c r="D44">
        <v>1.96</v>
      </c>
      <c r="E44">
        <v>0.01953836477987421</v>
      </c>
      <c r="F44">
        <v>1.96</v>
      </c>
      <c r="G44">
        <v>2.220446049250313E-16</v>
      </c>
      <c r="H44">
        <v>0.01953836477987421</v>
      </c>
      <c r="I44">
        <v>0</v>
      </c>
    </row>
    <row r="45">
      <c r="A45" t="inlineStr">
        <is>
          <t>Garments for men</t>
        </is>
      </c>
      <c r="B45">
        <v>3</v>
      </c>
      <c r="C45" t="inlineStr">
        <is>
          <t>42</t>
        </is>
      </c>
      <c r="D45">
        <v>0.53</v>
      </c>
      <c r="E45">
        <v>0.005283333333333333</v>
      </c>
    </row>
    <row r="46">
      <c r="A46" t="inlineStr">
        <is>
          <t>Garments for women</t>
        </is>
      </c>
      <c r="B46">
        <v>3</v>
      </c>
      <c r="C46" t="inlineStr">
        <is>
          <t>42</t>
        </is>
      </c>
      <c r="D46">
        <v>1.1</v>
      </c>
      <c r="E46">
        <v>0.01096540880503145</v>
      </c>
    </row>
    <row r="47">
      <c r="A47" t="inlineStr">
        <is>
          <t>Garments for infants and children</t>
        </is>
      </c>
      <c r="B47">
        <v>3</v>
      </c>
      <c r="C47" t="inlineStr">
        <is>
          <t>42</t>
        </is>
      </c>
      <c r="D47">
        <v>0.33</v>
      </c>
      <c r="E47">
        <v>0.003289622641509434</v>
      </c>
    </row>
    <row r="48">
      <c r="A48" t="inlineStr">
        <is>
          <t>Footwear</t>
        </is>
      </c>
      <c r="B48">
        <v>2</v>
      </c>
      <c r="C48" t="inlineStr">
        <is>
          <t>41</t>
        </is>
      </c>
      <c r="D48">
        <v>0.45</v>
      </c>
      <c r="E48">
        <v>0.004485849056603773</v>
      </c>
      <c r="F48">
        <v>0.44</v>
      </c>
      <c r="G48">
        <v>-0.01000000000000001</v>
      </c>
      <c r="H48">
        <v>0.004485849056603773</v>
      </c>
      <c r="I48">
        <v>0</v>
      </c>
    </row>
    <row r="49">
      <c r="A49" t="inlineStr">
        <is>
          <t>Footwear for men</t>
        </is>
      </c>
      <c r="B49">
        <v>3</v>
      </c>
      <c r="C49" t="inlineStr">
        <is>
          <t>46</t>
        </is>
      </c>
      <c r="D49">
        <v>0.11</v>
      </c>
      <c r="E49">
        <v>0.001121462264150943</v>
      </c>
    </row>
    <row r="50">
      <c r="A50" t="inlineStr">
        <is>
          <t>Footwear for women</t>
        </is>
      </c>
      <c r="B50">
        <v>3</v>
      </c>
      <c r="C50" t="inlineStr">
        <is>
          <t>46</t>
        </is>
      </c>
      <c r="D50">
        <v>0.26</v>
      </c>
      <c r="E50">
        <v>0.002650728987993138</v>
      </c>
    </row>
    <row r="51">
      <c r="A51" t="inlineStr">
        <is>
          <t>Footwear for infants and children</t>
        </is>
      </c>
      <c r="B51">
        <v>3</v>
      </c>
      <c r="C51" t="inlineStr">
        <is>
          <t>46</t>
        </is>
      </c>
      <c r="D51">
        <v>0.07000000000000001</v>
      </c>
      <c r="E51">
        <v>0.0007136578044596913</v>
      </c>
    </row>
    <row r="52">
      <c r="A52" t="inlineStr">
        <is>
          <t>Accessories and clothing services</t>
        </is>
      </c>
      <c r="B52">
        <v>2</v>
      </c>
      <c r="C52" t="inlineStr">
        <is>
          <t>41</t>
        </is>
      </c>
      <c r="D52">
        <v>0.77</v>
      </c>
      <c r="E52">
        <v>0.007675786163522012</v>
      </c>
      <c r="F52">
        <v>0.77</v>
      </c>
      <c r="G52">
        <v>0</v>
      </c>
      <c r="H52">
        <v>0.007675786163522012</v>
      </c>
      <c r="I52">
        <v>0</v>
      </c>
    </row>
    <row r="53">
      <c r="A53" t="inlineStr">
        <is>
          <t>Accessories</t>
        </is>
      </c>
      <c r="B53">
        <v>3</v>
      </c>
      <c r="C53" t="inlineStr">
        <is>
          <t>50</t>
        </is>
      </c>
      <c r="D53">
        <v>0.7</v>
      </c>
      <c r="E53">
        <v>0.006977987421383647</v>
      </c>
    </row>
    <row r="54">
      <c r="A54" t="inlineStr">
        <is>
          <t>Cleaning, repair and hire of clothing and footwear</t>
        </is>
      </c>
      <c r="B54">
        <v>3</v>
      </c>
      <c r="C54" t="inlineStr">
        <is>
          <t>50</t>
        </is>
      </c>
      <c r="D54">
        <v>0.07000000000000001</v>
      </c>
      <c r="E54">
        <v>0.0006977987421383648</v>
      </c>
    </row>
    <row r="55">
      <c r="A55" t="inlineStr">
        <is>
          <t>Housing</t>
        </is>
      </c>
      <c r="B55">
        <v>1</v>
      </c>
      <c r="C55" t="inlineStr">
        <is>
          <t>0</t>
        </is>
      </c>
      <c r="D55">
        <v>21.39</v>
      </c>
      <c r="E55">
        <v>0.2139</v>
      </c>
      <c r="F55">
        <v>21.39</v>
      </c>
      <c r="G55">
        <v>0</v>
      </c>
      <c r="H55">
        <v>0.2139</v>
      </c>
      <c r="I55">
        <v>0</v>
      </c>
    </row>
    <row r="56">
      <c r="A56" t="inlineStr">
        <is>
          <t>Rents</t>
        </is>
      </c>
      <c r="B56">
        <v>2</v>
      </c>
      <c r="C56" t="inlineStr">
        <is>
          <t>53</t>
        </is>
      </c>
      <c r="D56">
        <v>6.6</v>
      </c>
      <c r="E56">
        <v>0.066</v>
      </c>
      <c r="F56">
        <v>6.6</v>
      </c>
      <c r="G56">
        <v>0</v>
      </c>
      <c r="H56">
        <v>0.066</v>
      </c>
      <c r="I56">
        <v>0</v>
      </c>
    </row>
    <row r="57">
      <c r="A57" t="inlineStr">
        <is>
          <t>Rents</t>
        </is>
      </c>
      <c r="B57">
        <v>3</v>
      </c>
      <c r="C57" t="inlineStr">
        <is>
          <t>54</t>
        </is>
      </c>
      <c r="D57">
        <v>6.6</v>
      </c>
      <c r="E57">
        <v>0.066</v>
      </c>
    </row>
    <row r="58">
      <c r="A58" t="inlineStr">
        <is>
          <t>New dwelling purchase by owner-occupiers</t>
        </is>
      </c>
      <c r="B58">
        <v>2</v>
      </c>
      <c r="C58" t="inlineStr">
        <is>
          <t>53</t>
        </is>
      </c>
      <c r="D58">
        <v>7.54</v>
      </c>
      <c r="E58">
        <v>0.07539999999999999</v>
      </c>
      <c r="F58">
        <v>7.54</v>
      </c>
      <c r="G58">
        <v>0</v>
      </c>
      <c r="H58">
        <v>0.07539999999999998</v>
      </c>
      <c r="I58">
        <v>-1.387778780781446E-17</v>
      </c>
    </row>
    <row r="59">
      <c r="A59" t="inlineStr">
        <is>
          <t>New dwelling purchase by owner-occupiers</t>
        </is>
      </c>
      <c r="B59">
        <v>3</v>
      </c>
      <c r="C59" t="inlineStr">
        <is>
          <t>56</t>
        </is>
      </c>
      <c r="D59">
        <v>7.54</v>
      </c>
      <c r="E59">
        <v>0.07539999999999998</v>
      </c>
    </row>
    <row r="60">
      <c r="A60" t="inlineStr">
        <is>
          <t>Other housing</t>
        </is>
      </c>
      <c r="B60">
        <v>2</v>
      </c>
      <c r="C60" t="inlineStr">
        <is>
          <t>53</t>
        </is>
      </c>
      <c r="D60">
        <v>3.5</v>
      </c>
      <c r="E60">
        <v>0.035</v>
      </c>
      <c r="F60">
        <v>3.5</v>
      </c>
      <c r="G60">
        <v>0</v>
      </c>
      <c r="H60">
        <v>0.035</v>
      </c>
      <c r="I60">
        <v>0</v>
      </c>
    </row>
    <row r="61">
      <c r="A61" t="inlineStr">
        <is>
          <t>Maintenance and repair of the dwelling</t>
        </is>
      </c>
      <c r="B61">
        <v>3</v>
      </c>
      <c r="C61" t="inlineStr">
        <is>
          <t>58</t>
        </is>
      </c>
      <c r="D61">
        <v>2.03</v>
      </c>
      <c r="E61">
        <v>0.0203</v>
      </c>
    </row>
    <row r="62">
      <c r="A62" t="inlineStr">
        <is>
          <t>Property rates and charges</t>
        </is>
      </c>
      <c r="B62">
        <v>3</v>
      </c>
      <c r="C62" t="inlineStr">
        <is>
          <t>58</t>
        </is>
      </c>
      <c r="D62">
        <v>1.47</v>
      </c>
      <c r="E62">
        <v>0.0147</v>
      </c>
    </row>
    <row r="63">
      <c r="A63" t="inlineStr">
        <is>
          <t>Utilities</t>
        </is>
      </c>
      <c r="B63">
        <v>2</v>
      </c>
      <c r="C63" t="inlineStr">
        <is>
          <t>53</t>
        </is>
      </c>
      <c r="D63">
        <v>3.75</v>
      </c>
      <c r="E63">
        <v>0.0375</v>
      </c>
      <c r="F63">
        <v>3.74</v>
      </c>
      <c r="G63">
        <v>-0.01000000000000023</v>
      </c>
      <c r="H63">
        <v>0.03750000000000001</v>
      </c>
      <c r="I63">
        <v>6.938893903907228E-18</v>
      </c>
    </row>
    <row r="64">
      <c r="A64" t="inlineStr">
        <is>
          <t>Water and sewerage</t>
        </is>
      </c>
      <c r="B64">
        <v>3</v>
      </c>
      <c r="C64" t="inlineStr">
        <is>
          <t>61</t>
        </is>
      </c>
      <c r="D64">
        <v>0.87</v>
      </c>
      <c r="E64">
        <v>0.008723262032085562</v>
      </c>
    </row>
    <row r="65">
      <c r="A65" t="inlineStr">
        <is>
          <t>Electricity</t>
        </is>
      </c>
      <c r="B65">
        <v>3</v>
      </c>
      <c r="C65" t="inlineStr">
        <is>
          <t>61</t>
        </is>
      </c>
      <c r="D65">
        <v>1.92</v>
      </c>
      <c r="E65">
        <v>0.01925133689839572</v>
      </c>
    </row>
    <row r="66">
      <c r="A66" t="inlineStr">
        <is>
          <t>Gas and other household fuels</t>
        </is>
      </c>
      <c r="B66">
        <v>3</v>
      </c>
      <c r="C66" t="inlineStr">
        <is>
          <t>61</t>
        </is>
      </c>
      <c r="D66">
        <v>0.95</v>
      </c>
      <c r="E66">
        <v>0.009525401069518716</v>
      </c>
    </row>
    <row r="67">
      <c r="A67" t="inlineStr">
        <is>
          <t>Furnishings, household equipment and services</t>
        </is>
      </c>
      <c r="B67">
        <v>1</v>
      </c>
      <c r="C67" t="inlineStr">
        <is>
          <t>0</t>
        </is>
      </c>
      <c r="D67">
        <v>7.9</v>
      </c>
      <c r="E67">
        <v>0.079</v>
      </c>
      <c r="F67">
        <v>7.89</v>
      </c>
      <c r="G67">
        <v>-0.01000000000000068</v>
      </c>
      <c r="H67">
        <v>0.079</v>
      </c>
      <c r="I67">
        <v>0</v>
      </c>
    </row>
    <row r="68">
      <c r="A68" t="inlineStr">
        <is>
          <t>Furniture and furnishings</t>
        </is>
      </c>
      <c r="B68">
        <v>2</v>
      </c>
      <c r="C68" t="inlineStr">
        <is>
          <t>65</t>
        </is>
      </c>
      <c r="D68">
        <v>1.45</v>
      </c>
      <c r="E68">
        <v>0.01451837769328264</v>
      </c>
      <c r="F68">
        <v>1.45</v>
      </c>
      <c r="G68">
        <v>0</v>
      </c>
      <c r="H68">
        <v>0.01451837769328264</v>
      </c>
      <c r="I68">
        <v>0</v>
      </c>
    </row>
    <row r="69">
      <c r="A69" t="inlineStr">
        <is>
          <t>Furniture</t>
        </is>
      </c>
      <c r="B69">
        <v>3</v>
      </c>
      <c r="C69" t="inlineStr">
        <is>
          <t>66</t>
        </is>
      </c>
      <c r="D69">
        <v>1.19</v>
      </c>
      <c r="E69">
        <v>0.01191508238276299</v>
      </c>
    </row>
    <row r="70">
      <c r="A70" t="inlineStr">
        <is>
          <t>Carpets and other floor coverings</t>
        </is>
      </c>
      <c r="B70">
        <v>3</v>
      </c>
      <c r="C70" t="inlineStr">
        <is>
          <t>66</t>
        </is>
      </c>
      <c r="D70">
        <v>0.26</v>
      </c>
      <c r="E70">
        <v>0.002603295310519645</v>
      </c>
    </row>
    <row r="71">
      <c r="A71" t="inlineStr">
        <is>
          <t>Household textiles</t>
        </is>
      </c>
      <c r="B71">
        <v>2</v>
      </c>
      <c r="C71" t="inlineStr">
        <is>
          <t>65</t>
        </is>
      </c>
      <c r="D71">
        <v>0.43</v>
      </c>
      <c r="E71">
        <v>0.004305449936628644</v>
      </c>
      <c r="F71">
        <v>0.43</v>
      </c>
      <c r="G71">
        <v>0</v>
      </c>
      <c r="H71">
        <v>0.004305449936628644</v>
      </c>
      <c r="I71">
        <v>0</v>
      </c>
    </row>
    <row r="72">
      <c r="A72" t="inlineStr">
        <is>
          <t>Household textiles</t>
        </is>
      </c>
      <c r="B72">
        <v>3</v>
      </c>
      <c r="C72" t="inlineStr">
        <is>
          <t>69</t>
        </is>
      </c>
      <c r="D72">
        <v>0.43</v>
      </c>
      <c r="E72">
        <v>0.004305449936628644</v>
      </c>
    </row>
    <row r="73">
      <c r="A73" t="inlineStr">
        <is>
          <t>Household appliances, utensils and tools</t>
        </is>
      </c>
      <c r="B73">
        <v>2</v>
      </c>
      <c r="C73" t="inlineStr">
        <is>
          <t>65</t>
        </is>
      </c>
      <c r="D73">
        <v>1.28</v>
      </c>
      <c r="E73">
        <v>0.01281622306717364</v>
      </c>
      <c r="F73">
        <v>1.27</v>
      </c>
      <c r="G73">
        <v>-0.01000000000000001</v>
      </c>
      <c r="H73">
        <v>0.01281622306717364</v>
      </c>
      <c r="I73">
        <v>1.734723475976807E-18</v>
      </c>
    </row>
    <row r="74">
      <c r="A74" t="inlineStr">
        <is>
          <t>Major household appliances</t>
        </is>
      </c>
      <c r="B74">
        <v>3</v>
      </c>
      <c r="C74" t="inlineStr">
        <is>
          <t>71</t>
        </is>
      </c>
      <c r="D74">
        <v>0.33</v>
      </c>
      <c r="E74">
        <v>0.003330199694619922</v>
      </c>
    </row>
    <row r="75">
      <c r="A75" t="inlineStr">
        <is>
          <t>Small electric household appliances</t>
        </is>
      </c>
      <c r="B75">
        <v>3</v>
      </c>
      <c r="C75" t="inlineStr">
        <is>
          <t>71</t>
        </is>
      </c>
      <c r="D75">
        <v>0.25</v>
      </c>
      <c r="E75">
        <v>0.002522878556530244</v>
      </c>
    </row>
    <row r="76">
      <c r="A76" t="inlineStr">
        <is>
          <t>Glassware, tableware and household utensils</t>
        </is>
      </c>
      <c r="B76">
        <v>3</v>
      </c>
      <c r="C76" t="inlineStr">
        <is>
          <t>71</t>
        </is>
      </c>
      <c r="D76">
        <v>0.34</v>
      </c>
      <c r="E76">
        <v>0.003431114836881132</v>
      </c>
    </row>
    <row r="77">
      <c r="A77" t="inlineStr">
        <is>
          <t>Tools and equipment for house and garden</t>
        </is>
      </c>
      <c r="B77">
        <v>3</v>
      </c>
      <c r="C77" t="inlineStr">
        <is>
          <t>71</t>
        </is>
      </c>
      <c r="D77">
        <v>0.35</v>
      </c>
      <c r="E77">
        <v>0.003532029979142341</v>
      </c>
    </row>
    <row r="78">
      <c r="A78" t="inlineStr">
        <is>
          <t>Non-durable household products</t>
        </is>
      </c>
      <c r="B78">
        <v>2</v>
      </c>
      <c r="C78" t="inlineStr">
        <is>
          <t>65</t>
        </is>
      </c>
      <c r="D78">
        <v>2.2</v>
      </c>
      <c r="E78">
        <v>0.02202788339670469</v>
      </c>
      <c r="F78">
        <v>2.2</v>
      </c>
      <c r="G78">
        <v>0</v>
      </c>
      <c r="H78">
        <v>0.02202788339670469</v>
      </c>
      <c r="I78">
        <v>-3.469446951953614E-18</v>
      </c>
    </row>
    <row r="79">
      <c r="A79" t="inlineStr">
        <is>
          <t>Cleaning and maintenance products</t>
        </is>
      </c>
      <c r="B79">
        <v>3</v>
      </c>
      <c r="C79" t="inlineStr">
        <is>
          <t>76</t>
        </is>
      </c>
      <c r="D79">
        <v>0.22</v>
      </c>
      <c r="E79">
        <v>0.002202788339670469</v>
      </c>
    </row>
    <row r="80">
      <c r="A80" t="inlineStr">
        <is>
          <t>Personal care products</t>
        </is>
      </c>
      <c r="B80">
        <v>3</v>
      </c>
      <c r="C80" t="inlineStr">
        <is>
          <t>76</t>
        </is>
      </c>
      <c r="D80">
        <v>0.8</v>
      </c>
      <c r="E80">
        <v>0.008010139416983524</v>
      </c>
    </row>
    <row r="81">
      <c r="A81" t="inlineStr">
        <is>
          <t>Other non-durable household products</t>
        </is>
      </c>
      <c r="B81">
        <v>3</v>
      </c>
      <c r="C81" t="inlineStr">
        <is>
          <t>76</t>
        </is>
      </c>
      <c r="D81">
        <v>1.18</v>
      </c>
      <c r="E81">
        <v>0.0118149556400507</v>
      </c>
    </row>
    <row r="82">
      <c r="A82" t="inlineStr">
        <is>
          <t>Domestic and household services</t>
        </is>
      </c>
      <c r="B82">
        <v>2</v>
      </c>
      <c r="C82" t="inlineStr">
        <is>
          <t>65</t>
        </is>
      </c>
      <c r="D82">
        <v>2.53</v>
      </c>
      <c r="E82">
        <v>0.02533206590621039</v>
      </c>
      <c r="F82">
        <v>2.53</v>
      </c>
      <c r="G82">
        <v>4.440892098500626E-16</v>
      </c>
      <c r="H82">
        <v>0.02533206590621039</v>
      </c>
      <c r="I82">
        <v>-3.469446951953614E-18</v>
      </c>
    </row>
    <row r="83">
      <c r="A83" t="inlineStr">
        <is>
          <t>Child care</t>
        </is>
      </c>
      <c r="B83">
        <v>3</v>
      </c>
      <c r="C83" t="inlineStr">
        <is>
          <t>80</t>
        </is>
      </c>
      <c r="D83">
        <v>0.77</v>
      </c>
      <c r="E83">
        <v>0.007709759188846641</v>
      </c>
    </row>
    <row r="84">
      <c r="A84" t="inlineStr">
        <is>
          <t>Hairdressing and personal grooming services</t>
        </is>
      </c>
      <c r="B84">
        <v>3</v>
      </c>
      <c r="C84" t="inlineStr">
        <is>
          <t>80</t>
        </is>
      </c>
      <c r="D84">
        <v>1.05</v>
      </c>
      <c r="E84">
        <v>0.01051330798479087</v>
      </c>
    </row>
    <row r="85">
      <c r="A85" t="inlineStr">
        <is>
          <t>Other household services</t>
        </is>
      </c>
      <c r="B85">
        <v>3</v>
      </c>
      <c r="C85" t="inlineStr">
        <is>
          <t>80</t>
        </is>
      </c>
      <c r="D85">
        <v>0.71</v>
      </c>
      <c r="E85">
        <v>0.007108998732572876</v>
      </c>
    </row>
    <row r="86">
      <c r="A86" t="inlineStr">
        <is>
          <t>Health</t>
        </is>
      </c>
      <c r="B86">
        <v>1</v>
      </c>
      <c r="C86" t="inlineStr">
        <is>
          <t>0</t>
        </is>
      </c>
      <c r="D86">
        <v>6.71</v>
      </c>
      <c r="E86">
        <v>0.06709999999999999</v>
      </c>
      <c r="F86">
        <v>6.71</v>
      </c>
      <c r="G86">
        <v>0</v>
      </c>
      <c r="H86">
        <v>0.06709999999999999</v>
      </c>
      <c r="I86">
        <v>0</v>
      </c>
    </row>
    <row r="87">
      <c r="A87" t="inlineStr">
        <is>
          <t>Medical products, appliances and equipment</t>
        </is>
      </c>
      <c r="B87">
        <v>2</v>
      </c>
      <c r="C87" t="inlineStr">
        <is>
          <t>84</t>
        </is>
      </c>
      <c r="D87">
        <v>1.09</v>
      </c>
      <c r="E87">
        <v>0.0109</v>
      </c>
      <c r="F87">
        <v>1.09</v>
      </c>
      <c r="G87">
        <v>-2.220446049250313E-16</v>
      </c>
      <c r="H87">
        <v>0.0109</v>
      </c>
      <c r="I87">
        <v>1.734723475976807E-18</v>
      </c>
    </row>
    <row r="88">
      <c r="A88" t="inlineStr">
        <is>
          <t>Pharmaceutical products</t>
        </is>
      </c>
      <c r="B88">
        <v>3</v>
      </c>
      <c r="C88" t="inlineStr">
        <is>
          <t>85</t>
        </is>
      </c>
      <c r="D88">
        <v>0.95</v>
      </c>
      <c r="E88">
        <v>0.009500000000000001</v>
      </c>
    </row>
    <row r="89">
      <c r="A89" t="inlineStr">
        <is>
          <t>Therapeutic appliances and equipment</t>
        </is>
      </c>
      <c r="B89">
        <v>3</v>
      </c>
      <c r="C89" t="inlineStr">
        <is>
          <t>85</t>
        </is>
      </c>
      <c r="D89">
        <v>0.14</v>
      </c>
      <c r="E89">
        <v>0.0014</v>
      </c>
    </row>
    <row r="90">
      <c r="A90" t="inlineStr">
        <is>
          <t>Medical, dental and hospital services</t>
        </is>
      </c>
      <c r="B90">
        <v>2</v>
      </c>
      <c r="C90" t="inlineStr">
        <is>
          <t>84</t>
        </is>
      </c>
      <c r="D90">
        <v>5.62</v>
      </c>
      <c r="E90">
        <v>0.0562</v>
      </c>
      <c r="F90">
        <v>5.619999999999999</v>
      </c>
      <c r="G90">
        <v>-8.881784197001252E-16</v>
      </c>
      <c r="H90">
        <v>0.0562</v>
      </c>
      <c r="I90">
        <v>0</v>
      </c>
    </row>
    <row r="91">
      <c r="A91" t="inlineStr">
        <is>
          <t>Medical and hospital services</t>
        </is>
      </c>
      <c r="B91">
        <v>3</v>
      </c>
      <c r="C91" t="inlineStr">
        <is>
          <t>88</t>
        </is>
      </c>
      <c r="D91">
        <v>5.02</v>
      </c>
      <c r="E91">
        <v>0.0502</v>
      </c>
    </row>
    <row r="92">
      <c r="A92" t="inlineStr">
        <is>
          <t>Dental services</t>
        </is>
      </c>
      <c r="B92">
        <v>3</v>
      </c>
      <c r="C92" t="inlineStr">
        <is>
          <t>88</t>
        </is>
      </c>
      <c r="D92">
        <v>0.6</v>
      </c>
      <c r="E92">
        <v>0.006000000000000001</v>
      </c>
    </row>
    <row r="93">
      <c r="A93" t="inlineStr">
        <is>
          <t>Transport</t>
        </is>
      </c>
      <c r="B93">
        <v>1</v>
      </c>
      <c r="C93" t="inlineStr">
        <is>
          <t>0</t>
        </is>
      </c>
      <c r="D93">
        <v>11.49</v>
      </c>
      <c r="E93">
        <v>0.1149</v>
      </c>
      <c r="F93">
        <v>11.48</v>
      </c>
      <c r="G93">
        <v>-0.009999999999999787</v>
      </c>
      <c r="H93">
        <v>0.1149</v>
      </c>
      <c r="I93">
        <v>0</v>
      </c>
    </row>
    <row r="94">
      <c r="A94" t="inlineStr">
        <is>
          <t>Private motoring</t>
        </is>
      </c>
      <c r="B94">
        <v>2</v>
      </c>
      <c r="C94" t="inlineStr">
        <is>
          <t>91</t>
        </is>
      </c>
      <c r="D94">
        <v>11.14</v>
      </c>
      <c r="E94">
        <v>0.1114970383275261</v>
      </c>
      <c r="F94">
        <v>11.14</v>
      </c>
      <c r="G94">
        <v>0</v>
      </c>
      <c r="H94">
        <v>0.1114970383275261</v>
      </c>
      <c r="I94">
        <v>0</v>
      </c>
    </row>
    <row r="95">
      <c r="A95" t="inlineStr">
        <is>
          <t>Motor vehicles</t>
        </is>
      </c>
      <c r="B95">
        <v>3</v>
      </c>
      <c r="C95" t="inlineStr">
        <is>
          <t>92</t>
        </is>
      </c>
      <c r="D95">
        <v>3.5</v>
      </c>
      <c r="E95">
        <v>0.03503048780487805</v>
      </c>
    </row>
    <row r="96">
      <c r="A96" t="inlineStr">
        <is>
          <t>Spare parts and accessories for motor vehicles</t>
        </is>
      </c>
      <c r="B96">
        <v>3</v>
      </c>
      <c r="C96" t="inlineStr">
        <is>
          <t>92</t>
        </is>
      </c>
      <c r="D96">
        <v>0.87</v>
      </c>
      <c r="E96">
        <v>0.008707578397212543</v>
      </c>
    </row>
    <row r="97">
      <c r="A97" t="inlineStr">
        <is>
          <t>Automotive fuel</t>
        </is>
      </c>
      <c r="B97">
        <v>3</v>
      </c>
      <c r="C97" t="inlineStr">
        <is>
          <t>92</t>
        </is>
      </c>
      <c r="D97">
        <v>3.42</v>
      </c>
      <c r="E97">
        <v>0.03422979094076655</v>
      </c>
    </row>
    <row r="98">
      <c r="A98" t="inlineStr">
        <is>
          <t>Maintenance and repair of motor vehicles</t>
        </is>
      </c>
      <c r="B98">
        <v>3</v>
      </c>
      <c r="C98" t="inlineStr">
        <is>
          <t>92</t>
        </is>
      </c>
      <c r="D98">
        <v>2.05</v>
      </c>
      <c r="E98">
        <v>0.02051785714285714</v>
      </c>
    </row>
    <row r="99">
      <c r="A99" t="inlineStr">
        <is>
          <t>Other services in respect of motor vehicles</t>
        </is>
      </c>
      <c r="B99">
        <v>3</v>
      </c>
      <c r="C99" t="inlineStr">
        <is>
          <t>92</t>
        </is>
      </c>
      <c r="D99">
        <v>1.3</v>
      </c>
      <c r="E99">
        <v>0.01301132404181185</v>
      </c>
    </row>
    <row r="100">
      <c r="A100" t="inlineStr">
        <is>
          <t>Urban transport fares</t>
        </is>
      </c>
      <c r="B100">
        <v>2</v>
      </c>
      <c r="C100" t="inlineStr">
        <is>
          <t>91</t>
        </is>
      </c>
      <c r="D100">
        <v>0.34</v>
      </c>
      <c r="E100">
        <v>0.003402961672473868</v>
      </c>
      <c r="F100">
        <v>0.34</v>
      </c>
      <c r="G100">
        <v>0</v>
      </c>
      <c r="H100">
        <v>0.003402961672473868</v>
      </c>
      <c r="I100">
        <v>0</v>
      </c>
    </row>
    <row r="101">
      <c r="A101" t="inlineStr">
        <is>
          <t>Urban transport fares</t>
        </is>
      </c>
      <c r="B101">
        <v>3</v>
      </c>
      <c r="C101" t="inlineStr">
        <is>
          <t>98</t>
        </is>
      </c>
      <c r="D101">
        <v>0.34</v>
      </c>
      <c r="E101">
        <v>0.003402961672473868</v>
      </c>
    </row>
    <row r="102">
      <c r="A102" t="inlineStr">
        <is>
          <t>Communication</t>
        </is>
      </c>
      <c r="B102">
        <v>1</v>
      </c>
      <c r="C102" t="inlineStr">
        <is>
          <t>0</t>
        </is>
      </c>
      <c r="D102">
        <v>2.12</v>
      </c>
      <c r="E102">
        <v>0.0212</v>
      </c>
      <c r="F102">
        <v>2.12</v>
      </c>
      <c r="G102">
        <v>0</v>
      </c>
      <c r="H102">
        <v>0.0212</v>
      </c>
      <c r="I102">
        <v>0</v>
      </c>
    </row>
    <row r="103">
      <c r="A103" t="inlineStr">
        <is>
          <t>Communication</t>
        </is>
      </c>
      <c r="B103">
        <v>2</v>
      </c>
      <c r="C103" t="inlineStr">
        <is>
          <t>100</t>
        </is>
      </c>
      <c r="D103">
        <v>2.12</v>
      </c>
      <c r="E103">
        <v>0.0212</v>
      </c>
      <c r="F103">
        <v>2.12</v>
      </c>
      <c r="G103">
        <v>0</v>
      </c>
      <c r="H103">
        <v>0.0212</v>
      </c>
      <c r="I103">
        <v>0</v>
      </c>
    </row>
    <row r="104">
      <c r="A104" t="inlineStr">
        <is>
          <t>Postal services</t>
        </is>
      </c>
      <c r="B104">
        <v>3</v>
      </c>
      <c r="C104" t="inlineStr">
        <is>
          <t>101</t>
        </is>
      </c>
      <c r="D104">
        <v>0.1</v>
      </c>
      <c r="E104">
        <v>0.001</v>
      </c>
    </row>
    <row r="105">
      <c r="A105" t="inlineStr">
        <is>
          <t>Telecommunication equipment and services</t>
        </is>
      </c>
      <c r="B105">
        <v>3</v>
      </c>
      <c r="C105" t="inlineStr">
        <is>
          <t>101</t>
        </is>
      </c>
      <c r="D105">
        <v>2.02</v>
      </c>
      <c r="E105">
        <v>0.0202</v>
      </c>
    </row>
    <row r="106">
      <c r="A106" t="inlineStr">
        <is>
          <t>Recreation and culture</t>
        </is>
      </c>
      <c r="B106">
        <v>1</v>
      </c>
      <c r="C106" t="inlineStr">
        <is>
          <t>0</t>
        </is>
      </c>
      <c r="D106">
        <v>13.09</v>
      </c>
      <c r="E106">
        <v>0.1309</v>
      </c>
      <c r="F106">
        <v>13.1</v>
      </c>
      <c r="G106">
        <v>0.009999999999999787</v>
      </c>
      <c r="H106">
        <v>0.1309</v>
      </c>
      <c r="I106">
        <v>0</v>
      </c>
    </row>
    <row r="107">
      <c r="A107" t="inlineStr">
        <is>
          <t>Audio, visual and computing equipment and services</t>
        </is>
      </c>
      <c r="B107">
        <v>2</v>
      </c>
      <c r="C107" t="inlineStr">
        <is>
          <t>104</t>
        </is>
      </c>
      <c r="D107">
        <v>1.88</v>
      </c>
      <c r="E107">
        <v>0.01878564885496183</v>
      </c>
      <c r="F107">
        <v>1.88</v>
      </c>
      <c r="G107">
        <v>0</v>
      </c>
      <c r="H107">
        <v>0.01878564885496183</v>
      </c>
      <c r="I107">
        <v>0</v>
      </c>
    </row>
    <row r="108">
      <c r="A108" t="inlineStr">
        <is>
          <t>Audio, visual and computing equipment</t>
        </is>
      </c>
      <c r="B108">
        <v>3</v>
      </c>
      <c r="C108" t="inlineStr">
        <is>
          <t>105</t>
        </is>
      </c>
      <c r="D108">
        <v>0.99</v>
      </c>
      <c r="E108">
        <v>0.009892442748091604</v>
      </c>
    </row>
    <row r="109">
      <c r="A109" t="inlineStr">
        <is>
          <t>Audio, visual and computing media and services</t>
        </is>
      </c>
      <c r="B109">
        <v>3</v>
      </c>
      <c r="C109" t="inlineStr">
        <is>
          <t>105</t>
        </is>
      </c>
      <c r="D109">
        <v>0.89</v>
      </c>
      <c r="E109">
        <v>0.00889320610687023</v>
      </c>
    </row>
    <row r="110">
      <c r="A110" t="inlineStr">
        <is>
          <t>Newspapers, books and stationery</t>
        </is>
      </c>
      <c r="B110">
        <v>2</v>
      </c>
      <c r="C110" t="inlineStr">
        <is>
          <t>104</t>
        </is>
      </c>
      <c r="D110">
        <v>0.47</v>
      </c>
      <c r="E110">
        <v>0.004696412213740458</v>
      </c>
      <c r="F110">
        <v>0.46</v>
      </c>
      <c r="G110">
        <v>-0.009999999999999953</v>
      </c>
      <c r="H110">
        <v>0.004696412213740458</v>
      </c>
      <c r="I110">
        <v>0</v>
      </c>
    </row>
    <row r="111">
      <c r="A111" t="inlineStr">
        <is>
          <t>Books</t>
        </is>
      </c>
      <c r="B111">
        <v>3</v>
      </c>
      <c r="C111" t="inlineStr">
        <is>
          <t>108</t>
        </is>
      </c>
      <c r="D111">
        <v>0.13</v>
      </c>
      <c r="E111">
        <v>0.001327246929970129</v>
      </c>
    </row>
    <row r="112">
      <c r="A112" t="inlineStr">
        <is>
          <t>Newspapers, magazines and stationery</t>
        </is>
      </c>
      <c r="B112">
        <v>3</v>
      </c>
      <c r="C112" t="inlineStr">
        <is>
          <t>108</t>
        </is>
      </c>
      <c r="D112">
        <v>0.33</v>
      </c>
      <c r="E112">
        <v>0.003369165283770328</v>
      </c>
    </row>
    <row r="113">
      <c r="A113" t="inlineStr">
        <is>
          <t>Holiday travel and accommodation</t>
        </is>
      </c>
      <c r="B113">
        <v>2</v>
      </c>
      <c r="C113" t="inlineStr">
        <is>
          <t>104</t>
        </is>
      </c>
      <c r="D113">
        <v>6.67</v>
      </c>
      <c r="E113">
        <v>0.06664908396946564</v>
      </c>
      <c r="F113">
        <v>6.67</v>
      </c>
      <c r="G113">
        <v>0</v>
      </c>
      <c r="H113">
        <v>0.06664908396946564</v>
      </c>
      <c r="I113">
        <v>0</v>
      </c>
    </row>
    <row r="114">
      <c r="A114" t="inlineStr">
        <is>
          <t>Domestic holiday travel and accommodation</t>
        </is>
      </c>
      <c r="B114">
        <v>3</v>
      </c>
      <c r="C114" t="inlineStr">
        <is>
          <t>111</t>
        </is>
      </c>
      <c r="D114">
        <v>3.17</v>
      </c>
      <c r="E114">
        <v>0.03167580152671755</v>
      </c>
    </row>
    <row r="115">
      <c r="A115" t="inlineStr">
        <is>
          <t>International holiday travel and accommodation</t>
        </is>
      </c>
      <c r="B115">
        <v>3</v>
      </c>
      <c r="C115" t="inlineStr">
        <is>
          <t>111</t>
        </is>
      </c>
      <c r="D115">
        <v>3.5</v>
      </c>
      <c r="E115">
        <v>0.03497328244274809</v>
      </c>
    </row>
    <row r="116">
      <c r="A116" t="inlineStr">
        <is>
          <t>Other recreation, sport and culture</t>
        </is>
      </c>
      <c r="B116">
        <v>2</v>
      </c>
      <c r="C116" t="inlineStr">
        <is>
          <t>104</t>
        </is>
      </c>
      <c r="D116">
        <v>4.08</v>
      </c>
      <c r="E116">
        <v>0.04076885496183206</v>
      </c>
      <c r="F116">
        <v>4.07</v>
      </c>
      <c r="G116">
        <v>-0.009999999999999787</v>
      </c>
      <c r="H116">
        <v>0.04076885496183205</v>
      </c>
      <c r="I116">
        <v>-6.938893903907228E-18</v>
      </c>
    </row>
    <row r="117">
      <c r="A117" t="inlineStr">
        <is>
          <t>Equipment for sports, camping and open-air recreation</t>
        </is>
      </c>
      <c r="B117">
        <v>3</v>
      </c>
      <c r="C117" t="inlineStr">
        <is>
          <t>114</t>
        </is>
      </c>
      <c r="D117">
        <v>0.47</v>
      </c>
      <c r="E117">
        <v>0.004707951310088714</v>
      </c>
    </row>
    <row r="118">
      <c r="A118" t="inlineStr">
        <is>
          <t>Games, toys and hobbies</t>
        </is>
      </c>
      <c r="B118">
        <v>3</v>
      </c>
      <c r="C118" t="inlineStr">
        <is>
          <t>114</t>
        </is>
      </c>
      <c r="D118">
        <v>0.58</v>
      </c>
      <c r="E118">
        <v>0.005809812255003093</v>
      </c>
    </row>
    <row r="119">
      <c r="A119" t="inlineStr">
        <is>
          <t>Pets and related products</t>
        </is>
      </c>
      <c r="B119">
        <v>3</v>
      </c>
      <c r="C119" t="inlineStr">
        <is>
          <t>114</t>
        </is>
      </c>
      <c r="D119">
        <v>0.51</v>
      </c>
      <c r="E119">
        <v>0.005108628017330306</v>
      </c>
    </row>
    <row r="120">
      <c r="A120" t="inlineStr">
        <is>
          <t>Veterinary and other services for pets</t>
        </is>
      </c>
      <c r="B120">
        <v>3</v>
      </c>
      <c r="C120" t="inlineStr">
        <is>
          <t>114</t>
        </is>
      </c>
      <c r="D120">
        <v>0.51</v>
      </c>
      <c r="E120">
        <v>0.005108628017330306</v>
      </c>
    </row>
    <row r="121">
      <c r="A121" t="inlineStr">
        <is>
          <t>Sports participation</t>
        </is>
      </c>
      <c r="B121">
        <v>3</v>
      </c>
      <c r="C121" t="inlineStr">
        <is>
          <t>114</t>
        </is>
      </c>
      <c r="D121">
        <v>1.06</v>
      </c>
      <c r="E121">
        <v>0.01061793274190221</v>
      </c>
    </row>
    <row r="122">
      <c r="A122" t="inlineStr">
        <is>
          <t>Other recreational, sporting and cultural services</t>
        </is>
      </c>
      <c r="B122">
        <v>3</v>
      </c>
      <c r="C122" t="inlineStr">
        <is>
          <t>114</t>
        </is>
      </c>
      <c r="D122">
        <v>0.9399999999999999</v>
      </c>
      <c r="E122">
        <v>0.009415902620177429</v>
      </c>
    </row>
    <row r="123">
      <c r="A123" t="inlineStr">
        <is>
          <t>Education</t>
        </is>
      </c>
      <c r="B123">
        <v>1</v>
      </c>
      <c r="C123" t="inlineStr">
        <is>
          <t>0</t>
        </is>
      </c>
      <c r="D123">
        <v>4.65</v>
      </c>
      <c r="E123">
        <v>0.04650000000000001</v>
      </c>
      <c r="F123">
        <v>4.65</v>
      </c>
      <c r="G123">
        <v>0</v>
      </c>
      <c r="H123">
        <v>0.04650000000000001</v>
      </c>
      <c r="I123">
        <v>0</v>
      </c>
    </row>
    <row r="124">
      <c r="A124" t="inlineStr">
        <is>
          <t>Education</t>
        </is>
      </c>
      <c r="B124">
        <v>2</v>
      </c>
      <c r="C124" t="inlineStr">
        <is>
          <t>121</t>
        </is>
      </c>
      <c r="D124">
        <v>4.65</v>
      </c>
      <c r="E124">
        <v>0.04650000000000001</v>
      </c>
      <c r="F124">
        <v>4.649999999999999</v>
      </c>
      <c r="G124">
        <v>-8.881784197001252E-16</v>
      </c>
      <c r="H124">
        <v>0.04650000000000001</v>
      </c>
      <c r="I124">
        <v>6.938893903907228E-18</v>
      </c>
    </row>
    <row r="125">
      <c r="A125" t="inlineStr">
        <is>
          <t>Preschool and primary education</t>
        </is>
      </c>
      <c r="B125">
        <v>3</v>
      </c>
      <c r="C125" t="inlineStr">
        <is>
          <t>122</t>
        </is>
      </c>
      <c r="D125">
        <v>0.91</v>
      </c>
      <c r="E125">
        <v>0.009100000000000002</v>
      </c>
    </row>
    <row r="126">
      <c r="A126" t="inlineStr">
        <is>
          <t>Secondary education</t>
        </is>
      </c>
      <c r="B126">
        <v>3</v>
      </c>
      <c r="C126" t="inlineStr">
        <is>
          <t>122</t>
        </is>
      </c>
      <c r="D126">
        <v>2.01</v>
      </c>
      <c r="E126">
        <v>0.0201</v>
      </c>
    </row>
    <row r="127">
      <c r="A127" t="inlineStr">
        <is>
          <t>Tertiary education</t>
        </is>
      </c>
      <c r="B127">
        <v>3</v>
      </c>
      <c r="C127" t="inlineStr">
        <is>
          <t>122</t>
        </is>
      </c>
      <c r="D127">
        <v>1.73</v>
      </c>
      <c r="E127">
        <v>0.01730000000000001</v>
      </c>
    </row>
    <row r="128">
      <c r="A128" t="inlineStr">
        <is>
          <t>Insurance and financial services</t>
        </is>
      </c>
      <c r="B128">
        <v>1</v>
      </c>
      <c r="C128" t="inlineStr">
        <is>
          <t>0</t>
        </is>
      </c>
      <c r="D128">
        <v>5.57</v>
      </c>
      <c r="E128">
        <v>0.0557</v>
      </c>
      <c r="F128">
        <v>5.57</v>
      </c>
      <c r="G128">
        <v>0</v>
      </c>
      <c r="H128">
        <v>0.05569999999999999</v>
      </c>
      <c r="I128">
        <v>-6.938893903907228E-18</v>
      </c>
    </row>
    <row r="129">
      <c r="A129" t="inlineStr">
        <is>
          <t>Insurance</t>
        </is>
      </c>
      <c r="B129">
        <v>2</v>
      </c>
      <c r="C129" t="inlineStr">
        <is>
          <t>126</t>
        </is>
      </c>
      <c r="D129">
        <v>1.36</v>
      </c>
      <c r="E129">
        <v>0.0136</v>
      </c>
      <c r="F129">
        <v>1.36</v>
      </c>
      <c r="G129">
        <v>0</v>
      </c>
      <c r="H129">
        <v>0.0136</v>
      </c>
      <c r="I129">
        <v>1.734723475976807E-18</v>
      </c>
    </row>
    <row r="130">
      <c r="A130" t="inlineStr">
        <is>
          <t>Insurance</t>
        </is>
      </c>
      <c r="B130">
        <v>3</v>
      </c>
      <c r="C130" t="inlineStr">
        <is>
          <t>127</t>
        </is>
      </c>
      <c r="D130">
        <v>1.36</v>
      </c>
      <c r="E130">
        <v>0.0136</v>
      </c>
    </row>
    <row r="131">
      <c r="A131" t="inlineStr">
        <is>
          <t>Financial services</t>
        </is>
      </c>
      <c r="B131">
        <v>2</v>
      </c>
      <c r="C131" t="inlineStr">
        <is>
          <t>126</t>
        </is>
      </c>
      <c r="D131">
        <v>4.21</v>
      </c>
      <c r="E131">
        <v>0.04209999999999999</v>
      </c>
      <c r="F131">
        <v>4.22</v>
      </c>
      <c r="G131">
        <v>0.009999999999999787</v>
      </c>
      <c r="H131">
        <v>0.04209999999999999</v>
      </c>
      <c r="I131">
        <v>0</v>
      </c>
    </row>
    <row r="132">
      <c r="A132" t="inlineStr">
        <is>
          <t>Deposit and loan facilities (direct charges)</t>
        </is>
      </c>
      <c r="B132">
        <v>3</v>
      </c>
      <c r="C132" t="inlineStr">
        <is>
          <t>129</t>
        </is>
      </c>
      <c r="D132">
        <v>0.4</v>
      </c>
      <c r="E132">
        <v>0.003990521327014217</v>
      </c>
    </row>
    <row r="133">
      <c r="A133" t="inlineStr">
        <is>
          <t>Other financial services</t>
        </is>
      </c>
      <c r="B133">
        <v>3</v>
      </c>
      <c r="C133" t="inlineStr">
        <is>
          <t>129</t>
        </is>
      </c>
      <c r="D133">
        <v>3.82</v>
      </c>
      <c r="E133">
        <v>0.03810947867298577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 and Weight Checks</vt:lpstr>
      <vt:lpstr>All National CPI Data</vt:lpstr>
      <vt:lpstr>Tier 1</vt:lpstr>
      <vt:lpstr>Tier 2</vt:lpstr>
      <vt:lpstr>Tier 3</vt:lpstr>
      <vt:lpstr>Hierarchy and 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2026-09-18T17:46:58Z</dcterms:created>
  <dcterms:modified xsi:type="dcterms:W3CDTF">2026-09-18T17:46:58Z</dcterms:modified>
</cp:coreProperties>
</file>